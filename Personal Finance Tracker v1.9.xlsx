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190C3CE4-A449-1D4E-BBDB-F3DF4C91F077}" xr6:coauthVersionLast="47" xr6:coauthVersionMax="47" xr10:uidLastSave="{00000000-0000-0000-0000-000000000000}"/>
  <bookViews>
    <workbookView xWindow="0" yWindow="540" windowWidth="23480" windowHeight="14440" tabRatio="500" firstSheet="3" activeTab="7"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<sst xmlns="http://schemas.openxmlformats.org/spreadsheetml/2006/main" count="816" uniqueCount="573">
  <si>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</si>
  <si>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</si>
  <si>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</si>
  <si>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</si>
  <si>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</si>
  <si>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</si>
  <si>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</si>
  <si>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</si>
  <si>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</si>
  <si>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</si>
  <si>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</si>
  <si>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</si>
  <si>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</si>
  <si>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</si>
  <si>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</si>
  <si>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</si>
  <si>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</si>
  <si>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8.  Transactions — every buy (1), sell (-1), fee (0) and dividend (2). Type in the first blank row below the table; sample rows show the format. This single ledger drives everything.</t>
  </si>
  <si>
    <t>9.  Prices — keep current prices and FX up to date. New ticker? Add its Key here (Exchange:Symbol:Currency, e.g. USX:AMD:USD).</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</si>
  <si>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</si>
  <si>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</si>
  <si>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</si>
  <si>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</si>
  <si>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</si>
  <si>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</si>
  <si>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</si>
  <si>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1. Update Prices (prices &amp; FX).   2. Add a Cash Flow row.   3. Add a Net Worth History row.   4. Copy A5:B5 on Portfolio History, paste-values below.</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</si>
  <si>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</si>
  <si>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</si>
  <si>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</si>
  <si>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</si>
  <si>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</si>
  <si>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</si>
  <si>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</si>
  <si>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Fee rows: action 0, zero units, positive Total. Dividend rows: action 2, zero units, Total = amount received.</t>
  </si>
  <si>
    <t>•  Shares (grey) lists live positions only; All Ticker P&amp;L (grey) keeps closed ones for lifetime P&amp;L; Portfolio Analysis (grey) turns the ledger into dated cash flows for XIRR and the snapshot maths (historic FX approximated at current rates).</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</si>
  <si>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</si>
  <si>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</si>
  <si>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</si>
  <si>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</si>
  <si>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VERSION HISTORY</t>
  </si>
  <si>
    <t>v8 — retirement projections fixed (drawdown after retirement age, editable cash-in events, live net-worth start), status checks, CPF refund on sale, sheet protection.</t>
  </si>
  <si>
    <t>v9 — dividends (action 2), portfolio XIRR, monthly snapshots (Portfolio History), household Cash Flow.</t>
  </si>
  <si>
    <t>v10 — presentation: number formats, red negatives, hidden helper columns, frozen headers, scenario colour-bands.</t>
  </si>
  <si>
    <t>v11 — public release: this start guide and journey-based tab colours (green → blue → purple, grey = engine).</t>
  </si>
  <si>
    <t>v12 — fixes from a cold usability review: snapshot routine copies A5:B5 only, allocation table includes property &amp; personal loans (with a Total row), SRS link repaired, honest 'Assets excl. home &amp; car' label, yellow marks inputs only (Transactions is now yellow), pseudo-ticker note, reset checklist below.</t>
  </si>
  <si>
    <t>v13 — clean sample data: a 20-row coherent ledger (buy, sell, fee and dividend examples, one closed position, no oversold positions), Prices trimmed to held tickers, and Net Worth History that finally matches the Balance Sheet.</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</si>
  <si>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</si>
  <si>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</si>
  <si>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</si>
  <si>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</si>
  <si>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</si>
  <si>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</si>
  <si>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</si>
  <si>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</si>
  <si>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</si>
  <si>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</si>
  <si>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</si>
  <si>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</si>
  <si>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</si>
  <si>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</si>
  <si>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</si>
  <si>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</si>
  <si>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</si>
  <si>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</si>
  <si>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</si>
  <si>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</si>
  <si>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</si>
  <si>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</si>
  <si>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</si>
  <si>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</si>
  <si>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</si>
  <si>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</si>
  <si>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</si>
  <si>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</si>
  <si>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</si>
  <si>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</si>
  <si>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</si>
  <si>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</si>
  <si>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</si>
  <si>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</si>
  <si>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</si>
  <si>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</si>
  <si>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</si>
  <si>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</si>
  <si>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</si>
  <si>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</si>
  <si>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</si>
  <si>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</si>
  <si>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</si>
  <si>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</si>
  <si>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</si>
  <si>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</si>
  <si>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</si>
  <si>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</si>
  <si>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</si>
  <si>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</si>
  <si>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</si>
  <si>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</si>
  <si>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</si>
  <si>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</si>
  <si>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</si>
  <si>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</si>
  <si>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</si>
  <si>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</si>
  <si>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</si>
  <si>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</si>
  <si>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</si>
  <si>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</si>
  <si>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</si>
  <si>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</si>
  <si>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</si>
  <si>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</si>
  <si>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</si>
  <si>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</si>
  <si>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</si>
  <si>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</si>
  <si>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</si>
  <si>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</si>
  <si>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</si>
  <si>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</si>
  <si>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</si>
  <si>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</si>
  <si>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</si>
  <si>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</si>
  <si>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</si>
  <si>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</si>
  <si>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</si>
  <si>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</si>
  <si>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</si>
  <si>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</si>
  <si>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</si>
  <si>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</si>
  <si>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</si>
  <si>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</si>
  <si>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</si>
  <si>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</si>
  <si>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</si>
  <si>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</si>
  <si>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</si>
  <si>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</si>
  <si>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</si>
  <si>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</si>
  <si>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</si>
  <si>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</si>
  <si>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</si>
  <si>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</si>
  <si>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</si>
  <si>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</si>
  <si>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</si>
  <si>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</si>
  <si>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</si>
  <si>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</si>
  <si>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</si>
  <si>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</si>
  <si>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</si>
  <si>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</si>
  <si>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</si>
  <si>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</si>
  <si>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</si>
  <si>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</si>
  <si>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</si>
  <si>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</si>
  <si>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</si>
  <si>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</si>
  <si>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</si>
  <si>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</si>
  <si>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</si>
  <si>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</si>
  <si>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</si>
  <si>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</si>
  <si>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</si>
  <si>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</si>
  <si>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</si>
  <si>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</si>
  <si>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</si>
  <si>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</si>
  <si>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</si>
  <si>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</si>
  <si>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</si>
  <si>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</si>
  <si>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</si>
  <si>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</si>
  <si>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</si>
  <si>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</si>
  <si>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</si>
  <si>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</si>
  <si>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</si>
  <si>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</si>
  <si>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</si>
  <si>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</si>
  <si>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</si>
  <si>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</si>
  <si>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</si>
  <si>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</si>
  <si>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</si>
  <si>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</si>
  <si>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</si>
  <si>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</si>
  <si>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</si>
  <si>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</si>
  <si>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</si>
  <si>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</si>
  <si>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</si>
  <si>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</si>
  <si>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</si>
  <si>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</si>
  <si>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</si>
  <si>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</si>
  <si>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</si>
  <si>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</si>
  <si>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</si>
  <si>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</si>
  <si>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</si>
  <si>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</si>
  <si>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</si>
  <si>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</si>
  <si>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</si>
  <si>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</si>
  <si>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</si>
  <si>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</si>
  <si>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</si>
  <si>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</si>
  <si>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</si>
  <si>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</si>
  <si>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</si>
  <si>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</si>
  <si>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</si>
  <si>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</si>
  <si>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</si>
  <si>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</si>
  <si>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</si>
  <si>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</si>
  <si>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</si>
  <si>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</si>
  <si>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</si>
  <si>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</si>
  <si>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</si>
  <si>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</si>
  <si>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</si>
  <si>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</si>
  <si>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</si>
  <si>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</si>
  <si>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</si>
  <si>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</si>
  <si>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</si>
  <si>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</si>
  <si>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</si>
  <si>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</si>
  <si>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</si>
  <si>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</si>
  <si>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</si>
  <si>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</si>
  <si>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</si>
  <si>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</si>
  <si>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</si>
  <si>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</si>
  <si>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</si>
  <si>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</si>
  <si>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</si>
  <si>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</si>
  <si>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</si>
  <si>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</si>
  <si>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</si>
  <si>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</si>
  <si>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</si>
  <si>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</si>
  <si>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</si>
  <si>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</si>
  <si>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</si>
  <si>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</si>
  <si>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</si>
  <si>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</si>
  <si>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</si>
  <si>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</si>
  <si>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</si>
  <si>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</si>
  <si>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</si>
  <si>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</si>
  <si>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</si>
  <si>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</si>
  <si>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</si>
  <si>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</si>
  <si>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</si>
  <si>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</si>
  <si>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</si>
  <si>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</si>
  <si>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</si>
  <si>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</si>
  <si>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</si>
  <si>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</si>
  <si>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</si>
  <si>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</si>
  <si>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</si>
  <si>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</si>
  <si>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</si>
  <si>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</si>
  <si>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</si>
  <si>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</si>
  <si>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</si>
  <si>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</si>
  <si>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</si>
  <si>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</si>
  <si>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</si>
  <si>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</si>
  <si>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</si>
  <si>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</si>
  <si>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</si>
  <si>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</si>
  <si>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</si>
  <si>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</si>
  <si>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</si>
  <si>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</si>
  <si>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</si>
  <si>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</si>
  <si>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</si>
  <si>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</si>
  <si>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</si>
  <si>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</si>
  <si>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</si>
  <si>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</si>
  <si>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</si>
  <si>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</si>
  <si>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</si>
  <si>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</si>
  <si>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</si>
  <si>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</si>
  <si>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</si>
  <si>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</si>
  <si>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</si>
  <si>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</si>
  <si>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</si>
  <si>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</si>
  <si>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</si>
  <si>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</si>
  <si>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</si>
  <si>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</si>
  <si>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</si>
  <si>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</si>
  <si>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</si>
  <si>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</si>
  <si>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</si>
  <si>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</si>
  <si>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</si>
  <si>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</si>
  <si>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</si>
  <si>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</si>
  <si>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</si>
  <si>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</si>
  <si>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</si>
  <si>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</si>
  <si>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</si>
  <si>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</si>
  <si>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</si>
  <si>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</si>
  <si>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</si>
  <si>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</si>
  <si>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</si>
  <si>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</si>
  <si>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</si>
  <si>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</si>
  <si>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</si>
  <si>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</si>
  <si>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</si>
  <si>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</si>
  <si>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</si>
  <si>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</si>
  <si>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</si>
  <si>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</si>
  <si>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</si>
  <si>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</si>
  <si>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</si>
  <si>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</si>
  <si>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</si>
  <si>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</si>
  <si>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</si>
  <si>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</si>
  <si>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</si>
  <si>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</si>
  <si>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</si>
  <si>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</si>
  <si>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</si>
  <si>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</si>
  <si>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</si>
  <si>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</si>
  <si>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</si>
  <si>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</si>
  <si>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</si>
  <si>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</si>
  <si>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</si>
  <si>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</si>
  <si>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</si>
  <si>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</si>
  <si>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</si>
  <si>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</si>
  <si>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</si>
  <si>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</si>
  <si>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</si>
  <si>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</si>
  <si>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</si>
  <si>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</si>
  <si>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</si>
  <si>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</si>
  <si>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</si>
  <si>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</si>
  <si>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</si>
  <si>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</si>
  <si>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</si>
  <si>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</si>
  <si>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</si>
  <si>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</si>
  <si>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</si>
  <si>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</si>
  <si>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</si>
  <si>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</si>
  <si>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</si>
  <si>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</si>
  <si>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</si>
  <si>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</si>
  <si>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</si>
  <si>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</si>
  <si>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</si>
  <si>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</si>
  <si>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</si>
  <si>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</si>
  <si>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</si>
  <si>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</si>
  <si>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</si>
  <si>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</si>
  <si>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</si>
  <si>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</si>
  <si>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</si>
  <si>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</si>
  <si>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</si>
  <si>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</si>
  <si>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</si>
  <si>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</si>
  <si>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</si>
  <si>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</si>
  <si>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USX:AMD:USD</t>
  </si>
  <si>
    <t>AMD</t>
  </si>
  <si>
    <t>Format example from Start Here — not held</t>
  </si>
  <si>
    <t>USX:MSFT:USD</t>
  </si>
  <si>
    <t>USX:NVDA:USD</t>
  </si>
  <si>
    <t>Position closed — price kept for history</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</si>
  <si>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</si>
  <si>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</si>
  <si>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</si>
  <si>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</si>
  <si>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</si>
  <si>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</si>
  <si>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</si>
  <si>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</si>
  <si>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</si>
  <si>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</si>
  <si>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</si>
  <si>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</si>
  <si>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</si>
  <si>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</si>
  <si>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</si>
  <si>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</si>
  <si>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</si>
  <si>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</si>
  <si>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</si>
  <si>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</si>
  <si>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</si>
  <si>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</si>
  <si>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</si>
  <si>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</si>
  <si>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</si>
  <si>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</si>
  <si>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</si>
  <si>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</si>
  <si>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</si>
  <si>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</si>
  <si>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</si>
  <si>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</si>
  <si>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</si>
  <si>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</si>
  <si>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</si>
  <si>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</si>
  <si>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</si>
  <si>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</si>
  <si>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</si>
  <si>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</si>
  <si>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</si>
  <si>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</si>
  <si>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</si>
  <si>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</si>
  <si>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</si>
  <si>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</si>
  <si>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</si>
  <si>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</si>
  <si>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</si>
  <si>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</si>
  <si>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</si>
  <si>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</si>
  <si>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</si>
  <si>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</si>
  <si>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</si>
  <si>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</si>
  <si>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</si>
  <si>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</si>
  <si>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</si>
  <si>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</si>
  <si>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</si>
  <si>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</si>
  <si>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</si>
  <si>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</si>
  <si>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</si>
  <si>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</si>
  <si>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</si>
  <si>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</si>
  <si>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</si>
  <si>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</si>
  <si>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</si>
  <si>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</si>
  <si>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</si>
  <si>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</si>
  <si>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</si>
  <si>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</si>
  <si>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</si>
  <si>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</si>
  <si>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</si>
  <si>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</si>
  <si>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</si>
  <si>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</si>
  <si>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</si>
  <si>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</si>
  <si>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</si>
  <si>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</si>
  <si>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</si>
  <si>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</si>
  <si>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</si>
  <si>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</si>
  <si>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</si>
  <si>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</si>
  <si>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</si>
  <si>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</si>
  <si>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</si>
  <si>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</si>
  <si>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</si>
  <si>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v14 — Savings Goal Calculator: a goal-based compound-growth planner (final amount, required return, years, or amount to set aside), wired to your Settings growth rate. Released as v1.1.</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</si>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</sst>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2">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4">
    <xf numFmtId="0" fontId="0" fillId="0" borderId="0" xfId="0"/>
    <xf numFmtId="0" fontId="20" fillId="21" borderId="0" xfId="0" applyFont="1" applyFill="1" applyAlignment="1">
      <alignment horizontal="center" vertical="center"/>
    </xf>
    <xf numFmtId="0" fontId="32" fillId="21" borderId="0" xfId="0" applyFont="1" applyFill="1" applyAlignment="1">
      <alignment horizontal="center" vertical="center"/>
    </xf>
    <xf numFmtId="0" fontId="32" fillId="0" borderId="5" xfId="0" applyFont="1" applyBorder="1" applyAlignment="1">
      <alignment horizontal="center"/>
    </xf>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169" fontId="0" fillId="10" borderId="0" xfId="0" applyNumberFormat="1" applyFill="1"/>
    <xf numFmtId="0" fontId="35" fillId="11" borderId="0" xfId="0" applyFont="1" applyFill="1" applyAlignment="1">
      <alignment wrapText="1"/>
    </xf>
    <xf numFmtId="166" fontId="0" fillId="11" borderId="0" xfId="0" applyNumberFormat="1" applyFill="1"/>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0" fontId="63" fillId="0" borderId="15" xfId="0" applyFont="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0" fontId="63" fillId="7" borderId="15" xfId="0" applyFont="1" applyFill="1" applyBorder="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17">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244570.26412772574</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1225984.7072249148</c:v>
                </c:pt>
                <c:pt idx="1">
                  <c:v>1292764.2484416622</c:v>
                </c:pt>
                <c:pt idx="2">
                  <c:v>1361547.1758949121</c:v>
                </c:pt>
                <c:pt idx="3">
                  <c:v>1432393.5911717594</c:v>
                </c:pt>
                <c:pt idx="4">
                  <c:v>1505365.3989069122</c:v>
                </c:pt>
                <c:pt idx="5">
                  <c:v>1580526.3608741197</c:v>
                </c:pt>
                <c:pt idx="6">
                  <c:v>1657942.1517003432</c:v>
                </c:pt>
                <c:pt idx="7">
                  <c:v>1737680.4162513537</c:v>
                </c:pt>
                <c:pt idx="8">
                  <c:v>1819810.8287388943</c:v>
                </c:pt>
                <c:pt idx="9">
                  <c:v>1904405.1536010611</c:v>
                </c:pt>
                <c:pt idx="10">
                  <c:v>1991537.3082090931</c:v>
                </c:pt>
                <c:pt idx="11">
                  <c:v>2081283.4274553659</c:v>
                </c:pt>
                <c:pt idx="12">
                  <c:v>2173721.9302790267</c:v>
                </c:pt>
                <c:pt idx="13">
                  <c:v>2268933.5881873975</c:v>
                </c:pt>
                <c:pt idx="14">
                  <c:v>2367001.5958330194</c:v>
                </c:pt>
                <c:pt idx="15">
                  <c:v>2468011.6437080102</c:v>
                </c:pt>
                <c:pt idx="16">
                  <c:v>2572051.9930192507</c:v>
                </c:pt>
                <c:pt idx="17">
                  <c:v>2679213.5528098284</c:v>
                </c:pt>
                <c:pt idx="18">
                  <c:v>2789589.9593941234</c:v>
                </c:pt>
                <c:pt idx="19">
                  <c:v>2777358.6470369971</c:v>
                </c:pt>
                <c:pt idx="20">
                  <c:v>2762362.4200306837</c:v>
                </c:pt>
                <c:pt idx="21">
                  <c:v>2744458.3815537449</c:v>
                </c:pt>
                <c:pt idx="22">
                  <c:v>2723497.8491455517</c:v>
                </c:pt>
                <c:pt idx="23">
                  <c:v>2699326.1436687424</c:v>
                </c:pt>
                <c:pt idx="24">
                  <c:v>2671782.3710038494</c:v>
                </c:pt>
                <c:pt idx="25">
                  <c:v>2640699.1962346355</c:v>
                </c:pt>
                <c:pt idx="26">
                  <c:v>2605902.6100748624</c:v>
                </c:pt>
                <c:pt idx="27">
                  <c:v>2567211.6872791257</c:v>
                </c:pt>
                <c:pt idx="28">
                  <c:v>2524438.3367720675</c:v>
                </c:pt>
                <c:pt idx="29">
                  <c:v>2477387.0432216614</c:v>
                </c:pt>
                <c:pt idx="30">
                  <c:v>2425854.5997734042</c:v>
                </c:pt>
                <c:pt idx="31">
                  <c:v>2369629.8316530762</c:v>
                </c:pt>
                <c:pt idx="32">
                  <c:v>2308493.3103363002</c:v>
                </c:pt>
                <c:pt idx="33">
                  <c:v>2242217.057973362</c:v>
                </c:pt>
                <c:pt idx="34">
                  <c:v>2170564.2417477099</c:v>
                </c:pt>
                <c:pt idx="35">
                  <c:v>2093288.8578361671</c:v>
                </c:pt>
                <c:pt idx="36">
                  <c:v>2010135.4046281788</c:v>
                </c:pt>
                <c:pt idx="37">
                  <c:v>1920838.5448503739</c:v>
                </c:pt>
                <c:pt idx="38">
                  <c:v>1825122.7562313185</c:v>
                </c:pt>
                <c:pt idx="39">
                  <c:v>1722701.9703295773</c:v>
                </c:pt>
                <c:pt idx="40">
                  <c:v>1613279.1991360669</c:v>
                </c:pt>
                <c:pt idx="41">
                  <c:v>1496546.1490491664</c:v>
                </c:pt>
                <c:pt idx="42">
                  <c:v>1372182.8218081342</c:v>
                </c:pt>
                <c:pt idx="43">
                  <c:v>1239857.1019570583</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1225984.7072249148</c:v>
                </c:pt>
                <c:pt idx="1">
                  <c:v>1317283.9425861605</c:v>
                </c:pt>
                <c:pt idx="2">
                  <c:v>1413148.1397154685</c:v>
                </c:pt>
                <c:pt idx="3">
                  <c:v>1513805.546701242</c:v>
                </c:pt>
                <c:pt idx="4">
                  <c:v>1619495.8240363041</c:v>
                </c:pt>
                <c:pt idx="5">
                  <c:v>1730470.6152381194</c:v>
                </c:pt>
                <c:pt idx="6">
                  <c:v>1846994.1460000253</c:v>
                </c:pt>
                <c:pt idx="7">
                  <c:v>1969343.8533000266</c:v>
                </c:pt>
                <c:pt idx="8">
                  <c:v>2097811.045965028</c:v>
                </c:pt>
                <c:pt idx="9">
                  <c:v>2232701.5982632795</c:v>
                </c:pt>
                <c:pt idx="10">
                  <c:v>2374336.6781764436</c:v>
                </c:pt>
                <c:pt idx="11">
                  <c:v>2523053.5120852659</c:v>
                </c:pt>
                <c:pt idx="12">
                  <c:v>2679206.1876895293</c:v>
                </c:pt>
                <c:pt idx="13">
                  <c:v>2843166.4970740057</c:v>
                </c:pt>
                <c:pt idx="14">
                  <c:v>3015324.8219277062</c:v>
                </c:pt>
                <c:pt idx="15">
                  <c:v>3196091.0630240915</c:v>
                </c:pt>
                <c:pt idx="16">
                  <c:v>3385895.6161752963</c:v>
                </c:pt>
                <c:pt idx="17">
                  <c:v>3585190.3969840612</c:v>
                </c:pt>
                <c:pt idx="18">
                  <c:v>3794449.9168332643</c:v>
                </c:pt>
                <c:pt idx="19">
                  <c:v>3888253.4015359776</c:v>
                </c:pt>
                <c:pt idx="20">
                  <c:v>3984349.0851953533</c:v>
                </c:pt>
                <c:pt idx="21">
                  <c:v>4082791.6283772616</c:v>
                </c:pt>
                <c:pt idx="22">
                  <c:v>4183636.9259413192</c:v>
                </c:pt>
                <c:pt idx="23">
                  <c:v>4286942.1312872088</c:v>
                </c:pt>
                <c:pt idx="24">
                  <c:v>4392765.6808766145</c:v>
                </c:pt>
                <c:pt idx="25">
                  <c:v>4501167.319021116</c:v>
                </c:pt>
                <c:pt idx="26">
                  <c:v>4612208.1229253598</c:v>
                </c:pt>
                <c:pt idx="27">
                  <c:v>4725950.5279736454</c:v>
                </c:pt>
                <c:pt idx="28">
                  <c:v>4842458.3532468956</c:v>
                </c:pt>
                <c:pt idx="29">
                  <c:v>4961796.8272556728</c:v>
                </c:pt>
                <c:pt idx="30">
                  <c:v>5084032.6138735497</c:v>
                </c:pt>
                <c:pt idx="31">
                  <c:v>5209233.838453698</c:v>
                </c:pt>
                <c:pt idx="32">
                  <c:v>5337470.1141100153</c:v>
                </c:pt>
                <c:pt idx="33">
                  <c:v>5468812.5681424886</c:v>
                </c:pt>
                <c:pt idx="34">
                  <c:v>5603333.8685847605</c:v>
                </c:pt>
                <c:pt idx="35">
                  <c:v>5741108.2508500246</c:v>
                </c:pt>
                <c:pt idx="36">
                  <c:v>5882211.5444494523</c:v>
                </c:pt>
                <c:pt idx="37">
                  <c:v>6026721.1997552747</c:v>
                </c:pt>
                <c:pt idx="38">
                  <c:v>6174716.3147784723</c:v>
                </c:pt>
                <c:pt idx="39">
                  <c:v>6326277.6619287152</c:v>
                </c:pt>
                <c:pt idx="40">
                  <c:v>6481487.7147217533</c:v>
                </c:pt>
                <c:pt idx="41">
                  <c:v>6640430.6743968586</c:v>
                </c:pt>
                <c:pt idx="42">
                  <c:v>6803192.4964041943</c:v>
                </c:pt>
                <c:pt idx="43">
                  <c:v>6969860.9167190846</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1225984.7072249148</c:v>
                </c:pt>
                <c:pt idx="1">
                  <c:v>1354063.4838029081</c:v>
                </c:pt>
                <c:pt idx="2">
                  <c:v>1492388.5625071409</c:v>
                </c:pt>
                <c:pt idx="3">
                  <c:v>1641779.6475077122</c:v>
                </c:pt>
                <c:pt idx="4">
                  <c:v>1803122.0193083293</c:v>
                </c:pt>
                <c:pt idx="5">
                  <c:v>1977371.7808529958</c:v>
                </c:pt>
                <c:pt idx="6">
                  <c:v>2165561.5233212356</c:v>
                </c:pt>
                <c:pt idx="7">
                  <c:v>2368806.4451869344</c:v>
                </c:pt>
                <c:pt idx="8">
                  <c:v>2588310.9608018892</c:v>
                </c:pt>
                <c:pt idx="9">
                  <c:v>2825375.8376660403</c:v>
                </c:pt>
                <c:pt idx="10">
                  <c:v>3081405.9046793235</c:v>
                </c:pt>
                <c:pt idx="11">
                  <c:v>3357918.3770536697</c:v>
                </c:pt>
                <c:pt idx="12">
                  <c:v>3656551.8472179635</c:v>
                </c:pt>
                <c:pt idx="13">
                  <c:v>3979075.9949954008</c:v>
                </c:pt>
                <c:pt idx="14">
                  <c:v>4327402.0745950332</c:v>
                </c:pt>
                <c:pt idx="15">
                  <c:v>4703594.2405626364</c:v>
                </c:pt>
                <c:pt idx="16">
                  <c:v>5109881.7798076477</c:v>
                </c:pt>
                <c:pt idx="17">
                  <c:v>5548672.3221922601</c:v>
                </c:pt>
                <c:pt idx="18">
                  <c:v>6022566.1079676412</c:v>
                </c:pt>
                <c:pt idx="19">
                  <c:v>6408452.3854661034</c:v>
                </c:pt>
                <c:pt idx="20">
                  <c:v>6822811.5898859678</c:v>
                </c:pt>
                <c:pt idx="21">
                  <c:v>7267861.6059989864</c:v>
                </c:pt>
                <c:pt idx="22">
                  <c:v>7745996.2506240997</c:v>
                </c:pt>
                <c:pt idx="23">
                  <c:v>8259799.309722852</c:v>
                </c:pt>
                <c:pt idx="24">
                  <c:v>8812059.6975257266</c:v>
                </c:pt>
                <c:pt idx="25">
                  <c:v>9405787.8274284564</c:v>
                </c:pt>
                <c:pt idx="26">
                  <c:v>10044233.29157592</c:v>
                </c:pt>
                <c:pt idx="27">
                  <c:v>10730903.953804011</c:v>
                </c:pt>
                <c:pt idx="28">
                  <c:v>11469586.568982901</c:v>
                </c:pt>
                <c:pt idx="29">
                  <c:v>12264369.050847966</c:v>
                </c:pt>
                <c:pt idx="30">
                  <c:v>13119664.520170897</c:v>
                </c:pt>
                <c:pt idx="31">
                  <c:v>14040237.275671041</c:v>
                </c:pt>
                <c:pt idx="32">
                  <c:v>15031230.841458356</c:v>
                </c:pt>
                <c:pt idx="33">
                  <c:v>16098198.257102</c:v>
                </c:pt>
                <c:pt idx="34">
                  <c:v>17247134.789705306</c:v>
                </c:pt>
                <c:pt idx="35">
                  <c:v>18484513.261717759</c:v>
                </c:pt>
                <c:pt idx="36">
                  <c:v>19817322.203712109</c:v>
                </c:pt>
                <c:pt idx="37">
                  <c:v>21253107.05809243</c:v>
                </c:pt>
                <c:pt idx="38">
                  <c:v>22800014.67777526</c:v>
                </c:pt>
                <c:pt idx="39">
                  <c:v>24466841.383408602</c:v>
                </c:pt>
                <c:pt idx="40">
                  <c:v>26263084.863777895</c:v>
                </c:pt>
                <c:pt idx="41">
                  <c:v>28199000.226819146</c:v>
                </c:pt>
                <c:pt idx="42">
                  <c:v>30285660.533252176</c:v>
                </c:pt>
                <c:pt idx="43">
                  <c:v>32535022.171407033</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P21" totalsRowShown="0">
  <autoFilter ref="A1:P21" xr:uid="{00000000-0009-0000-0100-000003000000}"/>
  <tableColumns count="16">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name="FX to SGD"/>
    <tableColumn id="15" name="Flow SGD"/>
    <tableColumn id="16" name="Dividend SG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98"/>
  <sheetViews>
    <sheetView showGridLines="0" zoomScaleNormal="100" workbookViewId="0"/>
  </sheetViews>
  <sheetFormatPr baseColWidth="10" defaultColWidth="8.6640625" defaultRowHeight="13" x14ac:dyDescent="0.15"/>
  <cols>
    <col min="1" max="1" width="3" customWidth="1"/>
    <col min="2" max="2" width="100" customWidth="1"/>
  </cols>
  <sheetData>
    <row r="1" spans="2:2" ht="27.75" customHeight="1" x14ac:dyDescent="0.15">
      <c r="B1" s="4" t="s">
        <v>0</v>
      </c>
    </row>
    <row r="2" spans="2:2" ht="12.75" customHeight="1" x14ac:dyDescent="0.15">
      <c r="B2" s="5" t="s">
        <v>1</v>
      </c>
    </row>
    <row r="3" spans="2:2" ht="13.5" customHeight="1" x14ac:dyDescent="0.15">
      <c r="B3" s="6"/>
    </row>
    <row r="4" spans="2:2" ht="16.5" customHeight="1" x14ac:dyDescent="0.15">
      <c r="B4" s="7" t="s">
        <v>2</v>
      </c>
    </row>
    <row r="5" spans="2:2" ht="25.5" customHeight="1" x14ac:dyDescent="0.15">
      <c r="B5" s="8" t="s">
        <v>3</v>
      </c>
    </row>
    <row r="6" spans="2:2" ht="25.5" customHeight="1" x14ac:dyDescent="0.15">
      <c r="B6" s="9"/>
    </row>
    <row r="7" spans="2:2" ht="12.75" customHeight="1" x14ac:dyDescent="0.15">
      <c r="B7" s="10" t="s">
        <v>4</v>
      </c>
    </row>
    <row r="8" spans="2:2" ht="12.75" customHeight="1" x14ac:dyDescent="0.15">
      <c r="B8" s="8" t="s">
        <v>5</v>
      </c>
    </row>
    <row r="9" spans="2:2" ht="12.75" customHeight="1" x14ac:dyDescent="0.15">
      <c r="B9" s="8" t="s">
        <v>6</v>
      </c>
    </row>
    <row r="10" spans="2:2" ht="12.75" customHeight="1" x14ac:dyDescent="0.15">
      <c r="B10" s="8" t="s">
        <v>7</v>
      </c>
    </row>
    <row r="11" spans="2:2" ht="12.75" customHeight="1" x14ac:dyDescent="0.15">
      <c r="B11" s="8" t="s">
        <v>8</v>
      </c>
    </row>
    <row r="12" spans="2:2" ht="13.5" customHeight="1" x14ac:dyDescent="0.15">
      <c r="B12" s="11" t="s">
        <v>9</v>
      </c>
    </row>
    <row r="13" spans="2:2" ht="16.5" customHeight="1" x14ac:dyDescent="0.15">
      <c r="B13" s="12" t="s">
        <v>10</v>
      </c>
    </row>
    <row r="14" spans="2:2" ht="12.75" customHeight="1" x14ac:dyDescent="0.15">
      <c r="B14" s="13" t="s">
        <v>11</v>
      </c>
    </row>
    <row r="15" spans="2:2" ht="12.75" customHeight="1" x14ac:dyDescent="0.15">
      <c r="B15" s="8" t="s">
        <v>12</v>
      </c>
    </row>
    <row r="16" spans="2:2" ht="13.5" customHeight="1" x14ac:dyDescent="0.15">
      <c r="B16" s="14" t="s">
        <v>13</v>
      </c>
    </row>
    <row r="17" spans="2:2" ht="16.5" customHeight="1" x14ac:dyDescent="0.15">
      <c r="B17" s="8" t="s">
        <v>14</v>
      </c>
    </row>
    <row r="18" spans="2:2" ht="12.75" customHeight="1" x14ac:dyDescent="0.15">
      <c r="B18" s="8" t="s">
        <v>541</v>
      </c>
    </row>
    <row r="19" spans="2:2" ht="12.75" customHeight="1" x14ac:dyDescent="0.15">
      <c r="B19" s="15" t="s">
        <v>15</v>
      </c>
    </row>
    <row r="20" spans="2:2" ht="12.75" customHeight="1" x14ac:dyDescent="0.15">
      <c r="B20" s="9"/>
    </row>
    <row r="21" spans="2:2" ht="12.75" customHeight="1" x14ac:dyDescent="0.15">
      <c r="B21" s="16" t="s">
        <v>16</v>
      </c>
    </row>
    <row r="22" spans="2:2" ht="12.75" customHeight="1" x14ac:dyDescent="0.15">
      <c r="B22" s="8" t="inlineStr">
        <is>
          <t xml:space="preserve">8.  Transactions — every buy (1), sell (-1), fee (0) and dividend (2). Type in the first blank row below the table, or paste a batch — but IMPORTANT: paste only into columns A–I. Columns J–P are helper formulas (Key, Signed Units, Buy Cost, Sell Proceeds, FX, Flow, Dividend) that the Dashboard, Shares and Prices all read; pasting over them blanks them and hides those transactions. Cell R1 shows a red WARNING if that ever happens. This single ledger drives everything.</t>
        </is>
      </c>
    </row>
    <row r="23" spans="2:2" ht="13.5" customHeight="1" x14ac:dyDescent="0.15">
      <c r="B23" s="14" t="inlineStr">
        <is>
          <t xml:space="preserve">9.  Prices — your manual price list. Keep Current Price, FX and Notes/Category up to date for every ticker you hold. Bought or sold something? The green/red TICKER SYNC panel on the right tells you exactly what to add or remove — see 'PRICES SHEET — HOW IT WORKS' near the bottom.</t>
        </is>
      </c>
    </row>
    <row r="24" spans="2:2" ht="12.75" customHeight="1" x14ac:dyDescent="0.15">
      <c r="B24" s="9" t="s">
        <v>19</v>
      </c>
    </row>
    <row r="25" spans="2:2" ht="13.5" customHeight="1" x14ac:dyDescent="0.15">
      <c r="B25" s="17" t="s">
        <v>20</v>
      </c>
    </row>
    <row r="26" spans="2:2" ht="15" customHeight="1" x14ac:dyDescent="0.15">
      <c r="B26" s="9"/>
    </row>
    <row r="27" spans="2:2" ht="45" customHeight="1" x14ac:dyDescent="0.15">
      <c r="B27" s="18" t="s">
        <v>21</v>
      </c>
    </row>
    <row r="28" spans="2:2" ht="30" customHeight="1" x14ac:dyDescent="0.15">
      <c r="B28" s="9"/>
    </row>
    <row r="29" spans="2:2" ht="30" customHeight="1" x14ac:dyDescent="0.15">
      <c r="B29" s="7" t="s">
        <v>22</v>
      </c>
    </row>
    <row r="30" spans="2:2" ht="15" customHeight="1" x14ac:dyDescent="0.15">
      <c r="B30" s="19" t="s">
        <v>23</v>
      </c>
    </row>
    <row r="31" spans="2:2" ht="30" customHeight="1" x14ac:dyDescent="0.15">
      <c r="B31" s="9" t="s">
        <v>24</v>
      </c>
    </row>
    <row r="32" spans="2:2" ht="30" customHeight="1" x14ac:dyDescent="0.15">
      <c r="B32" s="9"/>
    </row>
    <row r="33" spans="2:2" ht="30" customHeight="1" x14ac:dyDescent="0.15">
      <c r="B33" s="7" t="s">
        <v>25</v>
      </c>
    </row>
    <row r="34" spans="2:2" ht="30" customHeight="1" x14ac:dyDescent="0.15">
      <c r="B34" s="9" t="s">
        <v>26</v>
      </c>
    </row>
    <row r="35" spans="2:2" ht="13.5" customHeight="1" x14ac:dyDescent="0.15">
      <c r="B35" s="6"/>
    </row>
    <row r="36" spans="2:2" ht="15" customHeight="1" x14ac:dyDescent="0.15">
      <c r="B36" s="7" t="s">
        <v>27</v>
      </c>
    </row>
    <row r="37" spans="2:2" ht="30" customHeight="1" x14ac:dyDescent="0.15">
      <c r="B37" s="8" t="s">
        <v>28</v>
      </c>
    </row>
    <row r="38" spans="2:2" ht="30" customHeight="1" x14ac:dyDescent="0.15">
      <c r="B38" s="8" t="s">
        <v>29</v>
      </c>
    </row>
    <row r="39" spans="2:2" ht="30" customHeight="1" x14ac:dyDescent="0.15">
      <c r="B39" s="8" t="s">
        <v>30</v>
      </c>
    </row>
    <row r="40" spans="2:2" ht="30" customHeight="1" x14ac:dyDescent="0.15">
      <c r="B40" s="8" t="s">
        <v>31</v>
      </c>
    </row>
    <row r="41" spans="2:2" ht="30" customHeight="1" x14ac:dyDescent="0.15">
      <c r="B41" s="9"/>
    </row>
    <row r="42" spans="2:2" ht="30" customHeight="1" x14ac:dyDescent="0.15">
      <c r="B42" s="7" t="s">
        <v>32</v>
      </c>
    </row>
    <row r="43" spans="2:2" ht="30" customHeight="1" x14ac:dyDescent="0.15">
      <c r="B43" s="8" t="s">
        <v>33</v>
      </c>
    </row>
    <row r="44" spans="2:2" ht="15" customHeight="1" x14ac:dyDescent="0.15">
      <c r="B44" s="8" t="s">
        <v>34</v>
      </c>
    </row>
    <row r="45" spans="2:2" ht="30" customHeight="1" x14ac:dyDescent="0.15">
      <c r="B45" s="8" t="s">
        <v>35</v>
      </c>
    </row>
    <row r="46" spans="2:2" ht="15" customHeight="1" x14ac:dyDescent="0.15">
      <c r="B46" s="8" t="s">
        <v>36</v>
      </c>
    </row>
    <row r="47" spans="2:2" ht="13.5" customHeight="1" x14ac:dyDescent="0.15">
      <c r="B47" s="6" t="s">
        <v>37</v>
      </c>
    </row>
    <row r="48" spans="2:2" ht="12.75" customHeight="1" x14ac:dyDescent="0.15">
      <c r="B48" s="6"/>
    </row>
    <row r="49" spans="2:2" ht="30" customHeight="1" x14ac:dyDescent="0.15">
      <c r="B49" s="7" t="inlineStr">
        <is>
          <t xml:space="preserve">CAPACITY &amp; LIMITS  (how big this workbook can grow)</t>
        </is>
      </c>
    </row>
    <row r="50" spans="2:2" ht="12.75" customHeight="1" x14ac:dyDescent="0.15">
      <c r="B50" s="6" t="inlineStr">
        <is>
          <t xml:space="preserve">•  Excel's grid stops at 1,048,576 rows — you will never reach it. Your real limits are far below that, and every one of them is visible.</t>
        </is>
      </c>
    </row>
    <row r="51" spans="2:2" ht="12.75" customHeight="1" x14ac:dyDescent="0.15">
      <c r="B51" s="6" t="inlineStr">
        <is>
          <t xml:space="preserve">•  Transactions — the XIRR engine covers 10,000 trades. The banner in cell R1 of the Transactions tab shows a live count (e.g. ‘20 of 10,000’) and warns you if it is ever exceeded. At a few hundred trades a year, that is decades of history.</t>
        </is>
      </c>
    </row>
    <row r="52" spans="2:2" ht="12.75" customHeight="1" x14ac:dyDescent="0.15">
      <c r="B52" s="6" t="inlineStr">
        <is>
          <t xml:space="preserve">•  Dividends, net-invested, holdings and P&amp;L read the Transactions table directly, so they have no limit below the grid — they grow automatically as you add rows.</t>
        </is>
      </c>
    </row>
    <row r="53" spans="2:2" ht="12.75" customHeight="1" x14ac:dyDescent="0.15">
      <c r="B53" s="6" t="inlineStr">
        <is>
          <t xml:space="preserve">•  Prices TICKER SYNC panel — tracks about 500 holdings (rows 2–501). To go beyond, select the last panel row across columns J–Q and drag it down.</t>
        </is>
      </c>
    </row>
    <row r="54" spans="2:2" ht="12.75" customHeight="1" x14ac:dyDescent="0.15">
      <c r="B54" s="6" t="inlineStr">
        <is>
          <t xml:space="preserve">•  The one rule: after a big paste or import, glance at R1 before trusting the totals. A visible cap is safe; the only danger is a formula that stops without telling you.</t>
        </is>
      </c>
    </row>
    <row r="55" spans="2:2" ht="12.75" customHeight="1" x14ac:dyDescent="0.15">
      <c r="B55" s="6"/>
    </row>
    <row r="56" spans="2:2" ht="45" customHeight="1" x14ac:dyDescent="0.15">
      <c r="B56" s="7" t="s">
        <v>38</v>
      </c>
    </row>
    <row r="57" spans="2:2" ht="13.5" customHeight="1" x14ac:dyDescent="0.15">
      <c r="B57" s="14" t="s">
        <v>39</v>
      </c>
    </row>
    <row r="58" spans="2:2" ht="13.5" customHeight="1" x14ac:dyDescent="0.15">
      <c r="B58" s="6"/>
    </row>
    <row r="59" spans="2:2" ht="12.75" customHeight="1" x14ac:dyDescent="0.2">
      <c r="B59" s="20" t="s">
        <v>40</v>
      </c>
    </row>
    <row r="60" spans="2:2" ht="12.75" customHeight="1" x14ac:dyDescent="0.15">
      <c r="B60" s="6" t="inlineStr">
        <is>
          <t xml:space="preserve">Pre-1.0 development (internal builds v8–v13) — the retirement projection engine, dividends and portfolio XIRR, monthly snapshots, presentation polish, a cold-usability review, and a clean 20-row sample ledger.</t>
        </is>
      </c>
    </row>
    <row r="61" spans="2:2" ht="12.75" customHeight="1" x14ac:dyDescent="0.15">
      <c r="B61" s="6" t="inlineStr">
        <is>
          <t xml:space="preserve">v1.0 — first public release: this Start Here guide and journey-based tab colours (green → blue → purple, grey = engine).</t>
        </is>
      </c>
    </row>
    <row r="62" spans="2:2" ht="12.75" customHeight="1" x14ac:dyDescent="0.15">
      <c r="B62" s="6" t="inlineStr">
        <is>
          <t xml:space="preserve">v1.1 — Savings Goal Calculator: a goal-based compound-growth planner (final amount, required return, years, or amount to set aside), wired to your Settings growth rate.</t>
        </is>
      </c>
    </row>
    <row r="63" spans="2:2" ht="12.75" customHeight="1" x14ac:dyDescent="0.15">
      <c r="B63" s="6" t="inlineStr">
        <is>
          <t xml:space="preserve">v1.2 — release automation and CI guardrails (secret scan, workbook and README validation, tagged release workflow). No workbook changes.</t>
        </is>
      </c>
    </row>
    <row r="64" spans="2:2" ht="12.75" customHeight="1" x14ac:dyDescent="0.15">
      <c r="B64" s="6" t="inlineStr">
        <is>
          <t xml:space="preserve">v1.3 — Prices TICKER SYNC panel: a live checklist flagging tickers to add or remove; every user-filled column shaded faint yellow; stale sample tickers removed.</t>
        </is>
      </c>
    </row>
    <row r="65" spans="2:2" ht="12.75" customHeight="1" x14ac:dyDescent="0.15">
      <c r="B65" s="6" t="inlineStr">
        <is>
          <t xml:space="preserve">v1.4 — Transactions helper columns (Key, Signed Units, Buy Cost, Sell Proceeds) pre-filled to row 1000, so pasting a batch of rows no longer leaves them blank.</t>
        </is>
      </c>
    </row>
    <row r="66" spans="2:2" ht="12.75" customHeight="1" x14ac:dyDescent="0.15">
      <c r="B66" s="6" t="inlineStr">
        <is>
          <t xml:space="preserve">v1.5 — Portfolio Analysis rebuilt with position-independent INDEX formulas, so inserting rows in Transactions no longer drops them from the XIRR.</t>
        </is>
      </c>
    </row>
    <row r="67" spans="2:2" ht="12.75" customHeight="1" x14ac:dyDescent="0.15">
      <c r="B67" s="6" t="inlineStr">
        <is>
          <t xml:space="preserve">v1.6 — cash-flow engine moved into the Transactions table (no row cap); FX now taken from each transaction's own currency, fixing a conversion lost when a sold-out ticker was removed from Prices.</t>
        </is>
      </c>
    </row>
    <row r="68" spans="2:2" ht="12.75" customHeight="1" x14ac:dyDescent="0.15">
      <c r="B68" s="6" t="inlineStr">
        <is>
          <t xml:space="preserve">v1.7 — added the CAPACITY &amp; LIMITS section documenting the 10,000-trade XIRR ceiling, the R1 capacity banner, and the ~500-holding Prices panel.</t>
        </is>
      </c>
    </row>
    <row r="69" spans="2:2" ht="12.75" customHeight="1" x14ac:dyDescent="0.15">
      <c r="B69" s="6" t="inlineStr">
        <is>
          <t xml:space="preserve">v1.8 — version history in this guide realigned to the public release numbers (v1.x) shown on GitHub, and the previously-missing v1.2 entry restored.</t>
        </is>
      </c>
    </row>
    <row r="70" spans="2:2" ht="12.75" customHeight="1" x14ac:dyDescent="0.15">
      <c r="B70" s="6" t="inlineStr">
        <is>
          <t xml:space="preserve">v1.9 — Transactions now self-checks: cell R1 shows a red warning if any row's helper columns (J–P) are blank while the transaction itself is filled in — the silent failure behind earlier paste problems. Guidance added to paste only into columns A–I.</t>
        </is>
      </c>
    </row>
    <row r="71" spans="2:2" ht="12.75" customHeight="1" x14ac:dyDescent="0.2">
      <c r="B71" s="20" t="s">
        <v>47</v>
      </c>
    </row>
    <row r="72" spans="2:2" ht="12.75" customHeight="1" x14ac:dyDescent="0.15">
      <c r="B72" s="6" t="s">
        <v>48</v>
      </c>
    </row>
    <row r="73" spans="2:2" ht="13.5" customHeight="1" x14ac:dyDescent="0.15">
      <c r="B73" s="6" t="s">
        <v>49</v>
      </c>
    </row>
    <row r="74" spans="2:2" ht="12.75" customHeight="1" x14ac:dyDescent="0.15">
      <c r="B74" s="6" t="s">
        <v>50</v>
      </c>
    </row>
    <row r="75" spans="2:2" ht="12.75" customHeight="1" x14ac:dyDescent="0.15">
      <c r="B75" s="6" t="s">
        <v>51</v>
      </c>
    </row>
    <row r="76" spans="2:2" ht="12.75" customHeight="1" x14ac:dyDescent="0.15">
      <c r="B76" s="6"/>
    </row>
    <row r="77" spans="2:2" ht="16.5" customHeight="1" x14ac:dyDescent="0.15">
      <c r="B77" s="7" t="inlineStr">
        <is>
          <t xml:space="preserve">PRICES SHEET — HOW IT WORKS (updated in v1.3)</t>
        </is>
      </c>
    </row>
    <row r="78" spans="2:2" ht="12.75" customHeight="1" x14ac:dyDescent="0.15">
      <c r="B78" s="6" t="inlineStr">
        <is>
          <t xml:space="preserve">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is>
      </c>
    </row>
    <row r="79" spans="2:2" ht="13.5" customHeight="1" x14ac:dyDescent="0.15">
      <c r="B79" s="6" t="inlineStr">
        <is>
          <t xml:space="preserve">The TICKER SYNC panel (columns J–Q) reads your live holdings and flags what to change. It never edits your price rows — it only tells you what to do:</t>
        </is>
      </c>
    </row>
    <row r="80" spans="2:2" ht="12.75" customHeight="1" x14ac:dyDescent="0.15">
      <c r="B80" s="6" t="inlineStr">
        <is>
          <t xml:space="preserve">•  'Held now -&gt; in Prices?' lists every ticker you currently hold. Green 'OK - in Prices' means it is already on the price list. Red 'ADD TO PRICES' means you have bought something the price list is missing.</t>
        </is>
      </c>
    </row>
    <row r="81" spans="2:2" ht="12.75" customHeight="1" x14ac:dyDescent="0.15">
      <c r="B81" s="6" t="inlineStr">
        <is>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is>
      </c>
    </row>
    <row r="82" spans="2:2" ht="13.5" customHeight="1" x14ac:dyDescent="0.15">
      <c r="B82" s="6" t="inlineStr">
        <is>
          <t xml:space="preserve">    Then type the Current Price (E) and your Notes (G) and Category (H). FX to SGD (F) is the only calculated column — it fills itself in when the row joins the table; if it ever comes up blank, copy cell F from the row above.</t>
        </is>
      </c>
    </row>
    <row r="83" spans="2:2" ht="13.5" customHeight="1" x14ac:dyDescent="0.15">
      <c r="B83" s="6" t="inlineStr">
        <is>
          <t xml:space="preserve">•  'Prices rows -&gt; still held?' checks each price row. Green 'held' means keep it. Red 'NOT HELD - review' means you have fully sold it — delete that whole row. Its realised P&amp;L and dividends stay in All Ticker P&amp;L.</t>
        </is>
      </c>
    </row>
    <row r="84" spans="2:2" ht="13.5" customHeight="1" x14ac:dyDescent="0.15">
      <c r="B84" s="6" t="inlineStr">
        <is>
          <t xml:space="preserve">•  The counters at the top — Missing and Stale — should both read 0 when your price list matches your holdings exactly.</t>
        </is>
      </c>
    </row>
    <row r="85" spans="2:2" ht="13.5" customHeight="1" x14ac:dyDescent="0.15">
      <c r="B85" s="6" t="inlineStr">
        <is>
          <t xml:space="preserve">Why a checklist and not fully automatic: the held-ticker list is derived live, but rows are not auto-inserted — that would reshuffle the list and pull your hand-typed prices out of line. The panel simply points you to the one row to add or remove.</t>
        </is>
      </c>
    </row>
    <row r="86" spans="2:2" ht="13.5" customHeight="1" x14ac:dyDescent="0.15">
      <c r="B86" s="6" t="inlineStr">
        <is>
          <t xml:space="preserve">•  Capacity: the panel formulas already run to row 501, so it tracks up to roughly 500 holdings. You should never need to drag them down. If you ever do exceed that, select the last panel row across columns J to Q and fill it further down.</t>
        </is>
      </c>
    </row>
    <row r="87" spans="2:2" ht="12.75" customHeight="1" x14ac:dyDescent="0.15">
      <c r="B87" s="6"/>
    </row>
    <row r="88" spans="2:2" ht="12.75" customHeight="1" x14ac:dyDescent="0.15">
      <c r="B88" s="6"/>
    </row>
    <row r="89" spans="2:2" ht="12.75" customHeight="1" x14ac:dyDescent="0.15">
      <c r="B89" s="6"/>
    </row>
    <row r="90" spans="2:2" ht="12.75" customHeight="1" x14ac:dyDescent="0.15">
      <c r="B90" s="6"/>
    </row>
    <row r="91" spans="2:2" ht="12.75" customHeight="1" x14ac:dyDescent="0.15">
      <c r="B91" s="6"/>
    </row>
    <row r="92" spans="2:2" ht="12.75" customHeight="1" x14ac:dyDescent="0.15">
      <c r="B92" s="6"/>
    </row>
    <row r="93" spans="2:2" ht="12.75" customHeight="1" x14ac:dyDescent="0.15">
      <c r="B93" s="6"/>
    </row>
    <row r="94" spans="2:2" ht="12.75" customHeight="1" x14ac:dyDescent="0.15">
      <c r="B94" s="6"/>
    </row>
    <row r="95" spans="2:2" ht="12.75" customHeight="1" x14ac:dyDescent="0.15">
      <c r="B95" s="6"/>
    </row>
    <row r="96" spans="2:2" ht="12.75" customHeight="1" x14ac:dyDescent="0.15">
      <c r="B96" s="6"/>
    </row>
    <row r="97" spans="2:2" ht="12.75" customHeight="1" x14ac:dyDescent="0.15">
      <c r="B97" s="6"/>
    </row>
    <row r="98" spans="2:2" ht="12.75" customHeight="1" x14ac:dyDescent="0.15">
      <c r="B98" s="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21" t="s">
        <v>52</v>
      </c>
    </row>
    <row r="2" spans="1:5" ht="12.75" customHeight="1" x14ac:dyDescent="0.15">
      <c r="A2" s="22" t="s">
        <v>53</v>
      </c>
    </row>
    <row r="4" spans="1:5" ht="15" customHeight="1" x14ac:dyDescent="0.15">
      <c r="A4" s="23" t="s">
        <v>54</v>
      </c>
      <c r="B4" s="24"/>
      <c r="D4" s="23" t="s">
        <v>55</v>
      </c>
      <c r="E4" s="24"/>
    </row>
    <row r="5" spans="1:5" ht="23.25" customHeight="1" x14ac:dyDescent="0.25">
      <c r="A5" s="25" t="s">
        <v>56</v>
      </c>
      <c r="B5" s="26">
        <f ca="1">'Balance Sheet'!E68</f>
        <v>1225984.7072249148</v>
      </c>
      <c r="D5" s="27" t="s">
        <v>57</v>
      </c>
      <c r="E5" s="27" t="s">
        <v>58</v>
      </c>
    </row>
    <row r="6" spans="1:5" ht="15.75" customHeight="1" x14ac:dyDescent="0.2">
      <c r="A6" s="28" t="s">
        <v>59</v>
      </c>
      <c r="B6" s="29">
        <f>'Balance Sheet'!B68</f>
        <v>952364.44309718919</v>
      </c>
      <c r="D6" t="str">
        <f>'Balance Sheet'!J32</f>
        <v>Cash</v>
      </c>
      <c r="E6" s="30">
        <f>'Balance Sheet'!K32</f>
        <v>137500</v>
      </c>
    </row>
    <row r="7" spans="1:5" ht="15.75" customHeight="1" x14ac:dyDescent="0.2">
      <c r="A7" s="28" t="s">
        <v>60</v>
      </c>
      <c r="B7" s="29">
        <f>'Balance Sheet'!B67</f>
        <v>1822364.4430971893</v>
      </c>
      <c r="D7" t="str">
        <f>'Balance Sheet'!J33</f>
        <v>Investments (Cap Protected 2-3%)</v>
      </c>
      <c r="E7" s="30">
        <f>'Balance Sheet'!K33</f>
        <v>317000</v>
      </c>
    </row>
    <row r="8" spans="1:5" ht="15.75" customHeight="1" x14ac:dyDescent="0.2">
      <c r="A8" s="28" t="s">
        <v>61</v>
      </c>
      <c r="B8" s="29">
        <f ca="1">'Balance Sheet'!E67</f>
        <v>596379.73587227438</v>
      </c>
      <c r="D8" t="str">
        <f>'Balance Sheet'!J34</f>
        <v>Crypto</v>
      </c>
      <c r="E8" s="30">
        <f>'Balance Sheet'!K34</f>
        <v>13252.53196468052</v>
      </c>
    </row>
    <row r="9" spans="1:5" ht="15.75" customHeight="1" x14ac:dyDescent="0.2">
      <c r="A9" s="28" t="s">
        <v>62</v>
      </c>
      <c r="B9" s="29">
        <f>'Balance Sheet'!B18</f>
        <v>137500</v>
      </c>
      <c r="D9" t="str">
        <f>'Balance Sheet'!J35</f>
        <v>Small Cap</v>
      </c>
      <c r="E9" s="30">
        <f>'Balance Sheet'!K35</f>
        <v>8149.9999999999991</v>
      </c>
    </row>
    <row r="10" spans="1:5" ht="15.75" customHeight="1" x14ac:dyDescent="0.2">
      <c r="A10" s="28" t="s">
        <v>63</v>
      </c>
      <c r="B10" s="31">
        <f ca="1">IFERROR('Balance Sheet'!B18/'Balance Sheet'!E68,"")</f>
        <v>0.11215474319515695</v>
      </c>
      <c r="D10" t="str">
        <f>'Balance Sheet'!J36</f>
        <v>US/HK Growth</v>
      </c>
      <c r="E10" s="30">
        <f>'Balance Sheet'!K36</f>
        <v>39594.911132508634</v>
      </c>
    </row>
    <row r="11" spans="1:5" ht="12.75" customHeight="1" x14ac:dyDescent="0.15">
      <c r="D11" t="str">
        <f>'Balance Sheet'!J37</f>
        <v>Reit/Dividend</v>
      </c>
      <c r="E11" s="30">
        <f>'Balance Sheet'!K37</f>
        <v>38740</v>
      </c>
    </row>
    <row r="12" spans="1:5" ht="15" customHeight="1" x14ac:dyDescent="0.15">
      <c r="A12" s="23" t="s">
        <v>64</v>
      </c>
      <c r="B12" s="24"/>
      <c r="D12" t="str">
        <f>'Balance Sheet'!J38</f>
        <v>Bonds</v>
      </c>
      <c r="E12" s="30">
        <f>'Balance Sheet'!K38</f>
        <v>40000</v>
      </c>
    </row>
    <row r="13" spans="1:5" ht="15.75" customHeight="1" x14ac:dyDescent="0.2">
      <c r="A13" s="28" t="s">
        <v>65</v>
      </c>
      <c r="B13" s="32">
        <f>Settings!B7</f>
        <v>60</v>
      </c>
      <c r="D13" t="str">
        <f>'Balance Sheet'!J39</f>
        <v>Gold/Silver</v>
      </c>
      <c r="E13" s="30">
        <f>'Balance Sheet'!K39</f>
        <v>78127</v>
      </c>
    </row>
    <row r="14" spans="1:5" ht="15.75" customHeight="1" x14ac:dyDescent="0.2">
      <c r="A14" s="28" t="s">
        <v>66</v>
      </c>
      <c r="B14" s="29">
        <f ca="1">INDEX('Retirement Plan'!I15:I58,MATCH(Settings!B7,'Retirement Plan'!A15:A58,0))</f>
        <v>3794449.9168332643</v>
      </c>
      <c r="D14" t="str">
        <f>'Balance Sheet'!J40</f>
        <v>Commodities</v>
      </c>
      <c r="E14" s="30">
        <f>'Balance Sheet'!K40</f>
        <v>0</v>
      </c>
    </row>
    <row r="15" spans="1:5" ht="15.75" customHeight="1" x14ac:dyDescent="0.2">
      <c r="A15" s="28" t="s">
        <v>67</v>
      </c>
      <c r="B15" s="29">
        <f ca="1">INDEX('Retirement Plan'!K15:K58,MATCH(Settings!B7,'Retirement Plan'!A15:A58,0))</f>
        <v>101429.04133359881</v>
      </c>
      <c r="D15" t="str">
        <f>'Balance Sheet'!J41</f>
        <v>CPF OA (2.5%)</v>
      </c>
      <c r="E15" s="30">
        <f>'Balance Sheet'!K41</f>
        <v>95000</v>
      </c>
    </row>
    <row r="16" spans="1:5" ht="15.75" customHeight="1" x14ac:dyDescent="0.2">
      <c r="A16" s="28" t="s">
        <v>68</v>
      </c>
      <c r="B16" s="29">
        <f>Settings!B18</f>
        <v>60000</v>
      </c>
      <c r="D16" t="str">
        <f>'Balance Sheet'!J42</f>
        <v>CPF SA Medisave</v>
      </c>
      <c r="E16" s="30">
        <f>'Balance Sheet'!K42</f>
        <v>180000</v>
      </c>
    </row>
    <row r="17" spans="1:5" ht="12.75" customHeight="1" x14ac:dyDescent="0.15">
      <c r="D17" t="str">
        <f>'Balance Sheet'!J43</f>
        <v>Real Properties</v>
      </c>
      <c r="E17" s="30">
        <f ca="1">'Balance Sheet'!K43</f>
        <v>244570.26412772574</v>
      </c>
    </row>
    <row r="18" spans="1:5" ht="13.5" customHeight="1" x14ac:dyDescent="0.15">
      <c r="A18" s="33" t="s">
        <v>69</v>
      </c>
      <c r="D18" t="str">
        <f>'Balance Sheet'!J44</f>
        <v>Personal Loan to Friend</v>
      </c>
      <c r="E18" s="30">
        <f>'Balance Sheet'!K44</f>
        <v>5000</v>
      </c>
    </row>
    <row r="19" spans="1:5" ht="12.75" customHeight="1" x14ac:dyDescent="0.15">
      <c r="A19" s="34" t="s">
        <v>70</v>
      </c>
      <c r="B19" s="30">
        <f>Insurance!B8</f>
        <v>710000</v>
      </c>
    </row>
    <row r="20" spans="1:5" ht="12.75" customHeight="1" x14ac:dyDescent="0.15">
      <c r="A20" s="34" t="s">
        <v>71</v>
      </c>
      <c r="B20" s="30">
        <f>Insurance!B10</f>
        <v>410000</v>
      </c>
    </row>
    <row r="21" spans="1:5" ht="12.75" customHeight="1" x14ac:dyDescent="0.15">
      <c r="A21" s="34" t="s">
        <v>72</v>
      </c>
      <c r="B21" s="35">
        <f>Insurance!B7</f>
        <v>5048.8799999999992</v>
      </c>
    </row>
    <row r="22" spans="1:5" ht="12.75" customHeight="1" x14ac:dyDescent="0.15">
      <c r="A22" s="34" t="s">
        <v>73</v>
      </c>
      <c r="B22" s="30">
        <f>Insurance!B5</f>
        <v>135000</v>
      </c>
    </row>
    <row r="24" spans="1:5" ht="13.5" customHeight="1" x14ac:dyDescent="0.15">
      <c r="A24" s="33" t="s">
        <v>74</v>
      </c>
    </row>
    <row r="25" spans="1:5" ht="12.75" customHeight="1" x14ac:dyDescent="0.15">
      <c r="A25" s="34" t="s">
        <v>75</v>
      </c>
      <c r="B25" s="30">
        <f>Housing!B20</f>
        <v>825000.00000000012</v>
      </c>
    </row>
    <row r="26" spans="1:5" ht="12.75" customHeight="1" x14ac:dyDescent="0.15">
      <c r="A26" s="34" t="s">
        <v>76</v>
      </c>
      <c r="B26" s="30">
        <f ca="1">Housing!B21</f>
        <v>580429.73587227438</v>
      </c>
    </row>
    <row r="27" spans="1:5" ht="12.75" customHeight="1" x14ac:dyDescent="0.15">
      <c r="A27" s="34" t="s">
        <v>77</v>
      </c>
      <c r="B27" s="30">
        <f ca="1">Housing!B22</f>
        <v>244570.26412772574</v>
      </c>
    </row>
    <row r="29" spans="1:5" ht="13.5" customHeight="1" x14ac:dyDescent="0.15">
      <c r="A29" s="36" t="s">
        <v>78</v>
      </c>
    </row>
    <row r="30" spans="1:5" ht="12.75" customHeight="1" x14ac:dyDescent="0.2">
      <c r="A30" t="s">
        <v>79</v>
      </c>
      <c r="B30" s="37">
        <f>IFERROR('Balance Sheet'!B18/Settings!B31,"")</f>
        <v>27.5</v>
      </c>
      <c r="C30" s="38" t="s">
        <v>80</v>
      </c>
    </row>
    <row r="31" spans="1:5" ht="12.75" customHeight="1" x14ac:dyDescent="0.2">
      <c r="A31" t="s">
        <v>81</v>
      </c>
      <c r="B31" s="39">
        <f>'Stock Dashboard'!B12</f>
        <v>0.43925024383490546</v>
      </c>
      <c r="C31" s="38" t="s">
        <v>82</v>
      </c>
    </row>
    <row r="32" spans="1:5" ht="12.75" customHeight="1" x14ac:dyDescent="0.2">
      <c r="A32" t="s">
        <v>83</v>
      </c>
      <c r="B32" s="40">
        <f>IFERROR(Settings!B18/Settings!B32,"")</f>
        <v>1500000</v>
      </c>
    </row>
    <row r="33" spans="1:3" ht="12.75" customHeight="1" x14ac:dyDescent="0.2">
      <c r="A33" t="s">
        <v>84</v>
      </c>
      <c r="B33" s="41">
        <f ca="1">IFERROR(B14/B32,"")</f>
        <v>2.5296332778888431</v>
      </c>
      <c r="C33" s="38" t="s">
        <v>85</v>
      </c>
    </row>
    <row r="34" spans="1:3" ht="12.75" customHeight="1" x14ac:dyDescent="0.2">
      <c r="A34" t="s">
        <v>86</v>
      </c>
      <c r="B34" s="39">
        <f ca="1">'Cash Flow'!$B$7</f>
        <v>0.375</v>
      </c>
    </row>
    <row r="35" spans="1:3" ht="12.75" customHeight="1" x14ac:dyDescent="0.2">
      <c r="A35" t="s">
        <v>87</v>
      </c>
      <c r="B35" s="40">
        <f ca="1">'Cash Flow'!$B$8</f>
        <v>36000</v>
      </c>
      <c r="C35" s="38" t="str">
        <f>"plan: "&amp;TEXT(Settings!$B$8,"$#,##0")</f>
        <v>plan: $30,000</v>
      </c>
    </row>
  </sheetData>
  <sheetProtection sheet="1" formatColumns="0" formatRows="0"/>
  <conditionalFormatting sqref="B30">
    <cfRule type="cellIs" dxfId="14" priority="2" operator="greaterThanOrEqual">
      <formula>6</formula>
    </cfRule>
    <cfRule type="cellIs" dxfId="13" priority="3" operator="greaterThanOrEqual">
      <formula>3</formula>
    </cfRule>
    <cfRule type="cellIs" dxfId="12" priority="4" operator="lessThan">
      <formula>3</formula>
    </cfRule>
  </conditionalFormatting>
  <conditionalFormatting sqref="B31">
    <cfRule type="cellIs" dxfId="11" priority="5" operator="lessThan">
      <formula>0.1</formula>
    </cfRule>
    <cfRule type="cellIs" dxfId="10" priority="6" operator="greaterThanOrEqual">
      <formula>0.1</formula>
    </cfRule>
  </conditionalFormatting>
  <conditionalFormatting sqref="B33">
    <cfRule type="cellIs" dxfId="9" priority="7" operator="greaterThanOrEqual">
      <formula>1</formula>
    </cfRule>
    <cfRule type="cellIs" dxfId="8" priority="8" operator="greaterThanOrEqual">
      <formula>0.7</formula>
    </cfRule>
    <cfRule type="cellIs" dxfId="7" priority="9" operator="lessThan">
      <formula>0.7</formula>
    </cfRule>
  </conditionalFormatting>
  <conditionalFormatting sqref="B34">
    <cfRule type="cellIs" dxfId="6" priority="11" operator="greaterThanOrEqual">
      <formula>0.2</formula>
    </cfRule>
    <cfRule type="cellIs" dxfId="5" priority="12" operator="greaterThanOrEqual">
      <formula>0.1</formula>
    </cfRule>
    <cfRule type="cellIs" dxfId="4"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42" t="s">
        <v>88</v>
      </c>
    </row>
    <row r="2" spans="1:2" ht="12.75" customHeight="1" x14ac:dyDescent="0.15">
      <c r="A2" s="22" t="s">
        <v>89</v>
      </c>
    </row>
    <row r="4" spans="1:2" ht="15" customHeight="1" x14ac:dyDescent="0.15">
      <c r="A4" s="23" t="s">
        <v>90</v>
      </c>
      <c r="B4" s="24"/>
    </row>
    <row r="5" spans="1:2" ht="12.75" customHeight="1" x14ac:dyDescent="0.15">
      <c r="A5" t="s">
        <v>91</v>
      </c>
      <c r="B5" s="43">
        <v>42</v>
      </c>
    </row>
    <row r="6" spans="1:2" ht="12.75" customHeight="1" x14ac:dyDescent="0.15">
      <c r="A6" t="s">
        <v>92</v>
      </c>
      <c r="B6" s="43">
        <v>2026</v>
      </c>
    </row>
    <row r="7" spans="1:2" ht="12.75" customHeight="1" x14ac:dyDescent="0.15">
      <c r="A7" t="s">
        <v>65</v>
      </c>
      <c r="B7" s="43">
        <v>60</v>
      </c>
    </row>
    <row r="8" spans="1:2" ht="12.75" customHeight="1" x14ac:dyDescent="0.15">
      <c r="A8" t="s">
        <v>93</v>
      </c>
      <c r="B8" s="44">
        <v>30000</v>
      </c>
    </row>
    <row r="10" spans="1:2" ht="15" customHeight="1" x14ac:dyDescent="0.15">
      <c r="A10" s="23" t="s">
        <v>94</v>
      </c>
      <c r="B10" s="24"/>
    </row>
    <row r="11" spans="1:2" ht="12.75" customHeight="1" x14ac:dyDescent="0.15">
      <c r="A11" t="s">
        <v>95</v>
      </c>
      <c r="B11" s="45">
        <v>2.5000000000000001E-2</v>
      </c>
    </row>
    <row r="12" spans="1:2" ht="12.75" customHeight="1" x14ac:dyDescent="0.15">
      <c r="A12" t="s">
        <v>96</v>
      </c>
      <c r="B12" s="45">
        <v>0.03</v>
      </c>
    </row>
    <row r="13" spans="1:2" ht="12.75" customHeight="1" x14ac:dyDescent="0.15">
      <c r="A13" t="s">
        <v>97</v>
      </c>
      <c r="B13" s="45">
        <v>0.05</v>
      </c>
    </row>
    <row r="14" spans="1:2" ht="12.75" customHeight="1" x14ac:dyDescent="0.15">
      <c r="A14" t="s">
        <v>98</v>
      </c>
      <c r="B14" s="45">
        <v>0.08</v>
      </c>
    </row>
    <row r="15" spans="1:2" ht="12.75" customHeight="1" x14ac:dyDescent="0.15">
      <c r="A15" t="s">
        <v>99</v>
      </c>
      <c r="B15" s="45">
        <v>0.04</v>
      </c>
    </row>
    <row r="17" spans="1:2" ht="15" customHeight="1" x14ac:dyDescent="0.15">
      <c r="A17" s="23" t="s">
        <v>100</v>
      </c>
      <c r="B17" s="24"/>
    </row>
    <row r="18" spans="1:2" ht="12.75" customHeight="1" x14ac:dyDescent="0.15">
      <c r="A18" t="s">
        <v>101</v>
      </c>
      <c r="B18" s="44">
        <v>60000</v>
      </c>
    </row>
    <row r="19" spans="1:2" ht="12.75" customHeight="1" x14ac:dyDescent="0.15">
      <c r="A19" t="s">
        <v>102</v>
      </c>
      <c r="B19" s="44">
        <v>330000</v>
      </c>
    </row>
    <row r="21" spans="1:2" ht="15" customHeight="1" x14ac:dyDescent="0.15">
      <c r="A21" s="23" t="s">
        <v>103</v>
      </c>
      <c r="B21" s="24"/>
    </row>
    <row r="22" spans="1:2" ht="12.75" customHeight="1" x14ac:dyDescent="0.15">
      <c r="A22" t="s">
        <v>104</v>
      </c>
      <c r="B22" s="46">
        <v>1.2928081084924601</v>
      </c>
    </row>
    <row r="23" spans="1:2" ht="12.75" customHeight="1" x14ac:dyDescent="0.15">
      <c r="A23" t="s">
        <v>105</v>
      </c>
      <c r="B23" s="46">
        <v>0.16489949375855401</v>
      </c>
    </row>
    <row r="25" spans="1:2" ht="12.75" customHeight="1" x14ac:dyDescent="0.15">
      <c r="A25" s="47" t="s">
        <v>106</v>
      </c>
    </row>
    <row r="26" spans="1:2" ht="12.75" customHeight="1" x14ac:dyDescent="0.15">
      <c r="A26" s="47" t="s">
        <v>107</v>
      </c>
    </row>
    <row r="27" spans="1:2" ht="12.75" customHeight="1" x14ac:dyDescent="0.15">
      <c r="A27" s="47" t="s">
        <v>108</v>
      </c>
    </row>
    <row r="28" spans="1:2" ht="12.75" customHeight="1" x14ac:dyDescent="0.15">
      <c r="A28" s="47" t="s">
        <v>109</v>
      </c>
    </row>
    <row r="30" spans="1:2" ht="13.5" customHeight="1" x14ac:dyDescent="0.15">
      <c r="A30" s="33" t="s">
        <v>110</v>
      </c>
    </row>
    <row r="31" spans="1:2" ht="12.75" customHeight="1" x14ac:dyDescent="0.15">
      <c r="A31" t="s">
        <v>111</v>
      </c>
      <c r="B31" s="48">
        <v>5000</v>
      </c>
    </row>
    <row r="32" spans="1:2" ht="12.75" customHeight="1" x14ac:dyDescent="0.15">
      <c r="A32" t="s">
        <v>112</v>
      </c>
      <c r="B32" s="49">
        <v>0.04</v>
      </c>
    </row>
    <row r="34" spans="1:2" ht="13.5" customHeight="1" x14ac:dyDescent="0.15">
      <c r="A34" s="33" t="s">
        <v>113</v>
      </c>
    </row>
    <row r="35" spans="1:2" ht="12.75" customHeight="1" x14ac:dyDescent="0.15">
      <c r="A35" t="s">
        <v>114</v>
      </c>
      <c r="B35" s="49">
        <v>0.03</v>
      </c>
    </row>
    <row r="36" spans="1:2" ht="12.75" customHeight="1" x14ac:dyDescent="0.15">
      <c r="A36" t="s">
        <v>115</v>
      </c>
      <c r="B36" s="50">
        <v>14</v>
      </c>
    </row>
    <row r="37" spans="1:2" ht="12.75" customHeight="1" x14ac:dyDescent="0.15">
      <c r="A37" t="s">
        <v>116</v>
      </c>
      <c r="B37" s="48">
        <v>33000</v>
      </c>
    </row>
    <row r="38" spans="1:2" ht="12.75" customHeight="1" x14ac:dyDescent="0.15">
      <c r="A38" t="s">
        <v>117</v>
      </c>
      <c r="B38" s="50">
        <v>5</v>
      </c>
    </row>
    <row r="39" spans="1:2" ht="12.75" customHeight="1" x14ac:dyDescent="0.15">
      <c r="A39" t="s">
        <v>118</v>
      </c>
      <c r="B39" s="48">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3" activePane="bottomLeft" state="frozen"/>
      <selection pane="bottomLeft"/>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51" t="s">
        <v>119</v>
      </c>
    </row>
    <row r="2" spans="1:5" ht="16.5" customHeight="1" x14ac:dyDescent="0.2">
      <c r="A2" s="3" t="s">
        <v>120</v>
      </c>
      <c r="B2" s="3"/>
      <c r="C2" s="52"/>
      <c r="D2" s="3" t="s">
        <v>121</v>
      </c>
      <c r="E2" s="3"/>
    </row>
    <row r="3" spans="1:5" ht="12.75" customHeight="1" x14ac:dyDescent="0.15">
      <c r="B3" s="53"/>
    </row>
    <row r="4" spans="1:5" ht="15" customHeight="1" x14ac:dyDescent="0.15">
      <c r="A4" s="23" t="s">
        <v>122</v>
      </c>
      <c r="B4" s="53"/>
      <c r="D4" s="23" t="s">
        <v>123</v>
      </c>
    </row>
    <row r="5" spans="1:5" ht="12.75" customHeight="1" x14ac:dyDescent="0.15">
      <c r="A5" s="54" t="s">
        <v>124</v>
      </c>
      <c r="B5" s="55">
        <v>8500</v>
      </c>
      <c r="D5" t="s">
        <v>125</v>
      </c>
      <c r="E5" s="56">
        <v>1800</v>
      </c>
    </row>
    <row r="6" spans="1:5" ht="12.75" customHeight="1" x14ac:dyDescent="0.15">
      <c r="A6" s="57" t="s">
        <v>126</v>
      </c>
      <c r="B6" s="58">
        <v>0</v>
      </c>
      <c r="D6" s="54" t="s">
        <v>127</v>
      </c>
      <c r="E6" s="56">
        <v>950</v>
      </c>
    </row>
    <row r="7" spans="1:5" ht="12.75" customHeight="1" x14ac:dyDescent="0.15">
      <c r="A7" s="57" t="s">
        <v>128</v>
      </c>
      <c r="B7" s="59">
        <v>0</v>
      </c>
      <c r="D7" s="54" t="s">
        <v>129</v>
      </c>
      <c r="E7" s="56">
        <v>1200</v>
      </c>
    </row>
    <row r="8" spans="1:5" ht="12.75" customHeight="1" x14ac:dyDescent="0.15">
      <c r="A8" s="57" t="s">
        <v>130</v>
      </c>
      <c r="B8" s="59">
        <v>0</v>
      </c>
      <c r="E8" s="53"/>
    </row>
    <row r="9" spans="1:5" ht="12.75" customHeight="1" x14ac:dyDescent="0.15">
      <c r="A9" t="s">
        <v>131</v>
      </c>
      <c r="B9" s="56">
        <v>15000</v>
      </c>
      <c r="D9" s="60" t="s">
        <v>132</v>
      </c>
      <c r="E9" s="61">
        <f>SUM(E5:E7)</f>
        <v>3950</v>
      </c>
    </row>
    <row r="10" spans="1:5" ht="12.75" customHeight="1" x14ac:dyDescent="0.15">
      <c r="A10" t="s">
        <v>133</v>
      </c>
      <c r="B10" s="56">
        <v>12000</v>
      </c>
      <c r="E10" s="53"/>
    </row>
    <row r="11" spans="1:5" ht="12.75" customHeight="1" x14ac:dyDescent="0.15">
      <c r="A11" s="57" t="s">
        <v>134</v>
      </c>
      <c r="B11" s="59">
        <v>0</v>
      </c>
      <c r="E11" s="53"/>
    </row>
    <row r="12" spans="1:5" ht="12.75" customHeight="1" x14ac:dyDescent="0.15">
      <c r="A12" s="62" t="s">
        <v>135</v>
      </c>
      <c r="B12" s="63">
        <v>20000</v>
      </c>
      <c r="E12" s="53"/>
    </row>
    <row r="13" spans="1:5" ht="12.75" customHeight="1" x14ac:dyDescent="0.15">
      <c r="A13" t="s">
        <v>136</v>
      </c>
      <c r="B13" s="56">
        <v>6500</v>
      </c>
      <c r="C13" s="53"/>
    </row>
    <row r="14" spans="1:5" ht="12.75" customHeight="1" x14ac:dyDescent="0.15">
      <c r="A14" t="s">
        <v>137</v>
      </c>
      <c r="B14" s="56">
        <v>38000</v>
      </c>
      <c r="C14" s="53"/>
      <c r="D14" s="64"/>
      <c r="E14" s="65"/>
    </row>
    <row r="15" spans="1:5" ht="12.75" customHeight="1" x14ac:dyDescent="0.15">
      <c r="A15" s="57" t="s">
        <v>138</v>
      </c>
      <c r="B15" s="59">
        <v>0</v>
      </c>
      <c r="C15" s="53"/>
      <c r="E15" s="53"/>
    </row>
    <row r="16" spans="1:5" ht="12.75" customHeight="1" x14ac:dyDescent="0.15">
      <c r="A16" t="s">
        <v>139</v>
      </c>
      <c r="B16" s="56">
        <v>28000</v>
      </c>
      <c r="C16" s="53"/>
      <c r="E16" s="53"/>
    </row>
    <row r="17" spans="1:12" ht="12.75" customHeight="1" x14ac:dyDescent="0.15">
      <c r="A17" s="54" t="s">
        <v>140</v>
      </c>
      <c r="B17" s="56">
        <v>9500</v>
      </c>
      <c r="C17" s="53"/>
      <c r="E17" s="53"/>
    </row>
    <row r="18" spans="1:12" ht="12.75" customHeight="1" x14ac:dyDescent="0.15">
      <c r="A18" s="60" t="s">
        <v>132</v>
      </c>
      <c r="B18" s="61">
        <f>SUM(B5:B17)</f>
        <v>137500</v>
      </c>
      <c r="E18" s="53"/>
    </row>
    <row r="19" spans="1:12" ht="15" customHeight="1" x14ac:dyDescent="0.15">
      <c r="B19" s="53"/>
      <c r="D19" s="23" t="s">
        <v>141</v>
      </c>
      <c r="E19" s="53"/>
    </row>
    <row r="20" spans="1:12" ht="12.75" customHeight="1" x14ac:dyDescent="0.15">
      <c r="D20" t="s">
        <v>142</v>
      </c>
      <c r="E20" s="56">
        <v>12000</v>
      </c>
    </row>
    <row r="21" spans="1:12" ht="15" customHeight="1" x14ac:dyDescent="0.15">
      <c r="A21" s="23" t="s">
        <v>143</v>
      </c>
      <c r="B21" s="66"/>
      <c r="D21" t="s">
        <v>144</v>
      </c>
      <c r="E21" s="56">
        <v>0</v>
      </c>
      <c r="H21" s="53"/>
    </row>
    <row r="22" spans="1:12" ht="12.75" customHeight="1" x14ac:dyDescent="0.15">
      <c r="A22" s="67" t="s">
        <v>145</v>
      </c>
      <c r="B22" s="68">
        <f>Insurance!H21</f>
        <v>0</v>
      </c>
      <c r="D22" t="s">
        <v>146</v>
      </c>
      <c r="E22" s="30">
        <f ca="1">Housing!B21</f>
        <v>580429.73587227438</v>
      </c>
    </row>
    <row r="23" spans="1:12" ht="12.75" customHeight="1" x14ac:dyDescent="0.15">
      <c r="A23" s="69" t="s">
        <v>147</v>
      </c>
      <c r="B23" s="70">
        <f>Insurance!H18</f>
        <v>60000</v>
      </c>
      <c r="C23" s="53"/>
      <c r="E23" s="53"/>
      <c r="F23" s="71"/>
    </row>
    <row r="24" spans="1:12" ht="12.75" customHeight="1" x14ac:dyDescent="0.15">
      <c r="A24" s="72" t="s">
        <v>148</v>
      </c>
      <c r="B24" s="70">
        <f>Insurance!H19</f>
        <v>28000</v>
      </c>
      <c r="C24" s="53"/>
      <c r="D24" s="60" t="s">
        <v>132</v>
      </c>
      <c r="E24" s="61">
        <f ca="1">SUM(E20:E22)</f>
        <v>592429.73587227438</v>
      </c>
      <c r="F24" s="71"/>
    </row>
    <row r="25" spans="1:12" ht="25.5" customHeight="1" x14ac:dyDescent="0.15">
      <c r="A25" s="73" t="s">
        <v>149</v>
      </c>
      <c r="B25" s="66"/>
      <c r="C25" s="53"/>
      <c r="D25" s="74" t="s">
        <v>150</v>
      </c>
      <c r="E25" s="75">
        <f>((1+Settings!$B$35)^Settings!$B$36)*Settings!$B$37*Settings!$B$38</f>
        <v>249577.30460109332</v>
      </c>
      <c r="F25" s="71"/>
    </row>
    <row r="26" spans="1:12" ht="25.5" customHeight="1" x14ac:dyDescent="0.15">
      <c r="A26" s="72" t="s">
        <v>151</v>
      </c>
      <c r="B26" s="70">
        <f>Insurance!H15+Insurance!H16</f>
        <v>22000</v>
      </c>
      <c r="C26" s="53"/>
      <c r="D26" s="74" t="s">
        <v>152</v>
      </c>
      <c r="E26" s="75">
        <f>((1+Settings!$B$35)^Settings!$B$36)*Settings!$B$39*12*Settings!$B$38</f>
        <v>136133.07523695999</v>
      </c>
      <c r="F26" s="53"/>
    </row>
    <row r="27" spans="1:12" ht="38.25" customHeight="1" x14ac:dyDescent="0.15">
      <c r="A27" s="72" t="s">
        <v>153</v>
      </c>
      <c r="B27" s="56">
        <v>120000</v>
      </c>
      <c r="C27" s="53"/>
      <c r="E27" s="53"/>
    </row>
    <row r="28" spans="1:12" ht="38.25" customHeight="1" x14ac:dyDescent="0.15">
      <c r="A28" s="72" t="s">
        <v>154</v>
      </c>
      <c r="B28" s="56">
        <v>35000</v>
      </c>
      <c r="C28" s="53"/>
      <c r="E28" s="53"/>
    </row>
    <row r="29" spans="1:12" ht="12.75" customHeight="1" x14ac:dyDescent="0.15">
      <c r="A29" s="72" t="s">
        <v>155</v>
      </c>
      <c r="B29" s="56">
        <v>9000</v>
      </c>
      <c r="C29" s="53"/>
      <c r="E29" s="53"/>
    </row>
    <row r="30" spans="1:12" ht="15" customHeight="1" x14ac:dyDescent="0.2">
      <c r="A30" s="76" t="s">
        <v>156</v>
      </c>
      <c r="B30" s="56">
        <v>18000</v>
      </c>
      <c r="C30" s="77"/>
      <c r="E30" s="53"/>
      <c r="J30" s="78" t="s">
        <v>157</v>
      </c>
    </row>
    <row r="31" spans="1:12" ht="30" customHeight="1" x14ac:dyDescent="0.15">
      <c r="A31" s="67" t="s">
        <v>158</v>
      </c>
      <c r="B31" s="79"/>
      <c r="C31" s="53"/>
      <c r="E31" s="53"/>
      <c r="J31" s="27"/>
      <c r="K31" s="80" t="s">
        <v>159</v>
      </c>
      <c r="L31" s="80" t="s">
        <v>160</v>
      </c>
    </row>
    <row r="32" spans="1:12" ht="20.25" customHeight="1" x14ac:dyDescent="0.2">
      <c r="A32" s="81" t="s">
        <v>161</v>
      </c>
      <c r="B32" s="70">
        <f>Insurance!H20</f>
        <v>25000</v>
      </c>
      <c r="C32" s="53"/>
      <c r="H32" s="53"/>
      <c r="J32" s="82" t="s">
        <v>162</v>
      </c>
      <c r="K32" s="83">
        <f>B18</f>
        <v>137500</v>
      </c>
      <c r="L32" s="84">
        <f t="shared" ref="L32:L44" ca="1" si="0">K32/SUM($K$32:$K$44)</f>
        <v>0.11487677579238456</v>
      </c>
    </row>
    <row r="33" spans="1:14" ht="20.25" customHeight="1" x14ac:dyDescent="0.2">
      <c r="A33" s="85" t="s">
        <v>132</v>
      </c>
      <c r="B33" s="86">
        <f>SUM(B22:B32)</f>
        <v>317000</v>
      </c>
      <c r="D33" s="64"/>
      <c r="E33" s="65"/>
      <c r="H33" s="53"/>
      <c r="J33" s="87" t="str">
        <f>$A$21</f>
        <v>Investments (Cap Protected 2-3%)</v>
      </c>
      <c r="K33" s="88">
        <f>$B$33</f>
        <v>317000</v>
      </c>
      <c r="L33" s="84">
        <f t="shared" ca="1" si="0"/>
        <v>0.26484318491771569</v>
      </c>
    </row>
    <row r="34" spans="1:14" ht="20.25" customHeight="1" x14ac:dyDescent="0.2">
      <c r="B34" s="53"/>
      <c r="D34" s="64"/>
      <c r="E34" s="65"/>
      <c r="H34" s="53"/>
      <c r="J34" s="89" t="str">
        <f>A37</f>
        <v>Crypto</v>
      </c>
      <c r="K34" s="90">
        <f>$B$37</f>
        <v>13252.53196468052</v>
      </c>
      <c r="L34" s="91">
        <f t="shared" ca="1" si="0"/>
        <v>1.1072059223185556E-2</v>
      </c>
    </row>
    <row r="35" spans="1:14" ht="20.25" customHeight="1" x14ac:dyDescent="0.2">
      <c r="A35" s="23" t="s">
        <v>163</v>
      </c>
      <c r="B35" s="92"/>
      <c r="D35" s="53"/>
      <c r="E35" s="65"/>
      <c r="H35" s="53"/>
      <c r="J35" s="89" t="str">
        <f>A40</f>
        <v>Small Cap</v>
      </c>
      <c r="K35" s="90">
        <f>$B$40</f>
        <v>8149.9999999999991</v>
      </c>
      <c r="L35" s="91">
        <f t="shared" ca="1" si="0"/>
        <v>6.8090598015122482E-3</v>
      </c>
    </row>
    <row r="36" spans="1:14" ht="20.25" customHeight="1" x14ac:dyDescent="0.2">
      <c r="A36" s="93" t="s">
        <v>164</v>
      </c>
      <c r="B36" s="56">
        <v>5000</v>
      </c>
      <c r="D36" s="53"/>
      <c r="E36" s="65"/>
      <c r="H36" s="53"/>
      <c r="J36" s="89" t="str">
        <f>A38</f>
        <v>US/HK Growth</v>
      </c>
      <c r="K36" s="90">
        <f>$B$38</f>
        <v>39594.911132508634</v>
      </c>
      <c r="L36" s="91">
        <f t="shared" ca="1" si="0"/>
        <v>3.3080259845007898E-2</v>
      </c>
    </row>
    <row r="37" spans="1:14" ht="20.25" customHeight="1" x14ac:dyDescent="0.2">
      <c r="A37" s="94" t="str">
        <f>Shares!R7</f>
        <v>Crypto</v>
      </c>
      <c r="B37" s="95">
        <f>Shares!S7</f>
        <v>13252.53196468052</v>
      </c>
      <c r="D37" s="53"/>
      <c r="E37" s="65"/>
      <c r="H37" s="53"/>
      <c r="J37" s="89" t="str">
        <f>A39</f>
        <v>Reit/Dividend</v>
      </c>
      <c r="K37" s="90">
        <f>$B$39</f>
        <v>38740</v>
      </c>
      <c r="L37" s="91">
        <f t="shared" ca="1" si="0"/>
        <v>3.2366009412341662E-2</v>
      </c>
      <c r="M37" s="96">
        <f ca="1">SUM(L34:L37)</f>
        <v>8.332738828204736E-2</v>
      </c>
      <c r="N37" s="38" t="s">
        <v>165</v>
      </c>
    </row>
    <row r="38" spans="1:14" ht="20.25" customHeight="1" x14ac:dyDescent="0.2">
      <c r="A38" s="93" t="str">
        <f>Shares!R3</f>
        <v>US/HK Growth</v>
      </c>
      <c r="B38" s="97">
        <f>Shares!S3</f>
        <v>39594.911132508634</v>
      </c>
      <c r="E38" s="65"/>
      <c r="H38" s="53"/>
      <c r="J38" s="98" t="s">
        <v>166</v>
      </c>
      <c r="K38" s="99">
        <f>$B$46</f>
        <v>40000</v>
      </c>
      <c r="L38" s="84">
        <f t="shared" ca="1" si="0"/>
        <v>3.3418698412330056E-2</v>
      </c>
    </row>
    <row r="39" spans="1:14" ht="20.25" customHeight="1" x14ac:dyDescent="0.2">
      <c r="A39" s="93" t="str">
        <f>Shares!R4</f>
        <v>Reit/Dividend</v>
      </c>
      <c r="B39" s="97">
        <f>Shares!S4</f>
        <v>38740</v>
      </c>
      <c r="E39" s="65"/>
      <c r="H39" s="53"/>
      <c r="J39" s="100" t="s">
        <v>167</v>
      </c>
      <c r="K39" s="101">
        <f>B48</f>
        <v>78127</v>
      </c>
      <c r="L39" s="84">
        <f t="shared" ca="1" si="0"/>
        <v>6.5272566271502755E-2</v>
      </c>
    </row>
    <row r="40" spans="1:14" ht="20.25" customHeight="1" x14ac:dyDescent="0.2">
      <c r="A40" s="93" t="str">
        <f>Shares!R5</f>
        <v>Small Cap</v>
      </c>
      <c r="B40" s="97">
        <f>Shares!S5</f>
        <v>8149.9999999999991</v>
      </c>
      <c r="E40" s="65"/>
      <c r="H40" s="53"/>
      <c r="J40" s="100" t="str">
        <f>A49</f>
        <v>Commodities</v>
      </c>
      <c r="K40" s="101">
        <f>B49</f>
        <v>0</v>
      </c>
      <c r="L40" s="84">
        <f t="shared" ca="1" si="0"/>
        <v>0</v>
      </c>
    </row>
    <row r="41" spans="1:14" ht="20.25" customHeight="1" x14ac:dyDescent="0.2">
      <c r="A41" s="102" t="s">
        <v>132</v>
      </c>
      <c r="B41" s="103">
        <f>SUM(B36:B40)</f>
        <v>104737.44309718916</v>
      </c>
      <c r="E41" s="65"/>
      <c r="J41" s="104" t="str">
        <f>$A$53</f>
        <v>CPF OA (2.5%)</v>
      </c>
      <c r="K41" s="105">
        <f>$B$53</f>
        <v>95000</v>
      </c>
      <c r="L41" s="84">
        <f t="shared" ca="1" si="0"/>
        <v>7.9369408729283886E-2</v>
      </c>
    </row>
    <row r="42" spans="1:14" ht="20.25" customHeight="1" x14ac:dyDescent="0.2">
      <c r="A42" s="54"/>
      <c r="B42" s="53"/>
      <c r="E42" s="65"/>
      <c r="J42" s="104" t="s">
        <v>168</v>
      </c>
      <c r="K42" s="105">
        <f>$B54+$B55</f>
        <v>180000</v>
      </c>
      <c r="L42" s="84">
        <f t="shared" ca="1" si="0"/>
        <v>0.15038414285548524</v>
      </c>
    </row>
    <row r="43" spans="1:14" ht="20.25" customHeight="1" x14ac:dyDescent="0.2">
      <c r="A43" s="23" t="s">
        <v>169</v>
      </c>
      <c r="B43" s="92"/>
      <c r="E43" s="65"/>
      <c r="J43" s="106" t="str">
        <f>$A$59</f>
        <v>Real Properties</v>
      </c>
      <c r="K43" s="107">
        <f ca="1">$B$60-E22</f>
        <v>244570.26412772574</v>
      </c>
      <c r="L43" s="84">
        <f t="shared" ca="1" si="0"/>
        <v>0.20433049743770926</v>
      </c>
      <c r="M43" s="108"/>
    </row>
    <row r="44" spans="1:14" ht="20.25" customHeight="1" x14ac:dyDescent="0.2">
      <c r="A44" s="109" t="s">
        <v>170</v>
      </c>
      <c r="B44" s="56">
        <v>25000</v>
      </c>
      <c r="E44" s="65"/>
      <c r="J44" s="110" t="str">
        <f>$A$36</f>
        <v>Personal Loan to Friend</v>
      </c>
      <c r="K44" s="111">
        <f>$B$36</f>
        <v>5000</v>
      </c>
      <c r="L44" s="112">
        <f t="shared" ca="1" si="0"/>
        <v>4.177337301541257E-3</v>
      </c>
    </row>
    <row r="45" spans="1:14" ht="20.25" customHeight="1" x14ac:dyDescent="0.15">
      <c r="A45" s="109" t="s">
        <v>171</v>
      </c>
      <c r="B45" s="56">
        <v>15000</v>
      </c>
      <c r="E45" s="65"/>
      <c r="J45" s="113" t="s">
        <v>132</v>
      </c>
      <c r="K45" s="114">
        <f ca="1">SUM(K32:K44)</f>
        <v>1196934.7072249148</v>
      </c>
      <c r="L45" s="115">
        <f ca="1">SUM(L32:L44)</f>
        <v>1.0000000000000002</v>
      </c>
    </row>
    <row r="46" spans="1:14" ht="20.25" customHeight="1" x14ac:dyDescent="0.2">
      <c r="A46" s="102" t="s">
        <v>132</v>
      </c>
      <c r="B46" s="103">
        <f>SUM(B44:B45)</f>
        <v>40000</v>
      </c>
      <c r="D46" s="65"/>
      <c r="E46" s="65"/>
      <c r="J46" s="110"/>
      <c r="K46" s="116"/>
    </row>
    <row r="47" spans="1:14" ht="28.5" customHeight="1" x14ac:dyDescent="0.2">
      <c r="A47" s="64"/>
      <c r="B47" s="65"/>
      <c r="D47" s="64"/>
      <c r="E47" s="65"/>
      <c r="J47" s="110"/>
      <c r="K47" s="116"/>
    </row>
    <row r="48" spans="1:14" ht="20.25" customHeight="1" x14ac:dyDescent="0.2">
      <c r="A48" s="23" t="s">
        <v>172</v>
      </c>
      <c r="B48" s="117">
        <f>Shares!S8</f>
        <v>78127</v>
      </c>
      <c r="D48" s="64"/>
      <c r="E48" s="65"/>
      <c r="J48" s="110"/>
      <c r="K48" s="116"/>
    </row>
    <row r="49" spans="1:11" ht="20.25" customHeight="1" x14ac:dyDescent="0.2">
      <c r="A49" s="118" t="str">
        <f>Shares!R6</f>
        <v>Commodities</v>
      </c>
      <c r="B49" s="117">
        <f>Shares!S6</f>
        <v>0</v>
      </c>
      <c r="D49" s="64"/>
      <c r="E49" s="65"/>
      <c r="J49" s="110"/>
      <c r="K49" s="116"/>
    </row>
    <row r="50" spans="1:11" ht="20.25" customHeight="1" x14ac:dyDescent="0.2">
      <c r="A50" s="119" t="s">
        <v>132</v>
      </c>
      <c r="B50" s="120">
        <f>SUM(B48:B49)</f>
        <v>78127</v>
      </c>
      <c r="D50" s="64"/>
      <c r="E50" s="65"/>
      <c r="J50" s="110"/>
      <c r="K50" s="116"/>
    </row>
    <row r="51" spans="1:11" ht="20.25" customHeight="1" x14ac:dyDescent="0.2">
      <c r="B51" s="53"/>
      <c r="D51" s="64"/>
      <c r="E51" s="65"/>
      <c r="J51" s="110"/>
      <c r="K51" s="116"/>
    </row>
    <row r="52" spans="1:11" ht="15" customHeight="1" x14ac:dyDescent="0.15">
      <c r="A52" s="23" t="s">
        <v>173</v>
      </c>
      <c r="B52" s="53"/>
      <c r="C52" s="53"/>
      <c r="D52" s="64"/>
      <c r="E52" s="65"/>
      <c r="J52" s="53"/>
    </row>
    <row r="53" spans="1:11" ht="12.75" customHeight="1" x14ac:dyDescent="0.15">
      <c r="A53" s="121" t="s">
        <v>174</v>
      </c>
      <c r="B53" s="122">
        <v>95000</v>
      </c>
      <c r="C53" s="53"/>
      <c r="D53" s="64"/>
      <c r="E53" s="65"/>
      <c r="J53" s="53"/>
    </row>
    <row r="54" spans="1:11" ht="12.75" customHeight="1" x14ac:dyDescent="0.15">
      <c r="A54" s="121" t="s">
        <v>175</v>
      </c>
      <c r="B54" s="122">
        <v>130000</v>
      </c>
      <c r="C54" s="53"/>
      <c r="E54" s="53"/>
    </row>
    <row r="55" spans="1:11" ht="12.75" customHeight="1" x14ac:dyDescent="0.15">
      <c r="A55" s="121" t="s">
        <v>176</v>
      </c>
      <c r="B55" s="122">
        <v>50000</v>
      </c>
      <c r="C55" s="108"/>
      <c r="E55" s="53"/>
    </row>
    <row r="56" spans="1:11" ht="12.75" customHeight="1" x14ac:dyDescent="0.15">
      <c r="A56" s="121" t="s">
        <v>177</v>
      </c>
      <c r="B56" s="122">
        <v>0</v>
      </c>
      <c r="E56" s="53"/>
    </row>
    <row r="57" spans="1:11" ht="12.75" customHeight="1" x14ac:dyDescent="0.15">
      <c r="A57" s="60" t="s">
        <v>132</v>
      </c>
      <c r="B57" s="61">
        <f>SUM(B53:B56)</f>
        <v>275000</v>
      </c>
      <c r="E57" s="53"/>
    </row>
    <row r="58" spans="1:11" ht="12.75" customHeight="1" x14ac:dyDescent="0.15">
      <c r="A58" s="121"/>
      <c r="B58" s="123"/>
      <c r="E58" s="53"/>
    </row>
    <row r="59" spans="1:11" ht="15" customHeight="1" x14ac:dyDescent="0.15">
      <c r="A59" s="23" t="s">
        <v>178</v>
      </c>
      <c r="B59" s="53"/>
      <c r="E59" s="53"/>
    </row>
    <row r="60" spans="1:11" ht="12.75" customHeight="1" x14ac:dyDescent="0.15">
      <c r="A60" t="s">
        <v>179</v>
      </c>
      <c r="B60" s="30">
        <f>Housing!B20</f>
        <v>825000.00000000012</v>
      </c>
      <c r="E60" s="53"/>
    </row>
    <row r="61" spans="1:11" ht="12.75" customHeight="1" x14ac:dyDescent="0.15">
      <c r="B61" s="53"/>
      <c r="E61" s="53"/>
    </row>
    <row r="62" spans="1:11" ht="15" customHeight="1" x14ac:dyDescent="0.15">
      <c r="A62" s="23" t="s">
        <v>180</v>
      </c>
      <c r="B62" s="53"/>
      <c r="E62" s="53"/>
    </row>
    <row r="63" spans="1:11" ht="12.75" customHeight="1" x14ac:dyDescent="0.15">
      <c r="A63" t="s">
        <v>181</v>
      </c>
      <c r="B63" s="56">
        <v>45000</v>
      </c>
      <c r="E63" s="53"/>
    </row>
    <row r="64" spans="1:11" ht="12.75" customHeight="1" x14ac:dyDescent="0.15">
      <c r="E64" s="53"/>
    </row>
    <row r="65" spans="1:7" ht="12.75" customHeight="1" x14ac:dyDescent="0.15">
      <c r="E65" s="53"/>
    </row>
    <row r="66" spans="1:7" ht="12.75" customHeight="1" x14ac:dyDescent="0.15">
      <c r="E66" s="53"/>
    </row>
    <row r="67" spans="1:7" ht="12.75" customHeight="1" x14ac:dyDescent="0.15">
      <c r="A67" s="60" t="s">
        <v>60</v>
      </c>
      <c r="B67" s="61">
        <f>B18+B33+B46+B57+B63+B50+B41+B60</f>
        <v>1822364.4430971893</v>
      </c>
      <c r="D67" s="60" t="s">
        <v>61</v>
      </c>
      <c r="E67" s="61">
        <f ca="1">E9+E24</f>
        <v>596379.73587227438</v>
      </c>
    </row>
    <row r="68" spans="1:7" ht="12.75" customHeight="1" x14ac:dyDescent="0.2">
      <c r="A68" s="60" t="s">
        <v>182</v>
      </c>
      <c r="B68" s="61">
        <f>B18+B33+B46+B50+B57+B41</f>
        <v>952364.44309718919</v>
      </c>
      <c r="D68" s="124" t="s">
        <v>56</v>
      </c>
      <c r="E68" s="125">
        <f ca="1">B67-E67</f>
        <v>1225984.7072249148</v>
      </c>
      <c r="F68" s="126">
        <f ca="1">E68-E25-E26</f>
        <v>840274.32738686155</v>
      </c>
      <c r="G68" s="38" t="s">
        <v>183</v>
      </c>
    </row>
    <row r="69" spans="1:7" ht="12.75" customHeight="1" x14ac:dyDescent="0.15">
      <c r="A69" s="127" t="s">
        <v>184</v>
      </c>
      <c r="B69" s="128">
        <f>B18</f>
        <v>137500</v>
      </c>
      <c r="D69" s="64" t="s">
        <v>185</v>
      </c>
      <c r="E69" s="61">
        <f ca="1">0.03*E68</f>
        <v>36779.541216747442</v>
      </c>
      <c r="F69" s="129">
        <f ca="1">0.03*F68</f>
        <v>25208.229821605844</v>
      </c>
    </row>
    <row r="70" spans="1:7" ht="12.75" customHeight="1" x14ac:dyDescent="0.15">
      <c r="D70" s="64" t="s">
        <v>186</v>
      </c>
      <c r="E70" s="61">
        <f ca="1">E69/12</f>
        <v>3064.9617680622869</v>
      </c>
      <c r="F70" s="129">
        <f ca="1">F69/12</f>
        <v>2100.6858184671537</v>
      </c>
    </row>
    <row r="71" spans="1:7" ht="12.75" customHeight="1" x14ac:dyDescent="0.15">
      <c r="E71" s="53"/>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8" t="s">
        <v>187</v>
      </c>
    </row>
    <row r="2" spans="1:8" ht="15" customHeight="1" x14ac:dyDescent="0.15">
      <c r="A2" s="38" t="s">
        <v>188</v>
      </c>
    </row>
    <row r="4" spans="1:8" ht="15" customHeight="1" x14ac:dyDescent="0.15">
      <c r="A4" s="33" t="s">
        <v>189</v>
      </c>
    </row>
    <row r="5" spans="1:8" ht="15" customHeight="1" x14ac:dyDescent="0.15">
      <c r="A5" t="s">
        <v>190</v>
      </c>
      <c r="B5" s="130">
        <f ca="1">IFERROR(AVERAGEIFS($B$13:$B$60,$A$13:$A$60,"&gt;"&amp;EDATE(TODAY(),-12)),"")</f>
        <v>8000</v>
      </c>
    </row>
    <row r="6" spans="1:8" ht="15" customHeight="1" x14ac:dyDescent="0.15">
      <c r="A6" t="s">
        <v>191</v>
      </c>
      <c r="B6" s="130">
        <f ca="1">IFERROR(AVERAGEIFS($E$13:$E$60,$A$13:$A$60,"&gt;"&amp;EDATE(TODAY(),-12)),"")</f>
        <v>5000</v>
      </c>
      <c r="C6" s="38" t="str">
        <f>"plan (Settings): "&amp;TEXT(Settings!$B$31,"$#,##0")</f>
        <v>plan (Settings): $5,000</v>
      </c>
    </row>
    <row r="7" spans="1:8" ht="15" customHeight="1" x14ac:dyDescent="0.15">
      <c r="A7" t="s">
        <v>192</v>
      </c>
      <c r="B7" s="115">
        <f ca="1">IFERROR(1-B6/B5,"")</f>
        <v>0.375</v>
      </c>
    </row>
    <row r="8" spans="1:8" ht="15" customHeight="1" x14ac:dyDescent="0.15">
      <c r="A8" t="s">
        <v>193</v>
      </c>
      <c r="B8" s="130">
        <f ca="1">IFERROR((B5-B6)*12,"")</f>
        <v>36000</v>
      </c>
      <c r="C8" s="38" t="str">
        <f>"plan (Settings): "&amp;TEXT(Settings!$B$8,"$#,##0")</f>
        <v>plan (Settings): $30,000</v>
      </c>
    </row>
    <row r="10" spans="1:8" ht="15" customHeight="1" x14ac:dyDescent="0.15">
      <c r="A10" s="38" t="s">
        <v>194</v>
      </c>
    </row>
    <row r="12" spans="1:8" ht="15" customHeight="1" x14ac:dyDescent="0.15">
      <c r="A12" s="113" t="s">
        <v>195</v>
      </c>
      <c r="B12" s="113" t="s">
        <v>196</v>
      </c>
      <c r="C12" s="113" t="s">
        <v>197</v>
      </c>
      <c r="D12" s="113" t="s">
        <v>198</v>
      </c>
      <c r="E12" s="113" t="s">
        <v>199</v>
      </c>
      <c r="F12" s="113" t="s">
        <v>200</v>
      </c>
      <c r="G12" s="113" t="s">
        <v>201</v>
      </c>
      <c r="H12" s="113" t="s">
        <v>202</v>
      </c>
    </row>
    <row r="13" spans="1:8" ht="15" customHeight="1" x14ac:dyDescent="0.15">
      <c r="A13" s="131">
        <v>46174</v>
      </c>
      <c r="B13" s="48">
        <v>8000</v>
      </c>
      <c r="C13" s="48">
        <v>3500</v>
      </c>
      <c r="D13" s="48">
        <v>1500</v>
      </c>
      <c r="E13" s="30">
        <f t="shared" ref="E13:E60" si="0">IF($A13="","",$C13+$D13)</f>
        <v>5000</v>
      </c>
      <c r="F13" s="30">
        <f t="shared" ref="F13:F60" si="1">IF($A13="","",$B13-$E13)</f>
        <v>3000</v>
      </c>
      <c r="G13" s="112">
        <f t="shared" ref="G13:G60" si="2">IF(OR($A13="",$B13="",$B13=0),"",$F13/$B13)</f>
        <v>0.375</v>
      </c>
      <c r="H13" t="s">
        <v>203</v>
      </c>
    </row>
    <row r="14" spans="1:8" ht="15" customHeight="1" x14ac:dyDescent="0.15">
      <c r="A14" s="131"/>
      <c r="B14" s="48"/>
      <c r="C14" s="48"/>
      <c r="D14" s="48"/>
      <c r="E14" s="30" t="str">
        <f t="shared" si="0"/>
        <v/>
      </c>
      <c r="F14" s="30" t="str">
        <f t="shared" si="1"/>
        <v/>
      </c>
      <c r="G14" s="112" t="str">
        <f t="shared" si="2"/>
        <v/>
      </c>
    </row>
    <row r="15" spans="1:8" ht="15" customHeight="1" x14ac:dyDescent="0.15">
      <c r="A15" s="131"/>
      <c r="B15" s="48"/>
      <c r="C15" s="48"/>
      <c r="D15" s="48"/>
      <c r="E15" s="30" t="str">
        <f t="shared" si="0"/>
        <v/>
      </c>
      <c r="F15" s="30" t="str">
        <f t="shared" si="1"/>
        <v/>
      </c>
      <c r="G15" s="112" t="str">
        <f t="shared" si="2"/>
        <v/>
      </c>
    </row>
    <row r="16" spans="1:8" ht="15" customHeight="1" x14ac:dyDescent="0.15">
      <c r="A16" s="131"/>
      <c r="B16" s="48"/>
      <c r="C16" s="48"/>
      <c r="D16" s="48"/>
      <c r="E16" s="30" t="str">
        <f t="shared" si="0"/>
        <v/>
      </c>
      <c r="F16" s="30" t="str">
        <f t="shared" si="1"/>
        <v/>
      </c>
      <c r="G16" s="112" t="str">
        <f t="shared" si="2"/>
        <v/>
      </c>
    </row>
    <row r="17" spans="1:7" ht="15" customHeight="1" x14ac:dyDescent="0.15">
      <c r="A17" s="131"/>
      <c r="B17" s="48"/>
      <c r="C17" s="48"/>
      <c r="D17" s="48"/>
      <c r="E17" s="30" t="str">
        <f t="shared" si="0"/>
        <v/>
      </c>
      <c r="F17" s="30" t="str">
        <f t="shared" si="1"/>
        <v/>
      </c>
      <c r="G17" s="112" t="str">
        <f t="shared" si="2"/>
        <v/>
      </c>
    </row>
    <row r="18" spans="1:7" ht="15" customHeight="1" x14ac:dyDescent="0.15">
      <c r="A18" s="131"/>
      <c r="B18" s="48"/>
      <c r="C18" s="48"/>
      <c r="D18" s="48"/>
      <c r="E18" s="30" t="str">
        <f t="shared" si="0"/>
        <v/>
      </c>
      <c r="F18" s="30" t="str">
        <f t="shared" si="1"/>
        <v/>
      </c>
      <c r="G18" s="112" t="str">
        <f t="shared" si="2"/>
        <v/>
      </c>
    </row>
    <row r="19" spans="1:7" ht="15" customHeight="1" x14ac:dyDescent="0.15">
      <c r="A19" s="131"/>
      <c r="B19" s="48"/>
      <c r="C19" s="48"/>
      <c r="D19" s="48"/>
      <c r="E19" s="30" t="str">
        <f t="shared" si="0"/>
        <v/>
      </c>
      <c r="F19" s="30" t="str">
        <f t="shared" si="1"/>
        <v/>
      </c>
      <c r="G19" s="112" t="str">
        <f t="shared" si="2"/>
        <v/>
      </c>
    </row>
    <row r="20" spans="1:7" ht="15" customHeight="1" x14ac:dyDescent="0.15">
      <c r="A20" s="131"/>
      <c r="B20" s="48"/>
      <c r="C20" s="48"/>
      <c r="D20" s="48"/>
      <c r="E20" s="30" t="str">
        <f t="shared" si="0"/>
        <v/>
      </c>
      <c r="F20" s="30" t="str">
        <f t="shared" si="1"/>
        <v/>
      </c>
      <c r="G20" s="112" t="str">
        <f t="shared" si="2"/>
        <v/>
      </c>
    </row>
    <row r="21" spans="1:7" ht="15" customHeight="1" x14ac:dyDescent="0.15">
      <c r="A21" s="131"/>
      <c r="B21" s="48"/>
      <c r="C21" s="48"/>
      <c r="D21" s="48"/>
      <c r="E21" s="30" t="str">
        <f t="shared" si="0"/>
        <v/>
      </c>
      <c r="F21" s="30" t="str">
        <f t="shared" si="1"/>
        <v/>
      </c>
      <c r="G21" s="112" t="str">
        <f t="shared" si="2"/>
        <v/>
      </c>
    </row>
    <row r="22" spans="1:7" ht="15" customHeight="1" x14ac:dyDescent="0.15">
      <c r="A22" s="131"/>
      <c r="B22" s="48"/>
      <c r="C22" s="48"/>
      <c r="D22" s="48"/>
      <c r="E22" s="30" t="str">
        <f t="shared" si="0"/>
        <v/>
      </c>
      <c r="F22" s="30" t="str">
        <f t="shared" si="1"/>
        <v/>
      </c>
      <c r="G22" s="112" t="str">
        <f t="shared" si="2"/>
        <v/>
      </c>
    </row>
    <row r="23" spans="1:7" ht="15" customHeight="1" x14ac:dyDescent="0.15">
      <c r="A23" s="131"/>
      <c r="B23" s="48"/>
      <c r="C23" s="48"/>
      <c r="D23" s="48"/>
      <c r="E23" s="30" t="str">
        <f t="shared" si="0"/>
        <v/>
      </c>
      <c r="F23" s="30" t="str">
        <f t="shared" si="1"/>
        <v/>
      </c>
      <c r="G23" s="112" t="str">
        <f t="shared" si="2"/>
        <v/>
      </c>
    </row>
    <row r="24" spans="1:7" ht="15" customHeight="1" x14ac:dyDescent="0.15">
      <c r="A24" s="131"/>
      <c r="B24" s="48"/>
      <c r="C24" s="48"/>
      <c r="D24" s="48"/>
      <c r="E24" s="30" t="str">
        <f t="shared" si="0"/>
        <v/>
      </c>
      <c r="F24" s="30" t="str">
        <f t="shared" si="1"/>
        <v/>
      </c>
      <c r="G24" s="112" t="str">
        <f t="shared" si="2"/>
        <v/>
      </c>
    </row>
    <row r="25" spans="1:7" ht="15" customHeight="1" x14ac:dyDescent="0.15">
      <c r="A25" s="131"/>
      <c r="B25" s="48"/>
      <c r="C25" s="48"/>
      <c r="D25" s="48"/>
      <c r="E25" s="30" t="str">
        <f t="shared" si="0"/>
        <v/>
      </c>
      <c r="F25" s="30" t="str">
        <f t="shared" si="1"/>
        <v/>
      </c>
      <c r="G25" s="112" t="str">
        <f t="shared" si="2"/>
        <v/>
      </c>
    </row>
    <row r="26" spans="1:7" ht="15" customHeight="1" x14ac:dyDescent="0.15">
      <c r="A26" s="131"/>
      <c r="B26" s="48"/>
      <c r="C26" s="48"/>
      <c r="D26" s="48"/>
      <c r="E26" s="30" t="str">
        <f t="shared" si="0"/>
        <v/>
      </c>
      <c r="F26" s="30" t="str">
        <f t="shared" si="1"/>
        <v/>
      </c>
      <c r="G26" s="112" t="str">
        <f t="shared" si="2"/>
        <v/>
      </c>
    </row>
    <row r="27" spans="1:7" ht="15" customHeight="1" x14ac:dyDescent="0.15">
      <c r="A27" s="131"/>
      <c r="B27" s="48"/>
      <c r="C27" s="48"/>
      <c r="D27" s="48"/>
      <c r="E27" s="30" t="str">
        <f t="shared" si="0"/>
        <v/>
      </c>
      <c r="F27" s="30" t="str">
        <f t="shared" si="1"/>
        <v/>
      </c>
      <c r="G27" s="112" t="str">
        <f t="shared" si="2"/>
        <v/>
      </c>
    </row>
    <row r="28" spans="1:7" ht="15" customHeight="1" x14ac:dyDescent="0.15">
      <c r="A28" s="131"/>
      <c r="B28" s="48"/>
      <c r="C28" s="48"/>
      <c r="D28" s="48"/>
      <c r="E28" s="30" t="str">
        <f t="shared" si="0"/>
        <v/>
      </c>
      <c r="F28" s="30" t="str">
        <f t="shared" si="1"/>
        <v/>
      </c>
      <c r="G28" s="112" t="str">
        <f t="shared" si="2"/>
        <v/>
      </c>
    </row>
    <row r="29" spans="1:7" ht="15" customHeight="1" x14ac:dyDescent="0.15">
      <c r="A29" s="131"/>
      <c r="B29" s="48"/>
      <c r="C29" s="48"/>
      <c r="D29" s="48"/>
      <c r="E29" s="30" t="str">
        <f t="shared" si="0"/>
        <v/>
      </c>
      <c r="F29" s="30" t="str">
        <f t="shared" si="1"/>
        <v/>
      </c>
      <c r="G29" s="112" t="str">
        <f t="shared" si="2"/>
        <v/>
      </c>
    </row>
    <row r="30" spans="1:7" ht="15" customHeight="1" x14ac:dyDescent="0.15">
      <c r="A30" s="131"/>
      <c r="B30" s="48"/>
      <c r="C30" s="48"/>
      <c r="D30" s="48"/>
      <c r="E30" s="30" t="str">
        <f t="shared" si="0"/>
        <v/>
      </c>
      <c r="F30" s="30" t="str">
        <f t="shared" si="1"/>
        <v/>
      </c>
      <c r="G30" s="112" t="str">
        <f t="shared" si="2"/>
        <v/>
      </c>
    </row>
    <row r="31" spans="1:7" ht="15" customHeight="1" x14ac:dyDescent="0.15">
      <c r="A31" s="131"/>
      <c r="B31" s="48"/>
      <c r="C31" s="48"/>
      <c r="D31" s="48"/>
      <c r="E31" s="30" t="str">
        <f t="shared" si="0"/>
        <v/>
      </c>
      <c r="F31" s="30" t="str">
        <f t="shared" si="1"/>
        <v/>
      </c>
      <c r="G31" s="112" t="str">
        <f t="shared" si="2"/>
        <v/>
      </c>
    </row>
    <row r="32" spans="1:7" ht="15" customHeight="1" x14ac:dyDescent="0.15">
      <c r="A32" s="131"/>
      <c r="B32" s="48"/>
      <c r="C32" s="48"/>
      <c r="D32" s="48"/>
      <c r="E32" s="30" t="str">
        <f t="shared" si="0"/>
        <v/>
      </c>
      <c r="F32" s="30" t="str">
        <f t="shared" si="1"/>
        <v/>
      </c>
      <c r="G32" s="112" t="str">
        <f t="shared" si="2"/>
        <v/>
      </c>
    </row>
    <row r="33" spans="1:7" ht="15" customHeight="1" x14ac:dyDescent="0.15">
      <c r="A33" s="131"/>
      <c r="B33" s="48"/>
      <c r="C33" s="48"/>
      <c r="D33" s="48"/>
      <c r="E33" s="30" t="str">
        <f t="shared" si="0"/>
        <v/>
      </c>
      <c r="F33" s="30" t="str">
        <f t="shared" si="1"/>
        <v/>
      </c>
      <c r="G33" s="112" t="str">
        <f t="shared" si="2"/>
        <v/>
      </c>
    </row>
    <row r="34" spans="1:7" ht="15" customHeight="1" x14ac:dyDescent="0.15">
      <c r="A34" s="131"/>
      <c r="B34" s="48"/>
      <c r="C34" s="48"/>
      <c r="D34" s="48"/>
      <c r="E34" s="30" t="str">
        <f t="shared" si="0"/>
        <v/>
      </c>
      <c r="F34" s="30" t="str">
        <f t="shared" si="1"/>
        <v/>
      </c>
      <c r="G34" s="112" t="str">
        <f t="shared" si="2"/>
        <v/>
      </c>
    </row>
    <row r="35" spans="1:7" ht="15" customHeight="1" x14ac:dyDescent="0.15">
      <c r="A35" s="131"/>
      <c r="B35" s="48"/>
      <c r="C35" s="48"/>
      <c r="D35" s="48"/>
      <c r="E35" s="30" t="str">
        <f t="shared" si="0"/>
        <v/>
      </c>
      <c r="F35" s="30" t="str">
        <f t="shared" si="1"/>
        <v/>
      </c>
      <c r="G35" s="112" t="str">
        <f t="shared" si="2"/>
        <v/>
      </c>
    </row>
    <row r="36" spans="1:7" ht="15" customHeight="1" x14ac:dyDescent="0.15">
      <c r="A36" s="131"/>
      <c r="B36" s="48"/>
      <c r="C36" s="48"/>
      <c r="D36" s="48"/>
      <c r="E36" s="30" t="str">
        <f t="shared" si="0"/>
        <v/>
      </c>
      <c r="F36" s="30" t="str">
        <f t="shared" si="1"/>
        <v/>
      </c>
      <c r="G36" s="112" t="str">
        <f t="shared" si="2"/>
        <v/>
      </c>
    </row>
    <row r="37" spans="1:7" ht="15" customHeight="1" x14ac:dyDescent="0.15">
      <c r="A37" s="131"/>
      <c r="B37" s="48"/>
      <c r="C37" s="48"/>
      <c r="D37" s="48"/>
      <c r="E37" s="30" t="str">
        <f t="shared" si="0"/>
        <v/>
      </c>
      <c r="F37" s="30" t="str">
        <f t="shared" si="1"/>
        <v/>
      </c>
      <c r="G37" s="112" t="str">
        <f t="shared" si="2"/>
        <v/>
      </c>
    </row>
    <row r="38" spans="1:7" ht="15" customHeight="1" x14ac:dyDescent="0.15">
      <c r="A38" s="131"/>
      <c r="B38" s="48"/>
      <c r="C38" s="48"/>
      <c r="D38" s="48"/>
      <c r="E38" s="30" t="str">
        <f t="shared" si="0"/>
        <v/>
      </c>
      <c r="F38" s="30" t="str">
        <f t="shared" si="1"/>
        <v/>
      </c>
      <c r="G38" s="112" t="str">
        <f t="shared" si="2"/>
        <v/>
      </c>
    </row>
    <row r="39" spans="1:7" ht="15" customHeight="1" x14ac:dyDescent="0.15">
      <c r="A39" s="131"/>
      <c r="B39" s="48"/>
      <c r="C39" s="48"/>
      <c r="D39" s="48"/>
      <c r="E39" s="30" t="str">
        <f t="shared" si="0"/>
        <v/>
      </c>
      <c r="F39" s="30" t="str">
        <f t="shared" si="1"/>
        <v/>
      </c>
      <c r="G39" s="112" t="str">
        <f t="shared" si="2"/>
        <v/>
      </c>
    </row>
    <row r="40" spans="1:7" ht="15" customHeight="1" x14ac:dyDescent="0.15">
      <c r="A40" s="131"/>
      <c r="B40" s="48"/>
      <c r="C40" s="48"/>
      <c r="D40" s="48"/>
      <c r="E40" s="30" t="str">
        <f t="shared" si="0"/>
        <v/>
      </c>
      <c r="F40" s="30" t="str">
        <f t="shared" si="1"/>
        <v/>
      </c>
      <c r="G40" s="112" t="str">
        <f t="shared" si="2"/>
        <v/>
      </c>
    </row>
    <row r="41" spans="1:7" ht="15" customHeight="1" x14ac:dyDescent="0.15">
      <c r="A41" s="131"/>
      <c r="B41" s="48"/>
      <c r="C41" s="48"/>
      <c r="D41" s="48"/>
      <c r="E41" s="30" t="str">
        <f t="shared" si="0"/>
        <v/>
      </c>
      <c r="F41" s="30" t="str">
        <f t="shared" si="1"/>
        <v/>
      </c>
      <c r="G41" s="112" t="str">
        <f t="shared" si="2"/>
        <v/>
      </c>
    </row>
    <row r="42" spans="1:7" ht="15" customHeight="1" x14ac:dyDescent="0.15">
      <c r="A42" s="131"/>
      <c r="B42" s="48"/>
      <c r="C42" s="48"/>
      <c r="D42" s="48"/>
      <c r="E42" s="30" t="str">
        <f t="shared" si="0"/>
        <v/>
      </c>
      <c r="F42" s="30" t="str">
        <f t="shared" si="1"/>
        <v/>
      </c>
      <c r="G42" s="112" t="str">
        <f t="shared" si="2"/>
        <v/>
      </c>
    </row>
    <row r="43" spans="1:7" ht="15" customHeight="1" x14ac:dyDescent="0.15">
      <c r="A43" s="131"/>
      <c r="B43" s="48"/>
      <c r="C43" s="48"/>
      <c r="D43" s="48"/>
      <c r="E43" s="30" t="str">
        <f t="shared" si="0"/>
        <v/>
      </c>
      <c r="F43" s="30" t="str">
        <f t="shared" si="1"/>
        <v/>
      </c>
      <c r="G43" s="112" t="str">
        <f t="shared" si="2"/>
        <v/>
      </c>
    </row>
    <row r="44" spans="1:7" ht="15" customHeight="1" x14ac:dyDescent="0.15">
      <c r="A44" s="131"/>
      <c r="B44" s="48"/>
      <c r="C44" s="48"/>
      <c r="D44" s="48"/>
      <c r="E44" s="30" t="str">
        <f t="shared" si="0"/>
        <v/>
      </c>
      <c r="F44" s="30" t="str">
        <f t="shared" si="1"/>
        <v/>
      </c>
      <c r="G44" s="112" t="str">
        <f t="shared" si="2"/>
        <v/>
      </c>
    </row>
    <row r="45" spans="1:7" ht="15" customHeight="1" x14ac:dyDescent="0.15">
      <c r="A45" s="131"/>
      <c r="B45" s="48"/>
      <c r="C45" s="48"/>
      <c r="D45" s="48"/>
      <c r="E45" s="30" t="str">
        <f t="shared" si="0"/>
        <v/>
      </c>
      <c r="F45" s="30" t="str">
        <f t="shared" si="1"/>
        <v/>
      </c>
      <c r="G45" s="112" t="str">
        <f t="shared" si="2"/>
        <v/>
      </c>
    </row>
    <row r="46" spans="1:7" ht="15" customHeight="1" x14ac:dyDescent="0.15">
      <c r="A46" s="131"/>
      <c r="B46" s="48"/>
      <c r="C46" s="48"/>
      <c r="D46" s="48"/>
      <c r="E46" s="30" t="str">
        <f t="shared" si="0"/>
        <v/>
      </c>
      <c r="F46" s="30" t="str">
        <f t="shared" si="1"/>
        <v/>
      </c>
      <c r="G46" s="112" t="str">
        <f t="shared" si="2"/>
        <v/>
      </c>
    </row>
    <row r="47" spans="1:7" ht="15" customHeight="1" x14ac:dyDescent="0.15">
      <c r="A47" s="131"/>
      <c r="B47" s="48"/>
      <c r="C47" s="48"/>
      <c r="D47" s="48"/>
      <c r="E47" s="30" t="str">
        <f t="shared" si="0"/>
        <v/>
      </c>
      <c r="F47" s="30" t="str">
        <f t="shared" si="1"/>
        <v/>
      </c>
      <c r="G47" s="112" t="str">
        <f t="shared" si="2"/>
        <v/>
      </c>
    </row>
    <row r="48" spans="1:7" ht="15" customHeight="1" x14ac:dyDescent="0.15">
      <c r="A48" s="131"/>
      <c r="B48" s="48"/>
      <c r="C48" s="48"/>
      <c r="D48" s="48"/>
      <c r="E48" s="30" t="str">
        <f t="shared" si="0"/>
        <v/>
      </c>
      <c r="F48" s="30" t="str">
        <f t="shared" si="1"/>
        <v/>
      </c>
      <c r="G48" s="112" t="str">
        <f t="shared" si="2"/>
        <v/>
      </c>
    </row>
    <row r="49" spans="1:7" ht="15" customHeight="1" x14ac:dyDescent="0.15">
      <c r="A49" s="131"/>
      <c r="B49" s="48"/>
      <c r="C49" s="48"/>
      <c r="D49" s="48"/>
      <c r="E49" s="30" t="str">
        <f t="shared" si="0"/>
        <v/>
      </c>
      <c r="F49" s="30" t="str">
        <f t="shared" si="1"/>
        <v/>
      </c>
      <c r="G49" s="112" t="str">
        <f t="shared" si="2"/>
        <v/>
      </c>
    </row>
    <row r="50" spans="1:7" ht="15" customHeight="1" x14ac:dyDescent="0.15">
      <c r="A50" s="131"/>
      <c r="B50" s="48"/>
      <c r="C50" s="48"/>
      <c r="D50" s="48"/>
      <c r="E50" s="30" t="str">
        <f t="shared" si="0"/>
        <v/>
      </c>
      <c r="F50" s="30" t="str">
        <f t="shared" si="1"/>
        <v/>
      </c>
      <c r="G50" s="112" t="str">
        <f t="shared" si="2"/>
        <v/>
      </c>
    </row>
    <row r="51" spans="1:7" ht="15" customHeight="1" x14ac:dyDescent="0.15">
      <c r="A51" s="131"/>
      <c r="B51" s="48"/>
      <c r="C51" s="48"/>
      <c r="D51" s="48"/>
      <c r="E51" s="30" t="str">
        <f t="shared" si="0"/>
        <v/>
      </c>
      <c r="F51" s="30" t="str">
        <f t="shared" si="1"/>
        <v/>
      </c>
      <c r="G51" s="112" t="str">
        <f t="shared" si="2"/>
        <v/>
      </c>
    </row>
    <row r="52" spans="1:7" ht="15" customHeight="1" x14ac:dyDescent="0.15">
      <c r="A52" s="131"/>
      <c r="B52" s="48"/>
      <c r="C52" s="48"/>
      <c r="D52" s="48"/>
      <c r="E52" s="30" t="str">
        <f t="shared" si="0"/>
        <v/>
      </c>
      <c r="F52" s="30" t="str">
        <f t="shared" si="1"/>
        <v/>
      </c>
      <c r="G52" s="112" t="str">
        <f t="shared" si="2"/>
        <v/>
      </c>
    </row>
    <row r="53" spans="1:7" ht="15" customHeight="1" x14ac:dyDescent="0.15">
      <c r="A53" s="131"/>
      <c r="B53" s="48"/>
      <c r="C53" s="48"/>
      <c r="D53" s="48"/>
      <c r="E53" s="30" t="str">
        <f t="shared" si="0"/>
        <v/>
      </c>
      <c r="F53" s="30" t="str">
        <f t="shared" si="1"/>
        <v/>
      </c>
      <c r="G53" s="112" t="str">
        <f t="shared" si="2"/>
        <v/>
      </c>
    </row>
    <row r="54" spans="1:7" ht="15" customHeight="1" x14ac:dyDescent="0.15">
      <c r="A54" s="131"/>
      <c r="B54" s="48"/>
      <c r="C54" s="48"/>
      <c r="D54" s="48"/>
      <c r="E54" s="30" t="str">
        <f t="shared" si="0"/>
        <v/>
      </c>
      <c r="F54" s="30" t="str">
        <f t="shared" si="1"/>
        <v/>
      </c>
      <c r="G54" s="112" t="str">
        <f t="shared" si="2"/>
        <v/>
      </c>
    </row>
    <row r="55" spans="1:7" ht="15" customHeight="1" x14ac:dyDescent="0.15">
      <c r="A55" s="131"/>
      <c r="B55" s="48"/>
      <c r="C55" s="48"/>
      <c r="D55" s="48"/>
      <c r="E55" s="30" t="str">
        <f t="shared" si="0"/>
        <v/>
      </c>
      <c r="F55" s="30" t="str">
        <f t="shared" si="1"/>
        <v/>
      </c>
      <c r="G55" s="112" t="str">
        <f t="shared" si="2"/>
        <v/>
      </c>
    </row>
    <row r="56" spans="1:7" ht="15" customHeight="1" x14ac:dyDescent="0.15">
      <c r="A56" s="131"/>
      <c r="B56" s="48"/>
      <c r="C56" s="48"/>
      <c r="D56" s="48"/>
      <c r="E56" s="30" t="str">
        <f t="shared" si="0"/>
        <v/>
      </c>
      <c r="F56" s="30" t="str">
        <f t="shared" si="1"/>
        <v/>
      </c>
      <c r="G56" s="112" t="str">
        <f t="shared" si="2"/>
        <v/>
      </c>
    </row>
    <row r="57" spans="1:7" ht="15" customHeight="1" x14ac:dyDescent="0.15">
      <c r="A57" s="131"/>
      <c r="B57" s="48"/>
      <c r="C57" s="48"/>
      <c r="D57" s="48"/>
      <c r="E57" s="30" t="str">
        <f t="shared" si="0"/>
        <v/>
      </c>
      <c r="F57" s="30" t="str">
        <f t="shared" si="1"/>
        <v/>
      </c>
      <c r="G57" s="112" t="str">
        <f t="shared" si="2"/>
        <v/>
      </c>
    </row>
    <row r="58" spans="1:7" ht="15" customHeight="1" x14ac:dyDescent="0.15">
      <c r="A58" s="131"/>
      <c r="B58" s="48"/>
      <c r="C58" s="48"/>
      <c r="D58" s="48"/>
      <c r="E58" s="30" t="str">
        <f t="shared" si="0"/>
        <v/>
      </c>
      <c r="F58" s="30" t="str">
        <f t="shared" si="1"/>
        <v/>
      </c>
      <c r="G58" s="112" t="str">
        <f t="shared" si="2"/>
        <v/>
      </c>
    </row>
    <row r="59" spans="1:7" ht="15" customHeight="1" x14ac:dyDescent="0.15">
      <c r="A59" s="131"/>
      <c r="B59" s="48"/>
      <c r="C59" s="48"/>
      <c r="D59" s="48"/>
      <c r="E59" s="30" t="str">
        <f t="shared" si="0"/>
        <v/>
      </c>
      <c r="F59" s="30" t="str">
        <f t="shared" si="1"/>
        <v/>
      </c>
      <c r="G59" s="112" t="str">
        <f t="shared" si="2"/>
        <v/>
      </c>
    </row>
    <row r="60" spans="1:7" ht="15" customHeight="1" x14ac:dyDescent="0.15">
      <c r="A60" s="131"/>
      <c r="B60" s="48"/>
      <c r="C60" s="48"/>
      <c r="D60" s="48"/>
      <c r="E60" s="30" t="str">
        <f t="shared" si="0"/>
        <v/>
      </c>
      <c r="F60" s="30" t="str">
        <f t="shared" si="1"/>
        <v/>
      </c>
      <c r="G60" s="112"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42" t="s">
        <v>204</v>
      </c>
    </row>
    <row r="2" spans="1:7" ht="12.75" customHeight="1" x14ac:dyDescent="0.15">
      <c r="A2" s="22" t="s">
        <v>205</v>
      </c>
    </row>
    <row r="4" spans="1:7" ht="30" customHeight="1" x14ac:dyDescent="0.15">
      <c r="A4" s="27" t="s">
        <v>206</v>
      </c>
      <c r="B4" s="27" t="s">
        <v>56</v>
      </c>
      <c r="C4" s="27" t="s">
        <v>207</v>
      </c>
      <c r="D4" s="27" t="s">
        <v>208</v>
      </c>
      <c r="E4" s="27" t="s">
        <v>209</v>
      </c>
      <c r="F4" s="27" t="s">
        <v>210</v>
      </c>
      <c r="G4" s="27" t="s">
        <v>202</v>
      </c>
    </row>
    <row r="5" spans="1:7" ht="12.75" customHeight="1" x14ac:dyDescent="0.15">
      <c r="A5" s="132">
        <v>45627</v>
      </c>
      <c r="B5" s="56">
        <v>1050000</v>
      </c>
      <c r="C5" s="70"/>
      <c r="D5" s="70"/>
      <c r="E5" s="84"/>
      <c r="F5" s="70"/>
      <c r="G5" s="133" t="s">
        <v>211</v>
      </c>
    </row>
    <row r="6" spans="1:7" ht="12.75" customHeight="1" x14ac:dyDescent="0.15">
      <c r="A6" s="132">
        <v>45717</v>
      </c>
      <c r="B6" s="56">
        <v>1082000</v>
      </c>
      <c r="C6" s="70">
        <f t="shared" ref="C6:C40" si="0">IF(OR($A6="",$B6=""),"",IF($B5="","",$B6-$B5))</f>
        <v>32000</v>
      </c>
      <c r="D6" s="70" t="str">
        <f>IF(OR($A6="",$B6=""),"",IFERROR($B6-LOOKUP(EDATE($A6,-12),$A$5:$A5,$B$5:$B5),""))</f>
        <v/>
      </c>
      <c r="E6" s="84" t="str">
        <f t="shared" ref="E6:E40" si="1">IF($D6="","",IFERROR($D6/($B6-$D6),""))</f>
        <v/>
      </c>
      <c r="F6" s="70">
        <f>IF(OR($A6="",$B6=""),"",IFERROR(AVERAGEIFS($C$5:$C6,$A$5:$A6,"&gt;"&amp;EDATE($A6,-12),$A$5:$A6,"&lt;="&amp;$A6),""))</f>
        <v>32000</v>
      </c>
      <c r="G6" s="133"/>
    </row>
    <row r="7" spans="1:7" ht="12.75" customHeight="1" x14ac:dyDescent="0.15">
      <c r="A7" s="132">
        <v>45809</v>
      </c>
      <c r="B7" s="56">
        <v>1068000</v>
      </c>
      <c r="C7" s="70">
        <f t="shared" si="0"/>
        <v>-14000</v>
      </c>
      <c r="D7" s="70" t="str">
        <f>IF(OR($A7="",$B7=""),"",IFERROR($B7-LOOKUP(EDATE($A7,-12),$A$5:$A6,$B$5:$B6),""))</f>
        <v/>
      </c>
      <c r="E7" s="84" t="str">
        <f t="shared" si="1"/>
        <v/>
      </c>
      <c r="F7" s="70">
        <f>IF(OR($A7="",$B7=""),"",IFERROR(AVERAGEIFS($C$5:$C7,$A$5:$A7,"&gt;"&amp;EDATE($A7,-12),$A$5:$A7,"&lt;="&amp;$A7),""))</f>
        <v>9000</v>
      </c>
      <c r="G7" s="133" t="s">
        <v>212</v>
      </c>
    </row>
    <row r="8" spans="1:7" ht="12.75" customHeight="1" x14ac:dyDescent="0.15">
      <c r="A8" s="132">
        <v>45901</v>
      </c>
      <c r="B8" s="56">
        <v>1120000</v>
      </c>
      <c r="C8" s="70">
        <f t="shared" si="0"/>
        <v>52000</v>
      </c>
      <c r="D8" s="70" t="str">
        <f>IF(OR($A8="",$B8=""),"",IFERROR($B8-LOOKUP(EDATE($A8,-12),$A$5:$A7,$B$5:$B7),""))</f>
        <v/>
      </c>
      <c r="E8" s="84" t="str">
        <f t="shared" si="1"/>
        <v/>
      </c>
      <c r="F8" s="70">
        <f>IF(OR($A8="",$B8=""),"",IFERROR(AVERAGEIFS($C$5:$C8,$A$5:$A8,"&gt;"&amp;EDATE($A8,-12),$A$5:$A8,"&lt;="&amp;$A8),""))</f>
        <v>23333.333333333332</v>
      </c>
      <c r="G8" s="133"/>
    </row>
    <row r="9" spans="1:7" ht="12.75" customHeight="1" x14ac:dyDescent="0.15">
      <c r="A9" s="132">
        <v>45992</v>
      </c>
      <c r="B9" s="56">
        <v>1168000</v>
      </c>
      <c r="C9" s="70">
        <f t="shared" si="0"/>
        <v>48000</v>
      </c>
      <c r="D9" s="70">
        <f>IF(OR($A9="",$B9=""),"",IFERROR($B9-LOOKUP(EDATE($A9,-12),$A$5:$A8,$B$5:$B8),""))</f>
        <v>118000</v>
      </c>
      <c r="E9" s="84">
        <f t="shared" si="1"/>
        <v>0.11238095238095239</v>
      </c>
      <c r="F9" s="70">
        <f>IF(OR($A9="",$B9=""),"",IFERROR(AVERAGEIFS($C$5:$C9,$A$5:$A9,"&gt;"&amp;EDATE($A9,-12),$A$5:$A9,"&lt;="&amp;$A9),""))</f>
        <v>29500</v>
      </c>
      <c r="G9" s="133" t="s">
        <v>213</v>
      </c>
    </row>
    <row r="10" spans="1:7" ht="12.75" customHeight="1" x14ac:dyDescent="0.15">
      <c r="A10" s="132">
        <v>46082</v>
      </c>
      <c r="B10" s="56">
        <v>1196000</v>
      </c>
      <c r="C10" s="70">
        <f t="shared" si="0"/>
        <v>28000</v>
      </c>
      <c r="D10" s="70">
        <f>IF(OR($A10="",$B10=""),"",IFERROR($B10-LOOKUP(EDATE($A10,-12),$A$5:$A9,$B$5:$B9),""))</f>
        <v>114000</v>
      </c>
      <c r="E10" s="84">
        <f t="shared" si="1"/>
        <v>0.10536044362292052</v>
      </c>
      <c r="F10" s="70">
        <f>IF(OR($A10="",$B10=""),"",IFERROR(AVERAGEIFS($C$5:$C10,$A$5:$A10,"&gt;"&amp;EDATE($A10,-12),$A$5:$A10,"&lt;="&amp;$A10),""))</f>
        <v>28500</v>
      </c>
      <c r="G10" s="133"/>
    </row>
    <row r="11" spans="1:7" ht="12.75" customHeight="1" x14ac:dyDescent="0.15">
      <c r="A11" s="132">
        <v>46174</v>
      </c>
      <c r="B11" s="56">
        <v>1224000</v>
      </c>
      <c r="C11" s="70">
        <f t="shared" si="0"/>
        <v>28000</v>
      </c>
      <c r="D11" s="70">
        <f>IF(OR($A11="",$B11=""),"",IFERROR($B11-LOOKUP(EDATE($A11,-12),$A$5:$A10,$B$5:$B10),""))</f>
        <v>156000</v>
      </c>
      <c r="E11" s="84">
        <f t="shared" si="1"/>
        <v>0.14606741573033707</v>
      </c>
      <c r="F11" s="70">
        <f>IF(OR($A11="",$B11=""),"",IFERROR(AVERAGEIFS($C$5:$C11,$A$5:$A11,"&gt;"&amp;EDATE($A11,-12),$A$5:$A11,"&lt;="&amp;$A11),""))</f>
        <v>39000</v>
      </c>
      <c r="G11" s="133"/>
    </row>
    <row r="12" spans="1:7" ht="12.75" customHeight="1" x14ac:dyDescent="0.15">
      <c r="A12" s="134"/>
      <c r="B12" s="30"/>
      <c r="C12" s="30" t="str">
        <f t="shared" si="0"/>
        <v/>
      </c>
      <c r="D12" s="30" t="str">
        <f>IF(OR($A12="",$B12=""),"",IFERROR($B12-LOOKUP(EDATE($A12,-12),$A$5:$A11,$B$5:$B11),""))</f>
        <v/>
      </c>
      <c r="E12" s="112" t="str">
        <f t="shared" si="1"/>
        <v/>
      </c>
      <c r="F12" s="30" t="str">
        <f>IF(OR($A12="",$B12=""),"",IFERROR(AVERAGEIFS($C$5:$C12,$A$5:$A12,"&gt;"&amp;EDATE($A12,-12),$A$5:$A12,"&lt;="&amp;$A12),""))</f>
        <v/>
      </c>
    </row>
    <row r="13" spans="1:7" ht="12.75" customHeight="1" x14ac:dyDescent="0.15">
      <c r="A13" s="134"/>
      <c r="B13" s="30"/>
      <c r="C13" s="30" t="str">
        <f t="shared" si="0"/>
        <v/>
      </c>
      <c r="D13" s="30" t="str">
        <f>IF(OR($A13="",$B13=""),"",IFERROR($B13-LOOKUP(EDATE($A13,-12),$A$5:$A12,$B$5:$B12),""))</f>
        <v/>
      </c>
      <c r="E13" s="112" t="str">
        <f t="shared" si="1"/>
        <v/>
      </c>
      <c r="F13" s="30" t="str">
        <f>IF(OR($A13="",$B13=""),"",IFERROR(AVERAGEIFS($C$5:$C13,$A$5:$A13,"&gt;"&amp;EDATE($A13,-12),$A$5:$A13,"&lt;="&amp;$A13),""))</f>
        <v/>
      </c>
    </row>
    <row r="14" spans="1:7" ht="12.75" customHeight="1" x14ac:dyDescent="0.15">
      <c r="A14" s="134"/>
      <c r="B14" s="30"/>
      <c r="C14" s="30" t="str">
        <f t="shared" si="0"/>
        <v/>
      </c>
      <c r="D14" s="30" t="str">
        <f>IF(OR($A14="",$B14=""),"",IFERROR($B14-LOOKUP(EDATE($A14,-12),$A$5:$A13,$B$5:$B13),""))</f>
        <v/>
      </c>
      <c r="E14" s="112" t="str">
        <f t="shared" si="1"/>
        <v/>
      </c>
      <c r="F14" s="30" t="str">
        <f>IF(OR($A14="",$B14=""),"",IFERROR(AVERAGEIFS($C$5:$C14,$A$5:$A14,"&gt;"&amp;EDATE($A14,-12),$A$5:$A14,"&lt;="&amp;$A14),""))</f>
        <v/>
      </c>
    </row>
    <row r="15" spans="1:7" ht="12.75" customHeight="1" x14ac:dyDescent="0.15">
      <c r="A15" s="134"/>
      <c r="B15" s="30"/>
      <c r="C15" s="30" t="str">
        <f t="shared" si="0"/>
        <v/>
      </c>
      <c r="D15" s="30" t="str">
        <f>IF(OR($A15="",$B15=""),"",IFERROR($B15-LOOKUP(EDATE($A15,-12),$A$5:$A14,$B$5:$B14),""))</f>
        <v/>
      </c>
      <c r="E15" s="112" t="str">
        <f t="shared" si="1"/>
        <v/>
      </c>
      <c r="F15" s="30" t="str">
        <f>IF(OR($A15="",$B15=""),"",IFERROR(AVERAGEIFS($C$5:$C15,$A$5:$A15,"&gt;"&amp;EDATE($A15,-12),$A$5:$A15,"&lt;="&amp;$A15),""))</f>
        <v/>
      </c>
    </row>
    <row r="16" spans="1:7" ht="12.75" customHeight="1" x14ac:dyDescent="0.15">
      <c r="A16" s="134"/>
      <c r="B16" s="30"/>
      <c r="C16" s="30" t="str">
        <f t="shared" si="0"/>
        <v/>
      </c>
      <c r="D16" s="30" t="str">
        <f>IF(OR($A16="",$B16=""),"",IFERROR($B16-LOOKUP(EDATE($A16,-12),$A$5:$A15,$B$5:$B15),""))</f>
        <v/>
      </c>
      <c r="E16" s="112" t="str">
        <f t="shared" si="1"/>
        <v/>
      </c>
      <c r="F16" s="30" t="str">
        <f>IF(OR($A16="",$B16=""),"",IFERROR(AVERAGEIFS($C$5:$C16,$A$5:$A16,"&gt;"&amp;EDATE($A16,-12),$A$5:$A16,"&lt;="&amp;$A16),""))</f>
        <v/>
      </c>
    </row>
    <row r="17" spans="1:6" ht="12.75" customHeight="1" x14ac:dyDescent="0.15">
      <c r="A17" s="134"/>
      <c r="B17" s="30"/>
      <c r="C17" s="30" t="str">
        <f t="shared" si="0"/>
        <v/>
      </c>
      <c r="D17" s="30" t="str">
        <f>IF(OR($A17="",$B17=""),"",IFERROR($B17-LOOKUP(EDATE($A17,-12),$A$5:$A16,$B$5:$B16),""))</f>
        <v/>
      </c>
      <c r="E17" s="112" t="str">
        <f t="shared" si="1"/>
        <v/>
      </c>
      <c r="F17" s="30" t="str">
        <f>IF(OR($A17="",$B17=""),"",IFERROR(AVERAGEIFS($C$5:$C17,$A$5:$A17,"&gt;"&amp;EDATE($A17,-12),$A$5:$A17,"&lt;="&amp;$A17),""))</f>
        <v/>
      </c>
    </row>
    <row r="18" spans="1:6" ht="12.75" customHeight="1" x14ac:dyDescent="0.15">
      <c r="A18" s="134"/>
      <c r="B18" s="30"/>
      <c r="C18" s="30" t="str">
        <f t="shared" si="0"/>
        <v/>
      </c>
      <c r="D18" s="30" t="str">
        <f>IF(OR($A18="",$B18=""),"",IFERROR($B18-LOOKUP(EDATE($A18,-12),$A$5:$A17,$B$5:$B17),""))</f>
        <v/>
      </c>
      <c r="E18" s="112" t="str">
        <f t="shared" si="1"/>
        <v/>
      </c>
      <c r="F18" s="30" t="str">
        <f>IF(OR($A18="",$B18=""),"",IFERROR(AVERAGEIFS($C$5:$C18,$A$5:$A18,"&gt;"&amp;EDATE($A18,-12),$A$5:$A18,"&lt;="&amp;$A18),""))</f>
        <v/>
      </c>
    </row>
    <row r="19" spans="1:6" ht="12.75" customHeight="1" x14ac:dyDescent="0.15">
      <c r="A19" s="134"/>
      <c r="B19" s="30"/>
      <c r="C19" s="30" t="str">
        <f t="shared" si="0"/>
        <v/>
      </c>
      <c r="D19" s="30" t="str">
        <f>IF(OR($A19="",$B19=""),"",IFERROR($B19-LOOKUP(EDATE($A19,-12),$A$5:$A18,$B$5:$B18),""))</f>
        <v/>
      </c>
      <c r="E19" s="112" t="str">
        <f t="shared" si="1"/>
        <v/>
      </c>
      <c r="F19" s="30" t="str">
        <f>IF(OR($A19="",$B19=""),"",IFERROR(AVERAGEIFS($C$5:$C19,$A$5:$A19,"&gt;"&amp;EDATE($A19,-12),$A$5:$A19,"&lt;="&amp;$A19),""))</f>
        <v/>
      </c>
    </row>
    <row r="20" spans="1:6" ht="12.75" customHeight="1" x14ac:dyDescent="0.15">
      <c r="A20" s="134"/>
      <c r="B20" s="30"/>
      <c r="C20" s="30" t="str">
        <f t="shared" si="0"/>
        <v/>
      </c>
      <c r="D20" s="30" t="str">
        <f>IF(OR($A20="",$B20=""),"",IFERROR($B20-LOOKUP(EDATE($A20,-12),$A$5:$A19,$B$5:$B19),""))</f>
        <v/>
      </c>
      <c r="E20" s="112" t="str">
        <f t="shared" si="1"/>
        <v/>
      </c>
      <c r="F20" s="30" t="str">
        <f>IF(OR($A20="",$B20=""),"",IFERROR(AVERAGEIFS($C$5:$C20,$A$5:$A20,"&gt;"&amp;EDATE($A20,-12),$A$5:$A20,"&lt;="&amp;$A20),""))</f>
        <v/>
      </c>
    </row>
    <row r="21" spans="1:6" ht="12.75" customHeight="1" x14ac:dyDescent="0.15">
      <c r="A21" s="134"/>
      <c r="B21" s="30"/>
      <c r="C21" s="30" t="str">
        <f t="shared" si="0"/>
        <v/>
      </c>
      <c r="D21" s="30" t="str">
        <f>IF(OR($A21="",$B21=""),"",IFERROR($B21-LOOKUP(EDATE($A21,-12),$A$5:$A20,$B$5:$B20),""))</f>
        <v/>
      </c>
      <c r="E21" s="112" t="str">
        <f t="shared" si="1"/>
        <v/>
      </c>
      <c r="F21" s="30" t="str">
        <f>IF(OR($A21="",$B21=""),"",IFERROR(AVERAGEIFS($C$5:$C21,$A$5:$A21,"&gt;"&amp;EDATE($A21,-12),$A$5:$A21,"&lt;="&amp;$A21),""))</f>
        <v/>
      </c>
    </row>
    <row r="22" spans="1:6" ht="12.75" customHeight="1" x14ac:dyDescent="0.15">
      <c r="A22" s="134"/>
      <c r="B22" s="30"/>
      <c r="C22" s="30" t="str">
        <f t="shared" si="0"/>
        <v/>
      </c>
      <c r="D22" s="30" t="str">
        <f>IF(OR($A22="",$B22=""),"",IFERROR($B22-LOOKUP(EDATE($A22,-12),$A$5:$A21,$B$5:$B21),""))</f>
        <v/>
      </c>
      <c r="E22" s="112" t="str">
        <f t="shared" si="1"/>
        <v/>
      </c>
      <c r="F22" s="30" t="str">
        <f>IF(OR($A22="",$B22=""),"",IFERROR(AVERAGEIFS($C$5:$C22,$A$5:$A22,"&gt;"&amp;EDATE($A22,-12),$A$5:$A22,"&lt;="&amp;$A22),""))</f>
        <v/>
      </c>
    </row>
    <row r="23" spans="1:6" ht="12.75" customHeight="1" x14ac:dyDescent="0.15">
      <c r="A23" s="134"/>
      <c r="B23" s="30"/>
      <c r="C23" s="30" t="str">
        <f t="shared" si="0"/>
        <v/>
      </c>
      <c r="D23" s="30" t="str">
        <f>IF(OR($A23="",$B23=""),"",IFERROR($B23-LOOKUP(EDATE($A23,-12),$A$5:$A22,$B$5:$B22),""))</f>
        <v/>
      </c>
      <c r="E23" s="112" t="str">
        <f t="shared" si="1"/>
        <v/>
      </c>
      <c r="F23" s="30" t="str">
        <f>IF(OR($A23="",$B23=""),"",IFERROR(AVERAGEIFS($C$5:$C23,$A$5:$A23,"&gt;"&amp;EDATE($A23,-12),$A$5:$A23,"&lt;="&amp;$A23),""))</f>
        <v/>
      </c>
    </row>
    <row r="24" spans="1:6" ht="12.75" customHeight="1" x14ac:dyDescent="0.15">
      <c r="A24" s="134"/>
      <c r="B24" s="30"/>
      <c r="C24" s="30" t="str">
        <f t="shared" si="0"/>
        <v/>
      </c>
      <c r="D24" s="30" t="str">
        <f>IF(OR($A24="",$B24=""),"",IFERROR($B24-LOOKUP(EDATE($A24,-12),$A$5:$A23,$B$5:$B23),""))</f>
        <v/>
      </c>
      <c r="E24" s="112" t="str">
        <f t="shared" si="1"/>
        <v/>
      </c>
      <c r="F24" s="30" t="str">
        <f>IF(OR($A24="",$B24=""),"",IFERROR(AVERAGEIFS($C$5:$C24,$A$5:$A24,"&gt;"&amp;EDATE($A24,-12),$A$5:$A24,"&lt;="&amp;$A24),""))</f>
        <v/>
      </c>
    </row>
    <row r="25" spans="1:6" ht="12.75" customHeight="1" x14ac:dyDescent="0.15">
      <c r="A25" s="134"/>
      <c r="B25" s="30"/>
      <c r="C25" s="30" t="str">
        <f t="shared" si="0"/>
        <v/>
      </c>
      <c r="D25" s="30" t="str">
        <f>IF(OR($A25="",$B25=""),"",IFERROR($B25-LOOKUP(EDATE($A25,-12),$A$5:$A24,$B$5:$B24),""))</f>
        <v/>
      </c>
      <c r="E25" s="112" t="str">
        <f t="shared" si="1"/>
        <v/>
      </c>
      <c r="F25" s="30" t="str">
        <f>IF(OR($A25="",$B25=""),"",IFERROR(AVERAGEIFS($C$5:$C25,$A$5:$A25,"&gt;"&amp;EDATE($A25,-12),$A$5:$A25,"&lt;="&amp;$A25),""))</f>
        <v/>
      </c>
    </row>
    <row r="26" spans="1:6" ht="12.75" customHeight="1" x14ac:dyDescent="0.15">
      <c r="A26" s="134"/>
      <c r="B26" s="30"/>
      <c r="C26" s="30" t="str">
        <f t="shared" si="0"/>
        <v/>
      </c>
      <c r="D26" s="30" t="str">
        <f>IF(OR($A26="",$B26=""),"",IFERROR($B26-LOOKUP(EDATE($A26,-12),$A$5:$A25,$B$5:$B25),""))</f>
        <v/>
      </c>
      <c r="E26" s="112" t="str">
        <f t="shared" si="1"/>
        <v/>
      </c>
      <c r="F26" s="30" t="str">
        <f>IF(OR($A26="",$B26=""),"",IFERROR(AVERAGEIFS($C$5:$C26,$A$5:$A26,"&gt;"&amp;EDATE($A26,-12),$A$5:$A26,"&lt;="&amp;$A26),""))</f>
        <v/>
      </c>
    </row>
    <row r="27" spans="1:6" ht="12.75" customHeight="1" x14ac:dyDescent="0.15">
      <c r="A27" s="134"/>
      <c r="B27" s="30"/>
      <c r="C27" s="30" t="str">
        <f t="shared" si="0"/>
        <v/>
      </c>
      <c r="D27" s="30" t="str">
        <f>IF(OR($A27="",$B27=""),"",IFERROR($B27-LOOKUP(EDATE($A27,-12),$A$5:$A26,$B$5:$B26),""))</f>
        <v/>
      </c>
      <c r="E27" s="112" t="str">
        <f t="shared" si="1"/>
        <v/>
      </c>
      <c r="F27" s="30" t="str">
        <f>IF(OR($A27="",$B27=""),"",IFERROR(AVERAGEIFS($C$5:$C27,$A$5:$A27,"&gt;"&amp;EDATE($A27,-12),$A$5:$A27,"&lt;="&amp;$A27),""))</f>
        <v/>
      </c>
    </row>
    <row r="28" spans="1:6" ht="12.75" customHeight="1" x14ac:dyDescent="0.15">
      <c r="A28" s="134"/>
      <c r="B28" s="30"/>
      <c r="C28" s="30" t="str">
        <f t="shared" si="0"/>
        <v/>
      </c>
      <c r="D28" s="30" t="str">
        <f>IF(OR($A28="",$B28=""),"",IFERROR($B28-LOOKUP(EDATE($A28,-12),$A$5:$A27,$B$5:$B27),""))</f>
        <v/>
      </c>
      <c r="E28" s="112" t="str">
        <f t="shared" si="1"/>
        <v/>
      </c>
      <c r="F28" s="30" t="str">
        <f>IF(OR($A28="",$B28=""),"",IFERROR(AVERAGEIFS($C$5:$C28,$A$5:$A28,"&gt;"&amp;EDATE($A28,-12),$A$5:$A28,"&lt;="&amp;$A28),""))</f>
        <v/>
      </c>
    </row>
    <row r="29" spans="1:6" ht="12.75" customHeight="1" x14ac:dyDescent="0.15">
      <c r="A29" s="134"/>
      <c r="B29" s="30"/>
      <c r="C29" s="30" t="str">
        <f t="shared" si="0"/>
        <v/>
      </c>
      <c r="D29" s="30" t="str">
        <f>IF(OR($A29="",$B29=""),"",IFERROR($B29-LOOKUP(EDATE($A29,-12),$A$5:$A28,$B$5:$B28),""))</f>
        <v/>
      </c>
      <c r="E29" s="112" t="str">
        <f t="shared" si="1"/>
        <v/>
      </c>
      <c r="F29" s="30" t="str">
        <f>IF(OR($A29="",$B29=""),"",IFERROR(AVERAGEIFS($C$5:$C29,$A$5:$A29,"&gt;"&amp;EDATE($A29,-12),$A$5:$A29,"&lt;="&amp;$A29),""))</f>
        <v/>
      </c>
    </row>
    <row r="30" spans="1:6" ht="12.75" customHeight="1" x14ac:dyDescent="0.15">
      <c r="A30" s="134"/>
      <c r="B30" s="30"/>
      <c r="C30" s="30" t="str">
        <f t="shared" si="0"/>
        <v/>
      </c>
      <c r="D30" s="30" t="str">
        <f>IF(OR($A30="",$B30=""),"",IFERROR($B30-LOOKUP(EDATE($A30,-12),$A$5:$A29,$B$5:$B29),""))</f>
        <v/>
      </c>
      <c r="E30" s="112" t="str">
        <f t="shared" si="1"/>
        <v/>
      </c>
      <c r="F30" s="30" t="str">
        <f>IF(OR($A30="",$B30=""),"",IFERROR(AVERAGEIFS($C$5:$C30,$A$5:$A30,"&gt;"&amp;EDATE($A30,-12),$A$5:$A30,"&lt;="&amp;$A30),""))</f>
        <v/>
      </c>
    </row>
    <row r="31" spans="1:6" ht="12.75" customHeight="1" x14ac:dyDescent="0.15">
      <c r="A31" s="134"/>
      <c r="B31" s="30"/>
      <c r="C31" s="30" t="str">
        <f t="shared" si="0"/>
        <v/>
      </c>
      <c r="D31" s="30" t="str">
        <f>IF(OR($A31="",$B31=""),"",IFERROR($B31-LOOKUP(EDATE($A31,-12),$A$5:$A30,$B$5:$B30),""))</f>
        <v/>
      </c>
      <c r="E31" s="112" t="str">
        <f t="shared" si="1"/>
        <v/>
      </c>
      <c r="F31" s="30" t="str">
        <f>IF(OR($A31="",$B31=""),"",IFERROR(AVERAGEIFS($C$5:$C31,$A$5:$A31,"&gt;"&amp;EDATE($A31,-12),$A$5:$A31,"&lt;="&amp;$A31),""))</f>
        <v/>
      </c>
    </row>
    <row r="32" spans="1:6" ht="12.75" customHeight="1" x14ac:dyDescent="0.15">
      <c r="A32" s="134"/>
      <c r="B32" s="30"/>
      <c r="C32" s="30" t="str">
        <f t="shared" si="0"/>
        <v/>
      </c>
      <c r="D32" s="30" t="str">
        <f>IF(OR($A32="",$B32=""),"",IFERROR($B32-LOOKUP(EDATE($A32,-12),$A$5:$A31,$B$5:$B31),""))</f>
        <v/>
      </c>
      <c r="E32" s="112" t="str">
        <f t="shared" si="1"/>
        <v/>
      </c>
      <c r="F32" s="30" t="str">
        <f>IF(OR($A32="",$B32=""),"",IFERROR(AVERAGEIFS($C$5:$C32,$A$5:$A32,"&gt;"&amp;EDATE($A32,-12),$A$5:$A32,"&lt;="&amp;$A32),""))</f>
        <v/>
      </c>
    </row>
    <row r="33" spans="1:6" ht="12.75" customHeight="1" x14ac:dyDescent="0.15">
      <c r="A33" s="134"/>
      <c r="B33" s="30"/>
      <c r="C33" s="30" t="str">
        <f t="shared" si="0"/>
        <v/>
      </c>
      <c r="D33" s="30" t="str">
        <f>IF(OR($A33="",$B33=""),"",IFERROR($B33-LOOKUP(EDATE($A33,-12),$A$5:$A32,$B$5:$B32),""))</f>
        <v/>
      </c>
      <c r="E33" s="112" t="str">
        <f t="shared" si="1"/>
        <v/>
      </c>
      <c r="F33" s="30" t="str">
        <f>IF(OR($A33="",$B33=""),"",IFERROR(AVERAGEIFS($C$5:$C33,$A$5:$A33,"&gt;"&amp;EDATE($A33,-12),$A$5:$A33,"&lt;="&amp;$A33),""))</f>
        <v/>
      </c>
    </row>
    <row r="34" spans="1:6" ht="12.75" customHeight="1" x14ac:dyDescent="0.15">
      <c r="A34" s="134"/>
      <c r="B34" s="30"/>
      <c r="C34" s="30" t="str">
        <f t="shared" si="0"/>
        <v/>
      </c>
      <c r="D34" s="30" t="str">
        <f>IF(OR($A34="",$B34=""),"",IFERROR($B34-LOOKUP(EDATE($A34,-12),$A$5:$A33,$B$5:$B33),""))</f>
        <v/>
      </c>
      <c r="E34" s="112" t="str">
        <f t="shared" si="1"/>
        <v/>
      </c>
      <c r="F34" s="30" t="str">
        <f>IF(OR($A34="",$B34=""),"",IFERROR(AVERAGEIFS($C$5:$C34,$A$5:$A34,"&gt;"&amp;EDATE($A34,-12),$A$5:$A34,"&lt;="&amp;$A34),""))</f>
        <v/>
      </c>
    </row>
    <row r="35" spans="1:6" ht="12.75" customHeight="1" x14ac:dyDescent="0.15">
      <c r="A35" s="134"/>
      <c r="B35" s="30"/>
      <c r="C35" s="30" t="str">
        <f t="shared" si="0"/>
        <v/>
      </c>
      <c r="D35" s="30" t="str">
        <f>IF(OR($A35="",$B35=""),"",IFERROR($B35-LOOKUP(EDATE($A35,-12),$A$5:$A34,$B$5:$B34),""))</f>
        <v/>
      </c>
      <c r="E35" s="112" t="str">
        <f t="shared" si="1"/>
        <v/>
      </c>
      <c r="F35" s="30" t="str">
        <f>IF(OR($A35="",$B35=""),"",IFERROR(AVERAGEIFS($C$5:$C35,$A$5:$A35,"&gt;"&amp;EDATE($A35,-12),$A$5:$A35,"&lt;="&amp;$A35),""))</f>
        <v/>
      </c>
    </row>
    <row r="36" spans="1:6" ht="12.75" customHeight="1" x14ac:dyDescent="0.15">
      <c r="A36" s="134"/>
      <c r="B36" s="30"/>
      <c r="C36" s="30" t="str">
        <f t="shared" si="0"/>
        <v/>
      </c>
      <c r="D36" s="30" t="str">
        <f>IF(OR($A36="",$B36=""),"",IFERROR($B36-LOOKUP(EDATE($A36,-12),$A$5:$A35,$B$5:$B35),""))</f>
        <v/>
      </c>
      <c r="E36" s="112" t="str">
        <f t="shared" si="1"/>
        <v/>
      </c>
      <c r="F36" s="30" t="str">
        <f>IF(OR($A36="",$B36=""),"",IFERROR(AVERAGEIFS($C$5:$C36,$A$5:$A36,"&gt;"&amp;EDATE($A36,-12),$A$5:$A36,"&lt;="&amp;$A36),""))</f>
        <v/>
      </c>
    </row>
    <row r="37" spans="1:6" ht="12.75" customHeight="1" x14ac:dyDescent="0.15">
      <c r="A37" s="134"/>
      <c r="B37" s="30"/>
      <c r="C37" s="30" t="str">
        <f t="shared" si="0"/>
        <v/>
      </c>
      <c r="D37" s="30" t="str">
        <f>IF(OR($A37="",$B37=""),"",IFERROR($B37-LOOKUP(EDATE($A37,-12),$A$5:$A36,$B$5:$B36),""))</f>
        <v/>
      </c>
      <c r="E37" s="112" t="str">
        <f t="shared" si="1"/>
        <v/>
      </c>
      <c r="F37" s="30" t="str">
        <f>IF(OR($A37="",$B37=""),"",IFERROR(AVERAGEIFS($C$5:$C37,$A$5:$A37,"&gt;"&amp;EDATE($A37,-12),$A$5:$A37,"&lt;="&amp;$A37),""))</f>
        <v/>
      </c>
    </row>
    <row r="38" spans="1:6" ht="12.75" customHeight="1" x14ac:dyDescent="0.15">
      <c r="A38" s="134"/>
      <c r="B38" s="30"/>
      <c r="C38" s="30" t="str">
        <f t="shared" si="0"/>
        <v/>
      </c>
      <c r="D38" s="30" t="str">
        <f>IF(OR($A38="",$B38=""),"",IFERROR($B38-LOOKUP(EDATE($A38,-12),$A$5:$A37,$B$5:$B37),""))</f>
        <v/>
      </c>
      <c r="E38" s="112" t="str">
        <f t="shared" si="1"/>
        <v/>
      </c>
      <c r="F38" s="30" t="str">
        <f>IF(OR($A38="",$B38=""),"",IFERROR(AVERAGEIFS($C$5:$C38,$A$5:$A38,"&gt;"&amp;EDATE($A38,-12),$A$5:$A38,"&lt;="&amp;$A38),""))</f>
        <v/>
      </c>
    </row>
    <row r="39" spans="1:6" ht="12.75" customHeight="1" x14ac:dyDescent="0.15">
      <c r="A39" s="134"/>
      <c r="B39" s="30"/>
      <c r="C39" s="30" t="str">
        <f t="shared" si="0"/>
        <v/>
      </c>
      <c r="D39" s="30" t="str">
        <f>IF(OR($A39="",$B39=""),"",IFERROR($B39-LOOKUP(EDATE($A39,-12),$A$5:$A38,$B$5:$B38),""))</f>
        <v/>
      </c>
      <c r="E39" s="112" t="str">
        <f t="shared" si="1"/>
        <v/>
      </c>
      <c r="F39" s="30" t="str">
        <f>IF(OR($A39="",$B39=""),"",IFERROR(AVERAGEIFS($C$5:$C39,$A$5:$A39,"&gt;"&amp;EDATE($A39,-12),$A$5:$A39,"&lt;="&amp;$A39),""))</f>
        <v/>
      </c>
    </row>
    <row r="40" spans="1:6" ht="12.75" customHeight="1" x14ac:dyDescent="0.15">
      <c r="A40" s="134"/>
      <c r="B40" s="30"/>
      <c r="C40" s="30" t="str">
        <f t="shared" si="0"/>
        <v/>
      </c>
      <c r="D40" s="30" t="str">
        <f>IF(OR($A40="",$B40=""),"",IFERROR($B40-LOOKUP(EDATE($A40,-12),$A$5:$A39,$B$5:$B39),""))</f>
        <v/>
      </c>
      <c r="E40" s="112" t="str">
        <f t="shared" si="1"/>
        <v/>
      </c>
      <c r="F40" s="30"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5" customWidth="1"/>
    <col min="2" max="2" width="12" style="136" customWidth="1"/>
    <col min="3" max="4" width="16" style="136" customWidth="1"/>
    <col min="5" max="5" width="18" style="136" customWidth="1"/>
    <col min="6" max="6" width="14" style="136" customWidth="1"/>
    <col min="7" max="7" width="8" style="136" customWidth="1"/>
    <col min="8" max="16384" width="15" style="136"/>
  </cols>
  <sheetData>
    <row r="1" spans="1:20" ht="17.25" customHeight="1" x14ac:dyDescent="0.2">
      <c r="A1" s="137" t="s">
        <v>69</v>
      </c>
      <c r="B1" s="6"/>
      <c r="C1" s="6"/>
      <c r="D1" s="6"/>
      <c r="E1" s="6"/>
      <c r="F1" s="6"/>
      <c r="G1" s="6"/>
      <c r="H1" s="6"/>
      <c r="I1" s="6"/>
      <c r="J1" s="6"/>
      <c r="K1" s="6"/>
      <c r="L1" s="6"/>
      <c r="M1" s="6"/>
      <c r="N1" s="6"/>
      <c r="O1" s="6"/>
      <c r="P1" s="6"/>
      <c r="Q1" s="6"/>
      <c r="R1" s="6"/>
      <c r="S1" s="6"/>
      <c r="T1" s="6"/>
    </row>
    <row r="2" spans="1:20" ht="15" customHeight="1" x14ac:dyDescent="0.2">
      <c r="A2" s="138" t="s">
        <v>214</v>
      </c>
      <c r="B2" s="6"/>
      <c r="C2" s="6"/>
      <c r="D2" s="6"/>
      <c r="E2" s="6"/>
      <c r="F2" s="6"/>
      <c r="G2" s="6"/>
      <c r="H2" s="6"/>
      <c r="I2" s="6"/>
      <c r="J2" s="6"/>
      <c r="K2" s="6"/>
      <c r="L2" s="6"/>
      <c r="M2" s="6"/>
      <c r="N2" s="6"/>
      <c r="O2" s="6"/>
      <c r="P2" s="6"/>
      <c r="Q2" s="6"/>
      <c r="R2" s="6"/>
      <c r="S2" s="6"/>
      <c r="T2" s="6"/>
    </row>
    <row r="3" spans="1:20" ht="15" customHeight="1" x14ac:dyDescent="0.2">
      <c r="A3" s="6"/>
      <c r="B3" s="6"/>
      <c r="C3" s="6"/>
      <c r="D3" s="6"/>
      <c r="E3" s="6"/>
      <c r="F3" s="6"/>
      <c r="G3" s="6"/>
      <c r="H3" s="6"/>
      <c r="I3" s="6"/>
      <c r="J3" s="6"/>
      <c r="K3" s="6"/>
      <c r="L3" s="6"/>
      <c r="M3" s="6"/>
      <c r="N3" s="6"/>
      <c r="O3" s="6"/>
      <c r="P3" s="6"/>
      <c r="Q3" s="6"/>
      <c r="R3" s="6"/>
      <c r="S3" s="6"/>
      <c r="T3" s="6"/>
    </row>
    <row r="4" spans="1:20" ht="15" customHeight="1" x14ac:dyDescent="0.2">
      <c r="A4" s="36" t="s">
        <v>215</v>
      </c>
      <c r="B4" s="36"/>
      <c r="C4" s="36"/>
      <c r="D4" s="36"/>
      <c r="E4" s="36"/>
      <c r="F4" s="6"/>
      <c r="G4" s="6"/>
      <c r="H4" s="6"/>
      <c r="I4" s="6"/>
      <c r="J4" s="6"/>
      <c r="K4" s="6"/>
      <c r="L4" s="6"/>
      <c r="M4" s="6"/>
      <c r="N4" s="6"/>
      <c r="O4" s="6"/>
      <c r="P4" s="6"/>
      <c r="Q4" s="6"/>
      <c r="R4" s="6"/>
      <c r="S4" s="6"/>
      <c r="T4" s="6"/>
    </row>
    <row r="5" spans="1:20" ht="15" customHeight="1" x14ac:dyDescent="0.2">
      <c r="A5" s="34" t="s">
        <v>216</v>
      </c>
      <c r="B5" s="139">
        <f>SUM(H15:H21)</f>
        <v>135000</v>
      </c>
      <c r="C5" s="140" t="s">
        <v>217</v>
      </c>
      <c r="D5" s="6"/>
      <c r="E5" s="6"/>
      <c r="F5" s="6"/>
      <c r="G5" s="6"/>
      <c r="H5" s="6"/>
      <c r="I5" s="6"/>
      <c r="J5" s="6"/>
      <c r="K5" s="6"/>
      <c r="L5" s="6"/>
      <c r="M5" s="6"/>
      <c r="N5" s="6"/>
      <c r="O5" s="6"/>
      <c r="P5" s="6"/>
      <c r="Q5" s="6"/>
      <c r="R5" s="6"/>
      <c r="S5" s="6"/>
      <c r="T5" s="6"/>
    </row>
    <row r="6" spans="1:20" ht="30" customHeight="1" x14ac:dyDescent="0.2">
      <c r="A6" s="34" t="s">
        <v>218</v>
      </c>
      <c r="B6" s="139">
        <f>SUM(I15:I21)</f>
        <v>237422</v>
      </c>
      <c r="C6" s="140" t="s">
        <v>219</v>
      </c>
      <c r="D6" s="6"/>
      <c r="E6" s="6"/>
      <c r="F6" s="6"/>
      <c r="G6" s="6"/>
      <c r="H6" s="6"/>
      <c r="I6" s="6"/>
      <c r="J6" s="6"/>
      <c r="K6" s="6"/>
      <c r="L6" s="6"/>
      <c r="M6" s="6"/>
      <c r="N6" s="6"/>
      <c r="O6" s="6"/>
      <c r="P6" s="6"/>
      <c r="Q6" s="6"/>
      <c r="R6" s="6"/>
      <c r="S6" s="6"/>
      <c r="T6" s="6"/>
    </row>
    <row r="7" spans="1:20" ht="15" customHeight="1" x14ac:dyDescent="0.2">
      <c r="A7" s="34" t="s">
        <v>72</v>
      </c>
      <c r="B7" s="139">
        <f>SUM(L15:L21)</f>
        <v>5048.8799999999992</v>
      </c>
      <c r="C7" s="141"/>
      <c r="D7" s="141"/>
      <c r="E7" s="141"/>
      <c r="F7" s="6"/>
      <c r="G7" s="6"/>
      <c r="H7" s="6"/>
      <c r="I7" s="6"/>
      <c r="J7" s="6"/>
      <c r="K7" s="6"/>
      <c r="L7" s="6"/>
      <c r="M7" s="6"/>
      <c r="N7" s="6"/>
      <c r="O7" s="6"/>
      <c r="P7" s="6"/>
      <c r="Q7" s="6"/>
      <c r="R7" s="6"/>
      <c r="S7" s="6"/>
      <c r="T7" s="6"/>
    </row>
    <row r="8" spans="1:20" ht="15" customHeight="1" x14ac:dyDescent="0.2">
      <c r="A8" s="34" t="s">
        <v>220</v>
      </c>
      <c r="B8" s="139">
        <f>SUM(N15:N21)</f>
        <v>710000</v>
      </c>
      <c r="C8" s="6"/>
      <c r="D8" s="6"/>
      <c r="E8" s="6"/>
      <c r="F8" s="6"/>
      <c r="G8" s="6"/>
      <c r="H8" s="6"/>
      <c r="I8" s="6"/>
      <c r="J8" s="6"/>
      <c r="K8" s="6"/>
      <c r="L8" s="6"/>
      <c r="M8" s="6"/>
      <c r="N8" s="6"/>
      <c r="O8" s="6"/>
      <c r="P8" s="6"/>
      <c r="Q8" s="6"/>
      <c r="R8" s="6"/>
      <c r="S8" s="6"/>
      <c r="T8" s="6"/>
    </row>
    <row r="9" spans="1:20" ht="30" customHeight="1" x14ac:dyDescent="0.2">
      <c r="A9" s="34" t="s">
        <v>221</v>
      </c>
      <c r="B9" s="139">
        <f>SUM(O15:O21)</f>
        <v>710000</v>
      </c>
      <c r="C9" s="6"/>
      <c r="D9" s="6"/>
      <c r="E9" s="6"/>
      <c r="F9" s="6"/>
      <c r="G9" s="6"/>
      <c r="H9" s="6"/>
      <c r="I9" s="6"/>
      <c r="J9" s="6"/>
      <c r="K9" s="6"/>
      <c r="L9" s="6"/>
      <c r="M9" s="6"/>
      <c r="N9" s="6"/>
      <c r="O9" s="6"/>
      <c r="P9" s="6"/>
      <c r="Q9" s="6"/>
      <c r="R9" s="6"/>
      <c r="S9" s="6"/>
      <c r="T9" s="6"/>
    </row>
    <row r="10" spans="1:20" ht="15" customHeight="1" x14ac:dyDescent="0.2">
      <c r="A10" s="34" t="s">
        <v>222</v>
      </c>
      <c r="B10" s="139">
        <f>SUM(P15:P21)</f>
        <v>410000</v>
      </c>
      <c r="C10" s="142"/>
      <c r="D10" s="142"/>
      <c r="E10" s="142"/>
      <c r="F10" s="143"/>
      <c r="G10" s="6"/>
      <c r="H10" s="6"/>
      <c r="I10" s="6"/>
      <c r="J10" s="6"/>
      <c r="K10" s="6"/>
      <c r="L10" s="6"/>
      <c r="M10" s="6"/>
      <c r="N10" s="6"/>
      <c r="O10" s="6"/>
      <c r="P10" s="6"/>
      <c r="Q10" s="6"/>
      <c r="R10" s="6"/>
      <c r="S10" s="6"/>
      <c r="T10" s="6"/>
    </row>
    <row r="11" spans="1:20" ht="30" customHeight="1" x14ac:dyDescent="0.2">
      <c r="A11" s="34" t="s">
        <v>223</v>
      </c>
      <c r="B11" s="144">
        <f>COUNTA(A15:A21)</f>
        <v>7</v>
      </c>
      <c r="C11" s="143"/>
      <c r="D11" s="142"/>
      <c r="E11" s="142"/>
      <c r="F11" s="143"/>
      <c r="G11" s="6"/>
      <c r="H11" s="6"/>
      <c r="I11" s="6"/>
      <c r="J11" s="6"/>
      <c r="K11" s="6"/>
      <c r="L11" s="6"/>
      <c r="M11" s="6"/>
      <c r="N11" s="6"/>
      <c r="O11" s="6"/>
      <c r="P11" s="6"/>
      <c r="Q11" s="6"/>
      <c r="R11" s="6"/>
      <c r="S11" s="6"/>
      <c r="T11" s="6"/>
    </row>
    <row r="12" spans="1:20" ht="105" customHeight="1" x14ac:dyDescent="0.2">
      <c r="A12" s="6"/>
      <c r="B12" s="143"/>
      <c r="C12" s="143"/>
      <c r="D12" s="142"/>
      <c r="E12" s="142"/>
      <c r="F12" s="143"/>
      <c r="G12" s="6"/>
      <c r="H12" s="6"/>
      <c r="I12" s="6"/>
      <c r="J12" s="6"/>
      <c r="K12" s="6"/>
      <c r="L12" s="6"/>
      <c r="M12" s="6"/>
      <c r="N12" s="6"/>
      <c r="O12" s="6"/>
      <c r="P12" s="6"/>
      <c r="Q12" s="6"/>
      <c r="R12" s="6"/>
      <c r="S12" s="6"/>
      <c r="T12" s="6"/>
    </row>
    <row r="13" spans="1:20" ht="90" customHeight="1" x14ac:dyDescent="0.2">
      <c r="A13" s="6"/>
      <c r="B13" s="143"/>
      <c r="C13" s="143"/>
      <c r="D13" s="143"/>
      <c r="E13" s="143"/>
      <c r="F13" s="143"/>
      <c r="G13" s="6"/>
      <c r="H13" s="6"/>
      <c r="I13" s="6"/>
      <c r="J13" s="6"/>
      <c r="K13" s="6"/>
      <c r="L13" s="6"/>
      <c r="M13" s="6"/>
      <c r="N13" s="6"/>
      <c r="O13" s="6"/>
      <c r="P13" s="6"/>
      <c r="Q13" s="6"/>
      <c r="R13" s="6"/>
      <c r="S13" s="6"/>
      <c r="T13" s="6"/>
    </row>
    <row r="14" spans="1:20" ht="30" customHeight="1" x14ac:dyDescent="0.2">
      <c r="A14" s="145" t="s">
        <v>224</v>
      </c>
      <c r="B14" s="146" t="s">
        <v>225</v>
      </c>
      <c r="C14" s="146" t="s">
        <v>226</v>
      </c>
      <c r="D14" s="147" t="s">
        <v>227</v>
      </c>
      <c r="E14" s="147" t="s">
        <v>228</v>
      </c>
      <c r="F14" s="146" t="s">
        <v>229</v>
      </c>
      <c r="G14" s="145" t="s">
        <v>230</v>
      </c>
      <c r="H14" s="145" t="s">
        <v>231</v>
      </c>
      <c r="I14" s="145" t="s">
        <v>232</v>
      </c>
      <c r="J14" s="145" t="s">
        <v>233</v>
      </c>
      <c r="K14" s="145" t="s">
        <v>234</v>
      </c>
      <c r="L14" s="145" t="s">
        <v>235</v>
      </c>
      <c r="M14" s="145" t="s">
        <v>236</v>
      </c>
      <c r="N14" s="145" t="s">
        <v>237</v>
      </c>
      <c r="O14" s="145" t="s">
        <v>238</v>
      </c>
      <c r="P14" s="145" t="s">
        <v>239</v>
      </c>
      <c r="Q14" s="145" t="s">
        <v>240</v>
      </c>
      <c r="R14" s="6"/>
      <c r="S14" s="6"/>
      <c r="T14" s="6"/>
    </row>
    <row r="15" spans="1:20" ht="30" customHeight="1" x14ac:dyDescent="0.2">
      <c r="A15" s="148" t="s">
        <v>241</v>
      </c>
      <c r="B15" s="148" t="s">
        <v>242</v>
      </c>
      <c r="C15" s="148" t="s">
        <v>243</v>
      </c>
      <c r="D15" s="148" t="s">
        <v>244</v>
      </c>
      <c r="E15" s="149" t="s">
        <v>245</v>
      </c>
      <c r="F15" s="150">
        <v>37012</v>
      </c>
      <c r="G15" s="151">
        <v>60</v>
      </c>
      <c r="H15" s="152">
        <v>10000</v>
      </c>
      <c r="I15" s="152">
        <v>39188</v>
      </c>
      <c r="J15" s="153">
        <v>33.1</v>
      </c>
      <c r="K15" s="154" t="s">
        <v>246</v>
      </c>
      <c r="L15" s="155">
        <f t="shared" ref="L15:L21" si="0">IF(K15="Monthly",J15*12,IF(K15="Quarterly",J15*4,J15))</f>
        <v>397.20000000000005</v>
      </c>
      <c r="M15" s="152">
        <v>20000</v>
      </c>
      <c r="N15" s="152">
        <v>20000</v>
      </c>
      <c r="O15" s="152">
        <v>20000</v>
      </c>
      <c r="P15" s="152">
        <v>20000</v>
      </c>
      <c r="Q15" s="156" t="s">
        <v>247</v>
      </c>
      <c r="R15" s="6"/>
      <c r="S15" s="6"/>
      <c r="T15" s="6"/>
    </row>
    <row r="16" spans="1:20" ht="30" customHeight="1" x14ac:dyDescent="0.2">
      <c r="A16" s="148" t="s">
        <v>248</v>
      </c>
      <c r="B16" s="148" t="s">
        <v>242</v>
      </c>
      <c r="C16" s="148" t="s">
        <v>249</v>
      </c>
      <c r="D16" s="148" t="s">
        <v>244</v>
      </c>
      <c r="E16" s="149" t="s">
        <v>245</v>
      </c>
      <c r="F16" s="150">
        <v>38987</v>
      </c>
      <c r="G16" s="151">
        <v>60</v>
      </c>
      <c r="H16" s="152">
        <v>12000</v>
      </c>
      <c r="I16" s="152">
        <v>42234</v>
      </c>
      <c r="J16" s="153">
        <v>62.3</v>
      </c>
      <c r="K16" s="154" t="s">
        <v>246</v>
      </c>
      <c r="L16" s="155">
        <f t="shared" si="0"/>
        <v>747.59999999999991</v>
      </c>
      <c r="M16" s="152">
        <v>30000</v>
      </c>
      <c r="N16" s="152">
        <v>30000</v>
      </c>
      <c r="O16" s="152">
        <v>30000</v>
      </c>
      <c r="P16" s="152">
        <v>30000</v>
      </c>
      <c r="Q16" s="156" t="s">
        <v>250</v>
      </c>
      <c r="R16" s="6"/>
      <c r="S16" s="6"/>
      <c r="T16" s="6"/>
    </row>
    <row r="17" spans="1:20" ht="90" customHeight="1" x14ac:dyDescent="0.2">
      <c r="A17" s="148" t="s">
        <v>251</v>
      </c>
      <c r="B17" s="157" t="s">
        <v>252</v>
      </c>
      <c r="C17" s="157" t="s">
        <v>253</v>
      </c>
      <c r="D17" s="157" t="s">
        <v>254</v>
      </c>
      <c r="E17" s="158" t="s">
        <v>255</v>
      </c>
      <c r="F17" s="150">
        <v>40934</v>
      </c>
      <c r="G17" s="151">
        <v>65</v>
      </c>
      <c r="H17" s="152">
        <v>0</v>
      </c>
      <c r="I17" s="152">
        <v>0</v>
      </c>
      <c r="J17" s="153">
        <v>106.8</v>
      </c>
      <c r="K17" s="154" t="s">
        <v>246</v>
      </c>
      <c r="L17" s="155">
        <f t="shared" si="0"/>
        <v>1281.5999999999999</v>
      </c>
      <c r="M17" s="152">
        <v>600000</v>
      </c>
      <c r="N17" s="152">
        <v>600000</v>
      </c>
      <c r="O17" s="152">
        <v>600000</v>
      </c>
      <c r="P17" s="152">
        <v>300000</v>
      </c>
      <c r="Q17" s="156" t="s">
        <v>256</v>
      </c>
      <c r="R17" s="6"/>
      <c r="S17" s="6"/>
      <c r="T17" s="6"/>
    </row>
    <row r="18" spans="1:20" ht="102.75" customHeight="1" x14ac:dyDescent="0.2">
      <c r="A18" s="148" t="s">
        <v>257</v>
      </c>
      <c r="B18" s="148" t="s">
        <v>258</v>
      </c>
      <c r="C18" s="148" t="s">
        <v>259</v>
      </c>
      <c r="D18" s="148" t="s">
        <v>260</v>
      </c>
      <c r="E18" s="149" t="s">
        <v>261</v>
      </c>
      <c r="F18" s="150">
        <v>39499</v>
      </c>
      <c r="G18" s="151">
        <v>60</v>
      </c>
      <c r="H18" s="152">
        <v>60000</v>
      </c>
      <c r="I18" s="152">
        <v>110000</v>
      </c>
      <c r="J18" s="153">
        <v>218.54</v>
      </c>
      <c r="K18" s="154" t="s">
        <v>246</v>
      </c>
      <c r="L18" s="155">
        <f t="shared" si="0"/>
        <v>2622.48</v>
      </c>
      <c r="M18" s="152">
        <v>60000</v>
      </c>
      <c r="N18" s="152">
        <v>60000</v>
      </c>
      <c r="O18" s="152">
        <v>60000</v>
      </c>
      <c r="P18" s="152">
        <v>60000</v>
      </c>
      <c r="Q18" s="156" t="s">
        <v>262</v>
      </c>
      <c r="R18" s="6"/>
      <c r="S18" s="6"/>
      <c r="T18" s="6"/>
    </row>
    <row r="19" spans="1:20" ht="102.75" customHeight="1" x14ac:dyDescent="0.2">
      <c r="A19" s="148" t="s">
        <v>263</v>
      </c>
      <c r="B19" s="157" t="s">
        <v>258</v>
      </c>
      <c r="C19" s="157" t="s">
        <v>264</v>
      </c>
      <c r="D19" s="157" t="s">
        <v>265</v>
      </c>
      <c r="E19" s="158" t="s">
        <v>261</v>
      </c>
      <c r="F19" s="150"/>
      <c r="G19" s="151">
        <v>52</v>
      </c>
      <c r="H19" s="152">
        <v>28000</v>
      </c>
      <c r="I19" s="152">
        <v>46000</v>
      </c>
      <c r="J19" s="153"/>
      <c r="K19" s="154" t="s">
        <v>246</v>
      </c>
      <c r="L19" s="155">
        <f t="shared" si="0"/>
        <v>0</v>
      </c>
      <c r="M19" s="152"/>
      <c r="N19" s="152"/>
      <c r="O19" s="152"/>
      <c r="P19" s="152"/>
      <c r="Q19" s="156" t="s">
        <v>266</v>
      </c>
      <c r="R19" s="6"/>
      <c r="S19" s="6"/>
      <c r="T19" s="6"/>
    </row>
    <row r="20" spans="1:20" ht="30" customHeight="1" x14ac:dyDescent="0.2">
      <c r="A20" s="148" t="s">
        <v>267</v>
      </c>
      <c r="B20" s="148" t="s">
        <v>268</v>
      </c>
      <c r="C20" s="148" t="s">
        <v>269</v>
      </c>
      <c r="D20" s="148" t="s">
        <v>270</v>
      </c>
      <c r="E20" s="149" t="s">
        <v>271</v>
      </c>
      <c r="F20" s="150"/>
      <c r="G20" s="151"/>
      <c r="H20" s="152">
        <v>25000</v>
      </c>
      <c r="I20" s="152"/>
      <c r="J20" s="153"/>
      <c r="K20" s="154" t="s">
        <v>246</v>
      </c>
      <c r="L20" s="155">
        <f t="shared" si="0"/>
        <v>0</v>
      </c>
      <c r="M20" s="152"/>
      <c r="N20" s="152"/>
      <c r="O20" s="152"/>
      <c r="P20" s="152"/>
      <c r="Q20" s="156" t="s">
        <v>272</v>
      </c>
      <c r="R20" s="6"/>
      <c r="S20" s="6"/>
      <c r="T20" s="6"/>
    </row>
    <row r="21" spans="1:20" ht="77.25" customHeight="1" x14ac:dyDescent="0.2">
      <c r="A21" s="148" t="s">
        <v>273</v>
      </c>
      <c r="B21" s="148" t="s">
        <v>268</v>
      </c>
      <c r="C21" s="148" t="s">
        <v>274</v>
      </c>
      <c r="D21" s="148" t="s">
        <v>275</v>
      </c>
      <c r="E21" s="149" t="s">
        <v>261</v>
      </c>
      <c r="F21" s="150"/>
      <c r="G21" s="151"/>
      <c r="H21" s="152">
        <v>0</v>
      </c>
      <c r="I21" s="152"/>
      <c r="J21" s="153"/>
      <c r="K21" s="154" t="s">
        <v>246</v>
      </c>
      <c r="L21" s="155">
        <f t="shared" si="0"/>
        <v>0</v>
      </c>
      <c r="M21" s="152"/>
      <c r="N21" s="152"/>
      <c r="O21" s="152"/>
      <c r="P21" s="152"/>
      <c r="Q21" s="156" t="s">
        <v>276</v>
      </c>
      <c r="R21" s="6"/>
      <c r="S21" s="6"/>
      <c r="T21" s="6"/>
    </row>
    <row r="22" spans="1:20" ht="15" customHeight="1" x14ac:dyDescent="0.2">
      <c r="A22" s="6"/>
      <c r="B22" s="6"/>
      <c r="C22" s="6"/>
      <c r="D22" s="6"/>
      <c r="E22" s="6"/>
      <c r="F22" s="6"/>
      <c r="G22" s="6"/>
      <c r="H22" s="6"/>
      <c r="I22" s="6"/>
      <c r="J22" s="6"/>
      <c r="K22" s="6"/>
      <c r="L22" s="6"/>
      <c r="M22" s="6"/>
      <c r="N22" s="6"/>
      <c r="O22" s="6"/>
      <c r="P22" s="6"/>
      <c r="Q22" s="6"/>
      <c r="R22" s="6"/>
      <c r="S22" s="6"/>
      <c r="T22" s="6"/>
    </row>
    <row r="23" spans="1:20" ht="15" customHeight="1" x14ac:dyDescent="0.2">
      <c r="A23" s="140" t="s">
        <v>277</v>
      </c>
      <c r="B23" s="6"/>
      <c r="C23" s="6"/>
      <c r="D23" s="6"/>
      <c r="E23" s="6"/>
      <c r="F23" s="6"/>
      <c r="G23" s="6"/>
      <c r="H23" s="6"/>
      <c r="I23" s="6"/>
      <c r="J23" s="6"/>
      <c r="K23" s="6"/>
      <c r="L23" s="6"/>
      <c r="M23" s="6"/>
      <c r="N23" s="6"/>
      <c r="O23" s="6"/>
      <c r="P23" s="6"/>
      <c r="Q23" s="6"/>
      <c r="R23" s="6"/>
      <c r="S23" s="6"/>
      <c r="T23" s="6"/>
    </row>
    <row r="24" spans="1:20" ht="15" customHeight="1" x14ac:dyDescent="0.2">
      <c r="A24" s="6"/>
      <c r="B24" s="6"/>
      <c r="C24" s="6"/>
      <c r="D24" s="6"/>
      <c r="E24" s="6"/>
      <c r="F24" s="6"/>
      <c r="G24" s="6"/>
      <c r="H24" s="6"/>
      <c r="I24" s="6"/>
      <c r="J24" s="6"/>
      <c r="K24" s="6"/>
      <c r="L24" s="6"/>
      <c r="M24" s="6"/>
      <c r="N24" s="6"/>
      <c r="O24" s="6"/>
      <c r="P24" s="6"/>
      <c r="Q24" s="6"/>
      <c r="R24" s="6"/>
      <c r="S24" s="6"/>
      <c r="T24" s="6"/>
    </row>
    <row r="25" spans="1:20" ht="15" customHeight="1" x14ac:dyDescent="0.2">
      <c r="A25" s="6"/>
      <c r="B25" s="6"/>
      <c r="C25" s="6"/>
      <c r="D25" s="6"/>
      <c r="E25" s="6"/>
      <c r="F25" s="6"/>
      <c r="G25" s="6"/>
      <c r="H25" s="6"/>
      <c r="I25" s="6"/>
      <c r="J25" s="6"/>
      <c r="K25" s="6"/>
      <c r="L25" s="6"/>
      <c r="M25" s="6"/>
      <c r="N25" s="6"/>
      <c r="O25" s="6"/>
      <c r="P25" s="6"/>
      <c r="Q25" s="6"/>
      <c r="R25" s="6"/>
      <c r="S25" s="6"/>
      <c r="T25" s="6"/>
    </row>
    <row r="26" spans="1:20" ht="15" customHeight="1" x14ac:dyDescent="0.2">
      <c r="A26" s="6"/>
      <c r="B26" s="6"/>
      <c r="C26" s="6"/>
      <c r="D26" s="6"/>
      <c r="E26" s="6"/>
      <c r="F26" s="6"/>
      <c r="G26" s="6"/>
      <c r="H26" s="6"/>
      <c r="I26" s="6"/>
      <c r="J26" s="6"/>
      <c r="K26" s="6"/>
      <c r="L26" s="6"/>
      <c r="M26" s="6"/>
      <c r="N26" s="6"/>
      <c r="O26" s="6"/>
      <c r="P26" s="6"/>
      <c r="Q26" s="6"/>
      <c r="R26" s="6"/>
      <c r="S26" s="6"/>
      <c r="T26" s="6"/>
    </row>
    <row r="27" spans="1:20" ht="15" customHeight="1" x14ac:dyDescent="0.2">
      <c r="A27" s="6"/>
      <c r="B27" s="6"/>
      <c r="C27" s="6"/>
      <c r="D27" s="6"/>
      <c r="E27" s="6"/>
      <c r="F27" s="6"/>
      <c r="G27" s="6"/>
      <c r="H27" s="6"/>
      <c r="I27" s="6"/>
      <c r="J27" s="6"/>
      <c r="K27" s="6"/>
      <c r="L27" s="6"/>
      <c r="M27" s="6"/>
      <c r="N27" s="6"/>
      <c r="O27" s="6"/>
      <c r="P27" s="6"/>
      <c r="Q27" s="6"/>
      <c r="R27" s="6"/>
      <c r="S27" s="6"/>
      <c r="T27" s="6"/>
    </row>
    <row r="28" spans="1:20" ht="15" customHeight="1" x14ac:dyDescent="0.2">
      <c r="A28" s="6"/>
      <c r="B28" s="6"/>
      <c r="C28" s="6"/>
      <c r="D28" s="6"/>
      <c r="E28" s="6"/>
      <c r="F28" s="6"/>
      <c r="G28" s="6"/>
      <c r="H28" s="6"/>
      <c r="I28" s="6"/>
      <c r="J28" s="6"/>
      <c r="K28" s="6"/>
      <c r="L28" s="6"/>
      <c r="M28" s="6"/>
      <c r="N28" s="6"/>
      <c r="O28" s="6"/>
      <c r="P28" s="6"/>
      <c r="Q28" s="6"/>
      <c r="R28" s="6"/>
      <c r="S28" s="6"/>
      <c r="T28" s="6"/>
    </row>
    <row r="29" spans="1:20" ht="15" customHeight="1" x14ac:dyDescent="0.2">
      <c r="A29" s="6"/>
      <c r="B29" s="6"/>
      <c r="C29" s="6"/>
      <c r="D29" s="6"/>
      <c r="E29" s="6"/>
      <c r="F29" s="6"/>
      <c r="G29" s="6"/>
      <c r="H29" s="6"/>
      <c r="I29" s="6"/>
      <c r="J29" s="6"/>
      <c r="K29" s="6"/>
      <c r="L29" s="6"/>
      <c r="M29" s="6"/>
      <c r="N29" s="6"/>
      <c r="O29" s="6"/>
      <c r="P29" s="6"/>
      <c r="Q29" s="6"/>
      <c r="R29" s="6"/>
      <c r="S29" s="6"/>
      <c r="T29" s="6"/>
    </row>
    <row r="30" spans="1:20" ht="15" customHeight="1" x14ac:dyDescent="0.2">
      <c r="A30" s="6"/>
      <c r="B30" s="6"/>
      <c r="C30" s="6"/>
      <c r="D30" s="6"/>
      <c r="E30" s="6"/>
      <c r="F30" s="6"/>
      <c r="G30" s="6"/>
      <c r="H30" s="6"/>
      <c r="I30" s="6"/>
      <c r="J30" s="6"/>
      <c r="K30" s="6"/>
      <c r="L30" s="6"/>
      <c r="M30" s="6"/>
      <c r="N30" s="6"/>
      <c r="O30" s="6"/>
      <c r="P30" s="6"/>
      <c r="Q30" s="6"/>
      <c r="R30" s="6"/>
      <c r="S30" s="6"/>
      <c r="T30" s="6"/>
    </row>
    <row r="31" spans="1:20" ht="15" customHeight="1" x14ac:dyDescent="0.2">
      <c r="A31" s="6"/>
      <c r="B31" s="6"/>
      <c r="C31" s="6"/>
      <c r="D31" s="6"/>
      <c r="E31" s="6"/>
      <c r="F31" s="6"/>
      <c r="G31" s="6"/>
      <c r="H31" s="6"/>
      <c r="I31" s="6"/>
      <c r="J31" s="6"/>
      <c r="K31" s="6"/>
      <c r="L31" s="6"/>
      <c r="M31" s="6"/>
      <c r="N31" s="6"/>
      <c r="O31" s="6"/>
      <c r="P31" s="6"/>
      <c r="Q31" s="6"/>
      <c r="R31" s="6"/>
      <c r="S31" s="6"/>
      <c r="T31" s="6"/>
    </row>
    <row r="32" spans="1:20" ht="15" customHeight="1" x14ac:dyDescent="0.2">
      <c r="A32" s="6"/>
      <c r="B32" s="6"/>
      <c r="C32" s="6"/>
      <c r="D32" s="6"/>
      <c r="E32" s="6"/>
      <c r="F32" s="6"/>
      <c r="G32" s="6"/>
      <c r="H32" s="6"/>
      <c r="I32" s="6"/>
      <c r="J32" s="6"/>
      <c r="K32" s="6"/>
      <c r="L32" s="6"/>
      <c r="M32" s="6"/>
      <c r="N32" s="6"/>
      <c r="O32" s="6"/>
      <c r="P32" s="6"/>
      <c r="Q32" s="6"/>
      <c r="R32" s="6"/>
      <c r="S32" s="6"/>
      <c r="T32" s="6"/>
    </row>
    <row r="33" spans="1:20" ht="15" customHeight="1" x14ac:dyDescent="0.2">
      <c r="A33" s="6"/>
      <c r="B33" s="6"/>
      <c r="C33" s="6"/>
      <c r="D33" s="6"/>
      <c r="E33" s="6"/>
      <c r="F33" s="6"/>
      <c r="G33" s="6"/>
      <c r="H33" s="6"/>
      <c r="I33" s="6"/>
      <c r="J33" s="6"/>
      <c r="K33" s="6"/>
      <c r="L33" s="6"/>
      <c r="M33" s="6"/>
      <c r="N33" s="6"/>
      <c r="O33" s="6"/>
      <c r="P33" s="6"/>
      <c r="Q33" s="6"/>
      <c r="R33" s="6"/>
      <c r="S33" s="6"/>
      <c r="T33" s="6"/>
    </row>
    <row r="34" spans="1:20" ht="15" customHeight="1" x14ac:dyDescent="0.2">
      <c r="A34" s="6"/>
      <c r="B34" s="6"/>
      <c r="C34" s="6"/>
      <c r="D34" s="6"/>
      <c r="E34" s="6"/>
      <c r="F34" s="6"/>
      <c r="G34" s="6"/>
      <c r="H34" s="6"/>
      <c r="I34" s="6"/>
      <c r="J34" s="6"/>
      <c r="K34" s="6"/>
      <c r="L34" s="6"/>
      <c r="M34" s="6"/>
      <c r="N34" s="6"/>
      <c r="O34" s="6"/>
      <c r="P34" s="6"/>
      <c r="Q34" s="6"/>
      <c r="R34" s="6"/>
      <c r="S34" s="6"/>
      <c r="T34" s="6"/>
    </row>
    <row r="35" spans="1:20" ht="15" customHeight="1" x14ac:dyDescent="0.2">
      <c r="A35" s="6"/>
      <c r="B35" s="6"/>
      <c r="C35" s="6"/>
      <c r="D35" s="6"/>
      <c r="E35" s="6"/>
      <c r="F35" s="6"/>
      <c r="G35" s="6"/>
      <c r="H35" s="6"/>
      <c r="I35" s="6"/>
      <c r="J35" s="6"/>
      <c r="K35" s="6"/>
      <c r="L35" s="6"/>
      <c r="M35" s="6"/>
      <c r="N35" s="6"/>
      <c r="O35" s="6"/>
      <c r="P35" s="6"/>
      <c r="Q35" s="6"/>
      <c r="R35" s="6"/>
      <c r="S35" s="6"/>
      <c r="T35" s="6"/>
    </row>
    <row r="36" spans="1:20" ht="15" customHeight="1" x14ac:dyDescent="0.2">
      <c r="A36" s="6"/>
      <c r="B36" s="6"/>
      <c r="C36" s="6"/>
      <c r="D36" s="6"/>
      <c r="E36" s="6"/>
      <c r="F36" s="6"/>
      <c r="G36" s="6"/>
      <c r="H36" s="6"/>
      <c r="I36" s="6"/>
      <c r="J36" s="6"/>
      <c r="K36" s="6"/>
      <c r="L36" s="6"/>
      <c r="M36" s="6"/>
      <c r="N36" s="6"/>
      <c r="O36" s="6"/>
      <c r="P36" s="6"/>
      <c r="Q36" s="6"/>
      <c r="R36" s="6"/>
      <c r="S36" s="6"/>
      <c r="T36" s="6"/>
    </row>
    <row r="37" spans="1:20" ht="15" customHeight="1" x14ac:dyDescent="0.2">
      <c r="A37" s="6"/>
      <c r="B37" s="6"/>
      <c r="C37" s="6"/>
      <c r="D37" s="6"/>
      <c r="E37" s="6"/>
      <c r="F37" s="6"/>
      <c r="G37" s="6"/>
      <c r="H37" s="6"/>
      <c r="I37" s="6"/>
      <c r="J37" s="6"/>
      <c r="K37" s="6"/>
      <c r="L37" s="6"/>
      <c r="M37" s="6"/>
      <c r="N37" s="6"/>
      <c r="O37" s="6"/>
      <c r="P37" s="6"/>
      <c r="Q37" s="6"/>
      <c r="R37" s="6"/>
      <c r="S37" s="6"/>
      <c r="T37" s="6"/>
    </row>
    <row r="38" spans="1:20" ht="15" customHeight="1" x14ac:dyDescent="0.2">
      <c r="A38" s="6"/>
      <c r="B38" s="6"/>
      <c r="C38" s="6"/>
      <c r="D38" s="6"/>
      <c r="E38" s="6"/>
      <c r="F38" s="6"/>
      <c r="G38" s="6"/>
      <c r="H38" s="6"/>
      <c r="I38" s="6"/>
      <c r="J38" s="6"/>
      <c r="K38" s="6"/>
      <c r="L38" s="6"/>
      <c r="M38" s="6"/>
      <c r="N38" s="6"/>
      <c r="O38" s="6"/>
      <c r="P38" s="6"/>
      <c r="Q38" s="6"/>
      <c r="R38" s="6"/>
      <c r="S38" s="6"/>
      <c r="T38" s="6"/>
    </row>
    <row r="39" spans="1:20" ht="15" customHeight="1" x14ac:dyDescent="0.2">
      <c r="A39" s="6"/>
      <c r="B39" s="6"/>
      <c r="C39" s="6"/>
      <c r="D39" s="6"/>
      <c r="E39" s="6"/>
      <c r="F39" s="6"/>
      <c r="G39" s="6"/>
      <c r="H39" s="6"/>
      <c r="I39" s="6"/>
      <c r="J39" s="6"/>
      <c r="K39" s="6"/>
      <c r="L39" s="6"/>
      <c r="M39" s="6"/>
      <c r="N39" s="6"/>
      <c r="O39" s="6"/>
      <c r="P39" s="6"/>
      <c r="Q39" s="6"/>
      <c r="R39" s="6"/>
      <c r="S39" s="6"/>
      <c r="T39" s="6"/>
    </row>
    <row r="40" spans="1:20" ht="15" customHeight="1" x14ac:dyDescent="0.2">
      <c r="A40" s="6"/>
      <c r="B40" s="6"/>
      <c r="C40" s="6"/>
      <c r="D40" s="6"/>
      <c r="E40" s="6"/>
      <c r="F40" s="6"/>
      <c r="G40" s="6"/>
      <c r="H40" s="6"/>
      <c r="I40" s="6"/>
      <c r="J40" s="6"/>
      <c r="K40" s="6"/>
      <c r="L40" s="6"/>
      <c r="M40" s="6"/>
      <c r="N40" s="6"/>
      <c r="O40" s="6"/>
      <c r="P40" s="6"/>
      <c r="Q40" s="6"/>
      <c r="R40" s="6"/>
      <c r="S40" s="6"/>
      <c r="T40" s="6"/>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tabSelected="1"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6" customWidth="1"/>
    <col min="2" max="5" width="16" style="136" customWidth="1"/>
    <col min="6" max="6" width="14" customWidth="1"/>
    <col min="7" max="8" width="13.6640625" style="136" customWidth="1"/>
    <col min="9" max="16384" width="9.1640625" style="136"/>
  </cols>
  <sheetData>
    <row r="1" spans="1:10" ht="15" customHeight="1" x14ac:dyDescent="0.2">
      <c r="A1" s="137" t="s">
        <v>278</v>
      </c>
      <c r="B1" s="6"/>
      <c r="C1" s="6"/>
      <c r="D1" s="6"/>
      <c r="E1" s="6"/>
      <c r="F1" s="6"/>
      <c r="G1" s="6"/>
      <c r="H1" s="6"/>
      <c r="I1" s="6"/>
      <c r="J1" s="6"/>
    </row>
    <row r="2" spans="1:10" ht="15" customHeight="1" x14ac:dyDescent="0.2">
      <c r="A2" s="138" t="s">
        <v>279</v>
      </c>
      <c r="B2" s="6"/>
      <c r="C2" s="6"/>
      <c r="D2" s="6"/>
      <c r="E2" s="6"/>
      <c r="F2" s="159"/>
      <c r="G2" s="6"/>
      <c r="H2" s="6"/>
      <c r="I2" s="6"/>
      <c r="J2" s="6"/>
    </row>
    <row r="3" spans="1:10" ht="15" customHeight="1" x14ac:dyDescent="0.2">
      <c r="A3" s="6"/>
      <c r="B3" s="142"/>
      <c r="C3" s="6"/>
      <c r="D3" s="159"/>
      <c r="E3" s="6"/>
      <c r="F3" s="159"/>
      <c r="G3" s="159"/>
      <c r="H3" s="6"/>
      <c r="I3" s="6"/>
      <c r="J3" s="6"/>
    </row>
    <row r="4" spans="1:10" ht="15" customHeight="1" x14ac:dyDescent="0.2">
      <c r="A4" s="36" t="s">
        <v>280</v>
      </c>
      <c r="B4" s="160"/>
      <c r="C4" s="160"/>
      <c r="D4" s="160"/>
      <c r="E4" s="6"/>
      <c r="F4" s="159"/>
      <c r="G4" s="159"/>
      <c r="H4" s="6"/>
      <c r="I4" s="6"/>
      <c r="J4" s="6"/>
    </row>
    <row r="5" spans="1:10" ht="15" customHeight="1" x14ac:dyDescent="0.2">
      <c r="A5" s="34" t="s">
        <v>281</v>
      </c>
      <c r="B5" s="161">
        <v>1500000</v>
      </c>
      <c r="C5" s="6"/>
      <c r="D5" s="6"/>
      <c r="E5" s="6"/>
      <c r="F5" s="6"/>
      <c r="G5" s="6"/>
      <c r="H5" s="6"/>
      <c r="I5" s="6"/>
      <c r="J5" s="6"/>
    </row>
    <row r="6" spans="1:10" ht="15" customHeight="1" x14ac:dyDescent="0.2">
      <c r="A6" s="34" t="s">
        <v>282</v>
      </c>
      <c r="B6" s="161">
        <v>1500000</v>
      </c>
      <c r="C6" s="6"/>
      <c r="D6" s="6"/>
      <c r="E6" s="6"/>
      <c r="F6" s="6"/>
      <c r="G6" s="6"/>
      <c r="H6" s="6"/>
      <c r="I6" s="6"/>
      <c r="J6" s="6"/>
    </row>
    <row r="7" spans="1:10" ht="15" customHeight="1" x14ac:dyDescent="0.2">
      <c r="A7" s="34" t="s">
        <v>283</v>
      </c>
      <c r="B7" s="162">
        <v>45658</v>
      </c>
      <c r="C7" s="6"/>
      <c r="D7" s="159"/>
      <c r="E7" s="6"/>
      <c r="F7" s="6"/>
      <c r="G7" s="6"/>
      <c r="H7" s="6"/>
      <c r="I7" s="6"/>
      <c r="J7" s="6"/>
    </row>
    <row r="8" spans="1:10" ht="15" customHeight="1" x14ac:dyDescent="0.2">
      <c r="A8" s="34" t="s">
        <v>284</v>
      </c>
      <c r="B8" s="163">
        <v>0.55000000000000004</v>
      </c>
      <c r="C8" s="159"/>
      <c r="D8" s="159"/>
      <c r="E8" s="6"/>
      <c r="F8" s="6"/>
      <c r="G8" s="6"/>
      <c r="H8" s="6"/>
      <c r="I8" s="6"/>
      <c r="J8" s="6"/>
    </row>
    <row r="9" spans="1:10" ht="15" customHeight="1" x14ac:dyDescent="0.2">
      <c r="A9" s="34" t="s">
        <v>285</v>
      </c>
      <c r="B9" s="164">
        <f>1-B8</f>
        <v>0.44999999999999996</v>
      </c>
      <c r="C9" s="6"/>
      <c r="D9" s="6"/>
      <c r="E9" s="6"/>
      <c r="F9" s="6"/>
      <c r="G9" s="6"/>
      <c r="H9" s="6"/>
      <c r="I9" s="6"/>
      <c r="J9" s="6"/>
    </row>
    <row r="10" spans="1:10" ht="15" customHeight="1" x14ac:dyDescent="0.2">
      <c r="A10" s="6"/>
      <c r="B10" s="159"/>
      <c r="C10" s="6"/>
      <c r="D10" s="6"/>
      <c r="E10" s="6"/>
      <c r="F10" s="6"/>
      <c r="G10" s="6"/>
      <c r="H10" s="6"/>
      <c r="I10" s="6"/>
      <c r="J10" s="6"/>
    </row>
    <row r="11" spans="1:10" ht="15" customHeight="1" x14ac:dyDescent="0.2">
      <c r="A11" s="36" t="s">
        <v>286</v>
      </c>
      <c r="B11" s="160"/>
      <c r="C11" s="36"/>
      <c r="D11" s="36"/>
      <c r="E11" s="6"/>
      <c r="F11" s="6"/>
      <c r="G11" s="6"/>
      <c r="H11" s="6"/>
      <c r="I11" s="6"/>
      <c r="J11" s="6"/>
    </row>
    <row r="12" spans="1:10" ht="15" customHeight="1" x14ac:dyDescent="0.2">
      <c r="A12" s="34" t="s">
        <v>287</v>
      </c>
      <c r="B12" s="165">
        <f>'Loan Calculator'!D5</f>
        <v>1125000</v>
      </c>
      <c r="C12" s="6"/>
      <c r="D12" s="6"/>
      <c r="E12" s="6"/>
      <c r="F12" s="6"/>
      <c r="G12" s="6"/>
      <c r="H12" s="6"/>
      <c r="I12" s="6"/>
      <c r="J12" s="6"/>
    </row>
    <row r="13" spans="1:10" ht="15" customHeight="1" x14ac:dyDescent="0.2">
      <c r="A13" s="34" t="s">
        <v>288</v>
      </c>
      <c r="B13" s="164">
        <f>'Loan Calculator'!D6</f>
        <v>0.02</v>
      </c>
      <c r="C13" s="6"/>
      <c r="D13" s="6"/>
      <c r="E13" s="6"/>
      <c r="F13" s="6"/>
      <c r="G13" s="6"/>
      <c r="H13" s="6"/>
      <c r="I13" s="6"/>
      <c r="J13" s="6"/>
    </row>
    <row r="14" spans="1:10" ht="15" customHeight="1" x14ac:dyDescent="0.2">
      <c r="A14" s="34" t="s">
        <v>289</v>
      </c>
      <c r="B14" s="166">
        <f>'Loan Calculator'!D7</f>
        <v>20</v>
      </c>
      <c r="C14" s="159"/>
      <c r="D14" s="159"/>
      <c r="E14" s="6"/>
      <c r="F14" s="6"/>
      <c r="G14" s="6"/>
      <c r="H14" s="6"/>
      <c r="I14" s="6"/>
      <c r="J14" s="6"/>
    </row>
    <row r="15" spans="1:10" ht="15" customHeight="1" x14ac:dyDescent="0.2">
      <c r="A15" s="34" t="s">
        <v>290</v>
      </c>
      <c r="B15" s="167">
        <f>'Loan Calculator'!D8</f>
        <v>45658</v>
      </c>
      <c r="C15" s="159"/>
      <c r="D15" s="159"/>
      <c r="E15" s="6"/>
      <c r="F15" s="6"/>
      <c r="G15" s="6"/>
      <c r="H15" s="6"/>
      <c r="I15" s="6"/>
      <c r="J15" s="6"/>
    </row>
    <row r="16" spans="1:10" ht="15" customHeight="1" x14ac:dyDescent="0.2">
      <c r="A16" s="34" t="s">
        <v>291</v>
      </c>
      <c r="B16" s="165">
        <f>'Loan Calculator'!D11</f>
        <v>5691.1875192575681</v>
      </c>
      <c r="C16" s="159"/>
      <c r="D16" s="159"/>
      <c r="E16" s="6"/>
      <c r="F16" s="6"/>
      <c r="G16" s="6"/>
      <c r="H16" s="6"/>
      <c r="I16" s="6"/>
      <c r="J16" s="6"/>
    </row>
    <row r="17" spans="1:10" ht="15" customHeight="1" x14ac:dyDescent="0.2">
      <c r="A17" s="34" t="s">
        <v>292</v>
      </c>
      <c r="B17" s="139">
        <f ca="1">'Loan Calculator'!D15</f>
        <v>1055326.7924950442</v>
      </c>
      <c r="C17" s="159"/>
      <c r="D17" s="159"/>
      <c r="E17" s="6"/>
      <c r="F17" s="6"/>
      <c r="G17" s="6"/>
      <c r="H17" s="6"/>
      <c r="I17" s="6"/>
      <c r="J17" s="6"/>
    </row>
    <row r="18" spans="1:10" ht="15" customHeight="1" x14ac:dyDescent="0.2">
      <c r="A18" s="6"/>
      <c r="B18" s="159"/>
      <c r="C18" s="159"/>
      <c r="D18" s="159"/>
      <c r="E18" s="6"/>
      <c r="F18" s="6"/>
      <c r="G18" s="6"/>
      <c r="H18" s="6"/>
      <c r="I18" s="6"/>
      <c r="J18" s="6"/>
    </row>
    <row r="19" spans="1:10" ht="15" customHeight="1" x14ac:dyDescent="0.2">
      <c r="A19" s="36" t="s">
        <v>293</v>
      </c>
      <c r="B19" s="160"/>
      <c r="C19" s="160"/>
      <c r="D19" s="160"/>
      <c r="E19" s="6"/>
      <c r="F19" s="6"/>
      <c r="G19" s="6"/>
      <c r="H19" s="6"/>
      <c r="I19" s="6"/>
      <c r="J19" s="6"/>
    </row>
    <row r="20" spans="1:10" ht="15" customHeight="1" x14ac:dyDescent="0.2">
      <c r="A20" s="34" t="s">
        <v>294</v>
      </c>
      <c r="B20" s="139">
        <f>B5*B8</f>
        <v>825000.00000000012</v>
      </c>
      <c r="C20" s="159"/>
      <c r="D20" s="168" t="s">
        <v>295</v>
      </c>
      <c r="E20" s="6"/>
      <c r="F20" s="159"/>
      <c r="G20" s="159"/>
      <c r="H20" s="159"/>
      <c r="I20" s="6"/>
      <c r="J20" s="6"/>
    </row>
    <row r="21" spans="1:10" ht="15" customHeight="1" x14ac:dyDescent="0.2">
      <c r="A21" s="34" t="s">
        <v>296</v>
      </c>
      <c r="B21" s="139">
        <f ca="1">B17*B8</f>
        <v>580429.73587227438</v>
      </c>
      <c r="C21" s="159"/>
      <c r="D21" s="168" t="s">
        <v>297</v>
      </c>
      <c r="E21" s="6"/>
      <c r="F21" s="159"/>
      <c r="G21" s="159"/>
      <c r="H21" s="159"/>
      <c r="I21" s="6"/>
      <c r="J21" s="6"/>
    </row>
    <row r="22" spans="1:10" ht="15" customHeight="1" x14ac:dyDescent="0.2">
      <c r="A22" s="34" t="s">
        <v>298</v>
      </c>
      <c r="B22" s="139">
        <f ca="1">B20-B21</f>
        <v>244570.26412772574</v>
      </c>
      <c r="C22" s="159"/>
      <c r="D22" s="159"/>
      <c r="E22" s="6"/>
      <c r="F22" s="159"/>
      <c r="G22" s="159"/>
      <c r="H22" s="159"/>
      <c r="I22" s="6"/>
      <c r="J22" s="6"/>
    </row>
    <row r="23" spans="1:10" ht="15" customHeight="1" x14ac:dyDescent="0.2">
      <c r="A23" s="34" t="s">
        <v>299</v>
      </c>
      <c r="B23" s="165">
        <f ca="1">B5-B17</f>
        <v>444673.20750495582</v>
      </c>
      <c r="C23" s="159"/>
      <c r="D23" s="159"/>
      <c r="E23" s="6"/>
      <c r="F23" s="159"/>
      <c r="G23" s="159"/>
      <c r="H23" s="159"/>
      <c r="I23" s="6"/>
      <c r="J23" s="6"/>
    </row>
    <row r="24" spans="1:10" ht="15" customHeight="1" x14ac:dyDescent="0.2">
      <c r="A24" s="6"/>
      <c r="B24" s="159"/>
      <c r="C24" s="159"/>
      <c r="D24" s="159"/>
      <c r="E24" s="6"/>
      <c r="F24" s="159"/>
      <c r="G24" s="159"/>
      <c r="H24" s="159"/>
      <c r="I24" s="6"/>
      <c r="J24" s="6"/>
    </row>
    <row r="25" spans="1:10" ht="15" customHeight="1" x14ac:dyDescent="0.2">
      <c r="A25" s="36" t="s">
        <v>300</v>
      </c>
      <c r="B25" s="160"/>
      <c r="C25" s="160"/>
      <c r="D25" s="160"/>
      <c r="E25" s="6"/>
      <c r="F25" s="159"/>
      <c r="G25" s="159"/>
      <c r="H25" s="159"/>
      <c r="I25" s="6"/>
      <c r="J25" s="6"/>
    </row>
    <row r="26" spans="1:10" ht="15" customHeight="1" x14ac:dyDescent="0.2">
      <c r="A26" s="34" t="s">
        <v>301</v>
      </c>
      <c r="B26" s="161">
        <v>1000000</v>
      </c>
      <c r="C26" s="159"/>
      <c r="D26" s="159"/>
      <c r="E26" s="6"/>
      <c r="F26" s="6"/>
      <c r="G26" s="6"/>
      <c r="H26" s="6"/>
      <c r="I26" s="6"/>
      <c r="J26" s="6"/>
    </row>
    <row r="27" spans="1:10" ht="15" customHeight="1" x14ac:dyDescent="0.2">
      <c r="A27" s="34" t="s">
        <v>302</v>
      </c>
      <c r="B27" s="162">
        <v>47118</v>
      </c>
      <c r="C27" s="159"/>
      <c r="D27" s="159"/>
      <c r="E27" s="6"/>
      <c r="F27" s="6"/>
      <c r="G27" s="6"/>
      <c r="H27" s="6"/>
      <c r="I27" s="6"/>
      <c r="J27" s="6"/>
    </row>
    <row r="28" spans="1:10" ht="15" customHeight="1" x14ac:dyDescent="0.2">
      <c r="A28" s="34" t="s">
        <v>303</v>
      </c>
      <c r="B28" s="165">
        <f ca="1">MAX(0,B17-B26)</f>
        <v>55326.792495044181</v>
      </c>
      <c r="C28" s="142"/>
      <c r="D28" s="159"/>
      <c r="E28" s="6"/>
      <c r="F28" s="6"/>
      <c r="G28" s="6"/>
      <c r="H28" s="6"/>
      <c r="I28" s="6"/>
      <c r="J28" s="6"/>
    </row>
    <row r="29" spans="1:10" ht="15" customHeight="1" x14ac:dyDescent="0.2">
      <c r="A29" s="34" t="s">
        <v>304</v>
      </c>
      <c r="B29" s="165">
        <f ca="1">B28*B8</f>
        <v>30429.735872274301</v>
      </c>
      <c r="C29" s="159"/>
      <c r="D29" s="142"/>
      <c r="E29" s="6"/>
      <c r="F29" s="6"/>
      <c r="G29" s="6"/>
      <c r="H29" s="6"/>
      <c r="I29" s="6"/>
      <c r="J29" s="6"/>
    </row>
    <row r="30" spans="1:10" ht="15" customHeight="1" x14ac:dyDescent="0.2">
      <c r="A30" s="34" t="s">
        <v>305</v>
      </c>
      <c r="B30" s="165">
        <f ca="1">B28*B9</f>
        <v>24897.05662276988</v>
      </c>
      <c r="C30" s="159"/>
      <c r="D30" s="159"/>
      <c r="E30" s="159"/>
      <c r="F30" s="159"/>
      <c r="G30" s="6"/>
      <c r="H30" s="6"/>
      <c r="I30" s="6"/>
      <c r="J30" s="6"/>
    </row>
    <row r="31" spans="1:10" ht="15" customHeight="1" x14ac:dyDescent="0.2">
      <c r="A31" s="34" t="s">
        <v>306</v>
      </c>
      <c r="B31" s="169">
        <f ca="1">MAX(0,(B27-TODAY())/365)</f>
        <v>2.4712328767123286</v>
      </c>
      <c r="C31" s="159"/>
      <c r="D31" s="159"/>
      <c r="E31" s="6"/>
      <c r="F31" s="6"/>
      <c r="G31" s="6"/>
      <c r="H31" s="6"/>
      <c r="I31" s="6"/>
      <c r="J31" s="6"/>
    </row>
    <row r="32" spans="1:10" ht="15" customHeight="1" x14ac:dyDescent="0.2">
      <c r="A32" s="34" t="s">
        <v>307</v>
      </c>
      <c r="B32" s="165">
        <f ca="1">IFERROR(B29/B31,0)</f>
        <v>12313.584915055566</v>
      </c>
      <c r="C32" s="6"/>
      <c r="D32" s="6"/>
      <c r="E32" s="6"/>
      <c r="F32" s="6"/>
      <c r="G32" s="6"/>
      <c r="H32" s="6"/>
      <c r="I32" s="6"/>
      <c r="J32" s="6"/>
    </row>
    <row r="33" spans="1:10" ht="15" customHeight="1" x14ac:dyDescent="0.2">
      <c r="A33" s="6"/>
      <c r="B33" s="6"/>
      <c r="C33" s="6"/>
      <c r="D33" s="6"/>
      <c r="E33" s="6"/>
      <c r="F33" s="6"/>
      <c r="G33" s="6"/>
      <c r="H33" s="6"/>
      <c r="I33" s="6"/>
      <c r="J33" s="6"/>
    </row>
    <row r="34" spans="1:10" ht="15" customHeight="1" x14ac:dyDescent="0.2">
      <c r="A34" s="36" t="s">
        <v>308</v>
      </c>
      <c r="B34" s="36"/>
      <c r="C34" s="36"/>
      <c r="D34" s="36"/>
      <c r="E34" s="6"/>
      <c r="F34" s="6"/>
      <c r="G34" s="6"/>
      <c r="H34" s="6"/>
      <c r="I34" s="6"/>
      <c r="J34" s="6"/>
    </row>
    <row r="35" spans="1:10" ht="15" customHeight="1" x14ac:dyDescent="0.2">
      <c r="A35" s="34" t="s">
        <v>309</v>
      </c>
      <c r="B35" s="165">
        <f>'Balance Sheet'!B53</f>
        <v>95000</v>
      </c>
      <c r="C35" s="6"/>
      <c r="D35" s="6"/>
      <c r="E35" s="6"/>
      <c r="F35" s="6"/>
      <c r="G35" s="6"/>
      <c r="H35" s="6"/>
      <c r="I35" s="6"/>
      <c r="J35" s="6"/>
    </row>
    <row r="36" spans="1:10" ht="15" customHeight="1" x14ac:dyDescent="0.2">
      <c r="A36" s="34" t="s">
        <v>310</v>
      </c>
      <c r="B36" s="161">
        <v>2200</v>
      </c>
      <c r="C36" s="6"/>
      <c r="D36" s="6"/>
      <c r="E36" s="6"/>
      <c r="F36" s="6"/>
      <c r="G36" s="6"/>
      <c r="H36" s="6"/>
      <c r="I36" s="6"/>
      <c r="J36" s="6"/>
    </row>
    <row r="37" spans="1:10" ht="15" customHeight="1" x14ac:dyDescent="0.2">
      <c r="A37" s="34" t="s">
        <v>311</v>
      </c>
      <c r="B37" s="165">
        <f>B36*13</f>
        <v>28600</v>
      </c>
      <c r="C37" s="6"/>
      <c r="D37" s="6"/>
      <c r="E37" s="6"/>
      <c r="F37" s="6"/>
      <c r="G37" s="6"/>
      <c r="H37" s="6"/>
      <c r="I37" s="6"/>
      <c r="J37" s="6"/>
    </row>
    <row r="38" spans="1:10" ht="15" customHeight="1" x14ac:dyDescent="0.2">
      <c r="A38" s="34" t="s">
        <v>312</v>
      </c>
      <c r="B38" s="161">
        <v>236000</v>
      </c>
      <c r="C38" s="6"/>
      <c r="D38" s="6"/>
      <c r="E38" s="6"/>
      <c r="F38" s="6"/>
      <c r="G38" s="6"/>
      <c r="H38" s="6"/>
      <c r="I38" s="6"/>
      <c r="J38" s="6"/>
    </row>
    <row r="39" spans="1:10" ht="15" customHeight="1" x14ac:dyDescent="0.2">
      <c r="A39" s="34" t="s">
        <v>313</v>
      </c>
      <c r="B39" s="165">
        <f>B35-B38</f>
        <v>-141000</v>
      </c>
      <c r="C39" s="6"/>
      <c r="D39" s="6"/>
      <c r="E39" s="6"/>
      <c r="F39" s="6"/>
      <c r="G39" s="6"/>
      <c r="H39" s="6"/>
      <c r="I39" s="6"/>
      <c r="J39" s="6"/>
    </row>
    <row r="40" spans="1:10" ht="15" customHeight="1" x14ac:dyDescent="0.2">
      <c r="A40" s="6"/>
      <c r="B40" s="6"/>
      <c r="C40" s="6"/>
      <c r="D40" s="6"/>
      <c r="E40" s="6"/>
      <c r="F40" s="6"/>
      <c r="G40" s="6"/>
      <c r="H40" s="6"/>
      <c r="I40" s="6"/>
      <c r="J40" s="6"/>
    </row>
    <row r="41" spans="1:10" ht="15" customHeight="1" x14ac:dyDescent="0.2">
      <c r="A41" s="36" t="s">
        <v>314</v>
      </c>
      <c r="B41" s="36"/>
      <c r="C41" s="36"/>
      <c r="D41" s="36"/>
      <c r="E41" s="6"/>
      <c r="F41" s="6"/>
      <c r="G41" s="6"/>
      <c r="H41" s="6"/>
      <c r="I41" s="6"/>
      <c r="J41" s="6"/>
    </row>
    <row r="42" spans="1:10" ht="15" customHeight="1" x14ac:dyDescent="0.2">
      <c r="A42" s="170" t="s">
        <v>315</v>
      </c>
      <c r="B42" s="170" t="s">
        <v>316</v>
      </c>
      <c r="C42" s="170" t="s">
        <v>317</v>
      </c>
      <c r="D42" s="170" t="s">
        <v>132</v>
      </c>
      <c r="E42" s="6"/>
      <c r="F42" s="6"/>
      <c r="G42" s="6"/>
      <c r="H42" s="6"/>
      <c r="I42" s="6"/>
      <c r="J42" s="6"/>
    </row>
    <row r="43" spans="1:10" ht="15" customHeight="1" x14ac:dyDescent="0.2">
      <c r="A43" s="171" t="s">
        <v>318</v>
      </c>
      <c r="B43" s="172">
        <v>90000</v>
      </c>
      <c r="C43" s="172">
        <v>120000</v>
      </c>
      <c r="D43" s="157">
        <f>B43+C43</f>
        <v>210000</v>
      </c>
      <c r="E43" s="6"/>
      <c r="F43" s="6"/>
      <c r="G43" s="6"/>
      <c r="H43" s="6"/>
      <c r="I43" s="6"/>
      <c r="J43" s="6"/>
    </row>
    <row r="44" spans="1:10" ht="15" customHeight="1" x14ac:dyDescent="0.2">
      <c r="A44" s="171" t="s">
        <v>319</v>
      </c>
      <c r="B44" s="172">
        <v>170000</v>
      </c>
      <c r="C44" s="172">
        <v>120000</v>
      </c>
      <c r="D44" s="157">
        <f>B44+C44</f>
        <v>290000</v>
      </c>
      <c r="E44" s="6"/>
      <c r="F44" s="6"/>
      <c r="G44" s="6"/>
      <c r="H44" s="6"/>
      <c r="I44" s="6"/>
      <c r="J44" s="6"/>
    </row>
    <row r="45" spans="1:10" ht="15" customHeight="1" x14ac:dyDescent="0.2">
      <c r="A45" s="173" t="s">
        <v>320</v>
      </c>
      <c r="B45" s="174">
        <f>SUM(B43:B44)</f>
        <v>260000</v>
      </c>
      <c r="C45" s="174">
        <f>SUM(C43:C44)</f>
        <v>240000</v>
      </c>
      <c r="D45" s="174">
        <f>SUM(D43:D44)</f>
        <v>500000</v>
      </c>
      <c r="E45" s="6"/>
      <c r="F45" s="6"/>
      <c r="G45" s="6"/>
      <c r="H45" s="6"/>
      <c r="I45" s="6"/>
      <c r="J45" s="6"/>
    </row>
    <row r="46" spans="1:10" ht="15" customHeight="1" x14ac:dyDescent="0.2">
      <c r="A46" s="6"/>
      <c r="B46" s="6"/>
      <c r="C46" s="6"/>
      <c r="D46" s="6"/>
      <c r="E46" s="6"/>
      <c r="F46" s="6"/>
      <c r="G46" s="6"/>
      <c r="H46" s="6"/>
      <c r="I46" s="6"/>
      <c r="J46" s="6"/>
    </row>
    <row r="47" spans="1:10" ht="15" customHeight="1" x14ac:dyDescent="0.2">
      <c r="A47" s="140" t="s">
        <v>321</v>
      </c>
      <c r="B47" s="6"/>
      <c r="C47" s="6"/>
      <c r="D47" s="6"/>
      <c r="E47" s="6"/>
      <c r="F47" s="6"/>
      <c r="G47" s="6"/>
      <c r="H47" s="6"/>
      <c r="I47" s="6"/>
      <c r="J47" s="6"/>
    </row>
    <row r="48" spans="1:10" ht="15" customHeight="1" x14ac:dyDescent="0.2">
      <c r="A48" s="6"/>
      <c r="B48" s="6"/>
      <c r="C48" s="6"/>
      <c r="D48" s="6"/>
      <c r="E48" s="6"/>
      <c r="F48" s="6"/>
      <c r="G48" s="6"/>
      <c r="H48" s="6"/>
      <c r="I48" s="6"/>
      <c r="J48" s="6"/>
    </row>
    <row r="49" spans="1:10" ht="15" customHeight="1" x14ac:dyDescent="0.2">
      <c r="A49" s="6"/>
      <c r="B49" s="6"/>
      <c r="C49" s="6"/>
      <c r="D49" s="6"/>
      <c r="E49" s="6"/>
      <c r="F49" s="6"/>
      <c r="G49" s="6"/>
      <c r="H49" s="6"/>
      <c r="I49" s="6"/>
      <c r="J49" s="6"/>
    </row>
    <row r="50" spans="1:10" ht="15" customHeight="1" x14ac:dyDescent="0.2">
      <c r="A50" s="6"/>
      <c r="B50" s="6"/>
      <c r="C50" s="6"/>
      <c r="D50" s="6"/>
      <c r="E50" s="6"/>
      <c r="F50" s="6"/>
      <c r="G50" s="6"/>
      <c r="H50" s="6"/>
      <c r="I50" s="6"/>
      <c r="J50" s="6"/>
    </row>
    <row r="51" spans="1:10" ht="15" customHeight="1" x14ac:dyDescent="0.2">
      <c r="A51" s="6"/>
      <c r="B51" s="6"/>
      <c r="C51" s="6"/>
      <c r="D51" s="6"/>
      <c r="E51" s="6"/>
      <c r="F51" s="6"/>
      <c r="G51" s="6"/>
      <c r="H51" s="6"/>
      <c r="I51" s="6"/>
      <c r="J51" s="6"/>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zoomScale="130" zoomScaleNormal="130" workbookViewId="0">
      <pane ySplit="16" topLeftCell="A17" activePane="bottomLeft" state="frozen"/>
      <selection pane="bottomLeft" activeCell="D7" sqref="D7"/>
    </sheetView>
  </sheetViews>
  <sheetFormatPr baseColWidth="10" defaultColWidth="9.1640625" defaultRowHeight="15" x14ac:dyDescent="0.15"/>
  <cols>
    <col min="1" max="1" width="3.83203125" style="176" customWidth="1"/>
    <col min="2" max="2" width="8" style="177" customWidth="1"/>
    <col min="3" max="3" width="13" style="177" customWidth="1"/>
    <col min="4" max="4" width="15" style="177" customWidth="1"/>
    <col min="5" max="6" width="13" customWidth="1"/>
    <col min="7" max="7" width="16" customWidth="1"/>
    <col min="8" max="8" width="13" customWidth="1"/>
    <col min="9" max="9" width="16" customWidth="1"/>
    <col min="10" max="10" width="15" customWidth="1"/>
    <col min="11" max="11" width="34.5" style="176" customWidth="1"/>
    <col min="12" max="12" width="42.5" style="176" customWidth="1"/>
    <col min="13" max="13" width="8" style="176" customWidth="1"/>
    <col min="14" max="16" width="15" style="176" customWidth="1"/>
    <col min="17" max="17" width="51.1640625" style="176" customWidth="1"/>
    <col min="18" max="18" width="13.6640625" style="176" customWidth="1"/>
    <col min="19" max="16384" width="9.1640625" style="176"/>
  </cols>
  <sheetData>
    <row r="1" spans="1:16" ht="19.5" customHeight="1" x14ac:dyDescent="0.15">
      <c r="A1" s="178"/>
      <c r="B1" s="179"/>
      <c r="C1" s="179"/>
      <c r="D1" s="179"/>
      <c r="E1" s="179"/>
      <c r="F1" s="179"/>
      <c r="G1" s="179"/>
      <c r="H1" s="179"/>
      <c r="I1" s="179"/>
      <c r="J1" s="179"/>
      <c r="K1" s="180" t="s">
        <v>322</v>
      </c>
    </row>
    <row r="2" spans="1:16" ht="60.75" customHeight="1" x14ac:dyDescent="0.15">
      <c r="A2" s="178"/>
      <c r="B2" s="2" t="s">
        <v>323</v>
      </c>
      <c r="C2" s="2"/>
      <c r="D2" s="2"/>
      <c r="E2" s="2"/>
      <c r="F2" s="2"/>
      <c r="G2" s="2"/>
      <c r="H2" s="2"/>
      <c r="I2" s="2"/>
      <c r="J2" s="2"/>
      <c r="K2" s="178"/>
      <c r="M2" s="181" t="s">
        <v>324</v>
      </c>
    </row>
    <row r="3" spans="1:16" ht="24" customHeight="1" x14ac:dyDescent="0.15">
      <c r="A3" s="178"/>
      <c r="B3" s="182"/>
      <c r="C3" s="183"/>
      <c r="D3" s="183"/>
      <c r="E3" s="183"/>
      <c r="F3" s="183"/>
      <c r="G3" s="183"/>
      <c r="H3" s="183"/>
      <c r="I3" s="183"/>
      <c r="J3" s="183"/>
      <c r="K3" s="178"/>
    </row>
    <row r="4" spans="1:16" ht="24" customHeight="1" x14ac:dyDescent="0.15">
      <c r="A4" s="178"/>
      <c r="B4" s="1" t="s">
        <v>325</v>
      </c>
      <c r="C4" s="1"/>
      <c r="D4" s="1"/>
      <c r="E4" s="178"/>
      <c r="F4" s="179"/>
      <c r="G4" s="179"/>
      <c r="H4" s="179"/>
      <c r="I4" s="179"/>
      <c r="J4" s="179"/>
      <c r="K4" s="178"/>
      <c r="M4" s="27" t="s">
        <v>326</v>
      </c>
      <c r="N4" s="27" t="s">
        <v>327</v>
      </c>
      <c r="O4" s="27" t="s">
        <v>328</v>
      </c>
      <c r="P4" s="27" t="s">
        <v>329</v>
      </c>
    </row>
    <row r="5" spans="1:16" ht="24" customHeight="1" x14ac:dyDescent="0.15">
      <c r="A5" s="178"/>
      <c r="B5" s="184"/>
      <c r="C5" s="185" t="s">
        <v>330</v>
      </c>
      <c r="D5" s="186">
        <v>1125000</v>
      </c>
      <c r="E5" s="178"/>
      <c r="F5" s="179"/>
      <c r="G5" s="179"/>
      <c r="H5" s="179"/>
      <c r="I5" s="179"/>
      <c r="J5" s="179"/>
      <c r="K5" s="178"/>
      <c r="M5" s="187">
        <f>YEAR($D$8)</f>
        <v>2025</v>
      </c>
      <c r="N5" s="188">
        <f t="shared" ref="N5:N29" si="0">SUMPRODUCT(($M5=YEAR($C$17:$C$256))*$F$17:$F$256)</f>
        <v>42329.634830958035</v>
      </c>
      <c r="O5" s="188">
        <f t="shared" ref="O5:O29" si="1">SUMPRODUCT(($M5=YEAR($C$17:$C$256))*$H$17:$H$256)</f>
        <v>20273.42788087521</v>
      </c>
      <c r="P5" s="188">
        <f t="shared" ref="P5:P29" si="2">N5+O5</f>
        <v>62603.062711833249</v>
      </c>
    </row>
    <row r="6" spans="1:16" ht="24" customHeight="1" x14ac:dyDescent="0.15">
      <c r="A6" s="178"/>
      <c r="B6" s="189"/>
      <c r="C6" s="190" t="s">
        <v>331</v>
      </c>
      <c r="D6" s="191">
        <v>0.02</v>
      </c>
      <c r="E6" s="178"/>
      <c r="F6" s="179"/>
      <c r="G6" s="179"/>
      <c r="H6" s="179"/>
      <c r="I6" s="179"/>
      <c r="J6" s="179"/>
      <c r="K6" s="178"/>
      <c r="M6" s="187">
        <f t="shared" ref="M6:M29" si="3">M5+1</f>
        <v>2026</v>
      </c>
      <c r="N6" s="188">
        <f t="shared" si="0"/>
        <v>47070.768146896655</v>
      </c>
      <c r="O6" s="188">
        <f t="shared" si="1"/>
        <v>21223.482084194155</v>
      </c>
      <c r="P6" s="188">
        <f t="shared" si="2"/>
        <v>68294.250231090817</v>
      </c>
    </row>
    <row r="7" spans="1:16" ht="24" customHeight="1" x14ac:dyDescent="0.15">
      <c r="A7" s="178"/>
      <c r="B7" s="192"/>
      <c r="C7" s="193" t="s">
        <v>332</v>
      </c>
      <c r="D7" s="194">
        <v>20</v>
      </c>
      <c r="E7" s="178"/>
      <c r="F7" s="179"/>
      <c r="G7" s="179"/>
      <c r="H7" s="179"/>
      <c r="I7" s="179"/>
      <c r="J7" s="179"/>
      <c r="K7" s="178"/>
      <c r="M7" s="187">
        <f t="shared" si="3"/>
        <v>2027</v>
      </c>
      <c r="N7" s="188">
        <f t="shared" si="0"/>
        <v>48020.861273375107</v>
      </c>
      <c r="O7" s="188">
        <f t="shared" si="1"/>
        <v>20273.38895771571</v>
      </c>
      <c r="P7" s="188">
        <f t="shared" si="2"/>
        <v>68294.250231090817</v>
      </c>
    </row>
    <row r="8" spans="1:16" ht="24" customHeight="1" x14ac:dyDescent="0.15">
      <c r="A8" s="178"/>
      <c r="B8" s="184"/>
      <c r="C8" s="195" t="s">
        <v>333</v>
      </c>
      <c r="D8" s="196">
        <v>45658</v>
      </c>
      <c r="E8" s="178"/>
      <c r="F8" s="179"/>
      <c r="G8" s="179"/>
      <c r="H8" s="179"/>
      <c r="I8" s="179"/>
      <c r="J8" s="179"/>
      <c r="K8" s="178"/>
      <c r="M8" s="187">
        <f t="shared" si="3"/>
        <v>2028</v>
      </c>
      <c r="N8" s="188">
        <f t="shared" si="0"/>
        <v>48990.131417448945</v>
      </c>
      <c r="O8" s="188">
        <f t="shared" si="1"/>
        <v>19304.118813641875</v>
      </c>
      <c r="P8" s="188">
        <f t="shared" si="2"/>
        <v>68294.250231090817</v>
      </c>
    </row>
    <row r="9" spans="1:16" ht="9" customHeight="1" x14ac:dyDescent="0.15">
      <c r="A9" s="178"/>
      <c r="B9" s="197"/>
      <c r="C9" s="178"/>
      <c r="D9" s="178"/>
      <c r="E9" s="178"/>
      <c r="F9" s="178"/>
      <c r="G9" s="178"/>
      <c r="H9" s="178"/>
      <c r="I9" s="178"/>
      <c r="J9" s="178"/>
      <c r="K9" s="178"/>
      <c r="M9" s="187">
        <f t="shared" si="3"/>
        <v>2029</v>
      </c>
      <c r="N9" s="188">
        <f t="shared" si="0"/>
        <v>49978.965654862222</v>
      </c>
      <c r="O9" s="188">
        <f t="shared" si="1"/>
        <v>18315.284576228594</v>
      </c>
      <c r="P9" s="188">
        <f t="shared" si="2"/>
        <v>68294.250231090817</v>
      </c>
    </row>
    <row r="10" spans="1:16" ht="24" customHeight="1" x14ac:dyDescent="0.15">
      <c r="A10" s="178"/>
      <c r="B10" s="1" t="s">
        <v>334</v>
      </c>
      <c r="C10" s="1"/>
      <c r="D10" s="1"/>
      <c r="E10" s="178"/>
      <c r="F10" s="178"/>
      <c r="G10" s="178"/>
      <c r="H10" s="178"/>
      <c r="I10" s="178"/>
      <c r="J10" s="178"/>
      <c r="K10" s="178"/>
      <c r="M10" s="187">
        <f t="shared" si="3"/>
        <v>2030</v>
      </c>
      <c r="N10" s="188">
        <f t="shared" si="0"/>
        <v>50987.758874233514</v>
      </c>
      <c r="O10" s="188">
        <f t="shared" si="1"/>
        <v>17306.491356857317</v>
      </c>
      <c r="P10" s="188">
        <f t="shared" si="2"/>
        <v>68294.250231090831</v>
      </c>
    </row>
    <row r="11" spans="1:16" ht="24" customHeight="1" x14ac:dyDescent="0.15">
      <c r="A11" s="178"/>
      <c r="B11" s="184"/>
      <c r="C11" s="195" t="s">
        <v>335</v>
      </c>
      <c r="D11" s="198">
        <f>IFERROR(IF(LoanIsGood,MonthlyPayment,""), "")</f>
        <v>5691.1875192575681</v>
      </c>
      <c r="E11" s="178"/>
      <c r="F11" s="178"/>
      <c r="G11" s="178"/>
      <c r="H11" s="178"/>
      <c r="I11" s="178"/>
      <c r="J11" s="178"/>
      <c r="K11" s="178"/>
      <c r="M11" s="187">
        <f t="shared" si="3"/>
        <v>2031</v>
      </c>
      <c r="N11" s="188">
        <f t="shared" si="0"/>
        <v>52016.913934753662</v>
      </c>
      <c r="O11" s="188">
        <f t="shared" si="1"/>
        <v>16277.336296337162</v>
      </c>
      <c r="P11" s="188">
        <f t="shared" si="2"/>
        <v>68294.250231090817</v>
      </c>
    </row>
    <row r="12" spans="1:16" ht="24" customHeight="1" x14ac:dyDescent="0.15">
      <c r="A12" s="178"/>
      <c r="B12" s="192"/>
      <c r="C12" s="199" t="s">
        <v>336</v>
      </c>
      <c r="D12" s="200">
        <f>IFERROR(IF(LoanIsGood,LoanYears*12,""), "")</f>
        <v>240</v>
      </c>
      <c r="E12" s="178"/>
      <c r="F12" s="178"/>
      <c r="G12" s="178"/>
      <c r="H12" s="178"/>
      <c r="I12" s="178"/>
      <c r="J12" s="178"/>
      <c r="K12" s="178"/>
      <c r="M12" s="187">
        <f t="shared" si="3"/>
        <v>2032</v>
      </c>
      <c r="N12" s="188">
        <f t="shared" si="0"/>
        <v>53066.841827066775</v>
      </c>
      <c r="O12" s="188">
        <f t="shared" si="1"/>
        <v>15227.408404024054</v>
      </c>
      <c r="P12" s="188">
        <f t="shared" si="2"/>
        <v>68294.250231090831</v>
      </c>
    </row>
    <row r="13" spans="1:16" ht="24" customHeight="1" x14ac:dyDescent="0.15">
      <c r="A13" s="178"/>
      <c r="B13" s="184"/>
      <c r="C13" s="193" t="s">
        <v>337</v>
      </c>
      <c r="D13" s="201">
        <f>IFERROR(IF(LoanIsGood,TotalLoanCost-LoanAmount,""), "")</f>
        <v>240885.00462181633</v>
      </c>
      <c r="E13" s="178"/>
      <c r="F13" s="178"/>
      <c r="G13" s="178"/>
      <c r="H13" s="178"/>
      <c r="I13" s="178"/>
      <c r="J13" s="178"/>
      <c r="K13" s="178"/>
      <c r="M13" s="187">
        <f t="shared" si="3"/>
        <v>2033</v>
      </c>
      <c r="N13" s="188">
        <f t="shared" si="0"/>
        <v>54137.961837398259</v>
      </c>
      <c r="O13" s="188">
        <f t="shared" si="1"/>
        <v>14156.288393692565</v>
      </c>
      <c r="P13" s="188">
        <f t="shared" si="2"/>
        <v>68294.250231090817</v>
      </c>
    </row>
    <row r="14" spans="1:16" ht="24" customHeight="1" x14ac:dyDescent="0.15">
      <c r="A14" s="178"/>
      <c r="B14" s="189"/>
      <c r="C14" s="195" t="s">
        <v>338</v>
      </c>
      <c r="D14" s="201">
        <f>IFERROR(IF(LoanIsGood,MonthlyPayment*NumberOfPayments,""), "")</f>
        <v>1365885.0046218163</v>
      </c>
      <c r="E14" s="178"/>
      <c r="F14" s="178"/>
      <c r="G14" s="178"/>
      <c r="H14" s="178"/>
      <c r="I14" s="178"/>
      <c r="J14" s="178"/>
      <c r="K14" s="178"/>
      <c r="M14" s="187">
        <f t="shared" si="3"/>
        <v>2034</v>
      </c>
      <c r="N14" s="188">
        <f t="shared" si="0"/>
        <v>55230.701714995841</v>
      </c>
      <c r="O14" s="188">
        <f t="shared" si="1"/>
        <v>13063.548516094976</v>
      </c>
      <c r="P14" s="188">
        <f t="shared" si="2"/>
        <v>68294.250231090817</v>
      </c>
    </row>
    <row r="15" spans="1:16" ht="24" customHeight="1" x14ac:dyDescent="0.15">
      <c r="A15" s="178"/>
      <c r="B15" s="197"/>
      <c r="C15" s="202" t="s">
        <v>339</v>
      </c>
      <c r="D15" s="203">
        <f ca="1">IFERROR(LOOKUP(2,1/($C$17:$C$256&lt;=TODAY()),$J$17:$J$256),D5)</f>
        <v>1055326.7924950442</v>
      </c>
      <c r="E15" s="178"/>
      <c r="F15" s="178"/>
      <c r="G15" s="178"/>
      <c r="H15" s="178"/>
      <c r="I15" s="178"/>
      <c r="J15" s="178"/>
      <c r="K15" s="178"/>
      <c r="M15" s="187">
        <f t="shared" si="3"/>
        <v>2035</v>
      </c>
      <c r="N15" s="188">
        <f t="shared" si="0"/>
        <v>56345.497842950223</v>
      </c>
      <c r="O15" s="188">
        <f t="shared" si="1"/>
        <v>11948.752388140592</v>
      </c>
      <c r="P15" s="188">
        <f t="shared" si="2"/>
        <v>68294.250231090817</v>
      </c>
    </row>
    <row r="16" spans="1:16" ht="40.5" customHeight="1" x14ac:dyDescent="0.15">
      <c r="A16" s="178"/>
      <c r="B16" s="27" t="s">
        <v>340</v>
      </c>
      <c r="C16" s="27" t="s">
        <v>341</v>
      </c>
      <c r="D16" s="27" t="s">
        <v>342</v>
      </c>
      <c r="E16" s="27" t="s">
        <v>343</v>
      </c>
      <c r="F16" s="27" t="s">
        <v>344</v>
      </c>
      <c r="G16" s="27" t="s">
        <v>345</v>
      </c>
      <c r="H16" s="27" t="s">
        <v>346</v>
      </c>
      <c r="I16" s="27" t="s">
        <v>347</v>
      </c>
      <c r="J16" s="27" t="s">
        <v>348</v>
      </c>
      <c r="K16" s="178"/>
      <c r="M16" s="187">
        <f t="shared" si="3"/>
        <v>2036</v>
      </c>
      <c r="N16" s="188">
        <f t="shared" si="0"/>
        <v>57482.795412463587</v>
      </c>
      <c r="O16" s="188">
        <f t="shared" si="1"/>
        <v>10811.454818627222</v>
      </c>
      <c r="P16" s="188">
        <f t="shared" si="2"/>
        <v>68294.250231090817</v>
      </c>
    </row>
    <row r="17" spans="1:18" ht="19.5" customHeight="1" x14ac:dyDescent="0.15">
      <c r="A17" s="178"/>
      <c r="B17" s="204">
        <f>IFERROR(IF(LoanIsNotPaid*LoanIsGood,PaymentNumber,""), "")</f>
        <v>1</v>
      </c>
      <c r="C17" s="205">
        <f>IFERROR(IF(LoanIsNotPaid*LoanIsGood,PaymentDate,LoanStartDate), LoanStartDate)</f>
        <v>45689</v>
      </c>
      <c r="D17" s="206">
        <f>IFERROR(IF(LoanIsNotPaid*LoanIsGood,LoanValue,""), "")</f>
        <v>1125000</v>
      </c>
      <c r="E17" s="206">
        <f>IFERROR(IF(LoanIsNotPaid*LoanIsGood,MonthlyPayment,0), 0)</f>
        <v>5691.1875192575681</v>
      </c>
      <c r="F17" s="206">
        <f>IFERROR(IF(LoanIsNotPaid*LoanIsGood,Principal,0), 0)</f>
        <v>3816.1875192575681</v>
      </c>
      <c r="G17" s="206">
        <f>SUM($F$17:F17)</f>
        <v>3816.1875192575681</v>
      </c>
      <c r="H17" s="206">
        <f>IFERROR(IF(LoanIsNotPaid*LoanIsGood,InterestAmt,0), 0)</f>
        <v>1875.0000000000002</v>
      </c>
      <c r="I17" s="206">
        <f>SUM($H$17:H17)</f>
        <v>1875.0000000000002</v>
      </c>
      <c r="J17" s="206">
        <f>IFERROR(IF(LoanIsNotPaid*LoanIsGood,EndingBalance,0), 0)</f>
        <v>1121183.8124807423</v>
      </c>
      <c r="K17" s="178"/>
      <c r="M17" s="207">
        <f t="shared" si="3"/>
        <v>2037</v>
      </c>
      <c r="N17" s="70">
        <f t="shared" si="0"/>
        <v>58643.048600635739</v>
      </c>
      <c r="O17" s="70">
        <f t="shared" si="1"/>
        <v>9651.2016304550853</v>
      </c>
      <c r="P17" s="70">
        <f t="shared" si="2"/>
        <v>68294.250231090817</v>
      </c>
      <c r="R17" s="208"/>
    </row>
    <row r="18" spans="1:18" ht="20.25" customHeight="1" x14ac:dyDescent="0.15">
      <c r="A18" s="178"/>
      <c r="B18" s="204">
        <f>IFERROR(IF(LoanIsNotPaid*LoanIsGood,PaymentNumber,""), "")</f>
        <v>2</v>
      </c>
      <c r="C18" s="205">
        <f>IFERROR(IF(LoanIsNotPaid*LoanIsGood,PaymentDate,LoanStartDate), LoanStartDate)</f>
        <v>45717</v>
      </c>
      <c r="D18" s="206">
        <f>IFERROR(IF(LoanIsNotPaid*LoanIsGood,LoanValue,""), "")</f>
        <v>1121183.8124807423</v>
      </c>
      <c r="E18" s="206">
        <f>IFERROR(IF(LoanIsNotPaid*LoanIsGood,MonthlyPayment,0), 0)</f>
        <v>5691.1875192575681</v>
      </c>
      <c r="F18" s="206">
        <f>IFERROR(IF(LoanIsNotPaid*LoanIsGood,Principal,0), 0)</f>
        <v>3822.5478317896636</v>
      </c>
      <c r="G18" s="206">
        <f>SUM($F$17:F18)</f>
        <v>7638.7353510472312</v>
      </c>
      <c r="H18" s="206">
        <f>IFERROR(IF(LoanIsNotPaid*LoanIsGood,InterestAmt,0), 0)</f>
        <v>1868.639687467904</v>
      </c>
      <c r="I18" s="206">
        <f>SUM($H$17:H18)</f>
        <v>3743.639687467904</v>
      </c>
      <c r="J18" s="206">
        <f>IFERROR(IF(LoanIsNotPaid*LoanIsGood,EndingBalance,0), 0)</f>
        <v>1117361.2646489525</v>
      </c>
      <c r="K18" s="178"/>
      <c r="M18" s="207">
        <f t="shared" si="3"/>
        <v>2038</v>
      </c>
      <c r="N18" s="70">
        <f t="shared" si="0"/>
        <v>59826.720751838533</v>
      </c>
      <c r="O18" s="70">
        <f t="shared" si="1"/>
        <v>8467.5294792522836</v>
      </c>
      <c r="P18" s="70">
        <f t="shared" si="2"/>
        <v>68294.250231090817</v>
      </c>
    </row>
    <row r="19" spans="1:18" ht="20.25" customHeight="1" x14ac:dyDescent="0.15">
      <c r="A19" s="178"/>
      <c r="B19" s="204">
        <f>IFERROR(IF(LoanIsNotPaid*LoanIsGood,PaymentNumber,""), "")</f>
        <v>3</v>
      </c>
      <c r="C19" s="205">
        <f>IFERROR(IF(LoanIsNotPaid*LoanIsGood,PaymentDate,LoanStartDate), LoanStartDate)</f>
        <v>45748</v>
      </c>
      <c r="D19" s="206">
        <f>IFERROR(IF(LoanIsNotPaid*LoanIsGood,LoanValue,""), "")</f>
        <v>1117361.2646489525</v>
      </c>
      <c r="E19" s="206">
        <f>IFERROR(IF(LoanIsNotPaid*LoanIsGood,MonthlyPayment,0), 0)</f>
        <v>5691.1875192575681</v>
      </c>
      <c r="F19" s="206">
        <f>IFERROR(IF(LoanIsNotPaid*LoanIsGood,Principal,0), 0)</f>
        <v>3828.9187448426464</v>
      </c>
      <c r="G19" s="206">
        <f>SUM($F$17:F19)</f>
        <v>11467.654095889877</v>
      </c>
      <c r="H19" s="206">
        <f>IFERROR(IF(LoanIsNotPaid*LoanIsGood,InterestAmt,0), 0)</f>
        <v>1862.2687744149214</v>
      </c>
      <c r="I19" s="206">
        <f>SUM($H$17:H19)</f>
        <v>5605.9084618828256</v>
      </c>
      <c r="J19" s="206">
        <f>IFERROR(IF(LoanIsNotPaid*LoanIsGood,EndingBalance,0), 0)</f>
        <v>1113532.34590411</v>
      </c>
      <c r="K19" s="178"/>
      <c r="M19" s="207">
        <f t="shared" si="3"/>
        <v>2039</v>
      </c>
      <c r="N19" s="70">
        <f t="shared" si="0"/>
        <v>61034.284562751491</v>
      </c>
      <c r="O19" s="70">
        <f t="shared" si="1"/>
        <v>7259.9656683393205</v>
      </c>
      <c r="P19" s="70">
        <f t="shared" si="2"/>
        <v>68294.250231090817</v>
      </c>
    </row>
    <row r="20" spans="1:18" ht="20.25" customHeight="1" x14ac:dyDescent="0.15">
      <c r="A20" s="178"/>
      <c r="B20" s="204">
        <f>IFERROR(IF(LoanIsNotPaid*LoanIsGood,PaymentNumber,""), "")</f>
        <v>4</v>
      </c>
      <c r="C20" s="205">
        <f>IFERROR(IF(LoanIsNotPaid*LoanIsGood,PaymentDate,LoanStartDate), LoanStartDate)</f>
        <v>45778</v>
      </c>
      <c r="D20" s="206">
        <f>IFERROR(IF(LoanIsNotPaid*LoanIsGood,LoanValue,""), "")</f>
        <v>1113532.34590411</v>
      </c>
      <c r="E20" s="206">
        <f>IFERROR(IF(LoanIsNotPaid*LoanIsGood,MonthlyPayment,0), 0)</f>
        <v>5691.1875192575681</v>
      </c>
      <c r="F20" s="206">
        <f>IFERROR(IF(LoanIsNotPaid*LoanIsGood,Principal,0), 0)</f>
        <v>3835.3002760840504</v>
      </c>
      <c r="G20" s="206">
        <f>SUM($F$17:F20)</f>
        <v>15302.954371973927</v>
      </c>
      <c r="H20" s="206">
        <f>IFERROR(IF(LoanIsNotPaid*LoanIsGood,InterestAmt,0), 0)</f>
        <v>1855.8872431735172</v>
      </c>
      <c r="I20" s="206">
        <f>SUM($H$17:H20)</f>
        <v>7461.7957050563427</v>
      </c>
      <c r="J20" s="206">
        <f>IFERROR(IF(LoanIsNotPaid*LoanIsGood,EndingBalance,0), 0)</f>
        <v>1109697.0456280254</v>
      </c>
      <c r="K20" s="178"/>
      <c r="M20" s="207">
        <f t="shared" si="3"/>
        <v>2040</v>
      </c>
      <c r="N20" s="70">
        <f t="shared" si="0"/>
        <v>62266.222271132036</v>
      </c>
      <c r="O20" s="70">
        <f t="shared" si="1"/>
        <v>6028.0279599587793</v>
      </c>
      <c r="P20" s="70">
        <f t="shared" si="2"/>
        <v>68294.250231090817</v>
      </c>
    </row>
    <row r="21" spans="1:18" ht="20.25" customHeight="1" x14ac:dyDescent="0.15">
      <c r="A21" s="178"/>
      <c r="B21" s="204">
        <f>IFERROR(IF(LoanIsNotPaid*LoanIsGood,PaymentNumber,""), "")</f>
        <v>5</v>
      </c>
      <c r="C21" s="205">
        <f>IFERROR(IF(LoanIsNotPaid*LoanIsGood,PaymentDate,LoanStartDate), LoanStartDate)</f>
        <v>45809</v>
      </c>
      <c r="D21" s="206">
        <f>IFERROR(IF(LoanIsNotPaid*LoanIsGood,LoanValue,""), "")</f>
        <v>1109697.0456280254</v>
      </c>
      <c r="E21" s="206">
        <f>IFERROR(IF(LoanIsNotPaid*LoanIsGood,MonthlyPayment,0), 0)</f>
        <v>5691.1875192575681</v>
      </c>
      <c r="F21" s="206">
        <f>IFERROR(IF(LoanIsNotPaid*LoanIsGood,Principal,0), 0)</f>
        <v>3841.6924432108576</v>
      </c>
      <c r="G21" s="206">
        <f>SUM($F$17:F21)</f>
        <v>19144.646815184784</v>
      </c>
      <c r="H21" s="206">
        <f>IFERROR(IF(LoanIsNotPaid*LoanIsGood,InterestAmt,0), 0)</f>
        <v>1849.4950760467104</v>
      </c>
      <c r="I21" s="206">
        <f>SUM($H$17:H21)</f>
        <v>9311.2907811030527</v>
      </c>
      <c r="J21" s="206">
        <f>IFERROR(IF(LoanIsNotPaid*LoanIsGood,EndingBalance,0), 0)</f>
        <v>1105855.3531848146</v>
      </c>
      <c r="K21" s="178"/>
      <c r="M21" s="207">
        <f t="shared" si="3"/>
        <v>2041</v>
      </c>
      <c r="N21" s="70">
        <f t="shared" si="0"/>
        <v>63523.025848395984</v>
      </c>
      <c r="O21" s="70">
        <f t="shared" si="1"/>
        <v>4771.2243826948306</v>
      </c>
      <c r="P21" s="70">
        <f t="shared" si="2"/>
        <v>68294.250231090817</v>
      </c>
    </row>
    <row r="22" spans="1:18" ht="20.25" customHeight="1" x14ac:dyDescent="0.15">
      <c r="A22" s="178"/>
      <c r="B22" s="204">
        <f>IFERROR(IF(LoanIsNotPaid*LoanIsGood,PaymentNumber,""), "")</f>
        <v>6</v>
      </c>
      <c r="C22" s="205">
        <f>IFERROR(IF(LoanIsNotPaid*LoanIsGood,PaymentDate,LoanStartDate), LoanStartDate)</f>
        <v>45839</v>
      </c>
      <c r="D22" s="206">
        <f>IFERROR(IF(LoanIsNotPaid*LoanIsGood,LoanValue,""), "")</f>
        <v>1105855.3531848146</v>
      </c>
      <c r="E22" s="206">
        <f>IFERROR(IF(LoanIsNotPaid*LoanIsGood,MonthlyPayment,0), 0)</f>
        <v>5691.1875192575681</v>
      </c>
      <c r="F22" s="206">
        <f>IFERROR(IF(LoanIsNotPaid*LoanIsGood,Principal,0), 0)</f>
        <v>3848.0952639495422</v>
      </c>
      <c r="G22" s="206">
        <f>SUM($F$17:F22)</f>
        <v>22992.742079134325</v>
      </c>
      <c r="H22" s="206">
        <f>IFERROR(IF(LoanIsNotPaid*LoanIsGood,InterestAmt,0), 0)</f>
        <v>1843.0922553080256</v>
      </c>
      <c r="I22" s="206">
        <f>SUM($H$17:H22)</f>
        <v>11154.383036411078</v>
      </c>
      <c r="J22" s="206">
        <f>IFERROR(IF(LoanIsNotPaid*LoanIsGood,EndingBalance,0), 0)</f>
        <v>1102007.257920865</v>
      </c>
      <c r="K22" s="178"/>
      <c r="M22" s="207">
        <f t="shared" si="3"/>
        <v>2042</v>
      </c>
      <c r="N22" s="70">
        <f t="shared" si="0"/>
        <v>64805.19719608521</v>
      </c>
      <c r="O22" s="70">
        <f t="shared" si="1"/>
        <v>3489.0530350056051</v>
      </c>
      <c r="P22" s="70">
        <f t="shared" si="2"/>
        <v>68294.250231090817</v>
      </c>
    </row>
    <row r="23" spans="1:18" ht="20.25" customHeight="1" x14ac:dyDescent="0.15">
      <c r="A23" s="178"/>
      <c r="B23" s="204">
        <f>IFERROR(IF(LoanIsNotPaid*LoanIsGood,PaymentNumber,""), "")</f>
        <v>7</v>
      </c>
      <c r="C23" s="205">
        <f>IFERROR(IF(LoanIsNotPaid*LoanIsGood,PaymentDate,LoanStartDate), LoanStartDate)</f>
        <v>45870</v>
      </c>
      <c r="D23" s="206">
        <f>IFERROR(IF(LoanIsNotPaid*LoanIsGood,LoanValue,""), "")</f>
        <v>1102007.257920865</v>
      </c>
      <c r="E23" s="206">
        <f>IFERROR(IF(LoanIsNotPaid*LoanIsGood,MonthlyPayment,0), 0)</f>
        <v>5691.1875192575681</v>
      </c>
      <c r="F23" s="206">
        <f>IFERROR(IF(LoanIsNotPaid*LoanIsGood,Principal,0), 0)</f>
        <v>3854.5087560561246</v>
      </c>
      <c r="G23" s="206">
        <f>SUM($F$17:F23)</f>
        <v>26847.250835190451</v>
      </c>
      <c r="H23" s="206">
        <f>IFERROR(IF(LoanIsNotPaid*LoanIsGood,InterestAmt,0), 0)</f>
        <v>1836.678763201443</v>
      </c>
      <c r="I23" s="206">
        <f>SUM($H$17:H23)</f>
        <v>12991.061799612522</v>
      </c>
      <c r="J23" s="206">
        <f>IFERROR(IF(LoanIsNotPaid*LoanIsGood,EndingBalance,0), 0)</f>
        <v>1098152.7491648088</v>
      </c>
      <c r="K23" s="178"/>
      <c r="M23" s="207">
        <f t="shared" si="3"/>
        <v>2043</v>
      </c>
      <c r="N23" s="70">
        <f t="shared" si="0"/>
        <v>66113.248346300825</v>
      </c>
      <c r="O23" s="70">
        <f t="shared" si="1"/>
        <v>2181.0018847899892</v>
      </c>
      <c r="P23" s="70">
        <f t="shared" si="2"/>
        <v>68294.250231090817</v>
      </c>
    </row>
    <row r="24" spans="1:18" ht="20.25" customHeight="1" x14ac:dyDescent="0.15">
      <c r="A24" s="178"/>
      <c r="B24" s="204">
        <f>IFERROR(IF(LoanIsNotPaid*LoanIsGood,PaymentNumber,""), "")</f>
        <v>8</v>
      </c>
      <c r="C24" s="205">
        <f>IFERROR(IF(LoanIsNotPaid*LoanIsGood,PaymentDate,LoanStartDate), LoanStartDate)</f>
        <v>45901</v>
      </c>
      <c r="D24" s="206">
        <f>IFERROR(IF(LoanIsNotPaid*LoanIsGood,LoanValue,""), "")</f>
        <v>1098152.7491648088</v>
      </c>
      <c r="E24" s="206">
        <f>IFERROR(IF(LoanIsNotPaid*LoanIsGood,MonthlyPayment,0), 0)</f>
        <v>5691.1875192575681</v>
      </c>
      <c r="F24" s="206">
        <f>IFERROR(IF(LoanIsNotPaid*LoanIsGood,Principal,0), 0)</f>
        <v>3860.9329373162182</v>
      </c>
      <c r="G24" s="206">
        <f>SUM($F$17:F24)</f>
        <v>30708.183772506669</v>
      </c>
      <c r="H24" s="206">
        <f>IFERROR(IF(LoanIsNotPaid*LoanIsGood,InterestAmt,0), 0)</f>
        <v>1830.2545819413497</v>
      </c>
      <c r="I24" s="206">
        <f>SUM($H$17:H24)</f>
        <v>14821.316381553872</v>
      </c>
      <c r="J24" s="206">
        <f>IFERROR(IF(LoanIsNotPaid*LoanIsGood,EndingBalance,0), 0)</f>
        <v>1094291.8162274919</v>
      </c>
      <c r="K24" s="178"/>
      <c r="M24" s="207">
        <f t="shared" si="3"/>
        <v>2044</v>
      </c>
      <c r="N24" s="70">
        <f t="shared" si="0"/>
        <v>67447.701666181994</v>
      </c>
      <c r="O24" s="70">
        <f t="shared" si="1"/>
        <v>846.54856490882412</v>
      </c>
      <c r="P24" s="70">
        <f t="shared" si="2"/>
        <v>68294.250231090817</v>
      </c>
    </row>
    <row r="25" spans="1:18" ht="20.25" customHeight="1" x14ac:dyDescent="0.15">
      <c r="A25" s="178"/>
      <c r="B25" s="204">
        <f>IFERROR(IF(LoanIsNotPaid*LoanIsGood,PaymentNumber,""), "")</f>
        <v>9</v>
      </c>
      <c r="C25" s="205">
        <f>IFERROR(IF(LoanIsNotPaid*LoanIsGood,PaymentDate,LoanStartDate), LoanStartDate)</f>
        <v>45931</v>
      </c>
      <c r="D25" s="206">
        <f>IFERROR(IF(LoanIsNotPaid*LoanIsGood,LoanValue,""), "")</f>
        <v>1094291.8162274919</v>
      </c>
      <c r="E25" s="206">
        <f>IFERROR(IF(LoanIsNotPaid*LoanIsGood,MonthlyPayment,0), 0)</f>
        <v>5691.1875192575681</v>
      </c>
      <c r="F25" s="206">
        <f>IFERROR(IF(LoanIsNotPaid*LoanIsGood,Principal,0), 0)</f>
        <v>3867.3678255450791</v>
      </c>
      <c r="G25" s="206">
        <f>SUM($F$17:F25)</f>
        <v>34575.551598051745</v>
      </c>
      <c r="H25" s="206">
        <f>IFERROR(IF(LoanIsNotPaid*LoanIsGood,InterestAmt,0), 0)</f>
        <v>1823.819693712489</v>
      </c>
      <c r="I25" s="206">
        <f>SUM($H$17:H25)</f>
        <v>16645.13607526636</v>
      </c>
      <c r="J25" s="206">
        <f>IFERROR(IF(LoanIsNotPaid*LoanIsGood,EndingBalance,0), 0)</f>
        <v>1090424.4484019473</v>
      </c>
      <c r="K25" s="178"/>
      <c r="M25" s="207">
        <f t="shared" si="3"/>
        <v>2045</v>
      </c>
      <c r="N25" s="70">
        <f t="shared" si="0"/>
        <v>5681.717989275443</v>
      </c>
      <c r="O25" s="70">
        <f t="shared" si="1"/>
        <v>9.4695299821257386</v>
      </c>
      <c r="P25" s="70">
        <f t="shared" si="2"/>
        <v>5691.187519257569</v>
      </c>
    </row>
    <row r="26" spans="1:18" ht="20.25" customHeight="1" x14ac:dyDescent="0.15">
      <c r="A26" s="178"/>
      <c r="B26" s="204">
        <f>IFERROR(IF(LoanIsNotPaid*LoanIsGood,PaymentNumber,""), "")</f>
        <v>10</v>
      </c>
      <c r="C26" s="205">
        <f>IFERROR(IF(LoanIsNotPaid*LoanIsGood,PaymentDate,LoanStartDate), LoanStartDate)</f>
        <v>45962</v>
      </c>
      <c r="D26" s="206">
        <f>IFERROR(IF(LoanIsNotPaid*LoanIsGood,LoanValue,""), "")</f>
        <v>1090424.4484019473</v>
      </c>
      <c r="E26" s="206">
        <f>IFERROR(IF(LoanIsNotPaid*LoanIsGood,MonthlyPayment,0), 0)</f>
        <v>5691.1875192575681</v>
      </c>
      <c r="F26" s="206">
        <f>IFERROR(IF(LoanIsNotPaid*LoanIsGood,Principal,0), 0)</f>
        <v>3873.8134385876538</v>
      </c>
      <c r="G26" s="206">
        <f>SUM($F$17:F26)</f>
        <v>38449.365036639399</v>
      </c>
      <c r="H26" s="206">
        <f>IFERROR(IF(LoanIsNotPaid*LoanIsGood,InterestAmt,0), 0)</f>
        <v>1817.3740806699141</v>
      </c>
      <c r="I26" s="206">
        <f>SUM($H$17:H26)</f>
        <v>18462.510155936274</v>
      </c>
      <c r="J26" s="206">
        <f>IFERROR(IF(LoanIsNotPaid*LoanIsGood,EndingBalance,0), 0)</f>
        <v>1086550.6349633592</v>
      </c>
      <c r="K26" s="178"/>
      <c r="M26" s="207">
        <f t="shared" si="3"/>
        <v>2046</v>
      </c>
      <c r="N26" s="70">
        <f t="shared" si="0"/>
        <v>0</v>
      </c>
      <c r="O26" s="70">
        <f t="shared" si="1"/>
        <v>0</v>
      </c>
      <c r="P26" s="70">
        <f t="shared" si="2"/>
        <v>0</v>
      </c>
    </row>
    <row r="27" spans="1:18" ht="20.25" customHeight="1" x14ac:dyDescent="0.15">
      <c r="A27" s="178"/>
      <c r="B27" s="204">
        <f>IFERROR(IF(LoanIsNotPaid*LoanIsGood,PaymentNumber,""), "")</f>
        <v>11</v>
      </c>
      <c r="C27" s="205">
        <f>IFERROR(IF(LoanIsNotPaid*LoanIsGood,PaymentDate,LoanStartDate), LoanStartDate)</f>
        <v>45992</v>
      </c>
      <c r="D27" s="206">
        <f>IFERROR(IF(LoanIsNotPaid*LoanIsGood,LoanValue,""), "")</f>
        <v>1086550.6349633592</v>
      </c>
      <c r="E27" s="206">
        <f>IFERROR(IF(LoanIsNotPaid*LoanIsGood,MonthlyPayment,0), 0)</f>
        <v>5691.1875192575681</v>
      </c>
      <c r="F27" s="206">
        <f>IFERROR(IF(LoanIsNotPaid*LoanIsGood,Principal,0), 0)</f>
        <v>3880.2697943186336</v>
      </c>
      <c r="G27" s="206">
        <f>SUM($F$17:F27)</f>
        <v>42329.634830958035</v>
      </c>
      <c r="H27" s="206">
        <f>IFERROR(IF(LoanIsNotPaid*LoanIsGood,InterestAmt,0), 0)</f>
        <v>1810.9177249389345</v>
      </c>
      <c r="I27" s="206">
        <f>SUM($H$17:H27)</f>
        <v>20273.42788087521</v>
      </c>
      <c r="J27" s="206">
        <f>IFERROR(IF(LoanIsNotPaid*LoanIsGood,EndingBalance,0), 0)</f>
        <v>1082670.3651690404</v>
      </c>
      <c r="K27" s="178"/>
      <c r="M27" s="207">
        <f t="shared" si="3"/>
        <v>2047</v>
      </c>
      <c r="N27" s="70">
        <f t="shared" si="0"/>
        <v>0</v>
      </c>
      <c r="O27" s="70">
        <f t="shared" si="1"/>
        <v>0</v>
      </c>
      <c r="P27" s="70">
        <f t="shared" si="2"/>
        <v>0</v>
      </c>
    </row>
    <row r="28" spans="1:18" ht="20.25" customHeight="1" x14ac:dyDescent="0.15">
      <c r="A28" s="178"/>
      <c r="B28" s="204">
        <f>IFERROR(IF(LoanIsNotPaid*LoanIsGood,PaymentNumber,""), "")</f>
        <v>12</v>
      </c>
      <c r="C28" s="205">
        <f>IFERROR(IF(LoanIsNotPaid*LoanIsGood,PaymentDate,LoanStartDate), LoanStartDate)</f>
        <v>46023</v>
      </c>
      <c r="D28" s="206">
        <f>IFERROR(IF(LoanIsNotPaid*LoanIsGood,LoanValue,""), "")</f>
        <v>1082670.3651690404</v>
      </c>
      <c r="E28" s="206">
        <f>IFERROR(IF(LoanIsNotPaid*LoanIsGood,MonthlyPayment,0), 0)</f>
        <v>5691.1875192575681</v>
      </c>
      <c r="F28" s="206">
        <f>IFERROR(IF(LoanIsNotPaid*LoanIsGood,Principal,0), 0)</f>
        <v>3886.7369106424976</v>
      </c>
      <c r="G28" s="206">
        <f>SUM($F$17:F28)</f>
        <v>46216.371741600531</v>
      </c>
      <c r="H28" s="206">
        <f>IFERROR(IF(LoanIsNotPaid*LoanIsGood,InterestAmt,0), 0)</f>
        <v>1804.4506086150702</v>
      </c>
      <c r="I28" s="206">
        <f>SUM($H$17:H28)</f>
        <v>22077.878489490278</v>
      </c>
      <c r="J28" s="206">
        <f>IFERROR(IF(LoanIsNotPaid*LoanIsGood,EndingBalance,0), 0)</f>
        <v>1078783.6282583978</v>
      </c>
      <c r="K28" s="178"/>
      <c r="M28" s="207">
        <f t="shared" si="3"/>
        <v>2048</v>
      </c>
      <c r="N28" s="70">
        <f t="shared" si="0"/>
        <v>0</v>
      </c>
      <c r="O28" s="70">
        <f t="shared" si="1"/>
        <v>0</v>
      </c>
      <c r="P28" s="70">
        <f t="shared" si="2"/>
        <v>0</v>
      </c>
    </row>
    <row r="29" spans="1:18" ht="20.25" customHeight="1" x14ac:dyDescent="0.15">
      <c r="A29" s="178"/>
      <c r="B29" s="204">
        <f>IFERROR(IF(LoanIsNotPaid*LoanIsGood,PaymentNumber,""), "")</f>
        <v>13</v>
      </c>
      <c r="C29" s="205">
        <f>IFERROR(IF(LoanIsNotPaid*LoanIsGood,PaymentDate,LoanStartDate), LoanStartDate)</f>
        <v>46054</v>
      </c>
      <c r="D29" s="206">
        <f>IFERROR(IF(LoanIsNotPaid*LoanIsGood,LoanValue,""), "")</f>
        <v>1078783.6282583978</v>
      </c>
      <c r="E29" s="206">
        <f>IFERROR(IF(LoanIsNotPaid*LoanIsGood,MonthlyPayment,0), 0)</f>
        <v>5691.1875192575681</v>
      </c>
      <c r="F29" s="206">
        <f>IFERROR(IF(LoanIsNotPaid*LoanIsGood,Principal,0), 0)</f>
        <v>3893.2148054935683</v>
      </c>
      <c r="G29" s="206">
        <f>SUM($F$17:F29)</f>
        <v>50109.586547094099</v>
      </c>
      <c r="H29" s="206">
        <f>IFERROR(IF(LoanIsNotPaid*LoanIsGood,InterestAmt,0), 0)</f>
        <v>1797.9727137639991</v>
      </c>
      <c r="I29" s="206">
        <f>SUM($H$17:H29)</f>
        <v>23875.851203254279</v>
      </c>
      <c r="J29" s="206">
        <f>IFERROR(IF(LoanIsNotPaid*LoanIsGood,EndingBalance,0), 0)</f>
        <v>1074890.4134529042</v>
      </c>
      <c r="K29" s="178"/>
      <c r="M29" s="207">
        <f t="shared" si="3"/>
        <v>2049</v>
      </c>
      <c r="N29" s="70">
        <f t="shared" si="0"/>
        <v>0</v>
      </c>
      <c r="O29" s="70">
        <f t="shared" si="1"/>
        <v>0</v>
      </c>
      <c r="P29" s="70">
        <f t="shared" si="2"/>
        <v>0</v>
      </c>
    </row>
    <row r="30" spans="1:18" ht="20.25" customHeight="1" x14ac:dyDescent="0.15">
      <c r="A30" s="178"/>
      <c r="B30" s="204">
        <f>IFERROR(IF(LoanIsNotPaid*LoanIsGood,PaymentNumber,""), "")</f>
        <v>14</v>
      </c>
      <c r="C30" s="205">
        <f>IFERROR(IF(LoanIsNotPaid*LoanIsGood,PaymentDate,LoanStartDate), LoanStartDate)</f>
        <v>46082</v>
      </c>
      <c r="D30" s="206">
        <f>IFERROR(IF(LoanIsNotPaid*LoanIsGood,LoanValue,""), "")</f>
        <v>1074890.4134529042</v>
      </c>
      <c r="E30" s="206">
        <f>IFERROR(IF(LoanIsNotPaid*LoanIsGood,MonthlyPayment,0), 0)</f>
        <v>5691.1875192575681</v>
      </c>
      <c r="F30" s="206">
        <f>IFERROR(IF(LoanIsNotPaid*LoanIsGood,Principal,0), 0)</f>
        <v>3899.7034968360576</v>
      </c>
      <c r="G30" s="206">
        <f>SUM($F$17:F30)</f>
        <v>54009.290043930159</v>
      </c>
      <c r="H30" s="206">
        <f>IFERROR(IF(LoanIsNotPaid*LoanIsGood,InterestAmt,0), 0)</f>
        <v>1791.4840224215097</v>
      </c>
      <c r="I30" s="206">
        <f>SUM($H$17:H30)</f>
        <v>25667.33522567579</v>
      </c>
      <c r="J30" s="206">
        <f>IFERROR(IF(LoanIsNotPaid*LoanIsGood,EndingBalance,0), 0)</f>
        <v>1070990.7099560676</v>
      </c>
      <c r="K30" s="178"/>
    </row>
    <row r="31" spans="1:18" ht="20.25" customHeight="1" x14ac:dyDescent="0.15">
      <c r="A31" s="178"/>
      <c r="B31" s="204">
        <f>IFERROR(IF(LoanIsNotPaid*LoanIsGood,PaymentNumber,""), "")</f>
        <v>15</v>
      </c>
      <c r="C31" s="205">
        <f>IFERROR(IF(LoanIsNotPaid*LoanIsGood,PaymentDate,LoanStartDate), LoanStartDate)</f>
        <v>46113</v>
      </c>
      <c r="D31" s="206">
        <f>IFERROR(IF(LoanIsNotPaid*LoanIsGood,LoanValue,""), "")</f>
        <v>1070990.7099560676</v>
      </c>
      <c r="E31" s="206">
        <f>IFERROR(IF(LoanIsNotPaid*LoanIsGood,MonthlyPayment,0), 0)</f>
        <v>5691.1875192575681</v>
      </c>
      <c r="F31" s="206">
        <f>IFERROR(IF(LoanIsNotPaid*LoanIsGood,Principal,0), 0)</f>
        <v>3906.2030026641182</v>
      </c>
      <c r="G31" s="206">
        <f>SUM($F$17:F31)</f>
        <v>57915.493046594274</v>
      </c>
      <c r="H31" s="206">
        <f>IFERROR(IF(LoanIsNotPaid*LoanIsGood,InterestAmt,0), 0)</f>
        <v>1784.9845165934505</v>
      </c>
      <c r="I31" s="206">
        <f>SUM($H$17:H31)</f>
        <v>27452.319742269239</v>
      </c>
      <c r="J31" s="206">
        <f>IFERROR(IF(LoanIsNotPaid*LoanIsGood,EndingBalance,0), 0)</f>
        <v>1067084.5069534036</v>
      </c>
      <c r="K31" s="178"/>
    </row>
    <row r="32" spans="1:18" ht="20.25" customHeight="1" x14ac:dyDescent="0.15">
      <c r="A32" s="178"/>
      <c r="B32" s="204">
        <f>IFERROR(IF(LoanIsNotPaid*LoanIsGood,PaymentNumber,""), "")</f>
        <v>16</v>
      </c>
      <c r="C32" s="205">
        <f>IFERROR(IF(LoanIsNotPaid*LoanIsGood,PaymentDate,LoanStartDate), LoanStartDate)</f>
        <v>46143</v>
      </c>
      <c r="D32" s="206">
        <f>IFERROR(IF(LoanIsNotPaid*LoanIsGood,LoanValue,""), "")</f>
        <v>1067084.5069534036</v>
      </c>
      <c r="E32" s="206">
        <f>IFERROR(IF(LoanIsNotPaid*LoanIsGood,MonthlyPayment,0), 0)</f>
        <v>5691.1875192575681</v>
      </c>
      <c r="F32" s="206">
        <f>IFERROR(IF(LoanIsNotPaid*LoanIsGood,Principal,0), 0)</f>
        <v>3912.713341001891</v>
      </c>
      <c r="G32" s="206">
        <f>SUM($F$17:F32)</f>
        <v>61828.206387596168</v>
      </c>
      <c r="H32" s="206">
        <f>IFERROR(IF(LoanIsNotPaid*LoanIsGood,InterestAmt,0), 0)</f>
        <v>1778.4741782556762</v>
      </c>
      <c r="I32" s="206">
        <f>SUM($H$17:H32)</f>
        <v>29230.793920524917</v>
      </c>
      <c r="J32" s="206">
        <f>IFERROR(IF(LoanIsNotPaid*LoanIsGood,EndingBalance,0), 0)</f>
        <v>1063171.7936124012</v>
      </c>
      <c r="K32" s="178"/>
    </row>
    <row r="33" spans="1:11" ht="20.25" customHeight="1" x14ac:dyDescent="0.15">
      <c r="A33" s="178"/>
      <c r="B33" s="204">
        <f>IFERROR(IF(LoanIsNotPaid*LoanIsGood,PaymentNumber,""), "")</f>
        <v>17</v>
      </c>
      <c r="C33" s="205">
        <f>IFERROR(IF(LoanIsNotPaid*LoanIsGood,PaymentDate,LoanStartDate), LoanStartDate)</f>
        <v>46174</v>
      </c>
      <c r="D33" s="206">
        <f>IFERROR(IF(LoanIsNotPaid*LoanIsGood,LoanValue,""), "")</f>
        <v>1063171.7936124012</v>
      </c>
      <c r="E33" s="206">
        <f>IFERROR(IF(LoanIsNotPaid*LoanIsGood,MonthlyPayment,0), 0)</f>
        <v>5691.1875192575681</v>
      </c>
      <c r="F33" s="206">
        <f>IFERROR(IF(LoanIsNotPaid*LoanIsGood,Principal,0), 0)</f>
        <v>3919.2345299035615</v>
      </c>
      <c r="G33" s="206">
        <f>SUM($F$17:F33)</f>
        <v>65747.440917499727</v>
      </c>
      <c r="H33" s="206">
        <f>IFERROR(IF(LoanIsNotPaid*LoanIsGood,InterestAmt,0), 0)</f>
        <v>1771.9529893540068</v>
      </c>
      <c r="I33" s="206">
        <f>SUM($H$17:H33)</f>
        <v>31002.746909878922</v>
      </c>
      <c r="J33" s="206">
        <f>IFERROR(IF(LoanIsNotPaid*LoanIsGood,EndingBalance,0), 0)</f>
        <v>1059252.5590824976</v>
      </c>
      <c r="K33" s="178"/>
    </row>
    <row r="34" spans="1:11" ht="20.25" customHeight="1" x14ac:dyDescent="0.15">
      <c r="A34" s="178"/>
      <c r="B34" s="204">
        <f>IFERROR(IF(LoanIsNotPaid*LoanIsGood,PaymentNumber,""), "")</f>
        <v>18</v>
      </c>
      <c r="C34" s="205">
        <f>IFERROR(IF(LoanIsNotPaid*LoanIsGood,PaymentDate,LoanStartDate), LoanStartDate)</f>
        <v>46204</v>
      </c>
      <c r="D34" s="206">
        <f>IFERROR(IF(LoanIsNotPaid*LoanIsGood,LoanValue,""), "")</f>
        <v>1059252.5590824976</v>
      </c>
      <c r="E34" s="206">
        <f>IFERROR(IF(LoanIsNotPaid*LoanIsGood,MonthlyPayment,0), 0)</f>
        <v>5691.1875192575681</v>
      </c>
      <c r="F34" s="206">
        <f>IFERROR(IF(LoanIsNotPaid*LoanIsGood,Principal,0), 0)</f>
        <v>3925.7665874534009</v>
      </c>
      <c r="G34" s="206">
        <f>SUM($F$17:F34)</f>
        <v>69673.207504953127</v>
      </c>
      <c r="H34" s="206">
        <f>IFERROR(IF(LoanIsNotPaid*LoanIsGood,InterestAmt,0), 0)</f>
        <v>1765.4209318041674</v>
      </c>
      <c r="I34" s="206">
        <f>SUM($H$17:H34)</f>
        <v>32768.167841683091</v>
      </c>
      <c r="J34" s="206">
        <f>IFERROR(IF(LoanIsNotPaid*LoanIsGood,EndingBalance,0), 0)</f>
        <v>1055326.7924950442</v>
      </c>
      <c r="K34" s="178"/>
    </row>
    <row r="35" spans="1:11" ht="20.25" customHeight="1" x14ac:dyDescent="0.15">
      <c r="A35" s="178"/>
      <c r="B35" s="204">
        <f>IFERROR(IF(LoanIsNotPaid*LoanIsGood,PaymentNumber,""), "")</f>
        <v>19</v>
      </c>
      <c r="C35" s="205">
        <f>IFERROR(IF(LoanIsNotPaid*LoanIsGood,PaymentDate,LoanStartDate), LoanStartDate)</f>
        <v>46235</v>
      </c>
      <c r="D35" s="206">
        <f>IFERROR(IF(LoanIsNotPaid*LoanIsGood,LoanValue,""), "")</f>
        <v>1055326.7924950442</v>
      </c>
      <c r="E35" s="206">
        <f>IFERROR(IF(LoanIsNotPaid*LoanIsGood,MonthlyPayment,0), 0)</f>
        <v>5691.1875192575681</v>
      </c>
      <c r="F35" s="206">
        <f>IFERROR(IF(LoanIsNotPaid*LoanIsGood,Principal,0), 0)</f>
        <v>3932.3095317658235</v>
      </c>
      <c r="G35" s="206">
        <f>SUM($F$17:F35)</f>
        <v>73605.517036718957</v>
      </c>
      <c r="H35" s="206">
        <f>IFERROR(IF(LoanIsNotPaid*LoanIsGood,InterestAmt,0), 0)</f>
        <v>1758.877987491745</v>
      </c>
      <c r="I35" s="206">
        <f>SUM($H$17:H35)</f>
        <v>34527.045829174836</v>
      </c>
      <c r="J35" s="206">
        <f>IFERROR(IF(LoanIsNotPaid*LoanIsGood,EndingBalance,0), 0)</f>
        <v>1051394.482963278</v>
      </c>
      <c r="K35" s="178"/>
    </row>
    <row r="36" spans="1:11" ht="20.25" customHeight="1" x14ac:dyDescent="0.15">
      <c r="A36" s="178"/>
      <c r="B36" s="204">
        <f>IFERROR(IF(LoanIsNotPaid*LoanIsGood,PaymentNumber,""), "")</f>
        <v>20</v>
      </c>
      <c r="C36" s="205">
        <f>IFERROR(IF(LoanIsNotPaid*LoanIsGood,PaymentDate,LoanStartDate), LoanStartDate)</f>
        <v>46266</v>
      </c>
      <c r="D36" s="206">
        <f>IFERROR(IF(LoanIsNotPaid*LoanIsGood,LoanValue,""), "")</f>
        <v>1051394.482963278</v>
      </c>
      <c r="E36" s="206">
        <f>IFERROR(IF(LoanIsNotPaid*LoanIsGood,MonthlyPayment,0), 0)</f>
        <v>5691.1875192575681</v>
      </c>
      <c r="F36" s="206">
        <f>IFERROR(IF(LoanIsNotPaid*LoanIsGood,Principal,0), 0)</f>
        <v>3938.8633809854327</v>
      </c>
      <c r="G36" s="206">
        <f>SUM($F$17:F36)</f>
        <v>77544.380417704393</v>
      </c>
      <c r="H36" s="206">
        <f>IFERROR(IF(LoanIsNotPaid*LoanIsGood,InterestAmt,0), 0)</f>
        <v>1752.3241382721355</v>
      </c>
      <c r="I36" s="206">
        <f>SUM($H$17:H36)</f>
        <v>36279.369967446975</v>
      </c>
      <c r="J36" s="206">
        <f>IFERROR(IF(LoanIsNotPaid*LoanIsGood,EndingBalance,0), 0)</f>
        <v>1047455.6195822926</v>
      </c>
      <c r="K36" s="178"/>
    </row>
    <row r="37" spans="1:11" ht="20.25" customHeight="1" x14ac:dyDescent="0.15">
      <c r="A37" s="178"/>
      <c r="B37" s="204">
        <f>IFERROR(IF(LoanIsNotPaid*LoanIsGood,PaymentNumber,""), "")</f>
        <v>21</v>
      </c>
      <c r="C37" s="205">
        <f>IFERROR(IF(LoanIsNotPaid*LoanIsGood,PaymentDate,LoanStartDate), LoanStartDate)</f>
        <v>46296</v>
      </c>
      <c r="D37" s="206">
        <f>IFERROR(IF(LoanIsNotPaid*LoanIsGood,LoanValue,""), "")</f>
        <v>1047455.6195822926</v>
      </c>
      <c r="E37" s="206">
        <f>IFERROR(IF(LoanIsNotPaid*LoanIsGood,MonthlyPayment,0), 0)</f>
        <v>5691.1875192575681</v>
      </c>
      <c r="F37" s="206">
        <f>IFERROR(IF(LoanIsNotPaid*LoanIsGood,Principal,0), 0)</f>
        <v>3945.4281532870755</v>
      </c>
      <c r="G37" s="206">
        <f>SUM($F$17:F37)</f>
        <v>81489.808570991474</v>
      </c>
      <c r="H37" s="206">
        <f>IFERROR(IF(LoanIsNotPaid*LoanIsGood,InterestAmt,0), 0)</f>
        <v>1745.759365970493</v>
      </c>
      <c r="I37" s="206">
        <f>SUM($H$17:H37)</f>
        <v>38025.12933341747</v>
      </c>
      <c r="J37" s="206">
        <f>IFERROR(IF(LoanIsNotPaid*LoanIsGood,EndingBalance,0), 0)</f>
        <v>1043510.1914290052</v>
      </c>
      <c r="K37" s="178"/>
    </row>
    <row r="38" spans="1:11" ht="20.25" customHeight="1" x14ac:dyDescent="0.15">
      <c r="A38" s="178"/>
      <c r="B38" s="204">
        <f>IFERROR(IF(LoanIsNotPaid*LoanIsGood,PaymentNumber,""), "")</f>
        <v>22</v>
      </c>
      <c r="C38" s="205">
        <f>IFERROR(IF(LoanIsNotPaid*LoanIsGood,PaymentDate,LoanStartDate), LoanStartDate)</f>
        <v>46327</v>
      </c>
      <c r="D38" s="206">
        <f>IFERROR(IF(LoanIsNotPaid*LoanIsGood,LoanValue,""), "")</f>
        <v>1043510.1914290052</v>
      </c>
      <c r="E38" s="206">
        <f>IFERROR(IF(LoanIsNotPaid*LoanIsGood,MonthlyPayment,0), 0)</f>
        <v>5691.1875192575681</v>
      </c>
      <c r="F38" s="206">
        <f>IFERROR(IF(LoanIsNotPaid*LoanIsGood,Principal,0), 0)</f>
        <v>3952.0038668758866</v>
      </c>
      <c r="G38" s="206">
        <f>SUM($F$17:F38)</f>
        <v>85441.812437867367</v>
      </c>
      <c r="H38" s="206">
        <f>IFERROR(IF(LoanIsNotPaid*LoanIsGood,InterestAmt,0), 0)</f>
        <v>1739.1836523816812</v>
      </c>
      <c r="I38" s="206">
        <f>SUM($H$17:H38)</f>
        <v>39764.312985799152</v>
      </c>
      <c r="J38" s="206">
        <f>IFERROR(IF(LoanIsNotPaid*LoanIsGood,EndingBalance,0), 0)</f>
        <v>1039558.1875621293</v>
      </c>
      <c r="K38" s="178"/>
    </row>
    <row r="39" spans="1:11" ht="20.25" customHeight="1" x14ac:dyDescent="0.15">
      <c r="A39" s="178"/>
      <c r="B39" s="204">
        <f>IFERROR(IF(LoanIsNotPaid*LoanIsGood,PaymentNumber,""), "")</f>
        <v>23</v>
      </c>
      <c r="C39" s="205">
        <f>IFERROR(IF(LoanIsNotPaid*LoanIsGood,PaymentDate,LoanStartDate), LoanStartDate)</f>
        <v>46357</v>
      </c>
      <c r="D39" s="206">
        <f>IFERROR(IF(LoanIsNotPaid*LoanIsGood,LoanValue,""), "")</f>
        <v>1039558.1875621293</v>
      </c>
      <c r="E39" s="206">
        <f>IFERROR(IF(LoanIsNotPaid*LoanIsGood,MonthlyPayment,0), 0)</f>
        <v>5691.1875192575681</v>
      </c>
      <c r="F39" s="206">
        <f>IFERROR(IF(LoanIsNotPaid*LoanIsGood,Principal,0), 0)</f>
        <v>3958.5905399873468</v>
      </c>
      <c r="G39" s="206">
        <f>SUM($F$17:F39)</f>
        <v>89400.402977854712</v>
      </c>
      <c r="H39" s="206">
        <f>IFERROR(IF(LoanIsNotPaid*LoanIsGood,InterestAmt,0), 0)</f>
        <v>1732.5969792702215</v>
      </c>
      <c r="I39" s="206">
        <f>SUM($H$17:H39)</f>
        <v>41496.909965069375</v>
      </c>
      <c r="J39" s="206">
        <f>IFERROR(IF(LoanIsNotPaid*LoanIsGood,EndingBalance,0), 0)</f>
        <v>1035599.5970221418</v>
      </c>
      <c r="K39" s="178"/>
    </row>
    <row r="40" spans="1:11" ht="20.25" customHeight="1" x14ac:dyDescent="0.15">
      <c r="A40" s="178"/>
      <c r="B40" s="204">
        <f>IFERROR(IF(LoanIsNotPaid*LoanIsGood,PaymentNumber,""), "")</f>
        <v>24</v>
      </c>
      <c r="C40" s="205">
        <f>IFERROR(IF(LoanIsNotPaid*LoanIsGood,PaymentDate,LoanStartDate), LoanStartDate)</f>
        <v>46388</v>
      </c>
      <c r="D40" s="206">
        <f>IFERROR(IF(LoanIsNotPaid*LoanIsGood,LoanValue,""), "")</f>
        <v>1035599.5970221418</v>
      </c>
      <c r="E40" s="206">
        <f>IFERROR(IF(LoanIsNotPaid*LoanIsGood,MonthlyPayment,0), 0)</f>
        <v>5691.1875192575681</v>
      </c>
      <c r="F40" s="206">
        <f>IFERROR(IF(LoanIsNotPaid*LoanIsGood,Principal,0), 0)</f>
        <v>3965.1881908873252</v>
      </c>
      <c r="G40" s="206">
        <f>SUM($F$17:F40)</f>
        <v>93365.59116874203</v>
      </c>
      <c r="H40" s="206">
        <f>IFERROR(IF(LoanIsNotPaid*LoanIsGood,InterestAmt,0), 0)</f>
        <v>1725.9993283702427</v>
      </c>
      <c r="I40" s="206">
        <f>SUM($H$17:H40)</f>
        <v>43222.909293439618</v>
      </c>
      <c r="J40" s="206">
        <f>IFERROR(IF(LoanIsNotPaid*LoanIsGood,EndingBalance,0), 0)</f>
        <v>1031634.4088312539</v>
      </c>
      <c r="K40" s="178"/>
    </row>
    <row r="41" spans="1:11" ht="20.25" customHeight="1" x14ac:dyDescent="0.15">
      <c r="A41" s="178"/>
      <c r="B41" s="204">
        <f>IFERROR(IF(LoanIsNotPaid*LoanIsGood,PaymentNumber,""), "")</f>
        <v>25</v>
      </c>
      <c r="C41" s="205">
        <f>IFERROR(IF(LoanIsNotPaid*LoanIsGood,PaymentDate,LoanStartDate), LoanStartDate)</f>
        <v>46419</v>
      </c>
      <c r="D41" s="206">
        <f>IFERROR(IF(LoanIsNotPaid*LoanIsGood,LoanValue,""), "")</f>
        <v>1031634.4088312539</v>
      </c>
      <c r="E41" s="206">
        <f>IFERROR(IF(LoanIsNotPaid*LoanIsGood,MonthlyPayment,0), 0)</f>
        <v>5691.1875192575681</v>
      </c>
      <c r="F41" s="206">
        <f>IFERROR(IF(LoanIsNotPaid*LoanIsGood,Principal,0), 0)</f>
        <v>3971.796837872138</v>
      </c>
      <c r="G41" s="206">
        <f>SUM($F$17:F41)</f>
        <v>97337.388006614172</v>
      </c>
      <c r="H41" s="206">
        <f>IFERROR(IF(LoanIsNotPaid*LoanIsGood,InterestAmt,0), 0)</f>
        <v>1719.3906813854303</v>
      </c>
      <c r="I41" s="206">
        <f>SUM($H$17:H41)</f>
        <v>44942.299974825051</v>
      </c>
      <c r="J41" s="206">
        <f>IFERROR(IF(LoanIsNotPaid*LoanIsGood,EndingBalance,0), 0)</f>
        <v>1027662.6119933822</v>
      </c>
      <c r="K41" s="178"/>
    </row>
    <row r="42" spans="1:11" ht="20.25" customHeight="1" x14ac:dyDescent="0.15">
      <c r="A42" s="178"/>
      <c r="B42" s="204">
        <f>IFERROR(IF(LoanIsNotPaid*LoanIsGood,PaymentNumber,""), "")</f>
        <v>26</v>
      </c>
      <c r="C42" s="205">
        <f>IFERROR(IF(LoanIsNotPaid*LoanIsGood,PaymentDate,LoanStartDate), LoanStartDate)</f>
        <v>46447</v>
      </c>
      <c r="D42" s="206">
        <f>IFERROR(IF(LoanIsNotPaid*LoanIsGood,LoanValue,""), "")</f>
        <v>1027662.6119933822</v>
      </c>
      <c r="E42" s="206">
        <f>IFERROR(IF(LoanIsNotPaid*LoanIsGood,MonthlyPayment,0), 0)</f>
        <v>5691.1875192575681</v>
      </c>
      <c r="F42" s="206">
        <f>IFERROR(IF(LoanIsNotPaid*LoanIsGood,Principal,0), 0)</f>
        <v>3978.4164992685915</v>
      </c>
      <c r="G42" s="206">
        <f>SUM($F$17:F42)</f>
        <v>101315.80450588277</v>
      </c>
      <c r="H42" s="206">
        <f>IFERROR(IF(LoanIsNotPaid*LoanIsGood,InterestAmt,0), 0)</f>
        <v>1712.7710199889766</v>
      </c>
      <c r="I42" s="206">
        <f>SUM($H$17:H42)</f>
        <v>46655.070994814028</v>
      </c>
      <c r="J42" s="206">
        <f>IFERROR(IF(LoanIsNotPaid*LoanIsGood,EndingBalance,0), 0)</f>
        <v>1023684.1954941133</v>
      </c>
      <c r="K42" s="178"/>
    </row>
    <row r="43" spans="1:11" ht="20.25" customHeight="1" x14ac:dyDescent="0.15">
      <c r="A43" s="178"/>
      <c r="B43" s="204">
        <f>IFERROR(IF(LoanIsNotPaid*LoanIsGood,PaymentNumber,""), "")</f>
        <v>27</v>
      </c>
      <c r="C43" s="205">
        <f>IFERROR(IF(LoanIsNotPaid*LoanIsGood,PaymentDate,LoanStartDate), LoanStartDate)</f>
        <v>46478</v>
      </c>
      <c r="D43" s="206">
        <f>IFERROR(IF(LoanIsNotPaid*LoanIsGood,LoanValue,""), "")</f>
        <v>1023684.1954941133</v>
      </c>
      <c r="E43" s="206">
        <f>IFERROR(IF(LoanIsNotPaid*LoanIsGood,MonthlyPayment,0), 0)</f>
        <v>5691.1875192575681</v>
      </c>
      <c r="F43" s="206">
        <f>IFERROR(IF(LoanIsNotPaid*LoanIsGood,Principal,0), 0)</f>
        <v>3985.0471934340394</v>
      </c>
      <c r="G43" s="206">
        <f>SUM($F$17:F43)</f>
        <v>105300.85169931682</v>
      </c>
      <c r="H43" s="206">
        <f>IFERROR(IF(LoanIsNotPaid*LoanIsGood,InterestAmt,0), 0)</f>
        <v>1706.1403258235289</v>
      </c>
      <c r="I43" s="206">
        <f>SUM($H$17:H43)</f>
        <v>48361.211320637558</v>
      </c>
      <c r="J43" s="206">
        <f>IFERROR(IF(LoanIsNotPaid*LoanIsGood,EndingBalance,0), 0)</f>
        <v>1019699.1483006791</v>
      </c>
      <c r="K43" s="178"/>
    </row>
    <row r="44" spans="1:11" ht="20.25" customHeight="1" x14ac:dyDescent="0.15">
      <c r="A44" s="178"/>
      <c r="B44" s="204">
        <f>IFERROR(IF(LoanIsNotPaid*LoanIsGood,PaymentNumber,""), "")</f>
        <v>28</v>
      </c>
      <c r="C44" s="205">
        <f>IFERROR(IF(LoanIsNotPaid*LoanIsGood,PaymentDate,LoanStartDate), LoanStartDate)</f>
        <v>46508</v>
      </c>
      <c r="D44" s="206">
        <f>IFERROR(IF(LoanIsNotPaid*LoanIsGood,LoanValue,""), "")</f>
        <v>1019699.1483006791</v>
      </c>
      <c r="E44" s="206">
        <f>IFERROR(IF(LoanIsNotPaid*LoanIsGood,MonthlyPayment,0), 0)</f>
        <v>5691.1875192575681</v>
      </c>
      <c r="F44" s="206">
        <f>IFERROR(IF(LoanIsNotPaid*LoanIsGood,Principal,0), 0)</f>
        <v>3991.6889387564293</v>
      </c>
      <c r="G44" s="206">
        <f>SUM($F$17:F44)</f>
        <v>109292.54063807325</v>
      </c>
      <c r="H44" s="206">
        <f>IFERROR(IF(LoanIsNotPaid*LoanIsGood,InterestAmt,0), 0)</f>
        <v>1699.498580501139</v>
      </c>
      <c r="I44" s="206">
        <f>SUM($H$17:H44)</f>
        <v>50060.709901138696</v>
      </c>
      <c r="J44" s="206">
        <f>IFERROR(IF(LoanIsNotPaid*LoanIsGood,EndingBalance,0), 0)</f>
        <v>1015707.4593619223</v>
      </c>
      <c r="K44" s="178"/>
    </row>
    <row r="45" spans="1:11" ht="20.25" customHeight="1" x14ac:dyDescent="0.15">
      <c r="A45" s="178"/>
      <c r="B45" s="204">
        <f>IFERROR(IF(LoanIsNotPaid*LoanIsGood,PaymentNumber,""), "")</f>
        <v>29</v>
      </c>
      <c r="C45" s="205">
        <f>IFERROR(IF(LoanIsNotPaid*LoanIsGood,PaymentDate,LoanStartDate), LoanStartDate)</f>
        <v>46539</v>
      </c>
      <c r="D45" s="206">
        <f>IFERROR(IF(LoanIsNotPaid*LoanIsGood,LoanValue,""), "")</f>
        <v>1015707.4593619223</v>
      </c>
      <c r="E45" s="206">
        <f>IFERROR(IF(LoanIsNotPaid*LoanIsGood,MonthlyPayment,0), 0)</f>
        <v>5691.1875192575681</v>
      </c>
      <c r="F45" s="206">
        <f>IFERROR(IF(LoanIsNotPaid*LoanIsGood,Principal,0), 0)</f>
        <v>3998.341753654357</v>
      </c>
      <c r="G45" s="206">
        <f>SUM($F$17:F45)</f>
        <v>113290.8823917276</v>
      </c>
      <c r="H45" s="206">
        <f>IFERROR(IF(LoanIsNotPaid*LoanIsGood,InterestAmt,0), 0)</f>
        <v>1692.8457656032115</v>
      </c>
      <c r="I45" s="206">
        <f>SUM($H$17:H45)</f>
        <v>51753.555666741908</v>
      </c>
      <c r="J45" s="206">
        <f>IFERROR(IF(LoanIsNotPaid*LoanIsGood,EndingBalance,0), 0)</f>
        <v>1011709.1176082677</v>
      </c>
      <c r="K45" s="178"/>
    </row>
    <row r="46" spans="1:11" ht="20.25" customHeight="1" x14ac:dyDescent="0.15">
      <c r="A46" s="178"/>
      <c r="B46" s="204">
        <f>IFERROR(IF(LoanIsNotPaid*LoanIsGood,PaymentNumber,""), "")</f>
        <v>30</v>
      </c>
      <c r="C46" s="205">
        <f>IFERROR(IF(LoanIsNotPaid*LoanIsGood,PaymentDate,LoanStartDate), LoanStartDate)</f>
        <v>46569</v>
      </c>
      <c r="D46" s="206">
        <f>IFERROR(IF(LoanIsNotPaid*LoanIsGood,LoanValue,""), "")</f>
        <v>1011709.1176082677</v>
      </c>
      <c r="E46" s="206">
        <f>IFERROR(IF(LoanIsNotPaid*LoanIsGood,MonthlyPayment,0), 0)</f>
        <v>5691.1875192575681</v>
      </c>
      <c r="F46" s="206">
        <f>IFERROR(IF(LoanIsNotPaid*LoanIsGood,Principal,0), 0)</f>
        <v>4005.0056565771138</v>
      </c>
      <c r="G46" s="206">
        <f>SUM($F$17:F46)</f>
        <v>117295.88804830471</v>
      </c>
      <c r="H46" s="206">
        <f>IFERROR(IF(LoanIsNotPaid*LoanIsGood,InterestAmt,0), 0)</f>
        <v>1686.1818626804543</v>
      </c>
      <c r="I46" s="206">
        <f>SUM($H$17:H46)</f>
        <v>53439.73752942236</v>
      </c>
      <c r="J46" s="206">
        <f>IFERROR(IF(LoanIsNotPaid*LoanIsGood,EndingBalance,0), 0)</f>
        <v>1007704.1119516906</v>
      </c>
      <c r="K46" s="178"/>
    </row>
    <row r="47" spans="1:11" ht="20.25" customHeight="1" x14ac:dyDescent="0.15">
      <c r="A47" s="178"/>
      <c r="B47" s="204">
        <f>IFERROR(IF(LoanIsNotPaid*LoanIsGood,PaymentNumber,""), "")</f>
        <v>31</v>
      </c>
      <c r="C47" s="205">
        <f>IFERROR(IF(LoanIsNotPaid*LoanIsGood,PaymentDate,LoanStartDate), LoanStartDate)</f>
        <v>46600</v>
      </c>
      <c r="D47" s="206">
        <f>IFERROR(IF(LoanIsNotPaid*LoanIsGood,LoanValue,""), "")</f>
        <v>1007704.1119516906</v>
      </c>
      <c r="E47" s="206">
        <f>IFERROR(IF(LoanIsNotPaid*LoanIsGood,MonthlyPayment,0), 0)</f>
        <v>5691.1875192575681</v>
      </c>
      <c r="F47" s="206">
        <f>IFERROR(IF(LoanIsNotPaid*LoanIsGood,Principal,0), 0)</f>
        <v>4011.6806660047423</v>
      </c>
      <c r="G47" s="206">
        <f>SUM($F$17:F47)</f>
        <v>121307.56871430945</v>
      </c>
      <c r="H47" s="206">
        <f>IFERROR(IF(LoanIsNotPaid*LoanIsGood,InterestAmt,0), 0)</f>
        <v>1679.506853252826</v>
      </c>
      <c r="I47" s="206">
        <f>SUM($H$17:H47)</f>
        <v>55119.244382675184</v>
      </c>
      <c r="J47" s="206">
        <f>IFERROR(IF(LoanIsNotPaid*LoanIsGood,EndingBalance,0), 0)</f>
        <v>1003692.4312856856</v>
      </c>
      <c r="K47" s="178"/>
    </row>
    <row r="48" spans="1:11" ht="20.25" customHeight="1" x14ac:dyDescent="0.15">
      <c r="A48" s="178"/>
      <c r="B48" s="204">
        <f>IFERROR(IF(LoanIsNotPaid*LoanIsGood,PaymentNumber,""), "")</f>
        <v>32</v>
      </c>
      <c r="C48" s="205">
        <f>IFERROR(IF(LoanIsNotPaid*LoanIsGood,PaymentDate,LoanStartDate), LoanStartDate)</f>
        <v>46631</v>
      </c>
      <c r="D48" s="206">
        <f>IFERROR(IF(LoanIsNotPaid*LoanIsGood,LoanValue,""), "")</f>
        <v>1003692.4312856856</v>
      </c>
      <c r="E48" s="206">
        <f>IFERROR(IF(LoanIsNotPaid*LoanIsGood,MonthlyPayment,0), 0)</f>
        <v>5691.1875192575681</v>
      </c>
      <c r="F48" s="206">
        <f>IFERROR(IF(LoanIsNotPaid*LoanIsGood,Principal,0), 0)</f>
        <v>4018.3668004480837</v>
      </c>
      <c r="G48" s="206">
        <f>SUM($F$17:F48)</f>
        <v>125325.93551475754</v>
      </c>
      <c r="H48" s="206">
        <f>IFERROR(IF(LoanIsNotPaid*LoanIsGood,InterestAmt,0), 0)</f>
        <v>1672.8207188094846</v>
      </c>
      <c r="I48" s="206">
        <f>SUM($H$17:H48)</f>
        <v>56792.065101484666</v>
      </c>
      <c r="J48" s="206">
        <f>IFERROR(IF(LoanIsNotPaid*LoanIsGood,EndingBalance,0), 0)</f>
        <v>999674.06448523724</v>
      </c>
      <c r="K48" s="178"/>
    </row>
    <row r="49" spans="1:11" ht="20.25" customHeight="1" x14ac:dyDescent="0.15">
      <c r="A49" s="178"/>
      <c r="B49" s="204">
        <f>IFERROR(IF(LoanIsNotPaid*LoanIsGood,PaymentNumber,""), "")</f>
        <v>33</v>
      </c>
      <c r="C49" s="205">
        <f>IFERROR(IF(LoanIsNotPaid*LoanIsGood,PaymentDate,LoanStartDate), LoanStartDate)</f>
        <v>46661</v>
      </c>
      <c r="D49" s="206">
        <f>IFERROR(IF(LoanIsNotPaid*LoanIsGood,LoanValue,""), "")</f>
        <v>999674.06448523724</v>
      </c>
      <c r="E49" s="206">
        <f>IFERROR(IF(LoanIsNotPaid*LoanIsGood,MonthlyPayment,0), 0)</f>
        <v>5691.1875192575681</v>
      </c>
      <c r="F49" s="206">
        <f>IFERROR(IF(LoanIsNotPaid*LoanIsGood,Principal,0), 0)</f>
        <v>4025.0640784488301</v>
      </c>
      <c r="G49" s="206">
        <f>SUM($F$17:F49)</f>
        <v>129350.99959320638</v>
      </c>
      <c r="H49" s="206">
        <f>IFERROR(IF(LoanIsNotPaid*LoanIsGood,InterestAmt,0), 0)</f>
        <v>1666.1234408087378</v>
      </c>
      <c r="I49" s="206">
        <f>SUM($H$17:H49)</f>
        <v>58458.188542293406</v>
      </c>
      <c r="J49" s="206">
        <f>IFERROR(IF(LoanIsNotPaid*LoanIsGood,EndingBalance,0), 0)</f>
        <v>995649.0004067882</v>
      </c>
      <c r="K49" s="178"/>
    </row>
    <row r="50" spans="1:11" ht="20.25" customHeight="1" x14ac:dyDescent="0.15">
      <c r="A50" s="178"/>
      <c r="B50" s="204">
        <f>IFERROR(IF(LoanIsNotPaid*LoanIsGood,PaymentNumber,""), "")</f>
        <v>34</v>
      </c>
      <c r="C50" s="205">
        <f>IFERROR(IF(LoanIsNotPaid*LoanIsGood,PaymentDate,LoanStartDate), LoanStartDate)</f>
        <v>46692</v>
      </c>
      <c r="D50" s="206">
        <f>IFERROR(IF(LoanIsNotPaid*LoanIsGood,LoanValue,""), "")</f>
        <v>995649.0004067882</v>
      </c>
      <c r="E50" s="206">
        <f>IFERROR(IF(LoanIsNotPaid*LoanIsGood,MonthlyPayment,0), 0)</f>
        <v>5691.1875192575681</v>
      </c>
      <c r="F50" s="206">
        <f>IFERROR(IF(LoanIsNotPaid*LoanIsGood,Principal,0), 0)</f>
        <v>4031.7725185795784</v>
      </c>
      <c r="G50" s="206">
        <f>SUM($F$17:F50)</f>
        <v>133382.77211178595</v>
      </c>
      <c r="H50" s="206">
        <f>IFERROR(IF(LoanIsNotPaid*LoanIsGood,InterestAmt,0), 0)</f>
        <v>1659.4150006779896</v>
      </c>
      <c r="I50" s="206">
        <f>SUM($H$17:H50)</f>
        <v>60117.603542971396</v>
      </c>
      <c r="J50" s="206">
        <f>IFERROR(IF(LoanIsNotPaid*LoanIsGood,EndingBalance,0), 0)</f>
        <v>991617.22788820858</v>
      </c>
      <c r="K50" s="178"/>
    </row>
    <row r="51" spans="1:11" ht="20.25" customHeight="1" x14ac:dyDescent="0.15">
      <c r="A51" s="178"/>
      <c r="B51" s="204">
        <f>IFERROR(IF(LoanIsNotPaid*LoanIsGood,PaymentNumber,""), "")</f>
        <v>35</v>
      </c>
      <c r="C51" s="205">
        <f>IFERROR(IF(LoanIsNotPaid*LoanIsGood,PaymentDate,LoanStartDate), LoanStartDate)</f>
        <v>46722</v>
      </c>
      <c r="D51" s="206">
        <f>IFERROR(IF(LoanIsNotPaid*LoanIsGood,LoanValue,""), "")</f>
        <v>991617.22788820858</v>
      </c>
      <c r="E51" s="206">
        <f>IFERROR(IF(LoanIsNotPaid*LoanIsGood,MonthlyPayment,0), 0)</f>
        <v>5691.1875192575681</v>
      </c>
      <c r="F51" s="206">
        <f>IFERROR(IF(LoanIsNotPaid*LoanIsGood,Principal,0), 0)</f>
        <v>4038.4921394438775</v>
      </c>
      <c r="G51" s="206">
        <f>SUM($F$17:F51)</f>
        <v>137421.26425122982</v>
      </c>
      <c r="H51" s="206">
        <f>IFERROR(IF(LoanIsNotPaid*LoanIsGood,InterestAmt,0), 0)</f>
        <v>1652.6953798136906</v>
      </c>
      <c r="I51" s="206">
        <f>SUM($H$17:H51)</f>
        <v>61770.298922785085</v>
      </c>
      <c r="J51" s="206">
        <f>IFERROR(IF(LoanIsNotPaid*LoanIsGood,EndingBalance,0), 0)</f>
        <v>987578.73574876459</v>
      </c>
      <c r="K51" s="178"/>
    </row>
    <row r="52" spans="1:11" ht="20.25" customHeight="1" x14ac:dyDescent="0.15">
      <c r="A52" s="178"/>
      <c r="B52" s="204">
        <f>IFERROR(IF(LoanIsNotPaid*LoanIsGood,PaymentNumber,""), "")</f>
        <v>36</v>
      </c>
      <c r="C52" s="205">
        <f>IFERROR(IF(LoanIsNotPaid*LoanIsGood,PaymentDate,LoanStartDate), LoanStartDate)</f>
        <v>46753</v>
      </c>
      <c r="D52" s="206">
        <f>IFERROR(IF(LoanIsNotPaid*LoanIsGood,LoanValue,""), "")</f>
        <v>987578.73574876459</v>
      </c>
      <c r="E52" s="206">
        <f>IFERROR(IF(LoanIsNotPaid*LoanIsGood,MonthlyPayment,0), 0)</f>
        <v>5691.1875192575681</v>
      </c>
      <c r="F52" s="206">
        <f>IFERROR(IF(LoanIsNotPaid*LoanIsGood,Principal,0), 0)</f>
        <v>4045.2229596762845</v>
      </c>
      <c r="G52" s="206">
        <f>SUM($F$17:F52)</f>
        <v>141466.48721090611</v>
      </c>
      <c r="H52" s="206">
        <f>IFERROR(IF(LoanIsNotPaid*LoanIsGood,InterestAmt,0), 0)</f>
        <v>1645.9645595812838</v>
      </c>
      <c r="I52" s="206">
        <f>SUM($H$17:H52)</f>
        <v>63416.263482366368</v>
      </c>
      <c r="J52" s="206">
        <f>IFERROR(IF(LoanIsNotPaid*LoanIsGood,EndingBalance,0), 0)</f>
        <v>983533.51278908807</v>
      </c>
      <c r="K52" s="178"/>
    </row>
    <row r="53" spans="1:11" ht="20.25" customHeight="1" x14ac:dyDescent="0.15">
      <c r="A53" s="178"/>
      <c r="B53" s="204">
        <f>IFERROR(IF(LoanIsNotPaid*LoanIsGood,PaymentNumber,""), "")</f>
        <v>37</v>
      </c>
      <c r="C53" s="205">
        <f>IFERROR(IF(LoanIsNotPaid*LoanIsGood,PaymentDate,LoanStartDate), LoanStartDate)</f>
        <v>46784</v>
      </c>
      <c r="D53" s="206">
        <f>IFERROR(IF(LoanIsNotPaid*LoanIsGood,LoanValue,""), "")</f>
        <v>983533.51278908807</v>
      </c>
      <c r="E53" s="206">
        <f>IFERROR(IF(LoanIsNotPaid*LoanIsGood,MonthlyPayment,0), 0)</f>
        <v>5691.1875192575681</v>
      </c>
      <c r="F53" s="206">
        <f>IFERROR(IF(LoanIsNotPaid*LoanIsGood,Principal,0), 0)</f>
        <v>4051.9649979424116</v>
      </c>
      <c r="G53" s="206">
        <f>SUM($F$17:F53)</f>
        <v>145518.45220884852</v>
      </c>
      <c r="H53" s="206">
        <f>IFERROR(IF(LoanIsNotPaid*LoanIsGood,InterestAmt,0), 0)</f>
        <v>1639.2225213151569</v>
      </c>
      <c r="I53" s="206">
        <f>SUM($H$17:H53)</f>
        <v>65055.486003681523</v>
      </c>
      <c r="J53" s="206">
        <f>IFERROR(IF(LoanIsNotPaid*LoanIsGood,EndingBalance,0), 0)</f>
        <v>979481.54779114539</v>
      </c>
      <c r="K53" s="178"/>
    </row>
    <row r="54" spans="1:11" ht="20.25" customHeight="1" x14ac:dyDescent="0.15">
      <c r="A54" s="178"/>
      <c r="B54" s="204">
        <f>IFERROR(IF(LoanIsNotPaid*LoanIsGood,PaymentNumber,""), "")</f>
        <v>38</v>
      </c>
      <c r="C54" s="205">
        <f>IFERROR(IF(LoanIsNotPaid*LoanIsGood,PaymentDate,LoanStartDate), LoanStartDate)</f>
        <v>46813</v>
      </c>
      <c r="D54" s="206">
        <f>IFERROR(IF(LoanIsNotPaid*LoanIsGood,LoanValue,""), "")</f>
        <v>979481.54779114539</v>
      </c>
      <c r="E54" s="206">
        <f>IFERROR(IF(LoanIsNotPaid*LoanIsGood,MonthlyPayment,0), 0)</f>
        <v>5691.1875192575681</v>
      </c>
      <c r="F54" s="206">
        <f>IFERROR(IF(LoanIsNotPaid*LoanIsGood,Principal,0), 0)</f>
        <v>4058.7182729389824</v>
      </c>
      <c r="G54" s="206">
        <f>SUM($F$17:F54)</f>
        <v>149577.1704817875</v>
      </c>
      <c r="H54" s="206">
        <f>IFERROR(IF(LoanIsNotPaid*LoanIsGood,InterestAmt,0), 0)</f>
        <v>1632.4692463185863</v>
      </c>
      <c r="I54" s="206">
        <f>SUM($H$17:H54)</f>
        <v>66687.955250000115</v>
      </c>
      <c r="J54" s="206">
        <f>IFERROR(IF(LoanIsNotPaid*LoanIsGood,EndingBalance,0), 0)</f>
        <v>975422.82951820653</v>
      </c>
      <c r="K54" s="178"/>
    </row>
    <row r="55" spans="1:11" ht="20.25" customHeight="1" x14ac:dyDescent="0.15">
      <c r="A55" s="178"/>
      <c r="B55" s="204">
        <f>IFERROR(IF(LoanIsNotPaid*LoanIsGood,PaymentNumber,""), "")</f>
        <v>39</v>
      </c>
      <c r="C55" s="205">
        <f>IFERROR(IF(LoanIsNotPaid*LoanIsGood,PaymentDate,LoanStartDate), LoanStartDate)</f>
        <v>46844</v>
      </c>
      <c r="D55" s="206">
        <f>IFERROR(IF(LoanIsNotPaid*LoanIsGood,LoanValue,""), "")</f>
        <v>975422.82951820653</v>
      </c>
      <c r="E55" s="206">
        <f>IFERROR(IF(LoanIsNotPaid*LoanIsGood,MonthlyPayment,0), 0)</f>
        <v>5691.1875192575681</v>
      </c>
      <c r="F55" s="206">
        <f>IFERROR(IF(LoanIsNotPaid*LoanIsGood,Principal,0), 0)</f>
        <v>4065.4828033938807</v>
      </c>
      <c r="G55" s="206">
        <f>SUM($F$17:F55)</f>
        <v>153642.65328518138</v>
      </c>
      <c r="H55" s="206">
        <f>IFERROR(IF(LoanIsNotPaid*LoanIsGood,InterestAmt,0), 0)</f>
        <v>1625.7047158636876</v>
      </c>
      <c r="I55" s="206">
        <f>SUM($H$17:H55)</f>
        <v>68313.659965863801</v>
      </c>
      <c r="J55" s="206">
        <f>IFERROR(IF(LoanIsNotPaid*LoanIsGood,EndingBalance,0), 0)</f>
        <v>971357.34671481221</v>
      </c>
      <c r="K55" s="178"/>
    </row>
    <row r="56" spans="1:11" ht="20.25" customHeight="1" x14ac:dyDescent="0.15">
      <c r="A56" s="178"/>
      <c r="B56" s="204">
        <f>IFERROR(IF(LoanIsNotPaid*LoanIsGood,PaymentNumber,""), "")</f>
        <v>40</v>
      </c>
      <c r="C56" s="205">
        <f>IFERROR(IF(LoanIsNotPaid*LoanIsGood,PaymentDate,LoanStartDate), LoanStartDate)</f>
        <v>46874</v>
      </c>
      <c r="D56" s="206">
        <f>IFERROR(IF(LoanIsNotPaid*LoanIsGood,LoanValue,""), "")</f>
        <v>971357.34671481221</v>
      </c>
      <c r="E56" s="206">
        <f>IFERROR(IF(LoanIsNotPaid*LoanIsGood,MonthlyPayment,0), 0)</f>
        <v>5691.1875192575681</v>
      </c>
      <c r="F56" s="206">
        <f>IFERROR(IF(LoanIsNotPaid*LoanIsGood,Principal,0), 0)</f>
        <v>4072.2586080662031</v>
      </c>
      <c r="G56" s="206">
        <f>SUM($F$17:F56)</f>
        <v>157714.9118932476</v>
      </c>
      <c r="H56" s="206">
        <f>IFERROR(IF(LoanIsNotPaid*LoanIsGood,InterestAmt,0), 0)</f>
        <v>1618.9289111913647</v>
      </c>
      <c r="I56" s="206">
        <f>SUM($H$17:H56)</f>
        <v>69932.588877055168</v>
      </c>
      <c r="J56" s="206">
        <f>IFERROR(IF(LoanIsNotPaid*LoanIsGood,EndingBalance,0), 0)</f>
        <v>967285.0881067455</v>
      </c>
      <c r="K56" s="178"/>
    </row>
    <row r="57" spans="1:11" ht="20.25" customHeight="1" x14ac:dyDescent="0.15">
      <c r="A57" s="178"/>
      <c r="B57" s="204">
        <f>IFERROR(IF(LoanIsNotPaid*LoanIsGood,PaymentNumber,""), "")</f>
        <v>41</v>
      </c>
      <c r="C57" s="205">
        <f>IFERROR(IF(LoanIsNotPaid*LoanIsGood,PaymentDate,LoanStartDate), LoanStartDate)</f>
        <v>46905</v>
      </c>
      <c r="D57" s="206">
        <f>IFERROR(IF(LoanIsNotPaid*LoanIsGood,LoanValue,""), "")</f>
        <v>967285.0881067455</v>
      </c>
      <c r="E57" s="206">
        <f>IFERROR(IF(LoanIsNotPaid*LoanIsGood,MonthlyPayment,0), 0)</f>
        <v>5691.1875192575681</v>
      </c>
      <c r="F57" s="206">
        <f>IFERROR(IF(LoanIsNotPaid*LoanIsGood,Principal,0), 0)</f>
        <v>4079.0457057463141</v>
      </c>
      <c r="G57" s="206">
        <f>SUM($F$17:F57)</f>
        <v>161793.9575989939</v>
      </c>
      <c r="H57" s="206">
        <f>IFERROR(IF(LoanIsNotPaid*LoanIsGood,InterestAmt,0), 0)</f>
        <v>1612.141813511254</v>
      </c>
      <c r="I57" s="206">
        <f>SUM($H$17:H57)</f>
        <v>71544.730690566415</v>
      </c>
      <c r="J57" s="206">
        <f>IFERROR(IF(LoanIsNotPaid*LoanIsGood,EndingBalance,0), 0)</f>
        <v>963206.04240099958</v>
      </c>
      <c r="K57" s="178"/>
    </row>
    <row r="58" spans="1:11" ht="20.25" customHeight="1" x14ac:dyDescent="0.15">
      <c r="A58" s="178"/>
      <c r="B58" s="204">
        <f>IFERROR(IF(LoanIsNotPaid*LoanIsGood,PaymentNumber,""), "")</f>
        <v>42</v>
      </c>
      <c r="C58" s="205">
        <f>IFERROR(IF(LoanIsNotPaid*LoanIsGood,PaymentDate,LoanStartDate), LoanStartDate)</f>
        <v>46935</v>
      </c>
      <c r="D58" s="206">
        <f>IFERROR(IF(LoanIsNotPaid*LoanIsGood,LoanValue,""), "")</f>
        <v>963206.04240099958</v>
      </c>
      <c r="E58" s="206">
        <f>IFERROR(IF(LoanIsNotPaid*LoanIsGood,MonthlyPayment,0), 0)</f>
        <v>5691.1875192575681</v>
      </c>
      <c r="F58" s="206">
        <f>IFERROR(IF(LoanIsNotPaid*LoanIsGood,Principal,0), 0)</f>
        <v>4085.8441152558912</v>
      </c>
      <c r="G58" s="206">
        <f>SUM($F$17:F58)</f>
        <v>165879.8017142498</v>
      </c>
      <c r="H58" s="206">
        <f>IFERROR(IF(LoanIsNotPaid*LoanIsGood,InterestAmt,0), 0)</f>
        <v>1605.3434040016773</v>
      </c>
      <c r="I58" s="206">
        <f>SUM($H$17:H58)</f>
        <v>73150.074094568088</v>
      </c>
      <c r="J58" s="206">
        <f>IFERROR(IF(LoanIsNotPaid*LoanIsGood,EndingBalance,0), 0)</f>
        <v>959120.19828574359</v>
      </c>
      <c r="K58" s="178"/>
    </row>
    <row r="59" spans="1:11" ht="20.25" customHeight="1" x14ac:dyDescent="0.15">
      <c r="A59" s="178"/>
      <c r="B59" s="204">
        <f>IFERROR(IF(LoanIsNotPaid*LoanIsGood,PaymentNumber,""), "")</f>
        <v>43</v>
      </c>
      <c r="C59" s="205">
        <f>IFERROR(IF(LoanIsNotPaid*LoanIsGood,PaymentDate,LoanStartDate), LoanStartDate)</f>
        <v>46966</v>
      </c>
      <c r="D59" s="206">
        <f>IFERROR(IF(LoanIsNotPaid*LoanIsGood,LoanValue,""), "")</f>
        <v>959120.19828574359</v>
      </c>
      <c r="E59" s="206">
        <f>IFERROR(IF(LoanIsNotPaid*LoanIsGood,MonthlyPayment,0), 0)</f>
        <v>5691.1875192575681</v>
      </c>
      <c r="F59" s="206">
        <f>IFERROR(IF(LoanIsNotPaid*LoanIsGood,Principal,0), 0)</f>
        <v>4092.6538554479835</v>
      </c>
      <c r="G59" s="206">
        <f>SUM($F$17:F59)</f>
        <v>169972.45556969778</v>
      </c>
      <c r="H59" s="206">
        <f>IFERROR(IF(LoanIsNotPaid*LoanIsGood,InterestAmt,0), 0)</f>
        <v>1598.5336638095839</v>
      </c>
      <c r="I59" s="206">
        <f>SUM($H$17:H59)</f>
        <v>74748.607758377679</v>
      </c>
      <c r="J59" s="206">
        <f>IFERROR(IF(LoanIsNotPaid*LoanIsGood,EndingBalance,0), 0)</f>
        <v>955027.54443029524</v>
      </c>
      <c r="K59" s="178"/>
    </row>
    <row r="60" spans="1:11" ht="20.25" customHeight="1" x14ac:dyDescent="0.15">
      <c r="A60" s="178"/>
      <c r="B60" s="204">
        <f>IFERROR(IF(LoanIsNotPaid*LoanIsGood,PaymentNumber,""), "")</f>
        <v>44</v>
      </c>
      <c r="C60" s="205">
        <f>IFERROR(IF(LoanIsNotPaid*LoanIsGood,PaymentDate,LoanStartDate), LoanStartDate)</f>
        <v>46997</v>
      </c>
      <c r="D60" s="206">
        <f>IFERROR(IF(LoanIsNotPaid*LoanIsGood,LoanValue,""), "")</f>
        <v>955027.54443029524</v>
      </c>
      <c r="E60" s="206">
        <f>IFERROR(IF(LoanIsNotPaid*LoanIsGood,MonthlyPayment,0), 0)</f>
        <v>5691.1875192575681</v>
      </c>
      <c r="F60" s="206">
        <f>IFERROR(IF(LoanIsNotPaid*LoanIsGood,Principal,0), 0)</f>
        <v>4099.4749452070637</v>
      </c>
      <c r="G60" s="206">
        <f>SUM($F$17:F60)</f>
        <v>174071.93051490485</v>
      </c>
      <c r="H60" s="206">
        <f>IFERROR(IF(LoanIsNotPaid*LoanIsGood,InterestAmt,0), 0)</f>
        <v>1591.7125740505039</v>
      </c>
      <c r="I60" s="206">
        <f>SUM($H$17:H60)</f>
        <v>76340.320332428179</v>
      </c>
      <c r="J60" s="206">
        <f>IFERROR(IF(LoanIsNotPaid*LoanIsGood,EndingBalance,0), 0)</f>
        <v>950928.06948508834</v>
      </c>
      <c r="K60" s="178"/>
    </row>
    <row r="61" spans="1:11" ht="20.25" customHeight="1" x14ac:dyDescent="0.15">
      <c r="A61" s="178"/>
      <c r="B61" s="204">
        <f>IFERROR(IF(LoanIsNotPaid*LoanIsGood,PaymentNumber,""), "")</f>
        <v>45</v>
      </c>
      <c r="C61" s="205">
        <f>IFERROR(IF(LoanIsNotPaid*LoanIsGood,PaymentDate,LoanStartDate), LoanStartDate)</f>
        <v>47027</v>
      </c>
      <c r="D61" s="206">
        <f>IFERROR(IF(LoanIsNotPaid*LoanIsGood,LoanValue,""), "")</f>
        <v>950928.06948508834</v>
      </c>
      <c r="E61" s="206">
        <f>IFERROR(IF(LoanIsNotPaid*LoanIsGood,MonthlyPayment,0), 0)</f>
        <v>5691.1875192575681</v>
      </c>
      <c r="F61" s="206">
        <f>IFERROR(IF(LoanIsNotPaid*LoanIsGood,Principal,0), 0)</f>
        <v>4106.3074034490755</v>
      </c>
      <c r="G61" s="206">
        <f>SUM($F$17:F61)</f>
        <v>178178.23791835393</v>
      </c>
      <c r="H61" s="206">
        <f>IFERROR(IF(LoanIsNotPaid*LoanIsGood,InterestAmt,0), 0)</f>
        <v>1584.8801158084921</v>
      </c>
      <c r="I61" s="206">
        <f>SUM($H$17:H61)</f>
        <v>77925.200448236676</v>
      </c>
      <c r="J61" s="206">
        <f>IFERROR(IF(LoanIsNotPaid*LoanIsGood,EndingBalance,0), 0)</f>
        <v>946821.76208163868</v>
      </c>
      <c r="K61" s="178"/>
    </row>
    <row r="62" spans="1:11" ht="20.25" customHeight="1" x14ac:dyDescent="0.15">
      <c r="A62" s="178"/>
      <c r="B62" s="204">
        <f>IFERROR(IF(LoanIsNotPaid*LoanIsGood,PaymentNumber,""), "")</f>
        <v>46</v>
      </c>
      <c r="C62" s="205">
        <f>IFERROR(IF(LoanIsNotPaid*LoanIsGood,PaymentDate,LoanStartDate), LoanStartDate)</f>
        <v>47058</v>
      </c>
      <c r="D62" s="206">
        <f>IFERROR(IF(LoanIsNotPaid*LoanIsGood,LoanValue,""), "")</f>
        <v>946821.76208163868</v>
      </c>
      <c r="E62" s="206">
        <f>IFERROR(IF(LoanIsNotPaid*LoanIsGood,MonthlyPayment,0), 0)</f>
        <v>5691.1875192575681</v>
      </c>
      <c r="F62" s="206">
        <f>IFERROR(IF(LoanIsNotPaid*LoanIsGood,Principal,0), 0)</f>
        <v>4113.1512491214908</v>
      </c>
      <c r="G62" s="206">
        <f>SUM($F$17:F62)</f>
        <v>182291.38916747543</v>
      </c>
      <c r="H62" s="206">
        <f>IFERROR(IF(LoanIsNotPaid*LoanIsGood,InterestAmt,0), 0)</f>
        <v>1578.0362701360773</v>
      </c>
      <c r="I62" s="206">
        <f>SUM($H$17:H62)</f>
        <v>79503.236718372747</v>
      </c>
      <c r="J62" s="206">
        <f>IFERROR(IF(LoanIsNotPaid*LoanIsGood,EndingBalance,0), 0)</f>
        <v>942708.61083251704</v>
      </c>
      <c r="K62" s="178"/>
    </row>
    <row r="63" spans="1:11" ht="20.25" customHeight="1" x14ac:dyDescent="0.15">
      <c r="A63" s="178"/>
      <c r="B63" s="204">
        <f>IFERROR(IF(LoanIsNotPaid*LoanIsGood,PaymentNumber,""), "")</f>
        <v>47</v>
      </c>
      <c r="C63" s="205">
        <f>IFERROR(IF(LoanIsNotPaid*LoanIsGood,PaymentDate,LoanStartDate), LoanStartDate)</f>
        <v>47088</v>
      </c>
      <c r="D63" s="206">
        <f>IFERROR(IF(LoanIsNotPaid*LoanIsGood,LoanValue,""), "")</f>
        <v>942708.61083251704</v>
      </c>
      <c r="E63" s="206">
        <f>IFERROR(IF(LoanIsNotPaid*LoanIsGood,MonthlyPayment,0), 0)</f>
        <v>5691.1875192575681</v>
      </c>
      <c r="F63" s="206">
        <f>IFERROR(IF(LoanIsNotPaid*LoanIsGood,Principal,0), 0)</f>
        <v>4120.0065012033601</v>
      </c>
      <c r="G63" s="206">
        <f>SUM($F$17:F63)</f>
        <v>186411.3956686788</v>
      </c>
      <c r="H63" s="206">
        <f>IFERROR(IF(LoanIsNotPaid*LoanIsGood,InterestAmt,0), 0)</f>
        <v>1571.1810180542079</v>
      </c>
      <c r="I63" s="206">
        <f>SUM($H$17:H63)</f>
        <v>81074.417736426956</v>
      </c>
      <c r="J63" s="206">
        <f>IFERROR(IF(LoanIsNotPaid*LoanIsGood,EndingBalance,0), 0)</f>
        <v>938588.60433131328</v>
      </c>
      <c r="K63" s="178"/>
    </row>
    <row r="64" spans="1:11" ht="20.25" customHeight="1" x14ac:dyDescent="0.15">
      <c r="A64" s="209"/>
      <c r="B64" s="210">
        <f>IFERROR(IF(LoanIsNotPaid*LoanIsGood,PaymentNumber,""), "")</f>
        <v>48</v>
      </c>
      <c r="C64" s="211">
        <f>IFERROR(IF(LoanIsNotPaid*LoanIsGood,PaymentDate,LoanStartDate), LoanStartDate)</f>
        <v>47119</v>
      </c>
      <c r="D64" s="212">
        <f>IFERROR(IF(LoanIsNotPaid*LoanIsGood,LoanValue,""), "")</f>
        <v>938588.60433131328</v>
      </c>
      <c r="E64" s="212">
        <f>IFERROR(IF(LoanIsNotPaid*LoanIsGood,MonthlyPayment,0), 0)</f>
        <v>5691.1875192575681</v>
      </c>
      <c r="F64" s="212">
        <f>IFERROR(IF(LoanIsNotPaid*LoanIsGood,Principal,0), 0)</f>
        <v>4126.8731787053657</v>
      </c>
      <c r="G64" s="212">
        <f>SUM($F$17:F64)</f>
        <v>190538.26884738417</v>
      </c>
      <c r="H64" s="212">
        <f>IFERROR(IF(LoanIsNotPaid*LoanIsGood,InterestAmt,0), 0)</f>
        <v>1564.3143405522026</v>
      </c>
      <c r="I64" s="212">
        <f>SUM($H$17:H64)</f>
        <v>82638.732076979155</v>
      </c>
      <c r="J64" s="212">
        <f>IFERROR(IF(LoanIsNotPaid*LoanIsGood,EndingBalance,0), 0)</f>
        <v>934461.73115260759</v>
      </c>
      <c r="K64" s="209"/>
    </row>
    <row r="65" spans="1:11" ht="20.25" customHeight="1" x14ac:dyDescent="0.15">
      <c r="A65" s="178"/>
      <c r="B65" s="204">
        <f>IFERROR(IF(LoanIsNotPaid*LoanIsGood,PaymentNumber,""), "")</f>
        <v>49</v>
      </c>
      <c r="C65" s="205">
        <f>IFERROR(IF(LoanIsNotPaid*LoanIsGood,PaymentDate,LoanStartDate), LoanStartDate)</f>
        <v>47150</v>
      </c>
      <c r="D65" s="206">
        <f>IFERROR(IF(LoanIsNotPaid*LoanIsGood,LoanValue,""), "")</f>
        <v>934461.73115260759</v>
      </c>
      <c r="E65" s="206">
        <f>IFERROR(IF(LoanIsNotPaid*LoanIsGood,MonthlyPayment,0), 0)</f>
        <v>5691.1875192575681</v>
      </c>
      <c r="F65" s="206">
        <f>IFERROR(IF(LoanIsNotPaid*LoanIsGood,Principal,0), 0)</f>
        <v>4133.7513006698746</v>
      </c>
      <c r="G65" s="206">
        <f>SUM($F$17:F65)</f>
        <v>194672.02014805406</v>
      </c>
      <c r="H65" s="206">
        <f>IFERROR(IF(LoanIsNotPaid*LoanIsGood,InterestAmt,0), 0)</f>
        <v>1557.4362185876935</v>
      </c>
      <c r="I65" s="206">
        <f>SUM($H$17:H65)</f>
        <v>84196.168295566851</v>
      </c>
      <c r="J65" s="206">
        <f>IFERROR(IF(LoanIsNotPaid*LoanIsGood,EndingBalance,0), 0)</f>
        <v>930327.97985193785</v>
      </c>
      <c r="K65" s="178"/>
    </row>
    <row r="66" spans="1:11" ht="20.25" customHeight="1" x14ac:dyDescent="0.15">
      <c r="A66" s="178"/>
      <c r="B66" s="204">
        <f>IFERROR(IF(LoanIsNotPaid*LoanIsGood,PaymentNumber,""), "")</f>
        <v>50</v>
      </c>
      <c r="C66" s="205">
        <f>IFERROR(IF(LoanIsNotPaid*LoanIsGood,PaymentDate,LoanStartDate), LoanStartDate)</f>
        <v>47178</v>
      </c>
      <c r="D66" s="206">
        <f>IFERROR(IF(LoanIsNotPaid*LoanIsGood,LoanValue,""), "")</f>
        <v>930327.97985193785</v>
      </c>
      <c r="E66" s="206">
        <f>IFERROR(IF(LoanIsNotPaid*LoanIsGood,MonthlyPayment,0), 0)</f>
        <v>5691.1875192575681</v>
      </c>
      <c r="F66" s="206">
        <f>IFERROR(IF(LoanIsNotPaid*LoanIsGood,Principal,0), 0)</f>
        <v>4140.6408861709906</v>
      </c>
      <c r="G66" s="206">
        <f>SUM($F$17:F66)</f>
        <v>198812.66103422505</v>
      </c>
      <c r="H66" s="206">
        <f>IFERROR(IF(LoanIsNotPaid*LoanIsGood,InterestAmt,0), 0)</f>
        <v>1550.546633086577</v>
      </c>
      <c r="I66" s="206">
        <f>SUM($H$17:H66)</f>
        <v>85746.714928653426</v>
      </c>
      <c r="J66" s="206">
        <f>IFERROR(IF(LoanIsNotPaid*LoanIsGood,EndingBalance,0), 0)</f>
        <v>926187.33896576683</v>
      </c>
      <c r="K66" s="178"/>
    </row>
    <row r="67" spans="1:11" ht="20.25" customHeight="1" x14ac:dyDescent="0.15">
      <c r="A67" s="178"/>
      <c r="B67" s="204">
        <f>IFERROR(IF(LoanIsNotPaid*LoanIsGood,PaymentNumber,""), "")</f>
        <v>51</v>
      </c>
      <c r="C67" s="205">
        <f>IFERROR(IF(LoanIsNotPaid*LoanIsGood,PaymentDate,LoanStartDate), LoanStartDate)</f>
        <v>47209</v>
      </c>
      <c r="D67" s="206">
        <f>IFERROR(IF(LoanIsNotPaid*LoanIsGood,LoanValue,""), "")</f>
        <v>926187.33896576683</v>
      </c>
      <c r="E67" s="206">
        <f>IFERROR(IF(LoanIsNotPaid*LoanIsGood,MonthlyPayment,0), 0)</f>
        <v>5691.1875192575681</v>
      </c>
      <c r="F67" s="206">
        <f>IFERROR(IF(LoanIsNotPaid*LoanIsGood,Principal,0), 0)</f>
        <v>4147.5419543146099</v>
      </c>
      <c r="G67" s="206">
        <f>SUM($F$17:F67)</f>
        <v>202960.20298853965</v>
      </c>
      <c r="H67" s="206">
        <f>IFERROR(IF(LoanIsNotPaid*LoanIsGood,InterestAmt,0), 0)</f>
        <v>1543.6455649429586</v>
      </c>
      <c r="I67" s="206">
        <f>SUM($H$17:H67)</f>
        <v>87290.360493596381</v>
      </c>
      <c r="J67" s="206">
        <f>IFERROR(IF(LoanIsNotPaid*LoanIsGood,EndingBalance,0), 0)</f>
        <v>922039.7970114518</v>
      </c>
      <c r="K67" s="178"/>
    </row>
    <row r="68" spans="1:11" ht="20.25" customHeight="1" x14ac:dyDescent="0.15">
      <c r="A68" s="178"/>
      <c r="B68" s="204">
        <f>IFERROR(IF(LoanIsNotPaid*LoanIsGood,PaymentNumber,""), "")</f>
        <v>52</v>
      </c>
      <c r="C68" s="205">
        <f>IFERROR(IF(LoanIsNotPaid*LoanIsGood,PaymentDate,LoanStartDate), LoanStartDate)</f>
        <v>47239</v>
      </c>
      <c r="D68" s="206">
        <f>IFERROR(IF(LoanIsNotPaid*LoanIsGood,LoanValue,""), "")</f>
        <v>922039.7970114518</v>
      </c>
      <c r="E68" s="206">
        <f>IFERROR(IF(LoanIsNotPaid*LoanIsGood,MonthlyPayment,0), 0)</f>
        <v>5691.1875192575681</v>
      </c>
      <c r="F68" s="206">
        <f>IFERROR(IF(LoanIsNotPaid*LoanIsGood,Principal,0), 0)</f>
        <v>4154.4545242384665</v>
      </c>
      <c r="G68" s="206">
        <f>SUM($F$17:F68)</f>
        <v>207114.65751277813</v>
      </c>
      <c r="H68" s="206">
        <f>IFERROR(IF(LoanIsNotPaid*LoanIsGood,InterestAmt,0), 0)</f>
        <v>1536.7329950191008</v>
      </c>
      <c r="I68" s="206">
        <f>SUM($H$17:H68)</f>
        <v>88827.093488615486</v>
      </c>
      <c r="J68" s="206">
        <f>IFERROR(IF(LoanIsNotPaid*LoanIsGood,EndingBalance,0), 0)</f>
        <v>917885.34248721343</v>
      </c>
      <c r="K68" s="178"/>
    </row>
    <row r="69" spans="1:11" ht="20.25" customHeight="1" x14ac:dyDescent="0.15">
      <c r="A69" s="178"/>
      <c r="B69" s="204">
        <f>IFERROR(IF(LoanIsNotPaid*LoanIsGood,PaymentNumber,""), "")</f>
        <v>53</v>
      </c>
      <c r="C69" s="205">
        <f>IFERROR(IF(LoanIsNotPaid*LoanIsGood,PaymentDate,LoanStartDate), LoanStartDate)</f>
        <v>47270</v>
      </c>
      <c r="D69" s="206">
        <f>IFERROR(IF(LoanIsNotPaid*LoanIsGood,LoanValue,""), "")</f>
        <v>917885.34248721343</v>
      </c>
      <c r="E69" s="206">
        <f>IFERROR(IF(LoanIsNotPaid*LoanIsGood,MonthlyPayment,0), 0)</f>
        <v>5691.1875192575681</v>
      </c>
      <c r="F69" s="206">
        <f>IFERROR(IF(LoanIsNotPaid*LoanIsGood,Principal,0), 0)</f>
        <v>4161.3786151121976</v>
      </c>
      <c r="G69" s="206">
        <f>SUM($F$17:F69)</f>
        <v>211276.03612789031</v>
      </c>
      <c r="H69" s="206">
        <f>IFERROR(IF(LoanIsNotPaid*LoanIsGood,InterestAmt,0), 0)</f>
        <v>1529.80890414537</v>
      </c>
      <c r="I69" s="206">
        <f>SUM($H$17:H69)</f>
        <v>90356.90239276085</v>
      </c>
      <c r="J69" s="206">
        <f>IFERROR(IF(LoanIsNotPaid*LoanIsGood,EndingBalance,0), 0)</f>
        <v>913723.96387210069</v>
      </c>
      <c r="K69" s="178"/>
    </row>
    <row r="70" spans="1:11" ht="20.25" customHeight="1" x14ac:dyDescent="0.15">
      <c r="A70" s="178"/>
      <c r="B70" s="204">
        <f>IFERROR(IF(LoanIsNotPaid*LoanIsGood,PaymentNumber,""), "")</f>
        <v>54</v>
      </c>
      <c r="C70" s="205">
        <f>IFERROR(IF(LoanIsNotPaid*LoanIsGood,PaymentDate,LoanStartDate), LoanStartDate)</f>
        <v>47300</v>
      </c>
      <c r="D70" s="206">
        <f>IFERROR(IF(LoanIsNotPaid*LoanIsGood,LoanValue,""), "")</f>
        <v>913723.96387210069</v>
      </c>
      <c r="E70" s="206">
        <f>IFERROR(IF(LoanIsNotPaid*LoanIsGood,MonthlyPayment,0), 0)</f>
        <v>5691.1875192575681</v>
      </c>
      <c r="F70" s="206">
        <f>IFERROR(IF(LoanIsNotPaid*LoanIsGood,Principal,0), 0)</f>
        <v>4168.3142461373855</v>
      </c>
      <c r="G70" s="206">
        <f>SUM($F$17:F70)</f>
        <v>215444.35037402771</v>
      </c>
      <c r="H70" s="206">
        <f>IFERROR(IF(LoanIsNotPaid*LoanIsGood,InterestAmt,0), 0)</f>
        <v>1522.8732731201833</v>
      </c>
      <c r="I70" s="206">
        <f>SUM($H$17:H70)</f>
        <v>91879.775665881039</v>
      </c>
      <c r="J70" s="206">
        <f>IFERROR(IF(LoanIsNotPaid*LoanIsGood,EndingBalance,0), 0)</f>
        <v>909555.64962596307</v>
      </c>
      <c r="K70" s="178"/>
    </row>
    <row r="71" spans="1:11" ht="20.25" customHeight="1" x14ac:dyDescent="0.15">
      <c r="A71" s="178"/>
      <c r="B71" s="204">
        <f>IFERROR(IF(LoanIsNotPaid*LoanIsGood,PaymentNumber,""), "")</f>
        <v>55</v>
      </c>
      <c r="C71" s="205">
        <f>IFERROR(IF(LoanIsNotPaid*LoanIsGood,PaymentDate,LoanStartDate), LoanStartDate)</f>
        <v>47331</v>
      </c>
      <c r="D71" s="206">
        <f>IFERROR(IF(LoanIsNotPaid*LoanIsGood,LoanValue,""), "")</f>
        <v>909555.64962596307</v>
      </c>
      <c r="E71" s="206">
        <f>IFERROR(IF(LoanIsNotPaid*LoanIsGood,MonthlyPayment,0), 0)</f>
        <v>5691.1875192575681</v>
      </c>
      <c r="F71" s="206">
        <f>IFERROR(IF(LoanIsNotPaid*LoanIsGood,Principal,0), 0)</f>
        <v>4175.2614365476138</v>
      </c>
      <c r="G71" s="206">
        <f>SUM($F$17:F71)</f>
        <v>219619.61181057533</v>
      </c>
      <c r="H71" s="206">
        <f>IFERROR(IF(LoanIsNotPaid*LoanIsGood,InterestAmt,0), 0)</f>
        <v>1515.9260827099542</v>
      </c>
      <c r="I71" s="206">
        <f>SUM($H$17:H71)</f>
        <v>93395.701748590989</v>
      </c>
      <c r="J71" s="206">
        <f>IFERROR(IF(LoanIsNotPaid*LoanIsGood,EndingBalance,0), 0)</f>
        <v>905380.38818941545</v>
      </c>
      <c r="K71" s="178"/>
    </row>
    <row r="72" spans="1:11" ht="20.25" customHeight="1" x14ac:dyDescent="0.15">
      <c r="A72" s="178"/>
      <c r="B72" s="204">
        <f>IFERROR(IF(LoanIsNotPaid*LoanIsGood,PaymentNumber,""), "")</f>
        <v>56</v>
      </c>
      <c r="C72" s="205">
        <f>IFERROR(IF(LoanIsNotPaid*LoanIsGood,PaymentDate,LoanStartDate), LoanStartDate)</f>
        <v>47362</v>
      </c>
      <c r="D72" s="206">
        <f>IFERROR(IF(LoanIsNotPaid*LoanIsGood,LoanValue,""), "")</f>
        <v>905380.38818941545</v>
      </c>
      <c r="E72" s="206">
        <f>IFERROR(IF(LoanIsNotPaid*LoanIsGood,MonthlyPayment,0), 0)</f>
        <v>5691.1875192575681</v>
      </c>
      <c r="F72" s="206">
        <f>IFERROR(IF(LoanIsNotPaid*LoanIsGood,Principal,0), 0)</f>
        <v>4182.2202056085271</v>
      </c>
      <c r="G72" s="206">
        <f>SUM($F$17:F72)</f>
        <v>223801.83201618385</v>
      </c>
      <c r="H72" s="206">
        <f>IFERROR(IF(LoanIsNotPaid*LoanIsGood,InterestAmt,0), 0)</f>
        <v>1508.9673136490414</v>
      </c>
      <c r="I72" s="206">
        <f>SUM($H$17:H72)</f>
        <v>94904.669062240035</v>
      </c>
      <c r="J72" s="206">
        <f>IFERROR(IF(LoanIsNotPaid*LoanIsGood,EndingBalance,0), 0)</f>
        <v>901198.16798380646</v>
      </c>
      <c r="K72" s="178"/>
    </row>
    <row r="73" spans="1:11" ht="20.25" customHeight="1" x14ac:dyDescent="0.15">
      <c r="A73" s="178"/>
      <c r="B73" s="204">
        <f>IFERROR(IF(LoanIsNotPaid*LoanIsGood,PaymentNumber,""), "")</f>
        <v>57</v>
      </c>
      <c r="C73" s="205">
        <f>IFERROR(IF(LoanIsNotPaid*LoanIsGood,PaymentDate,LoanStartDate), LoanStartDate)</f>
        <v>47392</v>
      </c>
      <c r="D73" s="206">
        <f>IFERROR(IF(LoanIsNotPaid*LoanIsGood,LoanValue,""), "")</f>
        <v>901198.16798380646</v>
      </c>
      <c r="E73" s="206">
        <f>IFERROR(IF(LoanIsNotPaid*LoanIsGood,MonthlyPayment,0), 0)</f>
        <v>5691.1875192575681</v>
      </c>
      <c r="F73" s="206">
        <f>IFERROR(IF(LoanIsNotPaid*LoanIsGood,Principal,0), 0)</f>
        <v>4189.1905726178738</v>
      </c>
      <c r="G73" s="206">
        <f>SUM($F$17:F73)</f>
        <v>227991.02258880172</v>
      </c>
      <c r="H73" s="206">
        <f>IFERROR(IF(LoanIsNotPaid*LoanIsGood,InterestAmt,0), 0)</f>
        <v>1501.996946639694</v>
      </c>
      <c r="I73" s="206">
        <f>SUM($H$17:H73)</f>
        <v>96406.666008879722</v>
      </c>
      <c r="J73" s="206">
        <f>IFERROR(IF(LoanIsNotPaid*LoanIsGood,EndingBalance,0), 0)</f>
        <v>897008.97741118865</v>
      </c>
      <c r="K73" s="178"/>
    </row>
    <row r="74" spans="1:11" ht="20.25" customHeight="1" x14ac:dyDescent="0.15">
      <c r="A74" s="178"/>
      <c r="B74" s="204">
        <f>IFERROR(IF(LoanIsNotPaid*LoanIsGood,PaymentNumber,""), "")</f>
        <v>58</v>
      </c>
      <c r="C74" s="205">
        <f>IFERROR(IF(LoanIsNotPaid*LoanIsGood,PaymentDate,LoanStartDate), LoanStartDate)</f>
        <v>47423</v>
      </c>
      <c r="D74" s="206">
        <f>IFERROR(IF(LoanIsNotPaid*LoanIsGood,LoanValue,""), "")</f>
        <v>897008.97741118865</v>
      </c>
      <c r="E74" s="206">
        <f>IFERROR(IF(LoanIsNotPaid*LoanIsGood,MonthlyPayment,0), 0)</f>
        <v>5691.1875192575681</v>
      </c>
      <c r="F74" s="206">
        <f>IFERROR(IF(LoanIsNotPaid*LoanIsGood,Principal,0), 0)</f>
        <v>4196.1725569055707</v>
      </c>
      <c r="G74" s="206">
        <f>SUM($F$17:F74)</f>
        <v>232187.19514570729</v>
      </c>
      <c r="H74" s="206">
        <f>IFERROR(IF(LoanIsNotPaid*LoanIsGood,InterestAmt,0), 0)</f>
        <v>1495.0149623519974</v>
      </c>
      <c r="I74" s="206">
        <f>SUM($H$17:H74)</f>
        <v>97901.680971231719</v>
      </c>
      <c r="J74" s="206">
        <f>IFERROR(IF(LoanIsNotPaid*LoanIsGood,EndingBalance,0), 0)</f>
        <v>892812.80485428311</v>
      </c>
      <c r="K74" s="178"/>
    </row>
    <row r="75" spans="1:11" ht="20.25" customHeight="1" x14ac:dyDescent="0.15">
      <c r="A75" s="178"/>
      <c r="B75" s="204">
        <f>IFERROR(IF(LoanIsNotPaid*LoanIsGood,PaymentNumber,""), "")</f>
        <v>59</v>
      </c>
      <c r="C75" s="205">
        <f>IFERROR(IF(LoanIsNotPaid*LoanIsGood,PaymentDate,LoanStartDate), LoanStartDate)</f>
        <v>47453</v>
      </c>
      <c r="D75" s="206">
        <f>IFERROR(IF(LoanIsNotPaid*LoanIsGood,LoanValue,""), "")</f>
        <v>892812.80485428311</v>
      </c>
      <c r="E75" s="206">
        <f>IFERROR(IF(LoanIsNotPaid*LoanIsGood,MonthlyPayment,0), 0)</f>
        <v>5691.1875192575681</v>
      </c>
      <c r="F75" s="206">
        <f>IFERROR(IF(LoanIsNotPaid*LoanIsGood,Principal,0), 0)</f>
        <v>4203.1661778337466</v>
      </c>
      <c r="G75" s="206">
        <f>SUM($F$17:F75)</f>
        <v>236390.36132354103</v>
      </c>
      <c r="H75" s="206">
        <f>IFERROR(IF(LoanIsNotPaid*LoanIsGood,InterestAmt,0), 0)</f>
        <v>1488.0213414238215</v>
      </c>
      <c r="I75" s="206">
        <f>SUM($H$17:H75)</f>
        <v>99389.702312655543</v>
      </c>
      <c r="J75" s="206">
        <f>IFERROR(IF(LoanIsNotPaid*LoanIsGood,EndingBalance,0), 0)</f>
        <v>888609.63867644896</v>
      </c>
      <c r="K75" s="178"/>
    </row>
    <row r="76" spans="1:11" ht="20.25" customHeight="1" x14ac:dyDescent="0.15">
      <c r="A76" s="178"/>
      <c r="B76" s="204">
        <f>IFERROR(IF(LoanIsNotPaid*LoanIsGood,PaymentNumber,""), "")</f>
        <v>60</v>
      </c>
      <c r="C76" s="205">
        <f>IFERROR(IF(LoanIsNotPaid*LoanIsGood,PaymentDate,LoanStartDate), LoanStartDate)</f>
        <v>47484</v>
      </c>
      <c r="D76" s="206">
        <f>IFERROR(IF(LoanIsNotPaid*LoanIsGood,LoanValue,""), "")</f>
        <v>888609.63867644896</v>
      </c>
      <c r="E76" s="206">
        <f>IFERROR(IF(LoanIsNotPaid*LoanIsGood,MonthlyPayment,0), 0)</f>
        <v>5691.1875192575681</v>
      </c>
      <c r="F76" s="206">
        <f>IFERROR(IF(LoanIsNotPaid*LoanIsGood,Principal,0), 0)</f>
        <v>4210.1714547968031</v>
      </c>
      <c r="G76" s="206">
        <f>SUM($F$17:F76)</f>
        <v>240600.53277833783</v>
      </c>
      <c r="H76" s="206">
        <f>IFERROR(IF(LoanIsNotPaid*LoanIsGood,InterestAmt,0), 0)</f>
        <v>1481.0160644607654</v>
      </c>
      <c r="I76" s="206">
        <f>SUM($H$17:H76)</f>
        <v>100870.71837711631</v>
      </c>
      <c r="J76" s="206">
        <f>IFERROR(IF(LoanIsNotPaid*LoanIsGood,EndingBalance,0), 0)</f>
        <v>884399.46722165239</v>
      </c>
      <c r="K76" s="178"/>
    </row>
    <row r="77" spans="1:11" ht="20.25" customHeight="1" x14ac:dyDescent="0.15">
      <c r="A77" s="178"/>
      <c r="B77" s="204">
        <f>IFERROR(IF(LoanIsNotPaid*LoanIsGood,PaymentNumber,""), "")</f>
        <v>61</v>
      </c>
      <c r="C77" s="205">
        <f>IFERROR(IF(LoanIsNotPaid*LoanIsGood,PaymentDate,LoanStartDate), LoanStartDate)</f>
        <v>47515</v>
      </c>
      <c r="D77" s="206">
        <f>IFERROR(IF(LoanIsNotPaid*LoanIsGood,LoanValue,""), "")</f>
        <v>884399.46722165239</v>
      </c>
      <c r="E77" s="206">
        <f>IFERROR(IF(LoanIsNotPaid*LoanIsGood,MonthlyPayment,0), 0)</f>
        <v>5691.1875192575681</v>
      </c>
      <c r="F77" s="206">
        <f>IFERROR(IF(LoanIsNotPaid*LoanIsGood,Principal,0), 0)</f>
        <v>4217.1884072214643</v>
      </c>
      <c r="G77" s="206">
        <f>SUM($F$17:F77)</f>
        <v>244817.72118555929</v>
      </c>
      <c r="H77" s="206">
        <f>IFERROR(IF(LoanIsNotPaid*LoanIsGood,InterestAmt,0), 0)</f>
        <v>1473.999112036104</v>
      </c>
      <c r="I77" s="206">
        <f>SUM($H$17:H77)</f>
        <v>102344.71748915242</v>
      </c>
      <c r="J77" s="206">
        <f>IFERROR(IF(LoanIsNotPaid*LoanIsGood,EndingBalance,0), 0)</f>
        <v>880182.27881443023</v>
      </c>
      <c r="K77" s="178"/>
    </row>
    <row r="78" spans="1:11" ht="20.25" customHeight="1" x14ac:dyDescent="0.15">
      <c r="A78" s="178"/>
      <c r="B78" s="204">
        <f>IFERROR(IF(LoanIsNotPaid*LoanIsGood,PaymentNumber,""), "")</f>
        <v>62</v>
      </c>
      <c r="C78" s="205">
        <f>IFERROR(IF(LoanIsNotPaid*LoanIsGood,PaymentDate,LoanStartDate), LoanStartDate)</f>
        <v>47543</v>
      </c>
      <c r="D78" s="206">
        <f>IFERROR(IF(LoanIsNotPaid*LoanIsGood,LoanValue,""), "")</f>
        <v>880182.27881443023</v>
      </c>
      <c r="E78" s="206">
        <f>IFERROR(IF(LoanIsNotPaid*LoanIsGood,MonthlyPayment,0), 0)</f>
        <v>5691.1875192575681</v>
      </c>
      <c r="F78" s="206">
        <f>IFERROR(IF(LoanIsNotPaid*LoanIsGood,Principal,0), 0)</f>
        <v>4224.2170545668332</v>
      </c>
      <c r="G78" s="206">
        <f>SUM($F$17:F78)</f>
        <v>249041.93824012612</v>
      </c>
      <c r="H78" s="206">
        <f>IFERROR(IF(LoanIsNotPaid*LoanIsGood,InterestAmt,0), 0)</f>
        <v>1466.9704646907348</v>
      </c>
      <c r="I78" s="206">
        <f>SUM($H$17:H78)</f>
        <v>103811.68795384315</v>
      </c>
      <c r="J78" s="206">
        <f>IFERROR(IF(LoanIsNotPaid*LoanIsGood,EndingBalance,0), 0)</f>
        <v>875958.06175986351</v>
      </c>
      <c r="K78" s="178"/>
    </row>
    <row r="79" spans="1:11" ht="20.25" customHeight="1" x14ac:dyDescent="0.15">
      <c r="A79" s="178"/>
      <c r="B79" s="204">
        <f>IFERROR(IF(LoanIsNotPaid*LoanIsGood,PaymentNumber,""), "")</f>
        <v>63</v>
      </c>
      <c r="C79" s="205">
        <f>IFERROR(IF(LoanIsNotPaid*LoanIsGood,PaymentDate,LoanStartDate), LoanStartDate)</f>
        <v>47574</v>
      </c>
      <c r="D79" s="206">
        <f>IFERROR(IF(LoanIsNotPaid*LoanIsGood,LoanValue,""), "")</f>
        <v>875958.06175986351</v>
      </c>
      <c r="E79" s="206">
        <f>IFERROR(IF(LoanIsNotPaid*LoanIsGood,MonthlyPayment,0), 0)</f>
        <v>5691.1875192575681</v>
      </c>
      <c r="F79" s="206">
        <f>IFERROR(IF(LoanIsNotPaid*LoanIsGood,Principal,0), 0)</f>
        <v>4231.2574163244453</v>
      </c>
      <c r="G79" s="206">
        <f>SUM($F$17:F79)</f>
        <v>253273.19565645058</v>
      </c>
      <c r="H79" s="206">
        <f>IFERROR(IF(LoanIsNotPaid*LoanIsGood,InterestAmt,0), 0)</f>
        <v>1459.9301029331232</v>
      </c>
      <c r="I79" s="206">
        <f>SUM($H$17:H79)</f>
        <v>105271.61805677628</v>
      </c>
      <c r="J79" s="206">
        <f>IFERROR(IF(LoanIsNotPaid*LoanIsGood,EndingBalance,0), 0)</f>
        <v>871726.80434353836</v>
      </c>
      <c r="K79" s="178"/>
    </row>
    <row r="80" spans="1:11" ht="20.25" customHeight="1" x14ac:dyDescent="0.15">
      <c r="A80" s="178"/>
      <c r="B80" s="204">
        <f>IFERROR(IF(LoanIsNotPaid*LoanIsGood,PaymentNumber,""), "")</f>
        <v>64</v>
      </c>
      <c r="C80" s="205">
        <f>IFERROR(IF(LoanIsNotPaid*LoanIsGood,PaymentDate,LoanStartDate), LoanStartDate)</f>
        <v>47604</v>
      </c>
      <c r="D80" s="206">
        <f>IFERROR(IF(LoanIsNotPaid*LoanIsGood,LoanValue,""), "")</f>
        <v>871726.80434353836</v>
      </c>
      <c r="E80" s="206">
        <f>IFERROR(IF(LoanIsNotPaid*LoanIsGood,MonthlyPayment,0), 0)</f>
        <v>5691.1875192575681</v>
      </c>
      <c r="F80" s="206">
        <f>IFERROR(IF(LoanIsNotPaid*LoanIsGood,Principal,0), 0)</f>
        <v>4238.3095120183189</v>
      </c>
      <c r="G80" s="206">
        <f>SUM($F$17:F80)</f>
        <v>257511.5051684689</v>
      </c>
      <c r="H80" s="206">
        <f>IFERROR(IF(LoanIsNotPaid*LoanIsGood,InterestAmt,0), 0)</f>
        <v>1452.8780072392494</v>
      </c>
      <c r="I80" s="206">
        <f>SUM($H$17:H80)</f>
        <v>106724.49606401553</v>
      </c>
      <c r="J80" s="206">
        <f>IFERROR(IF(LoanIsNotPaid*LoanIsGood,EndingBalance,0), 0)</f>
        <v>867488.49483152002</v>
      </c>
      <c r="K80" s="178"/>
    </row>
    <row r="81" spans="1:11" ht="20.25" customHeight="1" x14ac:dyDescent="0.15">
      <c r="A81" s="178"/>
      <c r="B81" s="204">
        <f>IFERROR(IF(LoanIsNotPaid*LoanIsGood,PaymentNumber,""), "")</f>
        <v>65</v>
      </c>
      <c r="C81" s="205">
        <f>IFERROR(IF(LoanIsNotPaid*LoanIsGood,PaymentDate,LoanStartDate), LoanStartDate)</f>
        <v>47635</v>
      </c>
      <c r="D81" s="206">
        <f>IFERROR(IF(LoanIsNotPaid*LoanIsGood,LoanValue,""), "")</f>
        <v>867488.49483152002</v>
      </c>
      <c r="E81" s="206">
        <f>IFERROR(IF(LoanIsNotPaid*LoanIsGood,MonthlyPayment,0), 0)</f>
        <v>5691.1875192575681</v>
      </c>
      <c r="F81" s="206">
        <f>IFERROR(IF(LoanIsNotPaid*LoanIsGood,Principal,0), 0)</f>
        <v>4245.3733612050155</v>
      </c>
      <c r="G81" s="206">
        <f>SUM($F$17:F81)</f>
        <v>261756.87852967391</v>
      </c>
      <c r="H81" s="206">
        <f>IFERROR(IF(LoanIsNotPaid*LoanIsGood,InterestAmt,0), 0)</f>
        <v>1445.8141580525521</v>
      </c>
      <c r="I81" s="206">
        <f>SUM($H$17:H81)</f>
        <v>108170.31022206809</v>
      </c>
      <c r="J81" s="206">
        <f>IFERROR(IF(LoanIsNotPaid*LoanIsGood,EndingBalance,0), 0)</f>
        <v>863243.12147031468</v>
      </c>
      <c r="K81" s="178"/>
    </row>
    <row r="82" spans="1:11" ht="20.25" customHeight="1" x14ac:dyDescent="0.15">
      <c r="A82" s="178"/>
      <c r="B82" s="204">
        <f>IFERROR(IF(LoanIsNotPaid*LoanIsGood,PaymentNumber,""), "")</f>
        <v>66</v>
      </c>
      <c r="C82" s="205">
        <f>IFERROR(IF(LoanIsNotPaid*LoanIsGood,PaymentDate,LoanStartDate), LoanStartDate)</f>
        <v>47665</v>
      </c>
      <c r="D82" s="206">
        <f>IFERROR(IF(LoanIsNotPaid*LoanIsGood,LoanValue,""), "")</f>
        <v>863243.12147031468</v>
      </c>
      <c r="E82" s="206">
        <f>IFERROR(IF(LoanIsNotPaid*LoanIsGood,MonthlyPayment,0), 0)</f>
        <v>5691.1875192575681</v>
      </c>
      <c r="F82" s="206">
        <f>IFERROR(IF(LoanIsNotPaid*LoanIsGood,Principal,0), 0)</f>
        <v>4252.4489834736914</v>
      </c>
      <c r="G82" s="206">
        <f>SUM($F$17:F82)</f>
        <v>266009.32751314761</v>
      </c>
      <c r="H82" s="206">
        <f>IFERROR(IF(LoanIsNotPaid*LoanIsGood,InterestAmt,0), 0)</f>
        <v>1438.7385357838771</v>
      </c>
      <c r="I82" s="206">
        <f>SUM($H$17:H82)</f>
        <v>109609.04875785197</v>
      </c>
      <c r="J82" s="206">
        <f>IFERROR(IF(LoanIsNotPaid*LoanIsGood,EndingBalance,0), 0)</f>
        <v>858990.67248684121</v>
      </c>
      <c r="K82" s="178"/>
    </row>
    <row r="83" spans="1:11" ht="20.25" customHeight="1" x14ac:dyDescent="0.15">
      <c r="A83" s="178"/>
      <c r="B83" s="204">
        <f>IFERROR(IF(LoanIsNotPaid*LoanIsGood,PaymentNumber,""), "")</f>
        <v>67</v>
      </c>
      <c r="C83" s="205">
        <f>IFERROR(IF(LoanIsNotPaid*LoanIsGood,PaymentDate,LoanStartDate), LoanStartDate)</f>
        <v>47696</v>
      </c>
      <c r="D83" s="206">
        <f>IFERROR(IF(LoanIsNotPaid*LoanIsGood,LoanValue,""), "")</f>
        <v>858990.67248684121</v>
      </c>
      <c r="E83" s="206">
        <f>IFERROR(IF(LoanIsNotPaid*LoanIsGood,MonthlyPayment,0), 0)</f>
        <v>5691.1875192575681</v>
      </c>
      <c r="F83" s="206">
        <f>IFERROR(IF(LoanIsNotPaid*LoanIsGood,Principal,0), 0)</f>
        <v>4259.5363984461474</v>
      </c>
      <c r="G83" s="206">
        <f>SUM($F$17:F83)</f>
        <v>270268.86391159374</v>
      </c>
      <c r="H83" s="206">
        <f>IFERROR(IF(LoanIsNotPaid*LoanIsGood,InterestAmt,0), 0)</f>
        <v>1431.6511208114207</v>
      </c>
      <c r="I83" s="206">
        <f>SUM($H$17:H83)</f>
        <v>111040.69987866339</v>
      </c>
      <c r="J83" s="206">
        <f>IFERROR(IF(LoanIsNotPaid*LoanIsGood,EndingBalance,0), 0)</f>
        <v>854731.13608839468</v>
      </c>
      <c r="K83" s="178"/>
    </row>
    <row r="84" spans="1:11" ht="20.25" customHeight="1" x14ac:dyDescent="0.15">
      <c r="A84" s="178"/>
      <c r="B84" s="204">
        <f>IFERROR(IF(LoanIsNotPaid*LoanIsGood,PaymentNumber,""), "")</f>
        <v>68</v>
      </c>
      <c r="C84" s="205">
        <f>IFERROR(IF(LoanIsNotPaid*LoanIsGood,PaymentDate,LoanStartDate), LoanStartDate)</f>
        <v>47727</v>
      </c>
      <c r="D84" s="206">
        <f>IFERROR(IF(LoanIsNotPaid*LoanIsGood,LoanValue,""), "")</f>
        <v>854731.13608839468</v>
      </c>
      <c r="E84" s="206">
        <f>IFERROR(IF(LoanIsNotPaid*LoanIsGood,MonthlyPayment,0), 0)</f>
        <v>5691.1875192575681</v>
      </c>
      <c r="F84" s="206">
        <f>IFERROR(IF(LoanIsNotPaid*LoanIsGood,Principal,0), 0)</f>
        <v>4266.6356257768912</v>
      </c>
      <c r="G84" s="206">
        <f>SUM($F$17:F84)</f>
        <v>274535.49953737063</v>
      </c>
      <c r="H84" s="206">
        <f>IFERROR(IF(LoanIsNotPaid*LoanIsGood,InterestAmt,0), 0)</f>
        <v>1424.5518934806776</v>
      </c>
      <c r="I84" s="206">
        <f>SUM($H$17:H84)</f>
        <v>112465.25177214407</v>
      </c>
      <c r="J84" s="206">
        <f>IFERROR(IF(LoanIsNotPaid*LoanIsGood,EndingBalance,0), 0)</f>
        <v>850464.50046261773</v>
      </c>
      <c r="K84" s="178"/>
    </row>
    <row r="85" spans="1:11" ht="20.25" customHeight="1" x14ac:dyDescent="0.15">
      <c r="A85" s="178"/>
      <c r="B85" s="204">
        <f>IFERROR(IF(LoanIsNotPaid*LoanIsGood,PaymentNumber,""), "")</f>
        <v>69</v>
      </c>
      <c r="C85" s="205">
        <f>IFERROR(IF(LoanIsNotPaid*LoanIsGood,PaymentDate,LoanStartDate), LoanStartDate)</f>
        <v>47757</v>
      </c>
      <c r="D85" s="206">
        <f>IFERROR(IF(LoanIsNotPaid*LoanIsGood,LoanValue,""), "")</f>
        <v>850464.50046261773</v>
      </c>
      <c r="E85" s="206">
        <f>IFERROR(IF(LoanIsNotPaid*LoanIsGood,MonthlyPayment,0), 0)</f>
        <v>5691.1875192575681</v>
      </c>
      <c r="F85" s="206">
        <f>IFERROR(IF(LoanIsNotPaid*LoanIsGood,Principal,0), 0)</f>
        <v>4273.7466851531844</v>
      </c>
      <c r="G85" s="206">
        <f>SUM($F$17:F85)</f>
        <v>278809.2462225238</v>
      </c>
      <c r="H85" s="206">
        <f>IFERROR(IF(LoanIsNotPaid*LoanIsGood,InterestAmt,0), 0)</f>
        <v>1417.4408341043829</v>
      </c>
      <c r="I85" s="206">
        <f>SUM($H$17:H85)</f>
        <v>113882.69260624846</v>
      </c>
      <c r="J85" s="206">
        <f>IFERROR(IF(LoanIsNotPaid*LoanIsGood,EndingBalance,0), 0)</f>
        <v>846190.75377746462</v>
      </c>
      <c r="K85" s="178"/>
    </row>
    <row r="86" spans="1:11" ht="20.25" customHeight="1" x14ac:dyDescent="0.15">
      <c r="A86" s="178"/>
      <c r="B86" s="204">
        <f>IFERROR(IF(LoanIsNotPaid*LoanIsGood,PaymentNumber,""), "")</f>
        <v>70</v>
      </c>
      <c r="C86" s="205">
        <f>IFERROR(IF(LoanIsNotPaid*LoanIsGood,PaymentDate,LoanStartDate), LoanStartDate)</f>
        <v>47788</v>
      </c>
      <c r="D86" s="206">
        <f>IFERROR(IF(LoanIsNotPaid*LoanIsGood,LoanValue,""), "")</f>
        <v>846190.75377746462</v>
      </c>
      <c r="E86" s="206">
        <f>IFERROR(IF(LoanIsNotPaid*LoanIsGood,MonthlyPayment,0), 0)</f>
        <v>5691.1875192575681</v>
      </c>
      <c r="F86" s="206">
        <f>IFERROR(IF(LoanIsNotPaid*LoanIsGood,Principal,0), 0)</f>
        <v>4280.8695962951069</v>
      </c>
      <c r="G86" s="206">
        <f>SUM($F$17:F86)</f>
        <v>283090.11581881891</v>
      </c>
      <c r="H86" s="206">
        <f>IFERROR(IF(LoanIsNotPaid*LoanIsGood,InterestAmt,0), 0)</f>
        <v>1410.3179229624604</v>
      </c>
      <c r="I86" s="206">
        <f>SUM($H$17:H86)</f>
        <v>115293.01052921092</v>
      </c>
      <c r="J86" s="206">
        <f>IFERROR(IF(LoanIsNotPaid*LoanIsGood,EndingBalance,0), 0)</f>
        <v>841909.88418116933</v>
      </c>
      <c r="K86" s="178"/>
    </row>
    <row r="87" spans="1:11" ht="20.25" customHeight="1" x14ac:dyDescent="0.15">
      <c r="A87" s="178"/>
      <c r="B87" s="204">
        <f>IFERROR(IF(LoanIsNotPaid*LoanIsGood,PaymentNumber,""), "")</f>
        <v>71</v>
      </c>
      <c r="C87" s="205">
        <f>IFERROR(IF(LoanIsNotPaid*LoanIsGood,PaymentDate,LoanStartDate), LoanStartDate)</f>
        <v>47818</v>
      </c>
      <c r="D87" s="206">
        <f>IFERROR(IF(LoanIsNotPaid*LoanIsGood,LoanValue,""), "")</f>
        <v>841909.88418116933</v>
      </c>
      <c r="E87" s="206">
        <f>IFERROR(IF(LoanIsNotPaid*LoanIsGood,MonthlyPayment,0), 0)</f>
        <v>5691.1875192575681</v>
      </c>
      <c r="F87" s="206">
        <f>IFERROR(IF(LoanIsNotPaid*LoanIsGood,Principal,0), 0)</f>
        <v>4288.0043789555993</v>
      </c>
      <c r="G87" s="206">
        <f>SUM($F$17:F87)</f>
        <v>287378.12019777449</v>
      </c>
      <c r="H87" s="206">
        <f>IFERROR(IF(LoanIsNotPaid*LoanIsGood,InterestAmt,0), 0)</f>
        <v>1403.1831403019689</v>
      </c>
      <c r="I87" s="206">
        <f>SUM($H$17:H87)</f>
        <v>116696.1936695129</v>
      </c>
      <c r="J87" s="206">
        <f>IFERROR(IF(LoanIsNotPaid*LoanIsGood,EndingBalance,0), 0)</f>
        <v>837621.87980221363</v>
      </c>
      <c r="K87" s="178"/>
    </row>
    <row r="88" spans="1:11" ht="20.25" customHeight="1" x14ac:dyDescent="0.15">
      <c r="A88" s="178"/>
      <c r="B88" s="204">
        <f>IFERROR(IF(LoanIsNotPaid*LoanIsGood,PaymentNumber,""), "")</f>
        <v>72</v>
      </c>
      <c r="C88" s="205">
        <f>IFERROR(IF(LoanIsNotPaid*LoanIsGood,PaymentDate,LoanStartDate), LoanStartDate)</f>
        <v>47849</v>
      </c>
      <c r="D88" s="206">
        <f>IFERROR(IF(LoanIsNotPaid*LoanIsGood,LoanValue,""), "")</f>
        <v>837621.87980221363</v>
      </c>
      <c r="E88" s="206">
        <f>IFERROR(IF(LoanIsNotPaid*LoanIsGood,MonthlyPayment,0), 0)</f>
        <v>5691.1875192575681</v>
      </c>
      <c r="F88" s="206">
        <f>IFERROR(IF(LoanIsNotPaid*LoanIsGood,Principal,0), 0)</f>
        <v>4295.1510529205252</v>
      </c>
      <c r="G88" s="206">
        <f>SUM($F$17:F88)</f>
        <v>291673.27125069499</v>
      </c>
      <c r="H88" s="206">
        <f>IFERROR(IF(LoanIsNotPaid*LoanIsGood,InterestAmt,0), 0)</f>
        <v>1396.0364663370426</v>
      </c>
      <c r="I88" s="206">
        <f>SUM($H$17:H88)</f>
        <v>118092.23013584994</v>
      </c>
      <c r="J88" s="206">
        <f>IFERROR(IF(LoanIsNotPaid*LoanIsGood,EndingBalance,0), 0)</f>
        <v>833326.72874929244</v>
      </c>
      <c r="K88" s="178"/>
    </row>
    <row r="89" spans="1:11" ht="20.25" customHeight="1" x14ac:dyDescent="0.15">
      <c r="A89" s="178"/>
      <c r="B89" s="204">
        <f>IFERROR(IF(LoanIsNotPaid*LoanIsGood,PaymentNumber,""), "")</f>
        <v>73</v>
      </c>
      <c r="C89" s="205">
        <f>IFERROR(IF(LoanIsNotPaid*LoanIsGood,PaymentDate,LoanStartDate), LoanStartDate)</f>
        <v>47880</v>
      </c>
      <c r="D89" s="206">
        <f>IFERROR(IF(LoanIsNotPaid*LoanIsGood,LoanValue,""), "")</f>
        <v>833326.72874929244</v>
      </c>
      <c r="E89" s="206">
        <f>IFERROR(IF(LoanIsNotPaid*LoanIsGood,MonthlyPayment,0), 0)</f>
        <v>5691.1875192575681</v>
      </c>
      <c r="F89" s="206">
        <f>IFERROR(IF(LoanIsNotPaid*LoanIsGood,Principal,0), 0)</f>
        <v>4302.3096380087263</v>
      </c>
      <c r="G89" s="206">
        <f>SUM($F$17:F89)</f>
        <v>295975.5808887037</v>
      </c>
      <c r="H89" s="206">
        <f>IFERROR(IF(LoanIsNotPaid*LoanIsGood,InterestAmt,0), 0)</f>
        <v>1388.877881248842</v>
      </c>
      <c r="I89" s="206">
        <f>SUM($H$17:H89)</f>
        <v>119481.10801709878</v>
      </c>
      <c r="J89" s="206">
        <f>IFERROR(IF(LoanIsNotPaid*LoanIsGood,EndingBalance,0), 0)</f>
        <v>829024.41911128373</v>
      </c>
      <c r="K89" s="178"/>
    </row>
    <row r="90" spans="1:11" ht="20.25" customHeight="1" x14ac:dyDescent="0.15">
      <c r="A90" s="178"/>
      <c r="B90" s="204">
        <f>IFERROR(IF(LoanIsNotPaid*LoanIsGood,PaymentNumber,""), "")</f>
        <v>74</v>
      </c>
      <c r="C90" s="205">
        <f>IFERROR(IF(LoanIsNotPaid*LoanIsGood,PaymentDate,LoanStartDate), LoanStartDate)</f>
        <v>47908</v>
      </c>
      <c r="D90" s="206">
        <f>IFERROR(IF(LoanIsNotPaid*LoanIsGood,LoanValue,""), "")</f>
        <v>829024.41911128373</v>
      </c>
      <c r="E90" s="206">
        <f>IFERROR(IF(LoanIsNotPaid*LoanIsGood,MonthlyPayment,0), 0)</f>
        <v>5691.1875192575681</v>
      </c>
      <c r="F90" s="206">
        <f>IFERROR(IF(LoanIsNotPaid*LoanIsGood,Principal,0), 0)</f>
        <v>4309.4801540720737</v>
      </c>
      <c r="G90" s="206">
        <f>SUM($F$17:F90)</f>
        <v>300285.06104277575</v>
      </c>
      <c r="H90" s="206">
        <f>IFERROR(IF(LoanIsNotPaid*LoanIsGood,InterestAmt,0), 0)</f>
        <v>1381.7073651854937</v>
      </c>
      <c r="I90" s="206">
        <f>SUM($H$17:H90)</f>
        <v>120862.81538228427</v>
      </c>
      <c r="J90" s="206">
        <f>IFERROR(IF(LoanIsNotPaid*LoanIsGood,EndingBalance,0), 0)</f>
        <v>824714.93895721156</v>
      </c>
      <c r="K90" s="178"/>
    </row>
    <row r="91" spans="1:11" ht="20.25" customHeight="1" x14ac:dyDescent="0.15">
      <c r="A91" s="178"/>
      <c r="B91" s="204">
        <f>IFERROR(IF(LoanIsNotPaid*LoanIsGood,PaymentNumber,""), "")</f>
        <v>75</v>
      </c>
      <c r="C91" s="205">
        <f>IFERROR(IF(LoanIsNotPaid*LoanIsGood,PaymentDate,LoanStartDate), LoanStartDate)</f>
        <v>47939</v>
      </c>
      <c r="D91" s="206">
        <f>IFERROR(IF(LoanIsNotPaid*LoanIsGood,LoanValue,""), "")</f>
        <v>824714.93895721156</v>
      </c>
      <c r="E91" s="206">
        <f>IFERROR(IF(LoanIsNotPaid*LoanIsGood,MonthlyPayment,0), 0)</f>
        <v>5691.1875192575681</v>
      </c>
      <c r="F91" s="206">
        <f>IFERROR(IF(LoanIsNotPaid*LoanIsGood,Principal,0), 0)</f>
        <v>4316.6626209955275</v>
      </c>
      <c r="G91" s="206">
        <f>SUM($F$17:F91)</f>
        <v>304601.72366377129</v>
      </c>
      <c r="H91" s="206">
        <f>IFERROR(IF(LoanIsNotPaid*LoanIsGood,InterestAmt,0), 0)</f>
        <v>1374.5248982620408</v>
      </c>
      <c r="I91" s="206">
        <f>SUM($H$17:H91)</f>
        <v>122237.34028054631</v>
      </c>
      <c r="J91" s="206">
        <f>IFERROR(IF(LoanIsNotPaid*LoanIsGood,EndingBalance,0), 0)</f>
        <v>820398.27633621567</v>
      </c>
      <c r="K91" s="178"/>
    </row>
    <row r="92" spans="1:11" ht="20.25" customHeight="1" x14ac:dyDescent="0.15">
      <c r="A92" s="178"/>
      <c r="B92" s="204">
        <f>IFERROR(IF(LoanIsNotPaid*LoanIsGood,PaymentNumber,""), "")</f>
        <v>76</v>
      </c>
      <c r="C92" s="205">
        <f>IFERROR(IF(LoanIsNotPaid*LoanIsGood,PaymentDate,LoanStartDate), LoanStartDate)</f>
        <v>47969</v>
      </c>
      <c r="D92" s="206">
        <f>IFERROR(IF(LoanIsNotPaid*LoanIsGood,LoanValue,""), "")</f>
        <v>820398.27633621567</v>
      </c>
      <c r="E92" s="206">
        <f>IFERROR(IF(LoanIsNotPaid*LoanIsGood,MonthlyPayment,0), 0)</f>
        <v>5691.1875192575681</v>
      </c>
      <c r="F92" s="206">
        <f>IFERROR(IF(LoanIsNotPaid*LoanIsGood,Principal,0), 0)</f>
        <v>4323.8570586971864</v>
      </c>
      <c r="G92" s="206">
        <f>SUM($F$17:F92)</f>
        <v>308925.5807224685</v>
      </c>
      <c r="H92" s="206">
        <f>IFERROR(IF(LoanIsNotPaid*LoanIsGood,InterestAmt,0), 0)</f>
        <v>1367.3304605603814</v>
      </c>
      <c r="I92" s="206">
        <f>SUM($H$17:H92)</f>
        <v>123604.67074110669</v>
      </c>
      <c r="J92" s="206">
        <f>IFERROR(IF(LoanIsNotPaid*LoanIsGood,EndingBalance,0), 0)</f>
        <v>816074.41927751841</v>
      </c>
      <c r="K92" s="178"/>
    </row>
    <row r="93" spans="1:11" ht="20.25" customHeight="1" x14ac:dyDescent="0.15">
      <c r="A93" s="178"/>
      <c r="B93" s="204">
        <f>IFERROR(IF(LoanIsNotPaid*LoanIsGood,PaymentNumber,""), "")</f>
        <v>77</v>
      </c>
      <c r="C93" s="205">
        <f>IFERROR(IF(LoanIsNotPaid*LoanIsGood,PaymentDate,LoanStartDate), LoanStartDate)</f>
        <v>48000</v>
      </c>
      <c r="D93" s="206">
        <f>IFERROR(IF(LoanIsNotPaid*LoanIsGood,LoanValue,""), "")</f>
        <v>816074.41927751841</v>
      </c>
      <c r="E93" s="206">
        <f>IFERROR(IF(LoanIsNotPaid*LoanIsGood,MonthlyPayment,0), 0)</f>
        <v>5691.1875192575681</v>
      </c>
      <c r="F93" s="206">
        <f>IFERROR(IF(LoanIsNotPaid*LoanIsGood,Principal,0), 0)</f>
        <v>4331.0634871283482</v>
      </c>
      <c r="G93" s="206">
        <f>SUM($F$17:F93)</f>
        <v>313256.64420959685</v>
      </c>
      <c r="H93" s="206">
        <f>IFERROR(IF(LoanIsNotPaid*LoanIsGood,InterestAmt,0), 0)</f>
        <v>1360.1240321292191</v>
      </c>
      <c r="I93" s="206">
        <f>SUM($H$17:H93)</f>
        <v>124964.7947732359</v>
      </c>
      <c r="J93" s="206">
        <f>IFERROR(IF(LoanIsNotPaid*LoanIsGood,EndingBalance,0), 0)</f>
        <v>811743.3557903897</v>
      </c>
      <c r="K93" s="178"/>
    </row>
    <row r="94" spans="1:11" ht="20.25" customHeight="1" x14ac:dyDescent="0.15">
      <c r="A94" s="178"/>
      <c r="B94" s="204">
        <f>IFERROR(IF(LoanIsNotPaid*LoanIsGood,PaymentNumber,""), "")</f>
        <v>78</v>
      </c>
      <c r="C94" s="205">
        <f>IFERROR(IF(LoanIsNotPaid*LoanIsGood,PaymentDate,LoanStartDate), LoanStartDate)</f>
        <v>48030</v>
      </c>
      <c r="D94" s="206">
        <f>IFERROR(IF(LoanIsNotPaid*LoanIsGood,LoanValue,""), "")</f>
        <v>811743.3557903897</v>
      </c>
      <c r="E94" s="206">
        <f>IFERROR(IF(LoanIsNotPaid*LoanIsGood,MonthlyPayment,0), 0)</f>
        <v>5691.1875192575681</v>
      </c>
      <c r="F94" s="206">
        <f>IFERROR(IF(LoanIsNotPaid*LoanIsGood,Principal,0), 0)</f>
        <v>4338.2819262735629</v>
      </c>
      <c r="G94" s="206">
        <f>SUM($F$17:F94)</f>
        <v>317594.9261358704</v>
      </c>
      <c r="H94" s="206">
        <f>IFERROR(IF(LoanIsNotPaid*LoanIsGood,InterestAmt,0), 0)</f>
        <v>1352.9055929840054</v>
      </c>
      <c r="I94" s="206">
        <f>SUM($H$17:H94)</f>
        <v>126317.70036621991</v>
      </c>
      <c r="J94" s="206">
        <f>IFERROR(IF(LoanIsNotPaid*LoanIsGood,EndingBalance,0), 0)</f>
        <v>807405.07386411587</v>
      </c>
      <c r="K94" s="178"/>
    </row>
    <row r="95" spans="1:11" ht="20.25" customHeight="1" x14ac:dyDescent="0.15">
      <c r="A95" s="178"/>
      <c r="B95" s="204">
        <f>IFERROR(IF(LoanIsNotPaid*LoanIsGood,PaymentNumber,""), "")</f>
        <v>79</v>
      </c>
      <c r="C95" s="205">
        <f>IFERROR(IF(LoanIsNotPaid*LoanIsGood,PaymentDate,LoanStartDate), LoanStartDate)</f>
        <v>48061</v>
      </c>
      <c r="D95" s="206">
        <f>IFERROR(IF(LoanIsNotPaid*LoanIsGood,LoanValue,""), "")</f>
        <v>807405.07386411587</v>
      </c>
      <c r="E95" s="206">
        <f>IFERROR(IF(LoanIsNotPaid*LoanIsGood,MonthlyPayment,0), 0)</f>
        <v>5691.1875192575681</v>
      </c>
      <c r="F95" s="206">
        <f>IFERROR(IF(LoanIsNotPaid*LoanIsGood,Principal,0), 0)</f>
        <v>4345.5123961506861</v>
      </c>
      <c r="G95" s="206">
        <f>SUM($F$17:F95)</f>
        <v>321940.43853202107</v>
      </c>
      <c r="H95" s="206">
        <f>IFERROR(IF(LoanIsNotPaid*LoanIsGood,InterestAmt,0), 0)</f>
        <v>1345.6751231068827</v>
      </c>
      <c r="I95" s="206">
        <f>SUM($H$17:H95)</f>
        <v>127663.37548932679</v>
      </c>
      <c r="J95" s="206">
        <f>IFERROR(IF(LoanIsNotPaid*LoanIsGood,EndingBalance,0), 0)</f>
        <v>803059.56146796537</v>
      </c>
      <c r="K95" s="178"/>
    </row>
    <row r="96" spans="1:11" ht="20.25" customHeight="1" x14ac:dyDescent="0.15">
      <c r="A96" s="178"/>
      <c r="B96" s="204">
        <f>IFERROR(IF(LoanIsNotPaid*LoanIsGood,PaymentNumber,""), "")</f>
        <v>80</v>
      </c>
      <c r="C96" s="205">
        <f>IFERROR(IF(LoanIsNotPaid*LoanIsGood,PaymentDate,LoanStartDate), LoanStartDate)</f>
        <v>48092</v>
      </c>
      <c r="D96" s="206">
        <f>IFERROR(IF(LoanIsNotPaid*LoanIsGood,LoanValue,""), "")</f>
        <v>803059.56146796537</v>
      </c>
      <c r="E96" s="206">
        <f>IFERROR(IF(LoanIsNotPaid*LoanIsGood,MonthlyPayment,0), 0)</f>
        <v>5691.1875192575681</v>
      </c>
      <c r="F96" s="206">
        <f>IFERROR(IF(LoanIsNotPaid*LoanIsGood,Principal,0), 0)</f>
        <v>4352.7549168109363</v>
      </c>
      <c r="G96" s="206">
        <f>SUM($F$17:F96)</f>
        <v>326293.19344883203</v>
      </c>
      <c r="H96" s="206">
        <f>IFERROR(IF(LoanIsNotPaid*LoanIsGood,InterestAmt,0), 0)</f>
        <v>1338.4326024466318</v>
      </c>
      <c r="I96" s="206">
        <f>SUM($H$17:H96)</f>
        <v>129001.80809177342</v>
      </c>
      <c r="J96" s="206">
        <f>IFERROR(IF(LoanIsNotPaid*LoanIsGood,EndingBalance,0), 0)</f>
        <v>798706.806551154</v>
      </c>
      <c r="K96" s="178"/>
    </row>
    <row r="97" spans="1:11" ht="20.25" customHeight="1" x14ac:dyDescent="0.15">
      <c r="A97" s="178"/>
      <c r="B97" s="204">
        <f>IFERROR(IF(LoanIsNotPaid*LoanIsGood,PaymentNumber,""), "")</f>
        <v>81</v>
      </c>
      <c r="C97" s="205">
        <f>IFERROR(IF(LoanIsNotPaid*LoanIsGood,PaymentDate,LoanStartDate), LoanStartDate)</f>
        <v>48122</v>
      </c>
      <c r="D97" s="206">
        <f>IFERROR(IF(LoanIsNotPaid*LoanIsGood,LoanValue,""), "")</f>
        <v>798706.806551154</v>
      </c>
      <c r="E97" s="206">
        <f>IFERROR(IF(LoanIsNotPaid*LoanIsGood,MonthlyPayment,0), 0)</f>
        <v>5691.1875192575681</v>
      </c>
      <c r="F97" s="206">
        <f>IFERROR(IF(LoanIsNotPaid*LoanIsGood,Principal,0), 0)</f>
        <v>4360.0095083389542</v>
      </c>
      <c r="G97" s="206">
        <f>SUM($F$17:F97)</f>
        <v>330653.20295717096</v>
      </c>
      <c r="H97" s="206">
        <f>IFERROR(IF(LoanIsNotPaid*LoanIsGood,InterestAmt,0), 0)</f>
        <v>1331.1780109186134</v>
      </c>
      <c r="I97" s="206">
        <f>SUM($H$17:H97)</f>
        <v>130332.98610269203</v>
      </c>
      <c r="J97" s="206">
        <f>IFERROR(IF(LoanIsNotPaid*LoanIsGood,EndingBalance,0), 0)</f>
        <v>794346.79704281478</v>
      </c>
      <c r="K97" s="178"/>
    </row>
    <row r="98" spans="1:11" ht="20.25" customHeight="1" x14ac:dyDescent="0.15">
      <c r="A98" s="178"/>
      <c r="B98" s="204">
        <f>IFERROR(IF(LoanIsNotPaid*LoanIsGood,PaymentNumber,""), "")</f>
        <v>82</v>
      </c>
      <c r="C98" s="205">
        <f>IFERROR(IF(LoanIsNotPaid*LoanIsGood,PaymentDate,LoanStartDate), LoanStartDate)</f>
        <v>48153</v>
      </c>
      <c r="D98" s="206">
        <f>IFERROR(IF(LoanIsNotPaid*LoanIsGood,LoanValue,""), "")</f>
        <v>794346.79704281478</v>
      </c>
      <c r="E98" s="206">
        <f>IFERROR(IF(LoanIsNotPaid*LoanIsGood,MonthlyPayment,0), 0)</f>
        <v>5691.1875192575681</v>
      </c>
      <c r="F98" s="206">
        <f>IFERROR(IF(LoanIsNotPaid*LoanIsGood,Principal,0), 0)</f>
        <v>4367.2761908528528</v>
      </c>
      <c r="G98" s="206">
        <f>SUM($F$17:F98)</f>
        <v>335020.47914802382</v>
      </c>
      <c r="H98" s="206">
        <f>IFERROR(IF(LoanIsNotPaid*LoanIsGood,InterestAmt,0), 0)</f>
        <v>1323.9113284047153</v>
      </c>
      <c r="I98" s="206">
        <f>SUM($H$17:H98)</f>
        <v>131656.89743109673</v>
      </c>
      <c r="J98" s="206">
        <f>IFERROR(IF(LoanIsNotPaid*LoanIsGood,EndingBalance,0), 0)</f>
        <v>789979.52085196192</v>
      </c>
      <c r="K98" s="178"/>
    </row>
    <row r="99" spans="1:11" ht="20.25" customHeight="1" x14ac:dyDescent="0.15">
      <c r="A99" s="178"/>
      <c r="B99" s="204">
        <f>IFERROR(IF(LoanIsNotPaid*LoanIsGood,PaymentNumber,""), "")</f>
        <v>83</v>
      </c>
      <c r="C99" s="205">
        <f>IFERROR(IF(LoanIsNotPaid*LoanIsGood,PaymentDate,LoanStartDate), LoanStartDate)</f>
        <v>48183</v>
      </c>
      <c r="D99" s="206">
        <f>IFERROR(IF(LoanIsNotPaid*LoanIsGood,LoanValue,""), "")</f>
        <v>789979.52085196192</v>
      </c>
      <c r="E99" s="206">
        <f>IFERROR(IF(LoanIsNotPaid*LoanIsGood,MonthlyPayment,0), 0)</f>
        <v>5691.1875192575681</v>
      </c>
      <c r="F99" s="206">
        <f>IFERROR(IF(LoanIsNotPaid*LoanIsGood,Principal,0), 0)</f>
        <v>4374.5549845042742</v>
      </c>
      <c r="G99" s="206">
        <f>SUM($F$17:F99)</f>
        <v>339395.03413252812</v>
      </c>
      <c r="H99" s="206">
        <f>IFERROR(IF(LoanIsNotPaid*LoanIsGood,InterestAmt,0), 0)</f>
        <v>1316.6325347532938</v>
      </c>
      <c r="I99" s="206">
        <f>SUM($H$17:H99)</f>
        <v>132973.52996585003</v>
      </c>
      <c r="J99" s="206">
        <f>IFERROR(IF(LoanIsNotPaid*LoanIsGood,EndingBalance,0), 0)</f>
        <v>785604.96586745721</v>
      </c>
      <c r="K99" s="178"/>
    </row>
    <row r="100" spans="1:11" ht="20.25" customHeight="1" x14ac:dyDescent="0.15">
      <c r="A100" s="178"/>
      <c r="B100" s="204">
        <f>IFERROR(IF(LoanIsNotPaid*LoanIsGood,PaymentNumber,""), "")</f>
        <v>84</v>
      </c>
      <c r="C100" s="205">
        <f>IFERROR(IF(LoanIsNotPaid*LoanIsGood,PaymentDate,LoanStartDate), LoanStartDate)</f>
        <v>48214</v>
      </c>
      <c r="D100" s="206">
        <f>IFERROR(IF(LoanIsNotPaid*LoanIsGood,LoanValue,""), "")</f>
        <v>785604.96586745721</v>
      </c>
      <c r="E100" s="206">
        <f>IFERROR(IF(LoanIsNotPaid*LoanIsGood,MonthlyPayment,0), 0)</f>
        <v>5691.1875192575681</v>
      </c>
      <c r="F100" s="206">
        <f>IFERROR(IF(LoanIsNotPaid*LoanIsGood,Principal,0), 0)</f>
        <v>4381.8459094784475</v>
      </c>
      <c r="G100" s="206">
        <f>SUM($F$17:F100)</f>
        <v>343776.88004200655</v>
      </c>
      <c r="H100" s="206">
        <f>IFERROR(IF(LoanIsNotPaid*LoanIsGood,InterestAmt,0), 0)</f>
        <v>1309.3416097791201</v>
      </c>
      <c r="I100" s="206">
        <f>SUM($H$17:H100)</f>
        <v>134282.87157562916</v>
      </c>
      <c r="J100" s="206">
        <f>IFERROR(IF(LoanIsNotPaid*LoanIsGood,EndingBalance,0), 0)</f>
        <v>781223.11995797837</v>
      </c>
      <c r="K100" s="178"/>
    </row>
    <row r="101" spans="1:11" ht="20.25" customHeight="1" x14ac:dyDescent="0.15">
      <c r="A101" s="178"/>
      <c r="B101" s="204">
        <f>IFERROR(IF(LoanIsNotPaid*LoanIsGood,PaymentNumber,""), "")</f>
        <v>85</v>
      </c>
      <c r="C101" s="205">
        <f>IFERROR(IF(LoanIsNotPaid*LoanIsGood,PaymentDate,LoanStartDate), LoanStartDate)</f>
        <v>48245</v>
      </c>
      <c r="D101" s="206">
        <f>IFERROR(IF(LoanIsNotPaid*LoanIsGood,LoanValue,""), "")</f>
        <v>781223.11995797837</v>
      </c>
      <c r="E101" s="206">
        <f>IFERROR(IF(LoanIsNotPaid*LoanIsGood,MonthlyPayment,0), 0)</f>
        <v>5691.1875192575681</v>
      </c>
      <c r="F101" s="206">
        <f>IFERROR(IF(LoanIsNotPaid*LoanIsGood,Principal,0), 0)</f>
        <v>4389.1489859942449</v>
      </c>
      <c r="G101" s="206">
        <f>SUM($F$17:F101)</f>
        <v>348166.02902800078</v>
      </c>
      <c r="H101" s="206">
        <f>IFERROR(IF(LoanIsNotPaid*LoanIsGood,InterestAmt,0), 0)</f>
        <v>1302.0385332633225</v>
      </c>
      <c r="I101" s="206">
        <f>SUM($H$17:H101)</f>
        <v>135584.91010889248</v>
      </c>
      <c r="J101" s="206">
        <f>IFERROR(IF(LoanIsNotPaid*LoanIsGood,EndingBalance,0), 0)</f>
        <v>776833.97097198362</v>
      </c>
      <c r="K101" s="178"/>
    </row>
    <row r="102" spans="1:11" ht="20.25" customHeight="1" x14ac:dyDescent="0.15">
      <c r="A102" s="178"/>
      <c r="B102" s="204">
        <f>IFERROR(IF(LoanIsNotPaid*LoanIsGood,PaymentNumber,""), "")</f>
        <v>86</v>
      </c>
      <c r="C102" s="205">
        <f>IFERROR(IF(LoanIsNotPaid*LoanIsGood,PaymentDate,LoanStartDate), LoanStartDate)</f>
        <v>48274</v>
      </c>
      <c r="D102" s="206">
        <f>IFERROR(IF(LoanIsNotPaid*LoanIsGood,LoanValue,""), "")</f>
        <v>776833.97097198362</v>
      </c>
      <c r="E102" s="206">
        <f>IFERROR(IF(LoanIsNotPaid*LoanIsGood,MonthlyPayment,0), 0)</f>
        <v>5691.1875192575681</v>
      </c>
      <c r="F102" s="206">
        <f>IFERROR(IF(LoanIsNotPaid*LoanIsGood,Principal,0), 0)</f>
        <v>4396.464234304236</v>
      </c>
      <c r="G102" s="206">
        <f>SUM($F$17:F102)</f>
        <v>352562.49326230504</v>
      </c>
      <c r="H102" s="206">
        <f>IFERROR(IF(LoanIsNotPaid*LoanIsGood,InterestAmt,0), 0)</f>
        <v>1294.7232849533323</v>
      </c>
      <c r="I102" s="206">
        <f>SUM($H$17:H102)</f>
        <v>136879.63339384581</v>
      </c>
      <c r="J102" s="206">
        <f>IFERROR(IF(LoanIsNotPaid*LoanIsGood,EndingBalance,0), 0)</f>
        <v>772437.50673767994</v>
      </c>
      <c r="K102" s="178"/>
    </row>
    <row r="103" spans="1:11" ht="20.25" customHeight="1" x14ac:dyDescent="0.15">
      <c r="A103" s="178"/>
      <c r="B103" s="204">
        <f>IFERROR(IF(LoanIsNotPaid*LoanIsGood,PaymentNumber,""), "")</f>
        <v>87</v>
      </c>
      <c r="C103" s="205">
        <f>IFERROR(IF(LoanIsNotPaid*LoanIsGood,PaymentDate,LoanStartDate), LoanStartDate)</f>
        <v>48305</v>
      </c>
      <c r="D103" s="206">
        <f>IFERROR(IF(LoanIsNotPaid*LoanIsGood,LoanValue,""), "")</f>
        <v>772437.50673767994</v>
      </c>
      <c r="E103" s="206">
        <f>IFERROR(IF(LoanIsNotPaid*LoanIsGood,MonthlyPayment,0), 0)</f>
        <v>5691.1875192575681</v>
      </c>
      <c r="F103" s="206">
        <f>IFERROR(IF(LoanIsNotPaid*LoanIsGood,Principal,0), 0)</f>
        <v>4403.7916746947431</v>
      </c>
      <c r="G103" s="206">
        <f>SUM($F$17:F103)</f>
        <v>356966.28493699979</v>
      </c>
      <c r="H103" s="206">
        <f>IFERROR(IF(LoanIsNotPaid*LoanIsGood,InterestAmt,0), 0)</f>
        <v>1287.3958445628252</v>
      </c>
      <c r="I103" s="206">
        <f>SUM($H$17:H103)</f>
        <v>138167.02923840864</v>
      </c>
      <c r="J103" s="206">
        <f>IFERROR(IF(LoanIsNotPaid*LoanIsGood,EndingBalance,0), 0)</f>
        <v>768033.71506298438</v>
      </c>
      <c r="K103" s="178"/>
    </row>
    <row r="104" spans="1:11" ht="20.25" customHeight="1" x14ac:dyDescent="0.15">
      <c r="A104" s="178"/>
      <c r="B104" s="204">
        <f>IFERROR(IF(LoanIsNotPaid*LoanIsGood,PaymentNumber,""), "")</f>
        <v>88</v>
      </c>
      <c r="C104" s="205">
        <f>IFERROR(IF(LoanIsNotPaid*LoanIsGood,PaymentDate,LoanStartDate), LoanStartDate)</f>
        <v>48335</v>
      </c>
      <c r="D104" s="206">
        <f>IFERROR(IF(LoanIsNotPaid*LoanIsGood,LoanValue,""), "")</f>
        <v>768033.71506298438</v>
      </c>
      <c r="E104" s="206">
        <f>IFERROR(IF(LoanIsNotPaid*LoanIsGood,MonthlyPayment,0), 0)</f>
        <v>5691.1875192575681</v>
      </c>
      <c r="F104" s="206">
        <f>IFERROR(IF(LoanIsNotPaid*LoanIsGood,Principal,0), 0)</f>
        <v>4411.1313274859012</v>
      </c>
      <c r="G104" s="206">
        <f>SUM($F$17:F104)</f>
        <v>361377.41626448568</v>
      </c>
      <c r="H104" s="206">
        <f>IFERROR(IF(LoanIsNotPaid*LoanIsGood,InterestAmt,0), 0)</f>
        <v>1280.0561917716673</v>
      </c>
      <c r="I104" s="206">
        <f>SUM($H$17:H104)</f>
        <v>139447.0854301803</v>
      </c>
      <c r="J104" s="206">
        <f>IFERROR(IF(LoanIsNotPaid*LoanIsGood,EndingBalance,0), 0)</f>
        <v>763622.58373549802</v>
      </c>
      <c r="K104" s="178"/>
    </row>
    <row r="105" spans="1:11" ht="20.25" customHeight="1" x14ac:dyDescent="0.15">
      <c r="A105" s="178"/>
      <c r="B105" s="204">
        <f>IFERROR(IF(LoanIsNotPaid*LoanIsGood,PaymentNumber,""), "")</f>
        <v>89</v>
      </c>
      <c r="C105" s="205">
        <f>IFERROR(IF(LoanIsNotPaid*LoanIsGood,PaymentDate,LoanStartDate), LoanStartDate)</f>
        <v>48366</v>
      </c>
      <c r="D105" s="206">
        <f>IFERROR(IF(LoanIsNotPaid*LoanIsGood,LoanValue,""), "")</f>
        <v>763622.58373549802</v>
      </c>
      <c r="E105" s="206">
        <f>IFERROR(IF(LoanIsNotPaid*LoanIsGood,MonthlyPayment,0), 0)</f>
        <v>5691.1875192575681</v>
      </c>
      <c r="F105" s="206">
        <f>IFERROR(IF(LoanIsNotPaid*LoanIsGood,Principal,0), 0)</f>
        <v>4418.4832130317109</v>
      </c>
      <c r="G105" s="206">
        <f>SUM($F$17:F105)</f>
        <v>365795.89947751741</v>
      </c>
      <c r="H105" s="206">
        <f>IFERROR(IF(LoanIsNotPaid*LoanIsGood,InterestAmt,0), 0)</f>
        <v>1272.7043062258574</v>
      </c>
      <c r="I105" s="206">
        <f>SUM($H$17:H105)</f>
        <v>140719.78973640615</v>
      </c>
      <c r="J105" s="206">
        <f>IFERROR(IF(LoanIsNotPaid*LoanIsGood,EndingBalance,0), 0)</f>
        <v>759204.10052246705</v>
      </c>
      <c r="K105" s="178"/>
    </row>
    <row r="106" spans="1:11" ht="20.25" customHeight="1" x14ac:dyDescent="0.15">
      <c r="A106" s="178"/>
      <c r="B106" s="204">
        <f>IFERROR(IF(LoanIsNotPaid*LoanIsGood,PaymentNumber,""), "")</f>
        <v>90</v>
      </c>
      <c r="C106" s="205">
        <f>IFERROR(IF(LoanIsNotPaid*LoanIsGood,PaymentDate,LoanStartDate), LoanStartDate)</f>
        <v>48396</v>
      </c>
      <c r="D106" s="206">
        <f>IFERROR(IF(LoanIsNotPaid*LoanIsGood,LoanValue,""), "")</f>
        <v>759204.10052246705</v>
      </c>
      <c r="E106" s="206">
        <f>IFERROR(IF(LoanIsNotPaid*LoanIsGood,MonthlyPayment,0), 0)</f>
        <v>5691.1875192575681</v>
      </c>
      <c r="F106" s="206">
        <f>IFERROR(IF(LoanIsNotPaid*LoanIsGood,Principal,0), 0)</f>
        <v>4425.8473517200964</v>
      </c>
      <c r="G106" s="206">
        <f>SUM($F$17:F106)</f>
        <v>370221.7468292375</v>
      </c>
      <c r="H106" s="206">
        <f>IFERROR(IF(LoanIsNotPaid*LoanIsGood,InterestAmt,0), 0)</f>
        <v>1265.3401675374714</v>
      </c>
      <c r="I106" s="206">
        <f>SUM($H$17:H106)</f>
        <v>141985.12990394363</v>
      </c>
      <c r="J106" s="206">
        <f>IFERROR(IF(LoanIsNotPaid*LoanIsGood,EndingBalance,0), 0)</f>
        <v>754778.25317074661</v>
      </c>
      <c r="K106" s="178"/>
    </row>
    <row r="107" spans="1:11" ht="20.25" customHeight="1" x14ac:dyDescent="0.15">
      <c r="A107" s="178"/>
      <c r="B107" s="204">
        <f>IFERROR(IF(LoanIsNotPaid*LoanIsGood,PaymentNumber,""), "")</f>
        <v>91</v>
      </c>
      <c r="C107" s="205">
        <f>IFERROR(IF(LoanIsNotPaid*LoanIsGood,PaymentDate,LoanStartDate), LoanStartDate)</f>
        <v>48427</v>
      </c>
      <c r="D107" s="206">
        <f>IFERROR(IF(LoanIsNotPaid*LoanIsGood,LoanValue,""), "")</f>
        <v>754778.25317074661</v>
      </c>
      <c r="E107" s="206">
        <f>IFERROR(IF(LoanIsNotPaid*LoanIsGood,MonthlyPayment,0), 0)</f>
        <v>5691.1875192575681</v>
      </c>
      <c r="F107" s="206">
        <f>IFERROR(IF(LoanIsNotPaid*LoanIsGood,Principal,0), 0)</f>
        <v>4433.2237639729638</v>
      </c>
      <c r="G107" s="206">
        <f>SUM($F$17:F107)</f>
        <v>374654.97059321048</v>
      </c>
      <c r="H107" s="206">
        <f>IFERROR(IF(LoanIsNotPaid*LoanIsGood,InterestAmt,0), 0)</f>
        <v>1257.9637552846043</v>
      </c>
      <c r="I107" s="206">
        <f>SUM($H$17:H107)</f>
        <v>143243.09365922824</v>
      </c>
      <c r="J107" s="206">
        <f>IFERROR(IF(LoanIsNotPaid*LoanIsGood,EndingBalance,0), 0)</f>
        <v>750345.02940677316</v>
      </c>
      <c r="K107" s="178"/>
    </row>
    <row r="108" spans="1:11" ht="20.25" customHeight="1" x14ac:dyDescent="0.15">
      <c r="A108" s="178"/>
      <c r="B108" s="204">
        <f>IFERROR(IF(LoanIsNotPaid*LoanIsGood,PaymentNumber,""), "")</f>
        <v>92</v>
      </c>
      <c r="C108" s="205">
        <f>IFERROR(IF(LoanIsNotPaid*LoanIsGood,PaymentDate,LoanStartDate), LoanStartDate)</f>
        <v>48458</v>
      </c>
      <c r="D108" s="206">
        <f>IFERROR(IF(LoanIsNotPaid*LoanIsGood,LoanValue,""), "")</f>
        <v>750345.02940677316</v>
      </c>
      <c r="E108" s="206">
        <f>IFERROR(IF(LoanIsNotPaid*LoanIsGood,MonthlyPayment,0), 0)</f>
        <v>5691.1875192575681</v>
      </c>
      <c r="F108" s="206">
        <f>IFERROR(IF(LoanIsNotPaid*LoanIsGood,Principal,0), 0)</f>
        <v>4440.6124702462521</v>
      </c>
      <c r="G108" s="206">
        <f>SUM($F$17:F108)</f>
        <v>379095.58306345675</v>
      </c>
      <c r="H108" s="206">
        <f>IFERROR(IF(LoanIsNotPaid*LoanIsGood,InterestAmt,0), 0)</f>
        <v>1250.5750490113162</v>
      </c>
      <c r="I108" s="206">
        <f>SUM($H$17:H108)</f>
        <v>144493.66870823957</v>
      </c>
      <c r="J108" s="206">
        <f>IFERROR(IF(LoanIsNotPaid*LoanIsGood,EndingBalance,0), 0)</f>
        <v>745904.41693652654</v>
      </c>
      <c r="K108" s="178"/>
    </row>
    <row r="109" spans="1:11" ht="20.25" customHeight="1" x14ac:dyDescent="0.15">
      <c r="A109" s="178"/>
      <c r="B109" s="204">
        <f>IFERROR(IF(LoanIsNotPaid*LoanIsGood,PaymentNumber,""), "")</f>
        <v>93</v>
      </c>
      <c r="C109" s="205">
        <f>IFERROR(IF(LoanIsNotPaid*LoanIsGood,PaymentDate,LoanStartDate), LoanStartDate)</f>
        <v>48488</v>
      </c>
      <c r="D109" s="206">
        <f>IFERROR(IF(LoanIsNotPaid*LoanIsGood,LoanValue,""), "")</f>
        <v>745904.41693652654</v>
      </c>
      <c r="E109" s="206">
        <f>IFERROR(IF(LoanIsNotPaid*LoanIsGood,MonthlyPayment,0), 0)</f>
        <v>5691.1875192575681</v>
      </c>
      <c r="F109" s="206">
        <f>IFERROR(IF(LoanIsNotPaid*LoanIsGood,Principal,0), 0)</f>
        <v>4448.0134910299957</v>
      </c>
      <c r="G109" s="206">
        <f>SUM($F$17:F109)</f>
        <v>383543.59655448672</v>
      </c>
      <c r="H109" s="206">
        <f>IFERROR(IF(LoanIsNotPaid*LoanIsGood,InterestAmt,0), 0)</f>
        <v>1243.1740282275723</v>
      </c>
      <c r="I109" s="206">
        <f>SUM($H$17:H109)</f>
        <v>145736.84273646714</v>
      </c>
      <c r="J109" s="206">
        <f>IFERROR(IF(LoanIsNotPaid*LoanIsGood,EndingBalance,0), 0)</f>
        <v>741456.40344549622</v>
      </c>
      <c r="K109" s="178"/>
    </row>
    <row r="110" spans="1:11" ht="20.25" customHeight="1" x14ac:dyDescent="0.15">
      <c r="A110" s="178"/>
      <c r="B110" s="204">
        <f>IFERROR(IF(LoanIsNotPaid*LoanIsGood,PaymentNumber,""), "")</f>
        <v>94</v>
      </c>
      <c r="C110" s="205">
        <f>IFERROR(IF(LoanIsNotPaid*LoanIsGood,PaymentDate,LoanStartDate), LoanStartDate)</f>
        <v>48519</v>
      </c>
      <c r="D110" s="206">
        <f>IFERROR(IF(LoanIsNotPaid*LoanIsGood,LoanValue,""), "")</f>
        <v>741456.40344549622</v>
      </c>
      <c r="E110" s="206">
        <f>IFERROR(IF(LoanIsNotPaid*LoanIsGood,MonthlyPayment,0), 0)</f>
        <v>5691.1875192575681</v>
      </c>
      <c r="F110" s="206">
        <f>IFERROR(IF(LoanIsNotPaid*LoanIsGood,Principal,0), 0)</f>
        <v>4455.4268468483788</v>
      </c>
      <c r="G110" s="206">
        <f>SUM($F$17:F110)</f>
        <v>387999.02340133511</v>
      </c>
      <c r="H110" s="206">
        <f>IFERROR(IF(LoanIsNotPaid*LoanIsGood,InterestAmt,0), 0)</f>
        <v>1235.7606724091891</v>
      </c>
      <c r="I110" s="206">
        <f>SUM($H$17:H110)</f>
        <v>146972.60340887631</v>
      </c>
      <c r="J110" s="206">
        <f>IFERROR(IF(LoanIsNotPaid*LoanIsGood,EndingBalance,0), 0)</f>
        <v>737000.97659864824</v>
      </c>
      <c r="K110" s="178"/>
    </row>
    <row r="111" spans="1:11" ht="20.25" customHeight="1" x14ac:dyDescent="0.15">
      <c r="A111" s="178"/>
      <c r="B111" s="204">
        <f>IFERROR(IF(LoanIsNotPaid*LoanIsGood,PaymentNumber,""), "")</f>
        <v>95</v>
      </c>
      <c r="C111" s="205">
        <f>IFERROR(IF(LoanIsNotPaid*LoanIsGood,PaymentDate,LoanStartDate), LoanStartDate)</f>
        <v>48549</v>
      </c>
      <c r="D111" s="206">
        <f>IFERROR(IF(LoanIsNotPaid*LoanIsGood,LoanValue,""), "")</f>
        <v>737000.97659864824</v>
      </c>
      <c r="E111" s="206">
        <f>IFERROR(IF(LoanIsNotPaid*LoanIsGood,MonthlyPayment,0), 0)</f>
        <v>5691.1875192575681</v>
      </c>
      <c r="F111" s="206">
        <f>IFERROR(IF(LoanIsNotPaid*LoanIsGood,Principal,0), 0)</f>
        <v>4462.8525582597931</v>
      </c>
      <c r="G111" s="206">
        <f>SUM($F$17:F111)</f>
        <v>392461.87595959491</v>
      </c>
      <c r="H111" s="206">
        <f>IFERROR(IF(LoanIsNotPaid*LoanIsGood,InterestAmt,0), 0)</f>
        <v>1228.3349609977752</v>
      </c>
      <c r="I111" s="206">
        <f>SUM($H$17:H111)</f>
        <v>148200.93836987409</v>
      </c>
      <c r="J111" s="206">
        <f>IFERROR(IF(LoanIsNotPaid*LoanIsGood,EndingBalance,0), 0)</f>
        <v>732538.12404038792</v>
      </c>
      <c r="K111" s="178"/>
    </row>
    <row r="112" spans="1:11" ht="20.25" customHeight="1" x14ac:dyDescent="0.15">
      <c r="A112" s="178"/>
      <c r="B112" s="204">
        <f>IFERROR(IF(LoanIsNotPaid*LoanIsGood,PaymentNumber,""), "")</f>
        <v>96</v>
      </c>
      <c r="C112" s="205">
        <f>IFERROR(IF(LoanIsNotPaid*LoanIsGood,PaymentDate,LoanStartDate), LoanStartDate)</f>
        <v>48580</v>
      </c>
      <c r="D112" s="206">
        <f>IFERROR(IF(LoanIsNotPaid*LoanIsGood,LoanValue,""), "")</f>
        <v>732538.12404038792</v>
      </c>
      <c r="E112" s="206">
        <f>IFERROR(IF(LoanIsNotPaid*LoanIsGood,MonthlyPayment,0), 0)</f>
        <v>5691.1875192575681</v>
      </c>
      <c r="F112" s="206">
        <f>IFERROR(IF(LoanIsNotPaid*LoanIsGood,Principal,0), 0)</f>
        <v>4470.2906458568923</v>
      </c>
      <c r="G112" s="206">
        <f>SUM($F$17:F112)</f>
        <v>396932.16660545178</v>
      </c>
      <c r="H112" s="206">
        <f>IFERROR(IF(LoanIsNotPaid*LoanIsGood,InterestAmt,0), 0)</f>
        <v>1220.8968734006753</v>
      </c>
      <c r="I112" s="206">
        <f>SUM($H$17:H112)</f>
        <v>149421.83524327475</v>
      </c>
      <c r="J112" s="206">
        <f>IFERROR(IF(LoanIsNotPaid*LoanIsGood,EndingBalance,0), 0)</f>
        <v>728067.83339453023</v>
      </c>
      <c r="K112" s="178"/>
    </row>
    <row r="113" spans="1:11" ht="20.25" customHeight="1" x14ac:dyDescent="0.15">
      <c r="A113" s="178"/>
      <c r="B113" s="204">
        <f>IFERROR(IF(LoanIsNotPaid*LoanIsGood,PaymentNumber,""), "")</f>
        <v>97</v>
      </c>
      <c r="C113" s="205">
        <f>IFERROR(IF(LoanIsNotPaid*LoanIsGood,PaymentDate,LoanStartDate), LoanStartDate)</f>
        <v>48611</v>
      </c>
      <c r="D113" s="206">
        <f>IFERROR(IF(LoanIsNotPaid*LoanIsGood,LoanValue,""), "")</f>
        <v>728067.83339453023</v>
      </c>
      <c r="E113" s="206">
        <f>IFERROR(IF(LoanIsNotPaid*LoanIsGood,MonthlyPayment,0), 0)</f>
        <v>5691.1875192575681</v>
      </c>
      <c r="F113" s="206">
        <f>IFERROR(IF(LoanIsNotPaid*LoanIsGood,Principal,0), 0)</f>
        <v>4477.7411302666542</v>
      </c>
      <c r="G113" s="206">
        <f>SUM($F$17:F113)</f>
        <v>401409.90773571841</v>
      </c>
      <c r="H113" s="206">
        <f>IFERROR(IF(LoanIsNotPaid*LoanIsGood,InterestAmt,0), 0)</f>
        <v>1213.4463889909139</v>
      </c>
      <c r="I113" s="206">
        <f>SUM($H$17:H113)</f>
        <v>150635.28163226566</v>
      </c>
      <c r="J113" s="206">
        <f>IFERROR(IF(LoanIsNotPaid*LoanIsGood,EndingBalance,0), 0)</f>
        <v>723590.09226426354</v>
      </c>
      <c r="K113" s="178"/>
    </row>
    <row r="114" spans="1:11" ht="20.25" customHeight="1" x14ac:dyDescent="0.15">
      <c r="A114" s="178"/>
      <c r="B114" s="204">
        <f>IFERROR(IF(LoanIsNotPaid*LoanIsGood,PaymentNumber,""), "")</f>
        <v>98</v>
      </c>
      <c r="C114" s="205">
        <f>IFERROR(IF(LoanIsNotPaid*LoanIsGood,PaymentDate,LoanStartDate), LoanStartDate)</f>
        <v>48639</v>
      </c>
      <c r="D114" s="206">
        <f>IFERROR(IF(LoanIsNotPaid*LoanIsGood,LoanValue,""), "")</f>
        <v>723590.09226426354</v>
      </c>
      <c r="E114" s="206">
        <f>IFERROR(IF(LoanIsNotPaid*LoanIsGood,MonthlyPayment,0), 0)</f>
        <v>5691.1875192575681</v>
      </c>
      <c r="F114" s="206">
        <f>IFERROR(IF(LoanIsNotPaid*LoanIsGood,Principal,0), 0)</f>
        <v>4485.2040321504319</v>
      </c>
      <c r="G114" s="206">
        <f>SUM($F$17:F114)</f>
        <v>405895.11176786886</v>
      </c>
      <c r="H114" s="206">
        <f>IFERROR(IF(LoanIsNotPaid*LoanIsGood,InterestAmt,0), 0)</f>
        <v>1205.9834871071359</v>
      </c>
      <c r="I114" s="206">
        <f>SUM($H$17:H114)</f>
        <v>151841.26511937278</v>
      </c>
      <c r="J114" s="206">
        <f>IFERROR(IF(LoanIsNotPaid*LoanIsGood,EndingBalance,0), 0)</f>
        <v>719104.8882321131</v>
      </c>
      <c r="K114" s="178"/>
    </row>
    <row r="115" spans="1:11" ht="20.25" customHeight="1" x14ac:dyDescent="0.15">
      <c r="A115" s="178"/>
      <c r="B115" s="204">
        <f>IFERROR(IF(LoanIsNotPaid*LoanIsGood,PaymentNumber,""), "")</f>
        <v>99</v>
      </c>
      <c r="C115" s="205">
        <f>IFERROR(IF(LoanIsNotPaid*LoanIsGood,PaymentDate,LoanStartDate), LoanStartDate)</f>
        <v>48670</v>
      </c>
      <c r="D115" s="206">
        <f>IFERROR(IF(LoanIsNotPaid*LoanIsGood,LoanValue,""), "")</f>
        <v>719104.8882321131</v>
      </c>
      <c r="E115" s="206">
        <f>IFERROR(IF(LoanIsNotPaid*LoanIsGood,MonthlyPayment,0), 0)</f>
        <v>5691.1875192575681</v>
      </c>
      <c r="F115" s="206">
        <f>IFERROR(IF(LoanIsNotPaid*LoanIsGood,Principal,0), 0)</f>
        <v>4492.6793722040165</v>
      </c>
      <c r="G115" s="206">
        <f>SUM($F$17:F115)</f>
        <v>410387.79114007286</v>
      </c>
      <c r="H115" s="206">
        <f>IFERROR(IF(LoanIsNotPaid*LoanIsGood,InterestAmt,0), 0)</f>
        <v>1198.5081470535522</v>
      </c>
      <c r="I115" s="206">
        <f>SUM($H$17:H115)</f>
        <v>153039.77326642635</v>
      </c>
      <c r="J115" s="206">
        <f>IFERROR(IF(LoanIsNotPaid*LoanIsGood,EndingBalance,0), 0)</f>
        <v>714612.20885990874</v>
      </c>
      <c r="K115" s="178"/>
    </row>
    <row r="116" spans="1:11" ht="20.25" customHeight="1" x14ac:dyDescent="0.15">
      <c r="A116" s="178"/>
      <c r="B116" s="204">
        <f>IFERROR(IF(LoanIsNotPaid*LoanIsGood,PaymentNumber,""), "")</f>
        <v>100</v>
      </c>
      <c r="C116" s="205">
        <f>IFERROR(IF(LoanIsNotPaid*LoanIsGood,PaymentDate,LoanStartDate), LoanStartDate)</f>
        <v>48700</v>
      </c>
      <c r="D116" s="206">
        <f>IFERROR(IF(LoanIsNotPaid*LoanIsGood,LoanValue,""), "")</f>
        <v>714612.20885990874</v>
      </c>
      <c r="E116" s="206">
        <f>IFERROR(IF(LoanIsNotPaid*LoanIsGood,MonthlyPayment,0), 0)</f>
        <v>5691.1875192575681</v>
      </c>
      <c r="F116" s="206">
        <f>IFERROR(IF(LoanIsNotPaid*LoanIsGood,Principal,0), 0)</f>
        <v>4500.1671711576892</v>
      </c>
      <c r="G116" s="206">
        <f>SUM($F$17:F116)</f>
        <v>414887.95831123053</v>
      </c>
      <c r="H116" s="206">
        <f>IFERROR(IF(LoanIsNotPaid*LoanIsGood,InterestAmt,0), 0)</f>
        <v>1191.0203480998789</v>
      </c>
      <c r="I116" s="206">
        <f>SUM($H$17:H116)</f>
        <v>154230.79361452622</v>
      </c>
      <c r="J116" s="206">
        <f>IFERROR(IF(LoanIsNotPaid*LoanIsGood,EndingBalance,0), 0)</f>
        <v>710112.04168875085</v>
      </c>
      <c r="K116" s="178"/>
    </row>
    <row r="117" spans="1:11" ht="20.25" customHeight="1" x14ac:dyDescent="0.15">
      <c r="A117" s="178"/>
      <c r="B117" s="204">
        <f>IFERROR(IF(LoanIsNotPaid*LoanIsGood,PaymentNumber,""), "")</f>
        <v>101</v>
      </c>
      <c r="C117" s="205">
        <f>IFERROR(IF(LoanIsNotPaid*LoanIsGood,PaymentDate,LoanStartDate), LoanStartDate)</f>
        <v>48731</v>
      </c>
      <c r="D117" s="206">
        <f>IFERROR(IF(LoanIsNotPaid*LoanIsGood,LoanValue,""), "")</f>
        <v>710112.04168875085</v>
      </c>
      <c r="E117" s="206">
        <f>IFERROR(IF(LoanIsNotPaid*LoanIsGood,MonthlyPayment,0), 0)</f>
        <v>5691.1875192575681</v>
      </c>
      <c r="F117" s="206">
        <f>IFERROR(IF(LoanIsNotPaid*LoanIsGood,Principal,0), 0)</f>
        <v>4507.6674497762851</v>
      </c>
      <c r="G117" s="206">
        <f>SUM($F$17:F117)</f>
        <v>419395.62576100678</v>
      </c>
      <c r="H117" s="206">
        <f>IFERROR(IF(LoanIsNotPaid*LoanIsGood,InterestAmt,0), 0)</f>
        <v>1183.5200694812827</v>
      </c>
      <c r="I117" s="206">
        <f>SUM($H$17:H117)</f>
        <v>155414.3136840075</v>
      </c>
      <c r="J117" s="206">
        <f>IFERROR(IF(LoanIsNotPaid*LoanIsGood,EndingBalance,0), 0)</f>
        <v>705604.37423897453</v>
      </c>
      <c r="K117" s="178"/>
    </row>
    <row r="118" spans="1:11" ht="20.25" customHeight="1" x14ac:dyDescent="0.15">
      <c r="A118" s="178"/>
      <c r="B118" s="204">
        <f>IFERROR(IF(LoanIsNotPaid*LoanIsGood,PaymentNumber,""), "")</f>
        <v>102</v>
      </c>
      <c r="C118" s="205">
        <f>IFERROR(IF(LoanIsNotPaid*LoanIsGood,PaymentDate,LoanStartDate), LoanStartDate)</f>
        <v>48761</v>
      </c>
      <c r="D118" s="206">
        <f>IFERROR(IF(LoanIsNotPaid*LoanIsGood,LoanValue,""), "")</f>
        <v>705604.37423897453</v>
      </c>
      <c r="E118" s="206">
        <f>IFERROR(IF(LoanIsNotPaid*LoanIsGood,MonthlyPayment,0), 0)</f>
        <v>5691.1875192575681</v>
      </c>
      <c r="F118" s="206">
        <f>IFERROR(IF(LoanIsNotPaid*LoanIsGood,Principal,0), 0)</f>
        <v>4515.1802288592462</v>
      </c>
      <c r="G118" s="206">
        <f>SUM($F$17:F118)</f>
        <v>423910.80598986603</v>
      </c>
      <c r="H118" s="206">
        <f>IFERROR(IF(LoanIsNotPaid*LoanIsGood,InterestAmt,0), 0)</f>
        <v>1176.0072903983223</v>
      </c>
      <c r="I118" s="206">
        <f>SUM($H$17:H118)</f>
        <v>156590.32097440583</v>
      </c>
      <c r="J118" s="206">
        <f>IFERROR(IF(LoanIsNotPaid*LoanIsGood,EndingBalance,0), 0)</f>
        <v>701089.19401011546</v>
      </c>
      <c r="K118" s="178"/>
    </row>
    <row r="119" spans="1:11" ht="20.25" customHeight="1" x14ac:dyDescent="0.15">
      <c r="A119" s="178"/>
      <c r="B119" s="204">
        <f>IFERROR(IF(LoanIsNotPaid*LoanIsGood,PaymentNumber,""), "")</f>
        <v>103</v>
      </c>
      <c r="C119" s="205">
        <f>IFERROR(IF(LoanIsNotPaid*LoanIsGood,PaymentDate,LoanStartDate), LoanStartDate)</f>
        <v>48792</v>
      </c>
      <c r="D119" s="206">
        <f>IFERROR(IF(LoanIsNotPaid*LoanIsGood,LoanValue,""), "")</f>
        <v>701089.19401011546</v>
      </c>
      <c r="E119" s="206">
        <f>IFERROR(IF(LoanIsNotPaid*LoanIsGood,MonthlyPayment,0), 0)</f>
        <v>5691.1875192575681</v>
      </c>
      <c r="F119" s="206">
        <f>IFERROR(IF(LoanIsNotPaid*LoanIsGood,Principal,0), 0)</f>
        <v>4522.7055292406776</v>
      </c>
      <c r="G119" s="206">
        <f>SUM($F$17:F119)</f>
        <v>428433.51151910669</v>
      </c>
      <c r="H119" s="206">
        <f>IFERROR(IF(LoanIsNotPaid*LoanIsGood,InterestAmt,0), 0)</f>
        <v>1168.48199001689</v>
      </c>
      <c r="I119" s="206">
        <f>SUM($H$17:H119)</f>
        <v>157758.80296442271</v>
      </c>
      <c r="J119" s="206">
        <f>IFERROR(IF(LoanIsNotPaid*LoanIsGood,EndingBalance,0), 0)</f>
        <v>696566.4884808741</v>
      </c>
      <c r="K119" s="178"/>
    </row>
    <row r="120" spans="1:11" ht="20.25" customHeight="1" x14ac:dyDescent="0.15">
      <c r="A120" s="178"/>
      <c r="B120" s="204">
        <f>IFERROR(IF(LoanIsNotPaid*LoanIsGood,PaymentNumber,""), "")</f>
        <v>104</v>
      </c>
      <c r="C120" s="205">
        <f>IFERROR(IF(LoanIsNotPaid*LoanIsGood,PaymentDate,LoanStartDate), LoanStartDate)</f>
        <v>48823</v>
      </c>
      <c r="D120" s="206">
        <f>IFERROR(IF(LoanIsNotPaid*LoanIsGood,LoanValue,""), "")</f>
        <v>696566.4884808741</v>
      </c>
      <c r="E120" s="206">
        <f>IFERROR(IF(LoanIsNotPaid*LoanIsGood,MonthlyPayment,0), 0)</f>
        <v>5691.1875192575681</v>
      </c>
      <c r="F120" s="206">
        <f>IFERROR(IF(LoanIsNotPaid*LoanIsGood,Principal,0), 0)</f>
        <v>4530.2433717894128</v>
      </c>
      <c r="G120" s="206">
        <f>SUM($F$17:F120)</f>
        <v>432963.75489089609</v>
      </c>
      <c r="H120" s="206">
        <f>IFERROR(IF(LoanIsNotPaid*LoanIsGood,InterestAmt,0), 0)</f>
        <v>1160.9441474681555</v>
      </c>
      <c r="I120" s="206">
        <f>SUM($H$17:H120)</f>
        <v>158919.74711189087</v>
      </c>
      <c r="J120" s="206">
        <f>IFERROR(IF(LoanIsNotPaid*LoanIsGood,EndingBalance,0), 0)</f>
        <v>692036.2451090843</v>
      </c>
      <c r="K120" s="178"/>
    </row>
    <row r="121" spans="1:11" ht="20.25" customHeight="1" x14ac:dyDescent="0.15">
      <c r="A121" s="178"/>
      <c r="B121" s="204">
        <f>IFERROR(IF(LoanIsNotPaid*LoanIsGood,PaymentNumber,""), "")</f>
        <v>105</v>
      </c>
      <c r="C121" s="205">
        <f>IFERROR(IF(LoanIsNotPaid*LoanIsGood,PaymentDate,LoanStartDate), LoanStartDate)</f>
        <v>48853</v>
      </c>
      <c r="D121" s="206">
        <f>IFERROR(IF(LoanIsNotPaid*LoanIsGood,LoanValue,""), "")</f>
        <v>692036.2451090843</v>
      </c>
      <c r="E121" s="206">
        <f>IFERROR(IF(LoanIsNotPaid*LoanIsGood,MonthlyPayment,0), 0)</f>
        <v>5691.1875192575681</v>
      </c>
      <c r="F121" s="206">
        <f>IFERROR(IF(LoanIsNotPaid*LoanIsGood,Principal,0), 0)</f>
        <v>4537.7937774090615</v>
      </c>
      <c r="G121" s="206">
        <f>SUM($F$17:F121)</f>
        <v>437501.54866830516</v>
      </c>
      <c r="H121" s="206">
        <f>IFERROR(IF(LoanIsNotPaid*LoanIsGood,InterestAmt,0), 0)</f>
        <v>1153.3937418485066</v>
      </c>
      <c r="I121" s="206">
        <f>SUM($H$17:H121)</f>
        <v>160073.14085373937</v>
      </c>
      <c r="J121" s="206">
        <f>IFERROR(IF(LoanIsNotPaid*LoanIsGood,EndingBalance,0), 0)</f>
        <v>687498.45133167552</v>
      </c>
      <c r="K121" s="178"/>
    </row>
    <row r="122" spans="1:11" ht="20.25" customHeight="1" x14ac:dyDescent="0.15">
      <c r="A122" s="178"/>
      <c r="B122" s="204">
        <f>IFERROR(IF(LoanIsNotPaid*LoanIsGood,PaymentNumber,""), "")</f>
        <v>106</v>
      </c>
      <c r="C122" s="205">
        <f>IFERROR(IF(LoanIsNotPaid*LoanIsGood,PaymentDate,LoanStartDate), LoanStartDate)</f>
        <v>48884</v>
      </c>
      <c r="D122" s="206">
        <f>IFERROR(IF(LoanIsNotPaid*LoanIsGood,LoanValue,""), "")</f>
        <v>687498.45133167552</v>
      </c>
      <c r="E122" s="206">
        <f>IFERROR(IF(LoanIsNotPaid*LoanIsGood,MonthlyPayment,0), 0)</f>
        <v>5691.1875192575681</v>
      </c>
      <c r="F122" s="206">
        <f>IFERROR(IF(LoanIsNotPaid*LoanIsGood,Principal,0), 0)</f>
        <v>4545.3567670380762</v>
      </c>
      <c r="G122" s="206">
        <f>SUM($F$17:F122)</f>
        <v>442046.90543534321</v>
      </c>
      <c r="H122" s="206">
        <f>IFERROR(IF(LoanIsNotPaid*LoanIsGood,InterestAmt,0), 0)</f>
        <v>1145.8307522194914</v>
      </c>
      <c r="I122" s="206">
        <f>SUM($H$17:H122)</f>
        <v>161218.97160595885</v>
      </c>
      <c r="J122" s="206">
        <f>IFERROR(IF(LoanIsNotPaid*LoanIsGood,EndingBalance,0), 0)</f>
        <v>682953.0945646374</v>
      </c>
      <c r="K122" s="178"/>
    </row>
    <row r="123" spans="1:11" ht="20.25" customHeight="1" x14ac:dyDescent="0.15">
      <c r="A123" s="178"/>
      <c r="B123" s="204">
        <f>IFERROR(IF(LoanIsNotPaid*LoanIsGood,PaymentNumber,""), "")</f>
        <v>107</v>
      </c>
      <c r="C123" s="205">
        <f>IFERROR(IF(LoanIsNotPaid*LoanIsGood,PaymentDate,LoanStartDate), LoanStartDate)</f>
        <v>48914</v>
      </c>
      <c r="D123" s="206">
        <f>IFERROR(IF(LoanIsNotPaid*LoanIsGood,LoanValue,""), "")</f>
        <v>682953.0945646374</v>
      </c>
      <c r="E123" s="206">
        <f>IFERROR(IF(LoanIsNotPaid*LoanIsGood,MonthlyPayment,0), 0)</f>
        <v>5691.1875192575681</v>
      </c>
      <c r="F123" s="206">
        <f>IFERROR(IF(LoanIsNotPaid*LoanIsGood,Principal,0), 0)</f>
        <v>4552.9323616498068</v>
      </c>
      <c r="G123" s="206">
        <f>SUM($F$17:F123)</f>
        <v>446599.83779699303</v>
      </c>
      <c r="H123" s="206">
        <f>IFERROR(IF(LoanIsNotPaid*LoanIsGood,InterestAmt,0), 0)</f>
        <v>1138.2551576077612</v>
      </c>
      <c r="I123" s="206">
        <f>SUM($H$17:H123)</f>
        <v>162357.22676356661</v>
      </c>
      <c r="J123" s="206">
        <f>IFERROR(IF(LoanIsNotPaid*LoanIsGood,EndingBalance,0), 0)</f>
        <v>678400.16220298689</v>
      </c>
      <c r="K123" s="178"/>
    </row>
    <row r="124" spans="1:11" ht="20.25" customHeight="1" x14ac:dyDescent="0.15">
      <c r="A124" s="209"/>
      <c r="B124" s="210">
        <f>IFERROR(IF(LoanIsNotPaid*LoanIsGood,PaymentNumber,""), "")</f>
        <v>108</v>
      </c>
      <c r="C124" s="211">
        <f>IFERROR(IF(LoanIsNotPaid*LoanIsGood,PaymentDate,LoanStartDate), LoanStartDate)</f>
        <v>48945</v>
      </c>
      <c r="D124" s="212">
        <f>IFERROR(IF(LoanIsNotPaid*LoanIsGood,LoanValue,""), "")</f>
        <v>678400.16220298689</v>
      </c>
      <c r="E124" s="212">
        <f>IFERROR(IF(LoanIsNotPaid*LoanIsGood,MonthlyPayment,0), 0)</f>
        <v>5691.1875192575681</v>
      </c>
      <c r="F124" s="212">
        <f>IFERROR(IF(LoanIsNotPaid*LoanIsGood,Principal,0), 0)</f>
        <v>4560.5205822525568</v>
      </c>
      <c r="G124" s="212">
        <f>SUM($F$17:F124)</f>
        <v>451160.35837924556</v>
      </c>
      <c r="H124" s="212">
        <f>IFERROR(IF(LoanIsNotPaid*LoanIsGood,InterestAmt,0), 0)</f>
        <v>1130.6669370050115</v>
      </c>
      <c r="I124" s="212">
        <f>SUM($H$17:H124)</f>
        <v>163487.89370057161</v>
      </c>
      <c r="J124" s="212">
        <f>IFERROR(IF(LoanIsNotPaid*LoanIsGood,EndingBalance,0), 0)</f>
        <v>673839.64162073459</v>
      </c>
      <c r="K124" s="209"/>
    </row>
    <row r="125" spans="1:11" ht="20.25" customHeight="1" x14ac:dyDescent="0.15">
      <c r="A125" s="178"/>
      <c r="B125" s="204">
        <f>IFERROR(IF(LoanIsNotPaid*LoanIsGood,PaymentNumber,""), "")</f>
        <v>109</v>
      </c>
      <c r="C125" s="205">
        <f>IFERROR(IF(LoanIsNotPaid*LoanIsGood,PaymentDate,LoanStartDate), LoanStartDate)</f>
        <v>48976</v>
      </c>
      <c r="D125" s="206">
        <f>IFERROR(IF(LoanIsNotPaid*LoanIsGood,LoanValue,""), "")</f>
        <v>673839.64162073459</v>
      </c>
      <c r="E125" s="206">
        <f>IFERROR(IF(LoanIsNotPaid*LoanIsGood,MonthlyPayment,0), 0)</f>
        <v>5691.1875192575681</v>
      </c>
      <c r="F125" s="206">
        <f>IFERROR(IF(LoanIsNotPaid*LoanIsGood,Principal,0), 0)</f>
        <v>4568.1214498896443</v>
      </c>
      <c r="G125" s="206">
        <f>SUM($F$17:F125)</f>
        <v>455728.47982913523</v>
      </c>
      <c r="H125" s="206">
        <f>IFERROR(IF(LoanIsNotPaid*LoanIsGood,InterestAmt,0), 0)</f>
        <v>1123.066069367924</v>
      </c>
      <c r="I125" s="206">
        <f>SUM($H$17:H125)</f>
        <v>164610.95976993954</v>
      </c>
      <c r="J125" s="206">
        <f>IFERROR(IF(LoanIsNotPaid*LoanIsGood,EndingBalance,0), 0)</f>
        <v>669271.52017084451</v>
      </c>
      <c r="K125" s="178"/>
    </row>
    <row r="126" spans="1:11" ht="20.25" customHeight="1" x14ac:dyDescent="0.15">
      <c r="A126" s="178"/>
      <c r="B126" s="204">
        <f>IFERROR(IF(LoanIsNotPaid*LoanIsGood,PaymentNumber,""), "")</f>
        <v>110</v>
      </c>
      <c r="C126" s="205">
        <f>IFERROR(IF(LoanIsNotPaid*LoanIsGood,PaymentDate,LoanStartDate), LoanStartDate)</f>
        <v>49004</v>
      </c>
      <c r="D126" s="206">
        <f>IFERROR(IF(LoanIsNotPaid*LoanIsGood,LoanValue,""), "")</f>
        <v>669271.52017084451</v>
      </c>
      <c r="E126" s="206">
        <f>IFERROR(IF(LoanIsNotPaid*LoanIsGood,MonthlyPayment,0), 0)</f>
        <v>5691.1875192575681</v>
      </c>
      <c r="F126" s="206">
        <f>IFERROR(IF(LoanIsNotPaid*LoanIsGood,Principal,0), 0)</f>
        <v>4575.7349856394603</v>
      </c>
      <c r="G126" s="206">
        <f>SUM($F$17:F126)</f>
        <v>460304.21481477469</v>
      </c>
      <c r="H126" s="206">
        <f>IFERROR(IF(LoanIsNotPaid*LoanIsGood,InterestAmt,0), 0)</f>
        <v>1115.452533618108</v>
      </c>
      <c r="I126" s="206">
        <f>SUM($H$17:H126)</f>
        <v>165726.41230355765</v>
      </c>
      <c r="J126" s="206">
        <f>IFERROR(IF(LoanIsNotPaid*LoanIsGood,EndingBalance,0), 0)</f>
        <v>664695.78518520447</v>
      </c>
      <c r="K126" s="178"/>
    </row>
    <row r="127" spans="1:11" ht="20.25" customHeight="1" x14ac:dyDescent="0.15">
      <c r="A127" s="178"/>
      <c r="B127" s="204">
        <f>IFERROR(IF(LoanIsNotPaid*LoanIsGood,PaymentNumber,""), "")</f>
        <v>111</v>
      </c>
      <c r="C127" s="205">
        <f>IFERROR(IF(LoanIsNotPaid*LoanIsGood,PaymentDate,LoanStartDate), LoanStartDate)</f>
        <v>49035</v>
      </c>
      <c r="D127" s="206">
        <f>IFERROR(IF(LoanIsNotPaid*LoanIsGood,LoanValue,""), "")</f>
        <v>664695.78518520447</v>
      </c>
      <c r="E127" s="206">
        <f>IFERROR(IF(LoanIsNotPaid*LoanIsGood,MonthlyPayment,0), 0)</f>
        <v>5691.1875192575681</v>
      </c>
      <c r="F127" s="206">
        <f>IFERROR(IF(LoanIsNotPaid*LoanIsGood,Principal,0), 0)</f>
        <v>4583.361210615526</v>
      </c>
      <c r="G127" s="206">
        <f>SUM($F$17:F127)</f>
        <v>464887.57602539024</v>
      </c>
      <c r="H127" s="206">
        <f>IFERROR(IF(LoanIsNotPaid*LoanIsGood,InterestAmt,0), 0)</f>
        <v>1107.8263086420422</v>
      </c>
      <c r="I127" s="206">
        <f>SUM($H$17:H127)</f>
        <v>166834.2386121997</v>
      </c>
      <c r="J127" s="206">
        <f>IFERROR(IF(LoanIsNotPaid*LoanIsGood,EndingBalance,0), 0)</f>
        <v>660112.42397458886</v>
      </c>
      <c r="K127" s="178"/>
    </row>
    <row r="128" spans="1:11" ht="20.25" customHeight="1" x14ac:dyDescent="0.15">
      <c r="A128" s="178"/>
      <c r="B128" s="204">
        <f>IFERROR(IF(LoanIsNotPaid*LoanIsGood,PaymentNumber,""), "")</f>
        <v>112</v>
      </c>
      <c r="C128" s="205">
        <f>IFERROR(IF(LoanIsNotPaid*LoanIsGood,PaymentDate,LoanStartDate), LoanStartDate)</f>
        <v>49065</v>
      </c>
      <c r="D128" s="206">
        <f>IFERROR(IF(LoanIsNotPaid*LoanIsGood,LoanValue,""), "")</f>
        <v>660112.42397458886</v>
      </c>
      <c r="E128" s="206">
        <f>IFERROR(IF(LoanIsNotPaid*LoanIsGood,MonthlyPayment,0), 0)</f>
        <v>5691.1875192575681</v>
      </c>
      <c r="F128" s="206">
        <f>IFERROR(IF(LoanIsNotPaid*LoanIsGood,Principal,0), 0)</f>
        <v>4591.0001459665518</v>
      </c>
      <c r="G128" s="206">
        <f>SUM($F$17:F128)</f>
        <v>469478.57617135678</v>
      </c>
      <c r="H128" s="206">
        <f>IFERROR(IF(LoanIsNotPaid*LoanIsGood,InterestAmt,0), 0)</f>
        <v>1100.1873732910165</v>
      </c>
      <c r="I128" s="206">
        <f>SUM($H$17:H128)</f>
        <v>167934.4259854907</v>
      </c>
      <c r="J128" s="206">
        <f>IFERROR(IF(LoanIsNotPaid*LoanIsGood,EndingBalance,0), 0)</f>
        <v>655521.42382862186</v>
      </c>
      <c r="K128" s="178"/>
    </row>
    <row r="129" spans="1:11" ht="20.25" customHeight="1" x14ac:dyDescent="0.15">
      <c r="A129" s="178"/>
      <c r="B129" s="204">
        <f>IFERROR(IF(LoanIsNotPaid*LoanIsGood,PaymentNumber,""), "")</f>
        <v>113</v>
      </c>
      <c r="C129" s="205">
        <f>IFERROR(IF(LoanIsNotPaid*LoanIsGood,PaymentDate,LoanStartDate), LoanStartDate)</f>
        <v>49096</v>
      </c>
      <c r="D129" s="206">
        <f>IFERROR(IF(LoanIsNotPaid*LoanIsGood,LoanValue,""), "")</f>
        <v>655521.42382862186</v>
      </c>
      <c r="E129" s="206">
        <f>IFERROR(IF(LoanIsNotPaid*LoanIsGood,MonthlyPayment,0), 0)</f>
        <v>5691.1875192575681</v>
      </c>
      <c r="F129" s="206">
        <f>IFERROR(IF(LoanIsNotPaid*LoanIsGood,Principal,0), 0)</f>
        <v>4598.6518128764956</v>
      </c>
      <c r="G129" s="206">
        <f>SUM($F$17:F129)</f>
        <v>474077.22798423329</v>
      </c>
      <c r="H129" s="206">
        <f>IFERROR(IF(LoanIsNotPaid*LoanIsGood,InterestAmt,0), 0)</f>
        <v>1092.5357063810723</v>
      </c>
      <c r="I129" s="206">
        <f>SUM($H$17:H129)</f>
        <v>169026.96169187178</v>
      </c>
      <c r="J129" s="206">
        <f>IFERROR(IF(LoanIsNotPaid*LoanIsGood,EndingBalance,0), 0)</f>
        <v>650922.77201574529</v>
      </c>
      <c r="K129" s="178"/>
    </row>
    <row r="130" spans="1:11" ht="20.25" customHeight="1" x14ac:dyDescent="0.15">
      <c r="A130" s="178"/>
      <c r="B130" s="204">
        <f>IFERROR(IF(LoanIsNotPaid*LoanIsGood,PaymentNumber,""), "")</f>
        <v>114</v>
      </c>
      <c r="C130" s="205">
        <f>IFERROR(IF(LoanIsNotPaid*LoanIsGood,PaymentDate,LoanStartDate), LoanStartDate)</f>
        <v>49126</v>
      </c>
      <c r="D130" s="206">
        <f>IFERROR(IF(LoanIsNotPaid*LoanIsGood,LoanValue,""), "")</f>
        <v>650922.77201574529</v>
      </c>
      <c r="E130" s="206">
        <f>IFERROR(IF(LoanIsNotPaid*LoanIsGood,MonthlyPayment,0), 0)</f>
        <v>5691.1875192575681</v>
      </c>
      <c r="F130" s="206">
        <f>IFERROR(IF(LoanIsNotPaid*LoanIsGood,Principal,0), 0)</f>
        <v>4606.3162325646235</v>
      </c>
      <c r="G130" s="206">
        <f>SUM($F$17:F130)</f>
        <v>478683.54421679792</v>
      </c>
      <c r="H130" s="206">
        <f>IFERROR(IF(LoanIsNotPaid*LoanIsGood,InterestAmt,0), 0)</f>
        <v>1084.8712866929443</v>
      </c>
      <c r="I130" s="206">
        <f>SUM($H$17:H130)</f>
        <v>170111.83297856472</v>
      </c>
      <c r="J130" s="206">
        <f>IFERROR(IF(LoanIsNotPaid*LoanIsGood,EndingBalance,0), 0)</f>
        <v>646316.45578318078</v>
      </c>
      <c r="K130" s="178"/>
    </row>
    <row r="131" spans="1:11" ht="20.25" customHeight="1" x14ac:dyDescent="0.15">
      <c r="A131" s="178"/>
      <c r="B131" s="204">
        <f>IFERROR(IF(LoanIsNotPaid*LoanIsGood,PaymentNumber,""), "")</f>
        <v>115</v>
      </c>
      <c r="C131" s="205">
        <f>IFERROR(IF(LoanIsNotPaid*LoanIsGood,PaymentDate,LoanStartDate), LoanStartDate)</f>
        <v>49157</v>
      </c>
      <c r="D131" s="206">
        <f>IFERROR(IF(LoanIsNotPaid*LoanIsGood,LoanValue,""), "")</f>
        <v>646316.45578318078</v>
      </c>
      <c r="E131" s="206">
        <f>IFERROR(IF(LoanIsNotPaid*LoanIsGood,MonthlyPayment,0), 0)</f>
        <v>5691.1875192575681</v>
      </c>
      <c r="F131" s="206">
        <f>IFERROR(IF(LoanIsNotPaid*LoanIsGood,Principal,0), 0)</f>
        <v>4613.9934262855641</v>
      </c>
      <c r="G131" s="206">
        <f>SUM($F$17:F131)</f>
        <v>483297.53764308349</v>
      </c>
      <c r="H131" s="206">
        <f>IFERROR(IF(LoanIsNotPaid*LoanIsGood,InterestAmt,0), 0)</f>
        <v>1077.1940929720035</v>
      </c>
      <c r="I131" s="206">
        <f>SUM($H$17:H131)</f>
        <v>171189.02707153672</v>
      </c>
      <c r="J131" s="206">
        <f>IFERROR(IF(LoanIsNotPaid*LoanIsGood,EndingBalance,0), 0)</f>
        <v>641702.46235689451</v>
      </c>
      <c r="K131" s="178"/>
    </row>
    <row r="132" spans="1:11" ht="20.25" customHeight="1" x14ac:dyDescent="0.15">
      <c r="A132" s="178"/>
      <c r="B132" s="204">
        <f>IFERROR(IF(LoanIsNotPaid*LoanIsGood,PaymentNumber,""), "")</f>
        <v>116</v>
      </c>
      <c r="C132" s="205">
        <f>IFERROR(IF(LoanIsNotPaid*LoanIsGood,PaymentDate,LoanStartDate), LoanStartDate)</f>
        <v>49188</v>
      </c>
      <c r="D132" s="206">
        <f>IFERROR(IF(LoanIsNotPaid*LoanIsGood,LoanValue,""), "")</f>
        <v>641702.46235689451</v>
      </c>
      <c r="E132" s="206">
        <f>IFERROR(IF(LoanIsNotPaid*LoanIsGood,MonthlyPayment,0), 0)</f>
        <v>5691.1875192575681</v>
      </c>
      <c r="F132" s="206">
        <f>IFERROR(IF(LoanIsNotPaid*LoanIsGood,Principal,0), 0)</f>
        <v>4621.6834153293739</v>
      </c>
      <c r="G132" s="206">
        <f>SUM($F$17:F132)</f>
        <v>487919.22105841286</v>
      </c>
      <c r="H132" s="206">
        <f>IFERROR(IF(LoanIsNotPaid*LoanIsGood,InterestAmt,0), 0)</f>
        <v>1069.5041039281944</v>
      </c>
      <c r="I132" s="206">
        <f>SUM($H$17:H132)</f>
        <v>172258.53117546492</v>
      </c>
      <c r="J132" s="206">
        <f>IFERROR(IF(LoanIsNotPaid*LoanIsGood,EndingBalance,0), 0)</f>
        <v>637080.77894156519</v>
      </c>
      <c r="K132" s="178"/>
    </row>
    <row r="133" spans="1:11" ht="20.25" customHeight="1" x14ac:dyDescent="0.15">
      <c r="A133" s="178"/>
      <c r="B133" s="204">
        <f>IFERROR(IF(LoanIsNotPaid*LoanIsGood,PaymentNumber,""), "")</f>
        <v>117</v>
      </c>
      <c r="C133" s="205">
        <f>IFERROR(IF(LoanIsNotPaid*LoanIsGood,PaymentDate,LoanStartDate), LoanStartDate)</f>
        <v>49218</v>
      </c>
      <c r="D133" s="206">
        <f>IFERROR(IF(LoanIsNotPaid*LoanIsGood,LoanValue,""), "")</f>
        <v>637080.77894156519</v>
      </c>
      <c r="E133" s="206">
        <f>IFERROR(IF(LoanIsNotPaid*LoanIsGood,MonthlyPayment,0), 0)</f>
        <v>5691.1875192575681</v>
      </c>
      <c r="F133" s="206">
        <f>IFERROR(IF(LoanIsNotPaid*LoanIsGood,Principal,0), 0)</f>
        <v>4629.3862210215893</v>
      </c>
      <c r="G133" s="206">
        <f>SUM($F$17:F133)</f>
        <v>492548.60727943445</v>
      </c>
      <c r="H133" s="206">
        <f>IFERROR(IF(LoanIsNotPaid*LoanIsGood,InterestAmt,0), 0)</f>
        <v>1061.8012982359785</v>
      </c>
      <c r="I133" s="206">
        <f>SUM($H$17:H133)</f>
        <v>173320.3324737009</v>
      </c>
      <c r="J133" s="206">
        <f>IFERROR(IF(LoanIsNotPaid*LoanIsGood,EndingBalance,0), 0)</f>
        <v>632451.39272054308</v>
      </c>
      <c r="K133" s="178"/>
    </row>
    <row r="134" spans="1:11" ht="20.25" customHeight="1" x14ac:dyDescent="0.15">
      <c r="A134" s="178"/>
      <c r="B134" s="204">
        <f>IFERROR(IF(LoanIsNotPaid*LoanIsGood,PaymentNumber,""), "")</f>
        <v>118</v>
      </c>
      <c r="C134" s="205">
        <f>IFERROR(IF(LoanIsNotPaid*LoanIsGood,PaymentDate,LoanStartDate), LoanStartDate)</f>
        <v>49249</v>
      </c>
      <c r="D134" s="206">
        <f>IFERROR(IF(LoanIsNotPaid*LoanIsGood,LoanValue,""), "")</f>
        <v>632451.39272054308</v>
      </c>
      <c r="E134" s="206">
        <f>IFERROR(IF(LoanIsNotPaid*LoanIsGood,MonthlyPayment,0), 0)</f>
        <v>5691.1875192575681</v>
      </c>
      <c r="F134" s="206">
        <f>IFERROR(IF(LoanIsNotPaid*LoanIsGood,Principal,0), 0)</f>
        <v>4637.1018647232922</v>
      </c>
      <c r="G134" s="206">
        <f>SUM($F$17:F134)</f>
        <v>497185.70914415776</v>
      </c>
      <c r="H134" s="206">
        <f>IFERROR(IF(LoanIsNotPaid*LoanIsGood,InterestAmt,0), 0)</f>
        <v>1054.0856545342763</v>
      </c>
      <c r="I134" s="206">
        <f>SUM($H$17:H134)</f>
        <v>174374.41812823518</v>
      </c>
      <c r="J134" s="206">
        <f>IFERROR(IF(LoanIsNotPaid*LoanIsGood,EndingBalance,0), 0)</f>
        <v>627814.29085582017</v>
      </c>
      <c r="K134" s="178"/>
    </row>
    <row r="135" spans="1:11" ht="20.25" customHeight="1" x14ac:dyDescent="0.15">
      <c r="A135" s="178"/>
      <c r="B135" s="204">
        <f>IFERROR(IF(LoanIsNotPaid*LoanIsGood,PaymentNumber,""), "")</f>
        <v>119</v>
      </c>
      <c r="C135" s="205">
        <f>IFERROR(IF(LoanIsNotPaid*LoanIsGood,PaymentDate,LoanStartDate), LoanStartDate)</f>
        <v>49279</v>
      </c>
      <c r="D135" s="206">
        <f>IFERROR(IF(LoanIsNotPaid*LoanIsGood,LoanValue,""), "")</f>
        <v>627814.29085582017</v>
      </c>
      <c r="E135" s="206">
        <f>IFERROR(IF(LoanIsNotPaid*LoanIsGood,MonthlyPayment,0), 0)</f>
        <v>5691.1875192575681</v>
      </c>
      <c r="F135" s="206">
        <f>IFERROR(IF(LoanIsNotPaid*LoanIsGood,Principal,0), 0)</f>
        <v>4644.830367831164</v>
      </c>
      <c r="G135" s="206">
        <f>SUM($F$17:F135)</f>
        <v>501830.53951198893</v>
      </c>
      <c r="H135" s="206">
        <f>IFERROR(IF(LoanIsNotPaid*LoanIsGood,InterestAmt,0), 0)</f>
        <v>1046.3571514264038</v>
      </c>
      <c r="I135" s="206">
        <f>SUM($H$17:H135)</f>
        <v>175420.77527966158</v>
      </c>
      <c r="J135" s="206">
        <f>IFERROR(IF(LoanIsNotPaid*LoanIsGood,EndingBalance,0), 0)</f>
        <v>623169.46048798854</v>
      </c>
      <c r="K135" s="178"/>
    </row>
    <row r="136" spans="1:11" ht="20.25" customHeight="1" x14ac:dyDescent="0.15">
      <c r="A136" s="178"/>
      <c r="B136" s="204">
        <f>IFERROR(IF(LoanIsNotPaid*LoanIsGood,PaymentNumber,""), "")</f>
        <v>120</v>
      </c>
      <c r="C136" s="205">
        <f>IFERROR(IF(LoanIsNotPaid*LoanIsGood,PaymentDate,LoanStartDate), LoanStartDate)</f>
        <v>49310</v>
      </c>
      <c r="D136" s="206">
        <f>IFERROR(IF(LoanIsNotPaid*LoanIsGood,LoanValue,""), "")</f>
        <v>623169.46048798854</v>
      </c>
      <c r="E136" s="206">
        <f>IFERROR(IF(LoanIsNotPaid*LoanIsGood,MonthlyPayment,0), 0)</f>
        <v>5691.1875192575681</v>
      </c>
      <c r="F136" s="206">
        <f>IFERROR(IF(LoanIsNotPaid*LoanIsGood,Principal,0), 0)</f>
        <v>4652.5717517775493</v>
      </c>
      <c r="G136" s="206">
        <f>SUM($F$17:F136)</f>
        <v>506483.11126376648</v>
      </c>
      <c r="H136" s="206">
        <f>IFERROR(IF(LoanIsNotPaid*LoanIsGood,InterestAmt,0), 0)</f>
        <v>1038.6157674800186</v>
      </c>
      <c r="I136" s="206">
        <f>SUM($H$17:H136)</f>
        <v>176459.3910471416</v>
      </c>
      <c r="J136" s="206">
        <f>IFERROR(IF(LoanIsNotPaid*LoanIsGood,EndingBalance,0), 0)</f>
        <v>618516.8887362103</v>
      </c>
      <c r="K136" s="178"/>
    </row>
    <row r="137" spans="1:11" ht="20.25" customHeight="1" x14ac:dyDescent="0.15">
      <c r="A137" s="178"/>
      <c r="B137" s="204">
        <f>IFERROR(IF(LoanIsNotPaid*LoanIsGood,PaymentNumber,""), "")</f>
        <v>121</v>
      </c>
      <c r="C137" s="205">
        <f>IFERROR(IF(LoanIsNotPaid*LoanIsGood,PaymentDate,LoanStartDate), LoanStartDate)</f>
        <v>49341</v>
      </c>
      <c r="D137" s="206">
        <f>IFERROR(IF(LoanIsNotPaid*LoanIsGood,LoanValue,""), "")</f>
        <v>618516.8887362103</v>
      </c>
      <c r="E137" s="206">
        <f>IFERROR(IF(LoanIsNotPaid*LoanIsGood,MonthlyPayment,0), 0)</f>
        <v>5691.1875192575681</v>
      </c>
      <c r="F137" s="206">
        <f>IFERROR(IF(LoanIsNotPaid*LoanIsGood,Principal,0), 0)</f>
        <v>4660.3260380305119</v>
      </c>
      <c r="G137" s="206">
        <f>SUM($F$17:F137)</f>
        <v>511143.43730179698</v>
      </c>
      <c r="H137" s="206">
        <f>IFERROR(IF(LoanIsNotPaid*LoanIsGood,InterestAmt,0), 0)</f>
        <v>1030.8614812270559</v>
      </c>
      <c r="I137" s="206">
        <f>SUM($H$17:H137)</f>
        <v>177490.25252836867</v>
      </c>
      <c r="J137" s="206">
        <f>IFERROR(IF(LoanIsNotPaid*LoanIsGood,EndingBalance,0), 0)</f>
        <v>613856.56269817997</v>
      </c>
      <c r="K137" s="178"/>
    </row>
    <row r="138" spans="1:11" ht="15" customHeight="1" x14ac:dyDescent="0.15">
      <c r="A138" s="178"/>
      <c r="B138" s="204">
        <f>IFERROR(IF(LoanIsNotPaid*LoanIsGood,PaymentNumber,""), "")</f>
        <v>122</v>
      </c>
      <c r="C138" s="205">
        <f>IFERROR(IF(LoanIsNotPaid*LoanIsGood,PaymentDate,LoanStartDate), LoanStartDate)</f>
        <v>49369</v>
      </c>
      <c r="D138" s="206">
        <f>IFERROR(IF(LoanIsNotPaid*LoanIsGood,LoanValue,""), "")</f>
        <v>613856.56269817997</v>
      </c>
      <c r="E138" s="206">
        <f>IFERROR(IF(LoanIsNotPaid*LoanIsGood,MonthlyPayment,0), 0)</f>
        <v>5691.1875192575681</v>
      </c>
      <c r="F138" s="206">
        <f>IFERROR(IF(LoanIsNotPaid*LoanIsGood,Principal,0), 0)</f>
        <v>4668.0932480938973</v>
      </c>
      <c r="G138" s="206">
        <f>SUM($F$17:F138)</f>
        <v>515811.53054989089</v>
      </c>
      <c r="H138" s="206">
        <f>IFERROR(IF(LoanIsNotPaid*LoanIsGood,InterestAmt,0), 0)</f>
        <v>1023.0942711636718</v>
      </c>
      <c r="I138" s="206">
        <f>SUM($H$17:H138)</f>
        <v>178513.34679953233</v>
      </c>
      <c r="J138" s="206">
        <f>IFERROR(IF(LoanIsNotPaid*LoanIsGood,EndingBalance,0), 0)</f>
        <v>609188.46945008554</v>
      </c>
    </row>
    <row r="139" spans="1:11" ht="15" customHeight="1" x14ac:dyDescent="0.15">
      <c r="A139" s="178"/>
      <c r="B139" s="204">
        <f>IFERROR(IF(LoanIsNotPaid*LoanIsGood,PaymentNumber,""), "")</f>
        <v>123</v>
      </c>
      <c r="C139" s="205">
        <f>IFERROR(IF(LoanIsNotPaid*LoanIsGood,PaymentDate,LoanStartDate), LoanStartDate)</f>
        <v>49400</v>
      </c>
      <c r="D139" s="206">
        <f>IFERROR(IF(LoanIsNotPaid*LoanIsGood,LoanValue,""), "")</f>
        <v>609188.46945008554</v>
      </c>
      <c r="E139" s="206">
        <f>IFERROR(IF(LoanIsNotPaid*LoanIsGood,MonthlyPayment,0), 0)</f>
        <v>5691.1875192575681</v>
      </c>
      <c r="F139" s="206">
        <f>IFERROR(IF(LoanIsNotPaid*LoanIsGood,Principal,0), 0)</f>
        <v>4675.8734035073858</v>
      </c>
      <c r="G139" s="206">
        <f>SUM($F$17:F139)</f>
        <v>520487.40395339829</v>
      </c>
      <c r="H139" s="206">
        <f>IFERROR(IF(LoanIsNotPaid*LoanIsGood,InterestAmt,0), 0)</f>
        <v>1015.3141157501821</v>
      </c>
      <c r="I139" s="206">
        <f>SUM($H$17:H139)</f>
        <v>179528.66091528253</v>
      </c>
      <c r="J139" s="206">
        <f>IFERROR(IF(LoanIsNotPaid*LoanIsGood,EndingBalance,0), 0)</f>
        <v>604512.59604657791</v>
      </c>
    </row>
    <row r="140" spans="1:11" ht="15" customHeight="1" x14ac:dyDescent="0.15">
      <c r="A140" s="178"/>
      <c r="B140" s="204">
        <f>IFERROR(IF(LoanIsNotPaid*LoanIsGood,PaymentNumber,""), "")</f>
        <v>124</v>
      </c>
      <c r="C140" s="205">
        <f>IFERROR(IF(LoanIsNotPaid*LoanIsGood,PaymentDate,LoanStartDate), LoanStartDate)</f>
        <v>49430</v>
      </c>
      <c r="D140" s="206">
        <f>IFERROR(IF(LoanIsNotPaid*LoanIsGood,LoanValue,""), "")</f>
        <v>604512.59604657791</v>
      </c>
      <c r="E140" s="206">
        <f>IFERROR(IF(LoanIsNotPaid*LoanIsGood,MonthlyPayment,0), 0)</f>
        <v>5691.1875192575681</v>
      </c>
      <c r="F140" s="206">
        <f>IFERROR(IF(LoanIsNotPaid*LoanIsGood,Principal,0), 0)</f>
        <v>4683.6665258465646</v>
      </c>
      <c r="G140" s="206">
        <f>SUM($F$17:F140)</f>
        <v>525171.07047924481</v>
      </c>
      <c r="H140" s="206">
        <f>IFERROR(IF(LoanIsNotPaid*LoanIsGood,InterestAmt,0), 0)</f>
        <v>1007.5209934110032</v>
      </c>
      <c r="I140" s="206">
        <f>SUM($H$17:H140)</f>
        <v>180536.18190869354</v>
      </c>
      <c r="J140" s="206">
        <f>IFERROR(IF(LoanIsNotPaid*LoanIsGood,EndingBalance,0), 0)</f>
        <v>599828.92952073179</v>
      </c>
    </row>
    <row r="141" spans="1:11" ht="15" customHeight="1" x14ac:dyDescent="0.15">
      <c r="A141" s="178"/>
      <c r="B141" s="204">
        <f>IFERROR(IF(LoanIsNotPaid*LoanIsGood,PaymentNumber,""), "")</f>
        <v>125</v>
      </c>
      <c r="C141" s="205">
        <f>IFERROR(IF(LoanIsNotPaid*LoanIsGood,PaymentDate,LoanStartDate), LoanStartDate)</f>
        <v>49461</v>
      </c>
      <c r="D141" s="206">
        <f>IFERROR(IF(LoanIsNotPaid*LoanIsGood,LoanValue,""), "")</f>
        <v>599828.92952073179</v>
      </c>
      <c r="E141" s="206">
        <f>IFERROR(IF(LoanIsNotPaid*LoanIsGood,MonthlyPayment,0), 0)</f>
        <v>5691.1875192575681</v>
      </c>
      <c r="F141" s="206">
        <f>IFERROR(IF(LoanIsNotPaid*LoanIsGood,Principal,0), 0)</f>
        <v>4691.4726367229759</v>
      </c>
      <c r="G141" s="206">
        <f>SUM($F$17:F141)</f>
        <v>529862.54311596777</v>
      </c>
      <c r="H141" s="206">
        <f>IFERROR(IF(LoanIsNotPaid*LoanIsGood,InterestAmt,0), 0)</f>
        <v>999.71488253459199</v>
      </c>
      <c r="I141" s="206">
        <f>SUM($H$17:H141)</f>
        <v>181535.89679122812</v>
      </c>
      <c r="J141" s="206">
        <f>IFERROR(IF(LoanIsNotPaid*LoanIsGood,EndingBalance,0), 0)</f>
        <v>595137.4568840079</v>
      </c>
    </row>
    <row r="142" spans="1:11" ht="15" customHeight="1" x14ac:dyDescent="0.15">
      <c r="A142" s="178"/>
      <c r="B142" s="204">
        <f>IFERROR(IF(LoanIsNotPaid*LoanIsGood,PaymentNumber,""), "")</f>
        <v>126</v>
      </c>
      <c r="C142" s="205">
        <f>IFERROR(IF(LoanIsNotPaid*LoanIsGood,PaymentDate,LoanStartDate), LoanStartDate)</f>
        <v>49491</v>
      </c>
      <c r="D142" s="206">
        <f>IFERROR(IF(LoanIsNotPaid*LoanIsGood,LoanValue,""), "")</f>
        <v>595137.4568840079</v>
      </c>
      <c r="E142" s="206">
        <f>IFERROR(IF(LoanIsNotPaid*LoanIsGood,MonthlyPayment,0), 0)</f>
        <v>5691.1875192575681</v>
      </c>
      <c r="F142" s="206">
        <f>IFERROR(IF(LoanIsNotPaid*LoanIsGood,Principal,0), 0)</f>
        <v>4699.2917577841808</v>
      </c>
      <c r="G142" s="206">
        <f>SUM($F$17:F142)</f>
        <v>534561.83487375197</v>
      </c>
      <c r="H142" s="206">
        <f>IFERROR(IF(LoanIsNotPaid*LoanIsGood,InterestAmt,0), 0)</f>
        <v>991.89576147338687</v>
      </c>
      <c r="I142" s="206">
        <f>SUM($H$17:H142)</f>
        <v>182527.79255270152</v>
      </c>
      <c r="J142" s="206">
        <f>IFERROR(IF(LoanIsNotPaid*LoanIsGood,EndingBalance,0), 0)</f>
        <v>590438.16512622405</v>
      </c>
    </row>
    <row r="143" spans="1:11" ht="15" customHeight="1" x14ac:dyDescent="0.15">
      <c r="A143" s="178"/>
      <c r="B143" s="204">
        <f>IFERROR(IF(LoanIsNotPaid*LoanIsGood,PaymentNumber,""), "")</f>
        <v>127</v>
      </c>
      <c r="C143" s="205">
        <f>IFERROR(IF(LoanIsNotPaid*LoanIsGood,PaymentDate,LoanStartDate), LoanStartDate)</f>
        <v>49522</v>
      </c>
      <c r="D143" s="206">
        <f>IFERROR(IF(LoanIsNotPaid*LoanIsGood,LoanValue,""), "")</f>
        <v>590438.16512622405</v>
      </c>
      <c r="E143" s="206">
        <f>IFERROR(IF(LoanIsNotPaid*LoanIsGood,MonthlyPayment,0), 0)</f>
        <v>5691.1875192575681</v>
      </c>
      <c r="F143" s="206">
        <f>IFERROR(IF(LoanIsNotPaid*LoanIsGood,Principal,0), 0)</f>
        <v>4707.1239107138217</v>
      </c>
      <c r="G143" s="206">
        <f>SUM($F$17:F143)</f>
        <v>539268.95878446579</v>
      </c>
      <c r="H143" s="206">
        <f>IFERROR(IF(LoanIsNotPaid*LoanIsGood,InterestAmt,0), 0)</f>
        <v>984.0636085437468</v>
      </c>
      <c r="I143" s="206">
        <f>SUM($H$17:H143)</f>
        <v>183511.85616124526</v>
      </c>
      <c r="J143" s="206">
        <f>IFERROR(IF(LoanIsNotPaid*LoanIsGood,EndingBalance,0), 0)</f>
        <v>585731.04121550918</v>
      </c>
    </row>
    <row r="144" spans="1:11" ht="15" customHeight="1" x14ac:dyDescent="0.15">
      <c r="A144" s="178"/>
      <c r="B144" s="204">
        <f>IFERROR(IF(LoanIsNotPaid*LoanIsGood,PaymentNumber,""), "")</f>
        <v>128</v>
      </c>
      <c r="C144" s="205">
        <f>IFERROR(IF(LoanIsNotPaid*LoanIsGood,PaymentDate,LoanStartDate), LoanStartDate)</f>
        <v>49553</v>
      </c>
      <c r="D144" s="206">
        <f>IFERROR(IF(LoanIsNotPaid*LoanIsGood,LoanValue,""), "")</f>
        <v>585731.04121550918</v>
      </c>
      <c r="E144" s="206">
        <f>IFERROR(IF(LoanIsNotPaid*LoanIsGood,MonthlyPayment,0), 0)</f>
        <v>5691.1875192575681</v>
      </c>
      <c r="F144" s="206">
        <f>IFERROR(IF(LoanIsNotPaid*LoanIsGood,Principal,0), 0)</f>
        <v>4714.969117231677</v>
      </c>
      <c r="G144" s="206">
        <f>SUM($F$17:F144)</f>
        <v>543983.92790169746</v>
      </c>
      <c r="H144" s="206">
        <f>IFERROR(IF(LoanIsNotPaid*LoanIsGood,InterestAmt,0), 0)</f>
        <v>976.21840202589044</v>
      </c>
      <c r="I144" s="206">
        <f>SUM($H$17:H144)</f>
        <v>184488.07456327116</v>
      </c>
      <c r="J144" s="206">
        <f>IFERROR(IF(LoanIsNotPaid*LoanIsGood,EndingBalance,0), 0)</f>
        <v>581016.07209827751</v>
      </c>
    </row>
    <row r="145" spans="1:10" ht="15" customHeight="1" x14ac:dyDescent="0.15">
      <c r="A145" s="178"/>
      <c r="B145" s="204">
        <f>IFERROR(IF(LoanIsNotPaid*LoanIsGood,PaymentNumber,""), "")</f>
        <v>129</v>
      </c>
      <c r="C145" s="205">
        <f>IFERROR(IF(LoanIsNotPaid*LoanIsGood,PaymentDate,LoanStartDate), LoanStartDate)</f>
        <v>49583</v>
      </c>
      <c r="D145" s="206">
        <f>IFERROR(IF(LoanIsNotPaid*LoanIsGood,LoanValue,""), "")</f>
        <v>581016.07209827751</v>
      </c>
      <c r="E145" s="206">
        <f>IFERROR(IF(LoanIsNotPaid*LoanIsGood,MonthlyPayment,0), 0)</f>
        <v>5691.1875192575681</v>
      </c>
      <c r="F145" s="206">
        <f>IFERROR(IF(LoanIsNotPaid*LoanIsGood,Principal,0), 0)</f>
        <v>4722.8273990937305</v>
      </c>
      <c r="G145" s="206">
        <f>SUM($F$17:F145)</f>
        <v>548706.75530079124</v>
      </c>
      <c r="H145" s="206">
        <f>IFERROR(IF(LoanIsNotPaid*LoanIsGood,InterestAmt,0), 0)</f>
        <v>968.36012016383768</v>
      </c>
      <c r="I145" s="206">
        <f>SUM($H$17:H145)</f>
        <v>185456.43468343501</v>
      </c>
      <c r="J145" s="206">
        <f>IFERROR(IF(LoanIsNotPaid*LoanIsGood,EndingBalance,0), 0)</f>
        <v>576293.2446991835</v>
      </c>
    </row>
    <row r="146" spans="1:10" ht="15" customHeight="1" x14ac:dyDescent="0.15">
      <c r="A146" s="178"/>
      <c r="B146" s="204">
        <f>IFERROR(IF(LoanIsNotPaid*LoanIsGood,PaymentNumber,""), "")</f>
        <v>130</v>
      </c>
      <c r="C146" s="205">
        <f>IFERROR(IF(LoanIsNotPaid*LoanIsGood,PaymentDate,LoanStartDate), LoanStartDate)</f>
        <v>49614</v>
      </c>
      <c r="D146" s="206">
        <f>IFERROR(IF(LoanIsNotPaid*LoanIsGood,LoanValue,""), "")</f>
        <v>576293.2446991835</v>
      </c>
      <c r="E146" s="206">
        <f>IFERROR(IF(LoanIsNotPaid*LoanIsGood,MonthlyPayment,0), 0)</f>
        <v>5691.1875192575681</v>
      </c>
      <c r="F146" s="206">
        <f>IFERROR(IF(LoanIsNotPaid*LoanIsGood,Principal,0), 0)</f>
        <v>4730.69877809222</v>
      </c>
      <c r="G146" s="206">
        <f>SUM($F$17:F146)</f>
        <v>553437.4540788834</v>
      </c>
      <c r="H146" s="206">
        <f>IFERROR(IF(LoanIsNotPaid*LoanIsGood,InterestAmt,0), 0)</f>
        <v>960.48874116534796</v>
      </c>
      <c r="I146" s="206">
        <f>SUM($H$17:H146)</f>
        <v>186416.92342460036</v>
      </c>
      <c r="J146" s="206">
        <f>IFERROR(IF(LoanIsNotPaid*LoanIsGood,EndingBalance,0), 0)</f>
        <v>571562.54592109122</v>
      </c>
    </row>
    <row r="147" spans="1:10" ht="15" customHeight="1" x14ac:dyDescent="0.15">
      <c r="A147" s="178"/>
      <c r="B147" s="204">
        <f>IFERROR(IF(LoanIsNotPaid*LoanIsGood,PaymentNumber,""), "")</f>
        <v>131</v>
      </c>
      <c r="C147" s="205">
        <f>IFERROR(IF(LoanIsNotPaid*LoanIsGood,PaymentDate,LoanStartDate), LoanStartDate)</f>
        <v>49644</v>
      </c>
      <c r="D147" s="206">
        <f>IFERROR(IF(LoanIsNotPaid*LoanIsGood,LoanValue,""), "")</f>
        <v>571562.54592109122</v>
      </c>
      <c r="E147" s="206">
        <f>IFERROR(IF(LoanIsNotPaid*LoanIsGood,MonthlyPayment,0), 0)</f>
        <v>5691.1875192575681</v>
      </c>
      <c r="F147" s="206">
        <f>IFERROR(IF(LoanIsNotPaid*LoanIsGood,Principal,0), 0)</f>
        <v>4738.5832760557068</v>
      </c>
      <c r="G147" s="206">
        <f>SUM($F$17:F147)</f>
        <v>558176.03735493915</v>
      </c>
      <c r="H147" s="206">
        <f>IFERROR(IF(LoanIsNotPaid*LoanIsGood,InterestAmt,0), 0)</f>
        <v>952.6042432018611</v>
      </c>
      <c r="I147" s="206">
        <f>SUM($H$17:H147)</f>
        <v>187369.52766780223</v>
      </c>
      <c r="J147" s="206">
        <f>IFERROR(IF(LoanIsNotPaid*LoanIsGood,EndingBalance,0), 0)</f>
        <v>566823.96264503535</v>
      </c>
    </row>
    <row r="148" spans="1:10" ht="15" customHeight="1" x14ac:dyDescent="0.15">
      <c r="A148" s="178"/>
      <c r="B148" s="204">
        <f>IFERROR(IF(LoanIsNotPaid*LoanIsGood,PaymentNumber,""), "")</f>
        <v>132</v>
      </c>
      <c r="C148" s="205">
        <f>IFERROR(IF(LoanIsNotPaid*LoanIsGood,PaymentDate,LoanStartDate), LoanStartDate)</f>
        <v>49675</v>
      </c>
      <c r="D148" s="206">
        <f>IFERROR(IF(LoanIsNotPaid*LoanIsGood,LoanValue,""), "")</f>
        <v>566823.96264503535</v>
      </c>
      <c r="E148" s="206">
        <f>IFERROR(IF(LoanIsNotPaid*LoanIsGood,MonthlyPayment,0), 0)</f>
        <v>5691.1875192575681</v>
      </c>
      <c r="F148" s="206">
        <f>IFERROR(IF(LoanIsNotPaid*LoanIsGood,Principal,0), 0)</f>
        <v>4746.4809148491331</v>
      </c>
      <c r="G148" s="206">
        <f>SUM($F$17:F148)</f>
        <v>562922.51826978824</v>
      </c>
      <c r="H148" s="206">
        <f>IFERROR(IF(LoanIsNotPaid*LoanIsGood,InterestAmt,0), 0)</f>
        <v>944.70660440843483</v>
      </c>
      <c r="I148" s="206">
        <f>SUM($H$17:H148)</f>
        <v>188314.23427221066</v>
      </c>
      <c r="J148" s="206">
        <f>IFERROR(IF(LoanIsNotPaid*LoanIsGood,EndingBalance,0), 0)</f>
        <v>562077.48173018557</v>
      </c>
    </row>
    <row r="149" spans="1:10" ht="15" customHeight="1" x14ac:dyDescent="0.15">
      <c r="A149" s="178"/>
      <c r="B149" s="204">
        <f>IFERROR(IF(LoanIsNotPaid*LoanIsGood,PaymentNumber,""), "")</f>
        <v>133</v>
      </c>
      <c r="C149" s="205">
        <f>IFERROR(IF(LoanIsNotPaid*LoanIsGood,PaymentDate,LoanStartDate), LoanStartDate)</f>
        <v>49706</v>
      </c>
      <c r="D149" s="206">
        <f>IFERROR(IF(LoanIsNotPaid*LoanIsGood,LoanValue,""), "")</f>
        <v>562077.48173018557</v>
      </c>
      <c r="E149" s="206">
        <f>IFERROR(IF(LoanIsNotPaid*LoanIsGood,MonthlyPayment,0), 0)</f>
        <v>5691.1875192575681</v>
      </c>
      <c r="F149" s="206">
        <f>IFERROR(IF(LoanIsNotPaid*LoanIsGood,Principal,0), 0)</f>
        <v>4754.3917163738815</v>
      </c>
      <c r="G149" s="206">
        <f>SUM($F$17:F149)</f>
        <v>567676.90998616209</v>
      </c>
      <c r="H149" s="206">
        <f>IFERROR(IF(LoanIsNotPaid*LoanIsGood,InterestAmt,0), 0)</f>
        <v>936.79580288368629</v>
      </c>
      <c r="I149" s="206">
        <f>SUM($H$17:H149)</f>
        <v>189251.03007509434</v>
      </c>
      <c r="J149" s="206">
        <f>IFERROR(IF(LoanIsNotPaid*LoanIsGood,EndingBalance,0), 0)</f>
        <v>557323.09001381195</v>
      </c>
    </row>
    <row r="150" spans="1:10" ht="15" customHeight="1" x14ac:dyDescent="0.15">
      <c r="A150" s="178"/>
      <c r="B150" s="204">
        <f>IFERROR(IF(LoanIsNotPaid*LoanIsGood,PaymentNumber,""), "")</f>
        <v>134</v>
      </c>
      <c r="C150" s="205">
        <f>IFERROR(IF(LoanIsNotPaid*LoanIsGood,PaymentDate,LoanStartDate), LoanStartDate)</f>
        <v>49735</v>
      </c>
      <c r="D150" s="206">
        <f>IFERROR(IF(LoanIsNotPaid*LoanIsGood,LoanValue,""), "")</f>
        <v>557323.09001381195</v>
      </c>
      <c r="E150" s="206">
        <f>IFERROR(IF(LoanIsNotPaid*LoanIsGood,MonthlyPayment,0), 0)</f>
        <v>5691.1875192575681</v>
      </c>
      <c r="F150" s="206">
        <f>IFERROR(IF(LoanIsNotPaid*LoanIsGood,Principal,0), 0)</f>
        <v>4762.3157025678383</v>
      </c>
      <c r="G150" s="206">
        <f>SUM($F$17:F150)</f>
        <v>572439.2256887299</v>
      </c>
      <c r="H150" s="206">
        <f>IFERROR(IF(LoanIsNotPaid*LoanIsGood,InterestAmt,0), 0)</f>
        <v>928.87181668972994</v>
      </c>
      <c r="I150" s="206">
        <f>SUM($H$17:H150)</f>
        <v>190179.90189178407</v>
      </c>
      <c r="J150" s="206">
        <f>IFERROR(IF(LoanIsNotPaid*LoanIsGood,EndingBalance,0), 0)</f>
        <v>552560.77431124402</v>
      </c>
    </row>
    <row r="151" spans="1:10" ht="15" customHeight="1" x14ac:dyDescent="0.15">
      <c r="A151" s="178"/>
      <c r="B151" s="204">
        <f>IFERROR(IF(LoanIsNotPaid*LoanIsGood,PaymentNumber,""), "")</f>
        <v>135</v>
      </c>
      <c r="C151" s="205">
        <f>IFERROR(IF(LoanIsNotPaid*LoanIsGood,PaymentDate,LoanStartDate), LoanStartDate)</f>
        <v>49766</v>
      </c>
      <c r="D151" s="206">
        <f>IFERROR(IF(LoanIsNotPaid*LoanIsGood,LoanValue,""), "")</f>
        <v>552560.77431124402</v>
      </c>
      <c r="E151" s="206">
        <f>IFERROR(IF(LoanIsNotPaid*LoanIsGood,MonthlyPayment,0), 0)</f>
        <v>5691.1875192575681</v>
      </c>
      <c r="F151" s="206">
        <f>IFERROR(IF(LoanIsNotPaid*LoanIsGood,Principal,0), 0)</f>
        <v>4770.2528954054515</v>
      </c>
      <c r="G151" s="206">
        <f>SUM($F$17:F151)</f>
        <v>577209.4785841353</v>
      </c>
      <c r="H151" s="206">
        <f>IFERROR(IF(LoanIsNotPaid*LoanIsGood,InterestAmt,0), 0)</f>
        <v>920.93462385211672</v>
      </c>
      <c r="I151" s="206">
        <f>SUM($H$17:H151)</f>
        <v>191100.83651563618</v>
      </c>
      <c r="J151" s="206">
        <f>IFERROR(IF(LoanIsNotPaid*LoanIsGood,EndingBalance,0), 0)</f>
        <v>547790.52141583827</v>
      </c>
    </row>
    <row r="152" spans="1:10" ht="15" customHeight="1" x14ac:dyDescent="0.15">
      <c r="A152" s="178"/>
      <c r="B152" s="204">
        <f>IFERROR(IF(LoanIsNotPaid*LoanIsGood,PaymentNumber,""), "")</f>
        <v>136</v>
      </c>
      <c r="C152" s="205">
        <f>IFERROR(IF(LoanIsNotPaid*LoanIsGood,PaymentDate,LoanStartDate), LoanStartDate)</f>
        <v>49796</v>
      </c>
      <c r="D152" s="206">
        <f>IFERROR(IF(LoanIsNotPaid*LoanIsGood,LoanValue,""), "")</f>
        <v>547790.52141583827</v>
      </c>
      <c r="E152" s="206">
        <f>IFERROR(IF(LoanIsNotPaid*LoanIsGood,MonthlyPayment,0), 0)</f>
        <v>5691.1875192575681</v>
      </c>
      <c r="F152" s="206">
        <f>IFERROR(IF(LoanIsNotPaid*LoanIsGood,Principal,0), 0)</f>
        <v>4778.2033168977932</v>
      </c>
      <c r="G152" s="206">
        <f>SUM($F$17:F152)</f>
        <v>581987.68190103304</v>
      </c>
      <c r="H152" s="206">
        <f>IFERROR(IF(LoanIsNotPaid*LoanIsGood,InterestAmt,0), 0)</f>
        <v>912.98420235977437</v>
      </c>
      <c r="I152" s="206">
        <f>SUM($H$17:H152)</f>
        <v>192013.82071799596</v>
      </c>
      <c r="J152" s="206">
        <f>IFERROR(IF(LoanIsNotPaid*LoanIsGood,EndingBalance,0), 0)</f>
        <v>543012.31809893972</v>
      </c>
    </row>
    <row r="153" spans="1:10" ht="15" customHeight="1" x14ac:dyDescent="0.15">
      <c r="A153" s="178"/>
      <c r="B153" s="204">
        <f>IFERROR(IF(LoanIsNotPaid*LoanIsGood,PaymentNumber,""), "")</f>
        <v>137</v>
      </c>
      <c r="C153" s="205">
        <f>IFERROR(IF(LoanIsNotPaid*LoanIsGood,PaymentDate,LoanStartDate), LoanStartDate)</f>
        <v>49827</v>
      </c>
      <c r="D153" s="206">
        <f>IFERROR(IF(LoanIsNotPaid*LoanIsGood,LoanValue,""), "")</f>
        <v>543012.31809893972</v>
      </c>
      <c r="E153" s="206">
        <f>IFERROR(IF(LoanIsNotPaid*LoanIsGood,MonthlyPayment,0), 0)</f>
        <v>5691.1875192575681</v>
      </c>
      <c r="F153" s="206">
        <f>IFERROR(IF(LoanIsNotPaid*LoanIsGood,Principal,0), 0)</f>
        <v>4786.1669890926241</v>
      </c>
      <c r="G153" s="206">
        <f>SUM($F$17:F153)</f>
        <v>586773.84889012564</v>
      </c>
      <c r="H153" s="206">
        <f>IFERROR(IF(LoanIsNotPaid*LoanIsGood,InterestAmt,0), 0)</f>
        <v>905.02053016494483</v>
      </c>
      <c r="I153" s="206">
        <f>SUM($H$17:H153)</f>
        <v>192918.8412481609</v>
      </c>
      <c r="J153" s="206">
        <f>IFERROR(IF(LoanIsNotPaid*LoanIsGood,EndingBalance,0), 0)</f>
        <v>538226.15110984747</v>
      </c>
    </row>
    <row r="154" spans="1:10" ht="15" customHeight="1" x14ac:dyDescent="0.15">
      <c r="A154" s="178"/>
      <c r="B154" s="204">
        <f>IFERROR(IF(LoanIsNotPaid*LoanIsGood,PaymentNumber,""), "")</f>
        <v>138</v>
      </c>
      <c r="C154" s="205">
        <f>IFERROR(IF(LoanIsNotPaid*LoanIsGood,PaymentDate,LoanStartDate), LoanStartDate)</f>
        <v>49857</v>
      </c>
      <c r="D154" s="206">
        <f>IFERROR(IF(LoanIsNotPaid*LoanIsGood,LoanValue,""), "")</f>
        <v>538226.15110984747</v>
      </c>
      <c r="E154" s="206">
        <f>IFERROR(IF(LoanIsNotPaid*LoanIsGood,MonthlyPayment,0), 0)</f>
        <v>5691.1875192575681</v>
      </c>
      <c r="F154" s="206">
        <f>IFERROR(IF(LoanIsNotPaid*LoanIsGood,Principal,0), 0)</f>
        <v>4794.1439340744446</v>
      </c>
      <c r="G154" s="206">
        <f>SUM($F$17:F154)</f>
        <v>591567.99282420008</v>
      </c>
      <c r="H154" s="206">
        <f>IFERROR(IF(LoanIsNotPaid*LoanIsGood,InterestAmt,0), 0)</f>
        <v>897.04358518312358</v>
      </c>
      <c r="I154" s="206">
        <f>SUM($H$17:H154)</f>
        <v>193815.88483334403</v>
      </c>
      <c r="J154" s="206">
        <f>IFERROR(IF(LoanIsNotPaid*LoanIsGood,EndingBalance,0), 0)</f>
        <v>533432.00717577257</v>
      </c>
    </row>
    <row r="155" spans="1:10" ht="15" customHeight="1" x14ac:dyDescent="0.15">
      <c r="A155" s="178"/>
      <c r="B155" s="204">
        <f>IFERROR(IF(LoanIsNotPaid*LoanIsGood,PaymentNumber,""), "")</f>
        <v>139</v>
      </c>
      <c r="C155" s="205">
        <f>IFERROR(IF(LoanIsNotPaid*LoanIsGood,PaymentDate,LoanStartDate), LoanStartDate)</f>
        <v>49888</v>
      </c>
      <c r="D155" s="206">
        <f>IFERROR(IF(LoanIsNotPaid*LoanIsGood,LoanValue,""), "")</f>
        <v>533432.00717577257</v>
      </c>
      <c r="E155" s="206">
        <f>IFERROR(IF(LoanIsNotPaid*LoanIsGood,MonthlyPayment,0), 0)</f>
        <v>5691.1875192575681</v>
      </c>
      <c r="F155" s="206">
        <f>IFERROR(IF(LoanIsNotPaid*LoanIsGood,Principal,0), 0)</f>
        <v>4802.1341739645686</v>
      </c>
      <c r="G155" s="206">
        <f>SUM($F$17:F155)</f>
        <v>596370.12699816469</v>
      </c>
      <c r="H155" s="206">
        <f>IFERROR(IF(LoanIsNotPaid*LoanIsGood,InterestAmt,0), 0)</f>
        <v>889.05334529299978</v>
      </c>
      <c r="I155" s="206">
        <f>SUM($H$17:H155)</f>
        <v>194704.93817863704</v>
      </c>
      <c r="J155" s="206">
        <f>IFERROR(IF(LoanIsNotPaid*LoanIsGood,EndingBalance,0), 0)</f>
        <v>528629.87300180749</v>
      </c>
    </row>
    <row r="156" spans="1:10" ht="15" customHeight="1" x14ac:dyDescent="0.15">
      <c r="A156" s="178"/>
      <c r="B156" s="204">
        <f>IFERROR(IF(LoanIsNotPaid*LoanIsGood,PaymentNumber,""), "")</f>
        <v>140</v>
      </c>
      <c r="C156" s="205">
        <f>IFERROR(IF(LoanIsNotPaid*LoanIsGood,PaymentDate,LoanStartDate), LoanStartDate)</f>
        <v>49919</v>
      </c>
      <c r="D156" s="206">
        <f>IFERROR(IF(LoanIsNotPaid*LoanIsGood,LoanValue,""), "")</f>
        <v>528629.87300180749</v>
      </c>
      <c r="E156" s="206">
        <f>IFERROR(IF(LoanIsNotPaid*LoanIsGood,MonthlyPayment,0), 0)</f>
        <v>5691.1875192575681</v>
      </c>
      <c r="F156" s="206">
        <f>IFERROR(IF(LoanIsNotPaid*LoanIsGood,Principal,0), 0)</f>
        <v>4810.1377309211766</v>
      </c>
      <c r="G156" s="206">
        <f>SUM($F$17:F156)</f>
        <v>601180.26472908584</v>
      </c>
      <c r="H156" s="206">
        <f>IFERROR(IF(LoanIsNotPaid*LoanIsGood,InterestAmt,0), 0)</f>
        <v>881.049788336392</v>
      </c>
      <c r="I156" s="206">
        <f>SUM($H$17:H156)</f>
        <v>195585.98796697342</v>
      </c>
      <c r="J156" s="206">
        <f>IFERROR(IF(LoanIsNotPaid*LoanIsGood,EndingBalance,0), 0)</f>
        <v>523819.73527088633</v>
      </c>
    </row>
    <row r="157" spans="1:10" ht="15" customHeight="1" x14ac:dyDescent="0.15">
      <c r="A157" s="178"/>
      <c r="B157" s="204">
        <f>IFERROR(IF(LoanIsNotPaid*LoanIsGood,PaymentNumber,""), "")</f>
        <v>141</v>
      </c>
      <c r="C157" s="205">
        <f>IFERROR(IF(LoanIsNotPaid*LoanIsGood,PaymentDate,LoanStartDate), LoanStartDate)</f>
        <v>49949</v>
      </c>
      <c r="D157" s="206">
        <f>IFERROR(IF(LoanIsNotPaid*LoanIsGood,LoanValue,""), "")</f>
        <v>523819.73527088633</v>
      </c>
      <c r="E157" s="206">
        <f>IFERROR(IF(LoanIsNotPaid*LoanIsGood,MonthlyPayment,0), 0)</f>
        <v>5691.1875192575681</v>
      </c>
      <c r="F157" s="206">
        <f>IFERROR(IF(LoanIsNotPaid*LoanIsGood,Principal,0), 0)</f>
        <v>4818.1546271393781</v>
      </c>
      <c r="G157" s="206">
        <f>SUM($F$17:F157)</f>
        <v>605998.41935622517</v>
      </c>
      <c r="H157" s="206">
        <f>IFERROR(IF(LoanIsNotPaid*LoanIsGood,InterestAmt,0), 0)</f>
        <v>873.03289211819003</v>
      </c>
      <c r="I157" s="206">
        <f>SUM($H$17:H157)</f>
        <v>196459.0208590916</v>
      </c>
      <c r="J157" s="206">
        <f>IFERROR(IF(LoanIsNotPaid*LoanIsGood,EndingBalance,0), 0)</f>
        <v>519001.58064374665</v>
      </c>
    </row>
    <row r="158" spans="1:10" ht="15" customHeight="1" x14ac:dyDescent="0.15">
      <c r="A158" s="178"/>
      <c r="B158" s="204">
        <f>IFERROR(IF(LoanIsNotPaid*LoanIsGood,PaymentNumber,""), "")</f>
        <v>142</v>
      </c>
      <c r="C158" s="205">
        <f>IFERROR(IF(LoanIsNotPaid*LoanIsGood,PaymentDate,LoanStartDate), LoanStartDate)</f>
        <v>49980</v>
      </c>
      <c r="D158" s="206">
        <f>IFERROR(IF(LoanIsNotPaid*LoanIsGood,LoanValue,""), "")</f>
        <v>519001.58064374665</v>
      </c>
      <c r="E158" s="206">
        <f>IFERROR(IF(LoanIsNotPaid*LoanIsGood,MonthlyPayment,0), 0)</f>
        <v>5691.1875192575681</v>
      </c>
      <c r="F158" s="206">
        <f>IFERROR(IF(LoanIsNotPaid*LoanIsGood,Principal,0), 0)</f>
        <v>4826.1848848512773</v>
      </c>
      <c r="G158" s="206">
        <f>SUM($F$17:F158)</f>
        <v>610824.60424107651</v>
      </c>
      <c r="H158" s="206">
        <f>IFERROR(IF(LoanIsNotPaid*LoanIsGood,InterestAmt,0), 0)</f>
        <v>865.00263440629089</v>
      </c>
      <c r="I158" s="206">
        <f>SUM($H$17:H158)</f>
        <v>197324.02349349789</v>
      </c>
      <c r="J158" s="206">
        <f>IFERROR(IF(LoanIsNotPaid*LoanIsGood,EndingBalance,0), 0)</f>
        <v>514175.39575889485</v>
      </c>
    </row>
    <row r="159" spans="1:10" ht="15" customHeight="1" x14ac:dyDescent="0.15">
      <c r="A159" s="178"/>
      <c r="B159" s="204">
        <f>IFERROR(IF(LoanIsNotPaid*LoanIsGood,PaymentNumber,""), "")</f>
        <v>143</v>
      </c>
      <c r="C159" s="205">
        <f>IFERROR(IF(LoanIsNotPaid*LoanIsGood,PaymentDate,LoanStartDate), LoanStartDate)</f>
        <v>50010</v>
      </c>
      <c r="D159" s="206">
        <f>IFERROR(IF(LoanIsNotPaid*LoanIsGood,LoanValue,""), "")</f>
        <v>514175.39575889485</v>
      </c>
      <c r="E159" s="206">
        <f>IFERROR(IF(LoanIsNotPaid*LoanIsGood,MonthlyPayment,0), 0)</f>
        <v>5691.1875192575681</v>
      </c>
      <c r="F159" s="206">
        <f>IFERROR(IF(LoanIsNotPaid*LoanIsGood,Principal,0), 0)</f>
        <v>4834.2285263260292</v>
      </c>
      <c r="G159" s="206">
        <f>SUM($F$17:F159)</f>
        <v>615658.83276740252</v>
      </c>
      <c r="H159" s="206">
        <f>IFERROR(IF(LoanIsNotPaid*LoanIsGood,InterestAmt,0), 0)</f>
        <v>856.95899293153889</v>
      </c>
      <c r="I159" s="206">
        <f>SUM($H$17:H159)</f>
        <v>198180.98248642942</v>
      </c>
      <c r="J159" s="206">
        <f>IFERROR(IF(LoanIsNotPaid*LoanIsGood,EndingBalance,0), 0)</f>
        <v>509341.16723256896</v>
      </c>
    </row>
    <row r="160" spans="1:10" ht="15" customHeight="1" x14ac:dyDescent="0.15">
      <c r="A160" s="178"/>
      <c r="B160" s="204">
        <f>IFERROR(IF(LoanIsNotPaid*LoanIsGood,PaymentNumber,""), "")</f>
        <v>144</v>
      </c>
      <c r="C160" s="205">
        <f>IFERROR(IF(LoanIsNotPaid*LoanIsGood,PaymentDate,LoanStartDate), LoanStartDate)</f>
        <v>50041</v>
      </c>
      <c r="D160" s="206">
        <f>IFERROR(IF(LoanIsNotPaid*LoanIsGood,LoanValue,""), "")</f>
        <v>509341.16723256896</v>
      </c>
      <c r="E160" s="206">
        <f>IFERROR(IF(LoanIsNotPaid*LoanIsGood,MonthlyPayment,0), 0)</f>
        <v>5691.1875192575681</v>
      </c>
      <c r="F160" s="206">
        <f>IFERROR(IF(LoanIsNotPaid*LoanIsGood,Principal,0), 0)</f>
        <v>4842.2855738699063</v>
      </c>
      <c r="G160" s="206">
        <f>SUM($F$17:F160)</f>
        <v>620501.11834127246</v>
      </c>
      <c r="H160" s="206">
        <f>IFERROR(IF(LoanIsNotPaid*LoanIsGood,InterestAmt,0), 0)</f>
        <v>848.90194538766218</v>
      </c>
      <c r="I160" s="206">
        <f>SUM($H$17:H160)</f>
        <v>199029.88443181707</v>
      </c>
      <c r="J160" s="206">
        <f>IFERROR(IF(LoanIsNotPaid*LoanIsGood,EndingBalance,0), 0)</f>
        <v>504498.88165869832</v>
      </c>
    </row>
    <row r="161" spans="1:10" ht="15" customHeight="1" x14ac:dyDescent="0.15">
      <c r="A161" s="178"/>
      <c r="B161" s="204">
        <f>IFERROR(IF(LoanIsNotPaid*LoanIsGood,PaymentNumber,""), "")</f>
        <v>145</v>
      </c>
      <c r="C161" s="205">
        <f>IFERROR(IF(LoanIsNotPaid*LoanIsGood,PaymentDate,LoanStartDate), LoanStartDate)</f>
        <v>50072</v>
      </c>
      <c r="D161" s="206">
        <f>IFERROR(IF(LoanIsNotPaid*LoanIsGood,LoanValue,""), "")</f>
        <v>504498.88165869832</v>
      </c>
      <c r="E161" s="206">
        <f>IFERROR(IF(LoanIsNotPaid*LoanIsGood,MonthlyPayment,0), 0)</f>
        <v>5691.1875192575681</v>
      </c>
      <c r="F161" s="206">
        <f>IFERROR(IF(LoanIsNotPaid*LoanIsGood,Principal,0), 0)</f>
        <v>4850.356049826356</v>
      </c>
      <c r="G161" s="206">
        <f>SUM($F$17:F161)</f>
        <v>625351.47439109883</v>
      </c>
      <c r="H161" s="206">
        <f>IFERROR(IF(LoanIsNotPaid*LoanIsGood,InterestAmt,0), 0)</f>
        <v>840.83146943121244</v>
      </c>
      <c r="I161" s="206">
        <f>SUM($H$17:H161)</f>
        <v>199870.71590124827</v>
      </c>
      <c r="J161" s="206">
        <f>IFERROR(IF(LoanIsNotPaid*LoanIsGood,EndingBalance,0), 0)</f>
        <v>499648.52560887218</v>
      </c>
    </row>
    <row r="162" spans="1:10" ht="15" customHeight="1" x14ac:dyDescent="0.15">
      <c r="A162" s="178"/>
      <c r="B162" s="204">
        <f>IFERROR(IF(LoanIsNotPaid*LoanIsGood,PaymentNumber,""), "")</f>
        <v>146</v>
      </c>
      <c r="C162" s="205">
        <f>IFERROR(IF(LoanIsNotPaid*LoanIsGood,PaymentDate,LoanStartDate), LoanStartDate)</f>
        <v>50100</v>
      </c>
      <c r="D162" s="206">
        <f>IFERROR(IF(LoanIsNotPaid*LoanIsGood,LoanValue,""), "")</f>
        <v>499648.52560887218</v>
      </c>
      <c r="E162" s="206">
        <f>IFERROR(IF(LoanIsNotPaid*LoanIsGood,MonthlyPayment,0), 0)</f>
        <v>5691.1875192575681</v>
      </c>
      <c r="F162" s="206">
        <f>IFERROR(IF(LoanIsNotPaid*LoanIsGood,Principal,0), 0)</f>
        <v>4858.4399765760663</v>
      </c>
      <c r="G162" s="206">
        <f>SUM($F$17:F162)</f>
        <v>630209.91436767485</v>
      </c>
      <c r="H162" s="206">
        <f>IFERROR(IF(LoanIsNotPaid*LoanIsGood,InterestAmt,0), 0)</f>
        <v>832.74754268150184</v>
      </c>
      <c r="I162" s="206">
        <f>SUM($H$17:H162)</f>
        <v>200703.46344392977</v>
      </c>
      <c r="J162" s="206">
        <f>IFERROR(IF(LoanIsNotPaid*LoanIsGood,EndingBalance,0), 0)</f>
        <v>494790.0856322957</v>
      </c>
    </row>
    <row r="163" spans="1:10" ht="15" customHeight="1" x14ac:dyDescent="0.15">
      <c r="A163" s="178"/>
      <c r="B163" s="204">
        <f>IFERROR(IF(LoanIsNotPaid*LoanIsGood,PaymentNumber,""), "")</f>
        <v>147</v>
      </c>
      <c r="C163" s="205">
        <f>IFERROR(IF(LoanIsNotPaid*LoanIsGood,PaymentDate,LoanStartDate), LoanStartDate)</f>
        <v>50131</v>
      </c>
      <c r="D163" s="206">
        <f>IFERROR(IF(LoanIsNotPaid*LoanIsGood,LoanValue,""), "")</f>
        <v>494790.0856322957</v>
      </c>
      <c r="E163" s="206">
        <f>IFERROR(IF(LoanIsNotPaid*LoanIsGood,MonthlyPayment,0), 0)</f>
        <v>5691.1875192575681</v>
      </c>
      <c r="F163" s="206">
        <f>IFERROR(IF(LoanIsNotPaid*LoanIsGood,Principal,0), 0)</f>
        <v>4866.5373765370259</v>
      </c>
      <c r="G163" s="206">
        <f>SUM($F$17:F163)</f>
        <v>635076.45174421184</v>
      </c>
      <c r="H163" s="206">
        <f>IFERROR(IF(LoanIsNotPaid*LoanIsGood,InterestAmt,0), 0)</f>
        <v>824.65014272054168</v>
      </c>
      <c r="I163" s="206">
        <f>SUM($H$17:H163)</f>
        <v>201528.11358665032</v>
      </c>
      <c r="J163" s="206">
        <f>IFERROR(IF(LoanIsNotPaid*LoanIsGood,EndingBalance,0), 0)</f>
        <v>489923.54825575836</v>
      </c>
    </row>
    <row r="164" spans="1:10" ht="15" customHeight="1" x14ac:dyDescent="0.15">
      <c r="A164" s="178"/>
      <c r="B164" s="204">
        <f>IFERROR(IF(LoanIsNotPaid*LoanIsGood,PaymentNumber,""), "")</f>
        <v>148</v>
      </c>
      <c r="C164" s="205">
        <f>IFERROR(IF(LoanIsNotPaid*LoanIsGood,PaymentDate,LoanStartDate), LoanStartDate)</f>
        <v>50161</v>
      </c>
      <c r="D164" s="206">
        <f>IFERROR(IF(LoanIsNotPaid*LoanIsGood,LoanValue,""), "")</f>
        <v>489923.54825575836</v>
      </c>
      <c r="E164" s="206">
        <f>IFERROR(IF(LoanIsNotPaid*LoanIsGood,MonthlyPayment,0), 0)</f>
        <v>5691.1875192575681</v>
      </c>
      <c r="F164" s="206">
        <f>IFERROR(IF(LoanIsNotPaid*LoanIsGood,Principal,0), 0)</f>
        <v>4874.648272164588</v>
      </c>
      <c r="G164" s="206">
        <f>SUM($F$17:F164)</f>
        <v>639951.10001637647</v>
      </c>
      <c r="H164" s="206">
        <f>IFERROR(IF(LoanIsNotPaid*LoanIsGood,InterestAmt,0), 0)</f>
        <v>816.53924709297985</v>
      </c>
      <c r="I164" s="206">
        <f>SUM($H$17:H164)</f>
        <v>202344.65283374328</v>
      </c>
      <c r="J164" s="206">
        <f>IFERROR(IF(LoanIsNotPaid*LoanIsGood,EndingBalance,0), 0)</f>
        <v>485048.89998359373</v>
      </c>
    </row>
    <row r="165" spans="1:10" ht="15" customHeight="1" x14ac:dyDescent="0.15">
      <c r="A165" s="178"/>
      <c r="B165" s="204">
        <f>IFERROR(IF(LoanIsNotPaid*LoanIsGood,PaymentNumber,""), "")</f>
        <v>149</v>
      </c>
      <c r="C165" s="205">
        <f>IFERROR(IF(LoanIsNotPaid*LoanIsGood,PaymentDate,LoanStartDate), LoanStartDate)</f>
        <v>50192</v>
      </c>
      <c r="D165" s="206">
        <f>IFERROR(IF(LoanIsNotPaid*LoanIsGood,LoanValue,""), "")</f>
        <v>485048.89998359373</v>
      </c>
      <c r="E165" s="206">
        <f>IFERROR(IF(LoanIsNotPaid*LoanIsGood,MonthlyPayment,0), 0)</f>
        <v>5691.1875192575681</v>
      </c>
      <c r="F165" s="206">
        <f>IFERROR(IF(LoanIsNotPaid*LoanIsGood,Principal,0), 0)</f>
        <v>4882.7726859515296</v>
      </c>
      <c r="G165" s="206">
        <f>SUM($F$17:F165)</f>
        <v>644833.87270232802</v>
      </c>
      <c r="H165" s="206">
        <f>IFERROR(IF(LoanIsNotPaid*LoanIsGood,InterestAmt,0), 0)</f>
        <v>808.41483330603899</v>
      </c>
      <c r="I165" s="206">
        <f>SUM($H$17:H165)</f>
        <v>203153.06766704933</v>
      </c>
      <c r="J165" s="206">
        <f>IFERROR(IF(LoanIsNotPaid*LoanIsGood,EndingBalance,0), 0)</f>
        <v>480166.12729764159</v>
      </c>
    </row>
    <row r="166" spans="1:10" ht="15" customHeight="1" x14ac:dyDescent="0.15">
      <c r="A166" s="178"/>
      <c r="B166" s="204">
        <f>IFERROR(IF(LoanIsNotPaid*LoanIsGood,PaymentNumber,""), "")</f>
        <v>150</v>
      </c>
      <c r="C166" s="205">
        <f>IFERROR(IF(LoanIsNotPaid*LoanIsGood,PaymentDate,LoanStartDate), LoanStartDate)</f>
        <v>50222</v>
      </c>
      <c r="D166" s="206">
        <f>IFERROR(IF(LoanIsNotPaid*LoanIsGood,LoanValue,""), "")</f>
        <v>480166.12729764159</v>
      </c>
      <c r="E166" s="206">
        <f>IFERROR(IF(LoanIsNotPaid*LoanIsGood,MonthlyPayment,0), 0)</f>
        <v>5691.1875192575681</v>
      </c>
      <c r="F166" s="206">
        <f>IFERROR(IF(LoanIsNotPaid*LoanIsGood,Principal,0), 0)</f>
        <v>4890.9106404281147</v>
      </c>
      <c r="G166" s="206">
        <f>SUM($F$17:F166)</f>
        <v>649724.7833427561</v>
      </c>
      <c r="H166" s="206">
        <f>IFERROR(IF(LoanIsNotPaid*LoanIsGood,InterestAmt,0), 0)</f>
        <v>800.27687882945304</v>
      </c>
      <c r="I166" s="206">
        <f>SUM($H$17:H166)</f>
        <v>203953.34454587879</v>
      </c>
      <c r="J166" s="206">
        <f>IFERROR(IF(LoanIsNotPaid*LoanIsGood,EndingBalance,0), 0)</f>
        <v>475275.21665721387</v>
      </c>
    </row>
    <row r="167" spans="1:10" ht="15" customHeight="1" x14ac:dyDescent="0.15">
      <c r="A167" s="178"/>
      <c r="B167" s="204">
        <f>IFERROR(IF(LoanIsNotPaid*LoanIsGood,PaymentNumber,""), "")</f>
        <v>151</v>
      </c>
      <c r="C167" s="205">
        <f>IFERROR(IF(LoanIsNotPaid*LoanIsGood,PaymentDate,LoanStartDate), LoanStartDate)</f>
        <v>50253</v>
      </c>
      <c r="D167" s="206">
        <f>IFERROR(IF(LoanIsNotPaid*LoanIsGood,LoanValue,""), "")</f>
        <v>475275.21665721387</v>
      </c>
      <c r="E167" s="206">
        <f>IFERROR(IF(LoanIsNotPaid*LoanIsGood,MonthlyPayment,0), 0)</f>
        <v>5691.1875192575681</v>
      </c>
      <c r="F167" s="206">
        <f>IFERROR(IF(LoanIsNotPaid*LoanIsGood,Principal,0), 0)</f>
        <v>4899.0621581621617</v>
      </c>
      <c r="G167" s="206">
        <f>SUM($F$17:F167)</f>
        <v>654623.84550091822</v>
      </c>
      <c r="H167" s="206">
        <f>IFERROR(IF(LoanIsNotPaid*LoanIsGood,InterestAmt,0), 0)</f>
        <v>792.12536109540622</v>
      </c>
      <c r="I167" s="206">
        <f>SUM($H$17:H167)</f>
        <v>204745.46990697421</v>
      </c>
      <c r="J167" s="206">
        <f>IFERROR(IF(LoanIsNotPaid*LoanIsGood,EndingBalance,0), 0)</f>
        <v>470376.15449905116</v>
      </c>
    </row>
    <row r="168" spans="1:10" ht="15" customHeight="1" x14ac:dyDescent="0.15">
      <c r="A168" s="178"/>
      <c r="B168" s="204">
        <f>IFERROR(IF(LoanIsNotPaid*LoanIsGood,PaymentNumber,""), "")</f>
        <v>152</v>
      </c>
      <c r="C168" s="205">
        <f>IFERROR(IF(LoanIsNotPaid*LoanIsGood,PaymentDate,LoanStartDate), LoanStartDate)</f>
        <v>50284</v>
      </c>
      <c r="D168" s="206">
        <f>IFERROR(IF(LoanIsNotPaid*LoanIsGood,LoanValue,""), "")</f>
        <v>470376.15449905116</v>
      </c>
      <c r="E168" s="206">
        <f>IFERROR(IF(LoanIsNotPaid*LoanIsGood,MonthlyPayment,0), 0)</f>
        <v>5691.1875192575681</v>
      </c>
      <c r="F168" s="206">
        <f>IFERROR(IF(LoanIsNotPaid*LoanIsGood,Principal,0), 0)</f>
        <v>4907.2272617590988</v>
      </c>
      <c r="G168" s="206">
        <f>SUM($F$17:F168)</f>
        <v>659531.07276267733</v>
      </c>
      <c r="H168" s="206">
        <f>IFERROR(IF(LoanIsNotPaid*LoanIsGood,InterestAmt,0), 0)</f>
        <v>783.96025749846922</v>
      </c>
      <c r="I168" s="206">
        <f>SUM($H$17:H168)</f>
        <v>205529.43016447267</v>
      </c>
      <c r="J168" s="206">
        <f>IFERROR(IF(LoanIsNotPaid*LoanIsGood,EndingBalance,0), 0)</f>
        <v>465468.92723729147</v>
      </c>
    </row>
    <row r="169" spans="1:10" ht="15" customHeight="1" x14ac:dyDescent="0.15">
      <c r="A169" s="178"/>
      <c r="B169" s="204">
        <f>IFERROR(IF(LoanIsNotPaid*LoanIsGood,PaymentNumber,""), "")</f>
        <v>153</v>
      </c>
      <c r="C169" s="205">
        <f>IFERROR(IF(LoanIsNotPaid*LoanIsGood,PaymentDate,LoanStartDate), LoanStartDate)</f>
        <v>50314</v>
      </c>
      <c r="D169" s="206">
        <f>IFERROR(IF(LoanIsNotPaid*LoanIsGood,LoanValue,""), "")</f>
        <v>465468.92723729147</v>
      </c>
      <c r="E169" s="206">
        <f>IFERROR(IF(LoanIsNotPaid*LoanIsGood,MonthlyPayment,0), 0)</f>
        <v>5691.1875192575681</v>
      </c>
      <c r="F169" s="206">
        <f>IFERROR(IF(LoanIsNotPaid*LoanIsGood,Principal,0), 0)</f>
        <v>4915.4059738620308</v>
      </c>
      <c r="G169" s="206">
        <f>SUM($F$17:F169)</f>
        <v>664446.47873653937</v>
      </c>
      <c r="H169" s="206">
        <f>IFERROR(IF(LoanIsNotPaid*LoanIsGood,InterestAmt,0), 0)</f>
        <v>775.78154539553725</v>
      </c>
      <c r="I169" s="206">
        <f>SUM($H$17:H169)</f>
        <v>206305.21170986819</v>
      </c>
      <c r="J169" s="206">
        <f>IFERROR(IF(LoanIsNotPaid*LoanIsGood,EndingBalance,0), 0)</f>
        <v>460553.52126342966</v>
      </c>
    </row>
    <row r="170" spans="1:10" ht="15" customHeight="1" x14ac:dyDescent="0.15">
      <c r="A170" s="178"/>
      <c r="B170" s="204">
        <f>IFERROR(IF(LoanIsNotPaid*LoanIsGood,PaymentNumber,""), "")</f>
        <v>154</v>
      </c>
      <c r="C170" s="205">
        <f>IFERROR(IF(LoanIsNotPaid*LoanIsGood,PaymentDate,LoanStartDate), LoanStartDate)</f>
        <v>50345</v>
      </c>
      <c r="D170" s="206">
        <f>IFERROR(IF(LoanIsNotPaid*LoanIsGood,LoanValue,""), "")</f>
        <v>460553.52126342966</v>
      </c>
      <c r="E170" s="206">
        <f>IFERROR(IF(LoanIsNotPaid*LoanIsGood,MonthlyPayment,0), 0)</f>
        <v>5691.1875192575681</v>
      </c>
      <c r="F170" s="206">
        <f>IFERROR(IF(LoanIsNotPaid*LoanIsGood,Principal,0), 0)</f>
        <v>4923.5983171518001</v>
      </c>
      <c r="G170" s="206">
        <f>SUM($F$17:F170)</f>
        <v>669370.07705369114</v>
      </c>
      <c r="H170" s="206">
        <f>IFERROR(IF(LoanIsNotPaid*LoanIsGood,InterestAmt,0), 0)</f>
        <v>767.5892021057673</v>
      </c>
      <c r="I170" s="206">
        <f>SUM($H$17:H170)</f>
        <v>207072.80091197396</v>
      </c>
      <c r="J170" s="206">
        <f>IFERROR(IF(LoanIsNotPaid*LoanIsGood,EndingBalance,0), 0)</f>
        <v>455629.92294627742</v>
      </c>
    </row>
    <row r="171" spans="1:10" ht="15" customHeight="1" x14ac:dyDescent="0.15">
      <c r="A171" s="178"/>
      <c r="B171" s="204">
        <f>IFERROR(IF(LoanIsNotPaid*LoanIsGood,PaymentNumber,""), "")</f>
        <v>155</v>
      </c>
      <c r="C171" s="205">
        <f>IFERROR(IF(LoanIsNotPaid*LoanIsGood,PaymentDate,LoanStartDate), LoanStartDate)</f>
        <v>50375</v>
      </c>
      <c r="D171" s="206">
        <f>IFERROR(IF(LoanIsNotPaid*LoanIsGood,LoanValue,""), "")</f>
        <v>455629.92294627742</v>
      </c>
      <c r="E171" s="206">
        <f>IFERROR(IF(LoanIsNotPaid*LoanIsGood,MonthlyPayment,0), 0)</f>
        <v>5691.1875192575681</v>
      </c>
      <c r="F171" s="206">
        <f>IFERROR(IF(LoanIsNotPaid*LoanIsGood,Principal,0), 0)</f>
        <v>4931.8043143470532</v>
      </c>
      <c r="G171" s="206">
        <f>SUM($F$17:F171)</f>
        <v>674301.88136803824</v>
      </c>
      <c r="H171" s="206">
        <f>IFERROR(IF(LoanIsNotPaid*LoanIsGood,InterestAmt,0), 0)</f>
        <v>759.38320491051434</v>
      </c>
      <c r="I171" s="206">
        <f>SUM($H$17:H171)</f>
        <v>207832.18411688448</v>
      </c>
      <c r="J171" s="206">
        <f>IFERROR(IF(LoanIsNotPaid*LoanIsGood,EndingBalance,0), 0)</f>
        <v>450698.11863192986</v>
      </c>
    </row>
    <row r="172" spans="1:10" ht="15" customHeight="1" x14ac:dyDescent="0.15">
      <c r="A172" s="178"/>
      <c r="B172" s="204">
        <f>IFERROR(IF(LoanIsNotPaid*LoanIsGood,PaymentNumber,""), "")</f>
        <v>156</v>
      </c>
      <c r="C172" s="205">
        <f>IFERROR(IF(LoanIsNotPaid*LoanIsGood,PaymentDate,LoanStartDate), LoanStartDate)</f>
        <v>50406</v>
      </c>
      <c r="D172" s="206">
        <f>IFERROR(IF(LoanIsNotPaid*LoanIsGood,LoanValue,""), "")</f>
        <v>450698.11863192986</v>
      </c>
      <c r="E172" s="206">
        <f>IFERROR(IF(LoanIsNotPaid*LoanIsGood,MonthlyPayment,0), 0)</f>
        <v>5691.1875192575681</v>
      </c>
      <c r="F172" s="206">
        <f>IFERROR(IF(LoanIsNotPaid*LoanIsGood,Principal,0), 0)</f>
        <v>4940.0239882042988</v>
      </c>
      <c r="G172" s="206">
        <f>SUM($F$17:F172)</f>
        <v>679241.90535624255</v>
      </c>
      <c r="H172" s="206">
        <f>IFERROR(IF(LoanIsNotPaid*LoanIsGood,InterestAmt,0), 0)</f>
        <v>751.16353105326937</v>
      </c>
      <c r="I172" s="206">
        <f>SUM($H$17:H172)</f>
        <v>208583.34764793774</v>
      </c>
      <c r="J172" s="206">
        <f>IFERROR(IF(LoanIsNotPaid*LoanIsGood,EndingBalance,0), 0)</f>
        <v>445758.09464372578</v>
      </c>
    </row>
    <row r="173" spans="1:10" ht="15" customHeight="1" x14ac:dyDescent="0.15">
      <c r="A173" s="178"/>
      <c r="B173" s="204">
        <f>IFERROR(IF(LoanIsNotPaid*LoanIsGood,PaymentNumber,""), "")</f>
        <v>157</v>
      </c>
      <c r="C173" s="205">
        <f>IFERROR(IF(LoanIsNotPaid*LoanIsGood,PaymentDate,LoanStartDate), LoanStartDate)</f>
        <v>50437</v>
      </c>
      <c r="D173" s="206">
        <f>IFERROR(IF(LoanIsNotPaid*LoanIsGood,LoanValue,""), "")</f>
        <v>445758.09464372578</v>
      </c>
      <c r="E173" s="206">
        <f>IFERROR(IF(LoanIsNotPaid*LoanIsGood,MonthlyPayment,0), 0)</f>
        <v>5691.1875192575681</v>
      </c>
      <c r="F173" s="206">
        <f>IFERROR(IF(LoanIsNotPaid*LoanIsGood,Principal,0), 0)</f>
        <v>4948.2573615179726</v>
      </c>
      <c r="G173" s="206">
        <f>SUM($F$17:F173)</f>
        <v>684190.16271776054</v>
      </c>
      <c r="H173" s="206">
        <f>IFERROR(IF(LoanIsNotPaid*LoanIsGood,InterestAmt,0), 0)</f>
        <v>742.93015773959553</v>
      </c>
      <c r="I173" s="206">
        <f>SUM($H$17:H173)</f>
        <v>209326.27780567732</v>
      </c>
      <c r="J173" s="206">
        <f>IFERROR(IF(LoanIsNotPaid*LoanIsGood,EndingBalance,0), 0)</f>
        <v>440809.8372822071</v>
      </c>
    </row>
    <row r="174" spans="1:10" ht="15" customHeight="1" x14ac:dyDescent="0.15">
      <c r="A174" s="178"/>
      <c r="B174" s="204">
        <f>IFERROR(IF(LoanIsNotPaid*LoanIsGood,PaymentNumber,""), "")</f>
        <v>158</v>
      </c>
      <c r="C174" s="205">
        <f>IFERROR(IF(LoanIsNotPaid*LoanIsGood,PaymentDate,LoanStartDate), LoanStartDate)</f>
        <v>50465</v>
      </c>
      <c r="D174" s="206">
        <f>IFERROR(IF(LoanIsNotPaid*LoanIsGood,LoanValue,""), "")</f>
        <v>440809.8372822071</v>
      </c>
      <c r="E174" s="206">
        <f>IFERROR(IF(LoanIsNotPaid*LoanIsGood,MonthlyPayment,0), 0)</f>
        <v>5691.1875192575681</v>
      </c>
      <c r="F174" s="206">
        <f>IFERROR(IF(LoanIsNotPaid*LoanIsGood,Principal,0), 0)</f>
        <v>4956.5044571205026</v>
      </c>
      <c r="G174" s="206">
        <f>SUM($F$17:F174)</f>
        <v>689146.66717488109</v>
      </c>
      <c r="H174" s="206">
        <f>IFERROR(IF(LoanIsNotPaid*LoanIsGood,InterestAmt,0), 0)</f>
        <v>734.68306213706558</v>
      </c>
      <c r="I174" s="206">
        <f>SUM($H$17:H174)</f>
        <v>210060.9608678144</v>
      </c>
      <c r="J174" s="206">
        <f>IFERROR(IF(LoanIsNotPaid*LoanIsGood,EndingBalance,0), 0)</f>
        <v>435853.33282508689</v>
      </c>
    </row>
    <row r="175" spans="1:10" ht="15" customHeight="1" x14ac:dyDescent="0.15">
      <c r="A175" s="178"/>
      <c r="B175" s="204">
        <f>IFERROR(IF(LoanIsNotPaid*LoanIsGood,PaymentNumber,""), "")</f>
        <v>159</v>
      </c>
      <c r="C175" s="205">
        <f>IFERROR(IF(LoanIsNotPaid*LoanIsGood,PaymentDate,LoanStartDate), LoanStartDate)</f>
        <v>50496</v>
      </c>
      <c r="D175" s="206">
        <f>IFERROR(IF(LoanIsNotPaid*LoanIsGood,LoanValue,""), "")</f>
        <v>435853.33282508689</v>
      </c>
      <c r="E175" s="206">
        <f>IFERROR(IF(LoanIsNotPaid*LoanIsGood,MonthlyPayment,0), 0)</f>
        <v>5691.1875192575681</v>
      </c>
      <c r="F175" s="206">
        <f>IFERROR(IF(LoanIsNotPaid*LoanIsGood,Principal,0), 0)</f>
        <v>4964.7652978823699</v>
      </c>
      <c r="G175" s="206">
        <f>SUM($F$17:F175)</f>
        <v>694111.43247276347</v>
      </c>
      <c r="H175" s="206">
        <f>IFERROR(IF(LoanIsNotPaid*LoanIsGood,InterestAmt,0), 0)</f>
        <v>726.42222137519798</v>
      </c>
      <c r="I175" s="206">
        <f>SUM($H$17:H175)</f>
        <v>210787.38308918959</v>
      </c>
      <c r="J175" s="206">
        <f>IFERROR(IF(LoanIsNotPaid*LoanIsGood,EndingBalance,0), 0)</f>
        <v>430888.56752720382</v>
      </c>
    </row>
    <row r="176" spans="1:10" ht="15" customHeight="1" x14ac:dyDescent="0.15">
      <c r="A176" s="178"/>
      <c r="B176" s="204">
        <f>IFERROR(IF(LoanIsNotPaid*LoanIsGood,PaymentNumber,""), "")</f>
        <v>160</v>
      </c>
      <c r="C176" s="205">
        <f>IFERROR(IF(LoanIsNotPaid*LoanIsGood,PaymentDate,LoanStartDate), LoanStartDate)</f>
        <v>50526</v>
      </c>
      <c r="D176" s="206">
        <f>IFERROR(IF(LoanIsNotPaid*LoanIsGood,LoanValue,""), "")</f>
        <v>430888.56752720382</v>
      </c>
      <c r="E176" s="206">
        <f>IFERROR(IF(LoanIsNotPaid*LoanIsGood,MonthlyPayment,0), 0)</f>
        <v>5691.1875192575681</v>
      </c>
      <c r="F176" s="206">
        <f>IFERROR(IF(LoanIsNotPaid*LoanIsGood,Principal,0), 0)</f>
        <v>4973.0399067121743</v>
      </c>
      <c r="G176" s="206">
        <f>SUM($F$17:F176)</f>
        <v>699084.4723794756</v>
      </c>
      <c r="H176" s="206">
        <f>IFERROR(IF(LoanIsNotPaid*LoanIsGood,InterestAmt,0), 0)</f>
        <v>718.14761254539394</v>
      </c>
      <c r="I176" s="206">
        <f>SUM($H$17:H176)</f>
        <v>211505.530701735</v>
      </c>
      <c r="J176" s="206">
        <f>IFERROR(IF(LoanIsNotPaid*LoanIsGood,EndingBalance,0), 0)</f>
        <v>425915.52762049146</v>
      </c>
    </row>
    <row r="177" spans="1:10" ht="15" customHeight="1" x14ac:dyDescent="0.15">
      <c r="A177" s="178"/>
      <c r="B177" s="204">
        <f>IFERROR(IF(LoanIsNotPaid*LoanIsGood,PaymentNumber,""), "")</f>
        <v>161</v>
      </c>
      <c r="C177" s="205">
        <f>IFERROR(IF(LoanIsNotPaid*LoanIsGood,PaymentDate,LoanStartDate), LoanStartDate)</f>
        <v>50557</v>
      </c>
      <c r="D177" s="206">
        <f>IFERROR(IF(LoanIsNotPaid*LoanIsGood,LoanValue,""), "")</f>
        <v>425915.52762049146</v>
      </c>
      <c r="E177" s="206">
        <f>IFERROR(IF(LoanIsNotPaid*LoanIsGood,MonthlyPayment,0), 0)</f>
        <v>5691.1875192575681</v>
      </c>
      <c r="F177" s="206">
        <f>IFERROR(IF(LoanIsNotPaid*LoanIsGood,Principal,0), 0)</f>
        <v>4981.3283065566948</v>
      </c>
      <c r="G177" s="206">
        <f>SUM($F$17:F177)</f>
        <v>704065.80068603228</v>
      </c>
      <c r="H177" s="206">
        <f>IFERROR(IF(LoanIsNotPaid*LoanIsGood,InterestAmt,0), 0)</f>
        <v>709.85921270087363</v>
      </c>
      <c r="I177" s="206">
        <f>SUM($H$17:H177)</f>
        <v>212215.38991443586</v>
      </c>
      <c r="J177" s="206">
        <f>IFERROR(IF(LoanIsNotPaid*LoanIsGood,EndingBalance,0), 0)</f>
        <v>420934.19931393396</v>
      </c>
    </row>
    <row r="178" spans="1:10" ht="15" customHeight="1" x14ac:dyDescent="0.15">
      <c r="A178" s="178"/>
      <c r="B178" s="204">
        <f>IFERROR(IF(LoanIsNotPaid*LoanIsGood,PaymentNumber,""), "")</f>
        <v>162</v>
      </c>
      <c r="C178" s="205">
        <f>IFERROR(IF(LoanIsNotPaid*LoanIsGood,PaymentDate,LoanStartDate), LoanStartDate)</f>
        <v>50587</v>
      </c>
      <c r="D178" s="206">
        <f>IFERROR(IF(LoanIsNotPaid*LoanIsGood,LoanValue,""), "")</f>
        <v>420934.19931393396</v>
      </c>
      <c r="E178" s="206">
        <f>IFERROR(IF(LoanIsNotPaid*LoanIsGood,MonthlyPayment,0), 0)</f>
        <v>5691.1875192575681</v>
      </c>
      <c r="F178" s="206">
        <f>IFERROR(IF(LoanIsNotPaid*LoanIsGood,Principal,0), 0)</f>
        <v>4989.6305204009559</v>
      </c>
      <c r="G178" s="206">
        <f>SUM($F$17:F178)</f>
        <v>709055.43120643322</v>
      </c>
      <c r="H178" s="206">
        <f>IFERROR(IF(LoanIsNotPaid*LoanIsGood,InterestAmt,0), 0)</f>
        <v>701.55699885661249</v>
      </c>
      <c r="I178" s="206">
        <f>SUM($H$17:H178)</f>
        <v>212916.94691329246</v>
      </c>
      <c r="J178" s="206">
        <f>IFERROR(IF(LoanIsNotPaid*LoanIsGood,EndingBalance,0), 0)</f>
        <v>415944.56879353337</v>
      </c>
    </row>
    <row r="179" spans="1:10" ht="15" customHeight="1" x14ac:dyDescent="0.15">
      <c r="A179" s="178"/>
      <c r="B179" s="204">
        <f>IFERROR(IF(LoanIsNotPaid*LoanIsGood,PaymentNumber,""), "")</f>
        <v>163</v>
      </c>
      <c r="C179" s="205">
        <f>IFERROR(IF(LoanIsNotPaid*LoanIsGood,PaymentDate,LoanStartDate), LoanStartDate)</f>
        <v>50618</v>
      </c>
      <c r="D179" s="206">
        <f>IFERROR(IF(LoanIsNotPaid*LoanIsGood,LoanValue,""), "")</f>
        <v>415944.56879353337</v>
      </c>
      <c r="E179" s="206">
        <f>IFERROR(IF(LoanIsNotPaid*LoanIsGood,MonthlyPayment,0), 0)</f>
        <v>5691.1875192575681</v>
      </c>
      <c r="F179" s="206">
        <f>IFERROR(IF(LoanIsNotPaid*LoanIsGood,Principal,0), 0)</f>
        <v>4997.9465712682904</v>
      </c>
      <c r="G179" s="206">
        <f>SUM($F$17:F179)</f>
        <v>714053.37777770148</v>
      </c>
      <c r="H179" s="206">
        <f>IFERROR(IF(LoanIsNotPaid*LoanIsGood,InterestAmt,0), 0)</f>
        <v>693.24094798927774</v>
      </c>
      <c r="I179" s="206">
        <f>SUM($H$17:H179)</f>
        <v>213610.18786128174</v>
      </c>
      <c r="J179" s="206">
        <f>IFERROR(IF(LoanIsNotPaid*LoanIsGood,EndingBalance,0), 0)</f>
        <v>410946.62222226453</v>
      </c>
    </row>
    <row r="180" spans="1:10" ht="15" customHeight="1" x14ac:dyDescent="0.15">
      <c r="A180" s="178"/>
      <c r="B180" s="204">
        <f>IFERROR(IF(LoanIsNotPaid*LoanIsGood,PaymentNumber,""), "")</f>
        <v>164</v>
      </c>
      <c r="C180" s="205">
        <f>IFERROR(IF(LoanIsNotPaid*LoanIsGood,PaymentDate,LoanStartDate), LoanStartDate)</f>
        <v>50649</v>
      </c>
      <c r="D180" s="206">
        <f>IFERROR(IF(LoanIsNotPaid*LoanIsGood,LoanValue,""), "")</f>
        <v>410946.62222226453</v>
      </c>
      <c r="E180" s="206">
        <f>IFERROR(IF(LoanIsNotPaid*LoanIsGood,MonthlyPayment,0), 0)</f>
        <v>5691.1875192575681</v>
      </c>
      <c r="F180" s="206">
        <f>IFERROR(IF(LoanIsNotPaid*LoanIsGood,Principal,0), 0)</f>
        <v>5006.2764822204044</v>
      </c>
      <c r="G180" s="206">
        <f>SUM($F$17:F180)</f>
        <v>719059.65425992187</v>
      </c>
      <c r="H180" s="206">
        <f>IFERROR(IF(LoanIsNotPaid*LoanIsGood,InterestAmt,0), 0)</f>
        <v>684.91103703716385</v>
      </c>
      <c r="I180" s="206">
        <f>SUM($H$17:H180)</f>
        <v>214295.09889831892</v>
      </c>
      <c r="J180" s="206">
        <f>IFERROR(IF(LoanIsNotPaid*LoanIsGood,EndingBalance,0), 0)</f>
        <v>405940.34574004379</v>
      </c>
    </row>
    <row r="181" spans="1:10" ht="15" customHeight="1" x14ac:dyDescent="0.15">
      <c r="A181" s="178"/>
      <c r="B181" s="204">
        <f>IFERROR(IF(LoanIsNotPaid*LoanIsGood,PaymentNumber,""), "")</f>
        <v>165</v>
      </c>
      <c r="C181" s="205">
        <f>IFERROR(IF(LoanIsNotPaid*LoanIsGood,PaymentDate,LoanStartDate), LoanStartDate)</f>
        <v>50679</v>
      </c>
      <c r="D181" s="206">
        <f>IFERROR(IF(LoanIsNotPaid*LoanIsGood,LoanValue,""), "")</f>
        <v>405940.34574004379</v>
      </c>
      <c r="E181" s="206">
        <f>IFERROR(IF(LoanIsNotPaid*LoanIsGood,MonthlyPayment,0), 0)</f>
        <v>5691.1875192575681</v>
      </c>
      <c r="F181" s="206">
        <f>IFERROR(IF(LoanIsNotPaid*LoanIsGood,Principal,0), 0)</f>
        <v>5014.6202763574383</v>
      </c>
      <c r="G181" s="206">
        <f>SUM($F$17:F181)</f>
        <v>724074.27453627926</v>
      </c>
      <c r="H181" s="206">
        <f>IFERROR(IF(LoanIsNotPaid*LoanIsGood,InterestAmt,0), 0)</f>
        <v>676.56724290012983</v>
      </c>
      <c r="I181" s="206">
        <f>SUM($H$17:H181)</f>
        <v>214971.66614121906</v>
      </c>
      <c r="J181" s="206">
        <f>IFERROR(IF(LoanIsNotPaid*LoanIsGood,EndingBalance,0), 0)</f>
        <v>400925.72546368605</v>
      </c>
    </row>
    <row r="182" spans="1:10" ht="15" customHeight="1" x14ac:dyDescent="0.15">
      <c r="A182" s="178"/>
      <c r="B182" s="204">
        <f>IFERROR(IF(LoanIsNotPaid*LoanIsGood,PaymentNumber,""), "")</f>
        <v>166</v>
      </c>
      <c r="C182" s="205">
        <f>IFERROR(IF(LoanIsNotPaid*LoanIsGood,PaymentDate,LoanStartDate), LoanStartDate)</f>
        <v>50710</v>
      </c>
      <c r="D182" s="206">
        <f>IFERROR(IF(LoanIsNotPaid*LoanIsGood,LoanValue,""), "")</f>
        <v>400925.72546368605</v>
      </c>
      <c r="E182" s="206">
        <f>IFERROR(IF(LoanIsNotPaid*LoanIsGood,MonthlyPayment,0), 0)</f>
        <v>5691.1875192575681</v>
      </c>
      <c r="F182" s="206">
        <f>IFERROR(IF(LoanIsNotPaid*LoanIsGood,Principal,0), 0)</f>
        <v>5022.9779768180342</v>
      </c>
      <c r="G182" s="206">
        <f>SUM($F$17:F182)</f>
        <v>729097.25251309725</v>
      </c>
      <c r="H182" s="206">
        <f>IFERROR(IF(LoanIsNotPaid*LoanIsGood,InterestAmt,0), 0)</f>
        <v>668.20954243953418</v>
      </c>
      <c r="I182" s="206">
        <f>SUM($H$17:H182)</f>
        <v>215639.87568365858</v>
      </c>
      <c r="J182" s="206">
        <f>IFERROR(IF(LoanIsNotPaid*LoanIsGood,EndingBalance,0), 0)</f>
        <v>395902.74748686794</v>
      </c>
    </row>
    <row r="183" spans="1:10" ht="15" customHeight="1" x14ac:dyDescent="0.15">
      <c r="A183" s="178"/>
      <c r="B183" s="204">
        <f>IFERROR(IF(LoanIsNotPaid*LoanIsGood,PaymentNumber,""), "")</f>
        <v>167</v>
      </c>
      <c r="C183" s="205">
        <f>IFERROR(IF(LoanIsNotPaid*LoanIsGood,PaymentDate,LoanStartDate), LoanStartDate)</f>
        <v>50740</v>
      </c>
      <c r="D183" s="206">
        <f>IFERROR(IF(LoanIsNotPaid*LoanIsGood,LoanValue,""), "")</f>
        <v>395902.74748686794</v>
      </c>
      <c r="E183" s="206">
        <f>IFERROR(IF(LoanIsNotPaid*LoanIsGood,MonthlyPayment,0), 0)</f>
        <v>5691.1875192575681</v>
      </c>
      <c r="F183" s="206">
        <f>IFERROR(IF(LoanIsNotPaid*LoanIsGood,Principal,0), 0)</f>
        <v>5031.3496067793976</v>
      </c>
      <c r="G183" s="206">
        <f>SUM($F$17:F183)</f>
        <v>734128.60211987665</v>
      </c>
      <c r="H183" s="206">
        <f>IFERROR(IF(LoanIsNotPaid*LoanIsGood,InterestAmt,0), 0)</f>
        <v>659.83791247817078</v>
      </c>
      <c r="I183" s="206">
        <f>SUM($H$17:H183)</f>
        <v>216299.71359613675</v>
      </c>
      <c r="J183" s="206">
        <f>IFERROR(IF(LoanIsNotPaid*LoanIsGood,EndingBalance,0), 0)</f>
        <v>390871.39788008854</v>
      </c>
    </row>
    <row r="184" spans="1:10" ht="15" customHeight="1" x14ac:dyDescent="0.15">
      <c r="A184" s="178"/>
      <c r="B184" s="204">
        <f>IFERROR(IF(LoanIsNotPaid*LoanIsGood,PaymentNumber,""), "")</f>
        <v>168</v>
      </c>
      <c r="C184" s="205">
        <f>IFERROR(IF(LoanIsNotPaid*LoanIsGood,PaymentDate,LoanStartDate), LoanStartDate)</f>
        <v>50771</v>
      </c>
      <c r="D184" s="206">
        <f>IFERROR(IF(LoanIsNotPaid*LoanIsGood,LoanValue,""), "")</f>
        <v>390871.39788008854</v>
      </c>
      <c r="E184" s="206">
        <f>IFERROR(IF(LoanIsNotPaid*LoanIsGood,MonthlyPayment,0), 0)</f>
        <v>5691.1875192575681</v>
      </c>
      <c r="F184" s="206">
        <f>IFERROR(IF(LoanIsNotPaid*LoanIsGood,Principal,0), 0)</f>
        <v>5039.735189457363</v>
      </c>
      <c r="G184" s="206">
        <f>SUM($F$17:F184)</f>
        <v>739168.33730933396</v>
      </c>
      <c r="H184" s="206">
        <f>IFERROR(IF(LoanIsNotPaid*LoanIsGood,InterestAmt,0), 0)</f>
        <v>651.45232980020501</v>
      </c>
      <c r="I184" s="206">
        <f>SUM($H$17:H184)</f>
        <v>216951.16592593695</v>
      </c>
      <c r="J184" s="206">
        <f>IFERROR(IF(LoanIsNotPaid*LoanIsGood,EndingBalance,0), 0)</f>
        <v>385831.66269062995</v>
      </c>
    </row>
    <row r="185" spans="1:10" ht="15" customHeight="1" x14ac:dyDescent="0.15">
      <c r="A185" s="178"/>
      <c r="B185" s="204">
        <f>IFERROR(IF(LoanIsNotPaid*LoanIsGood,PaymentNumber,""), "")</f>
        <v>169</v>
      </c>
      <c r="C185" s="205">
        <f>IFERROR(IF(LoanIsNotPaid*LoanIsGood,PaymentDate,LoanStartDate), LoanStartDate)</f>
        <v>50802</v>
      </c>
      <c r="D185" s="206">
        <f>IFERROR(IF(LoanIsNotPaid*LoanIsGood,LoanValue,""), "")</f>
        <v>385831.66269062995</v>
      </c>
      <c r="E185" s="206">
        <f>IFERROR(IF(LoanIsNotPaid*LoanIsGood,MonthlyPayment,0), 0)</f>
        <v>5691.1875192575681</v>
      </c>
      <c r="F185" s="206">
        <f>IFERROR(IF(LoanIsNotPaid*LoanIsGood,Principal,0), 0)</f>
        <v>5048.1347481064586</v>
      </c>
      <c r="G185" s="206">
        <f>SUM($F$17:F185)</f>
        <v>744216.47205744043</v>
      </c>
      <c r="H185" s="206">
        <f>IFERROR(IF(LoanIsNotPaid*LoanIsGood,InterestAmt,0), 0)</f>
        <v>643.05277115110948</v>
      </c>
      <c r="I185" s="206">
        <f>SUM($H$17:H185)</f>
        <v>217594.21869708807</v>
      </c>
      <c r="J185" s="206">
        <f>IFERROR(IF(LoanIsNotPaid*LoanIsGood,EndingBalance,0), 0)</f>
        <v>380783.52794252429</v>
      </c>
    </row>
    <row r="186" spans="1:10" ht="15" customHeight="1" x14ac:dyDescent="0.15">
      <c r="A186" s="178"/>
      <c r="B186" s="204">
        <f>IFERROR(IF(LoanIsNotPaid*LoanIsGood,PaymentNumber,""), "")</f>
        <v>170</v>
      </c>
      <c r="C186" s="205">
        <f>IFERROR(IF(LoanIsNotPaid*LoanIsGood,PaymentDate,LoanStartDate), LoanStartDate)</f>
        <v>50830</v>
      </c>
      <c r="D186" s="206">
        <f>IFERROR(IF(LoanIsNotPaid*LoanIsGood,LoanValue,""), "")</f>
        <v>380783.52794252429</v>
      </c>
      <c r="E186" s="206">
        <f>IFERROR(IF(LoanIsNotPaid*LoanIsGood,MonthlyPayment,0), 0)</f>
        <v>5691.1875192575681</v>
      </c>
      <c r="F186" s="206">
        <f>IFERROR(IF(LoanIsNotPaid*LoanIsGood,Principal,0), 0)</f>
        <v>5056.5483060199695</v>
      </c>
      <c r="G186" s="206">
        <f>SUM($F$17:F186)</f>
        <v>749273.02036346041</v>
      </c>
      <c r="H186" s="206">
        <f>IFERROR(IF(LoanIsNotPaid*LoanIsGood,InterestAmt,0), 0)</f>
        <v>634.6392132375986</v>
      </c>
      <c r="I186" s="206">
        <f>SUM($H$17:H186)</f>
        <v>218228.85791032566</v>
      </c>
      <c r="J186" s="206">
        <f>IFERROR(IF(LoanIsNotPaid*LoanIsGood,EndingBalance,0), 0)</f>
        <v>375726.97963650408</v>
      </c>
    </row>
    <row r="187" spans="1:10" ht="15" customHeight="1" x14ac:dyDescent="0.15">
      <c r="A187" s="178"/>
      <c r="B187" s="204">
        <f>IFERROR(IF(LoanIsNotPaid*LoanIsGood,PaymentNumber,""), "")</f>
        <v>171</v>
      </c>
      <c r="C187" s="205">
        <f>IFERROR(IF(LoanIsNotPaid*LoanIsGood,PaymentDate,LoanStartDate), LoanStartDate)</f>
        <v>50861</v>
      </c>
      <c r="D187" s="206">
        <f>IFERROR(IF(LoanIsNotPaid*LoanIsGood,LoanValue,""), "")</f>
        <v>375726.97963650408</v>
      </c>
      <c r="E187" s="206">
        <f>IFERROR(IF(LoanIsNotPaid*LoanIsGood,MonthlyPayment,0), 0)</f>
        <v>5691.1875192575681</v>
      </c>
      <c r="F187" s="206">
        <f>IFERROR(IF(LoanIsNotPaid*LoanIsGood,Principal,0), 0)</f>
        <v>5064.9758865300028</v>
      </c>
      <c r="G187" s="206">
        <f>SUM($F$17:F187)</f>
        <v>754337.99624999042</v>
      </c>
      <c r="H187" s="206">
        <f>IFERROR(IF(LoanIsNotPaid*LoanIsGood,InterestAmt,0), 0)</f>
        <v>626.21163272756542</v>
      </c>
      <c r="I187" s="206">
        <f>SUM($H$17:H187)</f>
        <v>218855.06954305322</v>
      </c>
      <c r="J187" s="206">
        <f>IFERROR(IF(LoanIsNotPaid*LoanIsGood,EndingBalance,0), 0)</f>
        <v>370662.00374997361</v>
      </c>
    </row>
    <row r="188" spans="1:10" ht="15" customHeight="1" x14ac:dyDescent="0.15">
      <c r="A188" s="178"/>
      <c r="B188" s="204">
        <f>IFERROR(IF(LoanIsNotPaid*LoanIsGood,PaymentNumber,""), "")</f>
        <v>172</v>
      </c>
      <c r="C188" s="205">
        <f>IFERROR(IF(LoanIsNotPaid*LoanIsGood,PaymentDate,LoanStartDate), LoanStartDate)</f>
        <v>50891</v>
      </c>
      <c r="D188" s="206">
        <f>IFERROR(IF(LoanIsNotPaid*LoanIsGood,LoanValue,""), "")</f>
        <v>370662.00374997361</v>
      </c>
      <c r="E188" s="206">
        <f>IFERROR(IF(LoanIsNotPaid*LoanIsGood,MonthlyPayment,0), 0)</f>
        <v>5691.1875192575681</v>
      </c>
      <c r="F188" s="206">
        <f>IFERROR(IF(LoanIsNotPaid*LoanIsGood,Principal,0), 0)</f>
        <v>5073.4175130075528</v>
      </c>
      <c r="G188" s="206">
        <f>SUM($F$17:F188)</f>
        <v>759411.41376299795</v>
      </c>
      <c r="H188" s="206">
        <f>IFERROR(IF(LoanIsNotPaid*LoanIsGood,InterestAmt,0), 0)</f>
        <v>617.7700062500154</v>
      </c>
      <c r="I188" s="206">
        <f>SUM($H$17:H188)</f>
        <v>219472.83954930323</v>
      </c>
      <c r="J188" s="206">
        <f>IFERROR(IF(LoanIsNotPaid*LoanIsGood,EndingBalance,0), 0)</f>
        <v>365588.58623696584</v>
      </c>
    </row>
    <row r="189" spans="1:10" ht="15" customHeight="1" x14ac:dyDescent="0.15">
      <c r="A189" s="178"/>
      <c r="B189" s="204">
        <f>IFERROR(IF(LoanIsNotPaid*LoanIsGood,PaymentNumber,""), "")</f>
        <v>173</v>
      </c>
      <c r="C189" s="205">
        <f>IFERROR(IF(LoanIsNotPaid*LoanIsGood,PaymentDate,LoanStartDate), LoanStartDate)</f>
        <v>50922</v>
      </c>
      <c r="D189" s="206">
        <f>IFERROR(IF(LoanIsNotPaid*LoanIsGood,LoanValue,""), "")</f>
        <v>365588.58623696584</v>
      </c>
      <c r="E189" s="206">
        <f>IFERROR(IF(LoanIsNotPaid*LoanIsGood,MonthlyPayment,0), 0)</f>
        <v>5691.1875192575681</v>
      </c>
      <c r="F189" s="206">
        <f>IFERROR(IF(LoanIsNotPaid*LoanIsGood,Principal,0), 0)</f>
        <v>5081.8732088625648</v>
      </c>
      <c r="G189" s="206">
        <f>SUM($F$17:F189)</f>
        <v>764493.28697186057</v>
      </c>
      <c r="H189" s="206">
        <f>IFERROR(IF(LoanIsNotPaid*LoanIsGood,InterestAmt,0), 0)</f>
        <v>609.31431039500274</v>
      </c>
      <c r="I189" s="206">
        <f>SUM($H$17:H189)</f>
        <v>220082.15385969824</v>
      </c>
      <c r="J189" s="206">
        <f>IFERROR(IF(LoanIsNotPaid*LoanIsGood,EndingBalance,0), 0)</f>
        <v>360506.71302810265</v>
      </c>
    </row>
    <row r="190" spans="1:10" ht="15" customHeight="1" x14ac:dyDescent="0.15">
      <c r="A190" s="178"/>
      <c r="B190" s="204">
        <f>IFERROR(IF(LoanIsNotPaid*LoanIsGood,PaymentNumber,""), "")</f>
        <v>174</v>
      </c>
      <c r="C190" s="205">
        <f>IFERROR(IF(LoanIsNotPaid*LoanIsGood,PaymentDate,LoanStartDate), LoanStartDate)</f>
        <v>50952</v>
      </c>
      <c r="D190" s="206">
        <f>IFERROR(IF(LoanIsNotPaid*LoanIsGood,LoanValue,""), "")</f>
        <v>360506.71302810265</v>
      </c>
      <c r="E190" s="206">
        <f>IFERROR(IF(LoanIsNotPaid*LoanIsGood,MonthlyPayment,0), 0)</f>
        <v>5691.1875192575681</v>
      </c>
      <c r="F190" s="206">
        <f>IFERROR(IF(LoanIsNotPaid*LoanIsGood,Principal,0), 0)</f>
        <v>5090.3429975440031</v>
      </c>
      <c r="G190" s="206">
        <f>SUM($F$17:F190)</f>
        <v>769583.62996940454</v>
      </c>
      <c r="H190" s="206">
        <f>IFERROR(IF(LoanIsNotPaid*LoanIsGood,InterestAmt,0), 0)</f>
        <v>600.8445217135652</v>
      </c>
      <c r="I190" s="206">
        <f>SUM($H$17:H190)</f>
        <v>220682.9983814118</v>
      </c>
      <c r="J190" s="206">
        <f>IFERROR(IF(LoanIsNotPaid*LoanIsGood,EndingBalance,0), 0)</f>
        <v>355416.37003055867</v>
      </c>
    </row>
    <row r="191" spans="1:10" ht="15" customHeight="1" x14ac:dyDescent="0.15">
      <c r="A191" s="178"/>
      <c r="B191" s="204">
        <f>IFERROR(IF(LoanIsNotPaid*LoanIsGood,PaymentNumber,""), "")</f>
        <v>175</v>
      </c>
      <c r="C191" s="205">
        <f>IFERROR(IF(LoanIsNotPaid*LoanIsGood,PaymentDate,LoanStartDate), LoanStartDate)</f>
        <v>50983</v>
      </c>
      <c r="D191" s="206">
        <f>IFERROR(IF(LoanIsNotPaid*LoanIsGood,LoanValue,""), "")</f>
        <v>355416.37003055867</v>
      </c>
      <c r="E191" s="206">
        <f>IFERROR(IF(LoanIsNotPaid*LoanIsGood,MonthlyPayment,0), 0)</f>
        <v>5691.1875192575681</v>
      </c>
      <c r="F191" s="206">
        <f>IFERROR(IF(LoanIsNotPaid*LoanIsGood,Principal,0), 0)</f>
        <v>5098.8269025399086</v>
      </c>
      <c r="G191" s="206">
        <f>SUM($F$17:F191)</f>
        <v>774682.45687194448</v>
      </c>
      <c r="H191" s="206">
        <f>IFERROR(IF(LoanIsNotPaid*LoanIsGood,InterestAmt,0), 0)</f>
        <v>592.36061671765856</v>
      </c>
      <c r="I191" s="206">
        <f>SUM($H$17:H191)</f>
        <v>221275.35899812946</v>
      </c>
      <c r="J191" s="206">
        <f>IFERROR(IF(LoanIsNotPaid*LoanIsGood,EndingBalance,0), 0)</f>
        <v>350317.5431280185</v>
      </c>
    </row>
    <row r="192" spans="1:10" ht="15" customHeight="1" x14ac:dyDescent="0.15">
      <c r="A192" s="178"/>
      <c r="B192" s="204">
        <f>IFERROR(IF(LoanIsNotPaid*LoanIsGood,PaymentNumber,""), "")</f>
        <v>176</v>
      </c>
      <c r="C192" s="205">
        <f>IFERROR(IF(LoanIsNotPaid*LoanIsGood,PaymentDate,LoanStartDate), LoanStartDate)</f>
        <v>51014</v>
      </c>
      <c r="D192" s="206">
        <f>IFERROR(IF(LoanIsNotPaid*LoanIsGood,LoanValue,""), "")</f>
        <v>350317.5431280185</v>
      </c>
      <c r="E192" s="206">
        <f>IFERROR(IF(LoanIsNotPaid*LoanIsGood,MonthlyPayment,0), 0)</f>
        <v>5691.1875192575681</v>
      </c>
      <c r="F192" s="206">
        <f>IFERROR(IF(LoanIsNotPaid*LoanIsGood,Principal,0), 0)</f>
        <v>5107.3249473774758</v>
      </c>
      <c r="G192" s="206">
        <f>SUM($F$17:F192)</f>
        <v>779789.78181932191</v>
      </c>
      <c r="H192" s="206">
        <f>IFERROR(IF(LoanIsNotPaid*LoanIsGood,InterestAmt,0), 0)</f>
        <v>583.86257188009199</v>
      </c>
      <c r="I192" s="206">
        <f>SUM($H$17:H192)</f>
        <v>221859.22157000957</v>
      </c>
      <c r="J192" s="206">
        <f>IFERROR(IF(LoanIsNotPaid*LoanIsGood,EndingBalance,0), 0)</f>
        <v>345210.21818064013</v>
      </c>
    </row>
    <row r="193" spans="1:10" ht="15" customHeight="1" x14ac:dyDescent="0.15">
      <c r="A193" s="178"/>
      <c r="B193" s="204">
        <f>IFERROR(IF(LoanIsNotPaid*LoanIsGood,PaymentNumber,""), "")</f>
        <v>177</v>
      </c>
      <c r="C193" s="205">
        <f>IFERROR(IF(LoanIsNotPaid*LoanIsGood,PaymentDate,LoanStartDate), LoanStartDate)</f>
        <v>51044</v>
      </c>
      <c r="D193" s="206">
        <f>IFERROR(IF(LoanIsNotPaid*LoanIsGood,LoanValue,""), "")</f>
        <v>345210.21818064013</v>
      </c>
      <c r="E193" s="206">
        <f>IFERROR(IF(LoanIsNotPaid*LoanIsGood,MonthlyPayment,0), 0)</f>
        <v>5691.1875192575681</v>
      </c>
      <c r="F193" s="206">
        <f>IFERROR(IF(LoanIsNotPaid*LoanIsGood,Principal,0), 0)</f>
        <v>5115.837155623105</v>
      </c>
      <c r="G193" s="206">
        <f>SUM($F$17:F193)</f>
        <v>784905.61897494504</v>
      </c>
      <c r="H193" s="206">
        <f>IFERROR(IF(LoanIsNotPaid*LoanIsGood,InterestAmt,0), 0)</f>
        <v>575.35036363446284</v>
      </c>
      <c r="I193" s="206">
        <f>SUM($H$17:H193)</f>
        <v>222434.57193364404</v>
      </c>
      <c r="J193" s="206">
        <f>IFERROR(IF(LoanIsNotPaid*LoanIsGood,EndingBalance,0), 0)</f>
        <v>340094.38102501724</v>
      </c>
    </row>
    <row r="194" spans="1:10" ht="15" customHeight="1" x14ac:dyDescent="0.15">
      <c r="A194" s="178"/>
      <c r="B194" s="204">
        <f>IFERROR(IF(LoanIsNotPaid*LoanIsGood,PaymentNumber,""), "")</f>
        <v>178</v>
      </c>
      <c r="C194" s="205">
        <f>IFERROR(IF(LoanIsNotPaid*LoanIsGood,PaymentDate,LoanStartDate), LoanStartDate)</f>
        <v>51075</v>
      </c>
      <c r="D194" s="206">
        <f>IFERROR(IF(LoanIsNotPaid*LoanIsGood,LoanValue,""), "")</f>
        <v>340094.38102501724</v>
      </c>
      <c r="E194" s="206">
        <f>IFERROR(IF(LoanIsNotPaid*LoanIsGood,MonthlyPayment,0), 0)</f>
        <v>5691.1875192575681</v>
      </c>
      <c r="F194" s="206">
        <f>IFERROR(IF(LoanIsNotPaid*LoanIsGood,Principal,0), 0)</f>
        <v>5124.3635508824764</v>
      </c>
      <c r="G194" s="206">
        <f>SUM($F$17:F194)</f>
        <v>790029.98252582748</v>
      </c>
      <c r="H194" s="206">
        <f>IFERROR(IF(LoanIsNotPaid*LoanIsGood,InterestAmt,0), 0)</f>
        <v>566.823968375091</v>
      </c>
      <c r="I194" s="206">
        <f>SUM($H$17:H194)</f>
        <v>223001.39590201914</v>
      </c>
      <c r="J194" s="206">
        <f>IFERROR(IF(LoanIsNotPaid*LoanIsGood,EndingBalance,0), 0)</f>
        <v>334970.01747413469</v>
      </c>
    </row>
    <row r="195" spans="1:10" ht="15" customHeight="1" x14ac:dyDescent="0.15">
      <c r="A195" s="178"/>
      <c r="B195" s="204">
        <f>IFERROR(IF(LoanIsNotPaid*LoanIsGood,PaymentNumber,""), "")</f>
        <v>179</v>
      </c>
      <c r="C195" s="205">
        <f>IFERROR(IF(LoanIsNotPaid*LoanIsGood,PaymentDate,LoanStartDate), LoanStartDate)</f>
        <v>51105</v>
      </c>
      <c r="D195" s="206">
        <f>IFERROR(IF(LoanIsNotPaid*LoanIsGood,LoanValue,""), "")</f>
        <v>334970.01747413469</v>
      </c>
      <c r="E195" s="206">
        <f>IFERROR(IF(LoanIsNotPaid*LoanIsGood,MonthlyPayment,0), 0)</f>
        <v>5691.1875192575681</v>
      </c>
      <c r="F195" s="206">
        <f>IFERROR(IF(LoanIsNotPaid*LoanIsGood,Principal,0), 0)</f>
        <v>5132.9041568006141</v>
      </c>
      <c r="G195" s="206">
        <f>SUM($F$17:F195)</f>
        <v>795162.88668262807</v>
      </c>
      <c r="H195" s="206">
        <f>IFERROR(IF(LoanIsNotPaid*LoanIsGood,InterestAmt,0), 0)</f>
        <v>558.28336245695345</v>
      </c>
      <c r="I195" s="206">
        <f>SUM($H$17:H195)</f>
        <v>223559.67926447609</v>
      </c>
      <c r="J195" s="206">
        <f>IFERROR(IF(LoanIsNotPaid*LoanIsGood,EndingBalance,0), 0)</f>
        <v>329837.11331733316</v>
      </c>
    </row>
    <row r="196" spans="1:10" ht="15" customHeight="1" x14ac:dyDescent="0.15">
      <c r="A196" s="178"/>
      <c r="B196" s="204">
        <f>IFERROR(IF(LoanIsNotPaid*LoanIsGood,PaymentNumber,""), "")</f>
        <v>180</v>
      </c>
      <c r="C196" s="205">
        <f>IFERROR(IF(LoanIsNotPaid*LoanIsGood,PaymentDate,LoanStartDate), LoanStartDate)</f>
        <v>51136</v>
      </c>
      <c r="D196" s="206">
        <f>IFERROR(IF(LoanIsNotPaid*LoanIsGood,LoanValue,""), "")</f>
        <v>329837.11331733316</v>
      </c>
      <c r="E196" s="206">
        <f>IFERROR(IF(LoanIsNotPaid*LoanIsGood,MonthlyPayment,0), 0)</f>
        <v>5691.1875192575681</v>
      </c>
      <c r="F196" s="206">
        <f>IFERROR(IF(LoanIsNotPaid*LoanIsGood,Principal,0), 0)</f>
        <v>5141.4589970619481</v>
      </c>
      <c r="G196" s="206">
        <f>SUM($F$17:F196)</f>
        <v>800304.34567969001</v>
      </c>
      <c r="H196" s="206">
        <f>IFERROR(IF(LoanIsNotPaid*LoanIsGood,InterestAmt,0), 0)</f>
        <v>549.72852219561923</v>
      </c>
      <c r="I196" s="206">
        <f>SUM($H$17:H196)</f>
        <v>224109.40778667171</v>
      </c>
      <c r="J196" s="206">
        <f>IFERROR(IF(LoanIsNotPaid*LoanIsGood,EndingBalance,0), 0)</f>
        <v>324695.65432027122</v>
      </c>
    </row>
    <row r="197" spans="1:10" ht="15" customHeight="1" x14ac:dyDescent="0.15">
      <c r="A197" s="178"/>
      <c r="B197" s="204">
        <f>IFERROR(IF(LoanIsNotPaid*LoanIsGood,PaymentNumber,""), "")</f>
        <v>181</v>
      </c>
      <c r="C197" s="205">
        <f>IFERROR(IF(LoanIsNotPaid*LoanIsGood,PaymentDate,LoanStartDate), LoanStartDate)</f>
        <v>51167</v>
      </c>
      <c r="D197" s="206">
        <f>IFERROR(IF(LoanIsNotPaid*LoanIsGood,LoanValue,""), "")</f>
        <v>324695.65432027122</v>
      </c>
      <c r="E197" s="206">
        <f>IFERROR(IF(LoanIsNotPaid*LoanIsGood,MonthlyPayment,0), 0)</f>
        <v>5691.1875192575681</v>
      </c>
      <c r="F197" s="206">
        <f>IFERROR(IF(LoanIsNotPaid*LoanIsGood,Principal,0), 0)</f>
        <v>5150.0280953903857</v>
      </c>
      <c r="G197" s="206">
        <f>SUM($F$17:F197)</f>
        <v>805454.37377508043</v>
      </c>
      <c r="H197" s="206">
        <f>IFERROR(IF(LoanIsNotPaid*LoanIsGood,InterestAmt,0), 0)</f>
        <v>541.15942386718268</v>
      </c>
      <c r="I197" s="206">
        <f>SUM($H$17:H197)</f>
        <v>224650.56721053889</v>
      </c>
      <c r="J197" s="206">
        <f>IFERROR(IF(LoanIsNotPaid*LoanIsGood,EndingBalance,0), 0)</f>
        <v>319545.62622488057</v>
      </c>
    </row>
    <row r="198" spans="1:10" ht="15" customHeight="1" x14ac:dyDescent="0.15">
      <c r="A198" s="178"/>
      <c r="B198" s="204">
        <f>IFERROR(IF(LoanIsNotPaid*LoanIsGood,PaymentNumber,""), "")</f>
        <v>182</v>
      </c>
      <c r="C198" s="205">
        <f>IFERROR(IF(LoanIsNotPaid*LoanIsGood,PaymentDate,LoanStartDate), LoanStartDate)</f>
        <v>51196</v>
      </c>
      <c r="D198" s="206">
        <f>IFERROR(IF(LoanIsNotPaid*LoanIsGood,LoanValue,""), "")</f>
        <v>319545.62622488057</v>
      </c>
      <c r="E198" s="206">
        <f>IFERROR(IF(LoanIsNotPaid*LoanIsGood,MonthlyPayment,0), 0)</f>
        <v>5691.1875192575681</v>
      </c>
      <c r="F198" s="206">
        <f>IFERROR(IF(LoanIsNotPaid*LoanIsGood,Principal,0), 0)</f>
        <v>5158.6114755493691</v>
      </c>
      <c r="G198" s="206">
        <f>SUM($F$17:F198)</f>
        <v>810612.98525062983</v>
      </c>
      <c r="H198" s="206">
        <f>IFERROR(IF(LoanIsNotPaid*LoanIsGood,InterestAmt,0), 0)</f>
        <v>532.57604370819877</v>
      </c>
      <c r="I198" s="206">
        <f>SUM($H$17:H198)</f>
        <v>225183.14325424709</v>
      </c>
      <c r="J198" s="206">
        <f>IFERROR(IF(LoanIsNotPaid*LoanIsGood,EndingBalance,0), 0)</f>
        <v>314387.01474933093</v>
      </c>
    </row>
    <row r="199" spans="1:10" ht="15" customHeight="1" x14ac:dyDescent="0.15">
      <c r="A199" s="178"/>
      <c r="B199" s="204">
        <f>IFERROR(IF(LoanIsNotPaid*LoanIsGood,PaymentNumber,""), "")</f>
        <v>183</v>
      </c>
      <c r="C199" s="205">
        <f>IFERROR(IF(LoanIsNotPaid*LoanIsGood,PaymentDate,LoanStartDate), LoanStartDate)</f>
        <v>51227</v>
      </c>
      <c r="D199" s="206">
        <f>IFERROR(IF(LoanIsNotPaid*LoanIsGood,LoanValue,""), "")</f>
        <v>314387.01474933093</v>
      </c>
      <c r="E199" s="206">
        <f>IFERROR(IF(LoanIsNotPaid*LoanIsGood,MonthlyPayment,0), 0)</f>
        <v>5691.1875192575681</v>
      </c>
      <c r="F199" s="206">
        <f>IFERROR(IF(LoanIsNotPaid*LoanIsGood,Principal,0), 0)</f>
        <v>5167.2091613419516</v>
      </c>
      <c r="G199" s="206">
        <f>SUM($F$17:F199)</f>
        <v>815780.19441197184</v>
      </c>
      <c r="H199" s="206">
        <f>IFERROR(IF(LoanIsNotPaid*LoanIsGood,InterestAmt,0), 0)</f>
        <v>523.97835791561636</v>
      </c>
      <c r="I199" s="206">
        <f>SUM($H$17:H199)</f>
        <v>225707.12161216271</v>
      </c>
      <c r="J199" s="206">
        <f>IFERROR(IF(LoanIsNotPaid*LoanIsGood,EndingBalance,0), 0)</f>
        <v>309219.80558798905</v>
      </c>
    </row>
    <row r="200" spans="1:10" ht="15" customHeight="1" x14ac:dyDescent="0.15">
      <c r="A200" s="178"/>
      <c r="B200" s="204">
        <f>IFERROR(IF(LoanIsNotPaid*LoanIsGood,PaymentNumber,""), "")</f>
        <v>184</v>
      </c>
      <c r="C200" s="205">
        <f>IFERROR(IF(LoanIsNotPaid*LoanIsGood,PaymentDate,LoanStartDate), LoanStartDate)</f>
        <v>51257</v>
      </c>
      <c r="D200" s="206">
        <f>IFERROR(IF(LoanIsNotPaid*LoanIsGood,LoanValue,""), "")</f>
        <v>309219.80558798905</v>
      </c>
      <c r="E200" s="206">
        <f>IFERROR(IF(LoanIsNotPaid*LoanIsGood,MonthlyPayment,0), 0)</f>
        <v>5691.1875192575681</v>
      </c>
      <c r="F200" s="206">
        <f>IFERROR(IF(LoanIsNotPaid*LoanIsGood,Principal,0), 0)</f>
        <v>5175.8211766108552</v>
      </c>
      <c r="G200" s="206">
        <f>SUM($F$17:F200)</f>
        <v>820956.01558858273</v>
      </c>
      <c r="H200" s="206">
        <f>IFERROR(IF(LoanIsNotPaid*LoanIsGood,InterestAmt,0), 0)</f>
        <v>515.36634264671329</v>
      </c>
      <c r="I200" s="206">
        <f>SUM($H$17:H200)</f>
        <v>226222.48795480942</v>
      </c>
      <c r="J200" s="206">
        <f>IFERROR(IF(LoanIsNotPaid*LoanIsGood,EndingBalance,0), 0)</f>
        <v>304043.98441137699</v>
      </c>
    </row>
    <row r="201" spans="1:10" ht="15" customHeight="1" x14ac:dyDescent="0.15">
      <c r="A201" s="178"/>
      <c r="B201" s="204">
        <f>IFERROR(IF(LoanIsNotPaid*LoanIsGood,PaymentNumber,""), "")</f>
        <v>185</v>
      </c>
      <c r="C201" s="205">
        <f>IFERROR(IF(LoanIsNotPaid*LoanIsGood,PaymentDate,LoanStartDate), LoanStartDate)</f>
        <v>51288</v>
      </c>
      <c r="D201" s="206">
        <f>IFERROR(IF(LoanIsNotPaid*LoanIsGood,LoanValue,""), "")</f>
        <v>304043.98441137699</v>
      </c>
      <c r="E201" s="206">
        <f>IFERROR(IF(LoanIsNotPaid*LoanIsGood,MonthlyPayment,0), 0)</f>
        <v>5691.1875192575681</v>
      </c>
      <c r="F201" s="206">
        <f>IFERROR(IF(LoanIsNotPaid*LoanIsGood,Principal,0), 0)</f>
        <v>5184.4475452385395</v>
      </c>
      <c r="G201" s="206">
        <f>SUM($F$17:F201)</f>
        <v>826140.46313382126</v>
      </c>
      <c r="H201" s="206">
        <f>IFERROR(IF(LoanIsNotPaid*LoanIsGood,InterestAmt,0), 0)</f>
        <v>506.73997401902835</v>
      </c>
      <c r="I201" s="206">
        <f>SUM($H$17:H201)</f>
        <v>226729.22792882845</v>
      </c>
      <c r="J201" s="206">
        <f>IFERROR(IF(LoanIsNotPaid*LoanIsGood,EndingBalance,0), 0)</f>
        <v>298859.53686613915</v>
      </c>
    </row>
    <row r="202" spans="1:10" ht="15" customHeight="1" x14ac:dyDescent="0.15">
      <c r="A202" s="178"/>
      <c r="B202" s="204">
        <f>IFERROR(IF(LoanIsNotPaid*LoanIsGood,PaymentNumber,""), "")</f>
        <v>186</v>
      </c>
      <c r="C202" s="205">
        <f>IFERROR(IF(LoanIsNotPaid*LoanIsGood,PaymentDate,LoanStartDate), LoanStartDate)</f>
        <v>51318</v>
      </c>
      <c r="D202" s="206">
        <f>IFERROR(IF(LoanIsNotPaid*LoanIsGood,LoanValue,""), "")</f>
        <v>298859.53686613915</v>
      </c>
      <c r="E202" s="206">
        <f>IFERROR(IF(LoanIsNotPaid*LoanIsGood,MonthlyPayment,0), 0)</f>
        <v>5691.1875192575681</v>
      </c>
      <c r="F202" s="206">
        <f>IFERROR(IF(LoanIsNotPaid*LoanIsGood,Principal,0), 0)</f>
        <v>5193.0882911472709</v>
      </c>
      <c r="G202" s="206">
        <f>SUM($F$17:F202)</f>
        <v>831333.55142496852</v>
      </c>
      <c r="H202" s="206">
        <f>IFERROR(IF(LoanIsNotPaid*LoanIsGood,InterestAmt,0), 0)</f>
        <v>498.09922811029753</v>
      </c>
      <c r="I202" s="206">
        <f>SUM($H$17:H202)</f>
        <v>227227.32715693876</v>
      </c>
      <c r="J202" s="206">
        <f>IFERROR(IF(LoanIsNotPaid*LoanIsGood,EndingBalance,0), 0)</f>
        <v>293666.4485749912</v>
      </c>
    </row>
    <row r="203" spans="1:10" ht="15" customHeight="1" x14ac:dyDescent="0.15">
      <c r="A203" s="178"/>
      <c r="B203" s="204">
        <f>IFERROR(IF(LoanIsNotPaid*LoanIsGood,PaymentNumber,""), "")</f>
        <v>187</v>
      </c>
      <c r="C203" s="205">
        <f>IFERROR(IF(LoanIsNotPaid*LoanIsGood,PaymentDate,LoanStartDate), LoanStartDate)</f>
        <v>51349</v>
      </c>
      <c r="D203" s="206">
        <f>IFERROR(IF(LoanIsNotPaid*LoanIsGood,LoanValue,""), "")</f>
        <v>293666.4485749912</v>
      </c>
      <c r="E203" s="206">
        <f>IFERROR(IF(LoanIsNotPaid*LoanIsGood,MonthlyPayment,0), 0)</f>
        <v>5691.1875192575681</v>
      </c>
      <c r="F203" s="206">
        <f>IFERROR(IF(LoanIsNotPaid*LoanIsGood,Principal,0), 0)</f>
        <v>5201.7434382991833</v>
      </c>
      <c r="G203" s="206">
        <f>SUM($F$17:F203)</f>
        <v>836535.29486326769</v>
      </c>
      <c r="H203" s="206">
        <f>IFERROR(IF(LoanIsNotPaid*LoanIsGood,InterestAmt,0), 0)</f>
        <v>489.44408095838537</v>
      </c>
      <c r="I203" s="206">
        <f>SUM($H$17:H203)</f>
        <v>227716.77123789713</v>
      </c>
      <c r="J203" s="206">
        <f>IFERROR(IF(LoanIsNotPaid*LoanIsGood,EndingBalance,0), 0)</f>
        <v>288464.70513669215</v>
      </c>
    </row>
    <row r="204" spans="1:10" ht="15" customHeight="1" x14ac:dyDescent="0.15">
      <c r="A204" s="178"/>
      <c r="B204" s="204">
        <f>IFERROR(IF(LoanIsNotPaid*LoanIsGood,PaymentNumber,""), "")</f>
        <v>188</v>
      </c>
      <c r="C204" s="205">
        <f>IFERROR(IF(LoanIsNotPaid*LoanIsGood,PaymentDate,LoanStartDate), LoanStartDate)</f>
        <v>51380</v>
      </c>
      <c r="D204" s="206">
        <f>IFERROR(IF(LoanIsNotPaid*LoanIsGood,LoanValue,""), "")</f>
        <v>288464.70513669215</v>
      </c>
      <c r="E204" s="206">
        <f>IFERROR(IF(LoanIsNotPaid*LoanIsGood,MonthlyPayment,0), 0)</f>
        <v>5691.1875192575681</v>
      </c>
      <c r="F204" s="206">
        <f>IFERROR(IF(LoanIsNotPaid*LoanIsGood,Principal,0), 0)</f>
        <v>5210.4130106963485</v>
      </c>
      <c r="G204" s="206">
        <f>SUM($F$17:F204)</f>
        <v>841745.70787396398</v>
      </c>
      <c r="H204" s="206">
        <f>IFERROR(IF(LoanIsNotPaid*LoanIsGood,InterestAmt,0), 0)</f>
        <v>480.77450856121999</v>
      </c>
      <c r="I204" s="206">
        <f>SUM($H$17:H204)</f>
        <v>228197.54574645835</v>
      </c>
      <c r="J204" s="206">
        <f>IFERROR(IF(LoanIsNotPaid*LoanIsGood,EndingBalance,0), 0)</f>
        <v>283254.29212599527</v>
      </c>
    </row>
    <row r="205" spans="1:10" ht="15" customHeight="1" x14ac:dyDescent="0.15">
      <c r="A205" s="178"/>
      <c r="B205" s="204">
        <f>IFERROR(IF(LoanIsNotPaid*LoanIsGood,PaymentNumber,""), "")</f>
        <v>189</v>
      </c>
      <c r="C205" s="205">
        <f>IFERROR(IF(LoanIsNotPaid*LoanIsGood,PaymentDate,LoanStartDate), LoanStartDate)</f>
        <v>51410</v>
      </c>
      <c r="D205" s="206">
        <f>IFERROR(IF(LoanIsNotPaid*LoanIsGood,LoanValue,""), "")</f>
        <v>283254.29212599527</v>
      </c>
      <c r="E205" s="206">
        <f>IFERROR(IF(LoanIsNotPaid*LoanIsGood,MonthlyPayment,0), 0)</f>
        <v>5691.1875192575681</v>
      </c>
      <c r="F205" s="206">
        <f>IFERROR(IF(LoanIsNotPaid*LoanIsGood,Principal,0), 0)</f>
        <v>5219.0970323808415</v>
      </c>
      <c r="G205" s="206">
        <f>SUM($F$17:F205)</f>
        <v>846964.80490634486</v>
      </c>
      <c r="H205" s="206">
        <f>IFERROR(IF(LoanIsNotPaid*LoanIsGood,InterestAmt,0), 0)</f>
        <v>472.09048687672612</v>
      </c>
      <c r="I205" s="206">
        <f>SUM($H$17:H205)</f>
        <v>228669.63623333507</v>
      </c>
      <c r="J205" s="206">
        <f>IFERROR(IF(LoanIsNotPaid*LoanIsGood,EndingBalance,0), 0)</f>
        <v>278035.19509361428</v>
      </c>
    </row>
    <row r="206" spans="1:10" ht="15" customHeight="1" x14ac:dyDescent="0.15">
      <c r="A206" s="178"/>
      <c r="B206" s="204">
        <f>IFERROR(IF(LoanIsNotPaid*LoanIsGood,PaymentNumber,""), "")</f>
        <v>190</v>
      </c>
      <c r="C206" s="205">
        <f>IFERROR(IF(LoanIsNotPaid*LoanIsGood,PaymentDate,LoanStartDate), LoanStartDate)</f>
        <v>51441</v>
      </c>
      <c r="D206" s="206">
        <f>IFERROR(IF(LoanIsNotPaid*LoanIsGood,LoanValue,""), "")</f>
        <v>278035.19509361428</v>
      </c>
      <c r="E206" s="206">
        <f>IFERROR(IF(LoanIsNotPaid*LoanIsGood,MonthlyPayment,0), 0)</f>
        <v>5691.1875192575681</v>
      </c>
      <c r="F206" s="206">
        <f>IFERROR(IF(LoanIsNotPaid*LoanIsGood,Principal,0), 0)</f>
        <v>5227.7955274348096</v>
      </c>
      <c r="G206" s="206">
        <f>SUM($F$17:F206)</f>
        <v>852192.60043377965</v>
      </c>
      <c r="H206" s="206">
        <f>IFERROR(IF(LoanIsNotPaid*LoanIsGood,InterestAmt,0), 0)</f>
        <v>463.39199182275803</v>
      </c>
      <c r="I206" s="206">
        <f>SUM($H$17:H206)</f>
        <v>229133.02822515782</v>
      </c>
      <c r="J206" s="206">
        <f>IFERROR(IF(LoanIsNotPaid*LoanIsGood,EndingBalance,0), 0)</f>
        <v>272807.39956617937</v>
      </c>
    </row>
    <row r="207" spans="1:10" ht="15" customHeight="1" x14ac:dyDescent="0.15">
      <c r="A207" s="178"/>
      <c r="B207" s="204">
        <f>IFERROR(IF(LoanIsNotPaid*LoanIsGood,PaymentNumber,""), "")</f>
        <v>191</v>
      </c>
      <c r="C207" s="205">
        <f>IFERROR(IF(LoanIsNotPaid*LoanIsGood,PaymentDate,LoanStartDate), LoanStartDate)</f>
        <v>51471</v>
      </c>
      <c r="D207" s="206">
        <f>IFERROR(IF(LoanIsNotPaid*LoanIsGood,LoanValue,""), "")</f>
        <v>272807.39956617937</v>
      </c>
      <c r="E207" s="206">
        <f>IFERROR(IF(LoanIsNotPaid*LoanIsGood,MonthlyPayment,0), 0)</f>
        <v>5691.1875192575681</v>
      </c>
      <c r="F207" s="206">
        <f>IFERROR(IF(LoanIsNotPaid*LoanIsGood,Principal,0), 0)</f>
        <v>5236.5085199805344</v>
      </c>
      <c r="G207" s="206">
        <f>SUM($F$17:F207)</f>
        <v>857429.10895376024</v>
      </c>
      <c r="H207" s="206">
        <f>IFERROR(IF(LoanIsNotPaid*LoanIsGood,InterestAmt,0), 0)</f>
        <v>454.67899927703337</v>
      </c>
      <c r="I207" s="206">
        <f>SUM($H$17:H207)</f>
        <v>229587.70722443485</v>
      </c>
      <c r="J207" s="206">
        <f>IFERROR(IF(LoanIsNotPaid*LoanIsGood,EndingBalance,0), 0)</f>
        <v>267570.89104619785</v>
      </c>
    </row>
    <row r="208" spans="1:10" ht="15" customHeight="1" x14ac:dyDescent="0.15">
      <c r="A208" s="178"/>
      <c r="B208" s="204">
        <f>IFERROR(IF(LoanIsNotPaid*LoanIsGood,PaymentNumber,""), "")</f>
        <v>192</v>
      </c>
      <c r="C208" s="205">
        <f>IFERROR(IF(LoanIsNotPaid*LoanIsGood,PaymentDate,LoanStartDate), LoanStartDate)</f>
        <v>51502</v>
      </c>
      <c r="D208" s="206">
        <f>IFERROR(IF(LoanIsNotPaid*LoanIsGood,LoanValue,""), "")</f>
        <v>267570.89104619785</v>
      </c>
      <c r="E208" s="206">
        <f>IFERROR(IF(LoanIsNotPaid*LoanIsGood,MonthlyPayment,0), 0)</f>
        <v>5691.1875192575681</v>
      </c>
      <c r="F208" s="206">
        <f>IFERROR(IF(LoanIsNotPaid*LoanIsGood,Principal,0), 0)</f>
        <v>5245.2360341805024</v>
      </c>
      <c r="G208" s="206">
        <f>SUM($F$17:F208)</f>
        <v>862674.34498794074</v>
      </c>
      <c r="H208" s="206">
        <f>IFERROR(IF(LoanIsNotPaid*LoanIsGood,InterestAmt,0), 0)</f>
        <v>445.9514850770658</v>
      </c>
      <c r="I208" s="206">
        <f>SUM($H$17:H208)</f>
        <v>230033.65870951192</v>
      </c>
      <c r="J208" s="206">
        <f>IFERROR(IF(LoanIsNotPaid*LoanIsGood,EndingBalance,0), 0)</f>
        <v>262325.65501201712</v>
      </c>
    </row>
    <row r="209" spans="1:10" ht="15" customHeight="1" x14ac:dyDescent="0.15">
      <c r="A209" s="178"/>
      <c r="B209" s="204">
        <f>IFERROR(IF(LoanIsNotPaid*LoanIsGood,PaymentNumber,""), "")</f>
        <v>193</v>
      </c>
      <c r="C209" s="205">
        <f>IFERROR(IF(LoanIsNotPaid*LoanIsGood,PaymentDate,LoanStartDate), LoanStartDate)</f>
        <v>51533</v>
      </c>
      <c r="D209" s="206">
        <f>IFERROR(IF(LoanIsNotPaid*LoanIsGood,LoanValue,""), "")</f>
        <v>262325.65501201712</v>
      </c>
      <c r="E209" s="206">
        <f>IFERROR(IF(LoanIsNotPaid*LoanIsGood,MonthlyPayment,0), 0)</f>
        <v>5691.1875192575681</v>
      </c>
      <c r="F209" s="206">
        <f>IFERROR(IF(LoanIsNotPaid*LoanIsGood,Principal,0), 0)</f>
        <v>5253.97809423747</v>
      </c>
      <c r="G209" s="206">
        <f>SUM($F$17:F209)</f>
        <v>867928.32308217825</v>
      </c>
      <c r="H209" s="206">
        <f>IFERROR(IF(LoanIsNotPaid*LoanIsGood,InterestAmt,0), 0)</f>
        <v>437.20942502009842</v>
      </c>
      <c r="I209" s="206">
        <f>SUM($H$17:H209)</f>
        <v>230470.86813453201</v>
      </c>
      <c r="J209" s="206">
        <f>IFERROR(IF(LoanIsNotPaid*LoanIsGood,EndingBalance,0), 0)</f>
        <v>257071.67691777926</v>
      </c>
    </row>
    <row r="210" spans="1:10" ht="15" customHeight="1" x14ac:dyDescent="0.15">
      <c r="A210" s="178"/>
      <c r="B210" s="204">
        <f>IFERROR(IF(LoanIsNotPaid*LoanIsGood,PaymentNumber,""), "")</f>
        <v>194</v>
      </c>
      <c r="C210" s="205">
        <f>IFERROR(IF(LoanIsNotPaid*LoanIsGood,PaymentDate,LoanStartDate), LoanStartDate)</f>
        <v>51561</v>
      </c>
      <c r="D210" s="206">
        <f>IFERROR(IF(LoanIsNotPaid*LoanIsGood,LoanValue,""), "")</f>
        <v>257071.67691777926</v>
      </c>
      <c r="E210" s="206">
        <f>IFERROR(IF(LoanIsNotPaid*LoanIsGood,MonthlyPayment,0), 0)</f>
        <v>5691.1875192575681</v>
      </c>
      <c r="F210" s="206">
        <f>IFERROR(IF(LoanIsNotPaid*LoanIsGood,Principal,0), 0)</f>
        <v>5262.7347243945323</v>
      </c>
      <c r="G210" s="206">
        <f>SUM($F$17:F210)</f>
        <v>873191.05780657276</v>
      </c>
      <c r="H210" s="206">
        <f>IFERROR(IF(LoanIsNotPaid*LoanIsGood,InterestAmt,0), 0)</f>
        <v>428.45279486303588</v>
      </c>
      <c r="I210" s="206">
        <f>SUM($H$17:H210)</f>
        <v>230899.32092939503</v>
      </c>
      <c r="J210" s="206">
        <f>IFERROR(IF(LoanIsNotPaid*LoanIsGood,EndingBalance,0), 0)</f>
        <v>251808.94219338475</v>
      </c>
    </row>
    <row r="211" spans="1:10" ht="15" customHeight="1" x14ac:dyDescent="0.15">
      <c r="A211" s="178"/>
      <c r="B211" s="204">
        <f>IFERROR(IF(LoanIsNotPaid*LoanIsGood,PaymentNumber,""), "")</f>
        <v>195</v>
      </c>
      <c r="C211" s="205">
        <f>IFERROR(IF(LoanIsNotPaid*LoanIsGood,PaymentDate,LoanStartDate), LoanStartDate)</f>
        <v>51592</v>
      </c>
      <c r="D211" s="206">
        <f>IFERROR(IF(LoanIsNotPaid*LoanIsGood,LoanValue,""), "")</f>
        <v>251808.94219338475</v>
      </c>
      <c r="E211" s="206">
        <f>IFERROR(IF(LoanIsNotPaid*LoanIsGood,MonthlyPayment,0), 0)</f>
        <v>5691.1875192575681</v>
      </c>
      <c r="F211" s="206">
        <f>IFERROR(IF(LoanIsNotPaid*LoanIsGood,Principal,0), 0)</f>
        <v>5271.5059489351897</v>
      </c>
      <c r="G211" s="206">
        <f>SUM($F$17:F211)</f>
        <v>878462.56375550793</v>
      </c>
      <c r="H211" s="206">
        <f>IFERROR(IF(LoanIsNotPaid*LoanIsGood,InterestAmt,0), 0)</f>
        <v>419.68157032237832</v>
      </c>
      <c r="I211" s="206">
        <f>SUM($H$17:H211)</f>
        <v>231319.0024997174</v>
      </c>
      <c r="J211" s="206">
        <f>IFERROR(IF(LoanIsNotPaid*LoanIsGood,EndingBalance,0), 0)</f>
        <v>246537.43624444911</v>
      </c>
    </row>
    <row r="212" spans="1:10" ht="15" customHeight="1" x14ac:dyDescent="0.15">
      <c r="A212" s="178"/>
      <c r="B212" s="204">
        <f>IFERROR(IF(LoanIsNotPaid*LoanIsGood,PaymentNumber,""), "")</f>
        <v>196</v>
      </c>
      <c r="C212" s="205">
        <f>IFERROR(IF(LoanIsNotPaid*LoanIsGood,PaymentDate,LoanStartDate), LoanStartDate)</f>
        <v>51622</v>
      </c>
      <c r="D212" s="206">
        <f>IFERROR(IF(LoanIsNotPaid*LoanIsGood,LoanValue,""), "")</f>
        <v>246537.43624444911</v>
      </c>
      <c r="E212" s="206">
        <f>IFERROR(IF(LoanIsNotPaid*LoanIsGood,MonthlyPayment,0), 0)</f>
        <v>5691.1875192575681</v>
      </c>
      <c r="F212" s="206">
        <f>IFERROR(IF(LoanIsNotPaid*LoanIsGood,Principal,0), 0)</f>
        <v>5280.2917921834151</v>
      </c>
      <c r="G212" s="206">
        <f>SUM($F$17:F212)</f>
        <v>883742.85554769135</v>
      </c>
      <c r="H212" s="206">
        <f>IFERROR(IF(LoanIsNotPaid*LoanIsGood,InterestAmt,0), 0)</f>
        <v>410.895727074153</v>
      </c>
      <c r="I212" s="206">
        <f>SUM($H$17:H212)</f>
        <v>231729.89822679156</v>
      </c>
      <c r="J212" s="206">
        <f>IFERROR(IF(LoanIsNotPaid*LoanIsGood,EndingBalance,0), 0)</f>
        <v>241257.14445226546</v>
      </c>
    </row>
    <row r="213" spans="1:10" ht="15" customHeight="1" x14ac:dyDescent="0.15">
      <c r="A213" s="178"/>
      <c r="B213" s="204">
        <f>IFERROR(IF(LoanIsNotPaid*LoanIsGood,PaymentNumber,""), "")</f>
        <v>197</v>
      </c>
      <c r="C213" s="205">
        <f>IFERROR(IF(LoanIsNotPaid*LoanIsGood,PaymentDate,LoanStartDate), LoanStartDate)</f>
        <v>51653</v>
      </c>
      <c r="D213" s="206">
        <f>IFERROR(IF(LoanIsNotPaid*LoanIsGood,LoanValue,""), "")</f>
        <v>241257.14445226546</v>
      </c>
      <c r="E213" s="206">
        <f>IFERROR(IF(LoanIsNotPaid*LoanIsGood,MonthlyPayment,0), 0)</f>
        <v>5691.1875192575681</v>
      </c>
      <c r="F213" s="206">
        <f>IFERROR(IF(LoanIsNotPaid*LoanIsGood,Principal,0), 0)</f>
        <v>5289.092278503721</v>
      </c>
      <c r="G213" s="206">
        <f>SUM($F$17:F213)</f>
        <v>889031.94782619504</v>
      </c>
      <c r="H213" s="206">
        <f>IFERROR(IF(LoanIsNotPaid*LoanIsGood,InterestAmt,0), 0)</f>
        <v>402.09524075384724</v>
      </c>
      <c r="I213" s="206">
        <f>SUM($H$17:H213)</f>
        <v>232131.9934675454</v>
      </c>
      <c r="J213" s="206">
        <f>IFERROR(IF(LoanIsNotPaid*LoanIsGood,EndingBalance,0), 0)</f>
        <v>235968.05217376212</v>
      </c>
    </row>
    <row r="214" spans="1:10" ht="15" customHeight="1" x14ac:dyDescent="0.15">
      <c r="A214" s="178"/>
      <c r="B214" s="204">
        <f>IFERROR(IF(LoanIsNotPaid*LoanIsGood,PaymentNumber,""), "")</f>
        <v>198</v>
      </c>
      <c r="C214" s="205">
        <f>IFERROR(IF(LoanIsNotPaid*LoanIsGood,PaymentDate,LoanStartDate), LoanStartDate)</f>
        <v>51683</v>
      </c>
      <c r="D214" s="206">
        <f>IFERROR(IF(LoanIsNotPaid*LoanIsGood,LoanValue,""), "")</f>
        <v>235968.05217376212</v>
      </c>
      <c r="E214" s="206">
        <f>IFERROR(IF(LoanIsNotPaid*LoanIsGood,MonthlyPayment,0), 0)</f>
        <v>5691.1875192575681</v>
      </c>
      <c r="F214" s="206">
        <f>IFERROR(IF(LoanIsNotPaid*LoanIsGood,Principal,0), 0)</f>
        <v>5297.9074323012264</v>
      </c>
      <c r="G214" s="206">
        <f>SUM($F$17:F214)</f>
        <v>894329.85525849625</v>
      </c>
      <c r="H214" s="206">
        <f>IFERROR(IF(LoanIsNotPaid*LoanIsGood,InterestAmt,0), 0)</f>
        <v>393.28008695634111</v>
      </c>
      <c r="I214" s="206">
        <f>SUM($H$17:H214)</f>
        <v>232525.27355450173</v>
      </c>
      <c r="J214" s="206">
        <f>IFERROR(IF(LoanIsNotPaid*LoanIsGood,EndingBalance,0), 0)</f>
        <v>230670.14474146068</v>
      </c>
    </row>
    <row r="215" spans="1:10" ht="15" customHeight="1" x14ac:dyDescent="0.15">
      <c r="A215" s="178"/>
      <c r="B215" s="204">
        <f>IFERROR(IF(LoanIsNotPaid*LoanIsGood,PaymentNumber,""), "")</f>
        <v>199</v>
      </c>
      <c r="C215" s="205">
        <f>IFERROR(IF(LoanIsNotPaid*LoanIsGood,PaymentDate,LoanStartDate), LoanStartDate)</f>
        <v>51714</v>
      </c>
      <c r="D215" s="206">
        <f>IFERROR(IF(LoanIsNotPaid*LoanIsGood,LoanValue,""), "")</f>
        <v>230670.14474146068</v>
      </c>
      <c r="E215" s="206">
        <f>IFERROR(IF(LoanIsNotPaid*LoanIsGood,MonthlyPayment,0), 0)</f>
        <v>5691.1875192575681</v>
      </c>
      <c r="F215" s="206">
        <f>IFERROR(IF(LoanIsNotPaid*LoanIsGood,Principal,0), 0)</f>
        <v>5306.7372780217293</v>
      </c>
      <c r="G215" s="206">
        <f>SUM($F$17:F215)</f>
        <v>899636.592536518</v>
      </c>
      <c r="H215" s="206">
        <f>IFERROR(IF(LoanIsNotPaid*LoanIsGood,InterestAmt,0), 0)</f>
        <v>384.45024123583903</v>
      </c>
      <c r="I215" s="206">
        <f>SUM($H$17:H215)</f>
        <v>232909.72379573758</v>
      </c>
      <c r="J215" s="206">
        <f>IFERROR(IF(LoanIsNotPaid*LoanIsGood,EndingBalance,0), 0)</f>
        <v>225363.40746343858</v>
      </c>
    </row>
    <row r="216" spans="1:10" ht="15" customHeight="1" x14ac:dyDescent="0.15">
      <c r="A216" s="178"/>
      <c r="B216" s="204">
        <f>IFERROR(IF(LoanIsNotPaid*LoanIsGood,PaymentNumber,""), "")</f>
        <v>200</v>
      </c>
      <c r="C216" s="205">
        <f>IFERROR(IF(LoanIsNotPaid*LoanIsGood,PaymentDate,LoanStartDate), LoanStartDate)</f>
        <v>51745</v>
      </c>
      <c r="D216" s="206">
        <f>IFERROR(IF(LoanIsNotPaid*LoanIsGood,LoanValue,""), "")</f>
        <v>225363.40746343858</v>
      </c>
      <c r="E216" s="206">
        <f>IFERROR(IF(LoanIsNotPaid*LoanIsGood,MonthlyPayment,0), 0)</f>
        <v>5691.1875192575681</v>
      </c>
      <c r="F216" s="206">
        <f>IFERROR(IF(LoanIsNotPaid*LoanIsGood,Principal,0), 0)</f>
        <v>5315.5818401517654</v>
      </c>
      <c r="G216" s="206">
        <f>SUM($F$17:F216)</f>
        <v>904952.17437666981</v>
      </c>
      <c r="H216" s="206">
        <f>IFERROR(IF(LoanIsNotPaid*LoanIsGood,InterestAmt,0), 0)</f>
        <v>375.60567910580284</v>
      </c>
      <c r="I216" s="206">
        <f>SUM($H$17:H216)</f>
        <v>233285.32947484337</v>
      </c>
      <c r="J216" s="206">
        <f>IFERROR(IF(LoanIsNotPaid*LoanIsGood,EndingBalance,0), 0)</f>
        <v>220047.82562328596</v>
      </c>
    </row>
    <row r="217" spans="1:10" ht="15" customHeight="1" x14ac:dyDescent="0.15">
      <c r="A217" s="178"/>
      <c r="B217" s="204">
        <f>IFERROR(IF(LoanIsNotPaid*LoanIsGood,PaymentNumber,""), "")</f>
        <v>201</v>
      </c>
      <c r="C217" s="205">
        <f>IFERROR(IF(LoanIsNotPaid*LoanIsGood,PaymentDate,LoanStartDate), LoanStartDate)</f>
        <v>51775</v>
      </c>
      <c r="D217" s="206">
        <f>IFERROR(IF(LoanIsNotPaid*LoanIsGood,LoanValue,""), "")</f>
        <v>220047.82562328596</v>
      </c>
      <c r="E217" s="206">
        <f>IFERROR(IF(LoanIsNotPaid*LoanIsGood,MonthlyPayment,0), 0)</f>
        <v>5691.1875192575681</v>
      </c>
      <c r="F217" s="206">
        <f>IFERROR(IF(LoanIsNotPaid*LoanIsGood,Principal,0), 0)</f>
        <v>5324.4411432186853</v>
      </c>
      <c r="G217" s="206">
        <f>SUM($F$17:F217)</f>
        <v>910276.61551988847</v>
      </c>
      <c r="H217" s="206">
        <f>IFERROR(IF(LoanIsNotPaid*LoanIsGood,InterestAmt,0), 0)</f>
        <v>366.74637603888323</v>
      </c>
      <c r="I217" s="206">
        <f>SUM($H$17:H217)</f>
        <v>233652.07585088225</v>
      </c>
      <c r="J217" s="206">
        <f>IFERROR(IF(LoanIsNotPaid*LoanIsGood,EndingBalance,0), 0)</f>
        <v>214723.38448006753</v>
      </c>
    </row>
    <row r="218" spans="1:10" ht="15" customHeight="1" x14ac:dyDescent="0.15">
      <c r="A218" s="178"/>
      <c r="B218" s="204">
        <f>IFERROR(IF(LoanIsNotPaid*LoanIsGood,PaymentNumber,""), "")</f>
        <v>202</v>
      </c>
      <c r="C218" s="205">
        <f>IFERROR(IF(LoanIsNotPaid*LoanIsGood,PaymentDate,LoanStartDate), LoanStartDate)</f>
        <v>51806</v>
      </c>
      <c r="D218" s="206">
        <f>IFERROR(IF(LoanIsNotPaid*LoanIsGood,LoanValue,""), "")</f>
        <v>214723.38448006753</v>
      </c>
      <c r="E218" s="206">
        <f>IFERROR(IF(LoanIsNotPaid*LoanIsGood,MonthlyPayment,0), 0)</f>
        <v>5691.1875192575681</v>
      </c>
      <c r="F218" s="206">
        <f>IFERROR(IF(LoanIsNotPaid*LoanIsGood,Principal,0), 0)</f>
        <v>5333.3152117907157</v>
      </c>
      <c r="G218" s="206">
        <f>SUM($F$17:F218)</f>
        <v>915609.9307316792</v>
      </c>
      <c r="H218" s="206">
        <f>IFERROR(IF(LoanIsNotPaid*LoanIsGood,InterestAmt,0), 0)</f>
        <v>357.87230746685202</v>
      </c>
      <c r="I218" s="206">
        <f>SUM($H$17:H218)</f>
        <v>234009.94815834909</v>
      </c>
      <c r="J218" s="206">
        <f>IFERROR(IF(LoanIsNotPaid*LoanIsGood,EndingBalance,0), 0)</f>
        <v>209390.06926827622</v>
      </c>
    </row>
    <row r="219" spans="1:10" ht="15" customHeight="1" x14ac:dyDescent="0.15">
      <c r="A219" s="178"/>
      <c r="B219" s="204">
        <f>IFERROR(IF(LoanIsNotPaid*LoanIsGood,PaymentNumber,""), "")</f>
        <v>203</v>
      </c>
      <c r="C219" s="205">
        <f>IFERROR(IF(LoanIsNotPaid*LoanIsGood,PaymentDate,LoanStartDate), LoanStartDate)</f>
        <v>51836</v>
      </c>
      <c r="D219" s="206">
        <f>IFERROR(IF(LoanIsNotPaid*LoanIsGood,LoanValue,""), "")</f>
        <v>209390.06926827622</v>
      </c>
      <c r="E219" s="206">
        <f>IFERROR(IF(LoanIsNotPaid*LoanIsGood,MonthlyPayment,0), 0)</f>
        <v>5691.1875192575681</v>
      </c>
      <c r="F219" s="206">
        <f>IFERROR(IF(LoanIsNotPaid*LoanIsGood,Principal,0), 0)</f>
        <v>5342.2040704770334</v>
      </c>
      <c r="G219" s="206">
        <f>SUM($F$17:F219)</f>
        <v>920952.13480215624</v>
      </c>
      <c r="H219" s="206">
        <f>IFERROR(IF(LoanIsNotPaid*LoanIsGood,InterestAmt,0), 0)</f>
        <v>348.98344878053422</v>
      </c>
      <c r="I219" s="206">
        <f>SUM($H$17:H219)</f>
        <v>234358.93160712961</v>
      </c>
      <c r="J219" s="206">
        <f>IFERROR(IF(LoanIsNotPaid*LoanIsGood,EndingBalance,0), 0)</f>
        <v>204047.8651977987</v>
      </c>
    </row>
    <row r="220" spans="1:10" ht="15" customHeight="1" x14ac:dyDescent="0.15">
      <c r="A220" s="178"/>
      <c r="B220" s="204">
        <f>IFERROR(IF(LoanIsNotPaid*LoanIsGood,PaymentNumber,""), "")</f>
        <v>204</v>
      </c>
      <c r="C220" s="205">
        <f>IFERROR(IF(LoanIsNotPaid*LoanIsGood,PaymentDate,LoanStartDate), LoanStartDate)</f>
        <v>51867</v>
      </c>
      <c r="D220" s="206">
        <f>IFERROR(IF(LoanIsNotPaid*LoanIsGood,LoanValue,""), "")</f>
        <v>204047.8651977987</v>
      </c>
      <c r="E220" s="206">
        <f>IFERROR(IF(LoanIsNotPaid*LoanIsGood,MonthlyPayment,0), 0)</f>
        <v>5691.1875192575681</v>
      </c>
      <c r="F220" s="206">
        <f>IFERROR(IF(LoanIsNotPaid*LoanIsGood,Principal,0), 0)</f>
        <v>5351.1077439278288</v>
      </c>
      <c r="G220" s="206">
        <f>SUM($F$17:F220)</f>
        <v>926303.2425460841</v>
      </c>
      <c r="H220" s="206">
        <f>IFERROR(IF(LoanIsNotPaid*LoanIsGood,InterestAmt,0), 0)</f>
        <v>340.07977532973916</v>
      </c>
      <c r="I220" s="206">
        <f>SUM($H$17:H220)</f>
        <v>234699.01138245934</v>
      </c>
      <c r="J220" s="206">
        <f>IFERROR(IF(LoanIsNotPaid*LoanIsGood,EndingBalance,0), 0)</f>
        <v>198696.75745387096</v>
      </c>
    </row>
    <row r="221" spans="1:10" ht="15" customHeight="1" x14ac:dyDescent="0.15">
      <c r="A221" s="178"/>
      <c r="B221" s="204">
        <f>IFERROR(IF(LoanIsNotPaid*LoanIsGood,PaymentNumber,""), "")</f>
        <v>205</v>
      </c>
      <c r="C221" s="205">
        <f>IFERROR(IF(LoanIsNotPaid*LoanIsGood,PaymentDate,LoanStartDate), LoanStartDate)</f>
        <v>51898</v>
      </c>
      <c r="D221" s="206">
        <f>IFERROR(IF(LoanIsNotPaid*LoanIsGood,LoanValue,""), "")</f>
        <v>198696.75745387096</v>
      </c>
      <c r="E221" s="206">
        <f>IFERROR(IF(LoanIsNotPaid*LoanIsGood,MonthlyPayment,0), 0)</f>
        <v>5691.1875192575681</v>
      </c>
      <c r="F221" s="206">
        <f>IFERROR(IF(LoanIsNotPaid*LoanIsGood,Principal,0), 0)</f>
        <v>5360.0262568343751</v>
      </c>
      <c r="G221" s="206">
        <f>SUM($F$17:F221)</f>
        <v>931663.26880291849</v>
      </c>
      <c r="H221" s="206">
        <f>IFERROR(IF(LoanIsNotPaid*LoanIsGood,InterestAmt,0), 0)</f>
        <v>331.16126242319274</v>
      </c>
      <c r="I221" s="206">
        <f>SUM($H$17:H221)</f>
        <v>235030.17264488252</v>
      </c>
      <c r="J221" s="206">
        <f>IFERROR(IF(LoanIsNotPaid*LoanIsGood,EndingBalance,0), 0)</f>
        <v>193336.73119703587</v>
      </c>
    </row>
    <row r="222" spans="1:10" ht="15" customHeight="1" x14ac:dyDescent="0.15">
      <c r="A222" s="178"/>
      <c r="B222" s="204">
        <f>IFERROR(IF(LoanIsNotPaid*LoanIsGood,PaymentNumber,""), "")</f>
        <v>206</v>
      </c>
      <c r="C222" s="205">
        <f>IFERROR(IF(LoanIsNotPaid*LoanIsGood,PaymentDate,LoanStartDate), LoanStartDate)</f>
        <v>51926</v>
      </c>
      <c r="D222" s="206">
        <f>IFERROR(IF(LoanIsNotPaid*LoanIsGood,LoanValue,""), "")</f>
        <v>193336.73119703587</v>
      </c>
      <c r="E222" s="206">
        <f>IFERROR(IF(LoanIsNotPaid*LoanIsGood,MonthlyPayment,0), 0)</f>
        <v>5691.1875192575681</v>
      </c>
      <c r="F222" s="206">
        <f>IFERROR(IF(LoanIsNotPaid*LoanIsGood,Principal,0), 0)</f>
        <v>5368.9596339290993</v>
      </c>
      <c r="G222" s="206">
        <f>SUM($F$17:F222)</f>
        <v>937032.22843684757</v>
      </c>
      <c r="H222" s="206">
        <f>IFERROR(IF(LoanIsNotPaid*LoanIsGood,InterestAmt,0), 0)</f>
        <v>322.22788532846886</v>
      </c>
      <c r="I222" s="206">
        <f>SUM($H$17:H222)</f>
        <v>235352.40053021099</v>
      </c>
      <c r="J222" s="206">
        <f>IFERROR(IF(LoanIsNotPaid*LoanIsGood,EndingBalance,0), 0)</f>
        <v>187967.77156310668</v>
      </c>
    </row>
    <row r="223" spans="1:10" ht="15" customHeight="1" x14ac:dyDescent="0.15">
      <c r="A223" s="178"/>
      <c r="B223" s="204">
        <f>IFERROR(IF(LoanIsNotPaid*LoanIsGood,PaymentNumber,""), "")</f>
        <v>207</v>
      </c>
      <c r="C223" s="205">
        <f>IFERROR(IF(LoanIsNotPaid*LoanIsGood,PaymentDate,LoanStartDate), LoanStartDate)</f>
        <v>51957</v>
      </c>
      <c r="D223" s="206">
        <f>IFERROR(IF(LoanIsNotPaid*LoanIsGood,LoanValue,""), "")</f>
        <v>187967.77156310668</v>
      </c>
      <c r="E223" s="206">
        <f>IFERROR(IF(LoanIsNotPaid*LoanIsGood,MonthlyPayment,0), 0)</f>
        <v>5691.1875192575681</v>
      </c>
      <c r="F223" s="206">
        <f>IFERROR(IF(LoanIsNotPaid*LoanIsGood,Principal,0), 0)</f>
        <v>5377.9078999856483</v>
      </c>
      <c r="G223" s="206">
        <f>SUM($F$17:F223)</f>
        <v>942410.13633683324</v>
      </c>
      <c r="H223" s="206">
        <f>IFERROR(IF(LoanIsNotPaid*LoanIsGood,InterestAmt,0), 0)</f>
        <v>313.2796192719203</v>
      </c>
      <c r="I223" s="206">
        <f>SUM($H$17:H223)</f>
        <v>235665.68014948291</v>
      </c>
      <c r="J223" s="206">
        <f>IFERROR(IF(LoanIsNotPaid*LoanIsGood,EndingBalance,0), 0)</f>
        <v>182589.86366312136</v>
      </c>
    </row>
    <row r="224" spans="1:10" ht="15" customHeight="1" x14ac:dyDescent="0.15">
      <c r="A224" s="178"/>
      <c r="B224" s="204">
        <f>IFERROR(IF(LoanIsNotPaid*LoanIsGood,PaymentNumber,""), "")</f>
        <v>208</v>
      </c>
      <c r="C224" s="205">
        <f>IFERROR(IF(LoanIsNotPaid*LoanIsGood,PaymentDate,LoanStartDate), LoanStartDate)</f>
        <v>51987</v>
      </c>
      <c r="D224" s="206">
        <f>IFERROR(IF(LoanIsNotPaid*LoanIsGood,LoanValue,""), "")</f>
        <v>182589.86366312136</v>
      </c>
      <c r="E224" s="206">
        <f>IFERROR(IF(LoanIsNotPaid*LoanIsGood,MonthlyPayment,0), 0)</f>
        <v>5691.1875192575681</v>
      </c>
      <c r="F224" s="206">
        <f>IFERROR(IF(LoanIsNotPaid*LoanIsGood,Principal,0), 0)</f>
        <v>5386.8710798189568</v>
      </c>
      <c r="G224" s="206">
        <f>SUM($F$17:F224)</f>
        <v>947797.00741665217</v>
      </c>
      <c r="H224" s="206">
        <f>IFERROR(IF(LoanIsNotPaid*LoanIsGood,InterestAmt,0), 0)</f>
        <v>304.31643943861093</v>
      </c>
      <c r="I224" s="206">
        <f>SUM($H$17:H224)</f>
        <v>235969.99658892152</v>
      </c>
      <c r="J224" s="206">
        <f>IFERROR(IF(LoanIsNotPaid*LoanIsGood,EndingBalance,0), 0)</f>
        <v>177202.99258330115</v>
      </c>
    </row>
    <row r="225" spans="1:10" ht="15" customHeight="1" x14ac:dyDescent="0.15">
      <c r="A225" s="178"/>
      <c r="B225" s="204">
        <f>IFERROR(IF(LoanIsNotPaid*LoanIsGood,PaymentNumber,""), "")</f>
        <v>209</v>
      </c>
      <c r="C225" s="205">
        <f>IFERROR(IF(LoanIsNotPaid*LoanIsGood,PaymentDate,LoanStartDate), LoanStartDate)</f>
        <v>52018</v>
      </c>
      <c r="D225" s="206">
        <f>IFERROR(IF(LoanIsNotPaid*LoanIsGood,LoanValue,""), "")</f>
        <v>177202.99258330115</v>
      </c>
      <c r="E225" s="206">
        <f>IFERROR(IF(LoanIsNotPaid*LoanIsGood,MonthlyPayment,0), 0)</f>
        <v>5691.1875192575681</v>
      </c>
      <c r="F225" s="206">
        <f>IFERROR(IF(LoanIsNotPaid*LoanIsGood,Principal,0), 0)</f>
        <v>5395.849198285322</v>
      </c>
      <c r="G225" s="206">
        <f>SUM($F$17:F225)</f>
        <v>953192.85661493754</v>
      </c>
      <c r="H225" s="206">
        <f>IFERROR(IF(LoanIsNotPaid*LoanIsGood,InterestAmt,0), 0)</f>
        <v>295.33832097224598</v>
      </c>
      <c r="I225" s="206">
        <f>SUM($H$17:H225)</f>
        <v>236265.33490989378</v>
      </c>
      <c r="J225" s="206">
        <f>IFERROR(IF(LoanIsNotPaid*LoanIsGood,EndingBalance,0), 0)</f>
        <v>171807.14338501589</v>
      </c>
    </row>
    <row r="226" spans="1:10" ht="15" customHeight="1" x14ac:dyDescent="0.15">
      <c r="A226" s="178"/>
      <c r="B226" s="204">
        <f>IFERROR(IF(LoanIsNotPaid*LoanIsGood,PaymentNumber,""), "")</f>
        <v>210</v>
      </c>
      <c r="C226" s="205">
        <f>IFERROR(IF(LoanIsNotPaid*LoanIsGood,PaymentDate,LoanStartDate), LoanStartDate)</f>
        <v>52048</v>
      </c>
      <c r="D226" s="206">
        <f>IFERROR(IF(LoanIsNotPaid*LoanIsGood,LoanValue,""), "")</f>
        <v>171807.14338501589</v>
      </c>
      <c r="E226" s="206">
        <f>IFERROR(IF(LoanIsNotPaid*LoanIsGood,MonthlyPayment,0), 0)</f>
        <v>5691.1875192575681</v>
      </c>
      <c r="F226" s="206">
        <f>IFERROR(IF(LoanIsNotPaid*LoanIsGood,Principal,0), 0)</f>
        <v>5404.8422802824643</v>
      </c>
      <c r="G226" s="206">
        <f>SUM($F$17:F226)</f>
        <v>958597.69889521995</v>
      </c>
      <c r="H226" s="206">
        <f>IFERROR(IF(LoanIsNotPaid*LoanIsGood,InterestAmt,0), 0)</f>
        <v>286.34523897510371</v>
      </c>
      <c r="I226" s="206">
        <f>SUM($H$17:H226)</f>
        <v>236551.68014886888</v>
      </c>
      <c r="J226" s="206">
        <f>IFERROR(IF(LoanIsNotPaid*LoanIsGood,EndingBalance,0), 0)</f>
        <v>166402.30110473372</v>
      </c>
    </row>
    <row r="227" spans="1:10" ht="15" customHeight="1" x14ac:dyDescent="0.15">
      <c r="A227" s="178"/>
      <c r="B227" s="204">
        <f>IFERROR(IF(LoanIsNotPaid*LoanIsGood,PaymentNumber,""), "")</f>
        <v>211</v>
      </c>
      <c r="C227" s="205">
        <f>IFERROR(IF(LoanIsNotPaid*LoanIsGood,PaymentDate,LoanStartDate), LoanStartDate)</f>
        <v>52079</v>
      </c>
      <c r="D227" s="206">
        <f>IFERROR(IF(LoanIsNotPaid*LoanIsGood,LoanValue,""), "")</f>
        <v>166402.30110473372</v>
      </c>
      <c r="E227" s="206">
        <f>IFERROR(IF(LoanIsNotPaid*LoanIsGood,MonthlyPayment,0), 0)</f>
        <v>5691.1875192575681</v>
      </c>
      <c r="F227" s="206">
        <f>IFERROR(IF(LoanIsNotPaid*LoanIsGood,Principal,0), 0)</f>
        <v>5413.8503507496016</v>
      </c>
      <c r="G227" s="206">
        <f>SUM($F$17:F227)</f>
        <v>964011.54924596951</v>
      </c>
      <c r="H227" s="206">
        <f>IFERROR(IF(LoanIsNotPaid*LoanIsGood,InterestAmt,0), 0)</f>
        <v>277.3371685079664</v>
      </c>
      <c r="I227" s="206">
        <f>SUM($H$17:H227)</f>
        <v>236829.01731737686</v>
      </c>
      <c r="J227" s="206">
        <f>IFERROR(IF(LoanIsNotPaid*LoanIsGood,EndingBalance,0), 0)</f>
        <v>160988.45075398334</v>
      </c>
    </row>
    <row r="228" spans="1:10" ht="15" customHeight="1" x14ac:dyDescent="0.15">
      <c r="A228" s="178"/>
      <c r="B228" s="204">
        <f>IFERROR(IF(LoanIsNotPaid*LoanIsGood,PaymentNumber,""), "")</f>
        <v>212</v>
      </c>
      <c r="C228" s="205">
        <f>IFERROR(IF(LoanIsNotPaid*LoanIsGood,PaymentDate,LoanStartDate), LoanStartDate)</f>
        <v>52110</v>
      </c>
      <c r="D228" s="206">
        <f>IFERROR(IF(LoanIsNotPaid*LoanIsGood,LoanValue,""), "")</f>
        <v>160988.45075398334</v>
      </c>
      <c r="E228" s="206">
        <f>IFERROR(IF(LoanIsNotPaid*LoanIsGood,MonthlyPayment,0), 0)</f>
        <v>5691.1875192575681</v>
      </c>
      <c r="F228" s="206">
        <f>IFERROR(IF(LoanIsNotPaid*LoanIsGood,Principal,0), 0)</f>
        <v>5422.8734346675174</v>
      </c>
      <c r="G228" s="206">
        <f>SUM($F$17:F228)</f>
        <v>969434.42268063698</v>
      </c>
      <c r="H228" s="206">
        <f>IFERROR(IF(LoanIsNotPaid*LoanIsGood,InterestAmt,0), 0)</f>
        <v>268.3140845900503</v>
      </c>
      <c r="I228" s="206">
        <f>SUM($H$17:H228)</f>
        <v>237097.33140196692</v>
      </c>
      <c r="J228" s="206">
        <f>IFERROR(IF(LoanIsNotPaid*LoanIsGood,EndingBalance,0), 0)</f>
        <v>155565.57731931517</v>
      </c>
    </row>
    <row r="229" spans="1:10" ht="15" customHeight="1" x14ac:dyDescent="0.15">
      <c r="A229" s="178"/>
      <c r="B229" s="204">
        <f>IFERROR(IF(LoanIsNotPaid*LoanIsGood,PaymentNumber,""), "")</f>
        <v>213</v>
      </c>
      <c r="C229" s="205">
        <f>IFERROR(IF(LoanIsNotPaid*LoanIsGood,PaymentDate,LoanStartDate), LoanStartDate)</f>
        <v>52140</v>
      </c>
      <c r="D229" s="206">
        <f>IFERROR(IF(LoanIsNotPaid*LoanIsGood,LoanValue,""), "")</f>
        <v>155565.57731931517</v>
      </c>
      <c r="E229" s="206">
        <f>IFERROR(IF(LoanIsNotPaid*LoanIsGood,MonthlyPayment,0), 0)</f>
        <v>5691.1875192575681</v>
      </c>
      <c r="F229" s="206">
        <f>IFERROR(IF(LoanIsNotPaid*LoanIsGood,Principal,0), 0)</f>
        <v>5431.91155705863</v>
      </c>
      <c r="G229" s="206">
        <f>SUM($F$17:F229)</f>
        <v>974866.33423769567</v>
      </c>
      <c r="H229" s="206">
        <f>IFERROR(IF(LoanIsNotPaid*LoanIsGood,InterestAmt,0), 0)</f>
        <v>259.27596219893786</v>
      </c>
      <c r="I229" s="206">
        <f>SUM($H$17:H229)</f>
        <v>237356.60736416586</v>
      </c>
      <c r="J229" s="206">
        <f>IFERROR(IF(LoanIsNotPaid*LoanIsGood,EndingBalance,0), 0)</f>
        <v>150133.66576225567</v>
      </c>
    </row>
    <row r="230" spans="1:10" ht="15" customHeight="1" x14ac:dyDescent="0.15">
      <c r="A230" s="178"/>
      <c r="B230" s="204">
        <f>IFERROR(IF(LoanIsNotPaid*LoanIsGood,PaymentNumber,""), "")</f>
        <v>214</v>
      </c>
      <c r="C230" s="205">
        <f>IFERROR(IF(LoanIsNotPaid*LoanIsGood,PaymentDate,LoanStartDate), LoanStartDate)</f>
        <v>52171</v>
      </c>
      <c r="D230" s="206">
        <f>IFERROR(IF(LoanIsNotPaid*LoanIsGood,LoanValue,""), "")</f>
        <v>150133.66576225567</v>
      </c>
      <c r="E230" s="206">
        <f>IFERROR(IF(LoanIsNotPaid*LoanIsGood,MonthlyPayment,0), 0)</f>
        <v>5691.1875192575681</v>
      </c>
      <c r="F230" s="206">
        <f>IFERROR(IF(LoanIsNotPaid*LoanIsGood,Principal,0), 0)</f>
        <v>5440.964742987062</v>
      </c>
      <c r="G230" s="206">
        <f>SUM($F$17:F230)</f>
        <v>980307.29898068274</v>
      </c>
      <c r="H230" s="206">
        <f>IFERROR(IF(LoanIsNotPaid*LoanIsGood,InterestAmt,0), 0)</f>
        <v>250.22277627050678</v>
      </c>
      <c r="I230" s="206">
        <f>SUM($H$17:H230)</f>
        <v>237606.83014043636</v>
      </c>
      <c r="J230" s="206">
        <f>IFERROR(IF(LoanIsNotPaid*LoanIsGood,EndingBalance,0), 0)</f>
        <v>144692.70101926941</v>
      </c>
    </row>
    <row r="231" spans="1:10" ht="15" customHeight="1" x14ac:dyDescent="0.15">
      <c r="A231" s="178"/>
      <c r="B231" s="204">
        <f>IFERROR(IF(LoanIsNotPaid*LoanIsGood,PaymentNumber,""), "")</f>
        <v>215</v>
      </c>
      <c r="C231" s="205">
        <f>IFERROR(IF(LoanIsNotPaid*LoanIsGood,PaymentDate,LoanStartDate), LoanStartDate)</f>
        <v>52201</v>
      </c>
      <c r="D231" s="206">
        <f>IFERROR(IF(LoanIsNotPaid*LoanIsGood,LoanValue,""), "")</f>
        <v>144692.70101926941</v>
      </c>
      <c r="E231" s="206">
        <f>IFERROR(IF(LoanIsNotPaid*LoanIsGood,MonthlyPayment,0), 0)</f>
        <v>5691.1875192575681</v>
      </c>
      <c r="F231" s="206">
        <f>IFERROR(IF(LoanIsNotPaid*LoanIsGood,Principal,0), 0)</f>
        <v>5450.0330175587069</v>
      </c>
      <c r="G231" s="206">
        <f>SUM($F$17:F231)</f>
        <v>985757.33199824148</v>
      </c>
      <c r="H231" s="206">
        <f>IFERROR(IF(LoanIsNotPaid*LoanIsGood,InterestAmt,0), 0)</f>
        <v>241.15450169886168</v>
      </c>
      <c r="I231" s="206">
        <f>SUM($H$17:H231)</f>
        <v>237847.98464213521</v>
      </c>
      <c r="J231" s="206">
        <f>IFERROR(IF(LoanIsNotPaid*LoanIsGood,EndingBalance,0), 0)</f>
        <v>139242.66800170974</v>
      </c>
    </row>
    <row r="232" spans="1:10" ht="15" customHeight="1" x14ac:dyDescent="0.15">
      <c r="A232" s="178"/>
      <c r="B232" s="204">
        <f>IFERROR(IF(LoanIsNotPaid*LoanIsGood,PaymentNumber,""), "")</f>
        <v>216</v>
      </c>
      <c r="C232" s="205">
        <f>IFERROR(IF(LoanIsNotPaid*LoanIsGood,PaymentDate,LoanStartDate), LoanStartDate)</f>
        <v>52232</v>
      </c>
      <c r="D232" s="206">
        <f>IFERROR(IF(LoanIsNotPaid*LoanIsGood,LoanValue,""), "")</f>
        <v>139242.66800170974</v>
      </c>
      <c r="E232" s="206">
        <f>IFERROR(IF(LoanIsNotPaid*LoanIsGood,MonthlyPayment,0), 0)</f>
        <v>5691.1875192575681</v>
      </c>
      <c r="F232" s="206">
        <f>IFERROR(IF(LoanIsNotPaid*LoanIsGood,Principal,0), 0)</f>
        <v>5459.1164059213042</v>
      </c>
      <c r="G232" s="206">
        <f>SUM($F$17:F232)</f>
        <v>991216.44840416277</v>
      </c>
      <c r="H232" s="206">
        <f>IFERROR(IF(LoanIsNotPaid*LoanIsGood,InterestAmt,0), 0)</f>
        <v>232.07111333626378</v>
      </c>
      <c r="I232" s="206">
        <f>SUM($H$17:H232)</f>
        <v>238080.05575547146</v>
      </c>
      <c r="J232" s="206">
        <f>IFERROR(IF(LoanIsNotPaid*LoanIsGood,EndingBalance,0), 0)</f>
        <v>133783.55159578752</v>
      </c>
    </row>
    <row r="233" spans="1:10" ht="15" customHeight="1" x14ac:dyDescent="0.15">
      <c r="A233" s="178"/>
      <c r="B233" s="204">
        <f>IFERROR(IF(LoanIsNotPaid*LoanIsGood,PaymentNumber,""), "")</f>
        <v>217</v>
      </c>
      <c r="C233" s="205">
        <f>IFERROR(IF(LoanIsNotPaid*LoanIsGood,PaymentDate,LoanStartDate), LoanStartDate)</f>
        <v>52263</v>
      </c>
      <c r="D233" s="206">
        <f>IFERROR(IF(LoanIsNotPaid*LoanIsGood,LoanValue,""), "")</f>
        <v>133783.55159578752</v>
      </c>
      <c r="E233" s="206">
        <f>IFERROR(IF(LoanIsNotPaid*LoanIsGood,MonthlyPayment,0), 0)</f>
        <v>5691.1875192575681</v>
      </c>
      <c r="F233" s="206">
        <f>IFERROR(IF(LoanIsNotPaid*LoanIsGood,Principal,0), 0)</f>
        <v>5468.2149332645067</v>
      </c>
      <c r="G233" s="206">
        <f>SUM($F$17:F233)</f>
        <v>996684.66333742731</v>
      </c>
      <c r="H233" s="206">
        <f>IFERROR(IF(LoanIsNotPaid*LoanIsGood,InterestAmt,0), 0)</f>
        <v>222.97258599306161</v>
      </c>
      <c r="I233" s="206">
        <f>SUM($H$17:H233)</f>
        <v>238303.02834146452</v>
      </c>
      <c r="J233" s="206">
        <f>IFERROR(IF(LoanIsNotPaid*LoanIsGood,EndingBalance,0), 0)</f>
        <v>128315.33666252345</v>
      </c>
    </row>
    <row r="234" spans="1:10" ht="15" customHeight="1" x14ac:dyDescent="0.15">
      <c r="A234" s="178"/>
      <c r="B234" s="204">
        <f>IFERROR(IF(LoanIsNotPaid*LoanIsGood,PaymentNumber,""), "")</f>
        <v>218</v>
      </c>
      <c r="C234" s="205">
        <f>IFERROR(IF(LoanIsNotPaid*LoanIsGood,PaymentDate,LoanStartDate), LoanStartDate)</f>
        <v>52291</v>
      </c>
      <c r="D234" s="206">
        <f>IFERROR(IF(LoanIsNotPaid*LoanIsGood,LoanValue,""), "")</f>
        <v>128315.33666252345</v>
      </c>
      <c r="E234" s="206">
        <f>IFERROR(IF(LoanIsNotPaid*LoanIsGood,MonthlyPayment,0), 0)</f>
        <v>5691.1875192575681</v>
      </c>
      <c r="F234" s="206">
        <f>IFERROR(IF(LoanIsNotPaid*LoanIsGood,Principal,0), 0)</f>
        <v>5477.3286248199474</v>
      </c>
      <c r="G234" s="206">
        <f>SUM($F$17:F234)</f>
        <v>1002161.9919622473</v>
      </c>
      <c r="H234" s="206">
        <f>IFERROR(IF(LoanIsNotPaid*LoanIsGood,InterestAmt,0), 0)</f>
        <v>213.85889443762079</v>
      </c>
      <c r="I234" s="206">
        <f>SUM($H$17:H234)</f>
        <v>238516.88723590213</v>
      </c>
      <c r="J234" s="206">
        <f>IFERROR(IF(LoanIsNotPaid*LoanIsGood,EndingBalance,0), 0)</f>
        <v>122838.00803770381</v>
      </c>
    </row>
    <row r="235" spans="1:10" ht="15" customHeight="1" x14ac:dyDescent="0.15">
      <c r="A235" s="178"/>
      <c r="B235" s="204">
        <f>IFERROR(IF(LoanIsNotPaid*LoanIsGood,PaymentNumber,""), "")</f>
        <v>219</v>
      </c>
      <c r="C235" s="205">
        <f>IFERROR(IF(LoanIsNotPaid*LoanIsGood,PaymentDate,LoanStartDate), LoanStartDate)</f>
        <v>52322</v>
      </c>
      <c r="D235" s="206">
        <f>IFERROR(IF(LoanIsNotPaid*LoanIsGood,LoanValue,""), "")</f>
        <v>122838.00803770381</v>
      </c>
      <c r="E235" s="206">
        <f>IFERROR(IF(LoanIsNotPaid*LoanIsGood,MonthlyPayment,0), 0)</f>
        <v>5691.1875192575681</v>
      </c>
      <c r="F235" s="206">
        <f>IFERROR(IF(LoanIsNotPaid*LoanIsGood,Principal,0), 0)</f>
        <v>5486.4575058613136</v>
      </c>
      <c r="G235" s="206">
        <f>SUM($F$17:F235)</f>
        <v>1007648.4494681086</v>
      </c>
      <c r="H235" s="206">
        <f>IFERROR(IF(LoanIsNotPaid*LoanIsGood,InterestAmt,0), 0)</f>
        <v>204.73001339625415</v>
      </c>
      <c r="I235" s="206">
        <f>SUM($H$17:H235)</f>
        <v>238721.61724929838</v>
      </c>
      <c r="J235" s="206">
        <f>IFERROR(IF(LoanIsNotPaid*LoanIsGood,EndingBalance,0), 0)</f>
        <v>117351.55053184181</v>
      </c>
    </row>
    <row r="236" spans="1:10" ht="15" customHeight="1" x14ac:dyDescent="0.15">
      <c r="A236" s="178"/>
      <c r="B236" s="204">
        <f>IFERROR(IF(LoanIsNotPaid*LoanIsGood,PaymentNumber,""), "")</f>
        <v>220</v>
      </c>
      <c r="C236" s="205">
        <f>IFERROR(IF(LoanIsNotPaid*LoanIsGood,PaymentDate,LoanStartDate), LoanStartDate)</f>
        <v>52352</v>
      </c>
      <c r="D236" s="206">
        <f>IFERROR(IF(LoanIsNotPaid*LoanIsGood,LoanValue,""), "")</f>
        <v>117351.55053184181</v>
      </c>
      <c r="E236" s="206">
        <f>IFERROR(IF(LoanIsNotPaid*LoanIsGood,MonthlyPayment,0), 0)</f>
        <v>5691.1875192575681</v>
      </c>
      <c r="F236" s="206">
        <f>IFERROR(IF(LoanIsNotPaid*LoanIsGood,Principal,0), 0)</f>
        <v>5495.6016017044158</v>
      </c>
      <c r="G236" s="206">
        <f>SUM($F$17:F236)</f>
        <v>1013144.051069813</v>
      </c>
      <c r="H236" s="206">
        <f>IFERROR(IF(LoanIsNotPaid*LoanIsGood,InterestAmt,0), 0)</f>
        <v>195.58591755315203</v>
      </c>
      <c r="I236" s="206">
        <f>SUM($H$17:H236)</f>
        <v>238917.20316685154</v>
      </c>
      <c r="J236" s="206">
        <f>IFERROR(IF(LoanIsNotPaid*LoanIsGood,EndingBalance,0), 0)</f>
        <v>111855.94893013686</v>
      </c>
    </row>
    <row r="237" spans="1:10" ht="15" customHeight="1" x14ac:dyDescent="0.15">
      <c r="A237" s="178"/>
      <c r="B237" s="204">
        <f>IFERROR(IF(LoanIsNotPaid*LoanIsGood,PaymentNumber,""), "")</f>
        <v>221</v>
      </c>
      <c r="C237" s="205">
        <f>IFERROR(IF(LoanIsNotPaid*LoanIsGood,PaymentDate,LoanStartDate), LoanStartDate)</f>
        <v>52383</v>
      </c>
      <c r="D237" s="206">
        <f>IFERROR(IF(LoanIsNotPaid*LoanIsGood,LoanValue,""), "")</f>
        <v>111855.94893013686</v>
      </c>
      <c r="E237" s="206">
        <f>IFERROR(IF(LoanIsNotPaid*LoanIsGood,MonthlyPayment,0), 0)</f>
        <v>5691.1875192575681</v>
      </c>
      <c r="F237" s="206">
        <f>IFERROR(IF(LoanIsNotPaid*LoanIsGood,Principal,0), 0)</f>
        <v>5504.7609377072567</v>
      </c>
      <c r="G237" s="206">
        <f>SUM($F$17:F237)</f>
        <v>1018648.8120075202</v>
      </c>
      <c r="H237" s="206">
        <f>IFERROR(IF(LoanIsNotPaid*LoanIsGood,InterestAmt,0), 0)</f>
        <v>186.42658155031131</v>
      </c>
      <c r="I237" s="206">
        <f>SUM($H$17:H237)</f>
        <v>239103.62974840184</v>
      </c>
      <c r="J237" s="206">
        <f>IFERROR(IF(LoanIsNotPaid*LoanIsGood,EndingBalance,0), 0)</f>
        <v>106351.18799242866</v>
      </c>
    </row>
    <row r="238" spans="1:10" ht="15" customHeight="1" x14ac:dyDescent="0.15">
      <c r="A238" s="178"/>
      <c r="B238" s="204">
        <f>IFERROR(IF(LoanIsNotPaid*LoanIsGood,PaymentNumber,""), "")</f>
        <v>222</v>
      </c>
      <c r="C238" s="205">
        <f>IFERROR(IF(LoanIsNotPaid*LoanIsGood,PaymentDate,LoanStartDate), LoanStartDate)</f>
        <v>52413</v>
      </c>
      <c r="D238" s="206">
        <f>IFERROR(IF(LoanIsNotPaid*LoanIsGood,LoanValue,""), "")</f>
        <v>106351.18799242866</v>
      </c>
      <c r="E238" s="206">
        <f>IFERROR(IF(LoanIsNotPaid*LoanIsGood,MonthlyPayment,0), 0)</f>
        <v>5691.1875192575681</v>
      </c>
      <c r="F238" s="206">
        <f>IFERROR(IF(LoanIsNotPaid*LoanIsGood,Principal,0), 0)</f>
        <v>5513.9355392701018</v>
      </c>
      <c r="G238" s="206">
        <f>SUM($F$17:F238)</f>
        <v>1024162.7475467903</v>
      </c>
      <c r="H238" s="206">
        <f>IFERROR(IF(LoanIsNotPaid*LoanIsGood,InterestAmt,0), 0)</f>
        <v>177.25197998746589</v>
      </c>
      <c r="I238" s="206">
        <f>SUM($H$17:H238)</f>
        <v>239280.8817283893</v>
      </c>
      <c r="J238" s="206">
        <f>IFERROR(IF(LoanIsNotPaid*LoanIsGood,EndingBalance,0), 0)</f>
        <v>100837.25245315931</v>
      </c>
    </row>
    <row r="239" spans="1:10" ht="15" customHeight="1" x14ac:dyDescent="0.15">
      <c r="A239" s="178"/>
      <c r="B239" s="204">
        <f>IFERROR(IF(LoanIsNotPaid*LoanIsGood,PaymentNumber,""), "")</f>
        <v>223</v>
      </c>
      <c r="C239" s="205">
        <f>IFERROR(IF(LoanIsNotPaid*LoanIsGood,PaymentDate,LoanStartDate), LoanStartDate)</f>
        <v>52444</v>
      </c>
      <c r="D239" s="206">
        <f>IFERROR(IF(LoanIsNotPaid*LoanIsGood,LoanValue,""), "")</f>
        <v>100837.25245315931</v>
      </c>
      <c r="E239" s="206">
        <f>IFERROR(IF(LoanIsNotPaid*LoanIsGood,MonthlyPayment,0), 0)</f>
        <v>5691.1875192575681</v>
      </c>
      <c r="F239" s="206">
        <f>IFERROR(IF(LoanIsNotPaid*LoanIsGood,Principal,0), 0)</f>
        <v>5523.1254318355523</v>
      </c>
      <c r="G239" s="206">
        <f>SUM($F$17:F239)</f>
        <v>1029685.8729786258</v>
      </c>
      <c r="H239" s="206">
        <f>IFERROR(IF(LoanIsNotPaid*LoanIsGood,InterestAmt,0), 0)</f>
        <v>168.06208742201571</v>
      </c>
      <c r="I239" s="206">
        <f>SUM($H$17:H239)</f>
        <v>239448.9438158113</v>
      </c>
      <c r="J239" s="206">
        <f>IFERROR(IF(LoanIsNotPaid*LoanIsGood,EndingBalance,0), 0)</f>
        <v>95314.127021323191</v>
      </c>
    </row>
    <row r="240" spans="1:10" ht="15" customHeight="1" x14ac:dyDescent="0.15">
      <c r="A240" s="178"/>
      <c r="B240" s="204">
        <f>IFERROR(IF(LoanIsNotPaid*LoanIsGood,PaymentNumber,""), "")</f>
        <v>224</v>
      </c>
      <c r="C240" s="205">
        <f>IFERROR(IF(LoanIsNotPaid*LoanIsGood,PaymentDate,LoanStartDate), LoanStartDate)</f>
        <v>52475</v>
      </c>
      <c r="D240" s="206">
        <f>IFERROR(IF(LoanIsNotPaid*LoanIsGood,LoanValue,""), "")</f>
        <v>95314.127021323191</v>
      </c>
      <c r="E240" s="206">
        <f>IFERROR(IF(LoanIsNotPaid*LoanIsGood,MonthlyPayment,0), 0)</f>
        <v>5691.1875192575681</v>
      </c>
      <c r="F240" s="206">
        <f>IFERROR(IF(LoanIsNotPaid*LoanIsGood,Principal,0), 0)</f>
        <v>5532.3306408886119</v>
      </c>
      <c r="G240" s="206">
        <f>SUM($F$17:F240)</f>
        <v>1035218.2036195145</v>
      </c>
      <c r="H240" s="206">
        <f>IFERROR(IF(LoanIsNotPaid*LoanIsGood,InterestAmt,0), 0)</f>
        <v>158.85687836895644</v>
      </c>
      <c r="I240" s="206">
        <f>SUM($H$17:H240)</f>
        <v>239607.80069418027</v>
      </c>
      <c r="J240" s="206">
        <f>IFERROR(IF(LoanIsNotPaid*LoanIsGood,EndingBalance,0), 0)</f>
        <v>89781.796380433487</v>
      </c>
    </row>
    <row r="241" spans="1:10" ht="15" customHeight="1" x14ac:dyDescent="0.15">
      <c r="A241" s="178"/>
      <c r="B241" s="204">
        <f>IFERROR(IF(LoanIsNotPaid*LoanIsGood,PaymentNumber,""), "")</f>
        <v>225</v>
      </c>
      <c r="C241" s="205">
        <f>IFERROR(IF(LoanIsNotPaid*LoanIsGood,PaymentDate,LoanStartDate), LoanStartDate)</f>
        <v>52505</v>
      </c>
      <c r="D241" s="206">
        <f>IFERROR(IF(LoanIsNotPaid*LoanIsGood,LoanValue,""), "")</f>
        <v>89781.796380433487</v>
      </c>
      <c r="E241" s="206">
        <f>IFERROR(IF(LoanIsNotPaid*LoanIsGood,MonthlyPayment,0), 0)</f>
        <v>5691.1875192575681</v>
      </c>
      <c r="F241" s="206">
        <f>IFERROR(IF(LoanIsNotPaid*LoanIsGood,Principal,0), 0)</f>
        <v>5541.5511919567589</v>
      </c>
      <c r="G241" s="206">
        <f>SUM($F$17:F241)</f>
        <v>1040759.7548114712</v>
      </c>
      <c r="H241" s="206">
        <f>IFERROR(IF(LoanIsNotPaid*LoanIsGood,InterestAmt,0), 0)</f>
        <v>149.63632730080874</v>
      </c>
      <c r="I241" s="206">
        <f>SUM($H$17:H241)</f>
        <v>239757.43702148108</v>
      </c>
      <c r="J241" s="206">
        <f>IFERROR(IF(LoanIsNotPaid*LoanIsGood,EndingBalance,0), 0)</f>
        <v>84240.245188476518</v>
      </c>
    </row>
    <row r="242" spans="1:10" ht="15" customHeight="1" x14ac:dyDescent="0.15">
      <c r="A242" s="178"/>
      <c r="B242" s="204">
        <f>IFERROR(IF(LoanIsNotPaid*LoanIsGood,PaymentNumber,""), "")</f>
        <v>226</v>
      </c>
      <c r="C242" s="205">
        <f>IFERROR(IF(LoanIsNotPaid*LoanIsGood,PaymentDate,LoanStartDate), LoanStartDate)</f>
        <v>52536</v>
      </c>
      <c r="D242" s="206">
        <f>IFERROR(IF(LoanIsNotPaid*LoanIsGood,LoanValue,""), "")</f>
        <v>84240.245188476518</v>
      </c>
      <c r="E242" s="206">
        <f>IFERROR(IF(LoanIsNotPaid*LoanIsGood,MonthlyPayment,0), 0)</f>
        <v>5691.1875192575681</v>
      </c>
      <c r="F242" s="206">
        <f>IFERROR(IF(LoanIsNotPaid*LoanIsGood,Principal,0), 0)</f>
        <v>5550.787110610021</v>
      </c>
      <c r="G242" s="206">
        <f>SUM($F$17:F242)</f>
        <v>1046310.5419220813</v>
      </c>
      <c r="H242" s="206">
        <f>IFERROR(IF(LoanIsNotPaid*LoanIsGood,InterestAmt,0), 0)</f>
        <v>140.40040864754749</v>
      </c>
      <c r="I242" s="206">
        <f>SUM($H$17:H242)</f>
        <v>239897.83743012862</v>
      </c>
      <c r="J242" s="206">
        <f>IFERROR(IF(LoanIsNotPaid*LoanIsGood,EndingBalance,0), 0)</f>
        <v>78689.458077866584</v>
      </c>
    </row>
    <row r="243" spans="1:10" ht="15" customHeight="1" x14ac:dyDescent="0.15">
      <c r="A243" s="178"/>
      <c r="B243" s="204">
        <f>IFERROR(IF(LoanIsNotPaid*LoanIsGood,PaymentNumber,""), "")</f>
        <v>227</v>
      </c>
      <c r="C243" s="205">
        <f>IFERROR(IF(LoanIsNotPaid*LoanIsGood,PaymentDate,LoanStartDate), LoanStartDate)</f>
        <v>52566</v>
      </c>
      <c r="D243" s="206">
        <f>IFERROR(IF(LoanIsNotPaid*LoanIsGood,LoanValue,""), "")</f>
        <v>78689.458077866584</v>
      </c>
      <c r="E243" s="206">
        <f>IFERROR(IF(LoanIsNotPaid*LoanIsGood,MonthlyPayment,0), 0)</f>
        <v>5691.1875192575681</v>
      </c>
      <c r="F243" s="206">
        <f>IFERROR(IF(LoanIsNotPaid*LoanIsGood,Principal,0), 0)</f>
        <v>5560.038422461037</v>
      </c>
      <c r="G243" s="206">
        <f>SUM($F$17:F243)</f>
        <v>1051870.5803445424</v>
      </c>
      <c r="H243" s="206">
        <f>IFERROR(IF(LoanIsNotPaid*LoanIsGood,InterestAmt,0), 0)</f>
        <v>131.14909679653081</v>
      </c>
      <c r="I243" s="206">
        <f>SUM($H$17:H243)</f>
        <v>240028.98652692515</v>
      </c>
      <c r="J243" s="206">
        <f>IFERROR(IF(LoanIsNotPaid*LoanIsGood,EndingBalance,0), 0)</f>
        <v>73129.419655404985</v>
      </c>
    </row>
    <row r="244" spans="1:10" ht="15" customHeight="1" x14ac:dyDescent="0.15">
      <c r="A244" s="178"/>
      <c r="B244" s="204">
        <f>IFERROR(IF(LoanIsNotPaid*LoanIsGood,PaymentNumber,""), "")</f>
        <v>228</v>
      </c>
      <c r="C244" s="205">
        <f>IFERROR(IF(LoanIsNotPaid*LoanIsGood,PaymentDate,LoanStartDate), LoanStartDate)</f>
        <v>52597</v>
      </c>
      <c r="D244" s="206">
        <f>IFERROR(IF(LoanIsNotPaid*LoanIsGood,LoanValue,""), "")</f>
        <v>73129.419655404985</v>
      </c>
      <c r="E244" s="206">
        <f>IFERROR(IF(LoanIsNotPaid*LoanIsGood,MonthlyPayment,0), 0)</f>
        <v>5691.1875192575681</v>
      </c>
      <c r="F244" s="206">
        <f>IFERROR(IF(LoanIsNotPaid*LoanIsGood,Principal,0), 0)</f>
        <v>5569.305153165139</v>
      </c>
      <c r="G244" s="206">
        <f>SUM($F$17:F244)</f>
        <v>1057439.8854977076</v>
      </c>
      <c r="H244" s="206">
        <f>IFERROR(IF(LoanIsNotPaid*LoanIsGood,InterestAmt,0), 0)</f>
        <v>121.88236609242908</v>
      </c>
      <c r="I244" s="206">
        <f>SUM($H$17:H244)</f>
        <v>240150.86889301758</v>
      </c>
      <c r="J244" s="206">
        <f>IFERROR(IF(LoanIsNotPaid*LoanIsGood,EndingBalance,0), 0)</f>
        <v>67560.114502239972</v>
      </c>
    </row>
    <row r="245" spans="1:10" ht="15" customHeight="1" x14ac:dyDescent="0.15">
      <c r="A245" s="178"/>
      <c r="B245" s="204">
        <f>IFERROR(IF(LoanIsNotPaid*LoanIsGood,PaymentNumber,""), "")</f>
        <v>229</v>
      </c>
      <c r="C245" s="205">
        <f>IFERROR(IF(LoanIsNotPaid*LoanIsGood,PaymentDate,LoanStartDate), LoanStartDate)</f>
        <v>52628</v>
      </c>
      <c r="D245" s="206">
        <f>IFERROR(IF(LoanIsNotPaid*LoanIsGood,LoanValue,""), "")</f>
        <v>67560.114502239972</v>
      </c>
      <c r="E245" s="206">
        <f>IFERROR(IF(LoanIsNotPaid*LoanIsGood,MonthlyPayment,0), 0)</f>
        <v>5691.1875192575681</v>
      </c>
      <c r="F245" s="206">
        <f>IFERROR(IF(LoanIsNotPaid*LoanIsGood,Principal,0), 0)</f>
        <v>5578.5873284204135</v>
      </c>
      <c r="G245" s="206">
        <f>SUM($F$17:F245)</f>
        <v>1063018.4728261281</v>
      </c>
      <c r="H245" s="206">
        <f>IFERROR(IF(LoanIsNotPaid*LoanIsGood,InterestAmt,0), 0)</f>
        <v>112.60019083715385</v>
      </c>
      <c r="I245" s="206">
        <f>SUM($H$17:H245)</f>
        <v>240263.46908385472</v>
      </c>
      <c r="J245" s="206">
        <f>IFERROR(IF(LoanIsNotPaid*LoanIsGood,EndingBalance,0), 0)</f>
        <v>61981.527173819253</v>
      </c>
    </row>
    <row r="246" spans="1:10" ht="15" customHeight="1" x14ac:dyDescent="0.15">
      <c r="A246" s="178"/>
      <c r="B246" s="204">
        <f>IFERROR(IF(LoanIsNotPaid*LoanIsGood,PaymentNumber,""), "")</f>
        <v>230</v>
      </c>
      <c r="C246" s="205">
        <f>IFERROR(IF(LoanIsNotPaid*LoanIsGood,PaymentDate,LoanStartDate), LoanStartDate)</f>
        <v>52657</v>
      </c>
      <c r="D246" s="206">
        <f>IFERROR(IF(LoanIsNotPaid*LoanIsGood,LoanValue,""), "")</f>
        <v>61981.527173819253</v>
      </c>
      <c r="E246" s="206">
        <f>IFERROR(IF(LoanIsNotPaid*LoanIsGood,MonthlyPayment,0), 0)</f>
        <v>5691.1875192575681</v>
      </c>
      <c r="F246" s="206">
        <f>IFERROR(IF(LoanIsNotPaid*LoanIsGood,Principal,0), 0)</f>
        <v>5587.8849739677808</v>
      </c>
      <c r="G246" s="206">
        <f>SUM($F$17:F246)</f>
        <v>1068606.3578000958</v>
      </c>
      <c r="H246" s="206">
        <f>IFERROR(IF(LoanIsNotPaid*LoanIsGood,InterestAmt,0), 0)</f>
        <v>103.30254528978647</v>
      </c>
      <c r="I246" s="206">
        <f>SUM($H$17:H246)</f>
        <v>240366.77162914452</v>
      </c>
      <c r="J246" s="206">
        <f>IFERROR(IF(LoanIsNotPaid*LoanIsGood,EndingBalance,0), 0)</f>
        <v>56393.642199852038</v>
      </c>
    </row>
    <row r="247" spans="1:10" ht="15" customHeight="1" x14ac:dyDescent="0.15">
      <c r="A247" s="178"/>
      <c r="B247" s="204">
        <f>IFERROR(IF(LoanIsNotPaid*LoanIsGood,PaymentNumber,""), "")</f>
        <v>231</v>
      </c>
      <c r="C247" s="205">
        <f>IFERROR(IF(LoanIsNotPaid*LoanIsGood,PaymentDate,LoanStartDate), LoanStartDate)</f>
        <v>52688</v>
      </c>
      <c r="D247" s="206">
        <f>IFERROR(IF(LoanIsNotPaid*LoanIsGood,LoanValue,""), "")</f>
        <v>56393.642199852038</v>
      </c>
      <c r="E247" s="206">
        <f>IFERROR(IF(LoanIsNotPaid*LoanIsGood,MonthlyPayment,0), 0)</f>
        <v>5691.1875192575681</v>
      </c>
      <c r="F247" s="206">
        <f>IFERROR(IF(LoanIsNotPaid*LoanIsGood,Principal,0), 0)</f>
        <v>5597.1981155910607</v>
      </c>
      <c r="G247" s="206">
        <f>SUM($F$17:F247)</f>
        <v>1074203.5559156868</v>
      </c>
      <c r="H247" s="206">
        <f>IFERROR(IF(LoanIsNotPaid*LoanIsGood,InterestAmt,0), 0)</f>
        <v>93.989403666506831</v>
      </c>
      <c r="I247" s="206">
        <f>SUM($H$17:H247)</f>
        <v>240460.76103281105</v>
      </c>
      <c r="J247" s="206">
        <f>IFERROR(IF(LoanIsNotPaid*LoanIsGood,EndingBalance,0), 0)</f>
        <v>50796.444084259449</v>
      </c>
    </row>
    <row r="248" spans="1:10" ht="15" customHeight="1" x14ac:dyDescent="0.15">
      <c r="A248" s="178"/>
      <c r="B248" s="204">
        <f>IFERROR(IF(LoanIsNotPaid*LoanIsGood,PaymentNumber,""), "")</f>
        <v>232</v>
      </c>
      <c r="C248" s="205">
        <f>IFERROR(IF(LoanIsNotPaid*LoanIsGood,PaymentDate,LoanStartDate), LoanStartDate)</f>
        <v>52718</v>
      </c>
      <c r="D248" s="206">
        <f>IFERROR(IF(LoanIsNotPaid*LoanIsGood,LoanValue,""), "")</f>
        <v>50796.444084259449</v>
      </c>
      <c r="E248" s="206">
        <f>IFERROR(IF(LoanIsNotPaid*LoanIsGood,MonthlyPayment,0), 0)</f>
        <v>5691.1875192575681</v>
      </c>
      <c r="F248" s="206">
        <f>IFERROR(IF(LoanIsNotPaid*LoanIsGood,Principal,0), 0)</f>
        <v>5606.5267791170463</v>
      </c>
      <c r="G248" s="206">
        <f>SUM($F$17:F248)</f>
        <v>1079810.0826948038</v>
      </c>
      <c r="H248" s="206">
        <f>IFERROR(IF(LoanIsNotPaid*LoanIsGood,InterestAmt,0), 0)</f>
        <v>84.660740140521739</v>
      </c>
      <c r="I248" s="206">
        <f>SUM($H$17:H248)</f>
        <v>240545.42177295158</v>
      </c>
      <c r="J248" s="206">
        <f>IFERROR(IF(LoanIsNotPaid*LoanIsGood,EndingBalance,0), 0)</f>
        <v>45189.917305141687</v>
      </c>
    </row>
    <row r="249" spans="1:10" ht="15" customHeight="1" x14ac:dyDescent="0.15">
      <c r="A249" s="178"/>
      <c r="B249" s="204">
        <f>IFERROR(IF(LoanIsNotPaid*LoanIsGood,PaymentNumber,""), "")</f>
        <v>233</v>
      </c>
      <c r="C249" s="205">
        <f>IFERROR(IF(LoanIsNotPaid*LoanIsGood,PaymentDate,LoanStartDate), LoanStartDate)</f>
        <v>52749</v>
      </c>
      <c r="D249" s="206">
        <f>IFERROR(IF(LoanIsNotPaid*LoanIsGood,LoanValue,""), "")</f>
        <v>45189.917305141687</v>
      </c>
      <c r="E249" s="206">
        <f>IFERROR(IF(LoanIsNotPaid*LoanIsGood,MonthlyPayment,0), 0)</f>
        <v>5691.1875192575681</v>
      </c>
      <c r="F249" s="206">
        <f>IFERROR(IF(LoanIsNotPaid*LoanIsGood,Principal,0), 0)</f>
        <v>5615.8709904155749</v>
      </c>
      <c r="G249" s="206">
        <f>SUM($F$17:F249)</f>
        <v>1085425.9536852194</v>
      </c>
      <c r="H249" s="206">
        <f>IFERROR(IF(LoanIsNotPaid*LoanIsGood,InterestAmt,0), 0)</f>
        <v>75.316528841993332</v>
      </c>
      <c r="I249" s="206">
        <f>SUM($H$17:H249)</f>
        <v>240620.73830179358</v>
      </c>
      <c r="J249" s="206">
        <f>IFERROR(IF(LoanIsNotPaid*LoanIsGood,EndingBalance,0), 0)</f>
        <v>39574.046314727049</v>
      </c>
    </row>
    <row r="250" spans="1:10" ht="15" customHeight="1" x14ac:dyDescent="0.15">
      <c r="A250" s="178"/>
      <c r="B250" s="204">
        <f>IFERROR(IF(LoanIsNotPaid*LoanIsGood,PaymentNumber,""), "")</f>
        <v>234</v>
      </c>
      <c r="C250" s="205">
        <f>IFERROR(IF(LoanIsNotPaid*LoanIsGood,PaymentDate,LoanStartDate), LoanStartDate)</f>
        <v>52779</v>
      </c>
      <c r="D250" s="206">
        <f>IFERROR(IF(LoanIsNotPaid*LoanIsGood,LoanValue,""), "")</f>
        <v>39574.046314727049</v>
      </c>
      <c r="E250" s="206">
        <f>IFERROR(IF(LoanIsNotPaid*LoanIsGood,MonthlyPayment,0), 0)</f>
        <v>5691.1875192575681</v>
      </c>
      <c r="F250" s="206">
        <f>IFERROR(IF(LoanIsNotPaid*LoanIsGood,Principal,0), 0)</f>
        <v>5625.2307753996001</v>
      </c>
      <c r="G250" s="206">
        <f>SUM($F$17:F250)</f>
        <v>1091051.184460619</v>
      </c>
      <c r="H250" s="206">
        <f>IFERROR(IF(LoanIsNotPaid*LoanIsGood,InterestAmt,0), 0)</f>
        <v>65.956743857967368</v>
      </c>
      <c r="I250" s="206">
        <f>SUM($H$17:H250)</f>
        <v>240686.69504565155</v>
      </c>
      <c r="J250" s="206">
        <f>IFERROR(IF(LoanIsNotPaid*LoanIsGood,EndingBalance,0), 0)</f>
        <v>33948.815539327217</v>
      </c>
    </row>
    <row r="251" spans="1:10" ht="15" customHeight="1" x14ac:dyDescent="0.15">
      <c r="A251" s="178"/>
      <c r="B251" s="204">
        <f>IFERROR(IF(LoanIsNotPaid*LoanIsGood,PaymentNumber,""), "")</f>
        <v>235</v>
      </c>
      <c r="C251" s="205">
        <f>IFERROR(IF(LoanIsNotPaid*LoanIsGood,PaymentDate,LoanStartDate), LoanStartDate)</f>
        <v>52810</v>
      </c>
      <c r="D251" s="206">
        <f>IFERROR(IF(LoanIsNotPaid*LoanIsGood,LoanValue,""), "")</f>
        <v>33948.815539327217</v>
      </c>
      <c r="E251" s="206">
        <f>IFERROR(IF(LoanIsNotPaid*LoanIsGood,MonthlyPayment,0), 0)</f>
        <v>5691.1875192575681</v>
      </c>
      <c r="F251" s="206">
        <f>IFERROR(IF(LoanIsNotPaid*LoanIsGood,Principal,0), 0)</f>
        <v>5634.606160025266</v>
      </c>
      <c r="G251" s="206">
        <f>SUM($F$17:F251)</f>
        <v>1096685.7906206443</v>
      </c>
      <c r="H251" s="206">
        <f>IFERROR(IF(LoanIsNotPaid*LoanIsGood,InterestAmt,0), 0)</f>
        <v>56.581359232301381</v>
      </c>
      <c r="I251" s="206">
        <f>SUM($H$17:H251)</f>
        <v>240743.27640488386</v>
      </c>
      <c r="J251" s="206">
        <f>IFERROR(IF(LoanIsNotPaid*LoanIsGood,EndingBalance,0), 0)</f>
        <v>28314.209379300941</v>
      </c>
    </row>
    <row r="252" spans="1:10" ht="15" customHeight="1" x14ac:dyDescent="0.15">
      <c r="A252" s="178"/>
      <c r="B252" s="204">
        <f>IFERROR(IF(LoanIsNotPaid*LoanIsGood,PaymentNumber,""), "")</f>
        <v>236</v>
      </c>
      <c r="C252" s="205">
        <f>IFERROR(IF(LoanIsNotPaid*LoanIsGood,PaymentDate,LoanStartDate), LoanStartDate)</f>
        <v>52841</v>
      </c>
      <c r="D252" s="206">
        <f>IFERROR(IF(LoanIsNotPaid*LoanIsGood,LoanValue,""), "")</f>
        <v>28314.209379300941</v>
      </c>
      <c r="E252" s="206">
        <f>IFERROR(IF(LoanIsNotPaid*LoanIsGood,MonthlyPayment,0), 0)</f>
        <v>5691.1875192575681</v>
      </c>
      <c r="F252" s="206">
        <f>IFERROR(IF(LoanIsNotPaid*LoanIsGood,Principal,0), 0)</f>
        <v>5643.9971702919756</v>
      </c>
      <c r="G252" s="206">
        <f>SUM($F$17:F252)</f>
        <v>1102329.7877909364</v>
      </c>
      <c r="H252" s="206">
        <f>IFERROR(IF(LoanIsNotPaid*LoanIsGood,InterestAmt,0), 0)</f>
        <v>47.190348965592584</v>
      </c>
      <c r="I252" s="206">
        <f>SUM($H$17:H252)</f>
        <v>240790.46675384944</v>
      </c>
      <c r="J252" s="206">
        <f>IFERROR(IF(LoanIsNotPaid*LoanIsGood,EndingBalance,0), 0)</f>
        <v>22670.2122090091</v>
      </c>
    </row>
    <row r="253" spans="1:10" ht="15" customHeight="1" x14ac:dyDescent="0.15">
      <c r="A253" s="178"/>
      <c r="B253" s="204">
        <f>IFERROR(IF(LoanIsNotPaid*LoanIsGood,PaymentNumber,""), "")</f>
        <v>237</v>
      </c>
      <c r="C253" s="205">
        <f>IFERROR(IF(LoanIsNotPaid*LoanIsGood,PaymentDate,LoanStartDate), LoanStartDate)</f>
        <v>52871</v>
      </c>
      <c r="D253" s="206">
        <f>IFERROR(IF(LoanIsNotPaid*LoanIsGood,LoanValue,""), "")</f>
        <v>22670.2122090091</v>
      </c>
      <c r="E253" s="206">
        <f>IFERROR(IF(LoanIsNotPaid*LoanIsGood,MonthlyPayment,0), 0)</f>
        <v>5691.1875192575681</v>
      </c>
      <c r="F253" s="206">
        <f>IFERROR(IF(LoanIsNotPaid*LoanIsGood,Principal,0), 0)</f>
        <v>5653.4038322424622</v>
      </c>
      <c r="G253" s="206">
        <f>SUM($F$17:F253)</f>
        <v>1107983.1916231788</v>
      </c>
      <c r="H253" s="206">
        <f>IFERROR(IF(LoanIsNotPaid*LoanIsGood,InterestAmt,0), 0)</f>
        <v>37.783687015105968</v>
      </c>
      <c r="I253" s="206">
        <f>SUM($H$17:H253)</f>
        <v>240828.25044086453</v>
      </c>
      <c r="J253" s="206">
        <f>IFERROR(IF(LoanIsNotPaid*LoanIsGood,EndingBalance,0), 0)</f>
        <v>17016.808376765577</v>
      </c>
    </row>
    <row r="254" spans="1:10" ht="15" customHeight="1" x14ac:dyDescent="0.15">
      <c r="A254" s="178"/>
      <c r="B254" s="204">
        <f>IFERROR(IF(LoanIsNotPaid*LoanIsGood,PaymentNumber,""), "")</f>
        <v>238</v>
      </c>
      <c r="C254" s="205">
        <f>IFERROR(IF(LoanIsNotPaid*LoanIsGood,PaymentDate,LoanStartDate), LoanStartDate)</f>
        <v>52902</v>
      </c>
      <c r="D254" s="206">
        <f>IFERROR(IF(LoanIsNotPaid*LoanIsGood,LoanValue,""), "")</f>
        <v>17016.808376765577</v>
      </c>
      <c r="E254" s="206">
        <f>IFERROR(IF(LoanIsNotPaid*LoanIsGood,MonthlyPayment,0), 0)</f>
        <v>5691.1875192575681</v>
      </c>
      <c r="F254" s="206">
        <f>IFERROR(IF(LoanIsNotPaid*LoanIsGood,Principal,0), 0)</f>
        <v>5662.8261719628663</v>
      </c>
      <c r="G254" s="206">
        <f>SUM($F$17:F254)</f>
        <v>1113646.0177951416</v>
      </c>
      <c r="H254" s="206">
        <f>IFERROR(IF(LoanIsNotPaid*LoanIsGood,InterestAmt,0), 0)</f>
        <v>28.361347294701858</v>
      </c>
      <c r="I254" s="206">
        <f>SUM($H$17:H254)</f>
        <v>240856.61178815924</v>
      </c>
      <c r="J254" s="206">
        <f>IFERROR(IF(LoanIsNotPaid*LoanIsGood,EndingBalance,0), 0)</f>
        <v>11353.982204802334</v>
      </c>
    </row>
    <row r="255" spans="1:10" ht="15" customHeight="1" x14ac:dyDescent="0.15">
      <c r="A255" s="178"/>
      <c r="B255" s="204">
        <f>IFERROR(IF(LoanIsNotPaid*LoanIsGood,PaymentNumber,""), "")</f>
        <v>239</v>
      </c>
      <c r="C255" s="205">
        <f>IFERROR(IF(LoanIsNotPaid*LoanIsGood,PaymentDate,LoanStartDate), LoanStartDate)</f>
        <v>52932</v>
      </c>
      <c r="D255" s="206">
        <f>IFERROR(IF(LoanIsNotPaid*LoanIsGood,LoanValue,""), "")</f>
        <v>11353.982204802334</v>
      </c>
      <c r="E255" s="206">
        <f>IFERROR(IF(LoanIsNotPaid*LoanIsGood,MonthlyPayment,0), 0)</f>
        <v>5691.1875192575681</v>
      </c>
      <c r="F255" s="206">
        <f>IFERROR(IF(LoanIsNotPaid*LoanIsGood,Principal,0), 0)</f>
        <v>5672.2642155828044</v>
      </c>
      <c r="G255" s="206">
        <f>SUM($F$17:F255)</f>
        <v>1119318.2820107243</v>
      </c>
      <c r="H255" s="206">
        <f>IFERROR(IF(LoanIsNotPaid*LoanIsGood,InterestAmt,0), 0)</f>
        <v>18.923303674763744</v>
      </c>
      <c r="I255" s="206">
        <f>SUM($H$17:H255)</f>
        <v>240875.535091834</v>
      </c>
      <c r="J255" s="206">
        <f>IFERROR(IF(LoanIsNotPaid*LoanIsGood,EndingBalance,0), 0)</f>
        <v>5681.7179892195854</v>
      </c>
    </row>
    <row r="256" spans="1:10" ht="15" customHeight="1" x14ac:dyDescent="0.15">
      <c r="A256" s="178"/>
      <c r="B256" s="204">
        <f>IFERROR(IF(LoanIsNotPaid*LoanIsGood,PaymentNumber,""), "")</f>
        <v>240</v>
      </c>
      <c r="C256" s="205">
        <f>IFERROR(IF(LoanIsNotPaid*LoanIsGood,PaymentDate,LoanStartDate), LoanStartDate)</f>
        <v>52963</v>
      </c>
      <c r="D256" s="206">
        <f>IFERROR(IF(LoanIsNotPaid*LoanIsGood,LoanValue,""), "")</f>
        <v>5681.7179892195854</v>
      </c>
      <c r="E256" s="206">
        <f>IFERROR(IF(LoanIsNotPaid*LoanIsGood,MonthlyPayment,0), 0)</f>
        <v>5691.1875192575681</v>
      </c>
      <c r="F256" s="206">
        <f>IFERROR(IF(LoanIsNotPaid*LoanIsGood,Principal,0), 0)</f>
        <v>5681.717989275443</v>
      </c>
      <c r="G256" s="206">
        <f>SUM($F$17:F256)</f>
        <v>1124999.9999999998</v>
      </c>
      <c r="H256" s="206">
        <f>IFERROR(IF(LoanIsNotPaid*LoanIsGood,InterestAmt,0), 0)</f>
        <v>9.4695299821257386</v>
      </c>
      <c r="I256" s="206">
        <f>SUM($H$17:H256)</f>
        <v>240885.00462181613</v>
      </c>
      <c r="J256" s="206">
        <f>IFERROR(IF(LoanIsNotPaid*LoanIsGood,EndingBalance,0), 0)</f>
        <v>-5.634501576423645E-8</v>
      </c>
    </row>
    <row r="257" spans="2:10" ht="15" customHeight="1" x14ac:dyDescent="0.15">
      <c r="B257" s="204"/>
      <c r="C257" s="213"/>
      <c r="D257" s="214"/>
      <c r="E257" s="214"/>
      <c r="F257" s="214"/>
      <c r="G257" s="214"/>
      <c r="H257" s="214"/>
      <c r="I257" s="214"/>
      <c r="J257" s="214"/>
    </row>
  </sheetData>
  <mergeCells count="3">
    <mergeCell ref="B2:J2"/>
    <mergeCell ref="B4:D4"/>
    <mergeCell ref="B10:D10"/>
  </mergeCells>
  <conditionalFormatting sqref="B17:J257">
    <cfRule type="expression" dxfId="3" priority="2">
      <formula>$B17=""</formula>
    </cfRule>
    <cfRule type="expression" dxfId="2" priority="3">
      <formula>NOT(LoanIsNotPaid)</formula>
    </cfRule>
    <cfRule type="expression" dxfId="1"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5" t="s">
        <v>349</v>
      </c>
      <c r="B1" s="112">
        <f>Settings!B11</f>
        <v>2.5000000000000001E-2</v>
      </c>
      <c r="E1" s="22" t="s">
        <v>350</v>
      </c>
    </row>
    <row r="2" spans="1:14" ht="25.5" customHeight="1" x14ac:dyDescent="0.15">
      <c r="A2" s="215" t="s">
        <v>351</v>
      </c>
      <c r="B2" s="30">
        <f ca="1">'Balance Sheet'!E68</f>
        <v>1225984.7072249148</v>
      </c>
      <c r="C2" s="30">
        <f ca="1">'Balance Sheet'!F68</f>
        <v>840274.32738686155</v>
      </c>
      <c r="D2" s="108"/>
      <c r="E2" s="108"/>
    </row>
    <row r="3" spans="1:14" ht="38.25" customHeight="1" x14ac:dyDescent="0.15">
      <c r="A3" s="215" t="s">
        <v>352</v>
      </c>
      <c r="B3" s="30">
        <f>Settings!B8</f>
        <v>30000</v>
      </c>
    </row>
    <row r="4" spans="1:14" ht="25.5" customHeight="1" x14ac:dyDescent="0.15">
      <c r="A4" s="215" t="s">
        <v>353</v>
      </c>
      <c r="B4" s="112">
        <f>Settings!B12</f>
        <v>0.03</v>
      </c>
      <c r="D4" s="33" t="s">
        <v>354</v>
      </c>
    </row>
    <row r="5" spans="1:14" ht="25.5" customHeight="1" x14ac:dyDescent="0.15">
      <c r="A5" s="215" t="s">
        <v>355</v>
      </c>
      <c r="B5" s="112">
        <f>Settings!B13</f>
        <v>0.05</v>
      </c>
      <c r="D5" s="34" t="s">
        <v>298</v>
      </c>
      <c r="E5" s="30">
        <f ca="1">Housing!B22</f>
        <v>244570.26412772574</v>
      </c>
    </row>
    <row r="6" spans="1:14" ht="25.5" customHeight="1" x14ac:dyDescent="0.15">
      <c r="A6" s="215" t="s">
        <v>356</v>
      </c>
      <c r="B6" s="112">
        <f>Settings!B14</f>
        <v>0.08</v>
      </c>
      <c r="D6" s="34" t="s">
        <v>294</v>
      </c>
      <c r="E6" s="30">
        <f>Housing!B20</f>
        <v>825000.00000000012</v>
      </c>
    </row>
    <row r="7" spans="1:14" ht="25.5" customHeight="1" x14ac:dyDescent="0.15">
      <c r="A7" s="215" t="s">
        <v>357</v>
      </c>
      <c r="B7" s="112">
        <f>Settings!B15</f>
        <v>0.04</v>
      </c>
      <c r="C7" s="108"/>
      <c r="D7" s="216" t="s">
        <v>358</v>
      </c>
      <c r="E7" s="30">
        <f ca="1">Housing!B21</f>
        <v>580429.73587227438</v>
      </c>
    </row>
    <row r="9" spans="1:14" ht="51" customHeight="1" x14ac:dyDescent="0.15">
      <c r="A9" s="215" t="s">
        <v>359</v>
      </c>
      <c r="B9" s="30">
        <f>Settings!B19</f>
        <v>330000</v>
      </c>
    </row>
    <row r="10" spans="1:14" ht="76.5" customHeight="1" x14ac:dyDescent="0.15">
      <c r="A10" s="215" t="s">
        <v>360</v>
      </c>
      <c r="B10" s="30">
        <f>'Balance Sheet'!B53</f>
        <v>95000</v>
      </c>
    </row>
    <row r="11" spans="1:14" ht="76.5" customHeight="1" x14ac:dyDescent="0.15">
      <c r="A11" s="215" t="s">
        <v>361</v>
      </c>
      <c r="B11" s="30">
        <f>'Balance Sheet'!B54+'Balance Sheet'!B55</f>
        <v>180000</v>
      </c>
    </row>
    <row r="12" spans="1:14" ht="63.75" customHeight="1" x14ac:dyDescent="0.15">
      <c r="A12" s="215" t="s">
        <v>362</v>
      </c>
      <c r="B12" s="30">
        <f>'Balance Sheet'!B27</f>
        <v>120000</v>
      </c>
    </row>
    <row r="13" spans="1:14" ht="12.75" customHeight="1" x14ac:dyDescent="0.15">
      <c r="A13" t="s">
        <v>363</v>
      </c>
      <c r="B13" s="30">
        <f>Insurance!B6</f>
        <v>237422</v>
      </c>
    </row>
    <row r="14" spans="1:14" s="222" customFormat="1" ht="48" customHeight="1" x14ac:dyDescent="0.15">
      <c r="A14" s="217" t="s">
        <v>364</v>
      </c>
      <c r="B14" s="218" t="s">
        <v>326</v>
      </c>
      <c r="C14" s="218" t="s">
        <v>365</v>
      </c>
      <c r="D14" s="218" t="s">
        <v>366</v>
      </c>
      <c r="E14" s="218" t="s">
        <v>367</v>
      </c>
      <c r="F14" s="219" t="s">
        <v>368</v>
      </c>
      <c r="G14" s="219" t="s">
        <v>369</v>
      </c>
      <c r="H14" s="219" t="s">
        <v>370</v>
      </c>
      <c r="I14" s="220" t="s">
        <v>371</v>
      </c>
      <c r="J14" s="220" t="s">
        <v>372</v>
      </c>
      <c r="K14" s="220" t="s">
        <v>373</v>
      </c>
      <c r="L14" s="221" t="s">
        <v>374</v>
      </c>
      <c r="M14" s="221" t="s">
        <v>375</v>
      </c>
      <c r="N14" s="221" t="s">
        <v>376</v>
      </c>
    </row>
    <row r="15" spans="1:14" ht="12.75" customHeight="1" x14ac:dyDescent="0.15">
      <c r="A15" s="223">
        <f>Settings!B5</f>
        <v>42</v>
      </c>
      <c r="B15" s="223">
        <f>Settings!B6</f>
        <v>2026</v>
      </c>
      <c r="C15" s="224">
        <f>Settings!B18</f>
        <v>60000</v>
      </c>
      <c r="D15" s="225">
        <v>1225000</v>
      </c>
      <c r="E15" s="226"/>
      <c r="F15" s="227">
        <f ca="1">$B$2</f>
        <v>1225984.7072249148</v>
      </c>
      <c r="G15" s="227">
        <f ca="1">MAX(0,$B$2-SUM($C$64:$C$66))</f>
        <v>373984.7072249148</v>
      </c>
      <c r="H15" s="224">
        <f t="shared" ref="H15:H58" ca="1" si="0">G15*$B$7</f>
        <v>14959.388288996592</v>
      </c>
      <c r="I15" s="227">
        <f ca="1">$B$2</f>
        <v>1225984.7072249148</v>
      </c>
      <c r="J15" s="227">
        <f ca="1">MAX(0,$B$2-SUM($C$64:$C$66))</f>
        <v>373984.7072249148</v>
      </c>
      <c r="K15" s="224">
        <f t="shared" ref="K15:K58" ca="1" si="1">J15*$B$7</f>
        <v>14959.388288996592</v>
      </c>
      <c r="L15" s="227">
        <f ca="1">$B$2</f>
        <v>1225984.7072249148</v>
      </c>
      <c r="M15" s="227">
        <f ca="1">MAX(0,$B$2-SUM($C$64:$C$66))</f>
        <v>373984.7072249148</v>
      </c>
      <c r="N15" s="224">
        <f t="shared" ref="N15:N58" ca="1" si="2">M15*$B$7</f>
        <v>14959.388288996592</v>
      </c>
    </row>
    <row r="16" spans="1:14" ht="12.75" customHeight="1" x14ac:dyDescent="0.15">
      <c r="A16" s="228">
        <f t="shared" ref="A16:A58" si="3">A15+1</f>
        <v>43</v>
      </c>
      <c r="B16" s="228">
        <f t="shared" ref="B16:B58" si="4">B15+1</f>
        <v>2027</v>
      </c>
      <c r="C16" s="229">
        <f t="shared" ref="C16:C58" si="5">(1+$B$1)*C15</f>
        <v>61499.999999999993</v>
      </c>
      <c r="D16" s="48"/>
      <c r="E16" s="230"/>
      <c r="F16" s="229">
        <f ca="1">(1+$B$4)*F15+IF($A16&lt;=Settings!$B$7,$B$3,-$C16)</f>
        <v>1292764.2484416622</v>
      </c>
      <c r="G16" s="231">
        <f ca="1">(1+$B$4)*G15+IF($A16&lt;=Settings!$B$7,$B$3,-$C16)+SUMIFS($E$64:$E$66,$A$64:$A$66,$A16)</f>
        <v>415204.24844166223</v>
      </c>
      <c r="H16" s="229">
        <f t="shared" ca="1" si="0"/>
        <v>16608.169937666491</v>
      </c>
      <c r="I16" s="229">
        <f ca="1">(1+$B$5)*I15+IF($A16&lt;=Settings!$B$7,$B$3,-$C16)</f>
        <v>1317283.9425861605</v>
      </c>
      <c r="J16" s="231">
        <f ca="1">(1+$B$5)*J15+IF($A16&lt;=Settings!$B$7,$B$3,-$C16)+SUMIFS($E$64:$E$66,$A$64:$A$66,$A16)</f>
        <v>422683.94258616056</v>
      </c>
      <c r="K16" s="229">
        <f t="shared" ca="1" si="1"/>
        <v>16907.357703446422</v>
      </c>
      <c r="L16" s="229">
        <f ca="1">(1+$B$6)*L15+IF($A16&lt;=Settings!$B$7,$B$3,-$C16)</f>
        <v>1354063.4838029081</v>
      </c>
      <c r="M16" s="231">
        <f ca="1">(1+$B$6)*M15+IF($A16&lt;=Settings!$B$7,$B$3,-$C16)+SUMIFS($E$64:$E$66,$A$64:$A$66,$A16)</f>
        <v>433903.48380290804</v>
      </c>
      <c r="N16" s="229">
        <f t="shared" ca="1" si="2"/>
        <v>17356.139352116323</v>
      </c>
    </row>
    <row r="17" spans="1:16" ht="12.75" customHeight="1" x14ac:dyDescent="0.15">
      <c r="A17" s="232">
        <f t="shared" si="3"/>
        <v>44</v>
      </c>
      <c r="B17" s="232">
        <f t="shared" si="4"/>
        <v>2028</v>
      </c>
      <c r="C17" s="224">
        <f t="shared" si="5"/>
        <v>63037.499999999985</v>
      </c>
      <c r="D17" s="230"/>
      <c r="E17" s="233"/>
      <c r="F17" s="224">
        <f ca="1">(1+$B$4)*F16+IF($A17&lt;=Settings!$B$7,$B$3,-$C17)</f>
        <v>1361547.1758949121</v>
      </c>
      <c r="G17" s="227">
        <f ca="1">(1+$B$4)*G16+IF($A17&lt;=Settings!$B$7,$B$3,-$C17)+SUMIFS($E$64:$E$66,$A$64:$A$66,$A17)</f>
        <v>457660.37589491211</v>
      </c>
      <c r="H17" s="224">
        <f t="shared" ca="1" si="0"/>
        <v>18306.415035796486</v>
      </c>
      <c r="I17" s="224">
        <f ca="1">(1+$B$5)*I16+IF($A17&lt;=Settings!$B$7,$B$3,-$C17)</f>
        <v>1413148.1397154685</v>
      </c>
      <c r="J17" s="227">
        <f ca="1">(1+$B$5)*J16+IF($A17&lt;=Settings!$B$7,$B$3,-$C17)+SUMIFS($E$64:$E$66,$A$64:$A$66,$A17)</f>
        <v>473818.13971546863</v>
      </c>
      <c r="K17" s="224">
        <f t="shared" ca="1" si="1"/>
        <v>18952.725588618745</v>
      </c>
      <c r="L17" s="224">
        <f ca="1">(1+$B$6)*L16+IF($A17&lt;=Settings!$B$7,$B$3,-$C17)</f>
        <v>1492388.5625071409</v>
      </c>
      <c r="M17" s="227">
        <f ca="1">(1+$B$6)*M16+IF($A17&lt;=Settings!$B$7,$B$3,-$C17)+SUMIFS($E$64:$E$66,$A$64:$A$66,$A17)</f>
        <v>498615.76250714069</v>
      </c>
      <c r="N17" s="224">
        <f t="shared" ca="1" si="2"/>
        <v>19944.630500285628</v>
      </c>
    </row>
    <row r="18" spans="1:16" ht="12.75" customHeight="1" x14ac:dyDescent="0.15">
      <c r="A18" s="228">
        <f t="shared" si="3"/>
        <v>45</v>
      </c>
      <c r="B18" s="228">
        <f t="shared" si="4"/>
        <v>2029</v>
      </c>
      <c r="C18" s="229">
        <f t="shared" si="5"/>
        <v>64613.437499999978</v>
      </c>
      <c r="D18" s="233"/>
      <c r="E18" s="233"/>
      <c r="F18" s="229">
        <f ca="1">(1+$B$4)*F17+IF($A18&lt;=Settings!$B$7,$B$3,-$C18)</f>
        <v>1432393.5911717594</v>
      </c>
      <c r="G18" s="231">
        <f ca="1">(1+$B$4)*G17+IF($A18&lt;=Settings!$B$7,$B$3,-$C18)+SUMIFS($E$64:$E$66,$A$64:$A$66,$A18)</f>
        <v>501390.18717175949</v>
      </c>
      <c r="H18" s="229">
        <f t="shared" ca="1" si="0"/>
        <v>20055.60748687038</v>
      </c>
      <c r="I18" s="229">
        <f ca="1">(1+$B$5)*I17+IF($A18&lt;=Settings!$B$7,$B$3,-$C18)</f>
        <v>1513805.546701242</v>
      </c>
      <c r="J18" s="231">
        <f ca="1">(1+$B$5)*J17+IF($A18&lt;=Settings!$B$7,$B$3,-$C18)+SUMIFS($E$64:$E$66,$A$64:$A$66,$A18)</f>
        <v>527509.0467012421</v>
      </c>
      <c r="K18" s="229">
        <f t="shared" ca="1" si="1"/>
        <v>21100.361868049684</v>
      </c>
      <c r="L18" s="229">
        <f ca="1">(1+$B$6)*L17+IF($A18&lt;=Settings!$B$7,$B$3,-$C18)</f>
        <v>1641779.6475077122</v>
      </c>
      <c r="M18" s="231">
        <f ca="1">(1+$B$6)*M17+IF($A18&lt;=Settings!$B$7,$B$3,-$C18)+SUMIFS($E$64:$E$66,$A$64:$A$66,$A18)</f>
        <v>568505.02350771194</v>
      </c>
      <c r="N18" s="229">
        <f t="shared" ca="1" si="2"/>
        <v>22740.200940308478</v>
      </c>
      <c r="P18" s="108"/>
    </row>
    <row r="19" spans="1:16" ht="12.75" customHeight="1" x14ac:dyDescent="0.15">
      <c r="A19" s="232">
        <f t="shared" si="3"/>
        <v>46</v>
      </c>
      <c r="B19" s="232">
        <f t="shared" si="4"/>
        <v>2030</v>
      </c>
      <c r="C19" s="224">
        <f t="shared" si="5"/>
        <v>66228.773437499971</v>
      </c>
      <c r="D19" s="233"/>
      <c r="E19" s="233"/>
      <c r="F19" s="224">
        <f ca="1">(1+$B$4)*F18+IF($A19&lt;=Settings!$B$7,$B$3,-$C19)</f>
        <v>1505365.3989069122</v>
      </c>
      <c r="G19" s="227">
        <f ca="1">(1+$B$4)*G18+IF($A19&lt;=Settings!$B$7,$B$3,-$C19)+SUMIFS($E$64:$E$66,$A$64:$A$66,$A19)</f>
        <v>546431.89278691227</v>
      </c>
      <c r="H19" s="224">
        <f t="shared" ca="1" si="0"/>
        <v>21857.27571147649</v>
      </c>
      <c r="I19" s="224">
        <f ca="1">(1+$B$5)*I18+IF($A19&lt;=Settings!$B$7,$B$3,-$C19)</f>
        <v>1619495.8240363041</v>
      </c>
      <c r="J19" s="227">
        <f ca="1">(1+$B$5)*J18+IF($A19&lt;=Settings!$B$7,$B$3,-$C19)+SUMIFS($E$64:$E$66,$A$64:$A$66,$A19)</f>
        <v>583884.49903630419</v>
      </c>
      <c r="K19" s="224">
        <f t="shared" ca="1" si="1"/>
        <v>23355.379961452167</v>
      </c>
      <c r="L19" s="224">
        <f ca="1">(1+$B$6)*L18+IF($A19&lt;=Settings!$B$7,$B$3,-$C19)</f>
        <v>1803122.0193083293</v>
      </c>
      <c r="M19" s="227">
        <f ca="1">(1+$B$6)*M18+IF($A19&lt;=Settings!$B$7,$B$3,-$C19)+SUMIFS($E$64:$E$66,$A$64:$A$66,$A19)</f>
        <v>643985.42538832896</v>
      </c>
      <c r="N19" s="224">
        <f t="shared" ca="1" si="2"/>
        <v>25759.417015533159</v>
      </c>
      <c r="P19" s="108"/>
    </row>
    <row r="20" spans="1:16" ht="12.75" customHeight="1" x14ac:dyDescent="0.15">
      <c r="A20" s="232">
        <f t="shared" si="3"/>
        <v>47</v>
      </c>
      <c r="B20" s="232">
        <f t="shared" si="4"/>
        <v>2031</v>
      </c>
      <c r="C20" s="224">
        <f t="shared" si="5"/>
        <v>67884.492773437465</v>
      </c>
      <c r="D20" s="233"/>
      <c r="E20" s="233"/>
      <c r="F20" s="224">
        <f ca="1">(1+$B$4)*F19+IF($A20&lt;=Settings!$B$7,$B$3,-$C20)</f>
        <v>1580526.3608741197</v>
      </c>
      <c r="G20" s="227">
        <f ca="1">(1+$B$4)*G19+IF($A20&lt;=Settings!$B$7,$B$3,-$C20)+SUMIFS($E$64:$E$66,$A$64:$A$66,$A20)</f>
        <v>592824.84957051964</v>
      </c>
      <c r="H20" s="224">
        <f t="shared" ca="1" si="0"/>
        <v>23712.993982820786</v>
      </c>
      <c r="I20" s="224">
        <f ca="1">(1+$B$5)*I19+IF($A20&lt;=Settings!$B$7,$B$3,-$C20)</f>
        <v>1730470.6152381194</v>
      </c>
      <c r="J20" s="227">
        <f ca="1">(1+$B$5)*J19+IF($A20&lt;=Settings!$B$7,$B$3,-$C20)+SUMIFS($E$64:$E$66,$A$64:$A$66,$A20)</f>
        <v>643078.7239881194</v>
      </c>
      <c r="K20" s="224">
        <f t="shared" ca="1" si="1"/>
        <v>25723.148959524777</v>
      </c>
      <c r="L20" s="224">
        <f ca="1">(1+$B$6)*L19+IF($A20&lt;=Settings!$B$7,$B$3,-$C20)</f>
        <v>1977371.7808529958</v>
      </c>
      <c r="M20" s="227">
        <f ca="1">(1+$B$6)*M19+IF($A20&lt;=Settings!$B$7,$B$3,-$C20)+SUMIFS($E$64:$E$66,$A$64:$A$66,$A20)</f>
        <v>725504.25941939536</v>
      </c>
      <c r="N20" s="224">
        <f t="shared" ca="1" si="2"/>
        <v>29020.170376775815</v>
      </c>
      <c r="P20" s="108"/>
    </row>
    <row r="21" spans="1:16" ht="12.75" customHeight="1" x14ac:dyDescent="0.15">
      <c r="A21" s="232">
        <f t="shared" si="3"/>
        <v>48</v>
      </c>
      <c r="B21" s="232">
        <f t="shared" si="4"/>
        <v>2032</v>
      </c>
      <c r="C21" s="224">
        <f t="shared" si="5"/>
        <v>69581.605092773389</v>
      </c>
      <c r="D21" s="233"/>
      <c r="E21" s="233"/>
      <c r="F21" s="224">
        <f ca="1">(1+$B$4)*F20+IF($A21&lt;=Settings!$B$7,$B$3,-$C21)</f>
        <v>1657942.1517003432</v>
      </c>
      <c r="G21" s="227">
        <f ca="1">(1+$B$4)*G20+IF($A21&lt;=Settings!$B$7,$B$3,-$C21)+SUMIFS($E$64:$E$66,$A$64:$A$66,$A21)</f>
        <v>640609.59505763522</v>
      </c>
      <c r="H21" s="224">
        <f t="shared" ca="1" si="0"/>
        <v>25624.383802305409</v>
      </c>
      <c r="I21" s="224">
        <f ca="1">(1+$B$5)*I20+IF($A21&lt;=Settings!$B$7,$B$3,-$C21)</f>
        <v>1846994.1460000253</v>
      </c>
      <c r="J21" s="227">
        <f ca="1">(1+$B$5)*J20+IF($A21&lt;=Settings!$B$7,$B$3,-$C21)+SUMIFS($E$64:$E$66,$A$64:$A$66,$A21)</f>
        <v>705232.66018752544</v>
      </c>
      <c r="K21" s="224">
        <f t="shared" ca="1" si="1"/>
        <v>28209.306407501019</v>
      </c>
      <c r="L21" s="224">
        <f ca="1">(1+$B$6)*L20+IF($A21&lt;=Settings!$B$7,$B$3,-$C21)</f>
        <v>2165561.5233212356</v>
      </c>
      <c r="M21" s="227">
        <f ca="1">(1+$B$6)*M20+IF($A21&lt;=Settings!$B$7,$B$3,-$C21)+SUMIFS($E$64:$E$66,$A$64:$A$66,$A21)</f>
        <v>813544.60017294704</v>
      </c>
      <c r="N21" s="224">
        <f t="shared" ca="1" si="2"/>
        <v>32541.784006917882</v>
      </c>
      <c r="P21" s="108"/>
    </row>
    <row r="22" spans="1:16" ht="12.75" customHeight="1" x14ac:dyDescent="0.15">
      <c r="A22" s="232">
        <f t="shared" si="3"/>
        <v>49</v>
      </c>
      <c r="B22" s="232">
        <f t="shared" si="4"/>
        <v>2033</v>
      </c>
      <c r="C22" s="224">
        <f t="shared" si="5"/>
        <v>71321.145220092716</v>
      </c>
      <c r="D22" s="233"/>
      <c r="E22" s="233"/>
      <c r="F22" s="224">
        <f ca="1">(1+$B$4)*F21+IF($A22&lt;=Settings!$B$7,$B$3,-$C22)</f>
        <v>1737680.4162513537</v>
      </c>
      <c r="G22" s="227">
        <f ca="1">(1+$B$4)*G21+IF($A22&lt;=Settings!$B$7,$B$3,-$C22)+SUMIFS($E$64:$E$66,$A$64:$A$66,$A22)</f>
        <v>689827.8829093643</v>
      </c>
      <c r="H22" s="224">
        <f t="shared" ca="1" si="0"/>
        <v>27593.115316374573</v>
      </c>
      <c r="I22" s="224">
        <f ca="1">(1+$B$5)*I21+IF($A22&lt;=Settings!$B$7,$B$3,-$C22)</f>
        <v>1969343.8533000266</v>
      </c>
      <c r="J22" s="227">
        <f ca="1">(1+$B$5)*J21+IF($A22&lt;=Settings!$B$7,$B$3,-$C22)+SUMIFS($E$64:$E$66,$A$64:$A$66,$A22)</f>
        <v>770494.2931969018</v>
      </c>
      <c r="K22" s="224">
        <f t="shared" ca="1" si="1"/>
        <v>30819.771727876072</v>
      </c>
      <c r="L22" s="224">
        <f ca="1">(1+$B$6)*L21+IF($A22&lt;=Settings!$B$7,$B$3,-$C22)</f>
        <v>2368806.4451869344</v>
      </c>
      <c r="M22" s="227">
        <f ca="1">(1+$B$6)*M21+IF($A22&lt;=Settings!$B$7,$B$3,-$C22)+SUMIFS($E$64:$E$66,$A$64:$A$66,$A22)</f>
        <v>908628.16818678286</v>
      </c>
      <c r="N22" s="224">
        <f t="shared" ca="1" si="2"/>
        <v>36345.126727471317</v>
      </c>
      <c r="P22" s="108"/>
    </row>
    <row r="23" spans="1:16" ht="12.75" customHeight="1" x14ac:dyDescent="0.15">
      <c r="A23" s="228">
        <f t="shared" si="3"/>
        <v>50</v>
      </c>
      <c r="B23" s="228">
        <f t="shared" si="4"/>
        <v>2034</v>
      </c>
      <c r="C23" s="229">
        <f t="shared" si="5"/>
        <v>73104.173850595034</v>
      </c>
      <c r="D23" s="233"/>
      <c r="E23" s="233"/>
      <c r="F23" s="229">
        <f ca="1">(1+$B$4)*F22+IF($A23&lt;=Settings!$B$7,$B$3,-$C23)</f>
        <v>1819810.8287388943</v>
      </c>
      <c r="G23" s="231">
        <f ca="1">(1+$B$4)*G22+IF($A23&lt;=Settings!$B$7,$B$3,-$C23)+SUMIFS($E$64:$E$66,$A$64:$A$66,$A23)</f>
        <v>740522.7193966452</v>
      </c>
      <c r="H23" s="229">
        <f t="shared" ca="1" si="0"/>
        <v>29620.90877586581</v>
      </c>
      <c r="I23" s="229">
        <f ca="1">(1+$B$5)*I22+IF($A23&lt;=Settings!$B$7,$B$3,-$C23)</f>
        <v>2097811.045965028</v>
      </c>
      <c r="J23" s="231">
        <f ca="1">(1+$B$5)*J22+IF($A23&lt;=Settings!$B$7,$B$3,-$C23)+SUMIFS($E$64:$E$66,$A$64:$A$66,$A23)</f>
        <v>839019.0078567469</v>
      </c>
      <c r="K23" s="229">
        <f t="shared" ca="1" si="1"/>
        <v>33560.760314269879</v>
      </c>
      <c r="L23" s="229">
        <f ca="1">(1+$B$6)*L22+IF($A23&lt;=Settings!$B$7,$B$3,-$C23)</f>
        <v>2588310.9608018892</v>
      </c>
      <c r="M23" s="231">
        <f ca="1">(1+$B$6)*M22+IF($A23&lt;=Settings!$B$7,$B$3,-$C23)+SUMIFS($E$64:$E$66,$A$64:$A$66,$A23)</f>
        <v>1011318.4216417256</v>
      </c>
      <c r="N23" s="229">
        <f t="shared" ca="1" si="2"/>
        <v>40452.736865669023</v>
      </c>
      <c r="P23" s="108"/>
    </row>
    <row r="24" spans="1:16" ht="12.75" customHeight="1" x14ac:dyDescent="0.15">
      <c r="A24" s="232">
        <f t="shared" si="3"/>
        <v>51</v>
      </c>
      <c r="B24" s="232">
        <f t="shared" si="4"/>
        <v>2035</v>
      </c>
      <c r="C24" s="224">
        <f t="shared" si="5"/>
        <v>74931.778196859901</v>
      </c>
      <c r="D24" s="233"/>
      <c r="E24" s="233"/>
      <c r="F24" s="224">
        <f ca="1">(1+$B$4)*F23+IF($A24&lt;=Settings!$B$7,$B$3,-$C24)</f>
        <v>1904405.1536010611</v>
      </c>
      <c r="G24" s="227">
        <f ca="1">(1+$B$4)*G23+IF($A24&lt;=Settings!$B$7,$B$3,-$C24)+SUMIFS($E$64:$E$66,$A$64:$A$66,$A24)</f>
        <v>792738.40097854461</v>
      </c>
      <c r="H24" s="224">
        <f t="shared" ca="1" si="0"/>
        <v>31709.536039141785</v>
      </c>
      <c r="I24" s="224">
        <f ca="1">(1+$B$5)*I23+IF($A24&lt;=Settings!$B$7,$B$3,-$C24)</f>
        <v>2232701.5982632795</v>
      </c>
      <c r="J24" s="227">
        <f ca="1">(1+$B$5)*J23+IF($A24&lt;=Settings!$B$7,$B$3,-$C24)+SUMIFS($E$64:$E$66,$A$64:$A$66,$A24)</f>
        <v>910969.95824958431</v>
      </c>
      <c r="K24" s="224">
        <f t="shared" ca="1" si="1"/>
        <v>36438.798329983372</v>
      </c>
      <c r="L24" s="224">
        <f ca="1">(1+$B$6)*L23+IF($A24&lt;=Settings!$B$7,$B$3,-$C24)</f>
        <v>2825375.8376660403</v>
      </c>
      <c r="M24" s="227">
        <f ca="1">(1+$B$6)*M23+IF($A24&lt;=Settings!$B$7,$B$3,-$C24)+SUMIFS($E$64:$E$66,$A$64:$A$66,$A24)</f>
        <v>1122223.8953730636</v>
      </c>
      <c r="N24" s="224">
        <f t="shared" ca="1" si="2"/>
        <v>44888.955814922549</v>
      </c>
    </row>
    <row r="25" spans="1:16" ht="12.75" customHeight="1" x14ac:dyDescent="0.15">
      <c r="A25" s="232">
        <f t="shared" si="3"/>
        <v>52</v>
      </c>
      <c r="B25" s="232">
        <f t="shared" si="4"/>
        <v>2036</v>
      </c>
      <c r="C25" s="224">
        <f t="shared" si="5"/>
        <v>76805.072651781389</v>
      </c>
      <c r="D25" s="233"/>
      <c r="E25" s="233"/>
      <c r="F25" s="224">
        <f ca="1">(1+$B$4)*F24+IF($A25&lt;=Settings!$B$7,$B$3,-$C25)</f>
        <v>1991537.3082090931</v>
      </c>
      <c r="G25" s="227">
        <f ca="1">(1+$B$4)*G24+IF($A25&lt;=Settings!$B$7,$B$3,-$C25)+SUMIFS($E$64:$E$66,$A$64:$A$66,$A25)</f>
        <v>846520.55300790095</v>
      </c>
      <c r="H25" s="224">
        <f t="shared" ca="1" si="0"/>
        <v>33860.822120316036</v>
      </c>
      <c r="I25" s="224">
        <f ca="1">(1+$B$5)*I24+IF($A25&lt;=Settings!$B$7,$B$3,-$C25)</f>
        <v>2374336.6781764436</v>
      </c>
      <c r="J25" s="227">
        <f ca="1">(1+$B$5)*J24+IF($A25&lt;=Settings!$B$7,$B$3,-$C25)+SUMIFS($E$64:$E$66,$A$64:$A$66,$A25)</f>
        <v>986518.45616206352</v>
      </c>
      <c r="K25" s="224">
        <f t="shared" ca="1" si="1"/>
        <v>39460.738246482542</v>
      </c>
      <c r="L25" s="224">
        <f ca="1">(1+$B$6)*L24+IF($A25&lt;=Settings!$B$7,$B$3,-$C25)</f>
        <v>3081405.9046793235</v>
      </c>
      <c r="M25" s="227">
        <f ca="1">(1+$B$6)*M24+IF($A25&lt;=Settings!$B$7,$B$3,-$C25)+SUMIFS($E$64:$E$66,$A$64:$A$66,$A25)</f>
        <v>1242001.8070029088</v>
      </c>
      <c r="N25" s="224">
        <f t="shared" ca="1" si="2"/>
        <v>49680.07228011635</v>
      </c>
    </row>
    <row r="26" spans="1:16" ht="12.75" customHeight="1" x14ac:dyDescent="0.15">
      <c r="A26" s="232">
        <f t="shared" si="3"/>
        <v>53</v>
      </c>
      <c r="B26" s="232">
        <f t="shared" si="4"/>
        <v>2037</v>
      </c>
      <c r="C26" s="224">
        <f t="shared" si="5"/>
        <v>78725.199468075924</v>
      </c>
      <c r="D26" s="233"/>
      <c r="E26" s="233"/>
      <c r="F26" s="224">
        <f ca="1">(1+$B$4)*F25+IF($A26&lt;=Settings!$B$7,$B$3,-$C26)</f>
        <v>2081283.4274553659</v>
      </c>
      <c r="G26" s="227">
        <f ca="1">(1+$B$4)*G25+IF($A26&lt;=Settings!$B$7,$B$3,-$C26)+SUMIFS($E$64:$E$66,$A$64:$A$66,$A26)</f>
        <v>901916.16959813796</v>
      </c>
      <c r="H26" s="224">
        <f t="shared" ca="1" si="0"/>
        <v>36076.64678392552</v>
      </c>
      <c r="I26" s="224">
        <f ca="1">(1+$B$5)*I25+IF($A26&lt;=Settings!$B$7,$B$3,-$C26)</f>
        <v>2523053.5120852659</v>
      </c>
      <c r="J26" s="227">
        <f ca="1">(1+$B$5)*J25+IF($A26&lt;=Settings!$B$7,$B$3,-$C26)+SUMIFS($E$64:$E$66,$A$64:$A$66,$A26)</f>
        <v>1065844.3789701667</v>
      </c>
      <c r="K26" s="224">
        <f t="shared" ca="1" si="1"/>
        <v>42633.775158806668</v>
      </c>
      <c r="L26" s="224">
        <f ca="1">(1+$B$6)*L25+IF($A26&lt;=Settings!$B$7,$B$3,-$C26)</f>
        <v>3357918.3770536697</v>
      </c>
      <c r="M26" s="227">
        <f ca="1">(1+$B$6)*M25+IF($A26&lt;=Settings!$B$7,$B$3,-$C26)+SUMIFS($E$64:$E$66,$A$64:$A$66,$A26)</f>
        <v>1371361.9515631415</v>
      </c>
      <c r="N26" s="224">
        <f t="shared" ca="1" si="2"/>
        <v>54854.478062525661</v>
      </c>
    </row>
    <row r="27" spans="1:16" ht="12.75" customHeight="1" x14ac:dyDescent="0.15">
      <c r="A27" s="232">
        <f t="shared" si="3"/>
        <v>54</v>
      </c>
      <c r="B27" s="232">
        <f t="shared" si="4"/>
        <v>2038</v>
      </c>
      <c r="C27" s="224">
        <f t="shared" si="5"/>
        <v>80693.329454777821</v>
      </c>
      <c r="D27" s="233"/>
      <c r="E27" s="233"/>
      <c r="F27" s="224">
        <f ca="1">(1+$B$4)*F26+IF($A27&lt;=Settings!$B$7,$B$3,-$C27)</f>
        <v>2173721.9302790267</v>
      </c>
      <c r="G27" s="227">
        <f ca="1">(1+$B$4)*G26+IF($A27&lt;=Settings!$B$7,$B$3,-$C27)+SUMIFS($E$64:$E$66,$A$64:$A$66,$A27)</f>
        <v>958973.65468608215</v>
      </c>
      <c r="H27" s="224">
        <f t="shared" ca="1" si="0"/>
        <v>38358.946187443289</v>
      </c>
      <c r="I27" s="224">
        <f ca="1">(1+$B$5)*I26+IF($A27&lt;=Settings!$B$7,$B$3,-$C27)</f>
        <v>2679206.1876895293</v>
      </c>
      <c r="J27" s="227">
        <f ca="1">(1+$B$5)*J26+IF($A27&lt;=Settings!$B$7,$B$3,-$C27)+SUMIFS($E$64:$E$66,$A$64:$A$66,$A27)</f>
        <v>1149136.597918675</v>
      </c>
      <c r="K27" s="224">
        <f t="shared" ca="1" si="1"/>
        <v>45965.463916747001</v>
      </c>
      <c r="L27" s="224">
        <f ca="1">(1+$B$6)*L26+IF($A27&lt;=Settings!$B$7,$B$3,-$C27)</f>
        <v>3656551.8472179635</v>
      </c>
      <c r="M27" s="227">
        <f ca="1">(1+$B$6)*M26+IF($A27&lt;=Settings!$B$7,$B$3,-$C27)+SUMIFS($E$64:$E$66,$A$64:$A$66,$A27)</f>
        <v>1511070.907688193</v>
      </c>
      <c r="N27" s="224">
        <f t="shared" ca="1" si="2"/>
        <v>60442.836307527723</v>
      </c>
    </row>
    <row r="28" spans="1:16" s="237" customFormat="1" ht="12.75" customHeight="1" x14ac:dyDescent="0.15">
      <c r="A28" s="234">
        <f t="shared" si="3"/>
        <v>55</v>
      </c>
      <c r="B28" s="234">
        <f t="shared" si="4"/>
        <v>2039</v>
      </c>
      <c r="C28" s="235">
        <f t="shared" si="5"/>
        <v>82710.662691147256</v>
      </c>
      <c r="D28" s="235"/>
      <c r="E28" s="235"/>
      <c r="F28" s="235">
        <f ca="1">(1+$B$4)*F27+IF($A28&lt;=Settings!$B$7,$B$3,-$C28)</f>
        <v>2268933.5881873975</v>
      </c>
      <c r="G28" s="236">
        <f ca="1">(1+$B$4)*G27+IF($A28&lt;=Settings!$B$7,$B$3,-$C28)+SUMIFS($E$64:$E$66,$A$64:$A$66,$A28)</f>
        <v>1638072.8345102693</v>
      </c>
      <c r="H28" s="235">
        <f t="shared" ca="1" si="0"/>
        <v>65522.913380410777</v>
      </c>
      <c r="I28" s="235">
        <f ca="1">(1+$B$5)*I27+IF($A28&lt;=Settings!$B$7,$B$3,-$C28)</f>
        <v>2843166.4970740057</v>
      </c>
      <c r="J28" s="236">
        <f ca="1">(1+$B$5)*J27+IF($A28&lt;=Settings!$B$7,$B$3,-$C28)+SUMIFS($E$64:$E$66,$A$64:$A$66,$A28)</f>
        <v>1856923.3979982138</v>
      </c>
      <c r="K28" s="235">
        <f t="shared" ca="1" si="1"/>
        <v>74276.935919928554</v>
      </c>
      <c r="L28" s="235">
        <f ca="1">(1+$B$6)*L27+IF($A28&lt;=Settings!$B$7,$B$3,-$C28)</f>
        <v>3979075.9949954008</v>
      </c>
      <c r="M28" s="236">
        <f ca="1">(1+$B$6)*M27+IF($A28&lt;=Settings!$B$7,$B$3,-$C28)+SUMIFS($E$64:$E$66,$A$64:$A$66,$A28)</f>
        <v>2282286.5504868533</v>
      </c>
      <c r="N28" s="235">
        <f t="shared" ca="1" si="2"/>
        <v>91291.462019474129</v>
      </c>
    </row>
    <row r="29" spans="1:16" ht="12.75" customHeight="1" x14ac:dyDescent="0.15">
      <c r="A29" s="232">
        <f t="shared" si="3"/>
        <v>56</v>
      </c>
      <c r="B29" s="232">
        <f t="shared" si="4"/>
        <v>2040</v>
      </c>
      <c r="C29" s="224">
        <f t="shared" si="5"/>
        <v>84778.429258425924</v>
      </c>
      <c r="D29" s="233"/>
      <c r="E29" s="233"/>
      <c r="F29" s="224">
        <f ca="1">(1+$B$4)*F28+IF($A29&lt;=Settings!$B$7,$B$3,-$C29)</f>
        <v>2367001.5958330194</v>
      </c>
      <c r="G29" s="227">
        <f ca="1">(1+$B$4)*G28+IF($A29&lt;=Settings!$B$7,$B$3,-$C29)+SUMIFS($E$64:$E$66,$A$64:$A$66,$A29)</f>
        <v>1717215.0195455775</v>
      </c>
      <c r="H29" s="224">
        <f t="shared" ca="1" si="0"/>
        <v>68688.600781823101</v>
      </c>
      <c r="I29" s="224">
        <f ca="1">(1+$B$5)*I28+IF($A29&lt;=Settings!$B$7,$B$3,-$C29)</f>
        <v>3015324.8219277062</v>
      </c>
      <c r="J29" s="227">
        <f ca="1">(1+$B$5)*J28+IF($A29&lt;=Settings!$B$7,$B$3,-$C29)+SUMIFS($E$64:$E$66,$A$64:$A$66,$A29)</f>
        <v>1979769.5678981245</v>
      </c>
      <c r="K29" s="224">
        <f t="shared" ca="1" si="1"/>
        <v>79190.782715924986</v>
      </c>
      <c r="L29" s="224">
        <f ca="1">(1+$B$6)*L28+IF($A29&lt;=Settings!$B$7,$B$3,-$C29)</f>
        <v>4327402.0745950332</v>
      </c>
      <c r="M29" s="227">
        <f ca="1">(1+$B$6)*M28+IF($A29&lt;=Settings!$B$7,$B$3,-$C29)+SUMIFS($E$64:$E$66,$A$64:$A$66,$A29)</f>
        <v>2494869.4745258018</v>
      </c>
      <c r="N29" s="224">
        <f t="shared" ca="1" si="2"/>
        <v>99794.778981032083</v>
      </c>
    </row>
    <row r="30" spans="1:16" ht="12.75" customHeight="1" x14ac:dyDescent="0.15">
      <c r="A30" s="232">
        <f t="shared" si="3"/>
        <v>57</v>
      </c>
      <c r="B30" s="232">
        <f t="shared" si="4"/>
        <v>2041</v>
      </c>
      <c r="C30" s="224">
        <f t="shared" si="5"/>
        <v>86897.889989886564</v>
      </c>
      <c r="D30" s="233"/>
      <c r="E30" s="233"/>
      <c r="F30" s="224">
        <f ca="1">(1+$B$4)*F29+IF($A30&lt;=Settings!$B$7,$B$3,-$C30)</f>
        <v>2468011.6437080102</v>
      </c>
      <c r="G30" s="227">
        <f ca="1">(1+$B$4)*G29+IF($A30&lt;=Settings!$B$7,$B$3,-$C30)+SUMIFS($E$64:$E$66,$A$64:$A$66,$A30)</f>
        <v>1798731.4701319449</v>
      </c>
      <c r="H30" s="224">
        <f t="shared" ca="1" si="0"/>
        <v>71949.258805277801</v>
      </c>
      <c r="I30" s="224">
        <f ca="1">(1+$B$5)*I29+IF($A30&lt;=Settings!$B$7,$B$3,-$C30)</f>
        <v>3196091.0630240915</v>
      </c>
      <c r="J30" s="227">
        <f ca="1">(1+$B$5)*J29+IF($A30&lt;=Settings!$B$7,$B$3,-$C30)+SUMIFS($E$64:$E$66,$A$64:$A$66,$A30)</f>
        <v>2108758.0462930305</v>
      </c>
      <c r="K30" s="224">
        <f t="shared" ca="1" si="1"/>
        <v>84350.321851721223</v>
      </c>
      <c r="L30" s="224">
        <f ca="1">(1+$B$6)*L29+IF($A30&lt;=Settings!$B$7,$B$3,-$C30)</f>
        <v>4703594.2405626364</v>
      </c>
      <c r="M30" s="227">
        <f ca="1">(1+$B$6)*M29+IF($A30&lt;=Settings!$B$7,$B$3,-$C30)+SUMIFS($E$64:$E$66,$A$64:$A$66,$A30)</f>
        <v>2724459.032487866</v>
      </c>
      <c r="N30" s="224">
        <f t="shared" ca="1" si="2"/>
        <v>108978.36129951464</v>
      </c>
    </row>
    <row r="31" spans="1:16" ht="12.75" customHeight="1" x14ac:dyDescent="0.15">
      <c r="A31" s="232">
        <f t="shared" si="3"/>
        <v>58</v>
      </c>
      <c r="B31" s="232">
        <f t="shared" si="4"/>
        <v>2042</v>
      </c>
      <c r="C31" s="224">
        <f t="shared" si="5"/>
        <v>89070.337239633722</v>
      </c>
      <c r="D31" s="233"/>
      <c r="E31" s="233"/>
      <c r="F31" s="224">
        <f ca="1">(1+$B$4)*F30+IF($A31&lt;=Settings!$B$7,$B$3,-$C31)</f>
        <v>2572051.9930192507</v>
      </c>
      <c r="G31" s="227">
        <f ca="1">(1+$B$4)*G30+IF($A31&lt;=Settings!$B$7,$B$3,-$C31)+SUMIFS($E$64:$E$66,$A$64:$A$66,$A31)</f>
        <v>1882693.4142359032</v>
      </c>
      <c r="H31" s="224">
        <f t="shared" ca="1" si="0"/>
        <v>75307.736569436136</v>
      </c>
      <c r="I31" s="224">
        <f ca="1">(1+$B$5)*I30+IF($A31&lt;=Settings!$B$7,$B$3,-$C31)</f>
        <v>3385895.6161752963</v>
      </c>
      <c r="J31" s="227">
        <f ca="1">(1+$B$5)*J30+IF($A31&lt;=Settings!$B$7,$B$3,-$C31)+SUMIFS($E$64:$E$66,$A$64:$A$66,$A31)</f>
        <v>2244195.9486076823</v>
      </c>
      <c r="K31" s="224">
        <f t="shared" ca="1" si="1"/>
        <v>89767.837944307292</v>
      </c>
      <c r="L31" s="224">
        <f ca="1">(1+$B$6)*L30+IF($A31&lt;=Settings!$B$7,$B$3,-$C31)</f>
        <v>5109881.7798076477</v>
      </c>
      <c r="M31" s="227">
        <f ca="1">(1+$B$6)*M30+IF($A31&lt;=Settings!$B$7,$B$3,-$C31)+SUMIFS($E$64:$E$66,$A$64:$A$66,$A31)</f>
        <v>2972415.7550868955</v>
      </c>
      <c r="N31" s="224">
        <f t="shared" ca="1" si="2"/>
        <v>118896.63020347583</v>
      </c>
    </row>
    <row r="32" spans="1:16" ht="12.75" customHeight="1" x14ac:dyDescent="0.15">
      <c r="A32" s="232">
        <f t="shared" si="3"/>
        <v>59</v>
      </c>
      <c r="B32" s="232">
        <f t="shared" si="4"/>
        <v>2043</v>
      </c>
      <c r="C32" s="224">
        <f t="shared" si="5"/>
        <v>91297.095670624563</v>
      </c>
      <c r="D32" s="233"/>
      <c r="E32" s="233"/>
      <c r="F32" s="224">
        <f ca="1">(1+$B$4)*F31+IF($A32&lt;=Settings!$B$7,$B$3,-$C32)</f>
        <v>2679213.5528098284</v>
      </c>
      <c r="G32" s="227">
        <f ca="1">(1+$B$4)*G31+IF($A32&lt;=Settings!$B$7,$B$3,-$C32)+SUMIFS($E$64:$E$66,$A$64:$A$66,$A32)</f>
        <v>1969174.2166629804</v>
      </c>
      <c r="H32" s="224">
        <f t="shared" ca="1" si="0"/>
        <v>78766.968666519213</v>
      </c>
      <c r="I32" s="224">
        <f ca="1">(1+$B$5)*I31+IF($A32&lt;=Settings!$B$7,$B$3,-$C32)</f>
        <v>3585190.3969840612</v>
      </c>
      <c r="J32" s="227">
        <f ca="1">(1+$B$5)*J31+IF($A32&lt;=Settings!$B$7,$B$3,-$C32)+SUMIFS($E$64:$E$66,$A$64:$A$66,$A32)</f>
        <v>2386405.7460380667</v>
      </c>
      <c r="K32" s="224">
        <f t="shared" ca="1" si="1"/>
        <v>95456.229841522669</v>
      </c>
      <c r="L32" s="224">
        <f ca="1">(1+$B$6)*L31+IF($A32&lt;=Settings!$B$7,$B$3,-$C32)</f>
        <v>5548672.3221922601</v>
      </c>
      <c r="M32" s="227">
        <f ca="1">(1+$B$6)*M31+IF($A32&lt;=Settings!$B$7,$B$3,-$C32)+SUMIFS($E$64:$E$66,$A$64:$A$66,$A32)</f>
        <v>3240209.0154938474</v>
      </c>
      <c r="N32" s="224">
        <f t="shared" ca="1" si="2"/>
        <v>129608.3606197539</v>
      </c>
    </row>
    <row r="33" spans="1:14" ht="12.75" customHeight="1" x14ac:dyDescent="0.15">
      <c r="A33" s="228">
        <f t="shared" si="3"/>
        <v>60</v>
      </c>
      <c r="B33" s="228">
        <f t="shared" si="4"/>
        <v>2044</v>
      </c>
      <c r="C33" s="229">
        <f t="shared" si="5"/>
        <v>93579.523062390173</v>
      </c>
      <c r="D33" s="233"/>
      <c r="E33" s="233"/>
      <c r="F33" s="229">
        <f ca="1">(1+$B$4)*F32+IF($A33&lt;=Settings!$B$7,$B$3,-$C33)</f>
        <v>2789589.9593941234</v>
      </c>
      <c r="G33" s="231">
        <f ca="1">(1+$B$4)*G32+IF($A33&lt;=Settings!$B$7,$B$3,-$C33)+SUMIFS($E$64:$E$66,$A$64:$A$66,$A33)</f>
        <v>2058249.4431628699</v>
      </c>
      <c r="H33" s="229">
        <f t="shared" ca="1" si="0"/>
        <v>82329.9777265148</v>
      </c>
      <c r="I33" s="229">
        <f ca="1">(1+$B$5)*I32+IF($A33&lt;=Settings!$B$7,$B$3,-$C33)</f>
        <v>3794449.9168332643</v>
      </c>
      <c r="J33" s="231">
        <f ca="1">(1+$B$5)*J32+IF($A33&lt;=Settings!$B$7,$B$3,-$C33)+SUMIFS($E$64:$E$66,$A$64:$A$66,$A33)</f>
        <v>2535726.0333399703</v>
      </c>
      <c r="K33" s="229">
        <f t="shared" ca="1" si="1"/>
        <v>101429.04133359881</v>
      </c>
      <c r="L33" s="229">
        <f ca="1">(1+$B$6)*L32+IF($A33&lt;=Settings!$B$7,$B$3,-$C33)</f>
        <v>6022566.1079676412</v>
      </c>
      <c r="M33" s="231">
        <f ca="1">(1+$B$6)*M32+IF($A33&lt;=Settings!$B$7,$B$3,-$C33)+SUMIFS($E$64:$E$66,$A$64:$A$66,$A33)</f>
        <v>3529425.7367333556</v>
      </c>
      <c r="N33" s="229">
        <f t="shared" ca="1" si="2"/>
        <v>141177.02946933423</v>
      </c>
    </row>
    <row r="34" spans="1:14" ht="12.75" customHeight="1" x14ac:dyDescent="0.15">
      <c r="A34" s="232">
        <f t="shared" si="3"/>
        <v>61</v>
      </c>
      <c r="B34" s="232">
        <f t="shared" si="4"/>
        <v>2045</v>
      </c>
      <c r="C34" s="224">
        <f t="shared" si="5"/>
        <v>95919.011138949922</v>
      </c>
      <c r="D34" s="233"/>
      <c r="E34" s="233"/>
      <c r="F34" s="224">
        <f ca="1">(1+$B$4)*F33+IF($A34&lt;=Settings!$B$7,$B$3,-$C34)</f>
        <v>2777358.6470369971</v>
      </c>
      <c r="G34" s="227">
        <f ca="1">(1+$B$4)*G33+IF($A34&lt;=Settings!$B$7,$B$3,-$C34)+SUMIFS($E$64:$E$66,$A$64:$A$66,$A34)</f>
        <v>2024077.9153188062</v>
      </c>
      <c r="H34" s="224">
        <f t="shared" ca="1" si="0"/>
        <v>80963.116612752245</v>
      </c>
      <c r="I34" s="224">
        <f ca="1">(1+$B$5)*I33+IF($A34&lt;=Settings!$B$7,$B$3,-$C34)</f>
        <v>3888253.4015359776</v>
      </c>
      <c r="J34" s="227">
        <f ca="1">(1+$B$5)*J33+IF($A34&lt;=Settings!$B$7,$B$3,-$C34)+SUMIFS($E$64:$E$66,$A$64:$A$66,$A34)</f>
        <v>2566593.323868019</v>
      </c>
      <c r="K34" s="224">
        <f t="shared" ca="1" si="1"/>
        <v>102663.73295472076</v>
      </c>
      <c r="L34" s="224">
        <f ca="1">(1+$B$6)*L33+IF($A34&lt;=Settings!$B$7,$B$3,-$C34)</f>
        <v>6408452.3854661034</v>
      </c>
      <c r="M34" s="227">
        <f ca="1">(1+$B$6)*M33+IF($A34&lt;=Settings!$B$7,$B$3,-$C34)+SUMIFS($E$64:$E$66,$A$64:$A$66,$A34)</f>
        <v>3715860.7845330741</v>
      </c>
      <c r="N34" s="224">
        <f t="shared" ca="1" si="2"/>
        <v>148634.43138132297</v>
      </c>
    </row>
    <row r="35" spans="1:14" s="81" customFormat="1" ht="12.75" customHeight="1" x14ac:dyDescent="0.15">
      <c r="A35" s="238">
        <f t="shared" si="3"/>
        <v>62</v>
      </c>
      <c r="B35" s="238">
        <f t="shared" si="4"/>
        <v>2046</v>
      </c>
      <c r="C35" s="239">
        <f t="shared" si="5"/>
        <v>98316.986417423657</v>
      </c>
      <c r="D35" s="239"/>
      <c r="E35" s="239"/>
      <c r="F35" s="239">
        <f ca="1">(1+$B$4)*F34+IF($A35&lt;=Settings!$B$7,$B$3,-$C35)</f>
        <v>2762362.4200306837</v>
      </c>
      <c r="G35" s="236">
        <f ca="1">(1+$B$4)*G34+IF($A35&lt;=Settings!$B$7,$B$3,-$C35)+SUMIFS($E$64:$E$66,$A$64:$A$66,$A35)</f>
        <v>2239338.8392146644</v>
      </c>
      <c r="H35" s="239">
        <f t="shared" ca="1" si="0"/>
        <v>89573.553568586576</v>
      </c>
      <c r="I35" s="239">
        <f ca="1">(1+$B$5)*I34+IF($A35&lt;=Settings!$B$7,$B$3,-$C35)</f>
        <v>3984349.0851953533</v>
      </c>
      <c r="J35" s="236">
        <f ca="1">(1+$B$5)*J34+IF($A35&lt;=Settings!$B$7,$B$3,-$C35)+SUMIFS($E$64:$E$66,$A$64:$A$66,$A35)</f>
        <v>2849461.5764977145</v>
      </c>
      <c r="K35" s="239">
        <f t="shared" ca="1" si="1"/>
        <v>113978.46305990858</v>
      </c>
      <c r="L35" s="239">
        <f ca="1">(1+$B$6)*L34+IF($A35&lt;=Settings!$B$7,$B$3,-$C35)</f>
        <v>6822811.5898859678</v>
      </c>
      <c r="M35" s="236">
        <f ca="1">(1+$B$6)*M34+IF($A35&lt;=Settings!$B$7,$B$3,-$C35)+SUMIFS($E$64:$E$66,$A$64:$A$66,$A35)</f>
        <v>4167668.2337320149</v>
      </c>
      <c r="N35" s="239">
        <f t="shared" ca="1" si="2"/>
        <v>166706.72934928059</v>
      </c>
    </row>
    <row r="36" spans="1:14" ht="12.75" customHeight="1" x14ac:dyDescent="0.15">
      <c r="A36" s="232">
        <f t="shared" si="3"/>
        <v>63</v>
      </c>
      <c r="B36" s="232">
        <f t="shared" si="4"/>
        <v>2047</v>
      </c>
      <c r="C36" s="224">
        <f t="shared" si="5"/>
        <v>100774.91107785924</v>
      </c>
      <c r="D36" s="233"/>
      <c r="E36" s="233"/>
      <c r="F36" s="224">
        <f ca="1">(1+$B$4)*F35+IF($A36&lt;=Settings!$B$7,$B$3,-$C36)</f>
        <v>2744458.3815537449</v>
      </c>
      <c r="G36" s="227">
        <f ca="1">(1+$B$4)*G35+IF($A36&lt;=Settings!$B$7,$B$3,-$C36)+SUMIFS($E$64:$E$66,$A$64:$A$66,$A36)</f>
        <v>2205744.0933132451</v>
      </c>
      <c r="H36" s="224">
        <f t="shared" ca="1" si="0"/>
        <v>88229.763732529813</v>
      </c>
      <c r="I36" s="224">
        <f ca="1">(1+$B$5)*I35+IF($A36&lt;=Settings!$B$7,$B$3,-$C36)</f>
        <v>4082791.6283772616</v>
      </c>
      <c r="J36" s="227">
        <f ca="1">(1+$B$5)*J35+IF($A36&lt;=Settings!$B$7,$B$3,-$C36)+SUMIFS($E$64:$E$66,$A$64:$A$66,$A36)</f>
        <v>2891159.7442447408</v>
      </c>
      <c r="K36" s="224">
        <f t="shared" ca="1" si="1"/>
        <v>115646.38976978963</v>
      </c>
      <c r="L36" s="224">
        <f ca="1">(1+$B$6)*L35+IF($A36&lt;=Settings!$B$7,$B$3,-$C36)</f>
        <v>7267861.6059989864</v>
      </c>
      <c r="M36" s="227">
        <f ca="1">(1+$B$6)*M35+IF($A36&lt;=Settings!$B$7,$B$3,-$C36)+SUMIFS($E$64:$E$66,$A$64:$A$66,$A36)</f>
        <v>4400306.7813527174</v>
      </c>
      <c r="N36" s="224">
        <f t="shared" ca="1" si="2"/>
        <v>176012.27125410869</v>
      </c>
    </row>
    <row r="37" spans="1:14" ht="12.75" customHeight="1" x14ac:dyDescent="0.15">
      <c r="A37" s="232">
        <f t="shared" si="3"/>
        <v>64</v>
      </c>
      <c r="B37" s="232">
        <f t="shared" si="4"/>
        <v>2048</v>
      </c>
      <c r="C37" s="224">
        <f t="shared" si="5"/>
        <v>103294.28385480572</v>
      </c>
      <c r="D37" s="233"/>
      <c r="E37" s="233"/>
      <c r="F37" s="224">
        <f ca="1">(1+$B$4)*F36+IF($A37&lt;=Settings!$B$7,$B$3,-$C37)</f>
        <v>2723497.8491455517</v>
      </c>
      <c r="G37" s="227">
        <f ca="1">(1+$B$4)*G36+IF($A37&lt;=Settings!$B$7,$B$3,-$C37)+SUMIFS($E$64:$E$66,$A$64:$A$66,$A37)</f>
        <v>2168622.1322578369</v>
      </c>
      <c r="H37" s="224">
        <f t="shared" ca="1" si="0"/>
        <v>86744.885290313483</v>
      </c>
      <c r="I37" s="224">
        <f ca="1">(1+$B$5)*I36+IF($A37&lt;=Settings!$B$7,$B$3,-$C37)</f>
        <v>4183636.9259413192</v>
      </c>
      <c r="J37" s="227">
        <f ca="1">(1+$B$5)*J36+IF($A37&lt;=Settings!$B$7,$B$3,-$C37)+SUMIFS($E$64:$E$66,$A$64:$A$66,$A37)</f>
        <v>2932423.4476021719</v>
      </c>
      <c r="K37" s="224">
        <f t="shared" ca="1" si="1"/>
        <v>117296.93790408688</v>
      </c>
      <c r="L37" s="224">
        <f ca="1">(1+$B$6)*L36+IF($A37&lt;=Settings!$B$7,$B$3,-$C37)</f>
        <v>7745996.2506240997</v>
      </c>
      <c r="M37" s="227">
        <f ca="1">(1+$B$6)*M36+IF($A37&lt;=Settings!$B$7,$B$3,-$C37)+SUMIFS($E$64:$E$66,$A$64:$A$66,$A37)</f>
        <v>4649037.0400061291</v>
      </c>
      <c r="N37" s="224">
        <f t="shared" ca="1" si="2"/>
        <v>185961.48160024517</v>
      </c>
    </row>
    <row r="38" spans="1:14" s="240" customFormat="1" ht="12.75" customHeight="1" x14ac:dyDescent="0.15">
      <c r="A38" s="228">
        <f t="shared" si="3"/>
        <v>65</v>
      </c>
      <c r="B38" s="228">
        <f t="shared" si="4"/>
        <v>2049</v>
      </c>
      <c r="C38" s="229">
        <f t="shared" si="5"/>
        <v>105876.64095117585</v>
      </c>
      <c r="D38" s="229"/>
      <c r="E38" s="229"/>
      <c r="F38" s="229">
        <f ca="1">(1+$B$4)*F37+IF($A38&lt;=Settings!$B$7,$B$3,-$C38)</f>
        <v>2699326.1436687424</v>
      </c>
      <c r="G38" s="231">
        <f ca="1">(1+$B$4)*G37+IF($A38&lt;=Settings!$B$7,$B$3,-$C38)+SUMIFS($E$64:$E$66,$A$64:$A$66,$A38)</f>
        <v>2773559.6275836648</v>
      </c>
      <c r="H38" s="229">
        <f t="shared" ca="1" si="0"/>
        <v>110942.38510334659</v>
      </c>
      <c r="I38" s="229">
        <f ca="1">(1+$B$5)*I37+IF($A38&lt;=Settings!$B$7,$B$3,-$C38)</f>
        <v>4286942.1312872088</v>
      </c>
      <c r="J38" s="231">
        <f ca="1">(1+$B$5)*J37+IF($A38&lt;=Settings!$B$7,$B$3,-$C38)+SUMIFS($E$64:$E$66,$A$64:$A$66,$A38)</f>
        <v>3618923.4513403736</v>
      </c>
      <c r="K38" s="229">
        <f t="shared" ca="1" si="1"/>
        <v>144756.93805361495</v>
      </c>
      <c r="L38" s="229">
        <f ca="1">(1+$B$6)*L37+IF($A38&lt;=Settings!$B$7,$B$3,-$C38)</f>
        <v>8259799.309722852</v>
      </c>
      <c r="M38" s="231">
        <f ca="1">(1+$B$6)*M37+IF($A38&lt;=Settings!$B$7,$B$3,-$C38)+SUMIFS($E$64:$E$66,$A$64:$A$66,$A38)</f>
        <v>5560838.8345647119</v>
      </c>
      <c r="N38" s="229">
        <f t="shared" ca="1" si="2"/>
        <v>222433.55338258849</v>
      </c>
    </row>
    <row r="39" spans="1:14" ht="12.75" customHeight="1" x14ac:dyDescent="0.15">
      <c r="A39" s="232">
        <f t="shared" si="3"/>
        <v>66</v>
      </c>
      <c r="B39" s="232">
        <f t="shared" si="4"/>
        <v>2050</v>
      </c>
      <c r="C39" s="224">
        <f t="shared" si="5"/>
        <v>108523.55697495524</v>
      </c>
      <c r="D39" s="233"/>
      <c r="E39" s="233"/>
      <c r="F39" s="224">
        <f ca="1">(1+$B$4)*F38+IF($A39&lt;=Settings!$B$7,$B$3,-$C39)</f>
        <v>2671782.3710038494</v>
      </c>
      <c r="G39" s="227">
        <f ca="1">(1+$B$4)*G38+IF($A39&lt;=Settings!$B$7,$B$3,-$C39)+SUMIFS($E$64:$E$66,$A$64:$A$66,$A39)</f>
        <v>2748242.8594362196</v>
      </c>
      <c r="H39" s="224">
        <f t="shared" ca="1" si="0"/>
        <v>109929.71437744878</v>
      </c>
      <c r="I39" s="224">
        <f ca="1">(1+$B$5)*I38+IF($A39&lt;=Settings!$B$7,$B$3,-$C39)</f>
        <v>4392765.6808766145</v>
      </c>
      <c r="J39" s="227">
        <f ca="1">(1+$B$5)*J38+IF($A39&lt;=Settings!$B$7,$B$3,-$C39)+SUMIFS($E$64:$E$66,$A$64:$A$66,$A39)</f>
        <v>3691346.066932437</v>
      </c>
      <c r="K39" s="224">
        <f t="shared" ca="1" si="1"/>
        <v>147653.84267729748</v>
      </c>
      <c r="L39" s="224">
        <f ca="1">(1+$B$6)*L38+IF($A39&lt;=Settings!$B$7,$B$3,-$C39)</f>
        <v>8812059.6975257266</v>
      </c>
      <c r="M39" s="227">
        <f ca="1">(1+$B$6)*M38+IF($A39&lt;=Settings!$B$7,$B$3,-$C39)+SUMIFS($E$64:$E$66,$A$64:$A$66,$A39)</f>
        <v>5897182.3843549341</v>
      </c>
      <c r="N39" s="224">
        <f t="shared" ca="1" si="2"/>
        <v>235887.29537419736</v>
      </c>
    </row>
    <row r="40" spans="1:14" ht="12.75" customHeight="1" x14ac:dyDescent="0.15">
      <c r="A40" s="232">
        <f t="shared" si="3"/>
        <v>67</v>
      </c>
      <c r="B40" s="232">
        <f t="shared" si="4"/>
        <v>2051</v>
      </c>
      <c r="C40" s="224">
        <f t="shared" si="5"/>
        <v>111236.64589932912</v>
      </c>
      <c r="D40" s="233"/>
      <c r="E40" s="233"/>
      <c r="F40" s="224">
        <f ca="1">(1+$B$4)*F39+IF($A40&lt;=Settings!$B$7,$B$3,-$C40)</f>
        <v>2640699.1962346355</v>
      </c>
      <c r="G40" s="227">
        <f ca="1">(1+$B$4)*G39+IF($A40&lt;=Settings!$B$7,$B$3,-$C40)+SUMIFS($E$64:$E$66,$A$64:$A$66,$A40)</f>
        <v>2719453.4993199767</v>
      </c>
      <c r="H40" s="224">
        <f t="shared" ca="1" si="0"/>
        <v>108778.13997279906</v>
      </c>
      <c r="I40" s="224">
        <f ca="1">(1+$B$5)*I39+IF($A40&lt;=Settings!$B$7,$B$3,-$C40)</f>
        <v>4501167.319021116</v>
      </c>
      <c r="J40" s="227">
        <f ca="1">(1+$B$5)*J39+IF($A40&lt;=Settings!$B$7,$B$3,-$C40)+SUMIFS($E$64:$E$66,$A$64:$A$66,$A40)</f>
        <v>3764676.7243797295</v>
      </c>
      <c r="K40" s="224">
        <f t="shared" ca="1" si="1"/>
        <v>150587.06897518918</v>
      </c>
      <c r="L40" s="224">
        <f ca="1">(1+$B$6)*L39+IF($A40&lt;=Settings!$B$7,$B$3,-$C40)</f>
        <v>9405787.8274284564</v>
      </c>
      <c r="M40" s="227">
        <f ca="1">(1+$B$6)*M39+IF($A40&lt;=Settings!$B$7,$B$3,-$C40)+SUMIFS($E$64:$E$66,$A$64:$A$66,$A40)</f>
        <v>6257720.3292039996</v>
      </c>
      <c r="N40" s="224">
        <f t="shared" ca="1" si="2"/>
        <v>250308.81316815998</v>
      </c>
    </row>
    <row r="41" spans="1:14" ht="12.75" customHeight="1" x14ac:dyDescent="0.15">
      <c r="A41" s="232">
        <f t="shared" si="3"/>
        <v>68</v>
      </c>
      <c r="B41" s="232">
        <f t="shared" si="4"/>
        <v>2052</v>
      </c>
      <c r="C41" s="224">
        <f t="shared" si="5"/>
        <v>114017.56204681234</v>
      </c>
      <c r="D41" s="233"/>
      <c r="E41" s="233"/>
      <c r="F41" s="224">
        <f ca="1">(1+$B$4)*F40+IF($A41&lt;=Settings!$B$7,$B$3,-$C41)</f>
        <v>2605902.6100748624</v>
      </c>
      <c r="G41" s="227">
        <f ca="1">(1+$B$4)*G40+IF($A41&lt;=Settings!$B$7,$B$3,-$C41)+SUMIFS($E$64:$E$66,$A$64:$A$66,$A41)</f>
        <v>2687019.5422527636</v>
      </c>
      <c r="H41" s="224">
        <f t="shared" ca="1" si="0"/>
        <v>107480.78169011055</v>
      </c>
      <c r="I41" s="224">
        <f ca="1">(1+$B$5)*I40+IF($A41&lt;=Settings!$B$7,$B$3,-$C41)</f>
        <v>4612208.1229253598</v>
      </c>
      <c r="J41" s="227">
        <f ca="1">(1+$B$5)*J40+IF($A41&lt;=Settings!$B$7,$B$3,-$C41)+SUMIFS($E$64:$E$66,$A$64:$A$66,$A41)</f>
        <v>3838892.9985519038</v>
      </c>
      <c r="K41" s="224">
        <f t="shared" ca="1" si="1"/>
        <v>153555.71994207616</v>
      </c>
      <c r="L41" s="224">
        <f ca="1">(1+$B$6)*L40+IF($A41&lt;=Settings!$B$7,$B$3,-$C41)</f>
        <v>10044233.29157592</v>
      </c>
      <c r="M41" s="227">
        <f ca="1">(1+$B$6)*M40+IF($A41&lt;=Settings!$B$7,$B$3,-$C41)+SUMIFS($E$64:$E$66,$A$64:$A$66,$A41)</f>
        <v>6644320.393493508</v>
      </c>
      <c r="N41" s="224">
        <f t="shared" ca="1" si="2"/>
        <v>265772.81573974033</v>
      </c>
    </row>
    <row r="42" spans="1:14" ht="12.75" customHeight="1" x14ac:dyDescent="0.15">
      <c r="A42" s="232">
        <f t="shared" si="3"/>
        <v>69</v>
      </c>
      <c r="B42" s="232">
        <f t="shared" si="4"/>
        <v>2053</v>
      </c>
      <c r="C42" s="224">
        <f t="shared" si="5"/>
        <v>116868.00109798263</v>
      </c>
      <c r="D42" s="233"/>
      <c r="E42" s="233"/>
      <c r="F42" s="224">
        <f ca="1">(1+$B$4)*F41+IF($A42&lt;=Settings!$B$7,$B$3,-$C42)</f>
        <v>2567211.6872791257</v>
      </c>
      <c r="G42" s="227">
        <f ca="1">(1+$B$4)*G41+IF($A42&lt;=Settings!$B$7,$B$3,-$C42)+SUMIFS($E$64:$E$66,$A$64:$A$66,$A42)</f>
        <v>2650762.127422364</v>
      </c>
      <c r="H42" s="224">
        <f t="shared" ca="1" si="0"/>
        <v>106030.48509689455</v>
      </c>
      <c r="I42" s="224">
        <f ca="1">(1+$B$5)*I41+IF($A42&lt;=Settings!$B$7,$B$3,-$C42)</f>
        <v>4725950.5279736454</v>
      </c>
      <c r="J42" s="227">
        <f ca="1">(1+$B$5)*J41+IF($A42&lt;=Settings!$B$7,$B$3,-$C42)+SUMIFS($E$64:$E$66,$A$64:$A$66,$A42)</f>
        <v>3913969.6473815162</v>
      </c>
      <c r="K42" s="224">
        <f t="shared" ca="1" si="1"/>
        <v>156558.78589526066</v>
      </c>
      <c r="L42" s="224">
        <f ca="1">(1+$B$6)*L41+IF($A42&lt;=Settings!$B$7,$B$3,-$C42)</f>
        <v>10730903.953804011</v>
      </c>
      <c r="M42" s="227">
        <f ca="1">(1+$B$6)*M41+IF($A42&lt;=Settings!$B$7,$B$3,-$C42)+SUMIFS($E$64:$E$66,$A$64:$A$66,$A42)</f>
        <v>7058998.0238750065</v>
      </c>
      <c r="N42" s="224">
        <f t="shared" ca="1" si="2"/>
        <v>282359.92095500027</v>
      </c>
    </row>
    <row r="43" spans="1:14" ht="12.75" customHeight="1" x14ac:dyDescent="0.15">
      <c r="A43" s="232">
        <f t="shared" si="3"/>
        <v>70</v>
      </c>
      <c r="B43" s="232">
        <f t="shared" si="4"/>
        <v>2054</v>
      </c>
      <c r="C43" s="224">
        <f t="shared" si="5"/>
        <v>119789.70112543218</v>
      </c>
      <c r="D43" s="233"/>
      <c r="E43" s="233"/>
      <c r="F43" s="224">
        <f ca="1">(1+$B$4)*F42+IF($A43&lt;=Settings!$B$7,$B$3,-$C43)</f>
        <v>2524438.3367720675</v>
      </c>
      <c r="G43" s="227">
        <f ca="1">(1+$B$4)*G42+IF($A43&lt;=Settings!$B$7,$B$3,-$C43)+SUMIFS($E$64:$E$66,$A$64:$A$66,$A43)</f>
        <v>2610495.2901196028</v>
      </c>
      <c r="H43" s="224">
        <f t="shared" ca="1" si="0"/>
        <v>104419.81160478412</v>
      </c>
      <c r="I43" s="224">
        <f ca="1">(1+$B$5)*I42+IF($A43&lt;=Settings!$B$7,$B$3,-$C43)</f>
        <v>4842458.3532468956</v>
      </c>
      <c r="J43" s="227">
        <f ca="1">(1+$B$5)*J42+IF($A43&lt;=Settings!$B$7,$B$3,-$C43)+SUMIFS($E$64:$E$66,$A$64:$A$66,$A43)</f>
        <v>3989878.4286251599</v>
      </c>
      <c r="K43" s="224">
        <f t="shared" ca="1" si="1"/>
        <v>159595.13714500639</v>
      </c>
      <c r="L43" s="224">
        <f ca="1">(1+$B$6)*L42+IF($A43&lt;=Settings!$B$7,$B$3,-$C43)</f>
        <v>11469586.568982901</v>
      </c>
      <c r="M43" s="227">
        <f ca="1">(1+$B$6)*M42+IF($A43&lt;=Settings!$B$7,$B$3,-$C43)+SUMIFS($E$64:$E$66,$A$64:$A$66,$A43)</f>
        <v>7503928.1646595756</v>
      </c>
      <c r="N43" s="224">
        <f t="shared" ca="1" si="2"/>
        <v>300157.12658638303</v>
      </c>
    </row>
    <row r="44" spans="1:14" ht="12.75" customHeight="1" x14ac:dyDescent="0.15">
      <c r="A44" s="232">
        <f t="shared" si="3"/>
        <v>71</v>
      </c>
      <c r="B44" s="232">
        <f t="shared" si="4"/>
        <v>2055</v>
      </c>
      <c r="C44" s="224">
        <f t="shared" si="5"/>
        <v>122784.44365356799</v>
      </c>
      <c r="D44" s="233"/>
      <c r="E44" s="233"/>
      <c r="F44" s="224">
        <f ca="1">(1+$B$4)*F43+IF($A44&lt;=Settings!$B$7,$B$3,-$C44)</f>
        <v>2477387.0432216614</v>
      </c>
      <c r="G44" s="227">
        <f ca="1">(1+$B$4)*G43+IF($A44&lt;=Settings!$B$7,$B$3,-$C44)+SUMIFS($E$64:$E$66,$A$64:$A$66,$A44)</f>
        <v>2566025.7051696228</v>
      </c>
      <c r="H44" s="224">
        <f t="shared" ca="1" si="0"/>
        <v>102641.02820678492</v>
      </c>
      <c r="I44" s="224">
        <f ca="1">(1+$B$5)*I43+IF($A44&lt;=Settings!$B$7,$B$3,-$C44)</f>
        <v>4961796.8272556728</v>
      </c>
      <c r="J44" s="227">
        <f ca="1">(1+$B$5)*J43+IF($A44&lt;=Settings!$B$7,$B$3,-$C44)+SUMIFS($E$64:$E$66,$A$64:$A$66,$A44)</f>
        <v>4066587.9064028501</v>
      </c>
      <c r="K44" s="224">
        <f t="shared" ca="1" si="1"/>
        <v>162663.516256114</v>
      </c>
      <c r="L44" s="224">
        <f ca="1">(1+$B$6)*L43+IF($A44&lt;=Settings!$B$7,$B$3,-$C44)</f>
        <v>12264369.050847966</v>
      </c>
      <c r="M44" s="227">
        <f ca="1">(1+$B$6)*M43+IF($A44&lt;=Settings!$B$7,$B$3,-$C44)+SUMIFS($E$64:$E$66,$A$64:$A$66,$A44)</f>
        <v>7981457.9741787743</v>
      </c>
      <c r="N44" s="224">
        <f t="shared" ca="1" si="2"/>
        <v>319258.31896715099</v>
      </c>
    </row>
    <row r="45" spans="1:14" ht="12.75" customHeight="1" x14ac:dyDescent="0.15">
      <c r="A45" s="232">
        <f t="shared" si="3"/>
        <v>72</v>
      </c>
      <c r="B45" s="232">
        <f t="shared" si="4"/>
        <v>2056</v>
      </c>
      <c r="C45" s="224">
        <f t="shared" si="5"/>
        <v>125854.05474490717</v>
      </c>
      <c r="D45" s="233"/>
      <c r="E45" s="233"/>
      <c r="F45" s="224">
        <f ca="1">(1+$B$4)*F44+IF($A45&lt;=Settings!$B$7,$B$3,-$C45)</f>
        <v>2425854.5997734042</v>
      </c>
      <c r="G45" s="227">
        <f ca="1">(1+$B$4)*G44+IF($A45&lt;=Settings!$B$7,$B$3,-$C45)+SUMIFS($E$64:$E$66,$A$64:$A$66,$A45)</f>
        <v>2517152.4215798043</v>
      </c>
      <c r="H45" s="224">
        <f t="shared" ca="1" si="0"/>
        <v>100686.09686319217</v>
      </c>
      <c r="I45" s="224">
        <f ca="1">(1+$B$5)*I44+IF($A45&lt;=Settings!$B$7,$B$3,-$C45)</f>
        <v>5084032.6138735497</v>
      </c>
      <c r="J45" s="227">
        <f ca="1">(1+$B$5)*J44+IF($A45&lt;=Settings!$B$7,$B$3,-$C45)+SUMIFS($E$64:$E$66,$A$64:$A$66,$A45)</f>
        <v>4144063.246978086</v>
      </c>
      <c r="K45" s="224">
        <f t="shared" ca="1" si="1"/>
        <v>165762.52987912344</v>
      </c>
      <c r="L45" s="224">
        <f ca="1">(1+$B$6)*L44+IF($A45&lt;=Settings!$B$7,$B$3,-$C45)</f>
        <v>13119664.520170897</v>
      </c>
      <c r="M45" s="227">
        <f ca="1">(1+$B$6)*M44+IF($A45&lt;=Settings!$B$7,$B$3,-$C45)+SUMIFS($E$64:$E$66,$A$64:$A$66,$A45)</f>
        <v>8494120.5573681705</v>
      </c>
      <c r="N45" s="224">
        <f t="shared" ca="1" si="2"/>
        <v>339764.82229472685</v>
      </c>
    </row>
    <row r="46" spans="1:14" ht="12.75" customHeight="1" x14ac:dyDescent="0.15">
      <c r="A46" s="232">
        <f t="shared" si="3"/>
        <v>73</v>
      </c>
      <c r="B46" s="232">
        <f t="shared" si="4"/>
        <v>2057</v>
      </c>
      <c r="C46" s="224">
        <f t="shared" si="5"/>
        <v>129000.40611352984</v>
      </c>
      <c r="D46" s="233"/>
      <c r="E46" s="233"/>
      <c r="F46" s="224">
        <f ca="1">(1+$B$4)*F45+IF($A46&lt;=Settings!$B$7,$B$3,-$C46)</f>
        <v>2369629.8316530762</v>
      </c>
      <c r="G46" s="227">
        <f ca="1">(1+$B$4)*G45+IF($A46&lt;=Settings!$B$7,$B$3,-$C46)+SUMIFS($E$64:$E$66,$A$64:$A$66,$A46)</f>
        <v>2463666.5881136684</v>
      </c>
      <c r="H46" s="224">
        <f t="shared" ca="1" si="0"/>
        <v>98546.663524546733</v>
      </c>
      <c r="I46" s="224">
        <f ca="1">(1+$B$5)*I45+IF($A46&lt;=Settings!$B$7,$B$3,-$C46)</f>
        <v>5209233.838453698</v>
      </c>
      <c r="J46" s="227">
        <f ca="1">(1+$B$5)*J45+IF($A46&lt;=Settings!$B$7,$B$3,-$C46)+SUMIFS($E$64:$E$66,$A$64:$A$66,$A46)</f>
        <v>4222266.0032134606</v>
      </c>
      <c r="K46" s="224">
        <f t="shared" ca="1" si="1"/>
        <v>168890.64012853842</v>
      </c>
      <c r="L46" s="224">
        <f ca="1">(1+$B$6)*L45+IF($A46&lt;=Settings!$B$7,$B$3,-$C46)</f>
        <v>14040237.275671041</v>
      </c>
      <c r="M46" s="227">
        <f ca="1">(1+$B$6)*M45+IF($A46&lt;=Settings!$B$7,$B$3,-$C46)+SUMIFS($E$64:$E$66,$A$64:$A$66,$A46)</f>
        <v>9044649.7958440948</v>
      </c>
      <c r="N46" s="224">
        <f t="shared" ca="1" si="2"/>
        <v>361785.99183376378</v>
      </c>
    </row>
    <row r="47" spans="1:14" ht="12.75" customHeight="1" x14ac:dyDescent="0.15">
      <c r="A47" s="232">
        <f t="shared" si="3"/>
        <v>74</v>
      </c>
      <c r="B47" s="232">
        <f t="shared" si="4"/>
        <v>2058</v>
      </c>
      <c r="C47" s="224">
        <f t="shared" si="5"/>
        <v>132225.41626636806</v>
      </c>
      <c r="D47" s="233"/>
      <c r="E47" s="233"/>
      <c r="F47" s="224">
        <f ca="1">(1+$B$4)*F46+IF($A47&lt;=Settings!$B$7,$B$3,-$C47)</f>
        <v>2308493.3103363002</v>
      </c>
      <c r="G47" s="227">
        <f ca="1">(1+$B$4)*G46+IF($A47&lt;=Settings!$B$7,$B$3,-$C47)+SUMIFS($E$64:$E$66,$A$64:$A$66,$A47)</f>
        <v>2405351.1694907104</v>
      </c>
      <c r="H47" s="224">
        <f t="shared" ca="1" si="0"/>
        <v>96214.046779628421</v>
      </c>
      <c r="I47" s="224">
        <f ca="1">(1+$B$5)*I46+IF($A47&lt;=Settings!$B$7,$B$3,-$C47)</f>
        <v>5337470.1141100153</v>
      </c>
      <c r="J47" s="227">
        <f ca="1">(1+$B$5)*J46+IF($A47&lt;=Settings!$B$7,$B$3,-$C47)+SUMIFS($E$64:$E$66,$A$64:$A$66,$A47)</f>
        <v>4301153.8871077662</v>
      </c>
      <c r="K47" s="224">
        <f t="shared" ca="1" si="1"/>
        <v>172046.15548431064</v>
      </c>
      <c r="L47" s="224">
        <f ca="1">(1+$B$6)*L46+IF($A47&lt;=Settings!$B$7,$B$3,-$C47)</f>
        <v>15031230.841458356</v>
      </c>
      <c r="M47" s="227">
        <f ca="1">(1+$B$6)*M46+IF($A47&lt;=Settings!$B$7,$B$3,-$C47)+SUMIFS($E$64:$E$66,$A$64:$A$66,$A47)</f>
        <v>9635996.3632452544</v>
      </c>
      <c r="N47" s="224">
        <f t="shared" ca="1" si="2"/>
        <v>385439.8545298102</v>
      </c>
    </row>
    <row r="48" spans="1:14" ht="12.75" customHeight="1" x14ac:dyDescent="0.15">
      <c r="A48" s="232">
        <f t="shared" si="3"/>
        <v>75</v>
      </c>
      <c r="B48" s="232">
        <f t="shared" si="4"/>
        <v>2059</v>
      </c>
      <c r="C48" s="224">
        <f t="shared" si="5"/>
        <v>135531.05167302725</v>
      </c>
      <c r="D48" s="233"/>
      <c r="E48" s="233"/>
      <c r="F48" s="224">
        <f ca="1">(1+$B$4)*F47+IF($A48&lt;=Settings!$B$7,$B$3,-$C48)</f>
        <v>2242217.057973362</v>
      </c>
      <c r="G48" s="227">
        <f ca="1">(1+$B$4)*G47+IF($A48&lt;=Settings!$B$7,$B$3,-$C48)+SUMIFS($E$64:$E$66,$A$64:$A$66,$A48)</f>
        <v>2341980.6529024043</v>
      </c>
      <c r="H48" s="224">
        <f t="shared" ca="1" si="0"/>
        <v>93679.226116096179</v>
      </c>
      <c r="I48" s="224">
        <f ca="1">(1+$B$5)*I47+IF($A48&lt;=Settings!$B$7,$B$3,-$C48)</f>
        <v>5468812.5681424886</v>
      </c>
      <c r="J48" s="227">
        <f ca="1">(1+$B$5)*J47+IF($A48&lt;=Settings!$B$7,$B$3,-$C48)+SUMIFS($E$64:$E$66,$A$64:$A$66,$A48)</f>
        <v>4380680.5297901267</v>
      </c>
      <c r="K48" s="224">
        <f t="shared" ca="1" si="1"/>
        <v>175227.22119160506</v>
      </c>
      <c r="L48" s="224">
        <f ca="1">(1+$B$6)*L47+IF($A48&lt;=Settings!$B$7,$B$3,-$C48)</f>
        <v>16098198.257102</v>
      </c>
      <c r="M48" s="227">
        <f ca="1">(1+$B$6)*M47+IF($A48&lt;=Settings!$B$7,$B$3,-$C48)+SUMIFS($E$64:$E$66,$A$64:$A$66,$A48)</f>
        <v>10271345.020631848</v>
      </c>
      <c r="N48" s="224">
        <f t="shared" ca="1" si="2"/>
        <v>410853.80082527391</v>
      </c>
    </row>
    <row r="49" spans="1:14" ht="12.75" customHeight="1" x14ac:dyDescent="0.15">
      <c r="A49" s="232">
        <f t="shared" si="3"/>
        <v>76</v>
      </c>
      <c r="B49" s="232">
        <f t="shared" si="4"/>
        <v>2060</v>
      </c>
      <c r="C49" s="224">
        <f t="shared" si="5"/>
        <v>138919.32796485291</v>
      </c>
      <c r="D49" s="233"/>
      <c r="E49" s="233"/>
      <c r="F49" s="224">
        <f ca="1">(1+$B$4)*F48+IF($A49&lt;=Settings!$B$7,$B$3,-$C49)</f>
        <v>2170564.2417477099</v>
      </c>
      <c r="G49" s="227">
        <f ca="1">(1+$B$4)*G48+IF($A49&lt;=Settings!$B$7,$B$3,-$C49)+SUMIFS($E$64:$E$66,$A$64:$A$66,$A49)</f>
        <v>2273320.7445246233</v>
      </c>
      <c r="H49" s="224">
        <f t="shared" ca="1" si="0"/>
        <v>90932.829780984932</v>
      </c>
      <c r="I49" s="224">
        <f ca="1">(1+$B$5)*I48+IF($A49&lt;=Settings!$B$7,$B$3,-$C49)</f>
        <v>5603333.8685847605</v>
      </c>
      <c r="J49" s="227">
        <f ca="1">(1+$B$5)*J48+IF($A49&lt;=Settings!$B$7,$B$3,-$C49)+SUMIFS($E$64:$E$66,$A$64:$A$66,$A49)</f>
        <v>4460795.2283147806</v>
      </c>
      <c r="K49" s="224">
        <f t="shared" ca="1" si="1"/>
        <v>178431.80913259124</v>
      </c>
      <c r="L49" s="224">
        <f ca="1">(1+$B$6)*L48+IF($A49&lt;=Settings!$B$7,$B$3,-$C49)</f>
        <v>17247134.789705306</v>
      </c>
      <c r="M49" s="227">
        <f ca="1">(1+$B$6)*M48+IF($A49&lt;=Settings!$B$7,$B$3,-$C49)+SUMIFS($E$64:$E$66,$A$64:$A$66,$A49)</f>
        <v>10954133.294317544</v>
      </c>
      <c r="N49" s="224">
        <f t="shared" ca="1" si="2"/>
        <v>438165.33177270176</v>
      </c>
    </row>
    <row r="50" spans="1:14" ht="12.75" customHeight="1" x14ac:dyDescent="0.15">
      <c r="A50" s="232">
        <f t="shared" si="3"/>
        <v>77</v>
      </c>
      <c r="B50" s="232">
        <f t="shared" si="4"/>
        <v>2061</v>
      </c>
      <c r="C50" s="224">
        <f t="shared" si="5"/>
        <v>142392.31116397423</v>
      </c>
      <c r="D50" s="233"/>
      <c r="E50" s="233"/>
      <c r="F50" s="224">
        <f ca="1">(1+$B$4)*F49+IF($A50&lt;=Settings!$B$7,$B$3,-$C50)</f>
        <v>2093288.8578361671</v>
      </c>
      <c r="G50" s="227">
        <f ca="1">(1+$B$4)*G49+IF($A50&lt;=Settings!$B$7,$B$3,-$C50)+SUMIFS($E$64:$E$66,$A$64:$A$66,$A50)</f>
        <v>2199128.0556963878</v>
      </c>
      <c r="H50" s="224">
        <f t="shared" ca="1" si="0"/>
        <v>87965.122227855507</v>
      </c>
      <c r="I50" s="224">
        <f ca="1">(1+$B$5)*I49+IF($A50&lt;=Settings!$B$7,$B$3,-$C50)</f>
        <v>5741108.2508500246</v>
      </c>
      <c r="J50" s="227">
        <f ca="1">(1+$B$5)*J49+IF($A50&lt;=Settings!$B$7,$B$3,-$C50)+SUMIFS($E$64:$E$66,$A$64:$A$66,$A50)</f>
        <v>4541442.6785665462</v>
      </c>
      <c r="K50" s="224">
        <f t="shared" ca="1" si="1"/>
        <v>181657.70714266185</v>
      </c>
      <c r="L50" s="224">
        <f ca="1">(1+$B$6)*L49+IF($A50&lt;=Settings!$B$7,$B$3,-$C50)</f>
        <v>18484513.261717759</v>
      </c>
      <c r="M50" s="227">
        <f ca="1">(1+$B$6)*M49+IF($A50&lt;=Settings!$B$7,$B$3,-$C50)+SUMIFS($E$64:$E$66,$A$64:$A$66,$A50)</f>
        <v>11688071.646698972</v>
      </c>
      <c r="N50" s="224">
        <f t="shared" ca="1" si="2"/>
        <v>467522.86586795887</v>
      </c>
    </row>
    <row r="51" spans="1:14" ht="12.75" customHeight="1" x14ac:dyDescent="0.15">
      <c r="A51" s="232">
        <f t="shared" si="3"/>
        <v>78</v>
      </c>
      <c r="B51" s="232">
        <f t="shared" si="4"/>
        <v>2062</v>
      </c>
      <c r="C51" s="224">
        <f t="shared" si="5"/>
        <v>145952.11894307358</v>
      </c>
      <c r="D51" s="233"/>
      <c r="E51" s="233"/>
      <c r="F51" s="224">
        <f ca="1">(1+$B$4)*F50+IF($A51&lt;=Settings!$B$7,$B$3,-$C51)</f>
        <v>2010135.4046281788</v>
      </c>
      <c r="G51" s="227">
        <f ca="1">(1+$B$4)*G50+IF($A51&lt;=Settings!$B$7,$B$3,-$C51)+SUMIFS($E$64:$E$66,$A$64:$A$66,$A51)</f>
        <v>2119149.7784242057</v>
      </c>
      <c r="H51" s="224">
        <f t="shared" ca="1" si="0"/>
        <v>84765.991136968238</v>
      </c>
      <c r="I51" s="224">
        <f ca="1">(1+$B$5)*I50+IF($A51&lt;=Settings!$B$7,$B$3,-$C51)</f>
        <v>5882211.5444494523</v>
      </c>
      <c r="J51" s="227">
        <f ca="1">(1+$B$5)*J50+IF($A51&lt;=Settings!$B$7,$B$3,-$C51)+SUMIFS($E$64:$E$66,$A$64:$A$66,$A51)</f>
        <v>4622562.6935518002</v>
      </c>
      <c r="K51" s="224">
        <f t="shared" ca="1" si="1"/>
        <v>184902.50774207202</v>
      </c>
      <c r="L51" s="224">
        <f ca="1">(1+$B$6)*L50+IF($A51&lt;=Settings!$B$7,$B$3,-$C51)</f>
        <v>19817322.203712109</v>
      </c>
      <c r="M51" s="227">
        <f ca="1">(1+$B$6)*M50+IF($A51&lt;=Settings!$B$7,$B$3,-$C51)+SUMIFS($E$64:$E$66,$A$64:$A$66,$A51)</f>
        <v>12477165.259491818</v>
      </c>
      <c r="N51" s="224">
        <f t="shared" ca="1" si="2"/>
        <v>499086.61037967273</v>
      </c>
    </row>
    <row r="52" spans="1:14" ht="12.75" customHeight="1" x14ac:dyDescent="0.15">
      <c r="A52" s="232">
        <f t="shared" si="3"/>
        <v>79</v>
      </c>
      <c r="B52" s="232">
        <f t="shared" si="4"/>
        <v>2063</v>
      </c>
      <c r="C52" s="224">
        <f t="shared" si="5"/>
        <v>149600.9219166504</v>
      </c>
      <c r="D52" s="233"/>
      <c r="E52" s="233"/>
      <c r="F52" s="224">
        <f ca="1">(1+$B$4)*F51+IF($A52&lt;=Settings!$B$7,$B$3,-$C52)</f>
        <v>1920838.5448503739</v>
      </c>
      <c r="G52" s="227">
        <f ca="1">(1+$B$4)*G51+IF($A52&lt;=Settings!$B$7,$B$3,-$C52)+SUMIFS($E$64:$E$66,$A$64:$A$66,$A52)</f>
        <v>2033123.3498602815</v>
      </c>
      <c r="H52" s="224">
        <f t="shared" ca="1" si="0"/>
        <v>81324.933994411258</v>
      </c>
      <c r="I52" s="224">
        <f ca="1">(1+$B$5)*I51+IF($A52&lt;=Settings!$B$7,$B$3,-$C52)</f>
        <v>6026721.1997552747</v>
      </c>
      <c r="J52" s="227">
        <f ca="1">(1+$B$5)*J51+IF($A52&lt;=Settings!$B$7,$B$3,-$C52)+SUMIFS($E$64:$E$66,$A$64:$A$66,$A52)</f>
        <v>4704089.9063127395</v>
      </c>
      <c r="K52" s="224">
        <f t="shared" ca="1" si="1"/>
        <v>188163.5962525096</v>
      </c>
      <c r="L52" s="224">
        <f ca="1">(1+$B$6)*L51+IF($A52&lt;=Settings!$B$7,$B$3,-$C52)</f>
        <v>21253107.05809243</v>
      </c>
      <c r="M52" s="227">
        <f ca="1">(1+$B$6)*M51+IF($A52&lt;=Settings!$B$7,$B$3,-$C52)+SUMIFS($E$64:$E$66,$A$64:$A$66,$A52)</f>
        <v>13325737.558334514</v>
      </c>
      <c r="N52" s="224">
        <f t="shared" ca="1" si="2"/>
        <v>533029.50233338063</v>
      </c>
    </row>
    <row r="53" spans="1:14" ht="12.75" customHeight="1" x14ac:dyDescent="0.15">
      <c r="A53" s="232">
        <f t="shared" si="3"/>
        <v>80</v>
      </c>
      <c r="B53" s="232">
        <f t="shared" si="4"/>
        <v>2064</v>
      </c>
      <c r="C53" s="224">
        <f t="shared" si="5"/>
        <v>153340.94496456665</v>
      </c>
      <c r="D53" s="233"/>
      <c r="E53" s="233"/>
      <c r="F53" s="224">
        <f ca="1">(1+$B$4)*F52+IF($A53&lt;=Settings!$B$7,$B$3,-$C53)</f>
        <v>1825122.7562313185</v>
      </c>
      <c r="G53" s="227">
        <f ca="1">(1+$B$4)*G52+IF($A53&lt;=Settings!$B$7,$B$3,-$C53)+SUMIFS($E$64:$E$66,$A$64:$A$66,$A53)</f>
        <v>1940776.1053915231</v>
      </c>
      <c r="H53" s="224">
        <f t="shared" ca="1" si="0"/>
        <v>77631.044215660921</v>
      </c>
      <c r="I53" s="224">
        <f ca="1">(1+$B$5)*I52+IF($A53&lt;=Settings!$B$7,$B$3,-$C53)</f>
        <v>6174716.3147784723</v>
      </c>
      <c r="J53" s="227">
        <f ca="1">(1+$B$5)*J52+IF($A53&lt;=Settings!$B$7,$B$3,-$C53)+SUMIFS($E$64:$E$66,$A$64:$A$66,$A53)</f>
        <v>4785953.4566638106</v>
      </c>
      <c r="K53" s="224">
        <f t="shared" ca="1" si="1"/>
        <v>191438.13826655244</v>
      </c>
      <c r="L53" s="224">
        <f ca="1">(1+$B$6)*L52+IF($A53&lt;=Settings!$B$7,$B$3,-$C53)</f>
        <v>22800014.67777526</v>
      </c>
      <c r="M53" s="227">
        <f ca="1">(1+$B$6)*M52+IF($A53&lt;=Settings!$B$7,$B$3,-$C53)+SUMIFS($E$64:$E$66,$A$64:$A$66,$A53)</f>
        <v>14238455.61803671</v>
      </c>
      <c r="N53" s="224">
        <f t="shared" ca="1" si="2"/>
        <v>569538.2247214684</v>
      </c>
    </row>
    <row r="54" spans="1:14" ht="12.75" customHeight="1" x14ac:dyDescent="0.15">
      <c r="A54" s="232">
        <f t="shared" si="3"/>
        <v>81</v>
      </c>
      <c r="B54" s="232">
        <f t="shared" si="4"/>
        <v>2065</v>
      </c>
      <c r="C54" s="224">
        <f t="shared" si="5"/>
        <v>157174.46858868079</v>
      </c>
      <c r="D54" s="233"/>
      <c r="E54" s="233"/>
      <c r="F54" s="224">
        <f ca="1">(1+$B$4)*F53+IF($A54&lt;=Settings!$B$7,$B$3,-$C54)</f>
        <v>1722701.9703295773</v>
      </c>
      <c r="G54" s="227">
        <f ca="1">(1+$B$4)*G53+IF($A54&lt;=Settings!$B$7,$B$3,-$C54)+SUMIFS($E$64:$E$66,$A$64:$A$66,$A54)</f>
        <v>1841824.919964588</v>
      </c>
      <c r="H54" s="224">
        <f t="shared" ca="1" si="0"/>
        <v>73672.996798583525</v>
      </c>
      <c r="I54" s="224">
        <f ca="1">(1+$B$5)*I53+IF($A54&lt;=Settings!$B$7,$B$3,-$C54)</f>
        <v>6326277.6619287152</v>
      </c>
      <c r="J54" s="227">
        <f ca="1">(1+$B$5)*J53+IF($A54&lt;=Settings!$B$7,$B$3,-$C54)+SUMIFS($E$64:$E$66,$A$64:$A$66,$A54)</f>
        <v>4868076.66090832</v>
      </c>
      <c r="K54" s="224">
        <f t="shared" ca="1" si="1"/>
        <v>194723.0664363328</v>
      </c>
      <c r="L54" s="224">
        <f ca="1">(1+$B$6)*L53+IF($A54&lt;=Settings!$B$7,$B$3,-$C54)</f>
        <v>24466841.383408602</v>
      </c>
      <c r="M54" s="227">
        <f ca="1">(1+$B$6)*M53+IF($A54&lt;=Settings!$B$7,$B$3,-$C54)+SUMIFS($E$64:$E$66,$A$64:$A$66,$A54)</f>
        <v>15220357.598890968</v>
      </c>
      <c r="N54" s="224">
        <f t="shared" ca="1" si="2"/>
        <v>608814.30395563866</v>
      </c>
    </row>
    <row r="55" spans="1:14" ht="12.75" customHeight="1" x14ac:dyDescent="0.15">
      <c r="A55" s="232">
        <f t="shared" si="3"/>
        <v>82</v>
      </c>
      <c r="B55" s="232">
        <f t="shared" si="4"/>
        <v>2066</v>
      </c>
      <c r="C55" s="224">
        <f t="shared" si="5"/>
        <v>161103.83030339779</v>
      </c>
      <c r="D55" s="233"/>
      <c r="E55" s="233"/>
      <c r="F55" s="224">
        <f ca="1">(1+$B$4)*F54+IF($A55&lt;=Settings!$B$7,$B$3,-$C55)</f>
        <v>1613279.1991360669</v>
      </c>
      <c r="G55" s="227">
        <f ca="1">(1+$B$4)*G54+IF($A55&lt;=Settings!$B$7,$B$3,-$C55)+SUMIFS($E$64:$E$66,$A$64:$A$66,$A55)</f>
        <v>1735975.837260128</v>
      </c>
      <c r="H55" s="224">
        <f t="shared" ca="1" si="0"/>
        <v>69439.033490405127</v>
      </c>
      <c r="I55" s="224">
        <f ca="1">(1+$B$5)*I54+IF($A55&lt;=Settings!$B$7,$B$3,-$C55)</f>
        <v>6481487.7147217533</v>
      </c>
      <c r="J55" s="227">
        <f ca="1">(1+$B$5)*J54+IF($A55&lt;=Settings!$B$7,$B$3,-$C55)+SUMIFS($E$64:$E$66,$A$64:$A$66,$A55)</f>
        <v>4950376.6636503385</v>
      </c>
      <c r="K55" s="224">
        <f t="shared" ca="1" si="1"/>
        <v>198015.06654601355</v>
      </c>
      <c r="L55" s="224">
        <f ca="1">(1+$B$6)*L54+IF($A55&lt;=Settings!$B$7,$B$3,-$C55)</f>
        <v>26263084.863777895</v>
      </c>
      <c r="M55" s="227">
        <f ca="1">(1+$B$6)*M54+IF($A55&lt;=Settings!$B$7,$B$3,-$C55)+SUMIFS($E$64:$E$66,$A$64:$A$66,$A55)</f>
        <v>16276882.37649885</v>
      </c>
      <c r="N55" s="224">
        <f t="shared" ca="1" si="2"/>
        <v>651075.29505995405</v>
      </c>
    </row>
    <row r="56" spans="1:14" ht="12.75" customHeight="1" x14ac:dyDescent="0.15">
      <c r="A56" s="232">
        <f t="shared" si="3"/>
        <v>83</v>
      </c>
      <c r="B56" s="232">
        <f t="shared" si="4"/>
        <v>2067</v>
      </c>
      <c r="C56" s="224">
        <f t="shared" si="5"/>
        <v>165131.42606098272</v>
      </c>
      <c r="D56" s="233"/>
      <c r="E56" s="233"/>
      <c r="F56" s="224">
        <f ca="1">(1+$B$4)*F55+IF($A56&lt;=Settings!$B$7,$B$3,-$C56)</f>
        <v>1496546.1490491664</v>
      </c>
      <c r="G56" s="227">
        <f ca="1">(1+$B$4)*G55+IF($A56&lt;=Settings!$B$7,$B$3,-$C56)+SUMIFS($E$64:$E$66,$A$64:$A$66,$A56)</f>
        <v>1622923.6863169491</v>
      </c>
      <c r="H56" s="224">
        <f t="shared" ca="1" si="0"/>
        <v>64916.947452677967</v>
      </c>
      <c r="I56" s="224">
        <f ca="1">(1+$B$5)*I55+IF($A56&lt;=Settings!$B$7,$B$3,-$C56)</f>
        <v>6640430.6743968586</v>
      </c>
      <c r="J56" s="227">
        <f ca="1">(1+$B$5)*J55+IF($A56&lt;=Settings!$B$7,$B$3,-$C56)+SUMIFS($E$64:$E$66,$A$64:$A$66,$A56)</f>
        <v>5032764.070771873</v>
      </c>
      <c r="K56" s="224">
        <f t="shared" ca="1" si="1"/>
        <v>201310.56283087493</v>
      </c>
      <c r="L56" s="224">
        <f ca="1">(1+$B$6)*L55+IF($A56&lt;=Settings!$B$7,$B$3,-$C56)</f>
        <v>28199000.226819146</v>
      </c>
      <c r="M56" s="227">
        <f ca="1">(1+$B$6)*M55+IF($A56&lt;=Settings!$B$7,$B$3,-$C56)+SUMIFS($E$64:$E$66,$A$64:$A$66,$A56)</f>
        <v>17413901.540557776</v>
      </c>
      <c r="N56" s="224">
        <f t="shared" ca="1" si="2"/>
        <v>696556.06162231101</v>
      </c>
    </row>
    <row r="57" spans="1:14" ht="12.75" customHeight="1" x14ac:dyDescent="0.15">
      <c r="A57" s="232">
        <f t="shared" si="3"/>
        <v>84</v>
      </c>
      <c r="B57" s="232">
        <f t="shared" si="4"/>
        <v>2068</v>
      </c>
      <c r="C57" s="224">
        <f t="shared" si="5"/>
        <v>169259.71171250727</v>
      </c>
      <c r="D57" s="233"/>
      <c r="E57" s="233"/>
      <c r="F57" s="224">
        <f ca="1">(1+$B$4)*F56+IF($A57&lt;=Settings!$B$7,$B$3,-$C57)</f>
        <v>1372182.8218081342</v>
      </c>
      <c r="G57" s="227">
        <f ca="1">(1+$B$4)*G56+IF($A57&lt;=Settings!$B$7,$B$3,-$C57)+SUMIFS($E$64:$E$66,$A$64:$A$66,$A57)</f>
        <v>1502351.6851939503</v>
      </c>
      <c r="H57" s="224">
        <f t="shared" ca="1" si="0"/>
        <v>60094.067407758012</v>
      </c>
      <c r="I57" s="224">
        <f ca="1">(1+$B$5)*I56+IF($A57&lt;=Settings!$B$7,$B$3,-$C57)</f>
        <v>6803192.4964041943</v>
      </c>
      <c r="J57" s="227">
        <f ca="1">(1+$B$5)*J56+IF($A57&lt;=Settings!$B$7,$B$3,-$C57)+SUMIFS($E$64:$E$66,$A$64:$A$66,$A57)</f>
        <v>5115142.5625979593</v>
      </c>
      <c r="K57" s="224">
        <f t="shared" ca="1" si="1"/>
        <v>204605.70250391838</v>
      </c>
      <c r="L57" s="224">
        <f ca="1">(1+$B$6)*L56+IF($A57&lt;=Settings!$B$7,$B$3,-$C57)</f>
        <v>30285660.533252176</v>
      </c>
      <c r="M57" s="227">
        <f ca="1">(1+$B$6)*M56+IF($A57&lt;=Settings!$B$7,$B$3,-$C57)+SUMIFS($E$64:$E$66,$A$64:$A$66,$A57)</f>
        <v>18637753.952089895</v>
      </c>
      <c r="N57" s="224">
        <f t="shared" ca="1" si="2"/>
        <v>745510.1580835958</v>
      </c>
    </row>
    <row r="58" spans="1:14" ht="12.75" customHeight="1" x14ac:dyDescent="0.15">
      <c r="A58" s="232">
        <f t="shared" si="3"/>
        <v>85</v>
      </c>
      <c r="B58" s="232">
        <f t="shared" si="4"/>
        <v>2069</v>
      </c>
      <c r="C58" s="224">
        <f t="shared" si="5"/>
        <v>173491.20450531994</v>
      </c>
      <c r="D58" s="233"/>
      <c r="E58" s="233"/>
      <c r="F58" s="224">
        <f ca="1">(1+$B$4)*F57+IF($A58&lt;=Settings!$B$7,$B$3,-$C58)</f>
        <v>1239857.1019570583</v>
      </c>
      <c r="G58" s="227">
        <f ca="1">(1+$B$4)*G57+IF($A58&lt;=Settings!$B$7,$B$3,-$C58)+SUMIFS($E$64:$E$66,$A$64:$A$66,$A58)</f>
        <v>1373931.0312444489</v>
      </c>
      <c r="H58" s="224">
        <f t="shared" ca="1" si="0"/>
        <v>54957.241249777959</v>
      </c>
      <c r="I58" s="224">
        <f ca="1">(1+$B$5)*I57+IF($A58&lt;=Settings!$B$7,$B$3,-$C58)</f>
        <v>6969860.9167190846</v>
      </c>
      <c r="J58" s="227">
        <f ca="1">(1+$B$5)*J57+IF($A58&lt;=Settings!$B$7,$B$3,-$C58)+SUMIFS($E$64:$E$66,$A$64:$A$66,$A58)</f>
        <v>5197408.4862225382</v>
      </c>
      <c r="K58" s="224">
        <f t="shared" ca="1" si="1"/>
        <v>207896.33944890153</v>
      </c>
      <c r="L58" s="224">
        <f ca="1">(1+$B$6)*L57+IF($A58&lt;=Settings!$B$7,$B$3,-$C58)</f>
        <v>32535022.171407033</v>
      </c>
      <c r="M58" s="227">
        <f ca="1">(1+$B$6)*M57+IF($A58&lt;=Settings!$B$7,$B$3,-$C58)+SUMIFS($E$64:$E$66,$A$64:$A$66,$A58)</f>
        <v>19955283.063751768</v>
      </c>
      <c r="N58" s="224">
        <f t="shared" ca="1" si="2"/>
        <v>798211.3225500707</v>
      </c>
    </row>
    <row r="59" spans="1:14" ht="12.75" customHeight="1" x14ac:dyDescent="0.15">
      <c r="B59" s="241"/>
      <c r="C59" s="241"/>
      <c r="D59" s="241"/>
      <c r="E59" s="241"/>
      <c r="F59" s="241"/>
      <c r="G59" s="241"/>
      <c r="H59" s="241"/>
    </row>
    <row r="60" spans="1:14" ht="12.75" customHeight="1" x14ac:dyDescent="0.15">
      <c r="A60" s="175" t="s">
        <v>377</v>
      </c>
      <c r="B60" s="241"/>
      <c r="C60" s="241"/>
      <c r="D60" s="241"/>
      <c r="E60" s="241"/>
      <c r="F60" s="241"/>
      <c r="G60" s="241"/>
      <c r="H60" s="241"/>
    </row>
    <row r="62" spans="1:14" ht="13.5" customHeight="1" x14ac:dyDescent="0.15">
      <c r="A62" s="33" t="s">
        <v>378</v>
      </c>
    </row>
    <row r="63" spans="1:14" ht="13.5" customHeight="1" x14ac:dyDescent="0.15">
      <c r="A63" s="113" t="s">
        <v>364</v>
      </c>
      <c r="B63" s="113" t="s">
        <v>379</v>
      </c>
      <c r="C63" s="113" t="s">
        <v>380</v>
      </c>
      <c r="D63" s="113" t="s">
        <v>381</v>
      </c>
      <c r="E63" s="113" t="s">
        <v>382</v>
      </c>
    </row>
    <row r="64" spans="1:14" ht="12.75" customHeight="1" x14ac:dyDescent="0.15">
      <c r="A64" s="242">
        <v>55</v>
      </c>
      <c r="B64" s="242" t="s">
        <v>383</v>
      </c>
      <c r="C64" s="48">
        <v>450000</v>
      </c>
      <c r="D64" s="49">
        <v>2.5000000000000001E-2</v>
      </c>
      <c r="E64" s="30">
        <f>C64*(1+D64)^(A64-Settings!$B$5)</f>
        <v>620329.97018360475</v>
      </c>
    </row>
    <row r="65" spans="1:5" ht="12.75" customHeight="1" x14ac:dyDescent="0.15">
      <c r="A65" s="242">
        <v>62</v>
      </c>
      <c r="B65" s="242" t="s">
        <v>384</v>
      </c>
      <c r="C65" s="48">
        <v>140000</v>
      </c>
      <c r="D65" s="49">
        <v>0.03</v>
      </c>
      <c r="E65" s="30">
        <f>C65*(1+D65)^(A65-Settings!$B$5)</f>
        <v>252855.57285371787</v>
      </c>
    </row>
    <row r="66" spans="1:5" ht="12.75" customHeight="1" x14ac:dyDescent="0.15">
      <c r="A66" s="242">
        <v>65</v>
      </c>
      <c r="B66" s="242" t="s">
        <v>385</v>
      </c>
      <c r="C66" s="48">
        <v>262000</v>
      </c>
      <c r="D66" s="49">
        <v>0.04</v>
      </c>
      <c r="E66" s="30">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301" t="s">
        <v>543</v>
      </c>
    </row>
    <row r="2" spans="1:3" ht="28" x14ac:dyDescent="0.15">
      <c r="A2" s="302" t="s">
        <v>544</v>
      </c>
    </row>
    <row r="3" spans="1:3" ht="70" x14ac:dyDescent="0.15">
      <c r="A3" s="302" t="s">
        <v>545</v>
      </c>
    </row>
    <row r="4" spans="1:3" ht="56" x14ac:dyDescent="0.15">
      <c r="A4" s="302" t="s">
        <v>546</v>
      </c>
    </row>
    <row r="6" spans="1:3" ht="14" x14ac:dyDescent="0.15">
      <c r="A6" s="303" t="s">
        <v>547</v>
      </c>
      <c r="B6" s="303" t="s">
        <v>548</v>
      </c>
      <c r="C6" s="303" t="s">
        <v>548</v>
      </c>
    </row>
    <row r="7" spans="1:3" ht="14" x14ac:dyDescent="0.15">
      <c r="A7" s="304" t="s">
        <v>549</v>
      </c>
      <c r="B7" s="305">
        <v>50000</v>
      </c>
      <c r="C7" s="311" t="s">
        <v>550</v>
      </c>
    </row>
    <row r="8" spans="1:3" ht="14" x14ac:dyDescent="0.15">
      <c r="A8" s="304" t="s">
        <v>551</v>
      </c>
      <c r="B8" s="305">
        <v>10000</v>
      </c>
      <c r="C8" s="311" t="s">
        <v>552</v>
      </c>
    </row>
    <row r="9" spans="1:3" ht="14" x14ac:dyDescent="0.15">
      <c r="A9" s="304" t="s">
        <v>553</v>
      </c>
      <c r="B9" s="307">
        <v>28</v>
      </c>
      <c r="C9" s="311" t="s">
        <v>554</v>
      </c>
    </row>
    <row r="10" spans="1:3" ht="14" x14ac:dyDescent="0.15">
      <c r="A10" s="304" t="s">
        <v>555</v>
      </c>
      <c r="B10" s="306">
        <f>Settings!$B$13</f>
        <v>0.05</v>
      </c>
      <c r="C10" s="311" t="s">
        <v>556</v>
      </c>
    </row>
    <row r="11" spans="1:3" x14ac:dyDescent="0.15">
      <c r="A11" s="312" t="s">
        <v>557</v>
      </c>
      <c r="B11" s="308">
        <f>FV(B10,B9,-B8,-B7,1)</f>
        <v>809233.57599924935</v>
      </c>
    </row>
    <row r="13" spans="1:3" ht="14" x14ac:dyDescent="0.15">
      <c r="A13" s="303" t="s">
        <v>558</v>
      </c>
      <c r="B13" s="303" t="s">
        <v>548</v>
      </c>
      <c r="C13" s="303" t="s">
        <v>548</v>
      </c>
    </row>
    <row r="14" spans="1:3" ht="14" x14ac:dyDescent="0.15">
      <c r="A14" s="304" t="s">
        <v>549</v>
      </c>
      <c r="B14" s="305">
        <v>50000</v>
      </c>
      <c r="C14" s="311" t="s">
        <v>550</v>
      </c>
    </row>
    <row r="15" spans="1:3" ht="14" x14ac:dyDescent="0.15">
      <c r="A15" s="304" t="s">
        <v>551</v>
      </c>
      <c r="B15" s="305">
        <v>10000</v>
      </c>
      <c r="C15" s="311" t="s">
        <v>552</v>
      </c>
    </row>
    <row r="16" spans="1:3" ht="14" x14ac:dyDescent="0.15">
      <c r="A16" s="304" t="s">
        <v>553</v>
      </c>
      <c r="B16" s="307">
        <v>28</v>
      </c>
      <c r="C16" s="311" t="s">
        <v>554</v>
      </c>
    </row>
    <row r="17" spans="1:3" ht="14" x14ac:dyDescent="0.15">
      <c r="A17" s="304" t="s">
        <v>559</v>
      </c>
      <c r="B17" s="305">
        <v>800000</v>
      </c>
      <c r="C17" s="311" t="s">
        <v>550</v>
      </c>
    </row>
    <row r="18" spans="1:3" x14ac:dyDescent="0.15">
      <c r="A18" s="312" t="s">
        <v>560</v>
      </c>
      <c r="B18" s="309">
        <f>IFERROR(RATE(B16,-B15,-B14,B17,1),"")</f>
        <v>4.9400440457586181E-2</v>
      </c>
      <c r="C18" s="311" t="s">
        <v>556</v>
      </c>
    </row>
    <row r="20" spans="1:3" ht="14" x14ac:dyDescent="0.15">
      <c r="A20" s="303" t="s">
        <v>561</v>
      </c>
      <c r="B20" s="303" t="s">
        <v>548</v>
      </c>
      <c r="C20" s="303" t="s">
        <v>548</v>
      </c>
    </row>
    <row r="21" spans="1:3" ht="14" x14ac:dyDescent="0.15">
      <c r="A21" s="304" t="s">
        <v>549</v>
      </c>
      <c r="B21" s="305">
        <v>50000</v>
      </c>
      <c r="C21" s="311" t="s">
        <v>550</v>
      </c>
    </row>
    <row r="22" spans="1:3" ht="14" x14ac:dyDescent="0.15">
      <c r="A22" s="304" t="s">
        <v>551</v>
      </c>
      <c r="B22" s="305">
        <v>16000</v>
      </c>
      <c r="C22" s="311" t="s">
        <v>552</v>
      </c>
    </row>
    <row r="23" spans="1:3" ht="14" x14ac:dyDescent="0.15">
      <c r="A23" s="304" t="s">
        <v>559</v>
      </c>
      <c r="B23" s="305">
        <v>800000</v>
      </c>
      <c r="C23" s="311" t="s">
        <v>550</v>
      </c>
    </row>
    <row r="24" spans="1:3" ht="14" x14ac:dyDescent="0.15">
      <c r="A24" s="304" t="s">
        <v>555</v>
      </c>
      <c r="B24" s="306">
        <f>Settings!$B$13</f>
        <v>0.05</v>
      </c>
      <c r="C24" s="311" t="s">
        <v>556</v>
      </c>
    </row>
    <row r="25" spans="1:3" x14ac:dyDescent="0.15">
      <c r="A25" s="312" t="s">
        <v>562</v>
      </c>
      <c r="B25" s="310">
        <f>IFERROR(NPER(B24,-B22,-B21,B23,1),"")</f>
        <v>22.123951583105139</v>
      </c>
      <c r="C25" s="311" t="s">
        <v>554</v>
      </c>
    </row>
    <row r="27" spans="1:3" ht="14" x14ac:dyDescent="0.15">
      <c r="A27" s="303" t="s">
        <v>563</v>
      </c>
      <c r="B27" s="303" t="s">
        <v>548</v>
      </c>
      <c r="C27" s="303" t="s">
        <v>548</v>
      </c>
    </row>
    <row r="28" spans="1:3" ht="14" x14ac:dyDescent="0.15">
      <c r="A28" s="304" t="s">
        <v>559</v>
      </c>
      <c r="B28" s="305">
        <v>800000</v>
      </c>
      <c r="C28" s="311" t="s">
        <v>550</v>
      </c>
    </row>
    <row r="29" spans="1:3" ht="14" x14ac:dyDescent="0.15">
      <c r="A29" s="304" t="s">
        <v>553</v>
      </c>
      <c r="B29" s="307">
        <v>28</v>
      </c>
      <c r="C29" s="311" t="s">
        <v>554</v>
      </c>
    </row>
    <row r="30" spans="1:3" ht="14" x14ac:dyDescent="0.15">
      <c r="A30" s="304" t="s">
        <v>555</v>
      </c>
      <c r="B30" s="306">
        <f>Settings!$B$13</f>
        <v>0.05</v>
      </c>
      <c r="C30" s="311" t="s">
        <v>556</v>
      </c>
    </row>
    <row r="31" spans="1:3" x14ac:dyDescent="0.15">
      <c r="A31" s="312" t="s">
        <v>564</v>
      </c>
    </row>
    <row r="32" spans="1:3" x14ac:dyDescent="0.15">
      <c r="A32" s="312" t="s">
        <v>565</v>
      </c>
      <c r="B32" s="308">
        <f>-PV(B30,B29,0,B28)</f>
        <v>204074.90971446686</v>
      </c>
      <c r="C32" s="311" t="s">
        <v>550</v>
      </c>
    </row>
    <row r="33" spans="1:3" x14ac:dyDescent="0.15">
      <c r="A33" s="312" t="s">
        <v>566</v>
      </c>
      <c r="B33" s="308">
        <f>-PMT(B30,B29,0,B28,1)</f>
        <v>13045.737461921326</v>
      </c>
      <c r="C33" s="311" t="s">
        <v>552</v>
      </c>
    </row>
    <row r="34" spans="1:3" x14ac:dyDescent="0.15">
      <c r="A34" s="312" t="s">
        <v>567</v>
      </c>
    </row>
    <row r="35" spans="1:3" ht="14" x14ac:dyDescent="0.15">
      <c r="A35" s="304" t="s">
        <v>568</v>
      </c>
      <c r="B35" s="305">
        <v>25000</v>
      </c>
      <c r="C35" s="311" t="s">
        <v>550</v>
      </c>
    </row>
    <row r="36" spans="1:3" x14ac:dyDescent="0.15">
      <c r="A36" s="312" t="s">
        <v>569</v>
      </c>
      <c r="B36" s="308">
        <f>-PMT(B30,B29,-B35,B28,1)</f>
        <v>11447.581975760098</v>
      </c>
      <c r="C36" s="311" t="s">
        <v>552</v>
      </c>
    </row>
    <row r="37" spans="1:3" ht="14" x14ac:dyDescent="0.15">
      <c r="A37" s="304" t="s">
        <v>570</v>
      </c>
      <c r="B37" s="305">
        <v>8000</v>
      </c>
      <c r="C37" s="311" t="s">
        <v>552</v>
      </c>
    </row>
    <row r="38" spans="1:3" x14ac:dyDescent="0.15">
      <c r="A38" s="312" t="s">
        <v>571</v>
      </c>
      <c r="B38" s="308">
        <f>-PV(B30,B29,-B37,B28,1)</f>
        <v>78930.640754504886</v>
      </c>
      <c r="C38" s="311" t="s">
        <v>550</v>
      </c>
    </row>
    <row r="40" spans="1:3" ht="42" x14ac:dyDescent="0.15">
      <c r="A40" s="302" t="s">
        <v>572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R1048576"/>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8" max="8" width="16.6640625" customWidth="1"/>
    <col min="9" max="9" width="34.6640625" customWidth="1"/>
    <col min="10" max="10" width="18.6640625" customWidth="1"/>
    <col min="11" max="11" width="16.6640625" customWidth="1"/>
  </cols>
  <sheetData>
    <row r="1" spans="1:18" ht="15" customHeight="1" x14ac:dyDescent="0.2">
      <c r="A1" s="243" t="s">
        <v>386</v>
      </c>
      <c r="B1" s="243" t="s">
        <v>387</v>
      </c>
      <c r="C1" s="243" t="s">
        <v>388</v>
      </c>
      <c r="D1" s="243" t="s">
        <v>389</v>
      </c>
      <c r="E1" s="243" t="s">
        <v>390</v>
      </c>
      <c r="F1" s="243" t="s">
        <v>391</v>
      </c>
      <c r="G1" s="243" t="s">
        <v>392</v>
      </c>
      <c r="H1" s="243" t="s">
        <v>393</v>
      </c>
      <c r="I1" s="243" t="s">
        <v>394</v>
      </c>
      <c r="J1" s="243" t="s">
        <v>395</v>
      </c>
      <c r="K1" s="243" t="s">
        <v>396</v>
      </c>
      <c r="L1" s="243" t="s">
        <v>397</v>
      </c>
      <c r="M1" s="243" t="s">
        <v>398</v>
      </c>
      <c r="N1" s="243" t="inlineStr">
        <is>
          <t>FX to SGD</t>
        </is>
      </c>
      <c r="O1" s="243" t="inlineStr">
        <is>
          <t>Flow SGD</t>
        </is>
      </c>
      <c r="P1" s="243" t="inlineStr">
        <is>
          <t>Dividend SGD</t>
        </is>
      </c>
      <c r="R1">
        <f>IF(SUMPRODUCT((B2:B1000&lt;&gt;"")*(C2:C1000&lt;&gt;"")*(E2:E1000&lt;&gt;""))&gt;SUMPRODUCT(--(J2:J1000&lt;&gt;"")),"WARNING: helper columns out of sync - "&amp;(SUMPRODUCT((B2:B1000&lt;&gt;"")*(C2:C1000&lt;&gt;"")*(E2:E1000&lt;&gt;""))-SUMPRODUCT(--(J2:J1000&lt;&gt;"")))&amp;" transaction row(s) have Exchange, Symbol and Currency but no Key. Columns J-P (Key, Signed Units, Buy Cost, Sell Proceeds, FX, Flow, Dividend) were cleared - usually by pasting over them. Those rows are invisible to the Dashboard, Shares and Prices. Fix: copy J-P down from a working row over the blank rows, and in future paste new data only into columns A-I.",IF(SUMPRODUCT(--(J2:J1000&lt;&gt;""))&gt;10000,"WARNING: over 10,000 transactions - extend the XIRR engine on Portfolio Analysis (columns B and F).","Ledger OK - "&amp;SUMPRODUCT(--(J2:J1000&lt;&gt;""))&amp;" transactions, helper columns in sync."))</f>
      </c>
    </row>
    <row r="2" spans="1:16" ht="15" customHeight="1" x14ac:dyDescent="0.15">
      <c r="A2" s="244">
        <v>1</v>
      </c>
      <c r="B2" s="245" t="s">
        <v>399</v>
      </c>
      <c r="C2" s="245" t="s">
        <v>400</v>
      </c>
      <c r="D2" s="246">
        <v>400</v>
      </c>
      <c r="E2" s="245" t="s">
        <v>401</v>
      </c>
      <c r="F2" s="247">
        <v>75</v>
      </c>
      <c r="G2" s="248">
        <v>43525</v>
      </c>
      <c r="H2" s="247">
        <v>30000</v>
      </c>
      <c r="I2" s="245" t="s">
        <v>402</v>
      </c>
      <c r="J2" s="249">
        <f>IF(OR(B2="",C2="",E2=""),"",B2&amp;":"&amp;C2&amp;":"&amp;E2)</f>
      </c>
      <c r="K2" s="250">
        <f>IF(A2="","",A2*D2)</f>
      </c>
      <c r="L2" s="249">
        <f>IF(A2="","",IF(OR(A2=1,A2=0),H2,0))</f>
      </c>
      <c r="M2" s="249">
        <f>IF(A2="","",IF(A2=-1,H2,0))</f>
      </c>
      <c r="N2">
        <f>IF($E2="SGD",1,IF($E2="USD",Settings!$B$22,IF($E2="HKD",Settings!$B$23,1)))</f>
      </c>
      <c r="O2">
        <f>IF($J2="",0,($M2-$L2+IF($A2=2,$H2,0))*$N2)</f>
      </c>
      <c r="P2">
        <f>IF($J2="",0,IF($A2=2,$H2*$N2,0))</f>
      </c>
    </row>
    <row r="3" spans="1:16" ht="15" customHeight="1" x14ac:dyDescent="0.15">
      <c r="A3" s="244">
        <v>1</v>
      </c>
      <c r="B3" s="245" t="s">
        <v>403</v>
      </c>
      <c r="C3" s="245" t="s">
        <v>404</v>
      </c>
      <c r="D3" s="246">
        <v>3000</v>
      </c>
      <c r="E3" s="245" t="s">
        <v>401</v>
      </c>
      <c r="F3" s="247">
        <v>3.1</v>
      </c>
      <c r="G3" s="248">
        <v>43770</v>
      </c>
      <c r="H3" s="247">
        <v>9325</v>
      </c>
      <c r="I3" s="245"/>
      <c r="J3" s="249">
        <f>IF(OR(B3="",C3="",E3=""),"",B3&amp;":"&amp;C3&amp;":"&amp;E3)</f>
      </c>
      <c r="K3" s="250">
        <f>IF(A3="","",A3*D3)</f>
      </c>
      <c r="L3" s="249">
        <f>IF(A3="","",IF(OR(A3=1,A3=0),H3,0))</f>
      </c>
      <c r="M3" s="249">
        <f>IF(A3="","",IF(A3=-1,H3,0))</f>
      </c>
      <c r="N3">
        <f>IF($E3="SGD",1,IF($E3="USD",Settings!$B$22,IF($E3="HKD",Settings!$B$23,1)))</f>
      </c>
      <c r="O3">
        <f>IF($J3="",0,($M3-$L3+IF($A3=2,$H3,0))*$N3)</f>
      </c>
      <c r="P3">
        <f>IF($J3="",0,IF($A3=2,$H3*$N3,0))</f>
      </c>
    </row>
    <row r="4" spans="1:16" ht="15" customHeight="1" x14ac:dyDescent="0.15">
      <c r="A4" s="244">
        <v>1</v>
      </c>
      <c r="B4" s="245" t="s">
        <v>405</v>
      </c>
      <c r="C4" s="245" t="s">
        <v>406</v>
      </c>
      <c r="D4" s="246">
        <v>50</v>
      </c>
      <c r="E4" s="245" t="s">
        <v>407</v>
      </c>
      <c r="F4" s="247">
        <v>80</v>
      </c>
      <c r="G4" s="248">
        <v>43966</v>
      </c>
      <c r="H4" s="247">
        <v>4005</v>
      </c>
      <c r="I4" s="245"/>
      <c r="J4" s="249">
        <f>IF(OR(B4="",C4="",E4=""),"",B4&amp;":"&amp;C4&amp;":"&amp;E4)</f>
      </c>
      <c r="K4" s="250">
        <f>IF(A4="","",A4*D4)</f>
      </c>
      <c r="L4" s="249">
        <f>IF(A4="","",IF(OR(A4=1,A4=0),H4,0))</f>
      </c>
      <c r="M4" s="249">
        <f>IF(A4="","",IF(A4=-1,H4,0))</f>
      </c>
      <c r="N4">
        <f>IF($E4="SGD",1,IF($E4="USD",Settings!$B$22,IF($E4="HKD",Settings!$B$23,1)))</f>
      </c>
      <c r="O4">
        <f>IF($J4="",0,($M4-$L4+IF($A4=2,$H4,0))*$N4)</f>
      </c>
      <c r="P4">
        <f>IF($J4="",0,IF($A4=2,$H4*$N4,0))</f>
      </c>
    </row>
    <row r="5" spans="1:16" ht="15" customHeight="1" x14ac:dyDescent="0.15">
      <c r="A5" s="244">
        <v>1</v>
      </c>
      <c r="B5" s="245" t="s">
        <v>403</v>
      </c>
      <c r="C5" s="245" t="s">
        <v>408</v>
      </c>
      <c r="D5" s="246">
        <v>5000</v>
      </c>
      <c r="E5" s="245" t="s">
        <v>401</v>
      </c>
      <c r="F5" s="247">
        <v>1.9</v>
      </c>
      <c r="G5" s="248">
        <v>44046</v>
      </c>
      <c r="H5" s="247">
        <v>9525</v>
      </c>
      <c r="I5" s="245"/>
      <c r="J5" s="249">
        <f>IF(OR(B5="",C5="",E5=""),"",B5&amp;":"&amp;C5&amp;":"&amp;E5)</f>
      </c>
      <c r="K5" s="250">
        <f>IF(A5="","",A5*D5)</f>
      </c>
      <c r="L5" s="249">
        <f>IF(A5="","",IF(OR(A5=1,A5=0),H5,0))</f>
      </c>
      <c r="M5" s="249">
        <f>IF(A5="","",IF(A5=-1,H5,0))</f>
      </c>
      <c r="N5">
        <f>IF($E5="SGD",1,IF($E5="USD",Settings!$B$22,IF($E5="HKD",Settings!$B$23,1)))</f>
      </c>
      <c r="O5">
        <f>IF($J5="",0,($M5-$L5+IF($A5=2,$H5,0))*$N5)</f>
      </c>
      <c r="P5">
        <f>IF($J5="",0,IF($A5=2,$H5*$N5,0))</f>
      </c>
    </row>
    <row r="6" spans="1:16" ht="15" customHeight="1" x14ac:dyDescent="0.15">
      <c r="A6" s="244">
        <v>1</v>
      </c>
      <c r="B6" s="245" t="s">
        <v>409</v>
      </c>
      <c r="C6" s="245" t="s">
        <v>410</v>
      </c>
      <c r="D6" s="246">
        <v>0.05</v>
      </c>
      <c r="E6" s="245" t="s">
        <v>407</v>
      </c>
      <c r="F6" s="247">
        <v>20000</v>
      </c>
      <c r="G6" s="248">
        <v>44166</v>
      </c>
      <c r="H6" s="247">
        <v>1000</v>
      </c>
      <c r="I6" s="245"/>
      <c r="J6" s="249">
        <f>IF(OR(B6="",C6="",E6=""),"",B6&amp;":"&amp;C6&amp;":"&amp;E6)</f>
      </c>
      <c r="K6" s="250">
        <f>IF(A6="","",A6*D6)</f>
      </c>
      <c r="L6" s="249">
        <f>IF(A6="","",IF(OR(A6=1,A6=0),H6,0))</f>
      </c>
      <c r="M6" s="249">
        <f>IF(A6="","",IF(A6=-1,H6,0))</f>
      </c>
      <c r="N6">
        <f>IF($E6="SGD",1,IF($E6="USD",Settings!$B$22,IF($E6="HKD",Settings!$B$23,1)))</f>
      </c>
      <c r="O6">
        <f>IF($J6="",0,($M6-$L6+IF($A6=2,$H6,0))*$N6)</f>
      </c>
      <c r="P6">
        <f>IF($J6="",0,IF($A6=2,$H6*$N6,0))</f>
      </c>
    </row>
    <row r="7" spans="1:16" ht="15" customHeight="1" x14ac:dyDescent="0.15">
      <c r="A7" s="244">
        <v>1</v>
      </c>
      <c r="B7" s="245" t="s">
        <v>411</v>
      </c>
      <c r="C7" s="245" t="s">
        <v>412</v>
      </c>
      <c r="D7" s="246">
        <v>100</v>
      </c>
      <c r="E7" s="245" t="s">
        <v>413</v>
      </c>
      <c r="F7" s="247">
        <v>600</v>
      </c>
      <c r="G7" s="248">
        <v>44228</v>
      </c>
      <c r="H7" s="247">
        <v>60100</v>
      </c>
      <c r="I7" s="245" t="s">
        <v>414</v>
      </c>
      <c r="J7" s="249">
        <f>IF(OR(B7="",C7="",E7=""),"",B7&amp;":"&amp;C7&amp;":"&amp;E7)</f>
      </c>
      <c r="K7" s="250">
        <f>IF(A7="","",A7*D7)</f>
      </c>
      <c r="L7" s="249">
        <f>IF(A7="","",IF(OR(A7=1,A7=0),H7,0))</f>
      </c>
      <c r="M7" s="249">
        <f>IF(A7="","",IF(A7=-1,H7,0))</f>
      </c>
      <c r="N7">
        <f>IF($E7="SGD",1,IF($E7="USD",Settings!$B$22,IF($E7="HKD",Settings!$B$23,1)))</f>
      </c>
      <c r="O7">
        <f>IF($J7="",0,($M7-$L7+IF($A7=2,$H7,0))*$N7)</f>
      </c>
      <c r="P7">
        <f>IF($J7="",0,IF($A7=2,$H7*$N7,0))</f>
      </c>
    </row>
    <row r="8" spans="1:16" ht="15" customHeight="1" x14ac:dyDescent="0.15">
      <c r="A8" s="244">
        <v>1</v>
      </c>
      <c r="B8" s="245" t="s">
        <v>405</v>
      </c>
      <c r="C8" s="245" t="s">
        <v>415</v>
      </c>
      <c r="D8" s="246">
        <v>20</v>
      </c>
      <c r="E8" s="245" t="s">
        <v>407</v>
      </c>
      <c r="F8" s="247">
        <v>230</v>
      </c>
      <c r="G8" s="248">
        <v>44256</v>
      </c>
      <c r="H8" s="247">
        <v>4605</v>
      </c>
      <c r="I8" s="245"/>
      <c r="J8" s="249">
        <f>IF(OR(B8="",C8="",E8=""),"",B8&amp;":"&amp;C8&amp;":"&amp;E8)</f>
      </c>
      <c r="K8" s="250">
        <f>IF(A8="","",A8*D8)</f>
      </c>
      <c r="L8" s="249">
        <f>IF(A8="","",IF(OR(A8=1,A8=0),H8,0))</f>
      </c>
      <c r="M8" s="249">
        <f>IF(A8="","",IF(A8=-1,H8,0))</f>
      </c>
      <c r="N8">
        <f>IF($E8="SGD",1,IF($E8="USD",Settings!$B$22,IF($E8="HKD",Settings!$B$23,1)))</f>
      </c>
      <c r="O8">
        <f>IF($J8="",0,($M8-$L8+IF($A8=2,$H8,0))*$N8)</f>
      </c>
      <c r="P8">
        <f>IF($J8="",0,IF($A8=2,$H8*$N8,0))</f>
      </c>
    </row>
    <row r="9" spans="1:16" ht="15" customHeight="1" x14ac:dyDescent="0.15">
      <c r="A9" s="244">
        <v>1</v>
      </c>
      <c r="B9" s="245" t="s">
        <v>403</v>
      </c>
      <c r="C9" s="245" t="s">
        <v>416</v>
      </c>
      <c r="D9" s="246">
        <v>4000</v>
      </c>
      <c r="E9" s="245" t="s">
        <v>401</v>
      </c>
      <c r="F9" s="247">
        <v>2.95</v>
      </c>
      <c r="G9" s="248">
        <v>44326</v>
      </c>
      <c r="H9" s="247">
        <v>11825</v>
      </c>
      <c r="I9" s="245"/>
      <c r="J9" s="249">
        <f>IF(OR(B9="",C9="",E9=""),"",B9&amp;":"&amp;C9&amp;":"&amp;E9)</f>
      </c>
      <c r="K9" s="250">
        <f>IF(A9="","",A9*D9)</f>
      </c>
      <c r="L9" s="249">
        <f>IF(A9="","",IF(OR(A9=1,A9=0),H9,0))</f>
      </c>
      <c r="M9" s="249">
        <f>IF(A9="","",IF(A9=-1,H9,0))</f>
      </c>
      <c r="N9">
        <f>IF($E9="SGD",1,IF($E9="USD",Settings!$B$22,IF($E9="HKD",Settings!$B$23,1)))</f>
      </c>
      <c r="O9">
        <f>IF($J9="",0,($M9-$L9+IF($A9=2,$H9,0))*$N9)</f>
      </c>
      <c r="P9">
        <f>IF($J9="",0,IF($A9=2,$H9*$N9,0))</f>
      </c>
    </row>
    <row r="10" spans="1:16" ht="15" customHeight="1" x14ac:dyDescent="0.15">
      <c r="A10" s="244">
        <v>0</v>
      </c>
      <c r="B10" s="245" t="s">
        <v>403</v>
      </c>
      <c r="C10" s="245" t="s">
        <v>416</v>
      </c>
      <c r="D10" s="246">
        <v>0</v>
      </c>
      <c r="E10" s="245" t="s">
        <v>401</v>
      </c>
      <c r="F10" s="247">
        <v>0</v>
      </c>
      <c r="G10" s="248">
        <v>44326</v>
      </c>
      <c r="H10" s="247">
        <v>25</v>
      </c>
      <c r="I10" s="245" t="s">
        <v>417</v>
      </c>
      <c r="J10" s="249">
        <f>IF(OR(B10="",C10="",E10=""),"",B10&amp;":"&amp;C10&amp;":"&amp;E10)</f>
      </c>
      <c r="K10" s="250">
        <f>IF(A10="","",A10*D10)</f>
      </c>
      <c r="L10" s="249">
        <f>IF(A10="","",IF(OR(A10=1,A10=0),H10,0))</f>
      </c>
      <c r="M10" s="249">
        <f>IF(A10="","",IF(A10=-1,H10,0))</f>
      </c>
      <c r="N10">
        <f>IF($E10="SGD",1,IF($E10="USD",Settings!$B$22,IF($E10="HKD",Settings!$B$23,1)))</f>
      </c>
      <c r="O10">
        <f>IF($J10="",0,($M10-$L10+IF($A10=2,$H10,0))*$N10)</f>
      </c>
      <c r="P10">
        <f>IF($J10="",0,IF($A10=2,$H10*$N10,0))</f>
      </c>
    </row>
    <row r="11" spans="1:16" ht="15" customHeight="1" x14ac:dyDescent="0.15">
      <c r="A11" s="244">
        <v>1</v>
      </c>
      <c r="B11" s="245" t="s">
        <v>399</v>
      </c>
      <c r="C11" s="245" t="s">
        <v>400</v>
      </c>
      <c r="D11" s="246">
        <v>300</v>
      </c>
      <c r="E11" s="245" t="s">
        <v>401</v>
      </c>
      <c r="F11" s="247">
        <v>85</v>
      </c>
      <c r="G11" s="248">
        <v>44348</v>
      </c>
      <c r="H11" s="247">
        <v>25500</v>
      </c>
      <c r="I11" s="245"/>
      <c r="J11" s="249">
        <f>IF(OR(B11="",C11="",E11=""),"",B11&amp;":"&amp;C11&amp;":"&amp;E11)</f>
      </c>
      <c r="K11" s="250">
        <f>IF(A11="","",A11*D11)</f>
      </c>
      <c r="L11" s="249">
        <f>IF(A11="","",IF(OR(A11=1,A11=0),H11,0))</f>
      </c>
      <c r="M11" s="249">
        <f>IF(A11="","",IF(A11=-1,H11,0))</f>
      </c>
      <c r="N11">
        <f>IF($E11="SGD",1,IF($E11="USD",Settings!$B$22,IF($E11="HKD",Settings!$B$23,1)))</f>
      </c>
      <c r="O11">
        <f>IF($J11="",0,($M11-$L11+IF($A11=2,$H11,0))*$N11)</f>
      </c>
      <c r="P11">
        <f>IF($J11="",0,IF($A11=2,$H11*$N11,0))</f>
      </c>
    </row>
    <row r="12" spans="1:16" ht="15" customHeight="1" x14ac:dyDescent="0.15">
      <c r="A12" s="244">
        <v>1</v>
      </c>
      <c r="B12" s="245" t="s">
        <v>405</v>
      </c>
      <c r="C12" s="245" t="s">
        <v>406</v>
      </c>
      <c r="D12" s="246">
        <v>30</v>
      </c>
      <c r="E12" s="245" t="s">
        <v>407</v>
      </c>
      <c r="F12" s="247">
        <v>170</v>
      </c>
      <c r="G12" s="248">
        <v>44571</v>
      </c>
      <c r="H12" s="247">
        <v>5105</v>
      </c>
      <c r="I12" s="245"/>
      <c r="J12" s="249">
        <f>IF(OR(B12="",C12="",E12=""),"",B12&amp;":"&amp;C12&amp;":"&amp;E12)</f>
      </c>
      <c r="K12" s="250">
        <f>IF(A12="","",A12*D12)</f>
      </c>
      <c r="L12" s="249">
        <f>IF(A12="","",IF(OR(A12=1,A12=0),H12,0))</f>
      </c>
      <c r="M12" s="249">
        <f>IF(A12="","",IF(A12=-1,H12,0))</f>
      </c>
      <c r="N12">
        <f>IF($E12="SGD",1,IF($E12="USD",Settings!$B$22,IF($E12="HKD",Settings!$B$23,1)))</f>
      </c>
      <c r="O12">
        <f>IF($J12="",0,($M12-$L12+IF($A12=2,$H12,0))*$N12)</f>
      </c>
      <c r="P12">
        <f>IF($J12="",0,IF($A12=2,$H12*$N12,0))</f>
      </c>
    </row>
    <row r="13" spans="1:16" ht="15" customHeight="1" x14ac:dyDescent="0.15">
      <c r="A13" s="244">
        <v>1</v>
      </c>
      <c r="B13" s="245" t="s">
        <v>403</v>
      </c>
      <c r="C13" s="245" t="s">
        <v>408</v>
      </c>
      <c r="D13" s="246">
        <v>3000</v>
      </c>
      <c r="E13" s="245" t="s">
        <v>401</v>
      </c>
      <c r="F13" s="247">
        <v>2.2000000000000002</v>
      </c>
      <c r="G13" s="248">
        <v>44621</v>
      </c>
      <c r="H13" s="247">
        <v>6625</v>
      </c>
      <c r="I13" s="245"/>
      <c r="J13" s="249">
        <f>IF(OR(B13="",C13="",E13=""),"",B13&amp;":"&amp;C13&amp;":"&amp;E13)</f>
      </c>
      <c r="K13" s="250">
        <f>IF(A13="","",A13*D13)</f>
      </c>
      <c r="L13" s="249">
        <f>IF(A13="","",IF(OR(A13=1,A13=0),H13,0))</f>
      </c>
      <c r="M13" s="249">
        <f>IF(A13="","",IF(A13=-1,H13,0))</f>
      </c>
      <c r="N13">
        <f>IF($E13="SGD",1,IF($E13="USD",Settings!$B$22,IF($E13="HKD",Settings!$B$23,1)))</f>
      </c>
      <c r="O13">
        <f>IF($J13="",0,($M13-$L13+IF($A13=2,$H13,0))*$N13)</f>
      </c>
      <c r="P13">
        <f>IF($J13="",0,IF($A13=2,$H13*$N13,0))</f>
      </c>
    </row>
    <row r="14" spans="1:16" ht="15" customHeight="1" x14ac:dyDescent="0.15">
      <c r="A14" s="244">
        <v>1</v>
      </c>
      <c r="B14" s="245" t="s">
        <v>405</v>
      </c>
      <c r="C14" s="245" t="s">
        <v>418</v>
      </c>
      <c r="D14" s="246">
        <v>40</v>
      </c>
      <c r="E14" s="245" t="s">
        <v>407</v>
      </c>
      <c r="F14" s="247">
        <v>120</v>
      </c>
      <c r="G14" s="248">
        <v>44837</v>
      </c>
      <c r="H14" s="247">
        <v>4805</v>
      </c>
      <c r="I14" s="245"/>
      <c r="J14" s="249">
        <f>IF(OR(B14="",C14="",E14=""),"",B14&amp;":"&amp;C14&amp;":"&amp;E14)</f>
      </c>
      <c r="K14" s="250">
        <f>IF(A14="","",A14*D14)</f>
      </c>
      <c r="L14" s="249">
        <f>IF(A14="","",IF(OR(A14=1,A14=0),H14,0))</f>
      </c>
      <c r="M14" s="249">
        <f>IF(A14="","",IF(A14=-1,H14,0))</f>
      </c>
      <c r="N14">
        <f>IF($E14="SGD",1,IF($E14="USD",Settings!$B$22,IF($E14="HKD",Settings!$B$23,1)))</f>
      </c>
      <c r="O14">
        <f>IF($J14="",0,($M14-$L14+IF($A14=2,$H14,0))*$N14)</f>
      </c>
      <c r="P14">
        <f>IF($J14="",0,IF($A14=2,$H14*$N14,0))</f>
      </c>
    </row>
    <row r="15" spans="1:16" ht="15" customHeight="1" x14ac:dyDescent="0.15">
      <c r="A15" s="244">
        <v>1</v>
      </c>
      <c r="B15" s="245" t="s">
        <v>409</v>
      </c>
      <c r="C15" s="245" t="s">
        <v>410</v>
      </c>
      <c r="D15" s="246">
        <v>0.05</v>
      </c>
      <c r="E15" s="245" t="s">
        <v>407</v>
      </c>
      <c r="F15" s="247">
        <v>17000</v>
      </c>
      <c r="G15" s="248">
        <v>44942</v>
      </c>
      <c r="H15" s="247">
        <v>850</v>
      </c>
      <c r="I15" s="245"/>
      <c r="J15" s="249">
        <f>IF(OR(B15="",C15="",E15=""),"",B15&amp;":"&amp;C15&amp;":"&amp;E15)</f>
      </c>
      <c r="K15" s="250">
        <f>IF(A15="","",A15*D15)</f>
      </c>
      <c r="L15" s="249">
        <f>IF(A15="","",IF(OR(A15=1,A15=0),H15,0))</f>
      </c>
      <c r="M15" s="249">
        <f>IF(A15="","",IF(A15=-1,H15,0))</f>
      </c>
      <c r="N15">
        <f>IF($E15="SGD",1,IF($E15="USD",Settings!$B$22,IF($E15="HKD",Settings!$B$23,1)))</f>
      </c>
      <c r="O15">
        <f>IF($J15="",0,($M15-$L15+IF($A15=2,$H15,0))*$N15)</f>
      </c>
      <c r="P15">
        <f>IF($J15="",0,IF($A15=2,$H15*$N15,0))</f>
      </c>
    </row>
    <row r="16" spans="1:16" ht="15" customHeight="1" x14ac:dyDescent="0.15">
      <c r="A16" s="244">
        <v>1</v>
      </c>
      <c r="B16" s="245" t="s">
        <v>403</v>
      </c>
      <c r="C16" s="245" t="s">
        <v>419</v>
      </c>
      <c r="D16" s="246">
        <v>10000</v>
      </c>
      <c r="E16" s="245" t="s">
        <v>401</v>
      </c>
      <c r="F16" s="247">
        <v>0.7</v>
      </c>
      <c r="G16" s="248">
        <v>45019</v>
      </c>
      <c r="H16" s="247">
        <v>7025</v>
      </c>
      <c r="I16" s="245"/>
      <c r="J16" s="249">
        <f>IF(OR(B16="",C16="",E16=""),"",B16&amp;":"&amp;C16&amp;":"&amp;E16)</f>
      </c>
      <c r="K16" s="250">
        <f>IF(A16="","",A16*D16)</f>
      </c>
      <c r="L16" s="249">
        <f>IF(A16="","",IF(OR(A16=1,A16=0),H16,0))</f>
      </c>
      <c r="M16" s="249">
        <f>IF(A16="","",IF(A16=-1,H16,0))</f>
      </c>
      <c r="N16">
        <f>IF($E16="SGD",1,IF($E16="USD",Settings!$B$22,IF($E16="HKD",Settings!$B$23,1)))</f>
      </c>
      <c r="O16">
        <f>IF($J16="",0,($M16-$L16+IF($A16=2,$H16,0))*$N16)</f>
      </c>
      <c r="P16">
        <f>IF($J16="",0,IF($A16=2,$H16*$N16,0))</f>
      </c>
    </row>
    <row r="17" spans="1:16" ht="15" customHeight="1" x14ac:dyDescent="0.15">
      <c r="A17" s="244">
        <v>-1</v>
      </c>
      <c r="B17" s="245" t="s">
        <v>405</v>
      </c>
      <c r="C17" s="245" t="s">
        <v>418</v>
      </c>
      <c r="D17" s="246">
        <v>40</v>
      </c>
      <c r="E17" s="245" t="s">
        <v>407</v>
      </c>
      <c r="F17" s="247">
        <v>450</v>
      </c>
      <c r="G17" s="248">
        <v>45446</v>
      </c>
      <c r="H17" s="247">
        <v>17995</v>
      </c>
      <c r="I17" s="245" t="s">
        <v>420</v>
      </c>
      <c r="J17" s="249">
        <f>IF(OR(B17="",C17="",E17=""),"",B17&amp;":"&amp;C17&amp;":"&amp;E17)</f>
      </c>
      <c r="K17" s="250">
        <f>IF(A17="","",A17*D17)</f>
      </c>
      <c r="L17" s="249">
        <f>IF(A17="","",IF(OR(A17=1,A17=0),H17,0))</f>
      </c>
      <c r="M17" s="249">
        <f>IF(A17="","",IF(A17=-1,H17,0))</f>
      </c>
      <c r="N17">
        <f>IF($E17="SGD",1,IF($E17="USD",Settings!$B$22,IF($E17="HKD",Settings!$B$23,1)))</f>
      </c>
      <c r="O17">
        <f>IF($J17="",0,($M17-$L17+IF($A17=2,$H17,0))*$N17)</f>
      </c>
      <c r="P17">
        <f>IF($J17="",0,IF($A17=2,$H17*$N17,0))</f>
      </c>
    </row>
    <row r="18" spans="1:16" ht="15" customHeight="1" x14ac:dyDescent="0.15">
      <c r="A18" s="244">
        <v>2</v>
      </c>
      <c r="B18" s="245" t="s">
        <v>403</v>
      </c>
      <c r="C18" s="245" t="s">
        <v>408</v>
      </c>
      <c r="D18" s="246">
        <v>0</v>
      </c>
      <c r="E18" s="245" t="s">
        <v>401</v>
      </c>
      <c r="F18" s="247">
        <v>0</v>
      </c>
      <c r="G18" s="248">
        <v>45889</v>
      </c>
      <c r="H18" s="247">
        <v>280</v>
      </c>
      <c r="I18" s="245" t="s">
        <v>421</v>
      </c>
      <c r="J18" s="249">
        <f>IF(OR(B18="",C18="",E18=""),"",B18&amp;":"&amp;C18&amp;":"&amp;E18)</f>
      </c>
      <c r="K18" s="250">
        <f>IF(A18="","",A18*D18)</f>
      </c>
      <c r="L18" s="249">
        <f>IF(A18="","",IF(OR(A18=1,A18=0),H18,0))</f>
      </c>
      <c r="M18" s="249">
        <f>IF(A18="","",IF(A18=-1,H18,0))</f>
      </c>
      <c r="N18">
        <f>IF($E18="SGD",1,IF($E18="USD",Settings!$B$22,IF($E18="HKD",Settings!$B$23,1)))</f>
      </c>
      <c r="O18">
        <f>IF($J18="",0,($M18-$L18+IF($A18=2,$H18,0))*$N18)</f>
      </c>
      <c r="P18">
        <f>IF($J18="",0,IF($A18=2,$H18*$N18,0))</f>
      </c>
    </row>
    <row r="19" spans="1:16" ht="15" customHeight="1" x14ac:dyDescent="0.15">
      <c r="A19" s="244">
        <v>2</v>
      </c>
      <c r="B19" s="245" t="s">
        <v>403</v>
      </c>
      <c r="C19" s="245" t="s">
        <v>404</v>
      </c>
      <c r="D19" s="246">
        <v>0</v>
      </c>
      <c r="E19" s="245" t="s">
        <v>401</v>
      </c>
      <c r="F19" s="247">
        <v>0</v>
      </c>
      <c r="G19" s="248">
        <v>46037</v>
      </c>
      <c r="H19" s="247">
        <v>200</v>
      </c>
      <c r="I19" s="245" t="s">
        <v>422</v>
      </c>
      <c r="J19" s="249">
        <f>IF(OR(B19="",C19="",E19=""),"",B19&amp;":"&amp;C19&amp;":"&amp;E19)</f>
      </c>
      <c r="K19" s="250">
        <f>IF(A19="","",A19*D19)</f>
      </c>
      <c r="L19" s="249">
        <f>IF(A19="","",IF(OR(A19=1,A19=0),H19,0))</f>
      </c>
      <c r="M19" s="249">
        <f>IF(A19="","",IF(A19=-1,H19,0))</f>
      </c>
      <c r="N19">
        <f>IF($E19="SGD",1,IF($E19="USD",Settings!$B$22,IF($E19="HKD",Settings!$B$23,1)))</f>
      </c>
      <c r="O19">
        <f>IF($J19="",0,($M19-$L19+IF($A19=2,$H19,0))*$N19)</f>
      </c>
      <c r="P19">
        <f>IF($J19="",0,IF($A19=2,$H19*$N19,0))</f>
      </c>
    </row>
    <row r="20" spans="1:16" ht="15" customHeight="1" x14ac:dyDescent="0.15">
      <c r="A20" s="244">
        <v>2</v>
      </c>
      <c r="B20" s="245" t="s">
        <v>403</v>
      </c>
      <c r="C20" s="245" t="s">
        <v>408</v>
      </c>
      <c r="D20" s="246">
        <v>0</v>
      </c>
      <c r="E20" s="245" t="s">
        <v>401</v>
      </c>
      <c r="F20" s="247">
        <v>0</v>
      </c>
      <c r="G20" s="248">
        <v>46073</v>
      </c>
      <c r="H20" s="247">
        <v>300</v>
      </c>
      <c r="I20" s="245" t="s">
        <v>422</v>
      </c>
      <c r="J20" s="249">
        <f>IF(OR(B20="",C20="",E20=""),"",B20&amp;":"&amp;C20&amp;":"&amp;E20)</f>
      </c>
      <c r="K20" s="250">
        <f>IF(A20="","",A20*D20)</f>
      </c>
      <c r="L20" s="249">
        <f>IF(A20="","",IF(OR(A20=1,A20=0),H20,0))</f>
      </c>
      <c r="M20" s="249">
        <f>IF(A20="","",IF(A20=-1,H20,0))</f>
      </c>
      <c r="N20">
        <f>IF($E20="SGD",1,IF($E20="USD",Settings!$B$22,IF($E20="HKD",Settings!$B$23,1)))</f>
      </c>
      <c r="O20">
        <f>IF($J20="",0,($M20-$L20+IF($A20=2,$H20,0))*$N20)</f>
      </c>
      <c r="P20">
        <f>IF($J20="",0,IF($A20=2,$H20*$N20,0))</f>
      </c>
    </row>
    <row r="21" spans="1:16" ht="15" customHeight="1" x14ac:dyDescent="0.15">
      <c r="A21" s="244">
        <v>2</v>
      </c>
      <c r="B21" s="245" t="s">
        <v>403</v>
      </c>
      <c r="C21" s="245" t="s">
        <v>416</v>
      </c>
      <c r="D21" s="246">
        <v>0</v>
      </c>
      <c r="E21" s="245" t="s">
        <v>401</v>
      </c>
      <c r="F21" s="247">
        <v>0</v>
      </c>
      <c r="G21" s="248">
        <v>46203</v>
      </c>
      <c r="H21" s="247">
        <v>310</v>
      </c>
      <c r="I21" s="245" t="s">
        <v>422</v>
      </c>
      <c r="J21" s="249">
        <f>IF(OR(B21="",C21="",E21=""),"",B21&amp;":"&amp;C21&amp;":"&amp;E21)</f>
      </c>
      <c r="K21" s="250">
        <f>IF(A21="","",A21*D21)</f>
      </c>
      <c r="L21" s="249">
        <f>IF(A21="","",IF(OR(A21=1,A21=0),H21,0))</f>
      </c>
      <c r="M21" s="249">
        <f>IF(A21="","",IF(A21=-1,H21,0))</f>
      </c>
      <c r="N21">
        <f>IF($E21="SGD",1,IF($E21="USD",Settings!$B$22,IF($E21="HKD",Settings!$B$23,1)))</f>
      </c>
      <c r="O21">
        <f>IF($J21="",0,($M21-$L21+IF($A21=2,$H21,0))*$N21)</f>
      </c>
      <c r="P21">
        <f>IF($J21="",0,IF($A21=2,$H21*$N21,0))</f>
      </c>
    </row>
    <row r="22" spans="1:16" ht="15" customHeight="1" x14ac:dyDescent="0.15">
      <c r="A22" s="244"/>
      <c r="B22" s="245"/>
      <c r="C22" s="245"/>
      <c r="D22" s="246"/>
      <c r="E22" s="245"/>
      <c r="F22" s="247"/>
      <c r="G22" s="248"/>
      <c r="H22" s="247"/>
      <c r="I22" s="245"/>
      <c r="J22" s="249">
        <f>IF(OR(B22="",C22="",E22=""),"",B22&amp;":"&amp;C22&amp;":"&amp;E22)</f>
      </c>
      <c r="K22" s="250">
        <f>IF(A22="","",A22*D22)</f>
      </c>
      <c r="L22" s="249">
        <f>IF(A22="","",IF(OR(A22=1,A22=0),H22,0))</f>
      </c>
      <c r="M22" s="249">
        <f>IF(A22="","",IF(A22=-1,H22,0))</f>
      </c>
      <c r="N22">
        <f>IF($E22="SGD",1,IF($E22="USD",Settings!$B$22,IF($E22="HKD",Settings!$B$23,1)))</f>
      </c>
      <c r="O22">
        <f>IF($J22="",0,($M22-$L22+IF($A22=2,$H22,0))*$N22)</f>
      </c>
      <c r="P22">
        <f>IF($J22="",0,IF($A22=2,$H22*$N22,0))</f>
      </c>
    </row>
    <row r="23" spans="1:16" ht="15" customHeight="1" x14ac:dyDescent="0.15">
      <c r="A23" s="244"/>
      <c r="B23" s="245"/>
      <c r="C23" s="245"/>
      <c r="D23" s="246"/>
      <c r="E23" s="245"/>
      <c r="F23" s="247"/>
      <c r="G23" s="248"/>
      <c r="H23" s="247"/>
      <c r="I23" s="245"/>
      <c r="J23" s="249">
        <f>IF(OR(B23="",C23="",E23=""),"",B23&amp;":"&amp;C23&amp;":"&amp;E23)</f>
      </c>
      <c r="K23" s="250">
        <f>IF(A23="","",A23*D23)</f>
      </c>
      <c r="L23" s="249">
        <f>IF(A23="","",IF(OR(A23=1,A23=0),H23,0))</f>
      </c>
      <c r="M23" s="249">
        <f>IF(A23="","",IF(A23=-1,H23,0))</f>
      </c>
      <c r="N23">
        <f>IF($E23="SGD",1,IF($E23="USD",Settings!$B$22,IF($E23="HKD",Settings!$B$23,1)))</f>
      </c>
      <c r="O23">
        <f>IF($J23="",0,($M23-$L23+IF($A23=2,$H23,0))*$N23)</f>
      </c>
      <c r="P23">
        <f>IF($J23="",0,IF($A23=2,$H23*$N23,0))</f>
      </c>
    </row>
    <row r="24" spans="1:16" ht="15" customHeight="1" x14ac:dyDescent="0.15">
      <c r="A24" s="244"/>
      <c r="B24" s="245"/>
      <c r="C24" s="245"/>
      <c r="D24" s="246"/>
      <c r="E24" s="245"/>
      <c r="F24" s="247"/>
      <c r="G24" s="248"/>
      <c r="H24" s="247"/>
      <c r="I24" s="245"/>
      <c r="J24" s="249">
        <f>IF(OR(B24="",C24="",E24=""),"",B24&amp;":"&amp;C24&amp;":"&amp;E24)</f>
      </c>
      <c r="K24" s="250">
        <f>IF(A24="","",A24*D24)</f>
      </c>
      <c r="L24" s="249">
        <f>IF(A24="","",IF(OR(A24=1,A24=0),H24,0))</f>
      </c>
      <c r="M24" s="249">
        <f>IF(A24="","",IF(A24=-1,H24,0))</f>
      </c>
      <c r="N24">
        <f>IF($E24="SGD",1,IF($E24="USD",Settings!$B$22,IF($E24="HKD",Settings!$B$23,1)))</f>
      </c>
      <c r="O24">
        <f>IF($J24="",0,($M24-$L24+IF($A24=2,$H24,0))*$N24)</f>
      </c>
      <c r="P24">
        <f>IF($J24="",0,IF($A24=2,$H24*$N24,0))</f>
      </c>
    </row>
    <row r="25" spans="1:16" ht="15" customHeight="1" x14ac:dyDescent="0.15">
      <c r="A25" s="244"/>
      <c r="B25" s="245"/>
      <c r="C25" s="245"/>
      <c r="D25" s="246"/>
      <c r="E25" s="245"/>
      <c r="F25" s="247"/>
      <c r="G25" s="248"/>
      <c r="H25" s="247"/>
      <c r="I25" s="245"/>
      <c r="J25" s="249">
        <f>IF(OR(B25="",C25="",E25=""),"",B25&amp;":"&amp;C25&amp;":"&amp;E25)</f>
      </c>
      <c r="K25" s="250">
        <f>IF(A25="","",A25*D25)</f>
      </c>
      <c r="L25" s="249">
        <f>IF(A25="","",IF(OR(A25=1,A25=0),H25,0))</f>
      </c>
      <c r="M25" s="249">
        <f>IF(A25="","",IF(A25=-1,H25,0))</f>
      </c>
      <c r="N25">
        <f>IF($E25="SGD",1,IF($E25="USD",Settings!$B$22,IF($E25="HKD",Settings!$B$23,1)))</f>
      </c>
      <c r="O25">
        <f>IF($J25="",0,($M25-$L25+IF($A25=2,$H25,0))*$N25)</f>
      </c>
      <c r="P25">
        <f>IF($J25="",0,IF($A25=2,$H25*$N25,0))</f>
      </c>
    </row>
    <row r="26" spans="1:16" ht="15" customHeight="1" x14ac:dyDescent="0.15">
      <c r="A26" s="244"/>
      <c r="B26" s="245"/>
      <c r="C26" s="245"/>
      <c r="D26" s="246"/>
      <c r="E26" s="245"/>
      <c r="F26" s="247"/>
      <c r="G26" s="248"/>
      <c r="H26" s="247"/>
      <c r="I26" s="245"/>
      <c r="J26" s="249">
        <f>IF(OR(B26="",C26="",E26=""),"",B26&amp;":"&amp;C26&amp;":"&amp;E26)</f>
      </c>
      <c r="K26" s="250">
        <f>IF(A26="","",A26*D26)</f>
      </c>
      <c r="L26" s="249">
        <f>IF(A26="","",IF(OR(A26=1,A26=0),H26,0))</f>
      </c>
      <c r="M26" s="249">
        <f>IF(A26="","",IF(A26=-1,H26,0))</f>
      </c>
      <c r="N26">
        <f>IF($E26="SGD",1,IF($E26="USD",Settings!$B$22,IF($E26="HKD",Settings!$B$23,1)))</f>
      </c>
      <c r="O26">
        <f>IF($J26="",0,($M26-$L26+IF($A26=2,$H26,0))*$N26)</f>
      </c>
      <c r="P26">
        <f>IF($J26="",0,IF($A26=2,$H26*$N26,0))</f>
      </c>
    </row>
    <row r="27" spans="1:16" ht="15" customHeight="1" x14ac:dyDescent="0.15">
      <c r="A27" s="244"/>
      <c r="B27" s="245"/>
      <c r="C27" s="245"/>
      <c r="D27" s="246"/>
      <c r="E27" s="245"/>
      <c r="F27" s="247"/>
      <c r="G27" s="248"/>
      <c r="H27" s="247"/>
      <c r="I27" s="245"/>
      <c r="J27" s="249">
        <f>IF(OR(B27="",C27="",E27=""),"",B27&amp;":"&amp;C27&amp;":"&amp;E27)</f>
      </c>
      <c r="K27" s="250">
        <f>IF(A27="","",A27*D27)</f>
      </c>
      <c r="L27" s="249">
        <f>IF(A27="","",IF(OR(A27=1,A27=0),H27,0))</f>
      </c>
      <c r="M27" s="249">
        <f>IF(A27="","",IF(A27=-1,H27,0))</f>
      </c>
      <c r="N27">
        <f>IF($E27="SGD",1,IF($E27="USD",Settings!$B$22,IF($E27="HKD",Settings!$B$23,1)))</f>
      </c>
      <c r="O27">
        <f>IF($J27="",0,($M27-$L27+IF($A27=2,$H27,0))*$N27)</f>
      </c>
      <c r="P27">
        <f>IF($J27="",0,IF($A27=2,$H27*$N27,0))</f>
      </c>
    </row>
    <row r="28" spans="1:16" ht="15" customHeight="1" x14ac:dyDescent="0.15">
      <c r="A28" s="244"/>
      <c r="B28" s="245"/>
      <c r="C28" s="245"/>
      <c r="D28" s="246"/>
      <c r="E28" s="245"/>
      <c r="F28" s="247"/>
      <c r="G28" s="248"/>
      <c r="H28" s="247"/>
      <c r="I28" s="245"/>
      <c r="J28" s="249">
        <f>IF(OR(B28="",C28="",E28=""),"",B28&amp;":"&amp;C28&amp;":"&amp;E28)</f>
      </c>
      <c r="K28" s="250">
        <f>IF(A28="","",A28*D28)</f>
      </c>
      <c r="L28" s="249">
        <f>IF(A28="","",IF(OR(A28=1,A28=0),H28,0))</f>
      </c>
      <c r="M28" s="249">
        <f>IF(A28="","",IF(A28=-1,H28,0))</f>
      </c>
      <c r="N28">
        <f>IF($E28="SGD",1,IF($E28="USD",Settings!$B$22,IF($E28="HKD",Settings!$B$23,1)))</f>
      </c>
      <c r="O28">
        <f>IF($J28="",0,($M28-$L28+IF($A28=2,$H28,0))*$N28)</f>
      </c>
      <c r="P28">
        <f>IF($J28="",0,IF($A28=2,$H28*$N28,0))</f>
      </c>
    </row>
    <row r="29" spans="1:16" ht="15" customHeight="1" x14ac:dyDescent="0.15">
      <c r="A29" s="244"/>
      <c r="B29" s="245"/>
      <c r="C29" s="245"/>
      <c r="D29" s="246"/>
      <c r="E29" s="245"/>
      <c r="F29" s="247"/>
      <c r="G29" s="248"/>
      <c r="H29" s="247"/>
      <c r="I29" s="245"/>
      <c r="J29" s="249">
        <f>IF(OR(B29="",C29="",E29=""),"",B29&amp;":"&amp;C29&amp;":"&amp;E29)</f>
      </c>
      <c r="K29" s="250">
        <f>IF(A29="","",A29*D29)</f>
      </c>
      <c r="L29" s="249">
        <f>IF(A29="","",IF(OR(A29=1,A29=0),H29,0))</f>
      </c>
      <c r="M29" s="249">
        <f>IF(A29="","",IF(A29=-1,H29,0))</f>
      </c>
      <c r="N29">
        <f>IF($E29="SGD",1,IF($E29="USD",Settings!$B$22,IF($E29="HKD",Settings!$B$23,1)))</f>
      </c>
      <c r="O29">
        <f>IF($J29="",0,($M29-$L29+IF($A29=2,$H29,0))*$N29)</f>
      </c>
      <c r="P29">
        <f>IF($J29="",0,IF($A29=2,$H29*$N29,0))</f>
      </c>
    </row>
    <row r="30" spans="1:16" ht="15" customHeight="1" x14ac:dyDescent="0.15">
      <c r="A30" s="244"/>
      <c r="B30" s="245"/>
      <c r="C30" s="245"/>
      <c r="D30" s="246"/>
      <c r="E30" s="245"/>
      <c r="F30" s="247"/>
      <c r="G30" s="248"/>
      <c r="H30" s="247"/>
      <c r="I30" s="245"/>
      <c r="J30" s="249">
        <f>IF(OR(B30="",C30="",E30=""),"",B30&amp;":"&amp;C30&amp;":"&amp;E30)</f>
      </c>
      <c r="K30" s="250">
        <f>IF(A30="","",A30*D30)</f>
      </c>
      <c r="L30" s="249">
        <f>IF(A30="","",IF(OR(A30=1,A30=0),H30,0))</f>
      </c>
      <c r="M30" s="249">
        <f>IF(A30="","",IF(A30=-1,H30,0))</f>
      </c>
      <c r="N30">
        <f>IF($E30="SGD",1,IF($E30="USD",Settings!$B$22,IF($E30="HKD",Settings!$B$23,1)))</f>
      </c>
      <c r="O30">
        <f>IF($J30="",0,($M30-$L30+IF($A30=2,$H30,0))*$N30)</f>
      </c>
      <c r="P30">
        <f>IF($J30="",0,IF($A30=2,$H30*$N30,0))</f>
      </c>
    </row>
    <row r="31" spans="1:16" ht="15" customHeight="1" x14ac:dyDescent="0.15">
      <c r="A31" s="244"/>
      <c r="B31" s="245"/>
      <c r="C31" s="245"/>
      <c r="D31" s="246"/>
      <c r="E31" s="245"/>
      <c r="F31" s="247"/>
      <c r="G31" s="248"/>
      <c r="H31" s="247"/>
      <c r="I31" s="245"/>
      <c r="J31" s="249">
        <f>IF(OR(B31="",C31="",E31=""),"",B31&amp;":"&amp;C31&amp;":"&amp;E31)</f>
      </c>
      <c r="K31" s="250">
        <f>IF(A31="","",A31*D31)</f>
      </c>
      <c r="L31" s="249">
        <f>IF(A31="","",IF(OR(A31=1,A31=0),H31,0))</f>
      </c>
      <c r="M31" s="249">
        <f>IF(A31="","",IF(A31=-1,H31,0))</f>
      </c>
      <c r="N31">
        <f>IF($E31="SGD",1,IF($E31="USD",Settings!$B$22,IF($E31="HKD",Settings!$B$23,1)))</f>
      </c>
      <c r="O31">
        <f>IF($J31="",0,($M31-$L31+IF($A31=2,$H31,0))*$N31)</f>
      </c>
      <c r="P31">
        <f>IF($J31="",0,IF($A31=2,$H31*$N31,0))</f>
      </c>
    </row>
    <row r="32" spans="1:16" ht="15" customHeight="1" x14ac:dyDescent="0.15">
      <c r="A32" s="244"/>
      <c r="B32" s="245"/>
      <c r="C32" s="245"/>
      <c r="D32" s="246"/>
      <c r="E32" s="245"/>
      <c r="F32" s="247"/>
      <c r="G32" s="248"/>
      <c r="H32" s="247"/>
      <c r="I32" s="245"/>
      <c r="J32" s="249">
        <f>IF(OR(B32="",C32="",E32=""),"",B32&amp;":"&amp;C32&amp;":"&amp;E32)</f>
      </c>
      <c r="K32" s="250">
        <f>IF(A32="","",A32*D32)</f>
      </c>
      <c r="L32" s="249">
        <f>IF(A32="","",IF(OR(A32=1,A32=0),H32,0))</f>
      </c>
      <c r="M32" s="249">
        <f>IF(A32="","",IF(A32=-1,H32,0))</f>
      </c>
      <c r="N32">
        <f>IF($E32="SGD",1,IF($E32="USD",Settings!$B$22,IF($E32="HKD",Settings!$B$23,1)))</f>
      </c>
      <c r="O32">
        <f>IF($J32="",0,($M32-$L32+IF($A32=2,$H32,0))*$N32)</f>
      </c>
      <c r="P32">
        <f>IF($J32="",0,IF($A32=2,$H32*$N32,0))</f>
      </c>
    </row>
    <row r="33" spans="1:16" ht="15" customHeight="1" x14ac:dyDescent="0.15">
      <c r="A33" s="244"/>
      <c r="B33" s="245"/>
      <c r="C33" s="245"/>
      <c r="D33" s="246"/>
      <c r="E33" s="245"/>
      <c r="F33" s="247"/>
      <c r="G33" s="248"/>
      <c r="H33" s="247"/>
      <c r="I33" s="245"/>
      <c r="J33" s="249">
        <f>IF(OR(B33="",C33="",E33=""),"",B33&amp;":"&amp;C33&amp;":"&amp;E33)</f>
      </c>
      <c r="K33" s="250">
        <f>IF(A33="","",A33*D33)</f>
      </c>
      <c r="L33" s="249">
        <f>IF(A33="","",IF(OR(A33=1,A33=0),H33,0))</f>
      </c>
      <c r="M33" s="249">
        <f>IF(A33="","",IF(A33=-1,H33,0))</f>
      </c>
      <c r="N33">
        <f>IF($E33="SGD",1,IF($E33="USD",Settings!$B$22,IF($E33="HKD",Settings!$B$23,1)))</f>
      </c>
      <c r="O33">
        <f>IF($J33="",0,($M33-$L33+IF($A33=2,$H33,0))*$N33)</f>
      </c>
      <c r="P33">
        <f>IF($J33="",0,IF($A33=2,$H33*$N33,0))</f>
      </c>
    </row>
    <row r="34" spans="1:16" ht="15" customHeight="1" x14ac:dyDescent="0.15">
      <c r="A34" s="244"/>
      <c r="B34" s="245"/>
      <c r="C34" s="245"/>
      <c r="D34" s="246"/>
      <c r="E34" s="245"/>
      <c r="F34" s="247"/>
      <c r="G34" s="248"/>
      <c r="H34" s="247"/>
      <c r="I34" s="245"/>
      <c r="J34" s="249">
        <f>IF(OR(B34="",C34="",E34=""),"",B34&amp;":"&amp;C34&amp;":"&amp;E34)</f>
      </c>
      <c r="K34" s="250">
        <f>IF(A34="","",A34*D34)</f>
      </c>
      <c r="L34" s="249">
        <f>IF(A34="","",IF(OR(A34=1,A34=0),H34,0))</f>
      </c>
      <c r="M34" s="249">
        <f>IF(A34="","",IF(A34=-1,H34,0))</f>
      </c>
      <c r="N34">
        <f>IF($E34="SGD",1,IF($E34="USD",Settings!$B$22,IF($E34="HKD",Settings!$B$23,1)))</f>
      </c>
      <c r="O34">
        <f>IF($J34="",0,($M34-$L34+IF($A34=2,$H34,0))*$N34)</f>
      </c>
      <c r="P34">
        <f>IF($J34="",0,IF($A34=2,$H34*$N34,0))</f>
      </c>
    </row>
    <row r="35" spans="1:16" ht="15" customHeight="1" x14ac:dyDescent="0.15">
      <c r="A35" s="244"/>
      <c r="B35" s="245"/>
      <c r="C35" s="245"/>
      <c r="D35" s="246"/>
      <c r="E35" s="245"/>
      <c r="F35" s="247"/>
      <c r="G35" s="248"/>
      <c r="H35" s="247"/>
      <c r="I35" s="245"/>
      <c r="J35" s="249">
        <f>IF(OR(B35="",C35="",E35=""),"",B35&amp;":"&amp;C35&amp;":"&amp;E35)</f>
      </c>
      <c r="K35" s="250">
        <f>IF(A35="","",A35*D35)</f>
      </c>
      <c r="L35" s="249">
        <f>IF(A35="","",IF(OR(A35=1,A35=0),H35,0))</f>
      </c>
      <c r="M35" s="249">
        <f>IF(A35="","",IF(A35=-1,H35,0))</f>
      </c>
      <c r="N35">
        <f>IF($E35="SGD",1,IF($E35="USD",Settings!$B$22,IF($E35="HKD",Settings!$B$23,1)))</f>
      </c>
      <c r="O35">
        <f>IF($J35="",0,($M35-$L35+IF($A35=2,$H35,0))*$N35)</f>
      </c>
      <c r="P35">
        <f>IF($J35="",0,IF($A35=2,$H35*$N35,0))</f>
      </c>
    </row>
    <row r="36" spans="1:16" ht="15" customHeight="1" x14ac:dyDescent="0.15">
      <c r="A36" s="244"/>
      <c r="B36" s="245"/>
      <c r="C36" s="245"/>
      <c r="D36" s="246"/>
      <c r="E36" s="245"/>
      <c r="F36" s="247"/>
      <c r="G36" s="248"/>
      <c r="H36" s="247"/>
      <c r="I36" s="245"/>
      <c r="J36" s="249">
        <f>IF(OR(B36="",C36="",E36=""),"",B36&amp;":"&amp;C36&amp;":"&amp;E36)</f>
      </c>
      <c r="K36" s="250">
        <f>IF(A36="","",A36*D36)</f>
      </c>
      <c r="L36" s="249">
        <f>IF(A36="","",IF(OR(A36=1,A36=0),H36,0))</f>
      </c>
      <c r="M36" s="249">
        <f>IF(A36="","",IF(A36=-1,H36,0))</f>
      </c>
      <c r="N36">
        <f>IF($E36="SGD",1,IF($E36="USD",Settings!$B$22,IF($E36="HKD",Settings!$B$23,1)))</f>
      </c>
      <c r="O36">
        <f>IF($J36="",0,($M36-$L36+IF($A36=2,$H36,0))*$N36)</f>
      </c>
      <c r="P36">
        <f>IF($J36="",0,IF($A36=2,$H36*$N36,0))</f>
      </c>
    </row>
    <row r="37" spans="1:16" ht="15" customHeight="1" x14ac:dyDescent="0.15">
      <c r="A37" s="244"/>
      <c r="B37" s="245"/>
      <c r="C37" s="245"/>
      <c r="D37" s="246"/>
      <c r="E37" s="245"/>
      <c r="F37" s="247"/>
      <c r="G37" s="248"/>
      <c r="H37" s="247"/>
      <c r="I37" s="245"/>
      <c r="J37" s="249">
        <f>IF(OR(B37="",C37="",E37=""),"",B37&amp;":"&amp;C37&amp;":"&amp;E37)</f>
      </c>
      <c r="K37" s="250">
        <f>IF(A37="","",A37*D37)</f>
      </c>
      <c r="L37" s="249">
        <f>IF(A37="","",IF(OR(A37=1,A37=0),H37,0))</f>
      </c>
      <c r="M37" s="249">
        <f>IF(A37="","",IF(A37=-1,H37,0))</f>
      </c>
      <c r="N37">
        <f>IF($E37="SGD",1,IF($E37="USD",Settings!$B$22,IF($E37="HKD",Settings!$B$23,1)))</f>
      </c>
      <c r="O37">
        <f>IF($J37="",0,($M37-$L37+IF($A37=2,$H37,0))*$N37)</f>
      </c>
      <c r="P37">
        <f>IF($J37="",0,IF($A37=2,$H37*$N37,0))</f>
      </c>
    </row>
    <row r="38" spans="1:16" ht="15" customHeight="1" x14ac:dyDescent="0.15">
      <c r="A38" s="244"/>
      <c r="B38" s="245"/>
      <c r="C38" s="245"/>
      <c r="D38" s="246"/>
      <c r="E38" s="245"/>
      <c r="F38" s="247"/>
      <c r="G38" s="248"/>
      <c r="H38" s="247"/>
      <c r="I38" s="245"/>
      <c r="J38" s="249">
        <f>IF(OR(B38="",C38="",E38=""),"",B38&amp;":"&amp;C38&amp;":"&amp;E38)</f>
      </c>
      <c r="K38" s="250">
        <f>IF(A38="","",A38*D38)</f>
      </c>
      <c r="L38" s="249">
        <f>IF(A38="","",IF(OR(A38=1,A38=0),H38,0))</f>
      </c>
      <c r="M38" s="249">
        <f>IF(A38="","",IF(A38=-1,H38,0))</f>
      </c>
      <c r="N38">
        <f>IF($E38="SGD",1,IF($E38="USD",Settings!$B$22,IF($E38="HKD",Settings!$B$23,1)))</f>
      </c>
      <c r="O38">
        <f>IF($J38="",0,($M38-$L38+IF($A38=2,$H38,0))*$N38)</f>
      </c>
      <c r="P38">
        <f>IF($J38="",0,IF($A38=2,$H38*$N38,0))</f>
      </c>
    </row>
    <row r="39" spans="1:16" ht="15" customHeight="1" x14ac:dyDescent="0.15">
      <c r="A39" s="244"/>
      <c r="B39" s="245"/>
      <c r="C39" s="245"/>
      <c r="D39" s="246"/>
      <c r="E39" s="245"/>
      <c r="F39" s="247"/>
      <c r="G39" s="248"/>
      <c r="H39" s="247"/>
      <c r="I39" s="245"/>
      <c r="J39" s="249">
        <f>IF(OR(B39="",C39="",E39=""),"",B39&amp;":"&amp;C39&amp;":"&amp;E39)</f>
      </c>
      <c r="K39" s="250">
        <f>IF(A39="","",A39*D39)</f>
      </c>
      <c r="L39" s="249">
        <f>IF(A39="","",IF(OR(A39=1,A39=0),H39,0))</f>
      </c>
      <c r="M39" s="249">
        <f>IF(A39="","",IF(A39=-1,H39,0))</f>
      </c>
      <c r="N39">
        <f>IF($E39="SGD",1,IF($E39="USD",Settings!$B$22,IF($E39="HKD",Settings!$B$23,1)))</f>
      </c>
      <c r="O39">
        <f>IF($J39="",0,($M39-$L39+IF($A39=2,$H39,0))*$N39)</f>
      </c>
      <c r="P39">
        <f>IF($J39="",0,IF($A39=2,$H39*$N39,0))</f>
      </c>
    </row>
    <row r="40" spans="1:16" ht="15" customHeight="1" x14ac:dyDescent="0.15">
      <c r="A40" s="244"/>
      <c r="B40" s="245"/>
      <c r="C40" s="245"/>
      <c r="D40" s="246"/>
      <c r="E40" s="245"/>
      <c r="F40" s="247"/>
      <c r="G40" s="248"/>
      <c r="H40" s="247"/>
      <c r="I40" s="245"/>
      <c r="J40" s="249">
        <f>IF(OR(B40="",C40="",E40=""),"",B40&amp;":"&amp;C40&amp;":"&amp;E40)</f>
      </c>
      <c r="K40" s="250">
        <f>IF(A40="","",A40*D40)</f>
      </c>
      <c r="L40" s="249">
        <f>IF(A40="","",IF(OR(A40=1,A40=0),H40,0))</f>
      </c>
      <c r="M40" s="249">
        <f>IF(A40="","",IF(A40=-1,H40,0))</f>
      </c>
      <c r="N40">
        <f>IF($E40="SGD",1,IF($E40="USD",Settings!$B$22,IF($E40="HKD",Settings!$B$23,1)))</f>
      </c>
      <c r="O40">
        <f>IF($J40="",0,($M40-$L40+IF($A40=2,$H40,0))*$N40)</f>
      </c>
      <c r="P40">
        <f>IF($J40="",0,IF($A40=2,$H40*$N40,0))</f>
      </c>
    </row>
    <row r="41" spans="1:16" ht="15" customHeight="1" x14ac:dyDescent="0.15">
      <c r="A41" s="244"/>
      <c r="B41" s="245"/>
      <c r="C41" s="245"/>
      <c r="D41" s="246"/>
      <c r="E41" s="245"/>
      <c r="F41" s="247"/>
      <c r="G41" s="248"/>
      <c r="H41" s="247"/>
      <c r="I41" s="245"/>
      <c r="J41" s="249">
        <f>IF(OR(B41="",C41="",E41=""),"",B41&amp;":"&amp;C41&amp;":"&amp;E41)</f>
      </c>
      <c r="K41" s="250">
        <f>IF(A41="","",A41*D41)</f>
      </c>
      <c r="L41" s="249">
        <f>IF(A41="","",IF(OR(A41=1,A41=0),H41,0))</f>
      </c>
      <c r="M41" s="249">
        <f>IF(A41="","",IF(A41=-1,H41,0))</f>
      </c>
      <c r="N41">
        <f>IF($E41="SGD",1,IF($E41="USD",Settings!$B$22,IF($E41="HKD",Settings!$B$23,1)))</f>
      </c>
      <c r="O41">
        <f>IF($J41="",0,($M41-$L41+IF($A41=2,$H41,0))*$N41)</f>
      </c>
      <c r="P41">
        <f>IF($J41="",0,IF($A41=2,$H41*$N41,0))</f>
      </c>
    </row>
    <row r="42" spans="1:16" ht="15" customHeight="1" x14ac:dyDescent="0.15">
      <c r="A42" s="244"/>
      <c r="B42" s="245"/>
      <c r="C42" s="245"/>
      <c r="D42" s="246"/>
      <c r="E42" s="245"/>
      <c r="F42" s="247"/>
      <c r="G42" s="248"/>
      <c r="H42" s="247"/>
      <c r="I42" s="245"/>
      <c r="J42" s="249">
        <f>IF(OR(B42="",C42="",E42=""),"",B42&amp;":"&amp;C42&amp;":"&amp;E42)</f>
      </c>
      <c r="K42" s="250">
        <f>IF(A42="","",A42*D42)</f>
      </c>
      <c r="L42" s="249">
        <f>IF(A42="","",IF(OR(A42=1,A42=0),H42,0))</f>
      </c>
      <c r="M42" s="249">
        <f>IF(A42="","",IF(A42=-1,H42,0))</f>
      </c>
      <c r="N42">
        <f>IF($E42="SGD",1,IF($E42="USD",Settings!$B$22,IF($E42="HKD",Settings!$B$23,1)))</f>
      </c>
      <c r="O42">
        <f>IF($J42="",0,($M42-$L42+IF($A42=2,$H42,0))*$N42)</f>
      </c>
      <c r="P42">
        <f>IF($J42="",0,IF($A42=2,$H42*$N42,0))</f>
      </c>
    </row>
    <row r="43" spans="1:16" ht="15" customHeight="1" x14ac:dyDescent="0.15">
      <c r="A43" s="244"/>
      <c r="B43" s="245"/>
      <c r="C43" s="245"/>
      <c r="D43" s="246"/>
      <c r="E43" s="245"/>
      <c r="F43" s="247"/>
      <c r="G43" s="248"/>
      <c r="H43" s="247"/>
      <c r="I43" s="245"/>
      <c r="J43" s="249">
        <f>IF(OR(B43="",C43="",E43=""),"",B43&amp;":"&amp;C43&amp;":"&amp;E43)</f>
      </c>
      <c r="K43" s="250">
        <f>IF(A43="","",A43*D43)</f>
      </c>
      <c r="L43" s="249">
        <f>IF(A43="","",IF(OR(A43=1,A43=0),H43,0))</f>
      </c>
      <c r="M43" s="249">
        <f>IF(A43="","",IF(A43=-1,H43,0))</f>
      </c>
      <c r="N43">
        <f>IF($E43="SGD",1,IF($E43="USD",Settings!$B$22,IF($E43="HKD",Settings!$B$23,1)))</f>
      </c>
      <c r="O43">
        <f>IF($J43="",0,($M43-$L43+IF($A43=2,$H43,0))*$N43)</f>
      </c>
      <c r="P43">
        <f>IF($J43="",0,IF($A43=2,$H43*$N43,0))</f>
      </c>
    </row>
    <row r="44" spans="1:16" ht="15" customHeight="1" x14ac:dyDescent="0.15">
      <c r="A44" s="244"/>
      <c r="B44" s="245"/>
      <c r="C44" s="245"/>
      <c r="D44" s="246"/>
      <c r="E44" s="245"/>
      <c r="F44" s="247"/>
      <c r="G44" s="248"/>
      <c r="H44" s="247"/>
      <c r="I44" s="245"/>
      <c r="J44" s="249">
        <f>IF(OR(B44="",C44="",E44=""),"",B44&amp;":"&amp;C44&amp;":"&amp;E44)</f>
      </c>
      <c r="K44" s="250">
        <f>IF(A44="","",A44*D44)</f>
      </c>
      <c r="L44" s="249">
        <f>IF(A44="","",IF(OR(A44=1,A44=0),H44,0))</f>
      </c>
      <c r="M44" s="249">
        <f>IF(A44="","",IF(A44=-1,H44,0))</f>
      </c>
      <c r="N44">
        <f>IF($E44="SGD",1,IF($E44="USD",Settings!$B$22,IF($E44="HKD",Settings!$B$23,1)))</f>
      </c>
      <c r="O44">
        <f>IF($J44="",0,($M44-$L44+IF($A44=2,$H44,0))*$N44)</f>
      </c>
      <c r="P44">
        <f>IF($J44="",0,IF($A44=2,$H44*$N44,0))</f>
      </c>
    </row>
    <row r="45" spans="1:16" ht="15" customHeight="1" x14ac:dyDescent="0.15">
      <c r="A45" s="244"/>
      <c r="B45" s="245"/>
      <c r="C45" s="245"/>
      <c r="D45" s="246"/>
      <c r="E45" s="245"/>
      <c r="F45" s="247"/>
      <c r="G45" s="248"/>
      <c r="H45" s="247"/>
      <c r="I45" s="245"/>
      <c r="J45" s="249">
        <f>IF(OR(B45="",C45="",E45=""),"",B45&amp;":"&amp;C45&amp;":"&amp;E45)</f>
      </c>
      <c r="K45" s="250">
        <f>IF(A45="","",A45*D45)</f>
      </c>
      <c r="L45" s="249">
        <f>IF(A45="","",IF(OR(A45=1,A45=0),H45,0))</f>
      </c>
      <c r="M45" s="249">
        <f>IF(A45="","",IF(A45=-1,H45,0))</f>
      </c>
      <c r="N45">
        <f>IF($E45="SGD",1,IF($E45="USD",Settings!$B$22,IF($E45="HKD",Settings!$B$23,1)))</f>
      </c>
      <c r="O45">
        <f>IF($J45="",0,($M45-$L45+IF($A45=2,$H45,0))*$N45)</f>
      </c>
      <c r="P45">
        <f>IF($J45="",0,IF($A45=2,$H45*$N45,0))</f>
      </c>
    </row>
    <row r="46" spans="1:16" ht="15" customHeight="1" x14ac:dyDescent="0.15">
      <c r="A46" s="244"/>
      <c r="B46" s="245"/>
      <c r="C46" s="245"/>
      <c r="D46" s="246"/>
      <c r="E46" s="245"/>
      <c r="F46" s="247"/>
      <c r="G46" s="248"/>
      <c r="H46" s="247"/>
      <c r="I46" s="245"/>
      <c r="J46" s="249">
        <f>IF(OR(B46="",C46="",E46=""),"",B46&amp;":"&amp;C46&amp;":"&amp;E46)</f>
      </c>
      <c r="K46" s="250">
        <f>IF(A46="","",A46*D46)</f>
      </c>
      <c r="L46" s="249">
        <f>IF(A46="","",IF(OR(A46=1,A46=0),H46,0))</f>
      </c>
      <c r="M46" s="249">
        <f>IF(A46="","",IF(A46=-1,H46,0))</f>
      </c>
      <c r="N46">
        <f>IF($E46="SGD",1,IF($E46="USD",Settings!$B$22,IF($E46="HKD",Settings!$B$23,1)))</f>
      </c>
      <c r="O46">
        <f>IF($J46="",0,($M46-$L46+IF($A46=2,$H46,0))*$N46)</f>
      </c>
      <c r="P46">
        <f>IF($J46="",0,IF($A46=2,$H46*$N46,0))</f>
      </c>
    </row>
    <row r="47" spans="1:16" ht="15" customHeight="1" x14ac:dyDescent="0.15">
      <c r="A47" s="244"/>
      <c r="B47" s="245"/>
      <c r="C47" s="245"/>
      <c r="D47" s="246"/>
      <c r="E47" s="245"/>
      <c r="F47" s="247"/>
      <c r="G47" s="248"/>
      <c r="H47" s="247"/>
      <c r="I47" s="245"/>
      <c r="J47" s="249">
        <f>IF(OR(B47="",C47="",E47=""),"",B47&amp;":"&amp;C47&amp;":"&amp;E47)</f>
      </c>
      <c r="K47" s="250">
        <f>IF(A47="","",A47*D47)</f>
      </c>
      <c r="L47" s="249">
        <f>IF(A47="","",IF(OR(A47=1,A47=0),H47,0))</f>
      </c>
      <c r="M47" s="249">
        <f>IF(A47="","",IF(A47=-1,H47,0))</f>
      </c>
      <c r="N47">
        <f>IF($E47="SGD",1,IF($E47="USD",Settings!$B$22,IF($E47="HKD",Settings!$B$23,1)))</f>
      </c>
      <c r="O47">
        <f>IF($J47="",0,($M47-$L47+IF($A47=2,$H47,0))*$N47)</f>
      </c>
      <c r="P47">
        <f>IF($J47="",0,IF($A47=2,$H47*$N47,0))</f>
      </c>
    </row>
    <row r="48" spans="1:16" ht="15" customHeight="1" x14ac:dyDescent="0.15">
      <c r="A48" s="244"/>
      <c r="B48" s="245"/>
      <c r="C48" s="245"/>
      <c r="D48" s="246"/>
      <c r="E48" s="245"/>
      <c r="F48" s="247"/>
      <c r="G48" s="248"/>
      <c r="H48" s="247"/>
      <c r="I48" s="245"/>
      <c r="J48" s="249">
        <f>IF(OR(B48="",C48="",E48=""),"",B48&amp;":"&amp;C48&amp;":"&amp;E48)</f>
      </c>
      <c r="K48" s="250">
        <f>IF(A48="","",A48*D48)</f>
      </c>
      <c r="L48" s="249">
        <f>IF(A48="","",IF(OR(A48=1,A48=0),H48,0))</f>
      </c>
      <c r="M48" s="249">
        <f>IF(A48="","",IF(A48=-1,H48,0))</f>
      </c>
      <c r="N48">
        <f>IF($E48="SGD",1,IF($E48="USD",Settings!$B$22,IF($E48="HKD",Settings!$B$23,1)))</f>
      </c>
      <c r="O48">
        <f>IF($J48="",0,($M48-$L48+IF($A48=2,$H48,0))*$N48)</f>
      </c>
      <c r="P48">
        <f>IF($J48="",0,IF($A48=2,$H48*$N48,0))</f>
      </c>
    </row>
    <row r="49" spans="1:16" ht="15" customHeight="1" x14ac:dyDescent="0.15">
      <c r="A49" s="244"/>
      <c r="B49" s="245"/>
      <c r="C49" s="245"/>
      <c r="D49" s="246"/>
      <c r="E49" s="245"/>
      <c r="F49" s="247"/>
      <c r="G49" s="248"/>
      <c r="H49" s="247"/>
      <c r="I49" s="245"/>
      <c r="J49" s="249">
        <f>IF(OR(B49="",C49="",E49=""),"",B49&amp;":"&amp;C49&amp;":"&amp;E49)</f>
      </c>
      <c r="K49" s="250">
        <f>IF(A49="","",A49*D49)</f>
      </c>
      <c r="L49" s="249">
        <f>IF(A49="","",IF(OR(A49=1,A49=0),H49,0))</f>
      </c>
      <c r="M49" s="249">
        <f>IF(A49="","",IF(A49=-1,H49,0))</f>
      </c>
      <c r="N49">
        <f>IF($E49="SGD",1,IF($E49="USD",Settings!$B$22,IF($E49="HKD",Settings!$B$23,1)))</f>
      </c>
      <c r="O49">
        <f>IF($J49="",0,($M49-$L49+IF($A49=2,$H49,0))*$N49)</f>
      </c>
      <c r="P49">
        <f>IF($J49="",0,IF($A49=2,$H49*$N49,0))</f>
      </c>
    </row>
    <row r="50" spans="1:16" ht="15" customHeight="1" x14ac:dyDescent="0.15">
      <c r="A50" s="244"/>
      <c r="B50" s="245"/>
      <c r="C50" s="245"/>
      <c r="D50" s="246"/>
      <c r="E50" s="245"/>
      <c r="F50" s="247"/>
      <c r="G50" s="248"/>
      <c r="H50" s="247"/>
      <c r="I50" s="245"/>
      <c r="J50" s="249">
        <f>IF(OR(B50="",C50="",E50=""),"",B50&amp;":"&amp;C50&amp;":"&amp;E50)</f>
      </c>
      <c r="K50" s="250">
        <f>IF(A50="","",A50*D50)</f>
      </c>
      <c r="L50" s="249">
        <f>IF(A50="","",IF(OR(A50=1,A50=0),H50,0))</f>
      </c>
      <c r="M50" s="249">
        <f>IF(A50="","",IF(A50=-1,H50,0))</f>
      </c>
      <c r="N50">
        <f>IF($E50="SGD",1,IF($E50="USD",Settings!$B$22,IF($E50="HKD",Settings!$B$23,1)))</f>
      </c>
      <c r="O50">
        <f>IF($J50="",0,($M50-$L50+IF($A50=2,$H50,0))*$N50)</f>
      </c>
      <c r="P50">
        <f>IF($J50="",0,IF($A50=2,$H50*$N50,0))</f>
      </c>
    </row>
    <row r="51" spans="1:16" ht="15" customHeight="1" x14ac:dyDescent="0.15">
      <c r="A51" s="244"/>
      <c r="B51" s="245"/>
      <c r="C51" s="245"/>
      <c r="D51" s="246"/>
      <c r="E51" s="245"/>
      <c r="F51" s="247"/>
      <c r="G51" s="248"/>
      <c r="H51" s="247"/>
      <c r="I51" s="245"/>
      <c r="J51" s="249">
        <f>IF(OR(B51="",C51="",E51=""),"",B51&amp;":"&amp;C51&amp;":"&amp;E51)</f>
      </c>
      <c r="K51" s="250">
        <f>IF(A51="","",A51*D51)</f>
      </c>
      <c r="L51" s="249">
        <f>IF(A51="","",IF(OR(A51=1,A51=0),H51,0))</f>
      </c>
      <c r="M51" s="249">
        <f>IF(A51="","",IF(A51=-1,H51,0))</f>
      </c>
      <c r="N51">
        <f>IF($E51="SGD",1,IF($E51="USD",Settings!$B$22,IF($E51="HKD",Settings!$B$23,1)))</f>
      </c>
      <c r="O51">
        <f>IF($J51="",0,($M51-$L51+IF($A51=2,$H51,0))*$N51)</f>
      </c>
      <c r="P51">
        <f>IF($J51="",0,IF($A51=2,$H51*$N51,0))</f>
      </c>
    </row>
    <row r="52" spans="1:16" ht="15" customHeight="1" x14ac:dyDescent="0.15">
      <c r="A52" s="244"/>
      <c r="B52" s="245"/>
      <c r="C52" s="245"/>
      <c r="D52" s="246"/>
      <c r="E52" s="245"/>
      <c r="F52" s="247"/>
      <c r="G52" s="248"/>
      <c r="H52" s="247"/>
      <c r="I52" s="245"/>
      <c r="J52" s="249">
        <f>IF(OR(B52="",C52="",E52=""),"",B52&amp;":"&amp;C52&amp;":"&amp;E52)</f>
      </c>
      <c r="K52" s="250">
        <f>IF(A52="","",A52*D52)</f>
      </c>
      <c r="L52" s="249">
        <f>IF(A52="","",IF(OR(A52=1,A52=0),H52,0))</f>
      </c>
      <c r="M52" s="249">
        <f>IF(A52="","",IF(A52=-1,H52,0))</f>
      </c>
      <c r="N52">
        <f>IF($E52="SGD",1,IF($E52="USD",Settings!$B$22,IF($E52="HKD",Settings!$B$23,1)))</f>
      </c>
      <c r="O52">
        <f>IF($J52="",0,($M52-$L52+IF($A52=2,$H52,0))*$N52)</f>
      </c>
      <c r="P52">
        <f>IF($J52="",0,IF($A52=2,$H52*$N52,0))</f>
      </c>
    </row>
    <row r="53" spans="1:16" ht="15" customHeight="1" x14ac:dyDescent="0.15">
      <c r="A53" s="244"/>
      <c r="B53" s="245"/>
      <c r="C53" s="245"/>
      <c r="D53" s="246"/>
      <c r="E53" s="245"/>
      <c r="F53" s="247"/>
      <c r="G53" s="248"/>
      <c r="H53" s="247"/>
      <c r="I53" s="245"/>
      <c r="J53" s="249">
        <f>IF(OR(B53="",C53="",E53=""),"",B53&amp;":"&amp;C53&amp;":"&amp;E53)</f>
      </c>
      <c r="K53" s="250">
        <f>IF(A53="","",A53*D53)</f>
      </c>
      <c r="L53" s="249">
        <f>IF(A53="","",IF(OR(A53=1,A53=0),H53,0))</f>
      </c>
      <c r="M53" s="249">
        <f>IF(A53="","",IF(A53=-1,H53,0))</f>
      </c>
      <c r="N53">
        <f>IF($E53="SGD",1,IF($E53="USD",Settings!$B$22,IF($E53="HKD",Settings!$B$23,1)))</f>
      </c>
      <c r="O53">
        <f>IF($J53="",0,($M53-$L53+IF($A53=2,$H53,0))*$N53)</f>
      </c>
      <c r="P53">
        <f>IF($J53="",0,IF($A53=2,$H53*$N53,0))</f>
      </c>
    </row>
    <row r="54" spans="1:16" ht="15" customHeight="1" x14ac:dyDescent="0.15">
      <c r="A54" s="244"/>
      <c r="B54" s="245"/>
      <c r="C54" s="245"/>
      <c r="D54" s="246"/>
      <c r="E54" s="245"/>
      <c r="F54" s="247"/>
      <c r="G54" s="248"/>
      <c r="H54" s="247"/>
      <c r="I54" s="245"/>
      <c r="J54" s="249">
        <f>IF(OR(B54="",C54="",E54=""),"",B54&amp;":"&amp;C54&amp;":"&amp;E54)</f>
      </c>
      <c r="K54" s="250">
        <f>IF(A54="","",A54*D54)</f>
      </c>
      <c r="L54" s="249">
        <f>IF(A54="","",IF(OR(A54=1,A54=0),H54,0))</f>
      </c>
      <c r="M54" s="249">
        <f>IF(A54="","",IF(A54=-1,H54,0))</f>
      </c>
      <c r="N54">
        <f>IF($E54="SGD",1,IF($E54="USD",Settings!$B$22,IF($E54="HKD",Settings!$B$23,1)))</f>
      </c>
      <c r="O54">
        <f>IF($J54="",0,($M54-$L54+IF($A54=2,$H54,0))*$N54)</f>
      </c>
      <c r="P54">
        <f>IF($J54="",0,IF($A54=2,$H54*$N54,0))</f>
      </c>
    </row>
    <row r="55" spans="1:16" ht="15" customHeight="1" x14ac:dyDescent="0.15">
      <c r="A55" s="244"/>
      <c r="B55" s="245"/>
      <c r="C55" s="245"/>
      <c r="D55" s="246"/>
      <c r="E55" s="245"/>
      <c r="F55" s="247"/>
      <c r="G55" s="248"/>
      <c r="H55" s="247"/>
      <c r="I55" s="245"/>
      <c r="J55" s="249">
        <f>IF(OR(B55="",C55="",E55=""),"",B55&amp;":"&amp;C55&amp;":"&amp;E55)</f>
      </c>
      <c r="K55" s="250">
        <f>IF(A55="","",A55*D55)</f>
      </c>
      <c r="L55" s="249">
        <f>IF(A55="","",IF(OR(A55=1,A55=0),H55,0))</f>
      </c>
      <c r="M55" s="249">
        <f>IF(A55="","",IF(A55=-1,H55,0))</f>
      </c>
      <c r="N55">
        <f>IF($E55="SGD",1,IF($E55="USD",Settings!$B$22,IF($E55="HKD",Settings!$B$23,1)))</f>
      </c>
      <c r="O55">
        <f>IF($J55="",0,($M55-$L55+IF($A55=2,$H55,0))*$N55)</f>
      </c>
      <c r="P55">
        <f>IF($J55="",0,IF($A55=2,$H55*$N55,0))</f>
      </c>
    </row>
    <row r="56" spans="1:16" ht="15" customHeight="1" x14ac:dyDescent="0.15">
      <c r="A56" s="244"/>
      <c r="B56" s="245"/>
      <c r="C56" s="245"/>
      <c r="D56" s="246"/>
      <c r="E56" s="245"/>
      <c r="F56" s="247"/>
      <c r="G56" s="248"/>
      <c r="H56" s="247"/>
      <c r="I56" s="245"/>
      <c r="J56" s="249">
        <f>IF(OR(B56="",C56="",E56=""),"",B56&amp;":"&amp;C56&amp;":"&amp;E56)</f>
      </c>
      <c r="K56" s="250">
        <f>IF(A56="","",A56*D56)</f>
      </c>
      <c r="L56" s="249">
        <f>IF(A56="","",IF(OR(A56=1,A56=0),H56,0))</f>
      </c>
      <c r="M56" s="249">
        <f>IF(A56="","",IF(A56=-1,H56,0))</f>
      </c>
      <c r="N56">
        <f>IF($E56="SGD",1,IF($E56="USD",Settings!$B$22,IF($E56="HKD",Settings!$B$23,1)))</f>
      </c>
      <c r="O56">
        <f>IF($J56="",0,($M56-$L56+IF($A56=2,$H56,0))*$N56)</f>
      </c>
      <c r="P56">
        <f>IF($J56="",0,IF($A56=2,$H56*$N56,0))</f>
      </c>
    </row>
    <row r="57" spans="1:16" ht="15" customHeight="1" x14ac:dyDescent="0.15">
      <c r="A57" s="244"/>
      <c r="B57" s="245"/>
      <c r="C57" s="245"/>
      <c r="D57" s="246"/>
      <c r="E57" s="245"/>
      <c r="F57" s="247"/>
      <c r="G57" s="248"/>
      <c r="H57" s="247"/>
      <c r="I57" s="245"/>
      <c r="J57" s="249">
        <f>IF(OR(B57="",C57="",E57=""),"",B57&amp;":"&amp;C57&amp;":"&amp;E57)</f>
      </c>
      <c r="K57" s="250">
        <f>IF(A57="","",A57*D57)</f>
      </c>
      <c r="L57" s="249">
        <f>IF(A57="","",IF(OR(A57=1,A57=0),H57,0))</f>
      </c>
      <c r="M57" s="249">
        <f>IF(A57="","",IF(A57=-1,H57,0))</f>
      </c>
      <c r="N57">
        <f>IF($E57="SGD",1,IF($E57="USD",Settings!$B$22,IF($E57="HKD",Settings!$B$23,1)))</f>
      </c>
      <c r="O57">
        <f>IF($J57="",0,($M57-$L57+IF($A57=2,$H57,0))*$N57)</f>
      </c>
      <c r="P57">
        <f>IF($J57="",0,IF($A57=2,$H57*$N57,0))</f>
      </c>
    </row>
    <row r="58" spans="1:16" ht="15" customHeight="1" x14ac:dyDescent="0.15">
      <c r="A58" s="244"/>
      <c r="B58" s="245"/>
      <c r="C58" s="245"/>
      <c r="D58" s="246"/>
      <c r="E58" s="245"/>
      <c r="F58" s="247"/>
      <c r="G58" s="248"/>
      <c r="H58" s="247"/>
      <c r="I58" s="245"/>
      <c r="J58" s="249">
        <f>IF(OR(B58="",C58="",E58=""),"",B58&amp;":"&amp;C58&amp;":"&amp;E58)</f>
      </c>
      <c r="K58" s="250">
        <f>IF(A58="","",A58*D58)</f>
      </c>
      <c r="L58" s="249">
        <f>IF(A58="","",IF(OR(A58=1,A58=0),H58,0))</f>
      </c>
      <c r="M58" s="249">
        <f>IF(A58="","",IF(A58=-1,H58,0))</f>
      </c>
      <c r="N58">
        <f>IF($E58="SGD",1,IF($E58="USD",Settings!$B$22,IF($E58="HKD",Settings!$B$23,1)))</f>
      </c>
      <c r="O58">
        <f>IF($J58="",0,($M58-$L58+IF($A58=2,$H58,0))*$N58)</f>
      </c>
      <c r="P58">
        <f>IF($J58="",0,IF($A58=2,$H58*$N58,0))</f>
      </c>
    </row>
    <row r="59" spans="1:16" ht="15" customHeight="1" x14ac:dyDescent="0.15">
      <c r="A59" s="244"/>
      <c r="B59" s="245"/>
      <c r="C59" s="245"/>
      <c r="D59" s="246"/>
      <c r="E59" s="245"/>
      <c r="F59" s="247"/>
      <c r="G59" s="248"/>
      <c r="H59" s="247"/>
      <c r="I59" s="245"/>
      <c r="J59" s="249">
        <f>IF(OR(B59="",C59="",E59=""),"",B59&amp;":"&amp;C59&amp;":"&amp;E59)</f>
      </c>
      <c r="K59" s="250">
        <f>IF(A59="","",A59*D59)</f>
      </c>
      <c r="L59" s="249">
        <f>IF(A59="","",IF(OR(A59=1,A59=0),H59,0))</f>
      </c>
      <c r="M59" s="249">
        <f>IF(A59="","",IF(A59=-1,H59,0))</f>
      </c>
      <c r="N59">
        <f>IF($E59="SGD",1,IF($E59="USD",Settings!$B$22,IF($E59="HKD",Settings!$B$23,1)))</f>
      </c>
      <c r="O59">
        <f>IF($J59="",0,($M59-$L59+IF($A59=2,$H59,0))*$N59)</f>
      </c>
      <c r="P59">
        <f>IF($J59="",0,IF($A59=2,$H59*$N59,0))</f>
      </c>
    </row>
    <row r="60" spans="1:16" ht="15" customHeight="1" x14ac:dyDescent="0.15">
      <c r="A60" s="244"/>
      <c r="B60" s="245"/>
      <c r="C60" s="245"/>
      <c r="D60" s="246"/>
      <c r="E60" s="245"/>
      <c r="F60" s="247"/>
      <c r="G60" s="248"/>
      <c r="H60" s="247"/>
      <c r="I60" s="245"/>
      <c r="J60" s="249">
        <f>IF(OR(B60="",C60="",E60=""),"",B60&amp;":"&amp;C60&amp;":"&amp;E60)</f>
      </c>
      <c r="K60" s="250">
        <f>IF(A60="","",A60*D60)</f>
      </c>
      <c r="L60" s="249">
        <f>IF(A60="","",IF(OR(A60=1,A60=0),H60,0))</f>
      </c>
      <c r="M60" s="249">
        <f>IF(A60="","",IF(A60=-1,H60,0))</f>
      </c>
      <c r="N60">
        <f>IF($E60="SGD",1,IF($E60="USD",Settings!$B$22,IF($E60="HKD",Settings!$B$23,1)))</f>
      </c>
      <c r="O60">
        <f>IF($J60="",0,($M60-$L60+IF($A60=2,$H60,0))*$N60)</f>
      </c>
      <c r="P60">
        <f>IF($J60="",0,IF($A60=2,$H60*$N60,0))</f>
      </c>
    </row>
    <row r="61" spans="1:16" ht="15" customHeight="1" x14ac:dyDescent="0.15">
      <c r="A61" s="244"/>
      <c r="B61" s="245"/>
      <c r="C61" s="245"/>
      <c r="D61" s="246"/>
      <c r="E61" s="245"/>
      <c r="F61" s="247"/>
      <c r="G61" s="248"/>
      <c r="H61" s="247"/>
      <c r="I61" s="245"/>
      <c r="J61" s="249">
        <f>IF(OR(B61="",C61="",E61=""),"",B61&amp;":"&amp;C61&amp;":"&amp;E61)</f>
      </c>
      <c r="K61" s="250">
        <f>IF(A61="","",A61*D61)</f>
      </c>
      <c r="L61" s="249">
        <f>IF(A61="","",IF(OR(A61=1,A61=0),H61,0))</f>
      </c>
      <c r="M61" s="249">
        <f>IF(A61="","",IF(A61=-1,H61,0))</f>
      </c>
      <c r="N61">
        <f>IF($E61="SGD",1,IF($E61="USD",Settings!$B$22,IF($E61="HKD",Settings!$B$23,1)))</f>
      </c>
      <c r="O61">
        <f>IF($J61="",0,($M61-$L61+IF($A61=2,$H61,0))*$N61)</f>
      </c>
      <c r="P61">
        <f>IF($J61="",0,IF($A61=2,$H61*$N61,0))</f>
      </c>
    </row>
    <row r="62" spans="1:16" ht="15" customHeight="1" x14ac:dyDescent="0.15">
      <c r="A62" s="244"/>
      <c r="B62" s="245"/>
      <c r="C62" s="245"/>
      <c r="D62" s="246"/>
      <c r="E62" s="245"/>
      <c r="F62" s="247"/>
      <c r="G62" s="248"/>
      <c r="H62" s="247"/>
      <c r="I62" s="245"/>
      <c r="J62" s="249">
        <f>IF(OR(B62="",C62="",E62=""),"",B62&amp;":"&amp;C62&amp;":"&amp;E62)</f>
      </c>
      <c r="K62" s="250">
        <f>IF(A62="","",A62*D62)</f>
      </c>
      <c r="L62" s="249">
        <f>IF(A62="","",IF(OR(A62=1,A62=0),H62,0))</f>
      </c>
      <c r="M62" s="249">
        <f>IF(A62="","",IF(A62=-1,H62,0))</f>
      </c>
      <c r="N62">
        <f>IF($E62="SGD",1,IF($E62="USD",Settings!$B$22,IF($E62="HKD",Settings!$B$23,1)))</f>
      </c>
      <c r="O62">
        <f>IF($J62="",0,($M62-$L62+IF($A62=2,$H62,0))*$N62)</f>
      </c>
      <c r="P62">
        <f>IF($J62="",0,IF($A62=2,$H62*$N62,0))</f>
      </c>
    </row>
    <row r="63" spans="1:16" ht="15" customHeight="1" x14ac:dyDescent="0.15">
      <c r="A63" s="244"/>
      <c r="B63" s="245"/>
      <c r="C63" s="245"/>
      <c r="D63" s="246"/>
      <c r="E63" s="245"/>
      <c r="F63" s="247"/>
      <c r="G63" s="248"/>
      <c r="H63" s="247"/>
      <c r="I63" s="245"/>
      <c r="J63" s="249">
        <f>IF(OR(B63="",C63="",E63=""),"",B63&amp;":"&amp;C63&amp;":"&amp;E63)</f>
      </c>
      <c r="K63" s="250">
        <f>IF(A63="","",A63*D63)</f>
      </c>
      <c r="L63" s="249">
        <f>IF(A63="","",IF(OR(A63=1,A63=0),H63,0))</f>
      </c>
      <c r="M63" s="249">
        <f>IF(A63="","",IF(A63=-1,H63,0))</f>
      </c>
      <c r="N63">
        <f>IF($E63="SGD",1,IF($E63="USD",Settings!$B$22,IF($E63="HKD",Settings!$B$23,1)))</f>
      </c>
      <c r="O63">
        <f>IF($J63="",0,($M63-$L63+IF($A63=2,$H63,0))*$N63)</f>
      </c>
      <c r="P63">
        <f>IF($J63="",0,IF($A63=2,$H63*$N63,0))</f>
      </c>
    </row>
    <row r="64" spans="1:16" ht="15" customHeight="1" x14ac:dyDescent="0.15">
      <c r="A64" s="244"/>
      <c r="B64" s="245"/>
      <c r="C64" s="245"/>
      <c r="D64" s="246"/>
      <c r="E64" s="245"/>
      <c r="F64" s="247"/>
      <c r="G64" s="248"/>
      <c r="H64" s="247"/>
      <c r="I64" s="245"/>
      <c r="J64" s="249">
        <f>IF(OR(B64="",C64="",E64=""),"",B64&amp;":"&amp;C64&amp;":"&amp;E64)</f>
      </c>
      <c r="K64" s="250">
        <f>IF(A64="","",A64*D64)</f>
      </c>
      <c r="L64" s="249">
        <f>IF(A64="","",IF(OR(A64=1,A64=0),H64,0))</f>
      </c>
      <c r="M64" s="249">
        <f>IF(A64="","",IF(A64=-1,H64,0))</f>
      </c>
      <c r="N64">
        <f>IF($E64="SGD",1,IF($E64="USD",Settings!$B$22,IF($E64="HKD",Settings!$B$23,1)))</f>
      </c>
      <c r="O64">
        <f>IF($J64="",0,($M64-$L64+IF($A64=2,$H64,0))*$N64)</f>
      </c>
      <c r="P64">
        <f>IF($J64="",0,IF($A64=2,$H64*$N64,0))</f>
      </c>
    </row>
    <row r="65" spans="1:16" ht="15" customHeight="1" x14ac:dyDescent="0.15">
      <c r="A65" s="244"/>
      <c r="B65" s="245"/>
      <c r="C65" s="245"/>
      <c r="D65" s="246"/>
      <c r="E65" s="245"/>
      <c r="F65" s="247"/>
      <c r="G65" s="248"/>
      <c r="H65" s="247"/>
      <c r="I65" s="245"/>
      <c r="J65" s="249">
        <f>IF(OR(B65="",C65="",E65=""),"",B65&amp;":"&amp;C65&amp;":"&amp;E65)</f>
      </c>
      <c r="K65" s="250">
        <f>IF(A65="","",A65*D65)</f>
      </c>
      <c r="L65" s="249">
        <f>IF(A65="","",IF(OR(A65=1,A65=0),H65,0))</f>
      </c>
      <c r="M65" s="249">
        <f>IF(A65="","",IF(A65=-1,H65,0))</f>
      </c>
      <c r="N65">
        <f>IF($E65="SGD",1,IF($E65="USD",Settings!$B$22,IF($E65="HKD",Settings!$B$23,1)))</f>
      </c>
      <c r="O65">
        <f>IF($J65="",0,($M65-$L65+IF($A65=2,$H65,0))*$N65)</f>
      </c>
      <c r="P65">
        <f>IF($J65="",0,IF($A65=2,$H65*$N65,0))</f>
      </c>
    </row>
    <row r="66" spans="1:16" ht="15" customHeight="1" x14ac:dyDescent="0.15">
      <c r="A66" s="244"/>
      <c r="B66" s="245"/>
      <c r="C66" s="245"/>
      <c r="D66" s="246"/>
      <c r="E66" s="245"/>
      <c r="F66" s="247"/>
      <c r="G66" s="248"/>
      <c r="H66" s="247"/>
      <c r="I66" s="245"/>
      <c r="J66" s="249">
        <f>IF(OR(B66="",C66="",E66=""),"",B66&amp;":"&amp;C66&amp;":"&amp;E66)</f>
      </c>
      <c r="K66" s="250">
        <f>IF(A66="","",A66*D66)</f>
      </c>
      <c r="L66" s="249">
        <f>IF(A66="","",IF(OR(A66=1,A66=0),H66,0))</f>
      </c>
      <c r="M66" s="249">
        <f>IF(A66="","",IF(A66=-1,H66,0))</f>
      </c>
      <c r="N66">
        <f>IF($E66="SGD",1,IF($E66="USD",Settings!$B$22,IF($E66="HKD",Settings!$B$23,1)))</f>
      </c>
      <c r="O66">
        <f>IF($J66="",0,($M66-$L66+IF($A66=2,$H66,0))*$N66)</f>
      </c>
      <c r="P66">
        <f>IF($J66="",0,IF($A66=2,$H66*$N66,0))</f>
      </c>
    </row>
    <row r="67" spans="1:16" ht="15" customHeight="1" x14ac:dyDescent="0.15">
      <c r="A67" s="244"/>
      <c r="B67" s="245"/>
      <c r="C67" s="245"/>
      <c r="D67" s="246"/>
      <c r="E67" s="245"/>
      <c r="F67" s="247"/>
      <c r="G67" s="248"/>
      <c r="H67" s="247"/>
      <c r="I67" s="245"/>
      <c r="J67" s="249">
        <f>IF(OR(B67="",C67="",E67=""),"",B67&amp;":"&amp;C67&amp;":"&amp;E67)</f>
      </c>
      <c r="K67" s="250">
        <f>IF(A67="","",A67*D67)</f>
      </c>
      <c r="L67" s="249">
        <f>IF(A67="","",IF(OR(A67=1,A67=0),H67,0))</f>
      </c>
      <c r="M67" s="249">
        <f>IF(A67="","",IF(A67=-1,H67,0))</f>
      </c>
      <c r="N67">
        <f>IF($E67="SGD",1,IF($E67="USD",Settings!$B$22,IF($E67="HKD",Settings!$B$23,1)))</f>
      </c>
      <c r="O67">
        <f>IF($J67="",0,($M67-$L67+IF($A67=2,$H67,0))*$N67)</f>
      </c>
      <c r="P67">
        <f>IF($J67="",0,IF($A67=2,$H67*$N67,0))</f>
      </c>
    </row>
    <row r="68" spans="1:16" ht="15" customHeight="1" x14ac:dyDescent="0.15">
      <c r="A68" s="244"/>
      <c r="B68" s="245"/>
      <c r="C68" s="245"/>
      <c r="D68" s="246"/>
      <c r="E68" s="245"/>
      <c r="F68" s="247"/>
      <c r="G68" s="248"/>
      <c r="H68" s="247"/>
      <c r="I68" s="245"/>
      <c r="J68" s="249">
        <f>IF(OR(B68="",C68="",E68=""),"",B68&amp;":"&amp;C68&amp;":"&amp;E68)</f>
      </c>
      <c r="K68" s="250">
        <f>IF(A68="","",A68*D68)</f>
      </c>
      <c r="L68" s="249">
        <f>IF(A68="","",IF(OR(A68=1,A68=0),H68,0))</f>
      </c>
      <c r="M68" s="249">
        <f>IF(A68="","",IF(A68=-1,H68,0))</f>
      </c>
      <c r="N68">
        <f>IF($E68="SGD",1,IF($E68="USD",Settings!$B$22,IF($E68="HKD",Settings!$B$23,1)))</f>
      </c>
      <c r="O68">
        <f>IF($J68="",0,($M68-$L68+IF($A68=2,$H68,0))*$N68)</f>
      </c>
      <c r="P68">
        <f>IF($J68="",0,IF($A68=2,$H68*$N68,0))</f>
      </c>
    </row>
    <row r="69" spans="1:16" ht="15" customHeight="1" x14ac:dyDescent="0.15">
      <c r="A69" s="244"/>
      <c r="B69" s="245"/>
      <c r="C69" s="245"/>
      <c r="D69" s="246"/>
      <c r="E69" s="245"/>
      <c r="F69" s="247"/>
      <c r="G69" s="248"/>
      <c r="H69" s="247"/>
      <c r="I69" s="245"/>
      <c r="J69" s="249">
        <f>IF(OR(B69="",C69="",E69=""),"",B69&amp;":"&amp;C69&amp;":"&amp;E69)</f>
      </c>
      <c r="K69" s="250">
        <f>IF(A69="","",A69*D69)</f>
      </c>
      <c r="L69" s="249">
        <f>IF(A69="","",IF(OR(A69=1,A69=0),H69,0))</f>
      </c>
      <c r="M69" s="249">
        <f>IF(A69="","",IF(A69=-1,H69,0))</f>
      </c>
      <c r="N69">
        <f>IF($E69="SGD",1,IF($E69="USD",Settings!$B$22,IF($E69="HKD",Settings!$B$23,1)))</f>
      </c>
      <c r="O69">
        <f>IF($J69="",0,($M69-$L69+IF($A69=2,$H69,0))*$N69)</f>
      </c>
      <c r="P69">
        <f>IF($J69="",0,IF($A69=2,$H69*$N69,0))</f>
      </c>
    </row>
    <row r="70" spans="1:16" ht="15" customHeight="1" x14ac:dyDescent="0.15">
      <c r="A70" s="244"/>
      <c r="B70" s="245"/>
      <c r="C70" s="245"/>
      <c r="D70" s="246"/>
      <c r="E70" s="245"/>
      <c r="F70" s="247"/>
      <c r="G70" s="248"/>
      <c r="H70" s="247"/>
      <c r="I70" s="245"/>
      <c r="J70" s="249">
        <f>IF(OR(B70="",C70="",E70=""),"",B70&amp;":"&amp;C70&amp;":"&amp;E70)</f>
      </c>
      <c r="K70" s="250">
        <f>IF(A70="","",A70*D70)</f>
      </c>
      <c r="L70" s="249">
        <f>IF(A70="","",IF(OR(A70=1,A70=0),H70,0))</f>
      </c>
      <c r="M70" s="249">
        <f>IF(A70="","",IF(A70=-1,H70,0))</f>
      </c>
      <c r="N70">
        <f>IF($E70="SGD",1,IF($E70="USD",Settings!$B$22,IF($E70="HKD",Settings!$B$23,1)))</f>
      </c>
      <c r="O70">
        <f>IF($J70="",0,($M70-$L70+IF($A70=2,$H70,0))*$N70)</f>
      </c>
      <c r="P70">
        <f>IF($J70="",0,IF($A70=2,$H70*$N70,0))</f>
      </c>
    </row>
    <row r="71" spans="1:16" ht="15" customHeight="1" x14ac:dyDescent="0.15">
      <c r="A71" s="244"/>
      <c r="B71" s="245"/>
      <c r="C71" s="245"/>
      <c r="D71" s="246"/>
      <c r="E71" s="245"/>
      <c r="F71" s="247"/>
      <c r="G71" s="248"/>
      <c r="H71" s="247"/>
      <c r="I71" s="245"/>
      <c r="J71" s="249">
        <f>IF(OR(B71="",C71="",E71=""),"",B71&amp;":"&amp;C71&amp;":"&amp;E71)</f>
      </c>
      <c r="K71" s="250">
        <f>IF(A71="","",A71*D71)</f>
      </c>
      <c r="L71" s="249">
        <f>IF(A71="","",IF(OR(A71=1,A71=0),H71,0))</f>
      </c>
      <c r="M71" s="249">
        <f>IF(A71="","",IF(A71=-1,H71,0))</f>
      </c>
      <c r="N71">
        <f>IF($E71="SGD",1,IF($E71="USD",Settings!$B$22,IF($E71="HKD",Settings!$B$23,1)))</f>
      </c>
      <c r="O71">
        <f>IF($J71="",0,($M71-$L71+IF($A71=2,$H71,0))*$N71)</f>
      </c>
      <c r="P71">
        <f>IF($J71="",0,IF($A71=2,$H71*$N71,0))</f>
      </c>
    </row>
    <row r="72" spans="1:16" ht="15" customHeight="1" x14ac:dyDescent="0.15">
      <c r="A72" s="244"/>
      <c r="B72" s="245"/>
      <c r="C72" s="245"/>
      <c r="D72" s="246"/>
      <c r="E72" s="245"/>
      <c r="F72" s="247"/>
      <c r="G72" s="248"/>
      <c r="H72" s="247"/>
      <c r="I72" s="245"/>
      <c r="J72" s="249">
        <f>IF(OR(B72="",C72="",E72=""),"",B72&amp;":"&amp;C72&amp;":"&amp;E72)</f>
      </c>
      <c r="K72" s="250">
        <f>IF(A72="","",A72*D72)</f>
      </c>
      <c r="L72" s="249">
        <f>IF(A72="","",IF(OR(A72=1,A72=0),H72,0))</f>
      </c>
      <c r="M72" s="249">
        <f>IF(A72="","",IF(A72=-1,H72,0))</f>
      </c>
      <c r="N72">
        <f>IF($E72="SGD",1,IF($E72="USD",Settings!$B$22,IF($E72="HKD",Settings!$B$23,1)))</f>
      </c>
      <c r="O72">
        <f>IF($J72="",0,($M72-$L72+IF($A72=2,$H72,0))*$N72)</f>
      </c>
      <c r="P72">
        <f>IF($J72="",0,IF($A72=2,$H72*$N72,0))</f>
      </c>
    </row>
    <row r="73" spans="1:16" ht="15" customHeight="1" x14ac:dyDescent="0.15">
      <c r="A73" s="244"/>
      <c r="B73" s="245"/>
      <c r="C73" s="245"/>
      <c r="D73" s="246"/>
      <c r="E73" s="245"/>
      <c r="F73" s="247"/>
      <c r="G73" s="248"/>
      <c r="H73" s="247"/>
      <c r="I73" s="245"/>
      <c r="J73" s="249">
        <f>IF(OR(B73="",C73="",E73=""),"",B73&amp;":"&amp;C73&amp;":"&amp;E73)</f>
      </c>
      <c r="K73" s="250">
        <f>IF(A73="","",A73*D73)</f>
      </c>
      <c r="L73" s="249">
        <f>IF(A73="","",IF(OR(A73=1,A73=0),H73,0))</f>
      </c>
      <c r="M73" s="249">
        <f>IF(A73="","",IF(A73=-1,H73,0))</f>
      </c>
      <c r="N73">
        <f>IF($E73="SGD",1,IF($E73="USD",Settings!$B$22,IF($E73="HKD",Settings!$B$23,1)))</f>
      </c>
      <c r="O73">
        <f>IF($J73="",0,($M73-$L73+IF($A73=2,$H73,0))*$N73)</f>
      </c>
      <c r="P73">
        <f>IF($J73="",0,IF($A73=2,$H73*$N73,0))</f>
      </c>
    </row>
    <row r="74" spans="1:16" ht="15" customHeight="1" x14ac:dyDescent="0.15">
      <c r="A74" s="244"/>
      <c r="B74" s="245"/>
      <c r="C74" s="245"/>
      <c r="D74" s="246"/>
      <c r="E74" s="245"/>
      <c r="F74" s="247"/>
      <c r="G74" s="248"/>
      <c r="H74" s="247"/>
      <c r="I74" s="245"/>
      <c r="J74" s="249">
        <f>IF(OR(B74="",C74="",E74=""),"",B74&amp;":"&amp;C74&amp;":"&amp;E74)</f>
      </c>
      <c r="K74" s="250">
        <f>IF(A74="","",A74*D74)</f>
      </c>
      <c r="L74" s="249">
        <f>IF(A74="","",IF(OR(A74=1,A74=0),H74,0))</f>
      </c>
      <c r="M74" s="249">
        <f>IF(A74="","",IF(A74=-1,H74,0))</f>
      </c>
      <c r="N74">
        <f>IF($E74="SGD",1,IF($E74="USD",Settings!$B$22,IF($E74="HKD",Settings!$B$23,1)))</f>
      </c>
      <c r="O74">
        <f>IF($J74="",0,($M74-$L74+IF($A74=2,$H74,0))*$N74)</f>
      </c>
      <c r="P74">
        <f>IF($J74="",0,IF($A74=2,$H74*$N74,0))</f>
      </c>
    </row>
    <row r="75" spans="1:16" ht="15" customHeight="1" x14ac:dyDescent="0.15">
      <c r="A75" s="244"/>
      <c r="B75" s="245"/>
      <c r="C75" s="245"/>
      <c r="D75" s="246"/>
      <c r="E75" s="245"/>
      <c r="F75" s="247"/>
      <c r="G75" s="248"/>
      <c r="H75" s="247"/>
      <c r="I75" s="245"/>
      <c r="J75" s="249">
        <f>IF(OR(B75="",C75="",E75=""),"",B75&amp;":"&amp;C75&amp;":"&amp;E75)</f>
      </c>
      <c r="K75" s="250">
        <f>IF(A75="","",A75*D75)</f>
      </c>
      <c r="L75" s="249">
        <f>IF(A75="","",IF(OR(A75=1,A75=0),H75,0))</f>
      </c>
      <c r="M75" s="249">
        <f>IF(A75="","",IF(A75=-1,H75,0))</f>
      </c>
      <c r="N75">
        <f>IF($E75="SGD",1,IF($E75="USD",Settings!$B$22,IF($E75="HKD",Settings!$B$23,1)))</f>
      </c>
      <c r="O75">
        <f>IF($J75="",0,($M75-$L75+IF($A75=2,$H75,0))*$N75)</f>
      </c>
      <c r="P75">
        <f>IF($J75="",0,IF($A75=2,$H75*$N75,0))</f>
      </c>
    </row>
    <row r="76" spans="1:16" ht="15" customHeight="1" x14ac:dyDescent="0.15">
      <c r="A76" s="244"/>
      <c r="B76" s="245"/>
      <c r="C76" s="245"/>
      <c r="D76" s="246"/>
      <c r="E76" s="245"/>
      <c r="F76" s="247"/>
      <c r="G76" s="248"/>
      <c r="H76" s="247"/>
      <c r="I76" s="245"/>
      <c r="J76" s="249">
        <f>IF(OR(B76="",C76="",E76=""),"",B76&amp;":"&amp;C76&amp;":"&amp;E76)</f>
      </c>
      <c r="K76" s="250">
        <f>IF(A76="","",A76*D76)</f>
      </c>
      <c r="L76" s="249">
        <f>IF(A76="","",IF(OR(A76=1,A76=0),H76,0))</f>
      </c>
      <c r="M76" s="249">
        <f>IF(A76="","",IF(A76=-1,H76,0))</f>
      </c>
      <c r="N76">
        <f>IF($E76="SGD",1,IF($E76="USD",Settings!$B$22,IF($E76="HKD",Settings!$B$23,1)))</f>
      </c>
      <c r="O76">
        <f>IF($J76="",0,($M76-$L76+IF($A76=2,$H76,0))*$N76)</f>
      </c>
      <c r="P76">
        <f>IF($J76="",0,IF($A76=2,$H76*$N76,0))</f>
      </c>
    </row>
    <row r="77" spans="1:16" ht="15" customHeight="1" x14ac:dyDescent="0.15">
      <c r="A77" s="244"/>
      <c r="B77" s="245"/>
      <c r="C77" s="245"/>
      <c r="D77" s="246"/>
      <c r="E77" s="245"/>
      <c r="F77" s="247"/>
      <c r="G77" s="248"/>
      <c r="H77" s="247"/>
      <c r="I77" s="245"/>
      <c r="J77" s="249">
        <f>IF(OR(B77="",C77="",E77=""),"",B77&amp;":"&amp;C77&amp;":"&amp;E77)</f>
      </c>
      <c r="K77" s="250">
        <f>IF(A77="","",A77*D77)</f>
      </c>
      <c r="L77" s="249">
        <f>IF(A77="","",IF(OR(A77=1,A77=0),H77,0))</f>
      </c>
      <c r="M77" s="249">
        <f>IF(A77="","",IF(A77=-1,H77,0))</f>
      </c>
      <c r="N77">
        <f>IF($E77="SGD",1,IF($E77="USD",Settings!$B$22,IF($E77="HKD",Settings!$B$23,1)))</f>
      </c>
      <c r="O77">
        <f>IF($J77="",0,($M77-$L77+IF($A77=2,$H77,0))*$N77)</f>
      </c>
      <c r="P77">
        <f>IF($J77="",0,IF($A77=2,$H77*$N77,0))</f>
      </c>
    </row>
    <row r="78" spans="1:16" ht="15" customHeight="1" x14ac:dyDescent="0.15">
      <c r="A78" s="244"/>
      <c r="B78" s="245"/>
      <c r="C78" s="245"/>
      <c r="D78" s="246"/>
      <c r="E78" s="245"/>
      <c r="F78" s="247"/>
      <c r="G78" s="248"/>
      <c r="H78" s="247"/>
      <c r="I78" s="245"/>
      <c r="J78" s="249">
        <f>IF(OR(B78="",C78="",E78=""),"",B78&amp;":"&amp;C78&amp;":"&amp;E78)</f>
      </c>
      <c r="K78" s="250">
        <f>IF(A78="","",A78*D78)</f>
      </c>
      <c r="L78" s="249">
        <f>IF(A78="","",IF(OR(A78=1,A78=0),H78,0))</f>
      </c>
      <c r="M78" s="249">
        <f>IF(A78="","",IF(A78=-1,H78,0))</f>
      </c>
      <c r="N78">
        <f>IF($E78="SGD",1,IF($E78="USD",Settings!$B$22,IF($E78="HKD",Settings!$B$23,1)))</f>
      </c>
      <c r="O78">
        <f>IF($J78="",0,($M78-$L78+IF($A78=2,$H78,0))*$N78)</f>
      </c>
      <c r="P78">
        <f>IF($J78="",0,IF($A78=2,$H78*$N78,0))</f>
      </c>
    </row>
    <row r="79" spans="1:16" ht="15" customHeight="1" x14ac:dyDescent="0.15">
      <c r="A79" s="244"/>
      <c r="B79" s="245"/>
      <c r="C79" s="245"/>
      <c r="D79" s="246"/>
      <c r="E79" s="245"/>
      <c r="F79" s="247"/>
      <c r="G79" s="248"/>
      <c r="H79" s="247"/>
      <c r="I79" s="245"/>
      <c r="J79" s="249">
        <f>IF(OR(B79="",C79="",E79=""),"",B79&amp;":"&amp;C79&amp;":"&amp;E79)</f>
      </c>
      <c r="K79" s="250">
        <f>IF(A79="","",A79*D79)</f>
      </c>
      <c r="L79" s="249">
        <f>IF(A79="","",IF(OR(A79=1,A79=0),H79,0))</f>
      </c>
      <c r="M79" s="249">
        <f>IF(A79="","",IF(A79=-1,H79,0))</f>
      </c>
      <c r="N79">
        <f>IF($E79="SGD",1,IF($E79="USD",Settings!$B$22,IF($E79="HKD",Settings!$B$23,1)))</f>
      </c>
      <c r="O79">
        <f>IF($J79="",0,($M79-$L79+IF($A79=2,$H79,0))*$N79)</f>
      </c>
      <c r="P79">
        <f>IF($J79="",0,IF($A79=2,$H79*$N79,0))</f>
      </c>
    </row>
    <row r="80" spans="1:16" ht="15" customHeight="1" x14ac:dyDescent="0.15">
      <c r="A80" s="244"/>
      <c r="B80" s="245"/>
      <c r="C80" s="245"/>
      <c r="D80" s="246"/>
      <c r="E80" s="245"/>
      <c r="F80" s="247"/>
      <c r="G80" s="248"/>
      <c r="H80" s="247"/>
      <c r="I80" s="245"/>
      <c r="J80" s="249">
        <f>IF(OR(B80="",C80="",E80=""),"",B80&amp;":"&amp;C80&amp;":"&amp;E80)</f>
      </c>
      <c r="K80" s="250">
        <f>IF(A80="","",A80*D80)</f>
      </c>
      <c r="L80" s="249">
        <f>IF(A80="","",IF(OR(A80=1,A80=0),H80,0))</f>
      </c>
      <c r="M80" s="249">
        <f>IF(A80="","",IF(A80=-1,H80,0))</f>
      </c>
      <c r="N80">
        <f>IF($E80="SGD",1,IF($E80="USD",Settings!$B$22,IF($E80="HKD",Settings!$B$23,1)))</f>
      </c>
      <c r="O80">
        <f>IF($J80="",0,($M80-$L80+IF($A80=2,$H80,0))*$N80)</f>
      </c>
      <c r="P80">
        <f>IF($J80="",0,IF($A80=2,$H80*$N80,0))</f>
      </c>
    </row>
    <row r="81" spans="1:16" ht="15" customHeight="1" x14ac:dyDescent="0.15">
      <c r="A81" s="244"/>
      <c r="B81" s="245"/>
      <c r="C81" s="245"/>
      <c r="D81" s="246"/>
      <c r="E81" s="245"/>
      <c r="F81" s="247"/>
      <c r="G81" s="248"/>
      <c r="H81" s="247"/>
      <c r="I81" s="245"/>
      <c r="J81" s="249">
        <f>IF(OR(B81="",C81="",E81=""),"",B81&amp;":"&amp;C81&amp;":"&amp;E81)</f>
      </c>
      <c r="K81" s="250">
        <f>IF(A81="","",A81*D81)</f>
      </c>
      <c r="L81" s="249">
        <f>IF(A81="","",IF(OR(A81=1,A81=0),H81,0))</f>
      </c>
      <c r="M81" s="249">
        <f>IF(A81="","",IF(A81=-1,H81,0))</f>
      </c>
      <c r="N81">
        <f>IF($E81="SGD",1,IF($E81="USD",Settings!$B$22,IF($E81="HKD",Settings!$B$23,1)))</f>
      </c>
      <c r="O81">
        <f>IF($J81="",0,($M81-$L81+IF($A81=2,$H81,0))*$N81)</f>
      </c>
      <c r="P81">
        <f>IF($J81="",0,IF($A81=2,$H81*$N81,0))</f>
      </c>
    </row>
    <row r="82" spans="1:16" ht="15" customHeight="1" x14ac:dyDescent="0.15">
      <c r="A82" s="244"/>
      <c r="B82" s="245"/>
      <c r="C82" s="245"/>
      <c r="D82" s="246"/>
      <c r="E82" s="245"/>
      <c r="F82" s="247"/>
      <c r="G82" s="248"/>
      <c r="H82" s="247"/>
      <c r="I82" s="245"/>
      <c r="J82" s="249">
        <f>IF(OR(B82="",C82="",E82=""),"",B82&amp;":"&amp;C82&amp;":"&amp;E82)</f>
      </c>
      <c r="K82" s="250">
        <f>IF(A82="","",A82*D82)</f>
      </c>
      <c r="L82" s="249">
        <f>IF(A82="","",IF(OR(A82=1,A82=0),H82,0))</f>
      </c>
      <c r="M82" s="249">
        <f>IF(A82="","",IF(A82=-1,H82,0))</f>
      </c>
      <c r="N82">
        <f>IF($E82="SGD",1,IF($E82="USD",Settings!$B$22,IF($E82="HKD",Settings!$B$23,1)))</f>
      </c>
      <c r="O82">
        <f>IF($J82="",0,($M82-$L82+IF($A82=2,$H82,0))*$N82)</f>
      </c>
      <c r="P82">
        <f>IF($J82="",0,IF($A82=2,$H82*$N82,0))</f>
      </c>
    </row>
    <row r="83" spans="1:16" ht="15" customHeight="1" x14ac:dyDescent="0.15">
      <c r="A83" s="244"/>
      <c r="B83" s="245"/>
      <c r="C83" s="245"/>
      <c r="D83" s="246"/>
      <c r="E83" s="245"/>
      <c r="F83" s="247"/>
      <c r="G83" s="248"/>
      <c r="H83" s="247"/>
      <c r="I83" s="245"/>
      <c r="J83" s="249">
        <f>IF(OR(B83="",C83="",E83=""),"",B83&amp;":"&amp;C83&amp;":"&amp;E83)</f>
      </c>
      <c r="K83" s="250">
        <f>IF(A83="","",A83*D83)</f>
      </c>
      <c r="L83" s="249">
        <f>IF(A83="","",IF(OR(A83=1,A83=0),H83,0))</f>
      </c>
      <c r="M83" s="249">
        <f>IF(A83="","",IF(A83=-1,H83,0))</f>
      </c>
      <c r="N83">
        <f>IF($E83="SGD",1,IF($E83="USD",Settings!$B$22,IF($E83="HKD",Settings!$B$23,1)))</f>
      </c>
      <c r="O83">
        <f>IF($J83="",0,($M83-$L83+IF($A83=2,$H83,0))*$N83)</f>
      </c>
      <c r="P83">
        <f>IF($J83="",0,IF($A83=2,$H83*$N83,0))</f>
      </c>
    </row>
    <row r="84" spans="1:16" ht="15" customHeight="1" x14ac:dyDescent="0.15">
      <c r="A84" s="244"/>
      <c r="B84" s="245"/>
      <c r="C84" s="245"/>
      <c r="D84" s="246"/>
      <c r="E84" s="245"/>
      <c r="F84" s="247"/>
      <c r="G84" s="248"/>
      <c r="H84" s="247"/>
      <c r="I84" s="245"/>
      <c r="J84" s="249">
        <f>IF(OR(B84="",C84="",E84=""),"",B84&amp;":"&amp;C84&amp;":"&amp;E84)</f>
      </c>
      <c r="K84" s="250">
        <f>IF(A84="","",A84*D84)</f>
      </c>
      <c r="L84" s="249">
        <f>IF(A84="","",IF(OR(A84=1,A84=0),H84,0))</f>
      </c>
      <c r="M84" s="249">
        <f>IF(A84="","",IF(A84=-1,H84,0))</f>
      </c>
      <c r="N84">
        <f>IF($E84="SGD",1,IF($E84="USD",Settings!$B$22,IF($E84="HKD",Settings!$B$23,1)))</f>
      </c>
      <c r="O84">
        <f>IF($J84="",0,($M84-$L84+IF($A84=2,$H84,0))*$N84)</f>
      </c>
      <c r="P84">
        <f>IF($J84="",0,IF($A84=2,$H84*$N84,0))</f>
      </c>
    </row>
    <row r="85" spans="1:16" ht="15" customHeight="1" x14ac:dyDescent="0.15">
      <c r="A85" s="244"/>
      <c r="B85" s="245"/>
      <c r="C85" s="245"/>
      <c r="D85" s="246"/>
      <c r="E85" s="245"/>
      <c r="F85" s="247"/>
      <c r="G85" s="248"/>
      <c r="H85" s="247"/>
      <c r="I85" s="245"/>
      <c r="J85" s="249">
        <f>IF(OR(B85="",C85="",E85=""),"",B85&amp;":"&amp;C85&amp;":"&amp;E85)</f>
      </c>
      <c r="K85" s="250">
        <f>IF(A85="","",A85*D85)</f>
      </c>
      <c r="L85" s="249">
        <f>IF(A85="","",IF(OR(A85=1,A85=0),H85,0))</f>
      </c>
      <c r="M85" s="249">
        <f>IF(A85="","",IF(A85=-1,H85,0))</f>
      </c>
      <c r="N85">
        <f>IF($E85="SGD",1,IF($E85="USD",Settings!$B$22,IF($E85="HKD",Settings!$B$23,1)))</f>
      </c>
      <c r="O85">
        <f>IF($J85="",0,($M85-$L85+IF($A85=2,$H85,0))*$N85)</f>
      </c>
      <c r="P85">
        <f>IF($J85="",0,IF($A85=2,$H85*$N85,0))</f>
      </c>
    </row>
    <row r="86" spans="1:16" ht="15" customHeight="1" x14ac:dyDescent="0.15">
      <c r="A86" s="244"/>
      <c r="B86" s="245"/>
      <c r="C86" s="245"/>
      <c r="D86" s="246"/>
      <c r="E86" s="245"/>
      <c r="F86" s="247"/>
      <c r="G86" s="248"/>
      <c r="H86" s="247"/>
      <c r="I86" s="245"/>
      <c r="J86" s="249">
        <f>IF(OR(B86="",C86="",E86=""),"",B86&amp;":"&amp;C86&amp;":"&amp;E86)</f>
      </c>
      <c r="K86" s="250">
        <f>IF(A86="","",A86*D86)</f>
      </c>
      <c r="L86" s="249">
        <f>IF(A86="","",IF(OR(A86=1,A86=0),H86,0))</f>
      </c>
      <c r="M86" s="249">
        <f>IF(A86="","",IF(A86=-1,H86,0))</f>
      </c>
      <c r="N86">
        <f>IF($E86="SGD",1,IF($E86="USD",Settings!$B$22,IF($E86="HKD",Settings!$B$23,1)))</f>
      </c>
      <c r="O86">
        <f>IF($J86="",0,($M86-$L86+IF($A86=2,$H86,0))*$N86)</f>
      </c>
      <c r="P86">
        <f>IF($J86="",0,IF($A86=2,$H86*$N86,0))</f>
      </c>
    </row>
    <row r="87" spans="1:16" ht="15" customHeight="1" x14ac:dyDescent="0.15">
      <c r="A87" s="244"/>
      <c r="B87" s="245"/>
      <c r="C87" s="245"/>
      <c r="D87" s="246"/>
      <c r="E87" s="245"/>
      <c r="F87" s="247"/>
      <c r="G87" s="248"/>
      <c r="H87" s="247"/>
      <c r="I87" s="245"/>
      <c r="J87" s="249">
        <f>IF(OR(B87="",C87="",E87=""),"",B87&amp;":"&amp;C87&amp;":"&amp;E87)</f>
      </c>
      <c r="K87" s="250">
        <f>IF(A87="","",A87*D87)</f>
      </c>
      <c r="L87" s="249">
        <f>IF(A87="","",IF(OR(A87=1,A87=0),H87,0))</f>
      </c>
      <c r="M87" s="249">
        <f>IF(A87="","",IF(A87=-1,H87,0))</f>
      </c>
      <c r="N87">
        <f>IF($E87="SGD",1,IF($E87="USD",Settings!$B$22,IF($E87="HKD",Settings!$B$23,1)))</f>
      </c>
      <c r="O87">
        <f>IF($J87="",0,($M87-$L87+IF($A87=2,$H87,0))*$N87)</f>
      </c>
      <c r="P87">
        <f>IF($J87="",0,IF($A87=2,$H87*$N87,0))</f>
      </c>
    </row>
    <row r="88" spans="1:16" ht="15" customHeight="1" x14ac:dyDescent="0.15">
      <c r="A88" s="244"/>
      <c r="B88" s="245"/>
      <c r="C88" s="245"/>
      <c r="D88" s="246"/>
      <c r="E88" s="245"/>
      <c r="F88" s="247"/>
      <c r="G88" s="248"/>
      <c r="H88" s="247"/>
      <c r="I88" s="245"/>
      <c r="J88" s="249">
        <f>IF(OR(B88="",C88="",E88=""),"",B88&amp;":"&amp;C88&amp;":"&amp;E88)</f>
      </c>
      <c r="K88" s="250">
        <f>IF(A88="","",A88*D88)</f>
      </c>
      <c r="L88" s="249">
        <f>IF(A88="","",IF(OR(A88=1,A88=0),H88,0))</f>
      </c>
      <c r="M88" s="249">
        <f>IF(A88="","",IF(A88=-1,H88,0))</f>
      </c>
      <c r="N88">
        <f>IF($E88="SGD",1,IF($E88="USD",Settings!$B$22,IF($E88="HKD",Settings!$B$23,1)))</f>
      </c>
      <c r="O88">
        <f>IF($J88="",0,($M88-$L88+IF($A88=2,$H88,0))*$N88)</f>
      </c>
      <c r="P88">
        <f>IF($J88="",0,IF($A88=2,$H88*$N88,0))</f>
      </c>
    </row>
    <row r="89" spans="1:16" ht="15" customHeight="1" x14ac:dyDescent="0.15">
      <c r="A89" s="244"/>
      <c r="B89" s="245"/>
      <c r="C89" s="245"/>
      <c r="D89" s="246"/>
      <c r="E89" s="245"/>
      <c r="F89" s="247"/>
      <c r="G89" s="248"/>
      <c r="H89" s="247"/>
      <c r="I89" s="245"/>
      <c r="J89" s="249">
        <f>IF(OR(B89="",C89="",E89=""),"",B89&amp;":"&amp;C89&amp;":"&amp;E89)</f>
      </c>
      <c r="K89" s="250">
        <f>IF(A89="","",A89*D89)</f>
      </c>
      <c r="L89" s="249">
        <f>IF(A89="","",IF(OR(A89=1,A89=0),H89,0))</f>
      </c>
      <c r="M89" s="249">
        <f>IF(A89="","",IF(A89=-1,H89,0))</f>
      </c>
      <c r="N89">
        <f>IF($E89="SGD",1,IF($E89="USD",Settings!$B$22,IF($E89="HKD",Settings!$B$23,1)))</f>
      </c>
      <c r="O89">
        <f>IF($J89="",0,($M89-$L89+IF($A89=2,$H89,0))*$N89)</f>
      </c>
      <c r="P89">
        <f>IF($J89="",0,IF($A89=2,$H89*$N89,0))</f>
      </c>
    </row>
    <row r="90" spans="1:16" ht="15" customHeight="1" x14ac:dyDescent="0.15">
      <c r="A90" s="244"/>
      <c r="B90" s="245"/>
      <c r="C90" s="245"/>
      <c r="D90" s="246"/>
      <c r="E90" s="245"/>
      <c r="F90" s="247"/>
      <c r="G90" s="248"/>
      <c r="H90" s="247"/>
      <c r="I90" s="245"/>
      <c r="J90" s="249">
        <f>IF(OR(B90="",C90="",E90=""),"",B90&amp;":"&amp;C90&amp;":"&amp;E90)</f>
      </c>
      <c r="K90" s="250">
        <f>IF(A90="","",A90*D90)</f>
      </c>
      <c r="L90" s="249">
        <f>IF(A90="","",IF(OR(A90=1,A90=0),H90,0))</f>
      </c>
      <c r="M90" s="249">
        <f>IF(A90="","",IF(A90=-1,H90,0))</f>
      </c>
      <c r="N90">
        <f>IF($E90="SGD",1,IF($E90="USD",Settings!$B$22,IF($E90="HKD",Settings!$B$23,1)))</f>
      </c>
      <c r="O90">
        <f>IF($J90="",0,($M90-$L90+IF($A90=2,$H90,0))*$N90)</f>
      </c>
      <c r="P90">
        <f>IF($J90="",0,IF($A90=2,$H90*$N90,0))</f>
      </c>
    </row>
    <row r="91" spans="1:16" ht="15" customHeight="1" x14ac:dyDescent="0.15">
      <c r="A91" s="244"/>
      <c r="B91" s="245"/>
      <c r="C91" s="245"/>
      <c r="D91" s="246"/>
      <c r="E91" s="245"/>
      <c r="F91" s="247"/>
      <c r="G91" s="248"/>
      <c r="H91" s="247"/>
      <c r="I91" s="245"/>
      <c r="J91" s="249">
        <f>IF(OR(B91="",C91="",E91=""),"",B91&amp;":"&amp;C91&amp;":"&amp;E91)</f>
      </c>
      <c r="K91" s="250">
        <f>IF(A91="","",A91*D91)</f>
      </c>
      <c r="L91" s="249">
        <f>IF(A91="","",IF(OR(A91=1,A91=0),H91,0))</f>
      </c>
      <c r="M91" s="249">
        <f>IF(A91="","",IF(A91=-1,H91,0))</f>
      </c>
      <c r="N91">
        <f>IF($E91="SGD",1,IF($E91="USD",Settings!$B$22,IF($E91="HKD",Settings!$B$23,1)))</f>
      </c>
      <c r="O91">
        <f>IF($J91="",0,($M91-$L91+IF($A91=2,$H91,0))*$N91)</f>
      </c>
      <c r="P91">
        <f>IF($J91="",0,IF($A91=2,$H91*$N91,0))</f>
      </c>
    </row>
    <row r="92" spans="1:16" ht="15" customHeight="1" x14ac:dyDescent="0.15">
      <c r="A92" s="244"/>
      <c r="B92" s="245"/>
      <c r="C92" s="245"/>
      <c r="D92" s="246"/>
      <c r="E92" s="245"/>
      <c r="F92" s="247"/>
      <c r="G92" s="248"/>
      <c r="H92" s="247"/>
      <c r="I92" s="245"/>
      <c r="J92" s="249">
        <f>IF(OR(B92="",C92="",E92=""),"",B92&amp;":"&amp;C92&amp;":"&amp;E92)</f>
      </c>
      <c r="K92" s="250">
        <f>IF(A92="","",A92*D92)</f>
      </c>
      <c r="L92" s="249">
        <f>IF(A92="","",IF(OR(A92=1,A92=0),H92,0))</f>
      </c>
      <c r="M92" s="249">
        <f>IF(A92="","",IF(A92=-1,H92,0))</f>
      </c>
      <c r="N92">
        <f>IF($E92="SGD",1,IF($E92="USD",Settings!$B$22,IF($E92="HKD",Settings!$B$23,1)))</f>
      </c>
      <c r="O92">
        <f>IF($J92="",0,($M92-$L92+IF($A92=2,$H92,0))*$N92)</f>
      </c>
      <c r="P92">
        <f>IF($J92="",0,IF($A92=2,$H92*$N92,0))</f>
      </c>
    </row>
    <row r="93" spans="1:16" ht="15" customHeight="1" x14ac:dyDescent="0.15">
      <c r="A93" s="244"/>
      <c r="B93" s="245"/>
      <c r="C93" s="245"/>
      <c r="D93" s="246"/>
      <c r="E93" s="245"/>
      <c r="F93" s="247"/>
      <c r="G93" s="248"/>
      <c r="H93" s="247"/>
      <c r="I93" s="245"/>
      <c r="J93" s="249">
        <f>IF(OR(B93="",C93="",E93=""),"",B93&amp;":"&amp;C93&amp;":"&amp;E93)</f>
      </c>
      <c r="K93" s="250">
        <f>IF(A93="","",A93*D93)</f>
      </c>
      <c r="L93" s="249">
        <f>IF(A93="","",IF(OR(A93=1,A93=0),H93,0))</f>
      </c>
      <c r="M93" s="249">
        <f>IF(A93="","",IF(A93=-1,H93,0))</f>
      </c>
      <c r="N93">
        <f>IF($E93="SGD",1,IF($E93="USD",Settings!$B$22,IF($E93="HKD",Settings!$B$23,1)))</f>
      </c>
      <c r="O93">
        <f>IF($J93="",0,($M93-$L93+IF($A93=2,$H93,0))*$N93)</f>
      </c>
      <c r="P93">
        <f>IF($J93="",0,IF($A93=2,$H93*$N93,0))</f>
      </c>
    </row>
    <row r="94" spans="1:16" ht="15" customHeight="1" x14ac:dyDescent="0.15">
      <c r="A94" s="244"/>
      <c r="B94" s="245"/>
      <c r="C94" s="245"/>
      <c r="D94" s="246"/>
      <c r="E94" s="245"/>
      <c r="F94" s="247"/>
      <c r="G94" s="248"/>
      <c r="H94" s="247"/>
      <c r="I94" s="245"/>
      <c r="J94" s="249">
        <f>IF(OR(B94="",C94="",E94=""),"",B94&amp;":"&amp;C94&amp;":"&amp;E94)</f>
      </c>
      <c r="K94" s="250">
        <f>IF(A94="","",A94*D94)</f>
      </c>
      <c r="L94" s="249">
        <f>IF(A94="","",IF(OR(A94=1,A94=0),H94,0))</f>
      </c>
      <c r="M94" s="249">
        <f>IF(A94="","",IF(A94=-1,H94,0))</f>
      </c>
      <c r="N94">
        <f>IF($E94="SGD",1,IF($E94="USD",Settings!$B$22,IF($E94="HKD",Settings!$B$23,1)))</f>
      </c>
      <c r="O94">
        <f>IF($J94="",0,($M94-$L94+IF($A94=2,$H94,0))*$N94)</f>
      </c>
      <c r="P94">
        <f>IF($J94="",0,IF($A94=2,$H94*$N94,0))</f>
      </c>
    </row>
    <row r="95" spans="1:16" ht="15" customHeight="1" x14ac:dyDescent="0.15">
      <c r="A95" s="244"/>
      <c r="B95" s="245"/>
      <c r="C95" s="245"/>
      <c r="D95" s="246"/>
      <c r="E95" s="245"/>
      <c r="F95" s="247"/>
      <c r="G95" s="248"/>
      <c r="H95" s="247"/>
      <c r="I95" s="245"/>
      <c r="J95" s="249">
        <f>IF(OR(B95="",C95="",E95=""),"",B95&amp;":"&amp;C95&amp;":"&amp;E95)</f>
      </c>
      <c r="K95" s="250">
        <f>IF(A95="","",A95*D95)</f>
      </c>
      <c r="L95" s="249">
        <f>IF(A95="","",IF(OR(A95=1,A95=0),H95,0))</f>
      </c>
      <c r="M95" s="249">
        <f>IF(A95="","",IF(A95=-1,H95,0))</f>
      </c>
      <c r="N95">
        <f>IF($E95="SGD",1,IF($E95="USD",Settings!$B$22,IF($E95="HKD",Settings!$B$23,1)))</f>
      </c>
      <c r="O95">
        <f>IF($J95="",0,($M95-$L95+IF($A95=2,$H95,0))*$N95)</f>
      </c>
      <c r="P95">
        <f>IF($J95="",0,IF($A95=2,$H95*$N95,0))</f>
      </c>
    </row>
    <row r="96" spans="1:16" ht="15" customHeight="1" x14ac:dyDescent="0.15">
      <c r="A96" s="244"/>
      <c r="B96" s="245"/>
      <c r="C96" s="245"/>
      <c r="D96" s="246"/>
      <c r="E96" s="245"/>
      <c r="F96" s="247"/>
      <c r="G96" s="248"/>
      <c r="H96" s="247"/>
      <c r="I96" s="245"/>
      <c r="J96" s="249">
        <f>IF(OR(B96="",C96="",E96=""),"",B96&amp;":"&amp;C96&amp;":"&amp;E96)</f>
      </c>
      <c r="K96" s="250">
        <f>IF(A96="","",A96*D96)</f>
      </c>
      <c r="L96" s="249">
        <f>IF(A96="","",IF(OR(A96=1,A96=0),H96,0))</f>
      </c>
      <c r="M96" s="249">
        <f>IF(A96="","",IF(A96=-1,H96,0))</f>
      </c>
      <c r="N96">
        <f>IF($E96="SGD",1,IF($E96="USD",Settings!$B$22,IF($E96="HKD",Settings!$B$23,1)))</f>
      </c>
      <c r="O96">
        <f>IF($J96="",0,($M96-$L96+IF($A96=2,$H96,0))*$N96)</f>
      </c>
      <c r="P96">
        <f>IF($J96="",0,IF($A96=2,$H96*$N96,0))</f>
      </c>
    </row>
    <row r="97" spans="1:16" ht="15" customHeight="1" x14ac:dyDescent="0.15">
      <c r="A97" s="244"/>
      <c r="B97" s="245"/>
      <c r="C97" s="245"/>
      <c r="D97" s="246"/>
      <c r="E97" s="245"/>
      <c r="F97" s="247"/>
      <c r="G97" s="248"/>
      <c r="H97" s="247"/>
      <c r="I97" s="245"/>
      <c r="J97" s="249">
        <f>IF(OR(B97="",C97="",E97=""),"",B97&amp;":"&amp;C97&amp;":"&amp;E97)</f>
      </c>
      <c r="K97" s="250">
        <f>IF(A97="","",A97*D97)</f>
      </c>
      <c r="L97" s="249">
        <f>IF(A97="","",IF(OR(A97=1,A97=0),H97,0))</f>
      </c>
      <c r="M97" s="249">
        <f>IF(A97="","",IF(A97=-1,H97,0))</f>
      </c>
      <c r="N97">
        <f>IF($E97="SGD",1,IF($E97="USD",Settings!$B$22,IF($E97="HKD",Settings!$B$23,1)))</f>
      </c>
      <c r="O97">
        <f>IF($J97="",0,($M97-$L97+IF($A97=2,$H97,0))*$N97)</f>
      </c>
      <c r="P97">
        <f>IF($J97="",0,IF($A97=2,$H97*$N97,0))</f>
      </c>
    </row>
    <row r="98" spans="1:16" ht="15" customHeight="1" x14ac:dyDescent="0.15">
      <c r="A98" s="244"/>
      <c r="B98" s="245"/>
      <c r="C98" s="245"/>
      <c r="D98" s="246"/>
      <c r="E98" s="245"/>
      <c r="F98" s="247"/>
      <c r="G98" s="248"/>
      <c r="H98" s="247"/>
      <c r="I98" s="245"/>
      <c r="J98" s="249">
        <f>IF(OR(B98="",C98="",E98=""),"",B98&amp;":"&amp;C98&amp;":"&amp;E98)</f>
      </c>
      <c r="K98" s="250">
        <f>IF(A98="","",A98*D98)</f>
      </c>
      <c r="L98" s="249">
        <f>IF(A98="","",IF(OR(A98=1,A98=0),H98,0))</f>
      </c>
      <c r="M98" s="249">
        <f>IF(A98="","",IF(A98=-1,H98,0))</f>
      </c>
      <c r="N98">
        <f>IF($E98="SGD",1,IF($E98="USD",Settings!$B$22,IF($E98="HKD",Settings!$B$23,1)))</f>
      </c>
      <c r="O98">
        <f>IF($J98="",0,($M98-$L98+IF($A98=2,$H98,0))*$N98)</f>
      </c>
      <c r="P98">
        <f>IF($J98="",0,IF($A98=2,$H98*$N98,0))</f>
      </c>
    </row>
    <row r="99" spans="1:16" ht="15" customHeight="1" x14ac:dyDescent="0.15">
      <c r="A99" s="244"/>
      <c r="B99" s="245"/>
      <c r="C99" s="245"/>
      <c r="D99" s="246"/>
      <c r="E99" s="245"/>
      <c r="F99" s="247"/>
      <c r="G99" s="248"/>
      <c r="H99" s="247"/>
      <c r="I99" s="245"/>
      <c r="J99" s="249">
        <f>IF(OR(B99="",C99="",E99=""),"",B99&amp;":"&amp;C99&amp;":"&amp;E99)</f>
      </c>
      <c r="K99" s="250">
        <f>IF(A99="","",A99*D99)</f>
      </c>
      <c r="L99" s="249">
        <f>IF(A99="","",IF(OR(A99=1,A99=0),H99,0))</f>
      </c>
      <c r="M99" s="249">
        <f>IF(A99="","",IF(A99=-1,H99,0))</f>
      </c>
      <c r="N99">
        <f>IF($E99="SGD",1,IF($E99="USD",Settings!$B$22,IF($E99="HKD",Settings!$B$23,1)))</f>
      </c>
      <c r="O99">
        <f>IF($J99="",0,($M99-$L99+IF($A99=2,$H99,0))*$N99)</f>
      </c>
      <c r="P99">
        <f>IF($J99="",0,IF($A99=2,$H99*$N99,0))</f>
      </c>
    </row>
    <row r="100" spans="1:16" ht="15" customHeight="1" x14ac:dyDescent="0.15">
      <c r="A100" s="244"/>
      <c r="B100" s="245"/>
      <c r="C100" s="245"/>
      <c r="D100" s="246"/>
      <c r="E100" s="245"/>
      <c r="F100" s="247"/>
      <c r="G100" s="248"/>
      <c r="H100" s="247"/>
      <c r="I100" s="245"/>
      <c r="J100" s="249">
        <f>IF(OR(B100="",C100="",E100=""),"",B100&amp;":"&amp;C100&amp;":"&amp;E100)</f>
      </c>
      <c r="K100" s="250">
        <f>IF(A100="","",A100*D100)</f>
      </c>
      <c r="L100" s="249">
        <f>IF(A100="","",IF(OR(A100=1,A100=0),H100,0))</f>
      </c>
      <c r="M100" s="249">
        <f>IF(A100="","",IF(A100=-1,H100,0))</f>
      </c>
      <c r="N100">
        <f>IF($E100="SGD",1,IF($E100="USD",Settings!$B$22,IF($E100="HKD",Settings!$B$23,1)))</f>
      </c>
      <c r="O100">
        <f>IF($J100="",0,($M100-$L100+IF($A100=2,$H100,0))*$N100)</f>
      </c>
      <c r="P100">
        <f>IF($J100="",0,IF($A100=2,$H100*$N100,0))</f>
      </c>
    </row>
    <row r="101" spans="1:16" ht="15" customHeight="1" x14ac:dyDescent="0.15">
      <c r="A101" s="244"/>
      <c r="B101" s="245"/>
      <c r="C101" s="245"/>
      <c r="D101" s="246"/>
      <c r="E101" s="245"/>
      <c r="F101" s="247"/>
      <c r="G101" s="248"/>
      <c r="H101" s="247"/>
      <c r="I101" s="245"/>
      <c r="J101" s="249">
        <f>IF(OR(B101="",C101="",E101=""),"",B101&amp;":"&amp;C101&amp;":"&amp;E101)</f>
      </c>
      <c r="K101" s="250">
        <f>IF(A101="","",A101*D101)</f>
      </c>
      <c r="L101" s="249">
        <f>IF(A101="","",IF(OR(A101=1,A101=0),H101,0))</f>
      </c>
      <c r="M101" s="249">
        <f>IF(A101="","",IF(A101=-1,H101,0))</f>
      </c>
      <c r="N101">
        <f>IF($E101="SGD",1,IF($E101="USD",Settings!$B$22,IF($E101="HKD",Settings!$B$23,1)))</f>
      </c>
      <c r="O101">
        <f>IF($J101="",0,($M101-$L101+IF($A101=2,$H101,0))*$N101)</f>
      </c>
      <c r="P101">
        <f>IF($J101="",0,IF($A101=2,$H101*$N101,0))</f>
      </c>
    </row>
    <row r="102" spans="1:16" ht="15" customHeight="1" x14ac:dyDescent="0.15">
      <c r="A102" s="244"/>
      <c r="B102" s="245"/>
      <c r="C102" s="245"/>
      <c r="D102" s="246"/>
      <c r="E102" s="245"/>
      <c r="F102" s="247"/>
      <c r="G102" s="248"/>
      <c r="H102" s="247"/>
      <c r="I102" s="245"/>
      <c r="J102" s="249">
        <f>IF(OR(B102="",C102="",E102=""),"",B102&amp;":"&amp;C102&amp;":"&amp;E102)</f>
      </c>
      <c r="K102" s="250">
        <f>IF(A102="","",A102*D102)</f>
      </c>
      <c r="L102" s="249">
        <f>IF(A102="","",IF(OR(A102=1,A102=0),H102,0))</f>
      </c>
      <c r="M102" s="249">
        <f>IF(A102="","",IF(A102=-1,H102,0))</f>
      </c>
      <c r="N102">
        <f>IF($E102="SGD",1,IF($E102="USD",Settings!$B$22,IF($E102="HKD",Settings!$B$23,1)))</f>
      </c>
      <c r="O102">
        <f>IF($J102="",0,($M102-$L102+IF($A102=2,$H102,0))*$N102)</f>
      </c>
      <c r="P102">
        <f>IF($J102="",0,IF($A102=2,$H102*$N102,0))</f>
      </c>
    </row>
    <row r="103" spans="1:16" ht="15" customHeight="1" x14ac:dyDescent="0.15">
      <c r="A103" s="244"/>
      <c r="B103" s="245"/>
      <c r="C103" s="245"/>
      <c r="D103" s="246"/>
      <c r="E103" s="245"/>
      <c r="F103" s="247"/>
      <c r="G103" s="248"/>
      <c r="H103" s="247"/>
      <c r="I103" s="245"/>
      <c r="J103" s="249">
        <f>IF(OR(B103="",C103="",E103=""),"",B103&amp;":"&amp;C103&amp;":"&amp;E103)</f>
      </c>
      <c r="K103" s="250">
        <f>IF(A103="","",A103*D103)</f>
      </c>
      <c r="L103" s="249">
        <f>IF(A103="","",IF(OR(A103=1,A103=0),H103,0))</f>
      </c>
      <c r="M103" s="249">
        <f>IF(A103="","",IF(A103=-1,H103,0))</f>
      </c>
      <c r="N103">
        <f>IF($E103="SGD",1,IF($E103="USD",Settings!$B$22,IF($E103="HKD",Settings!$B$23,1)))</f>
      </c>
      <c r="O103">
        <f>IF($J103="",0,($M103-$L103+IF($A103=2,$H103,0))*$N103)</f>
      </c>
      <c r="P103">
        <f>IF($J103="",0,IF($A103=2,$H103*$N103,0))</f>
      </c>
    </row>
    <row r="104" spans="1:16" ht="15" customHeight="1" x14ac:dyDescent="0.15">
      <c r="A104" s="244"/>
      <c r="B104" s="245"/>
      <c r="C104" s="245"/>
      <c r="D104" s="246"/>
      <c r="E104" s="245"/>
      <c r="F104" s="247"/>
      <c r="G104" s="248"/>
      <c r="H104" s="247"/>
      <c r="I104" s="245"/>
      <c r="J104" s="249">
        <f>IF(OR(B104="",C104="",E104=""),"",B104&amp;":"&amp;C104&amp;":"&amp;E104)</f>
      </c>
      <c r="K104" s="250">
        <f>IF(A104="","",A104*D104)</f>
      </c>
      <c r="L104" s="249">
        <f>IF(A104="","",IF(OR(A104=1,A104=0),H104,0))</f>
      </c>
      <c r="M104" s="249">
        <f>IF(A104="","",IF(A104=-1,H104,0))</f>
      </c>
      <c r="N104">
        <f>IF($E104="SGD",1,IF($E104="USD",Settings!$B$22,IF($E104="HKD",Settings!$B$23,1)))</f>
      </c>
      <c r="O104">
        <f>IF($J104="",0,($M104-$L104+IF($A104=2,$H104,0))*$N104)</f>
      </c>
      <c r="P104">
        <f>IF($J104="",0,IF($A104=2,$H104*$N104,0))</f>
      </c>
    </row>
    <row r="105" spans="1:16" ht="15" customHeight="1" x14ac:dyDescent="0.15">
      <c r="A105" s="244"/>
      <c r="B105" s="245"/>
      <c r="C105" s="245"/>
      <c r="D105" s="246"/>
      <c r="E105" s="245"/>
      <c r="F105" s="247"/>
      <c r="G105" s="248"/>
      <c r="H105" s="247"/>
      <c r="I105" s="245"/>
      <c r="J105" s="249">
        <f>IF(OR(B105="",C105="",E105=""),"",B105&amp;":"&amp;C105&amp;":"&amp;E105)</f>
      </c>
      <c r="K105" s="250">
        <f>IF(A105="","",A105*D105)</f>
      </c>
      <c r="L105" s="249">
        <f>IF(A105="","",IF(OR(A105=1,A105=0),H105,0))</f>
      </c>
      <c r="M105" s="249">
        <f>IF(A105="","",IF(A105=-1,H105,0))</f>
      </c>
      <c r="N105">
        <f>IF($E105="SGD",1,IF($E105="USD",Settings!$B$22,IF($E105="HKD",Settings!$B$23,1)))</f>
      </c>
      <c r="O105">
        <f>IF($J105="",0,($M105-$L105+IF($A105=2,$H105,0))*$N105)</f>
      </c>
      <c r="P105">
        <f>IF($J105="",0,IF($A105=2,$H105*$N105,0))</f>
      </c>
    </row>
    <row r="106" spans="1:16" ht="15" customHeight="1" x14ac:dyDescent="0.15">
      <c r="A106" s="244"/>
      <c r="B106" s="245"/>
      <c r="C106" s="245"/>
      <c r="D106" s="246"/>
      <c r="E106" s="245"/>
      <c r="F106" s="247"/>
      <c r="G106" s="248"/>
      <c r="H106" s="247"/>
      <c r="I106" s="245"/>
      <c r="J106" s="249">
        <f>IF(OR(B106="",C106="",E106=""),"",B106&amp;":"&amp;C106&amp;":"&amp;E106)</f>
      </c>
      <c r="K106" s="250">
        <f>IF(A106="","",A106*D106)</f>
      </c>
      <c r="L106" s="249">
        <f>IF(A106="","",IF(OR(A106=1,A106=0),H106,0))</f>
      </c>
      <c r="M106" s="249">
        <f>IF(A106="","",IF(A106=-1,H106,0))</f>
      </c>
      <c r="N106">
        <f>IF($E106="SGD",1,IF($E106="USD",Settings!$B$22,IF($E106="HKD",Settings!$B$23,1)))</f>
      </c>
      <c r="O106">
        <f>IF($J106="",0,($M106-$L106+IF($A106=2,$H106,0))*$N106)</f>
      </c>
      <c r="P106">
        <f>IF($J106="",0,IF($A106=2,$H106*$N106,0))</f>
      </c>
    </row>
    <row r="107" spans="1:16" ht="15" customHeight="1" x14ac:dyDescent="0.15">
      <c r="A107" s="244"/>
      <c r="B107" s="245"/>
      <c r="C107" s="245"/>
      <c r="D107" s="246"/>
      <c r="E107" s="245"/>
      <c r="F107" s="247"/>
      <c r="G107" s="248"/>
      <c r="H107" s="247"/>
      <c r="I107" s="245"/>
      <c r="J107" s="249">
        <f>IF(OR(B107="",C107="",E107=""),"",B107&amp;":"&amp;C107&amp;":"&amp;E107)</f>
      </c>
      <c r="K107" s="250">
        <f>IF(A107="","",A107*D107)</f>
      </c>
      <c r="L107" s="249">
        <f>IF(A107="","",IF(OR(A107=1,A107=0),H107,0))</f>
      </c>
      <c r="M107" s="249">
        <f>IF(A107="","",IF(A107=-1,H107,0))</f>
      </c>
      <c r="N107">
        <f>IF($E107="SGD",1,IF($E107="USD",Settings!$B$22,IF($E107="HKD",Settings!$B$23,1)))</f>
      </c>
      <c r="O107">
        <f>IF($J107="",0,($M107-$L107+IF($A107=2,$H107,0))*$N107)</f>
      </c>
      <c r="P107">
        <f>IF($J107="",0,IF($A107=2,$H107*$N107,0))</f>
      </c>
    </row>
    <row r="108" spans="1:16" ht="15" customHeight="1" x14ac:dyDescent="0.15">
      <c r="A108" s="244"/>
      <c r="B108" s="245"/>
      <c r="C108" s="245"/>
      <c r="D108" s="246"/>
      <c r="E108" s="245"/>
      <c r="F108" s="247"/>
      <c r="G108" s="248"/>
      <c r="H108" s="247"/>
      <c r="I108" s="245"/>
      <c r="J108" s="249">
        <f>IF(OR(B108="",C108="",E108=""),"",B108&amp;":"&amp;C108&amp;":"&amp;E108)</f>
      </c>
      <c r="K108" s="250">
        <f>IF(A108="","",A108*D108)</f>
      </c>
      <c r="L108" s="249">
        <f>IF(A108="","",IF(OR(A108=1,A108=0),H108,0))</f>
      </c>
      <c r="M108" s="249">
        <f>IF(A108="","",IF(A108=-1,H108,0))</f>
      </c>
      <c r="N108">
        <f>IF($E108="SGD",1,IF($E108="USD",Settings!$B$22,IF($E108="HKD",Settings!$B$23,1)))</f>
      </c>
      <c r="O108">
        <f>IF($J108="",0,($M108-$L108+IF($A108=2,$H108,0))*$N108)</f>
      </c>
      <c r="P108">
        <f>IF($J108="",0,IF($A108=2,$H108*$N108,0))</f>
      </c>
    </row>
    <row r="109" spans="1:16" ht="15" customHeight="1" x14ac:dyDescent="0.15">
      <c r="A109" s="244"/>
      <c r="B109" s="245"/>
      <c r="C109" s="245"/>
      <c r="D109" s="246"/>
      <c r="E109" s="245"/>
      <c r="F109" s="247"/>
      <c r="G109" s="248"/>
      <c r="H109" s="247"/>
      <c r="I109" s="245"/>
      <c r="J109" s="249">
        <f>IF(OR(B109="",C109="",E109=""),"",B109&amp;":"&amp;C109&amp;":"&amp;E109)</f>
      </c>
      <c r="K109" s="250">
        <f>IF(A109="","",A109*D109)</f>
      </c>
      <c r="L109" s="249">
        <f>IF(A109="","",IF(OR(A109=1,A109=0),H109,0))</f>
      </c>
      <c r="M109" s="249">
        <f>IF(A109="","",IF(A109=-1,H109,0))</f>
      </c>
      <c r="N109">
        <f>IF($E109="SGD",1,IF($E109="USD",Settings!$B$22,IF($E109="HKD",Settings!$B$23,1)))</f>
      </c>
      <c r="O109">
        <f>IF($J109="",0,($M109-$L109+IF($A109=2,$H109,0))*$N109)</f>
      </c>
      <c r="P109">
        <f>IF($J109="",0,IF($A109=2,$H109*$N109,0))</f>
      </c>
    </row>
    <row r="110" spans="1:16" ht="15" customHeight="1" x14ac:dyDescent="0.15">
      <c r="A110" s="244"/>
      <c r="B110" s="245"/>
      <c r="C110" s="245"/>
      <c r="D110" s="246"/>
      <c r="E110" s="245"/>
      <c r="F110" s="247"/>
      <c r="G110" s="248"/>
      <c r="H110" s="247"/>
      <c r="I110" s="245"/>
      <c r="J110" s="249">
        <f>IF(OR(B110="",C110="",E110=""),"",B110&amp;":"&amp;C110&amp;":"&amp;E110)</f>
      </c>
      <c r="K110" s="250">
        <f>IF(A110="","",A110*D110)</f>
      </c>
      <c r="L110" s="249">
        <f>IF(A110="","",IF(OR(A110=1,A110=0),H110,0))</f>
      </c>
      <c r="M110" s="249">
        <f>IF(A110="","",IF(A110=-1,H110,0))</f>
      </c>
      <c r="N110">
        <f>IF($E110="SGD",1,IF($E110="USD",Settings!$B$22,IF($E110="HKD",Settings!$B$23,1)))</f>
      </c>
      <c r="O110">
        <f>IF($J110="",0,($M110-$L110+IF($A110=2,$H110,0))*$N110)</f>
      </c>
      <c r="P110">
        <f>IF($J110="",0,IF($A110=2,$H110*$N110,0))</f>
      </c>
    </row>
    <row r="111" spans="1:16" ht="15" customHeight="1" x14ac:dyDescent="0.15">
      <c r="A111" s="244"/>
      <c r="B111" s="245"/>
      <c r="C111" s="245"/>
      <c r="D111" s="246"/>
      <c r="E111" s="245"/>
      <c r="F111" s="247"/>
      <c r="G111" s="248"/>
      <c r="H111" s="247"/>
      <c r="I111" s="245"/>
      <c r="J111" s="249">
        <f>IF(OR(B111="",C111="",E111=""),"",B111&amp;":"&amp;C111&amp;":"&amp;E111)</f>
      </c>
      <c r="K111" s="250">
        <f>IF(A111="","",A111*D111)</f>
      </c>
      <c r="L111" s="249">
        <f>IF(A111="","",IF(OR(A111=1,A111=0),H111,0))</f>
      </c>
      <c r="M111" s="249">
        <f>IF(A111="","",IF(A111=-1,H111,0))</f>
      </c>
      <c r="N111">
        <f>IF($E111="SGD",1,IF($E111="USD",Settings!$B$22,IF($E111="HKD",Settings!$B$23,1)))</f>
      </c>
      <c r="O111">
        <f>IF($J111="",0,($M111-$L111+IF($A111=2,$H111,0))*$N111)</f>
      </c>
      <c r="P111">
        <f>IF($J111="",0,IF($A111=2,$H111*$N111,0))</f>
      </c>
    </row>
    <row r="112" spans="1:16" ht="15" customHeight="1" x14ac:dyDescent="0.15">
      <c r="A112" s="244"/>
      <c r="B112" s="245"/>
      <c r="C112" s="245"/>
      <c r="D112" s="246"/>
      <c r="E112" s="245"/>
      <c r="F112" s="247"/>
      <c r="G112" s="248"/>
      <c r="H112" s="247"/>
      <c r="I112" s="245"/>
      <c r="J112" s="249">
        <f>IF(OR(B112="",C112="",E112=""),"",B112&amp;":"&amp;C112&amp;":"&amp;E112)</f>
      </c>
      <c r="K112" s="250">
        <f>IF(A112="","",A112*D112)</f>
      </c>
      <c r="L112" s="249">
        <f>IF(A112="","",IF(OR(A112=1,A112=0),H112,0))</f>
      </c>
      <c r="M112" s="249">
        <f>IF(A112="","",IF(A112=-1,H112,0))</f>
      </c>
      <c r="N112">
        <f>IF($E112="SGD",1,IF($E112="USD",Settings!$B$22,IF($E112="HKD",Settings!$B$23,1)))</f>
      </c>
      <c r="O112">
        <f>IF($J112="",0,($M112-$L112+IF($A112=2,$H112,0))*$N112)</f>
      </c>
      <c r="P112">
        <f>IF($J112="",0,IF($A112=2,$H112*$N112,0))</f>
      </c>
    </row>
    <row r="113" spans="1:16" ht="15" customHeight="1" x14ac:dyDescent="0.15">
      <c r="A113" s="244"/>
      <c r="B113" s="245"/>
      <c r="C113" s="245"/>
      <c r="D113" s="246"/>
      <c r="E113" s="245"/>
      <c r="F113" s="247"/>
      <c r="G113" s="248"/>
      <c r="H113" s="247"/>
      <c r="I113" s="245"/>
      <c r="J113" s="249">
        <f>IF(OR(B113="",C113="",E113=""),"",B113&amp;":"&amp;C113&amp;":"&amp;E113)</f>
      </c>
      <c r="K113" s="250">
        <f>IF(A113="","",A113*D113)</f>
      </c>
      <c r="L113" s="249">
        <f>IF(A113="","",IF(OR(A113=1,A113=0),H113,0))</f>
      </c>
      <c r="M113" s="249">
        <f>IF(A113="","",IF(A113=-1,H113,0))</f>
      </c>
      <c r="N113">
        <f>IF($E113="SGD",1,IF($E113="USD",Settings!$B$22,IF($E113="HKD",Settings!$B$23,1)))</f>
      </c>
      <c r="O113">
        <f>IF($J113="",0,($M113-$L113+IF($A113=2,$H113,0))*$N113)</f>
      </c>
      <c r="P113">
        <f>IF($J113="",0,IF($A113=2,$H113*$N113,0))</f>
      </c>
    </row>
    <row r="114" spans="1:16" ht="15" customHeight="1" x14ac:dyDescent="0.15">
      <c r="A114" s="244"/>
      <c r="B114" s="245"/>
      <c r="C114" s="245"/>
      <c r="D114" s="246"/>
      <c r="E114" s="245"/>
      <c r="F114" s="247"/>
      <c r="G114" s="248"/>
      <c r="H114" s="247"/>
      <c r="I114" s="245"/>
      <c r="J114" s="249">
        <f>IF(OR(B114="",C114="",E114=""),"",B114&amp;":"&amp;C114&amp;":"&amp;E114)</f>
      </c>
      <c r="K114" s="250">
        <f>IF(A114="","",A114*D114)</f>
      </c>
      <c r="L114" s="249">
        <f>IF(A114="","",IF(OR(A114=1,A114=0),H114,0))</f>
      </c>
      <c r="M114" s="249">
        <f>IF(A114="","",IF(A114=-1,H114,0))</f>
      </c>
      <c r="N114">
        <f>IF($E114="SGD",1,IF($E114="USD",Settings!$B$22,IF($E114="HKD",Settings!$B$23,1)))</f>
      </c>
      <c r="O114">
        <f>IF($J114="",0,($M114-$L114+IF($A114=2,$H114,0))*$N114)</f>
      </c>
      <c r="P114">
        <f>IF($J114="",0,IF($A114=2,$H114*$N114,0))</f>
      </c>
    </row>
    <row r="115" spans="1:16" ht="15" customHeight="1" x14ac:dyDescent="0.15">
      <c r="A115" s="244"/>
      <c r="B115" s="245"/>
      <c r="C115" s="245"/>
      <c r="D115" s="246"/>
      <c r="E115" s="245"/>
      <c r="F115" s="247"/>
      <c r="G115" s="248"/>
      <c r="H115" s="247"/>
      <c r="I115" s="245"/>
      <c r="J115" s="249">
        <f>IF(OR(B115="",C115="",E115=""),"",B115&amp;":"&amp;C115&amp;":"&amp;E115)</f>
      </c>
      <c r="K115" s="250">
        <f>IF(A115="","",A115*D115)</f>
      </c>
      <c r="L115" s="249">
        <f>IF(A115="","",IF(OR(A115=1,A115=0),H115,0))</f>
      </c>
      <c r="M115" s="249">
        <f>IF(A115="","",IF(A115=-1,H115,0))</f>
      </c>
      <c r="N115">
        <f>IF($E115="SGD",1,IF($E115="USD",Settings!$B$22,IF($E115="HKD",Settings!$B$23,1)))</f>
      </c>
      <c r="O115">
        <f>IF($J115="",0,($M115-$L115+IF($A115=2,$H115,0))*$N115)</f>
      </c>
      <c r="P115">
        <f>IF($J115="",0,IF($A115=2,$H115*$N115,0))</f>
      </c>
    </row>
    <row r="116" spans="1:16" ht="15" customHeight="1" x14ac:dyDescent="0.15">
      <c r="A116" s="244"/>
      <c r="B116" s="245"/>
      <c r="C116" s="245"/>
      <c r="D116" s="246"/>
      <c r="E116" s="245"/>
      <c r="F116" s="247"/>
      <c r="G116" s="248"/>
      <c r="H116" s="247"/>
      <c r="I116" s="245"/>
      <c r="J116" s="249">
        <f>IF(OR(B116="",C116="",E116=""),"",B116&amp;":"&amp;C116&amp;":"&amp;E116)</f>
      </c>
      <c r="K116" s="250">
        <f>IF(A116="","",A116*D116)</f>
      </c>
      <c r="L116" s="249">
        <f>IF(A116="","",IF(OR(A116=1,A116=0),H116,0))</f>
      </c>
      <c r="M116" s="249">
        <f>IF(A116="","",IF(A116=-1,H116,0))</f>
      </c>
      <c r="N116">
        <f>IF($E116="SGD",1,IF($E116="USD",Settings!$B$22,IF($E116="HKD",Settings!$B$23,1)))</f>
      </c>
      <c r="O116">
        <f>IF($J116="",0,($M116-$L116+IF($A116=2,$H116,0))*$N116)</f>
      </c>
      <c r="P116">
        <f>IF($J116="",0,IF($A116=2,$H116*$N116,0))</f>
      </c>
    </row>
    <row r="117" spans="1:16" ht="15" customHeight="1" x14ac:dyDescent="0.15">
      <c r="A117" s="244"/>
      <c r="B117" s="245"/>
      <c r="C117" s="245"/>
      <c r="D117" s="246"/>
      <c r="E117" s="245"/>
      <c r="F117" s="247"/>
      <c r="G117" s="248"/>
      <c r="H117" s="247"/>
      <c r="I117" s="245"/>
      <c r="J117" s="249">
        <f>IF(OR(B117="",C117="",E117=""),"",B117&amp;":"&amp;C117&amp;":"&amp;E117)</f>
      </c>
      <c r="K117" s="250">
        <f>IF(A117="","",A117*D117)</f>
      </c>
      <c r="L117" s="249">
        <f>IF(A117="","",IF(OR(A117=1,A117=0),H117,0))</f>
      </c>
      <c r="M117" s="249">
        <f>IF(A117="","",IF(A117=-1,H117,0))</f>
      </c>
      <c r="N117">
        <f>IF($E117="SGD",1,IF($E117="USD",Settings!$B$22,IF($E117="HKD",Settings!$B$23,1)))</f>
      </c>
      <c r="O117">
        <f>IF($J117="",0,($M117-$L117+IF($A117=2,$H117,0))*$N117)</f>
      </c>
      <c r="P117">
        <f>IF($J117="",0,IF($A117=2,$H117*$N117,0))</f>
      </c>
    </row>
    <row r="118" spans="1:16" ht="15" customHeight="1" x14ac:dyDescent="0.15">
      <c r="A118" s="244"/>
      <c r="B118" s="245"/>
      <c r="C118" s="245"/>
      <c r="D118" s="246"/>
      <c r="E118" s="245"/>
      <c r="F118" s="247"/>
      <c r="G118" s="248"/>
      <c r="H118" s="247"/>
      <c r="I118" s="245"/>
      <c r="J118" s="249">
        <f>IF(OR(B118="",C118="",E118=""),"",B118&amp;":"&amp;C118&amp;":"&amp;E118)</f>
      </c>
      <c r="K118" s="250">
        <f>IF(A118="","",A118*D118)</f>
      </c>
      <c r="L118" s="249">
        <f>IF(A118="","",IF(OR(A118=1,A118=0),H118,0))</f>
      </c>
      <c r="M118" s="249">
        <f>IF(A118="","",IF(A118=-1,H118,0))</f>
      </c>
      <c r="N118">
        <f>IF($E118="SGD",1,IF($E118="USD",Settings!$B$22,IF($E118="HKD",Settings!$B$23,1)))</f>
      </c>
      <c r="O118">
        <f>IF($J118="",0,($M118-$L118+IF($A118=2,$H118,0))*$N118)</f>
      </c>
      <c r="P118">
        <f>IF($J118="",0,IF($A118=2,$H118*$N118,0))</f>
      </c>
    </row>
    <row r="119" spans="1:16" ht="15" customHeight="1" x14ac:dyDescent="0.15">
      <c r="A119" s="244"/>
      <c r="B119" s="245"/>
      <c r="C119" s="245"/>
      <c r="D119" s="246"/>
      <c r="E119" s="245"/>
      <c r="F119" s="247"/>
      <c r="G119" s="248"/>
      <c r="H119" s="247"/>
      <c r="I119" s="245"/>
      <c r="J119" s="249">
        <f>IF(OR(B119="",C119="",E119=""),"",B119&amp;":"&amp;C119&amp;":"&amp;E119)</f>
      </c>
      <c r="K119" s="250">
        <f>IF(A119="","",A119*D119)</f>
      </c>
      <c r="L119" s="249">
        <f>IF(A119="","",IF(OR(A119=1,A119=0),H119,0))</f>
      </c>
      <c r="M119" s="249">
        <f>IF(A119="","",IF(A119=-1,H119,0))</f>
      </c>
      <c r="N119">
        <f>IF($E119="SGD",1,IF($E119="USD",Settings!$B$22,IF($E119="HKD",Settings!$B$23,1)))</f>
      </c>
      <c r="O119">
        <f>IF($J119="",0,($M119-$L119+IF($A119=2,$H119,0))*$N119)</f>
      </c>
      <c r="P119">
        <f>IF($J119="",0,IF($A119=2,$H119*$N119,0))</f>
      </c>
    </row>
    <row r="120" spans="1:16" ht="15" customHeight="1" x14ac:dyDescent="0.15">
      <c r="A120" s="244"/>
      <c r="B120" s="245"/>
      <c r="C120" s="245"/>
      <c r="D120" s="246"/>
      <c r="E120" s="245"/>
      <c r="F120" s="247"/>
      <c r="G120" s="248"/>
      <c r="H120" s="247"/>
      <c r="I120" s="245"/>
      <c r="J120" s="249">
        <f>IF(OR(B120="",C120="",E120=""),"",B120&amp;":"&amp;C120&amp;":"&amp;E120)</f>
      </c>
      <c r="K120" s="250">
        <f>IF(A120="","",A120*D120)</f>
      </c>
      <c r="L120" s="249">
        <f>IF(A120="","",IF(OR(A120=1,A120=0),H120,0))</f>
      </c>
      <c r="M120" s="249">
        <f>IF(A120="","",IF(A120=-1,H120,0))</f>
      </c>
      <c r="N120">
        <f>IF($E120="SGD",1,IF($E120="USD",Settings!$B$22,IF($E120="HKD",Settings!$B$23,1)))</f>
      </c>
      <c r="O120">
        <f>IF($J120="",0,($M120-$L120+IF($A120=2,$H120,0))*$N120)</f>
      </c>
      <c r="P120">
        <f>IF($J120="",0,IF($A120=2,$H120*$N120,0))</f>
      </c>
    </row>
    <row r="121" spans="1:16" ht="15" customHeight="1" x14ac:dyDescent="0.15">
      <c r="A121" s="244"/>
      <c r="B121" s="245"/>
      <c r="C121" s="245"/>
      <c r="D121" s="246"/>
      <c r="E121" s="245"/>
      <c r="F121" s="247"/>
      <c r="G121" s="248"/>
      <c r="H121" s="247"/>
      <c r="I121" s="245"/>
      <c r="J121" s="249">
        <f>IF(OR(B121="",C121="",E121=""),"",B121&amp;":"&amp;C121&amp;":"&amp;E121)</f>
      </c>
      <c r="K121" s="250">
        <f>IF(A121="","",A121*D121)</f>
      </c>
      <c r="L121" s="249">
        <f>IF(A121="","",IF(OR(A121=1,A121=0),H121,0))</f>
      </c>
      <c r="M121" s="249">
        <f>IF(A121="","",IF(A121=-1,H121,0))</f>
      </c>
      <c r="N121">
        <f>IF($E121="SGD",1,IF($E121="USD",Settings!$B$22,IF($E121="HKD",Settings!$B$23,1)))</f>
      </c>
      <c r="O121">
        <f>IF($J121="",0,($M121-$L121+IF($A121=2,$H121,0))*$N121)</f>
      </c>
      <c r="P121">
        <f>IF($J121="",0,IF($A121=2,$H121*$N121,0))</f>
      </c>
    </row>
    <row r="122" spans="1:16" ht="15" customHeight="1" x14ac:dyDescent="0.15">
      <c r="A122" s="244"/>
      <c r="B122" s="245"/>
      <c r="C122" s="245"/>
      <c r="D122" s="246"/>
      <c r="E122" s="245"/>
      <c r="F122" s="247"/>
      <c r="G122" s="248"/>
      <c r="H122" s="247"/>
      <c r="I122" s="245"/>
      <c r="J122" s="249">
        <f>IF(OR(B122="",C122="",E122=""),"",B122&amp;":"&amp;C122&amp;":"&amp;E122)</f>
      </c>
      <c r="K122" s="250">
        <f>IF(A122="","",A122*D122)</f>
      </c>
      <c r="L122" s="249">
        <f>IF(A122="","",IF(OR(A122=1,A122=0),H122,0))</f>
      </c>
      <c r="M122" s="249">
        <f>IF(A122="","",IF(A122=-1,H122,0))</f>
      </c>
      <c r="N122">
        <f>IF($E122="SGD",1,IF($E122="USD",Settings!$B$22,IF($E122="HKD",Settings!$B$23,1)))</f>
      </c>
      <c r="O122">
        <f>IF($J122="",0,($M122-$L122+IF($A122=2,$H122,0))*$N122)</f>
      </c>
      <c r="P122">
        <f>IF($J122="",0,IF($A122=2,$H122*$N122,0))</f>
      </c>
    </row>
    <row r="123" spans="1:16" ht="15" customHeight="1" x14ac:dyDescent="0.15">
      <c r="A123" s="244"/>
      <c r="B123" s="245"/>
      <c r="C123" s="245"/>
      <c r="D123" s="246"/>
      <c r="E123" s="245"/>
      <c r="F123" s="247"/>
      <c r="G123" s="248"/>
      <c r="H123" s="247"/>
      <c r="I123" s="245"/>
      <c r="J123" s="249">
        <f>IF(OR(B123="",C123="",E123=""),"",B123&amp;":"&amp;C123&amp;":"&amp;E123)</f>
      </c>
      <c r="K123" s="250">
        <f>IF(A123="","",A123*D123)</f>
      </c>
      <c r="L123" s="249">
        <f>IF(A123="","",IF(OR(A123=1,A123=0),H123,0))</f>
      </c>
      <c r="M123" s="249">
        <f>IF(A123="","",IF(A123=-1,H123,0))</f>
      </c>
      <c r="N123">
        <f>IF($E123="SGD",1,IF($E123="USD",Settings!$B$22,IF($E123="HKD",Settings!$B$23,1)))</f>
      </c>
      <c r="O123">
        <f>IF($J123="",0,($M123-$L123+IF($A123=2,$H123,0))*$N123)</f>
      </c>
      <c r="P123">
        <f>IF($J123="",0,IF($A123=2,$H123*$N123,0))</f>
      </c>
    </row>
    <row r="124" spans="1:16" ht="15" customHeight="1" x14ac:dyDescent="0.15">
      <c r="A124" s="244"/>
      <c r="B124" s="245"/>
      <c r="C124" s="245"/>
      <c r="D124" s="246"/>
      <c r="E124" s="245"/>
      <c r="F124" s="247"/>
      <c r="G124" s="248"/>
      <c r="H124" s="247"/>
      <c r="I124" s="245"/>
      <c r="J124" s="249">
        <f>IF(OR(B124="",C124="",E124=""),"",B124&amp;":"&amp;C124&amp;":"&amp;E124)</f>
      </c>
      <c r="K124" s="250">
        <f>IF(A124="","",A124*D124)</f>
      </c>
      <c r="L124" s="249">
        <f>IF(A124="","",IF(OR(A124=1,A124=0),H124,0))</f>
      </c>
      <c r="M124" s="249">
        <f>IF(A124="","",IF(A124=-1,H124,0))</f>
      </c>
      <c r="N124">
        <f>IF($E124="SGD",1,IF($E124="USD",Settings!$B$22,IF($E124="HKD",Settings!$B$23,1)))</f>
      </c>
      <c r="O124">
        <f>IF($J124="",0,($M124-$L124+IF($A124=2,$H124,0))*$N124)</f>
      </c>
      <c r="P124">
        <f>IF($J124="",0,IF($A124=2,$H124*$N124,0))</f>
      </c>
    </row>
    <row r="125" spans="1:16" ht="15" customHeight="1" x14ac:dyDescent="0.15">
      <c r="A125" s="244"/>
      <c r="B125" s="245"/>
      <c r="C125" s="245"/>
      <c r="D125" s="246"/>
      <c r="E125" s="245"/>
      <c r="F125" s="247"/>
      <c r="G125" s="248"/>
      <c r="H125" s="247"/>
      <c r="I125" s="245"/>
      <c r="J125" s="249">
        <f>IF(OR(B125="",C125="",E125=""),"",B125&amp;":"&amp;C125&amp;":"&amp;E125)</f>
      </c>
      <c r="K125" s="250">
        <f>IF(A125="","",A125*D125)</f>
      </c>
      <c r="L125" s="249">
        <f>IF(A125="","",IF(OR(A125=1,A125=0),H125,0))</f>
      </c>
      <c r="M125" s="249">
        <f>IF(A125="","",IF(A125=-1,H125,0))</f>
      </c>
      <c r="N125">
        <f>IF($E125="SGD",1,IF($E125="USD",Settings!$B$22,IF($E125="HKD",Settings!$B$23,1)))</f>
      </c>
      <c r="O125">
        <f>IF($J125="",0,($M125-$L125+IF($A125=2,$H125,0))*$N125)</f>
      </c>
      <c r="P125">
        <f>IF($J125="",0,IF($A125=2,$H125*$N125,0))</f>
      </c>
    </row>
    <row r="126" spans="1:16" ht="15" customHeight="1" x14ac:dyDescent="0.15">
      <c r="A126" s="244"/>
      <c r="B126" s="245"/>
      <c r="C126" s="245"/>
      <c r="D126" s="246"/>
      <c r="E126" s="245"/>
      <c r="F126" s="247"/>
      <c r="G126" s="248"/>
      <c r="H126" s="247"/>
      <c r="I126" s="245"/>
      <c r="J126" s="249">
        <f>IF(OR(B126="",C126="",E126=""),"",B126&amp;":"&amp;C126&amp;":"&amp;E126)</f>
      </c>
      <c r="K126" s="250">
        <f>IF(A126="","",A126*D126)</f>
      </c>
      <c r="L126" s="249">
        <f>IF(A126="","",IF(OR(A126=1,A126=0),H126,0))</f>
      </c>
      <c r="M126" s="249">
        <f>IF(A126="","",IF(A126=-1,H126,0))</f>
      </c>
      <c r="N126">
        <f>IF($E126="SGD",1,IF($E126="USD",Settings!$B$22,IF($E126="HKD",Settings!$B$23,1)))</f>
      </c>
      <c r="O126">
        <f>IF($J126="",0,($M126-$L126+IF($A126=2,$H126,0))*$N126)</f>
      </c>
      <c r="P126">
        <f>IF($J126="",0,IF($A126=2,$H126*$N126,0))</f>
      </c>
    </row>
    <row r="127" spans="1:16" ht="15" customHeight="1" x14ac:dyDescent="0.15">
      <c r="A127" s="244"/>
      <c r="B127" s="245"/>
      <c r="C127" s="245"/>
      <c r="D127" s="246"/>
      <c r="E127" s="245"/>
      <c r="F127" s="247"/>
      <c r="G127" s="248"/>
      <c r="H127" s="247"/>
      <c r="I127" s="245"/>
      <c r="J127" s="249">
        <f>IF(OR(B127="",C127="",E127=""),"",B127&amp;":"&amp;C127&amp;":"&amp;E127)</f>
      </c>
      <c r="K127" s="250">
        <f>IF(A127="","",A127*D127)</f>
      </c>
      <c r="L127" s="249">
        <f>IF(A127="","",IF(OR(A127=1,A127=0),H127,0))</f>
      </c>
      <c r="M127" s="249">
        <f>IF(A127="","",IF(A127=-1,H127,0))</f>
      </c>
      <c r="N127">
        <f>IF($E127="SGD",1,IF($E127="USD",Settings!$B$22,IF($E127="HKD",Settings!$B$23,1)))</f>
      </c>
      <c r="O127">
        <f>IF($J127="",0,($M127-$L127+IF($A127=2,$H127,0))*$N127)</f>
      </c>
      <c r="P127">
        <f>IF($J127="",0,IF($A127=2,$H127*$N127,0))</f>
      </c>
    </row>
    <row r="128" spans="1:16" ht="15" customHeight="1" x14ac:dyDescent="0.15">
      <c r="A128" s="244"/>
      <c r="B128" s="245"/>
      <c r="C128" s="245"/>
      <c r="D128" s="246"/>
      <c r="E128" s="245"/>
      <c r="F128" s="247"/>
      <c r="G128" s="248"/>
      <c r="H128" s="247"/>
      <c r="I128" s="245"/>
      <c r="J128" s="249">
        <f>IF(OR(B128="",C128="",E128=""),"",B128&amp;":"&amp;C128&amp;":"&amp;E128)</f>
      </c>
      <c r="K128" s="250">
        <f>IF(A128="","",A128*D128)</f>
      </c>
      <c r="L128" s="249">
        <f>IF(A128="","",IF(OR(A128=1,A128=0),H128,0))</f>
      </c>
      <c r="M128" s="249">
        <f>IF(A128="","",IF(A128=-1,H128,0))</f>
      </c>
      <c r="N128">
        <f>IF($E128="SGD",1,IF($E128="USD",Settings!$B$22,IF($E128="HKD",Settings!$B$23,1)))</f>
      </c>
      <c r="O128">
        <f>IF($J128="",0,($M128-$L128+IF($A128=2,$H128,0))*$N128)</f>
      </c>
      <c r="P128">
        <f>IF($J128="",0,IF($A128=2,$H128*$N128,0))</f>
      </c>
    </row>
    <row r="129" spans="1:16" ht="15" customHeight="1" x14ac:dyDescent="0.15">
      <c r="A129" s="244"/>
      <c r="B129" s="245"/>
      <c r="C129" s="245"/>
      <c r="D129" s="246"/>
      <c r="E129" s="245"/>
      <c r="F129" s="247"/>
      <c r="G129" s="248"/>
      <c r="H129" s="247"/>
      <c r="I129" s="245"/>
      <c r="J129" s="249">
        <f>IF(OR(B129="",C129="",E129=""),"",B129&amp;":"&amp;C129&amp;":"&amp;E129)</f>
      </c>
      <c r="K129" s="250">
        <f>IF(A129="","",A129*D129)</f>
      </c>
      <c r="L129" s="249">
        <f>IF(A129="","",IF(OR(A129=1,A129=0),H129,0))</f>
      </c>
      <c r="M129" s="249">
        <f>IF(A129="","",IF(A129=-1,H129,0))</f>
      </c>
      <c r="N129">
        <f>IF($E129="SGD",1,IF($E129="USD",Settings!$B$22,IF($E129="HKD",Settings!$B$23,1)))</f>
      </c>
      <c r="O129">
        <f>IF($J129="",0,($M129-$L129+IF($A129=2,$H129,0))*$N129)</f>
      </c>
      <c r="P129">
        <f>IF($J129="",0,IF($A129=2,$H129*$N129,0))</f>
      </c>
    </row>
    <row r="130" spans="1:16" ht="15" customHeight="1" x14ac:dyDescent="0.15">
      <c r="A130" s="244"/>
      <c r="B130" s="245"/>
      <c r="C130" s="245"/>
      <c r="D130" s="246"/>
      <c r="E130" s="245"/>
      <c r="F130" s="247"/>
      <c r="G130" s="248"/>
      <c r="H130" s="247"/>
      <c r="I130" s="245"/>
      <c r="J130" s="249">
        <f>IF(OR(B130="",C130="",E130=""),"",B130&amp;":"&amp;C130&amp;":"&amp;E130)</f>
      </c>
      <c r="K130" s="250">
        <f>IF(A130="","",A130*D130)</f>
      </c>
      <c r="L130" s="249">
        <f>IF(A130="","",IF(OR(A130=1,A130=0),H130,0))</f>
      </c>
      <c r="M130" s="249">
        <f>IF(A130="","",IF(A130=-1,H130,0))</f>
      </c>
      <c r="N130">
        <f>IF($E130="SGD",1,IF($E130="USD",Settings!$B$22,IF($E130="HKD",Settings!$B$23,1)))</f>
      </c>
      <c r="O130">
        <f>IF($J130="",0,($M130-$L130+IF($A130=2,$H130,0))*$N130)</f>
      </c>
      <c r="P130">
        <f>IF($J130="",0,IF($A130=2,$H130*$N130,0))</f>
      </c>
    </row>
    <row r="131" spans="1:16" ht="15" customHeight="1" x14ac:dyDescent="0.15">
      <c r="A131" s="244"/>
      <c r="B131" s="245"/>
      <c r="C131" s="245"/>
      <c r="D131" s="246"/>
      <c r="E131" s="245"/>
      <c r="F131" s="247"/>
      <c r="G131" s="248"/>
      <c r="H131" s="247"/>
      <c r="I131" s="245"/>
      <c r="J131" s="249">
        <f>IF(OR(B131="",C131="",E131=""),"",B131&amp;":"&amp;C131&amp;":"&amp;E131)</f>
      </c>
      <c r="K131" s="250">
        <f>IF(A131="","",A131*D131)</f>
      </c>
      <c r="L131" s="249">
        <f>IF(A131="","",IF(OR(A131=1,A131=0),H131,0))</f>
      </c>
      <c r="M131" s="249">
        <f>IF(A131="","",IF(A131=-1,H131,0))</f>
      </c>
      <c r="N131">
        <f>IF($E131="SGD",1,IF($E131="USD",Settings!$B$22,IF($E131="HKD",Settings!$B$23,1)))</f>
      </c>
      <c r="O131">
        <f>IF($J131="",0,($M131-$L131+IF($A131=2,$H131,0))*$N131)</f>
      </c>
      <c r="P131">
        <f>IF($J131="",0,IF($A131=2,$H131*$N131,0))</f>
      </c>
    </row>
    <row r="132" spans="1:16" ht="15" customHeight="1" x14ac:dyDescent="0.15">
      <c r="A132" s="244"/>
      <c r="B132" s="245"/>
      <c r="C132" s="245"/>
      <c r="D132" s="246"/>
      <c r="E132" s="245"/>
      <c r="F132" s="247"/>
      <c r="G132" s="248"/>
      <c r="H132" s="247"/>
      <c r="I132" s="245"/>
      <c r="J132" s="249">
        <f>IF(OR(B132="",C132="",E132=""),"",B132&amp;":"&amp;C132&amp;":"&amp;E132)</f>
      </c>
      <c r="K132" s="250">
        <f>IF(A132="","",A132*D132)</f>
      </c>
      <c r="L132" s="249">
        <f>IF(A132="","",IF(OR(A132=1,A132=0),H132,0))</f>
      </c>
      <c r="M132" s="249">
        <f>IF(A132="","",IF(A132=-1,H132,0))</f>
      </c>
      <c r="N132">
        <f>IF($E132="SGD",1,IF($E132="USD",Settings!$B$22,IF($E132="HKD",Settings!$B$23,1)))</f>
      </c>
      <c r="O132">
        <f>IF($J132="",0,($M132-$L132+IF($A132=2,$H132,0))*$N132)</f>
      </c>
      <c r="P132">
        <f>IF($J132="",0,IF($A132=2,$H132*$N132,0))</f>
      </c>
    </row>
    <row r="133" spans="1:16" ht="15" customHeight="1" x14ac:dyDescent="0.15">
      <c r="A133" s="244"/>
      <c r="B133" s="245"/>
      <c r="C133" s="245"/>
      <c r="D133" s="246"/>
      <c r="E133" s="245"/>
      <c r="F133" s="247"/>
      <c r="G133" s="248"/>
      <c r="H133" s="247"/>
      <c r="I133" s="245"/>
      <c r="J133" s="249">
        <f>IF(OR(B133="",C133="",E133=""),"",B133&amp;":"&amp;C133&amp;":"&amp;E133)</f>
      </c>
      <c r="K133" s="250">
        <f>IF(A133="","",A133*D133)</f>
      </c>
      <c r="L133" s="249">
        <f>IF(A133="","",IF(OR(A133=1,A133=0),H133,0))</f>
      </c>
      <c r="M133" s="249">
        <f>IF(A133="","",IF(A133=-1,H133,0))</f>
      </c>
      <c r="N133">
        <f>IF($E133="SGD",1,IF($E133="USD",Settings!$B$22,IF($E133="HKD",Settings!$B$23,1)))</f>
      </c>
      <c r="O133">
        <f>IF($J133="",0,($M133-$L133+IF($A133=2,$H133,0))*$N133)</f>
      </c>
      <c r="P133">
        <f>IF($J133="",0,IF($A133=2,$H133*$N133,0))</f>
      </c>
    </row>
    <row r="134" spans="1:16" ht="15" customHeight="1" x14ac:dyDescent="0.15">
      <c r="A134" s="244"/>
      <c r="B134" s="245"/>
      <c r="C134" s="245"/>
      <c r="D134" s="246"/>
      <c r="E134" s="245"/>
      <c r="F134" s="247"/>
      <c r="G134" s="248"/>
      <c r="H134" s="247"/>
      <c r="I134" s="245"/>
      <c r="J134" s="249">
        <f>IF(OR(B134="",C134="",E134=""),"",B134&amp;":"&amp;C134&amp;":"&amp;E134)</f>
      </c>
      <c r="K134" s="250">
        <f>IF(A134="","",A134*D134)</f>
      </c>
      <c r="L134" s="249">
        <f>IF(A134="","",IF(OR(A134=1,A134=0),H134,0))</f>
      </c>
      <c r="M134" s="249">
        <f>IF(A134="","",IF(A134=-1,H134,0))</f>
      </c>
      <c r="N134">
        <f>IF($E134="SGD",1,IF($E134="USD",Settings!$B$22,IF($E134="HKD",Settings!$B$23,1)))</f>
      </c>
      <c r="O134">
        <f>IF($J134="",0,($M134-$L134+IF($A134=2,$H134,0))*$N134)</f>
      </c>
      <c r="P134">
        <f>IF($J134="",0,IF($A134=2,$H134*$N134,0))</f>
      </c>
    </row>
    <row r="135" spans="1:16" ht="15" customHeight="1" x14ac:dyDescent="0.15">
      <c r="A135" s="244"/>
      <c r="B135" s="245"/>
      <c r="C135" s="245"/>
      <c r="D135" s="246"/>
      <c r="E135" s="245"/>
      <c r="F135" s="247"/>
      <c r="G135" s="248"/>
      <c r="H135" s="247"/>
      <c r="I135" s="245"/>
      <c r="J135" s="249">
        <f>IF(OR(B135="",C135="",E135=""),"",B135&amp;":"&amp;C135&amp;":"&amp;E135)</f>
      </c>
      <c r="K135" s="250">
        <f>IF(A135="","",A135*D135)</f>
      </c>
      <c r="L135" s="249">
        <f>IF(A135="","",IF(OR(A135=1,A135=0),H135,0))</f>
      </c>
      <c r="M135" s="249">
        <f>IF(A135="","",IF(A135=-1,H135,0))</f>
      </c>
      <c r="N135">
        <f>IF($E135="SGD",1,IF($E135="USD",Settings!$B$22,IF($E135="HKD",Settings!$B$23,1)))</f>
      </c>
      <c r="O135">
        <f>IF($J135="",0,($M135-$L135+IF($A135=2,$H135,0))*$N135)</f>
      </c>
      <c r="P135">
        <f>IF($J135="",0,IF($A135=2,$H135*$N135,0))</f>
      </c>
    </row>
    <row r="136" spans="1:16" ht="15" customHeight="1" x14ac:dyDescent="0.15">
      <c r="A136" s="244"/>
      <c r="B136" s="245"/>
      <c r="C136" s="245"/>
      <c r="D136" s="246"/>
      <c r="E136" s="245"/>
      <c r="F136" s="247"/>
      <c r="G136" s="248"/>
      <c r="H136" s="247"/>
      <c r="I136" s="245"/>
      <c r="J136" s="249">
        <f>IF(OR(B136="",C136="",E136=""),"",B136&amp;":"&amp;C136&amp;":"&amp;E136)</f>
      </c>
      <c r="K136" s="250">
        <f>IF(A136="","",A136*D136)</f>
      </c>
      <c r="L136" s="249">
        <f>IF(A136="","",IF(OR(A136=1,A136=0),H136,0))</f>
      </c>
      <c r="M136" s="249">
        <f>IF(A136="","",IF(A136=-1,H136,0))</f>
      </c>
      <c r="N136">
        <f>IF($E136="SGD",1,IF($E136="USD",Settings!$B$22,IF($E136="HKD",Settings!$B$23,1)))</f>
      </c>
      <c r="O136">
        <f>IF($J136="",0,($M136-$L136+IF($A136=2,$H136,0))*$N136)</f>
      </c>
      <c r="P136">
        <f>IF($J136="",0,IF($A136=2,$H136*$N136,0))</f>
      </c>
    </row>
    <row r="137" spans="1:16" ht="15" customHeight="1" x14ac:dyDescent="0.15">
      <c r="A137" s="244"/>
      <c r="B137" s="245"/>
      <c r="C137" s="245"/>
      <c r="D137" s="246"/>
      <c r="E137" s="245"/>
      <c r="F137" s="247"/>
      <c r="G137" s="248"/>
      <c r="H137" s="247"/>
      <c r="I137" s="245"/>
      <c r="J137" s="249">
        <f>IF(OR(B137="",C137="",E137=""),"",B137&amp;":"&amp;C137&amp;":"&amp;E137)</f>
      </c>
      <c r="K137" s="250">
        <f>IF(A137="","",A137*D137)</f>
      </c>
      <c r="L137" s="249">
        <f>IF(A137="","",IF(OR(A137=1,A137=0),H137,0))</f>
      </c>
      <c r="M137" s="249">
        <f>IF(A137="","",IF(A137=-1,H137,0))</f>
      </c>
      <c r="N137">
        <f>IF($E137="SGD",1,IF($E137="USD",Settings!$B$22,IF($E137="HKD",Settings!$B$23,1)))</f>
      </c>
      <c r="O137">
        <f>IF($J137="",0,($M137-$L137+IF($A137=2,$H137,0))*$N137)</f>
      </c>
      <c r="P137">
        <f>IF($J137="",0,IF($A137=2,$H137*$N137,0))</f>
      </c>
    </row>
    <row r="138" spans="1:16" ht="15" customHeight="1" x14ac:dyDescent="0.15">
      <c r="A138" s="244"/>
      <c r="B138" s="245"/>
      <c r="C138" s="245"/>
      <c r="D138" s="246"/>
      <c r="E138" s="245"/>
      <c r="F138" s="247"/>
      <c r="G138" s="248"/>
      <c r="H138" s="247"/>
      <c r="I138" s="245"/>
      <c r="J138" s="249">
        <f>IF(OR(B138="",C138="",E138=""),"",B138&amp;":"&amp;C138&amp;":"&amp;E138)</f>
      </c>
      <c r="K138" s="250">
        <f>IF(A138="","",A138*D138)</f>
      </c>
      <c r="L138" s="249">
        <f>IF(A138="","",IF(OR(A138=1,A138=0),H138,0))</f>
      </c>
      <c r="M138" s="249">
        <f>IF(A138="","",IF(A138=-1,H138,0))</f>
      </c>
      <c r="N138">
        <f>IF($E138="SGD",1,IF($E138="USD",Settings!$B$22,IF($E138="HKD",Settings!$B$23,1)))</f>
      </c>
      <c r="O138">
        <f>IF($J138="",0,($M138-$L138+IF($A138=2,$H138,0))*$N138)</f>
      </c>
      <c r="P138">
        <f>IF($J138="",0,IF($A138=2,$H138*$N138,0))</f>
      </c>
    </row>
    <row r="139" spans="1:16" ht="15" customHeight="1" x14ac:dyDescent="0.15">
      <c r="A139" s="244"/>
      <c r="B139" s="245"/>
      <c r="C139" s="245"/>
      <c r="D139" s="246"/>
      <c r="E139" s="245"/>
      <c r="F139" s="247"/>
      <c r="G139" s="248"/>
      <c r="H139" s="247"/>
      <c r="I139" s="245"/>
      <c r="J139" s="249">
        <f>IF(OR(B139="",C139="",E139=""),"",B139&amp;":"&amp;C139&amp;":"&amp;E139)</f>
      </c>
      <c r="K139" s="250">
        <f>IF(A139="","",A139*D139)</f>
      </c>
      <c r="L139" s="249">
        <f>IF(A139="","",IF(OR(A139=1,A139=0),H139,0))</f>
      </c>
      <c r="M139" s="249">
        <f>IF(A139="","",IF(A139=-1,H139,0))</f>
      </c>
      <c r="N139">
        <f>IF($E139="SGD",1,IF($E139="USD",Settings!$B$22,IF($E139="HKD",Settings!$B$23,1)))</f>
      </c>
      <c r="O139">
        <f>IF($J139="",0,($M139-$L139+IF($A139=2,$H139,0))*$N139)</f>
      </c>
      <c r="P139">
        <f>IF($J139="",0,IF($A139=2,$H139*$N139,0))</f>
      </c>
    </row>
    <row r="140" spans="1:16" ht="15" customHeight="1" x14ac:dyDescent="0.15">
      <c r="A140" s="244"/>
      <c r="B140" s="245"/>
      <c r="C140" s="245"/>
      <c r="D140" s="246"/>
      <c r="E140" s="245"/>
      <c r="F140" s="247"/>
      <c r="G140" s="248"/>
      <c r="H140" s="247"/>
      <c r="I140" s="245"/>
      <c r="J140" s="249">
        <f>IF(OR(B140="",C140="",E140=""),"",B140&amp;":"&amp;C140&amp;":"&amp;E140)</f>
      </c>
      <c r="K140" s="250">
        <f>IF(A140="","",A140*D140)</f>
      </c>
      <c r="L140" s="249">
        <f>IF(A140="","",IF(OR(A140=1,A140=0),H140,0))</f>
      </c>
      <c r="M140" s="249">
        <f>IF(A140="","",IF(A140=-1,H140,0))</f>
      </c>
      <c r="N140">
        <f>IF($E140="SGD",1,IF($E140="USD",Settings!$B$22,IF($E140="HKD",Settings!$B$23,1)))</f>
      </c>
      <c r="O140">
        <f>IF($J140="",0,($M140-$L140+IF($A140=2,$H140,0))*$N140)</f>
      </c>
      <c r="P140">
        <f>IF($J140="",0,IF($A140=2,$H140*$N140,0))</f>
      </c>
    </row>
    <row r="141" spans="1:16" ht="15" customHeight="1" x14ac:dyDescent="0.15">
      <c r="A141" s="244"/>
      <c r="B141" s="245"/>
      <c r="C141" s="245"/>
      <c r="D141" s="246"/>
      <c r="E141" s="245"/>
      <c r="F141" s="247"/>
      <c r="G141" s="248"/>
      <c r="H141" s="247"/>
      <c r="I141" s="245"/>
      <c r="J141" s="249">
        <f>IF(OR(B141="",C141="",E141=""),"",B141&amp;":"&amp;C141&amp;":"&amp;E141)</f>
      </c>
      <c r="K141" s="250">
        <f>IF(A141="","",A141*D141)</f>
      </c>
      <c r="L141" s="249">
        <f>IF(A141="","",IF(OR(A141=1,A141=0),H141,0))</f>
      </c>
      <c r="M141" s="249">
        <f>IF(A141="","",IF(A141=-1,H141,0))</f>
      </c>
      <c r="N141">
        <f>IF($E141="SGD",1,IF($E141="USD",Settings!$B$22,IF($E141="HKD",Settings!$B$23,1)))</f>
      </c>
      <c r="O141">
        <f>IF($J141="",0,($M141-$L141+IF($A141=2,$H141,0))*$N141)</f>
      </c>
      <c r="P141">
        <f>IF($J141="",0,IF($A141=2,$H141*$N141,0))</f>
      </c>
    </row>
    <row r="142" spans="1:16" ht="15" customHeight="1" x14ac:dyDescent="0.15">
      <c r="A142" s="244"/>
      <c r="B142" s="245"/>
      <c r="C142" s="245"/>
      <c r="D142" s="246"/>
      <c r="E142" s="245"/>
      <c r="F142" s="247"/>
      <c r="G142" s="248"/>
      <c r="H142" s="247"/>
      <c r="I142" s="245"/>
      <c r="J142" s="249">
        <f>IF(OR(B142="",C142="",E142=""),"",B142&amp;":"&amp;C142&amp;":"&amp;E142)</f>
      </c>
      <c r="K142" s="250">
        <f>IF(A142="","",A142*D142)</f>
      </c>
      <c r="L142" s="249">
        <f>IF(A142="","",IF(OR(A142=1,A142=0),H142,0))</f>
      </c>
      <c r="M142" s="249">
        <f>IF(A142="","",IF(A142=-1,H142,0))</f>
      </c>
      <c r="N142">
        <f>IF($E142="SGD",1,IF($E142="USD",Settings!$B$22,IF($E142="HKD",Settings!$B$23,1)))</f>
      </c>
      <c r="O142">
        <f>IF($J142="",0,($M142-$L142+IF($A142=2,$H142,0))*$N142)</f>
      </c>
      <c r="P142">
        <f>IF($J142="",0,IF($A142=2,$H142*$N142,0))</f>
      </c>
    </row>
    <row r="143" spans="1:16" ht="15" customHeight="1" x14ac:dyDescent="0.15">
      <c r="A143" s="244"/>
      <c r="B143" s="245"/>
      <c r="C143" s="245"/>
      <c r="D143" s="246"/>
      <c r="E143" s="245"/>
      <c r="F143" s="247"/>
      <c r="G143" s="248"/>
      <c r="H143" s="247"/>
      <c r="I143" s="245"/>
      <c r="J143" s="249">
        <f>IF(OR(B143="",C143="",E143=""),"",B143&amp;":"&amp;C143&amp;":"&amp;E143)</f>
      </c>
      <c r="K143" s="250">
        <f>IF(A143="","",A143*D143)</f>
      </c>
      <c r="L143" s="249">
        <f>IF(A143="","",IF(OR(A143=1,A143=0),H143,0))</f>
      </c>
      <c r="M143" s="249">
        <f>IF(A143="","",IF(A143=-1,H143,0))</f>
      </c>
      <c r="N143">
        <f>IF($E143="SGD",1,IF($E143="USD",Settings!$B$22,IF($E143="HKD",Settings!$B$23,1)))</f>
      </c>
      <c r="O143">
        <f>IF($J143="",0,($M143-$L143+IF($A143=2,$H143,0))*$N143)</f>
      </c>
      <c r="P143">
        <f>IF($J143="",0,IF($A143=2,$H143*$N143,0))</f>
      </c>
    </row>
    <row r="144" spans="1:16" ht="15" customHeight="1" x14ac:dyDescent="0.15">
      <c r="A144" s="244"/>
      <c r="B144" s="245"/>
      <c r="C144" s="245"/>
      <c r="D144" s="246"/>
      <c r="E144" s="245"/>
      <c r="F144" s="247"/>
      <c r="G144" s="248"/>
      <c r="H144" s="247"/>
      <c r="I144" s="245"/>
      <c r="J144" s="249">
        <f>IF(OR(B144="",C144="",E144=""),"",B144&amp;":"&amp;C144&amp;":"&amp;E144)</f>
      </c>
      <c r="K144" s="250">
        <f>IF(A144="","",A144*D144)</f>
      </c>
      <c r="L144" s="249">
        <f>IF(A144="","",IF(OR(A144=1,A144=0),H144,0))</f>
      </c>
      <c r="M144" s="249">
        <f>IF(A144="","",IF(A144=-1,H144,0))</f>
      </c>
      <c r="N144">
        <f>IF($E144="SGD",1,IF($E144="USD",Settings!$B$22,IF($E144="HKD",Settings!$B$23,1)))</f>
      </c>
      <c r="O144">
        <f>IF($J144="",0,($M144-$L144+IF($A144=2,$H144,0))*$N144)</f>
      </c>
      <c r="P144">
        <f>IF($J144="",0,IF($A144=2,$H144*$N144,0))</f>
      </c>
    </row>
    <row r="145" spans="1:16" ht="15" customHeight="1" x14ac:dyDescent="0.15">
      <c r="A145" s="244"/>
      <c r="B145" s="245"/>
      <c r="C145" s="245"/>
      <c r="D145" s="246"/>
      <c r="E145" s="245"/>
      <c r="F145" s="247"/>
      <c r="G145" s="248"/>
      <c r="H145" s="247"/>
      <c r="I145" s="245"/>
      <c r="J145" s="249">
        <f>IF(OR(B145="",C145="",E145=""),"",B145&amp;":"&amp;C145&amp;":"&amp;E145)</f>
      </c>
      <c r="K145" s="250">
        <f>IF(A145="","",A145*D145)</f>
      </c>
      <c r="L145" s="249">
        <f>IF(A145="","",IF(OR(A145=1,A145=0),H145,0))</f>
      </c>
      <c r="M145" s="249">
        <f>IF(A145="","",IF(A145=-1,H145,0))</f>
      </c>
      <c r="N145">
        <f>IF($E145="SGD",1,IF($E145="USD",Settings!$B$22,IF($E145="HKD",Settings!$B$23,1)))</f>
      </c>
      <c r="O145">
        <f>IF($J145="",0,($M145-$L145+IF($A145=2,$H145,0))*$N145)</f>
      </c>
      <c r="P145">
        <f>IF($J145="",0,IF($A145=2,$H145*$N145,0))</f>
      </c>
    </row>
    <row r="146" spans="1:16" ht="15" customHeight="1" x14ac:dyDescent="0.15">
      <c r="A146" s="244"/>
      <c r="B146" s="245"/>
      <c r="C146" s="245"/>
      <c r="D146" s="246"/>
      <c r="E146" s="245"/>
      <c r="F146" s="247"/>
      <c r="G146" s="248"/>
      <c r="H146" s="247"/>
      <c r="I146" s="245"/>
      <c r="J146" s="249">
        <f>IF(OR(B146="",C146="",E146=""),"",B146&amp;":"&amp;C146&amp;":"&amp;E146)</f>
      </c>
      <c r="K146" s="250">
        <f>IF(A146="","",A146*D146)</f>
      </c>
      <c r="L146" s="249">
        <f>IF(A146="","",IF(OR(A146=1,A146=0),H146,0))</f>
      </c>
      <c r="M146" s="249">
        <f>IF(A146="","",IF(A146=-1,H146,0))</f>
      </c>
      <c r="N146">
        <f>IF($E146="SGD",1,IF($E146="USD",Settings!$B$22,IF($E146="HKD",Settings!$B$23,1)))</f>
      </c>
      <c r="O146">
        <f>IF($J146="",0,($M146-$L146+IF($A146=2,$H146,0))*$N146)</f>
      </c>
      <c r="P146">
        <f>IF($J146="",0,IF($A146=2,$H146*$N146,0))</f>
      </c>
    </row>
    <row r="147" spans="1:16" ht="15" customHeight="1" x14ac:dyDescent="0.15">
      <c r="A147" s="244"/>
      <c r="B147" s="245"/>
      <c r="C147" s="245"/>
      <c r="D147" s="246"/>
      <c r="E147" s="245"/>
      <c r="F147" s="247"/>
      <c r="G147" s="248"/>
      <c r="H147" s="247"/>
      <c r="I147" s="245"/>
      <c r="J147" s="249">
        <f>IF(OR(B147="",C147="",E147=""),"",B147&amp;":"&amp;C147&amp;":"&amp;E147)</f>
      </c>
      <c r="K147" s="250">
        <f>IF(A147="","",A147*D147)</f>
      </c>
      <c r="L147" s="249">
        <f>IF(A147="","",IF(OR(A147=1,A147=0),H147,0))</f>
      </c>
      <c r="M147" s="249">
        <f>IF(A147="","",IF(A147=-1,H147,0))</f>
      </c>
      <c r="N147">
        <f>IF($E147="SGD",1,IF($E147="USD",Settings!$B$22,IF($E147="HKD",Settings!$B$23,1)))</f>
      </c>
      <c r="O147">
        <f>IF($J147="",0,($M147-$L147+IF($A147=2,$H147,0))*$N147)</f>
      </c>
      <c r="P147">
        <f>IF($J147="",0,IF($A147=2,$H147*$N147,0))</f>
      </c>
    </row>
    <row r="148" spans="1:16" ht="15" customHeight="1" x14ac:dyDescent="0.15">
      <c r="A148" s="244"/>
      <c r="B148" s="245"/>
      <c r="C148" s="245"/>
      <c r="D148" s="246"/>
      <c r="E148" s="245"/>
      <c r="F148" s="247"/>
      <c r="G148" s="248"/>
      <c r="H148" s="247"/>
      <c r="I148" s="245"/>
      <c r="J148" s="249">
        <f>IF(OR(B148="",C148="",E148=""),"",B148&amp;":"&amp;C148&amp;":"&amp;E148)</f>
      </c>
      <c r="K148" s="250">
        <f>IF(A148="","",A148*D148)</f>
      </c>
      <c r="L148" s="249">
        <f>IF(A148="","",IF(OR(A148=1,A148=0),H148,0))</f>
      </c>
      <c r="M148" s="249">
        <f>IF(A148="","",IF(A148=-1,H148,0))</f>
      </c>
      <c r="N148">
        <f>IF($E148="SGD",1,IF($E148="USD",Settings!$B$22,IF($E148="HKD",Settings!$B$23,1)))</f>
      </c>
      <c r="O148">
        <f>IF($J148="",0,($M148-$L148+IF($A148=2,$H148,0))*$N148)</f>
      </c>
      <c r="P148">
        <f>IF($J148="",0,IF($A148=2,$H148*$N148,0))</f>
      </c>
    </row>
    <row r="149" spans="1:16" ht="15" customHeight="1" x14ac:dyDescent="0.15">
      <c r="A149" s="244"/>
      <c r="B149" s="245"/>
      <c r="C149" s="245"/>
      <c r="D149" s="246"/>
      <c r="E149" s="245"/>
      <c r="F149" s="247"/>
      <c r="G149" s="248"/>
      <c r="H149" s="247"/>
      <c r="I149" s="245"/>
      <c r="J149" s="249">
        <f>IF(OR(B149="",C149="",E149=""),"",B149&amp;":"&amp;C149&amp;":"&amp;E149)</f>
      </c>
      <c r="K149" s="250">
        <f>IF(A149="","",A149*D149)</f>
      </c>
      <c r="L149" s="249">
        <f>IF(A149="","",IF(OR(A149=1,A149=0),H149,0))</f>
      </c>
      <c r="M149" s="249">
        <f>IF(A149="","",IF(A149=-1,H149,0))</f>
      </c>
      <c r="N149">
        <f>IF($E149="SGD",1,IF($E149="USD",Settings!$B$22,IF($E149="HKD",Settings!$B$23,1)))</f>
      </c>
      <c r="O149">
        <f>IF($J149="",0,($M149-$L149+IF($A149=2,$H149,0))*$N149)</f>
      </c>
      <c r="P149">
        <f>IF($J149="",0,IF($A149=2,$H149*$N149,0))</f>
      </c>
    </row>
    <row r="150" spans="1:16" ht="15" customHeight="1" x14ac:dyDescent="0.15">
      <c r="A150" s="244"/>
      <c r="B150" s="245"/>
      <c r="C150" s="245"/>
      <c r="D150" s="246"/>
      <c r="E150" s="245"/>
      <c r="F150" s="247"/>
      <c r="G150" s="248"/>
      <c r="H150" s="247"/>
      <c r="I150" s="245"/>
      <c r="J150" s="249">
        <f>IF(OR(B150="",C150="",E150=""),"",B150&amp;":"&amp;C150&amp;":"&amp;E150)</f>
      </c>
      <c r="K150" s="250">
        <f>IF(A150="","",A150*D150)</f>
      </c>
      <c r="L150" s="249">
        <f>IF(A150="","",IF(OR(A150=1,A150=0),H150,0))</f>
      </c>
      <c r="M150" s="249">
        <f>IF(A150="","",IF(A150=-1,H150,0))</f>
      </c>
      <c r="N150">
        <f>IF($E150="SGD",1,IF($E150="USD",Settings!$B$22,IF($E150="HKD",Settings!$B$23,1)))</f>
      </c>
      <c r="O150">
        <f>IF($J150="",0,($M150-$L150+IF($A150=2,$H150,0))*$N150)</f>
      </c>
      <c r="P150">
        <f>IF($J150="",0,IF($A150=2,$H150*$N150,0))</f>
      </c>
    </row>
    <row r="151" spans="1:16" ht="15" customHeight="1" x14ac:dyDescent="0.15">
      <c r="A151" s="244"/>
      <c r="B151" s="245"/>
      <c r="C151" s="245"/>
      <c r="D151" s="246"/>
      <c r="E151" s="245"/>
      <c r="F151" s="247"/>
      <c r="G151" s="248"/>
      <c r="H151" s="247"/>
      <c r="I151" s="245"/>
      <c r="J151" s="249">
        <f>IF(OR(B151="",C151="",E151=""),"",B151&amp;":"&amp;C151&amp;":"&amp;E151)</f>
      </c>
      <c r="K151" s="250">
        <f>IF(A151="","",A151*D151)</f>
      </c>
      <c r="L151" s="249">
        <f>IF(A151="","",IF(OR(A151=1,A151=0),H151,0))</f>
      </c>
      <c r="M151" s="249">
        <f>IF(A151="","",IF(A151=-1,H151,0))</f>
      </c>
      <c r="N151">
        <f>IF($E151="SGD",1,IF($E151="USD",Settings!$B$22,IF($E151="HKD",Settings!$B$23,1)))</f>
      </c>
      <c r="O151">
        <f>IF($J151="",0,($M151-$L151+IF($A151=2,$H151,0))*$N151)</f>
      </c>
      <c r="P151">
        <f>IF($J151="",0,IF($A151=2,$H151*$N151,0))</f>
      </c>
    </row>
    <row r="152" spans="1:16" ht="15" customHeight="1" x14ac:dyDescent="0.15">
      <c r="A152" s="244"/>
      <c r="B152" s="245"/>
      <c r="C152" s="245"/>
      <c r="D152" s="246"/>
      <c r="E152" s="245"/>
      <c r="F152" s="247"/>
      <c r="G152" s="248"/>
      <c r="H152" s="247"/>
      <c r="I152" s="245"/>
      <c r="J152" s="249">
        <f>IF(OR(B152="",C152="",E152=""),"",B152&amp;":"&amp;C152&amp;":"&amp;E152)</f>
      </c>
      <c r="K152" s="250">
        <f>IF(A152="","",A152*D152)</f>
      </c>
      <c r="L152" s="249">
        <f>IF(A152="","",IF(OR(A152=1,A152=0),H152,0))</f>
      </c>
      <c r="M152" s="249">
        <f>IF(A152="","",IF(A152=-1,H152,0))</f>
      </c>
      <c r="N152">
        <f>IF($E152="SGD",1,IF($E152="USD",Settings!$B$22,IF($E152="HKD",Settings!$B$23,1)))</f>
      </c>
      <c r="O152">
        <f>IF($J152="",0,($M152-$L152+IF($A152=2,$H152,0))*$N152)</f>
      </c>
      <c r="P152">
        <f>IF($J152="",0,IF($A152=2,$H152*$N152,0))</f>
      </c>
    </row>
    <row r="153" spans="1:16" ht="15" customHeight="1" x14ac:dyDescent="0.15">
      <c r="A153" s="244"/>
      <c r="B153" s="245"/>
      <c r="C153" s="245"/>
      <c r="D153" s="246"/>
      <c r="E153" s="245"/>
      <c r="F153" s="247"/>
      <c r="G153" s="248"/>
      <c r="H153" s="247"/>
      <c r="I153" s="245"/>
      <c r="J153" s="249">
        <f>IF(OR(B153="",C153="",E153=""),"",B153&amp;":"&amp;C153&amp;":"&amp;E153)</f>
      </c>
      <c r="K153" s="250">
        <f>IF(A153="","",A153*D153)</f>
      </c>
      <c r="L153" s="249">
        <f>IF(A153="","",IF(OR(A153=1,A153=0),H153,0))</f>
      </c>
      <c r="M153" s="249">
        <f>IF(A153="","",IF(A153=-1,H153,0))</f>
      </c>
      <c r="N153">
        <f>IF($E153="SGD",1,IF($E153="USD",Settings!$B$22,IF($E153="HKD",Settings!$B$23,1)))</f>
      </c>
      <c r="O153">
        <f>IF($J153="",0,($M153-$L153+IF($A153=2,$H153,0))*$N153)</f>
      </c>
      <c r="P153">
        <f>IF($J153="",0,IF($A153=2,$H153*$N153,0))</f>
      </c>
    </row>
    <row r="154" spans="1:16" ht="15" customHeight="1" x14ac:dyDescent="0.15">
      <c r="A154" s="244"/>
      <c r="B154" s="245"/>
      <c r="C154" s="245"/>
      <c r="D154" s="246"/>
      <c r="E154" s="245"/>
      <c r="F154" s="247"/>
      <c r="G154" s="248"/>
      <c r="H154" s="247"/>
      <c r="I154" s="245"/>
      <c r="J154" s="249">
        <f>IF(OR(B154="",C154="",E154=""),"",B154&amp;":"&amp;C154&amp;":"&amp;E154)</f>
      </c>
      <c r="K154" s="250">
        <f>IF(A154="","",A154*D154)</f>
      </c>
      <c r="L154" s="249">
        <f>IF(A154="","",IF(OR(A154=1,A154=0),H154,0))</f>
      </c>
      <c r="M154" s="249">
        <f>IF(A154="","",IF(A154=-1,H154,0))</f>
      </c>
      <c r="N154">
        <f>IF($E154="SGD",1,IF($E154="USD",Settings!$B$22,IF($E154="HKD",Settings!$B$23,1)))</f>
      </c>
      <c r="O154">
        <f>IF($J154="",0,($M154-$L154+IF($A154=2,$H154,0))*$N154)</f>
      </c>
      <c r="P154">
        <f>IF($J154="",0,IF($A154=2,$H154*$N154,0))</f>
      </c>
    </row>
    <row r="155" spans="1:16" ht="15" customHeight="1" x14ac:dyDescent="0.15">
      <c r="A155" s="244"/>
      <c r="B155" s="245"/>
      <c r="C155" s="245"/>
      <c r="D155" s="246"/>
      <c r="E155" s="245"/>
      <c r="F155" s="247"/>
      <c r="G155" s="248"/>
      <c r="H155" s="247"/>
      <c r="I155" s="245"/>
      <c r="J155" s="249">
        <f>IF(OR(B155="",C155="",E155=""),"",B155&amp;":"&amp;C155&amp;":"&amp;E155)</f>
      </c>
      <c r="K155" s="250">
        <f>IF(A155="","",A155*D155)</f>
      </c>
      <c r="L155" s="249">
        <f>IF(A155="","",IF(OR(A155=1,A155=0),H155,0))</f>
      </c>
      <c r="M155" s="249">
        <f>IF(A155="","",IF(A155=-1,H155,0))</f>
      </c>
      <c r="N155">
        <f>IF($E155="SGD",1,IF($E155="USD",Settings!$B$22,IF($E155="HKD",Settings!$B$23,1)))</f>
      </c>
      <c r="O155">
        <f>IF($J155="",0,($M155-$L155+IF($A155=2,$H155,0))*$N155)</f>
      </c>
      <c r="P155">
        <f>IF($J155="",0,IF($A155=2,$H155*$N155,0))</f>
      </c>
    </row>
    <row r="156" spans="1:16" ht="15" customHeight="1" x14ac:dyDescent="0.15">
      <c r="A156" s="244"/>
      <c r="B156" s="245"/>
      <c r="C156" s="245"/>
      <c r="D156" s="246"/>
      <c r="E156" s="245"/>
      <c r="F156" s="247"/>
      <c r="G156" s="248"/>
      <c r="H156" s="247"/>
      <c r="I156" s="245"/>
      <c r="J156" s="249">
        <f>IF(OR(B156="",C156="",E156=""),"",B156&amp;":"&amp;C156&amp;":"&amp;E156)</f>
      </c>
      <c r="K156" s="250">
        <f>IF(A156="","",A156*D156)</f>
      </c>
      <c r="L156" s="249">
        <f>IF(A156="","",IF(OR(A156=1,A156=0),H156,0))</f>
      </c>
      <c r="M156" s="249">
        <f>IF(A156="","",IF(A156=-1,H156,0))</f>
      </c>
      <c r="N156">
        <f>IF($E156="SGD",1,IF($E156="USD",Settings!$B$22,IF($E156="HKD",Settings!$B$23,1)))</f>
      </c>
      <c r="O156">
        <f>IF($J156="",0,($M156-$L156+IF($A156=2,$H156,0))*$N156)</f>
      </c>
      <c r="P156">
        <f>IF($J156="",0,IF($A156=2,$H156*$N156,0))</f>
      </c>
    </row>
    <row r="157" spans="1:16" ht="15" customHeight="1" x14ac:dyDescent="0.15">
      <c r="A157" s="244"/>
      <c r="B157" s="245"/>
      <c r="C157" s="245"/>
      <c r="D157" s="246"/>
      <c r="E157" s="245"/>
      <c r="F157" s="247"/>
      <c r="G157" s="248"/>
      <c r="H157" s="247"/>
      <c r="I157" s="245"/>
      <c r="J157" s="249">
        <f>IF(OR(B157="",C157="",E157=""),"",B157&amp;":"&amp;C157&amp;":"&amp;E157)</f>
      </c>
      <c r="K157" s="250">
        <f>IF(A157="","",A157*D157)</f>
      </c>
      <c r="L157" s="249">
        <f>IF(A157="","",IF(OR(A157=1,A157=0),H157,0))</f>
      </c>
      <c r="M157" s="249">
        <f>IF(A157="","",IF(A157=-1,H157,0))</f>
      </c>
      <c r="N157">
        <f>IF($E157="SGD",1,IF($E157="USD",Settings!$B$22,IF($E157="HKD",Settings!$B$23,1)))</f>
      </c>
      <c r="O157">
        <f>IF($J157="",0,($M157-$L157+IF($A157=2,$H157,0))*$N157)</f>
      </c>
      <c r="P157">
        <f>IF($J157="",0,IF($A157=2,$H157*$N157,0))</f>
      </c>
    </row>
    <row r="158" spans="1:16" ht="15" customHeight="1" x14ac:dyDescent="0.15">
      <c r="A158" s="244"/>
      <c r="B158" s="245"/>
      <c r="C158" s="245"/>
      <c r="D158" s="246"/>
      <c r="E158" s="245"/>
      <c r="F158" s="247"/>
      <c r="G158" s="248"/>
      <c r="H158" s="247"/>
      <c r="I158" s="245"/>
      <c r="J158" s="249">
        <f>IF(OR(B158="",C158="",E158=""),"",B158&amp;":"&amp;C158&amp;":"&amp;E158)</f>
      </c>
      <c r="K158" s="250">
        <f>IF(A158="","",A158*D158)</f>
      </c>
      <c r="L158" s="249">
        <f>IF(A158="","",IF(OR(A158=1,A158=0),H158,0))</f>
      </c>
      <c r="M158" s="249">
        <f>IF(A158="","",IF(A158=-1,H158,0))</f>
      </c>
      <c r="N158">
        <f>IF($E158="SGD",1,IF($E158="USD",Settings!$B$22,IF($E158="HKD",Settings!$B$23,1)))</f>
      </c>
      <c r="O158">
        <f>IF($J158="",0,($M158-$L158+IF($A158=2,$H158,0))*$N158)</f>
      </c>
      <c r="P158">
        <f>IF($J158="",0,IF($A158=2,$H158*$N158,0))</f>
      </c>
    </row>
    <row r="159" spans="1:16" ht="15" customHeight="1" x14ac:dyDescent="0.15">
      <c r="A159" s="244"/>
      <c r="B159" s="245"/>
      <c r="C159" s="245"/>
      <c r="D159" s="246"/>
      <c r="E159" s="245"/>
      <c r="F159" s="247"/>
      <c r="G159" s="248"/>
      <c r="H159" s="247"/>
      <c r="I159" s="245"/>
      <c r="J159" s="249">
        <f>IF(OR(B159="",C159="",E159=""),"",B159&amp;":"&amp;C159&amp;":"&amp;E159)</f>
      </c>
      <c r="K159" s="250">
        <f>IF(A159="","",A159*D159)</f>
      </c>
      <c r="L159" s="249">
        <f>IF(A159="","",IF(OR(A159=1,A159=0),H159,0))</f>
      </c>
      <c r="M159" s="249">
        <f>IF(A159="","",IF(A159=-1,H159,0))</f>
      </c>
      <c r="N159">
        <f>IF($E159="SGD",1,IF($E159="USD",Settings!$B$22,IF($E159="HKD",Settings!$B$23,1)))</f>
      </c>
      <c r="O159">
        <f>IF($J159="",0,($M159-$L159+IF($A159=2,$H159,0))*$N159)</f>
      </c>
      <c r="P159">
        <f>IF($J159="",0,IF($A159=2,$H159*$N159,0))</f>
      </c>
    </row>
    <row r="160" spans="1:16" ht="15" customHeight="1" x14ac:dyDescent="0.15">
      <c r="A160" s="244"/>
      <c r="B160" s="245"/>
      <c r="C160" s="245"/>
      <c r="D160" s="246"/>
      <c r="E160" s="245"/>
      <c r="F160" s="247"/>
      <c r="G160" s="248"/>
      <c r="H160" s="247"/>
      <c r="I160" s="245"/>
      <c r="J160" s="249">
        <f>IF(OR(B160="",C160="",E160=""),"",B160&amp;":"&amp;C160&amp;":"&amp;E160)</f>
      </c>
      <c r="K160" s="250">
        <f>IF(A160="","",A160*D160)</f>
      </c>
      <c r="L160" s="249">
        <f>IF(A160="","",IF(OR(A160=1,A160=0),H160,0))</f>
      </c>
      <c r="M160" s="249">
        <f>IF(A160="","",IF(A160=-1,H160,0))</f>
      </c>
      <c r="N160">
        <f>IF($E160="SGD",1,IF($E160="USD",Settings!$B$22,IF($E160="HKD",Settings!$B$23,1)))</f>
      </c>
      <c r="O160">
        <f>IF($J160="",0,($M160-$L160+IF($A160=2,$H160,0))*$N160)</f>
      </c>
      <c r="P160">
        <f>IF($J160="",0,IF($A160=2,$H160*$N160,0))</f>
      </c>
    </row>
    <row r="161" spans="1:16" ht="15" customHeight="1" x14ac:dyDescent="0.15">
      <c r="A161" s="244"/>
      <c r="B161" s="245"/>
      <c r="C161" s="245"/>
      <c r="D161" s="246"/>
      <c r="E161" s="245"/>
      <c r="F161" s="247"/>
      <c r="G161" s="248"/>
      <c r="H161" s="247"/>
      <c r="I161" s="245"/>
      <c r="J161" s="249">
        <f>IF(OR(B161="",C161="",E161=""),"",B161&amp;":"&amp;C161&amp;":"&amp;E161)</f>
      </c>
      <c r="K161" s="250">
        <f>IF(A161="","",A161*D161)</f>
      </c>
      <c r="L161" s="249">
        <f>IF(A161="","",IF(OR(A161=1,A161=0),H161,0))</f>
      </c>
      <c r="M161" s="249">
        <f>IF(A161="","",IF(A161=-1,H161,0))</f>
      </c>
      <c r="N161">
        <f>IF($E161="SGD",1,IF($E161="USD",Settings!$B$22,IF($E161="HKD",Settings!$B$23,1)))</f>
      </c>
      <c r="O161">
        <f>IF($J161="",0,($M161-$L161+IF($A161=2,$H161,0))*$N161)</f>
      </c>
      <c r="P161">
        <f>IF($J161="",0,IF($A161=2,$H161*$N161,0))</f>
      </c>
    </row>
    <row r="162" spans="1:16" ht="15" customHeight="1" x14ac:dyDescent="0.15">
      <c r="A162" s="244"/>
      <c r="B162" s="245"/>
      <c r="C162" s="245"/>
      <c r="D162" s="246"/>
      <c r="E162" s="245"/>
      <c r="F162" s="247"/>
      <c r="G162" s="248"/>
      <c r="H162" s="247"/>
      <c r="I162" s="245"/>
      <c r="J162" s="249">
        <f>IF(OR(B162="",C162="",E162=""),"",B162&amp;":"&amp;C162&amp;":"&amp;E162)</f>
      </c>
      <c r="K162" s="250">
        <f>IF(A162="","",A162*D162)</f>
      </c>
      <c r="L162" s="249">
        <f>IF(A162="","",IF(OR(A162=1,A162=0),H162,0))</f>
      </c>
      <c r="M162" s="249">
        <f>IF(A162="","",IF(A162=-1,H162,0))</f>
      </c>
      <c r="N162">
        <f>IF($E162="SGD",1,IF($E162="USD",Settings!$B$22,IF($E162="HKD",Settings!$B$23,1)))</f>
      </c>
      <c r="O162">
        <f>IF($J162="",0,($M162-$L162+IF($A162=2,$H162,0))*$N162)</f>
      </c>
      <c r="P162">
        <f>IF($J162="",0,IF($A162=2,$H162*$N162,0))</f>
      </c>
    </row>
    <row r="163" spans="1:16" ht="15" customHeight="1" x14ac:dyDescent="0.15">
      <c r="A163" s="244"/>
      <c r="B163" s="245"/>
      <c r="C163" s="245"/>
      <c r="D163" s="246"/>
      <c r="E163" s="245"/>
      <c r="F163" s="247"/>
      <c r="G163" s="248"/>
      <c r="H163" s="247"/>
      <c r="I163" s="245"/>
      <c r="J163" s="249">
        <f>IF(OR(B163="",C163="",E163=""),"",B163&amp;":"&amp;C163&amp;":"&amp;E163)</f>
      </c>
      <c r="K163" s="250">
        <f>IF(A163="","",A163*D163)</f>
      </c>
      <c r="L163" s="249">
        <f>IF(A163="","",IF(OR(A163=1,A163=0),H163,0))</f>
      </c>
      <c r="M163" s="249">
        <f>IF(A163="","",IF(A163=-1,H163,0))</f>
      </c>
      <c r="N163">
        <f>IF($E163="SGD",1,IF($E163="USD",Settings!$B$22,IF($E163="HKD",Settings!$B$23,1)))</f>
      </c>
      <c r="O163">
        <f>IF($J163="",0,($M163-$L163+IF($A163=2,$H163,0))*$N163)</f>
      </c>
      <c r="P163">
        <f>IF($J163="",0,IF($A163=2,$H163*$N163,0))</f>
      </c>
    </row>
    <row r="164" spans="1:16" ht="15" customHeight="1" x14ac:dyDescent="0.15">
      <c r="A164" s="244"/>
      <c r="B164" s="245"/>
      <c r="C164" s="245"/>
      <c r="D164" s="246"/>
      <c r="E164" s="245"/>
      <c r="F164" s="247"/>
      <c r="G164" s="248"/>
      <c r="H164" s="247"/>
      <c r="I164" s="245"/>
      <c r="J164" s="249">
        <f>IF(OR(B164="",C164="",E164=""),"",B164&amp;":"&amp;C164&amp;":"&amp;E164)</f>
      </c>
      <c r="K164" s="250">
        <f>IF(A164="","",A164*D164)</f>
      </c>
      <c r="L164" s="249">
        <f>IF(A164="","",IF(OR(A164=1,A164=0),H164,0))</f>
      </c>
      <c r="M164" s="249">
        <f>IF(A164="","",IF(A164=-1,H164,0))</f>
      </c>
      <c r="N164">
        <f>IF($E164="SGD",1,IF($E164="USD",Settings!$B$22,IF($E164="HKD",Settings!$B$23,1)))</f>
      </c>
      <c r="O164">
        <f>IF($J164="",0,($M164-$L164+IF($A164=2,$H164,0))*$N164)</f>
      </c>
      <c r="P164">
        <f>IF($J164="",0,IF($A164=2,$H164*$N164,0))</f>
      </c>
    </row>
    <row r="165" spans="1:16" ht="15" customHeight="1" x14ac:dyDescent="0.15">
      <c r="A165" s="244"/>
      <c r="B165" s="245"/>
      <c r="C165" s="245"/>
      <c r="D165" s="246"/>
      <c r="E165" s="245"/>
      <c r="F165" s="247"/>
      <c r="G165" s="248"/>
      <c r="H165" s="247"/>
      <c r="I165" s="245"/>
      <c r="J165" s="249">
        <f>IF(OR(B165="",C165="",E165=""),"",B165&amp;":"&amp;C165&amp;":"&amp;E165)</f>
      </c>
      <c r="K165" s="250">
        <f>IF(A165="","",A165*D165)</f>
      </c>
      <c r="L165" s="249">
        <f>IF(A165="","",IF(OR(A165=1,A165=0),H165,0))</f>
      </c>
      <c r="M165" s="249">
        <f>IF(A165="","",IF(A165=-1,H165,0))</f>
      </c>
      <c r="N165">
        <f>IF($E165="SGD",1,IF($E165="USD",Settings!$B$22,IF($E165="HKD",Settings!$B$23,1)))</f>
      </c>
      <c r="O165">
        <f>IF($J165="",0,($M165-$L165+IF($A165=2,$H165,0))*$N165)</f>
      </c>
      <c r="P165">
        <f>IF($J165="",0,IF($A165=2,$H165*$N165,0))</f>
      </c>
    </row>
    <row r="166" spans="1:16" ht="15" customHeight="1" x14ac:dyDescent="0.15">
      <c r="A166" s="244"/>
      <c r="B166" s="245"/>
      <c r="C166" s="245"/>
      <c r="D166" s="246"/>
      <c r="E166" s="245"/>
      <c r="F166" s="247"/>
      <c r="G166" s="248"/>
      <c r="H166" s="247"/>
      <c r="I166" s="245"/>
      <c r="J166" s="249">
        <f>IF(OR(B166="",C166="",E166=""),"",B166&amp;":"&amp;C166&amp;":"&amp;E166)</f>
      </c>
      <c r="K166" s="250">
        <f>IF(A166="","",A166*D166)</f>
      </c>
      <c r="L166" s="249">
        <f>IF(A166="","",IF(OR(A166=1,A166=0),H166,0))</f>
      </c>
      <c r="M166" s="249">
        <f>IF(A166="","",IF(A166=-1,H166,0))</f>
      </c>
      <c r="N166">
        <f>IF($E166="SGD",1,IF($E166="USD",Settings!$B$22,IF($E166="HKD",Settings!$B$23,1)))</f>
      </c>
      <c r="O166">
        <f>IF($J166="",0,($M166-$L166+IF($A166=2,$H166,0))*$N166)</f>
      </c>
      <c r="P166">
        <f>IF($J166="",0,IF($A166=2,$H166*$N166,0))</f>
      </c>
    </row>
    <row r="167" spans="1:16" ht="15" customHeight="1" x14ac:dyDescent="0.15">
      <c r="A167" s="244"/>
      <c r="B167" s="245"/>
      <c r="C167" s="245"/>
      <c r="D167" s="246"/>
      <c r="E167" s="245"/>
      <c r="F167" s="247"/>
      <c r="G167" s="248"/>
      <c r="H167" s="247"/>
      <c r="I167" s="245"/>
      <c r="J167" s="249">
        <f>IF(OR(B167="",C167="",E167=""),"",B167&amp;":"&amp;C167&amp;":"&amp;E167)</f>
      </c>
      <c r="K167" s="250">
        <f>IF(A167="","",A167*D167)</f>
      </c>
      <c r="L167" s="249">
        <f>IF(A167="","",IF(OR(A167=1,A167=0),H167,0))</f>
      </c>
      <c r="M167" s="249">
        <f>IF(A167="","",IF(A167=-1,H167,0))</f>
      </c>
      <c r="N167">
        <f>IF($E167="SGD",1,IF($E167="USD",Settings!$B$22,IF($E167="HKD",Settings!$B$23,1)))</f>
      </c>
      <c r="O167">
        <f>IF($J167="",0,($M167-$L167+IF($A167=2,$H167,0))*$N167)</f>
      </c>
      <c r="P167">
        <f>IF($J167="",0,IF($A167=2,$H167*$N167,0))</f>
      </c>
    </row>
    <row r="168" spans="1:16" ht="15" customHeight="1" x14ac:dyDescent="0.15">
      <c r="A168" s="244"/>
      <c r="B168" s="245"/>
      <c r="C168" s="245"/>
      <c r="D168" s="246"/>
      <c r="E168" s="245"/>
      <c r="F168" s="247"/>
      <c r="G168" s="248"/>
      <c r="H168" s="247"/>
      <c r="I168" s="245"/>
      <c r="J168" s="249">
        <f>IF(OR(B168="",C168="",E168=""),"",B168&amp;":"&amp;C168&amp;":"&amp;E168)</f>
      </c>
      <c r="K168" s="250">
        <f>IF(A168="","",A168*D168)</f>
      </c>
      <c r="L168" s="249">
        <f>IF(A168="","",IF(OR(A168=1,A168=0),H168,0))</f>
      </c>
      <c r="M168" s="249">
        <f>IF(A168="","",IF(A168=-1,H168,0))</f>
      </c>
      <c r="N168">
        <f>IF($E168="SGD",1,IF($E168="USD",Settings!$B$22,IF($E168="HKD",Settings!$B$23,1)))</f>
      </c>
      <c r="O168">
        <f>IF($J168="",0,($M168-$L168+IF($A168=2,$H168,0))*$N168)</f>
      </c>
      <c r="P168">
        <f>IF($J168="",0,IF($A168=2,$H168*$N168,0))</f>
      </c>
    </row>
    <row r="169" spans="1:16" ht="15" customHeight="1" x14ac:dyDescent="0.15">
      <c r="A169" s="244"/>
      <c r="B169" s="245"/>
      <c r="C169" s="245"/>
      <c r="D169" s="246"/>
      <c r="E169" s="245"/>
      <c r="F169" s="247"/>
      <c r="G169" s="248"/>
      <c r="H169" s="247"/>
      <c r="I169" s="245"/>
      <c r="J169" s="249">
        <f>IF(OR(B169="",C169="",E169=""),"",B169&amp;":"&amp;C169&amp;":"&amp;E169)</f>
      </c>
      <c r="K169" s="250">
        <f>IF(A169="","",A169*D169)</f>
      </c>
      <c r="L169" s="249">
        <f>IF(A169="","",IF(OR(A169=1,A169=0),H169,0))</f>
      </c>
      <c r="M169" s="249">
        <f>IF(A169="","",IF(A169=-1,H169,0))</f>
      </c>
      <c r="N169">
        <f>IF($E169="SGD",1,IF($E169="USD",Settings!$B$22,IF($E169="HKD",Settings!$B$23,1)))</f>
      </c>
      <c r="O169">
        <f>IF($J169="",0,($M169-$L169+IF($A169=2,$H169,0))*$N169)</f>
      </c>
      <c r="P169">
        <f>IF($J169="",0,IF($A169=2,$H169*$N169,0))</f>
      </c>
    </row>
    <row r="170" spans="1:16" ht="15" customHeight="1" x14ac:dyDescent="0.15">
      <c r="A170" s="244"/>
      <c r="B170" s="245"/>
      <c r="C170" s="245"/>
      <c r="D170" s="246"/>
      <c r="E170" s="245"/>
      <c r="F170" s="247"/>
      <c r="G170" s="248"/>
      <c r="H170" s="247"/>
      <c r="I170" s="245"/>
      <c r="J170" s="249">
        <f>IF(OR(B170="",C170="",E170=""),"",B170&amp;":"&amp;C170&amp;":"&amp;E170)</f>
      </c>
      <c r="K170" s="250">
        <f>IF(A170="","",A170*D170)</f>
      </c>
      <c r="L170" s="249">
        <f>IF(A170="","",IF(OR(A170=1,A170=0),H170,0))</f>
      </c>
      <c r="M170" s="249">
        <f>IF(A170="","",IF(A170=-1,H170,0))</f>
      </c>
      <c r="N170">
        <f>IF($E170="SGD",1,IF($E170="USD",Settings!$B$22,IF($E170="HKD",Settings!$B$23,1)))</f>
      </c>
      <c r="O170">
        <f>IF($J170="",0,($M170-$L170+IF($A170=2,$H170,0))*$N170)</f>
      </c>
      <c r="P170">
        <f>IF($J170="",0,IF($A170=2,$H170*$N170,0))</f>
      </c>
    </row>
    <row r="171" spans="1:16" ht="15" customHeight="1" x14ac:dyDescent="0.15">
      <c r="A171" s="244"/>
      <c r="B171" s="245"/>
      <c r="C171" s="245"/>
      <c r="D171" s="246"/>
      <c r="E171" s="245"/>
      <c r="F171" s="247"/>
      <c r="G171" s="248"/>
      <c r="H171" s="247"/>
      <c r="I171" s="245"/>
      <c r="J171" s="249">
        <f>IF(OR(B171="",C171="",E171=""),"",B171&amp;":"&amp;C171&amp;":"&amp;E171)</f>
      </c>
      <c r="K171" s="250">
        <f>IF(A171="","",A171*D171)</f>
      </c>
      <c r="L171" s="249">
        <f>IF(A171="","",IF(OR(A171=1,A171=0),H171,0))</f>
      </c>
      <c r="M171" s="249">
        <f>IF(A171="","",IF(A171=-1,H171,0))</f>
      </c>
      <c r="N171">
        <f>IF($E171="SGD",1,IF($E171="USD",Settings!$B$22,IF($E171="HKD",Settings!$B$23,1)))</f>
      </c>
      <c r="O171">
        <f>IF($J171="",0,($M171-$L171+IF($A171=2,$H171,0))*$N171)</f>
      </c>
      <c r="P171">
        <f>IF($J171="",0,IF($A171=2,$H171*$N171,0))</f>
      </c>
    </row>
    <row r="172" spans="1:16" ht="15" customHeight="1" x14ac:dyDescent="0.15">
      <c r="A172" s="244"/>
      <c r="B172" s="245"/>
      <c r="C172" s="245"/>
      <c r="D172" s="246"/>
      <c r="E172" s="245"/>
      <c r="F172" s="247"/>
      <c r="G172" s="248"/>
      <c r="H172" s="247"/>
      <c r="I172" s="245"/>
      <c r="J172" s="249">
        <f>IF(OR(B172="",C172="",E172=""),"",B172&amp;":"&amp;C172&amp;":"&amp;E172)</f>
      </c>
      <c r="K172" s="250">
        <f>IF(A172="","",A172*D172)</f>
      </c>
      <c r="L172" s="249">
        <f>IF(A172="","",IF(OR(A172=1,A172=0),H172,0))</f>
      </c>
      <c r="M172" s="249">
        <f>IF(A172="","",IF(A172=-1,H172,0))</f>
      </c>
      <c r="N172">
        <f>IF($E172="SGD",1,IF($E172="USD",Settings!$B$22,IF($E172="HKD",Settings!$B$23,1)))</f>
      </c>
      <c r="O172">
        <f>IF($J172="",0,($M172-$L172+IF($A172=2,$H172,0))*$N172)</f>
      </c>
      <c r="P172">
        <f>IF($J172="",0,IF($A172=2,$H172*$N172,0))</f>
      </c>
    </row>
    <row r="173" spans="1:16" ht="15" customHeight="1" x14ac:dyDescent="0.15">
      <c r="A173" s="244"/>
      <c r="B173" s="245"/>
      <c r="C173" s="245"/>
      <c r="D173" s="246"/>
      <c r="E173" s="245"/>
      <c r="F173" s="247"/>
      <c r="G173" s="248"/>
      <c r="H173" s="247"/>
      <c r="I173" s="245"/>
      <c r="J173" s="249">
        <f>IF(OR(B173="",C173="",E173=""),"",B173&amp;":"&amp;C173&amp;":"&amp;E173)</f>
      </c>
      <c r="K173" s="250">
        <f>IF(A173="","",A173*D173)</f>
      </c>
      <c r="L173" s="249">
        <f>IF(A173="","",IF(OR(A173=1,A173=0),H173,0))</f>
      </c>
      <c r="M173" s="249">
        <f>IF(A173="","",IF(A173=-1,H173,0))</f>
      </c>
      <c r="N173">
        <f>IF($E173="SGD",1,IF($E173="USD",Settings!$B$22,IF($E173="HKD",Settings!$B$23,1)))</f>
      </c>
      <c r="O173">
        <f>IF($J173="",0,($M173-$L173+IF($A173=2,$H173,0))*$N173)</f>
      </c>
      <c r="P173">
        <f>IF($J173="",0,IF($A173=2,$H173*$N173,0))</f>
      </c>
    </row>
    <row r="174" spans="1:16" ht="15" customHeight="1" x14ac:dyDescent="0.15">
      <c r="A174" s="244"/>
      <c r="B174" s="245"/>
      <c r="C174" s="245"/>
      <c r="D174" s="246"/>
      <c r="E174" s="245"/>
      <c r="F174" s="247"/>
      <c r="G174" s="248"/>
      <c r="H174" s="247"/>
      <c r="I174" s="245"/>
      <c r="J174" s="249">
        <f>IF(OR(B174="",C174="",E174=""),"",B174&amp;":"&amp;C174&amp;":"&amp;E174)</f>
      </c>
      <c r="K174" s="250">
        <f>IF(A174="","",A174*D174)</f>
      </c>
      <c r="L174" s="249">
        <f>IF(A174="","",IF(OR(A174=1,A174=0),H174,0))</f>
      </c>
      <c r="M174" s="249">
        <f>IF(A174="","",IF(A174=-1,H174,0))</f>
      </c>
      <c r="N174">
        <f>IF($E174="SGD",1,IF($E174="USD",Settings!$B$22,IF($E174="HKD",Settings!$B$23,1)))</f>
      </c>
      <c r="O174">
        <f>IF($J174="",0,($M174-$L174+IF($A174=2,$H174,0))*$N174)</f>
      </c>
      <c r="P174">
        <f>IF($J174="",0,IF($A174=2,$H174*$N174,0))</f>
      </c>
    </row>
    <row r="175" spans="1:16" ht="15" customHeight="1" x14ac:dyDescent="0.15">
      <c r="A175" s="244"/>
      <c r="B175" s="245"/>
      <c r="C175" s="245"/>
      <c r="D175" s="246"/>
      <c r="E175" s="245"/>
      <c r="F175" s="247"/>
      <c r="G175" s="248"/>
      <c r="H175" s="247"/>
      <c r="I175" s="245"/>
      <c r="J175" s="249">
        <f>IF(OR(B175="",C175="",E175=""),"",B175&amp;":"&amp;C175&amp;":"&amp;E175)</f>
      </c>
      <c r="K175" s="250">
        <f>IF(A175="","",A175*D175)</f>
      </c>
      <c r="L175" s="249">
        <f>IF(A175="","",IF(OR(A175=1,A175=0),H175,0))</f>
      </c>
      <c r="M175" s="249">
        <f>IF(A175="","",IF(A175=-1,H175,0))</f>
      </c>
      <c r="N175">
        <f>IF($E175="SGD",1,IF($E175="USD",Settings!$B$22,IF($E175="HKD",Settings!$B$23,1)))</f>
      </c>
      <c r="O175">
        <f>IF($J175="",0,($M175-$L175+IF($A175=2,$H175,0))*$N175)</f>
      </c>
      <c r="P175">
        <f>IF($J175="",0,IF($A175=2,$H175*$N175,0))</f>
      </c>
    </row>
    <row r="176" spans="1:16" ht="15" customHeight="1" x14ac:dyDescent="0.15">
      <c r="A176" s="244"/>
      <c r="B176" s="245"/>
      <c r="C176" s="245"/>
      <c r="D176" s="246"/>
      <c r="E176" s="245"/>
      <c r="F176" s="247"/>
      <c r="G176" s="248"/>
      <c r="H176" s="247"/>
      <c r="I176" s="245"/>
      <c r="J176" s="249">
        <f>IF(OR(B176="",C176="",E176=""),"",B176&amp;":"&amp;C176&amp;":"&amp;E176)</f>
      </c>
      <c r="K176" s="250">
        <f>IF(A176="","",A176*D176)</f>
      </c>
      <c r="L176" s="249">
        <f>IF(A176="","",IF(OR(A176=1,A176=0),H176,0))</f>
      </c>
      <c r="M176" s="249">
        <f>IF(A176="","",IF(A176=-1,H176,0))</f>
      </c>
      <c r="N176">
        <f>IF($E176="SGD",1,IF($E176="USD",Settings!$B$22,IF($E176="HKD",Settings!$B$23,1)))</f>
      </c>
      <c r="O176">
        <f>IF($J176="",0,($M176-$L176+IF($A176=2,$H176,0))*$N176)</f>
      </c>
      <c r="P176">
        <f>IF($J176="",0,IF($A176=2,$H176*$N176,0))</f>
      </c>
    </row>
    <row r="177" spans="1:16" ht="15" customHeight="1" x14ac:dyDescent="0.15">
      <c r="A177" s="244"/>
      <c r="B177" s="245"/>
      <c r="C177" s="245"/>
      <c r="D177" s="246"/>
      <c r="E177" s="245"/>
      <c r="F177" s="247"/>
      <c r="G177" s="248"/>
      <c r="H177" s="247"/>
      <c r="I177" s="245"/>
      <c r="J177" s="249">
        <f>IF(OR(B177="",C177="",E177=""),"",B177&amp;":"&amp;C177&amp;":"&amp;E177)</f>
      </c>
      <c r="K177" s="250">
        <f>IF(A177="","",A177*D177)</f>
      </c>
      <c r="L177" s="249">
        <f>IF(A177="","",IF(OR(A177=1,A177=0),H177,0))</f>
      </c>
      <c r="M177" s="249">
        <f>IF(A177="","",IF(A177=-1,H177,0))</f>
      </c>
      <c r="N177">
        <f>IF($E177="SGD",1,IF($E177="USD",Settings!$B$22,IF($E177="HKD",Settings!$B$23,1)))</f>
      </c>
      <c r="O177">
        <f>IF($J177="",0,($M177-$L177+IF($A177=2,$H177,0))*$N177)</f>
      </c>
      <c r="P177">
        <f>IF($J177="",0,IF($A177=2,$H177*$N177,0))</f>
      </c>
    </row>
    <row r="178" spans="1:16" ht="15" customHeight="1" x14ac:dyDescent="0.15">
      <c r="A178" s="244"/>
      <c r="B178" s="245"/>
      <c r="C178" s="245"/>
      <c r="D178" s="246"/>
      <c r="E178" s="245"/>
      <c r="F178" s="247"/>
      <c r="G178" s="248"/>
      <c r="H178" s="247"/>
      <c r="I178" s="245"/>
      <c r="J178" s="249">
        <f>IF(OR(B178="",C178="",E178=""),"",B178&amp;":"&amp;C178&amp;":"&amp;E178)</f>
      </c>
      <c r="K178" s="250">
        <f>IF(A178="","",A178*D178)</f>
      </c>
      <c r="L178" s="249">
        <f>IF(A178="","",IF(OR(A178=1,A178=0),H178,0))</f>
      </c>
      <c r="M178" s="249">
        <f>IF(A178="","",IF(A178=-1,H178,0))</f>
      </c>
      <c r="N178">
        <f>IF($E178="SGD",1,IF($E178="USD",Settings!$B$22,IF($E178="HKD",Settings!$B$23,1)))</f>
      </c>
      <c r="O178">
        <f>IF($J178="",0,($M178-$L178+IF($A178=2,$H178,0))*$N178)</f>
      </c>
      <c r="P178">
        <f>IF($J178="",0,IF($A178=2,$H178*$N178,0))</f>
      </c>
    </row>
    <row r="179" spans="1:16" ht="15" customHeight="1" x14ac:dyDescent="0.15">
      <c r="A179" s="244"/>
      <c r="B179" s="245"/>
      <c r="C179" s="245"/>
      <c r="D179" s="246"/>
      <c r="E179" s="245"/>
      <c r="F179" s="247"/>
      <c r="G179" s="248"/>
      <c r="H179" s="247"/>
      <c r="I179" s="245"/>
      <c r="J179" s="249">
        <f>IF(OR(B179="",C179="",E179=""),"",B179&amp;":"&amp;C179&amp;":"&amp;E179)</f>
      </c>
      <c r="K179" s="250">
        <f>IF(A179="","",A179*D179)</f>
      </c>
      <c r="L179" s="249">
        <f>IF(A179="","",IF(OR(A179=1,A179=0),H179,0))</f>
      </c>
      <c r="M179" s="249">
        <f>IF(A179="","",IF(A179=-1,H179,0))</f>
      </c>
      <c r="N179">
        <f>IF($E179="SGD",1,IF($E179="USD",Settings!$B$22,IF($E179="HKD",Settings!$B$23,1)))</f>
      </c>
      <c r="O179">
        <f>IF($J179="",0,($M179-$L179+IF($A179=2,$H179,0))*$N179)</f>
      </c>
      <c r="P179">
        <f>IF($J179="",0,IF($A179=2,$H179*$N179,0))</f>
      </c>
    </row>
    <row r="180" spans="1:16" ht="15" customHeight="1" x14ac:dyDescent="0.15">
      <c r="A180" s="244"/>
      <c r="B180" s="245"/>
      <c r="C180" s="245"/>
      <c r="D180" s="246"/>
      <c r="E180" s="245"/>
      <c r="F180" s="247"/>
      <c r="G180" s="248"/>
      <c r="H180" s="247"/>
      <c r="I180" s="245"/>
      <c r="J180" s="249">
        <f>IF(OR(B180="",C180="",E180=""),"",B180&amp;":"&amp;C180&amp;":"&amp;E180)</f>
      </c>
      <c r="K180" s="250">
        <f>IF(A180="","",A180*D180)</f>
      </c>
      <c r="L180" s="249">
        <f>IF(A180="","",IF(OR(A180=1,A180=0),H180,0))</f>
      </c>
      <c r="M180" s="249">
        <f>IF(A180="","",IF(A180=-1,H180,0))</f>
      </c>
      <c r="N180">
        <f>IF($E180="SGD",1,IF($E180="USD",Settings!$B$22,IF($E180="HKD",Settings!$B$23,1)))</f>
      </c>
      <c r="O180">
        <f>IF($J180="",0,($M180-$L180+IF($A180=2,$H180,0))*$N180)</f>
      </c>
      <c r="P180">
        <f>IF($J180="",0,IF($A180=2,$H180*$N180,0))</f>
      </c>
    </row>
    <row r="181" spans="1:16" ht="15" customHeight="1" x14ac:dyDescent="0.15">
      <c r="A181" s="244"/>
      <c r="B181" s="245"/>
      <c r="C181" s="245"/>
      <c r="D181" s="246"/>
      <c r="E181" s="245"/>
      <c r="F181" s="247"/>
      <c r="G181" s="248"/>
      <c r="H181" s="247"/>
      <c r="I181" s="245"/>
      <c r="J181" s="249">
        <f>IF(OR(B181="",C181="",E181=""),"",B181&amp;":"&amp;C181&amp;":"&amp;E181)</f>
      </c>
      <c r="K181" s="250">
        <f>IF(A181="","",A181*D181)</f>
      </c>
      <c r="L181" s="249">
        <f>IF(A181="","",IF(OR(A181=1,A181=0),H181,0))</f>
      </c>
      <c r="M181" s="249">
        <f>IF(A181="","",IF(A181=-1,H181,0))</f>
      </c>
      <c r="N181">
        <f>IF($E181="SGD",1,IF($E181="USD",Settings!$B$22,IF($E181="HKD",Settings!$B$23,1)))</f>
      </c>
      <c r="O181">
        <f>IF($J181="",0,($M181-$L181+IF($A181=2,$H181,0))*$N181)</f>
      </c>
      <c r="P181">
        <f>IF($J181="",0,IF($A181=2,$H181*$N181,0))</f>
      </c>
    </row>
    <row r="182" spans="1:16" ht="15" customHeight="1" x14ac:dyDescent="0.15">
      <c r="A182" s="244"/>
      <c r="B182" s="245"/>
      <c r="C182" s="245"/>
      <c r="D182" s="246"/>
      <c r="E182" s="245"/>
      <c r="F182" s="247"/>
      <c r="G182" s="248"/>
      <c r="H182" s="247"/>
      <c r="I182" s="245"/>
      <c r="J182" s="249">
        <f>IF(OR(B182="",C182="",E182=""),"",B182&amp;":"&amp;C182&amp;":"&amp;E182)</f>
      </c>
      <c r="K182" s="250">
        <f>IF(A182="","",A182*D182)</f>
      </c>
      <c r="L182" s="249">
        <f>IF(A182="","",IF(OR(A182=1,A182=0),H182,0))</f>
      </c>
      <c r="M182" s="249">
        <f>IF(A182="","",IF(A182=-1,H182,0))</f>
      </c>
      <c r="N182">
        <f>IF($E182="SGD",1,IF($E182="USD",Settings!$B$22,IF($E182="HKD",Settings!$B$23,1)))</f>
      </c>
      <c r="O182">
        <f>IF($J182="",0,($M182-$L182+IF($A182=2,$H182,0))*$N182)</f>
      </c>
      <c r="P182">
        <f>IF($J182="",0,IF($A182=2,$H182*$N182,0))</f>
      </c>
    </row>
    <row r="183" spans="1:16" ht="15" customHeight="1" x14ac:dyDescent="0.15">
      <c r="A183" s="244"/>
      <c r="B183" s="245"/>
      <c r="C183" s="245"/>
      <c r="D183" s="246"/>
      <c r="E183" s="245"/>
      <c r="F183" s="247"/>
      <c r="G183" s="248"/>
      <c r="H183" s="247"/>
      <c r="I183" s="245"/>
      <c r="J183" s="249">
        <f>IF(OR(B183="",C183="",E183=""),"",B183&amp;":"&amp;C183&amp;":"&amp;E183)</f>
      </c>
      <c r="K183" s="250">
        <f>IF(A183="","",A183*D183)</f>
      </c>
      <c r="L183" s="249">
        <f>IF(A183="","",IF(OR(A183=1,A183=0),H183,0))</f>
      </c>
      <c r="M183" s="249">
        <f>IF(A183="","",IF(A183=-1,H183,0))</f>
      </c>
      <c r="N183">
        <f>IF($E183="SGD",1,IF($E183="USD",Settings!$B$22,IF($E183="HKD",Settings!$B$23,1)))</f>
      </c>
      <c r="O183">
        <f>IF($J183="",0,($M183-$L183+IF($A183=2,$H183,0))*$N183)</f>
      </c>
      <c r="P183">
        <f>IF($J183="",0,IF($A183=2,$H183*$N183,0))</f>
      </c>
    </row>
    <row r="184" spans="1:16" ht="15" customHeight="1" x14ac:dyDescent="0.15">
      <c r="A184" s="244"/>
      <c r="B184" s="245"/>
      <c r="C184" s="245"/>
      <c r="D184" s="246"/>
      <c r="E184" s="245"/>
      <c r="F184" s="247"/>
      <c r="G184" s="248"/>
      <c r="H184" s="247"/>
      <c r="I184" s="245"/>
      <c r="J184" s="249">
        <f>IF(OR(B184="",C184="",E184=""),"",B184&amp;":"&amp;C184&amp;":"&amp;E184)</f>
      </c>
      <c r="K184" s="250">
        <f>IF(A184="","",A184*D184)</f>
      </c>
      <c r="L184" s="249">
        <f>IF(A184="","",IF(OR(A184=1,A184=0),H184,0))</f>
      </c>
      <c r="M184" s="249">
        <f>IF(A184="","",IF(A184=-1,H184,0))</f>
      </c>
      <c r="N184">
        <f>IF($E184="SGD",1,IF($E184="USD",Settings!$B$22,IF($E184="HKD",Settings!$B$23,1)))</f>
      </c>
      <c r="O184">
        <f>IF($J184="",0,($M184-$L184+IF($A184=2,$H184,0))*$N184)</f>
      </c>
      <c r="P184">
        <f>IF($J184="",0,IF($A184=2,$H184*$N184,0))</f>
      </c>
    </row>
    <row r="185" spans="1:16" ht="15" customHeight="1" x14ac:dyDescent="0.15">
      <c r="A185" s="244"/>
      <c r="B185" s="245"/>
      <c r="C185" s="245"/>
      <c r="D185" s="246"/>
      <c r="E185" s="245"/>
      <c r="F185" s="247"/>
      <c r="G185" s="248"/>
      <c r="H185" s="247"/>
      <c r="I185" s="245"/>
      <c r="J185" s="249">
        <f>IF(OR(B185="",C185="",E185=""),"",B185&amp;":"&amp;C185&amp;":"&amp;E185)</f>
      </c>
      <c r="K185" s="250">
        <f>IF(A185="","",A185*D185)</f>
      </c>
      <c r="L185" s="249">
        <f>IF(A185="","",IF(OR(A185=1,A185=0),H185,0))</f>
      </c>
      <c r="M185" s="249">
        <f>IF(A185="","",IF(A185=-1,H185,0))</f>
      </c>
      <c r="N185">
        <f>IF($E185="SGD",1,IF($E185="USD",Settings!$B$22,IF($E185="HKD",Settings!$B$23,1)))</f>
      </c>
      <c r="O185">
        <f>IF($J185="",0,($M185-$L185+IF($A185=2,$H185,0))*$N185)</f>
      </c>
      <c r="P185">
        <f>IF($J185="",0,IF($A185=2,$H185*$N185,0))</f>
      </c>
    </row>
    <row r="186" spans="1:16" ht="15" customHeight="1" x14ac:dyDescent="0.15">
      <c r="A186" s="244"/>
      <c r="B186" s="245"/>
      <c r="C186" s="245"/>
      <c r="D186" s="246"/>
      <c r="E186" s="245"/>
      <c r="F186" s="247"/>
      <c r="G186" s="248"/>
      <c r="H186" s="247"/>
      <c r="I186" s="245"/>
      <c r="J186" s="249">
        <f>IF(OR(B186="",C186="",E186=""),"",B186&amp;":"&amp;C186&amp;":"&amp;E186)</f>
      </c>
      <c r="K186" s="250">
        <f>IF(A186="","",A186*D186)</f>
      </c>
      <c r="L186" s="249">
        <f>IF(A186="","",IF(OR(A186=1,A186=0),H186,0))</f>
      </c>
      <c r="M186" s="249">
        <f>IF(A186="","",IF(A186=-1,H186,0))</f>
      </c>
      <c r="N186">
        <f>IF($E186="SGD",1,IF($E186="USD",Settings!$B$22,IF($E186="HKD",Settings!$B$23,1)))</f>
      </c>
      <c r="O186">
        <f>IF($J186="",0,($M186-$L186+IF($A186=2,$H186,0))*$N186)</f>
      </c>
      <c r="P186">
        <f>IF($J186="",0,IF($A186=2,$H186*$N186,0))</f>
      </c>
    </row>
    <row r="187" spans="1:16" ht="15" customHeight="1" x14ac:dyDescent="0.15">
      <c r="A187" s="244"/>
      <c r="B187" s="245"/>
      <c r="C187" s="245"/>
      <c r="D187" s="246"/>
      <c r="E187" s="245"/>
      <c r="F187" s="247"/>
      <c r="G187" s="248"/>
      <c r="H187" s="247"/>
      <c r="I187" s="245"/>
      <c r="J187" s="249">
        <f>IF(OR(B187="",C187="",E187=""),"",B187&amp;":"&amp;C187&amp;":"&amp;E187)</f>
      </c>
      <c r="K187" s="250">
        <f>IF(A187="","",A187*D187)</f>
      </c>
      <c r="L187" s="249">
        <f>IF(A187="","",IF(OR(A187=1,A187=0),H187,0))</f>
      </c>
      <c r="M187" s="249">
        <f>IF(A187="","",IF(A187=-1,H187,0))</f>
      </c>
      <c r="N187">
        <f>IF($E187="SGD",1,IF($E187="USD",Settings!$B$22,IF($E187="HKD",Settings!$B$23,1)))</f>
      </c>
      <c r="O187">
        <f>IF($J187="",0,($M187-$L187+IF($A187=2,$H187,0))*$N187)</f>
      </c>
      <c r="P187">
        <f>IF($J187="",0,IF($A187=2,$H187*$N187,0))</f>
      </c>
    </row>
    <row r="188" spans="1:16" ht="15" customHeight="1" x14ac:dyDescent="0.15">
      <c r="A188" s="244"/>
      <c r="B188" s="245"/>
      <c r="C188" s="245"/>
      <c r="D188" s="246"/>
      <c r="E188" s="245"/>
      <c r="F188" s="247"/>
      <c r="G188" s="248"/>
      <c r="H188" s="247"/>
      <c r="I188" s="245"/>
      <c r="J188" s="249">
        <f>IF(OR(B188="",C188="",E188=""),"",B188&amp;":"&amp;C188&amp;":"&amp;E188)</f>
      </c>
      <c r="K188" s="250">
        <f>IF(A188="","",A188*D188)</f>
      </c>
      <c r="L188" s="249">
        <f>IF(A188="","",IF(OR(A188=1,A188=0),H188,0))</f>
      </c>
      <c r="M188" s="249">
        <f>IF(A188="","",IF(A188=-1,H188,0))</f>
      </c>
      <c r="N188">
        <f>IF($E188="SGD",1,IF($E188="USD",Settings!$B$22,IF($E188="HKD",Settings!$B$23,1)))</f>
      </c>
      <c r="O188">
        <f>IF($J188="",0,($M188-$L188+IF($A188=2,$H188,0))*$N188)</f>
      </c>
      <c r="P188">
        <f>IF($J188="",0,IF($A188=2,$H188*$N188,0))</f>
      </c>
    </row>
    <row r="189" spans="1:16" ht="15" customHeight="1" x14ac:dyDescent="0.15">
      <c r="A189" s="244"/>
      <c r="B189" s="245"/>
      <c r="C189" s="245"/>
      <c r="D189" s="246"/>
      <c r="E189" s="245"/>
      <c r="F189" s="247"/>
      <c r="G189" s="248"/>
      <c r="H189" s="247"/>
      <c r="I189" s="245"/>
      <c r="J189" s="249">
        <f>IF(OR(B189="",C189="",E189=""),"",B189&amp;":"&amp;C189&amp;":"&amp;E189)</f>
      </c>
      <c r="K189" s="250">
        <f>IF(A189="","",A189*D189)</f>
      </c>
      <c r="L189" s="249">
        <f>IF(A189="","",IF(OR(A189=1,A189=0),H189,0))</f>
      </c>
      <c r="M189" s="249">
        <f>IF(A189="","",IF(A189=-1,H189,0))</f>
      </c>
      <c r="N189">
        <f>IF($E189="SGD",1,IF($E189="USD",Settings!$B$22,IF($E189="HKD",Settings!$B$23,1)))</f>
      </c>
      <c r="O189">
        <f>IF($J189="",0,($M189-$L189+IF($A189=2,$H189,0))*$N189)</f>
      </c>
      <c r="P189">
        <f>IF($J189="",0,IF($A189=2,$H189*$N189,0))</f>
      </c>
    </row>
    <row r="190" spans="1:16" ht="15" customHeight="1" x14ac:dyDescent="0.15">
      <c r="A190" s="244"/>
      <c r="B190" s="245"/>
      <c r="C190" s="245"/>
      <c r="D190" s="246"/>
      <c r="E190" s="245"/>
      <c r="F190" s="247"/>
      <c r="G190" s="248"/>
      <c r="H190" s="247"/>
      <c r="I190" s="245"/>
      <c r="J190" s="249">
        <f>IF(OR(B190="",C190="",E190=""),"",B190&amp;":"&amp;C190&amp;":"&amp;E190)</f>
      </c>
      <c r="K190" s="250">
        <f>IF(A190="","",A190*D190)</f>
      </c>
      <c r="L190" s="249">
        <f>IF(A190="","",IF(OR(A190=1,A190=0),H190,0))</f>
      </c>
      <c r="M190" s="249">
        <f>IF(A190="","",IF(A190=-1,H190,0))</f>
      </c>
      <c r="N190">
        <f>IF($E190="SGD",1,IF($E190="USD",Settings!$B$22,IF($E190="HKD",Settings!$B$23,1)))</f>
      </c>
      <c r="O190">
        <f>IF($J190="",0,($M190-$L190+IF($A190=2,$H190,0))*$N190)</f>
      </c>
      <c r="P190">
        <f>IF($J190="",0,IF($A190=2,$H190*$N190,0))</f>
      </c>
    </row>
    <row r="191" spans="1:16" ht="15" customHeight="1" x14ac:dyDescent="0.15">
      <c r="A191" s="244"/>
      <c r="B191" s="245"/>
      <c r="C191" s="245"/>
      <c r="D191" s="246"/>
      <c r="E191" s="245"/>
      <c r="F191" s="247"/>
      <c r="G191" s="248"/>
      <c r="H191" s="247"/>
      <c r="I191" s="245"/>
      <c r="J191" s="249">
        <f>IF(OR(B191="",C191="",E191=""),"",B191&amp;":"&amp;C191&amp;":"&amp;E191)</f>
      </c>
      <c r="K191" s="250">
        <f>IF(A191="","",A191*D191)</f>
      </c>
      <c r="L191" s="249">
        <f>IF(A191="","",IF(OR(A191=1,A191=0),H191,0))</f>
      </c>
      <c r="M191" s="249">
        <f>IF(A191="","",IF(A191=-1,H191,0))</f>
      </c>
      <c r="N191">
        <f>IF($E191="SGD",1,IF($E191="USD",Settings!$B$22,IF($E191="HKD",Settings!$B$23,1)))</f>
      </c>
      <c r="O191">
        <f>IF($J191="",0,($M191-$L191+IF($A191=2,$H191,0))*$N191)</f>
      </c>
      <c r="P191">
        <f>IF($J191="",0,IF($A191=2,$H191*$N191,0))</f>
      </c>
    </row>
    <row r="192" spans="1:16" ht="15" customHeight="1" x14ac:dyDescent="0.15">
      <c r="A192" s="244"/>
      <c r="B192" s="245"/>
      <c r="C192" s="245"/>
      <c r="D192" s="246"/>
      <c r="E192" s="245"/>
      <c r="F192" s="247"/>
      <c r="G192" s="248"/>
      <c r="H192" s="247"/>
      <c r="I192" s="245"/>
      <c r="J192" s="249">
        <f>IF(OR(B192="",C192="",E192=""),"",B192&amp;":"&amp;C192&amp;":"&amp;E192)</f>
      </c>
      <c r="K192" s="250">
        <f>IF(A192="","",A192*D192)</f>
      </c>
      <c r="L192" s="249">
        <f>IF(A192="","",IF(OR(A192=1,A192=0),H192,0))</f>
      </c>
      <c r="M192" s="249">
        <f>IF(A192="","",IF(A192=-1,H192,0))</f>
      </c>
      <c r="N192">
        <f>IF($E192="SGD",1,IF($E192="USD",Settings!$B$22,IF($E192="HKD",Settings!$B$23,1)))</f>
      </c>
      <c r="O192">
        <f>IF($J192="",0,($M192-$L192+IF($A192=2,$H192,0))*$N192)</f>
      </c>
      <c r="P192">
        <f>IF($J192="",0,IF($A192=2,$H192*$N192,0))</f>
      </c>
    </row>
    <row r="193" spans="1:16" ht="15" customHeight="1" x14ac:dyDescent="0.15">
      <c r="A193" s="244"/>
      <c r="B193" s="245"/>
      <c r="C193" s="245"/>
      <c r="D193" s="246"/>
      <c r="E193" s="245"/>
      <c r="F193" s="247"/>
      <c r="G193" s="248"/>
      <c r="H193" s="247"/>
      <c r="I193" s="245"/>
      <c r="J193" s="249">
        <f>IF(OR(B193="",C193="",E193=""),"",B193&amp;":"&amp;C193&amp;":"&amp;E193)</f>
      </c>
      <c r="K193" s="250">
        <f>IF(A193="","",A193*D193)</f>
      </c>
      <c r="L193" s="249">
        <f>IF(A193="","",IF(OR(A193=1,A193=0),H193,0))</f>
      </c>
      <c r="M193" s="249">
        <f>IF(A193="","",IF(A193=-1,H193,0))</f>
      </c>
      <c r="N193">
        <f>IF($E193="SGD",1,IF($E193="USD",Settings!$B$22,IF($E193="HKD",Settings!$B$23,1)))</f>
      </c>
      <c r="O193">
        <f>IF($J193="",0,($M193-$L193+IF($A193=2,$H193,0))*$N193)</f>
      </c>
      <c r="P193">
        <f>IF($J193="",0,IF($A193=2,$H193*$N193,0))</f>
      </c>
    </row>
    <row r="194" spans="1:16" ht="15" customHeight="1" x14ac:dyDescent="0.15">
      <c r="A194" s="244"/>
      <c r="B194" s="245"/>
      <c r="C194" s="245"/>
      <c r="D194" s="246"/>
      <c r="E194" s="245"/>
      <c r="F194" s="247"/>
      <c r="G194" s="248"/>
      <c r="H194" s="247"/>
      <c r="I194" s="245"/>
      <c r="J194" s="249">
        <f>IF(OR(B194="",C194="",E194=""),"",B194&amp;":"&amp;C194&amp;":"&amp;E194)</f>
      </c>
      <c r="K194" s="250">
        <f>IF(A194="","",A194*D194)</f>
      </c>
      <c r="L194" s="249">
        <f>IF(A194="","",IF(OR(A194=1,A194=0),H194,0))</f>
      </c>
      <c r="M194" s="249">
        <f>IF(A194="","",IF(A194=-1,H194,0))</f>
      </c>
      <c r="N194">
        <f>IF($E194="SGD",1,IF($E194="USD",Settings!$B$22,IF($E194="HKD",Settings!$B$23,1)))</f>
      </c>
      <c r="O194">
        <f>IF($J194="",0,($M194-$L194+IF($A194=2,$H194,0))*$N194)</f>
      </c>
      <c r="P194">
        <f>IF($J194="",0,IF($A194=2,$H194*$N194,0))</f>
      </c>
    </row>
    <row r="195" spans="1:16" ht="15" customHeight="1" x14ac:dyDescent="0.15">
      <c r="A195" s="244"/>
      <c r="B195" s="245"/>
      <c r="C195" s="245"/>
      <c r="D195" s="246"/>
      <c r="E195" s="245"/>
      <c r="F195" s="247"/>
      <c r="G195" s="248"/>
      <c r="H195" s="247"/>
      <c r="I195" s="245"/>
      <c r="J195" s="249">
        <f>IF(OR(B195="",C195="",E195=""),"",B195&amp;":"&amp;C195&amp;":"&amp;E195)</f>
      </c>
      <c r="K195" s="250">
        <f>IF(A195="","",A195*D195)</f>
      </c>
      <c r="L195" s="249">
        <f>IF(A195="","",IF(OR(A195=1,A195=0),H195,0))</f>
      </c>
      <c r="M195" s="249">
        <f>IF(A195="","",IF(A195=-1,H195,0))</f>
      </c>
      <c r="N195">
        <f>IF($E195="SGD",1,IF($E195="USD",Settings!$B$22,IF($E195="HKD",Settings!$B$23,1)))</f>
      </c>
      <c r="O195">
        <f>IF($J195="",0,($M195-$L195+IF($A195=2,$H195,0))*$N195)</f>
      </c>
      <c r="P195">
        <f>IF($J195="",0,IF($A195=2,$H195*$N195,0))</f>
      </c>
    </row>
    <row r="196" spans="1:16" ht="15" customHeight="1" x14ac:dyDescent="0.15">
      <c r="A196" s="244"/>
      <c r="B196" s="245"/>
      <c r="C196" s="245"/>
      <c r="D196" s="246"/>
      <c r="E196" s="245"/>
      <c r="F196" s="247"/>
      <c r="G196" s="248"/>
      <c r="H196" s="247"/>
      <c r="I196" s="245"/>
      <c r="J196" s="249">
        <f>IF(OR(B196="",C196="",E196=""),"",B196&amp;":"&amp;C196&amp;":"&amp;E196)</f>
      </c>
      <c r="K196" s="250">
        <f>IF(A196="","",A196*D196)</f>
      </c>
      <c r="L196" s="249">
        <f>IF(A196="","",IF(OR(A196=1,A196=0),H196,0))</f>
      </c>
      <c r="M196" s="249">
        <f>IF(A196="","",IF(A196=-1,H196,0))</f>
      </c>
      <c r="N196">
        <f>IF($E196="SGD",1,IF($E196="USD",Settings!$B$22,IF($E196="HKD",Settings!$B$23,1)))</f>
      </c>
      <c r="O196">
        <f>IF($J196="",0,($M196-$L196+IF($A196=2,$H196,0))*$N196)</f>
      </c>
      <c r="P196">
        <f>IF($J196="",0,IF($A196=2,$H196*$N196,0))</f>
      </c>
    </row>
    <row r="197" spans="1:16" ht="15" customHeight="1" x14ac:dyDescent="0.15">
      <c r="A197" s="244"/>
      <c r="B197" s="245"/>
      <c r="C197" s="245"/>
      <c r="D197" s="246"/>
      <c r="E197" s="245"/>
      <c r="F197" s="247"/>
      <c r="G197" s="248"/>
      <c r="H197" s="247"/>
      <c r="I197" s="245"/>
      <c r="J197" s="249">
        <f>IF(OR(B197="",C197="",E197=""),"",B197&amp;":"&amp;C197&amp;":"&amp;E197)</f>
      </c>
      <c r="K197" s="250">
        <f>IF(A197="","",A197*D197)</f>
      </c>
      <c r="L197" s="249">
        <f>IF(A197="","",IF(OR(A197=1,A197=0),H197,0))</f>
      </c>
      <c r="M197" s="249">
        <f>IF(A197="","",IF(A197=-1,H197,0))</f>
      </c>
      <c r="N197">
        <f>IF($E197="SGD",1,IF($E197="USD",Settings!$B$22,IF($E197="HKD",Settings!$B$23,1)))</f>
      </c>
      <c r="O197">
        <f>IF($J197="",0,($M197-$L197+IF($A197=2,$H197,0))*$N197)</f>
      </c>
      <c r="P197">
        <f>IF($J197="",0,IF($A197=2,$H197*$N197,0))</f>
      </c>
    </row>
    <row r="198" spans="1:16" ht="15" customHeight="1" x14ac:dyDescent="0.15">
      <c r="A198" s="244"/>
      <c r="B198" s="245"/>
      <c r="C198" s="245"/>
      <c r="D198" s="246"/>
      <c r="E198" s="245"/>
      <c r="F198" s="247"/>
      <c r="G198" s="248"/>
      <c r="H198" s="247"/>
      <c r="I198" s="245"/>
      <c r="J198" s="249">
        <f>IF(OR(B198="",C198="",E198=""),"",B198&amp;":"&amp;C198&amp;":"&amp;E198)</f>
      </c>
      <c r="K198" s="250">
        <f>IF(A198="","",A198*D198)</f>
      </c>
      <c r="L198" s="249">
        <f>IF(A198="","",IF(OR(A198=1,A198=0),H198,0))</f>
      </c>
      <c r="M198" s="249">
        <f>IF(A198="","",IF(A198=-1,H198,0))</f>
      </c>
      <c r="N198">
        <f>IF($E198="SGD",1,IF($E198="USD",Settings!$B$22,IF($E198="HKD",Settings!$B$23,1)))</f>
      </c>
      <c r="O198">
        <f>IF($J198="",0,($M198-$L198+IF($A198=2,$H198,0))*$N198)</f>
      </c>
      <c r="P198">
        <f>IF($J198="",0,IF($A198=2,$H198*$N198,0))</f>
      </c>
    </row>
    <row r="199" spans="1:16" ht="15" customHeight="1" x14ac:dyDescent="0.15">
      <c r="A199" s="244"/>
      <c r="B199" s="245"/>
      <c r="C199" s="245"/>
      <c r="D199" s="246"/>
      <c r="E199" s="245"/>
      <c r="F199" s="247"/>
      <c r="G199" s="248"/>
      <c r="H199" s="247"/>
      <c r="I199" s="245"/>
      <c r="J199" s="249">
        <f>IF(OR(B199="",C199="",E199=""),"",B199&amp;":"&amp;C199&amp;":"&amp;E199)</f>
      </c>
      <c r="K199" s="250">
        <f>IF(A199="","",A199*D199)</f>
      </c>
      <c r="L199" s="249">
        <f>IF(A199="","",IF(OR(A199=1,A199=0),H199,0))</f>
      </c>
      <c r="M199" s="249">
        <f>IF(A199="","",IF(A199=-1,H199,0))</f>
      </c>
      <c r="N199">
        <f>IF($E199="SGD",1,IF($E199="USD",Settings!$B$22,IF($E199="HKD",Settings!$B$23,1)))</f>
      </c>
      <c r="O199">
        <f>IF($J199="",0,($M199-$L199+IF($A199=2,$H199,0))*$N199)</f>
      </c>
      <c r="P199">
        <f>IF($J199="",0,IF($A199=2,$H199*$N199,0))</f>
      </c>
    </row>
    <row r="200" spans="1:16" ht="15" customHeight="1" x14ac:dyDescent="0.15">
      <c r="A200" s="244"/>
      <c r="B200" s="245"/>
      <c r="C200" s="245"/>
      <c r="D200" s="246"/>
      <c r="E200" s="245"/>
      <c r="F200" s="247"/>
      <c r="G200" s="248"/>
      <c r="H200" s="247"/>
      <c r="I200" s="245"/>
      <c r="J200" s="249">
        <f>IF(OR(B200="",C200="",E200=""),"",B200&amp;":"&amp;C200&amp;":"&amp;E200)</f>
      </c>
      <c r="K200" s="250">
        <f>IF(A200="","",A200*D200)</f>
      </c>
      <c r="L200" s="249">
        <f>IF(A200="","",IF(OR(A200=1,A200=0),H200,0))</f>
      </c>
      <c r="M200" s="249">
        <f>IF(A200="","",IF(A200=-1,H200,0))</f>
      </c>
      <c r="N200">
        <f>IF($E200="SGD",1,IF($E200="USD",Settings!$B$22,IF($E200="HKD",Settings!$B$23,1)))</f>
      </c>
      <c r="O200">
        <f>IF($J200="",0,($M200-$L200+IF($A200=2,$H200,0))*$N200)</f>
      </c>
      <c r="P200">
        <f>IF($J200="",0,IF($A200=2,$H200*$N200,0))</f>
      </c>
    </row>
    <row r="201" spans="1:16" ht="15" customHeight="1" x14ac:dyDescent="0.15">
      <c r="A201" s="244"/>
      <c r="B201" s="245"/>
      <c r="C201" s="245"/>
      <c r="D201" s="246"/>
      <c r="E201" s="245"/>
      <c r="F201" s="247"/>
      <c r="G201" s="248"/>
      <c r="H201" s="247"/>
      <c r="I201" s="245"/>
      <c r="J201" s="249">
        <f>IF(OR(B201="",C201="",E201=""),"",B201&amp;":"&amp;C201&amp;":"&amp;E201)</f>
      </c>
      <c r="K201" s="250">
        <f>IF(A201="","",A201*D201)</f>
      </c>
      <c r="L201" s="249">
        <f>IF(A201="","",IF(OR(A201=1,A201=0),H201,0))</f>
      </c>
      <c r="M201" s="249">
        <f>IF(A201="","",IF(A201=-1,H201,0))</f>
      </c>
      <c r="N201">
        <f>IF($E201="SGD",1,IF($E201="USD",Settings!$B$22,IF($E201="HKD",Settings!$B$23,1)))</f>
      </c>
      <c r="O201">
        <f>IF($J201="",0,($M201-$L201+IF($A201=2,$H201,0))*$N201)</f>
      </c>
      <c r="P201">
        <f>IF($J201="",0,IF($A201=2,$H201*$N201,0))</f>
      </c>
    </row>
    <row r="202" spans="1:16" ht="15" customHeight="1" x14ac:dyDescent="0.15">
      <c r="A202" s="244"/>
      <c r="B202" s="245"/>
      <c r="C202" s="245"/>
      <c r="D202" s="246"/>
      <c r="E202" s="245"/>
      <c r="F202" s="247"/>
      <c r="G202" s="248"/>
      <c r="H202" s="247"/>
      <c r="I202" s="245"/>
      <c r="J202" s="249">
        <f>IF(OR(B202="",C202="",E202=""),"",B202&amp;":"&amp;C202&amp;":"&amp;E202)</f>
      </c>
      <c r="K202" s="250">
        <f>IF(A202="","",A202*D202)</f>
      </c>
      <c r="L202" s="249">
        <f>IF(A202="","",IF(OR(A202=1,A202=0),H202,0))</f>
      </c>
      <c r="M202" s="249">
        <f>IF(A202="","",IF(A202=-1,H202,0))</f>
      </c>
      <c r="N202">
        <f>IF($E202="SGD",1,IF($E202="USD",Settings!$B$22,IF($E202="HKD",Settings!$B$23,1)))</f>
      </c>
      <c r="O202">
        <f>IF($J202="",0,($M202-$L202+IF($A202=2,$H202,0))*$N202)</f>
      </c>
      <c r="P202">
        <f>IF($J202="",0,IF($A202=2,$H202*$N202,0))</f>
      </c>
    </row>
    <row r="203" spans="1:16" ht="15" customHeight="1" x14ac:dyDescent="0.15">
      <c r="A203" s="244"/>
      <c r="B203" s="245"/>
      <c r="C203" s="245"/>
      <c r="D203" s="246"/>
      <c r="E203" s="245"/>
      <c r="F203" s="247"/>
      <c r="G203" s="248"/>
      <c r="H203" s="247"/>
      <c r="I203" s="245"/>
      <c r="J203" s="249">
        <f>IF(OR(B203="",C203="",E203=""),"",B203&amp;":"&amp;C203&amp;":"&amp;E203)</f>
      </c>
      <c r="K203" s="250">
        <f>IF(A203="","",A203*D203)</f>
      </c>
      <c r="L203" s="249">
        <f>IF(A203="","",IF(OR(A203=1,A203=0),H203,0))</f>
      </c>
      <c r="M203" s="249">
        <f>IF(A203="","",IF(A203=-1,H203,0))</f>
      </c>
      <c r="N203">
        <f>IF($E203="SGD",1,IF($E203="USD",Settings!$B$22,IF($E203="HKD",Settings!$B$23,1)))</f>
      </c>
      <c r="O203">
        <f>IF($J203="",0,($M203-$L203+IF($A203=2,$H203,0))*$N203)</f>
      </c>
      <c r="P203">
        <f>IF($J203="",0,IF($A203=2,$H203*$N203,0))</f>
      </c>
    </row>
    <row r="204" spans="1:16" ht="15" customHeight="1" x14ac:dyDescent="0.15">
      <c r="A204" s="244"/>
      <c r="B204" s="245"/>
      <c r="C204" s="245"/>
      <c r="D204" s="246"/>
      <c r="E204" s="245"/>
      <c r="F204" s="247"/>
      <c r="G204" s="248"/>
      <c r="H204" s="247"/>
      <c r="I204" s="245"/>
      <c r="J204" s="249">
        <f>IF(OR(B204="",C204="",E204=""),"",B204&amp;":"&amp;C204&amp;":"&amp;E204)</f>
      </c>
      <c r="K204" s="250">
        <f>IF(A204="","",A204*D204)</f>
      </c>
      <c r="L204" s="249">
        <f>IF(A204="","",IF(OR(A204=1,A204=0),H204,0))</f>
      </c>
      <c r="M204" s="249">
        <f>IF(A204="","",IF(A204=-1,H204,0))</f>
      </c>
      <c r="N204">
        <f>IF($E204="SGD",1,IF($E204="USD",Settings!$B$22,IF($E204="HKD",Settings!$B$23,1)))</f>
      </c>
      <c r="O204">
        <f>IF($J204="",0,($M204-$L204+IF($A204=2,$H204,0))*$N204)</f>
      </c>
      <c r="P204">
        <f>IF($J204="",0,IF($A204=2,$H204*$N204,0))</f>
      </c>
    </row>
    <row r="205" spans="1:16" ht="15" customHeight="1" x14ac:dyDescent="0.15">
      <c r="A205" s="244"/>
      <c r="B205" s="245"/>
      <c r="C205" s="245"/>
      <c r="D205" s="246"/>
      <c r="E205" s="245"/>
      <c r="F205" s="247"/>
      <c r="G205" s="248"/>
      <c r="H205" s="247"/>
      <c r="I205" s="245"/>
      <c r="J205" s="249">
        <f>IF(OR(B205="",C205="",E205=""),"",B205&amp;":"&amp;C205&amp;":"&amp;E205)</f>
      </c>
      <c r="K205" s="250">
        <f>IF(A205="","",A205*D205)</f>
      </c>
      <c r="L205" s="249">
        <f>IF(A205="","",IF(OR(A205=1,A205=0),H205,0))</f>
      </c>
      <c r="M205" s="249">
        <f>IF(A205="","",IF(A205=-1,H205,0))</f>
      </c>
      <c r="N205">
        <f>IF($E205="SGD",1,IF($E205="USD",Settings!$B$22,IF($E205="HKD",Settings!$B$23,1)))</f>
      </c>
      <c r="O205">
        <f>IF($J205="",0,($M205-$L205+IF($A205=2,$H205,0))*$N205)</f>
      </c>
      <c r="P205">
        <f>IF($J205="",0,IF($A205=2,$H205*$N205,0))</f>
      </c>
    </row>
    <row r="206" spans="1:16" ht="15" customHeight="1" x14ac:dyDescent="0.15">
      <c r="A206" s="244"/>
      <c r="B206" s="245"/>
      <c r="C206" s="245"/>
      <c r="D206" s="246"/>
      <c r="E206" s="245"/>
      <c r="F206" s="247"/>
      <c r="G206" s="248"/>
      <c r="H206" s="247"/>
      <c r="I206" s="245"/>
      <c r="J206" s="249">
        <f>IF(OR(B206="",C206="",E206=""),"",B206&amp;":"&amp;C206&amp;":"&amp;E206)</f>
      </c>
      <c r="K206" s="250">
        <f>IF(A206="","",A206*D206)</f>
      </c>
      <c r="L206" s="249">
        <f>IF(A206="","",IF(OR(A206=1,A206=0),H206,0))</f>
      </c>
      <c r="M206" s="249">
        <f>IF(A206="","",IF(A206=-1,H206,0))</f>
      </c>
      <c r="N206">
        <f>IF($E206="SGD",1,IF($E206="USD",Settings!$B$22,IF($E206="HKD",Settings!$B$23,1)))</f>
      </c>
      <c r="O206">
        <f>IF($J206="",0,($M206-$L206+IF($A206=2,$H206,0))*$N206)</f>
      </c>
      <c r="P206">
        <f>IF($J206="",0,IF($A206=2,$H206*$N206,0))</f>
      </c>
    </row>
    <row r="207" spans="1:16" ht="15" customHeight="1" x14ac:dyDescent="0.15">
      <c r="A207" s="244"/>
      <c r="B207" s="245"/>
      <c r="C207" s="245"/>
      <c r="D207" s="246"/>
      <c r="E207" s="245"/>
      <c r="F207" s="247"/>
      <c r="G207" s="248"/>
      <c r="H207" s="247"/>
      <c r="I207" s="245"/>
      <c r="J207" s="249">
        <f>IF(OR(B207="",C207="",E207=""),"",B207&amp;":"&amp;C207&amp;":"&amp;E207)</f>
      </c>
      <c r="K207" s="250">
        <f>IF(A207="","",A207*D207)</f>
      </c>
      <c r="L207" s="249">
        <f>IF(A207="","",IF(OR(A207=1,A207=0),H207,0))</f>
      </c>
      <c r="M207" s="249">
        <f>IF(A207="","",IF(A207=-1,H207,0))</f>
      </c>
      <c r="N207">
        <f>IF($E207="SGD",1,IF($E207="USD",Settings!$B$22,IF($E207="HKD",Settings!$B$23,1)))</f>
      </c>
      <c r="O207">
        <f>IF($J207="",0,($M207-$L207+IF($A207=2,$H207,0))*$N207)</f>
      </c>
      <c r="P207">
        <f>IF($J207="",0,IF($A207=2,$H207*$N207,0))</f>
      </c>
    </row>
    <row r="208" spans="1:16" ht="15" customHeight="1" x14ac:dyDescent="0.15">
      <c r="A208" s="244"/>
      <c r="B208" s="245"/>
      <c r="C208" s="245"/>
      <c r="D208" s="246"/>
      <c r="E208" s="245"/>
      <c r="F208" s="247"/>
      <c r="G208" s="248"/>
      <c r="H208" s="247"/>
      <c r="I208" s="245"/>
      <c r="J208" s="249">
        <f>IF(OR(B208="",C208="",E208=""),"",B208&amp;":"&amp;C208&amp;":"&amp;E208)</f>
      </c>
      <c r="K208" s="250">
        <f>IF(A208="","",A208*D208)</f>
      </c>
      <c r="L208" s="249">
        <f>IF(A208="","",IF(OR(A208=1,A208=0),H208,0))</f>
      </c>
      <c r="M208" s="249">
        <f>IF(A208="","",IF(A208=-1,H208,0))</f>
      </c>
      <c r="N208">
        <f>IF($E208="SGD",1,IF($E208="USD",Settings!$B$22,IF($E208="HKD",Settings!$B$23,1)))</f>
      </c>
      <c r="O208">
        <f>IF($J208="",0,($M208-$L208+IF($A208=2,$H208,0))*$N208)</f>
      </c>
      <c r="P208">
        <f>IF($J208="",0,IF($A208=2,$H208*$N208,0))</f>
      </c>
    </row>
    <row r="209" spans="1:16" ht="15" customHeight="1" x14ac:dyDescent="0.15">
      <c r="A209" s="244"/>
      <c r="B209" s="245"/>
      <c r="C209" s="245"/>
      <c r="D209" s="246"/>
      <c r="E209" s="245"/>
      <c r="F209" s="247"/>
      <c r="G209" s="248"/>
      <c r="H209" s="247"/>
      <c r="I209" s="245"/>
      <c r="J209" s="249">
        <f>IF(OR(B209="",C209="",E209=""),"",B209&amp;":"&amp;C209&amp;":"&amp;E209)</f>
      </c>
      <c r="K209" s="250">
        <f>IF(A209="","",A209*D209)</f>
      </c>
      <c r="L209" s="249">
        <f>IF(A209="","",IF(OR(A209=1,A209=0),H209,0))</f>
      </c>
      <c r="M209" s="249">
        <f>IF(A209="","",IF(A209=-1,H209,0))</f>
      </c>
      <c r="N209">
        <f>IF($E209="SGD",1,IF($E209="USD",Settings!$B$22,IF($E209="HKD",Settings!$B$23,1)))</f>
      </c>
      <c r="O209">
        <f>IF($J209="",0,($M209-$L209+IF($A209=2,$H209,0))*$N209)</f>
      </c>
      <c r="P209">
        <f>IF($J209="",0,IF($A209=2,$H209*$N209,0))</f>
      </c>
    </row>
    <row r="210" spans="1:16" ht="15" customHeight="1" x14ac:dyDescent="0.15">
      <c r="A210" s="244"/>
      <c r="B210" s="245"/>
      <c r="C210" s="245"/>
      <c r="D210" s="246"/>
      <c r="E210" s="245"/>
      <c r="F210" s="247"/>
      <c r="G210" s="248"/>
      <c r="H210" s="247"/>
      <c r="I210" s="245"/>
      <c r="J210" s="249">
        <f>IF(OR(B210="",C210="",E210=""),"",B210&amp;":"&amp;C210&amp;":"&amp;E210)</f>
      </c>
      <c r="K210" s="250">
        <f>IF(A210="","",A210*D210)</f>
      </c>
      <c r="L210" s="249">
        <f>IF(A210="","",IF(OR(A210=1,A210=0),H210,0))</f>
      </c>
      <c r="M210" s="249">
        <f>IF(A210="","",IF(A210=-1,H210,0))</f>
      </c>
      <c r="N210">
        <f>IF($E210="SGD",1,IF($E210="USD",Settings!$B$22,IF($E210="HKD",Settings!$B$23,1)))</f>
      </c>
      <c r="O210">
        <f>IF($J210="",0,($M210-$L210+IF($A210=2,$H210,0))*$N210)</f>
      </c>
      <c r="P210">
        <f>IF($J210="",0,IF($A210=2,$H210*$N210,0))</f>
      </c>
    </row>
    <row r="211" spans="1:16" ht="15" customHeight="1" x14ac:dyDescent="0.15">
      <c r="A211" s="244"/>
      <c r="B211" s="245"/>
      <c r="C211" s="245"/>
      <c r="D211" s="246"/>
      <c r="E211" s="245"/>
      <c r="F211" s="247"/>
      <c r="G211" s="248"/>
      <c r="H211" s="247"/>
      <c r="I211" s="245"/>
      <c r="J211" s="249">
        <f>IF(OR(B211="",C211="",E211=""),"",B211&amp;":"&amp;C211&amp;":"&amp;E211)</f>
      </c>
      <c r="K211" s="250">
        <f>IF(A211="","",A211*D211)</f>
      </c>
      <c r="L211" s="249">
        <f>IF(A211="","",IF(OR(A211=1,A211=0),H211,0))</f>
      </c>
      <c r="M211" s="249">
        <f>IF(A211="","",IF(A211=-1,H211,0))</f>
      </c>
      <c r="N211">
        <f>IF($E211="SGD",1,IF($E211="USD",Settings!$B$22,IF($E211="HKD",Settings!$B$23,1)))</f>
      </c>
      <c r="O211">
        <f>IF($J211="",0,($M211-$L211+IF($A211=2,$H211,0))*$N211)</f>
      </c>
      <c r="P211">
        <f>IF($J211="",0,IF($A211=2,$H211*$N211,0))</f>
      </c>
    </row>
    <row r="212" spans="1:16" ht="15" customHeight="1" x14ac:dyDescent="0.15">
      <c r="A212" s="244"/>
      <c r="B212" s="245"/>
      <c r="C212" s="245"/>
      <c r="D212" s="246"/>
      <c r="E212" s="245"/>
      <c r="F212" s="247"/>
      <c r="G212" s="248"/>
      <c r="H212" s="247"/>
      <c r="I212" s="245"/>
      <c r="J212" s="249">
        <f>IF(OR(B212="",C212="",E212=""),"",B212&amp;":"&amp;C212&amp;":"&amp;E212)</f>
      </c>
      <c r="K212" s="250">
        <f>IF(A212="","",A212*D212)</f>
      </c>
      <c r="L212" s="249">
        <f>IF(A212="","",IF(OR(A212=1,A212=0),H212,0))</f>
      </c>
      <c r="M212" s="249">
        <f>IF(A212="","",IF(A212=-1,H212,0))</f>
      </c>
      <c r="N212">
        <f>IF($E212="SGD",1,IF($E212="USD",Settings!$B$22,IF($E212="HKD",Settings!$B$23,1)))</f>
      </c>
      <c r="O212">
        <f>IF($J212="",0,($M212-$L212+IF($A212=2,$H212,0))*$N212)</f>
      </c>
      <c r="P212">
        <f>IF($J212="",0,IF($A212=2,$H212*$N212,0))</f>
      </c>
    </row>
    <row r="213" spans="1:16" ht="15" customHeight="1" x14ac:dyDescent="0.15">
      <c r="A213" s="244"/>
      <c r="B213" s="245"/>
      <c r="C213" s="245"/>
      <c r="D213" s="246"/>
      <c r="E213" s="245"/>
      <c r="F213" s="247"/>
      <c r="G213" s="248"/>
      <c r="H213" s="247"/>
      <c r="I213" s="245"/>
      <c r="J213" s="249">
        <f>IF(OR(B213="",C213="",E213=""),"",B213&amp;":"&amp;C213&amp;":"&amp;E213)</f>
      </c>
      <c r="K213" s="250">
        <f>IF(A213="","",A213*D213)</f>
      </c>
      <c r="L213" s="249">
        <f>IF(A213="","",IF(OR(A213=1,A213=0),H213,0))</f>
      </c>
      <c r="M213" s="249">
        <f>IF(A213="","",IF(A213=-1,H213,0))</f>
      </c>
      <c r="N213">
        <f>IF($E213="SGD",1,IF($E213="USD",Settings!$B$22,IF($E213="HKD",Settings!$B$23,1)))</f>
      </c>
      <c r="O213">
        <f>IF($J213="",0,($M213-$L213+IF($A213=2,$H213,0))*$N213)</f>
      </c>
      <c r="P213">
        <f>IF($J213="",0,IF($A213=2,$H213*$N213,0))</f>
      </c>
    </row>
    <row r="214" spans="1:16" ht="15" customHeight="1" x14ac:dyDescent="0.15">
      <c r="A214" s="244"/>
      <c r="B214" s="245"/>
      <c r="C214" s="245"/>
      <c r="D214" s="246"/>
      <c r="E214" s="245"/>
      <c r="F214" s="247"/>
      <c r="G214" s="248"/>
      <c r="H214" s="247"/>
      <c r="I214" s="245"/>
      <c r="J214" s="249">
        <f>IF(OR(B214="",C214="",E214=""),"",B214&amp;":"&amp;C214&amp;":"&amp;E214)</f>
      </c>
      <c r="K214" s="250">
        <f>IF(A214="","",A214*D214)</f>
      </c>
      <c r="L214" s="249">
        <f>IF(A214="","",IF(OR(A214=1,A214=0),H214,0))</f>
      </c>
      <c r="M214" s="249">
        <f>IF(A214="","",IF(A214=-1,H214,0))</f>
      </c>
      <c r="N214">
        <f>IF($E214="SGD",1,IF($E214="USD",Settings!$B$22,IF($E214="HKD",Settings!$B$23,1)))</f>
      </c>
      <c r="O214">
        <f>IF($J214="",0,($M214-$L214+IF($A214=2,$H214,0))*$N214)</f>
      </c>
      <c r="P214">
        <f>IF($J214="",0,IF($A214=2,$H214*$N214,0))</f>
      </c>
    </row>
    <row r="215" spans="1:16" ht="15" customHeight="1" x14ac:dyDescent="0.15">
      <c r="A215" s="244"/>
      <c r="B215" s="245"/>
      <c r="C215" s="245"/>
      <c r="D215" s="246"/>
      <c r="E215" s="245"/>
      <c r="F215" s="247"/>
      <c r="G215" s="248"/>
      <c r="H215" s="247"/>
      <c r="I215" s="245"/>
      <c r="J215" s="249">
        <f>IF(OR(B215="",C215="",E215=""),"",B215&amp;":"&amp;C215&amp;":"&amp;E215)</f>
      </c>
      <c r="K215" s="250">
        <f>IF(A215="","",A215*D215)</f>
      </c>
      <c r="L215" s="249">
        <f>IF(A215="","",IF(OR(A215=1,A215=0),H215,0))</f>
      </c>
      <c r="M215" s="249">
        <f>IF(A215="","",IF(A215=-1,H215,0))</f>
      </c>
      <c r="N215">
        <f>IF($E215="SGD",1,IF($E215="USD",Settings!$B$22,IF($E215="HKD",Settings!$B$23,1)))</f>
      </c>
      <c r="O215">
        <f>IF($J215="",0,($M215-$L215+IF($A215=2,$H215,0))*$N215)</f>
      </c>
      <c r="P215">
        <f>IF($J215="",0,IF($A215=2,$H215*$N215,0))</f>
      </c>
    </row>
    <row r="216" spans="1:16" ht="15" customHeight="1" x14ac:dyDescent="0.15">
      <c r="A216" s="244"/>
      <c r="B216" s="245"/>
      <c r="C216" s="245"/>
      <c r="D216" s="246"/>
      <c r="E216" s="245"/>
      <c r="F216" s="247"/>
      <c r="G216" s="248"/>
      <c r="H216" s="247"/>
      <c r="I216" s="245"/>
      <c r="J216" s="249">
        <f>IF(OR(B216="",C216="",E216=""),"",B216&amp;":"&amp;C216&amp;":"&amp;E216)</f>
      </c>
      <c r="K216" s="250">
        <f>IF(A216="","",A216*D216)</f>
      </c>
      <c r="L216" s="249">
        <f>IF(A216="","",IF(OR(A216=1,A216=0),H216,0))</f>
      </c>
      <c r="M216" s="249">
        <f>IF(A216="","",IF(A216=-1,H216,0))</f>
      </c>
      <c r="N216">
        <f>IF($E216="SGD",1,IF($E216="USD",Settings!$B$22,IF($E216="HKD",Settings!$B$23,1)))</f>
      </c>
      <c r="O216">
        <f>IF($J216="",0,($M216-$L216+IF($A216=2,$H216,0))*$N216)</f>
      </c>
      <c r="P216">
        <f>IF($J216="",0,IF($A216=2,$H216*$N216,0))</f>
      </c>
    </row>
    <row r="217" spans="1:16" ht="15" customHeight="1" x14ac:dyDescent="0.15">
      <c r="A217" s="244"/>
      <c r="B217" s="245"/>
      <c r="C217" s="245"/>
      <c r="D217" s="246"/>
      <c r="E217" s="245"/>
      <c r="F217" s="247"/>
      <c r="G217" s="248"/>
      <c r="H217" s="247"/>
      <c r="I217" s="245"/>
      <c r="J217" s="249">
        <f>IF(OR(B217="",C217="",E217=""),"",B217&amp;":"&amp;C217&amp;":"&amp;E217)</f>
      </c>
      <c r="K217" s="250">
        <f>IF(A217="","",A217*D217)</f>
      </c>
      <c r="L217" s="249">
        <f>IF(A217="","",IF(OR(A217=1,A217=0),H217,0))</f>
      </c>
      <c r="M217" s="249">
        <f>IF(A217="","",IF(A217=-1,H217,0))</f>
      </c>
      <c r="N217">
        <f>IF($E217="SGD",1,IF($E217="USD",Settings!$B$22,IF($E217="HKD",Settings!$B$23,1)))</f>
      </c>
      <c r="O217">
        <f>IF($J217="",0,($M217-$L217+IF($A217=2,$H217,0))*$N217)</f>
      </c>
      <c r="P217">
        <f>IF($J217="",0,IF($A217=2,$H217*$N217,0))</f>
      </c>
    </row>
    <row r="218" spans="1:16" ht="15" customHeight="1" x14ac:dyDescent="0.15">
      <c r="A218" s="244"/>
      <c r="B218" s="245"/>
      <c r="C218" s="245"/>
      <c r="D218" s="246"/>
      <c r="E218" s="245"/>
      <c r="F218" s="247"/>
      <c r="G218" s="248"/>
      <c r="H218" s="247"/>
      <c r="I218" s="245"/>
      <c r="J218" s="249">
        <f>IF(OR(B218="",C218="",E218=""),"",B218&amp;":"&amp;C218&amp;":"&amp;E218)</f>
      </c>
      <c r="K218" s="250">
        <f>IF(A218="","",A218*D218)</f>
      </c>
      <c r="L218" s="249">
        <f>IF(A218="","",IF(OR(A218=1,A218=0),H218,0))</f>
      </c>
      <c r="M218" s="249">
        <f>IF(A218="","",IF(A218=-1,H218,0))</f>
      </c>
      <c r="N218">
        <f>IF($E218="SGD",1,IF($E218="USD",Settings!$B$22,IF($E218="HKD",Settings!$B$23,1)))</f>
      </c>
      <c r="O218">
        <f>IF($J218="",0,($M218-$L218+IF($A218=2,$H218,0))*$N218)</f>
      </c>
      <c r="P218">
        <f>IF($J218="",0,IF($A218=2,$H218*$N218,0))</f>
      </c>
    </row>
    <row r="219" spans="1:16" ht="15" customHeight="1" x14ac:dyDescent="0.15">
      <c r="A219" s="244"/>
      <c r="B219" s="245"/>
      <c r="C219" s="245"/>
      <c r="D219" s="246"/>
      <c r="E219" s="245"/>
      <c r="F219" s="247"/>
      <c r="G219" s="248"/>
      <c r="H219" s="247"/>
      <c r="I219" s="245"/>
      <c r="J219" s="249">
        <f>IF(OR(B219="",C219="",E219=""),"",B219&amp;":"&amp;C219&amp;":"&amp;E219)</f>
      </c>
      <c r="K219" s="250">
        <f>IF(A219="","",A219*D219)</f>
      </c>
      <c r="L219" s="249">
        <f>IF(A219="","",IF(OR(A219=1,A219=0),H219,0))</f>
      </c>
      <c r="M219" s="249">
        <f>IF(A219="","",IF(A219=-1,H219,0))</f>
      </c>
      <c r="N219">
        <f>IF($E219="SGD",1,IF($E219="USD",Settings!$B$22,IF($E219="HKD",Settings!$B$23,1)))</f>
      </c>
      <c r="O219">
        <f>IF($J219="",0,($M219-$L219+IF($A219=2,$H219,0))*$N219)</f>
      </c>
      <c r="P219">
        <f>IF($J219="",0,IF($A219=2,$H219*$N219,0))</f>
      </c>
    </row>
    <row r="220" spans="1:16" ht="15" customHeight="1" x14ac:dyDescent="0.15">
      <c r="A220" s="244"/>
      <c r="B220" s="245"/>
      <c r="C220" s="245"/>
      <c r="D220" s="246"/>
      <c r="E220" s="245"/>
      <c r="F220" s="247"/>
      <c r="G220" s="248"/>
      <c r="H220" s="247"/>
      <c r="I220" s="245"/>
      <c r="J220" s="249">
        <f>IF(OR(B220="",C220="",E220=""),"",B220&amp;":"&amp;C220&amp;":"&amp;E220)</f>
      </c>
      <c r="K220" s="250">
        <f>IF(A220="","",A220*D220)</f>
      </c>
      <c r="L220" s="249">
        <f>IF(A220="","",IF(OR(A220=1,A220=0),H220,0))</f>
      </c>
      <c r="M220" s="249">
        <f>IF(A220="","",IF(A220=-1,H220,0))</f>
      </c>
      <c r="N220">
        <f>IF($E220="SGD",1,IF($E220="USD",Settings!$B$22,IF($E220="HKD",Settings!$B$23,1)))</f>
      </c>
      <c r="O220">
        <f>IF($J220="",0,($M220-$L220+IF($A220=2,$H220,0))*$N220)</f>
      </c>
      <c r="P220">
        <f>IF($J220="",0,IF($A220=2,$H220*$N220,0))</f>
      </c>
    </row>
    <row r="221" spans="1:16" ht="15" customHeight="1" x14ac:dyDescent="0.15">
      <c r="A221" s="244"/>
      <c r="B221" s="245"/>
      <c r="C221" s="245"/>
      <c r="D221" s="246"/>
      <c r="E221" s="245"/>
      <c r="F221" s="247"/>
      <c r="G221" s="248"/>
      <c r="H221" s="247"/>
      <c r="I221" s="245"/>
      <c r="J221" s="249">
        <f>IF(OR(B221="",C221="",E221=""),"",B221&amp;":"&amp;C221&amp;":"&amp;E221)</f>
      </c>
      <c r="K221" s="250">
        <f>IF(A221="","",A221*D221)</f>
      </c>
      <c r="L221" s="249">
        <f>IF(A221="","",IF(OR(A221=1,A221=0),H221,0))</f>
      </c>
      <c r="M221" s="249">
        <f>IF(A221="","",IF(A221=-1,H221,0))</f>
      </c>
      <c r="N221">
        <f>IF($E221="SGD",1,IF($E221="USD",Settings!$B$22,IF($E221="HKD",Settings!$B$23,1)))</f>
      </c>
      <c r="O221">
        <f>IF($J221="",0,($M221-$L221+IF($A221=2,$H221,0))*$N221)</f>
      </c>
      <c r="P221">
        <f>IF($J221="",0,IF($A221=2,$H221*$N221,0))</f>
      </c>
    </row>
    <row r="222" spans="1:16" ht="15" customHeight="1" x14ac:dyDescent="0.15">
      <c r="A222" s="244"/>
      <c r="B222" s="245"/>
      <c r="C222" s="245"/>
      <c r="D222" s="246"/>
      <c r="E222" s="245"/>
      <c r="F222" s="247"/>
      <c r="G222" s="248"/>
      <c r="H222" s="247"/>
      <c r="I222" s="245"/>
      <c r="J222" s="249">
        <f>IF(OR(B222="",C222="",E222=""),"",B222&amp;":"&amp;C222&amp;":"&amp;E222)</f>
      </c>
      <c r="K222" s="250">
        <f>IF(A222="","",A222*D222)</f>
      </c>
      <c r="L222" s="249">
        <f>IF(A222="","",IF(OR(A222=1,A222=0),H222,0))</f>
      </c>
      <c r="M222" s="249">
        <f>IF(A222="","",IF(A222=-1,H222,0))</f>
      </c>
      <c r="N222">
        <f>IF($E222="SGD",1,IF($E222="USD",Settings!$B$22,IF($E222="HKD",Settings!$B$23,1)))</f>
      </c>
      <c r="O222">
        <f>IF($J222="",0,($M222-$L222+IF($A222=2,$H222,0))*$N222)</f>
      </c>
      <c r="P222">
        <f>IF($J222="",0,IF($A222=2,$H222*$N222,0))</f>
      </c>
    </row>
    <row r="223" spans="1:16" ht="15" customHeight="1" x14ac:dyDescent="0.15">
      <c r="A223" s="244"/>
      <c r="B223" s="245"/>
      <c r="C223" s="245"/>
      <c r="D223" s="246"/>
      <c r="E223" s="245"/>
      <c r="F223" s="247"/>
      <c r="G223" s="248"/>
      <c r="H223" s="247"/>
      <c r="I223" s="245"/>
      <c r="J223" s="249">
        <f>IF(OR(B223="",C223="",E223=""),"",B223&amp;":"&amp;C223&amp;":"&amp;E223)</f>
      </c>
      <c r="K223" s="250">
        <f>IF(A223="","",A223*D223)</f>
      </c>
      <c r="L223" s="249">
        <f>IF(A223="","",IF(OR(A223=1,A223=0),H223,0))</f>
      </c>
      <c r="M223" s="249">
        <f>IF(A223="","",IF(A223=-1,H223,0))</f>
      </c>
      <c r="N223">
        <f>IF($E223="SGD",1,IF($E223="USD",Settings!$B$22,IF($E223="HKD",Settings!$B$23,1)))</f>
      </c>
      <c r="O223">
        <f>IF($J223="",0,($M223-$L223+IF($A223=2,$H223,0))*$N223)</f>
      </c>
      <c r="P223">
        <f>IF($J223="",0,IF($A223=2,$H223*$N223,0))</f>
      </c>
    </row>
    <row r="224" spans="1:16" ht="15" customHeight="1" x14ac:dyDescent="0.15">
      <c r="A224" s="244"/>
      <c r="B224" s="245"/>
      <c r="C224" s="245"/>
      <c r="D224" s="246"/>
      <c r="E224" s="245"/>
      <c r="F224" s="247"/>
      <c r="G224" s="248"/>
      <c r="H224" s="247"/>
      <c r="I224" s="245"/>
      <c r="J224" s="249">
        <f>IF(OR(B224="",C224="",E224=""),"",B224&amp;":"&amp;C224&amp;":"&amp;E224)</f>
      </c>
      <c r="K224" s="250">
        <f>IF(A224="","",A224*D224)</f>
      </c>
      <c r="L224" s="249">
        <f>IF(A224="","",IF(OR(A224=1,A224=0),H224,0))</f>
      </c>
      <c r="M224" s="249">
        <f>IF(A224="","",IF(A224=-1,H224,0))</f>
      </c>
      <c r="N224">
        <f>IF($E224="SGD",1,IF($E224="USD",Settings!$B$22,IF($E224="HKD",Settings!$B$23,1)))</f>
      </c>
      <c r="O224">
        <f>IF($J224="",0,($M224-$L224+IF($A224=2,$H224,0))*$N224)</f>
      </c>
      <c r="P224">
        <f>IF($J224="",0,IF($A224=2,$H224*$N224,0))</f>
      </c>
    </row>
    <row r="225" spans="1:16" ht="15" customHeight="1" x14ac:dyDescent="0.15">
      <c r="A225" s="244"/>
      <c r="B225" s="245"/>
      <c r="C225" s="245"/>
      <c r="D225" s="246"/>
      <c r="E225" s="245"/>
      <c r="F225" s="247"/>
      <c r="G225" s="248"/>
      <c r="H225" s="247"/>
      <c r="I225" s="245"/>
      <c r="J225" s="249">
        <f>IF(OR(B225="",C225="",E225=""),"",B225&amp;":"&amp;C225&amp;":"&amp;E225)</f>
      </c>
      <c r="K225" s="250">
        <f>IF(A225="","",A225*D225)</f>
      </c>
      <c r="L225" s="249">
        <f>IF(A225="","",IF(OR(A225=1,A225=0),H225,0))</f>
      </c>
      <c r="M225" s="249">
        <f>IF(A225="","",IF(A225=-1,H225,0))</f>
      </c>
      <c r="N225">
        <f>IF($E225="SGD",1,IF($E225="USD",Settings!$B$22,IF($E225="HKD",Settings!$B$23,1)))</f>
      </c>
      <c r="O225">
        <f>IF($J225="",0,($M225-$L225+IF($A225=2,$H225,0))*$N225)</f>
      </c>
      <c r="P225">
        <f>IF($J225="",0,IF($A225=2,$H225*$N225,0))</f>
      </c>
    </row>
    <row r="226" spans="1:16" ht="15" customHeight="1" x14ac:dyDescent="0.15">
      <c r="A226" s="244"/>
      <c r="B226" s="245"/>
      <c r="C226" s="245"/>
      <c r="D226" s="246"/>
      <c r="E226" s="245"/>
      <c r="F226" s="247"/>
      <c r="G226" s="248"/>
      <c r="H226" s="247"/>
      <c r="I226" s="245"/>
      <c r="J226" s="249">
        <f>IF(OR(B226="",C226="",E226=""),"",B226&amp;":"&amp;C226&amp;":"&amp;E226)</f>
      </c>
      <c r="K226" s="250">
        <f>IF(A226="","",A226*D226)</f>
      </c>
      <c r="L226" s="249">
        <f>IF(A226="","",IF(OR(A226=1,A226=0),H226,0))</f>
      </c>
      <c r="M226" s="249">
        <f>IF(A226="","",IF(A226=-1,H226,0))</f>
      </c>
      <c r="N226">
        <f>IF($E226="SGD",1,IF($E226="USD",Settings!$B$22,IF($E226="HKD",Settings!$B$23,1)))</f>
      </c>
      <c r="O226">
        <f>IF($J226="",0,($M226-$L226+IF($A226=2,$H226,0))*$N226)</f>
      </c>
      <c r="P226">
        <f>IF($J226="",0,IF($A226=2,$H226*$N226,0))</f>
      </c>
    </row>
    <row r="227" spans="1:16" ht="15" customHeight="1" x14ac:dyDescent="0.15">
      <c r="A227" s="244"/>
      <c r="B227" s="245"/>
      <c r="C227" s="245"/>
      <c r="D227" s="246"/>
      <c r="E227" s="245"/>
      <c r="F227" s="247"/>
      <c r="G227" s="248"/>
      <c r="H227" s="247"/>
      <c r="I227" s="245"/>
      <c r="J227" s="249">
        <f>IF(OR(B227="",C227="",E227=""),"",B227&amp;":"&amp;C227&amp;":"&amp;E227)</f>
      </c>
      <c r="K227" s="250">
        <f>IF(A227="","",A227*D227)</f>
      </c>
      <c r="L227" s="249">
        <f>IF(A227="","",IF(OR(A227=1,A227=0),H227,0))</f>
      </c>
      <c r="M227" s="249">
        <f>IF(A227="","",IF(A227=-1,H227,0))</f>
      </c>
      <c r="N227">
        <f>IF($E227="SGD",1,IF($E227="USD",Settings!$B$22,IF($E227="HKD",Settings!$B$23,1)))</f>
      </c>
      <c r="O227">
        <f>IF($J227="",0,($M227-$L227+IF($A227=2,$H227,0))*$N227)</f>
      </c>
      <c r="P227">
        <f>IF($J227="",0,IF($A227=2,$H227*$N227,0))</f>
      </c>
    </row>
    <row r="228" spans="1:16" ht="15" customHeight="1" x14ac:dyDescent="0.15">
      <c r="A228" s="244"/>
      <c r="B228" s="245"/>
      <c r="C228" s="245"/>
      <c r="D228" s="246"/>
      <c r="E228" s="245"/>
      <c r="F228" s="247"/>
      <c r="G228" s="248"/>
      <c r="H228" s="247"/>
      <c r="I228" s="245"/>
      <c r="J228" s="249">
        <f>IF(OR(B228="",C228="",E228=""),"",B228&amp;":"&amp;C228&amp;":"&amp;E228)</f>
      </c>
      <c r="K228" s="250">
        <f>IF(A228="","",A228*D228)</f>
      </c>
      <c r="L228" s="249">
        <f>IF(A228="","",IF(OR(A228=1,A228=0),H228,0))</f>
      </c>
      <c r="M228" s="249">
        <f>IF(A228="","",IF(A228=-1,H228,0))</f>
      </c>
      <c r="N228">
        <f>IF($E228="SGD",1,IF($E228="USD",Settings!$B$22,IF($E228="HKD",Settings!$B$23,1)))</f>
      </c>
      <c r="O228">
        <f>IF($J228="",0,($M228-$L228+IF($A228=2,$H228,0))*$N228)</f>
      </c>
      <c r="P228">
        <f>IF($J228="",0,IF($A228=2,$H228*$N228,0))</f>
      </c>
    </row>
    <row r="229" spans="1:16" ht="15" customHeight="1" x14ac:dyDescent="0.15">
      <c r="A229" s="244"/>
      <c r="B229" s="245"/>
      <c r="C229" s="245"/>
      <c r="D229" s="246"/>
      <c r="E229" s="245"/>
      <c r="F229" s="247"/>
      <c r="G229" s="248"/>
      <c r="H229" s="247"/>
      <c r="I229" s="245"/>
      <c r="J229" s="249">
        <f>IF(OR(B229="",C229="",E229=""),"",B229&amp;":"&amp;C229&amp;":"&amp;E229)</f>
      </c>
      <c r="K229" s="250">
        <f>IF(A229="","",A229*D229)</f>
      </c>
      <c r="L229" s="249">
        <f>IF(A229="","",IF(OR(A229=1,A229=0),H229,0))</f>
      </c>
      <c r="M229" s="249">
        <f>IF(A229="","",IF(A229=-1,H229,0))</f>
      </c>
      <c r="N229">
        <f>IF($E229="SGD",1,IF($E229="USD",Settings!$B$22,IF($E229="HKD",Settings!$B$23,1)))</f>
      </c>
      <c r="O229">
        <f>IF($J229="",0,($M229-$L229+IF($A229=2,$H229,0))*$N229)</f>
      </c>
      <c r="P229">
        <f>IF($J229="",0,IF($A229=2,$H229*$N229,0))</f>
      </c>
    </row>
    <row r="230" spans="1:16" ht="15" customHeight="1" x14ac:dyDescent="0.15">
      <c r="A230" s="244"/>
      <c r="B230" s="245"/>
      <c r="C230" s="245"/>
      <c r="D230" s="246"/>
      <c r="E230" s="245"/>
      <c r="F230" s="247"/>
      <c r="G230" s="248"/>
      <c r="H230" s="247"/>
      <c r="I230" s="245"/>
      <c r="J230" s="249">
        <f>IF(OR(B230="",C230="",E230=""),"",B230&amp;":"&amp;C230&amp;":"&amp;E230)</f>
      </c>
      <c r="K230" s="250">
        <f>IF(A230="","",A230*D230)</f>
      </c>
      <c r="L230" s="249">
        <f>IF(A230="","",IF(OR(A230=1,A230=0),H230,0))</f>
      </c>
      <c r="M230" s="249">
        <f>IF(A230="","",IF(A230=-1,H230,0))</f>
      </c>
      <c r="N230">
        <f>IF($E230="SGD",1,IF($E230="USD",Settings!$B$22,IF($E230="HKD",Settings!$B$23,1)))</f>
      </c>
      <c r="O230">
        <f>IF($J230="",0,($M230-$L230+IF($A230=2,$H230,0))*$N230)</f>
      </c>
      <c r="P230">
        <f>IF($J230="",0,IF($A230=2,$H230*$N230,0))</f>
      </c>
    </row>
    <row r="231" spans="1:16" ht="15" customHeight="1" x14ac:dyDescent="0.15">
      <c r="A231" s="244"/>
      <c r="B231" s="245"/>
      <c r="C231" s="245"/>
      <c r="D231" s="246"/>
      <c r="E231" s="245"/>
      <c r="F231" s="247"/>
      <c r="G231" s="248"/>
      <c r="H231" s="247"/>
      <c r="I231" s="245"/>
      <c r="J231" s="249">
        <f>IF(OR(B231="",C231="",E231=""),"",B231&amp;":"&amp;C231&amp;":"&amp;E231)</f>
      </c>
      <c r="K231" s="250">
        <f>IF(A231="","",A231*D231)</f>
      </c>
      <c r="L231" s="249">
        <f>IF(A231="","",IF(OR(A231=1,A231=0),H231,0))</f>
      </c>
      <c r="M231" s="249">
        <f>IF(A231="","",IF(A231=-1,H231,0))</f>
      </c>
      <c r="N231">
        <f>IF($E231="SGD",1,IF($E231="USD",Settings!$B$22,IF($E231="HKD",Settings!$B$23,1)))</f>
      </c>
      <c r="O231">
        <f>IF($J231="",0,($M231-$L231+IF($A231=2,$H231,0))*$N231)</f>
      </c>
      <c r="P231">
        <f>IF($J231="",0,IF($A231=2,$H231*$N231,0))</f>
      </c>
    </row>
    <row r="232" spans="1:16" ht="15" customHeight="1" x14ac:dyDescent="0.15">
      <c r="A232" s="244"/>
      <c r="B232" s="245"/>
      <c r="C232" s="245"/>
      <c r="D232" s="246"/>
      <c r="E232" s="245"/>
      <c r="F232" s="247"/>
      <c r="G232" s="248"/>
      <c r="H232" s="247"/>
      <c r="I232" s="245"/>
      <c r="J232" s="249">
        <f>IF(OR(B232="",C232="",E232=""),"",B232&amp;":"&amp;C232&amp;":"&amp;E232)</f>
      </c>
      <c r="K232" s="250">
        <f>IF(A232="","",A232*D232)</f>
      </c>
      <c r="L232" s="249">
        <f>IF(A232="","",IF(OR(A232=1,A232=0),H232,0))</f>
      </c>
      <c r="M232" s="249">
        <f>IF(A232="","",IF(A232=-1,H232,0))</f>
      </c>
      <c r="N232">
        <f>IF($E232="SGD",1,IF($E232="USD",Settings!$B$22,IF($E232="HKD",Settings!$B$23,1)))</f>
      </c>
      <c r="O232">
        <f>IF($J232="",0,($M232-$L232+IF($A232=2,$H232,0))*$N232)</f>
      </c>
      <c r="P232">
        <f>IF($J232="",0,IF($A232=2,$H232*$N232,0))</f>
      </c>
    </row>
    <row r="233" spans="1:16" ht="15" customHeight="1" x14ac:dyDescent="0.15">
      <c r="A233" s="244"/>
      <c r="B233" s="245"/>
      <c r="C233" s="245"/>
      <c r="D233" s="246"/>
      <c r="E233" s="245"/>
      <c r="F233" s="247"/>
      <c r="G233" s="248"/>
      <c r="H233" s="247"/>
      <c r="I233" s="245"/>
      <c r="J233" s="249">
        <f>IF(OR(B233="",C233="",E233=""),"",B233&amp;":"&amp;C233&amp;":"&amp;E233)</f>
      </c>
      <c r="K233" s="250">
        <f>IF(A233="","",A233*D233)</f>
      </c>
      <c r="L233" s="249">
        <f>IF(A233="","",IF(OR(A233=1,A233=0),H233,0))</f>
      </c>
      <c r="M233" s="249">
        <f>IF(A233="","",IF(A233=-1,H233,0))</f>
      </c>
      <c r="N233">
        <f>IF($E233="SGD",1,IF($E233="USD",Settings!$B$22,IF($E233="HKD",Settings!$B$23,1)))</f>
      </c>
      <c r="O233">
        <f>IF($J233="",0,($M233-$L233+IF($A233=2,$H233,0))*$N233)</f>
      </c>
      <c r="P233">
        <f>IF($J233="",0,IF($A233=2,$H233*$N233,0))</f>
      </c>
    </row>
    <row r="234" spans="1:16" ht="15" customHeight="1" x14ac:dyDescent="0.15">
      <c r="A234" s="244"/>
      <c r="B234" s="245"/>
      <c r="C234" s="245"/>
      <c r="D234" s="246"/>
      <c r="E234" s="245"/>
      <c r="F234" s="247"/>
      <c r="G234" s="248"/>
      <c r="H234" s="247"/>
      <c r="I234" s="245"/>
      <c r="J234" s="249">
        <f>IF(OR(B234="",C234="",E234=""),"",B234&amp;":"&amp;C234&amp;":"&amp;E234)</f>
      </c>
      <c r="K234" s="250">
        <f>IF(A234="","",A234*D234)</f>
      </c>
      <c r="L234" s="249">
        <f>IF(A234="","",IF(OR(A234=1,A234=0),H234,0))</f>
      </c>
      <c r="M234" s="249">
        <f>IF(A234="","",IF(A234=-1,H234,0))</f>
      </c>
      <c r="N234">
        <f>IF($E234="SGD",1,IF($E234="USD",Settings!$B$22,IF($E234="HKD",Settings!$B$23,1)))</f>
      </c>
      <c r="O234">
        <f>IF($J234="",0,($M234-$L234+IF($A234=2,$H234,0))*$N234)</f>
      </c>
      <c r="P234">
        <f>IF($J234="",0,IF($A234=2,$H234*$N234,0))</f>
      </c>
    </row>
    <row r="235" spans="1:16" ht="15" customHeight="1" x14ac:dyDescent="0.15">
      <c r="A235" s="244"/>
      <c r="B235" s="245"/>
      <c r="C235" s="245"/>
      <c r="D235" s="246"/>
      <c r="E235" s="245"/>
      <c r="F235" s="247"/>
      <c r="G235" s="248"/>
      <c r="H235" s="247"/>
      <c r="I235" s="245"/>
      <c r="J235" s="249">
        <f>IF(OR(B235="",C235="",E235=""),"",B235&amp;":"&amp;C235&amp;":"&amp;E235)</f>
      </c>
      <c r="K235" s="250">
        <f>IF(A235="","",A235*D235)</f>
      </c>
      <c r="L235" s="249">
        <f>IF(A235="","",IF(OR(A235=1,A235=0),H235,0))</f>
      </c>
      <c r="M235" s="249">
        <f>IF(A235="","",IF(A235=-1,H235,0))</f>
      </c>
      <c r="N235">
        <f>IF($E235="SGD",1,IF($E235="USD",Settings!$B$22,IF($E235="HKD",Settings!$B$23,1)))</f>
      </c>
      <c r="O235">
        <f>IF($J235="",0,($M235-$L235+IF($A235=2,$H235,0))*$N235)</f>
      </c>
      <c r="P235">
        <f>IF($J235="",0,IF($A235=2,$H235*$N235,0))</f>
      </c>
    </row>
    <row r="236" spans="1:16" ht="15" customHeight="1" x14ac:dyDescent="0.15">
      <c r="A236" s="244"/>
      <c r="B236" s="245"/>
      <c r="C236" s="245"/>
      <c r="D236" s="246"/>
      <c r="E236" s="245"/>
      <c r="F236" s="247"/>
      <c r="G236" s="248"/>
      <c r="H236" s="247"/>
      <c r="I236" s="245"/>
      <c r="J236" s="249">
        <f>IF(OR(B236="",C236="",E236=""),"",B236&amp;":"&amp;C236&amp;":"&amp;E236)</f>
      </c>
      <c r="K236" s="250">
        <f>IF(A236="","",A236*D236)</f>
      </c>
      <c r="L236" s="249">
        <f>IF(A236="","",IF(OR(A236=1,A236=0),H236,0))</f>
      </c>
      <c r="M236" s="249">
        <f>IF(A236="","",IF(A236=-1,H236,0))</f>
      </c>
      <c r="N236">
        <f>IF($E236="SGD",1,IF($E236="USD",Settings!$B$22,IF($E236="HKD",Settings!$B$23,1)))</f>
      </c>
      <c r="O236">
        <f>IF($J236="",0,($M236-$L236+IF($A236=2,$H236,0))*$N236)</f>
      </c>
      <c r="P236">
        <f>IF($J236="",0,IF($A236=2,$H236*$N236,0))</f>
      </c>
    </row>
    <row r="237" spans="1:16" ht="15" customHeight="1" x14ac:dyDescent="0.15">
      <c r="A237" s="244"/>
      <c r="B237" s="245"/>
      <c r="C237" s="245"/>
      <c r="D237" s="246"/>
      <c r="E237" s="245"/>
      <c r="F237" s="247"/>
      <c r="G237" s="248"/>
      <c r="H237" s="247"/>
      <c r="I237" s="245"/>
      <c r="J237" s="249">
        <f>IF(OR(B237="",C237="",E237=""),"",B237&amp;":"&amp;C237&amp;":"&amp;E237)</f>
      </c>
      <c r="K237" s="250">
        <f>IF(A237="","",A237*D237)</f>
      </c>
      <c r="L237" s="249">
        <f>IF(A237="","",IF(OR(A237=1,A237=0),H237,0))</f>
      </c>
      <c r="M237" s="249">
        <f>IF(A237="","",IF(A237=-1,H237,0))</f>
      </c>
      <c r="N237">
        <f>IF($E237="SGD",1,IF($E237="USD",Settings!$B$22,IF($E237="HKD",Settings!$B$23,1)))</f>
      </c>
      <c r="O237">
        <f>IF($J237="",0,($M237-$L237+IF($A237=2,$H237,0))*$N237)</f>
      </c>
      <c r="P237">
        <f>IF($J237="",0,IF($A237=2,$H237*$N237,0))</f>
      </c>
    </row>
    <row r="238" spans="1:16" ht="15" customHeight="1" x14ac:dyDescent="0.15">
      <c r="A238" s="244"/>
      <c r="B238" s="245"/>
      <c r="C238" s="245"/>
      <c r="D238" s="246"/>
      <c r="E238" s="245"/>
      <c r="F238" s="247"/>
      <c r="G238" s="248"/>
      <c r="H238" s="247"/>
      <c r="I238" s="245"/>
      <c r="J238" s="249">
        <f>IF(OR(B238="",C238="",E238=""),"",B238&amp;":"&amp;C238&amp;":"&amp;E238)</f>
      </c>
      <c r="K238" s="250">
        <f>IF(A238="","",A238*D238)</f>
      </c>
      <c r="L238" s="249">
        <f>IF(A238="","",IF(OR(A238=1,A238=0),H238,0))</f>
      </c>
      <c r="M238" s="249">
        <f>IF(A238="","",IF(A238=-1,H238,0))</f>
      </c>
      <c r="N238">
        <f>IF($E238="SGD",1,IF($E238="USD",Settings!$B$22,IF($E238="HKD",Settings!$B$23,1)))</f>
      </c>
      <c r="O238">
        <f>IF($J238="",0,($M238-$L238+IF($A238=2,$H238,0))*$N238)</f>
      </c>
      <c r="P238">
        <f>IF($J238="",0,IF($A238=2,$H238*$N238,0))</f>
      </c>
    </row>
    <row r="239" spans="1:16" ht="15" customHeight="1" x14ac:dyDescent="0.15">
      <c r="A239" s="244"/>
      <c r="B239" s="245"/>
      <c r="C239" s="245"/>
      <c r="D239" s="246"/>
      <c r="E239" s="245"/>
      <c r="F239" s="247"/>
      <c r="G239" s="248"/>
      <c r="H239" s="247"/>
      <c r="I239" s="245"/>
      <c r="J239" s="249">
        <f>IF(OR(B239="",C239="",E239=""),"",B239&amp;":"&amp;C239&amp;":"&amp;E239)</f>
      </c>
      <c r="K239" s="250">
        <f>IF(A239="","",A239*D239)</f>
      </c>
      <c r="L239" s="249">
        <f>IF(A239="","",IF(OR(A239=1,A239=0),H239,0))</f>
      </c>
      <c r="M239" s="249">
        <f>IF(A239="","",IF(A239=-1,H239,0))</f>
      </c>
      <c r="N239">
        <f>IF($E239="SGD",1,IF($E239="USD",Settings!$B$22,IF($E239="HKD",Settings!$B$23,1)))</f>
      </c>
      <c r="O239">
        <f>IF($J239="",0,($M239-$L239+IF($A239=2,$H239,0))*$N239)</f>
      </c>
      <c r="P239">
        <f>IF($J239="",0,IF($A239=2,$H239*$N239,0))</f>
      </c>
    </row>
    <row r="240" spans="1:16" ht="15" customHeight="1" x14ac:dyDescent="0.15">
      <c r="A240" s="244"/>
      <c r="B240" s="245"/>
      <c r="C240" s="245"/>
      <c r="D240" s="246"/>
      <c r="E240" s="245"/>
      <c r="F240" s="247"/>
      <c r="G240" s="248"/>
      <c r="H240" s="247"/>
      <c r="I240" s="245"/>
      <c r="J240" s="249">
        <f>IF(OR(B240="",C240="",E240=""),"",B240&amp;":"&amp;C240&amp;":"&amp;E240)</f>
      </c>
      <c r="K240" s="250">
        <f>IF(A240="","",A240*D240)</f>
      </c>
      <c r="L240" s="249">
        <f>IF(A240="","",IF(OR(A240=1,A240=0),H240,0))</f>
      </c>
      <c r="M240" s="249">
        <f>IF(A240="","",IF(A240=-1,H240,0))</f>
      </c>
      <c r="N240">
        <f>IF($E240="SGD",1,IF($E240="USD",Settings!$B$22,IF($E240="HKD",Settings!$B$23,1)))</f>
      </c>
      <c r="O240">
        <f>IF($J240="",0,($M240-$L240+IF($A240=2,$H240,0))*$N240)</f>
      </c>
      <c r="P240">
        <f>IF($J240="",0,IF($A240=2,$H240*$N240,0))</f>
      </c>
    </row>
    <row r="241" spans="1:16" ht="15" customHeight="1" x14ac:dyDescent="0.15">
      <c r="A241" s="244"/>
      <c r="B241" s="245"/>
      <c r="C241" s="245"/>
      <c r="D241" s="246"/>
      <c r="E241" s="245"/>
      <c r="F241" s="247"/>
      <c r="G241" s="248"/>
      <c r="H241" s="247"/>
      <c r="I241" s="245"/>
      <c r="J241" s="249">
        <f>IF(OR(B241="",C241="",E241=""),"",B241&amp;":"&amp;C241&amp;":"&amp;E241)</f>
      </c>
      <c r="K241" s="250">
        <f>IF(A241="","",A241*D241)</f>
      </c>
      <c r="L241" s="249">
        <f>IF(A241="","",IF(OR(A241=1,A241=0),H241,0))</f>
      </c>
      <c r="M241" s="249">
        <f>IF(A241="","",IF(A241=-1,H241,0))</f>
      </c>
      <c r="N241">
        <f>IF($E241="SGD",1,IF($E241="USD",Settings!$B$22,IF($E241="HKD",Settings!$B$23,1)))</f>
      </c>
      <c r="O241">
        <f>IF($J241="",0,($M241-$L241+IF($A241=2,$H241,0))*$N241)</f>
      </c>
      <c r="P241">
        <f>IF($J241="",0,IF($A241=2,$H241*$N241,0))</f>
      </c>
    </row>
    <row r="242" spans="1:16" ht="15" customHeight="1" x14ac:dyDescent="0.15">
      <c r="A242" s="244"/>
      <c r="B242" s="245"/>
      <c r="C242" s="245"/>
      <c r="D242" s="246"/>
      <c r="E242" s="245"/>
      <c r="F242" s="247"/>
      <c r="G242" s="248"/>
      <c r="H242" s="247"/>
      <c r="I242" s="245"/>
      <c r="J242" s="249">
        <f>IF(OR(B242="",C242="",E242=""),"",B242&amp;":"&amp;C242&amp;":"&amp;E242)</f>
      </c>
      <c r="K242" s="250">
        <f>IF(A242="","",A242*D242)</f>
      </c>
      <c r="L242" s="249">
        <f>IF(A242="","",IF(OR(A242=1,A242=0),H242,0))</f>
      </c>
      <c r="M242" s="249">
        <f>IF(A242="","",IF(A242=-1,H242,0))</f>
      </c>
      <c r="N242">
        <f>IF($E242="SGD",1,IF($E242="USD",Settings!$B$22,IF($E242="HKD",Settings!$B$23,1)))</f>
      </c>
      <c r="O242">
        <f>IF($J242="",0,($M242-$L242+IF($A242=2,$H242,0))*$N242)</f>
      </c>
      <c r="P242">
        <f>IF($J242="",0,IF($A242=2,$H242*$N242,0))</f>
      </c>
    </row>
    <row r="243" spans="1:16" ht="15" customHeight="1" x14ac:dyDescent="0.15">
      <c r="A243" s="244"/>
      <c r="B243" s="245"/>
      <c r="C243" s="245"/>
      <c r="D243" s="246"/>
      <c r="E243" s="245"/>
      <c r="F243" s="247"/>
      <c r="G243" s="248"/>
      <c r="H243" s="247"/>
      <c r="I243" s="245"/>
      <c r="J243" s="249">
        <f>IF(OR(B243="",C243="",E243=""),"",B243&amp;":"&amp;C243&amp;":"&amp;E243)</f>
      </c>
      <c r="K243" s="250">
        <f>IF(A243="","",A243*D243)</f>
      </c>
      <c r="L243" s="249">
        <f>IF(A243="","",IF(OR(A243=1,A243=0),H243,0))</f>
      </c>
      <c r="M243" s="249">
        <f>IF(A243="","",IF(A243=-1,H243,0))</f>
      </c>
      <c r="N243">
        <f>IF($E243="SGD",1,IF($E243="USD",Settings!$B$22,IF($E243="HKD",Settings!$B$23,1)))</f>
      </c>
      <c r="O243">
        <f>IF($J243="",0,($M243-$L243+IF($A243=2,$H243,0))*$N243)</f>
      </c>
      <c r="P243">
        <f>IF($J243="",0,IF($A243=2,$H243*$N243,0))</f>
      </c>
    </row>
    <row r="244" spans="1:16" ht="15" customHeight="1" x14ac:dyDescent="0.15">
      <c r="A244" s="244"/>
      <c r="B244" s="245"/>
      <c r="C244" s="245"/>
      <c r="D244" s="246"/>
      <c r="E244" s="245"/>
      <c r="F244" s="247"/>
      <c r="G244" s="248"/>
      <c r="H244" s="247"/>
      <c r="I244" s="245"/>
      <c r="J244" s="249">
        <f>IF(OR(B244="",C244="",E244=""),"",B244&amp;":"&amp;C244&amp;":"&amp;E244)</f>
      </c>
      <c r="K244" s="250">
        <f>IF(A244="","",A244*D244)</f>
      </c>
      <c r="L244" s="249">
        <f>IF(A244="","",IF(OR(A244=1,A244=0),H244,0))</f>
      </c>
      <c r="M244" s="249">
        <f>IF(A244="","",IF(A244=-1,H244,0))</f>
      </c>
      <c r="N244">
        <f>IF($E244="SGD",1,IF($E244="USD",Settings!$B$22,IF($E244="HKD",Settings!$B$23,1)))</f>
      </c>
      <c r="O244">
        <f>IF($J244="",0,($M244-$L244+IF($A244=2,$H244,0))*$N244)</f>
      </c>
      <c r="P244">
        <f>IF($J244="",0,IF($A244=2,$H244*$N244,0))</f>
      </c>
    </row>
    <row r="245" spans="1:16" ht="15" customHeight="1" x14ac:dyDescent="0.15">
      <c r="A245" s="244"/>
      <c r="B245" s="245"/>
      <c r="C245" s="245"/>
      <c r="D245" s="246"/>
      <c r="E245" s="245"/>
      <c r="F245" s="247"/>
      <c r="G245" s="248"/>
      <c r="H245" s="247"/>
      <c r="I245" s="245"/>
      <c r="J245" s="249">
        <f>IF(OR(B245="",C245="",E245=""),"",B245&amp;":"&amp;C245&amp;":"&amp;E245)</f>
      </c>
      <c r="K245" s="250">
        <f>IF(A245="","",A245*D245)</f>
      </c>
      <c r="L245" s="249">
        <f>IF(A245="","",IF(OR(A245=1,A245=0),H245,0))</f>
      </c>
      <c r="M245" s="249">
        <f>IF(A245="","",IF(A245=-1,H245,0))</f>
      </c>
      <c r="N245">
        <f>IF($E245="SGD",1,IF($E245="USD",Settings!$B$22,IF($E245="HKD",Settings!$B$23,1)))</f>
      </c>
      <c r="O245">
        <f>IF($J245="",0,($M245-$L245+IF($A245=2,$H245,0))*$N245)</f>
      </c>
      <c r="P245">
        <f>IF($J245="",0,IF($A245=2,$H245*$N245,0))</f>
      </c>
    </row>
    <row r="246" spans="1:16" ht="15" customHeight="1" x14ac:dyDescent="0.15">
      <c r="A246" s="244"/>
      <c r="B246" s="245"/>
      <c r="C246" s="245"/>
      <c r="D246" s="246"/>
      <c r="E246" s="245"/>
      <c r="F246" s="247"/>
      <c r="G246" s="248"/>
      <c r="H246" s="247"/>
      <c r="I246" s="245"/>
      <c r="J246" s="249">
        <f>IF(OR(B246="",C246="",E246=""),"",B246&amp;":"&amp;C246&amp;":"&amp;E246)</f>
      </c>
      <c r="K246" s="250">
        <f>IF(A246="","",A246*D246)</f>
      </c>
      <c r="L246" s="249">
        <f>IF(A246="","",IF(OR(A246=1,A246=0),H246,0))</f>
      </c>
      <c r="M246" s="249">
        <f>IF(A246="","",IF(A246=-1,H246,0))</f>
      </c>
      <c r="N246">
        <f>IF($E246="SGD",1,IF($E246="USD",Settings!$B$22,IF($E246="HKD",Settings!$B$23,1)))</f>
      </c>
      <c r="O246">
        <f>IF($J246="",0,($M246-$L246+IF($A246=2,$H246,0))*$N246)</f>
      </c>
      <c r="P246">
        <f>IF($J246="",0,IF($A246=2,$H246*$N246,0))</f>
      </c>
    </row>
    <row r="247" spans="1:16" ht="15" customHeight="1" x14ac:dyDescent="0.15">
      <c r="A247" s="244"/>
      <c r="B247" s="245"/>
      <c r="C247" s="245"/>
      <c r="D247" s="246"/>
      <c r="E247" s="245"/>
      <c r="F247" s="247"/>
      <c r="G247" s="248"/>
      <c r="H247" s="247"/>
      <c r="I247" s="245"/>
      <c r="J247" s="249">
        <f>IF(OR(B247="",C247="",E247=""),"",B247&amp;":"&amp;C247&amp;":"&amp;E247)</f>
      </c>
      <c r="K247" s="250">
        <f>IF(A247="","",A247*D247)</f>
      </c>
      <c r="L247" s="249">
        <f>IF(A247="","",IF(OR(A247=1,A247=0),H247,0))</f>
      </c>
      <c r="M247" s="249">
        <f>IF(A247="","",IF(A247=-1,H247,0))</f>
      </c>
      <c r="N247">
        <f>IF($E247="SGD",1,IF($E247="USD",Settings!$B$22,IF($E247="HKD",Settings!$B$23,1)))</f>
      </c>
      <c r="O247">
        <f>IF($J247="",0,($M247-$L247+IF($A247=2,$H247,0))*$N247)</f>
      </c>
      <c r="P247">
        <f>IF($J247="",0,IF($A247=2,$H247*$N247,0))</f>
      </c>
    </row>
    <row r="248" spans="1:16" ht="15" customHeight="1" x14ac:dyDescent="0.15">
      <c r="A248" s="244"/>
      <c r="B248" s="245"/>
      <c r="C248" s="245"/>
      <c r="D248" s="246"/>
      <c r="E248" s="245"/>
      <c r="F248" s="247"/>
      <c r="G248" s="248"/>
      <c r="H248" s="247"/>
      <c r="I248" s="245"/>
      <c r="J248" s="249">
        <f>IF(OR(B248="",C248="",E248=""),"",B248&amp;":"&amp;C248&amp;":"&amp;E248)</f>
      </c>
      <c r="K248" s="250">
        <f>IF(A248="","",A248*D248)</f>
      </c>
      <c r="L248" s="249">
        <f>IF(A248="","",IF(OR(A248=1,A248=0),H248,0))</f>
      </c>
      <c r="M248" s="249">
        <f>IF(A248="","",IF(A248=-1,H248,0))</f>
      </c>
      <c r="N248">
        <f>IF($E248="SGD",1,IF($E248="USD",Settings!$B$22,IF($E248="HKD",Settings!$B$23,1)))</f>
      </c>
      <c r="O248">
        <f>IF($J248="",0,($M248-$L248+IF($A248=2,$H248,0))*$N248)</f>
      </c>
      <c r="P248">
        <f>IF($J248="",0,IF($A248=2,$H248*$N248,0))</f>
      </c>
    </row>
    <row r="249" spans="1:16" ht="15" customHeight="1" x14ac:dyDescent="0.15">
      <c r="A249" s="244"/>
      <c r="B249" s="245"/>
      <c r="C249" s="245"/>
      <c r="D249" s="246"/>
      <c r="E249" s="245"/>
      <c r="F249" s="247"/>
      <c r="G249" s="248"/>
      <c r="H249" s="247"/>
      <c r="I249" s="245"/>
      <c r="J249" s="249">
        <f>IF(OR(B249="",C249="",E249=""),"",B249&amp;":"&amp;C249&amp;":"&amp;E249)</f>
      </c>
      <c r="K249" s="250">
        <f>IF(A249="","",A249*D249)</f>
      </c>
      <c r="L249" s="249">
        <f>IF(A249="","",IF(OR(A249=1,A249=0),H249,0))</f>
      </c>
      <c r="M249" s="249">
        <f>IF(A249="","",IF(A249=-1,H249,0))</f>
      </c>
      <c r="N249">
        <f>IF($E249="SGD",1,IF($E249="USD",Settings!$B$22,IF($E249="HKD",Settings!$B$23,1)))</f>
      </c>
      <c r="O249">
        <f>IF($J249="",0,($M249-$L249+IF($A249=2,$H249,0))*$N249)</f>
      </c>
      <c r="P249">
        <f>IF($J249="",0,IF($A249=2,$H249*$N249,0))</f>
      </c>
    </row>
    <row r="250" spans="1:16" ht="15" customHeight="1" x14ac:dyDescent="0.15">
      <c r="A250" s="244"/>
      <c r="B250" s="245"/>
      <c r="C250" s="245"/>
      <c r="D250" s="246"/>
      <c r="E250" s="245"/>
      <c r="F250" s="247"/>
      <c r="G250" s="248"/>
      <c r="H250" s="247"/>
      <c r="I250" s="245"/>
      <c r="J250" s="249">
        <f>IF(OR(B250="",C250="",E250=""),"",B250&amp;":"&amp;C250&amp;":"&amp;E250)</f>
      </c>
      <c r="K250" s="250">
        <f>IF(A250="","",A250*D250)</f>
      </c>
      <c r="L250" s="249">
        <f>IF(A250="","",IF(OR(A250=1,A250=0),H250,0))</f>
      </c>
      <c r="M250" s="249">
        <f>IF(A250="","",IF(A250=-1,H250,0))</f>
      </c>
      <c r="N250">
        <f>IF($E250="SGD",1,IF($E250="USD",Settings!$B$22,IF($E250="HKD",Settings!$B$23,1)))</f>
      </c>
      <c r="O250">
        <f>IF($J250="",0,($M250-$L250+IF($A250=2,$H250,0))*$N250)</f>
      </c>
      <c r="P250">
        <f>IF($J250="",0,IF($A250=2,$H250*$N250,0))</f>
      </c>
    </row>
    <row r="251" spans="1:16" ht="15" customHeight="1" x14ac:dyDescent="0.15">
      <c r="A251" s="244"/>
      <c r="B251" s="245"/>
      <c r="C251" s="245"/>
      <c r="D251" s="246"/>
      <c r="E251" s="245"/>
      <c r="F251" s="247"/>
      <c r="G251" s="248"/>
      <c r="H251" s="247"/>
      <c r="I251" s="245"/>
      <c r="J251" s="249">
        <f>IF(OR(B251="",C251="",E251=""),"",B251&amp;":"&amp;C251&amp;":"&amp;E251)</f>
      </c>
      <c r="K251" s="250">
        <f>IF(A251="","",A251*D251)</f>
      </c>
      <c r="L251" s="249">
        <f>IF(A251="","",IF(OR(A251=1,A251=0),H251,0))</f>
      </c>
      <c r="M251" s="249">
        <f>IF(A251="","",IF(A251=-1,H251,0))</f>
      </c>
      <c r="N251">
        <f>IF($E251="SGD",1,IF($E251="USD",Settings!$B$22,IF($E251="HKD",Settings!$B$23,1)))</f>
      </c>
      <c r="O251">
        <f>IF($J251="",0,($M251-$L251+IF($A251=2,$H251,0))*$N251)</f>
      </c>
      <c r="P251">
        <f>IF($J251="",0,IF($A251=2,$H251*$N251,0))</f>
      </c>
    </row>
    <row r="252" spans="1:16" ht="15" customHeight="1" x14ac:dyDescent="0.15">
      <c r="A252" s="244"/>
      <c r="B252" s="245"/>
      <c r="C252" s="245"/>
      <c r="D252" s="246"/>
      <c r="E252" s="245"/>
      <c r="F252" s="247"/>
      <c r="G252" s="248"/>
      <c r="H252" s="247"/>
      <c r="I252" s="245"/>
      <c r="J252" s="249">
        <f>IF(OR(B252="",C252="",E252=""),"",B252&amp;":"&amp;C252&amp;":"&amp;E252)</f>
      </c>
      <c r="K252" s="250">
        <f>IF(A252="","",A252*D252)</f>
      </c>
      <c r="L252" s="249">
        <f>IF(A252="","",IF(OR(A252=1,A252=0),H252,0))</f>
      </c>
      <c r="M252" s="249">
        <f>IF(A252="","",IF(A252=-1,H252,0))</f>
      </c>
      <c r="N252">
        <f>IF($E252="SGD",1,IF($E252="USD",Settings!$B$22,IF($E252="HKD",Settings!$B$23,1)))</f>
      </c>
      <c r="O252">
        <f>IF($J252="",0,($M252-$L252+IF($A252=2,$H252,0))*$N252)</f>
      </c>
      <c r="P252">
        <f>IF($J252="",0,IF($A252=2,$H252*$N252,0))</f>
      </c>
    </row>
    <row r="253" spans="1:16" ht="15" customHeight="1" x14ac:dyDescent="0.15">
      <c r="A253" s="244"/>
      <c r="B253" s="245"/>
      <c r="C253" s="245"/>
      <c r="D253" s="246"/>
      <c r="E253" s="245"/>
      <c r="F253" s="247"/>
      <c r="G253" s="248"/>
      <c r="H253" s="247"/>
      <c r="I253" s="245"/>
      <c r="J253" s="249">
        <f>IF(OR(B253="",C253="",E253=""),"",B253&amp;":"&amp;C253&amp;":"&amp;E253)</f>
      </c>
      <c r="K253" s="250">
        <f>IF(A253="","",A253*D253)</f>
      </c>
      <c r="L253" s="249">
        <f>IF(A253="","",IF(OR(A253=1,A253=0),H253,0))</f>
      </c>
      <c r="M253" s="249">
        <f>IF(A253="","",IF(A253=-1,H253,0))</f>
      </c>
      <c r="N253">
        <f>IF($E253="SGD",1,IF($E253="USD",Settings!$B$22,IF($E253="HKD",Settings!$B$23,1)))</f>
      </c>
      <c r="O253">
        <f>IF($J253="",0,($M253-$L253+IF($A253=2,$H253,0))*$N253)</f>
      </c>
      <c r="P253">
        <f>IF($J253="",0,IF($A253=2,$H253*$N253,0))</f>
      </c>
    </row>
    <row r="254" spans="1:16" ht="15" customHeight="1" x14ac:dyDescent="0.15">
      <c r="A254" s="244"/>
      <c r="B254" s="245"/>
      <c r="C254" s="245"/>
      <c r="D254" s="246"/>
      <c r="E254" s="245"/>
      <c r="F254" s="247"/>
      <c r="G254" s="248"/>
      <c r="H254" s="247"/>
      <c r="I254" s="245"/>
      <c r="J254" s="249">
        <f>IF(OR(B254="",C254="",E254=""),"",B254&amp;":"&amp;C254&amp;":"&amp;E254)</f>
      </c>
      <c r="K254" s="250">
        <f>IF(A254="","",A254*D254)</f>
      </c>
      <c r="L254" s="249">
        <f>IF(A254="","",IF(OR(A254=1,A254=0),H254,0))</f>
      </c>
      <c r="M254" s="249">
        <f>IF(A254="","",IF(A254=-1,H254,0))</f>
      </c>
      <c r="N254">
        <f>IF($E254="SGD",1,IF($E254="USD",Settings!$B$22,IF($E254="HKD",Settings!$B$23,1)))</f>
      </c>
      <c r="O254">
        <f>IF($J254="",0,($M254-$L254+IF($A254=2,$H254,0))*$N254)</f>
      </c>
      <c r="P254">
        <f>IF($J254="",0,IF($A254=2,$H254*$N254,0))</f>
      </c>
    </row>
    <row r="255" spans="1:16" ht="15" customHeight="1" x14ac:dyDescent="0.15">
      <c r="A255" s="244"/>
      <c r="B255" s="245"/>
      <c r="C255" s="245"/>
      <c r="D255" s="246"/>
      <c r="E255" s="245"/>
      <c r="F255" s="247"/>
      <c r="G255" s="248"/>
      <c r="H255" s="247"/>
      <c r="I255" s="245"/>
      <c r="J255" s="249">
        <f>IF(OR(B255="",C255="",E255=""),"",B255&amp;":"&amp;C255&amp;":"&amp;E255)</f>
      </c>
      <c r="K255" s="250">
        <f>IF(A255="","",A255*D255)</f>
      </c>
      <c r="L255" s="249">
        <f>IF(A255="","",IF(OR(A255=1,A255=0),H255,0))</f>
      </c>
      <c r="M255" s="249">
        <f>IF(A255="","",IF(A255=-1,H255,0))</f>
      </c>
      <c r="N255">
        <f>IF($E255="SGD",1,IF($E255="USD",Settings!$B$22,IF($E255="HKD",Settings!$B$23,1)))</f>
      </c>
      <c r="O255">
        <f>IF($J255="",0,($M255-$L255+IF($A255=2,$H255,0))*$N255)</f>
      </c>
      <c r="P255">
        <f>IF($J255="",0,IF($A255=2,$H255*$N255,0))</f>
      </c>
    </row>
    <row r="256" spans="1:16" ht="15" customHeight="1" x14ac:dyDescent="0.15">
      <c r="A256" s="244"/>
      <c r="B256" s="245"/>
      <c r="C256" s="245"/>
      <c r="D256" s="246"/>
      <c r="E256" s="245"/>
      <c r="F256" s="247"/>
      <c r="G256" s="248"/>
      <c r="H256" s="247"/>
      <c r="I256" s="245"/>
      <c r="J256" s="249">
        <f>IF(OR(B256="",C256="",E256=""),"",B256&amp;":"&amp;C256&amp;":"&amp;E256)</f>
      </c>
      <c r="K256" s="250">
        <f>IF(A256="","",A256*D256)</f>
      </c>
      <c r="L256" s="249">
        <f>IF(A256="","",IF(OR(A256=1,A256=0),H256,0))</f>
      </c>
      <c r="M256" s="249">
        <f>IF(A256="","",IF(A256=-1,H256,0))</f>
      </c>
      <c r="N256">
        <f>IF($E256="SGD",1,IF($E256="USD",Settings!$B$22,IF($E256="HKD",Settings!$B$23,1)))</f>
      </c>
      <c r="O256">
        <f>IF($J256="",0,($M256-$L256+IF($A256=2,$H256,0))*$N256)</f>
      </c>
      <c r="P256">
        <f>IF($J256="",0,IF($A256=2,$H256*$N256,0))</f>
      </c>
    </row>
    <row r="257" spans="1:16" ht="15" customHeight="1" x14ac:dyDescent="0.15">
      <c r="A257" s="244"/>
      <c r="B257" s="245"/>
      <c r="C257" s="245"/>
      <c r="D257" s="246"/>
      <c r="E257" s="245"/>
      <c r="F257" s="247"/>
      <c r="G257" s="248"/>
      <c r="H257" s="247"/>
      <c r="I257" s="245"/>
      <c r="J257" s="249">
        <f>IF(OR(B257="",C257="",E257=""),"",B257&amp;":"&amp;C257&amp;":"&amp;E257)</f>
      </c>
      <c r="K257" s="250">
        <f>IF(A257="","",A257*D257)</f>
      </c>
      <c r="L257" s="249">
        <f>IF(A257="","",IF(OR(A257=1,A257=0),H257,0))</f>
      </c>
      <c r="M257" s="249">
        <f>IF(A257="","",IF(A257=-1,H257,0))</f>
      </c>
      <c r="N257">
        <f>IF($E257="SGD",1,IF($E257="USD",Settings!$B$22,IF($E257="HKD",Settings!$B$23,1)))</f>
      </c>
      <c r="O257">
        <f>IF($J257="",0,($M257-$L257+IF($A257=2,$H257,0))*$N257)</f>
      </c>
      <c r="P257">
        <f>IF($J257="",0,IF($A257=2,$H257*$N257,0))</f>
      </c>
    </row>
    <row r="258" spans="1:16" ht="15" customHeight="1" x14ac:dyDescent="0.15">
      <c r="A258" s="244"/>
      <c r="B258" s="245"/>
      <c r="C258" s="245"/>
      <c r="D258" s="246"/>
      <c r="E258" s="245"/>
      <c r="F258" s="247"/>
      <c r="G258" s="248"/>
      <c r="H258" s="247"/>
      <c r="I258" s="245"/>
      <c r="J258" s="249">
        <f>IF(OR(B258="",C258="",E258=""),"",B258&amp;":"&amp;C258&amp;":"&amp;E258)</f>
      </c>
      <c r="K258" s="250">
        <f>IF(A258="","",A258*D258)</f>
      </c>
      <c r="L258" s="249">
        <f>IF(A258="","",IF(OR(A258=1,A258=0),H258,0))</f>
      </c>
      <c r="M258" s="249">
        <f>IF(A258="","",IF(A258=-1,H258,0))</f>
      </c>
      <c r="N258">
        <f>IF($E258="SGD",1,IF($E258="USD",Settings!$B$22,IF($E258="HKD",Settings!$B$23,1)))</f>
      </c>
      <c r="O258">
        <f>IF($J258="",0,($M258-$L258+IF($A258=2,$H258,0))*$N258)</f>
      </c>
      <c r="P258">
        <f>IF($J258="",0,IF($A258=2,$H258*$N258,0))</f>
      </c>
    </row>
    <row r="259" spans="1:16" ht="15" customHeight="1" x14ac:dyDescent="0.15">
      <c r="A259" s="244"/>
      <c r="B259" s="245"/>
      <c r="C259" s="245"/>
      <c r="D259" s="246"/>
      <c r="E259" s="245"/>
      <c r="F259" s="247"/>
      <c r="G259" s="248"/>
      <c r="H259" s="247"/>
      <c r="I259" s="245"/>
      <c r="J259" s="249">
        <f>IF(OR(B259="",C259="",E259=""),"",B259&amp;":"&amp;C259&amp;":"&amp;E259)</f>
      </c>
      <c r="K259" s="250">
        <f>IF(A259="","",A259*D259)</f>
      </c>
      <c r="L259" s="249">
        <f>IF(A259="","",IF(OR(A259=1,A259=0),H259,0))</f>
      </c>
      <c r="M259" s="249">
        <f>IF(A259="","",IF(A259=-1,H259,0))</f>
      </c>
      <c r="N259">
        <f>IF($E259="SGD",1,IF($E259="USD",Settings!$B$22,IF($E259="HKD",Settings!$B$23,1)))</f>
      </c>
      <c r="O259">
        <f>IF($J259="",0,($M259-$L259+IF($A259=2,$H259,0))*$N259)</f>
      </c>
      <c r="P259">
        <f>IF($J259="",0,IF($A259=2,$H259*$N259,0))</f>
      </c>
    </row>
    <row r="260" spans="1:16" ht="15" customHeight="1" x14ac:dyDescent="0.15">
      <c r="A260" s="244"/>
      <c r="B260" s="245"/>
      <c r="C260" s="245"/>
      <c r="D260" s="246"/>
      <c r="E260" s="245"/>
      <c r="F260" s="247"/>
      <c r="G260" s="248"/>
      <c r="H260" s="247"/>
      <c r="I260" s="245"/>
      <c r="J260" s="249">
        <f>IF(OR(B260="",C260="",E260=""),"",B260&amp;":"&amp;C260&amp;":"&amp;E260)</f>
      </c>
      <c r="K260" s="250">
        <f>IF(A260="","",A260*D260)</f>
      </c>
      <c r="L260" s="249">
        <f>IF(A260="","",IF(OR(A260=1,A260=0),H260,0))</f>
      </c>
      <c r="M260" s="249">
        <f>IF(A260="","",IF(A260=-1,H260,0))</f>
      </c>
      <c r="N260">
        <f>IF($E260="SGD",1,IF($E260="USD",Settings!$B$22,IF($E260="HKD",Settings!$B$23,1)))</f>
      </c>
      <c r="O260">
        <f>IF($J260="",0,($M260-$L260+IF($A260=2,$H260,0))*$N260)</f>
      </c>
      <c r="P260">
        <f>IF($J260="",0,IF($A260=2,$H260*$N260,0))</f>
      </c>
    </row>
    <row r="261" spans="1:16" ht="15" customHeight="1" x14ac:dyDescent="0.15">
      <c r="A261" s="244"/>
      <c r="B261" s="245"/>
      <c r="C261" s="245"/>
      <c r="D261" s="246"/>
      <c r="E261" s="245"/>
      <c r="F261" s="247"/>
      <c r="G261" s="248"/>
      <c r="H261" s="247"/>
      <c r="I261" s="245"/>
      <c r="J261" s="249">
        <f>IF(OR(B261="",C261="",E261=""),"",B261&amp;":"&amp;C261&amp;":"&amp;E261)</f>
      </c>
      <c r="K261" s="250">
        <f>IF(A261="","",A261*D261)</f>
      </c>
      <c r="L261" s="249">
        <f>IF(A261="","",IF(OR(A261=1,A261=0),H261,0))</f>
      </c>
      <c r="M261" s="249">
        <f>IF(A261="","",IF(A261=-1,H261,0))</f>
      </c>
      <c r="N261">
        <f>IF($E261="SGD",1,IF($E261="USD",Settings!$B$22,IF($E261="HKD",Settings!$B$23,1)))</f>
      </c>
      <c r="O261">
        <f>IF($J261="",0,($M261-$L261+IF($A261=2,$H261,0))*$N261)</f>
      </c>
      <c r="P261">
        <f>IF($J261="",0,IF($A261=2,$H261*$N261,0))</f>
      </c>
    </row>
    <row r="262" spans="1:16" ht="15" customHeight="1" x14ac:dyDescent="0.15">
      <c r="A262" s="244"/>
      <c r="B262" s="245"/>
      <c r="C262" s="245"/>
      <c r="D262" s="246"/>
      <c r="E262" s="245"/>
      <c r="F262" s="247"/>
      <c r="G262" s="248"/>
      <c r="H262" s="247"/>
      <c r="I262" s="245"/>
      <c r="J262" s="249">
        <f>IF(OR(B262="",C262="",E262=""),"",B262&amp;":"&amp;C262&amp;":"&amp;E262)</f>
      </c>
      <c r="K262" s="250">
        <f>IF(A262="","",A262*D262)</f>
      </c>
      <c r="L262" s="249">
        <f>IF(A262="","",IF(OR(A262=1,A262=0),H262,0))</f>
      </c>
      <c r="M262" s="249">
        <f>IF(A262="","",IF(A262=-1,H262,0))</f>
      </c>
      <c r="N262">
        <f>IF($E262="SGD",1,IF($E262="USD",Settings!$B$22,IF($E262="HKD",Settings!$B$23,1)))</f>
      </c>
      <c r="O262">
        <f>IF($J262="",0,($M262-$L262+IF($A262=2,$H262,0))*$N262)</f>
      </c>
      <c r="P262">
        <f>IF($J262="",0,IF($A262=2,$H262*$N262,0))</f>
      </c>
    </row>
    <row r="263" spans="1:16" ht="15" customHeight="1" x14ac:dyDescent="0.15">
      <c r="A263" s="244"/>
      <c r="B263" s="245"/>
      <c r="C263" s="245"/>
      <c r="D263" s="246"/>
      <c r="E263" s="245"/>
      <c r="F263" s="247"/>
      <c r="G263" s="248"/>
      <c r="H263" s="247"/>
      <c r="I263" s="245"/>
      <c r="J263" s="249">
        <f>IF(OR(B263="",C263="",E263=""),"",B263&amp;":"&amp;C263&amp;":"&amp;E263)</f>
      </c>
      <c r="K263" s="250">
        <f>IF(A263="","",A263*D263)</f>
      </c>
      <c r="L263" s="249">
        <f>IF(A263="","",IF(OR(A263=1,A263=0),H263,0))</f>
      </c>
      <c r="M263" s="249">
        <f>IF(A263="","",IF(A263=-1,H263,0))</f>
      </c>
      <c r="N263">
        <f>IF($E263="SGD",1,IF($E263="USD",Settings!$B$22,IF($E263="HKD",Settings!$B$23,1)))</f>
      </c>
      <c r="O263">
        <f>IF($J263="",0,($M263-$L263+IF($A263=2,$H263,0))*$N263)</f>
      </c>
      <c r="P263">
        <f>IF($J263="",0,IF($A263=2,$H263*$N263,0))</f>
      </c>
    </row>
    <row r="264" spans="1:16" ht="15" customHeight="1" x14ac:dyDescent="0.15">
      <c r="A264" s="244"/>
      <c r="B264" s="245"/>
      <c r="C264" s="245"/>
      <c r="D264" s="246"/>
      <c r="E264" s="245"/>
      <c r="F264" s="247"/>
      <c r="G264" s="248"/>
      <c r="H264" s="247"/>
      <c r="I264" s="245"/>
      <c r="J264" s="249">
        <f>IF(OR(B264="",C264="",E264=""),"",B264&amp;":"&amp;C264&amp;":"&amp;E264)</f>
      </c>
      <c r="K264" s="250">
        <f>IF(A264="","",A264*D264)</f>
      </c>
      <c r="L264" s="249">
        <f>IF(A264="","",IF(OR(A264=1,A264=0),H264,0))</f>
      </c>
      <c r="M264" s="249">
        <f>IF(A264="","",IF(A264=-1,H264,0))</f>
      </c>
      <c r="N264">
        <f>IF($E264="SGD",1,IF($E264="USD",Settings!$B$22,IF($E264="HKD",Settings!$B$23,1)))</f>
      </c>
      <c r="O264">
        <f>IF($J264="",0,($M264-$L264+IF($A264=2,$H264,0))*$N264)</f>
      </c>
      <c r="P264">
        <f>IF($J264="",0,IF($A264=2,$H264*$N264,0))</f>
      </c>
    </row>
    <row r="265" spans="1:16" ht="15" customHeight="1" x14ac:dyDescent="0.15">
      <c r="A265" s="244"/>
      <c r="B265" s="245"/>
      <c r="C265" s="245"/>
      <c r="D265" s="246"/>
      <c r="E265" s="245"/>
      <c r="F265" s="247"/>
      <c r="G265" s="248"/>
      <c r="H265" s="247"/>
      <c r="I265" s="245"/>
      <c r="J265" s="249">
        <f>IF(OR(B265="",C265="",E265=""),"",B265&amp;":"&amp;C265&amp;":"&amp;E265)</f>
      </c>
      <c r="K265" s="250">
        <f>IF(A265="","",A265*D265)</f>
      </c>
      <c r="L265" s="249">
        <f>IF(A265="","",IF(OR(A265=1,A265=0),H265,0))</f>
      </c>
      <c r="M265" s="249">
        <f>IF(A265="","",IF(A265=-1,H265,0))</f>
      </c>
      <c r="N265">
        <f>IF($E265="SGD",1,IF($E265="USD",Settings!$B$22,IF($E265="HKD",Settings!$B$23,1)))</f>
      </c>
      <c r="O265">
        <f>IF($J265="",0,($M265-$L265+IF($A265=2,$H265,0))*$N265)</f>
      </c>
      <c r="P265">
        <f>IF($J265="",0,IF($A265=2,$H265*$N265,0))</f>
      </c>
    </row>
    <row r="266" spans="1:16" ht="15" customHeight="1" x14ac:dyDescent="0.15">
      <c r="A266" s="244"/>
      <c r="B266" s="245"/>
      <c r="C266" s="245"/>
      <c r="D266" s="246"/>
      <c r="E266" s="245"/>
      <c r="F266" s="247"/>
      <c r="G266" s="248"/>
      <c r="H266" s="247"/>
      <c r="I266" s="245"/>
      <c r="J266" s="249">
        <f>IF(OR(B266="",C266="",E266=""),"",B266&amp;":"&amp;C266&amp;":"&amp;E266)</f>
      </c>
      <c r="K266" s="250">
        <f>IF(A266="","",A266*D266)</f>
      </c>
      <c r="L266" s="249">
        <f>IF(A266="","",IF(OR(A266=1,A266=0),H266,0))</f>
      </c>
      <c r="M266" s="249">
        <f>IF(A266="","",IF(A266=-1,H266,0))</f>
      </c>
      <c r="N266">
        <f>IF($E266="SGD",1,IF($E266="USD",Settings!$B$22,IF($E266="HKD",Settings!$B$23,1)))</f>
      </c>
      <c r="O266">
        <f>IF($J266="",0,($M266-$L266+IF($A266=2,$H266,0))*$N266)</f>
      </c>
      <c r="P266">
        <f>IF($J266="",0,IF($A266=2,$H266*$N266,0))</f>
      </c>
    </row>
    <row r="267" spans="1:16" ht="15" customHeight="1" x14ac:dyDescent="0.15">
      <c r="A267" s="244"/>
      <c r="B267" s="245"/>
      <c r="C267" s="245"/>
      <c r="D267" s="246"/>
      <c r="E267" s="245"/>
      <c r="F267" s="247"/>
      <c r="G267" s="248"/>
      <c r="H267" s="247"/>
      <c r="I267" s="245"/>
      <c r="J267" s="249">
        <f>IF(OR(B267="",C267="",E267=""),"",B267&amp;":"&amp;C267&amp;":"&amp;E267)</f>
      </c>
      <c r="K267" s="250">
        <f>IF(A267="","",A267*D267)</f>
      </c>
      <c r="L267" s="249">
        <f>IF(A267="","",IF(OR(A267=1,A267=0),H267,0))</f>
      </c>
      <c r="M267" s="249">
        <f>IF(A267="","",IF(A267=-1,H267,0))</f>
      </c>
      <c r="N267">
        <f>IF($E267="SGD",1,IF($E267="USD",Settings!$B$22,IF($E267="HKD",Settings!$B$23,1)))</f>
      </c>
      <c r="O267">
        <f>IF($J267="",0,($M267-$L267+IF($A267=2,$H267,0))*$N267)</f>
      </c>
      <c r="P267">
        <f>IF($J267="",0,IF($A267=2,$H267*$N267,0))</f>
      </c>
    </row>
    <row r="268" spans="1:16" ht="15" customHeight="1" x14ac:dyDescent="0.15">
      <c r="A268" s="244"/>
      <c r="B268" s="245"/>
      <c r="C268" s="245"/>
      <c r="D268" s="246"/>
      <c r="E268" s="245"/>
      <c r="F268" s="247"/>
      <c r="G268" s="248"/>
      <c r="H268" s="247"/>
      <c r="I268" s="245"/>
      <c r="J268" s="249">
        <f>IF(OR(B268="",C268="",E268=""),"",B268&amp;":"&amp;C268&amp;":"&amp;E268)</f>
      </c>
      <c r="K268" s="250">
        <f>IF(A268="","",A268*D268)</f>
      </c>
      <c r="L268" s="249">
        <f>IF(A268="","",IF(OR(A268=1,A268=0),H268,0))</f>
      </c>
      <c r="M268" s="249">
        <f>IF(A268="","",IF(A268=-1,H268,0))</f>
      </c>
      <c r="N268">
        <f>IF($E268="SGD",1,IF($E268="USD",Settings!$B$22,IF($E268="HKD",Settings!$B$23,1)))</f>
      </c>
      <c r="O268">
        <f>IF($J268="",0,($M268-$L268+IF($A268=2,$H268,0))*$N268)</f>
      </c>
      <c r="P268">
        <f>IF($J268="",0,IF($A268=2,$H268*$N268,0))</f>
      </c>
    </row>
    <row r="269" spans="1:16" ht="15" customHeight="1" x14ac:dyDescent="0.15">
      <c r="A269" s="244"/>
      <c r="B269" s="245"/>
      <c r="C269" s="245"/>
      <c r="D269" s="246"/>
      <c r="E269" s="245"/>
      <c r="F269" s="247"/>
      <c r="G269" s="248"/>
      <c r="H269" s="247"/>
      <c r="I269" s="245"/>
      <c r="J269" s="249">
        <f>IF(OR(B269="",C269="",E269=""),"",B269&amp;":"&amp;C269&amp;":"&amp;E269)</f>
      </c>
      <c r="K269" s="250">
        <f>IF(A269="","",A269*D269)</f>
      </c>
      <c r="L269" s="249">
        <f>IF(A269="","",IF(OR(A269=1,A269=0),H269,0))</f>
      </c>
      <c r="M269" s="249">
        <f>IF(A269="","",IF(A269=-1,H269,0))</f>
      </c>
      <c r="N269">
        <f>IF($E269="SGD",1,IF($E269="USD",Settings!$B$22,IF($E269="HKD",Settings!$B$23,1)))</f>
      </c>
      <c r="O269">
        <f>IF($J269="",0,($M269-$L269+IF($A269=2,$H269,0))*$N269)</f>
      </c>
      <c r="P269">
        <f>IF($J269="",0,IF($A269=2,$H269*$N269,0))</f>
      </c>
    </row>
    <row r="270" spans="1:16" ht="15" customHeight="1" x14ac:dyDescent="0.15">
      <c r="A270" s="244"/>
      <c r="B270" s="245"/>
      <c r="C270" s="245"/>
      <c r="D270" s="246"/>
      <c r="E270" s="245"/>
      <c r="F270" s="247"/>
      <c r="G270" s="248"/>
      <c r="H270" s="247"/>
      <c r="I270" s="245"/>
      <c r="J270" s="249">
        <f>IF(OR(B270="",C270="",E270=""),"",B270&amp;":"&amp;C270&amp;":"&amp;E270)</f>
      </c>
      <c r="K270" s="250">
        <f>IF(A270="","",A270*D270)</f>
      </c>
      <c r="L270" s="249">
        <f>IF(A270="","",IF(OR(A270=1,A270=0),H270,0))</f>
      </c>
      <c r="M270" s="249">
        <f>IF(A270="","",IF(A270=-1,H270,0))</f>
      </c>
      <c r="N270">
        <f>IF($E270="SGD",1,IF($E270="USD",Settings!$B$22,IF($E270="HKD",Settings!$B$23,1)))</f>
      </c>
      <c r="O270">
        <f>IF($J270="",0,($M270-$L270+IF($A270=2,$H270,0))*$N270)</f>
      </c>
      <c r="P270">
        <f>IF($J270="",0,IF($A270=2,$H270*$N270,0))</f>
      </c>
    </row>
    <row r="271" spans="1:16" ht="15" customHeight="1" x14ac:dyDescent="0.15">
      <c r="A271" s="244"/>
      <c r="B271" s="245"/>
      <c r="C271" s="245"/>
      <c r="D271" s="246"/>
      <c r="E271" s="245"/>
      <c r="F271" s="247"/>
      <c r="G271" s="248"/>
      <c r="H271" s="247"/>
      <c r="I271" s="245"/>
      <c r="J271" s="249">
        <f>IF(OR(B271="",C271="",E271=""),"",B271&amp;":"&amp;C271&amp;":"&amp;E271)</f>
      </c>
      <c r="K271" s="250">
        <f>IF(A271="","",A271*D271)</f>
      </c>
      <c r="L271" s="249">
        <f>IF(A271="","",IF(OR(A271=1,A271=0),H271,0))</f>
      </c>
      <c r="M271" s="249">
        <f>IF(A271="","",IF(A271=-1,H271,0))</f>
      </c>
      <c r="N271">
        <f>IF($E271="SGD",1,IF($E271="USD",Settings!$B$22,IF($E271="HKD",Settings!$B$23,1)))</f>
      </c>
      <c r="O271">
        <f>IF($J271="",0,($M271-$L271+IF($A271=2,$H271,0))*$N271)</f>
      </c>
      <c r="P271">
        <f>IF($J271="",0,IF($A271=2,$H271*$N271,0))</f>
      </c>
    </row>
    <row r="272" spans="1:16" ht="15" customHeight="1" x14ac:dyDescent="0.15">
      <c r="A272" s="244"/>
      <c r="B272" s="245"/>
      <c r="C272" s="245"/>
      <c r="D272" s="246"/>
      <c r="E272" s="245"/>
      <c r="F272" s="247"/>
      <c r="G272" s="248"/>
      <c r="H272" s="247"/>
      <c r="I272" s="245"/>
      <c r="J272" s="249">
        <f>IF(OR(B272="",C272="",E272=""),"",B272&amp;":"&amp;C272&amp;":"&amp;E272)</f>
      </c>
      <c r="K272" s="250">
        <f>IF(A272="","",A272*D272)</f>
      </c>
      <c r="L272" s="249">
        <f>IF(A272="","",IF(OR(A272=1,A272=0),H272,0))</f>
      </c>
      <c r="M272" s="249">
        <f>IF(A272="","",IF(A272=-1,H272,0))</f>
      </c>
      <c r="N272">
        <f>IF($E272="SGD",1,IF($E272="USD",Settings!$B$22,IF($E272="HKD",Settings!$B$23,1)))</f>
      </c>
      <c r="O272">
        <f>IF($J272="",0,($M272-$L272+IF($A272=2,$H272,0))*$N272)</f>
      </c>
      <c r="P272">
        <f>IF($J272="",0,IF($A272=2,$H272*$N272,0))</f>
      </c>
    </row>
    <row r="273" spans="1:16" ht="15" customHeight="1" x14ac:dyDescent="0.15">
      <c r="A273" s="244"/>
      <c r="B273" s="245"/>
      <c r="C273" s="245"/>
      <c r="D273" s="246"/>
      <c r="E273" s="245"/>
      <c r="F273" s="247"/>
      <c r="G273" s="248"/>
      <c r="H273" s="247"/>
      <c r="I273" s="245"/>
      <c r="J273" s="249">
        <f>IF(OR(B273="",C273="",E273=""),"",B273&amp;":"&amp;C273&amp;":"&amp;E273)</f>
      </c>
      <c r="K273" s="250">
        <f>IF(A273="","",A273*D273)</f>
      </c>
      <c r="L273" s="249">
        <f>IF(A273="","",IF(OR(A273=1,A273=0),H273,0))</f>
      </c>
      <c r="M273" s="249">
        <f>IF(A273="","",IF(A273=-1,H273,0))</f>
      </c>
      <c r="N273">
        <f>IF($E273="SGD",1,IF($E273="USD",Settings!$B$22,IF($E273="HKD",Settings!$B$23,1)))</f>
      </c>
      <c r="O273">
        <f>IF($J273="",0,($M273-$L273+IF($A273=2,$H273,0))*$N273)</f>
      </c>
      <c r="P273">
        <f>IF($J273="",0,IF($A273=2,$H273*$N273,0))</f>
      </c>
    </row>
    <row r="274" spans="1:16" ht="15" customHeight="1" x14ac:dyDescent="0.15">
      <c r="A274" s="244"/>
      <c r="B274" s="245"/>
      <c r="C274" s="245"/>
      <c r="D274" s="246"/>
      <c r="E274" s="245"/>
      <c r="F274" s="247"/>
      <c r="G274" s="248"/>
      <c r="H274" s="247"/>
      <c r="I274" s="245"/>
      <c r="J274" s="249">
        <f>IF(OR(B274="",C274="",E274=""),"",B274&amp;":"&amp;C274&amp;":"&amp;E274)</f>
      </c>
      <c r="K274" s="250">
        <f>IF(A274="","",A274*D274)</f>
      </c>
      <c r="L274" s="249">
        <f>IF(A274="","",IF(OR(A274=1,A274=0),H274,0))</f>
      </c>
      <c r="M274" s="249">
        <f>IF(A274="","",IF(A274=-1,H274,0))</f>
      </c>
      <c r="N274">
        <f>IF($E274="SGD",1,IF($E274="USD",Settings!$B$22,IF($E274="HKD",Settings!$B$23,1)))</f>
      </c>
      <c r="O274">
        <f>IF($J274="",0,($M274-$L274+IF($A274=2,$H274,0))*$N274)</f>
      </c>
      <c r="P274">
        <f>IF($J274="",0,IF($A274=2,$H274*$N274,0))</f>
      </c>
    </row>
    <row r="275" spans="1:16" ht="15" customHeight="1" x14ac:dyDescent="0.15">
      <c r="A275" s="244"/>
      <c r="B275" s="245"/>
      <c r="C275" s="245"/>
      <c r="D275" s="246"/>
      <c r="E275" s="245"/>
      <c r="F275" s="247"/>
      <c r="G275" s="248"/>
      <c r="H275" s="247"/>
      <c r="I275" s="245"/>
      <c r="J275" s="249">
        <f>IF(OR(B275="",C275="",E275=""),"",B275&amp;":"&amp;C275&amp;":"&amp;E275)</f>
      </c>
      <c r="K275" s="250">
        <f>IF(A275="","",A275*D275)</f>
      </c>
      <c r="L275" s="249">
        <f>IF(A275="","",IF(OR(A275=1,A275=0),H275,0))</f>
      </c>
      <c r="M275" s="249">
        <f>IF(A275="","",IF(A275=-1,H275,0))</f>
      </c>
      <c r="N275">
        <f>IF($E275="SGD",1,IF($E275="USD",Settings!$B$22,IF($E275="HKD",Settings!$B$23,1)))</f>
      </c>
      <c r="O275">
        <f>IF($J275="",0,($M275-$L275+IF($A275=2,$H275,0))*$N275)</f>
      </c>
      <c r="P275">
        <f>IF($J275="",0,IF($A275=2,$H275*$N275,0))</f>
      </c>
    </row>
    <row r="276" spans="1:16" ht="15" customHeight="1" x14ac:dyDescent="0.15">
      <c r="A276" s="244"/>
      <c r="B276" s="245"/>
      <c r="C276" s="245"/>
      <c r="D276" s="246"/>
      <c r="E276" s="245"/>
      <c r="F276" s="247"/>
      <c r="G276" s="248"/>
      <c r="H276" s="247"/>
      <c r="I276" s="245"/>
      <c r="J276" s="249">
        <f>IF(OR(B276="",C276="",E276=""),"",B276&amp;":"&amp;C276&amp;":"&amp;E276)</f>
      </c>
      <c r="K276" s="250">
        <f>IF(A276="","",A276*D276)</f>
      </c>
      <c r="L276" s="249">
        <f>IF(A276="","",IF(OR(A276=1,A276=0),H276,0))</f>
      </c>
      <c r="M276" s="249">
        <f>IF(A276="","",IF(A276=-1,H276,0))</f>
      </c>
      <c r="N276">
        <f>IF($E276="SGD",1,IF($E276="USD",Settings!$B$22,IF($E276="HKD",Settings!$B$23,1)))</f>
      </c>
      <c r="O276">
        <f>IF($J276="",0,($M276-$L276+IF($A276=2,$H276,0))*$N276)</f>
      </c>
      <c r="P276">
        <f>IF($J276="",0,IF($A276=2,$H276*$N276,0))</f>
      </c>
    </row>
    <row r="277" spans="1:16" ht="15" customHeight="1" x14ac:dyDescent="0.15">
      <c r="A277" s="244"/>
      <c r="B277" s="245"/>
      <c r="C277" s="245"/>
      <c r="D277" s="246"/>
      <c r="E277" s="245"/>
      <c r="F277" s="247"/>
      <c r="G277" s="248"/>
      <c r="H277" s="247"/>
      <c r="I277" s="245"/>
      <c r="J277" s="249">
        <f>IF(OR(B277="",C277="",E277=""),"",B277&amp;":"&amp;C277&amp;":"&amp;E277)</f>
      </c>
      <c r="K277" s="250">
        <f>IF(A277="","",A277*D277)</f>
      </c>
      <c r="L277" s="249">
        <f>IF(A277="","",IF(OR(A277=1,A277=0),H277,0))</f>
      </c>
      <c r="M277" s="249">
        <f>IF(A277="","",IF(A277=-1,H277,0))</f>
      </c>
      <c r="N277">
        <f>IF($E277="SGD",1,IF($E277="USD",Settings!$B$22,IF($E277="HKD",Settings!$B$23,1)))</f>
      </c>
      <c r="O277">
        <f>IF($J277="",0,($M277-$L277+IF($A277=2,$H277,0))*$N277)</f>
      </c>
      <c r="P277">
        <f>IF($J277="",0,IF($A277=2,$H277*$N277,0))</f>
      </c>
    </row>
    <row r="278" spans="1:16" ht="15" customHeight="1" x14ac:dyDescent="0.15">
      <c r="A278" s="244"/>
      <c r="B278" s="245"/>
      <c r="C278" s="245"/>
      <c r="D278" s="246"/>
      <c r="E278" s="245"/>
      <c r="F278" s="247"/>
      <c r="G278" s="248"/>
      <c r="H278" s="247"/>
      <c r="I278" s="245"/>
      <c r="J278" s="249">
        <f>IF(OR(B278="",C278="",E278=""),"",B278&amp;":"&amp;C278&amp;":"&amp;E278)</f>
      </c>
      <c r="K278" s="250">
        <f>IF(A278="","",A278*D278)</f>
      </c>
      <c r="L278" s="249">
        <f>IF(A278="","",IF(OR(A278=1,A278=0),H278,0))</f>
      </c>
      <c r="M278" s="249">
        <f>IF(A278="","",IF(A278=-1,H278,0))</f>
      </c>
      <c r="N278">
        <f>IF($E278="SGD",1,IF($E278="USD",Settings!$B$22,IF($E278="HKD",Settings!$B$23,1)))</f>
      </c>
      <c r="O278">
        <f>IF($J278="",0,($M278-$L278+IF($A278=2,$H278,0))*$N278)</f>
      </c>
      <c r="P278">
        <f>IF($J278="",0,IF($A278=2,$H278*$N278,0))</f>
      </c>
    </row>
    <row r="279" spans="1:16" ht="15" customHeight="1" x14ac:dyDescent="0.15">
      <c r="A279" s="244"/>
      <c r="B279" s="245"/>
      <c r="C279" s="245"/>
      <c r="D279" s="246"/>
      <c r="E279" s="245"/>
      <c r="F279" s="247"/>
      <c r="G279" s="248"/>
      <c r="H279" s="247"/>
      <c r="I279" s="245"/>
      <c r="J279" s="249">
        <f>IF(OR(B279="",C279="",E279=""),"",B279&amp;":"&amp;C279&amp;":"&amp;E279)</f>
      </c>
      <c r="K279" s="250">
        <f>IF(A279="","",A279*D279)</f>
      </c>
      <c r="L279" s="249">
        <f>IF(A279="","",IF(OR(A279=1,A279=0),H279,0))</f>
      </c>
      <c r="M279" s="249">
        <f>IF(A279="","",IF(A279=-1,H279,0))</f>
      </c>
      <c r="N279">
        <f>IF($E279="SGD",1,IF($E279="USD",Settings!$B$22,IF($E279="HKD",Settings!$B$23,1)))</f>
      </c>
      <c r="O279">
        <f>IF($J279="",0,($M279-$L279+IF($A279=2,$H279,0))*$N279)</f>
      </c>
      <c r="P279">
        <f>IF($J279="",0,IF($A279=2,$H279*$N279,0))</f>
      </c>
    </row>
    <row r="280" spans="1:16" ht="15" customHeight="1" x14ac:dyDescent="0.15">
      <c r="A280" s="244"/>
      <c r="B280" s="245"/>
      <c r="C280" s="245"/>
      <c r="D280" s="246"/>
      <c r="E280" s="245"/>
      <c r="F280" s="247"/>
      <c r="G280" s="248"/>
      <c r="H280" s="247"/>
      <c r="I280" s="245"/>
      <c r="J280" s="249">
        <f>IF(OR(B280="",C280="",E280=""),"",B280&amp;":"&amp;C280&amp;":"&amp;E280)</f>
      </c>
      <c r="K280" s="250">
        <f>IF(A280="","",A280*D280)</f>
      </c>
      <c r="L280" s="249">
        <f>IF(A280="","",IF(OR(A280=1,A280=0),H280,0))</f>
      </c>
      <c r="M280" s="249">
        <f>IF(A280="","",IF(A280=-1,H280,0))</f>
      </c>
      <c r="N280">
        <f>IF($E280="SGD",1,IF($E280="USD",Settings!$B$22,IF($E280="HKD",Settings!$B$23,1)))</f>
      </c>
      <c r="O280">
        <f>IF($J280="",0,($M280-$L280+IF($A280=2,$H280,0))*$N280)</f>
      </c>
      <c r="P280">
        <f>IF($J280="",0,IF($A280=2,$H280*$N280,0))</f>
      </c>
    </row>
    <row r="281" spans="1:16" ht="15" customHeight="1" x14ac:dyDescent="0.15">
      <c r="A281" s="244"/>
      <c r="B281" s="245"/>
      <c r="C281" s="245"/>
      <c r="D281" s="246"/>
      <c r="E281" s="245"/>
      <c r="F281" s="247"/>
      <c r="G281" s="248"/>
      <c r="H281" s="247"/>
      <c r="I281" s="245"/>
      <c r="J281" s="249">
        <f>IF(OR(B281="",C281="",E281=""),"",B281&amp;":"&amp;C281&amp;":"&amp;E281)</f>
      </c>
      <c r="K281" s="250">
        <f>IF(A281="","",A281*D281)</f>
      </c>
      <c r="L281" s="249">
        <f>IF(A281="","",IF(OR(A281=1,A281=0),H281,0))</f>
      </c>
      <c r="M281" s="249">
        <f>IF(A281="","",IF(A281=-1,H281,0))</f>
      </c>
      <c r="N281">
        <f>IF($E281="SGD",1,IF($E281="USD",Settings!$B$22,IF($E281="HKD",Settings!$B$23,1)))</f>
      </c>
      <c r="O281">
        <f>IF($J281="",0,($M281-$L281+IF($A281=2,$H281,0))*$N281)</f>
      </c>
      <c r="P281">
        <f>IF($J281="",0,IF($A281=2,$H281*$N281,0))</f>
      </c>
    </row>
    <row r="282" spans="1:16" ht="15" customHeight="1" x14ac:dyDescent="0.15">
      <c r="A282" s="244"/>
      <c r="B282" s="245"/>
      <c r="C282" s="245"/>
      <c r="D282" s="246"/>
      <c r="E282" s="245"/>
      <c r="F282" s="247"/>
      <c r="G282" s="248"/>
      <c r="H282" s="247"/>
      <c r="I282" s="245"/>
      <c r="J282" s="249">
        <f>IF(OR(B282="",C282="",E282=""),"",B282&amp;":"&amp;C282&amp;":"&amp;E282)</f>
      </c>
      <c r="K282" s="250">
        <f>IF(A282="","",A282*D282)</f>
      </c>
      <c r="L282" s="249">
        <f>IF(A282="","",IF(OR(A282=1,A282=0),H282,0))</f>
      </c>
      <c r="M282" s="249">
        <f>IF(A282="","",IF(A282=-1,H282,0))</f>
      </c>
      <c r="N282">
        <f>IF($E282="SGD",1,IF($E282="USD",Settings!$B$22,IF($E282="HKD",Settings!$B$23,1)))</f>
      </c>
      <c r="O282">
        <f>IF($J282="",0,($M282-$L282+IF($A282=2,$H282,0))*$N282)</f>
      </c>
      <c r="P282">
        <f>IF($J282="",0,IF($A282=2,$H282*$N282,0))</f>
      </c>
    </row>
    <row r="283" spans="1:16" ht="15" customHeight="1" x14ac:dyDescent="0.15">
      <c r="A283" s="244"/>
      <c r="B283" s="245"/>
      <c r="C283" s="245"/>
      <c r="D283" s="246"/>
      <c r="E283" s="245"/>
      <c r="F283" s="247"/>
      <c r="G283" s="248"/>
      <c r="H283" s="247"/>
      <c r="I283" s="245"/>
      <c r="J283" s="249">
        <f>IF(OR(B283="",C283="",E283=""),"",B283&amp;":"&amp;C283&amp;":"&amp;E283)</f>
      </c>
      <c r="K283" s="250">
        <f>IF(A283="","",A283*D283)</f>
      </c>
      <c r="L283" s="249">
        <f>IF(A283="","",IF(OR(A283=1,A283=0),H283,0))</f>
      </c>
      <c r="M283" s="249">
        <f>IF(A283="","",IF(A283=-1,H283,0))</f>
      </c>
      <c r="N283">
        <f>IF($E283="SGD",1,IF($E283="USD",Settings!$B$22,IF($E283="HKD",Settings!$B$23,1)))</f>
      </c>
      <c r="O283">
        <f>IF($J283="",0,($M283-$L283+IF($A283=2,$H283,0))*$N283)</f>
      </c>
      <c r="P283">
        <f>IF($J283="",0,IF($A283=2,$H283*$N283,0))</f>
      </c>
    </row>
    <row r="284" spans="1:16" ht="15" customHeight="1" x14ac:dyDescent="0.15">
      <c r="A284" s="251"/>
      <c r="B284" s="252"/>
      <c r="C284" s="252"/>
      <c r="D284" s="253"/>
      <c r="E284" s="252"/>
      <c r="F284" s="254"/>
      <c r="G284" s="255"/>
      <c r="H284" s="254"/>
      <c r="I284" s="252"/>
      <c r="J284" s="249">
        <f>IF(OR(B284="",C284="",E284=""),"",B284&amp;":"&amp;C284&amp;":"&amp;E284)</f>
      </c>
      <c r="K284" s="250">
        <f>IF(A284="","",A284*D284)</f>
      </c>
      <c r="L284" s="249">
        <f>IF(A284="","",IF(OR(A284=1,A284=0),H284,0))</f>
      </c>
      <c r="M284" s="249">
        <f>IF(A284="","",IF(A284=-1,H284,0))</f>
      </c>
      <c r="N284">
        <f>IF($E284="SGD",1,IF($E284="USD",Settings!$B$22,IF($E284="HKD",Settings!$B$23,1)))</f>
      </c>
      <c r="O284">
        <f>IF($J284="",0,($M284-$L284+IF($A284=2,$H284,0))*$N284)</f>
      </c>
      <c r="P284">
        <f>IF($J284="",0,IF($A284=2,$H284*$N284,0))</f>
      </c>
    </row>
    <row r="285" spans="1:16" ht="15" customHeight="1" x14ac:dyDescent="0.15">
      <c r="A285" s="251"/>
      <c r="B285" s="252"/>
      <c r="C285" s="252"/>
      <c r="D285" s="253"/>
      <c r="E285" s="252"/>
      <c r="F285" s="254"/>
      <c r="G285" s="255"/>
      <c r="H285" s="254"/>
      <c r="I285" s="252"/>
      <c r="J285" s="249">
        <f>IF(OR(B285="",C285="",E285=""),"",B285&amp;":"&amp;C285&amp;":"&amp;E285)</f>
      </c>
      <c r="K285" s="250">
        <f>IF(A285="","",A285*D285)</f>
      </c>
      <c r="L285" s="249">
        <f>IF(A285="","",IF(OR(A285=1,A285=0),H285,0))</f>
      </c>
      <c r="M285" s="249">
        <f>IF(A285="","",IF(A285=-1,H285,0))</f>
      </c>
      <c r="N285">
        <f>IF($E285="SGD",1,IF($E285="USD",Settings!$B$22,IF($E285="HKD",Settings!$B$23,1)))</f>
      </c>
      <c r="O285">
        <f>IF($J285="",0,($M285-$L285+IF($A285=2,$H285,0))*$N285)</f>
      </c>
      <c r="P285">
        <f>IF($J285="",0,IF($A285=2,$H285*$N285,0))</f>
      </c>
    </row>
    <row r="286" spans="1:16" ht="15" customHeight="1" x14ac:dyDescent="0.15">
      <c r="A286" s="242"/>
      <c r="B286" s="242"/>
      <c r="C286" s="242"/>
      <c r="D286" s="256"/>
      <c r="E286" s="242"/>
      <c r="F286" s="257"/>
      <c r="G286" s="242"/>
      <c r="H286" s="257"/>
      <c r="I286" s="242"/>
      <c r="J286" s="249">
        <f>IF(OR(B286="",C286="",E286=""),"",B286&amp;":"&amp;C286&amp;":"&amp;E286)</f>
      </c>
      <c r="K286" s="250">
        <f>IF(A286="","",A286*D286)</f>
      </c>
      <c r="L286" s="249">
        <f>IF(A286="","",IF(OR(A286=1,A286=0),H286,0))</f>
      </c>
      <c r="M286" s="249">
        <f>IF(A286="","",IF(A286=-1,H286,0))</f>
      </c>
      <c r="N286">
        <f>IF($E286="SGD",1,IF($E286="USD",Settings!$B$22,IF($E286="HKD",Settings!$B$23,1)))</f>
      </c>
      <c r="O286">
        <f>IF($J286="",0,($M286-$L286+IF($A286=2,$H286,0))*$N286)</f>
      </c>
      <c r="P286">
        <f>IF($J286="",0,IF($A286=2,$H286*$N286,0))</f>
      </c>
    </row>
    <row r="287" spans="1:16" ht="15" customHeight="1" x14ac:dyDescent="0.15">
      <c r="A287" s="242"/>
      <c r="B287" s="242"/>
      <c r="C287" s="242"/>
      <c r="D287" s="256"/>
      <c r="E287" s="242"/>
      <c r="F287" s="257"/>
      <c r="G287" s="242"/>
      <c r="H287" s="257"/>
      <c r="I287" s="242"/>
      <c r="J287" s="249">
        <f>IF(OR(B287="",C287="",E287=""),"",B287&amp;":"&amp;C287&amp;":"&amp;E287)</f>
      </c>
      <c r="K287" s="250">
        <f>IF(A287="","",A287*D287)</f>
      </c>
      <c r="L287" s="249">
        <f>IF(A287="","",IF(OR(A287=1,A287=0),H287,0))</f>
      </c>
      <c r="M287" s="249">
        <f>IF(A287="","",IF(A287=-1,H287,0))</f>
      </c>
      <c r="N287">
        <f>IF($E287="SGD",1,IF($E287="USD",Settings!$B$22,IF($E287="HKD",Settings!$B$23,1)))</f>
      </c>
      <c r="O287">
        <f>IF($J287="",0,($M287-$L287+IF($A287=2,$H287,0))*$N287)</f>
      </c>
      <c r="P287">
        <f>IF($J287="",0,IF($A287=2,$H287*$N287,0))</f>
      </c>
    </row>
    <row r="288" spans="1:16" ht="15" customHeight="1" x14ac:dyDescent="0.15">
      <c r="A288" s="242"/>
      <c r="B288" s="242"/>
      <c r="C288" s="242"/>
      <c r="D288" s="256"/>
      <c r="E288" s="242"/>
      <c r="F288" s="257"/>
      <c r="G288" s="242"/>
      <c r="H288" s="257"/>
      <c r="I288" s="242"/>
      <c r="J288" s="249">
        <f>IF(OR(B288="",C288="",E288=""),"",B288&amp;":"&amp;C288&amp;":"&amp;E288)</f>
      </c>
      <c r="K288" s="250">
        <f>IF(A288="","",A288*D288)</f>
      </c>
      <c r="L288" s="249">
        <f>IF(A288="","",IF(OR(A288=1,A288=0),H288,0))</f>
      </c>
      <c r="M288" s="249">
        <f>IF(A288="","",IF(A288=-1,H288,0))</f>
      </c>
      <c r="N288">
        <f>IF($E288="SGD",1,IF($E288="USD",Settings!$B$22,IF($E288="HKD",Settings!$B$23,1)))</f>
      </c>
      <c r="O288">
        <f>IF($J288="",0,($M288-$L288+IF($A288=2,$H288,0))*$N288)</f>
      </c>
      <c r="P288">
        <f>IF($J288="",0,IF($A288=2,$H288*$N288,0))</f>
      </c>
    </row>
    <row r="289" spans="1:16" ht="15" customHeight="1" x14ac:dyDescent="0.15">
      <c r="A289" s="242"/>
      <c r="B289" s="242"/>
      <c r="C289" s="242"/>
      <c r="D289" s="256"/>
      <c r="E289" s="242"/>
      <c r="F289" s="257"/>
      <c r="G289" s="242"/>
      <c r="H289" s="257"/>
      <c r="I289" s="242"/>
      <c r="J289" s="249">
        <f>IF(OR(B289="",C289="",E289=""),"",B289&amp;":"&amp;C289&amp;":"&amp;E289)</f>
      </c>
      <c r="K289" s="250">
        <f>IF(A289="","",A289*D289)</f>
      </c>
      <c r="L289" s="249">
        <f>IF(A289="","",IF(OR(A289=1,A289=0),H289,0))</f>
      </c>
      <c r="M289" s="249">
        <f>IF(A289="","",IF(A289=-1,H289,0))</f>
      </c>
      <c r="N289">
        <f>IF($E289="SGD",1,IF($E289="USD",Settings!$B$22,IF($E289="HKD",Settings!$B$23,1)))</f>
      </c>
      <c r="O289">
        <f>IF($J289="",0,($M289-$L289+IF($A289=2,$H289,0))*$N289)</f>
      </c>
      <c r="P289">
        <f>IF($J289="",0,IF($A289=2,$H289*$N289,0))</f>
      </c>
    </row>
    <row r="290" spans="1:16" ht="15" customHeight="1" x14ac:dyDescent="0.15">
      <c r="A290" s="242"/>
      <c r="B290" s="242"/>
      <c r="C290" s="242"/>
      <c r="D290" s="256"/>
      <c r="E290" s="242"/>
      <c r="F290" s="257"/>
      <c r="G290" s="242"/>
      <c r="H290" s="257"/>
      <c r="I290" s="242"/>
      <c r="J290" s="249">
        <f>IF(OR(B290="",C290="",E290=""),"",B290&amp;":"&amp;C290&amp;":"&amp;E290)</f>
      </c>
      <c r="K290" s="250">
        <f>IF(A290="","",A290*D290)</f>
      </c>
      <c r="L290" s="249">
        <f>IF(A290="","",IF(OR(A290=1,A290=0),H290,0))</f>
      </c>
      <c r="M290" s="249">
        <f>IF(A290="","",IF(A290=-1,H290,0))</f>
      </c>
      <c r="N290">
        <f>IF($E290="SGD",1,IF($E290="USD",Settings!$B$22,IF($E290="HKD",Settings!$B$23,1)))</f>
      </c>
      <c r="O290">
        <f>IF($J290="",0,($M290-$L290+IF($A290=2,$H290,0))*$N290)</f>
      </c>
      <c r="P290">
        <f>IF($J290="",0,IF($A290=2,$H290*$N290,0))</f>
      </c>
    </row>
    <row r="291" spans="1:16" ht="15" customHeight="1" x14ac:dyDescent="0.15">
      <c r="A291" s="242"/>
      <c r="B291" s="242"/>
      <c r="C291" s="242"/>
      <c r="D291" s="256"/>
      <c r="E291" s="242"/>
      <c r="F291" s="257"/>
      <c r="G291" s="242"/>
      <c r="H291" s="257"/>
      <c r="I291" s="242"/>
      <c r="J291" s="249">
        <f>IF(OR(B291="",C291="",E291=""),"",B291&amp;":"&amp;C291&amp;":"&amp;E291)</f>
      </c>
      <c r="K291" s="250">
        <f>IF(A291="","",A291*D291)</f>
      </c>
      <c r="L291" s="249">
        <f>IF(A291="","",IF(OR(A291=1,A291=0),H291,0))</f>
      </c>
      <c r="M291" s="249">
        <f>IF(A291="","",IF(A291=-1,H291,0))</f>
      </c>
      <c r="N291">
        <f>IF($E291="SGD",1,IF($E291="USD",Settings!$B$22,IF($E291="HKD",Settings!$B$23,1)))</f>
      </c>
      <c r="O291">
        <f>IF($J291="",0,($M291-$L291+IF($A291=2,$H291,0))*$N291)</f>
      </c>
      <c r="P291">
        <f>IF($J291="",0,IF($A291=2,$H291*$N291,0))</f>
      </c>
    </row>
    <row r="292" spans="1:16" ht="15" customHeight="1" x14ac:dyDescent="0.15">
      <c r="A292" s="242"/>
      <c r="B292" s="242"/>
      <c r="C292" s="242"/>
      <c r="D292" s="256"/>
      <c r="E292" s="242"/>
      <c r="F292" s="257"/>
      <c r="G292" s="242"/>
      <c r="H292" s="257"/>
      <c r="I292" s="242"/>
      <c r="J292" s="249">
        <f>IF(OR(B292="",C292="",E292=""),"",B292&amp;":"&amp;C292&amp;":"&amp;E292)</f>
      </c>
      <c r="K292" s="250">
        <f>IF(A292="","",A292*D292)</f>
      </c>
      <c r="L292" s="249">
        <f>IF(A292="","",IF(OR(A292=1,A292=0),H292,0))</f>
      </c>
      <c r="M292" s="249">
        <f>IF(A292="","",IF(A292=-1,H292,0))</f>
      </c>
      <c r="N292">
        <f>IF($E292="SGD",1,IF($E292="USD",Settings!$B$22,IF($E292="HKD",Settings!$B$23,1)))</f>
      </c>
      <c r="O292">
        <f>IF($J292="",0,($M292-$L292+IF($A292=2,$H292,0))*$N292)</f>
      </c>
      <c r="P292">
        <f>IF($J292="",0,IF($A292=2,$H292*$N292,0))</f>
      </c>
    </row>
    <row r="293" spans="1:16" ht="15" customHeight="1" x14ac:dyDescent="0.15">
      <c r="A293" s="242"/>
      <c r="B293" s="242"/>
      <c r="C293" s="242"/>
      <c r="D293" s="256"/>
      <c r="E293" s="242"/>
      <c r="F293" s="257"/>
      <c r="G293" s="242"/>
      <c r="H293" s="257"/>
      <c r="I293" s="242"/>
      <c r="J293" s="249">
        <f>IF(OR(B293="",C293="",E293=""),"",B293&amp;":"&amp;C293&amp;":"&amp;E293)</f>
      </c>
      <c r="K293" s="250">
        <f>IF(A293="","",A293*D293)</f>
      </c>
      <c r="L293" s="249">
        <f>IF(A293="","",IF(OR(A293=1,A293=0),H293,0))</f>
      </c>
      <c r="M293" s="249">
        <f>IF(A293="","",IF(A293=-1,H293,0))</f>
      </c>
      <c r="N293">
        <f>IF($E293="SGD",1,IF($E293="USD",Settings!$B$22,IF($E293="HKD",Settings!$B$23,1)))</f>
      </c>
      <c r="O293">
        <f>IF($J293="",0,($M293-$L293+IF($A293=2,$H293,0))*$N293)</f>
      </c>
      <c r="P293">
        <f>IF($J293="",0,IF($A293=2,$H293*$N293,0))</f>
      </c>
    </row>
    <row r="294" spans="1:16" ht="15" customHeight="1" x14ac:dyDescent="0.15">
      <c r="A294" s="242"/>
      <c r="B294" s="242"/>
      <c r="C294" s="242"/>
      <c r="D294" s="256"/>
      <c r="E294" s="242"/>
      <c r="F294" s="257"/>
      <c r="G294" s="242"/>
      <c r="H294" s="257"/>
      <c r="I294" s="242"/>
      <c r="J294" s="249">
        <f>IF(OR(B294="",C294="",E294=""),"",B294&amp;":"&amp;C294&amp;":"&amp;E294)</f>
      </c>
      <c r="K294" s="250">
        <f>IF(A294="","",A294*D294)</f>
      </c>
      <c r="L294" s="249">
        <f>IF(A294="","",IF(OR(A294=1,A294=0),H294,0))</f>
      </c>
      <c r="M294" s="249">
        <f>IF(A294="","",IF(A294=-1,H294,0))</f>
      </c>
      <c r="N294">
        <f>IF($E294="SGD",1,IF($E294="USD",Settings!$B$22,IF($E294="HKD",Settings!$B$23,1)))</f>
      </c>
      <c r="O294">
        <f>IF($J294="",0,($M294-$L294+IF($A294=2,$H294,0))*$N294)</f>
      </c>
      <c r="P294">
        <f>IF($J294="",0,IF($A294=2,$H294*$N294,0))</f>
      </c>
    </row>
    <row r="295" spans="1:16" ht="15" customHeight="1" x14ac:dyDescent="0.15">
      <c r="A295" s="242"/>
      <c r="B295" s="242"/>
      <c r="C295" s="242"/>
      <c r="D295" s="256"/>
      <c r="E295" s="242"/>
      <c r="F295" s="257"/>
      <c r="G295" s="242"/>
      <c r="H295" s="257"/>
      <c r="I295" s="242"/>
      <c r="J295" s="249">
        <f>IF(OR(B295="",C295="",E295=""),"",B295&amp;":"&amp;C295&amp;":"&amp;E295)</f>
      </c>
      <c r="K295" s="250">
        <f>IF(A295="","",A295*D295)</f>
      </c>
      <c r="L295" s="249">
        <f>IF(A295="","",IF(OR(A295=1,A295=0),H295,0))</f>
      </c>
      <c r="M295" s="249">
        <f>IF(A295="","",IF(A295=-1,H295,0))</f>
      </c>
      <c r="N295">
        <f>IF($E295="SGD",1,IF($E295="USD",Settings!$B$22,IF($E295="HKD",Settings!$B$23,1)))</f>
      </c>
      <c r="O295">
        <f>IF($J295="",0,($M295-$L295+IF($A295=2,$H295,0))*$N295)</f>
      </c>
      <c r="P295">
        <f>IF($J295="",0,IF($A295=2,$H295*$N295,0))</f>
      </c>
    </row>
    <row r="296" spans="1:16" ht="15" customHeight="1" x14ac:dyDescent="0.15">
      <c r="A296" s="242"/>
      <c r="B296" s="242"/>
      <c r="C296" s="242"/>
      <c r="D296" s="256"/>
      <c r="E296" s="242"/>
      <c r="F296" s="257"/>
      <c r="G296" s="242"/>
      <c r="H296" s="257"/>
      <c r="I296" s="242"/>
      <c r="J296" s="249">
        <f>IF(OR(B296="",C296="",E296=""),"",B296&amp;":"&amp;C296&amp;":"&amp;E296)</f>
      </c>
      <c r="K296" s="250">
        <f>IF(A296="","",A296*D296)</f>
      </c>
      <c r="L296" s="249">
        <f>IF(A296="","",IF(OR(A296=1,A296=0),H296,0))</f>
      </c>
      <c r="M296" s="249">
        <f>IF(A296="","",IF(A296=-1,H296,0))</f>
      </c>
      <c r="N296">
        <f>IF($E296="SGD",1,IF($E296="USD",Settings!$B$22,IF($E296="HKD",Settings!$B$23,1)))</f>
      </c>
      <c r="O296">
        <f>IF($J296="",0,($M296-$L296+IF($A296=2,$H296,0))*$N296)</f>
      </c>
      <c r="P296">
        <f>IF($J296="",0,IF($A296=2,$H296*$N296,0))</f>
      </c>
    </row>
    <row r="297" spans="1:16" ht="15" customHeight="1" x14ac:dyDescent="0.15">
      <c r="A297" s="242"/>
      <c r="B297" s="242"/>
      <c r="C297" s="242"/>
      <c r="D297" s="256"/>
      <c r="E297" s="242"/>
      <c r="F297" s="257"/>
      <c r="G297" s="242"/>
      <c r="H297" s="257"/>
      <c r="I297" s="242"/>
      <c r="J297" s="249">
        <f>IF(OR(B297="",C297="",E297=""),"",B297&amp;":"&amp;C297&amp;":"&amp;E297)</f>
      </c>
      <c r="K297" s="250">
        <f>IF(A297="","",A297*D297)</f>
      </c>
      <c r="L297" s="249">
        <f>IF(A297="","",IF(OR(A297=1,A297=0),H297,0))</f>
      </c>
      <c r="M297" s="249">
        <f>IF(A297="","",IF(A297=-1,H297,0))</f>
      </c>
      <c r="N297">
        <f>IF($E297="SGD",1,IF($E297="USD",Settings!$B$22,IF($E297="HKD",Settings!$B$23,1)))</f>
      </c>
      <c r="O297">
        <f>IF($J297="",0,($M297-$L297+IF($A297=2,$H297,0))*$N297)</f>
      </c>
      <c r="P297">
        <f>IF($J297="",0,IF($A297=2,$H297*$N297,0))</f>
      </c>
    </row>
    <row r="298" spans="1:16" ht="15" customHeight="1" x14ac:dyDescent="0.15">
      <c r="A298" s="242"/>
      <c r="B298" s="242"/>
      <c r="C298" s="242"/>
      <c r="D298" s="256"/>
      <c r="E298" s="242"/>
      <c r="F298" s="257"/>
      <c r="G298" s="242"/>
      <c r="H298" s="257"/>
      <c r="I298" s="242"/>
      <c r="J298" s="249">
        <f>IF(OR(B298="",C298="",E298=""),"",B298&amp;":"&amp;C298&amp;":"&amp;E298)</f>
      </c>
      <c r="K298" s="250">
        <f>IF(A298="","",A298*D298)</f>
      </c>
      <c r="L298" s="249">
        <f>IF(A298="","",IF(OR(A298=1,A298=0),H298,0))</f>
      </c>
      <c r="M298" s="249">
        <f>IF(A298="","",IF(A298=-1,H298,0))</f>
      </c>
      <c r="N298">
        <f>IF($E298="SGD",1,IF($E298="USD",Settings!$B$22,IF($E298="HKD",Settings!$B$23,1)))</f>
      </c>
      <c r="O298">
        <f>IF($J298="",0,($M298-$L298+IF($A298=2,$H298,0))*$N298)</f>
      </c>
      <c r="P298">
        <f>IF($J298="",0,IF($A298=2,$H298*$N298,0))</f>
      </c>
    </row>
    <row r="299" spans="1:16" ht="15" customHeight="1" x14ac:dyDescent="0.15">
      <c r="A299" s="242"/>
      <c r="B299" s="242"/>
      <c r="C299" s="242"/>
      <c r="D299" s="256"/>
      <c r="E299" s="242"/>
      <c r="F299" s="257"/>
      <c r="G299" s="242"/>
      <c r="H299" s="257"/>
      <c r="I299" s="242"/>
      <c r="J299" s="249">
        <f>IF(OR(B299="",C299="",E299=""),"",B299&amp;":"&amp;C299&amp;":"&amp;E299)</f>
      </c>
      <c r="K299" s="250">
        <f>IF(A299="","",A299*D299)</f>
      </c>
      <c r="L299" s="249">
        <f>IF(A299="","",IF(OR(A299=1,A299=0),H299,0))</f>
      </c>
      <c r="M299" s="249">
        <f>IF(A299="","",IF(A299=-1,H299,0))</f>
      </c>
      <c r="N299">
        <f>IF($E299="SGD",1,IF($E299="USD",Settings!$B$22,IF($E299="HKD",Settings!$B$23,1)))</f>
      </c>
      <c r="O299">
        <f>IF($J299="",0,($M299-$L299+IF($A299=2,$H299,0))*$N299)</f>
      </c>
      <c r="P299">
        <f>IF($J299="",0,IF($A299=2,$H299*$N299,0))</f>
      </c>
    </row>
    <row r="300" spans="1:16" ht="15" customHeight="1" x14ac:dyDescent="0.15">
      <c r="A300" s="242"/>
      <c r="B300" s="242"/>
      <c r="C300" s="242"/>
      <c r="D300" s="256"/>
      <c r="E300" s="242"/>
      <c r="F300" s="257"/>
      <c r="G300" s="242"/>
      <c r="H300" s="257"/>
      <c r="I300" s="242"/>
      <c r="J300" s="249">
        <f>IF(OR(B300="",C300="",E300=""),"",B300&amp;":"&amp;C300&amp;":"&amp;E300)</f>
      </c>
      <c r="K300" s="250">
        <f>IF(A300="","",A300*D300)</f>
      </c>
      <c r="L300" s="249">
        <f>IF(A300="","",IF(OR(A300=1,A300=0),H300,0))</f>
      </c>
      <c r="M300" s="249">
        <f>IF(A300="","",IF(A300=-1,H300,0))</f>
      </c>
      <c r="N300">
        <f>IF($E300="SGD",1,IF($E300="USD",Settings!$B$22,IF($E300="HKD",Settings!$B$23,1)))</f>
      </c>
      <c r="O300">
        <f>IF($J300="",0,($M300-$L300+IF($A300=2,$H300,0))*$N300)</f>
      </c>
      <c r="P300">
        <f>IF($J300="",0,IF($A300=2,$H300*$N300,0))</f>
      </c>
    </row>
    <row r="301" spans="1:16" ht="15" customHeight="1" x14ac:dyDescent="0.15">
      <c r="A301" s="242"/>
      <c r="B301" s="242"/>
      <c r="C301" s="242"/>
      <c r="D301" s="256"/>
      <c r="E301" s="242"/>
      <c r="F301" s="257"/>
      <c r="G301" s="242"/>
      <c r="H301" s="257"/>
      <c r="I301" s="242"/>
      <c r="J301" s="249">
        <f>IF(OR(B301="",C301="",E301=""),"",B301&amp;":"&amp;C301&amp;":"&amp;E301)</f>
      </c>
      <c r="K301" s="250">
        <f>IF(A301="","",A301*D301)</f>
      </c>
      <c r="L301" s="249">
        <f>IF(A301="","",IF(OR(A301=1,A301=0),H301,0))</f>
      </c>
      <c r="M301" s="249">
        <f>IF(A301="","",IF(A301=-1,H301,0))</f>
      </c>
      <c r="N301">
        <f>IF($E301="SGD",1,IF($E301="USD",Settings!$B$22,IF($E301="HKD",Settings!$B$23,1)))</f>
      </c>
      <c r="O301">
        <f>IF($J301="",0,($M301-$L301+IF($A301=2,$H301,0))*$N301)</f>
      </c>
      <c r="P301">
        <f>IF($J301="",0,IF($A301=2,$H301*$N301,0))</f>
      </c>
    </row>
    <row r="302" spans="1:16" ht="15" customHeight="1" x14ac:dyDescent="0.15">
      <c r="A302" s="242"/>
      <c r="B302" s="242"/>
      <c r="C302" s="242"/>
      <c r="D302" s="256"/>
      <c r="E302" s="242"/>
      <c r="F302" s="257"/>
      <c r="G302" s="242"/>
      <c r="H302" s="257"/>
      <c r="I302" s="242"/>
      <c r="J302" s="249">
        <f>IF(OR(B302="",C302="",E302=""),"",B302&amp;":"&amp;C302&amp;":"&amp;E302)</f>
      </c>
      <c r="K302" s="250">
        <f>IF(A302="","",A302*D302)</f>
      </c>
      <c r="L302" s="249">
        <f>IF(A302="","",IF(OR(A302=1,A302=0),H302,0))</f>
      </c>
      <c r="M302" s="249">
        <f>IF(A302="","",IF(A302=-1,H302,0))</f>
      </c>
      <c r="N302">
        <f>IF($E302="SGD",1,IF($E302="USD",Settings!$B$22,IF($E302="HKD",Settings!$B$23,1)))</f>
      </c>
      <c r="O302">
        <f>IF($J302="",0,($M302-$L302+IF($A302=2,$H302,0))*$N302)</f>
      </c>
      <c r="P302">
        <f>IF($J302="",0,IF($A302=2,$H302*$N302,0))</f>
      </c>
    </row>
    <row r="303" spans="1:16" ht="15" customHeight="1" x14ac:dyDescent="0.15">
      <c r="A303" s="242"/>
      <c r="B303" s="242"/>
      <c r="C303" s="242"/>
      <c r="D303" s="256"/>
      <c r="E303" s="242"/>
      <c r="F303" s="257"/>
      <c r="G303" s="242"/>
      <c r="H303" s="257"/>
      <c r="I303" s="242"/>
      <c r="J303" s="249">
        <f>IF(OR(B303="",C303="",E303=""),"",B303&amp;":"&amp;C303&amp;":"&amp;E303)</f>
      </c>
      <c r="K303" s="250">
        <f>IF(A303="","",A303*D303)</f>
      </c>
      <c r="L303" s="249">
        <f>IF(A303="","",IF(OR(A303=1,A303=0),H303,0))</f>
      </c>
      <c r="M303" s="249">
        <f>IF(A303="","",IF(A303=-1,H303,0))</f>
      </c>
      <c r="N303">
        <f>IF($E303="SGD",1,IF($E303="USD",Settings!$B$22,IF($E303="HKD",Settings!$B$23,1)))</f>
      </c>
      <c r="O303">
        <f>IF($J303="",0,($M303-$L303+IF($A303=2,$H303,0))*$N303)</f>
      </c>
      <c r="P303">
        <f>IF($J303="",0,IF($A303=2,$H303*$N303,0))</f>
      </c>
    </row>
    <row r="304" spans="1:16" ht="15" customHeight="1" x14ac:dyDescent="0.15">
      <c r="A304" s="242"/>
      <c r="B304" s="242"/>
      <c r="C304" s="242"/>
      <c r="D304" s="256"/>
      <c r="E304" s="242"/>
      <c r="F304" s="257"/>
      <c r="G304" s="242"/>
      <c r="H304" s="257"/>
      <c r="I304" s="242"/>
      <c r="J304" s="249">
        <f>IF(OR(B304="",C304="",E304=""),"",B304&amp;":"&amp;C304&amp;":"&amp;E304)</f>
      </c>
      <c r="K304" s="250">
        <f>IF(A304="","",A304*D304)</f>
      </c>
      <c r="L304" s="249">
        <f>IF(A304="","",IF(OR(A304=1,A304=0),H304,0))</f>
      </c>
      <c r="M304" s="249">
        <f>IF(A304="","",IF(A304=-1,H304,0))</f>
      </c>
      <c r="N304">
        <f>IF($E304="SGD",1,IF($E304="USD",Settings!$B$22,IF($E304="HKD",Settings!$B$23,1)))</f>
      </c>
      <c r="O304">
        <f>IF($J304="",0,($M304-$L304+IF($A304=2,$H304,0))*$N304)</f>
      </c>
      <c r="P304">
        <f>IF($J304="",0,IF($A304=2,$H304*$N304,0))</f>
      </c>
    </row>
    <row r="305" spans="1:16" ht="15" customHeight="1" x14ac:dyDescent="0.15">
      <c r="A305" s="242"/>
      <c r="B305" s="242"/>
      <c r="C305" s="242"/>
      <c r="D305" s="256"/>
      <c r="E305" s="242"/>
      <c r="F305" s="257"/>
      <c r="G305" s="242"/>
      <c r="H305" s="257"/>
      <c r="I305" s="242"/>
      <c r="J305" s="249">
        <f>IF(OR(B305="",C305="",E305=""),"",B305&amp;":"&amp;C305&amp;":"&amp;E305)</f>
      </c>
      <c r="K305" s="250">
        <f>IF(A305="","",A305*D305)</f>
      </c>
      <c r="L305" s="249">
        <f>IF(A305="","",IF(OR(A305=1,A305=0),H305,0))</f>
      </c>
      <c r="M305" s="249">
        <f>IF(A305="","",IF(A305=-1,H305,0))</f>
      </c>
      <c r="N305">
        <f>IF($E305="SGD",1,IF($E305="USD",Settings!$B$22,IF($E305="HKD",Settings!$B$23,1)))</f>
      </c>
      <c r="O305">
        <f>IF($J305="",0,($M305-$L305+IF($A305=2,$H305,0))*$N305)</f>
      </c>
      <c r="P305">
        <f>IF($J305="",0,IF($A305=2,$H305*$N305,0))</f>
      </c>
    </row>
    <row r="306" spans="1:16" ht="15" customHeight="1" x14ac:dyDescent="0.15">
      <c r="A306" s="242"/>
      <c r="B306" s="242"/>
      <c r="C306" s="242"/>
      <c r="D306" s="256"/>
      <c r="E306" s="242"/>
      <c r="F306" s="257"/>
      <c r="G306" s="242"/>
      <c r="H306" s="257"/>
      <c r="I306" s="242"/>
      <c r="J306" s="249">
        <f>IF(OR(B306="",C306="",E306=""),"",B306&amp;":"&amp;C306&amp;":"&amp;E306)</f>
      </c>
      <c r="K306" s="250">
        <f>IF(A306="","",A306*D306)</f>
      </c>
      <c r="L306" s="249">
        <f>IF(A306="","",IF(OR(A306=1,A306=0),H306,0))</f>
      </c>
      <c r="M306" s="249">
        <f>IF(A306="","",IF(A306=-1,H306,0))</f>
      </c>
      <c r="N306">
        <f>IF($E306="SGD",1,IF($E306="USD",Settings!$B$22,IF($E306="HKD",Settings!$B$23,1)))</f>
      </c>
      <c r="O306">
        <f>IF($J306="",0,($M306-$L306+IF($A306=2,$H306,0))*$N306)</f>
      </c>
      <c r="P306">
        <f>IF($J306="",0,IF($A306=2,$H306*$N306,0))</f>
      </c>
    </row>
    <row r="307" spans="1:16" ht="15" customHeight="1" x14ac:dyDescent="0.15">
      <c r="A307" s="242"/>
      <c r="B307" s="242"/>
      <c r="C307" s="242"/>
      <c r="D307" s="256"/>
      <c r="E307" s="242"/>
      <c r="F307" s="257"/>
      <c r="G307" s="242"/>
      <c r="H307" s="257"/>
      <c r="I307" s="242"/>
      <c r="J307" s="249">
        <f>IF(OR(B307="",C307="",E307=""),"",B307&amp;":"&amp;C307&amp;":"&amp;E307)</f>
      </c>
      <c r="K307" s="250">
        <f>IF(A307="","",A307*D307)</f>
      </c>
      <c r="L307" s="249">
        <f>IF(A307="","",IF(OR(A307=1,A307=0),H307,0))</f>
      </c>
      <c r="M307" s="249">
        <f>IF(A307="","",IF(A307=-1,H307,0))</f>
      </c>
      <c r="N307">
        <f>IF($E307="SGD",1,IF($E307="USD",Settings!$B$22,IF($E307="HKD",Settings!$B$23,1)))</f>
      </c>
      <c r="O307">
        <f>IF($J307="",0,($M307-$L307+IF($A307=2,$H307,0))*$N307)</f>
      </c>
      <c r="P307">
        <f>IF($J307="",0,IF($A307=2,$H307*$N307,0))</f>
      </c>
    </row>
    <row r="308" spans="1:16" ht="15" customHeight="1" x14ac:dyDescent="0.15">
      <c r="A308" s="242"/>
      <c r="B308" s="242"/>
      <c r="C308" s="242"/>
      <c r="D308" s="256"/>
      <c r="E308" s="242"/>
      <c r="F308" s="257"/>
      <c r="G308" s="242"/>
      <c r="H308" s="257"/>
      <c r="I308" s="242"/>
      <c r="J308" s="249">
        <f>IF(OR(B308="",C308="",E308=""),"",B308&amp;":"&amp;C308&amp;":"&amp;E308)</f>
      </c>
      <c r="K308" s="250">
        <f>IF(A308="","",A308*D308)</f>
      </c>
      <c r="L308" s="249">
        <f>IF(A308="","",IF(OR(A308=1,A308=0),H308,0))</f>
      </c>
      <c r="M308" s="249">
        <f>IF(A308="","",IF(A308=-1,H308,0))</f>
      </c>
      <c r="N308">
        <f>IF($E308="SGD",1,IF($E308="USD",Settings!$B$22,IF($E308="HKD",Settings!$B$23,1)))</f>
      </c>
      <c r="O308">
        <f>IF($J308="",0,($M308-$L308+IF($A308=2,$H308,0))*$N308)</f>
      </c>
      <c r="P308">
        <f>IF($J308="",0,IF($A308=2,$H308*$N308,0))</f>
      </c>
    </row>
    <row r="309" spans="1:16" ht="15" customHeight="1" x14ac:dyDescent="0.15">
      <c r="A309" s="242"/>
      <c r="B309" s="242"/>
      <c r="C309" s="242"/>
      <c r="D309" s="256"/>
      <c r="E309" s="242"/>
      <c r="F309" s="257"/>
      <c r="G309" s="242"/>
      <c r="H309" s="257"/>
      <c r="I309" s="242"/>
      <c r="J309" s="249">
        <f>IF(OR(B309="",C309="",E309=""),"",B309&amp;":"&amp;C309&amp;":"&amp;E309)</f>
      </c>
      <c r="K309" s="250">
        <f>IF(A309="","",A309*D309)</f>
      </c>
      <c r="L309" s="249">
        <f>IF(A309="","",IF(OR(A309=1,A309=0),H309,0))</f>
      </c>
      <c r="M309" s="249">
        <f>IF(A309="","",IF(A309=-1,H309,0))</f>
      </c>
      <c r="N309">
        <f>IF($E309="SGD",1,IF($E309="USD",Settings!$B$22,IF($E309="HKD",Settings!$B$23,1)))</f>
      </c>
      <c r="O309">
        <f>IF($J309="",0,($M309-$L309+IF($A309=2,$H309,0))*$N309)</f>
      </c>
      <c r="P309">
        <f>IF($J309="",0,IF($A309=2,$H309*$N309,0))</f>
      </c>
    </row>
    <row r="310" spans="1:16" ht="15" customHeight="1" x14ac:dyDescent="0.15">
      <c r="A310" s="242"/>
      <c r="B310" s="242"/>
      <c r="C310" s="242"/>
      <c r="D310" s="256"/>
      <c r="E310" s="242"/>
      <c r="F310" s="257"/>
      <c r="G310" s="242"/>
      <c r="H310" s="257"/>
      <c r="I310" s="242"/>
      <c r="J310" s="249">
        <f>IF(OR(B310="",C310="",E310=""),"",B310&amp;":"&amp;C310&amp;":"&amp;E310)</f>
      </c>
      <c r="K310" s="250">
        <f>IF(A310="","",A310*D310)</f>
      </c>
      <c r="L310" s="249">
        <f>IF(A310="","",IF(OR(A310=1,A310=0),H310,0))</f>
      </c>
      <c r="M310" s="249">
        <f>IF(A310="","",IF(A310=-1,H310,0))</f>
      </c>
      <c r="N310">
        <f>IF($E310="SGD",1,IF($E310="USD",Settings!$B$22,IF($E310="HKD",Settings!$B$23,1)))</f>
      </c>
      <c r="O310">
        <f>IF($J310="",0,($M310-$L310+IF($A310=2,$H310,0))*$N310)</f>
      </c>
      <c r="P310">
        <f>IF($J310="",0,IF($A310=2,$H310*$N310,0))</f>
      </c>
    </row>
    <row r="311" spans="1:16" ht="15" customHeight="1" x14ac:dyDescent="0.15">
      <c r="A311" s="242"/>
      <c r="B311" s="242"/>
      <c r="C311" s="242"/>
      <c r="D311" s="256"/>
      <c r="E311" s="242"/>
      <c r="F311" s="257"/>
      <c r="G311" s="242"/>
      <c r="H311" s="257"/>
      <c r="I311" s="242"/>
      <c r="J311" s="249">
        <f>IF(OR(B311="",C311="",E311=""),"",B311&amp;":"&amp;C311&amp;":"&amp;E311)</f>
      </c>
      <c r="K311" s="250">
        <f>IF(A311="","",A311*D311)</f>
      </c>
      <c r="L311" s="249">
        <f>IF(A311="","",IF(OR(A311=1,A311=0),H311,0))</f>
      </c>
      <c r="M311" s="249">
        <f>IF(A311="","",IF(A311=-1,H311,0))</f>
      </c>
      <c r="N311">
        <f>IF($E311="SGD",1,IF($E311="USD",Settings!$B$22,IF($E311="HKD",Settings!$B$23,1)))</f>
      </c>
      <c r="O311">
        <f>IF($J311="",0,($M311-$L311+IF($A311=2,$H311,0))*$N311)</f>
      </c>
      <c r="P311">
        <f>IF($J311="",0,IF($A311=2,$H311*$N311,0))</f>
      </c>
    </row>
    <row r="312" spans="1:16" ht="15" customHeight="1" x14ac:dyDescent="0.15">
      <c r="A312" s="242"/>
      <c r="B312" s="242"/>
      <c r="C312" s="242"/>
      <c r="D312" s="256"/>
      <c r="E312" s="242"/>
      <c r="F312" s="257"/>
      <c r="G312" s="242"/>
      <c r="H312" s="257"/>
      <c r="I312" s="242"/>
      <c r="J312" s="249">
        <f>IF(OR(B312="",C312="",E312=""),"",B312&amp;":"&amp;C312&amp;":"&amp;E312)</f>
      </c>
      <c r="K312" s="250">
        <f>IF(A312="","",A312*D312)</f>
      </c>
      <c r="L312" s="249">
        <f>IF(A312="","",IF(OR(A312=1,A312=0),H312,0))</f>
      </c>
      <c r="M312" s="249">
        <f>IF(A312="","",IF(A312=-1,H312,0))</f>
      </c>
      <c r="N312">
        <f>IF($E312="SGD",1,IF($E312="USD",Settings!$B$22,IF($E312="HKD",Settings!$B$23,1)))</f>
      </c>
      <c r="O312">
        <f>IF($J312="",0,($M312-$L312+IF($A312=2,$H312,0))*$N312)</f>
      </c>
      <c r="P312">
        <f>IF($J312="",0,IF($A312=2,$H312*$N312,0))</f>
      </c>
    </row>
    <row r="313" spans="1:16" ht="15" customHeight="1" x14ac:dyDescent="0.15">
      <c r="A313" s="242"/>
      <c r="B313" s="242"/>
      <c r="C313" s="242"/>
      <c r="D313" s="256"/>
      <c r="E313" s="242"/>
      <c r="F313" s="257"/>
      <c r="G313" s="242"/>
      <c r="H313" s="257"/>
      <c r="I313" s="242"/>
      <c r="J313" s="249">
        <f>IF(OR(B313="",C313="",E313=""),"",B313&amp;":"&amp;C313&amp;":"&amp;E313)</f>
      </c>
      <c r="K313" s="250">
        <f>IF(A313="","",A313*D313)</f>
      </c>
      <c r="L313" s="249">
        <f>IF(A313="","",IF(OR(A313=1,A313=0),H313,0))</f>
      </c>
      <c r="M313" s="249">
        <f>IF(A313="","",IF(A313=-1,H313,0))</f>
      </c>
      <c r="N313">
        <f>IF($E313="SGD",1,IF($E313="USD",Settings!$B$22,IF($E313="HKD",Settings!$B$23,1)))</f>
      </c>
      <c r="O313">
        <f>IF($J313="",0,($M313-$L313+IF($A313=2,$H313,0))*$N313)</f>
      </c>
      <c r="P313">
        <f>IF($J313="",0,IF($A313=2,$H313*$N313,0))</f>
      </c>
    </row>
    <row r="314" spans="1:16" ht="15" customHeight="1" x14ac:dyDescent="0.15">
      <c r="A314" s="242"/>
      <c r="B314" s="242"/>
      <c r="C314" s="242"/>
      <c r="D314" s="256"/>
      <c r="E314" s="242"/>
      <c r="F314" s="257"/>
      <c r="G314" s="242"/>
      <c r="H314" s="257"/>
      <c r="I314" s="242"/>
      <c r="J314" s="249">
        <f>IF(OR(B314="",C314="",E314=""),"",B314&amp;":"&amp;C314&amp;":"&amp;E314)</f>
      </c>
      <c r="K314" s="250">
        <f>IF(A314="","",A314*D314)</f>
      </c>
      <c r="L314" s="249">
        <f>IF(A314="","",IF(OR(A314=1,A314=0),H314,0))</f>
      </c>
      <c r="M314" s="249">
        <f>IF(A314="","",IF(A314=-1,H314,0))</f>
      </c>
      <c r="N314">
        <f>IF($E314="SGD",1,IF($E314="USD",Settings!$B$22,IF($E314="HKD",Settings!$B$23,1)))</f>
      </c>
      <c r="O314">
        <f>IF($J314="",0,($M314-$L314+IF($A314=2,$H314,0))*$N314)</f>
      </c>
      <c r="P314">
        <f>IF($J314="",0,IF($A314=2,$H314*$N314,0))</f>
      </c>
    </row>
    <row r="315" spans="1:16" ht="15" customHeight="1" x14ac:dyDescent="0.15">
      <c r="A315" s="242"/>
      <c r="B315" s="242"/>
      <c r="C315" s="242"/>
      <c r="D315" s="256"/>
      <c r="E315" s="242"/>
      <c r="F315" s="257"/>
      <c r="G315" s="242"/>
      <c r="H315" s="257"/>
      <c r="I315" s="242"/>
      <c r="J315" s="249">
        <f>IF(OR(B315="",C315="",E315=""),"",B315&amp;":"&amp;C315&amp;":"&amp;E315)</f>
      </c>
      <c r="K315" s="250">
        <f>IF(A315="","",A315*D315)</f>
      </c>
      <c r="L315" s="249">
        <f>IF(A315="","",IF(OR(A315=1,A315=0),H315,0))</f>
      </c>
      <c r="M315" s="249">
        <f>IF(A315="","",IF(A315=-1,H315,0))</f>
      </c>
      <c r="N315">
        <f>IF($E315="SGD",1,IF($E315="USD",Settings!$B$22,IF($E315="HKD",Settings!$B$23,1)))</f>
      </c>
      <c r="O315">
        <f>IF($J315="",0,($M315-$L315+IF($A315=2,$H315,0))*$N315)</f>
      </c>
      <c r="P315">
        <f>IF($J315="",0,IF($A315=2,$H315*$N315,0))</f>
      </c>
    </row>
    <row r="316" spans="1:16" ht="15" customHeight="1" x14ac:dyDescent="0.15">
      <c r="A316" s="242"/>
      <c r="B316" s="242"/>
      <c r="C316" s="242"/>
      <c r="D316" s="256"/>
      <c r="E316" s="242"/>
      <c r="F316" s="257"/>
      <c r="G316" s="242"/>
      <c r="H316" s="257"/>
      <c r="I316" s="242"/>
      <c r="J316" s="249">
        <f>IF(OR(B316="",C316="",E316=""),"",B316&amp;":"&amp;C316&amp;":"&amp;E316)</f>
      </c>
      <c r="K316" s="250">
        <f>IF(A316="","",A316*D316)</f>
      </c>
      <c r="L316" s="249">
        <f>IF(A316="","",IF(OR(A316=1,A316=0),H316,0))</f>
      </c>
      <c r="M316" s="249">
        <f>IF(A316="","",IF(A316=-1,H316,0))</f>
      </c>
      <c r="N316">
        <f>IF($E316="SGD",1,IF($E316="USD",Settings!$B$22,IF($E316="HKD",Settings!$B$23,1)))</f>
      </c>
      <c r="O316">
        <f>IF($J316="",0,($M316-$L316+IF($A316=2,$H316,0))*$N316)</f>
      </c>
      <c r="P316">
        <f>IF($J316="",0,IF($A316=2,$H316*$N316,0))</f>
      </c>
    </row>
    <row r="317" spans="1:16" ht="15" customHeight="1" x14ac:dyDescent="0.15">
      <c r="A317" s="242"/>
      <c r="B317" s="242"/>
      <c r="C317" s="242"/>
      <c r="D317" s="256"/>
      <c r="E317" s="242"/>
      <c r="F317" s="257"/>
      <c r="G317" s="242"/>
      <c r="H317" s="257"/>
      <c r="I317" s="242"/>
      <c r="J317" s="249">
        <f>IF(OR(B317="",C317="",E317=""),"",B317&amp;":"&amp;C317&amp;":"&amp;E317)</f>
      </c>
      <c r="K317" s="250">
        <f>IF(A317="","",A317*D317)</f>
      </c>
      <c r="L317" s="249">
        <f>IF(A317="","",IF(OR(A317=1,A317=0),H317,0))</f>
      </c>
      <c r="M317" s="249">
        <f>IF(A317="","",IF(A317=-1,H317,0))</f>
      </c>
      <c r="N317">
        <f>IF($E317="SGD",1,IF($E317="USD",Settings!$B$22,IF($E317="HKD",Settings!$B$23,1)))</f>
      </c>
      <c r="O317">
        <f>IF($J317="",0,($M317-$L317+IF($A317=2,$H317,0))*$N317)</f>
      </c>
      <c r="P317">
        <f>IF($J317="",0,IF($A317=2,$H317*$N317,0))</f>
      </c>
    </row>
    <row r="318" spans="1:16" ht="15" customHeight="1" x14ac:dyDescent="0.15">
      <c r="A318" s="242"/>
      <c r="B318" s="242"/>
      <c r="C318" s="242"/>
      <c r="D318" s="256"/>
      <c r="E318" s="242"/>
      <c r="F318" s="257"/>
      <c r="G318" s="242"/>
      <c r="H318" s="257"/>
      <c r="I318" s="242"/>
      <c r="J318" s="249">
        <f>IF(OR(B318="",C318="",E318=""),"",B318&amp;":"&amp;C318&amp;":"&amp;E318)</f>
      </c>
      <c r="K318" s="250">
        <f>IF(A318="","",A318*D318)</f>
      </c>
      <c r="L318" s="249">
        <f>IF(A318="","",IF(OR(A318=1,A318=0),H318,0))</f>
      </c>
      <c r="M318" s="249">
        <f>IF(A318="","",IF(A318=-1,H318,0))</f>
      </c>
      <c r="N318">
        <f>IF($E318="SGD",1,IF($E318="USD",Settings!$B$22,IF($E318="HKD",Settings!$B$23,1)))</f>
      </c>
      <c r="O318">
        <f>IF($J318="",0,($M318-$L318+IF($A318=2,$H318,0))*$N318)</f>
      </c>
      <c r="P318">
        <f>IF($J318="",0,IF($A318=2,$H318*$N318,0))</f>
      </c>
    </row>
    <row r="319" spans="1:16" ht="15" customHeight="1" x14ac:dyDescent="0.15">
      <c r="A319" s="242"/>
      <c r="B319" s="242"/>
      <c r="C319" s="242"/>
      <c r="D319" s="256"/>
      <c r="E319" s="242"/>
      <c r="F319" s="257"/>
      <c r="G319" s="242"/>
      <c r="H319" s="257"/>
      <c r="I319" s="242"/>
      <c r="J319" s="249">
        <f>IF(OR(B319="",C319="",E319=""),"",B319&amp;":"&amp;C319&amp;":"&amp;E319)</f>
      </c>
      <c r="K319" s="250">
        <f>IF(A319="","",A319*D319)</f>
      </c>
      <c r="L319" s="249">
        <f>IF(A319="","",IF(OR(A319=1,A319=0),H319,0))</f>
      </c>
      <c r="M319" s="249">
        <f>IF(A319="","",IF(A319=-1,H319,0))</f>
      </c>
      <c r="N319">
        <f>IF($E319="SGD",1,IF($E319="USD",Settings!$B$22,IF($E319="HKD",Settings!$B$23,1)))</f>
      </c>
      <c r="O319">
        <f>IF($J319="",0,($M319-$L319+IF($A319=2,$H319,0))*$N319)</f>
      </c>
      <c r="P319">
        <f>IF($J319="",0,IF($A319=2,$H319*$N319,0))</f>
      </c>
    </row>
    <row r="320" spans="1:16" ht="15" customHeight="1" x14ac:dyDescent="0.15">
      <c r="A320" s="242"/>
      <c r="B320" s="242"/>
      <c r="C320" s="242"/>
      <c r="D320" s="256"/>
      <c r="E320" s="242"/>
      <c r="F320" s="257"/>
      <c r="G320" s="242"/>
      <c r="H320" s="257"/>
      <c r="I320" s="242"/>
      <c r="J320" s="249">
        <f>IF(OR(B320="",C320="",E320=""),"",B320&amp;":"&amp;C320&amp;":"&amp;E320)</f>
      </c>
      <c r="K320" s="250">
        <f>IF(A320="","",A320*D320)</f>
      </c>
      <c r="L320" s="249">
        <f>IF(A320="","",IF(OR(A320=1,A320=0),H320,0))</f>
      </c>
      <c r="M320" s="249">
        <f>IF(A320="","",IF(A320=-1,H320,0))</f>
      </c>
      <c r="N320">
        <f>IF($E320="SGD",1,IF($E320="USD",Settings!$B$22,IF($E320="HKD",Settings!$B$23,1)))</f>
      </c>
      <c r="O320">
        <f>IF($J320="",0,($M320-$L320+IF($A320=2,$H320,0))*$N320)</f>
      </c>
      <c r="P320">
        <f>IF($J320="",0,IF($A320=2,$H320*$N320,0))</f>
      </c>
    </row>
    <row r="321" spans="1:16" ht="15" customHeight="1" x14ac:dyDescent="0.15">
      <c r="A321" s="242"/>
      <c r="B321" s="242"/>
      <c r="C321" s="242"/>
      <c r="D321" s="256"/>
      <c r="E321" s="242"/>
      <c r="F321" s="257"/>
      <c r="G321" s="242"/>
      <c r="H321" s="257"/>
      <c r="I321" s="242"/>
      <c r="J321" s="249">
        <f>IF(OR(B321="",C321="",E321=""),"",B321&amp;":"&amp;C321&amp;":"&amp;E321)</f>
      </c>
      <c r="K321" s="250">
        <f>IF(A321="","",A321*D321)</f>
      </c>
      <c r="L321" s="249">
        <f>IF(A321="","",IF(OR(A321=1,A321=0),H321,0))</f>
      </c>
      <c r="M321" s="249">
        <f>IF(A321="","",IF(A321=-1,H321,0))</f>
      </c>
      <c r="N321">
        <f>IF($E321="SGD",1,IF($E321="USD",Settings!$B$22,IF($E321="HKD",Settings!$B$23,1)))</f>
      </c>
      <c r="O321">
        <f>IF($J321="",0,($M321-$L321+IF($A321=2,$H321,0))*$N321)</f>
      </c>
      <c r="P321">
        <f>IF($J321="",0,IF($A321=2,$H321*$N321,0))</f>
      </c>
    </row>
    <row r="322" spans="1:16" ht="15" customHeight="1" x14ac:dyDescent="0.15">
      <c r="A322" s="242"/>
      <c r="B322" s="242"/>
      <c r="C322" s="242"/>
      <c r="D322" s="256"/>
      <c r="E322" s="242"/>
      <c r="F322" s="257"/>
      <c r="G322" s="242"/>
      <c r="H322" s="257"/>
      <c r="I322" s="242"/>
      <c r="J322" s="249">
        <f>IF(OR(B322="",C322="",E322=""),"",B322&amp;":"&amp;C322&amp;":"&amp;E322)</f>
      </c>
      <c r="K322" s="250">
        <f>IF(A322="","",A322*D322)</f>
      </c>
      <c r="L322" s="249">
        <f>IF(A322="","",IF(OR(A322=1,A322=0),H322,0))</f>
      </c>
      <c r="M322" s="249">
        <f>IF(A322="","",IF(A322=-1,H322,0))</f>
      </c>
      <c r="N322">
        <f>IF($E322="SGD",1,IF($E322="USD",Settings!$B$22,IF($E322="HKD",Settings!$B$23,1)))</f>
      </c>
      <c r="O322">
        <f>IF($J322="",0,($M322-$L322+IF($A322=2,$H322,0))*$N322)</f>
      </c>
      <c r="P322">
        <f>IF($J322="",0,IF($A322=2,$H322*$N322,0))</f>
      </c>
    </row>
    <row r="323" spans="1:16" ht="15" customHeight="1" x14ac:dyDescent="0.15">
      <c r="A323" s="242"/>
      <c r="B323" s="242"/>
      <c r="C323" s="242"/>
      <c r="D323" s="256"/>
      <c r="E323" s="242"/>
      <c r="F323" s="257"/>
      <c r="G323" s="242"/>
      <c r="H323" s="257"/>
      <c r="I323" s="242"/>
      <c r="J323" s="249">
        <f>IF(OR(B323="",C323="",E323=""),"",B323&amp;":"&amp;C323&amp;":"&amp;E323)</f>
      </c>
      <c r="K323" s="250">
        <f>IF(A323="","",A323*D323)</f>
      </c>
      <c r="L323" s="249">
        <f>IF(A323="","",IF(OR(A323=1,A323=0),H323,0))</f>
      </c>
      <c r="M323" s="249">
        <f>IF(A323="","",IF(A323=-1,H323,0))</f>
      </c>
      <c r="N323">
        <f>IF($E323="SGD",1,IF($E323="USD",Settings!$B$22,IF($E323="HKD",Settings!$B$23,1)))</f>
      </c>
      <c r="O323">
        <f>IF($J323="",0,($M323-$L323+IF($A323=2,$H323,0))*$N323)</f>
      </c>
      <c r="P323">
        <f>IF($J323="",0,IF($A323=2,$H323*$N323,0))</f>
      </c>
    </row>
    <row r="324" spans="1:16" ht="15" customHeight="1" x14ac:dyDescent="0.15">
      <c r="A324" s="242"/>
      <c r="B324" s="242"/>
      <c r="C324" s="242"/>
      <c r="D324" s="256"/>
      <c r="E324" s="242"/>
      <c r="F324" s="257"/>
      <c r="G324" s="242"/>
      <c r="H324" s="257"/>
      <c r="I324" s="242"/>
      <c r="J324" s="249">
        <f>IF(OR(B324="",C324="",E324=""),"",B324&amp;":"&amp;C324&amp;":"&amp;E324)</f>
      </c>
      <c r="K324" s="250">
        <f>IF(A324="","",A324*D324)</f>
      </c>
      <c r="L324" s="249">
        <f>IF(A324="","",IF(OR(A324=1,A324=0),H324,0))</f>
      </c>
      <c r="M324" s="249">
        <f>IF(A324="","",IF(A324=-1,H324,0))</f>
      </c>
      <c r="N324">
        <f>IF($E324="SGD",1,IF($E324="USD",Settings!$B$22,IF($E324="HKD",Settings!$B$23,1)))</f>
      </c>
      <c r="O324">
        <f>IF($J324="",0,($M324-$L324+IF($A324=2,$H324,0))*$N324)</f>
      </c>
      <c r="P324">
        <f>IF($J324="",0,IF($A324=2,$H324*$N324,0))</f>
      </c>
    </row>
    <row r="325" spans="1:16" ht="15" customHeight="1" x14ac:dyDescent="0.15">
      <c r="A325" s="242"/>
      <c r="B325" s="242"/>
      <c r="C325" s="242"/>
      <c r="D325" s="256"/>
      <c r="E325" s="242"/>
      <c r="F325" s="257"/>
      <c r="G325" s="242"/>
      <c r="H325" s="257"/>
      <c r="I325" s="242"/>
      <c r="J325" s="249">
        <f>IF(OR(B325="",C325="",E325=""),"",B325&amp;":"&amp;C325&amp;":"&amp;E325)</f>
      </c>
      <c r="K325" s="250">
        <f>IF(A325="","",A325*D325)</f>
      </c>
      <c r="L325" s="249">
        <f>IF(A325="","",IF(OR(A325=1,A325=0),H325,0))</f>
      </c>
      <c r="M325" s="249">
        <f>IF(A325="","",IF(A325=-1,H325,0))</f>
      </c>
      <c r="N325">
        <f>IF($E325="SGD",1,IF($E325="USD",Settings!$B$22,IF($E325="HKD",Settings!$B$23,1)))</f>
      </c>
      <c r="O325">
        <f>IF($J325="",0,($M325-$L325+IF($A325=2,$H325,0))*$N325)</f>
      </c>
      <c r="P325">
        <f>IF($J325="",0,IF($A325=2,$H325*$N325,0))</f>
      </c>
    </row>
    <row r="326" spans="1:16" ht="15" customHeight="1" x14ac:dyDescent="0.15">
      <c r="A326" s="242"/>
      <c r="B326" s="242"/>
      <c r="C326" s="242"/>
      <c r="D326" s="256"/>
      <c r="E326" s="242"/>
      <c r="F326" s="257"/>
      <c r="G326" s="242"/>
      <c r="H326" s="257"/>
      <c r="I326" s="242"/>
      <c r="J326" s="249">
        <f>IF(OR(B326="",C326="",E326=""),"",B326&amp;":"&amp;C326&amp;":"&amp;E326)</f>
      </c>
      <c r="K326" s="250">
        <f>IF(A326="","",A326*D326)</f>
      </c>
      <c r="L326" s="249">
        <f>IF(A326="","",IF(OR(A326=1,A326=0),H326,0))</f>
      </c>
      <c r="M326" s="249">
        <f>IF(A326="","",IF(A326=-1,H326,0))</f>
      </c>
      <c r="N326">
        <f>IF($E326="SGD",1,IF($E326="USD",Settings!$B$22,IF($E326="HKD",Settings!$B$23,1)))</f>
      </c>
      <c r="O326">
        <f>IF($J326="",0,($M326-$L326+IF($A326=2,$H326,0))*$N326)</f>
      </c>
      <c r="P326">
        <f>IF($J326="",0,IF($A326=2,$H326*$N326,0))</f>
      </c>
    </row>
    <row r="327" spans="1:16" ht="15" customHeight="1" x14ac:dyDescent="0.15">
      <c r="A327" s="242"/>
      <c r="B327" s="242"/>
      <c r="C327" s="242"/>
      <c r="D327" s="256"/>
      <c r="E327" s="242"/>
      <c r="F327" s="257"/>
      <c r="G327" s="242"/>
      <c r="H327" s="257"/>
      <c r="I327" s="242"/>
      <c r="J327" s="249">
        <f>IF(OR(B327="",C327="",E327=""),"",B327&amp;":"&amp;C327&amp;":"&amp;E327)</f>
      </c>
      <c r="K327" s="250">
        <f>IF(A327="","",A327*D327)</f>
      </c>
      <c r="L327" s="249">
        <f>IF(A327="","",IF(OR(A327=1,A327=0),H327,0))</f>
      </c>
      <c r="M327" s="249">
        <f>IF(A327="","",IF(A327=-1,H327,0))</f>
      </c>
      <c r="N327">
        <f>IF($E327="SGD",1,IF($E327="USD",Settings!$B$22,IF($E327="HKD",Settings!$B$23,1)))</f>
      </c>
      <c r="O327">
        <f>IF($J327="",0,($M327-$L327+IF($A327=2,$H327,0))*$N327)</f>
      </c>
      <c r="P327">
        <f>IF($J327="",0,IF($A327=2,$H327*$N327,0))</f>
      </c>
    </row>
    <row r="328" spans="1:16" ht="15" customHeight="1" x14ac:dyDescent="0.15">
      <c r="A328" s="242"/>
      <c r="B328" s="242"/>
      <c r="C328" s="242"/>
      <c r="D328" s="256"/>
      <c r="E328" s="242"/>
      <c r="F328" s="257"/>
      <c r="G328" s="242"/>
      <c r="H328" s="257"/>
      <c r="I328" s="242"/>
      <c r="J328" s="249">
        <f>IF(OR(B328="",C328="",E328=""),"",B328&amp;":"&amp;C328&amp;":"&amp;E328)</f>
      </c>
      <c r="K328" s="250">
        <f>IF(A328="","",A328*D328)</f>
      </c>
      <c r="L328" s="249">
        <f>IF(A328="","",IF(OR(A328=1,A328=0),H328,0))</f>
      </c>
      <c r="M328" s="249">
        <f>IF(A328="","",IF(A328=-1,H328,0))</f>
      </c>
      <c r="N328">
        <f>IF($E328="SGD",1,IF($E328="USD",Settings!$B$22,IF($E328="HKD",Settings!$B$23,1)))</f>
      </c>
      <c r="O328">
        <f>IF($J328="",0,($M328-$L328+IF($A328=2,$H328,0))*$N328)</f>
      </c>
      <c r="P328">
        <f>IF($J328="",0,IF($A328=2,$H328*$N328,0))</f>
      </c>
    </row>
    <row r="329" spans="1:16" ht="15" customHeight="1" x14ac:dyDescent="0.15">
      <c r="A329" s="242"/>
      <c r="B329" s="242"/>
      <c r="C329" s="242"/>
      <c r="D329" s="256"/>
      <c r="E329" s="242"/>
      <c r="F329" s="257"/>
      <c r="G329" s="242"/>
      <c r="H329" s="257"/>
      <c r="I329" s="242"/>
      <c r="J329" s="249">
        <f>IF(OR(B329="",C329="",E329=""),"",B329&amp;":"&amp;C329&amp;":"&amp;E329)</f>
      </c>
      <c r="K329" s="250">
        <f>IF(A329="","",A329*D329)</f>
      </c>
      <c r="L329" s="249">
        <f>IF(A329="","",IF(OR(A329=1,A329=0),H329,0))</f>
      </c>
      <c r="M329" s="249">
        <f>IF(A329="","",IF(A329=-1,H329,0))</f>
      </c>
      <c r="N329">
        <f>IF($E329="SGD",1,IF($E329="USD",Settings!$B$22,IF($E329="HKD",Settings!$B$23,1)))</f>
      </c>
      <c r="O329">
        <f>IF($J329="",0,($M329-$L329+IF($A329=2,$H329,0))*$N329)</f>
      </c>
      <c r="P329">
        <f>IF($J329="",0,IF($A329=2,$H329*$N329,0))</f>
      </c>
    </row>
    <row r="330" spans="1:16" ht="15" customHeight="1" x14ac:dyDescent="0.15">
      <c r="A330" s="242"/>
      <c r="B330" s="242"/>
      <c r="C330" s="242"/>
      <c r="D330" s="256"/>
      <c r="E330" s="242"/>
      <c r="F330" s="257"/>
      <c r="G330" s="242"/>
      <c r="H330" s="257"/>
      <c r="I330" s="242"/>
      <c r="J330" s="249">
        <f>IF(OR(B330="",C330="",E330=""),"",B330&amp;":"&amp;C330&amp;":"&amp;E330)</f>
      </c>
      <c r="K330" s="250">
        <f>IF(A330="","",A330*D330)</f>
      </c>
      <c r="L330" s="249">
        <f>IF(A330="","",IF(OR(A330=1,A330=0),H330,0))</f>
      </c>
      <c r="M330" s="249">
        <f>IF(A330="","",IF(A330=-1,H330,0))</f>
      </c>
      <c r="N330">
        <f>IF($E330="SGD",1,IF($E330="USD",Settings!$B$22,IF($E330="HKD",Settings!$B$23,1)))</f>
      </c>
      <c r="O330">
        <f>IF($J330="",0,($M330-$L330+IF($A330=2,$H330,0))*$N330)</f>
      </c>
      <c r="P330">
        <f>IF($J330="",0,IF($A330=2,$H330*$N330,0))</f>
      </c>
    </row>
    <row r="331" spans="1:16" ht="15" customHeight="1" x14ac:dyDescent="0.15">
      <c r="A331" s="242"/>
      <c r="B331" s="242"/>
      <c r="C331" s="242"/>
      <c r="D331" s="256"/>
      <c r="E331" s="242"/>
      <c r="F331" s="257"/>
      <c r="G331" s="242"/>
      <c r="H331" s="257"/>
      <c r="I331" s="242"/>
      <c r="J331" s="249">
        <f>IF(OR(B331="",C331="",E331=""),"",B331&amp;":"&amp;C331&amp;":"&amp;E331)</f>
      </c>
      <c r="K331" s="250">
        <f>IF(A331="","",A331*D331)</f>
      </c>
      <c r="L331" s="249">
        <f>IF(A331="","",IF(OR(A331=1,A331=0),H331,0))</f>
      </c>
      <c r="M331" s="249">
        <f>IF(A331="","",IF(A331=-1,H331,0))</f>
      </c>
      <c r="N331">
        <f>IF($E331="SGD",1,IF($E331="USD",Settings!$B$22,IF($E331="HKD",Settings!$B$23,1)))</f>
      </c>
      <c r="O331">
        <f>IF($J331="",0,($M331-$L331+IF($A331=2,$H331,0))*$N331)</f>
      </c>
      <c r="P331">
        <f>IF($J331="",0,IF($A331=2,$H331*$N331,0))</f>
      </c>
    </row>
    <row r="332" spans="1:16" ht="15" customHeight="1" x14ac:dyDescent="0.15">
      <c r="A332" s="242"/>
      <c r="B332" s="242"/>
      <c r="C332" s="242"/>
      <c r="D332" s="256"/>
      <c r="E332" s="242"/>
      <c r="F332" s="257"/>
      <c r="G332" s="242"/>
      <c r="H332" s="257"/>
      <c r="I332" s="242"/>
      <c r="J332" s="249">
        <f>IF(OR(B332="",C332="",E332=""),"",B332&amp;":"&amp;C332&amp;":"&amp;E332)</f>
      </c>
      <c r="K332" s="250">
        <f>IF(A332="","",A332*D332)</f>
      </c>
      <c r="L332" s="249">
        <f>IF(A332="","",IF(OR(A332=1,A332=0),H332,0))</f>
      </c>
      <c r="M332" s="249">
        <f>IF(A332="","",IF(A332=-1,H332,0))</f>
      </c>
      <c r="N332">
        <f>IF($E332="SGD",1,IF($E332="USD",Settings!$B$22,IF($E332="HKD",Settings!$B$23,1)))</f>
      </c>
      <c r="O332">
        <f>IF($J332="",0,($M332-$L332+IF($A332=2,$H332,0))*$N332)</f>
      </c>
      <c r="P332">
        <f>IF($J332="",0,IF($A332=2,$H332*$N332,0))</f>
      </c>
    </row>
    <row r="333" spans="1:16" ht="15" customHeight="1" x14ac:dyDescent="0.15">
      <c r="A333" s="242"/>
      <c r="B333" s="242"/>
      <c r="C333" s="242"/>
      <c r="D333" s="256"/>
      <c r="E333" s="242"/>
      <c r="F333" s="257"/>
      <c r="G333" s="242"/>
      <c r="H333" s="257"/>
      <c r="I333" s="242"/>
      <c r="J333" s="249">
        <f>IF(OR(B333="",C333="",E333=""),"",B333&amp;":"&amp;C333&amp;":"&amp;E333)</f>
      </c>
      <c r="K333" s="250">
        <f>IF(A333="","",A333*D333)</f>
      </c>
      <c r="L333" s="249">
        <f>IF(A333="","",IF(OR(A333=1,A333=0),H333,0))</f>
      </c>
      <c r="M333" s="249">
        <f>IF(A333="","",IF(A333=-1,H333,0))</f>
      </c>
      <c r="N333">
        <f>IF($E333="SGD",1,IF($E333="USD",Settings!$B$22,IF($E333="HKD",Settings!$B$23,1)))</f>
      </c>
      <c r="O333">
        <f>IF($J333="",0,($M333-$L333+IF($A333=2,$H333,0))*$N333)</f>
      </c>
      <c r="P333">
        <f>IF($J333="",0,IF($A333=2,$H333*$N333,0))</f>
      </c>
    </row>
    <row r="334" spans="1:16" ht="15" customHeight="1" x14ac:dyDescent="0.15">
      <c r="A334" s="242"/>
      <c r="B334" s="242"/>
      <c r="C334" s="242"/>
      <c r="D334" s="256"/>
      <c r="E334" s="242"/>
      <c r="F334" s="257"/>
      <c r="G334" s="242"/>
      <c r="H334" s="257"/>
      <c r="I334" s="242"/>
      <c r="J334" s="249">
        <f>IF(OR(B334="",C334="",E334=""),"",B334&amp;":"&amp;C334&amp;":"&amp;E334)</f>
      </c>
      <c r="K334" s="250">
        <f>IF(A334="","",A334*D334)</f>
      </c>
      <c r="L334" s="249">
        <f>IF(A334="","",IF(OR(A334=1,A334=0),H334,0))</f>
      </c>
      <c r="M334" s="249">
        <f>IF(A334="","",IF(A334=-1,H334,0))</f>
      </c>
      <c r="N334">
        <f>IF($E334="SGD",1,IF($E334="USD",Settings!$B$22,IF($E334="HKD",Settings!$B$23,1)))</f>
      </c>
      <c r="O334">
        <f>IF($J334="",0,($M334-$L334+IF($A334=2,$H334,0))*$N334)</f>
      </c>
      <c r="P334">
        <f>IF($J334="",0,IF($A334=2,$H334*$N334,0))</f>
      </c>
    </row>
    <row r="335" spans="1:16" ht="15" customHeight="1" x14ac:dyDescent="0.15">
      <c r="A335" s="242"/>
      <c r="B335" s="242"/>
      <c r="C335" s="242"/>
      <c r="D335" s="256"/>
      <c r="E335" s="242"/>
      <c r="F335" s="257"/>
      <c r="G335" s="242"/>
      <c r="H335" s="257"/>
      <c r="I335" s="242"/>
      <c r="J335" s="249">
        <f>IF(OR(B335="",C335="",E335=""),"",B335&amp;":"&amp;C335&amp;":"&amp;E335)</f>
      </c>
      <c r="K335" s="250">
        <f>IF(A335="","",A335*D335)</f>
      </c>
      <c r="L335" s="249">
        <f>IF(A335="","",IF(OR(A335=1,A335=0),H335,0))</f>
      </c>
      <c r="M335" s="249">
        <f>IF(A335="","",IF(A335=-1,H335,0))</f>
      </c>
      <c r="N335">
        <f>IF($E335="SGD",1,IF($E335="USD",Settings!$B$22,IF($E335="HKD",Settings!$B$23,1)))</f>
      </c>
      <c r="O335">
        <f>IF($J335="",0,($M335-$L335+IF($A335=2,$H335,0))*$N335)</f>
      </c>
      <c r="P335">
        <f>IF($J335="",0,IF($A335=2,$H335*$N335,0))</f>
      </c>
    </row>
    <row r="336" spans="1:16" ht="15" customHeight="1" x14ac:dyDescent="0.15">
      <c r="A336" s="242"/>
      <c r="B336" s="242"/>
      <c r="C336" s="242"/>
      <c r="D336" s="256"/>
      <c r="E336" s="242"/>
      <c r="F336" s="257"/>
      <c r="G336" s="242"/>
      <c r="H336" s="257"/>
      <c r="I336" s="242"/>
      <c r="J336" s="249">
        <f>IF(OR(B336="",C336="",E336=""),"",B336&amp;":"&amp;C336&amp;":"&amp;E336)</f>
      </c>
      <c r="K336" s="250">
        <f>IF(A336="","",A336*D336)</f>
      </c>
      <c r="L336" s="249">
        <f>IF(A336="","",IF(OR(A336=1,A336=0),H336,0))</f>
      </c>
      <c r="M336" s="249">
        <f>IF(A336="","",IF(A336=-1,H336,0))</f>
      </c>
      <c r="N336">
        <f>IF($E336="SGD",1,IF($E336="USD",Settings!$B$22,IF($E336="HKD",Settings!$B$23,1)))</f>
      </c>
      <c r="O336">
        <f>IF($J336="",0,($M336-$L336+IF($A336=2,$H336,0))*$N336)</f>
      </c>
      <c r="P336">
        <f>IF($J336="",0,IF($A336=2,$H336*$N336,0))</f>
      </c>
    </row>
    <row r="337" spans="1:16" ht="15" customHeight="1" x14ac:dyDescent="0.15">
      <c r="A337" s="242"/>
      <c r="B337" s="242"/>
      <c r="C337" s="242"/>
      <c r="D337" s="256"/>
      <c r="E337" s="242"/>
      <c r="F337" s="257"/>
      <c r="G337" s="242"/>
      <c r="H337" s="257"/>
      <c r="I337" s="242"/>
      <c r="J337" s="249">
        <f>IF(OR(B337="",C337="",E337=""),"",B337&amp;":"&amp;C337&amp;":"&amp;E337)</f>
      </c>
      <c r="K337" s="250">
        <f>IF(A337="","",A337*D337)</f>
      </c>
      <c r="L337" s="249">
        <f>IF(A337="","",IF(OR(A337=1,A337=0),H337,0))</f>
      </c>
      <c r="M337" s="249">
        <f>IF(A337="","",IF(A337=-1,H337,0))</f>
      </c>
      <c r="N337">
        <f>IF($E337="SGD",1,IF($E337="USD",Settings!$B$22,IF($E337="HKD",Settings!$B$23,1)))</f>
      </c>
      <c r="O337">
        <f>IF($J337="",0,($M337-$L337+IF($A337=2,$H337,0))*$N337)</f>
      </c>
      <c r="P337">
        <f>IF($J337="",0,IF($A337=2,$H337*$N337,0))</f>
      </c>
    </row>
    <row r="338" spans="1:16" ht="15" customHeight="1" x14ac:dyDescent="0.15">
      <c r="A338" s="242"/>
      <c r="B338" s="242"/>
      <c r="C338" s="242"/>
      <c r="D338" s="256"/>
      <c r="E338" s="242"/>
      <c r="F338" s="257"/>
      <c r="G338" s="242"/>
      <c r="H338" s="257"/>
      <c r="I338" s="242"/>
      <c r="J338" s="249">
        <f>IF(OR(B338="",C338="",E338=""),"",B338&amp;":"&amp;C338&amp;":"&amp;E338)</f>
      </c>
      <c r="K338" s="250">
        <f>IF(A338="","",A338*D338)</f>
      </c>
      <c r="L338" s="249">
        <f>IF(A338="","",IF(OR(A338=1,A338=0),H338,0))</f>
      </c>
      <c r="M338" s="249">
        <f>IF(A338="","",IF(A338=-1,H338,0))</f>
      </c>
      <c r="N338">
        <f>IF($E338="SGD",1,IF($E338="USD",Settings!$B$22,IF($E338="HKD",Settings!$B$23,1)))</f>
      </c>
      <c r="O338">
        <f>IF($J338="",0,($M338-$L338+IF($A338=2,$H338,0))*$N338)</f>
      </c>
      <c r="P338">
        <f>IF($J338="",0,IF($A338=2,$H338*$N338,0))</f>
      </c>
    </row>
    <row r="339" spans="1:16" ht="15" customHeight="1" x14ac:dyDescent="0.15">
      <c r="A339" s="242"/>
      <c r="B339" s="242"/>
      <c r="C339" s="242"/>
      <c r="D339" s="256"/>
      <c r="E339" s="242"/>
      <c r="F339" s="257"/>
      <c r="G339" s="242"/>
      <c r="H339" s="257"/>
      <c r="I339" s="242"/>
      <c r="J339" s="249">
        <f>IF(OR(B339="",C339="",E339=""),"",B339&amp;":"&amp;C339&amp;":"&amp;E339)</f>
      </c>
      <c r="K339" s="250">
        <f>IF(A339="","",A339*D339)</f>
      </c>
      <c r="L339" s="249">
        <f>IF(A339="","",IF(OR(A339=1,A339=0),H339,0))</f>
      </c>
      <c r="M339" s="249">
        <f>IF(A339="","",IF(A339=-1,H339,0))</f>
      </c>
      <c r="N339">
        <f>IF($E339="SGD",1,IF($E339="USD",Settings!$B$22,IF($E339="HKD",Settings!$B$23,1)))</f>
      </c>
      <c r="O339">
        <f>IF($J339="",0,($M339-$L339+IF($A339=2,$H339,0))*$N339)</f>
      </c>
      <c r="P339">
        <f>IF($J339="",0,IF($A339=2,$H339*$N339,0))</f>
      </c>
    </row>
    <row r="340" spans="1:16" ht="15" customHeight="1" x14ac:dyDescent="0.15">
      <c r="A340" s="242"/>
      <c r="B340" s="242"/>
      <c r="C340" s="242"/>
      <c r="D340" s="256"/>
      <c r="E340" s="242"/>
      <c r="F340" s="257"/>
      <c r="G340" s="242"/>
      <c r="H340" s="257"/>
      <c r="I340" s="242"/>
      <c r="J340" s="249">
        <f>IF(OR(B340="",C340="",E340=""),"",B340&amp;":"&amp;C340&amp;":"&amp;E340)</f>
      </c>
      <c r="K340" s="250">
        <f>IF(A340="","",A340*D340)</f>
      </c>
      <c r="L340" s="249">
        <f>IF(A340="","",IF(OR(A340=1,A340=0),H340,0))</f>
      </c>
      <c r="M340" s="249">
        <f>IF(A340="","",IF(A340=-1,H340,0))</f>
      </c>
      <c r="N340">
        <f>IF($E340="SGD",1,IF($E340="USD",Settings!$B$22,IF($E340="HKD",Settings!$B$23,1)))</f>
      </c>
      <c r="O340">
        <f>IF($J340="",0,($M340-$L340+IF($A340=2,$H340,0))*$N340)</f>
      </c>
      <c r="P340">
        <f>IF($J340="",0,IF($A340=2,$H340*$N340,0))</f>
      </c>
    </row>
    <row r="341" spans="1:16" ht="15" customHeight="1" x14ac:dyDescent="0.15">
      <c r="A341" s="242"/>
      <c r="B341" s="242"/>
      <c r="C341" s="242"/>
      <c r="D341" s="256"/>
      <c r="E341" s="242"/>
      <c r="F341" s="257"/>
      <c r="G341" s="242"/>
      <c r="H341" s="257"/>
      <c r="I341" s="242"/>
      <c r="J341" s="249">
        <f>IF(OR(B341="",C341="",E341=""),"",B341&amp;":"&amp;C341&amp;":"&amp;E341)</f>
      </c>
      <c r="K341" s="250">
        <f>IF(A341="","",A341*D341)</f>
      </c>
      <c r="L341" s="249">
        <f>IF(A341="","",IF(OR(A341=1,A341=0),H341,0))</f>
      </c>
      <c r="M341" s="249">
        <f>IF(A341="","",IF(A341=-1,H341,0))</f>
      </c>
      <c r="N341">
        <f>IF($E341="SGD",1,IF($E341="USD",Settings!$B$22,IF($E341="HKD",Settings!$B$23,1)))</f>
      </c>
      <c r="O341">
        <f>IF($J341="",0,($M341-$L341+IF($A341=2,$H341,0))*$N341)</f>
      </c>
      <c r="P341">
        <f>IF($J341="",0,IF($A341=2,$H341*$N341,0))</f>
      </c>
    </row>
    <row r="342" spans="1:16" ht="15" customHeight="1" x14ac:dyDescent="0.15">
      <c r="A342" s="242"/>
      <c r="B342" s="242"/>
      <c r="C342" s="242"/>
      <c r="D342" s="256"/>
      <c r="E342" s="242"/>
      <c r="F342" s="257"/>
      <c r="G342" s="242"/>
      <c r="H342" s="257"/>
      <c r="I342" s="242"/>
      <c r="J342" s="249">
        <f>IF(OR(B342="",C342="",E342=""),"",B342&amp;":"&amp;C342&amp;":"&amp;E342)</f>
      </c>
      <c r="K342" s="250">
        <f>IF(A342="","",A342*D342)</f>
      </c>
      <c r="L342" s="249">
        <f>IF(A342="","",IF(OR(A342=1,A342=0),H342,0))</f>
      </c>
      <c r="M342" s="249">
        <f>IF(A342="","",IF(A342=-1,H342,0))</f>
      </c>
      <c r="N342">
        <f>IF($E342="SGD",1,IF($E342="USD",Settings!$B$22,IF($E342="HKD",Settings!$B$23,1)))</f>
      </c>
      <c r="O342">
        <f>IF($J342="",0,($M342-$L342+IF($A342=2,$H342,0))*$N342)</f>
      </c>
      <c r="P342">
        <f>IF($J342="",0,IF($A342=2,$H342*$N342,0))</f>
      </c>
    </row>
    <row r="343" spans="1:16" ht="15" customHeight="1" x14ac:dyDescent="0.15">
      <c r="A343" s="242"/>
      <c r="B343" s="242"/>
      <c r="C343" s="242"/>
      <c r="D343" s="256"/>
      <c r="E343" s="242"/>
      <c r="F343" s="257"/>
      <c r="G343" s="242"/>
      <c r="H343" s="257"/>
      <c r="I343" s="242"/>
      <c r="J343" s="249">
        <f>IF(OR(B343="",C343="",E343=""),"",B343&amp;":"&amp;C343&amp;":"&amp;E343)</f>
      </c>
      <c r="K343" s="250">
        <f>IF(A343="","",A343*D343)</f>
      </c>
      <c r="L343" s="249">
        <f>IF(A343="","",IF(OR(A343=1,A343=0),H343,0))</f>
      </c>
      <c r="M343" s="249">
        <f>IF(A343="","",IF(A343=-1,H343,0))</f>
      </c>
      <c r="N343">
        <f>IF($E343="SGD",1,IF($E343="USD",Settings!$B$22,IF($E343="HKD",Settings!$B$23,1)))</f>
      </c>
      <c r="O343">
        <f>IF($J343="",0,($M343-$L343+IF($A343=2,$H343,0))*$N343)</f>
      </c>
      <c r="P343">
        <f>IF($J343="",0,IF($A343=2,$H343*$N343,0))</f>
      </c>
    </row>
    <row r="344" spans="1:16" ht="15" customHeight="1" x14ac:dyDescent="0.15">
      <c r="A344" s="242"/>
      <c r="B344" s="242"/>
      <c r="C344" s="242"/>
      <c r="D344" s="256"/>
      <c r="E344" s="242"/>
      <c r="F344" s="257"/>
      <c r="G344" s="242"/>
      <c r="H344" s="257"/>
      <c r="I344" s="242"/>
      <c r="J344" s="249">
        <f>IF(OR(B344="",C344="",E344=""),"",B344&amp;":"&amp;C344&amp;":"&amp;E344)</f>
      </c>
      <c r="K344" s="250">
        <f>IF(A344="","",A344*D344)</f>
      </c>
      <c r="L344" s="249">
        <f>IF(A344="","",IF(OR(A344=1,A344=0),H344,0))</f>
      </c>
      <c r="M344" s="249">
        <f>IF(A344="","",IF(A344=-1,H344,0))</f>
      </c>
      <c r="N344">
        <f>IF($E344="SGD",1,IF($E344="USD",Settings!$B$22,IF($E344="HKD",Settings!$B$23,1)))</f>
      </c>
      <c r="O344">
        <f>IF($J344="",0,($M344-$L344+IF($A344=2,$H344,0))*$N344)</f>
      </c>
      <c r="P344">
        <f>IF($J344="",0,IF($A344=2,$H344*$N344,0))</f>
      </c>
    </row>
    <row r="345" spans="1:16" ht="15" customHeight="1" x14ac:dyDescent="0.15">
      <c r="A345" s="242"/>
      <c r="B345" s="242"/>
      <c r="C345" s="242"/>
      <c r="D345" s="256"/>
      <c r="E345" s="242"/>
      <c r="F345" s="257"/>
      <c r="G345" s="242"/>
      <c r="H345" s="257"/>
      <c r="I345" s="242"/>
      <c r="J345" s="249">
        <f>IF(OR(B345="",C345="",E345=""),"",B345&amp;":"&amp;C345&amp;":"&amp;E345)</f>
      </c>
      <c r="K345" s="250">
        <f>IF(A345="","",A345*D345)</f>
      </c>
      <c r="L345" s="249">
        <f>IF(A345="","",IF(OR(A345=1,A345=0),H345,0))</f>
      </c>
      <c r="M345" s="249">
        <f>IF(A345="","",IF(A345=-1,H345,0))</f>
      </c>
      <c r="N345">
        <f>IF($E345="SGD",1,IF($E345="USD",Settings!$B$22,IF($E345="HKD",Settings!$B$23,1)))</f>
      </c>
      <c r="O345">
        <f>IF($J345="",0,($M345-$L345+IF($A345=2,$H345,0))*$N345)</f>
      </c>
      <c r="P345">
        <f>IF($J345="",0,IF($A345=2,$H345*$N345,0))</f>
      </c>
    </row>
    <row r="346" spans="1:16" ht="15" customHeight="1" x14ac:dyDescent="0.15">
      <c r="A346" s="242"/>
      <c r="B346" s="242"/>
      <c r="C346" s="242"/>
      <c r="D346" s="256"/>
      <c r="E346" s="242"/>
      <c r="F346" s="257"/>
      <c r="G346" s="242"/>
      <c r="H346" s="257"/>
      <c r="I346" s="242"/>
      <c r="J346" s="249">
        <f>IF(OR(B346="",C346="",E346=""),"",B346&amp;":"&amp;C346&amp;":"&amp;E346)</f>
      </c>
      <c r="K346" s="250">
        <f>IF(A346="","",A346*D346)</f>
      </c>
      <c r="L346" s="249">
        <f>IF(A346="","",IF(OR(A346=1,A346=0),H346,0))</f>
      </c>
      <c r="M346" s="249">
        <f>IF(A346="","",IF(A346=-1,H346,0))</f>
      </c>
      <c r="N346">
        <f>IF($E346="SGD",1,IF($E346="USD",Settings!$B$22,IF($E346="HKD",Settings!$B$23,1)))</f>
      </c>
      <c r="O346">
        <f>IF($J346="",0,($M346-$L346+IF($A346=2,$H346,0))*$N346)</f>
      </c>
      <c r="P346">
        <f>IF($J346="",0,IF($A346=2,$H346*$N346,0))</f>
      </c>
    </row>
    <row r="347" spans="1:16" ht="15" customHeight="1" x14ac:dyDescent="0.15">
      <c r="A347" s="242"/>
      <c r="B347" s="242"/>
      <c r="C347" s="242"/>
      <c r="D347" s="256"/>
      <c r="E347" s="242"/>
      <c r="F347" s="257"/>
      <c r="G347" s="242"/>
      <c r="H347" s="257"/>
      <c r="I347" s="242"/>
      <c r="J347" s="249">
        <f>IF(OR(B347="",C347="",E347=""),"",B347&amp;":"&amp;C347&amp;":"&amp;E347)</f>
      </c>
      <c r="K347" s="250">
        <f>IF(A347="","",A347*D347)</f>
      </c>
      <c r="L347" s="249">
        <f>IF(A347="","",IF(OR(A347=1,A347=0),H347,0))</f>
      </c>
      <c r="M347" s="249">
        <f>IF(A347="","",IF(A347=-1,H347,0))</f>
      </c>
      <c r="N347">
        <f>IF($E347="SGD",1,IF($E347="USD",Settings!$B$22,IF($E347="HKD",Settings!$B$23,1)))</f>
      </c>
      <c r="O347">
        <f>IF($J347="",0,($M347-$L347+IF($A347=2,$H347,0))*$N347)</f>
      </c>
      <c r="P347">
        <f>IF($J347="",0,IF($A347=2,$H347*$N347,0))</f>
      </c>
    </row>
    <row r="348" spans="1:16" ht="15" customHeight="1" x14ac:dyDescent="0.15">
      <c r="A348" s="242"/>
      <c r="B348" s="242"/>
      <c r="C348" s="242"/>
      <c r="D348" s="256"/>
      <c r="E348" s="242"/>
      <c r="F348" s="257"/>
      <c r="G348" s="242"/>
      <c r="H348" s="257"/>
      <c r="I348" s="242"/>
      <c r="J348" s="249">
        <f>IF(OR(B348="",C348="",E348=""),"",B348&amp;":"&amp;C348&amp;":"&amp;E348)</f>
      </c>
      <c r="K348" s="250">
        <f>IF(A348="","",A348*D348)</f>
      </c>
      <c r="L348" s="249">
        <f>IF(A348="","",IF(OR(A348=1,A348=0),H348,0))</f>
      </c>
      <c r="M348" s="249">
        <f>IF(A348="","",IF(A348=-1,H348,0))</f>
      </c>
      <c r="N348">
        <f>IF($E348="SGD",1,IF($E348="USD",Settings!$B$22,IF($E348="HKD",Settings!$B$23,1)))</f>
      </c>
      <c r="O348">
        <f>IF($J348="",0,($M348-$L348+IF($A348=2,$H348,0))*$N348)</f>
      </c>
      <c r="P348">
        <f>IF($J348="",0,IF($A348=2,$H348*$N348,0))</f>
      </c>
    </row>
    <row r="349" spans="1:16" ht="15" customHeight="1" x14ac:dyDescent="0.15">
      <c r="A349" s="242"/>
      <c r="B349" s="242"/>
      <c r="C349" s="242"/>
      <c r="D349" s="256"/>
      <c r="E349" s="242"/>
      <c r="F349" s="257"/>
      <c r="G349" s="242"/>
      <c r="H349" s="257"/>
      <c r="I349" s="242"/>
      <c r="J349" s="249">
        <f>IF(OR(B349="",C349="",E349=""),"",B349&amp;":"&amp;C349&amp;":"&amp;E349)</f>
      </c>
      <c r="K349" s="250">
        <f>IF(A349="","",A349*D349)</f>
      </c>
      <c r="L349" s="249">
        <f>IF(A349="","",IF(OR(A349=1,A349=0),H349,0))</f>
      </c>
      <c r="M349" s="249">
        <f>IF(A349="","",IF(A349=-1,H349,0))</f>
      </c>
      <c r="N349">
        <f>IF($E349="SGD",1,IF($E349="USD",Settings!$B$22,IF($E349="HKD",Settings!$B$23,1)))</f>
      </c>
      <c r="O349">
        <f>IF($J349="",0,($M349-$L349+IF($A349=2,$H349,0))*$N349)</f>
      </c>
      <c r="P349">
        <f>IF($J349="",0,IF($A349=2,$H349*$N349,0))</f>
      </c>
    </row>
    <row r="350" spans="1:16" ht="15" customHeight="1" x14ac:dyDescent="0.15">
      <c r="A350" s="242"/>
      <c r="B350" s="242"/>
      <c r="C350" s="242"/>
      <c r="D350" s="256"/>
      <c r="E350" s="242"/>
      <c r="F350" s="257"/>
      <c r="G350" s="242"/>
      <c r="H350" s="257"/>
      <c r="I350" s="242"/>
      <c r="J350" s="249">
        <f>IF(OR(B350="",C350="",E350=""),"",B350&amp;":"&amp;C350&amp;":"&amp;E350)</f>
      </c>
      <c r="K350" s="250">
        <f>IF(A350="","",A350*D350)</f>
      </c>
      <c r="L350" s="249">
        <f>IF(A350="","",IF(OR(A350=1,A350=0),H350,0))</f>
      </c>
      <c r="M350" s="249">
        <f>IF(A350="","",IF(A350=-1,H350,0))</f>
      </c>
      <c r="N350">
        <f>IF($E350="SGD",1,IF($E350="USD",Settings!$B$22,IF($E350="HKD",Settings!$B$23,1)))</f>
      </c>
      <c r="O350">
        <f>IF($J350="",0,($M350-$L350+IF($A350=2,$H350,0))*$N350)</f>
      </c>
      <c r="P350">
        <f>IF($J350="",0,IF($A350=2,$H350*$N350,0))</f>
      </c>
    </row>
    <row r="351" spans="1:16" ht="15" customHeight="1" x14ac:dyDescent="0.15">
      <c r="A351" s="242"/>
      <c r="B351" s="242"/>
      <c r="C351" s="242"/>
      <c r="D351" s="256"/>
      <c r="E351" s="242"/>
      <c r="F351" s="257"/>
      <c r="G351" s="242"/>
      <c r="H351" s="257"/>
      <c r="I351" s="242"/>
      <c r="J351" s="249">
        <f>IF(OR(B351="",C351="",E351=""),"",B351&amp;":"&amp;C351&amp;":"&amp;E351)</f>
      </c>
      <c r="K351" s="250">
        <f>IF(A351="","",A351*D351)</f>
      </c>
      <c r="L351" s="249">
        <f>IF(A351="","",IF(OR(A351=1,A351=0),H351,0))</f>
      </c>
      <c r="M351" s="249">
        <f>IF(A351="","",IF(A351=-1,H351,0))</f>
      </c>
      <c r="N351">
        <f>IF($E351="SGD",1,IF($E351="USD",Settings!$B$22,IF($E351="HKD",Settings!$B$23,1)))</f>
      </c>
      <c r="O351">
        <f>IF($J351="",0,($M351-$L351+IF($A351=2,$H351,0))*$N351)</f>
      </c>
      <c r="P351">
        <f>IF($J351="",0,IF($A351=2,$H351*$N351,0))</f>
      </c>
    </row>
    <row r="352" spans="1:16" ht="15" customHeight="1" x14ac:dyDescent="0.15">
      <c r="A352" s="242"/>
      <c r="B352" s="242"/>
      <c r="C352" s="242"/>
      <c r="D352" s="256"/>
      <c r="E352" s="242"/>
      <c r="F352" s="257"/>
      <c r="G352" s="242"/>
      <c r="H352" s="257"/>
      <c r="I352" s="242"/>
      <c r="J352" s="249">
        <f>IF(OR(B352="",C352="",E352=""),"",B352&amp;":"&amp;C352&amp;":"&amp;E352)</f>
      </c>
      <c r="K352" s="250">
        <f>IF(A352="","",A352*D352)</f>
      </c>
      <c r="L352" s="249">
        <f>IF(A352="","",IF(OR(A352=1,A352=0),H352,0))</f>
      </c>
      <c r="M352" s="249">
        <f>IF(A352="","",IF(A352=-1,H352,0))</f>
      </c>
      <c r="N352">
        <f>IF($E352="SGD",1,IF($E352="USD",Settings!$B$22,IF($E352="HKD",Settings!$B$23,1)))</f>
      </c>
      <c r="O352">
        <f>IF($J352="",0,($M352-$L352+IF($A352=2,$H352,0))*$N352)</f>
      </c>
      <c r="P352">
        <f>IF($J352="",0,IF($A352=2,$H352*$N352,0))</f>
      </c>
    </row>
    <row r="353" spans="1:16" ht="15" customHeight="1" x14ac:dyDescent="0.15">
      <c r="A353" s="242"/>
      <c r="B353" s="242"/>
      <c r="C353" s="242"/>
      <c r="D353" s="256"/>
      <c r="E353" s="242"/>
      <c r="F353" s="257"/>
      <c r="G353" s="242"/>
      <c r="H353" s="257"/>
      <c r="I353" s="242"/>
      <c r="J353" s="249">
        <f>IF(OR(B353="",C353="",E353=""),"",B353&amp;":"&amp;C353&amp;":"&amp;E353)</f>
      </c>
      <c r="K353" s="250">
        <f>IF(A353="","",A353*D353)</f>
      </c>
      <c r="L353" s="249">
        <f>IF(A353="","",IF(OR(A353=1,A353=0),H353,0))</f>
      </c>
      <c r="M353" s="249">
        <f>IF(A353="","",IF(A353=-1,H353,0))</f>
      </c>
      <c r="N353">
        <f>IF($E353="SGD",1,IF($E353="USD",Settings!$B$22,IF($E353="HKD",Settings!$B$23,1)))</f>
      </c>
      <c r="O353">
        <f>IF($J353="",0,($M353-$L353+IF($A353=2,$H353,0))*$N353)</f>
      </c>
      <c r="P353">
        <f>IF($J353="",0,IF($A353=2,$H353*$N353,0))</f>
      </c>
    </row>
    <row r="354" spans="1:16" ht="15" customHeight="1" x14ac:dyDescent="0.15">
      <c r="A354" s="242"/>
      <c r="B354" s="242"/>
      <c r="C354" s="242"/>
      <c r="D354" s="256"/>
      <c r="E354" s="242"/>
      <c r="F354" s="257"/>
      <c r="G354" s="242"/>
      <c r="H354" s="257"/>
      <c r="I354" s="242"/>
      <c r="J354" s="249">
        <f>IF(OR(B354="",C354="",E354=""),"",B354&amp;":"&amp;C354&amp;":"&amp;E354)</f>
      </c>
      <c r="K354" s="250">
        <f>IF(A354="","",A354*D354)</f>
      </c>
      <c r="L354" s="249">
        <f>IF(A354="","",IF(OR(A354=1,A354=0),H354,0))</f>
      </c>
      <c r="M354" s="249">
        <f>IF(A354="","",IF(A354=-1,H354,0))</f>
      </c>
      <c r="N354">
        <f>IF($E354="SGD",1,IF($E354="USD",Settings!$B$22,IF($E354="HKD",Settings!$B$23,1)))</f>
      </c>
      <c r="O354">
        <f>IF($J354="",0,($M354-$L354+IF($A354=2,$H354,0))*$N354)</f>
      </c>
      <c r="P354">
        <f>IF($J354="",0,IF($A354=2,$H354*$N354,0))</f>
      </c>
    </row>
    <row r="355" spans="1:16" ht="15" customHeight="1" x14ac:dyDescent="0.15">
      <c r="A355" s="242"/>
      <c r="B355" s="242"/>
      <c r="C355" s="242"/>
      <c r="D355" s="256"/>
      <c r="E355" s="242"/>
      <c r="F355" s="257"/>
      <c r="G355" s="242"/>
      <c r="H355" s="257"/>
      <c r="I355" s="242"/>
      <c r="J355" s="249">
        <f>IF(OR(B355="",C355="",E355=""),"",B355&amp;":"&amp;C355&amp;":"&amp;E355)</f>
      </c>
      <c r="K355" s="250">
        <f>IF(A355="","",A355*D355)</f>
      </c>
      <c r="L355" s="249">
        <f>IF(A355="","",IF(OR(A355=1,A355=0),H355,0))</f>
      </c>
      <c r="M355" s="249">
        <f>IF(A355="","",IF(A355=-1,H355,0))</f>
      </c>
      <c r="N355">
        <f>IF($E355="SGD",1,IF($E355="USD",Settings!$B$22,IF($E355="HKD",Settings!$B$23,1)))</f>
      </c>
      <c r="O355">
        <f>IF($J355="",0,($M355-$L355+IF($A355=2,$H355,0))*$N355)</f>
      </c>
      <c r="P355">
        <f>IF($J355="",0,IF($A355=2,$H355*$N355,0))</f>
      </c>
    </row>
    <row r="356" spans="1:16" ht="15" customHeight="1" x14ac:dyDescent="0.15">
      <c r="A356" s="242"/>
      <c r="B356" s="242"/>
      <c r="C356" s="242"/>
      <c r="D356" s="256"/>
      <c r="E356" s="242"/>
      <c r="F356" s="257"/>
      <c r="G356" s="242"/>
      <c r="H356" s="257"/>
      <c r="I356" s="242"/>
      <c r="J356" s="249">
        <f>IF(OR(B356="",C356="",E356=""),"",B356&amp;":"&amp;C356&amp;":"&amp;E356)</f>
      </c>
      <c r="K356" s="250">
        <f>IF(A356="","",A356*D356)</f>
      </c>
      <c r="L356" s="249">
        <f>IF(A356="","",IF(OR(A356=1,A356=0),H356,0))</f>
      </c>
      <c r="M356" s="249">
        <f>IF(A356="","",IF(A356=-1,H356,0))</f>
      </c>
      <c r="N356">
        <f>IF($E356="SGD",1,IF($E356="USD",Settings!$B$22,IF($E356="HKD",Settings!$B$23,1)))</f>
      </c>
      <c r="O356">
        <f>IF($J356="",0,($M356-$L356+IF($A356=2,$H356,0))*$N356)</f>
      </c>
      <c r="P356">
        <f>IF($J356="",0,IF($A356=2,$H356*$N356,0))</f>
      </c>
    </row>
    <row r="357" spans="1:16" ht="15" customHeight="1" x14ac:dyDescent="0.15">
      <c r="A357" s="242"/>
      <c r="B357" s="242"/>
      <c r="C357" s="242"/>
      <c r="D357" s="256"/>
      <c r="E357" s="242"/>
      <c r="F357" s="257"/>
      <c r="G357" s="242"/>
      <c r="H357" s="257"/>
      <c r="I357" s="242"/>
      <c r="J357" s="249">
        <f>IF(OR(B357="",C357="",E357=""),"",B357&amp;":"&amp;C357&amp;":"&amp;E357)</f>
      </c>
      <c r="K357" s="250">
        <f>IF(A357="","",A357*D357)</f>
      </c>
      <c r="L357" s="249">
        <f>IF(A357="","",IF(OR(A357=1,A357=0),H357,0))</f>
      </c>
      <c r="M357" s="249">
        <f>IF(A357="","",IF(A357=-1,H357,0))</f>
      </c>
      <c r="N357">
        <f>IF($E357="SGD",1,IF($E357="USD",Settings!$B$22,IF($E357="HKD",Settings!$B$23,1)))</f>
      </c>
      <c r="O357">
        <f>IF($J357="",0,($M357-$L357+IF($A357=2,$H357,0))*$N357)</f>
      </c>
      <c r="P357">
        <f>IF($J357="",0,IF($A357=2,$H357*$N357,0))</f>
      </c>
    </row>
    <row r="358" spans="1:16" ht="15" customHeight="1" x14ac:dyDescent="0.15">
      <c r="A358" s="242"/>
      <c r="B358" s="242"/>
      <c r="C358" s="242"/>
      <c r="D358" s="256"/>
      <c r="E358" s="242"/>
      <c r="F358" s="257"/>
      <c r="G358" s="242"/>
      <c r="H358" s="257"/>
      <c r="I358" s="242"/>
      <c r="J358" s="249">
        <f>IF(OR(B358="",C358="",E358=""),"",B358&amp;":"&amp;C358&amp;":"&amp;E358)</f>
      </c>
      <c r="K358" s="250">
        <f>IF(A358="","",A358*D358)</f>
      </c>
      <c r="L358" s="249">
        <f>IF(A358="","",IF(OR(A358=1,A358=0),H358,0))</f>
      </c>
      <c r="M358" s="249">
        <f>IF(A358="","",IF(A358=-1,H358,0))</f>
      </c>
      <c r="N358">
        <f>IF($E358="SGD",1,IF($E358="USD",Settings!$B$22,IF($E358="HKD",Settings!$B$23,1)))</f>
      </c>
      <c r="O358">
        <f>IF($J358="",0,($M358-$L358+IF($A358=2,$H358,0))*$N358)</f>
      </c>
      <c r="P358">
        <f>IF($J358="",0,IF($A358=2,$H358*$N358,0))</f>
      </c>
    </row>
    <row r="359" spans="1:16" ht="15" customHeight="1" x14ac:dyDescent="0.15">
      <c r="A359" s="242"/>
      <c r="B359" s="242"/>
      <c r="C359" s="242"/>
      <c r="D359" s="256"/>
      <c r="E359" s="242"/>
      <c r="F359" s="257"/>
      <c r="G359" s="242"/>
      <c r="H359" s="257"/>
      <c r="I359" s="242"/>
      <c r="J359" s="249">
        <f>IF(OR(B359="",C359="",E359=""),"",B359&amp;":"&amp;C359&amp;":"&amp;E359)</f>
      </c>
      <c r="K359" s="250">
        <f>IF(A359="","",A359*D359)</f>
      </c>
      <c r="L359" s="249">
        <f>IF(A359="","",IF(OR(A359=1,A359=0),H359,0))</f>
      </c>
      <c r="M359" s="249">
        <f>IF(A359="","",IF(A359=-1,H359,0))</f>
      </c>
      <c r="N359">
        <f>IF($E359="SGD",1,IF($E359="USD",Settings!$B$22,IF($E359="HKD",Settings!$B$23,1)))</f>
      </c>
      <c r="O359">
        <f>IF($J359="",0,($M359-$L359+IF($A359=2,$H359,0))*$N359)</f>
      </c>
      <c r="P359">
        <f>IF($J359="",0,IF($A359=2,$H359*$N359,0))</f>
      </c>
    </row>
    <row r="360" spans="1:16" ht="15" customHeight="1" x14ac:dyDescent="0.15">
      <c r="A360" s="242"/>
      <c r="B360" s="242"/>
      <c r="C360" s="242"/>
      <c r="D360" s="256"/>
      <c r="E360" s="242"/>
      <c r="F360" s="257"/>
      <c r="G360" s="242"/>
      <c r="H360" s="257"/>
      <c r="I360" s="242"/>
      <c r="J360" s="249">
        <f>IF(OR(B360="",C360="",E360=""),"",B360&amp;":"&amp;C360&amp;":"&amp;E360)</f>
      </c>
      <c r="K360" s="250">
        <f>IF(A360="","",A360*D360)</f>
      </c>
      <c r="L360" s="249">
        <f>IF(A360="","",IF(OR(A360=1,A360=0),H360,0))</f>
      </c>
      <c r="M360" s="249">
        <f>IF(A360="","",IF(A360=-1,H360,0))</f>
      </c>
      <c r="N360">
        <f>IF($E360="SGD",1,IF($E360="USD",Settings!$B$22,IF($E360="HKD",Settings!$B$23,1)))</f>
      </c>
      <c r="O360">
        <f>IF($J360="",0,($M360-$L360+IF($A360=2,$H360,0))*$N360)</f>
      </c>
      <c r="P360">
        <f>IF($J360="",0,IF($A360=2,$H360*$N360,0))</f>
      </c>
    </row>
    <row r="361" spans="1:16" ht="15" customHeight="1" x14ac:dyDescent="0.15">
      <c r="A361" s="242"/>
      <c r="B361" s="242"/>
      <c r="C361" s="242"/>
      <c r="D361" s="256"/>
      <c r="E361" s="242"/>
      <c r="F361" s="257"/>
      <c r="G361" s="242"/>
      <c r="H361" s="257"/>
      <c r="I361" s="242"/>
      <c r="J361" s="249">
        <f>IF(OR(B361="",C361="",E361=""),"",B361&amp;":"&amp;C361&amp;":"&amp;E361)</f>
      </c>
      <c r="K361" s="250">
        <f>IF(A361="","",A361*D361)</f>
      </c>
      <c r="L361" s="249">
        <f>IF(A361="","",IF(OR(A361=1,A361=0),H361,0))</f>
      </c>
      <c r="M361" s="249">
        <f>IF(A361="","",IF(A361=-1,H361,0))</f>
      </c>
      <c r="N361">
        <f>IF($E361="SGD",1,IF($E361="USD",Settings!$B$22,IF($E361="HKD",Settings!$B$23,1)))</f>
      </c>
      <c r="O361">
        <f>IF($J361="",0,($M361-$L361+IF($A361=2,$H361,0))*$N361)</f>
      </c>
      <c r="P361">
        <f>IF($J361="",0,IF($A361=2,$H361*$N361,0))</f>
      </c>
    </row>
    <row r="362" spans="1:16" ht="15" customHeight="1" x14ac:dyDescent="0.15">
      <c r="A362" s="242"/>
      <c r="B362" s="242"/>
      <c r="C362" s="242"/>
      <c r="D362" s="256"/>
      <c r="E362" s="242"/>
      <c r="F362" s="257"/>
      <c r="G362" s="242"/>
      <c r="H362" s="257"/>
      <c r="I362" s="242"/>
      <c r="J362" s="249">
        <f>IF(OR(B362="",C362="",E362=""),"",B362&amp;":"&amp;C362&amp;":"&amp;E362)</f>
      </c>
      <c r="K362" s="250">
        <f>IF(A362="","",A362*D362)</f>
      </c>
      <c r="L362" s="249">
        <f>IF(A362="","",IF(OR(A362=1,A362=0),H362,0))</f>
      </c>
      <c r="M362" s="249">
        <f>IF(A362="","",IF(A362=-1,H362,0))</f>
      </c>
      <c r="N362">
        <f>IF($E362="SGD",1,IF($E362="USD",Settings!$B$22,IF($E362="HKD",Settings!$B$23,1)))</f>
      </c>
      <c r="O362">
        <f>IF($J362="",0,($M362-$L362+IF($A362=2,$H362,0))*$N362)</f>
      </c>
      <c r="P362">
        <f>IF($J362="",0,IF($A362=2,$H362*$N362,0))</f>
      </c>
    </row>
    <row r="363" spans="1:16" ht="15" customHeight="1" x14ac:dyDescent="0.15">
      <c r="A363" s="242"/>
      <c r="B363" s="242"/>
      <c r="C363" s="242"/>
      <c r="D363" s="256"/>
      <c r="E363" s="242"/>
      <c r="F363" s="257"/>
      <c r="G363" s="242"/>
      <c r="H363" s="257"/>
      <c r="I363" s="242"/>
      <c r="J363" s="249">
        <f>IF(OR(B363="",C363="",E363=""),"",B363&amp;":"&amp;C363&amp;":"&amp;E363)</f>
      </c>
      <c r="K363" s="250">
        <f>IF(A363="","",A363*D363)</f>
      </c>
      <c r="L363" s="249">
        <f>IF(A363="","",IF(OR(A363=1,A363=0),H363,0))</f>
      </c>
      <c r="M363" s="249">
        <f>IF(A363="","",IF(A363=-1,H363,0))</f>
      </c>
      <c r="N363">
        <f>IF($E363="SGD",1,IF($E363="USD",Settings!$B$22,IF($E363="HKD",Settings!$B$23,1)))</f>
      </c>
      <c r="O363">
        <f>IF($J363="",0,($M363-$L363+IF($A363=2,$H363,0))*$N363)</f>
      </c>
      <c r="P363">
        <f>IF($J363="",0,IF($A363=2,$H363*$N363,0))</f>
      </c>
    </row>
    <row r="364" spans="1:16" ht="15" customHeight="1" x14ac:dyDescent="0.15">
      <c r="A364" s="242"/>
      <c r="B364" s="242"/>
      <c r="C364" s="242"/>
      <c r="D364" s="256"/>
      <c r="E364" s="242"/>
      <c r="F364" s="257"/>
      <c r="G364" s="242"/>
      <c r="H364" s="257"/>
      <c r="I364" s="242"/>
      <c r="J364" s="249">
        <f>IF(OR(B364="",C364="",E364=""),"",B364&amp;":"&amp;C364&amp;":"&amp;E364)</f>
      </c>
      <c r="K364" s="250">
        <f>IF(A364="","",A364*D364)</f>
      </c>
      <c r="L364" s="249">
        <f>IF(A364="","",IF(OR(A364=1,A364=0),H364,0))</f>
      </c>
      <c r="M364" s="249">
        <f>IF(A364="","",IF(A364=-1,H364,0))</f>
      </c>
      <c r="N364">
        <f>IF($E364="SGD",1,IF($E364="USD",Settings!$B$22,IF($E364="HKD",Settings!$B$23,1)))</f>
      </c>
      <c r="O364">
        <f>IF($J364="",0,($M364-$L364+IF($A364=2,$H364,0))*$N364)</f>
      </c>
      <c r="P364">
        <f>IF($J364="",0,IF($A364=2,$H364*$N364,0))</f>
      </c>
    </row>
    <row r="365" spans="1:16" ht="15" customHeight="1" x14ac:dyDescent="0.15">
      <c r="A365" s="242"/>
      <c r="B365" s="242"/>
      <c r="C365" s="242"/>
      <c r="D365" s="256"/>
      <c r="E365" s="242"/>
      <c r="F365" s="257"/>
      <c r="G365" s="242"/>
      <c r="H365" s="257"/>
      <c r="I365" s="242"/>
      <c r="J365" s="249">
        <f>IF(OR(B365="",C365="",E365=""),"",B365&amp;":"&amp;C365&amp;":"&amp;E365)</f>
      </c>
      <c r="K365" s="250">
        <f>IF(A365="","",A365*D365)</f>
      </c>
      <c r="L365" s="249">
        <f>IF(A365="","",IF(OR(A365=1,A365=0),H365,0))</f>
      </c>
      <c r="M365" s="249">
        <f>IF(A365="","",IF(A365=-1,H365,0))</f>
      </c>
      <c r="N365">
        <f>IF($E365="SGD",1,IF($E365="USD",Settings!$B$22,IF($E365="HKD",Settings!$B$23,1)))</f>
      </c>
      <c r="O365">
        <f>IF($J365="",0,($M365-$L365+IF($A365=2,$H365,0))*$N365)</f>
      </c>
      <c r="P365">
        <f>IF($J365="",0,IF($A365=2,$H365*$N365,0))</f>
      </c>
    </row>
    <row r="366" spans="1:16" ht="15" customHeight="1" x14ac:dyDescent="0.15">
      <c r="A366" s="242"/>
      <c r="B366" s="242"/>
      <c r="C366" s="242"/>
      <c r="D366" s="256"/>
      <c r="E366" s="242"/>
      <c r="F366" s="257"/>
      <c r="G366" s="242"/>
      <c r="H366" s="257"/>
      <c r="I366" s="242"/>
      <c r="J366" s="249">
        <f>IF(OR(B366="",C366="",E366=""),"",B366&amp;":"&amp;C366&amp;":"&amp;E366)</f>
      </c>
      <c r="K366" s="250">
        <f>IF(A366="","",A366*D366)</f>
      </c>
      <c r="L366" s="249">
        <f>IF(A366="","",IF(OR(A366=1,A366=0),H366,0))</f>
      </c>
      <c r="M366" s="249">
        <f>IF(A366="","",IF(A366=-1,H366,0))</f>
      </c>
      <c r="N366">
        <f>IF($E366="SGD",1,IF($E366="USD",Settings!$B$22,IF($E366="HKD",Settings!$B$23,1)))</f>
      </c>
      <c r="O366">
        <f>IF($J366="",0,($M366-$L366+IF($A366=2,$H366,0))*$N366)</f>
      </c>
      <c r="P366">
        <f>IF($J366="",0,IF($A366=2,$H366*$N366,0))</f>
      </c>
    </row>
    <row r="367" spans="1:16" ht="15" customHeight="1" x14ac:dyDescent="0.15">
      <c r="A367" s="242"/>
      <c r="B367" s="242"/>
      <c r="C367" s="242"/>
      <c r="D367" s="256"/>
      <c r="E367" s="242"/>
      <c r="F367" s="257"/>
      <c r="G367" s="242"/>
      <c r="H367" s="257"/>
      <c r="I367" s="242"/>
      <c r="J367" s="249">
        <f>IF(OR(B367="",C367="",E367=""),"",B367&amp;":"&amp;C367&amp;":"&amp;E367)</f>
      </c>
      <c r="K367" s="250">
        <f>IF(A367="","",A367*D367)</f>
      </c>
      <c r="L367" s="249">
        <f>IF(A367="","",IF(OR(A367=1,A367=0),H367,0))</f>
      </c>
      <c r="M367" s="249">
        <f>IF(A367="","",IF(A367=-1,H367,0))</f>
      </c>
      <c r="N367">
        <f>IF($E367="SGD",1,IF($E367="USD",Settings!$B$22,IF($E367="HKD",Settings!$B$23,1)))</f>
      </c>
      <c r="O367">
        <f>IF($J367="",0,($M367-$L367+IF($A367=2,$H367,0))*$N367)</f>
      </c>
      <c r="P367">
        <f>IF($J367="",0,IF($A367=2,$H367*$N367,0))</f>
      </c>
    </row>
    <row r="368" spans="1:16" ht="15" customHeight="1" x14ac:dyDescent="0.15">
      <c r="A368" s="242"/>
      <c r="B368" s="242"/>
      <c r="C368" s="242"/>
      <c r="D368" s="256"/>
      <c r="E368" s="242"/>
      <c r="F368" s="257"/>
      <c r="G368" s="242"/>
      <c r="H368" s="257"/>
      <c r="I368" s="242"/>
      <c r="J368" s="249">
        <f>IF(OR(B368="",C368="",E368=""),"",B368&amp;":"&amp;C368&amp;":"&amp;E368)</f>
      </c>
      <c r="K368" s="250">
        <f>IF(A368="","",A368*D368)</f>
      </c>
      <c r="L368" s="249">
        <f>IF(A368="","",IF(OR(A368=1,A368=0),H368,0))</f>
      </c>
      <c r="M368" s="249">
        <f>IF(A368="","",IF(A368=-1,H368,0))</f>
      </c>
      <c r="N368">
        <f>IF($E368="SGD",1,IF($E368="USD",Settings!$B$22,IF($E368="HKD",Settings!$B$23,1)))</f>
      </c>
      <c r="O368">
        <f>IF($J368="",0,($M368-$L368+IF($A368=2,$H368,0))*$N368)</f>
      </c>
      <c r="P368">
        <f>IF($J368="",0,IF($A368=2,$H368*$N368,0))</f>
      </c>
    </row>
    <row r="369" spans="1:16" ht="15" customHeight="1" x14ac:dyDescent="0.15">
      <c r="A369" s="242"/>
      <c r="B369" s="242"/>
      <c r="C369" s="242"/>
      <c r="D369" s="256"/>
      <c r="E369" s="242"/>
      <c r="F369" s="257"/>
      <c r="G369" s="242"/>
      <c r="H369" s="257"/>
      <c r="I369" s="242"/>
      <c r="J369" s="249">
        <f>IF(OR(B369="",C369="",E369=""),"",B369&amp;":"&amp;C369&amp;":"&amp;E369)</f>
      </c>
      <c r="K369" s="250">
        <f>IF(A369="","",A369*D369)</f>
      </c>
      <c r="L369" s="249">
        <f>IF(A369="","",IF(OR(A369=1,A369=0),H369,0))</f>
      </c>
      <c r="M369" s="249">
        <f>IF(A369="","",IF(A369=-1,H369,0))</f>
      </c>
      <c r="N369">
        <f>IF($E369="SGD",1,IF($E369="USD",Settings!$B$22,IF($E369="HKD",Settings!$B$23,1)))</f>
      </c>
      <c r="O369">
        <f>IF($J369="",0,($M369-$L369+IF($A369=2,$H369,0))*$N369)</f>
      </c>
      <c r="P369">
        <f>IF($J369="",0,IF($A369=2,$H369*$N369,0))</f>
      </c>
    </row>
    <row r="370" spans="1:16" ht="15" customHeight="1" x14ac:dyDescent="0.15">
      <c r="A370" s="242"/>
      <c r="B370" s="242"/>
      <c r="C370" s="242"/>
      <c r="D370" s="256"/>
      <c r="E370" s="242"/>
      <c r="F370" s="257"/>
      <c r="G370" s="242"/>
      <c r="H370" s="257"/>
      <c r="I370" s="242"/>
      <c r="J370" s="249">
        <f>IF(OR(B370="",C370="",E370=""),"",B370&amp;":"&amp;C370&amp;":"&amp;E370)</f>
      </c>
      <c r="K370" s="250">
        <f>IF(A370="","",A370*D370)</f>
      </c>
      <c r="L370" s="249">
        <f>IF(A370="","",IF(OR(A370=1,A370=0),H370,0))</f>
      </c>
      <c r="M370" s="249">
        <f>IF(A370="","",IF(A370=-1,H370,0))</f>
      </c>
      <c r="N370">
        <f>IF($E370="SGD",1,IF($E370="USD",Settings!$B$22,IF($E370="HKD",Settings!$B$23,1)))</f>
      </c>
      <c r="O370">
        <f>IF($J370="",0,($M370-$L370+IF($A370=2,$H370,0))*$N370)</f>
      </c>
      <c r="P370">
        <f>IF($J370="",0,IF($A370=2,$H370*$N370,0))</f>
      </c>
    </row>
    <row r="371" spans="1:16" ht="15" customHeight="1" x14ac:dyDescent="0.15">
      <c r="A371" s="242"/>
      <c r="B371" s="242"/>
      <c r="C371" s="242"/>
      <c r="D371" s="256"/>
      <c r="E371" s="242"/>
      <c r="F371" s="257"/>
      <c r="G371" s="242"/>
      <c r="H371" s="257"/>
      <c r="I371" s="242"/>
      <c r="J371" s="249">
        <f>IF(OR(B371="",C371="",E371=""),"",B371&amp;":"&amp;C371&amp;":"&amp;E371)</f>
      </c>
      <c r="K371" s="250">
        <f>IF(A371="","",A371*D371)</f>
      </c>
      <c r="L371" s="249">
        <f>IF(A371="","",IF(OR(A371=1,A371=0),H371,0))</f>
      </c>
      <c r="M371" s="249">
        <f>IF(A371="","",IF(A371=-1,H371,0))</f>
      </c>
      <c r="N371">
        <f>IF($E371="SGD",1,IF($E371="USD",Settings!$B$22,IF($E371="HKD",Settings!$B$23,1)))</f>
      </c>
      <c r="O371">
        <f>IF($J371="",0,($M371-$L371+IF($A371=2,$H371,0))*$N371)</f>
      </c>
      <c r="P371">
        <f>IF($J371="",0,IF($A371=2,$H371*$N371,0))</f>
      </c>
    </row>
    <row r="372" spans="1:16" ht="15" customHeight="1" x14ac:dyDescent="0.15">
      <c r="A372" s="242"/>
      <c r="B372" s="242"/>
      <c r="C372" s="242"/>
      <c r="D372" s="256"/>
      <c r="E372" s="242"/>
      <c r="F372" s="257"/>
      <c r="G372" s="242"/>
      <c r="H372" s="257"/>
      <c r="I372" s="242"/>
      <c r="J372" s="249">
        <f>IF(OR(B372="",C372="",E372=""),"",B372&amp;":"&amp;C372&amp;":"&amp;E372)</f>
      </c>
      <c r="K372" s="250">
        <f>IF(A372="","",A372*D372)</f>
      </c>
      <c r="L372" s="249">
        <f>IF(A372="","",IF(OR(A372=1,A372=0),H372,0))</f>
      </c>
      <c r="M372" s="249">
        <f>IF(A372="","",IF(A372=-1,H372,0))</f>
      </c>
      <c r="N372">
        <f>IF($E372="SGD",1,IF($E372="USD",Settings!$B$22,IF($E372="HKD",Settings!$B$23,1)))</f>
      </c>
      <c r="O372">
        <f>IF($J372="",0,($M372-$L372+IF($A372=2,$H372,0))*$N372)</f>
      </c>
      <c r="P372">
        <f>IF($J372="",0,IF($A372=2,$H372*$N372,0))</f>
      </c>
    </row>
    <row r="373" spans="1:16" ht="15" customHeight="1" x14ac:dyDescent="0.15">
      <c r="A373" s="242"/>
      <c r="B373" s="242"/>
      <c r="C373" s="242"/>
      <c r="D373" s="256"/>
      <c r="E373" s="242"/>
      <c r="F373" s="257"/>
      <c r="G373" s="242"/>
      <c r="H373" s="257"/>
      <c r="I373" s="242"/>
      <c r="J373" s="249">
        <f>IF(OR(B373="",C373="",E373=""),"",B373&amp;":"&amp;C373&amp;":"&amp;E373)</f>
      </c>
      <c r="K373" s="250">
        <f>IF(A373="","",A373*D373)</f>
      </c>
      <c r="L373" s="249">
        <f>IF(A373="","",IF(OR(A373=1,A373=0),H373,0))</f>
      </c>
      <c r="M373" s="249">
        <f>IF(A373="","",IF(A373=-1,H373,0))</f>
      </c>
      <c r="N373">
        <f>IF($E373="SGD",1,IF($E373="USD",Settings!$B$22,IF($E373="HKD",Settings!$B$23,1)))</f>
      </c>
      <c r="O373">
        <f>IF($J373="",0,($M373-$L373+IF($A373=2,$H373,0))*$N373)</f>
      </c>
      <c r="P373">
        <f>IF($J373="",0,IF($A373=2,$H373*$N373,0))</f>
      </c>
    </row>
    <row r="374" spans="1:16" ht="15" customHeight="1" x14ac:dyDescent="0.15">
      <c r="A374" s="242"/>
      <c r="B374" s="242"/>
      <c r="C374" s="242"/>
      <c r="D374" s="256"/>
      <c r="E374" s="242"/>
      <c r="F374" s="257"/>
      <c r="G374" s="242"/>
      <c r="H374" s="257"/>
      <c r="I374" s="242"/>
      <c r="J374" s="249">
        <f>IF(OR(B374="",C374="",E374=""),"",B374&amp;":"&amp;C374&amp;":"&amp;E374)</f>
      </c>
      <c r="K374" s="250">
        <f>IF(A374="","",A374*D374)</f>
      </c>
      <c r="L374" s="249">
        <f>IF(A374="","",IF(OR(A374=1,A374=0),H374,0))</f>
      </c>
      <c r="M374" s="249">
        <f>IF(A374="","",IF(A374=-1,H374,0))</f>
      </c>
      <c r="N374">
        <f>IF($E374="SGD",1,IF($E374="USD",Settings!$B$22,IF($E374="HKD",Settings!$B$23,1)))</f>
      </c>
      <c r="O374">
        <f>IF($J374="",0,($M374-$L374+IF($A374=2,$H374,0))*$N374)</f>
      </c>
      <c r="P374">
        <f>IF($J374="",0,IF($A374=2,$H374*$N374,0))</f>
      </c>
    </row>
    <row r="375" spans="1:16" ht="15" customHeight="1" x14ac:dyDescent="0.15">
      <c r="A375" s="242"/>
      <c r="B375" s="242"/>
      <c r="C375" s="242"/>
      <c r="D375" s="256"/>
      <c r="E375" s="242"/>
      <c r="F375" s="257"/>
      <c r="G375" s="242"/>
      <c r="H375" s="257"/>
      <c r="I375" s="242"/>
      <c r="J375" s="249">
        <f>IF(OR(B375="",C375="",E375=""),"",B375&amp;":"&amp;C375&amp;":"&amp;E375)</f>
      </c>
      <c r="K375" s="250">
        <f>IF(A375="","",A375*D375)</f>
      </c>
      <c r="L375" s="249">
        <f>IF(A375="","",IF(OR(A375=1,A375=0),H375,0))</f>
      </c>
      <c r="M375" s="249">
        <f>IF(A375="","",IF(A375=-1,H375,0))</f>
      </c>
      <c r="N375">
        <f>IF($E375="SGD",1,IF($E375="USD",Settings!$B$22,IF($E375="HKD",Settings!$B$23,1)))</f>
      </c>
      <c r="O375">
        <f>IF($J375="",0,($M375-$L375+IF($A375=2,$H375,0))*$N375)</f>
      </c>
      <c r="P375">
        <f>IF($J375="",0,IF($A375=2,$H375*$N375,0))</f>
      </c>
    </row>
    <row r="376" spans="1:16" ht="15" customHeight="1" x14ac:dyDescent="0.15">
      <c r="A376" s="242"/>
      <c r="B376" s="242"/>
      <c r="C376" s="242"/>
      <c r="D376" s="256"/>
      <c r="E376" s="242"/>
      <c r="F376" s="257"/>
      <c r="G376" s="242"/>
      <c r="H376" s="257"/>
      <c r="I376" s="242"/>
      <c r="J376" s="249">
        <f>IF(OR(B376="",C376="",E376=""),"",B376&amp;":"&amp;C376&amp;":"&amp;E376)</f>
      </c>
      <c r="K376" s="250">
        <f>IF(A376="","",A376*D376)</f>
      </c>
      <c r="L376" s="249">
        <f>IF(A376="","",IF(OR(A376=1,A376=0),H376,0))</f>
      </c>
      <c r="M376" s="249">
        <f>IF(A376="","",IF(A376=-1,H376,0))</f>
      </c>
      <c r="N376">
        <f>IF($E376="SGD",1,IF($E376="USD",Settings!$B$22,IF($E376="HKD",Settings!$B$23,1)))</f>
      </c>
      <c r="O376">
        <f>IF($J376="",0,($M376-$L376+IF($A376=2,$H376,0))*$N376)</f>
      </c>
      <c r="P376">
        <f>IF($J376="",0,IF($A376=2,$H376*$N376,0))</f>
      </c>
    </row>
    <row r="377" spans="1:16" ht="15" customHeight="1" x14ac:dyDescent="0.15">
      <c r="A377" s="242"/>
      <c r="B377" s="242"/>
      <c r="C377" s="242"/>
      <c r="D377" s="256"/>
      <c r="E377" s="242"/>
      <c r="F377" s="257"/>
      <c r="G377" s="242"/>
      <c r="H377" s="257"/>
      <c r="I377" s="242"/>
      <c r="J377" s="249">
        <f>IF(OR(B377="",C377="",E377=""),"",B377&amp;":"&amp;C377&amp;":"&amp;E377)</f>
      </c>
      <c r="K377" s="250">
        <f>IF(A377="","",A377*D377)</f>
      </c>
      <c r="L377" s="249">
        <f>IF(A377="","",IF(OR(A377=1,A377=0),H377,0))</f>
      </c>
      <c r="M377" s="249">
        <f>IF(A377="","",IF(A377=-1,H377,0))</f>
      </c>
      <c r="N377">
        <f>IF($E377="SGD",1,IF($E377="USD",Settings!$B$22,IF($E377="HKD",Settings!$B$23,1)))</f>
      </c>
      <c r="O377">
        <f>IF($J377="",0,($M377-$L377+IF($A377=2,$H377,0))*$N377)</f>
      </c>
      <c r="P377">
        <f>IF($J377="",0,IF($A377=2,$H377*$N377,0))</f>
      </c>
    </row>
    <row r="378" spans="1:16" ht="15" customHeight="1" x14ac:dyDescent="0.15">
      <c r="A378" s="242"/>
      <c r="B378" s="242"/>
      <c r="C378" s="242"/>
      <c r="D378" s="256"/>
      <c r="E378" s="242"/>
      <c r="F378" s="257"/>
      <c r="G378" s="242"/>
      <c r="H378" s="257"/>
      <c r="I378" s="242"/>
      <c r="J378" s="249">
        <f>IF(OR(B378="",C378="",E378=""),"",B378&amp;":"&amp;C378&amp;":"&amp;E378)</f>
      </c>
      <c r="K378" s="250">
        <f>IF(A378="","",A378*D378)</f>
      </c>
      <c r="L378" s="249">
        <f>IF(A378="","",IF(OR(A378=1,A378=0),H378,0))</f>
      </c>
      <c r="M378" s="249">
        <f>IF(A378="","",IF(A378=-1,H378,0))</f>
      </c>
      <c r="N378">
        <f>IF($E378="SGD",1,IF($E378="USD",Settings!$B$22,IF($E378="HKD",Settings!$B$23,1)))</f>
      </c>
      <c r="O378">
        <f>IF($J378="",0,($M378-$L378+IF($A378=2,$H378,0))*$N378)</f>
      </c>
      <c r="P378">
        <f>IF($J378="",0,IF($A378=2,$H378*$N378,0))</f>
      </c>
    </row>
    <row r="379" spans="1:16" ht="15" customHeight="1" x14ac:dyDescent="0.15">
      <c r="A379" s="242"/>
      <c r="B379" s="242"/>
      <c r="C379" s="242"/>
      <c r="D379" s="256"/>
      <c r="E379" s="242"/>
      <c r="F379" s="257"/>
      <c r="G379" s="242"/>
      <c r="H379" s="257"/>
      <c r="I379" s="242"/>
      <c r="J379" s="249">
        <f>IF(OR(B379="",C379="",E379=""),"",B379&amp;":"&amp;C379&amp;":"&amp;E379)</f>
      </c>
      <c r="K379" s="250">
        <f>IF(A379="","",A379*D379)</f>
      </c>
      <c r="L379" s="249">
        <f>IF(A379="","",IF(OR(A379=1,A379=0),H379,0))</f>
      </c>
      <c r="M379" s="249">
        <f>IF(A379="","",IF(A379=-1,H379,0))</f>
      </c>
      <c r="N379">
        <f>IF($E379="SGD",1,IF($E379="USD",Settings!$B$22,IF($E379="HKD",Settings!$B$23,1)))</f>
      </c>
      <c r="O379">
        <f>IF($J379="",0,($M379-$L379+IF($A379=2,$H379,0))*$N379)</f>
      </c>
      <c r="P379">
        <f>IF($J379="",0,IF($A379=2,$H379*$N379,0))</f>
      </c>
    </row>
    <row r="380" spans="1:16" ht="15" customHeight="1" x14ac:dyDescent="0.15">
      <c r="A380" s="242"/>
      <c r="B380" s="242"/>
      <c r="C380" s="242"/>
      <c r="D380" s="256"/>
      <c r="E380" s="242"/>
      <c r="F380" s="257"/>
      <c r="G380" s="242"/>
      <c r="H380" s="257"/>
      <c r="I380" s="242"/>
      <c r="J380" s="249">
        <f>IF(OR(B380="",C380="",E380=""),"",B380&amp;":"&amp;C380&amp;":"&amp;E380)</f>
      </c>
      <c r="K380" s="250">
        <f>IF(A380="","",A380*D380)</f>
      </c>
      <c r="L380" s="249">
        <f>IF(A380="","",IF(OR(A380=1,A380=0),H380,0))</f>
      </c>
      <c r="M380" s="249">
        <f>IF(A380="","",IF(A380=-1,H380,0))</f>
      </c>
      <c r="N380">
        <f>IF($E380="SGD",1,IF($E380="USD",Settings!$B$22,IF($E380="HKD",Settings!$B$23,1)))</f>
      </c>
      <c r="O380">
        <f>IF($J380="",0,($M380-$L380+IF($A380=2,$H380,0))*$N380)</f>
      </c>
      <c r="P380">
        <f>IF($J380="",0,IF($A380=2,$H380*$N380,0))</f>
      </c>
    </row>
    <row r="381" spans="1:16" ht="15" customHeight="1" x14ac:dyDescent="0.15">
      <c r="A381" s="242"/>
      <c r="B381" s="242"/>
      <c r="C381" s="242"/>
      <c r="D381" s="256"/>
      <c r="E381" s="242"/>
      <c r="F381" s="257"/>
      <c r="G381" s="242"/>
      <c r="H381" s="257"/>
      <c r="I381" s="242"/>
      <c r="J381" s="249">
        <f>IF(OR(B381="",C381="",E381=""),"",B381&amp;":"&amp;C381&amp;":"&amp;E381)</f>
      </c>
      <c r="K381" s="250">
        <f>IF(A381="","",A381*D381)</f>
      </c>
      <c r="L381" s="249">
        <f>IF(A381="","",IF(OR(A381=1,A381=0),H381,0))</f>
      </c>
      <c r="M381" s="249">
        <f>IF(A381="","",IF(A381=-1,H381,0))</f>
      </c>
      <c r="N381">
        <f>IF($E381="SGD",1,IF($E381="USD",Settings!$B$22,IF($E381="HKD",Settings!$B$23,1)))</f>
      </c>
      <c r="O381">
        <f>IF($J381="",0,($M381-$L381+IF($A381=2,$H381,0))*$N381)</f>
      </c>
      <c r="P381">
        <f>IF($J381="",0,IF($A381=2,$H381*$N381,0))</f>
      </c>
    </row>
    <row r="382" spans="1:16" ht="15" customHeight="1" x14ac:dyDescent="0.15">
      <c r="A382" s="242"/>
      <c r="B382" s="242"/>
      <c r="C382" s="242"/>
      <c r="D382" s="256"/>
      <c r="E382" s="242"/>
      <c r="F382" s="257"/>
      <c r="G382" s="242"/>
      <c r="H382" s="257"/>
      <c r="I382" s="242"/>
      <c r="J382" s="249">
        <f>IF(OR(B382="",C382="",E382=""),"",B382&amp;":"&amp;C382&amp;":"&amp;E382)</f>
      </c>
      <c r="K382" s="250">
        <f>IF(A382="","",A382*D382)</f>
      </c>
      <c r="L382" s="249">
        <f>IF(A382="","",IF(OR(A382=1,A382=0),H382,0))</f>
      </c>
      <c r="M382" s="249">
        <f>IF(A382="","",IF(A382=-1,H382,0))</f>
      </c>
      <c r="N382">
        <f>IF($E382="SGD",1,IF($E382="USD",Settings!$B$22,IF($E382="HKD",Settings!$B$23,1)))</f>
      </c>
      <c r="O382">
        <f>IF($J382="",0,($M382-$L382+IF($A382=2,$H382,0))*$N382)</f>
      </c>
      <c r="P382">
        <f>IF($J382="",0,IF($A382=2,$H382*$N382,0))</f>
      </c>
    </row>
    <row r="383" spans="1:16" ht="15" customHeight="1" x14ac:dyDescent="0.15">
      <c r="A383" s="242"/>
      <c r="B383" s="242"/>
      <c r="C383" s="242"/>
      <c r="D383" s="256"/>
      <c r="E383" s="242"/>
      <c r="F383" s="257"/>
      <c r="G383" s="242"/>
      <c r="H383" s="257"/>
      <c r="I383" s="242"/>
      <c r="J383" s="249">
        <f>IF(OR(B383="",C383="",E383=""),"",B383&amp;":"&amp;C383&amp;":"&amp;E383)</f>
      </c>
      <c r="K383" s="250">
        <f>IF(A383="","",A383*D383)</f>
      </c>
      <c r="L383" s="249">
        <f>IF(A383="","",IF(OR(A383=1,A383=0),H383,0))</f>
      </c>
      <c r="M383" s="249">
        <f>IF(A383="","",IF(A383=-1,H383,0))</f>
      </c>
      <c r="N383">
        <f>IF($E383="SGD",1,IF($E383="USD",Settings!$B$22,IF($E383="HKD",Settings!$B$23,1)))</f>
      </c>
      <c r="O383">
        <f>IF($J383="",0,($M383-$L383+IF($A383=2,$H383,0))*$N383)</f>
      </c>
      <c r="P383">
        <f>IF($J383="",0,IF($A383=2,$H383*$N383,0))</f>
      </c>
    </row>
    <row r="384" spans="1:16" ht="15" customHeight="1" x14ac:dyDescent="0.15">
      <c r="A384" s="242"/>
      <c r="B384" s="242"/>
      <c r="C384" s="242"/>
      <c r="D384" s="256"/>
      <c r="E384" s="242"/>
      <c r="F384" s="257"/>
      <c r="G384" s="242"/>
      <c r="H384" s="257"/>
      <c r="I384" s="242"/>
      <c r="J384" s="249">
        <f>IF(OR(B384="",C384="",E384=""),"",B384&amp;":"&amp;C384&amp;":"&amp;E384)</f>
      </c>
      <c r="K384" s="250">
        <f>IF(A384="","",A384*D384)</f>
      </c>
      <c r="L384" s="249">
        <f>IF(A384="","",IF(OR(A384=1,A384=0),H384,0))</f>
      </c>
      <c r="M384" s="249">
        <f>IF(A384="","",IF(A384=-1,H384,0))</f>
      </c>
      <c r="N384">
        <f>IF($E384="SGD",1,IF($E384="USD",Settings!$B$22,IF($E384="HKD",Settings!$B$23,1)))</f>
      </c>
      <c r="O384">
        <f>IF($J384="",0,($M384-$L384+IF($A384=2,$H384,0))*$N384)</f>
      </c>
      <c r="P384">
        <f>IF($J384="",0,IF($A384=2,$H384*$N384,0))</f>
      </c>
    </row>
    <row r="385" spans="1:16" ht="15" customHeight="1" x14ac:dyDescent="0.15">
      <c r="A385" s="242"/>
      <c r="B385" s="242"/>
      <c r="C385" s="242"/>
      <c r="D385" s="256"/>
      <c r="E385" s="242"/>
      <c r="F385" s="257"/>
      <c r="G385" s="242"/>
      <c r="H385" s="257"/>
      <c r="I385" s="242"/>
      <c r="J385" s="249">
        <f>IF(OR(B385="",C385="",E385=""),"",B385&amp;":"&amp;C385&amp;":"&amp;E385)</f>
      </c>
      <c r="K385" s="250">
        <f>IF(A385="","",A385*D385)</f>
      </c>
      <c r="L385" s="249">
        <f>IF(A385="","",IF(OR(A385=1,A385=0),H385,0))</f>
      </c>
      <c r="M385" s="249">
        <f>IF(A385="","",IF(A385=-1,H385,0))</f>
      </c>
      <c r="N385">
        <f>IF($E385="SGD",1,IF($E385="USD",Settings!$B$22,IF($E385="HKD",Settings!$B$23,1)))</f>
      </c>
      <c r="O385">
        <f>IF($J385="",0,($M385-$L385+IF($A385=2,$H385,0))*$N385)</f>
      </c>
      <c r="P385">
        <f>IF($J385="",0,IF($A385=2,$H385*$N385,0))</f>
      </c>
    </row>
    <row r="386" spans="1:16" ht="15" customHeight="1" x14ac:dyDescent="0.15">
      <c r="A386" s="242"/>
      <c r="B386" s="242"/>
      <c r="C386" s="242"/>
      <c r="D386" s="256"/>
      <c r="E386" s="242"/>
      <c r="F386" s="257"/>
      <c r="G386" s="242"/>
      <c r="H386" s="257"/>
      <c r="I386" s="242"/>
      <c r="J386" s="249">
        <f>IF(OR(B386="",C386="",E386=""),"",B386&amp;":"&amp;C386&amp;":"&amp;E386)</f>
      </c>
      <c r="K386" s="250">
        <f>IF(A386="","",A386*D386)</f>
      </c>
      <c r="L386" s="249">
        <f>IF(A386="","",IF(OR(A386=1,A386=0),H386,0))</f>
      </c>
      <c r="M386" s="249">
        <f>IF(A386="","",IF(A386=-1,H386,0))</f>
      </c>
      <c r="N386">
        <f>IF($E386="SGD",1,IF($E386="USD",Settings!$B$22,IF($E386="HKD",Settings!$B$23,1)))</f>
      </c>
      <c r="O386">
        <f>IF($J386="",0,($M386-$L386+IF($A386=2,$H386,0))*$N386)</f>
      </c>
      <c r="P386">
        <f>IF($J386="",0,IF($A386=2,$H386*$N386,0))</f>
      </c>
    </row>
    <row r="387" spans="1:16" ht="15" customHeight="1" x14ac:dyDescent="0.15">
      <c r="A387" s="242"/>
      <c r="B387" s="242"/>
      <c r="C387" s="242"/>
      <c r="D387" s="256"/>
      <c r="E387" s="242"/>
      <c r="F387" s="257"/>
      <c r="G387" s="242"/>
      <c r="H387" s="257"/>
      <c r="I387" s="242"/>
      <c r="J387" s="249">
        <f>IF(OR(B387="",C387="",E387=""),"",B387&amp;":"&amp;C387&amp;":"&amp;E387)</f>
      </c>
      <c r="K387" s="250">
        <f>IF(A387="","",A387*D387)</f>
      </c>
      <c r="L387" s="249">
        <f>IF(A387="","",IF(OR(A387=1,A387=0),H387,0))</f>
      </c>
      <c r="M387" s="249">
        <f>IF(A387="","",IF(A387=-1,H387,0))</f>
      </c>
      <c r="N387">
        <f>IF($E387="SGD",1,IF($E387="USD",Settings!$B$22,IF($E387="HKD",Settings!$B$23,1)))</f>
      </c>
      <c r="O387">
        <f>IF($J387="",0,($M387-$L387+IF($A387=2,$H387,0))*$N387)</f>
      </c>
      <c r="P387">
        <f>IF($J387="",0,IF($A387=2,$H387*$N387,0))</f>
      </c>
    </row>
    <row r="388" spans="1:16" ht="15" customHeight="1" x14ac:dyDescent="0.15">
      <c r="A388" s="242"/>
      <c r="B388" s="242"/>
      <c r="C388" s="242"/>
      <c r="D388" s="256"/>
      <c r="E388" s="242"/>
      <c r="F388" s="257"/>
      <c r="G388" s="242"/>
      <c r="H388" s="257"/>
      <c r="I388" s="242"/>
      <c r="J388" s="249">
        <f>IF(OR(B388="",C388="",E388=""),"",B388&amp;":"&amp;C388&amp;":"&amp;E388)</f>
      </c>
      <c r="K388" s="250">
        <f>IF(A388="","",A388*D388)</f>
      </c>
      <c r="L388" s="249">
        <f>IF(A388="","",IF(OR(A388=1,A388=0),H388,0))</f>
      </c>
      <c r="M388" s="249">
        <f>IF(A388="","",IF(A388=-1,H388,0))</f>
      </c>
      <c r="N388">
        <f>IF($E388="SGD",1,IF($E388="USD",Settings!$B$22,IF($E388="HKD",Settings!$B$23,1)))</f>
      </c>
      <c r="O388">
        <f>IF($J388="",0,($M388-$L388+IF($A388=2,$H388,0))*$N388)</f>
      </c>
      <c r="P388">
        <f>IF($J388="",0,IF($A388=2,$H388*$N388,0))</f>
      </c>
    </row>
    <row r="389" spans="1:16" ht="15" customHeight="1" x14ac:dyDescent="0.15">
      <c r="A389" s="242"/>
      <c r="B389" s="242"/>
      <c r="C389" s="242"/>
      <c r="D389" s="256"/>
      <c r="E389" s="242"/>
      <c r="F389" s="257"/>
      <c r="G389" s="242"/>
      <c r="H389" s="257"/>
      <c r="I389" s="242"/>
      <c r="J389" s="249">
        <f>IF(OR(B389="",C389="",E389=""),"",B389&amp;":"&amp;C389&amp;":"&amp;E389)</f>
      </c>
      <c r="K389" s="250">
        <f>IF(A389="","",A389*D389)</f>
      </c>
      <c r="L389" s="249">
        <f>IF(A389="","",IF(OR(A389=1,A389=0),H389,0))</f>
      </c>
      <c r="M389" s="249">
        <f>IF(A389="","",IF(A389=-1,H389,0))</f>
      </c>
      <c r="N389">
        <f>IF($E389="SGD",1,IF($E389="USD",Settings!$B$22,IF($E389="HKD",Settings!$B$23,1)))</f>
      </c>
      <c r="O389">
        <f>IF($J389="",0,($M389-$L389+IF($A389=2,$H389,0))*$N389)</f>
      </c>
      <c r="P389">
        <f>IF($J389="",0,IF($A389=2,$H389*$N389,0))</f>
      </c>
    </row>
    <row r="390" spans="1:16" ht="15" customHeight="1" x14ac:dyDescent="0.15">
      <c r="A390" s="242"/>
      <c r="B390" s="242"/>
      <c r="C390" s="242"/>
      <c r="D390" s="256"/>
      <c r="E390" s="242"/>
      <c r="F390" s="257"/>
      <c r="G390" s="242"/>
      <c r="H390" s="257"/>
      <c r="I390" s="242"/>
      <c r="J390" s="249">
        <f>IF(OR(B390="",C390="",E390=""),"",B390&amp;":"&amp;C390&amp;":"&amp;E390)</f>
      </c>
      <c r="K390" s="250">
        <f>IF(A390="","",A390*D390)</f>
      </c>
      <c r="L390" s="249">
        <f>IF(A390="","",IF(OR(A390=1,A390=0),H390,0))</f>
      </c>
      <c r="M390" s="249">
        <f>IF(A390="","",IF(A390=-1,H390,0))</f>
      </c>
      <c r="N390">
        <f>IF($E390="SGD",1,IF($E390="USD",Settings!$B$22,IF($E390="HKD",Settings!$B$23,1)))</f>
      </c>
      <c r="O390">
        <f>IF($J390="",0,($M390-$L390+IF($A390=2,$H390,0))*$N390)</f>
      </c>
      <c r="P390">
        <f>IF($J390="",0,IF($A390=2,$H390*$N390,0))</f>
      </c>
    </row>
    <row r="391" spans="1:16" ht="15" customHeight="1" x14ac:dyDescent="0.15">
      <c r="A391" s="242"/>
      <c r="B391" s="242"/>
      <c r="C391" s="242"/>
      <c r="D391" s="256"/>
      <c r="E391" s="242"/>
      <c r="F391" s="257"/>
      <c r="G391" s="242"/>
      <c r="H391" s="257"/>
      <c r="I391" s="242"/>
      <c r="J391" s="249">
        <f>IF(OR(B391="",C391="",E391=""),"",B391&amp;":"&amp;C391&amp;":"&amp;E391)</f>
      </c>
      <c r="K391" s="250">
        <f>IF(A391="","",A391*D391)</f>
      </c>
      <c r="L391" s="249">
        <f>IF(A391="","",IF(OR(A391=1,A391=0),H391,0))</f>
      </c>
      <c r="M391" s="249">
        <f>IF(A391="","",IF(A391=-1,H391,0))</f>
      </c>
      <c r="N391">
        <f>IF($E391="SGD",1,IF($E391="USD",Settings!$B$22,IF($E391="HKD",Settings!$B$23,1)))</f>
      </c>
      <c r="O391">
        <f>IF($J391="",0,($M391-$L391+IF($A391=2,$H391,0))*$N391)</f>
      </c>
      <c r="P391">
        <f>IF($J391="",0,IF($A391=2,$H391*$N391,0))</f>
      </c>
    </row>
    <row r="392" spans="1:16" ht="15" customHeight="1" x14ac:dyDescent="0.15">
      <c r="A392" s="242"/>
      <c r="B392" s="242"/>
      <c r="C392" s="242"/>
      <c r="D392" s="256"/>
      <c r="E392" s="242"/>
      <c r="F392" s="257"/>
      <c r="G392" s="242"/>
      <c r="H392" s="257"/>
      <c r="I392" s="242"/>
      <c r="J392" s="249">
        <f>IF(OR(B392="",C392="",E392=""),"",B392&amp;":"&amp;C392&amp;":"&amp;E392)</f>
      </c>
      <c r="K392" s="250">
        <f>IF(A392="","",A392*D392)</f>
      </c>
      <c r="L392" s="249">
        <f>IF(A392="","",IF(OR(A392=1,A392=0),H392,0))</f>
      </c>
      <c r="M392" s="249">
        <f>IF(A392="","",IF(A392=-1,H392,0))</f>
      </c>
      <c r="N392">
        <f>IF($E392="SGD",1,IF($E392="USD",Settings!$B$22,IF($E392="HKD",Settings!$B$23,1)))</f>
      </c>
      <c r="O392">
        <f>IF($J392="",0,($M392-$L392+IF($A392=2,$H392,0))*$N392)</f>
      </c>
      <c r="P392">
        <f>IF($J392="",0,IF($A392=2,$H392*$N392,0))</f>
      </c>
    </row>
    <row r="393" spans="1:16" ht="15" customHeight="1" x14ac:dyDescent="0.15">
      <c r="A393" s="242"/>
      <c r="B393" s="242"/>
      <c r="C393" s="242"/>
      <c r="D393" s="256"/>
      <c r="E393" s="242"/>
      <c r="F393" s="257"/>
      <c r="G393" s="242"/>
      <c r="H393" s="257"/>
      <c r="I393" s="242"/>
      <c r="J393" s="249">
        <f>IF(OR(B393="",C393="",E393=""),"",B393&amp;":"&amp;C393&amp;":"&amp;E393)</f>
      </c>
      <c r="K393" s="250">
        <f>IF(A393="","",A393*D393)</f>
      </c>
      <c r="L393" s="249">
        <f>IF(A393="","",IF(OR(A393=1,A393=0),H393,0))</f>
      </c>
      <c r="M393" s="249">
        <f>IF(A393="","",IF(A393=-1,H393,0))</f>
      </c>
      <c r="N393">
        <f>IF($E393="SGD",1,IF($E393="USD",Settings!$B$22,IF($E393="HKD",Settings!$B$23,1)))</f>
      </c>
      <c r="O393">
        <f>IF($J393="",0,($M393-$L393+IF($A393=2,$H393,0))*$N393)</f>
      </c>
      <c r="P393">
        <f>IF($J393="",0,IF($A393=2,$H393*$N393,0))</f>
      </c>
    </row>
    <row r="394" spans="1:16" ht="15" customHeight="1" x14ac:dyDescent="0.15">
      <c r="A394" s="242"/>
      <c r="B394" s="242"/>
      <c r="C394" s="242"/>
      <c r="D394" s="256"/>
      <c r="E394" s="242"/>
      <c r="F394" s="257"/>
      <c r="G394" s="242"/>
      <c r="H394" s="257"/>
      <c r="I394" s="242"/>
      <c r="J394" s="249">
        <f>IF(OR(B394="",C394="",E394=""),"",B394&amp;":"&amp;C394&amp;":"&amp;E394)</f>
      </c>
      <c r="K394" s="250">
        <f>IF(A394="","",A394*D394)</f>
      </c>
      <c r="L394" s="249">
        <f>IF(A394="","",IF(OR(A394=1,A394=0),H394,0))</f>
      </c>
      <c r="M394" s="249">
        <f>IF(A394="","",IF(A394=-1,H394,0))</f>
      </c>
      <c r="N394">
        <f>IF($E394="SGD",1,IF($E394="USD",Settings!$B$22,IF($E394="HKD",Settings!$B$23,1)))</f>
      </c>
      <c r="O394">
        <f>IF($J394="",0,($M394-$L394+IF($A394=2,$H394,0))*$N394)</f>
      </c>
      <c r="P394">
        <f>IF($J394="",0,IF($A394=2,$H394*$N394,0))</f>
      </c>
    </row>
    <row r="395" spans="1:16" ht="15" customHeight="1" x14ac:dyDescent="0.15">
      <c r="A395" s="242"/>
      <c r="B395" s="242"/>
      <c r="C395" s="242"/>
      <c r="D395" s="256"/>
      <c r="E395" s="242"/>
      <c r="F395" s="257"/>
      <c r="G395" s="242"/>
      <c r="H395" s="257"/>
      <c r="I395" s="242"/>
      <c r="J395" s="249">
        <f>IF(OR(B395="",C395="",E395=""),"",B395&amp;":"&amp;C395&amp;":"&amp;E395)</f>
      </c>
      <c r="K395" s="250">
        <f>IF(A395="","",A395*D395)</f>
      </c>
      <c r="L395" s="249">
        <f>IF(A395="","",IF(OR(A395=1,A395=0),H395,0))</f>
      </c>
      <c r="M395" s="249">
        <f>IF(A395="","",IF(A395=-1,H395,0))</f>
      </c>
      <c r="N395">
        <f>IF($E395="SGD",1,IF($E395="USD",Settings!$B$22,IF($E395="HKD",Settings!$B$23,1)))</f>
      </c>
      <c r="O395">
        <f>IF($J395="",0,($M395-$L395+IF($A395=2,$H395,0))*$N395)</f>
      </c>
      <c r="P395">
        <f>IF($J395="",0,IF($A395=2,$H395*$N395,0))</f>
      </c>
    </row>
    <row r="396" spans="1:16" ht="15" customHeight="1" x14ac:dyDescent="0.15">
      <c r="A396" s="242"/>
      <c r="B396" s="242"/>
      <c r="C396" s="242"/>
      <c r="D396" s="256"/>
      <c r="E396" s="242"/>
      <c r="F396" s="257"/>
      <c r="G396" s="242"/>
      <c r="H396" s="257"/>
      <c r="I396" s="242"/>
      <c r="J396" s="249">
        <f>IF(OR(B396="",C396="",E396=""),"",B396&amp;":"&amp;C396&amp;":"&amp;E396)</f>
      </c>
      <c r="K396" s="250">
        <f>IF(A396="","",A396*D396)</f>
      </c>
      <c r="L396" s="249">
        <f>IF(A396="","",IF(OR(A396=1,A396=0),H396,0))</f>
      </c>
      <c r="M396" s="249">
        <f>IF(A396="","",IF(A396=-1,H396,0))</f>
      </c>
      <c r="N396">
        <f>IF($E396="SGD",1,IF($E396="USD",Settings!$B$22,IF($E396="HKD",Settings!$B$23,1)))</f>
      </c>
      <c r="O396">
        <f>IF($J396="",0,($M396-$L396+IF($A396=2,$H396,0))*$N396)</f>
      </c>
      <c r="P396">
        <f>IF($J396="",0,IF($A396=2,$H396*$N396,0))</f>
      </c>
    </row>
    <row r="397" spans="1:16" ht="15" customHeight="1" x14ac:dyDescent="0.15">
      <c r="A397" s="242"/>
      <c r="B397" s="242"/>
      <c r="C397" s="242"/>
      <c r="D397" s="256"/>
      <c r="E397" s="242"/>
      <c r="F397" s="257"/>
      <c r="G397" s="242"/>
      <c r="H397" s="257"/>
      <c r="I397" s="242"/>
      <c r="J397" s="249">
        <f>IF(OR(B397="",C397="",E397=""),"",B397&amp;":"&amp;C397&amp;":"&amp;E397)</f>
      </c>
      <c r="K397" s="250">
        <f>IF(A397="","",A397*D397)</f>
      </c>
      <c r="L397" s="249">
        <f>IF(A397="","",IF(OR(A397=1,A397=0),H397,0))</f>
      </c>
      <c r="M397" s="249">
        <f>IF(A397="","",IF(A397=-1,H397,0))</f>
      </c>
      <c r="N397">
        <f>IF($E397="SGD",1,IF($E397="USD",Settings!$B$22,IF($E397="HKD",Settings!$B$23,1)))</f>
      </c>
      <c r="O397">
        <f>IF($J397="",0,($M397-$L397+IF($A397=2,$H397,0))*$N397)</f>
      </c>
      <c r="P397">
        <f>IF($J397="",0,IF($A397=2,$H397*$N397,0))</f>
      </c>
    </row>
    <row r="398" spans="1:16" ht="15" customHeight="1" x14ac:dyDescent="0.15">
      <c r="A398" s="242"/>
      <c r="B398" s="242"/>
      <c r="C398" s="242"/>
      <c r="D398" s="256"/>
      <c r="E398" s="242"/>
      <c r="F398" s="257"/>
      <c r="G398" s="242"/>
      <c r="H398" s="257"/>
      <c r="I398" s="242"/>
      <c r="J398" s="249">
        <f>IF(OR(B398="",C398="",E398=""),"",B398&amp;":"&amp;C398&amp;":"&amp;E398)</f>
      </c>
      <c r="K398" s="250">
        <f>IF(A398="","",A398*D398)</f>
      </c>
      <c r="L398" s="249">
        <f>IF(A398="","",IF(OR(A398=1,A398=0),H398,0))</f>
      </c>
      <c r="M398" s="249">
        <f>IF(A398="","",IF(A398=-1,H398,0))</f>
      </c>
      <c r="N398">
        <f>IF($E398="SGD",1,IF($E398="USD",Settings!$B$22,IF($E398="HKD",Settings!$B$23,1)))</f>
      </c>
      <c r="O398">
        <f>IF($J398="",0,($M398-$L398+IF($A398=2,$H398,0))*$N398)</f>
      </c>
      <c r="P398">
        <f>IF($J398="",0,IF($A398=2,$H398*$N398,0))</f>
      </c>
    </row>
    <row r="399" spans="1:16" ht="15" customHeight="1" x14ac:dyDescent="0.15">
      <c r="A399" s="242"/>
      <c r="B399" s="242"/>
      <c r="C399" s="242"/>
      <c r="D399" s="256"/>
      <c r="E399" s="242"/>
      <c r="F399" s="257"/>
      <c r="G399" s="242"/>
      <c r="H399" s="257"/>
      <c r="I399" s="242"/>
      <c r="J399" s="249">
        <f>IF(OR(B399="",C399="",E399=""),"",B399&amp;":"&amp;C399&amp;":"&amp;E399)</f>
      </c>
      <c r="K399" s="250">
        <f>IF(A399="","",A399*D399)</f>
      </c>
      <c r="L399" s="249">
        <f>IF(A399="","",IF(OR(A399=1,A399=0),H399,0))</f>
      </c>
      <c r="M399" s="249">
        <f>IF(A399="","",IF(A399=-1,H399,0))</f>
      </c>
      <c r="N399">
        <f>IF($E399="SGD",1,IF($E399="USD",Settings!$B$22,IF($E399="HKD",Settings!$B$23,1)))</f>
      </c>
      <c r="O399">
        <f>IF($J399="",0,($M399-$L399+IF($A399=2,$H399,0))*$N399)</f>
      </c>
      <c r="P399">
        <f>IF($J399="",0,IF($A399=2,$H399*$N399,0))</f>
      </c>
    </row>
    <row r="400" spans="1:16" ht="15" customHeight="1" x14ac:dyDescent="0.15">
      <c r="A400" s="242"/>
      <c r="B400" s="242"/>
      <c r="C400" s="242"/>
      <c r="D400" s="256"/>
      <c r="E400" s="242"/>
      <c r="F400" s="257"/>
      <c r="G400" s="242"/>
      <c r="H400" s="257"/>
      <c r="I400" s="242"/>
      <c r="J400" s="249">
        <f>IF(OR(B400="",C400="",E400=""),"",B400&amp;":"&amp;C400&amp;":"&amp;E400)</f>
      </c>
      <c r="K400" s="250">
        <f>IF(A400="","",A400*D400)</f>
      </c>
      <c r="L400" s="249">
        <f>IF(A400="","",IF(OR(A400=1,A400=0),H400,0))</f>
      </c>
      <c r="M400" s="249">
        <f>IF(A400="","",IF(A400=-1,H400,0))</f>
      </c>
      <c r="N400">
        <f>IF($E400="SGD",1,IF($E400="USD",Settings!$B$22,IF($E400="HKD",Settings!$B$23,1)))</f>
      </c>
      <c r="O400">
        <f>IF($J400="",0,($M400-$L400+IF($A400=2,$H400,0))*$N400)</f>
      </c>
      <c r="P400">
        <f>IF($J400="",0,IF($A400=2,$H400*$N400,0))</f>
      </c>
    </row>
    <row r="401" spans="1:16" ht="15" customHeight="1" x14ac:dyDescent="0.15">
      <c r="A401" s="242"/>
      <c r="B401" s="242"/>
      <c r="C401" s="242"/>
      <c r="D401" s="256"/>
      <c r="E401" s="242"/>
      <c r="F401" s="257"/>
      <c r="G401" s="242"/>
      <c r="H401" s="257"/>
      <c r="I401" s="242"/>
      <c r="J401" s="249">
        <f>IF(OR(B401="",C401="",E401=""),"",B401&amp;":"&amp;C401&amp;":"&amp;E401)</f>
      </c>
      <c r="K401" s="250">
        <f>IF(A401="","",A401*D401)</f>
      </c>
      <c r="L401" s="249">
        <f>IF(A401="","",IF(OR(A401=1,A401=0),H401,0))</f>
      </c>
      <c r="M401" s="249">
        <f>IF(A401="","",IF(A401=-1,H401,0))</f>
      </c>
      <c r="N401">
        <f>IF($E401="SGD",1,IF($E401="USD",Settings!$B$22,IF($E401="HKD",Settings!$B$23,1)))</f>
      </c>
      <c r="O401">
        <f>IF($J401="",0,($M401-$L401+IF($A401=2,$H401,0))*$N401)</f>
      </c>
      <c r="P401">
        <f>IF($J401="",0,IF($A401=2,$H401*$N401,0))</f>
      </c>
    </row>
    <row r="402" spans="1:16" ht="15" customHeight="1" x14ac:dyDescent="0.15">
      <c r="A402" s="242"/>
      <c r="B402" s="242"/>
      <c r="C402" s="242"/>
      <c r="D402" s="256"/>
      <c r="E402" s="242"/>
      <c r="F402" s="257"/>
      <c r="G402" s="242"/>
      <c r="H402" s="257"/>
      <c r="I402" s="242"/>
      <c r="J402" s="249">
        <f>IF(OR(B402="",C402="",E402=""),"",B402&amp;":"&amp;C402&amp;":"&amp;E402)</f>
      </c>
      <c r="K402" s="250">
        <f>IF(A402="","",A402*D402)</f>
      </c>
      <c r="L402" s="249">
        <f>IF(A402="","",IF(OR(A402=1,A402=0),H402,0))</f>
      </c>
      <c r="M402" s="249">
        <f>IF(A402="","",IF(A402=-1,H402,0))</f>
      </c>
      <c r="N402">
        <f>IF($E402="SGD",1,IF($E402="USD",Settings!$B$22,IF($E402="HKD",Settings!$B$23,1)))</f>
      </c>
      <c r="O402">
        <f>IF($J402="",0,($M402-$L402+IF($A402=2,$H402,0))*$N402)</f>
      </c>
      <c r="P402">
        <f>IF($J402="",0,IF($A402=2,$H402*$N402,0))</f>
      </c>
    </row>
    <row r="403" spans="1:16" ht="15" customHeight="1" x14ac:dyDescent="0.15">
      <c r="A403" s="242"/>
      <c r="B403" s="242"/>
      <c r="C403" s="242"/>
      <c r="D403" s="256"/>
      <c r="E403" s="242"/>
      <c r="F403" s="257"/>
      <c r="G403" s="242"/>
      <c r="H403" s="257"/>
      <c r="I403" s="242"/>
      <c r="J403" s="249">
        <f>IF(OR(B403="",C403="",E403=""),"",B403&amp;":"&amp;C403&amp;":"&amp;E403)</f>
      </c>
      <c r="K403" s="250">
        <f>IF(A403="","",A403*D403)</f>
      </c>
      <c r="L403" s="249">
        <f>IF(A403="","",IF(OR(A403=1,A403=0),H403,0))</f>
      </c>
      <c r="M403" s="249">
        <f>IF(A403="","",IF(A403=-1,H403,0))</f>
      </c>
      <c r="N403">
        <f>IF($E403="SGD",1,IF($E403="USD",Settings!$B$22,IF($E403="HKD",Settings!$B$23,1)))</f>
      </c>
      <c r="O403">
        <f>IF($J403="",0,($M403-$L403+IF($A403=2,$H403,0))*$N403)</f>
      </c>
      <c r="P403">
        <f>IF($J403="",0,IF($A403=2,$H403*$N403,0))</f>
      </c>
    </row>
    <row r="404" spans="1:16" ht="15" customHeight="1" x14ac:dyDescent="0.15">
      <c r="A404" s="242"/>
      <c r="B404" s="242"/>
      <c r="C404" s="242"/>
      <c r="D404" s="256"/>
      <c r="E404" s="242"/>
      <c r="F404" s="257"/>
      <c r="G404" s="242"/>
      <c r="H404" s="257"/>
      <c r="I404" s="242"/>
      <c r="J404" s="249">
        <f>IF(OR(B404="",C404="",E404=""),"",B404&amp;":"&amp;C404&amp;":"&amp;E404)</f>
      </c>
      <c r="K404" s="250">
        <f>IF(A404="","",A404*D404)</f>
      </c>
      <c r="L404" s="249">
        <f>IF(A404="","",IF(OR(A404=1,A404=0),H404,0))</f>
      </c>
      <c r="M404" s="249">
        <f>IF(A404="","",IF(A404=-1,H404,0))</f>
      </c>
      <c r="N404">
        <f>IF($E404="SGD",1,IF($E404="USD",Settings!$B$22,IF($E404="HKD",Settings!$B$23,1)))</f>
      </c>
      <c r="O404">
        <f>IF($J404="",0,($M404-$L404+IF($A404=2,$H404,0))*$N404)</f>
      </c>
      <c r="P404">
        <f>IF($J404="",0,IF($A404=2,$H404*$N404,0))</f>
      </c>
    </row>
    <row r="405" spans="1:16" ht="15" customHeight="1" x14ac:dyDescent="0.15">
      <c r="A405" s="242"/>
      <c r="B405" s="242"/>
      <c r="C405" s="242"/>
      <c r="D405" s="256"/>
      <c r="E405" s="242"/>
      <c r="F405" s="257"/>
      <c r="G405" s="242"/>
      <c r="H405" s="257"/>
      <c r="I405" s="242"/>
      <c r="J405" s="249">
        <f>IF(OR(B405="",C405="",E405=""),"",B405&amp;":"&amp;C405&amp;":"&amp;E405)</f>
      </c>
      <c r="K405" s="250">
        <f>IF(A405="","",A405*D405)</f>
      </c>
      <c r="L405" s="249">
        <f>IF(A405="","",IF(OR(A405=1,A405=0),H405,0))</f>
      </c>
      <c r="M405" s="249">
        <f>IF(A405="","",IF(A405=-1,H405,0))</f>
      </c>
      <c r="N405">
        <f>IF($E405="SGD",1,IF($E405="USD",Settings!$B$22,IF($E405="HKD",Settings!$B$23,1)))</f>
      </c>
      <c r="O405">
        <f>IF($J405="",0,($M405-$L405+IF($A405=2,$H405,0))*$N405)</f>
      </c>
      <c r="P405">
        <f>IF($J405="",0,IF($A405=2,$H405*$N405,0))</f>
      </c>
    </row>
    <row r="406" spans="1:16" ht="15" customHeight="1" x14ac:dyDescent="0.15">
      <c r="A406" s="242"/>
      <c r="B406" s="242"/>
      <c r="C406" s="242"/>
      <c r="D406" s="256"/>
      <c r="E406" s="242"/>
      <c r="F406" s="257"/>
      <c r="G406" s="242"/>
      <c r="H406" s="257"/>
      <c r="I406" s="242"/>
      <c r="J406" s="249">
        <f>IF(OR(B406="",C406="",E406=""),"",B406&amp;":"&amp;C406&amp;":"&amp;E406)</f>
      </c>
      <c r="K406" s="250">
        <f>IF(A406="","",A406*D406)</f>
      </c>
      <c r="L406" s="249">
        <f>IF(A406="","",IF(OR(A406=1,A406=0),H406,0))</f>
      </c>
      <c r="M406" s="249">
        <f>IF(A406="","",IF(A406=-1,H406,0))</f>
      </c>
      <c r="N406">
        <f>IF($E406="SGD",1,IF($E406="USD",Settings!$B$22,IF($E406="HKD",Settings!$B$23,1)))</f>
      </c>
      <c r="O406">
        <f>IF($J406="",0,($M406-$L406+IF($A406=2,$H406,0))*$N406)</f>
      </c>
      <c r="P406">
        <f>IF($J406="",0,IF($A406=2,$H406*$N406,0))</f>
      </c>
    </row>
    <row r="407" spans="1:16" ht="15" customHeight="1" x14ac:dyDescent="0.15">
      <c r="A407" s="242"/>
      <c r="B407" s="242"/>
      <c r="C407" s="242"/>
      <c r="D407" s="256"/>
      <c r="E407" s="242"/>
      <c r="F407" s="257"/>
      <c r="G407" s="242"/>
      <c r="H407" s="257"/>
      <c r="I407" s="242"/>
      <c r="J407" s="249">
        <f>IF(OR(B407="",C407="",E407=""),"",B407&amp;":"&amp;C407&amp;":"&amp;E407)</f>
      </c>
      <c r="K407" s="250">
        <f>IF(A407="","",A407*D407)</f>
      </c>
      <c r="L407" s="249">
        <f>IF(A407="","",IF(OR(A407=1,A407=0),H407,0))</f>
      </c>
      <c r="M407" s="249">
        <f>IF(A407="","",IF(A407=-1,H407,0))</f>
      </c>
      <c r="N407">
        <f>IF($E407="SGD",1,IF($E407="USD",Settings!$B$22,IF($E407="HKD",Settings!$B$23,1)))</f>
      </c>
      <c r="O407">
        <f>IF($J407="",0,($M407-$L407+IF($A407=2,$H407,0))*$N407)</f>
      </c>
      <c r="P407">
        <f>IF($J407="",0,IF($A407=2,$H407*$N407,0))</f>
      </c>
    </row>
    <row r="408" spans="1:16" ht="15" customHeight="1" x14ac:dyDescent="0.15">
      <c r="A408" s="242"/>
      <c r="B408" s="242"/>
      <c r="C408" s="242"/>
      <c r="D408" s="256"/>
      <c r="E408" s="242"/>
      <c r="F408" s="257"/>
      <c r="G408" s="242"/>
      <c r="H408" s="257"/>
      <c r="I408" s="242"/>
      <c r="J408" s="249">
        <f>IF(OR(B408="",C408="",E408=""),"",B408&amp;":"&amp;C408&amp;":"&amp;E408)</f>
      </c>
      <c r="K408" s="250">
        <f>IF(A408="","",A408*D408)</f>
      </c>
      <c r="L408" s="249">
        <f>IF(A408="","",IF(OR(A408=1,A408=0),H408,0))</f>
      </c>
      <c r="M408" s="249">
        <f>IF(A408="","",IF(A408=-1,H408,0))</f>
      </c>
      <c r="N408">
        <f>IF($E408="SGD",1,IF($E408="USD",Settings!$B$22,IF($E408="HKD",Settings!$B$23,1)))</f>
      </c>
      <c r="O408">
        <f>IF($J408="",0,($M408-$L408+IF($A408=2,$H408,0))*$N408)</f>
      </c>
      <c r="P408">
        <f>IF($J408="",0,IF($A408=2,$H408*$N408,0))</f>
      </c>
    </row>
    <row r="409" spans="1:16" ht="15" customHeight="1" x14ac:dyDescent="0.15">
      <c r="A409" s="242"/>
      <c r="B409" s="242"/>
      <c r="C409" s="242"/>
      <c r="D409" s="256"/>
      <c r="E409" s="242"/>
      <c r="F409" s="257"/>
      <c r="G409" s="242"/>
      <c r="H409" s="257"/>
      <c r="I409" s="242"/>
      <c r="J409" s="249">
        <f>IF(OR(B409="",C409="",E409=""),"",B409&amp;":"&amp;C409&amp;":"&amp;E409)</f>
      </c>
      <c r="K409" s="250">
        <f>IF(A409="","",A409*D409)</f>
      </c>
      <c r="L409" s="249">
        <f>IF(A409="","",IF(OR(A409=1,A409=0),H409,0))</f>
      </c>
      <c r="M409" s="249">
        <f>IF(A409="","",IF(A409=-1,H409,0))</f>
      </c>
      <c r="N409">
        <f>IF($E409="SGD",1,IF($E409="USD",Settings!$B$22,IF($E409="HKD",Settings!$B$23,1)))</f>
      </c>
      <c r="O409">
        <f>IF($J409="",0,($M409-$L409+IF($A409=2,$H409,0))*$N409)</f>
      </c>
      <c r="P409">
        <f>IF($J409="",0,IF($A409=2,$H409*$N409,0))</f>
      </c>
    </row>
    <row r="410" spans="1:16" ht="15" customHeight="1" x14ac:dyDescent="0.15">
      <c r="A410" s="242"/>
      <c r="B410" s="242"/>
      <c r="C410" s="242"/>
      <c r="D410" s="256"/>
      <c r="E410" s="242"/>
      <c r="F410" s="257"/>
      <c r="G410" s="242"/>
      <c r="H410" s="257"/>
      <c r="I410" s="242"/>
      <c r="J410" s="249">
        <f>IF(OR(B410="",C410="",E410=""),"",B410&amp;":"&amp;C410&amp;":"&amp;E410)</f>
      </c>
      <c r="K410" s="250">
        <f>IF(A410="","",A410*D410)</f>
      </c>
      <c r="L410" s="249">
        <f>IF(A410="","",IF(OR(A410=1,A410=0),H410,0))</f>
      </c>
      <c r="M410" s="249">
        <f>IF(A410="","",IF(A410=-1,H410,0))</f>
      </c>
      <c r="N410">
        <f>IF($E410="SGD",1,IF($E410="USD",Settings!$B$22,IF($E410="HKD",Settings!$B$23,1)))</f>
      </c>
      <c r="O410">
        <f>IF($J410="",0,($M410-$L410+IF($A410=2,$H410,0))*$N410)</f>
      </c>
      <c r="P410">
        <f>IF($J410="",0,IF($A410=2,$H410*$N410,0))</f>
      </c>
    </row>
    <row r="411" spans="1:16" ht="15" customHeight="1" x14ac:dyDescent="0.15">
      <c r="A411" s="242"/>
      <c r="B411" s="242"/>
      <c r="C411" s="242"/>
      <c r="D411" s="256"/>
      <c r="E411" s="242"/>
      <c r="F411" s="257"/>
      <c r="G411" s="242"/>
      <c r="H411" s="257"/>
      <c r="I411" s="242"/>
      <c r="J411" s="249">
        <f>IF(OR(B411="",C411="",E411=""),"",B411&amp;":"&amp;C411&amp;":"&amp;E411)</f>
      </c>
      <c r="K411" s="250">
        <f>IF(A411="","",A411*D411)</f>
      </c>
      <c r="L411" s="249">
        <f>IF(A411="","",IF(OR(A411=1,A411=0),H411,0))</f>
      </c>
      <c r="M411" s="249">
        <f>IF(A411="","",IF(A411=-1,H411,0))</f>
      </c>
      <c r="N411">
        <f>IF($E411="SGD",1,IF($E411="USD",Settings!$B$22,IF($E411="HKD",Settings!$B$23,1)))</f>
      </c>
      <c r="O411">
        <f>IF($J411="",0,($M411-$L411+IF($A411=2,$H411,0))*$N411)</f>
      </c>
      <c r="P411">
        <f>IF($J411="",0,IF($A411=2,$H411*$N411,0))</f>
      </c>
    </row>
    <row r="412" spans="1:16" ht="15" customHeight="1" x14ac:dyDescent="0.15">
      <c r="A412" s="242"/>
      <c r="B412" s="242"/>
      <c r="C412" s="242"/>
      <c r="D412" s="256"/>
      <c r="E412" s="242"/>
      <c r="F412" s="257"/>
      <c r="G412" s="242"/>
      <c r="H412" s="257"/>
      <c r="I412" s="242"/>
      <c r="J412" s="249">
        <f>IF(OR(B412="",C412="",E412=""),"",B412&amp;":"&amp;C412&amp;":"&amp;E412)</f>
      </c>
      <c r="K412" s="250">
        <f>IF(A412="","",A412*D412)</f>
      </c>
      <c r="L412" s="249">
        <f>IF(A412="","",IF(OR(A412=1,A412=0),H412,0))</f>
      </c>
      <c r="M412" s="249">
        <f>IF(A412="","",IF(A412=-1,H412,0))</f>
      </c>
      <c r="N412">
        <f>IF($E412="SGD",1,IF($E412="USD",Settings!$B$22,IF($E412="HKD",Settings!$B$23,1)))</f>
      </c>
      <c r="O412">
        <f>IF($J412="",0,($M412-$L412+IF($A412=2,$H412,0))*$N412)</f>
      </c>
      <c r="P412">
        <f>IF($J412="",0,IF($A412=2,$H412*$N412,0))</f>
      </c>
    </row>
    <row r="413" spans="1:16" ht="15" customHeight="1" x14ac:dyDescent="0.15">
      <c r="A413" s="242"/>
      <c r="B413" s="242"/>
      <c r="C413" s="242"/>
      <c r="D413" s="256"/>
      <c r="E413" s="242"/>
      <c r="F413" s="257"/>
      <c r="G413" s="242"/>
      <c r="H413" s="257"/>
      <c r="I413" s="242"/>
      <c r="J413" s="249">
        <f>IF(OR(B413="",C413="",E413=""),"",B413&amp;":"&amp;C413&amp;":"&amp;E413)</f>
      </c>
      <c r="K413" s="250">
        <f>IF(A413="","",A413*D413)</f>
      </c>
      <c r="L413" s="249">
        <f>IF(A413="","",IF(OR(A413=1,A413=0),H413,0))</f>
      </c>
      <c r="M413" s="249">
        <f>IF(A413="","",IF(A413=-1,H413,0))</f>
      </c>
      <c r="N413">
        <f>IF($E413="SGD",1,IF($E413="USD",Settings!$B$22,IF($E413="HKD",Settings!$B$23,1)))</f>
      </c>
      <c r="O413">
        <f>IF($J413="",0,($M413-$L413+IF($A413=2,$H413,0))*$N413)</f>
      </c>
      <c r="P413">
        <f>IF($J413="",0,IF($A413=2,$H413*$N413,0))</f>
      </c>
    </row>
    <row r="414" spans="1:16" ht="15" customHeight="1" x14ac:dyDescent="0.15">
      <c r="A414" s="242"/>
      <c r="B414" s="242"/>
      <c r="C414" s="242"/>
      <c r="D414" s="256"/>
      <c r="E414" s="242"/>
      <c r="F414" s="257"/>
      <c r="G414" s="242"/>
      <c r="H414" s="257"/>
      <c r="I414" s="242"/>
      <c r="J414" s="249">
        <f>IF(OR(B414="",C414="",E414=""),"",B414&amp;":"&amp;C414&amp;":"&amp;E414)</f>
      </c>
      <c r="K414" s="250">
        <f>IF(A414="","",A414*D414)</f>
      </c>
      <c r="L414" s="249">
        <f>IF(A414="","",IF(OR(A414=1,A414=0),H414,0))</f>
      </c>
      <c r="M414" s="249">
        <f>IF(A414="","",IF(A414=-1,H414,0))</f>
      </c>
      <c r="N414">
        <f>IF($E414="SGD",1,IF($E414="USD",Settings!$B$22,IF($E414="HKD",Settings!$B$23,1)))</f>
      </c>
      <c r="O414">
        <f>IF($J414="",0,($M414-$L414+IF($A414=2,$H414,0))*$N414)</f>
      </c>
      <c r="P414">
        <f>IF($J414="",0,IF($A414=2,$H414*$N414,0))</f>
      </c>
    </row>
    <row r="415" spans="1:16" ht="15" customHeight="1" x14ac:dyDescent="0.15">
      <c r="A415" s="242"/>
      <c r="B415" s="242"/>
      <c r="C415" s="242"/>
      <c r="D415" s="256"/>
      <c r="E415" s="242"/>
      <c r="F415" s="257"/>
      <c r="G415" s="242"/>
      <c r="H415" s="257"/>
      <c r="I415" s="242"/>
      <c r="J415" s="249">
        <f>IF(OR(B415="",C415="",E415=""),"",B415&amp;":"&amp;C415&amp;":"&amp;E415)</f>
      </c>
      <c r="K415" s="250">
        <f>IF(A415="","",A415*D415)</f>
      </c>
      <c r="L415" s="249">
        <f>IF(A415="","",IF(OR(A415=1,A415=0),H415,0))</f>
      </c>
      <c r="M415" s="249">
        <f>IF(A415="","",IF(A415=-1,H415,0))</f>
      </c>
      <c r="N415">
        <f>IF($E415="SGD",1,IF($E415="USD",Settings!$B$22,IF($E415="HKD",Settings!$B$23,1)))</f>
      </c>
      <c r="O415">
        <f>IF($J415="",0,($M415-$L415+IF($A415=2,$H415,0))*$N415)</f>
      </c>
      <c r="P415">
        <f>IF($J415="",0,IF($A415=2,$H415*$N415,0))</f>
      </c>
    </row>
    <row r="416" spans="1:16" ht="15" customHeight="1" x14ac:dyDescent="0.15">
      <c r="A416" s="242"/>
      <c r="B416" s="242"/>
      <c r="C416" s="242"/>
      <c r="D416" s="256"/>
      <c r="E416" s="242"/>
      <c r="F416" s="257"/>
      <c r="G416" s="242"/>
      <c r="H416" s="257"/>
      <c r="I416" s="242"/>
      <c r="J416" s="249">
        <f>IF(OR(B416="",C416="",E416=""),"",B416&amp;":"&amp;C416&amp;":"&amp;E416)</f>
      </c>
      <c r="K416" s="250">
        <f>IF(A416="","",A416*D416)</f>
      </c>
      <c r="L416" s="249">
        <f>IF(A416="","",IF(OR(A416=1,A416=0),H416,0))</f>
      </c>
      <c r="M416" s="249">
        <f>IF(A416="","",IF(A416=-1,H416,0))</f>
      </c>
      <c r="N416">
        <f>IF($E416="SGD",1,IF($E416="USD",Settings!$B$22,IF($E416="HKD",Settings!$B$23,1)))</f>
      </c>
      <c r="O416">
        <f>IF($J416="",0,($M416-$L416+IF($A416=2,$H416,0))*$N416)</f>
      </c>
      <c r="P416">
        <f>IF($J416="",0,IF($A416=2,$H416*$N416,0))</f>
      </c>
    </row>
    <row r="417" spans="1:16" ht="15" customHeight="1" x14ac:dyDescent="0.15">
      <c r="A417" s="242"/>
      <c r="B417" s="242"/>
      <c r="C417" s="242"/>
      <c r="D417" s="256"/>
      <c r="E417" s="242"/>
      <c r="F417" s="257"/>
      <c r="G417" s="242"/>
      <c r="H417" s="257"/>
      <c r="I417" s="242"/>
      <c r="J417" s="249">
        <f>IF(OR(B417="",C417="",E417=""),"",B417&amp;":"&amp;C417&amp;":"&amp;E417)</f>
      </c>
      <c r="K417" s="250">
        <f>IF(A417="","",A417*D417)</f>
      </c>
      <c r="L417" s="249">
        <f>IF(A417="","",IF(OR(A417=1,A417=0),H417,0))</f>
      </c>
      <c r="M417" s="249">
        <f>IF(A417="","",IF(A417=-1,H417,0))</f>
      </c>
      <c r="N417">
        <f>IF($E417="SGD",1,IF($E417="USD",Settings!$B$22,IF($E417="HKD",Settings!$B$23,1)))</f>
      </c>
      <c r="O417">
        <f>IF($J417="",0,($M417-$L417+IF($A417=2,$H417,0))*$N417)</f>
      </c>
      <c r="P417">
        <f>IF($J417="",0,IF($A417=2,$H417*$N417,0))</f>
      </c>
    </row>
    <row r="418" spans="1:16" ht="15" customHeight="1" x14ac:dyDescent="0.15">
      <c r="A418" s="242"/>
      <c r="B418" s="242"/>
      <c r="C418" s="242"/>
      <c r="D418" s="256"/>
      <c r="E418" s="242"/>
      <c r="F418" s="257"/>
      <c r="G418" s="242"/>
      <c r="H418" s="257"/>
      <c r="I418" s="242"/>
      <c r="J418" s="249">
        <f>IF(OR(B418="",C418="",E418=""),"",B418&amp;":"&amp;C418&amp;":"&amp;E418)</f>
      </c>
      <c r="K418" s="250">
        <f>IF(A418="","",A418*D418)</f>
      </c>
      <c r="L418" s="249">
        <f>IF(A418="","",IF(OR(A418=1,A418=0),H418,0))</f>
      </c>
      <c r="M418" s="249">
        <f>IF(A418="","",IF(A418=-1,H418,0))</f>
      </c>
      <c r="N418">
        <f>IF($E418="SGD",1,IF($E418="USD",Settings!$B$22,IF($E418="HKD",Settings!$B$23,1)))</f>
      </c>
      <c r="O418">
        <f>IF($J418="",0,($M418-$L418+IF($A418=2,$H418,0))*$N418)</f>
      </c>
      <c r="P418">
        <f>IF($J418="",0,IF($A418=2,$H418*$N418,0))</f>
      </c>
    </row>
    <row r="419" spans="1:16" ht="15" customHeight="1" x14ac:dyDescent="0.15">
      <c r="A419" s="242"/>
      <c r="B419" s="242"/>
      <c r="C419" s="242"/>
      <c r="D419" s="256"/>
      <c r="E419" s="242"/>
      <c r="F419" s="257"/>
      <c r="G419" s="242"/>
      <c r="H419" s="257"/>
      <c r="I419" s="242"/>
      <c r="J419" s="249">
        <f>IF(OR(B419="",C419="",E419=""),"",B419&amp;":"&amp;C419&amp;":"&amp;E419)</f>
      </c>
      <c r="K419" s="250">
        <f>IF(A419="","",A419*D419)</f>
      </c>
      <c r="L419" s="249">
        <f>IF(A419="","",IF(OR(A419=1,A419=0),H419,0))</f>
      </c>
      <c r="M419" s="249">
        <f>IF(A419="","",IF(A419=-1,H419,0))</f>
      </c>
      <c r="N419">
        <f>IF($E419="SGD",1,IF($E419="USD",Settings!$B$22,IF($E419="HKD",Settings!$B$23,1)))</f>
      </c>
      <c r="O419">
        <f>IF($J419="",0,($M419-$L419+IF($A419=2,$H419,0))*$N419)</f>
      </c>
      <c r="P419">
        <f>IF($J419="",0,IF($A419=2,$H419*$N419,0))</f>
      </c>
    </row>
    <row r="420" spans="1:16" ht="15" customHeight="1" x14ac:dyDescent="0.15">
      <c r="A420" s="242"/>
      <c r="B420" s="242"/>
      <c r="C420" s="242"/>
      <c r="D420" s="256"/>
      <c r="E420" s="242"/>
      <c r="F420" s="257"/>
      <c r="G420" s="242"/>
      <c r="H420" s="257"/>
      <c r="I420" s="242"/>
      <c r="J420" s="249">
        <f>IF(OR(B420="",C420="",E420=""),"",B420&amp;":"&amp;C420&amp;":"&amp;E420)</f>
      </c>
      <c r="K420" s="250">
        <f>IF(A420="","",A420*D420)</f>
      </c>
      <c r="L420" s="249">
        <f>IF(A420="","",IF(OR(A420=1,A420=0),H420,0))</f>
      </c>
      <c r="M420" s="249">
        <f>IF(A420="","",IF(A420=-1,H420,0))</f>
      </c>
      <c r="N420">
        <f>IF($E420="SGD",1,IF($E420="USD",Settings!$B$22,IF($E420="HKD",Settings!$B$23,1)))</f>
      </c>
      <c r="O420">
        <f>IF($J420="",0,($M420-$L420+IF($A420=2,$H420,0))*$N420)</f>
      </c>
      <c r="P420">
        <f>IF($J420="",0,IF($A420=2,$H420*$N420,0))</f>
      </c>
    </row>
    <row r="421" spans="1:16" ht="15" customHeight="1" x14ac:dyDescent="0.15">
      <c r="A421" s="242"/>
      <c r="B421" s="242"/>
      <c r="C421" s="242"/>
      <c r="D421" s="256"/>
      <c r="E421" s="242"/>
      <c r="F421" s="257"/>
      <c r="G421" s="242"/>
      <c r="H421" s="257"/>
      <c r="I421" s="242"/>
      <c r="J421" s="249">
        <f>IF(OR(B421="",C421="",E421=""),"",B421&amp;":"&amp;C421&amp;":"&amp;E421)</f>
      </c>
      <c r="K421" s="250">
        <f>IF(A421="","",A421*D421)</f>
      </c>
      <c r="L421" s="249">
        <f>IF(A421="","",IF(OR(A421=1,A421=0),H421,0))</f>
      </c>
      <c r="M421" s="249">
        <f>IF(A421="","",IF(A421=-1,H421,0))</f>
      </c>
      <c r="N421">
        <f>IF($E421="SGD",1,IF($E421="USD",Settings!$B$22,IF($E421="HKD",Settings!$B$23,1)))</f>
      </c>
      <c r="O421">
        <f>IF($J421="",0,($M421-$L421+IF($A421=2,$H421,0))*$N421)</f>
      </c>
      <c r="P421">
        <f>IF($J421="",0,IF($A421=2,$H421*$N421,0))</f>
      </c>
    </row>
    <row r="422" spans="1:16" ht="15" customHeight="1" x14ac:dyDescent="0.15">
      <c r="A422" s="242"/>
      <c r="B422" s="242"/>
      <c r="C422" s="242"/>
      <c r="D422" s="256"/>
      <c r="E422" s="242"/>
      <c r="F422" s="257"/>
      <c r="G422" s="242"/>
      <c r="H422" s="257"/>
      <c r="I422" s="242"/>
      <c r="J422" s="249">
        <f>IF(OR(B422="",C422="",E422=""),"",B422&amp;":"&amp;C422&amp;":"&amp;E422)</f>
      </c>
      <c r="K422" s="250">
        <f>IF(A422="","",A422*D422)</f>
      </c>
      <c r="L422" s="249">
        <f>IF(A422="","",IF(OR(A422=1,A422=0),H422,0))</f>
      </c>
      <c r="M422" s="249">
        <f>IF(A422="","",IF(A422=-1,H422,0))</f>
      </c>
      <c r="N422">
        <f>IF($E422="SGD",1,IF($E422="USD",Settings!$B$22,IF($E422="HKD",Settings!$B$23,1)))</f>
      </c>
      <c r="O422">
        <f>IF($J422="",0,($M422-$L422+IF($A422=2,$H422,0))*$N422)</f>
      </c>
      <c r="P422">
        <f>IF($J422="",0,IF($A422=2,$H422*$N422,0))</f>
      </c>
    </row>
    <row r="423" spans="1:16" ht="15" customHeight="1" x14ac:dyDescent="0.15">
      <c r="A423" s="242"/>
      <c r="B423" s="242"/>
      <c r="C423" s="242"/>
      <c r="D423" s="256"/>
      <c r="E423" s="242"/>
      <c r="F423" s="257"/>
      <c r="G423" s="242"/>
      <c r="H423" s="257"/>
      <c r="I423" s="242"/>
      <c r="J423" s="249">
        <f>IF(OR(B423="",C423="",E423=""),"",B423&amp;":"&amp;C423&amp;":"&amp;E423)</f>
      </c>
      <c r="K423" s="250">
        <f>IF(A423="","",A423*D423)</f>
      </c>
      <c r="L423" s="249">
        <f>IF(A423="","",IF(OR(A423=1,A423=0),H423,0))</f>
      </c>
      <c r="M423" s="249">
        <f>IF(A423="","",IF(A423=-1,H423,0))</f>
      </c>
      <c r="N423">
        <f>IF($E423="SGD",1,IF($E423="USD",Settings!$B$22,IF($E423="HKD",Settings!$B$23,1)))</f>
      </c>
      <c r="O423">
        <f>IF($J423="",0,($M423-$L423+IF($A423=2,$H423,0))*$N423)</f>
      </c>
      <c r="P423">
        <f>IF($J423="",0,IF($A423=2,$H423*$N423,0))</f>
      </c>
    </row>
    <row r="424" spans="1:16" ht="15" customHeight="1" x14ac:dyDescent="0.15">
      <c r="A424" s="242"/>
      <c r="B424" s="242"/>
      <c r="C424" s="242"/>
      <c r="D424" s="256"/>
      <c r="E424" s="242"/>
      <c r="F424" s="257"/>
      <c r="G424" s="242"/>
      <c r="H424" s="257"/>
      <c r="I424" s="242"/>
      <c r="J424" s="249">
        <f>IF(OR(B424="",C424="",E424=""),"",B424&amp;":"&amp;C424&amp;":"&amp;E424)</f>
      </c>
      <c r="K424" s="250">
        <f>IF(A424="","",A424*D424)</f>
      </c>
      <c r="L424" s="249">
        <f>IF(A424="","",IF(OR(A424=1,A424=0),H424,0))</f>
      </c>
      <c r="M424" s="249">
        <f>IF(A424="","",IF(A424=-1,H424,0))</f>
      </c>
      <c r="N424">
        <f>IF($E424="SGD",1,IF($E424="USD",Settings!$B$22,IF($E424="HKD",Settings!$B$23,1)))</f>
      </c>
      <c r="O424">
        <f>IF($J424="",0,($M424-$L424+IF($A424=2,$H424,0))*$N424)</f>
      </c>
      <c r="P424">
        <f>IF($J424="",0,IF($A424=2,$H424*$N424,0))</f>
      </c>
    </row>
    <row r="425" spans="1:16" ht="15" customHeight="1" x14ac:dyDescent="0.15">
      <c r="A425" s="242"/>
      <c r="B425" s="242"/>
      <c r="C425" s="242"/>
      <c r="D425" s="256"/>
      <c r="E425" s="242"/>
      <c r="F425" s="257"/>
      <c r="G425" s="242"/>
      <c r="H425" s="257"/>
      <c r="I425" s="242"/>
      <c r="J425" s="249">
        <f>IF(OR(B425="",C425="",E425=""),"",B425&amp;":"&amp;C425&amp;":"&amp;E425)</f>
      </c>
      <c r="K425" s="250">
        <f>IF(A425="","",A425*D425)</f>
      </c>
      <c r="L425" s="249">
        <f>IF(A425="","",IF(OR(A425=1,A425=0),H425,0))</f>
      </c>
      <c r="M425" s="249">
        <f>IF(A425="","",IF(A425=-1,H425,0))</f>
      </c>
      <c r="N425">
        <f>IF($E425="SGD",1,IF($E425="USD",Settings!$B$22,IF($E425="HKD",Settings!$B$23,1)))</f>
      </c>
      <c r="O425">
        <f>IF($J425="",0,($M425-$L425+IF($A425=2,$H425,0))*$N425)</f>
      </c>
      <c r="P425">
        <f>IF($J425="",0,IF($A425=2,$H425*$N425,0))</f>
      </c>
    </row>
    <row r="426" spans="1:16" ht="15" customHeight="1" x14ac:dyDescent="0.15">
      <c r="A426" s="242"/>
      <c r="B426" s="242"/>
      <c r="C426" s="242"/>
      <c r="D426" s="256"/>
      <c r="E426" s="242"/>
      <c r="F426" s="257"/>
      <c r="G426" s="242"/>
      <c r="H426" s="257"/>
      <c r="I426" s="242"/>
      <c r="J426" s="249">
        <f>IF(OR(B426="",C426="",E426=""),"",B426&amp;":"&amp;C426&amp;":"&amp;E426)</f>
      </c>
      <c r="K426" s="250">
        <f>IF(A426="","",A426*D426)</f>
      </c>
      <c r="L426" s="249">
        <f>IF(A426="","",IF(OR(A426=1,A426=0),H426,0))</f>
      </c>
      <c r="M426" s="249">
        <f>IF(A426="","",IF(A426=-1,H426,0))</f>
      </c>
      <c r="N426">
        <f>IF($E426="SGD",1,IF($E426="USD",Settings!$B$22,IF($E426="HKD",Settings!$B$23,1)))</f>
      </c>
      <c r="O426">
        <f>IF($J426="",0,($M426-$L426+IF($A426=2,$H426,0))*$N426)</f>
      </c>
      <c r="P426">
        <f>IF($J426="",0,IF($A426=2,$H426*$N426,0))</f>
      </c>
    </row>
    <row r="427" spans="1:16" ht="15" customHeight="1" x14ac:dyDescent="0.15">
      <c r="A427" s="242"/>
      <c r="B427" s="242"/>
      <c r="C427" s="242"/>
      <c r="D427" s="256"/>
      <c r="E427" s="242"/>
      <c r="F427" s="257"/>
      <c r="G427" s="242"/>
      <c r="H427" s="257"/>
      <c r="I427" s="242"/>
      <c r="J427" s="249">
        <f>IF(OR(B427="",C427="",E427=""),"",B427&amp;":"&amp;C427&amp;":"&amp;E427)</f>
      </c>
      <c r="K427" s="250">
        <f>IF(A427="","",A427*D427)</f>
      </c>
      <c r="L427" s="249">
        <f>IF(A427="","",IF(OR(A427=1,A427=0),H427,0))</f>
      </c>
      <c r="M427" s="249">
        <f>IF(A427="","",IF(A427=-1,H427,0))</f>
      </c>
      <c r="N427">
        <f>IF($E427="SGD",1,IF($E427="USD",Settings!$B$22,IF($E427="HKD",Settings!$B$23,1)))</f>
      </c>
      <c r="O427">
        <f>IF($J427="",0,($M427-$L427+IF($A427=2,$H427,0))*$N427)</f>
      </c>
      <c r="P427">
        <f>IF($J427="",0,IF($A427=2,$H427*$N427,0))</f>
      </c>
    </row>
    <row r="428" spans="1:16" ht="15" customHeight="1" x14ac:dyDescent="0.15">
      <c r="A428" s="242"/>
      <c r="B428" s="242"/>
      <c r="C428" s="242"/>
      <c r="D428" s="256"/>
      <c r="E428" s="242"/>
      <c r="F428" s="257"/>
      <c r="G428" s="242"/>
      <c r="H428" s="257"/>
      <c r="I428" s="242"/>
      <c r="J428" s="249">
        <f>IF(OR(B428="",C428="",E428=""),"",B428&amp;":"&amp;C428&amp;":"&amp;E428)</f>
      </c>
      <c r="K428" s="250">
        <f>IF(A428="","",A428*D428)</f>
      </c>
      <c r="L428" s="249">
        <f>IF(A428="","",IF(OR(A428=1,A428=0),H428,0))</f>
      </c>
      <c r="M428" s="249">
        <f>IF(A428="","",IF(A428=-1,H428,0))</f>
      </c>
      <c r="N428">
        <f>IF($E428="SGD",1,IF($E428="USD",Settings!$B$22,IF($E428="HKD",Settings!$B$23,1)))</f>
      </c>
      <c r="O428">
        <f>IF($J428="",0,($M428-$L428+IF($A428=2,$H428,0))*$N428)</f>
      </c>
      <c r="P428">
        <f>IF($J428="",0,IF($A428=2,$H428*$N428,0))</f>
      </c>
    </row>
    <row r="429" spans="1:16" ht="15" customHeight="1" x14ac:dyDescent="0.15">
      <c r="A429" s="242"/>
      <c r="B429" s="242"/>
      <c r="C429" s="242"/>
      <c r="D429" s="256"/>
      <c r="E429" s="242"/>
      <c r="F429" s="257"/>
      <c r="G429" s="242"/>
      <c r="H429" s="257"/>
      <c r="I429" s="242"/>
      <c r="J429" s="249">
        <f>IF(OR(B429="",C429="",E429=""),"",B429&amp;":"&amp;C429&amp;":"&amp;E429)</f>
      </c>
      <c r="K429" s="250">
        <f>IF(A429="","",A429*D429)</f>
      </c>
      <c r="L429" s="249">
        <f>IF(A429="","",IF(OR(A429=1,A429=0),H429,0))</f>
      </c>
      <c r="M429" s="249">
        <f>IF(A429="","",IF(A429=-1,H429,0))</f>
      </c>
      <c r="N429">
        <f>IF($E429="SGD",1,IF($E429="USD",Settings!$B$22,IF($E429="HKD",Settings!$B$23,1)))</f>
      </c>
      <c r="O429">
        <f>IF($J429="",0,($M429-$L429+IF($A429=2,$H429,0))*$N429)</f>
      </c>
      <c r="P429">
        <f>IF($J429="",0,IF($A429=2,$H429*$N429,0))</f>
      </c>
    </row>
    <row r="430" spans="1:16" ht="15" customHeight="1" x14ac:dyDescent="0.15">
      <c r="A430" s="242"/>
      <c r="B430" s="242"/>
      <c r="C430" s="242"/>
      <c r="D430" s="256"/>
      <c r="E430" s="242"/>
      <c r="F430" s="257"/>
      <c r="G430" s="242"/>
      <c r="H430" s="257"/>
      <c r="I430" s="242"/>
      <c r="J430" s="249">
        <f>IF(OR(B430="",C430="",E430=""),"",B430&amp;":"&amp;C430&amp;":"&amp;E430)</f>
      </c>
      <c r="K430" s="250">
        <f>IF(A430="","",A430*D430)</f>
      </c>
      <c r="L430" s="249">
        <f>IF(A430="","",IF(OR(A430=1,A430=0),H430,0))</f>
      </c>
      <c r="M430" s="249">
        <f>IF(A430="","",IF(A430=-1,H430,0))</f>
      </c>
      <c r="N430">
        <f>IF($E430="SGD",1,IF($E430="USD",Settings!$B$22,IF($E430="HKD",Settings!$B$23,1)))</f>
      </c>
      <c r="O430">
        <f>IF($J430="",0,($M430-$L430+IF($A430=2,$H430,0))*$N430)</f>
      </c>
      <c r="P430">
        <f>IF($J430="",0,IF($A430=2,$H430*$N430,0))</f>
      </c>
    </row>
    <row r="431" spans="1:16" ht="15" customHeight="1" x14ac:dyDescent="0.15">
      <c r="A431" s="242"/>
      <c r="B431" s="242"/>
      <c r="C431" s="242"/>
      <c r="D431" s="256"/>
      <c r="E431" s="242"/>
      <c r="F431" s="257"/>
      <c r="G431" s="242"/>
      <c r="H431" s="257"/>
      <c r="I431" s="242"/>
      <c r="J431" s="249">
        <f>IF(OR(B431="",C431="",E431=""),"",B431&amp;":"&amp;C431&amp;":"&amp;E431)</f>
      </c>
      <c r="K431" s="250">
        <f>IF(A431="","",A431*D431)</f>
      </c>
      <c r="L431" s="249">
        <f>IF(A431="","",IF(OR(A431=1,A431=0),H431,0))</f>
      </c>
      <c r="M431" s="249">
        <f>IF(A431="","",IF(A431=-1,H431,0))</f>
      </c>
      <c r="N431">
        <f>IF($E431="SGD",1,IF($E431="USD",Settings!$B$22,IF($E431="HKD",Settings!$B$23,1)))</f>
      </c>
      <c r="O431">
        <f>IF($J431="",0,($M431-$L431+IF($A431=2,$H431,0))*$N431)</f>
      </c>
      <c r="P431">
        <f>IF($J431="",0,IF($A431=2,$H431*$N431,0))</f>
      </c>
    </row>
    <row r="432" spans="1:16" ht="15" customHeight="1" x14ac:dyDescent="0.15">
      <c r="A432" s="242"/>
      <c r="B432" s="242"/>
      <c r="C432" s="242"/>
      <c r="D432" s="256"/>
      <c r="E432" s="242"/>
      <c r="F432" s="257"/>
      <c r="G432" s="242"/>
      <c r="H432" s="257"/>
      <c r="I432" s="242"/>
      <c r="J432" s="249">
        <f>IF(OR(B432="",C432="",E432=""),"",B432&amp;":"&amp;C432&amp;":"&amp;E432)</f>
      </c>
      <c r="K432" s="250">
        <f>IF(A432="","",A432*D432)</f>
      </c>
      <c r="L432" s="249">
        <f>IF(A432="","",IF(OR(A432=1,A432=0),H432,0))</f>
      </c>
      <c r="M432" s="249">
        <f>IF(A432="","",IF(A432=-1,H432,0))</f>
      </c>
      <c r="N432">
        <f>IF($E432="SGD",1,IF($E432="USD",Settings!$B$22,IF($E432="HKD",Settings!$B$23,1)))</f>
      </c>
      <c r="O432">
        <f>IF($J432="",0,($M432-$L432+IF($A432=2,$H432,0))*$N432)</f>
      </c>
      <c r="P432">
        <f>IF($J432="",0,IF($A432=2,$H432*$N432,0))</f>
      </c>
    </row>
    <row r="433" spans="1:16" ht="15" customHeight="1" x14ac:dyDescent="0.15">
      <c r="A433" s="242"/>
      <c r="B433" s="242"/>
      <c r="C433" s="242"/>
      <c r="D433" s="256"/>
      <c r="E433" s="242"/>
      <c r="F433" s="257"/>
      <c r="G433" s="242"/>
      <c r="H433" s="257"/>
      <c r="I433" s="242"/>
      <c r="J433" s="249">
        <f>IF(OR(B433="",C433="",E433=""),"",B433&amp;":"&amp;C433&amp;":"&amp;E433)</f>
      </c>
      <c r="K433" s="250">
        <f>IF(A433="","",A433*D433)</f>
      </c>
      <c r="L433" s="249">
        <f>IF(A433="","",IF(OR(A433=1,A433=0),H433,0))</f>
      </c>
      <c r="M433" s="249">
        <f>IF(A433="","",IF(A433=-1,H433,0))</f>
      </c>
      <c r="N433">
        <f>IF($E433="SGD",1,IF($E433="USD",Settings!$B$22,IF($E433="HKD",Settings!$B$23,1)))</f>
      </c>
      <c r="O433">
        <f>IF($J433="",0,($M433-$L433+IF($A433=2,$H433,0))*$N433)</f>
      </c>
      <c r="P433">
        <f>IF($J433="",0,IF($A433=2,$H433*$N433,0))</f>
      </c>
    </row>
    <row r="434" spans="1:16" ht="15" customHeight="1" x14ac:dyDescent="0.15">
      <c r="A434" s="242"/>
      <c r="B434" s="242"/>
      <c r="C434" s="242"/>
      <c r="D434" s="256"/>
      <c r="E434" s="242"/>
      <c r="F434" s="257"/>
      <c r="G434" s="242"/>
      <c r="H434" s="257"/>
      <c r="I434" s="242"/>
      <c r="J434" s="249">
        <f>IF(OR(B434="",C434="",E434=""),"",B434&amp;":"&amp;C434&amp;":"&amp;E434)</f>
      </c>
      <c r="K434" s="250">
        <f>IF(A434="","",A434*D434)</f>
      </c>
      <c r="L434" s="249">
        <f>IF(A434="","",IF(OR(A434=1,A434=0),H434,0))</f>
      </c>
      <c r="M434" s="249">
        <f>IF(A434="","",IF(A434=-1,H434,0))</f>
      </c>
      <c r="N434">
        <f>IF($E434="SGD",1,IF($E434="USD",Settings!$B$22,IF($E434="HKD",Settings!$B$23,1)))</f>
      </c>
      <c r="O434">
        <f>IF($J434="",0,($M434-$L434+IF($A434=2,$H434,0))*$N434)</f>
      </c>
      <c r="P434">
        <f>IF($J434="",0,IF($A434=2,$H434*$N434,0))</f>
      </c>
    </row>
    <row r="435" spans="1:16" ht="15" customHeight="1" x14ac:dyDescent="0.15">
      <c r="A435" s="242"/>
      <c r="B435" s="242"/>
      <c r="C435" s="242"/>
      <c r="D435" s="256"/>
      <c r="E435" s="242"/>
      <c r="F435" s="257"/>
      <c r="G435" s="242"/>
      <c r="H435" s="257"/>
      <c r="I435" s="242"/>
      <c r="J435" s="249">
        <f>IF(OR(B435="",C435="",E435=""),"",B435&amp;":"&amp;C435&amp;":"&amp;E435)</f>
      </c>
      <c r="K435" s="250">
        <f>IF(A435="","",A435*D435)</f>
      </c>
      <c r="L435" s="249">
        <f>IF(A435="","",IF(OR(A435=1,A435=0),H435,0))</f>
      </c>
      <c r="M435" s="249">
        <f>IF(A435="","",IF(A435=-1,H435,0))</f>
      </c>
      <c r="N435">
        <f>IF($E435="SGD",1,IF($E435="USD",Settings!$B$22,IF($E435="HKD",Settings!$B$23,1)))</f>
      </c>
      <c r="O435">
        <f>IF($J435="",0,($M435-$L435+IF($A435=2,$H435,0))*$N435)</f>
      </c>
      <c r="P435">
        <f>IF($J435="",0,IF($A435=2,$H435*$N435,0))</f>
      </c>
    </row>
    <row r="436" spans="1:16" ht="15" customHeight="1" x14ac:dyDescent="0.15">
      <c r="A436" s="242"/>
      <c r="B436" s="242"/>
      <c r="C436" s="242"/>
      <c r="D436" s="256"/>
      <c r="E436" s="242"/>
      <c r="F436" s="257"/>
      <c r="G436" s="242"/>
      <c r="H436" s="257"/>
      <c r="I436" s="242"/>
      <c r="J436" s="249">
        <f>IF(OR(B436="",C436="",E436=""),"",B436&amp;":"&amp;C436&amp;":"&amp;E436)</f>
      </c>
      <c r="K436" s="250">
        <f>IF(A436="","",A436*D436)</f>
      </c>
      <c r="L436" s="249">
        <f>IF(A436="","",IF(OR(A436=1,A436=0),H436,0))</f>
      </c>
      <c r="M436" s="249">
        <f>IF(A436="","",IF(A436=-1,H436,0))</f>
      </c>
      <c r="N436">
        <f>IF($E436="SGD",1,IF($E436="USD",Settings!$B$22,IF($E436="HKD",Settings!$B$23,1)))</f>
      </c>
      <c r="O436">
        <f>IF($J436="",0,($M436-$L436+IF($A436=2,$H436,0))*$N436)</f>
      </c>
      <c r="P436">
        <f>IF($J436="",0,IF($A436=2,$H436*$N436,0))</f>
      </c>
    </row>
    <row r="437" spans="1:16" ht="15" customHeight="1" x14ac:dyDescent="0.15">
      <c r="A437" s="242"/>
      <c r="B437" s="242"/>
      <c r="C437" s="242"/>
      <c r="D437" s="256"/>
      <c r="E437" s="242"/>
      <c r="F437" s="257"/>
      <c r="G437" s="242"/>
      <c r="H437" s="257"/>
      <c r="I437" s="242"/>
      <c r="J437" s="249">
        <f>IF(OR(B437="",C437="",E437=""),"",B437&amp;":"&amp;C437&amp;":"&amp;E437)</f>
      </c>
      <c r="K437" s="250">
        <f>IF(A437="","",A437*D437)</f>
      </c>
      <c r="L437" s="249">
        <f>IF(A437="","",IF(OR(A437=1,A437=0),H437,0))</f>
      </c>
      <c r="M437" s="249">
        <f>IF(A437="","",IF(A437=-1,H437,0))</f>
      </c>
      <c r="N437">
        <f>IF($E437="SGD",1,IF($E437="USD",Settings!$B$22,IF($E437="HKD",Settings!$B$23,1)))</f>
      </c>
      <c r="O437">
        <f>IF($J437="",0,($M437-$L437+IF($A437=2,$H437,0))*$N437)</f>
      </c>
      <c r="P437">
        <f>IF($J437="",0,IF($A437=2,$H437*$N437,0))</f>
      </c>
    </row>
    <row r="438" spans="1:16" ht="15" customHeight="1" x14ac:dyDescent="0.15">
      <c r="A438" s="242"/>
      <c r="B438" s="242"/>
      <c r="C438" s="242"/>
      <c r="D438" s="256"/>
      <c r="E438" s="242"/>
      <c r="F438" s="257"/>
      <c r="G438" s="242"/>
      <c r="H438" s="257"/>
      <c r="I438" s="242"/>
      <c r="J438" s="249">
        <f>IF(OR(B438="",C438="",E438=""),"",B438&amp;":"&amp;C438&amp;":"&amp;E438)</f>
      </c>
      <c r="K438" s="250">
        <f>IF(A438="","",A438*D438)</f>
      </c>
      <c r="L438" s="249">
        <f>IF(A438="","",IF(OR(A438=1,A438=0),H438,0))</f>
      </c>
      <c r="M438" s="249">
        <f>IF(A438="","",IF(A438=-1,H438,0))</f>
      </c>
      <c r="N438">
        <f>IF($E438="SGD",1,IF($E438="USD",Settings!$B$22,IF($E438="HKD",Settings!$B$23,1)))</f>
      </c>
      <c r="O438">
        <f>IF($J438="",0,($M438-$L438+IF($A438=2,$H438,0))*$N438)</f>
      </c>
      <c r="P438">
        <f>IF($J438="",0,IF($A438=2,$H438*$N438,0))</f>
      </c>
    </row>
    <row r="439" spans="1:16" ht="15" customHeight="1" x14ac:dyDescent="0.15">
      <c r="A439" s="242"/>
      <c r="B439" s="242"/>
      <c r="C439" s="242"/>
      <c r="D439" s="256"/>
      <c r="E439" s="242"/>
      <c r="F439" s="257"/>
      <c r="G439" s="242"/>
      <c r="H439" s="257"/>
      <c r="I439" s="242"/>
      <c r="J439" s="249">
        <f>IF(OR(B439="",C439="",E439=""),"",B439&amp;":"&amp;C439&amp;":"&amp;E439)</f>
      </c>
      <c r="K439" s="250">
        <f>IF(A439="","",A439*D439)</f>
      </c>
      <c r="L439" s="249">
        <f>IF(A439="","",IF(OR(A439=1,A439=0),H439,0))</f>
      </c>
      <c r="M439" s="249">
        <f>IF(A439="","",IF(A439=-1,H439,0))</f>
      </c>
      <c r="N439">
        <f>IF($E439="SGD",1,IF($E439="USD",Settings!$B$22,IF($E439="HKD",Settings!$B$23,1)))</f>
      </c>
      <c r="O439">
        <f>IF($J439="",0,($M439-$L439+IF($A439=2,$H439,0))*$N439)</f>
      </c>
      <c r="P439">
        <f>IF($J439="",0,IF($A439=2,$H439*$N439,0))</f>
      </c>
    </row>
    <row r="440" spans="1:16" ht="15" customHeight="1" x14ac:dyDescent="0.15">
      <c r="A440" s="242"/>
      <c r="B440" s="242"/>
      <c r="C440" s="242"/>
      <c r="D440" s="256"/>
      <c r="E440" s="242"/>
      <c r="F440" s="257"/>
      <c r="G440" s="242"/>
      <c r="H440" s="257"/>
      <c r="I440" s="242"/>
      <c r="J440" s="249">
        <f>IF(OR(B440="",C440="",E440=""),"",B440&amp;":"&amp;C440&amp;":"&amp;E440)</f>
      </c>
      <c r="K440" s="250">
        <f>IF(A440="","",A440*D440)</f>
      </c>
      <c r="L440" s="249">
        <f>IF(A440="","",IF(OR(A440=1,A440=0),H440,0))</f>
      </c>
      <c r="M440" s="249">
        <f>IF(A440="","",IF(A440=-1,H440,0))</f>
      </c>
      <c r="N440">
        <f>IF($E440="SGD",1,IF($E440="USD",Settings!$B$22,IF($E440="HKD",Settings!$B$23,1)))</f>
      </c>
      <c r="O440">
        <f>IF($J440="",0,($M440-$L440+IF($A440=2,$H440,0))*$N440)</f>
      </c>
      <c r="P440">
        <f>IF($J440="",0,IF($A440=2,$H440*$N440,0))</f>
      </c>
    </row>
    <row r="441" spans="1:16" ht="15" customHeight="1" x14ac:dyDescent="0.15">
      <c r="A441" s="242"/>
      <c r="B441" s="242"/>
      <c r="C441" s="242"/>
      <c r="D441" s="256"/>
      <c r="E441" s="242"/>
      <c r="F441" s="257"/>
      <c r="G441" s="242"/>
      <c r="H441" s="257"/>
      <c r="I441" s="242"/>
      <c r="J441" s="249">
        <f>IF(OR(B441="",C441="",E441=""),"",B441&amp;":"&amp;C441&amp;":"&amp;E441)</f>
      </c>
      <c r="K441" s="250">
        <f>IF(A441="","",A441*D441)</f>
      </c>
      <c r="L441" s="249">
        <f>IF(A441="","",IF(OR(A441=1,A441=0),H441,0))</f>
      </c>
      <c r="M441" s="249">
        <f>IF(A441="","",IF(A441=-1,H441,0))</f>
      </c>
      <c r="N441">
        <f>IF($E441="SGD",1,IF($E441="USD",Settings!$B$22,IF($E441="HKD",Settings!$B$23,1)))</f>
      </c>
      <c r="O441">
        <f>IF($J441="",0,($M441-$L441+IF($A441=2,$H441,0))*$N441)</f>
      </c>
      <c r="P441">
        <f>IF($J441="",0,IF($A441=2,$H441*$N441,0))</f>
      </c>
    </row>
    <row r="442" spans="1:16" ht="15" customHeight="1" x14ac:dyDescent="0.15">
      <c r="A442" s="242"/>
      <c r="B442" s="242"/>
      <c r="C442" s="242"/>
      <c r="D442" s="256"/>
      <c r="E442" s="242"/>
      <c r="F442" s="257"/>
      <c r="G442" s="242"/>
      <c r="H442" s="257"/>
      <c r="I442" s="242"/>
      <c r="J442" s="249">
        <f>IF(OR(B442="",C442="",E442=""),"",B442&amp;":"&amp;C442&amp;":"&amp;E442)</f>
      </c>
      <c r="K442" s="250">
        <f>IF(A442="","",A442*D442)</f>
      </c>
      <c r="L442" s="249">
        <f>IF(A442="","",IF(OR(A442=1,A442=0),H442,0))</f>
      </c>
      <c r="M442" s="249">
        <f>IF(A442="","",IF(A442=-1,H442,0))</f>
      </c>
      <c r="N442">
        <f>IF($E442="SGD",1,IF($E442="USD",Settings!$B$22,IF($E442="HKD",Settings!$B$23,1)))</f>
      </c>
      <c r="O442">
        <f>IF($J442="",0,($M442-$L442+IF($A442=2,$H442,0))*$N442)</f>
      </c>
      <c r="P442">
        <f>IF($J442="",0,IF($A442=2,$H442*$N442,0))</f>
      </c>
    </row>
    <row r="443" spans="1:16" ht="15" customHeight="1" x14ac:dyDescent="0.15">
      <c r="A443" s="242"/>
      <c r="B443" s="242"/>
      <c r="C443" s="242"/>
      <c r="D443" s="256"/>
      <c r="E443" s="242"/>
      <c r="F443" s="257"/>
      <c r="G443" s="242"/>
      <c r="H443" s="257"/>
      <c r="I443" s="242"/>
      <c r="J443" s="249">
        <f>IF(OR(B443="",C443="",E443=""),"",B443&amp;":"&amp;C443&amp;":"&amp;E443)</f>
      </c>
      <c r="K443" s="250">
        <f>IF(A443="","",A443*D443)</f>
      </c>
      <c r="L443" s="249">
        <f>IF(A443="","",IF(OR(A443=1,A443=0),H443,0))</f>
      </c>
      <c r="M443" s="249">
        <f>IF(A443="","",IF(A443=-1,H443,0))</f>
      </c>
      <c r="N443">
        <f>IF($E443="SGD",1,IF($E443="USD",Settings!$B$22,IF($E443="HKD",Settings!$B$23,1)))</f>
      </c>
      <c r="O443">
        <f>IF($J443="",0,($M443-$L443+IF($A443=2,$H443,0))*$N443)</f>
      </c>
      <c r="P443">
        <f>IF($J443="",0,IF($A443=2,$H443*$N443,0))</f>
      </c>
    </row>
    <row r="444" spans="1:16" ht="15" customHeight="1" x14ac:dyDescent="0.15">
      <c r="A444" s="242"/>
      <c r="B444" s="242"/>
      <c r="C444" s="242"/>
      <c r="D444" s="256"/>
      <c r="E444" s="242"/>
      <c r="F444" s="257"/>
      <c r="G444" s="242"/>
      <c r="H444" s="257"/>
      <c r="I444" s="242"/>
      <c r="J444" s="249">
        <f>IF(OR(B444="",C444="",E444=""),"",B444&amp;":"&amp;C444&amp;":"&amp;E444)</f>
      </c>
      <c r="K444" s="250">
        <f>IF(A444="","",A444*D444)</f>
      </c>
      <c r="L444" s="249">
        <f>IF(A444="","",IF(OR(A444=1,A444=0),H444,0))</f>
      </c>
      <c r="M444" s="249">
        <f>IF(A444="","",IF(A444=-1,H444,0))</f>
      </c>
      <c r="N444">
        <f>IF($E444="SGD",1,IF($E444="USD",Settings!$B$22,IF($E444="HKD",Settings!$B$23,1)))</f>
      </c>
      <c r="O444">
        <f>IF($J444="",0,($M444-$L444+IF($A444=2,$H444,0))*$N444)</f>
      </c>
      <c r="P444">
        <f>IF($J444="",0,IF($A444=2,$H444*$N444,0))</f>
      </c>
    </row>
    <row r="445" spans="1:16" ht="15" customHeight="1" x14ac:dyDescent="0.15">
      <c r="A445" s="242"/>
      <c r="B445" s="242"/>
      <c r="C445" s="242"/>
      <c r="D445" s="256"/>
      <c r="E445" s="242"/>
      <c r="F445" s="257"/>
      <c r="G445" s="242"/>
      <c r="H445" s="257"/>
      <c r="I445" s="242"/>
      <c r="J445" s="249">
        <f>IF(OR(B445="",C445="",E445=""),"",B445&amp;":"&amp;C445&amp;":"&amp;E445)</f>
      </c>
      <c r="K445" s="250">
        <f>IF(A445="","",A445*D445)</f>
      </c>
      <c r="L445" s="249">
        <f>IF(A445="","",IF(OR(A445=1,A445=0),H445,0))</f>
      </c>
      <c r="M445" s="249">
        <f>IF(A445="","",IF(A445=-1,H445,0))</f>
      </c>
      <c r="N445">
        <f>IF($E445="SGD",1,IF($E445="USD",Settings!$B$22,IF($E445="HKD",Settings!$B$23,1)))</f>
      </c>
      <c r="O445">
        <f>IF($J445="",0,($M445-$L445+IF($A445=2,$H445,0))*$N445)</f>
      </c>
      <c r="P445">
        <f>IF($J445="",0,IF($A445=2,$H445*$N445,0))</f>
      </c>
    </row>
    <row r="446" spans="1:16" ht="15" customHeight="1" x14ac:dyDescent="0.15">
      <c r="A446" s="242"/>
      <c r="B446" s="242"/>
      <c r="C446" s="242"/>
      <c r="D446" s="256"/>
      <c r="E446" s="242"/>
      <c r="F446" s="257"/>
      <c r="G446" s="242"/>
      <c r="H446" s="257"/>
      <c r="I446" s="242"/>
      <c r="J446" s="249">
        <f>IF(OR(B446="",C446="",E446=""),"",B446&amp;":"&amp;C446&amp;":"&amp;E446)</f>
      </c>
      <c r="K446" s="250">
        <f>IF(A446="","",A446*D446)</f>
      </c>
      <c r="L446" s="249">
        <f>IF(A446="","",IF(OR(A446=1,A446=0),H446,0))</f>
      </c>
      <c r="M446" s="249">
        <f>IF(A446="","",IF(A446=-1,H446,0))</f>
      </c>
      <c r="N446">
        <f>IF($E446="SGD",1,IF($E446="USD",Settings!$B$22,IF($E446="HKD",Settings!$B$23,1)))</f>
      </c>
      <c r="O446">
        <f>IF($J446="",0,($M446-$L446+IF($A446=2,$H446,0))*$N446)</f>
      </c>
      <c r="P446">
        <f>IF($J446="",0,IF($A446=2,$H446*$N446,0))</f>
      </c>
    </row>
    <row r="447" spans="1:16" ht="15" customHeight="1" x14ac:dyDescent="0.15">
      <c r="A447" s="242"/>
      <c r="B447" s="242"/>
      <c r="C447" s="242"/>
      <c r="D447" s="256"/>
      <c r="E447" s="242"/>
      <c r="F447" s="257"/>
      <c r="G447" s="242"/>
      <c r="H447" s="257"/>
      <c r="I447" s="242"/>
      <c r="J447" s="249">
        <f>IF(OR(B447="",C447="",E447=""),"",B447&amp;":"&amp;C447&amp;":"&amp;E447)</f>
      </c>
      <c r="K447" s="250">
        <f>IF(A447="","",A447*D447)</f>
      </c>
      <c r="L447" s="249">
        <f>IF(A447="","",IF(OR(A447=1,A447=0),H447,0))</f>
      </c>
      <c r="M447" s="249">
        <f>IF(A447="","",IF(A447=-1,H447,0))</f>
      </c>
      <c r="N447">
        <f>IF($E447="SGD",1,IF($E447="USD",Settings!$B$22,IF($E447="HKD",Settings!$B$23,1)))</f>
      </c>
      <c r="O447">
        <f>IF($J447="",0,($M447-$L447+IF($A447=2,$H447,0))*$N447)</f>
      </c>
      <c r="P447">
        <f>IF($J447="",0,IF($A447=2,$H447*$N447,0))</f>
      </c>
    </row>
    <row r="448" spans="1:16" ht="15" customHeight="1" x14ac:dyDescent="0.15">
      <c r="A448" s="242"/>
      <c r="B448" s="242"/>
      <c r="C448" s="242"/>
      <c r="D448" s="256"/>
      <c r="E448" s="242"/>
      <c r="F448" s="257"/>
      <c r="G448" s="242"/>
      <c r="H448" s="257"/>
      <c r="I448" s="242"/>
      <c r="J448" s="249">
        <f>IF(OR(B448="",C448="",E448=""),"",B448&amp;":"&amp;C448&amp;":"&amp;E448)</f>
      </c>
      <c r="K448" s="250">
        <f>IF(A448="","",A448*D448)</f>
      </c>
      <c r="L448" s="249">
        <f>IF(A448="","",IF(OR(A448=1,A448=0),H448,0))</f>
      </c>
      <c r="M448" s="249">
        <f>IF(A448="","",IF(A448=-1,H448,0))</f>
      </c>
      <c r="N448">
        <f>IF($E448="SGD",1,IF($E448="USD",Settings!$B$22,IF($E448="HKD",Settings!$B$23,1)))</f>
      </c>
      <c r="O448">
        <f>IF($J448="",0,($M448-$L448+IF($A448=2,$H448,0))*$N448)</f>
      </c>
      <c r="P448">
        <f>IF($J448="",0,IF($A448=2,$H448*$N448,0))</f>
      </c>
    </row>
    <row r="449" spans="1:16" ht="15" customHeight="1" x14ac:dyDescent="0.15">
      <c r="A449" s="242"/>
      <c r="B449" s="242"/>
      <c r="C449" s="242"/>
      <c r="D449" s="256"/>
      <c r="E449" s="242"/>
      <c r="F449" s="257"/>
      <c r="G449" s="242"/>
      <c r="H449" s="257"/>
      <c r="I449" s="242"/>
      <c r="J449" s="249">
        <f>IF(OR(B449="",C449="",E449=""),"",B449&amp;":"&amp;C449&amp;":"&amp;E449)</f>
      </c>
      <c r="K449" s="250">
        <f>IF(A449="","",A449*D449)</f>
      </c>
      <c r="L449" s="249">
        <f>IF(A449="","",IF(OR(A449=1,A449=0),H449,0))</f>
      </c>
      <c r="M449" s="249">
        <f>IF(A449="","",IF(A449=-1,H449,0))</f>
      </c>
      <c r="N449">
        <f>IF($E449="SGD",1,IF($E449="USD",Settings!$B$22,IF($E449="HKD",Settings!$B$23,1)))</f>
      </c>
      <c r="O449">
        <f>IF($J449="",0,($M449-$L449+IF($A449=2,$H449,0))*$N449)</f>
      </c>
      <c r="P449">
        <f>IF($J449="",0,IF($A449=2,$H449*$N449,0))</f>
      </c>
    </row>
    <row r="450" spans="1:16" ht="15" customHeight="1" x14ac:dyDescent="0.15">
      <c r="A450" s="242"/>
      <c r="B450" s="242"/>
      <c r="C450" s="242"/>
      <c r="D450" s="256"/>
      <c r="E450" s="242"/>
      <c r="F450" s="257"/>
      <c r="G450" s="242"/>
      <c r="H450" s="257"/>
      <c r="I450" s="242"/>
      <c r="J450" s="249">
        <f>IF(OR(B450="",C450="",E450=""),"",B450&amp;":"&amp;C450&amp;":"&amp;E450)</f>
      </c>
      <c r="K450" s="250">
        <f>IF(A450="","",A450*D450)</f>
      </c>
      <c r="L450" s="249">
        <f>IF(A450="","",IF(OR(A450=1,A450=0),H450,0))</f>
      </c>
      <c r="M450" s="249">
        <f>IF(A450="","",IF(A450=-1,H450,0))</f>
      </c>
      <c r="N450">
        <f>IF($E450="SGD",1,IF($E450="USD",Settings!$B$22,IF($E450="HKD",Settings!$B$23,1)))</f>
      </c>
      <c r="O450">
        <f>IF($J450="",0,($M450-$L450+IF($A450=2,$H450,0))*$N450)</f>
      </c>
      <c r="P450">
        <f>IF($J450="",0,IF($A450=2,$H450*$N450,0))</f>
      </c>
    </row>
    <row r="451" spans="1:16" ht="15" customHeight="1" x14ac:dyDescent="0.15">
      <c r="A451" s="242"/>
      <c r="B451" s="242"/>
      <c r="C451" s="242"/>
      <c r="D451" s="256"/>
      <c r="E451" s="242"/>
      <c r="F451" s="257"/>
      <c r="G451" s="242"/>
      <c r="H451" s="257"/>
      <c r="I451" s="242"/>
      <c r="J451" s="249">
        <f>IF(OR(B451="",C451="",E451=""),"",B451&amp;":"&amp;C451&amp;":"&amp;E451)</f>
      </c>
      <c r="K451" s="250">
        <f>IF(A451="","",A451*D451)</f>
      </c>
      <c r="L451" s="249">
        <f>IF(A451="","",IF(OR(A451=1,A451=0),H451,0))</f>
      </c>
      <c r="M451" s="249">
        <f>IF(A451="","",IF(A451=-1,H451,0))</f>
      </c>
      <c r="N451">
        <f>IF($E451="SGD",1,IF($E451="USD",Settings!$B$22,IF($E451="HKD",Settings!$B$23,1)))</f>
      </c>
      <c r="O451">
        <f>IF($J451="",0,($M451-$L451+IF($A451=2,$H451,0))*$N451)</f>
      </c>
      <c r="P451">
        <f>IF($J451="",0,IF($A451=2,$H451*$N451,0))</f>
      </c>
    </row>
    <row r="452" spans="1:16" ht="15" customHeight="1" x14ac:dyDescent="0.15">
      <c r="A452" s="242"/>
      <c r="B452" s="242"/>
      <c r="C452" s="242"/>
      <c r="D452" s="256"/>
      <c r="E452" s="242"/>
      <c r="F452" s="257"/>
      <c r="G452" s="242"/>
      <c r="H452" s="257"/>
      <c r="I452" s="242"/>
      <c r="J452" s="249">
        <f>IF(OR(B452="",C452="",E452=""),"",B452&amp;":"&amp;C452&amp;":"&amp;E452)</f>
      </c>
      <c r="K452" s="250">
        <f>IF(A452="","",A452*D452)</f>
      </c>
      <c r="L452" s="249">
        <f>IF(A452="","",IF(OR(A452=1,A452=0),H452,0))</f>
      </c>
      <c r="M452" s="249">
        <f>IF(A452="","",IF(A452=-1,H452,0))</f>
      </c>
      <c r="N452">
        <f>IF($E452="SGD",1,IF($E452="USD",Settings!$B$22,IF($E452="HKD",Settings!$B$23,1)))</f>
      </c>
      <c r="O452">
        <f>IF($J452="",0,($M452-$L452+IF($A452=2,$H452,0))*$N452)</f>
      </c>
      <c r="P452">
        <f>IF($J452="",0,IF($A452=2,$H452*$N452,0))</f>
      </c>
    </row>
    <row r="453" spans="1:16" ht="15" customHeight="1" x14ac:dyDescent="0.15">
      <c r="A453" s="242"/>
      <c r="B453" s="242"/>
      <c r="C453" s="242"/>
      <c r="D453" s="256"/>
      <c r="E453" s="242"/>
      <c r="F453" s="257"/>
      <c r="G453" s="242"/>
      <c r="H453" s="257"/>
      <c r="I453" s="242"/>
      <c r="J453" s="249">
        <f>IF(OR(B453="",C453="",E453=""),"",B453&amp;":"&amp;C453&amp;":"&amp;E453)</f>
      </c>
      <c r="K453" s="250">
        <f>IF(A453="","",A453*D453)</f>
      </c>
      <c r="L453" s="249">
        <f>IF(A453="","",IF(OR(A453=1,A453=0),H453,0))</f>
      </c>
      <c r="M453" s="249">
        <f>IF(A453="","",IF(A453=-1,H453,0))</f>
      </c>
      <c r="N453">
        <f>IF($E453="SGD",1,IF($E453="USD",Settings!$B$22,IF($E453="HKD",Settings!$B$23,1)))</f>
      </c>
      <c r="O453">
        <f>IF($J453="",0,($M453-$L453+IF($A453=2,$H453,0))*$N453)</f>
      </c>
      <c r="P453">
        <f>IF($J453="",0,IF($A453=2,$H453*$N453,0))</f>
      </c>
    </row>
    <row r="454" spans="1:16" ht="15" customHeight="1" x14ac:dyDescent="0.15">
      <c r="A454" s="242"/>
      <c r="B454" s="242"/>
      <c r="C454" s="242"/>
      <c r="D454" s="256"/>
      <c r="E454" s="242"/>
      <c r="F454" s="257"/>
      <c r="G454" s="242"/>
      <c r="H454" s="257"/>
      <c r="I454" s="242"/>
      <c r="J454" s="249">
        <f>IF(OR(B454="",C454="",E454=""),"",B454&amp;":"&amp;C454&amp;":"&amp;E454)</f>
      </c>
      <c r="K454" s="250">
        <f>IF(A454="","",A454*D454)</f>
      </c>
      <c r="L454" s="249">
        <f>IF(A454="","",IF(OR(A454=1,A454=0),H454,0))</f>
      </c>
      <c r="M454" s="249">
        <f>IF(A454="","",IF(A454=-1,H454,0))</f>
      </c>
      <c r="N454">
        <f>IF($E454="SGD",1,IF($E454="USD",Settings!$B$22,IF($E454="HKD",Settings!$B$23,1)))</f>
      </c>
      <c r="O454">
        <f>IF($J454="",0,($M454-$L454+IF($A454=2,$H454,0))*$N454)</f>
      </c>
      <c r="P454">
        <f>IF($J454="",0,IF($A454=2,$H454*$N454,0))</f>
      </c>
    </row>
    <row r="455" spans="1:16" ht="15" customHeight="1" x14ac:dyDescent="0.15">
      <c r="A455" s="242"/>
      <c r="B455" s="242"/>
      <c r="C455" s="242"/>
      <c r="D455" s="256"/>
      <c r="E455" s="242"/>
      <c r="F455" s="257"/>
      <c r="G455" s="242"/>
      <c r="H455" s="257"/>
      <c r="I455" s="242"/>
      <c r="J455" s="249">
        <f>IF(OR(B455="",C455="",E455=""),"",B455&amp;":"&amp;C455&amp;":"&amp;E455)</f>
      </c>
      <c r="K455" s="250">
        <f>IF(A455="","",A455*D455)</f>
      </c>
      <c r="L455" s="249">
        <f>IF(A455="","",IF(OR(A455=1,A455=0),H455,0))</f>
      </c>
      <c r="M455" s="249">
        <f>IF(A455="","",IF(A455=-1,H455,0))</f>
      </c>
      <c r="N455">
        <f>IF($E455="SGD",1,IF($E455="USD",Settings!$B$22,IF($E455="HKD",Settings!$B$23,1)))</f>
      </c>
      <c r="O455">
        <f>IF($J455="",0,($M455-$L455+IF($A455=2,$H455,0))*$N455)</f>
      </c>
      <c r="P455">
        <f>IF($J455="",0,IF($A455=2,$H455*$N455,0))</f>
      </c>
    </row>
    <row r="456" spans="1:16" ht="15" customHeight="1" x14ac:dyDescent="0.15">
      <c r="A456" s="242"/>
      <c r="B456" s="242"/>
      <c r="C456" s="242"/>
      <c r="D456" s="256"/>
      <c r="E456" s="242"/>
      <c r="F456" s="257"/>
      <c r="G456" s="242"/>
      <c r="H456" s="257"/>
      <c r="I456" s="242"/>
      <c r="J456" s="249">
        <f>IF(OR(B456="",C456="",E456=""),"",B456&amp;":"&amp;C456&amp;":"&amp;E456)</f>
      </c>
      <c r="K456" s="250">
        <f>IF(A456="","",A456*D456)</f>
      </c>
      <c r="L456" s="249">
        <f>IF(A456="","",IF(OR(A456=1,A456=0),H456,0))</f>
      </c>
      <c r="M456" s="249">
        <f>IF(A456="","",IF(A456=-1,H456,0))</f>
      </c>
      <c r="N456">
        <f>IF($E456="SGD",1,IF($E456="USD",Settings!$B$22,IF($E456="HKD",Settings!$B$23,1)))</f>
      </c>
      <c r="O456">
        <f>IF($J456="",0,($M456-$L456+IF($A456=2,$H456,0))*$N456)</f>
      </c>
      <c r="P456">
        <f>IF($J456="",0,IF($A456=2,$H456*$N456,0))</f>
      </c>
    </row>
    <row r="457" spans="1:16" ht="15" customHeight="1" x14ac:dyDescent="0.15">
      <c r="A457" s="242"/>
      <c r="B457" s="242"/>
      <c r="C457" s="242"/>
      <c r="D457" s="256"/>
      <c r="E457" s="242"/>
      <c r="F457" s="257"/>
      <c r="G457" s="242"/>
      <c r="H457" s="257"/>
      <c r="I457" s="242"/>
      <c r="J457" s="249">
        <f>IF(OR(B457="",C457="",E457=""),"",B457&amp;":"&amp;C457&amp;":"&amp;E457)</f>
      </c>
      <c r="K457" s="250">
        <f>IF(A457="","",A457*D457)</f>
      </c>
      <c r="L457" s="249">
        <f>IF(A457="","",IF(OR(A457=1,A457=0),H457,0))</f>
      </c>
      <c r="M457" s="249">
        <f>IF(A457="","",IF(A457=-1,H457,0))</f>
      </c>
      <c r="N457">
        <f>IF($E457="SGD",1,IF($E457="USD",Settings!$B$22,IF($E457="HKD",Settings!$B$23,1)))</f>
      </c>
      <c r="O457">
        <f>IF($J457="",0,($M457-$L457+IF($A457=2,$H457,0))*$N457)</f>
      </c>
      <c r="P457">
        <f>IF($J457="",0,IF($A457=2,$H457*$N457,0))</f>
      </c>
    </row>
    <row r="458" spans="1:16" ht="15" customHeight="1" x14ac:dyDescent="0.15">
      <c r="A458" s="242"/>
      <c r="B458" s="242"/>
      <c r="C458" s="242"/>
      <c r="D458" s="256"/>
      <c r="E458" s="242"/>
      <c r="F458" s="257"/>
      <c r="G458" s="242"/>
      <c r="H458" s="257"/>
      <c r="I458" s="242"/>
      <c r="J458" s="249">
        <f>IF(OR(B458="",C458="",E458=""),"",B458&amp;":"&amp;C458&amp;":"&amp;E458)</f>
      </c>
      <c r="K458" s="250">
        <f>IF(A458="","",A458*D458)</f>
      </c>
      <c r="L458" s="249">
        <f>IF(A458="","",IF(OR(A458=1,A458=0),H458,0))</f>
      </c>
      <c r="M458" s="249">
        <f>IF(A458="","",IF(A458=-1,H458,0))</f>
      </c>
      <c r="N458">
        <f>IF($E458="SGD",1,IF($E458="USD",Settings!$B$22,IF($E458="HKD",Settings!$B$23,1)))</f>
      </c>
      <c r="O458">
        <f>IF($J458="",0,($M458-$L458+IF($A458=2,$H458,0))*$N458)</f>
      </c>
      <c r="P458">
        <f>IF($J458="",0,IF($A458=2,$H458*$N458,0))</f>
      </c>
    </row>
    <row r="459" spans="1:16" ht="15" customHeight="1" x14ac:dyDescent="0.15">
      <c r="A459" s="242"/>
      <c r="B459" s="242"/>
      <c r="C459" s="242"/>
      <c r="D459" s="256"/>
      <c r="E459" s="242"/>
      <c r="F459" s="257"/>
      <c r="G459" s="242"/>
      <c r="H459" s="257"/>
      <c r="I459" s="242"/>
      <c r="J459" s="249">
        <f>IF(OR(B459="",C459="",E459=""),"",B459&amp;":"&amp;C459&amp;":"&amp;E459)</f>
      </c>
      <c r="K459" s="250">
        <f>IF(A459="","",A459*D459)</f>
      </c>
      <c r="L459" s="249">
        <f>IF(A459="","",IF(OR(A459=1,A459=0),H459,0))</f>
      </c>
      <c r="M459" s="249">
        <f>IF(A459="","",IF(A459=-1,H459,0))</f>
      </c>
      <c r="N459">
        <f>IF($E459="SGD",1,IF($E459="USD",Settings!$B$22,IF($E459="HKD",Settings!$B$23,1)))</f>
      </c>
      <c r="O459">
        <f>IF($J459="",0,($M459-$L459+IF($A459=2,$H459,0))*$N459)</f>
      </c>
      <c r="P459">
        <f>IF($J459="",0,IF($A459=2,$H459*$N459,0))</f>
      </c>
    </row>
    <row r="460" spans="1:16" ht="15" customHeight="1" x14ac:dyDescent="0.15">
      <c r="A460" s="242"/>
      <c r="B460" s="242"/>
      <c r="C460" s="242"/>
      <c r="D460" s="256"/>
      <c r="E460" s="242"/>
      <c r="F460" s="257"/>
      <c r="G460" s="242"/>
      <c r="H460" s="257"/>
      <c r="I460" s="242"/>
      <c r="J460" s="249">
        <f>IF(OR(B460="",C460="",E460=""),"",B460&amp;":"&amp;C460&amp;":"&amp;E460)</f>
      </c>
      <c r="K460" s="250">
        <f>IF(A460="","",A460*D460)</f>
      </c>
      <c r="L460" s="249">
        <f>IF(A460="","",IF(OR(A460=1,A460=0),H460,0))</f>
      </c>
      <c r="M460" s="249">
        <f>IF(A460="","",IF(A460=-1,H460,0))</f>
      </c>
      <c r="N460">
        <f>IF($E460="SGD",1,IF($E460="USD",Settings!$B$22,IF($E460="HKD",Settings!$B$23,1)))</f>
      </c>
      <c r="O460">
        <f>IF($J460="",0,($M460-$L460+IF($A460=2,$H460,0))*$N460)</f>
      </c>
      <c r="P460">
        <f>IF($J460="",0,IF($A460=2,$H460*$N460,0))</f>
      </c>
    </row>
    <row r="461" spans="1:16" ht="15" customHeight="1" x14ac:dyDescent="0.15">
      <c r="A461" s="242"/>
      <c r="B461" s="242"/>
      <c r="C461" s="242"/>
      <c r="D461" s="256"/>
      <c r="E461" s="242"/>
      <c r="F461" s="257"/>
      <c r="G461" s="242"/>
      <c r="H461" s="257"/>
      <c r="I461" s="242"/>
      <c r="J461" s="249">
        <f>IF(OR(B461="",C461="",E461=""),"",B461&amp;":"&amp;C461&amp;":"&amp;E461)</f>
      </c>
      <c r="K461" s="250">
        <f>IF(A461="","",A461*D461)</f>
      </c>
      <c r="L461" s="249">
        <f>IF(A461="","",IF(OR(A461=1,A461=0),H461,0))</f>
      </c>
      <c r="M461" s="249">
        <f>IF(A461="","",IF(A461=-1,H461,0))</f>
      </c>
      <c r="N461">
        <f>IF($E461="SGD",1,IF($E461="USD",Settings!$B$22,IF($E461="HKD",Settings!$B$23,1)))</f>
      </c>
      <c r="O461">
        <f>IF($J461="",0,($M461-$L461+IF($A461=2,$H461,0))*$N461)</f>
      </c>
      <c r="P461">
        <f>IF($J461="",0,IF($A461=2,$H461*$N461,0))</f>
      </c>
    </row>
    <row r="462" spans="1:16" ht="15" customHeight="1" x14ac:dyDescent="0.15">
      <c r="A462" s="242"/>
      <c r="B462" s="242"/>
      <c r="C462" s="242"/>
      <c r="D462" s="256"/>
      <c r="E462" s="242"/>
      <c r="F462" s="257"/>
      <c r="G462" s="242"/>
      <c r="H462" s="257"/>
      <c r="I462" s="242"/>
      <c r="J462" s="249">
        <f>IF(OR(B462="",C462="",E462=""),"",B462&amp;":"&amp;C462&amp;":"&amp;E462)</f>
      </c>
      <c r="K462" s="250">
        <f>IF(A462="","",A462*D462)</f>
      </c>
      <c r="L462" s="249">
        <f>IF(A462="","",IF(OR(A462=1,A462=0),H462,0))</f>
      </c>
      <c r="M462" s="249">
        <f>IF(A462="","",IF(A462=-1,H462,0))</f>
      </c>
      <c r="N462">
        <f>IF($E462="SGD",1,IF($E462="USD",Settings!$B$22,IF($E462="HKD",Settings!$B$23,1)))</f>
      </c>
      <c r="O462">
        <f>IF($J462="",0,($M462-$L462+IF($A462=2,$H462,0))*$N462)</f>
      </c>
      <c r="P462">
        <f>IF($J462="",0,IF($A462=2,$H462*$N462,0))</f>
      </c>
    </row>
    <row r="463" spans="1:16" ht="15" customHeight="1" x14ac:dyDescent="0.15">
      <c r="A463" s="242"/>
      <c r="B463" s="242"/>
      <c r="C463" s="242"/>
      <c r="D463" s="256"/>
      <c r="E463" s="242"/>
      <c r="F463" s="257"/>
      <c r="G463" s="242"/>
      <c r="H463" s="257"/>
      <c r="I463" s="242"/>
      <c r="J463" s="249">
        <f>IF(OR(B463="",C463="",E463=""),"",B463&amp;":"&amp;C463&amp;":"&amp;E463)</f>
      </c>
      <c r="K463" s="250">
        <f>IF(A463="","",A463*D463)</f>
      </c>
      <c r="L463" s="249">
        <f>IF(A463="","",IF(OR(A463=1,A463=0),H463,0))</f>
      </c>
      <c r="M463" s="249">
        <f>IF(A463="","",IF(A463=-1,H463,0))</f>
      </c>
      <c r="N463">
        <f>IF($E463="SGD",1,IF($E463="USD",Settings!$B$22,IF($E463="HKD",Settings!$B$23,1)))</f>
      </c>
      <c r="O463">
        <f>IF($J463="",0,($M463-$L463+IF($A463=2,$H463,0))*$N463)</f>
      </c>
      <c r="P463">
        <f>IF($J463="",0,IF($A463=2,$H463*$N463,0))</f>
      </c>
    </row>
    <row r="464" spans="1:16" ht="15" customHeight="1" x14ac:dyDescent="0.15">
      <c r="A464" s="242"/>
      <c r="B464" s="242"/>
      <c r="C464" s="242"/>
      <c r="D464" s="256"/>
      <c r="E464" s="242"/>
      <c r="F464" s="257"/>
      <c r="G464" s="242"/>
      <c r="H464" s="257"/>
      <c r="I464" s="242"/>
      <c r="J464" s="249">
        <f>IF(OR(B464="",C464="",E464=""),"",B464&amp;":"&amp;C464&amp;":"&amp;E464)</f>
      </c>
      <c r="K464" s="250">
        <f>IF(A464="","",A464*D464)</f>
      </c>
      <c r="L464" s="249">
        <f>IF(A464="","",IF(OR(A464=1,A464=0),H464,0))</f>
      </c>
      <c r="M464" s="249">
        <f>IF(A464="","",IF(A464=-1,H464,0))</f>
      </c>
      <c r="N464">
        <f>IF($E464="SGD",1,IF($E464="USD",Settings!$B$22,IF($E464="HKD",Settings!$B$23,1)))</f>
      </c>
      <c r="O464">
        <f>IF($J464="",0,($M464-$L464+IF($A464=2,$H464,0))*$N464)</f>
      </c>
      <c r="P464">
        <f>IF($J464="",0,IF($A464=2,$H464*$N464,0))</f>
      </c>
    </row>
    <row r="465" spans="1:16" ht="15" customHeight="1" x14ac:dyDescent="0.15">
      <c r="A465" s="242"/>
      <c r="B465" s="242"/>
      <c r="C465" s="242"/>
      <c r="D465" s="256"/>
      <c r="E465" s="242"/>
      <c r="F465" s="257"/>
      <c r="G465" s="242"/>
      <c r="H465" s="257"/>
      <c r="I465" s="242"/>
      <c r="J465" s="249">
        <f>IF(OR(B465="",C465="",E465=""),"",B465&amp;":"&amp;C465&amp;":"&amp;E465)</f>
      </c>
      <c r="K465" s="250">
        <f>IF(A465="","",A465*D465)</f>
      </c>
      <c r="L465" s="249">
        <f>IF(A465="","",IF(OR(A465=1,A465=0),H465,0))</f>
      </c>
      <c r="M465" s="249">
        <f>IF(A465="","",IF(A465=-1,H465,0))</f>
      </c>
      <c r="N465">
        <f>IF($E465="SGD",1,IF($E465="USD",Settings!$B$22,IF($E465="HKD",Settings!$B$23,1)))</f>
      </c>
      <c r="O465">
        <f>IF($J465="",0,($M465-$L465+IF($A465=2,$H465,0))*$N465)</f>
      </c>
      <c r="P465">
        <f>IF($J465="",0,IF($A465=2,$H465*$N465,0))</f>
      </c>
    </row>
    <row r="466" spans="1:16" ht="15" customHeight="1" x14ac:dyDescent="0.15">
      <c r="A466" s="242"/>
      <c r="B466" s="242"/>
      <c r="C466" s="242"/>
      <c r="D466" s="256"/>
      <c r="E466" s="242"/>
      <c r="F466" s="257"/>
      <c r="G466" s="242"/>
      <c r="H466" s="257"/>
      <c r="I466" s="242"/>
      <c r="J466" s="249">
        <f>IF(OR(B466="",C466="",E466=""),"",B466&amp;":"&amp;C466&amp;":"&amp;E466)</f>
      </c>
      <c r="K466" s="250">
        <f>IF(A466="","",A466*D466)</f>
      </c>
      <c r="L466" s="249">
        <f>IF(A466="","",IF(OR(A466=1,A466=0),H466,0))</f>
      </c>
      <c r="M466" s="249">
        <f>IF(A466="","",IF(A466=-1,H466,0))</f>
      </c>
      <c r="N466">
        <f>IF($E466="SGD",1,IF($E466="USD",Settings!$B$22,IF($E466="HKD",Settings!$B$23,1)))</f>
      </c>
      <c r="O466">
        <f>IF($J466="",0,($M466-$L466+IF($A466=2,$H466,0))*$N466)</f>
      </c>
      <c r="P466">
        <f>IF($J466="",0,IF($A466=2,$H466*$N466,0))</f>
      </c>
    </row>
    <row r="467" spans="1:16" ht="15" customHeight="1" x14ac:dyDescent="0.15">
      <c r="A467" s="242"/>
      <c r="B467" s="242"/>
      <c r="C467" s="242"/>
      <c r="D467" s="256"/>
      <c r="E467" s="242"/>
      <c r="F467" s="257"/>
      <c r="G467" s="242"/>
      <c r="H467" s="257"/>
      <c r="I467" s="242"/>
      <c r="J467" s="249">
        <f>IF(OR(B467="",C467="",E467=""),"",B467&amp;":"&amp;C467&amp;":"&amp;E467)</f>
      </c>
      <c r="K467" s="250">
        <f>IF(A467="","",A467*D467)</f>
      </c>
      <c r="L467" s="249">
        <f>IF(A467="","",IF(OR(A467=1,A467=0),H467,0))</f>
      </c>
      <c r="M467" s="249">
        <f>IF(A467="","",IF(A467=-1,H467,0))</f>
      </c>
      <c r="N467">
        <f>IF($E467="SGD",1,IF($E467="USD",Settings!$B$22,IF($E467="HKD",Settings!$B$23,1)))</f>
      </c>
      <c r="O467">
        <f>IF($J467="",0,($M467-$L467+IF($A467=2,$H467,0))*$N467)</f>
      </c>
      <c r="P467">
        <f>IF($J467="",0,IF($A467=2,$H467*$N467,0))</f>
      </c>
    </row>
    <row r="468" spans="1:16" ht="15" customHeight="1" x14ac:dyDescent="0.15">
      <c r="A468" s="242"/>
      <c r="B468" s="242"/>
      <c r="C468" s="242"/>
      <c r="D468" s="256"/>
      <c r="E468" s="242"/>
      <c r="F468" s="257"/>
      <c r="G468" s="242"/>
      <c r="H468" s="257"/>
      <c r="I468" s="242"/>
      <c r="J468" s="249">
        <f>IF(OR(B468="",C468="",E468=""),"",B468&amp;":"&amp;C468&amp;":"&amp;E468)</f>
      </c>
      <c r="K468" s="250">
        <f>IF(A468="","",A468*D468)</f>
      </c>
      <c r="L468" s="249">
        <f>IF(A468="","",IF(OR(A468=1,A468=0),H468,0))</f>
      </c>
      <c r="M468" s="249">
        <f>IF(A468="","",IF(A468=-1,H468,0))</f>
      </c>
      <c r="N468">
        <f>IF($E468="SGD",1,IF($E468="USD",Settings!$B$22,IF($E468="HKD",Settings!$B$23,1)))</f>
      </c>
      <c r="O468">
        <f>IF($J468="",0,($M468-$L468+IF($A468=2,$H468,0))*$N468)</f>
      </c>
      <c r="P468">
        <f>IF($J468="",0,IF($A468=2,$H468*$N468,0))</f>
      </c>
    </row>
    <row r="469" spans="1:16" ht="15" customHeight="1" x14ac:dyDescent="0.15">
      <c r="A469" s="242"/>
      <c r="B469" s="242"/>
      <c r="C469" s="242"/>
      <c r="D469" s="256"/>
      <c r="E469" s="242"/>
      <c r="F469" s="257"/>
      <c r="G469" s="242"/>
      <c r="H469" s="257"/>
      <c r="I469" s="242"/>
      <c r="J469" s="249">
        <f>IF(OR(B469="",C469="",E469=""),"",B469&amp;":"&amp;C469&amp;":"&amp;E469)</f>
      </c>
      <c r="K469" s="250">
        <f>IF(A469="","",A469*D469)</f>
      </c>
      <c r="L469" s="249">
        <f>IF(A469="","",IF(OR(A469=1,A469=0),H469,0))</f>
      </c>
      <c r="M469" s="249">
        <f>IF(A469="","",IF(A469=-1,H469,0))</f>
      </c>
      <c r="N469">
        <f>IF($E469="SGD",1,IF($E469="USD",Settings!$B$22,IF($E469="HKD",Settings!$B$23,1)))</f>
      </c>
      <c r="O469">
        <f>IF($J469="",0,($M469-$L469+IF($A469=2,$H469,0))*$N469)</f>
      </c>
      <c r="P469">
        <f>IF($J469="",0,IF($A469=2,$H469*$N469,0))</f>
      </c>
    </row>
    <row r="470" spans="1:16" ht="15" customHeight="1" x14ac:dyDescent="0.15">
      <c r="A470" s="242"/>
      <c r="B470" s="242"/>
      <c r="C470" s="242"/>
      <c r="D470" s="256"/>
      <c r="E470" s="242"/>
      <c r="F470" s="257"/>
      <c r="G470" s="242"/>
      <c r="H470" s="257"/>
      <c r="I470" s="242"/>
      <c r="J470" s="249">
        <f>IF(OR(B470="",C470="",E470=""),"",B470&amp;":"&amp;C470&amp;":"&amp;E470)</f>
      </c>
      <c r="K470" s="250">
        <f>IF(A470="","",A470*D470)</f>
      </c>
      <c r="L470" s="249">
        <f>IF(A470="","",IF(OR(A470=1,A470=0),H470,0))</f>
      </c>
      <c r="M470" s="249">
        <f>IF(A470="","",IF(A470=-1,H470,0))</f>
      </c>
      <c r="N470">
        <f>IF($E470="SGD",1,IF($E470="USD",Settings!$B$22,IF($E470="HKD",Settings!$B$23,1)))</f>
      </c>
      <c r="O470">
        <f>IF($J470="",0,($M470-$L470+IF($A470=2,$H470,0))*$N470)</f>
      </c>
      <c r="P470">
        <f>IF($J470="",0,IF($A470=2,$H470*$N470,0))</f>
      </c>
    </row>
    <row r="471" spans="1:16" ht="15" customHeight="1" x14ac:dyDescent="0.15">
      <c r="A471" s="242"/>
      <c r="B471" s="242"/>
      <c r="C471" s="242"/>
      <c r="D471" s="256"/>
      <c r="E471" s="242"/>
      <c r="F471" s="257"/>
      <c r="G471" s="242"/>
      <c r="H471" s="257"/>
      <c r="I471" s="242"/>
      <c r="J471" s="249">
        <f>IF(OR(B471="",C471="",E471=""),"",B471&amp;":"&amp;C471&amp;":"&amp;E471)</f>
      </c>
      <c r="K471" s="250">
        <f>IF(A471="","",A471*D471)</f>
      </c>
      <c r="L471" s="249">
        <f>IF(A471="","",IF(OR(A471=1,A471=0),H471,0))</f>
      </c>
      <c r="M471" s="249">
        <f>IF(A471="","",IF(A471=-1,H471,0))</f>
      </c>
      <c r="N471">
        <f>IF($E471="SGD",1,IF($E471="USD",Settings!$B$22,IF($E471="HKD",Settings!$B$23,1)))</f>
      </c>
      <c r="O471">
        <f>IF($J471="",0,($M471-$L471+IF($A471=2,$H471,0))*$N471)</f>
      </c>
      <c r="P471">
        <f>IF($J471="",0,IF($A471=2,$H471*$N471,0))</f>
      </c>
    </row>
    <row r="472" spans="1:16" ht="15" customHeight="1" x14ac:dyDescent="0.15">
      <c r="A472" s="242"/>
      <c r="B472" s="242"/>
      <c r="C472" s="242"/>
      <c r="D472" s="256"/>
      <c r="E472" s="242"/>
      <c r="F472" s="257"/>
      <c r="G472" s="242"/>
      <c r="H472" s="257"/>
      <c r="I472" s="242"/>
      <c r="J472" s="249">
        <f>IF(OR(B472="",C472="",E472=""),"",B472&amp;":"&amp;C472&amp;":"&amp;E472)</f>
      </c>
      <c r="K472" s="250">
        <f>IF(A472="","",A472*D472)</f>
      </c>
      <c r="L472" s="249">
        <f>IF(A472="","",IF(OR(A472=1,A472=0),H472,0))</f>
      </c>
      <c r="M472" s="249">
        <f>IF(A472="","",IF(A472=-1,H472,0))</f>
      </c>
      <c r="N472">
        <f>IF($E472="SGD",1,IF($E472="USD",Settings!$B$22,IF($E472="HKD",Settings!$B$23,1)))</f>
      </c>
      <c r="O472">
        <f>IF($J472="",0,($M472-$L472+IF($A472=2,$H472,0))*$N472)</f>
      </c>
      <c r="P472">
        <f>IF($J472="",0,IF($A472=2,$H472*$N472,0))</f>
      </c>
    </row>
    <row r="473" spans="1:16" ht="15" customHeight="1" x14ac:dyDescent="0.15">
      <c r="A473" s="242"/>
      <c r="B473" s="242"/>
      <c r="C473" s="242"/>
      <c r="D473" s="256"/>
      <c r="E473" s="242"/>
      <c r="F473" s="257"/>
      <c r="G473" s="242"/>
      <c r="H473" s="257"/>
      <c r="I473" s="242"/>
      <c r="J473" s="249">
        <f>IF(OR(B473="",C473="",E473=""),"",B473&amp;":"&amp;C473&amp;":"&amp;E473)</f>
      </c>
      <c r="K473" s="250">
        <f>IF(A473="","",A473*D473)</f>
      </c>
      <c r="L473" s="249">
        <f>IF(A473="","",IF(OR(A473=1,A473=0),H473,0))</f>
      </c>
      <c r="M473" s="249">
        <f>IF(A473="","",IF(A473=-1,H473,0))</f>
      </c>
      <c r="N473">
        <f>IF($E473="SGD",1,IF($E473="USD",Settings!$B$22,IF($E473="HKD",Settings!$B$23,1)))</f>
      </c>
      <c r="O473">
        <f>IF($J473="",0,($M473-$L473+IF($A473=2,$H473,0))*$N473)</f>
      </c>
      <c r="P473">
        <f>IF($J473="",0,IF($A473=2,$H473*$N473,0))</f>
      </c>
    </row>
    <row r="474" spans="1:16" ht="15" customHeight="1" x14ac:dyDescent="0.15">
      <c r="A474" s="242"/>
      <c r="B474" s="242"/>
      <c r="C474" s="242"/>
      <c r="D474" s="256"/>
      <c r="E474" s="242"/>
      <c r="F474" s="257"/>
      <c r="G474" s="242"/>
      <c r="H474" s="257"/>
      <c r="I474" s="242"/>
      <c r="J474" s="249">
        <f>IF(OR(B474="",C474="",E474=""),"",B474&amp;":"&amp;C474&amp;":"&amp;E474)</f>
      </c>
      <c r="K474" s="250">
        <f>IF(A474="","",A474*D474)</f>
      </c>
      <c r="L474" s="249">
        <f>IF(A474="","",IF(OR(A474=1,A474=0),H474,0))</f>
      </c>
      <c r="M474" s="249">
        <f>IF(A474="","",IF(A474=-1,H474,0))</f>
      </c>
      <c r="N474">
        <f>IF($E474="SGD",1,IF($E474="USD",Settings!$B$22,IF($E474="HKD",Settings!$B$23,1)))</f>
      </c>
      <c r="O474">
        <f>IF($J474="",0,($M474-$L474+IF($A474=2,$H474,0))*$N474)</f>
      </c>
      <c r="P474">
        <f>IF($J474="",0,IF($A474=2,$H474*$N474,0))</f>
      </c>
    </row>
    <row r="475" spans="1:16" ht="15" customHeight="1" x14ac:dyDescent="0.15">
      <c r="A475" s="242"/>
      <c r="B475" s="242"/>
      <c r="C475" s="242"/>
      <c r="D475" s="256"/>
      <c r="E475" s="242"/>
      <c r="F475" s="257"/>
      <c r="G475" s="242"/>
      <c r="H475" s="257"/>
      <c r="I475" s="242"/>
      <c r="J475" s="249">
        <f>IF(OR(B475="",C475="",E475=""),"",B475&amp;":"&amp;C475&amp;":"&amp;E475)</f>
      </c>
      <c r="K475" s="250">
        <f>IF(A475="","",A475*D475)</f>
      </c>
      <c r="L475" s="249">
        <f>IF(A475="","",IF(OR(A475=1,A475=0),H475,0))</f>
      </c>
      <c r="M475" s="249">
        <f>IF(A475="","",IF(A475=-1,H475,0))</f>
      </c>
      <c r="N475">
        <f>IF($E475="SGD",1,IF($E475="USD",Settings!$B$22,IF($E475="HKD",Settings!$B$23,1)))</f>
      </c>
      <c r="O475">
        <f>IF($J475="",0,($M475-$L475+IF($A475=2,$H475,0))*$N475)</f>
      </c>
      <c r="P475">
        <f>IF($J475="",0,IF($A475=2,$H475*$N475,0))</f>
      </c>
    </row>
    <row r="476" spans="1:16" ht="15" customHeight="1" x14ac:dyDescent="0.15">
      <c r="A476" s="242"/>
      <c r="B476" s="242"/>
      <c r="C476" s="242"/>
      <c r="D476" s="256"/>
      <c r="E476" s="242"/>
      <c r="F476" s="257"/>
      <c r="G476" s="242"/>
      <c r="H476" s="257"/>
      <c r="I476" s="242"/>
      <c r="J476" s="249">
        <f>IF(OR(B476="",C476="",E476=""),"",B476&amp;":"&amp;C476&amp;":"&amp;E476)</f>
      </c>
      <c r="K476" s="250">
        <f>IF(A476="","",A476*D476)</f>
      </c>
      <c r="L476" s="249">
        <f>IF(A476="","",IF(OR(A476=1,A476=0),H476,0))</f>
      </c>
      <c r="M476" s="249">
        <f>IF(A476="","",IF(A476=-1,H476,0))</f>
      </c>
      <c r="N476">
        <f>IF($E476="SGD",1,IF($E476="USD",Settings!$B$22,IF($E476="HKD",Settings!$B$23,1)))</f>
      </c>
      <c r="O476">
        <f>IF($J476="",0,($M476-$L476+IF($A476=2,$H476,0))*$N476)</f>
      </c>
      <c r="P476">
        <f>IF($J476="",0,IF($A476=2,$H476*$N476,0))</f>
      </c>
    </row>
    <row r="477" spans="1:16" ht="15" customHeight="1" x14ac:dyDescent="0.15">
      <c r="A477" s="242"/>
      <c r="B477" s="242"/>
      <c r="C477" s="242"/>
      <c r="D477" s="256"/>
      <c r="E477" s="242"/>
      <c r="F477" s="257"/>
      <c r="G477" s="242"/>
      <c r="H477" s="257"/>
      <c r="I477" s="242"/>
      <c r="J477" s="249">
        <f>IF(OR(B477="",C477="",E477=""),"",B477&amp;":"&amp;C477&amp;":"&amp;E477)</f>
      </c>
      <c r="K477" s="250">
        <f>IF(A477="","",A477*D477)</f>
      </c>
      <c r="L477" s="249">
        <f>IF(A477="","",IF(OR(A477=1,A477=0),H477,0))</f>
      </c>
      <c r="M477" s="249">
        <f>IF(A477="","",IF(A477=-1,H477,0))</f>
      </c>
      <c r="N477">
        <f>IF($E477="SGD",1,IF($E477="USD",Settings!$B$22,IF($E477="HKD",Settings!$B$23,1)))</f>
      </c>
      <c r="O477">
        <f>IF($J477="",0,($M477-$L477+IF($A477=2,$H477,0))*$N477)</f>
      </c>
      <c r="P477">
        <f>IF($J477="",0,IF($A477=2,$H477*$N477,0))</f>
      </c>
    </row>
    <row r="478" spans="1:16" ht="15" customHeight="1" x14ac:dyDescent="0.15">
      <c r="A478" s="242"/>
      <c r="B478" s="242"/>
      <c r="C478" s="242"/>
      <c r="D478" s="256"/>
      <c r="E478" s="242"/>
      <c r="F478" s="257"/>
      <c r="G478" s="242"/>
      <c r="H478" s="257"/>
      <c r="I478" s="242"/>
      <c r="J478" s="249">
        <f>IF(OR(B478="",C478="",E478=""),"",B478&amp;":"&amp;C478&amp;":"&amp;E478)</f>
      </c>
      <c r="K478" s="250">
        <f>IF(A478="","",A478*D478)</f>
      </c>
      <c r="L478" s="249">
        <f>IF(A478="","",IF(OR(A478=1,A478=0),H478,0))</f>
      </c>
      <c r="M478" s="249">
        <f>IF(A478="","",IF(A478=-1,H478,0))</f>
      </c>
      <c r="N478">
        <f>IF($E478="SGD",1,IF($E478="USD",Settings!$B$22,IF($E478="HKD",Settings!$B$23,1)))</f>
      </c>
      <c r="O478">
        <f>IF($J478="",0,($M478-$L478+IF($A478=2,$H478,0))*$N478)</f>
      </c>
      <c r="P478">
        <f>IF($J478="",0,IF($A478=2,$H478*$N478,0))</f>
      </c>
    </row>
    <row r="479" spans="1:16" ht="15" customHeight="1" x14ac:dyDescent="0.15">
      <c r="A479" s="242"/>
      <c r="B479" s="242"/>
      <c r="C479" s="242"/>
      <c r="D479" s="256"/>
      <c r="E479" s="242"/>
      <c r="F479" s="257"/>
      <c r="G479" s="242"/>
      <c r="H479" s="257"/>
      <c r="I479" s="242"/>
      <c r="J479" s="249">
        <f>IF(OR(B479="",C479="",E479=""),"",B479&amp;":"&amp;C479&amp;":"&amp;E479)</f>
      </c>
      <c r="K479" s="250">
        <f>IF(A479="","",A479*D479)</f>
      </c>
      <c r="L479" s="249">
        <f>IF(A479="","",IF(OR(A479=1,A479=0),H479,0))</f>
      </c>
      <c r="M479" s="249">
        <f>IF(A479="","",IF(A479=-1,H479,0))</f>
      </c>
      <c r="N479">
        <f>IF($E479="SGD",1,IF($E479="USD",Settings!$B$22,IF($E479="HKD",Settings!$B$23,1)))</f>
      </c>
      <c r="O479">
        <f>IF($J479="",0,($M479-$L479+IF($A479=2,$H479,0))*$N479)</f>
      </c>
      <c r="P479">
        <f>IF($J479="",0,IF($A479=2,$H479*$N479,0))</f>
      </c>
    </row>
    <row r="480" spans="1:16" ht="15" customHeight="1" x14ac:dyDescent="0.15">
      <c r="A480" s="242"/>
      <c r="B480" s="242"/>
      <c r="C480" s="242"/>
      <c r="D480" s="256"/>
      <c r="E480" s="242"/>
      <c r="F480" s="257"/>
      <c r="G480" s="242"/>
      <c r="H480" s="257"/>
      <c r="I480" s="242"/>
      <c r="J480" s="249">
        <f>IF(OR(B480="",C480="",E480=""),"",B480&amp;":"&amp;C480&amp;":"&amp;E480)</f>
      </c>
      <c r="K480" s="250">
        <f>IF(A480="","",A480*D480)</f>
      </c>
      <c r="L480" s="249">
        <f>IF(A480="","",IF(OR(A480=1,A480=0),H480,0))</f>
      </c>
      <c r="M480" s="249">
        <f>IF(A480="","",IF(A480=-1,H480,0))</f>
      </c>
      <c r="N480">
        <f>IF($E480="SGD",1,IF($E480="USD",Settings!$B$22,IF($E480="HKD",Settings!$B$23,1)))</f>
      </c>
      <c r="O480">
        <f>IF($J480="",0,($M480-$L480+IF($A480=2,$H480,0))*$N480)</f>
      </c>
      <c r="P480">
        <f>IF($J480="",0,IF($A480=2,$H480*$N480,0))</f>
      </c>
    </row>
    <row r="481" spans="1:16" ht="15" customHeight="1" x14ac:dyDescent="0.15">
      <c r="A481" s="242"/>
      <c r="B481" s="242"/>
      <c r="C481" s="242"/>
      <c r="D481" s="256"/>
      <c r="E481" s="242"/>
      <c r="F481" s="257"/>
      <c r="G481" s="242"/>
      <c r="H481" s="257"/>
      <c r="I481" s="242"/>
      <c r="J481" s="249">
        <f>IF(OR(B481="",C481="",E481=""),"",B481&amp;":"&amp;C481&amp;":"&amp;E481)</f>
      </c>
      <c r="K481" s="250">
        <f>IF(A481="","",A481*D481)</f>
      </c>
      <c r="L481" s="249">
        <f>IF(A481="","",IF(OR(A481=1,A481=0),H481,0))</f>
      </c>
      <c r="M481" s="249">
        <f>IF(A481="","",IF(A481=-1,H481,0))</f>
      </c>
      <c r="N481">
        <f>IF($E481="SGD",1,IF($E481="USD",Settings!$B$22,IF($E481="HKD",Settings!$B$23,1)))</f>
      </c>
      <c r="O481">
        <f>IF($J481="",0,($M481-$L481+IF($A481=2,$H481,0))*$N481)</f>
      </c>
      <c r="P481">
        <f>IF($J481="",0,IF($A481=2,$H481*$N481,0))</f>
      </c>
    </row>
    <row r="482" spans="1:16" ht="15" customHeight="1" x14ac:dyDescent="0.15">
      <c r="A482" s="242"/>
      <c r="B482" s="242"/>
      <c r="C482" s="242"/>
      <c r="D482" s="256"/>
      <c r="E482" s="242"/>
      <c r="F482" s="257"/>
      <c r="G482" s="242"/>
      <c r="H482" s="257"/>
      <c r="I482" s="242"/>
      <c r="J482" s="249">
        <f>IF(OR(B482="",C482="",E482=""),"",B482&amp;":"&amp;C482&amp;":"&amp;E482)</f>
      </c>
      <c r="K482" s="250">
        <f>IF(A482="","",A482*D482)</f>
      </c>
      <c r="L482" s="249">
        <f>IF(A482="","",IF(OR(A482=1,A482=0),H482,0))</f>
      </c>
      <c r="M482" s="249">
        <f>IF(A482="","",IF(A482=-1,H482,0))</f>
      </c>
      <c r="N482">
        <f>IF($E482="SGD",1,IF($E482="USD",Settings!$B$22,IF($E482="HKD",Settings!$B$23,1)))</f>
      </c>
      <c r="O482">
        <f>IF($J482="",0,($M482-$L482+IF($A482=2,$H482,0))*$N482)</f>
      </c>
      <c r="P482">
        <f>IF($J482="",0,IF($A482=2,$H482*$N482,0))</f>
      </c>
    </row>
    <row r="483" spans="1:16" ht="15" customHeight="1" x14ac:dyDescent="0.15">
      <c r="A483" s="242"/>
      <c r="B483" s="242"/>
      <c r="C483" s="242"/>
      <c r="D483" s="256"/>
      <c r="E483" s="242"/>
      <c r="F483" s="257"/>
      <c r="G483" s="242"/>
      <c r="H483" s="257"/>
      <c r="I483" s="242"/>
      <c r="J483" s="249">
        <f>IF(OR(B483="",C483="",E483=""),"",B483&amp;":"&amp;C483&amp;":"&amp;E483)</f>
      </c>
      <c r="K483" s="250">
        <f>IF(A483="","",A483*D483)</f>
      </c>
      <c r="L483" s="249">
        <f>IF(A483="","",IF(OR(A483=1,A483=0),H483,0))</f>
      </c>
      <c r="M483" s="249">
        <f>IF(A483="","",IF(A483=-1,H483,0))</f>
      </c>
      <c r="N483">
        <f>IF($E483="SGD",1,IF($E483="USD",Settings!$B$22,IF($E483="HKD",Settings!$B$23,1)))</f>
      </c>
      <c r="O483">
        <f>IF($J483="",0,($M483-$L483+IF($A483=2,$H483,0))*$N483)</f>
      </c>
      <c r="P483">
        <f>IF($J483="",0,IF($A483=2,$H483*$N483,0))</f>
      </c>
    </row>
    <row r="484" spans="1:16" ht="15" customHeight="1" x14ac:dyDescent="0.15">
      <c r="A484" s="242"/>
      <c r="B484" s="242"/>
      <c r="C484" s="242"/>
      <c r="D484" s="256"/>
      <c r="E484" s="242"/>
      <c r="F484" s="257"/>
      <c r="G484" s="242"/>
      <c r="H484" s="257"/>
      <c r="I484" s="242"/>
      <c r="J484" s="249">
        <f>IF(OR(B484="",C484="",E484=""),"",B484&amp;":"&amp;C484&amp;":"&amp;E484)</f>
      </c>
      <c r="K484" s="250">
        <f>IF(A484="","",A484*D484)</f>
      </c>
      <c r="L484" s="249">
        <f>IF(A484="","",IF(OR(A484=1,A484=0),H484,0))</f>
      </c>
      <c r="M484" s="249">
        <f>IF(A484="","",IF(A484=-1,H484,0))</f>
      </c>
      <c r="N484">
        <f>IF($E484="SGD",1,IF($E484="USD",Settings!$B$22,IF($E484="HKD",Settings!$B$23,1)))</f>
      </c>
      <c r="O484">
        <f>IF($J484="",0,($M484-$L484+IF($A484=2,$H484,0))*$N484)</f>
      </c>
      <c r="P484">
        <f>IF($J484="",0,IF($A484=2,$H484*$N484,0))</f>
      </c>
    </row>
    <row r="485" spans="1:16" ht="15" customHeight="1" x14ac:dyDescent="0.15">
      <c r="A485" s="242"/>
      <c r="B485" s="242"/>
      <c r="C485" s="242"/>
      <c r="D485" s="256"/>
      <c r="E485" s="242"/>
      <c r="F485" s="257"/>
      <c r="G485" s="242"/>
      <c r="H485" s="257"/>
      <c r="I485" s="242"/>
      <c r="J485" s="249">
        <f>IF(OR(B485="",C485="",E485=""),"",B485&amp;":"&amp;C485&amp;":"&amp;E485)</f>
      </c>
      <c r="K485" s="250">
        <f>IF(A485="","",A485*D485)</f>
      </c>
      <c r="L485" s="249">
        <f>IF(A485="","",IF(OR(A485=1,A485=0),H485,0))</f>
      </c>
      <c r="M485" s="249">
        <f>IF(A485="","",IF(A485=-1,H485,0))</f>
      </c>
      <c r="N485">
        <f>IF($E485="SGD",1,IF($E485="USD",Settings!$B$22,IF($E485="HKD",Settings!$B$23,1)))</f>
      </c>
      <c r="O485">
        <f>IF($J485="",0,($M485-$L485+IF($A485=2,$H485,0))*$N485)</f>
      </c>
      <c r="P485">
        <f>IF($J485="",0,IF($A485=2,$H485*$N485,0))</f>
      </c>
    </row>
    <row r="486" spans="1:16" ht="15" customHeight="1" x14ac:dyDescent="0.15">
      <c r="A486" s="242"/>
      <c r="B486" s="242"/>
      <c r="C486" s="242"/>
      <c r="D486" s="256"/>
      <c r="E486" s="242"/>
      <c r="F486" s="257"/>
      <c r="G486" s="242"/>
      <c r="H486" s="257"/>
      <c r="I486" s="242"/>
      <c r="J486" s="249">
        <f>IF(OR(B486="",C486="",E486=""),"",B486&amp;":"&amp;C486&amp;":"&amp;E486)</f>
      </c>
      <c r="K486" s="250">
        <f>IF(A486="","",A486*D486)</f>
      </c>
      <c r="L486" s="249">
        <f>IF(A486="","",IF(OR(A486=1,A486=0),H486,0))</f>
      </c>
      <c r="M486" s="249">
        <f>IF(A486="","",IF(A486=-1,H486,0))</f>
      </c>
      <c r="N486">
        <f>IF($E486="SGD",1,IF($E486="USD",Settings!$B$22,IF($E486="HKD",Settings!$B$23,1)))</f>
      </c>
      <c r="O486">
        <f>IF($J486="",0,($M486-$L486+IF($A486=2,$H486,0))*$N486)</f>
      </c>
      <c r="P486">
        <f>IF($J486="",0,IF($A486=2,$H486*$N486,0))</f>
      </c>
    </row>
    <row r="487" spans="1:16" ht="15" customHeight="1" x14ac:dyDescent="0.15">
      <c r="A487" s="242"/>
      <c r="B487" s="242"/>
      <c r="C487" s="242"/>
      <c r="D487" s="256"/>
      <c r="E487" s="242"/>
      <c r="F487" s="257"/>
      <c r="G487" s="242"/>
      <c r="H487" s="257"/>
      <c r="I487" s="242"/>
      <c r="J487" s="249">
        <f>IF(OR(B487="",C487="",E487=""),"",B487&amp;":"&amp;C487&amp;":"&amp;E487)</f>
      </c>
      <c r="K487" s="250">
        <f>IF(A487="","",A487*D487)</f>
      </c>
      <c r="L487" s="249">
        <f>IF(A487="","",IF(OR(A487=1,A487=0),H487,0))</f>
      </c>
      <c r="M487" s="249">
        <f>IF(A487="","",IF(A487=-1,H487,0))</f>
      </c>
      <c r="N487">
        <f>IF($E487="SGD",1,IF($E487="USD",Settings!$B$22,IF($E487="HKD",Settings!$B$23,1)))</f>
      </c>
      <c r="O487">
        <f>IF($J487="",0,($M487-$L487+IF($A487=2,$H487,0))*$N487)</f>
      </c>
      <c r="P487">
        <f>IF($J487="",0,IF($A487=2,$H487*$N487,0))</f>
      </c>
    </row>
    <row r="488" spans="1:16" ht="15" customHeight="1" x14ac:dyDescent="0.15">
      <c r="A488" s="242"/>
      <c r="B488" s="242"/>
      <c r="C488" s="242"/>
      <c r="D488" s="256"/>
      <c r="E488" s="242"/>
      <c r="F488" s="257"/>
      <c r="G488" s="242"/>
      <c r="H488" s="257"/>
      <c r="I488" s="242"/>
      <c r="J488" s="249">
        <f>IF(OR(B488="",C488="",E488=""),"",B488&amp;":"&amp;C488&amp;":"&amp;E488)</f>
      </c>
      <c r="K488" s="250">
        <f>IF(A488="","",A488*D488)</f>
      </c>
      <c r="L488" s="249">
        <f>IF(A488="","",IF(OR(A488=1,A488=0),H488,0))</f>
      </c>
      <c r="M488" s="249">
        <f>IF(A488="","",IF(A488=-1,H488,0))</f>
      </c>
      <c r="N488">
        <f>IF($E488="SGD",1,IF($E488="USD",Settings!$B$22,IF($E488="HKD",Settings!$B$23,1)))</f>
      </c>
      <c r="O488">
        <f>IF($J488="",0,($M488-$L488+IF($A488=2,$H488,0))*$N488)</f>
      </c>
      <c r="P488">
        <f>IF($J488="",0,IF($A488=2,$H488*$N488,0))</f>
      </c>
    </row>
    <row r="489" spans="1:16" ht="15" customHeight="1" x14ac:dyDescent="0.15">
      <c r="A489" s="242"/>
      <c r="B489" s="242"/>
      <c r="C489" s="242"/>
      <c r="D489" s="256"/>
      <c r="E489" s="242"/>
      <c r="F489" s="257"/>
      <c r="G489" s="242"/>
      <c r="H489" s="257"/>
      <c r="I489" s="242"/>
      <c r="J489" s="249">
        <f>IF(OR(B489="",C489="",E489=""),"",B489&amp;":"&amp;C489&amp;":"&amp;E489)</f>
      </c>
      <c r="K489" s="250">
        <f>IF(A489="","",A489*D489)</f>
      </c>
      <c r="L489" s="249">
        <f>IF(A489="","",IF(OR(A489=1,A489=0),H489,0))</f>
      </c>
      <c r="M489" s="249">
        <f>IF(A489="","",IF(A489=-1,H489,0))</f>
      </c>
      <c r="N489">
        <f>IF($E489="SGD",1,IF($E489="USD",Settings!$B$22,IF($E489="HKD",Settings!$B$23,1)))</f>
      </c>
      <c r="O489">
        <f>IF($J489="",0,($M489-$L489+IF($A489=2,$H489,0))*$N489)</f>
      </c>
      <c r="P489">
        <f>IF($J489="",0,IF($A489=2,$H489*$N489,0))</f>
      </c>
    </row>
    <row r="490" spans="1:16" ht="15" customHeight="1" x14ac:dyDescent="0.15">
      <c r="A490" s="242"/>
      <c r="B490" s="242"/>
      <c r="C490" s="242"/>
      <c r="D490" s="256"/>
      <c r="E490" s="242"/>
      <c r="F490" s="257"/>
      <c r="G490" s="242"/>
      <c r="H490" s="257"/>
      <c r="I490" s="242"/>
      <c r="J490" s="249">
        <f>IF(OR(B490="",C490="",E490=""),"",B490&amp;":"&amp;C490&amp;":"&amp;E490)</f>
      </c>
      <c r="K490" s="250">
        <f>IF(A490="","",A490*D490)</f>
      </c>
      <c r="L490" s="249">
        <f>IF(A490="","",IF(OR(A490=1,A490=0),H490,0))</f>
      </c>
      <c r="M490" s="249">
        <f>IF(A490="","",IF(A490=-1,H490,0))</f>
      </c>
      <c r="N490">
        <f>IF($E490="SGD",1,IF($E490="USD",Settings!$B$22,IF($E490="HKD",Settings!$B$23,1)))</f>
      </c>
      <c r="O490">
        <f>IF($J490="",0,($M490-$L490+IF($A490=2,$H490,0))*$N490)</f>
      </c>
      <c r="P490">
        <f>IF($J490="",0,IF($A490=2,$H490*$N490,0))</f>
      </c>
    </row>
    <row r="491" spans="1:16" ht="15" customHeight="1" x14ac:dyDescent="0.15">
      <c r="A491" s="242"/>
      <c r="B491" s="242"/>
      <c r="C491" s="242"/>
      <c r="D491" s="256"/>
      <c r="E491" s="242"/>
      <c r="F491" s="257"/>
      <c r="G491" s="242"/>
      <c r="H491" s="257"/>
      <c r="I491" s="242"/>
      <c r="J491" s="249">
        <f>IF(OR(B491="",C491="",E491=""),"",B491&amp;":"&amp;C491&amp;":"&amp;E491)</f>
      </c>
      <c r="K491" s="250">
        <f>IF(A491="","",A491*D491)</f>
      </c>
      <c r="L491" s="249">
        <f>IF(A491="","",IF(OR(A491=1,A491=0),H491,0))</f>
      </c>
      <c r="M491" s="249">
        <f>IF(A491="","",IF(A491=-1,H491,0))</f>
      </c>
      <c r="N491">
        <f>IF($E491="SGD",1,IF($E491="USD",Settings!$B$22,IF($E491="HKD",Settings!$B$23,1)))</f>
      </c>
      <c r="O491">
        <f>IF($J491="",0,($M491-$L491+IF($A491=2,$H491,0))*$N491)</f>
      </c>
      <c r="P491">
        <f>IF($J491="",0,IF($A491=2,$H491*$N491,0))</f>
      </c>
    </row>
    <row r="492" spans="1:16" ht="15" customHeight="1" x14ac:dyDescent="0.15">
      <c r="A492" s="242"/>
      <c r="B492" s="242"/>
      <c r="C492" s="242"/>
      <c r="D492" s="256"/>
      <c r="E492" s="242"/>
      <c r="F492" s="257"/>
      <c r="G492" s="242"/>
      <c r="H492" s="257"/>
      <c r="I492" s="242"/>
      <c r="J492" s="249">
        <f>IF(OR(B492="",C492="",E492=""),"",B492&amp;":"&amp;C492&amp;":"&amp;E492)</f>
      </c>
      <c r="K492" s="250">
        <f>IF(A492="","",A492*D492)</f>
      </c>
      <c r="L492" s="249">
        <f>IF(A492="","",IF(OR(A492=1,A492=0),H492,0))</f>
      </c>
      <c r="M492" s="249">
        <f>IF(A492="","",IF(A492=-1,H492,0))</f>
      </c>
      <c r="N492">
        <f>IF($E492="SGD",1,IF($E492="USD",Settings!$B$22,IF($E492="HKD",Settings!$B$23,1)))</f>
      </c>
      <c r="O492">
        <f>IF($J492="",0,($M492-$L492+IF($A492=2,$H492,0))*$N492)</f>
      </c>
      <c r="P492">
        <f>IF($J492="",0,IF($A492=2,$H492*$N492,0))</f>
      </c>
    </row>
    <row r="493" spans="1:16" ht="15" customHeight="1" x14ac:dyDescent="0.15">
      <c r="A493" s="242"/>
      <c r="B493" s="242"/>
      <c r="C493" s="242"/>
      <c r="D493" s="256"/>
      <c r="E493" s="242"/>
      <c r="F493" s="257"/>
      <c r="G493" s="242"/>
      <c r="H493" s="257"/>
      <c r="I493" s="242"/>
      <c r="J493" s="249">
        <f>IF(OR(B493="",C493="",E493=""),"",B493&amp;":"&amp;C493&amp;":"&amp;E493)</f>
      </c>
      <c r="K493" s="250">
        <f>IF(A493="","",A493*D493)</f>
      </c>
      <c r="L493" s="249">
        <f>IF(A493="","",IF(OR(A493=1,A493=0),H493,0))</f>
      </c>
      <c r="M493" s="249">
        <f>IF(A493="","",IF(A493=-1,H493,0))</f>
      </c>
      <c r="N493">
        <f>IF($E493="SGD",1,IF($E493="USD",Settings!$B$22,IF($E493="HKD",Settings!$B$23,1)))</f>
      </c>
      <c r="O493">
        <f>IF($J493="",0,($M493-$L493+IF($A493=2,$H493,0))*$N493)</f>
      </c>
      <c r="P493">
        <f>IF($J493="",0,IF($A493=2,$H493*$N493,0))</f>
      </c>
    </row>
    <row r="494" spans="1:16" ht="15" customHeight="1" x14ac:dyDescent="0.15">
      <c r="A494" s="242"/>
      <c r="B494" s="242"/>
      <c r="C494" s="242"/>
      <c r="D494" s="256"/>
      <c r="E494" s="242"/>
      <c r="F494" s="257"/>
      <c r="G494" s="242"/>
      <c r="H494" s="257"/>
      <c r="I494" s="242"/>
      <c r="J494" s="249">
        <f>IF(OR(B494="",C494="",E494=""),"",B494&amp;":"&amp;C494&amp;":"&amp;E494)</f>
      </c>
      <c r="K494" s="250">
        <f>IF(A494="","",A494*D494)</f>
      </c>
      <c r="L494" s="249">
        <f>IF(A494="","",IF(OR(A494=1,A494=0),H494,0))</f>
      </c>
      <c r="M494" s="249">
        <f>IF(A494="","",IF(A494=-1,H494,0))</f>
      </c>
      <c r="N494">
        <f>IF($E494="SGD",1,IF($E494="USD",Settings!$B$22,IF($E494="HKD",Settings!$B$23,1)))</f>
      </c>
      <c r="O494">
        <f>IF($J494="",0,($M494-$L494+IF($A494=2,$H494,0))*$N494)</f>
      </c>
      <c r="P494">
        <f>IF($J494="",0,IF($A494=2,$H494*$N494,0))</f>
      </c>
    </row>
    <row r="495" spans="1:16" ht="15" customHeight="1" x14ac:dyDescent="0.15">
      <c r="A495" s="242"/>
      <c r="B495" s="242"/>
      <c r="C495" s="242"/>
      <c r="D495" s="256"/>
      <c r="E495" s="242"/>
      <c r="F495" s="257"/>
      <c r="G495" s="242"/>
      <c r="H495" s="257"/>
      <c r="I495" s="242"/>
      <c r="J495" s="249">
        <f>IF(OR(B495="",C495="",E495=""),"",B495&amp;":"&amp;C495&amp;":"&amp;E495)</f>
      </c>
      <c r="K495" s="250">
        <f>IF(A495="","",A495*D495)</f>
      </c>
      <c r="L495" s="249">
        <f>IF(A495="","",IF(OR(A495=1,A495=0),H495,0))</f>
      </c>
      <c r="M495" s="249">
        <f>IF(A495="","",IF(A495=-1,H495,0))</f>
      </c>
      <c r="N495">
        <f>IF($E495="SGD",1,IF($E495="USD",Settings!$B$22,IF($E495="HKD",Settings!$B$23,1)))</f>
      </c>
      <c r="O495">
        <f>IF($J495="",0,($M495-$L495+IF($A495=2,$H495,0))*$N495)</f>
      </c>
      <c r="P495">
        <f>IF($J495="",0,IF($A495=2,$H495*$N495,0))</f>
      </c>
    </row>
    <row r="496" spans="1:16" ht="15" customHeight="1" x14ac:dyDescent="0.15">
      <c r="A496" s="242"/>
      <c r="B496" s="242"/>
      <c r="C496" s="242"/>
      <c r="D496" s="256"/>
      <c r="E496" s="242"/>
      <c r="F496" s="257"/>
      <c r="G496" s="242"/>
      <c r="H496" s="257"/>
      <c r="I496" s="242"/>
      <c r="J496" s="249">
        <f>IF(OR(B496="",C496="",E496=""),"",B496&amp;":"&amp;C496&amp;":"&amp;E496)</f>
      </c>
      <c r="K496" s="250">
        <f>IF(A496="","",A496*D496)</f>
      </c>
      <c r="L496" s="249">
        <f>IF(A496="","",IF(OR(A496=1,A496=0),H496,0))</f>
      </c>
      <c r="M496" s="249">
        <f>IF(A496="","",IF(A496=-1,H496,0))</f>
      </c>
      <c r="N496">
        <f>IF($E496="SGD",1,IF($E496="USD",Settings!$B$22,IF($E496="HKD",Settings!$B$23,1)))</f>
      </c>
      <c r="O496">
        <f>IF($J496="",0,($M496-$L496+IF($A496=2,$H496,0))*$N496)</f>
      </c>
      <c r="P496">
        <f>IF($J496="",0,IF($A496=2,$H496*$N496,0))</f>
      </c>
    </row>
    <row r="497" spans="1:16" ht="15" customHeight="1" x14ac:dyDescent="0.15">
      <c r="A497" s="242"/>
      <c r="B497" s="242"/>
      <c r="C497" s="242"/>
      <c r="D497" s="256"/>
      <c r="E497" s="242"/>
      <c r="F497" s="257"/>
      <c r="G497" s="242"/>
      <c r="H497" s="257"/>
      <c r="I497" s="242"/>
      <c r="J497" s="249">
        <f>IF(OR(B497="",C497="",E497=""),"",B497&amp;":"&amp;C497&amp;":"&amp;E497)</f>
      </c>
      <c r="K497" s="250">
        <f>IF(A497="","",A497*D497)</f>
      </c>
      <c r="L497" s="249">
        <f>IF(A497="","",IF(OR(A497=1,A497=0),H497,0))</f>
      </c>
      <c r="M497" s="249">
        <f>IF(A497="","",IF(A497=-1,H497,0))</f>
      </c>
      <c r="N497">
        <f>IF($E497="SGD",1,IF($E497="USD",Settings!$B$22,IF($E497="HKD",Settings!$B$23,1)))</f>
      </c>
      <c r="O497">
        <f>IF($J497="",0,($M497-$L497+IF($A497=2,$H497,0))*$N497)</f>
      </c>
      <c r="P497">
        <f>IF($J497="",0,IF($A497=2,$H497*$N497,0))</f>
      </c>
    </row>
    <row r="498" spans="1:16" ht="15" customHeight="1" x14ac:dyDescent="0.15">
      <c r="A498" s="242"/>
      <c r="B498" s="242"/>
      <c r="C498" s="242"/>
      <c r="D498" s="256"/>
      <c r="E498" s="242"/>
      <c r="F498" s="257"/>
      <c r="G498" s="242"/>
      <c r="H498" s="257"/>
      <c r="I498" s="242"/>
      <c r="J498" s="249">
        <f>IF(OR(B498="",C498="",E498=""),"",B498&amp;":"&amp;C498&amp;":"&amp;E498)</f>
      </c>
      <c r="K498" s="250">
        <f>IF(A498="","",A498*D498)</f>
      </c>
      <c r="L498" s="249">
        <f>IF(A498="","",IF(OR(A498=1,A498=0),H498,0))</f>
      </c>
      <c r="M498" s="249">
        <f>IF(A498="","",IF(A498=-1,H498,0))</f>
      </c>
      <c r="N498">
        <f>IF($E498="SGD",1,IF($E498="USD",Settings!$B$22,IF($E498="HKD",Settings!$B$23,1)))</f>
      </c>
      <c r="O498">
        <f>IF($J498="",0,($M498-$L498+IF($A498=2,$H498,0))*$N498)</f>
      </c>
      <c r="P498">
        <f>IF($J498="",0,IF($A498=2,$H498*$N498,0))</f>
      </c>
    </row>
    <row r="499" spans="1:16" ht="15" customHeight="1" x14ac:dyDescent="0.15">
      <c r="A499" s="242"/>
      <c r="B499" s="242"/>
      <c r="C499" s="242"/>
      <c r="D499" s="256"/>
      <c r="E499" s="242"/>
      <c r="F499" s="257"/>
      <c r="G499" s="242"/>
      <c r="H499" s="257"/>
      <c r="I499" s="242"/>
      <c r="J499" s="249">
        <f>IF(OR(B499="",C499="",E499=""),"",B499&amp;":"&amp;C499&amp;":"&amp;E499)</f>
      </c>
      <c r="K499" s="250">
        <f>IF(A499="","",A499*D499)</f>
      </c>
      <c r="L499" s="249">
        <f>IF(A499="","",IF(OR(A499=1,A499=0),H499,0))</f>
      </c>
      <c r="M499" s="249">
        <f>IF(A499="","",IF(A499=-1,H499,0))</f>
      </c>
      <c r="N499">
        <f>IF($E499="SGD",1,IF($E499="USD",Settings!$B$22,IF($E499="HKD",Settings!$B$23,1)))</f>
      </c>
      <c r="O499">
        <f>IF($J499="",0,($M499-$L499+IF($A499=2,$H499,0))*$N499)</f>
      </c>
      <c r="P499">
        <f>IF($J499="",0,IF($A499=2,$H499*$N499,0))</f>
      </c>
    </row>
    <row r="500" spans="1:16" ht="15" customHeight="1" x14ac:dyDescent="0.15">
      <c r="A500" s="242"/>
      <c r="B500" s="242"/>
      <c r="C500" s="242"/>
      <c r="D500" s="256"/>
      <c r="E500" s="242"/>
      <c r="F500" s="257"/>
      <c r="G500" s="242"/>
      <c r="H500" s="257"/>
      <c r="I500" s="242"/>
      <c r="J500" s="249">
        <f>IF(OR(B500="",C500="",E500=""),"",B500&amp;":"&amp;C500&amp;":"&amp;E500)</f>
      </c>
      <c r="K500" s="250">
        <f>IF(A500="","",A500*D500)</f>
      </c>
      <c r="L500" s="249">
        <f>IF(A500="","",IF(OR(A500=1,A500=0),H500,0))</f>
      </c>
      <c r="M500" s="249">
        <f>IF(A500="","",IF(A500=-1,H500,0))</f>
      </c>
      <c r="N500">
        <f>IF($E500="SGD",1,IF($E500="USD",Settings!$B$22,IF($E500="HKD",Settings!$B$23,1)))</f>
      </c>
      <c r="O500">
        <f>IF($J500="",0,($M500-$L500+IF($A500=2,$H500,0))*$N500)</f>
      </c>
      <c r="P500">
        <f>IF($J500="",0,IF($A500=2,$H500*$N500,0))</f>
      </c>
    </row>
    <row r="501" spans="1:16" ht="15" customHeight="1" x14ac:dyDescent="0.15">
      <c r="A501" s="242"/>
      <c r="B501" s="242"/>
      <c r="C501" s="242"/>
      <c r="D501" s="256"/>
      <c r="E501" s="242"/>
      <c r="F501" s="257"/>
      <c r="G501" s="242"/>
      <c r="H501" s="257"/>
      <c r="I501" s="242"/>
      <c r="J501" s="249">
        <f>IF(OR(B501="",C501="",E501=""),"",B501&amp;":"&amp;C501&amp;":"&amp;E501)</f>
      </c>
      <c r="K501" s="250">
        <f>IF(A501="","",A501*D501)</f>
      </c>
      <c r="L501" s="249">
        <f>IF(A501="","",IF(OR(A501=1,A501=0),H501,0))</f>
      </c>
      <c r="M501" s="249">
        <f>IF(A501="","",IF(A501=-1,H501,0))</f>
      </c>
      <c r="N501">
        <f>IF($E501="SGD",1,IF($E501="USD",Settings!$B$22,IF($E501="HKD",Settings!$B$23,1)))</f>
      </c>
      <c r="O501">
        <f>IF($J501="",0,($M501-$L501+IF($A501=2,$H501,0))*$N501)</f>
      </c>
      <c r="P501">
        <f>IF($J501="",0,IF($A501=2,$H501*$N501,0))</f>
      </c>
    </row>
    <row r="502" spans="1:16" ht="15" customHeight="1" x14ac:dyDescent="0.15">
      <c r="A502" s="242"/>
      <c r="B502" s="242"/>
      <c r="C502" s="242"/>
      <c r="D502" s="256"/>
      <c r="E502" s="242"/>
      <c r="F502" s="257"/>
      <c r="G502" s="242"/>
      <c r="H502" s="257"/>
      <c r="I502" s="242"/>
      <c r="J502" s="249">
        <f>IF(OR(B502="",C502="",E502=""),"",B502&amp;":"&amp;C502&amp;":"&amp;E502)</f>
      </c>
      <c r="K502" s="250">
        <f>IF(A502="","",A502*D502)</f>
      </c>
      <c r="L502" s="249">
        <f>IF(A502="","",IF(OR(A502=1,A502=0),H502,0))</f>
      </c>
      <c r="M502" s="249">
        <f>IF(A502="","",IF(A502=-1,H502,0))</f>
      </c>
      <c r="N502">
        <f>IF($E502="SGD",1,IF($E502="USD",Settings!$B$22,IF($E502="HKD",Settings!$B$23,1)))</f>
      </c>
      <c r="O502">
        <f>IF($J502="",0,($M502-$L502+IF($A502=2,$H502,0))*$N502)</f>
      </c>
      <c r="P502">
        <f>IF($J502="",0,IF($A502=2,$H502*$N502,0))</f>
      </c>
    </row>
    <row r="503" spans="1:16" ht="15" customHeight="1" x14ac:dyDescent="0.15">
      <c r="A503" s="242"/>
      <c r="B503" s="242"/>
      <c r="C503" s="242"/>
      <c r="D503" s="256"/>
      <c r="E503" s="242"/>
      <c r="F503" s="257"/>
      <c r="G503" s="242"/>
      <c r="H503" s="257"/>
      <c r="I503" s="242"/>
      <c r="J503" s="249">
        <f>IF(OR(B503="",C503="",E503=""),"",B503&amp;":"&amp;C503&amp;":"&amp;E503)</f>
      </c>
      <c r="K503" s="250">
        <f>IF(A503="","",A503*D503)</f>
      </c>
      <c r="L503" s="249">
        <f>IF(A503="","",IF(OR(A503=1,A503=0),H503,0))</f>
      </c>
      <c r="M503" s="249">
        <f>IF(A503="","",IF(A503=-1,H503,0))</f>
      </c>
      <c r="N503">
        <f>IF($E503="SGD",1,IF($E503="USD",Settings!$B$22,IF($E503="HKD",Settings!$B$23,1)))</f>
      </c>
      <c r="O503">
        <f>IF($J503="",0,($M503-$L503+IF($A503=2,$H503,0))*$N503)</f>
      </c>
      <c r="P503">
        <f>IF($J503="",0,IF($A503=2,$H503*$N503,0))</f>
      </c>
    </row>
    <row r="504" spans="1:16" ht="15" customHeight="1" x14ac:dyDescent="0.15">
      <c r="A504" s="242"/>
      <c r="B504" s="242"/>
      <c r="C504" s="242"/>
      <c r="D504" s="256"/>
      <c r="E504" s="242"/>
      <c r="F504" s="257"/>
      <c r="G504" s="242"/>
      <c r="H504" s="257"/>
      <c r="I504" s="242"/>
      <c r="J504" s="249">
        <f>IF(OR(B504="",C504="",E504=""),"",B504&amp;":"&amp;C504&amp;":"&amp;E504)</f>
      </c>
      <c r="K504" s="250">
        <f>IF(A504="","",A504*D504)</f>
      </c>
      <c r="L504" s="249">
        <f>IF(A504="","",IF(OR(A504=1,A504=0),H504,0))</f>
      </c>
      <c r="M504" s="249">
        <f>IF(A504="","",IF(A504=-1,H504,0))</f>
      </c>
      <c r="N504">
        <f>IF($E504="SGD",1,IF($E504="USD",Settings!$B$22,IF($E504="HKD",Settings!$B$23,1)))</f>
      </c>
      <c r="O504">
        <f>IF($J504="",0,($M504-$L504+IF($A504=2,$H504,0))*$N504)</f>
      </c>
      <c r="P504">
        <f>IF($J504="",0,IF($A504=2,$H504*$N504,0))</f>
      </c>
    </row>
    <row r="505" spans="1:16" ht="15" customHeight="1" x14ac:dyDescent="0.15">
      <c r="A505" s="242"/>
      <c r="B505" s="242"/>
      <c r="C505" s="242"/>
      <c r="D505" s="256"/>
      <c r="E505" s="242"/>
      <c r="F505" s="257"/>
      <c r="G505" s="242"/>
      <c r="H505" s="257"/>
      <c r="I505" s="242"/>
      <c r="J505" s="249">
        <f>IF(OR(B505="",C505="",E505=""),"",B505&amp;":"&amp;C505&amp;":"&amp;E505)</f>
      </c>
      <c r="K505" s="250">
        <f>IF(A505="","",A505*D505)</f>
      </c>
      <c r="L505" s="249">
        <f>IF(A505="","",IF(OR(A505=1,A505=0),H505,0))</f>
      </c>
      <c r="M505" s="249">
        <f>IF(A505="","",IF(A505=-1,H505,0))</f>
      </c>
      <c r="N505">
        <f>IF($E505="SGD",1,IF($E505="USD",Settings!$B$22,IF($E505="HKD",Settings!$B$23,1)))</f>
      </c>
      <c r="O505">
        <f>IF($J505="",0,($M505-$L505+IF($A505=2,$H505,0))*$N505)</f>
      </c>
      <c r="P505">
        <f>IF($J505="",0,IF($A505=2,$H505*$N505,0))</f>
      </c>
    </row>
    <row r="506" spans="1:16" ht="15" customHeight="1" x14ac:dyDescent="0.15">
      <c r="A506" s="242"/>
      <c r="B506" s="242"/>
      <c r="C506" s="242"/>
      <c r="D506" s="256"/>
      <c r="E506" s="242"/>
      <c r="F506" s="257"/>
      <c r="G506" s="242"/>
      <c r="H506" s="257"/>
      <c r="I506" s="242"/>
      <c r="J506" s="249">
        <f>IF(OR(B506="",C506="",E506=""),"",B506&amp;":"&amp;C506&amp;":"&amp;E506)</f>
      </c>
      <c r="K506" s="250">
        <f>IF(A506="","",A506*D506)</f>
      </c>
      <c r="L506" s="249">
        <f>IF(A506="","",IF(OR(A506=1,A506=0),H506,0))</f>
      </c>
      <c r="M506" s="249">
        <f>IF(A506="","",IF(A506=-1,H506,0))</f>
      </c>
      <c r="N506">
        <f>IF($E506="SGD",1,IF($E506="USD",Settings!$B$22,IF($E506="HKD",Settings!$B$23,1)))</f>
      </c>
      <c r="O506">
        <f>IF($J506="",0,($M506-$L506+IF($A506=2,$H506,0))*$N506)</f>
      </c>
      <c r="P506">
        <f>IF($J506="",0,IF($A506=2,$H506*$N506,0))</f>
      </c>
    </row>
    <row r="507" spans="1:16" ht="15" customHeight="1" x14ac:dyDescent="0.15">
      <c r="A507" s="242"/>
      <c r="B507" s="242"/>
      <c r="C507" s="242"/>
      <c r="D507" s="256"/>
      <c r="E507" s="242"/>
      <c r="F507" s="257"/>
      <c r="G507" s="242"/>
      <c r="H507" s="257"/>
      <c r="I507" s="242"/>
      <c r="J507" s="249">
        <f>IF(OR(B507="",C507="",E507=""),"",B507&amp;":"&amp;C507&amp;":"&amp;E507)</f>
      </c>
      <c r="K507" s="250">
        <f>IF(A507="","",A507*D507)</f>
      </c>
      <c r="L507" s="249">
        <f>IF(A507="","",IF(OR(A507=1,A507=0),H507,0))</f>
      </c>
      <c r="M507" s="249">
        <f>IF(A507="","",IF(A507=-1,H507,0))</f>
      </c>
      <c r="N507">
        <f>IF($E507="SGD",1,IF($E507="USD",Settings!$B$22,IF($E507="HKD",Settings!$B$23,1)))</f>
      </c>
      <c r="O507">
        <f>IF($J507="",0,($M507-$L507+IF($A507=2,$H507,0))*$N507)</f>
      </c>
      <c r="P507">
        <f>IF($J507="",0,IF($A507=2,$H507*$N507,0))</f>
      </c>
    </row>
    <row r="508" spans="1:16" ht="15" customHeight="1" x14ac:dyDescent="0.15">
      <c r="A508" s="242"/>
      <c r="B508" s="242"/>
      <c r="C508" s="242"/>
      <c r="D508" s="256"/>
      <c r="E508" s="242"/>
      <c r="F508" s="257"/>
      <c r="G508" s="242"/>
      <c r="H508" s="257"/>
      <c r="I508" s="242"/>
      <c r="J508" s="249">
        <f>IF(OR(B508="",C508="",E508=""),"",B508&amp;":"&amp;C508&amp;":"&amp;E508)</f>
      </c>
      <c r="K508" s="250">
        <f>IF(A508="","",A508*D508)</f>
      </c>
      <c r="L508" s="249">
        <f>IF(A508="","",IF(OR(A508=1,A508=0),H508,0))</f>
      </c>
      <c r="M508" s="249">
        <f>IF(A508="","",IF(A508=-1,H508,0))</f>
      </c>
      <c r="N508">
        <f>IF($E508="SGD",1,IF($E508="USD",Settings!$B$22,IF($E508="HKD",Settings!$B$23,1)))</f>
      </c>
      <c r="O508">
        <f>IF($J508="",0,($M508-$L508+IF($A508=2,$H508,0))*$N508)</f>
      </c>
      <c r="P508">
        <f>IF($J508="",0,IF($A508=2,$H508*$N508,0))</f>
      </c>
    </row>
    <row r="509" spans="1:16" ht="15" customHeight="1" x14ac:dyDescent="0.15">
      <c r="A509" s="242"/>
      <c r="B509" s="242"/>
      <c r="C509" s="242"/>
      <c r="D509" s="256"/>
      <c r="E509" s="242"/>
      <c r="F509" s="257"/>
      <c r="G509" s="242"/>
      <c r="H509" s="257"/>
      <c r="I509" s="242"/>
      <c r="J509" s="249">
        <f>IF(OR(B509="",C509="",E509=""),"",B509&amp;":"&amp;C509&amp;":"&amp;E509)</f>
      </c>
      <c r="K509" s="250">
        <f>IF(A509="","",A509*D509)</f>
      </c>
      <c r="L509" s="249">
        <f>IF(A509="","",IF(OR(A509=1,A509=0),H509,0))</f>
      </c>
      <c r="M509" s="249">
        <f>IF(A509="","",IF(A509=-1,H509,0))</f>
      </c>
      <c r="N509">
        <f>IF($E509="SGD",1,IF($E509="USD",Settings!$B$22,IF($E509="HKD",Settings!$B$23,1)))</f>
      </c>
      <c r="O509">
        <f>IF($J509="",0,($M509-$L509+IF($A509=2,$H509,0))*$N509)</f>
      </c>
      <c r="P509">
        <f>IF($J509="",0,IF($A509=2,$H509*$N509,0))</f>
      </c>
    </row>
    <row r="510" spans="1:16" ht="15" customHeight="1" x14ac:dyDescent="0.15">
      <c r="A510" s="242"/>
      <c r="B510" s="242"/>
      <c r="C510" s="242"/>
      <c r="D510" s="256"/>
      <c r="E510" s="242"/>
      <c r="F510" s="257"/>
      <c r="G510" s="242"/>
      <c r="H510" s="257"/>
      <c r="I510" s="242"/>
      <c r="J510" s="249">
        <f>IF(OR(B510="",C510="",E510=""),"",B510&amp;":"&amp;C510&amp;":"&amp;E510)</f>
      </c>
      <c r="K510" s="250">
        <f>IF(A510="","",A510*D510)</f>
      </c>
      <c r="L510" s="249">
        <f>IF(A510="","",IF(OR(A510=1,A510=0),H510,0))</f>
      </c>
      <c r="M510" s="249">
        <f>IF(A510="","",IF(A510=-1,H510,0))</f>
      </c>
      <c r="N510">
        <f>IF($E510="SGD",1,IF($E510="USD",Settings!$B$22,IF($E510="HKD",Settings!$B$23,1)))</f>
      </c>
      <c r="O510">
        <f>IF($J510="",0,($M510-$L510+IF($A510=2,$H510,0))*$N510)</f>
      </c>
      <c r="P510">
        <f>IF($J510="",0,IF($A510=2,$H510*$N510,0))</f>
      </c>
    </row>
    <row r="511" spans="1:16" ht="15" customHeight="1" x14ac:dyDescent="0.15">
      <c r="A511" s="242"/>
      <c r="B511" s="242"/>
      <c r="C511" s="242"/>
      <c r="D511" s="256"/>
      <c r="E511" s="242"/>
      <c r="F511" s="257"/>
      <c r="G511" s="242"/>
      <c r="H511" s="257"/>
      <c r="I511" s="242"/>
      <c r="J511" s="249">
        <f>IF(OR(B511="",C511="",E511=""),"",B511&amp;":"&amp;C511&amp;":"&amp;E511)</f>
      </c>
      <c r="K511" s="250">
        <f>IF(A511="","",A511*D511)</f>
      </c>
      <c r="L511" s="249">
        <f>IF(A511="","",IF(OR(A511=1,A511=0),H511,0))</f>
      </c>
      <c r="M511" s="249">
        <f>IF(A511="","",IF(A511=-1,H511,0))</f>
      </c>
      <c r="N511">
        <f>IF($E511="SGD",1,IF($E511="USD",Settings!$B$22,IF($E511="HKD",Settings!$B$23,1)))</f>
      </c>
      <c r="O511">
        <f>IF($J511="",0,($M511-$L511+IF($A511=2,$H511,0))*$N511)</f>
      </c>
      <c r="P511">
        <f>IF($J511="",0,IF($A511=2,$H511*$N511,0))</f>
      </c>
    </row>
    <row r="512" spans="1:16" ht="15" customHeight="1" x14ac:dyDescent="0.15">
      <c r="A512" s="242"/>
      <c r="B512" s="242"/>
      <c r="C512" s="242"/>
      <c r="D512" s="256"/>
      <c r="E512" s="242"/>
      <c r="F512" s="257"/>
      <c r="G512" s="242"/>
      <c r="H512" s="257"/>
      <c r="I512" s="242"/>
      <c r="J512" s="249">
        <f>IF(OR(B512="",C512="",E512=""),"",B512&amp;":"&amp;C512&amp;":"&amp;E512)</f>
      </c>
      <c r="K512" s="250">
        <f>IF(A512="","",A512*D512)</f>
      </c>
      <c r="L512" s="249">
        <f>IF(A512="","",IF(OR(A512=1,A512=0),H512,0))</f>
      </c>
      <c r="M512" s="249">
        <f>IF(A512="","",IF(A512=-1,H512,0))</f>
      </c>
      <c r="N512">
        <f>IF($E512="SGD",1,IF($E512="USD",Settings!$B$22,IF($E512="HKD",Settings!$B$23,1)))</f>
      </c>
      <c r="O512">
        <f>IF($J512="",0,($M512-$L512+IF($A512=2,$H512,0))*$N512)</f>
      </c>
      <c r="P512">
        <f>IF($J512="",0,IF($A512=2,$H512*$N512,0))</f>
      </c>
    </row>
    <row r="513" spans="1:16" ht="15" customHeight="1" x14ac:dyDescent="0.15">
      <c r="A513" s="242"/>
      <c r="B513" s="242"/>
      <c r="C513" s="242"/>
      <c r="D513" s="256"/>
      <c r="E513" s="242"/>
      <c r="F513" s="257"/>
      <c r="G513" s="242"/>
      <c r="H513" s="257"/>
      <c r="I513" s="242"/>
      <c r="J513" s="249">
        <f>IF(OR(B513="",C513="",E513=""),"",B513&amp;":"&amp;C513&amp;":"&amp;E513)</f>
      </c>
      <c r="K513" s="250">
        <f>IF(A513="","",A513*D513)</f>
      </c>
      <c r="L513" s="249">
        <f>IF(A513="","",IF(OR(A513=1,A513=0),H513,0))</f>
      </c>
      <c r="M513" s="249">
        <f>IF(A513="","",IF(A513=-1,H513,0))</f>
      </c>
      <c r="N513">
        <f>IF($E513="SGD",1,IF($E513="USD",Settings!$B$22,IF($E513="HKD",Settings!$B$23,1)))</f>
      </c>
      <c r="O513">
        <f>IF($J513="",0,($M513-$L513+IF($A513=2,$H513,0))*$N513)</f>
      </c>
      <c r="P513">
        <f>IF($J513="",0,IF($A513=2,$H513*$N513,0))</f>
      </c>
    </row>
    <row r="514" spans="1:16" ht="15" customHeight="1" x14ac:dyDescent="0.15">
      <c r="A514" s="242"/>
      <c r="B514" s="242"/>
      <c r="C514" s="242"/>
      <c r="D514" s="256"/>
      <c r="E514" s="242"/>
      <c r="F514" s="257"/>
      <c r="G514" s="242"/>
      <c r="H514" s="257"/>
      <c r="I514" s="242"/>
      <c r="J514" s="249">
        <f>IF(OR(B514="",C514="",E514=""),"",B514&amp;":"&amp;C514&amp;":"&amp;E514)</f>
      </c>
      <c r="K514" s="250">
        <f>IF(A514="","",A514*D514)</f>
      </c>
      <c r="L514" s="249">
        <f>IF(A514="","",IF(OR(A514=1,A514=0),H514,0))</f>
      </c>
      <c r="M514" s="249">
        <f>IF(A514="","",IF(A514=-1,H514,0))</f>
      </c>
      <c r="N514">
        <f>IF($E514="SGD",1,IF($E514="USD",Settings!$B$22,IF($E514="HKD",Settings!$B$23,1)))</f>
      </c>
      <c r="O514">
        <f>IF($J514="",0,($M514-$L514+IF($A514=2,$H514,0))*$N514)</f>
      </c>
      <c r="P514">
        <f>IF($J514="",0,IF($A514=2,$H514*$N514,0))</f>
      </c>
    </row>
    <row r="515" spans="1:16" ht="15" customHeight="1" x14ac:dyDescent="0.15">
      <c r="A515" s="242"/>
      <c r="B515" s="242"/>
      <c r="C515" s="242"/>
      <c r="D515" s="256"/>
      <c r="E515" s="242"/>
      <c r="F515" s="257"/>
      <c r="G515" s="242"/>
      <c r="H515" s="257"/>
      <c r="I515" s="242"/>
      <c r="J515" s="249">
        <f>IF(OR(B515="",C515="",E515=""),"",B515&amp;":"&amp;C515&amp;":"&amp;E515)</f>
      </c>
      <c r="K515" s="250">
        <f>IF(A515="","",A515*D515)</f>
      </c>
      <c r="L515" s="249">
        <f>IF(A515="","",IF(OR(A515=1,A515=0),H515,0))</f>
      </c>
      <c r="M515" s="249">
        <f>IF(A515="","",IF(A515=-1,H515,0))</f>
      </c>
      <c r="N515">
        <f>IF($E515="SGD",1,IF($E515="USD",Settings!$B$22,IF($E515="HKD",Settings!$B$23,1)))</f>
      </c>
      <c r="O515">
        <f>IF($J515="",0,($M515-$L515+IF($A515=2,$H515,0))*$N515)</f>
      </c>
      <c r="P515">
        <f>IF($J515="",0,IF($A515=2,$H515*$N515,0))</f>
      </c>
    </row>
    <row r="516" spans="1:16" ht="15" customHeight="1" x14ac:dyDescent="0.15">
      <c r="A516" s="242"/>
      <c r="B516" s="242"/>
      <c r="C516" s="242"/>
      <c r="D516" s="256"/>
      <c r="E516" s="242"/>
      <c r="F516" s="257"/>
      <c r="G516" s="242"/>
      <c r="H516" s="257"/>
      <c r="I516" s="242"/>
      <c r="J516" s="249">
        <f>IF(OR(B516="",C516="",E516=""),"",B516&amp;":"&amp;C516&amp;":"&amp;E516)</f>
      </c>
      <c r="K516" s="250">
        <f>IF(A516="","",A516*D516)</f>
      </c>
      <c r="L516" s="249">
        <f>IF(A516="","",IF(OR(A516=1,A516=0),H516,0))</f>
      </c>
      <c r="M516" s="249">
        <f>IF(A516="","",IF(A516=-1,H516,0))</f>
      </c>
      <c r="N516">
        <f>IF($E516="SGD",1,IF($E516="USD",Settings!$B$22,IF($E516="HKD",Settings!$B$23,1)))</f>
      </c>
      <c r="O516">
        <f>IF($J516="",0,($M516-$L516+IF($A516=2,$H516,0))*$N516)</f>
      </c>
      <c r="P516">
        <f>IF($J516="",0,IF($A516=2,$H516*$N516,0))</f>
      </c>
    </row>
    <row r="517" spans="1:16" ht="15" customHeight="1" x14ac:dyDescent="0.15">
      <c r="A517" s="242"/>
      <c r="B517" s="242"/>
      <c r="C517" s="242"/>
      <c r="D517" s="256"/>
      <c r="E517" s="242"/>
      <c r="F517" s="257"/>
      <c r="G517" s="242"/>
      <c r="H517" s="257"/>
      <c r="I517" s="242"/>
      <c r="J517" s="249">
        <f>IF(OR(B517="",C517="",E517=""),"",B517&amp;":"&amp;C517&amp;":"&amp;E517)</f>
      </c>
      <c r="K517" s="250">
        <f>IF(A517="","",A517*D517)</f>
      </c>
      <c r="L517" s="249">
        <f>IF(A517="","",IF(OR(A517=1,A517=0),H517,0))</f>
      </c>
      <c r="M517" s="249">
        <f>IF(A517="","",IF(A517=-1,H517,0))</f>
      </c>
      <c r="N517">
        <f>IF($E517="SGD",1,IF($E517="USD",Settings!$B$22,IF($E517="HKD",Settings!$B$23,1)))</f>
      </c>
      <c r="O517">
        <f>IF($J517="",0,($M517-$L517+IF($A517=2,$H517,0))*$N517)</f>
      </c>
      <c r="P517">
        <f>IF($J517="",0,IF($A517=2,$H517*$N517,0))</f>
      </c>
    </row>
    <row r="518" spans="1:16" ht="15" customHeight="1" x14ac:dyDescent="0.15">
      <c r="A518" s="242"/>
      <c r="B518" s="242"/>
      <c r="C518" s="242"/>
      <c r="D518" s="256"/>
      <c r="E518" s="242"/>
      <c r="F518" s="257"/>
      <c r="G518" s="242"/>
      <c r="H518" s="257"/>
      <c r="I518" s="242"/>
      <c r="J518" s="249">
        <f>IF(OR(B518="",C518="",E518=""),"",B518&amp;":"&amp;C518&amp;":"&amp;E518)</f>
      </c>
      <c r="K518" s="250">
        <f>IF(A518="","",A518*D518)</f>
      </c>
      <c r="L518" s="249">
        <f>IF(A518="","",IF(OR(A518=1,A518=0),H518,0))</f>
      </c>
      <c r="M518" s="249">
        <f>IF(A518="","",IF(A518=-1,H518,0))</f>
      </c>
      <c r="N518">
        <f>IF($E518="SGD",1,IF($E518="USD",Settings!$B$22,IF($E518="HKD",Settings!$B$23,1)))</f>
      </c>
      <c r="O518">
        <f>IF($J518="",0,($M518-$L518+IF($A518=2,$H518,0))*$N518)</f>
      </c>
      <c r="P518">
        <f>IF($J518="",0,IF($A518=2,$H518*$N518,0))</f>
      </c>
    </row>
    <row r="519" spans="1:16" ht="15" customHeight="1" x14ac:dyDescent="0.15">
      <c r="A519" s="242"/>
      <c r="B519" s="242"/>
      <c r="C519" s="242"/>
      <c r="D519" s="256"/>
      <c r="E519" s="242"/>
      <c r="F519" s="257"/>
      <c r="G519" s="242"/>
      <c r="H519" s="257"/>
      <c r="I519" s="242"/>
      <c r="J519" s="249">
        <f>IF(OR(B519="",C519="",E519=""),"",B519&amp;":"&amp;C519&amp;":"&amp;E519)</f>
      </c>
      <c r="K519" s="250">
        <f>IF(A519="","",A519*D519)</f>
      </c>
      <c r="L519" s="249">
        <f>IF(A519="","",IF(OR(A519=1,A519=0),H519,0))</f>
      </c>
      <c r="M519" s="249">
        <f>IF(A519="","",IF(A519=-1,H519,0))</f>
      </c>
      <c r="N519">
        <f>IF($E519="SGD",1,IF($E519="USD",Settings!$B$22,IF($E519="HKD",Settings!$B$23,1)))</f>
      </c>
      <c r="O519">
        <f>IF($J519="",0,($M519-$L519+IF($A519=2,$H519,0))*$N519)</f>
      </c>
      <c r="P519">
        <f>IF($J519="",0,IF($A519=2,$H519*$N519,0))</f>
      </c>
    </row>
    <row r="520" spans="1:16" ht="15" customHeight="1" x14ac:dyDescent="0.15">
      <c r="A520" s="242"/>
      <c r="B520" s="242"/>
      <c r="C520" s="242"/>
      <c r="D520" s="256"/>
      <c r="E520" s="242"/>
      <c r="F520" s="257"/>
      <c r="G520" s="242"/>
      <c r="H520" s="257"/>
      <c r="I520" s="242"/>
      <c r="J520" s="249">
        <f>IF(OR(B520="",C520="",E520=""),"",B520&amp;":"&amp;C520&amp;":"&amp;E520)</f>
      </c>
      <c r="K520" s="250">
        <f>IF(A520="","",A520*D520)</f>
      </c>
      <c r="L520" s="249">
        <f>IF(A520="","",IF(OR(A520=1,A520=0),H520,0))</f>
      </c>
      <c r="M520" s="249">
        <f>IF(A520="","",IF(A520=-1,H520,0))</f>
      </c>
      <c r="N520">
        <f>IF($E520="SGD",1,IF($E520="USD",Settings!$B$22,IF($E520="HKD",Settings!$B$23,1)))</f>
      </c>
      <c r="O520">
        <f>IF($J520="",0,($M520-$L520+IF($A520=2,$H520,0))*$N520)</f>
      </c>
      <c r="P520">
        <f>IF($J520="",0,IF($A520=2,$H520*$N520,0))</f>
      </c>
    </row>
    <row r="521" spans="1:16" ht="15" customHeight="1" x14ac:dyDescent="0.15">
      <c r="A521" s="242"/>
      <c r="B521" s="242"/>
      <c r="C521" s="242"/>
      <c r="D521" s="256"/>
      <c r="E521" s="242"/>
      <c r="F521" s="257"/>
      <c r="G521" s="242"/>
      <c r="H521" s="257"/>
      <c r="I521" s="242"/>
      <c r="J521" s="249">
        <f>IF(OR(B521="",C521="",E521=""),"",B521&amp;":"&amp;C521&amp;":"&amp;E521)</f>
      </c>
      <c r="K521" s="250">
        <f>IF(A521="","",A521*D521)</f>
      </c>
      <c r="L521" s="249">
        <f>IF(A521="","",IF(OR(A521=1,A521=0),H521,0))</f>
      </c>
      <c r="M521" s="249">
        <f>IF(A521="","",IF(A521=-1,H521,0))</f>
      </c>
      <c r="N521">
        <f>IF($E521="SGD",1,IF($E521="USD",Settings!$B$22,IF($E521="HKD",Settings!$B$23,1)))</f>
      </c>
      <c r="O521">
        <f>IF($J521="",0,($M521-$L521+IF($A521=2,$H521,0))*$N521)</f>
      </c>
      <c r="P521">
        <f>IF($J521="",0,IF($A521=2,$H521*$N521,0))</f>
      </c>
    </row>
    <row r="522" spans="1:16" ht="15" customHeight="1" x14ac:dyDescent="0.15">
      <c r="A522" s="242"/>
      <c r="B522" s="242"/>
      <c r="C522" s="242"/>
      <c r="D522" s="256"/>
      <c r="E522" s="242"/>
      <c r="F522" s="257"/>
      <c r="G522" s="242"/>
      <c r="H522" s="257"/>
      <c r="I522" s="242"/>
      <c r="J522" s="249">
        <f>IF(OR(B522="",C522="",E522=""),"",B522&amp;":"&amp;C522&amp;":"&amp;E522)</f>
      </c>
      <c r="K522" s="250">
        <f>IF(A522="","",A522*D522)</f>
      </c>
      <c r="L522" s="249">
        <f>IF(A522="","",IF(OR(A522=1,A522=0),H522,0))</f>
      </c>
      <c r="M522" s="249">
        <f>IF(A522="","",IF(A522=-1,H522,0))</f>
      </c>
      <c r="N522">
        <f>IF($E522="SGD",1,IF($E522="USD",Settings!$B$22,IF($E522="HKD",Settings!$B$23,1)))</f>
      </c>
      <c r="O522">
        <f>IF($J522="",0,($M522-$L522+IF($A522=2,$H522,0))*$N522)</f>
      </c>
      <c r="P522">
        <f>IF($J522="",0,IF($A522=2,$H522*$N522,0))</f>
      </c>
    </row>
    <row r="523" spans="1:16" ht="15" customHeight="1" x14ac:dyDescent="0.15">
      <c r="A523" s="242"/>
      <c r="B523" s="242"/>
      <c r="C523" s="242"/>
      <c r="D523" s="256"/>
      <c r="E523" s="242"/>
      <c r="F523" s="257"/>
      <c r="G523" s="242"/>
      <c r="H523" s="257"/>
      <c r="I523" s="242"/>
      <c r="J523" s="249">
        <f>IF(OR(B523="",C523="",E523=""),"",B523&amp;":"&amp;C523&amp;":"&amp;E523)</f>
      </c>
      <c r="K523" s="250">
        <f>IF(A523="","",A523*D523)</f>
      </c>
      <c r="L523" s="249">
        <f>IF(A523="","",IF(OR(A523=1,A523=0),H523,0))</f>
      </c>
      <c r="M523" s="249">
        <f>IF(A523="","",IF(A523=-1,H523,0))</f>
      </c>
      <c r="N523">
        <f>IF($E523="SGD",1,IF($E523="USD",Settings!$B$22,IF($E523="HKD",Settings!$B$23,1)))</f>
      </c>
      <c r="O523">
        <f>IF($J523="",0,($M523-$L523+IF($A523=2,$H523,0))*$N523)</f>
      </c>
      <c r="P523">
        <f>IF($J523="",0,IF($A523=2,$H523*$N523,0))</f>
      </c>
    </row>
    <row r="524" spans="1:16" ht="15" customHeight="1" x14ac:dyDescent="0.15">
      <c r="A524" s="242"/>
      <c r="B524" s="242"/>
      <c r="C524" s="242"/>
      <c r="D524" s="256"/>
      <c r="E524" s="242"/>
      <c r="F524" s="257"/>
      <c r="G524" s="242"/>
      <c r="H524" s="257"/>
      <c r="I524" s="242"/>
      <c r="J524" s="249">
        <f>IF(OR(B524="",C524="",E524=""),"",B524&amp;":"&amp;C524&amp;":"&amp;E524)</f>
      </c>
      <c r="K524" s="250">
        <f>IF(A524="","",A524*D524)</f>
      </c>
      <c r="L524" s="249">
        <f>IF(A524="","",IF(OR(A524=1,A524=0),H524,0))</f>
      </c>
      <c r="M524" s="249">
        <f>IF(A524="","",IF(A524=-1,H524,0))</f>
      </c>
      <c r="N524">
        <f>IF($E524="SGD",1,IF($E524="USD",Settings!$B$22,IF($E524="HKD",Settings!$B$23,1)))</f>
      </c>
      <c r="O524">
        <f>IF($J524="",0,($M524-$L524+IF($A524=2,$H524,0))*$N524)</f>
      </c>
      <c r="P524">
        <f>IF($J524="",0,IF($A524=2,$H524*$N524,0))</f>
      </c>
    </row>
    <row r="525" spans="1:16" ht="15" customHeight="1" x14ac:dyDescent="0.15">
      <c r="A525" s="242"/>
      <c r="B525" s="242"/>
      <c r="C525" s="242"/>
      <c r="D525" s="256"/>
      <c r="E525" s="242"/>
      <c r="F525" s="257"/>
      <c r="G525" s="242"/>
      <c r="H525" s="257"/>
      <c r="I525" s="242"/>
      <c r="J525" s="249">
        <f>IF(OR(B525="",C525="",E525=""),"",B525&amp;":"&amp;C525&amp;":"&amp;E525)</f>
      </c>
      <c r="K525" s="250">
        <f>IF(A525="","",A525*D525)</f>
      </c>
      <c r="L525" s="249">
        <f>IF(A525="","",IF(OR(A525=1,A525=0),H525,0))</f>
      </c>
      <c r="M525" s="249">
        <f>IF(A525="","",IF(A525=-1,H525,0))</f>
      </c>
      <c r="N525">
        <f>IF($E525="SGD",1,IF($E525="USD",Settings!$B$22,IF($E525="HKD",Settings!$B$23,1)))</f>
      </c>
      <c r="O525">
        <f>IF($J525="",0,($M525-$L525+IF($A525=2,$H525,0))*$N525)</f>
      </c>
      <c r="P525">
        <f>IF($J525="",0,IF($A525=2,$H525*$N525,0))</f>
      </c>
    </row>
    <row r="526" spans="1:16" ht="15" customHeight="1" x14ac:dyDescent="0.15">
      <c r="A526" s="242"/>
      <c r="B526" s="242"/>
      <c r="C526" s="242"/>
      <c r="D526" s="256"/>
      <c r="E526" s="242"/>
      <c r="F526" s="257"/>
      <c r="G526" s="242"/>
      <c r="H526" s="257"/>
      <c r="I526" s="242"/>
      <c r="J526" s="249">
        <f>IF(OR(B526="",C526="",E526=""),"",B526&amp;":"&amp;C526&amp;":"&amp;E526)</f>
      </c>
      <c r="K526" s="250">
        <f>IF(A526="","",A526*D526)</f>
      </c>
      <c r="L526" s="249">
        <f>IF(A526="","",IF(OR(A526=1,A526=0),H526,0))</f>
      </c>
      <c r="M526" s="249">
        <f>IF(A526="","",IF(A526=-1,H526,0))</f>
      </c>
      <c r="N526">
        <f>IF($E526="SGD",1,IF($E526="USD",Settings!$B$22,IF($E526="HKD",Settings!$B$23,1)))</f>
      </c>
      <c r="O526">
        <f>IF($J526="",0,($M526-$L526+IF($A526=2,$H526,0))*$N526)</f>
      </c>
      <c r="P526">
        <f>IF($J526="",0,IF($A526=2,$H526*$N526,0))</f>
      </c>
    </row>
    <row r="527" spans="1:16" ht="15" customHeight="1" x14ac:dyDescent="0.15">
      <c r="A527" s="242"/>
      <c r="B527" s="242"/>
      <c r="C527" s="242"/>
      <c r="D527" s="256"/>
      <c r="E527" s="242"/>
      <c r="F527" s="257"/>
      <c r="G527" s="242"/>
      <c r="H527" s="257"/>
      <c r="I527" s="242"/>
      <c r="J527" s="249">
        <f>IF(OR(B527="",C527="",E527=""),"",B527&amp;":"&amp;C527&amp;":"&amp;E527)</f>
      </c>
      <c r="K527" s="250">
        <f>IF(A527="","",A527*D527)</f>
      </c>
      <c r="L527" s="249">
        <f>IF(A527="","",IF(OR(A527=1,A527=0),H527,0))</f>
      </c>
      <c r="M527" s="249">
        <f>IF(A527="","",IF(A527=-1,H527,0))</f>
      </c>
      <c r="N527">
        <f>IF($E527="SGD",1,IF($E527="USD",Settings!$B$22,IF($E527="HKD",Settings!$B$23,1)))</f>
      </c>
      <c r="O527">
        <f>IF($J527="",0,($M527-$L527+IF($A527=2,$H527,0))*$N527)</f>
      </c>
      <c r="P527">
        <f>IF($J527="",0,IF($A527=2,$H527*$N527,0))</f>
      </c>
    </row>
    <row r="528" spans="1:16" ht="15" customHeight="1" x14ac:dyDescent="0.15">
      <c r="A528" s="242"/>
      <c r="B528" s="242"/>
      <c r="C528" s="242"/>
      <c r="D528" s="256"/>
      <c r="E528" s="242"/>
      <c r="F528" s="257"/>
      <c r="G528" s="242"/>
      <c r="H528" s="257"/>
      <c r="I528" s="242"/>
      <c r="J528" s="249">
        <f>IF(OR(B528="",C528="",E528=""),"",B528&amp;":"&amp;C528&amp;":"&amp;E528)</f>
      </c>
      <c r="K528" s="250">
        <f>IF(A528="","",A528*D528)</f>
      </c>
      <c r="L528" s="249">
        <f>IF(A528="","",IF(OR(A528=1,A528=0),H528,0))</f>
      </c>
      <c r="M528" s="249">
        <f>IF(A528="","",IF(A528=-1,H528,0))</f>
      </c>
      <c r="N528">
        <f>IF($E528="SGD",1,IF($E528="USD",Settings!$B$22,IF($E528="HKD",Settings!$B$23,1)))</f>
      </c>
      <c r="O528">
        <f>IF($J528="",0,($M528-$L528+IF($A528=2,$H528,0))*$N528)</f>
      </c>
      <c r="P528">
        <f>IF($J528="",0,IF($A528=2,$H528*$N528,0))</f>
      </c>
    </row>
    <row r="529" spans="1:16" ht="15" customHeight="1" x14ac:dyDescent="0.15">
      <c r="A529" s="242"/>
      <c r="B529" s="242"/>
      <c r="C529" s="242"/>
      <c r="D529" s="256"/>
      <c r="E529" s="242"/>
      <c r="F529" s="257"/>
      <c r="G529" s="242"/>
      <c r="H529" s="257"/>
      <c r="I529" s="242"/>
      <c r="J529" s="249">
        <f>IF(OR(B529="",C529="",E529=""),"",B529&amp;":"&amp;C529&amp;":"&amp;E529)</f>
      </c>
      <c r="K529" s="250">
        <f>IF(A529="","",A529*D529)</f>
      </c>
      <c r="L529" s="249">
        <f>IF(A529="","",IF(OR(A529=1,A529=0),H529,0))</f>
      </c>
      <c r="M529" s="249">
        <f>IF(A529="","",IF(A529=-1,H529,0))</f>
      </c>
      <c r="N529">
        <f>IF($E529="SGD",1,IF($E529="USD",Settings!$B$22,IF($E529="HKD",Settings!$B$23,1)))</f>
      </c>
      <c r="O529">
        <f>IF($J529="",0,($M529-$L529+IF($A529=2,$H529,0))*$N529)</f>
      </c>
      <c r="P529">
        <f>IF($J529="",0,IF($A529=2,$H529*$N529,0))</f>
      </c>
    </row>
    <row r="530" spans="1:16" ht="15" customHeight="1" x14ac:dyDescent="0.15">
      <c r="A530" s="242"/>
      <c r="B530" s="242"/>
      <c r="C530" s="242"/>
      <c r="D530" s="256"/>
      <c r="E530" s="242"/>
      <c r="F530" s="257"/>
      <c r="G530" s="242"/>
      <c r="H530" s="257"/>
      <c r="I530" s="242"/>
      <c r="J530" s="249">
        <f>IF(OR(B530="",C530="",E530=""),"",B530&amp;":"&amp;C530&amp;":"&amp;E530)</f>
      </c>
      <c r="K530" s="250">
        <f>IF(A530="","",A530*D530)</f>
      </c>
      <c r="L530" s="249">
        <f>IF(A530="","",IF(OR(A530=1,A530=0),H530,0))</f>
      </c>
      <c r="M530" s="249">
        <f>IF(A530="","",IF(A530=-1,H530,0))</f>
      </c>
      <c r="N530">
        <f>IF($E530="SGD",1,IF($E530="USD",Settings!$B$22,IF($E530="HKD",Settings!$B$23,1)))</f>
      </c>
      <c r="O530">
        <f>IF($J530="",0,($M530-$L530+IF($A530=2,$H530,0))*$N530)</f>
      </c>
      <c r="P530">
        <f>IF($J530="",0,IF($A530=2,$H530*$N530,0))</f>
      </c>
    </row>
    <row r="531" spans="1:16" ht="15" customHeight="1" x14ac:dyDescent="0.15">
      <c r="A531" s="242"/>
      <c r="B531" s="242"/>
      <c r="C531" s="242"/>
      <c r="D531" s="256"/>
      <c r="E531" s="242"/>
      <c r="F531" s="257"/>
      <c r="G531" s="242"/>
      <c r="H531" s="257"/>
      <c r="I531" s="242"/>
      <c r="J531" s="249">
        <f>IF(OR(B531="",C531="",E531=""),"",B531&amp;":"&amp;C531&amp;":"&amp;E531)</f>
      </c>
      <c r="K531" s="250">
        <f>IF(A531="","",A531*D531)</f>
      </c>
      <c r="L531" s="249">
        <f>IF(A531="","",IF(OR(A531=1,A531=0),H531,0))</f>
      </c>
      <c r="M531" s="249">
        <f>IF(A531="","",IF(A531=-1,H531,0))</f>
      </c>
      <c r="N531">
        <f>IF($E531="SGD",1,IF($E531="USD",Settings!$B$22,IF($E531="HKD",Settings!$B$23,1)))</f>
      </c>
      <c r="O531">
        <f>IF($J531="",0,($M531-$L531+IF($A531=2,$H531,0))*$N531)</f>
      </c>
      <c r="P531">
        <f>IF($J531="",0,IF($A531=2,$H531*$N531,0))</f>
      </c>
    </row>
    <row r="532" spans="1:16" ht="15" customHeight="1" x14ac:dyDescent="0.15">
      <c r="A532" s="242"/>
      <c r="B532" s="242"/>
      <c r="C532" s="242"/>
      <c r="D532" s="256"/>
      <c r="E532" s="242"/>
      <c r="F532" s="257"/>
      <c r="G532" s="242"/>
      <c r="H532" s="257"/>
      <c r="I532" s="242"/>
      <c r="J532" s="249">
        <f>IF(OR(B532="",C532="",E532=""),"",B532&amp;":"&amp;C532&amp;":"&amp;E532)</f>
      </c>
      <c r="K532" s="250">
        <f>IF(A532="","",A532*D532)</f>
      </c>
      <c r="L532" s="249">
        <f>IF(A532="","",IF(OR(A532=1,A532=0),H532,0))</f>
      </c>
      <c r="M532" s="249">
        <f>IF(A532="","",IF(A532=-1,H532,0))</f>
      </c>
      <c r="N532">
        <f>IF($E532="SGD",1,IF($E532="USD",Settings!$B$22,IF($E532="HKD",Settings!$B$23,1)))</f>
      </c>
      <c r="O532">
        <f>IF($J532="",0,($M532-$L532+IF($A532=2,$H532,0))*$N532)</f>
      </c>
      <c r="P532">
        <f>IF($J532="",0,IF($A532=2,$H532*$N532,0))</f>
      </c>
    </row>
    <row r="533" spans="1:16" ht="15" customHeight="1" x14ac:dyDescent="0.15">
      <c r="A533" s="242"/>
      <c r="B533" s="242"/>
      <c r="C533" s="242"/>
      <c r="D533" s="256"/>
      <c r="E533" s="242"/>
      <c r="F533" s="257"/>
      <c r="G533" s="242"/>
      <c r="H533" s="257"/>
      <c r="I533" s="242"/>
      <c r="J533" s="249">
        <f>IF(OR(B533="",C533="",E533=""),"",B533&amp;":"&amp;C533&amp;":"&amp;E533)</f>
      </c>
      <c r="K533" s="250">
        <f>IF(A533="","",A533*D533)</f>
      </c>
      <c r="L533" s="249">
        <f>IF(A533="","",IF(OR(A533=1,A533=0),H533,0))</f>
      </c>
      <c r="M533" s="249">
        <f>IF(A533="","",IF(A533=-1,H533,0))</f>
      </c>
      <c r="N533">
        <f>IF($E533="SGD",1,IF($E533="USD",Settings!$B$22,IF($E533="HKD",Settings!$B$23,1)))</f>
      </c>
      <c r="O533">
        <f>IF($J533="",0,($M533-$L533+IF($A533=2,$H533,0))*$N533)</f>
      </c>
      <c r="P533">
        <f>IF($J533="",0,IF($A533=2,$H533*$N533,0))</f>
      </c>
    </row>
    <row r="534" spans="1:16" ht="15" customHeight="1" x14ac:dyDescent="0.15">
      <c r="A534" s="242"/>
      <c r="B534" s="242"/>
      <c r="C534" s="242"/>
      <c r="D534" s="256"/>
      <c r="E534" s="242"/>
      <c r="F534" s="257"/>
      <c r="G534" s="242"/>
      <c r="H534" s="257"/>
      <c r="I534" s="242"/>
      <c r="J534" s="249">
        <f>IF(OR(B534="",C534="",E534=""),"",B534&amp;":"&amp;C534&amp;":"&amp;E534)</f>
      </c>
      <c r="K534" s="250">
        <f>IF(A534="","",A534*D534)</f>
      </c>
      <c r="L534" s="249">
        <f>IF(A534="","",IF(OR(A534=1,A534=0),H534,0))</f>
      </c>
      <c r="M534" s="249">
        <f>IF(A534="","",IF(A534=-1,H534,0))</f>
      </c>
      <c r="N534">
        <f>IF($E534="SGD",1,IF($E534="USD",Settings!$B$22,IF($E534="HKD",Settings!$B$23,1)))</f>
      </c>
      <c r="O534">
        <f>IF($J534="",0,($M534-$L534+IF($A534=2,$H534,0))*$N534)</f>
      </c>
      <c r="P534">
        <f>IF($J534="",0,IF($A534=2,$H534*$N534,0))</f>
      </c>
    </row>
    <row r="535" spans="1:16" ht="15" customHeight="1" x14ac:dyDescent="0.15">
      <c r="A535" s="242"/>
      <c r="B535" s="242"/>
      <c r="C535" s="242"/>
      <c r="D535" s="256"/>
      <c r="E535" s="242"/>
      <c r="F535" s="257"/>
      <c r="G535" s="242"/>
      <c r="H535" s="257"/>
      <c r="I535" s="242"/>
      <c r="J535" s="249">
        <f>IF(OR(B535="",C535="",E535=""),"",B535&amp;":"&amp;C535&amp;":"&amp;E535)</f>
      </c>
      <c r="K535" s="250">
        <f>IF(A535="","",A535*D535)</f>
      </c>
      <c r="L535" s="249">
        <f>IF(A535="","",IF(OR(A535=1,A535=0),H535,0))</f>
      </c>
      <c r="M535" s="249">
        <f>IF(A535="","",IF(A535=-1,H535,0))</f>
      </c>
      <c r="N535">
        <f>IF($E535="SGD",1,IF($E535="USD",Settings!$B$22,IF($E535="HKD",Settings!$B$23,1)))</f>
      </c>
      <c r="O535">
        <f>IF($J535="",0,($M535-$L535+IF($A535=2,$H535,0))*$N535)</f>
      </c>
      <c r="P535">
        <f>IF($J535="",0,IF($A535=2,$H535*$N535,0))</f>
      </c>
    </row>
    <row r="536" spans="1:16" ht="15" customHeight="1" x14ac:dyDescent="0.15">
      <c r="A536" s="242"/>
      <c r="B536" s="242"/>
      <c r="C536" s="242"/>
      <c r="D536" s="256"/>
      <c r="E536" s="242"/>
      <c r="F536" s="257"/>
      <c r="G536" s="242"/>
      <c r="H536" s="257"/>
      <c r="I536" s="242"/>
      <c r="J536" s="249">
        <f>IF(OR(B536="",C536="",E536=""),"",B536&amp;":"&amp;C536&amp;":"&amp;E536)</f>
      </c>
      <c r="K536" s="250">
        <f>IF(A536="","",A536*D536)</f>
      </c>
      <c r="L536" s="249">
        <f>IF(A536="","",IF(OR(A536=1,A536=0),H536,0))</f>
      </c>
      <c r="M536" s="249">
        <f>IF(A536="","",IF(A536=-1,H536,0))</f>
      </c>
      <c r="N536">
        <f>IF($E536="SGD",1,IF($E536="USD",Settings!$B$22,IF($E536="HKD",Settings!$B$23,1)))</f>
      </c>
      <c r="O536">
        <f>IF($J536="",0,($M536-$L536+IF($A536=2,$H536,0))*$N536)</f>
      </c>
      <c r="P536">
        <f>IF($J536="",0,IF($A536=2,$H536*$N536,0))</f>
      </c>
    </row>
    <row r="537" spans="1:16" ht="15" customHeight="1" x14ac:dyDescent="0.15">
      <c r="A537" s="242"/>
      <c r="B537" s="242"/>
      <c r="C537" s="242"/>
      <c r="D537" s="256"/>
      <c r="E537" s="242"/>
      <c r="F537" s="257"/>
      <c r="G537" s="242"/>
      <c r="H537" s="257"/>
      <c r="I537" s="242"/>
      <c r="J537" s="249">
        <f>IF(OR(B537="",C537="",E537=""),"",B537&amp;":"&amp;C537&amp;":"&amp;E537)</f>
      </c>
      <c r="K537" s="250">
        <f>IF(A537="","",A537*D537)</f>
      </c>
      <c r="L537" s="249">
        <f>IF(A537="","",IF(OR(A537=1,A537=0),H537,0))</f>
      </c>
      <c r="M537" s="249">
        <f>IF(A537="","",IF(A537=-1,H537,0))</f>
      </c>
      <c r="N537">
        <f>IF($E537="SGD",1,IF($E537="USD",Settings!$B$22,IF($E537="HKD",Settings!$B$23,1)))</f>
      </c>
      <c r="O537">
        <f>IF($J537="",0,($M537-$L537+IF($A537=2,$H537,0))*$N537)</f>
      </c>
      <c r="P537">
        <f>IF($J537="",0,IF($A537=2,$H537*$N537,0))</f>
      </c>
    </row>
    <row r="538" spans="1:16" ht="15" customHeight="1" x14ac:dyDescent="0.15">
      <c r="A538" s="242"/>
      <c r="B538" s="242"/>
      <c r="C538" s="242"/>
      <c r="D538" s="256"/>
      <c r="E538" s="242"/>
      <c r="F538" s="257"/>
      <c r="G538" s="242"/>
      <c r="H538" s="257"/>
      <c r="I538" s="242"/>
      <c r="J538" s="249">
        <f>IF(OR(B538="",C538="",E538=""),"",B538&amp;":"&amp;C538&amp;":"&amp;E538)</f>
      </c>
      <c r="K538" s="250">
        <f>IF(A538="","",A538*D538)</f>
      </c>
      <c r="L538" s="249">
        <f>IF(A538="","",IF(OR(A538=1,A538=0),H538,0))</f>
      </c>
      <c r="M538" s="249">
        <f>IF(A538="","",IF(A538=-1,H538,0))</f>
      </c>
      <c r="N538">
        <f>IF($E538="SGD",1,IF($E538="USD",Settings!$B$22,IF($E538="HKD",Settings!$B$23,1)))</f>
      </c>
      <c r="O538">
        <f>IF($J538="",0,($M538-$L538+IF($A538=2,$H538,0))*$N538)</f>
      </c>
      <c r="P538">
        <f>IF($J538="",0,IF($A538=2,$H538*$N538,0))</f>
      </c>
    </row>
    <row r="539" spans="1:16" ht="15" customHeight="1" x14ac:dyDescent="0.15">
      <c r="A539" s="242"/>
      <c r="B539" s="242"/>
      <c r="C539" s="242"/>
      <c r="D539" s="256"/>
      <c r="E539" s="242"/>
      <c r="F539" s="257"/>
      <c r="G539" s="242"/>
      <c r="H539" s="257"/>
      <c r="I539" s="242"/>
      <c r="J539" s="249">
        <f>IF(OR(B539="",C539="",E539=""),"",B539&amp;":"&amp;C539&amp;":"&amp;E539)</f>
      </c>
      <c r="K539" s="250">
        <f>IF(A539="","",A539*D539)</f>
      </c>
      <c r="L539" s="249">
        <f>IF(A539="","",IF(OR(A539=1,A539=0),H539,0))</f>
      </c>
      <c r="M539" s="249">
        <f>IF(A539="","",IF(A539=-1,H539,0))</f>
      </c>
      <c r="N539">
        <f>IF($E539="SGD",1,IF($E539="USD",Settings!$B$22,IF($E539="HKD",Settings!$B$23,1)))</f>
      </c>
      <c r="O539">
        <f>IF($J539="",0,($M539-$L539+IF($A539=2,$H539,0))*$N539)</f>
      </c>
      <c r="P539">
        <f>IF($J539="",0,IF($A539=2,$H539*$N539,0))</f>
      </c>
    </row>
    <row r="540" spans="1:16" ht="15" customHeight="1" x14ac:dyDescent="0.15">
      <c r="A540" s="242"/>
      <c r="B540" s="242"/>
      <c r="C540" s="242"/>
      <c r="D540" s="256"/>
      <c r="E540" s="242"/>
      <c r="F540" s="257"/>
      <c r="G540" s="242"/>
      <c r="H540" s="257"/>
      <c r="I540" s="242"/>
      <c r="J540" s="249">
        <f>IF(OR(B540="",C540="",E540=""),"",B540&amp;":"&amp;C540&amp;":"&amp;E540)</f>
      </c>
      <c r="K540" s="250">
        <f>IF(A540="","",A540*D540)</f>
      </c>
      <c r="L540" s="249">
        <f>IF(A540="","",IF(OR(A540=1,A540=0),H540,0))</f>
      </c>
      <c r="M540" s="249">
        <f>IF(A540="","",IF(A540=-1,H540,0))</f>
      </c>
      <c r="N540">
        <f>IF($E540="SGD",1,IF($E540="USD",Settings!$B$22,IF($E540="HKD",Settings!$B$23,1)))</f>
      </c>
      <c r="O540">
        <f>IF($J540="",0,($M540-$L540+IF($A540=2,$H540,0))*$N540)</f>
      </c>
      <c r="P540">
        <f>IF($J540="",0,IF($A540=2,$H540*$N540,0))</f>
      </c>
    </row>
    <row r="541" spans="1:16" ht="15" customHeight="1" x14ac:dyDescent="0.15">
      <c r="A541" s="242"/>
      <c r="B541" s="242"/>
      <c r="C541" s="242"/>
      <c r="D541" s="256"/>
      <c r="E541" s="242"/>
      <c r="F541" s="257"/>
      <c r="G541" s="242"/>
      <c r="H541" s="257"/>
      <c r="I541" s="242"/>
      <c r="J541" s="249">
        <f>IF(OR(B541="",C541="",E541=""),"",B541&amp;":"&amp;C541&amp;":"&amp;E541)</f>
      </c>
      <c r="K541" s="250">
        <f>IF(A541="","",A541*D541)</f>
      </c>
      <c r="L541" s="249">
        <f>IF(A541="","",IF(OR(A541=1,A541=0),H541,0))</f>
      </c>
      <c r="M541" s="249">
        <f>IF(A541="","",IF(A541=-1,H541,0))</f>
      </c>
      <c r="N541">
        <f>IF($E541="SGD",1,IF($E541="USD",Settings!$B$22,IF($E541="HKD",Settings!$B$23,1)))</f>
      </c>
      <c r="O541">
        <f>IF($J541="",0,($M541-$L541+IF($A541=2,$H541,0))*$N541)</f>
      </c>
      <c r="P541">
        <f>IF($J541="",0,IF($A541=2,$H541*$N541,0))</f>
      </c>
    </row>
    <row r="542" spans="1:16" ht="15" customHeight="1" x14ac:dyDescent="0.15">
      <c r="A542" s="242"/>
      <c r="B542" s="242"/>
      <c r="C542" s="242"/>
      <c r="D542" s="256"/>
      <c r="E542" s="242"/>
      <c r="F542" s="257"/>
      <c r="G542" s="242"/>
      <c r="H542" s="257"/>
      <c r="I542" s="242"/>
      <c r="J542" s="249">
        <f>IF(OR(B542="",C542="",E542=""),"",B542&amp;":"&amp;C542&amp;":"&amp;E542)</f>
      </c>
      <c r="K542" s="250">
        <f>IF(A542="","",A542*D542)</f>
      </c>
      <c r="L542" s="249">
        <f>IF(A542="","",IF(OR(A542=1,A542=0),H542,0))</f>
      </c>
      <c r="M542" s="249">
        <f>IF(A542="","",IF(A542=-1,H542,0))</f>
      </c>
      <c r="N542">
        <f>IF($E542="SGD",1,IF($E542="USD",Settings!$B$22,IF($E542="HKD",Settings!$B$23,1)))</f>
      </c>
      <c r="O542">
        <f>IF($J542="",0,($M542-$L542+IF($A542=2,$H542,0))*$N542)</f>
      </c>
      <c r="P542">
        <f>IF($J542="",0,IF($A542=2,$H542*$N542,0))</f>
      </c>
    </row>
    <row r="543" spans="1:16" ht="15" customHeight="1" x14ac:dyDescent="0.15">
      <c r="A543" s="242"/>
      <c r="B543" s="242"/>
      <c r="C543" s="242"/>
      <c r="D543" s="256"/>
      <c r="E543" s="242"/>
      <c r="F543" s="257"/>
      <c r="G543" s="242"/>
      <c r="H543" s="257"/>
      <c r="I543" s="242"/>
      <c r="J543" s="249">
        <f>IF(OR(B543="",C543="",E543=""),"",B543&amp;":"&amp;C543&amp;":"&amp;E543)</f>
      </c>
      <c r="K543" s="250">
        <f>IF(A543="","",A543*D543)</f>
      </c>
      <c r="L543" s="249">
        <f>IF(A543="","",IF(OR(A543=1,A543=0),H543,0))</f>
      </c>
      <c r="M543" s="249">
        <f>IF(A543="","",IF(A543=-1,H543,0))</f>
      </c>
      <c r="N543">
        <f>IF($E543="SGD",1,IF($E543="USD",Settings!$B$22,IF($E543="HKD",Settings!$B$23,1)))</f>
      </c>
      <c r="O543">
        <f>IF($J543="",0,($M543-$L543+IF($A543=2,$H543,0))*$N543)</f>
      </c>
      <c r="P543">
        <f>IF($J543="",0,IF($A543=2,$H543*$N543,0))</f>
      </c>
    </row>
    <row r="544" spans="1:16" ht="15" customHeight="1" x14ac:dyDescent="0.15">
      <c r="A544" s="242"/>
      <c r="B544" s="242"/>
      <c r="C544" s="242"/>
      <c r="D544" s="256"/>
      <c r="E544" s="242"/>
      <c r="F544" s="257"/>
      <c r="G544" s="242"/>
      <c r="H544" s="257"/>
      <c r="I544" s="242"/>
      <c r="J544" s="249">
        <f>IF(OR(B544="",C544="",E544=""),"",B544&amp;":"&amp;C544&amp;":"&amp;E544)</f>
      </c>
      <c r="K544" s="250">
        <f>IF(A544="","",A544*D544)</f>
      </c>
      <c r="L544" s="249">
        <f>IF(A544="","",IF(OR(A544=1,A544=0),H544,0))</f>
      </c>
      <c r="M544" s="249">
        <f>IF(A544="","",IF(A544=-1,H544,0))</f>
      </c>
      <c r="N544">
        <f>IF($E544="SGD",1,IF($E544="USD",Settings!$B$22,IF($E544="HKD",Settings!$B$23,1)))</f>
      </c>
      <c r="O544">
        <f>IF($J544="",0,($M544-$L544+IF($A544=2,$H544,0))*$N544)</f>
      </c>
      <c r="P544">
        <f>IF($J544="",0,IF($A544=2,$H544*$N544,0))</f>
      </c>
    </row>
    <row r="545" spans="1:16" ht="15" customHeight="1" x14ac:dyDescent="0.15">
      <c r="A545" s="242"/>
      <c r="B545" s="242"/>
      <c r="C545" s="242"/>
      <c r="D545" s="256"/>
      <c r="E545" s="242"/>
      <c r="F545" s="257"/>
      <c r="G545" s="242"/>
      <c r="H545" s="257"/>
      <c r="I545" s="242"/>
      <c r="J545" s="249">
        <f>IF(OR(B545="",C545="",E545=""),"",B545&amp;":"&amp;C545&amp;":"&amp;E545)</f>
      </c>
      <c r="K545" s="250">
        <f>IF(A545="","",A545*D545)</f>
      </c>
      <c r="L545" s="249">
        <f>IF(A545="","",IF(OR(A545=1,A545=0),H545,0))</f>
      </c>
      <c r="M545" s="249">
        <f>IF(A545="","",IF(A545=-1,H545,0))</f>
      </c>
      <c r="N545">
        <f>IF($E545="SGD",1,IF($E545="USD",Settings!$B$22,IF($E545="HKD",Settings!$B$23,1)))</f>
      </c>
      <c r="O545">
        <f>IF($J545="",0,($M545-$L545+IF($A545=2,$H545,0))*$N545)</f>
      </c>
      <c r="P545">
        <f>IF($J545="",0,IF($A545=2,$H545*$N545,0))</f>
      </c>
    </row>
    <row r="546" spans="1:16" ht="15" customHeight="1" x14ac:dyDescent="0.15">
      <c r="A546" s="242"/>
      <c r="B546" s="242"/>
      <c r="C546" s="242"/>
      <c r="D546" s="256"/>
      <c r="E546" s="242"/>
      <c r="F546" s="257"/>
      <c r="G546" s="242"/>
      <c r="H546" s="257"/>
      <c r="I546" s="242"/>
      <c r="J546" s="249">
        <f>IF(OR(B546="",C546="",E546=""),"",B546&amp;":"&amp;C546&amp;":"&amp;E546)</f>
      </c>
      <c r="K546" s="250">
        <f>IF(A546="","",A546*D546)</f>
      </c>
      <c r="L546" s="249">
        <f>IF(A546="","",IF(OR(A546=1,A546=0),H546,0))</f>
      </c>
      <c r="M546" s="249">
        <f>IF(A546="","",IF(A546=-1,H546,0))</f>
      </c>
      <c r="N546">
        <f>IF($E546="SGD",1,IF($E546="USD",Settings!$B$22,IF($E546="HKD",Settings!$B$23,1)))</f>
      </c>
      <c r="O546">
        <f>IF($J546="",0,($M546-$L546+IF($A546=2,$H546,0))*$N546)</f>
      </c>
      <c r="P546">
        <f>IF($J546="",0,IF($A546=2,$H546*$N546,0))</f>
      </c>
    </row>
    <row r="547" spans="1:16" ht="15" customHeight="1" x14ac:dyDescent="0.15">
      <c r="A547" s="242"/>
      <c r="B547" s="242"/>
      <c r="C547" s="242"/>
      <c r="D547" s="256"/>
      <c r="E547" s="242"/>
      <c r="F547" s="257"/>
      <c r="G547" s="242"/>
      <c r="H547" s="257"/>
      <c r="I547" s="242"/>
      <c r="J547" s="249">
        <f>IF(OR(B547="",C547="",E547=""),"",B547&amp;":"&amp;C547&amp;":"&amp;E547)</f>
      </c>
      <c r="K547" s="250">
        <f>IF(A547="","",A547*D547)</f>
      </c>
      <c r="L547" s="249">
        <f>IF(A547="","",IF(OR(A547=1,A547=0),H547,0))</f>
      </c>
      <c r="M547" s="249">
        <f>IF(A547="","",IF(A547=-1,H547,0))</f>
      </c>
      <c r="N547">
        <f>IF($E547="SGD",1,IF($E547="USD",Settings!$B$22,IF($E547="HKD",Settings!$B$23,1)))</f>
      </c>
      <c r="O547">
        <f>IF($J547="",0,($M547-$L547+IF($A547=2,$H547,0))*$N547)</f>
      </c>
      <c r="P547">
        <f>IF($J547="",0,IF($A547=2,$H547*$N547,0))</f>
      </c>
    </row>
    <row r="548" spans="1:16" ht="15" customHeight="1" x14ac:dyDescent="0.15">
      <c r="A548" s="242"/>
      <c r="B548" s="242"/>
      <c r="C548" s="242"/>
      <c r="D548" s="256"/>
      <c r="E548" s="242"/>
      <c r="F548" s="257"/>
      <c r="G548" s="242"/>
      <c r="H548" s="257"/>
      <c r="I548" s="242"/>
      <c r="J548" s="249">
        <f>IF(OR(B548="",C548="",E548=""),"",B548&amp;":"&amp;C548&amp;":"&amp;E548)</f>
      </c>
      <c r="K548" s="250">
        <f>IF(A548="","",A548*D548)</f>
      </c>
      <c r="L548" s="249">
        <f>IF(A548="","",IF(OR(A548=1,A548=0),H548,0))</f>
      </c>
      <c r="M548" s="249">
        <f>IF(A548="","",IF(A548=-1,H548,0))</f>
      </c>
      <c r="N548">
        <f>IF($E548="SGD",1,IF($E548="USD",Settings!$B$22,IF($E548="HKD",Settings!$B$23,1)))</f>
      </c>
      <c r="O548">
        <f>IF($J548="",0,($M548-$L548+IF($A548=2,$H548,0))*$N548)</f>
      </c>
      <c r="P548">
        <f>IF($J548="",0,IF($A548=2,$H548*$N548,0))</f>
      </c>
    </row>
    <row r="549" spans="1:16" ht="15" customHeight="1" x14ac:dyDescent="0.15">
      <c r="A549" s="242"/>
      <c r="B549" s="242"/>
      <c r="C549" s="242"/>
      <c r="D549" s="256"/>
      <c r="E549" s="242"/>
      <c r="F549" s="257"/>
      <c r="G549" s="242"/>
      <c r="H549" s="257"/>
      <c r="I549" s="242"/>
      <c r="J549" s="249">
        <f>IF(OR(B549="",C549="",E549=""),"",B549&amp;":"&amp;C549&amp;":"&amp;E549)</f>
      </c>
      <c r="K549" s="250">
        <f>IF(A549="","",A549*D549)</f>
      </c>
      <c r="L549" s="249">
        <f>IF(A549="","",IF(OR(A549=1,A549=0),H549,0))</f>
      </c>
      <c r="M549" s="249">
        <f>IF(A549="","",IF(A549=-1,H549,0))</f>
      </c>
      <c r="N549">
        <f>IF($E549="SGD",1,IF($E549="USD",Settings!$B$22,IF($E549="HKD",Settings!$B$23,1)))</f>
      </c>
      <c r="O549">
        <f>IF($J549="",0,($M549-$L549+IF($A549=2,$H549,0))*$N549)</f>
      </c>
      <c r="P549">
        <f>IF($J549="",0,IF($A549=2,$H549*$N549,0))</f>
      </c>
    </row>
    <row r="550" spans="1:16" ht="15" customHeight="1" x14ac:dyDescent="0.15">
      <c r="A550" s="242"/>
      <c r="B550" s="242"/>
      <c r="C550" s="242"/>
      <c r="D550" s="256"/>
      <c r="E550" s="242"/>
      <c r="F550" s="257"/>
      <c r="G550" s="242"/>
      <c r="H550" s="257"/>
      <c r="I550" s="242"/>
      <c r="J550" s="249">
        <f>IF(OR(B550="",C550="",E550=""),"",B550&amp;":"&amp;C550&amp;":"&amp;E550)</f>
      </c>
      <c r="K550" s="250">
        <f>IF(A550="","",A550*D550)</f>
      </c>
      <c r="L550" s="249">
        <f>IF(A550="","",IF(OR(A550=1,A550=0),H550,0))</f>
      </c>
      <c r="M550" s="249">
        <f>IF(A550="","",IF(A550=-1,H550,0))</f>
      </c>
      <c r="N550">
        <f>IF($E550="SGD",1,IF($E550="USD",Settings!$B$22,IF($E550="HKD",Settings!$B$23,1)))</f>
      </c>
      <c r="O550">
        <f>IF($J550="",0,($M550-$L550+IF($A550=2,$H550,0))*$N550)</f>
      </c>
      <c r="P550">
        <f>IF($J550="",0,IF($A550=2,$H550*$N550,0))</f>
      </c>
    </row>
    <row r="551" spans="1:16" ht="15" customHeight="1" x14ac:dyDescent="0.15">
      <c r="A551" s="242"/>
      <c r="B551" s="242"/>
      <c r="C551" s="242"/>
      <c r="D551" s="256"/>
      <c r="E551" s="242"/>
      <c r="F551" s="257"/>
      <c r="G551" s="242"/>
      <c r="H551" s="257"/>
      <c r="I551" s="242"/>
      <c r="J551" s="249">
        <f>IF(OR(B551="",C551="",E551=""),"",B551&amp;":"&amp;C551&amp;":"&amp;E551)</f>
      </c>
      <c r="K551" s="250">
        <f>IF(A551="","",A551*D551)</f>
      </c>
      <c r="L551" s="249">
        <f>IF(A551="","",IF(OR(A551=1,A551=0),H551,0))</f>
      </c>
      <c r="M551" s="249">
        <f>IF(A551="","",IF(A551=-1,H551,0))</f>
      </c>
      <c r="N551">
        <f>IF($E551="SGD",1,IF($E551="USD",Settings!$B$22,IF($E551="HKD",Settings!$B$23,1)))</f>
      </c>
      <c r="O551">
        <f>IF($J551="",0,($M551-$L551+IF($A551=2,$H551,0))*$N551)</f>
      </c>
      <c r="P551">
        <f>IF($J551="",0,IF($A551=2,$H551*$N551,0))</f>
      </c>
    </row>
    <row r="552" spans="1:16" ht="15" customHeight="1" x14ac:dyDescent="0.15">
      <c r="A552" s="242"/>
      <c r="B552" s="242"/>
      <c r="C552" s="242"/>
      <c r="D552" s="256"/>
      <c r="E552" s="242"/>
      <c r="F552" s="257"/>
      <c r="G552" s="242"/>
      <c r="H552" s="257"/>
      <c r="I552" s="242"/>
      <c r="J552" s="249">
        <f>IF(OR(B552="",C552="",E552=""),"",B552&amp;":"&amp;C552&amp;":"&amp;E552)</f>
      </c>
      <c r="K552" s="250">
        <f>IF(A552="","",A552*D552)</f>
      </c>
      <c r="L552" s="249">
        <f>IF(A552="","",IF(OR(A552=1,A552=0),H552,0))</f>
      </c>
      <c r="M552" s="249">
        <f>IF(A552="","",IF(A552=-1,H552,0))</f>
      </c>
      <c r="N552">
        <f>IF($E552="SGD",1,IF($E552="USD",Settings!$B$22,IF($E552="HKD",Settings!$B$23,1)))</f>
      </c>
      <c r="O552">
        <f>IF($J552="",0,($M552-$L552+IF($A552=2,$H552,0))*$N552)</f>
      </c>
      <c r="P552">
        <f>IF($J552="",0,IF($A552=2,$H552*$N552,0))</f>
      </c>
    </row>
    <row r="553" spans="1:16" ht="15" customHeight="1" x14ac:dyDescent="0.15">
      <c r="A553" s="242"/>
      <c r="B553" s="242"/>
      <c r="C553" s="242"/>
      <c r="D553" s="256"/>
      <c r="E553" s="242"/>
      <c r="F553" s="257"/>
      <c r="G553" s="242"/>
      <c r="H553" s="257"/>
      <c r="I553" s="242"/>
      <c r="J553" s="249">
        <f>IF(OR(B553="",C553="",E553=""),"",B553&amp;":"&amp;C553&amp;":"&amp;E553)</f>
      </c>
      <c r="K553" s="250">
        <f>IF(A553="","",A553*D553)</f>
      </c>
      <c r="L553" s="249">
        <f>IF(A553="","",IF(OR(A553=1,A553=0),H553,0))</f>
      </c>
      <c r="M553" s="249">
        <f>IF(A553="","",IF(A553=-1,H553,0))</f>
      </c>
      <c r="N553">
        <f>IF($E553="SGD",1,IF($E553="USD",Settings!$B$22,IF($E553="HKD",Settings!$B$23,1)))</f>
      </c>
      <c r="O553">
        <f>IF($J553="",0,($M553-$L553+IF($A553=2,$H553,0))*$N553)</f>
      </c>
      <c r="P553">
        <f>IF($J553="",0,IF($A553=2,$H553*$N553,0))</f>
      </c>
    </row>
    <row r="554" spans="1:16" ht="15" customHeight="1" x14ac:dyDescent="0.15">
      <c r="A554" s="242"/>
      <c r="B554" s="242"/>
      <c r="C554" s="242"/>
      <c r="D554" s="256"/>
      <c r="E554" s="242"/>
      <c r="F554" s="257"/>
      <c r="G554" s="242"/>
      <c r="H554" s="257"/>
      <c r="I554" s="242"/>
      <c r="J554" s="249">
        <f>IF(OR(B554="",C554="",E554=""),"",B554&amp;":"&amp;C554&amp;":"&amp;E554)</f>
      </c>
      <c r="K554" s="250">
        <f>IF(A554="","",A554*D554)</f>
      </c>
      <c r="L554" s="249">
        <f>IF(A554="","",IF(OR(A554=1,A554=0),H554,0))</f>
      </c>
      <c r="M554" s="249">
        <f>IF(A554="","",IF(A554=-1,H554,0))</f>
      </c>
      <c r="N554">
        <f>IF($E554="SGD",1,IF($E554="USD",Settings!$B$22,IF($E554="HKD",Settings!$B$23,1)))</f>
      </c>
      <c r="O554">
        <f>IF($J554="",0,($M554-$L554+IF($A554=2,$H554,0))*$N554)</f>
      </c>
      <c r="P554">
        <f>IF($J554="",0,IF($A554=2,$H554*$N554,0))</f>
      </c>
    </row>
    <row r="555" spans="1:16" ht="15" customHeight="1" x14ac:dyDescent="0.15">
      <c r="A555" s="242"/>
      <c r="B555" s="242"/>
      <c r="C555" s="242"/>
      <c r="D555" s="256"/>
      <c r="E555" s="242"/>
      <c r="F555" s="257"/>
      <c r="G555" s="242"/>
      <c r="H555" s="257"/>
      <c r="I555" s="242"/>
      <c r="J555" s="249">
        <f>IF(OR(B555="",C555="",E555=""),"",B555&amp;":"&amp;C555&amp;":"&amp;E555)</f>
      </c>
      <c r="K555" s="250">
        <f>IF(A555="","",A555*D555)</f>
      </c>
      <c r="L555" s="249">
        <f>IF(A555="","",IF(OR(A555=1,A555=0),H555,0))</f>
      </c>
      <c r="M555" s="249">
        <f>IF(A555="","",IF(A555=-1,H555,0))</f>
      </c>
      <c r="N555">
        <f>IF($E555="SGD",1,IF($E555="USD",Settings!$B$22,IF($E555="HKD",Settings!$B$23,1)))</f>
      </c>
      <c r="O555">
        <f>IF($J555="",0,($M555-$L555+IF($A555=2,$H555,0))*$N555)</f>
      </c>
      <c r="P555">
        <f>IF($J555="",0,IF($A555=2,$H555*$N555,0))</f>
      </c>
    </row>
    <row r="556" spans="1:16" ht="15" customHeight="1" x14ac:dyDescent="0.15">
      <c r="A556" s="242"/>
      <c r="B556" s="242"/>
      <c r="C556" s="242"/>
      <c r="D556" s="256"/>
      <c r="E556" s="242"/>
      <c r="F556" s="257"/>
      <c r="G556" s="242"/>
      <c r="H556" s="257"/>
      <c r="I556" s="242"/>
      <c r="J556" s="249">
        <f>IF(OR(B556="",C556="",E556=""),"",B556&amp;":"&amp;C556&amp;":"&amp;E556)</f>
      </c>
      <c r="K556" s="250">
        <f>IF(A556="","",A556*D556)</f>
      </c>
      <c r="L556" s="249">
        <f>IF(A556="","",IF(OR(A556=1,A556=0),H556,0))</f>
      </c>
      <c r="M556" s="249">
        <f>IF(A556="","",IF(A556=-1,H556,0))</f>
      </c>
      <c r="N556">
        <f>IF($E556="SGD",1,IF($E556="USD",Settings!$B$22,IF($E556="HKD",Settings!$B$23,1)))</f>
      </c>
      <c r="O556">
        <f>IF($J556="",0,($M556-$L556+IF($A556=2,$H556,0))*$N556)</f>
      </c>
      <c r="P556">
        <f>IF($J556="",0,IF($A556=2,$H556*$N556,0))</f>
      </c>
    </row>
    <row r="557" spans="1:16" ht="15" customHeight="1" x14ac:dyDescent="0.15">
      <c r="A557" s="242"/>
      <c r="B557" s="242"/>
      <c r="C557" s="242"/>
      <c r="D557" s="256"/>
      <c r="E557" s="242"/>
      <c r="F557" s="257"/>
      <c r="G557" s="242"/>
      <c r="H557" s="257"/>
      <c r="I557" s="242"/>
      <c r="J557" s="249">
        <f>IF(OR(B557="",C557="",E557=""),"",B557&amp;":"&amp;C557&amp;":"&amp;E557)</f>
      </c>
      <c r="K557" s="250">
        <f>IF(A557="","",A557*D557)</f>
      </c>
      <c r="L557" s="249">
        <f>IF(A557="","",IF(OR(A557=1,A557=0),H557,0))</f>
      </c>
      <c r="M557" s="249">
        <f>IF(A557="","",IF(A557=-1,H557,0))</f>
      </c>
      <c r="N557">
        <f>IF($E557="SGD",1,IF($E557="USD",Settings!$B$22,IF($E557="HKD",Settings!$B$23,1)))</f>
      </c>
      <c r="O557">
        <f>IF($J557="",0,($M557-$L557+IF($A557=2,$H557,0))*$N557)</f>
      </c>
      <c r="P557">
        <f>IF($J557="",0,IF($A557=2,$H557*$N557,0))</f>
      </c>
    </row>
    <row r="558" spans="1:16" ht="15" customHeight="1" x14ac:dyDescent="0.15">
      <c r="A558" s="242"/>
      <c r="B558" s="242"/>
      <c r="C558" s="242"/>
      <c r="D558" s="256"/>
      <c r="E558" s="242"/>
      <c r="F558" s="257"/>
      <c r="G558" s="242"/>
      <c r="H558" s="257"/>
      <c r="I558" s="242"/>
      <c r="J558" s="249">
        <f>IF(OR(B558="",C558="",E558=""),"",B558&amp;":"&amp;C558&amp;":"&amp;E558)</f>
      </c>
      <c r="K558" s="250">
        <f>IF(A558="","",A558*D558)</f>
      </c>
      <c r="L558" s="249">
        <f>IF(A558="","",IF(OR(A558=1,A558=0),H558,0))</f>
      </c>
      <c r="M558" s="249">
        <f>IF(A558="","",IF(A558=-1,H558,0))</f>
      </c>
      <c r="N558">
        <f>IF($E558="SGD",1,IF($E558="USD",Settings!$B$22,IF($E558="HKD",Settings!$B$23,1)))</f>
      </c>
      <c r="O558">
        <f>IF($J558="",0,($M558-$L558+IF($A558=2,$H558,0))*$N558)</f>
      </c>
      <c r="P558">
        <f>IF($J558="",0,IF($A558=2,$H558*$N558,0))</f>
      </c>
    </row>
    <row r="559" spans="1:16" ht="15" customHeight="1" x14ac:dyDescent="0.15">
      <c r="A559" s="242"/>
      <c r="B559" s="242"/>
      <c r="C559" s="242"/>
      <c r="D559" s="256"/>
      <c r="E559" s="242"/>
      <c r="F559" s="257"/>
      <c r="G559" s="242"/>
      <c r="H559" s="257"/>
      <c r="I559" s="242"/>
      <c r="J559" s="249">
        <f>IF(OR(B559="",C559="",E559=""),"",B559&amp;":"&amp;C559&amp;":"&amp;E559)</f>
      </c>
      <c r="K559" s="250">
        <f>IF(A559="","",A559*D559)</f>
      </c>
      <c r="L559" s="249">
        <f>IF(A559="","",IF(OR(A559=1,A559=0),H559,0))</f>
      </c>
      <c r="M559" s="249">
        <f>IF(A559="","",IF(A559=-1,H559,0))</f>
      </c>
      <c r="N559">
        <f>IF($E559="SGD",1,IF($E559="USD",Settings!$B$22,IF($E559="HKD",Settings!$B$23,1)))</f>
      </c>
      <c r="O559">
        <f>IF($J559="",0,($M559-$L559+IF($A559=2,$H559,0))*$N559)</f>
      </c>
      <c r="P559">
        <f>IF($J559="",0,IF($A559=2,$H559*$N559,0))</f>
      </c>
    </row>
    <row r="560" spans="1:16" ht="15" customHeight="1" x14ac:dyDescent="0.15">
      <c r="A560" s="242"/>
      <c r="B560" s="242"/>
      <c r="C560" s="242"/>
      <c r="D560" s="256"/>
      <c r="E560" s="242"/>
      <c r="F560" s="257"/>
      <c r="G560" s="242"/>
      <c r="H560" s="257"/>
      <c r="I560" s="242"/>
      <c r="J560" s="249">
        <f>IF(OR(B560="",C560="",E560=""),"",B560&amp;":"&amp;C560&amp;":"&amp;E560)</f>
      </c>
      <c r="K560" s="250">
        <f>IF(A560="","",A560*D560)</f>
      </c>
      <c r="L560" s="249">
        <f>IF(A560="","",IF(OR(A560=1,A560=0),H560,0))</f>
      </c>
      <c r="M560" s="249">
        <f>IF(A560="","",IF(A560=-1,H560,0))</f>
      </c>
      <c r="N560">
        <f>IF($E560="SGD",1,IF($E560="USD",Settings!$B$22,IF($E560="HKD",Settings!$B$23,1)))</f>
      </c>
      <c r="O560">
        <f>IF($J560="",0,($M560-$L560+IF($A560=2,$H560,0))*$N560)</f>
      </c>
      <c r="P560">
        <f>IF($J560="",0,IF($A560=2,$H560*$N560,0))</f>
      </c>
    </row>
    <row r="561" spans="1:16" ht="15" customHeight="1" x14ac:dyDescent="0.15">
      <c r="A561" s="242"/>
      <c r="B561" s="242"/>
      <c r="C561" s="242"/>
      <c r="D561" s="256"/>
      <c r="E561" s="242"/>
      <c r="F561" s="257"/>
      <c r="G561" s="242"/>
      <c r="H561" s="257"/>
      <c r="I561" s="242"/>
      <c r="J561" s="249">
        <f>IF(OR(B561="",C561="",E561=""),"",B561&amp;":"&amp;C561&amp;":"&amp;E561)</f>
      </c>
      <c r="K561" s="250">
        <f>IF(A561="","",A561*D561)</f>
      </c>
      <c r="L561" s="249">
        <f>IF(A561="","",IF(OR(A561=1,A561=0),H561,0))</f>
      </c>
      <c r="M561" s="249">
        <f>IF(A561="","",IF(A561=-1,H561,0))</f>
      </c>
      <c r="N561">
        <f>IF($E561="SGD",1,IF($E561="USD",Settings!$B$22,IF($E561="HKD",Settings!$B$23,1)))</f>
      </c>
      <c r="O561">
        <f>IF($J561="",0,($M561-$L561+IF($A561=2,$H561,0))*$N561)</f>
      </c>
      <c r="P561">
        <f>IF($J561="",0,IF($A561=2,$H561*$N561,0))</f>
      </c>
    </row>
    <row r="562" spans="1:16" ht="15" customHeight="1" x14ac:dyDescent="0.15">
      <c r="A562" s="242"/>
      <c r="B562" s="242"/>
      <c r="C562" s="242"/>
      <c r="D562" s="256"/>
      <c r="E562" s="242"/>
      <c r="F562" s="257"/>
      <c r="G562" s="242"/>
      <c r="H562" s="257"/>
      <c r="I562" s="242"/>
      <c r="J562" s="249">
        <f>IF(OR(B562="",C562="",E562=""),"",B562&amp;":"&amp;C562&amp;":"&amp;E562)</f>
      </c>
      <c r="K562" s="250">
        <f>IF(A562="","",A562*D562)</f>
      </c>
      <c r="L562" s="249">
        <f>IF(A562="","",IF(OR(A562=1,A562=0),H562,0))</f>
      </c>
      <c r="M562" s="249">
        <f>IF(A562="","",IF(A562=-1,H562,0))</f>
      </c>
      <c r="N562">
        <f>IF($E562="SGD",1,IF($E562="USD",Settings!$B$22,IF($E562="HKD",Settings!$B$23,1)))</f>
      </c>
      <c r="O562">
        <f>IF($J562="",0,($M562-$L562+IF($A562=2,$H562,0))*$N562)</f>
      </c>
      <c r="P562">
        <f>IF($J562="",0,IF($A562=2,$H562*$N562,0))</f>
      </c>
    </row>
    <row r="563" spans="1:16" ht="15" customHeight="1" x14ac:dyDescent="0.15">
      <c r="A563" s="242"/>
      <c r="B563" s="242"/>
      <c r="C563" s="242"/>
      <c r="D563" s="256"/>
      <c r="E563" s="242"/>
      <c r="F563" s="257"/>
      <c r="G563" s="242"/>
      <c r="H563" s="257"/>
      <c r="I563" s="242"/>
      <c r="J563" s="249">
        <f>IF(OR(B563="",C563="",E563=""),"",B563&amp;":"&amp;C563&amp;":"&amp;E563)</f>
      </c>
      <c r="K563" s="250">
        <f>IF(A563="","",A563*D563)</f>
      </c>
      <c r="L563" s="249">
        <f>IF(A563="","",IF(OR(A563=1,A563=0),H563,0))</f>
      </c>
      <c r="M563" s="249">
        <f>IF(A563="","",IF(A563=-1,H563,0))</f>
      </c>
      <c r="N563">
        <f>IF($E563="SGD",1,IF($E563="USD",Settings!$B$22,IF($E563="HKD",Settings!$B$23,1)))</f>
      </c>
      <c r="O563">
        <f>IF($J563="",0,($M563-$L563+IF($A563=2,$H563,0))*$N563)</f>
      </c>
      <c r="P563">
        <f>IF($J563="",0,IF($A563=2,$H563*$N563,0))</f>
      </c>
    </row>
    <row r="564" spans="1:16" ht="15" customHeight="1" x14ac:dyDescent="0.15">
      <c r="A564" s="242"/>
      <c r="B564" s="242"/>
      <c r="C564" s="242"/>
      <c r="D564" s="256"/>
      <c r="E564" s="242"/>
      <c r="F564" s="257"/>
      <c r="G564" s="242"/>
      <c r="H564" s="257"/>
      <c r="I564" s="242"/>
      <c r="J564" s="249">
        <f>IF(OR(B564="",C564="",E564=""),"",B564&amp;":"&amp;C564&amp;":"&amp;E564)</f>
      </c>
      <c r="K564" s="250">
        <f>IF(A564="","",A564*D564)</f>
      </c>
      <c r="L564" s="249">
        <f>IF(A564="","",IF(OR(A564=1,A564=0),H564,0))</f>
      </c>
      <c r="M564" s="249">
        <f>IF(A564="","",IF(A564=-1,H564,0))</f>
      </c>
      <c r="N564">
        <f>IF($E564="SGD",1,IF($E564="USD",Settings!$B$22,IF($E564="HKD",Settings!$B$23,1)))</f>
      </c>
      <c r="O564">
        <f>IF($J564="",0,($M564-$L564+IF($A564=2,$H564,0))*$N564)</f>
      </c>
      <c r="P564">
        <f>IF($J564="",0,IF($A564=2,$H564*$N564,0))</f>
      </c>
    </row>
    <row r="565" spans="1:16" ht="15" customHeight="1" x14ac:dyDescent="0.15">
      <c r="A565" s="242"/>
      <c r="B565" s="242"/>
      <c r="C565" s="242"/>
      <c r="D565" s="256"/>
      <c r="E565" s="242"/>
      <c r="F565" s="257"/>
      <c r="G565" s="242"/>
      <c r="H565" s="257"/>
      <c r="I565" s="242"/>
      <c r="J565" s="249">
        <f>IF(OR(B565="",C565="",E565=""),"",B565&amp;":"&amp;C565&amp;":"&amp;E565)</f>
      </c>
      <c r="K565" s="250">
        <f>IF(A565="","",A565*D565)</f>
      </c>
      <c r="L565" s="249">
        <f>IF(A565="","",IF(OR(A565=1,A565=0),H565,0))</f>
      </c>
      <c r="M565" s="249">
        <f>IF(A565="","",IF(A565=-1,H565,0))</f>
      </c>
      <c r="N565">
        <f>IF($E565="SGD",1,IF($E565="USD",Settings!$B$22,IF($E565="HKD",Settings!$B$23,1)))</f>
      </c>
      <c r="O565">
        <f>IF($J565="",0,($M565-$L565+IF($A565=2,$H565,0))*$N565)</f>
      </c>
      <c r="P565">
        <f>IF($J565="",0,IF($A565=2,$H565*$N565,0))</f>
      </c>
    </row>
    <row r="566" spans="1:16" ht="15" customHeight="1" x14ac:dyDescent="0.15">
      <c r="A566" s="242"/>
      <c r="B566" s="242"/>
      <c r="C566" s="242"/>
      <c r="D566" s="256"/>
      <c r="E566" s="242"/>
      <c r="F566" s="257"/>
      <c r="G566" s="242"/>
      <c r="H566" s="257"/>
      <c r="I566" s="242"/>
      <c r="J566" s="249">
        <f>IF(OR(B566="",C566="",E566=""),"",B566&amp;":"&amp;C566&amp;":"&amp;E566)</f>
      </c>
      <c r="K566" s="250">
        <f>IF(A566="","",A566*D566)</f>
      </c>
      <c r="L566" s="249">
        <f>IF(A566="","",IF(OR(A566=1,A566=0),H566,0))</f>
      </c>
      <c r="M566" s="249">
        <f>IF(A566="","",IF(A566=-1,H566,0))</f>
      </c>
      <c r="N566">
        <f>IF($E566="SGD",1,IF($E566="USD",Settings!$B$22,IF($E566="HKD",Settings!$B$23,1)))</f>
      </c>
      <c r="O566">
        <f>IF($J566="",0,($M566-$L566+IF($A566=2,$H566,0))*$N566)</f>
      </c>
      <c r="P566">
        <f>IF($J566="",0,IF($A566=2,$H566*$N566,0))</f>
      </c>
    </row>
    <row r="567" spans="1:16" ht="15" customHeight="1" x14ac:dyDescent="0.15">
      <c r="A567" s="242"/>
      <c r="B567" s="242"/>
      <c r="C567" s="242"/>
      <c r="D567" s="256"/>
      <c r="E567" s="242"/>
      <c r="F567" s="257"/>
      <c r="G567" s="242"/>
      <c r="H567" s="257"/>
      <c r="I567" s="242"/>
      <c r="J567" s="249">
        <f>IF(OR(B567="",C567="",E567=""),"",B567&amp;":"&amp;C567&amp;":"&amp;E567)</f>
      </c>
      <c r="K567" s="250">
        <f>IF(A567="","",A567*D567)</f>
      </c>
      <c r="L567" s="249">
        <f>IF(A567="","",IF(OR(A567=1,A567=0),H567,0))</f>
      </c>
      <c r="M567" s="249">
        <f>IF(A567="","",IF(A567=-1,H567,0))</f>
      </c>
      <c r="N567">
        <f>IF($E567="SGD",1,IF($E567="USD",Settings!$B$22,IF($E567="HKD",Settings!$B$23,1)))</f>
      </c>
      <c r="O567">
        <f>IF($J567="",0,($M567-$L567+IF($A567=2,$H567,0))*$N567)</f>
      </c>
      <c r="P567">
        <f>IF($J567="",0,IF($A567=2,$H567*$N567,0))</f>
      </c>
    </row>
    <row r="568" spans="1:16" ht="15" customHeight="1" x14ac:dyDescent="0.15">
      <c r="A568" s="242"/>
      <c r="B568" s="242"/>
      <c r="C568" s="242"/>
      <c r="D568" s="256"/>
      <c r="E568" s="242"/>
      <c r="F568" s="257"/>
      <c r="G568" s="242"/>
      <c r="H568" s="257"/>
      <c r="I568" s="242"/>
      <c r="J568" s="249">
        <f>IF(OR(B568="",C568="",E568=""),"",B568&amp;":"&amp;C568&amp;":"&amp;E568)</f>
      </c>
      <c r="K568" s="250">
        <f>IF(A568="","",A568*D568)</f>
      </c>
      <c r="L568" s="249">
        <f>IF(A568="","",IF(OR(A568=1,A568=0),H568,0))</f>
      </c>
      <c r="M568" s="249">
        <f>IF(A568="","",IF(A568=-1,H568,0))</f>
      </c>
      <c r="N568">
        <f>IF($E568="SGD",1,IF($E568="USD",Settings!$B$22,IF($E568="HKD",Settings!$B$23,1)))</f>
      </c>
      <c r="O568">
        <f>IF($J568="",0,($M568-$L568+IF($A568=2,$H568,0))*$N568)</f>
      </c>
      <c r="P568">
        <f>IF($J568="",0,IF($A568=2,$H568*$N568,0))</f>
      </c>
    </row>
    <row r="569" spans="1:16" ht="15" customHeight="1" x14ac:dyDescent="0.15">
      <c r="A569" s="242"/>
      <c r="B569" s="242"/>
      <c r="C569" s="242"/>
      <c r="D569" s="256"/>
      <c r="E569" s="242"/>
      <c r="F569" s="257"/>
      <c r="G569" s="242"/>
      <c r="H569" s="257"/>
      <c r="I569" s="242"/>
      <c r="J569" s="249">
        <f>IF(OR(B569="",C569="",E569=""),"",B569&amp;":"&amp;C569&amp;":"&amp;E569)</f>
      </c>
      <c r="K569" s="250">
        <f>IF(A569="","",A569*D569)</f>
      </c>
      <c r="L569" s="249">
        <f>IF(A569="","",IF(OR(A569=1,A569=0),H569,0))</f>
      </c>
      <c r="M569" s="249">
        <f>IF(A569="","",IF(A569=-1,H569,0))</f>
      </c>
      <c r="N569">
        <f>IF($E569="SGD",1,IF($E569="USD",Settings!$B$22,IF($E569="HKD",Settings!$B$23,1)))</f>
      </c>
      <c r="O569">
        <f>IF($J569="",0,($M569-$L569+IF($A569=2,$H569,0))*$N569)</f>
      </c>
      <c r="P569">
        <f>IF($J569="",0,IF($A569=2,$H569*$N569,0))</f>
      </c>
    </row>
    <row r="570" spans="1:16" ht="15" customHeight="1" x14ac:dyDescent="0.15">
      <c r="A570" s="242"/>
      <c r="B570" s="242"/>
      <c r="C570" s="242"/>
      <c r="D570" s="256"/>
      <c r="E570" s="242"/>
      <c r="F570" s="257"/>
      <c r="G570" s="242"/>
      <c r="H570" s="257"/>
      <c r="I570" s="242"/>
      <c r="J570" s="249">
        <f>IF(OR(B570="",C570="",E570=""),"",B570&amp;":"&amp;C570&amp;":"&amp;E570)</f>
      </c>
      <c r="K570" s="250">
        <f>IF(A570="","",A570*D570)</f>
      </c>
      <c r="L570" s="249">
        <f>IF(A570="","",IF(OR(A570=1,A570=0),H570,0))</f>
      </c>
      <c r="M570" s="249">
        <f>IF(A570="","",IF(A570=-1,H570,0))</f>
      </c>
      <c r="N570">
        <f>IF($E570="SGD",1,IF($E570="USD",Settings!$B$22,IF($E570="HKD",Settings!$B$23,1)))</f>
      </c>
      <c r="O570">
        <f>IF($J570="",0,($M570-$L570+IF($A570=2,$H570,0))*$N570)</f>
      </c>
      <c r="P570">
        <f>IF($J570="",0,IF($A570=2,$H570*$N570,0))</f>
      </c>
    </row>
    <row r="571" spans="1:16" ht="15" customHeight="1" x14ac:dyDescent="0.15">
      <c r="A571" s="242"/>
      <c r="B571" s="242"/>
      <c r="C571" s="242"/>
      <c r="D571" s="256"/>
      <c r="E571" s="242"/>
      <c r="F571" s="257"/>
      <c r="G571" s="242"/>
      <c r="H571" s="257"/>
      <c r="I571" s="242"/>
      <c r="J571" s="249">
        <f>IF(OR(B571="",C571="",E571=""),"",B571&amp;":"&amp;C571&amp;":"&amp;E571)</f>
      </c>
      <c r="K571" s="250">
        <f>IF(A571="","",A571*D571)</f>
      </c>
      <c r="L571" s="249">
        <f>IF(A571="","",IF(OR(A571=1,A571=0),H571,0))</f>
      </c>
      <c r="M571" s="249">
        <f>IF(A571="","",IF(A571=-1,H571,0))</f>
      </c>
      <c r="N571">
        <f>IF($E571="SGD",1,IF($E571="USD",Settings!$B$22,IF($E571="HKD",Settings!$B$23,1)))</f>
      </c>
      <c r="O571">
        <f>IF($J571="",0,($M571-$L571+IF($A571=2,$H571,0))*$N571)</f>
      </c>
      <c r="P571">
        <f>IF($J571="",0,IF($A571=2,$H571*$N571,0))</f>
      </c>
    </row>
    <row r="572" spans="1:16" ht="15" customHeight="1" x14ac:dyDescent="0.15">
      <c r="A572" s="242"/>
      <c r="B572" s="242"/>
      <c r="C572" s="242"/>
      <c r="D572" s="256"/>
      <c r="E572" s="242"/>
      <c r="F572" s="257"/>
      <c r="G572" s="242"/>
      <c r="H572" s="257"/>
      <c r="I572" s="242"/>
      <c r="J572" s="249">
        <f>IF(OR(B572="",C572="",E572=""),"",B572&amp;":"&amp;C572&amp;":"&amp;E572)</f>
      </c>
      <c r="K572" s="250">
        <f>IF(A572="","",A572*D572)</f>
      </c>
      <c r="L572" s="249">
        <f>IF(A572="","",IF(OR(A572=1,A572=0),H572,0))</f>
      </c>
      <c r="M572" s="249">
        <f>IF(A572="","",IF(A572=-1,H572,0))</f>
      </c>
      <c r="N572">
        <f>IF($E572="SGD",1,IF($E572="USD",Settings!$B$22,IF($E572="HKD",Settings!$B$23,1)))</f>
      </c>
      <c r="O572">
        <f>IF($J572="",0,($M572-$L572+IF($A572=2,$H572,0))*$N572)</f>
      </c>
      <c r="P572">
        <f>IF($J572="",0,IF($A572=2,$H572*$N572,0))</f>
      </c>
    </row>
    <row r="573" spans="1:16" ht="15" customHeight="1" x14ac:dyDescent="0.15">
      <c r="A573" s="242"/>
      <c r="B573" s="242"/>
      <c r="C573" s="242"/>
      <c r="D573" s="256"/>
      <c r="E573" s="242"/>
      <c r="F573" s="257"/>
      <c r="G573" s="242"/>
      <c r="H573" s="257"/>
      <c r="I573" s="242"/>
      <c r="J573" s="249">
        <f>IF(OR(B573="",C573="",E573=""),"",B573&amp;":"&amp;C573&amp;":"&amp;E573)</f>
      </c>
      <c r="K573" s="250">
        <f>IF(A573="","",A573*D573)</f>
      </c>
      <c r="L573" s="249">
        <f>IF(A573="","",IF(OR(A573=1,A573=0),H573,0))</f>
      </c>
      <c r="M573" s="249">
        <f>IF(A573="","",IF(A573=-1,H573,0))</f>
      </c>
      <c r="N573">
        <f>IF($E573="SGD",1,IF($E573="USD",Settings!$B$22,IF($E573="HKD",Settings!$B$23,1)))</f>
      </c>
      <c r="O573">
        <f>IF($J573="",0,($M573-$L573+IF($A573=2,$H573,0))*$N573)</f>
      </c>
      <c r="P573">
        <f>IF($J573="",0,IF($A573=2,$H573*$N573,0))</f>
      </c>
    </row>
    <row r="574" spans="1:16" ht="15" customHeight="1" x14ac:dyDescent="0.15">
      <c r="A574" s="242"/>
      <c r="B574" s="242"/>
      <c r="C574" s="242"/>
      <c r="D574" s="256"/>
      <c r="E574" s="242"/>
      <c r="F574" s="257"/>
      <c r="G574" s="242"/>
      <c r="H574" s="257"/>
      <c r="I574" s="242"/>
      <c r="J574" s="249">
        <f>IF(OR(B574="",C574="",E574=""),"",B574&amp;":"&amp;C574&amp;":"&amp;E574)</f>
      </c>
      <c r="K574" s="250">
        <f>IF(A574="","",A574*D574)</f>
      </c>
      <c r="L574" s="249">
        <f>IF(A574="","",IF(OR(A574=1,A574=0),H574,0))</f>
      </c>
      <c r="M574" s="249">
        <f>IF(A574="","",IF(A574=-1,H574,0))</f>
      </c>
      <c r="N574">
        <f>IF($E574="SGD",1,IF($E574="USD",Settings!$B$22,IF($E574="HKD",Settings!$B$23,1)))</f>
      </c>
      <c r="O574">
        <f>IF($J574="",0,($M574-$L574+IF($A574=2,$H574,0))*$N574)</f>
      </c>
      <c r="P574">
        <f>IF($J574="",0,IF($A574=2,$H574*$N574,0))</f>
      </c>
    </row>
    <row r="575" spans="1:16" ht="15" customHeight="1" x14ac:dyDescent="0.15">
      <c r="A575" s="242"/>
      <c r="B575" s="242"/>
      <c r="C575" s="242"/>
      <c r="D575" s="256"/>
      <c r="E575" s="242"/>
      <c r="F575" s="257"/>
      <c r="G575" s="242"/>
      <c r="H575" s="257"/>
      <c r="I575" s="242"/>
      <c r="J575" s="249">
        <f>IF(OR(B575="",C575="",E575=""),"",B575&amp;":"&amp;C575&amp;":"&amp;E575)</f>
      </c>
      <c r="K575" s="250">
        <f>IF(A575="","",A575*D575)</f>
      </c>
      <c r="L575" s="249">
        <f>IF(A575="","",IF(OR(A575=1,A575=0),H575,0))</f>
      </c>
      <c r="M575" s="249">
        <f>IF(A575="","",IF(A575=-1,H575,0))</f>
      </c>
      <c r="N575">
        <f>IF($E575="SGD",1,IF($E575="USD",Settings!$B$22,IF($E575="HKD",Settings!$B$23,1)))</f>
      </c>
      <c r="O575">
        <f>IF($J575="",0,($M575-$L575+IF($A575=2,$H575,0))*$N575)</f>
      </c>
      <c r="P575">
        <f>IF($J575="",0,IF($A575=2,$H575*$N575,0))</f>
      </c>
    </row>
    <row r="576" spans="1:16" ht="15" customHeight="1" x14ac:dyDescent="0.15">
      <c r="A576" s="242"/>
      <c r="B576" s="242"/>
      <c r="C576" s="242"/>
      <c r="D576" s="256"/>
      <c r="E576" s="242"/>
      <c r="F576" s="257"/>
      <c r="G576" s="242"/>
      <c r="H576" s="257"/>
      <c r="I576" s="242"/>
      <c r="J576" s="249">
        <f>IF(OR(B576="",C576="",E576=""),"",B576&amp;":"&amp;C576&amp;":"&amp;E576)</f>
      </c>
      <c r="K576" s="250">
        <f>IF(A576="","",A576*D576)</f>
      </c>
      <c r="L576" s="249">
        <f>IF(A576="","",IF(OR(A576=1,A576=0),H576,0))</f>
      </c>
      <c r="M576" s="249">
        <f>IF(A576="","",IF(A576=-1,H576,0))</f>
      </c>
      <c r="N576">
        <f>IF($E576="SGD",1,IF($E576="USD",Settings!$B$22,IF($E576="HKD",Settings!$B$23,1)))</f>
      </c>
      <c r="O576">
        <f>IF($J576="",0,($M576-$L576+IF($A576=2,$H576,0))*$N576)</f>
      </c>
      <c r="P576">
        <f>IF($J576="",0,IF($A576=2,$H576*$N576,0))</f>
      </c>
    </row>
    <row r="577" spans="1:16" ht="15" customHeight="1" x14ac:dyDescent="0.15">
      <c r="A577" s="242"/>
      <c r="B577" s="242"/>
      <c r="C577" s="242"/>
      <c r="D577" s="256"/>
      <c r="E577" s="242"/>
      <c r="F577" s="257"/>
      <c r="G577" s="242"/>
      <c r="H577" s="257"/>
      <c r="I577" s="242"/>
      <c r="J577" s="249">
        <f>IF(OR(B577="",C577="",E577=""),"",B577&amp;":"&amp;C577&amp;":"&amp;E577)</f>
      </c>
      <c r="K577" s="250">
        <f>IF(A577="","",A577*D577)</f>
      </c>
      <c r="L577" s="249">
        <f>IF(A577="","",IF(OR(A577=1,A577=0),H577,0))</f>
      </c>
      <c r="M577" s="249">
        <f>IF(A577="","",IF(A577=-1,H577,0))</f>
      </c>
      <c r="N577">
        <f>IF($E577="SGD",1,IF($E577="USD",Settings!$B$22,IF($E577="HKD",Settings!$B$23,1)))</f>
      </c>
      <c r="O577">
        <f>IF($J577="",0,($M577-$L577+IF($A577=2,$H577,0))*$N577)</f>
      </c>
      <c r="P577">
        <f>IF($J577="",0,IF($A577=2,$H577*$N577,0))</f>
      </c>
    </row>
    <row r="578" spans="1:16" ht="15" customHeight="1" x14ac:dyDescent="0.15">
      <c r="A578" s="242"/>
      <c r="B578" s="242"/>
      <c r="C578" s="242"/>
      <c r="D578" s="256"/>
      <c r="E578" s="242"/>
      <c r="F578" s="257"/>
      <c r="G578" s="242"/>
      <c r="H578" s="257"/>
      <c r="I578" s="242"/>
      <c r="J578" s="249">
        <f>IF(OR(B578="",C578="",E578=""),"",B578&amp;":"&amp;C578&amp;":"&amp;E578)</f>
      </c>
      <c r="K578" s="250">
        <f>IF(A578="","",A578*D578)</f>
      </c>
      <c r="L578" s="249">
        <f>IF(A578="","",IF(OR(A578=1,A578=0),H578,0))</f>
      </c>
      <c r="M578" s="249">
        <f>IF(A578="","",IF(A578=-1,H578,0))</f>
      </c>
      <c r="N578">
        <f>IF($E578="SGD",1,IF($E578="USD",Settings!$B$22,IF($E578="HKD",Settings!$B$23,1)))</f>
      </c>
      <c r="O578">
        <f>IF($J578="",0,($M578-$L578+IF($A578=2,$H578,0))*$N578)</f>
      </c>
      <c r="P578">
        <f>IF($J578="",0,IF($A578=2,$H578*$N578,0))</f>
      </c>
    </row>
    <row r="579" spans="1:16" ht="15" customHeight="1" x14ac:dyDescent="0.15">
      <c r="A579" s="242"/>
      <c r="B579" s="242"/>
      <c r="C579" s="242"/>
      <c r="D579" s="256"/>
      <c r="E579" s="242"/>
      <c r="F579" s="257"/>
      <c r="G579" s="242"/>
      <c r="H579" s="257"/>
      <c r="I579" s="242"/>
      <c r="J579" s="249">
        <f>IF(OR(B579="",C579="",E579=""),"",B579&amp;":"&amp;C579&amp;":"&amp;E579)</f>
      </c>
      <c r="K579" s="250">
        <f>IF(A579="","",A579*D579)</f>
      </c>
      <c r="L579" s="249">
        <f>IF(A579="","",IF(OR(A579=1,A579=0),H579,0))</f>
      </c>
      <c r="M579" s="249">
        <f>IF(A579="","",IF(A579=-1,H579,0))</f>
      </c>
      <c r="N579">
        <f>IF($E579="SGD",1,IF($E579="USD",Settings!$B$22,IF($E579="HKD",Settings!$B$23,1)))</f>
      </c>
      <c r="O579">
        <f>IF($J579="",0,($M579-$L579+IF($A579=2,$H579,0))*$N579)</f>
      </c>
      <c r="P579">
        <f>IF($J579="",0,IF($A579=2,$H579*$N579,0))</f>
      </c>
    </row>
    <row r="580" spans="1:16" ht="15" customHeight="1" x14ac:dyDescent="0.15">
      <c r="A580" s="242"/>
      <c r="B580" s="242"/>
      <c r="C580" s="242"/>
      <c r="D580" s="256"/>
      <c r="E580" s="242"/>
      <c r="F580" s="257"/>
      <c r="G580" s="242"/>
      <c r="H580" s="257"/>
      <c r="I580" s="242"/>
      <c r="J580" s="249">
        <f>IF(OR(B580="",C580="",E580=""),"",B580&amp;":"&amp;C580&amp;":"&amp;E580)</f>
      </c>
      <c r="K580" s="250">
        <f>IF(A580="","",A580*D580)</f>
      </c>
      <c r="L580" s="249">
        <f>IF(A580="","",IF(OR(A580=1,A580=0),H580,0))</f>
      </c>
      <c r="M580" s="249">
        <f>IF(A580="","",IF(A580=-1,H580,0))</f>
      </c>
      <c r="N580">
        <f>IF($E580="SGD",1,IF($E580="USD",Settings!$B$22,IF($E580="HKD",Settings!$B$23,1)))</f>
      </c>
      <c r="O580">
        <f>IF($J580="",0,($M580-$L580+IF($A580=2,$H580,0))*$N580)</f>
      </c>
      <c r="P580">
        <f>IF($J580="",0,IF($A580=2,$H580*$N580,0))</f>
      </c>
    </row>
    <row r="581" spans="1:16" ht="15" customHeight="1" x14ac:dyDescent="0.15">
      <c r="A581" s="242"/>
      <c r="B581" s="242"/>
      <c r="C581" s="242"/>
      <c r="D581" s="256"/>
      <c r="E581" s="242"/>
      <c r="F581" s="257"/>
      <c r="G581" s="242"/>
      <c r="H581" s="257"/>
      <c r="I581" s="242"/>
      <c r="J581" s="249">
        <f>IF(OR(B581="",C581="",E581=""),"",B581&amp;":"&amp;C581&amp;":"&amp;E581)</f>
      </c>
      <c r="K581" s="250">
        <f>IF(A581="","",A581*D581)</f>
      </c>
      <c r="L581" s="249">
        <f>IF(A581="","",IF(OR(A581=1,A581=0),H581,0))</f>
      </c>
      <c r="M581" s="249">
        <f>IF(A581="","",IF(A581=-1,H581,0))</f>
      </c>
      <c r="N581">
        <f>IF($E581="SGD",1,IF($E581="USD",Settings!$B$22,IF($E581="HKD",Settings!$B$23,1)))</f>
      </c>
      <c r="O581">
        <f>IF($J581="",0,($M581-$L581+IF($A581=2,$H581,0))*$N581)</f>
      </c>
      <c r="P581">
        <f>IF($J581="",0,IF($A581=2,$H581*$N581,0))</f>
      </c>
    </row>
    <row r="582" spans="1:16" ht="15" customHeight="1" x14ac:dyDescent="0.15">
      <c r="A582" s="242"/>
      <c r="B582" s="242"/>
      <c r="C582" s="242"/>
      <c r="D582" s="256"/>
      <c r="E582" s="242"/>
      <c r="F582" s="257"/>
      <c r="G582" s="242"/>
      <c r="H582" s="257"/>
      <c r="I582" s="242"/>
      <c r="J582" s="249">
        <f>IF(OR(B582="",C582="",E582=""),"",B582&amp;":"&amp;C582&amp;":"&amp;E582)</f>
      </c>
      <c r="K582" s="250">
        <f>IF(A582="","",A582*D582)</f>
      </c>
      <c r="L582" s="249">
        <f>IF(A582="","",IF(OR(A582=1,A582=0),H582,0))</f>
      </c>
      <c r="M582" s="249">
        <f>IF(A582="","",IF(A582=-1,H582,0))</f>
      </c>
      <c r="N582">
        <f>IF($E582="SGD",1,IF($E582="USD",Settings!$B$22,IF($E582="HKD",Settings!$B$23,1)))</f>
      </c>
      <c r="O582">
        <f>IF($J582="",0,($M582-$L582+IF($A582=2,$H582,0))*$N582)</f>
      </c>
      <c r="P582">
        <f>IF($J582="",0,IF($A582=2,$H582*$N582,0))</f>
      </c>
    </row>
    <row r="583" spans="1:16" ht="15" customHeight="1" x14ac:dyDescent="0.15">
      <c r="A583" s="242"/>
      <c r="B583" s="242"/>
      <c r="C583" s="242"/>
      <c r="D583" s="256"/>
      <c r="E583" s="242"/>
      <c r="F583" s="257"/>
      <c r="G583" s="242"/>
      <c r="H583" s="257"/>
      <c r="I583" s="242"/>
      <c r="J583" s="249">
        <f>IF(OR(B583="",C583="",E583=""),"",B583&amp;":"&amp;C583&amp;":"&amp;E583)</f>
      </c>
      <c r="K583" s="250">
        <f>IF(A583="","",A583*D583)</f>
      </c>
      <c r="L583" s="249">
        <f>IF(A583="","",IF(OR(A583=1,A583=0),H583,0))</f>
      </c>
      <c r="M583" s="249">
        <f>IF(A583="","",IF(A583=-1,H583,0))</f>
      </c>
      <c r="N583">
        <f>IF($E583="SGD",1,IF($E583="USD",Settings!$B$22,IF($E583="HKD",Settings!$B$23,1)))</f>
      </c>
      <c r="O583">
        <f>IF($J583="",0,($M583-$L583+IF($A583=2,$H583,0))*$N583)</f>
      </c>
      <c r="P583">
        <f>IF($J583="",0,IF($A583=2,$H583*$N583,0))</f>
      </c>
    </row>
    <row r="584" spans="1:16" ht="15" customHeight="1" x14ac:dyDescent="0.15">
      <c r="A584" s="242"/>
      <c r="B584" s="242"/>
      <c r="C584" s="242"/>
      <c r="D584" s="256"/>
      <c r="E584" s="242"/>
      <c r="F584" s="257"/>
      <c r="G584" s="242"/>
      <c r="H584" s="257"/>
      <c r="I584" s="242"/>
      <c r="J584" s="249">
        <f>IF(OR(B584="",C584="",E584=""),"",B584&amp;":"&amp;C584&amp;":"&amp;E584)</f>
      </c>
      <c r="K584" s="250">
        <f>IF(A584="","",A584*D584)</f>
      </c>
      <c r="L584" s="249">
        <f>IF(A584="","",IF(OR(A584=1,A584=0),H584,0))</f>
      </c>
      <c r="M584" s="249">
        <f>IF(A584="","",IF(A584=-1,H584,0))</f>
      </c>
      <c r="N584">
        <f>IF($E584="SGD",1,IF($E584="USD",Settings!$B$22,IF($E584="HKD",Settings!$B$23,1)))</f>
      </c>
      <c r="O584">
        <f>IF($J584="",0,($M584-$L584+IF($A584=2,$H584,0))*$N584)</f>
      </c>
      <c r="P584">
        <f>IF($J584="",0,IF($A584=2,$H584*$N584,0))</f>
      </c>
    </row>
    <row r="585" spans="1:16" ht="15" customHeight="1" x14ac:dyDescent="0.15">
      <c r="A585" s="242"/>
      <c r="B585" s="242"/>
      <c r="C585" s="242"/>
      <c r="D585" s="256"/>
      <c r="E585" s="242"/>
      <c r="F585" s="257"/>
      <c r="G585" s="242"/>
      <c r="H585" s="257"/>
      <c r="I585" s="242"/>
      <c r="J585" s="249">
        <f>IF(OR(B585="",C585="",E585=""),"",B585&amp;":"&amp;C585&amp;":"&amp;E585)</f>
      </c>
      <c r="K585" s="250">
        <f>IF(A585="","",A585*D585)</f>
      </c>
      <c r="L585" s="249">
        <f>IF(A585="","",IF(OR(A585=1,A585=0),H585,0))</f>
      </c>
      <c r="M585" s="249">
        <f>IF(A585="","",IF(A585=-1,H585,0))</f>
      </c>
      <c r="N585">
        <f>IF($E585="SGD",1,IF($E585="USD",Settings!$B$22,IF($E585="HKD",Settings!$B$23,1)))</f>
      </c>
      <c r="O585">
        <f>IF($J585="",0,($M585-$L585+IF($A585=2,$H585,0))*$N585)</f>
      </c>
      <c r="P585">
        <f>IF($J585="",0,IF($A585=2,$H585*$N585,0))</f>
      </c>
    </row>
    <row r="586" spans="1:16" ht="15" customHeight="1" x14ac:dyDescent="0.15">
      <c r="A586" s="242"/>
      <c r="B586" s="242"/>
      <c r="C586" s="242"/>
      <c r="D586" s="256"/>
      <c r="E586" s="242"/>
      <c r="F586" s="257"/>
      <c r="G586" s="242"/>
      <c r="H586" s="257"/>
      <c r="I586" s="242"/>
      <c r="J586" s="249">
        <f>IF(OR(B586="",C586="",E586=""),"",B586&amp;":"&amp;C586&amp;":"&amp;E586)</f>
      </c>
      <c r="K586" s="250">
        <f>IF(A586="","",A586*D586)</f>
      </c>
      <c r="L586" s="249">
        <f>IF(A586="","",IF(OR(A586=1,A586=0),H586,0))</f>
      </c>
      <c r="M586" s="249">
        <f>IF(A586="","",IF(A586=-1,H586,0))</f>
      </c>
      <c r="N586">
        <f>IF($E586="SGD",1,IF($E586="USD",Settings!$B$22,IF($E586="HKD",Settings!$B$23,1)))</f>
      </c>
      <c r="O586">
        <f>IF($J586="",0,($M586-$L586+IF($A586=2,$H586,0))*$N586)</f>
      </c>
      <c r="P586">
        <f>IF($J586="",0,IF($A586=2,$H586*$N586,0))</f>
      </c>
    </row>
    <row r="587" spans="1:16" ht="15" customHeight="1" x14ac:dyDescent="0.15">
      <c r="A587" s="242"/>
      <c r="B587" s="242"/>
      <c r="C587" s="242"/>
      <c r="D587" s="256"/>
      <c r="E587" s="242"/>
      <c r="F587" s="257"/>
      <c r="G587" s="242"/>
      <c r="H587" s="257"/>
      <c r="I587" s="242"/>
      <c r="J587" s="249">
        <f>IF(OR(B587="",C587="",E587=""),"",B587&amp;":"&amp;C587&amp;":"&amp;E587)</f>
      </c>
      <c r="K587" s="250">
        <f>IF(A587="","",A587*D587)</f>
      </c>
      <c r="L587" s="249">
        <f>IF(A587="","",IF(OR(A587=1,A587=0),H587,0))</f>
      </c>
      <c r="M587" s="249">
        <f>IF(A587="","",IF(A587=-1,H587,0))</f>
      </c>
      <c r="N587">
        <f>IF($E587="SGD",1,IF($E587="USD",Settings!$B$22,IF($E587="HKD",Settings!$B$23,1)))</f>
      </c>
      <c r="O587">
        <f>IF($J587="",0,($M587-$L587+IF($A587=2,$H587,0))*$N587)</f>
      </c>
      <c r="P587">
        <f>IF($J587="",0,IF($A587=2,$H587*$N587,0))</f>
      </c>
    </row>
    <row r="588" spans="1:16" ht="15" customHeight="1" x14ac:dyDescent="0.15">
      <c r="A588" s="242"/>
      <c r="B588" s="242"/>
      <c r="C588" s="242"/>
      <c r="D588" s="256"/>
      <c r="E588" s="242"/>
      <c r="F588" s="257"/>
      <c r="G588" s="242"/>
      <c r="H588" s="257"/>
      <c r="I588" s="242"/>
      <c r="J588" s="249">
        <f>IF(OR(B588="",C588="",E588=""),"",B588&amp;":"&amp;C588&amp;":"&amp;E588)</f>
      </c>
      <c r="K588" s="250">
        <f>IF(A588="","",A588*D588)</f>
      </c>
      <c r="L588" s="249">
        <f>IF(A588="","",IF(OR(A588=1,A588=0),H588,0))</f>
      </c>
      <c r="M588" s="249">
        <f>IF(A588="","",IF(A588=-1,H588,0))</f>
      </c>
      <c r="N588">
        <f>IF($E588="SGD",1,IF($E588="USD",Settings!$B$22,IF($E588="HKD",Settings!$B$23,1)))</f>
      </c>
      <c r="O588">
        <f>IF($J588="",0,($M588-$L588+IF($A588=2,$H588,0))*$N588)</f>
      </c>
      <c r="P588">
        <f>IF($J588="",0,IF($A588=2,$H588*$N588,0))</f>
      </c>
    </row>
    <row r="589" spans="1:16" ht="15" customHeight="1" x14ac:dyDescent="0.15">
      <c r="A589" s="242"/>
      <c r="B589" s="242"/>
      <c r="C589" s="242"/>
      <c r="D589" s="256"/>
      <c r="E589" s="242"/>
      <c r="F589" s="257"/>
      <c r="G589" s="242"/>
      <c r="H589" s="257"/>
      <c r="I589" s="242"/>
      <c r="J589" s="249">
        <f>IF(OR(B589="",C589="",E589=""),"",B589&amp;":"&amp;C589&amp;":"&amp;E589)</f>
      </c>
      <c r="K589" s="250">
        <f>IF(A589="","",A589*D589)</f>
      </c>
      <c r="L589" s="249">
        <f>IF(A589="","",IF(OR(A589=1,A589=0),H589,0))</f>
      </c>
      <c r="M589" s="249">
        <f>IF(A589="","",IF(A589=-1,H589,0))</f>
      </c>
      <c r="N589">
        <f>IF($E589="SGD",1,IF($E589="USD",Settings!$B$22,IF($E589="HKD",Settings!$B$23,1)))</f>
      </c>
      <c r="O589">
        <f>IF($J589="",0,($M589-$L589+IF($A589=2,$H589,0))*$N589)</f>
      </c>
      <c r="P589">
        <f>IF($J589="",0,IF($A589=2,$H589*$N589,0))</f>
      </c>
    </row>
    <row r="590" spans="1:16" ht="15" customHeight="1" x14ac:dyDescent="0.15">
      <c r="A590" s="242"/>
      <c r="B590" s="242"/>
      <c r="C590" s="242"/>
      <c r="D590" s="256"/>
      <c r="E590" s="242"/>
      <c r="F590" s="257"/>
      <c r="G590" s="242"/>
      <c r="H590" s="257"/>
      <c r="I590" s="242"/>
      <c r="J590" s="249">
        <f>IF(OR(B590="",C590="",E590=""),"",B590&amp;":"&amp;C590&amp;":"&amp;E590)</f>
      </c>
      <c r="K590" s="250">
        <f>IF(A590="","",A590*D590)</f>
      </c>
      <c r="L590" s="249">
        <f>IF(A590="","",IF(OR(A590=1,A590=0),H590,0))</f>
      </c>
      <c r="M590" s="249">
        <f>IF(A590="","",IF(A590=-1,H590,0))</f>
      </c>
      <c r="N590">
        <f>IF($E590="SGD",1,IF($E590="USD",Settings!$B$22,IF($E590="HKD",Settings!$B$23,1)))</f>
      </c>
      <c r="O590">
        <f>IF($J590="",0,($M590-$L590+IF($A590=2,$H590,0))*$N590)</f>
      </c>
      <c r="P590">
        <f>IF($J590="",0,IF($A590=2,$H590*$N590,0))</f>
      </c>
    </row>
    <row r="591" spans="1:16" ht="15" customHeight="1" x14ac:dyDescent="0.15">
      <c r="A591" s="242"/>
      <c r="B591" s="242"/>
      <c r="C591" s="242"/>
      <c r="D591" s="256"/>
      <c r="E591" s="242"/>
      <c r="F591" s="257"/>
      <c r="G591" s="242"/>
      <c r="H591" s="257"/>
      <c r="I591" s="242"/>
      <c r="J591" s="249">
        <f>IF(OR(B591="",C591="",E591=""),"",B591&amp;":"&amp;C591&amp;":"&amp;E591)</f>
      </c>
      <c r="K591" s="250">
        <f>IF(A591="","",A591*D591)</f>
      </c>
      <c r="L591" s="249">
        <f>IF(A591="","",IF(OR(A591=1,A591=0),H591,0))</f>
      </c>
      <c r="M591" s="249">
        <f>IF(A591="","",IF(A591=-1,H591,0))</f>
      </c>
      <c r="N591">
        <f>IF($E591="SGD",1,IF($E591="USD",Settings!$B$22,IF($E591="HKD",Settings!$B$23,1)))</f>
      </c>
      <c r="O591">
        <f>IF($J591="",0,($M591-$L591+IF($A591=2,$H591,0))*$N591)</f>
      </c>
      <c r="P591">
        <f>IF($J591="",0,IF($A591=2,$H591*$N591,0))</f>
      </c>
    </row>
    <row r="592" spans="1:16" ht="15" customHeight="1" x14ac:dyDescent="0.15">
      <c r="A592" s="242"/>
      <c r="B592" s="242"/>
      <c r="C592" s="242"/>
      <c r="D592" s="256"/>
      <c r="E592" s="242"/>
      <c r="F592" s="257"/>
      <c r="G592" s="242"/>
      <c r="H592" s="257"/>
      <c r="I592" s="242"/>
      <c r="J592" s="249">
        <f>IF(OR(B592="",C592="",E592=""),"",B592&amp;":"&amp;C592&amp;":"&amp;E592)</f>
      </c>
      <c r="K592" s="250">
        <f>IF(A592="","",A592*D592)</f>
      </c>
      <c r="L592" s="249">
        <f>IF(A592="","",IF(OR(A592=1,A592=0),H592,0))</f>
      </c>
      <c r="M592" s="249">
        <f>IF(A592="","",IF(A592=-1,H592,0))</f>
      </c>
      <c r="N592">
        <f>IF($E592="SGD",1,IF($E592="USD",Settings!$B$22,IF($E592="HKD",Settings!$B$23,1)))</f>
      </c>
      <c r="O592">
        <f>IF($J592="",0,($M592-$L592+IF($A592=2,$H592,0))*$N592)</f>
      </c>
      <c r="P592">
        <f>IF($J592="",0,IF($A592=2,$H592*$N592,0))</f>
      </c>
    </row>
    <row r="593" spans="1:16" ht="15" customHeight="1" x14ac:dyDescent="0.15">
      <c r="A593" s="242"/>
      <c r="B593" s="242"/>
      <c r="C593" s="242"/>
      <c r="D593" s="256"/>
      <c r="E593" s="242"/>
      <c r="F593" s="257"/>
      <c r="G593" s="242"/>
      <c r="H593" s="257"/>
      <c r="I593" s="242"/>
      <c r="J593" s="249">
        <f>IF(OR(B593="",C593="",E593=""),"",B593&amp;":"&amp;C593&amp;":"&amp;E593)</f>
      </c>
      <c r="K593" s="250">
        <f>IF(A593="","",A593*D593)</f>
      </c>
      <c r="L593" s="249">
        <f>IF(A593="","",IF(OR(A593=1,A593=0),H593,0))</f>
      </c>
      <c r="M593" s="249">
        <f>IF(A593="","",IF(A593=-1,H593,0))</f>
      </c>
      <c r="N593">
        <f>IF($E593="SGD",1,IF($E593="USD",Settings!$B$22,IF($E593="HKD",Settings!$B$23,1)))</f>
      </c>
      <c r="O593">
        <f>IF($J593="",0,($M593-$L593+IF($A593=2,$H593,0))*$N593)</f>
      </c>
      <c r="P593">
        <f>IF($J593="",0,IF($A593=2,$H593*$N593,0))</f>
      </c>
    </row>
    <row r="594" spans="1:16" ht="15" customHeight="1" x14ac:dyDescent="0.15">
      <c r="A594" s="242"/>
      <c r="B594" s="242"/>
      <c r="C594" s="242"/>
      <c r="D594" s="256"/>
      <c r="E594" s="242"/>
      <c r="F594" s="257"/>
      <c r="G594" s="242"/>
      <c r="H594" s="257"/>
      <c r="I594" s="242"/>
      <c r="J594" s="249">
        <f>IF(OR(B594="",C594="",E594=""),"",B594&amp;":"&amp;C594&amp;":"&amp;E594)</f>
      </c>
      <c r="K594" s="250">
        <f>IF(A594="","",A594*D594)</f>
      </c>
      <c r="L594" s="249">
        <f>IF(A594="","",IF(OR(A594=1,A594=0),H594,0))</f>
      </c>
      <c r="M594" s="249">
        <f>IF(A594="","",IF(A594=-1,H594,0))</f>
      </c>
      <c r="N594">
        <f>IF($E594="SGD",1,IF($E594="USD",Settings!$B$22,IF($E594="HKD",Settings!$B$23,1)))</f>
      </c>
      <c r="O594">
        <f>IF($J594="",0,($M594-$L594+IF($A594=2,$H594,0))*$N594)</f>
      </c>
      <c r="P594">
        <f>IF($J594="",0,IF($A594=2,$H594*$N594,0))</f>
      </c>
    </row>
    <row r="595" spans="1:16" ht="15" customHeight="1" x14ac:dyDescent="0.15">
      <c r="A595" s="242"/>
      <c r="B595" s="242"/>
      <c r="C595" s="242"/>
      <c r="D595" s="256"/>
      <c r="E595" s="242"/>
      <c r="F595" s="257"/>
      <c r="G595" s="242"/>
      <c r="H595" s="257"/>
      <c r="I595" s="242"/>
      <c r="J595" s="249">
        <f>IF(OR(B595="",C595="",E595=""),"",B595&amp;":"&amp;C595&amp;":"&amp;E595)</f>
      </c>
      <c r="K595" s="250">
        <f>IF(A595="","",A595*D595)</f>
      </c>
      <c r="L595" s="249">
        <f>IF(A595="","",IF(OR(A595=1,A595=0),H595,0))</f>
      </c>
      <c r="M595" s="249">
        <f>IF(A595="","",IF(A595=-1,H595,0))</f>
      </c>
      <c r="N595">
        <f>IF($E595="SGD",1,IF($E595="USD",Settings!$B$22,IF($E595="HKD",Settings!$B$23,1)))</f>
      </c>
      <c r="O595">
        <f>IF($J595="",0,($M595-$L595+IF($A595=2,$H595,0))*$N595)</f>
      </c>
      <c r="P595">
        <f>IF($J595="",0,IF($A595=2,$H595*$N595,0))</f>
      </c>
    </row>
    <row r="596" spans="1:16" ht="15" customHeight="1" x14ac:dyDescent="0.15">
      <c r="A596" s="242"/>
      <c r="B596" s="242"/>
      <c r="C596" s="242"/>
      <c r="D596" s="256"/>
      <c r="E596" s="242"/>
      <c r="F596" s="257"/>
      <c r="G596" s="242"/>
      <c r="H596" s="257"/>
      <c r="I596" s="242"/>
      <c r="J596" s="249">
        <f>IF(OR(B596="",C596="",E596=""),"",B596&amp;":"&amp;C596&amp;":"&amp;E596)</f>
      </c>
      <c r="K596" s="250">
        <f>IF(A596="","",A596*D596)</f>
      </c>
      <c r="L596" s="249">
        <f>IF(A596="","",IF(OR(A596=1,A596=0),H596,0))</f>
      </c>
      <c r="M596" s="249">
        <f>IF(A596="","",IF(A596=-1,H596,0))</f>
      </c>
      <c r="N596">
        <f>IF($E596="SGD",1,IF($E596="USD",Settings!$B$22,IF($E596="HKD",Settings!$B$23,1)))</f>
      </c>
      <c r="O596">
        <f>IF($J596="",0,($M596-$L596+IF($A596=2,$H596,0))*$N596)</f>
      </c>
      <c r="P596">
        <f>IF($J596="",0,IF($A596=2,$H596*$N596,0))</f>
      </c>
    </row>
    <row r="597" spans="1:16" ht="15" customHeight="1" x14ac:dyDescent="0.15">
      <c r="A597" s="242"/>
      <c r="B597" s="242"/>
      <c r="C597" s="242"/>
      <c r="D597" s="256"/>
      <c r="E597" s="242"/>
      <c r="F597" s="257"/>
      <c r="G597" s="242"/>
      <c r="H597" s="257"/>
      <c r="I597" s="242"/>
      <c r="J597" s="249">
        <f>IF(OR(B597="",C597="",E597=""),"",B597&amp;":"&amp;C597&amp;":"&amp;E597)</f>
      </c>
      <c r="K597" s="250">
        <f>IF(A597="","",A597*D597)</f>
      </c>
      <c r="L597" s="249">
        <f>IF(A597="","",IF(OR(A597=1,A597=0),H597,0))</f>
      </c>
      <c r="M597" s="249">
        <f>IF(A597="","",IF(A597=-1,H597,0))</f>
      </c>
      <c r="N597">
        <f>IF($E597="SGD",1,IF($E597="USD",Settings!$B$22,IF($E597="HKD",Settings!$B$23,1)))</f>
      </c>
      <c r="O597">
        <f>IF($J597="",0,($M597-$L597+IF($A597=2,$H597,0))*$N597)</f>
      </c>
      <c r="P597">
        <f>IF($J597="",0,IF($A597=2,$H597*$N597,0))</f>
      </c>
    </row>
    <row r="598" spans="1:16" ht="15" customHeight="1" x14ac:dyDescent="0.15">
      <c r="A598" s="242"/>
      <c r="B598" s="242"/>
      <c r="C598" s="242"/>
      <c r="D598" s="256"/>
      <c r="E598" s="242"/>
      <c r="F598" s="257"/>
      <c r="G598" s="242"/>
      <c r="H598" s="257"/>
      <c r="I598" s="242"/>
      <c r="J598" s="249">
        <f>IF(OR(B598="",C598="",E598=""),"",B598&amp;":"&amp;C598&amp;":"&amp;E598)</f>
      </c>
      <c r="K598" s="250">
        <f>IF(A598="","",A598*D598)</f>
      </c>
      <c r="L598" s="249">
        <f>IF(A598="","",IF(OR(A598=1,A598=0),H598,0))</f>
      </c>
      <c r="M598" s="249">
        <f>IF(A598="","",IF(A598=-1,H598,0))</f>
      </c>
      <c r="N598">
        <f>IF($E598="SGD",1,IF($E598="USD",Settings!$B$22,IF($E598="HKD",Settings!$B$23,1)))</f>
      </c>
      <c r="O598">
        <f>IF($J598="",0,($M598-$L598+IF($A598=2,$H598,0))*$N598)</f>
      </c>
      <c r="P598">
        <f>IF($J598="",0,IF($A598=2,$H598*$N598,0))</f>
      </c>
    </row>
    <row r="599" spans="1:16" ht="15" customHeight="1" x14ac:dyDescent="0.15">
      <c r="A599" s="242"/>
      <c r="B599" s="242"/>
      <c r="C599" s="242"/>
      <c r="D599" s="256"/>
      <c r="E599" s="242"/>
      <c r="F599" s="257"/>
      <c r="G599" s="242"/>
      <c r="H599" s="257"/>
      <c r="I599" s="242"/>
      <c r="J599" s="249">
        <f>IF(OR(B599="",C599="",E599=""),"",B599&amp;":"&amp;C599&amp;":"&amp;E599)</f>
      </c>
      <c r="K599" s="250">
        <f>IF(A599="","",A599*D599)</f>
      </c>
      <c r="L599" s="249">
        <f>IF(A599="","",IF(OR(A599=1,A599=0),H599,0))</f>
      </c>
      <c r="M599" s="249">
        <f>IF(A599="","",IF(A599=-1,H599,0))</f>
      </c>
      <c r="N599">
        <f>IF($E599="SGD",1,IF($E599="USD",Settings!$B$22,IF($E599="HKD",Settings!$B$23,1)))</f>
      </c>
      <c r="O599">
        <f>IF($J599="",0,($M599-$L599+IF($A599=2,$H599,0))*$N599)</f>
      </c>
      <c r="P599">
        <f>IF($J599="",0,IF($A599=2,$H599*$N599,0))</f>
      </c>
    </row>
    <row r="600" spans="1:16" ht="15" customHeight="1" x14ac:dyDescent="0.15">
      <c r="A600" s="242"/>
      <c r="B600" s="242"/>
      <c r="C600" s="242"/>
      <c r="D600" s="256"/>
      <c r="E600" s="242"/>
      <c r="F600" s="257"/>
      <c r="G600" s="242"/>
      <c r="H600" s="257"/>
      <c r="I600" s="242"/>
      <c r="J600" s="249">
        <f>IF(OR(B600="",C600="",E600=""),"",B600&amp;":"&amp;C600&amp;":"&amp;E600)</f>
      </c>
      <c r="K600" s="250">
        <f>IF(A600="","",A600*D600)</f>
      </c>
      <c r="L600" s="249">
        <f>IF(A600="","",IF(OR(A600=1,A600=0),H600,0))</f>
      </c>
      <c r="M600" s="249">
        <f>IF(A600="","",IF(A600=-1,H600,0))</f>
      </c>
      <c r="N600">
        <f>IF($E600="SGD",1,IF($E600="USD",Settings!$B$22,IF($E600="HKD",Settings!$B$23,1)))</f>
      </c>
      <c r="O600">
        <f>IF($J600="",0,($M600-$L600+IF($A600=2,$H600,0))*$N600)</f>
      </c>
      <c r="P600">
        <f>IF($J600="",0,IF($A600=2,$H600*$N600,0))</f>
      </c>
    </row>
    <row r="601" spans="1:16" ht="15" customHeight="1" x14ac:dyDescent="0.15">
      <c r="A601" s="242"/>
      <c r="B601" s="242"/>
      <c r="C601" s="242"/>
      <c r="D601" s="256"/>
      <c r="E601" s="242"/>
      <c r="F601" s="257"/>
      <c r="G601" s="242"/>
      <c r="H601" s="257"/>
      <c r="I601" s="242"/>
      <c r="J601" s="249">
        <f>IF(OR(B601="",C601="",E601=""),"",B601&amp;":"&amp;C601&amp;":"&amp;E601)</f>
      </c>
      <c r="K601" s="250">
        <f>IF(A601="","",A601*D601)</f>
      </c>
      <c r="L601" s="249">
        <f>IF(A601="","",IF(OR(A601=1,A601=0),H601,0))</f>
      </c>
      <c r="M601" s="249">
        <f>IF(A601="","",IF(A601=-1,H601,0))</f>
      </c>
      <c r="N601">
        <f>IF($E601="SGD",1,IF($E601="USD",Settings!$B$22,IF($E601="HKD",Settings!$B$23,1)))</f>
      </c>
      <c r="O601">
        <f>IF($J601="",0,($M601-$L601+IF($A601=2,$H601,0))*$N601)</f>
      </c>
      <c r="P601">
        <f>IF($J601="",0,IF($A601=2,$H601*$N601,0))</f>
      </c>
    </row>
    <row r="602" spans="1:16" ht="15" customHeight="1" x14ac:dyDescent="0.15">
      <c r="A602" s="242"/>
      <c r="B602" s="242"/>
      <c r="C602" s="242"/>
      <c r="D602" s="256"/>
      <c r="E602" s="242"/>
      <c r="F602" s="257"/>
      <c r="G602" s="242"/>
      <c r="H602" s="257"/>
      <c r="I602" s="242"/>
      <c r="J602" s="249">
        <f>IF(OR(B602="",C602="",E602=""),"",B602&amp;":"&amp;C602&amp;":"&amp;E602)</f>
      </c>
      <c r="K602" s="250">
        <f>IF(A602="","",A602*D602)</f>
      </c>
      <c r="L602" s="249">
        <f>IF(A602="","",IF(OR(A602=1,A602=0),H602,0))</f>
      </c>
      <c r="M602" s="249">
        <f>IF(A602="","",IF(A602=-1,H602,0))</f>
      </c>
      <c r="N602">
        <f>IF($E602="SGD",1,IF($E602="USD",Settings!$B$22,IF($E602="HKD",Settings!$B$23,1)))</f>
      </c>
      <c r="O602">
        <f>IF($J602="",0,($M602-$L602+IF($A602=2,$H602,0))*$N602)</f>
      </c>
      <c r="P602">
        <f>IF($J602="",0,IF($A602=2,$H602*$N602,0))</f>
      </c>
    </row>
    <row r="603" spans="1:16" ht="15" customHeight="1" x14ac:dyDescent="0.15">
      <c r="A603" s="242"/>
      <c r="B603" s="242"/>
      <c r="C603" s="242"/>
      <c r="D603" s="256"/>
      <c r="E603" s="242"/>
      <c r="F603" s="257"/>
      <c r="G603" s="242"/>
      <c r="H603" s="257"/>
      <c r="I603" s="242"/>
      <c r="J603" s="249">
        <f>IF(OR(B603="",C603="",E603=""),"",B603&amp;":"&amp;C603&amp;":"&amp;E603)</f>
      </c>
      <c r="K603" s="250">
        <f>IF(A603="","",A603*D603)</f>
      </c>
      <c r="L603" s="249">
        <f>IF(A603="","",IF(OR(A603=1,A603=0),H603,0))</f>
      </c>
      <c r="M603" s="249">
        <f>IF(A603="","",IF(A603=-1,H603,0))</f>
      </c>
      <c r="N603">
        <f>IF($E603="SGD",1,IF($E603="USD",Settings!$B$22,IF($E603="HKD",Settings!$B$23,1)))</f>
      </c>
      <c r="O603">
        <f>IF($J603="",0,($M603-$L603+IF($A603=2,$H603,0))*$N603)</f>
      </c>
      <c r="P603">
        <f>IF($J603="",0,IF($A603=2,$H603*$N603,0))</f>
      </c>
    </row>
    <row r="604" spans="1:16" ht="15" customHeight="1" x14ac:dyDescent="0.15">
      <c r="A604" s="242"/>
      <c r="B604" s="242"/>
      <c r="C604" s="242"/>
      <c r="D604" s="256"/>
      <c r="E604" s="242"/>
      <c r="F604" s="257"/>
      <c r="G604" s="242"/>
      <c r="H604" s="257"/>
      <c r="I604" s="242"/>
      <c r="J604" s="249">
        <f>IF(OR(B604="",C604="",E604=""),"",B604&amp;":"&amp;C604&amp;":"&amp;E604)</f>
      </c>
      <c r="K604" s="250">
        <f>IF(A604="","",A604*D604)</f>
      </c>
      <c r="L604" s="249">
        <f>IF(A604="","",IF(OR(A604=1,A604=0),H604,0))</f>
      </c>
      <c r="M604" s="249">
        <f>IF(A604="","",IF(A604=-1,H604,0))</f>
      </c>
      <c r="N604">
        <f>IF($E604="SGD",1,IF($E604="USD",Settings!$B$22,IF($E604="HKD",Settings!$B$23,1)))</f>
      </c>
      <c r="O604">
        <f>IF($J604="",0,($M604-$L604+IF($A604=2,$H604,0))*$N604)</f>
      </c>
      <c r="P604">
        <f>IF($J604="",0,IF($A604=2,$H604*$N604,0))</f>
      </c>
    </row>
    <row r="605" spans="1:16" ht="15" customHeight="1" x14ac:dyDescent="0.15">
      <c r="A605" s="242"/>
      <c r="B605" s="242"/>
      <c r="C605" s="242"/>
      <c r="D605" s="256"/>
      <c r="E605" s="242"/>
      <c r="F605" s="257"/>
      <c r="G605" s="242"/>
      <c r="H605" s="257"/>
      <c r="I605" s="242"/>
      <c r="J605" s="249">
        <f>IF(OR(B605="",C605="",E605=""),"",B605&amp;":"&amp;C605&amp;":"&amp;E605)</f>
      </c>
      <c r="K605" s="250">
        <f>IF(A605="","",A605*D605)</f>
      </c>
      <c r="L605" s="249">
        <f>IF(A605="","",IF(OR(A605=1,A605=0),H605,0))</f>
      </c>
      <c r="M605" s="249">
        <f>IF(A605="","",IF(A605=-1,H605,0))</f>
      </c>
      <c r="N605">
        <f>IF($E605="SGD",1,IF($E605="USD",Settings!$B$22,IF($E605="HKD",Settings!$B$23,1)))</f>
      </c>
      <c r="O605">
        <f>IF($J605="",0,($M605-$L605+IF($A605=2,$H605,0))*$N605)</f>
      </c>
      <c r="P605">
        <f>IF($J605="",0,IF($A605=2,$H605*$N605,0))</f>
      </c>
    </row>
    <row r="606" spans="1:16" ht="15" customHeight="1" x14ac:dyDescent="0.15">
      <c r="A606" s="242"/>
      <c r="B606" s="242"/>
      <c r="C606" s="242"/>
      <c r="D606" s="256"/>
      <c r="E606" s="242"/>
      <c r="F606" s="257"/>
      <c r="G606" s="242"/>
      <c r="H606" s="257"/>
      <c r="I606" s="242"/>
      <c r="J606" s="249">
        <f>IF(OR(B606="",C606="",E606=""),"",B606&amp;":"&amp;C606&amp;":"&amp;E606)</f>
      </c>
      <c r="K606" s="250">
        <f>IF(A606="","",A606*D606)</f>
      </c>
      <c r="L606" s="249">
        <f>IF(A606="","",IF(OR(A606=1,A606=0),H606,0))</f>
      </c>
      <c r="M606" s="249">
        <f>IF(A606="","",IF(A606=-1,H606,0))</f>
      </c>
      <c r="N606">
        <f>IF($E606="SGD",1,IF($E606="USD",Settings!$B$22,IF($E606="HKD",Settings!$B$23,1)))</f>
      </c>
      <c r="O606">
        <f>IF($J606="",0,($M606-$L606+IF($A606=2,$H606,0))*$N606)</f>
      </c>
      <c r="P606">
        <f>IF($J606="",0,IF($A606=2,$H606*$N606,0))</f>
      </c>
    </row>
    <row r="607" spans="1:16" ht="15" customHeight="1" x14ac:dyDescent="0.15">
      <c r="A607" s="242"/>
      <c r="B607" s="242"/>
      <c r="C607" s="242"/>
      <c r="D607" s="256"/>
      <c r="E607" s="242"/>
      <c r="F607" s="257"/>
      <c r="G607" s="242"/>
      <c r="H607" s="257"/>
      <c r="I607" s="242"/>
      <c r="J607" s="249">
        <f>IF(OR(B607="",C607="",E607=""),"",B607&amp;":"&amp;C607&amp;":"&amp;E607)</f>
      </c>
      <c r="K607" s="250">
        <f>IF(A607="","",A607*D607)</f>
      </c>
      <c r="L607" s="249">
        <f>IF(A607="","",IF(OR(A607=1,A607=0),H607,0))</f>
      </c>
      <c r="M607" s="249">
        <f>IF(A607="","",IF(A607=-1,H607,0))</f>
      </c>
      <c r="N607">
        <f>IF($E607="SGD",1,IF($E607="USD",Settings!$B$22,IF($E607="HKD",Settings!$B$23,1)))</f>
      </c>
      <c r="O607">
        <f>IF($J607="",0,($M607-$L607+IF($A607=2,$H607,0))*$N607)</f>
      </c>
      <c r="P607">
        <f>IF($J607="",0,IF($A607=2,$H607*$N607,0))</f>
      </c>
    </row>
    <row r="608" spans="1:16" ht="15" customHeight="1" x14ac:dyDescent="0.15">
      <c r="A608" s="242"/>
      <c r="B608" s="242"/>
      <c r="C608" s="242"/>
      <c r="D608" s="256"/>
      <c r="E608" s="242"/>
      <c r="F608" s="257"/>
      <c r="G608" s="242"/>
      <c r="H608" s="257"/>
      <c r="I608" s="242"/>
      <c r="J608" s="249">
        <f>IF(OR(B608="",C608="",E608=""),"",B608&amp;":"&amp;C608&amp;":"&amp;E608)</f>
      </c>
      <c r="K608" s="250">
        <f>IF(A608="","",A608*D608)</f>
      </c>
      <c r="L608" s="249">
        <f>IF(A608="","",IF(OR(A608=1,A608=0),H608,0))</f>
      </c>
      <c r="M608" s="249">
        <f>IF(A608="","",IF(A608=-1,H608,0))</f>
      </c>
      <c r="N608">
        <f>IF($E608="SGD",1,IF($E608="USD",Settings!$B$22,IF($E608="HKD",Settings!$B$23,1)))</f>
      </c>
      <c r="O608">
        <f>IF($J608="",0,($M608-$L608+IF($A608=2,$H608,0))*$N608)</f>
      </c>
      <c r="P608">
        <f>IF($J608="",0,IF($A608=2,$H608*$N608,0))</f>
      </c>
    </row>
    <row r="609" spans="1:16" ht="15" customHeight="1" x14ac:dyDescent="0.15">
      <c r="A609" s="242"/>
      <c r="B609" s="242"/>
      <c r="C609" s="242"/>
      <c r="D609" s="256"/>
      <c r="E609" s="242"/>
      <c r="F609" s="257"/>
      <c r="G609" s="242"/>
      <c r="H609" s="257"/>
      <c r="I609" s="242"/>
      <c r="J609" s="249">
        <f>IF(OR(B609="",C609="",E609=""),"",B609&amp;":"&amp;C609&amp;":"&amp;E609)</f>
      </c>
      <c r="K609" s="250">
        <f>IF(A609="","",A609*D609)</f>
      </c>
      <c r="L609" s="249">
        <f>IF(A609="","",IF(OR(A609=1,A609=0),H609,0))</f>
      </c>
      <c r="M609" s="249">
        <f>IF(A609="","",IF(A609=-1,H609,0))</f>
      </c>
      <c r="N609">
        <f>IF($E609="SGD",1,IF($E609="USD",Settings!$B$22,IF($E609="HKD",Settings!$B$23,1)))</f>
      </c>
      <c r="O609">
        <f>IF($J609="",0,($M609-$L609+IF($A609=2,$H609,0))*$N609)</f>
      </c>
      <c r="P609">
        <f>IF($J609="",0,IF($A609=2,$H609*$N609,0))</f>
      </c>
    </row>
    <row r="610" spans="1:16" ht="15" customHeight="1" x14ac:dyDescent="0.15">
      <c r="A610" s="242"/>
      <c r="B610" s="242"/>
      <c r="C610" s="242"/>
      <c r="D610" s="256"/>
      <c r="E610" s="242"/>
      <c r="F610" s="257"/>
      <c r="G610" s="242"/>
      <c r="H610" s="257"/>
      <c r="I610" s="242"/>
      <c r="J610" s="249">
        <f>IF(OR(B610="",C610="",E610=""),"",B610&amp;":"&amp;C610&amp;":"&amp;E610)</f>
      </c>
      <c r="K610" s="250">
        <f>IF(A610="","",A610*D610)</f>
      </c>
      <c r="L610" s="249">
        <f>IF(A610="","",IF(OR(A610=1,A610=0),H610,0))</f>
      </c>
      <c r="M610" s="249">
        <f>IF(A610="","",IF(A610=-1,H610,0))</f>
      </c>
      <c r="N610">
        <f>IF($E610="SGD",1,IF($E610="USD",Settings!$B$22,IF($E610="HKD",Settings!$B$23,1)))</f>
      </c>
      <c r="O610">
        <f>IF($J610="",0,($M610-$L610+IF($A610=2,$H610,0))*$N610)</f>
      </c>
      <c r="P610">
        <f>IF($J610="",0,IF($A610=2,$H610*$N610,0))</f>
      </c>
    </row>
    <row r="611" spans="1:16" ht="15" customHeight="1" x14ac:dyDescent="0.15">
      <c r="A611" s="242"/>
      <c r="B611" s="242"/>
      <c r="C611" s="242"/>
      <c r="D611" s="256"/>
      <c r="E611" s="242"/>
      <c r="F611" s="257"/>
      <c r="G611" s="242"/>
      <c r="H611" s="257"/>
      <c r="I611" s="242"/>
      <c r="J611" s="249">
        <f>IF(OR(B611="",C611="",E611=""),"",B611&amp;":"&amp;C611&amp;":"&amp;E611)</f>
      </c>
      <c r="K611" s="250">
        <f>IF(A611="","",A611*D611)</f>
      </c>
      <c r="L611" s="249">
        <f>IF(A611="","",IF(OR(A611=1,A611=0),H611,0))</f>
      </c>
      <c r="M611" s="249">
        <f>IF(A611="","",IF(A611=-1,H611,0))</f>
      </c>
      <c r="N611">
        <f>IF($E611="SGD",1,IF($E611="USD",Settings!$B$22,IF($E611="HKD",Settings!$B$23,1)))</f>
      </c>
      <c r="O611">
        <f>IF($J611="",0,($M611-$L611+IF($A611=2,$H611,0))*$N611)</f>
      </c>
      <c r="P611">
        <f>IF($J611="",0,IF($A611=2,$H611*$N611,0))</f>
      </c>
    </row>
    <row r="612" spans="1:16" ht="15" customHeight="1" x14ac:dyDescent="0.15">
      <c r="A612" s="242"/>
      <c r="B612" s="242"/>
      <c r="C612" s="242"/>
      <c r="D612" s="256"/>
      <c r="E612" s="242"/>
      <c r="F612" s="257"/>
      <c r="G612" s="242"/>
      <c r="H612" s="257"/>
      <c r="I612" s="242"/>
      <c r="J612" s="249">
        <f>IF(OR(B612="",C612="",E612=""),"",B612&amp;":"&amp;C612&amp;":"&amp;E612)</f>
      </c>
      <c r="K612" s="250">
        <f>IF(A612="","",A612*D612)</f>
      </c>
      <c r="L612" s="249">
        <f>IF(A612="","",IF(OR(A612=1,A612=0),H612,0))</f>
      </c>
      <c r="M612" s="249">
        <f>IF(A612="","",IF(A612=-1,H612,0))</f>
      </c>
      <c r="N612">
        <f>IF($E612="SGD",1,IF($E612="USD",Settings!$B$22,IF($E612="HKD",Settings!$B$23,1)))</f>
      </c>
      <c r="O612">
        <f>IF($J612="",0,($M612-$L612+IF($A612=2,$H612,0))*$N612)</f>
      </c>
      <c r="P612">
        <f>IF($J612="",0,IF($A612=2,$H612*$N612,0))</f>
      </c>
    </row>
    <row r="613" spans="1:16" ht="15" customHeight="1" x14ac:dyDescent="0.15">
      <c r="A613" s="242"/>
      <c r="B613" s="242"/>
      <c r="C613" s="242"/>
      <c r="D613" s="256"/>
      <c r="E613" s="242"/>
      <c r="F613" s="257"/>
      <c r="G613" s="242"/>
      <c r="H613" s="257"/>
      <c r="I613" s="242"/>
      <c r="J613" s="249">
        <f>IF(OR(B613="",C613="",E613=""),"",B613&amp;":"&amp;C613&amp;":"&amp;E613)</f>
      </c>
      <c r="K613" s="250">
        <f>IF(A613="","",A613*D613)</f>
      </c>
      <c r="L613" s="249">
        <f>IF(A613="","",IF(OR(A613=1,A613=0),H613,0))</f>
      </c>
      <c r="M613" s="249">
        <f>IF(A613="","",IF(A613=-1,H613,0))</f>
      </c>
      <c r="N613">
        <f>IF($E613="SGD",1,IF($E613="USD",Settings!$B$22,IF($E613="HKD",Settings!$B$23,1)))</f>
      </c>
      <c r="O613">
        <f>IF($J613="",0,($M613-$L613+IF($A613=2,$H613,0))*$N613)</f>
      </c>
      <c r="P613">
        <f>IF($J613="",0,IF($A613=2,$H613*$N613,0))</f>
      </c>
    </row>
    <row r="614" spans="1:16" ht="15" customHeight="1" x14ac:dyDescent="0.15">
      <c r="A614" s="242"/>
      <c r="B614" s="242"/>
      <c r="C614" s="242"/>
      <c r="D614" s="256"/>
      <c r="E614" s="242"/>
      <c r="F614" s="257"/>
      <c r="G614" s="242"/>
      <c r="H614" s="257"/>
      <c r="I614" s="242"/>
      <c r="J614" s="249">
        <f>IF(OR(B614="",C614="",E614=""),"",B614&amp;":"&amp;C614&amp;":"&amp;E614)</f>
      </c>
      <c r="K614" s="250">
        <f>IF(A614="","",A614*D614)</f>
      </c>
      <c r="L614" s="249">
        <f>IF(A614="","",IF(OR(A614=1,A614=0),H614,0))</f>
      </c>
      <c r="M614" s="249">
        <f>IF(A614="","",IF(A614=-1,H614,0))</f>
      </c>
      <c r="N614">
        <f>IF($E614="SGD",1,IF($E614="USD",Settings!$B$22,IF($E614="HKD",Settings!$B$23,1)))</f>
      </c>
      <c r="O614">
        <f>IF($J614="",0,($M614-$L614+IF($A614=2,$H614,0))*$N614)</f>
      </c>
      <c r="P614">
        <f>IF($J614="",0,IF($A614=2,$H614*$N614,0))</f>
      </c>
    </row>
    <row r="615" spans="1:16" ht="15" customHeight="1" x14ac:dyDescent="0.15">
      <c r="A615" s="242"/>
      <c r="B615" s="242"/>
      <c r="C615" s="242"/>
      <c r="D615" s="256"/>
      <c r="E615" s="242"/>
      <c r="F615" s="257"/>
      <c r="G615" s="242"/>
      <c r="H615" s="257"/>
      <c r="I615" s="242"/>
      <c r="J615" s="249">
        <f>IF(OR(B615="",C615="",E615=""),"",B615&amp;":"&amp;C615&amp;":"&amp;E615)</f>
      </c>
      <c r="K615" s="250">
        <f>IF(A615="","",A615*D615)</f>
      </c>
      <c r="L615" s="249">
        <f>IF(A615="","",IF(OR(A615=1,A615=0),H615,0))</f>
      </c>
      <c r="M615" s="249">
        <f>IF(A615="","",IF(A615=-1,H615,0))</f>
      </c>
      <c r="N615">
        <f>IF($E615="SGD",1,IF($E615="USD",Settings!$B$22,IF($E615="HKD",Settings!$B$23,1)))</f>
      </c>
      <c r="O615">
        <f>IF($J615="",0,($M615-$L615+IF($A615=2,$H615,0))*$N615)</f>
      </c>
      <c r="P615">
        <f>IF($J615="",0,IF($A615=2,$H615*$N615,0))</f>
      </c>
    </row>
    <row r="616" spans="1:16" ht="15" customHeight="1" x14ac:dyDescent="0.15">
      <c r="A616" s="242"/>
      <c r="B616" s="242"/>
      <c r="C616" s="242"/>
      <c r="D616" s="256"/>
      <c r="E616" s="242"/>
      <c r="F616" s="257"/>
      <c r="G616" s="242"/>
      <c r="H616" s="257"/>
      <c r="I616" s="242"/>
      <c r="J616" s="249">
        <f>IF(OR(B616="",C616="",E616=""),"",B616&amp;":"&amp;C616&amp;":"&amp;E616)</f>
      </c>
      <c r="K616" s="250">
        <f>IF(A616="","",A616*D616)</f>
      </c>
      <c r="L616" s="249">
        <f>IF(A616="","",IF(OR(A616=1,A616=0),H616,0))</f>
      </c>
      <c r="M616" s="249">
        <f>IF(A616="","",IF(A616=-1,H616,0))</f>
      </c>
      <c r="N616">
        <f>IF($E616="SGD",1,IF($E616="USD",Settings!$B$22,IF($E616="HKD",Settings!$B$23,1)))</f>
      </c>
      <c r="O616">
        <f>IF($J616="",0,($M616-$L616+IF($A616=2,$H616,0))*$N616)</f>
      </c>
      <c r="P616">
        <f>IF($J616="",0,IF($A616=2,$H616*$N616,0))</f>
      </c>
    </row>
    <row r="617" spans="1:16" ht="15" customHeight="1" x14ac:dyDescent="0.15">
      <c r="A617" s="242"/>
      <c r="B617" s="242"/>
      <c r="C617" s="242"/>
      <c r="D617" s="256"/>
      <c r="E617" s="242"/>
      <c r="F617" s="257"/>
      <c r="G617" s="242"/>
      <c r="H617" s="257"/>
      <c r="I617" s="242"/>
      <c r="J617" s="249">
        <f>IF(OR(B617="",C617="",E617=""),"",B617&amp;":"&amp;C617&amp;":"&amp;E617)</f>
      </c>
      <c r="K617" s="250">
        <f>IF(A617="","",A617*D617)</f>
      </c>
      <c r="L617" s="249">
        <f>IF(A617="","",IF(OR(A617=1,A617=0),H617,0))</f>
      </c>
      <c r="M617" s="249">
        <f>IF(A617="","",IF(A617=-1,H617,0))</f>
      </c>
      <c r="N617">
        <f>IF($E617="SGD",1,IF($E617="USD",Settings!$B$22,IF($E617="HKD",Settings!$B$23,1)))</f>
      </c>
      <c r="O617">
        <f>IF($J617="",0,($M617-$L617+IF($A617=2,$H617,0))*$N617)</f>
      </c>
      <c r="P617">
        <f>IF($J617="",0,IF($A617=2,$H617*$N617,0))</f>
      </c>
    </row>
    <row r="618" spans="1:16" ht="15" customHeight="1" x14ac:dyDescent="0.15">
      <c r="A618" s="242"/>
      <c r="B618" s="242"/>
      <c r="C618" s="242"/>
      <c r="D618" s="256"/>
      <c r="E618" s="242"/>
      <c r="F618" s="257"/>
      <c r="G618" s="242"/>
      <c r="H618" s="257"/>
      <c r="I618" s="242"/>
      <c r="J618" s="249">
        <f>IF(OR(B618="",C618="",E618=""),"",B618&amp;":"&amp;C618&amp;":"&amp;E618)</f>
      </c>
      <c r="K618" s="250">
        <f>IF(A618="","",A618*D618)</f>
      </c>
      <c r="L618" s="249">
        <f>IF(A618="","",IF(OR(A618=1,A618=0),H618,0))</f>
      </c>
      <c r="M618" s="249">
        <f>IF(A618="","",IF(A618=-1,H618,0))</f>
      </c>
      <c r="N618">
        <f>IF($E618="SGD",1,IF($E618="USD",Settings!$B$22,IF($E618="HKD",Settings!$B$23,1)))</f>
      </c>
      <c r="O618">
        <f>IF($J618="",0,($M618-$L618+IF($A618=2,$H618,0))*$N618)</f>
      </c>
      <c r="P618">
        <f>IF($J618="",0,IF($A618=2,$H618*$N618,0))</f>
      </c>
    </row>
    <row r="619" spans="1:16" ht="15" customHeight="1" x14ac:dyDescent="0.15">
      <c r="A619" s="242"/>
      <c r="B619" s="242"/>
      <c r="C619" s="242"/>
      <c r="D619" s="256"/>
      <c r="E619" s="242"/>
      <c r="F619" s="257"/>
      <c r="G619" s="242"/>
      <c r="H619" s="257"/>
      <c r="I619" s="242"/>
      <c r="J619" s="249">
        <f>IF(OR(B619="",C619="",E619=""),"",B619&amp;":"&amp;C619&amp;":"&amp;E619)</f>
      </c>
      <c r="K619" s="250">
        <f>IF(A619="","",A619*D619)</f>
      </c>
      <c r="L619" s="249">
        <f>IF(A619="","",IF(OR(A619=1,A619=0),H619,0))</f>
      </c>
      <c r="M619" s="249">
        <f>IF(A619="","",IF(A619=-1,H619,0))</f>
      </c>
      <c r="N619">
        <f>IF($E619="SGD",1,IF($E619="USD",Settings!$B$22,IF($E619="HKD",Settings!$B$23,1)))</f>
      </c>
      <c r="O619">
        <f>IF($J619="",0,($M619-$L619+IF($A619=2,$H619,0))*$N619)</f>
      </c>
      <c r="P619">
        <f>IF($J619="",0,IF($A619=2,$H619*$N619,0))</f>
      </c>
    </row>
    <row r="620" spans="1:16" ht="15" customHeight="1" x14ac:dyDescent="0.15">
      <c r="A620" s="242"/>
      <c r="B620" s="242"/>
      <c r="C620" s="242"/>
      <c r="D620" s="256"/>
      <c r="E620" s="242"/>
      <c r="F620" s="257"/>
      <c r="G620" s="242"/>
      <c r="H620" s="257"/>
      <c r="I620" s="242"/>
      <c r="J620" s="249">
        <f>IF(OR(B620="",C620="",E620=""),"",B620&amp;":"&amp;C620&amp;":"&amp;E620)</f>
      </c>
      <c r="K620" s="250">
        <f>IF(A620="","",A620*D620)</f>
      </c>
      <c r="L620" s="249">
        <f>IF(A620="","",IF(OR(A620=1,A620=0),H620,0))</f>
      </c>
      <c r="M620" s="249">
        <f>IF(A620="","",IF(A620=-1,H620,0))</f>
      </c>
      <c r="N620">
        <f>IF($E620="SGD",1,IF($E620="USD",Settings!$B$22,IF($E620="HKD",Settings!$B$23,1)))</f>
      </c>
      <c r="O620">
        <f>IF($J620="",0,($M620-$L620+IF($A620=2,$H620,0))*$N620)</f>
      </c>
      <c r="P620">
        <f>IF($J620="",0,IF($A620=2,$H620*$N620,0))</f>
      </c>
    </row>
    <row r="621" spans="1:16" ht="15" customHeight="1" x14ac:dyDescent="0.15">
      <c r="A621" s="242"/>
      <c r="B621" s="242"/>
      <c r="C621" s="242"/>
      <c r="D621" s="256"/>
      <c r="E621" s="242"/>
      <c r="F621" s="257"/>
      <c r="G621" s="242"/>
      <c r="H621" s="257"/>
      <c r="I621" s="242"/>
      <c r="J621" s="249">
        <f>IF(OR(B621="",C621="",E621=""),"",B621&amp;":"&amp;C621&amp;":"&amp;E621)</f>
      </c>
      <c r="K621" s="250">
        <f>IF(A621="","",A621*D621)</f>
      </c>
      <c r="L621" s="249">
        <f>IF(A621="","",IF(OR(A621=1,A621=0),H621,0))</f>
      </c>
      <c r="M621" s="249">
        <f>IF(A621="","",IF(A621=-1,H621,0))</f>
      </c>
      <c r="N621">
        <f>IF($E621="SGD",1,IF($E621="USD",Settings!$B$22,IF($E621="HKD",Settings!$B$23,1)))</f>
      </c>
      <c r="O621">
        <f>IF($J621="",0,($M621-$L621+IF($A621=2,$H621,0))*$N621)</f>
      </c>
      <c r="P621">
        <f>IF($J621="",0,IF($A621=2,$H621*$N621,0))</f>
      </c>
    </row>
    <row r="622" spans="1:16" ht="15" customHeight="1" x14ac:dyDescent="0.15">
      <c r="A622" s="242"/>
      <c r="B622" s="242"/>
      <c r="C622" s="242"/>
      <c r="D622" s="256"/>
      <c r="E622" s="242"/>
      <c r="F622" s="257"/>
      <c r="G622" s="242"/>
      <c r="H622" s="257"/>
      <c r="I622" s="242"/>
      <c r="J622" s="249">
        <f>IF(OR(B622="",C622="",E622=""),"",B622&amp;":"&amp;C622&amp;":"&amp;E622)</f>
      </c>
      <c r="K622" s="250">
        <f>IF(A622="","",A622*D622)</f>
      </c>
      <c r="L622" s="249">
        <f>IF(A622="","",IF(OR(A622=1,A622=0),H622,0))</f>
      </c>
      <c r="M622" s="249">
        <f>IF(A622="","",IF(A622=-1,H622,0))</f>
      </c>
      <c r="N622">
        <f>IF($E622="SGD",1,IF($E622="USD",Settings!$B$22,IF($E622="HKD",Settings!$B$23,1)))</f>
      </c>
      <c r="O622">
        <f>IF($J622="",0,($M622-$L622+IF($A622=2,$H622,0))*$N622)</f>
      </c>
      <c r="P622">
        <f>IF($J622="",0,IF($A622=2,$H622*$N622,0))</f>
      </c>
    </row>
    <row r="623" spans="1:16" ht="15" customHeight="1" x14ac:dyDescent="0.15">
      <c r="A623" s="242"/>
      <c r="B623" s="242"/>
      <c r="C623" s="242"/>
      <c r="D623" s="256"/>
      <c r="E623" s="242"/>
      <c r="F623" s="257"/>
      <c r="G623" s="242"/>
      <c r="H623" s="257"/>
      <c r="I623" s="242"/>
      <c r="J623" s="249">
        <f>IF(OR(B623="",C623="",E623=""),"",B623&amp;":"&amp;C623&amp;":"&amp;E623)</f>
      </c>
      <c r="K623" s="250">
        <f>IF(A623="","",A623*D623)</f>
      </c>
      <c r="L623" s="249">
        <f>IF(A623="","",IF(OR(A623=1,A623=0),H623,0))</f>
      </c>
      <c r="M623" s="249">
        <f>IF(A623="","",IF(A623=-1,H623,0))</f>
      </c>
      <c r="N623">
        <f>IF($E623="SGD",1,IF($E623="USD",Settings!$B$22,IF($E623="HKD",Settings!$B$23,1)))</f>
      </c>
      <c r="O623">
        <f>IF($J623="",0,($M623-$L623+IF($A623=2,$H623,0))*$N623)</f>
      </c>
      <c r="P623">
        <f>IF($J623="",0,IF($A623=2,$H623*$N623,0))</f>
      </c>
    </row>
    <row r="624" spans="1:16" ht="15" customHeight="1" x14ac:dyDescent="0.15">
      <c r="A624" s="242"/>
      <c r="B624" s="242"/>
      <c r="C624" s="242"/>
      <c r="D624" s="256"/>
      <c r="E624" s="242"/>
      <c r="F624" s="257"/>
      <c r="G624" s="242"/>
      <c r="H624" s="257"/>
      <c r="I624" s="242"/>
      <c r="J624" s="249">
        <f>IF(OR(B624="",C624="",E624=""),"",B624&amp;":"&amp;C624&amp;":"&amp;E624)</f>
      </c>
      <c r="K624" s="250">
        <f>IF(A624="","",A624*D624)</f>
      </c>
      <c r="L624" s="249">
        <f>IF(A624="","",IF(OR(A624=1,A624=0),H624,0))</f>
      </c>
      <c r="M624" s="249">
        <f>IF(A624="","",IF(A624=-1,H624,0))</f>
      </c>
      <c r="N624">
        <f>IF($E624="SGD",1,IF($E624="USD",Settings!$B$22,IF($E624="HKD",Settings!$B$23,1)))</f>
      </c>
      <c r="O624">
        <f>IF($J624="",0,($M624-$L624+IF($A624=2,$H624,0))*$N624)</f>
      </c>
      <c r="P624">
        <f>IF($J624="",0,IF($A624=2,$H624*$N624,0))</f>
      </c>
    </row>
    <row r="625" spans="1:16" ht="15" customHeight="1" x14ac:dyDescent="0.15">
      <c r="A625" s="242"/>
      <c r="B625" s="242"/>
      <c r="C625" s="242"/>
      <c r="D625" s="256"/>
      <c r="E625" s="242"/>
      <c r="F625" s="257"/>
      <c r="G625" s="242"/>
      <c r="H625" s="257"/>
      <c r="I625" s="242"/>
      <c r="J625" s="249">
        <f>IF(OR(B625="",C625="",E625=""),"",B625&amp;":"&amp;C625&amp;":"&amp;E625)</f>
      </c>
      <c r="K625" s="250">
        <f>IF(A625="","",A625*D625)</f>
      </c>
      <c r="L625" s="249">
        <f>IF(A625="","",IF(OR(A625=1,A625=0),H625,0))</f>
      </c>
      <c r="M625" s="249">
        <f>IF(A625="","",IF(A625=-1,H625,0))</f>
      </c>
      <c r="N625">
        <f>IF($E625="SGD",1,IF($E625="USD",Settings!$B$22,IF($E625="HKD",Settings!$B$23,1)))</f>
      </c>
      <c r="O625">
        <f>IF($J625="",0,($M625-$L625+IF($A625=2,$H625,0))*$N625)</f>
      </c>
      <c r="P625">
        <f>IF($J625="",0,IF($A625=2,$H625*$N625,0))</f>
      </c>
    </row>
    <row r="626" spans="1:16" ht="15" customHeight="1" x14ac:dyDescent="0.15">
      <c r="A626" s="242"/>
      <c r="B626" s="242"/>
      <c r="C626" s="242"/>
      <c r="D626" s="256"/>
      <c r="E626" s="242"/>
      <c r="F626" s="257"/>
      <c r="G626" s="242"/>
      <c r="H626" s="257"/>
      <c r="I626" s="242"/>
      <c r="J626" s="249">
        <f>IF(OR(B626="",C626="",E626=""),"",B626&amp;":"&amp;C626&amp;":"&amp;E626)</f>
      </c>
      <c r="K626" s="250">
        <f>IF(A626="","",A626*D626)</f>
      </c>
      <c r="L626" s="249">
        <f>IF(A626="","",IF(OR(A626=1,A626=0),H626,0))</f>
      </c>
      <c r="M626" s="249">
        <f>IF(A626="","",IF(A626=-1,H626,0))</f>
      </c>
      <c r="N626">
        <f>IF($E626="SGD",1,IF($E626="USD",Settings!$B$22,IF($E626="HKD",Settings!$B$23,1)))</f>
      </c>
      <c r="O626">
        <f>IF($J626="",0,($M626-$L626+IF($A626=2,$H626,0))*$N626)</f>
      </c>
      <c r="P626">
        <f>IF($J626="",0,IF($A626=2,$H626*$N626,0))</f>
      </c>
    </row>
    <row r="627" spans="1:16" ht="15" customHeight="1" x14ac:dyDescent="0.15">
      <c r="A627" s="242"/>
      <c r="B627" s="242"/>
      <c r="C627" s="242"/>
      <c r="D627" s="256"/>
      <c r="E627" s="242"/>
      <c r="F627" s="257"/>
      <c r="G627" s="242"/>
      <c r="H627" s="257"/>
      <c r="I627" s="242"/>
      <c r="J627" s="249">
        <f>IF(OR(B627="",C627="",E627=""),"",B627&amp;":"&amp;C627&amp;":"&amp;E627)</f>
      </c>
      <c r="K627" s="250">
        <f>IF(A627="","",A627*D627)</f>
      </c>
      <c r="L627" s="249">
        <f>IF(A627="","",IF(OR(A627=1,A627=0),H627,0))</f>
      </c>
      <c r="M627" s="249">
        <f>IF(A627="","",IF(A627=-1,H627,0))</f>
      </c>
      <c r="N627">
        <f>IF($E627="SGD",1,IF($E627="USD",Settings!$B$22,IF($E627="HKD",Settings!$B$23,1)))</f>
      </c>
      <c r="O627">
        <f>IF($J627="",0,($M627-$L627+IF($A627=2,$H627,0))*$N627)</f>
      </c>
      <c r="P627">
        <f>IF($J627="",0,IF($A627=2,$H627*$N627,0))</f>
      </c>
    </row>
    <row r="628" spans="1:16" ht="15" customHeight="1" x14ac:dyDescent="0.15">
      <c r="A628" s="242"/>
      <c r="B628" s="242"/>
      <c r="C628" s="242"/>
      <c r="D628" s="256"/>
      <c r="E628" s="242"/>
      <c r="F628" s="257"/>
      <c r="G628" s="242"/>
      <c r="H628" s="257"/>
      <c r="I628" s="242"/>
      <c r="J628" s="249">
        <f>IF(OR(B628="",C628="",E628=""),"",B628&amp;":"&amp;C628&amp;":"&amp;E628)</f>
      </c>
      <c r="K628" s="250">
        <f>IF(A628="","",A628*D628)</f>
      </c>
      <c r="L628" s="249">
        <f>IF(A628="","",IF(OR(A628=1,A628=0),H628,0))</f>
      </c>
      <c r="M628" s="249">
        <f>IF(A628="","",IF(A628=-1,H628,0))</f>
      </c>
      <c r="N628">
        <f>IF($E628="SGD",1,IF($E628="USD",Settings!$B$22,IF($E628="HKD",Settings!$B$23,1)))</f>
      </c>
      <c r="O628">
        <f>IF($J628="",0,($M628-$L628+IF($A628=2,$H628,0))*$N628)</f>
      </c>
      <c r="P628">
        <f>IF($J628="",0,IF($A628=2,$H628*$N628,0))</f>
      </c>
    </row>
    <row r="629" spans="1:16" ht="15" customHeight="1" x14ac:dyDescent="0.15">
      <c r="A629" s="242"/>
      <c r="B629" s="242"/>
      <c r="C629" s="242"/>
      <c r="D629" s="256"/>
      <c r="E629" s="242"/>
      <c r="F629" s="257"/>
      <c r="G629" s="242"/>
      <c r="H629" s="257"/>
      <c r="I629" s="242"/>
      <c r="J629" s="249">
        <f>IF(OR(B629="",C629="",E629=""),"",B629&amp;":"&amp;C629&amp;":"&amp;E629)</f>
      </c>
      <c r="K629" s="250">
        <f>IF(A629="","",A629*D629)</f>
      </c>
      <c r="L629" s="249">
        <f>IF(A629="","",IF(OR(A629=1,A629=0),H629,0))</f>
      </c>
      <c r="M629" s="249">
        <f>IF(A629="","",IF(A629=-1,H629,0))</f>
      </c>
      <c r="N629">
        <f>IF($E629="SGD",1,IF($E629="USD",Settings!$B$22,IF($E629="HKD",Settings!$B$23,1)))</f>
      </c>
      <c r="O629">
        <f>IF($J629="",0,($M629-$L629+IF($A629=2,$H629,0))*$N629)</f>
      </c>
      <c r="P629">
        <f>IF($J629="",0,IF($A629=2,$H629*$N629,0))</f>
      </c>
    </row>
    <row r="630" spans="1:16" ht="15" customHeight="1" x14ac:dyDescent="0.15">
      <c r="A630" s="242"/>
      <c r="B630" s="242"/>
      <c r="C630" s="242"/>
      <c r="D630" s="256"/>
      <c r="E630" s="242"/>
      <c r="F630" s="257"/>
      <c r="G630" s="242"/>
      <c r="H630" s="257"/>
      <c r="I630" s="242"/>
      <c r="J630" s="249">
        <f>IF(OR(B630="",C630="",E630=""),"",B630&amp;":"&amp;C630&amp;":"&amp;E630)</f>
      </c>
      <c r="K630" s="250">
        <f>IF(A630="","",A630*D630)</f>
      </c>
      <c r="L630" s="249">
        <f>IF(A630="","",IF(OR(A630=1,A630=0),H630,0))</f>
      </c>
      <c r="M630" s="249">
        <f>IF(A630="","",IF(A630=-1,H630,0))</f>
      </c>
      <c r="N630">
        <f>IF($E630="SGD",1,IF($E630="USD",Settings!$B$22,IF($E630="HKD",Settings!$B$23,1)))</f>
      </c>
      <c r="O630">
        <f>IF($J630="",0,($M630-$L630+IF($A630=2,$H630,0))*$N630)</f>
      </c>
      <c r="P630">
        <f>IF($J630="",0,IF($A630=2,$H630*$N630,0))</f>
      </c>
    </row>
    <row r="631" spans="1:16" ht="15" customHeight="1" x14ac:dyDescent="0.15">
      <c r="A631" s="242"/>
      <c r="B631" s="242"/>
      <c r="C631" s="242"/>
      <c r="D631" s="256"/>
      <c r="E631" s="242"/>
      <c r="F631" s="257"/>
      <c r="G631" s="242"/>
      <c r="H631" s="257"/>
      <c r="I631" s="242"/>
      <c r="J631" s="249">
        <f>IF(OR(B631="",C631="",E631=""),"",B631&amp;":"&amp;C631&amp;":"&amp;E631)</f>
      </c>
      <c r="K631" s="250">
        <f>IF(A631="","",A631*D631)</f>
      </c>
      <c r="L631" s="249">
        <f>IF(A631="","",IF(OR(A631=1,A631=0),H631,0))</f>
      </c>
      <c r="M631" s="249">
        <f>IF(A631="","",IF(A631=-1,H631,0))</f>
      </c>
      <c r="N631">
        <f>IF($E631="SGD",1,IF($E631="USD",Settings!$B$22,IF($E631="HKD",Settings!$B$23,1)))</f>
      </c>
      <c r="O631">
        <f>IF($J631="",0,($M631-$L631+IF($A631=2,$H631,0))*$N631)</f>
      </c>
      <c r="P631">
        <f>IF($J631="",0,IF($A631=2,$H631*$N631,0))</f>
      </c>
    </row>
    <row r="632" spans="1:16" ht="15" customHeight="1" x14ac:dyDescent="0.15">
      <c r="A632" s="242"/>
      <c r="B632" s="242"/>
      <c r="C632" s="242"/>
      <c r="D632" s="256"/>
      <c r="E632" s="242"/>
      <c r="F632" s="257"/>
      <c r="G632" s="242"/>
      <c r="H632" s="257"/>
      <c r="I632" s="242"/>
      <c r="J632" s="249">
        <f>IF(OR(B632="",C632="",E632=""),"",B632&amp;":"&amp;C632&amp;":"&amp;E632)</f>
      </c>
      <c r="K632" s="250">
        <f>IF(A632="","",A632*D632)</f>
      </c>
      <c r="L632" s="249">
        <f>IF(A632="","",IF(OR(A632=1,A632=0),H632,0))</f>
      </c>
      <c r="M632" s="249">
        <f>IF(A632="","",IF(A632=-1,H632,0))</f>
      </c>
      <c r="N632">
        <f>IF($E632="SGD",1,IF($E632="USD",Settings!$B$22,IF($E632="HKD",Settings!$B$23,1)))</f>
      </c>
      <c r="O632">
        <f>IF($J632="",0,($M632-$L632+IF($A632=2,$H632,0))*$N632)</f>
      </c>
      <c r="P632">
        <f>IF($J632="",0,IF($A632=2,$H632*$N632,0))</f>
      </c>
    </row>
    <row r="633" spans="1:16" ht="15" customHeight="1" x14ac:dyDescent="0.15">
      <c r="A633" s="242"/>
      <c r="B633" s="242"/>
      <c r="C633" s="242"/>
      <c r="D633" s="256"/>
      <c r="E633" s="242"/>
      <c r="F633" s="257"/>
      <c r="G633" s="242"/>
      <c r="H633" s="257"/>
      <c r="I633" s="242"/>
      <c r="J633" s="249">
        <f>IF(OR(B633="",C633="",E633=""),"",B633&amp;":"&amp;C633&amp;":"&amp;E633)</f>
      </c>
      <c r="K633" s="250">
        <f>IF(A633="","",A633*D633)</f>
      </c>
      <c r="L633" s="249">
        <f>IF(A633="","",IF(OR(A633=1,A633=0),H633,0))</f>
      </c>
      <c r="M633" s="249">
        <f>IF(A633="","",IF(A633=-1,H633,0))</f>
      </c>
      <c r="N633">
        <f>IF($E633="SGD",1,IF($E633="USD",Settings!$B$22,IF($E633="HKD",Settings!$B$23,1)))</f>
      </c>
      <c r="O633">
        <f>IF($J633="",0,($M633-$L633+IF($A633=2,$H633,0))*$N633)</f>
      </c>
      <c r="P633">
        <f>IF($J633="",0,IF($A633=2,$H633*$N633,0))</f>
      </c>
    </row>
    <row r="634" spans="1:16" ht="15" customHeight="1" x14ac:dyDescent="0.15">
      <c r="A634" s="242"/>
      <c r="B634" s="242"/>
      <c r="C634" s="242"/>
      <c r="D634" s="256"/>
      <c r="E634" s="242"/>
      <c r="F634" s="257"/>
      <c r="G634" s="242"/>
      <c r="H634" s="257"/>
      <c r="I634" s="242"/>
      <c r="J634" s="249">
        <f>IF(OR(B634="",C634="",E634=""),"",B634&amp;":"&amp;C634&amp;":"&amp;E634)</f>
      </c>
      <c r="K634" s="250">
        <f>IF(A634="","",A634*D634)</f>
      </c>
      <c r="L634" s="249">
        <f>IF(A634="","",IF(OR(A634=1,A634=0),H634,0))</f>
      </c>
      <c r="M634" s="249">
        <f>IF(A634="","",IF(A634=-1,H634,0))</f>
      </c>
      <c r="N634">
        <f>IF($E634="SGD",1,IF($E634="USD",Settings!$B$22,IF($E634="HKD",Settings!$B$23,1)))</f>
      </c>
      <c r="O634">
        <f>IF($J634="",0,($M634-$L634+IF($A634=2,$H634,0))*$N634)</f>
      </c>
      <c r="P634">
        <f>IF($J634="",0,IF($A634=2,$H634*$N634,0))</f>
      </c>
    </row>
    <row r="635" spans="1:16" ht="15" customHeight="1" x14ac:dyDescent="0.15">
      <c r="A635" s="242"/>
      <c r="B635" s="242"/>
      <c r="C635" s="242"/>
      <c r="D635" s="256"/>
      <c r="E635" s="242"/>
      <c r="F635" s="257"/>
      <c r="G635" s="242"/>
      <c r="H635" s="257"/>
      <c r="I635" s="242"/>
      <c r="J635" s="249">
        <f>IF(OR(B635="",C635="",E635=""),"",B635&amp;":"&amp;C635&amp;":"&amp;E635)</f>
      </c>
      <c r="K635" s="250">
        <f>IF(A635="","",A635*D635)</f>
      </c>
      <c r="L635" s="249">
        <f>IF(A635="","",IF(OR(A635=1,A635=0),H635,0))</f>
      </c>
      <c r="M635" s="249">
        <f>IF(A635="","",IF(A635=-1,H635,0))</f>
      </c>
      <c r="N635">
        <f>IF($E635="SGD",1,IF($E635="USD",Settings!$B$22,IF($E635="HKD",Settings!$B$23,1)))</f>
      </c>
      <c r="O635">
        <f>IF($J635="",0,($M635-$L635+IF($A635=2,$H635,0))*$N635)</f>
      </c>
      <c r="P635">
        <f>IF($J635="",0,IF($A635=2,$H635*$N635,0))</f>
      </c>
    </row>
    <row r="636" spans="1:16" ht="15" customHeight="1" x14ac:dyDescent="0.15">
      <c r="A636" s="242"/>
      <c r="B636" s="242"/>
      <c r="C636" s="242"/>
      <c r="D636" s="256"/>
      <c r="E636" s="242"/>
      <c r="F636" s="257"/>
      <c r="G636" s="242"/>
      <c r="H636" s="257"/>
      <c r="I636" s="242"/>
      <c r="J636" s="249">
        <f>IF(OR(B636="",C636="",E636=""),"",B636&amp;":"&amp;C636&amp;":"&amp;E636)</f>
      </c>
      <c r="K636" s="250">
        <f>IF(A636="","",A636*D636)</f>
      </c>
      <c r="L636" s="249">
        <f>IF(A636="","",IF(OR(A636=1,A636=0),H636,0))</f>
      </c>
      <c r="M636" s="249">
        <f>IF(A636="","",IF(A636=-1,H636,0))</f>
      </c>
      <c r="N636">
        <f>IF($E636="SGD",1,IF($E636="USD",Settings!$B$22,IF($E636="HKD",Settings!$B$23,1)))</f>
      </c>
      <c r="O636">
        <f>IF($J636="",0,($M636-$L636+IF($A636=2,$H636,0))*$N636)</f>
      </c>
      <c r="P636">
        <f>IF($J636="",0,IF($A636=2,$H636*$N636,0))</f>
      </c>
    </row>
    <row r="637" spans="1:16" ht="15" customHeight="1" x14ac:dyDescent="0.15">
      <c r="A637" s="242"/>
      <c r="B637" s="242"/>
      <c r="C637" s="242"/>
      <c r="D637" s="256"/>
      <c r="E637" s="242"/>
      <c r="F637" s="257"/>
      <c r="G637" s="242"/>
      <c r="H637" s="257"/>
      <c r="I637" s="242"/>
      <c r="J637" s="249">
        <f>IF(OR(B637="",C637="",E637=""),"",B637&amp;":"&amp;C637&amp;":"&amp;E637)</f>
      </c>
      <c r="K637" s="250">
        <f>IF(A637="","",A637*D637)</f>
      </c>
      <c r="L637" s="249">
        <f>IF(A637="","",IF(OR(A637=1,A637=0),H637,0))</f>
      </c>
      <c r="M637" s="249">
        <f>IF(A637="","",IF(A637=-1,H637,0))</f>
      </c>
      <c r="N637">
        <f>IF($E637="SGD",1,IF($E637="USD",Settings!$B$22,IF($E637="HKD",Settings!$B$23,1)))</f>
      </c>
      <c r="O637">
        <f>IF($J637="",0,($M637-$L637+IF($A637=2,$H637,0))*$N637)</f>
      </c>
      <c r="P637">
        <f>IF($J637="",0,IF($A637=2,$H637*$N637,0))</f>
      </c>
    </row>
    <row r="638" spans="1:16" ht="15" customHeight="1" x14ac:dyDescent="0.15">
      <c r="A638" s="242"/>
      <c r="B638" s="242"/>
      <c r="C638" s="242"/>
      <c r="D638" s="256"/>
      <c r="E638" s="242"/>
      <c r="F638" s="257"/>
      <c r="G638" s="242"/>
      <c r="H638" s="257"/>
      <c r="I638" s="242"/>
      <c r="J638" s="249">
        <f>IF(OR(B638="",C638="",E638=""),"",B638&amp;":"&amp;C638&amp;":"&amp;E638)</f>
      </c>
      <c r="K638" s="250">
        <f>IF(A638="","",A638*D638)</f>
      </c>
      <c r="L638" s="249">
        <f>IF(A638="","",IF(OR(A638=1,A638=0),H638,0))</f>
      </c>
      <c r="M638" s="249">
        <f>IF(A638="","",IF(A638=-1,H638,0))</f>
      </c>
      <c r="N638">
        <f>IF($E638="SGD",1,IF($E638="USD",Settings!$B$22,IF($E638="HKD",Settings!$B$23,1)))</f>
      </c>
      <c r="O638">
        <f>IF($J638="",0,($M638-$L638+IF($A638=2,$H638,0))*$N638)</f>
      </c>
      <c r="P638">
        <f>IF($J638="",0,IF($A638=2,$H638*$N638,0))</f>
      </c>
    </row>
    <row r="639" spans="1:16" ht="15" customHeight="1" x14ac:dyDescent="0.15">
      <c r="A639" s="242"/>
      <c r="B639" s="242"/>
      <c r="C639" s="242"/>
      <c r="D639" s="256"/>
      <c r="E639" s="242"/>
      <c r="F639" s="257"/>
      <c r="G639" s="242"/>
      <c r="H639" s="257"/>
      <c r="I639" s="242"/>
      <c r="J639" s="249">
        <f>IF(OR(B639="",C639="",E639=""),"",B639&amp;":"&amp;C639&amp;":"&amp;E639)</f>
      </c>
      <c r="K639" s="250">
        <f>IF(A639="","",A639*D639)</f>
      </c>
      <c r="L639" s="249">
        <f>IF(A639="","",IF(OR(A639=1,A639=0),H639,0))</f>
      </c>
      <c r="M639" s="249">
        <f>IF(A639="","",IF(A639=-1,H639,0))</f>
      </c>
      <c r="N639">
        <f>IF($E639="SGD",1,IF($E639="USD",Settings!$B$22,IF($E639="HKD",Settings!$B$23,1)))</f>
      </c>
      <c r="O639">
        <f>IF($J639="",0,($M639-$L639+IF($A639=2,$H639,0))*$N639)</f>
      </c>
      <c r="P639">
        <f>IF($J639="",0,IF($A639=2,$H639*$N639,0))</f>
      </c>
    </row>
    <row r="640" spans="1:16" ht="15" customHeight="1" x14ac:dyDescent="0.15">
      <c r="A640" s="242"/>
      <c r="B640" s="242"/>
      <c r="C640" s="242"/>
      <c r="D640" s="256"/>
      <c r="E640" s="242"/>
      <c r="F640" s="257"/>
      <c r="G640" s="242"/>
      <c r="H640" s="257"/>
      <c r="I640" s="242"/>
      <c r="J640" s="249">
        <f>IF(OR(B640="",C640="",E640=""),"",B640&amp;":"&amp;C640&amp;":"&amp;E640)</f>
      </c>
      <c r="K640" s="250">
        <f>IF(A640="","",A640*D640)</f>
      </c>
      <c r="L640" s="249">
        <f>IF(A640="","",IF(OR(A640=1,A640=0),H640,0))</f>
      </c>
      <c r="M640" s="249">
        <f>IF(A640="","",IF(A640=-1,H640,0))</f>
      </c>
      <c r="N640">
        <f>IF($E640="SGD",1,IF($E640="USD",Settings!$B$22,IF($E640="HKD",Settings!$B$23,1)))</f>
      </c>
      <c r="O640">
        <f>IF($J640="",0,($M640-$L640+IF($A640=2,$H640,0))*$N640)</f>
      </c>
      <c r="P640">
        <f>IF($J640="",0,IF($A640=2,$H640*$N640,0))</f>
      </c>
    </row>
    <row r="641" spans="1:16" ht="15" customHeight="1" x14ac:dyDescent="0.15">
      <c r="A641" s="242"/>
      <c r="B641" s="242"/>
      <c r="C641" s="242"/>
      <c r="D641" s="256"/>
      <c r="E641" s="242"/>
      <c r="F641" s="257"/>
      <c r="G641" s="242"/>
      <c r="H641" s="257"/>
      <c r="I641" s="242"/>
      <c r="J641" s="249">
        <f>IF(OR(B641="",C641="",E641=""),"",B641&amp;":"&amp;C641&amp;":"&amp;E641)</f>
      </c>
      <c r="K641" s="250">
        <f>IF(A641="","",A641*D641)</f>
      </c>
      <c r="L641" s="249">
        <f>IF(A641="","",IF(OR(A641=1,A641=0),H641,0))</f>
      </c>
      <c r="M641" s="249">
        <f>IF(A641="","",IF(A641=-1,H641,0))</f>
      </c>
      <c r="N641">
        <f>IF($E641="SGD",1,IF($E641="USD",Settings!$B$22,IF($E641="HKD",Settings!$B$23,1)))</f>
      </c>
      <c r="O641">
        <f>IF($J641="",0,($M641-$L641+IF($A641=2,$H641,0))*$N641)</f>
      </c>
      <c r="P641">
        <f>IF($J641="",0,IF($A641=2,$H641*$N641,0))</f>
      </c>
    </row>
    <row r="642" spans="1:16" ht="15" customHeight="1" x14ac:dyDescent="0.15">
      <c r="A642" s="242"/>
      <c r="B642" s="242"/>
      <c r="C642" s="242"/>
      <c r="D642" s="256"/>
      <c r="E642" s="242"/>
      <c r="F642" s="257"/>
      <c r="G642" s="242"/>
      <c r="H642" s="257"/>
      <c r="I642" s="242"/>
      <c r="J642" s="249">
        <f>IF(OR(B642="",C642="",E642=""),"",B642&amp;":"&amp;C642&amp;":"&amp;E642)</f>
      </c>
      <c r="K642" s="250">
        <f>IF(A642="","",A642*D642)</f>
      </c>
      <c r="L642" s="249">
        <f>IF(A642="","",IF(OR(A642=1,A642=0),H642,0))</f>
      </c>
      <c r="M642" s="249">
        <f>IF(A642="","",IF(A642=-1,H642,0))</f>
      </c>
      <c r="N642">
        <f>IF($E642="SGD",1,IF($E642="USD",Settings!$B$22,IF($E642="HKD",Settings!$B$23,1)))</f>
      </c>
      <c r="O642">
        <f>IF($J642="",0,($M642-$L642+IF($A642=2,$H642,0))*$N642)</f>
      </c>
      <c r="P642">
        <f>IF($J642="",0,IF($A642=2,$H642*$N642,0))</f>
      </c>
    </row>
    <row r="643" spans="1:16" ht="15" customHeight="1" x14ac:dyDescent="0.15">
      <c r="A643" s="242"/>
      <c r="B643" s="242"/>
      <c r="C643" s="242"/>
      <c r="D643" s="256"/>
      <c r="E643" s="242"/>
      <c r="F643" s="257"/>
      <c r="G643" s="242"/>
      <c r="H643" s="257"/>
      <c r="I643" s="242"/>
      <c r="J643" s="249">
        <f>IF(OR(B643="",C643="",E643=""),"",B643&amp;":"&amp;C643&amp;":"&amp;E643)</f>
      </c>
      <c r="K643" s="250">
        <f>IF(A643="","",A643*D643)</f>
      </c>
      <c r="L643" s="249">
        <f>IF(A643="","",IF(OR(A643=1,A643=0),H643,0))</f>
      </c>
      <c r="M643" s="249">
        <f>IF(A643="","",IF(A643=-1,H643,0))</f>
      </c>
      <c r="N643">
        <f>IF($E643="SGD",1,IF($E643="USD",Settings!$B$22,IF($E643="HKD",Settings!$B$23,1)))</f>
      </c>
      <c r="O643">
        <f>IF($J643="",0,($M643-$L643+IF($A643=2,$H643,0))*$N643)</f>
      </c>
      <c r="P643">
        <f>IF($J643="",0,IF($A643=2,$H643*$N643,0))</f>
      </c>
    </row>
    <row r="644" spans="1:16" ht="15" customHeight="1" x14ac:dyDescent="0.15">
      <c r="A644" s="242"/>
      <c r="B644" s="242"/>
      <c r="C644" s="242"/>
      <c r="D644" s="256"/>
      <c r="E644" s="242"/>
      <c r="F644" s="257"/>
      <c r="G644" s="242"/>
      <c r="H644" s="257"/>
      <c r="I644" s="242"/>
      <c r="J644" s="249">
        <f>IF(OR(B644="",C644="",E644=""),"",B644&amp;":"&amp;C644&amp;":"&amp;E644)</f>
      </c>
      <c r="K644" s="250">
        <f>IF(A644="","",A644*D644)</f>
      </c>
      <c r="L644" s="249">
        <f>IF(A644="","",IF(OR(A644=1,A644=0),H644,0))</f>
      </c>
      <c r="M644" s="249">
        <f>IF(A644="","",IF(A644=-1,H644,0))</f>
      </c>
      <c r="N644">
        <f>IF($E644="SGD",1,IF($E644="USD",Settings!$B$22,IF($E644="HKD",Settings!$B$23,1)))</f>
      </c>
      <c r="O644">
        <f>IF($J644="",0,($M644-$L644+IF($A644=2,$H644,0))*$N644)</f>
      </c>
      <c r="P644">
        <f>IF($J644="",0,IF($A644=2,$H644*$N644,0))</f>
      </c>
    </row>
    <row r="645" spans="1:16" ht="15" customHeight="1" x14ac:dyDescent="0.15">
      <c r="A645" s="242"/>
      <c r="B645" s="242"/>
      <c r="C645" s="242"/>
      <c r="D645" s="256"/>
      <c r="E645" s="242"/>
      <c r="F645" s="257"/>
      <c r="G645" s="242"/>
      <c r="H645" s="257"/>
      <c r="I645" s="242"/>
      <c r="J645" s="249">
        <f>IF(OR(B645="",C645="",E645=""),"",B645&amp;":"&amp;C645&amp;":"&amp;E645)</f>
      </c>
      <c r="K645" s="250">
        <f>IF(A645="","",A645*D645)</f>
      </c>
      <c r="L645" s="249">
        <f>IF(A645="","",IF(OR(A645=1,A645=0),H645,0))</f>
      </c>
      <c r="M645" s="249">
        <f>IF(A645="","",IF(A645=-1,H645,0))</f>
      </c>
      <c r="N645">
        <f>IF($E645="SGD",1,IF($E645="USD",Settings!$B$22,IF($E645="HKD",Settings!$B$23,1)))</f>
      </c>
      <c r="O645">
        <f>IF($J645="",0,($M645-$L645+IF($A645=2,$H645,0))*$N645)</f>
      </c>
      <c r="P645">
        <f>IF($J645="",0,IF($A645=2,$H645*$N645,0))</f>
      </c>
    </row>
    <row r="646" spans="1:16" ht="15" customHeight="1" x14ac:dyDescent="0.15">
      <c r="A646" s="242"/>
      <c r="B646" s="242"/>
      <c r="C646" s="242"/>
      <c r="D646" s="256"/>
      <c r="E646" s="242"/>
      <c r="F646" s="257"/>
      <c r="G646" s="242"/>
      <c r="H646" s="257"/>
      <c r="I646" s="242"/>
      <c r="J646" s="249">
        <f>IF(OR(B646="",C646="",E646=""),"",B646&amp;":"&amp;C646&amp;":"&amp;E646)</f>
      </c>
      <c r="K646" s="250">
        <f>IF(A646="","",A646*D646)</f>
      </c>
      <c r="L646" s="249">
        <f>IF(A646="","",IF(OR(A646=1,A646=0),H646,0))</f>
      </c>
      <c r="M646" s="249">
        <f>IF(A646="","",IF(A646=-1,H646,0))</f>
      </c>
      <c r="N646">
        <f>IF($E646="SGD",1,IF($E646="USD",Settings!$B$22,IF($E646="HKD",Settings!$B$23,1)))</f>
      </c>
      <c r="O646">
        <f>IF($J646="",0,($M646-$L646+IF($A646=2,$H646,0))*$N646)</f>
      </c>
      <c r="P646">
        <f>IF($J646="",0,IF($A646=2,$H646*$N646,0))</f>
      </c>
    </row>
    <row r="647" spans="1:16" ht="15" customHeight="1" x14ac:dyDescent="0.15">
      <c r="A647" s="242"/>
      <c r="B647" s="242"/>
      <c r="C647" s="242"/>
      <c r="D647" s="256"/>
      <c r="E647" s="242"/>
      <c r="F647" s="257"/>
      <c r="G647" s="242"/>
      <c r="H647" s="257"/>
      <c r="I647" s="242"/>
      <c r="J647" s="249">
        <f>IF(OR(B647="",C647="",E647=""),"",B647&amp;":"&amp;C647&amp;":"&amp;E647)</f>
      </c>
      <c r="K647" s="250">
        <f>IF(A647="","",A647*D647)</f>
      </c>
      <c r="L647" s="249">
        <f>IF(A647="","",IF(OR(A647=1,A647=0),H647,0))</f>
      </c>
      <c r="M647" s="249">
        <f>IF(A647="","",IF(A647=-1,H647,0))</f>
      </c>
      <c r="N647">
        <f>IF($E647="SGD",1,IF($E647="USD",Settings!$B$22,IF($E647="HKD",Settings!$B$23,1)))</f>
      </c>
      <c r="O647">
        <f>IF($J647="",0,($M647-$L647+IF($A647=2,$H647,0))*$N647)</f>
      </c>
      <c r="P647">
        <f>IF($J647="",0,IF($A647=2,$H647*$N647,0))</f>
      </c>
    </row>
    <row r="648" spans="1:16" ht="15" customHeight="1" x14ac:dyDescent="0.15">
      <c r="A648" s="242"/>
      <c r="B648" s="242"/>
      <c r="C648" s="242"/>
      <c r="D648" s="256"/>
      <c r="E648" s="242"/>
      <c r="F648" s="257"/>
      <c r="G648" s="242"/>
      <c r="H648" s="257"/>
      <c r="I648" s="242"/>
      <c r="J648" s="249">
        <f>IF(OR(B648="",C648="",E648=""),"",B648&amp;":"&amp;C648&amp;":"&amp;E648)</f>
      </c>
      <c r="K648" s="250">
        <f>IF(A648="","",A648*D648)</f>
      </c>
      <c r="L648" s="249">
        <f>IF(A648="","",IF(OR(A648=1,A648=0),H648,0))</f>
      </c>
      <c r="M648" s="249">
        <f>IF(A648="","",IF(A648=-1,H648,0))</f>
      </c>
      <c r="N648">
        <f>IF($E648="SGD",1,IF($E648="USD",Settings!$B$22,IF($E648="HKD",Settings!$B$23,1)))</f>
      </c>
      <c r="O648">
        <f>IF($J648="",0,($M648-$L648+IF($A648=2,$H648,0))*$N648)</f>
      </c>
      <c r="P648">
        <f>IF($J648="",0,IF($A648=2,$H648*$N648,0))</f>
      </c>
    </row>
    <row r="649" spans="1:16" ht="15" customHeight="1" x14ac:dyDescent="0.15">
      <c r="A649" s="242"/>
      <c r="B649" s="242"/>
      <c r="C649" s="242"/>
      <c r="D649" s="256"/>
      <c r="E649" s="242"/>
      <c r="F649" s="257"/>
      <c r="G649" s="242"/>
      <c r="H649" s="257"/>
      <c r="I649" s="242"/>
      <c r="J649" s="249">
        <f>IF(OR(B649="",C649="",E649=""),"",B649&amp;":"&amp;C649&amp;":"&amp;E649)</f>
      </c>
      <c r="K649" s="250">
        <f>IF(A649="","",A649*D649)</f>
      </c>
      <c r="L649" s="249">
        <f>IF(A649="","",IF(OR(A649=1,A649=0),H649,0))</f>
      </c>
      <c r="M649" s="249">
        <f>IF(A649="","",IF(A649=-1,H649,0))</f>
      </c>
      <c r="N649">
        <f>IF($E649="SGD",1,IF($E649="USD",Settings!$B$22,IF($E649="HKD",Settings!$B$23,1)))</f>
      </c>
      <c r="O649">
        <f>IF($J649="",0,($M649-$L649+IF($A649=2,$H649,0))*$N649)</f>
      </c>
      <c r="P649">
        <f>IF($J649="",0,IF($A649=2,$H649*$N649,0))</f>
      </c>
    </row>
    <row r="650" spans="1:16" ht="15" customHeight="1" x14ac:dyDescent="0.15">
      <c r="A650" s="242"/>
      <c r="B650" s="242"/>
      <c r="C650" s="242"/>
      <c r="D650" s="256"/>
      <c r="E650" s="242"/>
      <c r="F650" s="257"/>
      <c r="G650" s="242"/>
      <c r="H650" s="257"/>
      <c r="I650" s="242"/>
      <c r="J650" s="249">
        <f>IF(OR(B650="",C650="",E650=""),"",B650&amp;":"&amp;C650&amp;":"&amp;E650)</f>
      </c>
      <c r="K650" s="250">
        <f>IF(A650="","",A650*D650)</f>
      </c>
      <c r="L650" s="249">
        <f>IF(A650="","",IF(OR(A650=1,A650=0),H650,0))</f>
      </c>
      <c r="M650" s="249">
        <f>IF(A650="","",IF(A650=-1,H650,0))</f>
      </c>
      <c r="N650">
        <f>IF($E650="SGD",1,IF($E650="USD",Settings!$B$22,IF($E650="HKD",Settings!$B$23,1)))</f>
      </c>
      <c r="O650">
        <f>IF($J650="",0,($M650-$L650+IF($A650=2,$H650,0))*$N650)</f>
      </c>
      <c r="P650">
        <f>IF($J650="",0,IF($A650=2,$H650*$N650,0))</f>
      </c>
    </row>
    <row r="651" spans="1:16" ht="15" customHeight="1" x14ac:dyDescent="0.15">
      <c r="A651" s="242"/>
      <c r="B651" s="242"/>
      <c r="C651" s="242"/>
      <c r="D651" s="256"/>
      <c r="E651" s="242"/>
      <c r="F651" s="257"/>
      <c r="G651" s="242"/>
      <c r="H651" s="257"/>
      <c r="I651" s="242"/>
      <c r="J651" s="249">
        <f>IF(OR(B651="",C651="",E651=""),"",B651&amp;":"&amp;C651&amp;":"&amp;E651)</f>
      </c>
      <c r="K651" s="250">
        <f>IF(A651="","",A651*D651)</f>
      </c>
      <c r="L651" s="249">
        <f>IF(A651="","",IF(OR(A651=1,A651=0),H651,0))</f>
      </c>
      <c r="M651" s="249">
        <f>IF(A651="","",IF(A651=-1,H651,0))</f>
      </c>
      <c r="N651">
        <f>IF($E651="SGD",1,IF($E651="USD",Settings!$B$22,IF($E651="HKD",Settings!$B$23,1)))</f>
      </c>
      <c r="O651">
        <f>IF($J651="",0,($M651-$L651+IF($A651=2,$H651,0))*$N651)</f>
      </c>
      <c r="P651">
        <f>IF($J651="",0,IF($A651=2,$H651*$N651,0))</f>
      </c>
    </row>
    <row r="652" spans="1:16" ht="15" customHeight="1" x14ac:dyDescent="0.15">
      <c r="A652" s="242"/>
      <c r="B652" s="242"/>
      <c r="C652" s="242"/>
      <c r="D652" s="256"/>
      <c r="E652" s="242"/>
      <c r="F652" s="257"/>
      <c r="G652" s="242"/>
      <c r="H652" s="257"/>
      <c r="I652" s="242"/>
      <c r="J652" s="249">
        <f>IF(OR(B652="",C652="",E652=""),"",B652&amp;":"&amp;C652&amp;":"&amp;E652)</f>
      </c>
      <c r="K652" s="250">
        <f>IF(A652="","",A652*D652)</f>
      </c>
      <c r="L652" s="249">
        <f>IF(A652="","",IF(OR(A652=1,A652=0),H652,0))</f>
      </c>
      <c r="M652" s="249">
        <f>IF(A652="","",IF(A652=-1,H652,0))</f>
      </c>
      <c r="N652">
        <f>IF($E652="SGD",1,IF($E652="USD",Settings!$B$22,IF($E652="HKD",Settings!$B$23,1)))</f>
      </c>
      <c r="O652">
        <f>IF($J652="",0,($M652-$L652+IF($A652=2,$H652,0))*$N652)</f>
      </c>
      <c r="P652">
        <f>IF($J652="",0,IF($A652=2,$H652*$N652,0))</f>
      </c>
    </row>
    <row r="653" spans="1:16" ht="15" customHeight="1" x14ac:dyDescent="0.15">
      <c r="A653" s="242"/>
      <c r="B653" s="242"/>
      <c r="C653" s="242"/>
      <c r="D653" s="256"/>
      <c r="E653" s="242"/>
      <c r="F653" s="257"/>
      <c r="G653" s="242"/>
      <c r="H653" s="257"/>
      <c r="I653" s="242"/>
      <c r="J653" s="249">
        <f>IF(OR(B653="",C653="",E653=""),"",B653&amp;":"&amp;C653&amp;":"&amp;E653)</f>
      </c>
      <c r="K653" s="250">
        <f>IF(A653="","",A653*D653)</f>
      </c>
      <c r="L653" s="249">
        <f>IF(A653="","",IF(OR(A653=1,A653=0),H653,0))</f>
      </c>
      <c r="M653" s="249">
        <f>IF(A653="","",IF(A653=-1,H653,0))</f>
      </c>
      <c r="N653">
        <f>IF($E653="SGD",1,IF($E653="USD",Settings!$B$22,IF($E653="HKD",Settings!$B$23,1)))</f>
      </c>
      <c r="O653">
        <f>IF($J653="",0,($M653-$L653+IF($A653=2,$H653,0))*$N653)</f>
      </c>
      <c r="P653">
        <f>IF($J653="",0,IF($A653=2,$H653*$N653,0))</f>
      </c>
    </row>
    <row r="654" spans="1:16" ht="15" customHeight="1" x14ac:dyDescent="0.15">
      <c r="A654" s="242"/>
      <c r="B654" s="242"/>
      <c r="C654" s="242"/>
      <c r="D654" s="256"/>
      <c r="E654" s="242"/>
      <c r="F654" s="257"/>
      <c r="G654" s="242"/>
      <c r="H654" s="257"/>
      <c r="I654" s="242"/>
      <c r="J654" s="249">
        <f>IF(OR(B654="",C654="",E654=""),"",B654&amp;":"&amp;C654&amp;":"&amp;E654)</f>
      </c>
      <c r="K654" s="250">
        <f>IF(A654="","",A654*D654)</f>
      </c>
      <c r="L654" s="249">
        <f>IF(A654="","",IF(OR(A654=1,A654=0),H654,0))</f>
      </c>
      <c r="M654" s="249">
        <f>IF(A654="","",IF(A654=-1,H654,0))</f>
      </c>
      <c r="N654">
        <f>IF($E654="SGD",1,IF($E654="USD",Settings!$B$22,IF($E654="HKD",Settings!$B$23,1)))</f>
      </c>
      <c r="O654">
        <f>IF($J654="",0,($M654-$L654+IF($A654=2,$H654,0))*$N654)</f>
      </c>
      <c r="P654">
        <f>IF($J654="",0,IF($A654=2,$H654*$N654,0))</f>
      </c>
    </row>
    <row r="655" spans="1:16" ht="15" customHeight="1" x14ac:dyDescent="0.15">
      <c r="A655" s="242"/>
      <c r="B655" s="242"/>
      <c r="C655" s="242"/>
      <c r="D655" s="256"/>
      <c r="E655" s="242"/>
      <c r="F655" s="257"/>
      <c r="G655" s="242"/>
      <c r="H655" s="257"/>
      <c r="I655" s="242"/>
      <c r="J655" s="249">
        <f>IF(OR(B655="",C655="",E655=""),"",B655&amp;":"&amp;C655&amp;":"&amp;E655)</f>
      </c>
      <c r="K655" s="250">
        <f>IF(A655="","",A655*D655)</f>
      </c>
      <c r="L655" s="249">
        <f>IF(A655="","",IF(OR(A655=1,A655=0),H655,0))</f>
      </c>
      <c r="M655" s="249">
        <f>IF(A655="","",IF(A655=-1,H655,0))</f>
      </c>
      <c r="N655">
        <f>IF($E655="SGD",1,IF($E655="USD",Settings!$B$22,IF($E655="HKD",Settings!$B$23,1)))</f>
      </c>
      <c r="O655">
        <f>IF($J655="",0,($M655-$L655+IF($A655=2,$H655,0))*$N655)</f>
      </c>
      <c r="P655">
        <f>IF($J655="",0,IF($A655=2,$H655*$N655,0))</f>
      </c>
    </row>
    <row r="656" spans="1:16" ht="15" customHeight="1" x14ac:dyDescent="0.15">
      <c r="A656" s="242"/>
      <c r="B656" s="242"/>
      <c r="C656" s="242"/>
      <c r="D656" s="256"/>
      <c r="E656" s="242"/>
      <c r="F656" s="257"/>
      <c r="G656" s="242"/>
      <c r="H656" s="257"/>
      <c r="I656" s="242"/>
      <c r="J656" s="249">
        <f>IF(OR(B656="",C656="",E656=""),"",B656&amp;":"&amp;C656&amp;":"&amp;E656)</f>
      </c>
      <c r="K656" s="250">
        <f>IF(A656="","",A656*D656)</f>
      </c>
      <c r="L656" s="249">
        <f>IF(A656="","",IF(OR(A656=1,A656=0),H656,0))</f>
      </c>
      <c r="M656" s="249">
        <f>IF(A656="","",IF(A656=-1,H656,0))</f>
      </c>
      <c r="N656">
        <f>IF($E656="SGD",1,IF($E656="USD",Settings!$B$22,IF($E656="HKD",Settings!$B$23,1)))</f>
      </c>
      <c r="O656">
        <f>IF($J656="",0,($M656-$L656+IF($A656=2,$H656,0))*$N656)</f>
      </c>
      <c r="P656">
        <f>IF($J656="",0,IF($A656=2,$H656*$N656,0))</f>
      </c>
    </row>
    <row r="657" spans="1:16" ht="15" customHeight="1" x14ac:dyDescent="0.15">
      <c r="A657" s="242"/>
      <c r="B657" s="242"/>
      <c r="C657" s="242"/>
      <c r="D657" s="256"/>
      <c r="E657" s="242"/>
      <c r="F657" s="257"/>
      <c r="G657" s="242"/>
      <c r="H657" s="257"/>
      <c r="I657" s="242"/>
      <c r="J657" s="249">
        <f>IF(OR(B657="",C657="",E657=""),"",B657&amp;":"&amp;C657&amp;":"&amp;E657)</f>
      </c>
      <c r="K657" s="250">
        <f>IF(A657="","",A657*D657)</f>
      </c>
      <c r="L657" s="249">
        <f>IF(A657="","",IF(OR(A657=1,A657=0),H657,0))</f>
      </c>
      <c r="M657" s="249">
        <f>IF(A657="","",IF(A657=-1,H657,0))</f>
      </c>
      <c r="N657">
        <f>IF($E657="SGD",1,IF($E657="USD",Settings!$B$22,IF($E657="HKD",Settings!$B$23,1)))</f>
      </c>
      <c r="O657">
        <f>IF($J657="",0,($M657-$L657+IF($A657=2,$H657,0))*$N657)</f>
      </c>
      <c r="P657">
        <f>IF($J657="",0,IF($A657=2,$H657*$N657,0))</f>
      </c>
    </row>
    <row r="658" spans="1:16" ht="15" customHeight="1" x14ac:dyDescent="0.15">
      <c r="A658" s="242"/>
      <c r="B658" s="242"/>
      <c r="C658" s="242"/>
      <c r="D658" s="256"/>
      <c r="E658" s="242"/>
      <c r="F658" s="257"/>
      <c r="G658" s="242"/>
      <c r="H658" s="257"/>
      <c r="I658" s="242"/>
      <c r="J658" s="249">
        <f>IF(OR(B658="",C658="",E658=""),"",B658&amp;":"&amp;C658&amp;":"&amp;E658)</f>
      </c>
      <c r="K658" s="250">
        <f>IF(A658="","",A658*D658)</f>
      </c>
      <c r="L658" s="249">
        <f>IF(A658="","",IF(OR(A658=1,A658=0),H658,0))</f>
      </c>
      <c r="M658" s="249">
        <f>IF(A658="","",IF(A658=-1,H658,0))</f>
      </c>
      <c r="N658">
        <f>IF($E658="SGD",1,IF($E658="USD",Settings!$B$22,IF($E658="HKD",Settings!$B$23,1)))</f>
      </c>
      <c r="O658">
        <f>IF($J658="",0,($M658-$L658+IF($A658=2,$H658,0))*$N658)</f>
      </c>
      <c r="P658">
        <f>IF($J658="",0,IF($A658=2,$H658*$N658,0))</f>
      </c>
    </row>
    <row r="659" spans="1:16" ht="15" customHeight="1" x14ac:dyDescent="0.15">
      <c r="A659" s="242"/>
      <c r="B659" s="242"/>
      <c r="C659" s="242"/>
      <c r="D659" s="256"/>
      <c r="E659" s="242"/>
      <c r="F659" s="257"/>
      <c r="G659" s="242"/>
      <c r="H659" s="257"/>
      <c r="I659" s="242"/>
      <c r="J659" s="249">
        <f>IF(OR(B659="",C659="",E659=""),"",B659&amp;":"&amp;C659&amp;":"&amp;E659)</f>
      </c>
      <c r="K659" s="250">
        <f>IF(A659="","",A659*D659)</f>
      </c>
      <c r="L659" s="249">
        <f>IF(A659="","",IF(OR(A659=1,A659=0),H659,0))</f>
      </c>
      <c r="M659" s="249">
        <f>IF(A659="","",IF(A659=-1,H659,0))</f>
      </c>
      <c r="N659">
        <f>IF($E659="SGD",1,IF($E659="USD",Settings!$B$22,IF($E659="HKD",Settings!$B$23,1)))</f>
      </c>
      <c r="O659">
        <f>IF($J659="",0,($M659-$L659+IF($A659=2,$H659,0))*$N659)</f>
      </c>
      <c r="P659">
        <f>IF($J659="",0,IF($A659=2,$H659*$N659,0))</f>
      </c>
    </row>
    <row r="660" spans="1:16" ht="15" customHeight="1" x14ac:dyDescent="0.15">
      <c r="A660" s="242"/>
      <c r="B660" s="242"/>
      <c r="C660" s="242"/>
      <c r="D660" s="256"/>
      <c r="E660" s="242"/>
      <c r="F660" s="257"/>
      <c r="G660" s="242"/>
      <c r="H660" s="257"/>
      <c r="I660" s="242"/>
      <c r="J660" s="249">
        <f>IF(OR(B660="",C660="",E660=""),"",B660&amp;":"&amp;C660&amp;":"&amp;E660)</f>
      </c>
      <c r="K660" s="250">
        <f>IF(A660="","",A660*D660)</f>
      </c>
      <c r="L660" s="249">
        <f>IF(A660="","",IF(OR(A660=1,A660=0),H660,0))</f>
      </c>
      <c r="M660" s="249">
        <f>IF(A660="","",IF(A660=-1,H660,0))</f>
      </c>
      <c r="N660">
        <f>IF($E660="SGD",1,IF($E660="USD",Settings!$B$22,IF($E660="HKD",Settings!$B$23,1)))</f>
      </c>
      <c r="O660">
        <f>IF($J660="",0,($M660-$L660+IF($A660=2,$H660,0))*$N660)</f>
      </c>
      <c r="P660">
        <f>IF($J660="",0,IF($A660=2,$H660*$N660,0))</f>
      </c>
    </row>
    <row r="661" spans="1:16" ht="15" customHeight="1" x14ac:dyDescent="0.15">
      <c r="A661" s="242"/>
      <c r="B661" s="242"/>
      <c r="C661" s="242"/>
      <c r="D661" s="256"/>
      <c r="E661" s="242"/>
      <c r="F661" s="257"/>
      <c r="G661" s="242"/>
      <c r="H661" s="257"/>
      <c r="I661" s="242"/>
      <c r="J661" s="249">
        <f>IF(OR(B661="",C661="",E661=""),"",B661&amp;":"&amp;C661&amp;":"&amp;E661)</f>
      </c>
      <c r="K661" s="250">
        <f>IF(A661="","",A661*D661)</f>
      </c>
      <c r="L661" s="249">
        <f>IF(A661="","",IF(OR(A661=1,A661=0),H661,0))</f>
      </c>
      <c r="M661" s="249">
        <f>IF(A661="","",IF(A661=-1,H661,0))</f>
      </c>
      <c r="N661">
        <f>IF($E661="SGD",1,IF($E661="USD",Settings!$B$22,IF($E661="HKD",Settings!$B$23,1)))</f>
      </c>
      <c r="O661">
        <f>IF($J661="",0,($M661-$L661+IF($A661=2,$H661,0))*$N661)</f>
      </c>
      <c r="P661">
        <f>IF($J661="",0,IF($A661=2,$H661*$N661,0))</f>
      </c>
    </row>
    <row r="662" spans="1:16" ht="15" customHeight="1" x14ac:dyDescent="0.15">
      <c r="A662" s="242"/>
      <c r="B662" s="242"/>
      <c r="C662" s="242"/>
      <c r="D662" s="256"/>
      <c r="E662" s="242"/>
      <c r="F662" s="257"/>
      <c r="G662" s="242"/>
      <c r="H662" s="257"/>
      <c r="I662" s="242"/>
      <c r="J662" s="249">
        <f>IF(OR(B662="",C662="",E662=""),"",B662&amp;":"&amp;C662&amp;":"&amp;E662)</f>
      </c>
      <c r="K662" s="250">
        <f>IF(A662="","",A662*D662)</f>
      </c>
      <c r="L662" s="249">
        <f>IF(A662="","",IF(OR(A662=1,A662=0),H662,0))</f>
      </c>
      <c r="M662" s="249">
        <f>IF(A662="","",IF(A662=-1,H662,0))</f>
      </c>
      <c r="N662">
        <f>IF($E662="SGD",1,IF($E662="USD",Settings!$B$22,IF($E662="HKD",Settings!$B$23,1)))</f>
      </c>
      <c r="O662">
        <f>IF($J662="",0,($M662-$L662+IF($A662=2,$H662,0))*$N662)</f>
      </c>
      <c r="P662">
        <f>IF($J662="",0,IF($A662=2,$H662*$N662,0))</f>
      </c>
    </row>
    <row r="663" spans="1:16" ht="15" customHeight="1" x14ac:dyDescent="0.15">
      <c r="A663" s="242"/>
      <c r="B663" s="242"/>
      <c r="C663" s="242"/>
      <c r="D663" s="256"/>
      <c r="E663" s="242"/>
      <c r="F663" s="257"/>
      <c r="G663" s="242"/>
      <c r="H663" s="257"/>
      <c r="I663" s="242"/>
      <c r="J663" s="249">
        <f>IF(OR(B663="",C663="",E663=""),"",B663&amp;":"&amp;C663&amp;":"&amp;E663)</f>
      </c>
      <c r="K663" s="250">
        <f>IF(A663="","",A663*D663)</f>
      </c>
      <c r="L663" s="249">
        <f>IF(A663="","",IF(OR(A663=1,A663=0),H663,0))</f>
      </c>
      <c r="M663" s="249">
        <f>IF(A663="","",IF(A663=-1,H663,0))</f>
      </c>
      <c r="N663">
        <f>IF($E663="SGD",1,IF($E663="USD",Settings!$B$22,IF($E663="HKD",Settings!$B$23,1)))</f>
      </c>
      <c r="O663">
        <f>IF($J663="",0,($M663-$L663+IF($A663=2,$H663,0))*$N663)</f>
      </c>
      <c r="P663">
        <f>IF($J663="",0,IF($A663=2,$H663*$N663,0))</f>
      </c>
    </row>
    <row r="664" spans="1:16" ht="15" customHeight="1" x14ac:dyDescent="0.15">
      <c r="A664" s="242"/>
      <c r="B664" s="242"/>
      <c r="C664" s="242"/>
      <c r="D664" s="256"/>
      <c r="E664" s="242"/>
      <c r="F664" s="257"/>
      <c r="G664" s="242"/>
      <c r="H664" s="257"/>
      <c r="I664" s="242"/>
      <c r="J664" s="249">
        <f>IF(OR(B664="",C664="",E664=""),"",B664&amp;":"&amp;C664&amp;":"&amp;E664)</f>
      </c>
      <c r="K664" s="250">
        <f>IF(A664="","",A664*D664)</f>
      </c>
      <c r="L664" s="249">
        <f>IF(A664="","",IF(OR(A664=1,A664=0),H664,0))</f>
      </c>
      <c r="M664" s="249">
        <f>IF(A664="","",IF(A664=-1,H664,0))</f>
      </c>
      <c r="N664">
        <f>IF($E664="SGD",1,IF($E664="USD",Settings!$B$22,IF($E664="HKD",Settings!$B$23,1)))</f>
      </c>
      <c r="O664">
        <f>IF($J664="",0,($M664-$L664+IF($A664=2,$H664,0))*$N664)</f>
      </c>
      <c r="P664">
        <f>IF($J664="",0,IF($A664=2,$H664*$N664,0))</f>
      </c>
    </row>
    <row r="665" spans="1:16" ht="15" customHeight="1" x14ac:dyDescent="0.15">
      <c r="A665" s="242"/>
      <c r="B665" s="242"/>
      <c r="C665" s="242"/>
      <c r="D665" s="256"/>
      <c r="E665" s="242"/>
      <c r="F665" s="257"/>
      <c r="G665" s="242"/>
      <c r="H665" s="257"/>
      <c r="I665" s="242"/>
      <c r="J665" s="249">
        <f>IF(OR(B665="",C665="",E665=""),"",B665&amp;":"&amp;C665&amp;":"&amp;E665)</f>
      </c>
      <c r="K665" s="250">
        <f>IF(A665="","",A665*D665)</f>
      </c>
      <c r="L665" s="249">
        <f>IF(A665="","",IF(OR(A665=1,A665=0),H665,0))</f>
      </c>
      <c r="M665" s="249">
        <f>IF(A665="","",IF(A665=-1,H665,0))</f>
      </c>
      <c r="N665">
        <f>IF($E665="SGD",1,IF($E665="USD",Settings!$B$22,IF($E665="HKD",Settings!$B$23,1)))</f>
      </c>
      <c r="O665">
        <f>IF($J665="",0,($M665-$L665+IF($A665=2,$H665,0))*$N665)</f>
      </c>
      <c r="P665">
        <f>IF($J665="",0,IF($A665=2,$H665*$N665,0))</f>
      </c>
    </row>
    <row r="666" spans="1:16" ht="15" customHeight="1" x14ac:dyDescent="0.15">
      <c r="A666" s="242"/>
      <c r="B666" s="242"/>
      <c r="C666" s="242"/>
      <c r="D666" s="256"/>
      <c r="E666" s="242"/>
      <c r="F666" s="257"/>
      <c r="G666" s="242"/>
      <c r="H666" s="257"/>
      <c r="I666" s="242"/>
      <c r="J666" s="249">
        <f>IF(OR(B666="",C666="",E666=""),"",B666&amp;":"&amp;C666&amp;":"&amp;E666)</f>
      </c>
      <c r="K666" s="250">
        <f>IF(A666="","",A666*D666)</f>
      </c>
      <c r="L666" s="249">
        <f>IF(A666="","",IF(OR(A666=1,A666=0),H666,0))</f>
      </c>
      <c r="M666" s="249">
        <f>IF(A666="","",IF(A666=-1,H666,0))</f>
      </c>
      <c r="N666">
        <f>IF($E666="SGD",1,IF($E666="USD",Settings!$B$22,IF($E666="HKD",Settings!$B$23,1)))</f>
      </c>
      <c r="O666">
        <f>IF($J666="",0,($M666-$L666+IF($A666=2,$H666,0))*$N666)</f>
      </c>
      <c r="P666">
        <f>IF($J666="",0,IF($A666=2,$H666*$N666,0))</f>
      </c>
    </row>
    <row r="667" spans="1:16" ht="15" customHeight="1" x14ac:dyDescent="0.15">
      <c r="A667" s="242"/>
      <c r="B667" s="242"/>
      <c r="C667" s="242"/>
      <c r="D667" s="256"/>
      <c r="E667" s="242"/>
      <c r="F667" s="257"/>
      <c r="G667" s="242"/>
      <c r="H667" s="257"/>
      <c r="I667" s="242"/>
      <c r="J667" s="249">
        <f>IF(OR(B667="",C667="",E667=""),"",B667&amp;":"&amp;C667&amp;":"&amp;E667)</f>
      </c>
      <c r="K667" s="250">
        <f>IF(A667="","",A667*D667)</f>
      </c>
      <c r="L667" s="249">
        <f>IF(A667="","",IF(OR(A667=1,A667=0),H667,0))</f>
      </c>
      <c r="M667" s="249">
        <f>IF(A667="","",IF(A667=-1,H667,0))</f>
      </c>
      <c r="N667">
        <f>IF($E667="SGD",1,IF($E667="USD",Settings!$B$22,IF($E667="HKD",Settings!$B$23,1)))</f>
      </c>
      <c r="O667">
        <f>IF($J667="",0,($M667-$L667+IF($A667=2,$H667,0))*$N667)</f>
      </c>
      <c r="P667">
        <f>IF($J667="",0,IF($A667=2,$H667*$N667,0))</f>
      </c>
    </row>
    <row r="668" spans="1:16" ht="15" customHeight="1" x14ac:dyDescent="0.15">
      <c r="A668" s="242"/>
      <c r="B668" s="242"/>
      <c r="C668" s="242"/>
      <c r="D668" s="256"/>
      <c r="E668" s="242"/>
      <c r="F668" s="257"/>
      <c r="G668" s="242"/>
      <c r="H668" s="257"/>
      <c r="I668" s="242"/>
      <c r="J668" s="249">
        <f>IF(OR(B668="",C668="",E668=""),"",B668&amp;":"&amp;C668&amp;":"&amp;E668)</f>
      </c>
      <c r="K668" s="250">
        <f>IF(A668="","",A668*D668)</f>
      </c>
      <c r="L668" s="249">
        <f>IF(A668="","",IF(OR(A668=1,A668=0),H668,0))</f>
      </c>
      <c r="M668" s="249">
        <f>IF(A668="","",IF(A668=-1,H668,0))</f>
      </c>
      <c r="N668">
        <f>IF($E668="SGD",1,IF($E668="USD",Settings!$B$22,IF($E668="HKD",Settings!$B$23,1)))</f>
      </c>
      <c r="O668">
        <f>IF($J668="",0,($M668-$L668+IF($A668=2,$H668,0))*$N668)</f>
      </c>
      <c r="P668">
        <f>IF($J668="",0,IF($A668=2,$H668*$N668,0))</f>
      </c>
    </row>
    <row r="669" spans="1:16" ht="15" customHeight="1" x14ac:dyDescent="0.15">
      <c r="A669" s="242"/>
      <c r="B669" s="242"/>
      <c r="C669" s="242"/>
      <c r="D669" s="256"/>
      <c r="E669" s="242"/>
      <c r="F669" s="257"/>
      <c r="G669" s="242"/>
      <c r="H669" s="257"/>
      <c r="I669" s="242"/>
      <c r="J669" s="249">
        <f>IF(OR(B669="",C669="",E669=""),"",B669&amp;":"&amp;C669&amp;":"&amp;E669)</f>
      </c>
      <c r="K669" s="250">
        <f>IF(A669="","",A669*D669)</f>
      </c>
      <c r="L669" s="249">
        <f>IF(A669="","",IF(OR(A669=1,A669=0),H669,0))</f>
      </c>
      <c r="M669" s="249">
        <f>IF(A669="","",IF(A669=-1,H669,0))</f>
      </c>
      <c r="N669">
        <f>IF($E669="SGD",1,IF($E669="USD",Settings!$B$22,IF($E669="HKD",Settings!$B$23,1)))</f>
      </c>
      <c r="O669">
        <f>IF($J669="",0,($M669-$L669+IF($A669=2,$H669,0))*$N669)</f>
      </c>
      <c r="P669">
        <f>IF($J669="",0,IF($A669=2,$H669*$N669,0))</f>
      </c>
    </row>
    <row r="670" spans="1:16" ht="15" customHeight="1" x14ac:dyDescent="0.15">
      <c r="A670" s="242"/>
      <c r="B670" s="242"/>
      <c r="C670" s="242"/>
      <c r="D670" s="256"/>
      <c r="E670" s="242"/>
      <c r="F670" s="257"/>
      <c r="G670" s="242"/>
      <c r="H670" s="257"/>
      <c r="I670" s="242"/>
      <c r="J670" s="249">
        <f>IF(OR(B670="",C670="",E670=""),"",B670&amp;":"&amp;C670&amp;":"&amp;E670)</f>
      </c>
      <c r="K670" s="250">
        <f>IF(A670="","",A670*D670)</f>
      </c>
      <c r="L670" s="249">
        <f>IF(A670="","",IF(OR(A670=1,A670=0),H670,0))</f>
      </c>
      <c r="M670" s="249">
        <f>IF(A670="","",IF(A670=-1,H670,0))</f>
      </c>
      <c r="N670">
        <f>IF($E670="SGD",1,IF($E670="USD",Settings!$B$22,IF($E670="HKD",Settings!$B$23,1)))</f>
      </c>
      <c r="O670">
        <f>IF($J670="",0,($M670-$L670+IF($A670=2,$H670,0))*$N670)</f>
      </c>
      <c r="P670">
        <f>IF($J670="",0,IF($A670=2,$H670*$N670,0))</f>
      </c>
    </row>
    <row r="671" spans="1:16" ht="15" customHeight="1" x14ac:dyDescent="0.15">
      <c r="A671" s="242"/>
      <c r="B671" s="242"/>
      <c r="C671" s="242"/>
      <c r="D671" s="256"/>
      <c r="E671" s="242"/>
      <c r="F671" s="257"/>
      <c r="G671" s="242"/>
      <c r="H671" s="257"/>
      <c r="I671" s="242"/>
      <c r="J671" s="249">
        <f>IF(OR(B671="",C671="",E671=""),"",B671&amp;":"&amp;C671&amp;":"&amp;E671)</f>
      </c>
      <c r="K671" s="250">
        <f>IF(A671="","",A671*D671)</f>
      </c>
      <c r="L671" s="249">
        <f>IF(A671="","",IF(OR(A671=1,A671=0),H671,0))</f>
      </c>
      <c r="M671" s="249">
        <f>IF(A671="","",IF(A671=-1,H671,0))</f>
      </c>
      <c r="N671">
        <f>IF($E671="SGD",1,IF($E671="USD",Settings!$B$22,IF($E671="HKD",Settings!$B$23,1)))</f>
      </c>
      <c r="O671">
        <f>IF($J671="",0,($M671-$L671+IF($A671=2,$H671,0))*$N671)</f>
      </c>
      <c r="P671">
        <f>IF($J671="",0,IF($A671=2,$H671*$N671,0))</f>
      </c>
    </row>
    <row r="672" spans="1:16" ht="15" customHeight="1" x14ac:dyDescent="0.15">
      <c r="A672" s="242"/>
      <c r="B672" s="242"/>
      <c r="C672" s="242"/>
      <c r="D672" s="256"/>
      <c r="E672" s="242"/>
      <c r="F672" s="257"/>
      <c r="G672" s="242"/>
      <c r="H672" s="257"/>
      <c r="I672" s="242"/>
      <c r="J672" s="249">
        <f>IF(OR(B672="",C672="",E672=""),"",B672&amp;":"&amp;C672&amp;":"&amp;E672)</f>
      </c>
      <c r="K672" s="250">
        <f>IF(A672="","",A672*D672)</f>
      </c>
      <c r="L672" s="249">
        <f>IF(A672="","",IF(OR(A672=1,A672=0),H672,0))</f>
      </c>
      <c r="M672" s="249">
        <f>IF(A672="","",IF(A672=-1,H672,0))</f>
      </c>
      <c r="N672">
        <f>IF($E672="SGD",1,IF($E672="USD",Settings!$B$22,IF($E672="HKD",Settings!$B$23,1)))</f>
      </c>
      <c r="O672">
        <f>IF($J672="",0,($M672-$L672+IF($A672=2,$H672,0))*$N672)</f>
      </c>
      <c r="P672">
        <f>IF($J672="",0,IF($A672=2,$H672*$N672,0))</f>
      </c>
    </row>
    <row r="673" spans="1:16" ht="15" customHeight="1" x14ac:dyDescent="0.15">
      <c r="A673" s="242"/>
      <c r="B673" s="242"/>
      <c r="C673" s="242"/>
      <c r="D673" s="256"/>
      <c r="E673" s="242"/>
      <c r="F673" s="257"/>
      <c r="G673" s="242"/>
      <c r="H673" s="257"/>
      <c r="I673" s="242"/>
      <c r="J673" s="249">
        <f>IF(OR(B673="",C673="",E673=""),"",B673&amp;":"&amp;C673&amp;":"&amp;E673)</f>
      </c>
      <c r="K673" s="250">
        <f>IF(A673="","",A673*D673)</f>
      </c>
      <c r="L673" s="249">
        <f>IF(A673="","",IF(OR(A673=1,A673=0),H673,0))</f>
      </c>
      <c r="M673" s="249">
        <f>IF(A673="","",IF(A673=-1,H673,0))</f>
      </c>
      <c r="N673">
        <f>IF($E673="SGD",1,IF($E673="USD",Settings!$B$22,IF($E673="HKD",Settings!$B$23,1)))</f>
      </c>
      <c r="O673">
        <f>IF($J673="",0,($M673-$L673+IF($A673=2,$H673,0))*$N673)</f>
      </c>
      <c r="P673">
        <f>IF($J673="",0,IF($A673=2,$H673*$N673,0))</f>
      </c>
    </row>
    <row r="674" spans="1:16" ht="15" customHeight="1" x14ac:dyDescent="0.15">
      <c r="A674" s="242"/>
      <c r="B674" s="242"/>
      <c r="C674" s="242"/>
      <c r="D674" s="256"/>
      <c r="E674" s="242"/>
      <c r="F674" s="257"/>
      <c r="G674" s="242"/>
      <c r="H674" s="257"/>
      <c r="I674" s="242"/>
      <c r="J674" s="249">
        <f>IF(OR(B674="",C674="",E674=""),"",B674&amp;":"&amp;C674&amp;":"&amp;E674)</f>
      </c>
      <c r="K674" s="250">
        <f>IF(A674="","",A674*D674)</f>
      </c>
      <c r="L674" s="249">
        <f>IF(A674="","",IF(OR(A674=1,A674=0),H674,0))</f>
      </c>
      <c r="M674" s="249">
        <f>IF(A674="","",IF(A674=-1,H674,0))</f>
      </c>
      <c r="N674">
        <f>IF($E674="SGD",1,IF($E674="USD",Settings!$B$22,IF($E674="HKD",Settings!$B$23,1)))</f>
      </c>
      <c r="O674">
        <f>IF($J674="",0,($M674-$L674+IF($A674=2,$H674,0))*$N674)</f>
      </c>
      <c r="P674">
        <f>IF($J674="",0,IF($A674=2,$H674*$N674,0))</f>
      </c>
    </row>
    <row r="675" spans="1:16" ht="15" customHeight="1" x14ac:dyDescent="0.15">
      <c r="A675" s="242"/>
      <c r="B675" s="242"/>
      <c r="C675" s="242"/>
      <c r="D675" s="256"/>
      <c r="E675" s="242"/>
      <c r="F675" s="257"/>
      <c r="G675" s="242"/>
      <c r="H675" s="257"/>
      <c r="I675" s="242"/>
      <c r="J675" s="249">
        <f>IF(OR(B675="",C675="",E675=""),"",B675&amp;":"&amp;C675&amp;":"&amp;E675)</f>
      </c>
      <c r="K675" s="250">
        <f>IF(A675="","",A675*D675)</f>
      </c>
      <c r="L675" s="249">
        <f>IF(A675="","",IF(OR(A675=1,A675=0),H675,0))</f>
      </c>
      <c r="M675" s="249">
        <f>IF(A675="","",IF(A675=-1,H675,0))</f>
      </c>
      <c r="N675">
        <f>IF($E675="SGD",1,IF($E675="USD",Settings!$B$22,IF($E675="HKD",Settings!$B$23,1)))</f>
      </c>
      <c r="O675">
        <f>IF($J675="",0,($M675-$L675+IF($A675=2,$H675,0))*$N675)</f>
      </c>
      <c r="P675">
        <f>IF($J675="",0,IF($A675=2,$H675*$N675,0))</f>
      </c>
    </row>
    <row r="676" spans="1:16" ht="15" customHeight="1" x14ac:dyDescent="0.15">
      <c r="A676" s="242"/>
      <c r="B676" s="242"/>
      <c r="C676" s="242"/>
      <c r="D676" s="256"/>
      <c r="E676" s="242"/>
      <c r="F676" s="257"/>
      <c r="G676" s="242"/>
      <c r="H676" s="257"/>
      <c r="I676" s="242"/>
      <c r="J676" s="249">
        <f>IF(OR(B676="",C676="",E676=""),"",B676&amp;":"&amp;C676&amp;":"&amp;E676)</f>
      </c>
      <c r="K676" s="250">
        <f>IF(A676="","",A676*D676)</f>
      </c>
      <c r="L676" s="249">
        <f>IF(A676="","",IF(OR(A676=1,A676=0),H676,0))</f>
      </c>
      <c r="M676" s="249">
        <f>IF(A676="","",IF(A676=-1,H676,0))</f>
      </c>
      <c r="N676">
        <f>IF($E676="SGD",1,IF($E676="USD",Settings!$B$22,IF($E676="HKD",Settings!$B$23,1)))</f>
      </c>
      <c r="O676">
        <f>IF($J676="",0,($M676-$L676+IF($A676=2,$H676,0))*$N676)</f>
      </c>
      <c r="P676">
        <f>IF($J676="",0,IF($A676=2,$H676*$N676,0))</f>
      </c>
    </row>
    <row r="677" spans="1:16" ht="15" customHeight="1" x14ac:dyDescent="0.15">
      <c r="A677" s="242"/>
      <c r="B677" s="242"/>
      <c r="C677" s="242"/>
      <c r="D677" s="256"/>
      <c r="E677" s="242"/>
      <c r="F677" s="257"/>
      <c r="G677" s="242"/>
      <c r="H677" s="257"/>
      <c r="I677" s="242"/>
      <c r="J677" s="249">
        <f>IF(OR(B677="",C677="",E677=""),"",B677&amp;":"&amp;C677&amp;":"&amp;E677)</f>
      </c>
      <c r="K677" s="250">
        <f>IF(A677="","",A677*D677)</f>
      </c>
      <c r="L677" s="249">
        <f>IF(A677="","",IF(OR(A677=1,A677=0),H677,0))</f>
      </c>
      <c r="M677" s="249">
        <f>IF(A677="","",IF(A677=-1,H677,0))</f>
      </c>
      <c r="N677">
        <f>IF($E677="SGD",1,IF($E677="USD",Settings!$B$22,IF($E677="HKD",Settings!$B$23,1)))</f>
      </c>
      <c r="O677">
        <f>IF($J677="",0,($M677-$L677+IF($A677=2,$H677,0))*$N677)</f>
      </c>
      <c r="P677">
        <f>IF($J677="",0,IF($A677=2,$H677*$N677,0))</f>
      </c>
    </row>
    <row r="678" spans="1:16" ht="15" customHeight="1" x14ac:dyDescent="0.15">
      <c r="A678" s="242"/>
      <c r="B678" s="242"/>
      <c r="C678" s="242"/>
      <c r="D678" s="256"/>
      <c r="E678" s="242"/>
      <c r="F678" s="257"/>
      <c r="G678" s="242"/>
      <c r="H678" s="257"/>
      <c r="I678" s="242"/>
      <c r="J678" s="249">
        <f>IF(OR(B678="",C678="",E678=""),"",B678&amp;":"&amp;C678&amp;":"&amp;E678)</f>
      </c>
      <c r="K678" s="250">
        <f>IF(A678="","",A678*D678)</f>
      </c>
      <c r="L678" s="249">
        <f>IF(A678="","",IF(OR(A678=1,A678=0),H678,0))</f>
      </c>
      <c r="M678" s="249">
        <f>IF(A678="","",IF(A678=-1,H678,0))</f>
      </c>
      <c r="N678">
        <f>IF($E678="SGD",1,IF($E678="USD",Settings!$B$22,IF($E678="HKD",Settings!$B$23,1)))</f>
      </c>
      <c r="O678">
        <f>IF($J678="",0,($M678-$L678+IF($A678=2,$H678,0))*$N678)</f>
      </c>
      <c r="P678">
        <f>IF($J678="",0,IF($A678=2,$H678*$N678,0))</f>
      </c>
    </row>
    <row r="679" spans="1:16" ht="15" customHeight="1" x14ac:dyDescent="0.15">
      <c r="A679" s="242"/>
      <c r="B679" s="242"/>
      <c r="C679" s="242"/>
      <c r="D679" s="256"/>
      <c r="E679" s="242"/>
      <c r="F679" s="257"/>
      <c r="G679" s="242"/>
      <c r="H679" s="257"/>
      <c r="I679" s="242"/>
      <c r="J679" s="249">
        <f>IF(OR(B679="",C679="",E679=""),"",B679&amp;":"&amp;C679&amp;":"&amp;E679)</f>
      </c>
      <c r="K679" s="250">
        <f>IF(A679="","",A679*D679)</f>
      </c>
      <c r="L679" s="249">
        <f>IF(A679="","",IF(OR(A679=1,A679=0),H679,0))</f>
      </c>
      <c r="M679" s="249">
        <f>IF(A679="","",IF(A679=-1,H679,0))</f>
      </c>
      <c r="N679">
        <f>IF($E679="SGD",1,IF($E679="USD",Settings!$B$22,IF($E679="HKD",Settings!$B$23,1)))</f>
      </c>
      <c r="O679">
        <f>IF($J679="",0,($M679-$L679+IF($A679=2,$H679,0))*$N679)</f>
      </c>
      <c r="P679">
        <f>IF($J679="",0,IF($A679=2,$H679*$N679,0))</f>
      </c>
    </row>
    <row r="680" spans="1:16" ht="15" customHeight="1" x14ac:dyDescent="0.15">
      <c r="A680" s="242"/>
      <c r="B680" s="242"/>
      <c r="C680" s="242"/>
      <c r="D680" s="256"/>
      <c r="E680" s="242"/>
      <c r="F680" s="257"/>
      <c r="G680" s="242"/>
      <c r="H680" s="257"/>
      <c r="I680" s="242"/>
      <c r="J680" s="249">
        <f>IF(OR(B680="",C680="",E680=""),"",B680&amp;":"&amp;C680&amp;":"&amp;E680)</f>
      </c>
      <c r="K680" s="250">
        <f>IF(A680="","",A680*D680)</f>
      </c>
      <c r="L680" s="249">
        <f>IF(A680="","",IF(OR(A680=1,A680=0),H680,0))</f>
      </c>
      <c r="M680" s="249">
        <f>IF(A680="","",IF(A680=-1,H680,0))</f>
      </c>
      <c r="N680">
        <f>IF($E680="SGD",1,IF($E680="USD",Settings!$B$22,IF($E680="HKD",Settings!$B$23,1)))</f>
      </c>
      <c r="O680">
        <f>IF($J680="",0,($M680-$L680+IF($A680=2,$H680,0))*$N680)</f>
      </c>
      <c r="P680">
        <f>IF($J680="",0,IF($A680=2,$H680*$N680,0))</f>
      </c>
    </row>
    <row r="681" spans="1:16" ht="15" customHeight="1" x14ac:dyDescent="0.15">
      <c r="A681" s="242"/>
      <c r="B681" s="242"/>
      <c r="C681" s="242"/>
      <c r="D681" s="256"/>
      <c r="E681" s="242"/>
      <c r="F681" s="257"/>
      <c r="G681" s="242"/>
      <c r="H681" s="257"/>
      <c r="I681" s="242"/>
      <c r="J681" s="249">
        <f>IF(OR(B681="",C681="",E681=""),"",B681&amp;":"&amp;C681&amp;":"&amp;E681)</f>
      </c>
      <c r="K681" s="250">
        <f>IF(A681="","",A681*D681)</f>
      </c>
      <c r="L681" s="249">
        <f>IF(A681="","",IF(OR(A681=1,A681=0),H681,0))</f>
      </c>
      <c r="M681" s="249">
        <f>IF(A681="","",IF(A681=-1,H681,0))</f>
      </c>
      <c r="N681">
        <f>IF($E681="SGD",1,IF($E681="USD",Settings!$B$22,IF($E681="HKD",Settings!$B$23,1)))</f>
      </c>
      <c r="O681">
        <f>IF($J681="",0,($M681-$L681+IF($A681=2,$H681,0))*$N681)</f>
      </c>
      <c r="P681">
        <f>IF($J681="",0,IF($A681=2,$H681*$N681,0))</f>
      </c>
    </row>
    <row r="682" spans="1:16" ht="15" customHeight="1" x14ac:dyDescent="0.15">
      <c r="A682" s="242"/>
      <c r="B682" s="242"/>
      <c r="C682" s="242"/>
      <c r="D682" s="256"/>
      <c r="E682" s="242"/>
      <c r="F682" s="257"/>
      <c r="G682" s="242"/>
      <c r="H682" s="257"/>
      <c r="I682" s="242"/>
      <c r="J682" s="249">
        <f>IF(OR(B682="",C682="",E682=""),"",B682&amp;":"&amp;C682&amp;":"&amp;E682)</f>
      </c>
      <c r="K682" s="250">
        <f>IF(A682="","",A682*D682)</f>
      </c>
      <c r="L682" s="249">
        <f>IF(A682="","",IF(OR(A682=1,A682=0),H682,0))</f>
      </c>
      <c r="M682" s="249">
        <f>IF(A682="","",IF(A682=-1,H682,0))</f>
      </c>
      <c r="N682">
        <f>IF($E682="SGD",1,IF($E682="USD",Settings!$B$22,IF($E682="HKD",Settings!$B$23,1)))</f>
      </c>
      <c r="O682">
        <f>IF($J682="",0,($M682-$L682+IF($A682=2,$H682,0))*$N682)</f>
      </c>
      <c r="P682">
        <f>IF($J682="",0,IF($A682=2,$H682*$N682,0))</f>
      </c>
    </row>
    <row r="683" spans="1:16" ht="15" customHeight="1" x14ac:dyDescent="0.15">
      <c r="A683" s="242"/>
      <c r="B683" s="242"/>
      <c r="C683" s="242"/>
      <c r="D683" s="256"/>
      <c r="E683" s="242"/>
      <c r="F683" s="257"/>
      <c r="G683" s="242"/>
      <c r="H683" s="257"/>
      <c r="I683" s="242"/>
      <c r="J683" s="249">
        <f>IF(OR(B683="",C683="",E683=""),"",B683&amp;":"&amp;C683&amp;":"&amp;E683)</f>
      </c>
      <c r="K683" s="250">
        <f>IF(A683="","",A683*D683)</f>
      </c>
      <c r="L683" s="249">
        <f>IF(A683="","",IF(OR(A683=1,A683=0),H683,0))</f>
      </c>
      <c r="M683" s="249">
        <f>IF(A683="","",IF(A683=-1,H683,0))</f>
      </c>
      <c r="N683">
        <f>IF($E683="SGD",1,IF($E683="USD",Settings!$B$22,IF($E683="HKD",Settings!$B$23,1)))</f>
      </c>
      <c r="O683">
        <f>IF($J683="",0,($M683-$L683+IF($A683=2,$H683,0))*$N683)</f>
      </c>
      <c r="P683">
        <f>IF($J683="",0,IF($A683=2,$H683*$N683,0))</f>
      </c>
    </row>
    <row r="684" spans="1:16" ht="15" customHeight="1" x14ac:dyDescent="0.15">
      <c r="A684" s="242"/>
      <c r="B684" s="242"/>
      <c r="C684" s="242"/>
      <c r="D684" s="256"/>
      <c r="E684" s="242"/>
      <c r="F684" s="257"/>
      <c r="G684" s="242"/>
      <c r="H684" s="257"/>
      <c r="I684" s="242"/>
      <c r="J684" s="249">
        <f>IF(OR(B684="",C684="",E684=""),"",B684&amp;":"&amp;C684&amp;":"&amp;E684)</f>
      </c>
      <c r="K684" s="250">
        <f>IF(A684="","",A684*D684)</f>
      </c>
      <c r="L684" s="249">
        <f>IF(A684="","",IF(OR(A684=1,A684=0),H684,0))</f>
      </c>
      <c r="M684" s="249">
        <f>IF(A684="","",IF(A684=-1,H684,0))</f>
      </c>
      <c r="N684">
        <f>IF($E684="SGD",1,IF($E684="USD",Settings!$B$22,IF($E684="HKD",Settings!$B$23,1)))</f>
      </c>
      <c r="O684">
        <f>IF($J684="",0,($M684-$L684+IF($A684=2,$H684,0))*$N684)</f>
      </c>
      <c r="P684">
        <f>IF($J684="",0,IF($A684=2,$H684*$N684,0))</f>
      </c>
    </row>
    <row r="685" spans="1:16" ht="15" customHeight="1" x14ac:dyDescent="0.15">
      <c r="A685" s="242"/>
      <c r="B685" s="242"/>
      <c r="C685" s="242"/>
      <c r="D685" s="256"/>
      <c r="E685" s="242"/>
      <c r="F685" s="257"/>
      <c r="G685" s="242"/>
      <c r="H685" s="257"/>
      <c r="I685" s="242"/>
      <c r="J685" s="249">
        <f>IF(OR(B685="",C685="",E685=""),"",B685&amp;":"&amp;C685&amp;":"&amp;E685)</f>
      </c>
      <c r="K685" s="250">
        <f>IF(A685="","",A685*D685)</f>
      </c>
      <c r="L685" s="249">
        <f>IF(A685="","",IF(OR(A685=1,A685=0),H685,0))</f>
      </c>
      <c r="M685" s="249">
        <f>IF(A685="","",IF(A685=-1,H685,0))</f>
      </c>
      <c r="N685">
        <f>IF($E685="SGD",1,IF($E685="USD",Settings!$B$22,IF($E685="HKD",Settings!$B$23,1)))</f>
      </c>
      <c r="O685">
        <f>IF($J685="",0,($M685-$L685+IF($A685=2,$H685,0))*$N685)</f>
      </c>
      <c r="P685">
        <f>IF($J685="",0,IF($A685=2,$H685*$N685,0))</f>
      </c>
    </row>
    <row r="686" spans="1:16" ht="15" customHeight="1" x14ac:dyDescent="0.15">
      <c r="A686" s="242"/>
      <c r="B686" s="242"/>
      <c r="C686" s="242"/>
      <c r="D686" s="256"/>
      <c r="E686" s="242"/>
      <c r="F686" s="257"/>
      <c r="G686" s="242"/>
      <c r="H686" s="257"/>
      <c r="I686" s="242"/>
      <c r="J686" s="249">
        <f>IF(OR(B686="",C686="",E686=""),"",B686&amp;":"&amp;C686&amp;":"&amp;E686)</f>
      </c>
      <c r="K686" s="250">
        <f>IF(A686="","",A686*D686)</f>
      </c>
      <c r="L686" s="249">
        <f>IF(A686="","",IF(OR(A686=1,A686=0),H686,0))</f>
      </c>
      <c r="M686" s="249">
        <f>IF(A686="","",IF(A686=-1,H686,0))</f>
      </c>
      <c r="N686">
        <f>IF($E686="SGD",1,IF($E686="USD",Settings!$B$22,IF($E686="HKD",Settings!$B$23,1)))</f>
      </c>
      <c r="O686">
        <f>IF($J686="",0,($M686-$L686+IF($A686=2,$H686,0))*$N686)</f>
      </c>
      <c r="P686">
        <f>IF($J686="",0,IF($A686=2,$H686*$N686,0))</f>
      </c>
    </row>
    <row r="687" spans="1:16" ht="15" customHeight="1" x14ac:dyDescent="0.15">
      <c r="A687" s="242"/>
      <c r="B687" s="242"/>
      <c r="C687" s="242"/>
      <c r="D687" s="256"/>
      <c r="E687" s="242"/>
      <c r="F687" s="257"/>
      <c r="G687" s="242"/>
      <c r="H687" s="257"/>
      <c r="I687" s="242"/>
      <c r="J687" s="249">
        <f>IF(OR(B687="",C687="",E687=""),"",B687&amp;":"&amp;C687&amp;":"&amp;E687)</f>
      </c>
      <c r="K687" s="250">
        <f>IF(A687="","",A687*D687)</f>
      </c>
      <c r="L687" s="249">
        <f>IF(A687="","",IF(OR(A687=1,A687=0),H687,0))</f>
      </c>
      <c r="M687" s="249">
        <f>IF(A687="","",IF(A687=-1,H687,0))</f>
      </c>
      <c r="N687">
        <f>IF($E687="SGD",1,IF($E687="USD",Settings!$B$22,IF($E687="HKD",Settings!$B$23,1)))</f>
      </c>
      <c r="O687">
        <f>IF($J687="",0,($M687-$L687+IF($A687=2,$H687,0))*$N687)</f>
      </c>
      <c r="P687">
        <f>IF($J687="",0,IF($A687=2,$H687*$N687,0))</f>
      </c>
    </row>
    <row r="688" spans="1:16" ht="15" customHeight="1" x14ac:dyDescent="0.15">
      <c r="A688" s="242"/>
      <c r="B688" s="242"/>
      <c r="C688" s="242"/>
      <c r="D688" s="256"/>
      <c r="E688" s="242"/>
      <c r="F688" s="257"/>
      <c r="G688" s="242"/>
      <c r="H688" s="257"/>
      <c r="I688" s="242"/>
      <c r="J688" s="249">
        <f>IF(OR(B688="",C688="",E688=""),"",B688&amp;":"&amp;C688&amp;":"&amp;E688)</f>
      </c>
      <c r="K688" s="250">
        <f>IF(A688="","",A688*D688)</f>
      </c>
      <c r="L688" s="249">
        <f>IF(A688="","",IF(OR(A688=1,A688=0),H688,0))</f>
      </c>
      <c r="M688" s="249">
        <f>IF(A688="","",IF(A688=-1,H688,0))</f>
      </c>
      <c r="N688">
        <f>IF($E688="SGD",1,IF($E688="USD",Settings!$B$22,IF($E688="HKD",Settings!$B$23,1)))</f>
      </c>
      <c r="O688">
        <f>IF($J688="",0,($M688-$L688+IF($A688=2,$H688,0))*$N688)</f>
      </c>
      <c r="P688">
        <f>IF($J688="",0,IF($A688=2,$H688*$N688,0))</f>
      </c>
    </row>
    <row r="689" spans="1:16" ht="15" customHeight="1" x14ac:dyDescent="0.15">
      <c r="A689" s="242"/>
      <c r="B689" s="242"/>
      <c r="C689" s="242"/>
      <c r="D689" s="256"/>
      <c r="E689" s="242"/>
      <c r="F689" s="257"/>
      <c r="G689" s="242"/>
      <c r="H689" s="257"/>
      <c r="I689" s="242"/>
      <c r="J689" s="249">
        <f>IF(OR(B689="",C689="",E689=""),"",B689&amp;":"&amp;C689&amp;":"&amp;E689)</f>
      </c>
      <c r="K689" s="250">
        <f>IF(A689="","",A689*D689)</f>
      </c>
      <c r="L689" s="249">
        <f>IF(A689="","",IF(OR(A689=1,A689=0),H689,0))</f>
      </c>
      <c r="M689" s="249">
        <f>IF(A689="","",IF(A689=-1,H689,0))</f>
      </c>
      <c r="N689">
        <f>IF($E689="SGD",1,IF($E689="USD",Settings!$B$22,IF($E689="HKD",Settings!$B$23,1)))</f>
      </c>
      <c r="O689">
        <f>IF($J689="",0,($M689-$L689+IF($A689=2,$H689,0))*$N689)</f>
      </c>
      <c r="P689">
        <f>IF($J689="",0,IF($A689=2,$H689*$N689,0))</f>
      </c>
    </row>
    <row r="690" spans="1:16" ht="15" customHeight="1" x14ac:dyDescent="0.15">
      <c r="A690" s="242"/>
      <c r="B690" s="242"/>
      <c r="C690" s="242"/>
      <c r="D690" s="256"/>
      <c r="E690" s="242"/>
      <c r="F690" s="257"/>
      <c r="G690" s="242"/>
      <c r="H690" s="257"/>
      <c r="I690" s="242"/>
      <c r="J690" s="249">
        <f>IF(OR(B690="",C690="",E690=""),"",B690&amp;":"&amp;C690&amp;":"&amp;E690)</f>
      </c>
      <c r="K690" s="250">
        <f>IF(A690="","",A690*D690)</f>
      </c>
      <c r="L690" s="249">
        <f>IF(A690="","",IF(OR(A690=1,A690=0),H690,0))</f>
      </c>
      <c r="M690" s="249">
        <f>IF(A690="","",IF(A690=-1,H690,0))</f>
      </c>
      <c r="N690">
        <f>IF($E690="SGD",1,IF($E690="USD",Settings!$B$22,IF($E690="HKD",Settings!$B$23,1)))</f>
      </c>
      <c r="O690">
        <f>IF($J690="",0,($M690-$L690+IF($A690=2,$H690,0))*$N690)</f>
      </c>
      <c r="P690">
        <f>IF($J690="",0,IF($A690=2,$H690*$N690,0))</f>
      </c>
    </row>
    <row r="691" spans="1:16" ht="15" customHeight="1" x14ac:dyDescent="0.15">
      <c r="A691" s="242"/>
      <c r="B691" s="242"/>
      <c r="C691" s="242"/>
      <c r="D691" s="256"/>
      <c r="E691" s="242"/>
      <c r="F691" s="257"/>
      <c r="G691" s="242"/>
      <c r="H691" s="257"/>
      <c r="I691" s="242"/>
      <c r="J691" s="249">
        <f>IF(OR(B691="",C691="",E691=""),"",B691&amp;":"&amp;C691&amp;":"&amp;E691)</f>
      </c>
      <c r="K691" s="250">
        <f>IF(A691="","",A691*D691)</f>
      </c>
      <c r="L691" s="249">
        <f>IF(A691="","",IF(OR(A691=1,A691=0),H691,0))</f>
      </c>
      <c r="M691" s="249">
        <f>IF(A691="","",IF(A691=-1,H691,0))</f>
      </c>
      <c r="N691">
        <f>IF($E691="SGD",1,IF($E691="USD",Settings!$B$22,IF($E691="HKD",Settings!$B$23,1)))</f>
      </c>
      <c r="O691">
        <f>IF($J691="",0,($M691-$L691+IF($A691=2,$H691,0))*$N691)</f>
      </c>
      <c r="P691">
        <f>IF($J691="",0,IF($A691=2,$H691*$N691,0))</f>
      </c>
    </row>
    <row r="692" spans="1:16" ht="15" customHeight="1" x14ac:dyDescent="0.15">
      <c r="A692" s="242"/>
      <c r="B692" s="242"/>
      <c r="C692" s="242"/>
      <c r="D692" s="256"/>
      <c r="E692" s="242"/>
      <c r="F692" s="257"/>
      <c r="G692" s="242"/>
      <c r="H692" s="257"/>
      <c r="I692" s="242"/>
      <c r="J692" s="249">
        <f>IF(OR(B692="",C692="",E692=""),"",B692&amp;":"&amp;C692&amp;":"&amp;E692)</f>
      </c>
      <c r="K692" s="250">
        <f>IF(A692="","",A692*D692)</f>
      </c>
      <c r="L692" s="249">
        <f>IF(A692="","",IF(OR(A692=1,A692=0),H692,0))</f>
      </c>
      <c r="M692" s="249">
        <f>IF(A692="","",IF(A692=-1,H692,0))</f>
      </c>
      <c r="N692">
        <f>IF($E692="SGD",1,IF($E692="USD",Settings!$B$22,IF($E692="HKD",Settings!$B$23,1)))</f>
      </c>
      <c r="O692">
        <f>IF($J692="",0,($M692-$L692+IF($A692=2,$H692,0))*$N692)</f>
      </c>
      <c r="P692">
        <f>IF($J692="",0,IF($A692=2,$H692*$N692,0))</f>
      </c>
    </row>
    <row r="693" spans="1:16" ht="15" customHeight="1" x14ac:dyDescent="0.15">
      <c r="A693" s="242"/>
      <c r="B693" s="242"/>
      <c r="C693" s="242"/>
      <c r="D693" s="256"/>
      <c r="E693" s="242"/>
      <c r="F693" s="257"/>
      <c r="G693" s="242"/>
      <c r="H693" s="257"/>
      <c r="I693" s="242"/>
      <c r="J693" s="249">
        <f>IF(OR(B693="",C693="",E693=""),"",B693&amp;":"&amp;C693&amp;":"&amp;E693)</f>
      </c>
      <c r="K693" s="250">
        <f>IF(A693="","",A693*D693)</f>
      </c>
      <c r="L693" s="249">
        <f>IF(A693="","",IF(OR(A693=1,A693=0),H693,0))</f>
      </c>
      <c r="M693" s="249">
        <f>IF(A693="","",IF(A693=-1,H693,0))</f>
      </c>
      <c r="N693">
        <f>IF($E693="SGD",1,IF($E693="USD",Settings!$B$22,IF($E693="HKD",Settings!$B$23,1)))</f>
      </c>
      <c r="O693">
        <f>IF($J693="",0,($M693-$L693+IF($A693=2,$H693,0))*$N693)</f>
      </c>
      <c r="P693">
        <f>IF($J693="",0,IF($A693=2,$H693*$N693,0))</f>
      </c>
    </row>
    <row r="694" spans="1:16" ht="15" customHeight="1" x14ac:dyDescent="0.15">
      <c r="A694" s="242"/>
      <c r="B694" s="242"/>
      <c r="C694" s="242"/>
      <c r="D694" s="256"/>
      <c r="E694" s="242"/>
      <c r="F694" s="257"/>
      <c r="G694" s="242"/>
      <c r="H694" s="257"/>
      <c r="I694" s="242"/>
      <c r="J694" s="249">
        <f>IF(OR(B694="",C694="",E694=""),"",B694&amp;":"&amp;C694&amp;":"&amp;E694)</f>
      </c>
      <c r="K694" s="250">
        <f>IF(A694="","",A694*D694)</f>
      </c>
      <c r="L694" s="249">
        <f>IF(A694="","",IF(OR(A694=1,A694=0),H694,0))</f>
      </c>
      <c r="M694" s="249">
        <f>IF(A694="","",IF(A694=-1,H694,0))</f>
      </c>
      <c r="N694">
        <f>IF($E694="SGD",1,IF($E694="USD",Settings!$B$22,IF($E694="HKD",Settings!$B$23,1)))</f>
      </c>
      <c r="O694">
        <f>IF($J694="",0,($M694-$L694+IF($A694=2,$H694,0))*$N694)</f>
      </c>
      <c r="P694">
        <f>IF($J694="",0,IF($A694=2,$H694*$N694,0))</f>
      </c>
    </row>
    <row r="695" spans="1:16" ht="15" customHeight="1" x14ac:dyDescent="0.15">
      <c r="A695" s="242"/>
      <c r="B695" s="242"/>
      <c r="C695" s="242"/>
      <c r="D695" s="256"/>
      <c r="E695" s="242"/>
      <c r="F695" s="257"/>
      <c r="G695" s="242"/>
      <c r="H695" s="257"/>
      <c r="I695" s="242"/>
      <c r="J695" s="249">
        <f>IF(OR(B695="",C695="",E695=""),"",B695&amp;":"&amp;C695&amp;":"&amp;E695)</f>
      </c>
      <c r="K695" s="250">
        <f>IF(A695="","",A695*D695)</f>
      </c>
      <c r="L695" s="249">
        <f>IF(A695="","",IF(OR(A695=1,A695=0),H695,0))</f>
      </c>
      <c r="M695" s="249">
        <f>IF(A695="","",IF(A695=-1,H695,0))</f>
      </c>
      <c r="N695">
        <f>IF($E695="SGD",1,IF($E695="USD",Settings!$B$22,IF($E695="HKD",Settings!$B$23,1)))</f>
      </c>
      <c r="O695">
        <f>IF($J695="",0,($M695-$L695+IF($A695=2,$H695,0))*$N695)</f>
      </c>
      <c r="P695">
        <f>IF($J695="",0,IF($A695=2,$H695*$N695,0))</f>
      </c>
    </row>
    <row r="696" spans="1:16" ht="15" customHeight="1" x14ac:dyDescent="0.15">
      <c r="A696" s="242"/>
      <c r="B696" s="242"/>
      <c r="C696" s="242"/>
      <c r="D696" s="256"/>
      <c r="E696" s="242"/>
      <c r="F696" s="257"/>
      <c r="G696" s="242"/>
      <c r="H696" s="257"/>
      <c r="I696" s="242"/>
      <c r="J696" s="249">
        <f>IF(OR(B696="",C696="",E696=""),"",B696&amp;":"&amp;C696&amp;":"&amp;E696)</f>
      </c>
      <c r="K696" s="250">
        <f>IF(A696="","",A696*D696)</f>
      </c>
      <c r="L696" s="249">
        <f>IF(A696="","",IF(OR(A696=1,A696=0),H696,0))</f>
      </c>
      <c r="M696" s="249">
        <f>IF(A696="","",IF(A696=-1,H696,0))</f>
      </c>
      <c r="N696">
        <f>IF($E696="SGD",1,IF($E696="USD",Settings!$B$22,IF($E696="HKD",Settings!$B$23,1)))</f>
      </c>
      <c r="O696">
        <f>IF($J696="",0,($M696-$L696+IF($A696=2,$H696,0))*$N696)</f>
      </c>
      <c r="P696">
        <f>IF($J696="",0,IF($A696=2,$H696*$N696,0))</f>
      </c>
    </row>
    <row r="697" spans="1:16" ht="15" customHeight="1" x14ac:dyDescent="0.15">
      <c r="A697" s="242"/>
      <c r="B697" s="242"/>
      <c r="C697" s="242"/>
      <c r="D697" s="256"/>
      <c r="E697" s="242"/>
      <c r="F697" s="257"/>
      <c r="G697" s="242"/>
      <c r="H697" s="257"/>
      <c r="I697" s="242"/>
      <c r="J697" s="249">
        <f>IF(OR(B697="",C697="",E697=""),"",B697&amp;":"&amp;C697&amp;":"&amp;E697)</f>
      </c>
      <c r="K697" s="250">
        <f>IF(A697="","",A697*D697)</f>
      </c>
      <c r="L697" s="249">
        <f>IF(A697="","",IF(OR(A697=1,A697=0),H697,0))</f>
      </c>
      <c r="M697" s="249">
        <f>IF(A697="","",IF(A697=-1,H697,0))</f>
      </c>
      <c r="N697">
        <f>IF($E697="SGD",1,IF($E697="USD",Settings!$B$22,IF($E697="HKD",Settings!$B$23,1)))</f>
      </c>
      <c r="O697">
        <f>IF($J697="",0,($M697-$L697+IF($A697=2,$H697,0))*$N697)</f>
      </c>
      <c r="P697">
        <f>IF($J697="",0,IF($A697=2,$H697*$N697,0))</f>
      </c>
    </row>
    <row r="698" spans="1:16" ht="15" customHeight="1" x14ac:dyDescent="0.15">
      <c r="A698" s="242"/>
      <c r="B698" s="242"/>
      <c r="C698" s="242"/>
      <c r="D698" s="256"/>
      <c r="E698" s="242"/>
      <c r="F698" s="257"/>
      <c r="G698" s="242"/>
      <c r="H698" s="257"/>
      <c r="I698" s="242"/>
      <c r="J698" s="249">
        <f>IF(OR(B698="",C698="",E698=""),"",B698&amp;":"&amp;C698&amp;":"&amp;E698)</f>
      </c>
      <c r="K698" s="250">
        <f>IF(A698="","",A698*D698)</f>
      </c>
      <c r="L698" s="249">
        <f>IF(A698="","",IF(OR(A698=1,A698=0),H698,0))</f>
      </c>
      <c r="M698" s="249">
        <f>IF(A698="","",IF(A698=-1,H698,0))</f>
      </c>
      <c r="N698">
        <f>IF($E698="SGD",1,IF($E698="USD",Settings!$B$22,IF($E698="HKD",Settings!$B$23,1)))</f>
      </c>
      <c r="O698">
        <f>IF($J698="",0,($M698-$L698+IF($A698=2,$H698,0))*$N698)</f>
      </c>
      <c r="P698">
        <f>IF($J698="",0,IF($A698=2,$H698*$N698,0))</f>
      </c>
    </row>
    <row r="699" spans="1:16" ht="15" customHeight="1" x14ac:dyDescent="0.15">
      <c r="A699" s="242"/>
      <c r="B699" s="242"/>
      <c r="C699" s="242"/>
      <c r="D699" s="256"/>
      <c r="E699" s="242"/>
      <c r="F699" s="257"/>
      <c r="G699" s="242"/>
      <c r="H699" s="257"/>
      <c r="I699" s="242"/>
      <c r="J699" s="249">
        <f>IF(OR(B699="",C699="",E699=""),"",B699&amp;":"&amp;C699&amp;":"&amp;E699)</f>
      </c>
      <c r="K699" s="250">
        <f>IF(A699="","",A699*D699)</f>
      </c>
      <c r="L699" s="249">
        <f>IF(A699="","",IF(OR(A699=1,A699=0),H699,0))</f>
      </c>
      <c r="M699" s="249">
        <f>IF(A699="","",IF(A699=-1,H699,0))</f>
      </c>
      <c r="N699">
        <f>IF($E699="SGD",1,IF($E699="USD",Settings!$B$22,IF($E699="HKD",Settings!$B$23,1)))</f>
      </c>
      <c r="O699">
        <f>IF($J699="",0,($M699-$L699+IF($A699=2,$H699,0))*$N699)</f>
      </c>
      <c r="P699">
        <f>IF($J699="",0,IF($A699=2,$H699*$N699,0))</f>
      </c>
    </row>
    <row r="700" spans="1:16" ht="15" customHeight="1" x14ac:dyDescent="0.15">
      <c r="A700" s="242"/>
      <c r="B700" s="242"/>
      <c r="C700" s="242"/>
      <c r="D700" s="256"/>
      <c r="E700" s="242"/>
      <c r="F700" s="257"/>
      <c r="G700" s="242"/>
      <c r="H700" s="257"/>
      <c r="I700" s="242"/>
      <c r="J700" s="249">
        <f>IF(OR(B700="",C700="",E700=""),"",B700&amp;":"&amp;C700&amp;":"&amp;E700)</f>
      </c>
      <c r="K700" s="250">
        <f>IF(A700="","",A700*D700)</f>
      </c>
      <c r="L700" s="249">
        <f>IF(A700="","",IF(OR(A700=1,A700=0),H700,0))</f>
      </c>
      <c r="M700" s="249">
        <f>IF(A700="","",IF(A700=-1,H700,0))</f>
      </c>
      <c r="N700">
        <f>IF($E700="SGD",1,IF($E700="USD",Settings!$B$22,IF($E700="HKD",Settings!$B$23,1)))</f>
      </c>
      <c r="O700">
        <f>IF($J700="",0,($M700-$L700+IF($A700=2,$H700,0))*$N700)</f>
      </c>
      <c r="P700">
        <f>IF($J700="",0,IF($A700=2,$H700*$N700,0))</f>
      </c>
    </row>
    <row r="701" spans="1:16" ht="15" customHeight="1" x14ac:dyDescent="0.15">
      <c r="A701" s="242"/>
      <c r="B701" s="242"/>
      <c r="C701" s="242"/>
      <c r="D701" s="256"/>
      <c r="E701" s="242"/>
      <c r="F701" s="257"/>
      <c r="G701" s="242"/>
      <c r="H701" s="257"/>
      <c r="I701" s="242"/>
      <c r="J701" s="249">
        <f>IF(OR(B701="",C701="",E701=""),"",B701&amp;":"&amp;C701&amp;":"&amp;E701)</f>
      </c>
      <c r="K701" s="250">
        <f>IF(A701="","",A701*D701)</f>
      </c>
      <c r="L701" s="249">
        <f>IF(A701="","",IF(OR(A701=1,A701=0),H701,0))</f>
      </c>
      <c r="M701" s="249">
        <f>IF(A701="","",IF(A701=-1,H701,0))</f>
      </c>
      <c r="N701">
        <f>IF($E701="SGD",1,IF($E701="USD",Settings!$B$22,IF($E701="HKD",Settings!$B$23,1)))</f>
      </c>
      <c r="O701">
        <f>IF($J701="",0,($M701-$L701+IF($A701=2,$H701,0))*$N701)</f>
      </c>
      <c r="P701">
        <f>IF($J701="",0,IF($A701=2,$H701*$N701,0))</f>
      </c>
    </row>
    <row r="702" spans="1:16" ht="15" customHeight="1" x14ac:dyDescent="0.15">
      <c r="A702" s="242"/>
      <c r="B702" s="242"/>
      <c r="C702" s="242"/>
      <c r="D702" s="256"/>
      <c r="E702" s="242"/>
      <c r="F702" s="257"/>
      <c r="G702" s="242"/>
      <c r="H702" s="257"/>
      <c r="I702" s="242"/>
      <c r="J702" s="249">
        <f>IF(OR(B702="",C702="",E702=""),"",B702&amp;":"&amp;C702&amp;":"&amp;E702)</f>
      </c>
      <c r="K702" s="250">
        <f>IF(A702="","",A702*D702)</f>
      </c>
      <c r="L702" s="249">
        <f>IF(A702="","",IF(OR(A702=1,A702=0),H702,0))</f>
      </c>
      <c r="M702" s="249">
        <f>IF(A702="","",IF(A702=-1,H702,0))</f>
      </c>
      <c r="N702">
        <f>IF($E702="SGD",1,IF($E702="USD",Settings!$B$22,IF($E702="HKD",Settings!$B$23,1)))</f>
      </c>
      <c r="O702">
        <f>IF($J702="",0,($M702-$L702+IF($A702=2,$H702,0))*$N702)</f>
      </c>
      <c r="P702">
        <f>IF($J702="",0,IF($A702=2,$H702*$N702,0))</f>
      </c>
    </row>
    <row r="703" spans="1:16" ht="15" customHeight="1" x14ac:dyDescent="0.15">
      <c r="A703" s="242"/>
      <c r="B703" s="242"/>
      <c r="C703" s="242"/>
      <c r="D703" s="256"/>
      <c r="E703" s="242"/>
      <c r="F703" s="257"/>
      <c r="G703" s="242"/>
      <c r="H703" s="257"/>
      <c r="I703" s="242"/>
      <c r="J703" s="249">
        <f>IF(OR(B703="",C703="",E703=""),"",B703&amp;":"&amp;C703&amp;":"&amp;E703)</f>
      </c>
      <c r="K703" s="250">
        <f>IF(A703="","",A703*D703)</f>
      </c>
      <c r="L703" s="249">
        <f>IF(A703="","",IF(OR(A703=1,A703=0),H703,0))</f>
      </c>
      <c r="M703" s="249">
        <f>IF(A703="","",IF(A703=-1,H703,0))</f>
      </c>
      <c r="N703">
        <f>IF($E703="SGD",1,IF($E703="USD",Settings!$B$22,IF($E703="HKD",Settings!$B$23,1)))</f>
      </c>
      <c r="O703">
        <f>IF($J703="",0,($M703-$L703+IF($A703=2,$H703,0))*$N703)</f>
      </c>
      <c r="P703">
        <f>IF($J703="",0,IF($A703=2,$H703*$N703,0))</f>
      </c>
    </row>
    <row r="704" spans="1:16" ht="15" customHeight="1" x14ac:dyDescent="0.15">
      <c r="A704" s="242"/>
      <c r="B704" s="242"/>
      <c r="C704" s="242"/>
      <c r="D704" s="256"/>
      <c r="E704" s="242"/>
      <c r="F704" s="257"/>
      <c r="G704" s="242"/>
      <c r="H704" s="257"/>
      <c r="I704" s="242"/>
      <c r="J704" s="249">
        <f>IF(OR(B704="",C704="",E704=""),"",B704&amp;":"&amp;C704&amp;":"&amp;E704)</f>
      </c>
      <c r="K704" s="250">
        <f>IF(A704="","",A704*D704)</f>
      </c>
      <c r="L704" s="249">
        <f>IF(A704="","",IF(OR(A704=1,A704=0),H704,0))</f>
      </c>
      <c r="M704" s="249">
        <f>IF(A704="","",IF(A704=-1,H704,0))</f>
      </c>
      <c r="N704">
        <f>IF($E704="SGD",1,IF($E704="USD",Settings!$B$22,IF($E704="HKD",Settings!$B$23,1)))</f>
      </c>
      <c r="O704">
        <f>IF($J704="",0,($M704-$L704+IF($A704=2,$H704,0))*$N704)</f>
      </c>
      <c r="P704">
        <f>IF($J704="",0,IF($A704=2,$H704*$N704,0))</f>
      </c>
    </row>
    <row r="705" spans="1:16" ht="15" customHeight="1" x14ac:dyDescent="0.15">
      <c r="A705" s="242"/>
      <c r="B705" s="242"/>
      <c r="C705" s="242"/>
      <c r="D705" s="256"/>
      <c r="E705" s="242"/>
      <c r="F705" s="257"/>
      <c r="G705" s="242"/>
      <c r="H705" s="257"/>
      <c r="I705" s="242"/>
      <c r="J705" s="249">
        <f>IF(OR(B705="",C705="",E705=""),"",B705&amp;":"&amp;C705&amp;":"&amp;E705)</f>
      </c>
      <c r="K705" s="250">
        <f>IF(A705="","",A705*D705)</f>
      </c>
      <c r="L705" s="249">
        <f>IF(A705="","",IF(OR(A705=1,A705=0),H705,0))</f>
      </c>
      <c r="M705" s="249">
        <f>IF(A705="","",IF(A705=-1,H705,0))</f>
      </c>
      <c r="N705">
        <f>IF($E705="SGD",1,IF($E705="USD",Settings!$B$22,IF($E705="HKD",Settings!$B$23,1)))</f>
      </c>
      <c r="O705">
        <f>IF($J705="",0,($M705-$L705+IF($A705=2,$H705,0))*$N705)</f>
      </c>
      <c r="P705">
        <f>IF($J705="",0,IF($A705=2,$H705*$N705,0))</f>
      </c>
    </row>
    <row r="706" spans="1:16" ht="15" customHeight="1" x14ac:dyDescent="0.15">
      <c r="A706" s="242"/>
      <c r="B706" s="242"/>
      <c r="C706" s="242"/>
      <c r="D706" s="256"/>
      <c r="E706" s="242"/>
      <c r="F706" s="257"/>
      <c r="G706" s="242"/>
      <c r="H706" s="257"/>
      <c r="I706" s="242"/>
      <c r="J706" s="249">
        <f>IF(OR(B706="",C706="",E706=""),"",B706&amp;":"&amp;C706&amp;":"&amp;E706)</f>
      </c>
      <c r="K706" s="250">
        <f>IF(A706="","",A706*D706)</f>
      </c>
      <c r="L706" s="249">
        <f>IF(A706="","",IF(OR(A706=1,A706=0),H706,0))</f>
      </c>
      <c r="M706" s="249">
        <f>IF(A706="","",IF(A706=-1,H706,0))</f>
      </c>
      <c r="N706">
        <f>IF($E706="SGD",1,IF($E706="USD",Settings!$B$22,IF($E706="HKD",Settings!$B$23,1)))</f>
      </c>
      <c r="O706">
        <f>IF($J706="",0,($M706-$L706+IF($A706=2,$H706,0))*$N706)</f>
      </c>
      <c r="P706">
        <f>IF($J706="",0,IF($A706=2,$H706*$N706,0))</f>
      </c>
    </row>
    <row r="707" spans="1:16" ht="15" customHeight="1" x14ac:dyDescent="0.15">
      <c r="A707" s="242"/>
      <c r="B707" s="242"/>
      <c r="C707" s="242"/>
      <c r="D707" s="256"/>
      <c r="E707" s="242"/>
      <c r="F707" s="257"/>
      <c r="G707" s="242"/>
      <c r="H707" s="257"/>
      <c r="I707" s="242"/>
      <c r="J707" s="249">
        <f>IF(OR(B707="",C707="",E707=""),"",B707&amp;":"&amp;C707&amp;":"&amp;E707)</f>
      </c>
      <c r="K707" s="250">
        <f>IF(A707="","",A707*D707)</f>
      </c>
      <c r="L707" s="249">
        <f>IF(A707="","",IF(OR(A707=1,A707=0),H707,0))</f>
      </c>
      <c r="M707" s="249">
        <f>IF(A707="","",IF(A707=-1,H707,0))</f>
      </c>
      <c r="N707">
        <f>IF($E707="SGD",1,IF($E707="USD",Settings!$B$22,IF($E707="HKD",Settings!$B$23,1)))</f>
      </c>
      <c r="O707">
        <f>IF($J707="",0,($M707-$L707+IF($A707=2,$H707,0))*$N707)</f>
      </c>
      <c r="P707">
        <f>IF($J707="",0,IF($A707=2,$H707*$N707,0))</f>
      </c>
    </row>
    <row r="708" spans="1:16" ht="15" customHeight="1" x14ac:dyDescent="0.15">
      <c r="A708" s="242"/>
      <c r="B708" s="242"/>
      <c r="C708" s="242"/>
      <c r="D708" s="256"/>
      <c r="E708" s="242"/>
      <c r="F708" s="257"/>
      <c r="G708" s="242"/>
      <c r="H708" s="257"/>
      <c r="I708" s="242"/>
      <c r="J708" s="249">
        <f>IF(OR(B708="",C708="",E708=""),"",B708&amp;":"&amp;C708&amp;":"&amp;E708)</f>
      </c>
      <c r="K708" s="250">
        <f>IF(A708="","",A708*D708)</f>
      </c>
      <c r="L708" s="249">
        <f>IF(A708="","",IF(OR(A708=1,A708=0),H708,0))</f>
      </c>
      <c r="M708" s="249">
        <f>IF(A708="","",IF(A708=-1,H708,0))</f>
      </c>
      <c r="N708">
        <f>IF($E708="SGD",1,IF($E708="USD",Settings!$B$22,IF($E708="HKD",Settings!$B$23,1)))</f>
      </c>
      <c r="O708">
        <f>IF($J708="",0,($M708-$L708+IF($A708=2,$H708,0))*$N708)</f>
      </c>
      <c r="P708">
        <f>IF($J708="",0,IF($A708=2,$H708*$N708,0))</f>
      </c>
    </row>
    <row r="709" spans="1:16" ht="15" customHeight="1" x14ac:dyDescent="0.15">
      <c r="A709" s="242"/>
      <c r="B709" s="242"/>
      <c r="C709" s="242"/>
      <c r="D709" s="256"/>
      <c r="E709" s="242"/>
      <c r="F709" s="257"/>
      <c r="G709" s="242"/>
      <c r="H709" s="257"/>
      <c r="I709" s="242"/>
      <c r="J709" s="249">
        <f>IF(OR(B709="",C709="",E709=""),"",B709&amp;":"&amp;C709&amp;":"&amp;E709)</f>
      </c>
      <c r="K709" s="250">
        <f>IF(A709="","",A709*D709)</f>
      </c>
      <c r="L709" s="249">
        <f>IF(A709="","",IF(OR(A709=1,A709=0),H709,0))</f>
      </c>
      <c r="M709" s="249">
        <f>IF(A709="","",IF(A709=-1,H709,0))</f>
      </c>
      <c r="N709">
        <f>IF($E709="SGD",1,IF($E709="USD",Settings!$B$22,IF($E709="HKD",Settings!$B$23,1)))</f>
      </c>
      <c r="O709">
        <f>IF($J709="",0,($M709-$L709+IF($A709=2,$H709,0))*$N709)</f>
      </c>
      <c r="P709">
        <f>IF($J709="",0,IF($A709=2,$H709*$N709,0))</f>
      </c>
    </row>
    <row r="710" spans="1:16" ht="15" customHeight="1" x14ac:dyDescent="0.15">
      <c r="A710" s="242"/>
      <c r="B710" s="242"/>
      <c r="C710" s="242"/>
      <c r="D710" s="256"/>
      <c r="E710" s="242"/>
      <c r="F710" s="257"/>
      <c r="G710" s="242"/>
      <c r="H710" s="257"/>
      <c r="I710" s="242"/>
      <c r="J710" s="249">
        <f>IF(OR(B710="",C710="",E710=""),"",B710&amp;":"&amp;C710&amp;":"&amp;E710)</f>
      </c>
      <c r="K710" s="250">
        <f>IF(A710="","",A710*D710)</f>
      </c>
      <c r="L710" s="249">
        <f>IF(A710="","",IF(OR(A710=1,A710=0),H710,0))</f>
      </c>
      <c r="M710" s="249">
        <f>IF(A710="","",IF(A710=-1,H710,0))</f>
      </c>
      <c r="N710">
        <f>IF($E710="SGD",1,IF($E710="USD",Settings!$B$22,IF($E710="HKD",Settings!$B$23,1)))</f>
      </c>
      <c r="O710">
        <f>IF($J710="",0,($M710-$L710+IF($A710=2,$H710,0))*$N710)</f>
      </c>
      <c r="P710">
        <f>IF($J710="",0,IF($A710=2,$H710*$N710,0))</f>
      </c>
    </row>
    <row r="711" spans="1:16" ht="15" customHeight="1" x14ac:dyDescent="0.15">
      <c r="A711" s="242"/>
      <c r="B711" s="242"/>
      <c r="C711" s="242"/>
      <c r="D711" s="256"/>
      <c r="E711" s="242"/>
      <c r="F711" s="257"/>
      <c r="G711" s="242"/>
      <c r="H711" s="257"/>
      <c r="I711" s="242"/>
      <c r="J711" s="249">
        <f>IF(OR(B711="",C711="",E711=""),"",B711&amp;":"&amp;C711&amp;":"&amp;E711)</f>
      </c>
      <c r="K711" s="250">
        <f>IF(A711="","",A711*D711)</f>
      </c>
      <c r="L711" s="249">
        <f>IF(A711="","",IF(OR(A711=1,A711=0),H711,0))</f>
      </c>
      <c r="M711" s="249">
        <f>IF(A711="","",IF(A711=-1,H711,0))</f>
      </c>
      <c r="N711">
        <f>IF($E711="SGD",1,IF($E711="USD",Settings!$B$22,IF($E711="HKD",Settings!$B$23,1)))</f>
      </c>
      <c r="O711">
        <f>IF($J711="",0,($M711-$L711+IF($A711=2,$H711,0))*$N711)</f>
      </c>
      <c r="P711">
        <f>IF($J711="",0,IF($A711=2,$H711*$N711,0))</f>
      </c>
    </row>
    <row r="712" spans="1:16" ht="15" customHeight="1" x14ac:dyDescent="0.15">
      <c r="A712" s="242"/>
      <c r="B712" s="242"/>
      <c r="C712" s="242"/>
      <c r="D712" s="256"/>
      <c r="E712" s="242"/>
      <c r="F712" s="257"/>
      <c r="G712" s="242"/>
      <c r="H712" s="257"/>
      <c r="I712" s="242"/>
      <c r="J712" s="249">
        <f>IF(OR(B712="",C712="",E712=""),"",B712&amp;":"&amp;C712&amp;":"&amp;E712)</f>
      </c>
      <c r="K712" s="250">
        <f>IF(A712="","",A712*D712)</f>
      </c>
      <c r="L712" s="249">
        <f>IF(A712="","",IF(OR(A712=1,A712=0),H712,0))</f>
      </c>
      <c r="M712" s="249">
        <f>IF(A712="","",IF(A712=-1,H712,0))</f>
      </c>
      <c r="N712">
        <f>IF($E712="SGD",1,IF($E712="USD",Settings!$B$22,IF($E712="HKD",Settings!$B$23,1)))</f>
      </c>
      <c r="O712">
        <f>IF($J712="",0,($M712-$L712+IF($A712=2,$H712,0))*$N712)</f>
      </c>
      <c r="P712">
        <f>IF($J712="",0,IF($A712=2,$H712*$N712,0))</f>
      </c>
    </row>
    <row r="713" spans="1:16" ht="15" customHeight="1" x14ac:dyDescent="0.15">
      <c r="A713" s="242"/>
      <c r="B713" s="242"/>
      <c r="C713" s="242"/>
      <c r="D713" s="256"/>
      <c r="E713" s="242"/>
      <c r="F713" s="257"/>
      <c r="G713" s="242"/>
      <c r="H713" s="257"/>
      <c r="I713" s="242"/>
      <c r="J713" s="249">
        <f>IF(OR(B713="",C713="",E713=""),"",B713&amp;":"&amp;C713&amp;":"&amp;E713)</f>
      </c>
      <c r="K713" s="250">
        <f>IF(A713="","",A713*D713)</f>
      </c>
      <c r="L713" s="249">
        <f>IF(A713="","",IF(OR(A713=1,A713=0),H713,0))</f>
      </c>
      <c r="M713" s="249">
        <f>IF(A713="","",IF(A713=-1,H713,0))</f>
      </c>
      <c r="N713">
        <f>IF($E713="SGD",1,IF($E713="USD",Settings!$B$22,IF($E713="HKD",Settings!$B$23,1)))</f>
      </c>
      <c r="O713">
        <f>IF($J713="",0,($M713-$L713+IF($A713=2,$H713,0))*$N713)</f>
      </c>
      <c r="P713">
        <f>IF($J713="",0,IF($A713=2,$H713*$N713,0))</f>
      </c>
    </row>
    <row r="714" spans="1:16" ht="15" customHeight="1" x14ac:dyDescent="0.15">
      <c r="A714" s="242"/>
      <c r="B714" s="242"/>
      <c r="C714" s="242"/>
      <c r="D714" s="256"/>
      <c r="E714" s="242"/>
      <c r="F714" s="257"/>
      <c r="G714" s="242"/>
      <c r="H714" s="257"/>
      <c r="I714" s="242"/>
      <c r="J714" s="249">
        <f>IF(OR(B714="",C714="",E714=""),"",B714&amp;":"&amp;C714&amp;":"&amp;E714)</f>
      </c>
      <c r="K714" s="250">
        <f>IF(A714="","",A714*D714)</f>
      </c>
      <c r="L714" s="249">
        <f>IF(A714="","",IF(OR(A714=1,A714=0),H714,0))</f>
      </c>
      <c r="M714" s="249">
        <f>IF(A714="","",IF(A714=-1,H714,0))</f>
      </c>
      <c r="N714">
        <f>IF($E714="SGD",1,IF($E714="USD",Settings!$B$22,IF($E714="HKD",Settings!$B$23,1)))</f>
      </c>
      <c r="O714">
        <f>IF($J714="",0,($M714-$L714+IF($A714=2,$H714,0))*$N714)</f>
      </c>
      <c r="P714">
        <f>IF($J714="",0,IF($A714=2,$H714*$N714,0))</f>
      </c>
    </row>
    <row r="715" spans="1:16" ht="15" customHeight="1" x14ac:dyDescent="0.15">
      <c r="A715" s="242"/>
      <c r="B715" s="242"/>
      <c r="C715" s="242"/>
      <c r="D715" s="256"/>
      <c r="E715" s="242"/>
      <c r="F715" s="257"/>
      <c r="G715" s="242"/>
      <c r="H715" s="257"/>
      <c r="I715" s="242"/>
      <c r="J715" s="249">
        <f>IF(OR(B715="",C715="",E715=""),"",B715&amp;":"&amp;C715&amp;":"&amp;E715)</f>
      </c>
      <c r="K715" s="250">
        <f>IF(A715="","",A715*D715)</f>
      </c>
      <c r="L715" s="249">
        <f>IF(A715="","",IF(OR(A715=1,A715=0),H715,0))</f>
      </c>
      <c r="M715" s="249">
        <f>IF(A715="","",IF(A715=-1,H715,0))</f>
      </c>
      <c r="N715">
        <f>IF($E715="SGD",1,IF($E715="USD",Settings!$B$22,IF($E715="HKD",Settings!$B$23,1)))</f>
      </c>
      <c r="O715">
        <f>IF($J715="",0,($M715-$L715+IF($A715=2,$H715,0))*$N715)</f>
      </c>
      <c r="P715">
        <f>IF($J715="",0,IF($A715=2,$H715*$N715,0))</f>
      </c>
    </row>
    <row r="716" spans="1:16" ht="15" customHeight="1" x14ac:dyDescent="0.15">
      <c r="A716" s="242"/>
      <c r="B716" s="242"/>
      <c r="C716" s="242"/>
      <c r="D716" s="256"/>
      <c r="E716" s="242"/>
      <c r="F716" s="257"/>
      <c r="G716" s="242"/>
      <c r="H716" s="257"/>
      <c r="I716" s="242"/>
      <c r="J716" s="249">
        <f>IF(OR(B716="",C716="",E716=""),"",B716&amp;":"&amp;C716&amp;":"&amp;E716)</f>
      </c>
      <c r="K716" s="250">
        <f>IF(A716="","",A716*D716)</f>
      </c>
      <c r="L716" s="249">
        <f>IF(A716="","",IF(OR(A716=1,A716=0),H716,0))</f>
      </c>
      <c r="M716" s="249">
        <f>IF(A716="","",IF(A716=-1,H716,0))</f>
      </c>
      <c r="N716">
        <f>IF($E716="SGD",1,IF($E716="USD",Settings!$B$22,IF($E716="HKD",Settings!$B$23,1)))</f>
      </c>
      <c r="O716">
        <f>IF($J716="",0,($M716-$L716+IF($A716=2,$H716,0))*$N716)</f>
      </c>
      <c r="P716">
        <f>IF($J716="",0,IF($A716=2,$H716*$N716,0))</f>
      </c>
    </row>
    <row r="717" spans="1:16" ht="15" customHeight="1" x14ac:dyDescent="0.15">
      <c r="A717" s="242"/>
      <c r="B717" s="242"/>
      <c r="C717" s="242"/>
      <c r="D717" s="256"/>
      <c r="E717" s="242"/>
      <c r="F717" s="257"/>
      <c r="G717" s="242"/>
      <c r="H717" s="257"/>
      <c r="I717" s="242"/>
      <c r="J717" s="249">
        <f>IF(OR(B717="",C717="",E717=""),"",B717&amp;":"&amp;C717&amp;":"&amp;E717)</f>
      </c>
      <c r="K717" s="250">
        <f>IF(A717="","",A717*D717)</f>
      </c>
      <c r="L717" s="249">
        <f>IF(A717="","",IF(OR(A717=1,A717=0),H717,0))</f>
      </c>
      <c r="M717" s="249">
        <f>IF(A717="","",IF(A717=-1,H717,0))</f>
      </c>
      <c r="N717">
        <f>IF($E717="SGD",1,IF($E717="USD",Settings!$B$22,IF($E717="HKD",Settings!$B$23,1)))</f>
      </c>
      <c r="O717">
        <f>IF($J717="",0,($M717-$L717+IF($A717=2,$H717,0))*$N717)</f>
      </c>
      <c r="P717">
        <f>IF($J717="",0,IF($A717=2,$H717*$N717,0))</f>
      </c>
    </row>
    <row r="718" spans="1:16" ht="15" customHeight="1" x14ac:dyDescent="0.15">
      <c r="A718" s="242"/>
      <c r="B718" s="242"/>
      <c r="C718" s="242"/>
      <c r="D718" s="256"/>
      <c r="E718" s="242"/>
      <c r="F718" s="257"/>
      <c r="G718" s="242"/>
      <c r="H718" s="257"/>
      <c r="I718" s="242"/>
      <c r="J718" s="249">
        <f>IF(OR(B718="",C718="",E718=""),"",B718&amp;":"&amp;C718&amp;":"&amp;E718)</f>
      </c>
      <c r="K718" s="250">
        <f>IF(A718="","",A718*D718)</f>
      </c>
      <c r="L718" s="249">
        <f>IF(A718="","",IF(OR(A718=1,A718=0),H718,0))</f>
      </c>
      <c r="M718" s="249">
        <f>IF(A718="","",IF(A718=-1,H718,0))</f>
      </c>
      <c r="N718">
        <f>IF($E718="SGD",1,IF($E718="USD",Settings!$B$22,IF($E718="HKD",Settings!$B$23,1)))</f>
      </c>
      <c r="O718">
        <f>IF($J718="",0,($M718-$L718+IF($A718=2,$H718,0))*$N718)</f>
      </c>
      <c r="P718">
        <f>IF($J718="",0,IF($A718=2,$H718*$N718,0))</f>
      </c>
    </row>
    <row r="719" spans="1:16" ht="15" customHeight="1" x14ac:dyDescent="0.15">
      <c r="A719" s="242"/>
      <c r="B719" s="242"/>
      <c r="C719" s="242"/>
      <c r="D719" s="256"/>
      <c r="E719" s="242"/>
      <c r="F719" s="257"/>
      <c r="G719" s="242"/>
      <c r="H719" s="257"/>
      <c r="I719" s="242"/>
      <c r="J719" s="249">
        <f>IF(OR(B719="",C719="",E719=""),"",B719&amp;":"&amp;C719&amp;":"&amp;E719)</f>
      </c>
      <c r="K719" s="250">
        <f>IF(A719="","",A719*D719)</f>
      </c>
      <c r="L719" s="249">
        <f>IF(A719="","",IF(OR(A719=1,A719=0),H719,0))</f>
      </c>
      <c r="M719" s="249">
        <f>IF(A719="","",IF(A719=-1,H719,0))</f>
      </c>
      <c r="N719">
        <f>IF($E719="SGD",1,IF($E719="USD",Settings!$B$22,IF($E719="HKD",Settings!$B$23,1)))</f>
      </c>
      <c r="O719">
        <f>IF($J719="",0,($M719-$L719+IF($A719=2,$H719,0))*$N719)</f>
      </c>
      <c r="P719">
        <f>IF($J719="",0,IF($A719=2,$H719*$N719,0))</f>
      </c>
    </row>
    <row r="720" spans="1:16" ht="15" customHeight="1" x14ac:dyDescent="0.15">
      <c r="A720" s="242"/>
      <c r="B720" s="242"/>
      <c r="C720" s="242"/>
      <c r="D720" s="256"/>
      <c r="E720" s="242"/>
      <c r="F720" s="257"/>
      <c r="G720" s="242"/>
      <c r="H720" s="257"/>
      <c r="I720" s="242"/>
      <c r="J720" s="249">
        <f>IF(OR(B720="",C720="",E720=""),"",B720&amp;":"&amp;C720&amp;":"&amp;E720)</f>
      </c>
      <c r="K720" s="250">
        <f>IF(A720="","",A720*D720)</f>
      </c>
      <c r="L720" s="249">
        <f>IF(A720="","",IF(OR(A720=1,A720=0),H720,0))</f>
      </c>
      <c r="M720" s="249">
        <f>IF(A720="","",IF(A720=-1,H720,0))</f>
      </c>
      <c r="N720">
        <f>IF($E720="SGD",1,IF($E720="USD",Settings!$B$22,IF($E720="HKD",Settings!$B$23,1)))</f>
      </c>
      <c r="O720">
        <f>IF($J720="",0,($M720-$L720+IF($A720=2,$H720,0))*$N720)</f>
      </c>
      <c r="P720">
        <f>IF($J720="",0,IF($A720=2,$H720*$N720,0))</f>
      </c>
    </row>
    <row r="721" spans="1:16" ht="15" customHeight="1" x14ac:dyDescent="0.15">
      <c r="A721" s="242"/>
      <c r="B721" s="242"/>
      <c r="C721" s="242"/>
      <c r="D721" s="256"/>
      <c r="E721" s="242"/>
      <c r="F721" s="257"/>
      <c r="G721" s="242"/>
      <c r="H721" s="257"/>
      <c r="I721" s="242"/>
      <c r="J721" s="249">
        <f>IF(OR(B721="",C721="",E721=""),"",B721&amp;":"&amp;C721&amp;":"&amp;E721)</f>
      </c>
      <c r="K721" s="250">
        <f>IF(A721="","",A721*D721)</f>
      </c>
      <c r="L721" s="249">
        <f>IF(A721="","",IF(OR(A721=1,A721=0),H721,0))</f>
      </c>
      <c r="M721" s="249">
        <f>IF(A721="","",IF(A721=-1,H721,0))</f>
      </c>
      <c r="N721">
        <f>IF($E721="SGD",1,IF($E721="USD",Settings!$B$22,IF($E721="HKD",Settings!$B$23,1)))</f>
      </c>
      <c r="O721">
        <f>IF($J721="",0,($M721-$L721+IF($A721=2,$H721,0))*$N721)</f>
      </c>
      <c r="P721">
        <f>IF($J721="",0,IF($A721=2,$H721*$N721,0))</f>
      </c>
    </row>
    <row r="722" spans="1:16" ht="15" customHeight="1" x14ac:dyDescent="0.15">
      <c r="A722" s="242"/>
      <c r="B722" s="242"/>
      <c r="C722" s="242"/>
      <c r="D722" s="256"/>
      <c r="E722" s="242"/>
      <c r="F722" s="257"/>
      <c r="G722" s="242"/>
      <c r="H722" s="257"/>
      <c r="I722" s="242"/>
      <c r="J722" s="249">
        <f>IF(OR(B722="",C722="",E722=""),"",B722&amp;":"&amp;C722&amp;":"&amp;E722)</f>
      </c>
      <c r="K722" s="250">
        <f>IF(A722="","",A722*D722)</f>
      </c>
      <c r="L722" s="249">
        <f>IF(A722="","",IF(OR(A722=1,A722=0),H722,0))</f>
      </c>
      <c r="M722" s="249">
        <f>IF(A722="","",IF(A722=-1,H722,0))</f>
      </c>
      <c r="N722">
        <f>IF($E722="SGD",1,IF($E722="USD",Settings!$B$22,IF($E722="HKD",Settings!$B$23,1)))</f>
      </c>
      <c r="O722">
        <f>IF($J722="",0,($M722-$L722+IF($A722=2,$H722,0))*$N722)</f>
      </c>
      <c r="P722">
        <f>IF($J722="",0,IF($A722=2,$H722*$N722,0))</f>
      </c>
    </row>
    <row r="723" spans="1:16" ht="15" customHeight="1" x14ac:dyDescent="0.15">
      <c r="A723" s="242"/>
      <c r="B723" s="242"/>
      <c r="C723" s="242"/>
      <c r="D723" s="256"/>
      <c r="E723" s="242"/>
      <c r="F723" s="257"/>
      <c r="G723" s="242"/>
      <c r="H723" s="257"/>
      <c r="I723" s="242"/>
      <c r="J723" s="249">
        <f>IF(OR(B723="",C723="",E723=""),"",B723&amp;":"&amp;C723&amp;":"&amp;E723)</f>
      </c>
      <c r="K723" s="250">
        <f>IF(A723="","",A723*D723)</f>
      </c>
      <c r="L723" s="249">
        <f>IF(A723="","",IF(OR(A723=1,A723=0),H723,0))</f>
      </c>
      <c r="M723" s="249">
        <f>IF(A723="","",IF(A723=-1,H723,0))</f>
      </c>
      <c r="N723">
        <f>IF($E723="SGD",1,IF($E723="USD",Settings!$B$22,IF($E723="HKD",Settings!$B$23,1)))</f>
      </c>
      <c r="O723">
        <f>IF($J723="",0,($M723-$L723+IF($A723=2,$H723,0))*$N723)</f>
      </c>
      <c r="P723">
        <f>IF($J723="",0,IF($A723=2,$H723*$N723,0))</f>
      </c>
    </row>
    <row r="724" spans="1:16" ht="15" customHeight="1" x14ac:dyDescent="0.15">
      <c r="A724" s="242"/>
      <c r="B724" s="242"/>
      <c r="C724" s="242"/>
      <c r="D724" s="256"/>
      <c r="E724" s="242"/>
      <c r="F724" s="257"/>
      <c r="G724" s="242"/>
      <c r="H724" s="257"/>
      <c r="I724" s="242"/>
      <c r="J724" s="249">
        <f>IF(OR(B724="",C724="",E724=""),"",B724&amp;":"&amp;C724&amp;":"&amp;E724)</f>
      </c>
      <c r="K724" s="250">
        <f>IF(A724="","",A724*D724)</f>
      </c>
      <c r="L724" s="249">
        <f>IF(A724="","",IF(OR(A724=1,A724=0),H724,0))</f>
      </c>
      <c r="M724" s="249">
        <f>IF(A724="","",IF(A724=-1,H724,0))</f>
      </c>
      <c r="N724">
        <f>IF($E724="SGD",1,IF($E724="USD",Settings!$B$22,IF($E724="HKD",Settings!$B$23,1)))</f>
      </c>
      <c r="O724">
        <f>IF($J724="",0,($M724-$L724+IF($A724=2,$H724,0))*$N724)</f>
      </c>
      <c r="P724">
        <f>IF($J724="",0,IF($A724=2,$H724*$N724,0))</f>
      </c>
    </row>
    <row r="725" spans="1:16" ht="15" customHeight="1" x14ac:dyDescent="0.15">
      <c r="A725" s="242"/>
      <c r="B725" s="242"/>
      <c r="C725" s="242"/>
      <c r="D725" s="256"/>
      <c r="E725" s="242"/>
      <c r="F725" s="257"/>
      <c r="G725" s="242"/>
      <c r="H725" s="257"/>
      <c r="I725" s="242"/>
      <c r="J725" s="249">
        <f>IF(OR(B725="",C725="",E725=""),"",B725&amp;":"&amp;C725&amp;":"&amp;E725)</f>
      </c>
      <c r="K725" s="250">
        <f>IF(A725="","",A725*D725)</f>
      </c>
      <c r="L725" s="249">
        <f>IF(A725="","",IF(OR(A725=1,A725=0),H725,0))</f>
      </c>
      <c r="M725" s="249">
        <f>IF(A725="","",IF(A725=-1,H725,0))</f>
      </c>
      <c r="N725">
        <f>IF($E725="SGD",1,IF($E725="USD",Settings!$B$22,IF($E725="HKD",Settings!$B$23,1)))</f>
      </c>
      <c r="O725">
        <f>IF($J725="",0,($M725-$L725+IF($A725=2,$H725,0))*$N725)</f>
      </c>
      <c r="P725">
        <f>IF($J725="",0,IF($A725=2,$H725*$N725,0))</f>
      </c>
    </row>
    <row r="726" spans="1:16" ht="15" customHeight="1" x14ac:dyDescent="0.15">
      <c r="A726" s="242"/>
      <c r="B726" s="242"/>
      <c r="C726" s="242"/>
      <c r="D726" s="256"/>
      <c r="E726" s="242"/>
      <c r="F726" s="257"/>
      <c r="G726" s="242"/>
      <c r="H726" s="257"/>
      <c r="I726" s="242"/>
      <c r="J726" s="249">
        <f>IF(OR(B726="",C726="",E726=""),"",B726&amp;":"&amp;C726&amp;":"&amp;E726)</f>
      </c>
      <c r="K726" s="250">
        <f>IF(A726="","",A726*D726)</f>
      </c>
      <c r="L726" s="249">
        <f>IF(A726="","",IF(OR(A726=1,A726=0),H726,0))</f>
      </c>
      <c r="M726" s="249">
        <f>IF(A726="","",IF(A726=-1,H726,0))</f>
      </c>
      <c r="N726">
        <f>IF($E726="SGD",1,IF($E726="USD",Settings!$B$22,IF($E726="HKD",Settings!$B$23,1)))</f>
      </c>
      <c r="O726">
        <f>IF($J726="",0,($M726-$L726+IF($A726=2,$H726,0))*$N726)</f>
      </c>
      <c r="P726">
        <f>IF($J726="",0,IF($A726=2,$H726*$N726,0))</f>
      </c>
    </row>
    <row r="727" spans="1:16" ht="15" customHeight="1" x14ac:dyDescent="0.15">
      <c r="A727" s="242"/>
      <c r="B727" s="242"/>
      <c r="C727" s="242"/>
      <c r="D727" s="256"/>
      <c r="E727" s="242"/>
      <c r="F727" s="257"/>
      <c r="G727" s="242"/>
      <c r="H727" s="257"/>
      <c r="I727" s="242"/>
      <c r="J727" s="249">
        <f>IF(OR(B727="",C727="",E727=""),"",B727&amp;":"&amp;C727&amp;":"&amp;E727)</f>
      </c>
      <c r="K727" s="250">
        <f>IF(A727="","",A727*D727)</f>
      </c>
      <c r="L727" s="249">
        <f>IF(A727="","",IF(OR(A727=1,A727=0),H727,0))</f>
      </c>
      <c r="M727" s="249">
        <f>IF(A727="","",IF(A727=-1,H727,0))</f>
      </c>
      <c r="N727">
        <f>IF($E727="SGD",1,IF($E727="USD",Settings!$B$22,IF($E727="HKD",Settings!$B$23,1)))</f>
      </c>
      <c r="O727">
        <f>IF($J727="",0,($M727-$L727+IF($A727=2,$H727,0))*$N727)</f>
      </c>
      <c r="P727">
        <f>IF($J727="",0,IF($A727=2,$H727*$N727,0))</f>
      </c>
    </row>
    <row r="728" spans="1:16" ht="15" customHeight="1" x14ac:dyDescent="0.15">
      <c r="A728" s="242"/>
      <c r="B728" s="242"/>
      <c r="C728" s="242"/>
      <c r="D728" s="256"/>
      <c r="E728" s="242"/>
      <c r="F728" s="257"/>
      <c r="G728" s="242"/>
      <c r="H728" s="257"/>
      <c r="I728" s="242"/>
      <c r="J728" s="249">
        <f>IF(OR(B728="",C728="",E728=""),"",B728&amp;":"&amp;C728&amp;":"&amp;E728)</f>
      </c>
      <c r="K728" s="250">
        <f>IF(A728="","",A728*D728)</f>
      </c>
      <c r="L728" s="249">
        <f>IF(A728="","",IF(OR(A728=1,A728=0),H728,0))</f>
      </c>
      <c r="M728" s="249">
        <f>IF(A728="","",IF(A728=-1,H728,0))</f>
      </c>
      <c r="N728">
        <f>IF($E728="SGD",1,IF($E728="USD",Settings!$B$22,IF($E728="HKD",Settings!$B$23,1)))</f>
      </c>
      <c r="O728">
        <f>IF($J728="",0,($M728-$L728+IF($A728=2,$H728,0))*$N728)</f>
      </c>
      <c r="P728">
        <f>IF($J728="",0,IF($A728=2,$H728*$N728,0))</f>
      </c>
    </row>
    <row r="729" spans="1:16" ht="15" customHeight="1" x14ac:dyDescent="0.15">
      <c r="A729" s="242"/>
      <c r="B729" s="242"/>
      <c r="C729" s="242"/>
      <c r="D729" s="256"/>
      <c r="E729" s="242"/>
      <c r="F729" s="257"/>
      <c r="G729" s="242"/>
      <c r="H729" s="257"/>
      <c r="I729" s="242"/>
      <c r="J729" s="249">
        <f>IF(OR(B729="",C729="",E729=""),"",B729&amp;":"&amp;C729&amp;":"&amp;E729)</f>
      </c>
      <c r="K729" s="250">
        <f>IF(A729="","",A729*D729)</f>
      </c>
      <c r="L729" s="249">
        <f>IF(A729="","",IF(OR(A729=1,A729=0),H729,0))</f>
      </c>
      <c r="M729" s="249">
        <f>IF(A729="","",IF(A729=-1,H729,0))</f>
      </c>
      <c r="N729">
        <f>IF($E729="SGD",1,IF($E729="USD",Settings!$B$22,IF($E729="HKD",Settings!$B$23,1)))</f>
      </c>
      <c r="O729">
        <f>IF($J729="",0,($M729-$L729+IF($A729=2,$H729,0))*$N729)</f>
      </c>
      <c r="P729">
        <f>IF($J729="",0,IF($A729=2,$H729*$N729,0))</f>
      </c>
    </row>
    <row r="730" spans="1:16" ht="15" customHeight="1" x14ac:dyDescent="0.15">
      <c r="A730" s="242"/>
      <c r="B730" s="242"/>
      <c r="C730" s="242"/>
      <c r="D730" s="256"/>
      <c r="E730" s="242"/>
      <c r="F730" s="257"/>
      <c r="G730" s="242"/>
      <c r="H730" s="257"/>
      <c r="I730" s="242"/>
      <c r="J730" s="249">
        <f>IF(OR(B730="",C730="",E730=""),"",B730&amp;":"&amp;C730&amp;":"&amp;E730)</f>
      </c>
      <c r="K730" s="250">
        <f>IF(A730="","",A730*D730)</f>
      </c>
      <c r="L730" s="249">
        <f>IF(A730="","",IF(OR(A730=1,A730=0),H730,0))</f>
      </c>
      <c r="M730" s="249">
        <f>IF(A730="","",IF(A730=-1,H730,0))</f>
      </c>
      <c r="N730">
        <f>IF($E730="SGD",1,IF($E730="USD",Settings!$B$22,IF($E730="HKD",Settings!$B$23,1)))</f>
      </c>
      <c r="O730">
        <f>IF($J730="",0,($M730-$L730+IF($A730=2,$H730,0))*$N730)</f>
      </c>
      <c r="P730">
        <f>IF($J730="",0,IF($A730=2,$H730*$N730,0))</f>
      </c>
    </row>
    <row r="731" spans="1:16" ht="15" customHeight="1" x14ac:dyDescent="0.15">
      <c r="A731" s="242"/>
      <c r="B731" s="242"/>
      <c r="C731" s="242"/>
      <c r="D731" s="256"/>
      <c r="E731" s="242"/>
      <c r="F731" s="257"/>
      <c r="G731" s="242"/>
      <c r="H731" s="257"/>
      <c r="I731" s="242"/>
      <c r="J731" s="249">
        <f>IF(OR(B731="",C731="",E731=""),"",B731&amp;":"&amp;C731&amp;":"&amp;E731)</f>
      </c>
      <c r="K731" s="250">
        <f>IF(A731="","",A731*D731)</f>
      </c>
      <c r="L731" s="249">
        <f>IF(A731="","",IF(OR(A731=1,A731=0),H731,0))</f>
      </c>
      <c r="M731" s="249">
        <f>IF(A731="","",IF(A731=-1,H731,0))</f>
      </c>
      <c r="N731">
        <f>IF($E731="SGD",1,IF($E731="USD",Settings!$B$22,IF($E731="HKD",Settings!$B$23,1)))</f>
      </c>
      <c r="O731">
        <f>IF($J731="",0,($M731-$L731+IF($A731=2,$H731,0))*$N731)</f>
      </c>
      <c r="P731">
        <f>IF($J731="",0,IF($A731=2,$H731*$N731,0))</f>
      </c>
    </row>
    <row r="732" spans="1:16" ht="15" customHeight="1" x14ac:dyDescent="0.15">
      <c r="A732" s="242"/>
      <c r="B732" s="242"/>
      <c r="C732" s="242"/>
      <c r="D732" s="256"/>
      <c r="E732" s="242"/>
      <c r="F732" s="257"/>
      <c r="G732" s="242"/>
      <c r="H732" s="257"/>
      <c r="I732" s="242"/>
      <c r="J732" s="249">
        <f>IF(OR(B732="",C732="",E732=""),"",B732&amp;":"&amp;C732&amp;":"&amp;E732)</f>
      </c>
      <c r="K732" s="250">
        <f>IF(A732="","",A732*D732)</f>
      </c>
      <c r="L732" s="249">
        <f>IF(A732="","",IF(OR(A732=1,A732=0),H732,0))</f>
      </c>
      <c r="M732" s="249">
        <f>IF(A732="","",IF(A732=-1,H732,0))</f>
      </c>
      <c r="N732">
        <f>IF($E732="SGD",1,IF($E732="USD",Settings!$B$22,IF($E732="HKD",Settings!$B$23,1)))</f>
      </c>
      <c r="O732">
        <f>IF($J732="",0,($M732-$L732+IF($A732=2,$H732,0))*$N732)</f>
      </c>
      <c r="P732">
        <f>IF($J732="",0,IF($A732=2,$H732*$N732,0))</f>
      </c>
    </row>
    <row r="733" spans="1:16" ht="15" customHeight="1" x14ac:dyDescent="0.15">
      <c r="A733" s="242"/>
      <c r="B733" s="242"/>
      <c r="C733" s="242"/>
      <c r="D733" s="256"/>
      <c r="E733" s="242"/>
      <c r="F733" s="257"/>
      <c r="G733" s="242"/>
      <c r="H733" s="257"/>
      <c r="I733" s="242"/>
      <c r="J733" s="249">
        <f>IF(OR(B733="",C733="",E733=""),"",B733&amp;":"&amp;C733&amp;":"&amp;E733)</f>
      </c>
      <c r="K733" s="250">
        <f>IF(A733="","",A733*D733)</f>
      </c>
      <c r="L733" s="249">
        <f>IF(A733="","",IF(OR(A733=1,A733=0),H733,0))</f>
      </c>
      <c r="M733" s="249">
        <f>IF(A733="","",IF(A733=-1,H733,0))</f>
      </c>
      <c r="N733">
        <f>IF($E733="SGD",1,IF($E733="USD",Settings!$B$22,IF($E733="HKD",Settings!$B$23,1)))</f>
      </c>
      <c r="O733">
        <f>IF($J733="",0,($M733-$L733+IF($A733=2,$H733,0))*$N733)</f>
      </c>
      <c r="P733">
        <f>IF($J733="",0,IF($A733=2,$H733*$N733,0))</f>
      </c>
    </row>
    <row r="734" spans="1:16" ht="15" customHeight="1" x14ac:dyDescent="0.15">
      <c r="A734" s="242"/>
      <c r="B734" s="242"/>
      <c r="C734" s="242"/>
      <c r="D734" s="256"/>
      <c r="E734" s="242"/>
      <c r="F734" s="257"/>
      <c r="G734" s="242"/>
      <c r="H734" s="257"/>
      <c r="I734" s="242"/>
      <c r="J734" s="249">
        <f>IF(OR(B734="",C734="",E734=""),"",B734&amp;":"&amp;C734&amp;":"&amp;E734)</f>
      </c>
      <c r="K734" s="250">
        <f>IF(A734="","",A734*D734)</f>
      </c>
      <c r="L734" s="249">
        <f>IF(A734="","",IF(OR(A734=1,A734=0),H734,0))</f>
      </c>
      <c r="M734" s="249">
        <f>IF(A734="","",IF(A734=-1,H734,0))</f>
      </c>
      <c r="N734">
        <f>IF($E734="SGD",1,IF($E734="USD",Settings!$B$22,IF($E734="HKD",Settings!$B$23,1)))</f>
      </c>
      <c r="O734">
        <f>IF($J734="",0,($M734-$L734+IF($A734=2,$H734,0))*$N734)</f>
      </c>
      <c r="P734">
        <f>IF($J734="",0,IF($A734=2,$H734*$N734,0))</f>
      </c>
    </row>
    <row r="735" spans="1:16" ht="15" customHeight="1" x14ac:dyDescent="0.15">
      <c r="A735" s="242"/>
      <c r="B735" s="242"/>
      <c r="C735" s="242"/>
      <c r="D735" s="256"/>
      <c r="E735" s="242"/>
      <c r="F735" s="257"/>
      <c r="G735" s="242"/>
      <c r="H735" s="257"/>
      <c r="I735" s="242"/>
      <c r="J735" s="249">
        <f>IF(OR(B735="",C735="",E735=""),"",B735&amp;":"&amp;C735&amp;":"&amp;E735)</f>
      </c>
      <c r="K735" s="250">
        <f>IF(A735="","",A735*D735)</f>
      </c>
      <c r="L735" s="249">
        <f>IF(A735="","",IF(OR(A735=1,A735=0),H735,0))</f>
      </c>
      <c r="M735" s="249">
        <f>IF(A735="","",IF(A735=-1,H735,0))</f>
      </c>
      <c r="N735">
        <f>IF($E735="SGD",1,IF($E735="USD",Settings!$B$22,IF($E735="HKD",Settings!$B$23,1)))</f>
      </c>
      <c r="O735">
        <f>IF($J735="",0,($M735-$L735+IF($A735=2,$H735,0))*$N735)</f>
      </c>
      <c r="P735">
        <f>IF($J735="",0,IF($A735=2,$H735*$N735,0))</f>
      </c>
    </row>
    <row r="736" spans="1:16" ht="15" customHeight="1" x14ac:dyDescent="0.15">
      <c r="A736" s="242"/>
      <c r="B736" s="242"/>
      <c r="C736" s="242"/>
      <c r="D736" s="256"/>
      <c r="E736" s="242"/>
      <c r="F736" s="257"/>
      <c r="G736" s="242"/>
      <c r="H736" s="257"/>
      <c r="I736" s="242"/>
      <c r="J736" s="249">
        <f>IF(OR(B736="",C736="",E736=""),"",B736&amp;":"&amp;C736&amp;":"&amp;E736)</f>
      </c>
      <c r="K736" s="250">
        <f>IF(A736="","",A736*D736)</f>
      </c>
      <c r="L736" s="249">
        <f>IF(A736="","",IF(OR(A736=1,A736=0),H736,0))</f>
      </c>
      <c r="M736" s="249">
        <f>IF(A736="","",IF(A736=-1,H736,0))</f>
      </c>
      <c r="N736">
        <f>IF($E736="SGD",1,IF($E736="USD",Settings!$B$22,IF($E736="HKD",Settings!$B$23,1)))</f>
      </c>
      <c r="O736">
        <f>IF($J736="",0,($M736-$L736+IF($A736=2,$H736,0))*$N736)</f>
      </c>
      <c r="P736">
        <f>IF($J736="",0,IF($A736=2,$H736*$N736,0))</f>
      </c>
    </row>
    <row r="737" spans="1:16" ht="15" customHeight="1" x14ac:dyDescent="0.15">
      <c r="A737" s="242"/>
      <c r="B737" s="242"/>
      <c r="C737" s="242"/>
      <c r="D737" s="256"/>
      <c r="E737" s="242"/>
      <c r="F737" s="257"/>
      <c r="G737" s="242"/>
      <c r="H737" s="257"/>
      <c r="I737" s="242"/>
      <c r="J737" s="249">
        <f>IF(OR(B737="",C737="",E737=""),"",B737&amp;":"&amp;C737&amp;":"&amp;E737)</f>
      </c>
      <c r="K737" s="250">
        <f>IF(A737="","",A737*D737)</f>
      </c>
      <c r="L737" s="249">
        <f>IF(A737="","",IF(OR(A737=1,A737=0),H737,0))</f>
      </c>
      <c r="M737" s="249">
        <f>IF(A737="","",IF(A737=-1,H737,0))</f>
      </c>
      <c r="N737">
        <f>IF($E737="SGD",1,IF($E737="USD",Settings!$B$22,IF($E737="HKD",Settings!$B$23,1)))</f>
      </c>
      <c r="O737">
        <f>IF($J737="",0,($M737-$L737+IF($A737=2,$H737,0))*$N737)</f>
      </c>
      <c r="P737">
        <f>IF($J737="",0,IF($A737=2,$H737*$N737,0))</f>
      </c>
    </row>
    <row r="738" spans="1:16" ht="15" customHeight="1" x14ac:dyDescent="0.15">
      <c r="A738" s="242"/>
      <c r="B738" s="242"/>
      <c r="C738" s="242"/>
      <c r="D738" s="256"/>
      <c r="E738" s="242"/>
      <c r="F738" s="257"/>
      <c r="G738" s="242"/>
      <c r="H738" s="257"/>
      <c r="I738" s="242"/>
      <c r="J738" s="249">
        <f>IF(OR(B738="",C738="",E738=""),"",B738&amp;":"&amp;C738&amp;":"&amp;E738)</f>
      </c>
      <c r="K738" s="250">
        <f>IF(A738="","",A738*D738)</f>
      </c>
      <c r="L738" s="249">
        <f>IF(A738="","",IF(OR(A738=1,A738=0),H738,0))</f>
      </c>
      <c r="M738" s="249">
        <f>IF(A738="","",IF(A738=-1,H738,0))</f>
      </c>
      <c r="N738">
        <f>IF($E738="SGD",1,IF($E738="USD",Settings!$B$22,IF($E738="HKD",Settings!$B$23,1)))</f>
      </c>
      <c r="O738">
        <f>IF($J738="",0,($M738-$L738+IF($A738=2,$H738,0))*$N738)</f>
      </c>
      <c r="P738">
        <f>IF($J738="",0,IF($A738=2,$H738*$N738,0))</f>
      </c>
    </row>
    <row r="739" spans="1:16" ht="15" customHeight="1" x14ac:dyDescent="0.15">
      <c r="A739" s="242"/>
      <c r="B739" s="242"/>
      <c r="C739" s="242"/>
      <c r="D739" s="256"/>
      <c r="E739" s="242"/>
      <c r="F739" s="257"/>
      <c r="G739" s="242"/>
      <c r="H739" s="257"/>
      <c r="I739" s="242"/>
      <c r="J739" s="249">
        <f>IF(OR(B739="",C739="",E739=""),"",B739&amp;":"&amp;C739&amp;":"&amp;E739)</f>
      </c>
      <c r="K739" s="250">
        <f>IF(A739="","",A739*D739)</f>
      </c>
      <c r="L739" s="249">
        <f>IF(A739="","",IF(OR(A739=1,A739=0),H739,0))</f>
      </c>
      <c r="M739" s="249">
        <f>IF(A739="","",IF(A739=-1,H739,0))</f>
      </c>
      <c r="N739">
        <f>IF($E739="SGD",1,IF($E739="USD",Settings!$B$22,IF($E739="HKD",Settings!$B$23,1)))</f>
      </c>
      <c r="O739">
        <f>IF($J739="",0,($M739-$L739+IF($A739=2,$H739,0))*$N739)</f>
      </c>
      <c r="P739">
        <f>IF($J739="",0,IF($A739=2,$H739*$N739,0))</f>
      </c>
    </row>
    <row r="740" spans="1:16" ht="15" customHeight="1" x14ac:dyDescent="0.15">
      <c r="A740" s="242"/>
      <c r="B740" s="242"/>
      <c r="C740" s="242"/>
      <c r="D740" s="256"/>
      <c r="E740" s="242"/>
      <c r="F740" s="257"/>
      <c r="G740" s="242"/>
      <c r="H740" s="257"/>
      <c r="I740" s="242"/>
      <c r="J740" s="249">
        <f>IF(OR(B740="",C740="",E740=""),"",B740&amp;":"&amp;C740&amp;":"&amp;E740)</f>
      </c>
      <c r="K740" s="250">
        <f>IF(A740="","",A740*D740)</f>
      </c>
      <c r="L740" s="249">
        <f>IF(A740="","",IF(OR(A740=1,A740=0),H740,0))</f>
      </c>
      <c r="M740" s="249">
        <f>IF(A740="","",IF(A740=-1,H740,0))</f>
      </c>
      <c r="N740">
        <f>IF($E740="SGD",1,IF($E740="USD",Settings!$B$22,IF($E740="HKD",Settings!$B$23,1)))</f>
      </c>
      <c r="O740">
        <f>IF($J740="",0,($M740-$L740+IF($A740=2,$H740,0))*$N740)</f>
      </c>
      <c r="P740">
        <f>IF($J740="",0,IF($A740=2,$H740*$N740,0))</f>
      </c>
    </row>
    <row r="741" spans="1:16" ht="15" customHeight="1" x14ac:dyDescent="0.15">
      <c r="A741" s="242"/>
      <c r="B741" s="242"/>
      <c r="C741" s="242"/>
      <c r="D741" s="256"/>
      <c r="E741" s="242"/>
      <c r="F741" s="257"/>
      <c r="G741" s="242"/>
      <c r="H741" s="257"/>
      <c r="I741" s="242"/>
      <c r="J741" s="249">
        <f>IF(OR(B741="",C741="",E741=""),"",B741&amp;":"&amp;C741&amp;":"&amp;E741)</f>
      </c>
      <c r="K741" s="250">
        <f>IF(A741="","",A741*D741)</f>
      </c>
      <c r="L741" s="249">
        <f>IF(A741="","",IF(OR(A741=1,A741=0),H741,0))</f>
      </c>
      <c r="M741" s="249">
        <f>IF(A741="","",IF(A741=-1,H741,0))</f>
      </c>
      <c r="N741">
        <f>IF($E741="SGD",1,IF($E741="USD",Settings!$B$22,IF($E741="HKD",Settings!$B$23,1)))</f>
      </c>
      <c r="O741">
        <f>IF($J741="",0,($M741-$L741+IF($A741=2,$H741,0))*$N741)</f>
      </c>
      <c r="P741">
        <f>IF($J741="",0,IF($A741=2,$H741*$N741,0))</f>
      </c>
    </row>
    <row r="742" spans="1:16" ht="15" customHeight="1" x14ac:dyDescent="0.15">
      <c r="A742" s="242"/>
      <c r="B742" s="242"/>
      <c r="C742" s="242"/>
      <c r="D742" s="256"/>
      <c r="E742" s="242"/>
      <c r="F742" s="257"/>
      <c r="G742" s="242"/>
      <c r="H742" s="257"/>
      <c r="I742" s="242"/>
      <c r="J742" s="249">
        <f>IF(OR(B742="",C742="",E742=""),"",B742&amp;":"&amp;C742&amp;":"&amp;E742)</f>
      </c>
      <c r="K742" s="250">
        <f>IF(A742="","",A742*D742)</f>
      </c>
      <c r="L742" s="249">
        <f>IF(A742="","",IF(OR(A742=1,A742=0),H742,0))</f>
      </c>
      <c r="M742" s="249">
        <f>IF(A742="","",IF(A742=-1,H742,0))</f>
      </c>
      <c r="N742">
        <f>IF($E742="SGD",1,IF($E742="USD",Settings!$B$22,IF($E742="HKD",Settings!$B$23,1)))</f>
      </c>
      <c r="O742">
        <f>IF($J742="",0,($M742-$L742+IF($A742=2,$H742,0))*$N742)</f>
      </c>
      <c r="P742">
        <f>IF($J742="",0,IF($A742=2,$H742*$N742,0))</f>
      </c>
    </row>
    <row r="743" spans="1:16" ht="15" customHeight="1" x14ac:dyDescent="0.15">
      <c r="A743" s="242"/>
      <c r="B743" s="242"/>
      <c r="C743" s="242"/>
      <c r="D743" s="256"/>
      <c r="E743" s="242"/>
      <c r="F743" s="257"/>
      <c r="G743" s="242"/>
      <c r="H743" s="257"/>
      <c r="I743" s="242"/>
      <c r="J743" s="249">
        <f>IF(OR(B743="",C743="",E743=""),"",B743&amp;":"&amp;C743&amp;":"&amp;E743)</f>
      </c>
      <c r="K743" s="250">
        <f>IF(A743="","",A743*D743)</f>
      </c>
      <c r="L743" s="249">
        <f>IF(A743="","",IF(OR(A743=1,A743=0),H743,0))</f>
      </c>
      <c r="M743" s="249">
        <f>IF(A743="","",IF(A743=-1,H743,0))</f>
      </c>
      <c r="N743">
        <f>IF($E743="SGD",1,IF($E743="USD",Settings!$B$22,IF($E743="HKD",Settings!$B$23,1)))</f>
      </c>
      <c r="O743">
        <f>IF($J743="",0,($M743-$L743+IF($A743=2,$H743,0))*$N743)</f>
      </c>
      <c r="P743">
        <f>IF($J743="",0,IF($A743=2,$H743*$N743,0))</f>
      </c>
    </row>
    <row r="744" spans="1:16" ht="15" customHeight="1" x14ac:dyDescent="0.15">
      <c r="A744" s="242"/>
      <c r="B744" s="242"/>
      <c r="C744" s="242"/>
      <c r="D744" s="256"/>
      <c r="E744" s="242"/>
      <c r="F744" s="257"/>
      <c r="G744" s="242"/>
      <c r="H744" s="257"/>
      <c r="I744" s="242"/>
      <c r="J744" s="249">
        <f>IF(OR(B744="",C744="",E744=""),"",B744&amp;":"&amp;C744&amp;":"&amp;E744)</f>
      </c>
      <c r="K744" s="250">
        <f>IF(A744="","",A744*D744)</f>
      </c>
      <c r="L744" s="249">
        <f>IF(A744="","",IF(OR(A744=1,A744=0),H744,0))</f>
      </c>
      <c r="M744" s="249">
        <f>IF(A744="","",IF(A744=-1,H744,0))</f>
      </c>
      <c r="N744">
        <f>IF($E744="SGD",1,IF($E744="USD",Settings!$B$22,IF($E744="HKD",Settings!$B$23,1)))</f>
      </c>
      <c r="O744">
        <f>IF($J744="",0,($M744-$L744+IF($A744=2,$H744,0))*$N744)</f>
      </c>
      <c r="P744">
        <f>IF($J744="",0,IF($A744=2,$H744*$N744,0))</f>
      </c>
    </row>
    <row r="745" spans="1:16" ht="15" customHeight="1" x14ac:dyDescent="0.15">
      <c r="A745" s="242"/>
      <c r="B745" s="242"/>
      <c r="C745" s="242"/>
      <c r="D745" s="256"/>
      <c r="E745" s="242"/>
      <c r="F745" s="257"/>
      <c r="G745" s="242"/>
      <c r="H745" s="257"/>
      <c r="I745" s="242"/>
      <c r="J745" s="249">
        <f>IF(OR(B745="",C745="",E745=""),"",B745&amp;":"&amp;C745&amp;":"&amp;E745)</f>
      </c>
      <c r="K745" s="250">
        <f>IF(A745="","",A745*D745)</f>
      </c>
      <c r="L745" s="249">
        <f>IF(A745="","",IF(OR(A745=1,A745=0),H745,0))</f>
      </c>
      <c r="M745" s="249">
        <f>IF(A745="","",IF(A745=-1,H745,0))</f>
      </c>
      <c r="N745">
        <f>IF($E745="SGD",1,IF($E745="USD",Settings!$B$22,IF($E745="HKD",Settings!$B$23,1)))</f>
      </c>
      <c r="O745">
        <f>IF($J745="",0,($M745-$L745+IF($A745=2,$H745,0))*$N745)</f>
      </c>
      <c r="P745">
        <f>IF($J745="",0,IF($A745=2,$H745*$N745,0))</f>
      </c>
    </row>
    <row r="746" spans="1:16" ht="15" customHeight="1" x14ac:dyDescent="0.15">
      <c r="A746" s="242"/>
      <c r="B746" s="242"/>
      <c r="C746" s="242"/>
      <c r="D746" s="256"/>
      <c r="E746" s="242"/>
      <c r="F746" s="257"/>
      <c r="G746" s="242"/>
      <c r="H746" s="257"/>
      <c r="I746" s="242"/>
      <c r="J746" s="249">
        <f>IF(OR(B746="",C746="",E746=""),"",B746&amp;":"&amp;C746&amp;":"&amp;E746)</f>
      </c>
      <c r="K746" s="250">
        <f>IF(A746="","",A746*D746)</f>
      </c>
      <c r="L746" s="249">
        <f>IF(A746="","",IF(OR(A746=1,A746=0),H746,0))</f>
      </c>
      <c r="M746" s="249">
        <f>IF(A746="","",IF(A746=-1,H746,0))</f>
      </c>
      <c r="N746">
        <f>IF($E746="SGD",1,IF($E746="USD",Settings!$B$22,IF($E746="HKD",Settings!$B$23,1)))</f>
      </c>
      <c r="O746">
        <f>IF($J746="",0,($M746-$L746+IF($A746=2,$H746,0))*$N746)</f>
      </c>
      <c r="P746">
        <f>IF($J746="",0,IF($A746=2,$H746*$N746,0))</f>
      </c>
    </row>
    <row r="747" spans="1:16" ht="15" customHeight="1" x14ac:dyDescent="0.15">
      <c r="A747" s="242"/>
      <c r="B747" s="242"/>
      <c r="C747" s="242"/>
      <c r="D747" s="256"/>
      <c r="E747" s="242"/>
      <c r="F747" s="257"/>
      <c r="G747" s="242"/>
      <c r="H747" s="257"/>
      <c r="I747" s="242"/>
      <c r="J747" s="249">
        <f>IF(OR(B747="",C747="",E747=""),"",B747&amp;":"&amp;C747&amp;":"&amp;E747)</f>
      </c>
      <c r="K747" s="250">
        <f>IF(A747="","",A747*D747)</f>
      </c>
      <c r="L747" s="249">
        <f>IF(A747="","",IF(OR(A747=1,A747=0),H747,0))</f>
      </c>
      <c r="M747" s="249">
        <f>IF(A747="","",IF(A747=-1,H747,0))</f>
      </c>
      <c r="N747">
        <f>IF($E747="SGD",1,IF($E747="USD",Settings!$B$22,IF($E747="HKD",Settings!$B$23,1)))</f>
      </c>
      <c r="O747">
        <f>IF($J747="",0,($M747-$L747+IF($A747=2,$H747,0))*$N747)</f>
      </c>
      <c r="P747">
        <f>IF($J747="",0,IF($A747=2,$H747*$N747,0))</f>
      </c>
    </row>
    <row r="748" spans="1:16" ht="15" customHeight="1" x14ac:dyDescent="0.15">
      <c r="A748" s="242"/>
      <c r="B748" s="242"/>
      <c r="C748" s="242"/>
      <c r="D748" s="256"/>
      <c r="E748" s="242"/>
      <c r="F748" s="257"/>
      <c r="G748" s="242"/>
      <c r="H748" s="257"/>
      <c r="I748" s="242"/>
      <c r="J748" s="249">
        <f>IF(OR(B748="",C748="",E748=""),"",B748&amp;":"&amp;C748&amp;":"&amp;E748)</f>
      </c>
      <c r="K748" s="250">
        <f>IF(A748="","",A748*D748)</f>
      </c>
      <c r="L748" s="249">
        <f>IF(A748="","",IF(OR(A748=1,A748=0),H748,0))</f>
      </c>
      <c r="M748" s="249">
        <f>IF(A748="","",IF(A748=-1,H748,0))</f>
      </c>
      <c r="N748">
        <f>IF($E748="SGD",1,IF($E748="USD",Settings!$B$22,IF($E748="HKD",Settings!$B$23,1)))</f>
      </c>
      <c r="O748">
        <f>IF($J748="",0,($M748-$L748+IF($A748=2,$H748,0))*$N748)</f>
      </c>
      <c r="P748">
        <f>IF($J748="",0,IF($A748=2,$H748*$N748,0))</f>
      </c>
    </row>
    <row r="749" spans="1:16" ht="15" customHeight="1" x14ac:dyDescent="0.15">
      <c r="A749" s="242"/>
      <c r="B749" s="242"/>
      <c r="C749" s="242"/>
      <c r="D749" s="256"/>
      <c r="E749" s="242"/>
      <c r="F749" s="257"/>
      <c r="G749" s="242"/>
      <c r="H749" s="257"/>
      <c r="I749" s="242"/>
      <c r="J749" s="249">
        <f>IF(OR(B749="",C749="",E749=""),"",B749&amp;":"&amp;C749&amp;":"&amp;E749)</f>
      </c>
      <c r="K749" s="250">
        <f>IF(A749="","",A749*D749)</f>
      </c>
      <c r="L749" s="249">
        <f>IF(A749="","",IF(OR(A749=1,A749=0),H749,0))</f>
      </c>
      <c r="M749" s="249">
        <f>IF(A749="","",IF(A749=-1,H749,0))</f>
      </c>
      <c r="N749">
        <f>IF($E749="SGD",1,IF($E749="USD",Settings!$B$22,IF($E749="HKD",Settings!$B$23,1)))</f>
      </c>
      <c r="O749">
        <f>IF($J749="",0,($M749-$L749+IF($A749=2,$H749,0))*$N749)</f>
      </c>
      <c r="P749">
        <f>IF($J749="",0,IF($A749=2,$H749*$N749,0))</f>
      </c>
    </row>
    <row r="750" spans="1:16" ht="15" customHeight="1" x14ac:dyDescent="0.15">
      <c r="A750" s="242"/>
      <c r="B750" s="242"/>
      <c r="C750" s="242"/>
      <c r="D750" s="256"/>
      <c r="E750" s="242"/>
      <c r="F750" s="257"/>
      <c r="G750" s="242"/>
      <c r="H750" s="257"/>
      <c r="I750" s="242"/>
      <c r="J750" s="249">
        <f>IF(OR(B750="",C750="",E750=""),"",B750&amp;":"&amp;C750&amp;":"&amp;E750)</f>
      </c>
      <c r="K750" s="250">
        <f>IF(A750="","",A750*D750)</f>
      </c>
      <c r="L750" s="249">
        <f>IF(A750="","",IF(OR(A750=1,A750=0),H750,0))</f>
      </c>
      <c r="M750" s="249">
        <f>IF(A750="","",IF(A750=-1,H750,0))</f>
      </c>
      <c r="N750">
        <f>IF($E750="SGD",1,IF($E750="USD",Settings!$B$22,IF($E750="HKD",Settings!$B$23,1)))</f>
      </c>
      <c r="O750">
        <f>IF($J750="",0,($M750-$L750+IF($A750=2,$H750,0))*$N750)</f>
      </c>
      <c r="P750">
        <f>IF($J750="",0,IF($A750=2,$H750*$N750,0))</f>
      </c>
    </row>
    <row r="751" spans="1:16" ht="15" customHeight="1" x14ac:dyDescent="0.15">
      <c r="A751" s="242"/>
      <c r="B751" s="242"/>
      <c r="C751" s="242"/>
      <c r="D751" s="256"/>
      <c r="E751" s="242"/>
      <c r="F751" s="257"/>
      <c r="G751" s="242"/>
      <c r="H751" s="257"/>
      <c r="I751" s="242"/>
      <c r="J751" s="249">
        <f>IF(OR(B751="",C751="",E751=""),"",B751&amp;":"&amp;C751&amp;":"&amp;E751)</f>
      </c>
      <c r="K751" s="250">
        <f>IF(A751="","",A751*D751)</f>
      </c>
      <c r="L751" s="249">
        <f>IF(A751="","",IF(OR(A751=1,A751=0),H751,0))</f>
      </c>
      <c r="M751" s="249">
        <f>IF(A751="","",IF(A751=-1,H751,0))</f>
      </c>
      <c r="N751">
        <f>IF($E751="SGD",1,IF($E751="USD",Settings!$B$22,IF($E751="HKD",Settings!$B$23,1)))</f>
      </c>
      <c r="O751">
        <f>IF($J751="",0,($M751-$L751+IF($A751=2,$H751,0))*$N751)</f>
      </c>
      <c r="P751">
        <f>IF($J751="",0,IF($A751=2,$H751*$N751,0))</f>
      </c>
    </row>
    <row r="752" spans="1:16" ht="15" customHeight="1" x14ac:dyDescent="0.15">
      <c r="A752" s="242"/>
      <c r="B752" s="242"/>
      <c r="C752" s="242"/>
      <c r="D752" s="256"/>
      <c r="E752" s="242"/>
      <c r="F752" s="257"/>
      <c r="G752" s="242"/>
      <c r="H752" s="257"/>
      <c r="I752" s="242"/>
      <c r="J752" s="249">
        <f>IF(OR(B752="",C752="",E752=""),"",B752&amp;":"&amp;C752&amp;":"&amp;E752)</f>
      </c>
      <c r="K752" s="250">
        <f>IF(A752="","",A752*D752)</f>
      </c>
      <c r="L752" s="249">
        <f>IF(A752="","",IF(OR(A752=1,A752=0),H752,0))</f>
      </c>
      <c r="M752" s="249">
        <f>IF(A752="","",IF(A752=-1,H752,0))</f>
      </c>
      <c r="N752">
        <f>IF($E752="SGD",1,IF($E752="USD",Settings!$B$22,IF($E752="HKD",Settings!$B$23,1)))</f>
      </c>
      <c r="O752">
        <f>IF($J752="",0,($M752-$L752+IF($A752=2,$H752,0))*$N752)</f>
      </c>
      <c r="P752">
        <f>IF($J752="",0,IF($A752=2,$H752*$N752,0))</f>
      </c>
    </row>
    <row r="753" spans="1:16" ht="15" customHeight="1" x14ac:dyDescent="0.15">
      <c r="A753" s="242"/>
      <c r="B753" s="242"/>
      <c r="C753" s="242"/>
      <c r="D753" s="256"/>
      <c r="E753" s="242"/>
      <c r="F753" s="257"/>
      <c r="G753" s="242"/>
      <c r="H753" s="257"/>
      <c r="I753" s="242"/>
      <c r="J753" s="249">
        <f>IF(OR(B753="",C753="",E753=""),"",B753&amp;":"&amp;C753&amp;":"&amp;E753)</f>
      </c>
      <c r="K753" s="250">
        <f>IF(A753="","",A753*D753)</f>
      </c>
      <c r="L753" s="249">
        <f>IF(A753="","",IF(OR(A753=1,A753=0),H753,0))</f>
      </c>
      <c r="M753" s="249">
        <f>IF(A753="","",IF(A753=-1,H753,0))</f>
      </c>
      <c r="N753">
        <f>IF($E753="SGD",1,IF($E753="USD",Settings!$B$22,IF($E753="HKD",Settings!$B$23,1)))</f>
      </c>
      <c r="O753">
        <f>IF($J753="",0,($M753-$L753+IF($A753=2,$H753,0))*$N753)</f>
      </c>
      <c r="P753">
        <f>IF($J753="",0,IF($A753=2,$H753*$N753,0))</f>
      </c>
    </row>
    <row r="754" spans="1:16" ht="15" customHeight="1" x14ac:dyDescent="0.15">
      <c r="A754" s="242"/>
      <c r="B754" s="242"/>
      <c r="C754" s="242"/>
      <c r="D754" s="256"/>
      <c r="E754" s="242"/>
      <c r="F754" s="257"/>
      <c r="G754" s="242"/>
      <c r="H754" s="257"/>
      <c r="I754" s="242"/>
      <c r="J754" s="249">
        <f>IF(OR(B754="",C754="",E754=""),"",B754&amp;":"&amp;C754&amp;":"&amp;E754)</f>
      </c>
      <c r="K754" s="250">
        <f>IF(A754="","",A754*D754)</f>
      </c>
      <c r="L754" s="249">
        <f>IF(A754="","",IF(OR(A754=1,A754=0),H754,0))</f>
      </c>
      <c r="M754" s="249">
        <f>IF(A754="","",IF(A754=-1,H754,0))</f>
      </c>
      <c r="N754">
        <f>IF($E754="SGD",1,IF($E754="USD",Settings!$B$22,IF($E754="HKD",Settings!$B$23,1)))</f>
      </c>
      <c r="O754">
        <f>IF($J754="",0,($M754-$L754+IF($A754=2,$H754,0))*$N754)</f>
      </c>
      <c r="P754">
        <f>IF($J754="",0,IF($A754=2,$H754*$N754,0))</f>
      </c>
    </row>
    <row r="755" spans="1:16" ht="15" customHeight="1" x14ac:dyDescent="0.15">
      <c r="A755" s="242"/>
      <c r="B755" s="242"/>
      <c r="C755" s="242"/>
      <c r="D755" s="256"/>
      <c r="E755" s="242"/>
      <c r="F755" s="257"/>
      <c r="G755" s="242"/>
      <c r="H755" s="257"/>
      <c r="I755" s="242"/>
      <c r="J755" s="249">
        <f>IF(OR(B755="",C755="",E755=""),"",B755&amp;":"&amp;C755&amp;":"&amp;E755)</f>
      </c>
      <c r="K755" s="250">
        <f>IF(A755="","",A755*D755)</f>
      </c>
      <c r="L755" s="249">
        <f>IF(A755="","",IF(OR(A755=1,A755=0),H755,0))</f>
      </c>
      <c r="M755" s="249">
        <f>IF(A755="","",IF(A755=-1,H755,0))</f>
      </c>
      <c r="N755">
        <f>IF($E755="SGD",1,IF($E755="USD",Settings!$B$22,IF($E755="HKD",Settings!$B$23,1)))</f>
      </c>
      <c r="O755">
        <f>IF($J755="",0,($M755-$L755+IF($A755=2,$H755,0))*$N755)</f>
      </c>
      <c r="P755">
        <f>IF($J755="",0,IF($A755=2,$H755*$N755,0))</f>
      </c>
    </row>
    <row r="756" spans="1:16" ht="15" customHeight="1" x14ac:dyDescent="0.15">
      <c r="A756" s="242"/>
      <c r="B756" s="242"/>
      <c r="C756" s="242"/>
      <c r="D756" s="256"/>
      <c r="E756" s="242"/>
      <c r="F756" s="257"/>
      <c r="G756" s="242"/>
      <c r="H756" s="257"/>
      <c r="I756" s="242"/>
      <c r="J756" s="249">
        <f>IF(OR(B756="",C756="",E756=""),"",B756&amp;":"&amp;C756&amp;":"&amp;E756)</f>
      </c>
      <c r="K756" s="250">
        <f>IF(A756="","",A756*D756)</f>
      </c>
      <c r="L756" s="249">
        <f>IF(A756="","",IF(OR(A756=1,A756=0),H756,0))</f>
      </c>
      <c r="M756" s="249">
        <f>IF(A756="","",IF(A756=-1,H756,0))</f>
      </c>
      <c r="N756">
        <f>IF($E756="SGD",1,IF($E756="USD",Settings!$B$22,IF($E756="HKD",Settings!$B$23,1)))</f>
      </c>
      <c r="O756">
        <f>IF($J756="",0,($M756-$L756+IF($A756=2,$H756,0))*$N756)</f>
      </c>
      <c r="P756">
        <f>IF($J756="",0,IF($A756=2,$H756*$N756,0))</f>
      </c>
    </row>
    <row r="757" spans="1:16" ht="15" customHeight="1" x14ac:dyDescent="0.15">
      <c r="A757" s="242"/>
      <c r="B757" s="242"/>
      <c r="C757" s="242"/>
      <c r="D757" s="256"/>
      <c r="E757" s="242"/>
      <c r="F757" s="257"/>
      <c r="G757" s="242"/>
      <c r="H757" s="257"/>
      <c r="I757" s="242"/>
      <c r="J757" s="249">
        <f>IF(OR(B757="",C757="",E757=""),"",B757&amp;":"&amp;C757&amp;":"&amp;E757)</f>
      </c>
      <c r="K757" s="250">
        <f>IF(A757="","",A757*D757)</f>
      </c>
      <c r="L757" s="249">
        <f>IF(A757="","",IF(OR(A757=1,A757=0),H757,0))</f>
      </c>
      <c r="M757" s="249">
        <f>IF(A757="","",IF(A757=-1,H757,0))</f>
      </c>
      <c r="N757">
        <f>IF($E757="SGD",1,IF($E757="USD",Settings!$B$22,IF($E757="HKD",Settings!$B$23,1)))</f>
      </c>
      <c r="O757">
        <f>IF($J757="",0,($M757-$L757+IF($A757=2,$H757,0))*$N757)</f>
      </c>
      <c r="P757">
        <f>IF($J757="",0,IF($A757=2,$H757*$N757,0))</f>
      </c>
    </row>
    <row r="758" spans="1:16" ht="15" customHeight="1" x14ac:dyDescent="0.15">
      <c r="A758" s="242"/>
      <c r="B758" s="242"/>
      <c r="C758" s="242"/>
      <c r="D758" s="256"/>
      <c r="E758" s="242"/>
      <c r="F758" s="257"/>
      <c r="G758" s="242"/>
      <c r="H758" s="257"/>
      <c r="I758" s="242"/>
      <c r="J758" s="249">
        <f>IF(OR(B758="",C758="",E758=""),"",B758&amp;":"&amp;C758&amp;":"&amp;E758)</f>
      </c>
      <c r="K758" s="250">
        <f>IF(A758="","",A758*D758)</f>
      </c>
      <c r="L758" s="249">
        <f>IF(A758="","",IF(OR(A758=1,A758=0),H758,0))</f>
      </c>
      <c r="M758" s="249">
        <f>IF(A758="","",IF(A758=-1,H758,0))</f>
      </c>
      <c r="N758">
        <f>IF($E758="SGD",1,IF($E758="USD",Settings!$B$22,IF($E758="HKD",Settings!$B$23,1)))</f>
      </c>
      <c r="O758">
        <f>IF($J758="",0,($M758-$L758+IF($A758=2,$H758,0))*$N758)</f>
      </c>
      <c r="P758">
        <f>IF($J758="",0,IF($A758=2,$H758*$N758,0))</f>
      </c>
    </row>
    <row r="759" spans="1:16" ht="15" customHeight="1" x14ac:dyDescent="0.15">
      <c r="A759" s="242"/>
      <c r="B759" s="242"/>
      <c r="C759" s="242"/>
      <c r="D759" s="256"/>
      <c r="E759" s="242"/>
      <c r="F759" s="257"/>
      <c r="G759" s="242"/>
      <c r="H759" s="257"/>
      <c r="I759" s="242"/>
      <c r="J759" s="249">
        <f>IF(OR(B759="",C759="",E759=""),"",B759&amp;":"&amp;C759&amp;":"&amp;E759)</f>
      </c>
      <c r="K759" s="250">
        <f>IF(A759="","",A759*D759)</f>
      </c>
      <c r="L759" s="249">
        <f>IF(A759="","",IF(OR(A759=1,A759=0),H759,0))</f>
      </c>
      <c r="M759" s="249">
        <f>IF(A759="","",IF(A759=-1,H759,0))</f>
      </c>
      <c r="N759">
        <f>IF($E759="SGD",1,IF($E759="USD",Settings!$B$22,IF($E759="HKD",Settings!$B$23,1)))</f>
      </c>
      <c r="O759">
        <f>IF($J759="",0,($M759-$L759+IF($A759=2,$H759,0))*$N759)</f>
      </c>
      <c r="P759">
        <f>IF($J759="",0,IF($A759=2,$H759*$N759,0))</f>
      </c>
    </row>
    <row r="760" spans="1:16" ht="15" customHeight="1" x14ac:dyDescent="0.15">
      <c r="A760" s="242"/>
      <c r="B760" s="242"/>
      <c r="C760" s="242"/>
      <c r="D760" s="256"/>
      <c r="E760" s="242"/>
      <c r="F760" s="257"/>
      <c r="G760" s="242"/>
      <c r="H760" s="257"/>
      <c r="I760" s="242"/>
      <c r="J760" s="249">
        <f>IF(OR(B760="",C760="",E760=""),"",B760&amp;":"&amp;C760&amp;":"&amp;E760)</f>
      </c>
      <c r="K760" s="250">
        <f>IF(A760="","",A760*D760)</f>
      </c>
      <c r="L760" s="249">
        <f>IF(A760="","",IF(OR(A760=1,A760=0),H760,0))</f>
      </c>
      <c r="M760" s="249">
        <f>IF(A760="","",IF(A760=-1,H760,0))</f>
      </c>
      <c r="N760">
        <f>IF($E760="SGD",1,IF($E760="USD",Settings!$B$22,IF($E760="HKD",Settings!$B$23,1)))</f>
      </c>
      <c r="O760">
        <f>IF($J760="",0,($M760-$L760+IF($A760=2,$H760,0))*$N760)</f>
      </c>
      <c r="P760">
        <f>IF($J760="",0,IF($A760=2,$H760*$N760,0))</f>
      </c>
    </row>
    <row r="761" spans="1:16" ht="15" customHeight="1" x14ac:dyDescent="0.15">
      <c r="A761" s="242"/>
      <c r="B761" s="242"/>
      <c r="C761" s="242"/>
      <c r="D761" s="256"/>
      <c r="E761" s="242"/>
      <c r="F761" s="257"/>
      <c r="G761" s="242"/>
      <c r="H761" s="257"/>
      <c r="I761" s="242"/>
      <c r="J761" s="249">
        <f>IF(OR(B761="",C761="",E761=""),"",B761&amp;":"&amp;C761&amp;":"&amp;E761)</f>
      </c>
      <c r="K761" s="250">
        <f>IF(A761="","",A761*D761)</f>
      </c>
      <c r="L761" s="249">
        <f>IF(A761="","",IF(OR(A761=1,A761=0),H761,0))</f>
      </c>
      <c r="M761" s="249">
        <f>IF(A761="","",IF(A761=-1,H761,0))</f>
      </c>
      <c r="N761">
        <f>IF($E761="SGD",1,IF($E761="USD",Settings!$B$22,IF($E761="HKD",Settings!$B$23,1)))</f>
      </c>
      <c r="O761">
        <f>IF($J761="",0,($M761-$L761+IF($A761=2,$H761,0))*$N761)</f>
      </c>
      <c r="P761">
        <f>IF($J761="",0,IF($A761=2,$H761*$N761,0))</f>
      </c>
    </row>
    <row r="762" spans="1:16" ht="15" customHeight="1" x14ac:dyDescent="0.15">
      <c r="A762" s="242"/>
      <c r="B762" s="242"/>
      <c r="C762" s="242"/>
      <c r="D762" s="256"/>
      <c r="E762" s="242"/>
      <c r="F762" s="257"/>
      <c r="G762" s="242"/>
      <c r="H762" s="257"/>
      <c r="I762" s="242"/>
      <c r="J762" s="249">
        <f>IF(OR(B762="",C762="",E762=""),"",B762&amp;":"&amp;C762&amp;":"&amp;E762)</f>
      </c>
      <c r="K762" s="250">
        <f>IF(A762="","",A762*D762)</f>
      </c>
      <c r="L762" s="249">
        <f>IF(A762="","",IF(OR(A762=1,A762=0),H762,0))</f>
      </c>
      <c r="M762" s="249">
        <f>IF(A762="","",IF(A762=-1,H762,0))</f>
      </c>
      <c r="N762">
        <f>IF($E762="SGD",1,IF($E762="USD",Settings!$B$22,IF($E762="HKD",Settings!$B$23,1)))</f>
      </c>
      <c r="O762">
        <f>IF($J762="",0,($M762-$L762+IF($A762=2,$H762,0))*$N762)</f>
      </c>
      <c r="P762">
        <f>IF($J762="",0,IF($A762=2,$H762*$N762,0))</f>
      </c>
    </row>
    <row r="763" spans="1:16" ht="15" customHeight="1" x14ac:dyDescent="0.15">
      <c r="A763" s="242"/>
      <c r="B763" s="242"/>
      <c r="C763" s="242"/>
      <c r="D763" s="256"/>
      <c r="E763" s="242"/>
      <c r="F763" s="257"/>
      <c r="G763" s="242"/>
      <c r="H763" s="257"/>
      <c r="I763" s="242"/>
      <c r="J763" s="249">
        <f>IF(OR(B763="",C763="",E763=""),"",B763&amp;":"&amp;C763&amp;":"&amp;E763)</f>
      </c>
      <c r="K763" s="250">
        <f>IF(A763="","",A763*D763)</f>
      </c>
      <c r="L763" s="249">
        <f>IF(A763="","",IF(OR(A763=1,A763=0),H763,0))</f>
      </c>
      <c r="M763" s="249">
        <f>IF(A763="","",IF(A763=-1,H763,0))</f>
      </c>
      <c r="N763">
        <f>IF($E763="SGD",1,IF($E763="USD",Settings!$B$22,IF($E763="HKD",Settings!$B$23,1)))</f>
      </c>
      <c r="O763">
        <f>IF($J763="",0,($M763-$L763+IF($A763=2,$H763,0))*$N763)</f>
      </c>
      <c r="P763">
        <f>IF($J763="",0,IF($A763=2,$H763*$N763,0))</f>
      </c>
    </row>
    <row r="764" spans="1:16" ht="15" customHeight="1" x14ac:dyDescent="0.15">
      <c r="A764" s="242"/>
      <c r="B764" s="242"/>
      <c r="C764" s="242"/>
      <c r="D764" s="256"/>
      <c r="E764" s="242"/>
      <c r="F764" s="257"/>
      <c r="G764" s="242"/>
      <c r="H764" s="257"/>
      <c r="I764" s="242"/>
      <c r="J764" s="249">
        <f>IF(OR(B764="",C764="",E764=""),"",B764&amp;":"&amp;C764&amp;":"&amp;E764)</f>
      </c>
      <c r="K764" s="250">
        <f>IF(A764="","",A764*D764)</f>
      </c>
      <c r="L764" s="249">
        <f>IF(A764="","",IF(OR(A764=1,A764=0),H764,0))</f>
      </c>
      <c r="M764" s="249">
        <f>IF(A764="","",IF(A764=-1,H764,0))</f>
      </c>
      <c r="N764">
        <f>IF($E764="SGD",1,IF($E764="USD",Settings!$B$22,IF($E764="HKD",Settings!$B$23,1)))</f>
      </c>
      <c r="O764">
        <f>IF($J764="",0,($M764-$L764+IF($A764=2,$H764,0))*$N764)</f>
      </c>
      <c r="P764">
        <f>IF($J764="",0,IF($A764=2,$H764*$N764,0))</f>
      </c>
    </row>
    <row r="765" spans="1:16" ht="15" customHeight="1" x14ac:dyDescent="0.15">
      <c r="A765" s="242"/>
      <c r="B765" s="242"/>
      <c r="C765" s="242"/>
      <c r="D765" s="256"/>
      <c r="E765" s="242"/>
      <c r="F765" s="257"/>
      <c r="G765" s="242"/>
      <c r="H765" s="257"/>
      <c r="I765" s="242"/>
      <c r="J765" s="249">
        <f>IF(OR(B765="",C765="",E765=""),"",B765&amp;":"&amp;C765&amp;":"&amp;E765)</f>
      </c>
      <c r="K765" s="250">
        <f>IF(A765="","",A765*D765)</f>
      </c>
      <c r="L765" s="249">
        <f>IF(A765="","",IF(OR(A765=1,A765=0),H765,0))</f>
      </c>
      <c r="M765" s="249">
        <f>IF(A765="","",IF(A765=-1,H765,0))</f>
      </c>
      <c r="N765">
        <f>IF($E765="SGD",1,IF($E765="USD",Settings!$B$22,IF($E765="HKD",Settings!$B$23,1)))</f>
      </c>
      <c r="O765">
        <f>IF($J765="",0,($M765-$L765+IF($A765=2,$H765,0))*$N765)</f>
      </c>
      <c r="P765">
        <f>IF($J765="",0,IF($A765=2,$H765*$N765,0))</f>
      </c>
    </row>
    <row r="766" spans="1:16" ht="15" customHeight="1" x14ac:dyDescent="0.15">
      <c r="A766" s="242"/>
      <c r="B766" s="242"/>
      <c r="C766" s="242"/>
      <c r="D766" s="256"/>
      <c r="E766" s="242"/>
      <c r="F766" s="257"/>
      <c r="G766" s="242"/>
      <c r="H766" s="257"/>
      <c r="I766" s="242"/>
      <c r="J766" s="249">
        <f>IF(OR(B766="",C766="",E766=""),"",B766&amp;":"&amp;C766&amp;":"&amp;E766)</f>
      </c>
      <c r="K766" s="250">
        <f>IF(A766="","",A766*D766)</f>
      </c>
      <c r="L766" s="249">
        <f>IF(A766="","",IF(OR(A766=1,A766=0),H766,0))</f>
      </c>
      <c r="M766" s="249">
        <f>IF(A766="","",IF(A766=-1,H766,0))</f>
      </c>
      <c r="N766">
        <f>IF($E766="SGD",1,IF($E766="USD",Settings!$B$22,IF($E766="HKD",Settings!$B$23,1)))</f>
      </c>
      <c r="O766">
        <f>IF($J766="",0,($M766-$L766+IF($A766=2,$H766,0))*$N766)</f>
      </c>
      <c r="P766">
        <f>IF($J766="",0,IF($A766=2,$H766*$N766,0))</f>
      </c>
    </row>
    <row r="767" spans="1:16" ht="15" customHeight="1" x14ac:dyDescent="0.15">
      <c r="A767" s="242"/>
      <c r="B767" s="242"/>
      <c r="C767" s="242"/>
      <c r="D767" s="256"/>
      <c r="E767" s="242"/>
      <c r="F767" s="257"/>
      <c r="G767" s="242"/>
      <c r="H767" s="257"/>
      <c r="I767" s="242"/>
      <c r="J767" s="249">
        <f>IF(OR(B767="",C767="",E767=""),"",B767&amp;":"&amp;C767&amp;":"&amp;E767)</f>
      </c>
      <c r="K767" s="250">
        <f>IF(A767="","",A767*D767)</f>
      </c>
      <c r="L767" s="249">
        <f>IF(A767="","",IF(OR(A767=1,A767=0),H767,0))</f>
      </c>
      <c r="M767" s="249">
        <f>IF(A767="","",IF(A767=-1,H767,0))</f>
      </c>
      <c r="N767">
        <f>IF($E767="SGD",1,IF($E767="USD",Settings!$B$22,IF($E767="HKD",Settings!$B$23,1)))</f>
      </c>
      <c r="O767">
        <f>IF($J767="",0,($M767-$L767+IF($A767=2,$H767,0))*$N767)</f>
      </c>
      <c r="P767">
        <f>IF($J767="",0,IF($A767=2,$H767*$N767,0))</f>
      </c>
    </row>
    <row r="768" spans="1:16" ht="15" customHeight="1" x14ac:dyDescent="0.15">
      <c r="A768" s="242"/>
      <c r="B768" s="242"/>
      <c r="C768" s="242"/>
      <c r="D768" s="256"/>
      <c r="E768" s="242"/>
      <c r="F768" s="257"/>
      <c r="G768" s="242"/>
      <c r="H768" s="257"/>
      <c r="I768" s="242"/>
      <c r="J768" s="249">
        <f>IF(OR(B768="",C768="",E768=""),"",B768&amp;":"&amp;C768&amp;":"&amp;E768)</f>
      </c>
      <c r="K768" s="250">
        <f>IF(A768="","",A768*D768)</f>
      </c>
      <c r="L768" s="249">
        <f>IF(A768="","",IF(OR(A768=1,A768=0),H768,0))</f>
      </c>
      <c r="M768" s="249">
        <f>IF(A768="","",IF(A768=-1,H768,0))</f>
      </c>
      <c r="N768">
        <f>IF($E768="SGD",1,IF($E768="USD",Settings!$B$22,IF($E768="HKD",Settings!$B$23,1)))</f>
      </c>
      <c r="O768">
        <f>IF($J768="",0,($M768-$L768+IF($A768=2,$H768,0))*$N768)</f>
      </c>
      <c r="P768">
        <f>IF($J768="",0,IF($A768=2,$H768*$N768,0))</f>
      </c>
    </row>
    <row r="769" spans="1:16" ht="15" customHeight="1" x14ac:dyDescent="0.15">
      <c r="A769" s="242"/>
      <c r="B769" s="242"/>
      <c r="C769" s="242"/>
      <c r="D769" s="256"/>
      <c r="E769" s="242"/>
      <c r="F769" s="257"/>
      <c r="G769" s="242"/>
      <c r="H769" s="257"/>
      <c r="I769" s="242"/>
      <c r="J769" s="249">
        <f>IF(OR(B769="",C769="",E769=""),"",B769&amp;":"&amp;C769&amp;":"&amp;E769)</f>
      </c>
      <c r="K769" s="250">
        <f>IF(A769="","",A769*D769)</f>
      </c>
      <c r="L769" s="249">
        <f>IF(A769="","",IF(OR(A769=1,A769=0),H769,0))</f>
      </c>
      <c r="M769" s="249">
        <f>IF(A769="","",IF(A769=-1,H769,0))</f>
      </c>
      <c r="N769">
        <f>IF($E769="SGD",1,IF($E769="USD",Settings!$B$22,IF($E769="HKD",Settings!$B$23,1)))</f>
      </c>
      <c r="O769">
        <f>IF($J769="",0,($M769-$L769+IF($A769=2,$H769,0))*$N769)</f>
      </c>
      <c r="P769">
        <f>IF($J769="",0,IF($A769=2,$H769*$N769,0))</f>
      </c>
    </row>
    <row r="770" spans="1:16" ht="15" customHeight="1" x14ac:dyDescent="0.15">
      <c r="A770" s="242"/>
      <c r="B770" s="242"/>
      <c r="C770" s="242"/>
      <c r="D770" s="256"/>
      <c r="E770" s="242"/>
      <c r="F770" s="257"/>
      <c r="G770" s="242"/>
      <c r="H770" s="257"/>
      <c r="I770" s="242"/>
      <c r="J770" s="249">
        <f>IF(OR(B770="",C770="",E770=""),"",B770&amp;":"&amp;C770&amp;":"&amp;E770)</f>
      </c>
      <c r="K770" s="250">
        <f>IF(A770="","",A770*D770)</f>
      </c>
      <c r="L770" s="249">
        <f>IF(A770="","",IF(OR(A770=1,A770=0),H770,0))</f>
      </c>
      <c r="M770" s="249">
        <f>IF(A770="","",IF(A770=-1,H770,0))</f>
      </c>
      <c r="N770">
        <f>IF($E770="SGD",1,IF($E770="USD",Settings!$B$22,IF($E770="HKD",Settings!$B$23,1)))</f>
      </c>
      <c r="O770">
        <f>IF($J770="",0,($M770-$L770+IF($A770=2,$H770,0))*$N770)</f>
      </c>
      <c r="P770">
        <f>IF($J770="",0,IF($A770=2,$H770*$N770,0))</f>
      </c>
    </row>
    <row r="771" spans="1:16" ht="15" customHeight="1" x14ac:dyDescent="0.15">
      <c r="A771" s="242"/>
      <c r="B771" s="242"/>
      <c r="C771" s="242"/>
      <c r="D771" s="256"/>
      <c r="E771" s="242"/>
      <c r="F771" s="257"/>
      <c r="G771" s="242"/>
      <c r="H771" s="257"/>
      <c r="I771" s="242"/>
      <c r="J771" s="249">
        <f>IF(OR(B771="",C771="",E771=""),"",B771&amp;":"&amp;C771&amp;":"&amp;E771)</f>
      </c>
      <c r="K771" s="250">
        <f>IF(A771="","",A771*D771)</f>
      </c>
      <c r="L771" s="249">
        <f>IF(A771="","",IF(OR(A771=1,A771=0),H771,0))</f>
      </c>
      <c r="M771" s="249">
        <f>IF(A771="","",IF(A771=-1,H771,0))</f>
      </c>
      <c r="N771">
        <f>IF($E771="SGD",1,IF($E771="USD",Settings!$B$22,IF($E771="HKD",Settings!$B$23,1)))</f>
      </c>
      <c r="O771">
        <f>IF($J771="",0,($M771-$L771+IF($A771=2,$H771,0))*$N771)</f>
      </c>
      <c r="P771">
        <f>IF($J771="",0,IF($A771=2,$H771*$N771,0))</f>
      </c>
    </row>
    <row r="772" spans="1:16" ht="15" customHeight="1" x14ac:dyDescent="0.15">
      <c r="A772" s="242"/>
      <c r="B772" s="242"/>
      <c r="C772" s="242"/>
      <c r="D772" s="256"/>
      <c r="E772" s="242"/>
      <c r="F772" s="257"/>
      <c r="G772" s="242"/>
      <c r="H772" s="257"/>
      <c r="I772" s="242"/>
      <c r="J772" s="249">
        <f>IF(OR(B772="",C772="",E772=""),"",B772&amp;":"&amp;C772&amp;":"&amp;E772)</f>
      </c>
      <c r="K772" s="250">
        <f>IF(A772="","",A772*D772)</f>
      </c>
      <c r="L772" s="249">
        <f>IF(A772="","",IF(OR(A772=1,A772=0),H772,0))</f>
      </c>
      <c r="M772" s="249">
        <f>IF(A772="","",IF(A772=-1,H772,0))</f>
      </c>
      <c r="N772">
        <f>IF($E772="SGD",1,IF($E772="USD",Settings!$B$22,IF($E772="HKD",Settings!$B$23,1)))</f>
      </c>
      <c r="O772">
        <f>IF($J772="",0,($M772-$L772+IF($A772=2,$H772,0))*$N772)</f>
      </c>
      <c r="P772">
        <f>IF($J772="",0,IF($A772=2,$H772*$N772,0))</f>
      </c>
    </row>
    <row r="773" spans="1:16" ht="15" customHeight="1" x14ac:dyDescent="0.15">
      <c r="A773" s="242"/>
      <c r="B773" s="242"/>
      <c r="C773" s="242"/>
      <c r="D773" s="256"/>
      <c r="E773" s="242"/>
      <c r="F773" s="257"/>
      <c r="G773" s="242"/>
      <c r="H773" s="257"/>
      <c r="I773" s="242"/>
      <c r="J773" s="249">
        <f>IF(OR(B773="",C773="",E773=""),"",B773&amp;":"&amp;C773&amp;":"&amp;E773)</f>
      </c>
      <c r="K773" s="250">
        <f>IF(A773="","",A773*D773)</f>
      </c>
      <c r="L773" s="249">
        <f>IF(A773="","",IF(OR(A773=1,A773=0),H773,0))</f>
      </c>
      <c r="M773" s="249">
        <f>IF(A773="","",IF(A773=-1,H773,0))</f>
      </c>
      <c r="N773">
        <f>IF($E773="SGD",1,IF($E773="USD",Settings!$B$22,IF($E773="HKD",Settings!$B$23,1)))</f>
      </c>
      <c r="O773">
        <f>IF($J773="",0,($M773-$L773+IF($A773=2,$H773,0))*$N773)</f>
      </c>
      <c r="P773">
        <f>IF($J773="",0,IF($A773=2,$H773*$N773,0))</f>
      </c>
    </row>
    <row r="774" spans="1:16" ht="15" customHeight="1" x14ac:dyDescent="0.15">
      <c r="A774" s="242"/>
      <c r="B774" s="242"/>
      <c r="C774" s="242"/>
      <c r="D774" s="256"/>
      <c r="E774" s="242"/>
      <c r="F774" s="257"/>
      <c r="G774" s="242"/>
      <c r="H774" s="257"/>
      <c r="I774" s="242"/>
      <c r="J774" s="249">
        <f>IF(OR(B774="",C774="",E774=""),"",B774&amp;":"&amp;C774&amp;":"&amp;E774)</f>
      </c>
      <c r="K774" s="250">
        <f>IF(A774="","",A774*D774)</f>
      </c>
      <c r="L774" s="249">
        <f>IF(A774="","",IF(OR(A774=1,A774=0),H774,0))</f>
      </c>
      <c r="M774" s="249">
        <f>IF(A774="","",IF(A774=-1,H774,0))</f>
      </c>
      <c r="N774">
        <f>IF($E774="SGD",1,IF($E774="USD",Settings!$B$22,IF($E774="HKD",Settings!$B$23,1)))</f>
      </c>
      <c r="O774">
        <f>IF($J774="",0,($M774-$L774+IF($A774=2,$H774,0))*$N774)</f>
      </c>
      <c r="P774">
        <f>IF($J774="",0,IF($A774=2,$H774*$N774,0))</f>
      </c>
    </row>
    <row r="775" spans="1:16" ht="15" customHeight="1" x14ac:dyDescent="0.15">
      <c r="A775" s="242"/>
      <c r="B775" s="242"/>
      <c r="C775" s="242"/>
      <c r="D775" s="256"/>
      <c r="E775" s="242"/>
      <c r="F775" s="257"/>
      <c r="G775" s="242"/>
      <c r="H775" s="257"/>
      <c r="I775" s="242"/>
      <c r="J775" s="249">
        <f>IF(OR(B775="",C775="",E775=""),"",B775&amp;":"&amp;C775&amp;":"&amp;E775)</f>
      </c>
      <c r="K775" s="250">
        <f>IF(A775="","",A775*D775)</f>
      </c>
      <c r="L775" s="249">
        <f>IF(A775="","",IF(OR(A775=1,A775=0),H775,0))</f>
      </c>
      <c r="M775" s="249">
        <f>IF(A775="","",IF(A775=-1,H775,0))</f>
      </c>
      <c r="N775">
        <f>IF($E775="SGD",1,IF($E775="USD",Settings!$B$22,IF($E775="HKD",Settings!$B$23,1)))</f>
      </c>
      <c r="O775">
        <f>IF($J775="",0,($M775-$L775+IF($A775=2,$H775,0))*$N775)</f>
      </c>
      <c r="P775">
        <f>IF($J775="",0,IF($A775=2,$H775*$N775,0))</f>
      </c>
    </row>
    <row r="776" spans="1:16" ht="15" customHeight="1" x14ac:dyDescent="0.15">
      <c r="A776" s="242"/>
      <c r="B776" s="242"/>
      <c r="C776" s="242"/>
      <c r="D776" s="256"/>
      <c r="E776" s="242"/>
      <c r="F776" s="257"/>
      <c r="G776" s="242"/>
      <c r="H776" s="257"/>
      <c r="I776" s="242"/>
      <c r="J776" s="249">
        <f>IF(OR(B776="",C776="",E776=""),"",B776&amp;":"&amp;C776&amp;":"&amp;E776)</f>
      </c>
      <c r="K776" s="250">
        <f>IF(A776="","",A776*D776)</f>
      </c>
      <c r="L776" s="249">
        <f>IF(A776="","",IF(OR(A776=1,A776=0),H776,0))</f>
      </c>
      <c r="M776" s="249">
        <f>IF(A776="","",IF(A776=-1,H776,0))</f>
      </c>
      <c r="N776">
        <f>IF($E776="SGD",1,IF($E776="USD",Settings!$B$22,IF($E776="HKD",Settings!$B$23,1)))</f>
      </c>
      <c r="O776">
        <f>IF($J776="",0,($M776-$L776+IF($A776=2,$H776,0))*$N776)</f>
      </c>
      <c r="P776">
        <f>IF($J776="",0,IF($A776=2,$H776*$N776,0))</f>
      </c>
    </row>
    <row r="777" spans="1:16" ht="15" customHeight="1" x14ac:dyDescent="0.15">
      <c r="A777" s="242"/>
      <c r="B777" s="242"/>
      <c r="C777" s="242"/>
      <c r="D777" s="256"/>
      <c r="E777" s="242"/>
      <c r="F777" s="257"/>
      <c r="G777" s="242"/>
      <c r="H777" s="257"/>
      <c r="I777" s="242"/>
      <c r="J777" s="249">
        <f>IF(OR(B777="",C777="",E777=""),"",B777&amp;":"&amp;C777&amp;":"&amp;E777)</f>
      </c>
      <c r="K777" s="250">
        <f>IF(A777="","",A777*D777)</f>
      </c>
      <c r="L777" s="249">
        <f>IF(A777="","",IF(OR(A777=1,A777=0),H777,0))</f>
      </c>
      <c r="M777" s="249">
        <f>IF(A777="","",IF(A777=-1,H777,0))</f>
      </c>
      <c r="N777">
        <f>IF($E777="SGD",1,IF($E777="USD",Settings!$B$22,IF($E777="HKD",Settings!$B$23,1)))</f>
      </c>
      <c r="O777">
        <f>IF($J777="",0,($M777-$L777+IF($A777=2,$H777,0))*$N777)</f>
      </c>
      <c r="P777">
        <f>IF($J777="",0,IF($A777=2,$H777*$N777,0))</f>
      </c>
    </row>
    <row r="778" spans="1:16" ht="15" customHeight="1" x14ac:dyDescent="0.15">
      <c r="A778" s="242"/>
      <c r="B778" s="242"/>
      <c r="C778" s="242"/>
      <c r="D778" s="256"/>
      <c r="E778" s="242"/>
      <c r="F778" s="257"/>
      <c r="G778" s="242"/>
      <c r="H778" s="257"/>
      <c r="I778" s="242"/>
      <c r="J778" s="249">
        <f>IF(OR(B778="",C778="",E778=""),"",B778&amp;":"&amp;C778&amp;":"&amp;E778)</f>
      </c>
      <c r="K778" s="250">
        <f>IF(A778="","",A778*D778)</f>
      </c>
      <c r="L778" s="249">
        <f>IF(A778="","",IF(OR(A778=1,A778=0),H778,0))</f>
      </c>
      <c r="M778" s="249">
        <f>IF(A778="","",IF(A778=-1,H778,0))</f>
      </c>
      <c r="N778">
        <f>IF($E778="SGD",1,IF($E778="USD",Settings!$B$22,IF($E778="HKD",Settings!$B$23,1)))</f>
      </c>
      <c r="O778">
        <f>IF($J778="",0,($M778-$L778+IF($A778=2,$H778,0))*$N778)</f>
      </c>
      <c r="P778">
        <f>IF($J778="",0,IF($A778=2,$H778*$N778,0))</f>
      </c>
    </row>
    <row r="779" spans="1:16" ht="15" customHeight="1" x14ac:dyDescent="0.15">
      <c r="A779" s="242"/>
      <c r="B779" s="242"/>
      <c r="C779" s="242"/>
      <c r="D779" s="256"/>
      <c r="E779" s="242"/>
      <c r="F779" s="257"/>
      <c r="G779" s="242"/>
      <c r="H779" s="257"/>
      <c r="I779" s="242"/>
      <c r="J779" s="249">
        <f>IF(OR(B779="",C779="",E779=""),"",B779&amp;":"&amp;C779&amp;":"&amp;E779)</f>
      </c>
      <c r="K779" s="250">
        <f>IF(A779="","",A779*D779)</f>
      </c>
      <c r="L779" s="249">
        <f>IF(A779="","",IF(OR(A779=1,A779=0),H779,0))</f>
      </c>
      <c r="M779" s="249">
        <f>IF(A779="","",IF(A779=-1,H779,0))</f>
      </c>
      <c r="N779">
        <f>IF($E779="SGD",1,IF($E779="USD",Settings!$B$22,IF($E779="HKD",Settings!$B$23,1)))</f>
      </c>
      <c r="O779">
        <f>IF($J779="",0,($M779-$L779+IF($A779=2,$H779,0))*$N779)</f>
      </c>
      <c r="P779">
        <f>IF($J779="",0,IF($A779=2,$H779*$N779,0))</f>
      </c>
    </row>
    <row r="780" spans="1:16" ht="15" customHeight="1" x14ac:dyDescent="0.15">
      <c r="A780" s="242"/>
      <c r="B780" s="242"/>
      <c r="C780" s="242"/>
      <c r="D780" s="256"/>
      <c r="E780" s="242"/>
      <c r="F780" s="257"/>
      <c r="G780" s="242"/>
      <c r="H780" s="257"/>
      <c r="I780" s="242"/>
      <c r="J780" s="249">
        <f>IF(OR(B780="",C780="",E780=""),"",B780&amp;":"&amp;C780&amp;":"&amp;E780)</f>
      </c>
      <c r="K780" s="250">
        <f>IF(A780="","",A780*D780)</f>
      </c>
      <c r="L780" s="249">
        <f>IF(A780="","",IF(OR(A780=1,A780=0),H780,0))</f>
      </c>
      <c r="M780" s="249">
        <f>IF(A780="","",IF(A780=-1,H780,0))</f>
      </c>
      <c r="N780">
        <f>IF($E780="SGD",1,IF($E780="USD",Settings!$B$22,IF($E780="HKD",Settings!$B$23,1)))</f>
      </c>
      <c r="O780">
        <f>IF($J780="",0,($M780-$L780+IF($A780=2,$H780,0))*$N780)</f>
      </c>
      <c r="P780">
        <f>IF($J780="",0,IF($A780=2,$H780*$N780,0))</f>
      </c>
    </row>
    <row r="781" spans="1:16" ht="15" customHeight="1" x14ac:dyDescent="0.15">
      <c r="A781" s="242"/>
      <c r="B781" s="242"/>
      <c r="C781" s="242"/>
      <c r="D781" s="256"/>
      <c r="E781" s="242"/>
      <c r="F781" s="257"/>
      <c r="G781" s="242"/>
      <c r="H781" s="257"/>
      <c r="I781" s="242"/>
      <c r="J781" s="249">
        <f>IF(OR(B781="",C781="",E781=""),"",B781&amp;":"&amp;C781&amp;":"&amp;E781)</f>
      </c>
      <c r="K781" s="250">
        <f>IF(A781="","",A781*D781)</f>
      </c>
      <c r="L781" s="249">
        <f>IF(A781="","",IF(OR(A781=1,A781=0),H781,0))</f>
      </c>
      <c r="M781" s="249">
        <f>IF(A781="","",IF(A781=-1,H781,0))</f>
      </c>
      <c r="N781">
        <f>IF($E781="SGD",1,IF($E781="USD",Settings!$B$22,IF($E781="HKD",Settings!$B$23,1)))</f>
      </c>
      <c r="O781">
        <f>IF($J781="",0,($M781-$L781+IF($A781=2,$H781,0))*$N781)</f>
      </c>
      <c r="P781">
        <f>IF($J781="",0,IF($A781=2,$H781*$N781,0))</f>
      </c>
    </row>
    <row r="782" spans="1:16" ht="15" customHeight="1" x14ac:dyDescent="0.15">
      <c r="A782" s="242"/>
      <c r="B782" s="242"/>
      <c r="C782" s="242"/>
      <c r="D782" s="256"/>
      <c r="E782" s="242"/>
      <c r="F782" s="257"/>
      <c r="G782" s="242"/>
      <c r="H782" s="257"/>
      <c r="I782" s="242"/>
      <c r="J782" s="249">
        <f>IF(OR(B782="",C782="",E782=""),"",B782&amp;":"&amp;C782&amp;":"&amp;E782)</f>
      </c>
      <c r="K782" s="250">
        <f>IF(A782="","",A782*D782)</f>
      </c>
      <c r="L782" s="249">
        <f>IF(A782="","",IF(OR(A782=1,A782=0),H782,0))</f>
      </c>
      <c r="M782" s="249">
        <f>IF(A782="","",IF(A782=-1,H782,0))</f>
      </c>
      <c r="N782">
        <f>IF($E782="SGD",1,IF($E782="USD",Settings!$B$22,IF($E782="HKD",Settings!$B$23,1)))</f>
      </c>
      <c r="O782">
        <f>IF($J782="",0,($M782-$L782+IF($A782=2,$H782,0))*$N782)</f>
      </c>
      <c r="P782">
        <f>IF($J782="",0,IF($A782=2,$H782*$N782,0))</f>
      </c>
    </row>
    <row r="783" spans="1:16" ht="15" customHeight="1" x14ac:dyDescent="0.15">
      <c r="A783" s="242"/>
      <c r="B783" s="242"/>
      <c r="C783" s="242"/>
      <c r="D783" s="256"/>
      <c r="E783" s="242"/>
      <c r="F783" s="257"/>
      <c r="G783" s="242"/>
      <c r="H783" s="257"/>
      <c r="I783" s="242"/>
      <c r="J783" s="249">
        <f>IF(OR(B783="",C783="",E783=""),"",B783&amp;":"&amp;C783&amp;":"&amp;E783)</f>
      </c>
      <c r="K783" s="250">
        <f>IF(A783="","",A783*D783)</f>
      </c>
      <c r="L783" s="249">
        <f>IF(A783="","",IF(OR(A783=1,A783=0),H783,0))</f>
      </c>
      <c r="M783" s="249">
        <f>IF(A783="","",IF(A783=-1,H783,0))</f>
      </c>
      <c r="N783">
        <f>IF($E783="SGD",1,IF($E783="USD",Settings!$B$22,IF($E783="HKD",Settings!$B$23,1)))</f>
      </c>
      <c r="O783">
        <f>IF($J783="",0,($M783-$L783+IF($A783=2,$H783,0))*$N783)</f>
      </c>
      <c r="P783">
        <f>IF($J783="",0,IF($A783=2,$H783*$N783,0))</f>
      </c>
    </row>
    <row r="784" spans="1:16" ht="15" customHeight="1" x14ac:dyDescent="0.15">
      <c r="A784" s="242"/>
      <c r="B784" s="242"/>
      <c r="C784" s="242"/>
      <c r="D784" s="256"/>
      <c r="E784" s="242"/>
      <c r="F784" s="257"/>
      <c r="G784" s="242"/>
      <c r="H784" s="257"/>
      <c r="I784" s="242"/>
      <c r="J784" s="249">
        <f>IF(OR(B784="",C784="",E784=""),"",B784&amp;":"&amp;C784&amp;":"&amp;E784)</f>
      </c>
      <c r="K784" s="250">
        <f>IF(A784="","",A784*D784)</f>
      </c>
      <c r="L784" s="249">
        <f>IF(A784="","",IF(OR(A784=1,A784=0),H784,0))</f>
      </c>
      <c r="M784" s="249">
        <f>IF(A784="","",IF(A784=-1,H784,0))</f>
      </c>
      <c r="N784">
        <f>IF($E784="SGD",1,IF($E784="USD",Settings!$B$22,IF($E784="HKD",Settings!$B$23,1)))</f>
      </c>
      <c r="O784">
        <f>IF($J784="",0,($M784-$L784+IF($A784=2,$H784,0))*$N784)</f>
      </c>
      <c r="P784">
        <f>IF($J784="",0,IF($A784=2,$H784*$N784,0))</f>
      </c>
    </row>
    <row r="785" spans="1:16" ht="15" customHeight="1" x14ac:dyDescent="0.15">
      <c r="A785" s="242"/>
      <c r="B785" s="242"/>
      <c r="C785" s="242"/>
      <c r="D785" s="256"/>
      <c r="E785" s="242"/>
      <c r="F785" s="257"/>
      <c r="G785" s="242"/>
      <c r="H785" s="257"/>
      <c r="I785" s="242"/>
      <c r="J785" s="249">
        <f>IF(OR(B785="",C785="",E785=""),"",B785&amp;":"&amp;C785&amp;":"&amp;E785)</f>
      </c>
      <c r="K785" s="250">
        <f>IF(A785="","",A785*D785)</f>
      </c>
      <c r="L785" s="249">
        <f>IF(A785="","",IF(OR(A785=1,A785=0),H785,0))</f>
      </c>
      <c r="M785" s="249">
        <f>IF(A785="","",IF(A785=-1,H785,0))</f>
      </c>
      <c r="N785">
        <f>IF($E785="SGD",1,IF($E785="USD",Settings!$B$22,IF($E785="HKD",Settings!$B$23,1)))</f>
      </c>
      <c r="O785">
        <f>IF($J785="",0,($M785-$L785+IF($A785=2,$H785,0))*$N785)</f>
      </c>
      <c r="P785">
        <f>IF($J785="",0,IF($A785=2,$H785*$N785,0))</f>
      </c>
    </row>
    <row r="786" spans="1:16" ht="15" customHeight="1" x14ac:dyDescent="0.15">
      <c r="A786" s="242"/>
      <c r="B786" s="242"/>
      <c r="C786" s="242"/>
      <c r="D786" s="256"/>
      <c r="E786" s="242"/>
      <c r="F786" s="257"/>
      <c r="G786" s="242"/>
      <c r="H786" s="257"/>
      <c r="I786" s="242"/>
      <c r="J786" s="249">
        <f>IF(OR(B786="",C786="",E786=""),"",B786&amp;":"&amp;C786&amp;":"&amp;E786)</f>
      </c>
      <c r="K786" s="250">
        <f>IF(A786="","",A786*D786)</f>
      </c>
      <c r="L786" s="249">
        <f>IF(A786="","",IF(OR(A786=1,A786=0),H786,0))</f>
      </c>
      <c r="M786" s="249">
        <f>IF(A786="","",IF(A786=-1,H786,0))</f>
      </c>
      <c r="N786">
        <f>IF($E786="SGD",1,IF($E786="USD",Settings!$B$22,IF($E786="HKD",Settings!$B$23,1)))</f>
      </c>
      <c r="O786">
        <f>IF($J786="",0,($M786-$L786+IF($A786=2,$H786,0))*$N786)</f>
      </c>
      <c r="P786">
        <f>IF($J786="",0,IF($A786=2,$H786*$N786,0))</f>
      </c>
    </row>
    <row r="787" spans="1:16" ht="15" customHeight="1" x14ac:dyDescent="0.15">
      <c r="A787" s="242"/>
      <c r="B787" s="242"/>
      <c r="C787" s="242"/>
      <c r="D787" s="256"/>
      <c r="E787" s="242"/>
      <c r="F787" s="257"/>
      <c r="G787" s="242"/>
      <c r="H787" s="257"/>
      <c r="I787" s="242"/>
      <c r="J787" s="249">
        <f>IF(OR(B787="",C787="",E787=""),"",B787&amp;":"&amp;C787&amp;":"&amp;E787)</f>
      </c>
      <c r="K787" s="250">
        <f>IF(A787="","",A787*D787)</f>
      </c>
      <c r="L787" s="249">
        <f>IF(A787="","",IF(OR(A787=1,A787=0),H787,0))</f>
      </c>
      <c r="M787" s="249">
        <f>IF(A787="","",IF(A787=-1,H787,0))</f>
      </c>
      <c r="N787">
        <f>IF($E787="SGD",1,IF($E787="USD",Settings!$B$22,IF($E787="HKD",Settings!$B$23,1)))</f>
      </c>
      <c r="O787">
        <f>IF($J787="",0,($M787-$L787+IF($A787=2,$H787,0))*$N787)</f>
      </c>
      <c r="P787">
        <f>IF($J787="",0,IF($A787=2,$H787*$N787,0))</f>
      </c>
    </row>
    <row r="788" spans="1:16" ht="15" customHeight="1" x14ac:dyDescent="0.15">
      <c r="A788" s="242"/>
      <c r="B788" s="242"/>
      <c r="C788" s="242"/>
      <c r="D788" s="256"/>
      <c r="E788" s="242"/>
      <c r="F788" s="257"/>
      <c r="G788" s="242"/>
      <c r="H788" s="257"/>
      <c r="I788" s="242"/>
      <c r="J788" s="249">
        <f>IF(OR(B788="",C788="",E788=""),"",B788&amp;":"&amp;C788&amp;":"&amp;E788)</f>
      </c>
      <c r="K788" s="250">
        <f>IF(A788="","",A788*D788)</f>
      </c>
      <c r="L788" s="249">
        <f>IF(A788="","",IF(OR(A788=1,A788=0),H788,0))</f>
      </c>
      <c r="M788" s="249">
        <f>IF(A788="","",IF(A788=-1,H788,0))</f>
      </c>
      <c r="N788">
        <f>IF($E788="SGD",1,IF($E788="USD",Settings!$B$22,IF($E788="HKD",Settings!$B$23,1)))</f>
      </c>
      <c r="O788">
        <f>IF($J788="",0,($M788-$L788+IF($A788=2,$H788,0))*$N788)</f>
      </c>
      <c r="P788">
        <f>IF($J788="",0,IF($A788=2,$H788*$N788,0))</f>
      </c>
    </row>
    <row r="789" spans="1:16" ht="15" customHeight="1" x14ac:dyDescent="0.15">
      <c r="A789" s="242"/>
      <c r="B789" s="242"/>
      <c r="C789" s="242"/>
      <c r="D789" s="256"/>
      <c r="E789" s="242"/>
      <c r="F789" s="257"/>
      <c r="G789" s="242"/>
      <c r="H789" s="257"/>
      <c r="I789" s="242"/>
      <c r="J789" s="249">
        <f>IF(OR(B789="",C789="",E789=""),"",B789&amp;":"&amp;C789&amp;":"&amp;E789)</f>
      </c>
      <c r="K789" s="250">
        <f>IF(A789="","",A789*D789)</f>
      </c>
      <c r="L789" s="249">
        <f>IF(A789="","",IF(OR(A789=1,A789=0),H789,0))</f>
      </c>
      <c r="M789" s="249">
        <f>IF(A789="","",IF(A789=-1,H789,0))</f>
      </c>
      <c r="N789">
        <f>IF($E789="SGD",1,IF($E789="USD",Settings!$B$22,IF($E789="HKD",Settings!$B$23,1)))</f>
      </c>
      <c r="O789">
        <f>IF($J789="",0,($M789-$L789+IF($A789=2,$H789,0))*$N789)</f>
      </c>
      <c r="P789">
        <f>IF($J789="",0,IF($A789=2,$H789*$N789,0))</f>
      </c>
    </row>
    <row r="790" spans="1:16" ht="15" customHeight="1" x14ac:dyDescent="0.15">
      <c r="A790" s="242"/>
      <c r="B790" s="242"/>
      <c r="C790" s="242"/>
      <c r="D790" s="256"/>
      <c r="E790" s="242"/>
      <c r="F790" s="257"/>
      <c r="G790" s="242"/>
      <c r="H790" s="257"/>
      <c r="I790" s="242"/>
      <c r="J790" s="249">
        <f>IF(OR(B790="",C790="",E790=""),"",B790&amp;":"&amp;C790&amp;":"&amp;E790)</f>
      </c>
      <c r="K790" s="250">
        <f>IF(A790="","",A790*D790)</f>
      </c>
      <c r="L790" s="249">
        <f>IF(A790="","",IF(OR(A790=1,A790=0),H790,0))</f>
      </c>
      <c r="M790" s="249">
        <f>IF(A790="","",IF(A790=-1,H790,0))</f>
      </c>
      <c r="N790">
        <f>IF($E790="SGD",1,IF($E790="USD",Settings!$B$22,IF($E790="HKD",Settings!$B$23,1)))</f>
      </c>
      <c r="O790">
        <f>IF($J790="",0,($M790-$L790+IF($A790=2,$H790,0))*$N790)</f>
      </c>
      <c r="P790">
        <f>IF($J790="",0,IF($A790=2,$H790*$N790,0))</f>
      </c>
    </row>
    <row r="791" spans="1:16" ht="15" customHeight="1" x14ac:dyDescent="0.15">
      <c r="A791" s="242"/>
      <c r="B791" s="242"/>
      <c r="C791" s="242"/>
      <c r="D791" s="256"/>
      <c r="E791" s="242"/>
      <c r="F791" s="257"/>
      <c r="G791" s="242"/>
      <c r="H791" s="257"/>
      <c r="I791" s="242"/>
      <c r="J791" s="249">
        <f>IF(OR(B791="",C791="",E791=""),"",B791&amp;":"&amp;C791&amp;":"&amp;E791)</f>
      </c>
      <c r="K791" s="250">
        <f>IF(A791="","",A791*D791)</f>
      </c>
      <c r="L791" s="249">
        <f>IF(A791="","",IF(OR(A791=1,A791=0),H791,0))</f>
      </c>
      <c r="M791" s="249">
        <f>IF(A791="","",IF(A791=-1,H791,0))</f>
      </c>
      <c r="N791">
        <f>IF($E791="SGD",1,IF($E791="USD",Settings!$B$22,IF($E791="HKD",Settings!$B$23,1)))</f>
      </c>
      <c r="O791">
        <f>IF($J791="",0,($M791-$L791+IF($A791=2,$H791,0))*$N791)</f>
      </c>
      <c r="P791">
        <f>IF($J791="",0,IF($A791=2,$H791*$N791,0))</f>
      </c>
    </row>
    <row r="792" spans="1:16" ht="15" customHeight="1" x14ac:dyDescent="0.15">
      <c r="A792" s="242"/>
      <c r="B792" s="242"/>
      <c r="C792" s="242"/>
      <c r="D792" s="256"/>
      <c r="E792" s="242"/>
      <c r="F792" s="257"/>
      <c r="G792" s="242"/>
      <c r="H792" s="257"/>
      <c r="I792" s="242"/>
      <c r="J792" s="249">
        <f>IF(OR(B792="",C792="",E792=""),"",B792&amp;":"&amp;C792&amp;":"&amp;E792)</f>
      </c>
      <c r="K792" s="250">
        <f>IF(A792="","",A792*D792)</f>
      </c>
      <c r="L792" s="249">
        <f>IF(A792="","",IF(OR(A792=1,A792=0),H792,0))</f>
      </c>
      <c r="M792" s="249">
        <f>IF(A792="","",IF(A792=-1,H792,0))</f>
      </c>
      <c r="N792">
        <f>IF($E792="SGD",1,IF($E792="USD",Settings!$B$22,IF($E792="HKD",Settings!$B$23,1)))</f>
      </c>
      <c r="O792">
        <f>IF($J792="",0,($M792-$L792+IF($A792=2,$H792,0))*$N792)</f>
      </c>
      <c r="P792">
        <f>IF($J792="",0,IF($A792=2,$H792*$N792,0))</f>
      </c>
    </row>
    <row r="793" spans="1:16" ht="15" customHeight="1" x14ac:dyDescent="0.15">
      <c r="A793" s="242"/>
      <c r="B793" s="242"/>
      <c r="C793" s="242"/>
      <c r="D793" s="256"/>
      <c r="E793" s="242"/>
      <c r="F793" s="257"/>
      <c r="G793" s="242"/>
      <c r="H793" s="257"/>
      <c r="I793" s="242"/>
      <c r="J793" s="249">
        <f>IF(OR(B793="",C793="",E793=""),"",B793&amp;":"&amp;C793&amp;":"&amp;E793)</f>
      </c>
      <c r="K793" s="250">
        <f>IF(A793="","",A793*D793)</f>
      </c>
      <c r="L793" s="249">
        <f>IF(A793="","",IF(OR(A793=1,A793=0),H793,0))</f>
      </c>
      <c r="M793" s="249">
        <f>IF(A793="","",IF(A793=-1,H793,0))</f>
      </c>
      <c r="N793">
        <f>IF($E793="SGD",1,IF($E793="USD",Settings!$B$22,IF($E793="HKD",Settings!$B$23,1)))</f>
      </c>
      <c r="O793">
        <f>IF($J793="",0,($M793-$L793+IF($A793=2,$H793,0))*$N793)</f>
      </c>
      <c r="P793">
        <f>IF($J793="",0,IF($A793=2,$H793*$N793,0))</f>
      </c>
    </row>
    <row r="794" spans="1:16" ht="15" customHeight="1" x14ac:dyDescent="0.15">
      <c r="A794" s="242"/>
      <c r="B794" s="242"/>
      <c r="C794" s="242"/>
      <c r="D794" s="256"/>
      <c r="E794" s="242"/>
      <c r="F794" s="257"/>
      <c r="G794" s="242"/>
      <c r="H794" s="257"/>
      <c r="I794" s="242"/>
      <c r="J794" s="249">
        <f>IF(OR(B794="",C794="",E794=""),"",B794&amp;":"&amp;C794&amp;":"&amp;E794)</f>
      </c>
      <c r="K794" s="250">
        <f>IF(A794="","",A794*D794)</f>
      </c>
      <c r="L794" s="249">
        <f>IF(A794="","",IF(OR(A794=1,A794=0),H794,0))</f>
      </c>
      <c r="M794" s="249">
        <f>IF(A794="","",IF(A794=-1,H794,0))</f>
      </c>
      <c r="N794">
        <f>IF($E794="SGD",1,IF($E794="USD",Settings!$B$22,IF($E794="HKD",Settings!$B$23,1)))</f>
      </c>
      <c r="O794">
        <f>IF($J794="",0,($M794-$L794+IF($A794=2,$H794,0))*$N794)</f>
      </c>
      <c r="P794">
        <f>IF($J794="",0,IF($A794=2,$H794*$N794,0))</f>
      </c>
    </row>
    <row r="795" spans="1:16" ht="15" customHeight="1" x14ac:dyDescent="0.15">
      <c r="A795" s="242"/>
      <c r="B795" s="242"/>
      <c r="C795" s="242"/>
      <c r="D795" s="256"/>
      <c r="E795" s="242"/>
      <c r="F795" s="257"/>
      <c r="G795" s="242"/>
      <c r="H795" s="257"/>
      <c r="I795" s="242"/>
      <c r="J795" s="249">
        <f>IF(OR(B795="",C795="",E795=""),"",B795&amp;":"&amp;C795&amp;":"&amp;E795)</f>
      </c>
      <c r="K795" s="250">
        <f>IF(A795="","",A795*D795)</f>
      </c>
      <c r="L795" s="249">
        <f>IF(A795="","",IF(OR(A795=1,A795=0),H795,0))</f>
      </c>
      <c r="M795" s="249">
        <f>IF(A795="","",IF(A795=-1,H795,0))</f>
      </c>
      <c r="N795">
        <f>IF($E795="SGD",1,IF($E795="USD",Settings!$B$22,IF($E795="HKD",Settings!$B$23,1)))</f>
      </c>
      <c r="O795">
        <f>IF($J795="",0,($M795-$L795+IF($A795=2,$H795,0))*$N795)</f>
      </c>
      <c r="P795">
        <f>IF($J795="",0,IF($A795=2,$H795*$N795,0))</f>
      </c>
    </row>
    <row r="796" spans="1:16" ht="15" customHeight="1" x14ac:dyDescent="0.15">
      <c r="A796" s="242"/>
      <c r="B796" s="242"/>
      <c r="C796" s="242"/>
      <c r="D796" s="256"/>
      <c r="E796" s="242"/>
      <c r="F796" s="257"/>
      <c r="G796" s="242"/>
      <c r="H796" s="257"/>
      <c r="I796" s="242"/>
      <c r="J796" s="249">
        <f>IF(OR(B796="",C796="",E796=""),"",B796&amp;":"&amp;C796&amp;":"&amp;E796)</f>
      </c>
      <c r="K796" s="250">
        <f>IF(A796="","",A796*D796)</f>
      </c>
      <c r="L796" s="249">
        <f>IF(A796="","",IF(OR(A796=1,A796=0),H796,0))</f>
      </c>
      <c r="M796" s="249">
        <f>IF(A796="","",IF(A796=-1,H796,0))</f>
      </c>
      <c r="N796">
        <f>IF($E796="SGD",1,IF($E796="USD",Settings!$B$22,IF($E796="HKD",Settings!$B$23,1)))</f>
      </c>
      <c r="O796">
        <f>IF($J796="",0,($M796-$L796+IF($A796=2,$H796,0))*$N796)</f>
      </c>
      <c r="P796">
        <f>IF($J796="",0,IF($A796=2,$H796*$N796,0))</f>
      </c>
    </row>
    <row r="797" spans="1:16" ht="15" customHeight="1" x14ac:dyDescent="0.15">
      <c r="A797" s="242"/>
      <c r="B797" s="242"/>
      <c r="C797" s="242"/>
      <c r="D797" s="256"/>
      <c r="E797" s="242"/>
      <c r="F797" s="257"/>
      <c r="G797" s="242"/>
      <c r="H797" s="257"/>
      <c r="I797" s="242"/>
      <c r="J797" s="249">
        <f>IF(OR(B797="",C797="",E797=""),"",B797&amp;":"&amp;C797&amp;":"&amp;E797)</f>
      </c>
      <c r="K797" s="250">
        <f>IF(A797="","",A797*D797)</f>
      </c>
      <c r="L797" s="249">
        <f>IF(A797="","",IF(OR(A797=1,A797=0),H797,0))</f>
      </c>
      <c r="M797" s="249">
        <f>IF(A797="","",IF(A797=-1,H797,0))</f>
      </c>
      <c r="N797">
        <f>IF($E797="SGD",1,IF($E797="USD",Settings!$B$22,IF($E797="HKD",Settings!$B$23,1)))</f>
      </c>
      <c r="O797">
        <f>IF($J797="",0,($M797-$L797+IF($A797=2,$H797,0))*$N797)</f>
      </c>
      <c r="P797">
        <f>IF($J797="",0,IF($A797=2,$H797*$N797,0))</f>
      </c>
    </row>
    <row r="798" spans="1:16" ht="15" customHeight="1" x14ac:dyDescent="0.15">
      <c r="A798" s="242"/>
      <c r="B798" s="242"/>
      <c r="C798" s="242"/>
      <c r="D798" s="256"/>
      <c r="E798" s="242"/>
      <c r="F798" s="257"/>
      <c r="G798" s="242"/>
      <c r="H798" s="257"/>
      <c r="I798" s="242"/>
      <c r="J798" s="249">
        <f>IF(OR(B798="",C798="",E798=""),"",B798&amp;":"&amp;C798&amp;":"&amp;E798)</f>
      </c>
      <c r="K798" s="250">
        <f>IF(A798="","",A798*D798)</f>
      </c>
      <c r="L798" s="249">
        <f>IF(A798="","",IF(OR(A798=1,A798=0),H798,0))</f>
      </c>
      <c r="M798" s="249">
        <f>IF(A798="","",IF(A798=-1,H798,0))</f>
      </c>
      <c r="N798">
        <f>IF($E798="SGD",1,IF($E798="USD",Settings!$B$22,IF($E798="HKD",Settings!$B$23,1)))</f>
      </c>
      <c r="O798">
        <f>IF($J798="",0,($M798-$L798+IF($A798=2,$H798,0))*$N798)</f>
      </c>
      <c r="P798">
        <f>IF($J798="",0,IF($A798=2,$H798*$N798,0))</f>
      </c>
    </row>
    <row r="799" spans="1:16" ht="15" customHeight="1" x14ac:dyDescent="0.15">
      <c r="A799" s="242"/>
      <c r="B799" s="242"/>
      <c r="C799" s="242"/>
      <c r="D799" s="256"/>
      <c r="E799" s="242"/>
      <c r="F799" s="257"/>
      <c r="G799" s="242"/>
      <c r="H799" s="257"/>
      <c r="I799" s="242"/>
      <c r="J799" s="249">
        <f>IF(OR(B799="",C799="",E799=""),"",B799&amp;":"&amp;C799&amp;":"&amp;E799)</f>
      </c>
      <c r="K799" s="250">
        <f>IF(A799="","",A799*D799)</f>
      </c>
      <c r="L799" s="249">
        <f>IF(A799="","",IF(OR(A799=1,A799=0),H799,0))</f>
      </c>
      <c r="M799" s="249">
        <f>IF(A799="","",IF(A799=-1,H799,0))</f>
      </c>
      <c r="N799">
        <f>IF($E799="SGD",1,IF($E799="USD",Settings!$B$22,IF($E799="HKD",Settings!$B$23,1)))</f>
      </c>
      <c r="O799">
        <f>IF($J799="",0,($M799-$L799+IF($A799=2,$H799,0))*$N799)</f>
      </c>
      <c r="P799">
        <f>IF($J799="",0,IF($A799=2,$H799*$N799,0))</f>
      </c>
    </row>
    <row r="800" spans="1:16" ht="15" customHeight="1" x14ac:dyDescent="0.15">
      <c r="A800" s="242"/>
      <c r="B800" s="242"/>
      <c r="C800" s="242"/>
      <c r="D800" s="256"/>
      <c r="E800" s="242"/>
      <c r="F800" s="257"/>
      <c r="G800" s="242"/>
      <c r="H800" s="257"/>
      <c r="I800" s="242"/>
      <c r="J800" s="249">
        <f>IF(OR(B800="",C800="",E800=""),"",B800&amp;":"&amp;C800&amp;":"&amp;E800)</f>
      </c>
      <c r="K800" s="250">
        <f>IF(A800="","",A800*D800)</f>
      </c>
      <c r="L800" s="249">
        <f>IF(A800="","",IF(OR(A800=1,A800=0),H800,0))</f>
      </c>
      <c r="M800" s="249">
        <f>IF(A800="","",IF(A800=-1,H800,0))</f>
      </c>
      <c r="N800">
        <f>IF($E800="SGD",1,IF($E800="USD",Settings!$B$22,IF($E800="HKD",Settings!$B$23,1)))</f>
      </c>
      <c r="O800">
        <f>IF($J800="",0,($M800-$L800+IF($A800=2,$H800,0))*$N800)</f>
      </c>
      <c r="P800">
        <f>IF($J800="",0,IF($A800=2,$H800*$N800,0))</f>
      </c>
    </row>
    <row r="801" spans="1:16" ht="15" customHeight="1" x14ac:dyDescent="0.15">
      <c r="A801" s="242"/>
      <c r="B801" s="242"/>
      <c r="C801" s="242"/>
      <c r="D801" s="256"/>
      <c r="E801" s="242"/>
      <c r="F801" s="257"/>
      <c r="G801" s="242"/>
      <c r="H801" s="257"/>
      <c r="I801" s="242"/>
      <c r="J801" s="249">
        <f>IF(OR(B801="",C801="",E801=""),"",B801&amp;":"&amp;C801&amp;":"&amp;E801)</f>
      </c>
      <c r="K801" s="250">
        <f>IF(A801="","",A801*D801)</f>
      </c>
      <c r="L801" s="249">
        <f>IF(A801="","",IF(OR(A801=1,A801=0),H801,0))</f>
      </c>
      <c r="M801" s="249">
        <f>IF(A801="","",IF(A801=-1,H801,0))</f>
      </c>
      <c r="N801">
        <f>IF($E801="SGD",1,IF($E801="USD",Settings!$B$22,IF($E801="HKD",Settings!$B$23,1)))</f>
      </c>
      <c r="O801">
        <f>IF($J801="",0,($M801-$L801+IF($A801=2,$H801,0))*$N801)</f>
      </c>
      <c r="P801">
        <f>IF($J801="",0,IF($A801=2,$H801*$N801,0))</f>
      </c>
    </row>
    <row r="802" spans="1:16" ht="15" customHeight="1" x14ac:dyDescent="0.15">
      <c r="A802" s="242"/>
      <c r="B802" s="242"/>
      <c r="C802" s="242"/>
      <c r="D802" s="256"/>
      <c r="E802" s="242"/>
      <c r="F802" s="257"/>
      <c r="G802" s="242"/>
      <c r="H802" s="257"/>
      <c r="I802" s="242"/>
      <c r="J802" s="249">
        <f>IF(OR(B802="",C802="",E802=""),"",B802&amp;":"&amp;C802&amp;":"&amp;E802)</f>
      </c>
      <c r="K802" s="250">
        <f>IF(A802="","",A802*D802)</f>
      </c>
      <c r="L802" s="249">
        <f>IF(A802="","",IF(OR(A802=1,A802=0),H802,0))</f>
      </c>
      <c r="M802" s="249">
        <f>IF(A802="","",IF(A802=-1,H802,0))</f>
      </c>
      <c r="N802">
        <f>IF($E802="SGD",1,IF($E802="USD",Settings!$B$22,IF($E802="HKD",Settings!$B$23,1)))</f>
      </c>
      <c r="O802">
        <f>IF($J802="",0,($M802-$L802+IF($A802=2,$H802,0))*$N802)</f>
      </c>
      <c r="P802">
        <f>IF($J802="",0,IF($A802=2,$H802*$N802,0))</f>
      </c>
    </row>
    <row r="803" spans="1:16" ht="15" customHeight="1" x14ac:dyDescent="0.15">
      <c r="A803" s="242"/>
      <c r="B803" s="242"/>
      <c r="C803" s="242"/>
      <c r="D803" s="256"/>
      <c r="E803" s="242"/>
      <c r="F803" s="257"/>
      <c r="G803" s="242"/>
      <c r="H803" s="257"/>
      <c r="I803" s="242"/>
      <c r="J803" s="249">
        <f>IF(OR(B803="",C803="",E803=""),"",B803&amp;":"&amp;C803&amp;":"&amp;E803)</f>
      </c>
      <c r="K803" s="250">
        <f>IF(A803="","",A803*D803)</f>
      </c>
      <c r="L803" s="249">
        <f>IF(A803="","",IF(OR(A803=1,A803=0),H803,0))</f>
      </c>
      <c r="M803" s="249">
        <f>IF(A803="","",IF(A803=-1,H803,0))</f>
      </c>
      <c r="N803">
        <f>IF($E803="SGD",1,IF($E803="USD",Settings!$B$22,IF($E803="HKD",Settings!$B$23,1)))</f>
      </c>
      <c r="O803">
        <f>IF($J803="",0,($M803-$L803+IF($A803=2,$H803,0))*$N803)</f>
      </c>
      <c r="P803">
        <f>IF($J803="",0,IF($A803=2,$H803*$N803,0))</f>
      </c>
    </row>
    <row r="804" spans="1:16" ht="15" customHeight="1" x14ac:dyDescent="0.15">
      <c r="A804" s="242"/>
      <c r="B804" s="242"/>
      <c r="C804" s="242"/>
      <c r="D804" s="256"/>
      <c r="E804" s="242"/>
      <c r="F804" s="257"/>
      <c r="G804" s="242"/>
      <c r="H804" s="257"/>
      <c r="I804" s="242"/>
      <c r="J804" s="249">
        <f>IF(OR(B804="",C804="",E804=""),"",B804&amp;":"&amp;C804&amp;":"&amp;E804)</f>
      </c>
      <c r="K804" s="250">
        <f>IF(A804="","",A804*D804)</f>
      </c>
      <c r="L804" s="249">
        <f>IF(A804="","",IF(OR(A804=1,A804=0),H804,0))</f>
      </c>
      <c r="M804" s="249">
        <f>IF(A804="","",IF(A804=-1,H804,0))</f>
      </c>
      <c r="N804">
        <f>IF($E804="SGD",1,IF($E804="USD",Settings!$B$22,IF($E804="HKD",Settings!$B$23,1)))</f>
      </c>
      <c r="O804">
        <f>IF($J804="",0,($M804-$L804+IF($A804=2,$H804,0))*$N804)</f>
      </c>
      <c r="P804">
        <f>IF($J804="",0,IF($A804=2,$H804*$N804,0))</f>
      </c>
    </row>
    <row r="805" spans="1:16" ht="15" customHeight="1" x14ac:dyDescent="0.15">
      <c r="A805" s="242"/>
      <c r="B805" s="242"/>
      <c r="C805" s="242"/>
      <c r="D805" s="256"/>
      <c r="E805" s="242"/>
      <c r="F805" s="257"/>
      <c r="G805" s="242"/>
      <c r="H805" s="257"/>
      <c r="I805" s="242"/>
      <c r="J805" s="249">
        <f>IF(OR(B805="",C805="",E805=""),"",B805&amp;":"&amp;C805&amp;":"&amp;E805)</f>
      </c>
      <c r="K805" s="250">
        <f>IF(A805="","",A805*D805)</f>
      </c>
      <c r="L805" s="249">
        <f>IF(A805="","",IF(OR(A805=1,A805=0),H805,0))</f>
      </c>
      <c r="M805" s="249">
        <f>IF(A805="","",IF(A805=-1,H805,0))</f>
      </c>
      <c r="N805">
        <f>IF($E805="SGD",1,IF($E805="USD",Settings!$B$22,IF($E805="HKD",Settings!$B$23,1)))</f>
      </c>
      <c r="O805">
        <f>IF($J805="",0,($M805-$L805+IF($A805=2,$H805,0))*$N805)</f>
      </c>
      <c r="P805">
        <f>IF($J805="",0,IF($A805=2,$H805*$N805,0))</f>
      </c>
    </row>
    <row r="806" spans="1:16" ht="15" customHeight="1" x14ac:dyDescent="0.15">
      <c r="A806" s="242"/>
      <c r="B806" s="242"/>
      <c r="C806" s="242"/>
      <c r="D806" s="256"/>
      <c r="E806" s="242"/>
      <c r="F806" s="257"/>
      <c r="G806" s="242"/>
      <c r="H806" s="257"/>
      <c r="I806" s="242"/>
      <c r="J806" s="249">
        <f>IF(OR(B806="",C806="",E806=""),"",B806&amp;":"&amp;C806&amp;":"&amp;E806)</f>
      </c>
      <c r="K806" s="250">
        <f>IF(A806="","",A806*D806)</f>
      </c>
      <c r="L806" s="249">
        <f>IF(A806="","",IF(OR(A806=1,A806=0),H806,0))</f>
      </c>
      <c r="M806" s="249">
        <f>IF(A806="","",IF(A806=-1,H806,0))</f>
      </c>
      <c r="N806">
        <f>IF($E806="SGD",1,IF($E806="USD",Settings!$B$22,IF($E806="HKD",Settings!$B$23,1)))</f>
      </c>
      <c r="O806">
        <f>IF($J806="",0,($M806-$L806+IF($A806=2,$H806,0))*$N806)</f>
      </c>
      <c r="P806">
        <f>IF($J806="",0,IF($A806=2,$H806*$N806,0))</f>
      </c>
    </row>
    <row r="807" spans="1:16" ht="15" customHeight="1" x14ac:dyDescent="0.15">
      <c r="A807" s="242"/>
      <c r="B807" s="242"/>
      <c r="C807" s="242"/>
      <c r="D807" s="256"/>
      <c r="E807" s="242"/>
      <c r="F807" s="257"/>
      <c r="G807" s="242"/>
      <c r="H807" s="257"/>
      <c r="I807" s="242"/>
      <c r="J807" s="249">
        <f>IF(OR(B807="",C807="",E807=""),"",B807&amp;":"&amp;C807&amp;":"&amp;E807)</f>
      </c>
      <c r="K807" s="250">
        <f>IF(A807="","",A807*D807)</f>
      </c>
      <c r="L807" s="249">
        <f>IF(A807="","",IF(OR(A807=1,A807=0),H807,0))</f>
      </c>
      <c r="M807" s="249">
        <f>IF(A807="","",IF(A807=-1,H807,0))</f>
      </c>
      <c r="N807">
        <f>IF($E807="SGD",1,IF($E807="USD",Settings!$B$22,IF($E807="HKD",Settings!$B$23,1)))</f>
      </c>
      <c r="O807">
        <f>IF($J807="",0,($M807-$L807+IF($A807=2,$H807,0))*$N807)</f>
      </c>
      <c r="P807">
        <f>IF($J807="",0,IF($A807=2,$H807*$N807,0))</f>
      </c>
    </row>
    <row r="808" spans="1:16" ht="15" customHeight="1" x14ac:dyDescent="0.15">
      <c r="A808" s="242"/>
      <c r="B808" s="242"/>
      <c r="C808" s="242"/>
      <c r="D808" s="256"/>
      <c r="E808" s="242"/>
      <c r="F808" s="257"/>
      <c r="G808" s="242"/>
      <c r="H808" s="257"/>
      <c r="I808" s="242"/>
      <c r="J808" s="249">
        <f>IF(OR(B808="",C808="",E808=""),"",B808&amp;":"&amp;C808&amp;":"&amp;E808)</f>
      </c>
      <c r="K808" s="250">
        <f>IF(A808="","",A808*D808)</f>
      </c>
      <c r="L808" s="249">
        <f>IF(A808="","",IF(OR(A808=1,A808=0),H808,0))</f>
      </c>
      <c r="M808" s="249">
        <f>IF(A808="","",IF(A808=-1,H808,0))</f>
      </c>
      <c r="N808">
        <f>IF($E808="SGD",1,IF($E808="USD",Settings!$B$22,IF($E808="HKD",Settings!$B$23,1)))</f>
      </c>
      <c r="O808">
        <f>IF($J808="",0,($M808-$L808+IF($A808=2,$H808,0))*$N808)</f>
      </c>
      <c r="P808">
        <f>IF($J808="",0,IF($A808=2,$H808*$N808,0))</f>
      </c>
    </row>
    <row r="809" spans="1:16" ht="15" customHeight="1" x14ac:dyDescent="0.15">
      <c r="A809" s="242"/>
      <c r="B809" s="242"/>
      <c r="C809" s="242"/>
      <c r="D809" s="256"/>
      <c r="E809" s="242"/>
      <c r="F809" s="257"/>
      <c r="G809" s="242"/>
      <c r="H809" s="257"/>
      <c r="I809" s="242"/>
      <c r="J809" s="249">
        <f>IF(OR(B809="",C809="",E809=""),"",B809&amp;":"&amp;C809&amp;":"&amp;E809)</f>
      </c>
      <c r="K809" s="250">
        <f>IF(A809="","",A809*D809)</f>
      </c>
      <c r="L809" s="249">
        <f>IF(A809="","",IF(OR(A809=1,A809=0),H809,0))</f>
      </c>
      <c r="M809" s="249">
        <f>IF(A809="","",IF(A809=-1,H809,0))</f>
      </c>
      <c r="N809">
        <f>IF($E809="SGD",1,IF($E809="USD",Settings!$B$22,IF($E809="HKD",Settings!$B$23,1)))</f>
      </c>
      <c r="O809">
        <f>IF($J809="",0,($M809-$L809+IF($A809=2,$H809,0))*$N809)</f>
      </c>
      <c r="P809">
        <f>IF($J809="",0,IF($A809=2,$H809*$N809,0))</f>
      </c>
    </row>
    <row r="810" spans="1:16" ht="15" customHeight="1" x14ac:dyDescent="0.15">
      <c r="A810" s="242"/>
      <c r="B810" s="242"/>
      <c r="C810" s="242"/>
      <c r="D810" s="256"/>
      <c r="E810" s="242"/>
      <c r="F810" s="257"/>
      <c r="G810" s="242"/>
      <c r="H810" s="257"/>
      <c r="I810" s="242"/>
      <c r="J810" s="249">
        <f>IF(OR(B810="",C810="",E810=""),"",B810&amp;":"&amp;C810&amp;":"&amp;E810)</f>
      </c>
      <c r="K810" s="250">
        <f>IF(A810="","",A810*D810)</f>
      </c>
      <c r="L810" s="249">
        <f>IF(A810="","",IF(OR(A810=1,A810=0),H810,0))</f>
      </c>
      <c r="M810" s="249">
        <f>IF(A810="","",IF(A810=-1,H810,0))</f>
      </c>
      <c r="N810">
        <f>IF($E810="SGD",1,IF($E810="USD",Settings!$B$22,IF($E810="HKD",Settings!$B$23,1)))</f>
      </c>
      <c r="O810">
        <f>IF($J810="",0,($M810-$L810+IF($A810=2,$H810,0))*$N810)</f>
      </c>
      <c r="P810">
        <f>IF($J810="",0,IF($A810=2,$H810*$N810,0))</f>
      </c>
    </row>
    <row r="811" spans="1:16" ht="15" customHeight="1" x14ac:dyDescent="0.15">
      <c r="A811" s="242"/>
      <c r="B811" s="242"/>
      <c r="C811" s="242"/>
      <c r="D811" s="256"/>
      <c r="E811" s="242"/>
      <c r="F811" s="257"/>
      <c r="G811" s="242"/>
      <c r="H811" s="257"/>
      <c r="I811" s="242"/>
      <c r="J811" s="249">
        <f>IF(OR(B811="",C811="",E811=""),"",B811&amp;":"&amp;C811&amp;":"&amp;E811)</f>
      </c>
      <c r="K811" s="250">
        <f>IF(A811="","",A811*D811)</f>
      </c>
      <c r="L811" s="249">
        <f>IF(A811="","",IF(OR(A811=1,A811=0),H811,0))</f>
      </c>
      <c r="M811" s="249">
        <f>IF(A811="","",IF(A811=-1,H811,0))</f>
      </c>
      <c r="N811">
        <f>IF($E811="SGD",1,IF($E811="USD",Settings!$B$22,IF($E811="HKD",Settings!$B$23,1)))</f>
      </c>
      <c r="O811">
        <f>IF($J811="",0,($M811-$L811+IF($A811=2,$H811,0))*$N811)</f>
      </c>
      <c r="P811">
        <f>IF($J811="",0,IF($A811=2,$H811*$N811,0))</f>
      </c>
    </row>
    <row r="812" spans="1:16" ht="15" customHeight="1" x14ac:dyDescent="0.15">
      <c r="A812" s="242"/>
      <c r="B812" s="242"/>
      <c r="C812" s="242"/>
      <c r="D812" s="256"/>
      <c r="E812" s="242"/>
      <c r="F812" s="257"/>
      <c r="G812" s="242"/>
      <c r="H812" s="257"/>
      <c r="I812" s="242"/>
      <c r="J812" s="249">
        <f>IF(OR(B812="",C812="",E812=""),"",B812&amp;":"&amp;C812&amp;":"&amp;E812)</f>
      </c>
      <c r="K812" s="250">
        <f>IF(A812="","",A812*D812)</f>
      </c>
      <c r="L812" s="249">
        <f>IF(A812="","",IF(OR(A812=1,A812=0),H812,0))</f>
      </c>
      <c r="M812" s="249">
        <f>IF(A812="","",IF(A812=-1,H812,0))</f>
      </c>
      <c r="N812">
        <f>IF($E812="SGD",1,IF($E812="USD",Settings!$B$22,IF($E812="HKD",Settings!$B$23,1)))</f>
      </c>
      <c r="O812">
        <f>IF($J812="",0,($M812-$L812+IF($A812=2,$H812,0))*$N812)</f>
      </c>
      <c r="P812">
        <f>IF($J812="",0,IF($A812=2,$H812*$N812,0))</f>
      </c>
    </row>
    <row r="813" spans="1:16" ht="15" customHeight="1" x14ac:dyDescent="0.15">
      <c r="A813" s="242"/>
      <c r="B813" s="242"/>
      <c r="C813" s="242"/>
      <c r="D813" s="256"/>
      <c r="E813" s="242"/>
      <c r="F813" s="257"/>
      <c r="G813" s="242"/>
      <c r="H813" s="257"/>
      <c r="I813" s="242"/>
      <c r="J813" s="249">
        <f>IF(OR(B813="",C813="",E813=""),"",B813&amp;":"&amp;C813&amp;":"&amp;E813)</f>
      </c>
      <c r="K813" s="250">
        <f>IF(A813="","",A813*D813)</f>
      </c>
      <c r="L813" s="249">
        <f>IF(A813="","",IF(OR(A813=1,A813=0),H813,0))</f>
      </c>
      <c r="M813" s="249">
        <f>IF(A813="","",IF(A813=-1,H813,0))</f>
      </c>
      <c r="N813">
        <f>IF($E813="SGD",1,IF($E813="USD",Settings!$B$22,IF($E813="HKD",Settings!$B$23,1)))</f>
      </c>
      <c r="O813">
        <f>IF($J813="",0,($M813-$L813+IF($A813=2,$H813,0))*$N813)</f>
      </c>
      <c r="P813">
        <f>IF($J813="",0,IF($A813=2,$H813*$N813,0))</f>
      </c>
    </row>
    <row r="814" spans="1:16" ht="15" customHeight="1" x14ac:dyDescent="0.15">
      <c r="A814" s="242"/>
      <c r="B814" s="242"/>
      <c r="C814" s="242"/>
      <c r="D814" s="256"/>
      <c r="E814" s="242"/>
      <c r="F814" s="257"/>
      <c r="G814" s="242"/>
      <c r="H814" s="257"/>
      <c r="I814" s="242"/>
      <c r="J814" s="249">
        <f>IF(OR(B814="",C814="",E814=""),"",B814&amp;":"&amp;C814&amp;":"&amp;E814)</f>
      </c>
      <c r="K814" s="250">
        <f>IF(A814="","",A814*D814)</f>
      </c>
      <c r="L814" s="249">
        <f>IF(A814="","",IF(OR(A814=1,A814=0),H814,0))</f>
      </c>
      <c r="M814" s="249">
        <f>IF(A814="","",IF(A814=-1,H814,0))</f>
      </c>
      <c r="N814">
        <f>IF($E814="SGD",1,IF($E814="USD",Settings!$B$22,IF($E814="HKD",Settings!$B$23,1)))</f>
      </c>
      <c r="O814">
        <f>IF($J814="",0,($M814-$L814+IF($A814=2,$H814,0))*$N814)</f>
      </c>
      <c r="P814">
        <f>IF($J814="",0,IF($A814=2,$H814*$N814,0))</f>
      </c>
    </row>
    <row r="815" spans="1:16" ht="15" customHeight="1" x14ac:dyDescent="0.15">
      <c r="A815" s="242"/>
      <c r="B815" s="242"/>
      <c r="C815" s="242"/>
      <c r="D815" s="256"/>
      <c r="E815" s="242"/>
      <c r="F815" s="257"/>
      <c r="G815" s="242"/>
      <c r="H815" s="257"/>
      <c r="I815" s="242"/>
      <c r="J815" s="249">
        <f>IF(OR(B815="",C815="",E815=""),"",B815&amp;":"&amp;C815&amp;":"&amp;E815)</f>
      </c>
      <c r="K815" s="250">
        <f>IF(A815="","",A815*D815)</f>
      </c>
      <c r="L815" s="249">
        <f>IF(A815="","",IF(OR(A815=1,A815=0),H815,0))</f>
      </c>
      <c r="M815" s="249">
        <f>IF(A815="","",IF(A815=-1,H815,0))</f>
      </c>
      <c r="N815">
        <f>IF($E815="SGD",1,IF($E815="USD",Settings!$B$22,IF($E815="HKD",Settings!$B$23,1)))</f>
      </c>
      <c r="O815">
        <f>IF($J815="",0,($M815-$L815+IF($A815=2,$H815,0))*$N815)</f>
      </c>
      <c r="P815">
        <f>IF($J815="",0,IF($A815=2,$H815*$N815,0))</f>
      </c>
    </row>
    <row r="816" spans="1:16" ht="15" customHeight="1" x14ac:dyDescent="0.15">
      <c r="A816" s="242"/>
      <c r="B816" s="242"/>
      <c r="C816" s="242"/>
      <c r="D816" s="256"/>
      <c r="E816" s="242"/>
      <c r="F816" s="257"/>
      <c r="G816" s="242"/>
      <c r="H816" s="257"/>
      <c r="I816" s="242"/>
      <c r="J816" s="249">
        <f>IF(OR(B816="",C816="",E816=""),"",B816&amp;":"&amp;C816&amp;":"&amp;E816)</f>
      </c>
      <c r="K816" s="250">
        <f>IF(A816="","",A816*D816)</f>
      </c>
      <c r="L816" s="249">
        <f>IF(A816="","",IF(OR(A816=1,A816=0),H816,0))</f>
      </c>
      <c r="M816" s="249">
        <f>IF(A816="","",IF(A816=-1,H816,0))</f>
      </c>
      <c r="N816">
        <f>IF($E816="SGD",1,IF($E816="USD",Settings!$B$22,IF($E816="HKD",Settings!$B$23,1)))</f>
      </c>
      <c r="O816">
        <f>IF($J816="",0,($M816-$L816+IF($A816=2,$H816,0))*$N816)</f>
      </c>
      <c r="P816">
        <f>IF($J816="",0,IF($A816=2,$H816*$N816,0))</f>
      </c>
    </row>
    <row r="817" spans="1:16" ht="15" customHeight="1" x14ac:dyDescent="0.15">
      <c r="A817" s="242"/>
      <c r="B817" s="242"/>
      <c r="C817" s="242"/>
      <c r="D817" s="256"/>
      <c r="E817" s="242"/>
      <c r="F817" s="257"/>
      <c r="G817" s="242"/>
      <c r="H817" s="257"/>
      <c r="I817" s="242"/>
      <c r="J817" s="249">
        <f>IF(OR(B817="",C817="",E817=""),"",B817&amp;":"&amp;C817&amp;":"&amp;E817)</f>
      </c>
      <c r="K817" s="250">
        <f>IF(A817="","",A817*D817)</f>
      </c>
      <c r="L817" s="249">
        <f>IF(A817="","",IF(OR(A817=1,A817=0),H817,0))</f>
      </c>
      <c r="M817" s="249">
        <f>IF(A817="","",IF(A817=-1,H817,0))</f>
      </c>
      <c r="N817">
        <f>IF($E817="SGD",1,IF($E817="USD",Settings!$B$22,IF($E817="HKD",Settings!$B$23,1)))</f>
      </c>
      <c r="O817">
        <f>IF($J817="",0,($M817-$L817+IF($A817=2,$H817,0))*$N817)</f>
      </c>
      <c r="P817">
        <f>IF($J817="",0,IF($A817=2,$H817*$N817,0))</f>
      </c>
    </row>
    <row r="818" spans="1:16" ht="15" customHeight="1" x14ac:dyDescent="0.15">
      <c r="A818" s="242"/>
      <c r="B818" s="242"/>
      <c r="C818" s="242"/>
      <c r="D818" s="256"/>
      <c r="E818" s="242"/>
      <c r="F818" s="257"/>
      <c r="G818" s="242"/>
      <c r="H818" s="257"/>
      <c r="I818" s="242"/>
      <c r="J818" s="249">
        <f>IF(OR(B818="",C818="",E818=""),"",B818&amp;":"&amp;C818&amp;":"&amp;E818)</f>
      </c>
      <c r="K818" s="250">
        <f>IF(A818="","",A818*D818)</f>
      </c>
      <c r="L818" s="249">
        <f>IF(A818="","",IF(OR(A818=1,A818=0),H818,0))</f>
      </c>
      <c r="M818" s="249">
        <f>IF(A818="","",IF(A818=-1,H818,0))</f>
      </c>
      <c r="N818">
        <f>IF($E818="SGD",1,IF($E818="USD",Settings!$B$22,IF($E818="HKD",Settings!$B$23,1)))</f>
      </c>
      <c r="O818">
        <f>IF($J818="",0,($M818-$L818+IF($A818=2,$H818,0))*$N818)</f>
      </c>
      <c r="P818">
        <f>IF($J818="",0,IF($A818=2,$H818*$N818,0))</f>
      </c>
    </row>
    <row r="819" spans="1:16" ht="15" customHeight="1" x14ac:dyDescent="0.15">
      <c r="A819" s="242"/>
      <c r="B819" s="242"/>
      <c r="C819" s="242"/>
      <c r="D819" s="256"/>
      <c r="E819" s="242"/>
      <c r="F819" s="257"/>
      <c r="G819" s="242"/>
      <c r="H819" s="257"/>
      <c r="I819" s="242"/>
      <c r="J819" s="249">
        <f>IF(OR(B819="",C819="",E819=""),"",B819&amp;":"&amp;C819&amp;":"&amp;E819)</f>
      </c>
      <c r="K819" s="250">
        <f>IF(A819="","",A819*D819)</f>
      </c>
      <c r="L819" s="249">
        <f>IF(A819="","",IF(OR(A819=1,A819=0),H819,0))</f>
      </c>
      <c r="M819" s="249">
        <f>IF(A819="","",IF(A819=-1,H819,0))</f>
      </c>
      <c r="N819">
        <f>IF($E819="SGD",1,IF($E819="USD",Settings!$B$22,IF($E819="HKD",Settings!$B$23,1)))</f>
      </c>
      <c r="O819">
        <f>IF($J819="",0,($M819-$L819+IF($A819=2,$H819,0))*$N819)</f>
      </c>
      <c r="P819">
        <f>IF($J819="",0,IF($A819=2,$H819*$N819,0))</f>
      </c>
    </row>
    <row r="820" spans="1:16" ht="15" customHeight="1" x14ac:dyDescent="0.15">
      <c r="A820" s="242"/>
      <c r="B820" s="242"/>
      <c r="C820" s="242"/>
      <c r="D820" s="256"/>
      <c r="E820" s="242"/>
      <c r="F820" s="257"/>
      <c r="G820" s="242"/>
      <c r="H820" s="257"/>
      <c r="I820" s="242"/>
      <c r="J820" s="249">
        <f>IF(OR(B820="",C820="",E820=""),"",B820&amp;":"&amp;C820&amp;":"&amp;E820)</f>
      </c>
      <c r="K820" s="250">
        <f>IF(A820="","",A820*D820)</f>
      </c>
      <c r="L820" s="249">
        <f>IF(A820="","",IF(OR(A820=1,A820=0),H820,0))</f>
      </c>
      <c r="M820" s="249">
        <f>IF(A820="","",IF(A820=-1,H820,0))</f>
      </c>
      <c r="N820">
        <f>IF($E820="SGD",1,IF($E820="USD",Settings!$B$22,IF($E820="HKD",Settings!$B$23,1)))</f>
      </c>
      <c r="O820">
        <f>IF($J820="",0,($M820-$L820+IF($A820=2,$H820,0))*$N820)</f>
      </c>
      <c r="P820">
        <f>IF($J820="",0,IF($A820=2,$H820*$N820,0))</f>
      </c>
    </row>
    <row r="821" spans="1:16" ht="15" customHeight="1" x14ac:dyDescent="0.15">
      <c r="A821" s="242"/>
      <c r="B821" s="242"/>
      <c r="C821" s="242"/>
      <c r="D821" s="256"/>
      <c r="E821" s="242"/>
      <c r="F821" s="257"/>
      <c r="G821" s="242"/>
      <c r="H821" s="257"/>
      <c r="I821" s="242"/>
      <c r="J821" s="249">
        <f>IF(OR(B821="",C821="",E821=""),"",B821&amp;":"&amp;C821&amp;":"&amp;E821)</f>
      </c>
      <c r="K821" s="250">
        <f>IF(A821="","",A821*D821)</f>
      </c>
      <c r="L821" s="249">
        <f>IF(A821="","",IF(OR(A821=1,A821=0),H821,0))</f>
      </c>
      <c r="M821" s="249">
        <f>IF(A821="","",IF(A821=-1,H821,0))</f>
      </c>
      <c r="N821">
        <f>IF($E821="SGD",1,IF($E821="USD",Settings!$B$22,IF($E821="HKD",Settings!$B$23,1)))</f>
      </c>
      <c r="O821">
        <f>IF($J821="",0,($M821-$L821+IF($A821=2,$H821,0))*$N821)</f>
      </c>
      <c r="P821">
        <f>IF($J821="",0,IF($A821=2,$H821*$N821,0))</f>
      </c>
    </row>
    <row r="822" spans="1:16" ht="15" customHeight="1" x14ac:dyDescent="0.15">
      <c r="A822" s="242"/>
      <c r="B822" s="242"/>
      <c r="C822" s="242"/>
      <c r="D822" s="256"/>
      <c r="E822" s="242"/>
      <c r="F822" s="257"/>
      <c r="G822" s="242"/>
      <c r="H822" s="257"/>
      <c r="I822" s="242"/>
      <c r="J822" s="249">
        <f>IF(OR(B822="",C822="",E822=""),"",B822&amp;":"&amp;C822&amp;":"&amp;E822)</f>
      </c>
      <c r="K822" s="250">
        <f>IF(A822="","",A822*D822)</f>
      </c>
      <c r="L822" s="249">
        <f>IF(A822="","",IF(OR(A822=1,A822=0),H822,0))</f>
      </c>
      <c r="M822" s="249">
        <f>IF(A822="","",IF(A822=-1,H822,0))</f>
      </c>
      <c r="N822">
        <f>IF($E822="SGD",1,IF($E822="USD",Settings!$B$22,IF($E822="HKD",Settings!$B$23,1)))</f>
      </c>
      <c r="O822">
        <f>IF($J822="",0,($M822-$L822+IF($A822=2,$H822,0))*$N822)</f>
      </c>
      <c r="P822">
        <f>IF($J822="",0,IF($A822=2,$H822*$N822,0))</f>
      </c>
    </row>
    <row r="823" spans="1:16" ht="15" customHeight="1" x14ac:dyDescent="0.15">
      <c r="A823" s="242"/>
      <c r="B823" s="242"/>
      <c r="C823" s="242"/>
      <c r="D823" s="256"/>
      <c r="E823" s="242"/>
      <c r="F823" s="257"/>
      <c r="G823" s="242"/>
      <c r="H823" s="257"/>
      <c r="I823" s="242"/>
      <c r="J823" s="249">
        <f>IF(OR(B823="",C823="",E823=""),"",B823&amp;":"&amp;C823&amp;":"&amp;E823)</f>
      </c>
      <c r="K823" s="250">
        <f>IF(A823="","",A823*D823)</f>
      </c>
      <c r="L823" s="249">
        <f>IF(A823="","",IF(OR(A823=1,A823=0),H823,0))</f>
      </c>
      <c r="M823" s="249">
        <f>IF(A823="","",IF(A823=-1,H823,0))</f>
      </c>
      <c r="N823">
        <f>IF($E823="SGD",1,IF($E823="USD",Settings!$B$22,IF($E823="HKD",Settings!$B$23,1)))</f>
      </c>
      <c r="O823">
        <f>IF($J823="",0,($M823-$L823+IF($A823=2,$H823,0))*$N823)</f>
      </c>
      <c r="P823">
        <f>IF($J823="",0,IF($A823=2,$H823*$N823,0))</f>
      </c>
    </row>
    <row r="824" spans="1:16" ht="15" customHeight="1" x14ac:dyDescent="0.15">
      <c r="A824" s="242"/>
      <c r="B824" s="242"/>
      <c r="C824" s="242"/>
      <c r="D824" s="256"/>
      <c r="E824" s="242"/>
      <c r="F824" s="257"/>
      <c r="G824" s="242"/>
      <c r="H824" s="257"/>
      <c r="I824" s="242"/>
      <c r="J824" s="249">
        <f>IF(OR(B824="",C824="",E824=""),"",B824&amp;":"&amp;C824&amp;":"&amp;E824)</f>
      </c>
      <c r="K824" s="250">
        <f>IF(A824="","",A824*D824)</f>
      </c>
      <c r="L824" s="249">
        <f>IF(A824="","",IF(OR(A824=1,A824=0),H824,0))</f>
      </c>
      <c r="M824" s="249">
        <f>IF(A824="","",IF(A824=-1,H824,0))</f>
      </c>
      <c r="N824">
        <f>IF($E824="SGD",1,IF($E824="USD",Settings!$B$22,IF($E824="HKD",Settings!$B$23,1)))</f>
      </c>
      <c r="O824">
        <f>IF($J824="",0,($M824-$L824+IF($A824=2,$H824,0))*$N824)</f>
      </c>
      <c r="P824">
        <f>IF($J824="",0,IF($A824=2,$H824*$N824,0))</f>
      </c>
    </row>
    <row r="825" spans="1:16" ht="15" customHeight="1" x14ac:dyDescent="0.15">
      <c r="A825" s="242"/>
      <c r="B825" s="242"/>
      <c r="C825" s="242"/>
      <c r="D825" s="256"/>
      <c r="E825" s="242"/>
      <c r="F825" s="257"/>
      <c r="G825" s="242"/>
      <c r="H825" s="257"/>
      <c r="I825" s="242"/>
      <c r="J825" s="249">
        <f>IF(OR(B825="",C825="",E825=""),"",B825&amp;":"&amp;C825&amp;":"&amp;E825)</f>
      </c>
      <c r="K825" s="250">
        <f>IF(A825="","",A825*D825)</f>
      </c>
      <c r="L825" s="249">
        <f>IF(A825="","",IF(OR(A825=1,A825=0),H825,0))</f>
      </c>
      <c r="M825" s="249">
        <f>IF(A825="","",IF(A825=-1,H825,0))</f>
      </c>
      <c r="N825">
        <f>IF($E825="SGD",1,IF($E825="USD",Settings!$B$22,IF($E825="HKD",Settings!$B$23,1)))</f>
      </c>
      <c r="O825">
        <f>IF($J825="",0,($M825-$L825+IF($A825=2,$H825,0))*$N825)</f>
      </c>
      <c r="P825">
        <f>IF($J825="",0,IF($A825=2,$H825*$N825,0))</f>
      </c>
    </row>
    <row r="826" spans="1:16" ht="15" customHeight="1" x14ac:dyDescent="0.15">
      <c r="A826" s="242"/>
      <c r="B826" s="242"/>
      <c r="C826" s="242"/>
      <c r="D826" s="256"/>
      <c r="E826" s="242"/>
      <c r="F826" s="257"/>
      <c r="G826" s="242"/>
      <c r="H826" s="257"/>
      <c r="I826" s="242"/>
      <c r="J826" s="249">
        <f>IF(OR(B826="",C826="",E826=""),"",B826&amp;":"&amp;C826&amp;":"&amp;E826)</f>
      </c>
      <c r="K826" s="250">
        <f>IF(A826="","",A826*D826)</f>
      </c>
      <c r="L826" s="249">
        <f>IF(A826="","",IF(OR(A826=1,A826=0),H826,0))</f>
      </c>
      <c r="M826" s="249">
        <f>IF(A826="","",IF(A826=-1,H826,0))</f>
      </c>
      <c r="N826">
        <f>IF($E826="SGD",1,IF($E826="USD",Settings!$B$22,IF($E826="HKD",Settings!$B$23,1)))</f>
      </c>
      <c r="O826">
        <f>IF($J826="",0,($M826-$L826+IF($A826=2,$H826,0))*$N826)</f>
      </c>
      <c r="P826">
        <f>IF($J826="",0,IF($A826=2,$H826*$N826,0))</f>
      </c>
    </row>
    <row r="827" spans="1:16" ht="15" customHeight="1" x14ac:dyDescent="0.15">
      <c r="A827" s="242"/>
      <c r="B827" s="242"/>
      <c r="C827" s="242"/>
      <c r="D827" s="256"/>
      <c r="E827" s="242"/>
      <c r="F827" s="257"/>
      <c r="G827" s="242"/>
      <c r="H827" s="257"/>
      <c r="I827" s="242"/>
      <c r="J827" s="249">
        <f>IF(OR(B827="",C827="",E827=""),"",B827&amp;":"&amp;C827&amp;":"&amp;E827)</f>
      </c>
      <c r="K827" s="250">
        <f>IF(A827="","",A827*D827)</f>
      </c>
      <c r="L827" s="249">
        <f>IF(A827="","",IF(OR(A827=1,A827=0),H827,0))</f>
      </c>
      <c r="M827" s="249">
        <f>IF(A827="","",IF(A827=-1,H827,0))</f>
      </c>
      <c r="N827">
        <f>IF($E827="SGD",1,IF($E827="USD",Settings!$B$22,IF($E827="HKD",Settings!$B$23,1)))</f>
      </c>
      <c r="O827">
        <f>IF($J827="",0,($M827-$L827+IF($A827=2,$H827,0))*$N827)</f>
      </c>
      <c r="P827">
        <f>IF($J827="",0,IF($A827=2,$H827*$N827,0))</f>
      </c>
    </row>
    <row r="828" spans="1:16" ht="15" customHeight="1" x14ac:dyDescent="0.15">
      <c r="A828" s="242"/>
      <c r="B828" s="242"/>
      <c r="C828" s="242"/>
      <c r="D828" s="256"/>
      <c r="E828" s="242"/>
      <c r="F828" s="257"/>
      <c r="G828" s="242"/>
      <c r="H828" s="257"/>
      <c r="I828" s="242"/>
      <c r="J828" s="249">
        <f>IF(OR(B828="",C828="",E828=""),"",B828&amp;":"&amp;C828&amp;":"&amp;E828)</f>
      </c>
      <c r="K828" s="250">
        <f>IF(A828="","",A828*D828)</f>
      </c>
      <c r="L828" s="249">
        <f>IF(A828="","",IF(OR(A828=1,A828=0),H828,0))</f>
      </c>
      <c r="M828" s="249">
        <f>IF(A828="","",IF(A828=-1,H828,0))</f>
      </c>
      <c r="N828">
        <f>IF($E828="SGD",1,IF($E828="USD",Settings!$B$22,IF($E828="HKD",Settings!$B$23,1)))</f>
      </c>
      <c r="O828">
        <f>IF($J828="",0,($M828-$L828+IF($A828=2,$H828,0))*$N828)</f>
      </c>
      <c r="P828">
        <f>IF($J828="",0,IF($A828=2,$H828*$N828,0))</f>
      </c>
    </row>
    <row r="829" spans="1:16" ht="15" customHeight="1" x14ac:dyDescent="0.15">
      <c r="A829" s="242"/>
      <c r="B829" s="242"/>
      <c r="C829" s="242"/>
      <c r="D829" s="256"/>
      <c r="E829" s="242"/>
      <c r="F829" s="257"/>
      <c r="G829" s="242"/>
      <c r="H829" s="257"/>
      <c r="I829" s="242"/>
      <c r="J829" s="249">
        <f>IF(OR(B829="",C829="",E829=""),"",B829&amp;":"&amp;C829&amp;":"&amp;E829)</f>
      </c>
      <c r="K829" s="250">
        <f>IF(A829="","",A829*D829)</f>
      </c>
      <c r="L829" s="249">
        <f>IF(A829="","",IF(OR(A829=1,A829=0),H829,0))</f>
      </c>
      <c r="M829" s="249">
        <f>IF(A829="","",IF(A829=-1,H829,0))</f>
      </c>
      <c r="N829">
        <f>IF($E829="SGD",1,IF($E829="USD",Settings!$B$22,IF($E829="HKD",Settings!$B$23,1)))</f>
      </c>
      <c r="O829">
        <f>IF($J829="",0,($M829-$L829+IF($A829=2,$H829,0))*$N829)</f>
      </c>
      <c r="P829">
        <f>IF($J829="",0,IF($A829=2,$H829*$N829,0))</f>
      </c>
    </row>
    <row r="830" spans="1:16" ht="15" customHeight="1" x14ac:dyDescent="0.15">
      <c r="A830" s="242"/>
      <c r="B830" s="242"/>
      <c r="C830" s="242"/>
      <c r="D830" s="256"/>
      <c r="E830" s="242"/>
      <c r="F830" s="257"/>
      <c r="G830" s="242"/>
      <c r="H830" s="257"/>
      <c r="I830" s="242"/>
      <c r="J830" s="249">
        <f>IF(OR(B830="",C830="",E830=""),"",B830&amp;":"&amp;C830&amp;":"&amp;E830)</f>
      </c>
      <c r="K830" s="250">
        <f>IF(A830="","",A830*D830)</f>
      </c>
      <c r="L830" s="249">
        <f>IF(A830="","",IF(OR(A830=1,A830=0),H830,0))</f>
      </c>
      <c r="M830" s="249">
        <f>IF(A830="","",IF(A830=-1,H830,0))</f>
      </c>
      <c r="N830">
        <f>IF($E830="SGD",1,IF($E830="USD",Settings!$B$22,IF($E830="HKD",Settings!$B$23,1)))</f>
      </c>
      <c r="O830">
        <f>IF($J830="",0,($M830-$L830+IF($A830=2,$H830,0))*$N830)</f>
      </c>
      <c r="P830">
        <f>IF($J830="",0,IF($A830=2,$H830*$N830,0))</f>
      </c>
    </row>
    <row r="831" spans="1:16" ht="15" customHeight="1" x14ac:dyDescent="0.15">
      <c r="A831" s="242"/>
      <c r="B831" s="242"/>
      <c r="C831" s="242"/>
      <c r="D831" s="256"/>
      <c r="E831" s="242"/>
      <c r="F831" s="257"/>
      <c r="G831" s="242"/>
      <c r="H831" s="257"/>
      <c r="I831" s="242"/>
      <c r="J831" s="249">
        <f>IF(OR(B831="",C831="",E831=""),"",B831&amp;":"&amp;C831&amp;":"&amp;E831)</f>
      </c>
      <c r="K831" s="250">
        <f>IF(A831="","",A831*D831)</f>
      </c>
      <c r="L831" s="249">
        <f>IF(A831="","",IF(OR(A831=1,A831=0),H831,0))</f>
      </c>
      <c r="M831" s="249">
        <f>IF(A831="","",IF(A831=-1,H831,0))</f>
      </c>
      <c r="N831">
        <f>IF($E831="SGD",1,IF($E831="USD",Settings!$B$22,IF($E831="HKD",Settings!$B$23,1)))</f>
      </c>
      <c r="O831">
        <f>IF($J831="",0,($M831-$L831+IF($A831=2,$H831,0))*$N831)</f>
      </c>
      <c r="P831">
        <f>IF($J831="",0,IF($A831=2,$H831*$N831,0))</f>
      </c>
    </row>
    <row r="832" spans="1:16" ht="15" customHeight="1" x14ac:dyDescent="0.15">
      <c r="A832" s="242"/>
      <c r="B832" s="242"/>
      <c r="C832" s="242"/>
      <c r="D832" s="256"/>
      <c r="E832" s="242"/>
      <c r="F832" s="257"/>
      <c r="G832" s="242"/>
      <c r="H832" s="257"/>
      <c r="I832" s="242"/>
      <c r="J832" s="249">
        <f>IF(OR(B832="",C832="",E832=""),"",B832&amp;":"&amp;C832&amp;":"&amp;E832)</f>
      </c>
      <c r="K832" s="250">
        <f>IF(A832="","",A832*D832)</f>
      </c>
      <c r="L832" s="249">
        <f>IF(A832="","",IF(OR(A832=1,A832=0),H832,0))</f>
      </c>
      <c r="M832" s="249">
        <f>IF(A832="","",IF(A832=-1,H832,0))</f>
      </c>
      <c r="N832">
        <f>IF($E832="SGD",1,IF($E832="USD",Settings!$B$22,IF($E832="HKD",Settings!$B$23,1)))</f>
      </c>
      <c r="O832">
        <f>IF($J832="",0,($M832-$L832+IF($A832=2,$H832,0))*$N832)</f>
      </c>
      <c r="P832">
        <f>IF($J832="",0,IF($A832=2,$H832*$N832,0))</f>
      </c>
    </row>
    <row r="833" spans="1:16" ht="15" customHeight="1" x14ac:dyDescent="0.15">
      <c r="A833" s="242"/>
      <c r="B833" s="242"/>
      <c r="C833" s="242"/>
      <c r="D833" s="256"/>
      <c r="E833" s="242"/>
      <c r="F833" s="257"/>
      <c r="G833" s="242"/>
      <c r="H833" s="257"/>
      <c r="I833" s="242"/>
      <c r="J833" s="249">
        <f>IF(OR(B833="",C833="",E833=""),"",B833&amp;":"&amp;C833&amp;":"&amp;E833)</f>
      </c>
      <c r="K833" s="250">
        <f>IF(A833="","",A833*D833)</f>
      </c>
      <c r="L833" s="249">
        <f>IF(A833="","",IF(OR(A833=1,A833=0),H833,0))</f>
      </c>
      <c r="M833" s="249">
        <f>IF(A833="","",IF(A833=-1,H833,0))</f>
      </c>
      <c r="N833">
        <f>IF($E833="SGD",1,IF($E833="USD",Settings!$B$22,IF($E833="HKD",Settings!$B$23,1)))</f>
      </c>
      <c r="O833">
        <f>IF($J833="",0,($M833-$L833+IF($A833=2,$H833,0))*$N833)</f>
      </c>
      <c r="P833">
        <f>IF($J833="",0,IF($A833=2,$H833*$N833,0))</f>
      </c>
    </row>
    <row r="834" spans="1:16" ht="15" customHeight="1" x14ac:dyDescent="0.15">
      <c r="A834" s="242"/>
      <c r="B834" s="242"/>
      <c r="C834" s="242"/>
      <c r="D834" s="256"/>
      <c r="E834" s="242"/>
      <c r="F834" s="257"/>
      <c r="G834" s="242"/>
      <c r="H834" s="257"/>
      <c r="I834" s="242"/>
      <c r="J834" s="249">
        <f>IF(OR(B834="",C834="",E834=""),"",B834&amp;":"&amp;C834&amp;":"&amp;E834)</f>
      </c>
      <c r="K834" s="250">
        <f>IF(A834="","",A834*D834)</f>
      </c>
      <c r="L834" s="249">
        <f>IF(A834="","",IF(OR(A834=1,A834=0),H834,0))</f>
      </c>
      <c r="M834" s="249">
        <f>IF(A834="","",IF(A834=-1,H834,0))</f>
      </c>
      <c r="N834">
        <f>IF($E834="SGD",1,IF($E834="USD",Settings!$B$22,IF($E834="HKD",Settings!$B$23,1)))</f>
      </c>
      <c r="O834">
        <f>IF($J834="",0,($M834-$L834+IF($A834=2,$H834,0))*$N834)</f>
      </c>
      <c r="P834">
        <f>IF($J834="",0,IF($A834=2,$H834*$N834,0))</f>
      </c>
    </row>
    <row r="835" spans="1:16" ht="15" customHeight="1" x14ac:dyDescent="0.15">
      <c r="A835" s="242"/>
      <c r="B835" s="242"/>
      <c r="C835" s="242"/>
      <c r="D835" s="256"/>
      <c r="E835" s="242"/>
      <c r="F835" s="257"/>
      <c r="G835" s="242"/>
      <c r="H835" s="257"/>
      <c r="I835" s="242"/>
      <c r="J835" s="249">
        <f>IF(OR(B835="",C835="",E835=""),"",B835&amp;":"&amp;C835&amp;":"&amp;E835)</f>
      </c>
      <c r="K835" s="250">
        <f>IF(A835="","",A835*D835)</f>
      </c>
      <c r="L835" s="249">
        <f>IF(A835="","",IF(OR(A835=1,A835=0),H835,0))</f>
      </c>
      <c r="M835" s="249">
        <f>IF(A835="","",IF(A835=-1,H835,0))</f>
      </c>
      <c r="N835">
        <f>IF($E835="SGD",1,IF($E835="USD",Settings!$B$22,IF($E835="HKD",Settings!$B$23,1)))</f>
      </c>
      <c r="O835">
        <f>IF($J835="",0,($M835-$L835+IF($A835=2,$H835,0))*$N835)</f>
      </c>
      <c r="P835">
        <f>IF($J835="",0,IF($A835=2,$H835*$N835,0))</f>
      </c>
    </row>
    <row r="836" spans="1:16" ht="15" customHeight="1" x14ac:dyDescent="0.15">
      <c r="A836" s="242"/>
      <c r="B836" s="242"/>
      <c r="C836" s="242"/>
      <c r="D836" s="256"/>
      <c r="E836" s="242"/>
      <c r="F836" s="257"/>
      <c r="G836" s="242"/>
      <c r="H836" s="257"/>
      <c r="I836" s="242"/>
      <c r="J836" s="249">
        <f>IF(OR(B836="",C836="",E836=""),"",B836&amp;":"&amp;C836&amp;":"&amp;E836)</f>
      </c>
      <c r="K836" s="250">
        <f>IF(A836="","",A836*D836)</f>
      </c>
      <c r="L836" s="249">
        <f>IF(A836="","",IF(OR(A836=1,A836=0),H836,0))</f>
      </c>
      <c r="M836" s="249">
        <f>IF(A836="","",IF(A836=-1,H836,0))</f>
      </c>
      <c r="N836">
        <f>IF($E836="SGD",1,IF($E836="USD",Settings!$B$22,IF($E836="HKD",Settings!$B$23,1)))</f>
      </c>
      <c r="O836">
        <f>IF($J836="",0,($M836-$L836+IF($A836=2,$H836,0))*$N836)</f>
      </c>
      <c r="P836">
        <f>IF($J836="",0,IF($A836=2,$H836*$N836,0))</f>
      </c>
    </row>
    <row r="837" spans="1:16" ht="15" customHeight="1" x14ac:dyDescent="0.15">
      <c r="A837" s="242"/>
      <c r="B837" s="242"/>
      <c r="C837" s="242"/>
      <c r="D837" s="256"/>
      <c r="E837" s="242"/>
      <c r="F837" s="257"/>
      <c r="G837" s="242"/>
      <c r="H837" s="257"/>
      <c r="I837" s="242"/>
      <c r="J837" s="249">
        <f>IF(OR(B837="",C837="",E837=""),"",B837&amp;":"&amp;C837&amp;":"&amp;E837)</f>
      </c>
      <c r="K837" s="250">
        <f>IF(A837="","",A837*D837)</f>
      </c>
      <c r="L837" s="249">
        <f>IF(A837="","",IF(OR(A837=1,A837=0),H837,0))</f>
      </c>
      <c r="M837" s="249">
        <f>IF(A837="","",IF(A837=-1,H837,0))</f>
      </c>
      <c r="N837">
        <f>IF($E837="SGD",1,IF($E837="USD",Settings!$B$22,IF($E837="HKD",Settings!$B$23,1)))</f>
      </c>
      <c r="O837">
        <f>IF($J837="",0,($M837-$L837+IF($A837=2,$H837,0))*$N837)</f>
      </c>
      <c r="P837">
        <f>IF($J837="",0,IF($A837=2,$H837*$N837,0))</f>
      </c>
    </row>
    <row r="838" spans="1:16" ht="15" customHeight="1" x14ac:dyDescent="0.15">
      <c r="A838" s="242"/>
      <c r="B838" s="242"/>
      <c r="C838" s="242"/>
      <c r="D838" s="256"/>
      <c r="E838" s="242"/>
      <c r="F838" s="257"/>
      <c r="G838" s="242"/>
      <c r="H838" s="257"/>
      <c r="I838" s="242"/>
      <c r="J838" s="249">
        <f>IF(OR(B838="",C838="",E838=""),"",B838&amp;":"&amp;C838&amp;":"&amp;E838)</f>
      </c>
      <c r="K838" s="250">
        <f>IF(A838="","",A838*D838)</f>
      </c>
      <c r="L838" s="249">
        <f>IF(A838="","",IF(OR(A838=1,A838=0),H838,0))</f>
      </c>
      <c r="M838" s="249">
        <f>IF(A838="","",IF(A838=-1,H838,0))</f>
      </c>
      <c r="N838">
        <f>IF($E838="SGD",1,IF($E838="USD",Settings!$B$22,IF($E838="HKD",Settings!$B$23,1)))</f>
      </c>
      <c r="O838">
        <f>IF($J838="",0,($M838-$L838+IF($A838=2,$H838,0))*$N838)</f>
      </c>
      <c r="P838">
        <f>IF($J838="",0,IF($A838=2,$H838*$N838,0))</f>
      </c>
    </row>
    <row r="839" spans="1:16" ht="15" customHeight="1" x14ac:dyDescent="0.15">
      <c r="A839" s="242"/>
      <c r="B839" s="242"/>
      <c r="C839" s="242"/>
      <c r="D839" s="256"/>
      <c r="E839" s="242"/>
      <c r="F839" s="257"/>
      <c r="G839" s="242"/>
      <c r="H839" s="257"/>
      <c r="I839" s="242"/>
      <c r="J839" s="249">
        <f>IF(OR(B839="",C839="",E839=""),"",B839&amp;":"&amp;C839&amp;":"&amp;E839)</f>
      </c>
      <c r="K839" s="250">
        <f>IF(A839="","",A839*D839)</f>
      </c>
      <c r="L839" s="249">
        <f>IF(A839="","",IF(OR(A839=1,A839=0),H839,0))</f>
      </c>
      <c r="M839" s="249">
        <f>IF(A839="","",IF(A839=-1,H839,0))</f>
      </c>
      <c r="N839">
        <f>IF($E839="SGD",1,IF($E839="USD",Settings!$B$22,IF($E839="HKD",Settings!$B$23,1)))</f>
      </c>
      <c r="O839">
        <f>IF($J839="",0,($M839-$L839+IF($A839=2,$H839,0))*$N839)</f>
      </c>
      <c r="P839">
        <f>IF($J839="",0,IF($A839=2,$H839*$N839,0))</f>
      </c>
    </row>
    <row r="840" spans="1:16" ht="15" customHeight="1" x14ac:dyDescent="0.15">
      <c r="A840" s="242"/>
      <c r="B840" s="242"/>
      <c r="C840" s="242"/>
      <c r="D840" s="256"/>
      <c r="E840" s="242"/>
      <c r="F840" s="257"/>
      <c r="G840" s="242"/>
      <c r="H840" s="257"/>
      <c r="I840" s="242"/>
      <c r="J840" s="249">
        <f>IF(OR(B840="",C840="",E840=""),"",B840&amp;":"&amp;C840&amp;":"&amp;E840)</f>
      </c>
      <c r="K840" s="250">
        <f>IF(A840="","",A840*D840)</f>
      </c>
      <c r="L840" s="249">
        <f>IF(A840="","",IF(OR(A840=1,A840=0),H840,0))</f>
      </c>
      <c r="M840" s="249">
        <f>IF(A840="","",IF(A840=-1,H840,0))</f>
      </c>
      <c r="N840">
        <f>IF($E840="SGD",1,IF($E840="USD",Settings!$B$22,IF($E840="HKD",Settings!$B$23,1)))</f>
      </c>
      <c r="O840">
        <f>IF($J840="",0,($M840-$L840+IF($A840=2,$H840,0))*$N840)</f>
      </c>
      <c r="P840">
        <f>IF($J840="",0,IF($A840=2,$H840*$N840,0))</f>
      </c>
    </row>
    <row r="841" spans="1:16" ht="15" customHeight="1" x14ac:dyDescent="0.15">
      <c r="A841" s="242"/>
      <c r="B841" s="242"/>
      <c r="C841" s="242"/>
      <c r="D841" s="256"/>
      <c r="E841" s="242"/>
      <c r="F841" s="257"/>
      <c r="G841" s="242"/>
      <c r="H841" s="257"/>
      <c r="I841" s="242"/>
      <c r="J841" s="249">
        <f>IF(OR(B841="",C841="",E841=""),"",B841&amp;":"&amp;C841&amp;":"&amp;E841)</f>
      </c>
      <c r="K841" s="250">
        <f>IF(A841="","",A841*D841)</f>
      </c>
      <c r="L841" s="249">
        <f>IF(A841="","",IF(OR(A841=1,A841=0),H841,0))</f>
      </c>
      <c r="M841" s="249">
        <f>IF(A841="","",IF(A841=-1,H841,0))</f>
      </c>
      <c r="N841">
        <f>IF($E841="SGD",1,IF($E841="USD",Settings!$B$22,IF($E841="HKD",Settings!$B$23,1)))</f>
      </c>
      <c r="O841">
        <f>IF($J841="",0,($M841-$L841+IF($A841=2,$H841,0))*$N841)</f>
      </c>
      <c r="P841">
        <f>IF($J841="",0,IF($A841=2,$H841*$N841,0))</f>
      </c>
    </row>
    <row r="842" spans="1:16" ht="15" customHeight="1" x14ac:dyDescent="0.15">
      <c r="A842" s="242"/>
      <c r="B842" s="242"/>
      <c r="C842" s="242"/>
      <c r="D842" s="256"/>
      <c r="E842" s="242"/>
      <c r="F842" s="257"/>
      <c r="G842" s="242"/>
      <c r="H842" s="257"/>
      <c r="I842" s="242"/>
      <c r="J842" s="249">
        <f>IF(OR(B842="",C842="",E842=""),"",B842&amp;":"&amp;C842&amp;":"&amp;E842)</f>
      </c>
      <c r="K842" s="250">
        <f>IF(A842="","",A842*D842)</f>
      </c>
      <c r="L842" s="249">
        <f>IF(A842="","",IF(OR(A842=1,A842=0),H842,0))</f>
      </c>
      <c r="M842" s="249">
        <f>IF(A842="","",IF(A842=-1,H842,0))</f>
      </c>
      <c r="N842">
        <f>IF($E842="SGD",1,IF($E842="USD",Settings!$B$22,IF($E842="HKD",Settings!$B$23,1)))</f>
      </c>
      <c r="O842">
        <f>IF($J842="",0,($M842-$L842+IF($A842=2,$H842,0))*$N842)</f>
      </c>
      <c r="P842">
        <f>IF($J842="",0,IF($A842=2,$H842*$N842,0))</f>
      </c>
    </row>
    <row r="843" spans="1:16" ht="15" customHeight="1" x14ac:dyDescent="0.15">
      <c r="A843" s="242"/>
      <c r="B843" s="242"/>
      <c r="C843" s="242"/>
      <c r="D843" s="256"/>
      <c r="E843" s="242"/>
      <c r="F843" s="257"/>
      <c r="G843" s="242"/>
      <c r="H843" s="257"/>
      <c r="I843" s="242"/>
      <c r="J843" s="249">
        <f>IF(OR(B843="",C843="",E843=""),"",B843&amp;":"&amp;C843&amp;":"&amp;E843)</f>
      </c>
      <c r="K843" s="250">
        <f>IF(A843="","",A843*D843)</f>
      </c>
      <c r="L843" s="249">
        <f>IF(A843="","",IF(OR(A843=1,A843=0),H843,0))</f>
      </c>
      <c r="M843" s="249">
        <f>IF(A843="","",IF(A843=-1,H843,0))</f>
      </c>
      <c r="N843">
        <f>IF($E843="SGD",1,IF($E843="USD",Settings!$B$22,IF($E843="HKD",Settings!$B$23,1)))</f>
      </c>
      <c r="O843">
        <f>IF($J843="",0,($M843-$L843+IF($A843=2,$H843,0))*$N843)</f>
      </c>
      <c r="P843">
        <f>IF($J843="",0,IF($A843=2,$H843*$N843,0))</f>
      </c>
    </row>
    <row r="844" spans="1:16" ht="15" customHeight="1" x14ac:dyDescent="0.15">
      <c r="A844" s="242"/>
      <c r="B844" s="242"/>
      <c r="C844" s="242"/>
      <c r="D844" s="256"/>
      <c r="E844" s="242"/>
      <c r="F844" s="257"/>
      <c r="G844" s="242"/>
      <c r="H844" s="257"/>
      <c r="I844" s="242"/>
      <c r="J844" s="249">
        <f>IF(OR(B844="",C844="",E844=""),"",B844&amp;":"&amp;C844&amp;":"&amp;E844)</f>
      </c>
      <c r="K844" s="250">
        <f>IF(A844="","",A844*D844)</f>
      </c>
      <c r="L844" s="249">
        <f>IF(A844="","",IF(OR(A844=1,A844=0),H844,0))</f>
      </c>
      <c r="M844" s="249">
        <f>IF(A844="","",IF(A844=-1,H844,0))</f>
      </c>
      <c r="N844">
        <f>IF($E844="SGD",1,IF($E844="USD",Settings!$B$22,IF($E844="HKD",Settings!$B$23,1)))</f>
      </c>
      <c r="O844">
        <f>IF($J844="",0,($M844-$L844+IF($A844=2,$H844,0))*$N844)</f>
      </c>
      <c r="P844">
        <f>IF($J844="",0,IF($A844=2,$H844*$N844,0))</f>
      </c>
    </row>
    <row r="845" spans="1:16" ht="15" customHeight="1" x14ac:dyDescent="0.15">
      <c r="A845" s="242"/>
      <c r="B845" s="242"/>
      <c r="C845" s="242"/>
      <c r="D845" s="256"/>
      <c r="E845" s="242"/>
      <c r="F845" s="257"/>
      <c r="G845" s="242"/>
      <c r="H845" s="257"/>
      <c r="I845" s="242"/>
      <c r="J845" s="249">
        <f>IF(OR(B845="",C845="",E845=""),"",B845&amp;":"&amp;C845&amp;":"&amp;E845)</f>
      </c>
      <c r="K845" s="250">
        <f>IF(A845="","",A845*D845)</f>
      </c>
      <c r="L845" s="249">
        <f>IF(A845="","",IF(OR(A845=1,A845=0),H845,0))</f>
      </c>
      <c r="M845" s="249">
        <f>IF(A845="","",IF(A845=-1,H845,0))</f>
      </c>
      <c r="N845">
        <f>IF($E845="SGD",1,IF($E845="USD",Settings!$B$22,IF($E845="HKD",Settings!$B$23,1)))</f>
      </c>
      <c r="O845">
        <f>IF($J845="",0,($M845-$L845+IF($A845=2,$H845,0))*$N845)</f>
      </c>
      <c r="P845">
        <f>IF($J845="",0,IF($A845=2,$H845*$N845,0))</f>
      </c>
    </row>
    <row r="846" spans="1:16" ht="15" customHeight="1" x14ac:dyDescent="0.15">
      <c r="A846" s="242"/>
      <c r="B846" s="242"/>
      <c r="C846" s="242"/>
      <c r="D846" s="256"/>
      <c r="E846" s="242"/>
      <c r="F846" s="257"/>
      <c r="G846" s="242"/>
      <c r="H846" s="257"/>
      <c r="I846" s="242"/>
      <c r="J846" s="249">
        <f>IF(OR(B846="",C846="",E846=""),"",B846&amp;":"&amp;C846&amp;":"&amp;E846)</f>
      </c>
      <c r="K846" s="250">
        <f>IF(A846="","",A846*D846)</f>
      </c>
      <c r="L846" s="249">
        <f>IF(A846="","",IF(OR(A846=1,A846=0),H846,0))</f>
      </c>
      <c r="M846" s="249">
        <f>IF(A846="","",IF(A846=-1,H846,0))</f>
      </c>
      <c r="N846">
        <f>IF($E846="SGD",1,IF($E846="USD",Settings!$B$22,IF($E846="HKD",Settings!$B$23,1)))</f>
      </c>
      <c r="O846">
        <f>IF($J846="",0,($M846-$L846+IF($A846=2,$H846,0))*$N846)</f>
      </c>
      <c r="P846">
        <f>IF($J846="",0,IF($A846=2,$H846*$N846,0))</f>
      </c>
    </row>
    <row r="847" spans="1:16" ht="15" customHeight="1" x14ac:dyDescent="0.15">
      <c r="A847" s="242"/>
      <c r="B847" s="242"/>
      <c r="C847" s="242"/>
      <c r="D847" s="256"/>
      <c r="E847" s="242"/>
      <c r="F847" s="257"/>
      <c r="G847" s="242"/>
      <c r="H847" s="257"/>
      <c r="I847" s="242"/>
      <c r="J847" s="249">
        <f>IF(OR(B847="",C847="",E847=""),"",B847&amp;":"&amp;C847&amp;":"&amp;E847)</f>
      </c>
      <c r="K847" s="250">
        <f>IF(A847="","",A847*D847)</f>
      </c>
      <c r="L847" s="249">
        <f>IF(A847="","",IF(OR(A847=1,A847=0),H847,0))</f>
      </c>
      <c r="M847" s="249">
        <f>IF(A847="","",IF(A847=-1,H847,0))</f>
      </c>
      <c r="N847">
        <f>IF($E847="SGD",1,IF($E847="USD",Settings!$B$22,IF($E847="HKD",Settings!$B$23,1)))</f>
      </c>
      <c r="O847">
        <f>IF($J847="",0,($M847-$L847+IF($A847=2,$H847,0))*$N847)</f>
      </c>
      <c r="P847">
        <f>IF($J847="",0,IF($A847=2,$H847*$N847,0))</f>
      </c>
    </row>
    <row r="848" spans="1:16" ht="15" customHeight="1" x14ac:dyDescent="0.15">
      <c r="A848" s="242"/>
      <c r="B848" s="242"/>
      <c r="C848" s="242"/>
      <c r="D848" s="256"/>
      <c r="E848" s="242"/>
      <c r="F848" s="257"/>
      <c r="G848" s="242"/>
      <c r="H848" s="257"/>
      <c r="I848" s="242"/>
      <c r="J848" s="249">
        <f>IF(OR(B848="",C848="",E848=""),"",B848&amp;":"&amp;C848&amp;":"&amp;E848)</f>
      </c>
      <c r="K848" s="250">
        <f>IF(A848="","",A848*D848)</f>
      </c>
      <c r="L848" s="249">
        <f>IF(A848="","",IF(OR(A848=1,A848=0),H848,0))</f>
      </c>
      <c r="M848" s="249">
        <f>IF(A848="","",IF(A848=-1,H848,0))</f>
      </c>
      <c r="N848">
        <f>IF($E848="SGD",1,IF($E848="USD",Settings!$B$22,IF($E848="HKD",Settings!$B$23,1)))</f>
      </c>
      <c r="O848">
        <f>IF($J848="",0,($M848-$L848+IF($A848=2,$H848,0))*$N848)</f>
      </c>
      <c r="P848">
        <f>IF($J848="",0,IF($A848=2,$H848*$N848,0))</f>
      </c>
    </row>
    <row r="849" spans="1:16" ht="15" customHeight="1" x14ac:dyDescent="0.15">
      <c r="A849" s="242"/>
      <c r="B849" s="242"/>
      <c r="C849" s="242"/>
      <c r="D849" s="256"/>
      <c r="E849" s="242"/>
      <c r="F849" s="257"/>
      <c r="G849" s="242"/>
      <c r="H849" s="257"/>
      <c r="I849" s="242"/>
      <c r="J849" s="249">
        <f>IF(OR(B849="",C849="",E849=""),"",B849&amp;":"&amp;C849&amp;":"&amp;E849)</f>
      </c>
      <c r="K849" s="250">
        <f>IF(A849="","",A849*D849)</f>
      </c>
      <c r="L849" s="249">
        <f>IF(A849="","",IF(OR(A849=1,A849=0),H849,0))</f>
      </c>
      <c r="M849" s="249">
        <f>IF(A849="","",IF(A849=-1,H849,0))</f>
      </c>
      <c r="N849">
        <f>IF($E849="SGD",1,IF($E849="USD",Settings!$B$22,IF($E849="HKD",Settings!$B$23,1)))</f>
      </c>
      <c r="O849">
        <f>IF($J849="",0,($M849-$L849+IF($A849=2,$H849,0))*$N849)</f>
      </c>
      <c r="P849">
        <f>IF($J849="",0,IF($A849=2,$H849*$N849,0))</f>
      </c>
    </row>
    <row r="850" spans="1:16" ht="15" customHeight="1" x14ac:dyDescent="0.15">
      <c r="A850" s="242"/>
      <c r="B850" s="242"/>
      <c r="C850" s="242"/>
      <c r="D850" s="256"/>
      <c r="E850" s="242"/>
      <c r="F850" s="257"/>
      <c r="G850" s="242"/>
      <c r="H850" s="257"/>
      <c r="I850" s="242"/>
      <c r="J850" s="249">
        <f>IF(OR(B850="",C850="",E850=""),"",B850&amp;":"&amp;C850&amp;":"&amp;E850)</f>
      </c>
      <c r="K850" s="250">
        <f>IF(A850="","",A850*D850)</f>
      </c>
      <c r="L850" s="249">
        <f>IF(A850="","",IF(OR(A850=1,A850=0),H850,0))</f>
      </c>
      <c r="M850" s="249">
        <f>IF(A850="","",IF(A850=-1,H850,0))</f>
      </c>
      <c r="N850">
        <f>IF($E850="SGD",1,IF($E850="USD",Settings!$B$22,IF($E850="HKD",Settings!$B$23,1)))</f>
      </c>
      <c r="O850">
        <f>IF($J850="",0,($M850-$L850+IF($A850=2,$H850,0))*$N850)</f>
      </c>
      <c r="P850">
        <f>IF($J850="",0,IF($A850=2,$H850*$N850,0))</f>
      </c>
    </row>
    <row r="851" spans="1:16" ht="15" customHeight="1" x14ac:dyDescent="0.15">
      <c r="A851" s="242"/>
      <c r="B851" s="242"/>
      <c r="C851" s="242"/>
      <c r="D851" s="256"/>
      <c r="E851" s="242"/>
      <c r="F851" s="257"/>
      <c r="G851" s="242"/>
      <c r="H851" s="257"/>
      <c r="I851" s="242"/>
      <c r="J851" s="249">
        <f>IF(OR(B851="",C851="",E851=""),"",B851&amp;":"&amp;C851&amp;":"&amp;E851)</f>
      </c>
      <c r="K851" s="250">
        <f>IF(A851="","",A851*D851)</f>
      </c>
      <c r="L851" s="249">
        <f>IF(A851="","",IF(OR(A851=1,A851=0),H851,0))</f>
      </c>
      <c r="M851" s="249">
        <f>IF(A851="","",IF(A851=-1,H851,0))</f>
      </c>
      <c r="N851">
        <f>IF($E851="SGD",1,IF($E851="USD",Settings!$B$22,IF($E851="HKD",Settings!$B$23,1)))</f>
      </c>
      <c r="O851">
        <f>IF($J851="",0,($M851-$L851+IF($A851=2,$H851,0))*$N851)</f>
      </c>
      <c r="P851">
        <f>IF($J851="",0,IF($A851=2,$H851*$N851,0))</f>
      </c>
    </row>
    <row r="852" spans="1:16" ht="15" customHeight="1" x14ac:dyDescent="0.15">
      <c r="A852" s="242"/>
      <c r="B852" s="242"/>
      <c r="C852" s="242"/>
      <c r="D852" s="256"/>
      <c r="E852" s="242"/>
      <c r="F852" s="257"/>
      <c r="G852" s="242"/>
      <c r="H852" s="257"/>
      <c r="I852" s="242"/>
      <c r="J852" s="249">
        <f>IF(OR(B852="",C852="",E852=""),"",B852&amp;":"&amp;C852&amp;":"&amp;E852)</f>
      </c>
      <c r="K852" s="250">
        <f>IF(A852="","",A852*D852)</f>
      </c>
      <c r="L852" s="249">
        <f>IF(A852="","",IF(OR(A852=1,A852=0),H852,0))</f>
      </c>
      <c r="M852" s="249">
        <f>IF(A852="","",IF(A852=-1,H852,0))</f>
      </c>
      <c r="N852">
        <f>IF($E852="SGD",1,IF($E852="USD",Settings!$B$22,IF($E852="HKD",Settings!$B$23,1)))</f>
      </c>
      <c r="O852">
        <f>IF($J852="",0,($M852-$L852+IF($A852=2,$H852,0))*$N852)</f>
      </c>
      <c r="P852">
        <f>IF($J852="",0,IF($A852=2,$H852*$N852,0))</f>
      </c>
    </row>
    <row r="853" spans="1:16" ht="15" customHeight="1" x14ac:dyDescent="0.15">
      <c r="A853" s="242"/>
      <c r="B853" s="242"/>
      <c r="C853" s="242"/>
      <c r="D853" s="256"/>
      <c r="E853" s="242"/>
      <c r="F853" s="257"/>
      <c r="G853" s="242"/>
      <c r="H853" s="257"/>
      <c r="I853" s="242"/>
      <c r="J853" s="249">
        <f>IF(OR(B853="",C853="",E853=""),"",B853&amp;":"&amp;C853&amp;":"&amp;E853)</f>
      </c>
      <c r="K853" s="250">
        <f>IF(A853="","",A853*D853)</f>
      </c>
      <c r="L853" s="249">
        <f>IF(A853="","",IF(OR(A853=1,A853=0),H853,0))</f>
      </c>
      <c r="M853" s="249">
        <f>IF(A853="","",IF(A853=-1,H853,0))</f>
      </c>
      <c r="N853">
        <f>IF($E853="SGD",1,IF($E853="USD",Settings!$B$22,IF($E853="HKD",Settings!$B$23,1)))</f>
      </c>
      <c r="O853">
        <f>IF($J853="",0,($M853-$L853+IF($A853=2,$H853,0))*$N853)</f>
      </c>
      <c r="P853">
        <f>IF($J853="",0,IF($A853=2,$H853*$N853,0))</f>
      </c>
    </row>
    <row r="854" spans="1:16" ht="15" customHeight="1" x14ac:dyDescent="0.15">
      <c r="A854" s="242"/>
      <c r="B854" s="242"/>
      <c r="C854" s="242"/>
      <c r="D854" s="256"/>
      <c r="E854" s="242"/>
      <c r="F854" s="257"/>
      <c r="G854" s="242"/>
      <c r="H854" s="257"/>
      <c r="I854" s="242"/>
      <c r="J854" s="249">
        <f>IF(OR(B854="",C854="",E854=""),"",B854&amp;":"&amp;C854&amp;":"&amp;E854)</f>
      </c>
      <c r="K854" s="250">
        <f>IF(A854="","",A854*D854)</f>
      </c>
      <c r="L854" s="249">
        <f>IF(A854="","",IF(OR(A854=1,A854=0),H854,0))</f>
      </c>
      <c r="M854" s="249">
        <f>IF(A854="","",IF(A854=-1,H854,0))</f>
      </c>
      <c r="N854">
        <f>IF($E854="SGD",1,IF($E854="USD",Settings!$B$22,IF($E854="HKD",Settings!$B$23,1)))</f>
      </c>
      <c r="O854">
        <f>IF($J854="",0,($M854-$L854+IF($A854=2,$H854,0))*$N854)</f>
      </c>
      <c r="P854">
        <f>IF($J854="",0,IF($A854=2,$H854*$N854,0))</f>
      </c>
    </row>
    <row r="855" spans="1:16" ht="15" customHeight="1" x14ac:dyDescent="0.15">
      <c r="A855" s="242"/>
      <c r="B855" s="242"/>
      <c r="C855" s="242"/>
      <c r="D855" s="256"/>
      <c r="E855" s="242"/>
      <c r="F855" s="257"/>
      <c r="G855" s="242"/>
      <c r="H855" s="257"/>
      <c r="I855" s="242"/>
      <c r="J855" s="249">
        <f>IF(OR(B855="",C855="",E855=""),"",B855&amp;":"&amp;C855&amp;":"&amp;E855)</f>
      </c>
      <c r="K855" s="250">
        <f>IF(A855="","",A855*D855)</f>
      </c>
      <c r="L855" s="249">
        <f>IF(A855="","",IF(OR(A855=1,A855=0),H855,0))</f>
      </c>
      <c r="M855" s="249">
        <f>IF(A855="","",IF(A855=-1,H855,0))</f>
      </c>
      <c r="N855">
        <f>IF($E855="SGD",1,IF($E855="USD",Settings!$B$22,IF($E855="HKD",Settings!$B$23,1)))</f>
      </c>
      <c r="O855">
        <f>IF($J855="",0,($M855-$L855+IF($A855=2,$H855,0))*$N855)</f>
      </c>
      <c r="P855">
        <f>IF($J855="",0,IF($A855=2,$H855*$N855,0))</f>
      </c>
    </row>
    <row r="856" spans="1:16" ht="15" customHeight="1" x14ac:dyDescent="0.15">
      <c r="A856" s="242"/>
      <c r="B856" s="242"/>
      <c r="C856" s="242"/>
      <c r="D856" s="256"/>
      <c r="E856" s="242"/>
      <c r="F856" s="257"/>
      <c r="G856" s="242"/>
      <c r="H856" s="257"/>
      <c r="I856" s="242"/>
      <c r="J856" s="249">
        <f>IF(OR(B856="",C856="",E856=""),"",B856&amp;":"&amp;C856&amp;":"&amp;E856)</f>
      </c>
      <c r="K856" s="250">
        <f>IF(A856="","",A856*D856)</f>
      </c>
      <c r="L856" s="249">
        <f>IF(A856="","",IF(OR(A856=1,A856=0),H856,0))</f>
      </c>
      <c r="M856" s="249">
        <f>IF(A856="","",IF(A856=-1,H856,0))</f>
      </c>
      <c r="N856">
        <f>IF($E856="SGD",1,IF($E856="USD",Settings!$B$22,IF($E856="HKD",Settings!$B$23,1)))</f>
      </c>
      <c r="O856">
        <f>IF($J856="",0,($M856-$L856+IF($A856=2,$H856,0))*$N856)</f>
      </c>
      <c r="P856">
        <f>IF($J856="",0,IF($A856=2,$H856*$N856,0))</f>
      </c>
    </row>
    <row r="857" spans="1:16" ht="15" customHeight="1" x14ac:dyDescent="0.15">
      <c r="A857" s="242"/>
      <c r="B857" s="242"/>
      <c r="C857" s="242"/>
      <c r="D857" s="256"/>
      <c r="E857" s="242"/>
      <c r="F857" s="257"/>
      <c r="G857" s="242"/>
      <c r="H857" s="257"/>
      <c r="I857" s="242"/>
      <c r="J857" s="249">
        <f>IF(OR(B857="",C857="",E857=""),"",B857&amp;":"&amp;C857&amp;":"&amp;E857)</f>
      </c>
      <c r="K857" s="250">
        <f>IF(A857="","",A857*D857)</f>
      </c>
      <c r="L857" s="249">
        <f>IF(A857="","",IF(OR(A857=1,A857=0),H857,0))</f>
      </c>
      <c r="M857" s="249">
        <f>IF(A857="","",IF(A857=-1,H857,0))</f>
      </c>
      <c r="N857">
        <f>IF($E857="SGD",1,IF($E857="USD",Settings!$B$22,IF($E857="HKD",Settings!$B$23,1)))</f>
      </c>
      <c r="O857">
        <f>IF($J857="",0,($M857-$L857+IF($A857=2,$H857,0))*$N857)</f>
      </c>
      <c r="P857">
        <f>IF($J857="",0,IF($A857=2,$H857*$N857,0))</f>
      </c>
    </row>
    <row r="858" spans="1:16" ht="15" customHeight="1" x14ac:dyDescent="0.15">
      <c r="A858" s="242"/>
      <c r="B858" s="242"/>
      <c r="C858" s="242"/>
      <c r="D858" s="256"/>
      <c r="E858" s="242"/>
      <c r="F858" s="257"/>
      <c r="G858" s="242"/>
      <c r="H858" s="257"/>
      <c r="I858" s="242"/>
      <c r="J858" s="249">
        <f>IF(OR(B858="",C858="",E858=""),"",B858&amp;":"&amp;C858&amp;":"&amp;E858)</f>
      </c>
      <c r="K858" s="250">
        <f>IF(A858="","",A858*D858)</f>
      </c>
      <c r="L858" s="249">
        <f>IF(A858="","",IF(OR(A858=1,A858=0),H858,0))</f>
      </c>
      <c r="M858" s="249">
        <f>IF(A858="","",IF(A858=-1,H858,0))</f>
      </c>
      <c r="N858">
        <f>IF($E858="SGD",1,IF($E858="USD",Settings!$B$22,IF($E858="HKD",Settings!$B$23,1)))</f>
      </c>
      <c r="O858">
        <f>IF($J858="",0,($M858-$L858+IF($A858=2,$H858,0))*$N858)</f>
      </c>
      <c r="P858">
        <f>IF($J858="",0,IF($A858=2,$H858*$N858,0))</f>
      </c>
    </row>
    <row r="859" spans="1:16" ht="15" customHeight="1" x14ac:dyDescent="0.15">
      <c r="A859" s="242"/>
      <c r="B859" s="242"/>
      <c r="C859" s="242"/>
      <c r="D859" s="256"/>
      <c r="E859" s="242"/>
      <c r="F859" s="257"/>
      <c r="G859" s="242"/>
      <c r="H859" s="257"/>
      <c r="I859" s="242"/>
      <c r="J859" s="249">
        <f>IF(OR(B859="",C859="",E859=""),"",B859&amp;":"&amp;C859&amp;":"&amp;E859)</f>
      </c>
      <c r="K859" s="250">
        <f>IF(A859="","",A859*D859)</f>
      </c>
      <c r="L859" s="249">
        <f>IF(A859="","",IF(OR(A859=1,A859=0),H859,0))</f>
      </c>
      <c r="M859" s="249">
        <f>IF(A859="","",IF(A859=-1,H859,0))</f>
      </c>
      <c r="N859">
        <f>IF($E859="SGD",1,IF($E859="USD",Settings!$B$22,IF($E859="HKD",Settings!$B$23,1)))</f>
      </c>
      <c r="O859">
        <f>IF($J859="",0,($M859-$L859+IF($A859=2,$H859,0))*$N859)</f>
      </c>
      <c r="P859">
        <f>IF($J859="",0,IF($A859=2,$H859*$N859,0))</f>
      </c>
    </row>
    <row r="860" spans="1:16" ht="15" customHeight="1" x14ac:dyDescent="0.15">
      <c r="A860" s="242"/>
      <c r="B860" s="242"/>
      <c r="C860" s="242"/>
      <c r="D860" s="256"/>
      <c r="E860" s="242"/>
      <c r="F860" s="257"/>
      <c r="G860" s="242"/>
      <c r="H860" s="257"/>
      <c r="I860" s="242"/>
      <c r="J860" s="249">
        <f>IF(OR(B860="",C860="",E860=""),"",B860&amp;":"&amp;C860&amp;":"&amp;E860)</f>
      </c>
      <c r="K860" s="250">
        <f>IF(A860="","",A860*D860)</f>
      </c>
      <c r="L860" s="249">
        <f>IF(A860="","",IF(OR(A860=1,A860=0),H860,0))</f>
      </c>
      <c r="M860" s="249">
        <f>IF(A860="","",IF(A860=-1,H860,0))</f>
      </c>
      <c r="N860">
        <f>IF($E860="SGD",1,IF($E860="USD",Settings!$B$22,IF($E860="HKD",Settings!$B$23,1)))</f>
      </c>
      <c r="O860">
        <f>IF($J860="",0,($M860-$L860+IF($A860=2,$H860,0))*$N860)</f>
      </c>
      <c r="P860">
        <f>IF($J860="",0,IF($A860=2,$H860*$N860,0))</f>
      </c>
    </row>
    <row r="861" spans="1:16" ht="15" customHeight="1" x14ac:dyDescent="0.15">
      <c r="A861" s="242"/>
      <c r="B861" s="242"/>
      <c r="C861" s="242"/>
      <c r="D861" s="256"/>
      <c r="E861" s="242"/>
      <c r="F861" s="257"/>
      <c r="G861" s="242"/>
      <c r="H861" s="257"/>
      <c r="I861" s="242"/>
      <c r="J861" s="249">
        <f>IF(OR(B861="",C861="",E861=""),"",B861&amp;":"&amp;C861&amp;":"&amp;E861)</f>
      </c>
      <c r="K861" s="250">
        <f>IF(A861="","",A861*D861)</f>
      </c>
      <c r="L861" s="249">
        <f>IF(A861="","",IF(OR(A861=1,A861=0),H861,0))</f>
      </c>
      <c r="M861" s="249">
        <f>IF(A861="","",IF(A861=-1,H861,0))</f>
      </c>
      <c r="N861">
        <f>IF($E861="SGD",1,IF($E861="USD",Settings!$B$22,IF($E861="HKD",Settings!$B$23,1)))</f>
      </c>
      <c r="O861">
        <f>IF($J861="",0,($M861-$L861+IF($A861=2,$H861,0))*$N861)</f>
      </c>
      <c r="P861">
        <f>IF($J861="",0,IF($A861=2,$H861*$N861,0))</f>
      </c>
    </row>
    <row r="862" spans="1:16" ht="15" customHeight="1" x14ac:dyDescent="0.15">
      <c r="A862" s="242"/>
      <c r="B862" s="242"/>
      <c r="C862" s="242"/>
      <c r="D862" s="256"/>
      <c r="E862" s="242"/>
      <c r="F862" s="257"/>
      <c r="G862" s="242"/>
      <c r="H862" s="257"/>
      <c r="I862" s="242"/>
      <c r="J862" s="249">
        <f>IF(OR(B862="",C862="",E862=""),"",B862&amp;":"&amp;C862&amp;":"&amp;E862)</f>
      </c>
      <c r="K862" s="250">
        <f>IF(A862="","",A862*D862)</f>
      </c>
      <c r="L862" s="249">
        <f>IF(A862="","",IF(OR(A862=1,A862=0),H862,0))</f>
      </c>
      <c r="M862" s="249">
        <f>IF(A862="","",IF(A862=-1,H862,0))</f>
      </c>
      <c r="N862">
        <f>IF($E862="SGD",1,IF($E862="USD",Settings!$B$22,IF($E862="HKD",Settings!$B$23,1)))</f>
      </c>
      <c r="O862">
        <f>IF($J862="",0,($M862-$L862+IF($A862=2,$H862,0))*$N862)</f>
      </c>
      <c r="P862">
        <f>IF($J862="",0,IF($A862=2,$H862*$N862,0))</f>
      </c>
    </row>
    <row r="863" spans="1:16" ht="15" customHeight="1" x14ac:dyDescent="0.15">
      <c r="A863" s="242"/>
      <c r="B863" s="242"/>
      <c r="C863" s="242"/>
      <c r="D863" s="256"/>
      <c r="E863" s="242"/>
      <c r="F863" s="257"/>
      <c r="G863" s="242"/>
      <c r="H863" s="257"/>
      <c r="I863" s="242"/>
      <c r="J863" s="249">
        <f>IF(OR(B863="",C863="",E863=""),"",B863&amp;":"&amp;C863&amp;":"&amp;E863)</f>
      </c>
      <c r="K863" s="250">
        <f>IF(A863="","",A863*D863)</f>
      </c>
      <c r="L863" s="249">
        <f>IF(A863="","",IF(OR(A863=1,A863=0),H863,0))</f>
      </c>
      <c r="M863" s="249">
        <f>IF(A863="","",IF(A863=-1,H863,0))</f>
      </c>
      <c r="N863">
        <f>IF($E863="SGD",1,IF($E863="USD",Settings!$B$22,IF($E863="HKD",Settings!$B$23,1)))</f>
      </c>
      <c r="O863">
        <f>IF($J863="",0,($M863-$L863+IF($A863=2,$H863,0))*$N863)</f>
      </c>
      <c r="P863">
        <f>IF($J863="",0,IF($A863=2,$H863*$N863,0))</f>
      </c>
    </row>
    <row r="864" spans="1:16" ht="15" customHeight="1" x14ac:dyDescent="0.15">
      <c r="A864" s="242"/>
      <c r="B864" s="242"/>
      <c r="C864" s="242"/>
      <c r="D864" s="256"/>
      <c r="E864" s="242"/>
      <c r="F864" s="257"/>
      <c r="G864" s="242"/>
      <c r="H864" s="257"/>
      <c r="I864" s="242"/>
      <c r="J864" s="249">
        <f>IF(OR(B864="",C864="",E864=""),"",B864&amp;":"&amp;C864&amp;":"&amp;E864)</f>
      </c>
      <c r="K864" s="250">
        <f>IF(A864="","",A864*D864)</f>
      </c>
      <c r="L864" s="249">
        <f>IF(A864="","",IF(OR(A864=1,A864=0),H864,0))</f>
      </c>
      <c r="M864" s="249">
        <f>IF(A864="","",IF(A864=-1,H864,0))</f>
      </c>
      <c r="N864">
        <f>IF($E864="SGD",1,IF($E864="USD",Settings!$B$22,IF($E864="HKD",Settings!$B$23,1)))</f>
      </c>
      <c r="O864">
        <f>IF($J864="",0,($M864-$L864+IF($A864=2,$H864,0))*$N864)</f>
      </c>
      <c r="P864">
        <f>IF($J864="",0,IF($A864=2,$H864*$N864,0))</f>
      </c>
    </row>
    <row r="865" spans="1:16" ht="15" customHeight="1" x14ac:dyDescent="0.15">
      <c r="A865" s="242"/>
      <c r="B865" s="242"/>
      <c r="C865" s="242"/>
      <c r="D865" s="256"/>
      <c r="E865" s="242"/>
      <c r="F865" s="257"/>
      <c r="G865" s="242"/>
      <c r="H865" s="257"/>
      <c r="I865" s="242"/>
      <c r="J865" s="249">
        <f>IF(OR(B865="",C865="",E865=""),"",B865&amp;":"&amp;C865&amp;":"&amp;E865)</f>
      </c>
      <c r="K865" s="250">
        <f>IF(A865="","",A865*D865)</f>
      </c>
      <c r="L865" s="249">
        <f>IF(A865="","",IF(OR(A865=1,A865=0),H865,0))</f>
      </c>
      <c r="M865" s="249">
        <f>IF(A865="","",IF(A865=-1,H865,0))</f>
      </c>
      <c r="N865">
        <f>IF($E865="SGD",1,IF($E865="USD",Settings!$B$22,IF($E865="HKD",Settings!$B$23,1)))</f>
      </c>
      <c r="O865">
        <f>IF($J865="",0,($M865-$L865+IF($A865=2,$H865,0))*$N865)</f>
      </c>
      <c r="P865">
        <f>IF($J865="",0,IF($A865=2,$H865*$N865,0))</f>
      </c>
    </row>
    <row r="866" spans="1:16" ht="15" customHeight="1" x14ac:dyDescent="0.15">
      <c r="A866" s="242"/>
      <c r="B866" s="242"/>
      <c r="C866" s="242"/>
      <c r="D866" s="256"/>
      <c r="E866" s="242"/>
      <c r="F866" s="257"/>
      <c r="G866" s="242"/>
      <c r="H866" s="257"/>
      <c r="I866" s="242"/>
      <c r="J866" s="249">
        <f>IF(OR(B866="",C866="",E866=""),"",B866&amp;":"&amp;C866&amp;":"&amp;E866)</f>
      </c>
      <c r="K866" s="250">
        <f>IF(A866="","",A866*D866)</f>
      </c>
      <c r="L866" s="249">
        <f>IF(A866="","",IF(OR(A866=1,A866=0),H866,0))</f>
      </c>
      <c r="M866" s="249">
        <f>IF(A866="","",IF(A866=-1,H866,0))</f>
      </c>
      <c r="N866">
        <f>IF($E866="SGD",1,IF($E866="USD",Settings!$B$22,IF($E866="HKD",Settings!$B$23,1)))</f>
      </c>
      <c r="O866">
        <f>IF($J866="",0,($M866-$L866+IF($A866=2,$H866,0))*$N866)</f>
      </c>
      <c r="P866">
        <f>IF($J866="",0,IF($A866=2,$H866*$N866,0))</f>
      </c>
    </row>
    <row r="867" spans="1:16" ht="15" customHeight="1" x14ac:dyDescent="0.15">
      <c r="A867" s="242"/>
      <c r="B867" s="242"/>
      <c r="C867" s="242"/>
      <c r="D867" s="256"/>
      <c r="E867" s="242"/>
      <c r="F867" s="257"/>
      <c r="G867" s="242"/>
      <c r="H867" s="257"/>
      <c r="I867" s="242"/>
      <c r="J867" s="249">
        <f>IF(OR(B867="",C867="",E867=""),"",B867&amp;":"&amp;C867&amp;":"&amp;E867)</f>
      </c>
      <c r="K867" s="250">
        <f>IF(A867="","",A867*D867)</f>
      </c>
      <c r="L867" s="249">
        <f>IF(A867="","",IF(OR(A867=1,A867=0),H867,0))</f>
      </c>
      <c r="M867" s="249">
        <f>IF(A867="","",IF(A867=-1,H867,0))</f>
      </c>
      <c r="N867">
        <f>IF($E867="SGD",1,IF($E867="USD",Settings!$B$22,IF($E867="HKD",Settings!$B$23,1)))</f>
      </c>
      <c r="O867">
        <f>IF($J867="",0,($M867-$L867+IF($A867=2,$H867,0))*$N867)</f>
      </c>
      <c r="P867">
        <f>IF($J867="",0,IF($A867=2,$H867*$N867,0))</f>
      </c>
    </row>
    <row r="868" spans="1:16" ht="15" customHeight="1" x14ac:dyDescent="0.15">
      <c r="A868" s="242"/>
      <c r="B868" s="242"/>
      <c r="C868" s="242"/>
      <c r="D868" s="256"/>
      <c r="E868" s="242"/>
      <c r="F868" s="257"/>
      <c r="G868" s="242"/>
      <c r="H868" s="257"/>
      <c r="I868" s="242"/>
      <c r="J868" s="249">
        <f>IF(OR(B868="",C868="",E868=""),"",B868&amp;":"&amp;C868&amp;":"&amp;E868)</f>
      </c>
      <c r="K868" s="250">
        <f>IF(A868="","",A868*D868)</f>
      </c>
      <c r="L868" s="249">
        <f>IF(A868="","",IF(OR(A868=1,A868=0),H868,0))</f>
      </c>
      <c r="M868" s="249">
        <f>IF(A868="","",IF(A868=-1,H868,0))</f>
      </c>
      <c r="N868">
        <f>IF($E868="SGD",1,IF($E868="USD",Settings!$B$22,IF($E868="HKD",Settings!$B$23,1)))</f>
      </c>
      <c r="O868">
        <f>IF($J868="",0,($M868-$L868+IF($A868=2,$H868,0))*$N868)</f>
      </c>
      <c r="P868">
        <f>IF($J868="",0,IF($A868=2,$H868*$N868,0))</f>
      </c>
    </row>
    <row r="869" spans="1:16" ht="15" customHeight="1" x14ac:dyDescent="0.15">
      <c r="A869" s="242"/>
      <c r="B869" s="242"/>
      <c r="C869" s="242"/>
      <c r="D869" s="256"/>
      <c r="E869" s="242"/>
      <c r="F869" s="257"/>
      <c r="G869" s="242"/>
      <c r="H869" s="257"/>
      <c r="I869" s="242"/>
      <c r="J869" s="249">
        <f>IF(OR(B869="",C869="",E869=""),"",B869&amp;":"&amp;C869&amp;":"&amp;E869)</f>
      </c>
      <c r="K869" s="250">
        <f>IF(A869="","",A869*D869)</f>
      </c>
      <c r="L869" s="249">
        <f>IF(A869="","",IF(OR(A869=1,A869=0),H869,0))</f>
      </c>
      <c r="M869" s="249">
        <f>IF(A869="","",IF(A869=-1,H869,0))</f>
      </c>
      <c r="N869">
        <f>IF($E869="SGD",1,IF($E869="USD",Settings!$B$22,IF($E869="HKD",Settings!$B$23,1)))</f>
      </c>
      <c r="O869">
        <f>IF($J869="",0,($M869-$L869+IF($A869=2,$H869,0))*$N869)</f>
      </c>
      <c r="P869">
        <f>IF($J869="",0,IF($A869=2,$H869*$N869,0))</f>
      </c>
    </row>
    <row r="870" spans="1:16" ht="15" customHeight="1" x14ac:dyDescent="0.15">
      <c r="A870" s="242"/>
      <c r="B870" s="242"/>
      <c r="C870" s="242"/>
      <c r="D870" s="256"/>
      <c r="E870" s="242"/>
      <c r="F870" s="257"/>
      <c r="G870" s="242"/>
      <c r="H870" s="257"/>
      <c r="I870" s="242"/>
      <c r="J870" s="249">
        <f>IF(OR(B870="",C870="",E870=""),"",B870&amp;":"&amp;C870&amp;":"&amp;E870)</f>
      </c>
      <c r="K870" s="250">
        <f>IF(A870="","",A870*D870)</f>
      </c>
      <c r="L870" s="249">
        <f>IF(A870="","",IF(OR(A870=1,A870=0),H870,0))</f>
      </c>
      <c r="M870" s="249">
        <f>IF(A870="","",IF(A870=-1,H870,0))</f>
      </c>
      <c r="N870">
        <f>IF($E870="SGD",1,IF($E870="USD",Settings!$B$22,IF($E870="HKD",Settings!$B$23,1)))</f>
      </c>
      <c r="O870">
        <f>IF($J870="",0,($M870-$L870+IF($A870=2,$H870,0))*$N870)</f>
      </c>
      <c r="P870">
        <f>IF($J870="",0,IF($A870=2,$H870*$N870,0))</f>
      </c>
    </row>
    <row r="871" spans="1:16" ht="15" customHeight="1" x14ac:dyDescent="0.15">
      <c r="A871" s="242"/>
      <c r="B871" s="242"/>
      <c r="C871" s="242"/>
      <c r="D871" s="256"/>
      <c r="E871" s="242"/>
      <c r="F871" s="257"/>
      <c r="G871" s="242"/>
      <c r="H871" s="257"/>
      <c r="I871" s="242"/>
      <c r="J871" s="249">
        <f>IF(OR(B871="",C871="",E871=""),"",B871&amp;":"&amp;C871&amp;":"&amp;E871)</f>
      </c>
      <c r="K871" s="250">
        <f>IF(A871="","",A871*D871)</f>
      </c>
      <c r="L871" s="249">
        <f>IF(A871="","",IF(OR(A871=1,A871=0),H871,0))</f>
      </c>
      <c r="M871" s="249">
        <f>IF(A871="","",IF(A871=-1,H871,0))</f>
      </c>
      <c r="N871">
        <f>IF($E871="SGD",1,IF($E871="USD",Settings!$B$22,IF($E871="HKD",Settings!$B$23,1)))</f>
      </c>
      <c r="O871">
        <f>IF($J871="",0,($M871-$L871+IF($A871=2,$H871,0))*$N871)</f>
      </c>
      <c r="P871">
        <f>IF($J871="",0,IF($A871=2,$H871*$N871,0))</f>
      </c>
    </row>
    <row r="872" spans="1:16" ht="15" customHeight="1" x14ac:dyDescent="0.15">
      <c r="A872" s="242"/>
      <c r="B872" s="242"/>
      <c r="C872" s="242"/>
      <c r="D872" s="256"/>
      <c r="E872" s="242"/>
      <c r="F872" s="257"/>
      <c r="G872" s="242"/>
      <c r="H872" s="257"/>
      <c r="I872" s="242"/>
      <c r="J872" s="249">
        <f>IF(OR(B872="",C872="",E872=""),"",B872&amp;":"&amp;C872&amp;":"&amp;E872)</f>
      </c>
      <c r="K872" s="250">
        <f>IF(A872="","",A872*D872)</f>
      </c>
      <c r="L872" s="249">
        <f>IF(A872="","",IF(OR(A872=1,A872=0),H872,0))</f>
      </c>
      <c r="M872" s="249">
        <f>IF(A872="","",IF(A872=-1,H872,0))</f>
      </c>
      <c r="N872">
        <f>IF($E872="SGD",1,IF($E872="USD",Settings!$B$22,IF($E872="HKD",Settings!$B$23,1)))</f>
      </c>
      <c r="O872">
        <f>IF($J872="",0,($M872-$L872+IF($A872=2,$H872,0))*$N872)</f>
      </c>
      <c r="P872">
        <f>IF($J872="",0,IF($A872=2,$H872*$N872,0))</f>
      </c>
    </row>
    <row r="873" spans="1:16" ht="15" customHeight="1" x14ac:dyDescent="0.15">
      <c r="A873" s="242"/>
      <c r="B873" s="242"/>
      <c r="C873" s="242"/>
      <c r="D873" s="256"/>
      <c r="E873" s="242"/>
      <c r="F873" s="257"/>
      <c r="G873" s="242"/>
      <c r="H873" s="257"/>
      <c r="I873" s="242"/>
      <c r="J873" s="249">
        <f>IF(OR(B873="",C873="",E873=""),"",B873&amp;":"&amp;C873&amp;":"&amp;E873)</f>
      </c>
      <c r="K873" s="250">
        <f>IF(A873="","",A873*D873)</f>
      </c>
      <c r="L873" s="249">
        <f>IF(A873="","",IF(OR(A873=1,A873=0),H873,0))</f>
      </c>
      <c r="M873" s="249">
        <f>IF(A873="","",IF(A873=-1,H873,0))</f>
      </c>
      <c r="N873">
        <f>IF($E873="SGD",1,IF($E873="USD",Settings!$B$22,IF($E873="HKD",Settings!$B$23,1)))</f>
      </c>
      <c r="O873">
        <f>IF($J873="",0,($M873-$L873+IF($A873=2,$H873,0))*$N873)</f>
      </c>
      <c r="P873">
        <f>IF($J873="",0,IF($A873=2,$H873*$N873,0))</f>
      </c>
    </row>
    <row r="874" spans="1:16" ht="15" customHeight="1" x14ac:dyDescent="0.15">
      <c r="A874" s="242"/>
      <c r="B874" s="242"/>
      <c r="C874" s="242"/>
      <c r="D874" s="256"/>
      <c r="E874" s="242"/>
      <c r="F874" s="257"/>
      <c r="G874" s="242"/>
      <c r="H874" s="257"/>
      <c r="I874" s="242"/>
      <c r="J874" s="249">
        <f>IF(OR(B874="",C874="",E874=""),"",B874&amp;":"&amp;C874&amp;":"&amp;E874)</f>
      </c>
      <c r="K874" s="250">
        <f>IF(A874="","",A874*D874)</f>
      </c>
      <c r="L874" s="249">
        <f>IF(A874="","",IF(OR(A874=1,A874=0),H874,0))</f>
      </c>
      <c r="M874" s="249">
        <f>IF(A874="","",IF(A874=-1,H874,0))</f>
      </c>
      <c r="N874">
        <f>IF($E874="SGD",1,IF($E874="USD",Settings!$B$22,IF($E874="HKD",Settings!$B$23,1)))</f>
      </c>
      <c r="O874">
        <f>IF($J874="",0,($M874-$L874+IF($A874=2,$H874,0))*$N874)</f>
      </c>
      <c r="P874">
        <f>IF($J874="",0,IF($A874=2,$H874*$N874,0))</f>
      </c>
    </row>
    <row r="875" spans="1:16" ht="15" customHeight="1" x14ac:dyDescent="0.15">
      <c r="A875" s="242"/>
      <c r="B875" s="242"/>
      <c r="C875" s="242"/>
      <c r="D875" s="256"/>
      <c r="E875" s="242"/>
      <c r="F875" s="257"/>
      <c r="G875" s="242"/>
      <c r="H875" s="257"/>
      <c r="I875" s="242"/>
      <c r="J875" s="249">
        <f>IF(OR(B875="",C875="",E875=""),"",B875&amp;":"&amp;C875&amp;":"&amp;E875)</f>
      </c>
      <c r="K875" s="250">
        <f>IF(A875="","",A875*D875)</f>
      </c>
      <c r="L875" s="249">
        <f>IF(A875="","",IF(OR(A875=1,A875=0),H875,0))</f>
      </c>
      <c r="M875" s="249">
        <f>IF(A875="","",IF(A875=-1,H875,0))</f>
      </c>
      <c r="N875">
        <f>IF($E875="SGD",1,IF($E875="USD",Settings!$B$22,IF($E875="HKD",Settings!$B$23,1)))</f>
      </c>
      <c r="O875">
        <f>IF($J875="",0,($M875-$L875+IF($A875=2,$H875,0))*$N875)</f>
      </c>
      <c r="P875">
        <f>IF($J875="",0,IF($A875=2,$H875*$N875,0))</f>
      </c>
    </row>
    <row r="876" spans="1:16" ht="15" customHeight="1" x14ac:dyDescent="0.15">
      <c r="A876" s="242"/>
      <c r="B876" s="242"/>
      <c r="C876" s="242"/>
      <c r="D876" s="256"/>
      <c r="E876" s="242"/>
      <c r="F876" s="257"/>
      <c r="G876" s="242"/>
      <c r="H876" s="257"/>
      <c r="I876" s="242"/>
      <c r="J876" s="249">
        <f>IF(OR(B876="",C876="",E876=""),"",B876&amp;":"&amp;C876&amp;":"&amp;E876)</f>
      </c>
      <c r="K876" s="250">
        <f>IF(A876="","",A876*D876)</f>
      </c>
      <c r="L876" s="249">
        <f>IF(A876="","",IF(OR(A876=1,A876=0),H876,0))</f>
      </c>
      <c r="M876" s="249">
        <f>IF(A876="","",IF(A876=-1,H876,0))</f>
      </c>
      <c r="N876">
        <f>IF($E876="SGD",1,IF($E876="USD",Settings!$B$22,IF($E876="HKD",Settings!$B$23,1)))</f>
      </c>
      <c r="O876">
        <f>IF($J876="",0,($M876-$L876+IF($A876=2,$H876,0))*$N876)</f>
      </c>
      <c r="P876">
        <f>IF($J876="",0,IF($A876=2,$H876*$N876,0))</f>
      </c>
    </row>
    <row r="877" spans="1:16" ht="15" customHeight="1" x14ac:dyDescent="0.15">
      <c r="A877" s="242"/>
      <c r="B877" s="242"/>
      <c r="C877" s="242"/>
      <c r="D877" s="256"/>
      <c r="E877" s="242"/>
      <c r="F877" s="257"/>
      <c r="G877" s="242"/>
      <c r="H877" s="257"/>
      <c r="I877" s="242"/>
      <c r="J877" s="249">
        <f>IF(OR(B877="",C877="",E877=""),"",B877&amp;":"&amp;C877&amp;":"&amp;E877)</f>
      </c>
      <c r="K877" s="250">
        <f>IF(A877="","",A877*D877)</f>
      </c>
      <c r="L877" s="249">
        <f>IF(A877="","",IF(OR(A877=1,A877=0),H877,0))</f>
      </c>
      <c r="M877" s="249">
        <f>IF(A877="","",IF(A877=-1,H877,0))</f>
      </c>
      <c r="N877">
        <f>IF($E877="SGD",1,IF($E877="USD",Settings!$B$22,IF($E877="HKD",Settings!$B$23,1)))</f>
      </c>
      <c r="O877">
        <f>IF($J877="",0,($M877-$L877+IF($A877=2,$H877,0))*$N877)</f>
      </c>
      <c r="P877">
        <f>IF($J877="",0,IF($A877=2,$H877*$N877,0))</f>
      </c>
    </row>
    <row r="878" spans="1:16" ht="15" customHeight="1" x14ac:dyDescent="0.15">
      <c r="A878" s="242"/>
      <c r="B878" s="242"/>
      <c r="C878" s="242"/>
      <c r="D878" s="256"/>
      <c r="E878" s="242"/>
      <c r="F878" s="257"/>
      <c r="G878" s="242"/>
      <c r="H878" s="257"/>
      <c r="I878" s="242"/>
      <c r="J878" s="249">
        <f>IF(OR(B878="",C878="",E878=""),"",B878&amp;":"&amp;C878&amp;":"&amp;E878)</f>
      </c>
      <c r="K878" s="250">
        <f>IF(A878="","",A878*D878)</f>
      </c>
      <c r="L878" s="249">
        <f>IF(A878="","",IF(OR(A878=1,A878=0),H878,0))</f>
      </c>
      <c r="M878" s="249">
        <f>IF(A878="","",IF(A878=-1,H878,0))</f>
      </c>
      <c r="N878">
        <f>IF($E878="SGD",1,IF($E878="USD",Settings!$B$22,IF($E878="HKD",Settings!$B$23,1)))</f>
      </c>
      <c r="O878">
        <f>IF($J878="",0,($M878-$L878+IF($A878=2,$H878,0))*$N878)</f>
      </c>
      <c r="P878">
        <f>IF($J878="",0,IF($A878=2,$H878*$N878,0))</f>
      </c>
    </row>
    <row r="879" spans="1:16" ht="15" customHeight="1" x14ac:dyDescent="0.15">
      <c r="A879" s="242"/>
      <c r="B879" s="242"/>
      <c r="C879" s="242"/>
      <c r="D879" s="256"/>
      <c r="E879" s="242"/>
      <c r="F879" s="257"/>
      <c r="G879" s="242"/>
      <c r="H879" s="257"/>
      <c r="I879" s="242"/>
      <c r="J879" s="249">
        <f>IF(OR(B879="",C879="",E879=""),"",B879&amp;":"&amp;C879&amp;":"&amp;E879)</f>
      </c>
      <c r="K879" s="250">
        <f>IF(A879="","",A879*D879)</f>
      </c>
      <c r="L879" s="249">
        <f>IF(A879="","",IF(OR(A879=1,A879=0),H879,0))</f>
      </c>
      <c r="M879" s="249">
        <f>IF(A879="","",IF(A879=-1,H879,0))</f>
      </c>
      <c r="N879">
        <f>IF($E879="SGD",1,IF($E879="USD",Settings!$B$22,IF($E879="HKD",Settings!$B$23,1)))</f>
      </c>
      <c r="O879">
        <f>IF($J879="",0,($M879-$L879+IF($A879=2,$H879,0))*$N879)</f>
      </c>
      <c r="P879">
        <f>IF($J879="",0,IF($A879=2,$H879*$N879,0))</f>
      </c>
    </row>
    <row r="880" spans="1:16" ht="15" customHeight="1" x14ac:dyDescent="0.15">
      <c r="A880" s="242"/>
      <c r="B880" s="242"/>
      <c r="C880" s="242"/>
      <c r="D880" s="256"/>
      <c r="E880" s="242"/>
      <c r="F880" s="257"/>
      <c r="G880" s="242"/>
      <c r="H880" s="257"/>
      <c r="I880" s="242"/>
      <c r="J880" s="249">
        <f>IF(OR(B880="",C880="",E880=""),"",B880&amp;":"&amp;C880&amp;":"&amp;E880)</f>
      </c>
      <c r="K880" s="250">
        <f>IF(A880="","",A880*D880)</f>
      </c>
      <c r="L880" s="249">
        <f>IF(A880="","",IF(OR(A880=1,A880=0),H880,0))</f>
      </c>
      <c r="M880" s="249">
        <f>IF(A880="","",IF(A880=-1,H880,0))</f>
      </c>
      <c r="N880">
        <f>IF($E880="SGD",1,IF($E880="USD",Settings!$B$22,IF($E880="HKD",Settings!$B$23,1)))</f>
      </c>
      <c r="O880">
        <f>IF($J880="",0,($M880-$L880+IF($A880=2,$H880,0))*$N880)</f>
      </c>
      <c r="P880">
        <f>IF($J880="",0,IF($A880=2,$H880*$N880,0))</f>
      </c>
    </row>
    <row r="881" spans="1:16" ht="15" customHeight="1" x14ac:dyDescent="0.15">
      <c r="A881" s="242"/>
      <c r="B881" s="242"/>
      <c r="C881" s="242"/>
      <c r="D881" s="256"/>
      <c r="E881" s="242"/>
      <c r="F881" s="257"/>
      <c r="G881" s="242"/>
      <c r="H881" s="257"/>
      <c r="I881" s="242"/>
      <c r="J881" s="249">
        <f>IF(OR(B881="",C881="",E881=""),"",B881&amp;":"&amp;C881&amp;":"&amp;E881)</f>
      </c>
      <c r="K881" s="250">
        <f>IF(A881="","",A881*D881)</f>
      </c>
      <c r="L881" s="249">
        <f>IF(A881="","",IF(OR(A881=1,A881=0),H881,0))</f>
      </c>
      <c r="M881" s="249">
        <f>IF(A881="","",IF(A881=-1,H881,0))</f>
      </c>
      <c r="N881">
        <f>IF($E881="SGD",1,IF($E881="USD",Settings!$B$22,IF($E881="HKD",Settings!$B$23,1)))</f>
      </c>
      <c r="O881">
        <f>IF($J881="",0,($M881-$L881+IF($A881=2,$H881,0))*$N881)</f>
      </c>
      <c r="P881">
        <f>IF($J881="",0,IF($A881=2,$H881*$N881,0))</f>
      </c>
    </row>
    <row r="882" spans="1:16" ht="15" customHeight="1" x14ac:dyDescent="0.15">
      <c r="A882" s="242"/>
      <c r="B882" s="242"/>
      <c r="C882" s="242"/>
      <c r="D882" s="256"/>
      <c r="E882" s="242"/>
      <c r="F882" s="257"/>
      <c r="G882" s="242"/>
      <c r="H882" s="257"/>
      <c r="I882" s="242"/>
      <c r="J882" s="249">
        <f>IF(OR(B882="",C882="",E882=""),"",B882&amp;":"&amp;C882&amp;":"&amp;E882)</f>
      </c>
      <c r="K882" s="250">
        <f>IF(A882="","",A882*D882)</f>
      </c>
      <c r="L882" s="249">
        <f>IF(A882="","",IF(OR(A882=1,A882=0),H882,0))</f>
      </c>
      <c r="M882" s="249">
        <f>IF(A882="","",IF(A882=-1,H882,0))</f>
      </c>
      <c r="N882">
        <f>IF($E882="SGD",1,IF($E882="USD",Settings!$B$22,IF($E882="HKD",Settings!$B$23,1)))</f>
      </c>
      <c r="O882">
        <f>IF($J882="",0,($M882-$L882+IF($A882=2,$H882,0))*$N882)</f>
      </c>
      <c r="P882">
        <f>IF($J882="",0,IF($A882=2,$H882*$N882,0))</f>
      </c>
    </row>
    <row r="883" spans="1:16" ht="15" customHeight="1" x14ac:dyDescent="0.15">
      <c r="A883" s="242"/>
      <c r="B883" s="242"/>
      <c r="C883" s="242"/>
      <c r="D883" s="256"/>
      <c r="E883" s="242"/>
      <c r="F883" s="257"/>
      <c r="G883" s="242"/>
      <c r="H883" s="257"/>
      <c r="I883" s="242"/>
      <c r="J883" s="249">
        <f>IF(OR(B883="",C883="",E883=""),"",B883&amp;":"&amp;C883&amp;":"&amp;E883)</f>
      </c>
      <c r="K883" s="250">
        <f>IF(A883="","",A883*D883)</f>
      </c>
      <c r="L883" s="249">
        <f>IF(A883="","",IF(OR(A883=1,A883=0),H883,0))</f>
      </c>
      <c r="M883" s="249">
        <f>IF(A883="","",IF(A883=-1,H883,0))</f>
      </c>
      <c r="N883">
        <f>IF($E883="SGD",1,IF($E883="USD",Settings!$B$22,IF($E883="HKD",Settings!$B$23,1)))</f>
      </c>
      <c r="O883">
        <f>IF($J883="",0,($M883-$L883+IF($A883=2,$H883,0))*$N883)</f>
      </c>
      <c r="P883">
        <f>IF($J883="",0,IF($A883=2,$H883*$N883,0))</f>
      </c>
    </row>
    <row r="884" spans="1:16" ht="15" customHeight="1" x14ac:dyDescent="0.15">
      <c r="A884" s="242"/>
      <c r="B884" s="242"/>
      <c r="C884" s="242"/>
      <c r="D884" s="256"/>
      <c r="E884" s="242"/>
      <c r="F884" s="257"/>
      <c r="G884" s="242"/>
      <c r="H884" s="257"/>
      <c r="I884" s="242"/>
      <c r="J884" s="249">
        <f>IF(OR(B884="",C884="",E884=""),"",B884&amp;":"&amp;C884&amp;":"&amp;E884)</f>
      </c>
      <c r="K884" s="250">
        <f>IF(A884="","",A884*D884)</f>
      </c>
      <c r="L884" s="249">
        <f>IF(A884="","",IF(OR(A884=1,A884=0),H884,0))</f>
      </c>
      <c r="M884" s="249">
        <f>IF(A884="","",IF(A884=-1,H884,0))</f>
      </c>
      <c r="N884">
        <f>IF($E884="SGD",1,IF($E884="USD",Settings!$B$22,IF($E884="HKD",Settings!$B$23,1)))</f>
      </c>
      <c r="O884">
        <f>IF($J884="",0,($M884-$L884+IF($A884=2,$H884,0))*$N884)</f>
      </c>
      <c r="P884">
        <f>IF($J884="",0,IF($A884=2,$H884*$N884,0))</f>
      </c>
    </row>
    <row r="885" spans="1:16" ht="15" customHeight="1" x14ac:dyDescent="0.15">
      <c r="A885" s="242"/>
      <c r="B885" s="242"/>
      <c r="C885" s="242"/>
      <c r="D885" s="256"/>
      <c r="E885" s="242"/>
      <c r="F885" s="257"/>
      <c r="G885" s="242"/>
      <c r="H885" s="257"/>
      <c r="I885" s="242"/>
      <c r="J885" s="249">
        <f>IF(OR(B885="",C885="",E885=""),"",B885&amp;":"&amp;C885&amp;":"&amp;E885)</f>
      </c>
      <c r="K885" s="250">
        <f>IF(A885="","",A885*D885)</f>
      </c>
      <c r="L885" s="249">
        <f>IF(A885="","",IF(OR(A885=1,A885=0),H885,0))</f>
      </c>
      <c r="M885" s="249">
        <f>IF(A885="","",IF(A885=-1,H885,0))</f>
      </c>
      <c r="N885">
        <f>IF($E885="SGD",1,IF($E885="USD",Settings!$B$22,IF($E885="HKD",Settings!$B$23,1)))</f>
      </c>
      <c r="O885">
        <f>IF($J885="",0,($M885-$L885+IF($A885=2,$H885,0))*$N885)</f>
      </c>
      <c r="P885">
        <f>IF($J885="",0,IF($A885=2,$H885*$N885,0))</f>
      </c>
    </row>
    <row r="886" spans="1:16" ht="15" customHeight="1" x14ac:dyDescent="0.15">
      <c r="A886" s="242"/>
      <c r="B886" s="242"/>
      <c r="C886" s="242"/>
      <c r="D886" s="256"/>
      <c r="E886" s="242"/>
      <c r="F886" s="257"/>
      <c r="G886" s="242"/>
      <c r="H886" s="257"/>
      <c r="I886" s="242"/>
      <c r="J886" s="249">
        <f>IF(OR(B886="",C886="",E886=""),"",B886&amp;":"&amp;C886&amp;":"&amp;E886)</f>
      </c>
      <c r="K886" s="250">
        <f>IF(A886="","",A886*D886)</f>
      </c>
      <c r="L886" s="249">
        <f>IF(A886="","",IF(OR(A886=1,A886=0),H886,0))</f>
      </c>
      <c r="M886" s="249">
        <f>IF(A886="","",IF(A886=-1,H886,0))</f>
      </c>
      <c r="N886">
        <f>IF($E886="SGD",1,IF($E886="USD",Settings!$B$22,IF($E886="HKD",Settings!$B$23,1)))</f>
      </c>
      <c r="O886">
        <f>IF($J886="",0,($M886-$L886+IF($A886=2,$H886,0))*$N886)</f>
      </c>
      <c r="P886">
        <f>IF($J886="",0,IF($A886=2,$H886*$N886,0))</f>
      </c>
    </row>
    <row r="887" spans="1:16" ht="15" customHeight="1" x14ac:dyDescent="0.15">
      <c r="A887" s="242"/>
      <c r="B887" s="242"/>
      <c r="C887" s="242"/>
      <c r="D887" s="256"/>
      <c r="E887" s="242"/>
      <c r="F887" s="257"/>
      <c r="G887" s="242"/>
      <c r="H887" s="257"/>
      <c r="I887" s="242"/>
      <c r="J887" s="249">
        <f>IF(OR(B887="",C887="",E887=""),"",B887&amp;":"&amp;C887&amp;":"&amp;E887)</f>
      </c>
      <c r="K887" s="250">
        <f>IF(A887="","",A887*D887)</f>
      </c>
      <c r="L887" s="249">
        <f>IF(A887="","",IF(OR(A887=1,A887=0),H887,0))</f>
      </c>
      <c r="M887" s="249">
        <f>IF(A887="","",IF(A887=-1,H887,0))</f>
      </c>
      <c r="N887">
        <f>IF($E887="SGD",1,IF($E887="USD",Settings!$B$22,IF($E887="HKD",Settings!$B$23,1)))</f>
      </c>
      <c r="O887">
        <f>IF($J887="",0,($M887-$L887+IF($A887=2,$H887,0))*$N887)</f>
      </c>
      <c r="P887">
        <f>IF($J887="",0,IF($A887=2,$H887*$N887,0))</f>
      </c>
    </row>
    <row r="888" spans="1:16" ht="15" customHeight="1" x14ac:dyDescent="0.15">
      <c r="A888" s="242"/>
      <c r="B888" s="242"/>
      <c r="C888" s="242"/>
      <c r="D888" s="256"/>
      <c r="E888" s="242"/>
      <c r="F888" s="257"/>
      <c r="G888" s="242"/>
      <c r="H888" s="257"/>
      <c r="I888" s="242"/>
      <c r="J888" s="249">
        <f>IF(OR(B888="",C888="",E888=""),"",B888&amp;":"&amp;C888&amp;":"&amp;E888)</f>
      </c>
      <c r="K888" s="250">
        <f>IF(A888="","",A888*D888)</f>
      </c>
      <c r="L888" s="249">
        <f>IF(A888="","",IF(OR(A888=1,A888=0),H888,0))</f>
      </c>
      <c r="M888" s="249">
        <f>IF(A888="","",IF(A888=-1,H888,0))</f>
      </c>
      <c r="N888">
        <f>IF($E888="SGD",1,IF($E888="USD",Settings!$B$22,IF($E888="HKD",Settings!$B$23,1)))</f>
      </c>
      <c r="O888">
        <f>IF($J888="",0,($M888-$L888+IF($A888=2,$H888,0))*$N888)</f>
      </c>
      <c r="P888">
        <f>IF($J888="",0,IF($A888=2,$H888*$N888,0))</f>
      </c>
    </row>
    <row r="889" spans="1:16" ht="15" customHeight="1" x14ac:dyDescent="0.15">
      <c r="A889" s="242"/>
      <c r="B889" s="242"/>
      <c r="C889" s="242"/>
      <c r="D889" s="256"/>
      <c r="E889" s="242"/>
      <c r="F889" s="257"/>
      <c r="G889" s="242"/>
      <c r="H889" s="257"/>
      <c r="I889" s="242"/>
      <c r="J889" s="249">
        <f>IF(OR(B889="",C889="",E889=""),"",B889&amp;":"&amp;C889&amp;":"&amp;E889)</f>
      </c>
      <c r="K889" s="250">
        <f>IF(A889="","",A889*D889)</f>
      </c>
      <c r="L889" s="249">
        <f>IF(A889="","",IF(OR(A889=1,A889=0),H889,0))</f>
      </c>
      <c r="M889" s="249">
        <f>IF(A889="","",IF(A889=-1,H889,0))</f>
      </c>
      <c r="N889">
        <f>IF($E889="SGD",1,IF($E889="USD",Settings!$B$22,IF($E889="HKD",Settings!$B$23,1)))</f>
      </c>
      <c r="O889">
        <f>IF($J889="",0,($M889-$L889+IF($A889=2,$H889,0))*$N889)</f>
      </c>
      <c r="P889">
        <f>IF($J889="",0,IF($A889=2,$H889*$N889,0))</f>
      </c>
    </row>
    <row r="890" spans="1:16" ht="15" customHeight="1" x14ac:dyDescent="0.15">
      <c r="A890" s="242"/>
      <c r="B890" s="242"/>
      <c r="C890" s="242"/>
      <c r="D890" s="256"/>
      <c r="E890" s="242"/>
      <c r="F890" s="257"/>
      <c r="G890" s="242"/>
      <c r="H890" s="257"/>
      <c r="I890" s="242"/>
      <c r="J890" s="249">
        <f>IF(OR(B890="",C890="",E890=""),"",B890&amp;":"&amp;C890&amp;":"&amp;E890)</f>
      </c>
      <c r="K890" s="250">
        <f>IF(A890="","",A890*D890)</f>
      </c>
      <c r="L890" s="249">
        <f>IF(A890="","",IF(OR(A890=1,A890=0),H890,0))</f>
      </c>
      <c r="M890" s="249">
        <f>IF(A890="","",IF(A890=-1,H890,0))</f>
      </c>
      <c r="N890">
        <f>IF($E890="SGD",1,IF($E890="USD",Settings!$B$22,IF($E890="HKD",Settings!$B$23,1)))</f>
      </c>
      <c r="O890">
        <f>IF($J890="",0,($M890-$L890+IF($A890=2,$H890,0))*$N890)</f>
      </c>
      <c r="P890">
        <f>IF($J890="",0,IF($A890=2,$H890*$N890,0))</f>
      </c>
    </row>
    <row r="891" spans="1:16" ht="15" customHeight="1" x14ac:dyDescent="0.15">
      <c r="A891" s="242"/>
      <c r="B891" s="242"/>
      <c r="C891" s="242"/>
      <c r="D891" s="256"/>
      <c r="E891" s="242"/>
      <c r="F891" s="257"/>
      <c r="G891" s="242"/>
      <c r="H891" s="257"/>
      <c r="I891" s="242"/>
      <c r="J891" s="249">
        <f>IF(OR(B891="",C891="",E891=""),"",B891&amp;":"&amp;C891&amp;":"&amp;E891)</f>
      </c>
      <c r="K891" s="250">
        <f>IF(A891="","",A891*D891)</f>
      </c>
      <c r="L891" s="249">
        <f>IF(A891="","",IF(OR(A891=1,A891=0),H891,0))</f>
      </c>
      <c r="M891" s="249">
        <f>IF(A891="","",IF(A891=-1,H891,0))</f>
      </c>
      <c r="N891">
        <f>IF($E891="SGD",1,IF($E891="USD",Settings!$B$22,IF($E891="HKD",Settings!$B$23,1)))</f>
      </c>
      <c r="O891">
        <f>IF($J891="",0,($M891-$L891+IF($A891=2,$H891,0))*$N891)</f>
      </c>
      <c r="P891">
        <f>IF($J891="",0,IF($A891=2,$H891*$N891,0))</f>
      </c>
    </row>
    <row r="892" spans="1:16" ht="15" customHeight="1" x14ac:dyDescent="0.15">
      <c r="A892" s="242"/>
      <c r="B892" s="242"/>
      <c r="C892" s="242"/>
      <c r="D892" s="256"/>
      <c r="E892" s="242"/>
      <c r="F892" s="257"/>
      <c r="G892" s="242"/>
      <c r="H892" s="257"/>
      <c r="I892" s="242"/>
      <c r="J892" s="249">
        <f>IF(OR(B892="",C892="",E892=""),"",B892&amp;":"&amp;C892&amp;":"&amp;E892)</f>
      </c>
      <c r="K892" s="250">
        <f>IF(A892="","",A892*D892)</f>
      </c>
      <c r="L892" s="249">
        <f>IF(A892="","",IF(OR(A892=1,A892=0),H892,0))</f>
      </c>
      <c r="M892" s="249">
        <f>IF(A892="","",IF(A892=-1,H892,0))</f>
      </c>
      <c r="N892">
        <f>IF($E892="SGD",1,IF($E892="USD",Settings!$B$22,IF($E892="HKD",Settings!$B$23,1)))</f>
      </c>
      <c r="O892">
        <f>IF($J892="",0,($M892-$L892+IF($A892=2,$H892,0))*$N892)</f>
      </c>
      <c r="P892">
        <f>IF($J892="",0,IF($A892=2,$H892*$N892,0))</f>
      </c>
    </row>
    <row r="893" spans="1:16" ht="15" customHeight="1" x14ac:dyDescent="0.15">
      <c r="A893" s="242"/>
      <c r="B893" s="242"/>
      <c r="C893" s="242"/>
      <c r="D893" s="256"/>
      <c r="E893" s="242"/>
      <c r="F893" s="257"/>
      <c r="G893" s="242"/>
      <c r="H893" s="257"/>
      <c r="I893" s="242"/>
      <c r="J893" s="249">
        <f>IF(OR(B893="",C893="",E893=""),"",B893&amp;":"&amp;C893&amp;":"&amp;E893)</f>
      </c>
      <c r="K893" s="250">
        <f>IF(A893="","",A893*D893)</f>
      </c>
      <c r="L893" s="249">
        <f>IF(A893="","",IF(OR(A893=1,A893=0),H893,0))</f>
      </c>
      <c r="M893" s="249">
        <f>IF(A893="","",IF(A893=-1,H893,0))</f>
      </c>
      <c r="N893">
        <f>IF($E893="SGD",1,IF($E893="USD",Settings!$B$22,IF($E893="HKD",Settings!$B$23,1)))</f>
      </c>
      <c r="O893">
        <f>IF($J893="",0,($M893-$L893+IF($A893=2,$H893,0))*$N893)</f>
      </c>
      <c r="P893">
        <f>IF($J893="",0,IF($A893=2,$H893*$N893,0))</f>
      </c>
    </row>
    <row r="894" spans="1:16" ht="15" customHeight="1" x14ac:dyDescent="0.15">
      <c r="A894" s="242"/>
      <c r="B894" s="242"/>
      <c r="C894" s="242"/>
      <c r="D894" s="256"/>
      <c r="E894" s="242"/>
      <c r="F894" s="257"/>
      <c r="G894" s="242"/>
      <c r="H894" s="257"/>
      <c r="I894" s="242"/>
      <c r="J894" s="249">
        <f>IF(OR(B894="",C894="",E894=""),"",B894&amp;":"&amp;C894&amp;":"&amp;E894)</f>
      </c>
      <c r="K894" s="250">
        <f>IF(A894="","",A894*D894)</f>
      </c>
      <c r="L894" s="249">
        <f>IF(A894="","",IF(OR(A894=1,A894=0),H894,0))</f>
      </c>
      <c r="M894" s="249">
        <f>IF(A894="","",IF(A894=-1,H894,0))</f>
      </c>
      <c r="N894">
        <f>IF($E894="SGD",1,IF($E894="USD",Settings!$B$22,IF($E894="HKD",Settings!$B$23,1)))</f>
      </c>
      <c r="O894">
        <f>IF($J894="",0,($M894-$L894+IF($A894=2,$H894,0))*$N894)</f>
      </c>
      <c r="P894">
        <f>IF($J894="",0,IF($A894=2,$H894*$N894,0))</f>
      </c>
    </row>
    <row r="895" spans="1:16" ht="15" customHeight="1" x14ac:dyDescent="0.15">
      <c r="A895" s="242"/>
      <c r="B895" s="242"/>
      <c r="C895" s="242"/>
      <c r="D895" s="256"/>
      <c r="E895" s="242"/>
      <c r="F895" s="257"/>
      <c r="G895" s="242"/>
      <c r="H895" s="257"/>
      <c r="I895" s="242"/>
      <c r="J895" s="249">
        <f>IF(OR(B895="",C895="",E895=""),"",B895&amp;":"&amp;C895&amp;":"&amp;E895)</f>
      </c>
      <c r="K895" s="250">
        <f>IF(A895="","",A895*D895)</f>
      </c>
      <c r="L895" s="249">
        <f>IF(A895="","",IF(OR(A895=1,A895=0),H895,0))</f>
      </c>
      <c r="M895" s="249">
        <f>IF(A895="","",IF(A895=-1,H895,0))</f>
      </c>
      <c r="N895">
        <f>IF($E895="SGD",1,IF($E895="USD",Settings!$B$22,IF($E895="HKD",Settings!$B$23,1)))</f>
      </c>
      <c r="O895">
        <f>IF($J895="",0,($M895-$L895+IF($A895=2,$H895,0))*$N895)</f>
      </c>
      <c r="P895">
        <f>IF($J895="",0,IF($A895=2,$H895*$N895,0))</f>
      </c>
    </row>
    <row r="896" spans="1:16" ht="15" customHeight="1" x14ac:dyDescent="0.15">
      <c r="A896" s="242"/>
      <c r="B896" s="242"/>
      <c r="C896" s="242"/>
      <c r="D896" s="256"/>
      <c r="E896" s="242"/>
      <c r="F896" s="257"/>
      <c r="G896" s="242"/>
      <c r="H896" s="257"/>
      <c r="I896" s="242"/>
      <c r="J896" s="249">
        <f>IF(OR(B896="",C896="",E896=""),"",B896&amp;":"&amp;C896&amp;":"&amp;E896)</f>
      </c>
      <c r="K896" s="250">
        <f>IF(A896="","",A896*D896)</f>
      </c>
      <c r="L896" s="249">
        <f>IF(A896="","",IF(OR(A896=1,A896=0),H896,0))</f>
      </c>
      <c r="M896" s="249">
        <f>IF(A896="","",IF(A896=-1,H896,0))</f>
      </c>
      <c r="N896">
        <f>IF($E896="SGD",1,IF($E896="USD",Settings!$B$22,IF($E896="HKD",Settings!$B$23,1)))</f>
      </c>
      <c r="O896">
        <f>IF($J896="",0,($M896-$L896+IF($A896=2,$H896,0))*$N896)</f>
      </c>
      <c r="P896">
        <f>IF($J896="",0,IF($A896=2,$H896*$N896,0))</f>
      </c>
    </row>
    <row r="897" spans="1:16" ht="15" customHeight="1" x14ac:dyDescent="0.15">
      <c r="A897" s="242"/>
      <c r="B897" s="242"/>
      <c r="C897" s="242"/>
      <c r="D897" s="256"/>
      <c r="E897" s="242"/>
      <c r="F897" s="257"/>
      <c r="G897" s="242"/>
      <c r="H897" s="257"/>
      <c r="I897" s="242"/>
      <c r="J897" s="249">
        <f>IF(OR(B897="",C897="",E897=""),"",B897&amp;":"&amp;C897&amp;":"&amp;E897)</f>
      </c>
      <c r="K897" s="250">
        <f>IF(A897="","",A897*D897)</f>
      </c>
      <c r="L897" s="249">
        <f>IF(A897="","",IF(OR(A897=1,A897=0),H897,0))</f>
      </c>
      <c r="M897" s="249">
        <f>IF(A897="","",IF(A897=-1,H897,0))</f>
      </c>
      <c r="N897">
        <f>IF($E897="SGD",1,IF($E897="USD",Settings!$B$22,IF($E897="HKD",Settings!$B$23,1)))</f>
      </c>
      <c r="O897">
        <f>IF($J897="",0,($M897-$L897+IF($A897=2,$H897,0))*$N897)</f>
      </c>
      <c r="P897">
        <f>IF($J897="",0,IF($A897=2,$H897*$N897,0))</f>
      </c>
    </row>
    <row r="898" spans="1:16" ht="15" customHeight="1" x14ac:dyDescent="0.15">
      <c r="A898" s="242"/>
      <c r="B898" s="242"/>
      <c r="C898" s="242"/>
      <c r="D898" s="256"/>
      <c r="E898" s="242"/>
      <c r="F898" s="257"/>
      <c r="G898" s="242"/>
      <c r="H898" s="257"/>
      <c r="I898" s="242"/>
      <c r="J898" s="249">
        <f>IF(OR(B898="",C898="",E898=""),"",B898&amp;":"&amp;C898&amp;":"&amp;E898)</f>
      </c>
      <c r="K898" s="250">
        <f>IF(A898="","",A898*D898)</f>
      </c>
      <c r="L898" s="249">
        <f>IF(A898="","",IF(OR(A898=1,A898=0),H898,0))</f>
      </c>
      <c r="M898" s="249">
        <f>IF(A898="","",IF(A898=-1,H898,0))</f>
      </c>
      <c r="N898">
        <f>IF($E898="SGD",1,IF($E898="USD",Settings!$B$22,IF($E898="HKD",Settings!$B$23,1)))</f>
      </c>
      <c r="O898">
        <f>IF($J898="",0,($M898-$L898+IF($A898=2,$H898,0))*$N898)</f>
      </c>
      <c r="P898">
        <f>IF($J898="",0,IF($A898=2,$H898*$N898,0))</f>
      </c>
    </row>
    <row r="899" spans="1:16" ht="15" customHeight="1" x14ac:dyDescent="0.15">
      <c r="A899" s="242"/>
      <c r="B899" s="242"/>
      <c r="C899" s="242"/>
      <c r="D899" s="256"/>
      <c r="E899" s="242"/>
      <c r="F899" s="257"/>
      <c r="G899" s="242"/>
      <c r="H899" s="257"/>
      <c r="I899" s="242"/>
      <c r="J899" s="249">
        <f>IF(OR(B899="",C899="",E899=""),"",B899&amp;":"&amp;C899&amp;":"&amp;E899)</f>
      </c>
      <c r="K899" s="250">
        <f>IF(A899="","",A899*D899)</f>
      </c>
      <c r="L899" s="249">
        <f>IF(A899="","",IF(OR(A899=1,A899=0),H899,0))</f>
      </c>
      <c r="M899" s="249">
        <f>IF(A899="","",IF(A899=-1,H899,0))</f>
      </c>
      <c r="N899">
        <f>IF($E899="SGD",1,IF($E899="USD",Settings!$B$22,IF($E899="HKD",Settings!$B$23,1)))</f>
      </c>
      <c r="O899">
        <f>IF($J899="",0,($M899-$L899+IF($A899=2,$H899,0))*$N899)</f>
      </c>
      <c r="P899">
        <f>IF($J899="",0,IF($A899=2,$H899*$N899,0))</f>
      </c>
    </row>
    <row r="900" spans="1:16" ht="15" customHeight="1" x14ac:dyDescent="0.15">
      <c r="A900" s="242"/>
      <c r="B900" s="242"/>
      <c r="C900" s="242"/>
      <c r="D900" s="256"/>
      <c r="E900" s="242"/>
      <c r="F900" s="257"/>
      <c r="G900" s="242"/>
      <c r="H900" s="257"/>
      <c r="I900" s="242"/>
      <c r="J900" s="249">
        <f>IF(OR(B900="",C900="",E900=""),"",B900&amp;":"&amp;C900&amp;":"&amp;E900)</f>
      </c>
      <c r="K900" s="250">
        <f>IF(A900="","",A900*D900)</f>
      </c>
      <c r="L900" s="249">
        <f>IF(A900="","",IF(OR(A900=1,A900=0),H900,0))</f>
      </c>
      <c r="M900" s="249">
        <f>IF(A900="","",IF(A900=-1,H900,0))</f>
      </c>
      <c r="N900">
        <f>IF($E900="SGD",1,IF($E900="USD",Settings!$B$22,IF($E900="HKD",Settings!$B$23,1)))</f>
      </c>
      <c r="O900">
        <f>IF($J900="",0,($M900-$L900+IF($A900=2,$H900,0))*$N900)</f>
      </c>
      <c r="P900">
        <f>IF($J900="",0,IF($A900=2,$H900*$N900,0))</f>
      </c>
    </row>
    <row r="901" spans="1:16" ht="15" customHeight="1" x14ac:dyDescent="0.15">
      <c r="A901" s="242"/>
      <c r="B901" s="242"/>
      <c r="C901" s="242"/>
      <c r="D901" s="256"/>
      <c r="E901" s="242"/>
      <c r="F901" s="257"/>
      <c r="G901" s="242"/>
      <c r="H901" s="257"/>
      <c r="I901" s="242"/>
      <c r="J901" s="249">
        <f>IF(OR(B901="",C901="",E901=""),"",B901&amp;":"&amp;C901&amp;":"&amp;E901)</f>
      </c>
      <c r="K901" s="250">
        <f>IF(A901="","",A901*D901)</f>
      </c>
      <c r="L901" s="249">
        <f>IF(A901="","",IF(OR(A901=1,A901=0),H901,0))</f>
      </c>
      <c r="M901" s="249">
        <f>IF(A901="","",IF(A901=-1,H901,0))</f>
      </c>
      <c r="N901">
        <f>IF($E901="SGD",1,IF($E901="USD",Settings!$B$22,IF($E901="HKD",Settings!$B$23,1)))</f>
      </c>
      <c r="O901">
        <f>IF($J901="",0,($M901-$L901+IF($A901=2,$H901,0))*$N901)</f>
      </c>
      <c r="P901">
        <f>IF($J901="",0,IF($A901=2,$H901*$N901,0))</f>
      </c>
    </row>
    <row r="902" spans="1:16" ht="15" customHeight="1" x14ac:dyDescent="0.15">
      <c r="A902" s="242"/>
      <c r="B902" s="242"/>
      <c r="C902" s="242"/>
      <c r="D902" s="256"/>
      <c r="E902" s="242"/>
      <c r="F902" s="257"/>
      <c r="G902" s="242"/>
      <c r="H902" s="257"/>
      <c r="I902" s="242"/>
      <c r="J902" s="249">
        <f>IF(OR(B902="",C902="",E902=""),"",B902&amp;":"&amp;C902&amp;":"&amp;E902)</f>
      </c>
      <c r="K902" s="250">
        <f>IF(A902="","",A902*D902)</f>
      </c>
      <c r="L902" s="249">
        <f>IF(A902="","",IF(OR(A902=1,A902=0),H902,0))</f>
      </c>
      <c r="M902" s="249">
        <f>IF(A902="","",IF(A902=-1,H902,0))</f>
      </c>
      <c r="N902">
        <f>IF($E902="SGD",1,IF($E902="USD",Settings!$B$22,IF($E902="HKD",Settings!$B$23,1)))</f>
      </c>
      <c r="O902">
        <f>IF($J902="",0,($M902-$L902+IF($A902=2,$H902,0))*$N902)</f>
      </c>
      <c r="P902">
        <f>IF($J902="",0,IF($A902=2,$H902*$N902,0))</f>
      </c>
    </row>
    <row r="903" spans="1:16" ht="15" customHeight="1" x14ac:dyDescent="0.15">
      <c r="A903" s="242"/>
      <c r="B903" s="242"/>
      <c r="C903" s="242"/>
      <c r="D903" s="256"/>
      <c r="E903" s="242"/>
      <c r="F903" s="257"/>
      <c r="G903" s="242"/>
      <c r="H903" s="257"/>
      <c r="I903" s="242"/>
      <c r="J903" s="249">
        <f>IF(OR(B903="",C903="",E903=""),"",B903&amp;":"&amp;C903&amp;":"&amp;E903)</f>
      </c>
      <c r="K903" s="250">
        <f>IF(A903="","",A903*D903)</f>
      </c>
      <c r="L903" s="249">
        <f>IF(A903="","",IF(OR(A903=1,A903=0),H903,0))</f>
      </c>
      <c r="M903" s="249">
        <f>IF(A903="","",IF(A903=-1,H903,0))</f>
      </c>
      <c r="N903">
        <f>IF($E903="SGD",1,IF($E903="USD",Settings!$B$22,IF($E903="HKD",Settings!$B$23,1)))</f>
      </c>
      <c r="O903">
        <f>IF($J903="",0,($M903-$L903+IF($A903=2,$H903,0))*$N903)</f>
      </c>
      <c r="P903">
        <f>IF($J903="",0,IF($A903=2,$H903*$N903,0))</f>
      </c>
    </row>
    <row r="904" spans="1:16" ht="15" customHeight="1" x14ac:dyDescent="0.15">
      <c r="A904" s="242"/>
      <c r="B904" s="242"/>
      <c r="C904" s="242"/>
      <c r="D904" s="256"/>
      <c r="E904" s="242"/>
      <c r="F904" s="257"/>
      <c r="G904" s="242"/>
      <c r="H904" s="257"/>
      <c r="I904" s="242"/>
      <c r="J904" s="249">
        <f>IF(OR(B904="",C904="",E904=""),"",B904&amp;":"&amp;C904&amp;":"&amp;E904)</f>
      </c>
      <c r="K904" s="250">
        <f>IF(A904="","",A904*D904)</f>
      </c>
      <c r="L904" s="249">
        <f>IF(A904="","",IF(OR(A904=1,A904=0),H904,0))</f>
      </c>
      <c r="M904" s="249">
        <f>IF(A904="","",IF(A904=-1,H904,0))</f>
      </c>
      <c r="N904">
        <f>IF($E904="SGD",1,IF($E904="USD",Settings!$B$22,IF($E904="HKD",Settings!$B$23,1)))</f>
      </c>
      <c r="O904">
        <f>IF($J904="",0,($M904-$L904+IF($A904=2,$H904,0))*$N904)</f>
      </c>
      <c r="P904">
        <f>IF($J904="",0,IF($A904=2,$H904*$N904,0))</f>
      </c>
    </row>
    <row r="905" spans="1:16" ht="15" customHeight="1" x14ac:dyDescent="0.15">
      <c r="A905" s="242"/>
      <c r="B905" s="242"/>
      <c r="C905" s="242"/>
      <c r="D905" s="256"/>
      <c r="E905" s="242"/>
      <c r="F905" s="257"/>
      <c r="G905" s="242"/>
      <c r="H905" s="257"/>
      <c r="I905" s="242"/>
      <c r="J905" s="249">
        <f>IF(OR(B905="",C905="",E905=""),"",B905&amp;":"&amp;C905&amp;":"&amp;E905)</f>
      </c>
      <c r="K905" s="250">
        <f>IF(A905="","",A905*D905)</f>
      </c>
      <c r="L905" s="249">
        <f>IF(A905="","",IF(OR(A905=1,A905=0),H905,0))</f>
      </c>
      <c r="M905" s="249">
        <f>IF(A905="","",IF(A905=-1,H905,0))</f>
      </c>
      <c r="N905">
        <f>IF($E905="SGD",1,IF($E905="USD",Settings!$B$22,IF($E905="HKD",Settings!$B$23,1)))</f>
      </c>
      <c r="O905">
        <f>IF($J905="",0,($M905-$L905+IF($A905=2,$H905,0))*$N905)</f>
      </c>
      <c r="P905">
        <f>IF($J905="",0,IF($A905=2,$H905*$N905,0))</f>
      </c>
    </row>
    <row r="906" spans="1:16" ht="15" customHeight="1" x14ac:dyDescent="0.15">
      <c r="A906" s="242"/>
      <c r="B906" s="242"/>
      <c r="C906" s="242"/>
      <c r="D906" s="256"/>
      <c r="E906" s="242"/>
      <c r="F906" s="257"/>
      <c r="G906" s="242"/>
      <c r="H906" s="257"/>
      <c r="I906" s="242"/>
      <c r="J906" s="249">
        <f>IF(OR(B906="",C906="",E906=""),"",B906&amp;":"&amp;C906&amp;":"&amp;E906)</f>
      </c>
      <c r="K906" s="250">
        <f>IF(A906="","",A906*D906)</f>
      </c>
      <c r="L906" s="249">
        <f>IF(A906="","",IF(OR(A906=1,A906=0),H906,0))</f>
      </c>
      <c r="M906" s="249">
        <f>IF(A906="","",IF(A906=-1,H906,0))</f>
      </c>
      <c r="N906">
        <f>IF($E906="SGD",1,IF($E906="USD",Settings!$B$22,IF($E906="HKD",Settings!$B$23,1)))</f>
      </c>
      <c r="O906">
        <f>IF($J906="",0,($M906-$L906+IF($A906=2,$H906,0))*$N906)</f>
      </c>
      <c r="P906">
        <f>IF($J906="",0,IF($A906=2,$H906*$N906,0))</f>
      </c>
    </row>
    <row r="907" spans="1:16" ht="15" customHeight="1" x14ac:dyDescent="0.15">
      <c r="A907" s="242"/>
      <c r="B907" s="242"/>
      <c r="C907" s="242"/>
      <c r="D907" s="256"/>
      <c r="E907" s="242"/>
      <c r="F907" s="257"/>
      <c r="G907" s="242"/>
      <c r="H907" s="257"/>
      <c r="I907" s="242"/>
      <c r="J907" s="249">
        <f>IF(OR(B907="",C907="",E907=""),"",B907&amp;":"&amp;C907&amp;":"&amp;E907)</f>
      </c>
      <c r="K907" s="250">
        <f>IF(A907="","",A907*D907)</f>
      </c>
      <c r="L907" s="249">
        <f>IF(A907="","",IF(OR(A907=1,A907=0),H907,0))</f>
      </c>
      <c r="M907" s="249">
        <f>IF(A907="","",IF(A907=-1,H907,0))</f>
      </c>
      <c r="N907">
        <f>IF($E907="SGD",1,IF($E907="USD",Settings!$B$22,IF($E907="HKD",Settings!$B$23,1)))</f>
      </c>
      <c r="O907">
        <f>IF($J907="",0,($M907-$L907+IF($A907=2,$H907,0))*$N907)</f>
      </c>
      <c r="P907">
        <f>IF($J907="",0,IF($A907=2,$H907*$N907,0))</f>
      </c>
    </row>
    <row r="908" spans="1:16" ht="15" customHeight="1" x14ac:dyDescent="0.15">
      <c r="A908" s="242"/>
      <c r="B908" s="242"/>
      <c r="C908" s="242"/>
      <c r="D908" s="256"/>
      <c r="E908" s="242"/>
      <c r="F908" s="257"/>
      <c r="G908" s="242"/>
      <c r="H908" s="257"/>
      <c r="I908" s="242"/>
      <c r="J908" s="249">
        <f>IF(OR(B908="",C908="",E908=""),"",B908&amp;":"&amp;C908&amp;":"&amp;E908)</f>
      </c>
      <c r="K908" s="250">
        <f>IF(A908="","",A908*D908)</f>
      </c>
      <c r="L908" s="249">
        <f>IF(A908="","",IF(OR(A908=1,A908=0),H908,0))</f>
      </c>
      <c r="M908" s="249">
        <f>IF(A908="","",IF(A908=-1,H908,0))</f>
      </c>
      <c r="N908">
        <f>IF($E908="SGD",1,IF($E908="USD",Settings!$B$22,IF($E908="HKD",Settings!$B$23,1)))</f>
      </c>
      <c r="O908">
        <f>IF($J908="",0,($M908-$L908+IF($A908=2,$H908,0))*$N908)</f>
      </c>
      <c r="P908">
        <f>IF($J908="",0,IF($A908=2,$H908*$N908,0))</f>
      </c>
    </row>
    <row r="909" spans="1:16" ht="15" customHeight="1" x14ac:dyDescent="0.15">
      <c r="A909" s="242"/>
      <c r="B909" s="242"/>
      <c r="C909" s="242"/>
      <c r="D909" s="256"/>
      <c r="E909" s="242"/>
      <c r="F909" s="257"/>
      <c r="G909" s="242"/>
      <c r="H909" s="257"/>
      <c r="I909" s="242"/>
      <c r="J909" s="249">
        <f>IF(OR(B909="",C909="",E909=""),"",B909&amp;":"&amp;C909&amp;":"&amp;E909)</f>
      </c>
      <c r="K909" s="250">
        <f>IF(A909="","",A909*D909)</f>
      </c>
      <c r="L909" s="249">
        <f>IF(A909="","",IF(OR(A909=1,A909=0),H909,0))</f>
      </c>
      <c r="M909" s="249">
        <f>IF(A909="","",IF(A909=-1,H909,0))</f>
      </c>
      <c r="N909">
        <f>IF($E909="SGD",1,IF($E909="USD",Settings!$B$22,IF($E909="HKD",Settings!$B$23,1)))</f>
      </c>
      <c r="O909">
        <f>IF($J909="",0,($M909-$L909+IF($A909=2,$H909,0))*$N909)</f>
      </c>
      <c r="P909">
        <f>IF($J909="",0,IF($A909=2,$H909*$N909,0))</f>
      </c>
    </row>
    <row r="910" spans="1:16" ht="15" customHeight="1" x14ac:dyDescent="0.15">
      <c r="A910" s="242"/>
      <c r="B910" s="242"/>
      <c r="C910" s="242"/>
      <c r="D910" s="256"/>
      <c r="E910" s="242"/>
      <c r="F910" s="257"/>
      <c r="G910" s="242"/>
      <c r="H910" s="257"/>
      <c r="I910" s="242"/>
      <c r="J910" s="249">
        <f>IF(OR(B910="",C910="",E910=""),"",B910&amp;":"&amp;C910&amp;":"&amp;E910)</f>
      </c>
      <c r="K910" s="250">
        <f>IF(A910="","",A910*D910)</f>
      </c>
      <c r="L910" s="249">
        <f>IF(A910="","",IF(OR(A910=1,A910=0),H910,0))</f>
      </c>
      <c r="M910" s="249">
        <f>IF(A910="","",IF(A910=-1,H910,0))</f>
      </c>
      <c r="N910">
        <f>IF($E910="SGD",1,IF($E910="USD",Settings!$B$22,IF($E910="HKD",Settings!$B$23,1)))</f>
      </c>
      <c r="O910">
        <f>IF($J910="",0,($M910-$L910+IF($A910=2,$H910,0))*$N910)</f>
      </c>
      <c r="P910">
        <f>IF($J910="",0,IF($A910=2,$H910*$N910,0))</f>
      </c>
    </row>
    <row r="911" spans="1:16" ht="15" customHeight="1" x14ac:dyDescent="0.15">
      <c r="A911" s="242"/>
      <c r="B911" s="242"/>
      <c r="C911" s="242"/>
      <c r="D911" s="256"/>
      <c r="E911" s="242"/>
      <c r="F911" s="257"/>
      <c r="G911" s="242"/>
      <c r="H911" s="257"/>
      <c r="I911" s="242"/>
      <c r="J911" s="249">
        <f>IF(OR(B911="",C911="",E911=""),"",B911&amp;":"&amp;C911&amp;":"&amp;E911)</f>
      </c>
      <c r="K911" s="250">
        <f>IF(A911="","",A911*D911)</f>
      </c>
      <c r="L911" s="249">
        <f>IF(A911="","",IF(OR(A911=1,A911=0),H911,0))</f>
      </c>
      <c r="M911" s="249">
        <f>IF(A911="","",IF(A911=-1,H911,0))</f>
      </c>
      <c r="N911">
        <f>IF($E911="SGD",1,IF($E911="USD",Settings!$B$22,IF($E911="HKD",Settings!$B$23,1)))</f>
      </c>
      <c r="O911">
        <f>IF($J911="",0,($M911-$L911+IF($A911=2,$H911,0))*$N911)</f>
      </c>
      <c r="P911">
        <f>IF($J911="",0,IF($A911=2,$H911*$N911,0))</f>
      </c>
    </row>
    <row r="912" spans="1:16" ht="15" customHeight="1" x14ac:dyDescent="0.15">
      <c r="A912" s="242"/>
      <c r="B912" s="242"/>
      <c r="C912" s="242"/>
      <c r="D912" s="256"/>
      <c r="E912" s="242"/>
      <c r="F912" s="257"/>
      <c r="G912" s="242"/>
      <c r="H912" s="257"/>
      <c r="I912" s="242"/>
      <c r="J912" s="249">
        <f>IF(OR(B912="",C912="",E912=""),"",B912&amp;":"&amp;C912&amp;":"&amp;E912)</f>
      </c>
      <c r="K912" s="250">
        <f>IF(A912="","",A912*D912)</f>
      </c>
      <c r="L912" s="249">
        <f>IF(A912="","",IF(OR(A912=1,A912=0),H912,0))</f>
      </c>
      <c r="M912" s="249">
        <f>IF(A912="","",IF(A912=-1,H912,0))</f>
      </c>
      <c r="N912">
        <f>IF($E912="SGD",1,IF($E912="USD",Settings!$B$22,IF($E912="HKD",Settings!$B$23,1)))</f>
      </c>
      <c r="O912">
        <f>IF($J912="",0,($M912-$L912+IF($A912=2,$H912,0))*$N912)</f>
      </c>
      <c r="P912">
        <f>IF($J912="",0,IF($A912=2,$H912*$N912,0))</f>
      </c>
    </row>
    <row r="913" spans="1:16" ht="15" customHeight="1" x14ac:dyDescent="0.15">
      <c r="A913" s="242"/>
      <c r="B913" s="242"/>
      <c r="C913" s="242"/>
      <c r="D913" s="256"/>
      <c r="E913" s="242"/>
      <c r="F913" s="257"/>
      <c r="G913" s="242"/>
      <c r="H913" s="257"/>
      <c r="I913" s="242"/>
      <c r="J913" s="249">
        <f>IF(OR(B913="",C913="",E913=""),"",B913&amp;":"&amp;C913&amp;":"&amp;E913)</f>
      </c>
      <c r="K913" s="250">
        <f>IF(A913="","",A913*D913)</f>
      </c>
      <c r="L913" s="249">
        <f>IF(A913="","",IF(OR(A913=1,A913=0),H913,0))</f>
      </c>
      <c r="M913" s="249">
        <f>IF(A913="","",IF(A913=-1,H913,0))</f>
      </c>
      <c r="N913">
        <f>IF($E913="SGD",1,IF($E913="USD",Settings!$B$22,IF($E913="HKD",Settings!$B$23,1)))</f>
      </c>
      <c r="O913">
        <f>IF($J913="",0,($M913-$L913+IF($A913=2,$H913,0))*$N913)</f>
      </c>
      <c r="P913">
        <f>IF($J913="",0,IF($A913=2,$H913*$N913,0))</f>
      </c>
    </row>
    <row r="914" spans="1:16" ht="15" customHeight="1" x14ac:dyDescent="0.15">
      <c r="A914" s="242"/>
      <c r="B914" s="242"/>
      <c r="C914" s="242"/>
      <c r="D914" s="256"/>
      <c r="E914" s="242"/>
      <c r="F914" s="257"/>
      <c r="G914" s="242"/>
      <c r="H914" s="257"/>
      <c r="I914" s="242"/>
      <c r="J914" s="249">
        <f>IF(OR(B914="",C914="",E914=""),"",B914&amp;":"&amp;C914&amp;":"&amp;E914)</f>
      </c>
      <c r="K914" s="250">
        <f>IF(A914="","",A914*D914)</f>
      </c>
      <c r="L914" s="249">
        <f>IF(A914="","",IF(OR(A914=1,A914=0),H914,0))</f>
      </c>
      <c r="M914" s="249">
        <f>IF(A914="","",IF(A914=-1,H914,0))</f>
      </c>
      <c r="N914">
        <f>IF($E914="SGD",1,IF($E914="USD",Settings!$B$22,IF($E914="HKD",Settings!$B$23,1)))</f>
      </c>
      <c r="O914">
        <f>IF($J914="",0,($M914-$L914+IF($A914=2,$H914,0))*$N914)</f>
      </c>
      <c r="P914">
        <f>IF($J914="",0,IF($A914=2,$H914*$N914,0))</f>
      </c>
    </row>
    <row r="915" spans="1:16" ht="15" customHeight="1" x14ac:dyDescent="0.15">
      <c r="A915" s="242"/>
      <c r="B915" s="242"/>
      <c r="C915" s="242"/>
      <c r="D915" s="256"/>
      <c r="E915" s="242"/>
      <c r="F915" s="257"/>
      <c r="G915" s="242"/>
      <c r="H915" s="257"/>
      <c r="I915" s="242"/>
      <c r="J915" s="249">
        <f>IF(OR(B915="",C915="",E915=""),"",B915&amp;":"&amp;C915&amp;":"&amp;E915)</f>
      </c>
      <c r="K915" s="250">
        <f>IF(A915="","",A915*D915)</f>
      </c>
      <c r="L915" s="249">
        <f>IF(A915="","",IF(OR(A915=1,A915=0),H915,0))</f>
      </c>
      <c r="M915" s="249">
        <f>IF(A915="","",IF(A915=-1,H915,0))</f>
      </c>
      <c r="N915">
        <f>IF($E915="SGD",1,IF($E915="USD",Settings!$B$22,IF($E915="HKD",Settings!$B$23,1)))</f>
      </c>
      <c r="O915">
        <f>IF($J915="",0,($M915-$L915+IF($A915=2,$H915,0))*$N915)</f>
      </c>
      <c r="P915">
        <f>IF($J915="",0,IF($A915=2,$H915*$N915,0))</f>
      </c>
    </row>
    <row r="916" spans="1:16" ht="15" customHeight="1" x14ac:dyDescent="0.15">
      <c r="A916" s="242"/>
      <c r="B916" s="242"/>
      <c r="C916" s="242"/>
      <c r="D916" s="256"/>
      <c r="E916" s="242"/>
      <c r="F916" s="257"/>
      <c r="G916" s="242"/>
      <c r="H916" s="257"/>
      <c r="I916" s="242"/>
      <c r="J916" s="249">
        <f>IF(OR(B916="",C916="",E916=""),"",B916&amp;":"&amp;C916&amp;":"&amp;E916)</f>
      </c>
      <c r="K916" s="250">
        <f>IF(A916="","",A916*D916)</f>
      </c>
      <c r="L916" s="249">
        <f>IF(A916="","",IF(OR(A916=1,A916=0),H916,0))</f>
      </c>
      <c r="M916" s="249">
        <f>IF(A916="","",IF(A916=-1,H916,0))</f>
      </c>
      <c r="N916">
        <f>IF($E916="SGD",1,IF($E916="USD",Settings!$B$22,IF($E916="HKD",Settings!$B$23,1)))</f>
      </c>
      <c r="O916">
        <f>IF($J916="",0,($M916-$L916+IF($A916=2,$H916,0))*$N916)</f>
      </c>
      <c r="P916">
        <f>IF($J916="",0,IF($A916=2,$H916*$N916,0))</f>
      </c>
    </row>
    <row r="917" spans="1:16" ht="15" customHeight="1" x14ac:dyDescent="0.15">
      <c r="A917" s="242"/>
      <c r="B917" s="242"/>
      <c r="C917" s="242"/>
      <c r="D917" s="256"/>
      <c r="E917" s="242"/>
      <c r="F917" s="257"/>
      <c r="G917" s="242"/>
      <c r="H917" s="257"/>
      <c r="I917" s="242"/>
      <c r="J917" s="249">
        <f>IF(OR(B917="",C917="",E917=""),"",B917&amp;":"&amp;C917&amp;":"&amp;E917)</f>
      </c>
      <c r="K917" s="250">
        <f>IF(A917="","",A917*D917)</f>
      </c>
      <c r="L917" s="249">
        <f>IF(A917="","",IF(OR(A917=1,A917=0),H917,0))</f>
      </c>
      <c r="M917" s="249">
        <f>IF(A917="","",IF(A917=-1,H917,0))</f>
      </c>
      <c r="N917">
        <f>IF($E917="SGD",1,IF($E917="USD",Settings!$B$22,IF($E917="HKD",Settings!$B$23,1)))</f>
      </c>
      <c r="O917">
        <f>IF($J917="",0,($M917-$L917+IF($A917=2,$H917,0))*$N917)</f>
      </c>
      <c r="P917">
        <f>IF($J917="",0,IF($A917=2,$H917*$N917,0))</f>
      </c>
    </row>
    <row r="918" spans="1:16" ht="15" customHeight="1" x14ac:dyDescent="0.15">
      <c r="A918" s="242"/>
      <c r="B918" s="242"/>
      <c r="C918" s="242"/>
      <c r="D918" s="256"/>
      <c r="E918" s="242"/>
      <c r="F918" s="257"/>
      <c r="G918" s="242"/>
      <c r="H918" s="257"/>
      <c r="I918" s="242"/>
      <c r="J918" s="249">
        <f>IF(OR(B918="",C918="",E918=""),"",B918&amp;":"&amp;C918&amp;":"&amp;E918)</f>
      </c>
      <c r="K918" s="250">
        <f>IF(A918="","",A918*D918)</f>
      </c>
      <c r="L918" s="249">
        <f>IF(A918="","",IF(OR(A918=1,A918=0),H918,0))</f>
      </c>
      <c r="M918" s="249">
        <f>IF(A918="","",IF(A918=-1,H918,0))</f>
      </c>
      <c r="N918">
        <f>IF($E918="SGD",1,IF($E918="USD",Settings!$B$22,IF($E918="HKD",Settings!$B$23,1)))</f>
      </c>
      <c r="O918">
        <f>IF($J918="",0,($M918-$L918+IF($A918=2,$H918,0))*$N918)</f>
      </c>
      <c r="P918">
        <f>IF($J918="",0,IF($A918=2,$H918*$N918,0))</f>
      </c>
    </row>
    <row r="919" spans="1:16" ht="15" customHeight="1" x14ac:dyDescent="0.15">
      <c r="A919" s="242"/>
      <c r="B919" s="242"/>
      <c r="C919" s="242"/>
      <c r="D919" s="256"/>
      <c r="E919" s="242"/>
      <c r="F919" s="257"/>
      <c r="G919" s="242"/>
      <c r="H919" s="257"/>
      <c r="I919" s="242"/>
      <c r="J919" s="249">
        <f>IF(OR(B919="",C919="",E919=""),"",B919&amp;":"&amp;C919&amp;":"&amp;E919)</f>
      </c>
      <c r="K919" s="250">
        <f>IF(A919="","",A919*D919)</f>
      </c>
      <c r="L919" s="249">
        <f>IF(A919="","",IF(OR(A919=1,A919=0),H919,0))</f>
      </c>
      <c r="M919" s="249">
        <f>IF(A919="","",IF(A919=-1,H919,0))</f>
      </c>
      <c r="N919">
        <f>IF($E919="SGD",1,IF($E919="USD",Settings!$B$22,IF($E919="HKD",Settings!$B$23,1)))</f>
      </c>
      <c r="O919">
        <f>IF($J919="",0,($M919-$L919+IF($A919=2,$H919,0))*$N919)</f>
      </c>
      <c r="P919">
        <f>IF($J919="",0,IF($A919=2,$H919*$N919,0))</f>
      </c>
    </row>
    <row r="920" spans="1:16" ht="15" customHeight="1" x14ac:dyDescent="0.15">
      <c r="A920" s="242"/>
      <c r="B920" s="242"/>
      <c r="C920" s="242"/>
      <c r="D920" s="256"/>
      <c r="E920" s="242"/>
      <c r="F920" s="257"/>
      <c r="G920" s="242"/>
      <c r="H920" s="257"/>
      <c r="I920" s="242"/>
      <c r="J920" s="249">
        <f>IF(OR(B920="",C920="",E920=""),"",B920&amp;":"&amp;C920&amp;":"&amp;E920)</f>
      </c>
      <c r="K920" s="250">
        <f>IF(A920="","",A920*D920)</f>
      </c>
      <c r="L920" s="249">
        <f>IF(A920="","",IF(OR(A920=1,A920=0),H920,0))</f>
      </c>
      <c r="M920" s="249">
        <f>IF(A920="","",IF(A920=-1,H920,0))</f>
      </c>
      <c r="N920">
        <f>IF($E920="SGD",1,IF($E920="USD",Settings!$B$22,IF($E920="HKD",Settings!$B$23,1)))</f>
      </c>
      <c r="O920">
        <f>IF($J920="",0,($M920-$L920+IF($A920=2,$H920,0))*$N920)</f>
      </c>
      <c r="P920">
        <f>IF($J920="",0,IF($A920=2,$H920*$N920,0))</f>
      </c>
    </row>
    <row r="921" spans="1:16" ht="15" customHeight="1" x14ac:dyDescent="0.15">
      <c r="A921" s="242"/>
      <c r="B921" s="242"/>
      <c r="C921" s="242"/>
      <c r="D921" s="256"/>
      <c r="E921" s="242"/>
      <c r="F921" s="257"/>
      <c r="G921" s="242"/>
      <c r="H921" s="257"/>
      <c r="I921" s="242"/>
      <c r="J921" s="249">
        <f>IF(OR(B921="",C921="",E921=""),"",B921&amp;":"&amp;C921&amp;":"&amp;E921)</f>
      </c>
      <c r="K921" s="250">
        <f>IF(A921="","",A921*D921)</f>
      </c>
      <c r="L921" s="249">
        <f>IF(A921="","",IF(OR(A921=1,A921=0),H921,0))</f>
      </c>
      <c r="M921" s="249">
        <f>IF(A921="","",IF(A921=-1,H921,0))</f>
      </c>
      <c r="N921">
        <f>IF($E921="SGD",1,IF($E921="USD",Settings!$B$22,IF($E921="HKD",Settings!$B$23,1)))</f>
      </c>
      <c r="O921">
        <f>IF($J921="",0,($M921-$L921+IF($A921=2,$H921,0))*$N921)</f>
      </c>
      <c r="P921">
        <f>IF($J921="",0,IF($A921=2,$H921*$N921,0))</f>
      </c>
    </row>
    <row r="922" spans="1:16" ht="15" customHeight="1" x14ac:dyDescent="0.15">
      <c r="A922" s="242"/>
      <c r="B922" s="242"/>
      <c r="C922" s="242"/>
      <c r="D922" s="256"/>
      <c r="E922" s="242"/>
      <c r="F922" s="257"/>
      <c r="G922" s="242"/>
      <c r="H922" s="257"/>
      <c r="I922" s="242"/>
      <c r="J922" s="249">
        <f>IF(OR(B922="",C922="",E922=""),"",B922&amp;":"&amp;C922&amp;":"&amp;E922)</f>
      </c>
      <c r="K922" s="250">
        <f>IF(A922="","",A922*D922)</f>
      </c>
      <c r="L922" s="249">
        <f>IF(A922="","",IF(OR(A922=1,A922=0),H922,0))</f>
      </c>
      <c r="M922" s="249">
        <f>IF(A922="","",IF(A922=-1,H922,0))</f>
      </c>
      <c r="N922">
        <f>IF($E922="SGD",1,IF($E922="USD",Settings!$B$22,IF($E922="HKD",Settings!$B$23,1)))</f>
      </c>
      <c r="O922">
        <f>IF($J922="",0,($M922-$L922+IF($A922=2,$H922,0))*$N922)</f>
      </c>
      <c r="P922">
        <f>IF($J922="",0,IF($A922=2,$H922*$N922,0))</f>
      </c>
    </row>
    <row r="923" spans="1:16" ht="15" customHeight="1" x14ac:dyDescent="0.15">
      <c r="A923" s="242"/>
      <c r="B923" s="242"/>
      <c r="C923" s="242"/>
      <c r="D923" s="256"/>
      <c r="E923" s="242"/>
      <c r="F923" s="257"/>
      <c r="G923" s="242"/>
      <c r="H923" s="257"/>
      <c r="I923" s="242"/>
      <c r="J923" s="249">
        <f>IF(OR(B923="",C923="",E923=""),"",B923&amp;":"&amp;C923&amp;":"&amp;E923)</f>
      </c>
      <c r="K923" s="250">
        <f>IF(A923="","",A923*D923)</f>
      </c>
      <c r="L923" s="249">
        <f>IF(A923="","",IF(OR(A923=1,A923=0),H923,0))</f>
      </c>
      <c r="M923" s="249">
        <f>IF(A923="","",IF(A923=-1,H923,0))</f>
      </c>
      <c r="N923">
        <f>IF($E923="SGD",1,IF($E923="USD",Settings!$B$22,IF($E923="HKD",Settings!$B$23,1)))</f>
      </c>
      <c r="O923">
        <f>IF($J923="",0,($M923-$L923+IF($A923=2,$H923,0))*$N923)</f>
      </c>
      <c r="P923">
        <f>IF($J923="",0,IF($A923=2,$H923*$N923,0))</f>
      </c>
    </row>
    <row r="924" spans="1:16" ht="15" customHeight="1" x14ac:dyDescent="0.15">
      <c r="A924" s="242"/>
      <c r="B924" s="242"/>
      <c r="C924" s="242"/>
      <c r="D924" s="256"/>
      <c r="E924" s="242"/>
      <c r="F924" s="257"/>
      <c r="G924" s="242"/>
      <c r="H924" s="257"/>
      <c r="I924" s="242"/>
      <c r="J924" s="249">
        <f>IF(OR(B924="",C924="",E924=""),"",B924&amp;":"&amp;C924&amp;":"&amp;E924)</f>
      </c>
      <c r="K924" s="250">
        <f>IF(A924="","",A924*D924)</f>
      </c>
      <c r="L924" s="249">
        <f>IF(A924="","",IF(OR(A924=1,A924=0),H924,0))</f>
      </c>
      <c r="M924" s="249">
        <f>IF(A924="","",IF(A924=-1,H924,0))</f>
      </c>
      <c r="N924">
        <f>IF($E924="SGD",1,IF($E924="USD",Settings!$B$22,IF($E924="HKD",Settings!$B$23,1)))</f>
      </c>
      <c r="O924">
        <f>IF($J924="",0,($M924-$L924+IF($A924=2,$H924,0))*$N924)</f>
      </c>
      <c r="P924">
        <f>IF($J924="",0,IF($A924=2,$H924*$N924,0))</f>
      </c>
    </row>
    <row r="925" spans="1:16" ht="15" customHeight="1" x14ac:dyDescent="0.15">
      <c r="A925" s="242"/>
      <c r="B925" s="242"/>
      <c r="C925" s="242"/>
      <c r="D925" s="256"/>
      <c r="E925" s="242"/>
      <c r="F925" s="257"/>
      <c r="G925" s="242"/>
      <c r="H925" s="257"/>
      <c r="I925" s="242"/>
      <c r="J925" s="249">
        <f>IF(OR(B925="",C925="",E925=""),"",B925&amp;":"&amp;C925&amp;":"&amp;E925)</f>
      </c>
      <c r="K925" s="250">
        <f>IF(A925="","",A925*D925)</f>
      </c>
      <c r="L925" s="249">
        <f>IF(A925="","",IF(OR(A925=1,A925=0),H925,0))</f>
      </c>
      <c r="M925" s="249">
        <f>IF(A925="","",IF(A925=-1,H925,0))</f>
      </c>
      <c r="N925">
        <f>IF($E925="SGD",1,IF($E925="USD",Settings!$B$22,IF($E925="HKD",Settings!$B$23,1)))</f>
      </c>
      <c r="O925">
        <f>IF($J925="",0,($M925-$L925+IF($A925=2,$H925,0))*$N925)</f>
      </c>
      <c r="P925">
        <f>IF($J925="",0,IF($A925=2,$H925*$N925,0))</f>
      </c>
    </row>
    <row r="926" spans="1:16" ht="15" customHeight="1" x14ac:dyDescent="0.15">
      <c r="A926" s="242"/>
      <c r="B926" s="242"/>
      <c r="C926" s="242"/>
      <c r="D926" s="256"/>
      <c r="E926" s="242"/>
      <c r="F926" s="257"/>
      <c r="G926" s="242"/>
      <c r="H926" s="257"/>
      <c r="I926" s="242"/>
      <c r="J926" s="249">
        <f>IF(OR(B926="",C926="",E926=""),"",B926&amp;":"&amp;C926&amp;":"&amp;E926)</f>
      </c>
      <c r="K926" s="250">
        <f>IF(A926="","",A926*D926)</f>
      </c>
      <c r="L926" s="249">
        <f>IF(A926="","",IF(OR(A926=1,A926=0),H926,0))</f>
      </c>
      <c r="M926" s="249">
        <f>IF(A926="","",IF(A926=-1,H926,0))</f>
      </c>
      <c r="N926">
        <f>IF($E926="SGD",1,IF($E926="USD",Settings!$B$22,IF($E926="HKD",Settings!$B$23,1)))</f>
      </c>
      <c r="O926">
        <f>IF($J926="",0,($M926-$L926+IF($A926=2,$H926,0))*$N926)</f>
      </c>
      <c r="P926">
        <f>IF($J926="",0,IF($A926=2,$H926*$N926,0))</f>
      </c>
    </row>
    <row r="927" spans="1:16" ht="15" customHeight="1" x14ac:dyDescent="0.15">
      <c r="A927" s="242"/>
      <c r="B927" s="242"/>
      <c r="C927" s="242"/>
      <c r="D927" s="256"/>
      <c r="E927" s="242"/>
      <c r="F927" s="257"/>
      <c r="G927" s="242"/>
      <c r="H927" s="257"/>
      <c r="I927" s="242"/>
      <c r="J927" s="249">
        <f>IF(OR(B927="",C927="",E927=""),"",B927&amp;":"&amp;C927&amp;":"&amp;E927)</f>
      </c>
      <c r="K927" s="250">
        <f>IF(A927="","",A927*D927)</f>
      </c>
      <c r="L927" s="249">
        <f>IF(A927="","",IF(OR(A927=1,A927=0),H927,0))</f>
      </c>
      <c r="M927" s="249">
        <f>IF(A927="","",IF(A927=-1,H927,0))</f>
      </c>
      <c r="N927">
        <f>IF($E927="SGD",1,IF($E927="USD",Settings!$B$22,IF($E927="HKD",Settings!$B$23,1)))</f>
      </c>
      <c r="O927">
        <f>IF($J927="",0,($M927-$L927+IF($A927=2,$H927,0))*$N927)</f>
      </c>
      <c r="P927">
        <f>IF($J927="",0,IF($A927=2,$H927*$N927,0))</f>
      </c>
    </row>
    <row r="928" spans="1:16" ht="15" customHeight="1" x14ac:dyDescent="0.15">
      <c r="A928" s="242"/>
      <c r="B928" s="242"/>
      <c r="C928" s="242"/>
      <c r="D928" s="256"/>
      <c r="E928" s="242"/>
      <c r="F928" s="257"/>
      <c r="G928" s="242"/>
      <c r="H928" s="257"/>
      <c r="I928" s="242"/>
      <c r="J928" s="249">
        <f>IF(OR(B928="",C928="",E928=""),"",B928&amp;":"&amp;C928&amp;":"&amp;E928)</f>
      </c>
      <c r="K928" s="250">
        <f>IF(A928="","",A928*D928)</f>
      </c>
      <c r="L928" s="249">
        <f>IF(A928="","",IF(OR(A928=1,A928=0),H928,0))</f>
      </c>
      <c r="M928" s="249">
        <f>IF(A928="","",IF(A928=-1,H928,0))</f>
      </c>
      <c r="N928">
        <f>IF($E928="SGD",1,IF($E928="USD",Settings!$B$22,IF($E928="HKD",Settings!$B$23,1)))</f>
      </c>
      <c r="O928">
        <f>IF($J928="",0,($M928-$L928+IF($A928=2,$H928,0))*$N928)</f>
      </c>
      <c r="P928">
        <f>IF($J928="",0,IF($A928=2,$H928*$N928,0))</f>
      </c>
    </row>
    <row r="929" spans="1:16" ht="15" customHeight="1" x14ac:dyDescent="0.15">
      <c r="A929" s="242"/>
      <c r="B929" s="242"/>
      <c r="C929" s="242"/>
      <c r="D929" s="256"/>
      <c r="E929" s="242"/>
      <c r="F929" s="257"/>
      <c r="G929" s="242"/>
      <c r="H929" s="257"/>
      <c r="I929" s="242"/>
      <c r="J929" s="249">
        <f>IF(OR(B929="",C929="",E929=""),"",B929&amp;":"&amp;C929&amp;":"&amp;E929)</f>
      </c>
      <c r="K929" s="250">
        <f>IF(A929="","",A929*D929)</f>
      </c>
      <c r="L929" s="249">
        <f>IF(A929="","",IF(OR(A929=1,A929=0),H929,0))</f>
      </c>
      <c r="M929" s="249">
        <f>IF(A929="","",IF(A929=-1,H929,0))</f>
      </c>
      <c r="N929">
        <f>IF($E929="SGD",1,IF($E929="USD",Settings!$B$22,IF($E929="HKD",Settings!$B$23,1)))</f>
      </c>
      <c r="O929">
        <f>IF($J929="",0,($M929-$L929+IF($A929=2,$H929,0))*$N929)</f>
      </c>
      <c r="P929">
        <f>IF($J929="",0,IF($A929=2,$H929*$N929,0))</f>
      </c>
    </row>
    <row r="930" spans="1:16" ht="15" customHeight="1" x14ac:dyDescent="0.15">
      <c r="A930" s="242"/>
      <c r="B930" s="242"/>
      <c r="C930" s="242"/>
      <c r="D930" s="256"/>
      <c r="E930" s="242"/>
      <c r="F930" s="257"/>
      <c r="G930" s="242"/>
      <c r="H930" s="257"/>
      <c r="I930" s="242"/>
      <c r="J930" s="249">
        <f>IF(OR(B930="",C930="",E930=""),"",B930&amp;":"&amp;C930&amp;":"&amp;E930)</f>
      </c>
      <c r="K930" s="250">
        <f>IF(A930="","",A930*D930)</f>
      </c>
      <c r="L930" s="249">
        <f>IF(A930="","",IF(OR(A930=1,A930=0),H930,0))</f>
      </c>
      <c r="M930" s="249">
        <f>IF(A930="","",IF(A930=-1,H930,0))</f>
      </c>
      <c r="N930">
        <f>IF($E930="SGD",1,IF($E930="USD",Settings!$B$22,IF($E930="HKD",Settings!$B$23,1)))</f>
      </c>
      <c r="O930">
        <f>IF($J930="",0,($M930-$L930+IF($A930=2,$H930,0))*$N930)</f>
      </c>
      <c r="P930">
        <f>IF($J930="",0,IF($A930=2,$H930*$N930,0))</f>
      </c>
    </row>
    <row r="931" spans="1:16" ht="15" customHeight="1" x14ac:dyDescent="0.15">
      <c r="A931" s="242"/>
      <c r="B931" s="242"/>
      <c r="C931" s="242"/>
      <c r="D931" s="256"/>
      <c r="E931" s="242"/>
      <c r="F931" s="257"/>
      <c r="G931" s="242"/>
      <c r="H931" s="257"/>
      <c r="I931" s="242"/>
      <c r="J931" s="249">
        <f>IF(OR(B931="",C931="",E931=""),"",B931&amp;":"&amp;C931&amp;":"&amp;E931)</f>
      </c>
      <c r="K931" s="250">
        <f>IF(A931="","",A931*D931)</f>
      </c>
      <c r="L931" s="249">
        <f>IF(A931="","",IF(OR(A931=1,A931=0),H931,0))</f>
      </c>
      <c r="M931" s="249">
        <f>IF(A931="","",IF(A931=-1,H931,0))</f>
      </c>
      <c r="N931">
        <f>IF($E931="SGD",1,IF($E931="USD",Settings!$B$22,IF($E931="HKD",Settings!$B$23,1)))</f>
      </c>
      <c r="O931">
        <f>IF($J931="",0,($M931-$L931+IF($A931=2,$H931,0))*$N931)</f>
      </c>
      <c r="P931">
        <f>IF($J931="",0,IF($A931=2,$H931*$N931,0))</f>
      </c>
    </row>
    <row r="932" spans="1:16" ht="15" customHeight="1" x14ac:dyDescent="0.15">
      <c r="A932" s="242"/>
      <c r="B932" s="242"/>
      <c r="C932" s="242"/>
      <c r="D932" s="256"/>
      <c r="E932" s="242"/>
      <c r="F932" s="257"/>
      <c r="G932" s="242"/>
      <c r="H932" s="257"/>
      <c r="I932" s="242"/>
      <c r="J932" s="249">
        <f>IF(OR(B932="",C932="",E932=""),"",B932&amp;":"&amp;C932&amp;":"&amp;E932)</f>
      </c>
      <c r="K932" s="250">
        <f>IF(A932="","",A932*D932)</f>
      </c>
      <c r="L932" s="249">
        <f>IF(A932="","",IF(OR(A932=1,A932=0),H932,0))</f>
      </c>
      <c r="M932" s="249">
        <f>IF(A932="","",IF(A932=-1,H932,0))</f>
      </c>
      <c r="N932">
        <f>IF($E932="SGD",1,IF($E932="USD",Settings!$B$22,IF($E932="HKD",Settings!$B$23,1)))</f>
      </c>
      <c r="O932">
        <f>IF($J932="",0,($M932-$L932+IF($A932=2,$H932,0))*$N932)</f>
      </c>
      <c r="P932">
        <f>IF($J932="",0,IF($A932=2,$H932*$N932,0))</f>
      </c>
    </row>
    <row r="933" spans="1:16" ht="15" customHeight="1" x14ac:dyDescent="0.15">
      <c r="A933" s="242"/>
      <c r="B933" s="242"/>
      <c r="C933" s="242"/>
      <c r="D933" s="256"/>
      <c r="E933" s="242"/>
      <c r="F933" s="257"/>
      <c r="G933" s="242"/>
      <c r="H933" s="257"/>
      <c r="I933" s="242"/>
      <c r="J933" s="249">
        <f>IF(OR(B933="",C933="",E933=""),"",B933&amp;":"&amp;C933&amp;":"&amp;E933)</f>
      </c>
      <c r="K933" s="250">
        <f>IF(A933="","",A933*D933)</f>
      </c>
      <c r="L933" s="249">
        <f>IF(A933="","",IF(OR(A933=1,A933=0),H933,0))</f>
      </c>
      <c r="M933" s="249">
        <f>IF(A933="","",IF(A933=-1,H933,0))</f>
      </c>
      <c r="N933">
        <f>IF($E933="SGD",1,IF($E933="USD",Settings!$B$22,IF($E933="HKD",Settings!$B$23,1)))</f>
      </c>
      <c r="O933">
        <f>IF($J933="",0,($M933-$L933+IF($A933=2,$H933,0))*$N933)</f>
      </c>
      <c r="P933">
        <f>IF($J933="",0,IF($A933=2,$H933*$N933,0))</f>
      </c>
    </row>
    <row r="934" spans="1:16" ht="15" customHeight="1" x14ac:dyDescent="0.15">
      <c r="A934" s="242"/>
      <c r="B934" s="242"/>
      <c r="C934" s="242"/>
      <c r="D934" s="256"/>
      <c r="E934" s="242"/>
      <c r="F934" s="257"/>
      <c r="G934" s="242"/>
      <c r="H934" s="257"/>
      <c r="I934" s="242"/>
      <c r="J934" s="249">
        <f>IF(OR(B934="",C934="",E934=""),"",B934&amp;":"&amp;C934&amp;":"&amp;E934)</f>
      </c>
      <c r="K934" s="250">
        <f>IF(A934="","",A934*D934)</f>
      </c>
      <c r="L934" s="249">
        <f>IF(A934="","",IF(OR(A934=1,A934=0),H934,0))</f>
      </c>
      <c r="M934" s="249">
        <f>IF(A934="","",IF(A934=-1,H934,0))</f>
      </c>
      <c r="N934">
        <f>IF($E934="SGD",1,IF($E934="USD",Settings!$B$22,IF($E934="HKD",Settings!$B$23,1)))</f>
      </c>
      <c r="O934">
        <f>IF($J934="",0,($M934-$L934+IF($A934=2,$H934,0))*$N934)</f>
      </c>
      <c r="P934">
        <f>IF($J934="",0,IF($A934=2,$H934*$N934,0))</f>
      </c>
    </row>
    <row r="935" spans="1:16" ht="15" customHeight="1" x14ac:dyDescent="0.15">
      <c r="A935" s="242"/>
      <c r="B935" s="242"/>
      <c r="C935" s="242"/>
      <c r="D935" s="256"/>
      <c r="E935" s="242"/>
      <c r="F935" s="257"/>
      <c r="G935" s="242"/>
      <c r="H935" s="257"/>
      <c r="I935" s="242"/>
      <c r="J935" s="249">
        <f>IF(OR(B935="",C935="",E935=""),"",B935&amp;":"&amp;C935&amp;":"&amp;E935)</f>
      </c>
      <c r="K935" s="250">
        <f>IF(A935="","",A935*D935)</f>
      </c>
      <c r="L935" s="249">
        <f>IF(A935="","",IF(OR(A935=1,A935=0),H935,0))</f>
      </c>
      <c r="M935" s="249">
        <f>IF(A935="","",IF(A935=-1,H935,0))</f>
      </c>
      <c r="N935">
        <f>IF($E935="SGD",1,IF($E935="USD",Settings!$B$22,IF($E935="HKD",Settings!$B$23,1)))</f>
      </c>
      <c r="O935">
        <f>IF($J935="",0,($M935-$L935+IF($A935=2,$H935,0))*$N935)</f>
      </c>
      <c r="P935">
        <f>IF($J935="",0,IF($A935=2,$H935*$N935,0))</f>
      </c>
    </row>
    <row r="936" spans="1:16" ht="15" customHeight="1" x14ac:dyDescent="0.15">
      <c r="A936" s="242"/>
      <c r="B936" s="242"/>
      <c r="C936" s="242"/>
      <c r="D936" s="256"/>
      <c r="E936" s="242"/>
      <c r="F936" s="257"/>
      <c r="G936" s="242"/>
      <c r="H936" s="257"/>
      <c r="I936" s="242"/>
      <c r="J936" s="249">
        <f>IF(OR(B936="",C936="",E936=""),"",B936&amp;":"&amp;C936&amp;":"&amp;E936)</f>
      </c>
      <c r="K936" s="250">
        <f>IF(A936="","",A936*D936)</f>
      </c>
      <c r="L936" s="249">
        <f>IF(A936="","",IF(OR(A936=1,A936=0),H936,0))</f>
      </c>
      <c r="M936" s="249">
        <f>IF(A936="","",IF(A936=-1,H936,0))</f>
      </c>
      <c r="N936">
        <f>IF($E936="SGD",1,IF($E936="USD",Settings!$B$22,IF($E936="HKD",Settings!$B$23,1)))</f>
      </c>
      <c r="O936">
        <f>IF($J936="",0,($M936-$L936+IF($A936=2,$H936,0))*$N936)</f>
      </c>
      <c r="P936">
        <f>IF($J936="",0,IF($A936=2,$H936*$N936,0))</f>
      </c>
    </row>
    <row r="937" spans="1:16" ht="15" customHeight="1" x14ac:dyDescent="0.15">
      <c r="A937" s="242"/>
      <c r="B937" s="242"/>
      <c r="C937" s="242"/>
      <c r="D937" s="256"/>
      <c r="E937" s="242"/>
      <c r="F937" s="257"/>
      <c r="G937" s="242"/>
      <c r="H937" s="257"/>
      <c r="I937" s="242"/>
      <c r="J937" s="249">
        <f>IF(OR(B937="",C937="",E937=""),"",B937&amp;":"&amp;C937&amp;":"&amp;E937)</f>
      </c>
      <c r="K937" s="250">
        <f>IF(A937="","",A937*D937)</f>
      </c>
      <c r="L937" s="249">
        <f>IF(A937="","",IF(OR(A937=1,A937=0),H937,0))</f>
      </c>
      <c r="M937" s="249">
        <f>IF(A937="","",IF(A937=-1,H937,0))</f>
      </c>
      <c r="N937">
        <f>IF($E937="SGD",1,IF($E937="USD",Settings!$B$22,IF($E937="HKD",Settings!$B$23,1)))</f>
      </c>
      <c r="O937">
        <f>IF($J937="",0,($M937-$L937+IF($A937=2,$H937,0))*$N937)</f>
      </c>
      <c r="P937">
        <f>IF($J937="",0,IF($A937=2,$H937*$N937,0))</f>
      </c>
    </row>
    <row r="938" spans="1:16" ht="15" customHeight="1" x14ac:dyDescent="0.15">
      <c r="A938" s="242"/>
      <c r="B938" s="242"/>
      <c r="C938" s="242"/>
      <c r="D938" s="256"/>
      <c r="E938" s="242"/>
      <c r="F938" s="257"/>
      <c r="G938" s="242"/>
      <c r="H938" s="257"/>
      <c r="I938" s="242"/>
      <c r="J938" s="249">
        <f>IF(OR(B938="",C938="",E938=""),"",B938&amp;":"&amp;C938&amp;":"&amp;E938)</f>
      </c>
      <c r="K938" s="250">
        <f>IF(A938="","",A938*D938)</f>
      </c>
      <c r="L938" s="249">
        <f>IF(A938="","",IF(OR(A938=1,A938=0),H938,0))</f>
      </c>
      <c r="M938" s="249">
        <f>IF(A938="","",IF(A938=-1,H938,0))</f>
      </c>
      <c r="N938">
        <f>IF($E938="SGD",1,IF($E938="USD",Settings!$B$22,IF($E938="HKD",Settings!$B$23,1)))</f>
      </c>
      <c r="O938">
        <f>IF($J938="",0,($M938-$L938+IF($A938=2,$H938,0))*$N938)</f>
      </c>
      <c r="P938">
        <f>IF($J938="",0,IF($A938=2,$H938*$N938,0))</f>
      </c>
    </row>
    <row r="939" spans="1:16" ht="15" customHeight="1" x14ac:dyDescent="0.15">
      <c r="A939" s="242"/>
      <c r="B939" s="242"/>
      <c r="C939" s="242"/>
      <c r="D939" s="256"/>
      <c r="E939" s="242"/>
      <c r="F939" s="257"/>
      <c r="G939" s="242"/>
      <c r="H939" s="257"/>
      <c r="I939" s="242"/>
      <c r="J939" s="249">
        <f>IF(OR(B939="",C939="",E939=""),"",B939&amp;":"&amp;C939&amp;":"&amp;E939)</f>
      </c>
      <c r="K939" s="250">
        <f>IF(A939="","",A939*D939)</f>
      </c>
      <c r="L939" s="249">
        <f>IF(A939="","",IF(OR(A939=1,A939=0),H939,0))</f>
      </c>
      <c r="M939" s="249">
        <f>IF(A939="","",IF(A939=-1,H939,0))</f>
      </c>
      <c r="N939">
        <f>IF($E939="SGD",1,IF($E939="USD",Settings!$B$22,IF($E939="HKD",Settings!$B$23,1)))</f>
      </c>
      <c r="O939">
        <f>IF($J939="",0,($M939-$L939+IF($A939=2,$H939,0))*$N939)</f>
      </c>
      <c r="P939">
        <f>IF($J939="",0,IF($A939=2,$H939*$N939,0))</f>
      </c>
    </row>
    <row r="940" spans="1:16" ht="15" customHeight="1" x14ac:dyDescent="0.15">
      <c r="A940" s="242"/>
      <c r="B940" s="242"/>
      <c r="C940" s="242"/>
      <c r="D940" s="256"/>
      <c r="E940" s="242"/>
      <c r="F940" s="257"/>
      <c r="G940" s="242"/>
      <c r="H940" s="257"/>
      <c r="I940" s="242"/>
      <c r="J940" s="249">
        <f>IF(OR(B940="",C940="",E940=""),"",B940&amp;":"&amp;C940&amp;":"&amp;E940)</f>
      </c>
      <c r="K940" s="250">
        <f>IF(A940="","",A940*D940)</f>
      </c>
      <c r="L940" s="249">
        <f>IF(A940="","",IF(OR(A940=1,A940=0),H940,0))</f>
      </c>
      <c r="M940" s="249">
        <f>IF(A940="","",IF(A940=-1,H940,0))</f>
      </c>
      <c r="N940">
        <f>IF($E940="SGD",1,IF($E940="USD",Settings!$B$22,IF($E940="HKD",Settings!$B$23,1)))</f>
      </c>
      <c r="O940">
        <f>IF($J940="",0,($M940-$L940+IF($A940=2,$H940,0))*$N940)</f>
      </c>
      <c r="P940">
        <f>IF($J940="",0,IF($A940=2,$H940*$N940,0))</f>
      </c>
    </row>
    <row r="941" spans="1:16" ht="15" customHeight="1" x14ac:dyDescent="0.15">
      <c r="A941" s="242"/>
      <c r="B941" s="242"/>
      <c r="C941" s="242"/>
      <c r="D941" s="256"/>
      <c r="E941" s="242"/>
      <c r="F941" s="257"/>
      <c r="G941" s="242"/>
      <c r="H941" s="257"/>
      <c r="I941" s="242"/>
      <c r="J941" s="249">
        <f>IF(OR(B941="",C941="",E941=""),"",B941&amp;":"&amp;C941&amp;":"&amp;E941)</f>
      </c>
      <c r="K941" s="250">
        <f>IF(A941="","",A941*D941)</f>
      </c>
      <c r="L941" s="249">
        <f>IF(A941="","",IF(OR(A941=1,A941=0),H941,0))</f>
      </c>
      <c r="M941" s="249">
        <f>IF(A941="","",IF(A941=-1,H941,0))</f>
      </c>
      <c r="N941">
        <f>IF($E941="SGD",1,IF($E941="USD",Settings!$B$22,IF($E941="HKD",Settings!$B$23,1)))</f>
      </c>
      <c r="O941">
        <f>IF($J941="",0,($M941-$L941+IF($A941=2,$H941,0))*$N941)</f>
      </c>
      <c r="P941">
        <f>IF($J941="",0,IF($A941=2,$H941*$N941,0))</f>
      </c>
    </row>
    <row r="942" spans="1:16" ht="15" customHeight="1" x14ac:dyDescent="0.15">
      <c r="A942" s="242"/>
      <c r="B942" s="242"/>
      <c r="C942" s="242"/>
      <c r="D942" s="256"/>
      <c r="E942" s="242"/>
      <c r="F942" s="257"/>
      <c r="G942" s="242"/>
      <c r="H942" s="257"/>
      <c r="I942" s="242"/>
      <c r="J942" s="249">
        <f>IF(OR(B942="",C942="",E942=""),"",B942&amp;":"&amp;C942&amp;":"&amp;E942)</f>
      </c>
      <c r="K942" s="250">
        <f>IF(A942="","",A942*D942)</f>
      </c>
      <c r="L942" s="249">
        <f>IF(A942="","",IF(OR(A942=1,A942=0),H942,0))</f>
      </c>
      <c r="M942" s="249">
        <f>IF(A942="","",IF(A942=-1,H942,0))</f>
      </c>
      <c r="N942">
        <f>IF($E942="SGD",1,IF($E942="USD",Settings!$B$22,IF($E942="HKD",Settings!$B$23,1)))</f>
      </c>
      <c r="O942">
        <f>IF($J942="",0,($M942-$L942+IF($A942=2,$H942,0))*$N942)</f>
      </c>
      <c r="P942">
        <f>IF($J942="",0,IF($A942=2,$H942*$N942,0))</f>
      </c>
    </row>
    <row r="943" spans="1:16" ht="15" customHeight="1" x14ac:dyDescent="0.15">
      <c r="A943" s="242"/>
      <c r="B943" s="242"/>
      <c r="C943" s="242"/>
      <c r="D943" s="256"/>
      <c r="E943" s="242"/>
      <c r="F943" s="257"/>
      <c r="G943" s="242"/>
      <c r="H943" s="257"/>
      <c r="I943" s="242"/>
      <c r="J943" s="249">
        <f>IF(OR(B943="",C943="",E943=""),"",B943&amp;":"&amp;C943&amp;":"&amp;E943)</f>
      </c>
      <c r="K943" s="250">
        <f>IF(A943="","",A943*D943)</f>
      </c>
      <c r="L943" s="249">
        <f>IF(A943="","",IF(OR(A943=1,A943=0),H943,0))</f>
      </c>
      <c r="M943" s="249">
        <f>IF(A943="","",IF(A943=-1,H943,0))</f>
      </c>
      <c r="N943">
        <f>IF($E943="SGD",1,IF($E943="USD",Settings!$B$22,IF($E943="HKD",Settings!$B$23,1)))</f>
      </c>
      <c r="O943">
        <f>IF($J943="",0,($M943-$L943+IF($A943=2,$H943,0))*$N943)</f>
      </c>
      <c r="P943">
        <f>IF($J943="",0,IF($A943=2,$H943*$N943,0))</f>
      </c>
    </row>
    <row r="944" spans="1:16" ht="15" customHeight="1" x14ac:dyDescent="0.15">
      <c r="A944" s="242"/>
      <c r="B944" s="242"/>
      <c r="C944" s="242"/>
      <c r="D944" s="256"/>
      <c r="E944" s="242"/>
      <c r="F944" s="257"/>
      <c r="G944" s="242"/>
      <c r="H944" s="257"/>
      <c r="I944" s="242"/>
      <c r="J944" s="249">
        <f>IF(OR(B944="",C944="",E944=""),"",B944&amp;":"&amp;C944&amp;":"&amp;E944)</f>
      </c>
      <c r="K944" s="250">
        <f>IF(A944="","",A944*D944)</f>
      </c>
      <c r="L944" s="249">
        <f>IF(A944="","",IF(OR(A944=1,A944=0),H944,0))</f>
      </c>
      <c r="M944" s="249">
        <f>IF(A944="","",IF(A944=-1,H944,0))</f>
      </c>
      <c r="N944">
        <f>IF($E944="SGD",1,IF($E944="USD",Settings!$B$22,IF($E944="HKD",Settings!$B$23,1)))</f>
      </c>
      <c r="O944">
        <f>IF($J944="",0,($M944-$L944+IF($A944=2,$H944,0))*$N944)</f>
      </c>
      <c r="P944">
        <f>IF($J944="",0,IF($A944=2,$H944*$N944,0))</f>
      </c>
    </row>
    <row r="945" spans="1:16" ht="15" customHeight="1" x14ac:dyDescent="0.15">
      <c r="A945" s="242"/>
      <c r="B945" s="242"/>
      <c r="C945" s="242"/>
      <c r="D945" s="256"/>
      <c r="E945" s="242"/>
      <c r="F945" s="257"/>
      <c r="G945" s="242"/>
      <c r="H945" s="257"/>
      <c r="I945" s="242"/>
      <c r="J945" s="249">
        <f>IF(OR(B945="",C945="",E945=""),"",B945&amp;":"&amp;C945&amp;":"&amp;E945)</f>
      </c>
      <c r="K945" s="250">
        <f>IF(A945="","",A945*D945)</f>
      </c>
      <c r="L945" s="249">
        <f>IF(A945="","",IF(OR(A945=1,A945=0),H945,0))</f>
      </c>
      <c r="M945" s="249">
        <f>IF(A945="","",IF(A945=-1,H945,0))</f>
      </c>
      <c r="N945">
        <f>IF($E945="SGD",1,IF($E945="USD",Settings!$B$22,IF($E945="HKD",Settings!$B$23,1)))</f>
      </c>
      <c r="O945">
        <f>IF($J945="",0,($M945-$L945+IF($A945=2,$H945,0))*$N945)</f>
      </c>
      <c r="P945">
        <f>IF($J945="",0,IF($A945=2,$H945*$N945,0))</f>
      </c>
    </row>
    <row r="946" spans="1:16" ht="15" customHeight="1" x14ac:dyDescent="0.15">
      <c r="A946" s="242"/>
      <c r="B946" s="242"/>
      <c r="C946" s="242"/>
      <c r="D946" s="256"/>
      <c r="E946" s="242"/>
      <c r="F946" s="257"/>
      <c r="G946" s="242"/>
      <c r="H946" s="257"/>
      <c r="I946" s="242"/>
      <c r="J946" s="249">
        <f>IF(OR(B946="",C946="",E946=""),"",B946&amp;":"&amp;C946&amp;":"&amp;E946)</f>
      </c>
      <c r="K946" s="250">
        <f>IF(A946="","",A946*D946)</f>
      </c>
      <c r="L946" s="249">
        <f>IF(A946="","",IF(OR(A946=1,A946=0),H946,0))</f>
      </c>
      <c r="M946" s="249">
        <f>IF(A946="","",IF(A946=-1,H946,0))</f>
      </c>
      <c r="N946">
        <f>IF($E946="SGD",1,IF($E946="USD",Settings!$B$22,IF($E946="HKD",Settings!$B$23,1)))</f>
      </c>
      <c r="O946">
        <f>IF($J946="",0,($M946-$L946+IF($A946=2,$H946,0))*$N946)</f>
      </c>
      <c r="P946">
        <f>IF($J946="",0,IF($A946=2,$H946*$N946,0))</f>
      </c>
    </row>
    <row r="947" spans="1:16" ht="15" customHeight="1" x14ac:dyDescent="0.15">
      <c r="A947" s="242"/>
      <c r="B947" s="242"/>
      <c r="C947" s="242"/>
      <c r="D947" s="256"/>
      <c r="E947" s="242"/>
      <c r="F947" s="257"/>
      <c r="G947" s="242"/>
      <c r="H947" s="257"/>
      <c r="I947" s="242"/>
      <c r="J947" s="249">
        <f>IF(OR(B947="",C947="",E947=""),"",B947&amp;":"&amp;C947&amp;":"&amp;E947)</f>
      </c>
      <c r="K947" s="250">
        <f>IF(A947="","",A947*D947)</f>
      </c>
      <c r="L947" s="249">
        <f>IF(A947="","",IF(OR(A947=1,A947=0),H947,0))</f>
      </c>
      <c r="M947" s="249">
        <f>IF(A947="","",IF(A947=-1,H947,0))</f>
      </c>
      <c r="N947">
        <f>IF($E947="SGD",1,IF($E947="USD",Settings!$B$22,IF($E947="HKD",Settings!$B$23,1)))</f>
      </c>
      <c r="O947">
        <f>IF($J947="",0,($M947-$L947+IF($A947=2,$H947,0))*$N947)</f>
      </c>
      <c r="P947">
        <f>IF($J947="",0,IF($A947=2,$H947*$N947,0))</f>
      </c>
    </row>
    <row r="948" spans="1:16" ht="15" customHeight="1" x14ac:dyDescent="0.15">
      <c r="A948" s="242"/>
      <c r="B948" s="242"/>
      <c r="C948" s="242"/>
      <c r="D948" s="256"/>
      <c r="E948" s="242"/>
      <c r="F948" s="257"/>
      <c r="G948" s="242"/>
      <c r="H948" s="257"/>
      <c r="I948" s="242"/>
      <c r="J948" s="249">
        <f>IF(OR(B948="",C948="",E948=""),"",B948&amp;":"&amp;C948&amp;":"&amp;E948)</f>
      </c>
      <c r="K948" s="250">
        <f>IF(A948="","",A948*D948)</f>
      </c>
      <c r="L948" s="249">
        <f>IF(A948="","",IF(OR(A948=1,A948=0),H948,0))</f>
      </c>
      <c r="M948" s="249">
        <f>IF(A948="","",IF(A948=-1,H948,0))</f>
      </c>
      <c r="N948">
        <f>IF($E948="SGD",1,IF($E948="USD",Settings!$B$22,IF($E948="HKD",Settings!$B$23,1)))</f>
      </c>
      <c r="O948">
        <f>IF($J948="",0,($M948-$L948+IF($A948=2,$H948,0))*$N948)</f>
      </c>
      <c r="P948">
        <f>IF($J948="",0,IF($A948=2,$H948*$N948,0))</f>
      </c>
    </row>
    <row r="949" spans="1:16" ht="15" customHeight="1" x14ac:dyDescent="0.15">
      <c r="A949" s="242"/>
      <c r="B949" s="242"/>
      <c r="C949" s="242"/>
      <c r="D949" s="256"/>
      <c r="E949" s="242"/>
      <c r="F949" s="257"/>
      <c r="G949" s="242"/>
      <c r="H949" s="257"/>
      <c r="I949" s="242"/>
      <c r="J949" s="249">
        <f>IF(OR(B949="",C949="",E949=""),"",B949&amp;":"&amp;C949&amp;":"&amp;E949)</f>
      </c>
      <c r="K949" s="250">
        <f>IF(A949="","",A949*D949)</f>
      </c>
      <c r="L949" s="249">
        <f>IF(A949="","",IF(OR(A949=1,A949=0),H949,0))</f>
      </c>
      <c r="M949" s="249">
        <f>IF(A949="","",IF(A949=-1,H949,0))</f>
      </c>
      <c r="N949">
        <f>IF($E949="SGD",1,IF($E949="USD",Settings!$B$22,IF($E949="HKD",Settings!$B$23,1)))</f>
      </c>
      <c r="O949">
        <f>IF($J949="",0,($M949-$L949+IF($A949=2,$H949,0))*$N949)</f>
      </c>
      <c r="P949">
        <f>IF($J949="",0,IF($A949=2,$H949*$N949,0))</f>
      </c>
    </row>
    <row r="950" spans="1:16" ht="15" customHeight="1" x14ac:dyDescent="0.15">
      <c r="A950" s="242"/>
      <c r="B950" s="242"/>
      <c r="C950" s="242"/>
      <c r="D950" s="256"/>
      <c r="E950" s="242"/>
      <c r="F950" s="257"/>
      <c r="G950" s="242"/>
      <c r="H950" s="257"/>
      <c r="I950" s="242"/>
      <c r="J950" s="249">
        <f>IF(OR(B950="",C950="",E950=""),"",B950&amp;":"&amp;C950&amp;":"&amp;E950)</f>
      </c>
      <c r="K950" s="250">
        <f>IF(A950="","",A950*D950)</f>
      </c>
      <c r="L950" s="249">
        <f>IF(A950="","",IF(OR(A950=1,A950=0),H950,0))</f>
      </c>
      <c r="M950" s="249">
        <f>IF(A950="","",IF(A950=-1,H950,0))</f>
      </c>
      <c r="N950">
        <f>IF($E950="SGD",1,IF($E950="USD",Settings!$B$22,IF($E950="HKD",Settings!$B$23,1)))</f>
      </c>
      <c r="O950">
        <f>IF($J950="",0,($M950-$L950+IF($A950=2,$H950,0))*$N950)</f>
      </c>
      <c r="P950">
        <f>IF($J950="",0,IF($A950=2,$H950*$N950,0))</f>
      </c>
    </row>
    <row r="951" spans="1:16" ht="15" customHeight="1" x14ac:dyDescent="0.15">
      <c r="A951" s="242"/>
      <c r="B951" s="242"/>
      <c r="C951" s="242"/>
      <c r="D951" s="256"/>
      <c r="E951" s="242"/>
      <c r="F951" s="257"/>
      <c r="G951" s="242"/>
      <c r="H951" s="257"/>
      <c r="I951" s="242"/>
      <c r="J951" s="249">
        <f>IF(OR(B951="",C951="",E951=""),"",B951&amp;":"&amp;C951&amp;":"&amp;E951)</f>
      </c>
      <c r="K951" s="250">
        <f>IF(A951="","",A951*D951)</f>
      </c>
      <c r="L951" s="249">
        <f>IF(A951="","",IF(OR(A951=1,A951=0),H951,0))</f>
      </c>
      <c r="M951" s="249">
        <f>IF(A951="","",IF(A951=-1,H951,0))</f>
      </c>
      <c r="N951">
        <f>IF($E951="SGD",1,IF($E951="USD",Settings!$B$22,IF($E951="HKD",Settings!$B$23,1)))</f>
      </c>
      <c r="O951">
        <f>IF($J951="",0,($M951-$L951+IF($A951=2,$H951,0))*$N951)</f>
      </c>
      <c r="P951">
        <f>IF($J951="",0,IF($A951=2,$H951*$N951,0))</f>
      </c>
    </row>
    <row r="952" spans="1:16" ht="15" customHeight="1" x14ac:dyDescent="0.15">
      <c r="A952" s="242"/>
      <c r="B952" s="242"/>
      <c r="C952" s="242"/>
      <c r="D952" s="256"/>
      <c r="E952" s="242"/>
      <c r="F952" s="257"/>
      <c r="G952" s="242"/>
      <c r="H952" s="257"/>
      <c r="I952" s="242"/>
      <c r="J952" s="249">
        <f>IF(OR(B952="",C952="",E952=""),"",B952&amp;":"&amp;C952&amp;":"&amp;E952)</f>
      </c>
      <c r="K952" s="250">
        <f>IF(A952="","",A952*D952)</f>
      </c>
      <c r="L952" s="249">
        <f>IF(A952="","",IF(OR(A952=1,A952=0),H952,0))</f>
      </c>
      <c r="M952" s="249">
        <f>IF(A952="","",IF(A952=-1,H952,0))</f>
      </c>
      <c r="N952">
        <f>IF($E952="SGD",1,IF($E952="USD",Settings!$B$22,IF($E952="HKD",Settings!$B$23,1)))</f>
      </c>
      <c r="O952">
        <f>IF($J952="",0,($M952-$L952+IF($A952=2,$H952,0))*$N952)</f>
      </c>
      <c r="P952">
        <f>IF($J952="",0,IF($A952=2,$H952*$N952,0))</f>
      </c>
    </row>
    <row r="953" spans="1:16" ht="15" customHeight="1" x14ac:dyDescent="0.15">
      <c r="A953" s="242"/>
      <c r="B953" s="242"/>
      <c r="C953" s="242"/>
      <c r="D953" s="256"/>
      <c r="E953" s="242"/>
      <c r="F953" s="257"/>
      <c r="G953" s="242"/>
      <c r="H953" s="257"/>
      <c r="I953" s="242"/>
      <c r="J953" s="249">
        <f>IF(OR(B953="",C953="",E953=""),"",B953&amp;":"&amp;C953&amp;":"&amp;E953)</f>
      </c>
      <c r="K953" s="250">
        <f>IF(A953="","",A953*D953)</f>
      </c>
      <c r="L953" s="249">
        <f>IF(A953="","",IF(OR(A953=1,A953=0),H953,0))</f>
      </c>
      <c r="M953" s="249">
        <f>IF(A953="","",IF(A953=-1,H953,0))</f>
      </c>
      <c r="N953">
        <f>IF($E953="SGD",1,IF($E953="USD",Settings!$B$22,IF($E953="HKD",Settings!$B$23,1)))</f>
      </c>
      <c r="O953">
        <f>IF($J953="",0,($M953-$L953+IF($A953=2,$H953,0))*$N953)</f>
      </c>
      <c r="P953">
        <f>IF($J953="",0,IF($A953=2,$H953*$N953,0))</f>
      </c>
    </row>
    <row r="954" spans="1:16" ht="15" customHeight="1" x14ac:dyDescent="0.15">
      <c r="A954" s="242"/>
      <c r="B954" s="242"/>
      <c r="C954" s="242"/>
      <c r="D954" s="256"/>
      <c r="E954" s="242"/>
      <c r="F954" s="257"/>
      <c r="G954" s="242"/>
      <c r="H954" s="257"/>
      <c r="I954" s="242"/>
      <c r="J954" s="249">
        <f>IF(OR(B954="",C954="",E954=""),"",B954&amp;":"&amp;C954&amp;":"&amp;E954)</f>
      </c>
      <c r="K954" s="250">
        <f>IF(A954="","",A954*D954)</f>
      </c>
      <c r="L954" s="249">
        <f>IF(A954="","",IF(OR(A954=1,A954=0),H954,0))</f>
      </c>
      <c r="M954" s="249">
        <f>IF(A954="","",IF(A954=-1,H954,0))</f>
      </c>
      <c r="N954">
        <f>IF($E954="SGD",1,IF($E954="USD",Settings!$B$22,IF($E954="HKD",Settings!$B$23,1)))</f>
      </c>
      <c r="O954">
        <f>IF($J954="",0,($M954-$L954+IF($A954=2,$H954,0))*$N954)</f>
      </c>
      <c r="P954">
        <f>IF($J954="",0,IF($A954=2,$H954*$N954,0))</f>
      </c>
    </row>
    <row r="955" spans="1:16" ht="15" customHeight="1" x14ac:dyDescent="0.15">
      <c r="A955" s="242"/>
      <c r="B955" s="242"/>
      <c r="C955" s="242"/>
      <c r="D955" s="256"/>
      <c r="E955" s="242"/>
      <c r="F955" s="257"/>
      <c r="G955" s="242"/>
      <c r="H955" s="257"/>
      <c r="I955" s="242"/>
      <c r="J955" s="249">
        <f>IF(OR(B955="",C955="",E955=""),"",B955&amp;":"&amp;C955&amp;":"&amp;E955)</f>
      </c>
      <c r="K955" s="250">
        <f>IF(A955="","",A955*D955)</f>
      </c>
      <c r="L955" s="249">
        <f>IF(A955="","",IF(OR(A955=1,A955=0),H955,0))</f>
      </c>
      <c r="M955" s="249">
        <f>IF(A955="","",IF(A955=-1,H955,0))</f>
      </c>
      <c r="N955">
        <f>IF($E955="SGD",1,IF($E955="USD",Settings!$B$22,IF($E955="HKD",Settings!$B$23,1)))</f>
      </c>
      <c r="O955">
        <f>IF($J955="",0,($M955-$L955+IF($A955=2,$H955,0))*$N955)</f>
      </c>
      <c r="P955">
        <f>IF($J955="",0,IF($A955=2,$H955*$N955,0))</f>
      </c>
    </row>
    <row r="956" spans="1:16" ht="15" customHeight="1" x14ac:dyDescent="0.15">
      <c r="A956" s="242"/>
      <c r="B956" s="242"/>
      <c r="C956" s="242"/>
      <c r="D956" s="256"/>
      <c r="E956" s="242"/>
      <c r="F956" s="257"/>
      <c r="G956" s="242"/>
      <c r="H956" s="257"/>
      <c r="I956" s="242"/>
      <c r="J956" s="249">
        <f>IF(OR(B956="",C956="",E956=""),"",B956&amp;":"&amp;C956&amp;":"&amp;E956)</f>
      </c>
      <c r="K956" s="250">
        <f>IF(A956="","",A956*D956)</f>
      </c>
      <c r="L956" s="249">
        <f>IF(A956="","",IF(OR(A956=1,A956=0),H956,0))</f>
      </c>
      <c r="M956" s="249">
        <f>IF(A956="","",IF(A956=-1,H956,0))</f>
      </c>
      <c r="N956">
        <f>IF($E956="SGD",1,IF($E956="USD",Settings!$B$22,IF($E956="HKD",Settings!$B$23,1)))</f>
      </c>
      <c r="O956">
        <f>IF($J956="",0,($M956-$L956+IF($A956=2,$H956,0))*$N956)</f>
      </c>
      <c r="P956">
        <f>IF($J956="",0,IF($A956=2,$H956*$N956,0))</f>
      </c>
    </row>
    <row r="957" spans="1:16" ht="15" customHeight="1" x14ac:dyDescent="0.15">
      <c r="A957" s="242"/>
      <c r="B957" s="242"/>
      <c r="C957" s="242"/>
      <c r="D957" s="256"/>
      <c r="E957" s="242"/>
      <c r="F957" s="257"/>
      <c r="G957" s="242"/>
      <c r="H957" s="257"/>
      <c r="I957" s="242"/>
      <c r="J957" s="249">
        <f>IF(OR(B957="",C957="",E957=""),"",B957&amp;":"&amp;C957&amp;":"&amp;E957)</f>
      </c>
      <c r="K957" s="250">
        <f>IF(A957="","",A957*D957)</f>
      </c>
      <c r="L957" s="249">
        <f>IF(A957="","",IF(OR(A957=1,A957=0),H957,0))</f>
      </c>
      <c r="M957" s="249">
        <f>IF(A957="","",IF(A957=-1,H957,0))</f>
      </c>
      <c r="N957">
        <f>IF($E957="SGD",1,IF($E957="USD",Settings!$B$22,IF($E957="HKD",Settings!$B$23,1)))</f>
      </c>
      <c r="O957">
        <f>IF($J957="",0,($M957-$L957+IF($A957=2,$H957,0))*$N957)</f>
      </c>
      <c r="P957">
        <f>IF($J957="",0,IF($A957=2,$H957*$N957,0))</f>
      </c>
    </row>
    <row r="958" spans="1:16" ht="15" customHeight="1" x14ac:dyDescent="0.15">
      <c r="A958" s="242"/>
      <c r="B958" s="242"/>
      <c r="C958" s="242"/>
      <c r="D958" s="256"/>
      <c r="E958" s="242"/>
      <c r="F958" s="257"/>
      <c r="G958" s="242"/>
      <c r="H958" s="257"/>
      <c r="I958" s="242"/>
      <c r="J958" s="249">
        <f>IF(OR(B958="",C958="",E958=""),"",B958&amp;":"&amp;C958&amp;":"&amp;E958)</f>
      </c>
      <c r="K958" s="250">
        <f>IF(A958="","",A958*D958)</f>
      </c>
      <c r="L958" s="249">
        <f>IF(A958="","",IF(OR(A958=1,A958=0),H958,0))</f>
      </c>
      <c r="M958" s="249">
        <f>IF(A958="","",IF(A958=-1,H958,0))</f>
      </c>
      <c r="N958">
        <f>IF($E958="SGD",1,IF($E958="USD",Settings!$B$22,IF($E958="HKD",Settings!$B$23,1)))</f>
      </c>
      <c r="O958">
        <f>IF($J958="",0,($M958-$L958+IF($A958=2,$H958,0))*$N958)</f>
      </c>
      <c r="P958">
        <f>IF($J958="",0,IF($A958=2,$H958*$N958,0))</f>
      </c>
    </row>
    <row r="959" spans="1:16" ht="15" customHeight="1" x14ac:dyDescent="0.15">
      <c r="A959" s="242"/>
      <c r="B959" s="242"/>
      <c r="C959" s="242"/>
      <c r="D959" s="256"/>
      <c r="E959" s="242"/>
      <c r="F959" s="257"/>
      <c r="G959" s="242"/>
      <c r="H959" s="257"/>
      <c r="I959" s="242"/>
      <c r="J959" s="249">
        <f>IF(OR(B959="",C959="",E959=""),"",B959&amp;":"&amp;C959&amp;":"&amp;E959)</f>
      </c>
      <c r="K959" s="250">
        <f>IF(A959="","",A959*D959)</f>
      </c>
      <c r="L959" s="249">
        <f>IF(A959="","",IF(OR(A959=1,A959=0),H959,0))</f>
      </c>
      <c r="M959" s="249">
        <f>IF(A959="","",IF(A959=-1,H959,0))</f>
      </c>
      <c r="N959">
        <f>IF($E959="SGD",1,IF($E959="USD",Settings!$B$22,IF($E959="HKD",Settings!$B$23,1)))</f>
      </c>
      <c r="O959">
        <f>IF($J959="",0,($M959-$L959+IF($A959=2,$H959,0))*$N959)</f>
      </c>
      <c r="P959">
        <f>IF($J959="",0,IF($A959=2,$H959*$N959,0))</f>
      </c>
    </row>
    <row r="960" spans="1:16" ht="15" customHeight="1" x14ac:dyDescent="0.15">
      <c r="A960" s="242"/>
      <c r="B960" s="242"/>
      <c r="C960" s="242"/>
      <c r="D960" s="256"/>
      <c r="E960" s="242"/>
      <c r="F960" s="257"/>
      <c r="G960" s="242"/>
      <c r="H960" s="257"/>
      <c r="I960" s="242"/>
      <c r="J960" s="249">
        <f>IF(OR(B960="",C960="",E960=""),"",B960&amp;":"&amp;C960&amp;":"&amp;E960)</f>
      </c>
      <c r="K960" s="250">
        <f>IF(A960="","",A960*D960)</f>
      </c>
      <c r="L960" s="249">
        <f>IF(A960="","",IF(OR(A960=1,A960=0),H960,0))</f>
      </c>
      <c r="M960" s="249">
        <f>IF(A960="","",IF(A960=-1,H960,0))</f>
      </c>
      <c r="N960">
        <f>IF($E960="SGD",1,IF($E960="USD",Settings!$B$22,IF($E960="HKD",Settings!$B$23,1)))</f>
      </c>
      <c r="O960">
        <f>IF($J960="",0,($M960-$L960+IF($A960=2,$H960,0))*$N960)</f>
      </c>
      <c r="P960">
        <f>IF($J960="",0,IF($A960=2,$H960*$N960,0))</f>
      </c>
    </row>
    <row r="961" spans="1:16" ht="15" customHeight="1" x14ac:dyDescent="0.15">
      <c r="A961" s="242"/>
      <c r="B961" s="242"/>
      <c r="C961" s="242"/>
      <c r="D961" s="256"/>
      <c r="E961" s="242"/>
      <c r="F961" s="257"/>
      <c r="G961" s="242"/>
      <c r="H961" s="257"/>
      <c r="I961" s="242"/>
      <c r="J961" s="249">
        <f>IF(OR(B961="",C961="",E961=""),"",B961&amp;":"&amp;C961&amp;":"&amp;E961)</f>
      </c>
      <c r="K961" s="250">
        <f>IF(A961="","",A961*D961)</f>
      </c>
      <c r="L961" s="249">
        <f>IF(A961="","",IF(OR(A961=1,A961=0),H961,0))</f>
      </c>
      <c r="M961" s="249">
        <f>IF(A961="","",IF(A961=-1,H961,0))</f>
      </c>
      <c r="N961">
        <f>IF($E961="SGD",1,IF($E961="USD",Settings!$B$22,IF($E961="HKD",Settings!$B$23,1)))</f>
      </c>
      <c r="O961">
        <f>IF($J961="",0,($M961-$L961+IF($A961=2,$H961,0))*$N961)</f>
      </c>
      <c r="P961">
        <f>IF($J961="",0,IF($A961=2,$H961*$N961,0))</f>
      </c>
    </row>
    <row r="962" spans="1:16" ht="15" customHeight="1" x14ac:dyDescent="0.15">
      <c r="A962" s="242"/>
      <c r="B962" s="242"/>
      <c r="C962" s="242"/>
      <c r="D962" s="256"/>
      <c r="E962" s="242"/>
      <c r="F962" s="257"/>
      <c r="G962" s="242"/>
      <c r="H962" s="257"/>
      <c r="I962" s="242"/>
      <c r="J962" s="249">
        <f>IF(OR(B962="",C962="",E962=""),"",B962&amp;":"&amp;C962&amp;":"&amp;E962)</f>
      </c>
      <c r="K962" s="250">
        <f>IF(A962="","",A962*D962)</f>
      </c>
      <c r="L962" s="249">
        <f>IF(A962="","",IF(OR(A962=1,A962=0),H962,0))</f>
      </c>
      <c r="M962" s="249">
        <f>IF(A962="","",IF(A962=-1,H962,0))</f>
      </c>
      <c r="N962">
        <f>IF($E962="SGD",1,IF($E962="USD",Settings!$B$22,IF($E962="HKD",Settings!$B$23,1)))</f>
      </c>
      <c r="O962">
        <f>IF($J962="",0,($M962-$L962+IF($A962=2,$H962,0))*$N962)</f>
      </c>
      <c r="P962">
        <f>IF($J962="",0,IF($A962=2,$H962*$N962,0))</f>
      </c>
    </row>
    <row r="963" spans="1:16" ht="15" customHeight="1" x14ac:dyDescent="0.15">
      <c r="A963" s="242"/>
      <c r="B963" s="242"/>
      <c r="C963" s="242"/>
      <c r="D963" s="256"/>
      <c r="E963" s="242"/>
      <c r="F963" s="257"/>
      <c r="G963" s="242"/>
      <c r="H963" s="257"/>
      <c r="I963" s="242"/>
      <c r="J963" s="249">
        <f>IF(OR(B963="",C963="",E963=""),"",B963&amp;":"&amp;C963&amp;":"&amp;E963)</f>
      </c>
      <c r="K963" s="250">
        <f>IF(A963="","",A963*D963)</f>
      </c>
      <c r="L963" s="249">
        <f>IF(A963="","",IF(OR(A963=1,A963=0),H963,0))</f>
      </c>
      <c r="M963" s="249">
        <f>IF(A963="","",IF(A963=-1,H963,0))</f>
      </c>
      <c r="N963">
        <f>IF($E963="SGD",1,IF($E963="USD",Settings!$B$22,IF($E963="HKD",Settings!$B$23,1)))</f>
      </c>
      <c r="O963">
        <f>IF($J963="",0,($M963-$L963+IF($A963=2,$H963,0))*$N963)</f>
      </c>
      <c r="P963">
        <f>IF($J963="",0,IF($A963=2,$H963*$N963,0))</f>
      </c>
    </row>
    <row r="964" spans="1:16" ht="15" customHeight="1" x14ac:dyDescent="0.15">
      <c r="A964" s="242"/>
      <c r="B964" s="242"/>
      <c r="C964" s="242"/>
      <c r="D964" s="256"/>
      <c r="E964" s="242"/>
      <c r="F964" s="257"/>
      <c r="G964" s="242"/>
      <c r="H964" s="257"/>
      <c r="I964" s="242"/>
      <c r="J964" s="249">
        <f>IF(OR(B964="",C964="",E964=""),"",B964&amp;":"&amp;C964&amp;":"&amp;E964)</f>
      </c>
      <c r="K964" s="250">
        <f>IF(A964="","",A964*D964)</f>
      </c>
      <c r="L964" s="249">
        <f>IF(A964="","",IF(OR(A964=1,A964=0),H964,0))</f>
      </c>
      <c r="M964" s="249">
        <f>IF(A964="","",IF(A964=-1,H964,0))</f>
      </c>
      <c r="N964">
        <f>IF($E964="SGD",1,IF($E964="USD",Settings!$B$22,IF($E964="HKD",Settings!$B$23,1)))</f>
      </c>
      <c r="O964">
        <f>IF($J964="",0,($M964-$L964+IF($A964=2,$H964,0))*$N964)</f>
      </c>
      <c r="P964">
        <f>IF($J964="",0,IF($A964=2,$H964*$N964,0))</f>
      </c>
    </row>
    <row r="965" spans="1:16" ht="15" customHeight="1" x14ac:dyDescent="0.15">
      <c r="A965" s="242"/>
      <c r="B965" s="242"/>
      <c r="C965" s="242"/>
      <c r="D965" s="256"/>
      <c r="E965" s="242"/>
      <c r="F965" s="257"/>
      <c r="G965" s="242"/>
      <c r="H965" s="257"/>
      <c r="I965" s="242"/>
      <c r="J965" s="249">
        <f>IF(OR(B965="",C965="",E965=""),"",B965&amp;":"&amp;C965&amp;":"&amp;E965)</f>
      </c>
      <c r="K965" s="250">
        <f>IF(A965="","",A965*D965)</f>
      </c>
      <c r="L965" s="249">
        <f>IF(A965="","",IF(OR(A965=1,A965=0),H965,0))</f>
      </c>
      <c r="M965" s="249">
        <f>IF(A965="","",IF(A965=-1,H965,0))</f>
      </c>
      <c r="N965">
        <f>IF($E965="SGD",1,IF($E965="USD",Settings!$B$22,IF($E965="HKD",Settings!$B$23,1)))</f>
      </c>
      <c r="O965">
        <f>IF($J965="",0,($M965-$L965+IF($A965=2,$H965,0))*$N965)</f>
      </c>
      <c r="P965">
        <f>IF($J965="",0,IF($A965=2,$H965*$N965,0))</f>
      </c>
    </row>
    <row r="966" spans="1:16" ht="15" customHeight="1" x14ac:dyDescent="0.15">
      <c r="A966" s="242"/>
      <c r="B966" s="242"/>
      <c r="C966" s="242"/>
      <c r="D966" s="256"/>
      <c r="E966" s="242"/>
      <c r="F966" s="257"/>
      <c r="G966" s="242"/>
      <c r="H966" s="257"/>
      <c r="I966" s="242"/>
      <c r="J966" s="249">
        <f>IF(OR(B966="",C966="",E966=""),"",B966&amp;":"&amp;C966&amp;":"&amp;E966)</f>
      </c>
      <c r="K966" s="250">
        <f>IF(A966="","",A966*D966)</f>
      </c>
      <c r="L966" s="249">
        <f>IF(A966="","",IF(OR(A966=1,A966=0),H966,0))</f>
      </c>
      <c r="M966" s="249">
        <f>IF(A966="","",IF(A966=-1,H966,0))</f>
      </c>
      <c r="N966">
        <f>IF($E966="SGD",1,IF($E966="USD",Settings!$B$22,IF($E966="HKD",Settings!$B$23,1)))</f>
      </c>
      <c r="O966">
        <f>IF($J966="",0,($M966-$L966+IF($A966=2,$H966,0))*$N966)</f>
      </c>
      <c r="P966">
        <f>IF($J966="",0,IF($A966=2,$H966*$N966,0))</f>
      </c>
    </row>
    <row r="967" spans="1:16" ht="15" customHeight="1" x14ac:dyDescent="0.15">
      <c r="A967" s="242"/>
      <c r="B967" s="242"/>
      <c r="C967" s="242"/>
      <c r="D967" s="256"/>
      <c r="E967" s="242"/>
      <c r="F967" s="257"/>
      <c r="G967" s="242"/>
      <c r="H967" s="257"/>
      <c r="I967" s="242"/>
      <c r="J967" s="249">
        <f>IF(OR(B967="",C967="",E967=""),"",B967&amp;":"&amp;C967&amp;":"&amp;E967)</f>
      </c>
      <c r="K967" s="250">
        <f>IF(A967="","",A967*D967)</f>
      </c>
      <c r="L967" s="249">
        <f>IF(A967="","",IF(OR(A967=1,A967=0),H967,0))</f>
      </c>
      <c r="M967" s="249">
        <f>IF(A967="","",IF(A967=-1,H967,0))</f>
      </c>
      <c r="N967">
        <f>IF($E967="SGD",1,IF($E967="USD",Settings!$B$22,IF($E967="HKD",Settings!$B$23,1)))</f>
      </c>
      <c r="O967">
        <f>IF($J967="",0,($M967-$L967+IF($A967=2,$H967,0))*$N967)</f>
      </c>
      <c r="P967">
        <f>IF($J967="",0,IF($A967=2,$H967*$N967,0))</f>
      </c>
    </row>
    <row r="968" spans="1:16" ht="15" customHeight="1" x14ac:dyDescent="0.15">
      <c r="A968" s="242"/>
      <c r="B968" s="242"/>
      <c r="C968" s="242"/>
      <c r="D968" s="256"/>
      <c r="E968" s="242"/>
      <c r="F968" s="257"/>
      <c r="G968" s="242"/>
      <c r="H968" s="257"/>
      <c r="I968" s="242"/>
      <c r="J968" s="249">
        <f>IF(OR(B968="",C968="",E968=""),"",B968&amp;":"&amp;C968&amp;":"&amp;E968)</f>
      </c>
      <c r="K968" s="250">
        <f>IF(A968="","",A968*D968)</f>
      </c>
      <c r="L968" s="249">
        <f>IF(A968="","",IF(OR(A968=1,A968=0),H968,0))</f>
      </c>
      <c r="M968" s="249">
        <f>IF(A968="","",IF(A968=-1,H968,0))</f>
      </c>
      <c r="N968">
        <f>IF($E968="SGD",1,IF($E968="USD",Settings!$B$22,IF($E968="HKD",Settings!$B$23,1)))</f>
      </c>
      <c r="O968">
        <f>IF($J968="",0,($M968-$L968+IF($A968=2,$H968,0))*$N968)</f>
      </c>
      <c r="P968">
        <f>IF($J968="",0,IF($A968=2,$H968*$N968,0))</f>
      </c>
    </row>
    <row r="969" spans="1:16" ht="15" customHeight="1" x14ac:dyDescent="0.15">
      <c r="A969" s="242"/>
      <c r="B969" s="242"/>
      <c r="C969" s="242"/>
      <c r="D969" s="256"/>
      <c r="E969" s="242"/>
      <c r="F969" s="257"/>
      <c r="G969" s="242"/>
      <c r="H969" s="257"/>
      <c r="I969" s="242"/>
      <c r="J969" s="249">
        <f>IF(OR(B969="",C969="",E969=""),"",B969&amp;":"&amp;C969&amp;":"&amp;E969)</f>
      </c>
      <c r="K969" s="250">
        <f>IF(A969="","",A969*D969)</f>
      </c>
      <c r="L969" s="249">
        <f>IF(A969="","",IF(OR(A969=1,A969=0),H969,0))</f>
      </c>
      <c r="M969" s="249">
        <f>IF(A969="","",IF(A969=-1,H969,0))</f>
      </c>
      <c r="N969">
        <f>IF($E969="SGD",1,IF($E969="USD",Settings!$B$22,IF($E969="HKD",Settings!$B$23,1)))</f>
      </c>
      <c r="O969">
        <f>IF($J969="",0,($M969-$L969+IF($A969=2,$H969,0))*$N969)</f>
      </c>
      <c r="P969">
        <f>IF($J969="",0,IF($A969=2,$H969*$N969,0))</f>
      </c>
    </row>
    <row r="970" spans="1:16" ht="15" customHeight="1" x14ac:dyDescent="0.15">
      <c r="A970" s="242"/>
      <c r="B970" s="242"/>
      <c r="C970" s="242"/>
      <c r="D970" s="256"/>
      <c r="E970" s="242"/>
      <c r="F970" s="257"/>
      <c r="G970" s="242"/>
      <c r="H970" s="257"/>
      <c r="I970" s="242"/>
      <c r="J970" s="249">
        <f>IF(OR(B970="",C970="",E970=""),"",B970&amp;":"&amp;C970&amp;":"&amp;E970)</f>
      </c>
      <c r="K970" s="250">
        <f>IF(A970="","",A970*D970)</f>
      </c>
      <c r="L970" s="249">
        <f>IF(A970="","",IF(OR(A970=1,A970=0),H970,0))</f>
      </c>
      <c r="M970" s="249">
        <f>IF(A970="","",IF(A970=-1,H970,0))</f>
      </c>
      <c r="N970">
        <f>IF($E970="SGD",1,IF($E970="USD",Settings!$B$22,IF($E970="HKD",Settings!$B$23,1)))</f>
      </c>
      <c r="O970">
        <f>IF($J970="",0,($M970-$L970+IF($A970=2,$H970,0))*$N970)</f>
      </c>
      <c r="P970">
        <f>IF($J970="",0,IF($A970=2,$H970*$N970,0))</f>
      </c>
    </row>
    <row r="971" spans="1:16" ht="15" customHeight="1" x14ac:dyDescent="0.15">
      <c r="A971" s="242"/>
      <c r="B971" s="242"/>
      <c r="C971" s="242"/>
      <c r="D971" s="256"/>
      <c r="E971" s="242"/>
      <c r="F971" s="257"/>
      <c r="G971" s="242"/>
      <c r="H971" s="257"/>
      <c r="I971" s="242"/>
      <c r="J971" s="249">
        <f>IF(OR(B971="",C971="",E971=""),"",B971&amp;":"&amp;C971&amp;":"&amp;E971)</f>
      </c>
      <c r="K971" s="250">
        <f>IF(A971="","",A971*D971)</f>
      </c>
      <c r="L971" s="249">
        <f>IF(A971="","",IF(OR(A971=1,A971=0),H971,0))</f>
      </c>
      <c r="M971" s="249">
        <f>IF(A971="","",IF(A971=-1,H971,0))</f>
      </c>
      <c r="N971">
        <f>IF($E971="SGD",1,IF($E971="USD",Settings!$B$22,IF($E971="HKD",Settings!$B$23,1)))</f>
      </c>
      <c r="O971">
        <f>IF($J971="",0,($M971-$L971+IF($A971=2,$H971,0))*$N971)</f>
      </c>
      <c r="P971">
        <f>IF($J971="",0,IF($A971=2,$H971*$N971,0))</f>
      </c>
    </row>
    <row r="972" spans="1:16" ht="15" customHeight="1" x14ac:dyDescent="0.15">
      <c r="A972" s="242"/>
      <c r="B972" s="242"/>
      <c r="C972" s="242"/>
      <c r="D972" s="256"/>
      <c r="E972" s="242"/>
      <c r="F972" s="257"/>
      <c r="G972" s="242"/>
      <c r="H972" s="257"/>
      <c r="I972" s="242"/>
      <c r="J972" s="249">
        <f>IF(OR(B972="",C972="",E972=""),"",B972&amp;":"&amp;C972&amp;":"&amp;E972)</f>
      </c>
      <c r="K972" s="250">
        <f>IF(A972="","",A972*D972)</f>
      </c>
      <c r="L972" s="249">
        <f>IF(A972="","",IF(OR(A972=1,A972=0),H972,0))</f>
      </c>
      <c r="M972" s="249">
        <f>IF(A972="","",IF(A972=-1,H972,0))</f>
      </c>
      <c r="N972">
        <f>IF($E972="SGD",1,IF($E972="USD",Settings!$B$22,IF($E972="HKD",Settings!$B$23,1)))</f>
      </c>
      <c r="O972">
        <f>IF($J972="",0,($M972-$L972+IF($A972=2,$H972,0))*$N972)</f>
      </c>
      <c r="P972">
        <f>IF($J972="",0,IF($A972=2,$H972*$N972,0))</f>
      </c>
    </row>
    <row r="973" spans="1:16" ht="15" customHeight="1" x14ac:dyDescent="0.15">
      <c r="A973" s="242"/>
      <c r="B973" s="242"/>
      <c r="C973" s="242"/>
      <c r="D973" s="256"/>
      <c r="E973" s="242"/>
      <c r="F973" s="257"/>
      <c r="G973" s="242"/>
      <c r="H973" s="257"/>
      <c r="I973" s="242"/>
      <c r="J973" s="249">
        <f>IF(OR(B973="",C973="",E973=""),"",B973&amp;":"&amp;C973&amp;":"&amp;E973)</f>
      </c>
      <c r="K973" s="250">
        <f>IF(A973="","",A973*D973)</f>
      </c>
      <c r="L973" s="249">
        <f>IF(A973="","",IF(OR(A973=1,A973=0),H973,0))</f>
      </c>
      <c r="M973" s="249">
        <f>IF(A973="","",IF(A973=-1,H973,0))</f>
      </c>
      <c r="N973">
        <f>IF($E973="SGD",1,IF($E973="USD",Settings!$B$22,IF($E973="HKD",Settings!$B$23,1)))</f>
      </c>
      <c r="O973">
        <f>IF($J973="",0,($M973-$L973+IF($A973=2,$H973,0))*$N973)</f>
      </c>
      <c r="P973">
        <f>IF($J973="",0,IF($A973=2,$H973*$N973,0))</f>
      </c>
    </row>
    <row r="974" spans="1:16" ht="15" customHeight="1" x14ac:dyDescent="0.15">
      <c r="A974" s="242"/>
      <c r="B974" s="242"/>
      <c r="C974" s="242"/>
      <c r="D974" s="256"/>
      <c r="E974" s="242"/>
      <c r="F974" s="257"/>
      <c r="G974" s="242"/>
      <c r="H974" s="257"/>
      <c r="I974" s="242"/>
      <c r="J974" s="249">
        <f>IF(OR(B974="",C974="",E974=""),"",B974&amp;":"&amp;C974&amp;":"&amp;E974)</f>
      </c>
      <c r="K974" s="250">
        <f>IF(A974="","",A974*D974)</f>
      </c>
      <c r="L974" s="249">
        <f>IF(A974="","",IF(OR(A974=1,A974=0),H974,0))</f>
      </c>
      <c r="M974" s="249">
        <f>IF(A974="","",IF(A974=-1,H974,0))</f>
      </c>
      <c r="N974">
        <f>IF($E974="SGD",1,IF($E974="USD",Settings!$B$22,IF($E974="HKD",Settings!$B$23,1)))</f>
      </c>
      <c r="O974">
        <f>IF($J974="",0,($M974-$L974+IF($A974=2,$H974,0))*$N974)</f>
      </c>
      <c r="P974">
        <f>IF($J974="",0,IF($A974=2,$H974*$N974,0))</f>
      </c>
    </row>
    <row r="975" spans="1:16" ht="15" customHeight="1" x14ac:dyDescent="0.15">
      <c r="A975" s="242"/>
      <c r="B975" s="242"/>
      <c r="C975" s="242"/>
      <c r="D975" s="256"/>
      <c r="E975" s="242"/>
      <c r="F975" s="257"/>
      <c r="G975" s="242"/>
      <c r="H975" s="257"/>
      <c r="I975" s="242"/>
      <c r="J975" s="249">
        <f>IF(OR(B975="",C975="",E975=""),"",B975&amp;":"&amp;C975&amp;":"&amp;E975)</f>
      </c>
      <c r="K975" s="250">
        <f>IF(A975="","",A975*D975)</f>
      </c>
      <c r="L975" s="249">
        <f>IF(A975="","",IF(OR(A975=1,A975=0),H975,0))</f>
      </c>
      <c r="M975" s="249">
        <f>IF(A975="","",IF(A975=-1,H975,0))</f>
      </c>
      <c r="N975">
        <f>IF($E975="SGD",1,IF($E975="USD",Settings!$B$22,IF($E975="HKD",Settings!$B$23,1)))</f>
      </c>
      <c r="O975">
        <f>IF($J975="",0,($M975-$L975+IF($A975=2,$H975,0))*$N975)</f>
      </c>
      <c r="P975">
        <f>IF($J975="",0,IF($A975=2,$H975*$N975,0))</f>
      </c>
    </row>
    <row r="976" spans="1:16" ht="15" customHeight="1" x14ac:dyDescent="0.15">
      <c r="A976" s="242"/>
      <c r="B976" s="242"/>
      <c r="C976" s="242"/>
      <c r="D976" s="256"/>
      <c r="E976" s="242"/>
      <c r="F976" s="257"/>
      <c r="G976" s="242"/>
      <c r="H976" s="257"/>
      <c r="I976" s="242"/>
      <c r="J976" s="249">
        <f>IF(OR(B976="",C976="",E976=""),"",B976&amp;":"&amp;C976&amp;":"&amp;E976)</f>
      </c>
      <c r="K976" s="250">
        <f>IF(A976="","",A976*D976)</f>
      </c>
      <c r="L976" s="249">
        <f>IF(A976="","",IF(OR(A976=1,A976=0),H976,0))</f>
      </c>
      <c r="M976" s="249">
        <f>IF(A976="","",IF(A976=-1,H976,0))</f>
      </c>
      <c r="N976">
        <f>IF($E976="SGD",1,IF($E976="USD",Settings!$B$22,IF($E976="HKD",Settings!$B$23,1)))</f>
      </c>
      <c r="O976">
        <f>IF($J976="",0,($M976-$L976+IF($A976=2,$H976,0))*$N976)</f>
      </c>
      <c r="P976">
        <f>IF($J976="",0,IF($A976=2,$H976*$N976,0))</f>
      </c>
    </row>
    <row r="977" spans="1:16" ht="15" customHeight="1" x14ac:dyDescent="0.15">
      <c r="A977" s="242"/>
      <c r="B977" s="242"/>
      <c r="C977" s="242"/>
      <c r="D977" s="256"/>
      <c r="E977" s="242"/>
      <c r="F977" s="257"/>
      <c r="G977" s="242"/>
      <c r="H977" s="257"/>
      <c r="I977" s="242"/>
      <c r="J977" s="249">
        <f>IF(OR(B977="",C977="",E977=""),"",B977&amp;":"&amp;C977&amp;":"&amp;E977)</f>
      </c>
      <c r="K977" s="250">
        <f>IF(A977="","",A977*D977)</f>
      </c>
      <c r="L977" s="249">
        <f>IF(A977="","",IF(OR(A977=1,A977=0),H977,0))</f>
      </c>
      <c r="M977" s="249">
        <f>IF(A977="","",IF(A977=-1,H977,0))</f>
      </c>
      <c r="N977">
        <f>IF($E977="SGD",1,IF($E977="USD",Settings!$B$22,IF($E977="HKD",Settings!$B$23,1)))</f>
      </c>
      <c r="O977">
        <f>IF($J977="",0,($M977-$L977+IF($A977=2,$H977,0))*$N977)</f>
      </c>
      <c r="P977">
        <f>IF($J977="",0,IF($A977=2,$H977*$N977,0))</f>
      </c>
    </row>
    <row r="978" spans="1:16" ht="15" customHeight="1" x14ac:dyDescent="0.15">
      <c r="A978" s="242"/>
      <c r="B978" s="242"/>
      <c r="C978" s="242"/>
      <c r="D978" s="256"/>
      <c r="E978" s="242"/>
      <c r="F978" s="257"/>
      <c r="G978" s="242"/>
      <c r="H978" s="257"/>
      <c r="I978" s="242"/>
      <c r="J978" s="249">
        <f>IF(OR(B978="",C978="",E978=""),"",B978&amp;":"&amp;C978&amp;":"&amp;E978)</f>
      </c>
      <c r="K978" s="250">
        <f>IF(A978="","",A978*D978)</f>
      </c>
      <c r="L978" s="249">
        <f>IF(A978="","",IF(OR(A978=1,A978=0),H978,0))</f>
      </c>
      <c r="M978" s="249">
        <f>IF(A978="","",IF(A978=-1,H978,0))</f>
      </c>
      <c r="N978">
        <f>IF($E978="SGD",1,IF($E978="USD",Settings!$B$22,IF($E978="HKD",Settings!$B$23,1)))</f>
      </c>
      <c r="O978">
        <f>IF($J978="",0,($M978-$L978+IF($A978=2,$H978,0))*$N978)</f>
      </c>
      <c r="P978">
        <f>IF($J978="",0,IF($A978=2,$H978*$N978,0))</f>
      </c>
    </row>
    <row r="979" spans="1:16" ht="15" customHeight="1" x14ac:dyDescent="0.15">
      <c r="A979" s="242"/>
      <c r="B979" s="242"/>
      <c r="C979" s="242"/>
      <c r="D979" s="256"/>
      <c r="E979" s="242"/>
      <c r="F979" s="257"/>
      <c r="G979" s="242"/>
      <c r="H979" s="257"/>
      <c r="I979" s="242"/>
      <c r="J979" s="249">
        <f>IF(OR(B979="",C979="",E979=""),"",B979&amp;":"&amp;C979&amp;":"&amp;E979)</f>
      </c>
      <c r="K979" s="250">
        <f>IF(A979="","",A979*D979)</f>
      </c>
      <c r="L979" s="249">
        <f>IF(A979="","",IF(OR(A979=1,A979=0),H979,0))</f>
      </c>
      <c r="M979" s="249">
        <f>IF(A979="","",IF(A979=-1,H979,0))</f>
      </c>
      <c r="N979">
        <f>IF($E979="SGD",1,IF($E979="USD",Settings!$B$22,IF($E979="HKD",Settings!$B$23,1)))</f>
      </c>
      <c r="O979">
        <f>IF($J979="",0,($M979-$L979+IF($A979=2,$H979,0))*$N979)</f>
      </c>
      <c r="P979">
        <f>IF($J979="",0,IF($A979=2,$H979*$N979,0))</f>
      </c>
    </row>
    <row r="980" spans="1:16" ht="15" customHeight="1" x14ac:dyDescent="0.15">
      <c r="A980" s="242"/>
      <c r="B980" s="242"/>
      <c r="C980" s="242"/>
      <c r="D980" s="256"/>
      <c r="E980" s="242"/>
      <c r="F980" s="257"/>
      <c r="G980" s="242"/>
      <c r="H980" s="257"/>
      <c r="I980" s="242"/>
      <c r="J980" s="249">
        <f>IF(OR(B980="",C980="",E980=""),"",B980&amp;":"&amp;C980&amp;":"&amp;E980)</f>
      </c>
      <c r="K980" s="250">
        <f>IF(A980="","",A980*D980)</f>
      </c>
      <c r="L980" s="249">
        <f>IF(A980="","",IF(OR(A980=1,A980=0),H980,0))</f>
      </c>
      <c r="M980" s="249">
        <f>IF(A980="","",IF(A980=-1,H980,0))</f>
      </c>
      <c r="N980">
        <f>IF($E980="SGD",1,IF($E980="USD",Settings!$B$22,IF($E980="HKD",Settings!$B$23,1)))</f>
      </c>
      <c r="O980">
        <f>IF($J980="",0,($M980-$L980+IF($A980=2,$H980,0))*$N980)</f>
      </c>
      <c r="P980">
        <f>IF($J980="",0,IF($A980=2,$H980*$N980,0))</f>
      </c>
    </row>
    <row r="981" spans="1:16" ht="15" customHeight="1" x14ac:dyDescent="0.15">
      <c r="A981" s="242"/>
      <c r="B981" s="242"/>
      <c r="C981" s="242"/>
      <c r="D981" s="256"/>
      <c r="E981" s="242"/>
      <c r="F981" s="257"/>
      <c r="G981" s="242"/>
      <c r="H981" s="257"/>
      <c r="I981" s="242"/>
      <c r="J981" s="249">
        <f>IF(OR(B981="",C981="",E981=""),"",B981&amp;":"&amp;C981&amp;":"&amp;E981)</f>
      </c>
      <c r="K981" s="250">
        <f>IF(A981="","",A981*D981)</f>
      </c>
      <c r="L981" s="249">
        <f>IF(A981="","",IF(OR(A981=1,A981=0),H981,0))</f>
      </c>
      <c r="M981" s="249">
        <f>IF(A981="","",IF(A981=-1,H981,0))</f>
      </c>
      <c r="N981">
        <f>IF($E981="SGD",1,IF($E981="USD",Settings!$B$22,IF($E981="HKD",Settings!$B$23,1)))</f>
      </c>
      <c r="O981">
        <f>IF($J981="",0,($M981-$L981+IF($A981=2,$H981,0))*$N981)</f>
      </c>
      <c r="P981">
        <f>IF($J981="",0,IF($A981=2,$H981*$N981,0))</f>
      </c>
    </row>
    <row r="982" spans="1:16" ht="15" customHeight="1" x14ac:dyDescent="0.15">
      <c r="A982" s="242"/>
      <c r="B982" s="242"/>
      <c r="C982" s="242"/>
      <c r="D982" s="256"/>
      <c r="E982" s="242"/>
      <c r="F982" s="257"/>
      <c r="G982" s="242"/>
      <c r="H982" s="257"/>
      <c r="I982" s="242"/>
      <c r="J982" s="249">
        <f>IF(OR(B982="",C982="",E982=""),"",B982&amp;":"&amp;C982&amp;":"&amp;E982)</f>
      </c>
      <c r="K982" s="250">
        <f>IF(A982="","",A982*D982)</f>
      </c>
      <c r="L982" s="249">
        <f>IF(A982="","",IF(OR(A982=1,A982=0),H982,0))</f>
      </c>
      <c r="M982" s="249">
        <f>IF(A982="","",IF(A982=-1,H982,0))</f>
      </c>
      <c r="N982">
        <f>IF($E982="SGD",1,IF($E982="USD",Settings!$B$22,IF($E982="HKD",Settings!$B$23,1)))</f>
      </c>
      <c r="O982">
        <f>IF($J982="",0,($M982-$L982+IF($A982=2,$H982,0))*$N982)</f>
      </c>
      <c r="P982">
        <f>IF($J982="",0,IF($A982=2,$H982*$N982,0))</f>
      </c>
    </row>
    <row r="983" spans="1:16" ht="15" customHeight="1" x14ac:dyDescent="0.15">
      <c r="A983" s="242"/>
      <c r="B983" s="242"/>
      <c r="C983" s="242"/>
      <c r="D983" s="256"/>
      <c r="E983" s="242"/>
      <c r="F983" s="257"/>
      <c r="G983" s="242"/>
      <c r="H983" s="257"/>
      <c r="I983" s="242"/>
      <c r="J983" s="249">
        <f>IF(OR(B983="",C983="",E983=""),"",B983&amp;":"&amp;C983&amp;":"&amp;E983)</f>
      </c>
      <c r="K983" s="250">
        <f>IF(A983="","",A983*D983)</f>
      </c>
      <c r="L983" s="249">
        <f>IF(A983="","",IF(OR(A983=1,A983=0),H983,0))</f>
      </c>
      <c r="M983" s="249">
        <f>IF(A983="","",IF(A983=-1,H983,0))</f>
      </c>
      <c r="N983">
        <f>IF($E983="SGD",1,IF($E983="USD",Settings!$B$22,IF($E983="HKD",Settings!$B$23,1)))</f>
      </c>
      <c r="O983">
        <f>IF($J983="",0,($M983-$L983+IF($A983=2,$H983,0))*$N983)</f>
      </c>
      <c r="P983">
        <f>IF($J983="",0,IF($A983=2,$H983*$N983,0))</f>
      </c>
    </row>
    <row r="984" spans="1:16" ht="15" customHeight="1" x14ac:dyDescent="0.15">
      <c r="A984" s="242"/>
      <c r="B984" s="242"/>
      <c r="C984" s="242"/>
      <c r="D984" s="256"/>
      <c r="E984" s="242"/>
      <c r="F984" s="257"/>
      <c r="G984" s="242"/>
      <c r="H984" s="257"/>
      <c r="I984" s="242"/>
      <c r="J984" s="249">
        <f>IF(OR(B984="",C984="",E984=""),"",B984&amp;":"&amp;C984&amp;":"&amp;E984)</f>
      </c>
      <c r="K984" s="250">
        <f>IF(A984="","",A984*D984)</f>
      </c>
      <c r="L984" s="249">
        <f>IF(A984="","",IF(OR(A984=1,A984=0),H984,0))</f>
      </c>
      <c r="M984" s="249">
        <f>IF(A984="","",IF(A984=-1,H984,0))</f>
      </c>
      <c r="N984">
        <f>IF($E984="SGD",1,IF($E984="USD",Settings!$B$22,IF($E984="HKD",Settings!$B$23,1)))</f>
      </c>
      <c r="O984">
        <f>IF($J984="",0,($M984-$L984+IF($A984=2,$H984,0))*$N984)</f>
      </c>
      <c r="P984">
        <f>IF($J984="",0,IF($A984=2,$H984*$N984,0))</f>
      </c>
    </row>
    <row r="985" spans="1:16" ht="15" customHeight="1" x14ac:dyDescent="0.15">
      <c r="A985" s="242"/>
      <c r="B985" s="242"/>
      <c r="C985" s="242"/>
      <c r="D985" s="256"/>
      <c r="E985" s="242"/>
      <c r="F985" s="257"/>
      <c r="G985" s="242"/>
      <c r="H985" s="257"/>
      <c r="I985" s="242"/>
      <c r="J985" s="249">
        <f>IF(OR(B985="",C985="",E985=""),"",B985&amp;":"&amp;C985&amp;":"&amp;E985)</f>
      </c>
      <c r="K985" s="250">
        <f>IF(A985="","",A985*D985)</f>
      </c>
      <c r="L985" s="249">
        <f>IF(A985="","",IF(OR(A985=1,A985=0),H985,0))</f>
      </c>
      <c r="M985" s="249">
        <f>IF(A985="","",IF(A985=-1,H985,0))</f>
      </c>
      <c r="N985">
        <f>IF($E985="SGD",1,IF($E985="USD",Settings!$B$22,IF($E985="HKD",Settings!$B$23,1)))</f>
      </c>
      <c r="O985">
        <f>IF($J985="",0,($M985-$L985+IF($A985=2,$H985,0))*$N985)</f>
      </c>
      <c r="P985">
        <f>IF($J985="",0,IF($A985=2,$H985*$N985,0))</f>
      </c>
    </row>
    <row r="986" spans="1:16" ht="15" customHeight="1" x14ac:dyDescent="0.15">
      <c r="A986" s="242"/>
      <c r="B986" s="242"/>
      <c r="C986" s="242"/>
      <c r="D986" s="256"/>
      <c r="E986" s="242"/>
      <c r="F986" s="257"/>
      <c r="G986" s="242"/>
      <c r="H986" s="257"/>
      <c r="I986" s="242"/>
      <c r="J986" s="249">
        <f>IF(OR(B986="",C986="",E986=""),"",B986&amp;":"&amp;C986&amp;":"&amp;E986)</f>
      </c>
      <c r="K986" s="250">
        <f>IF(A986="","",A986*D986)</f>
      </c>
      <c r="L986" s="249">
        <f>IF(A986="","",IF(OR(A986=1,A986=0),H986,0))</f>
      </c>
      <c r="M986" s="249">
        <f>IF(A986="","",IF(A986=-1,H986,0))</f>
      </c>
      <c r="N986">
        <f>IF($E986="SGD",1,IF($E986="USD",Settings!$B$22,IF($E986="HKD",Settings!$B$23,1)))</f>
      </c>
      <c r="O986">
        <f>IF($J986="",0,($M986-$L986+IF($A986=2,$H986,0))*$N986)</f>
      </c>
      <c r="P986">
        <f>IF($J986="",0,IF($A986=2,$H986*$N986,0))</f>
      </c>
    </row>
    <row r="987" spans="1:16" ht="15" customHeight="1" x14ac:dyDescent="0.15">
      <c r="A987" s="242"/>
      <c r="B987" s="242"/>
      <c r="C987" s="242"/>
      <c r="D987" s="256"/>
      <c r="E987" s="242"/>
      <c r="F987" s="257"/>
      <c r="G987" s="242"/>
      <c r="H987" s="257"/>
      <c r="I987" s="242"/>
      <c r="J987" s="249">
        <f>IF(OR(B987="",C987="",E987=""),"",B987&amp;":"&amp;C987&amp;":"&amp;E987)</f>
      </c>
      <c r="K987" s="250">
        <f>IF(A987="","",A987*D987)</f>
      </c>
      <c r="L987" s="249">
        <f>IF(A987="","",IF(OR(A987=1,A987=0),H987,0))</f>
      </c>
      <c r="M987" s="249">
        <f>IF(A987="","",IF(A987=-1,H987,0))</f>
      </c>
      <c r="N987">
        <f>IF($E987="SGD",1,IF($E987="USD",Settings!$B$22,IF($E987="HKD",Settings!$B$23,1)))</f>
      </c>
      <c r="O987">
        <f>IF($J987="",0,($M987-$L987+IF($A987=2,$H987,0))*$N987)</f>
      </c>
      <c r="P987">
        <f>IF($J987="",0,IF($A987=2,$H987*$N987,0))</f>
      </c>
    </row>
    <row r="988" spans="1:16" ht="15" customHeight="1" x14ac:dyDescent="0.15">
      <c r="A988" s="242"/>
      <c r="B988" s="242"/>
      <c r="C988" s="242"/>
      <c r="D988" s="256"/>
      <c r="E988" s="242"/>
      <c r="F988" s="257"/>
      <c r="G988" s="242"/>
      <c r="H988" s="257"/>
      <c r="I988" s="242"/>
      <c r="J988" s="249">
        <f>IF(OR(B988="",C988="",E988=""),"",B988&amp;":"&amp;C988&amp;":"&amp;E988)</f>
      </c>
      <c r="K988" s="250">
        <f>IF(A988="","",A988*D988)</f>
      </c>
      <c r="L988" s="249">
        <f>IF(A988="","",IF(OR(A988=1,A988=0),H988,0))</f>
      </c>
      <c r="M988" s="249">
        <f>IF(A988="","",IF(A988=-1,H988,0))</f>
      </c>
      <c r="N988">
        <f>IF($E988="SGD",1,IF($E988="USD",Settings!$B$22,IF($E988="HKD",Settings!$B$23,1)))</f>
      </c>
      <c r="O988">
        <f>IF($J988="",0,($M988-$L988+IF($A988=2,$H988,0))*$N988)</f>
      </c>
      <c r="P988">
        <f>IF($J988="",0,IF($A988=2,$H988*$N988,0))</f>
      </c>
    </row>
    <row r="989" spans="1:16" ht="15" customHeight="1" x14ac:dyDescent="0.15">
      <c r="A989" s="242"/>
      <c r="B989" s="242"/>
      <c r="C989" s="242"/>
      <c r="D989" s="256"/>
      <c r="E989" s="242"/>
      <c r="F989" s="257"/>
      <c r="G989" s="242"/>
      <c r="H989" s="257"/>
      <c r="I989" s="242"/>
      <c r="J989" s="249">
        <f>IF(OR(B989="",C989="",E989=""),"",B989&amp;":"&amp;C989&amp;":"&amp;E989)</f>
      </c>
      <c r="K989" s="250">
        <f>IF(A989="","",A989*D989)</f>
      </c>
      <c r="L989" s="249">
        <f>IF(A989="","",IF(OR(A989=1,A989=0),H989,0))</f>
      </c>
      <c r="M989" s="249">
        <f>IF(A989="","",IF(A989=-1,H989,0))</f>
      </c>
      <c r="N989">
        <f>IF($E989="SGD",1,IF($E989="USD",Settings!$B$22,IF($E989="HKD",Settings!$B$23,1)))</f>
      </c>
      <c r="O989">
        <f>IF($J989="",0,($M989-$L989+IF($A989=2,$H989,0))*$N989)</f>
      </c>
      <c r="P989">
        <f>IF($J989="",0,IF($A989=2,$H989*$N989,0))</f>
      </c>
    </row>
    <row r="990" spans="1:16" ht="15" customHeight="1" x14ac:dyDescent="0.15">
      <c r="A990" s="242"/>
      <c r="B990" s="242"/>
      <c r="C990" s="242"/>
      <c r="D990" s="256"/>
      <c r="E990" s="242"/>
      <c r="F990" s="257"/>
      <c r="G990" s="242"/>
      <c r="H990" s="257"/>
      <c r="I990" s="242"/>
      <c r="J990" s="249">
        <f>IF(OR(B990="",C990="",E990=""),"",B990&amp;":"&amp;C990&amp;":"&amp;E990)</f>
      </c>
      <c r="K990" s="250">
        <f>IF(A990="","",A990*D990)</f>
      </c>
      <c r="L990" s="249">
        <f>IF(A990="","",IF(OR(A990=1,A990=0),H990,0))</f>
      </c>
      <c r="M990" s="249">
        <f>IF(A990="","",IF(A990=-1,H990,0))</f>
      </c>
      <c r="N990">
        <f>IF($E990="SGD",1,IF($E990="USD",Settings!$B$22,IF($E990="HKD",Settings!$B$23,1)))</f>
      </c>
      <c r="O990">
        <f>IF($J990="",0,($M990-$L990+IF($A990=2,$H990,0))*$N990)</f>
      </c>
      <c r="P990">
        <f>IF($J990="",0,IF($A990=2,$H990*$N990,0))</f>
      </c>
    </row>
    <row r="991" spans="1:16" ht="15" customHeight="1" x14ac:dyDescent="0.15">
      <c r="A991" s="242"/>
      <c r="B991" s="242"/>
      <c r="C991" s="242"/>
      <c r="D991" s="256"/>
      <c r="E991" s="242"/>
      <c r="F991" s="257"/>
      <c r="G991" s="242"/>
      <c r="H991" s="257"/>
      <c r="I991" s="242"/>
      <c r="J991" s="249">
        <f>IF(OR(B991="",C991="",E991=""),"",B991&amp;":"&amp;C991&amp;":"&amp;E991)</f>
      </c>
      <c r="K991" s="250">
        <f>IF(A991="","",A991*D991)</f>
      </c>
      <c r="L991" s="249">
        <f>IF(A991="","",IF(OR(A991=1,A991=0),H991,0))</f>
      </c>
      <c r="M991" s="249">
        <f>IF(A991="","",IF(A991=-1,H991,0))</f>
      </c>
      <c r="N991">
        <f>IF($E991="SGD",1,IF($E991="USD",Settings!$B$22,IF($E991="HKD",Settings!$B$23,1)))</f>
      </c>
      <c r="O991">
        <f>IF($J991="",0,($M991-$L991+IF($A991=2,$H991,0))*$N991)</f>
      </c>
      <c r="P991">
        <f>IF($J991="",0,IF($A991=2,$H991*$N991,0))</f>
      </c>
    </row>
    <row r="992" spans="1:16" ht="15" customHeight="1" x14ac:dyDescent="0.15">
      <c r="A992" s="242"/>
      <c r="B992" s="242"/>
      <c r="C992" s="242"/>
      <c r="D992" s="256"/>
      <c r="E992" s="242"/>
      <c r="F992" s="257"/>
      <c r="G992" s="242"/>
      <c r="H992" s="257"/>
      <c r="I992" s="242"/>
      <c r="J992" s="249">
        <f>IF(OR(B992="",C992="",E992=""),"",B992&amp;":"&amp;C992&amp;":"&amp;E992)</f>
      </c>
      <c r="K992" s="250">
        <f>IF(A992="","",A992*D992)</f>
      </c>
      <c r="L992" s="249">
        <f>IF(A992="","",IF(OR(A992=1,A992=0),H992,0))</f>
      </c>
      <c r="M992" s="249">
        <f>IF(A992="","",IF(A992=-1,H992,0))</f>
      </c>
      <c r="N992">
        <f>IF($E992="SGD",1,IF($E992="USD",Settings!$B$22,IF($E992="HKD",Settings!$B$23,1)))</f>
      </c>
      <c r="O992">
        <f>IF($J992="",0,($M992-$L992+IF($A992=2,$H992,0))*$N992)</f>
      </c>
      <c r="P992">
        <f>IF($J992="",0,IF($A992=2,$H992*$N992,0))</f>
      </c>
    </row>
    <row r="993" spans="1:16" ht="15" customHeight="1" x14ac:dyDescent="0.15">
      <c r="A993" s="242"/>
      <c r="B993" s="242"/>
      <c r="C993" s="242"/>
      <c r="D993" s="256"/>
      <c r="E993" s="242"/>
      <c r="F993" s="257"/>
      <c r="G993" s="242"/>
      <c r="H993" s="257"/>
      <c r="I993" s="242"/>
      <c r="J993" s="249">
        <f>IF(OR(B993="",C993="",E993=""),"",B993&amp;":"&amp;C993&amp;":"&amp;E993)</f>
      </c>
      <c r="K993" s="250">
        <f>IF(A993="","",A993*D993)</f>
      </c>
      <c r="L993" s="249">
        <f>IF(A993="","",IF(OR(A993=1,A993=0),H993,0))</f>
      </c>
      <c r="M993" s="249">
        <f>IF(A993="","",IF(A993=-1,H993,0))</f>
      </c>
      <c r="N993">
        <f>IF($E993="SGD",1,IF($E993="USD",Settings!$B$22,IF($E993="HKD",Settings!$B$23,1)))</f>
      </c>
      <c r="O993">
        <f>IF($J993="",0,($M993-$L993+IF($A993=2,$H993,0))*$N993)</f>
      </c>
      <c r="P993">
        <f>IF($J993="",0,IF($A993=2,$H993*$N993,0))</f>
      </c>
    </row>
    <row r="994" spans="1:16" ht="15" customHeight="1" x14ac:dyDescent="0.15">
      <c r="A994" s="242"/>
      <c r="B994" s="242"/>
      <c r="C994" s="242"/>
      <c r="D994" s="256"/>
      <c r="E994" s="242"/>
      <c r="F994" s="257"/>
      <c r="G994" s="242"/>
      <c r="H994" s="257"/>
      <c r="I994" s="242"/>
      <c r="J994" s="249">
        <f>IF(OR(B994="",C994="",E994=""),"",B994&amp;":"&amp;C994&amp;":"&amp;E994)</f>
      </c>
      <c r="K994" s="250">
        <f>IF(A994="","",A994*D994)</f>
      </c>
      <c r="L994" s="249">
        <f>IF(A994="","",IF(OR(A994=1,A994=0),H994,0))</f>
      </c>
      <c r="M994" s="249">
        <f>IF(A994="","",IF(A994=-1,H994,0))</f>
      </c>
      <c r="N994">
        <f>IF($E994="SGD",1,IF($E994="USD",Settings!$B$22,IF($E994="HKD",Settings!$B$23,1)))</f>
      </c>
      <c r="O994">
        <f>IF($J994="",0,($M994-$L994+IF($A994=2,$H994,0))*$N994)</f>
      </c>
      <c r="P994">
        <f>IF($J994="",0,IF($A994=2,$H994*$N994,0))</f>
      </c>
    </row>
    <row r="995" spans="1:16" ht="15" customHeight="1" x14ac:dyDescent="0.15">
      <c r="A995" s="242"/>
      <c r="B995" s="242"/>
      <c r="C995" s="242"/>
      <c r="D995" s="256"/>
      <c r="E995" s="242"/>
      <c r="F995" s="257"/>
      <c r="G995" s="242"/>
      <c r="H995" s="257"/>
      <c r="I995" s="242"/>
      <c r="J995" s="249">
        <f>IF(OR(B995="",C995="",E995=""),"",B995&amp;":"&amp;C995&amp;":"&amp;E995)</f>
      </c>
      <c r="K995" s="250">
        <f>IF(A995="","",A995*D995)</f>
      </c>
      <c r="L995" s="249">
        <f>IF(A995="","",IF(OR(A995=1,A995=0),H995,0))</f>
      </c>
      <c r="M995" s="249">
        <f>IF(A995="","",IF(A995=-1,H995,0))</f>
      </c>
      <c r="N995">
        <f>IF($E995="SGD",1,IF($E995="USD",Settings!$B$22,IF($E995="HKD",Settings!$B$23,1)))</f>
      </c>
      <c r="O995">
        <f>IF($J995="",0,($M995-$L995+IF($A995=2,$H995,0))*$N995)</f>
      </c>
      <c r="P995">
        <f>IF($J995="",0,IF($A995=2,$H995*$N995,0))</f>
      </c>
    </row>
    <row r="996" spans="1:16" ht="15" customHeight="1" x14ac:dyDescent="0.15">
      <c r="A996" s="242"/>
      <c r="B996" s="242"/>
      <c r="C996" s="242"/>
      <c r="D996" s="256"/>
      <c r="E996" s="242"/>
      <c r="F996" s="257"/>
      <c r="G996" s="242"/>
      <c r="H996" s="257"/>
      <c r="I996" s="242"/>
      <c r="J996" s="249">
        <f>IF(OR(B996="",C996="",E996=""),"",B996&amp;":"&amp;C996&amp;":"&amp;E996)</f>
      </c>
      <c r="K996" s="250">
        <f>IF(A996="","",A996*D996)</f>
      </c>
      <c r="L996" s="249">
        <f>IF(A996="","",IF(OR(A996=1,A996=0),H996,0))</f>
      </c>
      <c r="M996" s="249">
        <f>IF(A996="","",IF(A996=-1,H996,0))</f>
      </c>
      <c r="N996">
        <f>IF($E996="SGD",1,IF($E996="USD",Settings!$B$22,IF($E996="HKD",Settings!$B$23,1)))</f>
      </c>
      <c r="O996">
        <f>IF($J996="",0,($M996-$L996+IF($A996=2,$H996,0))*$N996)</f>
      </c>
      <c r="P996">
        <f>IF($J996="",0,IF($A996=2,$H996*$N996,0))</f>
      </c>
    </row>
    <row r="997" spans="1:16" ht="15" customHeight="1" x14ac:dyDescent="0.15">
      <c r="A997" s="242"/>
      <c r="B997" s="242"/>
      <c r="C997" s="242"/>
      <c r="D997" s="256"/>
      <c r="E997" s="242"/>
      <c r="F997" s="257"/>
      <c r="G997" s="242"/>
      <c r="H997" s="257"/>
      <c r="I997" s="242"/>
      <c r="J997" s="249">
        <f>IF(OR(B997="",C997="",E997=""),"",B997&amp;":"&amp;C997&amp;":"&amp;E997)</f>
      </c>
      <c r="K997" s="250">
        <f>IF(A997="","",A997*D997)</f>
      </c>
      <c r="L997" s="249">
        <f>IF(A997="","",IF(OR(A997=1,A997=0),H997,0))</f>
      </c>
      <c r="M997" s="249">
        <f>IF(A997="","",IF(A997=-1,H997,0))</f>
      </c>
      <c r="N997">
        <f>IF($E997="SGD",1,IF($E997="USD",Settings!$B$22,IF($E997="HKD",Settings!$B$23,1)))</f>
      </c>
      <c r="O997">
        <f>IF($J997="",0,($M997-$L997+IF($A997=2,$H997,0))*$N997)</f>
      </c>
      <c r="P997">
        <f>IF($J997="",0,IF($A997=2,$H997*$N997,0))</f>
      </c>
    </row>
    <row r="998" spans="1:16" ht="15" customHeight="1" x14ac:dyDescent="0.15">
      <c r="A998" s="242"/>
      <c r="B998" s="242"/>
      <c r="C998" s="242"/>
      <c r="D998" s="256"/>
      <c r="E998" s="242"/>
      <c r="F998" s="257"/>
      <c r="G998" s="242"/>
      <c r="H998" s="257"/>
      <c r="I998" s="242"/>
      <c r="J998" s="249">
        <f>IF(OR(B998="",C998="",E998=""),"",B998&amp;":"&amp;C998&amp;":"&amp;E998)</f>
      </c>
      <c r="K998" s="250">
        <f>IF(A998="","",A998*D998)</f>
      </c>
      <c r="L998" s="249">
        <f>IF(A998="","",IF(OR(A998=1,A998=0),H998,0))</f>
      </c>
      <c r="M998" s="249">
        <f>IF(A998="","",IF(A998=-1,H998,0))</f>
      </c>
      <c r="N998">
        <f>IF($E998="SGD",1,IF($E998="USD",Settings!$B$22,IF($E998="HKD",Settings!$B$23,1)))</f>
      </c>
      <c r="O998">
        <f>IF($J998="",0,($M998-$L998+IF($A998=2,$H998,0))*$N998)</f>
      </c>
      <c r="P998">
        <f>IF($J998="",0,IF($A998=2,$H998*$N998,0))</f>
      </c>
    </row>
    <row r="999" spans="1:16" ht="15" customHeight="1" x14ac:dyDescent="0.15">
      <c r="A999" s="242"/>
      <c r="B999" s="242"/>
      <c r="C999" s="242"/>
      <c r="D999" s="256"/>
      <c r="E999" s="242"/>
      <c r="F999" s="257"/>
      <c r="G999" s="242"/>
      <c r="H999" s="257"/>
      <c r="I999" s="242"/>
      <c r="J999" s="249">
        <f>IF(OR(B999="",C999="",E999=""),"",B999&amp;":"&amp;C999&amp;":"&amp;E999)</f>
      </c>
      <c r="K999" s="250">
        <f>IF(A999="","",A999*D999)</f>
      </c>
      <c r="L999" s="249">
        <f>IF(A999="","",IF(OR(A999=1,A999=0),H999,0))</f>
      </c>
      <c r="M999" s="249">
        <f>IF(A999="","",IF(A999=-1,H999,0))</f>
      </c>
      <c r="N999">
        <f>IF($E999="SGD",1,IF($E999="USD",Settings!$B$22,IF($E999="HKD",Settings!$B$23,1)))</f>
      </c>
      <c r="O999">
        <f>IF($J999="",0,($M999-$L999+IF($A999=2,$H999,0))*$N999)</f>
      </c>
      <c r="P999">
        <f>IF($J999="",0,IF($A999=2,$H999*$N999,0))</f>
      </c>
    </row>
    <row r="1000" spans="1:16" ht="15" customHeight="1" x14ac:dyDescent="0.15">
      <c r="A1000" s="242"/>
      <c r="B1000" s="242"/>
      <c r="C1000" s="242"/>
      <c r="D1000" s="256"/>
      <c r="E1000" s="242"/>
      <c r="F1000" s="257"/>
      <c r="G1000" s="242"/>
      <c r="H1000" s="257"/>
      <c r="I1000" s="242"/>
      <c r="J1000" s="249">
        <f>IF(OR(B1000="",C1000="",E1000=""),"",B1000&amp;":"&amp;C1000&amp;":"&amp;E1000)</f>
      </c>
      <c r="K1000" s="250">
        <f>IF(A1000="","",A1000*D1000)</f>
      </c>
      <c r="L1000" s="249">
        <f>IF(A1000="","",IF(OR(A1000=1,A1000=0),H1000,0))</f>
      </c>
      <c r="M1000" s="249">
        <f>IF(A1000="","",IF(A1000=-1,H1000,0))</f>
      </c>
      <c r="N1000">
        <f>IF($E1000="SGD",1,IF($E1000="USD",Settings!$B$22,IF($E1000="HKD",Settings!$B$23,1)))</f>
      </c>
      <c r="O1000">
        <f>IF($J1000="",0,($M1000-$L1000+IF($A1000=2,$H1000,0))*$N1000)</f>
      </c>
      <c r="P1000">
        <f>IF($J1000="",0,IF($A1000=2,$H1000*$N1000,0))</f>
      </c>
    </row>
    <row r="1048576" ht="15" customHeight="1" x14ac:dyDescent="0.15"/>
  </sheetData>
  <conditionalFormatting sqref="R1">
    <cfRule type="containsText" dxfId="15" priority="1" operator="containsText" text="WARNING">
      <formula>NOT(ISERROR(SEARCH("WARNING",R1)))</formula>
    </cfRule>
  </conditionalFormatting>
  <dataValidations count="3">
    <dataValidation type="list" errorStyle="warning" allowBlank="1" showErrorMessage="1" errorTitle="Unusual action code" error="Expected 1 (buy), -1 (sell), 0 (fee) or 2 (dividend received). Click Yes to keep it anyway." sqref="A2:A1001"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1"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1"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Q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7" ht="15" customHeight="1" x14ac:dyDescent="0.2">
      <c r="A1" s="243" t="s">
        <v>395</v>
      </c>
      <c r="B1" s="243" t="s">
        <v>387</v>
      </c>
      <c r="C1" s="243" t="s">
        <v>388</v>
      </c>
      <c r="D1" s="243" t="s">
        <v>390</v>
      </c>
      <c r="E1" s="243" t="s">
        <v>423</v>
      </c>
      <c r="F1" s="243" t="s">
        <v>424</v>
      </c>
      <c r="G1" s="243" t="s">
        <v>202</v>
      </c>
      <c r="H1" s="243" t="s">
        <v>228</v>
      </c>
      <c r="J1" s="243" t="inlineStr">
        <is>
          <t>TICKER SYNC (live)</t>
        </is>
      </c>
      <c r="M1" s="243" t="inlineStr">
        <is>
          <t>Missing:</t>
        </is>
      </c>
      <c r="N1">
        <f>COUNTIF($N$4:$N$501,"ADD TO PRICES")</f>
      </c>
      <c r="P1" s="243" t="inlineStr">
        <is>
          <t>Stale:</t>
        </is>
      </c>
      <c r="Q1">
        <f>COUNTIF($Q$4:$Q$501,"NOT HELD - review")</f>
      </c>
    </row>
    <row r="2" spans="1:17" ht="15" customHeight="1" x14ac:dyDescent="0.15">
      <c r="A2" s="258" t="s">
        <v>425</v>
      </c>
      <c r="B2" s="313" t="s">
        <v>399</v>
      </c>
      <c r="C2" s="313" t="s">
        <v>400</v>
      </c>
      <c r="D2" s="313" t="s">
        <v>401</v>
      </c>
      <c r="E2" s="260">
        <v>111.61</v>
      </c>
      <c r="F2" s="261">
        <f>IF($D2="SGD",1,IF($D2="USD",Settings!$B$22,IF($D2="HKD",Settings!$B$23,1)))</f>
        <v>1</v>
      </c>
      <c r="G2" s="313" t="s">
        <v>426</v>
      </c>
      <c r="H2" s="313" t="s">
        <v>427</v>
      </c>
      <c r="J2" s="243" t="inlineStr">
        <is>
          <t>Held now -&gt; in Prices?</t>
        </is>
      </c>
      <c r="P2" s="243" t="inlineStr">
        <is>
          <t>Prices rows -&gt; still held?</t>
        </is>
      </c>
    </row>
    <row r="3" spans="1:17" ht="15" customHeight="1" x14ac:dyDescent="0.15">
      <c r="A3" s="258" t="s">
        <v>428</v>
      </c>
      <c r="B3" s="313" t="s">
        <v>409</v>
      </c>
      <c r="C3" s="313" t="s">
        <v>410</v>
      </c>
      <c r="D3" s="313" t="s">
        <v>407</v>
      </c>
      <c r="E3" s="260">
        <v>102509.66</v>
      </c>
      <c r="F3" s="261">
        <f>IF($D3="SGD",1,IF($D3="USD",Settings!$B$22,IF($D3="HKD",Settings!$B$23,1)))</f>
        <v>1.2928081084924601</v>
      </c>
      <c r="G3" s="313" t="s">
        <v>426</v>
      </c>
      <c r="H3" s="313" t="s">
        <v>429</v>
      </c>
      <c r="J3" s="243" t="inlineStr">
        <is>
          <t>Key</t>
        </is>
      </c>
      <c r="K3" s="243" t="inlineStr">
        <is>
          <t>Exchange</t>
        </is>
      </c>
      <c r="L3" s="243" t="inlineStr">
        <is>
          <t>Symbol</t>
        </is>
      </c>
      <c r="M3" s="243" t="inlineStr">
        <is>
          <t>Currency</t>
        </is>
      </c>
      <c r="N3" s="243" t="inlineStr">
        <is>
          <t>Status</t>
        </is>
      </c>
      <c r="P3" s="243" t="inlineStr">
        <is>
          <t>Key</t>
        </is>
      </c>
      <c r="Q3" s="243" t="inlineStr">
        <is>
          <t>Status</t>
        </is>
      </c>
    </row>
    <row r="4" spans="1:17" ht="15" customHeight="1" x14ac:dyDescent="0.15">
      <c r="A4" s="258" t="s">
        <v>430</v>
      </c>
      <c r="B4" s="313" t="s">
        <v>411</v>
      </c>
      <c r="C4" s="313" t="s">
        <v>412</v>
      </c>
      <c r="D4" s="313" t="s">
        <v>413</v>
      </c>
      <c r="E4" s="260">
        <v>488.2</v>
      </c>
      <c r="F4" s="261">
        <f>IF($D4="SGD",1,IF($D4="USD",Settings!$B$22,IF($D4="HKD",Settings!$B$23,1)))</f>
        <v>0.16489949375855401</v>
      </c>
      <c r="G4" s="313" t="s">
        <v>426</v>
      </c>
      <c r="H4" s="313" t="s">
        <v>431</v>
      </c>
      <c r="J4">
        <f>IF(Shares!$A2="","",Shares!$A2)</f>
      </c>
      <c r="K4">
        <f>IF($J4="","",LEFT($J4,FIND(":",$J4)-1))</f>
      </c>
      <c r="L4">
        <f>IF($J4="","",MID($J4,FIND(":",$J4)+1,FIND(":",$J4,FIND(":",$J4)+1)-FIND(":",$J4)-1))</f>
      </c>
      <c r="M4">
        <f>IF($J4="","",RIGHT($J4,LEN($J4)-FIND(":",$J4,FIND(":",$J4)+1)))</f>
      </c>
      <c r="N4">
        <f>IF($J4="","",IF(ISNUMBER(MATCH($J4,Prices[Key],0)),"OK - in Prices","ADD TO PRICES"))</f>
      </c>
      <c r="P4">
        <f>IFERROR(INDEX(Prices[Key],ROWS($P$4:P4)),"")</f>
      </c>
      <c r="Q4">
        <f>IF($P4="","",IF(ISNUMBER(MATCH($P4,Shares!$A$2:$A$1001,0)),"held","NOT HELD - review"))</f>
      </c>
    </row>
    <row r="5" spans="1:17" ht="15" customHeight="1" x14ac:dyDescent="0.15">
      <c r="A5" s="258" t="s">
        <v>432</v>
      </c>
      <c r="B5" s="313" t="s">
        <v>403</v>
      </c>
      <c r="C5" s="313" t="s">
        <v>416</v>
      </c>
      <c r="D5" s="313" t="s">
        <v>401</v>
      </c>
      <c r="E5" s="260">
        <v>2.74</v>
      </c>
      <c r="F5" s="261">
        <f>IF($D5="SGD",1,IF($D5="USD",Settings!$B$22,IF($D5="HKD",Settings!$B$23,1)))</f>
        <v>1</v>
      </c>
      <c r="G5" s="313" t="s">
        <v>426</v>
      </c>
      <c r="H5" s="313" t="s">
        <v>433</v>
      </c>
      <c r="J5">
        <f>IF(Shares!$A3="","",Shares!$A3)</f>
      </c>
      <c r="K5">
        <f>IF($J5="","",LEFT($J5,FIND(":",$J5)-1))</f>
      </c>
      <c r="L5">
        <f>IF($J5="","",MID($J5,FIND(":",$J5)+1,FIND(":",$J5,FIND(":",$J5)+1)-FIND(":",$J5)-1))</f>
      </c>
      <c r="M5">
        <f>IF($J5="","",RIGHT($J5,LEN($J5)-FIND(":",$J5,FIND(":",$J5)+1)))</f>
      </c>
      <c r="N5">
        <f>IF($J5="","",IF(ISNUMBER(MATCH($J5,Prices[Key],0)),"OK - in Prices","ADD TO PRICES"))</f>
      </c>
      <c r="P5">
        <f>IFERROR(INDEX(Prices[Key],ROWS($P$4:P5)),"")</f>
      </c>
      <c r="Q5">
        <f>IF($P5="","",IF(ISNUMBER(MATCH($P5,Shares!$A$2:$A$1001,0)),"held","NOT HELD - review"))</f>
      </c>
    </row>
    <row r="6" spans="1:17" ht="15" customHeight="1" x14ac:dyDescent="0.15">
      <c r="A6" s="258" t="s">
        <v>434</v>
      </c>
      <c r="B6" s="313" t="s">
        <v>403</v>
      </c>
      <c r="C6" s="313" t="s">
        <v>408</v>
      </c>
      <c r="D6" s="313" t="s">
        <v>401</v>
      </c>
      <c r="E6" s="260">
        <v>2.04</v>
      </c>
      <c r="F6" s="261">
        <f>IF($D6="SGD",1,IF($D6="USD",Settings!$B$22,IF($D6="HKD",Settings!$B$23,1)))</f>
        <v>1</v>
      </c>
      <c r="G6" s="313" t="s">
        <v>426</v>
      </c>
      <c r="H6" s="313" t="s">
        <v>433</v>
      </c>
      <c r="J6">
        <f>IF(Shares!$A4="","",Shares!$A4)</f>
      </c>
      <c r="K6">
        <f>IF($J6="","",LEFT($J6,FIND(":",$J6)-1))</f>
      </c>
      <c r="L6">
        <f>IF($J6="","",MID($J6,FIND(":",$J6)+1,FIND(":",$J6,FIND(":",$J6)+1)-FIND(":",$J6)-1))</f>
      </c>
      <c r="M6">
        <f>IF($J6="","",RIGHT($J6,LEN($J6)-FIND(":",$J6,FIND(":",$J6)+1)))</f>
      </c>
      <c r="N6">
        <f>IF($J6="","",IF(ISNUMBER(MATCH($J6,Prices[Key],0)),"OK - in Prices","ADD TO PRICES"))</f>
      </c>
      <c r="P6">
        <f>IFERROR(INDEX(Prices[Key],ROWS($P$4:P6)),"")</f>
      </c>
      <c r="Q6">
        <f>IF($P6="","",IF(ISNUMBER(MATCH($P6,Shares!$A$2:$A$1001,0)),"held","NOT HELD - review"))</f>
      </c>
    </row>
    <row r="7" spans="1:17" ht="15" customHeight="1" x14ac:dyDescent="0.15">
      <c r="A7" s="258" t="s">
        <v>435</v>
      </c>
      <c r="B7" s="313" t="s">
        <v>403</v>
      </c>
      <c r="C7" s="313" t="s">
        <v>419</v>
      </c>
      <c r="D7" s="313" t="s">
        <v>401</v>
      </c>
      <c r="E7" s="260">
        <v>0.81499999999999995</v>
      </c>
      <c r="F7" s="261">
        <f>IF($D7="SGD",1,IF($D7="USD",Settings!$B$22,IF($D7="HKD",Settings!$B$23,1)))</f>
        <v>1</v>
      </c>
      <c r="G7" s="313" t="s">
        <v>426</v>
      </c>
      <c r="H7" s="313" t="s">
        <v>436</v>
      </c>
      <c r="J7">
        <f>IF(Shares!$A5="","",Shares!$A5)</f>
      </c>
      <c r="K7">
        <f>IF($J7="","",LEFT($J7,FIND(":",$J7)-1))</f>
      </c>
      <c r="L7">
        <f>IF($J7="","",MID($J7,FIND(":",$J7)+1,FIND(":",$J7,FIND(":",$J7)+1)-FIND(":",$J7)-1))</f>
      </c>
      <c r="M7">
        <f>IF($J7="","",RIGHT($J7,LEN($J7)-FIND(":",$J7,FIND(":",$J7)+1)))</f>
      </c>
      <c r="N7">
        <f>IF($J7="","",IF(ISNUMBER(MATCH($J7,Prices[Key],0)),"OK - in Prices","ADD TO PRICES"))</f>
      </c>
      <c r="P7">
        <f>IFERROR(INDEX(Prices[Key],ROWS($P$4:P7)),"")</f>
      </c>
      <c r="Q7">
        <f>IF($P7="","",IF(ISNUMBER(MATCH($P7,Shares!$A$2:$A$1001,0)),"held","NOT HELD - review"))</f>
      </c>
    </row>
    <row r="8" spans="1:17" ht="15" customHeight="1" x14ac:dyDescent="0.15">
      <c r="A8" s="258" t="s">
        <v>437</v>
      </c>
      <c r="B8" s="313" t="s">
        <v>403</v>
      </c>
      <c r="C8" s="313" t="s">
        <v>404</v>
      </c>
      <c r="D8" s="313" t="s">
        <v>401</v>
      </c>
      <c r="E8" s="260">
        <v>3.82</v>
      </c>
      <c r="F8" s="261">
        <f>IF($D8="SGD",1,IF($D8="USD",Settings!$B$22,IF($D8="HKD",Settings!$B$23,1)))</f>
        <v>1</v>
      </c>
      <c r="G8" s="313" t="s">
        <v>426</v>
      </c>
      <c r="H8" s="313" t="s">
        <v>433</v>
      </c>
      <c r="J8">
        <f>IF(Shares!$A6="","",Shares!$A6)</f>
      </c>
      <c r="K8">
        <f>IF($J8="","",LEFT($J8,FIND(":",$J8)-1))</f>
      </c>
      <c r="L8">
        <f>IF($J8="","",MID($J8,FIND(":",$J8)+1,FIND(":",$J8,FIND(":",$J8)+1)-FIND(":",$J8)-1))</f>
      </c>
      <c r="M8">
        <f>IF($J8="","",RIGHT($J8,LEN($J8)-FIND(":",$J8,FIND(":",$J8)+1)))</f>
      </c>
      <c r="N8">
        <f>IF($J8="","",IF(ISNUMBER(MATCH($J8,Prices[Key],0)),"OK - in Prices","ADD TO PRICES"))</f>
      </c>
      <c r="P8">
        <f>IFERROR(INDEX(Prices[Key],ROWS($P$4:P8)),"")</f>
      </c>
      <c r="Q8">
        <f>IF($P8="","",IF(ISNUMBER(MATCH($P8,Shares!$A$2:$A$1001,0)),"held","NOT HELD - review"))</f>
      </c>
    </row>
    <row r="9" spans="1:17" ht="15" customHeight="1" x14ac:dyDescent="0.15">
      <c r="A9" s="258" t="s">
        <v>438</v>
      </c>
      <c r="B9" s="313" t="s">
        <v>405</v>
      </c>
      <c r="C9" s="313" t="s">
        <v>406</v>
      </c>
      <c r="D9" s="313" t="s">
        <v>407</v>
      </c>
      <c r="E9" s="260">
        <v>200</v>
      </c>
      <c r="F9" s="261">
        <f>IF($D9="SGD",1,IF($D9="USD",Settings!$B$22,IF($D9="HKD",Settings!$B$23,1)))</f>
        <v>1.2928081084924601</v>
      </c>
      <c r="G9" s="313" t="s">
        <v>426</v>
      </c>
      <c r="H9" s="313" t="s">
        <v>431</v>
      </c>
      <c r="J9">
        <f>IF(Shares!$A7="","",Shares!$A7)</f>
      </c>
      <c r="K9">
        <f>IF($J9="","",LEFT($J9,FIND(":",$J9)-1))</f>
      </c>
      <c r="L9">
        <f>IF($J9="","",MID($J9,FIND(":",$J9)+1,FIND(":",$J9,FIND(":",$J9)+1)-FIND(":",$J9)-1))</f>
      </c>
      <c r="M9">
        <f>IF($J9="","",RIGHT($J9,LEN($J9)-FIND(":",$J9,FIND(":",$J9)+1)))</f>
      </c>
      <c r="N9">
        <f>IF($J9="","",IF(ISNUMBER(MATCH($J9,Prices[Key],0)),"OK - in Prices","ADD TO PRICES"))</f>
      </c>
      <c r="P9">
        <f>IFERROR(INDEX(Prices[Key],ROWS($P$4:P9)),"")</f>
      </c>
      <c r="Q9">
        <f>IF($P9="","",IF(ISNUMBER(MATCH($P9,Shares!$A$2:$A$1001,0)),"held","NOT HELD - review"))</f>
      </c>
    </row>
    <row r="10" spans="1:17" ht="15" customHeight="1" x14ac:dyDescent="0.15">
      <c r="A10" s="258" t="s">
        <v>442</v>
      </c>
      <c r="B10" s="313" t="s">
        <v>405</v>
      </c>
      <c r="C10" s="313" t="s">
        <v>415</v>
      </c>
      <c r="D10" s="313" t="s">
        <v>407</v>
      </c>
      <c r="E10" s="260">
        <v>420</v>
      </c>
      <c r="F10" s="261">
        <f>IF($D10="SGD",1,IF($D10="USD",Settings!$B$22,IF($D10="HKD",Settings!$B$23,1)))</f>
        <v>1.2928081084924601</v>
      </c>
      <c r="G10" s="313" t="s">
        <v>426</v>
      </c>
      <c r="H10" s="313" t="s">
        <v>431</v>
      </c>
      <c r="J10">
        <f>IF(Shares!$A8="","",Shares!$A8)</f>
      </c>
      <c r="K10">
        <f>IF($J10="","",LEFT($J10,FIND(":",$J10)-1))</f>
      </c>
      <c r="L10">
        <f>IF($J10="","",MID($J10,FIND(":",$J10)+1,FIND(":",$J10,FIND(":",$J10)+1)-FIND(":",$J10)-1))</f>
      </c>
      <c r="M10">
        <f>IF($J10="","",RIGHT($J10,LEN($J10)-FIND(":",$J10,FIND(":",$J10)+1)))</f>
      </c>
      <c r="N10">
        <f>IF($J10="","",IF(ISNUMBER(MATCH($J10,Prices[Key],0)),"OK - in Prices","ADD TO PRICES"))</f>
      </c>
      <c r="P10">
        <f>IFERROR(INDEX(Prices[Key],ROWS($P$4:P10)),"")</f>
      </c>
      <c r="Q10">
        <f>IF($P10="","",IF(ISNUMBER(MATCH($P10,Shares!$A$2:$A$1001,0)),"held","NOT HELD - review"))</f>
      </c>
    </row>
    <row r="11" spans="1:17" ht="15" customHeight="1" x14ac:dyDescent="0.15">
      <c r="A11" s="258"/>
      <c r="B11" s="313"/>
      <c r="C11" s="313"/>
      <c r="D11" s="313"/>
      <c r="E11" s="260"/>
      <c r="F11" s="261"/>
      <c r="G11" s="313"/>
      <c r="H11" s="313"/>
      <c r="J11">
        <f>IF(Shares!$A9="","",Shares!$A9)</f>
      </c>
      <c r="K11">
        <f>IF($J11="","",LEFT($J11,FIND(":",$J11)-1))</f>
      </c>
      <c r="L11">
        <f>IF($J11="","",MID($J11,FIND(":",$J11)+1,FIND(":",$J11,FIND(":",$J11)+1)-FIND(":",$J11)-1))</f>
      </c>
      <c r="M11">
        <f>IF($J11="","",RIGHT($J11,LEN($J11)-FIND(":",$J11,FIND(":",$J11)+1)))</f>
      </c>
      <c r="N11">
        <f>IF($J11="","",IF(ISNUMBER(MATCH($J11,Prices[Key],0)),"OK - in Prices","ADD TO PRICES"))</f>
      </c>
      <c r="P11">
        <f>IFERROR(INDEX(Prices[Key],ROWS($P$4:P11)),"")</f>
      </c>
      <c r="Q11">
        <f>IF($P11="","",IF(ISNUMBER(MATCH($P11,Shares!$A$2:$A$1001,0)),"held","NOT HELD - review"))</f>
      </c>
    </row>
    <row r="12" spans="1:17" ht="15" customHeight="1" x14ac:dyDescent="0.15">
      <c r="A12" s="258"/>
      <c r="B12" s="313"/>
      <c r="C12" s="313"/>
      <c r="D12" s="313"/>
      <c r="E12" s="260"/>
      <c r="F12" s="261"/>
      <c r="G12" s="313"/>
      <c r="H12" s="313"/>
      <c r="J12">
        <f>IF(Shares!$A10="","",Shares!$A10)</f>
      </c>
      <c r="K12">
        <f>IF($J12="","",LEFT($J12,FIND(":",$J12)-1))</f>
      </c>
      <c r="L12">
        <f>IF($J12="","",MID($J12,FIND(":",$J12)+1,FIND(":",$J12,FIND(":",$J12)+1)-FIND(":",$J12)-1))</f>
      </c>
      <c r="M12">
        <f>IF($J12="","",RIGHT($J12,LEN($J12)-FIND(":",$J12,FIND(":",$J12)+1)))</f>
      </c>
      <c r="N12">
        <f>IF($J12="","",IF(ISNUMBER(MATCH($J12,Prices[Key],0)),"OK - in Prices","ADD TO PRICES"))</f>
      </c>
      <c r="P12">
        <f>IFERROR(INDEX(Prices[Key],ROWS($P$4:P12)),"")</f>
      </c>
      <c r="Q12">
        <f>IF($P12="","",IF(ISNUMBER(MATCH($P12,Shares!$A$2:$A$1001,0)),"held","NOT HELD - review"))</f>
      </c>
    </row>
    <row r="13" spans="1:17" ht="15" customHeight="1" x14ac:dyDescent="0.15">
      <c r="A13" s="258"/>
      <c r="B13" s="313"/>
      <c r="C13" s="313"/>
      <c r="D13" s="313"/>
      <c r="E13" s="260"/>
      <c r="F13" s="261"/>
      <c r="G13" s="313"/>
      <c r="H13" s="313"/>
      <c r="J13">
        <f>IF(Shares!$A11="","",Shares!$A11)</f>
      </c>
      <c r="K13">
        <f>IF($J13="","",LEFT($J13,FIND(":",$J13)-1))</f>
      </c>
      <c r="L13">
        <f>IF($J13="","",MID($J13,FIND(":",$J13)+1,FIND(":",$J13,FIND(":",$J13)+1)-FIND(":",$J13)-1))</f>
      </c>
      <c r="M13">
        <f>IF($J13="","",RIGHT($J13,LEN($J13)-FIND(":",$J13,FIND(":",$J13)+1)))</f>
      </c>
      <c r="N13">
        <f>IF($J13="","",IF(ISNUMBER(MATCH($J13,Prices[Key],0)),"OK - in Prices","ADD TO PRICES"))</f>
      </c>
      <c r="P13">
        <f>IFERROR(INDEX(Prices[Key],ROWS($P$4:P13)),"")</f>
      </c>
      <c r="Q13">
        <f>IF($P13="","",IF(ISNUMBER(MATCH($P13,Shares!$A$2:$A$1001,0)),"held","NOT HELD - review"))</f>
      </c>
    </row>
    <row r="14" spans="1:17" ht="15" customHeight="1" x14ac:dyDescent="0.15">
      <c r="A14" s="258"/>
      <c r="B14" s="313"/>
      <c r="C14" s="313"/>
      <c r="D14" s="313"/>
      <c r="E14" s="260"/>
      <c r="F14" s="261"/>
      <c r="G14" s="313"/>
      <c r="H14" s="313"/>
      <c r="J14">
        <f>IF(Shares!$A12="","",Shares!$A12)</f>
      </c>
      <c r="K14">
        <f>IF($J14="","",LEFT($J14,FIND(":",$J14)-1))</f>
      </c>
      <c r="L14">
        <f>IF($J14="","",MID($J14,FIND(":",$J14)+1,FIND(":",$J14,FIND(":",$J14)+1)-FIND(":",$J14)-1))</f>
      </c>
      <c r="M14">
        <f>IF($J14="","",RIGHT($J14,LEN($J14)-FIND(":",$J14,FIND(":",$J14)+1)))</f>
      </c>
      <c r="N14">
        <f>IF($J14="","",IF(ISNUMBER(MATCH($J14,Prices[Key],0)),"OK - in Prices","ADD TO PRICES"))</f>
      </c>
      <c r="P14">
        <f>IFERROR(INDEX(Prices[Key],ROWS($P$4:P14)),"")</f>
      </c>
      <c r="Q14">
        <f>IF($P14="","",IF(ISNUMBER(MATCH($P14,Shares!$A$2:$A$1001,0)),"held","NOT HELD - review"))</f>
      </c>
    </row>
    <row r="15" spans="1:17" ht="15" customHeight="1" x14ac:dyDescent="0.15">
      <c r="A15" s="258"/>
      <c r="B15" s="313"/>
      <c r="C15" s="313"/>
      <c r="D15" s="313"/>
      <c r="E15" s="260"/>
      <c r="F15" s="261"/>
      <c r="G15" s="313"/>
      <c r="H15" s="313"/>
      <c r="J15">
        <f>IF(Shares!$A13="","",Shares!$A13)</f>
      </c>
      <c r="K15">
        <f>IF($J15="","",LEFT($J15,FIND(":",$J15)-1))</f>
      </c>
      <c r="L15">
        <f>IF($J15="","",MID($J15,FIND(":",$J15)+1,FIND(":",$J15,FIND(":",$J15)+1)-FIND(":",$J15)-1))</f>
      </c>
      <c r="M15">
        <f>IF($J15="","",RIGHT($J15,LEN($J15)-FIND(":",$J15,FIND(":",$J15)+1)))</f>
      </c>
      <c r="N15">
        <f>IF($J15="","",IF(ISNUMBER(MATCH($J15,Prices[Key],0)),"OK - in Prices","ADD TO PRICES"))</f>
      </c>
      <c r="P15">
        <f>IFERROR(INDEX(Prices[Key],ROWS($P$4:P15)),"")</f>
      </c>
      <c r="Q15">
        <f>IF($P15="","",IF(ISNUMBER(MATCH($P15,Shares!$A$2:$A$1001,0)),"held","NOT HELD - review"))</f>
      </c>
    </row>
    <row r="16" spans="1:17" ht="15" customHeight="1" x14ac:dyDescent="0.15">
      <c r="A16" s="258"/>
      <c r="B16" s="313"/>
      <c r="C16" s="313"/>
      <c r="D16" s="313"/>
      <c r="E16" s="260"/>
      <c r="F16" s="261"/>
      <c r="G16" s="313"/>
      <c r="H16" s="313"/>
      <c r="J16">
        <f>IF(Shares!$A14="","",Shares!$A14)</f>
      </c>
      <c r="K16">
        <f>IF($J16="","",LEFT($J16,FIND(":",$J16)-1))</f>
      </c>
      <c r="L16">
        <f>IF($J16="","",MID($J16,FIND(":",$J16)+1,FIND(":",$J16,FIND(":",$J16)+1)-FIND(":",$J16)-1))</f>
      </c>
      <c r="M16">
        <f>IF($J16="","",RIGHT($J16,LEN($J16)-FIND(":",$J16,FIND(":",$J16)+1)))</f>
      </c>
      <c r="N16">
        <f>IF($J16="","",IF(ISNUMBER(MATCH($J16,Prices[Key],0)),"OK - in Prices","ADD TO PRICES"))</f>
      </c>
      <c r="P16">
        <f>IFERROR(INDEX(Prices[Key],ROWS($P$4:P16)),"")</f>
      </c>
      <c r="Q16">
        <f>IF($P16="","",IF(ISNUMBER(MATCH($P16,Shares!$A$2:$A$1001,0)),"held","NOT HELD - review"))</f>
      </c>
    </row>
    <row r="17" spans="1:17" ht="15" customHeight="1" x14ac:dyDescent="0.15">
      <c r="A17" s="258"/>
      <c r="B17" s="313"/>
      <c r="C17" s="313"/>
      <c r="D17" s="313"/>
      <c r="E17" s="260"/>
      <c r="F17" s="261"/>
      <c r="G17" s="313"/>
      <c r="H17" s="313"/>
      <c r="J17">
        <f>IF(Shares!$A15="","",Shares!$A15)</f>
      </c>
      <c r="K17">
        <f>IF($J17="","",LEFT($J17,FIND(":",$J17)-1))</f>
      </c>
      <c r="L17">
        <f>IF($J17="","",MID($J17,FIND(":",$J17)+1,FIND(":",$J17,FIND(":",$J17)+1)-FIND(":",$J17)-1))</f>
      </c>
      <c r="M17">
        <f>IF($J17="","",RIGHT($J17,LEN($J17)-FIND(":",$J17,FIND(":",$J17)+1)))</f>
      </c>
      <c r="N17">
        <f>IF($J17="","",IF(ISNUMBER(MATCH($J17,Prices[Key],0)),"OK - in Prices","ADD TO PRICES"))</f>
      </c>
      <c r="P17">
        <f>IFERROR(INDEX(Prices[Key],ROWS($P$4:P17)),"")</f>
      </c>
      <c r="Q17">
        <f>IF($P17="","",IF(ISNUMBER(MATCH($P17,Shares!$A$2:$A$1001,0)),"held","NOT HELD - review"))</f>
      </c>
    </row>
    <row r="18" spans="1:17" ht="15" customHeight="1" x14ac:dyDescent="0.15">
      <c r="A18" s="258"/>
      <c r="B18" s="313"/>
      <c r="C18" s="313"/>
      <c r="D18" s="313"/>
      <c r="E18" s="260"/>
      <c r="F18" s="261"/>
      <c r="G18" s="313"/>
      <c r="H18" s="313"/>
      <c r="J18">
        <f>IF(Shares!$A16="","",Shares!$A16)</f>
      </c>
      <c r="K18">
        <f>IF($J18="","",LEFT($J18,FIND(":",$J18)-1))</f>
      </c>
      <c r="L18">
        <f>IF($J18="","",MID($J18,FIND(":",$J18)+1,FIND(":",$J18,FIND(":",$J18)+1)-FIND(":",$J18)-1))</f>
      </c>
      <c r="M18">
        <f>IF($J18="","",RIGHT($J18,LEN($J18)-FIND(":",$J18,FIND(":",$J18)+1)))</f>
      </c>
      <c r="N18">
        <f>IF($J18="","",IF(ISNUMBER(MATCH($J18,Prices[Key],0)),"OK - in Prices","ADD TO PRICES"))</f>
      </c>
      <c r="P18">
        <f>IFERROR(INDEX(Prices[Key],ROWS($P$4:P18)),"")</f>
      </c>
      <c r="Q18">
        <f>IF($P18="","",IF(ISNUMBER(MATCH($P18,Shares!$A$2:$A$1001,0)),"held","NOT HELD - review"))</f>
      </c>
    </row>
    <row r="19" spans="1:17" ht="15" customHeight="1" x14ac:dyDescent="0.15">
      <c r="A19" s="258"/>
      <c r="B19" s="313"/>
      <c r="C19" s="313"/>
      <c r="D19" s="313"/>
      <c r="E19" s="260"/>
      <c r="F19" s="261"/>
      <c r="G19" s="313"/>
      <c r="H19" s="313"/>
      <c r="J19">
        <f>IF(Shares!$A17="","",Shares!$A17)</f>
      </c>
      <c r="K19">
        <f>IF($J19="","",LEFT($J19,FIND(":",$J19)-1))</f>
      </c>
      <c r="L19">
        <f>IF($J19="","",MID($J19,FIND(":",$J19)+1,FIND(":",$J19,FIND(":",$J19)+1)-FIND(":",$J19)-1))</f>
      </c>
      <c r="M19">
        <f>IF($J19="","",RIGHT($J19,LEN($J19)-FIND(":",$J19,FIND(":",$J19)+1)))</f>
      </c>
      <c r="N19">
        <f>IF($J19="","",IF(ISNUMBER(MATCH($J19,Prices[Key],0)),"OK - in Prices","ADD TO PRICES"))</f>
      </c>
      <c r="P19">
        <f>IFERROR(INDEX(Prices[Key],ROWS($P$4:P19)),"")</f>
      </c>
      <c r="Q19">
        <f>IF($P19="","",IF(ISNUMBER(MATCH($P19,Shares!$A$2:$A$1001,0)),"held","NOT HELD - review"))</f>
      </c>
    </row>
    <row r="20" spans="1:17" ht="15" customHeight="1" x14ac:dyDescent="0.15">
      <c r="A20" s="258"/>
      <c r="B20" s="313"/>
      <c r="C20" s="313"/>
      <c r="D20" s="313"/>
      <c r="E20" s="260"/>
      <c r="F20" s="261"/>
      <c r="G20" s="313"/>
      <c r="H20" s="313"/>
      <c r="J20">
        <f>IF(Shares!$A18="","",Shares!$A18)</f>
      </c>
      <c r="K20">
        <f>IF($J20="","",LEFT($J20,FIND(":",$J20)-1))</f>
      </c>
      <c r="L20">
        <f>IF($J20="","",MID($J20,FIND(":",$J20)+1,FIND(":",$J20,FIND(":",$J20)+1)-FIND(":",$J20)-1))</f>
      </c>
      <c r="M20">
        <f>IF($J20="","",RIGHT($J20,LEN($J20)-FIND(":",$J20,FIND(":",$J20)+1)))</f>
      </c>
      <c r="N20">
        <f>IF($J20="","",IF(ISNUMBER(MATCH($J20,Prices[Key],0)),"OK - in Prices","ADD TO PRICES"))</f>
      </c>
      <c r="P20">
        <f>IFERROR(INDEX(Prices[Key],ROWS($P$4:P20)),"")</f>
      </c>
      <c r="Q20">
        <f>IF($P20="","",IF(ISNUMBER(MATCH($P20,Shares!$A$2:$A$1001,0)),"held","NOT HELD - review"))</f>
      </c>
    </row>
    <row r="21" spans="1:17" ht="15" customHeight="1" x14ac:dyDescent="0.15">
      <c r="A21" s="258"/>
      <c r="B21" s="313"/>
      <c r="C21" s="313"/>
      <c r="D21" s="313"/>
      <c r="E21" s="260"/>
      <c r="F21" s="261"/>
      <c r="G21" s="313"/>
      <c r="H21" s="313"/>
      <c r="J21">
        <f>IF(Shares!$A19="","",Shares!$A19)</f>
      </c>
      <c r="K21">
        <f>IF($J21="","",LEFT($J21,FIND(":",$J21)-1))</f>
      </c>
      <c r="L21">
        <f>IF($J21="","",MID($J21,FIND(":",$J21)+1,FIND(":",$J21,FIND(":",$J21)+1)-FIND(":",$J21)-1))</f>
      </c>
      <c r="M21">
        <f>IF($J21="","",RIGHT($J21,LEN($J21)-FIND(":",$J21,FIND(":",$J21)+1)))</f>
      </c>
      <c r="N21">
        <f>IF($J21="","",IF(ISNUMBER(MATCH($J21,Prices[Key],0)),"OK - in Prices","ADD TO PRICES"))</f>
      </c>
      <c r="P21">
        <f>IFERROR(INDEX(Prices[Key],ROWS($P$4:P21)),"")</f>
      </c>
      <c r="Q21">
        <f>IF($P21="","",IF(ISNUMBER(MATCH($P21,Shares!$A$2:$A$1001,0)),"held","NOT HELD - review"))</f>
      </c>
    </row>
    <row r="22" spans="1:17" ht="15" customHeight="1" x14ac:dyDescent="0.15">
      <c r="A22" s="258"/>
      <c r="B22" s="313"/>
      <c r="C22" s="313"/>
      <c r="D22" s="313"/>
      <c r="E22" s="260"/>
      <c r="F22" s="261"/>
      <c r="G22" s="313"/>
      <c r="H22" s="313"/>
      <c r="J22">
        <f>IF(Shares!$A20="","",Shares!$A20)</f>
      </c>
      <c r="K22">
        <f>IF($J22="","",LEFT($J22,FIND(":",$J22)-1))</f>
      </c>
      <c r="L22">
        <f>IF($J22="","",MID($J22,FIND(":",$J22)+1,FIND(":",$J22,FIND(":",$J22)+1)-FIND(":",$J22)-1))</f>
      </c>
      <c r="M22">
        <f>IF($J22="","",RIGHT($J22,LEN($J22)-FIND(":",$J22,FIND(":",$J22)+1)))</f>
      </c>
      <c r="N22">
        <f>IF($J22="","",IF(ISNUMBER(MATCH($J22,Prices[Key],0)),"OK - in Prices","ADD TO PRICES"))</f>
      </c>
      <c r="P22">
        <f>IFERROR(INDEX(Prices[Key],ROWS($P$4:P22)),"")</f>
      </c>
      <c r="Q22">
        <f>IF($P22="","",IF(ISNUMBER(MATCH($P22,Shares!$A$2:$A$1001,0)),"held","NOT HELD - review"))</f>
      </c>
    </row>
    <row r="23" spans="1:17" ht="15" customHeight="1" x14ac:dyDescent="0.15">
      <c r="A23" s="258"/>
      <c r="B23" s="313"/>
      <c r="C23" s="313"/>
      <c r="D23" s="313"/>
      <c r="E23" s="260"/>
      <c r="F23" s="261"/>
      <c r="G23" s="313"/>
      <c r="H23" s="313"/>
      <c r="J23">
        <f>IF(Shares!$A21="","",Shares!$A21)</f>
      </c>
      <c r="K23">
        <f>IF($J23="","",LEFT($J23,FIND(":",$J23)-1))</f>
      </c>
      <c r="L23">
        <f>IF($J23="","",MID($J23,FIND(":",$J23)+1,FIND(":",$J23,FIND(":",$J23)+1)-FIND(":",$J23)-1))</f>
      </c>
      <c r="M23">
        <f>IF($J23="","",RIGHT($J23,LEN($J23)-FIND(":",$J23,FIND(":",$J23)+1)))</f>
      </c>
      <c r="N23">
        <f>IF($J23="","",IF(ISNUMBER(MATCH($J23,Prices[Key],0)),"OK - in Prices","ADD TO PRICES"))</f>
      </c>
      <c r="P23">
        <f>IFERROR(INDEX(Prices[Key],ROWS($P$4:P23)),"")</f>
      </c>
      <c r="Q23">
        <f>IF($P23="","",IF(ISNUMBER(MATCH($P23,Shares!$A$2:$A$1001,0)),"held","NOT HELD - review"))</f>
      </c>
    </row>
    <row r="24" spans="1:17" ht="15" customHeight="1" x14ac:dyDescent="0.15">
      <c r="A24" s="258"/>
      <c r="B24" s="313"/>
      <c r="C24" s="313"/>
      <c r="D24" s="313"/>
      <c r="E24" s="260"/>
      <c r="F24" s="261"/>
      <c r="G24" s="313"/>
      <c r="H24" s="313"/>
      <c r="J24">
        <f>IF(Shares!$A22="","",Shares!$A22)</f>
      </c>
      <c r="K24">
        <f>IF($J24="","",LEFT($J24,FIND(":",$J24)-1))</f>
      </c>
      <c r="L24">
        <f>IF($J24="","",MID($J24,FIND(":",$J24)+1,FIND(":",$J24,FIND(":",$J24)+1)-FIND(":",$J24)-1))</f>
      </c>
      <c r="M24">
        <f>IF($J24="","",RIGHT($J24,LEN($J24)-FIND(":",$J24,FIND(":",$J24)+1)))</f>
      </c>
      <c r="N24">
        <f>IF($J24="","",IF(ISNUMBER(MATCH($J24,Prices[Key],0)),"OK - in Prices","ADD TO PRICES"))</f>
      </c>
      <c r="P24">
        <f>IFERROR(INDEX(Prices[Key],ROWS($P$4:P24)),"")</f>
      </c>
      <c r="Q24">
        <f>IF($P24="","",IF(ISNUMBER(MATCH($P24,Shares!$A$2:$A$1001,0)),"held","NOT HELD - review"))</f>
      </c>
    </row>
    <row r="25" spans="1:17" ht="15" customHeight="1" x14ac:dyDescent="0.15">
      <c r="A25" s="258"/>
      <c r="B25" s="313"/>
      <c r="C25" s="313"/>
      <c r="D25" s="313"/>
      <c r="E25" s="260"/>
      <c r="F25" s="261"/>
      <c r="G25" s="313"/>
      <c r="H25" s="313"/>
      <c r="J25">
        <f>IF(Shares!$A23="","",Shares!$A23)</f>
      </c>
      <c r="K25">
        <f>IF($J25="","",LEFT($J25,FIND(":",$J25)-1))</f>
      </c>
      <c r="L25">
        <f>IF($J25="","",MID($J25,FIND(":",$J25)+1,FIND(":",$J25,FIND(":",$J25)+1)-FIND(":",$J25)-1))</f>
      </c>
      <c r="M25">
        <f>IF($J25="","",RIGHT($J25,LEN($J25)-FIND(":",$J25,FIND(":",$J25)+1)))</f>
      </c>
      <c r="N25">
        <f>IF($J25="","",IF(ISNUMBER(MATCH($J25,Prices[Key],0)),"OK - in Prices","ADD TO PRICES"))</f>
      </c>
      <c r="P25">
        <f>IFERROR(INDEX(Prices[Key],ROWS($P$4:P25)),"")</f>
      </c>
      <c r="Q25">
        <f>IF($P25="","",IF(ISNUMBER(MATCH($P25,Shares!$A$2:$A$1001,0)),"held","NOT HELD - review"))</f>
      </c>
    </row>
    <row r="26" spans="1:17" ht="15" customHeight="1" x14ac:dyDescent="0.15">
      <c r="A26" s="258"/>
      <c r="B26" s="313"/>
      <c r="C26" s="313"/>
      <c r="D26" s="313"/>
      <c r="E26" s="260"/>
      <c r="F26" s="261"/>
      <c r="G26" s="313"/>
      <c r="H26" s="313"/>
      <c r="J26">
        <f>IF(Shares!$A24="","",Shares!$A24)</f>
      </c>
      <c r="K26">
        <f>IF($J26="","",LEFT($J26,FIND(":",$J26)-1))</f>
      </c>
      <c r="L26">
        <f>IF($J26="","",MID($J26,FIND(":",$J26)+1,FIND(":",$J26,FIND(":",$J26)+1)-FIND(":",$J26)-1))</f>
      </c>
      <c r="M26">
        <f>IF($J26="","",RIGHT($J26,LEN($J26)-FIND(":",$J26,FIND(":",$J26)+1)))</f>
      </c>
      <c r="N26">
        <f>IF($J26="","",IF(ISNUMBER(MATCH($J26,Prices[Key],0)),"OK - in Prices","ADD TO PRICES"))</f>
      </c>
      <c r="P26">
        <f>IFERROR(INDEX(Prices[Key],ROWS($P$4:P26)),"")</f>
      </c>
      <c r="Q26">
        <f>IF($P26="","",IF(ISNUMBER(MATCH($P26,Shares!$A$2:$A$1001,0)),"held","NOT HELD - review"))</f>
      </c>
    </row>
    <row r="27" spans="1:17" ht="15" customHeight="1" x14ac:dyDescent="0.15">
      <c r="A27" s="258"/>
      <c r="B27" s="313"/>
      <c r="C27" s="313"/>
      <c r="D27" s="313"/>
      <c r="E27" s="260"/>
      <c r="F27" s="261"/>
      <c r="G27" s="313"/>
      <c r="H27" s="313"/>
      <c r="J27">
        <f>IF(Shares!$A25="","",Shares!$A25)</f>
      </c>
      <c r="K27">
        <f>IF($J27="","",LEFT($J27,FIND(":",$J27)-1))</f>
      </c>
      <c r="L27">
        <f>IF($J27="","",MID($J27,FIND(":",$J27)+1,FIND(":",$J27,FIND(":",$J27)+1)-FIND(":",$J27)-1))</f>
      </c>
      <c r="M27">
        <f>IF($J27="","",RIGHT($J27,LEN($J27)-FIND(":",$J27,FIND(":",$J27)+1)))</f>
      </c>
      <c r="N27">
        <f>IF($J27="","",IF(ISNUMBER(MATCH($J27,Prices[Key],0)),"OK - in Prices","ADD TO PRICES"))</f>
      </c>
      <c r="P27">
        <f>IFERROR(INDEX(Prices[Key],ROWS($P$4:P27)),"")</f>
      </c>
      <c r="Q27">
        <f>IF($P27="","",IF(ISNUMBER(MATCH($P27,Shares!$A$2:$A$1001,0)),"held","NOT HELD - review"))</f>
      </c>
    </row>
    <row r="28" spans="1:17" ht="15" customHeight="1" x14ac:dyDescent="0.15">
      <c r="A28" s="258"/>
      <c r="B28" s="313"/>
      <c r="C28" s="313"/>
      <c r="D28" s="313"/>
      <c r="E28" s="260"/>
      <c r="F28" s="261"/>
      <c r="G28" s="313"/>
      <c r="H28" s="313"/>
      <c r="J28">
        <f>IF(Shares!$A26="","",Shares!$A26)</f>
      </c>
      <c r="K28">
        <f>IF($J28="","",LEFT($J28,FIND(":",$J28)-1))</f>
      </c>
      <c r="L28">
        <f>IF($J28="","",MID($J28,FIND(":",$J28)+1,FIND(":",$J28,FIND(":",$J28)+1)-FIND(":",$J28)-1))</f>
      </c>
      <c r="M28">
        <f>IF($J28="","",RIGHT($J28,LEN($J28)-FIND(":",$J28,FIND(":",$J28)+1)))</f>
      </c>
      <c r="N28">
        <f>IF($J28="","",IF(ISNUMBER(MATCH($J28,Prices[Key],0)),"OK - in Prices","ADD TO PRICES"))</f>
      </c>
      <c r="P28">
        <f>IFERROR(INDEX(Prices[Key],ROWS($P$4:P28)),"")</f>
      </c>
      <c r="Q28">
        <f>IF($P28="","",IF(ISNUMBER(MATCH($P28,Shares!$A$2:$A$1001,0)),"held","NOT HELD - review"))</f>
      </c>
    </row>
    <row r="29" spans="1:17" ht="15" customHeight="1" x14ac:dyDescent="0.15">
      <c r="A29" s="258"/>
      <c r="B29" s="313"/>
      <c r="C29" s="313"/>
      <c r="D29" s="313"/>
      <c r="E29" s="260"/>
      <c r="F29" s="261"/>
      <c r="G29" s="313"/>
      <c r="H29" s="313"/>
      <c r="J29">
        <f>IF(Shares!$A27="","",Shares!$A27)</f>
      </c>
      <c r="K29">
        <f>IF($J29="","",LEFT($J29,FIND(":",$J29)-1))</f>
      </c>
      <c r="L29">
        <f>IF($J29="","",MID($J29,FIND(":",$J29)+1,FIND(":",$J29,FIND(":",$J29)+1)-FIND(":",$J29)-1))</f>
      </c>
      <c r="M29">
        <f>IF($J29="","",RIGHT($J29,LEN($J29)-FIND(":",$J29,FIND(":",$J29)+1)))</f>
      </c>
      <c r="N29">
        <f>IF($J29="","",IF(ISNUMBER(MATCH($J29,Prices[Key],0)),"OK - in Prices","ADD TO PRICES"))</f>
      </c>
      <c r="P29">
        <f>IFERROR(INDEX(Prices[Key],ROWS($P$4:P29)),"")</f>
      </c>
      <c r="Q29">
        <f>IF($P29="","",IF(ISNUMBER(MATCH($P29,Shares!$A$2:$A$1001,0)),"held","NOT HELD - review"))</f>
      </c>
    </row>
    <row r="30" spans="1:17" ht="15" customHeight="1" x14ac:dyDescent="0.15">
      <c r="A30" s="258"/>
      <c r="B30" s="313"/>
      <c r="C30" s="313"/>
      <c r="D30" s="313"/>
      <c r="E30" s="260"/>
      <c r="F30" s="261"/>
      <c r="G30" s="313"/>
      <c r="H30" s="313"/>
      <c r="J30">
        <f>IF(Shares!$A28="","",Shares!$A28)</f>
      </c>
      <c r="K30">
        <f>IF($J30="","",LEFT($J30,FIND(":",$J30)-1))</f>
      </c>
      <c r="L30">
        <f>IF($J30="","",MID($J30,FIND(":",$J30)+1,FIND(":",$J30,FIND(":",$J30)+1)-FIND(":",$J30)-1))</f>
      </c>
      <c r="M30">
        <f>IF($J30="","",RIGHT($J30,LEN($J30)-FIND(":",$J30,FIND(":",$J30)+1)))</f>
      </c>
      <c r="N30">
        <f>IF($J30="","",IF(ISNUMBER(MATCH($J30,Prices[Key],0)),"OK - in Prices","ADD TO PRICES"))</f>
      </c>
      <c r="P30">
        <f>IFERROR(INDEX(Prices[Key],ROWS($P$4:P30)),"")</f>
      </c>
      <c r="Q30">
        <f>IF($P30="","",IF(ISNUMBER(MATCH($P30,Shares!$A$2:$A$1001,0)),"held","NOT HELD - review"))</f>
      </c>
    </row>
    <row r="31" spans="1:17" ht="15" customHeight="1" x14ac:dyDescent="0.15">
      <c r="A31" s="258"/>
      <c r="B31" s="313"/>
      <c r="C31" s="313"/>
      <c r="D31" s="313"/>
      <c r="E31" s="260"/>
      <c r="F31" s="261"/>
      <c r="G31" s="313"/>
      <c r="H31" s="313"/>
      <c r="J31">
        <f>IF(Shares!$A29="","",Shares!$A29)</f>
      </c>
      <c r="K31">
        <f>IF($J31="","",LEFT($J31,FIND(":",$J31)-1))</f>
      </c>
      <c r="L31">
        <f>IF($J31="","",MID($J31,FIND(":",$J31)+1,FIND(":",$J31,FIND(":",$J31)+1)-FIND(":",$J31)-1))</f>
      </c>
      <c r="M31">
        <f>IF($J31="","",RIGHT($J31,LEN($J31)-FIND(":",$J31,FIND(":",$J31)+1)))</f>
      </c>
      <c r="N31">
        <f>IF($J31="","",IF(ISNUMBER(MATCH($J31,Prices[Key],0)),"OK - in Prices","ADD TO PRICES"))</f>
      </c>
      <c r="P31">
        <f>IFERROR(INDEX(Prices[Key],ROWS($P$4:P31)),"")</f>
      </c>
      <c r="Q31">
        <f>IF($P31="","",IF(ISNUMBER(MATCH($P31,Shares!$A$2:$A$1001,0)),"held","NOT HELD - review"))</f>
      </c>
    </row>
    <row r="32" spans="1:17" ht="15" customHeight="1" x14ac:dyDescent="0.15">
      <c r="A32" s="258"/>
      <c r="B32" s="313"/>
      <c r="C32" s="313"/>
      <c r="D32" s="313"/>
      <c r="E32" s="260"/>
      <c r="F32" s="261"/>
      <c r="G32" s="313"/>
      <c r="H32" s="313"/>
      <c r="J32">
        <f>IF(Shares!$A30="","",Shares!$A30)</f>
      </c>
      <c r="K32">
        <f>IF($J32="","",LEFT($J32,FIND(":",$J32)-1))</f>
      </c>
      <c r="L32">
        <f>IF($J32="","",MID($J32,FIND(":",$J32)+1,FIND(":",$J32,FIND(":",$J32)+1)-FIND(":",$J32)-1))</f>
      </c>
      <c r="M32">
        <f>IF($J32="","",RIGHT($J32,LEN($J32)-FIND(":",$J32,FIND(":",$J32)+1)))</f>
      </c>
      <c r="N32">
        <f>IF($J32="","",IF(ISNUMBER(MATCH($J32,Prices[Key],0)),"OK - in Prices","ADD TO PRICES"))</f>
      </c>
      <c r="P32">
        <f>IFERROR(INDEX(Prices[Key],ROWS($P$4:P32)),"")</f>
      </c>
      <c r="Q32">
        <f>IF($P32="","",IF(ISNUMBER(MATCH($P32,Shares!$A$2:$A$1001,0)),"held","NOT HELD - review"))</f>
      </c>
    </row>
    <row r="33" spans="1:17" ht="15" customHeight="1" x14ac:dyDescent="0.15">
      <c r="A33" s="258"/>
      <c r="B33" s="313"/>
      <c r="C33" s="313"/>
      <c r="D33" s="313"/>
      <c r="E33" s="260"/>
      <c r="F33" s="261"/>
      <c r="G33" s="313"/>
      <c r="H33" s="313"/>
      <c r="J33">
        <f>IF(Shares!$A31="","",Shares!$A31)</f>
      </c>
      <c r="K33">
        <f>IF($J33="","",LEFT($J33,FIND(":",$J33)-1))</f>
      </c>
      <c r="L33">
        <f>IF($J33="","",MID($J33,FIND(":",$J33)+1,FIND(":",$J33,FIND(":",$J33)+1)-FIND(":",$J33)-1))</f>
      </c>
      <c r="M33">
        <f>IF($J33="","",RIGHT($J33,LEN($J33)-FIND(":",$J33,FIND(":",$J33)+1)))</f>
      </c>
      <c r="N33">
        <f>IF($J33="","",IF(ISNUMBER(MATCH($J33,Prices[Key],0)),"OK - in Prices","ADD TO PRICES"))</f>
      </c>
      <c r="P33">
        <f>IFERROR(INDEX(Prices[Key],ROWS($P$4:P33)),"")</f>
      </c>
      <c r="Q33">
        <f>IF($P33="","",IF(ISNUMBER(MATCH($P33,Shares!$A$2:$A$1001,0)),"held","NOT HELD - review"))</f>
      </c>
    </row>
    <row r="34" spans="1:17" ht="15" customHeight="1" x14ac:dyDescent="0.15">
      <c r="A34" s="258"/>
      <c r="B34" s="313"/>
      <c r="C34" s="313"/>
      <c r="D34" s="313"/>
      <c r="E34" s="260"/>
      <c r="F34" s="261"/>
      <c r="G34" s="313"/>
      <c r="H34" s="313"/>
      <c r="J34">
        <f>IF(Shares!$A32="","",Shares!$A32)</f>
      </c>
      <c r="K34">
        <f>IF($J34="","",LEFT($J34,FIND(":",$J34)-1))</f>
      </c>
      <c r="L34">
        <f>IF($J34="","",MID($J34,FIND(":",$J34)+1,FIND(":",$J34,FIND(":",$J34)+1)-FIND(":",$J34)-1))</f>
      </c>
      <c r="M34">
        <f>IF($J34="","",RIGHT($J34,LEN($J34)-FIND(":",$J34,FIND(":",$J34)+1)))</f>
      </c>
      <c r="N34">
        <f>IF($J34="","",IF(ISNUMBER(MATCH($J34,Prices[Key],0)),"OK - in Prices","ADD TO PRICES"))</f>
      </c>
      <c r="P34">
        <f>IFERROR(INDEX(Prices[Key],ROWS($P$4:P34)),"")</f>
      </c>
      <c r="Q34">
        <f>IF($P34="","",IF(ISNUMBER(MATCH($P34,Shares!$A$2:$A$1001,0)),"held","NOT HELD - review"))</f>
      </c>
    </row>
    <row r="35" spans="1:17" ht="15" customHeight="1" x14ac:dyDescent="0.15">
      <c r="A35" s="258"/>
      <c r="B35" s="313"/>
      <c r="C35" s="313"/>
      <c r="D35" s="313"/>
      <c r="E35" s="260"/>
      <c r="F35" s="261"/>
      <c r="G35" s="313"/>
      <c r="H35" s="313"/>
      <c r="J35">
        <f>IF(Shares!$A33="","",Shares!$A33)</f>
      </c>
      <c r="K35">
        <f>IF($J35="","",LEFT($J35,FIND(":",$J35)-1))</f>
      </c>
      <c r="L35">
        <f>IF($J35="","",MID($J35,FIND(":",$J35)+1,FIND(":",$J35,FIND(":",$J35)+1)-FIND(":",$J35)-1))</f>
      </c>
      <c r="M35">
        <f>IF($J35="","",RIGHT($J35,LEN($J35)-FIND(":",$J35,FIND(":",$J35)+1)))</f>
      </c>
      <c r="N35">
        <f>IF($J35="","",IF(ISNUMBER(MATCH($J35,Prices[Key],0)),"OK - in Prices","ADD TO PRICES"))</f>
      </c>
      <c r="P35">
        <f>IFERROR(INDEX(Prices[Key],ROWS($P$4:P35)),"")</f>
      </c>
      <c r="Q35">
        <f>IF($P35="","",IF(ISNUMBER(MATCH($P35,Shares!$A$2:$A$1001,0)),"held","NOT HELD - review"))</f>
      </c>
    </row>
    <row r="36" spans="1:17" ht="15" customHeight="1" x14ac:dyDescent="0.15">
      <c r="A36" s="258"/>
      <c r="B36" s="313"/>
      <c r="C36" s="313"/>
      <c r="D36" s="313"/>
      <c r="E36" s="260"/>
      <c r="F36" s="261"/>
      <c r="G36" s="313"/>
      <c r="H36" s="313"/>
      <c r="J36">
        <f>IF(Shares!$A34="","",Shares!$A34)</f>
      </c>
      <c r="K36">
        <f>IF($J36="","",LEFT($J36,FIND(":",$J36)-1))</f>
      </c>
      <c r="L36">
        <f>IF($J36="","",MID($J36,FIND(":",$J36)+1,FIND(":",$J36,FIND(":",$J36)+1)-FIND(":",$J36)-1))</f>
      </c>
      <c r="M36">
        <f>IF($J36="","",RIGHT($J36,LEN($J36)-FIND(":",$J36,FIND(":",$J36)+1)))</f>
      </c>
      <c r="N36">
        <f>IF($J36="","",IF(ISNUMBER(MATCH($J36,Prices[Key],0)),"OK - in Prices","ADD TO PRICES"))</f>
      </c>
      <c r="P36">
        <f>IFERROR(INDEX(Prices[Key],ROWS($P$4:P36)),"")</f>
      </c>
      <c r="Q36">
        <f>IF($P36="","",IF(ISNUMBER(MATCH($P36,Shares!$A$2:$A$1001,0)),"held","NOT HELD - review"))</f>
      </c>
    </row>
    <row r="37" spans="1:17" ht="15" customHeight="1" x14ac:dyDescent="0.15">
      <c r="A37" s="258"/>
      <c r="B37" s="313"/>
      <c r="C37" s="313"/>
      <c r="D37" s="313"/>
      <c r="E37" s="260"/>
      <c r="F37" s="261"/>
      <c r="G37" s="313"/>
      <c r="H37" s="313"/>
      <c r="J37">
        <f>IF(Shares!$A35="","",Shares!$A35)</f>
      </c>
      <c r="K37">
        <f>IF($J37="","",LEFT($J37,FIND(":",$J37)-1))</f>
      </c>
      <c r="L37">
        <f>IF($J37="","",MID($J37,FIND(":",$J37)+1,FIND(":",$J37,FIND(":",$J37)+1)-FIND(":",$J37)-1))</f>
      </c>
      <c r="M37">
        <f>IF($J37="","",RIGHT($J37,LEN($J37)-FIND(":",$J37,FIND(":",$J37)+1)))</f>
      </c>
      <c r="N37">
        <f>IF($J37="","",IF(ISNUMBER(MATCH($J37,Prices[Key],0)),"OK - in Prices","ADD TO PRICES"))</f>
      </c>
      <c r="P37">
        <f>IFERROR(INDEX(Prices[Key],ROWS($P$4:P37)),"")</f>
      </c>
      <c r="Q37">
        <f>IF($P37="","",IF(ISNUMBER(MATCH($P37,Shares!$A$2:$A$1001,0)),"held","NOT HELD - review"))</f>
      </c>
    </row>
    <row r="38" spans="1:17" ht="15" customHeight="1" x14ac:dyDescent="0.15">
      <c r="A38" s="258"/>
      <c r="B38" s="313"/>
      <c r="C38" s="313"/>
      <c r="D38" s="313"/>
      <c r="E38" s="260"/>
      <c r="F38" s="261"/>
      <c r="G38" s="313"/>
      <c r="H38" s="313"/>
      <c r="J38">
        <f>IF(Shares!$A36="","",Shares!$A36)</f>
      </c>
      <c r="K38">
        <f>IF($J38="","",LEFT($J38,FIND(":",$J38)-1))</f>
      </c>
      <c r="L38">
        <f>IF($J38="","",MID($J38,FIND(":",$J38)+1,FIND(":",$J38,FIND(":",$J38)+1)-FIND(":",$J38)-1))</f>
      </c>
      <c r="M38">
        <f>IF($J38="","",RIGHT($J38,LEN($J38)-FIND(":",$J38,FIND(":",$J38)+1)))</f>
      </c>
      <c r="N38">
        <f>IF($J38="","",IF(ISNUMBER(MATCH($J38,Prices[Key],0)),"OK - in Prices","ADD TO PRICES"))</f>
      </c>
      <c r="P38">
        <f>IFERROR(INDEX(Prices[Key],ROWS($P$4:P38)),"")</f>
      </c>
      <c r="Q38">
        <f>IF($P38="","",IF(ISNUMBER(MATCH($P38,Shares!$A$2:$A$1001,0)),"held","NOT HELD - review"))</f>
      </c>
    </row>
    <row r="39" spans="1:17" ht="15" customHeight="1" x14ac:dyDescent="0.15">
      <c r="A39" s="258"/>
      <c r="B39" s="313"/>
      <c r="C39" s="313"/>
      <c r="D39" s="313"/>
      <c r="E39" s="260"/>
      <c r="F39" s="261"/>
      <c r="G39" s="313"/>
      <c r="H39" s="313"/>
      <c r="J39">
        <f>IF(Shares!$A37="","",Shares!$A37)</f>
      </c>
      <c r="K39">
        <f>IF($J39="","",LEFT($J39,FIND(":",$J39)-1))</f>
      </c>
      <c r="L39">
        <f>IF($J39="","",MID($J39,FIND(":",$J39)+1,FIND(":",$J39,FIND(":",$J39)+1)-FIND(":",$J39)-1))</f>
      </c>
      <c r="M39">
        <f>IF($J39="","",RIGHT($J39,LEN($J39)-FIND(":",$J39,FIND(":",$J39)+1)))</f>
      </c>
      <c r="N39">
        <f>IF($J39="","",IF(ISNUMBER(MATCH($J39,Prices[Key],0)),"OK - in Prices","ADD TO PRICES"))</f>
      </c>
      <c r="P39">
        <f>IFERROR(INDEX(Prices[Key],ROWS($P$4:P39)),"")</f>
      </c>
      <c r="Q39">
        <f>IF($P39="","",IF(ISNUMBER(MATCH($P39,Shares!$A$2:$A$1001,0)),"held","NOT HELD - review"))</f>
      </c>
    </row>
    <row r="40" spans="1:17" ht="15" customHeight="1" x14ac:dyDescent="0.15">
      <c r="A40" s="258"/>
      <c r="B40" s="313"/>
      <c r="C40" s="313"/>
      <c r="D40" s="313"/>
      <c r="E40" s="260"/>
      <c r="F40" s="261"/>
      <c r="G40" s="313"/>
      <c r="H40" s="313"/>
      <c r="J40">
        <f>IF(Shares!$A38="","",Shares!$A38)</f>
      </c>
      <c r="K40">
        <f>IF($J40="","",LEFT($J40,FIND(":",$J40)-1))</f>
      </c>
      <c r="L40">
        <f>IF($J40="","",MID($J40,FIND(":",$J40)+1,FIND(":",$J40,FIND(":",$J40)+1)-FIND(":",$J40)-1))</f>
      </c>
      <c r="M40">
        <f>IF($J40="","",RIGHT($J40,LEN($J40)-FIND(":",$J40,FIND(":",$J40)+1)))</f>
      </c>
      <c r="N40">
        <f>IF($J40="","",IF(ISNUMBER(MATCH($J40,Prices[Key],0)),"OK - in Prices","ADD TO PRICES"))</f>
      </c>
      <c r="P40">
        <f>IFERROR(INDEX(Prices[Key],ROWS($P$4:P40)),"")</f>
      </c>
      <c r="Q40">
        <f>IF($P40="","",IF(ISNUMBER(MATCH($P40,Shares!$A$2:$A$1001,0)),"held","NOT HELD - review"))</f>
      </c>
    </row>
    <row r="41" spans="1:17" ht="15" customHeight="1" x14ac:dyDescent="0.15">
      <c r="A41" s="258"/>
      <c r="B41" s="313"/>
      <c r="C41" s="313"/>
      <c r="D41" s="313"/>
      <c r="E41" s="260"/>
      <c r="F41" s="261"/>
      <c r="G41" s="313"/>
      <c r="H41" s="313"/>
      <c r="J41">
        <f>IF(Shares!$A39="","",Shares!$A39)</f>
      </c>
      <c r="K41">
        <f>IF($J41="","",LEFT($J41,FIND(":",$J41)-1))</f>
      </c>
      <c r="L41">
        <f>IF($J41="","",MID($J41,FIND(":",$J41)+1,FIND(":",$J41,FIND(":",$J41)+1)-FIND(":",$J41)-1))</f>
      </c>
      <c r="M41">
        <f>IF($J41="","",RIGHT($J41,LEN($J41)-FIND(":",$J41,FIND(":",$J41)+1)))</f>
      </c>
      <c r="N41">
        <f>IF($J41="","",IF(ISNUMBER(MATCH($J41,Prices[Key],0)),"OK - in Prices","ADD TO PRICES"))</f>
      </c>
      <c r="P41">
        <f>IFERROR(INDEX(Prices[Key],ROWS($P$4:P41)),"")</f>
      </c>
      <c r="Q41">
        <f>IF($P41="","",IF(ISNUMBER(MATCH($P41,Shares!$A$2:$A$1001,0)),"held","NOT HELD - review"))</f>
      </c>
    </row>
    <row r="42" spans="1:17" ht="15" customHeight="1" x14ac:dyDescent="0.15">
      <c r="A42" s="258"/>
      <c r="B42" s="313"/>
      <c r="C42" s="313"/>
      <c r="D42" s="313"/>
      <c r="E42" s="260"/>
      <c r="F42" s="261"/>
      <c r="G42" s="313"/>
      <c r="H42" s="313"/>
      <c r="J42">
        <f>IF(Shares!$A40="","",Shares!$A40)</f>
      </c>
      <c r="K42">
        <f>IF($J42="","",LEFT($J42,FIND(":",$J42)-1))</f>
      </c>
      <c r="L42">
        <f>IF($J42="","",MID($J42,FIND(":",$J42)+1,FIND(":",$J42,FIND(":",$J42)+1)-FIND(":",$J42)-1))</f>
      </c>
      <c r="M42">
        <f>IF($J42="","",RIGHT($J42,LEN($J42)-FIND(":",$J42,FIND(":",$J42)+1)))</f>
      </c>
      <c r="N42">
        <f>IF($J42="","",IF(ISNUMBER(MATCH($J42,Prices[Key],0)),"OK - in Prices","ADD TO PRICES"))</f>
      </c>
      <c r="P42">
        <f>IFERROR(INDEX(Prices[Key],ROWS($P$4:P42)),"")</f>
      </c>
      <c r="Q42">
        <f>IF($P42="","",IF(ISNUMBER(MATCH($P42,Shares!$A$2:$A$1001,0)),"held","NOT HELD - review"))</f>
      </c>
    </row>
    <row r="43" spans="1:17" ht="15" customHeight="1" x14ac:dyDescent="0.15">
      <c r="A43" s="258"/>
      <c r="B43" s="313"/>
      <c r="C43" s="313"/>
      <c r="D43" s="313"/>
      <c r="E43" s="260"/>
      <c r="F43" s="261"/>
      <c r="G43" s="313"/>
      <c r="H43" s="313"/>
      <c r="J43">
        <f>IF(Shares!$A41="","",Shares!$A41)</f>
      </c>
      <c r="K43">
        <f>IF($J43="","",LEFT($J43,FIND(":",$J43)-1))</f>
      </c>
      <c r="L43">
        <f>IF($J43="","",MID($J43,FIND(":",$J43)+1,FIND(":",$J43,FIND(":",$J43)+1)-FIND(":",$J43)-1))</f>
      </c>
      <c r="M43">
        <f>IF($J43="","",RIGHT($J43,LEN($J43)-FIND(":",$J43,FIND(":",$J43)+1)))</f>
      </c>
      <c r="N43">
        <f>IF($J43="","",IF(ISNUMBER(MATCH($J43,Prices[Key],0)),"OK - in Prices","ADD TO PRICES"))</f>
      </c>
      <c r="P43">
        <f>IFERROR(INDEX(Prices[Key],ROWS($P$4:P43)),"")</f>
      </c>
      <c r="Q43">
        <f>IF($P43="","",IF(ISNUMBER(MATCH($P43,Shares!$A$2:$A$1001,0)),"held","NOT HELD - review"))</f>
      </c>
    </row>
    <row r="44" spans="1:17" ht="15" customHeight="1" x14ac:dyDescent="0.15">
      <c r="A44" s="258"/>
      <c r="B44" s="313"/>
      <c r="C44" s="313"/>
      <c r="D44" s="313"/>
      <c r="E44" s="260"/>
      <c r="F44" s="261"/>
      <c r="G44" s="313"/>
      <c r="H44" s="313"/>
      <c r="J44">
        <f>IF(Shares!$A42="","",Shares!$A42)</f>
      </c>
      <c r="K44">
        <f>IF($J44="","",LEFT($J44,FIND(":",$J44)-1))</f>
      </c>
      <c r="L44">
        <f>IF($J44="","",MID($J44,FIND(":",$J44)+1,FIND(":",$J44,FIND(":",$J44)+1)-FIND(":",$J44)-1))</f>
      </c>
      <c r="M44">
        <f>IF($J44="","",RIGHT($J44,LEN($J44)-FIND(":",$J44,FIND(":",$J44)+1)))</f>
      </c>
      <c r="N44">
        <f>IF($J44="","",IF(ISNUMBER(MATCH($J44,Prices[Key],0)),"OK - in Prices","ADD TO PRICES"))</f>
      </c>
      <c r="P44">
        <f>IFERROR(INDEX(Prices[Key],ROWS($P$4:P44)),"")</f>
      </c>
      <c r="Q44">
        <f>IF($P44="","",IF(ISNUMBER(MATCH($P44,Shares!$A$2:$A$1001,0)),"held","NOT HELD - review"))</f>
      </c>
    </row>
    <row r="45" spans="1:17" ht="15" customHeight="1" x14ac:dyDescent="0.15">
      <c r="A45" s="258"/>
      <c r="B45" s="313"/>
      <c r="C45" s="313"/>
      <c r="D45" s="313"/>
      <c r="E45" s="260"/>
      <c r="F45" s="261"/>
      <c r="G45" s="313"/>
      <c r="H45" s="313"/>
      <c r="J45">
        <f>IF(Shares!$A43="","",Shares!$A43)</f>
      </c>
      <c r="K45">
        <f>IF($J45="","",LEFT($J45,FIND(":",$J45)-1))</f>
      </c>
      <c r="L45">
        <f>IF($J45="","",MID($J45,FIND(":",$J45)+1,FIND(":",$J45,FIND(":",$J45)+1)-FIND(":",$J45)-1))</f>
      </c>
      <c r="M45">
        <f>IF($J45="","",RIGHT($J45,LEN($J45)-FIND(":",$J45,FIND(":",$J45)+1)))</f>
      </c>
      <c r="N45">
        <f>IF($J45="","",IF(ISNUMBER(MATCH($J45,Prices[Key],0)),"OK - in Prices","ADD TO PRICES"))</f>
      </c>
      <c r="P45">
        <f>IFERROR(INDEX(Prices[Key],ROWS($P$4:P45)),"")</f>
      </c>
      <c r="Q45">
        <f>IF($P45="","",IF(ISNUMBER(MATCH($P45,Shares!$A$2:$A$1001,0)),"held","NOT HELD - review"))</f>
      </c>
    </row>
    <row r="46" spans="1:17" ht="15" customHeight="1" x14ac:dyDescent="0.15">
      <c r="A46" s="258"/>
      <c r="B46" s="313"/>
      <c r="C46" s="313"/>
      <c r="D46" s="313"/>
      <c r="E46" s="260"/>
      <c r="F46" s="261"/>
      <c r="G46" s="313"/>
      <c r="H46" s="313"/>
      <c r="J46">
        <f>IF(Shares!$A44="","",Shares!$A44)</f>
      </c>
      <c r="K46">
        <f>IF($J46="","",LEFT($J46,FIND(":",$J46)-1))</f>
      </c>
      <c r="L46">
        <f>IF($J46="","",MID($J46,FIND(":",$J46)+1,FIND(":",$J46,FIND(":",$J46)+1)-FIND(":",$J46)-1))</f>
      </c>
      <c r="M46">
        <f>IF($J46="","",RIGHT($J46,LEN($J46)-FIND(":",$J46,FIND(":",$J46)+1)))</f>
      </c>
      <c r="N46">
        <f>IF($J46="","",IF(ISNUMBER(MATCH($J46,Prices[Key],0)),"OK - in Prices","ADD TO PRICES"))</f>
      </c>
      <c r="P46">
        <f>IFERROR(INDEX(Prices[Key],ROWS($P$4:P46)),"")</f>
      </c>
      <c r="Q46">
        <f>IF($P46="","",IF(ISNUMBER(MATCH($P46,Shares!$A$2:$A$1001,0)),"held","NOT HELD - review"))</f>
      </c>
    </row>
    <row r="47" spans="1:17" ht="15" customHeight="1" x14ac:dyDescent="0.15">
      <c r="A47" s="258"/>
      <c r="B47" s="313"/>
      <c r="C47" s="313"/>
      <c r="D47" s="313"/>
      <c r="E47" s="260"/>
      <c r="F47" s="261"/>
      <c r="G47" s="313"/>
      <c r="H47" s="313"/>
      <c r="J47">
        <f>IF(Shares!$A45="","",Shares!$A45)</f>
      </c>
      <c r="K47">
        <f>IF($J47="","",LEFT($J47,FIND(":",$J47)-1))</f>
      </c>
      <c r="L47">
        <f>IF($J47="","",MID($J47,FIND(":",$J47)+1,FIND(":",$J47,FIND(":",$J47)+1)-FIND(":",$J47)-1))</f>
      </c>
      <c r="M47">
        <f>IF($J47="","",RIGHT($J47,LEN($J47)-FIND(":",$J47,FIND(":",$J47)+1)))</f>
      </c>
      <c r="N47">
        <f>IF($J47="","",IF(ISNUMBER(MATCH($J47,Prices[Key],0)),"OK - in Prices","ADD TO PRICES"))</f>
      </c>
      <c r="P47">
        <f>IFERROR(INDEX(Prices[Key],ROWS($P$4:P47)),"")</f>
      </c>
      <c r="Q47">
        <f>IF($P47="","",IF(ISNUMBER(MATCH($P47,Shares!$A$2:$A$1001,0)),"held","NOT HELD - review"))</f>
      </c>
    </row>
    <row r="48" spans="1:17" ht="15" customHeight="1" x14ac:dyDescent="0.15">
      <c r="A48" s="258"/>
      <c r="B48" s="313"/>
      <c r="C48" s="313"/>
      <c r="D48" s="313"/>
      <c r="E48" s="260"/>
      <c r="F48" s="261"/>
      <c r="G48" s="313"/>
      <c r="H48" s="313"/>
      <c r="J48">
        <f>IF(Shares!$A46="","",Shares!$A46)</f>
      </c>
      <c r="K48">
        <f>IF($J48="","",LEFT($J48,FIND(":",$J48)-1))</f>
      </c>
      <c r="L48">
        <f>IF($J48="","",MID($J48,FIND(":",$J48)+1,FIND(":",$J48,FIND(":",$J48)+1)-FIND(":",$J48)-1))</f>
      </c>
      <c r="M48">
        <f>IF($J48="","",RIGHT($J48,LEN($J48)-FIND(":",$J48,FIND(":",$J48)+1)))</f>
      </c>
      <c r="N48">
        <f>IF($J48="","",IF(ISNUMBER(MATCH($J48,Prices[Key],0)),"OK - in Prices","ADD TO PRICES"))</f>
      </c>
      <c r="P48">
        <f>IFERROR(INDEX(Prices[Key],ROWS($P$4:P48)),"")</f>
      </c>
      <c r="Q48">
        <f>IF($P48="","",IF(ISNUMBER(MATCH($P48,Shares!$A$2:$A$1001,0)),"held","NOT HELD - review"))</f>
      </c>
    </row>
    <row r="49" spans="1:17" ht="15" customHeight="1" x14ac:dyDescent="0.15">
      <c r="A49" s="258"/>
      <c r="B49" s="313"/>
      <c r="C49" s="313"/>
      <c r="D49" s="313"/>
      <c r="E49" s="260"/>
      <c r="F49" s="261"/>
      <c r="G49" s="313"/>
      <c r="H49" s="313"/>
      <c r="J49">
        <f>IF(Shares!$A47="","",Shares!$A47)</f>
      </c>
      <c r="K49">
        <f>IF($J49="","",LEFT($J49,FIND(":",$J49)-1))</f>
      </c>
      <c r="L49">
        <f>IF($J49="","",MID($J49,FIND(":",$J49)+1,FIND(":",$J49,FIND(":",$J49)+1)-FIND(":",$J49)-1))</f>
      </c>
      <c r="M49">
        <f>IF($J49="","",RIGHT($J49,LEN($J49)-FIND(":",$J49,FIND(":",$J49)+1)))</f>
      </c>
      <c r="N49">
        <f>IF($J49="","",IF(ISNUMBER(MATCH($J49,Prices[Key],0)),"OK - in Prices","ADD TO PRICES"))</f>
      </c>
      <c r="P49">
        <f>IFERROR(INDEX(Prices[Key],ROWS($P$4:P49)),"")</f>
      </c>
      <c r="Q49">
        <f>IF($P49="","",IF(ISNUMBER(MATCH($P49,Shares!$A$2:$A$1001,0)),"held","NOT HELD - review"))</f>
      </c>
    </row>
    <row r="50" spans="1:17" ht="15" customHeight="1" x14ac:dyDescent="0.15">
      <c r="A50" s="258"/>
      <c r="B50" s="313"/>
      <c r="C50" s="313"/>
      <c r="D50" s="313"/>
      <c r="E50" s="260"/>
      <c r="F50" s="261"/>
      <c r="G50" s="313"/>
      <c r="H50" s="313"/>
      <c r="J50">
        <f>IF(Shares!$A48="","",Shares!$A48)</f>
      </c>
      <c r="K50">
        <f>IF($J50="","",LEFT($J50,FIND(":",$J50)-1))</f>
      </c>
      <c r="L50">
        <f>IF($J50="","",MID($J50,FIND(":",$J50)+1,FIND(":",$J50,FIND(":",$J50)+1)-FIND(":",$J50)-1))</f>
      </c>
      <c r="M50">
        <f>IF($J50="","",RIGHT($J50,LEN($J50)-FIND(":",$J50,FIND(":",$J50)+1)))</f>
      </c>
      <c r="N50">
        <f>IF($J50="","",IF(ISNUMBER(MATCH($J50,Prices[Key],0)),"OK - in Prices","ADD TO PRICES"))</f>
      </c>
      <c r="P50">
        <f>IFERROR(INDEX(Prices[Key],ROWS($P$4:P50)),"")</f>
      </c>
      <c r="Q50">
        <f>IF($P50="","",IF(ISNUMBER(MATCH($P50,Shares!$A$2:$A$1001,0)),"held","NOT HELD - review"))</f>
      </c>
    </row>
    <row r="51" spans="1:17" ht="15" customHeight="1" x14ac:dyDescent="0.15">
      <c r="A51" s="258"/>
      <c r="B51" s="313"/>
      <c r="C51" s="313"/>
      <c r="D51" s="313"/>
      <c r="E51" s="260"/>
      <c r="F51" s="261"/>
      <c r="G51" s="313"/>
      <c r="H51" s="313"/>
      <c r="J51">
        <f>IF(Shares!$A49="","",Shares!$A49)</f>
      </c>
      <c r="K51">
        <f>IF($J51="","",LEFT($J51,FIND(":",$J51)-1))</f>
      </c>
      <c r="L51">
        <f>IF($J51="","",MID($J51,FIND(":",$J51)+1,FIND(":",$J51,FIND(":",$J51)+1)-FIND(":",$J51)-1))</f>
      </c>
      <c r="M51">
        <f>IF($J51="","",RIGHT($J51,LEN($J51)-FIND(":",$J51,FIND(":",$J51)+1)))</f>
      </c>
      <c r="N51">
        <f>IF($J51="","",IF(ISNUMBER(MATCH($J51,Prices[Key],0)),"OK - in Prices","ADD TO PRICES"))</f>
      </c>
      <c r="P51">
        <f>IFERROR(INDEX(Prices[Key],ROWS($P$4:P51)),"")</f>
      </c>
      <c r="Q51">
        <f>IF($P51="","",IF(ISNUMBER(MATCH($P51,Shares!$A$2:$A$1001,0)),"held","NOT HELD - review"))</f>
      </c>
    </row>
    <row r="52" spans="1:17" ht="15" customHeight="1" x14ac:dyDescent="0.15">
      <c r="A52" s="258"/>
      <c r="B52" s="313"/>
      <c r="C52" s="313"/>
      <c r="D52" s="313"/>
      <c r="E52" s="260"/>
      <c r="F52" s="261"/>
      <c r="G52" s="313"/>
      <c r="H52" s="313"/>
      <c r="J52">
        <f>IF(Shares!$A50="","",Shares!$A50)</f>
      </c>
      <c r="K52">
        <f>IF($J52="","",LEFT($J52,FIND(":",$J52)-1))</f>
      </c>
      <c r="L52">
        <f>IF($J52="","",MID($J52,FIND(":",$J52)+1,FIND(":",$J52,FIND(":",$J52)+1)-FIND(":",$J52)-1))</f>
      </c>
      <c r="M52">
        <f>IF($J52="","",RIGHT($J52,LEN($J52)-FIND(":",$J52,FIND(":",$J52)+1)))</f>
      </c>
      <c r="N52">
        <f>IF($J52="","",IF(ISNUMBER(MATCH($J52,Prices[Key],0)),"OK - in Prices","ADD TO PRICES"))</f>
      </c>
      <c r="P52">
        <f>IFERROR(INDEX(Prices[Key],ROWS($P$4:P52)),"")</f>
      </c>
      <c r="Q52">
        <f>IF($P52="","",IF(ISNUMBER(MATCH($P52,Shares!$A$2:$A$1001,0)),"held","NOT HELD - review"))</f>
      </c>
    </row>
    <row r="53" spans="1:17" ht="15" customHeight="1" x14ac:dyDescent="0.15">
      <c r="A53" s="258"/>
      <c r="B53" s="313"/>
      <c r="C53" s="313"/>
      <c r="D53" s="313"/>
      <c r="E53" s="260"/>
      <c r="F53" s="261"/>
      <c r="G53" s="313"/>
      <c r="H53" s="313"/>
      <c r="J53">
        <f>IF(Shares!$A51="","",Shares!$A51)</f>
      </c>
      <c r="K53">
        <f>IF($J53="","",LEFT($J53,FIND(":",$J53)-1))</f>
      </c>
      <c r="L53">
        <f>IF($J53="","",MID($J53,FIND(":",$J53)+1,FIND(":",$J53,FIND(":",$J53)+1)-FIND(":",$J53)-1))</f>
      </c>
      <c r="M53">
        <f>IF($J53="","",RIGHT($J53,LEN($J53)-FIND(":",$J53,FIND(":",$J53)+1)))</f>
      </c>
      <c r="N53">
        <f>IF($J53="","",IF(ISNUMBER(MATCH($J53,Prices[Key],0)),"OK - in Prices","ADD TO PRICES"))</f>
      </c>
      <c r="P53">
        <f>IFERROR(INDEX(Prices[Key],ROWS($P$4:P53)),"")</f>
      </c>
      <c r="Q53">
        <f>IF($P53="","",IF(ISNUMBER(MATCH($P53,Shares!$A$2:$A$1001,0)),"held","NOT HELD - review"))</f>
      </c>
    </row>
    <row r="54" spans="1:17" ht="15" customHeight="1" x14ac:dyDescent="0.15">
      <c r="A54" s="258"/>
      <c r="B54" s="313"/>
      <c r="C54" s="313"/>
      <c r="D54" s="313"/>
      <c r="E54" s="260"/>
      <c r="F54" s="261"/>
      <c r="G54" s="313"/>
      <c r="H54" s="313"/>
      <c r="J54">
        <f>IF(Shares!$A52="","",Shares!$A52)</f>
      </c>
      <c r="K54">
        <f>IF($J54="","",LEFT($J54,FIND(":",$J54)-1))</f>
      </c>
      <c r="L54">
        <f>IF($J54="","",MID($J54,FIND(":",$J54)+1,FIND(":",$J54,FIND(":",$J54)+1)-FIND(":",$J54)-1))</f>
      </c>
      <c r="M54">
        <f>IF($J54="","",RIGHT($J54,LEN($J54)-FIND(":",$J54,FIND(":",$J54)+1)))</f>
      </c>
      <c r="N54">
        <f>IF($J54="","",IF(ISNUMBER(MATCH($J54,Prices[Key],0)),"OK - in Prices","ADD TO PRICES"))</f>
      </c>
      <c r="P54">
        <f>IFERROR(INDEX(Prices[Key],ROWS($P$4:P54)),"")</f>
      </c>
      <c r="Q54">
        <f>IF($P54="","",IF(ISNUMBER(MATCH($P54,Shares!$A$2:$A$1001,0)),"held","NOT HELD - review"))</f>
      </c>
    </row>
    <row r="55" spans="1:17" ht="15" customHeight="1" x14ac:dyDescent="0.15">
      <c r="A55" s="258"/>
      <c r="B55" s="313"/>
      <c r="C55" s="313"/>
      <c r="D55" s="313"/>
      <c r="E55" s="260"/>
      <c r="F55" s="261"/>
      <c r="G55" s="313"/>
      <c r="H55" s="313"/>
      <c r="J55">
        <f>IF(Shares!$A53="","",Shares!$A53)</f>
      </c>
      <c r="K55">
        <f>IF($J55="","",LEFT($J55,FIND(":",$J55)-1))</f>
      </c>
      <c r="L55">
        <f>IF($J55="","",MID($J55,FIND(":",$J55)+1,FIND(":",$J55,FIND(":",$J55)+1)-FIND(":",$J55)-1))</f>
      </c>
      <c r="M55">
        <f>IF($J55="","",RIGHT($J55,LEN($J55)-FIND(":",$J55,FIND(":",$J55)+1)))</f>
      </c>
      <c r="N55">
        <f>IF($J55="","",IF(ISNUMBER(MATCH($J55,Prices[Key],0)),"OK - in Prices","ADD TO PRICES"))</f>
      </c>
      <c r="P55">
        <f>IFERROR(INDEX(Prices[Key],ROWS($P$4:P55)),"")</f>
      </c>
      <c r="Q55">
        <f>IF($P55="","",IF(ISNUMBER(MATCH($P55,Shares!$A$2:$A$1001,0)),"held","NOT HELD - review"))</f>
      </c>
    </row>
    <row r="56" spans="1:17" ht="15" customHeight="1" x14ac:dyDescent="0.15">
      <c r="A56" s="258"/>
      <c r="B56" s="313"/>
      <c r="C56" s="313"/>
      <c r="D56" s="313"/>
      <c r="E56" s="260"/>
      <c r="F56" s="261"/>
      <c r="G56" s="313"/>
      <c r="H56" s="313"/>
      <c r="J56">
        <f>IF(Shares!$A54="","",Shares!$A54)</f>
      </c>
      <c r="K56">
        <f>IF($J56="","",LEFT($J56,FIND(":",$J56)-1))</f>
      </c>
      <c r="L56">
        <f>IF($J56="","",MID($J56,FIND(":",$J56)+1,FIND(":",$J56,FIND(":",$J56)+1)-FIND(":",$J56)-1))</f>
      </c>
      <c r="M56">
        <f>IF($J56="","",RIGHT($J56,LEN($J56)-FIND(":",$J56,FIND(":",$J56)+1)))</f>
      </c>
      <c r="N56">
        <f>IF($J56="","",IF(ISNUMBER(MATCH($J56,Prices[Key],0)),"OK - in Prices","ADD TO PRICES"))</f>
      </c>
      <c r="P56">
        <f>IFERROR(INDEX(Prices[Key],ROWS($P$4:P56)),"")</f>
      </c>
      <c r="Q56">
        <f>IF($P56="","",IF(ISNUMBER(MATCH($P56,Shares!$A$2:$A$1001,0)),"held","NOT HELD - review"))</f>
      </c>
    </row>
    <row r="57" spans="1:17" ht="15" customHeight="1" x14ac:dyDescent="0.15">
      <c r="A57" s="258"/>
      <c r="B57" s="313"/>
      <c r="C57" s="313"/>
      <c r="D57" s="313"/>
      <c r="E57" s="260"/>
      <c r="F57" s="261"/>
      <c r="G57" s="313"/>
      <c r="H57" s="313"/>
      <c r="J57">
        <f>IF(Shares!$A55="","",Shares!$A55)</f>
      </c>
      <c r="K57">
        <f>IF($J57="","",LEFT($J57,FIND(":",$J57)-1))</f>
      </c>
      <c r="L57">
        <f>IF($J57="","",MID($J57,FIND(":",$J57)+1,FIND(":",$J57,FIND(":",$J57)+1)-FIND(":",$J57)-1))</f>
      </c>
      <c r="M57">
        <f>IF($J57="","",RIGHT($J57,LEN($J57)-FIND(":",$J57,FIND(":",$J57)+1)))</f>
      </c>
      <c r="N57">
        <f>IF($J57="","",IF(ISNUMBER(MATCH($J57,Prices[Key],0)),"OK - in Prices","ADD TO PRICES"))</f>
      </c>
      <c r="P57">
        <f>IFERROR(INDEX(Prices[Key],ROWS($P$4:P57)),"")</f>
      </c>
      <c r="Q57">
        <f>IF($P57="","",IF(ISNUMBER(MATCH($P57,Shares!$A$2:$A$1001,0)),"held","NOT HELD - review"))</f>
      </c>
    </row>
    <row r="58" spans="1:17" ht="15" customHeight="1" x14ac:dyDescent="0.15">
      <c r="A58" s="258"/>
      <c r="B58" s="313"/>
      <c r="C58" s="313"/>
      <c r="D58" s="313"/>
      <c r="E58" s="260"/>
      <c r="F58" s="261"/>
      <c r="G58" s="313"/>
      <c r="H58" s="313"/>
      <c r="J58">
        <f>IF(Shares!$A56="","",Shares!$A56)</f>
      </c>
      <c r="K58">
        <f>IF($J58="","",LEFT($J58,FIND(":",$J58)-1))</f>
      </c>
      <c r="L58">
        <f>IF($J58="","",MID($J58,FIND(":",$J58)+1,FIND(":",$J58,FIND(":",$J58)+1)-FIND(":",$J58)-1))</f>
      </c>
      <c r="M58">
        <f>IF($J58="","",RIGHT($J58,LEN($J58)-FIND(":",$J58,FIND(":",$J58)+1)))</f>
      </c>
      <c r="N58">
        <f>IF($J58="","",IF(ISNUMBER(MATCH($J58,Prices[Key],0)),"OK - in Prices","ADD TO PRICES"))</f>
      </c>
      <c r="P58">
        <f>IFERROR(INDEX(Prices[Key],ROWS($P$4:P58)),"")</f>
      </c>
      <c r="Q58">
        <f>IF($P58="","",IF(ISNUMBER(MATCH($P58,Shares!$A$2:$A$1001,0)),"held","NOT HELD - review"))</f>
      </c>
    </row>
    <row r="59" spans="1:17" ht="15" customHeight="1" x14ac:dyDescent="0.15">
      <c r="A59" s="258"/>
      <c r="B59" s="313"/>
      <c r="C59" s="313"/>
      <c r="D59" s="313"/>
      <c r="E59" s="260"/>
      <c r="F59" s="261"/>
      <c r="G59" s="313"/>
      <c r="H59" s="313"/>
      <c r="J59">
        <f>IF(Shares!$A57="","",Shares!$A57)</f>
      </c>
      <c r="K59">
        <f>IF($J59="","",LEFT($J59,FIND(":",$J59)-1))</f>
      </c>
      <c r="L59">
        <f>IF($J59="","",MID($J59,FIND(":",$J59)+1,FIND(":",$J59,FIND(":",$J59)+1)-FIND(":",$J59)-1))</f>
      </c>
      <c r="M59">
        <f>IF($J59="","",RIGHT($J59,LEN($J59)-FIND(":",$J59,FIND(":",$J59)+1)))</f>
      </c>
      <c r="N59">
        <f>IF($J59="","",IF(ISNUMBER(MATCH($J59,Prices[Key],0)),"OK - in Prices","ADD TO PRICES"))</f>
      </c>
      <c r="P59">
        <f>IFERROR(INDEX(Prices[Key],ROWS($P$4:P59)),"")</f>
      </c>
      <c r="Q59">
        <f>IF($P59="","",IF(ISNUMBER(MATCH($P59,Shares!$A$2:$A$1001,0)),"held","NOT HELD - review"))</f>
      </c>
    </row>
    <row r="60" spans="1:17" ht="15" customHeight="1" x14ac:dyDescent="0.15">
      <c r="A60" s="258"/>
      <c r="B60" s="313"/>
      <c r="C60" s="313"/>
      <c r="D60" s="313"/>
      <c r="E60" s="260"/>
      <c r="F60" s="261"/>
      <c r="G60" s="313"/>
      <c r="H60" s="313"/>
      <c r="J60">
        <f>IF(Shares!$A58="","",Shares!$A58)</f>
      </c>
      <c r="K60">
        <f>IF($J60="","",LEFT($J60,FIND(":",$J60)-1))</f>
      </c>
      <c r="L60">
        <f>IF($J60="","",MID($J60,FIND(":",$J60)+1,FIND(":",$J60,FIND(":",$J60)+1)-FIND(":",$J60)-1))</f>
      </c>
      <c r="M60">
        <f>IF($J60="","",RIGHT($J60,LEN($J60)-FIND(":",$J60,FIND(":",$J60)+1)))</f>
      </c>
      <c r="N60">
        <f>IF($J60="","",IF(ISNUMBER(MATCH($J60,Prices[Key],0)),"OK - in Prices","ADD TO PRICES"))</f>
      </c>
      <c r="P60">
        <f>IFERROR(INDEX(Prices[Key],ROWS($P$4:P60)),"")</f>
      </c>
      <c r="Q60">
        <f>IF($P60="","",IF(ISNUMBER(MATCH($P60,Shares!$A$2:$A$1001,0)),"held","NOT HELD - review"))</f>
      </c>
    </row>
    <row r="61" spans="1:17" ht="15" customHeight="1" x14ac:dyDescent="0.15">
      <c r="A61" s="258"/>
      <c r="B61" s="313"/>
      <c r="C61" s="313"/>
      <c r="D61" s="313"/>
      <c r="E61" s="260"/>
      <c r="F61" s="261"/>
      <c r="G61" s="313"/>
      <c r="H61" s="313"/>
      <c r="J61">
        <f>IF(Shares!$A59="","",Shares!$A59)</f>
      </c>
      <c r="K61">
        <f>IF($J61="","",LEFT($J61,FIND(":",$J61)-1))</f>
      </c>
      <c r="L61">
        <f>IF($J61="","",MID($J61,FIND(":",$J61)+1,FIND(":",$J61,FIND(":",$J61)+1)-FIND(":",$J61)-1))</f>
      </c>
      <c r="M61">
        <f>IF($J61="","",RIGHT($J61,LEN($J61)-FIND(":",$J61,FIND(":",$J61)+1)))</f>
      </c>
      <c r="N61">
        <f>IF($J61="","",IF(ISNUMBER(MATCH($J61,Prices[Key],0)),"OK - in Prices","ADD TO PRICES"))</f>
      </c>
      <c r="P61">
        <f>IFERROR(INDEX(Prices[Key],ROWS($P$4:P61)),"")</f>
      </c>
      <c r="Q61">
        <f>IF($P61="","",IF(ISNUMBER(MATCH($P61,Shares!$A$2:$A$1001,0)),"held","NOT HELD - review"))</f>
      </c>
    </row>
    <row r="62" spans="1:17" ht="15" customHeight="1" x14ac:dyDescent="0.15">
      <c r="A62" s="258"/>
      <c r="B62" s="313"/>
      <c r="C62" s="313"/>
      <c r="D62" s="313"/>
      <c r="E62" s="260"/>
      <c r="F62" s="261"/>
      <c r="G62" s="313"/>
      <c r="H62" s="313"/>
      <c r="J62">
        <f>IF(Shares!$A60="","",Shares!$A60)</f>
      </c>
      <c r="K62">
        <f>IF($J62="","",LEFT($J62,FIND(":",$J62)-1))</f>
      </c>
      <c r="L62">
        <f>IF($J62="","",MID($J62,FIND(":",$J62)+1,FIND(":",$J62,FIND(":",$J62)+1)-FIND(":",$J62)-1))</f>
      </c>
      <c r="M62">
        <f>IF($J62="","",RIGHT($J62,LEN($J62)-FIND(":",$J62,FIND(":",$J62)+1)))</f>
      </c>
      <c r="N62">
        <f>IF($J62="","",IF(ISNUMBER(MATCH($J62,Prices[Key],0)),"OK - in Prices","ADD TO PRICES"))</f>
      </c>
      <c r="P62">
        <f>IFERROR(INDEX(Prices[Key],ROWS($P$4:P62)),"")</f>
      </c>
      <c r="Q62">
        <f>IF($P62="","",IF(ISNUMBER(MATCH($P62,Shares!$A$2:$A$1001,0)),"held","NOT HELD - review"))</f>
      </c>
    </row>
    <row r="63" spans="1:17" ht="15" customHeight="1" x14ac:dyDescent="0.15">
      <c r="A63" s="258"/>
      <c r="B63" s="313"/>
      <c r="C63" s="313"/>
      <c r="D63" s="313"/>
      <c r="E63" s="260"/>
      <c r="F63" s="261"/>
      <c r="G63" s="313"/>
      <c r="H63" s="313"/>
      <c r="J63">
        <f>IF(Shares!$A61="","",Shares!$A61)</f>
      </c>
      <c r="K63">
        <f>IF($J63="","",LEFT($J63,FIND(":",$J63)-1))</f>
      </c>
      <c r="L63">
        <f>IF($J63="","",MID($J63,FIND(":",$J63)+1,FIND(":",$J63,FIND(":",$J63)+1)-FIND(":",$J63)-1))</f>
      </c>
      <c r="M63">
        <f>IF($J63="","",RIGHT($J63,LEN($J63)-FIND(":",$J63,FIND(":",$J63)+1)))</f>
      </c>
      <c r="N63">
        <f>IF($J63="","",IF(ISNUMBER(MATCH($J63,Prices[Key],0)),"OK - in Prices","ADD TO PRICES"))</f>
      </c>
      <c r="P63">
        <f>IFERROR(INDEX(Prices[Key],ROWS($P$4:P63)),"")</f>
      </c>
      <c r="Q63">
        <f>IF($P63="","",IF(ISNUMBER(MATCH($P63,Shares!$A$2:$A$1001,0)),"held","NOT HELD - review"))</f>
      </c>
    </row>
    <row r="64" spans="1:17" ht="15" customHeight="1" x14ac:dyDescent="0.15">
      <c r="A64" s="258"/>
      <c r="B64" s="313"/>
      <c r="C64" s="313"/>
      <c r="D64" s="313"/>
      <c r="E64" s="260"/>
      <c r="F64" s="261"/>
      <c r="G64" s="313"/>
      <c r="H64" s="313"/>
      <c r="J64">
        <f>IF(Shares!$A62="","",Shares!$A62)</f>
      </c>
      <c r="K64">
        <f>IF($J64="","",LEFT($J64,FIND(":",$J64)-1))</f>
      </c>
      <c r="L64">
        <f>IF($J64="","",MID($J64,FIND(":",$J64)+1,FIND(":",$J64,FIND(":",$J64)+1)-FIND(":",$J64)-1))</f>
      </c>
      <c r="M64">
        <f>IF($J64="","",RIGHT($J64,LEN($J64)-FIND(":",$J64,FIND(":",$J64)+1)))</f>
      </c>
      <c r="N64">
        <f>IF($J64="","",IF(ISNUMBER(MATCH($J64,Prices[Key],0)),"OK - in Prices","ADD TO PRICES"))</f>
      </c>
      <c r="P64">
        <f>IFERROR(INDEX(Prices[Key],ROWS($P$4:P64)),"")</f>
      </c>
      <c r="Q64">
        <f>IF($P64="","",IF(ISNUMBER(MATCH($P64,Shares!$A$2:$A$1001,0)),"held","NOT HELD - review"))</f>
      </c>
    </row>
    <row r="65" spans="1:17" ht="15" customHeight="1" x14ac:dyDescent="0.15">
      <c r="A65" s="258"/>
      <c r="B65" s="313"/>
      <c r="C65" s="313"/>
      <c r="D65" s="313"/>
      <c r="E65" s="260"/>
      <c r="F65" s="261"/>
      <c r="G65" s="313"/>
      <c r="H65" s="313"/>
      <c r="J65">
        <f>IF(Shares!$A63="","",Shares!$A63)</f>
      </c>
      <c r="K65">
        <f>IF($J65="","",LEFT($J65,FIND(":",$J65)-1))</f>
      </c>
      <c r="L65">
        <f>IF($J65="","",MID($J65,FIND(":",$J65)+1,FIND(":",$J65,FIND(":",$J65)+1)-FIND(":",$J65)-1))</f>
      </c>
      <c r="M65">
        <f>IF($J65="","",RIGHT($J65,LEN($J65)-FIND(":",$J65,FIND(":",$J65)+1)))</f>
      </c>
      <c r="N65">
        <f>IF($J65="","",IF(ISNUMBER(MATCH($J65,Prices[Key],0)),"OK - in Prices","ADD TO PRICES"))</f>
      </c>
      <c r="P65">
        <f>IFERROR(INDEX(Prices[Key],ROWS($P$4:P65)),"")</f>
      </c>
      <c r="Q65">
        <f>IF($P65="","",IF(ISNUMBER(MATCH($P65,Shares!$A$2:$A$1001,0)),"held","NOT HELD - review"))</f>
      </c>
    </row>
    <row r="66" spans="1:17" ht="15" customHeight="1" x14ac:dyDescent="0.15">
      <c r="A66" s="258"/>
      <c r="B66" s="313"/>
      <c r="C66" s="313"/>
      <c r="D66" s="313"/>
      <c r="E66" s="260"/>
      <c r="F66" s="261"/>
      <c r="G66" s="313"/>
      <c r="H66" s="313"/>
      <c r="J66">
        <f>IF(Shares!$A64="","",Shares!$A64)</f>
      </c>
      <c r="K66">
        <f>IF($J66="","",LEFT($J66,FIND(":",$J66)-1))</f>
      </c>
      <c r="L66">
        <f>IF($J66="","",MID($J66,FIND(":",$J66)+1,FIND(":",$J66,FIND(":",$J66)+1)-FIND(":",$J66)-1))</f>
      </c>
      <c r="M66">
        <f>IF($J66="","",RIGHT($J66,LEN($J66)-FIND(":",$J66,FIND(":",$J66)+1)))</f>
      </c>
      <c r="N66">
        <f>IF($J66="","",IF(ISNUMBER(MATCH($J66,Prices[Key],0)),"OK - in Prices","ADD TO PRICES"))</f>
      </c>
      <c r="P66">
        <f>IFERROR(INDEX(Prices[Key],ROWS($P$4:P66)),"")</f>
      </c>
      <c r="Q66">
        <f>IF($P66="","",IF(ISNUMBER(MATCH($P66,Shares!$A$2:$A$1001,0)),"held","NOT HELD - review"))</f>
      </c>
    </row>
    <row r="67" spans="1:17" ht="15" customHeight="1" x14ac:dyDescent="0.15">
      <c r="A67" s="258"/>
      <c r="B67" s="313"/>
      <c r="C67" s="313"/>
      <c r="D67" s="313"/>
      <c r="E67" s="260"/>
      <c r="F67" s="261"/>
      <c r="G67" s="313"/>
      <c r="H67" s="313"/>
      <c r="J67">
        <f>IF(Shares!$A65="","",Shares!$A65)</f>
      </c>
      <c r="K67">
        <f>IF($J67="","",LEFT($J67,FIND(":",$J67)-1))</f>
      </c>
      <c r="L67">
        <f>IF($J67="","",MID($J67,FIND(":",$J67)+1,FIND(":",$J67,FIND(":",$J67)+1)-FIND(":",$J67)-1))</f>
      </c>
      <c r="M67">
        <f>IF($J67="","",RIGHT($J67,LEN($J67)-FIND(":",$J67,FIND(":",$J67)+1)))</f>
      </c>
      <c r="N67">
        <f>IF($J67="","",IF(ISNUMBER(MATCH($J67,Prices[Key],0)),"OK - in Prices","ADD TO PRICES"))</f>
      </c>
      <c r="P67">
        <f>IFERROR(INDEX(Prices[Key],ROWS($P$4:P67)),"")</f>
      </c>
      <c r="Q67">
        <f>IF($P67="","",IF(ISNUMBER(MATCH($P67,Shares!$A$2:$A$1001,0)),"held","NOT HELD - review"))</f>
      </c>
    </row>
    <row r="68" spans="1:17" ht="15" customHeight="1" x14ac:dyDescent="0.15">
      <c r="A68" s="258"/>
      <c r="B68" s="313"/>
      <c r="C68" s="313"/>
      <c r="D68" s="313"/>
      <c r="E68" s="260"/>
      <c r="F68" s="261"/>
      <c r="G68" s="313"/>
      <c r="H68" s="313"/>
      <c r="J68">
        <f>IF(Shares!$A66="","",Shares!$A66)</f>
      </c>
      <c r="K68">
        <f>IF($J68="","",LEFT($J68,FIND(":",$J68)-1))</f>
      </c>
      <c r="L68">
        <f>IF($J68="","",MID($J68,FIND(":",$J68)+1,FIND(":",$J68,FIND(":",$J68)+1)-FIND(":",$J68)-1))</f>
      </c>
      <c r="M68">
        <f>IF($J68="","",RIGHT($J68,LEN($J68)-FIND(":",$J68,FIND(":",$J68)+1)))</f>
      </c>
      <c r="N68">
        <f>IF($J68="","",IF(ISNUMBER(MATCH($J68,Prices[Key],0)),"OK - in Prices","ADD TO PRICES"))</f>
      </c>
      <c r="P68">
        <f>IFERROR(INDEX(Prices[Key],ROWS($P$4:P68)),"")</f>
      </c>
      <c r="Q68">
        <f>IF($P68="","",IF(ISNUMBER(MATCH($P68,Shares!$A$2:$A$1001,0)),"held","NOT HELD - review"))</f>
      </c>
    </row>
    <row r="69" spans="1:17" ht="15" customHeight="1" x14ac:dyDescent="0.15">
      <c r="A69" s="258"/>
      <c r="B69" s="313"/>
      <c r="C69" s="313"/>
      <c r="D69" s="313"/>
      <c r="E69" s="260"/>
      <c r="F69" s="261"/>
      <c r="G69" s="313"/>
      <c r="H69" s="313"/>
      <c r="J69">
        <f>IF(Shares!$A67="","",Shares!$A67)</f>
      </c>
      <c r="K69">
        <f>IF($J69="","",LEFT($J69,FIND(":",$J69)-1))</f>
      </c>
      <c r="L69">
        <f>IF($J69="","",MID($J69,FIND(":",$J69)+1,FIND(":",$J69,FIND(":",$J69)+1)-FIND(":",$J69)-1))</f>
      </c>
      <c r="M69">
        <f>IF($J69="","",RIGHT($J69,LEN($J69)-FIND(":",$J69,FIND(":",$J69)+1)))</f>
      </c>
      <c r="N69">
        <f>IF($J69="","",IF(ISNUMBER(MATCH($J69,Prices[Key],0)),"OK - in Prices","ADD TO PRICES"))</f>
      </c>
      <c r="P69">
        <f>IFERROR(INDEX(Prices[Key],ROWS($P$4:P69)),"")</f>
      </c>
      <c r="Q69">
        <f>IF($P69="","",IF(ISNUMBER(MATCH($P69,Shares!$A$2:$A$1001,0)),"held","NOT HELD - review"))</f>
      </c>
    </row>
    <row r="70" spans="1:17" ht="15" customHeight="1" x14ac:dyDescent="0.15">
      <c r="A70" s="258"/>
      <c r="B70" s="313"/>
      <c r="C70" s="313"/>
      <c r="D70" s="313"/>
      <c r="E70" s="260"/>
      <c r="F70" s="261"/>
      <c r="G70" s="313"/>
      <c r="H70" s="313"/>
      <c r="J70">
        <f>IF(Shares!$A68="","",Shares!$A68)</f>
      </c>
      <c r="K70">
        <f>IF($J70="","",LEFT($J70,FIND(":",$J70)-1))</f>
      </c>
      <c r="L70">
        <f>IF($J70="","",MID($J70,FIND(":",$J70)+1,FIND(":",$J70,FIND(":",$J70)+1)-FIND(":",$J70)-1))</f>
      </c>
      <c r="M70">
        <f>IF($J70="","",RIGHT($J70,LEN($J70)-FIND(":",$J70,FIND(":",$J70)+1)))</f>
      </c>
      <c r="N70">
        <f>IF($J70="","",IF(ISNUMBER(MATCH($J70,Prices[Key],0)),"OK - in Prices","ADD TO PRICES"))</f>
      </c>
      <c r="P70">
        <f>IFERROR(INDEX(Prices[Key],ROWS($P$4:P70)),"")</f>
      </c>
      <c r="Q70">
        <f>IF($P70="","",IF(ISNUMBER(MATCH($P70,Shares!$A$2:$A$1001,0)),"held","NOT HELD - review"))</f>
      </c>
    </row>
    <row r="71" spans="1:17" ht="15" customHeight="1" x14ac:dyDescent="0.15">
      <c r="A71" s="258"/>
      <c r="B71" s="313"/>
      <c r="C71" s="313"/>
      <c r="D71" s="313"/>
      <c r="E71" s="260"/>
      <c r="F71" s="261"/>
      <c r="G71" s="313"/>
      <c r="H71" s="313"/>
      <c r="J71">
        <f>IF(Shares!$A69="","",Shares!$A69)</f>
      </c>
      <c r="K71">
        <f>IF($J71="","",LEFT($J71,FIND(":",$J71)-1))</f>
      </c>
      <c r="L71">
        <f>IF($J71="","",MID($J71,FIND(":",$J71)+1,FIND(":",$J71,FIND(":",$J71)+1)-FIND(":",$J71)-1))</f>
      </c>
      <c r="M71">
        <f>IF($J71="","",RIGHT($J71,LEN($J71)-FIND(":",$J71,FIND(":",$J71)+1)))</f>
      </c>
      <c r="N71">
        <f>IF($J71="","",IF(ISNUMBER(MATCH($J71,Prices[Key],0)),"OK - in Prices","ADD TO PRICES"))</f>
      </c>
      <c r="P71">
        <f>IFERROR(INDEX(Prices[Key],ROWS($P$4:P71)),"")</f>
      </c>
      <c r="Q71">
        <f>IF($P71="","",IF(ISNUMBER(MATCH($P71,Shares!$A$2:$A$1001,0)),"held","NOT HELD - review"))</f>
      </c>
    </row>
    <row r="72" spans="1:17" ht="15" customHeight="1" x14ac:dyDescent="0.15">
      <c r="A72" s="258"/>
      <c r="B72" s="313"/>
      <c r="C72" s="313"/>
      <c r="D72" s="313"/>
      <c r="E72" s="260"/>
      <c r="F72" s="261"/>
      <c r="G72" s="313"/>
      <c r="H72" s="313"/>
      <c r="J72">
        <f>IF(Shares!$A70="","",Shares!$A70)</f>
      </c>
      <c r="K72">
        <f>IF($J72="","",LEFT($J72,FIND(":",$J72)-1))</f>
      </c>
      <c r="L72">
        <f>IF($J72="","",MID($J72,FIND(":",$J72)+1,FIND(":",$J72,FIND(":",$J72)+1)-FIND(":",$J72)-1))</f>
      </c>
      <c r="M72">
        <f>IF($J72="","",RIGHT($J72,LEN($J72)-FIND(":",$J72,FIND(":",$J72)+1)))</f>
      </c>
      <c r="N72">
        <f>IF($J72="","",IF(ISNUMBER(MATCH($J72,Prices[Key],0)),"OK - in Prices","ADD TO PRICES"))</f>
      </c>
      <c r="P72">
        <f>IFERROR(INDEX(Prices[Key],ROWS($P$4:P72)),"")</f>
      </c>
      <c r="Q72">
        <f>IF($P72="","",IF(ISNUMBER(MATCH($P72,Shares!$A$2:$A$1001,0)),"held","NOT HELD - review"))</f>
      </c>
    </row>
    <row r="73" spans="1:17" ht="15" customHeight="1" x14ac:dyDescent="0.15">
      <c r="A73" s="258"/>
      <c r="B73" s="313"/>
      <c r="C73" s="313"/>
      <c r="D73" s="313"/>
      <c r="E73" s="260"/>
      <c r="F73" s="261"/>
      <c r="G73" s="313"/>
      <c r="H73" s="313"/>
      <c r="J73">
        <f>IF(Shares!$A71="","",Shares!$A71)</f>
      </c>
      <c r="K73">
        <f>IF($J73="","",LEFT($J73,FIND(":",$J73)-1))</f>
      </c>
      <c r="L73">
        <f>IF($J73="","",MID($J73,FIND(":",$J73)+1,FIND(":",$J73,FIND(":",$J73)+1)-FIND(":",$J73)-1))</f>
      </c>
      <c r="M73">
        <f>IF($J73="","",RIGHT($J73,LEN($J73)-FIND(":",$J73,FIND(":",$J73)+1)))</f>
      </c>
      <c r="N73">
        <f>IF($J73="","",IF(ISNUMBER(MATCH($J73,Prices[Key],0)),"OK - in Prices","ADD TO PRICES"))</f>
      </c>
      <c r="P73">
        <f>IFERROR(INDEX(Prices[Key],ROWS($P$4:P73)),"")</f>
      </c>
      <c r="Q73">
        <f>IF($P73="","",IF(ISNUMBER(MATCH($P73,Shares!$A$2:$A$1001,0)),"held","NOT HELD - review"))</f>
      </c>
    </row>
    <row r="74" spans="1:17" ht="15" customHeight="1" x14ac:dyDescent="0.15">
      <c r="A74" s="258"/>
      <c r="B74" s="313"/>
      <c r="C74" s="313"/>
      <c r="D74" s="313"/>
      <c r="E74" s="260"/>
      <c r="F74" s="261"/>
      <c r="G74" s="313"/>
      <c r="H74" s="313"/>
      <c r="J74">
        <f>IF(Shares!$A72="","",Shares!$A72)</f>
      </c>
      <c r="K74">
        <f>IF($J74="","",LEFT($J74,FIND(":",$J74)-1))</f>
      </c>
      <c r="L74">
        <f>IF($J74="","",MID($J74,FIND(":",$J74)+1,FIND(":",$J74,FIND(":",$J74)+1)-FIND(":",$J74)-1))</f>
      </c>
      <c r="M74">
        <f>IF($J74="","",RIGHT($J74,LEN($J74)-FIND(":",$J74,FIND(":",$J74)+1)))</f>
      </c>
      <c r="N74">
        <f>IF($J74="","",IF(ISNUMBER(MATCH($J74,Prices[Key],0)),"OK - in Prices","ADD TO PRICES"))</f>
      </c>
      <c r="P74">
        <f>IFERROR(INDEX(Prices[Key],ROWS($P$4:P74)),"")</f>
      </c>
      <c r="Q74">
        <f>IF($P74="","",IF(ISNUMBER(MATCH($P74,Shares!$A$2:$A$1001,0)),"held","NOT HELD - review"))</f>
      </c>
    </row>
    <row r="75" spans="1:17" ht="15" customHeight="1" x14ac:dyDescent="0.15">
      <c r="A75" s="258"/>
      <c r="B75" s="313"/>
      <c r="C75" s="313"/>
      <c r="D75" s="313"/>
      <c r="E75" s="260"/>
      <c r="F75" s="261"/>
      <c r="G75" s="313"/>
      <c r="H75" s="313"/>
      <c r="J75">
        <f>IF(Shares!$A73="","",Shares!$A73)</f>
      </c>
      <c r="K75">
        <f>IF($J75="","",LEFT($J75,FIND(":",$J75)-1))</f>
      </c>
      <c r="L75">
        <f>IF($J75="","",MID($J75,FIND(":",$J75)+1,FIND(":",$J75,FIND(":",$J75)+1)-FIND(":",$J75)-1))</f>
      </c>
      <c r="M75">
        <f>IF($J75="","",RIGHT($J75,LEN($J75)-FIND(":",$J75,FIND(":",$J75)+1)))</f>
      </c>
      <c r="N75">
        <f>IF($J75="","",IF(ISNUMBER(MATCH($J75,Prices[Key],0)),"OK - in Prices","ADD TO PRICES"))</f>
      </c>
      <c r="P75">
        <f>IFERROR(INDEX(Prices[Key],ROWS($P$4:P75)),"")</f>
      </c>
      <c r="Q75">
        <f>IF($P75="","",IF(ISNUMBER(MATCH($P75,Shares!$A$2:$A$1001,0)),"held","NOT HELD - review"))</f>
      </c>
    </row>
    <row r="76" spans="1:17" ht="15" customHeight="1" x14ac:dyDescent="0.15">
      <c r="A76" s="258"/>
      <c r="B76" s="313"/>
      <c r="C76" s="313"/>
      <c r="D76" s="313"/>
      <c r="E76" s="260"/>
      <c r="F76" s="261"/>
      <c r="G76" s="313"/>
      <c r="H76" s="313"/>
      <c r="J76">
        <f>IF(Shares!$A74="","",Shares!$A74)</f>
      </c>
      <c r="K76">
        <f>IF($J76="","",LEFT($J76,FIND(":",$J76)-1))</f>
      </c>
      <c r="L76">
        <f>IF($J76="","",MID($J76,FIND(":",$J76)+1,FIND(":",$J76,FIND(":",$J76)+1)-FIND(":",$J76)-1))</f>
      </c>
      <c r="M76">
        <f>IF($J76="","",RIGHT($J76,LEN($J76)-FIND(":",$J76,FIND(":",$J76)+1)))</f>
      </c>
      <c r="N76">
        <f>IF($J76="","",IF(ISNUMBER(MATCH($J76,Prices[Key],0)),"OK - in Prices","ADD TO PRICES"))</f>
      </c>
      <c r="P76">
        <f>IFERROR(INDEX(Prices[Key],ROWS($P$4:P76)),"")</f>
      </c>
      <c r="Q76">
        <f>IF($P76="","",IF(ISNUMBER(MATCH($P76,Shares!$A$2:$A$1001,0)),"held","NOT HELD - review"))</f>
      </c>
    </row>
    <row r="77" spans="1:17" ht="15" customHeight="1" x14ac:dyDescent="0.15">
      <c r="A77" s="258"/>
      <c r="B77" s="313"/>
      <c r="C77" s="313"/>
      <c r="D77" s="313"/>
      <c r="E77" s="260"/>
      <c r="F77" s="261"/>
      <c r="G77" s="313"/>
      <c r="H77" s="313"/>
      <c r="J77">
        <f>IF(Shares!$A75="","",Shares!$A75)</f>
      </c>
      <c r="K77">
        <f>IF($J77="","",LEFT($J77,FIND(":",$J77)-1))</f>
      </c>
      <c r="L77">
        <f>IF($J77="","",MID($J77,FIND(":",$J77)+1,FIND(":",$J77,FIND(":",$J77)+1)-FIND(":",$J77)-1))</f>
      </c>
      <c r="M77">
        <f>IF($J77="","",RIGHT($J77,LEN($J77)-FIND(":",$J77,FIND(":",$J77)+1)))</f>
      </c>
      <c r="N77">
        <f>IF($J77="","",IF(ISNUMBER(MATCH($J77,Prices[Key],0)),"OK - in Prices","ADD TO PRICES"))</f>
      </c>
      <c r="P77">
        <f>IFERROR(INDEX(Prices[Key],ROWS($P$4:P77)),"")</f>
      </c>
      <c r="Q77">
        <f>IF($P77="","",IF(ISNUMBER(MATCH($P77,Shares!$A$2:$A$1001,0)),"held","NOT HELD - review"))</f>
      </c>
    </row>
    <row r="78" spans="1:17" ht="15" customHeight="1" x14ac:dyDescent="0.15">
      <c r="A78" s="258"/>
      <c r="B78" s="313"/>
      <c r="C78" s="313"/>
      <c r="D78" s="313"/>
      <c r="E78" s="260"/>
      <c r="F78" s="261"/>
      <c r="G78" s="313"/>
      <c r="H78" s="313"/>
      <c r="J78">
        <f>IF(Shares!$A76="","",Shares!$A76)</f>
      </c>
      <c r="K78">
        <f>IF($J78="","",LEFT($J78,FIND(":",$J78)-1))</f>
      </c>
      <c r="L78">
        <f>IF($J78="","",MID($J78,FIND(":",$J78)+1,FIND(":",$J78,FIND(":",$J78)+1)-FIND(":",$J78)-1))</f>
      </c>
      <c r="M78">
        <f>IF($J78="","",RIGHT($J78,LEN($J78)-FIND(":",$J78,FIND(":",$J78)+1)))</f>
      </c>
      <c r="N78">
        <f>IF($J78="","",IF(ISNUMBER(MATCH($J78,Prices[Key],0)),"OK - in Prices","ADD TO PRICES"))</f>
      </c>
      <c r="P78">
        <f>IFERROR(INDEX(Prices[Key],ROWS($P$4:P78)),"")</f>
      </c>
      <c r="Q78">
        <f>IF($P78="","",IF(ISNUMBER(MATCH($P78,Shares!$A$2:$A$1001,0)),"held","NOT HELD - review"))</f>
      </c>
    </row>
    <row r="79" spans="1:17" ht="15" customHeight="1" x14ac:dyDescent="0.15">
      <c r="A79" s="258"/>
      <c r="B79" s="313"/>
      <c r="C79" s="313"/>
      <c r="D79" s="313"/>
      <c r="E79" s="260"/>
      <c r="F79" s="261"/>
      <c r="G79" s="313"/>
      <c r="H79" s="313"/>
      <c r="J79">
        <f>IF(Shares!$A77="","",Shares!$A77)</f>
      </c>
      <c r="K79">
        <f>IF($J79="","",LEFT($J79,FIND(":",$J79)-1))</f>
      </c>
      <c r="L79">
        <f>IF($J79="","",MID($J79,FIND(":",$J79)+1,FIND(":",$J79,FIND(":",$J79)+1)-FIND(":",$J79)-1))</f>
      </c>
      <c r="M79">
        <f>IF($J79="","",RIGHT($J79,LEN($J79)-FIND(":",$J79,FIND(":",$J79)+1)))</f>
      </c>
      <c r="N79">
        <f>IF($J79="","",IF(ISNUMBER(MATCH($J79,Prices[Key],0)),"OK - in Prices","ADD TO PRICES"))</f>
      </c>
      <c r="P79">
        <f>IFERROR(INDEX(Prices[Key],ROWS($P$4:P79)),"")</f>
      </c>
      <c r="Q79">
        <f>IF($P79="","",IF(ISNUMBER(MATCH($P79,Shares!$A$2:$A$1001,0)),"held","NOT HELD - review"))</f>
      </c>
    </row>
    <row r="80" spans="1:17" ht="15" customHeight="1" x14ac:dyDescent="0.15">
      <c r="A80" s="258"/>
      <c r="B80" s="313"/>
      <c r="C80" s="313"/>
      <c r="D80" s="313"/>
      <c r="E80" s="260"/>
      <c r="F80" s="261"/>
      <c r="G80" s="313"/>
      <c r="H80" s="313"/>
      <c r="J80">
        <f>IF(Shares!$A78="","",Shares!$A78)</f>
      </c>
      <c r="K80">
        <f>IF($J80="","",LEFT($J80,FIND(":",$J80)-1))</f>
      </c>
      <c r="L80">
        <f>IF($J80="","",MID($J80,FIND(":",$J80)+1,FIND(":",$J80,FIND(":",$J80)+1)-FIND(":",$J80)-1))</f>
      </c>
      <c r="M80">
        <f>IF($J80="","",RIGHT($J80,LEN($J80)-FIND(":",$J80,FIND(":",$J80)+1)))</f>
      </c>
      <c r="N80">
        <f>IF($J80="","",IF(ISNUMBER(MATCH($J80,Prices[Key],0)),"OK - in Prices","ADD TO PRICES"))</f>
      </c>
      <c r="P80">
        <f>IFERROR(INDEX(Prices[Key],ROWS($P$4:P80)),"")</f>
      </c>
      <c r="Q80">
        <f>IF($P80="","",IF(ISNUMBER(MATCH($P80,Shares!$A$2:$A$1001,0)),"held","NOT HELD - review"))</f>
      </c>
    </row>
    <row r="81" spans="1:17" ht="15" customHeight="1" x14ac:dyDescent="0.15">
      <c r="A81" s="258"/>
      <c r="B81" s="313"/>
      <c r="C81" s="313"/>
      <c r="D81" s="313"/>
      <c r="E81" s="260"/>
      <c r="F81" s="261"/>
      <c r="G81" s="313"/>
      <c r="H81" s="313"/>
      <c r="J81">
        <f>IF(Shares!$A79="","",Shares!$A79)</f>
      </c>
      <c r="K81">
        <f>IF($J81="","",LEFT($J81,FIND(":",$J81)-1))</f>
      </c>
      <c r="L81">
        <f>IF($J81="","",MID($J81,FIND(":",$J81)+1,FIND(":",$J81,FIND(":",$J81)+1)-FIND(":",$J81)-1))</f>
      </c>
      <c r="M81">
        <f>IF($J81="","",RIGHT($J81,LEN($J81)-FIND(":",$J81,FIND(":",$J81)+1)))</f>
      </c>
      <c r="N81">
        <f>IF($J81="","",IF(ISNUMBER(MATCH($J81,Prices[Key],0)),"OK - in Prices","ADD TO PRICES"))</f>
      </c>
      <c r="P81">
        <f>IFERROR(INDEX(Prices[Key],ROWS($P$4:P81)),"")</f>
      </c>
      <c r="Q81">
        <f>IF($P81="","",IF(ISNUMBER(MATCH($P81,Shares!$A$2:$A$1001,0)),"held","NOT HELD - review"))</f>
      </c>
    </row>
    <row r="82" spans="1:17" ht="15" customHeight="1" x14ac:dyDescent="0.15">
      <c r="A82" s="258"/>
      <c r="B82" s="313"/>
      <c r="C82" s="313"/>
      <c r="D82" s="313"/>
      <c r="E82" s="260"/>
      <c r="F82" s="261"/>
      <c r="G82" s="313"/>
      <c r="H82" s="313"/>
      <c r="J82">
        <f>IF(Shares!$A80="","",Shares!$A80)</f>
      </c>
      <c r="K82">
        <f>IF($J82="","",LEFT($J82,FIND(":",$J82)-1))</f>
      </c>
      <c r="L82">
        <f>IF($J82="","",MID($J82,FIND(":",$J82)+1,FIND(":",$J82,FIND(":",$J82)+1)-FIND(":",$J82)-1))</f>
      </c>
      <c r="M82">
        <f>IF($J82="","",RIGHT($J82,LEN($J82)-FIND(":",$J82,FIND(":",$J82)+1)))</f>
      </c>
      <c r="N82">
        <f>IF($J82="","",IF(ISNUMBER(MATCH($J82,Prices[Key],0)),"OK - in Prices","ADD TO PRICES"))</f>
      </c>
      <c r="P82">
        <f>IFERROR(INDEX(Prices[Key],ROWS($P$4:P82)),"")</f>
      </c>
      <c r="Q82">
        <f>IF($P82="","",IF(ISNUMBER(MATCH($P82,Shares!$A$2:$A$1001,0)),"held","NOT HELD - review"))</f>
      </c>
    </row>
    <row r="83" spans="1:17" ht="15" customHeight="1" x14ac:dyDescent="0.15">
      <c r="A83" s="258"/>
      <c r="B83" s="313"/>
      <c r="C83" s="313"/>
      <c r="D83" s="313"/>
      <c r="E83" s="260"/>
      <c r="F83" s="261"/>
      <c r="G83" s="313"/>
      <c r="H83" s="313"/>
      <c r="J83">
        <f>IF(Shares!$A81="","",Shares!$A81)</f>
      </c>
      <c r="K83">
        <f>IF($J83="","",LEFT($J83,FIND(":",$J83)-1))</f>
      </c>
      <c r="L83">
        <f>IF($J83="","",MID($J83,FIND(":",$J83)+1,FIND(":",$J83,FIND(":",$J83)+1)-FIND(":",$J83)-1))</f>
      </c>
      <c r="M83">
        <f>IF($J83="","",RIGHT($J83,LEN($J83)-FIND(":",$J83,FIND(":",$J83)+1)))</f>
      </c>
      <c r="N83">
        <f>IF($J83="","",IF(ISNUMBER(MATCH($J83,Prices[Key],0)),"OK - in Prices","ADD TO PRICES"))</f>
      </c>
      <c r="P83">
        <f>IFERROR(INDEX(Prices[Key],ROWS($P$4:P83)),"")</f>
      </c>
      <c r="Q83">
        <f>IF($P83="","",IF(ISNUMBER(MATCH($P83,Shares!$A$2:$A$1001,0)),"held","NOT HELD - review"))</f>
      </c>
    </row>
    <row r="84" spans="1:17" ht="15" customHeight="1" x14ac:dyDescent="0.15">
      <c r="A84" s="258"/>
      <c r="B84" s="313"/>
      <c r="C84" s="313"/>
      <c r="D84" s="313"/>
      <c r="E84" s="260"/>
      <c r="F84" s="261"/>
      <c r="G84" s="313"/>
      <c r="H84" s="313"/>
      <c r="J84">
        <f>IF(Shares!$A82="","",Shares!$A82)</f>
      </c>
      <c r="K84">
        <f>IF($J84="","",LEFT($J84,FIND(":",$J84)-1))</f>
      </c>
      <c r="L84">
        <f>IF($J84="","",MID($J84,FIND(":",$J84)+1,FIND(":",$J84,FIND(":",$J84)+1)-FIND(":",$J84)-1))</f>
      </c>
      <c r="M84">
        <f>IF($J84="","",RIGHT($J84,LEN($J84)-FIND(":",$J84,FIND(":",$J84)+1)))</f>
      </c>
      <c r="N84">
        <f>IF($J84="","",IF(ISNUMBER(MATCH($J84,Prices[Key],0)),"OK - in Prices","ADD TO PRICES"))</f>
      </c>
      <c r="P84">
        <f>IFERROR(INDEX(Prices[Key],ROWS($P$4:P84)),"")</f>
      </c>
      <c r="Q84">
        <f>IF($P84="","",IF(ISNUMBER(MATCH($P84,Shares!$A$2:$A$1001,0)),"held","NOT HELD - review"))</f>
      </c>
    </row>
    <row r="85" spans="1:17" ht="15" customHeight="1" x14ac:dyDescent="0.15">
      <c r="A85" s="258"/>
      <c r="B85" s="313"/>
      <c r="C85" s="313"/>
      <c r="D85" s="313"/>
      <c r="E85" s="260"/>
      <c r="F85" s="261"/>
      <c r="G85" s="313"/>
      <c r="H85" s="313"/>
      <c r="J85">
        <f>IF(Shares!$A83="","",Shares!$A83)</f>
      </c>
      <c r="K85">
        <f>IF($J85="","",LEFT($J85,FIND(":",$J85)-1))</f>
      </c>
      <c r="L85">
        <f>IF($J85="","",MID($J85,FIND(":",$J85)+1,FIND(":",$J85,FIND(":",$J85)+1)-FIND(":",$J85)-1))</f>
      </c>
      <c r="M85">
        <f>IF($J85="","",RIGHT($J85,LEN($J85)-FIND(":",$J85,FIND(":",$J85)+1)))</f>
      </c>
      <c r="N85">
        <f>IF($J85="","",IF(ISNUMBER(MATCH($J85,Prices[Key],0)),"OK - in Prices","ADD TO PRICES"))</f>
      </c>
      <c r="P85">
        <f>IFERROR(INDEX(Prices[Key],ROWS($P$4:P85)),"")</f>
      </c>
      <c r="Q85">
        <f>IF($P85="","",IF(ISNUMBER(MATCH($P85,Shares!$A$2:$A$1001,0)),"held","NOT HELD - review"))</f>
      </c>
    </row>
    <row r="86" spans="1:17" ht="15" customHeight="1" x14ac:dyDescent="0.15">
      <c r="A86" s="258"/>
      <c r="B86" s="313"/>
      <c r="C86" s="313"/>
      <c r="D86" s="313"/>
      <c r="E86" s="260"/>
      <c r="F86" s="261"/>
      <c r="G86" s="313"/>
      <c r="H86" s="313"/>
      <c r="J86">
        <f>IF(Shares!$A84="","",Shares!$A84)</f>
      </c>
      <c r="K86">
        <f>IF($J86="","",LEFT($J86,FIND(":",$J86)-1))</f>
      </c>
      <c r="L86">
        <f>IF($J86="","",MID($J86,FIND(":",$J86)+1,FIND(":",$J86,FIND(":",$J86)+1)-FIND(":",$J86)-1))</f>
      </c>
      <c r="M86">
        <f>IF($J86="","",RIGHT($J86,LEN($J86)-FIND(":",$J86,FIND(":",$J86)+1)))</f>
      </c>
      <c r="N86">
        <f>IF($J86="","",IF(ISNUMBER(MATCH($J86,Prices[Key],0)),"OK - in Prices","ADD TO PRICES"))</f>
      </c>
      <c r="P86">
        <f>IFERROR(INDEX(Prices[Key],ROWS($P$4:P86)),"")</f>
      </c>
      <c r="Q86">
        <f>IF($P86="","",IF(ISNUMBER(MATCH($P86,Shares!$A$2:$A$1001,0)),"held","NOT HELD - review"))</f>
      </c>
    </row>
    <row r="87" spans="1:17" ht="15" customHeight="1" x14ac:dyDescent="0.15">
      <c r="A87" s="258"/>
      <c r="B87" s="313"/>
      <c r="C87" s="313"/>
      <c r="D87" s="313"/>
      <c r="E87" s="260"/>
      <c r="F87" s="261"/>
      <c r="G87" s="313"/>
      <c r="H87" s="313"/>
      <c r="J87">
        <f>IF(Shares!$A85="","",Shares!$A85)</f>
      </c>
      <c r="K87">
        <f>IF($J87="","",LEFT($J87,FIND(":",$J87)-1))</f>
      </c>
      <c r="L87">
        <f>IF($J87="","",MID($J87,FIND(":",$J87)+1,FIND(":",$J87,FIND(":",$J87)+1)-FIND(":",$J87)-1))</f>
      </c>
      <c r="M87">
        <f>IF($J87="","",RIGHT($J87,LEN($J87)-FIND(":",$J87,FIND(":",$J87)+1)))</f>
      </c>
      <c r="N87">
        <f>IF($J87="","",IF(ISNUMBER(MATCH($J87,Prices[Key],0)),"OK - in Prices","ADD TO PRICES"))</f>
      </c>
      <c r="P87">
        <f>IFERROR(INDEX(Prices[Key],ROWS($P$4:P87)),"")</f>
      </c>
      <c r="Q87">
        <f>IF($P87="","",IF(ISNUMBER(MATCH($P87,Shares!$A$2:$A$1001,0)),"held","NOT HELD - review"))</f>
      </c>
    </row>
    <row r="88" spans="1:17" ht="15" customHeight="1" x14ac:dyDescent="0.15">
      <c r="A88" s="258"/>
      <c r="B88" s="313"/>
      <c r="C88" s="313"/>
      <c r="D88" s="313"/>
      <c r="E88" s="260"/>
      <c r="F88" s="261"/>
      <c r="G88" s="313"/>
      <c r="H88" s="313"/>
      <c r="J88">
        <f>IF(Shares!$A86="","",Shares!$A86)</f>
      </c>
      <c r="K88">
        <f>IF($J88="","",LEFT($J88,FIND(":",$J88)-1))</f>
      </c>
      <c r="L88">
        <f>IF($J88="","",MID($J88,FIND(":",$J88)+1,FIND(":",$J88,FIND(":",$J88)+1)-FIND(":",$J88)-1))</f>
      </c>
      <c r="M88">
        <f>IF($J88="","",RIGHT($J88,LEN($J88)-FIND(":",$J88,FIND(":",$J88)+1)))</f>
      </c>
      <c r="N88">
        <f>IF($J88="","",IF(ISNUMBER(MATCH($J88,Prices[Key],0)),"OK - in Prices","ADD TO PRICES"))</f>
      </c>
      <c r="P88">
        <f>IFERROR(INDEX(Prices[Key],ROWS($P$4:P88)),"")</f>
      </c>
      <c r="Q88">
        <f>IF($P88="","",IF(ISNUMBER(MATCH($P88,Shares!$A$2:$A$1001,0)),"held","NOT HELD - review"))</f>
      </c>
    </row>
    <row r="89" spans="1:17" ht="15" customHeight="1" x14ac:dyDescent="0.15">
      <c r="A89" s="258"/>
      <c r="B89" s="313"/>
      <c r="C89" s="313"/>
      <c r="D89" s="313"/>
      <c r="E89" s="260"/>
      <c r="F89" s="261"/>
      <c r="G89" s="313"/>
      <c r="H89" s="313"/>
      <c r="J89">
        <f>IF(Shares!$A87="","",Shares!$A87)</f>
      </c>
      <c r="K89">
        <f>IF($J89="","",LEFT($J89,FIND(":",$J89)-1))</f>
      </c>
      <c r="L89">
        <f>IF($J89="","",MID($J89,FIND(":",$J89)+1,FIND(":",$J89,FIND(":",$J89)+1)-FIND(":",$J89)-1))</f>
      </c>
      <c r="M89">
        <f>IF($J89="","",RIGHT($J89,LEN($J89)-FIND(":",$J89,FIND(":",$J89)+1)))</f>
      </c>
      <c r="N89">
        <f>IF($J89="","",IF(ISNUMBER(MATCH($J89,Prices[Key],0)),"OK - in Prices","ADD TO PRICES"))</f>
      </c>
      <c r="P89">
        <f>IFERROR(INDEX(Prices[Key],ROWS($P$4:P89)),"")</f>
      </c>
      <c r="Q89">
        <f>IF($P89="","",IF(ISNUMBER(MATCH($P89,Shares!$A$2:$A$1001,0)),"held","NOT HELD - review"))</f>
      </c>
    </row>
    <row r="90" spans="1:17" ht="15" customHeight="1" x14ac:dyDescent="0.15">
      <c r="A90" s="258"/>
      <c r="B90" s="313"/>
      <c r="C90" s="313"/>
      <c r="D90" s="313"/>
      <c r="E90" s="260"/>
      <c r="F90" s="261"/>
      <c r="G90" s="313"/>
      <c r="H90" s="313"/>
      <c r="J90">
        <f>IF(Shares!$A88="","",Shares!$A88)</f>
      </c>
      <c r="K90">
        <f>IF($J90="","",LEFT($J90,FIND(":",$J90)-1))</f>
      </c>
      <c r="L90">
        <f>IF($J90="","",MID($J90,FIND(":",$J90)+1,FIND(":",$J90,FIND(":",$J90)+1)-FIND(":",$J90)-1))</f>
      </c>
      <c r="M90">
        <f>IF($J90="","",RIGHT($J90,LEN($J90)-FIND(":",$J90,FIND(":",$J90)+1)))</f>
      </c>
      <c r="N90">
        <f>IF($J90="","",IF(ISNUMBER(MATCH($J90,Prices[Key],0)),"OK - in Prices","ADD TO PRICES"))</f>
      </c>
      <c r="P90">
        <f>IFERROR(INDEX(Prices[Key],ROWS($P$4:P90)),"")</f>
      </c>
      <c r="Q90">
        <f>IF($P90="","",IF(ISNUMBER(MATCH($P90,Shares!$A$2:$A$1001,0)),"held","NOT HELD - review"))</f>
      </c>
    </row>
    <row r="91" spans="1:17" ht="15" customHeight="1" x14ac:dyDescent="0.15">
      <c r="A91" s="258"/>
      <c r="B91" s="313"/>
      <c r="C91" s="313"/>
      <c r="D91" s="313"/>
      <c r="E91" s="260"/>
      <c r="F91" s="261"/>
      <c r="G91" s="313"/>
      <c r="H91" s="313"/>
      <c r="J91">
        <f>IF(Shares!$A89="","",Shares!$A89)</f>
      </c>
      <c r="K91">
        <f>IF($J91="","",LEFT($J91,FIND(":",$J91)-1))</f>
      </c>
      <c r="L91">
        <f>IF($J91="","",MID($J91,FIND(":",$J91)+1,FIND(":",$J91,FIND(":",$J91)+1)-FIND(":",$J91)-1))</f>
      </c>
      <c r="M91">
        <f>IF($J91="","",RIGHT($J91,LEN($J91)-FIND(":",$J91,FIND(":",$J91)+1)))</f>
      </c>
      <c r="N91">
        <f>IF($J91="","",IF(ISNUMBER(MATCH($J91,Prices[Key],0)),"OK - in Prices","ADD TO PRICES"))</f>
      </c>
      <c r="P91">
        <f>IFERROR(INDEX(Prices[Key],ROWS($P$4:P91)),"")</f>
      </c>
      <c r="Q91">
        <f>IF($P91="","",IF(ISNUMBER(MATCH($P91,Shares!$A$2:$A$1001,0)),"held","NOT HELD - review"))</f>
      </c>
    </row>
    <row r="92" spans="1:17" ht="15" customHeight="1" x14ac:dyDescent="0.15">
      <c r="A92" s="258"/>
      <c r="B92" s="313"/>
      <c r="C92" s="313"/>
      <c r="D92" s="313"/>
      <c r="E92" s="260"/>
      <c r="F92" s="261"/>
      <c r="G92" s="313"/>
      <c r="H92" s="313"/>
      <c r="J92">
        <f>IF(Shares!$A90="","",Shares!$A90)</f>
      </c>
      <c r="K92">
        <f>IF($J92="","",LEFT($J92,FIND(":",$J92)-1))</f>
      </c>
      <c r="L92">
        <f>IF($J92="","",MID($J92,FIND(":",$J92)+1,FIND(":",$J92,FIND(":",$J92)+1)-FIND(":",$J92)-1))</f>
      </c>
      <c r="M92">
        <f>IF($J92="","",RIGHT($J92,LEN($J92)-FIND(":",$J92,FIND(":",$J92)+1)))</f>
      </c>
      <c r="N92">
        <f>IF($J92="","",IF(ISNUMBER(MATCH($J92,Prices[Key],0)),"OK - in Prices","ADD TO PRICES"))</f>
      </c>
      <c r="P92">
        <f>IFERROR(INDEX(Prices[Key],ROWS($P$4:P92)),"")</f>
      </c>
      <c r="Q92">
        <f>IF($P92="","",IF(ISNUMBER(MATCH($P92,Shares!$A$2:$A$1001,0)),"held","NOT HELD - review"))</f>
      </c>
    </row>
    <row r="93" spans="1:17" ht="15" customHeight="1" x14ac:dyDescent="0.15">
      <c r="A93" s="258"/>
      <c r="B93" s="313"/>
      <c r="C93" s="313"/>
      <c r="D93" s="313"/>
      <c r="E93" s="260"/>
      <c r="F93" s="261"/>
      <c r="G93" s="313"/>
      <c r="H93" s="313"/>
      <c r="J93">
        <f>IF(Shares!$A91="","",Shares!$A91)</f>
      </c>
      <c r="K93">
        <f>IF($J93="","",LEFT($J93,FIND(":",$J93)-1))</f>
      </c>
      <c r="L93">
        <f>IF($J93="","",MID($J93,FIND(":",$J93)+1,FIND(":",$J93,FIND(":",$J93)+1)-FIND(":",$J93)-1))</f>
      </c>
      <c r="M93">
        <f>IF($J93="","",RIGHT($J93,LEN($J93)-FIND(":",$J93,FIND(":",$J93)+1)))</f>
      </c>
      <c r="N93">
        <f>IF($J93="","",IF(ISNUMBER(MATCH($J93,Prices[Key],0)),"OK - in Prices","ADD TO PRICES"))</f>
      </c>
      <c r="P93">
        <f>IFERROR(INDEX(Prices[Key],ROWS($P$4:P93)),"")</f>
      </c>
      <c r="Q93">
        <f>IF($P93="","",IF(ISNUMBER(MATCH($P93,Shares!$A$2:$A$1001,0)),"held","NOT HELD - review"))</f>
      </c>
    </row>
    <row r="94" spans="1:17" ht="15" customHeight="1" x14ac:dyDescent="0.15">
      <c r="A94" s="258"/>
      <c r="B94" s="313"/>
      <c r="C94" s="313"/>
      <c r="D94" s="313"/>
      <c r="E94" s="260"/>
      <c r="F94" s="261"/>
      <c r="G94" s="313"/>
      <c r="H94" s="313"/>
      <c r="J94">
        <f>IF(Shares!$A92="","",Shares!$A92)</f>
      </c>
      <c r="K94">
        <f>IF($J94="","",LEFT($J94,FIND(":",$J94)-1))</f>
      </c>
      <c r="L94">
        <f>IF($J94="","",MID($J94,FIND(":",$J94)+1,FIND(":",$J94,FIND(":",$J94)+1)-FIND(":",$J94)-1))</f>
      </c>
      <c r="M94">
        <f>IF($J94="","",RIGHT($J94,LEN($J94)-FIND(":",$J94,FIND(":",$J94)+1)))</f>
      </c>
      <c r="N94">
        <f>IF($J94="","",IF(ISNUMBER(MATCH($J94,Prices[Key],0)),"OK - in Prices","ADD TO PRICES"))</f>
      </c>
      <c r="P94">
        <f>IFERROR(INDEX(Prices[Key],ROWS($P$4:P94)),"")</f>
      </c>
      <c r="Q94">
        <f>IF($P94="","",IF(ISNUMBER(MATCH($P94,Shares!$A$2:$A$1001,0)),"held","NOT HELD - review"))</f>
      </c>
    </row>
    <row r="95" spans="1:17" ht="15" customHeight="1" x14ac:dyDescent="0.15">
      <c r="A95" s="258"/>
      <c r="B95" s="313"/>
      <c r="C95" s="313"/>
      <c r="D95" s="313"/>
      <c r="E95" s="260"/>
      <c r="F95" s="261"/>
      <c r="G95" s="313"/>
      <c r="H95" s="313"/>
      <c r="J95">
        <f>IF(Shares!$A93="","",Shares!$A93)</f>
      </c>
      <c r="K95">
        <f>IF($J95="","",LEFT($J95,FIND(":",$J95)-1))</f>
      </c>
      <c r="L95">
        <f>IF($J95="","",MID($J95,FIND(":",$J95)+1,FIND(":",$J95,FIND(":",$J95)+1)-FIND(":",$J95)-1))</f>
      </c>
      <c r="M95">
        <f>IF($J95="","",RIGHT($J95,LEN($J95)-FIND(":",$J95,FIND(":",$J95)+1)))</f>
      </c>
      <c r="N95">
        <f>IF($J95="","",IF(ISNUMBER(MATCH($J95,Prices[Key],0)),"OK - in Prices","ADD TO PRICES"))</f>
      </c>
      <c r="P95">
        <f>IFERROR(INDEX(Prices[Key],ROWS($P$4:P95)),"")</f>
      </c>
      <c r="Q95">
        <f>IF($P95="","",IF(ISNUMBER(MATCH($P95,Shares!$A$2:$A$1001,0)),"held","NOT HELD - review"))</f>
      </c>
    </row>
    <row r="96" spans="1:17" ht="15" customHeight="1" x14ac:dyDescent="0.15">
      <c r="A96" s="258"/>
      <c r="B96" s="313"/>
      <c r="C96" s="313"/>
      <c r="D96" s="313"/>
      <c r="E96" s="260"/>
      <c r="F96" s="261"/>
      <c r="G96" s="313"/>
      <c r="H96" s="313"/>
      <c r="J96">
        <f>IF(Shares!$A94="","",Shares!$A94)</f>
      </c>
      <c r="K96">
        <f>IF($J96="","",LEFT($J96,FIND(":",$J96)-1))</f>
      </c>
      <c r="L96">
        <f>IF($J96="","",MID($J96,FIND(":",$J96)+1,FIND(":",$J96,FIND(":",$J96)+1)-FIND(":",$J96)-1))</f>
      </c>
      <c r="M96">
        <f>IF($J96="","",RIGHT($J96,LEN($J96)-FIND(":",$J96,FIND(":",$J96)+1)))</f>
      </c>
      <c r="N96">
        <f>IF($J96="","",IF(ISNUMBER(MATCH($J96,Prices[Key],0)),"OK - in Prices","ADD TO PRICES"))</f>
      </c>
      <c r="P96">
        <f>IFERROR(INDEX(Prices[Key],ROWS($P$4:P96)),"")</f>
      </c>
      <c r="Q96">
        <f>IF($P96="","",IF(ISNUMBER(MATCH($P96,Shares!$A$2:$A$1001,0)),"held","NOT HELD - review"))</f>
      </c>
    </row>
    <row r="97" spans="1:17" ht="15" customHeight="1" x14ac:dyDescent="0.15">
      <c r="A97" s="258"/>
      <c r="B97" s="313"/>
      <c r="C97" s="313"/>
      <c r="D97" s="313"/>
      <c r="E97" s="260"/>
      <c r="F97" s="261"/>
      <c r="G97" s="313"/>
      <c r="H97" s="313"/>
      <c r="J97">
        <f>IF(Shares!$A95="","",Shares!$A95)</f>
      </c>
      <c r="K97">
        <f>IF($J97="","",LEFT($J97,FIND(":",$J97)-1))</f>
      </c>
      <c r="L97">
        <f>IF($J97="","",MID($J97,FIND(":",$J97)+1,FIND(":",$J97,FIND(":",$J97)+1)-FIND(":",$J97)-1))</f>
      </c>
      <c r="M97">
        <f>IF($J97="","",RIGHT($J97,LEN($J97)-FIND(":",$J97,FIND(":",$J97)+1)))</f>
      </c>
      <c r="N97">
        <f>IF($J97="","",IF(ISNUMBER(MATCH($J97,Prices[Key],0)),"OK - in Prices","ADD TO PRICES"))</f>
      </c>
      <c r="P97">
        <f>IFERROR(INDEX(Prices[Key],ROWS($P$4:P97)),"")</f>
      </c>
      <c r="Q97">
        <f>IF($P97="","",IF(ISNUMBER(MATCH($P97,Shares!$A$2:$A$1001,0)),"held","NOT HELD - review"))</f>
      </c>
    </row>
    <row r="98" spans="1:17" ht="15" customHeight="1" x14ac:dyDescent="0.15">
      <c r="A98" s="258"/>
      <c r="B98" s="313"/>
      <c r="C98" s="313"/>
      <c r="D98" s="313"/>
      <c r="E98" s="260"/>
      <c r="F98" s="261"/>
      <c r="G98" s="313"/>
      <c r="H98" s="313"/>
      <c r="J98">
        <f>IF(Shares!$A96="","",Shares!$A96)</f>
      </c>
      <c r="K98">
        <f>IF($J98="","",LEFT($J98,FIND(":",$J98)-1))</f>
      </c>
      <c r="L98">
        <f>IF($J98="","",MID($J98,FIND(":",$J98)+1,FIND(":",$J98,FIND(":",$J98)+1)-FIND(":",$J98)-1))</f>
      </c>
      <c r="M98">
        <f>IF($J98="","",RIGHT($J98,LEN($J98)-FIND(":",$J98,FIND(":",$J98)+1)))</f>
      </c>
      <c r="N98">
        <f>IF($J98="","",IF(ISNUMBER(MATCH($J98,Prices[Key],0)),"OK - in Prices","ADD TO PRICES"))</f>
      </c>
      <c r="P98">
        <f>IFERROR(INDEX(Prices[Key],ROWS($P$4:P98)),"")</f>
      </c>
      <c r="Q98">
        <f>IF($P98="","",IF(ISNUMBER(MATCH($P98,Shares!$A$2:$A$1001,0)),"held","NOT HELD - review"))</f>
      </c>
    </row>
    <row r="99" spans="1:17" ht="15" customHeight="1" x14ac:dyDescent="0.15">
      <c r="A99" s="258"/>
      <c r="B99" s="313"/>
      <c r="C99" s="313"/>
      <c r="D99" s="313"/>
      <c r="E99" s="260"/>
      <c r="F99" s="261"/>
      <c r="G99" s="313"/>
      <c r="H99" s="313"/>
      <c r="J99">
        <f>IF(Shares!$A97="","",Shares!$A97)</f>
      </c>
      <c r="K99">
        <f>IF($J99="","",LEFT($J99,FIND(":",$J99)-1))</f>
      </c>
      <c r="L99">
        <f>IF($J99="","",MID($J99,FIND(":",$J99)+1,FIND(":",$J99,FIND(":",$J99)+1)-FIND(":",$J99)-1))</f>
      </c>
      <c r="M99">
        <f>IF($J99="","",RIGHT($J99,LEN($J99)-FIND(":",$J99,FIND(":",$J99)+1)))</f>
      </c>
      <c r="N99">
        <f>IF($J99="","",IF(ISNUMBER(MATCH($J99,Prices[Key],0)),"OK - in Prices","ADD TO PRICES"))</f>
      </c>
      <c r="P99">
        <f>IFERROR(INDEX(Prices[Key],ROWS($P$4:P99)),"")</f>
      </c>
      <c r="Q99">
        <f>IF($P99="","",IF(ISNUMBER(MATCH($P99,Shares!$A$2:$A$1001,0)),"held","NOT HELD - review"))</f>
      </c>
    </row>
    <row r="100" spans="1:17" ht="15" customHeight="1" x14ac:dyDescent="0.15">
      <c r="A100" s="258"/>
      <c r="B100" s="313"/>
      <c r="C100" s="313"/>
      <c r="D100" s="313"/>
      <c r="E100" s="260"/>
      <c r="F100" s="261"/>
      <c r="G100" s="313"/>
      <c r="H100" s="313"/>
      <c r="J100">
        <f>IF(Shares!$A98="","",Shares!$A98)</f>
      </c>
      <c r="K100">
        <f>IF($J100="","",LEFT($J100,FIND(":",$J100)-1))</f>
      </c>
      <c r="L100">
        <f>IF($J100="","",MID($J100,FIND(":",$J100)+1,FIND(":",$J100,FIND(":",$J100)+1)-FIND(":",$J100)-1))</f>
      </c>
      <c r="M100">
        <f>IF($J100="","",RIGHT($J100,LEN($J100)-FIND(":",$J100,FIND(":",$J100)+1)))</f>
      </c>
      <c r="N100">
        <f>IF($J100="","",IF(ISNUMBER(MATCH($J100,Prices[Key],0)),"OK - in Prices","ADD TO PRICES"))</f>
      </c>
      <c r="P100">
        <f>IFERROR(INDEX(Prices[Key],ROWS($P$4:P100)),"")</f>
      </c>
      <c r="Q100">
        <f>IF($P100="","",IF(ISNUMBER(MATCH($P100,Shares!$A$2:$A$1001,0)),"held","NOT HELD - review"))</f>
      </c>
    </row>
    <row r="101" spans="1:17" ht="15" customHeight="1" x14ac:dyDescent="0.15">
      <c r="A101" s="258"/>
      <c r="B101" s="313"/>
      <c r="C101" s="313"/>
      <c r="D101" s="313"/>
      <c r="E101" s="260"/>
      <c r="F101" s="261"/>
      <c r="G101" s="313"/>
      <c r="H101" s="313"/>
      <c r="J101">
        <f>IF(Shares!$A99="","",Shares!$A99)</f>
      </c>
      <c r="K101">
        <f>IF($J101="","",LEFT($J101,FIND(":",$J101)-1))</f>
      </c>
      <c r="L101">
        <f>IF($J101="","",MID($J101,FIND(":",$J101)+1,FIND(":",$J101,FIND(":",$J101)+1)-FIND(":",$J101)-1))</f>
      </c>
      <c r="M101">
        <f>IF($J101="","",RIGHT($J101,LEN($J101)-FIND(":",$J101,FIND(":",$J101)+1)))</f>
      </c>
      <c r="N101">
        <f>IF($J101="","",IF(ISNUMBER(MATCH($J101,Prices[Key],0)),"OK - in Prices","ADD TO PRICES"))</f>
      </c>
      <c r="P101">
        <f>IFERROR(INDEX(Prices[Key],ROWS($P$4:P101)),"")</f>
      </c>
      <c r="Q101">
        <f>IF($P101="","",IF(ISNUMBER(MATCH($P101,Shares!$A$2:$A$1001,0)),"held","NOT HELD - review"))</f>
      </c>
    </row>
    <row r="102" spans="1:17" ht="15" customHeight="1" x14ac:dyDescent="0.15">
      <c r="A102" s="258"/>
      <c r="B102" s="313"/>
      <c r="C102" s="313"/>
      <c r="D102" s="313"/>
      <c r="E102" s="260"/>
      <c r="F102" s="261"/>
      <c r="G102" s="313"/>
      <c r="H102" s="313"/>
      <c r="J102">
        <f>IF(Shares!$A100="","",Shares!$A100)</f>
      </c>
      <c r="K102">
        <f>IF($J102="","",LEFT($J102,FIND(":",$J102)-1))</f>
      </c>
      <c r="L102">
        <f>IF($J102="","",MID($J102,FIND(":",$J102)+1,FIND(":",$J102,FIND(":",$J102)+1)-FIND(":",$J102)-1))</f>
      </c>
      <c r="M102">
        <f>IF($J102="","",RIGHT($J102,LEN($J102)-FIND(":",$J102,FIND(":",$J102)+1)))</f>
      </c>
      <c r="N102">
        <f>IF($J102="","",IF(ISNUMBER(MATCH($J102,Prices[Key],0)),"OK - in Prices","ADD TO PRICES"))</f>
      </c>
      <c r="P102">
        <f>IFERROR(INDEX(Prices[Key],ROWS($P$4:P102)),"")</f>
      </c>
      <c r="Q102">
        <f>IF($P102="","",IF(ISNUMBER(MATCH($P102,Shares!$A$2:$A$1001,0)),"held","NOT HELD - review"))</f>
      </c>
    </row>
    <row r="103" spans="1:17" ht="15" customHeight="1" x14ac:dyDescent="0.15">
      <c r="A103" s="258"/>
      <c r="B103" s="313"/>
      <c r="C103" s="313"/>
      <c r="D103" s="313"/>
      <c r="E103" s="260"/>
      <c r="F103" s="261"/>
      <c r="G103" s="313"/>
      <c r="H103" s="313"/>
      <c r="J103">
        <f>IF(Shares!$A101="","",Shares!$A101)</f>
      </c>
      <c r="K103">
        <f>IF($J103="","",LEFT($J103,FIND(":",$J103)-1))</f>
      </c>
      <c r="L103">
        <f>IF($J103="","",MID($J103,FIND(":",$J103)+1,FIND(":",$J103,FIND(":",$J103)+1)-FIND(":",$J103)-1))</f>
      </c>
      <c r="M103">
        <f>IF($J103="","",RIGHT($J103,LEN($J103)-FIND(":",$J103,FIND(":",$J103)+1)))</f>
      </c>
      <c r="N103">
        <f>IF($J103="","",IF(ISNUMBER(MATCH($J103,Prices[Key],0)),"OK - in Prices","ADD TO PRICES"))</f>
      </c>
      <c r="P103">
        <f>IFERROR(INDEX(Prices[Key],ROWS($P$4:P103)),"")</f>
      </c>
      <c r="Q103">
        <f>IF($P103="","",IF(ISNUMBER(MATCH($P103,Shares!$A$2:$A$1001,0)),"held","NOT HELD - review"))</f>
      </c>
    </row>
    <row r="104" spans="1:17" ht="15" customHeight="1" x14ac:dyDescent="0.15">
      <c r="A104" s="258"/>
      <c r="B104" s="313"/>
      <c r="C104" s="313"/>
      <c r="D104" s="313"/>
      <c r="E104" s="260"/>
      <c r="F104" s="261"/>
      <c r="G104" s="313"/>
      <c r="H104" s="313"/>
      <c r="J104">
        <f>IF(Shares!$A102="","",Shares!$A102)</f>
      </c>
      <c r="K104">
        <f>IF($J104="","",LEFT($J104,FIND(":",$J104)-1))</f>
      </c>
      <c r="L104">
        <f>IF($J104="","",MID($J104,FIND(":",$J104)+1,FIND(":",$J104,FIND(":",$J104)+1)-FIND(":",$J104)-1))</f>
      </c>
      <c r="M104">
        <f>IF($J104="","",RIGHT($J104,LEN($J104)-FIND(":",$J104,FIND(":",$J104)+1)))</f>
      </c>
      <c r="N104">
        <f>IF($J104="","",IF(ISNUMBER(MATCH($J104,Prices[Key],0)),"OK - in Prices","ADD TO PRICES"))</f>
      </c>
      <c r="P104">
        <f>IFERROR(INDEX(Prices[Key],ROWS($P$4:P104)),"")</f>
      </c>
      <c r="Q104">
        <f>IF($P104="","",IF(ISNUMBER(MATCH($P104,Shares!$A$2:$A$1001,0)),"held","NOT HELD - review"))</f>
      </c>
    </row>
    <row r="105" spans="1:17" ht="15" customHeight="1" x14ac:dyDescent="0.15">
      <c r="A105" s="258"/>
      <c r="B105" s="313"/>
      <c r="C105" s="313"/>
      <c r="D105" s="313"/>
      <c r="E105" s="260"/>
      <c r="F105" s="261"/>
      <c r="G105" s="313"/>
      <c r="H105" s="313"/>
      <c r="J105">
        <f>IF(Shares!$A103="","",Shares!$A103)</f>
      </c>
      <c r="K105">
        <f>IF($J105="","",LEFT($J105,FIND(":",$J105)-1))</f>
      </c>
      <c r="L105">
        <f>IF($J105="","",MID($J105,FIND(":",$J105)+1,FIND(":",$J105,FIND(":",$J105)+1)-FIND(":",$J105)-1))</f>
      </c>
      <c r="M105">
        <f>IF($J105="","",RIGHT($J105,LEN($J105)-FIND(":",$J105,FIND(":",$J105)+1)))</f>
      </c>
      <c r="N105">
        <f>IF($J105="","",IF(ISNUMBER(MATCH($J105,Prices[Key],0)),"OK - in Prices","ADD TO PRICES"))</f>
      </c>
      <c r="P105">
        <f>IFERROR(INDEX(Prices[Key],ROWS($P$4:P105)),"")</f>
      </c>
      <c r="Q105">
        <f>IF($P105="","",IF(ISNUMBER(MATCH($P105,Shares!$A$2:$A$1001,0)),"held","NOT HELD - review"))</f>
      </c>
    </row>
    <row r="106" spans="1:17" ht="15" customHeight="1" x14ac:dyDescent="0.15">
      <c r="A106" s="258"/>
      <c r="B106" s="313"/>
      <c r="C106" s="313"/>
      <c r="D106" s="313"/>
      <c r="E106" s="260"/>
      <c r="F106" s="261"/>
      <c r="G106" s="313"/>
      <c r="H106" s="313"/>
      <c r="J106">
        <f>IF(Shares!$A104="","",Shares!$A104)</f>
      </c>
      <c r="K106">
        <f>IF($J106="","",LEFT($J106,FIND(":",$J106)-1))</f>
      </c>
      <c r="L106">
        <f>IF($J106="","",MID($J106,FIND(":",$J106)+1,FIND(":",$J106,FIND(":",$J106)+1)-FIND(":",$J106)-1))</f>
      </c>
      <c r="M106">
        <f>IF($J106="","",RIGHT($J106,LEN($J106)-FIND(":",$J106,FIND(":",$J106)+1)))</f>
      </c>
      <c r="N106">
        <f>IF($J106="","",IF(ISNUMBER(MATCH($J106,Prices[Key],0)),"OK - in Prices","ADD TO PRICES"))</f>
      </c>
      <c r="P106">
        <f>IFERROR(INDEX(Prices[Key],ROWS($P$4:P106)),"")</f>
      </c>
      <c r="Q106">
        <f>IF($P106="","",IF(ISNUMBER(MATCH($P106,Shares!$A$2:$A$1001,0)),"held","NOT HELD - review"))</f>
      </c>
    </row>
    <row r="107" spans="1:17" ht="15" customHeight="1" x14ac:dyDescent="0.15">
      <c r="A107" s="258"/>
      <c r="B107" s="313"/>
      <c r="C107" s="313"/>
      <c r="D107" s="313"/>
      <c r="E107" s="260"/>
      <c r="F107" s="261"/>
      <c r="G107" s="313"/>
      <c r="H107" s="313"/>
      <c r="J107">
        <f>IF(Shares!$A105="","",Shares!$A105)</f>
      </c>
      <c r="K107">
        <f>IF($J107="","",LEFT($J107,FIND(":",$J107)-1))</f>
      </c>
      <c r="L107">
        <f>IF($J107="","",MID($J107,FIND(":",$J107)+1,FIND(":",$J107,FIND(":",$J107)+1)-FIND(":",$J107)-1))</f>
      </c>
      <c r="M107">
        <f>IF($J107="","",RIGHT($J107,LEN($J107)-FIND(":",$J107,FIND(":",$J107)+1)))</f>
      </c>
      <c r="N107">
        <f>IF($J107="","",IF(ISNUMBER(MATCH($J107,Prices[Key],0)),"OK - in Prices","ADD TO PRICES"))</f>
      </c>
      <c r="P107">
        <f>IFERROR(INDEX(Prices[Key],ROWS($P$4:P107)),"")</f>
      </c>
      <c r="Q107">
        <f>IF($P107="","",IF(ISNUMBER(MATCH($P107,Shares!$A$2:$A$1001,0)),"held","NOT HELD - review"))</f>
      </c>
    </row>
    <row r="108" spans="1:17" ht="15" customHeight="1" x14ac:dyDescent="0.15">
      <c r="A108" s="258"/>
      <c r="B108" s="313"/>
      <c r="C108" s="313"/>
      <c r="D108" s="313"/>
      <c r="E108" s="260"/>
      <c r="F108" s="261"/>
      <c r="G108" s="313"/>
      <c r="H108" s="313"/>
      <c r="J108">
        <f>IF(Shares!$A106="","",Shares!$A106)</f>
      </c>
      <c r="K108">
        <f>IF($J108="","",LEFT($J108,FIND(":",$J108)-1))</f>
      </c>
      <c r="L108">
        <f>IF($J108="","",MID($J108,FIND(":",$J108)+1,FIND(":",$J108,FIND(":",$J108)+1)-FIND(":",$J108)-1))</f>
      </c>
      <c r="M108">
        <f>IF($J108="","",RIGHT($J108,LEN($J108)-FIND(":",$J108,FIND(":",$J108)+1)))</f>
      </c>
      <c r="N108">
        <f>IF($J108="","",IF(ISNUMBER(MATCH($J108,Prices[Key],0)),"OK - in Prices","ADD TO PRICES"))</f>
      </c>
      <c r="P108">
        <f>IFERROR(INDEX(Prices[Key],ROWS($P$4:P108)),"")</f>
      </c>
      <c r="Q108">
        <f>IF($P108="","",IF(ISNUMBER(MATCH($P108,Shares!$A$2:$A$1001,0)),"held","NOT HELD - review"))</f>
      </c>
    </row>
    <row r="109" spans="1:17" ht="15" customHeight="1" x14ac:dyDescent="0.15">
      <c r="A109" s="258"/>
      <c r="B109" s="313"/>
      <c r="C109" s="313"/>
      <c r="D109" s="313"/>
      <c r="E109" s="260"/>
      <c r="F109" s="261"/>
      <c r="G109" s="313"/>
      <c r="H109" s="313"/>
      <c r="J109">
        <f>IF(Shares!$A107="","",Shares!$A107)</f>
      </c>
      <c r="K109">
        <f>IF($J109="","",LEFT($J109,FIND(":",$J109)-1))</f>
      </c>
      <c r="L109">
        <f>IF($J109="","",MID($J109,FIND(":",$J109)+1,FIND(":",$J109,FIND(":",$J109)+1)-FIND(":",$J109)-1))</f>
      </c>
      <c r="M109">
        <f>IF($J109="","",RIGHT($J109,LEN($J109)-FIND(":",$J109,FIND(":",$J109)+1)))</f>
      </c>
      <c r="N109">
        <f>IF($J109="","",IF(ISNUMBER(MATCH($J109,Prices[Key],0)),"OK - in Prices","ADD TO PRICES"))</f>
      </c>
      <c r="P109">
        <f>IFERROR(INDEX(Prices[Key],ROWS($P$4:P109)),"")</f>
      </c>
      <c r="Q109">
        <f>IF($P109="","",IF(ISNUMBER(MATCH($P109,Shares!$A$2:$A$1001,0)),"held","NOT HELD - review"))</f>
      </c>
    </row>
    <row r="110" spans="1:17" ht="15" customHeight="1" x14ac:dyDescent="0.15">
      <c r="A110" s="258"/>
      <c r="B110" s="313"/>
      <c r="C110" s="313"/>
      <c r="D110" s="313"/>
      <c r="E110" s="260"/>
      <c r="F110" s="261"/>
      <c r="G110" s="313"/>
      <c r="H110" s="313"/>
      <c r="J110">
        <f>IF(Shares!$A108="","",Shares!$A108)</f>
      </c>
      <c r="K110">
        <f>IF($J110="","",LEFT($J110,FIND(":",$J110)-1))</f>
      </c>
      <c r="L110">
        <f>IF($J110="","",MID($J110,FIND(":",$J110)+1,FIND(":",$J110,FIND(":",$J110)+1)-FIND(":",$J110)-1))</f>
      </c>
      <c r="M110">
        <f>IF($J110="","",RIGHT($J110,LEN($J110)-FIND(":",$J110,FIND(":",$J110)+1)))</f>
      </c>
      <c r="N110">
        <f>IF($J110="","",IF(ISNUMBER(MATCH($J110,Prices[Key],0)),"OK - in Prices","ADD TO PRICES"))</f>
      </c>
      <c r="P110">
        <f>IFERROR(INDEX(Prices[Key],ROWS($P$4:P110)),"")</f>
      </c>
      <c r="Q110">
        <f>IF($P110="","",IF(ISNUMBER(MATCH($P110,Shares!$A$2:$A$1001,0)),"held","NOT HELD - review"))</f>
      </c>
    </row>
    <row r="111" spans="1:17" ht="15" customHeight="1" x14ac:dyDescent="0.15">
      <c r="A111" s="258"/>
      <c r="B111" s="313"/>
      <c r="C111" s="313"/>
      <c r="D111" s="313"/>
      <c r="E111" s="260"/>
      <c r="F111" s="261"/>
      <c r="G111" s="313"/>
      <c r="H111" s="313"/>
      <c r="J111">
        <f>IF(Shares!$A109="","",Shares!$A109)</f>
      </c>
      <c r="K111">
        <f>IF($J111="","",LEFT($J111,FIND(":",$J111)-1))</f>
      </c>
      <c r="L111">
        <f>IF($J111="","",MID($J111,FIND(":",$J111)+1,FIND(":",$J111,FIND(":",$J111)+1)-FIND(":",$J111)-1))</f>
      </c>
      <c r="M111">
        <f>IF($J111="","",RIGHT($J111,LEN($J111)-FIND(":",$J111,FIND(":",$J111)+1)))</f>
      </c>
      <c r="N111">
        <f>IF($J111="","",IF(ISNUMBER(MATCH($J111,Prices[Key],0)),"OK - in Prices","ADD TO PRICES"))</f>
      </c>
      <c r="P111">
        <f>IFERROR(INDEX(Prices[Key],ROWS($P$4:P111)),"")</f>
      </c>
      <c r="Q111">
        <f>IF($P111="","",IF(ISNUMBER(MATCH($P111,Shares!$A$2:$A$1001,0)),"held","NOT HELD - review"))</f>
      </c>
    </row>
    <row r="112" spans="1:17" ht="15" customHeight="1" x14ac:dyDescent="0.15">
      <c r="A112" s="258"/>
      <c r="B112" s="313"/>
      <c r="C112" s="313"/>
      <c r="D112" s="313"/>
      <c r="E112" s="260"/>
      <c r="F112" s="261"/>
      <c r="G112" s="313"/>
      <c r="H112" s="313"/>
      <c r="J112">
        <f>IF(Shares!$A110="","",Shares!$A110)</f>
      </c>
      <c r="K112">
        <f>IF($J112="","",LEFT($J112,FIND(":",$J112)-1))</f>
      </c>
      <c r="L112">
        <f>IF($J112="","",MID($J112,FIND(":",$J112)+1,FIND(":",$J112,FIND(":",$J112)+1)-FIND(":",$J112)-1))</f>
      </c>
      <c r="M112">
        <f>IF($J112="","",RIGHT($J112,LEN($J112)-FIND(":",$J112,FIND(":",$J112)+1)))</f>
      </c>
      <c r="N112">
        <f>IF($J112="","",IF(ISNUMBER(MATCH($J112,Prices[Key],0)),"OK - in Prices","ADD TO PRICES"))</f>
      </c>
      <c r="P112">
        <f>IFERROR(INDEX(Prices[Key],ROWS($P$4:P112)),"")</f>
      </c>
      <c r="Q112">
        <f>IF($P112="","",IF(ISNUMBER(MATCH($P112,Shares!$A$2:$A$1001,0)),"held","NOT HELD - review"))</f>
      </c>
    </row>
    <row r="113" spans="1:17" ht="15" customHeight="1" x14ac:dyDescent="0.15">
      <c r="A113" s="258"/>
      <c r="B113" s="313"/>
      <c r="C113" s="313"/>
      <c r="D113" s="313"/>
      <c r="E113" s="260"/>
      <c r="F113" s="261"/>
      <c r="G113" s="313"/>
      <c r="H113" s="313"/>
      <c r="J113">
        <f>IF(Shares!$A111="","",Shares!$A111)</f>
      </c>
      <c r="K113">
        <f>IF($J113="","",LEFT($J113,FIND(":",$J113)-1))</f>
      </c>
      <c r="L113">
        <f>IF($J113="","",MID($J113,FIND(":",$J113)+1,FIND(":",$J113,FIND(":",$J113)+1)-FIND(":",$J113)-1))</f>
      </c>
      <c r="M113">
        <f>IF($J113="","",RIGHT($J113,LEN($J113)-FIND(":",$J113,FIND(":",$J113)+1)))</f>
      </c>
      <c r="N113">
        <f>IF($J113="","",IF(ISNUMBER(MATCH($J113,Prices[Key],0)),"OK - in Prices","ADD TO PRICES"))</f>
      </c>
      <c r="P113">
        <f>IFERROR(INDEX(Prices[Key],ROWS($P$4:P113)),"")</f>
      </c>
      <c r="Q113">
        <f>IF($P113="","",IF(ISNUMBER(MATCH($P113,Shares!$A$2:$A$1001,0)),"held","NOT HELD - review"))</f>
      </c>
    </row>
    <row r="114" spans="1:17" ht="15" customHeight="1" x14ac:dyDescent="0.15">
      <c r="A114" s="258"/>
      <c r="B114" s="313"/>
      <c r="C114" s="313"/>
      <c r="D114" s="313"/>
      <c r="E114" s="260"/>
      <c r="F114" s="261"/>
      <c r="G114" s="313"/>
      <c r="H114" s="313"/>
      <c r="J114">
        <f>IF(Shares!$A112="","",Shares!$A112)</f>
      </c>
      <c r="K114">
        <f>IF($J114="","",LEFT($J114,FIND(":",$J114)-1))</f>
      </c>
      <c r="L114">
        <f>IF($J114="","",MID($J114,FIND(":",$J114)+1,FIND(":",$J114,FIND(":",$J114)+1)-FIND(":",$J114)-1))</f>
      </c>
      <c r="M114">
        <f>IF($J114="","",RIGHT($J114,LEN($J114)-FIND(":",$J114,FIND(":",$J114)+1)))</f>
      </c>
      <c r="N114">
        <f>IF($J114="","",IF(ISNUMBER(MATCH($J114,Prices[Key],0)),"OK - in Prices","ADD TO PRICES"))</f>
      </c>
      <c r="P114">
        <f>IFERROR(INDEX(Prices[Key],ROWS($P$4:P114)),"")</f>
      </c>
      <c r="Q114">
        <f>IF($P114="","",IF(ISNUMBER(MATCH($P114,Shares!$A$2:$A$1001,0)),"held","NOT HELD - review"))</f>
      </c>
    </row>
    <row r="115" spans="1:17" ht="15" customHeight="1" x14ac:dyDescent="0.15">
      <c r="A115" s="258"/>
      <c r="B115" s="313"/>
      <c r="C115" s="313"/>
      <c r="D115" s="313"/>
      <c r="E115" s="260"/>
      <c r="F115" s="261"/>
      <c r="G115" s="313"/>
      <c r="H115" s="313"/>
      <c r="J115">
        <f>IF(Shares!$A113="","",Shares!$A113)</f>
      </c>
      <c r="K115">
        <f>IF($J115="","",LEFT($J115,FIND(":",$J115)-1))</f>
      </c>
      <c r="L115">
        <f>IF($J115="","",MID($J115,FIND(":",$J115)+1,FIND(":",$J115,FIND(":",$J115)+1)-FIND(":",$J115)-1))</f>
      </c>
      <c r="M115">
        <f>IF($J115="","",RIGHT($J115,LEN($J115)-FIND(":",$J115,FIND(":",$J115)+1)))</f>
      </c>
      <c r="N115">
        <f>IF($J115="","",IF(ISNUMBER(MATCH($J115,Prices[Key],0)),"OK - in Prices","ADD TO PRICES"))</f>
      </c>
      <c r="P115">
        <f>IFERROR(INDEX(Prices[Key],ROWS($P$4:P115)),"")</f>
      </c>
      <c r="Q115">
        <f>IF($P115="","",IF(ISNUMBER(MATCH($P115,Shares!$A$2:$A$1001,0)),"held","NOT HELD - review"))</f>
      </c>
    </row>
    <row r="116" spans="1:17" ht="15" customHeight="1" x14ac:dyDescent="0.15">
      <c r="A116" s="258"/>
      <c r="B116" s="313"/>
      <c r="C116" s="313"/>
      <c r="D116" s="313"/>
      <c r="E116" s="260"/>
      <c r="F116" s="261"/>
      <c r="G116" s="313"/>
      <c r="H116" s="313"/>
      <c r="J116">
        <f>IF(Shares!$A114="","",Shares!$A114)</f>
      </c>
      <c r="K116">
        <f>IF($J116="","",LEFT($J116,FIND(":",$J116)-1))</f>
      </c>
      <c r="L116">
        <f>IF($J116="","",MID($J116,FIND(":",$J116)+1,FIND(":",$J116,FIND(":",$J116)+1)-FIND(":",$J116)-1))</f>
      </c>
      <c r="M116">
        <f>IF($J116="","",RIGHT($J116,LEN($J116)-FIND(":",$J116,FIND(":",$J116)+1)))</f>
      </c>
      <c r="N116">
        <f>IF($J116="","",IF(ISNUMBER(MATCH($J116,Prices[Key],0)),"OK - in Prices","ADD TO PRICES"))</f>
      </c>
      <c r="P116">
        <f>IFERROR(INDEX(Prices[Key],ROWS($P$4:P116)),"")</f>
      </c>
      <c r="Q116">
        <f>IF($P116="","",IF(ISNUMBER(MATCH($P116,Shares!$A$2:$A$1001,0)),"held","NOT HELD - review"))</f>
      </c>
    </row>
    <row r="117" spans="1:17" ht="15" customHeight="1" x14ac:dyDescent="0.15">
      <c r="J117">
        <f>IF(Shares!$A115="","",Shares!$A115)</f>
      </c>
      <c r="K117">
        <f>IF($J117="","",LEFT($J117,FIND(":",$J117)-1))</f>
      </c>
      <c r="L117">
        <f>IF($J117="","",MID($J117,FIND(":",$J117)+1,FIND(":",$J117,FIND(":",$J117)+1)-FIND(":",$J117)-1))</f>
      </c>
      <c r="M117">
        <f>IF($J117="","",RIGHT($J117,LEN($J117)-FIND(":",$J117,FIND(":",$J117)+1)))</f>
      </c>
      <c r="N117">
        <f>IF($J117="","",IF(ISNUMBER(MATCH($J117,Prices[Key],0)),"OK - in Prices","ADD TO PRICES"))</f>
      </c>
      <c r="P117">
        <f>IFERROR(INDEX(Prices[Key],ROWS($P$4:P117)),"")</f>
      </c>
      <c r="Q117">
        <f>IF($P117="","",IF(ISNUMBER(MATCH($P117,Shares!$A$2:$A$1001,0)),"held","NOT HELD - review"))</f>
      </c>
    </row>
    <row r="118" spans="1:17" ht="15" customHeight="1" x14ac:dyDescent="0.15">
      <c r="J118">
        <f>IF(Shares!$A116="","",Shares!$A116)</f>
      </c>
      <c r="K118">
        <f>IF($J118="","",LEFT($J118,FIND(":",$J118)-1))</f>
      </c>
      <c r="L118">
        <f>IF($J118="","",MID($J118,FIND(":",$J118)+1,FIND(":",$J118,FIND(":",$J118)+1)-FIND(":",$J118)-1))</f>
      </c>
      <c r="M118">
        <f>IF($J118="","",RIGHT($J118,LEN($J118)-FIND(":",$J118,FIND(":",$J118)+1)))</f>
      </c>
      <c r="N118">
        <f>IF($J118="","",IF(ISNUMBER(MATCH($J118,Prices[Key],0)),"OK - in Prices","ADD TO PRICES"))</f>
      </c>
      <c r="P118">
        <f>IFERROR(INDEX(Prices[Key],ROWS($P$4:P118)),"")</f>
      </c>
      <c r="Q118">
        <f>IF($P118="","",IF(ISNUMBER(MATCH($P118,Shares!$A$2:$A$1001,0)),"held","NOT HELD - review"))</f>
      </c>
    </row>
    <row r="119" spans="1:17" ht="15" customHeight="1" x14ac:dyDescent="0.15">
      <c r="J119">
        <f>IF(Shares!$A117="","",Shares!$A117)</f>
      </c>
      <c r="K119">
        <f>IF($J119="","",LEFT($J119,FIND(":",$J119)-1))</f>
      </c>
      <c r="L119">
        <f>IF($J119="","",MID($J119,FIND(":",$J119)+1,FIND(":",$J119,FIND(":",$J119)+1)-FIND(":",$J119)-1))</f>
      </c>
      <c r="M119">
        <f>IF($J119="","",RIGHT($J119,LEN($J119)-FIND(":",$J119,FIND(":",$J119)+1)))</f>
      </c>
      <c r="N119">
        <f>IF($J119="","",IF(ISNUMBER(MATCH($J119,Prices[Key],0)),"OK - in Prices","ADD TO PRICES"))</f>
      </c>
      <c r="P119">
        <f>IFERROR(INDEX(Prices[Key],ROWS($P$4:P119)),"")</f>
      </c>
      <c r="Q119">
        <f>IF($P119="","",IF(ISNUMBER(MATCH($P119,Shares!$A$2:$A$1001,0)),"held","NOT HELD - review"))</f>
      </c>
    </row>
    <row r="120" spans="1:17" ht="15" customHeight="1" x14ac:dyDescent="0.15">
      <c r="J120">
        <f>IF(Shares!$A118="","",Shares!$A118)</f>
      </c>
      <c r="K120">
        <f>IF($J120="","",LEFT($J120,FIND(":",$J120)-1))</f>
      </c>
      <c r="L120">
        <f>IF($J120="","",MID($J120,FIND(":",$J120)+1,FIND(":",$J120,FIND(":",$J120)+1)-FIND(":",$J120)-1))</f>
      </c>
      <c r="M120">
        <f>IF($J120="","",RIGHT($J120,LEN($J120)-FIND(":",$J120,FIND(":",$J120)+1)))</f>
      </c>
      <c r="N120">
        <f>IF($J120="","",IF(ISNUMBER(MATCH($J120,Prices[Key],0)),"OK - in Prices","ADD TO PRICES"))</f>
      </c>
      <c r="P120">
        <f>IFERROR(INDEX(Prices[Key],ROWS($P$4:P120)),"")</f>
      </c>
      <c r="Q120">
        <f>IF($P120="","",IF(ISNUMBER(MATCH($P120,Shares!$A$2:$A$1001,0)),"held","NOT HELD - review"))</f>
      </c>
    </row>
    <row r="121" spans="1:17" ht="15" customHeight="1" x14ac:dyDescent="0.15">
      <c r="J121">
        <f>IF(Shares!$A119="","",Shares!$A119)</f>
      </c>
      <c r="K121">
        <f>IF($J121="","",LEFT($J121,FIND(":",$J121)-1))</f>
      </c>
      <c r="L121">
        <f>IF($J121="","",MID($J121,FIND(":",$J121)+1,FIND(":",$J121,FIND(":",$J121)+1)-FIND(":",$J121)-1))</f>
      </c>
      <c r="M121">
        <f>IF($J121="","",RIGHT($J121,LEN($J121)-FIND(":",$J121,FIND(":",$J121)+1)))</f>
      </c>
      <c r="N121">
        <f>IF($J121="","",IF(ISNUMBER(MATCH($J121,Prices[Key],0)),"OK - in Prices","ADD TO PRICES"))</f>
      </c>
      <c r="P121">
        <f>IFERROR(INDEX(Prices[Key],ROWS($P$4:P121)),"")</f>
      </c>
      <c r="Q121">
        <f>IF($P121="","",IF(ISNUMBER(MATCH($P121,Shares!$A$2:$A$1001,0)),"held","NOT HELD - review"))</f>
      </c>
    </row>
    <row r="122" spans="1:17" ht="15" customHeight="1" x14ac:dyDescent="0.15">
      <c r="J122">
        <f>IF(Shares!$A120="","",Shares!$A120)</f>
      </c>
      <c r="K122">
        <f>IF($J122="","",LEFT($J122,FIND(":",$J122)-1))</f>
      </c>
      <c r="L122">
        <f>IF($J122="","",MID($J122,FIND(":",$J122)+1,FIND(":",$J122,FIND(":",$J122)+1)-FIND(":",$J122)-1))</f>
      </c>
      <c r="M122">
        <f>IF($J122="","",RIGHT($J122,LEN($J122)-FIND(":",$J122,FIND(":",$J122)+1)))</f>
      </c>
      <c r="N122">
        <f>IF($J122="","",IF(ISNUMBER(MATCH($J122,Prices[Key],0)),"OK - in Prices","ADD TO PRICES"))</f>
      </c>
      <c r="P122">
        <f>IFERROR(INDEX(Prices[Key],ROWS($P$4:P122)),"")</f>
      </c>
      <c r="Q122">
        <f>IF($P122="","",IF(ISNUMBER(MATCH($P122,Shares!$A$2:$A$1001,0)),"held","NOT HELD - review"))</f>
      </c>
    </row>
    <row r="123" spans="1:17" ht="15" customHeight="1" x14ac:dyDescent="0.15">
      <c r="J123">
        <f>IF(Shares!$A121="","",Shares!$A121)</f>
      </c>
      <c r="K123">
        <f>IF($J123="","",LEFT($J123,FIND(":",$J123)-1))</f>
      </c>
      <c r="L123">
        <f>IF($J123="","",MID($J123,FIND(":",$J123)+1,FIND(":",$J123,FIND(":",$J123)+1)-FIND(":",$J123)-1))</f>
      </c>
      <c r="M123">
        <f>IF($J123="","",RIGHT($J123,LEN($J123)-FIND(":",$J123,FIND(":",$J123)+1)))</f>
      </c>
      <c r="N123">
        <f>IF($J123="","",IF(ISNUMBER(MATCH($J123,Prices[Key],0)),"OK - in Prices","ADD TO PRICES"))</f>
      </c>
      <c r="P123">
        <f>IFERROR(INDEX(Prices[Key],ROWS($P$4:P123)),"")</f>
      </c>
      <c r="Q123">
        <f>IF($P123="","",IF(ISNUMBER(MATCH($P123,Shares!$A$2:$A$1001,0)),"held","NOT HELD - review"))</f>
      </c>
    </row>
    <row r="124" spans="1:17" ht="15" customHeight="1" x14ac:dyDescent="0.15">
      <c r="J124">
        <f>IF(Shares!$A122="","",Shares!$A122)</f>
      </c>
      <c r="K124">
        <f>IF($J124="","",LEFT($J124,FIND(":",$J124)-1))</f>
      </c>
      <c r="L124">
        <f>IF($J124="","",MID($J124,FIND(":",$J124)+1,FIND(":",$J124,FIND(":",$J124)+1)-FIND(":",$J124)-1))</f>
      </c>
      <c r="M124">
        <f>IF($J124="","",RIGHT($J124,LEN($J124)-FIND(":",$J124,FIND(":",$J124)+1)))</f>
      </c>
      <c r="N124">
        <f>IF($J124="","",IF(ISNUMBER(MATCH($J124,Prices[Key],0)),"OK - in Prices","ADD TO PRICES"))</f>
      </c>
      <c r="P124">
        <f>IFERROR(INDEX(Prices[Key],ROWS($P$4:P124)),"")</f>
      </c>
      <c r="Q124">
        <f>IF($P124="","",IF(ISNUMBER(MATCH($P124,Shares!$A$2:$A$1001,0)),"held","NOT HELD - review"))</f>
      </c>
    </row>
    <row r="125" spans="1:17" ht="15" customHeight="1" x14ac:dyDescent="0.15">
      <c r="J125">
        <f>IF(Shares!$A123="","",Shares!$A123)</f>
      </c>
      <c r="K125">
        <f>IF($J125="","",LEFT($J125,FIND(":",$J125)-1))</f>
      </c>
      <c r="L125">
        <f>IF($J125="","",MID($J125,FIND(":",$J125)+1,FIND(":",$J125,FIND(":",$J125)+1)-FIND(":",$J125)-1))</f>
      </c>
      <c r="M125">
        <f>IF($J125="","",RIGHT($J125,LEN($J125)-FIND(":",$J125,FIND(":",$J125)+1)))</f>
      </c>
      <c r="N125">
        <f>IF($J125="","",IF(ISNUMBER(MATCH($J125,Prices[Key],0)),"OK - in Prices","ADD TO PRICES"))</f>
      </c>
      <c r="P125">
        <f>IFERROR(INDEX(Prices[Key],ROWS($P$4:P125)),"")</f>
      </c>
      <c r="Q125">
        <f>IF($P125="","",IF(ISNUMBER(MATCH($P125,Shares!$A$2:$A$1001,0)),"held","NOT HELD - review"))</f>
      </c>
    </row>
    <row r="126" spans="1:17" ht="15" customHeight="1" x14ac:dyDescent="0.15">
      <c r="J126">
        <f>IF(Shares!$A124="","",Shares!$A124)</f>
      </c>
      <c r="K126">
        <f>IF($J126="","",LEFT($J126,FIND(":",$J126)-1))</f>
      </c>
      <c r="L126">
        <f>IF($J126="","",MID($J126,FIND(":",$J126)+1,FIND(":",$J126,FIND(":",$J126)+1)-FIND(":",$J126)-1))</f>
      </c>
      <c r="M126">
        <f>IF($J126="","",RIGHT($J126,LEN($J126)-FIND(":",$J126,FIND(":",$J126)+1)))</f>
      </c>
      <c r="N126">
        <f>IF($J126="","",IF(ISNUMBER(MATCH($J126,Prices[Key],0)),"OK - in Prices","ADD TO PRICES"))</f>
      </c>
      <c r="P126">
        <f>IFERROR(INDEX(Prices[Key],ROWS($P$4:P126)),"")</f>
      </c>
      <c r="Q126">
        <f>IF($P126="","",IF(ISNUMBER(MATCH($P126,Shares!$A$2:$A$1001,0)),"held","NOT HELD - review"))</f>
      </c>
    </row>
    <row r="127" spans="1:17" ht="15" customHeight="1" x14ac:dyDescent="0.15">
      <c r="J127">
        <f>IF(Shares!$A125="","",Shares!$A125)</f>
      </c>
      <c r="K127">
        <f>IF($J127="","",LEFT($J127,FIND(":",$J127)-1))</f>
      </c>
      <c r="L127">
        <f>IF($J127="","",MID($J127,FIND(":",$J127)+1,FIND(":",$J127,FIND(":",$J127)+1)-FIND(":",$J127)-1))</f>
      </c>
      <c r="M127">
        <f>IF($J127="","",RIGHT($J127,LEN($J127)-FIND(":",$J127,FIND(":",$J127)+1)))</f>
      </c>
      <c r="N127">
        <f>IF($J127="","",IF(ISNUMBER(MATCH($J127,Prices[Key],0)),"OK - in Prices","ADD TO PRICES"))</f>
      </c>
      <c r="P127">
        <f>IFERROR(INDEX(Prices[Key],ROWS($P$4:P127)),"")</f>
      </c>
      <c r="Q127">
        <f>IF($P127="","",IF(ISNUMBER(MATCH($P127,Shares!$A$2:$A$1001,0)),"held","NOT HELD - review"))</f>
      </c>
    </row>
    <row r="128" spans="1:17" ht="15" customHeight="1" x14ac:dyDescent="0.15">
      <c r="J128">
        <f>IF(Shares!$A126="","",Shares!$A126)</f>
      </c>
      <c r="K128">
        <f>IF($J128="","",LEFT($J128,FIND(":",$J128)-1))</f>
      </c>
      <c r="L128">
        <f>IF($J128="","",MID($J128,FIND(":",$J128)+1,FIND(":",$J128,FIND(":",$J128)+1)-FIND(":",$J128)-1))</f>
      </c>
      <c r="M128">
        <f>IF($J128="","",RIGHT($J128,LEN($J128)-FIND(":",$J128,FIND(":",$J128)+1)))</f>
      </c>
      <c r="N128">
        <f>IF($J128="","",IF(ISNUMBER(MATCH($J128,Prices[Key],0)),"OK - in Prices","ADD TO PRICES"))</f>
      </c>
      <c r="P128">
        <f>IFERROR(INDEX(Prices[Key],ROWS($P$4:P128)),"")</f>
      </c>
      <c r="Q128">
        <f>IF($P128="","",IF(ISNUMBER(MATCH($P128,Shares!$A$2:$A$1001,0)),"held","NOT HELD - review"))</f>
      </c>
    </row>
    <row r="129" spans="1:17" ht="15" customHeight="1" x14ac:dyDescent="0.15">
      <c r="J129">
        <f>IF(Shares!$A127="","",Shares!$A127)</f>
      </c>
      <c r="K129">
        <f>IF($J129="","",LEFT($J129,FIND(":",$J129)-1))</f>
      </c>
      <c r="L129">
        <f>IF($J129="","",MID($J129,FIND(":",$J129)+1,FIND(":",$J129,FIND(":",$J129)+1)-FIND(":",$J129)-1))</f>
      </c>
      <c r="M129">
        <f>IF($J129="","",RIGHT($J129,LEN($J129)-FIND(":",$J129,FIND(":",$J129)+1)))</f>
      </c>
      <c r="N129">
        <f>IF($J129="","",IF(ISNUMBER(MATCH($J129,Prices[Key],0)),"OK - in Prices","ADD TO PRICES"))</f>
      </c>
      <c r="P129">
        <f>IFERROR(INDEX(Prices[Key],ROWS($P$4:P129)),"")</f>
      </c>
      <c r="Q129">
        <f>IF($P129="","",IF(ISNUMBER(MATCH($P129,Shares!$A$2:$A$1001,0)),"held","NOT HELD - review"))</f>
      </c>
    </row>
    <row r="130" spans="1:17" ht="15" customHeight="1" x14ac:dyDescent="0.15">
      <c r="J130">
        <f>IF(Shares!$A128="","",Shares!$A128)</f>
      </c>
      <c r="K130">
        <f>IF($J130="","",LEFT($J130,FIND(":",$J130)-1))</f>
      </c>
      <c r="L130">
        <f>IF($J130="","",MID($J130,FIND(":",$J130)+1,FIND(":",$J130,FIND(":",$J130)+1)-FIND(":",$J130)-1))</f>
      </c>
      <c r="M130">
        <f>IF($J130="","",RIGHT($J130,LEN($J130)-FIND(":",$J130,FIND(":",$J130)+1)))</f>
      </c>
      <c r="N130">
        <f>IF($J130="","",IF(ISNUMBER(MATCH($J130,Prices[Key],0)),"OK - in Prices","ADD TO PRICES"))</f>
      </c>
      <c r="P130">
        <f>IFERROR(INDEX(Prices[Key],ROWS($P$4:P130)),"")</f>
      </c>
      <c r="Q130">
        <f>IF($P130="","",IF(ISNUMBER(MATCH($P130,Shares!$A$2:$A$1001,0)),"held","NOT HELD - review"))</f>
      </c>
    </row>
    <row r="131" spans="1:17" ht="15" customHeight="1" x14ac:dyDescent="0.15">
      <c r="J131">
        <f>IF(Shares!$A129="","",Shares!$A129)</f>
      </c>
      <c r="K131">
        <f>IF($J131="","",LEFT($J131,FIND(":",$J131)-1))</f>
      </c>
      <c r="L131">
        <f>IF($J131="","",MID($J131,FIND(":",$J131)+1,FIND(":",$J131,FIND(":",$J131)+1)-FIND(":",$J131)-1))</f>
      </c>
      <c r="M131">
        <f>IF($J131="","",RIGHT($J131,LEN($J131)-FIND(":",$J131,FIND(":",$J131)+1)))</f>
      </c>
      <c r="N131">
        <f>IF($J131="","",IF(ISNUMBER(MATCH($J131,Prices[Key],0)),"OK - in Prices","ADD TO PRICES"))</f>
      </c>
      <c r="P131">
        <f>IFERROR(INDEX(Prices[Key],ROWS($P$4:P131)),"")</f>
      </c>
      <c r="Q131">
        <f>IF($P131="","",IF(ISNUMBER(MATCH($P131,Shares!$A$2:$A$1001,0)),"held","NOT HELD - review"))</f>
      </c>
    </row>
    <row r="132" spans="1:17" ht="15" customHeight="1" x14ac:dyDescent="0.15">
      <c r="J132">
        <f>IF(Shares!$A130="","",Shares!$A130)</f>
      </c>
      <c r="K132">
        <f>IF($J132="","",LEFT($J132,FIND(":",$J132)-1))</f>
      </c>
      <c r="L132">
        <f>IF($J132="","",MID($J132,FIND(":",$J132)+1,FIND(":",$J132,FIND(":",$J132)+1)-FIND(":",$J132)-1))</f>
      </c>
      <c r="M132">
        <f>IF($J132="","",RIGHT($J132,LEN($J132)-FIND(":",$J132,FIND(":",$J132)+1)))</f>
      </c>
      <c r="N132">
        <f>IF($J132="","",IF(ISNUMBER(MATCH($J132,Prices[Key],0)),"OK - in Prices","ADD TO PRICES"))</f>
      </c>
      <c r="P132">
        <f>IFERROR(INDEX(Prices[Key],ROWS($P$4:P132)),"")</f>
      </c>
      <c r="Q132">
        <f>IF($P132="","",IF(ISNUMBER(MATCH($P132,Shares!$A$2:$A$1001,0)),"held","NOT HELD - review"))</f>
      </c>
    </row>
    <row r="133" spans="1:17" ht="15" customHeight="1" x14ac:dyDescent="0.15">
      <c r="J133">
        <f>IF(Shares!$A131="","",Shares!$A131)</f>
      </c>
      <c r="K133">
        <f>IF($J133="","",LEFT($J133,FIND(":",$J133)-1))</f>
      </c>
      <c r="L133">
        <f>IF($J133="","",MID($J133,FIND(":",$J133)+1,FIND(":",$J133,FIND(":",$J133)+1)-FIND(":",$J133)-1))</f>
      </c>
      <c r="M133">
        <f>IF($J133="","",RIGHT($J133,LEN($J133)-FIND(":",$J133,FIND(":",$J133)+1)))</f>
      </c>
      <c r="N133">
        <f>IF($J133="","",IF(ISNUMBER(MATCH($J133,Prices[Key],0)),"OK - in Prices","ADD TO PRICES"))</f>
      </c>
      <c r="P133">
        <f>IFERROR(INDEX(Prices[Key],ROWS($P$4:P133)),"")</f>
      </c>
      <c r="Q133">
        <f>IF($P133="","",IF(ISNUMBER(MATCH($P133,Shares!$A$2:$A$1001,0)),"held","NOT HELD - review"))</f>
      </c>
    </row>
    <row r="134" spans="1:17" ht="15" customHeight="1" x14ac:dyDescent="0.15">
      <c r="J134">
        <f>IF(Shares!$A132="","",Shares!$A132)</f>
      </c>
      <c r="K134">
        <f>IF($J134="","",LEFT($J134,FIND(":",$J134)-1))</f>
      </c>
      <c r="L134">
        <f>IF($J134="","",MID($J134,FIND(":",$J134)+1,FIND(":",$J134,FIND(":",$J134)+1)-FIND(":",$J134)-1))</f>
      </c>
      <c r="M134">
        <f>IF($J134="","",RIGHT($J134,LEN($J134)-FIND(":",$J134,FIND(":",$J134)+1)))</f>
      </c>
      <c r="N134">
        <f>IF($J134="","",IF(ISNUMBER(MATCH($J134,Prices[Key],0)),"OK - in Prices","ADD TO PRICES"))</f>
      </c>
      <c r="P134">
        <f>IFERROR(INDEX(Prices[Key],ROWS($P$4:P134)),"")</f>
      </c>
      <c r="Q134">
        <f>IF($P134="","",IF(ISNUMBER(MATCH($P134,Shares!$A$2:$A$1001,0)),"held","NOT HELD - review"))</f>
      </c>
    </row>
    <row r="135" spans="1:17" ht="15" customHeight="1" x14ac:dyDescent="0.15">
      <c r="J135">
        <f>IF(Shares!$A133="","",Shares!$A133)</f>
      </c>
      <c r="K135">
        <f>IF($J135="","",LEFT($J135,FIND(":",$J135)-1))</f>
      </c>
      <c r="L135">
        <f>IF($J135="","",MID($J135,FIND(":",$J135)+1,FIND(":",$J135,FIND(":",$J135)+1)-FIND(":",$J135)-1))</f>
      </c>
      <c r="M135">
        <f>IF($J135="","",RIGHT($J135,LEN($J135)-FIND(":",$J135,FIND(":",$J135)+1)))</f>
      </c>
      <c r="N135">
        <f>IF($J135="","",IF(ISNUMBER(MATCH($J135,Prices[Key],0)),"OK - in Prices","ADD TO PRICES"))</f>
      </c>
      <c r="P135">
        <f>IFERROR(INDEX(Prices[Key],ROWS($P$4:P135)),"")</f>
      </c>
      <c r="Q135">
        <f>IF($P135="","",IF(ISNUMBER(MATCH($P135,Shares!$A$2:$A$1001,0)),"held","NOT HELD - review"))</f>
      </c>
    </row>
    <row r="136" spans="1:17" ht="15" customHeight="1" x14ac:dyDescent="0.15">
      <c r="J136">
        <f>IF(Shares!$A134="","",Shares!$A134)</f>
      </c>
      <c r="K136">
        <f>IF($J136="","",LEFT($J136,FIND(":",$J136)-1))</f>
      </c>
      <c r="L136">
        <f>IF($J136="","",MID($J136,FIND(":",$J136)+1,FIND(":",$J136,FIND(":",$J136)+1)-FIND(":",$J136)-1))</f>
      </c>
      <c r="M136">
        <f>IF($J136="","",RIGHT($J136,LEN($J136)-FIND(":",$J136,FIND(":",$J136)+1)))</f>
      </c>
      <c r="N136">
        <f>IF($J136="","",IF(ISNUMBER(MATCH($J136,Prices[Key],0)),"OK - in Prices","ADD TO PRICES"))</f>
      </c>
      <c r="P136">
        <f>IFERROR(INDEX(Prices[Key],ROWS($P$4:P136)),"")</f>
      </c>
      <c r="Q136">
        <f>IF($P136="","",IF(ISNUMBER(MATCH($P136,Shares!$A$2:$A$1001,0)),"held","NOT HELD - review"))</f>
      </c>
    </row>
    <row r="137" spans="1:17" ht="15" customHeight="1" x14ac:dyDescent="0.15">
      <c r="J137">
        <f>IF(Shares!$A135="","",Shares!$A135)</f>
      </c>
      <c r="K137">
        <f>IF($J137="","",LEFT($J137,FIND(":",$J137)-1))</f>
      </c>
      <c r="L137">
        <f>IF($J137="","",MID($J137,FIND(":",$J137)+1,FIND(":",$J137,FIND(":",$J137)+1)-FIND(":",$J137)-1))</f>
      </c>
      <c r="M137">
        <f>IF($J137="","",RIGHT($J137,LEN($J137)-FIND(":",$J137,FIND(":",$J137)+1)))</f>
      </c>
      <c r="N137">
        <f>IF($J137="","",IF(ISNUMBER(MATCH($J137,Prices[Key],0)),"OK - in Prices","ADD TO PRICES"))</f>
      </c>
      <c r="P137">
        <f>IFERROR(INDEX(Prices[Key],ROWS($P$4:P137)),"")</f>
      </c>
      <c r="Q137">
        <f>IF($P137="","",IF(ISNUMBER(MATCH($P137,Shares!$A$2:$A$1001,0)),"held","NOT HELD - review"))</f>
      </c>
    </row>
    <row r="138" spans="1:17" ht="15" customHeight="1" x14ac:dyDescent="0.15">
      <c r="J138">
        <f>IF(Shares!$A136="","",Shares!$A136)</f>
      </c>
      <c r="K138">
        <f>IF($J138="","",LEFT($J138,FIND(":",$J138)-1))</f>
      </c>
      <c r="L138">
        <f>IF($J138="","",MID($J138,FIND(":",$J138)+1,FIND(":",$J138,FIND(":",$J138)+1)-FIND(":",$J138)-1))</f>
      </c>
      <c r="M138">
        <f>IF($J138="","",RIGHT($J138,LEN($J138)-FIND(":",$J138,FIND(":",$J138)+1)))</f>
      </c>
      <c r="N138">
        <f>IF($J138="","",IF(ISNUMBER(MATCH($J138,Prices[Key],0)),"OK - in Prices","ADD TO PRICES"))</f>
      </c>
      <c r="P138">
        <f>IFERROR(INDEX(Prices[Key],ROWS($P$4:P138)),"")</f>
      </c>
      <c r="Q138">
        <f>IF($P138="","",IF(ISNUMBER(MATCH($P138,Shares!$A$2:$A$1001,0)),"held","NOT HELD - review"))</f>
      </c>
    </row>
    <row r="139" spans="1:17" ht="15" customHeight="1" x14ac:dyDescent="0.15">
      <c r="J139">
        <f>IF(Shares!$A137="","",Shares!$A137)</f>
      </c>
      <c r="K139">
        <f>IF($J139="","",LEFT($J139,FIND(":",$J139)-1))</f>
      </c>
      <c r="L139">
        <f>IF($J139="","",MID($J139,FIND(":",$J139)+1,FIND(":",$J139,FIND(":",$J139)+1)-FIND(":",$J139)-1))</f>
      </c>
      <c r="M139">
        <f>IF($J139="","",RIGHT($J139,LEN($J139)-FIND(":",$J139,FIND(":",$J139)+1)))</f>
      </c>
      <c r="N139">
        <f>IF($J139="","",IF(ISNUMBER(MATCH($J139,Prices[Key],0)),"OK - in Prices","ADD TO PRICES"))</f>
      </c>
      <c r="P139">
        <f>IFERROR(INDEX(Prices[Key],ROWS($P$4:P139)),"")</f>
      </c>
      <c r="Q139">
        <f>IF($P139="","",IF(ISNUMBER(MATCH($P139,Shares!$A$2:$A$1001,0)),"held","NOT HELD - review"))</f>
      </c>
    </row>
    <row r="140" spans="1:17" ht="15" customHeight="1" x14ac:dyDescent="0.15">
      <c r="J140">
        <f>IF(Shares!$A138="","",Shares!$A138)</f>
      </c>
      <c r="K140">
        <f>IF($J140="","",LEFT($J140,FIND(":",$J140)-1))</f>
      </c>
      <c r="L140">
        <f>IF($J140="","",MID($J140,FIND(":",$J140)+1,FIND(":",$J140,FIND(":",$J140)+1)-FIND(":",$J140)-1))</f>
      </c>
      <c r="M140">
        <f>IF($J140="","",RIGHT($J140,LEN($J140)-FIND(":",$J140,FIND(":",$J140)+1)))</f>
      </c>
      <c r="N140">
        <f>IF($J140="","",IF(ISNUMBER(MATCH($J140,Prices[Key],0)),"OK - in Prices","ADD TO PRICES"))</f>
      </c>
      <c r="P140">
        <f>IFERROR(INDEX(Prices[Key],ROWS($P$4:P140)),"")</f>
      </c>
      <c r="Q140">
        <f>IF($P140="","",IF(ISNUMBER(MATCH($P140,Shares!$A$2:$A$1001,0)),"held","NOT HELD - review"))</f>
      </c>
    </row>
    <row r="141" spans="1:17" ht="15" customHeight="1" x14ac:dyDescent="0.15">
      <c r="J141">
        <f>IF(Shares!$A139="","",Shares!$A139)</f>
      </c>
      <c r="K141">
        <f>IF($J141="","",LEFT($J141,FIND(":",$J141)-1))</f>
      </c>
      <c r="L141">
        <f>IF($J141="","",MID($J141,FIND(":",$J141)+1,FIND(":",$J141,FIND(":",$J141)+1)-FIND(":",$J141)-1))</f>
      </c>
      <c r="M141">
        <f>IF($J141="","",RIGHT($J141,LEN($J141)-FIND(":",$J141,FIND(":",$J141)+1)))</f>
      </c>
      <c r="N141">
        <f>IF($J141="","",IF(ISNUMBER(MATCH($J141,Prices[Key],0)),"OK - in Prices","ADD TO PRICES"))</f>
      </c>
      <c r="P141">
        <f>IFERROR(INDEX(Prices[Key],ROWS($P$4:P141)),"")</f>
      </c>
      <c r="Q141">
        <f>IF($P141="","",IF(ISNUMBER(MATCH($P141,Shares!$A$2:$A$1001,0)),"held","NOT HELD - review"))</f>
      </c>
    </row>
    <row r="142" spans="1:17" ht="15" customHeight="1" x14ac:dyDescent="0.15">
      <c r="J142">
        <f>IF(Shares!$A140="","",Shares!$A140)</f>
      </c>
      <c r="K142">
        <f>IF($J142="","",LEFT($J142,FIND(":",$J142)-1))</f>
      </c>
      <c r="L142">
        <f>IF($J142="","",MID($J142,FIND(":",$J142)+1,FIND(":",$J142,FIND(":",$J142)+1)-FIND(":",$J142)-1))</f>
      </c>
      <c r="M142">
        <f>IF($J142="","",RIGHT($J142,LEN($J142)-FIND(":",$J142,FIND(":",$J142)+1)))</f>
      </c>
      <c r="N142">
        <f>IF($J142="","",IF(ISNUMBER(MATCH($J142,Prices[Key],0)),"OK - in Prices","ADD TO PRICES"))</f>
      </c>
      <c r="P142">
        <f>IFERROR(INDEX(Prices[Key],ROWS($P$4:P142)),"")</f>
      </c>
      <c r="Q142">
        <f>IF($P142="","",IF(ISNUMBER(MATCH($P142,Shares!$A$2:$A$1001,0)),"held","NOT HELD - review"))</f>
      </c>
    </row>
    <row r="143" spans="1:17" ht="15" customHeight="1" x14ac:dyDescent="0.15">
      <c r="J143">
        <f>IF(Shares!$A141="","",Shares!$A141)</f>
      </c>
      <c r="K143">
        <f>IF($J143="","",LEFT($J143,FIND(":",$J143)-1))</f>
      </c>
      <c r="L143">
        <f>IF($J143="","",MID($J143,FIND(":",$J143)+1,FIND(":",$J143,FIND(":",$J143)+1)-FIND(":",$J143)-1))</f>
      </c>
      <c r="M143">
        <f>IF($J143="","",RIGHT($J143,LEN($J143)-FIND(":",$J143,FIND(":",$J143)+1)))</f>
      </c>
      <c r="N143">
        <f>IF($J143="","",IF(ISNUMBER(MATCH($J143,Prices[Key],0)),"OK - in Prices","ADD TO PRICES"))</f>
      </c>
      <c r="P143">
        <f>IFERROR(INDEX(Prices[Key],ROWS($P$4:P143)),"")</f>
      </c>
      <c r="Q143">
        <f>IF($P143="","",IF(ISNUMBER(MATCH($P143,Shares!$A$2:$A$1001,0)),"held","NOT HELD - review"))</f>
      </c>
    </row>
    <row r="144" spans="1:17" ht="15" customHeight="1" x14ac:dyDescent="0.15">
      <c r="J144">
        <f>IF(Shares!$A142="","",Shares!$A142)</f>
      </c>
      <c r="K144">
        <f>IF($J144="","",LEFT($J144,FIND(":",$J144)-1))</f>
      </c>
      <c r="L144">
        <f>IF($J144="","",MID($J144,FIND(":",$J144)+1,FIND(":",$J144,FIND(":",$J144)+1)-FIND(":",$J144)-1))</f>
      </c>
      <c r="M144">
        <f>IF($J144="","",RIGHT($J144,LEN($J144)-FIND(":",$J144,FIND(":",$J144)+1)))</f>
      </c>
      <c r="N144">
        <f>IF($J144="","",IF(ISNUMBER(MATCH($J144,Prices[Key],0)),"OK - in Prices","ADD TO PRICES"))</f>
      </c>
      <c r="P144">
        <f>IFERROR(INDEX(Prices[Key],ROWS($P$4:P144)),"")</f>
      </c>
      <c r="Q144">
        <f>IF($P144="","",IF(ISNUMBER(MATCH($P144,Shares!$A$2:$A$1001,0)),"held","NOT HELD - review"))</f>
      </c>
    </row>
    <row r="145" spans="1:17" ht="15" customHeight="1" x14ac:dyDescent="0.15">
      <c r="J145">
        <f>IF(Shares!$A143="","",Shares!$A143)</f>
      </c>
      <c r="K145">
        <f>IF($J145="","",LEFT($J145,FIND(":",$J145)-1))</f>
      </c>
      <c r="L145">
        <f>IF($J145="","",MID($J145,FIND(":",$J145)+1,FIND(":",$J145,FIND(":",$J145)+1)-FIND(":",$J145)-1))</f>
      </c>
      <c r="M145">
        <f>IF($J145="","",RIGHT($J145,LEN($J145)-FIND(":",$J145,FIND(":",$J145)+1)))</f>
      </c>
      <c r="N145">
        <f>IF($J145="","",IF(ISNUMBER(MATCH($J145,Prices[Key],0)),"OK - in Prices","ADD TO PRICES"))</f>
      </c>
      <c r="P145">
        <f>IFERROR(INDEX(Prices[Key],ROWS($P$4:P145)),"")</f>
      </c>
      <c r="Q145">
        <f>IF($P145="","",IF(ISNUMBER(MATCH($P145,Shares!$A$2:$A$1001,0)),"held","NOT HELD - review"))</f>
      </c>
    </row>
    <row r="146" spans="1:17" ht="15" customHeight="1" x14ac:dyDescent="0.15">
      <c r="J146">
        <f>IF(Shares!$A144="","",Shares!$A144)</f>
      </c>
      <c r="K146">
        <f>IF($J146="","",LEFT($J146,FIND(":",$J146)-1))</f>
      </c>
      <c r="L146">
        <f>IF($J146="","",MID($J146,FIND(":",$J146)+1,FIND(":",$J146,FIND(":",$J146)+1)-FIND(":",$J146)-1))</f>
      </c>
      <c r="M146">
        <f>IF($J146="","",RIGHT($J146,LEN($J146)-FIND(":",$J146,FIND(":",$J146)+1)))</f>
      </c>
      <c r="N146">
        <f>IF($J146="","",IF(ISNUMBER(MATCH($J146,Prices[Key],0)),"OK - in Prices","ADD TO PRICES"))</f>
      </c>
      <c r="P146">
        <f>IFERROR(INDEX(Prices[Key],ROWS($P$4:P146)),"")</f>
      </c>
      <c r="Q146">
        <f>IF($P146="","",IF(ISNUMBER(MATCH($P146,Shares!$A$2:$A$1001,0)),"held","NOT HELD - review"))</f>
      </c>
    </row>
    <row r="147" spans="1:17" ht="15" customHeight="1" x14ac:dyDescent="0.15">
      <c r="J147">
        <f>IF(Shares!$A145="","",Shares!$A145)</f>
      </c>
      <c r="K147">
        <f>IF($J147="","",LEFT($J147,FIND(":",$J147)-1))</f>
      </c>
      <c r="L147">
        <f>IF($J147="","",MID($J147,FIND(":",$J147)+1,FIND(":",$J147,FIND(":",$J147)+1)-FIND(":",$J147)-1))</f>
      </c>
      <c r="M147">
        <f>IF($J147="","",RIGHT($J147,LEN($J147)-FIND(":",$J147,FIND(":",$J147)+1)))</f>
      </c>
      <c r="N147">
        <f>IF($J147="","",IF(ISNUMBER(MATCH($J147,Prices[Key],0)),"OK - in Prices","ADD TO PRICES"))</f>
      </c>
      <c r="P147">
        <f>IFERROR(INDEX(Prices[Key],ROWS($P$4:P147)),"")</f>
      </c>
      <c r="Q147">
        <f>IF($P147="","",IF(ISNUMBER(MATCH($P147,Shares!$A$2:$A$1001,0)),"held","NOT HELD - review"))</f>
      </c>
    </row>
    <row r="148" spans="1:17" ht="15" customHeight="1" x14ac:dyDescent="0.15">
      <c r="J148">
        <f>IF(Shares!$A146="","",Shares!$A146)</f>
      </c>
      <c r="K148">
        <f>IF($J148="","",LEFT($J148,FIND(":",$J148)-1))</f>
      </c>
      <c r="L148">
        <f>IF($J148="","",MID($J148,FIND(":",$J148)+1,FIND(":",$J148,FIND(":",$J148)+1)-FIND(":",$J148)-1))</f>
      </c>
      <c r="M148">
        <f>IF($J148="","",RIGHT($J148,LEN($J148)-FIND(":",$J148,FIND(":",$J148)+1)))</f>
      </c>
      <c r="N148">
        <f>IF($J148="","",IF(ISNUMBER(MATCH($J148,Prices[Key],0)),"OK - in Prices","ADD TO PRICES"))</f>
      </c>
      <c r="P148">
        <f>IFERROR(INDEX(Prices[Key],ROWS($P$4:P148)),"")</f>
      </c>
      <c r="Q148">
        <f>IF($P148="","",IF(ISNUMBER(MATCH($P148,Shares!$A$2:$A$1001,0)),"held","NOT HELD - review"))</f>
      </c>
    </row>
    <row r="149" spans="1:17" ht="15" customHeight="1" x14ac:dyDescent="0.15">
      <c r="J149">
        <f>IF(Shares!$A147="","",Shares!$A147)</f>
      </c>
      <c r="K149">
        <f>IF($J149="","",LEFT($J149,FIND(":",$J149)-1))</f>
      </c>
      <c r="L149">
        <f>IF($J149="","",MID($J149,FIND(":",$J149)+1,FIND(":",$J149,FIND(":",$J149)+1)-FIND(":",$J149)-1))</f>
      </c>
      <c r="M149">
        <f>IF($J149="","",RIGHT($J149,LEN($J149)-FIND(":",$J149,FIND(":",$J149)+1)))</f>
      </c>
      <c r="N149">
        <f>IF($J149="","",IF(ISNUMBER(MATCH($J149,Prices[Key],0)),"OK - in Prices","ADD TO PRICES"))</f>
      </c>
      <c r="P149">
        <f>IFERROR(INDEX(Prices[Key],ROWS($P$4:P149)),"")</f>
      </c>
      <c r="Q149">
        <f>IF($P149="","",IF(ISNUMBER(MATCH($P149,Shares!$A$2:$A$1001,0)),"held","NOT HELD - review"))</f>
      </c>
    </row>
    <row r="150" spans="1:17" ht="15" customHeight="1" x14ac:dyDescent="0.15">
      <c r="J150">
        <f>IF(Shares!$A148="","",Shares!$A148)</f>
      </c>
      <c r="K150">
        <f>IF($J150="","",LEFT($J150,FIND(":",$J150)-1))</f>
      </c>
      <c r="L150">
        <f>IF($J150="","",MID($J150,FIND(":",$J150)+1,FIND(":",$J150,FIND(":",$J150)+1)-FIND(":",$J150)-1))</f>
      </c>
      <c r="M150">
        <f>IF($J150="","",RIGHT($J150,LEN($J150)-FIND(":",$J150,FIND(":",$J150)+1)))</f>
      </c>
      <c r="N150">
        <f>IF($J150="","",IF(ISNUMBER(MATCH($J150,Prices[Key],0)),"OK - in Prices","ADD TO PRICES"))</f>
      </c>
      <c r="P150">
        <f>IFERROR(INDEX(Prices[Key],ROWS($P$4:P150)),"")</f>
      </c>
      <c r="Q150">
        <f>IF($P150="","",IF(ISNUMBER(MATCH($P150,Shares!$A$2:$A$1001,0)),"held","NOT HELD - review"))</f>
      </c>
    </row>
    <row r="151" spans="1:17" ht="15" customHeight="1" x14ac:dyDescent="0.15">
      <c r="J151">
        <f>IF(Shares!$A149="","",Shares!$A149)</f>
      </c>
      <c r="K151">
        <f>IF($J151="","",LEFT($J151,FIND(":",$J151)-1))</f>
      </c>
      <c r="L151">
        <f>IF($J151="","",MID($J151,FIND(":",$J151)+1,FIND(":",$J151,FIND(":",$J151)+1)-FIND(":",$J151)-1))</f>
      </c>
      <c r="M151">
        <f>IF($J151="","",RIGHT($J151,LEN($J151)-FIND(":",$J151,FIND(":",$J151)+1)))</f>
      </c>
      <c r="N151">
        <f>IF($J151="","",IF(ISNUMBER(MATCH($J151,Prices[Key],0)),"OK - in Prices","ADD TO PRICES"))</f>
      </c>
      <c r="P151">
        <f>IFERROR(INDEX(Prices[Key],ROWS($P$4:P151)),"")</f>
      </c>
      <c r="Q151">
        <f>IF($P151="","",IF(ISNUMBER(MATCH($P151,Shares!$A$2:$A$1001,0)),"held","NOT HELD - review"))</f>
      </c>
    </row>
    <row r="152" spans="1:17" ht="15" customHeight="1" x14ac:dyDescent="0.15">
      <c r="J152">
        <f>IF(Shares!$A150="","",Shares!$A150)</f>
      </c>
      <c r="K152">
        <f>IF($J152="","",LEFT($J152,FIND(":",$J152)-1))</f>
      </c>
      <c r="L152">
        <f>IF($J152="","",MID($J152,FIND(":",$J152)+1,FIND(":",$J152,FIND(":",$J152)+1)-FIND(":",$J152)-1))</f>
      </c>
      <c r="M152">
        <f>IF($J152="","",RIGHT($J152,LEN($J152)-FIND(":",$J152,FIND(":",$J152)+1)))</f>
      </c>
      <c r="N152">
        <f>IF($J152="","",IF(ISNUMBER(MATCH($J152,Prices[Key],0)),"OK - in Prices","ADD TO PRICES"))</f>
      </c>
      <c r="P152">
        <f>IFERROR(INDEX(Prices[Key],ROWS($P$4:P152)),"")</f>
      </c>
      <c r="Q152">
        <f>IF($P152="","",IF(ISNUMBER(MATCH($P152,Shares!$A$2:$A$1001,0)),"held","NOT HELD - review"))</f>
      </c>
    </row>
    <row r="153" spans="1:17" ht="15" customHeight="1" x14ac:dyDescent="0.15">
      <c r="J153">
        <f>IF(Shares!$A151="","",Shares!$A151)</f>
      </c>
      <c r="K153">
        <f>IF($J153="","",LEFT($J153,FIND(":",$J153)-1))</f>
      </c>
      <c r="L153">
        <f>IF($J153="","",MID($J153,FIND(":",$J153)+1,FIND(":",$J153,FIND(":",$J153)+1)-FIND(":",$J153)-1))</f>
      </c>
      <c r="M153">
        <f>IF($J153="","",RIGHT($J153,LEN($J153)-FIND(":",$J153,FIND(":",$J153)+1)))</f>
      </c>
      <c r="N153">
        <f>IF($J153="","",IF(ISNUMBER(MATCH($J153,Prices[Key],0)),"OK - in Prices","ADD TO PRICES"))</f>
      </c>
      <c r="P153">
        <f>IFERROR(INDEX(Prices[Key],ROWS($P$4:P153)),"")</f>
      </c>
      <c r="Q153">
        <f>IF($P153="","",IF(ISNUMBER(MATCH($P153,Shares!$A$2:$A$1001,0)),"held","NOT HELD - review"))</f>
      </c>
    </row>
    <row r="154" spans="1:17" ht="15" customHeight="1" x14ac:dyDescent="0.15">
      <c r="J154">
        <f>IF(Shares!$A152="","",Shares!$A152)</f>
      </c>
      <c r="K154">
        <f>IF($J154="","",LEFT($J154,FIND(":",$J154)-1))</f>
      </c>
      <c r="L154">
        <f>IF($J154="","",MID($J154,FIND(":",$J154)+1,FIND(":",$J154,FIND(":",$J154)+1)-FIND(":",$J154)-1))</f>
      </c>
      <c r="M154">
        <f>IF($J154="","",RIGHT($J154,LEN($J154)-FIND(":",$J154,FIND(":",$J154)+1)))</f>
      </c>
      <c r="N154">
        <f>IF($J154="","",IF(ISNUMBER(MATCH($J154,Prices[Key],0)),"OK - in Prices","ADD TO PRICES"))</f>
      </c>
      <c r="P154">
        <f>IFERROR(INDEX(Prices[Key],ROWS($P$4:P154)),"")</f>
      </c>
      <c r="Q154">
        <f>IF($P154="","",IF(ISNUMBER(MATCH($P154,Shares!$A$2:$A$1001,0)),"held","NOT HELD - review"))</f>
      </c>
    </row>
    <row r="155" spans="1:17" ht="15" customHeight="1" x14ac:dyDescent="0.15">
      <c r="J155">
        <f>IF(Shares!$A153="","",Shares!$A153)</f>
      </c>
      <c r="K155">
        <f>IF($J155="","",LEFT($J155,FIND(":",$J155)-1))</f>
      </c>
      <c r="L155">
        <f>IF($J155="","",MID($J155,FIND(":",$J155)+1,FIND(":",$J155,FIND(":",$J155)+1)-FIND(":",$J155)-1))</f>
      </c>
      <c r="M155">
        <f>IF($J155="","",RIGHT($J155,LEN($J155)-FIND(":",$J155,FIND(":",$J155)+1)))</f>
      </c>
      <c r="N155">
        <f>IF($J155="","",IF(ISNUMBER(MATCH($J155,Prices[Key],0)),"OK - in Prices","ADD TO PRICES"))</f>
      </c>
      <c r="P155">
        <f>IFERROR(INDEX(Prices[Key],ROWS($P$4:P155)),"")</f>
      </c>
      <c r="Q155">
        <f>IF($P155="","",IF(ISNUMBER(MATCH($P155,Shares!$A$2:$A$1001,0)),"held","NOT HELD - review"))</f>
      </c>
    </row>
    <row r="156" spans="1:17" ht="15" customHeight="1" x14ac:dyDescent="0.15">
      <c r="J156">
        <f>IF(Shares!$A154="","",Shares!$A154)</f>
      </c>
      <c r="K156">
        <f>IF($J156="","",LEFT($J156,FIND(":",$J156)-1))</f>
      </c>
      <c r="L156">
        <f>IF($J156="","",MID($J156,FIND(":",$J156)+1,FIND(":",$J156,FIND(":",$J156)+1)-FIND(":",$J156)-1))</f>
      </c>
      <c r="M156">
        <f>IF($J156="","",RIGHT($J156,LEN($J156)-FIND(":",$J156,FIND(":",$J156)+1)))</f>
      </c>
      <c r="N156">
        <f>IF($J156="","",IF(ISNUMBER(MATCH($J156,Prices[Key],0)),"OK - in Prices","ADD TO PRICES"))</f>
      </c>
      <c r="P156">
        <f>IFERROR(INDEX(Prices[Key],ROWS($P$4:P156)),"")</f>
      </c>
      <c r="Q156">
        <f>IF($P156="","",IF(ISNUMBER(MATCH($P156,Shares!$A$2:$A$1001,0)),"held","NOT HELD - review"))</f>
      </c>
    </row>
    <row r="157" spans="1:17" ht="15" customHeight="1" x14ac:dyDescent="0.15">
      <c r="J157">
        <f>IF(Shares!$A155="","",Shares!$A155)</f>
      </c>
      <c r="K157">
        <f>IF($J157="","",LEFT($J157,FIND(":",$J157)-1))</f>
      </c>
      <c r="L157">
        <f>IF($J157="","",MID($J157,FIND(":",$J157)+1,FIND(":",$J157,FIND(":",$J157)+1)-FIND(":",$J157)-1))</f>
      </c>
      <c r="M157">
        <f>IF($J157="","",RIGHT($J157,LEN($J157)-FIND(":",$J157,FIND(":",$J157)+1)))</f>
      </c>
      <c r="N157">
        <f>IF($J157="","",IF(ISNUMBER(MATCH($J157,Prices[Key],0)),"OK - in Prices","ADD TO PRICES"))</f>
      </c>
      <c r="P157">
        <f>IFERROR(INDEX(Prices[Key],ROWS($P$4:P157)),"")</f>
      </c>
      <c r="Q157">
        <f>IF($P157="","",IF(ISNUMBER(MATCH($P157,Shares!$A$2:$A$1001,0)),"held","NOT HELD - review"))</f>
      </c>
    </row>
    <row r="158" spans="1:17" ht="15" customHeight="1" x14ac:dyDescent="0.15">
      <c r="J158">
        <f>IF(Shares!$A156="","",Shares!$A156)</f>
      </c>
      <c r="K158">
        <f>IF($J158="","",LEFT($J158,FIND(":",$J158)-1))</f>
      </c>
      <c r="L158">
        <f>IF($J158="","",MID($J158,FIND(":",$J158)+1,FIND(":",$J158,FIND(":",$J158)+1)-FIND(":",$J158)-1))</f>
      </c>
      <c r="M158">
        <f>IF($J158="","",RIGHT($J158,LEN($J158)-FIND(":",$J158,FIND(":",$J158)+1)))</f>
      </c>
      <c r="N158">
        <f>IF($J158="","",IF(ISNUMBER(MATCH($J158,Prices[Key],0)),"OK - in Prices","ADD TO PRICES"))</f>
      </c>
      <c r="P158">
        <f>IFERROR(INDEX(Prices[Key],ROWS($P$4:P158)),"")</f>
      </c>
      <c r="Q158">
        <f>IF($P158="","",IF(ISNUMBER(MATCH($P158,Shares!$A$2:$A$1001,0)),"held","NOT HELD - review"))</f>
      </c>
    </row>
    <row r="159" spans="1:17" ht="15" customHeight="1" x14ac:dyDescent="0.15">
      <c r="J159">
        <f>IF(Shares!$A157="","",Shares!$A157)</f>
      </c>
      <c r="K159">
        <f>IF($J159="","",LEFT($J159,FIND(":",$J159)-1))</f>
      </c>
      <c r="L159">
        <f>IF($J159="","",MID($J159,FIND(":",$J159)+1,FIND(":",$J159,FIND(":",$J159)+1)-FIND(":",$J159)-1))</f>
      </c>
      <c r="M159">
        <f>IF($J159="","",RIGHT($J159,LEN($J159)-FIND(":",$J159,FIND(":",$J159)+1)))</f>
      </c>
      <c r="N159">
        <f>IF($J159="","",IF(ISNUMBER(MATCH($J159,Prices[Key],0)),"OK - in Prices","ADD TO PRICES"))</f>
      </c>
      <c r="P159">
        <f>IFERROR(INDEX(Prices[Key],ROWS($P$4:P159)),"")</f>
      </c>
      <c r="Q159">
        <f>IF($P159="","",IF(ISNUMBER(MATCH($P159,Shares!$A$2:$A$1001,0)),"held","NOT HELD - review"))</f>
      </c>
    </row>
    <row r="160" spans="1:17" ht="15" customHeight="1" x14ac:dyDescent="0.15">
      <c r="J160">
        <f>IF(Shares!$A158="","",Shares!$A158)</f>
      </c>
      <c r="K160">
        <f>IF($J160="","",LEFT($J160,FIND(":",$J160)-1))</f>
      </c>
      <c r="L160">
        <f>IF($J160="","",MID($J160,FIND(":",$J160)+1,FIND(":",$J160,FIND(":",$J160)+1)-FIND(":",$J160)-1))</f>
      </c>
      <c r="M160">
        <f>IF($J160="","",RIGHT($J160,LEN($J160)-FIND(":",$J160,FIND(":",$J160)+1)))</f>
      </c>
      <c r="N160">
        <f>IF($J160="","",IF(ISNUMBER(MATCH($J160,Prices[Key],0)),"OK - in Prices","ADD TO PRICES"))</f>
      </c>
      <c r="P160">
        <f>IFERROR(INDEX(Prices[Key],ROWS($P$4:P160)),"")</f>
      </c>
      <c r="Q160">
        <f>IF($P160="","",IF(ISNUMBER(MATCH($P160,Shares!$A$2:$A$1001,0)),"held","NOT HELD - review"))</f>
      </c>
    </row>
    <row r="161" spans="1:17" ht="15" customHeight="1" x14ac:dyDescent="0.15">
      <c r="J161">
        <f>IF(Shares!$A159="","",Shares!$A159)</f>
      </c>
      <c r="K161">
        <f>IF($J161="","",LEFT($J161,FIND(":",$J161)-1))</f>
      </c>
      <c r="L161">
        <f>IF($J161="","",MID($J161,FIND(":",$J161)+1,FIND(":",$J161,FIND(":",$J161)+1)-FIND(":",$J161)-1))</f>
      </c>
      <c r="M161">
        <f>IF($J161="","",RIGHT($J161,LEN($J161)-FIND(":",$J161,FIND(":",$J161)+1)))</f>
      </c>
      <c r="N161">
        <f>IF($J161="","",IF(ISNUMBER(MATCH($J161,Prices[Key],0)),"OK - in Prices","ADD TO PRICES"))</f>
      </c>
      <c r="P161">
        <f>IFERROR(INDEX(Prices[Key],ROWS($P$4:P161)),"")</f>
      </c>
      <c r="Q161">
        <f>IF($P161="","",IF(ISNUMBER(MATCH($P161,Shares!$A$2:$A$1001,0)),"held","NOT HELD - review"))</f>
      </c>
    </row>
    <row r="162" spans="1:17" ht="15" customHeight="1" x14ac:dyDescent="0.15">
      <c r="J162">
        <f>IF(Shares!$A160="","",Shares!$A160)</f>
      </c>
      <c r="K162">
        <f>IF($J162="","",LEFT($J162,FIND(":",$J162)-1))</f>
      </c>
      <c r="L162">
        <f>IF($J162="","",MID($J162,FIND(":",$J162)+1,FIND(":",$J162,FIND(":",$J162)+1)-FIND(":",$J162)-1))</f>
      </c>
      <c r="M162">
        <f>IF($J162="","",RIGHT($J162,LEN($J162)-FIND(":",$J162,FIND(":",$J162)+1)))</f>
      </c>
      <c r="N162">
        <f>IF($J162="","",IF(ISNUMBER(MATCH($J162,Prices[Key],0)),"OK - in Prices","ADD TO PRICES"))</f>
      </c>
      <c r="P162">
        <f>IFERROR(INDEX(Prices[Key],ROWS($P$4:P162)),"")</f>
      </c>
      <c r="Q162">
        <f>IF($P162="","",IF(ISNUMBER(MATCH($P162,Shares!$A$2:$A$1001,0)),"held","NOT HELD - review"))</f>
      </c>
    </row>
    <row r="163" spans="1:17" ht="15" customHeight="1" x14ac:dyDescent="0.15">
      <c r="J163">
        <f>IF(Shares!$A161="","",Shares!$A161)</f>
      </c>
      <c r="K163">
        <f>IF($J163="","",LEFT($J163,FIND(":",$J163)-1))</f>
      </c>
      <c r="L163">
        <f>IF($J163="","",MID($J163,FIND(":",$J163)+1,FIND(":",$J163,FIND(":",$J163)+1)-FIND(":",$J163)-1))</f>
      </c>
      <c r="M163">
        <f>IF($J163="","",RIGHT($J163,LEN($J163)-FIND(":",$J163,FIND(":",$J163)+1)))</f>
      </c>
      <c r="N163">
        <f>IF($J163="","",IF(ISNUMBER(MATCH($J163,Prices[Key],0)),"OK - in Prices","ADD TO PRICES"))</f>
      </c>
      <c r="P163">
        <f>IFERROR(INDEX(Prices[Key],ROWS($P$4:P163)),"")</f>
      </c>
      <c r="Q163">
        <f>IF($P163="","",IF(ISNUMBER(MATCH($P163,Shares!$A$2:$A$1001,0)),"held","NOT HELD - review"))</f>
      </c>
    </row>
    <row r="164" spans="1:17" ht="15" customHeight="1" x14ac:dyDescent="0.15">
      <c r="J164">
        <f>IF(Shares!$A162="","",Shares!$A162)</f>
      </c>
      <c r="K164">
        <f>IF($J164="","",LEFT($J164,FIND(":",$J164)-1))</f>
      </c>
      <c r="L164">
        <f>IF($J164="","",MID($J164,FIND(":",$J164)+1,FIND(":",$J164,FIND(":",$J164)+1)-FIND(":",$J164)-1))</f>
      </c>
      <c r="M164">
        <f>IF($J164="","",RIGHT($J164,LEN($J164)-FIND(":",$J164,FIND(":",$J164)+1)))</f>
      </c>
      <c r="N164">
        <f>IF($J164="","",IF(ISNUMBER(MATCH($J164,Prices[Key],0)),"OK - in Prices","ADD TO PRICES"))</f>
      </c>
      <c r="P164">
        <f>IFERROR(INDEX(Prices[Key],ROWS($P$4:P164)),"")</f>
      </c>
      <c r="Q164">
        <f>IF($P164="","",IF(ISNUMBER(MATCH($P164,Shares!$A$2:$A$1001,0)),"held","NOT HELD - review"))</f>
      </c>
    </row>
    <row r="165" spans="1:17" ht="15" customHeight="1" x14ac:dyDescent="0.15">
      <c r="J165">
        <f>IF(Shares!$A163="","",Shares!$A163)</f>
      </c>
      <c r="K165">
        <f>IF($J165="","",LEFT($J165,FIND(":",$J165)-1))</f>
      </c>
      <c r="L165">
        <f>IF($J165="","",MID($J165,FIND(":",$J165)+1,FIND(":",$J165,FIND(":",$J165)+1)-FIND(":",$J165)-1))</f>
      </c>
      <c r="M165">
        <f>IF($J165="","",RIGHT($J165,LEN($J165)-FIND(":",$J165,FIND(":",$J165)+1)))</f>
      </c>
      <c r="N165">
        <f>IF($J165="","",IF(ISNUMBER(MATCH($J165,Prices[Key],0)),"OK - in Prices","ADD TO PRICES"))</f>
      </c>
      <c r="P165">
        <f>IFERROR(INDEX(Prices[Key],ROWS($P$4:P165)),"")</f>
      </c>
      <c r="Q165">
        <f>IF($P165="","",IF(ISNUMBER(MATCH($P165,Shares!$A$2:$A$1001,0)),"held","NOT HELD - review"))</f>
      </c>
    </row>
    <row r="166" spans="1:17" ht="15" customHeight="1" x14ac:dyDescent="0.15">
      <c r="J166">
        <f>IF(Shares!$A164="","",Shares!$A164)</f>
      </c>
      <c r="K166">
        <f>IF($J166="","",LEFT($J166,FIND(":",$J166)-1))</f>
      </c>
      <c r="L166">
        <f>IF($J166="","",MID($J166,FIND(":",$J166)+1,FIND(":",$J166,FIND(":",$J166)+1)-FIND(":",$J166)-1))</f>
      </c>
      <c r="M166">
        <f>IF($J166="","",RIGHT($J166,LEN($J166)-FIND(":",$J166,FIND(":",$J166)+1)))</f>
      </c>
      <c r="N166">
        <f>IF($J166="","",IF(ISNUMBER(MATCH($J166,Prices[Key],0)),"OK - in Prices","ADD TO PRICES"))</f>
      </c>
      <c r="P166">
        <f>IFERROR(INDEX(Prices[Key],ROWS($P$4:P166)),"")</f>
      </c>
      <c r="Q166">
        <f>IF($P166="","",IF(ISNUMBER(MATCH($P166,Shares!$A$2:$A$1001,0)),"held","NOT HELD - review"))</f>
      </c>
    </row>
    <row r="167" spans="1:17" ht="15" customHeight="1" x14ac:dyDescent="0.15">
      <c r="J167">
        <f>IF(Shares!$A165="","",Shares!$A165)</f>
      </c>
      <c r="K167">
        <f>IF($J167="","",LEFT($J167,FIND(":",$J167)-1))</f>
      </c>
      <c r="L167">
        <f>IF($J167="","",MID($J167,FIND(":",$J167)+1,FIND(":",$J167,FIND(":",$J167)+1)-FIND(":",$J167)-1))</f>
      </c>
      <c r="M167">
        <f>IF($J167="","",RIGHT($J167,LEN($J167)-FIND(":",$J167,FIND(":",$J167)+1)))</f>
      </c>
      <c r="N167">
        <f>IF($J167="","",IF(ISNUMBER(MATCH($J167,Prices[Key],0)),"OK - in Prices","ADD TO PRICES"))</f>
      </c>
      <c r="P167">
        <f>IFERROR(INDEX(Prices[Key],ROWS($P$4:P167)),"")</f>
      </c>
      <c r="Q167">
        <f>IF($P167="","",IF(ISNUMBER(MATCH($P167,Shares!$A$2:$A$1001,0)),"held","NOT HELD - review"))</f>
      </c>
    </row>
    <row r="168" spans="1:17" ht="15" customHeight="1" x14ac:dyDescent="0.15">
      <c r="J168">
        <f>IF(Shares!$A166="","",Shares!$A166)</f>
      </c>
      <c r="K168">
        <f>IF($J168="","",LEFT($J168,FIND(":",$J168)-1))</f>
      </c>
      <c r="L168">
        <f>IF($J168="","",MID($J168,FIND(":",$J168)+1,FIND(":",$J168,FIND(":",$J168)+1)-FIND(":",$J168)-1))</f>
      </c>
      <c r="M168">
        <f>IF($J168="","",RIGHT($J168,LEN($J168)-FIND(":",$J168,FIND(":",$J168)+1)))</f>
      </c>
      <c r="N168">
        <f>IF($J168="","",IF(ISNUMBER(MATCH($J168,Prices[Key],0)),"OK - in Prices","ADD TO PRICES"))</f>
      </c>
      <c r="P168">
        <f>IFERROR(INDEX(Prices[Key],ROWS($P$4:P168)),"")</f>
      </c>
      <c r="Q168">
        <f>IF($P168="","",IF(ISNUMBER(MATCH($P168,Shares!$A$2:$A$1001,0)),"held","NOT HELD - review"))</f>
      </c>
    </row>
    <row r="169" spans="1:17" ht="15" customHeight="1" x14ac:dyDescent="0.15">
      <c r="J169">
        <f>IF(Shares!$A167="","",Shares!$A167)</f>
      </c>
      <c r="K169">
        <f>IF($J169="","",LEFT($J169,FIND(":",$J169)-1))</f>
      </c>
      <c r="L169">
        <f>IF($J169="","",MID($J169,FIND(":",$J169)+1,FIND(":",$J169,FIND(":",$J169)+1)-FIND(":",$J169)-1))</f>
      </c>
      <c r="M169">
        <f>IF($J169="","",RIGHT($J169,LEN($J169)-FIND(":",$J169,FIND(":",$J169)+1)))</f>
      </c>
      <c r="N169">
        <f>IF($J169="","",IF(ISNUMBER(MATCH($J169,Prices[Key],0)),"OK - in Prices","ADD TO PRICES"))</f>
      </c>
      <c r="P169">
        <f>IFERROR(INDEX(Prices[Key],ROWS($P$4:P169)),"")</f>
      </c>
      <c r="Q169">
        <f>IF($P169="","",IF(ISNUMBER(MATCH($P169,Shares!$A$2:$A$1001,0)),"held","NOT HELD - review"))</f>
      </c>
    </row>
    <row r="170" spans="1:17" ht="15" customHeight="1" x14ac:dyDescent="0.15">
      <c r="J170">
        <f>IF(Shares!$A168="","",Shares!$A168)</f>
      </c>
      <c r="K170">
        <f>IF($J170="","",LEFT($J170,FIND(":",$J170)-1))</f>
      </c>
      <c r="L170">
        <f>IF($J170="","",MID($J170,FIND(":",$J170)+1,FIND(":",$J170,FIND(":",$J170)+1)-FIND(":",$J170)-1))</f>
      </c>
      <c r="M170">
        <f>IF($J170="","",RIGHT($J170,LEN($J170)-FIND(":",$J170,FIND(":",$J170)+1)))</f>
      </c>
      <c r="N170">
        <f>IF($J170="","",IF(ISNUMBER(MATCH($J170,Prices[Key],0)),"OK - in Prices","ADD TO PRICES"))</f>
      </c>
      <c r="P170">
        <f>IFERROR(INDEX(Prices[Key],ROWS($P$4:P170)),"")</f>
      </c>
      <c r="Q170">
        <f>IF($P170="","",IF(ISNUMBER(MATCH($P170,Shares!$A$2:$A$1001,0)),"held","NOT HELD - review"))</f>
      </c>
    </row>
    <row r="171" spans="1:17" ht="15" customHeight="1" x14ac:dyDescent="0.15">
      <c r="J171">
        <f>IF(Shares!$A169="","",Shares!$A169)</f>
      </c>
      <c r="K171">
        <f>IF($J171="","",LEFT($J171,FIND(":",$J171)-1))</f>
      </c>
      <c r="L171">
        <f>IF($J171="","",MID($J171,FIND(":",$J171)+1,FIND(":",$J171,FIND(":",$J171)+1)-FIND(":",$J171)-1))</f>
      </c>
      <c r="M171">
        <f>IF($J171="","",RIGHT($J171,LEN($J171)-FIND(":",$J171,FIND(":",$J171)+1)))</f>
      </c>
      <c r="N171">
        <f>IF($J171="","",IF(ISNUMBER(MATCH($J171,Prices[Key],0)),"OK - in Prices","ADD TO PRICES"))</f>
      </c>
      <c r="P171">
        <f>IFERROR(INDEX(Prices[Key],ROWS($P$4:P171)),"")</f>
      </c>
      <c r="Q171">
        <f>IF($P171="","",IF(ISNUMBER(MATCH($P171,Shares!$A$2:$A$1001,0)),"held","NOT HELD - review"))</f>
      </c>
    </row>
    <row r="172" spans="1:17" ht="15" customHeight="1" x14ac:dyDescent="0.15">
      <c r="J172">
        <f>IF(Shares!$A170="","",Shares!$A170)</f>
      </c>
      <c r="K172">
        <f>IF($J172="","",LEFT($J172,FIND(":",$J172)-1))</f>
      </c>
      <c r="L172">
        <f>IF($J172="","",MID($J172,FIND(":",$J172)+1,FIND(":",$J172,FIND(":",$J172)+1)-FIND(":",$J172)-1))</f>
      </c>
      <c r="M172">
        <f>IF($J172="","",RIGHT($J172,LEN($J172)-FIND(":",$J172,FIND(":",$J172)+1)))</f>
      </c>
      <c r="N172">
        <f>IF($J172="","",IF(ISNUMBER(MATCH($J172,Prices[Key],0)),"OK - in Prices","ADD TO PRICES"))</f>
      </c>
      <c r="P172">
        <f>IFERROR(INDEX(Prices[Key],ROWS($P$4:P172)),"")</f>
      </c>
      <c r="Q172">
        <f>IF($P172="","",IF(ISNUMBER(MATCH($P172,Shares!$A$2:$A$1001,0)),"held","NOT HELD - review"))</f>
      </c>
    </row>
    <row r="173" spans="1:17" ht="15" customHeight="1" x14ac:dyDescent="0.15">
      <c r="J173">
        <f>IF(Shares!$A171="","",Shares!$A171)</f>
      </c>
      <c r="K173">
        <f>IF($J173="","",LEFT($J173,FIND(":",$J173)-1))</f>
      </c>
      <c r="L173">
        <f>IF($J173="","",MID($J173,FIND(":",$J173)+1,FIND(":",$J173,FIND(":",$J173)+1)-FIND(":",$J173)-1))</f>
      </c>
      <c r="M173">
        <f>IF($J173="","",RIGHT($J173,LEN($J173)-FIND(":",$J173,FIND(":",$J173)+1)))</f>
      </c>
      <c r="N173">
        <f>IF($J173="","",IF(ISNUMBER(MATCH($J173,Prices[Key],0)),"OK - in Prices","ADD TO PRICES"))</f>
      </c>
      <c r="P173">
        <f>IFERROR(INDEX(Prices[Key],ROWS($P$4:P173)),"")</f>
      </c>
      <c r="Q173">
        <f>IF($P173="","",IF(ISNUMBER(MATCH($P173,Shares!$A$2:$A$1001,0)),"held","NOT HELD - review"))</f>
      </c>
    </row>
    <row r="174" spans="1:17" ht="15" customHeight="1" x14ac:dyDescent="0.15">
      <c r="J174">
        <f>IF(Shares!$A172="","",Shares!$A172)</f>
      </c>
      <c r="K174">
        <f>IF($J174="","",LEFT($J174,FIND(":",$J174)-1))</f>
      </c>
      <c r="L174">
        <f>IF($J174="","",MID($J174,FIND(":",$J174)+1,FIND(":",$J174,FIND(":",$J174)+1)-FIND(":",$J174)-1))</f>
      </c>
      <c r="M174">
        <f>IF($J174="","",RIGHT($J174,LEN($J174)-FIND(":",$J174,FIND(":",$J174)+1)))</f>
      </c>
      <c r="N174">
        <f>IF($J174="","",IF(ISNUMBER(MATCH($J174,Prices[Key],0)),"OK - in Prices","ADD TO PRICES"))</f>
      </c>
      <c r="P174">
        <f>IFERROR(INDEX(Prices[Key],ROWS($P$4:P174)),"")</f>
      </c>
      <c r="Q174">
        <f>IF($P174="","",IF(ISNUMBER(MATCH($P174,Shares!$A$2:$A$1001,0)),"held","NOT HELD - review"))</f>
      </c>
    </row>
    <row r="175" spans="1:17" ht="15" customHeight="1" x14ac:dyDescent="0.15">
      <c r="J175">
        <f>IF(Shares!$A173="","",Shares!$A173)</f>
      </c>
      <c r="K175">
        <f>IF($J175="","",LEFT($J175,FIND(":",$J175)-1))</f>
      </c>
      <c r="L175">
        <f>IF($J175="","",MID($J175,FIND(":",$J175)+1,FIND(":",$J175,FIND(":",$J175)+1)-FIND(":",$J175)-1))</f>
      </c>
      <c r="M175">
        <f>IF($J175="","",RIGHT($J175,LEN($J175)-FIND(":",$J175,FIND(":",$J175)+1)))</f>
      </c>
      <c r="N175">
        <f>IF($J175="","",IF(ISNUMBER(MATCH($J175,Prices[Key],0)),"OK - in Prices","ADD TO PRICES"))</f>
      </c>
      <c r="P175">
        <f>IFERROR(INDEX(Prices[Key],ROWS($P$4:P175)),"")</f>
      </c>
      <c r="Q175">
        <f>IF($P175="","",IF(ISNUMBER(MATCH($P175,Shares!$A$2:$A$1001,0)),"held","NOT HELD - review"))</f>
      </c>
    </row>
    <row r="176" spans="1:17" ht="15" customHeight="1" x14ac:dyDescent="0.15">
      <c r="J176">
        <f>IF(Shares!$A174="","",Shares!$A174)</f>
      </c>
      <c r="K176">
        <f>IF($J176="","",LEFT($J176,FIND(":",$J176)-1))</f>
      </c>
      <c r="L176">
        <f>IF($J176="","",MID($J176,FIND(":",$J176)+1,FIND(":",$J176,FIND(":",$J176)+1)-FIND(":",$J176)-1))</f>
      </c>
      <c r="M176">
        <f>IF($J176="","",RIGHT($J176,LEN($J176)-FIND(":",$J176,FIND(":",$J176)+1)))</f>
      </c>
      <c r="N176">
        <f>IF($J176="","",IF(ISNUMBER(MATCH($J176,Prices[Key],0)),"OK - in Prices","ADD TO PRICES"))</f>
      </c>
      <c r="P176">
        <f>IFERROR(INDEX(Prices[Key],ROWS($P$4:P176)),"")</f>
      </c>
      <c r="Q176">
        <f>IF($P176="","",IF(ISNUMBER(MATCH($P176,Shares!$A$2:$A$1001,0)),"held","NOT HELD - review"))</f>
      </c>
    </row>
    <row r="177" spans="1:17" ht="15" customHeight="1" x14ac:dyDescent="0.15">
      <c r="J177">
        <f>IF(Shares!$A175="","",Shares!$A175)</f>
      </c>
      <c r="K177">
        <f>IF($J177="","",LEFT($J177,FIND(":",$J177)-1))</f>
      </c>
      <c r="L177">
        <f>IF($J177="","",MID($J177,FIND(":",$J177)+1,FIND(":",$J177,FIND(":",$J177)+1)-FIND(":",$J177)-1))</f>
      </c>
      <c r="M177">
        <f>IF($J177="","",RIGHT($J177,LEN($J177)-FIND(":",$J177,FIND(":",$J177)+1)))</f>
      </c>
      <c r="N177">
        <f>IF($J177="","",IF(ISNUMBER(MATCH($J177,Prices[Key],0)),"OK - in Prices","ADD TO PRICES"))</f>
      </c>
      <c r="P177">
        <f>IFERROR(INDEX(Prices[Key],ROWS($P$4:P177)),"")</f>
      </c>
      <c r="Q177">
        <f>IF($P177="","",IF(ISNUMBER(MATCH($P177,Shares!$A$2:$A$1001,0)),"held","NOT HELD - review"))</f>
      </c>
    </row>
    <row r="178" spans="1:17" ht="15" customHeight="1" x14ac:dyDescent="0.15">
      <c r="J178">
        <f>IF(Shares!$A176="","",Shares!$A176)</f>
      </c>
      <c r="K178">
        <f>IF($J178="","",LEFT($J178,FIND(":",$J178)-1))</f>
      </c>
      <c r="L178">
        <f>IF($J178="","",MID($J178,FIND(":",$J178)+1,FIND(":",$J178,FIND(":",$J178)+1)-FIND(":",$J178)-1))</f>
      </c>
      <c r="M178">
        <f>IF($J178="","",RIGHT($J178,LEN($J178)-FIND(":",$J178,FIND(":",$J178)+1)))</f>
      </c>
      <c r="N178">
        <f>IF($J178="","",IF(ISNUMBER(MATCH($J178,Prices[Key],0)),"OK - in Prices","ADD TO PRICES"))</f>
      </c>
      <c r="P178">
        <f>IFERROR(INDEX(Prices[Key],ROWS($P$4:P178)),"")</f>
      </c>
      <c r="Q178">
        <f>IF($P178="","",IF(ISNUMBER(MATCH($P178,Shares!$A$2:$A$1001,0)),"held","NOT HELD - review"))</f>
      </c>
    </row>
    <row r="179" spans="1:17" ht="15" customHeight="1" x14ac:dyDescent="0.15">
      <c r="J179">
        <f>IF(Shares!$A177="","",Shares!$A177)</f>
      </c>
      <c r="K179">
        <f>IF($J179="","",LEFT($J179,FIND(":",$J179)-1))</f>
      </c>
      <c r="L179">
        <f>IF($J179="","",MID($J179,FIND(":",$J179)+1,FIND(":",$J179,FIND(":",$J179)+1)-FIND(":",$J179)-1))</f>
      </c>
      <c r="M179">
        <f>IF($J179="","",RIGHT($J179,LEN($J179)-FIND(":",$J179,FIND(":",$J179)+1)))</f>
      </c>
      <c r="N179">
        <f>IF($J179="","",IF(ISNUMBER(MATCH($J179,Prices[Key],0)),"OK - in Prices","ADD TO PRICES"))</f>
      </c>
      <c r="P179">
        <f>IFERROR(INDEX(Prices[Key],ROWS($P$4:P179)),"")</f>
      </c>
      <c r="Q179">
        <f>IF($P179="","",IF(ISNUMBER(MATCH($P179,Shares!$A$2:$A$1001,0)),"held","NOT HELD - review"))</f>
      </c>
    </row>
    <row r="180" spans="1:17" ht="15" customHeight="1" x14ac:dyDescent="0.15">
      <c r="J180">
        <f>IF(Shares!$A178="","",Shares!$A178)</f>
      </c>
      <c r="K180">
        <f>IF($J180="","",LEFT($J180,FIND(":",$J180)-1))</f>
      </c>
      <c r="L180">
        <f>IF($J180="","",MID($J180,FIND(":",$J180)+1,FIND(":",$J180,FIND(":",$J180)+1)-FIND(":",$J180)-1))</f>
      </c>
      <c r="M180">
        <f>IF($J180="","",RIGHT($J180,LEN($J180)-FIND(":",$J180,FIND(":",$J180)+1)))</f>
      </c>
      <c r="N180">
        <f>IF($J180="","",IF(ISNUMBER(MATCH($J180,Prices[Key],0)),"OK - in Prices","ADD TO PRICES"))</f>
      </c>
      <c r="P180">
        <f>IFERROR(INDEX(Prices[Key],ROWS($P$4:P180)),"")</f>
      </c>
      <c r="Q180">
        <f>IF($P180="","",IF(ISNUMBER(MATCH($P180,Shares!$A$2:$A$1001,0)),"held","NOT HELD - review"))</f>
      </c>
    </row>
    <row r="181" spans="1:17" ht="15" customHeight="1" x14ac:dyDescent="0.15">
      <c r="J181">
        <f>IF(Shares!$A179="","",Shares!$A179)</f>
      </c>
      <c r="K181">
        <f>IF($J181="","",LEFT($J181,FIND(":",$J181)-1))</f>
      </c>
      <c r="L181">
        <f>IF($J181="","",MID($J181,FIND(":",$J181)+1,FIND(":",$J181,FIND(":",$J181)+1)-FIND(":",$J181)-1))</f>
      </c>
      <c r="M181">
        <f>IF($J181="","",RIGHT($J181,LEN($J181)-FIND(":",$J181,FIND(":",$J181)+1)))</f>
      </c>
      <c r="N181">
        <f>IF($J181="","",IF(ISNUMBER(MATCH($J181,Prices[Key],0)),"OK - in Prices","ADD TO PRICES"))</f>
      </c>
      <c r="P181">
        <f>IFERROR(INDEX(Prices[Key],ROWS($P$4:P181)),"")</f>
      </c>
      <c r="Q181">
        <f>IF($P181="","",IF(ISNUMBER(MATCH($P181,Shares!$A$2:$A$1001,0)),"held","NOT HELD - review"))</f>
      </c>
    </row>
    <row r="182" spans="1:17" ht="15" customHeight="1" x14ac:dyDescent="0.15">
      <c r="J182">
        <f>IF(Shares!$A180="","",Shares!$A180)</f>
      </c>
      <c r="K182">
        <f>IF($J182="","",LEFT($J182,FIND(":",$J182)-1))</f>
      </c>
      <c r="L182">
        <f>IF($J182="","",MID($J182,FIND(":",$J182)+1,FIND(":",$J182,FIND(":",$J182)+1)-FIND(":",$J182)-1))</f>
      </c>
      <c r="M182">
        <f>IF($J182="","",RIGHT($J182,LEN($J182)-FIND(":",$J182,FIND(":",$J182)+1)))</f>
      </c>
      <c r="N182">
        <f>IF($J182="","",IF(ISNUMBER(MATCH($J182,Prices[Key],0)),"OK - in Prices","ADD TO PRICES"))</f>
      </c>
      <c r="P182">
        <f>IFERROR(INDEX(Prices[Key],ROWS($P$4:P182)),"")</f>
      </c>
      <c r="Q182">
        <f>IF($P182="","",IF(ISNUMBER(MATCH($P182,Shares!$A$2:$A$1001,0)),"held","NOT HELD - review"))</f>
      </c>
    </row>
    <row r="183" spans="1:17" ht="15" customHeight="1" x14ac:dyDescent="0.15">
      <c r="J183">
        <f>IF(Shares!$A181="","",Shares!$A181)</f>
      </c>
      <c r="K183">
        <f>IF($J183="","",LEFT($J183,FIND(":",$J183)-1))</f>
      </c>
      <c r="L183">
        <f>IF($J183="","",MID($J183,FIND(":",$J183)+1,FIND(":",$J183,FIND(":",$J183)+1)-FIND(":",$J183)-1))</f>
      </c>
      <c r="M183">
        <f>IF($J183="","",RIGHT($J183,LEN($J183)-FIND(":",$J183,FIND(":",$J183)+1)))</f>
      </c>
      <c r="N183">
        <f>IF($J183="","",IF(ISNUMBER(MATCH($J183,Prices[Key],0)),"OK - in Prices","ADD TO PRICES"))</f>
      </c>
      <c r="P183">
        <f>IFERROR(INDEX(Prices[Key],ROWS($P$4:P183)),"")</f>
      </c>
      <c r="Q183">
        <f>IF($P183="","",IF(ISNUMBER(MATCH($P183,Shares!$A$2:$A$1001,0)),"held","NOT HELD - review"))</f>
      </c>
    </row>
    <row r="184" spans="1:17" ht="15" customHeight="1" x14ac:dyDescent="0.15">
      <c r="J184">
        <f>IF(Shares!$A182="","",Shares!$A182)</f>
      </c>
      <c r="K184">
        <f>IF($J184="","",LEFT($J184,FIND(":",$J184)-1))</f>
      </c>
      <c r="L184">
        <f>IF($J184="","",MID($J184,FIND(":",$J184)+1,FIND(":",$J184,FIND(":",$J184)+1)-FIND(":",$J184)-1))</f>
      </c>
      <c r="M184">
        <f>IF($J184="","",RIGHT($J184,LEN($J184)-FIND(":",$J184,FIND(":",$J184)+1)))</f>
      </c>
      <c r="N184">
        <f>IF($J184="","",IF(ISNUMBER(MATCH($J184,Prices[Key],0)),"OK - in Prices","ADD TO PRICES"))</f>
      </c>
      <c r="P184">
        <f>IFERROR(INDEX(Prices[Key],ROWS($P$4:P184)),"")</f>
      </c>
      <c r="Q184">
        <f>IF($P184="","",IF(ISNUMBER(MATCH($P184,Shares!$A$2:$A$1001,0)),"held","NOT HELD - review"))</f>
      </c>
    </row>
    <row r="185" spans="1:17" ht="15" customHeight="1" x14ac:dyDescent="0.15">
      <c r="J185">
        <f>IF(Shares!$A183="","",Shares!$A183)</f>
      </c>
      <c r="K185">
        <f>IF($J185="","",LEFT($J185,FIND(":",$J185)-1))</f>
      </c>
      <c r="L185">
        <f>IF($J185="","",MID($J185,FIND(":",$J185)+1,FIND(":",$J185,FIND(":",$J185)+1)-FIND(":",$J185)-1))</f>
      </c>
      <c r="M185">
        <f>IF($J185="","",RIGHT($J185,LEN($J185)-FIND(":",$J185,FIND(":",$J185)+1)))</f>
      </c>
      <c r="N185">
        <f>IF($J185="","",IF(ISNUMBER(MATCH($J185,Prices[Key],0)),"OK - in Prices","ADD TO PRICES"))</f>
      </c>
      <c r="P185">
        <f>IFERROR(INDEX(Prices[Key],ROWS($P$4:P185)),"")</f>
      </c>
      <c r="Q185">
        <f>IF($P185="","",IF(ISNUMBER(MATCH($P185,Shares!$A$2:$A$1001,0)),"held","NOT HELD - review"))</f>
      </c>
    </row>
    <row r="186" spans="1:17" ht="15" customHeight="1" x14ac:dyDescent="0.15">
      <c r="J186">
        <f>IF(Shares!$A184="","",Shares!$A184)</f>
      </c>
      <c r="K186">
        <f>IF($J186="","",LEFT($J186,FIND(":",$J186)-1))</f>
      </c>
      <c r="L186">
        <f>IF($J186="","",MID($J186,FIND(":",$J186)+1,FIND(":",$J186,FIND(":",$J186)+1)-FIND(":",$J186)-1))</f>
      </c>
      <c r="M186">
        <f>IF($J186="","",RIGHT($J186,LEN($J186)-FIND(":",$J186,FIND(":",$J186)+1)))</f>
      </c>
      <c r="N186">
        <f>IF($J186="","",IF(ISNUMBER(MATCH($J186,Prices[Key],0)),"OK - in Prices","ADD TO PRICES"))</f>
      </c>
      <c r="P186">
        <f>IFERROR(INDEX(Prices[Key],ROWS($P$4:P186)),"")</f>
      </c>
      <c r="Q186">
        <f>IF($P186="","",IF(ISNUMBER(MATCH($P186,Shares!$A$2:$A$1001,0)),"held","NOT HELD - review"))</f>
      </c>
    </row>
    <row r="187" spans="1:17" ht="15" customHeight="1" x14ac:dyDescent="0.15">
      <c r="J187">
        <f>IF(Shares!$A185="","",Shares!$A185)</f>
      </c>
      <c r="K187">
        <f>IF($J187="","",LEFT($J187,FIND(":",$J187)-1))</f>
      </c>
      <c r="L187">
        <f>IF($J187="","",MID($J187,FIND(":",$J187)+1,FIND(":",$J187,FIND(":",$J187)+1)-FIND(":",$J187)-1))</f>
      </c>
      <c r="M187">
        <f>IF($J187="","",RIGHT($J187,LEN($J187)-FIND(":",$J187,FIND(":",$J187)+1)))</f>
      </c>
      <c r="N187">
        <f>IF($J187="","",IF(ISNUMBER(MATCH($J187,Prices[Key],0)),"OK - in Prices","ADD TO PRICES"))</f>
      </c>
      <c r="P187">
        <f>IFERROR(INDEX(Prices[Key],ROWS($P$4:P187)),"")</f>
      </c>
      <c r="Q187">
        <f>IF($P187="","",IF(ISNUMBER(MATCH($P187,Shares!$A$2:$A$1001,0)),"held","NOT HELD - review"))</f>
      </c>
    </row>
    <row r="188" spans="1:17" ht="15" customHeight="1" x14ac:dyDescent="0.15">
      <c r="J188">
        <f>IF(Shares!$A186="","",Shares!$A186)</f>
      </c>
      <c r="K188">
        <f>IF($J188="","",LEFT($J188,FIND(":",$J188)-1))</f>
      </c>
      <c r="L188">
        <f>IF($J188="","",MID($J188,FIND(":",$J188)+1,FIND(":",$J188,FIND(":",$J188)+1)-FIND(":",$J188)-1))</f>
      </c>
      <c r="M188">
        <f>IF($J188="","",RIGHT($J188,LEN($J188)-FIND(":",$J188,FIND(":",$J188)+1)))</f>
      </c>
      <c r="N188">
        <f>IF($J188="","",IF(ISNUMBER(MATCH($J188,Prices[Key],0)),"OK - in Prices","ADD TO PRICES"))</f>
      </c>
      <c r="P188">
        <f>IFERROR(INDEX(Prices[Key],ROWS($P$4:P188)),"")</f>
      </c>
      <c r="Q188">
        <f>IF($P188="","",IF(ISNUMBER(MATCH($P188,Shares!$A$2:$A$1001,0)),"held","NOT HELD - review"))</f>
      </c>
    </row>
    <row r="189" spans="1:17" ht="15" customHeight="1" x14ac:dyDescent="0.15">
      <c r="J189">
        <f>IF(Shares!$A187="","",Shares!$A187)</f>
      </c>
      <c r="K189">
        <f>IF($J189="","",LEFT($J189,FIND(":",$J189)-1))</f>
      </c>
      <c r="L189">
        <f>IF($J189="","",MID($J189,FIND(":",$J189)+1,FIND(":",$J189,FIND(":",$J189)+1)-FIND(":",$J189)-1))</f>
      </c>
      <c r="M189">
        <f>IF($J189="","",RIGHT($J189,LEN($J189)-FIND(":",$J189,FIND(":",$J189)+1)))</f>
      </c>
      <c r="N189">
        <f>IF($J189="","",IF(ISNUMBER(MATCH($J189,Prices[Key],0)),"OK - in Prices","ADD TO PRICES"))</f>
      </c>
      <c r="P189">
        <f>IFERROR(INDEX(Prices[Key],ROWS($P$4:P189)),"")</f>
      </c>
      <c r="Q189">
        <f>IF($P189="","",IF(ISNUMBER(MATCH($P189,Shares!$A$2:$A$1001,0)),"held","NOT HELD - review"))</f>
      </c>
    </row>
    <row r="190" spans="1:17" ht="15" customHeight="1" x14ac:dyDescent="0.15">
      <c r="J190">
        <f>IF(Shares!$A188="","",Shares!$A188)</f>
      </c>
      <c r="K190">
        <f>IF($J190="","",LEFT($J190,FIND(":",$J190)-1))</f>
      </c>
      <c r="L190">
        <f>IF($J190="","",MID($J190,FIND(":",$J190)+1,FIND(":",$J190,FIND(":",$J190)+1)-FIND(":",$J190)-1))</f>
      </c>
      <c r="M190">
        <f>IF($J190="","",RIGHT($J190,LEN($J190)-FIND(":",$J190,FIND(":",$J190)+1)))</f>
      </c>
      <c r="N190">
        <f>IF($J190="","",IF(ISNUMBER(MATCH($J190,Prices[Key],0)),"OK - in Prices","ADD TO PRICES"))</f>
      </c>
      <c r="P190">
        <f>IFERROR(INDEX(Prices[Key],ROWS($P$4:P190)),"")</f>
      </c>
      <c r="Q190">
        <f>IF($P190="","",IF(ISNUMBER(MATCH($P190,Shares!$A$2:$A$1001,0)),"held","NOT HELD - review"))</f>
      </c>
    </row>
    <row r="191" spans="1:17" ht="15" customHeight="1" x14ac:dyDescent="0.15">
      <c r="J191">
        <f>IF(Shares!$A189="","",Shares!$A189)</f>
      </c>
      <c r="K191">
        <f>IF($J191="","",LEFT($J191,FIND(":",$J191)-1))</f>
      </c>
      <c r="L191">
        <f>IF($J191="","",MID($J191,FIND(":",$J191)+1,FIND(":",$J191,FIND(":",$J191)+1)-FIND(":",$J191)-1))</f>
      </c>
      <c r="M191">
        <f>IF($J191="","",RIGHT($J191,LEN($J191)-FIND(":",$J191,FIND(":",$J191)+1)))</f>
      </c>
      <c r="N191">
        <f>IF($J191="","",IF(ISNUMBER(MATCH($J191,Prices[Key],0)),"OK - in Prices","ADD TO PRICES"))</f>
      </c>
      <c r="P191">
        <f>IFERROR(INDEX(Prices[Key],ROWS($P$4:P191)),"")</f>
      </c>
      <c r="Q191">
        <f>IF($P191="","",IF(ISNUMBER(MATCH($P191,Shares!$A$2:$A$1001,0)),"held","NOT HELD - review"))</f>
      </c>
    </row>
    <row r="192" spans="1:17" ht="15" customHeight="1" x14ac:dyDescent="0.15">
      <c r="J192">
        <f>IF(Shares!$A190="","",Shares!$A190)</f>
      </c>
      <c r="K192">
        <f>IF($J192="","",LEFT($J192,FIND(":",$J192)-1))</f>
      </c>
      <c r="L192">
        <f>IF($J192="","",MID($J192,FIND(":",$J192)+1,FIND(":",$J192,FIND(":",$J192)+1)-FIND(":",$J192)-1))</f>
      </c>
      <c r="M192">
        <f>IF($J192="","",RIGHT($J192,LEN($J192)-FIND(":",$J192,FIND(":",$J192)+1)))</f>
      </c>
      <c r="N192">
        <f>IF($J192="","",IF(ISNUMBER(MATCH($J192,Prices[Key],0)),"OK - in Prices","ADD TO PRICES"))</f>
      </c>
      <c r="P192">
        <f>IFERROR(INDEX(Prices[Key],ROWS($P$4:P192)),"")</f>
      </c>
      <c r="Q192">
        <f>IF($P192="","",IF(ISNUMBER(MATCH($P192,Shares!$A$2:$A$1001,0)),"held","NOT HELD - review"))</f>
      </c>
    </row>
    <row r="193" spans="1:17" ht="15" customHeight="1" x14ac:dyDescent="0.15">
      <c r="J193">
        <f>IF(Shares!$A191="","",Shares!$A191)</f>
      </c>
      <c r="K193">
        <f>IF($J193="","",LEFT($J193,FIND(":",$J193)-1))</f>
      </c>
      <c r="L193">
        <f>IF($J193="","",MID($J193,FIND(":",$J193)+1,FIND(":",$J193,FIND(":",$J193)+1)-FIND(":",$J193)-1))</f>
      </c>
      <c r="M193">
        <f>IF($J193="","",RIGHT($J193,LEN($J193)-FIND(":",$J193,FIND(":",$J193)+1)))</f>
      </c>
      <c r="N193">
        <f>IF($J193="","",IF(ISNUMBER(MATCH($J193,Prices[Key],0)),"OK - in Prices","ADD TO PRICES"))</f>
      </c>
      <c r="P193">
        <f>IFERROR(INDEX(Prices[Key],ROWS($P$4:P193)),"")</f>
      </c>
      <c r="Q193">
        <f>IF($P193="","",IF(ISNUMBER(MATCH($P193,Shares!$A$2:$A$1001,0)),"held","NOT HELD - review"))</f>
      </c>
    </row>
    <row r="194" spans="1:17" ht="15" customHeight="1" x14ac:dyDescent="0.15">
      <c r="J194">
        <f>IF(Shares!$A192="","",Shares!$A192)</f>
      </c>
      <c r="K194">
        <f>IF($J194="","",LEFT($J194,FIND(":",$J194)-1))</f>
      </c>
      <c r="L194">
        <f>IF($J194="","",MID($J194,FIND(":",$J194)+1,FIND(":",$J194,FIND(":",$J194)+1)-FIND(":",$J194)-1))</f>
      </c>
      <c r="M194">
        <f>IF($J194="","",RIGHT($J194,LEN($J194)-FIND(":",$J194,FIND(":",$J194)+1)))</f>
      </c>
      <c r="N194">
        <f>IF($J194="","",IF(ISNUMBER(MATCH($J194,Prices[Key],0)),"OK - in Prices","ADD TO PRICES"))</f>
      </c>
      <c r="P194">
        <f>IFERROR(INDEX(Prices[Key],ROWS($P$4:P194)),"")</f>
      </c>
      <c r="Q194">
        <f>IF($P194="","",IF(ISNUMBER(MATCH($P194,Shares!$A$2:$A$1001,0)),"held","NOT HELD - review"))</f>
      </c>
    </row>
    <row r="195" spans="1:17" ht="15" customHeight="1" x14ac:dyDescent="0.15">
      <c r="J195">
        <f>IF(Shares!$A193="","",Shares!$A193)</f>
      </c>
      <c r="K195">
        <f>IF($J195="","",LEFT($J195,FIND(":",$J195)-1))</f>
      </c>
      <c r="L195">
        <f>IF($J195="","",MID($J195,FIND(":",$J195)+1,FIND(":",$J195,FIND(":",$J195)+1)-FIND(":",$J195)-1))</f>
      </c>
      <c r="M195">
        <f>IF($J195="","",RIGHT($J195,LEN($J195)-FIND(":",$J195,FIND(":",$J195)+1)))</f>
      </c>
      <c r="N195">
        <f>IF($J195="","",IF(ISNUMBER(MATCH($J195,Prices[Key],0)),"OK - in Prices","ADD TO PRICES"))</f>
      </c>
      <c r="P195">
        <f>IFERROR(INDEX(Prices[Key],ROWS($P$4:P195)),"")</f>
      </c>
      <c r="Q195">
        <f>IF($P195="","",IF(ISNUMBER(MATCH($P195,Shares!$A$2:$A$1001,0)),"held","NOT HELD - review"))</f>
      </c>
    </row>
    <row r="196" spans="1:17" ht="15" customHeight="1" x14ac:dyDescent="0.15">
      <c r="J196">
        <f>IF(Shares!$A194="","",Shares!$A194)</f>
      </c>
      <c r="K196">
        <f>IF($J196="","",LEFT($J196,FIND(":",$J196)-1))</f>
      </c>
      <c r="L196">
        <f>IF($J196="","",MID($J196,FIND(":",$J196)+1,FIND(":",$J196,FIND(":",$J196)+1)-FIND(":",$J196)-1))</f>
      </c>
      <c r="M196">
        <f>IF($J196="","",RIGHT($J196,LEN($J196)-FIND(":",$J196,FIND(":",$J196)+1)))</f>
      </c>
      <c r="N196">
        <f>IF($J196="","",IF(ISNUMBER(MATCH($J196,Prices[Key],0)),"OK - in Prices","ADD TO PRICES"))</f>
      </c>
      <c r="P196">
        <f>IFERROR(INDEX(Prices[Key],ROWS($P$4:P196)),"")</f>
      </c>
      <c r="Q196">
        <f>IF($P196="","",IF(ISNUMBER(MATCH($P196,Shares!$A$2:$A$1001,0)),"held","NOT HELD - review"))</f>
      </c>
    </row>
    <row r="197" spans="1:17" ht="15" customHeight="1" x14ac:dyDescent="0.15">
      <c r="J197">
        <f>IF(Shares!$A195="","",Shares!$A195)</f>
      </c>
      <c r="K197">
        <f>IF($J197="","",LEFT($J197,FIND(":",$J197)-1))</f>
      </c>
      <c r="L197">
        <f>IF($J197="","",MID($J197,FIND(":",$J197)+1,FIND(":",$J197,FIND(":",$J197)+1)-FIND(":",$J197)-1))</f>
      </c>
      <c r="M197">
        <f>IF($J197="","",RIGHT($J197,LEN($J197)-FIND(":",$J197,FIND(":",$J197)+1)))</f>
      </c>
      <c r="N197">
        <f>IF($J197="","",IF(ISNUMBER(MATCH($J197,Prices[Key],0)),"OK - in Prices","ADD TO PRICES"))</f>
      </c>
      <c r="P197">
        <f>IFERROR(INDEX(Prices[Key],ROWS($P$4:P197)),"")</f>
      </c>
      <c r="Q197">
        <f>IF($P197="","",IF(ISNUMBER(MATCH($P197,Shares!$A$2:$A$1001,0)),"held","NOT HELD - review"))</f>
      </c>
    </row>
    <row r="198" spans="1:17" ht="15" customHeight="1" x14ac:dyDescent="0.15">
      <c r="J198">
        <f>IF(Shares!$A196="","",Shares!$A196)</f>
      </c>
      <c r="K198">
        <f>IF($J198="","",LEFT($J198,FIND(":",$J198)-1))</f>
      </c>
      <c r="L198">
        <f>IF($J198="","",MID($J198,FIND(":",$J198)+1,FIND(":",$J198,FIND(":",$J198)+1)-FIND(":",$J198)-1))</f>
      </c>
      <c r="M198">
        <f>IF($J198="","",RIGHT($J198,LEN($J198)-FIND(":",$J198,FIND(":",$J198)+1)))</f>
      </c>
      <c r="N198">
        <f>IF($J198="","",IF(ISNUMBER(MATCH($J198,Prices[Key],0)),"OK - in Prices","ADD TO PRICES"))</f>
      </c>
      <c r="P198">
        <f>IFERROR(INDEX(Prices[Key],ROWS($P$4:P198)),"")</f>
      </c>
      <c r="Q198">
        <f>IF($P198="","",IF(ISNUMBER(MATCH($P198,Shares!$A$2:$A$1001,0)),"held","NOT HELD - review"))</f>
      </c>
    </row>
    <row r="199" spans="1:17" ht="15" customHeight="1" x14ac:dyDescent="0.15">
      <c r="J199">
        <f>IF(Shares!$A197="","",Shares!$A197)</f>
      </c>
      <c r="K199">
        <f>IF($J199="","",LEFT($J199,FIND(":",$J199)-1))</f>
      </c>
      <c r="L199">
        <f>IF($J199="","",MID($J199,FIND(":",$J199)+1,FIND(":",$J199,FIND(":",$J199)+1)-FIND(":",$J199)-1))</f>
      </c>
      <c r="M199">
        <f>IF($J199="","",RIGHT($J199,LEN($J199)-FIND(":",$J199,FIND(":",$J199)+1)))</f>
      </c>
      <c r="N199">
        <f>IF($J199="","",IF(ISNUMBER(MATCH($J199,Prices[Key],0)),"OK - in Prices","ADD TO PRICES"))</f>
      </c>
      <c r="P199">
        <f>IFERROR(INDEX(Prices[Key],ROWS($P$4:P199)),"")</f>
      </c>
      <c r="Q199">
        <f>IF($P199="","",IF(ISNUMBER(MATCH($P199,Shares!$A$2:$A$1001,0)),"held","NOT HELD - review"))</f>
      </c>
    </row>
    <row r="200" spans="1:17" ht="15" customHeight="1" x14ac:dyDescent="0.15">
      <c r="J200">
        <f>IF(Shares!$A198="","",Shares!$A198)</f>
      </c>
      <c r="K200">
        <f>IF($J200="","",LEFT($J200,FIND(":",$J200)-1))</f>
      </c>
      <c r="L200">
        <f>IF($J200="","",MID($J200,FIND(":",$J200)+1,FIND(":",$J200,FIND(":",$J200)+1)-FIND(":",$J200)-1))</f>
      </c>
      <c r="M200">
        <f>IF($J200="","",RIGHT($J200,LEN($J200)-FIND(":",$J200,FIND(":",$J200)+1)))</f>
      </c>
      <c r="N200">
        <f>IF($J200="","",IF(ISNUMBER(MATCH($J200,Prices[Key],0)),"OK - in Prices","ADD TO PRICES"))</f>
      </c>
      <c r="P200">
        <f>IFERROR(INDEX(Prices[Key],ROWS($P$4:P200)),"")</f>
      </c>
      <c r="Q200">
        <f>IF($P200="","",IF(ISNUMBER(MATCH($P200,Shares!$A$2:$A$1001,0)),"held","NOT HELD - review"))</f>
      </c>
    </row>
    <row r="201" spans="1:17" ht="15" customHeight="1" x14ac:dyDescent="0.15">
      <c r="J201">
        <f>IF(Shares!$A199="","",Shares!$A199)</f>
      </c>
      <c r="K201">
        <f>IF($J201="","",LEFT($J201,FIND(":",$J201)-1))</f>
      </c>
      <c r="L201">
        <f>IF($J201="","",MID($J201,FIND(":",$J201)+1,FIND(":",$J201,FIND(":",$J201)+1)-FIND(":",$J201)-1))</f>
      </c>
      <c r="M201">
        <f>IF($J201="","",RIGHT($J201,LEN($J201)-FIND(":",$J201,FIND(":",$J201)+1)))</f>
      </c>
      <c r="N201">
        <f>IF($J201="","",IF(ISNUMBER(MATCH($J201,Prices[Key],0)),"OK - in Prices","ADD TO PRICES"))</f>
      </c>
      <c r="P201">
        <f>IFERROR(INDEX(Prices[Key],ROWS($P$4:P201)),"")</f>
      </c>
      <c r="Q201">
        <f>IF($P201="","",IF(ISNUMBER(MATCH($P201,Shares!$A$2:$A$1001,0)),"held","NOT HELD - review"))</f>
      </c>
    </row>
    <row r="202" spans="1:17" ht="15" customHeight="1" x14ac:dyDescent="0.15">
      <c r="J202">
        <f>IF(Shares!$A200="","",Shares!$A200)</f>
      </c>
      <c r="K202">
        <f>IF($J202="","",LEFT($J202,FIND(":",$J202)-1))</f>
      </c>
      <c r="L202">
        <f>IF($J202="","",MID($J202,FIND(":",$J202)+1,FIND(":",$J202,FIND(":",$J202)+1)-FIND(":",$J202)-1))</f>
      </c>
      <c r="M202">
        <f>IF($J202="","",RIGHT($J202,LEN($J202)-FIND(":",$J202,FIND(":",$J202)+1)))</f>
      </c>
      <c r="N202">
        <f>IF($J202="","",IF(ISNUMBER(MATCH($J202,Prices[Key],0)),"OK - in Prices","ADD TO PRICES"))</f>
      </c>
      <c r="P202">
        <f>IFERROR(INDEX(Prices[Key],ROWS($P$4:P202)),"")</f>
      </c>
      <c r="Q202">
        <f>IF($P202="","",IF(ISNUMBER(MATCH($P202,Shares!$A$2:$A$1001,0)),"held","NOT HELD - review"))</f>
      </c>
    </row>
    <row r="203" spans="1:17" ht="15" customHeight="1" x14ac:dyDescent="0.15">
      <c r="J203">
        <f>IF(Shares!$A201="","",Shares!$A201)</f>
      </c>
      <c r="K203">
        <f>IF($J203="","",LEFT($J203,FIND(":",$J203)-1))</f>
      </c>
      <c r="L203">
        <f>IF($J203="","",MID($J203,FIND(":",$J203)+1,FIND(":",$J203,FIND(":",$J203)+1)-FIND(":",$J203)-1))</f>
      </c>
      <c r="M203">
        <f>IF($J203="","",RIGHT($J203,LEN($J203)-FIND(":",$J203,FIND(":",$J203)+1)))</f>
      </c>
      <c r="N203">
        <f>IF($J203="","",IF(ISNUMBER(MATCH($J203,Prices[Key],0)),"OK - in Prices","ADD TO PRICES"))</f>
      </c>
      <c r="P203">
        <f>IFERROR(INDEX(Prices[Key],ROWS($P$4:P203)),"")</f>
      </c>
      <c r="Q203">
        <f>IF($P203="","",IF(ISNUMBER(MATCH($P203,Shares!$A$2:$A$1001,0)),"held","NOT HELD - review"))</f>
      </c>
    </row>
    <row r="204" spans="1:17" ht="15" customHeight="1" x14ac:dyDescent="0.15">
      <c r="J204">
        <f>IF(Shares!$A202="","",Shares!$A202)</f>
      </c>
      <c r="K204">
        <f>IF($J204="","",LEFT($J204,FIND(":",$J204)-1))</f>
      </c>
      <c r="L204">
        <f>IF($J204="","",MID($J204,FIND(":",$J204)+1,FIND(":",$J204,FIND(":",$J204)+1)-FIND(":",$J204)-1))</f>
      </c>
      <c r="M204">
        <f>IF($J204="","",RIGHT($J204,LEN($J204)-FIND(":",$J204,FIND(":",$J204)+1)))</f>
      </c>
      <c r="N204">
        <f>IF($J204="","",IF(ISNUMBER(MATCH($J204,Prices[Key],0)),"OK - in Prices","ADD TO PRICES"))</f>
      </c>
      <c r="P204">
        <f>IFERROR(INDEX(Prices[Key],ROWS($P$4:P204)),"")</f>
      </c>
      <c r="Q204">
        <f>IF($P204="","",IF(ISNUMBER(MATCH($P204,Shares!$A$2:$A$1001,0)),"held","NOT HELD - review"))</f>
      </c>
    </row>
    <row r="205" spans="1:17" ht="15" customHeight="1" x14ac:dyDescent="0.15">
      <c r="J205">
        <f>IF(Shares!$A203="","",Shares!$A203)</f>
      </c>
      <c r="K205">
        <f>IF($J205="","",LEFT($J205,FIND(":",$J205)-1))</f>
      </c>
      <c r="L205">
        <f>IF($J205="","",MID($J205,FIND(":",$J205)+1,FIND(":",$J205,FIND(":",$J205)+1)-FIND(":",$J205)-1))</f>
      </c>
      <c r="M205">
        <f>IF($J205="","",RIGHT($J205,LEN($J205)-FIND(":",$J205,FIND(":",$J205)+1)))</f>
      </c>
      <c r="N205">
        <f>IF($J205="","",IF(ISNUMBER(MATCH($J205,Prices[Key],0)),"OK - in Prices","ADD TO PRICES"))</f>
      </c>
      <c r="P205">
        <f>IFERROR(INDEX(Prices[Key],ROWS($P$4:P205)),"")</f>
      </c>
      <c r="Q205">
        <f>IF($P205="","",IF(ISNUMBER(MATCH($P205,Shares!$A$2:$A$1001,0)),"held","NOT HELD - review"))</f>
      </c>
    </row>
    <row r="206" spans="1:17" ht="15" customHeight="1" x14ac:dyDescent="0.15">
      <c r="J206">
        <f>IF(Shares!$A204="","",Shares!$A204)</f>
      </c>
      <c r="K206">
        <f>IF($J206="","",LEFT($J206,FIND(":",$J206)-1))</f>
      </c>
      <c r="L206">
        <f>IF($J206="","",MID($J206,FIND(":",$J206)+1,FIND(":",$J206,FIND(":",$J206)+1)-FIND(":",$J206)-1))</f>
      </c>
      <c r="M206">
        <f>IF($J206="","",RIGHT($J206,LEN($J206)-FIND(":",$J206,FIND(":",$J206)+1)))</f>
      </c>
      <c r="N206">
        <f>IF($J206="","",IF(ISNUMBER(MATCH($J206,Prices[Key],0)),"OK - in Prices","ADD TO PRICES"))</f>
      </c>
      <c r="P206">
        <f>IFERROR(INDEX(Prices[Key],ROWS($P$4:P206)),"")</f>
      </c>
      <c r="Q206">
        <f>IF($P206="","",IF(ISNUMBER(MATCH($P206,Shares!$A$2:$A$1001,0)),"held","NOT HELD - review"))</f>
      </c>
    </row>
    <row r="207" spans="1:17" ht="15" customHeight="1" x14ac:dyDescent="0.15">
      <c r="J207">
        <f>IF(Shares!$A205="","",Shares!$A205)</f>
      </c>
      <c r="K207">
        <f>IF($J207="","",LEFT($J207,FIND(":",$J207)-1))</f>
      </c>
      <c r="L207">
        <f>IF($J207="","",MID($J207,FIND(":",$J207)+1,FIND(":",$J207,FIND(":",$J207)+1)-FIND(":",$J207)-1))</f>
      </c>
      <c r="M207">
        <f>IF($J207="","",RIGHT($J207,LEN($J207)-FIND(":",$J207,FIND(":",$J207)+1)))</f>
      </c>
      <c r="N207">
        <f>IF($J207="","",IF(ISNUMBER(MATCH($J207,Prices[Key],0)),"OK - in Prices","ADD TO PRICES"))</f>
      </c>
      <c r="P207">
        <f>IFERROR(INDEX(Prices[Key],ROWS($P$4:P207)),"")</f>
      </c>
      <c r="Q207">
        <f>IF($P207="","",IF(ISNUMBER(MATCH($P207,Shares!$A$2:$A$1001,0)),"held","NOT HELD - review"))</f>
      </c>
    </row>
    <row r="208" spans="1:17" ht="15" customHeight="1" x14ac:dyDescent="0.15">
      <c r="J208">
        <f>IF(Shares!$A206="","",Shares!$A206)</f>
      </c>
      <c r="K208">
        <f>IF($J208="","",LEFT($J208,FIND(":",$J208)-1))</f>
      </c>
      <c r="L208">
        <f>IF($J208="","",MID($J208,FIND(":",$J208)+1,FIND(":",$J208,FIND(":",$J208)+1)-FIND(":",$J208)-1))</f>
      </c>
      <c r="M208">
        <f>IF($J208="","",RIGHT($J208,LEN($J208)-FIND(":",$J208,FIND(":",$J208)+1)))</f>
      </c>
      <c r="N208">
        <f>IF($J208="","",IF(ISNUMBER(MATCH($J208,Prices[Key],0)),"OK - in Prices","ADD TO PRICES"))</f>
      </c>
      <c r="P208">
        <f>IFERROR(INDEX(Prices[Key],ROWS($P$4:P208)),"")</f>
      </c>
      <c r="Q208">
        <f>IF($P208="","",IF(ISNUMBER(MATCH($P208,Shares!$A$2:$A$1001,0)),"held","NOT HELD - review"))</f>
      </c>
    </row>
    <row r="209" spans="1:17" ht="15" customHeight="1" x14ac:dyDescent="0.15">
      <c r="J209">
        <f>IF(Shares!$A207="","",Shares!$A207)</f>
      </c>
      <c r="K209">
        <f>IF($J209="","",LEFT($J209,FIND(":",$J209)-1))</f>
      </c>
      <c r="L209">
        <f>IF($J209="","",MID($J209,FIND(":",$J209)+1,FIND(":",$J209,FIND(":",$J209)+1)-FIND(":",$J209)-1))</f>
      </c>
      <c r="M209">
        <f>IF($J209="","",RIGHT($J209,LEN($J209)-FIND(":",$J209,FIND(":",$J209)+1)))</f>
      </c>
      <c r="N209">
        <f>IF($J209="","",IF(ISNUMBER(MATCH($J209,Prices[Key],0)),"OK - in Prices","ADD TO PRICES"))</f>
      </c>
      <c r="P209">
        <f>IFERROR(INDEX(Prices[Key],ROWS($P$4:P209)),"")</f>
      </c>
      <c r="Q209">
        <f>IF($P209="","",IF(ISNUMBER(MATCH($P209,Shares!$A$2:$A$1001,0)),"held","NOT HELD - review"))</f>
      </c>
    </row>
    <row r="210" spans="1:17" ht="15" customHeight="1" x14ac:dyDescent="0.15">
      <c r="J210">
        <f>IF(Shares!$A208="","",Shares!$A208)</f>
      </c>
      <c r="K210">
        <f>IF($J210="","",LEFT($J210,FIND(":",$J210)-1))</f>
      </c>
      <c r="L210">
        <f>IF($J210="","",MID($J210,FIND(":",$J210)+1,FIND(":",$J210,FIND(":",$J210)+1)-FIND(":",$J210)-1))</f>
      </c>
      <c r="M210">
        <f>IF($J210="","",RIGHT($J210,LEN($J210)-FIND(":",$J210,FIND(":",$J210)+1)))</f>
      </c>
      <c r="N210">
        <f>IF($J210="","",IF(ISNUMBER(MATCH($J210,Prices[Key],0)),"OK - in Prices","ADD TO PRICES"))</f>
      </c>
      <c r="P210">
        <f>IFERROR(INDEX(Prices[Key],ROWS($P$4:P210)),"")</f>
      </c>
      <c r="Q210">
        <f>IF($P210="","",IF(ISNUMBER(MATCH($P210,Shares!$A$2:$A$1001,0)),"held","NOT HELD - review"))</f>
      </c>
    </row>
    <row r="211" spans="1:17" ht="15" customHeight="1" x14ac:dyDescent="0.15">
      <c r="J211">
        <f>IF(Shares!$A209="","",Shares!$A209)</f>
      </c>
      <c r="K211">
        <f>IF($J211="","",LEFT($J211,FIND(":",$J211)-1))</f>
      </c>
      <c r="L211">
        <f>IF($J211="","",MID($J211,FIND(":",$J211)+1,FIND(":",$J211,FIND(":",$J211)+1)-FIND(":",$J211)-1))</f>
      </c>
      <c r="M211">
        <f>IF($J211="","",RIGHT($J211,LEN($J211)-FIND(":",$J211,FIND(":",$J211)+1)))</f>
      </c>
      <c r="N211">
        <f>IF($J211="","",IF(ISNUMBER(MATCH($J211,Prices[Key],0)),"OK - in Prices","ADD TO PRICES"))</f>
      </c>
      <c r="P211">
        <f>IFERROR(INDEX(Prices[Key],ROWS($P$4:P211)),"")</f>
      </c>
      <c r="Q211">
        <f>IF($P211="","",IF(ISNUMBER(MATCH($P211,Shares!$A$2:$A$1001,0)),"held","NOT HELD - review"))</f>
      </c>
    </row>
    <row r="212" spans="1:17" ht="15" customHeight="1" x14ac:dyDescent="0.15">
      <c r="J212">
        <f>IF(Shares!$A210="","",Shares!$A210)</f>
      </c>
      <c r="K212">
        <f>IF($J212="","",LEFT($J212,FIND(":",$J212)-1))</f>
      </c>
      <c r="L212">
        <f>IF($J212="","",MID($J212,FIND(":",$J212)+1,FIND(":",$J212,FIND(":",$J212)+1)-FIND(":",$J212)-1))</f>
      </c>
      <c r="M212">
        <f>IF($J212="","",RIGHT($J212,LEN($J212)-FIND(":",$J212,FIND(":",$J212)+1)))</f>
      </c>
      <c r="N212">
        <f>IF($J212="","",IF(ISNUMBER(MATCH($J212,Prices[Key],0)),"OK - in Prices","ADD TO PRICES"))</f>
      </c>
      <c r="P212">
        <f>IFERROR(INDEX(Prices[Key],ROWS($P$4:P212)),"")</f>
      </c>
      <c r="Q212">
        <f>IF($P212="","",IF(ISNUMBER(MATCH($P212,Shares!$A$2:$A$1001,0)),"held","NOT HELD - review"))</f>
      </c>
    </row>
    <row r="213" spans="1:17" ht="15" customHeight="1" x14ac:dyDescent="0.15">
      <c r="J213">
        <f>IF(Shares!$A211="","",Shares!$A211)</f>
      </c>
      <c r="K213">
        <f>IF($J213="","",LEFT($J213,FIND(":",$J213)-1))</f>
      </c>
      <c r="L213">
        <f>IF($J213="","",MID($J213,FIND(":",$J213)+1,FIND(":",$J213,FIND(":",$J213)+1)-FIND(":",$J213)-1))</f>
      </c>
      <c r="M213">
        <f>IF($J213="","",RIGHT($J213,LEN($J213)-FIND(":",$J213,FIND(":",$J213)+1)))</f>
      </c>
      <c r="N213">
        <f>IF($J213="","",IF(ISNUMBER(MATCH($J213,Prices[Key],0)),"OK - in Prices","ADD TO PRICES"))</f>
      </c>
      <c r="P213">
        <f>IFERROR(INDEX(Prices[Key],ROWS($P$4:P213)),"")</f>
      </c>
      <c r="Q213">
        <f>IF($P213="","",IF(ISNUMBER(MATCH($P213,Shares!$A$2:$A$1001,0)),"held","NOT HELD - review"))</f>
      </c>
    </row>
    <row r="214" spans="1:17" ht="15" customHeight="1" x14ac:dyDescent="0.15">
      <c r="J214">
        <f>IF(Shares!$A212="","",Shares!$A212)</f>
      </c>
      <c r="K214">
        <f>IF($J214="","",LEFT($J214,FIND(":",$J214)-1))</f>
      </c>
      <c r="L214">
        <f>IF($J214="","",MID($J214,FIND(":",$J214)+1,FIND(":",$J214,FIND(":",$J214)+1)-FIND(":",$J214)-1))</f>
      </c>
      <c r="M214">
        <f>IF($J214="","",RIGHT($J214,LEN($J214)-FIND(":",$J214,FIND(":",$J214)+1)))</f>
      </c>
      <c r="N214">
        <f>IF($J214="","",IF(ISNUMBER(MATCH($J214,Prices[Key],0)),"OK - in Prices","ADD TO PRICES"))</f>
      </c>
      <c r="P214">
        <f>IFERROR(INDEX(Prices[Key],ROWS($P$4:P214)),"")</f>
      </c>
      <c r="Q214">
        <f>IF($P214="","",IF(ISNUMBER(MATCH($P214,Shares!$A$2:$A$1001,0)),"held","NOT HELD - review"))</f>
      </c>
    </row>
    <row r="215" spans="1:17" ht="15" customHeight="1" x14ac:dyDescent="0.15">
      <c r="J215">
        <f>IF(Shares!$A213="","",Shares!$A213)</f>
      </c>
      <c r="K215">
        <f>IF($J215="","",LEFT($J215,FIND(":",$J215)-1))</f>
      </c>
      <c r="L215">
        <f>IF($J215="","",MID($J215,FIND(":",$J215)+1,FIND(":",$J215,FIND(":",$J215)+1)-FIND(":",$J215)-1))</f>
      </c>
      <c r="M215">
        <f>IF($J215="","",RIGHT($J215,LEN($J215)-FIND(":",$J215,FIND(":",$J215)+1)))</f>
      </c>
      <c r="N215">
        <f>IF($J215="","",IF(ISNUMBER(MATCH($J215,Prices[Key],0)),"OK - in Prices","ADD TO PRICES"))</f>
      </c>
      <c r="P215">
        <f>IFERROR(INDEX(Prices[Key],ROWS($P$4:P215)),"")</f>
      </c>
      <c r="Q215">
        <f>IF($P215="","",IF(ISNUMBER(MATCH($P215,Shares!$A$2:$A$1001,0)),"held","NOT HELD - review"))</f>
      </c>
    </row>
    <row r="216" spans="1:17" ht="15" customHeight="1" x14ac:dyDescent="0.15">
      <c r="J216">
        <f>IF(Shares!$A214="","",Shares!$A214)</f>
      </c>
      <c r="K216">
        <f>IF($J216="","",LEFT($J216,FIND(":",$J216)-1))</f>
      </c>
      <c r="L216">
        <f>IF($J216="","",MID($J216,FIND(":",$J216)+1,FIND(":",$J216,FIND(":",$J216)+1)-FIND(":",$J216)-1))</f>
      </c>
      <c r="M216">
        <f>IF($J216="","",RIGHT($J216,LEN($J216)-FIND(":",$J216,FIND(":",$J216)+1)))</f>
      </c>
      <c r="N216">
        <f>IF($J216="","",IF(ISNUMBER(MATCH($J216,Prices[Key],0)),"OK - in Prices","ADD TO PRICES"))</f>
      </c>
      <c r="P216">
        <f>IFERROR(INDEX(Prices[Key],ROWS($P$4:P216)),"")</f>
      </c>
      <c r="Q216">
        <f>IF($P216="","",IF(ISNUMBER(MATCH($P216,Shares!$A$2:$A$1001,0)),"held","NOT HELD - review"))</f>
      </c>
    </row>
    <row r="217" spans="1:17" ht="15" customHeight="1" x14ac:dyDescent="0.15">
      <c r="J217">
        <f>IF(Shares!$A215="","",Shares!$A215)</f>
      </c>
      <c r="K217">
        <f>IF($J217="","",LEFT($J217,FIND(":",$J217)-1))</f>
      </c>
      <c r="L217">
        <f>IF($J217="","",MID($J217,FIND(":",$J217)+1,FIND(":",$J217,FIND(":",$J217)+1)-FIND(":",$J217)-1))</f>
      </c>
      <c r="M217">
        <f>IF($J217="","",RIGHT($J217,LEN($J217)-FIND(":",$J217,FIND(":",$J217)+1)))</f>
      </c>
      <c r="N217">
        <f>IF($J217="","",IF(ISNUMBER(MATCH($J217,Prices[Key],0)),"OK - in Prices","ADD TO PRICES"))</f>
      </c>
      <c r="P217">
        <f>IFERROR(INDEX(Prices[Key],ROWS($P$4:P217)),"")</f>
      </c>
      <c r="Q217">
        <f>IF($P217="","",IF(ISNUMBER(MATCH($P217,Shares!$A$2:$A$1001,0)),"held","NOT HELD - review"))</f>
      </c>
    </row>
    <row r="218" spans="1:17" ht="15" customHeight="1" x14ac:dyDescent="0.15">
      <c r="J218">
        <f>IF(Shares!$A216="","",Shares!$A216)</f>
      </c>
      <c r="K218">
        <f>IF($J218="","",LEFT($J218,FIND(":",$J218)-1))</f>
      </c>
      <c r="L218">
        <f>IF($J218="","",MID($J218,FIND(":",$J218)+1,FIND(":",$J218,FIND(":",$J218)+1)-FIND(":",$J218)-1))</f>
      </c>
      <c r="M218">
        <f>IF($J218="","",RIGHT($J218,LEN($J218)-FIND(":",$J218,FIND(":",$J218)+1)))</f>
      </c>
      <c r="N218">
        <f>IF($J218="","",IF(ISNUMBER(MATCH($J218,Prices[Key],0)),"OK - in Prices","ADD TO PRICES"))</f>
      </c>
      <c r="P218">
        <f>IFERROR(INDEX(Prices[Key],ROWS($P$4:P218)),"")</f>
      </c>
      <c r="Q218">
        <f>IF($P218="","",IF(ISNUMBER(MATCH($P218,Shares!$A$2:$A$1001,0)),"held","NOT HELD - review"))</f>
      </c>
    </row>
    <row r="219" spans="1:17" ht="15" customHeight="1" x14ac:dyDescent="0.15">
      <c r="J219">
        <f>IF(Shares!$A217="","",Shares!$A217)</f>
      </c>
      <c r="K219">
        <f>IF($J219="","",LEFT($J219,FIND(":",$J219)-1))</f>
      </c>
      <c r="L219">
        <f>IF($J219="","",MID($J219,FIND(":",$J219)+1,FIND(":",$J219,FIND(":",$J219)+1)-FIND(":",$J219)-1))</f>
      </c>
      <c r="M219">
        <f>IF($J219="","",RIGHT($J219,LEN($J219)-FIND(":",$J219,FIND(":",$J219)+1)))</f>
      </c>
      <c r="N219">
        <f>IF($J219="","",IF(ISNUMBER(MATCH($J219,Prices[Key],0)),"OK - in Prices","ADD TO PRICES"))</f>
      </c>
      <c r="P219">
        <f>IFERROR(INDEX(Prices[Key],ROWS($P$4:P219)),"")</f>
      </c>
      <c r="Q219">
        <f>IF($P219="","",IF(ISNUMBER(MATCH($P219,Shares!$A$2:$A$1001,0)),"held","NOT HELD - review"))</f>
      </c>
    </row>
    <row r="220" spans="1:17" ht="15" customHeight="1" x14ac:dyDescent="0.15">
      <c r="J220">
        <f>IF(Shares!$A218="","",Shares!$A218)</f>
      </c>
      <c r="K220">
        <f>IF($J220="","",LEFT($J220,FIND(":",$J220)-1))</f>
      </c>
      <c r="L220">
        <f>IF($J220="","",MID($J220,FIND(":",$J220)+1,FIND(":",$J220,FIND(":",$J220)+1)-FIND(":",$J220)-1))</f>
      </c>
      <c r="M220">
        <f>IF($J220="","",RIGHT($J220,LEN($J220)-FIND(":",$J220,FIND(":",$J220)+1)))</f>
      </c>
      <c r="N220">
        <f>IF($J220="","",IF(ISNUMBER(MATCH($J220,Prices[Key],0)),"OK - in Prices","ADD TO PRICES"))</f>
      </c>
      <c r="P220">
        <f>IFERROR(INDEX(Prices[Key],ROWS($P$4:P220)),"")</f>
      </c>
      <c r="Q220">
        <f>IF($P220="","",IF(ISNUMBER(MATCH($P220,Shares!$A$2:$A$1001,0)),"held","NOT HELD - review"))</f>
      </c>
    </row>
    <row r="221" spans="1:17" ht="15" customHeight="1" x14ac:dyDescent="0.15">
      <c r="J221">
        <f>IF(Shares!$A219="","",Shares!$A219)</f>
      </c>
      <c r="K221">
        <f>IF($J221="","",LEFT($J221,FIND(":",$J221)-1))</f>
      </c>
      <c r="L221">
        <f>IF($J221="","",MID($J221,FIND(":",$J221)+1,FIND(":",$J221,FIND(":",$J221)+1)-FIND(":",$J221)-1))</f>
      </c>
      <c r="M221">
        <f>IF($J221="","",RIGHT($J221,LEN($J221)-FIND(":",$J221,FIND(":",$J221)+1)))</f>
      </c>
      <c r="N221">
        <f>IF($J221="","",IF(ISNUMBER(MATCH($J221,Prices[Key],0)),"OK - in Prices","ADD TO PRICES"))</f>
      </c>
      <c r="P221">
        <f>IFERROR(INDEX(Prices[Key],ROWS($P$4:P221)),"")</f>
      </c>
      <c r="Q221">
        <f>IF($P221="","",IF(ISNUMBER(MATCH($P221,Shares!$A$2:$A$1001,0)),"held","NOT HELD - review"))</f>
      </c>
    </row>
    <row r="222" spans="1:17" ht="15" customHeight="1" x14ac:dyDescent="0.15">
      <c r="J222">
        <f>IF(Shares!$A220="","",Shares!$A220)</f>
      </c>
      <c r="K222">
        <f>IF($J222="","",LEFT($J222,FIND(":",$J222)-1))</f>
      </c>
      <c r="L222">
        <f>IF($J222="","",MID($J222,FIND(":",$J222)+1,FIND(":",$J222,FIND(":",$J222)+1)-FIND(":",$J222)-1))</f>
      </c>
      <c r="M222">
        <f>IF($J222="","",RIGHT($J222,LEN($J222)-FIND(":",$J222,FIND(":",$J222)+1)))</f>
      </c>
      <c r="N222">
        <f>IF($J222="","",IF(ISNUMBER(MATCH($J222,Prices[Key],0)),"OK - in Prices","ADD TO PRICES"))</f>
      </c>
      <c r="P222">
        <f>IFERROR(INDEX(Prices[Key],ROWS($P$4:P222)),"")</f>
      </c>
      <c r="Q222">
        <f>IF($P222="","",IF(ISNUMBER(MATCH($P222,Shares!$A$2:$A$1001,0)),"held","NOT HELD - review"))</f>
      </c>
    </row>
    <row r="223" spans="1:17" ht="15" customHeight="1" x14ac:dyDescent="0.15">
      <c r="J223">
        <f>IF(Shares!$A221="","",Shares!$A221)</f>
      </c>
      <c r="K223">
        <f>IF($J223="","",LEFT($J223,FIND(":",$J223)-1))</f>
      </c>
      <c r="L223">
        <f>IF($J223="","",MID($J223,FIND(":",$J223)+1,FIND(":",$J223,FIND(":",$J223)+1)-FIND(":",$J223)-1))</f>
      </c>
      <c r="M223">
        <f>IF($J223="","",RIGHT($J223,LEN($J223)-FIND(":",$J223,FIND(":",$J223)+1)))</f>
      </c>
      <c r="N223">
        <f>IF($J223="","",IF(ISNUMBER(MATCH($J223,Prices[Key],0)),"OK - in Prices","ADD TO PRICES"))</f>
      </c>
      <c r="P223">
        <f>IFERROR(INDEX(Prices[Key],ROWS($P$4:P223)),"")</f>
      </c>
      <c r="Q223">
        <f>IF($P223="","",IF(ISNUMBER(MATCH($P223,Shares!$A$2:$A$1001,0)),"held","NOT HELD - review"))</f>
      </c>
    </row>
    <row r="224" spans="1:17" ht="15" customHeight="1" x14ac:dyDescent="0.15">
      <c r="J224">
        <f>IF(Shares!$A222="","",Shares!$A222)</f>
      </c>
      <c r="K224">
        <f>IF($J224="","",LEFT($J224,FIND(":",$J224)-1))</f>
      </c>
      <c r="L224">
        <f>IF($J224="","",MID($J224,FIND(":",$J224)+1,FIND(":",$J224,FIND(":",$J224)+1)-FIND(":",$J224)-1))</f>
      </c>
      <c r="M224">
        <f>IF($J224="","",RIGHT($J224,LEN($J224)-FIND(":",$J224,FIND(":",$J224)+1)))</f>
      </c>
      <c r="N224">
        <f>IF($J224="","",IF(ISNUMBER(MATCH($J224,Prices[Key],0)),"OK - in Prices","ADD TO PRICES"))</f>
      </c>
      <c r="P224">
        <f>IFERROR(INDEX(Prices[Key],ROWS($P$4:P224)),"")</f>
      </c>
      <c r="Q224">
        <f>IF($P224="","",IF(ISNUMBER(MATCH($P224,Shares!$A$2:$A$1001,0)),"held","NOT HELD - review"))</f>
      </c>
    </row>
    <row r="225" spans="1:17" ht="15" customHeight="1" x14ac:dyDescent="0.15">
      <c r="J225">
        <f>IF(Shares!$A223="","",Shares!$A223)</f>
      </c>
      <c r="K225">
        <f>IF($J225="","",LEFT($J225,FIND(":",$J225)-1))</f>
      </c>
      <c r="L225">
        <f>IF($J225="","",MID($J225,FIND(":",$J225)+1,FIND(":",$J225,FIND(":",$J225)+1)-FIND(":",$J225)-1))</f>
      </c>
      <c r="M225">
        <f>IF($J225="","",RIGHT($J225,LEN($J225)-FIND(":",$J225,FIND(":",$J225)+1)))</f>
      </c>
      <c r="N225">
        <f>IF($J225="","",IF(ISNUMBER(MATCH($J225,Prices[Key],0)),"OK - in Prices","ADD TO PRICES"))</f>
      </c>
      <c r="P225">
        <f>IFERROR(INDEX(Prices[Key],ROWS($P$4:P225)),"")</f>
      </c>
      <c r="Q225">
        <f>IF($P225="","",IF(ISNUMBER(MATCH($P225,Shares!$A$2:$A$1001,0)),"held","NOT HELD - review"))</f>
      </c>
    </row>
    <row r="226" spans="1:17" ht="15" customHeight="1" x14ac:dyDescent="0.15">
      <c r="J226">
        <f>IF(Shares!$A224="","",Shares!$A224)</f>
      </c>
      <c r="K226">
        <f>IF($J226="","",LEFT($J226,FIND(":",$J226)-1))</f>
      </c>
      <c r="L226">
        <f>IF($J226="","",MID($J226,FIND(":",$J226)+1,FIND(":",$J226,FIND(":",$J226)+1)-FIND(":",$J226)-1))</f>
      </c>
      <c r="M226">
        <f>IF($J226="","",RIGHT($J226,LEN($J226)-FIND(":",$J226,FIND(":",$J226)+1)))</f>
      </c>
      <c r="N226">
        <f>IF($J226="","",IF(ISNUMBER(MATCH($J226,Prices[Key],0)),"OK - in Prices","ADD TO PRICES"))</f>
      </c>
      <c r="P226">
        <f>IFERROR(INDEX(Prices[Key],ROWS($P$4:P226)),"")</f>
      </c>
      <c r="Q226">
        <f>IF($P226="","",IF(ISNUMBER(MATCH($P226,Shares!$A$2:$A$1001,0)),"held","NOT HELD - review"))</f>
      </c>
    </row>
    <row r="227" spans="1:17" ht="15" customHeight="1" x14ac:dyDescent="0.15">
      <c r="J227">
        <f>IF(Shares!$A225="","",Shares!$A225)</f>
      </c>
      <c r="K227">
        <f>IF($J227="","",LEFT($J227,FIND(":",$J227)-1))</f>
      </c>
      <c r="L227">
        <f>IF($J227="","",MID($J227,FIND(":",$J227)+1,FIND(":",$J227,FIND(":",$J227)+1)-FIND(":",$J227)-1))</f>
      </c>
      <c r="M227">
        <f>IF($J227="","",RIGHT($J227,LEN($J227)-FIND(":",$J227,FIND(":",$J227)+1)))</f>
      </c>
      <c r="N227">
        <f>IF($J227="","",IF(ISNUMBER(MATCH($J227,Prices[Key],0)),"OK - in Prices","ADD TO PRICES"))</f>
      </c>
      <c r="P227">
        <f>IFERROR(INDEX(Prices[Key],ROWS($P$4:P227)),"")</f>
      </c>
      <c r="Q227">
        <f>IF($P227="","",IF(ISNUMBER(MATCH($P227,Shares!$A$2:$A$1001,0)),"held","NOT HELD - review"))</f>
      </c>
    </row>
    <row r="228" spans="1:17" ht="15" customHeight="1" x14ac:dyDescent="0.15">
      <c r="J228">
        <f>IF(Shares!$A226="","",Shares!$A226)</f>
      </c>
      <c r="K228">
        <f>IF($J228="","",LEFT($J228,FIND(":",$J228)-1))</f>
      </c>
      <c r="L228">
        <f>IF($J228="","",MID($J228,FIND(":",$J228)+1,FIND(":",$J228,FIND(":",$J228)+1)-FIND(":",$J228)-1))</f>
      </c>
      <c r="M228">
        <f>IF($J228="","",RIGHT($J228,LEN($J228)-FIND(":",$J228,FIND(":",$J228)+1)))</f>
      </c>
      <c r="N228">
        <f>IF($J228="","",IF(ISNUMBER(MATCH($J228,Prices[Key],0)),"OK - in Prices","ADD TO PRICES"))</f>
      </c>
      <c r="P228">
        <f>IFERROR(INDEX(Prices[Key],ROWS($P$4:P228)),"")</f>
      </c>
      <c r="Q228">
        <f>IF($P228="","",IF(ISNUMBER(MATCH($P228,Shares!$A$2:$A$1001,0)),"held","NOT HELD - review"))</f>
      </c>
    </row>
    <row r="229" spans="1:17" ht="15" customHeight="1" x14ac:dyDescent="0.15">
      <c r="J229">
        <f>IF(Shares!$A227="","",Shares!$A227)</f>
      </c>
      <c r="K229">
        <f>IF($J229="","",LEFT($J229,FIND(":",$J229)-1))</f>
      </c>
      <c r="L229">
        <f>IF($J229="","",MID($J229,FIND(":",$J229)+1,FIND(":",$J229,FIND(":",$J229)+1)-FIND(":",$J229)-1))</f>
      </c>
      <c r="M229">
        <f>IF($J229="","",RIGHT($J229,LEN($J229)-FIND(":",$J229,FIND(":",$J229)+1)))</f>
      </c>
      <c r="N229">
        <f>IF($J229="","",IF(ISNUMBER(MATCH($J229,Prices[Key],0)),"OK - in Prices","ADD TO PRICES"))</f>
      </c>
      <c r="P229">
        <f>IFERROR(INDEX(Prices[Key],ROWS($P$4:P229)),"")</f>
      </c>
      <c r="Q229">
        <f>IF($P229="","",IF(ISNUMBER(MATCH($P229,Shares!$A$2:$A$1001,0)),"held","NOT HELD - review"))</f>
      </c>
    </row>
    <row r="230" spans="1:17" ht="15" customHeight="1" x14ac:dyDescent="0.15">
      <c r="J230">
        <f>IF(Shares!$A228="","",Shares!$A228)</f>
      </c>
      <c r="K230">
        <f>IF($J230="","",LEFT($J230,FIND(":",$J230)-1))</f>
      </c>
      <c r="L230">
        <f>IF($J230="","",MID($J230,FIND(":",$J230)+1,FIND(":",$J230,FIND(":",$J230)+1)-FIND(":",$J230)-1))</f>
      </c>
      <c r="M230">
        <f>IF($J230="","",RIGHT($J230,LEN($J230)-FIND(":",$J230,FIND(":",$J230)+1)))</f>
      </c>
      <c r="N230">
        <f>IF($J230="","",IF(ISNUMBER(MATCH($J230,Prices[Key],0)),"OK - in Prices","ADD TO PRICES"))</f>
      </c>
      <c r="P230">
        <f>IFERROR(INDEX(Prices[Key],ROWS($P$4:P230)),"")</f>
      </c>
      <c r="Q230">
        <f>IF($P230="","",IF(ISNUMBER(MATCH($P230,Shares!$A$2:$A$1001,0)),"held","NOT HELD - review"))</f>
      </c>
    </row>
    <row r="231" spans="1:17" ht="15" customHeight="1" x14ac:dyDescent="0.15">
      <c r="J231">
        <f>IF(Shares!$A229="","",Shares!$A229)</f>
      </c>
      <c r="K231">
        <f>IF($J231="","",LEFT($J231,FIND(":",$J231)-1))</f>
      </c>
      <c r="L231">
        <f>IF($J231="","",MID($J231,FIND(":",$J231)+1,FIND(":",$J231,FIND(":",$J231)+1)-FIND(":",$J231)-1))</f>
      </c>
      <c r="M231">
        <f>IF($J231="","",RIGHT($J231,LEN($J231)-FIND(":",$J231,FIND(":",$J231)+1)))</f>
      </c>
      <c r="N231">
        <f>IF($J231="","",IF(ISNUMBER(MATCH($J231,Prices[Key],0)),"OK - in Prices","ADD TO PRICES"))</f>
      </c>
      <c r="P231">
        <f>IFERROR(INDEX(Prices[Key],ROWS($P$4:P231)),"")</f>
      </c>
      <c r="Q231">
        <f>IF($P231="","",IF(ISNUMBER(MATCH($P231,Shares!$A$2:$A$1001,0)),"held","NOT HELD - review"))</f>
      </c>
    </row>
    <row r="232" spans="1:17" ht="15" customHeight="1" x14ac:dyDescent="0.15">
      <c r="J232">
        <f>IF(Shares!$A230="","",Shares!$A230)</f>
      </c>
      <c r="K232">
        <f>IF($J232="","",LEFT($J232,FIND(":",$J232)-1))</f>
      </c>
      <c r="L232">
        <f>IF($J232="","",MID($J232,FIND(":",$J232)+1,FIND(":",$J232,FIND(":",$J232)+1)-FIND(":",$J232)-1))</f>
      </c>
      <c r="M232">
        <f>IF($J232="","",RIGHT($J232,LEN($J232)-FIND(":",$J232,FIND(":",$J232)+1)))</f>
      </c>
      <c r="N232">
        <f>IF($J232="","",IF(ISNUMBER(MATCH($J232,Prices[Key],0)),"OK - in Prices","ADD TO PRICES"))</f>
      </c>
      <c r="P232">
        <f>IFERROR(INDEX(Prices[Key],ROWS($P$4:P232)),"")</f>
      </c>
      <c r="Q232">
        <f>IF($P232="","",IF(ISNUMBER(MATCH($P232,Shares!$A$2:$A$1001,0)),"held","NOT HELD - review"))</f>
      </c>
    </row>
    <row r="233" spans="1:17" ht="15" customHeight="1" x14ac:dyDescent="0.15">
      <c r="J233">
        <f>IF(Shares!$A231="","",Shares!$A231)</f>
      </c>
      <c r="K233">
        <f>IF($J233="","",LEFT($J233,FIND(":",$J233)-1))</f>
      </c>
      <c r="L233">
        <f>IF($J233="","",MID($J233,FIND(":",$J233)+1,FIND(":",$J233,FIND(":",$J233)+1)-FIND(":",$J233)-1))</f>
      </c>
      <c r="M233">
        <f>IF($J233="","",RIGHT($J233,LEN($J233)-FIND(":",$J233,FIND(":",$J233)+1)))</f>
      </c>
      <c r="N233">
        <f>IF($J233="","",IF(ISNUMBER(MATCH($J233,Prices[Key],0)),"OK - in Prices","ADD TO PRICES"))</f>
      </c>
      <c r="P233">
        <f>IFERROR(INDEX(Prices[Key],ROWS($P$4:P233)),"")</f>
      </c>
      <c r="Q233">
        <f>IF($P233="","",IF(ISNUMBER(MATCH($P233,Shares!$A$2:$A$1001,0)),"held","NOT HELD - review"))</f>
      </c>
    </row>
    <row r="234" spans="1:17" ht="15" customHeight="1" x14ac:dyDescent="0.15">
      <c r="J234">
        <f>IF(Shares!$A232="","",Shares!$A232)</f>
      </c>
      <c r="K234">
        <f>IF($J234="","",LEFT($J234,FIND(":",$J234)-1))</f>
      </c>
      <c r="L234">
        <f>IF($J234="","",MID($J234,FIND(":",$J234)+1,FIND(":",$J234,FIND(":",$J234)+1)-FIND(":",$J234)-1))</f>
      </c>
      <c r="M234">
        <f>IF($J234="","",RIGHT($J234,LEN($J234)-FIND(":",$J234,FIND(":",$J234)+1)))</f>
      </c>
      <c r="N234">
        <f>IF($J234="","",IF(ISNUMBER(MATCH($J234,Prices[Key],0)),"OK - in Prices","ADD TO PRICES"))</f>
      </c>
      <c r="P234">
        <f>IFERROR(INDEX(Prices[Key],ROWS($P$4:P234)),"")</f>
      </c>
      <c r="Q234">
        <f>IF($P234="","",IF(ISNUMBER(MATCH($P234,Shares!$A$2:$A$1001,0)),"held","NOT HELD - review"))</f>
      </c>
    </row>
    <row r="235" spans="1:17" ht="15" customHeight="1" x14ac:dyDescent="0.15">
      <c r="J235">
        <f>IF(Shares!$A233="","",Shares!$A233)</f>
      </c>
      <c r="K235">
        <f>IF($J235="","",LEFT($J235,FIND(":",$J235)-1))</f>
      </c>
      <c r="L235">
        <f>IF($J235="","",MID($J235,FIND(":",$J235)+1,FIND(":",$J235,FIND(":",$J235)+1)-FIND(":",$J235)-1))</f>
      </c>
      <c r="M235">
        <f>IF($J235="","",RIGHT($J235,LEN($J235)-FIND(":",$J235,FIND(":",$J235)+1)))</f>
      </c>
      <c r="N235">
        <f>IF($J235="","",IF(ISNUMBER(MATCH($J235,Prices[Key],0)),"OK - in Prices","ADD TO PRICES"))</f>
      </c>
      <c r="P235">
        <f>IFERROR(INDEX(Prices[Key],ROWS($P$4:P235)),"")</f>
      </c>
      <c r="Q235">
        <f>IF($P235="","",IF(ISNUMBER(MATCH($P235,Shares!$A$2:$A$1001,0)),"held","NOT HELD - review"))</f>
      </c>
    </row>
    <row r="236" spans="1:17" ht="15" customHeight="1" x14ac:dyDescent="0.15">
      <c r="J236">
        <f>IF(Shares!$A234="","",Shares!$A234)</f>
      </c>
      <c r="K236">
        <f>IF($J236="","",LEFT($J236,FIND(":",$J236)-1))</f>
      </c>
      <c r="L236">
        <f>IF($J236="","",MID($J236,FIND(":",$J236)+1,FIND(":",$J236,FIND(":",$J236)+1)-FIND(":",$J236)-1))</f>
      </c>
      <c r="M236">
        <f>IF($J236="","",RIGHT($J236,LEN($J236)-FIND(":",$J236,FIND(":",$J236)+1)))</f>
      </c>
      <c r="N236">
        <f>IF($J236="","",IF(ISNUMBER(MATCH($J236,Prices[Key],0)),"OK - in Prices","ADD TO PRICES"))</f>
      </c>
      <c r="P236">
        <f>IFERROR(INDEX(Prices[Key],ROWS($P$4:P236)),"")</f>
      </c>
      <c r="Q236">
        <f>IF($P236="","",IF(ISNUMBER(MATCH($P236,Shares!$A$2:$A$1001,0)),"held","NOT HELD - review"))</f>
      </c>
    </row>
    <row r="237" spans="1:17" ht="15" customHeight="1" x14ac:dyDescent="0.15">
      <c r="J237">
        <f>IF(Shares!$A235="","",Shares!$A235)</f>
      </c>
      <c r="K237">
        <f>IF($J237="","",LEFT($J237,FIND(":",$J237)-1))</f>
      </c>
      <c r="L237">
        <f>IF($J237="","",MID($J237,FIND(":",$J237)+1,FIND(":",$J237,FIND(":",$J237)+1)-FIND(":",$J237)-1))</f>
      </c>
      <c r="M237">
        <f>IF($J237="","",RIGHT($J237,LEN($J237)-FIND(":",$J237,FIND(":",$J237)+1)))</f>
      </c>
      <c r="N237">
        <f>IF($J237="","",IF(ISNUMBER(MATCH($J237,Prices[Key],0)),"OK - in Prices","ADD TO PRICES"))</f>
      </c>
      <c r="P237">
        <f>IFERROR(INDEX(Prices[Key],ROWS($P$4:P237)),"")</f>
      </c>
      <c r="Q237">
        <f>IF($P237="","",IF(ISNUMBER(MATCH($P237,Shares!$A$2:$A$1001,0)),"held","NOT HELD - review"))</f>
      </c>
    </row>
    <row r="238" spans="1:17" ht="15" customHeight="1" x14ac:dyDescent="0.15">
      <c r="J238">
        <f>IF(Shares!$A236="","",Shares!$A236)</f>
      </c>
      <c r="K238">
        <f>IF($J238="","",LEFT($J238,FIND(":",$J238)-1))</f>
      </c>
      <c r="L238">
        <f>IF($J238="","",MID($J238,FIND(":",$J238)+1,FIND(":",$J238,FIND(":",$J238)+1)-FIND(":",$J238)-1))</f>
      </c>
      <c r="M238">
        <f>IF($J238="","",RIGHT($J238,LEN($J238)-FIND(":",$J238,FIND(":",$J238)+1)))</f>
      </c>
      <c r="N238">
        <f>IF($J238="","",IF(ISNUMBER(MATCH($J238,Prices[Key],0)),"OK - in Prices","ADD TO PRICES"))</f>
      </c>
      <c r="P238">
        <f>IFERROR(INDEX(Prices[Key],ROWS($P$4:P238)),"")</f>
      </c>
      <c r="Q238">
        <f>IF($P238="","",IF(ISNUMBER(MATCH($P238,Shares!$A$2:$A$1001,0)),"held","NOT HELD - review"))</f>
      </c>
    </row>
    <row r="239" spans="1:17" ht="15" customHeight="1" x14ac:dyDescent="0.15">
      <c r="J239">
        <f>IF(Shares!$A237="","",Shares!$A237)</f>
      </c>
      <c r="K239">
        <f>IF($J239="","",LEFT($J239,FIND(":",$J239)-1))</f>
      </c>
      <c r="L239">
        <f>IF($J239="","",MID($J239,FIND(":",$J239)+1,FIND(":",$J239,FIND(":",$J239)+1)-FIND(":",$J239)-1))</f>
      </c>
      <c r="M239">
        <f>IF($J239="","",RIGHT($J239,LEN($J239)-FIND(":",$J239,FIND(":",$J239)+1)))</f>
      </c>
      <c r="N239">
        <f>IF($J239="","",IF(ISNUMBER(MATCH($J239,Prices[Key],0)),"OK - in Prices","ADD TO PRICES"))</f>
      </c>
      <c r="P239">
        <f>IFERROR(INDEX(Prices[Key],ROWS($P$4:P239)),"")</f>
      </c>
      <c r="Q239">
        <f>IF($P239="","",IF(ISNUMBER(MATCH($P239,Shares!$A$2:$A$1001,0)),"held","NOT HELD - review"))</f>
      </c>
    </row>
    <row r="240" spans="1:17" ht="15" customHeight="1" x14ac:dyDescent="0.15">
      <c r="J240">
        <f>IF(Shares!$A238="","",Shares!$A238)</f>
      </c>
      <c r="K240">
        <f>IF($J240="","",LEFT($J240,FIND(":",$J240)-1))</f>
      </c>
      <c r="L240">
        <f>IF($J240="","",MID($J240,FIND(":",$J240)+1,FIND(":",$J240,FIND(":",$J240)+1)-FIND(":",$J240)-1))</f>
      </c>
      <c r="M240">
        <f>IF($J240="","",RIGHT($J240,LEN($J240)-FIND(":",$J240,FIND(":",$J240)+1)))</f>
      </c>
      <c r="N240">
        <f>IF($J240="","",IF(ISNUMBER(MATCH($J240,Prices[Key],0)),"OK - in Prices","ADD TO PRICES"))</f>
      </c>
      <c r="P240">
        <f>IFERROR(INDEX(Prices[Key],ROWS($P$4:P240)),"")</f>
      </c>
      <c r="Q240">
        <f>IF($P240="","",IF(ISNUMBER(MATCH($P240,Shares!$A$2:$A$1001,0)),"held","NOT HELD - review"))</f>
      </c>
    </row>
    <row r="241" spans="1:17" ht="15" customHeight="1" x14ac:dyDescent="0.15">
      <c r="J241">
        <f>IF(Shares!$A239="","",Shares!$A239)</f>
      </c>
      <c r="K241">
        <f>IF($J241="","",LEFT($J241,FIND(":",$J241)-1))</f>
      </c>
      <c r="L241">
        <f>IF($J241="","",MID($J241,FIND(":",$J241)+1,FIND(":",$J241,FIND(":",$J241)+1)-FIND(":",$J241)-1))</f>
      </c>
      <c r="M241">
        <f>IF($J241="","",RIGHT($J241,LEN($J241)-FIND(":",$J241,FIND(":",$J241)+1)))</f>
      </c>
      <c r="N241">
        <f>IF($J241="","",IF(ISNUMBER(MATCH($J241,Prices[Key],0)),"OK - in Prices","ADD TO PRICES"))</f>
      </c>
      <c r="P241">
        <f>IFERROR(INDEX(Prices[Key],ROWS($P$4:P241)),"")</f>
      </c>
      <c r="Q241">
        <f>IF($P241="","",IF(ISNUMBER(MATCH($P241,Shares!$A$2:$A$1001,0)),"held","NOT HELD - review"))</f>
      </c>
    </row>
    <row r="242" spans="1:17" ht="15" customHeight="1" x14ac:dyDescent="0.15">
      <c r="J242">
        <f>IF(Shares!$A240="","",Shares!$A240)</f>
      </c>
      <c r="K242">
        <f>IF($J242="","",LEFT($J242,FIND(":",$J242)-1))</f>
      </c>
      <c r="L242">
        <f>IF($J242="","",MID($J242,FIND(":",$J242)+1,FIND(":",$J242,FIND(":",$J242)+1)-FIND(":",$J242)-1))</f>
      </c>
      <c r="M242">
        <f>IF($J242="","",RIGHT($J242,LEN($J242)-FIND(":",$J242,FIND(":",$J242)+1)))</f>
      </c>
      <c r="N242">
        <f>IF($J242="","",IF(ISNUMBER(MATCH($J242,Prices[Key],0)),"OK - in Prices","ADD TO PRICES"))</f>
      </c>
      <c r="P242">
        <f>IFERROR(INDEX(Prices[Key],ROWS($P$4:P242)),"")</f>
      </c>
      <c r="Q242">
        <f>IF($P242="","",IF(ISNUMBER(MATCH($P242,Shares!$A$2:$A$1001,0)),"held","NOT HELD - review"))</f>
      </c>
    </row>
    <row r="243" spans="1:17" ht="15" customHeight="1" x14ac:dyDescent="0.15">
      <c r="J243">
        <f>IF(Shares!$A241="","",Shares!$A241)</f>
      </c>
      <c r="K243">
        <f>IF($J243="","",LEFT($J243,FIND(":",$J243)-1))</f>
      </c>
      <c r="L243">
        <f>IF($J243="","",MID($J243,FIND(":",$J243)+1,FIND(":",$J243,FIND(":",$J243)+1)-FIND(":",$J243)-1))</f>
      </c>
      <c r="M243">
        <f>IF($J243="","",RIGHT($J243,LEN($J243)-FIND(":",$J243,FIND(":",$J243)+1)))</f>
      </c>
      <c r="N243">
        <f>IF($J243="","",IF(ISNUMBER(MATCH($J243,Prices[Key],0)),"OK - in Prices","ADD TO PRICES"))</f>
      </c>
      <c r="P243">
        <f>IFERROR(INDEX(Prices[Key],ROWS($P$4:P243)),"")</f>
      </c>
      <c r="Q243">
        <f>IF($P243="","",IF(ISNUMBER(MATCH($P243,Shares!$A$2:$A$1001,0)),"held","NOT HELD - review"))</f>
      </c>
    </row>
    <row r="244" spans="1:17" ht="15" customHeight="1" x14ac:dyDescent="0.15">
      <c r="J244">
        <f>IF(Shares!$A242="","",Shares!$A242)</f>
      </c>
      <c r="K244">
        <f>IF($J244="","",LEFT($J244,FIND(":",$J244)-1))</f>
      </c>
      <c r="L244">
        <f>IF($J244="","",MID($J244,FIND(":",$J244)+1,FIND(":",$J244,FIND(":",$J244)+1)-FIND(":",$J244)-1))</f>
      </c>
      <c r="M244">
        <f>IF($J244="","",RIGHT($J244,LEN($J244)-FIND(":",$J244,FIND(":",$J244)+1)))</f>
      </c>
      <c r="N244">
        <f>IF($J244="","",IF(ISNUMBER(MATCH($J244,Prices[Key],0)),"OK - in Prices","ADD TO PRICES"))</f>
      </c>
      <c r="P244">
        <f>IFERROR(INDEX(Prices[Key],ROWS($P$4:P244)),"")</f>
      </c>
      <c r="Q244">
        <f>IF($P244="","",IF(ISNUMBER(MATCH($P244,Shares!$A$2:$A$1001,0)),"held","NOT HELD - review"))</f>
      </c>
    </row>
    <row r="245" spans="1:17" ht="15" customHeight="1" x14ac:dyDescent="0.15">
      <c r="J245">
        <f>IF(Shares!$A243="","",Shares!$A243)</f>
      </c>
      <c r="K245">
        <f>IF($J245="","",LEFT($J245,FIND(":",$J245)-1))</f>
      </c>
      <c r="L245">
        <f>IF($J245="","",MID($J245,FIND(":",$J245)+1,FIND(":",$J245,FIND(":",$J245)+1)-FIND(":",$J245)-1))</f>
      </c>
      <c r="M245">
        <f>IF($J245="","",RIGHT($J245,LEN($J245)-FIND(":",$J245,FIND(":",$J245)+1)))</f>
      </c>
      <c r="N245">
        <f>IF($J245="","",IF(ISNUMBER(MATCH($J245,Prices[Key],0)),"OK - in Prices","ADD TO PRICES"))</f>
      </c>
      <c r="P245">
        <f>IFERROR(INDEX(Prices[Key],ROWS($P$4:P245)),"")</f>
      </c>
      <c r="Q245">
        <f>IF($P245="","",IF(ISNUMBER(MATCH($P245,Shares!$A$2:$A$1001,0)),"held","NOT HELD - review"))</f>
      </c>
    </row>
    <row r="246" spans="1:17" ht="15" customHeight="1" x14ac:dyDescent="0.15">
      <c r="J246">
        <f>IF(Shares!$A244="","",Shares!$A244)</f>
      </c>
      <c r="K246">
        <f>IF($J246="","",LEFT($J246,FIND(":",$J246)-1))</f>
      </c>
      <c r="L246">
        <f>IF($J246="","",MID($J246,FIND(":",$J246)+1,FIND(":",$J246,FIND(":",$J246)+1)-FIND(":",$J246)-1))</f>
      </c>
      <c r="M246">
        <f>IF($J246="","",RIGHT($J246,LEN($J246)-FIND(":",$J246,FIND(":",$J246)+1)))</f>
      </c>
      <c r="N246">
        <f>IF($J246="","",IF(ISNUMBER(MATCH($J246,Prices[Key],0)),"OK - in Prices","ADD TO PRICES"))</f>
      </c>
      <c r="P246">
        <f>IFERROR(INDEX(Prices[Key],ROWS($P$4:P246)),"")</f>
      </c>
      <c r="Q246">
        <f>IF($P246="","",IF(ISNUMBER(MATCH($P246,Shares!$A$2:$A$1001,0)),"held","NOT HELD - review"))</f>
      </c>
    </row>
    <row r="247" spans="1:17" ht="15" customHeight="1" x14ac:dyDescent="0.15">
      <c r="J247">
        <f>IF(Shares!$A245="","",Shares!$A245)</f>
      </c>
      <c r="K247">
        <f>IF($J247="","",LEFT($J247,FIND(":",$J247)-1))</f>
      </c>
      <c r="L247">
        <f>IF($J247="","",MID($J247,FIND(":",$J247)+1,FIND(":",$J247,FIND(":",$J247)+1)-FIND(":",$J247)-1))</f>
      </c>
      <c r="M247">
        <f>IF($J247="","",RIGHT($J247,LEN($J247)-FIND(":",$J247,FIND(":",$J247)+1)))</f>
      </c>
      <c r="N247">
        <f>IF($J247="","",IF(ISNUMBER(MATCH($J247,Prices[Key],0)),"OK - in Prices","ADD TO PRICES"))</f>
      </c>
      <c r="P247">
        <f>IFERROR(INDEX(Prices[Key],ROWS($P$4:P247)),"")</f>
      </c>
      <c r="Q247">
        <f>IF($P247="","",IF(ISNUMBER(MATCH($P247,Shares!$A$2:$A$1001,0)),"held","NOT HELD - review"))</f>
      </c>
    </row>
    <row r="248" spans="1:17" ht="15" customHeight="1" x14ac:dyDescent="0.15">
      <c r="J248">
        <f>IF(Shares!$A246="","",Shares!$A246)</f>
      </c>
      <c r="K248">
        <f>IF($J248="","",LEFT($J248,FIND(":",$J248)-1))</f>
      </c>
      <c r="L248">
        <f>IF($J248="","",MID($J248,FIND(":",$J248)+1,FIND(":",$J248,FIND(":",$J248)+1)-FIND(":",$J248)-1))</f>
      </c>
      <c r="M248">
        <f>IF($J248="","",RIGHT($J248,LEN($J248)-FIND(":",$J248,FIND(":",$J248)+1)))</f>
      </c>
      <c r="N248">
        <f>IF($J248="","",IF(ISNUMBER(MATCH($J248,Prices[Key],0)),"OK - in Prices","ADD TO PRICES"))</f>
      </c>
      <c r="P248">
        <f>IFERROR(INDEX(Prices[Key],ROWS($P$4:P248)),"")</f>
      </c>
      <c r="Q248">
        <f>IF($P248="","",IF(ISNUMBER(MATCH($P248,Shares!$A$2:$A$1001,0)),"held","NOT HELD - review"))</f>
      </c>
    </row>
    <row r="249" spans="1:17" ht="15" customHeight="1" x14ac:dyDescent="0.15">
      <c r="J249">
        <f>IF(Shares!$A247="","",Shares!$A247)</f>
      </c>
      <c r="K249">
        <f>IF($J249="","",LEFT($J249,FIND(":",$J249)-1))</f>
      </c>
      <c r="L249">
        <f>IF($J249="","",MID($J249,FIND(":",$J249)+1,FIND(":",$J249,FIND(":",$J249)+1)-FIND(":",$J249)-1))</f>
      </c>
      <c r="M249">
        <f>IF($J249="","",RIGHT($J249,LEN($J249)-FIND(":",$J249,FIND(":",$J249)+1)))</f>
      </c>
      <c r="N249">
        <f>IF($J249="","",IF(ISNUMBER(MATCH($J249,Prices[Key],0)),"OK - in Prices","ADD TO PRICES"))</f>
      </c>
      <c r="P249">
        <f>IFERROR(INDEX(Prices[Key],ROWS($P$4:P249)),"")</f>
      </c>
      <c r="Q249">
        <f>IF($P249="","",IF(ISNUMBER(MATCH($P249,Shares!$A$2:$A$1001,0)),"held","NOT HELD - review"))</f>
      </c>
    </row>
    <row r="250" spans="1:17" ht="15" customHeight="1" x14ac:dyDescent="0.15">
      <c r="J250">
        <f>IF(Shares!$A248="","",Shares!$A248)</f>
      </c>
      <c r="K250">
        <f>IF($J250="","",LEFT($J250,FIND(":",$J250)-1))</f>
      </c>
      <c r="L250">
        <f>IF($J250="","",MID($J250,FIND(":",$J250)+1,FIND(":",$J250,FIND(":",$J250)+1)-FIND(":",$J250)-1))</f>
      </c>
      <c r="M250">
        <f>IF($J250="","",RIGHT($J250,LEN($J250)-FIND(":",$J250,FIND(":",$J250)+1)))</f>
      </c>
      <c r="N250">
        <f>IF($J250="","",IF(ISNUMBER(MATCH($J250,Prices[Key],0)),"OK - in Prices","ADD TO PRICES"))</f>
      </c>
      <c r="P250">
        <f>IFERROR(INDEX(Prices[Key],ROWS($P$4:P250)),"")</f>
      </c>
      <c r="Q250">
        <f>IF($P250="","",IF(ISNUMBER(MATCH($P250,Shares!$A$2:$A$1001,0)),"held","NOT HELD - review"))</f>
      </c>
    </row>
    <row r="251" spans="1:17" ht="15" customHeight="1" x14ac:dyDescent="0.15">
      <c r="J251">
        <f>IF(Shares!$A249="","",Shares!$A249)</f>
      </c>
      <c r="K251">
        <f>IF($J251="","",LEFT($J251,FIND(":",$J251)-1))</f>
      </c>
      <c r="L251">
        <f>IF($J251="","",MID($J251,FIND(":",$J251)+1,FIND(":",$J251,FIND(":",$J251)+1)-FIND(":",$J251)-1))</f>
      </c>
      <c r="M251">
        <f>IF($J251="","",RIGHT($J251,LEN($J251)-FIND(":",$J251,FIND(":",$J251)+1)))</f>
      </c>
      <c r="N251">
        <f>IF($J251="","",IF(ISNUMBER(MATCH($J251,Prices[Key],0)),"OK - in Prices","ADD TO PRICES"))</f>
      </c>
      <c r="P251">
        <f>IFERROR(INDEX(Prices[Key],ROWS($P$4:P251)),"")</f>
      </c>
      <c r="Q251">
        <f>IF($P251="","",IF(ISNUMBER(MATCH($P251,Shares!$A$2:$A$1001,0)),"held","NOT HELD - review"))</f>
      </c>
    </row>
    <row r="252" spans="1:17" ht="15" customHeight="1" x14ac:dyDescent="0.15">
      <c r="J252">
        <f>IF(Shares!$A250="","",Shares!$A250)</f>
      </c>
      <c r="K252">
        <f>IF($J252="","",LEFT($J252,FIND(":",$J252)-1))</f>
      </c>
      <c r="L252">
        <f>IF($J252="","",MID($J252,FIND(":",$J252)+1,FIND(":",$J252,FIND(":",$J252)+1)-FIND(":",$J252)-1))</f>
      </c>
      <c r="M252">
        <f>IF($J252="","",RIGHT($J252,LEN($J252)-FIND(":",$J252,FIND(":",$J252)+1)))</f>
      </c>
      <c r="N252">
        <f>IF($J252="","",IF(ISNUMBER(MATCH($J252,Prices[Key],0)),"OK - in Prices","ADD TO PRICES"))</f>
      </c>
      <c r="P252">
        <f>IFERROR(INDEX(Prices[Key],ROWS($P$4:P252)),"")</f>
      </c>
      <c r="Q252">
        <f>IF($P252="","",IF(ISNUMBER(MATCH($P252,Shares!$A$2:$A$1001,0)),"held","NOT HELD - review"))</f>
      </c>
    </row>
    <row r="253" spans="1:17" ht="15" customHeight="1" x14ac:dyDescent="0.15">
      <c r="J253">
        <f>IF(Shares!$A251="","",Shares!$A251)</f>
      </c>
      <c r="K253">
        <f>IF($J253="","",LEFT($J253,FIND(":",$J253)-1))</f>
      </c>
      <c r="L253">
        <f>IF($J253="","",MID($J253,FIND(":",$J253)+1,FIND(":",$J253,FIND(":",$J253)+1)-FIND(":",$J253)-1))</f>
      </c>
      <c r="M253">
        <f>IF($J253="","",RIGHT($J253,LEN($J253)-FIND(":",$J253,FIND(":",$J253)+1)))</f>
      </c>
      <c r="N253">
        <f>IF($J253="","",IF(ISNUMBER(MATCH($J253,Prices[Key],0)),"OK - in Prices","ADD TO PRICES"))</f>
      </c>
      <c r="P253">
        <f>IFERROR(INDEX(Prices[Key],ROWS($P$4:P253)),"")</f>
      </c>
      <c r="Q253">
        <f>IF($P253="","",IF(ISNUMBER(MATCH($P253,Shares!$A$2:$A$1001,0)),"held","NOT HELD - review"))</f>
      </c>
    </row>
    <row r="254" spans="1:17" ht="15" customHeight="1" x14ac:dyDescent="0.15">
      <c r="J254">
        <f>IF(Shares!$A252="","",Shares!$A252)</f>
      </c>
      <c r="K254">
        <f>IF($J254="","",LEFT($J254,FIND(":",$J254)-1))</f>
      </c>
      <c r="L254">
        <f>IF($J254="","",MID($J254,FIND(":",$J254)+1,FIND(":",$J254,FIND(":",$J254)+1)-FIND(":",$J254)-1))</f>
      </c>
      <c r="M254">
        <f>IF($J254="","",RIGHT($J254,LEN($J254)-FIND(":",$J254,FIND(":",$J254)+1)))</f>
      </c>
      <c r="N254">
        <f>IF($J254="","",IF(ISNUMBER(MATCH($J254,Prices[Key],0)),"OK - in Prices","ADD TO PRICES"))</f>
      </c>
      <c r="P254">
        <f>IFERROR(INDEX(Prices[Key],ROWS($P$4:P254)),"")</f>
      </c>
      <c r="Q254">
        <f>IF($P254="","",IF(ISNUMBER(MATCH($P254,Shares!$A$2:$A$1001,0)),"held","NOT HELD - review"))</f>
      </c>
    </row>
    <row r="255" spans="1:17" ht="15" customHeight="1" x14ac:dyDescent="0.15">
      <c r="J255">
        <f>IF(Shares!$A253="","",Shares!$A253)</f>
      </c>
      <c r="K255">
        <f>IF($J255="","",LEFT($J255,FIND(":",$J255)-1))</f>
      </c>
      <c r="L255">
        <f>IF($J255="","",MID($J255,FIND(":",$J255)+1,FIND(":",$J255,FIND(":",$J255)+1)-FIND(":",$J255)-1))</f>
      </c>
      <c r="M255">
        <f>IF($J255="","",RIGHT($J255,LEN($J255)-FIND(":",$J255,FIND(":",$J255)+1)))</f>
      </c>
      <c r="N255">
        <f>IF($J255="","",IF(ISNUMBER(MATCH($J255,Prices[Key],0)),"OK - in Prices","ADD TO PRICES"))</f>
      </c>
      <c r="P255">
        <f>IFERROR(INDEX(Prices[Key],ROWS($P$4:P255)),"")</f>
      </c>
      <c r="Q255">
        <f>IF($P255="","",IF(ISNUMBER(MATCH($P255,Shares!$A$2:$A$1001,0)),"held","NOT HELD - review"))</f>
      </c>
    </row>
    <row r="256" spans="1:17" ht="15" customHeight="1" x14ac:dyDescent="0.15">
      <c r="J256">
        <f>IF(Shares!$A254="","",Shares!$A254)</f>
      </c>
      <c r="K256">
        <f>IF($J256="","",LEFT($J256,FIND(":",$J256)-1))</f>
      </c>
      <c r="L256">
        <f>IF($J256="","",MID($J256,FIND(":",$J256)+1,FIND(":",$J256,FIND(":",$J256)+1)-FIND(":",$J256)-1))</f>
      </c>
      <c r="M256">
        <f>IF($J256="","",RIGHT($J256,LEN($J256)-FIND(":",$J256,FIND(":",$J256)+1)))</f>
      </c>
      <c r="N256">
        <f>IF($J256="","",IF(ISNUMBER(MATCH($J256,Prices[Key],0)),"OK - in Prices","ADD TO PRICES"))</f>
      </c>
      <c r="P256">
        <f>IFERROR(INDEX(Prices[Key],ROWS($P$4:P256)),"")</f>
      </c>
      <c r="Q256">
        <f>IF($P256="","",IF(ISNUMBER(MATCH($P256,Shares!$A$2:$A$1001,0)),"held","NOT HELD - review"))</f>
      </c>
    </row>
    <row r="257" spans="1:17" ht="15" customHeight="1" x14ac:dyDescent="0.15">
      <c r="J257">
        <f>IF(Shares!$A255="","",Shares!$A255)</f>
      </c>
      <c r="K257">
        <f>IF($J257="","",LEFT($J257,FIND(":",$J257)-1))</f>
      </c>
      <c r="L257">
        <f>IF($J257="","",MID($J257,FIND(":",$J257)+1,FIND(":",$J257,FIND(":",$J257)+1)-FIND(":",$J257)-1))</f>
      </c>
      <c r="M257">
        <f>IF($J257="","",RIGHT($J257,LEN($J257)-FIND(":",$J257,FIND(":",$J257)+1)))</f>
      </c>
      <c r="N257">
        <f>IF($J257="","",IF(ISNUMBER(MATCH($J257,Prices[Key],0)),"OK - in Prices","ADD TO PRICES"))</f>
      </c>
      <c r="P257">
        <f>IFERROR(INDEX(Prices[Key],ROWS($P$4:P257)),"")</f>
      </c>
      <c r="Q257">
        <f>IF($P257="","",IF(ISNUMBER(MATCH($P257,Shares!$A$2:$A$1001,0)),"held","NOT HELD - review"))</f>
      </c>
    </row>
    <row r="258" spans="1:17" ht="15" customHeight="1" x14ac:dyDescent="0.15">
      <c r="J258">
        <f>IF(Shares!$A256="","",Shares!$A256)</f>
      </c>
      <c r="K258">
        <f>IF($J258="","",LEFT($J258,FIND(":",$J258)-1))</f>
      </c>
      <c r="L258">
        <f>IF($J258="","",MID($J258,FIND(":",$J258)+1,FIND(":",$J258,FIND(":",$J258)+1)-FIND(":",$J258)-1))</f>
      </c>
      <c r="M258">
        <f>IF($J258="","",RIGHT($J258,LEN($J258)-FIND(":",$J258,FIND(":",$J258)+1)))</f>
      </c>
      <c r="N258">
        <f>IF($J258="","",IF(ISNUMBER(MATCH($J258,Prices[Key],0)),"OK - in Prices","ADD TO PRICES"))</f>
      </c>
      <c r="P258">
        <f>IFERROR(INDEX(Prices[Key],ROWS($P$4:P258)),"")</f>
      </c>
      <c r="Q258">
        <f>IF($P258="","",IF(ISNUMBER(MATCH($P258,Shares!$A$2:$A$1001,0)),"held","NOT HELD - review"))</f>
      </c>
    </row>
    <row r="259" spans="1:17" ht="15" customHeight="1" x14ac:dyDescent="0.15">
      <c r="J259">
        <f>IF(Shares!$A257="","",Shares!$A257)</f>
      </c>
      <c r="K259">
        <f>IF($J259="","",LEFT($J259,FIND(":",$J259)-1))</f>
      </c>
      <c r="L259">
        <f>IF($J259="","",MID($J259,FIND(":",$J259)+1,FIND(":",$J259,FIND(":",$J259)+1)-FIND(":",$J259)-1))</f>
      </c>
      <c r="M259">
        <f>IF($J259="","",RIGHT($J259,LEN($J259)-FIND(":",$J259,FIND(":",$J259)+1)))</f>
      </c>
      <c r="N259">
        <f>IF($J259="","",IF(ISNUMBER(MATCH($J259,Prices[Key],0)),"OK - in Prices","ADD TO PRICES"))</f>
      </c>
      <c r="P259">
        <f>IFERROR(INDEX(Prices[Key],ROWS($P$4:P259)),"")</f>
      </c>
      <c r="Q259">
        <f>IF($P259="","",IF(ISNUMBER(MATCH($P259,Shares!$A$2:$A$1001,0)),"held","NOT HELD - review"))</f>
      </c>
    </row>
    <row r="260" spans="1:17" ht="15" customHeight="1" x14ac:dyDescent="0.15">
      <c r="J260">
        <f>IF(Shares!$A258="","",Shares!$A258)</f>
      </c>
      <c r="K260">
        <f>IF($J260="","",LEFT($J260,FIND(":",$J260)-1))</f>
      </c>
      <c r="L260">
        <f>IF($J260="","",MID($J260,FIND(":",$J260)+1,FIND(":",$J260,FIND(":",$J260)+1)-FIND(":",$J260)-1))</f>
      </c>
      <c r="M260">
        <f>IF($J260="","",RIGHT($J260,LEN($J260)-FIND(":",$J260,FIND(":",$J260)+1)))</f>
      </c>
      <c r="N260">
        <f>IF($J260="","",IF(ISNUMBER(MATCH($J260,Prices[Key],0)),"OK - in Prices","ADD TO PRICES"))</f>
      </c>
      <c r="P260">
        <f>IFERROR(INDEX(Prices[Key],ROWS($P$4:P260)),"")</f>
      </c>
      <c r="Q260">
        <f>IF($P260="","",IF(ISNUMBER(MATCH($P260,Shares!$A$2:$A$1001,0)),"held","NOT HELD - review"))</f>
      </c>
    </row>
    <row r="261" spans="1:17" ht="15" customHeight="1" x14ac:dyDescent="0.15">
      <c r="J261">
        <f>IF(Shares!$A259="","",Shares!$A259)</f>
      </c>
      <c r="K261">
        <f>IF($J261="","",LEFT($J261,FIND(":",$J261)-1))</f>
      </c>
      <c r="L261">
        <f>IF($J261="","",MID($J261,FIND(":",$J261)+1,FIND(":",$J261,FIND(":",$J261)+1)-FIND(":",$J261)-1))</f>
      </c>
      <c r="M261">
        <f>IF($J261="","",RIGHT($J261,LEN($J261)-FIND(":",$J261,FIND(":",$J261)+1)))</f>
      </c>
      <c r="N261">
        <f>IF($J261="","",IF(ISNUMBER(MATCH($J261,Prices[Key],0)),"OK - in Prices","ADD TO PRICES"))</f>
      </c>
      <c r="P261">
        <f>IFERROR(INDEX(Prices[Key],ROWS($P$4:P261)),"")</f>
      </c>
      <c r="Q261">
        <f>IF($P261="","",IF(ISNUMBER(MATCH($P261,Shares!$A$2:$A$1001,0)),"held","NOT HELD - review"))</f>
      </c>
    </row>
    <row r="262" spans="1:17" ht="15" customHeight="1" x14ac:dyDescent="0.15">
      <c r="J262">
        <f>IF(Shares!$A260="","",Shares!$A260)</f>
      </c>
      <c r="K262">
        <f>IF($J262="","",LEFT($J262,FIND(":",$J262)-1))</f>
      </c>
      <c r="L262">
        <f>IF($J262="","",MID($J262,FIND(":",$J262)+1,FIND(":",$J262,FIND(":",$J262)+1)-FIND(":",$J262)-1))</f>
      </c>
      <c r="M262">
        <f>IF($J262="","",RIGHT($J262,LEN($J262)-FIND(":",$J262,FIND(":",$J262)+1)))</f>
      </c>
      <c r="N262">
        <f>IF($J262="","",IF(ISNUMBER(MATCH($J262,Prices[Key],0)),"OK - in Prices","ADD TO PRICES"))</f>
      </c>
      <c r="P262">
        <f>IFERROR(INDEX(Prices[Key],ROWS($P$4:P262)),"")</f>
      </c>
      <c r="Q262">
        <f>IF($P262="","",IF(ISNUMBER(MATCH($P262,Shares!$A$2:$A$1001,0)),"held","NOT HELD - review"))</f>
      </c>
    </row>
    <row r="263" spans="1:17" ht="15" customHeight="1" x14ac:dyDescent="0.15">
      <c r="J263">
        <f>IF(Shares!$A261="","",Shares!$A261)</f>
      </c>
      <c r="K263">
        <f>IF($J263="","",LEFT($J263,FIND(":",$J263)-1))</f>
      </c>
      <c r="L263">
        <f>IF($J263="","",MID($J263,FIND(":",$J263)+1,FIND(":",$J263,FIND(":",$J263)+1)-FIND(":",$J263)-1))</f>
      </c>
      <c r="M263">
        <f>IF($J263="","",RIGHT($J263,LEN($J263)-FIND(":",$J263,FIND(":",$J263)+1)))</f>
      </c>
      <c r="N263">
        <f>IF($J263="","",IF(ISNUMBER(MATCH($J263,Prices[Key],0)),"OK - in Prices","ADD TO PRICES"))</f>
      </c>
      <c r="P263">
        <f>IFERROR(INDEX(Prices[Key],ROWS($P$4:P263)),"")</f>
      </c>
      <c r="Q263">
        <f>IF($P263="","",IF(ISNUMBER(MATCH($P263,Shares!$A$2:$A$1001,0)),"held","NOT HELD - review"))</f>
      </c>
    </row>
    <row r="264" spans="1:17" ht="15" customHeight="1" x14ac:dyDescent="0.15">
      <c r="J264">
        <f>IF(Shares!$A262="","",Shares!$A262)</f>
      </c>
      <c r="K264">
        <f>IF($J264="","",LEFT($J264,FIND(":",$J264)-1))</f>
      </c>
      <c r="L264">
        <f>IF($J264="","",MID($J264,FIND(":",$J264)+1,FIND(":",$J264,FIND(":",$J264)+1)-FIND(":",$J264)-1))</f>
      </c>
      <c r="M264">
        <f>IF($J264="","",RIGHT($J264,LEN($J264)-FIND(":",$J264,FIND(":",$J264)+1)))</f>
      </c>
      <c r="N264">
        <f>IF($J264="","",IF(ISNUMBER(MATCH($J264,Prices[Key],0)),"OK - in Prices","ADD TO PRICES"))</f>
      </c>
      <c r="P264">
        <f>IFERROR(INDEX(Prices[Key],ROWS($P$4:P264)),"")</f>
      </c>
      <c r="Q264">
        <f>IF($P264="","",IF(ISNUMBER(MATCH($P264,Shares!$A$2:$A$1001,0)),"held","NOT HELD - review"))</f>
      </c>
    </row>
    <row r="265" spans="1:17" ht="15" customHeight="1" x14ac:dyDescent="0.15">
      <c r="J265">
        <f>IF(Shares!$A263="","",Shares!$A263)</f>
      </c>
      <c r="K265">
        <f>IF($J265="","",LEFT($J265,FIND(":",$J265)-1))</f>
      </c>
      <c r="L265">
        <f>IF($J265="","",MID($J265,FIND(":",$J265)+1,FIND(":",$J265,FIND(":",$J265)+1)-FIND(":",$J265)-1))</f>
      </c>
      <c r="M265">
        <f>IF($J265="","",RIGHT($J265,LEN($J265)-FIND(":",$J265,FIND(":",$J265)+1)))</f>
      </c>
      <c r="N265">
        <f>IF($J265="","",IF(ISNUMBER(MATCH($J265,Prices[Key],0)),"OK - in Prices","ADD TO PRICES"))</f>
      </c>
      <c r="P265">
        <f>IFERROR(INDEX(Prices[Key],ROWS($P$4:P265)),"")</f>
      </c>
      <c r="Q265">
        <f>IF($P265="","",IF(ISNUMBER(MATCH($P265,Shares!$A$2:$A$1001,0)),"held","NOT HELD - review"))</f>
      </c>
    </row>
    <row r="266" spans="1:17" ht="15" customHeight="1" x14ac:dyDescent="0.15">
      <c r="J266">
        <f>IF(Shares!$A264="","",Shares!$A264)</f>
      </c>
      <c r="K266">
        <f>IF($J266="","",LEFT($J266,FIND(":",$J266)-1))</f>
      </c>
      <c r="L266">
        <f>IF($J266="","",MID($J266,FIND(":",$J266)+1,FIND(":",$J266,FIND(":",$J266)+1)-FIND(":",$J266)-1))</f>
      </c>
      <c r="M266">
        <f>IF($J266="","",RIGHT($J266,LEN($J266)-FIND(":",$J266,FIND(":",$J266)+1)))</f>
      </c>
      <c r="N266">
        <f>IF($J266="","",IF(ISNUMBER(MATCH($J266,Prices[Key],0)),"OK - in Prices","ADD TO PRICES"))</f>
      </c>
      <c r="P266">
        <f>IFERROR(INDEX(Prices[Key],ROWS($P$4:P266)),"")</f>
      </c>
      <c r="Q266">
        <f>IF($P266="","",IF(ISNUMBER(MATCH($P266,Shares!$A$2:$A$1001,0)),"held","NOT HELD - review"))</f>
      </c>
    </row>
    <row r="267" spans="1:17" ht="15" customHeight="1" x14ac:dyDescent="0.15">
      <c r="J267">
        <f>IF(Shares!$A265="","",Shares!$A265)</f>
      </c>
      <c r="K267">
        <f>IF($J267="","",LEFT($J267,FIND(":",$J267)-1))</f>
      </c>
      <c r="L267">
        <f>IF($J267="","",MID($J267,FIND(":",$J267)+1,FIND(":",$J267,FIND(":",$J267)+1)-FIND(":",$J267)-1))</f>
      </c>
      <c r="M267">
        <f>IF($J267="","",RIGHT($J267,LEN($J267)-FIND(":",$J267,FIND(":",$J267)+1)))</f>
      </c>
      <c r="N267">
        <f>IF($J267="","",IF(ISNUMBER(MATCH($J267,Prices[Key],0)),"OK - in Prices","ADD TO PRICES"))</f>
      </c>
      <c r="P267">
        <f>IFERROR(INDEX(Prices[Key],ROWS($P$4:P267)),"")</f>
      </c>
      <c r="Q267">
        <f>IF($P267="","",IF(ISNUMBER(MATCH($P267,Shares!$A$2:$A$1001,0)),"held","NOT HELD - review"))</f>
      </c>
    </row>
    <row r="268" spans="1:17" ht="15" customHeight="1" x14ac:dyDescent="0.15">
      <c r="J268">
        <f>IF(Shares!$A266="","",Shares!$A266)</f>
      </c>
      <c r="K268">
        <f>IF($J268="","",LEFT($J268,FIND(":",$J268)-1))</f>
      </c>
      <c r="L268">
        <f>IF($J268="","",MID($J268,FIND(":",$J268)+1,FIND(":",$J268,FIND(":",$J268)+1)-FIND(":",$J268)-1))</f>
      </c>
      <c r="M268">
        <f>IF($J268="","",RIGHT($J268,LEN($J268)-FIND(":",$J268,FIND(":",$J268)+1)))</f>
      </c>
      <c r="N268">
        <f>IF($J268="","",IF(ISNUMBER(MATCH($J268,Prices[Key],0)),"OK - in Prices","ADD TO PRICES"))</f>
      </c>
      <c r="P268">
        <f>IFERROR(INDEX(Prices[Key],ROWS($P$4:P268)),"")</f>
      </c>
      <c r="Q268">
        <f>IF($P268="","",IF(ISNUMBER(MATCH($P268,Shares!$A$2:$A$1001,0)),"held","NOT HELD - review"))</f>
      </c>
    </row>
    <row r="269" spans="1:17" ht="15" customHeight="1" x14ac:dyDescent="0.15">
      <c r="J269">
        <f>IF(Shares!$A267="","",Shares!$A267)</f>
      </c>
      <c r="K269">
        <f>IF($J269="","",LEFT($J269,FIND(":",$J269)-1))</f>
      </c>
      <c r="L269">
        <f>IF($J269="","",MID($J269,FIND(":",$J269)+1,FIND(":",$J269,FIND(":",$J269)+1)-FIND(":",$J269)-1))</f>
      </c>
      <c r="M269">
        <f>IF($J269="","",RIGHT($J269,LEN($J269)-FIND(":",$J269,FIND(":",$J269)+1)))</f>
      </c>
      <c r="N269">
        <f>IF($J269="","",IF(ISNUMBER(MATCH($J269,Prices[Key],0)),"OK - in Prices","ADD TO PRICES"))</f>
      </c>
      <c r="P269">
        <f>IFERROR(INDEX(Prices[Key],ROWS($P$4:P269)),"")</f>
      </c>
      <c r="Q269">
        <f>IF($P269="","",IF(ISNUMBER(MATCH($P269,Shares!$A$2:$A$1001,0)),"held","NOT HELD - review"))</f>
      </c>
    </row>
    <row r="270" spans="1:17" ht="15" customHeight="1" x14ac:dyDescent="0.15">
      <c r="J270">
        <f>IF(Shares!$A268="","",Shares!$A268)</f>
      </c>
      <c r="K270">
        <f>IF($J270="","",LEFT($J270,FIND(":",$J270)-1))</f>
      </c>
      <c r="L270">
        <f>IF($J270="","",MID($J270,FIND(":",$J270)+1,FIND(":",$J270,FIND(":",$J270)+1)-FIND(":",$J270)-1))</f>
      </c>
      <c r="M270">
        <f>IF($J270="","",RIGHT($J270,LEN($J270)-FIND(":",$J270,FIND(":",$J270)+1)))</f>
      </c>
      <c r="N270">
        <f>IF($J270="","",IF(ISNUMBER(MATCH($J270,Prices[Key],0)),"OK - in Prices","ADD TO PRICES"))</f>
      </c>
      <c r="P270">
        <f>IFERROR(INDEX(Prices[Key],ROWS($P$4:P270)),"")</f>
      </c>
      <c r="Q270">
        <f>IF($P270="","",IF(ISNUMBER(MATCH($P270,Shares!$A$2:$A$1001,0)),"held","NOT HELD - review"))</f>
      </c>
    </row>
    <row r="271" spans="1:17" ht="15" customHeight="1" x14ac:dyDescent="0.15">
      <c r="J271">
        <f>IF(Shares!$A269="","",Shares!$A269)</f>
      </c>
      <c r="K271">
        <f>IF($J271="","",LEFT($J271,FIND(":",$J271)-1))</f>
      </c>
      <c r="L271">
        <f>IF($J271="","",MID($J271,FIND(":",$J271)+1,FIND(":",$J271,FIND(":",$J271)+1)-FIND(":",$J271)-1))</f>
      </c>
      <c r="M271">
        <f>IF($J271="","",RIGHT($J271,LEN($J271)-FIND(":",$J271,FIND(":",$J271)+1)))</f>
      </c>
      <c r="N271">
        <f>IF($J271="","",IF(ISNUMBER(MATCH($J271,Prices[Key],0)),"OK - in Prices","ADD TO PRICES"))</f>
      </c>
      <c r="P271">
        <f>IFERROR(INDEX(Prices[Key],ROWS($P$4:P271)),"")</f>
      </c>
      <c r="Q271">
        <f>IF($P271="","",IF(ISNUMBER(MATCH($P271,Shares!$A$2:$A$1001,0)),"held","NOT HELD - review"))</f>
      </c>
    </row>
    <row r="272" spans="1:17" ht="15" customHeight="1" x14ac:dyDescent="0.15">
      <c r="J272">
        <f>IF(Shares!$A270="","",Shares!$A270)</f>
      </c>
      <c r="K272">
        <f>IF($J272="","",LEFT($J272,FIND(":",$J272)-1))</f>
      </c>
      <c r="L272">
        <f>IF($J272="","",MID($J272,FIND(":",$J272)+1,FIND(":",$J272,FIND(":",$J272)+1)-FIND(":",$J272)-1))</f>
      </c>
      <c r="M272">
        <f>IF($J272="","",RIGHT($J272,LEN($J272)-FIND(":",$J272,FIND(":",$J272)+1)))</f>
      </c>
      <c r="N272">
        <f>IF($J272="","",IF(ISNUMBER(MATCH($J272,Prices[Key],0)),"OK - in Prices","ADD TO PRICES"))</f>
      </c>
      <c r="P272">
        <f>IFERROR(INDEX(Prices[Key],ROWS($P$4:P272)),"")</f>
      </c>
      <c r="Q272">
        <f>IF($P272="","",IF(ISNUMBER(MATCH($P272,Shares!$A$2:$A$1001,0)),"held","NOT HELD - review"))</f>
      </c>
    </row>
    <row r="273" spans="1:17" ht="15" customHeight="1" x14ac:dyDescent="0.15">
      <c r="J273">
        <f>IF(Shares!$A271="","",Shares!$A271)</f>
      </c>
      <c r="K273">
        <f>IF($J273="","",LEFT($J273,FIND(":",$J273)-1))</f>
      </c>
      <c r="L273">
        <f>IF($J273="","",MID($J273,FIND(":",$J273)+1,FIND(":",$J273,FIND(":",$J273)+1)-FIND(":",$J273)-1))</f>
      </c>
      <c r="M273">
        <f>IF($J273="","",RIGHT($J273,LEN($J273)-FIND(":",$J273,FIND(":",$J273)+1)))</f>
      </c>
      <c r="N273">
        <f>IF($J273="","",IF(ISNUMBER(MATCH($J273,Prices[Key],0)),"OK - in Prices","ADD TO PRICES"))</f>
      </c>
      <c r="P273">
        <f>IFERROR(INDEX(Prices[Key],ROWS($P$4:P273)),"")</f>
      </c>
      <c r="Q273">
        <f>IF($P273="","",IF(ISNUMBER(MATCH($P273,Shares!$A$2:$A$1001,0)),"held","NOT HELD - review"))</f>
      </c>
    </row>
    <row r="274" spans="1:17" ht="15" customHeight="1" x14ac:dyDescent="0.15">
      <c r="J274">
        <f>IF(Shares!$A272="","",Shares!$A272)</f>
      </c>
      <c r="K274">
        <f>IF($J274="","",LEFT($J274,FIND(":",$J274)-1))</f>
      </c>
      <c r="L274">
        <f>IF($J274="","",MID($J274,FIND(":",$J274)+1,FIND(":",$J274,FIND(":",$J274)+1)-FIND(":",$J274)-1))</f>
      </c>
      <c r="M274">
        <f>IF($J274="","",RIGHT($J274,LEN($J274)-FIND(":",$J274,FIND(":",$J274)+1)))</f>
      </c>
      <c r="N274">
        <f>IF($J274="","",IF(ISNUMBER(MATCH($J274,Prices[Key],0)),"OK - in Prices","ADD TO PRICES"))</f>
      </c>
      <c r="P274">
        <f>IFERROR(INDEX(Prices[Key],ROWS($P$4:P274)),"")</f>
      </c>
      <c r="Q274">
        <f>IF($P274="","",IF(ISNUMBER(MATCH($P274,Shares!$A$2:$A$1001,0)),"held","NOT HELD - review"))</f>
      </c>
    </row>
    <row r="275" spans="1:17" ht="15" customHeight="1" x14ac:dyDescent="0.15">
      <c r="J275">
        <f>IF(Shares!$A273="","",Shares!$A273)</f>
      </c>
      <c r="K275">
        <f>IF($J275="","",LEFT($J275,FIND(":",$J275)-1))</f>
      </c>
      <c r="L275">
        <f>IF($J275="","",MID($J275,FIND(":",$J275)+1,FIND(":",$J275,FIND(":",$J275)+1)-FIND(":",$J275)-1))</f>
      </c>
      <c r="M275">
        <f>IF($J275="","",RIGHT($J275,LEN($J275)-FIND(":",$J275,FIND(":",$J275)+1)))</f>
      </c>
      <c r="N275">
        <f>IF($J275="","",IF(ISNUMBER(MATCH($J275,Prices[Key],0)),"OK - in Prices","ADD TO PRICES"))</f>
      </c>
      <c r="P275">
        <f>IFERROR(INDEX(Prices[Key],ROWS($P$4:P275)),"")</f>
      </c>
      <c r="Q275">
        <f>IF($P275="","",IF(ISNUMBER(MATCH($P275,Shares!$A$2:$A$1001,0)),"held","NOT HELD - review"))</f>
      </c>
    </row>
    <row r="276" spans="1:17" ht="15" customHeight="1" x14ac:dyDescent="0.15">
      <c r="J276">
        <f>IF(Shares!$A274="","",Shares!$A274)</f>
      </c>
      <c r="K276">
        <f>IF($J276="","",LEFT($J276,FIND(":",$J276)-1))</f>
      </c>
      <c r="L276">
        <f>IF($J276="","",MID($J276,FIND(":",$J276)+1,FIND(":",$J276,FIND(":",$J276)+1)-FIND(":",$J276)-1))</f>
      </c>
      <c r="M276">
        <f>IF($J276="","",RIGHT($J276,LEN($J276)-FIND(":",$J276,FIND(":",$J276)+1)))</f>
      </c>
      <c r="N276">
        <f>IF($J276="","",IF(ISNUMBER(MATCH($J276,Prices[Key],0)),"OK - in Prices","ADD TO PRICES"))</f>
      </c>
      <c r="P276">
        <f>IFERROR(INDEX(Prices[Key],ROWS($P$4:P276)),"")</f>
      </c>
      <c r="Q276">
        <f>IF($P276="","",IF(ISNUMBER(MATCH($P276,Shares!$A$2:$A$1001,0)),"held","NOT HELD - review"))</f>
      </c>
    </row>
    <row r="277" spans="1:17" ht="15" customHeight="1" x14ac:dyDescent="0.15">
      <c r="J277">
        <f>IF(Shares!$A275="","",Shares!$A275)</f>
      </c>
      <c r="K277">
        <f>IF($J277="","",LEFT($J277,FIND(":",$J277)-1))</f>
      </c>
      <c r="L277">
        <f>IF($J277="","",MID($J277,FIND(":",$J277)+1,FIND(":",$J277,FIND(":",$J277)+1)-FIND(":",$J277)-1))</f>
      </c>
      <c r="M277">
        <f>IF($J277="","",RIGHT($J277,LEN($J277)-FIND(":",$J277,FIND(":",$J277)+1)))</f>
      </c>
      <c r="N277">
        <f>IF($J277="","",IF(ISNUMBER(MATCH($J277,Prices[Key],0)),"OK - in Prices","ADD TO PRICES"))</f>
      </c>
      <c r="P277">
        <f>IFERROR(INDEX(Prices[Key],ROWS($P$4:P277)),"")</f>
      </c>
      <c r="Q277">
        <f>IF($P277="","",IF(ISNUMBER(MATCH($P277,Shares!$A$2:$A$1001,0)),"held","NOT HELD - review"))</f>
      </c>
    </row>
    <row r="278" spans="1:17" ht="15" customHeight="1" x14ac:dyDescent="0.15">
      <c r="J278">
        <f>IF(Shares!$A276="","",Shares!$A276)</f>
      </c>
      <c r="K278">
        <f>IF($J278="","",LEFT($J278,FIND(":",$J278)-1))</f>
      </c>
      <c r="L278">
        <f>IF($J278="","",MID($J278,FIND(":",$J278)+1,FIND(":",$J278,FIND(":",$J278)+1)-FIND(":",$J278)-1))</f>
      </c>
      <c r="M278">
        <f>IF($J278="","",RIGHT($J278,LEN($J278)-FIND(":",$J278,FIND(":",$J278)+1)))</f>
      </c>
      <c r="N278">
        <f>IF($J278="","",IF(ISNUMBER(MATCH($J278,Prices[Key],0)),"OK - in Prices","ADD TO PRICES"))</f>
      </c>
      <c r="P278">
        <f>IFERROR(INDEX(Prices[Key],ROWS($P$4:P278)),"")</f>
      </c>
      <c r="Q278">
        <f>IF($P278="","",IF(ISNUMBER(MATCH($P278,Shares!$A$2:$A$1001,0)),"held","NOT HELD - review"))</f>
      </c>
    </row>
    <row r="279" spans="1:17" ht="15" customHeight="1" x14ac:dyDescent="0.15">
      <c r="J279">
        <f>IF(Shares!$A277="","",Shares!$A277)</f>
      </c>
      <c r="K279">
        <f>IF($J279="","",LEFT($J279,FIND(":",$J279)-1))</f>
      </c>
      <c r="L279">
        <f>IF($J279="","",MID($J279,FIND(":",$J279)+1,FIND(":",$J279,FIND(":",$J279)+1)-FIND(":",$J279)-1))</f>
      </c>
      <c r="M279">
        <f>IF($J279="","",RIGHT($J279,LEN($J279)-FIND(":",$J279,FIND(":",$J279)+1)))</f>
      </c>
      <c r="N279">
        <f>IF($J279="","",IF(ISNUMBER(MATCH($J279,Prices[Key],0)),"OK - in Prices","ADD TO PRICES"))</f>
      </c>
      <c r="P279">
        <f>IFERROR(INDEX(Prices[Key],ROWS($P$4:P279)),"")</f>
      </c>
      <c r="Q279">
        <f>IF($P279="","",IF(ISNUMBER(MATCH($P279,Shares!$A$2:$A$1001,0)),"held","NOT HELD - review"))</f>
      </c>
    </row>
    <row r="280" spans="1:17" ht="15" customHeight="1" x14ac:dyDescent="0.15">
      <c r="J280">
        <f>IF(Shares!$A278="","",Shares!$A278)</f>
      </c>
      <c r="K280">
        <f>IF($J280="","",LEFT($J280,FIND(":",$J280)-1))</f>
      </c>
      <c r="L280">
        <f>IF($J280="","",MID($J280,FIND(":",$J280)+1,FIND(":",$J280,FIND(":",$J280)+1)-FIND(":",$J280)-1))</f>
      </c>
      <c r="M280">
        <f>IF($J280="","",RIGHT($J280,LEN($J280)-FIND(":",$J280,FIND(":",$J280)+1)))</f>
      </c>
      <c r="N280">
        <f>IF($J280="","",IF(ISNUMBER(MATCH($J280,Prices[Key],0)),"OK - in Prices","ADD TO PRICES"))</f>
      </c>
      <c r="P280">
        <f>IFERROR(INDEX(Prices[Key],ROWS($P$4:P280)),"")</f>
      </c>
      <c r="Q280">
        <f>IF($P280="","",IF(ISNUMBER(MATCH($P280,Shares!$A$2:$A$1001,0)),"held","NOT HELD - review"))</f>
      </c>
    </row>
    <row r="281" spans="1:17" ht="15" customHeight="1" x14ac:dyDescent="0.15">
      <c r="J281">
        <f>IF(Shares!$A279="","",Shares!$A279)</f>
      </c>
      <c r="K281">
        <f>IF($J281="","",LEFT($J281,FIND(":",$J281)-1))</f>
      </c>
      <c r="L281">
        <f>IF($J281="","",MID($J281,FIND(":",$J281)+1,FIND(":",$J281,FIND(":",$J281)+1)-FIND(":",$J281)-1))</f>
      </c>
      <c r="M281">
        <f>IF($J281="","",RIGHT($J281,LEN($J281)-FIND(":",$J281,FIND(":",$J281)+1)))</f>
      </c>
      <c r="N281">
        <f>IF($J281="","",IF(ISNUMBER(MATCH($J281,Prices[Key],0)),"OK - in Prices","ADD TO PRICES"))</f>
      </c>
      <c r="P281">
        <f>IFERROR(INDEX(Prices[Key],ROWS($P$4:P281)),"")</f>
      </c>
      <c r="Q281">
        <f>IF($P281="","",IF(ISNUMBER(MATCH($P281,Shares!$A$2:$A$1001,0)),"held","NOT HELD - review"))</f>
      </c>
    </row>
    <row r="282" spans="1:17" ht="15" customHeight="1" x14ac:dyDescent="0.15">
      <c r="J282">
        <f>IF(Shares!$A280="","",Shares!$A280)</f>
      </c>
      <c r="K282">
        <f>IF($J282="","",LEFT($J282,FIND(":",$J282)-1))</f>
      </c>
      <c r="L282">
        <f>IF($J282="","",MID($J282,FIND(":",$J282)+1,FIND(":",$J282,FIND(":",$J282)+1)-FIND(":",$J282)-1))</f>
      </c>
      <c r="M282">
        <f>IF($J282="","",RIGHT($J282,LEN($J282)-FIND(":",$J282,FIND(":",$J282)+1)))</f>
      </c>
      <c r="N282">
        <f>IF($J282="","",IF(ISNUMBER(MATCH($J282,Prices[Key],0)),"OK - in Prices","ADD TO PRICES"))</f>
      </c>
      <c r="P282">
        <f>IFERROR(INDEX(Prices[Key],ROWS($P$4:P282)),"")</f>
      </c>
      <c r="Q282">
        <f>IF($P282="","",IF(ISNUMBER(MATCH($P282,Shares!$A$2:$A$1001,0)),"held","NOT HELD - review"))</f>
      </c>
    </row>
    <row r="283" spans="1:17" ht="15" customHeight="1" x14ac:dyDescent="0.15">
      <c r="J283">
        <f>IF(Shares!$A281="","",Shares!$A281)</f>
      </c>
      <c r="K283">
        <f>IF($J283="","",LEFT($J283,FIND(":",$J283)-1))</f>
      </c>
      <c r="L283">
        <f>IF($J283="","",MID($J283,FIND(":",$J283)+1,FIND(":",$J283,FIND(":",$J283)+1)-FIND(":",$J283)-1))</f>
      </c>
      <c r="M283">
        <f>IF($J283="","",RIGHT($J283,LEN($J283)-FIND(":",$J283,FIND(":",$J283)+1)))</f>
      </c>
      <c r="N283">
        <f>IF($J283="","",IF(ISNUMBER(MATCH($J283,Prices[Key],0)),"OK - in Prices","ADD TO PRICES"))</f>
      </c>
      <c r="P283">
        <f>IFERROR(INDEX(Prices[Key],ROWS($P$4:P283)),"")</f>
      </c>
      <c r="Q283">
        <f>IF($P283="","",IF(ISNUMBER(MATCH($P283,Shares!$A$2:$A$1001,0)),"held","NOT HELD - review"))</f>
      </c>
    </row>
    <row r="284" spans="1:17" ht="15" customHeight="1" x14ac:dyDescent="0.15">
      <c r="J284">
        <f>IF(Shares!$A282="","",Shares!$A282)</f>
      </c>
      <c r="K284">
        <f>IF($J284="","",LEFT($J284,FIND(":",$J284)-1))</f>
      </c>
      <c r="L284">
        <f>IF($J284="","",MID($J284,FIND(":",$J284)+1,FIND(":",$J284,FIND(":",$J284)+1)-FIND(":",$J284)-1))</f>
      </c>
      <c r="M284">
        <f>IF($J284="","",RIGHT($J284,LEN($J284)-FIND(":",$J284,FIND(":",$J284)+1)))</f>
      </c>
      <c r="N284">
        <f>IF($J284="","",IF(ISNUMBER(MATCH($J284,Prices[Key],0)),"OK - in Prices","ADD TO PRICES"))</f>
      </c>
      <c r="P284">
        <f>IFERROR(INDEX(Prices[Key],ROWS($P$4:P284)),"")</f>
      </c>
      <c r="Q284">
        <f>IF($P284="","",IF(ISNUMBER(MATCH($P284,Shares!$A$2:$A$1001,0)),"held","NOT HELD - review"))</f>
      </c>
    </row>
    <row r="285" spans="1:17" ht="15" customHeight="1" x14ac:dyDescent="0.15">
      <c r="J285">
        <f>IF(Shares!$A283="","",Shares!$A283)</f>
      </c>
      <c r="K285">
        <f>IF($J285="","",LEFT($J285,FIND(":",$J285)-1))</f>
      </c>
      <c r="L285">
        <f>IF($J285="","",MID($J285,FIND(":",$J285)+1,FIND(":",$J285,FIND(":",$J285)+1)-FIND(":",$J285)-1))</f>
      </c>
      <c r="M285">
        <f>IF($J285="","",RIGHT($J285,LEN($J285)-FIND(":",$J285,FIND(":",$J285)+1)))</f>
      </c>
      <c r="N285">
        <f>IF($J285="","",IF(ISNUMBER(MATCH($J285,Prices[Key],0)),"OK - in Prices","ADD TO PRICES"))</f>
      </c>
      <c r="P285">
        <f>IFERROR(INDEX(Prices[Key],ROWS($P$4:P285)),"")</f>
      </c>
      <c r="Q285">
        <f>IF($P285="","",IF(ISNUMBER(MATCH($P285,Shares!$A$2:$A$1001,0)),"held","NOT HELD - review"))</f>
      </c>
    </row>
    <row r="286" spans="1:17" ht="15" customHeight="1" x14ac:dyDescent="0.15">
      <c r="J286">
        <f>IF(Shares!$A284="","",Shares!$A284)</f>
      </c>
      <c r="K286">
        <f>IF($J286="","",LEFT($J286,FIND(":",$J286)-1))</f>
      </c>
      <c r="L286">
        <f>IF($J286="","",MID($J286,FIND(":",$J286)+1,FIND(":",$J286,FIND(":",$J286)+1)-FIND(":",$J286)-1))</f>
      </c>
      <c r="M286">
        <f>IF($J286="","",RIGHT($J286,LEN($J286)-FIND(":",$J286,FIND(":",$J286)+1)))</f>
      </c>
      <c r="N286">
        <f>IF($J286="","",IF(ISNUMBER(MATCH($J286,Prices[Key],0)),"OK - in Prices","ADD TO PRICES"))</f>
      </c>
      <c r="P286">
        <f>IFERROR(INDEX(Prices[Key],ROWS($P$4:P286)),"")</f>
      </c>
      <c r="Q286">
        <f>IF($P286="","",IF(ISNUMBER(MATCH($P286,Shares!$A$2:$A$1001,0)),"held","NOT HELD - review"))</f>
      </c>
    </row>
    <row r="287" spans="1:17" ht="15" customHeight="1" x14ac:dyDescent="0.15">
      <c r="J287">
        <f>IF(Shares!$A285="","",Shares!$A285)</f>
      </c>
      <c r="K287">
        <f>IF($J287="","",LEFT($J287,FIND(":",$J287)-1))</f>
      </c>
      <c r="L287">
        <f>IF($J287="","",MID($J287,FIND(":",$J287)+1,FIND(":",$J287,FIND(":",$J287)+1)-FIND(":",$J287)-1))</f>
      </c>
      <c r="M287">
        <f>IF($J287="","",RIGHT($J287,LEN($J287)-FIND(":",$J287,FIND(":",$J287)+1)))</f>
      </c>
      <c r="N287">
        <f>IF($J287="","",IF(ISNUMBER(MATCH($J287,Prices[Key],0)),"OK - in Prices","ADD TO PRICES"))</f>
      </c>
      <c r="P287">
        <f>IFERROR(INDEX(Prices[Key],ROWS($P$4:P287)),"")</f>
      </c>
      <c r="Q287">
        <f>IF($P287="","",IF(ISNUMBER(MATCH($P287,Shares!$A$2:$A$1001,0)),"held","NOT HELD - review"))</f>
      </c>
    </row>
    <row r="288" spans="1:17" ht="15" customHeight="1" x14ac:dyDescent="0.15">
      <c r="J288">
        <f>IF(Shares!$A286="","",Shares!$A286)</f>
      </c>
      <c r="K288">
        <f>IF($J288="","",LEFT($J288,FIND(":",$J288)-1))</f>
      </c>
      <c r="L288">
        <f>IF($J288="","",MID($J288,FIND(":",$J288)+1,FIND(":",$J288,FIND(":",$J288)+1)-FIND(":",$J288)-1))</f>
      </c>
      <c r="M288">
        <f>IF($J288="","",RIGHT($J288,LEN($J288)-FIND(":",$J288,FIND(":",$J288)+1)))</f>
      </c>
      <c r="N288">
        <f>IF($J288="","",IF(ISNUMBER(MATCH($J288,Prices[Key],0)),"OK - in Prices","ADD TO PRICES"))</f>
      </c>
      <c r="P288">
        <f>IFERROR(INDEX(Prices[Key],ROWS($P$4:P288)),"")</f>
      </c>
      <c r="Q288">
        <f>IF($P288="","",IF(ISNUMBER(MATCH($P288,Shares!$A$2:$A$1001,0)),"held","NOT HELD - review"))</f>
      </c>
    </row>
    <row r="289" spans="1:17" ht="15" customHeight="1" x14ac:dyDescent="0.15">
      <c r="J289">
        <f>IF(Shares!$A287="","",Shares!$A287)</f>
      </c>
      <c r="K289">
        <f>IF($J289="","",LEFT($J289,FIND(":",$J289)-1))</f>
      </c>
      <c r="L289">
        <f>IF($J289="","",MID($J289,FIND(":",$J289)+1,FIND(":",$J289,FIND(":",$J289)+1)-FIND(":",$J289)-1))</f>
      </c>
      <c r="M289">
        <f>IF($J289="","",RIGHT($J289,LEN($J289)-FIND(":",$J289,FIND(":",$J289)+1)))</f>
      </c>
      <c r="N289">
        <f>IF($J289="","",IF(ISNUMBER(MATCH($J289,Prices[Key],0)),"OK - in Prices","ADD TO PRICES"))</f>
      </c>
      <c r="P289">
        <f>IFERROR(INDEX(Prices[Key],ROWS($P$4:P289)),"")</f>
      </c>
      <c r="Q289">
        <f>IF($P289="","",IF(ISNUMBER(MATCH($P289,Shares!$A$2:$A$1001,0)),"held","NOT HELD - review"))</f>
      </c>
    </row>
    <row r="290" spans="1:17" ht="15" customHeight="1" x14ac:dyDescent="0.15">
      <c r="J290">
        <f>IF(Shares!$A288="","",Shares!$A288)</f>
      </c>
      <c r="K290">
        <f>IF($J290="","",LEFT($J290,FIND(":",$J290)-1))</f>
      </c>
      <c r="L290">
        <f>IF($J290="","",MID($J290,FIND(":",$J290)+1,FIND(":",$J290,FIND(":",$J290)+1)-FIND(":",$J290)-1))</f>
      </c>
      <c r="M290">
        <f>IF($J290="","",RIGHT($J290,LEN($J290)-FIND(":",$J290,FIND(":",$J290)+1)))</f>
      </c>
      <c r="N290">
        <f>IF($J290="","",IF(ISNUMBER(MATCH($J290,Prices[Key],0)),"OK - in Prices","ADD TO PRICES"))</f>
      </c>
      <c r="P290">
        <f>IFERROR(INDEX(Prices[Key],ROWS($P$4:P290)),"")</f>
      </c>
      <c r="Q290">
        <f>IF($P290="","",IF(ISNUMBER(MATCH($P290,Shares!$A$2:$A$1001,0)),"held","NOT HELD - review"))</f>
      </c>
    </row>
    <row r="291" spans="1:17" ht="15" customHeight="1" x14ac:dyDescent="0.15">
      <c r="J291">
        <f>IF(Shares!$A289="","",Shares!$A289)</f>
      </c>
      <c r="K291">
        <f>IF($J291="","",LEFT($J291,FIND(":",$J291)-1))</f>
      </c>
      <c r="L291">
        <f>IF($J291="","",MID($J291,FIND(":",$J291)+1,FIND(":",$J291,FIND(":",$J291)+1)-FIND(":",$J291)-1))</f>
      </c>
      <c r="M291">
        <f>IF($J291="","",RIGHT($J291,LEN($J291)-FIND(":",$J291,FIND(":",$J291)+1)))</f>
      </c>
      <c r="N291">
        <f>IF($J291="","",IF(ISNUMBER(MATCH($J291,Prices[Key],0)),"OK - in Prices","ADD TO PRICES"))</f>
      </c>
      <c r="P291">
        <f>IFERROR(INDEX(Prices[Key],ROWS($P$4:P291)),"")</f>
      </c>
      <c r="Q291">
        <f>IF($P291="","",IF(ISNUMBER(MATCH($P291,Shares!$A$2:$A$1001,0)),"held","NOT HELD - review"))</f>
      </c>
    </row>
    <row r="292" spans="1:17" ht="15" customHeight="1" x14ac:dyDescent="0.15">
      <c r="J292">
        <f>IF(Shares!$A290="","",Shares!$A290)</f>
      </c>
      <c r="K292">
        <f>IF($J292="","",LEFT($J292,FIND(":",$J292)-1))</f>
      </c>
      <c r="L292">
        <f>IF($J292="","",MID($J292,FIND(":",$J292)+1,FIND(":",$J292,FIND(":",$J292)+1)-FIND(":",$J292)-1))</f>
      </c>
      <c r="M292">
        <f>IF($J292="","",RIGHT($J292,LEN($J292)-FIND(":",$J292,FIND(":",$J292)+1)))</f>
      </c>
      <c r="N292">
        <f>IF($J292="","",IF(ISNUMBER(MATCH($J292,Prices[Key],0)),"OK - in Prices","ADD TO PRICES"))</f>
      </c>
      <c r="P292">
        <f>IFERROR(INDEX(Prices[Key],ROWS($P$4:P292)),"")</f>
      </c>
      <c r="Q292">
        <f>IF($P292="","",IF(ISNUMBER(MATCH($P292,Shares!$A$2:$A$1001,0)),"held","NOT HELD - review"))</f>
      </c>
    </row>
    <row r="293" spans="1:17" ht="15" customHeight="1" x14ac:dyDescent="0.15">
      <c r="J293">
        <f>IF(Shares!$A291="","",Shares!$A291)</f>
      </c>
      <c r="K293">
        <f>IF($J293="","",LEFT($J293,FIND(":",$J293)-1))</f>
      </c>
      <c r="L293">
        <f>IF($J293="","",MID($J293,FIND(":",$J293)+1,FIND(":",$J293,FIND(":",$J293)+1)-FIND(":",$J293)-1))</f>
      </c>
      <c r="M293">
        <f>IF($J293="","",RIGHT($J293,LEN($J293)-FIND(":",$J293,FIND(":",$J293)+1)))</f>
      </c>
      <c r="N293">
        <f>IF($J293="","",IF(ISNUMBER(MATCH($J293,Prices[Key],0)),"OK - in Prices","ADD TO PRICES"))</f>
      </c>
      <c r="P293">
        <f>IFERROR(INDEX(Prices[Key],ROWS($P$4:P293)),"")</f>
      </c>
      <c r="Q293">
        <f>IF($P293="","",IF(ISNUMBER(MATCH($P293,Shares!$A$2:$A$1001,0)),"held","NOT HELD - review"))</f>
      </c>
    </row>
    <row r="294" spans="1:17" ht="15" customHeight="1" x14ac:dyDescent="0.15">
      <c r="J294">
        <f>IF(Shares!$A292="","",Shares!$A292)</f>
      </c>
      <c r="K294">
        <f>IF($J294="","",LEFT($J294,FIND(":",$J294)-1))</f>
      </c>
      <c r="L294">
        <f>IF($J294="","",MID($J294,FIND(":",$J294)+1,FIND(":",$J294,FIND(":",$J294)+1)-FIND(":",$J294)-1))</f>
      </c>
      <c r="M294">
        <f>IF($J294="","",RIGHT($J294,LEN($J294)-FIND(":",$J294,FIND(":",$J294)+1)))</f>
      </c>
      <c r="N294">
        <f>IF($J294="","",IF(ISNUMBER(MATCH($J294,Prices[Key],0)),"OK - in Prices","ADD TO PRICES"))</f>
      </c>
      <c r="P294">
        <f>IFERROR(INDEX(Prices[Key],ROWS($P$4:P294)),"")</f>
      </c>
      <c r="Q294">
        <f>IF($P294="","",IF(ISNUMBER(MATCH($P294,Shares!$A$2:$A$1001,0)),"held","NOT HELD - review"))</f>
      </c>
    </row>
    <row r="295" spans="1:17" ht="15" customHeight="1" x14ac:dyDescent="0.15">
      <c r="J295">
        <f>IF(Shares!$A293="","",Shares!$A293)</f>
      </c>
      <c r="K295">
        <f>IF($J295="","",LEFT($J295,FIND(":",$J295)-1))</f>
      </c>
      <c r="L295">
        <f>IF($J295="","",MID($J295,FIND(":",$J295)+1,FIND(":",$J295,FIND(":",$J295)+1)-FIND(":",$J295)-1))</f>
      </c>
      <c r="M295">
        <f>IF($J295="","",RIGHT($J295,LEN($J295)-FIND(":",$J295,FIND(":",$J295)+1)))</f>
      </c>
      <c r="N295">
        <f>IF($J295="","",IF(ISNUMBER(MATCH($J295,Prices[Key],0)),"OK - in Prices","ADD TO PRICES"))</f>
      </c>
      <c r="P295">
        <f>IFERROR(INDEX(Prices[Key],ROWS($P$4:P295)),"")</f>
      </c>
      <c r="Q295">
        <f>IF($P295="","",IF(ISNUMBER(MATCH($P295,Shares!$A$2:$A$1001,0)),"held","NOT HELD - review"))</f>
      </c>
    </row>
    <row r="296" spans="1:17" ht="15" customHeight="1" x14ac:dyDescent="0.15">
      <c r="J296">
        <f>IF(Shares!$A294="","",Shares!$A294)</f>
      </c>
      <c r="K296">
        <f>IF($J296="","",LEFT($J296,FIND(":",$J296)-1))</f>
      </c>
      <c r="L296">
        <f>IF($J296="","",MID($J296,FIND(":",$J296)+1,FIND(":",$J296,FIND(":",$J296)+1)-FIND(":",$J296)-1))</f>
      </c>
      <c r="M296">
        <f>IF($J296="","",RIGHT($J296,LEN($J296)-FIND(":",$J296,FIND(":",$J296)+1)))</f>
      </c>
      <c r="N296">
        <f>IF($J296="","",IF(ISNUMBER(MATCH($J296,Prices[Key],0)),"OK - in Prices","ADD TO PRICES"))</f>
      </c>
      <c r="P296">
        <f>IFERROR(INDEX(Prices[Key],ROWS($P$4:P296)),"")</f>
      </c>
      <c r="Q296">
        <f>IF($P296="","",IF(ISNUMBER(MATCH($P296,Shares!$A$2:$A$1001,0)),"held","NOT HELD - review"))</f>
      </c>
    </row>
    <row r="297" spans="1:17" ht="15" customHeight="1" x14ac:dyDescent="0.15">
      <c r="J297">
        <f>IF(Shares!$A295="","",Shares!$A295)</f>
      </c>
      <c r="K297">
        <f>IF($J297="","",LEFT($J297,FIND(":",$J297)-1))</f>
      </c>
      <c r="L297">
        <f>IF($J297="","",MID($J297,FIND(":",$J297)+1,FIND(":",$J297,FIND(":",$J297)+1)-FIND(":",$J297)-1))</f>
      </c>
      <c r="M297">
        <f>IF($J297="","",RIGHT($J297,LEN($J297)-FIND(":",$J297,FIND(":",$J297)+1)))</f>
      </c>
      <c r="N297">
        <f>IF($J297="","",IF(ISNUMBER(MATCH($J297,Prices[Key],0)),"OK - in Prices","ADD TO PRICES"))</f>
      </c>
      <c r="P297">
        <f>IFERROR(INDEX(Prices[Key],ROWS($P$4:P297)),"")</f>
      </c>
      <c r="Q297">
        <f>IF($P297="","",IF(ISNUMBER(MATCH($P297,Shares!$A$2:$A$1001,0)),"held","NOT HELD - review"))</f>
      </c>
    </row>
    <row r="298" spans="1:17" ht="15" customHeight="1" x14ac:dyDescent="0.15">
      <c r="J298">
        <f>IF(Shares!$A296="","",Shares!$A296)</f>
      </c>
      <c r="K298">
        <f>IF($J298="","",LEFT($J298,FIND(":",$J298)-1))</f>
      </c>
      <c r="L298">
        <f>IF($J298="","",MID($J298,FIND(":",$J298)+1,FIND(":",$J298,FIND(":",$J298)+1)-FIND(":",$J298)-1))</f>
      </c>
      <c r="M298">
        <f>IF($J298="","",RIGHT($J298,LEN($J298)-FIND(":",$J298,FIND(":",$J298)+1)))</f>
      </c>
      <c r="N298">
        <f>IF($J298="","",IF(ISNUMBER(MATCH($J298,Prices[Key],0)),"OK - in Prices","ADD TO PRICES"))</f>
      </c>
      <c r="P298">
        <f>IFERROR(INDEX(Prices[Key],ROWS($P$4:P298)),"")</f>
      </c>
      <c r="Q298">
        <f>IF($P298="","",IF(ISNUMBER(MATCH($P298,Shares!$A$2:$A$1001,0)),"held","NOT HELD - review"))</f>
      </c>
    </row>
    <row r="299" spans="1:17" ht="15" customHeight="1" x14ac:dyDescent="0.15">
      <c r="J299">
        <f>IF(Shares!$A297="","",Shares!$A297)</f>
      </c>
      <c r="K299">
        <f>IF($J299="","",LEFT($J299,FIND(":",$J299)-1))</f>
      </c>
      <c r="L299">
        <f>IF($J299="","",MID($J299,FIND(":",$J299)+1,FIND(":",$J299,FIND(":",$J299)+1)-FIND(":",$J299)-1))</f>
      </c>
      <c r="M299">
        <f>IF($J299="","",RIGHT($J299,LEN($J299)-FIND(":",$J299,FIND(":",$J299)+1)))</f>
      </c>
      <c r="N299">
        <f>IF($J299="","",IF(ISNUMBER(MATCH($J299,Prices[Key],0)),"OK - in Prices","ADD TO PRICES"))</f>
      </c>
      <c r="P299">
        <f>IFERROR(INDEX(Prices[Key],ROWS($P$4:P299)),"")</f>
      </c>
      <c r="Q299">
        <f>IF($P299="","",IF(ISNUMBER(MATCH($P299,Shares!$A$2:$A$1001,0)),"held","NOT HELD - review"))</f>
      </c>
    </row>
    <row r="300" spans="1:17" ht="15" customHeight="1" x14ac:dyDescent="0.15">
      <c r="J300">
        <f>IF(Shares!$A298="","",Shares!$A298)</f>
      </c>
      <c r="K300">
        <f>IF($J300="","",LEFT($J300,FIND(":",$J300)-1))</f>
      </c>
      <c r="L300">
        <f>IF($J300="","",MID($J300,FIND(":",$J300)+1,FIND(":",$J300,FIND(":",$J300)+1)-FIND(":",$J300)-1))</f>
      </c>
      <c r="M300">
        <f>IF($J300="","",RIGHT($J300,LEN($J300)-FIND(":",$J300,FIND(":",$J300)+1)))</f>
      </c>
      <c r="N300">
        <f>IF($J300="","",IF(ISNUMBER(MATCH($J300,Prices[Key],0)),"OK - in Prices","ADD TO PRICES"))</f>
      </c>
      <c r="P300">
        <f>IFERROR(INDEX(Prices[Key],ROWS($P$4:P300)),"")</f>
      </c>
      <c r="Q300">
        <f>IF($P300="","",IF(ISNUMBER(MATCH($P300,Shares!$A$2:$A$1001,0)),"held","NOT HELD - review"))</f>
      </c>
    </row>
    <row r="301" spans="1:17" ht="15" customHeight="1" x14ac:dyDescent="0.15">
      <c r="J301">
        <f>IF(Shares!$A299="","",Shares!$A299)</f>
      </c>
      <c r="K301">
        <f>IF($J301="","",LEFT($J301,FIND(":",$J301)-1))</f>
      </c>
      <c r="L301">
        <f>IF($J301="","",MID($J301,FIND(":",$J301)+1,FIND(":",$J301,FIND(":",$J301)+1)-FIND(":",$J301)-1))</f>
      </c>
      <c r="M301">
        <f>IF($J301="","",RIGHT($J301,LEN($J301)-FIND(":",$J301,FIND(":",$J301)+1)))</f>
      </c>
      <c r="N301">
        <f>IF($J301="","",IF(ISNUMBER(MATCH($J301,Prices[Key],0)),"OK - in Prices","ADD TO PRICES"))</f>
      </c>
      <c r="P301">
        <f>IFERROR(INDEX(Prices[Key],ROWS($P$4:P301)),"")</f>
      </c>
      <c r="Q301">
        <f>IF($P301="","",IF(ISNUMBER(MATCH($P301,Shares!$A$2:$A$1001,0)),"held","NOT HELD - review"))</f>
      </c>
    </row>
    <row r="302" spans="1:17" ht="15" customHeight="1" x14ac:dyDescent="0.15">
      <c r="J302">
        <f>IF(Shares!$A300="","",Shares!$A300)</f>
      </c>
      <c r="K302">
        <f>IF($J302="","",LEFT($J302,FIND(":",$J302)-1))</f>
      </c>
      <c r="L302">
        <f>IF($J302="","",MID($J302,FIND(":",$J302)+1,FIND(":",$J302,FIND(":",$J302)+1)-FIND(":",$J302)-1))</f>
      </c>
      <c r="M302">
        <f>IF($J302="","",RIGHT($J302,LEN($J302)-FIND(":",$J302,FIND(":",$J302)+1)))</f>
      </c>
      <c r="N302">
        <f>IF($J302="","",IF(ISNUMBER(MATCH($J302,Prices[Key],0)),"OK - in Prices","ADD TO PRICES"))</f>
      </c>
      <c r="P302">
        <f>IFERROR(INDEX(Prices[Key],ROWS($P$4:P302)),"")</f>
      </c>
      <c r="Q302">
        <f>IF($P302="","",IF(ISNUMBER(MATCH($P302,Shares!$A$2:$A$1001,0)),"held","NOT HELD - review"))</f>
      </c>
    </row>
    <row r="303" spans="1:17" ht="15" customHeight="1" x14ac:dyDescent="0.15">
      <c r="J303">
        <f>IF(Shares!$A301="","",Shares!$A301)</f>
      </c>
      <c r="K303">
        <f>IF($J303="","",LEFT($J303,FIND(":",$J303)-1))</f>
      </c>
      <c r="L303">
        <f>IF($J303="","",MID($J303,FIND(":",$J303)+1,FIND(":",$J303,FIND(":",$J303)+1)-FIND(":",$J303)-1))</f>
      </c>
      <c r="M303">
        <f>IF($J303="","",RIGHT($J303,LEN($J303)-FIND(":",$J303,FIND(":",$J303)+1)))</f>
      </c>
      <c r="N303">
        <f>IF($J303="","",IF(ISNUMBER(MATCH($J303,Prices[Key],0)),"OK - in Prices","ADD TO PRICES"))</f>
      </c>
      <c r="P303">
        <f>IFERROR(INDEX(Prices[Key],ROWS($P$4:P303)),"")</f>
      </c>
      <c r="Q303">
        <f>IF($P303="","",IF(ISNUMBER(MATCH($P303,Shares!$A$2:$A$1001,0)),"held","NOT HELD - review"))</f>
      </c>
    </row>
    <row r="304" spans="1:17" ht="15" customHeight="1" x14ac:dyDescent="0.15">
      <c r="J304">
        <f>IF(Shares!$A302="","",Shares!$A302)</f>
      </c>
      <c r="K304">
        <f>IF($J304="","",LEFT($J304,FIND(":",$J304)-1))</f>
      </c>
      <c r="L304">
        <f>IF($J304="","",MID($J304,FIND(":",$J304)+1,FIND(":",$J304,FIND(":",$J304)+1)-FIND(":",$J304)-1))</f>
      </c>
      <c r="M304">
        <f>IF($J304="","",RIGHT($J304,LEN($J304)-FIND(":",$J304,FIND(":",$J304)+1)))</f>
      </c>
      <c r="N304">
        <f>IF($J304="","",IF(ISNUMBER(MATCH($J304,Prices[Key],0)),"OK - in Prices","ADD TO PRICES"))</f>
      </c>
      <c r="P304">
        <f>IFERROR(INDEX(Prices[Key],ROWS($P$4:P304)),"")</f>
      </c>
      <c r="Q304">
        <f>IF($P304="","",IF(ISNUMBER(MATCH($P304,Shares!$A$2:$A$1001,0)),"held","NOT HELD - review"))</f>
      </c>
    </row>
    <row r="305" spans="1:17" ht="15" customHeight="1" x14ac:dyDescent="0.15">
      <c r="J305">
        <f>IF(Shares!$A303="","",Shares!$A303)</f>
      </c>
      <c r="K305">
        <f>IF($J305="","",LEFT($J305,FIND(":",$J305)-1))</f>
      </c>
      <c r="L305">
        <f>IF($J305="","",MID($J305,FIND(":",$J305)+1,FIND(":",$J305,FIND(":",$J305)+1)-FIND(":",$J305)-1))</f>
      </c>
      <c r="M305">
        <f>IF($J305="","",RIGHT($J305,LEN($J305)-FIND(":",$J305,FIND(":",$J305)+1)))</f>
      </c>
      <c r="N305">
        <f>IF($J305="","",IF(ISNUMBER(MATCH($J305,Prices[Key],0)),"OK - in Prices","ADD TO PRICES"))</f>
      </c>
      <c r="P305">
        <f>IFERROR(INDEX(Prices[Key],ROWS($P$4:P305)),"")</f>
      </c>
      <c r="Q305">
        <f>IF($P305="","",IF(ISNUMBER(MATCH($P305,Shares!$A$2:$A$1001,0)),"held","NOT HELD - review"))</f>
      </c>
    </row>
    <row r="306" spans="1:17" ht="15" customHeight="1" x14ac:dyDescent="0.15">
      <c r="J306">
        <f>IF(Shares!$A304="","",Shares!$A304)</f>
      </c>
      <c r="K306">
        <f>IF($J306="","",LEFT($J306,FIND(":",$J306)-1))</f>
      </c>
      <c r="L306">
        <f>IF($J306="","",MID($J306,FIND(":",$J306)+1,FIND(":",$J306,FIND(":",$J306)+1)-FIND(":",$J306)-1))</f>
      </c>
      <c r="M306">
        <f>IF($J306="","",RIGHT($J306,LEN($J306)-FIND(":",$J306,FIND(":",$J306)+1)))</f>
      </c>
      <c r="N306">
        <f>IF($J306="","",IF(ISNUMBER(MATCH($J306,Prices[Key],0)),"OK - in Prices","ADD TO PRICES"))</f>
      </c>
      <c r="P306">
        <f>IFERROR(INDEX(Prices[Key],ROWS($P$4:P306)),"")</f>
      </c>
      <c r="Q306">
        <f>IF($P306="","",IF(ISNUMBER(MATCH($P306,Shares!$A$2:$A$1001,0)),"held","NOT HELD - review"))</f>
      </c>
    </row>
    <row r="307" spans="1:17" ht="15" customHeight="1" x14ac:dyDescent="0.15">
      <c r="J307">
        <f>IF(Shares!$A305="","",Shares!$A305)</f>
      </c>
      <c r="K307">
        <f>IF($J307="","",LEFT($J307,FIND(":",$J307)-1))</f>
      </c>
      <c r="L307">
        <f>IF($J307="","",MID($J307,FIND(":",$J307)+1,FIND(":",$J307,FIND(":",$J307)+1)-FIND(":",$J307)-1))</f>
      </c>
      <c r="M307">
        <f>IF($J307="","",RIGHT($J307,LEN($J307)-FIND(":",$J307,FIND(":",$J307)+1)))</f>
      </c>
      <c r="N307">
        <f>IF($J307="","",IF(ISNUMBER(MATCH($J307,Prices[Key],0)),"OK - in Prices","ADD TO PRICES"))</f>
      </c>
      <c r="P307">
        <f>IFERROR(INDEX(Prices[Key],ROWS($P$4:P307)),"")</f>
      </c>
      <c r="Q307">
        <f>IF($P307="","",IF(ISNUMBER(MATCH($P307,Shares!$A$2:$A$1001,0)),"held","NOT HELD - review"))</f>
      </c>
    </row>
    <row r="308" spans="1:17" ht="15" customHeight="1" x14ac:dyDescent="0.15">
      <c r="J308">
        <f>IF(Shares!$A306="","",Shares!$A306)</f>
      </c>
      <c r="K308">
        <f>IF($J308="","",LEFT($J308,FIND(":",$J308)-1))</f>
      </c>
      <c r="L308">
        <f>IF($J308="","",MID($J308,FIND(":",$J308)+1,FIND(":",$J308,FIND(":",$J308)+1)-FIND(":",$J308)-1))</f>
      </c>
      <c r="M308">
        <f>IF($J308="","",RIGHT($J308,LEN($J308)-FIND(":",$J308,FIND(":",$J308)+1)))</f>
      </c>
      <c r="N308">
        <f>IF($J308="","",IF(ISNUMBER(MATCH($J308,Prices[Key],0)),"OK - in Prices","ADD TO PRICES"))</f>
      </c>
      <c r="P308">
        <f>IFERROR(INDEX(Prices[Key],ROWS($P$4:P308)),"")</f>
      </c>
      <c r="Q308">
        <f>IF($P308="","",IF(ISNUMBER(MATCH($P308,Shares!$A$2:$A$1001,0)),"held","NOT HELD - review"))</f>
      </c>
    </row>
    <row r="309" spans="1:17" ht="15" customHeight="1" x14ac:dyDescent="0.15">
      <c r="J309">
        <f>IF(Shares!$A307="","",Shares!$A307)</f>
      </c>
      <c r="K309">
        <f>IF($J309="","",LEFT($J309,FIND(":",$J309)-1))</f>
      </c>
      <c r="L309">
        <f>IF($J309="","",MID($J309,FIND(":",$J309)+1,FIND(":",$J309,FIND(":",$J309)+1)-FIND(":",$J309)-1))</f>
      </c>
      <c r="M309">
        <f>IF($J309="","",RIGHT($J309,LEN($J309)-FIND(":",$J309,FIND(":",$J309)+1)))</f>
      </c>
      <c r="N309">
        <f>IF($J309="","",IF(ISNUMBER(MATCH($J309,Prices[Key],0)),"OK - in Prices","ADD TO PRICES"))</f>
      </c>
      <c r="P309">
        <f>IFERROR(INDEX(Prices[Key],ROWS($P$4:P309)),"")</f>
      </c>
      <c r="Q309">
        <f>IF($P309="","",IF(ISNUMBER(MATCH($P309,Shares!$A$2:$A$1001,0)),"held","NOT HELD - review"))</f>
      </c>
    </row>
    <row r="310" spans="1:17" ht="15" customHeight="1" x14ac:dyDescent="0.15">
      <c r="J310">
        <f>IF(Shares!$A308="","",Shares!$A308)</f>
      </c>
      <c r="K310">
        <f>IF($J310="","",LEFT($J310,FIND(":",$J310)-1))</f>
      </c>
      <c r="L310">
        <f>IF($J310="","",MID($J310,FIND(":",$J310)+1,FIND(":",$J310,FIND(":",$J310)+1)-FIND(":",$J310)-1))</f>
      </c>
      <c r="M310">
        <f>IF($J310="","",RIGHT($J310,LEN($J310)-FIND(":",$J310,FIND(":",$J310)+1)))</f>
      </c>
      <c r="N310">
        <f>IF($J310="","",IF(ISNUMBER(MATCH($J310,Prices[Key],0)),"OK - in Prices","ADD TO PRICES"))</f>
      </c>
      <c r="P310">
        <f>IFERROR(INDEX(Prices[Key],ROWS($P$4:P310)),"")</f>
      </c>
      <c r="Q310">
        <f>IF($P310="","",IF(ISNUMBER(MATCH($P310,Shares!$A$2:$A$1001,0)),"held","NOT HELD - review"))</f>
      </c>
    </row>
    <row r="311" spans="1:17" ht="15" customHeight="1" x14ac:dyDescent="0.15">
      <c r="J311">
        <f>IF(Shares!$A309="","",Shares!$A309)</f>
      </c>
      <c r="K311">
        <f>IF($J311="","",LEFT($J311,FIND(":",$J311)-1))</f>
      </c>
      <c r="L311">
        <f>IF($J311="","",MID($J311,FIND(":",$J311)+1,FIND(":",$J311,FIND(":",$J311)+1)-FIND(":",$J311)-1))</f>
      </c>
      <c r="M311">
        <f>IF($J311="","",RIGHT($J311,LEN($J311)-FIND(":",$J311,FIND(":",$J311)+1)))</f>
      </c>
      <c r="N311">
        <f>IF($J311="","",IF(ISNUMBER(MATCH($J311,Prices[Key],0)),"OK - in Prices","ADD TO PRICES"))</f>
      </c>
      <c r="P311">
        <f>IFERROR(INDEX(Prices[Key],ROWS($P$4:P311)),"")</f>
      </c>
      <c r="Q311">
        <f>IF($P311="","",IF(ISNUMBER(MATCH($P311,Shares!$A$2:$A$1001,0)),"held","NOT HELD - review"))</f>
      </c>
    </row>
    <row r="312" spans="1:17" ht="15" customHeight="1" x14ac:dyDescent="0.15">
      <c r="J312">
        <f>IF(Shares!$A310="","",Shares!$A310)</f>
      </c>
      <c r="K312">
        <f>IF($J312="","",LEFT($J312,FIND(":",$J312)-1))</f>
      </c>
      <c r="L312">
        <f>IF($J312="","",MID($J312,FIND(":",$J312)+1,FIND(":",$J312,FIND(":",$J312)+1)-FIND(":",$J312)-1))</f>
      </c>
      <c r="M312">
        <f>IF($J312="","",RIGHT($J312,LEN($J312)-FIND(":",$J312,FIND(":",$J312)+1)))</f>
      </c>
      <c r="N312">
        <f>IF($J312="","",IF(ISNUMBER(MATCH($J312,Prices[Key],0)),"OK - in Prices","ADD TO PRICES"))</f>
      </c>
      <c r="P312">
        <f>IFERROR(INDEX(Prices[Key],ROWS($P$4:P312)),"")</f>
      </c>
      <c r="Q312">
        <f>IF($P312="","",IF(ISNUMBER(MATCH($P312,Shares!$A$2:$A$1001,0)),"held","NOT HELD - review"))</f>
      </c>
    </row>
    <row r="313" spans="1:17" ht="15" customHeight="1" x14ac:dyDescent="0.15">
      <c r="J313">
        <f>IF(Shares!$A311="","",Shares!$A311)</f>
      </c>
      <c r="K313">
        <f>IF($J313="","",LEFT($J313,FIND(":",$J313)-1))</f>
      </c>
      <c r="L313">
        <f>IF($J313="","",MID($J313,FIND(":",$J313)+1,FIND(":",$J313,FIND(":",$J313)+1)-FIND(":",$J313)-1))</f>
      </c>
      <c r="M313">
        <f>IF($J313="","",RIGHT($J313,LEN($J313)-FIND(":",$J313,FIND(":",$J313)+1)))</f>
      </c>
      <c r="N313">
        <f>IF($J313="","",IF(ISNUMBER(MATCH($J313,Prices[Key],0)),"OK - in Prices","ADD TO PRICES"))</f>
      </c>
      <c r="P313">
        <f>IFERROR(INDEX(Prices[Key],ROWS($P$4:P313)),"")</f>
      </c>
      <c r="Q313">
        <f>IF($P313="","",IF(ISNUMBER(MATCH($P313,Shares!$A$2:$A$1001,0)),"held","NOT HELD - review"))</f>
      </c>
    </row>
    <row r="314" spans="1:17" ht="15" customHeight="1" x14ac:dyDescent="0.15">
      <c r="J314">
        <f>IF(Shares!$A312="","",Shares!$A312)</f>
      </c>
      <c r="K314">
        <f>IF($J314="","",LEFT($J314,FIND(":",$J314)-1))</f>
      </c>
      <c r="L314">
        <f>IF($J314="","",MID($J314,FIND(":",$J314)+1,FIND(":",$J314,FIND(":",$J314)+1)-FIND(":",$J314)-1))</f>
      </c>
      <c r="M314">
        <f>IF($J314="","",RIGHT($J314,LEN($J314)-FIND(":",$J314,FIND(":",$J314)+1)))</f>
      </c>
      <c r="N314">
        <f>IF($J314="","",IF(ISNUMBER(MATCH($J314,Prices[Key],0)),"OK - in Prices","ADD TO PRICES"))</f>
      </c>
      <c r="P314">
        <f>IFERROR(INDEX(Prices[Key],ROWS($P$4:P314)),"")</f>
      </c>
      <c r="Q314">
        <f>IF($P314="","",IF(ISNUMBER(MATCH($P314,Shares!$A$2:$A$1001,0)),"held","NOT HELD - review"))</f>
      </c>
    </row>
    <row r="315" spans="1:17" ht="15" customHeight="1" x14ac:dyDescent="0.15">
      <c r="J315">
        <f>IF(Shares!$A313="","",Shares!$A313)</f>
      </c>
      <c r="K315">
        <f>IF($J315="","",LEFT($J315,FIND(":",$J315)-1))</f>
      </c>
      <c r="L315">
        <f>IF($J315="","",MID($J315,FIND(":",$J315)+1,FIND(":",$J315,FIND(":",$J315)+1)-FIND(":",$J315)-1))</f>
      </c>
      <c r="M315">
        <f>IF($J315="","",RIGHT($J315,LEN($J315)-FIND(":",$J315,FIND(":",$J315)+1)))</f>
      </c>
      <c r="N315">
        <f>IF($J315="","",IF(ISNUMBER(MATCH($J315,Prices[Key],0)),"OK - in Prices","ADD TO PRICES"))</f>
      </c>
      <c r="P315">
        <f>IFERROR(INDEX(Prices[Key],ROWS($P$4:P315)),"")</f>
      </c>
      <c r="Q315">
        <f>IF($P315="","",IF(ISNUMBER(MATCH($P315,Shares!$A$2:$A$1001,0)),"held","NOT HELD - review"))</f>
      </c>
    </row>
    <row r="316" spans="1:17" ht="15" customHeight="1" x14ac:dyDescent="0.15">
      <c r="J316">
        <f>IF(Shares!$A314="","",Shares!$A314)</f>
      </c>
      <c r="K316">
        <f>IF($J316="","",LEFT($J316,FIND(":",$J316)-1))</f>
      </c>
      <c r="L316">
        <f>IF($J316="","",MID($J316,FIND(":",$J316)+1,FIND(":",$J316,FIND(":",$J316)+1)-FIND(":",$J316)-1))</f>
      </c>
      <c r="M316">
        <f>IF($J316="","",RIGHT($J316,LEN($J316)-FIND(":",$J316,FIND(":",$J316)+1)))</f>
      </c>
      <c r="N316">
        <f>IF($J316="","",IF(ISNUMBER(MATCH($J316,Prices[Key],0)),"OK - in Prices","ADD TO PRICES"))</f>
      </c>
      <c r="P316">
        <f>IFERROR(INDEX(Prices[Key],ROWS($P$4:P316)),"")</f>
      </c>
      <c r="Q316">
        <f>IF($P316="","",IF(ISNUMBER(MATCH($P316,Shares!$A$2:$A$1001,0)),"held","NOT HELD - review"))</f>
      </c>
    </row>
    <row r="317" spans="1:17" ht="15" customHeight="1" x14ac:dyDescent="0.15">
      <c r="J317">
        <f>IF(Shares!$A315="","",Shares!$A315)</f>
      </c>
      <c r="K317">
        <f>IF($J317="","",LEFT($J317,FIND(":",$J317)-1))</f>
      </c>
      <c r="L317">
        <f>IF($J317="","",MID($J317,FIND(":",$J317)+1,FIND(":",$J317,FIND(":",$J317)+1)-FIND(":",$J317)-1))</f>
      </c>
      <c r="M317">
        <f>IF($J317="","",RIGHT($J317,LEN($J317)-FIND(":",$J317,FIND(":",$J317)+1)))</f>
      </c>
      <c r="N317">
        <f>IF($J317="","",IF(ISNUMBER(MATCH($J317,Prices[Key],0)),"OK - in Prices","ADD TO PRICES"))</f>
      </c>
      <c r="P317">
        <f>IFERROR(INDEX(Prices[Key],ROWS($P$4:P317)),"")</f>
      </c>
      <c r="Q317">
        <f>IF($P317="","",IF(ISNUMBER(MATCH($P317,Shares!$A$2:$A$1001,0)),"held","NOT HELD - review"))</f>
      </c>
    </row>
    <row r="318" spans="1:17" ht="15" customHeight="1" x14ac:dyDescent="0.15">
      <c r="J318">
        <f>IF(Shares!$A316="","",Shares!$A316)</f>
      </c>
      <c r="K318">
        <f>IF($J318="","",LEFT($J318,FIND(":",$J318)-1))</f>
      </c>
      <c r="L318">
        <f>IF($J318="","",MID($J318,FIND(":",$J318)+1,FIND(":",$J318,FIND(":",$J318)+1)-FIND(":",$J318)-1))</f>
      </c>
      <c r="M318">
        <f>IF($J318="","",RIGHT($J318,LEN($J318)-FIND(":",$J318,FIND(":",$J318)+1)))</f>
      </c>
      <c r="N318">
        <f>IF($J318="","",IF(ISNUMBER(MATCH($J318,Prices[Key],0)),"OK - in Prices","ADD TO PRICES"))</f>
      </c>
      <c r="P318">
        <f>IFERROR(INDEX(Prices[Key],ROWS($P$4:P318)),"")</f>
      </c>
      <c r="Q318">
        <f>IF($P318="","",IF(ISNUMBER(MATCH($P318,Shares!$A$2:$A$1001,0)),"held","NOT HELD - review"))</f>
      </c>
    </row>
    <row r="319" spans="1:17" ht="15" customHeight="1" x14ac:dyDescent="0.15">
      <c r="J319">
        <f>IF(Shares!$A317="","",Shares!$A317)</f>
      </c>
      <c r="K319">
        <f>IF($J319="","",LEFT($J319,FIND(":",$J319)-1))</f>
      </c>
      <c r="L319">
        <f>IF($J319="","",MID($J319,FIND(":",$J319)+1,FIND(":",$J319,FIND(":",$J319)+1)-FIND(":",$J319)-1))</f>
      </c>
      <c r="M319">
        <f>IF($J319="","",RIGHT($J319,LEN($J319)-FIND(":",$J319,FIND(":",$J319)+1)))</f>
      </c>
      <c r="N319">
        <f>IF($J319="","",IF(ISNUMBER(MATCH($J319,Prices[Key],0)),"OK - in Prices","ADD TO PRICES"))</f>
      </c>
      <c r="P319">
        <f>IFERROR(INDEX(Prices[Key],ROWS($P$4:P319)),"")</f>
      </c>
      <c r="Q319">
        <f>IF($P319="","",IF(ISNUMBER(MATCH($P319,Shares!$A$2:$A$1001,0)),"held","NOT HELD - review"))</f>
      </c>
    </row>
    <row r="320" spans="1:17" ht="15" customHeight="1" x14ac:dyDescent="0.15">
      <c r="J320">
        <f>IF(Shares!$A318="","",Shares!$A318)</f>
      </c>
      <c r="K320">
        <f>IF($J320="","",LEFT($J320,FIND(":",$J320)-1))</f>
      </c>
      <c r="L320">
        <f>IF($J320="","",MID($J320,FIND(":",$J320)+1,FIND(":",$J320,FIND(":",$J320)+1)-FIND(":",$J320)-1))</f>
      </c>
      <c r="M320">
        <f>IF($J320="","",RIGHT($J320,LEN($J320)-FIND(":",$J320,FIND(":",$J320)+1)))</f>
      </c>
      <c r="N320">
        <f>IF($J320="","",IF(ISNUMBER(MATCH($J320,Prices[Key],0)),"OK - in Prices","ADD TO PRICES"))</f>
      </c>
      <c r="P320">
        <f>IFERROR(INDEX(Prices[Key],ROWS($P$4:P320)),"")</f>
      </c>
      <c r="Q320">
        <f>IF($P320="","",IF(ISNUMBER(MATCH($P320,Shares!$A$2:$A$1001,0)),"held","NOT HELD - review"))</f>
      </c>
    </row>
    <row r="321" spans="1:17" ht="15" customHeight="1" x14ac:dyDescent="0.15">
      <c r="J321">
        <f>IF(Shares!$A319="","",Shares!$A319)</f>
      </c>
      <c r="K321">
        <f>IF($J321="","",LEFT($J321,FIND(":",$J321)-1))</f>
      </c>
      <c r="L321">
        <f>IF($J321="","",MID($J321,FIND(":",$J321)+1,FIND(":",$J321,FIND(":",$J321)+1)-FIND(":",$J321)-1))</f>
      </c>
      <c r="M321">
        <f>IF($J321="","",RIGHT($J321,LEN($J321)-FIND(":",$J321,FIND(":",$J321)+1)))</f>
      </c>
      <c r="N321">
        <f>IF($J321="","",IF(ISNUMBER(MATCH($J321,Prices[Key],0)),"OK - in Prices","ADD TO PRICES"))</f>
      </c>
      <c r="P321">
        <f>IFERROR(INDEX(Prices[Key],ROWS($P$4:P321)),"")</f>
      </c>
      <c r="Q321">
        <f>IF($P321="","",IF(ISNUMBER(MATCH($P321,Shares!$A$2:$A$1001,0)),"held","NOT HELD - review"))</f>
      </c>
    </row>
    <row r="322" spans="1:17" ht="15" customHeight="1" x14ac:dyDescent="0.15">
      <c r="J322">
        <f>IF(Shares!$A320="","",Shares!$A320)</f>
      </c>
      <c r="K322">
        <f>IF($J322="","",LEFT($J322,FIND(":",$J322)-1))</f>
      </c>
      <c r="L322">
        <f>IF($J322="","",MID($J322,FIND(":",$J322)+1,FIND(":",$J322,FIND(":",$J322)+1)-FIND(":",$J322)-1))</f>
      </c>
      <c r="M322">
        <f>IF($J322="","",RIGHT($J322,LEN($J322)-FIND(":",$J322,FIND(":",$J322)+1)))</f>
      </c>
      <c r="N322">
        <f>IF($J322="","",IF(ISNUMBER(MATCH($J322,Prices[Key],0)),"OK - in Prices","ADD TO PRICES"))</f>
      </c>
      <c r="P322">
        <f>IFERROR(INDEX(Prices[Key],ROWS($P$4:P322)),"")</f>
      </c>
      <c r="Q322">
        <f>IF($P322="","",IF(ISNUMBER(MATCH($P322,Shares!$A$2:$A$1001,0)),"held","NOT HELD - review"))</f>
      </c>
    </row>
    <row r="323" spans="1:17" ht="15" customHeight="1" x14ac:dyDescent="0.15">
      <c r="J323">
        <f>IF(Shares!$A321="","",Shares!$A321)</f>
      </c>
      <c r="K323">
        <f>IF($J323="","",LEFT($J323,FIND(":",$J323)-1))</f>
      </c>
      <c r="L323">
        <f>IF($J323="","",MID($J323,FIND(":",$J323)+1,FIND(":",$J323,FIND(":",$J323)+1)-FIND(":",$J323)-1))</f>
      </c>
      <c r="M323">
        <f>IF($J323="","",RIGHT($J323,LEN($J323)-FIND(":",$J323,FIND(":",$J323)+1)))</f>
      </c>
      <c r="N323">
        <f>IF($J323="","",IF(ISNUMBER(MATCH($J323,Prices[Key],0)),"OK - in Prices","ADD TO PRICES"))</f>
      </c>
      <c r="P323">
        <f>IFERROR(INDEX(Prices[Key],ROWS($P$4:P323)),"")</f>
      </c>
      <c r="Q323">
        <f>IF($P323="","",IF(ISNUMBER(MATCH($P323,Shares!$A$2:$A$1001,0)),"held","NOT HELD - review"))</f>
      </c>
    </row>
    <row r="324" spans="1:17" ht="15" customHeight="1" x14ac:dyDescent="0.15">
      <c r="J324">
        <f>IF(Shares!$A322="","",Shares!$A322)</f>
      </c>
      <c r="K324">
        <f>IF($J324="","",LEFT($J324,FIND(":",$J324)-1))</f>
      </c>
      <c r="L324">
        <f>IF($J324="","",MID($J324,FIND(":",$J324)+1,FIND(":",$J324,FIND(":",$J324)+1)-FIND(":",$J324)-1))</f>
      </c>
      <c r="M324">
        <f>IF($J324="","",RIGHT($J324,LEN($J324)-FIND(":",$J324,FIND(":",$J324)+1)))</f>
      </c>
      <c r="N324">
        <f>IF($J324="","",IF(ISNUMBER(MATCH($J324,Prices[Key],0)),"OK - in Prices","ADD TO PRICES"))</f>
      </c>
      <c r="P324">
        <f>IFERROR(INDEX(Prices[Key],ROWS($P$4:P324)),"")</f>
      </c>
      <c r="Q324">
        <f>IF($P324="","",IF(ISNUMBER(MATCH($P324,Shares!$A$2:$A$1001,0)),"held","NOT HELD - review"))</f>
      </c>
    </row>
    <row r="325" spans="1:17" ht="15" customHeight="1" x14ac:dyDescent="0.15">
      <c r="J325">
        <f>IF(Shares!$A323="","",Shares!$A323)</f>
      </c>
      <c r="K325">
        <f>IF($J325="","",LEFT($J325,FIND(":",$J325)-1))</f>
      </c>
      <c r="L325">
        <f>IF($J325="","",MID($J325,FIND(":",$J325)+1,FIND(":",$J325,FIND(":",$J325)+1)-FIND(":",$J325)-1))</f>
      </c>
      <c r="M325">
        <f>IF($J325="","",RIGHT($J325,LEN($J325)-FIND(":",$J325,FIND(":",$J325)+1)))</f>
      </c>
      <c r="N325">
        <f>IF($J325="","",IF(ISNUMBER(MATCH($J325,Prices[Key],0)),"OK - in Prices","ADD TO PRICES"))</f>
      </c>
      <c r="P325">
        <f>IFERROR(INDEX(Prices[Key],ROWS($P$4:P325)),"")</f>
      </c>
      <c r="Q325">
        <f>IF($P325="","",IF(ISNUMBER(MATCH($P325,Shares!$A$2:$A$1001,0)),"held","NOT HELD - review"))</f>
      </c>
    </row>
    <row r="326" spans="1:17" ht="15" customHeight="1" x14ac:dyDescent="0.15">
      <c r="J326">
        <f>IF(Shares!$A324="","",Shares!$A324)</f>
      </c>
      <c r="K326">
        <f>IF($J326="","",LEFT($J326,FIND(":",$J326)-1))</f>
      </c>
      <c r="L326">
        <f>IF($J326="","",MID($J326,FIND(":",$J326)+1,FIND(":",$J326,FIND(":",$J326)+1)-FIND(":",$J326)-1))</f>
      </c>
      <c r="M326">
        <f>IF($J326="","",RIGHT($J326,LEN($J326)-FIND(":",$J326,FIND(":",$J326)+1)))</f>
      </c>
      <c r="N326">
        <f>IF($J326="","",IF(ISNUMBER(MATCH($J326,Prices[Key],0)),"OK - in Prices","ADD TO PRICES"))</f>
      </c>
      <c r="P326">
        <f>IFERROR(INDEX(Prices[Key],ROWS($P$4:P326)),"")</f>
      </c>
      <c r="Q326">
        <f>IF($P326="","",IF(ISNUMBER(MATCH($P326,Shares!$A$2:$A$1001,0)),"held","NOT HELD - review"))</f>
      </c>
    </row>
    <row r="327" spans="1:17" ht="15" customHeight="1" x14ac:dyDescent="0.15">
      <c r="J327">
        <f>IF(Shares!$A325="","",Shares!$A325)</f>
      </c>
      <c r="K327">
        <f>IF($J327="","",LEFT($J327,FIND(":",$J327)-1))</f>
      </c>
      <c r="L327">
        <f>IF($J327="","",MID($J327,FIND(":",$J327)+1,FIND(":",$J327,FIND(":",$J327)+1)-FIND(":",$J327)-1))</f>
      </c>
      <c r="M327">
        <f>IF($J327="","",RIGHT($J327,LEN($J327)-FIND(":",$J327,FIND(":",$J327)+1)))</f>
      </c>
      <c r="N327">
        <f>IF($J327="","",IF(ISNUMBER(MATCH($J327,Prices[Key],0)),"OK - in Prices","ADD TO PRICES"))</f>
      </c>
      <c r="P327">
        <f>IFERROR(INDEX(Prices[Key],ROWS($P$4:P327)),"")</f>
      </c>
      <c r="Q327">
        <f>IF($P327="","",IF(ISNUMBER(MATCH($P327,Shares!$A$2:$A$1001,0)),"held","NOT HELD - review"))</f>
      </c>
    </row>
    <row r="328" spans="1:17" ht="15" customHeight="1" x14ac:dyDescent="0.15">
      <c r="J328">
        <f>IF(Shares!$A326="","",Shares!$A326)</f>
      </c>
      <c r="K328">
        <f>IF($J328="","",LEFT($J328,FIND(":",$J328)-1))</f>
      </c>
      <c r="L328">
        <f>IF($J328="","",MID($J328,FIND(":",$J328)+1,FIND(":",$J328,FIND(":",$J328)+1)-FIND(":",$J328)-1))</f>
      </c>
      <c r="M328">
        <f>IF($J328="","",RIGHT($J328,LEN($J328)-FIND(":",$J328,FIND(":",$J328)+1)))</f>
      </c>
      <c r="N328">
        <f>IF($J328="","",IF(ISNUMBER(MATCH($J328,Prices[Key],0)),"OK - in Prices","ADD TO PRICES"))</f>
      </c>
      <c r="P328">
        <f>IFERROR(INDEX(Prices[Key],ROWS($P$4:P328)),"")</f>
      </c>
      <c r="Q328">
        <f>IF($P328="","",IF(ISNUMBER(MATCH($P328,Shares!$A$2:$A$1001,0)),"held","NOT HELD - review"))</f>
      </c>
    </row>
    <row r="329" spans="1:17" ht="15" customHeight="1" x14ac:dyDescent="0.15">
      <c r="J329">
        <f>IF(Shares!$A327="","",Shares!$A327)</f>
      </c>
      <c r="K329">
        <f>IF($J329="","",LEFT($J329,FIND(":",$J329)-1))</f>
      </c>
      <c r="L329">
        <f>IF($J329="","",MID($J329,FIND(":",$J329)+1,FIND(":",$J329,FIND(":",$J329)+1)-FIND(":",$J329)-1))</f>
      </c>
      <c r="M329">
        <f>IF($J329="","",RIGHT($J329,LEN($J329)-FIND(":",$J329,FIND(":",$J329)+1)))</f>
      </c>
      <c r="N329">
        <f>IF($J329="","",IF(ISNUMBER(MATCH($J329,Prices[Key],0)),"OK - in Prices","ADD TO PRICES"))</f>
      </c>
      <c r="P329">
        <f>IFERROR(INDEX(Prices[Key],ROWS($P$4:P329)),"")</f>
      </c>
      <c r="Q329">
        <f>IF($P329="","",IF(ISNUMBER(MATCH($P329,Shares!$A$2:$A$1001,0)),"held","NOT HELD - review"))</f>
      </c>
    </row>
    <row r="330" spans="1:17" ht="15" customHeight="1" x14ac:dyDescent="0.15">
      <c r="J330">
        <f>IF(Shares!$A328="","",Shares!$A328)</f>
      </c>
      <c r="K330">
        <f>IF($J330="","",LEFT($J330,FIND(":",$J330)-1))</f>
      </c>
      <c r="L330">
        <f>IF($J330="","",MID($J330,FIND(":",$J330)+1,FIND(":",$J330,FIND(":",$J330)+1)-FIND(":",$J330)-1))</f>
      </c>
      <c r="M330">
        <f>IF($J330="","",RIGHT($J330,LEN($J330)-FIND(":",$J330,FIND(":",$J330)+1)))</f>
      </c>
      <c r="N330">
        <f>IF($J330="","",IF(ISNUMBER(MATCH($J330,Prices[Key],0)),"OK - in Prices","ADD TO PRICES"))</f>
      </c>
      <c r="P330">
        <f>IFERROR(INDEX(Prices[Key],ROWS($P$4:P330)),"")</f>
      </c>
      <c r="Q330">
        <f>IF($P330="","",IF(ISNUMBER(MATCH($P330,Shares!$A$2:$A$1001,0)),"held","NOT HELD - review"))</f>
      </c>
    </row>
    <row r="331" spans="1:17" ht="15" customHeight="1" x14ac:dyDescent="0.15">
      <c r="J331">
        <f>IF(Shares!$A329="","",Shares!$A329)</f>
      </c>
      <c r="K331">
        <f>IF($J331="","",LEFT($J331,FIND(":",$J331)-1))</f>
      </c>
      <c r="L331">
        <f>IF($J331="","",MID($J331,FIND(":",$J331)+1,FIND(":",$J331,FIND(":",$J331)+1)-FIND(":",$J331)-1))</f>
      </c>
      <c r="M331">
        <f>IF($J331="","",RIGHT($J331,LEN($J331)-FIND(":",$J331,FIND(":",$J331)+1)))</f>
      </c>
      <c r="N331">
        <f>IF($J331="","",IF(ISNUMBER(MATCH($J331,Prices[Key],0)),"OK - in Prices","ADD TO PRICES"))</f>
      </c>
      <c r="P331">
        <f>IFERROR(INDEX(Prices[Key],ROWS($P$4:P331)),"")</f>
      </c>
      <c r="Q331">
        <f>IF($P331="","",IF(ISNUMBER(MATCH($P331,Shares!$A$2:$A$1001,0)),"held","NOT HELD - review"))</f>
      </c>
    </row>
    <row r="332" spans="1:17" ht="15" customHeight="1" x14ac:dyDescent="0.15">
      <c r="J332">
        <f>IF(Shares!$A330="","",Shares!$A330)</f>
      </c>
      <c r="K332">
        <f>IF($J332="","",LEFT($J332,FIND(":",$J332)-1))</f>
      </c>
      <c r="L332">
        <f>IF($J332="","",MID($J332,FIND(":",$J332)+1,FIND(":",$J332,FIND(":",$J332)+1)-FIND(":",$J332)-1))</f>
      </c>
      <c r="M332">
        <f>IF($J332="","",RIGHT($J332,LEN($J332)-FIND(":",$J332,FIND(":",$J332)+1)))</f>
      </c>
      <c r="N332">
        <f>IF($J332="","",IF(ISNUMBER(MATCH($J332,Prices[Key],0)),"OK - in Prices","ADD TO PRICES"))</f>
      </c>
      <c r="P332">
        <f>IFERROR(INDEX(Prices[Key],ROWS($P$4:P332)),"")</f>
      </c>
      <c r="Q332">
        <f>IF($P332="","",IF(ISNUMBER(MATCH($P332,Shares!$A$2:$A$1001,0)),"held","NOT HELD - review"))</f>
      </c>
    </row>
    <row r="333" spans="1:17" ht="15" customHeight="1" x14ac:dyDescent="0.15">
      <c r="J333">
        <f>IF(Shares!$A331="","",Shares!$A331)</f>
      </c>
      <c r="K333">
        <f>IF($J333="","",LEFT($J333,FIND(":",$J333)-1))</f>
      </c>
      <c r="L333">
        <f>IF($J333="","",MID($J333,FIND(":",$J333)+1,FIND(":",$J333,FIND(":",$J333)+1)-FIND(":",$J333)-1))</f>
      </c>
      <c r="M333">
        <f>IF($J333="","",RIGHT($J333,LEN($J333)-FIND(":",$J333,FIND(":",$J333)+1)))</f>
      </c>
      <c r="N333">
        <f>IF($J333="","",IF(ISNUMBER(MATCH($J333,Prices[Key],0)),"OK - in Prices","ADD TO PRICES"))</f>
      </c>
      <c r="P333">
        <f>IFERROR(INDEX(Prices[Key],ROWS($P$4:P333)),"")</f>
      </c>
      <c r="Q333">
        <f>IF($P333="","",IF(ISNUMBER(MATCH($P333,Shares!$A$2:$A$1001,0)),"held","NOT HELD - review"))</f>
      </c>
    </row>
    <row r="334" spans="1:17" ht="15" customHeight="1" x14ac:dyDescent="0.15">
      <c r="J334">
        <f>IF(Shares!$A332="","",Shares!$A332)</f>
      </c>
      <c r="K334">
        <f>IF($J334="","",LEFT($J334,FIND(":",$J334)-1))</f>
      </c>
      <c r="L334">
        <f>IF($J334="","",MID($J334,FIND(":",$J334)+1,FIND(":",$J334,FIND(":",$J334)+1)-FIND(":",$J334)-1))</f>
      </c>
      <c r="M334">
        <f>IF($J334="","",RIGHT($J334,LEN($J334)-FIND(":",$J334,FIND(":",$J334)+1)))</f>
      </c>
      <c r="N334">
        <f>IF($J334="","",IF(ISNUMBER(MATCH($J334,Prices[Key],0)),"OK - in Prices","ADD TO PRICES"))</f>
      </c>
      <c r="P334">
        <f>IFERROR(INDEX(Prices[Key],ROWS($P$4:P334)),"")</f>
      </c>
      <c r="Q334">
        <f>IF($P334="","",IF(ISNUMBER(MATCH($P334,Shares!$A$2:$A$1001,0)),"held","NOT HELD - review"))</f>
      </c>
    </row>
    <row r="335" spans="1:17" ht="15" customHeight="1" x14ac:dyDescent="0.15">
      <c r="J335">
        <f>IF(Shares!$A333="","",Shares!$A333)</f>
      </c>
      <c r="K335">
        <f>IF($J335="","",LEFT($J335,FIND(":",$J335)-1))</f>
      </c>
      <c r="L335">
        <f>IF($J335="","",MID($J335,FIND(":",$J335)+1,FIND(":",$J335,FIND(":",$J335)+1)-FIND(":",$J335)-1))</f>
      </c>
      <c r="M335">
        <f>IF($J335="","",RIGHT($J335,LEN($J335)-FIND(":",$J335,FIND(":",$J335)+1)))</f>
      </c>
      <c r="N335">
        <f>IF($J335="","",IF(ISNUMBER(MATCH($J335,Prices[Key],0)),"OK - in Prices","ADD TO PRICES"))</f>
      </c>
      <c r="P335">
        <f>IFERROR(INDEX(Prices[Key],ROWS($P$4:P335)),"")</f>
      </c>
      <c r="Q335">
        <f>IF($P335="","",IF(ISNUMBER(MATCH($P335,Shares!$A$2:$A$1001,0)),"held","NOT HELD - review"))</f>
      </c>
    </row>
    <row r="336" spans="1:17" ht="15" customHeight="1" x14ac:dyDescent="0.15">
      <c r="J336">
        <f>IF(Shares!$A334="","",Shares!$A334)</f>
      </c>
      <c r="K336">
        <f>IF($J336="","",LEFT($J336,FIND(":",$J336)-1))</f>
      </c>
      <c r="L336">
        <f>IF($J336="","",MID($J336,FIND(":",$J336)+1,FIND(":",$J336,FIND(":",$J336)+1)-FIND(":",$J336)-1))</f>
      </c>
      <c r="M336">
        <f>IF($J336="","",RIGHT($J336,LEN($J336)-FIND(":",$J336,FIND(":",$J336)+1)))</f>
      </c>
      <c r="N336">
        <f>IF($J336="","",IF(ISNUMBER(MATCH($J336,Prices[Key],0)),"OK - in Prices","ADD TO PRICES"))</f>
      </c>
      <c r="P336">
        <f>IFERROR(INDEX(Prices[Key],ROWS($P$4:P336)),"")</f>
      </c>
      <c r="Q336">
        <f>IF($P336="","",IF(ISNUMBER(MATCH($P336,Shares!$A$2:$A$1001,0)),"held","NOT HELD - review"))</f>
      </c>
    </row>
    <row r="337" spans="1:17" ht="15" customHeight="1" x14ac:dyDescent="0.15">
      <c r="J337">
        <f>IF(Shares!$A335="","",Shares!$A335)</f>
      </c>
      <c r="K337">
        <f>IF($J337="","",LEFT($J337,FIND(":",$J337)-1))</f>
      </c>
      <c r="L337">
        <f>IF($J337="","",MID($J337,FIND(":",$J337)+1,FIND(":",$J337,FIND(":",$J337)+1)-FIND(":",$J337)-1))</f>
      </c>
      <c r="M337">
        <f>IF($J337="","",RIGHT($J337,LEN($J337)-FIND(":",$J337,FIND(":",$J337)+1)))</f>
      </c>
      <c r="N337">
        <f>IF($J337="","",IF(ISNUMBER(MATCH($J337,Prices[Key],0)),"OK - in Prices","ADD TO PRICES"))</f>
      </c>
      <c r="P337">
        <f>IFERROR(INDEX(Prices[Key],ROWS($P$4:P337)),"")</f>
      </c>
      <c r="Q337">
        <f>IF($P337="","",IF(ISNUMBER(MATCH($P337,Shares!$A$2:$A$1001,0)),"held","NOT HELD - review"))</f>
      </c>
    </row>
    <row r="338" spans="1:17" ht="15" customHeight="1" x14ac:dyDescent="0.15">
      <c r="J338">
        <f>IF(Shares!$A336="","",Shares!$A336)</f>
      </c>
      <c r="K338">
        <f>IF($J338="","",LEFT($J338,FIND(":",$J338)-1))</f>
      </c>
      <c r="L338">
        <f>IF($J338="","",MID($J338,FIND(":",$J338)+1,FIND(":",$J338,FIND(":",$J338)+1)-FIND(":",$J338)-1))</f>
      </c>
      <c r="M338">
        <f>IF($J338="","",RIGHT($J338,LEN($J338)-FIND(":",$J338,FIND(":",$J338)+1)))</f>
      </c>
      <c r="N338">
        <f>IF($J338="","",IF(ISNUMBER(MATCH($J338,Prices[Key],0)),"OK - in Prices","ADD TO PRICES"))</f>
      </c>
      <c r="P338">
        <f>IFERROR(INDEX(Prices[Key],ROWS($P$4:P338)),"")</f>
      </c>
      <c r="Q338">
        <f>IF($P338="","",IF(ISNUMBER(MATCH($P338,Shares!$A$2:$A$1001,0)),"held","NOT HELD - review"))</f>
      </c>
    </row>
    <row r="339" spans="1:17" ht="15" customHeight="1" x14ac:dyDescent="0.15">
      <c r="J339">
        <f>IF(Shares!$A337="","",Shares!$A337)</f>
      </c>
      <c r="K339">
        <f>IF($J339="","",LEFT($J339,FIND(":",$J339)-1))</f>
      </c>
      <c r="L339">
        <f>IF($J339="","",MID($J339,FIND(":",$J339)+1,FIND(":",$J339,FIND(":",$J339)+1)-FIND(":",$J339)-1))</f>
      </c>
      <c r="M339">
        <f>IF($J339="","",RIGHT($J339,LEN($J339)-FIND(":",$J339,FIND(":",$J339)+1)))</f>
      </c>
      <c r="N339">
        <f>IF($J339="","",IF(ISNUMBER(MATCH($J339,Prices[Key],0)),"OK - in Prices","ADD TO PRICES"))</f>
      </c>
      <c r="P339">
        <f>IFERROR(INDEX(Prices[Key],ROWS($P$4:P339)),"")</f>
      </c>
      <c r="Q339">
        <f>IF($P339="","",IF(ISNUMBER(MATCH($P339,Shares!$A$2:$A$1001,0)),"held","NOT HELD - review"))</f>
      </c>
    </row>
    <row r="340" spans="1:17" ht="15" customHeight="1" x14ac:dyDescent="0.15">
      <c r="J340">
        <f>IF(Shares!$A338="","",Shares!$A338)</f>
      </c>
      <c r="K340">
        <f>IF($J340="","",LEFT($J340,FIND(":",$J340)-1))</f>
      </c>
      <c r="L340">
        <f>IF($J340="","",MID($J340,FIND(":",$J340)+1,FIND(":",$J340,FIND(":",$J340)+1)-FIND(":",$J340)-1))</f>
      </c>
      <c r="M340">
        <f>IF($J340="","",RIGHT($J340,LEN($J340)-FIND(":",$J340,FIND(":",$J340)+1)))</f>
      </c>
      <c r="N340">
        <f>IF($J340="","",IF(ISNUMBER(MATCH($J340,Prices[Key],0)),"OK - in Prices","ADD TO PRICES"))</f>
      </c>
      <c r="P340">
        <f>IFERROR(INDEX(Prices[Key],ROWS($P$4:P340)),"")</f>
      </c>
      <c r="Q340">
        <f>IF($P340="","",IF(ISNUMBER(MATCH($P340,Shares!$A$2:$A$1001,0)),"held","NOT HELD - review"))</f>
      </c>
    </row>
    <row r="341" spans="1:17" ht="15" customHeight="1" x14ac:dyDescent="0.15">
      <c r="J341">
        <f>IF(Shares!$A339="","",Shares!$A339)</f>
      </c>
      <c r="K341">
        <f>IF($J341="","",LEFT($J341,FIND(":",$J341)-1))</f>
      </c>
      <c r="L341">
        <f>IF($J341="","",MID($J341,FIND(":",$J341)+1,FIND(":",$J341,FIND(":",$J341)+1)-FIND(":",$J341)-1))</f>
      </c>
      <c r="M341">
        <f>IF($J341="","",RIGHT($J341,LEN($J341)-FIND(":",$J341,FIND(":",$J341)+1)))</f>
      </c>
      <c r="N341">
        <f>IF($J341="","",IF(ISNUMBER(MATCH($J341,Prices[Key],0)),"OK - in Prices","ADD TO PRICES"))</f>
      </c>
      <c r="P341">
        <f>IFERROR(INDEX(Prices[Key],ROWS($P$4:P341)),"")</f>
      </c>
      <c r="Q341">
        <f>IF($P341="","",IF(ISNUMBER(MATCH($P341,Shares!$A$2:$A$1001,0)),"held","NOT HELD - review"))</f>
      </c>
    </row>
    <row r="342" spans="1:17" ht="15" customHeight="1" x14ac:dyDescent="0.15">
      <c r="J342">
        <f>IF(Shares!$A340="","",Shares!$A340)</f>
      </c>
      <c r="K342">
        <f>IF($J342="","",LEFT($J342,FIND(":",$J342)-1))</f>
      </c>
      <c r="L342">
        <f>IF($J342="","",MID($J342,FIND(":",$J342)+1,FIND(":",$J342,FIND(":",$J342)+1)-FIND(":",$J342)-1))</f>
      </c>
      <c r="M342">
        <f>IF($J342="","",RIGHT($J342,LEN($J342)-FIND(":",$J342,FIND(":",$J342)+1)))</f>
      </c>
      <c r="N342">
        <f>IF($J342="","",IF(ISNUMBER(MATCH($J342,Prices[Key],0)),"OK - in Prices","ADD TO PRICES"))</f>
      </c>
      <c r="P342">
        <f>IFERROR(INDEX(Prices[Key],ROWS($P$4:P342)),"")</f>
      </c>
      <c r="Q342">
        <f>IF($P342="","",IF(ISNUMBER(MATCH($P342,Shares!$A$2:$A$1001,0)),"held","NOT HELD - review"))</f>
      </c>
    </row>
    <row r="343" spans="1:17" ht="15" customHeight="1" x14ac:dyDescent="0.15">
      <c r="J343">
        <f>IF(Shares!$A341="","",Shares!$A341)</f>
      </c>
      <c r="K343">
        <f>IF($J343="","",LEFT($J343,FIND(":",$J343)-1))</f>
      </c>
      <c r="L343">
        <f>IF($J343="","",MID($J343,FIND(":",$J343)+1,FIND(":",$J343,FIND(":",$J343)+1)-FIND(":",$J343)-1))</f>
      </c>
      <c r="M343">
        <f>IF($J343="","",RIGHT($J343,LEN($J343)-FIND(":",$J343,FIND(":",$J343)+1)))</f>
      </c>
      <c r="N343">
        <f>IF($J343="","",IF(ISNUMBER(MATCH($J343,Prices[Key],0)),"OK - in Prices","ADD TO PRICES"))</f>
      </c>
      <c r="P343">
        <f>IFERROR(INDEX(Prices[Key],ROWS($P$4:P343)),"")</f>
      </c>
      <c r="Q343">
        <f>IF($P343="","",IF(ISNUMBER(MATCH($P343,Shares!$A$2:$A$1001,0)),"held","NOT HELD - review"))</f>
      </c>
    </row>
    <row r="344" spans="1:17" ht="15" customHeight="1" x14ac:dyDescent="0.15">
      <c r="J344">
        <f>IF(Shares!$A342="","",Shares!$A342)</f>
      </c>
      <c r="K344">
        <f>IF($J344="","",LEFT($J344,FIND(":",$J344)-1))</f>
      </c>
      <c r="L344">
        <f>IF($J344="","",MID($J344,FIND(":",$J344)+1,FIND(":",$J344,FIND(":",$J344)+1)-FIND(":",$J344)-1))</f>
      </c>
      <c r="M344">
        <f>IF($J344="","",RIGHT($J344,LEN($J344)-FIND(":",$J344,FIND(":",$J344)+1)))</f>
      </c>
      <c r="N344">
        <f>IF($J344="","",IF(ISNUMBER(MATCH($J344,Prices[Key],0)),"OK - in Prices","ADD TO PRICES"))</f>
      </c>
      <c r="P344">
        <f>IFERROR(INDEX(Prices[Key],ROWS($P$4:P344)),"")</f>
      </c>
      <c r="Q344">
        <f>IF($P344="","",IF(ISNUMBER(MATCH($P344,Shares!$A$2:$A$1001,0)),"held","NOT HELD - review"))</f>
      </c>
    </row>
    <row r="345" spans="1:17" ht="15" customHeight="1" x14ac:dyDescent="0.15">
      <c r="J345">
        <f>IF(Shares!$A343="","",Shares!$A343)</f>
      </c>
      <c r="K345">
        <f>IF($J345="","",LEFT($J345,FIND(":",$J345)-1))</f>
      </c>
      <c r="L345">
        <f>IF($J345="","",MID($J345,FIND(":",$J345)+1,FIND(":",$J345,FIND(":",$J345)+1)-FIND(":",$J345)-1))</f>
      </c>
      <c r="M345">
        <f>IF($J345="","",RIGHT($J345,LEN($J345)-FIND(":",$J345,FIND(":",$J345)+1)))</f>
      </c>
      <c r="N345">
        <f>IF($J345="","",IF(ISNUMBER(MATCH($J345,Prices[Key],0)),"OK - in Prices","ADD TO PRICES"))</f>
      </c>
      <c r="P345">
        <f>IFERROR(INDEX(Prices[Key],ROWS($P$4:P345)),"")</f>
      </c>
      <c r="Q345">
        <f>IF($P345="","",IF(ISNUMBER(MATCH($P345,Shares!$A$2:$A$1001,0)),"held","NOT HELD - review"))</f>
      </c>
    </row>
    <row r="346" spans="1:17" ht="15" customHeight="1" x14ac:dyDescent="0.15">
      <c r="J346">
        <f>IF(Shares!$A344="","",Shares!$A344)</f>
      </c>
      <c r="K346">
        <f>IF($J346="","",LEFT($J346,FIND(":",$J346)-1))</f>
      </c>
      <c r="L346">
        <f>IF($J346="","",MID($J346,FIND(":",$J346)+1,FIND(":",$J346,FIND(":",$J346)+1)-FIND(":",$J346)-1))</f>
      </c>
      <c r="M346">
        <f>IF($J346="","",RIGHT($J346,LEN($J346)-FIND(":",$J346,FIND(":",$J346)+1)))</f>
      </c>
      <c r="N346">
        <f>IF($J346="","",IF(ISNUMBER(MATCH($J346,Prices[Key],0)),"OK - in Prices","ADD TO PRICES"))</f>
      </c>
      <c r="P346">
        <f>IFERROR(INDEX(Prices[Key],ROWS($P$4:P346)),"")</f>
      </c>
      <c r="Q346">
        <f>IF($P346="","",IF(ISNUMBER(MATCH($P346,Shares!$A$2:$A$1001,0)),"held","NOT HELD - review"))</f>
      </c>
    </row>
    <row r="347" spans="1:17" ht="15" customHeight="1" x14ac:dyDescent="0.15">
      <c r="J347">
        <f>IF(Shares!$A345="","",Shares!$A345)</f>
      </c>
      <c r="K347">
        <f>IF($J347="","",LEFT($J347,FIND(":",$J347)-1))</f>
      </c>
      <c r="L347">
        <f>IF($J347="","",MID($J347,FIND(":",$J347)+1,FIND(":",$J347,FIND(":",$J347)+1)-FIND(":",$J347)-1))</f>
      </c>
      <c r="M347">
        <f>IF($J347="","",RIGHT($J347,LEN($J347)-FIND(":",$J347,FIND(":",$J347)+1)))</f>
      </c>
      <c r="N347">
        <f>IF($J347="","",IF(ISNUMBER(MATCH($J347,Prices[Key],0)),"OK - in Prices","ADD TO PRICES"))</f>
      </c>
      <c r="P347">
        <f>IFERROR(INDEX(Prices[Key],ROWS($P$4:P347)),"")</f>
      </c>
      <c r="Q347">
        <f>IF($P347="","",IF(ISNUMBER(MATCH($P347,Shares!$A$2:$A$1001,0)),"held","NOT HELD - review"))</f>
      </c>
    </row>
    <row r="348" spans="1:17" ht="15" customHeight="1" x14ac:dyDescent="0.15">
      <c r="J348">
        <f>IF(Shares!$A346="","",Shares!$A346)</f>
      </c>
      <c r="K348">
        <f>IF($J348="","",LEFT($J348,FIND(":",$J348)-1))</f>
      </c>
      <c r="L348">
        <f>IF($J348="","",MID($J348,FIND(":",$J348)+1,FIND(":",$J348,FIND(":",$J348)+1)-FIND(":",$J348)-1))</f>
      </c>
      <c r="M348">
        <f>IF($J348="","",RIGHT($J348,LEN($J348)-FIND(":",$J348,FIND(":",$J348)+1)))</f>
      </c>
      <c r="N348">
        <f>IF($J348="","",IF(ISNUMBER(MATCH($J348,Prices[Key],0)),"OK - in Prices","ADD TO PRICES"))</f>
      </c>
      <c r="P348">
        <f>IFERROR(INDEX(Prices[Key],ROWS($P$4:P348)),"")</f>
      </c>
      <c r="Q348">
        <f>IF($P348="","",IF(ISNUMBER(MATCH($P348,Shares!$A$2:$A$1001,0)),"held","NOT HELD - review"))</f>
      </c>
    </row>
    <row r="349" spans="1:17" ht="15" customHeight="1" x14ac:dyDescent="0.15">
      <c r="J349">
        <f>IF(Shares!$A347="","",Shares!$A347)</f>
      </c>
      <c r="K349">
        <f>IF($J349="","",LEFT($J349,FIND(":",$J349)-1))</f>
      </c>
      <c r="L349">
        <f>IF($J349="","",MID($J349,FIND(":",$J349)+1,FIND(":",$J349,FIND(":",$J349)+1)-FIND(":",$J349)-1))</f>
      </c>
      <c r="M349">
        <f>IF($J349="","",RIGHT($J349,LEN($J349)-FIND(":",$J349,FIND(":",$J349)+1)))</f>
      </c>
      <c r="N349">
        <f>IF($J349="","",IF(ISNUMBER(MATCH($J349,Prices[Key],0)),"OK - in Prices","ADD TO PRICES"))</f>
      </c>
      <c r="P349">
        <f>IFERROR(INDEX(Prices[Key],ROWS($P$4:P349)),"")</f>
      </c>
      <c r="Q349">
        <f>IF($P349="","",IF(ISNUMBER(MATCH($P349,Shares!$A$2:$A$1001,0)),"held","NOT HELD - review"))</f>
      </c>
    </row>
    <row r="350" spans="1:17" ht="15" customHeight="1" x14ac:dyDescent="0.15">
      <c r="J350">
        <f>IF(Shares!$A348="","",Shares!$A348)</f>
      </c>
      <c r="K350">
        <f>IF($J350="","",LEFT($J350,FIND(":",$J350)-1))</f>
      </c>
      <c r="L350">
        <f>IF($J350="","",MID($J350,FIND(":",$J350)+1,FIND(":",$J350,FIND(":",$J350)+1)-FIND(":",$J350)-1))</f>
      </c>
      <c r="M350">
        <f>IF($J350="","",RIGHT($J350,LEN($J350)-FIND(":",$J350,FIND(":",$J350)+1)))</f>
      </c>
      <c r="N350">
        <f>IF($J350="","",IF(ISNUMBER(MATCH($J350,Prices[Key],0)),"OK - in Prices","ADD TO PRICES"))</f>
      </c>
      <c r="P350">
        <f>IFERROR(INDEX(Prices[Key],ROWS($P$4:P350)),"")</f>
      </c>
      <c r="Q350">
        <f>IF($P350="","",IF(ISNUMBER(MATCH($P350,Shares!$A$2:$A$1001,0)),"held","NOT HELD - review"))</f>
      </c>
    </row>
    <row r="351" spans="1:17" ht="15" customHeight="1" x14ac:dyDescent="0.15">
      <c r="J351">
        <f>IF(Shares!$A349="","",Shares!$A349)</f>
      </c>
      <c r="K351">
        <f>IF($J351="","",LEFT($J351,FIND(":",$J351)-1))</f>
      </c>
      <c r="L351">
        <f>IF($J351="","",MID($J351,FIND(":",$J351)+1,FIND(":",$J351,FIND(":",$J351)+1)-FIND(":",$J351)-1))</f>
      </c>
      <c r="M351">
        <f>IF($J351="","",RIGHT($J351,LEN($J351)-FIND(":",$J351,FIND(":",$J351)+1)))</f>
      </c>
      <c r="N351">
        <f>IF($J351="","",IF(ISNUMBER(MATCH($J351,Prices[Key],0)),"OK - in Prices","ADD TO PRICES"))</f>
      </c>
      <c r="P351">
        <f>IFERROR(INDEX(Prices[Key],ROWS($P$4:P351)),"")</f>
      </c>
      <c r="Q351">
        <f>IF($P351="","",IF(ISNUMBER(MATCH($P351,Shares!$A$2:$A$1001,0)),"held","NOT HELD - review"))</f>
      </c>
    </row>
    <row r="352" spans="1:17" ht="15" customHeight="1" x14ac:dyDescent="0.15">
      <c r="J352">
        <f>IF(Shares!$A350="","",Shares!$A350)</f>
      </c>
      <c r="K352">
        <f>IF($J352="","",LEFT($J352,FIND(":",$J352)-1))</f>
      </c>
      <c r="L352">
        <f>IF($J352="","",MID($J352,FIND(":",$J352)+1,FIND(":",$J352,FIND(":",$J352)+1)-FIND(":",$J352)-1))</f>
      </c>
      <c r="M352">
        <f>IF($J352="","",RIGHT($J352,LEN($J352)-FIND(":",$J352,FIND(":",$J352)+1)))</f>
      </c>
      <c r="N352">
        <f>IF($J352="","",IF(ISNUMBER(MATCH($J352,Prices[Key],0)),"OK - in Prices","ADD TO PRICES"))</f>
      </c>
      <c r="P352">
        <f>IFERROR(INDEX(Prices[Key],ROWS($P$4:P352)),"")</f>
      </c>
      <c r="Q352">
        <f>IF($P352="","",IF(ISNUMBER(MATCH($P352,Shares!$A$2:$A$1001,0)),"held","NOT HELD - review"))</f>
      </c>
    </row>
    <row r="353" spans="1:17" ht="15" customHeight="1" x14ac:dyDescent="0.15">
      <c r="J353">
        <f>IF(Shares!$A351="","",Shares!$A351)</f>
      </c>
      <c r="K353">
        <f>IF($J353="","",LEFT($J353,FIND(":",$J353)-1))</f>
      </c>
      <c r="L353">
        <f>IF($J353="","",MID($J353,FIND(":",$J353)+1,FIND(":",$J353,FIND(":",$J353)+1)-FIND(":",$J353)-1))</f>
      </c>
      <c r="M353">
        <f>IF($J353="","",RIGHT($J353,LEN($J353)-FIND(":",$J353,FIND(":",$J353)+1)))</f>
      </c>
      <c r="N353">
        <f>IF($J353="","",IF(ISNUMBER(MATCH($J353,Prices[Key],0)),"OK - in Prices","ADD TO PRICES"))</f>
      </c>
      <c r="P353">
        <f>IFERROR(INDEX(Prices[Key],ROWS($P$4:P353)),"")</f>
      </c>
      <c r="Q353">
        <f>IF($P353="","",IF(ISNUMBER(MATCH($P353,Shares!$A$2:$A$1001,0)),"held","NOT HELD - review"))</f>
      </c>
    </row>
    <row r="354" spans="1:17" ht="15" customHeight="1" x14ac:dyDescent="0.15">
      <c r="J354">
        <f>IF(Shares!$A352="","",Shares!$A352)</f>
      </c>
      <c r="K354">
        <f>IF($J354="","",LEFT($J354,FIND(":",$J354)-1))</f>
      </c>
      <c r="L354">
        <f>IF($J354="","",MID($J354,FIND(":",$J354)+1,FIND(":",$J354,FIND(":",$J354)+1)-FIND(":",$J354)-1))</f>
      </c>
      <c r="M354">
        <f>IF($J354="","",RIGHT($J354,LEN($J354)-FIND(":",$J354,FIND(":",$J354)+1)))</f>
      </c>
      <c r="N354">
        <f>IF($J354="","",IF(ISNUMBER(MATCH($J354,Prices[Key],0)),"OK - in Prices","ADD TO PRICES"))</f>
      </c>
      <c r="P354">
        <f>IFERROR(INDEX(Prices[Key],ROWS($P$4:P354)),"")</f>
      </c>
      <c r="Q354">
        <f>IF($P354="","",IF(ISNUMBER(MATCH($P354,Shares!$A$2:$A$1001,0)),"held","NOT HELD - review"))</f>
      </c>
    </row>
    <row r="355" spans="1:17" ht="15" customHeight="1" x14ac:dyDescent="0.15">
      <c r="J355">
        <f>IF(Shares!$A353="","",Shares!$A353)</f>
      </c>
      <c r="K355">
        <f>IF($J355="","",LEFT($J355,FIND(":",$J355)-1))</f>
      </c>
      <c r="L355">
        <f>IF($J355="","",MID($J355,FIND(":",$J355)+1,FIND(":",$J355,FIND(":",$J355)+1)-FIND(":",$J355)-1))</f>
      </c>
      <c r="M355">
        <f>IF($J355="","",RIGHT($J355,LEN($J355)-FIND(":",$J355,FIND(":",$J355)+1)))</f>
      </c>
      <c r="N355">
        <f>IF($J355="","",IF(ISNUMBER(MATCH($J355,Prices[Key],0)),"OK - in Prices","ADD TO PRICES"))</f>
      </c>
      <c r="P355">
        <f>IFERROR(INDEX(Prices[Key],ROWS($P$4:P355)),"")</f>
      </c>
      <c r="Q355">
        <f>IF($P355="","",IF(ISNUMBER(MATCH($P355,Shares!$A$2:$A$1001,0)),"held","NOT HELD - review"))</f>
      </c>
    </row>
    <row r="356" spans="1:17" ht="15" customHeight="1" x14ac:dyDescent="0.15">
      <c r="J356">
        <f>IF(Shares!$A354="","",Shares!$A354)</f>
      </c>
      <c r="K356">
        <f>IF($J356="","",LEFT($J356,FIND(":",$J356)-1))</f>
      </c>
      <c r="L356">
        <f>IF($J356="","",MID($J356,FIND(":",$J356)+1,FIND(":",$J356,FIND(":",$J356)+1)-FIND(":",$J356)-1))</f>
      </c>
      <c r="M356">
        <f>IF($J356="","",RIGHT($J356,LEN($J356)-FIND(":",$J356,FIND(":",$J356)+1)))</f>
      </c>
      <c r="N356">
        <f>IF($J356="","",IF(ISNUMBER(MATCH($J356,Prices[Key],0)),"OK - in Prices","ADD TO PRICES"))</f>
      </c>
      <c r="P356">
        <f>IFERROR(INDEX(Prices[Key],ROWS($P$4:P356)),"")</f>
      </c>
      <c r="Q356">
        <f>IF($P356="","",IF(ISNUMBER(MATCH($P356,Shares!$A$2:$A$1001,0)),"held","NOT HELD - review"))</f>
      </c>
    </row>
    <row r="357" spans="1:17" ht="15" customHeight="1" x14ac:dyDescent="0.15">
      <c r="J357">
        <f>IF(Shares!$A355="","",Shares!$A355)</f>
      </c>
      <c r="K357">
        <f>IF($J357="","",LEFT($J357,FIND(":",$J357)-1))</f>
      </c>
      <c r="L357">
        <f>IF($J357="","",MID($J357,FIND(":",$J357)+1,FIND(":",$J357,FIND(":",$J357)+1)-FIND(":",$J357)-1))</f>
      </c>
      <c r="M357">
        <f>IF($J357="","",RIGHT($J357,LEN($J357)-FIND(":",$J357,FIND(":",$J357)+1)))</f>
      </c>
      <c r="N357">
        <f>IF($J357="","",IF(ISNUMBER(MATCH($J357,Prices[Key],0)),"OK - in Prices","ADD TO PRICES"))</f>
      </c>
      <c r="P357">
        <f>IFERROR(INDEX(Prices[Key],ROWS($P$4:P357)),"")</f>
      </c>
      <c r="Q357">
        <f>IF($P357="","",IF(ISNUMBER(MATCH($P357,Shares!$A$2:$A$1001,0)),"held","NOT HELD - review"))</f>
      </c>
    </row>
    <row r="358" spans="1:17" ht="15" customHeight="1" x14ac:dyDescent="0.15">
      <c r="J358">
        <f>IF(Shares!$A356="","",Shares!$A356)</f>
      </c>
      <c r="K358">
        <f>IF($J358="","",LEFT($J358,FIND(":",$J358)-1))</f>
      </c>
      <c r="L358">
        <f>IF($J358="","",MID($J358,FIND(":",$J358)+1,FIND(":",$J358,FIND(":",$J358)+1)-FIND(":",$J358)-1))</f>
      </c>
      <c r="M358">
        <f>IF($J358="","",RIGHT($J358,LEN($J358)-FIND(":",$J358,FIND(":",$J358)+1)))</f>
      </c>
      <c r="N358">
        <f>IF($J358="","",IF(ISNUMBER(MATCH($J358,Prices[Key],0)),"OK - in Prices","ADD TO PRICES"))</f>
      </c>
      <c r="P358">
        <f>IFERROR(INDEX(Prices[Key],ROWS($P$4:P358)),"")</f>
      </c>
      <c r="Q358">
        <f>IF($P358="","",IF(ISNUMBER(MATCH($P358,Shares!$A$2:$A$1001,0)),"held","NOT HELD - review"))</f>
      </c>
    </row>
    <row r="359" spans="1:17" ht="15" customHeight="1" x14ac:dyDescent="0.15">
      <c r="J359">
        <f>IF(Shares!$A357="","",Shares!$A357)</f>
      </c>
      <c r="K359">
        <f>IF($J359="","",LEFT($J359,FIND(":",$J359)-1))</f>
      </c>
      <c r="L359">
        <f>IF($J359="","",MID($J359,FIND(":",$J359)+1,FIND(":",$J359,FIND(":",$J359)+1)-FIND(":",$J359)-1))</f>
      </c>
      <c r="M359">
        <f>IF($J359="","",RIGHT($J359,LEN($J359)-FIND(":",$J359,FIND(":",$J359)+1)))</f>
      </c>
      <c r="N359">
        <f>IF($J359="","",IF(ISNUMBER(MATCH($J359,Prices[Key],0)),"OK - in Prices","ADD TO PRICES"))</f>
      </c>
      <c r="P359">
        <f>IFERROR(INDEX(Prices[Key],ROWS($P$4:P359)),"")</f>
      </c>
      <c r="Q359">
        <f>IF($P359="","",IF(ISNUMBER(MATCH($P359,Shares!$A$2:$A$1001,0)),"held","NOT HELD - review"))</f>
      </c>
    </row>
    <row r="360" spans="1:17" ht="15" customHeight="1" x14ac:dyDescent="0.15">
      <c r="J360">
        <f>IF(Shares!$A358="","",Shares!$A358)</f>
      </c>
      <c r="K360">
        <f>IF($J360="","",LEFT($J360,FIND(":",$J360)-1))</f>
      </c>
      <c r="L360">
        <f>IF($J360="","",MID($J360,FIND(":",$J360)+1,FIND(":",$J360,FIND(":",$J360)+1)-FIND(":",$J360)-1))</f>
      </c>
      <c r="M360">
        <f>IF($J360="","",RIGHT($J360,LEN($J360)-FIND(":",$J360,FIND(":",$J360)+1)))</f>
      </c>
      <c r="N360">
        <f>IF($J360="","",IF(ISNUMBER(MATCH($J360,Prices[Key],0)),"OK - in Prices","ADD TO PRICES"))</f>
      </c>
      <c r="P360">
        <f>IFERROR(INDEX(Prices[Key],ROWS($P$4:P360)),"")</f>
      </c>
      <c r="Q360">
        <f>IF($P360="","",IF(ISNUMBER(MATCH($P360,Shares!$A$2:$A$1001,0)),"held","NOT HELD - review"))</f>
      </c>
    </row>
    <row r="361" spans="1:17" ht="15" customHeight="1" x14ac:dyDescent="0.15">
      <c r="J361">
        <f>IF(Shares!$A359="","",Shares!$A359)</f>
      </c>
      <c r="K361">
        <f>IF($J361="","",LEFT($J361,FIND(":",$J361)-1))</f>
      </c>
      <c r="L361">
        <f>IF($J361="","",MID($J361,FIND(":",$J361)+1,FIND(":",$J361,FIND(":",$J361)+1)-FIND(":",$J361)-1))</f>
      </c>
      <c r="M361">
        <f>IF($J361="","",RIGHT($J361,LEN($J361)-FIND(":",$J361,FIND(":",$J361)+1)))</f>
      </c>
      <c r="N361">
        <f>IF($J361="","",IF(ISNUMBER(MATCH($J361,Prices[Key],0)),"OK - in Prices","ADD TO PRICES"))</f>
      </c>
      <c r="P361">
        <f>IFERROR(INDEX(Prices[Key],ROWS($P$4:P361)),"")</f>
      </c>
      <c r="Q361">
        <f>IF($P361="","",IF(ISNUMBER(MATCH($P361,Shares!$A$2:$A$1001,0)),"held","NOT HELD - review"))</f>
      </c>
    </row>
    <row r="362" spans="1:17" ht="15" customHeight="1" x14ac:dyDescent="0.15">
      <c r="J362">
        <f>IF(Shares!$A360="","",Shares!$A360)</f>
      </c>
      <c r="K362">
        <f>IF($J362="","",LEFT($J362,FIND(":",$J362)-1))</f>
      </c>
      <c r="L362">
        <f>IF($J362="","",MID($J362,FIND(":",$J362)+1,FIND(":",$J362,FIND(":",$J362)+1)-FIND(":",$J362)-1))</f>
      </c>
      <c r="M362">
        <f>IF($J362="","",RIGHT($J362,LEN($J362)-FIND(":",$J362,FIND(":",$J362)+1)))</f>
      </c>
      <c r="N362">
        <f>IF($J362="","",IF(ISNUMBER(MATCH($J362,Prices[Key],0)),"OK - in Prices","ADD TO PRICES"))</f>
      </c>
      <c r="P362">
        <f>IFERROR(INDEX(Prices[Key],ROWS($P$4:P362)),"")</f>
      </c>
      <c r="Q362">
        <f>IF($P362="","",IF(ISNUMBER(MATCH($P362,Shares!$A$2:$A$1001,0)),"held","NOT HELD - review"))</f>
      </c>
    </row>
    <row r="363" spans="1:17" ht="15" customHeight="1" x14ac:dyDescent="0.15">
      <c r="J363">
        <f>IF(Shares!$A361="","",Shares!$A361)</f>
      </c>
      <c r="K363">
        <f>IF($J363="","",LEFT($J363,FIND(":",$J363)-1))</f>
      </c>
      <c r="L363">
        <f>IF($J363="","",MID($J363,FIND(":",$J363)+1,FIND(":",$J363,FIND(":",$J363)+1)-FIND(":",$J363)-1))</f>
      </c>
      <c r="M363">
        <f>IF($J363="","",RIGHT($J363,LEN($J363)-FIND(":",$J363,FIND(":",$J363)+1)))</f>
      </c>
      <c r="N363">
        <f>IF($J363="","",IF(ISNUMBER(MATCH($J363,Prices[Key],0)),"OK - in Prices","ADD TO PRICES"))</f>
      </c>
      <c r="P363">
        <f>IFERROR(INDEX(Prices[Key],ROWS($P$4:P363)),"")</f>
      </c>
      <c r="Q363">
        <f>IF($P363="","",IF(ISNUMBER(MATCH($P363,Shares!$A$2:$A$1001,0)),"held","NOT HELD - review"))</f>
      </c>
    </row>
    <row r="364" spans="1:17" ht="15" customHeight="1" x14ac:dyDescent="0.15">
      <c r="J364">
        <f>IF(Shares!$A362="","",Shares!$A362)</f>
      </c>
      <c r="K364">
        <f>IF($J364="","",LEFT($J364,FIND(":",$J364)-1))</f>
      </c>
      <c r="L364">
        <f>IF($J364="","",MID($J364,FIND(":",$J364)+1,FIND(":",$J364,FIND(":",$J364)+1)-FIND(":",$J364)-1))</f>
      </c>
      <c r="M364">
        <f>IF($J364="","",RIGHT($J364,LEN($J364)-FIND(":",$J364,FIND(":",$J364)+1)))</f>
      </c>
      <c r="N364">
        <f>IF($J364="","",IF(ISNUMBER(MATCH($J364,Prices[Key],0)),"OK - in Prices","ADD TO PRICES"))</f>
      </c>
      <c r="P364">
        <f>IFERROR(INDEX(Prices[Key],ROWS($P$4:P364)),"")</f>
      </c>
      <c r="Q364">
        <f>IF($P364="","",IF(ISNUMBER(MATCH($P364,Shares!$A$2:$A$1001,0)),"held","NOT HELD - review"))</f>
      </c>
    </row>
    <row r="365" spans="1:17" ht="15" customHeight="1" x14ac:dyDescent="0.15">
      <c r="J365">
        <f>IF(Shares!$A363="","",Shares!$A363)</f>
      </c>
      <c r="K365">
        <f>IF($J365="","",LEFT($J365,FIND(":",$J365)-1))</f>
      </c>
      <c r="L365">
        <f>IF($J365="","",MID($J365,FIND(":",$J365)+1,FIND(":",$J365,FIND(":",$J365)+1)-FIND(":",$J365)-1))</f>
      </c>
      <c r="M365">
        <f>IF($J365="","",RIGHT($J365,LEN($J365)-FIND(":",$J365,FIND(":",$J365)+1)))</f>
      </c>
      <c r="N365">
        <f>IF($J365="","",IF(ISNUMBER(MATCH($J365,Prices[Key],0)),"OK - in Prices","ADD TO PRICES"))</f>
      </c>
      <c r="P365">
        <f>IFERROR(INDEX(Prices[Key],ROWS($P$4:P365)),"")</f>
      </c>
      <c r="Q365">
        <f>IF($P365="","",IF(ISNUMBER(MATCH($P365,Shares!$A$2:$A$1001,0)),"held","NOT HELD - review"))</f>
      </c>
    </row>
    <row r="366" spans="1:17" ht="15" customHeight="1" x14ac:dyDescent="0.15">
      <c r="J366">
        <f>IF(Shares!$A364="","",Shares!$A364)</f>
      </c>
      <c r="K366">
        <f>IF($J366="","",LEFT($J366,FIND(":",$J366)-1))</f>
      </c>
      <c r="L366">
        <f>IF($J366="","",MID($J366,FIND(":",$J366)+1,FIND(":",$J366,FIND(":",$J366)+1)-FIND(":",$J366)-1))</f>
      </c>
      <c r="M366">
        <f>IF($J366="","",RIGHT($J366,LEN($J366)-FIND(":",$J366,FIND(":",$J366)+1)))</f>
      </c>
      <c r="N366">
        <f>IF($J366="","",IF(ISNUMBER(MATCH($J366,Prices[Key],0)),"OK - in Prices","ADD TO PRICES"))</f>
      </c>
      <c r="P366">
        <f>IFERROR(INDEX(Prices[Key],ROWS($P$4:P366)),"")</f>
      </c>
      <c r="Q366">
        <f>IF($P366="","",IF(ISNUMBER(MATCH($P366,Shares!$A$2:$A$1001,0)),"held","NOT HELD - review"))</f>
      </c>
    </row>
    <row r="367" spans="1:17" ht="15" customHeight="1" x14ac:dyDescent="0.15">
      <c r="J367">
        <f>IF(Shares!$A365="","",Shares!$A365)</f>
      </c>
      <c r="K367">
        <f>IF($J367="","",LEFT($J367,FIND(":",$J367)-1))</f>
      </c>
      <c r="L367">
        <f>IF($J367="","",MID($J367,FIND(":",$J367)+1,FIND(":",$J367,FIND(":",$J367)+1)-FIND(":",$J367)-1))</f>
      </c>
      <c r="M367">
        <f>IF($J367="","",RIGHT($J367,LEN($J367)-FIND(":",$J367,FIND(":",$J367)+1)))</f>
      </c>
      <c r="N367">
        <f>IF($J367="","",IF(ISNUMBER(MATCH($J367,Prices[Key],0)),"OK - in Prices","ADD TO PRICES"))</f>
      </c>
      <c r="P367">
        <f>IFERROR(INDEX(Prices[Key],ROWS($P$4:P367)),"")</f>
      </c>
      <c r="Q367">
        <f>IF($P367="","",IF(ISNUMBER(MATCH($P367,Shares!$A$2:$A$1001,0)),"held","NOT HELD - review"))</f>
      </c>
    </row>
    <row r="368" spans="1:17" ht="15" customHeight="1" x14ac:dyDescent="0.15">
      <c r="J368">
        <f>IF(Shares!$A366="","",Shares!$A366)</f>
      </c>
      <c r="K368">
        <f>IF($J368="","",LEFT($J368,FIND(":",$J368)-1))</f>
      </c>
      <c r="L368">
        <f>IF($J368="","",MID($J368,FIND(":",$J368)+1,FIND(":",$J368,FIND(":",$J368)+1)-FIND(":",$J368)-1))</f>
      </c>
      <c r="M368">
        <f>IF($J368="","",RIGHT($J368,LEN($J368)-FIND(":",$J368,FIND(":",$J368)+1)))</f>
      </c>
      <c r="N368">
        <f>IF($J368="","",IF(ISNUMBER(MATCH($J368,Prices[Key],0)),"OK - in Prices","ADD TO PRICES"))</f>
      </c>
      <c r="P368">
        <f>IFERROR(INDEX(Prices[Key],ROWS($P$4:P368)),"")</f>
      </c>
      <c r="Q368">
        <f>IF($P368="","",IF(ISNUMBER(MATCH($P368,Shares!$A$2:$A$1001,0)),"held","NOT HELD - review"))</f>
      </c>
    </row>
    <row r="369" spans="1:17" ht="15" customHeight="1" x14ac:dyDescent="0.15">
      <c r="J369">
        <f>IF(Shares!$A367="","",Shares!$A367)</f>
      </c>
      <c r="K369">
        <f>IF($J369="","",LEFT($J369,FIND(":",$J369)-1))</f>
      </c>
      <c r="L369">
        <f>IF($J369="","",MID($J369,FIND(":",$J369)+1,FIND(":",$J369,FIND(":",$J369)+1)-FIND(":",$J369)-1))</f>
      </c>
      <c r="M369">
        <f>IF($J369="","",RIGHT($J369,LEN($J369)-FIND(":",$J369,FIND(":",$J369)+1)))</f>
      </c>
      <c r="N369">
        <f>IF($J369="","",IF(ISNUMBER(MATCH($J369,Prices[Key],0)),"OK - in Prices","ADD TO PRICES"))</f>
      </c>
      <c r="P369">
        <f>IFERROR(INDEX(Prices[Key],ROWS($P$4:P369)),"")</f>
      </c>
      <c r="Q369">
        <f>IF($P369="","",IF(ISNUMBER(MATCH($P369,Shares!$A$2:$A$1001,0)),"held","NOT HELD - review"))</f>
      </c>
    </row>
    <row r="370" spans="1:17" ht="15" customHeight="1" x14ac:dyDescent="0.15">
      <c r="J370">
        <f>IF(Shares!$A368="","",Shares!$A368)</f>
      </c>
      <c r="K370">
        <f>IF($J370="","",LEFT($J370,FIND(":",$J370)-1))</f>
      </c>
      <c r="L370">
        <f>IF($J370="","",MID($J370,FIND(":",$J370)+1,FIND(":",$J370,FIND(":",$J370)+1)-FIND(":",$J370)-1))</f>
      </c>
      <c r="M370">
        <f>IF($J370="","",RIGHT($J370,LEN($J370)-FIND(":",$J370,FIND(":",$J370)+1)))</f>
      </c>
      <c r="N370">
        <f>IF($J370="","",IF(ISNUMBER(MATCH($J370,Prices[Key],0)),"OK - in Prices","ADD TO PRICES"))</f>
      </c>
      <c r="P370">
        <f>IFERROR(INDEX(Prices[Key],ROWS($P$4:P370)),"")</f>
      </c>
      <c r="Q370">
        <f>IF($P370="","",IF(ISNUMBER(MATCH($P370,Shares!$A$2:$A$1001,0)),"held","NOT HELD - review"))</f>
      </c>
    </row>
    <row r="371" spans="1:17" ht="15" customHeight="1" x14ac:dyDescent="0.15">
      <c r="J371">
        <f>IF(Shares!$A369="","",Shares!$A369)</f>
      </c>
      <c r="K371">
        <f>IF($J371="","",LEFT($J371,FIND(":",$J371)-1))</f>
      </c>
      <c r="L371">
        <f>IF($J371="","",MID($J371,FIND(":",$J371)+1,FIND(":",$J371,FIND(":",$J371)+1)-FIND(":",$J371)-1))</f>
      </c>
      <c r="M371">
        <f>IF($J371="","",RIGHT($J371,LEN($J371)-FIND(":",$J371,FIND(":",$J371)+1)))</f>
      </c>
      <c r="N371">
        <f>IF($J371="","",IF(ISNUMBER(MATCH($J371,Prices[Key],0)),"OK - in Prices","ADD TO PRICES"))</f>
      </c>
      <c r="P371">
        <f>IFERROR(INDEX(Prices[Key],ROWS($P$4:P371)),"")</f>
      </c>
      <c r="Q371">
        <f>IF($P371="","",IF(ISNUMBER(MATCH($P371,Shares!$A$2:$A$1001,0)),"held","NOT HELD - review"))</f>
      </c>
    </row>
    <row r="372" spans="1:17" ht="15" customHeight="1" x14ac:dyDescent="0.15">
      <c r="J372">
        <f>IF(Shares!$A370="","",Shares!$A370)</f>
      </c>
      <c r="K372">
        <f>IF($J372="","",LEFT($J372,FIND(":",$J372)-1))</f>
      </c>
      <c r="L372">
        <f>IF($J372="","",MID($J372,FIND(":",$J372)+1,FIND(":",$J372,FIND(":",$J372)+1)-FIND(":",$J372)-1))</f>
      </c>
      <c r="M372">
        <f>IF($J372="","",RIGHT($J372,LEN($J372)-FIND(":",$J372,FIND(":",$J372)+1)))</f>
      </c>
      <c r="N372">
        <f>IF($J372="","",IF(ISNUMBER(MATCH($J372,Prices[Key],0)),"OK - in Prices","ADD TO PRICES"))</f>
      </c>
      <c r="P372">
        <f>IFERROR(INDEX(Prices[Key],ROWS($P$4:P372)),"")</f>
      </c>
      <c r="Q372">
        <f>IF($P372="","",IF(ISNUMBER(MATCH($P372,Shares!$A$2:$A$1001,0)),"held","NOT HELD - review"))</f>
      </c>
    </row>
    <row r="373" spans="1:17" ht="15" customHeight="1" x14ac:dyDescent="0.15">
      <c r="J373">
        <f>IF(Shares!$A371="","",Shares!$A371)</f>
      </c>
      <c r="K373">
        <f>IF($J373="","",LEFT($J373,FIND(":",$J373)-1))</f>
      </c>
      <c r="L373">
        <f>IF($J373="","",MID($J373,FIND(":",$J373)+1,FIND(":",$J373,FIND(":",$J373)+1)-FIND(":",$J373)-1))</f>
      </c>
      <c r="M373">
        <f>IF($J373="","",RIGHT($J373,LEN($J373)-FIND(":",$J373,FIND(":",$J373)+1)))</f>
      </c>
      <c r="N373">
        <f>IF($J373="","",IF(ISNUMBER(MATCH($J373,Prices[Key],0)),"OK - in Prices","ADD TO PRICES"))</f>
      </c>
      <c r="P373">
        <f>IFERROR(INDEX(Prices[Key],ROWS($P$4:P373)),"")</f>
      </c>
      <c r="Q373">
        <f>IF($P373="","",IF(ISNUMBER(MATCH($P373,Shares!$A$2:$A$1001,0)),"held","NOT HELD - review"))</f>
      </c>
    </row>
    <row r="374" spans="1:17" ht="15" customHeight="1" x14ac:dyDescent="0.15">
      <c r="J374">
        <f>IF(Shares!$A372="","",Shares!$A372)</f>
      </c>
      <c r="K374">
        <f>IF($J374="","",LEFT($J374,FIND(":",$J374)-1))</f>
      </c>
      <c r="L374">
        <f>IF($J374="","",MID($J374,FIND(":",$J374)+1,FIND(":",$J374,FIND(":",$J374)+1)-FIND(":",$J374)-1))</f>
      </c>
      <c r="M374">
        <f>IF($J374="","",RIGHT($J374,LEN($J374)-FIND(":",$J374,FIND(":",$J374)+1)))</f>
      </c>
      <c r="N374">
        <f>IF($J374="","",IF(ISNUMBER(MATCH($J374,Prices[Key],0)),"OK - in Prices","ADD TO PRICES"))</f>
      </c>
      <c r="P374">
        <f>IFERROR(INDEX(Prices[Key],ROWS($P$4:P374)),"")</f>
      </c>
      <c r="Q374">
        <f>IF($P374="","",IF(ISNUMBER(MATCH($P374,Shares!$A$2:$A$1001,0)),"held","NOT HELD - review"))</f>
      </c>
    </row>
    <row r="375" spans="1:17" ht="15" customHeight="1" x14ac:dyDescent="0.15">
      <c r="J375">
        <f>IF(Shares!$A373="","",Shares!$A373)</f>
      </c>
      <c r="K375">
        <f>IF($J375="","",LEFT($J375,FIND(":",$J375)-1))</f>
      </c>
      <c r="L375">
        <f>IF($J375="","",MID($J375,FIND(":",$J375)+1,FIND(":",$J375,FIND(":",$J375)+1)-FIND(":",$J375)-1))</f>
      </c>
      <c r="M375">
        <f>IF($J375="","",RIGHT($J375,LEN($J375)-FIND(":",$J375,FIND(":",$J375)+1)))</f>
      </c>
      <c r="N375">
        <f>IF($J375="","",IF(ISNUMBER(MATCH($J375,Prices[Key],0)),"OK - in Prices","ADD TO PRICES"))</f>
      </c>
      <c r="P375">
        <f>IFERROR(INDEX(Prices[Key],ROWS($P$4:P375)),"")</f>
      </c>
      <c r="Q375">
        <f>IF($P375="","",IF(ISNUMBER(MATCH($P375,Shares!$A$2:$A$1001,0)),"held","NOT HELD - review"))</f>
      </c>
    </row>
    <row r="376" spans="1:17" ht="15" customHeight="1" x14ac:dyDescent="0.15">
      <c r="J376">
        <f>IF(Shares!$A374="","",Shares!$A374)</f>
      </c>
      <c r="K376">
        <f>IF($J376="","",LEFT($J376,FIND(":",$J376)-1))</f>
      </c>
      <c r="L376">
        <f>IF($J376="","",MID($J376,FIND(":",$J376)+1,FIND(":",$J376,FIND(":",$J376)+1)-FIND(":",$J376)-1))</f>
      </c>
      <c r="M376">
        <f>IF($J376="","",RIGHT($J376,LEN($J376)-FIND(":",$J376,FIND(":",$J376)+1)))</f>
      </c>
      <c r="N376">
        <f>IF($J376="","",IF(ISNUMBER(MATCH($J376,Prices[Key],0)),"OK - in Prices","ADD TO PRICES"))</f>
      </c>
      <c r="P376">
        <f>IFERROR(INDEX(Prices[Key],ROWS($P$4:P376)),"")</f>
      </c>
      <c r="Q376">
        <f>IF($P376="","",IF(ISNUMBER(MATCH($P376,Shares!$A$2:$A$1001,0)),"held","NOT HELD - review"))</f>
      </c>
    </row>
    <row r="377" spans="1:17" ht="15" customHeight="1" x14ac:dyDescent="0.15">
      <c r="J377">
        <f>IF(Shares!$A375="","",Shares!$A375)</f>
      </c>
      <c r="K377">
        <f>IF($J377="","",LEFT($J377,FIND(":",$J377)-1))</f>
      </c>
      <c r="L377">
        <f>IF($J377="","",MID($J377,FIND(":",$J377)+1,FIND(":",$J377,FIND(":",$J377)+1)-FIND(":",$J377)-1))</f>
      </c>
      <c r="M377">
        <f>IF($J377="","",RIGHT($J377,LEN($J377)-FIND(":",$J377,FIND(":",$J377)+1)))</f>
      </c>
      <c r="N377">
        <f>IF($J377="","",IF(ISNUMBER(MATCH($J377,Prices[Key],0)),"OK - in Prices","ADD TO PRICES"))</f>
      </c>
      <c r="P377">
        <f>IFERROR(INDEX(Prices[Key],ROWS($P$4:P377)),"")</f>
      </c>
      <c r="Q377">
        <f>IF($P377="","",IF(ISNUMBER(MATCH($P377,Shares!$A$2:$A$1001,0)),"held","NOT HELD - review"))</f>
      </c>
    </row>
    <row r="378" spans="1:17" ht="15" customHeight="1" x14ac:dyDescent="0.15">
      <c r="J378">
        <f>IF(Shares!$A376="","",Shares!$A376)</f>
      </c>
      <c r="K378">
        <f>IF($J378="","",LEFT($J378,FIND(":",$J378)-1))</f>
      </c>
      <c r="L378">
        <f>IF($J378="","",MID($J378,FIND(":",$J378)+1,FIND(":",$J378,FIND(":",$J378)+1)-FIND(":",$J378)-1))</f>
      </c>
      <c r="M378">
        <f>IF($J378="","",RIGHT($J378,LEN($J378)-FIND(":",$J378,FIND(":",$J378)+1)))</f>
      </c>
      <c r="N378">
        <f>IF($J378="","",IF(ISNUMBER(MATCH($J378,Prices[Key],0)),"OK - in Prices","ADD TO PRICES"))</f>
      </c>
      <c r="P378">
        <f>IFERROR(INDEX(Prices[Key],ROWS($P$4:P378)),"")</f>
      </c>
      <c r="Q378">
        <f>IF($P378="","",IF(ISNUMBER(MATCH($P378,Shares!$A$2:$A$1001,0)),"held","NOT HELD - review"))</f>
      </c>
    </row>
    <row r="379" spans="1:17" ht="15" customHeight="1" x14ac:dyDescent="0.15">
      <c r="J379">
        <f>IF(Shares!$A377="","",Shares!$A377)</f>
      </c>
      <c r="K379">
        <f>IF($J379="","",LEFT($J379,FIND(":",$J379)-1))</f>
      </c>
      <c r="L379">
        <f>IF($J379="","",MID($J379,FIND(":",$J379)+1,FIND(":",$J379,FIND(":",$J379)+1)-FIND(":",$J379)-1))</f>
      </c>
      <c r="M379">
        <f>IF($J379="","",RIGHT($J379,LEN($J379)-FIND(":",$J379,FIND(":",$J379)+1)))</f>
      </c>
      <c r="N379">
        <f>IF($J379="","",IF(ISNUMBER(MATCH($J379,Prices[Key],0)),"OK - in Prices","ADD TO PRICES"))</f>
      </c>
      <c r="P379">
        <f>IFERROR(INDEX(Prices[Key],ROWS($P$4:P379)),"")</f>
      </c>
      <c r="Q379">
        <f>IF($P379="","",IF(ISNUMBER(MATCH($P379,Shares!$A$2:$A$1001,0)),"held","NOT HELD - review"))</f>
      </c>
    </row>
    <row r="380" spans="1:17" ht="15" customHeight="1" x14ac:dyDescent="0.15">
      <c r="J380">
        <f>IF(Shares!$A378="","",Shares!$A378)</f>
      </c>
      <c r="K380">
        <f>IF($J380="","",LEFT($J380,FIND(":",$J380)-1))</f>
      </c>
      <c r="L380">
        <f>IF($J380="","",MID($J380,FIND(":",$J380)+1,FIND(":",$J380,FIND(":",$J380)+1)-FIND(":",$J380)-1))</f>
      </c>
      <c r="M380">
        <f>IF($J380="","",RIGHT($J380,LEN($J380)-FIND(":",$J380,FIND(":",$J380)+1)))</f>
      </c>
      <c r="N380">
        <f>IF($J380="","",IF(ISNUMBER(MATCH($J380,Prices[Key],0)),"OK - in Prices","ADD TO PRICES"))</f>
      </c>
      <c r="P380">
        <f>IFERROR(INDEX(Prices[Key],ROWS($P$4:P380)),"")</f>
      </c>
      <c r="Q380">
        <f>IF($P380="","",IF(ISNUMBER(MATCH($P380,Shares!$A$2:$A$1001,0)),"held","NOT HELD - review"))</f>
      </c>
    </row>
    <row r="381" spans="1:17" ht="15" customHeight="1" x14ac:dyDescent="0.15">
      <c r="J381">
        <f>IF(Shares!$A379="","",Shares!$A379)</f>
      </c>
      <c r="K381">
        <f>IF($J381="","",LEFT($J381,FIND(":",$J381)-1))</f>
      </c>
      <c r="L381">
        <f>IF($J381="","",MID($J381,FIND(":",$J381)+1,FIND(":",$J381,FIND(":",$J381)+1)-FIND(":",$J381)-1))</f>
      </c>
      <c r="M381">
        <f>IF($J381="","",RIGHT($J381,LEN($J381)-FIND(":",$J381,FIND(":",$J381)+1)))</f>
      </c>
      <c r="N381">
        <f>IF($J381="","",IF(ISNUMBER(MATCH($J381,Prices[Key],0)),"OK - in Prices","ADD TO PRICES"))</f>
      </c>
      <c r="P381">
        <f>IFERROR(INDEX(Prices[Key],ROWS($P$4:P381)),"")</f>
      </c>
      <c r="Q381">
        <f>IF($P381="","",IF(ISNUMBER(MATCH($P381,Shares!$A$2:$A$1001,0)),"held","NOT HELD - review"))</f>
      </c>
    </row>
    <row r="382" spans="1:17" ht="15" customHeight="1" x14ac:dyDescent="0.15">
      <c r="J382">
        <f>IF(Shares!$A380="","",Shares!$A380)</f>
      </c>
      <c r="K382">
        <f>IF($J382="","",LEFT($J382,FIND(":",$J382)-1))</f>
      </c>
      <c r="L382">
        <f>IF($J382="","",MID($J382,FIND(":",$J382)+1,FIND(":",$J382,FIND(":",$J382)+1)-FIND(":",$J382)-1))</f>
      </c>
      <c r="M382">
        <f>IF($J382="","",RIGHT($J382,LEN($J382)-FIND(":",$J382,FIND(":",$J382)+1)))</f>
      </c>
      <c r="N382">
        <f>IF($J382="","",IF(ISNUMBER(MATCH($J382,Prices[Key],0)),"OK - in Prices","ADD TO PRICES"))</f>
      </c>
      <c r="P382">
        <f>IFERROR(INDEX(Prices[Key],ROWS($P$4:P382)),"")</f>
      </c>
      <c r="Q382">
        <f>IF($P382="","",IF(ISNUMBER(MATCH($P382,Shares!$A$2:$A$1001,0)),"held","NOT HELD - review"))</f>
      </c>
    </row>
    <row r="383" spans="1:17" ht="15" customHeight="1" x14ac:dyDescent="0.15">
      <c r="J383">
        <f>IF(Shares!$A381="","",Shares!$A381)</f>
      </c>
      <c r="K383">
        <f>IF($J383="","",LEFT($J383,FIND(":",$J383)-1))</f>
      </c>
      <c r="L383">
        <f>IF($J383="","",MID($J383,FIND(":",$J383)+1,FIND(":",$J383,FIND(":",$J383)+1)-FIND(":",$J383)-1))</f>
      </c>
      <c r="M383">
        <f>IF($J383="","",RIGHT($J383,LEN($J383)-FIND(":",$J383,FIND(":",$J383)+1)))</f>
      </c>
      <c r="N383">
        <f>IF($J383="","",IF(ISNUMBER(MATCH($J383,Prices[Key],0)),"OK - in Prices","ADD TO PRICES"))</f>
      </c>
      <c r="P383">
        <f>IFERROR(INDEX(Prices[Key],ROWS($P$4:P383)),"")</f>
      </c>
      <c r="Q383">
        <f>IF($P383="","",IF(ISNUMBER(MATCH($P383,Shares!$A$2:$A$1001,0)),"held","NOT HELD - review"))</f>
      </c>
    </row>
    <row r="384" spans="1:17" ht="15" customHeight="1" x14ac:dyDescent="0.15">
      <c r="J384">
        <f>IF(Shares!$A382="","",Shares!$A382)</f>
      </c>
      <c r="K384">
        <f>IF($J384="","",LEFT($J384,FIND(":",$J384)-1))</f>
      </c>
      <c r="L384">
        <f>IF($J384="","",MID($J384,FIND(":",$J384)+1,FIND(":",$J384,FIND(":",$J384)+1)-FIND(":",$J384)-1))</f>
      </c>
      <c r="M384">
        <f>IF($J384="","",RIGHT($J384,LEN($J384)-FIND(":",$J384,FIND(":",$J384)+1)))</f>
      </c>
      <c r="N384">
        <f>IF($J384="","",IF(ISNUMBER(MATCH($J384,Prices[Key],0)),"OK - in Prices","ADD TO PRICES"))</f>
      </c>
      <c r="P384">
        <f>IFERROR(INDEX(Prices[Key],ROWS($P$4:P384)),"")</f>
      </c>
      <c r="Q384">
        <f>IF($P384="","",IF(ISNUMBER(MATCH($P384,Shares!$A$2:$A$1001,0)),"held","NOT HELD - review"))</f>
      </c>
    </row>
    <row r="385" spans="1:17" ht="15" customHeight="1" x14ac:dyDescent="0.15">
      <c r="J385">
        <f>IF(Shares!$A383="","",Shares!$A383)</f>
      </c>
      <c r="K385">
        <f>IF($J385="","",LEFT($J385,FIND(":",$J385)-1))</f>
      </c>
      <c r="L385">
        <f>IF($J385="","",MID($J385,FIND(":",$J385)+1,FIND(":",$J385,FIND(":",$J385)+1)-FIND(":",$J385)-1))</f>
      </c>
      <c r="M385">
        <f>IF($J385="","",RIGHT($J385,LEN($J385)-FIND(":",$J385,FIND(":",$J385)+1)))</f>
      </c>
      <c r="N385">
        <f>IF($J385="","",IF(ISNUMBER(MATCH($J385,Prices[Key],0)),"OK - in Prices","ADD TO PRICES"))</f>
      </c>
      <c r="P385">
        <f>IFERROR(INDEX(Prices[Key],ROWS($P$4:P385)),"")</f>
      </c>
      <c r="Q385">
        <f>IF($P385="","",IF(ISNUMBER(MATCH($P385,Shares!$A$2:$A$1001,0)),"held","NOT HELD - review"))</f>
      </c>
    </row>
    <row r="386" spans="1:17" ht="15" customHeight="1" x14ac:dyDescent="0.15">
      <c r="J386">
        <f>IF(Shares!$A384="","",Shares!$A384)</f>
      </c>
      <c r="K386">
        <f>IF($J386="","",LEFT($J386,FIND(":",$J386)-1))</f>
      </c>
      <c r="L386">
        <f>IF($J386="","",MID($J386,FIND(":",$J386)+1,FIND(":",$J386,FIND(":",$J386)+1)-FIND(":",$J386)-1))</f>
      </c>
      <c r="M386">
        <f>IF($J386="","",RIGHT($J386,LEN($J386)-FIND(":",$J386,FIND(":",$J386)+1)))</f>
      </c>
      <c r="N386">
        <f>IF($J386="","",IF(ISNUMBER(MATCH($J386,Prices[Key],0)),"OK - in Prices","ADD TO PRICES"))</f>
      </c>
      <c r="P386">
        <f>IFERROR(INDEX(Prices[Key],ROWS($P$4:P386)),"")</f>
      </c>
      <c r="Q386">
        <f>IF($P386="","",IF(ISNUMBER(MATCH($P386,Shares!$A$2:$A$1001,0)),"held","NOT HELD - review"))</f>
      </c>
    </row>
    <row r="387" spans="1:17" ht="15" customHeight="1" x14ac:dyDescent="0.15">
      <c r="J387">
        <f>IF(Shares!$A385="","",Shares!$A385)</f>
      </c>
      <c r="K387">
        <f>IF($J387="","",LEFT($J387,FIND(":",$J387)-1))</f>
      </c>
      <c r="L387">
        <f>IF($J387="","",MID($J387,FIND(":",$J387)+1,FIND(":",$J387,FIND(":",$J387)+1)-FIND(":",$J387)-1))</f>
      </c>
      <c r="M387">
        <f>IF($J387="","",RIGHT($J387,LEN($J387)-FIND(":",$J387,FIND(":",$J387)+1)))</f>
      </c>
      <c r="N387">
        <f>IF($J387="","",IF(ISNUMBER(MATCH($J387,Prices[Key],0)),"OK - in Prices","ADD TO PRICES"))</f>
      </c>
      <c r="P387">
        <f>IFERROR(INDEX(Prices[Key],ROWS($P$4:P387)),"")</f>
      </c>
      <c r="Q387">
        <f>IF($P387="","",IF(ISNUMBER(MATCH($P387,Shares!$A$2:$A$1001,0)),"held","NOT HELD - review"))</f>
      </c>
    </row>
    <row r="388" spans="1:17" ht="15" customHeight="1" x14ac:dyDescent="0.15">
      <c r="J388">
        <f>IF(Shares!$A386="","",Shares!$A386)</f>
      </c>
      <c r="K388">
        <f>IF($J388="","",LEFT($J388,FIND(":",$J388)-1))</f>
      </c>
      <c r="L388">
        <f>IF($J388="","",MID($J388,FIND(":",$J388)+1,FIND(":",$J388,FIND(":",$J388)+1)-FIND(":",$J388)-1))</f>
      </c>
      <c r="M388">
        <f>IF($J388="","",RIGHT($J388,LEN($J388)-FIND(":",$J388,FIND(":",$J388)+1)))</f>
      </c>
      <c r="N388">
        <f>IF($J388="","",IF(ISNUMBER(MATCH($J388,Prices[Key],0)),"OK - in Prices","ADD TO PRICES"))</f>
      </c>
      <c r="P388">
        <f>IFERROR(INDEX(Prices[Key],ROWS($P$4:P388)),"")</f>
      </c>
      <c r="Q388">
        <f>IF($P388="","",IF(ISNUMBER(MATCH($P388,Shares!$A$2:$A$1001,0)),"held","NOT HELD - review"))</f>
      </c>
    </row>
    <row r="389" spans="1:17" ht="15" customHeight="1" x14ac:dyDescent="0.15">
      <c r="J389">
        <f>IF(Shares!$A387="","",Shares!$A387)</f>
      </c>
      <c r="K389">
        <f>IF($J389="","",LEFT($J389,FIND(":",$J389)-1))</f>
      </c>
      <c r="L389">
        <f>IF($J389="","",MID($J389,FIND(":",$J389)+1,FIND(":",$J389,FIND(":",$J389)+1)-FIND(":",$J389)-1))</f>
      </c>
      <c r="M389">
        <f>IF($J389="","",RIGHT($J389,LEN($J389)-FIND(":",$J389,FIND(":",$J389)+1)))</f>
      </c>
      <c r="N389">
        <f>IF($J389="","",IF(ISNUMBER(MATCH($J389,Prices[Key],0)),"OK - in Prices","ADD TO PRICES"))</f>
      </c>
      <c r="P389">
        <f>IFERROR(INDEX(Prices[Key],ROWS($P$4:P389)),"")</f>
      </c>
      <c r="Q389">
        <f>IF($P389="","",IF(ISNUMBER(MATCH($P389,Shares!$A$2:$A$1001,0)),"held","NOT HELD - review"))</f>
      </c>
    </row>
    <row r="390" spans="1:17" ht="15" customHeight="1" x14ac:dyDescent="0.15">
      <c r="J390">
        <f>IF(Shares!$A388="","",Shares!$A388)</f>
      </c>
      <c r="K390">
        <f>IF($J390="","",LEFT($J390,FIND(":",$J390)-1))</f>
      </c>
      <c r="L390">
        <f>IF($J390="","",MID($J390,FIND(":",$J390)+1,FIND(":",$J390,FIND(":",$J390)+1)-FIND(":",$J390)-1))</f>
      </c>
      <c r="M390">
        <f>IF($J390="","",RIGHT($J390,LEN($J390)-FIND(":",$J390,FIND(":",$J390)+1)))</f>
      </c>
      <c r="N390">
        <f>IF($J390="","",IF(ISNUMBER(MATCH($J390,Prices[Key],0)),"OK - in Prices","ADD TO PRICES"))</f>
      </c>
      <c r="P390">
        <f>IFERROR(INDEX(Prices[Key],ROWS($P$4:P390)),"")</f>
      </c>
      <c r="Q390">
        <f>IF($P390="","",IF(ISNUMBER(MATCH($P390,Shares!$A$2:$A$1001,0)),"held","NOT HELD - review"))</f>
      </c>
    </row>
    <row r="391" spans="1:17" ht="15" customHeight="1" x14ac:dyDescent="0.15">
      <c r="J391">
        <f>IF(Shares!$A389="","",Shares!$A389)</f>
      </c>
      <c r="K391">
        <f>IF($J391="","",LEFT($J391,FIND(":",$J391)-1))</f>
      </c>
      <c r="L391">
        <f>IF($J391="","",MID($J391,FIND(":",$J391)+1,FIND(":",$J391,FIND(":",$J391)+1)-FIND(":",$J391)-1))</f>
      </c>
      <c r="M391">
        <f>IF($J391="","",RIGHT($J391,LEN($J391)-FIND(":",$J391,FIND(":",$J391)+1)))</f>
      </c>
      <c r="N391">
        <f>IF($J391="","",IF(ISNUMBER(MATCH($J391,Prices[Key],0)),"OK - in Prices","ADD TO PRICES"))</f>
      </c>
      <c r="P391">
        <f>IFERROR(INDEX(Prices[Key],ROWS($P$4:P391)),"")</f>
      </c>
      <c r="Q391">
        <f>IF($P391="","",IF(ISNUMBER(MATCH($P391,Shares!$A$2:$A$1001,0)),"held","NOT HELD - review"))</f>
      </c>
    </row>
    <row r="392" spans="1:17" ht="15" customHeight="1" x14ac:dyDescent="0.15">
      <c r="J392">
        <f>IF(Shares!$A390="","",Shares!$A390)</f>
      </c>
      <c r="K392">
        <f>IF($J392="","",LEFT($J392,FIND(":",$J392)-1))</f>
      </c>
      <c r="L392">
        <f>IF($J392="","",MID($J392,FIND(":",$J392)+1,FIND(":",$J392,FIND(":",$J392)+1)-FIND(":",$J392)-1))</f>
      </c>
      <c r="M392">
        <f>IF($J392="","",RIGHT($J392,LEN($J392)-FIND(":",$J392,FIND(":",$J392)+1)))</f>
      </c>
      <c r="N392">
        <f>IF($J392="","",IF(ISNUMBER(MATCH($J392,Prices[Key],0)),"OK - in Prices","ADD TO PRICES"))</f>
      </c>
      <c r="P392">
        <f>IFERROR(INDEX(Prices[Key],ROWS($P$4:P392)),"")</f>
      </c>
      <c r="Q392">
        <f>IF($P392="","",IF(ISNUMBER(MATCH($P392,Shares!$A$2:$A$1001,0)),"held","NOT HELD - review"))</f>
      </c>
    </row>
    <row r="393" spans="1:17" ht="15" customHeight="1" x14ac:dyDescent="0.15">
      <c r="J393">
        <f>IF(Shares!$A391="","",Shares!$A391)</f>
      </c>
      <c r="K393">
        <f>IF($J393="","",LEFT($J393,FIND(":",$J393)-1))</f>
      </c>
      <c r="L393">
        <f>IF($J393="","",MID($J393,FIND(":",$J393)+1,FIND(":",$J393,FIND(":",$J393)+1)-FIND(":",$J393)-1))</f>
      </c>
      <c r="M393">
        <f>IF($J393="","",RIGHT($J393,LEN($J393)-FIND(":",$J393,FIND(":",$J393)+1)))</f>
      </c>
      <c r="N393">
        <f>IF($J393="","",IF(ISNUMBER(MATCH($J393,Prices[Key],0)),"OK - in Prices","ADD TO PRICES"))</f>
      </c>
      <c r="P393">
        <f>IFERROR(INDEX(Prices[Key],ROWS($P$4:P393)),"")</f>
      </c>
      <c r="Q393">
        <f>IF($P393="","",IF(ISNUMBER(MATCH($P393,Shares!$A$2:$A$1001,0)),"held","NOT HELD - review"))</f>
      </c>
    </row>
    <row r="394" spans="1:17" ht="15" customHeight="1" x14ac:dyDescent="0.15">
      <c r="J394">
        <f>IF(Shares!$A392="","",Shares!$A392)</f>
      </c>
      <c r="K394">
        <f>IF($J394="","",LEFT($J394,FIND(":",$J394)-1))</f>
      </c>
      <c r="L394">
        <f>IF($J394="","",MID($J394,FIND(":",$J394)+1,FIND(":",$J394,FIND(":",$J394)+1)-FIND(":",$J394)-1))</f>
      </c>
      <c r="M394">
        <f>IF($J394="","",RIGHT($J394,LEN($J394)-FIND(":",$J394,FIND(":",$J394)+1)))</f>
      </c>
      <c r="N394">
        <f>IF($J394="","",IF(ISNUMBER(MATCH($J394,Prices[Key],0)),"OK - in Prices","ADD TO PRICES"))</f>
      </c>
      <c r="P394">
        <f>IFERROR(INDEX(Prices[Key],ROWS($P$4:P394)),"")</f>
      </c>
      <c r="Q394">
        <f>IF($P394="","",IF(ISNUMBER(MATCH($P394,Shares!$A$2:$A$1001,0)),"held","NOT HELD - review"))</f>
      </c>
    </row>
    <row r="395" spans="1:17" ht="15" customHeight="1" x14ac:dyDescent="0.15">
      <c r="J395">
        <f>IF(Shares!$A393="","",Shares!$A393)</f>
      </c>
      <c r="K395">
        <f>IF($J395="","",LEFT($J395,FIND(":",$J395)-1))</f>
      </c>
      <c r="L395">
        <f>IF($J395="","",MID($J395,FIND(":",$J395)+1,FIND(":",$J395,FIND(":",$J395)+1)-FIND(":",$J395)-1))</f>
      </c>
      <c r="M395">
        <f>IF($J395="","",RIGHT($J395,LEN($J395)-FIND(":",$J395,FIND(":",$J395)+1)))</f>
      </c>
      <c r="N395">
        <f>IF($J395="","",IF(ISNUMBER(MATCH($J395,Prices[Key],0)),"OK - in Prices","ADD TO PRICES"))</f>
      </c>
      <c r="P395">
        <f>IFERROR(INDEX(Prices[Key],ROWS($P$4:P395)),"")</f>
      </c>
      <c r="Q395">
        <f>IF($P395="","",IF(ISNUMBER(MATCH($P395,Shares!$A$2:$A$1001,0)),"held","NOT HELD - review"))</f>
      </c>
    </row>
    <row r="396" spans="1:17" ht="15" customHeight="1" x14ac:dyDescent="0.15">
      <c r="J396">
        <f>IF(Shares!$A394="","",Shares!$A394)</f>
      </c>
      <c r="K396">
        <f>IF($J396="","",LEFT($J396,FIND(":",$J396)-1))</f>
      </c>
      <c r="L396">
        <f>IF($J396="","",MID($J396,FIND(":",$J396)+1,FIND(":",$J396,FIND(":",$J396)+1)-FIND(":",$J396)-1))</f>
      </c>
      <c r="M396">
        <f>IF($J396="","",RIGHT($J396,LEN($J396)-FIND(":",$J396,FIND(":",$J396)+1)))</f>
      </c>
      <c r="N396">
        <f>IF($J396="","",IF(ISNUMBER(MATCH($J396,Prices[Key],0)),"OK - in Prices","ADD TO PRICES"))</f>
      </c>
      <c r="P396">
        <f>IFERROR(INDEX(Prices[Key],ROWS($P$4:P396)),"")</f>
      </c>
      <c r="Q396">
        <f>IF($P396="","",IF(ISNUMBER(MATCH($P396,Shares!$A$2:$A$1001,0)),"held","NOT HELD - review"))</f>
      </c>
    </row>
    <row r="397" spans="1:17" ht="15" customHeight="1" x14ac:dyDescent="0.15">
      <c r="J397">
        <f>IF(Shares!$A395="","",Shares!$A395)</f>
      </c>
      <c r="K397">
        <f>IF($J397="","",LEFT($J397,FIND(":",$J397)-1))</f>
      </c>
      <c r="L397">
        <f>IF($J397="","",MID($J397,FIND(":",$J397)+1,FIND(":",$J397,FIND(":",$J397)+1)-FIND(":",$J397)-1))</f>
      </c>
      <c r="M397">
        <f>IF($J397="","",RIGHT($J397,LEN($J397)-FIND(":",$J397,FIND(":",$J397)+1)))</f>
      </c>
      <c r="N397">
        <f>IF($J397="","",IF(ISNUMBER(MATCH($J397,Prices[Key],0)),"OK - in Prices","ADD TO PRICES"))</f>
      </c>
      <c r="P397">
        <f>IFERROR(INDEX(Prices[Key],ROWS($P$4:P397)),"")</f>
      </c>
      <c r="Q397">
        <f>IF($P397="","",IF(ISNUMBER(MATCH($P397,Shares!$A$2:$A$1001,0)),"held","NOT HELD - review"))</f>
      </c>
    </row>
    <row r="398" spans="1:17" ht="15" customHeight="1" x14ac:dyDescent="0.15">
      <c r="J398">
        <f>IF(Shares!$A396="","",Shares!$A396)</f>
      </c>
      <c r="K398">
        <f>IF($J398="","",LEFT($J398,FIND(":",$J398)-1))</f>
      </c>
      <c r="L398">
        <f>IF($J398="","",MID($J398,FIND(":",$J398)+1,FIND(":",$J398,FIND(":",$J398)+1)-FIND(":",$J398)-1))</f>
      </c>
      <c r="M398">
        <f>IF($J398="","",RIGHT($J398,LEN($J398)-FIND(":",$J398,FIND(":",$J398)+1)))</f>
      </c>
      <c r="N398">
        <f>IF($J398="","",IF(ISNUMBER(MATCH($J398,Prices[Key],0)),"OK - in Prices","ADD TO PRICES"))</f>
      </c>
      <c r="P398">
        <f>IFERROR(INDEX(Prices[Key],ROWS($P$4:P398)),"")</f>
      </c>
      <c r="Q398">
        <f>IF($P398="","",IF(ISNUMBER(MATCH($P398,Shares!$A$2:$A$1001,0)),"held","NOT HELD - review"))</f>
      </c>
    </row>
    <row r="399" spans="1:17" ht="15" customHeight="1" x14ac:dyDescent="0.15">
      <c r="J399">
        <f>IF(Shares!$A397="","",Shares!$A397)</f>
      </c>
      <c r="K399">
        <f>IF($J399="","",LEFT($J399,FIND(":",$J399)-1))</f>
      </c>
      <c r="L399">
        <f>IF($J399="","",MID($J399,FIND(":",$J399)+1,FIND(":",$J399,FIND(":",$J399)+1)-FIND(":",$J399)-1))</f>
      </c>
      <c r="M399">
        <f>IF($J399="","",RIGHT($J399,LEN($J399)-FIND(":",$J399,FIND(":",$J399)+1)))</f>
      </c>
      <c r="N399">
        <f>IF($J399="","",IF(ISNUMBER(MATCH($J399,Prices[Key],0)),"OK - in Prices","ADD TO PRICES"))</f>
      </c>
      <c r="P399">
        <f>IFERROR(INDEX(Prices[Key],ROWS($P$4:P399)),"")</f>
      </c>
      <c r="Q399">
        <f>IF($P399="","",IF(ISNUMBER(MATCH($P399,Shares!$A$2:$A$1001,0)),"held","NOT HELD - review"))</f>
      </c>
    </row>
    <row r="400" spans="1:17" ht="15" customHeight="1" x14ac:dyDescent="0.15">
      <c r="J400">
        <f>IF(Shares!$A398="","",Shares!$A398)</f>
      </c>
      <c r="K400">
        <f>IF($J400="","",LEFT($J400,FIND(":",$J400)-1))</f>
      </c>
      <c r="L400">
        <f>IF($J400="","",MID($J400,FIND(":",$J400)+1,FIND(":",$J400,FIND(":",$J400)+1)-FIND(":",$J400)-1))</f>
      </c>
      <c r="M400">
        <f>IF($J400="","",RIGHT($J400,LEN($J400)-FIND(":",$J400,FIND(":",$J400)+1)))</f>
      </c>
      <c r="N400">
        <f>IF($J400="","",IF(ISNUMBER(MATCH($J400,Prices[Key],0)),"OK - in Prices","ADD TO PRICES"))</f>
      </c>
      <c r="P400">
        <f>IFERROR(INDEX(Prices[Key],ROWS($P$4:P400)),"")</f>
      </c>
      <c r="Q400">
        <f>IF($P400="","",IF(ISNUMBER(MATCH($P400,Shares!$A$2:$A$1001,0)),"held","NOT HELD - review"))</f>
      </c>
    </row>
    <row r="401" spans="1:17" ht="15" customHeight="1" x14ac:dyDescent="0.15">
      <c r="J401">
        <f>IF(Shares!$A399="","",Shares!$A399)</f>
      </c>
      <c r="K401">
        <f>IF($J401="","",LEFT($J401,FIND(":",$J401)-1))</f>
      </c>
      <c r="L401">
        <f>IF($J401="","",MID($J401,FIND(":",$J401)+1,FIND(":",$J401,FIND(":",$J401)+1)-FIND(":",$J401)-1))</f>
      </c>
      <c r="M401">
        <f>IF($J401="","",RIGHT($J401,LEN($J401)-FIND(":",$J401,FIND(":",$J401)+1)))</f>
      </c>
      <c r="N401">
        <f>IF($J401="","",IF(ISNUMBER(MATCH($J401,Prices[Key],0)),"OK - in Prices","ADD TO PRICES"))</f>
      </c>
      <c r="P401">
        <f>IFERROR(INDEX(Prices[Key],ROWS($P$4:P401)),"")</f>
      </c>
      <c r="Q401">
        <f>IF($P401="","",IF(ISNUMBER(MATCH($P401,Shares!$A$2:$A$1001,0)),"held","NOT HELD - review"))</f>
      </c>
    </row>
    <row r="402" spans="1:17" ht="15" customHeight="1" x14ac:dyDescent="0.15">
      <c r="J402">
        <f>IF(Shares!$A400="","",Shares!$A400)</f>
      </c>
      <c r="K402">
        <f>IF($J402="","",LEFT($J402,FIND(":",$J402)-1))</f>
      </c>
      <c r="L402">
        <f>IF($J402="","",MID($J402,FIND(":",$J402)+1,FIND(":",$J402,FIND(":",$J402)+1)-FIND(":",$J402)-1))</f>
      </c>
      <c r="M402">
        <f>IF($J402="","",RIGHT($J402,LEN($J402)-FIND(":",$J402,FIND(":",$J402)+1)))</f>
      </c>
      <c r="N402">
        <f>IF($J402="","",IF(ISNUMBER(MATCH($J402,Prices[Key],0)),"OK - in Prices","ADD TO PRICES"))</f>
      </c>
      <c r="P402">
        <f>IFERROR(INDEX(Prices[Key],ROWS($P$4:P402)),"")</f>
      </c>
      <c r="Q402">
        <f>IF($P402="","",IF(ISNUMBER(MATCH($P402,Shares!$A$2:$A$1001,0)),"held","NOT HELD - review"))</f>
      </c>
    </row>
    <row r="403" spans="1:17" ht="15" customHeight="1" x14ac:dyDescent="0.15">
      <c r="J403">
        <f>IF(Shares!$A401="","",Shares!$A401)</f>
      </c>
      <c r="K403">
        <f>IF($J403="","",LEFT($J403,FIND(":",$J403)-1))</f>
      </c>
      <c r="L403">
        <f>IF($J403="","",MID($J403,FIND(":",$J403)+1,FIND(":",$J403,FIND(":",$J403)+1)-FIND(":",$J403)-1))</f>
      </c>
      <c r="M403">
        <f>IF($J403="","",RIGHT($J403,LEN($J403)-FIND(":",$J403,FIND(":",$J403)+1)))</f>
      </c>
      <c r="N403">
        <f>IF($J403="","",IF(ISNUMBER(MATCH($J403,Prices[Key],0)),"OK - in Prices","ADD TO PRICES"))</f>
      </c>
      <c r="P403">
        <f>IFERROR(INDEX(Prices[Key],ROWS($P$4:P403)),"")</f>
      </c>
      <c r="Q403">
        <f>IF($P403="","",IF(ISNUMBER(MATCH($P403,Shares!$A$2:$A$1001,0)),"held","NOT HELD - review"))</f>
      </c>
    </row>
    <row r="404" spans="1:17" ht="15" customHeight="1" x14ac:dyDescent="0.15">
      <c r="J404">
        <f>IF(Shares!$A402="","",Shares!$A402)</f>
      </c>
      <c r="K404">
        <f>IF($J404="","",LEFT($J404,FIND(":",$J404)-1))</f>
      </c>
      <c r="L404">
        <f>IF($J404="","",MID($J404,FIND(":",$J404)+1,FIND(":",$J404,FIND(":",$J404)+1)-FIND(":",$J404)-1))</f>
      </c>
      <c r="M404">
        <f>IF($J404="","",RIGHT($J404,LEN($J404)-FIND(":",$J404,FIND(":",$J404)+1)))</f>
      </c>
      <c r="N404">
        <f>IF($J404="","",IF(ISNUMBER(MATCH($J404,Prices[Key],0)),"OK - in Prices","ADD TO PRICES"))</f>
      </c>
      <c r="P404">
        <f>IFERROR(INDEX(Prices[Key],ROWS($P$4:P404)),"")</f>
      </c>
      <c r="Q404">
        <f>IF($P404="","",IF(ISNUMBER(MATCH($P404,Shares!$A$2:$A$1001,0)),"held","NOT HELD - review"))</f>
      </c>
    </row>
    <row r="405" spans="1:17" ht="15" customHeight="1" x14ac:dyDescent="0.15">
      <c r="J405">
        <f>IF(Shares!$A403="","",Shares!$A403)</f>
      </c>
      <c r="K405">
        <f>IF($J405="","",LEFT($J405,FIND(":",$J405)-1))</f>
      </c>
      <c r="L405">
        <f>IF($J405="","",MID($J405,FIND(":",$J405)+1,FIND(":",$J405,FIND(":",$J405)+1)-FIND(":",$J405)-1))</f>
      </c>
      <c r="M405">
        <f>IF($J405="","",RIGHT($J405,LEN($J405)-FIND(":",$J405,FIND(":",$J405)+1)))</f>
      </c>
      <c r="N405">
        <f>IF($J405="","",IF(ISNUMBER(MATCH($J405,Prices[Key],0)),"OK - in Prices","ADD TO PRICES"))</f>
      </c>
      <c r="P405">
        <f>IFERROR(INDEX(Prices[Key],ROWS($P$4:P405)),"")</f>
      </c>
      <c r="Q405">
        <f>IF($P405="","",IF(ISNUMBER(MATCH($P405,Shares!$A$2:$A$1001,0)),"held","NOT HELD - review"))</f>
      </c>
    </row>
    <row r="406" spans="1:17" ht="15" customHeight="1" x14ac:dyDescent="0.15">
      <c r="J406">
        <f>IF(Shares!$A404="","",Shares!$A404)</f>
      </c>
      <c r="K406">
        <f>IF($J406="","",LEFT($J406,FIND(":",$J406)-1))</f>
      </c>
      <c r="L406">
        <f>IF($J406="","",MID($J406,FIND(":",$J406)+1,FIND(":",$J406,FIND(":",$J406)+1)-FIND(":",$J406)-1))</f>
      </c>
      <c r="M406">
        <f>IF($J406="","",RIGHT($J406,LEN($J406)-FIND(":",$J406,FIND(":",$J406)+1)))</f>
      </c>
      <c r="N406">
        <f>IF($J406="","",IF(ISNUMBER(MATCH($J406,Prices[Key],0)),"OK - in Prices","ADD TO PRICES"))</f>
      </c>
      <c r="P406">
        <f>IFERROR(INDEX(Prices[Key],ROWS($P$4:P406)),"")</f>
      </c>
      <c r="Q406">
        <f>IF($P406="","",IF(ISNUMBER(MATCH($P406,Shares!$A$2:$A$1001,0)),"held","NOT HELD - review"))</f>
      </c>
    </row>
    <row r="407" spans="1:17" ht="15" customHeight="1" x14ac:dyDescent="0.15">
      <c r="J407">
        <f>IF(Shares!$A405="","",Shares!$A405)</f>
      </c>
      <c r="K407">
        <f>IF($J407="","",LEFT($J407,FIND(":",$J407)-1))</f>
      </c>
      <c r="L407">
        <f>IF($J407="","",MID($J407,FIND(":",$J407)+1,FIND(":",$J407,FIND(":",$J407)+1)-FIND(":",$J407)-1))</f>
      </c>
      <c r="M407">
        <f>IF($J407="","",RIGHT($J407,LEN($J407)-FIND(":",$J407,FIND(":",$J407)+1)))</f>
      </c>
      <c r="N407">
        <f>IF($J407="","",IF(ISNUMBER(MATCH($J407,Prices[Key],0)),"OK - in Prices","ADD TO PRICES"))</f>
      </c>
      <c r="P407">
        <f>IFERROR(INDEX(Prices[Key],ROWS($P$4:P407)),"")</f>
      </c>
      <c r="Q407">
        <f>IF($P407="","",IF(ISNUMBER(MATCH($P407,Shares!$A$2:$A$1001,0)),"held","NOT HELD - review"))</f>
      </c>
    </row>
    <row r="408" spans="1:17" ht="15" customHeight="1" x14ac:dyDescent="0.15">
      <c r="J408">
        <f>IF(Shares!$A406="","",Shares!$A406)</f>
      </c>
      <c r="K408">
        <f>IF($J408="","",LEFT($J408,FIND(":",$J408)-1))</f>
      </c>
      <c r="L408">
        <f>IF($J408="","",MID($J408,FIND(":",$J408)+1,FIND(":",$J408,FIND(":",$J408)+1)-FIND(":",$J408)-1))</f>
      </c>
      <c r="M408">
        <f>IF($J408="","",RIGHT($J408,LEN($J408)-FIND(":",$J408,FIND(":",$J408)+1)))</f>
      </c>
      <c r="N408">
        <f>IF($J408="","",IF(ISNUMBER(MATCH($J408,Prices[Key],0)),"OK - in Prices","ADD TO PRICES"))</f>
      </c>
      <c r="P408">
        <f>IFERROR(INDEX(Prices[Key],ROWS($P$4:P408)),"")</f>
      </c>
      <c r="Q408">
        <f>IF($P408="","",IF(ISNUMBER(MATCH($P408,Shares!$A$2:$A$1001,0)),"held","NOT HELD - review"))</f>
      </c>
    </row>
    <row r="409" spans="1:17" ht="15" customHeight="1" x14ac:dyDescent="0.15">
      <c r="J409">
        <f>IF(Shares!$A407="","",Shares!$A407)</f>
      </c>
      <c r="K409">
        <f>IF($J409="","",LEFT($J409,FIND(":",$J409)-1))</f>
      </c>
      <c r="L409">
        <f>IF($J409="","",MID($J409,FIND(":",$J409)+1,FIND(":",$J409,FIND(":",$J409)+1)-FIND(":",$J409)-1))</f>
      </c>
      <c r="M409">
        <f>IF($J409="","",RIGHT($J409,LEN($J409)-FIND(":",$J409,FIND(":",$J409)+1)))</f>
      </c>
      <c r="N409">
        <f>IF($J409="","",IF(ISNUMBER(MATCH($J409,Prices[Key],0)),"OK - in Prices","ADD TO PRICES"))</f>
      </c>
      <c r="P409">
        <f>IFERROR(INDEX(Prices[Key],ROWS($P$4:P409)),"")</f>
      </c>
      <c r="Q409">
        <f>IF($P409="","",IF(ISNUMBER(MATCH($P409,Shares!$A$2:$A$1001,0)),"held","NOT HELD - review"))</f>
      </c>
    </row>
    <row r="410" spans="1:17" ht="15" customHeight="1" x14ac:dyDescent="0.15">
      <c r="J410">
        <f>IF(Shares!$A408="","",Shares!$A408)</f>
      </c>
      <c r="K410">
        <f>IF($J410="","",LEFT($J410,FIND(":",$J410)-1))</f>
      </c>
      <c r="L410">
        <f>IF($J410="","",MID($J410,FIND(":",$J410)+1,FIND(":",$J410,FIND(":",$J410)+1)-FIND(":",$J410)-1))</f>
      </c>
      <c r="M410">
        <f>IF($J410="","",RIGHT($J410,LEN($J410)-FIND(":",$J410,FIND(":",$J410)+1)))</f>
      </c>
      <c r="N410">
        <f>IF($J410="","",IF(ISNUMBER(MATCH($J410,Prices[Key],0)),"OK - in Prices","ADD TO PRICES"))</f>
      </c>
      <c r="P410">
        <f>IFERROR(INDEX(Prices[Key],ROWS($P$4:P410)),"")</f>
      </c>
      <c r="Q410">
        <f>IF($P410="","",IF(ISNUMBER(MATCH($P410,Shares!$A$2:$A$1001,0)),"held","NOT HELD - review"))</f>
      </c>
    </row>
    <row r="411" spans="1:17" ht="15" customHeight="1" x14ac:dyDescent="0.15">
      <c r="J411">
        <f>IF(Shares!$A409="","",Shares!$A409)</f>
      </c>
      <c r="K411">
        <f>IF($J411="","",LEFT($J411,FIND(":",$J411)-1))</f>
      </c>
      <c r="L411">
        <f>IF($J411="","",MID($J411,FIND(":",$J411)+1,FIND(":",$J411,FIND(":",$J411)+1)-FIND(":",$J411)-1))</f>
      </c>
      <c r="M411">
        <f>IF($J411="","",RIGHT($J411,LEN($J411)-FIND(":",$J411,FIND(":",$J411)+1)))</f>
      </c>
      <c r="N411">
        <f>IF($J411="","",IF(ISNUMBER(MATCH($J411,Prices[Key],0)),"OK - in Prices","ADD TO PRICES"))</f>
      </c>
      <c r="P411">
        <f>IFERROR(INDEX(Prices[Key],ROWS($P$4:P411)),"")</f>
      </c>
      <c r="Q411">
        <f>IF($P411="","",IF(ISNUMBER(MATCH($P411,Shares!$A$2:$A$1001,0)),"held","NOT HELD - review"))</f>
      </c>
    </row>
    <row r="412" spans="1:17" ht="15" customHeight="1" x14ac:dyDescent="0.15">
      <c r="J412">
        <f>IF(Shares!$A410="","",Shares!$A410)</f>
      </c>
      <c r="K412">
        <f>IF($J412="","",LEFT($J412,FIND(":",$J412)-1))</f>
      </c>
      <c r="L412">
        <f>IF($J412="","",MID($J412,FIND(":",$J412)+1,FIND(":",$J412,FIND(":",$J412)+1)-FIND(":",$J412)-1))</f>
      </c>
      <c r="M412">
        <f>IF($J412="","",RIGHT($J412,LEN($J412)-FIND(":",$J412,FIND(":",$J412)+1)))</f>
      </c>
      <c r="N412">
        <f>IF($J412="","",IF(ISNUMBER(MATCH($J412,Prices[Key],0)),"OK - in Prices","ADD TO PRICES"))</f>
      </c>
      <c r="P412">
        <f>IFERROR(INDEX(Prices[Key],ROWS($P$4:P412)),"")</f>
      </c>
      <c r="Q412">
        <f>IF($P412="","",IF(ISNUMBER(MATCH($P412,Shares!$A$2:$A$1001,0)),"held","NOT HELD - review"))</f>
      </c>
    </row>
    <row r="413" spans="1:17" ht="15" customHeight="1" x14ac:dyDescent="0.15">
      <c r="J413">
        <f>IF(Shares!$A411="","",Shares!$A411)</f>
      </c>
      <c r="K413">
        <f>IF($J413="","",LEFT($J413,FIND(":",$J413)-1))</f>
      </c>
      <c r="L413">
        <f>IF($J413="","",MID($J413,FIND(":",$J413)+1,FIND(":",$J413,FIND(":",$J413)+1)-FIND(":",$J413)-1))</f>
      </c>
      <c r="M413">
        <f>IF($J413="","",RIGHT($J413,LEN($J413)-FIND(":",$J413,FIND(":",$J413)+1)))</f>
      </c>
      <c r="N413">
        <f>IF($J413="","",IF(ISNUMBER(MATCH($J413,Prices[Key],0)),"OK - in Prices","ADD TO PRICES"))</f>
      </c>
      <c r="P413">
        <f>IFERROR(INDEX(Prices[Key],ROWS($P$4:P413)),"")</f>
      </c>
      <c r="Q413">
        <f>IF($P413="","",IF(ISNUMBER(MATCH($P413,Shares!$A$2:$A$1001,0)),"held","NOT HELD - review"))</f>
      </c>
    </row>
    <row r="414" spans="1:17" ht="15" customHeight="1" x14ac:dyDescent="0.15">
      <c r="J414">
        <f>IF(Shares!$A412="","",Shares!$A412)</f>
      </c>
      <c r="K414">
        <f>IF($J414="","",LEFT($J414,FIND(":",$J414)-1))</f>
      </c>
      <c r="L414">
        <f>IF($J414="","",MID($J414,FIND(":",$J414)+1,FIND(":",$J414,FIND(":",$J414)+1)-FIND(":",$J414)-1))</f>
      </c>
      <c r="M414">
        <f>IF($J414="","",RIGHT($J414,LEN($J414)-FIND(":",$J414,FIND(":",$J414)+1)))</f>
      </c>
      <c r="N414">
        <f>IF($J414="","",IF(ISNUMBER(MATCH($J414,Prices[Key],0)),"OK - in Prices","ADD TO PRICES"))</f>
      </c>
      <c r="P414">
        <f>IFERROR(INDEX(Prices[Key],ROWS($P$4:P414)),"")</f>
      </c>
      <c r="Q414">
        <f>IF($P414="","",IF(ISNUMBER(MATCH($P414,Shares!$A$2:$A$1001,0)),"held","NOT HELD - review"))</f>
      </c>
    </row>
    <row r="415" spans="1:17" ht="15" customHeight="1" x14ac:dyDescent="0.15">
      <c r="J415">
        <f>IF(Shares!$A413="","",Shares!$A413)</f>
      </c>
      <c r="K415">
        <f>IF($J415="","",LEFT($J415,FIND(":",$J415)-1))</f>
      </c>
      <c r="L415">
        <f>IF($J415="","",MID($J415,FIND(":",$J415)+1,FIND(":",$J415,FIND(":",$J415)+1)-FIND(":",$J415)-1))</f>
      </c>
      <c r="M415">
        <f>IF($J415="","",RIGHT($J415,LEN($J415)-FIND(":",$J415,FIND(":",$J415)+1)))</f>
      </c>
      <c r="N415">
        <f>IF($J415="","",IF(ISNUMBER(MATCH($J415,Prices[Key],0)),"OK - in Prices","ADD TO PRICES"))</f>
      </c>
      <c r="P415">
        <f>IFERROR(INDEX(Prices[Key],ROWS($P$4:P415)),"")</f>
      </c>
      <c r="Q415">
        <f>IF($P415="","",IF(ISNUMBER(MATCH($P415,Shares!$A$2:$A$1001,0)),"held","NOT HELD - review"))</f>
      </c>
    </row>
    <row r="416" spans="1:17" ht="15" customHeight="1" x14ac:dyDescent="0.15">
      <c r="J416">
        <f>IF(Shares!$A414="","",Shares!$A414)</f>
      </c>
      <c r="K416">
        <f>IF($J416="","",LEFT($J416,FIND(":",$J416)-1))</f>
      </c>
      <c r="L416">
        <f>IF($J416="","",MID($J416,FIND(":",$J416)+1,FIND(":",$J416,FIND(":",$J416)+1)-FIND(":",$J416)-1))</f>
      </c>
      <c r="M416">
        <f>IF($J416="","",RIGHT($J416,LEN($J416)-FIND(":",$J416,FIND(":",$J416)+1)))</f>
      </c>
      <c r="N416">
        <f>IF($J416="","",IF(ISNUMBER(MATCH($J416,Prices[Key],0)),"OK - in Prices","ADD TO PRICES"))</f>
      </c>
      <c r="P416">
        <f>IFERROR(INDEX(Prices[Key],ROWS($P$4:P416)),"")</f>
      </c>
      <c r="Q416">
        <f>IF($P416="","",IF(ISNUMBER(MATCH($P416,Shares!$A$2:$A$1001,0)),"held","NOT HELD - review"))</f>
      </c>
    </row>
    <row r="417" spans="1:17" ht="15" customHeight="1" x14ac:dyDescent="0.15">
      <c r="J417">
        <f>IF(Shares!$A415="","",Shares!$A415)</f>
      </c>
      <c r="K417">
        <f>IF($J417="","",LEFT($J417,FIND(":",$J417)-1))</f>
      </c>
      <c r="L417">
        <f>IF($J417="","",MID($J417,FIND(":",$J417)+1,FIND(":",$J417,FIND(":",$J417)+1)-FIND(":",$J417)-1))</f>
      </c>
      <c r="M417">
        <f>IF($J417="","",RIGHT($J417,LEN($J417)-FIND(":",$J417,FIND(":",$J417)+1)))</f>
      </c>
      <c r="N417">
        <f>IF($J417="","",IF(ISNUMBER(MATCH($J417,Prices[Key],0)),"OK - in Prices","ADD TO PRICES"))</f>
      </c>
      <c r="P417">
        <f>IFERROR(INDEX(Prices[Key],ROWS($P$4:P417)),"")</f>
      </c>
      <c r="Q417">
        <f>IF($P417="","",IF(ISNUMBER(MATCH($P417,Shares!$A$2:$A$1001,0)),"held","NOT HELD - review"))</f>
      </c>
    </row>
    <row r="418" spans="1:17" ht="15" customHeight="1" x14ac:dyDescent="0.15">
      <c r="J418">
        <f>IF(Shares!$A416="","",Shares!$A416)</f>
      </c>
      <c r="K418">
        <f>IF($J418="","",LEFT($J418,FIND(":",$J418)-1))</f>
      </c>
      <c r="L418">
        <f>IF($J418="","",MID($J418,FIND(":",$J418)+1,FIND(":",$J418,FIND(":",$J418)+1)-FIND(":",$J418)-1))</f>
      </c>
      <c r="M418">
        <f>IF($J418="","",RIGHT($J418,LEN($J418)-FIND(":",$J418,FIND(":",$J418)+1)))</f>
      </c>
      <c r="N418">
        <f>IF($J418="","",IF(ISNUMBER(MATCH($J418,Prices[Key],0)),"OK - in Prices","ADD TO PRICES"))</f>
      </c>
      <c r="P418">
        <f>IFERROR(INDEX(Prices[Key],ROWS($P$4:P418)),"")</f>
      </c>
      <c r="Q418">
        <f>IF($P418="","",IF(ISNUMBER(MATCH($P418,Shares!$A$2:$A$1001,0)),"held","NOT HELD - review"))</f>
      </c>
    </row>
    <row r="419" spans="1:17" ht="15" customHeight="1" x14ac:dyDescent="0.15">
      <c r="J419">
        <f>IF(Shares!$A417="","",Shares!$A417)</f>
      </c>
      <c r="K419">
        <f>IF($J419="","",LEFT($J419,FIND(":",$J419)-1))</f>
      </c>
      <c r="L419">
        <f>IF($J419="","",MID($J419,FIND(":",$J419)+1,FIND(":",$J419,FIND(":",$J419)+1)-FIND(":",$J419)-1))</f>
      </c>
      <c r="M419">
        <f>IF($J419="","",RIGHT($J419,LEN($J419)-FIND(":",$J419,FIND(":",$J419)+1)))</f>
      </c>
      <c r="N419">
        <f>IF($J419="","",IF(ISNUMBER(MATCH($J419,Prices[Key],0)),"OK - in Prices","ADD TO PRICES"))</f>
      </c>
      <c r="P419">
        <f>IFERROR(INDEX(Prices[Key],ROWS($P$4:P419)),"")</f>
      </c>
      <c r="Q419">
        <f>IF($P419="","",IF(ISNUMBER(MATCH($P419,Shares!$A$2:$A$1001,0)),"held","NOT HELD - review"))</f>
      </c>
    </row>
    <row r="420" spans="1:17" ht="15" customHeight="1" x14ac:dyDescent="0.15">
      <c r="J420">
        <f>IF(Shares!$A418="","",Shares!$A418)</f>
      </c>
      <c r="K420">
        <f>IF($J420="","",LEFT($J420,FIND(":",$J420)-1))</f>
      </c>
      <c r="L420">
        <f>IF($J420="","",MID($J420,FIND(":",$J420)+1,FIND(":",$J420,FIND(":",$J420)+1)-FIND(":",$J420)-1))</f>
      </c>
      <c r="M420">
        <f>IF($J420="","",RIGHT($J420,LEN($J420)-FIND(":",$J420,FIND(":",$J420)+1)))</f>
      </c>
      <c r="N420">
        <f>IF($J420="","",IF(ISNUMBER(MATCH($J420,Prices[Key],0)),"OK - in Prices","ADD TO PRICES"))</f>
      </c>
      <c r="P420">
        <f>IFERROR(INDEX(Prices[Key],ROWS($P$4:P420)),"")</f>
      </c>
      <c r="Q420">
        <f>IF($P420="","",IF(ISNUMBER(MATCH($P420,Shares!$A$2:$A$1001,0)),"held","NOT HELD - review"))</f>
      </c>
    </row>
    <row r="421" spans="1:17" ht="15" customHeight="1" x14ac:dyDescent="0.15">
      <c r="J421">
        <f>IF(Shares!$A419="","",Shares!$A419)</f>
      </c>
      <c r="K421">
        <f>IF($J421="","",LEFT($J421,FIND(":",$J421)-1))</f>
      </c>
      <c r="L421">
        <f>IF($J421="","",MID($J421,FIND(":",$J421)+1,FIND(":",$J421,FIND(":",$J421)+1)-FIND(":",$J421)-1))</f>
      </c>
      <c r="M421">
        <f>IF($J421="","",RIGHT($J421,LEN($J421)-FIND(":",$J421,FIND(":",$J421)+1)))</f>
      </c>
      <c r="N421">
        <f>IF($J421="","",IF(ISNUMBER(MATCH($J421,Prices[Key],0)),"OK - in Prices","ADD TO PRICES"))</f>
      </c>
      <c r="P421">
        <f>IFERROR(INDEX(Prices[Key],ROWS($P$4:P421)),"")</f>
      </c>
      <c r="Q421">
        <f>IF($P421="","",IF(ISNUMBER(MATCH($P421,Shares!$A$2:$A$1001,0)),"held","NOT HELD - review"))</f>
      </c>
    </row>
    <row r="422" spans="1:17" ht="15" customHeight="1" x14ac:dyDescent="0.15">
      <c r="J422">
        <f>IF(Shares!$A420="","",Shares!$A420)</f>
      </c>
      <c r="K422">
        <f>IF($J422="","",LEFT($J422,FIND(":",$J422)-1))</f>
      </c>
      <c r="L422">
        <f>IF($J422="","",MID($J422,FIND(":",$J422)+1,FIND(":",$J422,FIND(":",$J422)+1)-FIND(":",$J422)-1))</f>
      </c>
      <c r="M422">
        <f>IF($J422="","",RIGHT($J422,LEN($J422)-FIND(":",$J422,FIND(":",$J422)+1)))</f>
      </c>
      <c r="N422">
        <f>IF($J422="","",IF(ISNUMBER(MATCH($J422,Prices[Key],0)),"OK - in Prices","ADD TO PRICES"))</f>
      </c>
      <c r="P422">
        <f>IFERROR(INDEX(Prices[Key],ROWS($P$4:P422)),"")</f>
      </c>
      <c r="Q422">
        <f>IF($P422="","",IF(ISNUMBER(MATCH($P422,Shares!$A$2:$A$1001,0)),"held","NOT HELD - review"))</f>
      </c>
    </row>
    <row r="423" spans="1:17" ht="15" customHeight="1" x14ac:dyDescent="0.15">
      <c r="J423">
        <f>IF(Shares!$A421="","",Shares!$A421)</f>
      </c>
      <c r="K423">
        <f>IF($J423="","",LEFT($J423,FIND(":",$J423)-1))</f>
      </c>
      <c r="L423">
        <f>IF($J423="","",MID($J423,FIND(":",$J423)+1,FIND(":",$J423,FIND(":",$J423)+1)-FIND(":",$J423)-1))</f>
      </c>
      <c r="M423">
        <f>IF($J423="","",RIGHT($J423,LEN($J423)-FIND(":",$J423,FIND(":",$J423)+1)))</f>
      </c>
      <c r="N423">
        <f>IF($J423="","",IF(ISNUMBER(MATCH($J423,Prices[Key],0)),"OK - in Prices","ADD TO PRICES"))</f>
      </c>
      <c r="P423">
        <f>IFERROR(INDEX(Prices[Key],ROWS($P$4:P423)),"")</f>
      </c>
      <c r="Q423">
        <f>IF($P423="","",IF(ISNUMBER(MATCH($P423,Shares!$A$2:$A$1001,0)),"held","NOT HELD - review"))</f>
      </c>
    </row>
    <row r="424" spans="1:17" ht="15" customHeight="1" x14ac:dyDescent="0.15">
      <c r="J424">
        <f>IF(Shares!$A422="","",Shares!$A422)</f>
      </c>
      <c r="K424">
        <f>IF($J424="","",LEFT($J424,FIND(":",$J424)-1))</f>
      </c>
      <c r="L424">
        <f>IF($J424="","",MID($J424,FIND(":",$J424)+1,FIND(":",$J424,FIND(":",$J424)+1)-FIND(":",$J424)-1))</f>
      </c>
      <c r="M424">
        <f>IF($J424="","",RIGHT($J424,LEN($J424)-FIND(":",$J424,FIND(":",$J424)+1)))</f>
      </c>
      <c r="N424">
        <f>IF($J424="","",IF(ISNUMBER(MATCH($J424,Prices[Key],0)),"OK - in Prices","ADD TO PRICES"))</f>
      </c>
      <c r="P424">
        <f>IFERROR(INDEX(Prices[Key],ROWS($P$4:P424)),"")</f>
      </c>
      <c r="Q424">
        <f>IF($P424="","",IF(ISNUMBER(MATCH($P424,Shares!$A$2:$A$1001,0)),"held","NOT HELD - review"))</f>
      </c>
    </row>
    <row r="425" spans="1:17" ht="15" customHeight="1" x14ac:dyDescent="0.15">
      <c r="J425">
        <f>IF(Shares!$A423="","",Shares!$A423)</f>
      </c>
      <c r="K425">
        <f>IF($J425="","",LEFT($J425,FIND(":",$J425)-1))</f>
      </c>
      <c r="L425">
        <f>IF($J425="","",MID($J425,FIND(":",$J425)+1,FIND(":",$J425,FIND(":",$J425)+1)-FIND(":",$J425)-1))</f>
      </c>
      <c r="M425">
        <f>IF($J425="","",RIGHT($J425,LEN($J425)-FIND(":",$J425,FIND(":",$J425)+1)))</f>
      </c>
      <c r="N425">
        <f>IF($J425="","",IF(ISNUMBER(MATCH($J425,Prices[Key],0)),"OK - in Prices","ADD TO PRICES"))</f>
      </c>
      <c r="P425">
        <f>IFERROR(INDEX(Prices[Key],ROWS($P$4:P425)),"")</f>
      </c>
      <c r="Q425">
        <f>IF($P425="","",IF(ISNUMBER(MATCH($P425,Shares!$A$2:$A$1001,0)),"held","NOT HELD - review"))</f>
      </c>
    </row>
    <row r="426" spans="1:17" ht="15" customHeight="1" x14ac:dyDescent="0.15">
      <c r="J426">
        <f>IF(Shares!$A424="","",Shares!$A424)</f>
      </c>
      <c r="K426">
        <f>IF($J426="","",LEFT($J426,FIND(":",$J426)-1))</f>
      </c>
      <c r="L426">
        <f>IF($J426="","",MID($J426,FIND(":",$J426)+1,FIND(":",$J426,FIND(":",$J426)+1)-FIND(":",$J426)-1))</f>
      </c>
      <c r="M426">
        <f>IF($J426="","",RIGHT($J426,LEN($J426)-FIND(":",$J426,FIND(":",$J426)+1)))</f>
      </c>
      <c r="N426">
        <f>IF($J426="","",IF(ISNUMBER(MATCH($J426,Prices[Key],0)),"OK - in Prices","ADD TO PRICES"))</f>
      </c>
      <c r="P426">
        <f>IFERROR(INDEX(Prices[Key],ROWS($P$4:P426)),"")</f>
      </c>
      <c r="Q426">
        <f>IF($P426="","",IF(ISNUMBER(MATCH($P426,Shares!$A$2:$A$1001,0)),"held","NOT HELD - review"))</f>
      </c>
    </row>
    <row r="427" spans="1:17" ht="15" customHeight="1" x14ac:dyDescent="0.15">
      <c r="J427">
        <f>IF(Shares!$A425="","",Shares!$A425)</f>
      </c>
      <c r="K427">
        <f>IF($J427="","",LEFT($J427,FIND(":",$J427)-1))</f>
      </c>
      <c r="L427">
        <f>IF($J427="","",MID($J427,FIND(":",$J427)+1,FIND(":",$J427,FIND(":",$J427)+1)-FIND(":",$J427)-1))</f>
      </c>
      <c r="M427">
        <f>IF($J427="","",RIGHT($J427,LEN($J427)-FIND(":",$J427,FIND(":",$J427)+1)))</f>
      </c>
      <c r="N427">
        <f>IF($J427="","",IF(ISNUMBER(MATCH($J427,Prices[Key],0)),"OK - in Prices","ADD TO PRICES"))</f>
      </c>
      <c r="P427">
        <f>IFERROR(INDEX(Prices[Key],ROWS($P$4:P427)),"")</f>
      </c>
      <c r="Q427">
        <f>IF($P427="","",IF(ISNUMBER(MATCH($P427,Shares!$A$2:$A$1001,0)),"held","NOT HELD - review"))</f>
      </c>
    </row>
    <row r="428" spans="1:17" ht="15" customHeight="1" x14ac:dyDescent="0.15">
      <c r="J428">
        <f>IF(Shares!$A426="","",Shares!$A426)</f>
      </c>
      <c r="K428">
        <f>IF($J428="","",LEFT($J428,FIND(":",$J428)-1))</f>
      </c>
      <c r="L428">
        <f>IF($J428="","",MID($J428,FIND(":",$J428)+1,FIND(":",$J428,FIND(":",$J428)+1)-FIND(":",$J428)-1))</f>
      </c>
      <c r="M428">
        <f>IF($J428="","",RIGHT($J428,LEN($J428)-FIND(":",$J428,FIND(":",$J428)+1)))</f>
      </c>
      <c r="N428">
        <f>IF($J428="","",IF(ISNUMBER(MATCH($J428,Prices[Key],0)),"OK - in Prices","ADD TO PRICES"))</f>
      </c>
      <c r="P428">
        <f>IFERROR(INDEX(Prices[Key],ROWS($P$4:P428)),"")</f>
      </c>
      <c r="Q428">
        <f>IF($P428="","",IF(ISNUMBER(MATCH($P428,Shares!$A$2:$A$1001,0)),"held","NOT HELD - review"))</f>
      </c>
    </row>
    <row r="429" spans="1:17" ht="15" customHeight="1" x14ac:dyDescent="0.15">
      <c r="J429">
        <f>IF(Shares!$A427="","",Shares!$A427)</f>
      </c>
      <c r="K429">
        <f>IF($J429="","",LEFT($J429,FIND(":",$J429)-1))</f>
      </c>
      <c r="L429">
        <f>IF($J429="","",MID($J429,FIND(":",$J429)+1,FIND(":",$J429,FIND(":",$J429)+1)-FIND(":",$J429)-1))</f>
      </c>
      <c r="M429">
        <f>IF($J429="","",RIGHT($J429,LEN($J429)-FIND(":",$J429,FIND(":",$J429)+1)))</f>
      </c>
      <c r="N429">
        <f>IF($J429="","",IF(ISNUMBER(MATCH($J429,Prices[Key],0)),"OK - in Prices","ADD TO PRICES"))</f>
      </c>
      <c r="P429">
        <f>IFERROR(INDEX(Prices[Key],ROWS($P$4:P429)),"")</f>
      </c>
      <c r="Q429">
        <f>IF($P429="","",IF(ISNUMBER(MATCH($P429,Shares!$A$2:$A$1001,0)),"held","NOT HELD - review"))</f>
      </c>
    </row>
    <row r="430" spans="1:17" ht="15" customHeight="1" x14ac:dyDescent="0.15">
      <c r="J430">
        <f>IF(Shares!$A428="","",Shares!$A428)</f>
      </c>
      <c r="K430">
        <f>IF($J430="","",LEFT($J430,FIND(":",$J430)-1))</f>
      </c>
      <c r="L430">
        <f>IF($J430="","",MID($J430,FIND(":",$J430)+1,FIND(":",$J430,FIND(":",$J430)+1)-FIND(":",$J430)-1))</f>
      </c>
      <c r="M430">
        <f>IF($J430="","",RIGHT($J430,LEN($J430)-FIND(":",$J430,FIND(":",$J430)+1)))</f>
      </c>
      <c r="N430">
        <f>IF($J430="","",IF(ISNUMBER(MATCH($J430,Prices[Key],0)),"OK - in Prices","ADD TO PRICES"))</f>
      </c>
      <c r="P430">
        <f>IFERROR(INDEX(Prices[Key],ROWS($P$4:P430)),"")</f>
      </c>
      <c r="Q430">
        <f>IF($P430="","",IF(ISNUMBER(MATCH($P430,Shares!$A$2:$A$1001,0)),"held","NOT HELD - review"))</f>
      </c>
    </row>
    <row r="431" spans="1:17" ht="15" customHeight="1" x14ac:dyDescent="0.15">
      <c r="J431">
        <f>IF(Shares!$A429="","",Shares!$A429)</f>
      </c>
      <c r="K431">
        <f>IF($J431="","",LEFT($J431,FIND(":",$J431)-1))</f>
      </c>
      <c r="L431">
        <f>IF($J431="","",MID($J431,FIND(":",$J431)+1,FIND(":",$J431,FIND(":",$J431)+1)-FIND(":",$J431)-1))</f>
      </c>
      <c r="M431">
        <f>IF($J431="","",RIGHT($J431,LEN($J431)-FIND(":",$J431,FIND(":",$J431)+1)))</f>
      </c>
      <c r="N431">
        <f>IF($J431="","",IF(ISNUMBER(MATCH($J431,Prices[Key],0)),"OK - in Prices","ADD TO PRICES"))</f>
      </c>
      <c r="P431">
        <f>IFERROR(INDEX(Prices[Key],ROWS($P$4:P431)),"")</f>
      </c>
      <c r="Q431">
        <f>IF($P431="","",IF(ISNUMBER(MATCH($P431,Shares!$A$2:$A$1001,0)),"held","NOT HELD - review"))</f>
      </c>
    </row>
    <row r="432" spans="1:17" ht="15" customHeight="1" x14ac:dyDescent="0.15">
      <c r="J432">
        <f>IF(Shares!$A430="","",Shares!$A430)</f>
      </c>
      <c r="K432">
        <f>IF($J432="","",LEFT($J432,FIND(":",$J432)-1))</f>
      </c>
      <c r="L432">
        <f>IF($J432="","",MID($J432,FIND(":",$J432)+1,FIND(":",$J432,FIND(":",$J432)+1)-FIND(":",$J432)-1))</f>
      </c>
      <c r="M432">
        <f>IF($J432="","",RIGHT($J432,LEN($J432)-FIND(":",$J432,FIND(":",$J432)+1)))</f>
      </c>
      <c r="N432">
        <f>IF($J432="","",IF(ISNUMBER(MATCH($J432,Prices[Key],0)),"OK - in Prices","ADD TO PRICES"))</f>
      </c>
      <c r="P432">
        <f>IFERROR(INDEX(Prices[Key],ROWS($P$4:P432)),"")</f>
      </c>
      <c r="Q432">
        <f>IF($P432="","",IF(ISNUMBER(MATCH($P432,Shares!$A$2:$A$1001,0)),"held","NOT HELD - review"))</f>
      </c>
    </row>
    <row r="433" spans="1:17" ht="15" customHeight="1" x14ac:dyDescent="0.15">
      <c r="J433">
        <f>IF(Shares!$A431="","",Shares!$A431)</f>
      </c>
      <c r="K433">
        <f>IF($J433="","",LEFT($J433,FIND(":",$J433)-1))</f>
      </c>
      <c r="L433">
        <f>IF($J433="","",MID($J433,FIND(":",$J433)+1,FIND(":",$J433,FIND(":",$J433)+1)-FIND(":",$J433)-1))</f>
      </c>
      <c r="M433">
        <f>IF($J433="","",RIGHT($J433,LEN($J433)-FIND(":",$J433,FIND(":",$J433)+1)))</f>
      </c>
      <c r="N433">
        <f>IF($J433="","",IF(ISNUMBER(MATCH($J433,Prices[Key],0)),"OK - in Prices","ADD TO PRICES"))</f>
      </c>
      <c r="P433">
        <f>IFERROR(INDEX(Prices[Key],ROWS($P$4:P433)),"")</f>
      </c>
      <c r="Q433">
        <f>IF($P433="","",IF(ISNUMBER(MATCH($P433,Shares!$A$2:$A$1001,0)),"held","NOT HELD - review"))</f>
      </c>
    </row>
    <row r="434" spans="1:17" ht="15" customHeight="1" x14ac:dyDescent="0.15">
      <c r="J434">
        <f>IF(Shares!$A432="","",Shares!$A432)</f>
      </c>
      <c r="K434">
        <f>IF($J434="","",LEFT($J434,FIND(":",$J434)-1))</f>
      </c>
      <c r="L434">
        <f>IF($J434="","",MID($J434,FIND(":",$J434)+1,FIND(":",$J434,FIND(":",$J434)+1)-FIND(":",$J434)-1))</f>
      </c>
      <c r="M434">
        <f>IF($J434="","",RIGHT($J434,LEN($J434)-FIND(":",$J434,FIND(":",$J434)+1)))</f>
      </c>
      <c r="N434">
        <f>IF($J434="","",IF(ISNUMBER(MATCH($J434,Prices[Key],0)),"OK - in Prices","ADD TO PRICES"))</f>
      </c>
      <c r="P434">
        <f>IFERROR(INDEX(Prices[Key],ROWS($P$4:P434)),"")</f>
      </c>
      <c r="Q434">
        <f>IF($P434="","",IF(ISNUMBER(MATCH($P434,Shares!$A$2:$A$1001,0)),"held","NOT HELD - review"))</f>
      </c>
    </row>
    <row r="435" spans="1:17" ht="15" customHeight="1" x14ac:dyDescent="0.15">
      <c r="J435">
        <f>IF(Shares!$A433="","",Shares!$A433)</f>
      </c>
      <c r="K435">
        <f>IF($J435="","",LEFT($J435,FIND(":",$J435)-1))</f>
      </c>
      <c r="L435">
        <f>IF($J435="","",MID($J435,FIND(":",$J435)+1,FIND(":",$J435,FIND(":",$J435)+1)-FIND(":",$J435)-1))</f>
      </c>
      <c r="M435">
        <f>IF($J435="","",RIGHT($J435,LEN($J435)-FIND(":",$J435,FIND(":",$J435)+1)))</f>
      </c>
      <c r="N435">
        <f>IF($J435="","",IF(ISNUMBER(MATCH($J435,Prices[Key],0)),"OK - in Prices","ADD TO PRICES"))</f>
      </c>
      <c r="P435">
        <f>IFERROR(INDEX(Prices[Key],ROWS($P$4:P435)),"")</f>
      </c>
      <c r="Q435">
        <f>IF($P435="","",IF(ISNUMBER(MATCH($P435,Shares!$A$2:$A$1001,0)),"held","NOT HELD - review"))</f>
      </c>
    </row>
    <row r="436" spans="1:17" ht="15" customHeight="1" x14ac:dyDescent="0.15">
      <c r="J436">
        <f>IF(Shares!$A434="","",Shares!$A434)</f>
      </c>
      <c r="K436">
        <f>IF($J436="","",LEFT($J436,FIND(":",$J436)-1))</f>
      </c>
      <c r="L436">
        <f>IF($J436="","",MID($J436,FIND(":",$J436)+1,FIND(":",$J436,FIND(":",$J436)+1)-FIND(":",$J436)-1))</f>
      </c>
      <c r="M436">
        <f>IF($J436="","",RIGHT($J436,LEN($J436)-FIND(":",$J436,FIND(":",$J436)+1)))</f>
      </c>
      <c r="N436">
        <f>IF($J436="","",IF(ISNUMBER(MATCH($J436,Prices[Key],0)),"OK - in Prices","ADD TO PRICES"))</f>
      </c>
      <c r="P436">
        <f>IFERROR(INDEX(Prices[Key],ROWS($P$4:P436)),"")</f>
      </c>
      <c r="Q436">
        <f>IF($P436="","",IF(ISNUMBER(MATCH($P436,Shares!$A$2:$A$1001,0)),"held","NOT HELD - review"))</f>
      </c>
    </row>
    <row r="437" spans="1:17" ht="15" customHeight="1" x14ac:dyDescent="0.15">
      <c r="J437">
        <f>IF(Shares!$A435="","",Shares!$A435)</f>
      </c>
      <c r="K437">
        <f>IF($J437="","",LEFT($J437,FIND(":",$J437)-1))</f>
      </c>
      <c r="L437">
        <f>IF($J437="","",MID($J437,FIND(":",$J437)+1,FIND(":",$J437,FIND(":",$J437)+1)-FIND(":",$J437)-1))</f>
      </c>
      <c r="M437">
        <f>IF($J437="","",RIGHT($J437,LEN($J437)-FIND(":",$J437,FIND(":",$J437)+1)))</f>
      </c>
      <c r="N437">
        <f>IF($J437="","",IF(ISNUMBER(MATCH($J437,Prices[Key],0)),"OK - in Prices","ADD TO PRICES"))</f>
      </c>
      <c r="P437">
        <f>IFERROR(INDEX(Prices[Key],ROWS($P$4:P437)),"")</f>
      </c>
      <c r="Q437">
        <f>IF($P437="","",IF(ISNUMBER(MATCH($P437,Shares!$A$2:$A$1001,0)),"held","NOT HELD - review"))</f>
      </c>
    </row>
    <row r="438" spans="1:17" ht="15" customHeight="1" x14ac:dyDescent="0.15">
      <c r="J438">
        <f>IF(Shares!$A436="","",Shares!$A436)</f>
      </c>
      <c r="K438">
        <f>IF($J438="","",LEFT($J438,FIND(":",$J438)-1))</f>
      </c>
      <c r="L438">
        <f>IF($J438="","",MID($J438,FIND(":",$J438)+1,FIND(":",$J438,FIND(":",$J438)+1)-FIND(":",$J438)-1))</f>
      </c>
      <c r="M438">
        <f>IF($J438="","",RIGHT($J438,LEN($J438)-FIND(":",$J438,FIND(":",$J438)+1)))</f>
      </c>
      <c r="N438">
        <f>IF($J438="","",IF(ISNUMBER(MATCH($J438,Prices[Key],0)),"OK - in Prices","ADD TO PRICES"))</f>
      </c>
      <c r="P438">
        <f>IFERROR(INDEX(Prices[Key],ROWS($P$4:P438)),"")</f>
      </c>
      <c r="Q438">
        <f>IF($P438="","",IF(ISNUMBER(MATCH($P438,Shares!$A$2:$A$1001,0)),"held","NOT HELD - review"))</f>
      </c>
    </row>
    <row r="439" spans="1:17" ht="15" customHeight="1" x14ac:dyDescent="0.15">
      <c r="J439">
        <f>IF(Shares!$A437="","",Shares!$A437)</f>
      </c>
      <c r="K439">
        <f>IF($J439="","",LEFT($J439,FIND(":",$J439)-1))</f>
      </c>
      <c r="L439">
        <f>IF($J439="","",MID($J439,FIND(":",$J439)+1,FIND(":",$J439,FIND(":",$J439)+1)-FIND(":",$J439)-1))</f>
      </c>
      <c r="M439">
        <f>IF($J439="","",RIGHT($J439,LEN($J439)-FIND(":",$J439,FIND(":",$J439)+1)))</f>
      </c>
      <c r="N439">
        <f>IF($J439="","",IF(ISNUMBER(MATCH($J439,Prices[Key],0)),"OK - in Prices","ADD TO PRICES"))</f>
      </c>
      <c r="P439">
        <f>IFERROR(INDEX(Prices[Key],ROWS($P$4:P439)),"")</f>
      </c>
      <c r="Q439">
        <f>IF($P439="","",IF(ISNUMBER(MATCH($P439,Shares!$A$2:$A$1001,0)),"held","NOT HELD - review"))</f>
      </c>
    </row>
    <row r="440" spans="1:17" ht="15" customHeight="1" x14ac:dyDescent="0.15">
      <c r="J440">
        <f>IF(Shares!$A438="","",Shares!$A438)</f>
      </c>
      <c r="K440">
        <f>IF($J440="","",LEFT($J440,FIND(":",$J440)-1))</f>
      </c>
      <c r="L440">
        <f>IF($J440="","",MID($J440,FIND(":",$J440)+1,FIND(":",$J440,FIND(":",$J440)+1)-FIND(":",$J440)-1))</f>
      </c>
      <c r="M440">
        <f>IF($J440="","",RIGHT($J440,LEN($J440)-FIND(":",$J440,FIND(":",$J440)+1)))</f>
      </c>
      <c r="N440">
        <f>IF($J440="","",IF(ISNUMBER(MATCH($J440,Prices[Key],0)),"OK - in Prices","ADD TO PRICES"))</f>
      </c>
      <c r="P440">
        <f>IFERROR(INDEX(Prices[Key],ROWS($P$4:P440)),"")</f>
      </c>
      <c r="Q440">
        <f>IF($P440="","",IF(ISNUMBER(MATCH($P440,Shares!$A$2:$A$1001,0)),"held","NOT HELD - review"))</f>
      </c>
    </row>
    <row r="441" spans="1:17" ht="15" customHeight="1" x14ac:dyDescent="0.15">
      <c r="J441">
        <f>IF(Shares!$A439="","",Shares!$A439)</f>
      </c>
      <c r="K441">
        <f>IF($J441="","",LEFT($J441,FIND(":",$J441)-1))</f>
      </c>
      <c r="L441">
        <f>IF($J441="","",MID($J441,FIND(":",$J441)+1,FIND(":",$J441,FIND(":",$J441)+1)-FIND(":",$J441)-1))</f>
      </c>
      <c r="M441">
        <f>IF($J441="","",RIGHT($J441,LEN($J441)-FIND(":",$J441,FIND(":",$J441)+1)))</f>
      </c>
      <c r="N441">
        <f>IF($J441="","",IF(ISNUMBER(MATCH($J441,Prices[Key],0)),"OK - in Prices","ADD TO PRICES"))</f>
      </c>
      <c r="P441">
        <f>IFERROR(INDEX(Prices[Key],ROWS($P$4:P441)),"")</f>
      </c>
      <c r="Q441">
        <f>IF($P441="","",IF(ISNUMBER(MATCH($P441,Shares!$A$2:$A$1001,0)),"held","NOT HELD - review"))</f>
      </c>
    </row>
    <row r="442" spans="1:17" ht="15" customHeight="1" x14ac:dyDescent="0.15">
      <c r="J442">
        <f>IF(Shares!$A440="","",Shares!$A440)</f>
      </c>
      <c r="K442">
        <f>IF($J442="","",LEFT($J442,FIND(":",$J442)-1))</f>
      </c>
      <c r="L442">
        <f>IF($J442="","",MID($J442,FIND(":",$J442)+1,FIND(":",$J442,FIND(":",$J442)+1)-FIND(":",$J442)-1))</f>
      </c>
      <c r="M442">
        <f>IF($J442="","",RIGHT($J442,LEN($J442)-FIND(":",$J442,FIND(":",$J442)+1)))</f>
      </c>
      <c r="N442">
        <f>IF($J442="","",IF(ISNUMBER(MATCH($J442,Prices[Key],0)),"OK - in Prices","ADD TO PRICES"))</f>
      </c>
      <c r="P442">
        <f>IFERROR(INDEX(Prices[Key],ROWS($P$4:P442)),"")</f>
      </c>
      <c r="Q442">
        <f>IF($P442="","",IF(ISNUMBER(MATCH($P442,Shares!$A$2:$A$1001,0)),"held","NOT HELD - review"))</f>
      </c>
    </row>
    <row r="443" spans="1:17" ht="15" customHeight="1" x14ac:dyDescent="0.15">
      <c r="J443">
        <f>IF(Shares!$A441="","",Shares!$A441)</f>
      </c>
      <c r="K443">
        <f>IF($J443="","",LEFT($J443,FIND(":",$J443)-1))</f>
      </c>
      <c r="L443">
        <f>IF($J443="","",MID($J443,FIND(":",$J443)+1,FIND(":",$J443,FIND(":",$J443)+1)-FIND(":",$J443)-1))</f>
      </c>
      <c r="M443">
        <f>IF($J443="","",RIGHT($J443,LEN($J443)-FIND(":",$J443,FIND(":",$J443)+1)))</f>
      </c>
      <c r="N443">
        <f>IF($J443="","",IF(ISNUMBER(MATCH($J443,Prices[Key],0)),"OK - in Prices","ADD TO PRICES"))</f>
      </c>
      <c r="P443">
        <f>IFERROR(INDEX(Prices[Key],ROWS($P$4:P443)),"")</f>
      </c>
      <c r="Q443">
        <f>IF($P443="","",IF(ISNUMBER(MATCH($P443,Shares!$A$2:$A$1001,0)),"held","NOT HELD - review"))</f>
      </c>
    </row>
    <row r="444" spans="1:17" ht="15" customHeight="1" x14ac:dyDescent="0.15">
      <c r="J444">
        <f>IF(Shares!$A442="","",Shares!$A442)</f>
      </c>
      <c r="K444">
        <f>IF($J444="","",LEFT($J444,FIND(":",$J444)-1))</f>
      </c>
      <c r="L444">
        <f>IF($J444="","",MID($J444,FIND(":",$J444)+1,FIND(":",$J444,FIND(":",$J444)+1)-FIND(":",$J444)-1))</f>
      </c>
      <c r="M444">
        <f>IF($J444="","",RIGHT($J444,LEN($J444)-FIND(":",$J444,FIND(":",$J444)+1)))</f>
      </c>
      <c r="N444">
        <f>IF($J444="","",IF(ISNUMBER(MATCH($J444,Prices[Key],0)),"OK - in Prices","ADD TO PRICES"))</f>
      </c>
      <c r="P444">
        <f>IFERROR(INDEX(Prices[Key],ROWS($P$4:P444)),"")</f>
      </c>
      <c r="Q444">
        <f>IF($P444="","",IF(ISNUMBER(MATCH($P444,Shares!$A$2:$A$1001,0)),"held","NOT HELD - review"))</f>
      </c>
    </row>
    <row r="445" spans="1:17" ht="15" customHeight="1" x14ac:dyDescent="0.15">
      <c r="J445">
        <f>IF(Shares!$A443="","",Shares!$A443)</f>
      </c>
      <c r="K445">
        <f>IF($J445="","",LEFT($J445,FIND(":",$J445)-1))</f>
      </c>
      <c r="L445">
        <f>IF($J445="","",MID($J445,FIND(":",$J445)+1,FIND(":",$J445,FIND(":",$J445)+1)-FIND(":",$J445)-1))</f>
      </c>
      <c r="M445">
        <f>IF($J445="","",RIGHT($J445,LEN($J445)-FIND(":",$J445,FIND(":",$J445)+1)))</f>
      </c>
      <c r="N445">
        <f>IF($J445="","",IF(ISNUMBER(MATCH($J445,Prices[Key],0)),"OK - in Prices","ADD TO PRICES"))</f>
      </c>
      <c r="P445">
        <f>IFERROR(INDEX(Prices[Key],ROWS($P$4:P445)),"")</f>
      </c>
      <c r="Q445">
        <f>IF($P445="","",IF(ISNUMBER(MATCH($P445,Shares!$A$2:$A$1001,0)),"held","NOT HELD - review"))</f>
      </c>
    </row>
    <row r="446" spans="1:17" ht="15" customHeight="1" x14ac:dyDescent="0.15">
      <c r="J446">
        <f>IF(Shares!$A444="","",Shares!$A444)</f>
      </c>
      <c r="K446">
        <f>IF($J446="","",LEFT($J446,FIND(":",$J446)-1))</f>
      </c>
      <c r="L446">
        <f>IF($J446="","",MID($J446,FIND(":",$J446)+1,FIND(":",$J446,FIND(":",$J446)+1)-FIND(":",$J446)-1))</f>
      </c>
      <c r="M446">
        <f>IF($J446="","",RIGHT($J446,LEN($J446)-FIND(":",$J446,FIND(":",$J446)+1)))</f>
      </c>
      <c r="N446">
        <f>IF($J446="","",IF(ISNUMBER(MATCH($J446,Prices[Key],0)),"OK - in Prices","ADD TO PRICES"))</f>
      </c>
      <c r="P446">
        <f>IFERROR(INDEX(Prices[Key],ROWS($P$4:P446)),"")</f>
      </c>
      <c r="Q446">
        <f>IF($P446="","",IF(ISNUMBER(MATCH($P446,Shares!$A$2:$A$1001,0)),"held","NOT HELD - review"))</f>
      </c>
    </row>
    <row r="447" spans="1:17" ht="15" customHeight="1" x14ac:dyDescent="0.15">
      <c r="J447">
        <f>IF(Shares!$A445="","",Shares!$A445)</f>
      </c>
      <c r="K447">
        <f>IF($J447="","",LEFT($J447,FIND(":",$J447)-1))</f>
      </c>
      <c r="L447">
        <f>IF($J447="","",MID($J447,FIND(":",$J447)+1,FIND(":",$J447,FIND(":",$J447)+1)-FIND(":",$J447)-1))</f>
      </c>
      <c r="M447">
        <f>IF($J447="","",RIGHT($J447,LEN($J447)-FIND(":",$J447,FIND(":",$J447)+1)))</f>
      </c>
      <c r="N447">
        <f>IF($J447="","",IF(ISNUMBER(MATCH($J447,Prices[Key],0)),"OK - in Prices","ADD TO PRICES"))</f>
      </c>
      <c r="P447">
        <f>IFERROR(INDEX(Prices[Key],ROWS($P$4:P447)),"")</f>
      </c>
      <c r="Q447">
        <f>IF($P447="","",IF(ISNUMBER(MATCH($P447,Shares!$A$2:$A$1001,0)),"held","NOT HELD - review"))</f>
      </c>
    </row>
    <row r="448" spans="1:17" ht="15" customHeight="1" x14ac:dyDescent="0.15">
      <c r="J448">
        <f>IF(Shares!$A446="","",Shares!$A446)</f>
      </c>
      <c r="K448">
        <f>IF($J448="","",LEFT($J448,FIND(":",$J448)-1))</f>
      </c>
      <c r="L448">
        <f>IF($J448="","",MID($J448,FIND(":",$J448)+1,FIND(":",$J448,FIND(":",$J448)+1)-FIND(":",$J448)-1))</f>
      </c>
      <c r="M448">
        <f>IF($J448="","",RIGHT($J448,LEN($J448)-FIND(":",$J448,FIND(":",$J448)+1)))</f>
      </c>
      <c r="N448">
        <f>IF($J448="","",IF(ISNUMBER(MATCH($J448,Prices[Key],0)),"OK - in Prices","ADD TO PRICES"))</f>
      </c>
      <c r="P448">
        <f>IFERROR(INDEX(Prices[Key],ROWS($P$4:P448)),"")</f>
      </c>
      <c r="Q448">
        <f>IF($P448="","",IF(ISNUMBER(MATCH($P448,Shares!$A$2:$A$1001,0)),"held","NOT HELD - review"))</f>
      </c>
    </row>
    <row r="449" spans="1:17" ht="15" customHeight="1" x14ac:dyDescent="0.15">
      <c r="J449">
        <f>IF(Shares!$A447="","",Shares!$A447)</f>
      </c>
      <c r="K449">
        <f>IF($J449="","",LEFT($J449,FIND(":",$J449)-1))</f>
      </c>
      <c r="L449">
        <f>IF($J449="","",MID($J449,FIND(":",$J449)+1,FIND(":",$J449,FIND(":",$J449)+1)-FIND(":",$J449)-1))</f>
      </c>
      <c r="M449">
        <f>IF($J449="","",RIGHT($J449,LEN($J449)-FIND(":",$J449,FIND(":",$J449)+1)))</f>
      </c>
      <c r="N449">
        <f>IF($J449="","",IF(ISNUMBER(MATCH($J449,Prices[Key],0)),"OK - in Prices","ADD TO PRICES"))</f>
      </c>
      <c r="P449">
        <f>IFERROR(INDEX(Prices[Key],ROWS($P$4:P449)),"")</f>
      </c>
      <c r="Q449">
        <f>IF($P449="","",IF(ISNUMBER(MATCH($P449,Shares!$A$2:$A$1001,0)),"held","NOT HELD - review"))</f>
      </c>
    </row>
    <row r="450" spans="1:17" ht="15" customHeight="1" x14ac:dyDescent="0.15">
      <c r="J450">
        <f>IF(Shares!$A448="","",Shares!$A448)</f>
      </c>
      <c r="K450">
        <f>IF($J450="","",LEFT($J450,FIND(":",$J450)-1))</f>
      </c>
      <c r="L450">
        <f>IF($J450="","",MID($J450,FIND(":",$J450)+1,FIND(":",$J450,FIND(":",$J450)+1)-FIND(":",$J450)-1))</f>
      </c>
      <c r="M450">
        <f>IF($J450="","",RIGHT($J450,LEN($J450)-FIND(":",$J450,FIND(":",$J450)+1)))</f>
      </c>
      <c r="N450">
        <f>IF($J450="","",IF(ISNUMBER(MATCH($J450,Prices[Key],0)),"OK - in Prices","ADD TO PRICES"))</f>
      </c>
      <c r="P450">
        <f>IFERROR(INDEX(Prices[Key],ROWS($P$4:P450)),"")</f>
      </c>
      <c r="Q450">
        <f>IF($P450="","",IF(ISNUMBER(MATCH($P450,Shares!$A$2:$A$1001,0)),"held","NOT HELD - review"))</f>
      </c>
    </row>
    <row r="451" spans="1:17" ht="15" customHeight="1" x14ac:dyDescent="0.15">
      <c r="J451">
        <f>IF(Shares!$A449="","",Shares!$A449)</f>
      </c>
      <c r="K451">
        <f>IF($J451="","",LEFT($J451,FIND(":",$J451)-1))</f>
      </c>
      <c r="L451">
        <f>IF($J451="","",MID($J451,FIND(":",$J451)+1,FIND(":",$J451,FIND(":",$J451)+1)-FIND(":",$J451)-1))</f>
      </c>
      <c r="M451">
        <f>IF($J451="","",RIGHT($J451,LEN($J451)-FIND(":",$J451,FIND(":",$J451)+1)))</f>
      </c>
      <c r="N451">
        <f>IF($J451="","",IF(ISNUMBER(MATCH($J451,Prices[Key],0)),"OK - in Prices","ADD TO PRICES"))</f>
      </c>
      <c r="P451">
        <f>IFERROR(INDEX(Prices[Key],ROWS($P$4:P451)),"")</f>
      </c>
      <c r="Q451">
        <f>IF($P451="","",IF(ISNUMBER(MATCH($P451,Shares!$A$2:$A$1001,0)),"held","NOT HELD - review"))</f>
      </c>
    </row>
    <row r="452" spans="1:17" ht="15" customHeight="1" x14ac:dyDescent="0.15">
      <c r="J452">
        <f>IF(Shares!$A450="","",Shares!$A450)</f>
      </c>
      <c r="K452">
        <f>IF($J452="","",LEFT($J452,FIND(":",$J452)-1))</f>
      </c>
      <c r="L452">
        <f>IF($J452="","",MID($J452,FIND(":",$J452)+1,FIND(":",$J452,FIND(":",$J452)+1)-FIND(":",$J452)-1))</f>
      </c>
      <c r="M452">
        <f>IF($J452="","",RIGHT($J452,LEN($J452)-FIND(":",$J452,FIND(":",$J452)+1)))</f>
      </c>
      <c r="N452">
        <f>IF($J452="","",IF(ISNUMBER(MATCH($J452,Prices[Key],0)),"OK - in Prices","ADD TO PRICES"))</f>
      </c>
      <c r="P452">
        <f>IFERROR(INDEX(Prices[Key],ROWS($P$4:P452)),"")</f>
      </c>
      <c r="Q452">
        <f>IF($P452="","",IF(ISNUMBER(MATCH($P452,Shares!$A$2:$A$1001,0)),"held","NOT HELD - review"))</f>
      </c>
    </row>
    <row r="453" spans="1:17" ht="15" customHeight="1" x14ac:dyDescent="0.15">
      <c r="J453">
        <f>IF(Shares!$A451="","",Shares!$A451)</f>
      </c>
      <c r="K453">
        <f>IF($J453="","",LEFT($J453,FIND(":",$J453)-1))</f>
      </c>
      <c r="L453">
        <f>IF($J453="","",MID($J453,FIND(":",$J453)+1,FIND(":",$J453,FIND(":",$J453)+1)-FIND(":",$J453)-1))</f>
      </c>
      <c r="M453">
        <f>IF($J453="","",RIGHT($J453,LEN($J453)-FIND(":",$J453,FIND(":",$J453)+1)))</f>
      </c>
      <c r="N453">
        <f>IF($J453="","",IF(ISNUMBER(MATCH($J453,Prices[Key],0)),"OK - in Prices","ADD TO PRICES"))</f>
      </c>
      <c r="P453">
        <f>IFERROR(INDEX(Prices[Key],ROWS($P$4:P453)),"")</f>
      </c>
      <c r="Q453">
        <f>IF($P453="","",IF(ISNUMBER(MATCH($P453,Shares!$A$2:$A$1001,0)),"held","NOT HELD - review"))</f>
      </c>
    </row>
    <row r="454" spans="1:17" ht="15" customHeight="1" x14ac:dyDescent="0.15">
      <c r="J454">
        <f>IF(Shares!$A452="","",Shares!$A452)</f>
      </c>
      <c r="K454">
        <f>IF($J454="","",LEFT($J454,FIND(":",$J454)-1))</f>
      </c>
      <c r="L454">
        <f>IF($J454="","",MID($J454,FIND(":",$J454)+1,FIND(":",$J454,FIND(":",$J454)+1)-FIND(":",$J454)-1))</f>
      </c>
      <c r="M454">
        <f>IF($J454="","",RIGHT($J454,LEN($J454)-FIND(":",$J454,FIND(":",$J454)+1)))</f>
      </c>
      <c r="N454">
        <f>IF($J454="","",IF(ISNUMBER(MATCH($J454,Prices[Key],0)),"OK - in Prices","ADD TO PRICES"))</f>
      </c>
      <c r="P454">
        <f>IFERROR(INDEX(Prices[Key],ROWS($P$4:P454)),"")</f>
      </c>
      <c r="Q454">
        <f>IF($P454="","",IF(ISNUMBER(MATCH($P454,Shares!$A$2:$A$1001,0)),"held","NOT HELD - review"))</f>
      </c>
    </row>
    <row r="455" spans="1:17" ht="15" customHeight="1" x14ac:dyDescent="0.15">
      <c r="J455">
        <f>IF(Shares!$A453="","",Shares!$A453)</f>
      </c>
      <c r="K455">
        <f>IF($J455="","",LEFT($J455,FIND(":",$J455)-1))</f>
      </c>
      <c r="L455">
        <f>IF($J455="","",MID($J455,FIND(":",$J455)+1,FIND(":",$J455,FIND(":",$J455)+1)-FIND(":",$J455)-1))</f>
      </c>
      <c r="M455">
        <f>IF($J455="","",RIGHT($J455,LEN($J455)-FIND(":",$J455,FIND(":",$J455)+1)))</f>
      </c>
      <c r="N455">
        <f>IF($J455="","",IF(ISNUMBER(MATCH($J455,Prices[Key],0)),"OK - in Prices","ADD TO PRICES"))</f>
      </c>
      <c r="P455">
        <f>IFERROR(INDEX(Prices[Key],ROWS($P$4:P455)),"")</f>
      </c>
      <c r="Q455">
        <f>IF($P455="","",IF(ISNUMBER(MATCH($P455,Shares!$A$2:$A$1001,0)),"held","NOT HELD - review"))</f>
      </c>
    </row>
    <row r="456" spans="1:17" ht="15" customHeight="1" x14ac:dyDescent="0.15">
      <c r="J456">
        <f>IF(Shares!$A454="","",Shares!$A454)</f>
      </c>
      <c r="K456">
        <f>IF($J456="","",LEFT($J456,FIND(":",$J456)-1))</f>
      </c>
      <c r="L456">
        <f>IF($J456="","",MID($J456,FIND(":",$J456)+1,FIND(":",$J456,FIND(":",$J456)+1)-FIND(":",$J456)-1))</f>
      </c>
      <c r="M456">
        <f>IF($J456="","",RIGHT($J456,LEN($J456)-FIND(":",$J456,FIND(":",$J456)+1)))</f>
      </c>
      <c r="N456">
        <f>IF($J456="","",IF(ISNUMBER(MATCH($J456,Prices[Key],0)),"OK - in Prices","ADD TO PRICES"))</f>
      </c>
      <c r="P456">
        <f>IFERROR(INDEX(Prices[Key],ROWS($P$4:P456)),"")</f>
      </c>
      <c r="Q456">
        <f>IF($P456="","",IF(ISNUMBER(MATCH($P456,Shares!$A$2:$A$1001,0)),"held","NOT HELD - review"))</f>
      </c>
    </row>
    <row r="457" spans="1:17" ht="15" customHeight="1" x14ac:dyDescent="0.15">
      <c r="J457">
        <f>IF(Shares!$A455="","",Shares!$A455)</f>
      </c>
      <c r="K457">
        <f>IF($J457="","",LEFT($J457,FIND(":",$J457)-1))</f>
      </c>
      <c r="L457">
        <f>IF($J457="","",MID($J457,FIND(":",$J457)+1,FIND(":",$J457,FIND(":",$J457)+1)-FIND(":",$J457)-1))</f>
      </c>
      <c r="M457">
        <f>IF($J457="","",RIGHT($J457,LEN($J457)-FIND(":",$J457,FIND(":",$J457)+1)))</f>
      </c>
      <c r="N457">
        <f>IF($J457="","",IF(ISNUMBER(MATCH($J457,Prices[Key],0)),"OK - in Prices","ADD TO PRICES"))</f>
      </c>
      <c r="P457">
        <f>IFERROR(INDEX(Prices[Key],ROWS($P$4:P457)),"")</f>
      </c>
      <c r="Q457">
        <f>IF($P457="","",IF(ISNUMBER(MATCH($P457,Shares!$A$2:$A$1001,0)),"held","NOT HELD - review"))</f>
      </c>
    </row>
    <row r="458" spans="1:17" ht="15" customHeight="1" x14ac:dyDescent="0.15">
      <c r="J458">
        <f>IF(Shares!$A456="","",Shares!$A456)</f>
      </c>
      <c r="K458">
        <f>IF($J458="","",LEFT($J458,FIND(":",$J458)-1))</f>
      </c>
      <c r="L458">
        <f>IF($J458="","",MID($J458,FIND(":",$J458)+1,FIND(":",$J458,FIND(":",$J458)+1)-FIND(":",$J458)-1))</f>
      </c>
      <c r="M458">
        <f>IF($J458="","",RIGHT($J458,LEN($J458)-FIND(":",$J458,FIND(":",$J458)+1)))</f>
      </c>
      <c r="N458">
        <f>IF($J458="","",IF(ISNUMBER(MATCH($J458,Prices[Key],0)),"OK - in Prices","ADD TO PRICES"))</f>
      </c>
      <c r="P458">
        <f>IFERROR(INDEX(Prices[Key],ROWS($P$4:P458)),"")</f>
      </c>
      <c r="Q458">
        <f>IF($P458="","",IF(ISNUMBER(MATCH($P458,Shares!$A$2:$A$1001,0)),"held","NOT HELD - review"))</f>
      </c>
    </row>
    <row r="459" spans="1:17" ht="15" customHeight="1" x14ac:dyDescent="0.15">
      <c r="J459">
        <f>IF(Shares!$A457="","",Shares!$A457)</f>
      </c>
      <c r="K459">
        <f>IF($J459="","",LEFT($J459,FIND(":",$J459)-1))</f>
      </c>
      <c r="L459">
        <f>IF($J459="","",MID($J459,FIND(":",$J459)+1,FIND(":",$J459,FIND(":",$J459)+1)-FIND(":",$J459)-1))</f>
      </c>
      <c r="M459">
        <f>IF($J459="","",RIGHT($J459,LEN($J459)-FIND(":",$J459,FIND(":",$J459)+1)))</f>
      </c>
      <c r="N459">
        <f>IF($J459="","",IF(ISNUMBER(MATCH($J459,Prices[Key],0)),"OK - in Prices","ADD TO PRICES"))</f>
      </c>
      <c r="P459">
        <f>IFERROR(INDEX(Prices[Key],ROWS($P$4:P459)),"")</f>
      </c>
      <c r="Q459">
        <f>IF($P459="","",IF(ISNUMBER(MATCH($P459,Shares!$A$2:$A$1001,0)),"held","NOT HELD - review"))</f>
      </c>
    </row>
    <row r="460" spans="1:17" ht="15" customHeight="1" x14ac:dyDescent="0.15">
      <c r="J460">
        <f>IF(Shares!$A458="","",Shares!$A458)</f>
      </c>
      <c r="K460">
        <f>IF($J460="","",LEFT($J460,FIND(":",$J460)-1))</f>
      </c>
      <c r="L460">
        <f>IF($J460="","",MID($J460,FIND(":",$J460)+1,FIND(":",$J460,FIND(":",$J460)+1)-FIND(":",$J460)-1))</f>
      </c>
      <c r="M460">
        <f>IF($J460="","",RIGHT($J460,LEN($J460)-FIND(":",$J460,FIND(":",$J460)+1)))</f>
      </c>
      <c r="N460">
        <f>IF($J460="","",IF(ISNUMBER(MATCH($J460,Prices[Key],0)),"OK - in Prices","ADD TO PRICES"))</f>
      </c>
      <c r="P460">
        <f>IFERROR(INDEX(Prices[Key],ROWS($P$4:P460)),"")</f>
      </c>
      <c r="Q460">
        <f>IF($P460="","",IF(ISNUMBER(MATCH($P460,Shares!$A$2:$A$1001,0)),"held","NOT HELD - review"))</f>
      </c>
    </row>
    <row r="461" spans="1:17" ht="15" customHeight="1" x14ac:dyDescent="0.15">
      <c r="J461">
        <f>IF(Shares!$A459="","",Shares!$A459)</f>
      </c>
      <c r="K461">
        <f>IF($J461="","",LEFT($J461,FIND(":",$J461)-1))</f>
      </c>
      <c r="L461">
        <f>IF($J461="","",MID($J461,FIND(":",$J461)+1,FIND(":",$J461,FIND(":",$J461)+1)-FIND(":",$J461)-1))</f>
      </c>
      <c r="M461">
        <f>IF($J461="","",RIGHT($J461,LEN($J461)-FIND(":",$J461,FIND(":",$J461)+1)))</f>
      </c>
      <c r="N461">
        <f>IF($J461="","",IF(ISNUMBER(MATCH($J461,Prices[Key],0)),"OK - in Prices","ADD TO PRICES"))</f>
      </c>
      <c r="P461">
        <f>IFERROR(INDEX(Prices[Key],ROWS($P$4:P461)),"")</f>
      </c>
      <c r="Q461">
        <f>IF($P461="","",IF(ISNUMBER(MATCH($P461,Shares!$A$2:$A$1001,0)),"held","NOT HELD - review"))</f>
      </c>
    </row>
    <row r="462" spans="1:17" ht="15" customHeight="1" x14ac:dyDescent="0.15">
      <c r="J462">
        <f>IF(Shares!$A460="","",Shares!$A460)</f>
      </c>
      <c r="K462">
        <f>IF($J462="","",LEFT($J462,FIND(":",$J462)-1))</f>
      </c>
      <c r="L462">
        <f>IF($J462="","",MID($J462,FIND(":",$J462)+1,FIND(":",$J462,FIND(":",$J462)+1)-FIND(":",$J462)-1))</f>
      </c>
      <c r="M462">
        <f>IF($J462="","",RIGHT($J462,LEN($J462)-FIND(":",$J462,FIND(":",$J462)+1)))</f>
      </c>
      <c r="N462">
        <f>IF($J462="","",IF(ISNUMBER(MATCH($J462,Prices[Key],0)),"OK - in Prices","ADD TO PRICES"))</f>
      </c>
      <c r="P462">
        <f>IFERROR(INDEX(Prices[Key],ROWS($P$4:P462)),"")</f>
      </c>
      <c r="Q462">
        <f>IF($P462="","",IF(ISNUMBER(MATCH($P462,Shares!$A$2:$A$1001,0)),"held","NOT HELD - review"))</f>
      </c>
    </row>
    <row r="463" spans="1:17" ht="15" customHeight="1" x14ac:dyDescent="0.15">
      <c r="J463">
        <f>IF(Shares!$A461="","",Shares!$A461)</f>
      </c>
      <c r="K463">
        <f>IF($J463="","",LEFT($J463,FIND(":",$J463)-1))</f>
      </c>
      <c r="L463">
        <f>IF($J463="","",MID($J463,FIND(":",$J463)+1,FIND(":",$J463,FIND(":",$J463)+1)-FIND(":",$J463)-1))</f>
      </c>
      <c r="M463">
        <f>IF($J463="","",RIGHT($J463,LEN($J463)-FIND(":",$J463,FIND(":",$J463)+1)))</f>
      </c>
      <c r="N463">
        <f>IF($J463="","",IF(ISNUMBER(MATCH($J463,Prices[Key],0)),"OK - in Prices","ADD TO PRICES"))</f>
      </c>
      <c r="P463">
        <f>IFERROR(INDEX(Prices[Key],ROWS($P$4:P463)),"")</f>
      </c>
      <c r="Q463">
        <f>IF($P463="","",IF(ISNUMBER(MATCH($P463,Shares!$A$2:$A$1001,0)),"held","NOT HELD - review"))</f>
      </c>
    </row>
    <row r="464" spans="1:17" ht="15" customHeight="1" x14ac:dyDescent="0.15">
      <c r="J464">
        <f>IF(Shares!$A462="","",Shares!$A462)</f>
      </c>
      <c r="K464">
        <f>IF($J464="","",LEFT($J464,FIND(":",$J464)-1))</f>
      </c>
      <c r="L464">
        <f>IF($J464="","",MID($J464,FIND(":",$J464)+1,FIND(":",$J464,FIND(":",$J464)+1)-FIND(":",$J464)-1))</f>
      </c>
      <c r="M464">
        <f>IF($J464="","",RIGHT($J464,LEN($J464)-FIND(":",$J464,FIND(":",$J464)+1)))</f>
      </c>
      <c r="N464">
        <f>IF($J464="","",IF(ISNUMBER(MATCH($J464,Prices[Key],0)),"OK - in Prices","ADD TO PRICES"))</f>
      </c>
      <c r="P464">
        <f>IFERROR(INDEX(Prices[Key],ROWS($P$4:P464)),"")</f>
      </c>
      <c r="Q464">
        <f>IF($P464="","",IF(ISNUMBER(MATCH($P464,Shares!$A$2:$A$1001,0)),"held","NOT HELD - review"))</f>
      </c>
    </row>
    <row r="465" spans="1:17" ht="15" customHeight="1" x14ac:dyDescent="0.15">
      <c r="J465">
        <f>IF(Shares!$A463="","",Shares!$A463)</f>
      </c>
      <c r="K465">
        <f>IF($J465="","",LEFT($J465,FIND(":",$J465)-1))</f>
      </c>
      <c r="L465">
        <f>IF($J465="","",MID($J465,FIND(":",$J465)+1,FIND(":",$J465,FIND(":",$J465)+1)-FIND(":",$J465)-1))</f>
      </c>
      <c r="M465">
        <f>IF($J465="","",RIGHT($J465,LEN($J465)-FIND(":",$J465,FIND(":",$J465)+1)))</f>
      </c>
      <c r="N465">
        <f>IF($J465="","",IF(ISNUMBER(MATCH($J465,Prices[Key],0)),"OK - in Prices","ADD TO PRICES"))</f>
      </c>
      <c r="P465">
        <f>IFERROR(INDEX(Prices[Key],ROWS($P$4:P465)),"")</f>
      </c>
      <c r="Q465">
        <f>IF($P465="","",IF(ISNUMBER(MATCH($P465,Shares!$A$2:$A$1001,0)),"held","NOT HELD - review"))</f>
      </c>
    </row>
    <row r="466" spans="1:17" ht="15" customHeight="1" x14ac:dyDescent="0.15">
      <c r="J466">
        <f>IF(Shares!$A464="","",Shares!$A464)</f>
      </c>
      <c r="K466">
        <f>IF($J466="","",LEFT($J466,FIND(":",$J466)-1))</f>
      </c>
      <c r="L466">
        <f>IF($J466="","",MID($J466,FIND(":",$J466)+1,FIND(":",$J466,FIND(":",$J466)+1)-FIND(":",$J466)-1))</f>
      </c>
      <c r="M466">
        <f>IF($J466="","",RIGHT($J466,LEN($J466)-FIND(":",$J466,FIND(":",$J466)+1)))</f>
      </c>
      <c r="N466">
        <f>IF($J466="","",IF(ISNUMBER(MATCH($J466,Prices[Key],0)),"OK - in Prices","ADD TO PRICES"))</f>
      </c>
      <c r="P466">
        <f>IFERROR(INDEX(Prices[Key],ROWS($P$4:P466)),"")</f>
      </c>
      <c r="Q466">
        <f>IF($P466="","",IF(ISNUMBER(MATCH($P466,Shares!$A$2:$A$1001,0)),"held","NOT HELD - review"))</f>
      </c>
    </row>
    <row r="467" spans="1:17" ht="15" customHeight="1" x14ac:dyDescent="0.15">
      <c r="J467">
        <f>IF(Shares!$A465="","",Shares!$A465)</f>
      </c>
      <c r="K467">
        <f>IF($J467="","",LEFT($J467,FIND(":",$J467)-1))</f>
      </c>
      <c r="L467">
        <f>IF($J467="","",MID($J467,FIND(":",$J467)+1,FIND(":",$J467,FIND(":",$J467)+1)-FIND(":",$J467)-1))</f>
      </c>
      <c r="M467">
        <f>IF($J467="","",RIGHT($J467,LEN($J467)-FIND(":",$J467,FIND(":",$J467)+1)))</f>
      </c>
      <c r="N467">
        <f>IF($J467="","",IF(ISNUMBER(MATCH($J467,Prices[Key],0)),"OK - in Prices","ADD TO PRICES"))</f>
      </c>
      <c r="P467">
        <f>IFERROR(INDEX(Prices[Key],ROWS($P$4:P467)),"")</f>
      </c>
      <c r="Q467">
        <f>IF($P467="","",IF(ISNUMBER(MATCH($P467,Shares!$A$2:$A$1001,0)),"held","NOT HELD - review"))</f>
      </c>
    </row>
    <row r="468" spans="1:17" ht="15" customHeight="1" x14ac:dyDescent="0.15">
      <c r="J468">
        <f>IF(Shares!$A466="","",Shares!$A466)</f>
      </c>
      <c r="K468">
        <f>IF($J468="","",LEFT($J468,FIND(":",$J468)-1))</f>
      </c>
      <c r="L468">
        <f>IF($J468="","",MID($J468,FIND(":",$J468)+1,FIND(":",$J468,FIND(":",$J468)+1)-FIND(":",$J468)-1))</f>
      </c>
      <c r="M468">
        <f>IF($J468="","",RIGHT($J468,LEN($J468)-FIND(":",$J468,FIND(":",$J468)+1)))</f>
      </c>
      <c r="N468">
        <f>IF($J468="","",IF(ISNUMBER(MATCH($J468,Prices[Key],0)),"OK - in Prices","ADD TO PRICES"))</f>
      </c>
      <c r="P468">
        <f>IFERROR(INDEX(Prices[Key],ROWS($P$4:P468)),"")</f>
      </c>
      <c r="Q468">
        <f>IF($P468="","",IF(ISNUMBER(MATCH($P468,Shares!$A$2:$A$1001,0)),"held","NOT HELD - review"))</f>
      </c>
    </row>
    <row r="469" spans="1:17" ht="15" customHeight="1" x14ac:dyDescent="0.15">
      <c r="J469">
        <f>IF(Shares!$A467="","",Shares!$A467)</f>
      </c>
      <c r="K469">
        <f>IF($J469="","",LEFT($J469,FIND(":",$J469)-1))</f>
      </c>
      <c r="L469">
        <f>IF($J469="","",MID($J469,FIND(":",$J469)+1,FIND(":",$J469,FIND(":",$J469)+1)-FIND(":",$J469)-1))</f>
      </c>
      <c r="M469">
        <f>IF($J469="","",RIGHT($J469,LEN($J469)-FIND(":",$J469,FIND(":",$J469)+1)))</f>
      </c>
      <c r="N469">
        <f>IF($J469="","",IF(ISNUMBER(MATCH($J469,Prices[Key],0)),"OK - in Prices","ADD TO PRICES"))</f>
      </c>
      <c r="P469">
        <f>IFERROR(INDEX(Prices[Key],ROWS($P$4:P469)),"")</f>
      </c>
      <c r="Q469">
        <f>IF($P469="","",IF(ISNUMBER(MATCH($P469,Shares!$A$2:$A$1001,0)),"held","NOT HELD - review"))</f>
      </c>
    </row>
    <row r="470" spans="1:17" ht="15" customHeight="1" x14ac:dyDescent="0.15">
      <c r="J470">
        <f>IF(Shares!$A468="","",Shares!$A468)</f>
      </c>
      <c r="K470">
        <f>IF($J470="","",LEFT($J470,FIND(":",$J470)-1))</f>
      </c>
      <c r="L470">
        <f>IF($J470="","",MID($J470,FIND(":",$J470)+1,FIND(":",$J470,FIND(":",$J470)+1)-FIND(":",$J470)-1))</f>
      </c>
      <c r="M470">
        <f>IF($J470="","",RIGHT($J470,LEN($J470)-FIND(":",$J470,FIND(":",$J470)+1)))</f>
      </c>
      <c r="N470">
        <f>IF($J470="","",IF(ISNUMBER(MATCH($J470,Prices[Key],0)),"OK - in Prices","ADD TO PRICES"))</f>
      </c>
      <c r="P470">
        <f>IFERROR(INDEX(Prices[Key],ROWS($P$4:P470)),"")</f>
      </c>
      <c r="Q470">
        <f>IF($P470="","",IF(ISNUMBER(MATCH($P470,Shares!$A$2:$A$1001,0)),"held","NOT HELD - review"))</f>
      </c>
    </row>
    <row r="471" spans="1:17" ht="15" customHeight="1" x14ac:dyDescent="0.15">
      <c r="J471">
        <f>IF(Shares!$A469="","",Shares!$A469)</f>
      </c>
      <c r="K471">
        <f>IF($J471="","",LEFT($J471,FIND(":",$J471)-1))</f>
      </c>
      <c r="L471">
        <f>IF($J471="","",MID($J471,FIND(":",$J471)+1,FIND(":",$J471,FIND(":",$J471)+1)-FIND(":",$J471)-1))</f>
      </c>
      <c r="M471">
        <f>IF($J471="","",RIGHT($J471,LEN($J471)-FIND(":",$J471,FIND(":",$J471)+1)))</f>
      </c>
      <c r="N471">
        <f>IF($J471="","",IF(ISNUMBER(MATCH($J471,Prices[Key],0)),"OK - in Prices","ADD TO PRICES"))</f>
      </c>
      <c r="P471">
        <f>IFERROR(INDEX(Prices[Key],ROWS($P$4:P471)),"")</f>
      </c>
      <c r="Q471">
        <f>IF($P471="","",IF(ISNUMBER(MATCH($P471,Shares!$A$2:$A$1001,0)),"held","NOT HELD - review"))</f>
      </c>
    </row>
    <row r="472" spans="1:17" ht="15" customHeight="1" x14ac:dyDescent="0.15">
      <c r="J472">
        <f>IF(Shares!$A470="","",Shares!$A470)</f>
      </c>
      <c r="K472">
        <f>IF($J472="","",LEFT($J472,FIND(":",$J472)-1))</f>
      </c>
      <c r="L472">
        <f>IF($J472="","",MID($J472,FIND(":",$J472)+1,FIND(":",$J472,FIND(":",$J472)+1)-FIND(":",$J472)-1))</f>
      </c>
      <c r="M472">
        <f>IF($J472="","",RIGHT($J472,LEN($J472)-FIND(":",$J472,FIND(":",$J472)+1)))</f>
      </c>
      <c r="N472">
        <f>IF($J472="","",IF(ISNUMBER(MATCH($J472,Prices[Key],0)),"OK - in Prices","ADD TO PRICES"))</f>
      </c>
      <c r="P472">
        <f>IFERROR(INDEX(Prices[Key],ROWS($P$4:P472)),"")</f>
      </c>
      <c r="Q472">
        <f>IF($P472="","",IF(ISNUMBER(MATCH($P472,Shares!$A$2:$A$1001,0)),"held","NOT HELD - review"))</f>
      </c>
    </row>
    <row r="473" spans="1:17" ht="15" customHeight="1" x14ac:dyDescent="0.15">
      <c r="J473">
        <f>IF(Shares!$A471="","",Shares!$A471)</f>
      </c>
      <c r="K473">
        <f>IF($J473="","",LEFT($J473,FIND(":",$J473)-1))</f>
      </c>
      <c r="L473">
        <f>IF($J473="","",MID($J473,FIND(":",$J473)+1,FIND(":",$J473,FIND(":",$J473)+1)-FIND(":",$J473)-1))</f>
      </c>
      <c r="M473">
        <f>IF($J473="","",RIGHT($J473,LEN($J473)-FIND(":",$J473,FIND(":",$J473)+1)))</f>
      </c>
      <c r="N473">
        <f>IF($J473="","",IF(ISNUMBER(MATCH($J473,Prices[Key],0)),"OK - in Prices","ADD TO PRICES"))</f>
      </c>
      <c r="P473">
        <f>IFERROR(INDEX(Prices[Key],ROWS($P$4:P473)),"")</f>
      </c>
      <c r="Q473">
        <f>IF($P473="","",IF(ISNUMBER(MATCH($P473,Shares!$A$2:$A$1001,0)),"held","NOT HELD - review"))</f>
      </c>
    </row>
    <row r="474" spans="1:17" ht="15" customHeight="1" x14ac:dyDescent="0.15">
      <c r="J474">
        <f>IF(Shares!$A472="","",Shares!$A472)</f>
      </c>
      <c r="K474">
        <f>IF($J474="","",LEFT($J474,FIND(":",$J474)-1))</f>
      </c>
      <c r="L474">
        <f>IF($J474="","",MID($J474,FIND(":",$J474)+1,FIND(":",$J474,FIND(":",$J474)+1)-FIND(":",$J474)-1))</f>
      </c>
      <c r="M474">
        <f>IF($J474="","",RIGHT($J474,LEN($J474)-FIND(":",$J474,FIND(":",$J474)+1)))</f>
      </c>
      <c r="N474">
        <f>IF($J474="","",IF(ISNUMBER(MATCH($J474,Prices[Key],0)),"OK - in Prices","ADD TO PRICES"))</f>
      </c>
      <c r="P474">
        <f>IFERROR(INDEX(Prices[Key],ROWS($P$4:P474)),"")</f>
      </c>
      <c r="Q474">
        <f>IF($P474="","",IF(ISNUMBER(MATCH($P474,Shares!$A$2:$A$1001,0)),"held","NOT HELD - review"))</f>
      </c>
    </row>
    <row r="475" spans="1:17" ht="15" customHeight="1" x14ac:dyDescent="0.15">
      <c r="J475">
        <f>IF(Shares!$A473="","",Shares!$A473)</f>
      </c>
      <c r="K475">
        <f>IF($J475="","",LEFT($J475,FIND(":",$J475)-1))</f>
      </c>
      <c r="L475">
        <f>IF($J475="","",MID($J475,FIND(":",$J475)+1,FIND(":",$J475,FIND(":",$J475)+1)-FIND(":",$J475)-1))</f>
      </c>
      <c r="M475">
        <f>IF($J475="","",RIGHT($J475,LEN($J475)-FIND(":",$J475,FIND(":",$J475)+1)))</f>
      </c>
      <c r="N475">
        <f>IF($J475="","",IF(ISNUMBER(MATCH($J475,Prices[Key],0)),"OK - in Prices","ADD TO PRICES"))</f>
      </c>
      <c r="P475">
        <f>IFERROR(INDEX(Prices[Key],ROWS($P$4:P475)),"")</f>
      </c>
      <c r="Q475">
        <f>IF($P475="","",IF(ISNUMBER(MATCH($P475,Shares!$A$2:$A$1001,0)),"held","NOT HELD - review"))</f>
      </c>
    </row>
    <row r="476" spans="1:17" ht="15" customHeight="1" x14ac:dyDescent="0.15">
      <c r="J476">
        <f>IF(Shares!$A474="","",Shares!$A474)</f>
      </c>
      <c r="K476">
        <f>IF($J476="","",LEFT($J476,FIND(":",$J476)-1))</f>
      </c>
      <c r="L476">
        <f>IF($J476="","",MID($J476,FIND(":",$J476)+1,FIND(":",$J476,FIND(":",$J476)+1)-FIND(":",$J476)-1))</f>
      </c>
      <c r="M476">
        <f>IF($J476="","",RIGHT($J476,LEN($J476)-FIND(":",$J476,FIND(":",$J476)+1)))</f>
      </c>
      <c r="N476">
        <f>IF($J476="","",IF(ISNUMBER(MATCH($J476,Prices[Key],0)),"OK - in Prices","ADD TO PRICES"))</f>
      </c>
      <c r="P476">
        <f>IFERROR(INDEX(Prices[Key],ROWS($P$4:P476)),"")</f>
      </c>
      <c r="Q476">
        <f>IF($P476="","",IF(ISNUMBER(MATCH($P476,Shares!$A$2:$A$1001,0)),"held","NOT HELD - review"))</f>
      </c>
    </row>
    <row r="477" spans="1:17" ht="15" customHeight="1" x14ac:dyDescent="0.15">
      <c r="J477">
        <f>IF(Shares!$A475="","",Shares!$A475)</f>
      </c>
      <c r="K477">
        <f>IF($J477="","",LEFT($J477,FIND(":",$J477)-1))</f>
      </c>
      <c r="L477">
        <f>IF($J477="","",MID($J477,FIND(":",$J477)+1,FIND(":",$J477,FIND(":",$J477)+1)-FIND(":",$J477)-1))</f>
      </c>
      <c r="M477">
        <f>IF($J477="","",RIGHT($J477,LEN($J477)-FIND(":",$J477,FIND(":",$J477)+1)))</f>
      </c>
      <c r="N477">
        <f>IF($J477="","",IF(ISNUMBER(MATCH($J477,Prices[Key],0)),"OK - in Prices","ADD TO PRICES"))</f>
      </c>
      <c r="P477">
        <f>IFERROR(INDEX(Prices[Key],ROWS($P$4:P477)),"")</f>
      </c>
      <c r="Q477">
        <f>IF($P477="","",IF(ISNUMBER(MATCH($P477,Shares!$A$2:$A$1001,0)),"held","NOT HELD - review"))</f>
      </c>
    </row>
    <row r="478" spans="1:17" ht="15" customHeight="1" x14ac:dyDescent="0.15">
      <c r="J478">
        <f>IF(Shares!$A476="","",Shares!$A476)</f>
      </c>
      <c r="K478">
        <f>IF($J478="","",LEFT($J478,FIND(":",$J478)-1))</f>
      </c>
      <c r="L478">
        <f>IF($J478="","",MID($J478,FIND(":",$J478)+1,FIND(":",$J478,FIND(":",$J478)+1)-FIND(":",$J478)-1))</f>
      </c>
      <c r="M478">
        <f>IF($J478="","",RIGHT($J478,LEN($J478)-FIND(":",$J478,FIND(":",$J478)+1)))</f>
      </c>
      <c r="N478">
        <f>IF($J478="","",IF(ISNUMBER(MATCH($J478,Prices[Key],0)),"OK - in Prices","ADD TO PRICES"))</f>
      </c>
      <c r="P478">
        <f>IFERROR(INDEX(Prices[Key],ROWS($P$4:P478)),"")</f>
      </c>
      <c r="Q478">
        <f>IF($P478="","",IF(ISNUMBER(MATCH($P478,Shares!$A$2:$A$1001,0)),"held","NOT HELD - review"))</f>
      </c>
    </row>
    <row r="479" spans="1:17" ht="15" customHeight="1" x14ac:dyDescent="0.15">
      <c r="J479">
        <f>IF(Shares!$A477="","",Shares!$A477)</f>
      </c>
      <c r="K479">
        <f>IF($J479="","",LEFT($J479,FIND(":",$J479)-1))</f>
      </c>
      <c r="L479">
        <f>IF($J479="","",MID($J479,FIND(":",$J479)+1,FIND(":",$J479,FIND(":",$J479)+1)-FIND(":",$J479)-1))</f>
      </c>
      <c r="M479">
        <f>IF($J479="","",RIGHT($J479,LEN($J479)-FIND(":",$J479,FIND(":",$J479)+1)))</f>
      </c>
      <c r="N479">
        <f>IF($J479="","",IF(ISNUMBER(MATCH($J479,Prices[Key],0)),"OK - in Prices","ADD TO PRICES"))</f>
      </c>
      <c r="P479">
        <f>IFERROR(INDEX(Prices[Key],ROWS($P$4:P479)),"")</f>
      </c>
      <c r="Q479">
        <f>IF($P479="","",IF(ISNUMBER(MATCH($P479,Shares!$A$2:$A$1001,0)),"held","NOT HELD - review"))</f>
      </c>
    </row>
    <row r="480" spans="1:17" ht="15" customHeight="1" x14ac:dyDescent="0.15">
      <c r="J480">
        <f>IF(Shares!$A478="","",Shares!$A478)</f>
      </c>
      <c r="K480">
        <f>IF($J480="","",LEFT($J480,FIND(":",$J480)-1))</f>
      </c>
      <c r="L480">
        <f>IF($J480="","",MID($J480,FIND(":",$J480)+1,FIND(":",$J480,FIND(":",$J480)+1)-FIND(":",$J480)-1))</f>
      </c>
      <c r="M480">
        <f>IF($J480="","",RIGHT($J480,LEN($J480)-FIND(":",$J480,FIND(":",$J480)+1)))</f>
      </c>
      <c r="N480">
        <f>IF($J480="","",IF(ISNUMBER(MATCH($J480,Prices[Key],0)),"OK - in Prices","ADD TO PRICES"))</f>
      </c>
      <c r="P480">
        <f>IFERROR(INDEX(Prices[Key],ROWS($P$4:P480)),"")</f>
      </c>
      <c r="Q480">
        <f>IF($P480="","",IF(ISNUMBER(MATCH($P480,Shares!$A$2:$A$1001,0)),"held","NOT HELD - review"))</f>
      </c>
    </row>
    <row r="481" spans="1:17" ht="15" customHeight="1" x14ac:dyDescent="0.15">
      <c r="J481">
        <f>IF(Shares!$A479="","",Shares!$A479)</f>
      </c>
      <c r="K481">
        <f>IF($J481="","",LEFT($J481,FIND(":",$J481)-1))</f>
      </c>
      <c r="L481">
        <f>IF($J481="","",MID($J481,FIND(":",$J481)+1,FIND(":",$J481,FIND(":",$J481)+1)-FIND(":",$J481)-1))</f>
      </c>
      <c r="M481">
        <f>IF($J481="","",RIGHT($J481,LEN($J481)-FIND(":",$J481,FIND(":",$J481)+1)))</f>
      </c>
      <c r="N481">
        <f>IF($J481="","",IF(ISNUMBER(MATCH($J481,Prices[Key],0)),"OK - in Prices","ADD TO PRICES"))</f>
      </c>
      <c r="P481">
        <f>IFERROR(INDEX(Prices[Key],ROWS($P$4:P481)),"")</f>
      </c>
      <c r="Q481">
        <f>IF($P481="","",IF(ISNUMBER(MATCH($P481,Shares!$A$2:$A$1001,0)),"held","NOT HELD - review"))</f>
      </c>
    </row>
    <row r="482" spans="1:17" ht="15" customHeight="1" x14ac:dyDescent="0.15">
      <c r="J482">
        <f>IF(Shares!$A480="","",Shares!$A480)</f>
      </c>
      <c r="K482">
        <f>IF($J482="","",LEFT($J482,FIND(":",$J482)-1))</f>
      </c>
      <c r="L482">
        <f>IF($J482="","",MID($J482,FIND(":",$J482)+1,FIND(":",$J482,FIND(":",$J482)+1)-FIND(":",$J482)-1))</f>
      </c>
      <c r="M482">
        <f>IF($J482="","",RIGHT($J482,LEN($J482)-FIND(":",$J482,FIND(":",$J482)+1)))</f>
      </c>
      <c r="N482">
        <f>IF($J482="","",IF(ISNUMBER(MATCH($J482,Prices[Key],0)),"OK - in Prices","ADD TO PRICES"))</f>
      </c>
      <c r="P482">
        <f>IFERROR(INDEX(Prices[Key],ROWS($P$4:P482)),"")</f>
      </c>
      <c r="Q482">
        <f>IF($P482="","",IF(ISNUMBER(MATCH($P482,Shares!$A$2:$A$1001,0)),"held","NOT HELD - review"))</f>
      </c>
    </row>
    <row r="483" spans="1:17" ht="15" customHeight="1" x14ac:dyDescent="0.15">
      <c r="J483">
        <f>IF(Shares!$A481="","",Shares!$A481)</f>
      </c>
      <c r="K483">
        <f>IF($J483="","",LEFT($J483,FIND(":",$J483)-1))</f>
      </c>
      <c r="L483">
        <f>IF($J483="","",MID($J483,FIND(":",$J483)+1,FIND(":",$J483,FIND(":",$J483)+1)-FIND(":",$J483)-1))</f>
      </c>
      <c r="M483">
        <f>IF($J483="","",RIGHT($J483,LEN($J483)-FIND(":",$J483,FIND(":",$J483)+1)))</f>
      </c>
      <c r="N483">
        <f>IF($J483="","",IF(ISNUMBER(MATCH($J483,Prices[Key],0)),"OK - in Prices","ADD TO PRICES"))</f>
      </c>
      <c r="P483">
        <f>IFERROR(INDEX(Prices[Key],ROWS($P$4:P483)),"")</f>
      </c>
      <c r="Q483">
        <f>IF($P483="","",IF(ISNUMBER(MATCH($P483,Shares!$A$2:$A$1001,0)),"held","NOT HELD - review"))</f>
      </c>
    </row>
    <row r="484" spans="1:17" ht="15" customHeight="1" x14ac:dyDescent="0.15">
      <c r="J484">
        <f>IF(Shares!$A482="","",Shares!$A482)</f>
      </c>
      <c r="K484">
        <f>IF($J484="","",LEFT($J484,FIND(":",$J484)-1))</f>
      </c>
      <c r="L484">
        <f>IF($J484="","",MID($J484,FIND(":",$J484)+1,FIND(":",$J484,FIND(":",$J484)+1)-FIND(":",$J484)-1))</f>
      </c>
      <c r="M484">
        <f>IF($J484="","",RIGHT($J484,LEN($J484)-FIND(":",$J484,FIND(":",$J484)+1)))</f>
      </c>
      <c r="N484">
        <f>IF($J484="","",IF(ISNUMBER(MATCH($J484,Prices[Key],0)),"OK - in Prices","ADD TO PRICES"))</f>
      </c>
      <c r="P484">
        <f>IFERROR(INDEX(Prices[Key],ROWS($P$4:P484)),"")</f>
      </c>
      <c r="Q484">
        <f>IF($P484="","",IF(ISNUMBER(MATCH($P484,Shares!$A$2:$A$1001,0)),"held","NOT HELD - review"))</f>
      </c>
    </row>
    <row r="485" spans="1:17" ht="15" customHeight="1" x14ac:dyDescent="0.15">
      <c r="J485">
        <f>IF(Shares!$A483="","",Shares!$A483)</f>
      </c>
      <c r="K485">
        <f>IF($J485="","",LEFT($J485,FIND(":",$J485)-1))</f>
      </c>
      <c r="L485">
        <f>IF($J485="","",MID($J485,FIND(":",$J485)+1,FIND(":",$J485,FIND(":",$J485)+1)-FIND(":",$J485)-1))</f>
      </c>
      <c r="M485">
        <f>IF($J485="","",RIGHT($J485,LEN($J485)-FIND(":",$J485,FIND(":",$J485)+1)))</f>
      </c>
      <c r="N485">
        <f>IF($J485="","",IF(ISNUMBER(MATCH($J485,Prices[Key],0)),"OK - in Prices","ADD TO PRICES"))</f>
      </c>
      <c r="P485">
        <f>IFERROR(INDEX(Prices[Key],ROWS($P$4:P485)),"")</f>
      </c>
      <c r="Q485">
        <f>IF($P485="","",IF(ISNUMBER(MATCH($P485,Shares!$A$2:$A$1001,0)),"held","NOT HELD - review"))</f>
      </c>
    </row>
    <row r="486" spans="1:17" ht="15" customHeight="1" x14ac:dyDescent="0.15">
      <c r="J486">
        <f>IF(Shares!$A484="","",Shares!$A484)</f>
      </c>
      <c r="K486">
        <f>IF($J486="","",LEFT($J486,FIND(":",$J486)-1))</f>
      </c>
      <c r="L486">
        <f>IF($J486="","",MID($J486,FIND(":",$J486)+1,FIND(":",$J486,FIND(":",$J486)+1)-FIND(":",$J486)-1))</f>
      </c>
      <c r="M486">
        <f>IF($J486="","",RIGHT($J486,LEN($J486)-FIND(":",$J486,FIND(":",$J486)+1)))</f>
      </c>
      <c r="N486">
        <f>IF($J486="","",IF(ISNUMBER(MATCH($J486,Prices[Key],0)),"OK - in Prices","ADD TO PRICES"))</f>
      </c>
      <c r="P486">
        <f>IFERROR(INDEX(Prices[Key],ROWS($P$4:P486)),"")</f>
      </c>
      <c r="Q486">
        <f>IF($P486="","",IF(ISNUMBER(MATCH($P486,Shares!$A$2:$A$1001,0)),"held","NOT HELD - review"))</f>
      </c>
    </row>
    <row r="487" spans="1:17" ht="15" customHeight="1" x14ac:dyDescent="0.15">
      <c r="J487">
        <f>IF(Shares!$A485="","",Shares!$A485)</f>
      </c>
      <c r="K487">
        <f>IF($J487="","",LEFT($J487,FIND(":",$J487)-1))</f>
      </c>
      <c r="L487">
        <f>IF($J487="","",MID($J487,FIND(":",$J487)+1,FIND(":",$J487,FIND(":",$J487)+1)-FIND(":",$J487)-1))</f>
      </c>
      <c r="M487">
        <f>IF($J487="","",RIGHT($J487,LEN($J487)-FIND(":",$J487,FIND(":",$J487)+1)))</f>
      </c>
      <c r="N487">
        <f>IF($J487="","",IF(ISNUMBER(MATCH($J487,Prices[Key],0)),"OK - in Prices","ADD TO PRICES"))</f>
      </c>
      <c r="P487">
        <f>IFERROR(INDEX(Prices[Key],ROWS($P$4:P487)),"")</f>
      </c>
      <c r="Q487">
        <f>IF($P487="","",IF(ISNUMBER(MATCH($P487,Shares!$A$2:$A$1001,0)),"held","NOT HELD - review"))</f>
      </c>
    </row>
    <row r="488" spans="1:17" ht="15" customHeight="1" x14ac:dyDescent="0.15">
      <c r="J488">
        <f>IF(Shares!$A486="","",Shares!$A486)</f>
      </c>
      <c r="K488">
        <f>IF($J488="","",LEFT($J488,FIND(":",$J488)-1))</f>
      </c>
      <c r="L488">
        <f>IF($J488="","",MID($J488,FIND(":",$J488)+1,FIND(":",$J488,FIND(":",$J488)+1)-FIND(":",$J488)-1))</f>
      </c>
      <c r="M488">
        <f>IF($J488="","",RIGHT($J488,LEN($J488)-FIND(":",$J488,FIND(":",$J488)+1)))</f>
      </c>
      <c r="N488">
        <f>IF($J488="","",IF(ISNUMBER(MATCH($J488,Prices[Key],0)),"OK - in Prices","ADD TO PRICES"))</f>
      </c>
      <c r="P488">
        <f>IFERROR(INDEX(Prices[Key],ROWS($P$4:P488)),"")</f>
      </c>
      <c r="Q488">
        <f>IF($P488="","",IF(ISNUMBER(MATCH($P488,Shares!$A$2:$A$1001,0)),"held","NOT HELD - review"))</f>
      </c>
    </row>
    <row r="489" spans="1:17" ht="15" customHeight="1" x14ac:dyDescent="0.15">
      <c r="J489">
        <f>IF(Shares!$A487="","",Shares!$A487)</f>
      </c>
      <c r="K489">
        <f>IF($J489="","",LEFT($J489,FIND(":",$J489)-1))</f>
      </c>
      <c r="L489">
        <f>IF($J489="","",MID($J489,FIND(":",$J489)+1,FIND(":",$J489,FIND(":",$J489)+1)-FIND(":",$J489)-1))</f>
      </c>
      <c r="M489">
        <f>IF($J489="","",RIGHT($J489,LEN($J489)-FIND(":",$J489,FIND(":",$J489)+1)))</f>
      </c>
      <c r="N489">
        <f>IF($J489="","",IF(ISNUMBER(MATCH($J489,Prices[Key],0)),"OK - in Prices","ADD TO PRICES"))</f>
      </c>
      <c r="P489">
        <f>IFERROR(INDEX(Prices[Key],ROWS($P$4:P489)),"")</f>
      </c>
      <c r="Q489">
        <f>IF($P489="","",IF(ISNUMBER(MATCH($P489,Shares!$A$2:$A$1001,0)),"held","NOT HELD - review"))</f>
      </c>
    </row>
    <row r="490" spans="1:17" ht="15" customHeight="1" x14ac:dyDescent="0.15">
      <c r="J490">
        <f>IF(Shares!$A488="","",Shares!$A488)</f>
      </c>
      <c r="K490">
        <f>IF($J490="","",LEFT($J490,FIND(":",$J490)-1))</f>
      </c>
      <c r="L490">
        <f>IF($J490="","",MID($J490,FIND(":",$J490)+1,FIND(":",$J490,FIND(":",$J490)+1)-FIND(":",$J490)-1))</f>
      </c>
      <c r="M490">
        <f>IF($J490="","",RIGHT($J490,LEN($J490)-FIND(":",$J490,FIND(":",$J490)+1)))</f>
      </c>
      <c r="N490">
        <f>IF($J490="","",IF(ISNUMBER(MATCH($J490,Prices[Key],0)),"OK - in Prices","ADD TO PRICES"))</f>
      </c>
      <c r="P490">
        <f>IFERROR(INDEX(Prices[Key],ROWS($P$4:P490)),"")</f>
      </c>
      <c r="Q490">
        <f>IF($P490="","",IF(ISNUMBER(MATCH($P490,Shares!$A$2:$A$1001,0)),"held","NOT HELD - review"))</f>
      </c>
    </row>
    <row r="491" spans="1:17" ht="15" customHeight="1" x14ac:dyDescent="0.15">
      <c r="J491">
        <f>IF(Shares!$A489="","",Shares!$A489)</f>
      </c>
      <c r="K491">
        <f>IF($J491="","",LEFT($J491,FIND(":",$J491)-1))</f>
      </c>
      <c r="L491">
        <f>IF($J491="","",MID($J491,FIND(":",$J491)+1,FIND(":",$J491,FIND(":",$J491)+1)-FIND(":",$J491)-1))</f>
      </c>
      <c r="M491">
        <f>IF($J491="","",RIGHT($J491,LEN($J491)-FIND(":",$J491,FIND(":",$J491)+1)))</f>
      </c>
      <c r="N491">
        <f>IF($J491="","",IF(ISNUMBER(MATCH($J491,Prices[Key],0)),"OK - in Prices","ADD TO PRICES"))</f>
      </c>
      <c r="P491">
        <f>IFERROR(INDEX(Prices[Key],ROWS($P$4:P491)),"")</f>
      </c>
      <c r="Q491">
        <f>IF($P491="","",IF(ISNUMBER(MATCH($P491,Shares!$A$2:$A$1001,0)),"held","NOT HELD - review"))</f>
      </c>
    </row>
    <row r="492" spans="1:17" ht="15" customHeight="1" x14ac:dyDescent="0.15">
      <c r="J492">
        <f>IF(Shares!$A490="","",Shares!$A490)</f>
      </c>
      <c r="K492">
        <f>IF($J492="","",LEFT($J492,FIND(":",$J492)-1))</f>
      </c>
      <c r="L492">
        <f>IF($J492="","",MID($J492,FIND(":",$J492)+1,FIND(":",$J492,FIND(":",$J492)+1)-FIND(":",$J492)-1))</f>
      </c>
      <c r="M492">
        <f>IF($J492="","",RIGHT($J492,LEN($J492)-FIND(":",$J492,FIND(":",$J492)+1)))</f>
      </c>
      <c r="N492">
        <f>IF($J492="","",IF(ISNUMBER(MATCH($J492,Prices[Key],0)),"OK - in Prices","ADD TO PRICES"))</f>
      </c>
      <c r="P492">
        <f>IFERROR(INDEX(Prices[Key],ROWS($P$4:P492)),"")</f>
      </c>
      <c r="Q492">
        <f>IF($P492="","",IF(ISNUMBER(MATCH($P492,Shares!$A$2:$A$1001,0)),"held","NOT HELD - review"))</f>
      </c>
    </row>
    <row r="493" spans="1:17" ht="15" customHeight="1" x14ac:dyDescent="0.15">
      <c r="J493">
        <f>IF(Shares!$A491="","",Shares!$A491)</f>
      </c>
      <c r="K493">
        <f>IF($J493="","",LEFT($J493,FIND(":",$J493)-1))</f>
      </c>
      <c r="L493">
        <f>IF($J493="","",MID($J493,FIND(":",$J493)+1,FIND(":",$J493,FIND(":",$J493)+1)-FIND(":",$J493)-1))</f>
      </c>
      <c r="M493">
        <f>IF($J493="","",RIGHT($J493,LEN($J493)-FIND(":",$J493,FIND(":",$J493)+1)))</f>
      </c>
      <c r="N493">
        <f>IF($J493="","",IF(ISNUMBER(MATCH($J493,Prices[Key],0)),"OK - in Prices","ADD TO PRICES"))</f>
      </c>
      <c r="P493">
        <f>IFERROR(INDEX(Prices[Key],ROWS($P$4:P493)),"")</f>
      </c>
      <c r="Q493">
        <f>IF($P493="","",IF(ISNUMBER(MATCH($P493,Shares!$A$2:$A$1001,0)),"held","NOT HELD - review"))</f>
      </c>
    </row>
    <row r="494" spans="1:17" ht="15" customHeight="1" x14ac:dyDescent="0.15">
      <c r="J494">
        <f>IF(Shares!$A492="","",Shares!$A492)</f>
      </c>
      <c r="K494">
        <f>IF($J494="","",LEFT($J494,FIND(":",$J494)-1))</f>
      </c>
      <c r="L494">
        <f>IF($J494="","",MID($J494,FIND(":",$J494)+1,FIND(":",$J494,FIND(":",$J494)+1)-FIND(":",$J494)-1))</f>
      </c>
      <c r="M494">
        <f>IF($J494="","",RIGHT($J494,LEN($J494)-FIND(":",$J494,FIND(":",$J494)+1)))</f>
      </c>
      <c r="N494">
        <f>IF($J494="","",IF(ISNUMBER(MATCH($J494,Prices[Key],0)),"OK - in Prices","ADD TO PRICES"))</f>
      </c>
      <c r="P494">
        <f>IFERROR(INDEX(Prices[Key],ROWS($P$4:P494)),"")</f>
      </c>
      <c r="Q494">
        <f>IF($P494="","",IF(ISNUMBER(MATCH($P494,Shares!$A$2:$A$1001,0)),"held","NOT HELD - review"))</f>
      </c>
    </row>
    <row r="495" spans="1:17" ht="15" customHeight="1" x14ac:dyDescent="0.15">
      <c r="J495">
        <f>IF(Shares!$A493="","",Shares!$A493)</f>
      </c>
      <c r="K495">
        <f>IF($J495="","",LEFT($J495,FIND(":",$J495)-1))</f>
      </c>
      <c r="L495">
        <f>IF($J495="","",MID($J495,FIND(":",$J495)+1,FIND(":",$J495,FIND(":",$J495)+1)-FIND(":",$J495)-1))</f>
      </c>
      <c r="M495">
        <f>IF($J495="","",RIGHT($J495,LEN($J495)-FIND(":",$J495,FIND(":",$J495)+1)))</f>
      </c>
      <c r="N495">
        <f>IF($J495="","",IF(ISNUMBER(MATCH($J495,Prices[Key],0)),"OK - in Prices","ADD TO PRICES"))</f>
      </c>
      <c r="P495">
        <f>IFERROR(INDEX(Prices[Key],ROWS($P$4:P495)),"")</f>
      </c>
      <c r="Q495">
        <f>IF($P495="","",IF(ISNUMBER(MATCH($P495,Shares!$A$2:$A$1001,0)),"held","NOT HELD - review"))</f>
      </c>
    </row>
    <row r="496" spans="1:17" ht="15" customHeight="1" x14ac:dyDescent="0.15">
      <c r="J496">
        <f>IF(Shares!$A494="","",Shares!$A494)</f>
      </c>
      <c r="K496">
        <f>IF($J496="","",LEFT($J496,FIND(":",$J496)-1))</f>
      </c>
      <c r="L496">
        <f>IF($J496="","",MID($J496,FIND(":",$J496)+1,FIND(":",$J496,FIND(":",$J496)+1)-FIND(":",$J496)-1))</f>
      </c>
      <c r="M496">
        <f>IF($J496="","",RIGHT($J496,LEN($J496)-FIND(":",$J496,FIND(":",$J496)+1)))</f>
      </c>
      <c r="N496">
        <f>IF($J496="","",IF(ISNUMBER(MATCH($J496,Prices[Key],0)),"OK - in Prices","ADD TO PRICES"))</f>
      </c>
      <c r="P496">
        <f>IFERROR(INDEX(Prices[Key],ROWS($P$4:P496)),"")</f>
      </c>
      <c r="Q496">
        <f>IF($P496="","",IF(ISNUMBER(MATCH($P496,Shares!$A$2:$A$1001,0)),"held","NOT HELD - review"))</f>
      </c>
    </row>
    <row r="497" spans="1:17" ht="15" customHeight="1" x14ac:dyDescent="0.15">
      <c r="J497">
        <f>IF(Shares!$A495="","",Shares!$A495)</f>
      </c>
      <c r="K497">
        <f>IF($J497="","",LEFT($J497,FIND(":",$J497)-1))</f>
      </c>
      <c r="L497">
        <f>IF($J497="","",MID($J497,FIND(":",$J497)+1,FIND(":",$J497,FIND(":",$J497)+1)-FIND(":",$J497)-1))</f>
      </c>
      <c r="M497">
        <f>IF($J497="","",RIGHT($J497,LEN($J497)-FIND(":",$J497,FIND(":",$J497)+1)))</f>
      </c>
      <c r="N497">
        <f>IF($J497="","",IF(ISNUMBER(MATCH($J497,Prices[Key],0)),"OK - in Prices","ADD TO PRICES"))</f>
      </c>
      <c r="P497">
        <f>IFERROR(INDEX(Prices[Key],ROWS($P$4:P497)),"")</f>
      </c>
      <c r="Q497">
        <f>IF($P497="","",IF(ISNUMBER(MATCH($P497,Shares!$A$2:$A$1001,0)),"held","NOT HELD - review"))</f>
      </c>
    </row>
    <row r="498" spans="1:17" ht="15" customHeight="1" x14ac:dyDescent="0.15">
      <c r="J498">
        <f>IF(Shares!$A496="","",Shares!$A496)</f>
      </c>
      <c r="K498">
        <f>IF($J498="","",LEFT($J498,FIND(":",$J498)-1))</f>
      </c>
      <c r="L498">
        <f>IF($J498="","",MID($J498,FIND(":",$J498)+1,FIND(":",$J498,FIND(":",$J498)+1)-FIND(":",$J498)-1))</f>
      </c>
      <c r="M498">
        <f>IF($J498="","",RIGHT($J498,LEN($J498)-FIND(":",$J498,FIND(":",$J498)+1)))</f>
      </c>
      <c r="N498">
        <f>IF($J498="","",IF(ISNUMBER(MATCH($J498,Prices[Key],0)),"OK - in Prices","ADD TO PRICES"))</f>
      </c>
      <c r="P498">
        <f>IFERROR(INDEX(Prices[Key],ROWS($P$4:P498)),"")</f>
      </c>
      <c r="Q498">
        <f>IF($P498="","",IF(ISNUMBER(MATCH($P498,Shares!$A$2:$A$1001,0)),"held","NOT HELD - review"))</f>
      </c>
    </row>
    <row r="499" spans="1:17" ht="15" customHeight="1" x14ac:dyDescent="0.15">
      <c r="J499">
        <f>IF(Shares!$A497="","",Shares!$A497)</f>
      </c>
      <c r="K499">
        <f>IF($J499="","",LEFT($J499,FIND(":",$J499)-1))</f>
      </c>
      <c r="L499">
        <f>IF($J499="","",MID($J499,FIND(":",$J499)+1,FIND(":",$J499,FIND(":",$J499)+1)-FIND(":",$J499)-1))</f>
      </c>
      <c r="M499">
        <f>IF($J499="","",RIGHT($J499,LEN($J499)-FIND(":",$J499,FIND(":",$J499)+1)))</f>
      </c>
      <c r="N499">
        <f>IF($J499="","",IF(ISNUMBER(MATCH($J499,Prices[Key],0)),"OK - in Prices","ADD TO PRICES"))</f>
      </c>
      <c r="P499">
        <f>IFERROR(INDEX(Prices[Key],ROWS($P$4:P499)),"")</f>
      </c>
      <c r="Q499">
        <f>IF($P499="","",IF(ISNUMBER(MATCH($P499,Shares!$A$2:$A$1001,0)),"held","NOT HELD - review"))</f>
      </c>
    </row>
    <row r="500" spans="1:17" ht="15" customHeight="1" x14ac:dyDescent="0.15">
      <c r="J500">
        <f>IF(Shares!$A498="","",Shares!$A498)</f>
      </c>
      <c r="K500">
        <f>IF($J500="","",LEFT($J500,FIND(":",$J500)-1))</f>
      </c>
      <c r="L500">
        <f>IF($J500="","",MID($J500,FIND(":",$J500)+1,FIND(":",$J500,FIND(":",$J500)+1)-FIND(":",$J500)-1))</f>
      </c>
      <c r="M500">
        <f>IF($J500="","",RIGHT($J500,LEN($J500)-FIND(":",$J500,FIND(":",$J500)+1)))</f>
      </c>
      <c r="N500">
        <f>IF($J500="","",IF(ISNUMBER(MATCH($J500,Prices[Key],0)),"OK - in Prices","ADD TO PRICES"))</f>
      </c>
      <c r="P500">
        <f>IFERROR(INDEX(Prices[Key],ROWS($P$4:P500)),"")</f>
      </c>
      <c r="Q500">
        <f>IF($P500="","",IF(ISNUMBER(MATCH($P500,Shares!$A$2:$A$1001,0)),"held","NOT HELD - review"))</f>
      </c>
    </row>
    <row r="501" spans="1:17" ht="15" customHeight="1" x14ac:dyDescent="0.15">
      <c r="J501">
        <f>IF(Shares!$A499="","",Shares!$A499)</f>
      </c>
      <c r="K501">
        <f>IF($J501="","",LEFT($J501,FIND(":",$J501)-1))</f>
      </c>
      <c r="L501">
        <f>IF($J501="","",MID($J501,FIND(":",$J501)+1,FIND(":",$J501,FIND(":",$J501)+1)-FIND(":",$J501)-1))</f>
      </c>
      <c r="M501">
        <f>IF($J501="","",RIGHT($J501,LEN($J501)-FIND(":",$J501,FIND(":",$J501)+1)))</f>
      </c>
      <c r="N501">
        <f>IF($J501="","",IF(ISNUMBER(MATCH($J501,Prices[Key],0)),"OK - in Prices","ADD TO PRICES"))</f>
      </c>
      <c r="P501">
        <f>IFERROR(INDEX(Prices[Key],ROWS($P$4:P501)),"")</f>
      </c>
      <c r="Q501">
        <f>IF($P501="","",IF(ISNUMBER(MATCH($P501,Shares!$A$2:$A$1001,0)),"held","NOT HELD - review"))</f>
      </c>
    </row>
  </sheetData>
  <conditionalFormatting sqref="N4:N501">
    <cfRule type="cellIs" dxfId="15" priority="1" operator="equal">
      <formula>"ADD TO PRICES"</formula>
    </cfRule>
    <cfRule type="cellIs" dxfId="16" priority="2" operator="equal">
      <formula>"OK - in Prices"</formula>
    </cfRule>
  </conditionalFormatting>
  <conditionalFormatting sqref="Q4:Q501">
    <cfRule type="cellIs" dxfId="15" priority="3" operator="equal">
      <formula>"NOT HELD - review"</formula>
    </cfRule>
    <cfRule type="cellIs" dxfId="16" priority="4" operator="equal">
      <formula>"held"</formula>
    </cfRule>
  </conditionalFormatting>
  <conditionalFormatting sqref="N1 Q1">
    <cfRule type="cellIs" dxfId="15" priority="5" operator="greater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62" t="s">
        <v>445</v>
      </c>
      <c r="Z1" s="263" t="s">
        <v>446</v>
      </c>
      <c r="AA1" s="263" t="s">
        <v>447</v>
      </c>
      <c r="AB1" s="263" t="s">
        <v>448</v>
      </c>
      <c r="AC1" s="263" t="s">
        <v>449</v>
      </c>
      <c r="AD1" s="263" t="s">
        <v>450</v>
      </c>
      <c r="AE1" s="263" t="s">
        <v>451</v>
      </c>
      <c r="AF1" s="263" t="s">
        <v>452</v>
      </c>
      <c r="AG1" s="263" t="s">
        <v>453</v>
      </c>
      <c r="AH1" s="263" t="s">
        <v>454</v>
      </c>
      <c r="AI1" s="263" t="s">
        <v>455</v>
      </c>
      <c r="AJ1" s="263" t="s">
        <v>456</v>
      </c>
      <c r="AL1" s="263" t="s">
        <v>457</v>
      </c>
      <c r="AM1" s="263" t="s">
        <v>458</v>
      </c>
      <c r="AN1" s="263" t="s">
        <v>459</v>
      </c>
      <c r="AO1" s="263" t="s">
        <v>460</v>
      </c>
      <c r="AP1" s="263" t="s">
        <v>461</v>
      </c>
      <c r="AQ1" s="263" t="s">
        <v>462</v>
      </c>
      <c r="AR1" s="263" t="s">
        <v>463</v>
      </c>
      <c r="AS1" s="263" t="s">
        <v>464</v>
      </c>
      <c r="AT1" s="263" t="s">
        <v>465</v>
      </c>
      <c r="AU1" s="263" t="s">
        <v>466</v>
      </c>
      <c r="AV1" s="263" t="s">
        <v>467</v>
      </c>
    </row>
    <row r="2" spans="1:48" ht="15" customHeight="1" x14ac:dyDescent="0.2">
      <c r="A2" s="264" t="s">
        <v>468</v>
      </c>
      <c r="Z2" s="243" t="str">
        <f>Shares!A2</f>
        <v>CA:GOLD:SGD</v>
      </c>
      <c r="AA2" s="243" t="str">
        <f>Shares!B2</f>
        <v>CA</v>
      </c>
      <c r="AB2" s="243" t="str">
        <f>Shares!C2</f>
        <v>GOLD</v>
      </c>
      <c r="AC2" s="243" t="str">
        <f>Shares!D2</f>
        <v>SGD</v>
      </c>
      <c r="AD2" s="265">
        <f>IF($Z2="",0,Shares!E2)</f>
        <v>700</v>
      </c>
      <c r="AE2" s="266">
        <f>IF($Z2="",0,Shares!J2*Shares!I2)</f>
        <v>78127</v>
      </c>
      <c r="AF2" s="267">
        <f t="shared" ref="AF2:AF65" si="0">IFERROR(AE2/$B$5,0)</f>
        <v>0.43925024383490546</v>
      </c>
      <c r="AG2" s="266">
        <f>IF($Z2="",0,Shares!L2)</f>
        <v>22627</v>
      </c>
      <c r="AH2" s="267">
        <f>IF($Z2="",0,Shares!M2)</f>
        <v>0.40769369369369368</v>
      </c>
      <c r="AI2" s="243">
        <f>IF($Z2="","",RANK(AE2,$AE$2:$AE$1001)+COUNTIF($AE$2:AE2,AE2)-1)</f>
        <v>1</v>
      </c>
      <c r="AJ2" s="243" t="str">
        <f>IF($AD2&lt;0,COUNT($AJ$1:AJ1)+1,"")</f>
        <v/>
      </c>
      <c r="AL2" s="243" t="str">
        <f>'All Ticker P&amp;L'!A2</f>
        <v>CA:GOLD:SGD</v>
      </c>
      <c r="AM2" s="243" t="str">
        <f>'All Ticker P&amp;L'!B2</f>
        <v>CA</v>
      </c>
      <c r="AN2" s="243" t="str">
        <f>'All Ticker P&amp;L'!C2</f>
        <v>GOLD</v>
      </c>
      <c r="AO2" s="243" t="str">
        <f>'All Ticker P&amp;L'!D2</f>
        <v>SGD</v>
      </c>
      <c r="AP2" s="265">
        <f>IF($AL2="",0,'All Ticker P&amp;L'!E2)</f>
        <v>700</v>
      </c>
      <c r="AQ2" s="266">
        <f>IF($AL2="",0,'All Ticker P&amp;L'!J2*'All Ticker P&amp;L'!I2)</f>
        <v>78127</v>
      </c>
      <c r="AR2" s="266">
        <f>IF($AL2="",0,'All Ticker P&amp;L'!L2)</f>
        <v>22627</v>
      </c>
      <c r="AS2" s="267">
        <f>IF($AL2="",0,'All Ticker P&amp;L'!M2)</f>
        <v>0.40769369369369368</v>
      </c>
      <c r="AT2" s="243">
        <f>IF($AL2="","",RANK(AR2,$AR$2:$AR$1001)+COUNTIF($AR$2:AR2,AR2)-1)</f>
        <v>1</v>
      </c>
      <c r="AU2" s="243">
        <f>IF($AL2="","",RANK(AV2,$AV$2:$AV$1001)+COUNTIF($AV$2:AV2,AV2)-1)</f>
        <v>1000</v>
      </c>
      <c r="AV2" s="266">
        <f t="shared" ref="AV2:AV65" si="1">-AR2</f>
        <v>-22627</v>
      </c>
    </row>
    <row r="3" spans="1:48" ht="15" customHeight="1" x14ac:dyDescent="0.2">
      <c r="A3" s="268" t="s">
        <v>469</v>
      </c>
      <c r="D3" s="268" t="s">
        <v>470</v>
      </c>
      <c r="Z3" s="243" t="str">
        <f>Shares!A3</f>
        <v>SGX:Z74:SGD</v>
      </c>
      <c r="AA3" s="243" t="str">
        <f>Shares!B3</f>
        <v>SGX</v>
      </c>
      <c r="AB3" s="243" t="str">
        <f>Shares!C3</f>
        <v>Z74</v>
      </c>
      <c r="AC3" s="243" t="str">
        <f>Shares!D3</f>
        <v>SGD</v>
      </c>
      <c r="AD3" s="265">
        <f>IF($Z3="",0,Shares!E3)</f>
        <v>3000</v>
      </c>
      <c r="AE3" s="266">
        <f>IF($Z3="",0,Shares!J3*Shares!I3)</f>
        <v>11460</v>
      </c>
      <c r="AF3" s="267">
        <f t="shared" si="0"/>
        <v>6.4431090331742116E-2</v>
      </c>
      <c r="AG3" s="266">
        <f>IF($Z3="",0,Shares!L3)</f>
        <v>2135</v>
      </c>
      <c r="AH3" s="267">
        <f>IF($Z3="",0,Shares!M3)</f>
        <v>0.22895442359249329</v>
      </c>
      <c r="AI3" s="243">
        <f>IF($Z3="","",RANK(AE3,$AE$2:$AE$1001)+COUNTIF($AE$2:AE3,AE3)-1)</f>
        <v>5</v>
      </c>
      <c r="AJ3" s="243" t="str">
        <f>IF($AD3&lt;0,COUNT($AJ$1:AJ2)+1,"")</f>
        <v/>
      </c>
      <c r="AL3" s="243" t="str">
        <f>'All Ticker P&amp;L'!A3</f>
        <v>SGX:Z74:SGD</v>
      </c>
      <c r="AM3" s="243" t="str">
        <f>'All Ticker P&amp;L'!B3</f>
        <v>SGX</v>
      </c>
      <c r="AN3" s="243" t="str">
        <f>'All Ticker P&amp;L'!C3</f>
        <v>Z74</v>
      </c>
      <c r="AO3" s="243" t="str">
        <f>'All Ticker P&amp;L'!D3</f>
        <v>SGD</v>
      </c>
      <c r="AP3" s="265">
        <f>IF($AL3="",0,'All Ticker P&amp;L'!E3)</f>
        <v>3000</v>
      </c>
      <c r="AQ3" s="266">
        <f>IF($AL3="",0,'All Ticker P&amp;L'!J3*'All Ticker P&amp;L'!I3)</f>
        <v>11460</v>
      </c>
      <c r="AR3" s="266">
        <f>IF($AL3="",0,'All Ticker P&amp;L'!L3)</f>
        <v>2135</v>
      </c>
      <c r="AS3" s="267">
        <f>IF($AL3="",0,'All Ticker P&amp;L'!M3)</f>
        <v>0.22895442359249329</v>
      </c>
      <c r="AT3" s="243">
        <f>IF($AL3="","",RANK(AR3,$AR$2:$AR$1001)+COUNTIF($AR$2:AR3,AR3)-1)</f>
        <v>6</v>
      </c>
      <c r="AU3" s="243">
        <f>IF($AL3="","",RANK(AV3,$AV$2:$AV$1001)+COUNTIF($AV$2:AV3,AV3)-1)</f>
        <v>995</v>
      </c>
      <c r="AV3" s="266">
        <f t="shared" si="1"/>
        <v>-2135</v>
      </c>
    </row>
    <row r="4" spans="1:48" ht="15" customHeight="1" x14ac:dyDescent="0.2">
      <c r="A4" s="269" t="s">
        <v>471</v>
      </c>
      <c r="B4" s="270">
        <f>COUNTIF($Z$2:$Z$1001,"?*")</f>
        <v>9</v>
      </c>
      <c r="D4" s="269" t="s">
        <v>472</v>
      </c>
      <c r="E4" s="269" t="s">
        <v>395</v>
      </c>
      <c r="F4" s="269" t="s">
        <v>387</v>
      </c>
      <c r="G4" s="269" t="s">
        <v>390</v>
      </c>
      <c r="H4" s="269" t="s">
        <v>473</v>
      </c>
      <c r="I4" s="269" t="s">
        <v>474</v>
      </c>
      <c r="J4" s="269" t="s">
        <v>475</v>
      </c>
      <c r="K4" s="269" t="s">
        <v>476</v>
      </c>
      <c r="Z4" s="243" t="str">
        <f>Shares!A4</f>
        <v>USX:AAPL:USD</v>
      </c>
      <c r="AA4" s="243" t="str">
        <f>Shares!B4</f>
        <v>USX</v>
      </c>
      <c r="AB4" s="243" t="str">
        <f>Shares!C4</f>
        <v>AAPL</v>
      </c>
      <c r="AC4" s="243" t="str">
        <f>Shares!D4</f>
        <v>USD</v>
      </c>
      <c r="AD4" s="265">
        <f>IF($Z4="",0,Shares!E4)</f>
        <v>80</v>
      </c>
      <c r="AE4" s="266">
        <f>IF($Z4="",0,Shares!J4*Shares!I4)</f>
        <v>20684.929735879363</v>
      </c>
      <c r="AF4" s="267">
        <f t="shared" si="0"/>
        <v>0.11629603632793907</v>
      </c>
      <c r="AG4" s="266">
        <f>IF($Z4="",0,Shares!L4)</f>
        <v>8907.4478675130504</v>
      </c>
      <c r="AH4" s="267">
        <f>IF($Z4="",0,Shares!M4)</f>
        <v>0.75631174533479695</v>
      </c>
      <c r="AI4" s="243">
        <f>IF($Z4="","",RANK(AE4,$AE$2:$AE$1001)+COUNTIF($AE$2:AE4,AE4)-1)</f>
        <v>2</v>
      </c>
      <c r="AJ4" s="243" t="str">
        <f>IF($AD4&lt;0,COUNT($AJ$1:AJ3)+1,"")</f>
        <v/>
      </c>
      <c r="AL4" s="243" t="str">
        <f>'All Ticker P&amp;L'!A4</f>
        <v>USX:AAPL:USD</v>
      </c>
      <c r="AM4" s="243" t="str">
        <f>'All Ticker P&amp;L'!B4</f>
        <v>USX</v>
      </c>
      <c r="AN4" s="243" t="str">
        <f>'All Ticker P&amp;L'!C4</f>
        <v>AAPL</v>
      </c>
      <c r="AO4" s="243" t="str">
        <f>'All Ticker P&amp;L'!D4</f>
        <v>USD</v>
      </c>
      <c r="AP4" s="265">
        <f>IF($AL4="",0,'All Ticker P&amp;L'!E4)</f>
        <v>80</v>
      </c>
      <c r="AQ4" s="266">
        <f>IF($AL4="",0,'All Ticker P&amp;L'!J4*'All Ticker P&amp;L'!I4)</f>
        <v>20684.929735879363</v>
      </c>
      <c r="AR4" s="266">
        <f>IF($AL4="",0,'All Ticker P&amp;L'!L4)</f>
        <v>8907.4478675130504</v>
      </c>
      <c r="AS4" s="267">
        <f>IF($AL4="",0,'All Ticker P&amp;L'!M4)</f>
        <v>0.75631174533479695</v>
      </c>
      <c r="AT4" s="243">
        <f>IF($AL4="","",RANK(AR4,$AR$2:$AR$1001)+COUNTIF($AR$2:AR4,AR4)-1)</f>
        <v>4</v>
      </c>
      <c r="AU4" s="243">
        <f>IF($AL4="","",RANK(AV4,$AV$2:$AV$1001)+COUNTIF($AV$2:AV4,AV4)-1)</f>
        <v>997</v>
      </c>
      <c r="AV4" s="266">
        <f t="shared" si="1"/>
        <v>-8907.4478675130504</v>
      </c>
    </row>
    <row r="5" spans="1:48" ht="15" customHeight="1" x14ac:dyDescent="0.2">
      <c r="A5" s="271" t="s">
        <v>477</v>
      </c>
      <c r="B5" s="272">
        <f>SUM($AE$2:$AE$1001)</f>
        <v>177864.44309718916</v>
      </c>
      <c r="D5" s="271">
        <v>1</v>
      </c>
      <c r="E5" s="271" t="str">
        <f t="shared" ref="E5:E14" si="2">IFERROR(INDEX($Z$2:$Z$1001,MATCH($D5,$AI$2:$AI$1001,0)),"")</f>
        <v>CA:GOLD:SGD</v>
      </c>
      <c r="F5" s="271" t="str">
        <f t="shared" ref="F5:F14" si="3">IF($E5="","",INDEX($AA$2:$AA$1001,MATCH($D5,$AI$2:$AI$1001,0)))</f>
        <v>CA</v>
      </c>
      <c r="G5" s="271" t="str">
        <f t="shared" ref="G5:G14" si="4">IF($E5="","",INDEX($AC$2:$AC$1001,MATCH($D5,$AI$2:$AI$1001,0)))</f>
        <v>SGD</v>
      </c>
      <c r="H5" s="272">
        <f t="shared" ref="H5:H14" si="5">IF($E5="","",INDEX($AE$2:$AE$1001,MATCH($D5,$AI$2:$AI$1001,0)))</f>
        <v>78127</v>
      </c>
      <c r="I5" s="273">
        <f t="shared" ref="I5:I14" si="6">IF($E5="","",INDEX($AF$2:$AF$1001,MATCH($D5,$AI$2:$AI$1001,0)))</f>
        <v>0.43925024383490546</v>
      </c>
      <c r="J5" s="272">
        <f t="shared" ref="J5:J14" si="7">IF($E5="","",INDEX($AG$2:$AG$1001,MATCH($D5,$AI$2:$AI$1001,0)))</f>
        <v>22627</v>
      </c>
      <c r="K5" s="273">
        <f t="shared" ref="K5:K14" si="8">IF($E5="","",INDEX($AH$2:$AH$1001,MATCH($D5,$AI$2:$AI$1001,0)))</f>
        <v>0.40769369369369368</v>
      </c>
      <c r="Z5" s="243" t="str">
        <f>Shares!A5</f>
        <v>SGX:C38U:SGD</v>
      </c>
      <c r="AA5" s="243" t="str">
        <f>Shares!B5</f>
        <v>SGX</v>
      </c>
      <c r="AB5" s="243" t="str">
        <f>Shares!C5</f>
        <v>C38U</v>
      </c>
      <c r="AC5" s="243" t="str">
        <f>Shares!D5</f>
        <v>SGD</v>
      </c>
      <c r="AD5" s="265">
        <f>IF($Z5="",0,Shares!E5)</f>
        <v>8000</v>
      </c>
      <c r="AE5" s="266">
        <f>IF($Z5="",0,Shares!J5*Shares!I5)</f>
        <v>16320</v>
      </c>
      <c r="AF5" s="267">
        <f t="shared" si="0"/>
        <v>9.1755270001224382E-2</v>
      </c>
      <c r="AG5" s="266">
        <f>IF($Z5="",0,Shares!L5)</f>
        <v>170</v>
      </c>
      <c r="AH5" s="267">
        <f>IF($Z5="",0,Shares!M5)</f>
        <v>1.0526315789473684E-2</v>
      </c>
      <c r="AI5" s="243">
        <f>IF($Z5="","",RANK(AE5,$AE$2:$AE$1001)+COUNTIF($AE$2:AE5,AE5)-1)</f>
        <v>3</v>
      </c>
      <c r="AJ5" s="243" t="str">
        <f>IF($AD5&lt;0,COUNT($AJ$1:AJ4)+1,"")</f>
        <v/>
      </c>
      <c r="AL5" s="243" t="str">
        <f>'All Ticker P&amp;L'!A5</f>
        <v>SGX:C38U:SGD</v>
      </c>
      <c r="AM5" s="243" t="str">
        <f>'All Ticker P&amp;L'!B5</f>
        <v>SGX</v>
      </c>
      <c r="AN5" s="243" t="str">
        <f>'All Ticker P&amp;L'!C5</f>
        <v>C38U</v>
      </c>
      <c r="AO5" s="243" t="str">
        <f>'All Ticker P&amp;L'!D5</f>
        <v>SGD</v>
      </c>
      <c r="AP5" s="265">
        <f>IF($AL5="",0,'All Ticker P&amp;L'!E5)</f>
        <v>8000</v>
      </c>
      <c r="AQ5" s="266">
        <f>IF($AL5="",0,'All Ticker P&amp;L'!J5*'All Ticker P&amp;L'!I5)</f>
        <v>16320</v>
      </c>
      <c r="AR5" s="266">
        <f>IF($AL5="",0,'All Ticker P&amp;L'!L5)</f>
        <v>170</v>
      </c>
      <c r="AS5" s="267">
        <f>IF($AL5="",0,'All Ticker P&amp;L'!M5)</f>
        <v>1.0526315789473684E-2</v>
      </c>
      <c r="AT5" s="243">
        <f>IF($AL5="","",RANK(AR5,$AR$2:$AR$1001)+COUNTIF($AR$2:AR5,AR5)-1)</f>
        <v>8</v>
      </c>
      <c r="AU5" s="243">
        <f>IF($AL5="","",RANK(AV5,$AV$2:$AV$1001)+COUNTIF($AV$2:AV5,AV5)-1)</f>
        <v>993</v>
      </c>
      <c r="AV5" s="266">
        <f t="shared" si="1"/>
        <v>-170</v>
      </c>
    </row>
    <row r="6" spans="1:48" ht="15" customHeight="1" x14ac:dyDescent="0.2">
      <c r="A6" s="271" t="s">
        <v>478</v>
      </c>
      <c r="B6" s="272">
        <f>SUMPRODUCT('All Ticker P&amp;L'!$F$2:$F$1001,'All Ticker P&amp;L'!$I$2:$I$1001)</f>
        <v>136094.96074488049</v>
      </c>
      <c r="D6" s="271">
        <v>2</v>
      </c>
      <c r="E6" s="271" t="str">
        <f t="shared" si="2"/>
        <v>USX:AAPL:USD</v>
      </c>
      <c r="F6" s="271" t="str">
        <f t="shared" si="3"/>
        <v>USX</v>
      </c>
      <c r="G6" s="271" t="str">
        <f t="shared" si="4"/>
        <v>USD</v>
      </c>
      <c r="H6" s="272">
        <f t="shared" si="5"/>
        <v>20684.929735879363</v>
      </c>
      <c r="I6" s="273">
        <f t="shared" si="6"/>
        <v>0.11629603632793907</v>
      </c>
      <c r="J6" s="272">
        <f t="shared" si="7"/>
        <v>8907.4478675130504</v>
      </c>
      <c r="K6" s="273">
        <f t="shared" si="8"/>
        <v>0.75631174533479695</v>
      </c>
      <c r="Z6" s="243" t="str">
        <f>Shares!A6</f>
        <v>CG:BITCOIN:USD</v>
      </c>
      <c r="AA6" s="243" t="str">
        <f>Shares!B6</f>
        <v>CG</v>
      </c>
      <c r="AB6" s="243" t="str">
        <f>Shares!C6</f>
        <v>BITCOIN</v>
      </c>
      <c r="AC6" s="243" t="str">
        <f>Shares!D6</f>
        <v>USD</v>
      </c>
      <c r="AD6" s="265">
        <f>IF($Z6="",0,Shares!E6)</f>
        <v>0.1</v>
      </c>
      <c r="AE6" s="266">
        <f>IF($Z6="",0,Shares!J6*Shares!I6)</f>
        <v>13252.53196468052</v>
      </c>
      <c r="AF6" s="267">
        <f t="shared" si="0"/>
        <v>7.4509169645779263E-2</v>
      </c>
      <c r="AG6" s="266">
        <f>IF($Z6="",0,Shares!L6)</f>
        <v>10860.836963969468</v>
      </c>
      <c r="AH6" s="267">
        <f>IF($Z6="",0,Shares!M6)</f>
        <v>4.5410627027027033</v>
      </c>
      <c r="AI6" s="243">
        <f>IF($Z6="","",RANK(AE6,$AE$2:$AE$1001)+COUNTIF($AE$2:AE6,AE6)-1)</f>
        <v>4</v>
      </c>
      <c r="AJ6" s="243" t="str">
        <f>IF($AD6&lt;0,COUNT($AJ$1:AJ5)+1,"")</f>
        <v/>
      </c>
      <c r="AL6" s="243" t="str">
        <f>'All Ticker P&amp;L'!A6</f>
        <v>CG:BITCOIN:USD</v>
      </c>
      <c r="AM6" s="243" t="str">
        <f>'All Ticker P&amp;L'!B6</f>
        <v>CG</v>
      </c>
      <c r="AN6" s="243" t="str">
        <f>'All Ticker P&amp;L'!C6</f>
        <v>BITCOIN</v>
      </c>
      <c r="AO6" s="243" t="str">
        <f>'All Ticker P&amp;L'!D6</f>
        <v>USD</v>
      </c>
      <c r="AP6" s="265">
        <f>IF($AL6="",0,'All Ticker P&amp;L'!E6)</f>
        <v>0.1</v>
      </c>
      <c r="AQ6" s="266">
        <f>IF($AL6="",0,'All Ticker P&amp;L'!J6*'All Ticker P&amp;L'!I6)</f>
        <v>13252.53196468052</v>
      </c>
      <c r="AR6" s="266">
        <f>IF($AL6="",0,'All Ticker P&amp;L'!L6)</f>
        <v>10860.836963969468</v>
      </c>
      <c r="AS6" s="267">
        <f>IF($AL6="",0,'All Ticker P&amp;L'!M6)</f>
        <v>4.5410627027027033</v>
      </c>
      <c r="AT6" s="243">
        <f>IF($AL6="","",RANK(AR6,$AR$2:$AR$1001)+COUNTIF($AR$2:AR6,AR6)-1)</f>
        <v>3</v>
      </c>
      <c r="AU6" s="243">
        <f>IF($AL6="","",RANK(AV6,$AV$2:$AV$1001)+COUNTIF($AV$2:AV6,AV6)-1)</f>
        <v>998</v>
      </c>
      <c r="AV6" s="266">
        <f t="shared" si="1"/>
        <v>-10860.836963969468</v>
      </c>
    </row>
    <row r="7" spans="1:48" ht="15" customHeight="1" x14ac:dyDescent="0.2">
      <c r="A7" s="271" t="s">
        <v>479</v>
      </c>
      <c r="B7" s="272">
        <f>SUMPRODUCT('All Ticker P&amp;L'!$G$2:$G$1001,'All Ticker P&amp;L'!$I$2:$I$1001)</f>
        <v>23264.081912321821</v>
      </c>
      <c r="D7" s="271">
        <v>3</v>
      </c>
      <c r="E7" s="271" t="str">
        <f t="shared" si="2"/>
        <v>SGX:C38U:SGD</v>
      </c>
      <c r="F7" s="271" t="str">
        <f t="shared" si="3"/>
        <v>SGX</v>
      </c>
      <c r="G7" s="271" t="str">
        <f t="shared" si="4"/>
        <v>SGD</v>
      </c>
      <c r="H7" s="272">
        <f t="shared" si="5"/>
        <v>16320</v>
      </c>
      <c r="I7" s="273">
        <f t="shared" si="6"/>
        <v>9.1755270001224382E-2</v>
      </c>
      <c r="J7" s="272">
        <f t="shared" si="7"/>
        <v>170</v>
      </c>
      <c r="K7" s="273">
        <f t="shared" si="8"/>
        <v>1.0526315789473684E-2</v>
      </c>
      <c r="Z7" s="243" t="str">
        <f>Shares!A7</f>
        <v>HKEX:700:HKD</v>
      </c>
      <c r="AA7" s="243" t="str">
        <f>Shares!B7</f>
        <v>HKEX</v>
      </c>
      <c r="AB7" s="243" t="str">
        <f>Shares!C7</f>
        <v>700</v>
      </c>
      <c r="AC7" s="243" t="str">
        <f>Shares!D7</f>
        <v>HKD</v>
      </c>
      <c r="AD7" s="265">
        <f>IF($Z7="",0,Shares!E7)</f>
        <v>100</v>
      </c>
      <c r="AE7" s="266">
        <f>IF($Z7="",0,Shares!J7*Shares!I7)</f>
        <v>8050.3932852926064</v>
      </c>
      <c r="AF7" s="267">
        <f t="shared" si="0"/>
        <v>4.5261397641425664E-2</v>
      </c>
      <c r="AG7" s="266">
        <f>IF($Z7="",0,Shares!L7)</f>
        <v>-1860.0662895964892</v>
      </c>
      <c r="AH7" s="267">
        <f>IF($Z7="",0,Shares!M7)</f>
        <v>-0.18768718801996673</v>
      </c>
      <c r="AI7" s="243">
        <f>IF($Z7="","",RANK(AE7,$AE$2:$AE$1001)+COUNTIF($AE$2:AE7,AE7)-1)</f>
        <v>9</v>
      </c>
      <c r="AJ7" s="243" t="str">
        <f>IF($AD7&lt;0,COUNT($AJ$1:AJ6)+1,"")</f>
        <v/>
      </c>
      <c r="AL7" s="243" t="str">
        <f>'All Ticker P&amp;L'!A7</f>
        <v>HKEX:700:HKD</v>
      </c>
      <c r="AM7" s="243" t="str">
        <f>'All Ticker P&amp;L'!B7</f>
        <v>HKEX</v>
      </c>
      <c r="AN7" s="243" t="str">
        <f>'All Ticker P&amp;L'!C7</f>
        <v>700</v>
      </c>
      <c r="AO7" s="243" t="str">
        <f>'All Ticker P&amp;L'!D7</f>
        <v>HKD</v>
      </c>
      <c r="AP7" s="265">
        <f>IF($AL7="",0,'All Ticker P&amp;L'!E7)</f>
        <v>100</v>
      </c>
      <c r="AQ7" s="266">
        <f>IF($AL7="",0,'All Ticker P&amp;L'!J7*'All Ticker P&amp;L'!I7)</f>
        <v>8050.3932852926064</v>
      </c>
      <c r="AR7" s="266">
        <f>IF($AL7="",0,'All Ticker P&amp;L'!L7)</f>
        <v>-1860.0662895964892</v>
      </c>
      <c r="AS7" s="267">
        <f>IF($AL7="",0,'All Ticker P&amp;L'!M7)</f>
        <v>-0.18768718801996673</v>
      </c>
      <c r="AT7" s="243">
        <f>IF($AL7="","",RANK(AR7,$AR$2:$AR$1001)+COUNTIF($AR$2:AR7,AR7)-1)</f>
        <v>1000</v>
      </c>
      <c r="AU7" s="243">
        <f>IF($AL7="","",RANK(AV7,$AV$2:$AV$1001)+COUNTIF($AV$2:AV7,AV7)-1)</f>
        <v>1</v>
      </c>
      <c r="AV7" s="266">
        <f t="shared" si="1"/>
        <v>1860.0662895964892</v>
      </c>
    </row>
    <row r="8" spans="1:48" ht="15" customHeight="1" x14ac:dyDescent="0.2">
      <c r="A8" s="271" t="s">
        <v>480</v>
      </c>
      <c r="B8" s="272">
        <f>SUM($AG$2:$AG$1001)</f>
        <v>47981.42531361492</v>
      </c>
      <c r="D8" s="271">
        <v>4</v>
      </c>
      <c r="E8" s="271" t="str">
        <f t="shared" si="2"/>
        <v>CG:BITCOIN:USD</v>
      </c>
      <c r="F8" s="271" t="str">
        <f t="shared" si="3"/>
        <v>CG</v>
      </c>
      <c r="G8" s="271" t="str">
        <f t="shared" si="4"/>
        <v>USD</v>
      </c>
      <c r="H8" s="272">
        <f t="shared" si="5"/>
        <v>13252.53196468052</v>
      </c>
      <c r="I8" s="273">
        <f t="shared" si="6"/>
        <v>7.4509169645779263E-2</v>
      </c>
      <c r="J8" s="272">
        <f t="shared" si="7"/>
        <v>10860.836963969468</v>
      </c>
      <c r="K8" s="273">
        <f t="shared" si="8"/>
        <v>4.5410627027027033</v>
      </c>
      <c r="Z8" s="243" t="str">
        <f>Shares!A8</f>
        <v>USX:MSFT:USD</v>
      </c>
      <c r="AA8" s="243" t="str">
        <f>Shares!B8</f>
        <v>USX</v>
      </c>
      <c r="AB8" s="243" t="str">
        <f>Shares!C8</f>
        <v>MSFT</v>
      </c>
      <c r="AC8" s="243" t="str">
        <f>Shares!D8</f>
        <v>USD</v>
      </c>
      <c r="AD8" s="265">
        <f>IF($Z8="",0,Shares!E8)</f>
        <v>20</v>
      </c>
      <c r="AE8" s="266">
        <f>IF($Z8="",0,Shares!J8*Shares!I8)</f>
        <v>10859.588111336665</v>
      </c>
      <c r="AF8" s="267">
        <f t="shared" si="0"/>
        <v>6.1055419072168014E-2</v>
      </c>
      <c r="AG8" s="266">
        <f>IF($Z8="",0,Shares!L8)</f>
        <v>4906.2067717288865</v>
      </c>
      <c r="AH8" s="267">
        <f>IF($Z8="",0,Shares!M8)</f>
        <v>0.82410423452768733</v>
      </c>
      <c r="AI8" s="243">
        <f>IF($Z8="","",RANK(AE8,$AE$2:$AE$1001)+COUNTIF($AE$2:AE8,AE8)-1)</f>
        <v>7</v>
      </c>
      <c r="AJ8" s="243" t="str">
        <f>IF($AD8&lt;0,COUNT($AJ$1:AJ7)+1,"")</f>
        <v/>
      </c>
      <c r="AL8" s="243" t="str">
        <f>'All Ticker P&amp;L'!A8</f>
        <v>USX:MSFT:USD</v>
      </c>
      <c r="AM8" s="243" t="str">
        <f>'All Ticker P&amp;L'!B8</f>
        <v>USX</v>
      </c>
      <c r="AN8" s="243" t="str">
        <f>'All Ticker P&amp;L'!C8</f>
        <v>MSFT</v>
      </c>
      <c r="AO8" s="243" t="str">
        <f>'All Ticker P&amp;L'!D8</f>
        <v>USD</v>
      </c>
      <c r="AP8" s="265">
        <f>IF($AL8="",0,'All Ticker P&amp;L'!E8)</f>
        <v>20</v>
      </c>
      <c r="AQ8" s="266">
        <f>IF($AL8="",0,'All Ticker P&amp;L'!J8*'All Ticker P&amp;L'!I8)</f>
        <v>10859.588111336665</v>
      </c>
      <c r="AR8" s="266">
        <f>IF($AL8="",0,'All Ticker P&amp;L'!L8)</f>
        <v>4906.2067717288865</v>
      </c>
      <c r="AS8" s="267">
        <f>IF($AL8="",0,'All Ticker P&amp;L'!M8)</f>
        <v>0.82410423452768733</v>
      </c>
      <c r="AT8" s="243">
        <f>IF($AL8="","",RANK(AR8,$AR$2:$AR$1001)+COUNTIF($AR$2:AR8,AR8)-1)</f>
        <v>5</v>
      </c>
      <c r="AU8" s="243">
        <f>IF($AL8="","",RANK(AV8,$AV$2:$AV$1001)+COUNTIF($AV$2:AV8,AV8)-1)</f>
        <v>996</v>
      </c>
      <c r="AV8" s="266">
        <f t="shared" si="1"/>
        <v>-4906.2067717288865</v>
      </c>
    </row>
    <row r="9" spans="1:48" ht="15" customHeight="1" x14ac:dyDescent="0.2">
      <c r="A9" s="271" t="s">
        <v>481</v>
      </c>
      <c r="B9" s="272">
        <f>SUMIFS('All Ticker P&amp;L'!$L$2:$L$1001,'All Ticker P&amp;L'!$E$2:$E$1001,0)</f>
        <v>17052.13895101555</v>
      </c>
      <c r="D9" s="271">
        <v>5</v>
      </c>
      <c r="E9" s="271" t="str">
        <f t="shared" si="2"/>
        <v>SGX:Z74:SGD</v>
      </c>
      <c r="F9" s="271" t="str">
        <f t="shared" si="3"/>
        <v>SGX</v>
      </c>
      <c r="G9" s="271" t="str">
        <f t="shared" si="4"/>
        <v>SGD</v>
      </c>
      <c r="H9" s="272">
        <f t="shared" si="5"/>
        <v>11460</v>
      </c>
      <c r="I9" s="273">
        <f t="shared" si="6"/>
        <v>6.4431090331742116E-2</v>
      </c>
      <c r="J9" s="272">
        <f t="shared" si="7"/>
        <v>2135</v>
      </c>
      <c r="K9" s="273">
        <f t="shared" si="8"/>
        <v>0.22895442359249329</v>
      </c>
      <c r="Z9" s="243" t="str">
        <f>Shares!A9</f>
        <v>SGX:A17U:SGD</v>
      </c>
      <c r="AA9" s="243" t="str">
        <f>Shares!B9</f>
        <v>SGX</v>
      </c>
      <c r="AB9" s="243" t="str">
        <f>Shares!C9</f>
        <v>A17U</v>
      </c>
      <c r="AC9" s="243" t="str">
        <f>Shares!D9</f>
        <v>SGD</v>
      </c>
      <c r="AD9" s="265">
        <f>IF($Z9="",0,Shares!E9)</f>
        <v>4000</v>
      </c>
      <c r="AE9" s="266">
        <f>IF($Z9="",0,Shares!J9*Shares!I9)</f>
        <v>10960</v>
      </c>
      <c r="AF9" s="267">
        <f t="shared" si="0"/>
        <v>6.1619960736116371E-2</v>
      </c>
      <c r="AG9" s="266">
        <f>IF($Z9="",0,Shares!L9)</f>
        <v>-890</v>
      </c>
      <c r="AH9" s="267">
        <f>IF($Z9="",0,Shares!M9)</f>
        <v>-7.5105485232067504E-2</v>
      </c>
      <c r="AI9" s="243">
        <f>IF($Z9="","",RANK(AE9,$AE$2:$AE$1001)+COUNTIF($AE$2:AE9,AE9)-1)</f>
        <v>6</v>
      </c>
      <c r="AJ9" s="243" t="str">
        <f>IF($AD9&lt;0,COUNT($AJ$1:AJ8)+1,"")</f>
        <v/>
      </c>
      <c r="AL9" s="243" t="str">
        <f>'All Ticker P&amp;L'!A9</f>
        <v>SGX:A17U:SGD</v>
      </c>
      <c r="AM9" s="243" t="str">
        <f>'All Ticker P&amp;L'!B9</f>
        <v>SGX</v>
      </c>
      <c r="AN9" s="243" t="str">
        <f>'All Ticker P&amp;L'!C9</f>
        <v>A17U</v>
      </c>
      <c r="AO9" s="243" t="str">
        <f>'All Ticker P&amp;L'!D9</f>
        <v>SGD</v>
      </c>
      <c r="AP9" s="265">
        <f>IF($AL9="",0,'All Ticker P&amp;L'!E9)</f>
        <v>4000</v>
      </c>
      <c r="AQ9" s="266">
        <f>IF($AL9="",0,'All Ticker P&amp;L'!J9*'All Ticker P&amp;L'!I9)</f>
        <v>10960</v>
      </c>
      <c r="AR9" s="266">
        <f>IF($AL9="",0,'All Ticker P&amp;L'!L9)</f>
        <v>-890</v>
      </c>
      <c r="AS9" s="267">
        <f>IF($AL9="",0,'All Ticker P&amp;L'!M9)</f>
        <v>-7.5105485232067504E-2</v>
      </c>
      <c r="AT9" s="243">
        <f>IF($AL9="","",RANK(AR9,$AR$2:$AR$1001)+COUNTIF($AR$2:AR9,AR9)-1)</f>
        <v>999</v>
      </c>
      <c r="AU9" s="243">
        <f>IF($AL9="","",RANK(AV9,$AV$2:$AV$1001)+COUNTIF($AV$2:AV9,AV9)-1)</f>
        <v>2</v>
      </c>
      <c r="AV9" s="266">
        <f t="shared" si="1"/>
        <v>890</v>
      </c>
    </row>
    <row r="10" spans="1:48" ht="15" customHeight="1" x14ac:dyDescent="0.2">
      <c r="A10" s="271" t="s">
        <v>482</v>
      </c>
      <c r="B10" s="272">
        <f>SUM('All Ticker P&amp;L'!$L$2:$L$1001)</f>
        <v>65033.56426463047</v>
      </c>
      <c r="D10" s="271">
        <v>6</v>
      </c>
      <c r="E10" s="271" t="str">
        <f t="shared" si="2"/>
        <v>SGX:A17U:SGD</v>
      </c>
      <c r="F10" s="271" t="str">
        <f t="shared" si="3"/>
        <v>SGX</v>
      </c>
      <c r="G10" s="271" t="str">
        <f t="shared" si="4"/>
        <v>SGD</v>
      </c>
      <c r="H10" s="272">
        <f t="shared" si="5"/>
        <v>10960</v>
      </c>
      <c r="I10" s="273">
        <f t="shared" si="6"/>
        <v>6.1619960736116371E-2</v>
      </c>
      <c r="J10" s="272">
        <f t="shared" si="7"/>
        <v>-890</v>
      </c>
      <c r="K10" s="273">
        <f t="shared" si="8"/>
        <v>-7.5105485232067504E-2</v>
      </c>
      <c r="Z10" s="243" t="str">
        <f>Shares!A10</f>
        <v>SGX:CLR:SGD</v>
      </c>
      <c r="AA10" s="243" t="str">
        <f>Shares!B10</f>
        <v>SGX</v>
      </c>
      <c r="AB10" s="243" t="str">
        <f>Shares!C10</f>
        <v>CLR</v>
      </c>
      <c r="AC10" s="243" t="str">
        <f>Shares!D10</f>
        <v>SGD</v>
      </c>
      <c r="AD10" s="265">
        <f>IF($Z10="",0,Shares!E10)</f>
        <v>10000</v>
      </c>
      <c r="AE10" s="266">
        <f>IF($Z10="",0,Shares!J10*Shares!I10)</f>
        <v>8149.9999999999991</v>
      </c>
      <c r="AF10" s="267">
        <f t="shared" si="0"/>
        <v>4.582141240869967E-2</v>
      </c>
      <c r="AG10" s="266">
        <f>IF($Z10="",0,Shares!L10)</f>
        <v>1124.9999999999991</v>
      </c>
      <c r="AH10" s="267">
        <f>IF($Z10="",0,Shares!M10)</f>
        <v>0.16014234875444827</v>
      </c>
      <c r="AI10" s="243">
        <f>IF($Z10="","",RANK(AE10,$AE$2:$AE$1001)+COUNTIF($AE$2:AE10,AE10)-1)</f>
        <v>8</v>
      </c>
      <c r="AJ10" s="243" t="str">
        <f>IF($AD10&lt;0,COUNT($AJ$1:AJ9)+1,"")</f>
        <v/>
      </c>
      <c r="AL10" s="243" t="str">
        <f>'All Ticker P&amp;L'!A10</f>
        <v>USX:NVDA:USD</v>
      </c>
      <c r="AM10" s="243" t="str">
        <f>'All Ticker P&amp;L'!B10</f>
        <v>USX</v>
      </c>
      <c r="AN10" s="243" t="str">
        <f>'All Ticker P&amp;L'!C10</f>
        <v>NVDA</v>
      </c>
      <c r="AO10" s="243" t="str">
        <f>'All Ticker P&amp;L'!D10</f>
        <v>USD</v>
      </c>
      <c r="AP10" s="265">
        <f>IF($AL10="",0,'All Ticker P&amp;L'!E10)</f>
        <v>0</v>
      </c>
      <c r="AQ10" s="266">
        <f>IF($AL10="",0,'All Ticker P&amp;L'!J10*'All Ticker P&amp;L'!I10)</f>
        <v>0</v>
      </c>
      <c r="AR10" s="266">
        <f>IF($AL10="",0,'All Ticker P&amp;L'!L10)</f>
        <v>17052.13895101555</v>
      </c>
      <c r="AS10" s="267">
        <f>IF($AL10="",0,'All Ticker P&amp;L'!M10)</f>
        <v>2.7450572320499478</v>
      </c>
      <c r="AT10" s="243">
        <f>IF($AL10="","",RANK(AR10,$AR$2:$AR$1001)+COUNTIF($AR$2:AR10,AR10)-1)</f>
        <v>2</v>
      </c>
      <c r="AU10" s="243">
        <f>IF($AL10="","",RANK(AV10,$AV$2:$AV$1001)+COUNTIF($AV$2:AV10,AV10)-1)</f>
        <v>999</v>
      </c>
      <c r="AV10" s="266">
        <f t="shared" si="1"/>
        <v>-17052.13895101555</v>
      </c>
    </row>
    <row r="11" spans="1:48" ht="15" customHeight="1" x14ac:dyDescent="0.2">
      <c r="A11" s="271" t="s">
        <v>483</v>
      </c>
      <c r="B11" s="273">
        <f>IFERROR($B$10/$B$6,0)</f>
        <v>0.47785431516851257</v>
      </c>
      <c r="D11" s="271">
        <v>7</v>
      </c>
      <c r="E11" s="271" t="str">
        <f t="shared" si="2"/>
        <v>USX:MSFT:USD</v>
      </c>
      <c r="F11" s="271" t="str">
        <f t="shared" si="3"/>
        <v>USX</v>
      </c>
      <c r="G11" s="271" t="str">
        <f t="shared" si="4"/>
        <v>USD</v>
      </c>
      <c r="H11" s="272">
        <f t="shared" si="5"/>
        <v>10859.588111336665</v>
      </c>
      <c r="I11" s="273">
        <f t="shared" si="6"/>
        <v>6.1055419072168014E-2</v>
      </c>
      <c r="J11" s="272">
        <f t="shared" si="7"/>
        <v>4906.2067717288865</v>
      </c>
      <c r="K11" s="273">
        <f t="shared" si="8"/>
        <v>0.82410423452768733</v>
      </c>
      <c r="Z11" s="243" t="str">
        <f>Shares!A11</f>
        <v/>
      </c>
      <c r="AA11" s="243" t="str">
        <f>Shares!B11</f>
        <v/>
      </c>
      <c r="AB11" s="243" t="str">
        <f>Shares!C11</f>
        <v/>
      </c>
      <c r="AC11" s="243" t="str">
        <f>Shares!D11</f>
        <v/>
      </c>
      <c r="AD11" s="265">
        <f>IF($Z11="",0,Shares!E11)</f>
        <v>0</v>
      </c>
      <c r="AE11" s="266">
        <f>IF($Z11="",0,Shares!J11*Shares!I11)</f>
        <v>0</v>
      </c>
      <c r="AF11" s="267">
        <f t="shared" si="0"/>
        <v>0</v>
      </c>
      <c r="AG11" s="266">
        <f>IF($Z11="",0,Shares!L11)</f>
        <v>0</v>
      </c>
      <c r="AH11" s="267">
        <f>IF($Z11="",0,Shares!M11)</f>
        <v>0</v>
      </c>
      <c r="AI11" s="243" t="str">
        <f>IF($Z11="","",RANK(AE11,$AE$2:$AE$1001)+COUNTIF($AE$2:AE11,AE11)-1)</f>
        <v/>
      </c>
      <c r="AJ11" s="243" t="str">
        <f>IF($AD11&lt;0,COUNT($AJ$1:AJ10)+1,"")</f>
        <v/>
      </c>
      <c r="AL11" s="243" t="str">
        <f>'All Ticker P&amp;L'!A11</f>
        <v>SGX:CLR:SGD</v>
      </c>
      <c r="AM11" s="243" t="str">
        <f>'All Ticker P&amp;L'!B11</f>
        <v>SGX</v>
      </c>
      <c r="AN11" s="243" t="str">
        <f>'All Ticker P&amp;L'!C11</f>
        <v>CLR</v>
      </c>
      <c r="AO11" s="243" t="str">
        <f>'All Ticker P&amp;L'!D11</f>
        <v>SGD</v>
      </c>
      <c r="AP11" s="265">
        <f>IF($AL11="",0,'All Ticker P&amp;L'!E11)</f>
        <v>10000</v>
      </c>
      <c r="AQ11" s="266">
        <f>IF($AL11="",0,'All Ticker P&amp;L'!J11*'All Ticker P&amp;L'!I11)</f>
        <v>8149.9999999999991</v>
      </c>
      <c r="AR11" s="266">
        <f>IF($AL11="",0,'All Ticker P&amp;L'!L11)</f>
        <v>1124.9999999999991</v>
      </c>
      <c r="AS11" s="267">
        <f>IF($AL11="",0,'All Ticker P&amp;L'!M11)</f>
        <v>0.16014234875444827</v>
      </c>
      <c r="AT11" s="243">
        <f>IF($AL11="","",RANK(AR11,$AR$2:$AR$1001)+COUNTIF($AR$2:AR11,AR11)-1)</f>
        <v>7</v>
      </c>
      <c r="AU11" s="243">
        <f>IF($AL11="","",RANK(AV11,$AV$2:$AV$1001)+COUNTIF($AV$2:AV11,AV11)-1)</f>
        <v>994</v>
      </c>
      <c r="AV11" s="266">
        <f t="shared" si="1"/>
        <v>-1124.9999999999991</v>
      </c>
    </row>
    <row r="12" spans="1:48" ht="15" customHeight="1" x14ac:dyDescent="0.2">
      <c r="A12" s="271" t="s">
        <v>484</v>
      </c>
      <c r="B12" s="273">
        <f>IFERROR(MAX($AF$2:$AF$1001),0)</f>
        <v>0.43925024383490546</v>
      </c>
      <c r="D12" s="271">
        <v>8</v>
      </c>
      <c r="E12" s="271" t="str">
        <f t="shared" si="2"/>
        <v>SGX:CLR:SGD</v>
      </c>
      <c r="F12" s="271" t="str">
        <f t="shared" si="3"/>
        <v>SGX</v>
      </c>
      <c r="G12" s="271" t="str">
        <f t="shared" si="4"/>
        <v>SGD</v>
      </c>
      <c r="H12" s="272">
        <f t="shared" si="5"/>
        <v>8149.9999999999991</v>
      </c>
      <c r="I12" s="273">
        <f t="shared" si="6"/>
        <v>4.582141240869967E-2</v>
      </c>
      <c r="J12" s="272">
        <f t="shared" si="7"/>
        <v>1124.9999999999991</v>
      </c>
      <c r="K12" s="273">
        <f t="shared" si="8"/>
        <v>0.16014234875444827</v>
      </c>
      <c r="Z12" s="243" t="str">
        <f>Shares!A12</f>
        <v/>
      </c>
      <c r="AA12" s="243" t="str">
        <f>Shares!B12</f>
        <v/>
      </c>
      <c r="AB12" s="243" t="str">
        <f>Shares!C12</f>
        <v/>
      </c>
      <c r="AC12" s="243" t="str">
        <f>Shares!D12</f>
        <v/>
      </c>
      <c r="AD12" s="265">
        <f>IF($Z12="",0,Shares!E12)</f>
        <v>0</v>
      </c>
      <c r="AE12" s="266">
        <f>IF($Z12="",0,Shares!J12*Shares!I12)</f>
        <v>0</v>
      </c>
      <c r="AF12" s="267">
        <f t="shared" si="0"/>
        <v>0</v>
      </c>
      <c r="AG12" s="266">
        <f>IF($Z12="",0,Shares!L12)</f>
        <v>0</v>
      </c>
      <c r="AH12" s="267">
        <f>IF($Z12="",0,Shares!M12)</f>
        <v>0</v>
      </c>
      <c r="AI12" s="243" t="str">
        <f>IF($Z12="","",RANK(AE12,$AE$2:$AE$1001)+COUNTIF($AE$2:AE12,AE12)-1)</f>
        <v/>
      </c>
      <c r="AJ12" s="243" t="str">
        <f>IF($AD12&lt;0,COUNT($AJ$1:AJ11)+1,"")</f>
        <v/>
      </c>
      <c r="AL12" s="243" t="str">
        <f>'All Ticker P&amp;L'!A12</f>
        <v/>
      </c>
      <c r="AM12" s="243" t="str">
        <f>'All Ticker P&amp;L'!B12</f>
        <v/>
      </c>
      <c r="AN12" s="243" t="str">
        <f>'All Ticker P&amp;L'!C12</f>
        <v/>
      </c>
      <c r="AO12" s="243" t="str">
        <f>'All Ticker P&amp;L'!D12</f>
        <v/>
      </c>
      <c r="AP12" s="265">
        <f>IF($AL12="",0,'All Ticker P&amp;L'!E12)</f>
        <v>0</v>
      </c>
      <c r="AQ12" s="266">
        <f>IF($AL12="",0,'All Ticker P&amp;L'!J12*'All Ticker P&amp;L'!I12)</f>
        <v>0</v>
      </c>
      <c r="AR12" s="266">
        <f>IF($AL12="",0,'All Ticker P&amp;L'!L12)</f>
        <v>0</v>
      </c>
      <c r="AS12" s="267">
        <f>IF($AL12="",0,'All Ticker P&amp;L'!M12)</f>
        <v>0</v>
      </c>
      <c r="AT12" s="243" t="str">
        <f>IF($AL12="","",RANK(AR12,$AR$2:$AR$1001)+COUNTIF($AR$2:AR12,AR12)-1)</f>
        <v/>
      </c>
      <c r="AU12" s="243" t="str">
        <f>IF($AL12="","",RANK(AV12,$AV$2:$AV$1001)+COUNTIF($AV$2:AV12,AV12)-1)</f>
        <v/>
      </c>
      <c r="AV12" s="266">
        <f t="shared" si="1"/>
        <v>0</v>
      </c>
    </row>
    <row r="13" spans="1:48" ht="15" customHeight="1" x14ac:dyDescent="0.2">
      <c r="A13" s="271" t="s">
        <v>485</v>
      </c>
      <c r="B13" s="274">
        <f>COUNTIF(Shares!$E$2:$E$1001,"&lt;0")</f>
        <v>0</v>
      </c>
      <c r="D13" s="271">
        <v>9</v>
      </c>
      <c r="E13" s="271" t="str">
        <f t="shared" si="2"/>
        <v>HKEX:700:HKD</v>
      </c>
      <c r="F13" s="271" t="str">
        <f t="shared" si="3"/>
        <v>HKEX</v>
      </c>
      <c r="G13" s="271" t="str">
        <f t="shared" si="4"/>
        <v>HKD</v>
      </c>
      <c r="H13" s="272">
        <f t="shared" si="5"/>
        <v>8050.3932852926064</v>
      </c>
      <c r="I13" s="273">
        <f t="shared" si="6"/>
        <v>4.5261397641425664E-2</v>
      </c>
      <c r="J13" s="272">
        <f t="shared" si="7"/>
        <v>-1860.0662895964892</v>
      </c>
      <c r="K13" s="273">
        <f t="shared" si="8"/>
        <v>-0.18768718801996673</v>
      </c>
      <c r="Z13" s="243" t="str">
        <f>Shares!A13</f>
        <v/>
      </c>
      <c r="AA13" s="243" t="str">
        <f>Shares!B13</f>
        <v/>
      </c>
      <c r="AB13" s="243" t="str">
        <f>Shares!C13</f>
        <v/>
      </c>
      <c r="AC13" s="243" t="str">
        <f>Shares!D13</f>
        <v/>
      </c>
      <c r="AD13" s="265">
        <f>IF($Z13="",0,Shares!E13)</f>
        <v>0</v>
      </c>
      <c r="AE13" s="266">
        <f>IF($Z13="",0,Shares!J13*Shares!I13)</f>
        <v>0</v>
      </c>
      <c r="AF13" s="267">
        <f t="shared" si="0"/>
        <v>0</v>
      </c>
      <c r="AG13" s="266">
        <f>IF($Z13="",0,Shares!L13)</f>
        <v>0</v>
      </c>
      <c r="AH13" s="267">
        <f>IF($Z13="",0,Shares!M13)</f>
        <v>0</v>
      </c>
      <c r="AI13" s="243" t="str">
        <f>IF($Z13="","",RANK(AE13,$AE$2:$AE$1001)+COUNTIF($AE$2:AE13,AE13)-1)</f>
        <v/>
      </c>
      <c r="AJ13" s="243" t="str">
        <f>IF($AD13&lt;0,COUNT($AJ$1:AJ12)+1,"")</f>
        <v/>
      </c>
      <c r="AL13" s="243" t="str">
        <f>'All Ticker P&amp;L'!A13</f>
        <v/>
      </c>
      <c r="AM13" s="243" t="str">
        <f>'All Ticker P&amp;L'!B13</f>
        <v/>
      </c>
      <c r="AN13" s="243" t="str">
        <f>'All Ticker P&amp;L'!C13</f>
        <v/>
      </c>
      <c r="AO13" s="243" t="str">
        <f>'All Ticker P&amp;L'!D13</f>
        <v/>
      </c>
      <c r="AP13" s="265">
        <f>IF($AL13="",0,'All Ticker P&amp;L'!E13)</f>
        <v>0</v>
      </c>
      <c r="AQ13" s="266">
        <f>IF($AL13="",0,'All Ticker P&amp;L'!J13*'All Ticker P&amp;L'!I13)</f>
        <v>0</v>
      </c>
      <c r="AR13" s="266">
        <f>IF($AL13="",0,'All Ticker P&amp;L'!L13)</f>
        <v>0</v>
      </c>
      <c r="AS13" s="267">
        <f>IF($AL13="",0,'All Ticker P&amp;L'!M13)</f>
        <v>0</v>
      </c>
      <c r="AT13" s="243" t="str">
        <f>IF($AL13="","",RANK(AR13,$AR$2:$AR$1001)+COUNTIF($AR$2:AR13,AR13)-1)</f>
        <v/>
      </c>
      <c r="AU13" s="243" t="str">
        <f>IF($AL13="","",RANK(AV13,$AV$2:$AV$1001)+COUNTIF($AV$2:AV13,AV13)-1)</f>
        <v/>
      </c>
      <c r="AV13" s="266">
        <f t="shared" si="1"/>
        <v>0</v>
      </c>
    </row>
    <row r="14" spans="1:48" ht="15" customHeight="1" x14ac:dyDescent="0.2">
      <c r="A14" s="271" t="s">
        <v>486</v>
      </c>
      <c r="B14" s="274">
        <f>COUNTIFS(Shares!$A$2:$A$1001,"?*",Shares!$H$2:$H$1001,0)+COUNTIFS(Shares!$A$2:$A$1001,"?*",Shares!$I$2:$I$1001,0)+COUNTIFS(Shares!$A$2:$A$1001,"?*",Shares!$D$2:$D$1001,"&lt;&gt;SGD",Shares!$I$2:$I$1001,1)</f>
        <v>0</v>
      </c>
      <c r="D14" s="271">
        <v>10</v>
      </c>
      <c r="E14" s="271" t="str">
        <f t="shared" si="2"/>
        <v/>
      </c>
      <c r="F14" s="271" t="str">
        <f t="shared" si="3"/>
        <v/>
      </c>
      <c r="G14" s="271" t="str">
        <f t="shared" si="4"/>
        <v/>
      </c>
      <c r="H14" s="272" t="str">
        <f t="shared" si="5"/>
        <v/>
      </c>
      <c r="I14" s="273" t="str">
        <f t="shared" si="6"/>
        <v/>
      </c>
      <c r="J14" s="272" t="str">
        <f t="shared" si="7"/>
        <v/>
      </c>
      <c r="K14" s="273" t="str">
        <f t="shared" si="8"/>
        <v/>
      </c>
      <c r="Z14" s="243" t="str">
        <f>Shares!A14</f>
        <v/>
      </c>
      <c r="AA14" s="243" t="str">
        <f>Shares!B14</f>
        <v/>
      </c>
      <c r="AB14" s="243" t="str">
        <f>Shares!C14</f>
        <v/>
      </c>
      <c r="AC14" s="243" t="str">
        <f>Shares!D14</f>
        <v/>
      </c>
      <c r="AD14" s="265">
        <f>IF($Z14="",0,Shares!E14)</f>
        <v>0</v>
      </c>
      <c r="AE14" s="266">
        <f>IF($Z14="",0,Shares!J14*Shares!I14)</f>
        <v>0</v>
      </c>
      <c r="AF14" s="267">
        <f t="shared" si="0"/>
        <v>0</v>
      </c>
      <c r="AG14" s="266">
        <f>IF($Z14="",0,Shares!L14)</f>
        <v>0</v>
      </c>
      <c r="AH14" s="267">
        <f>IF($Z14="",0,Shares!M14)</f>
        <v>0</v>
      </c>
      <c r="AI14" s="243" t="str">
        <f>IF($Z14="","",RANK(AE14,$AE$2:$AE$1001)+COUNTIF($AE$2:AE14,AE14)-1)</f>
        <v/>
      </c>
      <c r="AJ14" s="243" t="str">
        <f>IF($AD14&lt;0,COUNT($AJ$1:AJ13)+1,"")</f>
        <v/>
      </c>
      <c r="AL14" s="243" t="str">
        <f>'All Ticker P&amp;L'!A14</f>
        <v/>
      </c>
      <c r="AM14" s="243" t="str">
        <f>'All Ticker P&amp;L'!B14</f>
        <v/>
      </c>
      <c r="AN14" s="243" t="str">
        <f>'All Ticker P&amp;L'!C14</f>
        <v/>
      </c>
      <c r="AO14" s="243" t="str">
        <f>'All Ticker P&amp;L'!D14</f>
        <v/>
      </c>
      <c r="AP14" s="265">
        <f>IF($AL14="",0,'All Ticker P&amp;L'!E14)</f>
        <v>0</v>
      </c>
      <c r="AQ14" s="266">
        <f>IF($AL14="",0,'All Ticker P&amp;L'!J14*'All Ticker P&amp;L'!I14)</f>
        <v>0</v>
      </c>
      <c r="AR14" s="266">
        <f>IF($AL14="",0,'All Ticker P&amp;L'!L14)</f>
        <v>0</v>
      </c>
      <c r="AS14" s="267">
        <f>IF($AL14="",0,'All Ticker P&amp;L'!M14)</f>
        <v>0</v>
      </c>
      <c r="AT14" s="243" t="str">
        <f>IF($AL14="","",RANK(AR14,$AR$2:$AR$1001)+COUNTIF($AR$2:AR14,AR14)-1)</f>
        <v/>
      </c>
      <c r="AU14" s="243" t="str">
        <f>IF($AL14="","",RANK(AV14,$AV$2:$AV$1001)+COUNTIF($AV$2:AV14,AV14)-1)</f>
        <v/>
      </c>
      <c r="AV14" s="266">
        <f t="shared" si="1"/>
        <v>0</v>
      </c>
    </row>
    <row r="15" spans="1:48" ht="15" customHeight="1" x14ac:dyDescent="0.2">
      <c r="A15" s="113" t="s">
        <v>487</v>
      </c>
      <c r="B15" s="39">
        <f ca="1">'Portfolio Analysis'!$B$3</f>
        <v>7.5773295760154721E-2</v>
      </c>
      <c r="Z15" s="243" t="str">
        <f>Shares!A15</f>
        <v/>
      </c>
      <c r="AA15" s="243" t="str">
        <f>Shares!B15</f>
        <v/>
      </c>
      <c r="AB15" s="243" t="str">
        <f>Shares!C15</f>
        <v/>
      </c>
      <c r="AC15" s="243" t="str">
        <f>Shares!D15</f>
        <v/>
      </c>
      <c r="AD15" s="265">
        <f>IF($Z15="",0,Shares!E15)</f>
        <v>0</v>
      </c>
      <c r="AE15" s="266">
        <f>IF($Z15="",0,Shares!J15*Shares!I15)</f>
        <v>0</v>
      </c>
      <c r="AF15" s="267">
        <f t="shared" si="0"/>
        <v>0</v>
      </c>
      <c r="AG15" s="266">
        <f>IF($Z15="",0,Shares!L15)</f>
        <v>0</v>
      </c>
      <c r="AH15" s="267">
        <f>IF($Z15="",0,Shares!M15)</f>
        <v>0</v>
      </c>
      <c r="AI15" s="243" t="str">
        <f>IF($Z15="","",RANK(AE15,$AE$2:$AE$1001)+COUNTIF($AE$2:AE15,AE15)-1)</f>
        <v/>
      </c>
      <c r="AJ15" s="243" t="str">
        <f>IF($AD15&lt;0,COUNT($AJ$1:AJ14)+1,"")</f>
        <v/>
      </c>
      <c r="AL15" s="243" t="str">
        <f>'All Ticker P&amp;L'!A15</f>
        <v/>
      </c>
      <c r="AM15" s="243" t="str">
        <f>'All Ticker P&amp;L'!B15</f>
        <v/>
      </c>
      <c r="AN15" s="243" t="str">
        <f>'All Ticker P&amp;L'!C15</f>
        <v/>
      </c>
      <c r="AO15" s="243" t="str">
        <f>'All Ticker P&amp;L'!D15</f>
        <v/>
      </c>
      <c r="AP15" s="265">
        <f>IF($AL15="",0,'All Ticker P&amp;L'!E15)</f>
        <v>0</v>
      </c>
      <c r="AQ15" s="266">
        <f>IF($AL15="",0,'All Ticker P&amp;L'!J15*'All Ticker P&amp;L'!I15)</f>
        <v>0</v>
      </c>
      <c r="AR15" s="266">
        <f>IF($AL15="",0,'All Ticker P&amp;L'!L15)</f>
        <v>0</v>
      </c>
      <c r="AS15" s="267">
        <f>IF($AL15="",0,'All Ticker P&amp;L'!M15)</f>
        <v>0</v>
      </c>
      <c r="AT15" s="243" t="str">
        <f>IF($AL15="","",RANK(AR15,$AR$2:$AR$1001)+COUNTIF($AR$2:AR15,AR15)-1)</f>
        <v/>
      </c>
      <c r="AU15" s="243" t="str">
        <f>IF($AL15="","",RANK(AV15,$AV$2:$AV$1001)+COUNTIF($AV$2:AV15,AV15)-1)</f>
        <v/>
      </c>
      <c r="AV15" s="266">
        <f t="shared" si="1"/>
        <v>0</v>
      </c>
    </row>
    <row r="16" spans="1:48" ht="15" customHeight="1" x14ac:dyDescent="0.2">
      <c r="A16" s="113" t="s">
        <v>488</v>
      </c>
      <c r="B16" s="40">
        <f>SUM(Txn[Dividend SGD])</f>
        <v>1090</v>
      </c>
      <c r="Z16" s="243" t="str">
        <f>Shares!A16</f>
        <v/>
      </c>
      <c r="AA16" s="243" t="str">
        <f>Shares!B16</f>
        <v/>
      </c>
      <c r="AB16" s="243" t="str">
        <f>Shares!C16</f>
        <v/>
      </c>
      <c r="AC16" s="243" t="str">
        <f>Shares!D16</f>
        <v/>
      </c>
      <c r="AD16" s="265">
        <f>IF($Z16="",0,Shares!E16)</f>
        <v>0</v>
      </c>
      <c r="AE16" s="266">
        <f>IF($Z16="",0,Shares!J16*Shares!I16)</f>
        <v>0</v>
      </c>
      <c r="AF16" s="267">
        <f t="shared" si="0"/>
        <v>0</v>
      </c>
      <c r="AG16" s="266">
        <f>IF($Z16="",0,Shares!L16)</f>
        <v>0</v>
      </c>
      <c r="AH16" s="267">
        <f>IF($Z16="",0,Shares!M16)</f>
        <v>0</v>
      </c>
      <c r="AI16" s="243" t="str">
        <f>IF($Z16="","",RANK(AE16,$AE$2:$AE$1001)+COUNTIF($AE$2:AE16,AE16)-1)</f>
        <v/>
      </c>
      <c r="AJ16" s="243" t="str">
        <f>IF($AD16&lt;0,COUNT($AJ$1:AJ15)+1,"")</f>
        <v/>
      </c>
      <c r="AL16" s="243" t="str">
        <f>'All Ticker P&amp;L'!A16</f>
        <v/>
      </c>
      <c r="AM16" s="243" t="str">
        <f>'All Ticker P&amp;L'!B16</f>
        <v/>
      </c>
      <c r="AN16" s="243" t="str">
        <f>'All Ticker P&amp;L'!C16</f>
        <v/>
      </c>
      <c r="AO16" s="243" t="str">
        <f>'All Ticker P&amp;L'!D16</f>
        <v/>
      </c>
      <c r="AP16" s="265">
        <f>IF($AL16="",0,'All Ticker P&amp;L'!E16)</f>
        <v>0</v>
      </c>
      <c r="AQ16" s="266">
        <f>IF($AL16="",0,'All Ticker P&amp;L'!J16*'All Ticker P&amp;L'!I16)</f>
        <v>0</v>
      </c>
      <c r="AR16" s="266">
        <f>IF($AL16="",0,'All Ticker P&amp;L'!L16)</f>
        <v>0</v>
      </c>
      <c r="AS16" s="267">
        <f>IF($AL16="",0,'All Ticker P&amp;L'!M16)</f>
        <v>0</v>
      </c>
      <c r="AT16" s="243" t="str">
        <f>IF($AL16="","",RANK(AR16,$AR$2:$AR$1001)+COUNTIF($AR$2:AR16,AR16)-1)</f>
        <v/>
      </c>
      <c r="AU16" s="243" t="str">
        <f>IF($AL16="","",RANK(AV16,$AV$2:$AV$1001)+COUNTIF($AV$2:AV16,AV16)-1)</f>
        <v/>
      </c>
      <c r="AV16" s="266">
        <f t="shared" si="1"/>
        <v>0</v>
      </c>
    </row>
    <row r="17" spans="1:48" ht="15" customHeight="1" x14ac:dyDescent="0.2">
      <c r="A17" s="268" t="s">
        <v>489</v>
      </c>
      <c r="F17" s="268" t="s">
        <v>490</v>
      </c>
      <c r="Z17" s="243" t="str">
        <f>Shares!A17</f>
        <v/>
      </c>
      <c r="AA17" s="243" t="str">
        <f>Shares!B17</f>
        <v/>
      </c>
      <c r="AB17" s="243" t="str">
        <f>Shares!C17</f>
        <v/>
      </c>
      <c r="AC17" s="243" t="str">
        <f>Shares!D17</f>
        <v/>
      </c>
      <c r="AD17" s="265">
        <f>IF($Z17="",0,Shares!E17)</f>
        <v>0</v>
      </c>
      <c r="AE17" s="266">
        <f>IF($Z17="",0,Shares!J17*Shares!I17)</f>
        <v>0</v>
      </c>
      <c r="AF17" s="267">
        <f t="shared" si="0"/>
        <v>0</v>
      </c>
      <c r="AG17" s="266">
        <f>IF($Z17="",0,Shares!L17)</f>
        <v>0</v>
      </c>
      <c r="AH17" s="267">
        <f>IF($Z17="",0,Shares!M17)</f>
        <v>0</v>
      </c>
      <c r="AI17" s="243" t="str">
        <f>IF($Z17="","",RANK(AE17,$AE$2:$AE$1001)+COUNTIF($AE$2:AE17,AE17)-1)</f>
        <v/>
      </c>
      <c r="AJ17" s="243" t="str">
        <f>IF($AD17&lt;0,COUNT($AJ$1:AJ16)+1,"")</f>
        <v/>
      </c>
      <c r="AL17" s="243" t="str">
        <f>'All Ticker P&amp;L'!A17</f>
        <v/>
      </c>
      <c r="AM17" s="243" t="str">
        <f>'All Ticker P&amp;L'!B17</f>
        <v/>
      </c>
      <c r="AN17" s="243" t="str">
        <f>'All Ticker P&amp;L'!C17</f>
        <v/>
      </c>
      <c r="AO17" s="243" t="str">
        <f>'All Ticker P&amp;L'!D17</f>
        <v/>
      </c>
      <c r="AP17" s="265">
        <f>IF($AL17="",0,'All Ticker P&amp;L'!E17)</f>
        <v>0</v>
      </c>
      <c r="AQ17" s="266">
        <f>IF($AL17="",0,'All Ticker P&amp;L'!J17*'All Ticker P&amp;L'!I17)</f>
        <v>0</v>
      </c>
      <c r="AR17" s="266">
        <f>IF($AL17="",0,'All Ticker P&amp;L'!L17)</f>
        <v>0</v>
      </c>
      <c r="AS17" s="267">
        <f>IF($AL17="",0,'All Ticker P&amp;L'!M17)</f>
        <v>0</v>
      </c>
      <c r="AT17" s="243" t="str">
        <f>IF($AL17="","",RANK(AR17,$AR$2:$AR$1001)+COUNTIF($AR$2:AR17,AR17)-1)</f>
        <v/>
      </c>
      <c r="AU17" s="243" t="str">
        <f>IF($AL17="","",RANK(AV17,$AV$2:$AV$1001)+COUNTIF($AV$2:AV17,AV17)-1)</f>
        <v/>
      </c>
      <c r="AV17" s="266">
        <f t="shared" si="1"/>
        <v>0</v>
      </c>
    </row>
    <row r="18" spans="1:48" ht="15" customHeight="1" x14ac:dyDescent="0.2">
      <c r="A18" s="269" t="s">
        <v>390</v>
      </c>
      <c r="B18" s="269" t="s">
        <v>473</v>
      </c>
      <c r="C18" s="269" t="s">
        <v>474</v>
      </c>
      <c r="D18" s="269" t="s">
        <v>491</v>
      </c>
      <c r="F18" s="269" t="s">
        <v>387</v>
      </c>
      <c r="G18" s="269" t="s">
        <v>473</v>
      </c>
      <c r="H18" s="269" t="s">
        <v>474</v>
      </c>
      <c r="I18" s="269" t="s">
        <v>491</v>
      </c>
      <c r="Z18" s="243" t="str">
        <f>Shares!A18</f>
        <v/>
      </c>
      <c r="AA18" s="243" t="str">
        <f>Shares!B18</f>
        <v/>
      </c>
      <c r="AB18" s="243" t="str">
        <f>Shares!C18</f>
        <v/>
      </c>
      <c r="AC18" s="243" t="str">
        <f>Shares!D18</f>
        <v/>
      </c>
      <c r="AD18" s="265">
        <f>IF($Z18="",0,Shares!E18)</f>
        <v>0</v>
      </c>
      <c r="AE18" s="266">
        <f>IF($Z18="",0,Shares!J18*Shares!I18)</f>
        <v>0</v>
      </c>
      <c r="AF18" s="267">
        <f t="shared" si="0"/>
        <v>0</v>
      </c>
      <c r="AG18" s="266">
        <f>IF($Z18="",0,Shares!L18)</f>
        <v>0</v>
      </c>
      <c r="AH18" s="267">
        <f>IF($Z18="",0,Shares!M18)</f>
        <v>0</v>
      </c>
      <c r="AI18" s="243" t="str">
        <f>IF($Z18="","",RANK(AE18,$AE$2:$AE$1001)+COUNTIF($AE$2:AE18,AE18)-1)</f>
        <v/>
      </c>
      <c r="AJ18" s="243" t="str">
        <f>IF($AD18&lt;0,COUNT($AJ$1:AJ17)+1,"")</f>
        <v/>
      </c>
      <c r="AL18" s="243" t="str">
        <f>'All Ticker P&amp;L'!A18</f>
        <v/>
      </c>
      <c r="AM18" s="243" t="str">
        <f>'All Ticker P&amp;L'!B18</f>
        <v/>
      </c>
      <c r="AN18" s="243" t="str">
        <f>'All Ticker P&amp;L'!C18</f>
        <v/>
      </c>
      <c r="AO18" s="243" t="str">
        <f>'All Ticker P&amp;L'!D18</f>
        <v/>
      </c>
      <c r="AP18" s="265">
        <f>IF($AL18="",0,'All Ticker P&amp;L'!E18)</f>
        <v>0</v>
      </c>
      <c r="AQ18" s="266">
        <f>IF($AL18="",0,'All Ticker P&amp;L'!J18*'All Ticker P&amp;L'!I18)</f>
        <v>0</v>
      </c>
      <c r="AR18" s="266">
        <f>IF($AL18="",0,'All Ticker P&amp;L'!L18)</f>
        <v>0</v>
      </c>
      <c r="AS18" s="267">
        <f>IF($AL18="",0,'All Ticker P&amp;L'!M18)</f>
        <v>0</v>
      </c>
      <c r="AT18" s="243" t="str">
        <f>IF($AL18="","",RANK(AR18,$AR$2:$AR$1001)+COUNTIF($AR$2:AR18,AR18)-1)</f>
        <v/>
      </c>
      <c r="AU18" s="243" t="str">
        <f>IF($AL18="","",RANK(AV18,$AV$2:$AV$1001)+COUNTIF($AV$2:AV18,AV18)-1)</f>
        <v/>
      </c>
      <c r="AV18" s="266">
        <f t="shared" si="1"/>
        <v>0</v>
      </c>
    </row>
    <row r="19" spans="1:48" ht="15" customHeight="1" x14ac:dyDescent="0.2">
      <c r="A19" s="271" t="s">
        <v>401</v>
      </c>
      <c r="B19" s="272">
        <f>SUMIFS($AE$2:$AE$1001,$AC$2:$AC$1001,A19)</f>
        <v>125017</v>
      </c>
      <c r="C19" s="273">
        <f>IFERROR(B19/$B$5,0)</f>
        <v>0.70287797731268797</v>
      </c>
      <c r="D19" s="271">
        <f>COUNTIFS($AC$2:$AC$1001,A19,$Z$2:$Z$1001,"?*")</f>
        <v>5</v>
      </c>
      <c r="F19" s="271" t="s">
        <v>399</v>
      </c>
      <c r="G19" s="272">
        <f t="shared" ref="G19:G24" si="9">SUMIFS($AE$2:$AE$1001,$AA$2:$AA$1001,F19)</f>
        <v>78127</v>
      </c>
      <c r="H19" s="273">
        <f t="shared" ref="H19:H25" si="10">IFERROR(G19/$B$5,0)</f>
        <v>0.43925024383490546</v>
      </c>
      <c r="I19" s="271">
        <f t="shared" ref="I19:I24" si="11">COUNTIFS($AA$2:$AA$1001,F19,$Z$2:$Z$1001,"?*")</f>
        <v>1</v>
      </c>
      <c r="Z19" s="243" t="str">
        <f>Shares!A19</f>
        <v/>
      </c>
      <c r="AA19" s="243" t="str">
        <f>Shares!B19</f>
        <v/>
      </c>
      <c r="AB19" s="243" t="str">
        <f>Shares!C19</f>
        <v/>
      </c>
      <c r="AC19" s="243" t="str">
        <f>Shares!D19</f>
        <v/>
      </c>
      <c r="AD19" s="265">
        <f>IF($Z19="",0,Shares!E19)</f>
        <v>0</v>
      </c>
      <c r="AE19" s="266">
        <f>IF($Z19="",0,Shares!J19*Shares!I19)</f>
        <v>0</v>
      </c>
      <c r="AF19" s="267">
        <f t="shared" si="0"/>
        <v>0</v>
      </c>
      <c r="AG19" s="266">
        <f>IF($Z19="",0,Shares!L19)</f>
        <v>0</v>
      </c>
      <c r="AH19" s="267">
        <f>IF($Z19="",0,Shares!M19)</f>
        <v>0</v>
      </c>
      <c r="AI19" s="243" t="str">
        <f>IF($Z19="","",RANK(AE19,$AE$2:$AE$1001)+COUNTIF($AE$2:AE19,AE19)-1)</f>
        <v/>
      </c>
      <c r="AJ19" s="243" t="str">
        <f>IF($AD19&lt;0,COUNT($AJ$1:AJ18)+1,"")</f>
        <v/>
      </c>
      <c r="AL19" s="243" t="str">
        <f>'All Ticker P&amp;L'!A19</f>
        <v/>
      </c>
      <c r="AM19" s="243" t="str">
        <f>'All Ticker P&amp;L'!B19</f>
        <v/>
      </c>
      <c r="AN19" s="243" t="str">
        <f>'All Ticker P&amp;L'!C19</f>
        <v/>
      </c>
      <c r="AO19" s="243" t="str">
        <f>'All Ticker P&amp;L'!D19</f>
        <v/>
      </c>
      <c r="AP19" s="265">
        <f>IF($AL19="",0,'All Ticker P&amp;L'!E19)</f>
        <v>0</v>
      </c>
      <c r="AQ19" s="266">
        <f>IF($AL19="",0,'All Ticker P&amp;L'!J19*'All Ticker P&amp;L'!I19)</f>
        <v>0</v>
      </c>
      <c r="AR19" s="266">
        <f>IF($AL19="",0,'All Ticker P&amp;L'!L19)</f>
        <v>0</v>
      </c>
      <c r="AS19" s="267">
        <f>IF($AL19="",0,'All Ticker P&amp;L'!M19)</f>
        <v>0</v>
      </c>
      <c r="AT19" s="243" t="str">
        <f>IF($AL19="","",RANK(AR19,$AR$2:$AR$1001)+COUNTIF($AR$2:AR19,AR19)-1)</f>
        <v/>
      </c>
      <c r="AU19" s="243" t="str">
        <f>IF($AL19="","",RANK(AV19,$AV$2:$AV$1001)+COUNTIF($AV$2:AV19,AV19)-1)</f>
        <v/>
      </c>
      <c r="AV19" s="266">
        <f t="shared" si="1"/>
        <v>0</v>
      </c>
    </row>
    <row r="20" spans="1:48" ht="15" customHeight="1" x14ac:dyDescent="0.2">
      <c r="A20" s="271" t="s">
        <v>413</v>
      </c>
      <c r="B20" s="272">
        <f>SUMIFS($AE$2:$AE$1001,$AC$2:$AC$1001,A20)</f>
        <v>8050.3932852926064</v>
      </c>
      <c r="C20" s="273">
        <f>IFERROR(B20/$B$5,0)</f>
        <v>4.5261397641425664E-2</v>
      </c>
      <c r="D20" s="271">
        <f>COUNTIFS($AC$2:$AC$1001,A20,$Z$2:$Z$1001,"?*")</f>
        <v>1</v>
      </c>
      <c r="F20" s="271" t="s">
        <v>411</v>
      </c>
      <c r="G20" s="272">
        <f t="shared" si="9"/>
        <v>8050.3932852926064</v>
      </c>
      <c r="H20" s="273">
        <f t="shared" si="10"/>
        <v>4.5261397641425664E-2</v>
      </c>
      <c r="I20" s="271">
        <f t="shared" si="11"/>
        <v>1</v>
      </c>
      <c r="Z20" s="243" t="str">
        <f>Shares!A20</f>
        <v/>
      </c>
      <c r="AA20" s="243" t="str">
        <f>Shares!B20</f>
        <v/>
      </c>
      <c r="AB20" s="243" t="str">
        <f>Shares!C20</f>
        <v/>
      </c>
      <c r="AC20" s="243" t="str">
        <f>Shares!D20</f>
        <v/>
      </c>
      <c r="AD20" s="265">
        <f>IF($Z20="",0,Shares!E20)</f>
        <v>0</v>
      </c>
      <c r="AE20" s="266">
        <f>IF($Z20="",0,Shares!J20*Shares!I20)</f>
        <v>0</v>
      </c>
      <c r="AF20" s="267">
        <f t="shared" si="0"/>
        <v>0</v>
      </c>
      <c r="AG20" s="266">
        <f>IF($Z20="",0,Shares!L20)</f>
        <v>0</v>
      </c>
      <c r="AH20" s="267">
        <f>IF($Z20="",0,Shares!M20)</f>
        <v>0</v>
      </c>
      <c r="AI20" s="243" t="str">
        <f>IF($Z20="","",RANK(AE20,$AE$2:$AE$1001)+COUNTIF($AE$2:AE20,AE20)-1)</f>
        <v/>
      </c>
      <c r="AJ20" s="243" t="str">
        <f>IF($AD20&lt;0,COUNT($AJ$1:AJ19)+1,"")</f>
        <v/>
      </c>
      <c r="AL20" s="243" t="str">
        <f>'All Ticker P&amp;L'!A20</f>
        <v/>
      </c>
      <c r="AM20" s="243" t="str">
        <f>'All Ticker P&amp;L'!B20</f>
        <v/>
      </c>
      <c r="AN20" s="243" t="str">
        <f>'All Ticker P&amp;L'!C20</f>
        <v/>
      </c>
      <c r="AO20" s="243" t="str">
        <f>'All Ticker P&amp;L'!D20</f>
        <v/>
      </c>
      <c r="AP20" s="265">
        <f>IF($AL20="",0,'All Ticker P&amp;L'!E20)</f>
        <v>0</v>
      </c>
      <c r="AQ20" s="266">
        <f>IF($AL20="",0,'All Ticker P&amp;L'!J20*'All Ticker P&amp;L'!I20)</f>
        <v>0</v>
      </c>
      <c r="AR20" s="266">
        <f>IF($AL20="",0,'All Ticker P&amp;L'!L20)</f>
        <v>0</v>
      </c>
      <c r="AS20" s="267">
        <f>IF($AL20="",0,'All Ticker P&amp;L'!M20)</f>
        <v>0</v>
      </c>
      <c r="AT20" s="243" t="str">
        <f>IF($AL20="","",RANK(AR20,$AR$2:$AR$1001)+COUNTIF($AR$2:AR20,AR20)-1)</f>
        <v/>
      </c>
      <c r="AU20" s="243" t="str">
        <f>IF($AL20="","",RANK(AV20,$AV$2:$AV$1001)+COUNTIF($AV$2:AV20,AV20)-1)</f>
        <v/>
      </c>
      <c r="AV20" s="266">
        <f t="shared" si="1"/>
        <v>0</v>
      </c>
    </row>
    <row r="21" spans="1:48" ht="15" customHeight="1" x14ac:dyDescent="0.2">
      <c r="A21" s="271" t="s">
        <v>407</v>
      </c>
      <c r="B21" s="272">
        <f>SUMIFS($AE$2:$AE$1001,$AC$2:$AC$1001,A21)</f>
        <v>44797.049811896548</v>
      </c>
      <c r="C21" s="273">
        <f>IFERROR(B21/$B$5,0)</f>
        <v>0.25186062504588635</v>
      </c>
      <c r="D21" s="271">
        <f>COUNTIFS($AC$2:$AC$1001,A21,$Z$2:$Z$1001,"?*")</f>
        <v>3</v>
      </c>
      <c r="F21" s="271" t="s">
        <v>492</v>
      </c>
      <c r="G21" s="272">
        <f t="shared" si="9"/>
        <v>0</v>
      </c>
      <c r="H21" s="273">
        <f t="shared" si="10"/>
        <v>0</v>
      </c>
      <c r="I21" s="271">
        <f t="shared" si="11"/>
        <v>0</v>
      </c>
      <c r="Z21" s="243" t="str">
        <f>Shares!A21</f>
        <v/>
      </c>
      <c r="AA21" s="243" t="str">
        <f>Shares!B21</f>
        <v/>
      </c>
      <c r="AB21" s="243" t="str">
        <f>Shares!C21</f>
        <v/>
      </c>
      <c r="AC21" s="243" t="str">
        <f>Shares!D21</f>
        <v/>
      </c>
      <c r="AD21" s="265">
        <f>IF($Z21="",0,Shares!E21)</f>
        <v>0</v>
      </c>
      <c r="AE21" s="266">
        <f>IF($Z21="",0,Shares!J21*Shares!I21)</f>
        <v>0</v>
      </c>
      <c r="AF21" s="267">
        <f t="shared" si="0"/>
        <v>0</v>
      </c>
      <c r="AG21" s="266">
        <f>IF($Z21="",0,Shares!L21)</f>
        <v>0</v>
      </c>
      <c r="AH21" s="267">
        <f>IF($Z21="",0,Shares!M21)</f>
        <v>0</v>
      </c>
      <c r="AI21" s="243" t="str">
        <f>IF($Z21="","",RANK(AE21,$AE$2:$AE$1001)+COUNTIF($AE$2:AE21,AE21)-1)</f>
        <v/>
      </c>
      <c r="AJ21" s="243" t="str">
        <f>IF($AD21&lt;0,COUNT($AJ$1:AJ20)+1,"")</f>
        <v/>
      </c>
      <c r="AL21" s="243" t="str">
        <f>'All Ticker P&amp;L'!A21</f>
        <v/>
      </c>
      <c r="AM21" s="243" t="str">
        <f>'All Ticker P&amp;L'!B21</f>
        <v/>
      </c>
      <c r="AN21" s="243" t="str">
        <f>'All Ticker P&amp;L'!C21</f>
        <v/>
      </c>
      <c r="AO21" s="243" t="str">
        <f>'All Ticker P&amp;L'!D21</f>
        <v/>
      </c>
      <c r="AP21" s="265">
        <f>IF($AL21="",0,'All Ticker P&amp;L'!E21)</f>
        <v>0</v>
      </c>
      <c r="AQ21" s="266">
        <f>IF($AL21="",0,'All Ticker P&amp;L'!J21*'All Ticker P&amp;L'!I21)</f>
        <v>0</v>
      </c>
      <c r="AR21" s="266">
        <f>IF($AL21="",0,'All Ticker P&amp;L'!L21)</f>
        <v>0</v>
      </c>
      <c r="AS21" s="267">
        <f>IF($AL21="",0,'All Ticker P&amp;L'!M21)</f>
        <v>0</v>
      </c>
      <c r="AT21" s="243" t="str">
        <f>IF($AL21="","",RANK(AR21,$AR$2:$AR$1001)+COUNTIF($AR$2:AR21,AR21)-1)</f>
        <v/>
      </c>
      <c r="AU21" s="243" t="str">
        <f>IF($AL21="","",RANK(AV21,$AV$2:$AV$1001)+COUNTIF($AV$2:AV21,AV21)-1)</f>
        <v/>
      </c>
      <c r="AV21" s="266">
        <f t="shared" si="1"/>
        <v>0</v>
      </c>
    </row>
    <row r="22" spans="1:48" ht="15" customHeight="1" x14ac:dyDescent="0.2">
      <c r="A22" s="271" t="s">
        <v>493</v>
      </c>
      <c r="B22" s="272">
        <f>$B$5-SUM(B19:B21)</f>
        <v>0</v>
      </c>
      <c r="C22" s="273">
        <f>IFERROR(B22/$B$5,0)</f>
        <v>0</v>
      </c>
      <c r="D22" s="271">
        <f>$B$4-SUM(D19:D21)</f>
        <v>0</v>
      </c>
      <c r="F22" s="271" t="s">
        <v>403</v>
      </c>
      <c r="G22" s="272">
        <f t="shared" si="9"/>
        <v>46890</v>
      </c>
      <c r="H22" s="273">
        <f t="shared" si="10"/>
        <v>0.26362773347778251</v>
      </c>
      <c r="I22" s="271">
        <f t="shared" si="11"/>
        <v>4</v>
      </c>
      <c r="Z22" s="243" t="str">
        <f>Shares!A22</f>
        <v/>
      </c>
      <c r="AA22" s="243" t="str">
        <f>Shares!B22</f>
        <v/>
      </c>
      <c r="AB22" s="243" t="str">
        <f>Shares!C22</f>
        <v/>
      </c>
      <c r="AC22" s="243" t="str">
        <f>Shares!D22</f>
        <v/>
      </c>
      <c r="AD22" s="265">
        <f>IF($Z22="",0,Shares!E22)</f>
        <v>0</v>
      </c>
      <c r="AE22" s="266">
        <f>IF($Z22="",0,Shares!J22*Shares!I22)</f>
        <v>0</v>
      </c>
      <c r="AF22" s="267">
        <f t="shared" si="0"/>
        <v>0</v>
      </c>
      <c r="AG22" s="266">
        <f>IF($Z22="",0,Shares!L22)</f>
        <v>0</v>
      </c>
      <c r="AH22" s="267">
        <f>IF($Z22="",0,Shares!M22)</f>
        <v>0</v>
      </c>
      <c r="AI22" s="243" t="str">
        <f>IF($Z22="","",RANK(AE22,$AE$2:$AE$1001)+COUNTIF($AE$2:AE22,AE22)-1)</f>
        <v/>
      </c>
      <c r="AJ22" s="243" t="str">
        <f>IF($AD22&lt;0,COUNT($AJ$1:AJ21)+1,"")</f>
        <v/>
      </c>
      <c r="AL22" s="243" t="str">
        <f>'All Ticker P&amp;L'!A22</f>
        <v/>
      </c>
      <c r="AM22" s="243" t="str">
        <f>'All Ticker P&amp;L'!B22</f>
        <v/>
      </c>
      <c r="AN22" s="243" t="str">
        <f>'All Ticker P&amp;L'!C22</f>
        <v/>
      </c>
      <c r="AO22" s="243" t="str">
        <f>'All Ticker P&amp;L'!D22</f>
        <v/>
      </c>
      <c r="AP22" s="265">
        <f>IF($AL22="",0,'All Ticker P&amp;L'!E22)</f>
        <v>0</v>
      </c>
      <c r="AQ22" s="266">
        <f>IF($AL22="",0,'All Ticker P&amp;L'!J22*'All Ticker P&amp;L'!I22)</f>
        <v>0</v>
      </c>
      <c r="AR22" s="266">
        <f>IF($AL22="",0,'All Ticker P&amp;L'!L22)</f>
        <v>0</v>
      </c>
      <c r="AS22" s="267">
        <f>IF($AL22="",0,'All Ticker P&amp;L'!M22)</f>
        <v>0</v>
      </c>
      <c r="AT22" s="243" t="str">
        <f>IF($AL22="","",RANK(AR22,$AR$2:$AR$1001)+COUNTIF($AR$2:AR22,AR22)-1)</f>
        <v/>
      </c>
      <c r="AU22" s="243" t="str">
        <f>IF($AL22="","",RANK(AV22,$AV$2:$AV$1001)+COUNTIF($AV$2:AV22,AV22)-1)</f>
        <v/>
      </c>
      <c r="AV22" s="266">
        <f t="shared" si="1"/>
        <v>0</v>
      </c>
    </row>
    <row r="23" spans="1:48" ht="15" customHeight="1" x14ac:dyDescent="0.2">
      <c r="F23" s="271" t="s">
        <v>405</v>
      </c>
      <c r="G23" s="272">
        <f t="shared" si="9"/>
        <v>31544.517847216026</v>
      </c>
      <c r="H23" s="273">
        <f t="shared" si="10"/>
        <v>0.17735145540010708</v>
      </c>
      <c r="I23" s="271">
        <f t="shared" si="11"/>
        <v>2</v>
      </c>
      <c r="Z23" s="243" t="str">
        <f>Shares!A23</f>
        <v/>
      </c>
      <c r="AA23" s="243" t="str">
        <f>Shares!B23</f>
        <v/>
      </c>
      <c r="AB23" s="243" t="str">
        <f>Shares!C23</f>
        <v/>
      </c>
      <c r="AC23" s="243" t="str">
        <f>Shares!D23</f>
        <v/>
      </c>
      <c r="AD23" s="265">
        <f>IF($Z23="",0,Shares!E23)</f>
        <v>0</v>
      </c>
      <c r="AE23" s="266">
        <f>IF($Z23="",0,Shares!J23*Shares!I23)</f>
        <v>0</v>
      </c>
      <c r="AF23" s="267">
        <f t="shared" si="0"/>
        <v>0</v>
      </c>
      <c r="AG23" s="266">
        <f>IF($Z23="",0,Shares!L23)</f>
        <v>0</v>
      </c>
      <c r="AH23" s="267">
        <f>IF($Z23="",0,Shares!M23)</f>
        <v>0</v>
      </c>
      <c r="AI23" s="243" t="str">
        <f>IF($Z23="","",RANK(AE23,$AE$2:$AE$1001)+COUNTIF($AE$2:AE23,AE23)-1)</f>
        <v/>
      </c>
      <c r="AJ23" s="243" t="str">
        <f>IF($AD23&lt;0,COUNT($AJ$1:AJ22)+1,"")</f>
        <v/>
      </c>
      <c r="AL23" s="243" t="str">
        <f>'All Ticker P&amp;L'!A23</f>
        <v/>
      </c>
      <c r="AM23" s="243" t="str">
        <f>'All Ticker P&amp;L'!B23</f>
        <v/>
      </c>
      <c r="AN23" s="243" t="str">
        <f>'All Ticker P&amp;L'!C23</f>
        <v/>
      </c>
      <c r="AO23" s="243" t="str">
        <f>'All Ticker P&amp;L'!D23</f>
        <v/>
      </c>
      <c r="AP23" s="265">
        <f>IF($AL23="",0,'All Ticker P&amp;L'!E23)</f>
        <v>0</v>
      </c>
      <c r="AQ23" s="266">
        <f>IF($AL23="",0,'All Ticker P&amp;L'!J23*'All Ticker P&amp;L'!I23)</f>
        <v>0</v>
      </c>
      <c r="AR23" s="266">
        <f>IF($AL23="",0,'All Ticker P&amp;L'!L23)</f>
        <v>0</v>
      </c>
      <c r="AS23" s="267">
        <f>IF($AL23="",0,'All Ticker P&amp;L'!M23)</f>
        <v>0</v>
      </c>
      <c r="AT23" s="243" t="str">
        <f>IF($AL23="","",RANK(AR23,$AR$2:$AR$1001)+COUNTIF($AR$2:AR23,AR23)-1)</f>
        <v/>
      </c>
      <c r="AU23" s="243" t="str">
        <f>IF($AL23="","",RANK(AV23,$AV$2:$AV$1001)+COUNTIF($AV$2:AV23,AV23)-1)</f>
        <v/>
      </c>
      <c r="AV23" s="266">
        <f t="shared" si="1"/>
        <v>0</v>
      </c>
    </row>
    <row r="24" spans="1:48" ht="15" customHeight="1" x14ac:dyDescent="0.2">
      <c r="F24" s="271" t="s">
        <v>409</v>
      </c>
      <c r="G24" s="272">
        <f t="shared" si="9"/>
        <v>13252.53196468052</v>
      </c>
      <c r="H24" s="273">
        <f t="shared" si="10"/>
        <v>7.4509169645779263E-2</v>
      </c>
      <c r="I24" s="271">
        <f t="shared" si="11"/>
        <v>1</v>
      </c>
      <c r="Z24" s="243" t="str">
        <f>Shares!A24</f>
        <v/>
      </c>
      <c r="AA24" s="243" t="str">
        <f>Shares!B24</f>
        <v/>
      </c>
      <c r="AB24" s="243" t="str">
        <f>Shares!C24</f>
        <v/>
      </c>
      <c r="AC24" s="243" t="str">
        <f>Shares!D24</f>
        <v/>
      </c>
      <c r="AD24" s="265">
        <f>IF($Z24="",0,Shares!E24)</f>
        <v>0</v>
      </c>
      <c r="AE24" s="266">
        <f>IF($Z24="",0,Shares!J24*Shares!I24)</f>
        <v>0</v>
      </c>
      <c r="AF24" s="267">
        <f t="shared" si="0"/>
        <v>0</v>
      </c>
      <c r="AG24" s="266">
        <f>IF($Z24="",0,Shares!L24)</f>
        <v>0</v>
      </c>
      <c r="AH24" s="267">
        <f>IF($Z24="",0,Shares!M24)</f>
        <v>0</v>
      </c>
      <c r="AI24" s="243" t="str">
        <f>IF($Z24="","",RANK(AE24,$AE$2:$AE$1001)+COUNTIF($AE$2:AE24,AE24)-1)</f>
        <v/>
      </c>
      <c r="AJ24" s="243" t="str">
        <f>IF($AD24&lt;0,COUNT($AJ$1:AJ23)+1,"")</f>
        <v/>
      </c>
      <c r="AL24" s="243" t="str">
        <f>'All Ticker P&amp;L'!A24</f>
        <v/>
      </c>
      <c r="AM24" s="243" t="str">
        <f>'All Ticker P&amp;L'!B24</f>
        <v/>
      </c>
      <c r="AN24" s="243" t="str">
        <f>'All Ticker P&amp;L'!C24</f>
        <v/>
      </c>
      <c r="AO24" s="243" t="str">
        <f>'All Ticker P&amp;L'!D24</f>
        <v/>
      </c>
      <c r="AP24" s="265">
        <f>IF($AL24="",0,'All Ticker P&amp;L'!E24)</f>
        <v>0</v>
      </c>
      <c r="AQ24" s="266">
        <f>IF($AL24="",0,'All Ticker P&amp;L'!J24*'All Ticker P&amp;L'!I24)</f>
        <v>0</v>
      </c>
      <c r="AR24" s="266">
        <f>IF($AL24="",0,'All Ticker P&amp;L'!L24)</f>
        <v>0</v>
      </c>
      <c r="AS24" s="267">
        <f>IF($AL24="",0,'All Ticker P&amp;L'!M24)</f>
        <v>0</v>
      </c>
      <c r="AT24" s="243" t="str">
        <f>IF($AL24="","",RANK(AR24,$AR$2:$AR$1001)+COUNTIF($AR$2:AR24,AR24)-1)</f>
        <v/>
      </c>
      <c r="AU24" s="243" t="str">
        <f>IF($AL24="","",RANK(AV24,$AV$2:$AV$1001)+COUNTIF($AV$2:AV24,AV24)-1)</f>
        <v/>
      </c>
      <c r="AV24" s="266">
        <f t="shared" si="1"/>
        <v>0</v>
      </c>
    </row>
    <row r="25" spans="1:48" ht="15" customHeight="1" x14ac:dyDescent="0.2">
      <c r="F25" s="271" t="s">
        <v>493</v>
      </c>
      <c r="G25" s="272">
        <f>$B$5-SUM(G19:G24)</f>
        <v>0</v>
      </c>
      <c r="H25" s="273">
        <f t="shared" si="10"/>
        <v>0</v>
      </c>
      <c r="I25" s="271">
        <f>$B$4-SUM(I19:I24)</f>
        <v>0</v>
      </c>
      <c r="Z25" s="243" t="str">
        <f>Shares!A25</f>
        <v/>
      </c>
      <c r="AA25" s="243" t="str">
        <f>Shares!B25</f>
        <v/>
      </c>
      <c r="AB25" s="243" t="str">
        <f>Shares!C25</f>
        <v/>
      </c>
      <c r="AC25" s="243" t="str">
        <f>Shares!D25</f>
        <v/>
      </c>
      <c r="AD25" s="265">
        <f>IF($Z25="",0,Shares!E25)</f>
        <v>0</v>
      </c>
      <c r="AE25" s="266">
        <f>IF($Z25="",0,Shares!J25*Shares!I25)</f>
        <v>0</v>
      </c>
      <c r="AF25" s="267">
        <f t="shared" si="0"/>
        <v>0</v>
      </c>
      <c r="AG25" s="266">
        <f>IF($Z25="",0,Shares!L25)</f>
        <v>0</v>
      </c>
      <c r="AH25" s="267">
        <f>IF($Z25="",0,Shares!M25)</f>
        <v>0</v>
      </c>
      <c r="AI25" s="243" t="str">
        <f>IF($Z25="","",RANK(AE25,$AE$2:$AE$1001)+COUNTIF($AE$2:AE25,AE25)-1)</f>
        <v/>
      </c>
      <c r="AJ25" s="243" t="str">
        <f>IF($AD25&lt;0,COUNT($AJ$1:AJ24)+1,"")</f>
        <v/>
      </c>
      <c r="AL25" s="243" t="str">
        <f>'All Ticker P&amp;L'!A25</f>
        <v/>
      </c>
      <c r="AM25" s="243" t="str">
        <f>'All Ticker P&amp;L'!B25</f>
        <v/>
      </c>
      <c r="AN25" s="243" t="str">
        <f>'All Ticker P&amp;L'!C25</f>
        <v/>
      </c>
      <c r="AO25" s="243" t="str">
        <f>'All Ticker P&amp;L'!D25</f>
        <v/>
      </c>
      <c r="AP25" s="265">
        <f>IF($AL25="",0,'All Ticker P&amp;L'!E25)</f>
        <v>0</v>
      </c>
      <c r="AQ25" s="266">
        <f>IF($AL25="",0,'All Ticker P&amp;L'!J25*'All Ticker P&amp;L'!I25)</f>
        <v>0</v>
      </c>
      <c r="AR25" s="266">
        <f>IF($AL25="",0,'All Ticker P&amp;L'!L25)</f>
        <v>0</v>
      </c>
      <c r="AS25" s="267">
        <f>IF($AL25="",0,'All Ticker P&amp;L'!M25)</f>
        <v>0</v>
      </c>
      <c r="AT25" s="243" t="str">
        <f>IF($AL25="","",RANK(AR25,$AR$2:$AR$1001)+COUNTIF($AR$2:AR25,AR25)-1)</f>
        <v/>
      </c>
      <c r="AU25" s="243" t="str">
        <f>IF($AL25="","",RANK(AV25,$AV$2:$AV$1001)+COUNTIF($AV$2:AV25,AV25)-1)</f>
        <v/>
      </c>
      <c r="AV25" s="266">
        <f t="shared" si="1"/>
        <v>0</v>
      </c>
    </row>
    <row r="26" spans="1:48" ht="15" customHeight="1" x14ac:dyDescent="0.2">
      <c r="Z26" s="243" t="str">
        <f>Shares!A26</f>
        <v/>
      </c>
      <c r="AA26" s="243" t="str">
        <f>Shares!B26</f>
        <v/>
      </c>
      <c r="AB26" s="243" t="str">
        <f>Shares!C26</f>
        <v/>
      </c>
      <c r="AC26" s="243" t="str">
        <f>Shares!D26</f>
        <v/>
      </c>
      <c r="AD26" s="265">
        <f>IF($Z26="",0,Shares!E26)</f>
        <v>0</v>
      </c>
      <c r="AE26" s="266">
        <f>IF($Z26="",0,Shares!J26*Shares!I26)</f>
        <v>0</v>
      </c>
      <c r="AF26" s="267">
        <f t="shared" si="0"/>
        <v>0</v>
      </c>
      <c r="AG26" s="266">
        <f>IF($Z26="",0,Shares!L26)</f>
        <v>0</v>
      </c>
      <c r="AH26" s="267">
        <f>IF($Z26="",0,Shares!M26)</f>
        <v>0</v>
      </c>
      <c r="AI26" s="243" t="str">
        <f>IF($Z26="","",RANK(AE26,$AE$2:$AE$1001)+COUNTIF($AE$2:AE26,AE26)-1)</f>
        <v/>
      </c>
      <c r="AJ26" s="243" t="str">
        <f>IF($AD26&lt;0,COUNT($AJ$1:AJ25)+1,"")</f>
        <v/>
      </c>
      <c r="AL26" s="243" t="str">
        <f>'All Ticker P&amp;L'!A26</f>
        <v/>
      </c>
      <c r="AM26" s="243" t="str">
        <f>'All Ticker P&amp;L'!B26</f>
        <v/>
      </c>
      <c r="AN26" s="243" t="str">
        <f>'All Ticker P&amp;L'!C26</f>
        <v/>
      </c>
      <c r="AO26" s="243" t="str">
        <f>'All Ticker P&amp;L'!D26</f>
        <v/>
      </c>
      <c r="AP26" s="265">
        <f>IF($AL26="",0,'All Ticker P&amp;L'!E26)</f>
        <v>0</v>
      </c>
      <c r="AQ26" s="266">
        <f>IF($AL26="",0,'All Ticker P&amp;L'!J26*'All Ticker P&amp;L'!I26)</f>
        <v>0</v>
      </c>
      <c r="AR26" s="266">
        <f>IF($AL26="",0,'All Ticker P&amp;L'!L26)</f>
        <v>0</v>
      </c>
      <c r="AS26" s="267">
        <f>IF($AL26="",0,'All Ticker P&amp;L'!M26)</f>
        <v>0</v>
      </c>
      <c r="AT26" s="243" t="str">
        <f>IF($AL26="","",RANK(AR26,$AR$2:$AR$1001)+COUNTIF($AR$2:AR26,AR26)-1)</f>
        <v/>
      </c>
      <c r="AU26" s="243" t="str">
        <f>IF($AL26="","",RANK(AV26,$AV$2:$AV$1001)+COUNTIF($AV$2:AV26,AV26)-1)</f>
        <v/>
      </c>
      <c r="AV26" s="266">
        <f t="shared" si="1"/>
        <v>0</v>
      </c>
    </row>
    <row r="27" spans="1:48" ht="15" customHeight="1" x14ac:dyDescent="0.2">
      <c r="Z27" s="243" t="str">
        <f>Shares!A27</f>
        <v/>
      </c>
      <c r="AA27" s="243" t="str">
        <f>Shares!B27</f>
        <v/>
      </c>
      <c r="AB27" s="243" t="str">
        <f>Shares!C27</f>
        <v/>
      </c>
      <c r="AC27" s="243" t="str">
        <f>Shares!D27</f>
        <v/>
      </c>
      <c r="AD27" s="265">
        <f>IF($Z27="",0,Shares!E27)</f>
        <v>0</v>
      </c>
      <c r="AE27" s="266">
        <f>IF($Z27="",0,Shares!J27*Shares!I27)</f>
        <v>0</v>
      </c>
      <c r="AF27" s="267">
        <f t="shared" si="0"/>
        <v>0</v>
      </c>
      <c r="AG27" s="266">
        <f>IF($Z27="",0,Shares!L27)</f>
        <v>0</v>
      </c>
      <c r="AH27" s="267">
        <f>IF($Z27="",0,Shares!M27)</f>
        <v>0</v>
      </c>
      <c r="AI27" s="243" t="str">
        <f>IF($Z27="","",RANK(AE27,$AE$2:$AE$1001)+COUNTIF($AE$2:AE27,AE27)-1)</f>
        <v/>
      </c>
      <c r="AJ27" s="243" t="str">
        <f>IF($AD27&lt;0,COUNT($AJ$1:AJ26)+1,"")</f>
        <v/>
      </c>
      <c r="AL27" s="243" t="str">
        <f>'All Ticker P&amp;L'!A27</f>
        <v/>
      </c>
      <c r="AM27" s="243" t="str">
        <f>'All Ticker P&amp;L'!B27</f>
        <v/>
      </c>
      <c r="AN27" s="243" t="str">
        <f>'All Ticker P&amp;L'!C27</f>
        <v/>
      </c>
      <c r="AO27" s="243" t="str">
        <f>'All Ticker P&amp;L'!D27</f>
        <v/>
      </c>
      <c r="AP27" s="265">
        <f>IF($AL27="",0,'All Ticker P&amp;L'!E27)</f>
        <v>0</v>
      </c>
      <c r="AQ27" s="266">
        <f>IF($AL27="",0,'All Ticker P&amp;L'!J27*'All Ticker P&amp;L'!I27)</f>
        <v>0</v>
      </c>
      <c r="AR27" s="266">
        <f>IF($AL27="",0,'All Ticker P&amp;L'!L27)</f>
        <v>0</v>
      </c>
      <c r="AS27" s="267">
        <f>IF($AL27="",0,'All Ticker P&amp;L'!M27)</f>
        <v>0</v>
      </c>
      <c r="AT27" s="243" t="str">
        <f>IF($AL27="","",RANK(AR27,$AR$2:$AR$1001)+COUNTIF($AR$2:AR27,AR27)-1)</f>
        <v/>
      </c>
      <c r="AU27" s="243" t="str">
        <f>IF($AL27="","",RANK(AV27,$AV$2:$AV$1001)+COUNTIF($AV$2:AV27,AV27)-1)</f>
        <v/>
      </c>
      <c r="AV27" s="266">
        <f t="shared" si="1"/>
        <v>0</v>
      </c>
    </row>
    <row r="28" spans="1:48" ht="15" customHeight="1" x14ac:dyDescent="0.2">
      <c r="Z28" s="243" t="str">
        <f>Shares!A28</f>
        <v/>
      </c>
      <c r="AA28" s="243" t="str">
        <f>Shares!B28</f>
        <v/>
      </c>
      <c r="AB28" s="243" t="str">
        <f>Shares!C28</f>
        <v/>
      </c>
      <c r="AC28" s="243" t="str">
        <f>Shares!D28</f>
        <v/>
      </c>
      <c r="AD28" s="265">
        <f>IF($Z28="",0,Shares!E28)</f>
        <v>0</v>
      </c>
      <c r="AE28" s="266">
        <f>IF($Z28="",0,Shares!J28*Shares!I28)</f>
        <v>0</v>
      </c>
      <c r="AF28" s="267">
        <f t="shared" si="0"/>
        <v>0</v>
      </c>
      <c r="AG28" s="266">
        <f>IF($Z28="",0,Shares!L28)</f>
        <v>0</v>
      </c>
      <c r="AH28" s="267">
        <f>IF($Z28="",0,Shares!M28)</f>
        <v>0</v>
      </c>
      <c r="AI28" s="243" t="str">
        <f>IF($Z28="","",RANK(AE28,$AE$2:$AE$1001)+COUNTIF($AE$2:AE28,AE28)-1)</f>
        <v/>
      </c>
      <c r="AJ28" s="243" t="str">
        <f>IF($AD28&lt;0,COUNT($AJ$1:AJ27)+1,"")</f>
        <v/>
      </c>
      <c r="AL28" s="243" t="str">
        <f>'All Ticker P&amp;L'!A28</f>
        <v/>
      </c>
      <c r="AM28" s="243" t="str">
        <f>'All Ticker P&amp;L'!B28</f>
        <v/>
      </c>
      <c r="AN28" s="243" t="str">
        <f>'All Ticker P&amp;L'!C28</f>
        <v/>
      </c>
      <c r="AO28" s="243" t="str">
        <f>'All Ticker P&amp;L'!D28</f>
        <v/>
      </c>
      <c r="AP28" s="265">
        <f>IF($AL28="",0,'All Ticker P&amp;L'!E28)</f>
        <v>0</v>
      </c>
      <c r="AQ28" s="266">
        <f>IF($AL28="",0,'All Ticker P&amp;L'!J28*'All Ticker P&amp;L'!I28)</f>
        <v>0</v>
      </c>
      <c r="AR28" s="266">
        <f>IF($AL28="",0,'All Ticker P&amp;L'!L28)</f>
        <v>0</v>
      </c>
      <c r="AS28" s="267">
        <f>IF($AL28="",0,'All Ticker P&amp;L'!M28)</f>
        <v>0</v>
      </c>
      <c r="AT28" s="243" t="str">
        <f>IF($AL28="","",RANK(AR28,$AR$2:$AR$1001)+COUNTIF($AR$2:AR28,AR28)-1)</f>
        <v/>
      </c>
      <c r="AU28" s="243" t="str">
        <f>IF($AL28="","",RANK(AV28,$AV$2:$AV$1001)+COUNTIF($AV$2:AV28,AV28)-1)</f>
        <v/>
      </c>
      <c r="AV28" s="266">
        <f t="shared" si="1"/>
        <v>0</v>
      </c>
    </row>
    <row r="29" spans="1:48" ht="15" customHeight="1" x14ac:dyDescent="0.2">
      <c r="Z29" s="243" t="str">
        <f>Shares!A29</f>
        <v/>
      </c>
      <c r="AA29" s="243" t="str">
        <f>Shares!B29</f>
        <v/>
      </c>
      <c r="AB29" s="243" t="str">
        <f>Shares!C29</f>
        <v/>
      </c>
      <c r="AC29" s="243" t="str">
        <f>Shares!D29</f>
        <v/>
      </c>
      <c r="AD29" s="265">
        <f>IF($Z29="",0,Shares!E29)</f>
        <v>0</v>
      </c>
      <c r="AE29" s="266">
        <f>IF($Z29="",0,Shares!J29*Shares!I29)</f>
        <v>0</v>
      </c>
      <c r="AF29" s="267">
        <f t="shared" si="0"/>
        <v>0</v>
      </c>
      <c r="AG29" s="266">
        <f>IF($Z29="",0,Shares!L29)</f>
        <v>0</v>
      </c>
      <c r="AH29" s="267">
        <f>IF($Z29="",0,Shares!M29)</f>
        <v>0</v>
      </c>
      <c r="AI29" s="243" t="str">
        <f>IF($Z29="","",RANK(AE29,$AE$2:$AE$1001)+COUNTIF($AE$2:AE29,AE29)-1)</f>
        <v/>
      </c>
      <c r="AJ29" s="243" t="str">
        <f>IF($AD29&lt;0,COUNT($AJ$1:AJ28)+1,"")</f>
        <v/>
      </c>
      <c r="AL29" s="243" t="str">
        <f>'All Ticker P&amp;L'!A29</f>
        <v/>
      </c>
      <c r="AM29" s="243" t="str">
        <f>'All Ticker P&amp;L'!B29</f>
        <v/>
      </c>
      <c r="AN29" s="243" t="str">
        <f>'All Ticker P&amp;L'!C29</f>
        <v/>
      </c>
      <c r="AO29" s="243" t="str">
        <f>'All Ticker P&amp;L'!D29</f>
        <v/>
      </c>
      <c r="AP29" s="265">
        <f>IF($AL29="",0,'All Ticker P&amp;L'!E29)</f>
        <v>0</v>
      </c>
      <c r="AQ29" s="266">
        <f>IF($AL29="",0,'All Ticker P&amp;L'!J29*'All Ticker P&amp;L'!I29)</f>
        <v>0</v>
      </c>
      <c r="AR29" s="266">
        <f>IF($AL29="",0,'All Ticker P&amp;L'!L29)</f>
        <v>0</v>
      </c>
      <c r="AS29" s="267">
        <f>IF($AL29="",0,'All Ticker P&amp;L'!M29)</f>
        <v>0</v>
      </c>
      <c r="AT29" s="243" t="str">
        <f>IF($AL29="","",RANK(AR29,$AR$2:$AR$1001)+COUNTIF($AR$2:AR29,AR29)-1)</f>
        <v/>
      </c>
      <c r="AU29" s="243" t="str">
        <f>IF($AL29="","",RANK(AV29,$AV$2:$AV$1001)+COUNTIF($AV$2:AV29,AV29)-1)</f>
        <v/>
      </c>
      <c r="AV29" s="266">
        <f t="shared" si="1"/>
        <v>0</v>
      </c>
    </row>
    <row r="30" spans="1:48" ht="15" customHeight="1" x14ac:dyDescent="0.2">
      <c r="Z30" s="243" t="str">
        <f>Shares!A30</f>
        <v/>
      </c>
      <c r="AA30" s="243" t="str">
        <f>Shares!B30</f>
        <v/>
      </c>
      <c r="AB30" s="243" t="str">
        <f>Shares!C30</f>
        <v/>
      </c>
      <c r="AC30" s="243" t="str">
        <f>Shares!D30</f>
        <v/>
      </c>
      <c r="AD30" s="265">
        <f>IF($Z30="",0,Shares!E30)</f>
        <v>0</v>
      </c>
      <c r="AE30" s="266">
        <f>IF($Z30="",0,Shares!J30*Shares!I30)</f>
        <v>0</v>
      </c>
      <c r="AF30" s="267">
        <f t="shared" si="0"/>
        <v>0</v>
      </c>
      <c r="AG30" s="266">
        <f>IF($Z30="",0,Shares!L30)</f>
        <v>0</v>
      </c>
      <c r="AH30" s="267">
        <f>IF($Z30="",0,Shares!M30)</f>
        <v>0</v>
      </c>
      <c r="AI30" s="243" t="str">
        <f>IF($Z30="","",RANK(AE30,$AE$2:$AE$1001)+COUNTIF($AE$2:AE30,AE30)-1)</f>
        <v/>
      </c>
      <c r="AJ30" s="243" t="str">
        <f>IF($AD30&lt;0,COUNT($AJ$1:AJ29)+1,"")</f>
        <v/>
      </c>
      <c r="AL30" s="243" t="str">
        <f>'All Ticker P&amp;L'!A30</f>
        <v/>
      </c>
      <c r="AM30" s="243" t="str">
        <f>'All Ticker P&amp;L'!B30</f>
        <v/>
      </c>
      <c r="AN30" s="243" t="str">
        <f>'All Ticker P&amp;L'!C30</f>
        <v/>
      </c>
      <c r="AO30" s="243" t="str">
        <f>'All Ticker P&amp;L'!D30</f>
        <v/>
      </c>
      <c r="AP30" s="265">
        <f>IF($AL30="",0,'All Ticker P&amp;L'!E30)</f>
        <v>0</v>
      </c>
      <c r="AQ30" s="266">
        <f>IF($AL30="",0,'All Ticker P&amp;L'!J30*'All Ticker P&amp;L'!I30)</f>
        <v>0</v>
      </c>
      <c r="AR30" s="266">
        <f>IF($AL30="",0,'All Ticker P&amp;L'!L30)</f>
        <v>0</v>
      </c>
      <c r="AS30" s="267">
        <f>IF($AL30="",0,'All Ticker P&amp;L'!M30)</f>
        <v>0</v>
      </c>
      <c r="AT30" s="243" t="str">
        <f>IF($AL30="","",RANK(AR30,$AR$2:$AR$1001)+COUNTIF($AR$2:AR30,AR30)-1)</f>
        <v/>
      </c>
      <c r="AU30" s="243" t="str">
        <f>IF($AL30="","",RANK(AV30,$AV$2:$AV$1001)+COUNTIF($AV$2:AV30,AV30)-1)</f>
        <v/>
      </c>
      <c r="AV30" s="266">
        <f t="shared" si="1"/>
        <v>0</v>
      </c>
    </row>
    <row r="31" spans="1:48" ht="15" customHeight="1" x14ac:dyDescent="0.2">
      <c r="Z31" s="243" t="str">
        <f>Shares!A31</f>
        <v/>
      </c>
      <c r="AA31" s="243" t="str">
        <f>Shares!B31</f>
        <v/>
      </c>
      <c r="AB31" s="243" t="str">
        <f>Shares!C31</f>
        <v/>
      </c>
      <c r="AC31" s="243" t="str">
        <f>Shares!D31</f>
        <v/>
      </c>
      <c r="AD31" s="265">
        <f>IF($Z31="",0,Shares!E31)</f>
        <v>0</v>
      </c>
      <c r="AE31" s="266">
        <f>IF($Z31="",0,Shares!J31*Shares!I31)</f>
        <v>0</v>
      </c>
      <c r="AF31" s="267">
        <f t="shared" si="0"/>
        <v>0</v>
      </c>
      <c r="AG31" s="266">
        <f>IF($Z31="",0,Shares!L31)</f>
        <v>0</v>
      </c>
      <c r="AH31" s="267">
        <f>IF($Z31="",0,Shares!M31)</f>
        <v>0</v>
      </c>
      <c r="AI31" s="243" t="str">
        <f>IF($Z31="","",RANK(AE31,$AE$2:$AE$1001)+COUNTIF($AE$2:AE31,AE31)-1)</f>
        <v/>
      </c>
      <c r="AJ31" s="243" t="str">
        <f>IF($AD31&lt;0,COUNT($AJ$1:AJ30)+1,"")</f>
        <v/>
      </c>
      <c r="AL31" s="243" t="str">
        <f>'All Ticker P&amp;L'!A31</f>
        <v/>
      </c>
      <c r="AM31" s="243" t="str">
        <f>'All Ticker P&amp;L'!B31</f>
        <v/>
      </c>
      <c r="AN31" s="243" t="str">
        <f>'All Ticker P&amp;L'!C31</f>
        <v/>
      </c>
      <c r="AO31" s="243" t="str">
        <f>'All Ticker P&amp;L'!D31</f>
        <v/>
      </c>
      <c r="AP31" s="265">
        <f>IF($AL31="",0,'All Ticker P&amp;L'!E31)</f>
        <v>0</v>
      </c>
      <c r="AQ31" s="266">
        <f>IF($AL31="",0,'All Ticker P&amp;L'!J31*'All Ticker P&amp;L'!I31)</f>
        <v>0</v>
      </c>
      <c r="AR31" s="266">
        <f>IF($AL31="",0,'All Ticker P&amp;L'!L31)</f>
        <v>0</v>
      </c>
      <c r="AS31" s="267">
        <f>IF($AL31="",0,'All Ticker P&amp;L'!M31)</f>
        <v>0</v>
      </c>
      <c r="AT31" s="243" t="str">
        <f>IF($AL31="","",RANK(AR31,$AR$2:$AR$1001)+COUNTIF($AR$2:AR31,AR31)-1)</f>
        <v/>
      </c>
      <c r="AU31" s="243" t="str">
        <f>IF($AL31="","",RANK(AV31,$AV$2:$AV$1001)+COUNTIF($AV$2:AV31,AV31)-1)</f>
        <v/>
      </c>
      <c r="AV31" s="266">
        <f t="shared" si="1"/>
        <v>0</v>
      </c>
    </row>
    <row r="32" spans="1:48" ht="15" customHeight="1" x14ac:dyDescent="0.2">
      <c r="Z32" s="243" t="str">
        <f>Shares!A32</f>
        <v/>
      </c>
      <c r="AA32" s="243" t="str">
        <f>Shares!B32</f>
        <v/>
      </c>
      <c r="AB32" s="243" t="str">
        <f>Shares!C32</f>
        <v/>
      </c>
      <c r="AC32" s="243" t="str">
        <f>Shares!D32</f>
        <v/>
      </c>
      <c r="AD32" s="265">
        <f>IF($Z32="",0,Shares!E32)</f>
        <v>0</v>
      </c>
      <c r="AE32" s="266">
        <f>IF($Z32="",0,Shares!J32*Shares!I32)</f>
        <v>0</v>
      </c>
      <c r="AF32" s="267">
        <f t="shared" si="0"/>
        <v>0</v>
      </c>
      <c r="AG32" s="266">
        <f>IF($Z32="",0,Shares!L32)</f>
        <v>0</v>
      </c>
      <c r="AH32" s="267">
        <f>IF($Z32="",0,Shares!M32)</f>
        <v>0</v>
      </c>
      <c r="AI32" s="243" t="str">
        <f>IF($Z32="","",RANK(AE32,$AE$2:$AE$1001)+COUNTIF($AE$2:AE32,AE32)-1)</f>
        <v/>
      </c>
      <c r="AJ32" s="243" t="str">
        <f>IF($AD32&lt;0,COUNT($AJ$1:AJ31)+1,"")</f>
        <v/>
      </c>
      <c r="AL32" s="243" t="str">
        <f>'All Ticker P&amp;L'!A32</f>
        <v/>
      </c>
      <c r="AM32" s="243" t="str">
        <f>'All Ticker P&amp;L'!B32</f>
        <v/>
      </c>
      <c r="AN32" s="243" t="str">
        <f>'All Ticker P&amp;L'!C32</f>
        <v/>
      </c>
      <c r="AO32" s="243" t="str">
        <f>'All Ticker P&amp;L'!D32</f>
        <v/>
      </c>
      <c r="AP32" s="265">
        <f>IF($AL32="",0,'All Ticker P&amp;L'!E32)</f>
        <v>0</v>
      </c>
      <c r="AQ32" s="266">
        <f>IF($AL32="",0,'All Ticker P&amp;L'!J32*'All Ticker P&amp;L'!I32)</f>
        <v>0</v>
      </c>
      <c r="AR32" s="266">
        <f>IF($AL32="",0,'All Ticker P&amp;L'!L32)</f>
        <v>0</v>
      </c>
      <c r="AS32" s="267">
        <f>IF($AL32="",0,'All Ticker P&amp;L'!M32)</f>
        <v>0</v>
      </c>
      <c r="AT32" s="243" t="str">
        <f>IF($AL32="","",RANK(AR32,$AR$2:$AR$1001)+COUNTIF($AR$2:AR32,AR32)-1)</f>
        <v/>
      </c>
      <c r="AU32" s="243" t="str">
        <f>IF($AL32="","",RANK(AV32,$AV$2:$AV$1001)+COUNTIF($AV$2:AV32,AV32)-1)</f>
        <v/>
      </c>
      <c r="AV32" s="266">
        <f t="shared" si="1"/>
        <v>0</v>
      </c>
    </row>
    <row r="33" spans="1:48" ht="15" customHeight="1" x14ac:dyDescent="0.2">
      <c r="A33" s="268" t="s">
        <v>494</v>
      </c>
      <c r="J33" s="268" t="s">
        <v>495</v>
      </c>
      <c r="Z33" s="243" t="str">
        <f>Shares!A33</f>
        <v/>
      </c>
      <c r="AA33" s="243" t="str">
        <f>Shares!B33</f>
        <v/>
      </c>
      <c r="AB33" s="243" t="str">
        <f>Shares!C33</f>
        <v/>
      </c>
      <c r="AC33" s="243" t="str">
        <f>Shares!D33</f>
        <v/>
      </c>
      <c r="AD33" s="265">
        <f>IF($Z33="",0,Shares!E33)</f>
        <v>0</v>
      </c>
      <c r="AE33" s="266">
        <f>IF($Z33="",0,Shares!J33*Shares!I33)</f>
        <v>0</v>
      </c>
      <c r="AF33" s="267">
        <f t="shared" si="0"/>
        <v>0</v>
      </c>
      <c r="AG33" s="266">
        <f>IF($Z33="",0,Shares!L33)</f>
        <v>0</v>
      </c>
      <c r="AH33" s="267">
        <f>IF($Z33="",0,Shares!M33)</f>
        <v>0</v>
      </c>
      <c r="AI33" s="243" t="str">
        <f>IF($Z33="","",RANK(AE33,$AE$2:$AE$1001)+COUNTIF($AE$2:AE33,AE33)-1)</f>
        <v/>
      </c>
      <c r="AJ33" s="243" t="str">
        <f>IF($AD33&lt;0,COUNT($AJ$1:AJ32)+1,"")</f>
        <v/>
      </c>
      <c r="AL33" s="243" t="str">
        <f>'All Ticker P&amp;L'!A33</f>
        <v/>
      </c>
      <c r="AM33" s="243" t="str">
        <f>'All Ticker P&amp;L'!B33</f>
        <v/>
      </c>
      <c r="AN33" s="243" t="str">
        <f>'All Ticker P&amp;L'!C33</f>
        <v/>
      </c>
      <c r="AO33" s="243" t="str">
        <f>'All Ticker P&amp;L'!D33</f>
        <v/>
      </c>
      <c r="AP33" s="265">
        <f>IF($AL33="",0,'All Ticker P&amp;L'!E33)</f>
        <v>0</v>
      </c>
      <c r="AQ33" s="266">
        <f>IF($AL33="",0,'All Ticker P&amp;L'!J33*'All Ticker P&amp;L'!I33)</f>
        <v>0</v>
      </c>
      <c r="AR33" s="266">
        <f>IF($AL33="",0,'All Ticker P&amp;L'!L33)</f>
        <v>0</v>
      </c>
      <c r="AS33" s="267">
        <f>IF($AL33="",0,'All Ticker P&amp;L'!M33)</f>
        <v>0</v>
      </c>
      <c r="AT33" s="243" t="str">
        <f>IF($AL33="","",RANK(AR33,$AR$2:$AR$1001)+COUNTIF($AR$2:AR33,AR33)-1)</f>
        <v/>
      </c>
      <c r="AU33" s="243" t="str">
        <f>IF($AL33="","",RANK(AV33,$AV$2:$AV$1001)+COUNTIF($AV$2:AV33,AV33)-1)</f>
        <v/>
      </c>
      <c r="AV33" s="266">
        <f t="shared" si="1"/>
        <v>0</v>
      </c>
    </row>
    <row r="34" spans="1:48" ht="15" customHeight="1" x14ac:dyDescent="0.2">
      <c r="A34" s="269" t="s">
        <v>472</v>
      </c>
      <c r="B34" s="269" t="s">
        <v>395</v>
      </c>
      <c r="C34" s="269" t="s">
        <v>387</v>
      </c>
      <c r="D34" s="269" t="s">
        <v>390</v>
      </c>
      <c r="E34" s="269" t="s">
        <v>496</v>
      </c>
      <c r="F34" s="269" t="s">
        <v>475</v>
      </c>
      <c r="G34" s="269" t="s">
        <v>476</v>
      </c>
      <c r="H34" s="269" t="s">
        <v>497</v>
      </c>
      <c r="J34" s="269" t="s">
        <v>472</v>
      </c>
      <c r="K34" s="269" t="s">
        <v>395</v>
      </c>
      <c r="L34" s="269" t="s">
        <v>387</v>
      </c>
      <c r="M34" s="269" t="s">
        <v>390</v>
      </c>
      <c r="N34" s="269" t="s">
        <v>496</v>
      </c>
      <c r="O34" s="269" t="s">
        <v>475</v>
      </c>
      <c r="P34" s="269" t="s">
        <v>476</v>
      </c>
      <c r="Q34" s="269" t="s">
        <v>497</v>
      </c>
      <c r="Z34" s="243" t="str">
        <f>Shares!A34</f>
        <v/>
      </c>
      <c r="AA34" s="243" t="str">
        <f>Shares!B34</f>
        <v/>
      </c>
      <c r="AB34" s="243" t="str">
        <f>Shares!C34</f>
        <v/>
      </c>
      <c r="AC34" s="243" t="str">
        <f>Shares!D34</f>
        <v/>
      </c>
      <c r="AD34" s="265">
        <f>IF($Z34="",0,Shares!E34)</f>
        <v>0</v>
      </c>
      <c r="AE34" s="266">
        <f>IF($Z34="",0,Shares!J34*Shares!I34)</f>
        <v>0</v>
      </c>
      <c r="AF34" s="267">
        <f t="shared" si="0"/>
        <v>0</v>
      </c>
      <c r="AG34" s="266">
        <f>IF($Z34="",0,Shares!L34)</f>
        <v>0</v>
      </c>
      <c r="AH34" s="267">
        <f>IF($Z34="",0,Shares!M34)</f>
        <v>0</v>
      </c>
      <c r="AI34" s="243" t="str">
        <f>IF($Z34="","",RANK(AE34,$AE$2:$AE$1001)+COUNTIF($AE$2:AE34,AE34)-1)</f>
        <v/>
      </c>
      <c r="AJ34" s="243" t="str">
        <f>IF($AD34&lt;0,COUNT($AJ$1:AJ33)+1,"")</f>
        <v/>
      </c>
      <c r="AL34" s="243" t="str">
        <f>'All Ticker P&amp;L'!A34</f>
        <v/>
      </c>
      <c r="AM34" s="243" t="str">
        <f>'All Ticker P&amp;L'!B34</f>
        <v/>
      </c>
      <c r="AN34" s="243" t="str">
        <f>'All Ticker P&amp;L'!C34</f>
        <v/>
      </c>
      <c r="AO34" s="243" t="str">
        <f>'All Ticker P&amp;L'!D34</f>
        <v/>
      </c>
      <c r="AP34" s="265">
        <f>IF($AL34="",0,'All Ticker P&amp;L'!E34)</f>
        <v>0</v>
      </c>
      <c r="AQ34" s="266">
        <f>IF($AL34="",0,'All Ticker P&amp;L'!J34*'All Ticker P&amp;L'!I34)</f>
        <v>0</v>
      </c>
      <c r="AR34" s="266">
        <f>IF($AL34="",0,'All Ticker P&amp;L'!L34)</f>
        <v>0</v>
      </c>
      <c r="AS34" s="267">
        <f>IF($AL34="",0,'All Ticker P&amp;L'!M34)</f>
        <v>0</v>
      </c>
      <c r="AT34" s="243" t="str">
        <f>IF($AL34="","",RANK(AR34,$AR$2:$AR$1001)+COUNTIF($AR$2:AR34,AR34)-1)</f>
        <v/>
      </c>
      <c r="AU34" s="243" t="str">
        <f>IF($AL34="","",RANK(AV34,$AV$2:$AV$1001)+COUNTIF($AV$2:AV34,AV34)-1)</f>
        <v/>
      </c>
      <c r="AV34" s="266">
        <f t="shared" si="1"/>
        <v>0</v>
      </c>
    </row>
    <row r="35" spans="1:48" ht="15" customHeight="1" x14ac:dyDescent="0.2">
      <c r="A35" s="271">
        <v>1</v>
      </c>
      <c r="B35" s="271" t="str">
        <f t="shared" ref="B35:B44" si="12">IFERROR(INDEX($AL$2:$AL$1001,MATCH($A35,$AT$2:$AT$1001,0)),"")</f>
        <v>CA:GOLD:SGD</v>
      </c>
      <c r="C35" s="271" t="str">
        <f t="shared" ref="C35:C44" si="13">IF($B35="","",INDEX($AM$2:$AM$1001,MATCH($A35,$AT$2:$AT$1001,0)))</f>
        <v>CA</v>
      </c>
      <c r="D35" s="271" t="str">
        <f t="shared" ref="D35:D44" si="14">IF($B35="","",INDEX($AO$2:$AO$1001,MATCH($A35,$AT$2:$AT$1001,0)))</f>
        <v>SGD</v>
      </c>
      <c r="E35" s="275">
        <f t="shared" ref="E35:E44" si="15">IF($B35="","",INDEX($AP$2:$AP$1001,MATCH($A35,$AT$2:$AT$1001,0)))</f>
        <v>700</v>
      </c>
      <c r="F35" s="272">
        <f t="shared" ref="F35:F44" si="16">IF($B35="","",INDEX($AR$2:$AR$1001,MATCH($A35,$AT$2:$AT$1001,0)))</f>
        <v>22627</v>
      </c>
      <c r="G35" s="273">
        <f t="shared" ref="G35:G44" si="17">IF($B35="","",INDEX($AS$2:$AS$1001,MATCH($A35,$AT$2:$AT$1001,0)))</f>
        <v>0.40769369369369368</v>
      </c>
      <c r="H35" s="271" t="str">
        <f t="shared" ref="H35:H44" si="18">IF($B35="","",IF(E35=0,"Closed","Open"))</f>
        <v>Open</v>
      </c>
      <c r="J35" s="271">
        <v>1</v>
      </c>
      <c r="K35" s="271" t="str">
        <f t="shared" ref="K35:K44" si="19">IFERROR(INDEX($AL$2:$AL$1001,MATCH($J35,$AU$2:$AU$1001,0)),"")</f>
        <v>HKEX:700:HKD</v>
      </c>
      <c r="L35" s="271" t="str">
        <f t="shared" ref="L35:L44" si="20">IF($K35="","",INDEX($AM$2:$AM$1001,MATCH($J35,$AU$2:$AU$1001,0)))</f>
        <v>HKEX</v>
      </c>
      <c r="M35" s="271" t="str">
        <f t="shared" ref="M35:M44" si="21">IF($K35="","",INDEX($AO$2:$AO$1001,MATCH($J35,$AU$2:$AU$1001,0)))</f>
        <v>HKD</v>
      </c>
      <c r="N35" s="275">
        <f t="shared" ref="N35:N44" si="22">IF($K35="","",INDEX($AP$2:$AP$1001,MATCH($J35,$AU$2:$AU$1001,0)))</f>
        <v>100</v>
      </c>
      <c r="O35" s="272">
        <f t="shared" ref="O35:O44" si="23">IF($K35="","",INDEX($AR$2:$AR$1001,MATCH($J35,$AU$2:$AU$1001,0)))</f>
        <v>-1860.0662895964892</v>
      </c>
      <c r="P35" s="273">
        <f t="shared" ref="P35:P44" si="24">IF($K35="","",INDEX($AS$2:$AS$1001,MATCH($J35,$AU$2:$AU$1001,0)))</f>
        <v>-0.18768718801996673</v>
      </c>
      <c r="Q35" s="271" t="str">
        <f t="shared" ref="Q35:Q44" si="25">IF($K35="","",IF(N35=0,"Closed","Open"))</f>
        <v>Open</v>
      </c>
      <c r="Z35" s="243" t="str">
        <f>Shares!A35</f>
        <v/>
      </c>
      <c r="AA35" s="243" t="str">
        <f>Shares!B35</f>
        <v/>
      </c>
      <c r="AB35" s="243" t="str">
        <f>Shares!C35</f>
        <v/>
      </c>
      <c r="AC35" s="243" t="str">
        <f>Shares!D35</f>
        <v/>
      </c>
      <c r="AD35" s="265">
        <f>IF($Z35="",0,Shares!E35)</f>
        <v>0</v>
      </c>
      <c r="AE35" s="266">
        <f>IF($Z35="",0,Shares!J35*Shares!I35)</f>
        <v>0</v>
      </c>
      <c r="AF35" s="267">
        <f t="shared" si="0"/>
        <v>0</v>
      </c>
      <c r="AG35" s="266">
        <f>IF($Z35="",0,Shares!L35)</f>
        <v>0</v>
      </c>
      <c r="AH35" s="267">
        <f>IF($Z35="",0,Shares!M35)</f>
        <v>0</v>
      </c>
      <c r="AI35" s="243" t="str">
        <f>IF($Z35="","",RANK(AE35,$AE$2:$AE$1001)+COUNTIF($AE$2:AE35,AE35)-1)</f>
        <v/>
      </c>
      <c r="AJ35" s="243" t="str">
        <f>IF($AD35&lt;0,COUNT($AJ$1:AJ34)+1,"")</f>
        <v/>
      </c>
      <c r="AL35" s="243" t="str">
        <f>'All Ticker P&amp;L'!A35</f>
        <v/>
      </c>
      <c r="AM35" s="243" t="str">
        <f>'All Ticker P&amp;L'!B35</f>
        <v/>
      </c>
      <c r="AN35" s="243" t="str">
        <f>'All Ticker P&amp;L'!C35</f>
        <v/>
      </c>
      <c r="AO35" s="243" t="str">
        <f>'All Ticker P&amp;L'!D35</f>
        <v/>
      </c>
      <c r="AP35" s="265">
        <f>IF($AL35="",0,'All Ticker P&amp;L'!E35)</f>
        <v>0</v>
      </c>
      <c r="AQ35" s="266">
        <f>IF($AL35="",0,'All Ticker P&amp;L'!J35*'All Ticker P&amp;L'!I35)</f>
        <v>0</v>
      </c>
      <c r="AR35" s="266">
        <f>IF($AL35="",0,'All Ticker P&amp;L'!L35)</f>
        <v>0</v>
      </c>
      <c r="AS35" s="267">
        <f>IF($AL35="",0,'All Ticker P&amp;L'!M35)</f>
        <v>0</v>
      </c>
      <c r="AT35" s="243" t="str">
        <f>IF($AL35="","",RANK(AR35,$AR$2:$AR$1001)+COUNTIF($AR$2:AR35,AR35)-1)</f>
        <v/>
      </c>
      <c r="AU35" s="243" t="str">
        <f>IF($AL35="","",RANK(AV35,$AV$2:$AV$1001)+COUNTIF($AV$2:AV35,AV35)-1)</f>
        <v/>
      </c>
      <c r="AV35" s="266">
        <f t="shared" si="1"/>
        <v>0</v>
      </c>
    </row>
    <row r="36" spans="1:48" ht="15" customHeight="1" x14ac:dyDescent="0.2">
      <c r="A36" s="271">
        <v>2</v>
      </c>
      <c r="B36" s="271" t="str">
        <f t="shared" si="12"/>
        <v>USX:NVDA:USD</v>
      </c>
      <c r="C36" s="271" t="str">
        <f t="shared" si="13"/>
        <v>USX</v>
      </c>
      <c r="D36" s="271" t="str">
        <f t="shared" si="14"/>
        <v>USD</v>
      </c>
      <c r="E36" s="275">
        <f t="shared" si="15"/>
        <v>0</v>
      </c>
      <c r="F36" s="272">
        <f t="shared" si="16"/>
        <v>17052.13895101555</v>
      </c>
      <c r="G36" s="273">
        <f t="shared" si="17"/>
        <v>2.7450572320499478</v>
      </c>
      <c r="H36" s="271" t="str">
        <f t="shared" si="18"/>
        <v>Closed</v>
      </c>
      <c r="J36" s="271">
        <v>2</v>
      </c>
      <c r="K36" s="271" t="str">
        <f t="shared" si="19"/>
        <v>SGX:A17U:SGD</v>
      </c>
      <c r="L36" s="271" t="str">
        <f t="shared" si="20"/>
        <v>SGX</v>
      </c>
      <c r="M36" s="271" t="str">
        <f t="shared" si="21"/>
        <v>SGD</v>
      </c>
      <c r="N36" s="275">
        <f t="shared" si="22"/>
        <v>4000</v>
      </c>
      <c r="O36" s="272">
        <f t="shared" si="23"/>
        <v>-890</v>
      </c>
      <c r="P36" s="273">
        <f t="shared" si="24"/>
        <v>-7.5105485232067504E-2</v>
      </c>
      <c r="Q36" s="271" t="str">
        <f t="shared" si="25"/>
        <v>Open</v>
      </c>
      <c r="Z36" s="243" t="str">
        <f>Shares!A36</f>
        <v/>
      </c>
      <c r="AA36" s="243" t="str">
        <f>Shares!B36</f>
        <v/>
      </c>
      <c r="AB36" s="243" t="str">
        <f>Shares!C36</f>
        <v/>
      </c>
      <c r="AC36" s="243" t="str">
        <f>Shares!D36</f>
        <v/>
      </c>
      <c r="AD36" s="265">
        <f>IF($Z36="",0,Shares!E36)</f>
        <v>0</v>
      </c>
      <c r="AE36" s="266">
        <f>IF($Z36="",0,Shares!J36*Shares!I36)</f>
        <v>0</v>
      </c>
      <c r="AF36" s="267">
        <f t="shared" si="0"/>
        <v>0</v>
      </c>
      <c r="AG36" s="266">
        <f>IF($Z36="",0,Shares!L36)</f>
        <v>0</v>
      </c>
      <c r="AH36" s="267">
        <f>IF($Z36="",0,Shares!M36)</f>
        <v>0</v>
      </c>
      <c r="AI36" s="243" t="str">
        <f>IF($Z36="","",RANK(AE36,$AE$2:$AE$1001)+COUNTIF($AE$2:AE36,AE36)-1)</f>
        <v/>
      </c>
      <c r="AJ36" s="243" t="str">
        <f>IF($AD36&lt;0,COUNT($AJ$1:AJ35)+1,"")</f>
        <v/>
      </c>
      <c r="AL36" s="243" t="str">
        <f>'All Ticker P&amp;L'!A36</f>
        <v/>
      </c>
      <c r="AM36" s="243" t="str">
        <f>'All Ticker P&amp;L'!B36</f>
        <v/>
      </c>
      <c r="AN36" s="243" t="str">
        <f>'All Ticker P&amp;L'!C36</f>
        <v/>
      </c>
      <c r="AO36" s="243" t="str">
        <f>'All Ticker P&amp;L'!D36</f>
        <v/>
      </c>
      <c r="AP36" s="265">
        <f>IF($AL36="",0,'All Ticker P&amp;L'!E36)</f>
        <v>0</v>
      </c>
      <c r="AQ36" s="266">
        <f>IF($AL36="",0,'All Ticker P&amp;L'!J36*'All Ticker P&amp;L'!I36)</f>
        <v>0</v>
      </c>
      <c r="AR36" s="266">
        <f>IF($AL36="",0,'All Ticker P&amp;L'!L36)</f>
        <v>0</v>
      </c>
      <c r="AS36" s="267">
        <f>IF($AL36="",0,'All Ticker P&amp;L'!M36)</f>
        <v>0</v>
      </c>
      <c r="AT36" s="243" t="str">
        <f>IF($AL36="","",RANK(AR36,$AR$2:$AR$1001)+COUNTIF($AR$2:AR36,AR36)-1)</f>
        <v/>
      </c>
      <c r="AU36" s="243" t="str">
        <f>IF($AL36="","",RANK(AV36,$AV$2:$AV$1001)+COUNTIF($AV$2:AV36,AV36)-1)</f>
        <v/>
      </c>
      <c r="AV36" s="266">
        <f t="shared" si="1"/>
        <v>0</v>
      </c>
    </row>
    <row r="37" spans="1:48" ht="15" customHeight="1" x14ac:dyDescent="0.2">
      <c r="A37" s="271">
        <v>3</v>
      </c>
      <c r="B37" s="271" t="str">
        <f t="shared" si="12"/>
        <v>CG:BITCOIN:USD</v>
      </c>
      <c r="C37" s="271" t="str">
        <f t="shared" si="13"/>
        <v>CG</v>
      </c>
      <c r="D37" s="271" t="str">
        <f t="shared" si="14"/>
        <v>USD</v>
      </c>
      <c r="E37" s="275">
        <f t="shared" si="15"/>
        <v>0.1</v>
      </c>
      <c r="F37" s="272">
        <f t="shared" si="16"/>
        <v>10860.836963969468</v>
      </c>
      <c r="G37" s="273">
        <f t="shared" si="17"/>
        <v>4.5410627027027033</v>
      </c>
      <c r="H37" s="271" t="str">
        <f t="shared" si="18"/>
        <v>Open</v>
      </c>
      <c r="J37" s="271">
        <v>3</v>
      </c>
      <c r="K37" s="271" t="str">
        <f t="shared" si="19"/>
        <v/>
      </c>
      <c r="L37" s="271" t="str">
        <f t="shared" si="20"/>
        <v/>
      </c>
      <c r="M37" s="271" t="str">
        <f t="shared" si="21"/>
        <v/>
      </c>
      <c r="N37" s="275" t="str">
        <f t="shared" si="22"/>
        <v/>
      </c>
      <c r="O37" s="272" t="str">
        <f t="shared" si="23"/>
        <v/>
      </c>
      <c r="P37" s="273" t="str">
        <f t="shared" si="24"/>
        <v/>
      </c>
      <c r="Q37" s="271" t="str">
        <f t="shared" si="25"/>
        <v/>
      </c>
      <c r="Z37" s="243" t="str">
        <f>Shares!A37</f>
        <v/>
      </c>
      <c r="AA37" s="243" t="str">
        <f>Shares!B37</f>
        <v/>
      </c>
      <c r="AB37" s="243" t="str">
        <f>Shares!C37</f>
        <v/>
      </c>
      <c r="AC37" s="243" t="str">
        <f>Shares!D37</f>
        <v/>
      </c>
      <c r="AD37" s="265">
        <f>IF($Z37="",0,Shares!E37)</f>
        <v>0</v>
      </c>
      <c r="AE37" s="266">
        <f>IF($Z37="",0,Shares!J37*Shares!I37)</f>
        <v>0</v>
      </c>
      <c r="AF37" s="267">
        <f t="shared" si="0"/>
        <v>0</v>
      </c>
      <c r="AG37" s="266">
        <f>IF($Z37="",0,Shares!L37)</f>
        <v>0</v>
      </c>
      <c r="AH37" s="267">
        <f>IF($Z37="",0,Shares!M37)</f>
        <v>0</v>
      </c>
      <c r="AI37" s="243" t="str">
        <f>IF($Z37="","",RANK(AE37,$AE$2:$AE$1001)+COUNTIF($AE$2:AE37,AE37)-1)</f>
        <v/>
      </c>
      <c r="AJ37" s="243" t="str">
        <f>IF($AD37&lt;0,COUNT($AJ$1:AJ36)+1,"")</f>
        <v/>
      </c>
      <c r="AL37" s="243" t="str">
        <f>'All Ticker P&amp;L'!A37</f>
        <v/>
      </c>
      <c r="AM37" s="243" t="str">
        <f>'All Ticker P&amp;L'!B37</f>
        <v/>
      </c>
      <c r="AN37" s="243" t="str">
        <f>'All Ticker P&amp;L'!C37</f>
        <v/>
      </c>
      <c r="AO37" s="243" t="str">
        <f>'All Ticker P&amp;L'!D37</f>
        <v/>
      </c>
      <c r="AP37" s="265">
        <f>IF($AL37="",0,'All Ticker P&amp;L'!E37)</f>
        <v>0</v>
      </c>
      <c r="AQ37" s="266">
        <f>IF($AL37="",0,'All Ticker P&amp;L'!J37*'All Ticker P&amp;L'!I37)</f>
        <v>0</v>
      </c>
      <c r="AR37" s="266">
        <f>IF($AL37="",0,'All Ticker P&amp;L'!L37)</f>
        <v>0</v>
      </c>
      <c r="AS37" s="267">
        <f>IF($AL37="",0,'All Ticker P&amp;L'!M37)</f>
        <v>0</v>
      </c>
      <c r="AT37" s="243" t="str">
        <f>IF($AL37="","",RANK(AR37,$AR$2:$AR$1001)+COUNTIF($AR$2:AR37,AR37)-1)</f>
        <v/>
      </c>
      <c r="AU37" s="243" t="str">
        <f>IF($AL37="","",RANK(AV37,$AV$2:$AV$1001)+COUNTIF($AV$2:AV37,AV37)-1)</f>
        <v/>
      </c>
      <c r="AV37" s="266">
        <f t="shared" si="1"/>
        <v>0</v>
      </c>
    </row>
    <row r="38" spans="1:48" ht="15" customHeight="1" x14ac:dyDescent="0.2">
      <c r="A38" s="271">
        <v>4</v>
      </c>
      <c r="B38" s="271" t="str">
        <f t="shared" si="12"/>
        <v>USX:AAPL:USD</v>
      </c>
      <c r="C38" s="271" t="str">
        <f t="shared" si="13"/>
        <v>USX</v>
      </c>
      <c r="D38" s="271" t="str">
        <f t="shared" si="14"/>
        <v>USD</v>
      </c>
      <c r="E38" s="275">
        <f t="shared" si="15"/>
        <v>80</v>
      </c>
      <c r="F38" s="272">
        <f t="shared" si="16"/>
        <v>8907.4478675130504</v>
      </c>
      <c r="G38" s="273">
        <f t="shared" si="17"/>
        <v>0.75631174533479695</v>
      </c>
      <c r="H38" s="271" t="str">
        <f t="shared" si="18"/>
        <v>Open</v>
      </c>
      <c r="J38" s="271">
        <v>4</v>
      </c>
      <c r="K38" s="271" t="str">
        <f t="shared" si="19"/>
        <v/>
      </c>
      <c r="L38" s="271" t="str">
        <f t="shared" si="20"/>
        <v/>
      </c>
      <c r="M38" s="271" t="str">
        <f t="shared" si="21"/>
        <v/>
      </c>
      <c r="N38" s="275" t="str">
        <f t="shared" si="22"/>
        <v/>
      </c>
      <c r="O38" s="272" t="str">
        <f t="shared" si="23"/>
        <v/>
      </c>
      <c r="P38" s="273" t="str">
        <f t="shared" si="24"/>
        <v/>
      </c>
      <c r="Q38" s="271" t="str">
        <f t="shared" si="25"/>
        <v/>
      </c>
      <c r="Z38" s="243" t="str">
        <f>Shares!A38</f>
        <v/>
      </c>
      <c r="AA38" s="243" t="str">
        <f>Shares!B38</f>
        <v/>
      </c>
      <c r="AB38" s="243" t="str">
        <f>Shares!C38</f>
        <v/>
      </c>
      <c r="AC38" s="243" t="str">
        <f>Shares!D38</f>
        <v/>
      </c>
      <c r="AD38" s="265">
        <f>IF($Z38="",0,Shares!E38)</f>
        <v>0</v>
      </c>
      <c r="AE38" s="266">
        <f>IF($Z38="",0,Shares!J38*Shares!I38)</f>
        <v>0</v>
      </c>
      <c r="AF38" s="267">
        <f t="shared" si="0"/>
        <v>0</v>
      </c>
      <c r="AG38" s="266">
        <f>IF($Z38="",0,Shares!L38)</f>
        <v>0</v>
      </c>
      <c r="AH38" s="267">
        <f>IF($Z38="",0,Shares!M38)</f>
        <v>0</v>
      </c>
      <c r="AI38" s="243" t="str">
        <f>IF($Z38="","",RANK(AE38,$AE$2:$AE$1001)+COUNTIF($AE$2:AE38,AE38)-1)</f>
        <v/>
      </c>
      <c r="AJ38" s="243" t="str">
        <f>IF($AD38&lt;0,COUNT($AJ$1:AJ37)+1,"")</f>
        <v/>
      </c>
      <c r="AL38" s="243" t="str">
        <f>'All Ticker P&amp;L'!A38</f>
        <v/>
      </c>
      <c r="AM38" s="243" t="str">
        <f>'All Ticker P&amp;L'!B38</f>
        <v/>
      </c>
      <c r="AN38" s="243" t="str">
        <f>'All Ticker P&amp;L'!C38</f>
        <v/>
      </c>
      <c r="AO38" s="243" t="str">
        <f>'All Ticker P&amp;L'!D38</f>
        <v/>
      </c>
      <c r="AP38" s="265">
        <f>IF($AL38="",0,'All Ticker P&amp;L'!E38)</f>
        <v>0</v>
      </c>
      <c r="AQ38" s="266">
        <f>IF($AL38="",0,'All Ticker P&amp;L'!J38*'All Ticker P&amp;L'!I38)</f>
        <v>0</v>
      </c>
      <c r="AR38" s="266">
        <f>IF($AL38="",0,'All Ticker P&amp;L'!L38)</f>
        <v>0</v>
      </c>
      <c r="AS38" s="267">
        <f>IF($AL38="",0,'All Ticker P&amp;L'!M38)</f>
        <v>0</v>
      </c>
      <c r="AT38" s="243" t="str">
        <f>IF($AL38="","",RANK(AR38,$AR$2:$AR$1001)+COUNTIF($AR$2:AR38,AR38)-1)</f>
        <v/>
      </c>
      <c r="AU38" s="243" t="str">
        <f>IF($AL38="","",RANK(AV38,$AV$2:$AV$1001)+COUNTIF($AV$2:AV38,AV38)-1)</f>
        <v/>
      </c>
      <c r="AV38" s="266">
        <f t="shared" si="1"/>
        <v>0</v>
      </c>
    </row>
    <row r="39" spans="1:48" ht="15" customHeight="1" x14ac:dyDescent="0.2">
      <c r="A39" s="271">
        <v>5</v>
      </c>
      <c r="B39" s="271" t="str">
        <f t="shared" si="12"/>
        <v>USX:MSFT:USD</v>
      </c>
      <c r="C39" s="271" t="str">
        <f t="shared" si="13"/>
        <v>USX</v>
      </c>
      <c r="D39" s="271" t="str">
        <f t="shared" si="14"/>
        <v>USD</v>
      </c>
      <c r="E39" s="275">
        <f t="shared" si="15"/>
        <v>20</v>
      </c>
      <c r="F39" s="272">
        <f t="shared" si="16"/>
        <v>4906.2067717288865</v>
      </c>
      <c r="G39" s="273">
        <f t="shared" si="17"/>
        <v>0.82410423452768733</v>
      </c>
      <c r="H39" s="271" t="str">
        <f t="shared" si="18"/>
        <v>Open</v>
      </c>
      <c r="J39" s="271">
        <v>5</v>
      </c>
      <c r="K39" s="271" t="str">
        <f t="shared" si="19"/>
        <v/>
      </c>
      <c r="L39" s="271" t="str">
        <f t="shared" si="20"/>
        <v/>
      </c>
      <c r="M39" s="271" t="str">
        <f t="shared" si="21"/>
        <v/>
      </c>
      <c r="N39" s="275" t="str">
        <f t="shared" si="22"/>
        <v/>
      </c>
      <c r="O39" s="272" t="str">
        <f t="shared" si="23"/>
        <v/>
      </c>
      <c r="P39" s="273" t="str">
        <f t="shared" si="24"/>
        <v/>
      </c>
      <c r="Q39" s="271" t="str">
        <f t="shared" si="25"/>
        <v/>
      </c>
      <c r="Z39" s="243" t="str">
        <f>Shares!A39</f>
        <v/>
      </c>
      <c r="AA39" s="243" t="str">
        <f>Shares!B39</f>
        <v/>
      </c>
      <c r="AB39" s="243" t="str">
        <f>Shares!C39</f>
        <v/>
      </c>
      <c r="AC39" s="243" t="str">
        <f>Shares!D39</f>
        <v/>
      </c>
      <c r="AD39" s="265">
        <f>IF($Z39="",0,Shares!E39)</f>
        <v>0</v>
      </c>
      <c r="AE39" s="266">
        <f>IF($Z39="",0,Shares!J39*Shares!I39)</f>
        <v>0</v>
      </c>
      <c r="AF39" s="267">
        <f t="shared" si="0"/>
        <v>0</v>
      </c>
      <c r="AG39" s="266">
        <f>IF($Z39="",0,Shares!L39)</f>
        <v>0</v>
      </c>
      <c r="AH39" s="267">
        <f>IF($Z39="",0,Shares!M39)</f>
        <v>0</v>
      </c>
      <c r="AI39" s="243" t="str">
        <f>IF($Z39="","",RANK(AE39,$AE$2:$AE$1001)+COUNTIF($AE$2:AE39,AE39)-1)</f>
        <v/>
      </c>
      <c r="AJ39" s="243" t="str">
        <f>IF($AD39&lt;0,COUNT($AJ$1:AJ38)+1,"")</f>
        <v/>
      </c>
      <c r="AL39" s="243" t="str">
        <f>'All Ticker P&amp;L'!A39</f>
        <v/>
      </c>
      <c r="AM39" s="243" t="str">
        <f>'All Ticker P&amp;L'!B39</f>
        <v/>
      </c>
      <c r="AN39" s="243" t="str">
        <f>'All Ticker P&amp;L'!C39</f>
        <v/>
      </c>
      <c r="AO39" s="243" t="str">
        <f>'All Ticker P&amp;L'!D39</f>
        <v/>
      </c>
      <c r="AP39" s="265">
        <f>IF($AL39="",0,'All Ticker P&amp;L'!E39)</f>
        <v>0</v>
      </c>
      <c r="AQ39" s="266">
        <f>IF($AL39="",0,'All Ticker P&amp;L'!J39*'All Ticker P&amp;L'!I39)</f>
        <v>0</v>
      </c>
      <c r="AR39" s="266">
        <f>IF($AL39="",0,'All Ticker P&amp;L'!L39)</f>
        <v>0</v>
      </c>
      <c r="AS39" s="267">
        <f>IF($AL39="",0,'All Ticker P&amp;L'!M39)</f>
        <v>0</v>
      </c>
      <c r="AT39" s="243" t="str">
        <f>IF($AL39="","",RANK(AR39,$AR$2:$AR$1001)+COUNTIF($AR$2:AR39,AR39)-1)</f>
        <v/>
      </c>
      <c r="AU39" s="243" t="str">
        <f>IF($AL39="","",RANK(AV39,$AV$2:$AV$1001)+COUNTIF($AV$2:AV39,AV39)-1)</f>
        <v/>
      </c>
      <c r="AV39" s="266">
        <f t="shared" si="1"/>
        <v>0</v>
      </c>
    </row>
    <row r="40" spans="1:48" ht="15" customHeight="1" x14ac:dyDescent="0.2">
      <c r="A40" s="271">
        <v>6</v>
      </c>
      <c r="B40" s="271" t="str">
        <f t="shared" si="12"/>
        <v>SGX:Z74:SGD</v>
      </c>
      <c r="C40" s="271" t="str">
        <f t="shared" si="13"/>
        <v>SGX</v>
      </c>
      <c r="D40" s="271" t="str">
        <f t="shared" si="14"/>
        <v>SGD</v>
      </c>
      <c r="E40" s="275">
        <f t="shared" si="15"/>
        <v>3000</v>
      </c>
      <c r="F40" s="272">
        <f t="shared" si="16"/>
        <v>2135</v>
      </c>
      <c r="G40" s="273">
        <f t="shared" si="17"/>
        <v>0.22895442359249329</v>
      </c>
      <c r="H40" s="271" t="str">
        <f t="shared" si="18"/>
        <v>Open</v>
      </c>
      <c r="J40" s="271">
        <v>6</v>
      </c>
      <c r="K40" s="271" t="str">
        <f t="shared" si="19"/>
        <v/>
      </c>
      <c r="L40" s="271" t="str">
        <f t="shared" si="20"/>
        <v/>
      </c>
      <c r="M40" s="271" t="str">
        <f t="shared" si="21"/>
        <v/>
      </c>
      <c r="N40" s="275" t="str">
        <f t="shared" si="22"/>
        <v/>
      </c>
      <c r="O40" s="272" t="str">
        <f t="shared" si="23"/>
        <v/>
      </c>
      <c r="P40" s="273" t="str">
        <f t="shared" si="24"/>
        <v/>
      </c>
      <c r="Q40" s="271" t="str">
        <f t="shared" si="25"/>
        <v/>
      </c>
      <c r="Z40" s="243" t="str">
        <f>Shares!A40</f>
        <v/>
      </c>
      <c r="AA40" s="243" t="str">
        <f>Shares!B40</f>
        <v/>
      </c>
      <c r="AB40" s="243" t="str">
        <f>Shares!C40</f>
        <v/>
      </c>
      <c r="AC40" s="243" t="str">
        <f>Shares!D40</f>
        <v/>
      </c>
      <c r="AD40" s="265">
        <f>IF($Z40="",0,Shares!E40)</f>
        <v>0</v>
      </c>
      <c r="AE40" s="266">
        <f>IF($Z40="",0,Shares!J40*Shares!I40)</f>
        <v>0</v>
      </c>
      <c r="AF40" s="267">
        <f t="shared" si="0"/>
        <v>0</v>
      </c>
      <c r="AG40" s="266">
        <f>IF($Z40="",0,Shares!L40)</f>
        <v>0</v>
      </c>
      <c r="AH40" s="267">
        <f>IF($Z40="",0,Shares!M40)</f>
        <v>0</v>
      </c>
      <c r="AI40" s="243" t="str">
        <f>IF($Z40="","",RANK(AE40,$AE$2:$AE$1001)+COUNTIF($AE$2:AE40,AE40)-1)</f>
        <v/>
      </c>
      <c r="AJ40" s="243" t="str">
        <f>IF($AD40&lt;0,COUNT($AJ$1:AJ39)+1,"")</f>
        <v/>
      </c>
      <c r="AL40" s="243" t="str">
        <f>'All Ticker P&amp;L'!A40</f>
        <v/>
      </c>
      <c r="AM40" s="243" t="str">
        <f>'All Ticker P&amp;L'!B40</f>
        <v/>
      </c>
      <c r="AN40" s="243" t="str">
        <f>'All Ticker P&amp;L'!C40</f>
        <v/>
      </c>
      <c r="AO40" s="243" t="str">
        <f>'All Ticker P&amp;L'!D40</f>
        <v/>
      </c>
      <c r="AP40" s="265">
        <f>IF($AL40="",0,'All Ticker P&amp;L'!E40)</f>
        <v>0</v>
      </c>
      <c r="AQ40" s="266">
        <f>IF($AL40="",0,'All Ticker P&amp;L'!J40*'All Ticker P&amp;L'!I40)</f>
        <v>0</v>
      </c>
      <c r="AR40" s="266">
        <f>IF($AL40="",0,'All Ticker P&amp;L'!L40)</f>
        <v>0</v>
      </c>
      <c r="AS40" s="267">
        <f>IF($AL40="",0,'All Ticker P&amp;L'!M40)</f>
        <v>0</v>
      </c>
      <c r="AT40" s="243" t="str">
        <f>IF($AL40="","",RANK(AR40,$AR$2:$AR$1001)+COUNTIF($AR$2:AR40,AR40)-1)</f>
        <v/>
      </c>
      <c r="AU40" s="243" t="str">
        <f>IF($AL40="","",RANK(AV40,$AV$2:$AV$1001)+COUNTIF($AV$2:AV40,AV40)-1)</f>
        <v/>
      </c>
      <c r="AV40" s="266">
        <f t="shared" si="1"/>
        <v>0</v>
      </c>
    </row>
    <row r="41" spans="1:48" ht="15" customHeight="1" x14ac:dyDescent="0.2">
      <c r="A41" s="271">
        <v>7</v>
      </c>
      <c r="B41" s="271" t="str">
        <f t="shared" si="12"/>
        <v>SGX:CLR:SGD</v>
      </c>
      <c r="C41" s="271" t="str">
        <f t="shared" si="13"/>
        <v>SGX</v>
      </c>
      <c r="D41" s="271" t="str">
        <f t="shared" si="14"/>
        <v>SGD</v>
      </c>
      <c r="E41" s="275">
        <f t="shared" si="15"/>
        <v>10000</v>
      </c>
      <c r="F41" s="272">
        <f t="shared" si="16"/>
        <v>1124.9999999999991</v>
      </c>
      <c r="G41" s="273">
        <f t="shared" si="17"/>
        <v>0.16014234875444827</v>
      </c>
      <c r="H41" s="271" t="str">
        <f t="shared" si="18"/>
        <v>Open</v>
      </c>
      <c r="J41" s="271">
        <v>7</v>
      </c>
      <c r="K41" s="271" t="str">
        <f t="shared" si="19"/>
        <v/>
      </c>
      <c r="L41" s="271" t="str">
        <f t="shared" si="20"/>
        <v/>
      </c>
      <c r="M41" s="271" t="str">
        <f t="shared" si="21"/>
        <v/>
      </c>
      <c r="N41" s="275" t="str">
        <f t="shared" si="22"/>
        <v/>
      </c>
      <c r="O41" s="272" t="str">
        <f t="shared" si="23"/>
        <v/>
      </c>
      <c r="P41" s="273" t="str">
        <f t="shared" si="24"/>
        <v/>
      </c>
      <c r="Q41" s="271" t="str">
        <f t="shared" si="25"/>
        <v/>
      </c>
      <c r="Z41" s="243" t="str">
        <f>Shares!A41</f>
        <v/>
      </c>
      <c r="AA41" s="243" t="str">
        <f>Shares!B41</f>
        <v/>
      </c>
      <c r="AB41" s="243" t="str">
        <f>Shares!C41</f>
        <v/>
      </c>
      <c r="AC41" s="243" t="str">
        <f>Shares!D41</f>
        <v/>
      </c>
      <c r="AD41" s="265">
        <f>IF($Z41="",0,Shares!E41)</f>
        <v>0</v>
      </c>
      <c r="AE41" s="266">
        <f>IF($Z41="",0,Shares!J41*Shares!I41)</f>
        <v>0</v>
      </c>
      <c r="AF41" s="267">
        <f t="shared" si="0"/>
        <v>0</v>
      </c>
      <c r="AG41" s="266">
        <f>IF($Z41="",0,Shares!L41)</f>
        <v>0</v>
      </c>
      <c r="AH41" s="267">
        <f>IF($Z41="",0,Shares!M41)</f>
        <v>0</v>
      </c>
      <c r="AI41" s="243" t="str">
        <f>IF($Z41="","",RANK(AE41,$AE$2:$AE$1001)+COUNTIF($AE$2:AE41,AE41)-1)</f>
        <v/>
      </c>
      <c r="AJ41" s="243" t="str">
        <f>IF($AD41&lt;0,COUNT($AJ$1:AJ40)+1,"")</f>
        <v/>
      </c>
      <c r="AL41" s="243" t="str">
        <f>'All Ticker P&amp;L'!A41</f>
        <v/>
      </c>
      <c r="AM41" s="243" t="str">
        <f>'All Ticker P&amp;L'!B41</f>
        <v/>
      </c>
      <c r="AN41" s="243" t="str">
        <f>'All Ticker P&amp;L'!C41</f>
        <v/>
      </c>
      <c r="AO41" s="243" t="str">
        <f>'All Ticker P&amp;L'!D41</f>
        <v/>
      </c>
      <c r="AP41" s="265">
        <f>IF($AL41="",0,'All Ticker P&amp;L'!E41)</f>
        <v>0</v>
      </c>
      <c r="AQ41" s="266">
        <f>IF($AL41="",0,'All Ticker P&amp;L'!J41*'All Ticker P&amp;L'!I41)</f>
        <v>0</v>
      </c>
      <c r="AR41" s="266">
        <f>IF($AL41="",0,'All Ticker P&amp;L'!L41)</f>
        <v>0</v>
      </c>
      <c r="AS41" s="267">
        <f>IF($AL41="",0,'All Ticker P&amp;L'!M41)</f>
        <v>0</v>
      </c>
      <c r="AT41" s="243" t="str">
        <f>IF($AL41="","",RANK(AR41,$AR$2:$AR$1001)+COUNTIF($AR$2:AR41,AR41)-1)</f>
        <v/>
      </c>
      <c r="AU41" s="243" t="str">
        <f>IF($AL41="","",RANK(AV41,$AV$2:$AV$1001)+COUNTIF($AV$2:AV41,AV41)-1)</f>
        <v/>
      </c>
      <c r="AV41" s="266">
        <f t="shared" si="1"/>
        <v>0</v>
      </c>
    </row>
    <row r="42" spans="1:48" ht="15" customHeight="1" x14ac:dyDescent="0.2">
      <c r="A42" s="271">
        <v>8</v>
      </c>
      <c r="B42" s="271" t="str">
        <f t="shared" si="12"/>
        <v>SGX:C38U:SGD</v>
      </c>
      <c r="C42" s="271" t="str">
        <f t="shared" si="13"/>
        <v>SGX</v>
      </c>
      <c r="D42" s="271" t="str">
        <f t="shared" si="14"/>
        <v>SGD</v>
      </c>
      <c r="E42" s="275">
        <f t="shared" si="15"/>
        <v>8000</v>
      </c>
      <c r="F42" s="272">
        <f t="shared" si="16"/>
        <v>170</v>
      </c>
      <c r="G42" s="273">
        <f t="shared" si="17"/>
        <v>1.0526315789473684E-2</v>
      </c>
      <c r="H42" s="271" t="str">
        <f t="shared" si="18"/>
        <v>Open</v>
      </c>
      <c r="J42" s="271">
        <v>8</v>
      </c>
      <c r="K42" s="271" t="str">
        <f t="shared" si="19"/>
        <v/>
      </c>
      <c r="L42" s="271" t="str">
        <f t="shared" si="20"/>
        <v/>
      </c>
      <c r="M42" s="271" t="str">
        <f t="shared" si="21"/>
        <v/>
      </c>
      <c r="N42" s="275" t="str">
        <f t="shared" si="22"/>
        <v/>
      </c>
      <c r="O42" s="272" t="str">
        <f t="shared" si="23"/>
        <v/>
      </c>
      <c r="P42" s="273" t="str">
        <f t="shared" si="24"/>
        <v/>
      </c>
      <c r="Q42" s="271" t="str">
        <f t="shared" si="25"/>
        <v/>
      </c>
      <c r="Z42" s="243" t="str">
        <f>Shares!A42</f>
        <v/>
      </c>
      <c r="AA42" s="243" t="str">
        <f>Shares!B42</f>
        <v/>
      </c>
      <c r="AB42" s="243" t="str">
        <f>Shares!C42</f>
        <v/>
      </c>
      <c r="AC42" s="243" t="str">
        <f>Shares!D42</f>
        <v/>
      </c>
      <c r="AD42" s="265">
        <f>IF($Z42="",0,Shares!E42)</f>
        <v>0</v>
      </c>
      <c r="AE42" s="266">
        <f>IF($Z42="",0,Shares!J42*Shares!I42)</f>
        <v>0</v>
      </c>
      <c r="AF42" s="267">
        <f t="shared" si="0"/>
        <v>0</v>
      </c>
      <c r="AG42" s="266">
        <f>IF($Z42="",0,Shares!L42)</f>
        <v>0</v>
      </c>
      <c r="AH42" s="267">
        <f>IF($Z42="",0,Shares!M42)</f>
        <v>0</v>
      </c>
      <c r="AI42" s="243" t="str">
        <f>IF($Z42="","",RANK(AE42,$AE$2:$AE$1001)+COUNTIF($AE$2:AE42,AE42)-1)</f>
        <v/>
      </c>
      <c r="AJ42" s="243" t="str">
        <f>IF($AD42&lt;0,COUNT($AJ$1:AJ41)+1,"")</f>
        <v/>
      </c>
      <c r="AL42" s="243" t="str">
        <f>'All Ticker P&amp;L'!A42</f>
        <v/>
      </c>
      <c r="AM42" s="243" t="str">
        <f>'All Ticker P&amp;L'!B42</f>
        <v/>
      </c>
      <c r="AN42" s="243" t="str">
        <f>'All Ticker P&amp;L'!C42</f>
        <v/>
      </c>
      <c r="AO42" s="243" t="str">
        <f>'All Ticker P&amp;L'!D42</f>
        <v/>
      </c>
      <c r="AP42" s="265">
        <f>IF($AL42="",0,'All Ticker P&amp;L'!E42)</f>
        <v>0</v>
      </c>
      <c r="AQ42" s="266">
        <f>IF($AL42="",0,'All Ticker P&amp;L'!J42*'All Ticker P&amp;L'!I42)</f>
        <v>0</v>
      </c>
      <c r="AR42" s="266">
        <f>IF($AL42="",0,'All Ticker P&amp;L'!L42)</f>
        <v>0</v>
      </c>
      <c r="AS42" s="267">
        <f>IF($AL42="",0,'All Ticker P&amp;L'!M42)</f>
        <v>0</v>
      </c>
      <c r="AT42" s="243" t="str">
        <f>IF($AL42="","",RANK(AR42,$AR$2:$AR$1001)+COUNTIF($AR$2:AR42,AR42)-1)</f>
        <v/>
      </c>
      <c r="AU42" s="243" t="str">
        <f>IF($AL42="","",RANK(AV42,$AV$2:$AV$1001)+COUNTIF($AV$2:AV42,AV42)-1)</f>
        <v/>
      </c>
      <c r="AV42" s="266">
        <f t="shared" si="1"/>
        <v>0</v>
      </c>
    </row>
    <row r="43" spans="1:48" ht="15" customHeight="1" x14ac:dyDescent="0.2">
      <c r="A43" s="271">
        <v>9</v>
      </c>
      <c r="B43" s="271" t="str">
        <f t="shared" si="12"/>
        <v/>
      </c>
      <c r="C43" s="271" t="str">
        <f t="shared" si="13"/>
        <v/>
      </c>
      <c r="D43" s="271" t="str">
        <f t="shared" si="14"/>
        <v/>
      </c>
      <c r="E43" s="275" t="str">
        <f t="shared" si="15"/>
        <v/>
      </c>
      <c r="F43" s="272" t="str">
        <f t="shared" si="16"/>
        <v/>
      </c>
      <c r="G43" s="273" t="str">
        <f t="shared" si="17"/>
        <v/>
      </c>
      <c r="H43" s="271" t="str">
        <f t="shared" si="18"/>
        <v/>
      </c>
      <c r="J43" s="271">
        <v>9</v>
      </c>
      <c r="K43" s="271" t="str">
        <f t="shared" si="19"/>
        <v/>
      </c>
      <c r="L43" s="271" t="str">
        <f t="shared" si="20"/>
        <v/>
      </c>
      <c r="M43" s="271" t="str">
        <f t="shared" si="21"/>
        <v/>
      </c>
      <c r="N43" s="275" t="str">
        <f t="shared" si="22"/>
        <v/>
      </c>
      <c r="O43" s="272" t="str">
        <f t="shared" si="23"/>
        <v/>
      </c>
      <c r="P43" s="273" t="str">
        <f t="shared" si="24"/>
        <v/>
      </c>
      <c r="Q43" s="271" t="str">
        <f t="shared" si="25"/>
        <v/>
      </c>
      <c r="Z43" s="243" t="str">
        <f>Shares!A43</f>
        <v/>
      </c>
      <c r="AA43" s="243" t="str">
        <f>Shares!B43</f>
        <v/>
      </c>
      <c r="AB43" s="243" t="str">
        <f>Shares!C43</f>
        <v/>
      </c>
      <c r="AC43" s="243" t="str">
        <f>Shares!D43</f>
        <v/>
      </c>
      <c r="AD43" s="265">
        <f>IF($Z43="",0,Shares!E43)</f>
        <v>0</v>
      </c>
      <c r="AE43" s="266">
        <f>IF($Z43="",0,Shares!J43*Shares!I43)</f>
        <v>0</v>
      </c>
      <c r="AF43" s="267">
        <f t="shared" si="0"/>
        <v>0</v>
      </c>
      <c r="AG43" s="266">
        <f>IF($Z43="",0,Shares!L43)</f>
        <v>0</v>
      </c>
      <c r="AH43" s="267">
        <f>IF($Z43="",0,Shares!M43)</f>
        <v>0</v>
      </c>
      <c r="AI43" s="243" t="str">
        <f>IF($Z43="","",RANK(AE43,$AE$2:$AE$1001)+COUNTIF($AE$2:AE43,AE43)-1)</f>
        <v/>
      </c>
      <c r="AJ43" s="243" t="str">
        <f>IF($AD43&lt;0,COUNT($AJ$1:AJ42)+1,"")</f>
        <v/>
      </c>
      <c r="AL43" s="243" t="str">
        <f>'All Ticker P&amp;L'!A43</f>
        <v/>
      </c>
      <c r="AM43" s="243" t="str">
        <f>'All Ticker P&amp;L'!B43</f>
        <v/>
      </c>
      <c r="AN43" s="243" t="str">
        <f>'All Ticker P&amp;L'!C43</f>
        <v/>
      </c>
      <c r="AO43" s="243" t="str">
        <f>'All Ticker P&amp;L'!D43</f>
        <v/>
      </c>
      <c r="AP43" s="265">
        <f>IF($AL43="",0,'All Ticker P&amp;L'!E43)</f>
        <v>0</v>
      </c>
      <c r="AQ43" s="266">
        <f>IF($AL43="",0,'All Ticker P&amp;L'!J43*'All Ticker P&amp;L'!I43)</f>
        <v>0</v>
      </c>
      <c r="AR43" s="266">
        <f>IF($AL43="",0,'All Ticker P&amp;L'!L43)</f>
        <v>0</v>
      </c>
      <c r="AS43" s="267">
        <f>IF($AL43="",0,'All Ticker P&amp;L'!M43)</f>
        <v>0</v>
      </c>
      <c r="AT43" s="243" t="str">
        <f>IF($AL43="","",RANK(AR43,$AR$2:$AR$1001)+COUNTIF($AR$2:AR43,AR43)-1)</f>
        <v/>
      </c>
      <c r="AU43" s="243" t="str">
        <f>IF($AL43="","",RANK(AV43,$AV$2:$AV$1001)+COUNTIF($AV$2:AV43,AV43)-1)</f>
        <v/>
      </c>
      <c r="AV43" s="266">
        <f t="shared" si="1"/>
        <v>0</v>
      </c>
    </row>
    <row r="44" spans="1:48" ht="15" customHeight="1" x14ac:dyDescent="0.2">
      <c r="A44" s="271">
        <v>10</v>
      </c>
      <c r="B44" s="271" t="str">
        <f t="shared" si="12"/>
        <v/>
      </c>
      <c r="C44" s="271" t="str">
        <f t="shared" si="13"/>
        <v/>
      </c>
      <c r="D44" s="271" t="str">
        <f t="shared" si="14"/>
        <v/>
      </c>
      <c r="E44" s="275" t="str">
        <f t="shared" si="15"/>
        <v/>
      </c>
      <c r="F44" s="272" t="str">
        <f t="shared" si="16"/>
        <v/>
      </c>
      <c r="G44" s="273" t="str">
        <f t="shared" si="17"/>
        <v/>
      </c>
      <c r="H44" s="271" t="str">
        <f t="shared" si="18"/>
        <v/>
      </c>
      <c r="J44" s="271">
        <v>10</v>
      </c>
      <c r="K44" s="271" t="str">
        <f t="shared" si="19"/>
        <v/>
      </c>
      <c r="L44" s="271" t="str">
        <f t="shared" si="20"/>
        <v/>
      </c>
      <c r="M44" s="271" t="str">
        <f t="shared" si="21"/>
        <v/>
      </c>
      <c r="N44" s="275" t="str">
        <f t="shared" si="22"/>
        <v/>
      </c>
      <c r="O44" s="272" t="str">
        <f t="shared" si="23"/>
        <v/>
      </c>
      <c r="P44" s="273" t="str">
        <f t="shared" si="24"/>
        <v/>
      </c>
      <c r="Q44" s="271" t="str">
        <f t="shared" si="25"/>
        <v/>
      </c>
      <c r="Z44" s="243" t="str">
        <f>Shares!A44</f>
        <v/>
      </c>
      <c r="AA44" s="243" t="str">
        <f>Shares!B44</f>
        <v/>
      </c>
      <c r="AB44" s="243" t="str">
        <f>Shares!C44</f>
        <v/>
      </c>
      <c r="AC44" s="243" t="str">
        <f>Shares!D44</f>
        <v/>
      </c>
      <c r="AD44" s="265">
        <f>IF($Z44="",0,Shares!E44)</f>
        <v>0</v>
      </c>
      <c r="AE44" s="266">
        <f>IF($Z44="",0,Shares!J44*Shares!I44)</f>
        <v>0</v>
      </c>
      <c r="AF44" s="267">
        <f t="shared" si="0"/>
        <v>0</v>
      </c>
      <c r="AG44" s="266">
        <f>IF($Z44="",0,Shares!L44)</f>
        <v>0</v>
      </c>
      <c r="AH44" s="267">
        <f>IF($Z44="",0,Shares!M44)</f>
        <v>0</v>
      </c>
      <c r="AI44" s="243" t="str">
        <f>IF($Z44="","",RANK(AE44,$AE$2:$AE$1001)+COUNTIF($AE$2:AE44,AE44)-1)</f>
        <v/>
      </c>
      <c r="AJ44" s="243" t="str">
        <f>IF($AD44&lt;0,COUNT($AJ$1:AJ43)+1,"")</f>
        <v/>
      </c>
      <c r="AL44" s="243" t="str">
        <f>'All Ticker P&amp;L'!A44</f>
        <v/>
      </c>
      <c r="AM44" s="243" t="str">
        <f>'All Ticker P&amp;L'!B44</f>
        <v/>
      </c>
      <c r="AN44" s="243" t="str">
        <f>'All Ticker P&amp;L'!C44</f>
        <v/>
      </c>
      <c r="AO44" s="243" t="str">
        <f>'All Ticker P&amp;L'!D44</f>
        <v/>
      </c>
      <c r="AP44" s="265">
        <f>IF($AL44="",0,'All Ticker P&amp;L'!E44)</f>
        <v>0</v>
      </c>
      <c r="AQ44" s="266">
        <f>IF($AL44="",0,'All Ticker P&amp;L'!J44*'All Ticker P&amp;L'!I44)</f>
        <v>0</v>
      </c>
      <c r="AR44" s="266">
        <f>IF($AL44="",0,'All Ticker P&amp;L'!L44)</f>
        <v>0</v>
      </c>
      <c r="AS44" s="267">
        <f>IF($AL44="",0,'All Ticker P&amp;L'!M44)</f>
        <v>0</v>
      </c>
      <c r="AT44" s="243" t="str">
        <f>IF($AL44="","",RANK(AR44,$AR$2:$AR$1001)+COUNTIF($AR$2:AR44,AR44)-1)</f>
        <v/>
      </c>
      <c r="AU44" s="243" t="str">
        <f>IF($AL44="","",RANK(AV44,$AV$2:$AV$1001)+COUNTIF($AV$2:AV44,AV44)-1)</f>
        <v/>
      </c>
      <c r="AV44" s="266">
        <f t="shared" si="1"/>
        <v>0</v>
      </c>
    </row>
    <row r="45" spans="1:48" ht="15" customHeight="1" x14ac:dyDescent="0.2">
      <c r="Z45" s="243" t="str">
        <f>Shares!A45</f>
        <v/>
      </c>
      <c r="AA45" s="243" t="str">
        <f>Shares!B45</f>
        <v/>
      </c>
      <c r="AB45" s="243" t="str">
        <f>Shares!C45</f>
        <v/>
      </c>
      <c r="AC45" s="243" t="str">
        <f>Shares!D45</f>
        <v/>
      </c>
      <c r="AD45" s="265">
        <f>IF($Z45="",0,Shares!E45)</f>
        <v>0</v>
      </c>
      <c r="AE45" s="266">
        <f>IF($Z45="",0,Shares!J45*Shares!I45)</f>
        <v>0</v>
      </c>
      <c r="AF45" s="267">
        <f t="shared" si="0"/>
        <v>0</v>
      </c>
      <c r="AG45" s="266">
        <f>IF($Z45="",0,Shares!L45)</f>
        <v>0</v>
      </c>
      <c r="AH45" s="267">
        <f>IF($Z45="",0,Shares!M45)</f>
        <v>0</v>
      </c>
      <c r="AI45" s="243" t="str">
        <f>IF($Z45="","",RANK(AE45,$AE$2:$AE$1001)+COUNTIF($AE$2:AE45,AE45)-1)</f>
        <v/>
      </c>
      <c r="AJ45" s="243" t="str">
        <f>IF($AD45&lt;0,COUNT($AJ$1:AJ44)+1,"")</f>
        <v/>
      </c>
      <c r="AL45" s="243" t="str">
        <f>'All Ticker P&amp;L'!A45</f>
        <v/>
      </c>
      <c r="AM45" s="243" t="str">
        <f>'All Ticker P&amp;L'!B45</f>
        <v/>
      </c>
      <c r="AN45" s="243" t="str">
        <f>'All Ticker P&amp;L'!C45</f>
        <v/>
      </c>
      <c r="AO45" s="243" t="str">
        <f>'All Ticker P&amp;L'!D45</f>
        <v/>
      </c>
      <c r="AP45" s="265">
        <f>IF($AL45="",0,'All Ticker P&amp;L'!E45)</f>
        <v>0</v>
      </c>
      <c r="AQ45" s="266">
        <f>IF($AL45="",0,'All Ticker P&amp;L'!J45*'All Ticker P&amp;L'!I45)</f>
        <v>0</v>
      </c>
      <c r="AR45" s="266">
        <f>IF($AL45="",0,'All Ticker P&amp;L'!L45)</f>
        <v>0</v>
      </c>
      <c r="AS45" s="267">
        <f>IF($AL45="",0,'All Ticker P&amp;L'!M45)</f>
        <v>0</v>
      </c>
      <c r="AT45" s="243" t="str">
        <f>IF($AL45="","",RANK(AR45,$AR$2:$AR$1001)+COUNTIF($AR$2:AR45,AR45)-1)</f>
        <v/>
      </c>
      <c r="AU45" s="243" t="str">
        <f>IF($AL45="","",RANK(AV45,$AV$2:$AV$1001)+COUNTIF($AV$2:AV45,AV45)-1)</f>
        <v/>
      </c>
      <c r="AV45" s="266">
        <f t="shared" si="1"/>
        <v>0</v>
      </c>
    </row>
    <row r="46" spans="1:48" ht="15" customHeight="1" x14ac:dyDescent="0.2">
      <c r="Z46" s="243" t="str">
        <f>Shares!A46</f>
        <v/>
      </c>
      <c r="AA46" s="243" t="str">
        <f>Shares!B46</f>
        <v/>
      </c>
      <c r="AB46" s="243" t="str">
        <f>Shares!C46</f>
        <v/>
      </c>
      <c r="AC46" s="243" t="str">
        <f>Shares!D46</f>
        <v/>
      </c>
      <c r="AD46" s="265">
        <f>IF($Z46="",0,Shares!E46)</f>
        <v>0</v>
      </c>
      <c r="AE46" s="266">
        <f>IF($Z46="",0,Shares!J46*Shares!I46)</f>
        <v>0</v>
      </c>
      <c r="AF46" s="267">
        <f t="shared" si="0"/>
        <v>0</v>
      </c>
      <c r="AG46" s="266">
        <f>IF($Z46="",0,Shares!L46)</f>
        <v>0</v>
      </c>
      <c r="AH46" s="267">
        <f>IF($Z46="",0,Shares!M46)</f>
        <v>0</v>
      </c>
      <c r="AI46" s="243" t="str">
        <f>IF($Z46="","",RANK(AE46,$AE$2:$AE$1001)+COUNTIF($AE$2:AE46,AE46)-1)</f>
        <v/>
      </c>
      <c r="AJ46" s="243" t="str">
        <f>IF($AD46&lt;0,COUNT($AJ$1:AJ45)+1,"")</f>
        <v/>
      </c>
      <c r="AL46" s="243" t="str">
        <f>'All Ticker P&amp;L'!A46</f>
        <v/>
      </c>
      <c r="AM46" s="243" t="str">
        <f>'All Ticker P&amp;L'!B46</f>
        <v/>
      </c>
      <c r="AN46" s="243" t="str">
        <f>'All Ticker P&amp;L'!C46</f>
        <v/>
      </c>
      <c r="AO46" s="243" t="str">
        <f>'All Ticker P&amp;L'!D46</f>
        <v/>
      </c>
      <c r="AP46" s="265">
        <f>IF($AL46="",0,'All Ticker P&amp;L'!E46)</f>
        <v>0</v>
      </c>
      <c r="AQ46" s="266">
        <f>IF($AL46="",0,'All Ticker P&amp;L'!J46*'All Ticker P&amp;L'!I46)</f>
        <v>0</v>
      </c>
      <c r="AR46" s="266">
        <f>IF($AL46="",0,'All Ticker P&amp;L'!L46)</f>
        <v>0</v>
      </c>
      <c r="AS46" s="267">
        <f>IF($AL46="",0,'All Ticker P&amp;L'!M46)</f>
        <v>0</v>
      </c>
      <c r="AT46" s="243" t="str">
        <f>IF($AL46="","",RANK(AR46,$AR$2:$AR$1001)+COUNTIF($AR$2:AR46,AR46)-1)</f>
        <v/>
      </c>
      <c r="AU46" s="243" t="str">
        <f>IF($AL46="","",RANK(AV46,$AV$2:$AV$1001)+COUNTIF($AV$2:AV46,AV46)-1)</f>
        <v/>
      </c>
      <c r="AV46" s="266">
        <f t="shared" si="1"/>
        <v>0</v>
      </c>
    </row>
    <row r="47" spans="1:48" ht="15" customHeight="1" x14ac:dyDescent="0.2">
      <c r="A47" s="268" t="s">
        <v>498</v>
      </c>
      <c r="J47" s="268" t="s">
        <v>499</v>
      </c>
      <c r="Z47" s="243" t="str">
        <f>Shares!A47</f>
        <v/>
      </c>
      <c r="AA47" s="243" t="str">
        <f>Shares!B47</f>
        <v/>
      </c>
      <c r="AB47" s="243" t="str">
        <f>Shares!C47</f>
        <v/>
      </c>
      <c r="AC47" s="243" t="str">
        <f>Shares!D47</f>
        <v/>
      </c>
      <c r="AD47" s="265">
        <f>IF($Z47="",0,Shares!E47)</f>
        <v>0</v>
      </c>
      <c r="AE47" s="266">
        <f>IF($Z47="",0,Shares!J47*Shares!I47)</f>
        <v>0</v>
      </c>
      <c r="AF47" s="267">
        <f t="shared" si="0"/>
        <v>0</v>
      </c>
      <c r="AG47" s="266">
        <f>IF($Z47="",0,Shares!L47)</f>
        <v>0</v>
      </c>
      <c r="AH47" s="267">
        <f>IF($Z47="",0,Shares!M47)</f>
        <v>0</v>
      </c>
      <c r="AI47" s="243" t="str">
        <f>IF($Z47="","",RANK(AE47,$AE$2:$AE$1001)+COUNTIF($AE$2:AE47,AE47)-1)</f>
        <v/>
      </c>
      <c r="AJ47" s="243" t="str">
        <f>IF($AD47&lt;0,COUNT($AJ$1:AJ46)+1,"")</f>
        <v/>
      </c>
      <c r="AL47" s="243" t="str">
        <f>'All Ticker P&amp;L'!A47</f>
        <v/>
      </c>
      <c r="AM47" s="243" t="str">
        <f>'All Ticker P&amp;L'!B47</f>
        <v/>
      </c>
      <c r="AN47" s="243" t="str">
        <f>'All Ticker P&amp;L'!C47</f>
        <v/>
      </c>
      <c r="AO47" s="243" t="str">
        <f>'All Ticker P&amp;L'!D47</f>
        <v/>
      </c>
      <c r="AP47" s="265">
        <f>IF($AL47="",0,'All Ticker P&amp;L'!E47)</f>
        <v>0</v>
      </c>
      <c r="AQ47" s="266">
        <f>IF($AL47="",0,'All Ticker P&amp;L'!J47*'All Ticker P&amp;L'!I47)</f>
        <v>0</v>
      </c>
      <c r="AR47" s="266">
        <f>IF($AL47="",0,'All Ticker P&amp;L'!L47)</f>
        <v>0</v>
      </c>
      <c r="AS47" s="267">
        <f>IF($AL47="",0,'All Ticker P&amp;L'!M47)</f>
        <v>0</v>
      </c>
      <c r="AT47" s="243" t="str">
        <f>IF($AL47="","",RANK(AR47,$AR$2:$AR$1001)+COUNTIF($AR$2:AR47,AR47)-1)</f>
        <v/>
      </c>
      <c r="AU47" s="243" t="str">
        <f>IF($AL47="","",RANK(AV47,$AV$2:$AV$1001)+COUNTIF($AV$2:AV47,AV47)-1)</f>
        <v/>
      </c>
      <c r="AV47" s="266">
        <f t="shared" si="1"/>
        <v>0</v>
      </c>
    </row>
    <row r="48" spans="1:48" ht="15" customHeight="1" x14ac:dyDescent="0.2">
      <c r="A48" s="269" t="s">
        <v>472</v>
      </c>
      <c r="B48" s="269" t="s">
        <v>395</v>
      </c>
      <c r="C48" s="269" t="s">
        <v>387</v>
      </c>
      <c r="D48" s="269" t="s">
        <v>390</v>
      </c>
      <c r="E48" s="269" t="s">
        <v>496</v>
      </c>
      <c r="F48" s="269" t="s">
        <v>473</v>
      </c>
      <c r="G48" s="269" t="s">
        <v>475</v>
      </c>
      <c r="H48" s="269" t="s">
        <v>474</v>
      </c>
      <c r="J48" s="269" t="s">
        <v>485</v>
      </c>
      <c r="K48" s="276">
        <f>$B$13</f>
        <v>0</v>
      </c>
      <c r="Z48" s="243" t="str">
        <f>Shares!A48</f>
        <v/>
      </c>
      <c r="AA48" s="243" t="str">
        <f>Shares!B48</f>
        <v/>
      </c>
      <c r="AB48" s="243" t="str">
        <f>Shares!C48</f>
        <v/>
      </c>
      <c r="AC48" s="243" t="str">
        <f>Shares!D48</f>
        <v/>
      </c>
      <c r="AD48" s="265">
        <f>IF($Z48="",0,Shares!E48)</f>
        <v>0</v>
      </c>
      <c r="AE48" s="266">
        <f>IF($Z48="",0,Shares!J48*Shares!I48)</f>
        <v>0</v>
      </c>
      <c r="AF48" s="267">
        <f t="shared" si="0"/>
        <v>0</v>
      </c>
      <c r="AG48" s="266">
        <f>IF($Z48="",0,Shares!L48)</f>
        <v>0</v>
      </c>
      <c r="AH48" s="267">
        <f>IF($Z48="",0,Shares!M48)</f>
        <v>0</v>
      </c>
      <c r="AI48" s="243" t="str">
        <f>IF($Z48="","",RANK(AE48,$AE$2:$AE$1001)+COUNTIF($AE$2:AE48,AE48)-1)</f>
        <v/>
      </c>
      <c r="AJ48" s="243" t="str">
        <f>IF($AD48&lt;0,COUNT($AJ$1:AJ47)+1,"")</f>
        <v/>
      </c>
      <c r="AL48" s="243" t="str">
        <f>'All Ticker P&amp;L'!A48</f>
        <v/>
      </c>
      <c r="AM48" s="243" t="str">
        <f>'All Ticker P&amp;L'!B48</f>
        <v/>
      </c>
      <c r="AN48" s="243" t="str">
        <f>'All Ticker P&amp;L'!C48</f>
        <v/>
      </c>
      <c r="AO48" s="243" t="str">
        <f>'All Ticker P&amp;L'!D48</f>
        <v/>
      </c>
      <c r="AP48" s="265">
        <f>IF($AL48="",0,'All Ticker P&amp;L'!E48)</f>
        <v>0</v>
      </c>
      <c r="AQ48" s="266">
        <f>IF($AL48="",0,'All Ticker P&amp;L'!J48*'All Ticker P&amp;L'!I48)</f>
        <v>0</v>
      </c>
      <c r="AR48" s="266">
        <f>IF($AL48="",0,'All Ticker P&amp;L'!L48)</f>
        <v>0</v>
      </c>
      <c r="AS48" s="267">
        <f>IF($AL48="",0,'All Ticker P&amp;L'!M48)</f>
        <v>0</v>
      </c>
      <c r="AT48" s="243" t="str">
        <f>IF($AL48="","",RANK(AR48,$AR$2:$AR$1001)+COUNTIF($AR$2:AR48,AR48)-1)</f>
        <v/>
      </c>
      <c r="AU48" s="243" t="str">
        <f>IF($AL48="","",RANK(AV48,$AV$2:$AV$1001)+COUNTIF($AV$2:AV48,AV48)-1)</f>
        <v/>
      </c>
      <c r="AV48" s="266">
        <f t="shared" si="1"/>
        <v>0</v>
      </c>
    </row>
    <row r="49" spans="1:48" ht="15" customHeight="1" x14ac:dyDescent="0.2">
      <c r="A49" s="277">
        <v>1</v>
      </c>
      <c r="B49" s="277" t="str">
        <f t="shared" ref="B49:B58" si="26">IFERROR(INDEX($Z$2:$Z$1001,MATCH($A49,$AJ$2:$AJ$1001,0)),"")</f>
        <v/>
      </c>
      <c r="C49" s="277" t="str">
        <f t="shared" ref="C49:C58" si="27">IF($B49="","",INDEX($AA$2:$AA$1001,MATCH($A49,$AJ$2:$AJ$1001,0)))</f>
        <v/>
      </c>
      <c r="D49" s="277" t="str">
        <f t="shared" ref="D49:D58" si="28">IF($B49="","",INDEX($AC$2:$AC$1001,MATCH($A49,$AJ$2:$AJ$1001,0)))</f>
        <v/>
      </c>
      <c r="E49" s="278" t="str">
        <f t="shared" ref="E49:E58" si="29">IF($B49="","",INDEX($AD$2:$AD$1001,MATCH($A49,$AJ$2:$AJ$1001,0)))</f>
        <v/>
      </c>
      <c r="F49" s="279" t="str">
        <f t="shared" ref="F49:F58" si="30">IF($B49="","",INDEX($AE$2:$AE$1001,MATCH($A49,$AJ$2:$AJ$1001,0)))</f>
        <v/>
      </c>
      <c r="G49" s="279" t="str">
        <f t="shared" ref="G49:G58" si="31">IF($B49="","",INDEX($AG$2:$AG$1001,MATCH($A49,$AJ$2:$AJ$1001,0)))</f>
        <v/>
      </c>
      <c r="H49" s="280" t="str">
        <f t="shared" ref="H49:H58" si="32">IF($B49="","",INDEX($AF$2:$AF$1001,MATCH($A49,$AJ$2:$AJ$1001,0)))</f>
        <v/>
      </c>
      <c r="J49" s="271" t="s">
        <v>500</v>
      </c>
      <c r="K49" s="274">
        <f>$B$14</f>
        <v>0</v>
      </c>
      <c r="Z49" s="243" t="str">
        <f>Shares!A49</f>
        <v/>
      </c>
      <c r="AA49" s="243" t="str">
        <f>Shares!B49</f>
        <v/>
      </c>
      <c r="AB49" s="243" t="str">
        <f>Shares!C49</f>
        <v/>
      </c>
      <c r="AC49" s="243" t="str">
        <f>Shares!D49</f>
        <v/>
      </c>
      <c r="AD49" s="265">
        <f>IF($Z49="",0,Shares!E49)</f>
        <v>0</v>
      </c>
      <c r="AE49" s="266">
        <f>IF($Z49="",0,Shares!J49*Shares!I49)</f>
        <v>0</v>
      </c>
      <c r="AF49" s="267">
        <f t="shared" si="0"/>
        <v>0</v>
      </c>
      <c r="AG49" s="266">
        <f>IF($Z49="",0,Shares!L49)</f>
        <v>0</v>
      </c>
      <c r="AH49" s="267">
        <f>IF($Z49="",0,Shares!M49)</f>
        <v>0</v>
      </c>
      <c r="AI49" s="243" t="str">
        <f>IF($Z49="","",RANK(AE49,$AE$2:$AE$1001)+COUNTIF($AE$2:AE49,AE49)-1)</f>
        <v/>
      </c>
      <c r="AJ49" s="243" t="str">
        <f>IF($AD49&lt;0,COUNT($AJ$1:AJ48)+1,"")</f>
        <v/>
      </c>
      <c r="AL49" s="243" t="str">
        <f>'All Ticker P&amp;L'!A49</f>
        <v/>
      </c>
      <c r="AM49" s="243" t="str">
        <f>'All Ticker P&amp;L'!B49</f>
        <v/>
      </c>
      <c r="AN49" s="243" t="str">
        <f>'All Ticker P&amp;L'!C49</f>
        <v/>
      </c>
      <c r="AO49" s="243" t="str">
        <f>'All Ticker P&amp;L'!D49</f>
        <v/>
      </c>
      <c r="AP49" s="265">
        <f>IF($AL49="",0,'All Ticker P&amp;L'!E49)</f>
        <v>0</v>
      </c>
      <c r="AQ49" s="266">
        <f>IF($AL49="",0,'All Ticker P&amp;L'!J49*'All Ticker P&amp;L'!I49)</f>
        <v>0</v>
      </c>
      <c r="AR49" s="266">
        <f>IF($AL49="",0,'All Ticker P&amp;L'!L49)</f>
        <v>0</v>
      </c>
      <c r="AS49" s="267">
        <f>IF($AL49="",0,'All Ticker P&amp;L'!M49)</f>
        <v>0</v>
      </c>
      <c r="AT49" s="243" t="str">
        <f>IF($AL49="","",RANK(AR49,$AR$2:$AR$1001)+COUNTIF($AR$2:AR49,AR49)-1)</f>
        <v/>
      </c>
      <c r="AU49" s="243" t="str">
        <f>IF($AL49="","",RANK(AV49,$AV$2:$AV$1001)+COUNTIF($AV$2:AV49,AV49)-1)</f>
        <v/>
      </c>
      <c r="AV49" s="266">
        <f t="shared" si="1"/>
        <v>0</v>
      </c>
    </row>
    <row r="50" spans="1:48" ht="15" customHeight="1" x14ac:dyDescent="0.2">
      <c r="A50" s="277">
        <v>2</v>
      </c>
      <c r="B50" s="277" t="str">
        <f t="shared" si="26"/>
        <v/>
      </c>
      <c r="C50" s="277" t="str">
        <f t="shared" si="27"/>
        <v/>
      </c>
      <c r="D50" s="277" t="str">
        <f t="shared" si="28"/>
        <v/>
      </c>
      <c r="E50" s="278" t="str">
        <f t="shared" si="29"/>
        <v/>
      </c>
      <c r="F50" s="279" t="str">
        <f t="shared" si="30"/>
        <v/>
      </c>
      <c r="G50" s="279" t="str">
        <f t="shared" si="31"/>
        <v/>
      </c>
      <c r="H50" s="280" t="str">
        <f t="shared" si="32"/>
        <v/>
      </c>
      <c r="J50" s="271" t="s">
        <v>501</v>
      </c>
      <c r="K50" s="281">
        <f>COUNTIFS($Z$2:$Z$1001,"?*",$AE$2:$AE$1001,0)</f>
        <v>0</v>
      </c>
      <c r="Z50" s="243" t="str">
        <f>Shares!A50</f>
        <v/>
      </c>
      <c r="AA50" s="243" t="str">
        <f>Shares!B50</f>
        <v/>
      </c>
      <c r="AB50" s="243" t="str">
        <f>Shares!C50</f>
        <v/>
      </c>
      <c r="AC50" s="243" t="str">
        <f>Shares!D50</f>
        <v/>
      </c>
      <c r="AD50" s="265">
        <f>IF($Z50="",0,Shares!E50)</f>
        <v>0</v>
      </c>
      <c r="AE50" s="266">
        <f>IF($Z50="",0,Shares!J50*Shares!I50)</f>
        <v>0</v>
      </c>
      <c r="AF50" s="267">
        <f t="shared" si="0"/>
        <v>0</v>
      </c>
      <c r="AG50" s="266">
        <f>IF($Z50="",0,Shares!L50)</f>
        <v>0</v>
      </c>
      <c r="AH50" s="267">
        <f>IF($Z50="",0,Shares!M50)</f>
        <v>0</v>
      </c>
      <c r="AI50" s="243" t="str">
        <f>IF($Z50="","",RANK(AE50,$AE$2:$AE$1001)+COUNTIF($AE$2:AE50,AE50)-1)</f>
        <v/>
      </c>
      <c r="AJ50" s="243" t="str">
        <f>IF($AD50&lt;0,COUNT($AJ$1:AJ49)+1,"")</f>
        <v/>
      </c>
      <c r="AL50" s="243" t="str">
        <f>'All Ticker P&amp;L'!A50</f>
        <v/>
      </c>
      <c r="AM50" s="243" t="str">
        <f>'All Ticker P&amp;L'!B50</f>
        <v/>
      </c>
      <c r="AN50" s="243" t="str">
        <f>'All Ticker P&amp;L'!C50</f>
        <v/>
      </c>
      <c r="AO50" s="243" t="str">
        <f>'All Ticker P&amp;L'!D50</f>
        <v/>
      </c>
      <c r="AP50" s="265">
        <f>IF($AL50="",0,'All Ticker P&amp;L'!E50)</f>
        <v>0</v>
      </c>
      <c r="AQ50" s="266">
        <f>IF($AL50="",0,'All Ticker P&amp;L'!J50*'All Ticker P&amp;L'!I50)</f>
        <v>0</v>
      </c>
      <c r="AR50" s="266">
        <f>IF($AL50="",0,'All Ticker P&amp;L'!L50)</f>
        <v>0</v>
      </c>
      <c r="AS50" s="267">
        <f>IF($AL50="",0,'All Ticker P&amp;L'!M50)</f>
        <v>0</v>
      </c>
      <c r="AT50" s="243" t="str">
        <f>IF($AL50="","",RANK(AR50,$AR$2:$AR$1001)+COUNTIF($AR$2:AR50,AR50)-1)</f>
        <v/>
      </c>
      <c r="AU50" s="243" t="str">
        <f>IF($AL50="","",RANK(AV50,$AV$2:$AV$1001)+COUNTIF($AV$2:AV50,AV50)-1)</f>
        <v/>
      </c>
      <c r="AV50" s="266">
        <f t="shared" si="1"/>
        <v>0</v>
      </c>
    </row>
    <row r="51" spans="1:48" ht="15" customHeight="1" x14ac:dyDescent="0.2">
      <c r="A51" s="277">
        <v>3</v>
      </c>
      <c r="B51" s="277" t="str">
        <f t="shared" si="26"/>
        <v/>
      </c>
      <c r="C51" s="277" t="str">
        <f t="shared" si="27"/>
        <v/>
      </c>
      <c r="D51" s="277" t="str">
        <f t="shared" si="28"/>
        <v/>
      </c>
      <c r="E51" s="278" t="str">
        <f t="shared" si="29"/>
        <v/>
      </c>
      <c r="F51" s="279" t="str">
        <f t="shared" si="30"/>
        <v/>
      </c>
      <c r="G51" s="279" t="str">
        <f t="shared" si="31"/>
        <v/>
      </c>
      <c r="H51" s="280" t="str">
        <f t="shared" si="32"/>
        <v/>
      </c>
      <c r="J51" s="271" t="s">
        <v>484</v>
      </c>
      <c r="K51" s="273">
        <f>$B$12</f>
        <v>0.43925024383490546</v>
      </c>
      <c r="Z51" s="243" t="str">
        <f>Shares!A51</f>
        <v/>
      </c>
      <c r="AA51" s="243" t="str">
        <f>Shares!B51</f>
        <v/>
      </c>
      <c r="AB51" s="243" t="str">
        <f>Shares!C51</f>
        <v/>
      </c>
      <c r="AC51" s="243" t="str">
        <f>Shares!D51</f>
        <v/>
      </c>
      <c r="AD51" s="265">
        <f>IF($Z51="",0,Shares!E51)</f>
        <v>0</v>
      </c>
      <c r="AE51" s="266">
        <f>IF($Z51="",0,Shares!J51*Shares!I51)</f>
        <v>0</v>
      </c>
      <c r="AF51" s="267">
        <f t="shared" si="0"/>
        <v>0</v>
      </c>
      <c r="AG51" s="266">
        <f>IF($Z51="",0,Shares!L51)</f>
        <v>0</v>
      </c>
      <c r="AH51" s="267">
        <f>IF($Z51="",0,Shares!M51)</f>
        <v>0</v>
      </c>
      <c r="AI51" s="243" t="str">
        <f>IF($Z51="","",RANK(AE51,$AE$2:$AE$1001)+COUNTIF($AE$2:AE51,AE51)-1)</f>
        <v/>
      </c>
      <c r="AJ51" s="243" t="str">
        <f>IF($AD51&lt;0,COUNT($AJ$1:AJ50)+1,"")</f>
        <v/>
      </c>
      <c r="AL51" s="243" t="str">
        <f>'All Ticker P&amp;L'!A51</f>
        <v/>
      </c>
      <c r="AM51" s="243" t="str">
        <f>'All Ticker P&amp;L'!B51</f>
        <v/>
      </c>
      <c r="AN51" s="243" t="str">
        <f>'All Ticker P&amp;L'!C51</f>
        <v/>
      </c>
      <c r="AO51" s="243" t="str">
        <f>'All Ticker P&amp;L'!D51</f>
        <v/>
      </c>
      <c r="AP51" s="265">
        <f>IF($AL51="",0,'All Ticker P&amp;L'!E51)</f>
        <v>0</v>
      </c>
      <c r="AQ51" s="266">
        <f>IF($AL51="",0,'All Ticker P&amp;L'!J51*'All Ticker P&amp;L'!I51)</f>
        <v>0</v>
      </c>
      <c r="AR51" s="266">
        <f>IF($AL51="",0,'All Ticker P&amp;L'!L51)</f>
        <v>0</v>
      </c>
      <c r="AS51" s="267">
        <f>IF($AL51="",0,'All Ticker P&amp;L'!M51)</f>
        <v>0</v>
      </c>
      <c r="AT51" s="243" t="str">
        <f>IF($AL51="","",RANK(AR51,$AR$2:$AR$1001)+COUNTIF($AR$2:AR51,AR51)-1)</f>
        <v/>
      </c>
      <c r="AU51" s="243" t="str">
        <f>IF($AL51="","",RANK(AV51,$AV$2:$AV$1001)+COUNTIF($AV$2:AV51,AV51)-1)</f>
        <v/>
      </c>
      <c r="AV51" s="266">
        <f t="shared" si="1"/>
        <v>0</v>
      </c>
    </row>
    <row r="52" spans="1:48" ht="15" customHeight="1" x14ac:dyDescent="0.2">
      <c r="A52" s="277">
        <v>4</v>
      </c>
      <c r="B52" s="277" t="str">
        <f t="shared" si="26"/>
        <v/>
      </c>
      <c r="C52" s="277" t="str">
        <f t="shared" si="27"/>
        <v/>
      </c>
      <c r="D52" s="277" t="str">
        <f t="shared" si="28"/>
        <v/>
      </c>
      <c r="E52" s="278" t="str">
        <f t="shared" si="29"/>
        <v/>
      </c>
      <c r="F52" s="279" t="str">
        <f t="shared" si="30"/>
        <v/>
      </c>
      <c r="G52" s="279" t="str">
        <f t="shared" si="31"/>
        <v/>
      </c>
      <c r="H52" s="280" t="str">
        <f t="shared" si="32"/>
        <v/>
      </c>
      <c r="Z52" s="243" t="str">
        <f>Shares!A52</f>
        <v/>
      </c>
      <c r="AA52" s="243" t="str">
        <f>Shares!B52</f>
        <v/>
      </c>
      <c r="AB52" s="243" t="str">
        <f>Shares!C52</f>
        <v/>
      </c>
      <c r="AC52" s="243" t="str">
        <f>Shares!D52</f>
        <v/>
      </c>
      <c r="AD52" s="265">
        <f>IF($Z52="",0,Shares!E52)</f>
        <v>0</v>
      </c>
      <c r="AE52" s="266">
        <f>IF($Z52="",0,Shares!J52*Shares!I52)</f>
        <v>0</v>
      </c>
      <c r="AF52" s="267">
        <f t="shared" si="0"/>
        <v>0</v>
      </c>
      <c r="AG52" s="266">
        <f>IF($Z52="",0,Shares!L52)</f>
        <v>0</v>
      </c>
      <c r="AH52" s="267">
        <f>IF($Z52="",0,Shares!M52)</f>
        <v>0</v>
      </c>
      <c r="AI52" s="243" t="str">
        <f>IF($Z52="","",RANK(AE52,$AE$2:$AE$1001)+COUNTIF($AE$2:AE52,AE52)-1)</f>
        <v/>
      </c>
      <c r="AJ52" s="243" t="str">
        <f>IF($AD52&lt;0,COUNT($AJ$1:AJ51)+1,"")</f>
        <v/>
      </c>
      <c r="AL52" s="243" t="str">
        <f>'All Ticker P&amp;L'!A52</f>
        <v/>
      </c>
      <c r="AM52" s="243" t="str">
        <f>'All Ticker P&amp;L'!B52</f>
        <v/>
      </c>
      <c r="AN52" s="243" t="str">
        <f>'All Ticker P&amp;L'!C52</f>
        <v/>
      </c>
      <c r="AO52" s="243" t="str">
        <f>'All Ticker P&amp;L'!D52</f>
        <v/>
      </c>
      <c r="AP52" s="265">
        <f>IF($AL52="",0,'All Ticker P&amp;L'!E52)</f>
        <v>0</v>
      </c>
      <c r="AQ52" s="266">
        <f>IF($AL52="",0,'All Ticker P&amp;L'!J52*'All Ticker P&amp;L'!I52)</f>
        <v>0</v>
      </c>
      <c r="AR52" s="266">
        <f>IF($AL52="",0,'All Ticker P&amp;L'!L52)</f>
        <v>0</v>
      </c>
      <c r="AS52" s="267">
        <f>IF($AL52="",0,'All Ticker P&amp;L'!M52)</f>
        <v>0</v>
      </c>
      <c r="AT52" s="243" t="str">
        <f>IF($AL52="","",RANK(AR52,$AR$2:$AR$1001)+COUNTIF($AR$2:AR52,AR52)-1)</f>
        <v/>
      </c>
      <c r="AU52" s="243" t="str">
        <f>IF($AL52="","",RANK(AV52,$AV$2:$AV$1001)+COUNTIF($AV$2:AV52,AV52)-1)</f>
        <v/>
      </c>
      <c r="AV52" s="266">
        <f t="shared" si="1"/>
        <v>0</v>
      </c>
    </row>
    <row r="53" spans="1:48" ht="15" customHeight="1" x14ac:dyDescent="0.2">
      <c r="A53" s="277">
        <v>5</v>
      </c>
      <c r="B53" s="277" t="str">
        <f t="shared" si="26"/>
        <v/>
      </c>
      <c r="C53" s="277" t="str">
        <f t="shared" si="27"/>
        <v/>
      </c>
      <c r="D53" s="277" t="str">
        <f t="shared" si="28"/>
        <v/>
      </c>
      <c r="E53" s="278" t="str">
        <f t="shared" si="29"/>
        <v/>
      </c>
      <c r="F53" s="279" t="str">
        <f t="shared" si="30"/>
        <v/>
      </c>
      <c r="G53" s="279" t="str">
        <f t="shared" si="31"/>
        <v/>
      </c>
      <c r="H53" s="280" t="str">
        <f t="shared" si="32"/>
        <v/>
      </c>
      <c r="Z53" s="243" t="str">
        <f>Shares!A53</f>
        <v/>
      </c>
      <c r="AA53" s="243" t="str">
        <f>Shares!B53</f>
        <v/>
      </c>
      <c r="AB53" s="243" t="str">
        <f>Shares!C53</f>
        <v/>
      </c>
      <c r="AC53" s="243" t="str">
        <f>Shares!D53</f>
        <v/>
      </c>
      <c r="AD53" s="265">
        <f>IF($Z53="",0,Shares!E53)</f>
        <v>0</v>
      </c>
      <c r="AE53" s="266">
        <f>IF($Z53="",0,Shares!J53*Shares!I53)</f>
        <v>0</v>
      </c>
      <c r="AF53" s="267">
        <f t="shared" si="0"/>
        <v>0</v>
      </c>
      <c r="AG53" s="266">
        <f>IF($Z53="",0,Shares!L53)</f>
        <v>0</v>
      </c>
      <c r="AH53" s="267">
        <f>IF($Z53="",0,Shares!M53)</f>
        <v>0</v>
      </c>
      <c r="AI53" s="243" t="str">
        <f>IF($Z53="","",RANK(AE53,$AE$2:$AE$1001)+COUNTIF($AE$2:AE53,AE53)-1)</f>
        <v/>
      </c>
      <c r="AJ53" s="243" t="str">
        <f>IF($AD53&lt;0,COUNT($AJ$1:AJ52)+1,"")</f>
        <v/>
      </c>
      <c r="AL53" s="243" t="str">
        <f>'All Ticker P&amp;L'!A53</f>
        <v/>
      </c>
      <c r="AM53" s="243" t="str">
        <f>'All Ticker P&amp;L'!B53</f>
        <v/>
      </c>
      <c r="AN53" s="243" t="str">
        <f>'All Ticker P&amp;L'!C53</f>
        <v/>
      </c>
      <c r="AO53" s="243" t="str">
        <f>'All Ticker P&amp;L'!D53</f>
        <v/>
      </c>
      <c r="AP53" s="265">
        <f>IF($AL53="",0,'All Ticker P&amp;L'!E53)</f>
        <v>0</v>
      </c>
      <c r="AQ53" s="266">
        <f>IF($AL53="",0,'All Ticker P&amp;L'!J53*'All Ticker P&amp;L'!I53)</f>
        <v>0</v>
      </c>
      <c r="AR53" s="266">
        <f>IF($AL53="",0,'All Ticker P&amp;L'!L53)</f>
        <v>0</v>
      </c>
      <c r="AS53" s="267">
        <f>IF($AL53="",0,'All Ticker P&amp;L'!M53)</f>
        <v>0</v>
      </c>
      <c r="AT53" s="243" t="str">
        <f>IF($AL53="","",RANK(AR53,$AR$2:$AR$1001)+COUNTIF($AR$2:AR53,AR53)-1)</f>
        <v/>
      </c>
      <c r="AU53" s="243" t="str">
        <f>IF($AL53="","",RANK(AV53,$AV$2:$AV$1001)+COUNTIF($AV$2:AV53,AV53)-1)</f>
        <v/>
      </c>
      <c r="AV53" s="266">
        <f t="shared" si="1"/>
        <v>0</v>
      </c>
    </row>
    <row r="54" spans="1:48" ht="15" customHeight="1" x14ac:dyDescent="0.2">
      <c r="A54" s="277">
        <v>6</v>
      </c>
      <c r="B54" s="277" t="str">
        <f t="shared" si="26"/>
        <v/>
      </c>
      <c r="C54" s="277" t="str">
        <f t="shared" si="27"/>
        <v/>
      </c>
      <c r="D54" s="277" t="str">
        <f t="shared" si="28"/>
        <v/>
      </c>
      <c r="E54" s="278" t="str">
        <f t="shared" si="29"/>
        <v/>
      </c>
      <c r="F54" s="279" t="str">
        <f t="shared" si="30"/>
        <v/>
      </c>
      <c r="G54" s="279" t="str">
        <f t="shared" si="31"/>
        <v/>
      </c>
      <c r="H54" s="280" t="str">
        <f t="shared" si="32"/>
        <v/>
      </c>
      <c r="Z54" s="243" t="str">
        <f>Shares!A54</f>
        <v/>
      </c>
      <c r="AA54" s="243" t="str">
        <f>Shares!B54</f>
        <v/>
      </c>
      <c r="AB54" s="243" t="str">
        <f>Shares!C54</f>
        <v/>
      </c>
      <c r="AC54" s="243" t="str">
        <f>Shares!D54</f>
        <v/>
      </c>
      <c r="AD54" s="265">
        <f>IF($Z54="",0,Shares!E54)</f>
        <v>0</v>
      </c>
      <c r="AE54" s="266">
        <f>IF($Z54="",0,Shares!J54*Shares!I54)</f>
        <v>0</v>
      </c>
      <c r="AF54" s="267">
        <f t="shared" si="0"/>
        <v>0</v>
      </c>
      <c r="AG54" s="266">
        <f>IF($Z54="",0,Shares!L54)</f>
        <v>0</v>
      </c>
      <c r="AH54" s="267">
        <f>IF($Z54="",0,Shares!M54)</f>
        <v>0</v>
      </c>
      <c r="AI54" s="243" t="str">
        <f>IF($Z54="","",RANK(AE54,$AE$2:$AE$1001)+COUNTIF($AE$2:AE54,AE54)-1)</f>
        <v/>
      </c>
      <c r="AJ54" s="243" t="str">
        <f>IF($AD54&lt;0,COUNT($AJ$1:AJ53)+1,"")</f>
        <v/>
      </c>
      <c r="AL54" s="243" t="str">
        <f>'All Ticker P&amp;L'!A54</f>
        <v/>
      </c>
      <c r="AM54" s="243" t="str">
        <f>'All Ticker P&amp;L'!B54</f>
        <v/>
      </c>
      <c r="AN54" s="243" t="str">
        <f>'All Ticker P&amp;L'!C54</f>
        <v/>
      </c>
      <c r="AO54" s="243" t="str">
        <f>'All Ticker P&amp;L'!D54</f>
        <v/>
      </c>
      <c r="AP54" s="265">
        <f>IF($AL54="",0,'All Ticker P&amp;L'!E54)</f>
        <v>0</v>
      </c>
      <c r="AQ54" s="266">
        <f>IF($AL54="",0,'All Ticker P&amp;L'!J54*'All Ticker P&amp;L'!I54)</f>
        <v>0</v>
      </c>
      <c r="AR54" s="266">
        <f>IF($AL54="",0,'All Ticker P&amp;L'!L54)</f>
        <v>0</v>
      </c>
      <c r="AS54" s="267">
        <f>IF($AL54="",0,'All Ticker P&amp;L'!M54)</f>
        <v>0</v>
      </c>
      <c r="AT54" s="243" t="str">
        <f>IF($AL54="","",RANK(AR54,$AR$2:$AR$1001)+COUNTIF($AR$2:AR54,AR54)-1)</f>
        <v/>
      </c>
      <c r="AU54" s="243" t="str">
        <f>IF($AL54="","",RANK(AV54,$AV$2:$AV$1001)+COUNTIF($AV$2:AV54,AV54)-1)</f>
        <v/>
      </c>
      <c r="AV54" s="266">
        <f t="shared" si="1"/>
        <v>0</v>
      </c>
    </row>
    <row r="55" spans="1:48" ht="15" customHeight="1" x14ac:dyDescent="0.2">
      <c r="A55" s="277">
        <v>7</v>
      </c>
      <c r="B55" s="277" t="str">
        <f t="shared" si="26"/>
        <v/>
      </c>
      <c r="C55" s="277" t="str">
        <f t="shared" si="27"/>
        <v/>
      </c>
      <c r="D55" s="277" t="str">
        <f t="shared" si="28"/>
        <v/>
      </c>
      <c r="E55" s="278" t="str">
        <f t="shared" si="29"/>
        <v/>
      </c>
      <c r="F55" s="279" t="str">
        <f t="shared" si="30"/>
        <v/>
      </c>
      <c r="G55" s="279" t="str">
        <f t="shared" si="31"/>
        <v/>
      </c>
      <c r="H55" s="280" t="str">
        <f t="shared" si="32"/>
        <v/>
      </c>
      <c r="Z55" s="243" t="str">
        <f>Shares!A55</f>
        <v/>
      </c>
      <c r="AA55" s="243" t="str">
        <f>Shares!B55</f>
        <v/>
      </c>
      <c r="AB55" s="243" t="str">
        <f>Shares!C55</f>
        <v/>
      </c>
      <c r="AC55" s="243" t="str">
        <f>Shares!D55</f>
        <v/>
      </c>
      <c r="AD55" s="265">
        <f>IF($Z55="",0,Shares!E55)</f>
        <v>0</v>
      </c>
      <c r="AE55" s="266">
        <f>IF($Z55="",0,Shares!J55*Shares!I55)</f>
        <v>0</v>
      </c>
      <c r="AF55" s="267">
        <f t="shared" si="0"/>
        <v>0</v>
      </c>
      <c r="AG55" s="266">
        <f>IF($Z55="",0,Shares!L55)</f>
        <v>0</v>
      </c>
      <c r="AH55" s="267">
        <f>IF($Z55="",0,Shares!M55)</f>
        <v>0</v>
      </c>
      <c r="AI55" s="243" t="str">
        <f>IF($Z55="","",RANK(AE55,$AE$2:$AE$1001)+COUNTIF($AE$2:AE55,AE55)-1)</f>
        <v/>
      </c>
      <c r="AJ55" s="243" t="str">
        <f>IF($AD55&lt;0,COUNT($AJ$1:AJ54)+1,"")</f>
        <v/>
      </c>
      <c r="AL55" s="243" t="str">
        <f>'All Ticker P&amp;L'!A55</f>
        <v/>
      </c>
      <c r="AM55" s="243" t="str">
        <f>'All Ticker P&amp;L'!B55</f>
        <v/>
      </c>
      <c r="AN55" s="243" t="str">
        <f>'All Ticker P&amp;L'!C55</f>
        <v/>
      </c>
      <c r="AO55" s="243" t="str">
        <f>'All Ticker P&amp;L'!D55</f>
        <v/>
      </c>
      <c r="AP55" s="265">
        <f>IF($AL55="",0,'All Ticker P&amp;L'!E55)</f>
        <v>0</v>
      </c>
      <c r="AQ55" s="266">
        <f>IF($AL55="",0,'All Ticker P&amp;L'!J55*'All Ticker P&amp;L'!I55)</f>
        <v>0</v>
      </c>
      <c r="AR55" s="266">
        <f>IF($AL55="",0,'All Ticker P&amp;L'!L55)</f>
        <v>0</v>
      </c>
      <c r="AS55" s="267">
        <f>IF($AL55="",0,'All Ticker P&amp;L'!M55)</f>
        <v>0</v>
      </c>
      <c r="AT55" s="243" t="str">
        <f>IF($AL55="","",RANK(AR55,$AR$2:$AR$1001)+COUNTIF($AR$2:AR55,AR55)-1)</f>
        <v/>
      </c>
      <c r="AU55" s="243" t="str">
        <f>IF($AL55="","",RANK(AV55,$AV$2:$AV$1001)+COUNTIF($AV$2:AV55,AV55)-1)</f>
        <v/>
      </c>
      <c r="AV55" s="266">
        <f t="shared" si="1"/>
        <v>0</v>
      </c>
    </row>
    <row r="56" spans="1:48" ht="15" customHeight="1" x14ac:dyDescent="0.2">
      <c r="A56" s="277">
        <v>8</v>
      </c>
      <c r="B56" s="277" t="str">
        <f t="shared" si="26"/>
        <v/>
      </c>
      <c r="C56" s="277" t="str">
        <f t="shared" si="27"/>
        <v/>
      </c>
      <c r="D56" s="277" t="str">
        <f t="shared" si="28"/>
        <v/>
      </c>
      <c r="E56" s="278" t="str">
        <f t="shared" si="29"/>
        <v/>
      </c>
      <c r="F56" s="279" t="str">
        <f t="shared" si="30"/>
        <v/>
      </c>
      <c r="G56" s="279" t="str">
        <f t="shared" si="31"/>
        <v/>
      </c>
      <c r="H56" s="280" t="str">
        <f t="shared" si="32"/>
        <v/>
      </c>
      <c r="Z56" s="243" t="str">
        <f>Shares!A56</f>
        <v/>
      </c>
      <c r="AA56" s="243" t="str">
        <f>Shares!B56</f>
        <v/>
      </c>
      <c r="AB56" s="243" t="str">
        <f>Shares!C56</f>
        <v/>
      </c>
      <c r="AC56" s="243" t="str">
        <f>Shares!D56</f>
        <v/>
      </c>
      <c r="AD56" s="265">
        <f>IF($Z56="",0,Shares!E56)</f>
        <v>0</v>
      </c>
      <c r="AE56" s="266">
        <f>IF($Z56="",0,Shares!J56*Shares!I56)</f>
        <v>0</v>
      </c>
      <c r="AF56" s="267">
        <f t="shared" si="0"/>
        <v>0</v>
      </c>
      <c r="AG56" s="266">
        <f>IF($Z56="",0,Shares!L56)</f>
        <v>0</v>
      </c>
      <c r="AH56" s="267">
        <f>IF($Z56="",0,Shares!M56)</f>
        <v>0</v>
      </c>
      <c r="AI56" s="243" t="str">
        <f>IF($Z56="","",RANK(AE56,$AE$2:$AE$1001)+COUNTIF($AE$2:AE56,AE56)-1)</f>
        <v/>
      </c>
      <c r="AJ56" s="243" t="str">
        <f>IF($AD56&lt;0,COUNT($AJ$1:AJ55)+1,"")</f>
        <v/>
      </c>
      <c r="AL56" s="243" t="str">
        <f>'All Ticker P&amp;L'!A56</f>
        <v/>
      </c>
      <c r="AM56" s="243" t="str">
        <f>'All Ticker P&amp;L'!B56</f>
        <v/>
      </c>
      <c r="AN56" s="243" t="str">
        <f>'All Ticker P&amp;L'!C56</f>
        <v/>
      </c>
      <c r="AO56" s="243" t="str">
        <f>'All Ticker P&amp;L'!D56</f>
        <v/>
      </c>
      <c r="AP56" s="265">
        <f>IF($AL56="",0,'All Ticker P&amp;L'!E56)</f>
        <v>0</v>
      </c>
      <c r="AQ56" s="266">
        <f>IF($AL56="",0,'All Ticker P&amp;L'!J56*'All Ticker P&amp;L'!I56)</f>
        <v>0</v>
      </c>
      <c r="AR56" s="266">
        <f>IF($AL56="",0,'All Ticker P&amp;L'!L56)</f>
        <v>0</v>
      </c>
      <c r="AS56" s="267">
        <f>IF($AL56="",0,'All Ticker P&amp;L'!M56)</f>
        <v>0</v>
      </c>
      <c r="AT56" s="243" t="str">
        <f>IF($AL56="","",RANK(AR56,$AR$2:$AR$1001)+COUNTIF($AR$2:AR56,AR56)-1)</f>
        <v/>
      </c>
      <c r="AU56" s="243" t="str">
        <f>IF($AL56="","",RANK(AV56,$AV$2:$AV$1001)+COUNTIF($AV$2:AV56,AV56)-1)</f>
        <v/>
      </c>
      <c r="AV56" s="266">
        <f t="shared" si="1"/>
        <v>0</v>
      </c>
    </row>
    <row r="57" spans="1:48" ht="15" customHeight="1" x14ac:dyDescent="0.2">
      <c r="A57" s="277">
        <v>9</v>
      </c>
      <c r="B57" s="277" t="str">
        <f t="shared" si="26"/>
        <v/>
      </c>
      <c r="C57" s="277" t="str">
        <f t="shared" si="27"/>
        <v/>
      </c>
      <c r="D57" s="277" t="str">
        <f t="shared" si="28"/>
        <v/>
      </c>
      <c r="E57" s="278" t="str">
        <f t="shared" si="29"/>
        <v/>
      </c>
      <c r="F57" s="279" t="str">
        <f t="shared" si="30"/>
        <v/>
      </c>
      <c r="G57" s="279" t="str">
        <f t="shared" si="31"/>
        <v/>
      </c>
      <c r="H57" s="280" t="str">
        <f t="shared" si="32"/>
        <v/>
      </c>
      <c r="Z57" s="243" t="str">
        <f>Shares!A57</f>
        <v/>
      </c>
      <c r="AA57" s="243" t="str">
        <f>Shares!B57</f>
        <v/>
      </c>
      <c r="AB57" s="243" t="str">
        <f>Shares!C57</f>
        <v/>
      </c>
      <c r="AC57" s="243" t="str">
        <f>Shares!D57</f>
        <v/>
      </c>
      <c r="AD57" s="265">
        <f>IF($Z57="",0,Shares!E57)</f>
        <v>0</v>
      </c>
      <c r="AE57" s="266">
        <f>IF($Z57="",0,Shares!J57*Shares!I57)</f>
        <v>0</v>
      </c>
      <c r="AF57" s="267">
        <f t="shared" si="0"/>
        <v>0</v>
      </c>
      <c r="AG57" s="266">
        <f>IF($Z57="",0,Shares!L57)</f>
        <v>0</v>
      </c>
      <c r="AH57" s="267">
        <f>IF($Z57="",0,Shares!M57)</f>
        <v>0</v>
      </c>
      <c r="AI57" s="243" t="str">
        <f>IF($Z57="","",RANK(AE57,$AE$2:$AE$1001)+COUNTIF($AE$2:AE57,AE57)-1)</f>
        <v/>
      </c>
      <c r="AJ57" s="243" t="str">
        <f>IF($AD57&lt;0,COUNT($AJ$1:AJ56)+1,"")</f>
        <v/>
      </c>
      <c r="AL57" s="243" t="str">
        <f>'All Ticker P&amp;L'!A57</f>
        <v/>
      </c>
      <c r="AM57" s="243" t="str">
        <f>'All Ticker P&amp;L'!B57</f>
        <v/>
      </c>
      <c r="AN57" s="243" t="str">
        <f>'All Ticker P&amp;L'!C57</f>
        <v/>
      </c>
      <c r="AO57" s="243" t="str">
        <f>'All Ticker P&amp;L'!D57</f>
        <v/>
      </c>
      <c r="AP57" s="265">
        <f>IF($AL57="",0,'All Ticker P&amp;L'!E57)</f>
        <v>0</v>
      </c>
      <c r="AQ57" s="266">
        <f>IF($AL57="",0,'All Ticker P&amp;L'!J57*'All Ticker P&amp;L'!I57)</f>
        <v>0</v>
      </c>
      <c r="AR57" s="266">
        <f>IF($AL57="",0,'All Ticker P&amp;L'!L57)</f>
        <v>0</v>
      </c>
      <c r="AS57" s="267">
        <f>IF($AL57="",0,'All Ticker P&amp;L'!M57)</f>
        <v>0</v>
      </c>
      <c r="AT57" s="243" t="str">
        <f>IF($AL57="","",RANK(AR57,$AR$2:$AR$1001)+COUNTIF($AR$2:AR57,AR57)-1)</f>
        <v/>
      </c>
      <c r="AU57" s="243" t="str">
        <f>IF($AL57="","",RANK(AV57,$AV$2:$AV$1001)+COUNTIF($AV$2:AV57,AV57)-1)</f>
        <v/>
      </c>
      <c r="AV57" s="266">
        <f t="shared" si="1"/>
        <v>0</v>
      </c>
    </row>
    <row r="58" spans="1:48" ht="15" customHeight="1" x14ac:dyDescent="0.2">
      <c r="A58" s="277">
        <v>10</v>
      </c>
      <c r="B58" s="277" t="str">
        <f t="shared" si="26"/>
        <v/>
      </c>
      <c r="C58" s="277" t="str">
        <f t="shared" si="27"/>
        <v/>
      </c>
      <c r="D58" s="277" t="str">
        <f t="shared" si="28"/>
        <v/>
      </c>
      <c r="E58" s="278" t="str">
        <f t="shared" si="29"/>
        <v/>
      </c>
      <c r="F58" s="279" t="str">
        <f t="shared" si="30"/>
        <v/>
      </c>
      <c r="G58" s="279" t="str">
        <f t="shared" si="31"/>
        <v/>
      </c>
      <c r="H58" s="280" t="str">
        <f t="shared" si="32"/>
        <v/>
      </c>
      <c r="Z58" s="243" t="str">
        <f>Shares!A58</f>
        <v/>
      </c>
      <c r="AA58" s="243" t="str">
        <f>Shares!B58</f>
        <v/>
      </c>
      <c r="AB58" s="243" t="str">
        <f>Shares!C58</f>
        <v/>
      </c>
      <c r="AC58" s="243" t="str">
        <f>Shares!D58</f>
        <v/>
      </c>
      <c r="AD58" s="265">
        <f>IF($Z58="",0,Shares!E58)</f>
        <v>0</v>
      </c>
      <c r="AE58" s="266">
        <f>IF($Z58="",0,Shares!J58*Shares!I58)</f>
        <v>0</v>
      </c>
      <c r="AF58" s="267">
        <f t="shared" si="0"/>
        <v>0</v>
      </c>
      <c r="AG58" s="266">
        <f>IF($Z58="",0,Shares!L58)</f>
        <v>0</v>
      </c>
      <c r="AH58" s="267">
        <f>IF($Z58="",0,Shares!M58)</f>
        <v>0</v>
      </c>
      <c r="AI58" s="243" t="str">
        <f>IF($Z58="","",RANK(AE58,$AE$2:$AE$1001)+COUNTIF($AE$2:AE58,AE58)-1)</f>
        <v/>
      </c>
      <c r="AJ58" s="243" t="str">
        <f>IF($AD58&lt;0,COUNT($AJ$1:AJ57)+1,"")</f>
        <v/>
      </c>
      <c r="AL58" s="243" t="str">
        <f>'All Ticker P&amp;L'!A58</f>
        <v/>
      </c>
      <c r="AM58" s="243" t="str">
        <f>'All Ticker P&amp;L'!B58</f>
        <v/>
      </c>
      <c r="AN58" s="243" t="str">
        <f>'All Ticker P&amp;L'!C58</f>
        <v/>
      </c>
      <c r="AO58" s="243" t="str">
        <f>'All Ticker P&amp;L'!D58</f>
        <v/>
      </c>
      <c r="AP58" s="265">
        <f>IF($AL58="",0,'All Ticker P&amp;L'!E58)</f>
        <v>0</v>
      </c>
      <c r="AQ58" s="266">
        <f>IF($AL58="",0,'All Ticker P&amp;L'!J58*'All Ticker P&amp;L'!I58)</f>
        <v>0</v>
      </c>
      <c r="AR58" s="266">
        <f>IF($AL58="",0,'All Ticker P&amp;L'!L58)</f>
        <v>0</v>
      </c>
      <c r="AS58" s="267">
        <f>IF($AL58="",0,'All Ticker P&amp;L'!M58)</f>
        <v>0</v>
      </c>
      <c r="AT58" s="243" t="str">
        <f>IF($AL58="","",RANK(AR58,$AR$2:$AR$1001)+COUNTIF($AR$2:AR58,AR58)-1)</f>
        <v/>
      </c>
      <c r="AU58" s="243" t="str">
        <f>IF($AL58="","",RANK(AV58,$AV$2:$AV$1001)+COUNTIF($AV$2:AV58,AV58)-1)</f>
        <v/>
      </c>
      <c r="AV58" s="266">
        <f t="shared" si="1"/>
        <v>0</v>
      </c>
    </row>
    <row r="59" spans="1:48" ht="15" customHeight="1" x14ac:dyDescent="0.2">
      <c r="Z59" s="243" t="str">
        <f>Shares!A59</f>
        <v/>
      </c>
      <c r="AA59" s="243" t="str">
        <f>Shares!B59</f>
        <v/>
      </c>
      <c r="AB59" s="243" t="str">
        <f>Shares!C59</f>
        <v/>
      </c>
      <c r="AC59" s="243" t="str">
        <f>Shares!D59</f>
        <v/>
      </c>
      <c r="AD59" s="265">
        <f>IF($Z59="",0,Shares!E59)</f>
        <v>0</v>
      </c>
      <c r="AE59" s="266">
        <f>IF($Z59="",0,Shares!J59*Shares!I59)</f>
        <v>0</v>
      </c>
      <c r="AF59" s="267">
        <f t="shared" si="0"/>
        <v>0</v>
      </c>
      <c r="AG59" s="266">
        <f>IF($Z59="",0,Shares!L59)</f>
        <v>0</v>
      </c>
      <c r="AH59" s="267">
        <f>IF($Z59="",0,Shares!M59)</f>
        <v>0</v>
      </c>
      <c r="AI59" s="243" t="str">
        <f>IF($Z59="","",RANK(AE59,$AE$2:$AE$1001)+COUNTIF($AE$2:AE59,AE59)-1)</f>
        <v/>
      </c>
      <c r="AJ59" s="243" t="str">
        <f>IF($AD59&lt;0,COUNT($AJ$1:AJ58)+1,"")</f>
        <v/>
      </c>
      <c r="AL59" s="243" t="str">
        <f>'All Ticker P&amp;L'!A59</f>
        <v/>
      </c>
      <c r="AM59" s="243" t="str">
        <f>'All Ticker P&amp;L'!B59</f>
        <v/>
      </c>
      <c r="AN59" s="243" t="str">
        <f>'All Ticker P&amp;L'!C59</f>
        <v/>
      </c>
      <c r="AO59" s="243" t="str">
        <f>'All Ticker P&amp;L'!D59</f>
        <v/>
      </c>
      <c r="AP59" s="265">
        <f>IF($AL59="",0,'All Ticker P&amp;L'!E59)</f>
        <v>0</v>
      </c>
      <c r="AQ59" s="266">
        <f>IF($AL59="",0,'All Ticker P&amp;L'!J59*'All Ticker P&amp;L'!I59)</f>
        <v>0</v>
      </c>
      <c r="AR59" s="266">
        <f>IF($AL59="",0,'All Ticker P&amp;L'!L59)</f>
        <v>0</v>
      </c>
      <c r="AS59" s="267">
        <f>IF($AL59="",0,'All Ticker P&amp;L'!M59)</f>
        <v>0</v>
      </c>
      <c r="AT59" s="243" t="str">
        <f>IF($AL59="","",RANK(AR59,$AR$2:$AR$1001)+COUNTIF($AR$2:AR59,AR59)-1)</f>
        <v/>
      </c>
      <c r="AU59" s="243" t="str">
        <f>IF($AL59="","",RANK(AV59,$AV$2:$AV$1001)+COUNTIF($AV$2:AV59,AV59)-1)</f>
        <v/>
      </c>
      <c r="AV59" s="266">
        <f t="shared" si="1"/>
        <v>0</v>
      </c>
    </row>
    <row r="60" spans="1:48" ht="15" customHeight="1" x14ac:dyDescent="0.2">
      <c r="Z60" s="243" t="str">
        <f>Shares!A60</f>
        <v/>
      </c>
      <c r="AA60" s="243" t="str">
        <f>Shares!B60</f>
        <v/>
      </c>
      <c r="AB60" s="243" t="str">
        <f>Shares!C60</f>
        <v/>
      </c>
      <c r="AC60" s="243" t="str">
        <f>Shares!D60</f>
        <v/>
      </c>
      <c r="AD60" s="265">
        <f>IF($Z60="",0,Shares!E60)</f>
        <v>0</v>
      </c>
      <c r="AE60" s="266">
        <f>IF($Z60="",0,Shares!J60*Shares!I60)</f>
        <v>0</v>
      </c>
      <c r="AF60" s="267">
        <f t="shared" si="0"/>
        <v>0</v>
      </c>
      <c r="AG60" s="266">
        <f>IF($Z60="",0,Shares!L60)</f>
        <v>0</v>
      </c>
      <c r="AH60" s="267">
        <f>IF($Z60="",0,Shares!M60)</f>
        <v>0</v>
      </c>
      <c r="AI60" s="243" t="str">
        <f>IF($Z60="","",RANK(AE60,$AE$2:$AE$1001)+COUNTIF($AE$2:AE60,AE60)-1)</f>
        <v/>
      </c>
      <c r="AJ60" s="243" t="str">
        <f>IF($AD60&lt;0,COUNT($AJ$1:AJ59)+1,"")</f>
        <v/>
      </c>
      <c r="AL60" s="243" t="str">
        <f>'All Ticker P&amp;L'!A60</f>
        <v/>
      </c>
      <c r="AM60" s="243" t="str">
        <f>'All Ticker P&amp;L'!B60</f>
        <v/>
      </c>
      <c r="AN60" s="243" t="str">
        <f>'All Ticker P&amp;L'!C60</f>
        <v/>
      </c>
      <c r="AO60" s="243" t="str">
        <f>'All Ticker P&amp;L'!D60</f>
        <v/>
      </c>
      <c r="AP60" s="265">
        <f>IF($AL60="",0,'All Ticker P&amp;L'!E60)</f>
        <v>0</v>
      </c>
      <c r="AQ60" s="266">
        <f>IF($AL60="",0,'All Ticker P&amp;L'!J60*'All Ticker P&amp;L'!I60)</f>
        <v>0</v>
      </c>
      <c r="AR60" s="266">
        <f>IF($AL60="",0,'All Ticker P&amp;L'!L60)</f>
        <v>0</v>
      </c>
      <c r="AS60" s="267">
        <f>IF($AL60="",0,'All Ticker P&amp;L'!M60)</f>
        <v>0</v>
      </c>
      <c r="AT60" s="243" t="str">
        <f>IF($AL60="","",RANK(AR60,$AR$2:$AR$1001)+COUNTIF($AR$2:AR60,AR60)-1)</f>
        <v/>
      </c>
      <c r="AU60" s="243" t="str">
        <f>IF($AL60="","",RANK(AV60,$AV$2:$AV$1001)+COUNTIF($AV$2:AV60,AV60)-1)</f>
        <v/>
      </c>
      <c r="AV60" s="266">
        <f t="shared" si="1"/>
        <v>0</v>
      </c>
    </row>
    <row r="61" spans="1:48" ht="15" customHeight="1" x14ac:dyDescent="0.2">
      <c r="Z61" s="243" t="str">
        <f>Shares!A61</f>
        <v/>
      </c>
      <c r="AA61" s="243" t="str">
        <f>Shares!B61</f>
        <v/>
      </c>
      <c r="AB61" s="243" t="str">
        <f>Shares!C61</f>
        <v/>
      </c>
      <c r="AC61" s="243" t="str">
        <f>Shares!D61</f>
        <v/>
      </c>
      <c r="AD61" s="265">
        <f>IF($Z61="",0,Shares!E61)</f>
        <v>0</v>
      </c>
      <c r="AE61" s="266">
        <f>IF($Z61="",0,Shares!J61*Shares!I61)</f>
        <v>0</v>
      </c>
      <c r="AF61" s="267">
        <f t="shared" si="0"/>
        <v>0</v>
      </c>
      <c r="AG61" s="266">
        <f>IF($Z61="",0,Shares!L61)</f>
        <v>0</v>
      </c>
      <c r="AH61" s="267">
        <f>IF($Z61="",0,Shares!M61)</f>
        <v>0</v>
      </c>
      <c r="AI61" s="243" t="str">
        <f>IF($Z61="","",RANK(AE61,$AE$2:$AE$1001)+COUNTIF($AE$2:AE61,AE61)-1)</f>
        <v/>
      </c>
      <c r="AJ61" s="243" t="str">
        <f>IF($AD61&lt;0,COUNT($AJ$1:AJ60)+1,"")</f>
        <v/>
      </c>
      <c r="AL61" s="243" t="str">
        <f>'All Ticker P&amp;L'!A61</f>
        <v/>
      </c>
      <c r="AM61" s="243" t="str">
        <f>'All Ticker P&amp;L'!B61</f>
        <v/>
      </c>
      <c r="AN61" s="243" t="str">
        <f>'All Ticker P&amp;L'!C61</f>
        <v/>
      </c>
      <c r="AO61" s="243" t="str">
        <f>'All Ticker P&amp;L'!D61</f>
        <v/>
      </c>
      <c r="AP61" s="265">
        <f>IF($AL61="",0,'All Ticker P&amp;L'!E61)</f>
        <v>0</v>
      </c>
      <c r="AQ61" s="266">
        <f>IF($AL61="",0,'All Ticker P&amp;L'!J61*'All Ticker P&amp;L'!I61)</f>
        <v>0</v>
      </c>
      <c r="AR61" s="266">
        <f>IF($AL61="",0,'All Ticker P&amp;L'!L61)</f>
        <v>0</v>
      </c>
      <c r="AS61" s="267">
        <f>IF($AL61="",0,'All Ticker P&amp;L'!M61)</f>
        <v>0</v>
      </c>
      <c r="AT61" s="243" t="str">
        <f>IF($AL61="","",RANK(AR61,$AR$2:$AR$1001)+COUNTIF($AR$2:AR61,AR61)-1)</f>
        <v/>
      </c>
      <c r="AU61" s="243" t="str">
        <f>IF($AL61="","",RANK(AV61,$AV$2:$AV$1001)+COUNTIF($AV$2:AV61,AV61)-1)</f>
        <v/>
      </c>
      <c r="AV61" s="266">
        <f t="shared" si="1"/>
        <v>0</v>
      </c>
    </row>
    <row r="62" spans="1:48" ht="15" customHeight="1" x14ac:dyDescent="0.2">
      <c r="Z62" s="243" t="str">
        <f>Shares!A62</f>
        <v/>
      </c>
      <c r="AA62" s="243" t="str">
        <f>Shares!B62</f>
        <v/>
      </c>
      <c r="AB62" s="243" t="str">
        <f>Shares!C62</f>
        <v/>
      </c>
      <c r="AC62" s="243" t="str">
        <f>Shares!D62</f>
        <v/>
      </c>
      <c r="AD62" s="265">
        <f>IF($Z62="",0,Shares!E62)</f>
        <v>0</v>
      </c>
      <c r="AE62" s="266">
        <f>IF($Z62="",0,Shares!J62*Shares!I62)</f>
        <v>0</v>
      </c>
      <c r="AF62" s="267">
        <f t="shared" si="0"/>
        <v>0</v>
      </c>
      <c r="AG62" s="266">
        <f>IF($Z62="",0,Shares!L62)</f>
        <v>0</v>
      </c>
      <c r="AH62" s="267">
        <f>IF($Z62="",0,Shares!M62)</f>
        <v>0</v>
      </c>
      <c r="AI62" s="243" t="str">
        <f>IF($Z62="","",RANK(AE62,$AE$2:$AE$1001)+COUNTIF($AE$2:AE62,AE62)-1)</f>
        <v/>
      </c>
      <c r="AJ62" s="243" t="str">
        <f>IF($AD62&lt;0,COUNT($AJ$1:AJ61)+1,"")</f>
        <v/>
      </c>
      <c r="AL62" s="243" t="str">
        <f>'All Ticker P&amp;L'!A62</f>
        <v/>
      </c>
      <c r="AM62" s="243" t="str">
        <f>'All Ticker P&amp;L'!B62</f>
        <v/>
      </c>
      <c r="AN62" s="243" t="str">
        <f>'All Ticker P&amp;L'!C62</f>
        <v/>
      </c>
      <c r="AO62" s="243" t="str">
        <f>'All Ticker P&amp;L'!D62</f>
        <v/>
      </c>
      <c r="AP62" s="265">
        <f>IF($AL62="",0,'All Ticker P&amp;L'!E62)</f>
        <v>0</v>
      </c>
      <c r="AQ62" s="266">
        <f>IF($AL62="",0,'All Ticker P&amp;L'!J62*'All Ticker P&amp;L'!I62)</f>
        <v>0</v>
      </c>
      <c r="AR62" s="266">
        <f>IF($AL62="",0,'All Ticker P&amp;L'!L62)</f>
        <v>0</v>
      </c>
      <c r="AS62" s="267">
        <f>IF($AL62="",0,'All Ticker P&amp;L'!M62)</f>
        <v>0</v>
      </c>
      <c r="AT62" s="243" t="str">
        <f>IF($AL62="","",RANK(AR62,$AR$2:$AR$1001)+COUNTIF($AR$2:AR62,AR62)-1)</f>
        <v/>
      </c>
      <c r="AU62" s="243" t="str">
        <f>IF($AL62="","",RANK(AV62,$AV$2:$AV$1001)+COUNTIF($AV$2:AV62,AV62)-1)</f>
        <v/>
      </c>
      <c r="AV62" s="266">
        <f t="shared" si="1"/>
        <v>0</v>
      </c>
    </row>
    <row r="63" spans="1:48" ht="15" customHeight="1" x14ac:dyDescent="0.2">
      <c r="Z63" s="243" t="str">
        <f>Shares!A63</f>
        <v/>
      </c>
      <c r="AA63" s="243" t="str">
        <f>Shares!B63</f>
        <v/>
      </c>
      <c r="AB63" s="243" t="str">
        <f>Shares!C63</f>
        <v/>
      </c>
      <c r="AC63" s="243" t="str">
        <f>Shares!D63</f>
        <v/>
      </c>
      <c r="AD63" s="265">
        <f>IF($Z63="",0,Shares!E63)</f>
        <v>0</v>
      </c>
      <c r="AE63" s="266">
        <f>IF($Z63="",0,Shares!J63*Shares!I63)</f>
        <v>0</v>
      </c>
      <c r="AF63" s="267">
        <f t="shared" si="0"/>
        <v>0</v>
      </c>
      <c r="AG63" s="266">
        <f>IF($Z63="",0,Shares!L63)</f>
        <v>0</v>
      </c>
      <c r="AH63" s="267">
        <f>IF($Z63="",0,Shares!M63)</f>
        <v>0</v>
      </c>
      <c r="AI63" s="243" t="str">
        <f>IF($Z63="","",RANK(AE63,$AE$2:$AE$1001)+COUNTIF($AE$2:AE63,AE63)-1)</f>
        <v/>
      </c>
      <c r="AJ63" s="243" t="str">
        <f>IF($AD63&lt;0,COUNT($AJ$1:AJ62)+1,"")</f>
        <v/>
      </c>
      <c r="AL63" s="243" t="str">
        <f>'All Ticker P&amp;L'!A63</f>
        <v/>
      </c>
      <c r="AM63" s="243" t="str">
        <f>'All Ticker P&amp;L'!B63</f>
        <v/>
      </c>
      <c r="AN63" s="243" t="str">
        <f>'All Ticker P&amp;L'!C63</f>
        <v/>
      </c>
      <c r="AO63" s="243" t="str">
        <f>'All Ticker P&amp;L'!D63</f>
        <v/>
      </c>
      <c r="AP63" s="265">
        <f>IF($AL63="",0,'All Ticker P&amp;L'!E63)</f>
        <v>0</v>
      </c>
      <c r="AQ63" s="266">
        <f>IF($AL63="",0,'All Ticker P&amp;L'!J63*'All Ticker P&amp;L'!I63)</f>
        <v>0</v>
      </c>
      <c r="AR63" s="266">
        <f>IF($AL63="",0,'All Ticker P&amp;L'!L63)</f>
        <v>0</v>
      </c>
      <c r="AS63" s="267">
        <f>IF($AL63="",0,'All Ticker P&amp;L'!M63)</f>
        <v>0</v>
      </c>
      <c r="AT63" s="243" t="str">
        <f>IF($AL63="","",RANK(AR63,$AR$2:$AR$1001)+COUNTIF($AR$2:AR63,AR63)-1)</f>
        <v/>
      </c>
      <c r="AU63" s="243" t="str">
        <f>IF($AL63="","",RANK(AV63,$AV$2:$AV$1001)+COUNTIF($AV$2:AV63,AV63)-1)</f>
        <v/>
      </c>
      <c r="AV63" s="266">
        <f t="shared" si="1"/>
        <v>0</v>
      </c>
    </row>
    <row r="64" spans="1:48" ht="15" customHeight="1" x14ac:dyDescent="0.2">
      <c r="Z64" s="243" t="str">
        <f>Shares!A64</f>
        <v/>
      </c>
      <c r="AA64" s="243" t="str">
        <f>Shares!B64</f>
        <v/>
      </c>
      <c r="AB64" s="243" t="str">
        <f>Shares!C64</f>
        <v/>
      </c>
      <c r="AC64" s="243" t="str">
        <f>Shares!D64</f>
        <v/>
      </c>
      <c r="AD64" s="265">
        <f>IF($Z64="",0,Shares!E64)</f>
        <v>0</v>
      </c>
      <c r="AE64" s="266">
        <f>IF($Z64="",0,Shares!J64*Shares!I64)</f>
        <v>0</v>
      </c>
      <c r="AF64" s="267">
        <f t="shared" si="0"/>
        <v>0</v>
      </c>
      <c r="AG64" s="266">
        <f>IF($Z64="",0,Shares!L64)</f>
        <v>0</v>
      </c>
      <c r="AH64" s="267">
        <f>IF($Z64="",0,Shares!M64)</f>
        <v>0</v>
      </c>
      <c r="AI64" s="243" t="str">
        <f>IF($Z64="","",RANK(AE64,$AE$2:$AE$1001)+COUNTIF($AE$2:AE64,AE64)-1)</f>
        <v/>
      </c>
      <c r="AJ64" s="243" t="str">
        <f>IF($AD64&lt;0,COUNT($AJ$1:AJ63)+1,"")</f>
        <v/>
      </c>
      <c r="AL64" s="243" t="str">
        <f>'All Ticker P&amp;L'!A64</f>
        <v/>
      </c>
      <c r="AM64" s="243" t="str">
        <f>'All Ticker P&amp;L'!B64</f>
        <v/>
      </c>
      <c r="AN64" s="243" t="str">
        <f>'All Ticker P&amp;L'!C64</f>
        <v/>
      </c>
      <c r="AO64" s="243" t="str">
        <f>'All Ticker P&amp;L'!D64</f>
        <v/>
      </c>
      <c r="AP64" s="265">
        <f>IF($AL64="",0,'All Ticker P&amp;L'!E64)</f>
        <v>0</v>
      </c>
      <c r="AQ64" s="266">
        <f>IF($AL64="",0,'All Ticker P&amp;L'!J64*'All Ticker P&amp;L'!I64)</f>
        <v>0</v>
      </c>
      <c r="AR64" s="266">
        <f>IF($AL64="",0,'All Ticker P&amp;L'!L64)</f>
        <v>0</v>
      </c>
      <c r="AS64" s="267">
        <f>IF($AL64="",0,'All Ticker P&amp;L'!M64)</f>
        <v>0</v>
      </c>
      <c r="AT64" s="243" t="str">
        <f>IF($AL64="","",RANK(AR64,$AR$2:$AR$1001)+COUNTIF($AR$2:AR64,AR64)-1)</f>
        <v/>
      </c>
      <c r="AU64" s="243" t="str">
        <f>IF($AL64="","",RANK(AV64,$AV$2:$AV$1001)+COUNTIF($AV$2:AV64,AV64)-1)</f>
        <v/>
      </c>
      <c r="AV64" s="266">
        <f t="shared" si="1"/>
        <v>0</v>
      </c>
    </row>
    <row r="65" spans="26:48" ht="15" customHeight="1" x14ac:dyDescent="0.2">
      <c r="Z65" s="243" t="str">
        <f>Shares!A65</f>
        <v/>
      </c>
      <c r="AA65" s="243" t="str">
        <f>Shares!B65</f>
        <v/>
      </c>
      <c r="AB65" s="243" t="str">
        <f>Shares!C65</f>
        <v/>
      </c>
      <c r="AC65" s="243" t="str">
        <f>Shares!D65</f>
        <v/>
      </c>
      <c r="AD65" s="265">
        <f>IF($Z65="",0,Shares!E65)</f>
        <v>0</v>
      </c>
      <c r="AE65" s="266">
        <f>IF($Z65="",0,Shares!J65*Shares!I65)</f>
        <v>0</v>
      </c>
      <c r="AF65" s="267">
        <f t="shared" si="0"/>
        <v>0</v>
      </c>
      <c r="AG65" s="266">
        <f>IF($Z65="",0,Shares!L65)</f>
        <v>0</v>
      </c>
      <c r="AH65" s="267">
        <f>IF($Z65="",0,Shares!M65)</f>
        <v>0</v>
      </c>
      <c r="AI65" s="243" t="str">
        <f>IF($Z65="","",RANK(AE65,$AE$2:$AE$1001)+COUNTIF($AE$2:AE65,AE65)-1)</f>
        <v/>
      </c>
      <c r="AJ65" s="243" t="str">
        <f>IF($AD65&lt;0,COUNT($AJ$1:AJ64)+1,"")</f>
        <v/>
      </c>
      <c r="AL65" s="243" t="str">
        <f>'All Ticker P&amp;L'!A65</f>
        <v/>
      </c>
      <c r="AM65" s="243" t="str">
        <f>'All Ticker P&amp;L'!B65</f>
        <v/>
      </c>
      <c r="AN65" s="243" t="str">
        <f>'All Ticker P&amp;L'!C65</f>
        <v/>
      </c>
      <c r="AO65" s="243" t="str">
        <f>'All Ticker P&amp;L'!D65</f>
        <v/>
      </c>
      <c r="AP65" s="265">
        <f>IF($AL65="",0,'All Ticker P&amp;L'!E65)</f>
        <v>0</v>
      </c>
      <c r="AQ65" s="266">
        <f>IF($AL65="",0,'All Ticker P&amp;L'!J65*'All Ticker P&amp;L'!I65)</f>
        <v>0</v>
      </c>
      <c r="AR65" s="266">
        <f>IF($AL65="",0,'All Ticker P&amp;L'!L65)</f>
        <v>0</v>
      </c>
      <c r="AS65" s="267">
        <f>IF($AL65="",0,'All Ticker P&amp;L'!M65)</f>
        <v>0</v>
      </c>
      <c r="AT65" s="243" t="str">
        <f>IF($AL65="","",RANK(AR65,$AR$2:$AR$1001)+COUNTIF($AR$2:AR65,AR65)-1)</f>
        <v/>
      </c>
      <c r="AU65" s="243" t="str">
        <f>IF($AL65="","",RANK(AV65,$AV$2:$AV$1001)+COUNTIF($AV$2:AV65,AV65)-1)</f>
        <v/>
      </c>
      <c r="AV65" s="266">
        <f t="shared" si="1"/>
        <v>0</v>
      </c>
    </row>
    <row r="66" spans="26:48" ht="15" customHeight="1" x14ac:dyDescent="0.2">
      <c r="Z66" s="243" t="str">
        <f>Shares!A66</f>
        <v/>
      </c>
      <c r="AA66" s="243" t="str">
        <f>Shares!B66</f>
        <v/>
      </c>
      <c r="AB66" s="243" t="str">
        <f>Shares!C66</f>
        <v/>
      </c>
      <c r="AC66" s="243" t="str">
        <f>Shares!D66</f>
        <v/>
      </c>
      <c r="AD66" s="243">
        <f>IF($Z66="",0,Shares!E66)</f>
        <v>0</v>
      </c>
      <c r="AE66" s="266">
        <f>IF($Z66="",0,Shares!J66*Shares!I66)</f>
        <v>0</v>
      </c>
      <c r="AF66" s="267">
        <f t="shared" ref="AF66:AF129" si="33">IFERROR(AE66/$B$5,0)</f>
        <v>0</v>
      </c>
      <c r="AG66" s="266">
        <f>IF($Z66="",0,Shares!L66)</f>
        <v>0</v>
      </c>
      <c r="AH66" s="267">
        <f>IF($Z66="",0,Shares!M66)</f>
        <v>0</v>
      </c>
      <c r="AI66" s="243" t="str">
        <f>IF($Z66="","",RANK(AE66,$AE$2:$AE$1001)+COUNTIF($AE$2:AE66,AE66)-1)</f>
        <v/>
      </c>
      <c r="AJ66" s="243" t="str">
        <f>IF($AD66&lt;0,COUNT($AJ$1:AJ65)+1,"")</f>
        <v/>
      </c>
      <c r="AL66" s="243" t="str">
        <f>'All Ticker P&amp;L'!A66</f>
        <v/>
      </c>
      <c r="AM66" s="243" t="str">
        <f>'All Ticker P&amp;L'!B66</f>
        <v/>
      </c>
      <c r="AN66" s="243" t="str">
        <f>'All Ticker P&amp;L'!C66</f>
        <v/>
      </c>
      <c r="AO66" s="243" t="str">
        <f>'All Ticker P&amp;L'!D66</f>
        <v/>
      </c>
      <c r="AP66" s="265">
        <f>IF($AL66="",0,'All Ticker P&amp;L'!E66)</f>
        <v>0</v>
      </c>
      <c r="AQ66" s="266">
        <f>IF($AL66="",0,'All Ticker P&amp;L'!J66*'All Ticker P&amp;L'!I66)</f>
        <v>0</v>
      </c>
      <c r="AR66" s="266">
        <f>IF($AL66="",0,'All Ticker P&amp;L'!L66)</f>
        <v>0</v>
      </c>
      <c r="AS66" s="267">
        <f>IF($AL66="",0,'All Ticker P&amp;L'!M66)</f>
        <v>0</v>
      </c>
      <c r="AT66" s="243" t="str">
        <f>IF($AL66="","",RANK(AR66,$AR$2:$AR$1001)+COUNTIF($AR$2:AR66,AR66)-1)</f>
        <v/>
      </c>
      <c r="AU66" s="243" t="str">
        <f>IF($AL66="","",RANK(AV66,$AV$2:$AV$1001)+COUNTIF($AV$2:AV66,AV66)-1)</f>
        <v/>
      </c>
      <c r="AV66" s="266">
        <f t="shared" ref="AV66:AV129" si="34">-AR66</f>
        <v>0</v>
      </c>
    </row>
    <row r="67" spans="26:48" ht="15" customHeight="1" x14ac:dyDescent="0.2">
      <c r="Z67" s="243" t="str">
        <f>Shares!A67</f>
        <v/>
      </c>
      <c r="AA67" s="243" t="str">
        <f>Shares!B67</f>
        <v/>
      </c>
      <c r="AB67" s="243" t="str">
        <f>Shares!C67</f>
        <v/>
      </c>
      <c r="AC67" s="243" t="str">
        <f>Shares!D67</f>
        <v/>
      </c>
      <c r="AD67" s="243">
        <f>IF($Z67="",0,Shares!E67)</f>
        <v>0</v>
      </c>
      <c r="AE67" s="266">
        <f>IF($Z67="",0,Shares!J67*Shares!I67)</f>
        <v>0</v>
      </c>
      <c r="AF67" s="267">
        <f t="shared" si="33"/>
        <v>0</v>
      </c>
      <c r="AG67" s="266">
        <f>IF($Z67="",0,Shares!L67)</f>
        <v>0</v>
      </c>
      <c r="AH67" s="267">
        <f>IF($Z67="",0,Shares!M67)</f>
        <v>0</v>
      </c>
      <c r="AI67" s="243" t="str">
        <f>IF($Z67="","",RANK(AE67,$AE$2:$AE$1001)+COUNTIF($AE$2:AE67,AE67)-1)</f>
        <v/>
      </c>
      <c r="AJ67" s="243" t="str">
        <f>IF($AD67&lt;0,COUNT($AJ$1:AJ66)+1,"")</f>
        <v/>
      </c>
      <c r="AL67" s="243" t="str">
        <f>'All Ticker P&amp;L'!A67</f>
        <v/>
      </c>
      <c r="AM67" s="243" t="str">
        <f>'All Ticker P&amp;L'!B67</f>
        <v/>
      </c>
      <c r="AN67" s="243" t="str">
        <f>'All Ticker P&amp;L'!C67</f>
        <v/>
      </c>
      <c r="AO67" s="243" t="str">
        <f>'All Ticker P&amp;L'!D67</f>
        <v/>
      </c>
      <c r="AP67" s="265">
        <f>IF($AL67="",0,'All Ticker P&amp;L'!E67)</f>
        <v>0</v>
      </c>
      <c r="AQ67" s="266">
        <f>IF($AL67="",0,'All Ticker P&amp;L'!J67*'All Ticker P&amp;L'!I67)</f>
        <v>0</v>
      </c>
      <c r="AR67" s="266">
        <f>IF($AL67="",0,'All Ticker P&amp;L'!L67)</f>
        <v>0</v>
      </c>
      <c r="AS67" s="267">
        <f>IF($AL67="",0,'All Ticker P&amp;L'!M67)</f>
        <v>0</v>
      </c>
      <c r="AT67" s="243" t="str">
        <f>IF($AL67="","",RANK(AR67,$AR$2:$AR$1001)+COUNTIF($AR$2:AR67,AR67)-1)</f>
        <v/>
      </c>
      <c r="AU67" s="243" t="str">
        <f>IF($AL67="","",RANK(AV67,$AV$2:$AV$1001)+COUNTIF($AV$2:AV67,AV67)-1)</f>
        <v/>
      </c>
      <c r="AV67" s="266">
        <f t="shared" si="34"/>
        <v>0</v>
      </c>
    </row>
    <row r="68" spans="26:48" ht="15" customHeight="1" x14ac:dyDescent="0.2">
      <c r="Z68" s="243" t="str">
        <f>Shares!A68</f>
        <v/>
      </c>
      <c r="AA68" s="243" t="str">
        <f>Shares!B68</f>
        <v/>
      </c>
      <c r="AB68" s="243" t="str">
        <f>Shares!C68</f>
        <v/>
      </c>
      <c r="AC68" s="243" t="str">
        <f>Shares!D68</f>
        <v/>
      </c>
      <c r="AD68" s="243">
        <f>IF($Z68="",0,Shares!E68)</f>
        <v>0</v>
      </c>
      <c r="AE68" s="266">
        <f>IF($Z68="",0,Shares!J68*Shares!I68)</f>
        <v>0</v>
      </c>
      <c r="AF68" s="267">
        <f t="shared" si="33"/>
        <v>0</v>
      </c>
      <c r="AG68" s="266">
        <f>IF($Z68="",0,Shares!L68)</f>
        <v>0</v>
      </c>
      <c r="AH68" s="267">
        <f>IF($Z68="",0,Shares!M68)</f>
        <v>0</v>
      </c>
      <c r="AI68" s="243" t="str">
        <f>IF($Z68="","",RANK(AE68,$AE$2:$AE$1001)+COUNTIF($AE$2:AE68,AE68)-1)</f>
        <v/>
      </c>
      <c r="AJ68" s="243" t="str">
        <f>IF($AD68&lt;0,COUNT($AJ$1:AJ67)+1,"")</f>
        <v/>
      </c>
      <c r="AL68" s="243" t="str">
        <f>'All Ticker P&amp;L'!A68</f>
        <v/>
      </c>
      <c r="AM68" s="243" t="str">
        <f>'All Ticker P&amp;L'!B68</f>
        <v/>
      </c>
      <c r="AN68" s="243" t="str">
        <f>'All Ticker P&amp;L'!C68</f>
        <v/>
      </c>
      <c r="AO68" s="243" t="str">
        <f>'All Ticker P&amp;L'!D68</f>
        <v/>
      </c>
      <c r="AP68" s="265">
        <f>IF($AL68="",0,'All Ticker P&amp;L'!E68)</f>
        <v>0</v>
      </c>
      <c r="AQ68" s="266">
        <f>IF($AL68="",0,'All Ticker P&amp;L'!J68*'All Ticker P&amp;L'!I68)</f>
        <v>0</v>
      </c>
      <c r="AR68" s="266">
        <f>IF($AL68="",0,'All Ticker P&amp;L'!L68)</f>
        <v>0</v>
      </c>
      <c r="AS68" s="267">
        <f>IF($AL68="",0,'All Ticker P&amp;L'!M68)</f>
        <v>0</v>
      </c>
      <c r="AT68" s="243" t="str">
        <f>IF($AL68="","",RANK(AR68,$AR$2:$AR$1001)+COUNTIF($AR$2:AR68,AR68)-1)</f>
        <v/>
      </c>
      <c r="AU68" s="243" t="str">
        <f>IF($AL68="","",RANK(AV68,$AV$2:$AV$1001)+COUNTIF($AV$2:AV68,AV68)-1)</f>
        <v/>
      </c>
      <c r="AV68" s="266">
        <f t="shared" si="34"/>
        <v>0</v>
      </c>
    </row>
    <row r="69" spans="26:48" ht="15" customHeight="1" x14ac:dyDescent="0.2">
      <c r="Z69" s="243" t="str">
        <f>Shares!A69</f>
        <v/>
      </c>
      <c r="AA69" s="243" t="str">
        <f>Shares!B69</f>
        <v/>
      </c>
      <c r="AB69" s="243" t="str">
        <f>Shares!C69</f>
        <v/>
      </c>
      <c r="AC69" s="243" t="str">
        <f>Shares!D69</f>
        <v/>
      </c>
      <c r="AD69" s="243">
        <f>IF($Z69="",0,Shares!E69)</f>
        <v>0</v>
      </c>
      <c r="AE69" s="266">
        <f>IF($Z69="",0,Shares!J69*Shares!I69)</f>
        <v>0</v>
      </c>
      <c r="AF69" s="267">
        <f t="shared" si="33"/>
        <v>0</v>
      </c>
      <c r="AG69" s="266">
        <f>IF($Z69="",0,Shares!L69)</f>
        <v>0</v>
      </c>
      <c r="AH69" s="267">
        <f>IF($Z69="",0,Shares!M69)</f>
        <v>0</v>
      </c>
      <c r="AI69" s="243" t="str">
        <f>IF($Z69="","",RANK(AE69,$AE$2:$AE$1001)+COUNTIF($AE$2:AE69,AE69)-1)</f>
        <v/>
      </c>
      <c r="AJ69" s="243" t="str">
        <f>IF($AD69&lt;0,COUNT($AJ$1:AJ68)+1,"")</f>
        <v/>
      </c>
      <c r="AL69" s="243" t="str">
        <f>'All Ticker P&amp;L'!A69</f>
        <v/>
      </c>
      <c r="AM69" s="243" t="str">
        <f>'All Ticker P&amp;L'!B69</f>
        <v/>
      </c>
      <c r="AN69" s="243" t="str">
        <f>'All Ticker P&amp;L'!C69</f>
        <v/>
      </c>
      <c r="AO69" s="243" t="str">
        <f>'All Ticker P&amp;L'!D69</f>
        <v/>
      </c>
      <c r="AP69" s="265">
        <f>IF($AL69="",0,'All Ticker P&amp;L'!E69)</f>
        <v>0</v>
      </c>
      <c r="AQ69" s="266">
        <f>IF($AL69="",0,'All Ticker P&amp;L'!J69*'All Ticker P&amp;L'!I69)</f>
        <v>0</v>
      </c>
      <c r="AR69" s="266">
        <f>IF($AL69="",0,'All Ticker P&amp;L'!L69)</f>
        <v>0</v>
      </c>
      <c r="AS69" s="267">
        <f>IF($AL69="",0,'All Ticker P&amp;L'!M69)</f>
        <v>0</v>
      </c>
      <c r="AT69" s="243" t="str">
        <f>IF($AL69="","",RANK(AR69,$AR$2:$AR$1001)+COUNTIF($AR$2:AR69,AR69)-1)</f>
        <v/>
      </c>
      <c r="AU69" s="243" t="str">
        <f>IF($AL69="","",RANK(AV69,$AV$2:$AV$1001)+COUNTIF($AV$2:AV69,AV69)-1)</f>
        <v/>
      </c>
      <c r="AV69" s="266">
        <f t="shared" si="34"/>
        <v>0</v>
      </c>
    </row>
    <row r="70" spans="26:48" ht="15" customHeight="1" x14ac:dyDescent="0.2">
      <c r="Z70" s="243" t="str">
        <f>Shares!A70</f>
        <v/>
      </c>
      <c r="AA70" s="243" t="str">
        <f>Shares!B70</f>
        <v/>
      </c>
      <c r="AB70" s="243" t="str">
        <f>Shares!C70</f>
        <v/>
      </c>
      <c r="AC70" s="243" t="str">
        <f>Shares!D70</f>
        <v/>
      </c>
      <c r="AD70" s="243">
        <f>IF($Z70="",0,Shares!E70)</f>
        <v>0</v>
      </c>
      <c r="AE70" s="266">
        <f>IF($Z70="",0,Shares!J70*Shares!I70)</f>
        <v>0</v>
      </c>
      <c r="AF70" s="267">
        <f t="shared" si="33"/>
        <v>0</v>
      </c>
      <c r="AG70" s="266">
        <f>IF($Z70="",0,Shares!L70)</f>
        <v>0</v>
      </c>
      <c r="AH70" s="267">
        <f>IF($Z70="",0,Shares!M70)</f>
        <v>0</v>
      </c>
      <c r="AI70" s="243" t="str">
        <f>IF($Z70="","",RANK(AE70,$AE$2:$AE$1001)+COUNTIF($AE$2:AE70,AE70)-1)</f>
        <v/>
      </c>
      <c r="AJ70" s="243" t="str">
        <f>IF($AD70&lt;0,COUNT($AJ$1:AJ69)+1,"")</f>
        <v/>
      </c>
      <c r="AL70" s="243" t="str">
        <f>'All Ticker P&amp;L'!A70</f>
        <v/>
      </c>
      <c r="AM70" s="243" t="str">
        <f>'All Ticker P&amp;L'!B70</f>
        <v/>
      </c>
      <c r="AN70" s="243" t="str">
        <f>'All Ticker P&amp;L'!C70</f>
        <v/>
      </c>
      <c r="AO70" s="243" t="str">
        <f>'All Ticker P&amp;L'!D70</f>
        <v/>
      </c>
      <c r="AP70" s="265">
        <f>IF($AL70="",0,'All Ticker P&amp;L'!E70)</f>
        <v>0</v>
      </c>
      <c r="AQ70" s="266">
        <f>IF($AL70="",0,'All Ticker P&amp;L'!J70*'All Ticker P&amp;L'!I70)</f>
        <v>0</v>
      </c>
      <c r="AR70" s="266">
        <f>IF($AL70="",0,'All Ticker P&amp;L'!L70)</f>
        <v>0</v>
      </c>
      <c r="AS70" s="267">
        <f>IF($AL70="",0,'All Ticker P&amp;L'!M70)</f>
        <v>0</v>
      </c>
      <c r="AT70" s="243" t="str">
        <f>IF($AL70="","",RANK(AR70,$AR$2:$AR$1001)+COUNTIF($AR$2:AR70,AR70)-1)</f>
        <v/>
      </c>
      <c r="AU70" s="243" t="str">
        <f>IF($AL70="","",RANK(AV70,$AV$2:$AV$1001)+COUNTIF($AV$2:AV70,AV70)-1)</f>
        <v/>
      </c>
      <c r="AV70" s="266">
        <f t="shared" si="34"/>
        <v>0</v>
      </c>
    </row>
    <row r="71" spans="26:48" ht="15" customHeight="1" x14ac:dyDescent="0.2">
      <c r="Z71" s="243" t="str">
        <f>Shares!A71</f>
        <v/>
      </c>
      <c r="AA71" s="243" t="str">
        <f>Shares!B71</f>
        <v/>
      </c>
      <c r="AB71" s="243" t="str">
        <f>Shares!C71</f>
        <v/>
      </c>
      <c r="AC71" s="243" t="str">
        <f>Shares!D71</f>
        <v/>
      </c>
      <c r="AD71" s="243">
        <f>IF($Z71="",0,Shares!E71)</f>
        <v>0</v>
      </c>
      <c r="AE71" s="266">
        <f>IF($Z71="",0,Shares!J71*Shares!I71)</f>
        <v>0</v>
      </c>
      <c r="AF71" s="267">
        <f t="shared" si="33"/>
        <v>0</v>
      </c>
      <c r="AG71" s="266">
        <f>IF($Z71="",0,Shares!L71)</f>
        <v>0</v>
      </c>
      <c r="AH71" s="267">
        <f>IF($Z71="",0,Shares!M71)</f>
        <v>0</v>
      </c>
      <c r="AI71" s="243" t="str">
        <f>IF($Z71="","",RANK(AE71,$AE$2:$AE$1001)+COUNTIF($AE$2:AE71,AE71)-1)</f>
        <v/>
      </c>
      <c r="AJ71" s="243" t="str">
        <f>IF($AD71&lt;0,COUNT($AJ$1:AJ70)+1,"")</f>
        <v/>
      </c>
      <c r="AL71" s="243" t="str">
        <f>'All Ticker P&amp;L'!A71</f>
        <v/>
      </c>
      <c r="AM71" s="243" t="str">
        <f>'All Ticker P&amp;L'!B71</f>
        <v/>
      </c>
      <c r="AN71" s="243" t="str">
        <f>'All Ticker P&amp;L'!C71</f>
        <v/>
      </c>
      <c r="AO71" s="243" t="str">
        <f>'All Ticker P&amp;L'!D71</f>
        <v/>
      </c>
      <c r="AP71" s="265">
        <f>IF($AL71="",0,'All Ticker P&amp;L'!E71)</f>
        <v>0</v>
      </c>
      <c r="AQ71" s="266">
        <f>IF($AL71="",0,'All Ticker P&amp;L'!J71*'All Ticker P&amp;L'!I71)</f>
        <v>0</v>
      </c>
      <c r="AR71" s="266">
        <f>IF($AL71="",0,'All Ticker P&amp;L'!L71)</f>
        <v>0</v>
      </c>
      <c r="AS71" s="267">
        <f>IF($AL71="",0,'All Ticker P&amp;L'!M71)</f>
        <v>0</v>
      </c>
      <c r="AT71" s="243" t="str">
        <f>IF($AL71="","",RANK(AR71,$AR$2:$AR$1001)+COUNTIF($AR$2:AR71,AR71)-1)</f>
        <v/>
      </c>
      <c r="AU71" s="243" t="str">
        <f>IF($AL71="","",RANK(AV71,$AV$2:$AV$1001)+COUNTIF($AV$2:AV71,AV71)-1)</f>
        <v/>
      </c>
      <c r="AV71" s="266">
        <f t="shared" si="34"/>
        <v>0</v>
      </c>
    </row>
    <row r="72" spans="26:48" ht="15" customHeight="1" x14ac:dyDescent="0.2">
      <c r="Z72" s="243" t="str">
        <f>Shares!A72</f>
        <v/>
      </c>
      <c r="AA72" s="243" t="str">
        <f>Shares!B72</f>
        <v/>
      </c>
      <c r="AB72" s="243" t="str">
        <f>Shares!C72</f>
        <v/>
      </c>
      <c r="AC72" s="243" t="str">
        <f>Shares!D72</f>
        <v/>
      </c>
      <c r="AD72" s="243">
        <f>IF($Z72="",0,Shares!E72)</f>
        <v>0</v>
      </c>
      <c r="AE72" s="266">
        <f>IF($Z72="",0,Shares!J72*Shares!I72)</f>
        <v>0</v>
      </c>
      <c r="AF72" s="267">
        <f t="shared" si="33"/>
        <v>0</v>
      </c>
      <c r="AG72" s="266">
        <f>IF($Z72="",0,Shares!L72)</f>
        <v>0</v>
      </c>
      <c r="AH72" s="267">
        <f>IF($Z72="",0,Shares!M72)</f>
        <v>0</v>
      </c>
      <c r="AI72" s="243" t="str">
        <f>IF($Z72="","",RANK(AE72,$AE$2:$AE$1001)+COUNTIF($AE$2:AE72,AE72)-1)</f>
        <v/>
      </c>
      <c r="AJ72" s="243" t="str">
        <f>IF($AD72&lt;0,COUNT($AJ$1:AJ71)+1,"")</f>
        <v/>
      </c>
      <c r="AL72" s="243" t="str">
        <f>'All Ticker P&amp;L'!A72</f>
        <v/>
      </c>
      <c r="AM72" s="243" t="str">
        <f>'All Ticker P&amp;L'!B72</f>
        <v/>
      </c>
      <c r="AN72" s="243" t="str">
        <f>'All Ticker P&amp;L'!C72</f>
        <v/>
      </c>
      <c r="AO72" s="243" t="str">
        <f>'All Ticker P&amp;L'!D72</f>
        <v/>
      </c>
      <c r="AP72" s="265">
        <f>IF($AL72="",0,'All Ticker P&amp;L'!E72)</f>
        <v>0</v>
      </c>
      <c r="AQ72" s="266">
        <f>IF($AL72="",0,'All Ticker P&amp;L'!J72*'All Ticker P&amp;L'!I72)</f>
        <v>0</v>
      </c>
      <c r="AR72" s="266">
        <f>IF($AL72="",0,'All Ticker P&amp;L'!L72)</f>
        <v>0</v>
      </c>
      <c r="AS72" s="267">
        <f>IF($AL72="",0,'All Ticker P&amp;L'!M72)</f>
        <v>0</v>
      </c>
      <c r="AT72" s="243" t="str">
        <f>IF($AL72="","",RANK(AR72,$AR$2:$AR$1001)+COUNTIF($AR$2:AR72,AR72)-1)</f>
        <v/>
      </c>
      <c r="AU72" s="243" t="str">
        <f>IF($AL72="","",RANK(AV72,$AV$2:$AV$1001)+COUNTIF($AV$2:AV72,AV72)-1)</f>
        <v/>
      </c>
      <c r="AV72" s="266">
        <f t="shared" si="34"/>
        <v>0</v>
      </c>
    </row>
    <row r="73" spans="26:48" ht="15" customHeight="1" x14ac:dyDescent="0.2">
      <c r="Z73" s="243" t="str">
        <f>Shares!A73</f>
        <v/>
      </c>
      <c r="AA73" s="243" t="str">
        <f>Shares!B73</f>
        <v/>
      </c>
      <c r="AB73" s="243" t="str">
        <f>Shares!C73</f>
        <v/>
      </c>
      <c r="AC73" s="243" t="str">
        <f>Shares!D73</f>
        <v/>
      </c>
      <c r="AD73" s="243">
        <f>IF($Z73="",0,Shares!E73)</f>
        <v>0</v>
      </c>
      <c r="AE73" s="266">
        <f>IF($Z73="",0,Shares!J73*Shares!I73)</f>
        <v>0</v>
      </c>
      <c r="AF73" s="267">
        <f t="shared" si="33"/>
        <v>0</v>
      </c>
      <c r="AG73" s="266">
        <f>IF($Z73="",0,Shares!L73)</f>
        <v>0</v>
      </c>
      <c r="AH73" s="267">
        <f>IF($Z73="",0,Shares!M73)</f>
        <v>0</v>
      </c>
      <c r="AI73" s="243" t="str">
        <f>IF($Z73="","",RANK(AE73,$AE$2:$AE$1001)+COUNTIF($AE$2:AE73,AE73)-1)</f>
        <v/>
      </c>
      <c r="AJ73" s="243" t="str">
        <f>IF($AD73&lt;0,COUNT($AJ$1:AJ72)+1,"")</f>
        <v/>
      </c>
      <c r="AL73" s="243" t="str">
        <f>'All Ticker P&amp;L'!A73</f>
        <v/>
      </c>
      <c r="AM73" s="243" t="str">
        <f>'All Ticker P&amp;L'!B73</f>
        <v/>
      </c>
      <c r="AN73" s="243" t="str">
        <f>'All Ticker P&amp;L'!C73</f>
        <v/>
      </c>
      <c r="AO73" s="243" t="str">
        <f>'All Ticker P&amp;L'!D73</f>
        <v/>
      </c>
      <c r="AP73" s="265">
        <f>IF($AL73="",0,'All Ticker P&amp;L'!E73)</f>
        <v>0</v>
      </c>
      <c r="AQ73" s="266">
        <f>IF($AL73="",0,'All Ticker P&amp;L'!J73*'All Ticker P&amp;L'!I73)</f>
        <v>0</v>
      </c>
      <c r="AR73" s="266">
        <f>IF($AL73="",0,'All Ticker P&amp;L'!L73)</f>
        <v>0</v>
      </c>
      <c r="AS73" s="267">
        <f>IF($AL73="",0,'All Ticker P&amp;L'!M73)</f>
        <v>0</v>
      </c>
      <c r="AT73" s="243" t="str">
        <f>IF($AL73="","",RANK(AR73,$AR$2:$AR$1001)+COUNTIF($AR$2:AR73,AR73)-1)</f>
        <v/>
      </c>
      <c r="AU73" s="243" t="str">
        <f>IF($AL73="","",RANK(AV73,$AV$2:$AV$1001)+COUNTIF($AV$2:AV73,AV73)-1)</f>
        <v/>
      </c>
      <c r="AV73" s="266">
        <f t="shared" si="34"/>
        <v>0</v>
      </c>
    </row>
    <row r="74" spans="26:48" ht="15" customHeight="1" x14ac:dyDescent="0.2">
      <c r="Z74" s="243" t="str">
        <f>Shares!A74</f>
        <v/>
      </c>
      <c r="AA74" s="243" t="str">
        <f>Shares!B74</f>
        <v/>
      </c>
      <c r="AB74" s="243" t="str">
        <f>Shares!C74</f>
        <v/>
      </c>
      <c r="AC74" s="243" t="str">
        <f>Shares!D74</f>
        <v/>
      </c>
      <c r="AD74" s="243">
        <f>IF($Z74="",0,Shares!E74)</f>
        <v>0</v>
      </c>
      <c r="AE74" s="266">
        <f>IF($Z74="",0,Shares!J74*Shares!I74)</f>
        <v>0</v>
      </c>
      <c r="AF74" s="267">
        <f t="shared" si="33"/>
        <v>0</v>
      </c>
      <c r="AG74" s="266">
        <f>IF($Z74="",0,Shares!L74)</f>
        <v>0</v>
      </c>
      <c r="AH74" s="267">
        <f>IF($Z74="",0,Shares!M74)</f>
        <v>0</v>
      </c>
      <c r="AI74" s="243" t="str">
        <f>IF($Z74="","",RANK(AE74,$AE$2:$AE$1001)+COUNTIF($AE$2:AE74,AE74)-1)</f>
        <v/>
      </c>
      <c r="AJ74" s="243" t="str">
        <f>IF($AD74&lt;0,COUNT($AJ$1:AJ73)+1,"")</f>
        <v/>
      </c>
      <c r="AL74" s="243" t="str">
        <f>'All Ticker P&amp;L'!A74</f>
        <v/>
      </c>
      <c r="AM74" s="243" t="str">
        <f>'All Ticker P&amp;L'!B74</f>
        <v/>
      </c>
      <c r="AN74" s="243" t="str">
        <f>'All Ticker P&amp;L'!C74</f>
        <v/>
      </c>
      <c r="AO74" s="243" t="str">
        <f>'All Ticker P&amp;L'!D74</f>
        <v/>
      </c>
      <c r="AP74" s="265">
        <f>IF($AL74="",0,'All Ticker P&amp;L'!E74)</f>
        <v>0</v>
      </c>
      <c r="AQ74" s="266">
        <f>IF($AL74="",0,'All Ticker P&amp;L'!J74*'All Ticker P&amp;L'!I74)</f>
        <v>0</v>
      </c>
      <c r="AR74" s="266">
        <f>IF($AL74="",0,'All Ticker P&amp;L'!L74)</f>
        <v>0</v>
      </c>
      <c r="AS74" s="267">
        <f>IF($AL74="",0,'All Ticker P&amp;L'!M74)</f>
        <v>0</v>
      </c>
      <c r="AT74" s="243" t="str">
        <f>IF($AL74="","",RANK(AR74,$AR$2:$AR$1001)+COUNTIF($AR$2:AR74,AR74)-1)</f>
        <v/>
      </c>
      <c r="AU74" s="243" t="str">
        <f>IF($AL74="","",RANK(AV74,$AV$2:$AV$1001)+COUNTIF($AV$2:AV74,AV74)-1)</f>
        <v/>
      </c>
      <c r="AV74" s="266">
        <f t="shared" si="34"/>
        <v>0</v>
      </c>
    </row>
    <row r="75" spans="26:48" ht="15" customHeight="1" x14ac:dyDescent="0.2">
      <c r="Z75" s="243" t="str">
        <f>Shares!A75</f>
        <v/>
      </c>
      <c r="AA75" s="243" t="str">
        <f>Shares!B75</f>
        <v/>
      </c>
      <c r="AB75" s="243" t="str">
        <f>Shares!C75</f>
        <v/>
      </c>
      <c r="AC75" s="243" t="str">
        <f>Shares!D75</f>
        <v/>
      </c>
      <c r="AD75" s="243">
        <f>IF($Z75="",0,Shares!E75)</f>
        <v>0</v>
      </c>
      <c r="AE75" s="266">
        <f>IF($Z75="",0,Shares!J75*Shares!I75)</f>
        <v>0</v>
      </c>
      <c r="AF75" s="267">
        <f t="shared" si="33"/>
        <v>0</v>
      </c>
      <c r="AG75" s="266">
        <f>IF($Z75="",0,Shares!L75)</f>
        <v>0</v>
      </c>
      <c r="AH75" s="267">
        <f>IF($Z75="",0,Shares!M75)</f>
        <v>0</v>
      </c>
      <c r="AI75" s="243" t="str">
        <f>IF($Z75="","",RANK(AE75,$AE$2:$AE$1001)+COUNTIF($AE$2:AE75,AE75)-1)</f>
        <v/>
      </c>
      <c r="AJ75" s="243" t="str">
        <f>IF($AD75&lt;0,COUNT($AJ$1:AJ74)+1,"")</f>
        <v/>
      </c>
      <c r="AL75" s="243" t="str">
        <f>'All Ticker P&amp;L'!A75</f>
        <v/>
      </c>
      <c r="AM75" s="243" t="str">
        <f>'All Ticker P&amp;L'!B75</f>
        <v/>
      </c>
      <c r="AN75" s="243" t="str">
        <f>'All Ticker P&amp;L'!C75</f>
        <v/>
      </c>
      <c r="AO75" s="243" t="str">
        <f>'All Ticker P&amp;L'!D75</f>
        <v/>
      </c>
      <c r="AP75" s="265">
        <f>IF($AL75="",0,'All Ticker P&amp;L'!E75)</f>
        <v>0</v>
      </c>
      <c r="AQ75" s="266">
        <f>IF($AL75="",0,'All Ticker P&amp;L'!J75*'All Ticker P&amp;L'!I75)</f>
        <v>0</v>
      </c>
      <c r="AR75" s="266">
        <f>IF($AL75="",0,'All Ticker P&amp;L'!L75)</f>
        <v>0</v>
      </c>
      <c r="AS75" s="267">
        <f>IF($AL75="",0,'All Ticker P&amp;L'!M75)</f>
        <v>0</v>
      </c>
      <c r="AT75" s="243" t="str">
        <f>IF($AL75="","",RANK(AR75,$AR$2:$AR$1001)+COUNTIF($AR$2:AR75,AR75)-1)</f>
        <v/>
      </c>
      <c r="AU75" s="243" t="str">
        <f>IF($AL75="","",RANK(AV75,$AV$2:$AV$1001)+COUNTIF($AV$2:AV75,AV75)-1)</f>
        <v/>
      </c>
      <c r="AV75" s="266">
        <f t="shared" si="34"/>
        <v>0</v>
      </c>
    </row>
    <row r="76" spans="26:48" ht="15" customHeight="1" x14ac:dyDescent="0.2">
      <c r="Z76" s="243" t="str">
        <f>Shares!A76</f>
        <v/>
      </c>
      <c r="AA76" s="243" t="str">
        <f>Shares!B76</f>
        <v/>
      </c>
      <c r="AB76" s="243" t="str">
        <f>Shares!C76</f>
        <v/>
      </c>
      <c r="AC76" s="243" t="str">
        <f>Shares!D76</f>
        <v/>
      </c>
      <c r="AD76" s="243">
        <f>IF($Z76="",0,Shares!E76)</f>
        <v>0</v>
      </c>
      <c r="AE76" s="266">
        <f>IF($Z76="",0,Shares!J76*Shares!I76)</f>
        <v>0</v>
      </c>
      <c r="AF76" s="267">
        <f t="shared" si="33"/>
        <v>0</v>
      </c>
      <c r="AG76" s="266">
        <f>IF($Z76="",0,Shares!L76)</f>
        <v>0</v>
      </c>
      <c r="AH76" s="267">
        <f>IF($Z76="",0,Shares!M76)</f>
        <v>0</v>
      </c>
      <c r="AI76" s="243" t="str">
        <f>IF($Z76="","",RANK(AE76,$AE$2:$AE$1001)+COUNTIF($AE$2:AE76,AE76)-1)</f>
        <v/>
      </c>
      <c r="AJ76" s="243" t="str">
        <f>IF($AD76&lt;0,COUNT($AJ$1:AJ75)+1,"")</f>
        <v/>
      </c>
      <c r="AL76" s="243" t="str">
        <f>'All Ticker P&amp;L'!A76</f>
        <v/>
      </c>
      <c r="AM76" s="243" t="str">
        <f>'All Ticker P&amp;L'!B76</f>
        <v/>
      </c>
      <c r="AN76" s="243" t="str">
        <f>'All Ticker P&amp;L'!C76</f>
        <v/>
      </c>
      <c r="AO76" s="243" t="str">
        <f>'All Ticker P&amp;L'!D76</f>
        <v/>
      </c>
      <c r="AP76" s="265">
        <f>IF($AL76="",0,'All Ticker P&amp;L'!E76)</f>
        <v>0</v>
      </c>
      <c r="AQ76" s="266">
        <f>IF($AL76="",0,'All Ticker P&amp;L'!J76*'All Ticker P&amp;L'!I76)</f>
        <v>0</v>
      </c>
      <c r="AR76" s="266">
        <f>IF($AL76="",0,'All Ticker P&amp;L'!L76)</f>
        <v>0</v>
      </c>
      <c r="AS76" s="267">
        <f>IF($AL76="",0,'All Ticker P&amp;L'!M76)</f>
        <v>0</v>
      </c>
      <c r="AT76" s="243" t="str">
        <f>IF($AL76="","",RANK(AR76,$AR$2:$AR$1001)+COUNTIF($AR$2:AR76,AR76)-1)</f>
        <v/>
      </c>
      <c r="AU76" s="243" t="str">
        <f>IF($AL76="","",RANK(AV76,$AV$2:$AV$1001)+COUNTIF($AV$2:AV76,AV76)-1)</f>
        <v/>
      </c>
      <c r="AV76" s="266">
        <f t="shared" si="34"/>
        <v>0</v>
      </c>
    </row>
    <row r="77" spans="26:48" ht="15" customHeight="1" x14ac:dyDescent="0.2">
      <c r="Z77" s="243" t="str">
        <f>Shares!A77</f>
        <v/>
      </c>
      <c r="AA77" s="243" t="str">
        <f>Shares!B77</f>
        <v/>
      </c>
      <c r="AB77" s="243" t="str">
        <f>Shares!C77</f>
        <v/>
      </c>
      <c r="AC77" s="243" t="str">
        <f>Shares!D77</f>
        <v/>
      </c>
      <c r="AD77" s="243">
        <f>IF($Z77="",0,Shares!E77)</f>
        <v>0</v>
      </c>
      <c r="AE77" s="266">
        <f>IF($Z77="",0,Shares!J77*Shares!I77)</f>
        <v>0</v>
      </c>
      <c r="AF77" s="267">
        <f t="shared" si="33"/>
        <v>0</v>
      </c>
      <c r="AG77" s="266">
        <f>IF($Z77="",0,Shares!L77)</f>
        <v>0</v>
      </c>
      <c r="AH77" s="267">
        <f>IF($Z77="",0,Shares!M77)</f>
        <v>0</v>
      </c>
      <c r="AI77" s="243" t="str">
        <f>IF($Z77="","",RANK(AE77,$AE$2:$AE$1001)+COUNTIF($AE$2:AE77,AE77)-1)</f>
        <v/>
      </c>
      <c r="AJ77" s="243" t="str">
        <f>IF($AD77&lt;0,COUNT($AJ$1:AJ76)+1,"")</f>
        <v/>
      </c>
      <c r="AL77" s="243" t="str">
        <f>'All Ticker P&amp;L'!A77</f>
        <v/>
      </c>
      <c r="AM77" s="243" t="str">
        <f>'All Ticker P&amp;L'!B77</f>
        <v/>
      </c>
      <c r="AN77" s="243" t="str">
        <f>'All Ticker P&amp;L'!C77</f>
        <v/>
      </c>
      <c r="AO77" s="243" t="str">
        <f>'All Ticker P&amp;L'!D77</f>
        <v/>
      </c>
      <c r="AP77" s="265">
        <f>IF($AL77="",0,'All Ticker P&amp;L'!E77)</f>
        <v>0</v>
      </c>
      <c r="AQ77" s="266">
        <f>IF($AL77="",0,'All Ticker P&amp;L'!J77*'All Ticker P&amp;L'!I77)</f>
        <v>0</v>
      </c>
      <c r="AR77" s="266">
        <f>IF($AL77="",0,'All Ticker P&amp;L'!L77)</f>
        <v>0</v>
      </c>
      <c r="AS77" s="267">
        <f>IF($AL77="",0,'All Ticker P&amp;L'!M77)</f>
        <v>0</v>
      </c>
      <c r="AT77" s="243" t="str">
        <f>IF($AL77="","",RANK(AR77,$AR$2:$AR$1001)+COUNTIF($AR$2:AR77,AR77)-1)</f>
        <v/>
      </c>
      <c r="AU77" s="243" t="str">
        <f>IF($AL77="","",RANK(AV77,$AV$2:$AV$1001)+COUNTIF($AV$2:AV77,AV77)-1)</f>
        <v/>
      </c>
      <c r="AV77" s="266">
        <f t="shared" si="34"/>
        <v>0</v>
      </c>
    </row>
    <row r="78" spans="26:48" ht="15" customHeight="1" x14ac:dyDescent="0.2">
      <c r="Z78" s="243" t="str">
        <f>Shares!A78</f>
        <v/>
      </c>
      <c r="AA78" s="243" t="str">
        <f>Shares!B78</f>
        <v/>
      </c>
      <c r="AB78" s="243" t="str">
        <f>Shares!C78</f>
        <v/>
      </c>
      <c r="AC78" s="243" t="str">
        <f>Shares!D78</f>
        <v/>
      </c>
      <c r="AD78" s="243">
        <f>IF($Z78="",0,Shares!E78)</f>
        <v>0</v>
      </c>
      <c r="AE78" s="266">
        <f>IF($Z78="",0,Shares!J78*Shares!I78)</f>
        <v>0</v>
      </c>
      <c r="AF78" s="267">
        <f t="shared" si="33"/>
        <v>0</v>
      </c>
      <c r="AG78" s="266">
        <f>IF($Z78="",0,Shares!L78)</f>
        <v>0</v>
      </c>
      <c r="AH78" s="267">
        <f>IF($Z78="",0,Shares!M78)</f>
        <v>0</v>
      </c>
      <c r="AI78" s="243" t="str">
        <f>IF($Z78="","",RANK(AE78,$AE$2:$AE$1001)+COUNTIF($AE$2:AE78,AE78)-1)</f>
        <v/>
      </c>
      <c r="AJ78" s="243" t="str">
        <f>IF($AD78&lt;0,COUNT($AJ$1:AJ77)+1,"")</f>
        <v/>
      </c>
      <c r="AL78" s="243" t="str">
        <f>'All Ticker P&amp;L'!A78</f>
        <v/>
      </c>
      <c r="AM78" s="243" t="str">
        <f>'All Ticker P&amp;L'!B78</f>
        <v/>
      </c>
      <c r="AN78" s="243" t="str">
        <f>'All Ticker P&amp;L'!C78</f>
        <v/>
      </c>
      <c r="AO78" s="243" t="str">
        <f>'All Ticker P&amp;L'!D78</f>
        <v/>
      </c>
      <c r="AP78" s="265">
        <f>IF($AL78="",0,'All Ticker P&amp;L'!E78)</f>
        <v>0</v>
      </c>
      <c r="AQ78" s="266">
        <f>IF($AL78="",0,'All Ticker P&amp;L'!J78*'All Ticker P&amp;L'!I78)</f>
        <v>0</v>
      </c>
      <c r="AR78" s="266">
        <f>IF($AL78="",0,'All Ticker P&amp;L'!L78)</f>
        <v>0</v>
      </c>
      <c r="AS78" s="267">
        <f>IF($AL78="",0,'All Ticker P&amp;L'!M78)</f>
        <v>0</v>
      </c>
      <c r="AT78" s="243" t="str">
        <f>IF($AL78="","",RANK(AR78,$AR$2:$AR$1001)+COUNTIF($AR$2:AR78,AR78)-1)</f>
        <v/>
      </c>
      <c r="AU78" s="243" t="str">
        <f>IF($AL78="","",RANK(AV78,$AV$2:$AV$1001)+COUNTIF($AV$2:AV78,AV78)-1)</f>
        <v/>
      </c>
      <c r="AV78" s="266">
        <f t="shared" si="34"/>
        <v>0</v>
      </c>
    </row>
    <row r="79" spans="26:48" ht="15" customHeight="1" x14ac:dyDescent="0.2">
      <c r="Z79" s="243" t="str">
        <f>Shares!A79</f>
        <v/>
      </c>
      <c r="AA79" s="243" t="str">
        <f>Shares!B79</f>
        <v/>
      </c>
      <c r="AB79" s="243" t="str">
        <f>Shares!C79</f>
        <v/>
      </c>
      <c r="AC79" s="243" t="str">
        <f>Shares!D79</f>
        <v/>
      </c>
      <c r="AD79" s="243">
        <f>IF($Z79="",0,Shares!E79)</f>
        <v>0</v>
      </c>
      <c r="AE79" s="266">
        <f>IF($Z79="",0,Shares!J79*Shares!I79)</f>
        <v>0</v>
      </c>
      <c r="AF79" s="267">
        <f t="shared" si="33"/>
        <v>0</v>
      </c>
      <c r="AG79" s="266">
        <f>IF($Z79="",0,Shares!L79)</f>
        <v>0</v>
      </c>
      <c r="AH79" s="267">
        <f>IF($Z79="",0,Shares!M79)</f>
        <v>0</v>
      </c>
      <c r="AI79" s="243" t="str">
        <f>IF($Z79="","",RANK(AE79,$AE$2:$AE$1001)+COUNTIF($AE$2:AE79,AE79)-1)</f>
        <v/>
      </c>
      <c r="AJ79" s="243" t="str">
        <f>IF($AD79&lt;0,COUNT($AJ$1:AJ78)+1,"")</f>
        <v/>
      </c>
      <c r="AL79" s="243" t="str">
        <f>'All Ticker P&amp;L'!A79</f>
        <v/>
      </c>
      <c r="AM79" s="243" t="str">
        <f>'All Ticker P&amp;L'!B79</f>
        <v/>
      </c>
      <c r="AN79" s="243" t="str">
        <f>'All Ticker P&amp;L'!C79</f>
        <v/>
      </c>
      <c r="AO79" s="243" t="str">
        <f>'All Ticker P&amp;L'!D79</f>
        <v/>
      </c>
      <c r="AP79" s="265">
        <f>IF($AL79="",0,'All Ticker P&amp;L'!E79)</f>
        <v>0</v>
      </c>
      <c r="AQ79" s="266">
        <f>IF($AL79="",0,'All Ticker P&amp;L'!J79*'All Ticker P&amp;L'!I79)</f>
        <v>0</v>
      </c>
      <c r="AR79" s="266">
        <f>IF($AL79="",0,'All Ticker P&amp;L'!L79)</f>
        <v>0</v>
      </c>
      <c r="AS79" s="267">
        <f>IF($AL79="",0,'All Ticker P&amp;L'!M79)</f>
        <v>0</v>
      </c>
      <c r="AT79" s="243" t="str">
        <f>IF($AL79="","",RANK(AR79,$AR$2:$AR$1001)+COUNTIF($AR$2:AR79,AR79)-1)</f>
        <v/>
      </c>
      <c r="AU79" s="243" t="str">
        <f>IF($AL79="","",RANK(AV79,$AV$2:$AV$1001)+COUNTIF($AV$2:AV79,AV79)-1)</f>
        <v/>
      </c>
      <c r="AV79" s="266">
        <f t="shared" si="34"/>
        <v>0</v>
      </c>
    </row>
    <row r="80" spans="26:48" ht="15" customHeight="1" x14ac:dyDescent="0.2">
      <c r="Z80" s="243" t="str">
        <f>Shares!A80</f>
        <v/>
      </c>
      <c r="AA80" s="243" t="str">
        <f>Shares!B80</f>
        <v/>
      </c>
      <c r="AB80" s="243" t="str">
        <f>Shares!C80</f>
        <v/>
      </c>
      <c r="AC80" s="243" t="str">
        <f>Shares!D80</f>
        <v/>
      </c>
      <c r="AD80" s="243">
        <f>IF($Z80="",0,Shares!E80)</f>
        <v>0</v>
      </c>
      <c r="AE80" s="266">
        <f>IF($Z80="",0,Shares!J80*Shares!I80)</f>
        <v>0</v>
      </c>
      <c r="AF80" s="267">
        <f t="shared" si="33"/>
        <v>0</v>
      </c>
      <c r="AG80" s="266">
        <f>IF($Z80="",0,Shares!L80)</f>
        <v>0</v>
      </c>
      <c r="AH80" s="267">
        <f>IF($Z80="",0,Shares!M80)</f>
        <v>0</v>
      </c>
      <c r="AI80" s="243" t="str">
        <f>IF($Z80="","",RANK(AE80,$AE$2:$AE$1001)+COUNTIF($AE$2:AE80,AE80)-1)</f>
        <v/>
      </c>
      <c r="AJ80" s="243" t="str">
        <f>IF($AD80&lt;0,COUNT($AJ$1:AJ79)+1,"")</f>
        <v/>
      </c>
      <c r="AL80" s="243" t="str">
        <f>'All Ticker P&amp;L'!A80</f>
        <v/>
      </c>
      <c r="AM80" s="243" t="str">
        <f>'All Ticker P&amp;L'!B80</f>
        <v/>
      </c>
      <c r="AN80" s="243" t="str">
        <f>'All Ticker P&amp;L'!C80</f>
        <v/>
      </c>
      <c r="AO80" s="243" t="str">
        <f>'All Ticker P&amp;L'!D80</f>
        <v/>
      </c>
      <c r="AP80" s="265">
        <f>IF($AL80="",0,'All Ticker P&amp;L'!E80)</f>
        <v>0</v>
      </c>
      <c r="AQ80" s="266">
        <f>IF($AL80="",0,'All Ticker P&amp;L'!J80*'All Ticker P&amp;L'!I80)</f>
        <v>0</v>
      </c>
      <c r="AR80" s="266">
        <f>IF($AL80="",0,'All Ticker P&amp;L'!L80)</f>
        <v>0</v>
      </c>
      <c r="AS80" s="267">
        <f>IF($AL80="",0,'All Ticker P&amp;L'!M80)</f>
        <v>0</v>
      </c>
      <c r="AT80" s="243" t="str">
        <f>IF($AL80="","",RANK(AR80,$AR$2:$AR$1001)+COUNTIF($AR$2:AR80,AR80)-1)</f>
        <v/>
      </c>
      <c r="AU80" s="243" t="str">
        <f>IF($AL80="","",RANK(AV80,$AV$2:$AV$1001)+COUNTIF($AV$2:AV80,AV80)-1)</f>
        <v/>
      </c>
      <c r="AV80" s="266">
        <f t="shared" si="34"/>
        <v>0</v>
      </c>
    </row>
    <row r="81" spans="26:48" ht="15" customHeight="1" x14ac:dyDescent="0.2">
      <c r="Z81" s="243" t="str">
        <f>Shares!A81</f>
        <v/>
      </c>
      <c r="AA81" s="243" t="str">
        <f>Shares!B81</f>
        <v/>
      </c>
      <c r="AB81" s="243" t="str">
        <f>Shares!C81</f>
        <v/>
      </c>
      <c r="AC81" s="243" t="str">
        <f>Shares!D81</f>
        <v/>
      </c>
      <c r="AD81" s="243">
        <f>IF($Z81="",0,Shares!E81)</f>
        <v>0</v>
      </c>
      <c r="AE81" s="266">
        <f>IF($Z81="",0,Shares!J81*Shares!I81)</f>
        <v>0</v>
      </c>
      <c r="AF81" s="267">
        <f t="shared" si="33"/>
        <v>0</v>
      </c>
      <c r="AG81" s="266">
        <f>IF($Z81="",0,Shares!L81)</f>
        <v>0</v>
      </c>
      <c r="AH81" s="267">
        <f>IF($Z81="",0,Shares!M81)</f>
        <v>0</v>
      </c>
      <c r="AI81" s="243" t="str">
        <f>IF($Z81="","",RANK(AE81,$AE$2:$AE$1001)+COUNTIF($AE$2:AE81,AE81)-1)</f>
        <v/>
      </c>
      <c r="AJ81" s="243" t="str">
        <f>IF($AD81&lt;0,COUNT($AJ$1:AJ80)+1,"")</f>
        <v/>
      </c>
      <c r="AL81" s="243" t="str">
        <f>'All Ticker P&amp;L'!A81</f>
        <v/>
      </c>
      <c r="AM81" s="243" t="str">
        <f>'All Ticker P&amp;L'!B81</f>
        <v/>
      </c>
      <c r="AN81" s="243" t="str">
        <f>'All Ticker P&amp;L'!C81</f>
        <v/>
      </c>
      <c r="AO81" s="243" t="str">
        <f>'All Ticker P&amp;L'!D81</f>
        <v/>
      </c>
      <c r="AP81" s="265">
        <f>IF($AL81="",0,'All Ticker P&amp;L'!E81)</f>
        <v>0</v>
      </c>
      <c r="AQ81" s="266">
        <f>IF($AL81="",0,'All Ticker P&amp;L'!J81*'All Ticker P&amp;L'!I81)</f>
        <v>0</v>
      </c>
      <c r="AR81" s="266">
        <f>IF($AL81="",0,'All Ticker P&amp;L'!L81)</f>
        <v>0</v>
      </c>
      <c r="AS81" s="267">
        <f>IF($AL81="",0,'All Ticker P&amp;L'!M81)</f>
        <v>0</v>
      </c>
      <c r="AT81" s="243" t="str">
        <f>IF($AL81="","",RANK(AR81,$AR$2:$AR$1001)+COUNTIF($AR$2:AR81,AR81)-1)</f>
        <v/>
      </c>
      <c r="AU81" s="243" t="str">
        <f>IF($AL81="","",RANK(AV81,$AV$2:$AV$1001)+COUNTIF($AV$2:AV81,AV81)-1)</f>
        <v/>
      </c>
      <c r="AV81" s="266">
        <f t="shared" si="34"/>
        <v>0</v>
      </c>
    </row>
    <row r="82" spans="26:48" ht="15" customHeight="1" x14ac:dyDescent="0.2">
      <c r="Z82" s="243" t="str">
        <f>Shares!A82</f>
        <v/>
      </c>
      <c r="AA82" s="243" t="str">
        <f>Shares!B82</f>
        <v/>
      </c>
      <c r="AB82" s="243" t="str">
        <f>Shares!C82</f>
        <v/>
      </c>
      <c r="AC82" s="243" t="str">
        <f>Shares!D82</f>
        <v/>
      </c>
      <c r="AD82" s="243">
        <f>IF($Z82="",0,Shares!E82)</f>
        <v>0</v>
      </c>
      <c r="AE82" s="266">
        <f>IF($Z82="",0,Shares!J82*Shares!I82)</f>
        <v>0</v>
      </c>
      <c r="AF82" s="267">
        <f t="shared" si="33"/>
        <v>0</v>
      </c>
      <c r="AG82" s="266">
        <f>IF($Z82="",0,Shares!L82)</f>
        <v>0</v>
      </c>
      <c r="AH82" s="267">
        <f>IF($Z82="",0,Shares!M82)</f>
        <v>0</v>
      </c>
      <c r="AI82" s="243" t="str">
        <f>IF($Z82="","",RANK(AE82,$AE$2:$AE$1001)+COUNTIF($AE$2:AE82,AE82)-1)</f>
        <v/>
      </c>
      <c r="AJ82" s="243" t="str">
        <f>IF($AD82&lt;0,COUNT($AJ$1:AJ81)+1,"")</f>
        <v/>
      </c>
      <c r="AL82" s="243" t="str">
        <f>'All Ticker P&amp;L'!A82</f>
        <v/>
      </c>
      <c r="AM82" s="243" t="str">
        <f>'All Ticker P&amp;L'!B82</f>
        <v/>
      </c>
      <c r="AN82" s="243" t="str">
        <f>'All Ticker P&amp;L'!C82</f>
        <v/>
      </c>
      <c r="AO82" s="243" t="str">
        <f>'All Ticker P&amp;L'!D82</f>
        <v/>
      </c>
      <c r="AP82" s="265">
        <f>IF($AL82="",0,'All Ticker P&amp;L'!E82)</f>
        <v>0</v>
      </c>
      <c r="AQ82" s="266">
        <f>IF($AL82="",0,'All Ticker P&amp;L'!J82*'All Ticker P&amp;L'!I82)</f>
        <v>0</v>
      </c>
      <c r="AR82" s="266">
        <f>IF($AL82="",0,'All Ticker P&amp;L'!L82)</f>
        <v>0</v>
      </c>
      <c r="AS82" s="267">
        <f>IF($AL82="",0,'All Ticker P&amp;L'!M82)</f>
        <v>0</v>
      </c>
      <c r="AT82" s="243" t="str">
        <f>IF($AL82="","",RANK(AR82,$AR$2:$AR$1001)+COUNTIF($AR$2:AR82,AR82)-1)</f>
        <v/>
      </c>
      <c r="AU82" s="243" t="str">
        <f>IF($AL82="","",RANK(AV82,$AV$2:$AV$1001)+COUNTIF($AV$2:AV82,AV82)-1)</f>
        <v/>
      </c>
      <c r="AV82" s="266">
        <f t="shared" si="34"/>
        <v>0</v>
      </c>
    </row>
    <row r="83" spans="26:48" ht="15" customHeight="1" x14ac:dyDescent="0.2">
      <c r="Z83" s="243" t="str">
        <f>Shares!A83</f>
        <v/>
      </c>
      <c r="AA83" s="243" t="str">
        <f>Shares!B83</f>
        <v/>
      </c>
      <c r="AB83" s="243" t="str">
        <f>Shares!C83</f>
        <v/>
      </c>
      <c r="AC83" s="243" t="str">
        <f>Shares!D83</f>
        <v/>
      </c>
      <c r="AD83" s="243">
        <f>IF($Z83="",0,Shares!E83)</f>
        <v>0</v>
      </c>
      <c r="AE83" s="266">
        <f>IF($Z83="",0,Shares!J83*Shares!I83)</f>
        <v>0</v>
      </c>
      <c r="AF83" s="267">
        <f t="shared" si="33"/>
        <v>0</v>
      </c>
      <c r="AG83" s="266">
        <f>IF($Z83="",0,Shares!L83)</f>
        <v>0</v>
      </c>
      <c r="AH83" s="267">
        <f>IF($Z83="",0,Shares!M83)</f>
        <v>0</v>
      </c>
      <c r="AI83" s="243" t="str">
        <f>IF($Z83="","",RANK(AE83,$AE$2:$AE$1001)+COUNTIF($AE$2:AE83,AE83)-1)</f>
        <v/>
      </c>
      <c r="AJ83" s="243" t="str">
        <f>IF($AD83&lt;0,COUNT($AJ$1:AJ82)+1,"")</f>
        <v/>
      </c>
      <c r="AL83" s="243" t="str">
        <f>'All Ticker P&amp;L'!A83</f>
        <v/>
      </c>
      <c r="AM83" s="243" t="str">
        <f>'All Ticker P&amp;L'!B83</f>
        <v/>
      </c>
      <c r="AN83" s="243" t="str">
        <f>'All Ticker P&amp;L'!C83</f>
        <v/>
      </c>
      <c r="AO83" s="243" t="str">
        <f>'All Ticker P&amp;L'!D83</f>
        <v/>
      </c>
      <c r="AP83" s="265">
        <f>IF($AL83="",0,'All Ticker P&amp;L'!E83)</f>
        <v>0</v>
      </c>
      <c r="AQ83" s="266">
        <f>IF($AL83="",0,'All Ticker P&amp;L'!J83*'All Ticker P&amp;L'!I83)</f>
        <v>0</v>
      </c>
      <c r="AR83" s="266">
        <f>IF($AL83="",0,'All Ticker P&amp;L'!L83)</f>
        <v>0</v>
      </c>
      <c r="AS83" s="267">
        <f>IF($AL83="",0,'All Ticker P&amp;L'!M83)</f>
        <v>0</v>
      </c>
      <c r="AT83" s="243" t="str">
        <f>IF($AL83="","",RANK(AR83,$AR$2:$AR$1001)+COUNTIF($AR$2:AR83,AR83)-1)</f>
        <v/>
      </c>
      <c r="AU83" s="243" t="str">
        <f>IF($AL83="","",RANK(AV83,$AV$2:$AV$1001)+COUNTIF($AV$2:AV83,AV83)-1)</f>
        <v/>
      </c>
      <c r="AV83" s="266">
        <f t="shared" si="34"/>
        <v>0</v>
      </c>
    </row>
    <row r="84" spans="26:48" ht="15" customHeight="1" x14ac:dyDescent="0.2">
      <c r="Z84" s="243" t="str">
        <f>Shares!A84</f>
        <v/>
      </c>
      <c r="AA84" s="243" t="str">
        <f>Shares!B84</f>
        <v/>
      </c>
      <c r="AB84" s="243" t="str">
        <f>Shares!C84</f>
        <v/>
      </c>
      <c r="AC84" s="243" t="str">
        <f>Shares!D84</f>
        <v/>
      </c>
      <c r="AD84" s="243">
        <f>IF($Z84="",0,Shares!E84)</f>
        <v>0</v>
      </c>
      <c r="AE84" s="266">
        <f>IF($Z84="",0,Shares!J84*Shares!I84)</f>
        <v>0</v>
      </c>
      <c r="AF84" s="267">
        <f t="shared" si="33"/>
        <v>0</v>
      </c>
      <c r="AG84" s="266">
        <f>IF($Z84="",0,Shares!L84)</f>
        <v>0</v>
      </c>
      <c r="AH84" s="267">
        <f>IF($Z84="",0,Shares!M84)</f>
        <v>0</v>
      </c>
      <c r="AI84" s="243" t="str">
        <f>IF($Z84="","",RANK(AE84,$AE$2:$AE$1001)+COUNTIF($AE$2:AE84,AE84)-1)</f>
        <v/>
      </c>
      <c r="AJ84" s="243" t="str">
        <f>IF($AD84&lt;0,COUNT($AJ$1:AJ83)+1,"")</f>
        <v/>
      </c>
      <c r="AL84" s="243" t="str">
        <f>'All Ticker P&amp;L'!A84</f>
        <v/>
      </c>
      <c r="AM84" s="243" t="str">
        <f>'All Ticker P&amp;L'!B84</f>
        <v/>
      </c>
      <c r="AN84" s="243" t="str">
        <f>'All Ticker P&amp;L'!C84</f>
        <v/>
      </c>
      <c r="AO84" s="243" t="str">
        <f>'All Ticker P&amp;L'!D84</f>
        <v/>
      </c>
      <c r="AP84" s="265">
        <f>IF($AL84="",0,'All Ticker P&amp;L'!E84)</f>
        <v>0</v>
      </c>
      <c r="AQ84" s="266">
        <f>IF($AL84="",0,'All Ticker P&amp;L'!J84*'All Ticker P&amp;L'!I84)</f>
        <v>0</v>
      </c>
      <c r="AR84" s="266">
        <f>IF($AL84="",0,'All Ticker P&amp;L'!L84)</f>
        <v>0</v>
      </c>
      <c r="AS84" s="267">
        <f>IF($AL84="",0,'All Ticker P&amp;L'!M84)</f>
        <v>0</v>
      </c>
      <c r="AT84" s="243" t="str">
        <f>IF($AL84="","",RANK(AR84,$AR$2:$AR$1001)+COUNTIF($AR$2:AR84,AR84)-1)</f>
        <v/>
      </c>
      <c r="AU84" s="243" t="str">
        <f>IF($AL84="","",RANK(AV84,$AV$2:$AV$1001)+COUNTIF($AV$2:AV84,AV84)-1)</f>
        <v/>
      </c>
      <c r="AV84" s="266">
        <f t="shared" si="34"/>
        <v>0</v>
      </c>
    </row>
    <row r="85" spans="26:48" ht="15" customHeight="1" x14ac:dyDescent="0.2">
      <c r="Z85" s="243" t="str">
        <f>Shares!A85</f>
        <v/>
      </c>
      <c r="AA85" s="243" t="str">
        <f>Shares!B85</f>
        <v/>
      </c>
      <c r="AB85" s="243" t="str">
        <f>Shares!C85</f>
        <v/>
      </c>
      <c r="AC85" s="243" t="str">
        <f>Shares!D85</f>
        <v/>
      </c>
      <c r="AD85" s="243">
        <f>IF($Z85="",0,Shares!E85)</f>
        <v>0</v>
      </c>
      <c r="AE85" s="266">
        <f>IF($Z85="",0,Shares!J85*Shares!I85)</f>
        <v>0</v>
      </c>
      <c r="AF85" s="267">
        <f t="shared" si="33"/>
        <v>0</v>
      </c>
      <c r="AG85" s="266">
        <f>IF($Z85="",0,Shares!L85)</f>
        <v>0</v>
      </c>
      <c r="AH85" s="267">
        <f>IF($Z85="",0,Shares!M85)</f>
        <v>0</v>
      </c>
      <c r="AI85" s="243" t="str">
        <f>IF($Z85="","",RANK(AE85,$AE$2:$AE$1001)+COUNTIF($AE$2:AE85,AE85)-1)</f>
        <v/>
      </c>
      <c r="AJ85" s="243" t="str">
        <f>IF($AD85&lt;0,COUNT($AJ$1:AJ84)+1,"")</f>
        <v/>
      </c>
      <c r="AL85" s="243" t="str">
        <f>'All Ticker P&amp;L'!A85</f>
        <v/>
      </c>
      <c r="AM85" s="243" t="str">
        <f>'All Ticker P&amp;L'!B85</f>
        <v/>
      </c>
      <c r="AN85" s="243" t="str">
        <f>'All Ticker P&amp;L'!C85</f>
        <v/>
      </c>
      <c r="AO85" s="243" t="str">
        <f>'All Ticker P&amp;L'!D85</f>
        <v/>
      </c>
      <c r="AP85" s="265">
        <f>IF($AL85="",0,'All Ticker P&amp;L'!E85)</f>
        <v>0</v>
      </c>
      <c r="AQ85" s="266">
        <f>IF($AL85="",0,'All Ticker P&amp;L'!J85*'All Ticker P&amp;L'!I85)</f>
        <v>0</v>
      </c>
      <c r="AR85" s="266">
        <f>IF($AL85="",0,'All Ticker P&amp;L'!L85)</f>
        <v>0</v>
      </c>
      <c r="AS85" s="267">
        <f>IF($AL85="",0,'All Ticker P&amp;L'!M85)</f>
        <v>0</v>
      </c>
      <c r="AT85" s="243" t="str">
        <f>IF($AL85="","",RANK(AR85,$AR$2:$AR$1001)+COUNTIF($AR$2:AR85,AR85)-1)</f>
        <v/>
      </c>
      <c r="AU85" s="243" t="str">
        <f>IF($AL85="","",RANK(AV85,$AV$2:$AV$1001)+COUNTIF($AV$2:AV85,AV85)-1)</f>
        <v/>
      </c>
      <c r="AV85" s="266">
        <f t="shared" si="34"/>
        <v>0</v>
      </c>
    </row>
    <row r="86" spans="26:48" ht="15" customHeight="1" x14ac:dyDescent="0.2">
      <c r="Z86" s="243" t="str">
        <f>Shares!A86</f>
        <v/>
      </c>
      <c r="AA86" s="243" t="str">
        <f>Shares!B86</f>
        <v/>
      </c>
      <c r="AB86" s="243" t="str">
        <f>Shares!C86</f>
        <v/>
      </c>
      <c r="AC86" s="243" t="str">
        <f>Shares!D86</f>
        <v/>
      </c>
      <c r="AD86" s="243">
        <f>IF($Z86="",0,Shares!E86)</f>
        <v>0</v>
      </c>
      <c r="AE86" s="266">
        <f>IF($Z86="",0,Shares!J86*Shares!I86)</f>
        <v>0</v>
      </c>
      <c r="AF86" s="267">
        <f t="shared" si="33"/>
        <v>0</v>
      </c>
      <c r="AG86" s="266">
        <f>IF($Z86="",0,Shares!L86)</f>
        <v>0</v>
      </c>
      <c r="AH86" s="267">
        <f>IF($Z86="",0,Shares!M86)</f>
        <v>0</v>
      </c>
      <c r="AI86" s="243" t="str">
        <f>IF($Z86="","",RANK(AE86,$AE$2:$AE$1001)+COUNTIF($AE$2:AE86,AE86)-1)</f>
        <v/>
      </c>
      <c r="AJ86" s="243" t="str">
        <f>IF($AD86&lt;0,COUNT($AJ$1:AJ85)+1,"")</f>
        <v/>
      </c>
      <c r="AL86" s="243" t="str">
        <f>'All Ticker P&amp;L'!A86</f>
        <v/>
      </c>
      <c r="AM86" s="243" t="str">
        <f>'All Ticker P&amp;L'!B86</f>
        <v/>
      </c>
      <c r="AN86" s="243" t="str">
        <f>'All Ticker P&amp;L'!C86</f>
        <v/>
      </c>
      <c r="AO86" s="243" t="str">
        <f>'All Ticker P&amp;L'!D86</f>
        <v/>
      </c>
      <c r="AP86" s="265">
        <f>IF($AL86="",0,'All Ticker P&amp;L'!E86)</f>
        <v>0</v>
      </c>
      <c r="AQ86" s="266">
        <f>IF($AL86="",0,'All Ticker P&amp;L'!J86*'All Ticker P&amp;L'!I86)</f>
        <v>0</v>
      </c>
      <c r="AR86" s="266">
        <f>IF($AL86="",0,'All Ticker P&amp;L'!L86)</f>
        <v>0</v>
      </c>
      <c r="AS86" s="267">
        <f>IF($AL86="",0,'All Ticker P&amp;L'!M86)</f>
        <v>0</v>
      </c>
      <c r="AT86" s="243" t="str">
        <f>IF($AL86="","",RANK(AR86,$AR$2:$AR$1001)+COUNTIF($AR$2:AR86,AR86)-1)</f>
        <v/>
      </c>
      <c r="AU86" s="243" t="str">
        <f>IF($AL86="","",RANK(AV86,$AV$2:$AV$1001)+COUNTIF($AV$2:AV86,AV86)-1)</f>
        <v/>
      </c>
      <c r="AV86" s="266">
        <f t="shared" si="34"/>
        <v>0</v>
      </c>
    </row>
    <row r="87" spans="26:48" ht="15" customHeight="1" x14ac:dyDescent="0.2">
      <c r="Z87" s="243" t="str">
        <f>Shares!A87</f>
        <v/>
      </c>
      <c r="AA87" s="243" t="str">
        <f>Shares!B87</f>
        <v/>
      </c>
      <c r="AB87" s="243" t="str">
        <f>Shares!C87</f>
        <v/>
      </c>
      <c r="AC87" s="243" t="str">
        <f>Shares!D87</f>
        <v/>
      </c>
      <c r="AD87" s="243">
        <f>IF($Z87="",0,Shares!E87)</f>
        <v>0</v>
      </c>
      <c r="AE87" s="266">
        <f>IF($Z87="",0,Shares!J87*Shares!I87)</f>
        <v>0</v>
      </c>
      <c r="AF87" s="267">
        <f t="shared" si="33"/>
        <v>0</v>
      </c>
      <c r="AG87" s="266">
        <f>IF($Z87="",0,Shares!L87)</f>
        <v>0</v>
      </c>
      <c r="AH87" s="267">
        <f>IF($Z87="",0,Shares!M87)</f>
        <v>0</v>
      </c>
      <c r="AI87" s="243" t="str">
        <f>IF($Z87="","",RANK(AE87,$AE$2:$AE$1001)+COUNTIF($AE$2:AE87,AE87)-1)</f>
        <v/>
      </c>
      <c r="AJ87" s="243" t="str">
        <f>IF($AD87&lt;0,COUNT($AJ$1:AJ86)+1,"")</f>
        <v/>
      </c>
      <c r="AL87" s="243" t="str">
        <f>'All Ticker P&amp;L'!A87</f>
        <v/>
      </c>
      <c r="AM87" s="243" t="str">
        <f>'All Ticker P&amp;L'!B87</f>
        <v/>
      </c>
      <c r="AN87" s="243" t="str">
        <f>'All Ticker P&amp;L'!C87</f>
        <v/>
      </c>
      <c r="AO87" s="243" t="str">
        <f>'All Ticker P&amp;L'!D87</f>
        <v/>
      </c>
      <c r="AP87" s="265">
        <f>IF($AL87="",0,'All Ticker P&amp;L'!E87)</f>
        <v>0</v>
      </c>
      <c r="AQ87" s="266">
        <f>IF($AL87="",0,'All Ticker P&amp;L'!J87*'All Ticker P&amp;L'!I87)</f>
        <v>0</v>
      </c>
      <c r="AR87" s="266">
        <f>IF($AL87="",0,'All Ticker P&amp;L'!L87)</f>
        <v>0</v>
      </c>
      <c r="AS87" s="267">
        <f>IF($AL87="",0,'All Ticker P&amp;L'!M87)</f>
        <v>0</v>
      </c>
      <c r="AT87" s="243" t="str">
        <f>IF($AL87="","",RANK(AR87,$AR$2:$AR$1001)+COUNTIF($AR$2:AR87,AR87)-1)</f>
        <v/>
      </c>
      <c r="AU87" s="243" t="str">
        <f>IF($AL87="","",RANK(AV87,$AV$2:$AV$1001)+COUNTIF($AV$2:AV87,AV87)-1)</f>
        <v/>
      </c>
      <c r="AV87" s="266">
        <f t="shared" si="34"/>
        <v>0</v>
      </c>
    </row>
    <row r="88" spans="26:48" ht="15" customHeight="1" x14ac:dyDescent="0.2">
      <c r="Z88" s="243" t="str">
        <f>Shares!A88</f>
        <v/>
      </c>
      <c r="AA88" s="243" t="str">
        <f>Shares!B88</f>
        <v/>
      </c>
      <c r="AB88" s="243" t="str">
        <f>Shares!C88</f>
        <v/>
      </c>
      <c r="AC88" s="243" t="str">
        <f>Shares!D88</f>
        <v/>
      </c>
      <c r="AD88" s="243">
        <f>IF($Z88="",0,Shares!E88)</f>
        <v>0</v>
      </c>
      <c r="AE88" s="266">
        <f>IF($Z88="",0,Shares!J88*Shares!I88)</f>
        <v>0</v>
      </c>
      <c r="AF88" s="267">
        <f t="shared" si="33"/>
        <v>0</v>
      </c>
      <c r="AG88" s="266">
        <f>IF($Z88="",0,Shares!L88)</f>
        <v>0</v>
      </c>
      <c r="AH88" s="267">
        <f>IF($Z88="",0,Shares!M88)</f>
        <v>0</v>
      </c>
      <c r="AI88" s="243" t="str">
        <f>IF($Z88="","",RANK(AE88,$AE$2:$AE$1001)+COUNTIF($AE$2:AE88,AE88)-1)</f>
        <v/>
      </c>
      <c r="AJ88" s="243" t="str">
        <f>IF($AD88&lt;0,COUNT($AJ$1:AJ87)+1,"")</f>
        <v/>
      </c>
      <c r="AL88" s="243" t="str">
        <f>'All Ticker P&amp;L'!A88</f>
        <v/>
      </c>
      <c r="AM88" s="243" t="str">
        <f>'All Ticker P&amp;L'!B88</f>
        <v/>
      </c>
      <c r="AN88" s="243" t="str">
        <f>'All Ticker P&amp;L'!C88</f>
        <v/>
      </c>
      <c r="AO88" s="243" t="str">
        <f>'All Ticker P&amp;L'!D88</f>
        <v/>
      </c>
      <c r="AP88" s="265">
        <f>IF($AL88="",0,'All Ticker P&amp;L'!E88)</f>
        <v>0</v>
      </c>
      <c r="AQ88" s="266">
        <f>IF($AL88="",0,'All Ticker P&amp;L'!J88*'All Ticker P&amp;L'!I88)</f>
        <v>0</v>
      </c>
      <c r="AR88" s="266">
        <f>IF($AL88="",0,'All Ticker P&amp;L'!L88)</f>
        <v>0</v>
      </c>
      <c r="AS88" s="267">
        <f>IF($AL88="",0,'All Ticker P&amp;L'!M88)</f>
        <v>0</v>
      </c>
      <c r="AT88" s="243" t="str">
        <f>IF($AL88="","",RANK(AR88,$AR$2:$AR$1001)+COUNTIF($AR$2:AR88,AR88)-1)</f>
        <v/>
      </c>
      <c r="AU88" s="243" t="str">
        <f>IF($AL88="","",RANK(AV88,$AV$2:$AV$1001)+COUNTIF($AV$2:AV88,AV88)-1)</f>
        <v/>
      </c>
      <c r="AV88" s="266">
        <f t="shared" si="34"/>
        <v>0</v>
      </c>
    </row>
    <row r="89" spans="26:48" ht="15" customHeight="1" x14ac:dyDescent="0.2">
      <c r="Z89" s="243" t="str">
        <f>Shares!A89</f>
        <v/>
      </c>
      <c r="AA89" s="243" t="str">
        <f>Shares!B89</f>
        <v/>
      </c>
      <c r="AB89" s="243" t="str">
        <f>Shares!C89</f>
        <v/>
      </c>
      <c r="AC89" s="243" t="str">
        <f>Shares!D89</f>
        <v/>
      </c>
      <c r="AD89" s="243">
        <f>IF($Z89="",0,Shares!E89)</f>
        <v>0</v>
      </c>
      <c r="AE89" s="266">
        <f>IF($Z89="",0,Shares!J89*Shares!I89)</f>
        <v>0</v>
      </c>
      <c r="AF89" s="267">
        <f t="shared" si="33"/>
        <v>0</v>
      </c>
      <c r="AG89" s="266">
        <f>IF($Z89="",0,Shares!L89)</f>
        <v>0</v>
      </c>
      <c r="AH89" s="267">
        <f>IF($Z89="",0,Shares!M89)</f>
        <v>0</v>
      </c>
      <c r="AI89" s="243" t="str">
        <f>IF($Z89="","",RANK(AE89,$AE$2:$AE$1001)+COUNTIF($AE$2:AE89,AE89)-1)</f>
        <v/>
      </c>
      <c r="AJ89" s="243" t="str">
        <f>IF($AD89&lt;0,COUNT($AJ$1:AJ88)+1,"")</f>
        <v/>
      </c>
      <c r="AL89" s="243" t="str">
        <f>'All Ticker P&amp;L'!A89</f>
        <v/>
      </c>
      <c r="AM89" s="243" t="str">
        <f>'All Ticker P&amp;L'!B89</f>
        <v/>
      </c>
      <c r="AN89" s="243" t="str">
        <f>'All Ticker P&amp;L'!C89</f>
        <v/>
      </c>
      <c r="AO89" s="243" t="str">
        <f>'All Ticker P&amp;L'!D89</f>
        <v/>
      </c>
      <c r="AP89" s="265">
        <f>IF($AL89="",0,'All Ticker P&amp;L'!E89)</f>
        <v>0</v>
      </c>
      <c r="AQ89" s="266">
        <f>IF($AL89="",0,'All Ticker P&amp;L'!J89*'All Ticker P&amp;L'!I89)</f>
        <v>0</v>
      </c>
      <c r="AR89" s="266">
        <f>IF($AL89="",0,'All Ticker P&amp;L'!L89)</f>
        <v>0</v>
      </c>
      <c r="AS89" s="267">
        <f>IF($AL89="",0,'All Ticker P&amp;L'!M89)</f>
        <v>0</v>
      </c>
      <c r="AT89" s="243" t="str">
        <f>IF($AL89="","",RANK(AR89,$AR$2:$AR$1001)+COUNTIF($AR$2:AR89,AR89)-1)</f>
        <v/>
      </c>
      <c r="AU89" s="243" t="str">
        <f>IF($AL89="","",RANK(AV89,$AV$2:$AV$1001)+COUNTIF($AV$2:AV89,AV89)-1)</f>
        <v/>
      </c>
      <c r="AV89" s="266">
        <f t="shared" si="34"/>
        <v>0</v>
      </c>
    </row>
    <row r="90" spans="26:48" ht="15" customHeight="1" x14ac:dyDescent="0.2">
      <c r="Z90" s="243" t="str">
        <f>Shares!A90</f>
        <v/>
      </c>
      <c r="AA90" s="243" t="str">
        <f>Shares!B90</f>
        <v/>
      </c>
      <c r="AB90" s="243" t="str">
        <f>Shares!C90</f>
        <v/>
      </c>
      <c r="AC90" s="243" t="str">
        <f>Shares!D90</f>
        <v/>
      </c>
      <c r="AD90" s="243">
        <f>IF($Z90="",0,Shares!E90)</f>
        <v>0</v>
      </c>
      <c r="AE90" s="266">
        <f>IF($Z90="",0,Shares!J90*Shares!I90)</f>
        <v>0</v>
      </c>
      <c r="AF90" s="267">
        <f t="shared" si="33"/>
        <v>0</v>
      </c>
      <c r="AG90" s="266">
        <f>IF($Z90="",0,Shares!L90)</f>
        <v>0</v>
      </c>
      <c r="AH90" s="267">
        <f>IF($Z90="",0,Shares!M90)</f>
        <v>0</v>
      </c>
      <c r="AI90" s="243" t="str">
        <f>IF($Z90="","",RANK(AE90,$AE$2:$AE$1001)+COUNTIF($AE$2:AE90,AE90)-1)</f>
        <v/>
      </c>
      <c r="AJ90" s="243" t="str">
        <f>IF($AD90&lt;0,COUNT($AJ$1:AJ89)+1,"")</f>
        <v/>
      </c>
      <c r="AL90" s="243" t="str">
        <f>'All Ticker P&amp;L'!A90</f>
        <v/>
      </c>
      <c r="AM90" s="243" t="str">
        <f>'All Ticker P&amp;L'!B90</f>
        <v/>
      </c>
      <c r="AN90" s="243" t="str">
        <f>'All Ticker P&amp;L'!C90</f>
        <v/>
      </c>
      <c r="AO90" s="243" t="str">
        <f>'All Ticker P&amp;L'!D90</f>
        <v/>
      </c>
      <c r="AP90" s="265">
        <f>IF($AL90="",0,'All Ticker P&amp;L'!E90)</f>
        <v>0</v>
      </c>
      <c r="AQ90" s="266">
        <f>IF($AL90="",0,'All Ticker P&amp;L'!J90*'All Ticker P&amp;L'!I90)</f>
        <v>0</v>
      </c>
      <c r="AR90" s="266">
        <f>IF($AL90="",0,'All Ticker P&amp;L'!L90)</f>
        <v>0</v>
      </c>
      <c r="AS90" s="267">
        <f>IF($AL90="",0,'All Ticker P&amp;L'!M90)</f>
        <v>0</v>
      </c>
      <c r="AT90" s="243" t="str">
        <f>IF($AL90="","",RANK(AR90,$AR$2:$AR$1001)+COUNTIF($AR$2:AR90,AR90)-1)</f>
        <v/>
      </c>
      <c r="AU90" s="243" t="str">
        <f>IF($AL90="","",RANK(AV90,$AV$2:$AV$1001)+COUNTIF($AV$2:AV90,AV90)-1)</f>
        <v/>
      </c>
      <c r="AV90" s="266">
        <f t="shared" si="34"/>
        <v>0</v>
      </c>
    </row>
    <row r="91" spans="26:48" ht="15" customHeight="1" x14ac:dyDescent="0.2">
      <c r="Z91" s="243" t="str">
        <f>Shares!A91</f>
        <v/>
      </c>
      <c r="AA91" s="243" t="str">
        <f>Shares!B91</f>
        <v/>
      </c>
      <c r="AB91" s="243" t="str">
        <f>Shares!C91</f>
        <v/>
      </c>
      <c r="AC91" s="243" t="str">
        <f>Shares!D91</f>
        <v/>
      </c>
      <c r="AD91" s="243">
        <f>IF($Z91="",0,Shares!E91)</f>
        <v>0</v>
      </c>
      <c r="AE91" s="266">
        <f>IF($Z91="",0,Shares!J91*Shares!I91)</f>
        <v>0</v>
      </c>
      <c r="AF91" s="267">
        <f t="shared" si="33"/>
        <v>0</v>
      </c>
      <c r="AG91" s="266">
        <f>IF($Z91="",0,Shares!L91)</f>
        <v>0</v>
      </c>
      <c r="AH91" s="267">
        <f>IF($Z91="",0,Shares!M91)</f>
        <v>0</v>
      </c>
      <c r="AI91" s="243" t="str">
        <f>IF($Z91="","",RANK(AE91,$AE$2:$AE$1001)+COUNTIF($AE$2:AE91,AE91)-1)</f>
        <v/>
      </c>
      <c r="AJ91" s="243" t="str">
        <f>IF($AD91&lt;0,COUNT($AJ$1:AJ90)+1,"")</f>
        <v/>
      </c>
      <c r="AL91" s="243" t="str">
        <f>'All Ticker P&amp;L'!A91</f>
        <v/>
      </c>
      <c r="AM91" s="243" t="str">
        <f>'All Ticker P&amp;L'!B91</f>
        <v/>
      </c>
      <c r="AN91" s="243" t="str">
        <f>'All Ticker P&amp;L'!C91</f>
        <v/>
      </c>
      <c r="AO91" s="243" t="str">
        <f>'All Ticker P&amp;L'!D91</f>
        <v/>
      </c>
      <c r="AP91" s="265">
        <f>IF($AL91="",0,'All Ticker P&amp;L'!E91)</f>
        <v>0</v>
      </c>
      <c r="AQ91" s="266">
        <f>IF($AL91="",0,'All Ticker P&amp;L'!J91*'All Ticker P&amp;L'!I91)</f>
        <v>0</v>
      </c>
      <c r="AR91" s="266">
        <f>IF($AL91="",0,'All Ticker P&amp;L'!L91)</f>
        <v>0</v>
      </c>
      <c r="AS91" s="267">
        <f>IF($AL91="",0,'All Ticker P&amp;L'!M91)</f>
        <v>0</v>
      </c>
      <c r="AT91" s="243" t="str">
        <f>IF($AL91="","",RANK(AR91,$AR$2:$AR$1001)+COUNTIF($AR$2:AR91,AR91)-1)</f>
        <v/>
      </c>
      <c r="AU91" s="243" t="str">
        <f>IF($AL91="","",RANK(AV91,$AV$2:$AV$1001)+COUNTIF($AV$2:AV91,AV91)-1)</f>
        <v/>
      </c>
      <c r="AV91" s="266">
        <f t="shared" si="34"/>
        <v>0</v>
      </c>
    </row>
    <row r="92" spans="26:48" ht="15" customHeight="1" x14ac:dyDescent="0.2">
      <c r="Z92" s="243" t="str">
        <f>Shares!A92</f>
        <v/>
      </c>
      <c r="AA92" s="243" t="str">
        <f>Shares!B92</f>
        <v/>
      </c>
      <c r="AB92" s="243" t="str">
        <f>Shares!C92</f>
        <v/>
      </c>
      <c r="AC92" s="243" t="str">
        <f>Shares!D92</f>
        <v/>
      </c>
      <c r="AD92" s="243">
        <f>IF($Z92="",0,Shares!E92)</f>
        <v>0</v>
      </c>
      <c r="AE92" s="266">
        <f>IF($Z92="",0,Shares!J92*Shares!I92)</f>
        <v>0</v>
      </c>
      <c r="AF92" s="267">
        <f t="shared" si="33"/>
        <v>0</v>
      </c>
      <c r="AG92" s="266">
        <f>IF($Z92="",0,Shares!L92)</f>
        <v>0</v>
      </c>
      <c r="AH92" s="267">
        <f>IF($Z92="",0,Shares!M92)</f>
        <v>0</v>
      </c>
      <c r="AI92" s="243" t="str">
        <f>IF($Z92="","",RANK(AE92,$AE$2:$AE$1001)+COUNTIF($AE$2:AE92,AE92)-1)</f>
        <v/>
      </c>
      <c r="AJ92" s="243" t="str">
        <f>IF($AD92&lt;0,COUNT($AJ$1:AJ91)+1,"")</f>
        <v/>
      </c>
      <c r="AL92" s="243" t="str">
        <f>'All Ticker P&amp;L'!A92</f>
        <v/>
      </c>
      <c r="AM92" s="243" t="str">
        <f>'All Ticker P&amp;L'!B92</f>
        <v/>
      </c>
      <c r="AN92" s="243" t="str">
        <f>'All Ticker P&amp;L'!C92</f>
        <v/>
      </c>
      <c r="AO92" s="243" t="str">
        <f>'All Ticker P&amp;L'!D92</f>
        <v/>
      </c>
      <c r="AP92" s="265">
        <f>IF($AL92="",0,'All Ticker P&amp;L'!E92)</f>
        <v>0</v>
      </c>
      <c r="AQ92" s="266">
        <f>IF($AL92="",0,'All Ticker P&amp;L'!J92*'All Ticker P&amp;L'!I92)</f>
        <v>0</v>
      </c>
      <c r="AR92" s="266">
        <f>IF($AL92="",0,'All Ticker P&amp;L'!L92)</f>
        <v>0</v>
      </c>
      <c r="AS92" s="267">
        <f>IF($AL92="",0,'All Ticker P&amp;L'!M92)</f>
        <v>0</v>
      </c>
      <c r="AT92" s="243" t="str">
        <f>IF($AL92="","",RANK(AR92,$AR$2:$AR$1001)+COUNTIF($AR$2:AR92,AR92)-1)</f>
        <v/>
      </c>
      <c r="AU92" s="243" t="str">
        <f>IF($AL92="","",RANK(AV92,$AV$2:$AV$1001)+COUNTIF($AV$2:AV92,AV92)-1)</f>
        <v/>
      </c>
      <c r="AV92" s="266">
        <f t="shared" si="34"/>
        <v>0</v>
      </c>
    </row>
    <row r="93" spans="26:48" ht="15" customHeight="1" x14ac:dyDescent="0.2">
      <c r="Z93" s="243" t="str">
        <f>Shares!A93</f>
        <v/>
      </c>
      <c r="AA93" s="243" t="str">
        <f>Shares!B93</f>
        <v/>
      </c>
      <c r="AB93" s="243" t="str">
        <f>Shares!C93</f>
        <v/>
      </c>
      <c r="AC93" s="243" t="str">
        <f>Shares!D93</f>
        <v/>
      </c>
      <c r="AD93" s="243">
        <f>IF($Z93="",0,Shares!E93)</f>
        <v>0</v>
      </c>
      <c r="AE93" s="266">
        <f>IF($Z93="",0,Shares!J93*Shares!I93)</f>
        <v>0</v>
      </c>
      <c r="AF93" s="267">
        <f t="shared" si="33"/>
        <v>0</v>
      </c>
      <c r="AG93" s="266">
        <f>IF($Z93="",0,Shares!L93)</f>
        <v>0</v>
      </c>
      <c r="AH93" s="267">
        <f>IF($Z93="",0,Shares!M93)</f>
        <v>0</v>
      </c>
      <c r="AI93" s="243" t="str">
        <f>IF($Z93="","",RANK(AE93,$AE$2:$AE$1001)+COUNTIF($AE$2:AE93,AE93)-1)</f>
        <v/>
      </c>
      <c r="AJ93" s="243" t="str">
        <f>IF($AD93&lt;0,COUNT($AJ$1:AJ92)+1,"")</f>
        <v/>
      </c>
      <c r="AL93" s="243" t="str">
        <f>'All Ticker P&amp;L'!A93</f>
        <v/>
      </c>
      <c r="AM93" s="243" t="str">
        <f>'All Ticker P&amp;L'!B93</f>
        <v/>
      </c>
      <c r="AN93" s="243" t="str">
        <f>'All Ticker P&amp;L'!C93</f>
        <v/>
      </c>
      <c r="AO93" s="243" t="str">
        <f>'All Ticker P&amp;L'!D93</f>
        <v/>
      </c>
      <c r="AP93" s="265">
        <f>IF($AL93="",0,'All Ticker P&amp;L'!E93)</f>
        <v>0</v>
      </c>
      <c r="AQ93" s="266">
        <f>IF($AL93="",0,'All Ticker P&amp;L'!J93*'All Ticker P&amp;L'!I93)</f>
        <v>0</v>
      </c>
      <c r="AR93" s="266">
        <f>IF($AL93="",0,'All Ticker P&amp;L'!L93)</f>
        <v>0</v>
      </c>
      <c r="AS93" s="267">
        <f>IF($AL93="",0,'All Ticker P&amp;L'!M93)</f>
        <v>0</v>
      </c>
      <c r="AT93" s="243" t="str">
        <f>IF($AL93="","",RANK(AR93,$AR$2:$AR$1001)+COUNTIF($AR$2:AR93,AR93)-1)</f>
        <v/>
      </c>
      <c r="AU93" s="243" t="str">
        <f>IF($AL93="","",RANK(AV93,$AV$2:$AV$1001)+COUNTIF($AV$2:AV93,AV93)-1)</f>
        <v/>
      </c>
      <c r="AV93" s="266">
        <f t="shared" si="34"/>
        <v>0</v>
      </c>
    </row>
    <row r="94" spans="26:48" ht="15" customHeight="1" x14ac:dyDescent="0.2">
      <c r="Z94" s="243" t="str">
        <f>Shares!A94</f>
        <v/>
      </c>
      <c r="AA94" s="243" t="str">
        <f>Shares!B94</f>
        <v/>
      </c>
      <c r="AB94" s="243" t="str">
        <f>Shares!C94</f>
        <v/>
      </c>
      <c r="AC94" s="243" t="str">
        <f>Shares!D94</f>
        <v/>
      </c>
      <c r="AD94" s="243">
        <f>IF($Z94="",0,Shares!E94)</f>
        <v>0</v>
      </c>
      <c r="AE94" s="266">
        <f>IF($Z94="",0,Shares!J94*Shares!I94)</f>
        <v>0</v>
      </c>
      <c r="AF94" s="267">
        <f t="shared" si="33"/>
        <v>0</v>
      </c>
      <c r="AG94" s="266">
        <f>IF($Z94="",0,Shares!L94)</f>
        <v>0</v>
      </c>
      <c r="AH94" s="267">
        <f>IF($Z94="",0,Shares!M94)</f>
        <v>0</v>
      </c>
      <c r="AI94" s="243" t="str">
        <f>IF($Z94="","",RANK(AE94,$AE$2:$AE$1001)+COUNTIF($AE$2:AE94,AE94)-1)</f>
        <v/>
      </c>
      <c r="AJ94" s="243" t="str">
        <f>IF($AD94&lt;0,COUNT($AJ$1:AJ93)+1,"")</f>
        <v/>
      </c>
      <c r="AL94" s="243" t="str">
        <f>'All Ticker P&amp;L'!A94</f>
        <v/>
      </c>
      <c r="AM94" s="243" t="str">
        <f>'All Ticker P&amp;L'!B94</f>
        <v/>
      </c>
      <c r="AN94" s="243" t="str">
        <f>'All Ticker P&amp;L'!C94</f>
        <v/>
      </c>
      <c r="AO94" s="243" t="str">
        <f>'All Ticker P&amp;L'!D94</f>
        <v/>
      </c>
      <c r="AP94" s="265">
        <f>IF($AL94="",0,'All Ticker P&amp;L'!E94)</f>
        <v>0</v>
      </c>
      <c r="AQ94" s="266">
        <f>IF($AL94="",0,'All Ticker P&amp;L'!J94*'All Ticker P&amp;L'!I94)</f>
        <v>0</v>
      </c>
      <c r="AR94" s="266">
        <f>IF($AL94="",0,'All Ticker P&amp;L'!L94)</f>
        <v>0</v>
      </c>
      <c r="AS94" s="267">
        <f>IF($AL94="",0,'All Ticker P&amp;L'!M94)</f>
        <v>0</v>
      </c>
      <c r="AT94" s="243" t="str">
        <f>IF($AL94="","",RANK(AR94,$AR$2:$AR$1001)+COUNTIF($AR$2:AR94,AR94)-1)</f>
        <v/>
      </c>
      <c r="AU94" s="243" t="str">
        <f>IF($AL94="","",RANK(AV94,$AV$2:$AV$1001)+COUNTIF($AV$2:AV94,AV94)-1)</f>
        <v/>
      </c>
      <c r="AV94" s="266">
        <f t="shared" si="34"/>
        <v>0</v>
      </c>
    </row>
    <row r="95" spans="26:48" ht="15" customHeight="1" x14ac:dyDescent="0.2">
      <c r="Z95" s="243" t="str">
        <f>Shares!A95</f>
        <v/>
      </c>
      <c r="AA95" s="243" t="str">
        <f>Shares!B95</f>
        <v/>
      </c>
      <c r="AB95" s="243" t="str">
        <f>Shares!C95</f>
        <v/>
      </c>
      <c r="AC95" s="243" t="str">
        <f>Shares!D95</f>
        <v/>
      </c>
      <c r="AD95" s="243">
        <f>IF($Z95="",0,Shares!E95)</f>
        <v>0</v>
      </c>
      <c r="AE95" s="266">
        <f>IF($Z95="",0,Shares!J95*Shares!I95)</f>
        <v>0</v>
      </c>
      <c r="AF95" s="267">
        <f t="shared" si="33"/>
        <v>0</v>
      </c>
      <c r="AG95" s="266">
        <f>IF($Z95="",0,Shares!L95)</f>
        <v>0</v>
      </c>
      <c r="AH95" s="267">
        <f>IF($Z95="",0,Shares!M95)</f>
        <v>0</v>
      </c>
      <c r="AI95" s="243" t="str">
        <f>IF($Z95="","",RANK(AE95,$AE$2:$AE$1001)+COUNTIF($AE$2:AE95,AE95)-1)</f>
        <v/>
      </c>
      <c r="AJ95" s="243" t="str">
        <f>IF($AD95&lt;0,COUNT($AJ$1:AJ94)+1,"")</f>
        <v/>
      </c>
      <c r="AL95" s="243" t="str">
        <f>'All Ticker P&amp;L'!A95</f>
        <v/>
      </c>
      <c r="AM95" s="243" t="str">
        <f>'All Ticker P&amp;L'!B95</f>
        <v/>
      </c>
      <c r="AN95" s="243" t="str">
        <f>'All Ticker P&amp;L'!C95</f>
        <v/>
      </c>
      <c r="AO95" s="243" t="str">
        <f>'All Ticker P&amp;L'!D95</f>
        <v/>
      </c>
      <c r="AP95" s="265">
        <f>IF($AL95="",0,'All Ticker P&amp;L'!E95)</f>
        <v>0</v>
      </c>
      <c r="AQ95" s="266">
        <f>IF($AL95="",0,'All Ticker P&amp;L'!J95*'All Ticker P&amp;L'!I95)</f>
        <v>0</v>
      </c>
      <c r="AR95" s="266">
        <f>IF($AL95="",0,'All Ticker P&amp;L'!L95)</f>
        <v>0</v>
      </c>
      <c r="AS95" s="267">
        <f>IF($AL95="",0,'All Ticker P&amp;L'!M95)</f>
        <v>0</v>
      </c>
      <c r="AT95" s="243" t="str">
        <f>IF($AL95="","",RANK(AR95,$AR$2:$AR$1001)+COUNTIF($AR$2:AR95,AR95)-1)</f>
        <v/>
      </c>
      <c r="AU95" s="243" t="str">
        <f>IF($AL95="","",RANK(AV95,$AV$2:$AV$1001)+COUNTIF($AV$2:AV95,AV95)-1)</f>
        <v/>
      </c>
      <c r="AV95" s="266">
        <f t="shared" si="34"/>
        <v>0</v>
      </c>
    </row>
    <row r="96" spans="26:48" ht="15" customHeight="1" x14ac:dyDescent="0.2">
      <c r="Z96" s="243" t="str">
        <f>Shares!A96</f>
        <v/>
      </c>
      <c r="AA96" s="243" t="str">
        <f>Shares!B96</f>
        <v/>
      </c>
      <c r="AB96" s="243" t="str">
        <f>Shares!C96</f>
        <v/>
      </c>
      <c r="AC96" s="243" t="str">
        <f>Shares!D96</f>
        <v/>
      </c>
      <c r="AD96" s="243">
        <f>IF($Z96="",0,Shares!E96)</f>
        <v>0</v>
      </c>
      <c r="AE96" s="266">
        <f>IF($Z96="",0,Shares!J96*Shares!I96)</f>
        <v>0</v>
      </c>
      <c r="AF96" s="267">
        <f t="shared" si="33"/>
        <v>0</v>
      </c>
      <c r="AG96" s="266">
        <f>IF($Z96="",0,Shares!L96)</f>
        <v>0</v>
      </c>
      <c r="AH96" s="267">
        <f>IF($Z96="",0,Shares!M96)</f>
        <v>0</v>
      </c>
      <c r="AI96" s="243" t="str">
        <f>IF($Z96="","",RANK(AE96,$AE$2:$AE$1001)+COUNTIF($AE$2:AE96,AE96)-1)</f>
        <v/>
      </c>
      <c r="AJ96" s="243" t="str">
        <f>IF($AD96&lt;0,COUNT($AJ$1:AJ95)+1,"")</f>
        <v/>
      </c>
      <c r="AL96" s="243" t="str">
        <f>'All Ticker P&amp;L'!A96</f>
        <v/>
      </c>
      <c r="AM96" s="243" t="str">
        <f>'All Ticker P&amp;L'!B96</f>
        <v/>
      </c>
      <c r="AN96" s="243" t="str">
        <f>'All Ticker P&amp;L'!C96</f>
        <v/>
      </c>
      <c r="AO96" s="243" t="str">
        <f>'All Ticker P&amp;L'!D96</f>
        <v/>
      </c>
      <c r="AP96" s="265">
        <f>IF($AL96="",0,'All Ticker P&amp;L'!E96)</f>
        <v>0</v>
      </c>
      <c r="AQ96" s="266">
        <f>IF($AL96="",0,'All Ticker P&amp;L'!J96*'All Ticker P&amp;L'!I96)</f>
        <v>0</v>
      </c>
      <c r="AR96" s="266">
        <f>IF($AL96="",0,'All Ticker P&amp;L'!L96)</f>
        <v>0</v>
      </c>
      <c r="AS96" s="267">
        <f>IF($AL96="",0,'All Ticker P&amp;L'!M96)</f>
        <v>0</v>
      </c>
      <c r="AT96" s="243" t="str">
        <f>IF($AL96="","",RANK(AR96,$AR$2:$AR$1001)+COUNTIF($AR$2:AR96,AR96)-1)</f>
        <v/>
      </c>
      <c r="AU96" s="243" t="str">
        <f>IF($AL96="","",RANK(AV96,$AV$2:$AV$1001)+COUNTIF($AV$2:AV96,AV96)-1)</f>
        <v/>
      </c>
      <c r="AV96" s="266">
        <f t="shared" si="34"/>
        <v>0</v>
      </c>
    </row>
    <row r="97" spans="26:48" ht="15" customHeight="1" x14ac:dyDescent="0.2">
      <c r="Z97" s="243" t="str">
        <f>Shares!A97</f>
        <v/>
      </c>
      <c r="AA97" s="243" t="str">
        <f>Shares!B97</f>
        <v/>
      </c>
      <c r="AB97" s="243" t="str">
        <f>Shares!C97</f>
        <v/>
      </c>
      <c r="AC97" s="243" t="str">
        <f>Shares!D97</f>
        <v/>
      </c>
      <c r="AD97" s="243">
        <f>IF($Z97="",0,Shares!E97)</f>
        <v>0</v>
      </c>
      <c r="AE97" s="266">
        <f>IF($Z97="",0,Shares!J97*Shares!I97)</f>
        <v>0</v>
      </c>
      <c r="AF97" s="267">
        <f t="shared" si="33"/>
        <v>0</v>
      </c>
      <c r="AG97" s="266">
        <f>IF($Z97="",0,Shares!L97)</f>
        <v>0</v>
      </c>
      <c r="AH97" s="267">
        <f>IF($Z97="",0,Shares!M97)</f>
        <v>0</v>
      </c>
      <c r="AI97" s="243" t="str">
        <f>IF($Z97="","",RANK(AE97,$AE$2:$AE$1001)+COUNTIF($AE$2:AE97,AE97)-1)</f>
        <v/>
      </c>
      <c r="AJ97" s="243" t="str">
        <f>IF($AD97&lt;0,COUNT($AJ$1:AJ96)+1,"")</f>
        <v/>
      </c>
      <c r="AL97" s="243" t="str">
        <f>'All Ticker P&amp;L'!A97</f>
        <v/>
      </c>
      <c r="AM97" s="243" t="str">
        <f>'All Ticker P&amp;L'!B97</f>
        <v/>
      </c>
      <c r="AN97" s="243" t="str">
        <f>'All Ticker P&amp;L'!C97</f>
        <v/>
      </c>
      <c r="AO97" s="243" t="str">
        <f>'All Ticker P&amp;L'!D97</f>
        <v/>
      </c>
      <c r="AP97" s="265">
        <f>IF($AL97="",0,'All Ticker P&amp;L'!E97)</f>
        <v>0</v>
      </c>
      <c r="AQ97" s="266">
        <f>IF($AL97="",0,'All Ticker P&amp;L'!J97*'All Ticker P&amp;L'!I97)</f>
        <v>0</v>
      </c>
      <c r="AR97" s="266">
        <f>IF($AL97="",0,'All Ticker P&amp;L'!L97)</f>
        <v>0</v>
      </c>
      <c r="AS97" s="267">
        <f>IF($AL97="",0,'All Ticker P&amp;L'!M97)</f>
        <v>0</v>
      </c>
      <c r="AT97" s="243" t="str">
        <f>IF($AL97="","",RANK(AR97,$AR$2:$AR$1001)+COUNTIF($AR$2:AR97,AR97)-1)</f>
        <v/>
      </c>
      <c r="AU97" s="243" t="str">
        <f>IF($AL97="","",RANK(AV97,$AV$2:$AV$1001)+COUNTIF($AV$2:AV97,AV97)-1)</f>
        <v/>
      </c>
      <c r="AV97" s="266">
        <f t="shared" si="34"/>
        <v>0</v>
      </c>
    </row>
    <row r="98" spans="26:48" ht="15" customHeight="1" x14ac:dyDescent="0.2">
      <c r="Z98" s="243" t="str">
        <f>Shares!A98</f>
        <v/>
      </c>
      <c r="AA98" s="243" t="str">
        <f>Shares!B98</f>
        <v/>
      </c>
      <c r="AB98" s="243" t="str">
        <f>Shares!C98</f>
        <v/>
      </c>
      <c r="AC98" s="243" t="str">
        <f>Shares!D98</f>
        <v/>
      </c>
      <c r="AD98" s="243">
        <f>IF($Z98="",0,Shares!E98)</f>
        <v>0</v>
      </c>
      <c r="AE98" s="266">
        <f>IF($Z98="",0,Shares!J98*Shares!I98)</f>
        <v>0</v>
      </c>
      <c r="AF98" s="267">
        <f t="shared" si="33"/>
        <v>0</v>
      </c>
      <c r="AG98" s="266">
        <f>IF($Z98="",0,Shares!L98)</f>
        <v>0</v>
      </c>
      <c r="AH98" s="267">
        <f>IF($Z98="",0,Shares!M98)</f>
        <v>0</v>
      </c>
      <c r="AI98" s="243" t="str">
        <f>IF($Z98="","",RANK(AE98,$AE$2:$AE$1001)+COUNTIF($AE$2:AE98,AE98)-1)</f>
        <v/>
      </c>
      <c r="AJ98" s="243" t="str">
        <f>IF($AD98&lt;0,COUNT($AJ$1:AJ97)+1,"")</f>
        <v/>
      </c>
      <c r="AL98" s="243" t="str">
        <f>'All Ticker P&amp;L'!A98</f>
        <v/>
      </c>
      <c r="AM98" s="243" t="str">
        <f>'All Ticker P&amp;L'!B98</f>
        <v/>
      </c>
      <c r="AN98" s="243" t="str">
        <f>'All Ticker P&amp;L'!C98</f>
        <v/>
      </c>
      <c r="AO98" s="243" t="str">
        <f>'All Ticker P&amp;L'!D98</f>
        <v/>
      </c>
      <c r="AP98" s="265">
        <f>IF($AL98="",0,'All Ticker P&amp;L'!E98)</f>
        <v>0</v>
      </c>
      <c r="AQ98" s="266">
        <f>IF($AL98="",0,'All Ticker P&amp;L'!J98*'All Ticker P&amp;L'!I98)</f>
        <v>0</v>
      </c>
      <c r="AR98" s="266">
        <f>IF($AL98="",0,'All Ticker P&amp;L'!L98)</f>
        <v>0</v>
      </c>
      <c r="AS98" s="267">
        <f>IF($AL98="",0,'All Ticker P&amp;L'!M98)</f>
        <v>0</v>
      </c>
      <c r="AT98" s="243" t="str">
        <f>IF($AL98="","",RANK(AR98,$AR$2:$AR$1001)+COUNTIF($AR$2:AR98,AR98)-1)</f>
        <v/>
      </c>
      <c r="AU98" s="243" t="str">
        <f>IF($AL98="","",RANK(AV98,$AV$2:$AV$1001)+COUNTIF($AV$2:AV98,AV98)-1)</f>
        <v/>
      </c>
      <c r="AV98" s="266">
        <f t="shared" si="34"/>
        <v>0</v>
      </c>
    </row>
    <row r="99" spans="26:48" ht="15" customHeight="1" x14ac:dyDescent="0.2">
      <c r="Z99" s="243" t="str">
        <f>Shares!A99</f>
        <v/>
      </c>
      <c r="AA99" s="243" t="str">
        <f>Shares!B99</f>
        <v/>
      </c>
      <c r="AB99" s="243" t="str">
        <f>Shares!C99</f>
        <v/>
      </c>
      <c r="AC99" s="243" t="str">
        <f>Shares!D99</f>
        <v/>
      </c>
      <c r="AD99" s="243">
        <f>IF($Z99="",0,Shares!E99)</f>
        <v>0</v>
      </c>
      <c r="AE99" s="266">
        <f>IF($Z99="",0,Shares!J99*Shares!I99)</f>
        <v>0</v>
      </c>
      <c r="AF99" s="267">
        <f t="shared" si="33"/>
        <v>0</v>
      </c>
      <c r="AG99" s="266">
        <f>IF($Z99="",0,Shares!L99)</f>
        <v>0</v>
      </c>
      <c r="AH99" s="267">
        <f>IF($Z99="",0,Shares!M99)</f>
        <v>0</v>
      </c>
      <c r="AI99" s="243" t="str">
        <f>IF($Z99="","",RANK(AE99,$AE$2:$AE$1001)+COUNTIF($AE$2:AE99,AE99)-1)</f>
        <v/>
      </c>
      <c r="AJ99" s="243" t="str">
        <f>IF($AD99&lt;0,COUNT($AJ$1:AJ98)+1,"")</f>
        <v/>
      </c>
      <c r="AL99" s="243" t="str">
        <f>'All Ticker P&amp;L'!A99</f>
        <v/>
      </c>
      <c r="AM99" s="243" t="str">
        <f>'All Ticker P&amp;L'!B99</f>
        <v/>
      </c>
      <c r="AN99" s="243" t="str">
        <f>'All Ticker P&amp;L'!C99</f>
        <v/>
      </c>
      <c r="AO99" s="243" t="str">
        <f>'All Ticker P&amp;L'!D99</f>
        <v/>
      </c>
      <c r="AP99" s="265">
        <f>IF($AL99="",0,'All Ticker P&amp;L'!E99)</f>
        <v>0</v>
      </c>
      <c r="AQ99" s="266">
        <f>IF($AL99="",0,'All Ticker P&amp;L'!J99*'All Ticker P&amp;L'!I99)</f>
        <v>0</v>
      </c>
      <c r="AR99" s="266">
        <f>IF($AL99="",0,'All Ticker P&amp;L'!L99)</f>
        <v>0</v>
      </c>
      <c r="AS99" s="267">
        <f>IF($AL99="",0,'All Ticker P&amp;L'!M99)</f>
        <v>0</v>
      </c>
      <c r="AT99" s="243" t="str">
        <f>IF($AL99="","",RANK(AR99,$AR$2:$AR$1001)+COUNTIF($AR$2:AR99,AR99)-1)</f>
        <v/>
      </c>
      <c r="AU99" s="243" t="str">
        <f>IF($AL99="","",RANK(AV99,$AV$2:$AV$1001)+COUNTIF($AV$2:AV99,AV99)-1)</f>
        <v/>
      </c>
      <c r="AV99" s="266">
        <f t="shared" si="34"/>
        <v>0</v>
      </c>
    </row>
    <row r="100" spans="26:48" ht="15" customHeight="1" x14ac:dyDescent="0.2">
      <c r="Z100" s="243" t="str">
        <f>Shares!A100</f>
        <v/>
      </c>
      <c r="AA100" s="243" t="str">
        <f>Shares!B100</f>
        <v/>
      </c>
      <c r="AB100" s="243" t="str">
        <f>Shares!C100</f>
        <v/>
      </c>
      <c r="AC100" s="243" t="str">
        <f>Shares!D100</f>
        <v/>
      </c>
      <c r="AD100" s="243">
        <f>IF($Z100="",0,Shares!E100)</f>
        <v>0</v>
      </c>
      <c r="AE100" s="266">
        <f>IF($Z100="",0,Shares!J100*Shares!I100)</f>
        <v>0</v>
      </c>
      <c r="AF100" s="267">
        <f t="shared" si="33"/>
        <v>0</v>
      </c>
      <c r="AG100" s="266">
        <f>IF($Z100="",0,Shares!L100)</f>
        <v>0</v>
      </c>
      <c r="AH100" s="267">
        <f>IF($Z100="",0,Shares!M100)</f>
        <v>0</v>
      </c>
      <c r="AI100" s="243" t="str">
        <f>IF($Z100="","",RANK(AE100,$AE$2:$AE$1001)+COUNTIF($AE$2:AE100,AE100)-1)</f>
        <v/>
      </c>
      <c r="AJ100" s="243" t="str">
        <f>IF($AD100&lt;0,COUNT($AJ$1:AJ99)+1,"")</f>
        <v/>
      </c>
      <c r="AL100" s="243" t="str">
        <f>'All Ticker P&amp;L'!A100</f>
        <v/>
      </c>
      <c r="AM100" s="243" t="str">
        <f>'All Ticker P&amp;L'!B100</f>
        <v/>
      </c>
      <c r="AN100" s="243" t="str">
        <f>'All Ticker P&amp;L'!C100</f>
        <v/>
      </c>
      <c r="AO100" s="243" t="str">
        <f>'All Ticker P&amp;L'!D100</f>
        <v/>
      </c>
      <c r="AP100" s="265">
        <f>IF($AL100="",0,'All Ticker P&amp;L'!E100)</f>
        <v>0</v>
      </c>
      <c r="AQ100" s="266">
        <f>IF($AL100="",0,'All Ticker P&amp;L'!J100*'All Ticker P&amp;L'!I100)</f>
        <v>0</v>
      </c>
      <c r="AR100" s="266">
        <f>IF($AL100="",0,'All Ticker P&amp;L'!L100)</f>
        <v>0</v>
      </c>
      <c r="AS100" s="267">
        <f>IF($AL100="",0,'All Ticker P&amp;L'!M100)</f>
        <v>0</v>
      </c>
      <c r="AT100" s="243" t="str">
        <f>IF($AL100="","",RANK(AR100,$AR$2:$AR$1001)+COUNTIF($AR$2:AR100,AR100)-1)</f>
        <v/>
      </c>
      <c r="AU100" s="243" t="str">
        <f>IF($AL100="","",RANK(AV100,$AV$2:$AV$1001)+COUNTIF($AV$2:AV100,AV100)-1)</f>
        <v/>
      </c>
      <c r="AV100" s="266">
        <f t="shared" si="34"/>
        <v>0</v>
      </c>
    </row>
    <row r="101" spans="26:48" ht="15" customHeight="1" x14ac:dyDescent="0.2">
      <c r="Z101" s="243" t="str">
        <f>Shares!A101</f>
        <v/>
      </c>
      <c r="AA101" s="243" t="str">
        <f>Shares!B101</f>
        <v/>
      </c>
      <c r="AB101" s="243" t="str">
        <f>Shares!C101</f>
        <v/>
      </c>
      <c r="AC101" s="243" t="str">
        <f>Shares!D101</f>
        <v/>
      </c>
      <c r="AD101" s="243">
        <f>IF($Z101="",0,Shares!E101)</f>
        <v>0</v>
      </c>
      <c r="AE101" s="266">
        <f>IF($Z101="",0,Shares!J101*Shares!I101)</f>
        <v>0</v>
      </c>
      <c r="AF101" s="267">
        <f t="shared" si="33"/>
        <v>0</v>
      </c>
      <c r="AG101" s="266">
        <f>IF($Z101="",0,Shares!L101)</f>
        <v>0</v>
      </c>
      <c r="AH101" s="267">
        <f>IF($Z101="",0,Shares!M101)</f>
        <v>0</v>
      </c>
      <c r="AI101" s="243" t="str">
        <f>IF($Z101="","",RANK(AE101,$AE$2:$AE$1001)+COUNTIF($AE$2:AE101,AE101)-1)</f>
        <v/>
      </c>
      <c r="AJ101" s="243" t="str">
        <f>IF($AD101&lt;0,COUNT($AJ$1:AJ100)+1,"")</f>
        <v/>
      </c>
      <c r="AL101" s="243" t="str">
        <f>'All Ticker P&amp;L'!A101</f>
        <v/>
      </c>
      <c r="AM101" s="243" t="str">
        <f>'All Ticker P&amp;L'!B101</f>
        <v/>
      </c>
      <c r="AN101" s="243" t="str">
        <f>'All Ticker P&amp;L'!C101</f>
        <v/>
      </c>
      <c r="AO101" s="243" t="str">
        <f>'All Ticker P&amp;L'!D101</f>
        <v/>
      </c>
      <c r="AP101" s="265">
        <f>IF($AL101="",0,'All Ticker P&amp;L'!E101)</f>
        <v>0</v>
      </c>
      <c r="AQ101" s="266">
        <f>IF($AL101="",0,'All Ticker P&amp;L'!J101*'All Ticker P&amp;L'!I101)</f>
        <v>0</v>
      </c>
      <c r="AR101" s="266">
        <f>IF($AL101="",0,'All Ticker P&amp;L'!L101)</f>
        <v>0</v>
      </c>
      <c r="AS101" s="267">
        <f>IF($AL101="",0,'All Ticker P&amp;L'!M101)</f>
        <v>0</v>
      </c>
      <c r="AT101" s="243" t="str">
        <f>IF($AL101="","",RANK(AR101,$AR$2:$AR$1001)+COUNTIF($AR$2:AR101,AR101)-1)</f>
        <v/>
      </c>
      <c r="AU101" s="243" t="str">
        <f>IF($AL101="","",RANK(AV101,$AV$2:$AV$1001)+COUNTIF($AV$2:AV101,AV101)-1)</f>
        <v/>
      </c>
      <c r="AV101" s="266">
        <f t="shared" si="34"/>
        <v>0</v>
      </c>
    </row>
    <row r="102" spans="26:48" ht="15" customHeight="1" x14ac:dyDescent="0.2">
      <c r="Z102" s="243" t="str">
        <f>Shares!A102</f>
        <v/>
      </c>
      <c r="AA102" s="243" t="str">
        <f>Shares!B102</f>
        <v/>
      </c>
      <c r="AB102" s="243" t="str">
        <f>Shares!C102</f>
        <v/>
      </c>
      <c r="AC102" s="243" t="str">
        <f>Shares!D102</f>
        <v/>
      </c>
      <c r="AD102" s="243">
        <f>IF($Z102="",0,Shares!E102)</f>
        <v>0</v>
      </c>
      <c r="AE102" s="266">
        <f>IF($Z102="",0,Shares!J102*Shares!I102)</f>
        <v>0</v>
      </c>
      <c r="AF102" s="267">
        <f t="shared" si="33"/>
        <v>0</v>
      </c>
      <c r="AG102" s="266">
        <f>IF($Z102="",0,Shares!L102)</f>
        <v>0</v>
      </c>
      <c r="AH102" s="267">
        <f>IF($Z102="",0,Shares!M102)</f>
        <v>0</v>
      </c>
      <c r="AI102" s="243" t="str">
        <f>IF($Z102="","",RANK(AE102,$AE$2:$AE$1001)+COUNTIF($AE$2:AE102,AE102)-1)</f>
        <v/>
      </c>
      <c r="AJ102" s="243" t="str">
        <f>IF($AD102&lt;0,COUNT($AJ$1:AJ101)+1,"")</f>
        <v/>
      </c>
      <c r="AL102" s="243" t="str">
        <f>'All Ticker P&amp;L'!A102</f>
        <v/>
      </c>
      <c r="AM102" s="243" t="str">
        <f>'All Ticker P&amp;L'!B102</f>
        <v/>
      </c>
      <c r="AN102" s="243" t="str">
        <f>'All Ticker P&amp;L'!C102</f>
        <v/>
      </c>
      <c r="AO102" s="243" t="str">
        <f>'All Ticker P&amp;L'!D102</f>
        <v/>
      </c>
      <c r="AP102" s="265">
        <f>IF($AL102="",0,'All Ticker P&amp;L'!E102)</f>
        <v>0</v>
      </c>
      <c r="AQ102" s="266">
        <f>IF($AL102="",0,'All Ticker P&amp;L'!J102*'All Ticker P&amp;L'!I102)</f>
        <v>0</v>
      </c>
      <c r="AR102" s="266">
        <f>IF($AL102="",0,'All Ticker P&amp;L'!L102)</f>
        <v>0</v>
      </c>
      <c r="AS102" s="267">
        <f>IF($AL102="",0,'All Ticker P&amp;L'!M102)</f>
        <v>0</v>
      </c>
      <c r="AT102" s="243" t="str">
        <f>IF($AL102="","",RANK(AR102,$AR$2:$AR$1001)+COUNTIF($AR$2:AR102,AR102)-1)</f>
        <v/>
      </c>
      <c r="AU102" s="243" t="str">
        <f>IF($AL102="","",RANK(AV102,$AV$2:$AV$1001)+COUNTIF($AV$2:AV102,AV102)-1)</f>
        <v/>
      </c>
      <c r="AV102" s="266">
        <f t="shared" si="34"/>
        <v>0</v>
      </c>
    </row>
    <row r="103" spans="26:48" ht="15" customHeight="1" x14ac:dyDescent="0.2">
      <c r="Z103" s="243" t="str">
        <f>Shares!A103</f>
        <v/>
      </c>
      <c r="AA103" s="243" t="str">
        <f>Shares!B103</f>
        <v/>
      </c>
      <c r="AB103" s="243" t="str">
        <f>Shares!C103</f>
        <v/>
      </c>
      <c r="AC103" s="243" t="str">
        <f>Shares!D103</f>
        <v/>
      </c>
      <c r="AD103" s="243">
        <f>IF($Z103="",0,Shares!E103)</f>
        <v>0</v>
      </c>
      <c r="AE103" s="266">
        <f>IF($Z103="",0,Shares!J103*Shares!I103)</f>
        <v>0</v>
      </c>
      <c r="AF103" s="267">
        <f t="shared" si="33"/>
        <v>0</v>
      </c>
      <c r="AG103" s="266">
        <f>IF($Z103="",0,Shares!L103)</f>
        <v>0</v>
      </c>
      <c r="AH103" s="267">
        <f>IF($Z103="",0,Shares!M103)</f>
        <v>0</v>
      </c>
      <c r="AI103" s="243" t="str">
        <f>IF($Z103="","",RANK(AE103,$AE$2:$AE$1001)+COUNTIF($AE$2:AE103,AE103)-1)</f>
        <v/>
      </c>
      <c r="AJ103" s="243" t="str">
        <f>IF($AD103&lt;0,COUNT($AJ$1:AJ102)+1,"")</f>
        <v/>
      </c>
      <c r="AL103" s="243" t="str">
        <f>'All Ticker P&amp;L'!A103</f>
        <v/>
      </c>
      <c r="AM103" s="243" t="str">
        <f>'All Ticker P&amp;L'!B103</f>
        <v/>
      </c>
      <c r="AN103" s="243" t="str">
        <f>'All Ticker P&amp;L'!C103</f>
        <v/>
      </c>
      <c r="AO103" s="243" t="str">
        <f>'All Ticker P&amp;L'!D103</f>
        <v/>
      </c>
      <c r="AP103" s="265">
        <f>IF($AL103="",0,'All Ticker P&amp;L'!E103)</f>
        <v>0</v>
      </c>
      <c r="AQ103" s="266">
        <f>IF($AL103="",0,'All Ticker P&amp;L'!J103*'All Ticker P&amp;L'!I103)</f>
        <v>0</v>
      </c>
      <c r="AR103" s="266">
        <f>IF($AL103="",0,'All Ticker P&amp;L'!L103)</f>
        <v>0</v>
      </c>
      <c r="AS103" s="267">
        <f>IF($AL103="",0,'All Ticker P&amp;L'!M103)</f>
        <v>0</v>
      </c>
      <c r="AT103" s="243" t="str">
        <f>IF($AL103="","",RANK(AR103,$AR$2:$AR$1001)+COUNTIF($AR$2:AR103,AR103)-1)</f>
        <v/>
      </c>
      <c r="AU103" s="243" t="str">
        <f>IF($AL103="","",RANK(AV103,$AV$2:$AV$1001)+COUNTIF($AV$2:AV103,AV103)-1)</f>
        <v/>
      </c>
      <c r="AV103" s="266">
        <f t="shared" si="34"/>
        <v>0</v>
      </c>
    </row>
    <row r="104" spans="26:48" ht="15" customHeight="1" x14ac:dyDescent="0.2">
      <c r="Z104" s="243" t="str">
        <f>Shares!A104</f>
        <v/>
      </c>
      <c r="AA104" s="243" t="str">
        <f>Shares!B104</f>
        <v/>
      </c>
      <c r="AB104" s="243" t="str">
        <f>Shares!C104</f>
        <v/>
      </c>
      <c r="AC104" s="243" t="str">
        <f>Shares!D104</f>
        <v/>
      </c>
      <c r="AD104" s="243">
        <f>IF($Z104="",0,Shares!E104)</f>
        <v>0</v>
      </c>
      <c r="AE104" s="266">
        <f>IF($Z104="",0,Shares!J104*Shares!I104)</f>
        <v>0</v>
      </c>
      <c r="AF104" s="267">
        <f t="shared" si="33"/>
        <v>0</v>
      </c>
      <c r="AG104" s="266">
        <f>IF($Z104="",0,Shares!L104)</f>
        <v>0</v>
      </c>
      <c r="AH104" s="267">
        <f>IF($Z104="",0,Shares!M104)</f>
        <v>0</v>
      </c>
      <c r="AI104" s="243" t="str">
        <f>IF($Z104="","",RANK(AE104,$AE$2:$AE$1001)+COUNTIF($AE$2:AE104,AE104)-1)</f>
        <v/>
      </c>
      <c r="AJ104" s="243" t="str">
        <f>IF($AD104&lt;0,COUNT($AJ$1:AJ103)+1,"")</f>
        <v/>
      </c>
      <c r="AL104" s="243" t="str">
        <f>'All Ticker P&amp;L'!A104</f>
        <v/>
      </c>
      <c r="AM104" s="243" t="str">
        <f>'All Ticker P&amp;L'!B104</f>
        <v/>
      </c>
      <c r="AN104" s="243" t="str">
        <f>'All Ticker P&amp;L'!C104</f>
        <v/>
      </c>
      <c r="AO104" s="243" t="str">
        <f>'All Ticker P&amp;L'!D104</f>
        <v/>
      </c>
      <c r="AP104" s="265">
        <f>IF($AL104="",0,'All Ticker P&amp;L'!E104)</f>
        <v>0</v>
      </c>
      <c r="AQ104" s="266">
        <f>IF($AL104="",0,'All Ticker P&amp;L'!J104*'All Ticker P&amp;L'!I104)</f>
        <v>0</v>
      </c>
      <c r="AR104" s="266">
        <f>IF($AL104="",0,'All Ticker P&amp;L'!L104)</f>
        <v>0</v>
      </c>
      <c r="AS104" s="267">
        <f>IF($AL104="",0,'All Ticker P&amp;L'!M104)</f>
        <v>0</v>
      </c>
      <c r="AT104" s="243" t="str">
        <f>IF($AL104="","",RANK(AR104,$AR$2:$AR$1001)+COUNTIF($AR$2:AR104,AR104)-1)</f>
        <v/>
      </c>
      <c r="AU104" s="243" t="str">
        <f>IF($AL104="","",RANK(AV104,$AV$2:$AV$1001)+COUNTIF($AV$2:AV104,AV104)-1)</f>
        <v/>
      </c>
      <c r="AV104" s="266">
        <f t="shared" si="34"/>
        <v>0</v>
      </c>
    </row>
    <row r="105" spans="26:48" ht="15" customHeight="1" x14ac:dyDescent="0.2">
      <c r="Z105" s="243" t="str">
        <f>Shares!A105</f>
        <v/>
      </c>
      <c r="AA105" s="243" t="str">
        <f>Shares!B105</f>
        <v/>
      </c>
      <c r="AB105" s="243" t="str">
        <f>Shares!C105</f>
        <v/>
      </c>
      <c r="AC105" s="243" t="str">
        <f>Shares!D105</f>
        <v/>
      </c>
      <c r="AD105" s="243">
        <f>IF($Z105="",0,Shares!E105)</f>
        <v>0</v>
      </c>
      <c r="AE105" s="266">
        <f>IF($Z105="",0,Shares!J105*Shares!I105)</f>
        <v>0</v>
      </c>
      <c r="AF105" s="267">
        <f t="shared" si="33"/>
        <v>0</v>
      </c>
      <c r="AG105" s="266">
        <f>IF($Z105="",0,Shares!L105)</f>
        <v>0</v>
      </c>
      <c r="AH105" s="267">
        <f>IF($Z105="",0,Shares!M105)</f>
        <v>0</v>
      </c>
      <c r="AI105" s="243" t="str">
        <f>IF($Z105="","",RANK(AE105,$AE$2:$AE$1001)+COUNTIF($AE$2:AE105,AE105)-1)</f>
        <v/>
      </c>
      <c r="AJ105" s="243" t="str">
        <f>IF($AD105&lt;0,COUNT($AJ$1:AJ104)+1,"")</f>
        <v/>
      </c>
      <c r="AL105" s="243" t="str">
        <f>'All Ticker P&amp;L'!A105</f>
        <v/>
      </c>
      <c r="AM105" s="243" t="str">
        <f>'All Ticker P&amp;L'!B105</f>
        <v/>
      </c>
      <c r="AN105" s="243" t="str">
        <f>'All Ticker P&amp;L'!C105</f>
        <v/>
      </c>
      <c r="AO105" s="243" t="str">
        <f>'All Ticker P&amp;L'!D105</f>
        <v/>
      </c>
      <c r="AP105" s="265">
        <f>IF($AL105="",0,'All Ticker P&amp;L'!E105)</f>
        <v>0</v>
      </c>
      <c r="AQ105" s="266">
        <f>IF($AL105="",0,'All Ticker P&amp;L'!J105*'All Ticker P&amp;L'!I105)</f>
        <v>0</v>
      </c>
      <c r="AR105" s="266">
        <f>IF($AL105="",0,'All Ticker P&amp;L'!L105)</f>
        <v>0</v>
      </c>
      <c r="AS105" s="267">
        <f>IF($AL105="",0,'All Ticker P&amp;L'!M105)</f>
        <v>0</v>
      </c>
      <c r="AT105" s="243" t="str">
        <f>IF($AL105="","",RANK(AR105,$AR$2:$AR$1001)+COUNTIF($AR$2:AR105,AR105)-1)</f>
        <v/>
      </c>
      <c r="AU105" s="243" t="str">
        <f>IF($AL105="","",RANK(AV105,$AV$2:$AV$1001)+COUNTIF($AV$2:AV105,AV105)-1)</f>
        <v/>
      </c>
      <c r="AV105" s="266">
        <f t="shared" si="34"/>
        <v>0</v>
      </c>
    </row>
    <row r="106" spans="26:48" ht="15" customHeight="1" x14ac:dyDescent="0.2">
      <c r="Z106" s="243" t="str">
        <f>Shares!A106</f>
        <v/>
      </c>
      <c r="AA106" s="243" t="str">
        <f>Shares!B106</f>
        <v/>
      </c>
      <c r="AB106" s="243" t="str">
        <f>Shares!C106</f>
        <v/>
      </c>
      <c r="AC106" s="243" t="str">
        <f>Shares!D106</f>
        <v/>
      </c>
      <c r="AD106" s="243">
        <f>IF($Z106="",0,Shares!E106)</f>
        <v>0</v>
      </c>
      <c r="AE106" s="266">
        <f>IF($Z106="",0,Shares!J106*Shares!I106)</f>
        <v>0</v>
      </c>
      <c r="AF106" s="267">
        <f t="shared" si="33"/>
        <v>0</v>
      </c>
      <c r="AG106" s="266">
        <f>IF($Z106="",0,Shares!L106)</f>
        <v>0</v>
      </c>
      <c r="AH106" s="267">
        <f>IF($Z106="",0,Shares!M106)</f>
        <v>0</v>
      </c>
      <c r="AI106" s="243" t="str">
        <f>IF($Z106="","",RANK(AE106,$AE$2:$AE$1001)+COUNTIF($AE$2:AE106,AE106)-1)</f>
        <v/>
      </c>
      <c r="AJ106" s="243" t="str">
        <f>IF($AD106&lt;0,COUNT($AJ$1:AJ105)+1,"")</f>
        <v/>
      </c>
      <c r="AL106" s="243" t="str">
        <f>'All Ticker P&amp;L'!A106</f>
        <v/>
      </c>
      <c r="AM106" s="243" t="str">
        <f>'All Ticker P&amp;L'!B106</f>
        <v/>
      </c>
      <c r="AN106" s="243" t="str">
        <f>'All Ticker P&amp;L'!C106</f>
        <v/>
      </c>
      <c r="AO106" s="243" t="str">
        <f>'All Ticker P&amp;L'!D106</f>
        <v/>
      </c>
      <c r="AP106" s="265">
        <f>IF($AL106="",0,'All Ticker P&amp;L'!E106)</f>
        <v>0</v>
      </c>
      <c r="AQ106" s="266">
        <f>IF($AL106="",0,'All Ticker P&amp;L'!J106*'All Ticker P&amp;L'!I106)</f>
        <v>0</v>
      </c>
      <c r="AR106" s="266">
        <f>IF($AL106="",0,'All Ticker P&amp;L'!L106)</f>
        <v>0</v>
      </c>
      <c r="AS106" s="267">
        <f>IF($AL106="",0,'All Ticker P&amp;L'!M106)</f>
        <v>0</v>
      </c>
      <c r="AT106" s="243" t="str">
        <f>IF($AL106="","",RANK(AR106,$AR$2:$AR$1001)+COUNTIF($AR$2:AR106,AR106)-1)</f>
        <v/>
      </c>
      <c r="AU106" s="243" t="str">
        <f>IF($AL106="","",RANK(AV106,$AV$2:$AV$1001)+COUNTIF($AV$2:AV106,AV106)-1)</f>
        <v/>
      </c>
      <c r="AV106" s="266">
        <f t="shared" si="34"/>
        <v>0</v>
      </c>
    </row>
    <row r="107" spans="26:48" ht="15" customHeight="1" x14ac:dyDescent="0.2">
      <c r="Z107" s="243" t="str">
        <f>Shares!A107</f>
        <v/>
      </c>
      <c r="AA107" s="243" t="str">
        <f>Shares!B107</f>
        <v/>
      </c>
      <c r="AB107" s="243" t="str">
        <f>Shares!C107</f>
        <v/>
      </c>
      <c r="AC107" s="243" t="str">
        <f>Shares!D107</f>
        <v/>
      </c>
      <c r="AD107" s="243">
        <f>IF($Z107="",0,Shares!E107)</f>
        <v>0</v>
      </c>
      <c r="AE107" s="266">
        <f>IF($Z107="",0,Shares!J107*Shares!I107)</f>
        <v>0</v>
      </c>
      <c r="AF107" s="267">
        <f t="shared" si="33"/>
        <v>0</v>
      </c>
      <c r="AG107" s="266">
        <f>IF($Z107="",0,Shares!L107)</f>
        <v>0</v>
      </c>
      <c r="AH107" s="267">
        <f>IF($Z107="",0,Shares!M107)</f>
        <v>0</v>
      </c>
      <c r="AI107" s="243" t="str">
        <f>IF($Z107="","",RANK(AE107,$AE$2:$AE$1001)+COUNTIF($AE$2:AE107,AE107)-1)</f>
        <v/>
      </c>
      <c r="AJ107" s="243" t="str">
        <f>IF($AD107&lt;0,COUNT($AJ$1:AJ106)+1,"")</f>
        <v/>
      </c>
      <c r="AL107" s="243" t="str">
        <f>'All Ticker P&amp;L'!A107</f>
        <v/>
      </c>
      <c r="AM107" s="243" t="str">
        <f>'All Ticker P&amp;L'!B107</f>
        <v/>
      </c>
      <c r="AN107" s="243" t="str">
        <f>'All Ticker P&amp;L'!C107</f>
        <v/>
      </c>
      <c r="AO107" s="243" t="str">
        <f>'All Ticker P&amp;L'!D107</f>
        <v/>
      </c>
      <c r="AP107" s="265">
        <f>IF($AL107="",0,'All Ticker P&amp;L'!E107)</f>
        <v>0</v>
      </c>
      <c r="AQ107" s="266">
        <f>IF($AL107="",0,'All Ticker P&amp;L'!J107*'All Ticker P&amp;L'!I107)</f>
        <v>0</v>
      </c>
      <c r="AR107" s="266">
        <f>IF($AL107="",0,'All Ticker P&amp;L'!L107)</f>
        <v>0</v>
      </c>
      <c r="AS107" s="267">
        <f>IF($AL107="",0,'All Ticker P&amp;L'!M107)</f>
        <v>0</v>
      </c>
      <c r="AT107" s="243" t="str">
        <f>IF($AL107="","",RANK(AR107,$AR$2:$AR$1001)+COUNTIF($AR$2:AR107,AR107)-1)</f>
        <v/>
      </c>
      <c r="AU107" s="243" t="str">
        <f>IF($AL107="","",RANK(AV107,$AV$2:$AV$1001)+COUNTIF($AV$2:AV107,AV107)-1)</f>
        <v/>
      </c>
      <c r="AV107" s="266">
        <f t="shared" si="34"/>
        <v>0</v>
      </c>
    </row>
    <row r="108" spans="26:48" ht="15" customHeight="1" x14ac:dyDescent="0.2">
      <c r="Z108" s="243" t="str">
        <f>Shares!A108</f>
        <v/>
      </c>
      <c r="AA108" s="243" t="str">
        <f>Shares!B108</f>
        <v/>
      </c>
      <c r="AB108" s="243" t="str">
        <f>Shares!C108</f>
        <v/>
      </c>
      <c r="AC108" s="243" t="str">
        <f>Shares!D108</f>
        <v/>
      </c>
      <c r="AD108" s="243">
        <f>IF($Z108="",0,Shares!E108)</f>
        <v>0</v>
      </c>
      <c r="AE108" s="266">
        <f>IF($Z108="",0,Shares!J108*Shares!I108)</f>
        <v>0</v>
      </c>
      <c r="AF108" s="267">
        <f t="shared" si="33"/>
        <v>0</v>
      </c>
      <c r="AG108" s="266">
        <f>IF($Z108="",0,Shares!L108)</f>
        <v>0</v>
      </c>
      <c r="AH108" s="267">
        <f>IF($Z108="",0,Shares!M108)</f>
        <v>0</v>
      </c>
      <c r="AI108" s="243" t="str">
        <f>IF($Z108="","",RANK(AE108,$AE$2:$AE$1001)+COUNTIF($AE$2:AE108,AE108)-1)</f>
        <v/>
      </c>
      <c r="AJ108" s="243" t="str">
        <f>IF($AD108&lt;0,COUNT($AJ$1:AJ107)+1,"")</f>
        <v/>
      </c>
      <c r="AL108" s="243" t="str">
        <f>'All Ticker P&amp;L'!A108</f>
        <v/>
      </c>
      <c r="AM108" s="243" t="str">
        <f>'All Ticker P&amp;L'!B108</f>
        <v/>
      </c>
      <c r="AN108" s="243" t="str">
        <f>'All Ticker P&amp;L'!C108</f>
        <v/>
      </c>
      <c r="AO108" s="243" t="str">
        <f>'All Ticker P&amp;L'!D108</f>
        <v/>
      </c>
      <c r="AP108" s="265">
        <f>IF($AL108="",0,'All Ticker P&amp;L'!E108)</f>
        <v>0</v>
      </c>
      <c r="AQ108" s="266">
        <f>IF($AL108="",0,'All Ticker P&amp;L'!J108*'All Ticker P&amp;L'!I108)</f>
        <v>0</v>
      </c>
      <c r="AR108" s="266">
        <f>IF($AL108="",0,'All Ticker P&amp;L'!L108)</f>
        <v>0</v>
      </c>
      <c r="AS108" s="267">
        <f>IF($AL108="",0,'All Ticker P&amp;L'!M108)</f>
        <v>0</v>
      </c>
      <c r="AT108" s="243" t="str">
        <f>IF($AL108="","",RANK(AR108,$AR$2:$AR$1001)+COUNTIF($AR$2:AR108,AR108)-1)</f>
        <v/>
      </c>
      <c r="AU108" s="243" t="str">
        <f>IF($AL108="","",RANK(AV108,$AV$2:$AV$1001)+COUNTIF($AV$2:AV108,AV108)-1)</f>
        <v/>
      </c>
      <c r="AV108" s="266">
        <f t="shared" si="34"/>
        <v>0</v>
      </c>
    </row>
    <row r="109" spans="26:48" ht="15" customHeight="1" x14ac:dyDescent="0.2">
      <c r="Z109" s="243" t="str">
        <f>Shares!A109</f>
        <v/>
      </c>
      <c r="AA109" s="243" t="str">
        <f>Shares!B109</f>
        <v/>
      </c>
      <c r="AB109" s="243" t="str">
        <f>Shares!C109</f>
        <v/>
      </c>
      <c r="AC109" s="243" t="str">
        <f>Shares!D109</f>
        <v/>
      </c>
      <c r="AD109" s="243">
        <f>IF($Z109="",0,Shares!E109)</f>
        <v>0</v>
      </c>
      <c r="AE109" s="266">
        <f>IF($Z109="",0,Shares!J109*Shares!I109)</f>
        <v>0</v>
      </c>
      <c r="AF109" s="267">
        <f t="shared" si="33"/>
        <v>0</v>
      </c>
      <c r="AG109" s="266">
        <f>IF($Z109="",0,Shares!L109)</f>
        <v>0</v>
      </c>
      <c r="AH109" s="267">
        <f>IF($Z109="",0,Shares!M109)</f>
        <v>0</v>
      </c>
      <c r="AI109" s="243" t="str">
        <f>IF($Z109="","",RANK(AE109,$AE$2:$AE$1001)+COUNTIF($AE$2:AE109,AE109)-1)</f>
        <v/>
      </c>
      <c r="AJ109" s="243" t="str">
        <f>IF($AD109&lt;0,COUNT($AJ$1:AJ108)+1,"")</f>
        <v/>
      </c>
      <c r="AL109" s="243" t="str">
        <f>'All Ticker P&amp;L'!A109</f>
        <v/>
      </c>
      <c r="AM109" s="243" t="str">
        <f>'All Ticker P&amp;L'!B109</f>
        <v/>
      </c>
      <c r="AN109" s="243" t="str">
        <f>'All Ticker P&amp;L'!C109</f>
        <v/>
      </c>
      <c r="AO109" s="243" t="str">
        <f>'All Ticker P&amp;L'!D109</f>
        <v/>
      </c>
      <c r="AP109" s="265">
        <f>IF($AL109="",0,'All Ticker P&amp;L'!E109)</f>
        <v>0</v>
      </c>
      <c r="AQ109" s="266">
        <f>IF($AL109="",0,'All Ticker P&amp;L'!J109*'All Ticker P&amp;L'!I109)</f>
        <v>0</v>
      </c>
      <c r="AR109" s="266">
        <f>IF($AL109="",0,'All Ticker P&amp;L'!L109)</f>
        <v>0</v>
      </c>
      <c r="AS109" s="267">
        <f>IF($AL109="",0,'All Ticker P&amp;L'!M109)</f>
        <v>0</v>
      </c>
      <c r="AT109" s="243" t="str">
        <f>IF($AL109="","",RANK(AR109,$AR$2:$AR$1001)+COUNTIF($AR$2:AR109,AR109)-1)</f>
        <v/>
      </c>
      <c r="AU109" s="243" t="str">
        <f>IF($AL109="","",RANK(AV109,$AV$2:$AV$1001)+COUNTIF($AV$2:AV109,AV109)-1)</f>
        <v/>
      </c>
      <c r="AV109" s="266">
        <f t="shared" si="34"/>
        <v>0</v>
      </c>
    </row>
    <row r="110" spans="26:48" ht="15" customHeight="1" x14ac:dyDescent="0.2">
      <c r="Z110" s="243" t="str">
        <f>Shares!A110</f>
        <v/>
      </c>
      <c r="AA110" s="243" t="str">
        <f>Shares!B110</f>
        <v/>
      </c>
      <c r="AB110" s="243" t="str">
        <f>Shares!C110</f>
        <v/>
      </c>
      <c r="AC110" s="243" t="str">
        <f>Shares!D110</f>
        <v/>
      </c>
      <c r="AD110" s="243">
        <f>IF($Z110="",0,Shares!E110)</f>
        <v>0</v>
      </c>
      <c r="AE110" s="266">
        <f>IF($Z110="",0,Shares!J110*Shares!I110)</f>
        <v>0</v>
      </c>
      <c r="AF110" s="267">
        <f t="shared" si="33"/>
        <v>0</v>
      </c>
      <c r="AG110" s="266">
        <f>IF($Z110="",0,Shares!L110)</f>
        <v>0</v>
      </c>
      <c r="AH110" s="267">
        <f>IF($Z110="",0,Shares!M110)</f>
        <v>0</v>
      </c>
      <c r="AI110" s="243" t="str">
        <f>IF($Z110="","",RANK(AE110,$AE$2:$AE$1001)+COUNTIF($AE$2:AE110,AE110)-1)</f>
        <v/>
      </c>
      <c r="AJ110" s="243" t="str">
        <f>IF($AD110&lt;0,COUNT($AJ$1:AJ109)+1,"")</f>
        <v/>
      </c>
      <c r="AL110" s="243" t="str">
        <f>'All Ticker P&amp;L'!A110</f>
        <v/>
      </c>
      <c r="AM110" s="243" t="str">
        <f>'All Ticker P&amp;L'!B110</f>
        <v/>
      </c>
      <c r="AN110" s="243" t="str">
        <f>'All Ticker P&amp;L'!C110</f>
        <v/>
      </c>
      <c r="AO110" s="243" t="str">
        <f>'All Ticker P&amp;L'!D110</f>
        <v/>
      </c>
      <c r="AP110" s="265">
        <f>IF($AL110="",0,'All Ticker P&amp;L'!E110)</f>
        <v>0</v>
      </c>
      <c r="AQ110" s="266">
        <f>IF($AL110="",0,'All Ticker P&amp;L'!J110*'All Ticker P&amp;L'!I110)</f>
        <v>0</v>
      </c>
      <c r="AR110" s="266">
        <f>IF($AL110="",0,'All Ticker P&amp;L'!L110)</f>
        <v>0</v>
      </c>
      <c r="AS110" s="267">
        <f>IF($AL110="",0,'All Ticker P&amp;L'!M110)</f>
        <v>0</v>
      </c>
      <c r="AT110" s="243" t="str">
        <f>IF($AL110="","",RANK(AR110,$AR$2:$AR$1001)+COUNTIF($AR$2:AR110,AR110)-1)</f>
        <v/>
      </c>
      <c r="AU110" s="243" t="str">
        <f>IF($AL110="","",RANK(AV110,$AV$2:$AV$1001)+COUNTIF($AV$2:AV110,AV110)-1)</f>
        <v/>
      </c>
      <c r="AV110" s="266">
        <f t="shared" si="34"/>
        <v>0</v>
      </c>
    </row>
    <row r="111" spans="26:48" ht="15" customHeight="1" x14ac:dyDescent="0.2">
      <c r="Z111" s="243" t="str">
        <f>Shares!A111</f>
        <v/>
      </c>
      <c r="AA111" s="243" t="str">
        <f>Shares!B111</f>
        <v/>
      </c>
      <c r="AB111" s="243" t="str">
        <f>Shares!C111</f>
        <v/>
      </c>
      <c r="AC111" s="243" t="str">
        <f>Shares!D111</f>
        <v/>
      </c>
      <c r="AD111" s="243">
        <f>IF($Z111="",0,Shares!E111)</f>
        <v>0</v>
      </c>
      <c r="AE111" s="266">
        <f>IF($Z111="",0,Shares!J111*Shares!I111)</f>
        <v>0</v>
      </c>
      <c r="AF111" s="267">
        <f t="shared" si="33"/>
        <v>0</v>
      </c>
      <c r="AG111" s="266">
        <f>IF($Z111="",0,Shares!L111)</f>
        <v>0</v>
      </c>
      <c r="AH111" s="267">
        <f>IF($Z111="",0,Shares!M111)</f>
        <v>0</v>
      </c>
      <c r="AI111" s="243" t="str">
        <f>IF($Z111="","",RANK(AE111,$AE$2:$AE$1001)+COUNTIF($AE$2:AE111,AE111)-1)</f>
        <v/>
      </c>
      <c r="AJ111" s="243" t="str">
        <f>IF($AD111&lt;0,COUNT($AJ$1:AJ110)+1,"")</f>
        <v/>
      </c>
      <c r="AL111" s="243" t="str">
        <f>'All Ticker P&amp;L'!A111</f>
        <v/>
      </c>
      <c r="AM111" s="243" t="str">
        <f>'All Ticker P&amp;L'!B111</f>
        <v/>
      </c>
      <c r="AN111" s="243" t="str">
        <f>'All Ticker P&amp;L'!C111</f>
        <v/>
      </c>
      <c r="AO111" s="243" t="str">
        <f>'All Ticker P&amp;L'!D111</f>
        <v/>
      </c>
      <c r="AP111" s="265">
        <f>IF($AL111="",0,'All Ticker P&amp;L'!E111)</f>
        <v>0</v>
      </c>
      <c r="AQ111" s="266">
        <f>IF($AL111="",0,'All Ticker P&amp;L'!J111*'All Ticker P&amp;L'!I111)</f>
        <v>0</v>
      </c>
      <c r="AR111" s="266">
        <f>IF($AL111="",0,'All Ticker P&amp;L'!L111)</f>
        <v>0</v>
      </c>
      <c r="AS111" s="267">
        <f>IF($AL111="",0,'All Ticker P&amp;L'!M111)</f>
        <v>0</v>
      </c>
      <c r="AT111" s="243" t="str">
        <f>IF($AL111="","",RANK(AR111,$AR$2:$AR$1001)+COUNTIF($AR$2:AR111,AR111)-1)</f>
        <v/>
      </c>
      <c r="AU111" s="243" t="str">
        <f>IF($AL111="","",RANK(AV111,$AV$2:$AV$1001)+COUNTIF($AV$2:AV111,AV111)-1)</f>
        <v/>
      </c>
      <c r="AV111" s="266">
        <f t="shared" si="34"/>
        <v>0</v>
      </c>
    </row>
    <row r="112" spans="26:48" ht="15" customHeight="1" x14ac:dyDescent="0.2">
      <c r="Z112" s="243" t="str">
        <f>Shares!A112</f>
        <v/>
      </c>
      <c r="AA112" s="243" t="str">
        <f>Shares!B112</f>
        <v/>
      </c>
      <c r="AB112" s="243" t="str">
        <f>Shares!C112</f>
        <v/>
      </c>
      <c r="AC112" s="243" t="str">
        <f>Shares!D112</f>
        <v/>
      </c>
      <c r="AD112" s="243">
        <f>IF($Z112="",0,Shares!E112)</f>
        <v>0</v>
      </c>
      <c r="AE112" s="266">
        <f>IF($Z112="",0,Shares!J112*Shares!I112)</f>
        <v>0</v>
      </c>
      <c r="AF112" s="267">
        <f t="shared" si="33"/>
        <v>0</v>
      </c>
      <c r="AG112" s="266">
        <f>IF($Z112="",0,Shares!L112)</f>
        <v>0</v>
      </c>
      <c r="AH112" s="267">
        <f>IF($Z112="",0,Shares!M112)</f>
        <v>0</v>
      </c>
      <c r="AI112" s="243" t="str">
        <f>IF($Z112="","",RANK(AE112,$AE$2:$AE$1001)+COUNTIF($AE$2:AE112,AE112)-1)</f>
        <v/>
      </c>
      <c r="AJ112" s="243" t="str">
        <f>IF($AD112&lt;0,COUNT($AJ$1:AJ111)+1,"")</f>
        <v/>
      </c>
      <c r="AL112" s="243" t="str">
        <f>'All Ticker P&amp;L'!A112</f>
        <v/>
      </c>
      <c r="AM112" s="243" t="str">
        <f>'All Ticker P&amp;L'!B112</f>
        <v/>
      </c>
      <c r="AN112" s="243" t="str">
        <f>'All Ticker P&amp;L'!C112</f>
        <v/>
      </c>
      <c r="AO112" s="243" t="str">
        <f>'All Ticker P&amp;L'!D112</f>
        <v/>
      </c>
      <c r="AP112" s="265">
        <f>IF($AL112="",0,'All Ticker P&amp;L'!E112)</f>
        <v>0</v>
      </c>
      <c r="AQ112" s="266">
        <f>IF($AL112="",0,'All Ticker P&amp;L'!J112*'All Ticker P&amp;L'!I112)</f>
        <v>0</v>
      </c>
      <c r="AR112" s="266">
        <f>IF($AL112="",0,'All Ticker P&amp;L'!L112)</f>
        <v>0</v>
      </c>
      <c r="AS112" s="267">
        <f>IF($AL112="",0,'All Ticker P&amp;L'!M112)</f>
        <v>0</v>
      </c>
      <c r="AT112" s="243" t="str">
        <f>IF($AL112="","",RANK(AR112,$AR$2:$AR$1001)+COUNTIF($AR$2:AR112,AR112)-1)</f>
        <v/>
      </c>
      <c r="AU112" s="243" t="str">
        <f>IF($AL112="","",RANK(AV112,$AV$2:$AV$1001)+COUNTIF($AV$2:AV112,AV112)-1)</f>
        <v/>
      </c>
      <c r="AV112" s="266">
        <f t="shared" si="34"/>
        <v>0</v>
      </c>
    </row>
    <row r="113" spans="26:48" ht="15" customHeight="1" x14ac:dyDescent="0.2">
      <c r="Z113" s="243" t="str">
        <f>Shares!A113</f>
        <v/>
      </c>
      <c r="AA113" s="243" t="str">
        <f>Shares!B113</f>
        <v/>
      </c>
      <c r="AB113" s="243" t="str">
        <f>Shares!C113</f>
        <v/>
      </c>
      <c r="AC113" s="243" t="str">
        <f>Shares!D113</f>
        <v/>
      </c>
      <c r="AD113" s="243">
        <f>IF($Z113="",0,Shares!E113)</f>
        <v>0</v>
      </c>
      <c r="AE113" s="266">
        <f>IF($Z113="",0,Shares!J113*Shares!I113)</f>
        <v>0</v>
      </c>
      <c r="AF113" s="267">
        <f t="shared" si="33"/>
        <v>0</v>
      </c>
      <c r="AG113" s="266">
        <f>IF($Z113="",0,Shares!L113)</f>
        <v>0</v>
      </c>
      <c r="AH113" s="267">
        <f>IF($Z113="",0,Shares!M113)</f>
        <v>0</v>
      </c>
      <c r="AI113" s="243" t="str">
        <f>IF($Z113="","",RANK(AE113,$AE$2:$AE$1001)+COUNTIF($AE$2:AE113,AE113)-1)</f>
        <v/>
      </c>
      <c r="AJ113" s="243" t="str">
        <f>IF($AD113&lt;0,COUNT($AJ$1:AJ112)+1,"")</f>
        <v/>
      </c>
      <c r="AL113" s="243" t="str">
        <f>'All Ticker P&amp;L'!A113</f>
        <v/>
      </c>
      <c r="AM113" s="243" t="str">
        <f>'All Ticker P&amp;L'!B113</f>
        <v/>
      </c>
      <c r="AN113" s="243" t="str">
        <f>'All Ticker P&amp;L'!C113</f>
        <v/>
      </c>
      <c r="AO113" s="243" t="str">
        <f>'All Ticker P&amp;L'!D113</f>
        <v/>
      </c>
      <c r="AP113" s="265">
        <f>IF($AL113="",0,'All Ticker P&amp;L'!E113)</f>
        <v>0</v>
      </c>
      <c r="AQ113" s="266">
        <f>IF($AL113="",0,'All Ticker P&amp;L'!J113*'All Ticker P&amp;L'!I113)</f>
        <v>0</v>
      </c>
      <c r="AR113" s="266">
        <f>IF($AL113="",0,'All Ticker P&amp;L'!L113)</f>
        <v>0</v>
      </c>
      <c r="AS113" s="267">
        <f>IF($AL113="",0,'All Ticker P&amp;L'!M113)</f>
        <v>0</v>
      </c>
      <c r="AT113" s="243" t="str">
        <f>IF($AL113="","",RANK(AR113,$AR$2:$AR$1001)+COUNTIF($AR$2:AR113,AR113)-1)</f>
        <v/>
      </c>
      <c r="AU113" s="243" t="str">
        <f>IF($AL113="","",RANK(AV113,$AV$2:$AV$1001)+COUNTIF($AV$2:AV113,AV113)-1)</f>
        <v/>
      </c>
      <c r="AV113" s="266">
        <f t="shared" si="34"/>
        <v>0</v>
      </c>
    </row>
    <row r="114" spans="26:48" ht="15" customHeight="1" x14ac:dyDescent="0.2">
      <c r="Z114" s="243" t="str">
        <f>Shares!A114</f>
        <v/>
      </c>
      <c r="AA114" s="243" t="str">
        <f>Shares!B114</f>
        <v/>
      </c>
      <c r="AB114" s="243" t="str">
        <f>Shares!C114</f>
        <v/>
      </c>
      <c r="AC114" s="243" t="str">
        <f>Shares!D114</f>
        <v/>
      </c>
      <c r="AD114" s="243">
        <f>IF($Z114="",0,Shares!E114)</f>
        <v>0</v>
      </c>
      <c r="AE114" s="266">
        <f>IF($Z114="",0,Shares!J114*Shares!I114)</f>
        <v>0</v>
      </c>
      <c r="AF114" s="267">
        <f t="shared" si="33"/>
        <v>0</v>
      </c>
      <c r="AG114" s="266">
        <f>IF($Z114="",0,Shares!L114)</f>
        <v>0</v>
      </c>
      <c r="AH114" s="267">
        <f>IF($Z114="",0,Shares!M114)</f>
        <v>0</v>
      </c>
      <c r="AI114" s="243" t="str">
        <f>IF($Z114="","",RANK(AE114,$AE$2:$AE$1001)+COUNTIF($AE$2:AE114,AE114)-1)</f>
        <v/>
      </c>
      <c r="AJ114" s="243" t="str">
        <f>IF($AD114&lt;0,COUNT($AJ$1:AJ113)+1,"")</f>
        <v/>
      </c>
      <c r="AL114" s="243" t="str">
        <f>'All Ticker P&amp;L'!A114</f>
        <v/>
      </c>
      <c r="AM114" s="243" t="str">
        <f>'All Ticker P&amp;L'!B114</f>
        <v/>
      </c>
      <c r="AN114" s="243" t="str">
        <f>'All Ticker P&amp;L'!C114</f>
        <v/>
      </c>
      <c r="AO114" s="243" t="str">
        <f>'All Ticker P&amp;L'!D114</f>
        <v/>
      </c>
      <c r="AP114" s="265">
        <f>IF($AL114="",0,'All Ticker P&amp;L'!E114)</f>
        <v>0</v>
      </c>
      <c r="AQ114" s="266">
        <f>IF($AL114="",0,'All Ticker P&amp;L'!J114*'All Ticker P&amp;L'!I114)</f>
        <v>0</v>
      </c>
      <c r="AR114" s="266">
        <f>IF($AL114="",0,'All Ticker P&amp;L'!L114)</f>
        <v>0</v>
      </c>
      <c r="AS114" s="267">
        <f>IF($AL114="",0,'All Ticker P&amp;L'!M114)</f>
        <v>0</v>
      </c>
      <c r="AT114" s="243" t="str">
        <f>IF($AL114="","",RANK(AR114,$AR$2:$AR$1001)+COUNTIF($AR$2:AR114,AR114)-1)</f>
        <v/>
      </c>
      <c r="AU114" s="243" t="str">
        <f>IF($AL114="","",RANK(AV114,$AV$2:$AV$1001)+COUNTIF($AV$2:AV114,AV114)-1)</f>
        <v/>
      </c>
      <c r="AV114" s="266">
        <f t="shared" si="34"/>
        <v>0</v>
      </c>
    </row>
    <row r="115" spans="26:48" ht="15" customHeight="1" x14ac:dyDescent="0.2">
      <c r="Z115" s="243" t="str">
        <f>Shares!A115</f>
        <v/>
      </c>
      <c r="AA115" s="243" t="str">
        <f>Shares!B115</f>
        <v/>
      </c>
      <c r="AB115" s="243" t="str">
        <f>Shares!C115</f>
        <v/>
      </c>
      <c r="AC115" s="243" t="str">
        <f>Shares!D115</f>
        <v/>
      </c>
      <c r="AD115" s="243">
        <f>IF($Z115="",0,Shares!E115)</f>
        <v>0</v>
      </c>
      <c r="AE115" s="266">
        <f>IF($Z115="",0,Shares!J115*Shares!I115)</f>
        <v>0</v>
      </c>
      <c r="AF115" s="267">
        <f t="shared" si="33"/>
        <v>0</v>
      </c>
      <c r="AG115" s="266">
        <f>IF($Z115="",0,Shares!L115)</f>
        <v>0</v>
      </c>
      <c r="AH115" s="267">
        <f>IF($Z115="",0,Shares!M115)</f>
        <v>0</v>
      </c>
      <c r="AI115" s="243" t="str">
        <f>IF($Z115="","",RANK(AE115,$AE$2:$AE$1001)+COUNTIF($AE$2:AE115,AE115)-1)</f>
        <v/>
      </c>
      <c r="AJ115" s="243" t="str">
        <f>IF($AD115&lt;0,COUNT($AJ$1:AJ114)+1,"")</f>
        <v/>
      </c>
      <c r="AL115" s="243" t="str">
        <f>'All Ticker P&amp;L'!A115</f>
        <v/>
      </c>
      <c r="AM115" s="243" t="str">
        <f>'All Ticker P&amp;L'!B115</f>
        <v/>
      </c>
      <c r="AN115" s="243" t="str">
        <f>'All Ticker P&amp;L'!C115</f>
        <v/>
      </c>
      <c r="AO115" s="243" t="str">
        <f>'All Ticker P&amp;L'!D115</f>
        <v/>
      </c>
      <c r="AP115" s="265">
        <f>IF($AL115="",0,'All Ticker P&amp;L'!E115)</f>
        <v>0</v>
      </c>
      <c r="AQ115" s="266">
        <f>IF($AL115="",0,'All Ticker P&amp;L'!J115*'All Ticker P&amp;L'!I115)</f>
        <v>0</v>
      </c>
      <c r="AR115" s="266">
        <f>IF($AL115="",0,'All Ticker P&amp;L'!L115)</f>
        <v>0</v>
      </c>
      <c r="AS115" s="267">
        <f>IF($AL115="",0,'All Ticker P&amp;L'!M115)</f>
        <v>0</v>
      </c>
      <c r="AT115" s="243" t="str">
        <f>IF($AL115="","",RANK(AR115,$AR$2:$AR$1001)+COUNTIF($AR$2:AR115,AR115)-1)</f>
        <v/>
      </c>
      <c r="AU115" s="243" t="str">
        <f>IF($AL115="","",RANK(AV115,$AV$2:$AV$1001)+COUNTIF($AV$2:AV115,AV115)-1)</f>
        <v/>
      </c>
      <c r="AV115" s="266">
        <f t="shared" si="34"/>
        <v>0</v>
      </c>
    </row>
    <row r="116" spans="26:48" ht="15" customHeight="1" x14ac:dyDescent="0.2">
      <c r="Z116" s="243" t="str">
        <f>Shares!A116</f>
        <v/>
      </c>
      <c r="AA116" s="243" t="str">
        <f>Shares!B116</f>
        <v/>
      </c>
      <c r="AB116" s="243" t="str">
        <f>Shares!C116</f>
        <v/>
      </c>
      <c r="AC116" s="243" t="str">
        <f>Shares!D116</f>
        <v/>
      </c>
      <c r="AD116" s="243">
        <f>IF($Z116="",0,Shares!E116)</f>
        <v>0</v>
      </c>
      <c r="AE116" s="266">
        <f>IF($Z116="",0,Shares!J116*Shares!I116)</f>
        <v>0</v>
      </c>
      <c r="AF116" s="267">
        <f t="shared" si="33"/>
        <v>0</v>
      </c>
      <c r="AG116" s="266">
        <f>IF($Z116="",0,Shares!L116)</f>
        <v>0</v>
      </c>
      <c r="AH116" s="267">
        <f>IF($Z116="",0,Shares!M116)</f>
        <v>0</v>
      </c>
      <c r="AI116" s="243" t="str">
        <f>IF($Z116="","",RANK(AE116,$AE$2:$AE$1001)+COUNTIF($AE$2:AE116,AE116)-1)</f>
        <v/>
      </c>
      <c r="AJ116" s="243" t="str">
        <f>IF($AD116&lt;0,COUNT($AJ$1:AJ115)+1,"")</f>
        <v/>
      </c>
      <c r="AL116" s="243" t="str">
        <f>'All Ticker P&amp;L'!A116</f>
        <v/>
      </c>
      <c r="AM116" s="243" t="str">
        <f>'All Ticker P&amp;L'!B116</f>
        <v/>
      </c>
      <c r="AN116" s="243" t="str">
        <f>'All Ticker P&amp;L'!C116</f>
        <v/>
      </c>
      <c r="AO116" s="243" t="str">
        <f>'All Ticker P&amp;L'!D116</f>
        <v/>
      </c>
      <c r="AP116" s="265">
        <f>IF($AL116="",0,'All Ticker P&amp;L'!E116)</f>
        <v>0</v>
      </c>
      <c r="AQ116" s="266">
        <f>IF($AL116="",0,'All Ticker P&amp;L'!J116*'All Ticker P&amp;L'!I116)</f>
        <v>0</v>
      </c>
      <c r="AR116" s="266">
        <f>IF($AL116="",0,'All Ticker P&amp;L'!L116)</f>
        <v>0</v>
      </c>
      <c r="AS116" s="267">
        <f>IF($AL116="",0,'All Ticker P&amp;L'!M116)</f>
        <v>0</v>
      </c>
      <c r="AT116" s="243" t="str">
        <f>IF($AL116="","",RANK(AR116,$AR$2:$AR$1001)+COUNTIF($AR$2:AR116,AR116)-1)</f>
        <v/>
      </c>
      <c r="AU116" s="243" t="str">
        <f>IF($AL116="","",RANK(AV116,$AV$2:$AV$1001)+COUNTIF($AV$2:AV116,AV116)-1)</f>
        <v/>
      </c>
      <c r="AV116" s="266">
        <f t="shared" si="34"/>
        <v>0</v>
      </c>
    </row>
    <row r="117" spans="26:48" ht="15" customHeight="1" x14ac:dyDescent="0.2">
      <c r="Z117" s="243" t="str">
        <f>Shares!A117</f>
        <v/>
      </c>
      <c r="AA117" s="243" t="str">
        <f>Shares!B117</f>
        <v/>
      </c>
      <c r="AB117" s="243" t="str">
        <f>Shares!C117</f>
        <v/>
      </c>
      <c r="AC117" s="243" t="str">
        <f>Shares!D117</f>
        <v/>
      </c>
      <c r="AD117" s="243">
        <f>IF($Z117="",0,Shares!E117)</f>
        <v>0</v>
      </c>
      <c r="AE117" s="266">
        <f>IF($Z117="",0,Shares!J117*Shares!I117)</f>
        <v>0</v>
      </c>
      <c r="AF117" s="267">
        <f t="shared" si="33"/>
        <v>0</v>
      </c>
      <c r="AG117" s="266">
        <f>IF($Z117="",0,Shares!L117)</f>
        <v>0</v>
      </c>
      <c r="AH117" s="267">
        <f>IF($Z117="",0,Shares!M117)</f>
        <v>0</v>
      </c>
      <c r="AI117" s="243" t="str">
        <f>IF($Z117="","",RANK(AE117,$AE$2:$AE$1001)+COUNTIF($AE$2:AE117,AE117)-1)</f>
        <v/>
      </c>
      <c r="AJ117" s="243" t="str">
        <f>IF($AD117&lt;0,COUNT($AJ$1:AJ116)+1,"")</f>
        <v/>
      </c>
      <c r="AL117" s="243" t="str">
        <f>'All Ticker P&amp;L'!A117</f>
        <v/>
      </c>
      <c r="AM117" s="243" t="str">
        <f>'All Ticker P&amp;L'!B117</f>
        <v/>
      </c>
      <c r="AN117" s="243" t="str">
        <f>'All Ticker P&amp;L'!C117</f>
        <v/>
      </c>
      <c r="AO117" s="243" t="str">
        <f>'All Ticker P&amp;L'!D117</f>
        <v/>
      </c>
      <c r="AP117" s="243">
        <f>IF($AL117="",0,'All Ticker P&amp;L'!E117)</f>
        <v>0</v>
      </c>
      <c r="AQ117" s="266">
        <f>IF($AL117="",0,'All Ticker P&amp;L'!J117*'All Ticker P&amp;L'!I117)</f>
        <v>0</v>
      </c>
      <c r="AR117" s="266">
        <f>IF($AL117="",0,'All Ticker P&amp;L'!L117)</f>
        <v>0</v>
      </c>
      <c r="AS117" s="267">
        <f>IF($AL117="",0,'All Ticker P&amp;L'!M117)</f>
        <v>0</v>
      </c>
      <c r="AT117" s="243" t="str">
        <f>IF($AL117="","",RANK(AR117,$AR$2:$AR$1001)+COUNTIF($AR$2:AR117,AR117)-1)</f>
        <v/>
      </c>
      <c r="AU117" s="243" t="str">
        <f>IF($AL117="","",RANK(AV117,$AV$2:$AV$1001)+COUNTIF($AV$2:AV117,AV117)-1)</f>
        <v/>
      </c>
      <c r="AV117" s="266">
        <f t="shared" si="34"/>
        <v>0</v>
      </c>
    </row>
    <row r="118" spans="26:48" ht="15" customHeight="1" x14ac:dyDescent="0.2">
      <c r="Z118" s="243" t="str">
        <f>Shares!A118</f>
        <v/>
      </c>
      <c r="AA118" s="243" t="str">
        <f>Shares!B118</f>
        <v/>
      </c>
      <c r="AB118" s="243" t="str">
        <f>Shares!C118</f>
        <v/>
      </c>
      <c r="AC118" s="243" t="str">
        <f>Shares!D118</f>
        <v/>
      </c>
      <c r="AD118" s="243">
        <f>IF($Z118="",0,Shares!E118)</f>
        <v>0</v>
      </c>
      <c r="AE118" s="266">
        <f>IF($Z118="",0,Shares!J118*Shares!I118)</f>
        <v>0</v>
      </c>
      <c r="AF118" s="267">
        <f t="shared" si="33"/>
        <v>0</v>
      </c>
      <c r="AG118" s="266">
        <f>IF($Z118="",0,Shares!L118)</f>
        <v>0</v>
      </c>
      <c r="AH118" s="267">
        <f>IF($Z118="",0,Shares!M118)</f>
        <v>0</v>
      </c>
      <c r="AI118" s="243" t="str">
        <f>IF($Z118="","",RANK(AE118,$AE$2:$AE$1001)+COUNTIF($AE$2:AE118,AE118)-1)</f>
        <v/>
      </c>
      <c r="AJ118" s="243" t="str">
        <f>IF($AD118&lt;0,COUNT($AJ$1:AJ117)+1,"")</f>
        <v/>
      </c>
      <c r="AL118" s="243" t="str">
        <f>'All Ticker P&amp;L'!A118</f>
        <v/>
      </c>
      <c r="AM118" s="243" t="str">
        <f>'All Ticker P&amp;L'!B118</f>
        <v/>
      </c>
      <c r="AN118" s="243" t="str">
        <f>'All Ticker P&amp;L'!C118</f>
        <v/>
      </c>
      <c r="AO118" s="243" t="str">
        <f>'All Ticker P&amp;L'!D118</f>
        <v/>
      </c>
      <c r="AP118" s="243">
        <f>IF($AL118="",0,'All Ticker P&amp;L'!E118)</f>
        <v>0</v>
      </c>
      <c r="AQ118" s="266">
        <f>IF($AL118="",0,'All Ticker P&amp;L'!J118*'All Ticker P&amp;L'!I118)</f>
        <v>0</v>
      </c>
      <c r="AR118" s="266">
        <f>IF($AL118="",0,'All Ticker P&amp;L'!L118)</f>
        <v>0</v>
      </c>
      <c r="AS118" s="267">
        <f>IF($AL118="",0,'All Ticker P&amp;L'!M118)</f>
        <v>0</v>
      </c>
      <c r="AT118" s="243" t="str">
        <f>IF($AL118="","",RANK(AR118,$AR$2:$AR$1001)+COUNTIF($AR$2:AR118,AR118)-1)</f>
        <v/>
      </c>
      <c r="AU118" s="243" t="str">
        <f>IF($AL118="","",RANK(AV118,$AV$2:$AV$1001)+COUNTIF($AV$2:AV118,AV118)-1)</f>
        <v/>
      </c>
      <c r="AV118" s="266">
        <f t="shared" si="34"/>
        <v>0</v>
      </c>
    </row>
    <row r="119" spans="26:48" ht="15" customHeight="1" x14ac:dyDescent="0.2">
      <c r="Z119" s="243" t="str">
        <f>Shares!A119</f>
        <v/>
      </c>
      <c r="AA119" s="243" t="str">
        <f>Shares!B119</f>
        <v/>
      </c>
      <c r="AB119" s="243" t="str">
        <f>Shares!C119</f>
        <v/>
      </c>
      <c r="AC119" s="243" t="str">
        <f>Shares!D119</f>
        <v/>
      </c>
      <c r="AD119" s="243">
        <f>IF($Z119="",0,Shares!E119)</f>
        <v>0</v>
      </c>
      <c r="AE119" s="266">
        <f>IF($Z119="",0,Shares!J119*Shares!I119)</f>
        <v>0</v>
      </c>
      <c r="AF119" s="267">
        <f t="shared" si="33"/>
        <v>0</v>
      </c>
      <c r="AG119" s="266">
        <f>IF($Z119="",0,Shares!L119)</f>
        <v>0</v>
      </c>
      <c r="AH119" s="267">
        <f>IF($Z119="",0,Shares!M119)</f>
        <v>0</v>
      </c>
      <c r="AI119" s="243" t="str">
        <f>IF($Z119="","",RANK(AE119,$AE$2:$AE$1001)+COUNTIF($AE$2:AE119,AE119)-1)</f>
        <v/>
      </c>
      <c r="AJ119" s="243" t="str">
        <f>IF($AD119&lt;0,COUNT($AJ$1:AJ118)+1,"")</f>
        <v/>
      </c>
      <c r="AL119" s="243" t="str">
        <f>'All Ticker P&amp;L'!A119</f>
        <v/>
      </c>
      <c r="AM119" s="243" t="str">
        <f>'All Ticker P&amp;L'!B119</f>
        <v/>
      </c>
      <c r="AN119" s="243" t="str">
        <f>'All Ticker P&amp;L'!C119</f>
        <v/>
      </c>
      <c r="AO119" s="243" t="str">
        <f>'All Ticker P&amp;L'!D119</f>
        <v/>
      </c>
      <c r="AP119" s="243">
        <f>IF($AL119="",0,'All Ticker P&amp;L'!E119)</f>
        <v>0</v>
      </c>
      <c r="AQ119" s="266">
        <f>IF($AL119="",0,'All Ticker P&amp;L'!J119*'All Ticker P&amp;L'!I119)</f>
        <v>0</v>
      </c>
      <c r="AR119" s="266">
        <f>IF($AL119="",0,'All Ticker P&amp;L'!L119)</f>
        <v>0</v>
      </c>
      <c r="AS119" s="267">
        <f>IF($AL119="",0,'All Ticker P&amp;L'!M119)</f>
        <v>0</v>
      </c>
      <c r="AT119" s="243" t="str">
        <f>IF($AL119="","",RANK(AR119,$AR$2:$AR$1001)+COUNTIF($AR$2:AR119,AR119)-1)</f>
        <v/>
      </c>
      <c r="AU119" s="243" t="str">
        <f>IF($AL119="","",RANK(AV119,$AV$2:$AV$1001)+COUNTIF($AV$2:AV119,AV119)-1)</f>
        <v/>
      </c>
      <c r="AV119" s="266">
        <f t="shared" si="34"/>
        <v>0</v>
      </c>
    </row>
    <row r="120" spans="26:48" ht="15" customHeight="1" x14ac:dyDescent="0.2">
      <c r="Z120" s="243" t="str">
        <f>Shares!A120</f>
        <v/>
      </c>
      <c r="AA120" s="243" t="str">
        <f>Shares!B120</f>
        <v/>
      </c>
      <c r="AB120" s="243" t="str">
        <f>Shares!C120</f>
        <v/>
      </c>
      <c r="AC120" s="243" t="str">
        <f>Shares!D120</f>
        <v/>
      </c>
      <c r="AD120" s="243">
        <f>IF($Z120="",0,Shares!E120)</f>
        <v>0</v>
      </c>
      <c r="AE120" s="266">
        <f>IF($Z120="",0,Shares!J120*Shares!I120)</f>
        <v>0</v>
      </c>
      <c r="AF120" s="267">
        <f t="shared" si="33"/>
        <v>0</v>
      </c>
      <c r="AG120" s="266">
        <f>IF($Z120="",0,Shares!L120)</f>
        <v>0</v>
      </c>
      <c r="AH120" s="267">
        <f>IF($Z120="",0,Shares!M120)</f>
        <v>0</v>
      </c>
      <c r="AI120" s="243" t="str">
        <f>IF($Z120="","",RANK(AE120,$AE$2:$AE$1001)+COUNTIF($AE$2:AE120,AE120)-1)</f>
        <v/>
      </c>
      <c r="AJ120" s="243" t="str">
        <f>IF($AD120&lt;0,COUNT($AJ$1:AJ119)+1,"")</f>
        <v/>
      </c>
      <c r="AL120" s="243" t="str">
        <f>'All Ticker P&amp;L'!A120</f>
        <v/>
      </c>
      <c r="AM120" s="243" t="str">
        <f>'All Ticker P&amp;L'!B120</f>
        <v/>
      </c>
      <c r="AN120" s="243" t="str">
        <f>'All Ticker P&amp;L'!C120</f>
        <v/>
      </c>
      <c r="AO120" s="243" t="str">
        <f>'All Ticker P&amp;L'!D120</f>
        <v/>
      </c>
      <c r="AP120" s="243">
        <f>IF($AL120="",0,'All Ticker P&amp;L'!E120)</f>
        <v>0</v>
      </c>
      <c r="AQ120" s="266">
        <f>IF($AL120="",0,'All Ticker P&amp;L'!J120*'All Ticker P&amp;L'!I120)</f>
        <v>0</v>
      </c>
      <c r="AR120" s="266">
        <f>IF($AL120="",0,'All Ticker P&amp;L'!L120)</f>
        <v>0</v>
      </c>
      <c r="AS120" s="267">
        <f>IF($AL120="",0,'All Ticker P&amp;L'!M120)</f>
        <v>0</v>
      </c>
      <c r="AT120" s="243" t="str">
        <f>IF($AL120="","",RANK(AR120,$AR$2:$AR$1001)+COUNTIF($AR$2:AR120,AR120)-1)</f>
        <v/>
      </c>
      <c r="AU120" s="243" t="str">
        <f>IF($AL120="","",RANK(AV120,$AV$2:$AV$1001)+COUNTIF($AV$2:AV120,AV120)-1)</f>
        <v/>
      </c>
      <c r="AV120" s="266">
        <f t="shared" si="34"/>
        <v>0</v>
      </c>
    </row>
    <row r="121" spans="26:48" ht="15" customHeight="1" x14ac:dyDescent="0.2">
      <c r="Z121" s="243" t="str">
        <f>Shares!A121</f>
        <v/>
      </c>
      <c r="AA121" s="243" t="str">
        <f>Shares!B121</f>
        <v/>
      </c>
      <c r="AB121" s="243" t="str">
        <f>Shares!C121</f>
        <v/>
      </c>
      <c r="AC121" s="243" t="str">
        <f>Shares!D121</f>
        <v/>
      </c>
      <c r="AD121" s="243">
        <f>IF($Z121="",0,Shares!E121)</f>
        <v>0</v>
      </c>
      <c r="AE121" s="266">
        <f>IF($Z121="",0,Shares!J121*Shares!I121)</f>
        <v>0</v>
      </c>
      <c r="AF121" s="267">
        <f t="shared" si="33"/>
        <v>0</v>
      </c>
      <c r="AG121" s="266">
        <f>IF($Z121="",0,Shares!L121)</f>
        <v>0</v>
      </c>
      <c r="AH121" s="267">
        <f>IF($Z121="",0,Shares!M121)</f>
        <v>0</v>
      </c>
      <c r="AI121" s="243" t="str">
        <f>IF($Z121="","",RANK(AE121,$AE$2:$AE$1001)+COUNTIF($AE$2:AE121,AE121)-1)</f>
        <v/>
      </c>
      <c r="AJ121" s="243" t="str">
        <f>IF($AD121&lt;0,COUNT($AJ$1:AJ120)+1,"")</f>
        <v/>
      </c>
      <c r="AL121" s="243" t="str">
        <f>'All Ticker P&amp;L'!A121</f>
        <v/>
      </c>
      <c r="AM121" s="243" t="str">
        <f>'All Ticker P&amp;L'!B121</f>
        <v/>
      </c>
      <c r="AN121" s="243" t="str">
        <f>'All Ticker P&amp;L'!C121</f>
        <v/>
      </c>
      <c r="AO121" s="243" t="str">
        <f>'All Ticker P&amp;L'!D121</f>
        <v/>
      </c>
      <c r="AP121" s="243">
        <f>IF($AL121="",0,'All Ticker P&amp;L'!E121)</f>
        <v>0</v>
      </c>
      <c r="AQ121" s="266">
        <f>IF($AL121="",0,'All Ticker P&amp;L'!J121*'All Ticker P&amp;L'!I121)</f>
        <v>0</v>
      </c>
      <c r="AR121" s="266">
        <f>IF($AL121="",0,'All Ticker P&amp;L'!L121)</f>
        <v>0</v>
      </c>
      <c r="AS121" s="267">
        <f>IF($AL121="",0,'All Ticker P&amp;L'!M121)</f>
        <v>0</v>
      </c>
      <c r="AT121" s="243" t="str">
        <f>IF($AL121="","",RANK(AR121,$AR$2:$AR$1001)+COUNTIF($AR$2:AR121,AR121)-1)</f>
        <v/>
      </c>
      <c r="AU121" s="243" t="str">
        <f>IF($AL121="","",RANK(AV121,$AV$2:$AV$1001)+COUNTIF($AV$2:AV121,AV121)-1)</f>
        <v/>
      </c>
      <c r="AV121" s="266">
        <f t="shared" si="34"/>
        <v>0</v>
      </c>
    </row>
    <row r="122" spans="26:48" ht="15" customHeight="1" x14ac:dyDescent="0.2">
      <c r="Z122" s="243" t="str">
        <f>Shares!A122</f>
        <v/>
      </c>
      <c r="AA122" s="243" t="str">
        <f>Shares!B122</f>
        <v/>
      </c>
      <c r="AB122" s="243" t="str">
        <f>Shares!C122</f>
        <v/>
      </c>
      <c r="AC122" s="243" t="str">
        <f>Shares!D122</f>
        <v/>
      </c>
      <c r="AD122" s="243">
        <f>IF($Z122="",0,Shares!E122)</f>
        <v>0</v>
      </c>
      <c r="AE122" s="266">
        <f>IF($Z122="",0,Shares!J122*Shares!I122)</f>
        <v>0</v>
      </c>
      <c r="AF122" s="267">
        <f t="shared" si="33"/>
        <v>0</v>
      </c>
      <c r="AG122" s="266">
        <f>IF($Z122="",0,Shares!L122)</f>
        <v>0</v>
      </c>
      <c r="AH122" s="267">
        <f>IF($Z122="",0,Shares!M122)</f>
        <v>0</v>
      </c>
      <c r="AI122" s="243" t="str">
        <f>IF($Z122="","",RANK(AE122,$AE$2:$AE$1001)+COUNTIF($AE$2:AE122,AE122)-1)</f>
        <v/>
      </c>
      <c r="AJ122" s="243" t="str">
        <f>IF($AD122&lt;0,COUNT($AJ$1:AJ121)+1,"")</f>
        <v/>
      </c>
      <c r="AL122" s="243" t="str">
        <f>'All Ticker P&amp;L'!A122</f>
        <v/>
      </c>
      <c r="AM122" s="243" t="str">
        <f>'All Ticker P&amp;L'!B122</f>
        <v/>
      </c>
      <c r="AN122" s="243" t="str">
        <f>'All Ticker P&amp;L'!C122</f>
        <v/>
      </c>
      <c r="AO122" s="243" t="str">
        <f>'All Ticker P&amp;L'!D122</f>
        <v/>
      </c>
      <c r="AP122" s="243">
        <f>IF($AL122="",0,'All Ticker P&amp;L'!E122)</f>
        <v>0</v>
      </c>
      <c r="AQ122" s="266">
        <f>IF($AL122="",0,'All Ticker P&amp;L'!J122*'All Ticker P&amp;L'!I122)</f>
        <v>0</v>
      </c>
      <c r="AR122" s="266">
        <f>IF($AL122="",0,'All Ticker P&amp;L'!L122)</f>
        <v>0</v>
      </c>
      <c r="AS122" s="267">
        <f>IF($AL122="",0,'All Ticker P&amp;L'!M122)</f>
        <v>0</v>
      </c>
      <c r="AT122" s="243" t="str">
        <f>IF($AL122="","",RANK(AR122,$AR$2:$AR$1001)+COUNTIF($AR$2:AR122,AR122)-1)</f>
        <v/>
      </c>
      <c r="AU122" s="243" t="str">
        <f>IF($AL122="","",RANK(AV122,$AV$2:$AV$1001)+COUNTIF($AV$2:AV122,AV122)-1)</f>
        <v/>
      </c>
      <c r="AV122" s="266">
        <f t="shared" si="34"/>
        <v>0</v>
      </c>
    </row>
    <row r="123" spans="26:48" ht="15" customHeight="1" x14ac:dyDescent="0.2">
      <c r="Z123" s="243" t="str">
        <f>Shares!A123</f>
        <v/>
      </c>
      <c r="AA123" s="243" t="str">
        <f>Shares!B123</f>
        <v/>
      </c>
      <c r="AB123" s="243" t="str">
        <f>Shares!C123</f>
        <v/>
      </c>
      <c r="AC123" s="243" t="str">
        <f>Shares!D123</f>
        <v/>
      </c>
      <c r="AD123" s="243">
        <f>IF($Z123="",0,Shares!E123)</f>
        <v>0</v>
      </c>
      <c r="AE123" s="266">
        <f>IF($Z123="",0,Shares!J123*Shares!I123)</f>
        <v>0</v>
      </c>
      <c r="AF123" s="267">
        <f t="shared" si="33"/>
        <v>0</v>
      </c>
      <c r="AG123" s="266">
        <f>IF($Z123="",0,Shares!L123)</f>
        <v>0</v>
      </c>
      <c r="AH123" s="267">
        <f>IF($Z123="",0,Shares!M123)</f>
        <v>0</v>
      </c>
      <c r="AI123" s="243" t="str">
        <f>IF($Z123="","",RANK(AE123,$AE$2:$AE$1001)+COUNTIF($AE$2:AE123,AE123)-1)</f>
        <v/>
      </c>
      <c r="AJ123" s="243" t="str">
        <f>IF($AD123&lt;0,COUNT($AJ$1:AJ122)+1,"")</f>
        <v/>
      </c>
      <c r="AL123" s="243" t="str">
        <f>'All Ticker P&amp;L'!A123</f>
        <v/>
      </c>
      <c r="AM123" s="243" t="str">
        <f>'All Ticker P&amp;L'!B123</f>
        <v/>
      </c>
      <c r="AN123" s="243" t="str">
        <f>'All Ticker P&amp;L'!C123</f>
        <v/>
      </c>
      <c r="AO123" s="243" t="str">
        <f>'All Ticker P&amp;L'!D123</f>
        <v/>
      </c>
      <c r="AP123" s="243">
        <f>IF($AL123="",0,'All Ticker P&amp;L'!E123)</f>
        <v>0</v>
      </c>
      <c r="AQ123" s="266">
        <f>IF($AL123="",0,'All Ticker P&amp;L'!J123*'All Ticker P&amp;L'!I123)</f>
        <v>0</v>
      </c>
      <c r="AR123" s="266">
        <f>IF($AL123="",0,'All Ticker P&amp;L'!L123)</f>
        <v>0</v>
      </c>
      <c r="AS123" s="267">
        <f>IF($AL123="",0,'All Ticker P&amp;L'!M123)</f>
        <v>0</v>
      </c>
      <c r="AT123" s="243" t="str">
        <f>IF($AL123="","",RANK(AR123,$AR$2:$AR$1001)+COUNTIF($AR$2:AR123,AR123)-1)</f>
        <v/>
      </c>
      <c r="AU123" s="243" t="str">
        <f>IF($AL123="","",RANK(AV123,$AV$2:$AV$1001)+COUNTIF($AV$2:AV123,AV123)-1)</f>
        <v/>
      </c>
      <c r="AV123" s="266">
        <f t="shared" si="34"/>
        <v>0</v>
      </c>
    </row>
    <row r="124" spans="26:48" ht="15" customHeight="1" x14ac:dyDescent="0.2">
      <c r="Z124" s="243" t="str">
        <f>Shares!A124</f>
        <v/>
      </c>
      <c r="AA124" s="243" t="str">
        <f>Shares!B124</f>
        <v/>
      </c>
      <c r="AB124" s="243" t="str">
        <f>Shares!C124</f>
        <v/>
      </c>
      <c r="AC124" s="243" t="str">
        <f>Shares!D124</f>
        <v/>
      </c>
      <c r="AD124" s="243">
        <f>IF($Z124="",0,Shares!E124)</f>
        <v>0</v>
      </c>
      <c r="AE124" s="266">
        <f>IF($Z124="",0,Shares!J124*Shares!I124)</f>
        <v>0</v>
      </c>
      <c r="AF124" s="267">
        <f t="shared" si="33"/>
        <v>0</v>
      </c>
      <c r="AG124" s="266">
        <f>IF($Z124="",0,Shares!L124)</f>
        <v>0</v>
      </c>
      <c r="AH124" s="267">
        <f>IF($Z124="",0,Shares!M124)</f>
        <v>0</v>
      </c>
      <c r="AI124" s="243" t="str">
        <f>IF($Z124="","",RANK(AE124,$AE$2:$AE$1001)+COUNTIF($AE$2:AE124,AE124)-1)</f>
        <v/>
      </c>
      <c r="AJ124" s="243" t="str">
        <f>IF($AD124&lt;0,COUNT($AJ$1:AJ123)+1,"")</f>
        <v/>
      </c>
      <c r="AL124" s="243" t="str">
        <f>'All Ticker P&amp;L'!A124</f>
        <v/>
      </c>
      <c r="AM124" s="243" t="str">
        <f>'All Ticker P&amp;L'!B124</f>
        <v/>
      </c>
      <c r="AN124" s="243" t="str">
        <f>'All Ticker P&amp;L'!C124</f>
        <v/>
      </c>
      <c r="AO124" s="243" t="str">
        <f>'All Ticker P&amp;L'!D124</f>
        <v/>
      </c>
      <c r="AP124" s="243">
        <f>IF($AL124="",0,'All Ticker P&amp;L'!E124)</f>
        <v>0</v>
      </c>
      <c r="AQ124" s="266">
        <f>IF($AL124="",0,'All Ticker P&amp;L'!J124*'All Ticker P&amp;L'!I124)</f>
        <v>0</v>
      </c>
      <c r="AR124" s="266">
        <f>IF($AL124="",0,'All Ticker P&amp;L'!L124)</f>
        <v>0</v>
      </c>
      <c r="AS124" s="267">
        <f>IF($AL124="",0,'All Ticker P&amp;L'!M124)</f>
        <v>0</v>
      </c>
      <c r="AT124" s="243" t="str">
        <f>IF($AL124="","",RANK(AR124,$AR$2:$AR$1001)+COUNTIF($AR$2:AR124,AR124)-1)</f>
        <v/>
      </c>
      <c r="AU124" s="243" t="str">
        <f>IF($AL124="","",RANK(AV124,$AV$2:$AV$1001)+COUNTIF($AV$2:AV124,AV124)-1)</f>
        <v/>
      </c>
      <c r="AV124" s="266">
        <f t="shared" si="34"/>
        <v>0</v>
      </c>
    </row>
    <row r="125" spans="26:48" ht="15" customHeight="1" x14ac:dyDescent="0.2">
      <c r="Z125" s="243" t="str">
        <f>Shares!A125</f>
        <v/>
      </c>
      <c r="AA125" s="243" t="str">
        <f>Shares!B125</f>
        <v/>
      </c>
      <c r="AB125" s="243" t="str">
        <f>Shares!C125</f>
        <v/>
      </c>
      <c r="AC125" s="243" t="str">
        <f>Shares!D125</f>
        <v/>
      </c>
      <c r="AD125" s="243">
        <f>IF($Z125="",0,Shares!E125)</f>
        <v>0</v>
      </c>
      <c r="AE125" s="266">
        <f>IF($Z125="",0,Shares!J125*Shares!I125)</f>
        <v>0</v>
      </c>
      <c r="AF125" s="267">
        <f t="shared" si="33"/>
        <v>0</v>
      </c>
      <c r="AG125" s="266">
        <f>IF($Z125="",0,Shares!L125)</f>
        <v>0</v>
      </c>
      <c r="AH125" s="267">
        <f>IF($Z125="",0,Shares!M125)</f>
        <v>0</v>
      </c>
      <c r="AI125" s="243" t="str">
        <f>IF($Z125="","",RANK(AE125,$AE$2:$AE$1001)+COUNTIF($AE$2:AE125,AE125)-1)</f>
        <v/>
      </c>
      <c r="AJ125" s="243" t="str">
        <f>IF($AD125&lt;0,COUNT($AJ$1:AJ124)+1,"")</f>
        <v/>
      </c>
      <c r="AL125" s="243" t="str">
        <f>'All Ticker P&amp;L'!A125</f>
        <v/>
      </c>
      <c r="AM125" s="243" t="str">
        <f>'All Ticker P&amp;L'!B125</f>
        <v/>
      </c>
      <c r="AN125" s="243" t="str">
        <f>'All Ticker P&amp;L'!C125</f>
        <v/>
      </c>
      <c r="AO125" s="243" t="str">
        <f>'All Ticker P&amp;L'!D125</f>
        <v/>
      </c>
      <c r="AP125" s="243">
        <f>IF($AL125="",0,'All Ticker P&amp;L'!E125)</f>
        <v>0</v>
      </c>
      <c r="AQ125" s="266">
        <f>IF($AL125="",0,'All Ticker P&amp;L'!J125*'All Ticker P&amp;L'!I125)</f>
        <v>0</v>
      </c>
      <c r="AR125" s="266">
        <f>IF($AL125="",0,'All Ticker P&amp;L'!L125)</f>
        <v>0</v>
      </c>
      <c r="AS125" s="267">
        <f>IF($AL125="",0,'All Ticker P&amp;L'!M125)</f>
        <v>0</v>
      </c>
      <c r="AT125" s="243" t="str">
        <f>IF($AL125="","",RANK(AR125,$AR$2:$AR$1001)+COUNTIF($AR$2:AR125,AR125)-1)</f>
        <v/>
      </c>
      <c r="AU125" s="243" t="str">
        <f>IF($AL125="","",RANK(AV125,$AV$2:$AV$1001)+COUNTIF($AV$2:AV125,AV125)-1)</f>
        <v/>
      </c>
      <c r="AV125" s="266">
        <f t="shared" si="34"/>
        <v>0</v>
      </c>
    </row>
    <row r="126" spans="26:48" ht="15" customHeight="1" x14ac:dyDescent="0.2">
      <c r="Z126" s="243" t="str">
        <f>Shares!A126</f>
        <v/>
      </c>
      <c r="AA126" s="243" t="str">
        <f>Shares!B126</f>
        <v/>
      </c>
      <c r="AB126" s="243" t="str">
        <f>Shares!C126</f>
        <v/>
      </c>
      <c r="AC126" s="243" t="str">
        <f>Shares!D126</f>
        <v/>
      </c>
      <c r="AD126" s="243">
        <f>IF($Z126="",0,Shares!E126)</f>
        <v>0</v>
      </c>
      <c r="AE126" s="266">
        <f>IF($Z126="",0,Shares!J126*Shares!I126)</f>
        <v>0</v>
      </c>
      <c r="AF126" s="267">
        <f t="shared" si="33"/>
        <v>0</v>
      </c>
      <c r="AG126" s="266">
        <f>IF($Z126="",0,Shares!L126)</f>
        <v>0</v>
      </c>
      <c r="AH126" s="267">
        <f>IF($Z126="",0,Shares!M126)</f>
        <v>0</v>
      </c>
      <c r="AI126" s="243" t="str">
        <f>IF($Z126="","",RANK(AE126,$AE$2:$AE$1001)+COUNTIF($AE$2:AE126,AE126)-1)</f>
        <v/>
      </c>
      <c r="AJ126" s="243" t="str">
        <f>IF($AD126&lt;0,COUNT($AJ$1:AJ125)+1,"")</f>
        <v/>
      </c>
      <c r="AL126" s="243" t="str">
        <f>'All Ticker P&amp;L'!A126</f>
        <v/>
      </c>
      <c r="AM126" s="243" t="str">
        <f>'All Ticker P&amp;L'!B126</f>
        <v/>
      </c>
      <c r="AN126" s="243" t="str">
        <f>'All Ticker P&amp;L'!C126</f>
        <v/>
      </c>
      <c r="AO126" s="243" t="str">
        <f>'All Ticker P&amp;L'!D126</f>
        <v/>
      </c>
      <c r="AP126" s="243">
        <f>IF($AL126="",0,'All Ticker P&amp;L'!E126)</f>
        <v>0</v>
      </c>
      <c r="AQ126" s="266">
        <f>IF($AL126="",0,'All Ticker P&amp;L'!J126*'All Ticker P&amp;L'!I126)</f>
        <v>0</v>
      </c>
      <c r="AR126" s="266">
        <f>IF($AL126="",0,'All Ticker P&amp;L'!L126)</f>
        <v>0</v>
      </c>
      <c r="AS126" s="267">
        <f>IF($AL126="",0,'All Ticker P&amp;L'!M126)</f>
        <v>0</v>
      </c>
      <c r="AT126" s="243" t="str">
        <f>IF($AL126="","",RANK(AR126,$AR$2:$AR$1001)+COUNTIF($AR$2:AR126,AR126)-1)</f>
        <v/>
      </c>
      <c r="AU126" s="243" t="str">
        <f>IF($AL126="","",RANK(AV126,$AV$2:$AV$1001)+COUNTIF($AV$2:AV126,AV126)-1)</f>
        <v/>
      </c>
      <c r="AV126" s="266">
        <f t="shared" si="34"/>
        <v>0</v>
      </c>
    </row>
    <row r="127" spans="26:48" ht="15" customHeight="1" x14ac:dyDescent="0.2">
      <c r="Z127" s="243" t="str">
        <f>Shares!A127</f>
        <v/>
      </c>
      <c r="AA127" s="243" t="str">
        <f>Shares!B127</f>
        <v/>
      </c>
      <c r="AB127" s="243" t="str">
        <f>Shares!C127</f>
        <v/>
      </c>
      <c r="AC127" s="243" t="str">
        <f>Shares!D127</f>
        <v/>
      </c>
      <c r="AD127" s="243">
        <f>IF($Z127="",0,Shares!E127)</f>
        <v>0</v>
      </c>
      <c r="AE127" s="266">
        <f>IF($Z127="",0,Shares!J127*Shares!I127)</f>
        <v>0</v>
      </c>
      <c r="AF127" s="267">
        <f t="shared" si="33"/>
        <v>0</v>
      </c>
      <c r="AG127" s="266">
        <f>IF($Z127="",0,Shares!L127)</f>
        <v>0</v>
      </c>
      <c r="AH127" s="267">
        <f>IF($Z127="",0,Shares!M127)</f>
        <v>0</v>
      </c>
      <c r="AI127" s="243" t="str">
        <f>IF($Z127="","",RANK(AE127,$AE$2:$AE$1001)+COUNTIF($AE$2:AE127,AE127)-1)</f>
        <v/>
      </c>
      <c r="AJ127" s="243" t="str">
        <f>IF($AD127&lt;0,COUNT($AJ$1:AJ126)+1,"")</f>
        <v/>
      </c>
      <c r="AL127" s="243" t="str">
        <f>'All Ticker P&amp;L'!A127</f>
        <v/>
      </c>
      <c r="AM127" s="243" t="str">
        <f>'All Ticker P&amp;L'!B127</f>
        <v/>
      </c>
      <c r="AN127" s="243" t="str">
        <f>'All Ticker P&amp;L'!C127</f>
        <v/>
      </c>
      <c r="AO127" s="243" t="str">
        <f>'All Ticker P&amp;L'!D127</f>
        <v/>
      </c>
      <c r="AP127" s="243">
        <f>IF($AL127="",0,'All Ticker P&amp;L'!E127)</f>
        <v>0</v>
      </c>
      <c r="AQ127" s="266">
        <f>IF($AL127="",0,'All Ticker P&amp;L'!J127*'All Ticker P&amp;L'!I127)</f>
        <v>0</v>
      </c>
      <c r="AR127" s="266">
        <f>IF($AL127="",0,'All Ticker P&amp;L'!L127)</f>
        <v>0</v>
      </c>
      <c r="AS127" s="267">
        <f>IF($AL127="",0,'All Ticker P&amp;L'!M127)</f>
        <v>0</v>
      </c>
      <c r="AT127" s="243" t="str">
        <f>IF($AL127="","",RANK(AR127,$AR$2:$AR$1001)+COUNTIF($AR$2:AR127,AR127)-1)</f>
        <v/>
      </c>
      <c r="AU127" s="243" t="str">
        <f>IF($AL127="","",RANK(AV127,$AV$2:$AV$1001)+COUNTIF($AV$2:AV127,AV127)-1)</f>
        <v/>
      </c>
      <c r="AV127" s="266">
        <f t="shared" si="34"/>
        <v>0</v>
      </c>
    </row>
    <row r="128" spans="26:48" ht="15" customHeight="1" x14ac:dyDescent="0.2">
      <c r="Z128" s="243" t="str">
        <f>Shares!A128</f>
        <v/>
      </c>
      <c r="AA128" s="243" t="str">
        <f>Shares!B128</f>
        <v/>
      </c>
      <c r="AB128" s="243" t="str">
        <f>Shares!C128</f>
        <v/>
      </c>
      <c r="AC128" s="243" t="str">
        <f>Shares!D128</f>
        <v/>
      </c>
      <c r="AD128" s="243">
        <f>IF($Z128="",0,Shares!E128)</f>
        <v>0</v>
      </c>
      <c r="AE128" s="266">
        <f>IF($Z128="",0,Shares!J128*Shares!I128)</f>
        <v>0</v>
      </c>
      <c r="AF128" s="267">
        <f t="shared" si="33"/>
        <v>0</v>
      </c>
      <c r="AG128" s="266">
        <f>IF($Z128="",0,Shares!L128)</f>
        <v>0</v>
      </c>
      <c r="AH128" s="267">
        <f>IF($Z128="",0,Shares!M128)</f>
        <v>0</v>
      </c>
      <c r="AI128" s="243" t="str">
        <f>IF($Z128="","",RANK(AE128,$AE$2:$AE$1001)+COUNTIF($AE$2:AE128,AE128)-1)</f>
        <v/>
      </c>
      <c r="AJ128" s="243" t="str">
        <f>IF($AD128&lt;0,COUNT($AJ$1:AJ127)+1,"")</f>
        <v/>
      </c>
      <c r="AL128" s="243" t="str">
        <f>'All Ticker P&amp;L'!A128</f>
        <v/>
      </c>
      <c r="AM128" s="243" t="str">
        <f>'All Ticker P&amp;L'!B128</f>
        <v/>
      </c>
      <c r="AN128" s="243" t="str">
        <f>'All Ticker P&amp;L'!C128</f>
        <v/>
      </c>
      <c r="AO128" s="243" t="str">
        <f>'All Ticker P&amp;L'!D128</f>
        <v/>
      </c>
      <c r="AP128" s="243">
        <f>IF($AL128="",0,'All Ticker P&amp;L'!E128)</f>
        <v>0</v>
      </c>
      <c r="AQ128" s="266">
        <f>IF($AL128="",0,'All Ticker P&amp;L'!J128*'All Ticker P&amp;L'!I128)</f>
        <v>0</v>
      </c>
      <c r="AR128" s="266">
        <f>IF($AL128="",0,'All Ticker P&amp;L'!L128)</f>
        <v>0</v>
      </c>
      <c r="AS128" s="267">
        <f>IF($AL128="",0,'All Ticker P&amp;L'!M128)</f>
        <v>0</v>
      </c>
      <c r="AT128" s="243" t="str">
        <f>IF($AL128="","",RANK(AR128,$AR$2:$AR$1001)+COUNTIF($AR$2:AR128,AR128)-1)</f>
        <v/>
      </c>
      <c r="AU128" s="243" t="str">
        <f>IF($AL128="","",RANK(AV128,$AV$2:$AV$1001)+COUNTIF($AV$2:AV128,AV128)-1)</f>
        <v/>
      </c>
      <c r="AV128" s="266">
        <f t="shared" si="34"/>
        <v>0</v>
      </c>
    </row>
    <row r="129" spans="26:48" ht="15" customHeight="1" x14ac:dyDescent="0.2">
      <c r="Z129" s="243" t="str">
        <f>Shares!A129</f>
        <v/>
      </c>
      <c r="AA129" s="243" t="str">
        <f>Shares!B129</f>
        <v/>
      </c>
      <c r="AB129" s="243" t="str">
        <f>Shares!C129</f>
        <v/>
      </c>
      <c r="AC129" s="243" t="str">
        <f>Shares!D129</f>
        <v/>
      </c>
      <c r="AD129" s="243">
        <f>IF($Z129="",0,Shares!E129)</f>
        <v>0</v>
      </c>
      <c r="AE129" s="266">
        <f>IF($Z129="",0,Shares!J129*Shares!I129)</f>
        <v>0</v>
      </c>
      <c r="AF129" s="267">
        <f t="shared" si="33"/>
        <v>0</v>
      </c>
      <c r="AG129" s="266">
        <f>IF($Z129="",0,Shares!L129)</f>
        <v>0</v>
      </c>
      <c r="AH129" s="267">
        <f>IF($Z129="",0,Shares!M129)</f>
        <v>0</v>
      </c>
      <c r="AI129" s="243" t="str">
        <f>IF($Z129="","",RANK(AE129,$AE$2:$AE$1001)+COUNTIF($AE$2:AE129,AE129)-1)</f>
        <v/>
      </c>
      <c r="AJ129" s="243" t="str">
        <f>IF($AD129&lt;0,COUNT($AJ$1:AJ128)+1,"")</f>
        <v/>
      </c>
      <c r="AL129" s="243" t="str">
        <f>'All Ticker P&amp;L'!A129</f>
        <v/>
      </c>
      <c r="AM129" s="243" t="str">
        <f>'All Ticker P&amp;L'!B129</f>
        <v/>
      </c>
      <c r="AN129" s="243" t="str">
        <f>'All Ticker P&amp;L'!C129</f>
        <v/>
      </c>
      <c r="AO129" s="243" t="str">
        <f>'All Ticker P&amp;L'!D129</f>
        <v/>
      </c>
      <c r="AP129" s="243">
        <f>IF($AL129="",0,'All Ticker P&amp;L'!E129)</f>
        <v>0</v>
      </c>
      <c r="AQ129" s="266">
        <f>IF($AL129="",0,'All Ticker P&amp;L'!J129*'All Ticker P&amp;L'!I129)</f>
        <v>0</v>
      </c>
      <c r="AR129" s="266">
        <f>IF($AL129="",0,'All Ticker P&amp;L'!L129)</f>
        <v>0</v>
      </c>
      <c r="AS129" s="267">
        <f>IF($AL129="",0,'All Ticker P&amp;L'!M129)</f>
        <v>0</v>
      </c>
      <c r="AT129" s="243" t="str">
        <f>IF($AL129="","",RANK(AR129,$AR$2:$AR$1001)+COUNTIF($AR$2:AR129,AR129)-1)</f>
        <v/>
      </c>
      <c r="AU129" s="243" t="str">
        <f>IF($AL129="","",RANK(AV129,$AV$2:$AV$1001)+COUNTIF($AV$2:AV129,AV129)-1)</f>
        <v/>
      </c>
      <c r="AV129" s="266">
        <f t="shared" si="34"/>
        <v>0</v>
      </c>
    </row>
    <row r="130" spans="26:48" ht="15" customHeight="1" x14ac:dyDescent="0.2">
      <c r="Z130" s="243" t="str">
        <f>Shares!A130</f>
        <v/>
      </c>
      <c r="AA130" s="243" t="str">
        <f>Shares!B130</f>
        <v/>
      </c>
      <c r="AB130" s="243" t="str">
        <f>Shares!C130</f>
        <v/>
      </c>
      <c r="AC130" s="243" t="str">
        <f>Shares!D130</f>
        <v/>
      </c>
      <c r="AD130" s="243">
        <f>IF($Z130="",0,Shares!E130)</f>
        <v>0</v>
      </c>
      <c r="AE130" s="266">
        <f>IF($Z130="",0,Shares!J130*Shares!I130)</f>
        <v>0</v>
      </c>
      <c r="AF130" s="267">
        <f t="shared" ref="AF130:AF193" si="35">IFERROR(AE130/$B$5,0)</f>
        <v>0</v>
      </c>
      <c r="AG130" s="266">
        <f>IF($Z130="",0,Shares!L130)</f>
        <v>0</v>
      </c>
      <c r="AH130" s="267">
        <f>IF($Z130="",0,Shares!M130)</f>
        <v>0</v>
      </c>
      <c r="AI130" s="243" t="str">
        <f>IF($Z130="","",RANK(AE130,$AE$2:$AE$1001)+COUNTIF($AE$2:AE130,AE130)-1)</f>
        <v/>
      </c>
      <c r="AJ130" s="243" t="str">
        <f>IF($AD130&lt;0,COUNT($AJ$1:AJ129)+1,"")</f>
        <v/>
      </c>
      <c r="AL130" s="243" t="str">
        <f>'All Ticker P&amp;L'!A130</f>
        <v/>
      </c>
      <c r="AM130" s="243" t="str">
        <f>'All Ticker P&amp;L'!B130</f>
        <v/>
      </c>
      <c r="AN130" s="243" t="str">
        <f>'All Ticker P&amp;L'!C130</f>
        <v/>
      </c>
      <c r="AO130" s="243" t="str">
        <f>'All Ticker P&amp;L'!D130</f>
        <v/>
      </c>
      <c r="AP130" s="243">
        <f>IF($AL130="",0,'All Ticker P&amp;L'!E130)</f>
        <v>0</v>
      </c>
      <c r="AQ130" s="266">
        <f>IF($AL130="",0,'All Ticker P&amp;L'!J130*'All Ticker P&amp;L'!I130)</f>
        <v>0</v>
      </c>
      <c r="AR130" s="266">
        <f>IF($AL130="",0,'All Ticker P&amp;L'!L130)</f>
        <v>0</v>
      </c>
      <c r="AS130" s="267">
        <f>IF($AL130="",0,'All Ticker P&amp;L'!M130)</f>
        <v>0</v>
      </c>
      <c r="AT130" s="243" t="str">
        <f>IF($AL130="","",RANK(AR130,$AR$2:$AR$1001)+COUNTIF($AR$2:AR130,AR130)-1)</f>
        <v/>
      </c>
      <c r="AU130" s="243" t="str">
        <f>IF($AL130="","",RANK(AV130,$AV$2:$AV$1001)+COUNTIF($AV$2:AV130,AV130)-1)</f>
        <v/>
      </c>
      <c r="AV130" s="266">
        <f t="shared" ref="AV130:AV193" si="36">-AR130</f>
        <v>0</v>
      </c>
    </row>
    <row r="131" spans="26:48" ht="15" customHeight="1" x14ac:dyDescent="0.2">
      <c r="Z131" s="243" t="str">
        <f>Shares!A131</f>
        <v/>
      </c>
      <c r="AA131" s="243" t="str">
        <f>Shares!B131</f>
        <v/>
      </c>
      <c r="AB131" s="243" t="str">
        <f>Shares!C131</f>
        <v/>
      </c>
      <c r="AC131" s="243" t="str">
        <f>Shares!D131</f>
        <v/>
      </c>
      <c r="AD131" s="243">
        <f>IF($Z131="",0,Shares!E131)</f>
        <v>0</v>
      </c>
      <c r="AE131" s="266">
        <f>IF($Z131="",0,Shares!J131*Shares!I131)</f>
        <v>0</v>
      </c>
      <c r="AF131" s="267">
        <f t="shared" si="35"/>
        <v>0</v>
      </c>
      <c r="AG131" s="266">
        <f>IF($Z131="",0,Shares!L131)</f>
        <v>0</v>
      </c>
      <c r="AH131" s="267">
        <f>IF($Z131="",0,Shares!M131)</f>
        <v>0</v>
      </c>
      <c r="AI131" s="243" t="str">
        <f>IF($Z131="","",RANK(AE131,$AE$2:$AE$1001)+COUNTIF($AE$2:AE131,AE131)-1)</f>
        <v/>
      </c>
      <c r="AJ131" s="243" t="str">
        <f>IF($AD131&lt;0,COUNT($AJ$1:AJ130)+1,"")</f>
        <v/>
      </c>
      <c r="AL131" s="243" t="str">
        <f>'All Ticker P&amp;L'!A131</f>
        <v/>
      </c>
      <c r="AM131" s="243" t="str">
        <f>'All Ticker P&amp;L'!B131</f>
        <v/>
      </c>
      <c r="AN131" s="243" t="str">
        <f>'All Ticker P&amp;L'!C131</f>
        <v/>
      </c>
      <c r="AO131" s="243" t="str">
        <f>'All Ticker P&amp;L'!D131</f>
        <v/>
      </c>
      <c r="AP131" s="243">
        <f>IF($AL131="",0,'All Ticker P&amp;L'!E131)</f>
        <v>0</v>
      </c>
      <c r="AQ131" s="266">
        <f>IF($AL131="",0,'All Ticker P&amp;L'!J131*'All Ticker P&amp;L'!I131)</f>
        <v>0</v>
      </c>
      <c r="AR131" s="266">
        <f>IF($AL131="",0,'All Ticker P&amp;L'!L131)</f>
        <v>0</v>
      </c>
      <c r="AS131" s="267">
        <f>IF($AL131="",0,'All Ticker P&amp;L'!M131)</f>
        <v>0</v>
      </c>
      <c r="AT131" s="243" t="str">
        <f>IF($AL131="","",RANK(AR131,$AR$2:$AR$1001)+COUNTIF($AR$2:AR131,AR131)-1)</f>
        <v/>
      </c>
      <c r="AU131" s="243" t="str">
        <f>IF($AL131="","",RANK(AV131,$AV$2:$AV$1001)+COUNTIF($AV$2:AV131,AV131)-1)</f>
        <v/>
      </c>
      <c r="AV131" s="266">
        <f t="shared" si="36"/>
        <v>0</v>
      </c>
    </row>
    <row r="132" spans="26:48" ht="15" customHeight="1" x14ac:dyDescent="0.2">
      <c r="Z132" s="243" t="str">
        <f>Shares!A132</f>
        <v/>
      </c>
      <c r="AA132" s="243" t="str">
        <f>Shares!B132</f>
        <v/>
      </c>
      <c r="AB132" s="243" t="str">
        <f>Shares!C132</f>
        <v/>
      </c>
      <c r="AC132" s="243" t="str">
        <f>Shares!D132</f>
        <v/>
      </c>
      <c r="AD132" s="243">
        <f>IF($Z132="",0,Shares!E132)</f>
        <v>0</v>
      </c>
      <c r="AE132" s="266">
        <f>IF($Z132="",0,Shares!J132*Shares!I132)</f>
        <v>0</v>
      </c>
      <c r="AF132" s="267">
        <f t="shared" si="35"/>
        <v>0</v>
      </c>
      <c r="AG132" s="266">
        <f>IF($Z132="",0,Shares!L132)</f>
        <v>0</v>
      </c>
      <c r="AH132" s="267">
        <f>IF($Z132="",0,Shares!M132)</f>
        <v>0</v>
      </c>
      <c r="AI132" s="243" t="str">
        <f>IF($Z132="","",RANK(AE132,$AE$2:$AE$1001)+COUNTIF($AE$2:AE132,AE132)-1)</f>
        <v/>
      </c>
      <c r="AJ132" s="243" t="str">
        <f>IF($AD132&lt;0,COUNT($AJ$1:AJ131)+1,"")</f>
        <v/>
      </c>
      <c r="AL132" s="243" t="str">
        <f>'All Ticker P&amp;L'!A132</f>
        <v/>
      </c>
      <c r="AM132" s="243" t="str">
        <f>'All Ticker P&amp;L'!B132</f>
        <v/>
      </c>
      <c r="AN132" s="243" t="str">
        <f>'All Ticker P&amp;L'!C132</f>
        <v/>
      </c>
      <c r="AO132" s="243" t="str">
        <f>'All Ticker P&amp;L'!D132</f>
        <v/>
      </c>
      <c r="AP132" s="243">
        <f>IF($AL132="",0,'All Ticker P&amp;L'!E132)</f>
        <v>0</v>
      </c>
      <c r="AQ132" s="266">
        <f>IF($AL132="",0,'All Ticker P&amp;L'!J132*'All Ticker P&amp;L'!I132)</f>
        <v>0</v>
      </c>
      <c r="AR132" s="266">
        <f>IF($AL132="",0,'All Ticker P&amp;L'!L132)</f>
        <v>0</v>
      </c>
      <c r="AS132" s="267">
        <f>IF($AL132="",0,'All Ticker P&amp;L'!M132)</f>
        <v>0</v>
      </c>
      <c r="AT132" s="243" t="str">
        <f>IF($AL132="","",RANK(AR132,$AR$2:$AR$1001)+COUNTIF($AR$2:AR132,AR132)-1)</f>
        <v/>
      </c>
      <c r="AU132" s="243" t="str">
        <f>IF($AL132="","",RANK(AV132,$AV$2:$AV$1001)+COUNTIF($AV$2:AV132,AV132)-1)</f>
        <v/>
      </c>
      <c r="AV132" s="266">
        <f t="shared" si="36"/>
        <v>0</v>
      </c>
    </row>
    <row r="133" spans="26:48" ht="15" customHeight="1" x14ac:dyDescent="0.2">
      <c r="Z133" s="243" t="str">
        <f>Shares!A133</f>
        <v/>
      </c>
      <c r="AA133" s="243" t="str">
        <f>Shares!B133</f>
        <v/>
      </c>
      <c r="AB133" s="243" t="str">
        <f>Shares!C133</f>
        <v/>
      </c>
      <c r="AC133" s="243" t="str">
        <f>Shares!D133</f>
        <v/>
      </c>
      <c r="AD133" s="243">
        <f>IF($Z133="",0,Shares!E133)</f>
        <v>0</v>
      </c>
      <c r="AE133" s="266">
        <f>IF($Z133="",0,Shares!J133*Shares!I133)</f>
        <v>0</v>
      </c>
      <c r="AF133" s="267">
        <f t="shared" si="35"/>
        <v>0</v>
      </c>
      <c r="AG133" s="266">
        <f>IF($Z133="",0,Shares!L133)</f>
        <v>0</v>
      </c>
      <c r="AH133" s="267">
        <f>IF($Z133="",0,Shares!M133)</f>
        <v>0</v>
      </c>
      <c r="AI133" s="243" t="str">
        <f>IF($Z133="","",RANK(AE133,$AE$2:$AE$1001)+COUNTIF($AE$2:AE133,AE133)-1)</f>
        <v/>
      </c>
      <c r="AJ133" s="243" t="str">
        <f>IF($AD133&lt;0,COUNT($AJ$1:AJ132)+1,"")</f>
        <v/>
      </c>
      <c r="AL133" s="243" t="str">
        <f>'All Ticker P&amp;L'!A133</f>
        <v/>
      </c>
      <c r="AM133" s="243" t="str">
        <f>'All Ticker P&amp;L'!B133</f>
        <v/>
      </c>
      <c r="AN133" s="243" t="str">
        <f>'All Ticker P&amp;L'!C133</f>
        <v/>
      </c>
      <c r="AO133" s="243" t="str">
        <f>'All Ticker P&amp;L'!D133</f>
        <v/>
      </c>
      <c r="AP133" s="243">
        <f>IF($AL133="",0,'All Ticker P&amp;L'!E133)</f>
        <v>0</v>
      </c>
      <c r="AQ133" s="266">
        <f>IF($AL133="",0,'All Ticker P&amp;L'!J133*'All Ticker P&amp;L'!I133)</f>
        <v>0</v>
      </c>
      <c r="AR133" s="266">
        <f>IF($AL133="",0,'All Ticker P&amp;L'!L133)</f>
        <v>0</v>
      </c>
      <c r="AS133" s="267">
        <f>IF($AL133="",0,'All Ticker P&amp;L'!M133)</f>
        <v>0</v>
      </c>
      <c r="AT133" s="243" t="str">
        <f>IF($AL133="","",RANK(AR133,$AR$2:$AR$1001)+COUNTIF($AR$2:AR133,AR133)-1)</f>
        <v/>
      </c>
      <c r="AU133" s="243" t="str">
        <f>IF($AL133="","",RANK(AV133,$AV$2:$AV$1001)+COUNTIF($AV$2:AV133,AV133)-1)</f>
        <v/>
      </c>
      <c r="AV133" s="266">
        <f t="shared" si="36"/>
        <v>0</v>
      </c>
    </row>
    <row r="134" spans="26:48" ht="15" customHeight="1" x14ac:dyDescent="0.2">
      <c r="Z134" s="243" t="str">
        <f>Shares!A134</f>
        <v/>
      </c>
      <c r="AA134" s="243" t="str">
        <f>Shares!B134</f>
        <v/>
      </c>
      <c r="AB134" s="243" t="str">
        <f>Shares!C134</f>
        <v/>
      </c>
      <c r="AC134" s="243" t="str">
        <f>Shares!D134</f>
        <v/>
      </c>
      <c r="AD134" s="243">
        <f>IF($Z134="",0,Shares!E134)</f>
        <v>0</v>
      </c>
      <c r="AE134" s="266">
        <f>IF($Z134="",0,Shares!J134*Shares!I134)</f>
        <v>0</v>
      </c>
      <c r="AF134" s="267">
        <f t="shared" si="35"/>
        <v>0</v>
      </c>
      <c r="AG134" s="266">
        <f>IF($Z134="",0,Shares!L134)</f>
        <v>0</v>
      </c>
      <c r="AH134" s="267">
        <f>IF($Z134="",0,Shares!M134)</f>
        <v>0</v>
      </c>
      <c r="AI134" s="243" t="str">
        <f>IF($Z134="","",RANK(AE134,$AE$2:$AE$1001)+COUNTIF($AE$2:AE134,AE134)-1)</f>
        <v/>
      </c>
      <c r="AJ134" s="243" t="str">
        <f>IF($AD134&lt;0,COUNT($AJ$1:AJ133)+1,"")</f>
        <v/>
      </c>
      <c r="AL134" s="243" t="str">
        <f>'All Ticker P&amp;L'!A134</f>
        <v/>
      </c>
      <c r="AM134" s="243" t="str">
        <f>'All Ticker P&amp;L'!B134</f>
        <v/>
      </c>
      <c r="AN134" s="243" t="str">
        <f>'All Ticker P&amp;L'!C134</f>
        <v/>
      </c>
      <c r="AO134" s="243" t="str">
        <f>'All Ticker P&amp;L'!D134</f>
        <v/>
      </c>
      <c r="AP134" s="243">
        <f>IF($AL134="",0,'All Ticker P&amp;L'!E134)</f>
        <v>0</v>
      </c>
      <c r="AQ134" s="266">
        <f>IF($AL134="",0,'All Ticker P&amp;L'!J134*'All Ticker P&amp;L'!I134)</f>
        <v>0</v>
      </c>
      <c r="AR134" s="266">
        <f>IF($AL134="",0,'All Ticker P&amp;L'!L134)</f>
        <v>0</v>
      </c>
      <c r="AS134" s="267">
        <f>IF($AL134="",0,'All Ticker P&amp;L'!M134)</f>
        <v>0</v>
      </c>
      <c r="AT134" s="243" t="str">
        <f>IF($AL134="","",RANK(AR134,$AR$2:$AR$1001)+COUNTIF($AR$2:AR134,AR134)-1)</f>
        <v/>
      </c>
      <c r="AU134" s="243" t="str">
        <f>IF($AL134="","",RANK(AV134,$AV$2:$AV$1001)+COUNTIF($AV$2:AV134,AV134)-1)</f>
        <v/>
      </c>
      <c r="AV134" s="266">
        <f t="shared" si="36"/>
        <v>0</v>
      </c>
    </row>
    <row r="135" spans="26:48" ht="15" customHeight="1" x14ac:dyDescent="0.2">
      <c r="Z135" s="243" t="str">
        <f>Shares!A135</f>
        <v/>
      </c>
      <c r="AA135" s="243" t="str">
        <f>Shares!B135</f>
        <v/>
      </c>
      <c r="AB135" s="243" t="str">
        <f>Shares!C135</f>
        <v/>
      </c>
      <c r="AC135" s="243" t="str">
        <f>Shares!D135</f>
        <v/>
      </c>
      <c r="AD135" s="243">
        <f>IF($Z135="",0,Shares!E135)</f>
        <v>0</v>
      </c>
      <c r="AE135" s="266">
        <f>IF($Z135="",0,Shares!J135*Shares!I135)</f>
        <v>0</v>
      </c>
      <c r="AF135" s="267">
        <f t="shared" si="35"/>
        <v>0</v>
      </c>
      <c r="AG135" s="266">
        <f>IF($Z135="",0,Shares!L135)</f>
        <v>0</v>
      </c>
      <c r="AH135" s="267">
        <f>IF($Z135="",0,Shares!M135)</f>
        <v>0</v>
      </c>
      <c r="AI135" s="243" t="str">
        <f>IF($Z135="","",RANK(AE135,$AE$2:$AE$1001)+COUNTIF($AE$2:AE135,AE135)-1)</f>
        <v/>
      </c>
      <c r="AJ135" s="243" t="str">
        <f>IF($AD135&lt;0,COUNT($AJ$1:AJ134)+1,"")</f>
        <v/>
      </c>
      <c r="AL135" s="243" t="str">
        <f>'All Ticker P&amp;L'!A135</f>
        <v/>
      </c>
      <c r="AM135" s="243" t="str">
        <f>'All Ticker P&amp;L'!B135</f>
        <v/>
      </c>
      <c r="AN135" s="243" t="str">
        <f>'All Ticker P&amp;L'!C135</f>
        <v/>
      </c>
      <c r="AO135" s="243" t="str">
        <f>'All Ticker P&amp;L'!D135</f>
        <v/>
      </c>
      <c r="AP135" s="243">
        <f>IF($AL135="",0,'All Ticker P&amp;L'!E135)</f>
        <v>0</v>
      </c>
      <c r="AQ135" s="266">
        <f>IF($AL135="",0,'All Ticker P&amp;L'!J135*'All Ticker P&amp;L'!I135)</f>
        <v>0</v>
      </c>
      <c r="AR135" s="266">
        <f>IF($AL135="",0,'All Ticker P&amp;L'!L135)</f>
        <v>0</v>
      </c>
      <c r="AS135" s="267">
        <f>IF($AL135="",0,'All Ticker P&amp;L'!M135)</f>
        <v>0</v>
      </c>
      <c r="AT135" s="243" t="str">
        <f>IF($AL135="","",RANK(AR135,$AR$2:$AR$1001)+COUNTIF($AR$2:AR135,AR135)-1)</f>
        <v/>
      </c>
      <c r="AU135" s="243" t="str">
        <f>IF($AL135="","",RANK(AV135,$AV$2:$AV$1001)+COUNTIF($AV$2:AV135,AV135)-1)</f>
        <v/>
      </c>
      <c r="AV135" s="266">
        <f t="shared" si="36"/>
        <v>0</v>
      </c>
    </row>
    <row r="136" spans="26:48" ht="15" customHeight="1" x14ac:dyDescent="0.2">
      <c r="Z136" s="243" t="str">
        <f>Shares!A136</f>
        <v/>
      </c>
      <c r="AA136" s="243" t="str">
        <f>Shares!B136</f>
        <v/>
      </c>
      <c r="AB136" s="243" t="str">
        <f>Shares!C136</f>
        <v/>
      </c>
      <c r="AC136" s="243" t="str">
        <f>Shares!D136</f>
        <v/>
      </c>
      <c r="AD136" s="243">
        <f>IF($Z136="",0,Shares!E136)</f>
        <v>0</v>
      </c>
      <c r="AE136" s="266">
        <f>IF($Z136="",0,Shares!J136*Shares!I136)</f>
        <v>0</v>
      </c>
      <c r="AF136" s="267">
        <f t="shared" si="35"/>
        <v>0</v>
      </c>
      <c r="AG136" s="266">
        <f>IF($Z136="",0,Shares!L136)</f>
        <v>0</v>
      </c>
      <c r="AH136" s="267">
        <f>IF($Z136="",0,Shares!M136)</f>
        <v>0</v>
      </c>
      <c r="AI136" s="243" t="str">
        <f>IF($Z136="","",RANK(AE136,$AE$2:$AE$1001)+COUNTIF($AE$2:AE136,AE136)-1)</f>
        <v/>
      </c>
      <c r="AJ136" s="243" t="str">
        <f>IF($AD136&lt;0,COUNT($AJ$1:AJ135)+1,"")</f>
        <v/>
      </c>
      <c r="AL136" s="243" t="str">
        <f>'All Ticker P&amp;L'!A136</f>
        <v/>
      </c>
      <c r="AM136" s="243" t="str">
        <f>'All Ticker P&amp;L'!B136</f>
        <v/>
      </c>
      <c r="AN136" s="243" t="str">
        <f>'All Ticker P&amp;L'!C136</f>
        <v/>
      </c>
      <c r="AO136" s="243" t="str">
        <f>'All Ticker P&amp;L'!D136</f>
        <v/>
      </c>
      <c r="AP136" s="243">
        <f>IF($AL136="",0,'All Ticker P&amp;L'!E136)</f>
        <v>0</v>
      </c>
      <c r="AQ136" s="266">
        <f>IF($AL136="",0,'All Ticker P&amp;L'!J136*'All Ticker P&amp;L'!I136)</f>
        <v>0</v>
      </c>
      <c r="AR136" s="266">
        <f>IF($AL136="",0,'All Ticker P&amp;L'!L136)</f>
        <v>0</v>
      </c>
      <c r="AS136" s="267">
        <f>IF($AL136="",0,'All Ticker P&amp;L'!M136)</f>
        <v>0</v>
      </c>
      <c r="AT136" s="243" t="str">
        <f>IF($AL136="","",RANK(AR136,$AR$2:$AR$1001)+COUNTIF($AR$2:AR136,AR136)-1)</f>
        <v/>
      </c>
      <c r="AU136" s="243" t="str">
        <f>IF($AL136="","",RANK(AV136,$AV$2:$AV$1001)+COUNTIF($AV$2:AV136,AV136)-1)</f>
        <v/>
      </c>
      <c r="AV136" s="266">
        <f t="shared" si="36"/>
        <v>0</v>
      </c>
    </row>
    <row r="137" spans="26:48" ht="15" customHeight="1" x14ac:dyDescent="0.2">
      <c r="Z137" s="243" t="str">
        <f>Shares!A137</f>
        <v/>
      </c>
      <c r="AA137" s="243" t="str">
        <f>Shares!B137</f>
        <v/>
      </c>
      <c r="AB137" s="243" t="str">
        <f>Shares!C137</f>
        <v/>
      </c>
      <c r="AC137" s="243" t="str">
        <f>Shares!D137</f>
        <v/>
      </c>
      <c r="AD137" s="243">
        <f>IF($Z137="",0,Shares!E137)</f>
        <v>0</v>
      </c>
      <c r="AE137" s="266">
        <f>IF($Z137="",0,Shares!J137*Shares!I137)</f>
        <v>0</v>
      </c>
      <c r="AF137" s="267">
        <f t="shared" si="35"/>
        <v>0</v>
      </c>
      <c r="AG137" s="266">
        <f>IF($Z137="",0,Shares!L137)</f>
        <v>0</v>
      </c>
      <c r="AH137" s="267">
        <f>IF($Z137="",0,Shares!M137)</f>
        <v>0</v>
      </c>
      <c r="AI137" s="243" t="str">
        <f>IF($Z137="","",RANK(AE137,$AE$2:$AE$1001)+COUNTIF($AE$2:AE137,AE137)-1)</f>
        <v/>
      </c>
      <c r="AJ137" s="243" t="str">
        <f>IF($AD137&lt;0,COUNT($AJ$1:AJ136)+1,"")</f>
        <v/>
      </c>
      <c r="AL137" s="243" t="str">
        <f>'All Ticker P&amp;L'!A137</f>
        <v/>
      </c>
      <c r="AM137" s="243" t="str">
        <f>'All Ticker P&amp;L'!B137</f>
        <v/>
      </c>
      <c r="AN137" s="243" t="str">
        <f>'All Ticker P&amp;L'!C137</f>
        <v/>
      </c>
      <c r="AO137" s="243" t="str">
        <f>'All Ticker P&amp;L'!D137</f>
        <v/>
      </c>
      <c r="AP137" s="243">
        <f>IF($AL137="",0,'All Ticker P&amp;L'!E137)</f>
        <v>0</v>
      </c>
      <c r="AQ137" s="266">
        <f>IF($AL137="",0,'All Ticker P&amp;L'!J137*'All Ticker P&amp;L'!I137)</f>
        <v>0</v>
      </c>
      <c r="AR137" s="266">
        <f>IF($AL137="",0,'All Ticker P&amp;L'!L137)</f>
        <v>0</v>
      </c>
      <c r="AS137" s="267">
        <f>IF($AL137="",0,'All Ticker P&amp;L'!M137)</f>
        <v>0</v>
      </c>
      <c r="AT137" s="243" t="str">
        <f>IF($AL137="","",RANK(AR137,$AR$2:$AR$1001)+COUNTIF($AR$2:AR137,AR137)-1)</f>
        <v/>
      </c>
      <c r="AU137" s="243" t="str">
        <f>IF($AL137="","",RANK(AV137,$AV$2:$AV$1001)+COUNTIF($AV$2:AV137,AV137)-1)</f>
        <v/>
      </c>
      <c r="AV137" s="266">
        <f t="shared" si="36"/>
        <v>0</v>
      </c>
    </row>
    <row r="138" spans="26:48" ht="15" customHeight="1" x14ac:dyDescent="0.2">
      <c r="Z138" s="243" t="str">
        <f>Shares!A138</f>
        <v/>
      </c>
      <c r="AA138" s="243" t="str">
        <f>Shares!B138</f>
        <v/>
      </c>
      <c r="AB138" s="243" t="str">
        <f>Shares!C138</f>
        <v/>
      </c>
      <c r="AC138" s="243" t="str">
        <f>Shares!D138</f>
        <v/>
      </c>
      <c r="AD138" s="243">
        <f>IF($Z138="",0,Shares!E138)</f>
        <v>0</v>
      </c>
      <c r="AE138" s="266">
        <f>IF($Z138="",0,Shares!J138*Shares!I138)</f>
        <v>0</v>
      </c>
      <c r="AF138" s="267">
        <f t="shared" si="35"/>
        <v>0</v>
      </c>
      <c r="AG138" s="266">
        <f>IF($Z138="",0,Shares!L138)</f>
        <v>0</v>
      </c>
      <c r="AH138" s="267">
        <f>IF($Z138="",0,Shares!M138)</f>
        <v>0</v>
      </c>
      <c r="AI138" s="243" t="str">
        <f>IF($Z138="","",RANK(AE138,$AE$2:$AE$1001)+COUNTIF($AE$2:AE138,AE138)-1)</f>
        <v/>
      </c>
      <c r="AJ138" s="243" t="str">
        <f>IF($AD138&lt;0,COUNT($AJ$1:AJ137)+1,"")</f>
        <v/>
      </c>
      <c r="AL138" s="243" t="str">
        <f>'All Ticker P&amp;L'!A138</f>
        <v/>
      </c>
      <c r="AM138" s="243" t="str">
        <f>'All Ticker P&amp;L'!B138</f>
        <v/>
      </c>
      <c r="AN138" s="243" t="str">
        <f>'All Ticker P&amp;L'!C138</f>
        <v/>
      </c>
      <c r="AO138" s="243" t="str">
        <f>'All Ticker P&amp;L'!D138</f>
        <v/>
      </c>
      <c r="AP138" s="243">
        <f>IF($AL138="",0,'All Ticker P&amp;L'!E138)</f>
        <v>0</v>
      </c>
      <c r="AQ138" s="266">
        <f>IF($AL138="",0,'All Ticker P&amp;L'!J138*'All Ticker P&amp;L'!I138)</f>
        <v>0</v>
      </c>
      <c r="AR138" s="266">
        <f>IF($AL138="",0,'All Ticker P&amp;L'!L138)</f>
        <v>0</v>
      </c>
      <c r="AS138" s="267">
        <f>IF($AL138="",0,'All Ticker P&amp;L'!M138)</f>
        <v>0</v>
      </c>
      <c r="AT138" s="243" t="str">
        <f>IF($AL138="","",RANK(AR138,$AR$2:$AR$1001)+COUNTIF($AR$2:AR138,AR138)-1)</f>
        <v/>
      </c>
      <c r="AU138" s="243" t="str">
        <f>IF($AL138="","",RANK(AV138,$AV$2:$AV$1001)+COUNTIF($AV$2:AV138,AV138)-1)</f>
        <v/>
      </c>
      <c r="AV138" s="266">
        <f t="shared" si="36"/>
        <v>0</v>
      </c>
    </row>
    <row r="139" spans="26:48" ht="15" customHeight="1" x14ac:dyDescent="0.2">
      <c r="Z139" s="243" t="str">
        <f>Shares!A139</f>
        <v/>
      </c>
      <c r="AA139" s="243" t="str">
        <f>Shares!B139</f>
        <v/>
      </c>
      <c r="AB139" s="243" t="str">
        <f>Shares!C139</f>
        <v/>
      </c>
      <c r="AC139" s="243" t="str">
        <f>Shares!D139</f>
        <v/>
      </c>
      <c r="AD139" s="243">
        <f>IF($Z139="",0,Shares!E139)</f>
        <v>0</v>
      </c>
      <c r="AE139" s="266">
        <f>IF($Z139="",0,Shares!J139*Shares!I139)</f>
        <v>0</v>
      </c>
      <c r="AF139" s="267">
        <f t="shared" si="35"/>
        <v>0</v>
      </c>
      <c r="AG139" s="266">
        <f>IF($Z139="",0,Shares!L139)</f>
        <v>0</v>
      </c>
      <c r="AH139" s="267">
        <f>IF($Z139="",0,Shares!M139)</f>
        <v>0</v>
      </c>
      <c r="AI139" s="243" t="str">
        <f>IF($Z139="","",RANK(AE139,$AE$2:$AE$1001)+COUNTIF($AE$2:AE139,AE139)-1)</f>
        <v/>
      </c>
      <c r="AJ139" s="243" t="str">
        <f>IF($AD139&lt;0,COUNT($AJ$1:AJ138)+1,"")</f>
        <v/>
      </c>
      <c r="AL139" s="243" t="str">
        <f>'All Ticker P&amp;L'!A139</f>
        <v/>
      </c>
      <c r="AM139" s="243" t="str">
        <f>'All Ticker P&amp;L'!B139</f>
        <v/>
      </c>
      <c r="AN139" s="243" t="str">
        <f>'All Ticker P&amp;L'!C139</f>
        <v/>
      </c>
      <c r="AO139" s="243" t="str">
        <f>'All Ticker P&amp;L'!D139</f>
        <v/>
      </c>
      <c r="AP139" s="243">
        <f>IF($AL139="",0,'All Ticker P&amp;L'!E139)</f>
        <v>0</v>
      </c>
      <c r="AQ139" s="266">
        <f>IF($AL139="",0,'All Ticker P&amp;L'!J139*'All Ticker P&amp;L'!I139)</f>
        <v>0</v>
      </c>
      <c r="AR139" s="266">
        <f>IF($AL139="",0,'All Ticker P&amp;L'!L139)</f>
        <v>0</v>
      </c>
      <c r="AS139" s="267">
        <f>IF($AL139="",0,'All Ticker P&amp;L'!M139)</f>
        <v>0</v>
      </c>
      <c r="AT139" s="243" t="str">
        <f>IF($AL139="","",RANK(AR139,$AR$2:$AR$1001)+COUNTIF($AR$2:AR139,AR139)-1)</f>
        <v/>
      </c>
      <c r="AU139" s="243" t="str">
        <f>IF($AL139="","",RANK(AV139,$AV$2:$AV$1001)+COUNTIF($AV$2:AV139,AV139)-1)</f>
        <v/>
      </c>
      <c r="AV139" s="266">
        <f t="shared" si="36"/>
        <v>0</v>
      </c>
    </row>
    <row r="140" spans="26:48" ht="15" customHeight="1" x14ac:dyDescent="0.2">
      <c r="Z140" s="243" t="str">
        <f>Shares!A140</f>
        <v/>
      </c>
      <c r="AA140" s="243" t="str">
        <f>Shares!B140</f>
        <v/>
      </c>
      <c r="AB140" s="243" t="str">
        <f>Shares!C140</f>
        <v/>
      </c>
      <c r="AC140" s="243" t="str">
        <f>Shares!D140</f>
        <v/>
      </c>
      <c r="AD140" s="243">
        <f>IF($Z140="",0,Shares!E140)</f>
        <v>0</v>
      </c>
      <c r="AE140" s="266">
        <f>IF($Z140="",0,Shares!J140*Shares!I140)</f>
        <v>0</v>
      </c>
      <c r="AF140" s="267">
        <f t="shared" si="35"/>
        <v>0</v>
      </c>
      <c r="AG140" s="266">
        <f>IF($Z140="",0,Shares!L140)</f>
        <v>0</v>
      </c>
      <c r="AH140" s="267">
        <f>IF($Z140="",0,Shares!M140)</f>
        <v>0</v>
      </c>
      <c r="AI140" s="243" t="str">
        <f>IF($Z140="","",RANK(AE140,$AE$2:$AE$1001)+COUNTIF($AE$2:AE140,AE140)-1)</f>
        <v/>
      </c>
      <c r="AJ140" s="243" t="str">
        <f>IF($AD140&lt;0,COUNT($AJ$1:AJ139)+1,"")</f>
        <v/>
      </c>
      <c r="AL140" s="243" t="str">
        <f>'All Ticker P&amp;L'!A140</f>
        <v/>
      </c>
      <c r="AM140" s="243" t="str">
        <f>'All Ticker P&amp;L'!B140</f>
        <v/>
      </c>
      <c r="AN140" s="243" t="str">
        <f>'All Ticker P&amp;L'!C140</f>
        <v/>
      </c>
      <c r="AO140" s="243" t="str">
        <f>'All Ticker P&amp;L'!D140</f>
        <v/>
      </c>
      <c r="AP140" s="243">
        <f>IF($AL140="",0,'All Ticker P&amp;L'!E140)</f>
        <v>0</v>
      </c>
      <c r="AQ140" s="266">
        <f>IF($AL140="",0,'All Ticker P&amp;L'!J140*'All Ticker P&amp;L'!I140)</f>
        <v>0</v>
      </c>
      <c r="AR140" s="266">
        <f>IF($AL140="",0,'All Ticker P&amp;L'!L140)</f>
        <v>0</v>
      </c>
      <c r="AS140" s="267">
        <f>IF($AL140="",0,'All Ticker P&amp;L'!M140)</f>
        <v>0</v>
      </c>
      <c r="AT140" s="243" t="str">
        <f>IF($AL140="","",RANK(AR140,$AR$2:$AR$1001)+COUNTIF($AR$2:AR140,AR140)-1)</f>
        <v/>
      </c>
      <c r="AU140" s="243" t="str">
        <f>IF($AL140="","",RANK(AV140,$AV$2:$AV$1001)+COUNTIF($AV$2:AV140,AV140)-1)</f>
        <v/>
      </c>
      <c r="AV140" s="266">
        <f t="shared" si="36"/>
        <v>0</v>
      </c>
    </row>
    <row r="141" spans="26:48" ht="15" customHeight="1" x14ac:dyDescent="0.2">
      <c r="Z141" s="243" t="str">
        <f>Shares!A141</f>
        <v/>
      </c>
      <c r="AA141" s="243" t="str">
        <f>Shares!B141</f>
        <v/>
      </c>
      <c r="AB141" s="243" t="str">
        <f>Shares!C141</f>
        <v/>
      </c>
      <c r="AC141" s="243" t="str">
        <f>Shares!D141</f>
        <v/>
      </c>
      <c r="AD141" s="243">
        <f>IF($Z141="",0,Shares!E141)</f>
        <v>0</v>
      </c>
      <c r="AE141" s="266">
        <f>IF($Z141="",0,Shares!J141*Shares!I141)</f>
        <v>0</v>
      </c>
      <c r="AF141" s="267">
        <f t="shared" si="35"/>
        <v>0</v>
      </c>
      <c r="AG141" s="266">
        <f>IF($Z141="",0,Shares!L141)</f>
        <v>0</v>
      </c>
      <c r="AH141" s="267">
        <f>IF($Z141="",0,Shares!M141)</f>
        <v>0</v>
      </c>
      <c r="AI141" s="243" t="str">
        <f>IF($Z141="","",RANK(AE141,$AE$2:$AE$1001)+COUNTIF($AE$2:AE141,AE141)-1)</f>
        <v/>
      </c>
      <c r="AJ141" s="243" t="str">
        <f>IF($AD141&lt;0,COUNT($AJ$1:AJ140)+1,"")</f>
        <v/>
      </c>
      <c r="AL141" s="243" t="str">
        <f>'All Ticker P&amp;L'!A141</f>
        <v/>
      </c>
      <c r="AM141" s="243" t="str">
        <f>'All Ticker P&amp;L'!B141</f>
        <v/>
      </c>
      <c r="AN141" s="243" t="str">
        <f>'All Ticker P&amp;L'!C141</f>
        <v/>
      </c>
      <c r="AO141" s="243" t="str">
        <f>'All Ticker P&amp;L'!D141</f>
        <v/>
      </c>
      <c r="AP141" s="243">
        <f>IF($AL141="",0,'All Ticker P&amp;L'!E141)</f>
        <v>0</v>
      </c>
      <c r="AQ141" s="266">
        <f>IF($AL141="",0,'All Ticker P&amp;L'!J141*'All Ticker P&amp;L'!I141)</f>
        <v>0</v>
      </c>
      <c r="AR141" s="266">
        <f>IF($AL141="",0,'All Ticker P&amp;L'!L141)</f>
        <v>0</v>
      </c>
      <c r="AS141" s="267">
        <f>IF($AL141="",0,'All Ticker P&amp;L'!M141)</f>
        <v>0</v>
      </c>
      <c r="AT141" s="243" t="str">
        <f>IF($AL141="","",RANK(AR141,$AR$2:$AR$1001)+COUNTIF($AR$2:AR141,AR141)-1)</f>
        <v/>
      </c>
      <c r="AU141" s="243" t="str">
        <f>IF($AL141="","",RANK(AV141,$AV$2:$AV$1001)+COUNTIF($AV$2:AV141,AV141)-1)</f>
        <v/>
      </c>
      <c r="AV141" s="266">
        <f t="shared" si="36"/>
        <v>0</v>
      </c>
    </row>
    <row r="142" spans="26:48" ht="15" customHeight="1" x14ac:dyDescent="0.2">
      <c r="Z142" s="243" t="str">
        <f>Shares!A142</f>
        <v/>
      </c>
      <c r="AA142" s="243" t="str">
        <f>Shares!B142</f>
        <v/>
      </c>
      <c r="AB142" s="243" t="str">
        <f>Shares!C142</f>
        <v/>
      </c>
      <c r="AC142" s="243" t="str">
        <f>Shares!D142</f>
        <v/>
      </c>
      <c r="AD142" s="243">
        <f>IF($Z142="",0,Shares!E142)</f>
        <v>0</v>
      </c>
      <c r="AE142" s="266">
        <f>IF($Z142="",0,Shares!J142*Shares!I142)</f>
        <v>0</v>
      </c>
      <c r="AF142" s="267">
        <f t="shared" si="35"/>
        <v>0</v>
      </c>
      <c r="AG142" s="266">
        <f>IF($Z142="",0,Shares!L142)</f>
        <v>0</v>
      </c>
      <c r="AH142" s="267">
        <f>IF($Z142="",0,Shares!M142)</f>
        <v>0</v>
      </c>
      <c r="AI142" s="243" t="str">
        <f>IF($Z142="","",RANK(AE142,$AE$2:$AE$1001)+COUNTIF($AE$2:AE142,AE142)-1)</f>
        <v/>
      </c>
      <c r="AJ142" s="243" t="str">
        <f>IF($AD142&lt;0,COUNT($AJ$1:AJ141)+1,"")</f>
        <v/>
      </c>
      <c r="AL142" s="243" t="str">
        <f>'All Ticker P&amp;L'!A142</f>
        <v/>
      </c>
      <c r="AM142" s="243" t="str">
        <f>'All Ticker P&amp;L'!B142</f>
        <v/>
      </c>
      <c r="AN142" s="243" t="str">
        <f>'All Ticker P&amp;L'!C142</f>
        <v/>
      </c>
      <c r="AO142" s="243" t="str">
        <f>'All Ticker P&amp;L'!D142</f>
        <v/>
      </c>
      <c r="AP142" s="243">
        <f>IF($AL142="",0,'All Ticker P&amp;L'!E142)</f>
        <v>0</v>
      </c>
      <c r="AQ142" s="266">
        <f>IF($AL142="",0,'All Ticker P&amp;L'!J142*'All Ticker P&amp;L'!I142)</f>
        <v>0</v>
      </c>
      <c r="AR142" s="266">
        <f>IF($AL142="",0,'All Ticker P&amp;L'!L142)</f>
        <v>0</v>
      </c>
      <c r="AS142" s="267">
        <f>IF($AL142="",0,'All Ticker P&amp;L'!M142)</f>
        <v>0</v>
      </c>
      <c r="AT142" s="243" t="str">
        <f>IF($AL142="","",RANK(AR142,$AR$2:$AR$1001)+COUNTIF($AR$2:AR142,AR142)-1)</f>
        <v/>
      </c>
      <c r="AU142" s="243" t="str">
        <f>IF($AL142="","",RANK(AV142,$AV$2:$AV$1001)+COUNTIF($AV$2:AV142,AV142)-1)</f>
        <v/>
      </c>
      <c r="AV142" s="266">
        <f t="shared" si="36"/>
        <v>0</v>
      </c>
    </row>
    <row r="143" spans="26:48" ht="15" customHeight="1" x14ac:dyDescent="0.2">
      <c r="Z143" s="243" t="str">
        <f>Shares!A143</f>
        <v/>
      </c>
      <c r="AA143" s="243" t="str">
        <f>Shares!B143</f>
        <v/>
      </c>
      <c r="AB143" s="243" t="str">
        <f>Shares!C143</f>
        <v/>
      </c>
      <c r="AC143" s="243" t="str">
        <f>Shares!D143</f>
        <v/>
      </c>
      <c r="AD143" s="243">
        <f>IF($Z143="",0,Shares!E143)</f>
        <v>0</v>
      </c>
      <c r="AE143" s="266">
        <f>IF($Z143="",0,Shares!J143*Shares!I143)</f>
        <v>0</v>
      </c>
      <c r="AF143" s="267">
        <f t="shared" si="35"/>
        <v>0</v>
      </c>
      <c r="AG143" s="266">
        <f>IF($Z143="",0,Shares!L143)</f>
        <v>0</v>
      </c>
      <c r="AH143" s="267">
        <f>IF($Z143="",0,Shares!M143)</f>
        <v>0</v>
      </c>
      <c r="AI143" s="243" t="str">
        <f>IF($Z143="","",RANK(AE143,$AE$2:$AE$1001)+COUNTIF($AE$2:AE143,AE143)-1)</f>
        <v/>
      </c>
      <c r="AJ143" s="243" t="str">
        <f>IF($AD143&lt;0,COUNT($AJ$1:AJ142)+1,"")</f>
        <v/>
      </c>
      <c r="AL143" s="243" t="str">
        <f>'All Ticker P&amp;L'!A143</f>
        <v/>
      </c>
      <c r="AM143" s="243" t="str">
        <f>'All Ticker P&amp;L'!B143</f>
        <v/>
      </c>
      <c r="AN143" s="243" t="str">
        <f>'All Ticker P&amp;L'!C143</f>
        <v/>
      </c>
      <c r="AO143" s="243" t="str">
        <f>'All Ticker P&amp;L'!D143</f>
        <v/>
      </c>
      <c r="AP143" s="243">
        <f>IF($AL143="",0,'All Ticker P&amp;L'!E143)</f>
        <v>0</v>
      </c>
      <c r="AQ143" s="266">
        <f>IF($AL143="",0,'All Ticker P&amp;L'!J143*'All Ticker P&amp;L'!I143)</f>
        <v>0</v>
      </c>
      <c r="AR143" s="266">
        <f>IF($AL143="",0,'All Ticker P&amp;L'!L143)</f>
        <v>0</v>
      </c>
      <c r="AS143" s="267">
        <f>IF($AL143="",0,'All Ticker P&amp;L'!M143)</f>
        <v>0</v>
      </c>
      <c r="AT143" s="243" t="str">
        <f>IF($AL143="","",RANK(AR143,$AR$2:$AR$1001)+COUNTIF($AR$2:AR143,AR143)-1)</f>
        <v/>
      </c>
      <c r="AU143" s="243" t="str">
        <f>IF($AL143="","",RANK(AV143,$AV$2:$AV$1001)+COUNTIF($AV$2:AV143,AV143)-1)</f>
        <v/>
      </c>
      <c r="AV143" s="266">
        <f t="shared" si="36"/>
        <v>0</v>
      </c>
    </row>
    <row r="144" spans="26:48" ht="15" customHeight="1" x14ac:dyDescent="0.2">
      <c r="Z144" s="243" t="str">
        <f>Shares!A144</f>
        <v/>
      </c>
      <c r="AA144" s="243" t="str">
        <f>Shares!B144</f>
        <v/>
      </c>
      <c r="AB144" s="243" t="str">
        <f>Shares!C144</f>
        <v/>
      </c>
      <c r="AC144" s="243" t="str">
        <f>Shares!D144</f>
        <v/>
      </c>
      <c r="AD144" s="243">
        <f>IF($Z144="",0,Shares!E144)</f>
        <v>0</v>
      </c>
      <c r="AE144" s="266">
        <f>IF($Z144="",0,Shares!J144*Shares!I144)</f>
        <v>0</v>
      </c>
      <c r="AF144" s="267">
        <f t="shared" si="35"/>
        <v>0</v>
      </c>
      <c r="AG144" s="266">
        <f>IF($Z144="",0,Shares!L144)</f>
        <v>0</v>
      </c>
      <c r="AH144" s="267">
        <f>IF($Z144="",0,Shares!M144)</f>
        <v>0</v>
      </c>
      <c r="AI144" s="243" t="str">
        <f>IF($Z144="","",RANK(AE144,$AE$2:$AE$1001)+COUNTIF($AE$2:AE144,AE144)-1)</f>
        <v/>
      </c>
      <c r="AJ144" s="243" t="str">
        <f>IF($AD144&lt;0,COUNT($AJ$1:AJ143)+1,"")</f>
        <v/>
      </c>
      <c r="AL144" s="243" t="str">
        <f>'All Ticker P&amp;L'!A144</f>
        <v/>
      </c>
      <c r="AM144" s="243" t="str">
        <f>'All Ticker P&amp;L'!B144</f>
        <v/>
      </c>
      <c r="AN144" s="243" t="str">
        <f>'All Ticker P&amp;L'!C144</f>
        <v/>
      </c>
      <c r="AO144" s="243" t="str">
        <f>'All Ticker P&amp;L'!D144</f>
        <v/>
      </c>
      <c r="AP144" s="243">
        <f>IF($AL144="",0,'All Ticker P&amp;L'!E144)</f>
        <v>0</v>
      </c>
      <c r="AQ144" s="266">
        <f>IF($AL144="",0,'All Ticker P&amp;L'!J144*'All Ticker P&amp;L'!I144)</f>
        <v>0</v>
      </c>
      <c r="AR144" s="266">
        <f>IF($AL144="",0,'All Ticker P&amp;L'!L144)</f>
        <v>0</v>
      </c>
      <c r="AS144" s="267">
        <f>IF($AL144="",0,'All Ticker P&amp;L'!M144)</f>
        <v>0</v>
      </c>
      <c r="AT144" s="243" t="str">
        <f>IF($AL144="","",RANK(AR144,$AR$2:$AR$1001)+COUNTIF($AR$2:AR144,AR144)-1)</f>
        <v/>
      </c>
      <c r="AU144" s="243" t="str">
        <f>IF($AL144="","",RANK(AV144,$AV$2:$AV$1001)+COUNTIF($AV$2:AV144,AV144)-1)</f>
        <v/>
      </c>
      <c r="AV144" s="266">
        <f t="shared" si="36"/>
        <v>0</v>
      </c>
    </row>
    <row r="145" spans="26:48" ht="15" customHeight="1" x14ac:dyDescent="0.2">
      <c r="Z145" s="243" t="str">
        <f>Shares!A145</f>
        <v/>
      </c>
      <c r="AA145" s="243" t="str">
        <f>Shares!B145</f>
        <v/>
      </c>
      <c r="AB145" s="243" t="str">
        <f>Shares!C145</f>
        <v/>
      </c>
      <c r="AC145" s="243" t="str">
        <f>Shares!D145</f>
        <v/>
      </c>
      <c r="AD145" s="243">
        <f>IF($Z145="",0,Shares!E145)</f>
        <v>0</v>
      </c>
      <c r="AE145" s="266">
        <f>IF($Z145="",0,Shares!J145*Shares!I145)</f>
        <v>0</v>
      </c>
      <c r="AF145" s="267">
        <f t="shared" si="35"/>
        <v>0</v>
      </c>
      <c r="AG145" s="266">
        <f>IF($Z145="",0,Shares!L145)</f>
        <v>0</v>
      </c>
      <c r="AH145" s="267">
        <f>IF($Z145="",0,Shares!M145)</f>
        <v>0</v>
      </c>
      <c r="AI145" s="243" t="str">
        <f>IF($Z145="","",RANK(AE145,$AE$2:$AE$1001)+COUNTIF($AE$2:AE145,AE145)-1)</f>
        <v/>
      </c>
      <c r="AJ145" s="243" t="str">
        <f>IF($AD145&lt;0,COUNT($AJ$1:AJ144)+1,"")</f>
        <v/>
      </c>
      <c r="AL145" s="243" t="str">
        <f>'All Ticker P&amp;L'!A145</f>
        <v/>
      </c>
      <c r="AM145" s="243" t="str">
        <f>'All Ticker P&amp;L'!B145</f>
        <v/>
      </c>
      <c r="AN145" s="243" t="str">
        <f>'All Ticker P&amp;L'!C145</f>
        <v/>
      </c>
      <c r="AO145" s="243" t="str">
        <f>'All Ticker P&amp;L'!D145</f>
        <v/>
      </c>
      <c r="AP145" s="243">
        <f>IF($AL145="",0,'All Ticker P&amp;L'!E145)</f>
        <v>0</v>
      </c>
      <c r="AQ145" s="266">
        <f>IF($AL145="",0,'All Ticker P&amp;L'!J145*'All Ticker P&amp;L'!I145)</f>
        <v>0</v>
      </c>
      <c r="AR145" s="266">
        <f>IF($AL145="",0,'All Ticker P&amp;L'!L145)</f>
        <v>0</v>
      </c>
      <c r="AS145" s="267">
        <f>IF($AL145="",0,'All Ticker P&amp;L'!M145)</f>
        <v>0</v>
      </c>
      <c r="AT145" s="243" t="str">
        <f>IF($AL145="","",RANK(AR145,$AR$2:$AR$1001)+COUNTIF($AR$2:AR145,AR145)-1)</f>
        <v/>
      </c>
      <c r="AU145" s="243" t="str">
        <f>IF($AL145="","",RANK(AV145,$AV$2:$AV$1001)+COUNTIF($AV$2:AV145,AV145)-1)</f>
        <v/>
      </c>
      <c r="AV145" s="266">
        <f t="shared" si="36"/>
        <v>0</v>
      </c>
    </row>
    <row r="146" spans="26:48" ht="15" customHeight="1" x14ac:dyDescent="0.2">
      <c r="Z146" s="243" t="str">
        <f>Shares!A146</f>
        <v/>
      </c>
      <c r="AA146" s="243" t="str">
        <f>Shares!B146</f>
        <v/>
      </c>
      <c r="AB146" s="243" t="str">
        <f>Shares!C146</f>
        <v/>
      </c>
      <c r="AC146" s="243" t="str">
        <f>Shares!D146</f>
        <v/>
      </c>
      <c r="AD146" s="243">
        <f>IF($Z146="",0,Shares!E146)</f>
        <v>0</v>
      </c>
      <c r="AE146" s="266">
        <f>IF($Z146="",0,Shares!J146*Shares!I146)</f>
        <v>0</v>
      </c>
      <c r="AF146" s="267">
        <f t="shared" si="35"/>
        <v>0</v>
      </c>
      <c r="AG146" s="266">
        <f>IF($Z146="",0,Shares!L146)</f>
        <v>0</v>
      </c>
      <c r="AH146" s="267">
        <f>IF($Z146="",0,Shares!M146)</f>
        <v>0</v>
      </c>
      <c r="AI146" s="243" t="str">
        <f>IF($Z146="","",RANK(AE146,$AE$2:$AE$1001)+COUNTIF($AE$2:AE146,AE146)-1)</f>
        <v/>
      </c>
      <c r="AJ146" s="243" t="str">
        <f>IF($AD146&lt;0,COUNT($AJ$1:AJ145)+1,"")</f>
        <v/>
      </c>
      <c r="AL146" s="243" t="str">
        <f>'All Ticker P&amp;L'!A146</f>
        <v/>
      </c>
      <c r="AM146" s="243" t="str">
        <f>'All Ticker P&amp;L'!B146</f>
        <v/>
      </c>
      <c r="AN146" s="243" t="str">
        <f>'All Ticker P&amp;L'!C146</f>
        <v/>
      </c>
      <c r="AO146" s="243" t="str">
        <f>'All Ticker P&amp;L'!D146</f>
        <v/>
      </c>
      <c r="AP146" s="243">
        <f>IF($AL146="",0,'All Ticker P&amp;L'!E146)</f>
        <v>0</v>
      </c>
      <c r="AQ146" s="266">
        <f>IF($AL146="",0,'All Ticker P&amp;L'!J146*'All Ticker P&amp;L'!I146)</f>
        <v>0</v>
      </c>
      <c r="AR146" s="266">
        <f>IF($AL146="",0,'All Ticker P&amp;L'!L146)</f>
        <v>0</v>
      </c>
      <c r="AS146" s="267">
        <f>IF($AL146="",0,'All Ticker P&amp;L'!M146)</f>
        <v>0</v>
      </c>
      <c r="AT146" s="243" t="str">
        <f>IF($AL146="","",RANK(AR146,$AR$2:$AR$1001)+COUNTIF($AR$2:AR146,AR146)-1)</f>
        <v/>
      </c>
      <c r="AU146" s="243" t="str">
        <f>IF($AL146="","",RANK(AV146,$AV$2:$AV$1001)+COUNTIF($AV$2:AV146,AV146)-1)</f>
        <v/>
      </c>
      <c r="AV146" s="266">
        <f t="shared" si="36"/>
        <v>0</v>
      </c>
    </row>
    <row r="147" spans="26:48" ht="15" customHeight="1" x14ac:dyDescent="0.2">
      <c r="Z147" s="243" t="str">
        <f>Shares!A147</f>
        <v/>
      </c>
      <c r="AA147" s="243" t="str">
        <f>Shares!B147</f>
        <v/>
      </c>
      <c r="AB147" s="243" t="str">
        <f>Shares!C147</f>
        <v/>
      </c>
      <c r="AC147" s="243" t="str">
        <f>Shares!D147</f>
        <v/>
      </c>
      <c r="AD147" s="243">
        <f>IF($Z147="",0,Shares!E147)</f>
        <v>0</v>
      </c>
      <c r="AE147" s="266">
        <f>IF($Z147="",0,Shares!J147*Shares!I147)</f>
        <v>0</v>
      </c>
      <c r="AF147" s="267">
        <f t="shared" si="35"/>
        <v>0</v>
      </c>
      <c r="AG147" s="266">
        <f>IF($Z147="",0,Shares!L147)</f>
        <v>0</v>
      </c>
      <c r="AH147" s="267">
        <f>IF($Z147="",0,Shares!M147)</f>
        <v>0</v>
      </c>
      <c r="AI147" s="243" t="str">
        <f>IF($Z147="","",RANK(AE147,$AE$2:$AE$1001)+COUNTIF($AE$2:AE147,AE147)-1)</f>
        <v/>
      </c>
      <c r="AJ147" s="243" t="str">
        <f>IF($AD147&lt;0,COUNT($AJ$1:AJ146)+1,"")</f>
        <v/>
      </c>
      <c r="AL147" s="243" t="str">
        <f>'All Ticker P&amp;L'!A147</f>
        <v/>
      </c>
      <c r="AM147" s="243" t="str">
        <f>'All Ticker P&amp;L'!B147</f>
        <v/>
      </c>
      <c r="AN147" s="243" t="str">
        <f>'All Ticker P&amp;L'!C147</f>
        <v/>
      </c>
      <c r="AO147" s="243" t="str">
        <f>'All Ticker P&amp;L'!D147</f>
        <v/>
      </c>
      <c r="AP147" s="243">
        <f>IF($AL147="",0,'All Ticker P&amp;L'!E147)</f>
        <v>0</v>
      </c>
      <c r="AQ147" s="266">
        <f>IF($AL147="",0,'All Ticker P&amp;L'!J147*'All Ticker P&amp;L'!I147)</f>
        <v>0</v>
      </c>
      <c r="AR147" s="266">
        <f>IF($AL147="",0,'All Ticker P&amp;L'!L147)</f>
        <v>0</v>
      </c>
      <c r="AS147" s="267">
        <f>IF($AL147="",0,'All Ticker P&amp;L'!M147)</f>
        <v>0</v>
      </c>
      <c r="AT147" s="243" t="str">
        <f>IF($AL147="","",RANK(AR147,$AR$2:$AR$1001)+COUNTIF($AR$2:AR147,AR147)-1)</f>
        <v/>
      </c>
      <c r="AU147" s="243" t="str">
        <f>IF($AL147="","",RANK(AV147,$AV$2:$AV$1001)+COUNTIF($AV$2:AV147,AV147)-1)</f>
        <v/>
      </c>
      <c r="AV147" s="266">
        <f t="shared" si="36"/>
        <v>0</v>
      </c>
    </row>
    <row r="148" spans="26:48" ht="15" customHeight="1" x14ac:dyDescent="0.2">
      <c r="Z148" s="243" t="str">
        <f>Shares!A148</f>
        <v/>
      </c>
      <c r="AA148" s="243" t="str">
        <f>Shares!B148</f>
        <v/>
      </c>
      <c r="AB148" s="243" t="str">
        <f>Shares!C148</f>
        <v/>
      </c>
      <c r="AC148" s="243" t="str">
        <f>Shares!D148</f>
        <v/>
      </c>
      <c r="AD148" s="243">
        <f>IF($Z148="",0,Shares!E148)</f>
        <v>0</v>
      </c>
      <c r="AE148" s="266">
        <f>IF($Z148="",0,Shares!J148*Shares!I148)</f>
        <v>0</v>
      </c>
      <c r="AF148" s="267">
        <f t="shared" si="35"/>
        <v>0</v>
      </c>
      <c r="AG148" s="266">
        <f>IF($Z148="",0,Shares!L148)</f>
        <v>0</v>
      </c>
      <c r="AH148" s="267">
        <f>IF($Z148="",0,Shares!M148)</f>
        <v>0</v>
      </c>
      <c r="AI148" s="243" t="str">
        <f>IF($Z148="","",RANK(AE148,$AE$2:$AE$1001)+COUNTIF($AE$2:AE148,AE148)-1)</f>
        <v/>
      </c>
      <c r="AJ148" s="243" t="str">
        <f>IF($AD148&lt;0,COUNT($AJ$1:AJ147)+1,"")</f>
        <v/>
      </c>
      <c r="AL148" s="243" t="str">
        <f>'All Ticker P&amp;L'!A148</f>
        <v/>
      </c>
      <c r="AM148" s="243" t="str">
        <f>'All Ticker P&amp;L'!B148</f>
        <v/>
      </c>
      <c r="AN148" s="243" t="str">
        <f>'All Ticker P&amp;L'!C148</f>
        <v/>
      </c>
      <c r="AO148" s="243" t="str">
        <f>'All Ticker P&amp;L'!D148</f>
        <v/>
      </c>
      <c r="AP148" s="243">
        <f>IF($AL148="",0,'All Ticker P&amp;L'!E148)</f>
        <v>0</v>
      </c>
      <c r="AQ148" s="266">
        <f>IF($AL148="",0,'All Ticker P&amp;L'!J148*'All Ticker P&amp;L'!I148)</f>
        <v>0</v>
      </c>
      <c r="AR148" s="266">
        <f>IF($AL148="",0,'All Ticker P&amp;L'!L148)</f>
        <v>0</v>
      </c>
      <c r="AS148" s="267">
        <f>IF($AL148="",0,'All Ticker P&amp;L'!M148)</f>
        <v>0</v>
      </c>
      <c r="AT148" s="243" t="str">
        <f>IF($AL148="","",RANK(AR148,$AR$2:$AR$1001)+COUNTIF($AR$2:AR148,AR148)-1)</f>
        <v/>
      </c>
      <c r="AU148" s="243" t="str">
        <f>IF($AL148="","",RANK(AV148,$AV$2:$AV$1001)+COUNTIF($AV$2:AV148,AV148)-1)</f>
        <v/>
      </c>
      <c r="AV148" s="266">
        <f t="shared" si="36"/>
        <v>0</v>
      </c>
    </row>
    <row r="149" spans="26:48" ht="15" customHeight="1" x14ac:dyDescent="0.2">
      <c r="Z149" s="243" t="str">
        <f>Shares!A149</f>
        <v/>
      </c>
      <c r="AA149" s="243" t="str">
        <f>Shares!B149</f>
        <v/>
      </c>
      <c r="AB149" s="243" t="str">
        <f>Shares!C149</f>
        <v/>
      </c>
      <c r="AC149" s="243" t="str">
        <f>Shares!D149</f>
        <v/>
      </c>
      <c r="AD149" s="243">
        <f>IF($Z149="",0,Shares!E149)</f>
        <v>0</v>
      </c>
      <c r="AE149" s="266">
        <f>IF($Z149="",0,Shares!J149*Shares!I149)</f>
        <v>0</v>
      </c>
      <c r="AF149" s="267">
        <f t="shared" si="35"/>
        <v>0</v>
      </c>
      <c r="AG149" s="266">
        <f>IF($Z149="",0,Shares!L149)</f>
        <v>0</v>
      </c>
      <c r="AH149" s="267">
        <f>IF($Z149="",0,Shares!M149)</f>
        <v>0</v>
      </c>
      <c r="AI149" s="243" t="str">
        <f>IF($Z149="","",RANK(AE149,$AE$2:$AE$1001)+COUNTIF($AE$2:AE149,AE149)-1)</f>
        <v/>
      </c>
      <c r="AJ149" s="243" t="str">
        <f>IF($AD149&lt;0,COUNT($AJ$1:AJ148)+1,"")</f>
        <v/>
      </c>
      <c r="AL149" s="243" t="str">
        <f>'All Ticker P&amp;L'!A149</f>
        <v/>
      </c>
      <c r="AM149" s="243" t="str">
        <f>'All Ticker P&amp;L'!B149</f>
        <v/>
      </c>
      <c r="AN149" s="243" t="str">
        <f>'All Ticker P&amp;L'!C149</f>
        <v/>
      </c>
      <c r="AO149" s="243" t="str">
        <f>'All Ticker P&amp;L'!D149</f>
        <v/>
      </c>
      <c r="AP149" s="243">
        <f>IF($AL149="",0,'All Ticker P&amp;L'!E149)</f>
        <v>0</v>
      </c>
      <c r="AQ149" s="266">
        <f>IF($AL149="",0,'All Ticker P&amp;L'!J149*'All Ticker P&amp;L'!I149)</f>
        <v>0</v>
      </c>
      <c r="AR149" s="266">
        <f>IF($AL149="",0,'All Ticker P&amp;L'!L149)</f>
        <v>0</v>
      </c>
      <c r="AS149" s="267">
        <f>IF($AL149="",0,'All Ticker P&amp;L'!M149)</f>
        <v>0</v>
      </c>
      <c r="AT149" s="243" t="str">
        <f>IF($AL149="","",RANK(AR149,$AR$2:$AR$1001)+COUNTIF($AR$2:AR149,AR149)-1)</f>
        <v/>
      </c>
      <c r="AU149" s="243" t="str">
        <f>IF($AL149="","",RANK(AV149,$AV$2:$AV$1001)+COUNTIF($AV$2:AV149,AV149)-1)</f>
        <v/>
      </c>
      <c r="AV149" s="266">
        <f t="shared" si="36"/>
        <v>0</v>
      </c>
    </row>
    <row r="150" spans="26:48" ht="15" customHeight="1" x14ac:dyDescent="0.2">
      <c r="Z150" s="243" t="str">
        <f>Shares!A150</f>
        <v/>
      </c>
      <c r="AA150" s="243" t="str">
        <f>Shares!B150</f>
        <v/>
      </c>
      <c r="AB150" s="243" t="str">
        <f>Shares!C150</f>
        <v/>
      </c>
      <c r="AC150" s="243" t="str">
        <f>Shares!D150</f>
        <v/>
      </c>
      <c r="AD150" s="243">
        <f>IF($Z150="",0,Shares!E150)</f>
        <v>0</v>
      </c>
      <c r="AE150" s="266">
        <f>IF($Z150="",0,Shares!J150*Shares!I150)</f>
        <v>0</v>
      </c>
      <c r="AF150" s="267">
        <f t="shared" si="35"/>
        <v>0</v>
      </c>
      <c r="AG150" s="266">
        <f>IF($Z150="",0,Shares!L150)</f>
        <v>0</v>
      </c>
      <c r="AH150" s="267">
        <f>IF($Z150="",0,Shares!M150)</f>
        <v>0</v>
      </c>
      <c r="AI150" s="243" t="str">
        <f>IF($Z150="","",RANK(AE150,$AE$2:$AE$1001)+COUNTIF($AE$2:AE150,AE150)-1)</f>
        <v/>
      </c>
      <c r="AJ150" s="243" t="str">
        <f>IF($AD150&lt;0,COUNT($AJ$1:AJ149)+1,"")</f>
        <v/>
      </c>
      <c r="AL150" s="243" t="str">
        <f>'All Ticker P&amp;L'!A150</f>
        <v/>
      </c>
      <c r="AM150" s="243" t="str">
        <f>'All Ticker P&amp;L'!B150</f>
        <v/>
      </c>
      <c r="AN150" s="243" t="str">
        <f>'All Ticker P&amp;L'!C150</f>
        <v/>
      </c>
      <c r="AO150" s="243" t="str">
        <f>'All Ticker P&amp;L'!D150</f>
        <v/>
      </c>
      <c r="AP150" s="243">
        <f>IF($AL150="",0,'All Ticker P&amp;L'!E150)</f>
        <v>0</v>
      </c>
      <c r="AQ150" s="266">
        <f>IF($AL150="",0,'All Ticker P&amp;L'!J150*'All Ticker P&amp;L'!I150)</f>
        <v>0</v>
      </c>
      <c r="AR150" s="266">
        <f>IF($AL150="",0,'All Ticker P&amp;L'!L150)</f>
        <v>0</v>
      </c>
      <c r="AS150" s="267">
        <f>IF($AL150="",0,'All Ticker P&amp;L'!M150)</f>
        <v>0</v>
      </c>
      <c r="AT150" s="243" t="str">
        <f>IF($AL150="","",RANK(AR150,$AR$2:$AR$1001)+COUNTIF($AR$2:AR150,AR150)-1)</f>
        <v/>
      </c>
      <c r="AU150" s="243" t="str">
        <f>IF($AL150="","",RANK(AV150,$AV$2:$AV$1001)+COUNTIF($AV$2:AV150,AV150)-1)</f>
        <v/>
      </c>
      <c r="AV150" s="266">
        <f t="shared" si="36"/>
        <v>0</v>
      </c>
    </row>
    <row r="151" spans="26:48" ht="15" customHeight="1" x14ac:dyDescent="0.2">
      <c r="Z151" s="243" t="str">
        <f>Shares!A151</f>
        <v/>
      </c>
      <c r="AA151" s="243" t="str">
        <f>Shares!B151</f>
        <v/>
      </c>
      <c r="AB151" s="243" t="str">
        <f>Shares!C151</f>
        <v/>
      </c>
      <c r="AC151" s="243" t="str">
        <f>Shares!D151</f>
        <v/>
      </c>
      <c r="AD151" s="243">
        <f>IF($Z151="",0,Shares!E151)</f>
        <v>0</v>
      </c>
      <c r="AE151" s="266">
        <f>IF($Z151="",0,Shares!J151*Shares!I151)</f>
        <v>0</v>
      </c>
      <c r="AF151" s="267">
        <f t="shared" si="35"/>
        <v>0</v>
      </c>
      <c r="AG151" s="266">
        <f>IF($Z151="",0,Shares!L151)</f>
        <v>0</v>
      </c>
      <c r="AH151" s="267">
        <f>IF($Z151="",0,Shares!M151)</f>
        <v>0</v>
      </c>
      <c r="AI151" s="243" t="str">
        <f>IF($Z151="","",RANK(AE151,$AE$2:$AE$1001)+COUNTIF($AE$2:AE151,AE151)-1)</f>
        <v/>
      </c>
      <c r="AJ151" s="243" t="str">
        <f>IF($AD151&lt;0,COUNT($AJ$1:AJ150)+1,"")</f>
        <v/>
      </c>
      <c r="AL151" s="243" t="str">
        <f>'All Ticker P&amp;L'!A151</f>
        <v/>
      </c>
      <c r="AM151" s="243" t="str">
        <f>'All Ticker P&amp;L'!B151</f>
        <v/>
      </c>
      <c r="AN151" s="243" t="str">
        <f>'All Ticker P&amp;L'!C151</f>
        <v/>
      </c>
      <c r="AO151" s="243" t="str">
        <f>'All Ticker P&amp;L'!D151</f>
        <v/>
      </c>
      <c r="AP151" s="243">
        <f>IF($AL151="",0,'All Ticker P&amp;L'!E151)</f>
        <v>0</v>
      </c>
      <c r="AQ151" s="266">
        <f>IF($AL151="",0,'All Ticker P&amp;L'!J151*'All Ticker P&amp;L'!I151)</f>
        <v>0</v>
      </c>
      <c r="AR151" s="266">
        <f>IF($AL151="",0,'All Ticker P&amp;L'!L151)</f>
        <v>0</v>
      </c>
      <c r="AS151" s="267">
        <f>IF($AL151="",0,'All Ticker P&amp;L'!M151)</f>
        <v>0</v>
      </c>
      <c r="AT151" s="243" t="str">
        <f>IF($AL151="","",RANK(AR151,$AR$2:$AR$1001)+COUNTIF($AR$2:AR151,AR151)-1)</f>
        <v/>
      </c>
      <c r="AU151" s="243" t="str">
        <f>IF($AL151="","",RANK(AV151,$AV$2:$AV$1001)+COUNTIF($AV$2:AV151,AV151)-1)</f>
        <v/>
      </c>
      <c r="AV151" s="266">
        <f t="shared" si="36"/>
        <v>0</v>
      </c>
    </row>
    <row r="152" spans="26:48" ht="15" customHeight="1" x14ac:dyDescent="0.2">
      <c r="Z152" s="243" t="str">
        <f>Shares!A152</f>
        <v/>
      </c>
      <c r="AA152" s="243" t="str">
        <f>Shares!B152</f>
        <v/>
      </c>
      <c r="AB152" s="243" t="str">
        <f>Shares!C152</f>
        <v/>
      </c>
      <c r="AC152" s="243" t="str">
        <f>Shares!D152</f>
        <v/>
      </c>
      <c r="AD152" s="243">
        <f>IF($Z152="",0,Shares!E152)</f>
        <v>0</v>
      </c>
      <c r="AE152" s="266">
        <f>IF($Z152="",0,Shares!J152*Shares!I152)</f>
        <v>0</v>
      </c>
      <c r="AF152" s="267">
        <f t="shared" si="35"/>
        <v>0</v>
      </c>
      <c r="AG152" s="266">
        <f>IF($Z152="",0,Shares!L152)</f>
        <v>0</v>
      </c>
      <c r="AH152" s="267">
        <f>IF($Z152="",0,Shares!M152)</f>
        <v>0</v>
      </c>
      <c r="AI152" s="243" t="str">
        <f>IF($Z152="","",RANK(AE152,$AE$2:$AE$1001)+COUNTIF($AE$2:AE152,AE152)-1)</f>
        <v/>
      </c>
      <c r="AJ152" s="243" t="str">
        <f>IF($AD152&lt;0,COUNT($AJ$1:AJ151)+1,"")</f>
        <v/>
      </c>
      <c r="AL152" s="243" t="str">
        <f>'All Ticker P&amp;L'!A152</f>
        <v/>
      </c>
      <c r="AM152" s="243" t="str">
        <f>'All Ticker P&amp;L'!B152</f>
        <v/>
      </c>
      <c r="AN152" s="243" t="str">
        <f>'All Ticker P&amp;L'!C152</f>
        <v/>
      </c>
      <c r="AO152" s="243" t="str">
        <f>'All Ticker P&amp;L'!D152</f>
        <v/>
      </c>
      <c r="AP152" s="243">
        <f>IF($AL152="",0,'All Ticker P&amp;L'!E152)</f>
        <v>0</v>
      </c>
      <c r="AQ152" s="266">
        <f>IF($AL152="",0,'All Ticker P&amp;L'!J152*'All Ticker P&amp;L'!I152)</f>
        <v>0</v>
      </c>
      <c r="AR152" s="266">
        <f>IF($AL152="",0,'All Ticker P&amp;L'!L152)</f>
        <v>0</v>
      </c>
      <c r="AS152" s="267">
        <f>IF($AL152="",0,'All Ticker P&amp;L'!M152)</f>
        <v>0</v>
      </c>
      <c r="AT152" s="243" t="str">
        <f>IF($AL152="","",RANK(AR152,$AR$2:$AR$1001)+COUNTIF($AR$2:AR152,AR152)-1)</f>
        <v/>
      </c>
      <c r="AU152" s="243" t="str">
        <f>IF($AL152="","",RANK(AV152,$AV$2:$AV$1001)+COUNTIF($AV$2:AV152,AV152)-1)</f>
        <v/>
      </c>
      <c r="AV152" s="266">
        <f t="shared" si="36"/>
        <v>0</v>
      </c>
    </row>
    <row r="153" spans="26:48" ht="15" customHeight="1" x14ac:dyDescent="0.2">
      <c r="Z153" s="243" t="str">
        <f>Shares!A153</f>
        <v/>
      </c>
      <c r="AA153" s="243" t="str">
        <f>Shares!B153</f>
        <v/>
      </c>
      <c r="AB153" s="243" t="str">
        <f>Shares!C153</f>
        <v/>
      </c>
      <c r="AC153" s="243" t="str">
        <f>Shares!D153</f>
        <v/>
      </c>
      <c r="AD153" s="243">
        <f>IF($Z153="",0,Shares!E153)</f>
        <v>0</v>
      </c>
      <c r="AE153" s="266">
        <f>IF($Z153="",0,Shares!J153*Shares!I153)</f>
        <v>0</v>
      </c>
      <c r="AF153" s="267">
        <f t="shared" si="35"/>
        <v>0</v>
      </c>
      <c r="AG153" s="266">
        <f>IF($Z153="",0,Shares!L153)</f>
        <v>0</v>
      </c>
      <c r="AH153" s="267">
        <f>IF($Z153="",0,Shares!M153)</f>
        <v>0</v>
      </c>
      <c r="AI153" s="243" t="str">
        <f>IF($Z153="","",RANK(AE153,$AE$2:$AE$1001)+COUNTIF($AE$2:AE153,AE153)-1)</f>
        <v/>
      </c>
      <c r="AJ153" s="243" t="str">
        <f>IF($AD153&lt;0,COUNT($AJ$1:AJ152)+1,"")</f>
        <v/>
      </c>
      <c r="AL153" s="243" t="str">
        <f>'All Ticker P&amp;L'!A153</f>
        <v/>
      </c>
      <c r="AM153" s="243" t="str">
        <f>'All Ticker P&amp;L'!B153</f>
        <v/>
      </c>
      <c r="AN153" s="243" t="str">
        <f>'All Ticker P&amp;L'!C153</f>
        <v/>
      </c>
      <c r="AO153" s="243" t="str">
        <f>'All Ticker P&amp;L'!D153</f>
        <v/>
      </c>
      <c r="AP153" s="243">
        <f>IF($AL153="",0,'All Ticker P&amp;L'!E153)</f>
        <v>0</v>
      </c>
      <c r="AQ153" s="266">
        <f>IF($AL153="",0,'All Ticker P&amp;L'!J153*'All Ticker P&amp;L'!I153)</f>
        <v>0</v>
      </c>
      <c r="AR153" s="266">
        <f>IF($AL153="",0,'All Ticker P&amp;L'!L153)</f>
        <v>0</v>
      </c>
      <c r="AS153" s="267">
        <f>IF($AL153="",0,'All Ticker P&amp;L'!M153)</f>
        <v>0</v>
      </c>
      <c r="AT153" s="243" t="str">
        <f>IF($AL153="","",RANK(AR153,$AR$2:$AR$1001)+COUNTIF($AR$2:AR153,AR153)-1)</f>
        <v/>
      </c>
      <c r="AU153" s="243" t="str">
        <f>IF($AL153="","",RANK(AV153,$AV$2:$AV$1001)+COUNTIF($AV$2:AV153,AV153)-1)</f>
        <v/>
      </c>
      <c r="AV153" s="266">
        <f t="shared" si="36"/>
        <v>0</v>
      </c>
    </row>
    <row r="154" spans="26:48" ht="15" customHeight="1" x14ac:dyDescent="0.2">
      <c r="Z154" s="243" t="str">
        <f>Shares!A154</f>
        <v/>
      </c>
      <c r="AA154" s="243" t="str">
        <f>Shares!B154</f>
        <v/>
      </c>
      <c r="AB154" s="243" t="str">
        <f>Shares!C154</f>
        <v/>
      </c>
      <c r="AC154" s="243" t="str">
        <f>Shares!D154</f>
        <v/>
      </c>
      <c r="AD154" s="243">
        <f>IF($Z154="",0,Shares!E154)</f>
        <v>0</v>
      </c>
      <c r="AE154" s="266">
        <f>IF($Z154="",0,Shares!J154*Shares!I154)</f>
        <v>0</v>
      </c>
      <c r="AF154" s="267">
        <f t="shared" si="35"/>
        <v>0</v>
      </c>
      <c r="AG154" s="266">
        <f>IF($Z154="",0,Shares!L154)</f>
        <v>0</v>
      </c>
      <c r="AH154" s="267">
        <f>IF($Z154="",0,Shares!M154)</f>
        <v>0</v>
      </c>
      <c r="AI154" s="243" t="str">
        <f>IF($Z154="","",RANK(AE154,$AE$2:$AE$1001)+COUNTIF($AE$2:AE154,AE154)-1)</f>
        <v/>
      </c>
      <c r="AJ154" s="243" t="str">
        <f>IF($AD154&lt;0,COUNT($AJ$1:AJ153)+1,"")</f>
        <v/>
      </c>
      <c r="AL154" s="243" t="str">
        <f>'All Ticker P&amp;L'!A154</f>
        <v/>
      </c>
      <c r="AM154" s="243" t="str">
        <f>'All Ticker P&amp;L'!B154</f>
        <v/>
      </c>
      <c r="AN154" s="243" t="str">
        <f>'All Ticker P&amp;L'!C154</f>
        <v/>
      </c>
      <c r="AO154" s="243" t="str">
        <f>'All Ticker P&amp;L'!D154</f>
        <v/>
      </c>
      <c r="AP154" s="243">
        <f>IF($AL154="",0,'All Ticker P&amp;L'!E154)</f>
        <v>0</v>
      </c>
      <c r="AQ154" s="266">
        <f>IF($AL154="",0,'All Ticker P&amp;L'!J154*'All Ticker P&amp;L'!I154)</f>
        <v>0</v>
      </c>
      <c r="AR154" s="266">
        <f>IF($AL154="",0,'All Ticker P&amp;L'!L154)</f>
        <v>0</v>
      </c>
      <c r="AS154" s="267">
        <f>IF($AL154="",0,'All Ticker P&amp;L'!M154)</f>
        <v>0</v>
      </c>
      <c r="AT154" s="243" t="str">
        <f>IF($AL154="","",RANK(AR154,$AR$2:$AR$1001)+COUNTIF($AR$2:AR154,AR154)-1)</f>
        <v/>
      </c>
      <c r="AU154" s="243" t="str">
        <f>IF($AL154="","",RANK(AV154,$AV$2:$AV$1001)+COUNTIF($AV$2:AV154,AV154)-1)</f>
        <v/>
      </c>
      <c r="AV154" s="266">
        <f t="shared" si="36"/>
        <v>0</v>
      </c>
    </row>
    <row r="155" spans="26:48" ht="15" customHeight="1" x14ac:dyDescent="0.2">
      <c r="Z155" s="243" t="str">
        <f>Shares!A155</f>
        <v/>
      </c>
      <c r="AA155" s="243" t="str">
        <f>Shares!B155</f>
        <v/>
      </c>
      <c r="AB155" s="243" t="str">
        <f>Shares!C155</f>
        <v/>
      </c>
      <c r="AC155" s="243" t="str">
        <f>Shares!D155</f>
        <v/>
      </c>
      <c r="AD155" s="243">
        <f>IF($Z155="",0,Shares!E155)</f>
        <v>0</v>
      </c>
      <c r="AE155" s="266">
        <f>IF($Z155="",0,Shares!J155*Shares!I155)</f>
        <v>0</v>
      </c>
      <c r="AF155" s="267">
        <f t="shared" si="35"/>
        <v>0</v>
      </c>
      <c r="AG155" s="266">
        <f>IF($Z155="",0,Shares!L155)</f>
        <v>0</v>
      </c>
      <c r="AH155" s="267">
        <f>IF($Z155="",0,Shares!M155)</f>
        <v>0</v>
      </c>
      <c r="AI155" s="243" t="str">
        <f>IF($Z155="","",RANK(AE155,$AE$2:$AE$1001)+COUNTIF($AE$2:AE155,AE155)-1)</f>
        <v/>
      </c>
      <c r="AJ155" s="243" t="str">
        <f>IF($AD155&lt;0,COUNT($AJ$1:AJ154)+1,"")</f>
        <v/>
      </c>
      <c r="AL155" s="243" t="str">
        <f>'All Ticker P&amp;L'!A155</f>
        <v/>
      </c>
      <c r="AM155" s="243" t="str">
        <f>'All Ticker P&amp;L'!B155</f>
        <v/>
      </c>
      <c r="AN155" s="243" t="str">
        <f>'All Ticker P&amp;L'!C155</f>
        <v/>
      </c>
      <c r="AO155" s="243" t="str">
        <f>'All Ticker P&amp;L'!D155</f>
        <v/>
      </c>
      <c r="AP155" s="243">
        <f>IF($AL155="",0,'All Ticker P&amp;L'!E155)</f>
        <v>0</v>
      </c>
      <c r="AQ155" s="266">
        <f>IF($AL155="",0,'All Ticker P&amp;L'!J155*'All Ticker P&amp;L'!I155)</f>
        <v>0</v>
      </c>
      <c r="AR155" s="266">
        <f>IF($AL155="",0,'All Ticker P&amp;L'!L155)</f>
        <v>0</v>
      </c>
      <c r="AS155" s="267">
        <f>IF($AL155="",0,'All Ticker P&amp;L'!M155)</f>
        <v>0</v>
      </c>
      <c r="AT155" s="243" t="str">
        <f>IF($AL155="","",RANK(AR155,$AR$2:$AR$1001)+COUNTIF($AR$2:AR155,AR155)-1)</f>
        <v/>
      </c>
      <c r="AU155" s="243" t="str">
        <f>IF($AL155="","",RANK(AV155,$AV$2:$AV$1001)+COUNTIF($AV$2:AV155,AV155)-1)</f>
        <v/>
      </c>
      <c r="AV155" s="266">
        <f t="shared" si="36"/>
        <v>0</v>
      </c>
    </row>
    <row r="156" spans="26:48" ht="15" customHeight="1" x14ac:dyDescent="0.2">
      <c r="Z156" s="243" t="str">
        <f>Shares!A156</f>
        <v/>
      </c>
      <c r="AA156" s="243" t="str">
        <f>Shares!B156</f>
        <v/>
      </c>
      <c r="AB156" s="243" t="str">
        <f>Shares!C156</f>
        <v/>
      </c>
      <c r="AC156" s="243" t="str">
        <f>Shares!D156</f>
        <v/>
      </c>
      <c r="AD156" s="243">
        <f>IF($Z156="",0,Shares!E156)</f>
        <v>0</v>
      </c>
      <c r="AE156" s="266">
        <f>IF($Z156="",0,Shares!J156*Shares!I156)</f>
        <v>0</v>
      </c>
      <c r="AF156" s="267">
        <f t="shared" si="35"/>
        <v>0</v>
      </c>
      <c r="AG156" s="266">
        <f>IF($Z156="",0,Shares!L156)</f>
        <v>0</v>
      </c>
      <c r="AH156" s="267">
        <f>IF($Z156="",0,Shares!M156)</f>
        <v>0</v>
      </c>
      <c r="AI156" s="243" t="str">
        <f>IF($Z156="","",RANK(AE156,$AE$2:$AE$1001)+COUNTIF($AE$2:AE156,AE156)-1)</f>
        <v/>
      </c>
      <c r="AJ156" s="243" t="str">
        <f>IF($AD156&lt;0,COUNT($AJ$1:AJ155)+1,"")</f>
        <v/>
      </c>
      <c r="AL156" s="243" t="str">
        <f>'All Ticker P&amp;L'!A156</f>
        <v/>
      </c>
      <c r="AM156" s="243" t="str">
        <f>'All Ticker P&amp;L'!B156</f>
        <v/>
      </c>
      <c r="AN156" s="243" t="str">
        <f>'All Ticker P&amp;L'!C156</f>
        <v/>
      </c>
      <c r="AO156" s="243" t="str">
        <f>'All Ticker P&amp;L'!D156</f>
        <v/>
      </c>
      <c r="AP156" s="243">
        <f>IF($AL156="",0,'All Ticker P&amp;L'!E156)</f>
        <v>0</v>
      </c>
      <c r="AQ156" s="266">
        <f>IF($AL156="",0,'All Ticker P&amp;L'!J156*'All Ticker P&amp;L'!I156)</f>
        <v>0</v>
      </c>
      <c r="AR156" s="266">
        <f>IF($AL156="",0,'All Ticker P&amp;L'!L156)</f>
        <v>0</v>
      </c>
      <c r="AS156" s="267">
        <f>IF($AL156="",0,'All Ticker P&amp;L'!M156)</f>
        <v>0</v>
      </c>
      <c r="AT156" s="243" t="str">
        <f>IF($AL156="","",RANK(AR156,$AR$2:$AR$1001)+COUNTIF($AR$2:AR156,AR156)-1)</f>
        <v/>
      </c>
      <c r="AU156" s="243" t="str">
        <f>IF($AL156="","",RANK(AV156,$AV$2:$AV$1001)+COUNTIF($AV$2:AV156,AV156)-1)</f>
        <v/>
      </c>
      <c r="AV156" s="266">
        <f t="shared" si="36"/>
        <v>0</v>
      </c>
    </row>
    <row r="157" spans="26:48" ht="15" customHeight="1" x14ac:dyDescent="0.2">
      <c r="Z157" s="243" t="str">
        <f>Shares!A157</f>
        <v/>
      </c>
      <c r="AA157" s="243" t="str">
        <f>Shares!B157</f>
        <v/>
      </c>
      <c r="AB157" s="243" t="str">
        <f>Shares!C157</f>
        <v/>
      </c>
      <c r="AC157" s="243" t="str">
        <f>Shares!D157</f>
        <v/>
      </c>
      <c r="AD157" s="243">
        <f>IF($Z157="",0,Shares!E157)</f>
        <v>0</v>
      </c>
      <c r="AE157" s="266">
        <f>IF($Z157="",0,Shares!J157*Shares!I157)</f>
        <v>0</v>
      </c>
      <c r="AF157" s="267">
        <f t="shared" si="35"/>
        <v>0</v>
      </c>
      <c r="AG157" s="266">
        <f>IF($Z157="",0,Shares!L157)</f>
        <v>0</v>
      </c>
      <c r="AH157" s="267">
        <f>IF($Z157="",0,Shares!M157)</f>
        <v>0</v>
      </c>
      <c r="AI157" s="243" t="str">
        <f>IF($Z157="","",RANK(AE157,$AE$2:$AE$1001)+COUNTIF($AE$2:AE157,AE157)-1)</f>
        <v/>
      </c>
      <c r="AJ157" s="243" t="str">
        <f>IF($AD157&lt;0,COUNT($AJ$1:AJ156)+1,"")</f>
        <v/>
      </c>
      <c r="AL157" s="243" t="str">
        <f>'All Ticker P&amp;L'!A157</f>
        <v/>
      </c>
      <c r="AM157" s="243" t="str">
        <f>'All Ticker P&amp;L'!B157</f>
        <v/>
      </c>
      <c r="AN157" s="243" t="str">
        <f>'All Ticker P&amp;L'!C157</f>
        <v/>
      </c>
      <c r="AO157" s="243" t="str">
        <f>'All Ticker P&amp;L'!D157</f>
        <v/>
      </c>
      <c r="AP157" s="243">
        <f>IF($AL157="",0,'All Ticker P&amp;L'!E157)</f>
        <v>0</v>
      </c>
      <c r="AQ157" s="266">
        <f>IF($AL157="",0,'All Ticker P&amp;L'!J157*'All Ticker P&amp;L'!I157)</f>
        <v>0</v>
      </c>
      <c r="AR157" s="266">
        <f>IF($AL157="",0,'All Ticker P&amp;L'!L157)</f>
        <v>0</v>
      </c>
      <c r="AS157" s="267">
        <f>IF($AL157="",0,'All Ticker P&amp;L'!M157)</f>
        <v>0</v>
      </c>
      <c r="AT157" s="243" t="str">
        <f>IF($AL157="","",RANK(AR157,$AR$2:$AR$1001)+COUNTIF($AR$2:AR157,AR157)-1)</f>
        <v/>
      </c>
      <c r="AU157" s="243" t="str">
        <f>IF($AL157="","",RANK(AV157,$AV$2:$AV$1001)+COUNTIF($AV$2:AV157,AV157)-1)</f>
        <v/>
      </c>
      <c r="AV157" s="266">
        <f t="shared" si="36"/>
        <v>0</v>
      </c>
    </row>
    <row r="158" spans="26:48" ht="15" customHeight="1" x14ac:dyDescent="0.2">
      <c r="Z158" s="243" t="str">
        <f>Shares!A158</f>
        <v/>
      </c>
      <c r="AA158" s="243" t="str">
        <f>Shares!B158</f>
        <v/>
      </c>
      <c r="AB158" s="243" t="str">
        <f>Shares!C158</f>
        <v/>
      </c>
      <c r="AC158" s="243" t="str">
        <f>Shares!D158</f>
        <v/>
      </c>
      <c r="AD158" s="243">
        <f>IF($Z158="",0,Shares!E158)</f>
        <v>0</v>
      </c>
      <c r="AE158" s="266">
        <f>IF($Z158="",0,Shares!J158*Shares!I158)</f>
        <v>0</v>
      </c>
      <c r="AF158" s="267">
        <f t="shared" si="35"/>
        <v>0</v>
      </c>
      <c r="AG158" s="266">
        <f>IF($Z158="",0,Shares!L158)</f>
        <v>0</v>
      </c>
      <c r="AH158" s="267">
        <f>IF($Z158="",0,Shares!M158)</f>
        <v>0</v>
      </c>
      <c r="AI158" s="243" t="str">
        <f>IF($Z158="","",RANK(AE158,$AE$2:$AE$1001)+COUNTIF($AE$2:AE158,AE158)-1)</f>
        <v/>
      </c>
      <c r="AJ158" s="243" t="str">
        <f>IF($AD158&lt;0,COUNT($AJ$1:AJ157)+1,"")</f>
        <v/>
      </c>
      <c r="AL158" s="243" t="str">
        <f>'All Ticker P&amp;L'!A158</f>
        <v/>
      </c>
      <c r="AM158" s="243" t="str">
        <f>'All Ticker P&amp;L'!B158</f>
        <v/>
      </c>
      <c r="AN158" s="243" t="str">
        <f>'All Ticker P&amp;L'!C158</f>
        <v/>
      </c>
      <c r="AO158" s="243" t="str">
        <f>'All Ticker P&amp;L'!D158</f>
        <v/>
      </c>
      <c r="AP158" s="243">
        <f>IF($AL158="",0,'All Ticker P&amp;L'!E158)</f>
        <v>0</v>
      </c>
      <c r="AQ158" s="266">
        <f>IF($AL158="",0,'All Ticker P&amp;L'!J158*'All Ticker P&amp;L'!I158)</f>
        <v>0</v>
      </c>
      <c r="AR158" s="266">
        <f>IF($AL158="",0,'All Ticker P&amp;L'!L158)</f>
        <v>0</v>
      </c>
      <c r="AS158" s="267">
        <f>IF($AL158="",0,'All Ticker P&amp;L'!M158)</f>
        <v>0</v>
      </c>
      <c r="AT158" s="243" t="str">
        <f>IF($AL158="","",RANK(AR158,$AR$2:$AR$1001)+COUNTIF($AR$2:AR158,AR158)-1)</f>
        <v/>
      </c>
      <c r="AU158" s="243" t="str">
        <f>IF($AL158="","",RANK(AV158,$AV$2:$AV$1001)+COUNTIF($AV$2:AV158,AV158)-1)</f>
        <v/>
      </c>
      <c r="AV158" s="266">
        <f t="shared" si="36"/>
        <v>0</v>
      </c>
    </row>
    <row r="159" spans="26:48" ht="15" customHeight="1" x14ac:dyDescent="0.2">
      <c r="Z159" s="243" t="str">
        <f>Shares!A159</f>
        <v/>
      </c>
      <c r="AA159" s="243" t="str">
        <f>Shares!B159</f>
        <v/>
      </c>
      <c r="AB159" s="243" t="str">
        <f>Shares!C159</f>
        <v/>
      </c>
      <c r="AC159" s="243" t="str">
        <f>Shares!D159</f>
        <v/>
      </c>
      <c r="AD159" s="243">
        <f>IF($Z159="",0,Shares!E159)</f>
        <v>0</v>
      </c>
      <c r="AE159" s="266">
        <f>IF($Z159="",0,Shares!J159*Shares!I159)</f>
        <v>0</v>
      </c>
      <c r="AF159" s="267">
        <f t="shared" si="35"/>
        <v>0</v>
      </c>
      <c r="AG159" s="266">
        <f>IF($Z159="",0,Shares!L159)</f>
        <v>0</v>
      </c>
      <c r="AH159" s="267">
        <f>IF($Z159="",0,Shares!M159)</f>
        <v>0</v>
      </c>
      <c r="AI159" s="243" t="str">
        <f>IF($Z159="","",RANK(AE159,$AE$2:$AE$1001)+COUNTIF($AE$2:AE159,AE159)-1)</f>
        <v/>
      </c>
      <c r="AJ159" s="243" t="str">
        <f>IF($AD159&lt;0,COUNT($AJ$1:AJ158)+1,"")</f>
        <v/>
      </c>
      <c r="AL159" s="243" t="str">
        <f>'All Ticker P&amp;L'!A159</f>
        <v/>
      </c>
      <c r="AM159" s="243" t="str">
        <f>'All Ticker P&amp;L'!B159</f>
        <v/>
      </c>
      <c r="AN159" s="243" t="str">
        <f>'All Ticker P&amp;L'!C159</f>
        <v/>
      </c>
      <c r="AO159" s="243" t="str">
        <f>'All Ticker P&amp;L'!D159</f>
        <v/>
      </c>
      <c r="AP159" s="243">
        <f>IF($AL159="",0,'All Ticker P&amp;L'!E159)</f>
        <v>0</v>
      </c>
      <c r="AQ159" s="266">
        <f>IF($AL159="",0,'All Ticker P&amp;L'!J159*'All Ticker P&amp;L'!I159)</f>
        <v>0</v>
      </c>
      <c r="AR159" s="266">
        <f>IF($AL159="",0,'All Ticker P&amp;L'!L159)</f>
        <v>0</v>
      </c>
      <c r="AS159" s="267">
        <f>IF($AL159="",0,'All Ticker P&amp;L'!M159)</f>
        <v>0</v>
      </c>
      <c r="AT159" s="243" t="str">
        <f>IF($AL159="","",RANK(AR159,$AR$2:$AR$1001)+COUNTIF($AR$2:AR159,AR159)-1)</f>
        <v/>
      </c>
      <c r="AU159" s="243" t="str">
        <f>IF($AL159="","",RANK(AV159,$AV$2:$AV$1001)+COUNTIF($AV$2:AV159,AV159)-1)</f>
        <v/>
      </c>
      <c r="AV159" s="266">
        <f t="shared" si="36"/>
        <v>0</v>
      </c>
    </row>
    <row r="160" spans="26:48" ht="15" customHeight="1" x14ac:dyDescent="0.2">
      <c r="Z160" s="243" t="str">
        <f>Shares!A160</f>
        <v/>
      </c>
      <c r="AA160" s="243" t="str">
        <f>Shares!B160</f>
        <v/>
      </c>
      <c r="AB160" s="243" t="str">
        <f>Shares!C160</f>
        <v/>
      </c>
      <c r="AC160" s="243" t="str">
        <f>Shares!D160</f>
        <v/>
      </c>
      <c r="AD160" s="243">
        <f>IF($Z160="",0,Shares!E160)</f>
        <v>0</v>
      </c>
      <c r="AE160" s="266">
        <f>IF($Z160="",0,Shares!J160*Shares!I160)</f>
        <v>0</v>
      </c>
      <c r="AF160" s="267">
        <f t="shared" si="35"/>
        <v>0</v>
      </c>
      <c r="AG160" s="266">
        <f>IF($Z160="",0,Shares!L160)</f>
        <v>0</v>
      </c>
      <c r="AH160" s="267">
        <f>IF($Z160="",0,Shares!M160)</f>
        <v>0</v>
      </c>
      <c r="AI160" s="243" t="str">
        <f>IF($Z160="","",RANK(AE160,$AE$2:$AE$1001)+COUNTIF($AE$2:AE160,AE160)-1)</f>
        <v/>
      </c>
      <c r="AJ160" s="243" t="str">
        <f>IF($AD160&lt;0,COUNT($AJ$1:AJ159)+1,"")</f>
        <v/>
      </c>
      <c r="AL160" s="243" t="str">
        <f>'All Ticker P&amp;L'!A160</f>
        <v/>
      </c>
      <c r="AM160" s="243" t="str">
        <f>'All Ticker P&amp;L'!B160</f>
        <v/>
      </c>
      <c r="AN160" s="243" t="str">
        <f>'All Ticker P&amp;L'!C160</f>
        <v/>
      </c>
      <c r="AO160" s="243" t="str">
        <f>'All Ticker P&amp;L'!D160</f>
        <v/>
      </c>
      <c r="AP160" s="243">
        <f>IF($AL160="",0,'All Ticker P&amp;L'!E160)</f>
        <v>0</v>
      </c>
      <c r="AQ160" s="266">
        <f>IF($AL160="",0,'All Ticker P&amp;L'!J160*'All Ticker P&amp;L'!I160)</f>
        <v>0</v>
      </c>
      <c r="AR160" s="266">
        <f>IF($AL160="",0,'All Ticker P&amp;L'!L160)</f>
        <v>0</v>
      </c>
      <c r="AS160" s="267">
        <f>IF($AL160="",0,'All Ticker P&amp;L'!M160)</f>
        <v>0</v>
      </c>
      <c r="AT160" s="243" t="str">
        <f>IF($AL160="","",RANK(AR160,$AR$2:$AR$1001)+COUNTIF($AR$2:AR160,AR160)-1)</f>
        <v/>
      </c>
      <c r="AU160" s="243" t="str">
        <f>IF($AL160="","",RANK(AV160,$AV$2:$AV$1001)+COUNTIF($AV$2:AV160,AV160)-1)</f>
        <v/>
      </c>
      <c r="AV160" s="266">
        <f t="shared" si="36"/>
        <v>0</v>
      </c>
    </row>
    <row r="161" spans="26:48" ht="15" customHeight="1" x14ac:dyDescent="0.2">
      <c r="Z161" s="243" t="str">
        <f>Shares!A161</f>
        <v/>
      </c>
      <c r="AA161" s="243" t="str">
        <f>Shares!B161</f>
        <v/>
      </c>
      <c r="AB161" s="243" t="str">
        <f>Shares!C161</f>
        <v/>
      </c>
      <c r="AC161" s="243" t="str">
        <f>Shares!D161</f>
        <v/>
      </c>
      <c r="AD161" s="243">
        <f>IF($Z161="",0,Shares!E161)</f>
        <v>0</v>
      </c>
      <c r="AE161" s="266">
        <f>IF($Z161="",0,Shares!J161*Shares!I161)</f>
        <v>0</v>
      </c>
      <c r="AF161" s="267">
        <f t="shared" si="35"/>
        <v>0</v>
      </c>
      <c r="AG161" s="266">
        <f>IF($Z161="",0,Shares!L161)</f>
        <v>0</v>
      </c>
      <c r="AH161" s="267">
        <f>IF($Z161="",0,Shares!M161)</f>
        <v>0</v>
      </c>
      <c r="AI161" s="243" t="str">
        <f>IF($Z161="","",RANK(AE161,$AE$2:$AE$1001)+COUNTIF($AE$2:AE161,AE161)-1)</f>
        <v/>
      </c>
      <c r="AJ161" s="243" t="str">
        <f>IF($AD161&lt;0,COUNT($AJ$1:AJ160)+1,"")</f>
        <v/>
      </c>
      <c r="AL161" s="243" t="str">
        <f>'All Ticker P&amp;L'!A161</f>
        <v/>
      </c>
      <c r="AM161" s="243" t="str">
        <f>'All Ticker P&amp;L'!B161</f>
        <v/>
      </c>
      <c r="AN161" s="243" t="str">
        <f>'All Ticker P&amp;L'!C161</f>
        <v/>
      </c>
      <c r="AO161" s="243" t="str">
        <f>'All Ticker P&amp;L'!D161</f>
        <v/>
      </c>
      <c r="AP161" s="243">
        <f>IF($AL161="",0,'All Ticker P&amp;L'!E161)</f>
        <v>0</v>
      </c>
      <c r="AQ161" s="266">
        <f>IF($AL161="",0,'All Ticker P&amp;L'!J161*'All Ticker P&amp;L'!I161)</f>
        <v>0</v>
      </c>
      <c r="AR161" s="266">
        <f>IF($AL161="",0,'All Ticker P&amp;L'!L161)</f>
        <v>0</v>
      </c>
      <c r="AS161" s="267">
        <f>IF($AL161="",0,'All Ticker P&amp;L'!M161)</f>
        <v>0</v>
      </c>
      <c r="AT161" s="243" t="str">
        <f>IF($AL161="","",RANK(AR161,$AR$2:$AR$1001)+COUNTIF($AR$2:AR161,AR161)-1)</f>
        <v/>
      </c>
      <c r="AU161" s="243" t="str">
        <f>IF($AL161="","",RANK(AV161,$AV$2:$AV$1001)+COUNTIF($AV$2:AV161,AV161)-1)</f>
        <v/>
      </c>
      <c r="AV161" s="266">
        <f t="shared" si="36"/>
        <v>0</v>
      </c>
    </row>
    <row r="162" spans="26:48" ht="15" customHeight="1" x14ac:dyDescent="0.2">
      <c r="Z162" s="243" t="str">
        <f>Shares!A162</f>
        <v/>
      </c>
      <c r="AA162" s="243" t="str">
        <f>Shares!B162</f>
        <v/>
      </c>
      <c r="AB162" s="243" t="str">
        <f>Shares!C162</f>
        <v/>
      </c>
      <c r="AC162" s="243" t="str">
        <f>Shares!D162</f>
        <v/>
      </c>
      <c r="AD162" s="243">
        <f>IF($Z162="",0,Shares!E162)</f>
        <v>0</v>
      </c>
      <c r="AE162" s="266">
        <f>IF($Z162="",0,Shares!J162*Shares!I162)</f>
        <v>0</v>
      </c>
      <c r="AF162" s="267">
        <f t="shared" si="35"/>
        <v>0</v>
      </c>
      <c r="AG162" s="266">
        <f>IF($Z162="",0,Shares!L162)</f>
        <v>0</v>
      </c>
      <c r="AH162" s="267">
        <f>IF($Z162="",0,Shares!M162)</f>
        <v>0</v>
      </c>
      <c r="AI162" s="243" t="str">
        <f>IF($Z162="","",RANK(AE162,$AE$2:$AE$1001)+COUNTIF($AE$2:AE162,AE162)-1)</f>
        <v/>
      </c>
      <c r="AJ162" s="243" t="str">
        <f>IF($AD162&lt;0,COUNT($AJ$1:AJ161)+1,"")</f>
        <v/>
      </c>
      <c r="AL162" s="243" t="str">
        <f>'All Ticker P&amp;L'!A162</f>
        <v/>
      </c>
      <c r="AM162" s="243" t="str">
        <f>'All Ticker P&amp;L'!B162</f>
        <v/>
      </c>
      <c r="AN162" s="243" t="str">
        <f>'All Ticker P&amp;L'!C162</f>
        <v/>
      </c>
      <c r="AO162" s="243" t="str">
        <f>'All Ticker P&amp;L'!D162</f>
        <v/>
      </c>
      <c r="AP162" s="243">
        <f>IF($AL162="",0,'All Ticker P&amp;L'!E162)</f>
        <v>0</v>
      </c>
      <c r="AQ162" s="266">
        <f>IF($AL162="",0,'All Ticker P&amp;L'!J162*'All Ticker P&amp;L'!I162)</f>
        <v>0</v>
      </c>
      <c r="AR162" s="266">
        <f>IF($AL162="",0,'All Ticker P&amp;L'!L162)</f>
        <v>0</v>
      </c>
      <c r="AS162" s="267">
        <f>IF($AL162="",0,'All Ticker P&amp;L'!M162)</f>
        <v>0</v>
      </c>
      <c r="AT162" s="243" t="str">
        <f>IF($AL162="","",RANK(AR162,$AR$2:$AR$1001)+COUNTIF($AR$2:AR162,AR162)-1)</f>
        <v/>
      </c>
      <c r="AU162" s="243" t="str">
        <f>IF($AL162="","",RANK(AV162,$AV$2:$AV$1001)+COUNTIF($AV$2:AV162,AV162)-1)</f>
        <v/>
      </c>
      <c r="AV162" s="266">
        <f t="shared" si="36"/>
        <v>0</v>
      </c>
    </row>
    <row r="163" spans="26:48" ht="15" customHeight="1" x14ac:dyDescent="0.2">
      <c r="Z163" s="243" t="str">
        <f>Shares!A163</f>
        <v/>
      </c>
      <c r="AA163" s="243" t="str">
        <f>Shares!B163</f>
        <v/>
      </c>
      <c r="AB163" s="243" t="str">
        <f>Shares!C163</f>
        <v/>
      </c>
      <c r="AC163" s="243" t="str">
        <f>Shares!D163</f>
        <v/>
      </c>
      <c r="AD163" s="243">
        <f>IF($Z163="",0,Shares!E163)</f>
        <v>0</v>
      </c>
      <c r="AE163" s="266">
        <f>IF($Z163="",0,Shares!J163*Shares!I163)</f>
        <v>0</v>
      </c>
      <c r="AF163" s="267">
        <f t="shared" si="35"/>
        <v>0</v>
      </c>
      <c r="AG163" s="266">
        <f>IF($Z163="",0,Shares!L163)</f>
        <v>0</v>
      </c>
      <c r="AH163" s="267">
        <f>IF($Z163="",0,Shares!M163)</f>
        <v>0</v>
      </c>
      <c r="AI163" s="243" t="str">
        <f>IF($Z163="","",RANK(AE163,$AE$2:$AE$1001)+COUNTIF($AE$2:AE163,AE163)-1)</f>
        <v/>
      </c>
      <c r="AJ163" s="243" t="str">
        <f>IF($AD163&lt;0,COUNT($AJ$1:AJ162)+1,"")</f>
        <v/>
      </c>
      <c r="AL163" s="243" t="str">
        <f>'All Ticker P&amp;L'!A163</f>
        <v/>
      </c>
      <c r="AM163" s="243" t="str">
        <f>'All Ticker P&amp;L'!B163</f>
        <v/>
      </c>
      <c r="AN163" s="243" t="str">
        <f>'All Ticker P&amp;L'!C163</f>
        <v/>
      </c>
      <c r="AO163" s="243" t="str">
        <f>'All Ticker P&amp;L'!D163</f>
        <v/>
      </c>
      <c r="AP163" s="243">
        <f>IF($AL163="",0,'All Ticker P&amp;L'!E163)</f>
        <v>0</v>
      </c>
      <c r="AQ163" s="266">
        <f>IF($AL163="",0,'All Ticker P&amp;L'!J163*'All Ticker P&amp;L'!I163)</f>
        <v>0</v>
      </c>
      <c r="AR163" s="266">
        <f>IF($AL163="",0,'All Ticker P&amp;L'!L163)</f>
        <v>0</v>
      </c>
      <c r="AS163" s="267">
        <f>IF($AL163="",0,'All Ticker P&amp;L'!M163)</f>
        <v>0</v>
      </c>
      <c r="AT163" s="243" t="str">
        <f>IF($AL163="","",RANK(AR163,$AR$2:$AR$1001)+COUNTIF($AR$2:AR163,AR163)-1)</f>
        <v/>
      </c>
      <c r="AU163" s="243" t="str">
        <f>IF($AL163="","",RANK(AV163,$AV$2:$AV$1001)+COUNTIF($AV$2:AV163,AV163)-1)</f>
        <v/>
      </c>
      <c r="AV163" s="266">
        <f t="shared" si="36"/>
        <v>0</v>
      </c>
    </row>
    <row r="164" spans="26:48" ht="15" customHeight="1" x14ac:dyDescent="0.2">
      <c r="Z164" s="243" t="str">
        <f>Shares!A164</f>
        <v/>
      </c>
      <c r="AA164" s="243" t="str">
        <f>Shares!B164</f>
        <v/>
      </c>
      <c r="AB164" s="243" t="str">
        <f>Shares!C164</f>
        <v/>
      </c>
      <c r="AC164" s="243" t="str">
        <f>Shares!D164</f>
        <v/>
      </c>
      <c r="AD164" s="243">
        <f>IF($Z164="",0,Shares!E164)</f>
        <v>0</v>
      </c>
      <c r="AE164" s="266">
        <f>IF($Z164="",0,Shares!J164*Shares!I164)</f>
        <v>0</v>
      </c>
      <c r="AF164" s="267">
        <f t="shared" si="35"/>
        <v>0</v>
      </c>
      <c r="AG164" s="266">
        <f>IF($Z164="",0,Shares!L164)</f>
        <v>0</v>
      </c>
      <c r="AH164" s="267">
        <f>IF($Z164="",0,Shares!M164)</f>
        <v>0</v>
      </c>
      <c r="AI164" s="243" t="str">
        <f>IF($Z164="","",RANK(AE164,$AE$2:$AE$1001)+COUNTIF($AE$2:AE164,AE164)-1)</f>
        <v/>
      </c>
      <c r="AJ164" s="243" t="str">
        <f>IF($AD164&lt;0,COUNT($AJ$1:AJ163)+1,"")</f>
        <v/>
      </c>
      <c r="AL164" s="243" t="str">
        <f>'All Ticker P&amp;L'!A164</f>
        <v/>
      </c>
      <c r="AM164" s="243" t="str">
        <f>'All Ticker P&amp;L'!B164</f>
        <v/>
      </c>
      <c r="AN164" s="243" t="str">
        <f>'All Ticker P&amp;L'!C164</f>
        <v/>
      </c>
      <c r="AO164" s="243" t="str">
        <f>'All Ticker P&amp;L'!D164</f>
        <v/>
      </c>
      <c r="AP164" s="243">
        <f>IF($AL164="",0,'All Ticker P&amp;L'!E164)</f>
        <v>0</v>
      </c>
      <c r="AQ164" s="266">
        <f>IF($AL164="",0,'All Ticker P&amp;L'!J164*'All Ticker P&amp;L'!I164)</f>
        <v>0</v>
      </c>
      <c r="AR164" s="266">
        <f>IF($AL164="",0,'All Ticker P&amp;L'!L164)</f>
        <v>0</v>
      </c>
      <c r="AS164" s="267">
        <f>IF($AL164="",0,'All Ticker P&amp;L'!M164)</f>
        <v>0</v>
      </c>
      <c r="AT164" s="243" t="str">
        <f>IF($AL164="","",RANK(AR164,$AR$2:$AR$1001)+COUNTIF($AR$2:AR164,AR164)-1)</f>
        <v/>
      </c>
      <c r="AU164" s="243" t="str">
        <f>IF($AL164="","",RANK(AV164,$AV$2:$AV$1001)+COUNTIF($AV$2:AV164,AV164)-1)</f>
        <v/>
      </c>
      <c r="AV164" s="266">
        <f t="shared" si="36"/>
        <v>0</v>
      </c>
    </row>
    <row r="165" spans="26:48" ht="15" customHeight="1" x14ac:dyDescent="0.2">
      <c r="Z165" s="243" t="str">
        <f>Shares!A165</f>
        <v/>
      </c>
      <c r="AA165" s="243" t="str">
        <f>Shares!B165</f>
        <v/>
      </c>
      <c r="AB165" s="243" t="str">
        <f>Shares!C165</f>
        <v/>
      </c>
      <c r="AC165" s="243" t="str">
        <f>Shares!D165</f>
        <v/>
      </c>
      <c r="AD165" s="243">
        <f>IF($Z165="",0,Shares!E165)</f>
        <v>0</v>
      </c>
      <c r="AE165" s="266">
        <f>IF($Z165="",0,Shares!J165*Shares!I165)</f>
        <v>0</v>
      </c>
      <c r="AF165" s="267">
        <f t="shared" si="35"/>
        <v>0</v>
      </c>
      <c r="AG165" s="266">
        <f>IF($Z165="",0,Shares!L165)</f>
        <v>0</v>
      </c>
      <c r="AH165" s="267">
        <f>IF($Z165="",0,Shares!M165)</f>
        <v>0</v>
      </c>
      <c r="AI165" s="243" t="str">
        <f>IF($Z165="","",RANK(AE165,$AE$2:$AE$1001)+COUNTIF($AE$2:AE165,AE165)-1)</f>
        <v/>
      </c>
      <c r="AJ165" s="243" t="str">
        <f>IF($AD165&lt;0,COUNT($AJ$1:AJ164)+1,"")</f>
        <v/>
      </c>
      <c r="AL165" s="243" t="str">
        <f>'All Ticker P&amp;L'!A165</f>
        <v/>
      </c>
      <c r="AM165" s="243" t="str">
        <f>'All Ticker P&amp;L'!B165</f>
        <v/>
      </c>
      <c r="AN165" s="243" t="str">
        <f>'All Ticker P&amp;L'!C165</f>
        <v/>
      </c>
      <c r="AO165" s="243" t="str">
        <f>'All Ticker P&amp;L'!D165</f>
        <v/>
      </c>
      <c r="AP165" s="243">
        <f>IF($AL165="",0,'All Ticker P&amp;L'!E165)</f>
        <v>0</v>
      </c>
      <c r="AQ165" s="266">
        <f>IF($AL165="",0,'All Ticker P&amp;L'!J165*'All Ticker P&amp;L'!I165)</f>
        <v>0</v>
      </c>
      <c r="AR165" s="266">
        <f>IF($AL165="",0,'All Ticker P&amp;L'!L165)</f>
        <v>0</v>
      </c>
      <c r="AS165" s="267">
        <f>IF($AL165="",0,'All Ticker P&amp;L'!M165)</f>
        <v>0</v>
      </c>
      <c r="AT165" s="243" t="str">
        <f>IF($AL165="","",RANK(AR165,$AR$2:$AR$1001)+COUNTIF($AR$2:AR165,AR165)-1)</f>
        <v/>
      </c>
      <c r="AU165" s="243" t="str">
        <f>IF($AL165="","",RANK(AV165,$AV$2:$AV$1001)+COUNTIF($AV$2:AV165,AV165)-1)</f>
        <v/>
      </c>
      <c r="AV165" s="266">
        <f t="shared" si="36"/>
        <v>0</v>
      </c>
    </row>
    <row r="166" spans="26:48" ht="15" customHeight="1" x14ac:dyDescent="0.2">
      <c r="Z166" s="243" t="str">
        <f>Shares!A166</f>
        <v/>
      </c>
      <c r="AA166" s="243" t="str">
        <f>Shares!B166</f>
        <v/>
      </c>
      <c r="AB166" s="243" t="str">
        <f>Shares!C166</f>
        <v/>
      </c>
      <c r="AC166" s="243" t="str">
        <f>Shares!D166</f>
        <v/>
      </c>
      <c r="AD166" s="243">
        <f>IF($Z166="",0,Shares!E166)</f>
        <v>0</v>
      </c>
      <c r="AE166" s="266">
        <f>IF($Z166="",0,Shares!J166*Shares!I166)</f>
        <v>0</v>
      </c>
      <c r="AF166" s="267">
        <f t="shared" si="35"/>
        <v>0</v>
      </c>
      <c r="AG166" s="266">
        <f>IF($Z166="",0,Shares!L166)</f>
        <v>0</v>
      </c>
      <c r="AH166" s="267">
        <f>IF($Z166="",0,Shares!M166)</f>
        <v>0</v>
      </c>
      <c r="AI166" s="243" t="str">
        <f>IF($Z166="","",RANK(AE166,$AE$2:$AE$1001)+COUNTIF($AE$2:AE166,AE166)-1)</f>
        <v/>
      </c>
      <c r="AJ166" s="243" t="str">
        <f>IF($AD166&lt;0,COUNT($AJ$1:AJ165)+1,"")</f>
        <v/>
      </c>
      <c r="AL166" s="243" t="str">
        <f>'All Ticker P&amp;L'!A166</f>
        <v/>
      </c>
      <c r="AM166" s="243" t="str">
        <f>'All Ticker P&amp;L'!B166</f>
        <v/>
      </c>
      <c r="AN166" s="243" t="str">
        <f>'All Ticker P&amp;L'!C166</f>
        <v/>
      </c>
      <c r="AO166" s="243" t="str">
        <f>'All Ticker P&amp;L'!D166</f>
        <v/>
      </c>
      <c r="AP166" s="243">
        <f>IF($AL166="",0,'All Ticker P&amp;L'!E166)</f>
        <v>0</v>
      </c>
      <c r="AQ166" s="266">
        <f>IF($AL166="",0,'All Ticker P&amp;L'!J166*'All Ticker P&amp;L'!I166)</f>
        <v>0</v>
      </c>
      <c r="AR166" s="266">
        <f>IF($AL166="",0,'All Ticker P&amp;L'!L166)</f>
        <v>0</v>
      </c>
      <c r="AS166" s="267">
        <f>IF($AL166="",0,'All Ticker P&amp;L'!M166)</f>
        <v>0</v>
      </c>
      <c r="AT166" s="243" t="str">
        <f>IF($AL166="","",RANK(AR166,$AR$2:$AR$1001)+COUNTIF($AR$2:AR166,AR166)-1)</f>
        <v/>
      </c>
      <c r="AU166" s="243" t="str">
        <f>IF($AL166="","",RANK(AV166,$AV$2:$AV$1001)+COUNTIF($AV$2:AV166,AV166)-1)</f>
        <v/>
      </c>
      <c r="AV166" s="266">
        <f t="shared" si="36"/>
        <v>0</v>
      </c>
    </row>
    <row r="167" spans="26:48" ht="15" customHeight="1" x14ac:dyDescent="0.2">
      <c r="Z167" s="243" t="str">
        <f>Shares!A167</f>
        <v/>
      </c>
      <c r="AA167" s="243" t="str">
        <f>Shares!B167</f>
        <v/>
      </c>
      <c r="AB167" s="243" t="str">
        <f>Shares!C167</f>
        <v/>
      </c>
      <c r="AC167" s="243" t="str">
        <f>Shares!D167</f>
        <v/>
      </c>
      <c r="AD167" s="243">
        <f>IF($Z167="",0,Shares!E167)</f>
        <v>0</v>
      </c>
      <c r="AE167" s="266">
        <f>IF($Z167="",0,Shares!J167*Shares!I167)</f>
        <v>0</v>
      </c>
      <c r="AF167" s="267">
        <f t="shared" si="35"/>
        <v>0</v>
      </c>
      <c r="AG167" s="266">
        <f>IF($Z167="",0,Shares!L167)</f>
        <v>0</v>
      </c>
      <c r="AH167" s="267">
        <f>IF($Z167="",0,Shares!M167)</f>
        <v>0</v>
      </c>
      <c r="AI167" s="243" t="str">
        <f>IF($Z167="","",RANK(AE167,$AE$2:$AE$1001)+COUNTIF($AE$2:AE167,AE167)-1)</f>
        <v/>
      </c>
      <c r="AJ167" s="243" t="str">
        <f>IF($AD167&lt;0,COUNT($AJ$1:AJ166)+1,"")</f>
        <v/>
      </c>
      <c r="AL167" s="243" t="str">
        <f>'All Ticker P&amp;L'!A167</f>
        <v/>
      </c>
      <c r="AM167" s="243" t="str">
        <f>'All Ticker P&amp;L'!B167</f>
        <v/>
      </c>
      <c r="AN167" s="243" t="str">
        <f>'All Ticker P&amp;L'!C167</f>
        <v/>
      </c>
      <c r="AO167" s="243" t="str">
        <f>'All Ticker P&amp;L'!D167</f>
        <v/>
      </c>
      <c r="AP167" s="243">
        <f>IF($AL167="",0,'All Ticker P&amp;L'!E167)</f>
        <v>0</v>
      </c>
      <c r="AQ167" s="266">
        <f>IF($AL167="",0,'All Ticker P&amp;L'!J167*'All Ticker P&amp;L'!I167)</f>
        <v>0</v>
      </c>
      <c r="AR167" s="266">
        <f>IF($AL167="",0,'All Ticker P&amp;L'!L167)</f>
        <v>0</v>
      </c>
      <c r="AS167" s="267">
        <f>IF($AL167="",0,'All Ticker P&amp;L'!M167)</f>
        <v>0</v>
      </c>
      <c r="AT167" s="243" t="str">
        <f>IF($AL167="","",RANK(AR167,$AR$2:$AR$1001)+COUNTIF($AR$2:AR167,AR167)-1)</f>
        <v/>
      </c>
      <c r="AU167" s="243" t="str">
        <f>IF($AL167="","",RANK(AV167,$AV$2:$AV$1001)+COUNTIF($AV$2:AV167,AV167)-1)</f>
        <v/>
      </c>
      <c r="AV167" s="266">
        <f t="shared" si="36"/>
        <v>0</v>
      </c>
    </row>
    <row r="168" spans="26:48" ht="15" customHeight="1" x14ac:dyDescent="0.2">
      <c r="Z168" s="243" t="str">
        <f>Shares!A168</f>
        <v/>
      </c>
      <c r="AA168" s="243" t="str">
        <f>Shares!B168</f>
        <v/>
      </c>
      <c r="AB168" s="243" t="str">
        <f>Shares!C168</f>
        <v/>
      </c>
      <c r="AC168" s="243" t="str">
        <f>Shares!D168</f>
        <v/>
      </c>
      <c r="AD168" s="243">
        <f>IF($Z168="",0,Shares!E168)</f>
        <v>0</v>
      </c>
      <c r="AE168" s="266">
        <f>IF($Z168="",0,Shares!J168*Shares!I168)</f>
        <v>0</v>
      </c>
      <c r="AF168" s="267">
        <f t="shared" si="35"/>
        <v>0</v>
      </c>
      <c r="AG168" s="266">
        <f>IF($Z168="",0,Shares!L168)</f>
        <v>0</v>
      </c>
      <c r="AH168" s="267">
        <f>IF($Z168="",0,Shares!M168)</f>
        <v>0</v>
      </c>
      <c r="AI168" s="243" t="str">
        <f>IF($Z168="","",RANK(AE168,$AE$2:$AE$1001)+COUNTIF($AE$2:AE168,AE168)-1)</f>
        <v/>
      </c>
      <c r="AJ168" s="243" t="str">
        <f>IF($AD168&lt;0,COUNT($AJ$1:AJ167)+1,"")</f>
        <v/>
      </c>
      <c r="AL168" s="243" t="str">
        <f>'All Ticker P&amp;L'!A168</f>
        <v/>
      </c>
      <c r="AM168" s="243" t="str">
        <f>'All Ticker P&amp;L'!B168</f>
        <v/>
      </c>
      <c r="AN168" s="243" t="str">
        <f>'All Ticker P&amp;L'!C168</f>
        <v/>
      </c>
      <c r="AO168" s="243" t="str">
        <f>'All Ticker P&amp;L'!D168</f>
        <v/>
      </c>
      <c r="AP168" s="243">
        <f>IF($AL168="",0,'All Ticker P&amp;L'!E168)</f>
        <v>0</v>
      </c>
      <c r="AQ168" s="266">
        <f>IF($AL168="",0,'All Ticker P&amp;L'!J168*'All Ticker P&amp;L'!I168)</f>
        <v>0</v>
      </c>
      <c r="AR168" s="266">
        <f>IF($AL168="",0,'All Ticker P&amp;L'!L168)</f>
        <v>0</v>
      </c>
      <c r="AS168" s="267">
        <f>IF($AL168="",0,'All Ticker P&amp;L'!M168)</f>
        <v>0</v>
      </c>
      <c r="AT168" s="243" t="str">
        <f>IF($AL168="","",RANK(AR168,$AR$2:$AR$1001)+COUNTIF($AR$2:AR168,AR168)-1)</f>
        <v/>
      </c>
      <c r="AU168" s="243" t="str">
        <f>IF($AL168="","",RANK(AV168,$AV$2:$AV$1001)+COUNTIF($AV$2:AV168,AV168)-1)</f>
        <v/>
      </c>
      <c r="AV168" s="266">
        <f t="shared" si="36"/>
        <v>0</v>
      </c>
    </row>
    <row r="169" spans="26:48" ht="15" customHeight="1" x14ac:dyDescent="0.2">
      <c r="Z169" s="243" t="str">
        <f>Shares!A169</f>
        <v/>
      </c>
      <c r="AA169" s="243" t="str">
        <f>Shares!B169</f>
        <v/>
      </c>
      <c r="AB169" s="243" t="str">
        <f>Shares!C169</f>
        <v/>
      </c>
      <c r="AC169" s="243" t="str">
        <f>Shares!D169</f>
        <v/>
      </c>
      <c r="AD169" s="243">
        <f>IF($Z169="",0,Shares!E169)</f>
        <v>0</v>
      </c>
      <c r="AE169" s="266">
        <f>IF($Z169="",0,Shares!J169*Shares!I169)</f>
        <v>0</v>
      </c>
      <c r="AF169" s="267">
        <f t="shared" si="35"/>
        <v>0</v>
      </c>
      <c r="AG169" s="266">
        <f>IF($Z169="",0,Shares!L169)</f>
        <v>0</v>
      </c>
      <c r="AH169" s="267">
        <f>IF($Z169="",0,Shares!M169)</f>
        <v>0</v>
      </c>
      <c r="AI169" s="243" t="str">
        <f>IF($Z169="","",RANK(AE169,$AE$2:$AE$1001)+COUNTIF($AE$2:AE169,AE169)-1)</f>
        <v/>
      </c>
      <c r="AJ169" s="243" t="str">
        <f>IF($AD169&lt;0,COUNT($AJ$1:AJ168)+1,"")</f>
        <v/>
      </c>
      <c r="AL169" s="243" t="str">
        <f>'All Ticker P&amp;L'!A169</f>
        <v/>
      </c>
      <c r="AM169" s="243" t="str">
        <f>'All Ticker P&amp;L'!B169</f>
        <v/>
      </c>
      <c r="AN169" s="243" t="str">
        <f>'All Ticker P&amp;L'!C169</f>
        <v/>
      </c>
      <c r="AO169" s="243" t="str">
        <f>'All Ticker P&amp;L'!D169</f>
        <v/>
      </c>
      <c r="AP169" s="243">
        <f>IF($AL169="",0,'All Ticker P&amp;L'!E169)</f>
        <v>0</v>
      </c>
      <c r="AQ169" s="266">
        <f>IF($AL169="",0,'All Ticker P&amp;L'!J169*'All Ticker P&amp;L'!I169)</f>
        <v>0</v>
      </c>
      <c r="AR169" s="266">
        <f>IF($AL169="",0,'All Ticker P&amp;L'!L169)</f>
        <v>0</v>
      </c>
      <c r="AS169" s="267">
        <f>IF($AL169="",0,'All Ticker P&amp;L'!M169)</f>
        <v>0</v>
      </c>
      <c r="AT169" s="243" t="str">
        <f>IF($AL169="","",RANK(AR169,$AR$2:$AR$1001)+COUNTIF($AR$2:AR169,AR169)-1)</f>
        <v/>
      </c>
      <c r="AU169" s="243" t="str">
        <f>IF($AL169="","",RANK(AV169,$AV$2:$AV$1001)+COUNTIF($AV$2:AV169,AV169)-1)</f>
        <v/>
      </c>
      <c r="AV169" s="266">
        <f t="shared" si="36"/>
        <v>0</v>
      </c>
    </row>
    <row r="170" spans="26:48" ht="15" customHeight="1" x14ac:dyDescent="0.2">
      <c r="Z170" s="243" t="str">
        <f>Shares!A170</f>
        <v/>
      </c>
      <c r="AA170" s="243" t="str">
        <f>Shares!B170</f>
        <v/>
      </c>
      <c r="AB170" s="243" t="str">
        <f>Shares!C170</f>
        <v/>
      </c>
      <c r="AC170" s="243" t="str">
        <f>Shares!D170</f>
        <v/>
      </c>
      <c r="AD170" s="243">
        <f>IF($Z170="",0,Shares!E170)</f>
        <v>0</v>
      </c>
      <c r="AE170" s="266">
        <f>IF($Z170="",0,Shares!J170*Shares!I170)</f>
        <v>0</v>
      </c>
      <c r="AF170" s="267">
        <f t="shared" si="35"/>
        <v>0</v>
      </c>
      <c r="AG170" s="266">
        <f>IF($Z170="",0,Shares!L170)</f>
        <v>0</v>
      </c>
      <c r="AH170" s="267">
        <f>IF($Z170="",0,Shares!M170)</f>
        <v>0</v>
      </c>
      <c r="AI170" s="243" t="str">
        <f>IF($Z170="","",RANK(AE170,$AE$2:$AE$1001)+COUNTIF($AE$2:AE170,AE170)-1)</f>
        <v/>
      </c>
      <c r="AJ170" s="243" t="str">
        <f>IF($AD170&lt;0,COUNT($AJ$1:AJ169)+1,"")</f>
        <v/>
      </c>
      <c r="AL170" s="243" t="str">
        <f>'All Ticker P&amp;L'!A170</f>
        <v/>
      </c>
      <c r="AM170" s="243" t="str">
        <f>'All Ticker P&amp;L'!B170</f>
        <v/>
      </c>
      <c r="AN170" s="243" t="str">
        <f>'All Ticker P&amp;L'!C170</f>
        <v/>
      </c>
      <c r="AO170" s="243" t="str">
        <f>'All Ticker P&amp;L'!D170</f>
        <v/>
      </c>
      <c r="AP170" s="243">
        <f>IF($AL170="",0,'All Ticker P&amp;L'!E170)</f>
        <v>0</v>
      </c>
      <c r="AQ170" s="266">
        <f>IF($AL170="",0,'All Ticker P&amp;L'!J170*'All Ticker P&amp;L'!I170)</f>
        <v>0</v>
      </c>
      <c r="AR170" s="266">
        <f>IF($AL170="",0,'All Ticker P&amp;L'!L170)</f>
        <v>0</v>
      </c>
      <c r="AS170" s="267">
        <f>IF($AL170="",0,'All Ticker P&amp;L'!M170)</f>
        <v>0</v>
      </c>
      <c r="AT170" s="243" t="str">
        <f>IF($AL170="","",RANK(AR170,$AR$2:$AR$1001)+COUNTIF($AR$2:AR170,AR170)-1)</f>
        <v/>
      </c>
      <c r="AU170" s="243" t="str">
        <f>IF($AL170="","",RANK(AV170,$AV$2:$AV$1001)+COUNTIF($AV$2:AV170,AV170)-1)</f>
        <v/>
      </c>
      <c r="AV170" s="266">
        <f t="shared" si="36"/>
        <v>0</v>
      </c>
    </row>
    <row r="171" spans="26:48" ht="15" customHeight="1" x14ac:dyDescent="0.2">
      <c r="Z171" s="243" t="str">
        <f>Shares!A171</f>
        <v/>
      </c>
      <c r="AA171" s="243" t="str">
        <f>Shares!B171</f>
        <v/>
      </c>
      <c r="AB171" s="243" t="str">
        <f>Shares!C171</f>
        <v/>
      </c>
      <c r="AC171" s="243" t="str">
        <f>Shares!D171</f>
        <v/>
      </c>
      <c r="AD171" s="243">
        <f>IF($Z171="",0,Shares!E171)</f>
        <v>0</v>
      </c>
      <c r="AE171" s="266">
        <f>IF($Z171="",0,Shares!J171*Shares!I171)</f>
        <v>0</v>
      </c>
      <c r="AF171" s="267">
        <f t="shared" si="35"/>
        <v>0</v>
      </c>
      <c r="AG171" s="266">
        <f>IF($Z171="",0,Shares!L171)</f>
        <v>0</v>
      </c>
      <c r="AH171" s="267">
        <f>IF($Z171="",0,Shares!M171)</f>
        <v>0</v>
      </c>
      <c r="AI171" s="243" t="str">
        <f>IF($Z171="","",RANK(AE171,$AE$2:$AE$1001)+COUNTIF($AE$2:AE171,AE171)-1)</f>
        <v/>
      </c>
      <c r="AJ171" s="243" t="str">
        <f>IF($AD171&lt;0,COUNT($AJ$1:AJ170)+1,"")</f>
        <v/>
      </c>
      <c r="AL171" s="243" t="str">
        <f>'All Ticker P&amp;L'!A171</f>
        <v/>
      </c>
      <c r="AM171" s="243" t="str">
        <f>'All Ticker P&amp;L'!B171</f>
        <v/>
      </c>
      <c r="AN171" s="243" t="str">
        <f>'All Ticker P&amp;L'!C171</f>
        <v/>
      </c>
      <c r="AO171" s="243" t="str">
        <f>'All Ticker P&amp;L'!D171</f>
        <v/>
      </c>
      <c r="AP171" s="243">
        <f>IF($AL171="",0,'All Ticker P&amp;L'!E171)</f>
        <v>0</v>
      </c>
      <c r="AQ171" s="266">
        <f>IF($AL171="",0,'All Ticker P&amp;L'!J171*'All Ticker P&amp;L'!I171)</f>
        <v>0</v>
      </c>
      <c r="AR171" s="266">
        <f>IF($AL171="",0,'All Ticker P&amp;L'!L171)</f>
        <v>0</v>
      </c>
      <c r="AS171" s="267">
        <f>IF($AL171="",0,'All Ticker P&amp;L'!M171)</f>
        <v>0</v>
      </c>
      <c r="AT171" s="243" t="str">
        <f>IF($AL171="","",RANK(AR171,$AR$2:$AR$1001)+COUNTIF($AR$2:AR171,AR171)-1)</f>
        <v/>
      </c>
      <c r="AU171" s="243" t="str">
        <f>IF($AL171="","",RANK(AV171,$AV$2:$AV$1001)+COUNTIF($AV$2:AV171,AV171)-1)</f>
        <v/>
      </c>
      <c r="AV171" s="266">
        <f t="shared" si="36"/>
        <v>0</v>
      </c>
    </row>
    <row r="172" spans="26:48" ht="15" customHeight="1" x14ac:dyDescent="0.2">
      <c r="Z172" s="243" t="str">
        <f>Shares!A172</f>
        <v/>
      </c>
      <c r="AA172" s="243" t="str">
        <f>Shares!B172</f>
        <v/>
      </c>
      <c r="AB172" s="243" t="str">
        <f>Shares!C172</f>
        <v/>
      </c>
      <c r="AC172" s="243" t="str">
        <f>Shares!D172</f>
        <v/>
      </c>
      <c r="AD172" s="243">
        <f>IF($Z172="",0,Shares!E172)</f>
        <v>0</v>
      </c>
      <c r="AE172" s="266">
        <f>IF($Z172="",0,Shares!J172*Shares!I172)</f>
        <v>0</v>
      </c>
      <c r="AF172" s="267">
        <f t="shared" si="35"/>
        <v>0</v>
      </c>
      <c r="AG172" s="266">
        <f>IF($Z172="",0,Shares!L172)</f>
        <v>0</v>
      </c>
      <c r="AH172" s="267">
        <f>IF($Z172="",0,Shares!M172)</f>
        <v>0</v>
      </c>
      <c r="AI172" s="243" t="str">
        <f>IF($Z172="","",RANK(AE172,$AE$2:$AE$1001)+COUNTIF($AE$2:AE172,AE172)-1)</f>
        <v/>
      </c>
      <c r="AJ172" s="243" t="str">
        <f>IF($AD172&lt;0,COUNT($AJ$1:AJ171)+1,"")</f>
        <v/>
      </c>
      <c r="AL172" s="243" t="str">
        <f>'All Ticker P&amp;L'!A172</f>
        <v/>
      </c>
      <c r="AM172" s="243" t="str">
        <f>'All Ticker P&amp;L'!B172</f>
        <v/>
      </c>
      <c r="AN172" s="243" t="str">
        <f>'All Ticker P&amp;L'!C172</f>
        <v/>
      </c>
      <c r="AO172" s="243" t="str">
        <f>'All Ticker P&amp;L'!D172</f>
        <v/>
      </c>
      <c r="AP172" s="243">
        <f>IF($AL172="",0,'All Ticker P&amp;L'!E172)</f>
        <v>0</v>
      </c>
      <c r="AQ172" s="266">
        <f>IF($AL172="",0,'All Ticker P&amp;L'!J172*'All Ticker P&amp;L'!I172)</f>
        <v>0</v>
      </c>
      <c r="AR172" s="266">
        <f>IF($AL172="",0,'All Ticker P&amp;L'!L172)</f>
        <v>0</v>
      </c>
      <c r="AS172" s="267">
        <f>IF($AL172="",0,'All Ticker P&amp;L'!M172)</f>
        <v>0</v>
      </c>
      <c r="AT172" s="243" t="str">
        <f>IF($AL172="","",RANK(AR172,$AR$2:$AR$1001)+COUNTIF($AR$2:AR172,AR172)-1)</f>
        <v/>
      </c>
      <c r="AU172" s="243" t="str">
        <f>IF($AL172="","",RANK(AV172,$AV$2:$AV$1001)+COUNTIF($AV$2:AV172,AV172)-1)</f>
        <v/>
      </c>
      <c r="AV172" s="266">
        <f t="shared" si="36"/>
        <v>0</v>
      </c>
    </row>
    <row r="173" spans="26:48" ht="15" customHeight="1" x14ac:dyDescent="0.2">
      <c r="Z173" s="243" t="str">
        <f>Shares!A173</f>
        <v/>
      </c>
      <c r="AA173" s="243" t="str">
        <f>Shares!B173</f>
        <v/>
      </c>
      <c r="AB173" s="243" t="str">
        <f>Shares!C173</f>
        <v/>
      </c>
      <c r="AC173" s="243" t="str">
        <f>Shares!D173</f>
        <v/>
      </c>
      <c r="AD173" s="243">
        <f>IF($Z173="",0,Shares!E173)</f>
        <v>0</v>
      </c>
      <c r="AE173" s="266">
        <f>IF($Z173="",0,Shares!J173*Shares!I173)</f>
        <v>0</v>
      </c>
      <c r="AF173" s="267">
        <f t="shared" si="35"/>
        <v>0</v>
      </c>
      <c r="AG173" s="266">
        <f>IF($Z173="",0,Shares!L173)</f>
        <v>0</v>
      </c>
      <c r="AH173" s="267">
        <f>IF($Z173="",0,Shares!M173)</f>
        <v>0</v>
      </c>
      <c r="AI173" s="243" t="str">
        <f>IF($Z173="","",RANK(AE173,$AE$2:$AE$1001)+COUNTIF($AE$2:AE173,AE173)-1)</f>
        <v/>
      </c>
      <c r="AJ173" s="243" t="str">
        <f>IF($AD173&lt;0,COUNT($AJ$1:AJ172)+1,"")</f>
        <v/>
      </c>
      <c r="AL173" s="243" t="str">
        <f>'All Ticker P&amp;L'!A173</f>
        <v/>
      </c>
      <c r="AM173" s="243" t="str">
        <f>'All Ticker P&amp;L'!B173</f>
        <v/>
      </c>
      <c r="AN173" s="243" t="str">
        <f>'All Ticker P&amp;L'!C173</f>
        <v/>
      </c>
      <c r="AO173" s="243" t="str">
        <f>'All Ticker P&amp;L'!D173</f>
        <v/>
      </c>
      <c r="AP173" s="243">
        <f>IF($AL173="",0,'All Ticker P&amp;L'!E173)</f>
        <v>0</v>
      </c>
      <c r="AQ173" s="266">
        <f>IF($AL173="",0,'All Ticker P&amp;L'!J173*'All Ticker P&amp;L'!I173)</f>
        <v>0</v>
      </c>
      <c r="AR173" s="266">
        <f>IF($AL173="",0,'All Ticker P&amp;L'!L173)</f>
        <v>0</v>
      </c>
      <c r="AS173" s="267">
        <f>IF($AL173="",0,'All Ticker P&amp;L'!M173)</f>
        <v>0</v>
      </c>
      <c r="AT173" s="243" t="str">
        <f>IF($AL173="","",RANK(AR173,$AR$2:$AR$1001)+COUNTIF($AR$2:AR173,AR173)-1)</f>
        <v/>
      </c>
      <c r="AU173" s="243" t="str">
        <f>IF($AL173="","",RANK(AV173,$AV$2:$AV$1001)+COUNTIF($AV$2:AV173,AV173)-1)</f>
        <v/>
      </c>
      <c r="AV173" s="266">
        <f t="shared" si="36"/>
        <v>0</v>
      </c>
    </row>
    <row r="174" spans="26:48" ht="15" customHeight="1" x14ac:dyDescent="0.2">
      <c r="Z174" s="243" t="str">
        <f>Shares!A174</f>
        <v/>
      </c>
      <c r="AA174" s="243" t="str">
        <f>Shares!B174</f>
        <v/>
      </c>
      <c r="AB174" s="243" t="str">
        <f>Shares!C174</f>
        <v/>
      </c>
      <c r="AC174" s="243" t="str">
        <f>Shares!D174</f>
        <v/>
      </c>
      <c r="AD174" s="243">
        <f>IF($Z174="",0,Shares!E174)</f>
        <v>0</v>
      </c>
      <c r="AE174" s="266">
        <f>IF($Z174="",0,Shares!J174*Shares!I174)</f>
        <v>0</v>
      </c>
      <c r="AF174" s="267">
        <f t="shared" si="35"/>
        <v>0</v>
      </c>
      <c r="AG174" s="266">
        <f>IF($Z174="",0,Shares!L174)</f>
        <v>0</v>
      </c>
      <c r="AH174" s="267">
        <f>IF($Z174="",0,Shares!M174)</f>
        <v>0</v>
      </c>
      <c r="AI174" s="243" t="str">
        <f>IF($Z174="","",RANK(AE174,$AE$2:$AE$1001)+COUNTIF($AE$2:AE174,AE174)-1)</f>
        <v/>
      </c>
      <c r="AJ174" s="243" t="str">
        <f>IF($AD174&lt;0,COUNT($AJ$1:AJ173)+1,"")</f>
        <v/>
      </c>
      <c r="AL174" s="243" t="str">
        <f>'All Ticker P&amp;L'!A174</f>
        <v/>
      </c>
      <c r="AM174" s="243" t="str">
        <f>'All Ticker P&amp;L'!B174</f>
        <v/>
      </c>
      <c r="AN174" s="243" t="str">
        <f>'All Ticker P&amp;L'!C174</f>
        <v/>
      </c>
      <c r="AO174" s="243" t="str">
        <f>'All Ticker P&amp;L'!D174</f>
        <v/>
      </c>
      <c r="AP174" s="243">
        <f>IF($AL174="",0,'All Ticker P&amp;L'!E174)</f>
        <v>0</v>
      </c>
      <c r="AQ174" s="266">
        <f>IF($AL174="",0,'All Ticker P&amp;L'!J174*'All Ticker P&amp;L'!I174)</f>
        <v>0</v>
      </c>
      <c r="AR174" s="266">
        <f>IF($AL174="",0,'All Ticker P&amp;L'!L174)</f>
        <v>0</v>
      </c>
      <c r="AS174" s="267">
        <f>IF($AL174="",0,'All Ticker P&amp;L'!M174)</f>
        <v>0</v>
      </c>
      <c r="AT174" s="243" t="str">
        <f>IF($AL174="","",RANK(AR174,$AR$2:$AR$1001)+COUNTIF($AR$2:AR174,AR174)-1)</f>
        <v/>
      </c>
      <c r="AU174" s="243" t="str">
        <f>IF($AL174="","",RANK(AV174,$AV$2:$AV$1001)+COUNTIF($AV$2:AV174,AV174)-1)</f>
        <v/>
      </c>
      <c r="AV174" s="266">
        <f t="shared" si="36"/>
        <v>0</v>
      </c>
    </row>
    <row r="175" spans="26:48" ht="15" customHeight="1" x14ac:dyDescent="0.2">
      <c r="Z175" s="243" t="str">
        <f>Shares!A175</f>
        <v/>
      </c>
      <c r="AA175" s="243" t="str">
        <f>Shares!B175</f>
        <v/>
      </c>
      <c r="AB175" s="243" t="str">
        <f>Shares!C175</f>
        <v/>
      </c>
      <c r="AC175" s="243" t="str">
        <f>Shares!D175</f>
        <v/>
      </c>
      <c r="AD175" s="243">
        <f>IF($Z175="",0,Shares!E175)</f>
        <v>0</v>
      </c>
      <c r="AE175" s="266">
        <f>IF($Z175="",0,Shares!J175*Shares!I175)</f>
        <v>0</v>
      </c>
      <c r="AF175" s="267">
        <f t="shared" si="35"/>
        <v>0</v>
      </c>
      <c r="AG175" s="266">
        <f>IF($Z175="",0,Shares!L175)</f>
        <v>0</v>
      </c>
      <c r="AH175" s="267">
        <f>IF($Z175="",0,Shares!M175)</f>
        <v>0</v>
      </c>
      <c r="AI175" s="243" t="str">
        <f>IF($Z175="","",RANK(AE175,$AE$2:$AE$1001)+COUNTIF($AE$2:AE175,AE175)-1)</f>
        <v/>
      </c>
      <c r="AJ175" s="243" t="str">
        <f>IF($AD175&lt;0,COUNT($AJ$1:AJ174)+1,"")</f>
        <v/>
      </c>
      <c r="AL175" s="243" t="str">
        <f>'All Ticker P&amp;L'!A175</f>
        <v/>
      </c>
      <c r="AM175" s="243" t="str">
        <f>'All Ticker P&amp;L'!B175</f>
        <v/>
      </c>
      <c r="AN175" s="243" t="str">
        <f>'All Ticker P&amp;L'!C175</f>
        <v/>
      </c>
      <c r="AO175" s="243" t="str">
        <f>'All Ticker P&amp;L'!D175</f>
        <v/>
      </c>
      <c r="AP175" s="243">
        <f>IF($AL175="",0,'All Ticker P&amp;L'!E175)</f>
        <v>0</v>
      </c>
      <c r="AQ175" s="266">
        <f>IF($AL175="",0,'All Ticker P&amp;L'!J175*'All Ticker P&amp;L'!I175)</f>
        <v>0</v>
      </c>
      <c r="AR175" s="266">
        <f>IF($AL175="",0,'All Ticker P&amp;L'!L175)</f>
        <v>0</v>
      </c>
      <c r="AS175" s="267">
        <f>IF($AL175="",0,'All Ticker P&amp;L'!M175)</f>
        <v>0</v>
      </c>
      <c r="AT175" s="243" t="str">
        <f>IF($AL175="","",RANK(AR175,$AR$2:$AR$1001)+COUNTIF($AR$2:AR175,AR175)-1)</f>
        <v/>
      </c>
      <c r="AU175" s="243" t="str">
        <f>IF($AL175="","",RANK(AV175,$AV$2:$AV$1001)+COUNTIF($AV$2:AV175,AV175)-1)</f>
        <v/>
      </c>
      <c r="AV175" s="266">
        <f t="shared" si="36"/>
        <v>0</v>
      </c>
    </row>
    <row r="176" spans="26:48" ht="15" customHeight="1" x14ac:dyDescent="0.2">
      <c r="Z176" s="243" t="str">
        <f>Shares!A176</f>
        <v/>
      </c>
      <c r="AA176" s="243" t="str">
        <f>Shares!B176</f>
        <v/>
      </c>
      <c r="AB176" s="243" t="str">
        <f>Shares!C176</f>
        <v/>
      </c>
      <c r="AC176" s="243" t="str">
        <f>Shares!D176</f>
        <v/>
      </c>
      <c r="AD176" s="243">
        <f>IF($Z176="",0,Shares!E176)</f>
        <v>0</v>
      </c>
      <c r="AE176" s="266">
        <f>IF($Z176="",0,Shares!J176*Shares!I176)</f>
        <v>0</v>
      </c>
      <c r="AF176" s="267">
        <f t="shared" si="35"/>
        <v>0</v>
      </c>
      <c r="AG176" s="266">
        <f>IF($Z176="",0,Shares!L176)</f>
        <v>0</v>
      </c>
      <c r="AH176" s="267">
        <f>IF($Z176="",0,Shares!M176)</f>
        <v>0</v>
      </c>
      <c r="AI176" s="243" t="str">
        <f>IF($Z176="","",RANK(AE176,$AE$2:$AE$1001)+COUNTIF($AE$2:AE176,AE176)-1)</f>
        <v/>
      </c>
      <c r="AJ176" s="243" t="str">
        <f>IF($AD176&lt;0,COUNT($AJ$1:AJ175)+1,"")</f>
        <v/>
      </c>
      <c r="AL176" s="243" t="str">
        <f>'All Ticker P&amp;L'!A176</f>
        <v/>
      </c>
      <c r="AM176" s="243" t="str">
        <f>'All Ticker P&amp;L'!B176</f>
        <v/>
      </c>
      <c r="AN176" s="243" t="str">
        <f>'All Ticker P&amp;L'!C176</f>
        <v/>
      </c>
      <c r="AO176" s="243" t="str">
        <f>'All Ticker P&amp;L'!D176</f>
        <v/>
      </c>
      <c r="AP176" s="243">
        <f>IF($AL176="",0,'All Ticker P&amp;L'!E176)</f>
        <v>0</v>
      </c>
      <c r="AQ176" s="266">
        <f>IF($AL176="",0,'All Ticker P&amp;L'!J176*'All Ticker P&amp;L'!I176)</f>
        <v>0</v>
      </c>
      <c r="AR176" s="266">
        <f>IF($AL176="",0,'All Ticker P&amp;L'!L176)</f>
        <v>0</v>
      </c>
      <c r="AS176" s="267">
        <f>IF($AL176="",0,'All Ticker P&amp;L'!M176)</f>
        <v>0</v>
      </c>
      <c r="AT176" s="243" t="str">
        <f>IF($AL176="","",RANK(AR176,$AR$2:$AR$1001)+COUNTIF($AR$2:AR176,AR176)-1)</f>
        <v/>
      </c>
      <c r="AU176" s="243" t="str">
        <f>IF($AL176="","",RANK(AV176,$AV$2:$AV$1001)+COUNTIF($AV$2:AV176,AV176)-1)</f>
        <v/>
      </c>
      <c r="AV176" s="266">
        <f t="shared" si="36"/>
        <v>0</v>
      </c>
    </row>
    <row r="177" spans="26:48" ht="15" customHeight="1" x14ac:dyDescent="0.2">
      <c r="Z177" s="243" t="str">
        <f>Shares!A177</f>
        <v/>
      </c>
      <c r="AA177" s="243" t="str">
        <f>Shares!B177</f>
        <v/>
      </c>
      <c r="AB177" s="243" t="str">
        <f>Shares!C177</f>
        <v/>
      </c>
      <c r="AC177" s="243" t="str">
        <f>Shares!D177</f>
        <v/>
      </c>
      <c r="AD177" s="243">
        <f>IF($Z177="",0,Shares!E177)</f>
        <v>0</v>
      </c>
      <c r="AE177" s="266">
        <f>IF($Z177="",0,Shares!J177*Shares!I177)</f>
        <v>0</v>
      </c>
      <c r="AF177" s="267">
        <f t="shared" si="35"/>
        <v>0</v>
      </c>
      <c r="AG177" s="266">
        <f>IF($Z177="",0,Shares!L177)</f>
        <v>0</v>
      </c>
      <c r="AH177" s="267">
        <f>IF($Z177="",0,Shares!M177)</f>
        <v>0</v>
      </c>
      <c r="AI177" s="243" t="str">
        <f>IF($Z177="","",RANK(AE177,$AE$2:$AE$1001)+COUNTIF($AE$2:AE177,AE177)-1)</f>
        <v/>
      </c>
      <c r="AJ177" s="243" t="str">
        <f>IF($AD177&lt;0,COUNT($AJ$1:AJ176)+1,"")</f>
        <v/>
      </c>
      <c r="AL177" s="243" t="str">
        <f>'All Ticker P&amp;L'!A177</f>
        <v/>
      </c>
      <c r="AM177" s="243" t="str">
        <f>'All Ticker P&amp;L'!B177</f>
        <v/>
      </c>
      <c r="AN177" s="243" t="str">
        <f>'All Ticker P&amp;L'!C177</f>
        <v/>
      </c>
      <c r="AO177" s="243" t="str">
        <f>'All Ticker P&amp;L'!D177</f>
        <v/>
      </c>
      <c r="AP177" s="243">
        <f>IF($AL177="",0,'All Ticker P&amp;L'!E177)</f>
        <v>0</v>
      </c>
      <c r="AQ177" s="266">
        <f>IF($AL177="",0,'All Ticker P&amp;L'!J177*'All Ticker P&amp;L'!I177)</f>
        <v>0</v>
      </c>
      <c r="AR177" s="266">
        <f>IF($AL177="",0,'All Ticker P&amp;L'!L177)</f>
        <v>0</v>
      </c>
      <c r="AS177" s="267">
        <f>IF($AL177="",0,'All Ticker P&amp;L'!M177)</f>
        <v>0</v>
      </c>
      <c r="AT177" s="243" t="str">
        <f>IF($AL177="","",RANK(AR177,$AR$2:$AR$1001)+COUNTIF($AR$2:AR177,AR177)-1)</f>
        <v/>
      </c>
      <c r="AU177" s="243" t="str">
        <f>IF($AL177="","",RANK(AV177,$AV$2:$AV$1001)+COUNTIF($AV$2:AV177,AV177)-1)</f>
        <v/>
      </c>
      <c r="AV177" s="266">
        <f t="shared" si="36"/>
        <v>0</v>
      </c>
    </row>
    <row r="178" spans="26:48" ht="15" customHeight="1" x14ac:dyDescent="0.2">
      <c r="Z178" s="243" t="str">
        <f>Shares!A178</f>
        <v/>
      </c>
      <c r="AA178" s="243" t="str">
        <f>Shares!B178</f>
        <v/>
      </c>
      <c r="AB178" s="243" t="str">
        <f>Shares!C178</f>
        <v/>
      </c>
      <c r="AC178" s="243" t="str">
        <f>Shares!D178</f>
        <v/>
      </c>
      <c r="AD178" s="243">
        <f>IF($Z178="",0,Shares!E178)</f>
        <v>0</v>
      </c>
      <c r="AE178" s="266">
        <f>IF($Z178="",0,Shares!J178*Shares!I178)</f>
        <v>0</v>
      </c>
      <c r="AF178" s="267">
        <f t="shared" si="35"/>
        <v>0</v>
      </c>
      <c r="AG178" s="266">
        <f>IF($Z178="",0,Shares!L178)</f>
        <v>0</v>
      </c>
      <c r="AH178" s="267">
        <f>IF($Z178="",0,Shares!M178)</f>
        <v>0</v>
      </c>
      <c r="AI178" s="243" t="str">
        <f>IF($Z178="","",RANK(AE178,$AE$2:$AE$1001)+COUNTIF($AE$2:AE178,AE178)-1)</f>
        <v/>
      </c>
      <c r="AJ178" s="243" t="str">
        <f>IF($AD178&lt;0,COUNT($AJ$1:AJ177)+1,"")</f>
        <v/>
      </c>
      <c r="AL178" s="243" t="str">
        <f>'All Ticker P&amp;L'!A178</f>
        <v/>
      </c>
      <c r="AM178" s="243" t="str">
        <f>'All Ticker P&amp;L'!B178</f>
        <v/>
      </c>
      <c r="AN178" s="243" t="str">
        <f>'All Ticker P&amp;L'!C178</f>
        <v/>
      </c>
      <c r="AO178" s="243" t="str">
        <f>'All Ticker P&amp;L'!D178</f>
        <v/>
      </c>
      <c r="AP178" s="243">
        <f>IF($AL178="",0,'All Ticker P&amp;L'!E178)</f>
        <v>0</v>
      </c>
      <c r="AQ178" s="266">
        <f>IF($AL178="",0,'All Ticker P&amp;L'!J178*'All Ticker P&amp;L'!I178)</f>
        <v>0</v>
      </c>
      <c r="AR178" s="266">
        <f>IF($AL178="",0,'All Ticker P&amp;L'!L178)</f>
        <v>0</v>
      </c>
      <c r="AS178" s="267">
        <f>IF($AL178="",0,'All Ticker P&amp;L'!M178)</f>
        <v>0</v>
      </c>
      <c r="AT178" s="243" t="str">
        <f>IF($AL178="","",RANK(AR178,$AR$2:$AR$1001)+COUNTIF($AR$2:AR178,AR178)-1)</f>
        <v/>
      </c>
      <c r="AU178" s="243" t="str">
        <f>IF($AL178="","",RANK(AV178,$AV$2:$AV$1001)+COUNTIF($AV$2:AV178,AV178)-1)</f>
        <v/>
      </c>
      <c r="AV178" s="266">
        <f t="shared" si="36"/>
        <v>0</v>
      </c>
    </row>
    <row r="179" spans="26:48" ht="15" customHeight="1" x14ac:dyDescent="0.2">
      <c r="Z179" s="243" t="str">
        <f>Shares!A179</f>
        <v/>
      </c>
      <c r="AA179" s="243" t="str">
        <f>Shares!B179</f>
        <v/>
      </c>
      <c r="AB179" s="243" t="str">
        <f>Shares!C179</f>
        <v/>
      </c>
      <c r="AC179" s="243" t="str">
        <f>Shares!D179</f>
        <v/>
      </c>
      <c r="AD179" s="243">
        <f>IF($Z179="",0,Shares!E179)</f>
        <v>0</v>
      </c>
      <c r="AE179" s="266">
        <f>IF($Z179="",0,Shares!J179*Shares!I179)</f>
        <v>0</v>
      </c>
      <c r="AF179" s="267">
        <f t="shared" si="35"/>
        <v>0</v>
      </c>
      <c r="AG179" s="266">
        <f>IF($Z179="",0,Shares!L179)</f>
        <v>0</v>
      </c>
      <c r="AH179" s="267">
        <f>IF($Z179="",0,Shares!M179)</f>
        <v>0</v>
      </c>
      <c r="AI179" s="243" t="str">
        <f>IF($Z179="","",RANK(AE179,$AE$2:$AE$1001)+COUNTIF($AE$2:AE179,AE179)-1)</f>
        <v/>
      </c>
      <c r="AJ179" s="243" t="str">
        <f>IF($AD179&lt;0,COUNT($AJ$1:AJ178)+1,"")</f>
        <v/>
      </c>
      <c r="AL179" s="243" t="str">
        <f>'All Ticker P&amp;L'!A179</f>
        <v/>
      </c>
      <c r="AM179" s="243" t="str">
        <f>'All Ticker P&amp;L'!B179</f>
        <v/>
      </c>
      <c r="AN179" s="243" t="str">
        <f>'All Ticker P&amp;L'!C179</f>
        <v/>
      </c>
      <c r="AO179" s="243" t="str">
        <f>'All Ticker P&amp;L'!D179</f>
        <v/>
      </c>
      <c r="AP179" s="243">
        <f>IF($AL179="",0,'All Ticker P&amp;L'!E179)</f>
        <v>0</v>
      </c>
      <c r="AQ179" s="266">
        <f>IF($AL179="",0,'All Ticker P&amp;L'!J179*'All Ticker P&amp;L'!I179)</f>
        <v>0</v>
      </c>
      <c r="AR179" s="266">
        <f>IF($AL179="",0,'All Ticker P&amp;L'!L179)</f>
        <v>0</v>
      </c>
      <c r="AS179" s="267">
        <f>IF($AL179="",0,'All Ticker P&amp;L'!M179)</f>
        <v>0</v>
      </c>
      <c r="AT179" s="243" t="str">
        <f>IF($AL179="","",RANK(AR179,$AR$2:$AR$1001)+COUNTIF($AR$2:AR179,AR179)-1)</f>
        <v/>
      </c>
      <c r="AU179" s="243" t="str">
        <f>IF($AL179="","",RANK(AV179,$AV$2:$AV$1001)+COUNTIF($AV$2:AV179,AV179)-1)</f>
        <v/>
      </c>
      <c r="AV179" s="266">
        <f t="shared" si="36"/>
        <v>0</v>
      </c>
    </row>
    <row r="180" spans="26:48" ht="15" customHeight="1" x14ac:dyDescent="0.2">
      <c r="Z180" s="243" t="str">
        <f>Shares!A180</f>
        <v/>
      </c>
      <c r="AA180" s="243" t="str">
        <f>Shares!B180</f>
        <v/>
      </c>
      <c r="AB180" s="243" t="str">
        <f>Shares!C180</f>
        <v/>
      </c>
      <c r="AC180" s="243" t="str">
        <f>Shares!D180</f>
        <v/>
      </c>
      <c r="AD180" s="243">
        <f>IF($Z180="",0,Shares!E180)</f>
        <v>0</v>
      </c>
      <c r="AE180" s="266">
        <f>IF($Z180="",0,Shares!J180*Shares!I180)</f>
        <v>0</v>
      </c>
      <c r="AF180" s="267">
        <f t="shared" si="35"/>
        <v>0</v>
      </c>
      <c r="AG180" s="266">
        <f>IF($Z180="",0,Shares!L180)</f>
        <v>0</v>
      </c>
      <c r="AH180" s="267">
        <f>IF($Z180="",0,Shares!M180)</f>
        <v>0</v>
      </c>
      <c r="AI180" s="243" t="str">
        <f>IF($Z180="","",RANK(AE180,$AE$2:$AE$1001)+COUNTIF($AE$2:AE180,AE180)-1)</f>
        <v/>
      </c>
      <c r="AJ180" s="243" t="str">
        <f>IF($AD180&lt;0,COUNT($AJ$1:AJ179)+1,"")</f>
        <v/>
      </c>
      <c r="AL180" s="243" t="str">
        <f>'All Ticker P&amp;L'!A180</f>
        <v/>
      </c>
      <c r="AM180" s="243" t="str">
        <f>'All Ticker P&amp;L'!B180</f>
        <v/>
      </c>
      <c r="AN180" s="243" t="str">
        <f>'All Ticker P&amp;L'!C180</f>
        <v/>
      </c>
      <c r="AO180" s="243" t="str">
        <f>'All Ticker P&amp;L'!D180</f>
        <v/>
      </c>
      <c r="AP180" s="243">
        <f>IF($AL180="",0,'All Ticker P&amp;L'!E180)</f>
        <v>0</v>
      </c>
      <c r="AQ180" s="266">
        <f>IF($AL180="",0,'All Ticker P&amp;L'!J180*'All Ticker P&amp;L'!I180)</f>
        <v>0</v>
      </c>
      <c r="AR180" s="266">
        <f>IF($AL180="",0,'All Ticker P&amp;L'!L180)</f>
        <v>0</v>
      </c>
      <c r="AS180" s="267">
        <f>IF($AL180="",0,'All Ticker P&amp;L'!M180)</f>
        <v>0</v>
      </c>
      <c r="AT180" s="243" t="str">
        <f>IF($AL180="","",RANK(AR180,$AR$2:$AR$1001)+COUNTIF($AR$2:AR180,AR180)-1)</f>
        <v/>
      </c>
      <c r="AU180" s="243" t="str">
        <f>IF($AL180="","",RANK(AV180,$AV$2:$AV$1001)+COUNTIF($AV$2:AV180,AV180)-1)</f>
        <v/>
      </c>
      <c r="AV180" s="266">
        <f t="shared" si="36"/>
        <v>0</v>
      </c>
    </row>
    <row r="181" spans="26:48" ht="15" customHeight="1" x14ac:dyDescent="0.2">
      <c r="Z181" s="243" t="str">
        <f>Shares!A181</f>
        <v/>
      </c>
      <c r="AA181" s="243" t="str">
        <f>Shares!B181</f>
        <v/>
      </c>
      <c r="AB181" s="243" t="str">
        <f>Shares!C181</f>
        <v/>
      </c>
      <c r="AC181" s="243" t="str">
        <f>Shares!D181</f>
        <v/>
      </c>
      <c r="AD181" s="243">
        <f>IF($Z181="",0,Shares!E181)</f>
        <v>0</v>
      </c>
      <c r="AE181" s="266">
        <f>IF($Z181="",0,Shares!J181*Shares!I181)</f>
        <v>0</v>
      </c>
      <c r="AF181" s="267">
        <f t="shared" si="35"/>
        <v>0</v>
      </c>
      <c r="AG181" s="266">
        <f>IF($Z181="",0,Shares!L181)</f>
        <v>0</v>
      </c>
      <c r="AH181" s="267">
        <f>IF($Z181="",0,Shares!M181)</f>
        <v>0</v>
      </c>
      <c r="AI181" s="243" t="str">
        <f>IF($Z181="","",RANK(AE181,$AE$2:$AE$1001)+COUNTIF($AE$2:AE181,AE181)-1)</f>
        <v/>
      </c>
      <c r="AJ181" s="243" t="str">
        <f>IF($AD181&lt;0,COUNT($AJ$1:AJ180)+1,"")</f>
        <v/>
      </c>
      <c r="AL181" s="243" t="str">
        <f>'All Ticker P&amp;L'!A181</f>
        <v/>
      </c>
      <c r="AM181" s="243" t="str">
        <f>'All Ticker P&amp;L'!B181</f>
        <v/>
      </c>
      <c r="AN181" s="243" t="str">
        <f>'All Ticker P&amp;L'!C181</f>
        <v/>
      </c>
      <c r="AO181" s="243" t="str">
        <f>'All Ticker P&amp;L'!D181</f>
        <v/>
      </c>
      <c r="AP181" s="243">
        <f>IF($AL181="",0,'All Ticker P&amp;L'!E181)</f>
        <v>0</v>
      </c>
      <c r="AQ181" s="266">
        <f>IF($AL181="",0,'All Ticker P&amp;L'!J181*'All Ticker P&amp;L'!I181)</f>
        <v>0</v>
      </c>
      <c r="AR181" s="266">
        <f>IF($AL181="",0,'All Ticker P&amp;L'!L181)</f>
        <v>0</v>
      </c>
      <c r="AS181" s="267">
        <f>IF($AL181="",0,'All Ticker P&amp;L'!M181)</f>
        <v>0</v>
      </c>
      <c r="AT181" s="243" t="str">
        <f>IF($AL181="","",RANK(AR181,$AR$2:$AR$1001)+COUNTIF($AR$2:AR181,AR181)-1)</f>
        <v/>
      </c>
      <c r="AU181" s="243" t="str">
        <f>IF($AL181="","",RANK(AV181,$AV$2:$AV$1001)+COUNTIF($AV$2:AV181,AV181)-1)</f>
        <v/>
      </c>
      <c r="AV181" s="266">
        <f t="shared" si="36"/>
        <v>0</v>
      </c>
    </row>
    <row r="182" spans="26:48" ht="15" customHeight="1" x14ac:dyDescent="0.2">
      <c r="Z182" s="243" t="str">
        <f>Shares!A182</f>
        <v/>
      </c>
      <c r="AA182" s="243" t="str">
        <f>Shares!B182</f>
        <v/>
      </c>
      <c r="AB182" s="243" t="str">
        <f>Shares!C182</f>
        <v/>
      </c>
      <c r="AC182" s="243" t="str">
        <f>Shares!D182</f>
        <v/>
      </c>
      <c r="AD182" s="243">
        <f>IF($Z182="",0,Shares!E182)</f>
        <v>0</v>
      </c>
      <c r="AE182" s="266">
        <f>IF($Z182="",0,Shares!J182*Shares!I182)</f>
        <v>0</v>
      </c>
      <c r="AF182" s="267">
        <f t="shared" si="35"/>
        <v>0</v>
      </c>
      <c r="AG182" s="266">
        <f>IF($Z182="",0,Shares!L182)</f>
        <v>0</v>
      </c>
      <c r="AH182" s="267">
        <f>IF($Z182="",0,Shares!M182)</f>
        <v>0</v>
      </c>
      <c r="AI182" s="243" t="str">
        <f>IF($Z182="","",RANK(AE182,$AE$2:$AE$1001)+COUNTIF($AE$2:AE182,AE182)-1)</f>
        <v/>
      </c>
      <c r="AJ182" s="243" t="str">
        <f>IF($AD182&lt;0,COUNT($AJ$1:AJ181)+1,"")</f>
        <v/>
      </c>
      <c r="AL182" s="243" t="str">
        <f>'All Ticker P&amp;L'!A182</f>
        <v/>
      </c>
      <c r="AM182" s="243" t="str">
        <f>'All Ticker P&amp;L'!B182</f>
        <v/>
      </c>
      <c r="AN182" s="243" t="str">
        <f>'All Ticker P&amp;L'!C182</f>
        <v/>
      </c>
      <c r="AO182" s="243" t="str">
        <f>'All Ticker P&amp;L'!D182</f>
        <v/>
      </c>
      <c r="AP182" s="243">
        <f>IF($AL182="",0,'All Ticker P&amp;L'!E182)</f>
        <v>0</v>
      </c>
      <c r="AQ182" s="266">
        <f>IF($AL182="",0,'All Ticker P&amp;L'!J182*'All Ticker P&amp;L'!I182)</f>
        <v>0</v>
      </c>
      <c r="AR182" s="266">
        <f>IF($AL182="",0,'All Ticker P&amp;L'!L182)</f>
        <v>0</v>
      </c>
      <c r="AS182" s="267">
        <f>IF($AL182="",0,'All Ticker P&amp;L'!M182)</f>
        <v>0</v>
      </c>
      <c r="AT182" s="243" t="str">
        <f>IF($AL182="","",RANK(AR182,$AR$2:$AR$1001)+COUNTIF($AR$2:AR182,AR182)-1)</f>
        <v/>
      </c>
      <c r="AU182" s="243" t="str">
        <f>IF($AL182="","",RANK(AV182,$AV$2:$AV$1001)+COUNTIF($AV$2:AV182,AV182)-1)</f>
        <v/>
      </c>
      <c r="AV182" s="266">
        <f t="shared" si="36"/>
        <v>0</v>
      </c>
    </row>
    <row r="183" spans="26:48" ht="15" customHeight="1" x14ac:dyDescent="0.2">
      <c r="Z183" s="243" t="str">
        <f>Shares!A183</f>
        <v/>
      </c>
      <c r="AA183" s="243" t="str">
        <f>Shares!B183</f>
        <v/>
      </c>
      <c r="AB183" s="243" t="str">
        <f>Shares!C183</f>
        <v/>
      </c>
      <c r="AC183" s="243" t="str">
        <f>Shares!D183</f>
        <v/>
      </c>
      <c r="AD183" s="243">
        <f>IF($Z183="",0,Shares!E183)</f>
        <v>0</v>
      </c>
      <c r="AE183" s="266">
        <f>IF($Z183="",0,Shares!J183*Shares!I183)</f>
        <v>0</v>
      </c>
      <c r="AF183" s="267">
        <f t="shared" si="35"/>
        <v>0</v>
      </c>
      <c r="AG183" s="266">
        <f>IF($Z183="",0,Shares!L183)</f>
        <v>0</v>
      </c>
      <c r="AH183" s="267">
        <f>IF($Z183="",0,Shares!M183)</f>
        <v>0</v>
      </c>
      <c r="AI183" s="243" t="str">
        <f>IF($Z183="","",RANK(AE183,$AE$2:$AE$1001)+COUNTIF($AE$2:AE183,AE183)-1)</f>
        <v/>
      </c>
      <c r="AJ183" s="243" t="str">
        <f>IF($AD183&lt;0,COUNT($AJ$1:AJ182)+1,"")</f>
        <v/>
      </c>
      <c r="AL183" s="243" t="str">
        <f>'All Ticker P&amp;L'!A183</f>
        <v/>
      </c>
      <c r="AM183" s="243" t="str">
        <f>'All Ticker P&amp;L'!B183</f>
        <v/>
      </c>
      <c r="AN183" s="243" t="str">
        <f>'All Ticker P&amp;L'!C183</f>
        <v/>
      </c>
      <c r="AO183" s="243" t="str">
        <f>'All Ticker P&amp;L'!D183</f>
        <v/>
      </c>
      <c r="AP183" s="243">
        <f>IF($AL183="",0,'All Ticker P&amp;L'!E183)</f>
        <v>0</v>
      </c>
      <c r="AQ183" s="266">
        <f>IF($AL183="",0,'All Ticker P&amp;L'!J183*'All Ticker P&amp;L'!I183)</f>
        <v>0</v>
      </c>
      <c r="AR183" s="266">
        <f>IF($AL183="",0,'All Ticker P&amp;L'!L183)</f>
        <v>0</v>
      </c>
      <c r="AS183" s="267">
        <f>IF($AL183="",0,'All Ticker P&amp;L'!M183)</f>
        <v>0</v>
      </c>
      <c r="AT183" s="243" t="str">
        <f>IF($AL183="","",RANK(AR183,$AR$2:$AR$1001)+COUNTIF($AR$2:AR183,AR183)-1)</f>
        <v/>
      </c>
      <c r="AU183" s="243" t="str">
        <f>IF($AL183="","",RANK(AV183,$AV$2:$AV$1001)+COUNTIF($AV$2:AV183,AV183)-1)</f>
        <v/>
      </c>
      <c r="AV183" s="266">
        <f t="shared" si="36"/>
        <v>0</v>
      </c>
    </row>
    <row r="184" spans="26:48" ht="15" customHeight="1" x14ac:dyDescent="0.2">
      <c r="Z184" s="243" t="str">
        <f>Shares!A184</f>
        <v/>
      </c>
      <c r="AA184" s="243" t="str">
        <f>Shares!B184</f>
        <v/>
      </c>
      <c r="AB184" s="243" t="str">
        <f>Shares!C184</f>
        <v/>
      </c>
      <c r="AC184" s="243" t="str">
        <f>Shares!D184</f>
        <v/>
      </c>
      <c r="AD184" s="243">
        <f>IF($Z184="",0,Shares!E184)</f>
        <v>0</v>
      </c>
      <c r="AE184" s="266">
        <f>IF($Z184="",0,Shares!J184*Shares!I184)</f>
        <v>0</v>
      </c>
      <c r="AF184" s="267">
        <f t="shared" si="35"/>
        <v>0</v>
      </c>
      <c r="AG184" s="266">
        <f>IF($Z184="",0,Shares!L184)</f>
        <v>0</v>
      </c>
      <c r="AH184" s="267">
        <f>IF($Z184="",0,Shares!M184)</f>
        <v>0</v>
      </c>
      <c r="AI184" s="243" t="str">
        <f>IF($Z184="","",RANK(AE184,$AE$2:$AE$1001)+COUNTIF($AE$2:AE184,AE184)-1)</f>
        <v/>
      </c>
      <c r="AJ184" s="243" t="str">
        <f>IF($AD184&lt;0,COUNT($AJ$1:AJ183)+1,"")</f>
        <v/>
      </c>
      <c r="AL184" s="243" t="str">
        <f>'All Ticker P&amp;L'!A184</f>
        <v/>
      </c>
      <c r="AM184" s="243" t="str">
        <f>'All Ticker P&amp;L'!B184</f>
        <v/>
      </c>
      <c r="AN184" s="243" t="str">
        <f>'All Ticker P&amp;L'!C184</f>
        <v/>
      </c>
      <c r="AO184" s="243" t="str">
        <f>'All Ticker P&amp;L'!D184</f>
        <v/>
      </c>
      <c r="AP184" s="243">
        <f>IF($AL184="",0,'All Ticker P&amp;L'!E184)</f>
        <v>0</v>
      </c>
      <c r="AQ184" s="266">
        <f>IF($AL184="",0,'All Ticker P&amp;L'!J184*'All Ticker P&amp;L'!I184)</f>
        <v>0</v>
      </c>
      <c r="AR184" s="266">
        <f>IF($AL184="",0,'All Ticker P&amp;L'!L184)</f>
        <v>0</v>
      </c>
      <c r="AS184" s="267">
        <f>IF($AL184="",0,'All Ticker P&amp;L'!M184)</f>
        <v>0</v>
      </c>
      <c r="AT184" s="243" t="str">
        <f>IF($AL184="","",RANK(AR184,$AR$2:$AR$1001)+COUNTIF($AR$2:AR184,AR184)-1)</f>
        <v/>
      </c>
      <c r="AU184" s="243" t="str">
        <f>IF($AL184="","",RANK(AV184,$AV$2:$AV$1001)+COUNTIF($AV$2:AV184,AV184)-1)</f>
        <v/>
      </c>
      <c r="AV184" s="266">
        <f t="shared" si="36"/>
        <v>0</v>
      </c>
    </row>
    <row r="185" spans="26:48" ht="15" customHeight="1" x14ac:dyDescent="0.2">
      <c r="Z185" s="243" t="str">
        <f>Shares!A185</f>
        <v/>
      </c>
      <c r="AA185" s="243" t="str">
        <f>Shares!B185</f>
        <v/>
      </c>
      <c r="AB185" s="243" t="str">
        <f>Shares!C185</f>
        <v/>
      </c>
      <c r="AC185" s="243" t="str">
        <f>Shares!D185</f>
        <v/>
      </c>
      <c r="AD185" s="243">
        <f>IF($Z185="",0,Shares!E185)</f>
        <v>0</v>
      </c>
      <c r="AE185" s="266">
        <f>IF($Z185="",0,Shares!J185*Shares!I185)</f>
        <v>0</v>
      </c>
      <c r="AF185" s="267">
        <f t="shared" si="35"/>
        <v>0</v>
      </c>
      <c r="AG185" s="266">
        <f>IF($Z185="",0,Shares!L185)</f>
        <v>0</v>
      </c>
      <c r="AH185" s="267">
        <f>IF($Z185="",0,Shares!M185)</f>
        <v>0</v>
      </c>
      <c r="AI185" s="243" t="str">
        <f>IF($Z185="","",RANK(AE185,$AE$2:$AE$1001)+COUNTIF($AE$2:AE185,AE185)-1)</f>
        <v/>
      </c>
      <c r="AJ185" s="243" t="str">
        <f>IF($AD185&lt;0,COUNT($AJ$1:AJ184)+1,"")</f>
        <v/>
      </c>
      <c r="AL185" s="243" t="str">
        <f>'All Ticker P&amp;L'!A185</f>
        <v/>
      </c>
      <c r="AM185" s="243" t="str">
        <f>'All Ticker P&amp;L'!B185</f>
        <v/>
      </c>
      <c r="AN185" s="243" t="str">
        <f>'All Ticker P&amp;L'!C185</f>
        <v/>
      </c>
      <c r="AO185" s="243" t="str">
        <f>'All Ticker P&amp;L'!D185</f>
        <v/>
      </c>
      <c r="AP185" s="243">
        <f>IF($AL185="",0,'All Ticker P&amp;L'!E185)</f>
        <v>0</v>
      </c>
      <c r="AQ185" s="266">
        <f>IF($AL185="",0,'All Ticker P&amp;L'!J185*'All Ticker P&amp;L'!I185)</f>
        <v>0</v>
      </c>
      <c r="AR185" s="266">
        <f>IF($AL185="",0,'All Ticker P&amp;L'!L185)</f>
        <v>0</v>
      </c>
      <c r="AS185" s="267">
        <f>IF($AL185="",0,'All Ticker P&amp;L'!M185)</f>
        <v>0</v>
      </c>
      <c r="AT185" s="243" t="str">
        <f>IF($AL185="","",RANK(AR185,$AR$2:$AR$1001)+COUNTIF($AR$2:AR185,AR185)-1)</f>
        <v/>
      </c>
      <c r="AU185" s="243" t="str">
        <f>IF($AL185="","",RANK(AV185,$AV$2:$AV$1001)+COUNTIF($AV$2:AV185,AV185)-1)</f>
        <v/>
      </c>
      <c r="AV185" s="266">
        <f t="shared" si="36"/>
        <v>0</v>
      </c>
    </row>
    <row r="186" spans="26:48" ht="15" customHeight="1" x14ac:dyDescent="0.2">
      <c r="Z186" s="243" t="str">
        <f>Shares!A186</f>
        <v/>
      </c>
      <c r="AA186" s="243" t="str">
        <f>Shares!B186</f>
        <v/>
      </c>
      <c r="AB186" s="243" t="str">
        <f>Shares!C186</f>
        <v/>
      </c>
      <c r="AC186" s="243" t="str">
        <f>Shares!D186</f>
        <v/>
      </c>
      <c r="AD186" s="243">
        <f>IF($Z186="",0,Shares!E186)</f>
        <v>0</v>
      </c>
      <c r="AE186" s="266">
        <f>IF($Z186="",0,Shares!J186*Shares!I186)</f>
        <v>0</v>
      </c>
      <c r="AF186" s="267">
        <f t="shared" si="35"/>
        <v>0</v>
      </c>
      <c r="AG186" s="266">
        <f>IF($Z186="",0,Shares!L186)</f>
        <v>0</v>
      </c>
      <c r="AH186" s="267">
        <f>IF($Z186="",0,Shares!M186)</f>
        <v>0</v>
      </c>
      <c r="AI186" s="243" t="str">
        <f>IF($Z186="","",RANK(AE186,$AE$2:$AE$1001)+COUNTIF($AE$2:AE186,AE186)-1)</f>
        <v/>
      </c>
      <c r="AJ186" s="243" t="str">
        <f>IF($AD186&lt;0,COUNT($AJ$1:AJ185)+1,"")</f>
        <v/>
      </c>
      <c r="AL186" s="243" t="str">
        <f>'All Ticker P&amp;L'!A186</f>
        <v/>
      </c>
      <c r="AM186" s="243" t="str">
        <f>'All Ticker P&amp;L'!B186</f>
        <v/>
      </c>
      <c r="AN186" s="243" t="str">
        <f>'All Ticker P&amp;L'!C186</f>
        <v/>
      </c>
      <c r="AO186" s="243" t="str">
        <f>'All Ticker P&amp;L'!D186</f>
        <v/>
      </c>
      <c r="AP186" s="243">
        <f>IF($AL186="",0,'All Ticker P&amp;L'!E186)</f>
        <v>0</v>
      </c>
      <c r="AQ186" s="266">
        <f>IF($AL186="",0,'All Ticker P&amp;L'!J186*'All Ticker P&amp;L'!I186)</f>
        <v>0</v>
      </c>
      <c r="AR186" s="266">
        <f>IF($AL186="",0,'All Ticker P&amp;L'!L186)</f>
        <v>0</v>
      </c>
      <c r="AS186" s="267">
        <f>IF($AL186="",0,'All Ticker P&amp;L'!M186)</f>
        <v>0</v>
      </c>
      <c r="AT186" s="243" t="str">
        <f>IF($AL186="","",RANK(AR186,$AR$2:$AR$1001)+COUNTIF($AR$2:AR186,AR186)-1)</f>
        <v/>
      </c>
      <c r="AU186" s="243" t="str">
        <f>IF($AL186="","",RANK(AV186,$AV$2:$AV$1001)+COUNTIF($AV$2:AV186,AV186)-1)</f>
        <v/>
      </c>
      <c r="AV186" s="266">
        <f t="shared" si="36"/>
        <v>0</v>
      </c>
    </row>
    <row r="187" spans="26:48" ht="15" customHeight="1" x14ac:dyDescent="0.2">
      <c r="Z187" s="243" t="str">
        <f>Shares!A187</f>
        <v/>
      </c>
      <c r="AA187" s="243" t="str">
        <f>Shares!B187</f>
        <v/>
      </c>
      <c r="AB187" s="243" t="str">
        <f>Shares!C187</f>
        <v/>
      </c>
      <c r="AC187" s="243" t="str">
        <f>Shares!D187</f>
        <v/>
      </c>
      <c r="AD187" s="243">
        <f>IF($Z187="",0,Shares!E187)</f>
        <v>0</v>
      </c>
      <c r="AE187" s="266">
        <f>IF($Z187="",0,Shares!J187*Shares!I187)</f>
        <v>0</v>
      </c>
      <c r="AF187" s="267">
        <f t="shared" si="35"/>
        <v>0</v>
      </c>
      <c r="AG187" s="266">
        <f>IF($Z187="",0,Shares!L187)</f>
        <v>0</v>
      </c>
      <c r="AH187" s="267">
        <f>IF($Z187="",0,Shares!M187)</f>
        <v>0</v>
      </c>
      <c r="AI187" s="243" t="str">
        <f>IF($Z187="","",RANK(AE187,$AE$2:$AE$1001)+COUNTIF($AE$2:AE187,AE187)-1)</f>
        <v/>
      </c>
      <c r="AJ187" s="243" t="str">
        <f>IF($AD187&lt;0,COUNT($AJ$1:AJ186)+1,"")</f>
        <v/>
      </c>
      <c r="AL187" s="243" t="str">
        <f>'All Ticker P&amp;L'!A187</f>
        <v/>
      </c>
      <c r="AM187" s="243" t="str">
        <f>'All Ticker P&amp;L'!B187</f>
        <v/>
      </c>
      <c r="AN187" s="243" t="str">
        <f>'All Ticker P&amp;L'!C187</f>
        <v/>
      </c>
      <c r="AO187" s="243" t="str">
        <f>'All Ticker P&amp;L'!D187</f>
        <v/>
      </c>
      <c r="AP187" s="243">
        <f>IF($AL187="",0,'All Ticker P&amp;L'!E187)</f>
        <v>0</v>
      </c>
      <c r="AQ187" s="266">
        <f>IF($AL187="",0,'All Ticker P&amp;L'!J187*'All Ticker P&amp;L'!I187)</f>
        <v>0</v>
      </c>
      <c r="AR187" s="266">
        <f>IF($AL187="",0,'All Ticker P&amp;L'!L187)</f>
        <v>0</v>
      </c>
      <c r="AS187" s="267">
        <f>IF($AL187="",0,'All Ticker P&amp;L'!M187)</f>
        <v>0</v>
      </c>
      <c r="AT187" s="243" t="str">
        <f>IF($AL187="","",RANK(AR187,$AR$2:$AR$1001)+COUNTIF($AR$2:AR187,AR187)-1)</f>
        <v/>
      </c>
      <c r="AU187" s="243" t="str">
        <f>IF($AL187="","",RANK(AV187,$AV$2:$AV$1001)+COUNTIF($AV$2:AV187,AV187)-1)</f>
        <v/>
      </c>
      <c r="AV187" s="266">
        <f t="shared" si="36"/>
        <v>0</v>
      </c>
    </row>
    <row r="188" spans="26:48" ht="15" customHeight="1" x14ac:dyDescent="0.2">
      <c r="Z188" s="243" t="str">
        <f>Shares!A188</f>
        <v/>
      </c>
      <c r="AA188" s="243" t="str">
        <f>Shares!B188</f>
        <v/>
      </c>
      <c r="AB188" s="243" t="str">
        <f>Shares!C188</f>
        <v/>
      </c>
      <c r="AC188" s="243" t="str">
        <f>Shares!D188</f>
        <v/>
      </c>
      <c r="AD188" s="243">
        <f>IF($Z188="",0,Shares!E188)</f>
        <v>0</v>
      </c>
      <c r="AE188" s="266">
        <f>IF($Z188="",0,Shares!J188*Shares!I188)</f>
        <v>0</v>
      </c>
      <c r="AF188" s="267">
        <f t="shared" si="35"/>
        <v>0</v>
      </c>
      <c r="AG188" s="266">
        <f>IF($Z188="",0,Shares!L188)</f>
        <v>0</v>
      </c>
      <c r="AH188" s="267">
        <f>IF($Z188="",0,Shares!M188)</f>
        <v>0</v>
      </c>
      <c r="AI188" s="243" t="str">
        <f>IF($Z188="","",RANK(AE188,$AE$2:$AE$1001)+COUNTIF($AE$2:AE188,AE188)-1)</f>
        <v/>
      </c>
      <c r="AJ188" s="243" t="str">
        <f>IF($AD188&lt;0,COUNT($AJ$1:AJ187)+1,"")</f>
        <v/>
      </c>
      <c r="AL188" s="243" t="str">
        <f>'All Ticker P&amp;L'!A188</f>
        <v/>
      </c>
      <c r="AM188" s="243" t="str">
        <f>'All Ticker P&amp;L'!B188</f>
        <v/>
      </c>
      <c r="AN188" s="243" t="str">
        <f>'All Ticker P&amp;L'!C188</f>
        <v/>
      </c>
      <c r="AO188" s="243" t="str">
        <f>'All Ticker P&amp;L'!D188</f>
        <v/>
      </c>
      <c r="AP188" s="243">
        <f>IF($AL188="",0,'All Ticker P&amp;L'!E188)</f>
        <v>0</v>
      </c>
      <c r="AQ188" s="266">
        <f>IF($AL188="",0,'All Ticker P&amp;L'!J188*'All Ticker P&amp;L'!I188)</f>
        <v>0</v>
      </c>
      <c r="AR188" s="266">
        <f>IF($AL188="",0,'All Ticker P&amp;L'!L188)</f>
        <v>0</v>
      </c>
      <c r="AS188" s="267">
        <f>IF($AL188="",0,'All Ticker P&amp;L'!M188)</f>
        <v>0</v>
      </c>
      <c r="AT188" s="243" t="str">
        <f>IF($AL188="","",RANK(AR188,$AR$2:$AR$1001)+COUNTIF($AR$2:AR188,AR188)-1)</f>
        <v/>
      </c>
      <c r="AU188" s="243" t="str">
        <f>IF($AL188="","",RANK(AV188,$AV$2:$AV$1001)+COUNTIF($AV$2:AV188,AV188)-1)</f>
        <v/>
      </c>
      <c r="AV188" s="266">
        <f t="shared" si="36"/>
        <v>0</v>
      </c>
    </row>
    <row r="189" spans="26:48" ht="15" customHeight="1" x14ac:dyDescent="0.2">
      <c r="Z189" s="243" t="str">
        <f>Shares!A189</f>
        <v/>
      </c>
      <c r="AA189" s="243" t="str">
        <f>Shares!B189</f>
        <v/>
      </c>
      <c r="AB189" s="243" t="str">
        <f>Shares!C189</f>
        <v/>
      </c>
      <c r="AC189" s="243" t="str">
        <f>Shares!D189</f>
        <v/>
      </c>
      <c r="AD189" s="243">
        <f>IF($Z189="",0,Shares!E189)</f>
        <v>0</v>
      </c>
      <c r="AE189" s="266">
        <f>IF($Z189="",0,Shares!J189*Shares!I189)</f>
        <v>0</v>
      </c>
      <c r="AF189" s="267">
        <f t="shared" si="35"/>
        <v>0</v>
      </c>
      <c r="AG189" s="266">
        <f>IF($Z189="",0,Shares!L189)</f>
        <v>0</v>
      </c>
      <c r="AH189" s="267">
        <f>IF($Z189="",0,Shares!M189)</f>
        <v>0</v>
      </c>
      <c r="AI189" s="243" t="str">
        <f>IF($Z189="","",RANK(AE189,$AE$2:$AE$1001)+COUNTIF($AE$2:AE189,AE189)-1)</f>
        <v/>
      </c>
      <c r="AJ189" s="243" t="str">
        <f>IF($AD189&lt;0,COUNT($AJ$1:AJ188)+1,"")</f>
        <v/>
      </c>
      <c r="AL189" s="243" t="str">
        <f>'All Ticker P&amp;L'!A189</f>
        <v/>
      </c>
      <c r="AM189" s="243" t="str">
        <f>'All Ticker P&amp;L'!B189</f>
        <v/>
      </c>
      <c r="AN189" s="243" t="str">
        <f>'All Ticker P&amp;L'!C189</f>
        <v/>
      </c>
      <c r="AO189" s="243" t="str">
        <f>'All Ticker P&amp;L'!D189</f>
        <v/>
      </c>
      <c r="AP189" s="243">
        <f>IF($AL189="",0,'All Ticker P&amp;L'!E189)</f>
        <v>0</v>
      </c>
      <c r="AQ189" s="266">
        <f>IF($AL189="",0,'All Ticker P&amp;L'!J189*'All Ticker P&amp;L'!I189)</f>
        <v>0</v>
      </c>
      <c r="AR189" s="266">
        <f>IF($AL189="",0,'All Ticker P&amp;L'!L189)</f>
        <v>0</v>
      </c>
      <c r="AS189" s="267">
        <f>IF($AL189="",0,'All Ticker P&amp;L'!M189)</f>
        <v>0</v>
      </c>
      <c r="AT189" s="243" t="str">
        <f>IF($AL189="","",RANK(AR189,$AR$2:$AR$1001)+COUNTIF($AR$2:AR189,AR189)-1)</f>
        <v/>
      </c>
      <c r="AU189" s="243" t="str">
        <f>IF($AL189="","",RANK(AV189,$AV$2:$AV$1001)+COUNTIF($AV$2:AV189,AV189)-1)</f>
        <v/>
      </c>
      <c r="AV189" s="266">
        <f t="shared" si="36"/>
        <v>0</v>
      </c>
    </row>
    <row r="190" spans="26:48" ht="15" customHeight="1" x14ac:dyDescent="0.2">
      <c r="Z190" s="243" t="str">
        <f>Shares!A190</f>
        <v/>
      </c>
      <c r="AA190" s="243" t="str">
        <f>Shares!B190</f>
        <v/>
      </c>
      <c r="AB190" s="243" t="str">
        <f>Shares!C190</f>
        <v/>
      </c>
      <c r="AC190" s="243" t="str">
        <f>Shares!D190</f>
        <v/>
      </c>
      <c r="AD190" s="243">
        <f>IF($Z190="",0,Shares!E190)</f>
        <v>0</v>
      </c>
      <c r="AE190" s="266">
        <f>IF($Z190="",0,Shares!J190*Shares!I190)</f>
        <v>0</v>
      </c>
      <c r="AF190" s="267">
        <f t="shared" si="35"/>
        <v>0</v>
      </c>
      <c r="AG190" s="266">
        <f>IF($Z190="",0,Shares!L190)</f>
        <v>0</v>
      </c>
      <c r="AH190" s="267">
        <f>IF($Z190="",0,Shares!M190)</f>
        <v>0</v>
      </c>
      <c r="AI190" s="243" t="str">
        <f>IF($Z190="","",RANK(AE190,$AE$2:$AE$1001)+COUNTIF($AE$2:AE190,AE190)-1)</f>
        <v/>
      </c>
      <c r="AJ190" s="243" t="str">
        <f>IF($AD190&lt;0,COUNT($AJ$1:AJ189)+1,"")</f>
        <v/>
      </c>
      <c r="AL190" s="243" t="str">
        <f>'All Ticker P&amp;L'!A190</f>
        <v/>
      </c>
      <c r="AM190" s="243" t="str">
        <f>'All Ticker P&amp;L'!B190</f>
        <v/>
      </c>
      <c r="AN190" s="243" t="str">
        <f>'All Ticker P&amp;L'!C190</f>
        <v/>
      </c>
      <c r="AO190" s="243" t="str">
        <f>'All Ticker P&amp;L'!D190</f>
        <v/>
      </c>
      <c r="AP190" s="243">
        <f>IF($AL190="",0,'All Ticker P&amp;L'!E190)</f>
        <v>0</v>
      </c>
      <c r="AQ190" s="266">
        <f>IF($AL190="",0,'All Ticker P&amp;L'!J190*'All Ticker P&amp;L'!I190)</f>
        <v>0</v>
      </c>
      <c r="AR190" s="266">
        <f>IF($AL190="",0,'All Ticker P&amp;L'!L190)</f>
        <v>0</v>
      </c>
      <c r="AS190" s="267">
        <f>IF($AL190="",0,'All Ticker P&amp;L'!M190)</f>
        <v>0</v>
      </c>
      <c r="AT190" s="243" t="str">
        <f>IF($AL190="","",RANK(AR190,$AR$2:$AR$1001)+COUNTIF($AR$2:AR190,AR190)-1)</f>
        <v/>
      </c>
      <c r="AU190" s="243" t="str">
        <f>IF($AL190="","",RANK(AV190,$AV$2:$AV$1001)+COUNTIF($AV$2:AV190,AV190)-1)</f>
        <v/>
      </c>
      <c r="AV190" s="266">
        <f t="shared" si="36"/>
        <v>0</v>
      </c>
    </row>
    <row r="191" spans="26:48" ht="15" customHeight="1" x14ac:dyDescent="0.2">
      <c r="Z191" s="243" t="str">
        <f>Shares!A191</f>
        <v/>
      </c>
      <c r="AA191" s="243" t="str">
        <f>Shares!B191</f>
        <v/>
      </c>
      <c r="AB191" s="243" t="str">
        <f>Shares!C191</f>
        <v/>
      </c>
      <c r="AC191" s="243" t="str">
        <f>Shares!D191</f>
        <v/>
      </c>
      <c r="AD191" s="243">
        <f>IF($Z191="",0,Shares!E191)</f>
        <v>0</v>
      </c>
      <c r="AE191" s="266">
        <f>IF($Z191="",0,Shares!J191*Shares!I191)</f>
        <v>0</v>
      </c>
      <c r="AF191" s="267">
        <f t="shared" si="35"/>
        <v>0</v>
      </c>
      <c r="AG191" s="266">
        <f>IF($Z191="",0,Shares!L191)</f>
        <v>0</v>
      </c>
      <c r="AH191" s="267">
        <f>IF($Z191="",0,Shares!M191)</f>
        <v>0</v>
      </c>
      <c r="AI191" s="243" t="str">
        <f>IF($Z191="","",RANK(AE191,$AE$2:$AE$1001)+COUNTIF($AE$2:AE191,AE191)-1)</f>
        <v/>
      </c>
      <c r="AJ191" s="243" t="str">
        <f>IF($AD191&lt;0,COUNT($AJ$1:AJ190)+1,"")</f>
        <v/>
      </c>
      <c r="AL191" s="243" t="str">
        <f>'All Ticker P&amp;L'!A191</f>
        <v/>
      </c>
      <c r="AM191" s="243" t="str">
        <f>'All Ticker P&amp;L'!B191</f>
        <v/>
      </c>
      <c r="AN191" s="243" t="str">
        <f>'All Ticker P&amp;L'!C191</f>
        <v/>
      </c>
      <c r="AO191" s="243" t="str">
        <f>'All Ticker P&amp;L'!D191</f>
        <v/>
      </c>
      <c r="AP191" s="243">
        <f>IF($AL191="",0,'All Ticker P&amp;L'!E191)</f>
        <v>0</v>
      </c>
      <c r="AQ191" s="266">
        <f>IF($AL191="",0,'All Ticker P&amp;L'!J191*'All Ticker P&amp;L'!I191)</f>
        <v>0</v>
      </c>
      <c r="AR191" s="266">
        <f>IF($AL191="",0,'All Ticker P&amp;L'!L191)</f>
        <v>0</v>
      </c>
      <c r="AS191" s="267">
        <f>IF($AL191="",0,'All Ticker P&amp;L'!M191)</f>
        <v>0</v>
      </c>
      <c r="AT191" s="243" t="str">
        <f>IF($AL191="","",RANK(AR191,$AR$2:$AR$1001)+COUNTIF($AR$2:AR191,AR191)-1)</f>
        <v/>
      </c>
      <c r="AU191" s="243" t="str">
        <f>IF($AL191="","",RANK(AV191,$AV$2:$AV$1001)+COUNTIF($AV$2:AV191,AV191)-1)</f>
        <v/>
      </c>
      <c r="AV191" s="266">
        <f t="shared" si="36"/>
        <v>0</v>
      </c>
    </row>
    <row r="192" spans="26:48" ht="15" customHeight="1" x14ac:dyDescent="0.2">
      <c r="Z192" s="243" t="str">
        <f>Shares!A192</f>
        <v/>
      </c>
      <c r="AA192" s="243" t="str">
        <f>Shares!B192</f>
        <v/>
      </c>
      <c r="AB192" s="243" t="str">
        <f>Shares!C192</f>
        <v/>
      </c>
      <c r="AC192" s="243" t="str">
        <f>Shares!D192</f>
        <v/>
      </c>
      <c r="AD192" s="243">
        <f>IF($Z192="",0,Shares!E192)</f>
        <v>0</v>
      </c>
      <c r="AE192" s="266">
        <f>IF($Z192="",0,Shares!J192*Shares!I192)</f>
        <v>0</v>
      </c>
      <c r="AF192" s="267">
        <f t="shared" si="35"/>
        <v>0</v>
      </c>
      <c r="AG192" s="266">
        <f>IF($Z192="",0,Shares!L192)</f>
        <v>0</v>
      </c>
      <c r="AH192" s="267">
        <f>IF($Z192="",0,Shares!M192)</f>
        <v>0</v>
      </c>
      <c r="AI192" s="243" t="str">
        <f>IF($Z192="","",RANK(AE192,$AE$2:$AE$1001)+COUNTIF($AE$2:AE192,AE192)-1)</f>
        <v/>
      </c>
      <c r="AJ192" s="243" t="str">
        <f>IF($AD192&lt;0,COUNT($AJ$1:AJ191)+1,"")</f>
        <v/>
      </c>
      <c r="AL192" s="243" t="str">
        <f>'All Ticker P&amp;L'!A192</f>
        <v/>
      </c>
      <c r="AM192" s="243" t="str">
        <f>'All Ticker P&amp;L'!B192</f>
        <v/>
      </c>
      <c r="AN192" s="243" t="str">
        <f>'All Ticker P&amp;L'!C192</f>
        <v/>
      </c>
      <c r="AO192" s="243" t="str">
        <f>'All Ticker P&amp;L'!D192</f>
        <v/>
      </c>
      <c r="AP192" s="243">
        <f>IF($AL192="",0,'All Ticker P&amp;L'!E192)</f>
        <v>0</v>
      </c>
      <c r="AQ192" s="266">
        <f>IF($AL192="",0,'All Ticker P&amp;L'!J192*'All Ticker P&amp;L'!I192)</f>
        <v>0</v>
      </c>
      <c r="AR192" s="266">
        <f>IF($AL192="",0,'All Ticker P&amp;L'!L192)</f>
        <v>0</v>
      </c>
      <c r="AS192" s="267">
        <f>IF($AL192="",0,'All Ticker P&amp;L'!M192)</f>
        <v>0</v>
      </c>
      <c r="AT192" s="243" t="str">
        <f>IF($AL192="","",RANK(AR192,$AR$2:$AR$1001)+COUNTIF($AR$2:AR192,AR192)-1)</f>
        <v/>
      </c>
      <c r="AU192" s="243" t="str">
        <f>IF($AL192="","",RANK(AV192,$AV$2:$AV$1001)+COUNTIF($AV$2:AV192,AV192)-1)</f>
        <v/>
      </c>
      <c r="AV192" s="266">
        <f t="shared" si="36"/>
        <v>0</v>
      </c>
    </row>
    <row r="193" spans="26:48" ht="15" customHeight="1" x14ac:dyDescent="0.2">
      <c r="Z193" s="243" t="str">
        <f>Shares!A193</f>
        <v/>
      </c>
      <c r="AA193" s="243" t="str">
        <f>Shares!B193</f>
        <v/>
      </c>
      <c r="AB193" s="243" t="str">
        <f>Shares!C193</f>
        <v/>
      </c>
      <c r="AC193" s="243" t="str">
        <f>Shares!D193</f>
        <v/>
      </c>
      <c r="AD193" s="243">
        <f>IF($Z193="",0,Shares!E193)</f>
        <v>0</v>
      </c>
      <c r="AE193" s="266">
        <f>IF($Z193="",0,Shares!J193*Shares!I193)</f>
        <v>0</v>
      </c>
      <c r="AF193" s="267">
        <f t="shared" si="35"/>
        <v>0</v>
      </c>
      <c r="AG193" s="266">
        <f>IF($Z193="",0,Shares!L193)</f>
        <v>0</v>
      </c>
      <c r="AH193" s="267">
        <f>IF($Z193="",0,Shares!M193)</f>
        <v>0</v>
      </c>
      <c r="AI193" s="243" t="str">
        <f>IF($Z193="","",RANK(AE193,$AE$2:$AE$1001)+COUNTIF($AE$2:AE193,AE193)-1)</f>
        <v/>
      </c>
      <c r="AJ193" s="243" t="str">
        <f>IF($AD193&lt;0,COUNT($AJ$1:AJ192)+1,"")</f>
        <v/>
      </c>
      <c r="AL193" s="243" t="str">
        <f>'All Ticker P&amp;L'!A193</f>
        <v/>
      </c>
      <c r="AM193" s="243" t="str">
        <f>'All Ticker P&amp;L'!B193</f>
        <v/>
      </c>
      <c r="AN193" s="243" t="str">
        <f>'All Ticker P&amp;L'!C193</f>
        <v/>
      </c>
      <c r="AO193" s="243" t="str">
        <f>'All Ticker P&amp;L'!D193</f>
        <v/>
      </c>
      <c r="AP193" s="243">
        <f>IF($AL193="",0,'All Ticker P&amp;L'!E193)</f>
        <v>0</v>
      </c>
      <c r="AQ193" s="266">
        <f>IF($AL193="",0,'All Ticker P&amp;L'!J193*'All Ticker P&amp;L'!I193)</f>
        <v>0</v>
      </c>
      <c r="AR193" s="266">
        <f>IF($AL193="",0,'All Ticker P&amp;L'!L193)</f>
        <v>0</v>
      </c>
      <c r="AS193" s="267">
        <f>IF($AL193="",0,'All Ticker P&amp;L'!M193)</f>
        <v>0</v>
      </c>
      <c r="AT193" s="243" t="str">
        <f>IF($AL193="","",RANK(AR193,$AR$2:$AR$1001)+COUNTIF($AR$2:AR193,AR193)-1)</f>
        <v/>
      </c>
      <c r="AU193" s="243" t="str">
        <f>IF($AL193="","",RANK(AV193,$AV$2:$AV$1001)+COUNTIF($AV$2:AV193,AV193)-1)</f>
        <v/>
      </c>
      <c r="AV193" s="266">
        <f t="shared" si="36"/>
        <v>0</v>
      </c>
    </row>
    <row r="194" spans="26:48" ht="15" customHeight="1" x14ac:dyDescent="0.2">
      <c r="Z194" s="243" t="str">
        <f>Shares!A194</f>
        <v/>
      </c>
      <c r="AA194" s="243" t="str">
        <f>Shares!B194</f>
        <v/>
      </c>
      <c r="AB194" s="243" t="str">
        <f>Shares!C194</f>
        <v/>
      </c>
      <c r="AC194" s="243" t="str">
        <f>Shares!D194</f>
        <v/>
      </c>
      <c r="AD194" s="243">
        <f>IF($Z194="",0,Shares!E194)</f>
        <v>0</v>
      </c>
      <c r="AE194" s="266">
        <f>IF($Z194="",0,Shares!J194*Shares!I194)</f>
        <v>0</v>
      </c>
      <c r="AF194" s="267">
        <f t="shared" ref="AF194:AF257" si="37">IFERROR(AE194/$B$5,0)</f>
        <v>0</v>
      </c>
      <c r="AG194" s="266">
        <f>IF($Z194="",0,Shares!L194)</f>
        <v>0</v>
      </c>
      <c r="AH194" s="267">
        <f>IF($Z194="",0,Shares!M194)</f>
        <v>0</v>
      </c>
      <c r="AI194" s="243" t="str">
        <f>IF($Z194="","",RANK(AE194,$AE$2:$AE$1001)+COUNTIF($AE$2:AE194,AE194)-1)</f>
        <v/>
      </c>
      <c r="AJ194" s="243" t="str">
        <f>IF($AD194&lt;0,COUNT($AJ$1:AJ193)+1,"")</f>
        <v/>
      </c>
      <c r="AL194" s="243" t="str">
        <f>'All Ticker P&amp;L'!A194</f>
        <v/>
      </c>
      <c r="AM194" s="243" t="str">
        <f>'All Ticker P&amp;L'!B194</f>
        <v/>
      </c>
      <c r="AN194" s="243" t="str">
        <f>'All Ticker P&amp;L'!C194</f>
        <v/>
      </c>
      <c r="AO194" s="243" t="str">
        <f>'All Ticker P&amp;L'!D194</f>
        <v/>
      </c>
      <c r="AP194" s="243">
        <f>IF($AL194="",0,'All Ticker P&amp;L'!E194)</f>
        <v>0</v>
      </c>
      <c r="AQ194" s="266">
        <f>IF($AL194="",0,'All Ticker P&amp;L'!J194*'All Ticker P&amp;L'!I194)</f>
        <v>0</v>
      </c>
      <c r="AR194" s="266">
        <f>IF($AL194="",0,'All Ticker P&amp;L'!L194)</f>
        <v>0</v>
      </c>
      <c r="AS194" s="267">
        <f>IF($AL194="",0,'All Ticker P&amp;L'!M194)</f>
        <v>0</v>
      </c>
      <c r="AT194" s="243" t="str">
        <f>IF($AL194="","",RANK(AR194,$AR$2:$AR$1001)+COUNTIF($AR$2:AR194,AR194)-1)</f>
        <v/>
      </c>
      <c r="AU194" s="243" t="str">
        <f>IF($AL194="","",RANK(AV194,$AV$2:$AV$1001)+COUNTIF($AV$2:AV194,AV194)-1)</f>
        <v/>
      </c>
      <c r="AV194" s="266">
        <f t="shared" ref="AV194:AV257" si="38">-AR194</f>
        <v>0</v>
      </c>
    </row>
    <row r="195" spans="26:48" ht="15" customHeight="1" x14ac:dyDescent="0.2">
      <c r="Z195" s="243" t="str">
        <f>Shares!A195</f>
        <v/>
      </c>
      <c r="AA195" s="243" t="str">
        <f>Shares!B195</f>
        <v/>
      </c>
      <c r="AB195" s="243" t="str">
        <f>Shares!C195</f>
        <v/>
      </c>
      <c r="AC195" s="243" t="str">
        <f>Shares!D195</f>
        <v/>
      </c>
      <c r="AD195" s="243">
        <f>IF($Z195="",0,Shares!E195)</f>
        <v>0</v>
      </c>
      <c r="AE195" s="266">
        <f>IF($Z195="",0,Shares!J195*Shares!I195)</f>
        <v>0</v>
      </c>
      <c r="AF195" s="267">
        <f t="shared" si="37"/>
        <v>0</v>
      </c>
      <c r="AG195" s="266">
        <f>IF($Z195="",0,Shares!L195)</f>
        <v>0</v>
      </c>
      <c r="AH195" s="267">
        <f>IF($Z195="",0,Shares!M195)</f>
        <v>0</v>
      </c>
      <c r="AI195" s="243" t="str">
        <f>IF($Z195="","",RANK(AE195,$AE$2:$AE$1001)+COUNTIF($AE$2:AE195,AE195)-1)</f>
        <v/>
      </c>
      <c r="AJ195" s="243" t="str">
        <f>IF($AD195&lt;0,COUNT($AJ$1:AJ194)+1,"")</f>
        <v/>
      </c>
      <c r="AL195" s="243" t="str">
        <f>'All Ticker P&amp;L'!A195</f>
        <v/>
      </c>
      <c r="AM195" s="243" t="str">
        <f>'All Ticker P&amp;L'!B195</f>
        <v/>
      </c>
      <c r="AN195" s="243" t="str">
        <f>'All Ticker P&amp;L'!C195</f>
        <v/>
      </c>
      <c r="AO195" s="243" t="str">
        <f>'All Ticker P&amp;L'!D195</f>
        <v/>
      </c>
      <c r="AP195" s="243">
        <f>IF($AL195="",0,'All Ticker P&amp;L'!E195)</f>
        <v>0</v>
      </c>
      <c r="AQ195" s="266">
        <f>IF($AL195="",0,'All Ticker P&amp;L'!J195*'All Ticker P&amp;L'!I195)</f>
        <v>0</v>
      </c>
      <c r="AR195" s="266">
        <f>IF($AL195="",0,'All Ticker P&amp;L'!L195)</f>
        <v>0</v>
      </c>
      <c r="AS195" s="267">
        <f>IF($AL195="",0,'All Ticker P&amp;L'!M195)</f>
        <v>0</v>
      </c>
      <c r="AT195" s="243" t="str">
        <f>IF($AL195="","",RANK(AR195,$AR$2:$AR$1001)+COUNTIF($AR$2:AR195,AR195)-1)</f>
        <v/>
      </c>
      <c r="AU195" s="243" t="str">
        <f>IF($AL195="","",RANK(AV195,$AV$2:$AV$1001)+COUNTIF($AV$2:AV195,AV195)-1)</f>
        <v/>
      </c>
      <c r="AV195" s="266">
        <f t="shared" si="38"/>
        <v>0</v>
      </c>
    </row>
    <row r="196" spans="26:48" ht="15" customHeight="1" x14ac:dyDescent="0.2">
      <c r="Z196" s="243" t="str">
        <f>Shares!A196</f>
        <v/>
      </c>
      <c r="AA196" s="243" t="str">
        <f>Shares!B196</f>
        <v/>
      </c>
      <c r="AB196" s="243" t="str">
        <f>Shares!C196</f>
        <v/>
      </c>
      <c r="AC196" s="243" t="str">
        <f>Shares!D196</f>
        <v/>
      </c>
      <c r="AD196" s="243">
        <f>IF($Z196="",0,Shares!E196)</f>
        <v>0</v>
      </c>
      <c r="AE196" s="266">
        <f>IF($Z196="",0,Shares!J196*Shares!I196)</f>
        <v>0</v>
      </c>
      <c r="AF196" s="267">
        <f t="shared" si="37"/>
        <v>0</v>
      </c>
      <c r="AG196" s="266">
        <f>IF($Z196="",0,Shares!L196)</f>
        <v>0</v>
      </c>
      <c r="AH196" s="267">
        <f>IF($Z196="",0,Shares!M196)</f>
        <v>0</v>
      </c>
      <c r="AI196" s="243" t="str">
        <f>IF($Z196="","",RANK(AE196,$AE$2:$AE$1001)+COUNTIF($AE$2:AE196,AE196)-1)</f>
        <v/>
      </c>
      <c r="AJ196" s="243" t="str">
        <f>IF($AD196&lt;0,COUNT($AJ$1:AJ195)+1,"")</f>
        <v/>
      </c>
      <c r="AL196" s="243" t="str">
        <f>'All Ticker P&amp;L'!A196</f>
        <v/>
      </c>
      <c r="AM196" s="243" t="str">
        <f>'All Ticker P&amp;L'!B196</f>
        <v/>
      </c>
      <c r="AN196" s="243" t="str">
        <f>'All Ticker P&amp;L'!C196</f>
        <v/>
      </c>
      <c r="AO196" s="243" t="str">
        <f>'All Ticker P&amp;L'!D196</f>
        <v/>
      </c>
      <c r="AP196" s="243">
        <f>IF($AL196="",0,'All Ticker P&amp;L'!E196)</f>
        <v>0</v>
      </c>
      <c r="AQ196" s="266">
        <f>IF($AL196="",0,'All Ticker P&amp;L'!J196*'All Ticker P&amp;L'!I196)</f>
        <v>0</v>
      </c>
      <c r="AR196" s="266">
        <f>IF($AL196="",0,'All Ticker P&amp;L'!L196)</f>
        <v>0</v>
      </c>
      <c r="AS196" s="267">
        <f>IF($AL196="",0,'All Ticker P&amp;L'!M196)</f>
        <v>0</v>
      </c>
      <c r="AT196" s="243" t="str">
        <f>IF($AL196="","",RANK(AR196,$AR$2:$AR$1001)+COUNTIF($AR$2:AR196,AR196)-1)</f>
        <v/>
      </c>
      <c r="AU196" s="243" t="str">
        <f>IF($AL196="","",RANK(AV196,$AV$2:$AV$1001)+COUNTIF($AV$2:AV196,AV196)-1)</f>
        <v/>
      </c>
      <c r="AV196" s="266">
        <f t="shared" si="38"/>
        <v>0</v>
      </c>
    </row>
    <row r="197" spans="26:48" ht="15" customHeight="1" x14ac:dyDescent="0.2">
      <c r="Z197" s="243" t="str">
        <f>Shares!A197</f>
        <v/>
      </c>
      <c r="AA197" s="243" t="str">
        <f>Shares!B197</f>
        <v/>
      </c>
      <c r="AB197" s="243" t="str">
        <f>Shares!C197</f>
        <v/>
      </c>
      <c r="AC197" s="243" t="str">
        <f>Shares!D197</f>
        <v/>
      </c>
      <c r="AD197" s="243">
        <f>IF($Z197="",0,Shares!E197)</f>
        <v>0</v>
      </c>
      <c r="AE197" s="266">
        <f>IF($Z197="",0,Shares!J197*Shares!I197)</f>
        <v>0</v>
      </c>
      <c r="AF197" s="267">
        <f t="shared" si="37"/>
        <v>0</v>
      </c>
      <c r="AG197" s="266">
        <f>IF($Z197="",0,Shares!L197)</f>
        <v>0</v>
      </c>
      <c r="AH197" s="267">
        <f>IF($Z197="",0,Shares!M197)</f>
        <v>0</v>
      </c>
      <c r="AI197" s="243" t="str">
        <f>IF($Z197="","",RANK(AE197,$AE$2:$AE$1001)+COUNTIF($AE$2:AE197,AE197)-1)</f>
        <v/>
      </c>
      <c r="AJ197" s="243" t="str">
        <f>IF($AD197&lt;0,COUNT($AJ$1:AJ196)+1,"")</f>
        <v/>
      </c>
      <c r="AL197" s="243" t="str">
        <f>'All Ticker P&amp;L'!A197</f>
        <v/>
      </c>
      <c r="AM197" s="243" t="str">
        <f>'All Ticker P&amp;L'!B197</f>
        <v/>
      </c>
      <c r="AN197" s="243" t="str">
        <f>'All Ticker P&amp;L'!C197</f>
        <v/>
      </c>
      <c r="AO197" s="243" t="str">
        <f>'All Ticker P&amp;L'!D197</f>
        <v/>
      </c>
      <c r="AP197" s="243">
        <f>IF($AL197="",0,'All Ticker P&amp;L'!E197)</f>
        <v>0</v>
      </c>
      <c r="AQ197" s="266">
        <f>IF($AL197="",0,'All Ticker P&amp;L'!J197*'All Ticker P&amp;L'!I197)</f>
        <v>0</v>
      </c>
      <c r="AR197" s="266">
        <f>IF($AL197="",0,'All Ticker P&amp;L'!L197)</f>
        <v>0</v>
      </c>
      <c r="AS197" s="267">
        <f>IF($AL197="",0,'All Ticker P&amp;L'!M197)</f>
        <v>0</v>
      </c>
      <c r="AT197" s="243" t="str">
        <f>IF($AL197="","",RANK(AR197,$AR$2:$AR$1001)+COUNTIF($AR$2:AR197,AR197)-1)</f>
        <v/>
      </c>
      <c r="AU197" s="243" t="str">
        <f>IF($AL197="","",RANK(AV197,$AV$2:$AV$1001)+COUNTIF($AV$2:AV197,AV197)-1)</f>
        <v/>
      </c>
      <c r="AV197" s="266">
        <f t="shared" si="38"/>
        <v>0</v>
      </c>
    </row>
    <row r="198" spans="26:48" ht="15" customHeight="1" x14ac:dyDescent="0.2">
      <c r="Z198" s="243" t="str">
        <f>Shares!A198</f>
        <v/>
      </c>
      <c r="AA198" s="243" t="str">
        <f>Shares!B198</f>
        <v/>
      </c>
      <c r="AB198" s="243" t="str">
        <f>Shares!C198</f>
        <v/>
      </c>
      <c r="AC198" s="243" t="str">
        <f>Shares!D198</f>
        <v/>
      </c>
      <c r="AD198" s="243">
        <f>IF($Z198="",0,Shares!E198)</f>
        <v>0</v>
      </c>
      <c r="AE198" s="266">
        <f>IF($Z198="",0,Shares!J198*Shares!I198)</f>
        <v>0</v>
      </c>
      <c r="AF198" s="267">
        <f t="shared" si="37"/>
        <v>0</v>
      </c>
      <c r="AG198" s="266">
        <f>IF($Z198="",0,Shares!L198)</f>
        <v>0</v>
      </c>
      <c r="AH198" s="267">
        <f>IF($Z198="",0,Shares!M198)</f>
        <v>0</v>
      </c>
      <c r="AI198" s="243" t="str">
        <f>IF($Z198="","",RANK(AE198,$AE$2:$AE$1001)+COUNTIF($AE$2:AE198,AE198)-1)</f>
        <v/>
      </c>
      <c r="AJ198" s="243" t="str">
        <f>IF($AD198&lt;0,COUNT($AJ$1:AJ197)+1,"")</f>
        <v/>
      </c>
      <c r="AL198" s="243" t="str">
        <f>'All Ticker P&amp;L'!A198</f>
        <v/>
      </c>
      <c r="AM198" s="243" t="str">
        <f>'All Ticker P&amp;L'!B198</f>
        <v/>
      </c>
      <c r="AN198" s="243" t="str">
        <f>'All Ticker P&amp;L'!C198</f>
        <v/>
      </c>
      <c r="AO198" s="243" t="str">
        <f>'All Ticker P&amp;L'!D198</f>
        <v/>
      </c>
      <c r="AP198" s="243">
        <f>IF($AL198="",0,'All Ticker P&amp;L'!E198)</f>
        <v>0</v>
      </c>
      <c r="AQ198" s="266">
        <f>IF($AL198="",0,'All Ticker P&amp;L'!J198*'All Ticker P&amp;L'!I198)</f>
        <v>0</v>
      </c>
      <c r="AR198" s="266">
        <f>IF($AL198="",0,'All Ticker P&amp;L'!L198)</f>
        <v>0</v>
      </c>
      <c r="AS198" s="267">
        <f>IF($AL198="",0,'All Ticker P&amp;L'!M198)</f>
        <v>0</v>
      </c>
      <c r="AT198" s="243" t="str">
        <f>IF($AL198="","",RANK(AR198,$AR$2:$AR$1001)+COUNTIF($AR$2:AR198,AR198)-1)</f>
        <v/>
      </c>
      <c r="AU198" s="243" t="str">
        <f>IF($AL198="","",RANK(AV198,$AV$2:$AV$1001)+COUNTIF($AV$2:AV198,AV198)-1)</f>
        <v/>
      </c>
      <c r="AV198" s="266">
        <f t="shared" si="38"/>
        <v>0</v>
      </c>
    </row>
    <row r="199" spans="26:48" ht="15" customHeight="1" x14ac:dyDescent="0.2">
      <c r="Z199" s="243" t="str">
        <f>Shares!A199</f>
        <v/>
      </c>
      <c r="AA199" s="243" t="str">
        <f>Shares!B199</f>
        <v/>
      </c>
      <c r="AB199" s="243" t="str">
        <f>Shares!C199</f>
        <v/>
      </c>
      <c r="AC199" s="243" t="str">
        <f>Shares!D199</f>
        <v/>
      </c>
      <c r="AD199" s="243">
        <f>IF($Z199="",0,Shares!E199)</f>
        <v>0</v>
      </c>
      <c r="AE199" s="266">
        <f>IF($Z199="",0,Shares!J199*Shares!I199)</f>
        <v>0</v>
      </c>
      <c r="AF199" s="267">
        <f t="shared" si="37"/>
        <v>0</v>
      </c>
      <c r="AG199" s="266">
        <f>IF($Z199="",0,Shares!L199)</f>
        <v>0</v>
      </c>
      <c r="AH199" s="267">
        <f>IF($Z199="",0,Shares!M199)</f>
        <v>0</v>
      </c>
      <c r="AI199" s="243" t="str">
        <f>IF($Z199="","",RANK(AE199,$AE$2:$AE$1001)+COUNTIF($AE$2:AE199,AE199)-1)</f>
        <v/>
      </c>
      <c r="AJ199" s="243" t="str">
        <f>IF($AD199&lt;0,COUNT($AJ$1:AJ198)+1,"")</f>
        <v/>
      </c>
      <c r="AL199" s="243" t="str">
        <f>'All Ticker P&amp;L'!A199</f>
        <v/>
      </c>
      <c r="AM199" s="243" t="str">
        <f>'All Ticker P&amp;L'!B199</f>
        <v/>
      </c>
      <c r="AN199" s="243" t="str">
        <f>'All Ticker P&amp;L'!C199</f>
        <v/>
      </c>
      <c r="AO199" s="243" t="str">
        <f>'All Ticker P&amp;L'!D199</f>
        <v/>
      </c>
      <c r="AP199" s="243">
        <f>IF($AL199="",0,'All Ticker P&amp;L'!E199)</f>
        <v>0</v>
      </c>
      <c r="AQ199" s="266">
        <f>IF($AL199="",0,'All Ticker P&amp;L'!J199*'All Ticker P&amp;L'!I199)</f>
        <v>0</v>
      </c>
      <c r="AR199" s="266">
        <f>IF($AL199="",0,'All Ticker P&amp;L'!L199)</f>
        <v>0</v>
      </c>
      <c r="AS199" s="267">
        <f>IF($AL199="",0,'All Ticker P&amp;L'!M199)</f>
        <v>0</v>
      </c>
      <c r="AT199" s="243" t="str">
        <f>IF($AL199="","",RANK(AR199,$AR$2:$AR$1001)+COUNTIF($AR$2:AR199,AR199)-1)</f>
        <v/>
      </c>
      <c r="AU199" s="243" t="str">
        <f>IF($AL199="","",RANK(AV199,$AV$2:$AV$1001)+COUNTIF($AV$2:AV199,AV199)-1)</f>
        <v/>
      </c>
      <c r="AV199" s="266">
        <f t="shared" si="38"/>
        <v>0</v>
      </c>
    </row>
    <row r="200" spans="26:48" ht="15" customHeight="1" x14ac:dyDescent="0.2">
      <c r="Z200" s="243" t="str">
        <f>Shares!A200</f>
        <v/>
      </c>
      <c r="AA200" s="243" t="str">
        <f>Shares!B200</f>
        <v/>
      </c>
      <c r="AB200" s="243" t="str">
        <f>Shares!C200</f>
        <v/>
      </c>
      <c r="AC200" s="243" t="str">
        <f>Shares!D200</f>
        <v/>
      </c>
      <c r="AD200" s="243">
        <f>IF($Z200="",0,Shares!E200)</f>
        <v>0</v>
      </c>
      <c r="AE200" s="266">
        <f>IF($Z200="",0,Shares!J200*Shares!I200)</f>
        <v>0</v>
      </c>
      <c r="AF200" s="267">
        <f t="shared" si="37"/>
        <v>0</v>
      </c>
      <c r="AG200" s="266">
        <f>IF($Z200="",0,Shares!L200)</f>
        <v>0</v>
      </c>
      <c r="AH200" s="267">
        <f>IF($Z200="",0,Shares!M200)</f>
        <v>0</v>
      </c>
      <c r="AI200" s="243" t="str">
        <f>IF($Z200="","",RANK(AE200,$AE$2:$AE$1001)+COUNTIF($AE$2:AE200,AE200)-1)</f>
        <v/>
      </c>
      <c r="AJ200" s="243" t="str">
        <f>IF($AD200&lt;0,COUNT($AJ$1:AJ199)+1,"")</f>
        <v/>
      </c>
      <c r="AL200" s="243" t="str">
        <f>'All Ticker P&amp;L'!A200</f>
        <v/>
      </c>
      <c r="AM200" s="243" t="str">
        <f>'All Ticker P&amp;L'!B200</f>
        <v/>
      </c>
      <c r="AN200" s="243" t="str">
        <f>'All Ticker P&amp;L'!C200</f>
        <v/>
      </c>
      <c r="AO200" s="243" t="str">
        <f>'All Ticker P&amp;L'!D200</f>
        <v/>
      </c>
      <c r="AP200" s="243">
        <f>IF($AL200="",0,'All Ticker P&amp;L'!E200)</f>
        <v>0</v>
      </c>
      <c r="AQ200" s="266">
        <f>IF($AL200="",0,'All Ticker P&amp;L'!J200*'All Ticker P&amp;L'!I200)</f>
        <v>0</v>
      </c>
      <c r="AR200" s="266">
        <f>IF($AL200="",0,'All Ticker P&amp;L'!L200)</f>
        <v>0</v>
      </c>
      <c r="AS200" s="267">
        <f>IF($AL200="",0,'All Ticker P&amp;L'!M200)</f>
        <v>0</v>
      </c>
      <c r="AT200" s="243" t="str">
        <f>IF($AL200="","",RANK(AR200,$AR$2:$AR$1001)+COUNTIF($AR$2:AR200,AR200)-1)</f>
        <v/>
      </c>
      <c r="AU200" s="243" t="str">
        <f>IF($AL200="","",RANK(AV200,$AV$2:$AV$1001)+COUNTIF($AV$2:AV200,AV200)-1)</f>
        <v/>
      </c>
      <c r="AV200" s="266">
        <f t="shared" si="38"/>
        <v>0</v>
      </c>
    </row>
    <row r="201" spans="26:48" ht="15" customHeight="1" x14ac:dyDescent="0.2">
      <c r="Z201" s="243" t="str">
        <f>Shares!A201</f>
        <v/>
      </c>
      <c r="AA201" s="243" t="str">
        <f>Shares!B201</f>
        <v/>
      </c>
      <c r="AB201" s="243" t="str">
        <f>Shares!C201</f>
        <v/>
      </c>
      <c r="AC201" s="243" t="str">
        <f>Shares!D201</f>
        <v/>
      </c>
      <c r="AD201" s="243">
        <f>IF($Z201="",0,Shares!E201)</f>
        <v>0</v>
      </c>
      <c r="AE201" s="266">
        <f>IF($Z201="",0,Shares!J201*Shares!I201)</f>
        <v>0</v>
      </c>
      <c r="AF201" s="267">
        <f t="shared" si="37"/>
        <v>0</v>
      </c>
      <c r="AG201" s="266">
        <f>IF($Z201="",0,Shares!L201)</f>
        <v>0</v>
      </c>
      <c r="AH201" s="267">
        <f>IF($Z201="",0,Shares!M201)</f>
        <v>0</v>
      </c>
      <c r="AI201" s="243" t="str">
        <f>IF($Z201="","",RANK(AE201,$AE$2:$AE$1001)+COUNTIF($AE$2:AE201,AE201)-1)</f>
        <v/>
      </c>
      <c r="AJ201" s="243" t="str">
        <f>IF($AD201&lt;0,COUNT($AJ$1:AJ200)+1,"")</f>
        <v/>
      </c>
      <c r="AL201" s="243" t="str">
        <f>'All Ticker P&amp;L'!A201</f>
        <v/>
      </c>
      <c r="AM201" s="243" t="str">
        <f>'All Ticker P&amp;L'!B201</f>
        <v/>
      </c>
      <c r="AN201" s="243" t="str">
        <f>'All Ticker P&amp;L'!C201</f>
        <v/>
      </c>
      <c r="AO201" s="243" t="str">
        <f>'All Ticker P&amp;L'!D201</f>
        <v/>
      </c>
      <c r="AP201" s="243">
        <f>IF($AL201="",0,'All Ticker P&amp;L'!E201)</f>
        <v>0</v>
      </c>
      <c r="AQ201" s="266">
        <f>IF($AL201="",0,'All Ticker P&amp;L'!J201*'All Ticker P&amp;L'!I201)</f>
        <v>0</v>
      </c>
      <c r="AR201" s="266">
        <f>IF($AL201="",0,'All Ticker P&amp;L'!L201)</f>
        <v>0</v>
      </c>
      <c r="AS201" s="267">
        <f>IF($AL201="",0,'All Ticker P&amp;L'!M201)</f>
        <v>0</v>
      </c>
      <c r="AT201" s="243" t="str">
        <f>IF($AL201="","",RANK(AR201,$AR$2:$AR$1001)+COUNTIF($AR$2:AR201,AR201)-1)</f>
        <v/>
      </c>
      <c r="AU201" s="243" t="str">
        <f>IF($AL201="","",RANK(AV201,$AV$2:$AV$1001)+COUNTIF($AV$2:AV201,AV201)-1)</f>
        <v/>
      </c>
      <c r="AV201" s="266">
        <f t="shared" si="38"/>
        <v>0</v>
      </c>
    </row>
    <row r="202" spans="26:48" ht="15" customHeight="1" x14ac:dyDescent="0.2">
      <c r="Z202" s="243" t="str">
        <f>Shares!A202</f>
        <v/>
      </c>
      <c r="AA202" s="243" t="str">
        <f>Shares!B202</f>
        <v/>
      </c>
      <c r="AB202" s="243" t="str">
        <f>Shares!C202</f>
        <v/>
      </c>
      <c r="AC202" s="243" t="str">
        <f>Shares!D202</f>
        <v/>
      </c>
      <c r="AD202" s="243">
        <f>IF($Z202="",0,Shares!E202)</f>
        <v>0</v>
      </c>
      <c r="AE202" s="266">
        <f>IF($Z202="",0,Shares!J202*Shares!I202)</f>
        <v>0</v>
      </c>
      <c r="AF202" s="267">
        <f t="shared" si="37"/>
        <v>0</v>
      </c>
      <c r="AG202" s="266">
        <f>IF($Z202="",0,Shares!L202)</f>
        <v>0</v>
      </c>
      <c r="AH202" s="267">
        <f>IF($Z202="",0,Shares!M202)</f>
        <v>0</v>
      </c>
      <c r="AI202" s="243" t="str">
        <f>IF($Z202="","",RANK(AE202,$AE$2:$AE$1001)+COUNTIF($AE$2:AE202,AE202)-1)</f>
        <v/>
      </c>
      <c r="AJ202" s="243" t="str">
        <f>IF($AD202&lt;0,COUNT($AJ$1:AJ201)+1,"")</f>
        <v/>
      </c>
      <c r="AL202" s="243" t="str">
        <f>'All Ticker P&amp;L'!A202</f>
        <v/>
      </c>
      <c r="AM202" s="243" t="str">
        <f>'All Ticker P&amp;L'!B202</f>
        <v/>
      </c>
      <c r="AN202" s="243" t="str">
        <f>'All Ticker P&amp;L'!C202</f>
        <v/>
      </c>
      <c r="AO202" s="243" t="str">
        <f>'All Ticker P&amp;L'!D202</f>
        <v/>
      </c>
      <c r="AP202" s="243">
        <f>IF($AL202="",0,'All Ticker P&amp;L'!E202)</f>
        <v>0</v>
      </c>
      <c r="AQ202" s="266">
        <f>IF($AL202="",0,'All Ticker P&amp;L'!J202*'All Ticker P&amp;L'!I202)</f>
        <v>0</v>
      </c>
      <c r="AR202" s="266">
        <f>IF($AL202="",0,'All Ticker P&amp;L'!L202)</f>
        <v>0</v>
      </c>
      <c r="AS202" s="267">
        <f>IF($AL202="",0,'All Ticker P&amp;L'!M202)</f>
        <v>0</v>
      </c>
      <c r="AT202" s="243" t="str">
        <f>IF($AL202="","",RANK(AR202,$AR$2:$AR$1001)+COUNTIF($AR$2:AR202,AR202)-1)</f>
        <v/>
      </c>
      <c r="AU202" s="243" t="str">
        <f>IF($AL202="","",RANK(AV202,$AV$2:$AV$1001)+COUNTIF($AV$2:AV202,AV202)-1)</f>
        <v/>
      </c>
      <c r="AV202" s="266">
        <f t="shared" si="38"/>
        <v>0</v>
      </c>
    </row>
    <row r="203" spans="26:48" ht="15" customHeight="1" x14ac:dyDescent="0.2">
      <c r="Z203" s="243" t="str">
        <f>Shares!A203</f>
        <v/>
      </c>
      <c r="AA203" s="243" t="str">
        <f>Shares!B203</f>
        <v/>
      </c>
      <c r="AB203" s="243" t="str">
        <f>Shares!C203</f>
        <v/>
      </c>
      <c r="AC203" s="243" t="str">
        <f>Shares!D203</f>
        <v/>
      </c>
      <c r="AD203" s="243">
        <f>IF($Z203="",0,Shares!E203)</f>
        <v>0</v>
      </c>
      <c r="AE203" s="266">
        <f>IF($Z203="",0,Shares!J203*Shares!I203)</f>
        <v>0</v>
      </c>
      <c r="AF203" s="267">
        <f t="shared" si="37"/>
        <v>0</v>
      </c>
      <c r="AG203" s="266">
        <f>IF($Z203="",0,Shares!L203)</f>
        <v>0</v>
      </c>
      <c r="AH203" s="267">
        <f>IF($Z203="",0,Shares!M203)</f>
        <v>0</v>
      </c>
      <c r="AI203" s="243" t="str">
        <f>IF($Z203="","",RANK(AE203,$AE$2:$AE$1001)+COUNTIF($AE$2:AE203,AE203)-1)</f>
        <v/>
      </c>
      <c r="AJ203" s="243" t="str">
        <f>IF($AD203&lt;0,COUNT($AJ$1:AJ202)+1,"")</f>
        <v/>
      </c>
      <c r="AL203" s="243" t="str">
        <f>'All Ticker P&amp;L'!A203</f>
        <v/>
      </c>
      <c r="AM203" s="243" t="str">
        <f>'All Ticker P&amp;L'!B203</f>
        <v/>
      </c>
      <c r="AN203" s="243" t="str">
        <f>'All Ticker P&amp;L'!C203</f>
        <v/>
      </c>
      <c r="AO203" s="243" t="str">
        <f>'All Ticker P&amp;L'!D203</f>
        <v/>
      </c>
      <c r="AP203" s="243">
        <f>IF($AL203="",0,'All Ticker P&amp;L'!E203)</f>
        <v>0</v>
      </c>
      <c r="AQ203" s="266">
        <f>IF($AL203="",0,'All Ticker P&amp;L'!J203*'All Ticker P&amp;L'!I203)</f>
        <v>0</v>
      </c>
      <c r="AR203" s="266">
        <f>IF($AL203="",0,'All Ticker P&amp;L'!L203)</f>
        <v>0</v>
      </c>
      <c r="AS203" s="267">
        <f>IF($AL203="",0,'All Ticker P&amp;L'!M203)</f>
        <v>0</v>
      </c>
      <c r="AT203" s="243" t="str">
        <f>IF($AL203="","",RANK(AR203,$AR$2:$AR$1001)+COUNTIF($AR$2:AR203,AR203)-1)</f>
        <v/>
      </c>
      <c r="AU203" s="243" t="str">
        <f>IF($AL203="","",RANK(AV203,$AV$2:$AV$1001)+COUNTIF($AV$2:AV203,AV203)-1)</f>
        <v/>
      </c>
      <c r="AV203" s="266">
        <f t="shared" si="38"/>
        <v>0</v>
      </c>
    </row>
    <row r="204" spans="26:48" ht="15" customHeight="1" x14ac:dyDescent="0.2">
      <c r="Z204" s="243" t="str">
        <f>Shares!A204</f>
        <v/>
      </c>
      <c r="AA204" s="243" t="str">
        <f>Shares!B204</f>
        <v/>
      </c>
      <c r="AB204" s="243" t="str">
        <f>Shares!C204</f>
        <v/>
      </c>
      <c r="AC204" s="243" t="str">
        <f>Shares!D204</f>
        <v/>
      </c>
      <c r="AD204" s="243">
        <f>IF($Z204="",0,Shares!E204)</f>
        <v>0</v>
      </c>
      <c r="AE204" s="266">
        <f>IF($Z204="",0,Shares!J204*Shares!I204)</f>
        <v>0</v>
      </c>
      <c r="AF204" s="267">
        <f t="shared" si="37"/>
        <v>0</v>
      </c>
      <c r="AG204" s="266">
        <f>IF($Z204="",0,Shares!L204)</f>
        <v>0</v>
      </c>
      <c r="AH204" s="267">
        <f>IF($Z204="",0,Shares!M204)</f>
        <v>0</v>
      </c>
      <c r="AI204" s="243" t="str">
        <f>IF($Z204="","",RANK(AE204,$AE$2:$AE$1001)+COUNTIF($AE$2:AE204,AE204)-1)</f>
        <v/>
      </c>
      <c r="AJ204" s="243" t="str">
        <f>IF($AD204&lt;0,COUNT($AJ$1:AJ203)+1,"")</f>
        <v/>
      </c>
      <c r="AL204" s="243" t="str">
        <f>'All Ticker P&amp;L'!A204</f>
        <v/>
      </c>
      <c r="AM204" s="243" t="str">
        <f>'All Ticker P&amp;L'!B204</f>
        <v/>
      </c>
      <c r="AN204" s="243" t="str">
        <f>'All Ticker P&amp;L'!C204</f>
        <v/>
      </c>
      <c r="AO204" s="243" t="str">
        <f>'All Ticker P&amp;L'!D204</f>
        <v/>
      </c>
      <c r="AP204" s="243">
        <f>IF($AL204="",0,'All Ticker P&amp;L'!E204)</f>
        <v>0</v>
      </c>
      <c r="AQ204" s="266">
        <f>IF($AL204="",0,'All Ticker P&amp;L'!J204*'All Ticker P&amp;L'!I204)</f>
        <v>0</v>
      </c>
      <c r="AR204" s="266">
        <f>IF($AL204="",0,'All Ticker P&amp;L'!L204)</f>
        <v>0</v>
      </c>
      <c r="AS204" s="267">
        <f>IF($AL204="",0,'All Ticker P&amp;L'!M204)</f>
        <v>0</v>
      </c>
      <c r="AT204" s="243" t="str">
        <f>IF($AL204="","",RANK(AR204,$AR$2:$AR$1001)+COUNTIF($AR$2:AR204,AR204)-1)</f>
        <v/>
      </c>
      <c r="AU204" s="243" t="str">
        <f>IF($AL204="","",RANK(AV204,$AV$2:$AV$1001)+COUNTIF($AV$2:AV204,AV204)-1)</f>
        <v/>
      </c>
      <c r="AV204" s="266">
        <f t="shared" si="38"/>
        <v>0</v>
      </c>
    </row>
    <row r="205" spans="26:48" ht="15" customHeight="1" x14ac:dyDescent="0.2">
      <c r="Z205" s="243" t="str">
        <f>Shares!A205</f>
        <v/>
      </c>
      <c r="AA205" s="243" t="str">
        <f>Shares!B205</f>
        <v/>
      </c>
      <c r="AB205" s="243" t="str">
        <f>Shares!C205</f>
        <v/>
      </c>
      <c r="AC205" s="243" t="str">
        <f>Shares!D205</f>
        <v/>
      </c>
      <c r="AD205" s="243">
        <f>IF($Z205="",0,Shares!E205)</f>
        <v>0</v>
      </c>
      <c r="AE205" s="266">
        <f>IF($Z205="",0,Shares!J205*Shares!I205)</f>
        <v>0</v>
      </c>
      <c r="AF205" s="267">
        <f t="shared" si="37"/>
        <v>0</v>
      </c>
      <c r="AG205" s="266">
        <f>IF($Z205="",0,Shares!L205)</f>
        <v>0</v>
      </c>
      <c r="AH205" s="267">
        <f>IF($Z205="",0,Shares!M205)</f>
        <v>0</v>
      </c>
      <c r="AI205" s="243" t="str">
        <f>IF($Z205="","",RANK(AE205,$AE$2:$AE$1001)+COUNTIF($AE$2:AE205,AE205)-1)</f>
        <v/>
      </c>
      <c r="AJ205" s="243" t="str">
        <f>IF($AD205&lt;0,COUNT($AJ$1:AJ204)+1,"")</f>
        <v/>
      </c>
      <c r="AL205" s="243" t="str">
        <f>'All Ticker P&amp;L'!A205</f>
        <v/>
      </c>
      <c r="AM205" s="243" t="str">
        <f>'All Ticker P&amp;L'!B205</f>
        <v/>
      </c>
      <c r="AN205" s="243" t="str">
        <f>'All Ticker P&amp;L'!C205</f>
        <v/>
      </c>
      <c r="AO205" s="243" t="str">
        <f>'All Ticker P&amp;L'!D205</f>
        <v/>
      </c>
      <c r="AP205" s="243">
        <f>IF($AL205="",0,'All Ticker P&amp;L'!E205)</f>
        <v>0</v>
      </c>
      <c r="AQ205" s="266">
        <f>IF($AL205="",0,'All Ticker P&amp;L'!J205*'All Ticker P&amp;L'!I205)</f>
        <v>0</v>
      </c>
      <c r="AR205" s="266">
        <f>IF($AL205="",0,'All Ticker P&amp;L'!L205)</f>
        <v>0</v>
      </c>
      <c r="AS205" s="267">
        <f>IF($AL205="",0,'All Ticker P&amp;L'!M205)</f>
        <v>0</v>
      </c>
      <c r="AT205" s="243" t="str">
        <f>IF($AL205="","",RANK(AR205,$AR$2:$AR$1001)+COUNTIF($AR$2:AR205,AR205)-1)</f>
        <v/>
      </c>
      <c r="AU205" s="243" t="str">
        <f>IF($AL205="","",RANK(AV205,$AV$2:$AV$1001)+COUNTIF($AV$2:AV205,AV205)-1)</f>
        <v/>
      </c>
      <c r="AV205" s="266">
        <f t="shared" si="38"/>
        <v>0</v>
      </c>
    </row>
    <row r="206" spans="26:48" ht="15" customHeight="1" x14ac:dyDescent="0.2">
      <c r="Z206" s="243" t="str">
        <f>Shares!A206</f>
        <v/>
      </c>
      <c r="AA206" s="243" t="str">
        <f>Shares!B206</f>
        <v/>
      </c>
      <c r="AB206" s="243" t="str">
        <f>Shares!C206</f>
        <v/>
      </c>
      <c r="AC206" s="243" t="str">
        <f>Shares!D206</f>
        <v/>
      </c>
      <c r="AD206" s="243">
        <f>IF($Z206="",0,Shares!E206)</f>
        <v>0</v>
      </c>
      <c r="AE206" s="266">
        <f>IF($Z206="",0,Shares!J206*Shares!I206)</f>
        <v>0</v>
      </c>
      <c r="AF206" s="267">
        <f t="shared" si="37"/>
        <v>0</v>
      </c>
      <c r="AG206" s="266">
        <f>IF($Z206="",0,Shares!L206)</f>
        <v>0</v>
      </c>
      <c r="AH206" s="267">
        <f>IF($Z206="",0,Shares!M206)</f>
        <v>0</v>
      </c>
      <c r="AI206" s="243" t="str">
        <f>IF($Z206="","",RANK(AE206,$AE$2:$AE$1001)+COUNTIF($AE$2:AE206,AE206)-1)</f>
        <v/>
      </c>
      <c r="AJ206" s="243" t="str">
        <f>IF($AD206&lt;0,COUNT($AJ$1:AJ205)+1,"")</f>
        <v/>
      </c>
      <c r="AL206" s="243" t="str">
        <f>'All Ticker P&amp;L'!A206</f>
        <v/>
      </c>
      <c r="AM206" s="243" t="str">
        <f>'All Ticker P&amp;L'!B206</f>
        <v/>
      </c>
      <c r="AN206" s="243" t="str">
        <f>'All Ticker P&amp;L'!C206</f>
        <v/>
      </c>
      <c r="AO206" s="243" t="str">
        <f>'All Ticker P&amp;L'!D206</f>
        <v/>
      </c>
      <c r="AP206" s="243">
        <f>IF($AL206="",0,'All Ticker P&amp;L'!E206)</f>
        <v>0</v>
      </c>
      <c r="AQ206" s="266">
        <f>IF($AL206="",0,'All Ticker P&amp;L'!J206*'All Ticker P&amp;L'!I206)</f>
        <v>0</v>
      </c>
      <c r="AR206" s="266">
        <f>IF($AL206="",0,'All Ticker P&amp;L'!L206)</f>
        <v>0</v>
      </c>
      <c r="AS206" s="267">
        <f>IF($AL206="",0,'All Ticker P&amp;L'!M206)</f>
        <v>0</v>
      </c>
      <c r="AT206" s="243" t="str">
        <f>IF($AL206="","",RANK(AR206,$AR$2:$AR$1001)+COUNTIF($AR$2:AR206,AR206)-1)</f>
        <v/>
      </c>
      <c r="AU206" s="243" t="str">
        <f>IF($AL206="","",RANK(AV206,$AV$2:$AV$1001)+COUNTIF($AV$2:AV206,AV206)-1)</f>
        <v/>
      </c>
      <c r="AV206" s="266">
        <f t="shared" si="38"/>
        <v>0</v>
      </c>
    </row>
    <row r="207" spans="26:48" ht="15" customHeight="1" x14ac:dyDescent="0.2">
      <c r="Z207" s="243" t="str">
        <f>Shares!A207</f>
        <v/>
      </c>
      <c r="AA207" s="243" t="str">
        <f>Shares!B207</f>
        <v/>
      </c>
      <c r="AB207" s="243" t="str">
        <f>Shares!C207</f>
        <v/>
      </c>
      <c r="AC207" s="243" t="str">
        <f>Shares!D207</f>
        <v/>
      </c>
      <c r="AD207" s="243">
        <f>IF($Z207="",0,Shares!E207)</f>
        <v>0</v>
      </c>
      <c r="AE207" s="266">
        <f>IF($Z207="",0,Shares!J207*Shares!I207)</f>
        <v>0</v>
      </c>
      <c r="AF207" s="267">
        <f t="shared" si="37"/>
        <v>0</v>
      </c>
      <c r="AG207" s="266">
        <f>IF($Z207="",0,Shares!L207)</f>
        <v>0</v>
      </c>
      <c r="AH207" s="267">
        <f>IF($Z207="",0,Shares!M207)</f>
        <v>0</v>
      </c>
      <c r="AI207" s="243" t="str">
        <f>IF($Z207="","",RANK(AE207,$AE$2:$AE$1001)+COUNTIF($AE$2:AE207,AE207)-1)</f>
        <v/>
      </c>
      <c r="AJ207" s="243" t="str">
        <f>IF($AD207&lt;0,COUNT($AJ$1:AJ206)+1,"")</f>
        <v/>
      </c>
      <c r="AL207" s="243" t="str">
        <f>'All Ticker P&amp;L'!A207</f>
        <v/>
      </c>
      <c r="AM207" s="243" t="str">
        <f>'All Ticker P&amp;L'!B207</f>
        <v/>
      </c>
      <c r="AN207" s="243" t="str">
        <f>'All Ticker P&amp;L'!C207</f>
        <v/>
      </c>
      <c r="AO207" s="243" t="str">
        <f>'All Ticker P&amp;L'!D207</f>
        <v/>
      </c>
      <c r="AP207" s="243">
        <f>IF($AL207="",0,'All Ticker P&amp;L'!E207)</f>
        <v>0</v>
      </c>
      <c r="AQ207" s="266">
        <f>IF($AL207="",0,'All Ticker P&amp;L'!J207*'All Ticker P&amp;L'!I207)</f>
        <v>0</v>
      </c>
      <c r="AR207" s="266">
        <f>IF($AL207="",0,'All Ticker P&amp;L'!L207)</f>
        <v>0</v>
      </c>
      <c r="AS207" s="267">
        <f>IF($AL207="",0,'All Ticker P&amp;L'!M207)</f>
        <v>0</v>
      </c>
      <c r="AT207" s="243" t="str">
        <f>IF($AL207="","",RANK(AR207,$AR$2:$AR$1001)+COUNTIF($AR$2:AR207,AR207)-1)</f>
        <v/>
      </c>
      <c r="AU207" s="243" t="str">
        <f>IF($AL207="","",RANK(AV207,$AV$2:$AV$1001)+COUNTIF($AV$2:AV207,AV207)-1)</f>
        <v/>
      </c>
      <c r="AV207" s="266">
        <f t="shared" si="38"/>
        <v>0</v>
      </c>
    </row>
    <row r="208" spans="26:48" ht="15" customHeight="1" x14ac:dyDescent="0.2">
      <c r="Z208" s="243" t="str">
        <f>Shares!A208</f>
        <v/>
      </c>
      <c r="AA208" s="243" t="str">
        <f>Shares!B208</f>
        <v/>
      </c>
      <c r="AB208" s="243" t="str">
        <f>Shares!C208</f>
        <v/>
      </c>
      <c r="AC208" s="243" t="str">
        <f>Shares!D208</f>
        <v/>
      </c>
      <c r="AD208" s="243">
        <f>IF($Z208="",0,Shares!E208)</f>
        <v>0</v>
      </c>
      <c r="AE208" s="266">
        <f>IF($Z208="",0,Shares!J208*Shares!I208)</f>
        <v>0</v>
      </c>
      <c r="AF208" s="267">
        <f t="shared" si="37"/>
        <v>0</v>
      </c>
      <c r="AG208" s="266">
        <f>IF($Z208="",0,Shares!L208)</f>
        <v>0</v>
      </c>
      <c r="AH208" s="267">
        <f>IF($Z208="",0,Shares!M208)</f>
        <v>0</v>
      </c>
      <c r="AI208" s="243" t="str">
        <f>IF($Z208="","",RANK(AE208,$AE$2:$AE$1001)+COUNTIF($AE$2:AE208,AE208)-1)</f>
        <v/>
      </c>
      <c r="AJ208" s="243" t="str">
        <f>IF($AD208&lt;0,COUNT($AJ$1:AJ207)+1,"")</f>
        <v/>
      </c>
      <c r="AL208" s="243" t="str">
        <f>'All Ticker P&amp;L'!A208</f>
        <v/>
      </c>
      <c r="AM208" s="243" t="str">
        <f>'All Ticker P&amp;L'!B208</f>
        <v/>
      </c>
      <c r="AN208" s="243" t="str">
        <f>'All Ticker P&amp;L'!C208</f>
        <v/>
      </c>
      <c r="AO208" s="243" t="str">
        <f>'All Ticker P&amp;L'!D208</f>
        <v/>
      </c>
      <c r="AP208" s="243">
        <f>IF($AL208="",0,'All Ticker P&amp;L'!E208)</f>
        <v>0</v>
      </c>
      <c r="AQ208" s="266">
        <f>IF($AL208="",0,'All Ticker P&amp;L'!J208*'All Ticker P&amp;L'!I208)</f>
        <v>0</v>
      </c>
      <c r="AR208" s="266">
        <f>IF($AL208="",0,'All Ticker P&amp;L'!L208)</f>
        <v>0</v>
      </c>
      <c r="AS208" s="267">
        <f>IF($AL208="",0,'All Ticker P&amp;L'!M208)</f>
        <v>0</v>
      </c>
      <c r="AT208" s="243" t="str">
        <f>IF($AL208="","",RANK(AR208,$AR$2:$AR$1001)+COUNTIF($AR$2:AR208,AR208)-1)</f>
        <v/>
      </c>
      <c r="AU208" s="243" t="str">
        <f>IF($AL208="","",RANK(AV208,$AV$2:$AV$1001)+COUNTIF($AV$2:AV208,AV208)-1)</f>
        <v/>
      </c>
      <c r="AV208" s="266">
        <f t="shared" si="38"/>
        <v>0</v>
      </c>
    </row>
    <row r="209" spans="26:48" ht="15" customHeight="1" x14ac:dyDescent="0.2">
      <c r="Z209" s="243" t="str">
        <f>Shares!A209</f>
        <v/>
      </c>
      <c r="AA209" s="243" t="str">
        <f>Shares!B209</f>
        <v/>
      </c>
      <c r="AB209" s="243" t="str">
        <f>Shares!C209</f>
        <v/>
      </c>
      <c r="AC209" s="243" t="str">
        <f>Shares!D209</f>
        <v/>
      </c>
      <c r="AD209" s="243">
        <f>IF($Z209="",0,Shares!E209)</f>
        <v>0</v>
      </c>
      <c r="AE209" s="266">
        <f>IF($Z209="",0,Shares!J209*Shares!I209)</f>
        <v>0</v>
      </c>
      <c r="AF209" s="267">
        <f t="shared" si="37"/>
        <v>0</v>
      </c>
      <c r="AG209" s="266">
        <f>IF($Z209="",0,Shares!L209)</f>
        <v>0</v>
      </c>
      <c r="AH209" s="267">
        <f>IF($Z209="",0,Shares!M209)</f>
        <v>0</v>
      </c>
      <c r="AI209" s="243" t="str">
        <f>IF($Z209="","",RANK(AE209,$AE$2:$AE$1001)+COUNTIF($AE$2:AE209,AE209)-1)</f>
        <v/>
      </c>
      <c r="AJ209" s="243" t="str">
        <f>IF($AD209&lt;0,COUNT($AJ$1:AJ208)+1,"")</f>
        <v/>
      </c>
      <c r="AL209" s="243" t="str">
        <f>'All Ticker P&amp;L'!A209</f>
        <v/>
      </c>
      <c r="AM209" s="243" t="str">
        <f>'All Ticker P&amp;L'!B209</f>
        <v/>
      </c>
      <c r="AN209" s="243" t="str">
        <f>'All Ticker P&amp;L'!C209</f>
        <v/>
      </c>
      <c r="AO209" s="243" t="str">
        <f>'All Ticker P&amp;L'!D209</f>
        <v/>
      </c>
      <c r="AP209" s="243">
        <f>IF($AL209="",0,'All Ticker P&amp;L'!E209)</f>
        <v>0</v>
      </c>
      <c r="AQ209" s="266">
        <f>IF($AL209="",0,'All Ticker P&amp;L'!J209*'All Ticker P&amp;L'!I209)</f>
        <v>0</v>
      </c>
      <c r="AR209" s="266">
        <f>IF($AL209="",0,'All Ticker P&amp;L'!L209)</f>
        <v>0</v>
      </c>
      <c r="AS209" s="267">
        <f>IF($AL209="",0,'All Ticker P&amp;L'!M209)</f>
        <v>0</v>
      </c>
      <c r="AT209" s="243" t="str">
        <f>IF($AL209="","",RANK(AR209,$AR$2:$AR$1001)+COUNTIF($AR$2:AR209,AR209)-1)</f>
        <v/>
      </c>
      <c r="AU209" s="243" t="str">
        <f>IF($AL209="","",RANK(AV209,$AV$2:$AV$1001)+COUNTIF($AV$2:AV209,AV209)-1)</f>
        <v/>
      </c>
      <c r="AV209" s="266">
        <f t="shared" si="38"/>
        <v>0</v>
      </c>
    </row>
    <row r="210" spans="26:48" ht="15" customHeight="1" x14ac:dyDescent="0.2">
      <c r="Z210" s="243" t="str">
        <f>Shares!A210</f>
        <v/>
      </c>
      <c r="AA210" s="243" t="str">
        <f>Shares!B210</f>
        <v/>
      </c>
      <c r="AB210" s="243" t="str">
        <f>Shares!C210</f>
        <v/>
      </c>
      <c r="AC210" s="243" t="str">
        <f>Shares!D210</f>
        <v/>
      </c>
      <c r="AD210" s="243">
        <f>IF($Z210="",0,Shares!E210)</f>
        <v>0</v>
      </c>
      <c r="AE210" s="266">
        <f>IF($Z210="",0,Shares!J210*Shares!I210)</f>
        <v>0</v>
      </c>
      <c r="AF210" s="267">
        <f t="shared" si="37"/>
        <v>0</v>
      </c>
      <c r="AG210" s="266">
        <f>IF($Z210="",0,Shares!L210)</f>
        <v>0</v>
      </c>
      <c r="AH210" s="267">
        <f>IF($Z210="",0,Shares!M210)</f>
        <v>0</v>
      </c>
      <c r="AI210" s="243" t="str">
        <f>IF($Z210="","",RANK(AE210,$AE$2:$AE$1001)+COUNTIF($AE$2:AE210,AE210)-1)</f>
        <v/>
      </c>
      <c r="AJ210" s="243" t="str">
        <f>IF($AD210&lt;0,COUNT($AJ$1:AJ209)+1,"")</f>
        <v/>
      </c>
      <c r="AL210" s="243" t="str">
        <f>'All Ticker P&amp;L'!A210</f>
        <v/>
      </c>
      <c r="AM210" s="243" t="str">
        <f>'All Ticker P&amp;L'!B210</f>
        <v/>
      </c>
      <c r="AN210" s="243" t="str">
        <f>'All Ticker P&amp;L'!C210</f>
        <v/>
      </c>
      <c r="AO210" s="243" t="str">
        <f>'All Ticker P&amp;L'!D210</f>
        <v/>
      </c>
      <c r="AP210" s="243">
        <f>IF($AL210="",0,'All Ticker P&amp;L'!E210)</f>
        <v>0</v>
      </c>
      <c r="AQ210" s="266">
        <f>IF($AL210="",0,'All Ticker P&amp;L'!J210*'All Ticker P&amp;L'!I210)</f>
        <v>0</v>
      </c>
      <c r="AR210" s="266">
        <f>IF($AL210="",0,'All Ticker P&amp;L'!L210)</f>
        <v>0</v>
      </c>
      <c r="AS210" s="267">
        <f>IF($AL210="",0,'All Ticker P&amp;L'!M210)</f>
        <v>0</v>
      </c>
      <c r="AT210" s="243" t="str">
        <f>IF($AL210="","",RANK(AR210,$AR$2:$AR$1001)+COUNTIF($AR$2:AR210,AR210)-1)</f>
        <v/>
      </c>
      <c r="AU210" s="243" t="str">
        <f>IF($AL210="","",RANK(AV210,$AV$2:$AV$1001)+COUNTIF($AV$2:AV210,AV210)-1)</f>
        <v/>
      </c>
      <c r="AV210" s="266">
        <f t="shared" si="38"/>
        <v>0</v>
      </c>
    </row>
    <row r="211" spans="26:48" ht="15" customHeight="1" x14ac:dyDescent="0.2">
      <c r="Z211" s="243" t="str">
        <f>Shares!A211</f>
        <v/>
      </c>
      <c r="AA211" s="243" t="str">
        <f>Shares!B211</f>
        <v/>
      </c>
      <c r="AB211" s="243" t="str">
        <f>Shares!C211</f>
        <v/>
      </c>
      <c r="AC211" s="243" t="str">
        <f>Shares!D211</f>
        <v/>
      </c>
      <c r="AD211" s="243">
        <f>IF($Z211="",0,Shares!E211)</f>
        <v>0</v>
      </c>
      <c r="AE211" s="266">
        <f>IF($Z211="",0,Shares!J211*Shares!I211)</f>
        <v>0</v>
      </c>
      <c r="AF211" s="267">
        <f t="shared" si="37"/>
        <v>0</v>
      </c>
      <c r="AG211" s="266">
        <f>IF($Z211="",0,Shares!L211)</f>
        <v>0</v>
      </c>
      <c r="AH211" s="267">
        <f>IF($Z211="",0,Shares!M211)</f>
        <v>0</v>
      </c>
      <c r="AI211" s="243" t="str">
        <f>IF($Z211="","",RANK(AE211,$AE$2:$AE$1001)+COUNTIF($AE$2:AE211,AE211)-1)</f>
        <v/>
      </c>
      <c r="AJ211" s="243" t="str">
        <f>IF($AD211&lt;0,COUNT($AJ$1:AJ210)+1,"")</f>
        <v/>
      </c>
      <c r="AL211" s="243" t="str">
        <f>'All Ticker P&amp;L'!A211</f>
        <v/>
      </c>
      <c r="AM211" s="243" t="str">
        <f>'All Ticker P&amp;L'!B211</f>
        <v/>
      </c>
      <c r="AN211" s="243" t="str">
        <f>'All Ticker P&amp;L'!C211</f>
        <v/>
      </c>
      <c r="AO211" s="243" t="str">
        <f>'All Ticker P&amp;L'!D211</f>
        <v/>
      </c>
      <c r="AP211" s="243">
        <f>IF($AL211="",0,'All Ticker P&amp;L'!E211)</f>
        <v>0</v>
      </c>
      <c r="AQ211" s="266">
        <f>IF($AL211="",0,'All Ticker P&amp;L'!J211*'All Ticker P&amp;L'!I211)</f>
        <v>0</v>
      </c>
      <c r="AR211" s="266">
        <f>IF($AL211="",0,'All Ticker P&amp;L'!L211)</f>
        <v>0</v>
      </c>
      <c r="AS211" s="267">
        <f>IF($AL211="",0,'All Ticker P&amp;L'!M211)</f>
        <v>0</v>
      </c>
      <c r="AT211" s="243" t="str">
        <f>IF($AL211="","",RANK(AR211,$AR$2:$AR$1001)+COUNTIF($AR$2:AR211,AR211)-1)</f>
        <v/>
      </c>
      <c r="AU211" s="243" t="str">
        <f>IF($AL211="","",RANK(AV211,$AV$2:$AV$1001)+COUNTIF($AV$2:AV211,AV211)-1)</f>
        <v/>
      </c>
      <c r="AV211" s="266">
        <f t="shared" si="38"/>
        <v>0</v>
      </c>
    </row>
    <row r="212" spans="26:48" ht="15" customHeight="1" x14ac:dyDescent="0.2">
      <c r="Z212" s="243" t="str">
        <f>Shares!A212</f>
        <v/>
      </c>
      <c r="AA212" s="243" t="str">
        <f>Shares!B212</f>
        <v/>
      </c>
      <c r="AB212" s="243" t="str">
        <f>Shares!C212</f>
        <v/>
      </c>
      <c r="AC212" s="243" t="str">
        <f>Shares!D212</f>
        <v/>
      </c>
      <c r="AD212" s="243">
        <f>IF($Z212="",0,Shares!E212)</f>
        <v>0</v>
      </c>
      <c r="AE212" s="266">
        <f>IF($Z212="",0,Shares!J212*Shares!I212)</f>
        <v>0</v>
      </c>
      <c r="AF212" s="267">
        <f t="shared" si="37"/>
        <v>0</v>
      </c>
      <c r="AG212" s="266">
        <f>IF($Z212="",0,Shares!L212)</f>
        <v>0</v>
      </c>
      <c r="AH212" s="267">
        <f>IF($Z212="",0,Shares!M212)</f>
        <v>0</v>
      </c>
      <c r="AI212" s="243" t="str">
        <f>IF($Z212="","",RANK(AE212,$AE$2:$AE$1001)+COUNTIF($AE$2:AE212,AE212)-1)</f>
        <v/>
      </c>
      <c r="AJ212" s="243" t="str">
        <f>IF($AD212&lt;0,COUNT($AJ$1:AJ211)+1,"")</f>
        <v/>
      </c>
      <c r="AL212" s="243" t="str">
        <f>'All Ticker P&amp;L'!A212</f>
        <v/>
      </c>
      <c r="AM212" s="243" t="str">
        <f>'All Ticker P&amp;L'!B212</f>
        <v/>
      </c>
      <c r="AN212" s="243" t="str">
        <f>'All Ticker P&amp;L'!C212</f>
        <v/>
      </c>
      <c r="AO212" s="243" t="str">
        <f>'All Ticker P&amp;L'!D212</f>
        <v/>
      </c>
      <c r="AP212" s="243">
        <f>IF($AL212="",0,'All Ticker P&amp;L'!E212)</f>
        <v>0</v>
      </c>
      <c r="AQ212" s="266">
        <f>IF($AL212="",0,'All Ticker P&amp;L'!J212*'All Ticker P&amp;L'!I212)</f>
        <v>0</v>
      </c>
      <c r="AR212" s="266">
        <f>IF($AL212="",0,'All Ticker P&amp;L'!L212)</f>
        <v>0</v>
      </c>
      <c r="AS212" s="267">
        <f>IF($AL212="",0,'All Ticker P&amp;L'!M212)</f>
        <v>0</v>
      </c>
      <c r="AT212" s="243" t="str">
        <f>IF($AL212="","",RANK(AR212,$AR$2:$AR$1001)+COUNTIF($AR$2:AR212,AR212)-1)</f>
        <v/>
      </c>
      <c r="AU212" s="243" t="str">
        <f>IF($AL212="","",RANK(AV212,$AV$2:$AV$1001)+COUNTIF($AV$2:AV212,AV212)-1)</f>
        <v/>
      </c>
      <c r="AV212" s="266">
        <f t="shared" si="38"/>
        <v>0</v>
      </c>
    </row>
    <row r="213" spans="26:48" ht="15" customHeight="1" x14ac:dyDescent="0.2">
      <c r="Z213" s="243" t="str">
        <f>Shares!A213</f>
        <v/>
      </c>
      <c r="AA213" s="243" t="str">
        <f>Shares!B213</f>
        <v/>
      </c>
      <c r="AB213" s="243" t="str">
        <f>Shares!C213</f>
        <v/>
      </c>
      <c r="AC213" s="243" t="str">
        <f>Shares!D213</f>
        <v/>
      </c>
      <c r="AD213" s="243">
        <f>IF($Z213="",0,Shares!E213)</f>
        <v>0</v>
      </c>
      <c r="AE213" s="266">
        <f>IF($Z213="",0,Shares!J213*Shares!I213)</f>
        <v>0</v>
      </c>
      <c r="AF213" s="267">
        <f t="shared" si="37"/>
        <v>0</v>
      </c>
      <c r="AG213" s="266">
        <f>IF($Z213="",0,Shares!L213)</f>
        <v>0</v>
      </c>
      <c r="AH213" s="267">
        <f>IF($Z213="",0,Shares!M213)</f>
        <v>0</v>
      </c>
      <c r="AI213" s="243" t="str">
        <f>IF($Z213="","",RANK(AE213,$AE$2:$AE$1001)+COUNTIF($AE$2:AE213,AE213)-1)</f>
        <v/>
      </c>
      <c r="AJ213" s="243" t="str">
        <f>IF($AD213&lt;0,COUNT($AJ$1:AJ212)+1,"")</f>
        <v/>
      </c>
      <c r="AL213" s="243" t="str">
        <f>'All Ticker P&amp;L'!A213</f>
        <v/>
      </c>
      <c r="AM213" s="243" t="str">
        <f>'All Ticker P&amp;L'!B213</f>
        <v/>
      </c>
      <c r="AN213" s="243" t="str">
        <f>'All Ticker P&amp;L'!C213</f>
        <v/>
      </c>
      <c r="AO213" s="243" t="str">
        <f>'All Ticker P&amp;L'!D213</f>
        <v/>
      </c>
      <c r="AP213" s="243">
        <f>IF($AL213="",0,'All Ticker P&amp;L'!E213)</f>
        <v>0</v>
      </c>
      <c r="AQ213" s="266">
        <f>IF($AL213="",0,'All Ticker P&amp;L'!J213*'All Ticker P&amp;L'!I213)</f>
        <v>0</v>
      </c>
      <c r="AR213" s="266">
        <f>IF($AL213="",0,'All Ticker P&amp;L'!L213)</f>
        <v>0</v>
      </c>
      <c r="AS213" s="267">
        <f>IF($AL213="",0,'All Ticker P&amp;L'!M213)</f>
        <v>0</v>
      </c>
      <c r="AT213" s="243" t="str">
        <f>IF($AL213="","",RANK(AR213,$AR$2:$AR$1001)+COUNTIF($AR$2:AR213,AR213)-1)</f>
        <v/>
      </c>
      <c r="AU213" s="243" t="str">
        <f>IF($AL213="","",RANK(AV213,$AV$2:$AV$1001)+COUNTIF($AV$2:AV213,AV213)-1)</f>
        <v/>
      </c>
      <c r="AV213" s="266">
        <f t="shared" si="38"/>
        <v>0</v>
      </c>
    </row>
    <row r="214" spans="26:48" ht="15" customHeight="1" x14ac:dyDescent="0.2">
      <c r="Z214" s="243" t="str">
        <f>Shares!A214</f>
        <v/>
      </c>
      <c r="AA214" s="243" t="str">
        <f>Shares!B214</f>
        <v/>
      </c>
      <c r="AB214" s="243" t="str">
        <f>Shares!C214</f>
        <v/>
      </c>
      <c r="AC214" s="243" t="str">
        <f>Shares!D214</f>
        <v/>
      </c>
      <c r="AD214" s="243">
        <f>IF($Z214="",0,Shares!E214)</f>
        <v>0</v>
      </c>
      <c r="AE214" s="266">
        <f>IF($Z214="",0,Shares!J214*Shares!I214)</f>
        <v>0</v>
      </c>
      <c r="AF214" s="267">
        <f t="shared" si="37"/>
        <v>0</v>
      </c>
      <c r="AG214" s="266">
        <f>IF($Z214="",0,Shares!L214)</f>
        <v>0</v>
      </c>
      <c r="AH214" s="267">
        <f>IF($Z214="",0,Shares!M214)</f>
        <v>0</v>
      </c>
      <c r="AI214" s="243" t="str">
        <f>IF($Z214="","",RANK(AE214,$AE$2:$AE$1001)+COUNTIF($AE$2:AE214,AE214)-1)</f>
        <v/>
      </c>
      <c r="AJ214" s="243" t="str">
        <f>IF($AD214&lt;0,COUNT($AJ$1:AJ213)+1,"")</f>
        <v/>
      </c>
      <c r="AL214" s="243" t="str">
        <f>'All Ticker P&amp;L'!A214</f>
        <v/>
      </c>
      <c r="AM214" s="243" t="str">
        <f>'All Ticker P&amp;L'!B214</f>
        <v/>
      </c>
      <c r="AN214" s="243" t="str">
        <f>'All Ticker P&amp;L'!C214</f>
        <v/>
      </c>
      <c r="AO214" s="243" t="str">
        <f>'All Ticker P&amp;L'!D214</f>
        <v/>
      </c>
      <c r="AP214" s="243">
        <f>IF($AL214="",0,'All Ticker P&amp;L'!E214)</f>
        <v>0</v>
      </c>
      <c r="AQ214" s="266">
        <f>IF($AL214="",0,'All Ticker P&amp;L'!J214*'All Ticker P&amp;L'!I214)</f>
        <v>0</v>
      </c>
      <c r="AR214" s="266">
        <f>IF($AL214="",0,'All Ticker P&amp;L'!L214)</f>
        <v>0</v>
      </c>
      <c r="AS214" s="267">
        <f>IF($AL214="",0,'All Ticker P&amp;L'!M214)</f>
        <v>0</v>
      </c>
      <c r="AT214" s="243" t="str">
        <f>IF($AL214="","",RANK(AR214,$AR$2:$AR$1001)+COUNTIF($AR$2:AR214,AR214)-1)</f>
        <v/>
      </c>
      <c r="AU214" s="243" t="str">
        <f>IF($AL214="","",RANK(AV214,$AV$2:$AV$1001)+COUNTIF($AV$2:AV214,AV214)-1)</f>
        <v/>
      </c>
      <c r="AV214" s="266">
        <f t="shared" si="38"/>
        <v>0</v>
      </c>
    </row>
    <row r="215" spans="26:48" ht="15" customHeight="1" x14ac:dyDescent="0.2">
      <c r="Z215" s="243" t="str">
        <f>Shares!A215</f>
        <v/>
      </c>
      <c r="AA215" s="243" t="str">
        <f>Shares!B215</f>
        <v/>
      </c>
      <c r="AB215" s="243" t="str">
        <f>Shares!C215</f>
        <v/>
      </c>
      <c r="AC215" s="243" t="str">
        <f>Shares!D215</f>
        <v/>
      </c>
      <c r="AD215" s="243">
        <f>IF($Z215="",0,Shares!E215)</f>
        <v>0</v>
      </c>
      <c r="AE215" s="266">
        <f>IF($Z215="",0,Shares!J215*Shares!I215)</f>
        <v>0</v>
      </c>
      <c r="AF215" s="267">
        <f t="shared" si="37"/>
        <v>0</v>
      </c>
      <c r="AG215" s="266">
        <f>IF($Z215="",0,Shares!L215)</f>
        <v>0</v>
      </c>
      <c r="AH215" s="267">
        <f>IF($Z215="",0,Shares!M215)</f>
        <v>0</v>
      </c>
      <c r="AI215" s="243" t="str">
        <f>IF($Z215="","",RANK(AE215,$AE$2:$AE$1001)+COUNTIF($AE$2:AE215,AE215)-1)</f>
        <v/>
      </c>
      <c r="AJ215" s="243" t="str">
        <f>IF($AD215&lt;0,COUNT($AJ$1:AJ214)+1,"")</f>
        <v/>
      </c>
      <c r="AL215" s="243" t="str">
        <f>'All Ticker P&amp;L'!A215</f>
        <v/>
      </c>
      <c r="AM215" s="243" t="str">
        <f>'All Ticker P&amp;L'!B215</f>
        <v/>
      </c>
      <c r="AN215" s="243" t="str">
        <f>'All Ticker P&amp;L'!C215</f>
        <v/>
      </c>
      <c r="AO215" s="243" t="str">
        <f>'All Ticker P&amp;L'!D215</f>
        <v/>
      </c>
      <c r="AP215" s="243">
        <f>IF($AL215="",0,'All Ticker P&amp;L'!E215)</f>
        <v>0</v>
      </c>
      <c r="AQ215" s="266">
        <f>IF($AL215="",0,'All Ticker P&amp;L'!J215*'All Ticker P&amp;L'!I215)</f>
        <v>0</v>
      </c>
      <c r="AR215" s="266">
        <f>IF($AL215="",0,'All Ticker P&amp;L'!L215)</f>
        <v>0</v>
      </c>
      <c r="AS215" s="267">
        <f>IF($AL215="",0,'All Ticker P&amp;L'!M215)</f>
        <v>0</v>
      </c>
      <c r="AT215" s="243" t="str">
        <f>IF($AL215="","",RANK(AR215,$AR$2:$AR$1001)+COUNTIF($AR$2:AR215,AR215)-1)</f>
        <v/>
      </c>
      <c r="AU215" s="243" t="str">
        <f>IF($AL215="","",RANK(AV215,$AV$2:$AV$1001)+COUNTIF($AV$2:AV215,AV215)-1)</f>
        <v/>
      </c>
      <c r="AV215" s="266">
        <f t="shared" si="38"/>
        <v>0</v>
      </c>
    </row>
    <row r="216" spans="26:48" ht="15" customHeight="1" x14ac:dyDescent="0.2">
      <c r="Z216" s="243" t="str">
        <f>Shares!A216</f>
        <v/>
      </c>
      <c r="AA216" s="243" t="str">
        <f>Shares!B216</f>
        <v/>
      </c>
      <c r="AB216" s="243" t="str">
        <f>Shares!C216</f>
        <v/>
      </c>
      <c r="AC216" s="243" t="str">
        <f>Shares!D216</f>
        <v/>
      </c>
      <c r="AD216" s="243">
        <f>IF($Z216="",0,Shares!E216)</f>
        <v>0</v>
      </c>
      <c r="AE216" s="266">
        <f>IF($Z216="",0,Shares!J216*Shares!I216)</f>
        <v>0</v>
      </c>
      <c r="AF216" s="267">
        <f t="shared" si="37"/>
        <v>0</v>
      </c>
      <c r="AG216" s="266">
        <f>IF($Z216="",0,Shares!L216)</f>
        <v>0</v>
      </c>
      <c r="AH216" s="267">
        <f>IF($Z216="",0,Shares!M216)</f>
        <v>0</v>
      </c>
      <c r="AI216" s="243" t="str">
        <f>IF($Z216="","",RANK(AE216,$AE$2:$AE$1001)+COUNTIF($AE$2:AE216,AE216)-1)</f>
        <v/>
      </c>
      <c r="AJ216" s="243" t="str">
        <f>IF($AD216&lt;0,COUNT($AJ$1:AJ215)+1,"")</f>
        <v/>
      </c>
      <c r="AL216" s="243" t="str">
        <f>'All Ticker P&amp;L'!A216</f>
        <v/>
      </c>
      <c r="AM216" s="243" t="str">
        <f>'All Ticker P&amp;L'!B216</f>
        <v/>
      </c>
      <c r="AN216" s="243" t="str">
        <f>'All Ticker P&amp;L'!C216</f>
        <v/>
      </c>
      <c r="AO216" s="243" t="str">
        <f>'All Ticker P&amp;L'!D216</f>
        <v/>
      </c>
      <c r="AP216" s="243">
        <f>IF($AL216="",0,'All Ticker P&amp;L'!E216)</f>
        <v>0</v>
      </c>
      <c r="AQ216" s="266">
        <f>IF($AL216="",0,'All Ticker P&amp;L'!J216*'All Ticker P&amp;L'!I216)</f>
        <v>0</v>
      </c>
      <c r="AR216" s="266">
        <f>IF($AL216="",0,'All Ticker P&amp;L'!L216)</f>
        <v>0</v>
      </c>
      <c r="AS216" s="267">
        <f>IF($AL216="",0,'All Ticker P&amp;L'!M216)</f>
        <v>0</v>
      </c>
      <c r="AT216" s="243" t="str">
        <f>IF($AL216="","",RANK(AR216,$AR$2:$AR$1001)+COUNTIF($AR$2:AR216,AR216)-1)</f>
        <v/>
      </c>
      <c r="AU216" s="243" t="str">
        <f>IF($AL216="","",RANK(AV216,$AV$2:$AV$1001)+COUNTIF($AV$2:AV216,AV216)-1)</f>
        <v/>
      </c>
      <c r="AV216" s="266">
        <f t="shared" si="38"/>
        <v>0</v>
      </c>
    </row>
    <row r="217" spans="26:48" ht="15" customHeight="1" x14ac:dyDescent="0.2">
      <c r="Z217" s="243" t="str">
        <f>Shares!A217</f>
        <v/>
      </c>
      <c r="AA217" s="243" t="str">
        <f>Shares!B217</f>
        <v/>
      </c>
      <c r="AB217" s="243" t="str">
        <f>Shares!C217</f>
        <v/>
      </c>
      <c r="AC217" s="243" t="str">
        <f>Shares!D217</f>
        <v/>
      </c>
      <c r="AD217" s="243">
        <f>IF($Z217="",0,Shares!E217)</f>
        <v>0</v>
      </c>
      <c r="AE217" s="266">
        <f>IF($Z217="",0,Shares!J217*Shares!I217)</f>
        <v>0</v>
      </c>
      <c r="AF217" s="267">
        <f t="shared" si="37"/>
        <v>0</v>
      </c>
      <c r="AG217" s="266">
        <f>IF($Z217="",0,Shares!L217)</f>
        <v>0</v>
      </c>
      <c r="AH217" s="267">
        <f>IF($Z217="",0,Shares!M217)</f>
        <v>0</v>
      </c>
      <c r="AI217" s="243" t="str">
        <f>IF($Z217="","",RANK(AE217,$AE$2:$AE$1001)+COUNTIF($AE$2:AE217,AE217)-1)</f>
        <v/>
      </c>
      <c r="AJ217" s="243" t="str">
        <f>IF($AD217&lt;0,COUNT($AJ$1:AJ216)+1,"")</f>
        <v/>
      </c>
      <c r="AL217" s="243" t="str">
        <f>'All Ticker P&amp;L'!A217</f>
        <v/>
      </c>
      <c r="AM217" s="243" t="str">
        <f>'All Ticker P&amp;L'!B217</f>
        <v/>
      </c>
      <c r="AN217" s="243" t="str">
        <f>'All Ticker P&amp;L'!C217</f>
        <v/>
      </c>
      <c r="AO217" s="243" t="str">
        <f>'All Ticker P&amp;L'!D217</f>
        <v/>
      </c>
      <c r="AP217" s="243">
        <f>IF($AL217="",0,'All Ticker P&amp;L'!E217)</f>
        <v>0</v>
      </c>
      <c r="AQ217" s="266">
        <f>IF($AL217="",0,'All Ticker P&amp;L'!J217*'All Ticker P&amp;L'!I217)</f>
        <v>0</v>
      </c>
      <c r="AR217" s="266">
        <f>IF($AL217="",0,'All Ticker P&amp;L'!L217)</f>
        <v>0</v>
      </c>
      <c r="AS217" s="267">
        <f>IF($AL217="",0,'All Ticker P&amp;L'!M217)</f>
        <v>0</v>
      </c>
      <c r="AT217" s="243" t="str">
        <f>IF($AL217="","",RANK(AR217,$AR$2:$AR$1001)+COUNTIF($AR$2:AR217,AR217)-1)</f>
        <v/>
      </c>
      <c r="AU217" s="243" t="str">
        <f>IF($AL217="","",RANK(AV217,$AV$2:$AV$1001)+COUNTIF($AV$2:AV217,AV217)-1)</f>
        <v/>
      </c>
      <c r="AV217" s="266">
        <f t="shared" si="38"/>
        <v>0</v>
      </c>
    </row>
    <row r="218" spans="26:48" ht="15" customHeight="1" x14ac:dyDescent="0.2">
      <c r="Z218" s="243" t="str">
        <f>Shares!A218</f>
        <v/>
      </c>
      <c r="AA218" s="243" t="str">
        <f>Shares!B218</f>
        <v/>
      </c>
      <c r="AB218" s="243" t="str">
        <f>Shares!C218</f>
        <v/>
      </c>
      <c r="AC218" s="243" t="str">
        <f>Shares!D218</f>
        <v/>
      </c>
      <c r="AD218" s="243">
        <f>IF($Z218="",0,Shares!E218)</f>
        <v>0</v>
      </c>
      <c r="AE218" s="266">
        <f>IF($Z218="",0,Shares!J218*Shares!I218)</f>
        <v>0</v>
      </c>
      <c r="AF218" s="267">
        <f t="shared" si="37"/>
        <v>0</v>
      </c>
      <c r="AG218" s="266">
        <f>IF($Z218="",0,Shares!L218)</f>
        <v>0</v>
      </c>
      <c r="AH218" s="267">
        <f>IF($Z218="",0,Shares!M218)</f>
        <v>0</v>
      </c>
      <c r="AI218" s="243" t="str">
        <f>IF($Z218="","",RANK(AE218,$AE$2:$AE$1001)+COUNTIF($AE$2:AE218,AE218)-1)</f>
        <v/>
      </c>
      <c r="AJ218" s="243" t="str">
        <f>IF($AD218&lt;0,COUNT($AJ$1:AJ217)+1,"")</f>
        <v/>
      </c>
      <c r="AL218" s="243" t="str">
        <f>'All Ticker P&amp;L'!A218</f>
        <v/>
      </c>
      <c r="AM218" s="243" t="str">
        <f>'All Ticker P&amp;L'!B218</f>
        <v/>
      </c>
      <c r="AN218" s="243" t="str">
        <f>'All Ticker P&amp;L'!C218</f>
        <v/>
      </c>
      <c r="AO218" s="243" t="str">
        <f>'All Ticker P&amp;L'!D218</f>
        <v/>
      </c>
      <c r="AP218" s="243">
        <f>IF($AL218="",0,'All Ticker P&amp;L'!E218)</f>
        <v>0</v>
      </c>
      <c r="AQ218" s="266">
        <f>IF($AL218="",0,'All Ticker P&amp;L'!J218*'All Ticker P&amp;L'!I218)</f>
        <v>0</v>
      </c>
      <c r="AR218" s="266">
        <f>IF($AL218="",0,'All Ticker P&amp;L'!L218)</f>
        <v>0</v>
      </c>
      <c r="AS218" s="267">
        <f>IF($AL218="",0,'All Ticker P&amp;L'!M218)</f>
        <v>0</v>
      </c>
      <c r="AT218" s="243" t="str">
        <f>IF($AL218="","",RANK(AR218,$AR$2:$AR$1001)+COUNTIF($AR$2:AR218,AR218)-1)</f>
        <v/>
      </c>
      <c r="AU218" s="243" t="str">
        <f>IF($AL218="","",RANK(AV218,$AV$2:$AV$1001)+COUNTIF($AV$2:AV218,AV218)-1)</f>
        <v/>
      </c>
      <c r="AV218" s="266">
        <f t="shared" si="38"/>
        <v>0</v>
      </c>
    </row>
    <row r="219" spans="26:48" ht="15" customHeight="1" x14ac:dyDescent="0.2">
      <c r="Z219" s="243" t="str">
        <f>Shares!A219</f>
        <v/>
      </c>
      <c r="AA219" s="243" t="str">
        <f>Shares!B219</f>
        <v/>
      </c>
      <c r="AB219" s="243" t="str">
        <f>Shares!C219</f>
        <v/>
      </c>
      <c r="AC219" s="243" t="str">
        <f>Shares!D219</f>
        <v/>
      </c>
      <c r="AD219" s="243">
        <f>IF($Z219="",0,Shares!E219)</f>
        <v>0</v>
      </c>
      <c r="AE219" s="266">
        <f>IF($Z219="",0,Shares!J219*Shares!I219)</f>
        <v>0</v>
      </c>
      <c r="AF219" s="267">
        <f t="shared" si="37"/>
        <v>0</v>
      </c>
      <c r="AG219" s="266">
        <f>IF($Z219="",0,Shares!L219)</f>
        <v>0</v>
      </c>
      <c r="AH219" s="267">
        <f>IF($Z219="",0,Shares!M219)</f>
        <v>0</v>
      </c>
      <c r="AI219" s="243" t="str">
        <f>IF($Z219="","",RANK(AE219,$AE$2:$AE$1001)+COUNTIF($AE$2:AE219,AE219)-1)</f>
        <v/>
      </c>
      <c r="AJ219" s="243" t="str">
        <f>IF($AD219&lt;0,COUNT($AJ$1:AJ218)+1,"")</f>
        <v/>
      </c>
      <c r="AL219" s="243" t="str">
        <f>'All Ticker P&amp;L'!A219</f>
        <v/>
      </c>
      <c r="AM219" s="243" t="str">
        <f>'All Ticker P&amp;L'!B219</f>
        <v/>
      </c>
      <c r="AN219" s="243" t="str">
        <f>'All Ticker P&amp;L'!C219</f>
        <v/>
      </c>
      <c r="AO219" s="243" t="str">
        <f>'All Ticker P&amp;L'!D219</f>
        <v/>
      </c>
      <c r="AP219" s="243">
        <f>IF($AL219="",0,'All Ticker P&amp;L'!E219)</f>
        <v>0</v>
      </c>
      <c r="AQ219" s="266">
        <f>IF($AL219="",0,'All Ticker P&amp;L'!J219*'All Ticker P&amp;L'!I219)</f>
        <v>0</v>
      </c>
      <c r="AR219" s="266">
        <f>IF($AL219="",0,'All Ticker P&amp;L'!L219)</f>
        <v>0</v>
      </c>
      <c r="AS219" s="267">
        <f>IF($AL219="",0,'All Ticker P&amp;L'!M219)</f>
        <v>0</v>
      </c>
      <c r="AT219" s="243" t="str">
        <f>IF($AL219="","",RANK(AR219,$AR$2:$AR$1001)+COUNTIF($AR$2:AR219,AR219)-1)</f>
        <v/>
      </c>
      <c r="AU219" s="243" t="str">
        <f>IF($AL219="","",RANK(AV219,$AV$2:$AV$1001)+COUNTIF($AV$2:AV219,AV219)-1)</f>
        <v/>
      </c>
      <c r="AV219" s="266">
        <f t="shared" si="38"/>
        <v>0</v>
      </c>
    </row>
    <row r="220" spans="26:48" ht="15" customHeight="1" x14ac:dyDescent="0.2">
      <c r="Z220" s="243" t="str">
        <f>Shares!A220</f>
        <v/>
      </c>
      <c r="AA220" s="243" t="str">
        <f>Shares!B220</f>
        <v/>
      </c>
      <c r="AB220" s="243" t="str">
        <f>Shares!C220</f>
        <v/>
      </c>
      <c r="AC220" s="243" t="str">
        <f>Shares!D220</f>
        <v/>
      </c>
      <c r="AD220" s="243">
        <f>IF($Z220="",0,Shares!E220)</f>
        <v>0</v>
      </c>
      <c r="AE220" s="266">
        <f>IF($Z220="",0,Shares!J220*Shares!I220)</f>
        <v>0</v>
      </c>
      <c r="AF220" s="267">
        <f t="shared" si="37"/>
        <v>0</v>
      </c>
      <c r="AG220" s="266">
        <f>IF($Z220="",0,Shares!L220)</f>
        <v>0</v>
      </c>
      <c r="AH220" s="267">
        <f>IF($Z220="",0,Shares!M220)</f>
        <v>0</v>
      </c>
      <c r="AI220" s="243" t="str">
        <f>IF($Z220="","",RANK(AE220,$AE$2:$AE$1001)+COUNTIF($AE$2:AE220,AE220)-1)</f>
        <v/>
      </c>
      <c r="AJ220" s="243" t="str">
        <f>IF($AD220&lt;0,COUNT($AJ$1:AJ219)+1,"")</f>
        <v/>
      </c>
      <c r="AL220" s="243" t="str">
        <f>'All Ticker P&amp;L'!A220</f>
        <v/>
      </c>
      <c r="AM220" s="243" t="str">
        <f>'All Ticker P&amp;L'!B220</f>
        <v/>
      </c>
      <c r="AN220" s="243" t="str">
        <f>'All Ticker P&amp;L'!C220</f>
        <v/>
      </c>
      <c r="AO220" s="243" t="str">
        <f>'All Ticker P&amp;L'!D220</f>
        <v/>
      </c>
      <c r="AP220" s="243">
        <f>IF($AL220="",0,'All Ticker P&amp;L'!E220)</f>
        <v>0</v>
      </c>
      <c r="AQ220" s="266">
        <f>IF($AL220="",0,'All Ticker P&amp;L'!J220*'All Ticker P&amp;L'!I220)</f>
        <v>0</v>
      </c>
      <c r="AR220" s="266">
        <f>IF($AL220="",0,'All Ticker P&amp;L'!L220)</f>
        <v>0</v>
      </c>
      <c r="AS220" s="267">
        <f>IF($AL220="",0,'All Ticker P&amp;L'!M220)</f>
        <v>0</v>
      </c>
      <c r="AT220" s="243" t="str">
        <f>IF($AL220="","",RANK(AR220,$AR$2:$AR$1001)+COUNTIF($AR$2:AR220,AR220)-1)</f>
        <v/>
      </c>
      <c r="AU220" s="243" t="str">
        <f>IF($AL220="","",RANK(AV220,$AV$2:$AV$1001)+COUNTIF($AV$2:AV220,AV220)-1)</f>
        <v/>
      </c>
      <c r="AV220" s="266">
        <f t="shared" si="38"/>
        <v>0</v>
      </c>
    </row>
    <row r="221" spans="26:48" ht="15" customHeight="1" x14ac:dyDescent="0.2">
      <c r="Z221" s="243" t="str">
        <f>Shares!A221</f>
        <v/>
      </c>
      <c r="AA221" s="243" t="str">
        <f>Shares!B221</f>
        <v/>
      </c>
      <c r="AB221" s="243" t="str">
        <f>Shares!C221</f>
        <v/>
      </c>
      <c r="AC221" s="243" t="str">
        <f>Shares!D221</f>
        <v/>
      </c>
      <c r="AD221" s="243">
        <f>IF($Z221="",0,Shares!E221)</f>
        <v>0</v>
      </c>
      <c r="AE221" s="266">
        <f>IF($Z221="",0,Shares!J221*Shares!I221)</f>
        <v>0</v>
      </c>
      <c r="AF221" s="267">
        <f t="shared" si="37"/>
        <v>0</v>
      </c>
      <c r="AG221" s="266">
        <f>IF($Z221="",0,Shares!L221)</f>
        <v>0</v>
      </c>
      <c r="AH221" s="267">
        <f>IF($Z221="",0,Shares!M221)</f>
        <v>0</v>
      </c>
      <c r="AI221" s="243" t="str">
        <f>IF($Z221="","",RANK(AE221,$AE$2:$AE$1001)+COUNTIF($AE$2:AE221,AE221)-1)</f>
        <v/>
      </c>
      <c r="AJ221" s="243" t="str">
        <f>IF($AD221&lt;0,COUNT($AJ$1:AJ220)+1,"")</f>
        <v/>
      </c>
      <c r="AL221" s="243" t="str">
        <f>'All Ticker P&amp;L'!A221</f>
        <v/>
      </c>
      <c r="AM221" s="243" t="str">
        <f>'All Ticker P&amp;L'!B221</f>
        <v/>
      </c>
      <c r="AN221" s="243" t="str">
        <f>'All Ticker P&amp;L'!C221</f>
        <v/>
      </c>
      <c r="AO221" s="243" t="str">
        <f>'All Ticker P&amp;L'!D221</f>
        <v/>
      </c>
      <c r="AP221" s="243">
        <f>IF($AL221="",0,'All Ticker P&amp;L'!E221)</f>
        <v>0</v>
      </c>
      <c r="AQ221" s="266">
        <f>IF($AL221="",0,'All Ticker P&amp;L'!J221*'All Ticker P&amp;L'!I221)</f>
        <v>0</v>
      </c>
      <c r="AR221" s="266">
        <f>IF($AL221="",0,'All Ticker P&amp;L'!L221)</f>
        <v>0</v>
      </c>
      <c r="AS221" s="267">
        <f>IF($AL221="",0,'All Ticker P&amp;L'!M221)</f>
        <v>0</v>
      </c>
      <c r="AT221" s="243" t="str">
        <f>IF($AL221="","",RANK(AR221,$AR$2:$AR$1001)+COUNTIF($AR$2:AR221,AR221)-1)</f>
        <v/>
      </c>
      <c r="AU221" s="243" t="str">
        <f>IF($AL221="","",RANK(AV221,$AV$2:$AV$1001)+COUNTIF($AV$2:AV221,AV221)-1)</f>
        <v/>
      </c>
      <c r="AV221" s="266">
        <f t="shared" si="38"/>
        <v>0</v>
      </c>
    </row>
    <row r="222" spans="26:48" ht="15" customHeight="1" x14ac:dyDescent="0.2">
      <c r="Z222" s="243" t="str">
        <f>Shares!A222</f>
        <v/>
      </c>
      <c r="AA222" s="243" t="str">
        <f>Shares!B222</f>
        <v/>
      </c>
      <c r="AB222" s="243" t="str">
        <f>Shares!C222</f>
        <v/>
      </c>
      <c r="AC222" s="243" t="str">
        <f>Shares!D222</f>
        <v/>
      </c>
      <c r="AD222" s="243">
        <f>IF($Z222="",0,Shares!E222)</f>
        <v>0</v>
      </c>
      <c r="AE222" s="266">
        <f>IF($Z222="",0,Shares!J222*Shares!I222)</f>
        <v>0</v>
      </c>
      <c r="AF222" s="267">
        <f t="shared" si="37"/>
        <v>0</v>
      </c>
      <c r="AG222" s="266">
        <f>IF($Z222="",0,Shares!L222)</f>
        <v>0</v>
      </c>
      <c r="AH222" s="267">
        <f>IF($Z222="",0,Shares!M222)</f>
        <v>0</v>
      </c>
      <c r="AI222" s="243" t="str">
        <f>IF($Z222="","",RANK(AE222,$AE$2:$AE$1001)+COUNTIF($AE$2:AE222,AE222)-1)</f>
        <v/>
      </c>
      <c r="AJ222" s="243" t="str">
        <f>IF($AD222&lt;0,COUNT($AJ$1:AJ221)+1,"")</f>
        <v/>
      </c>
      <c r="AL222" s="243" t="str">
        <f>'All Ticker P&amp;L'!A222</f>
        <v/>
      </c>
      <c r="AM222" s="243" t="str">
        <f>'All Ticker P&amp;L'!B222</f>
        <v/>
      </c>
      <c r="AN222" s="243" t="str">
        <f>'All Ticker P&amp;L'!C222</f>
        <v/>
      </c>
      <c r="AO222" s="243" t="str">
        <f>'All Ticker P&amp;L'!D222</f>
        <v/>
      </c>
      <c r="AP222" s="243">
        <f>IF($AL222="",0,'All Ticker P&amp;L'!E222)</f>
        <v>0</v>
      </c>
      <c r="AQ222" s="266">
        <f>IF($AL222="",0,'All Ticker P&amp;L'!J222*'All Ticker P&amp;L'!I222)</f>
        <v>0</v>
      </c>
      <c r="AR222" s="266">
        <f>IF($AL222="",0,'All Ticker P&amp;L'!L222)</f>
        <v>0</v>
      </c>
      <c r="AS222" s="267">
        <f>IF($AL222="",0,'All Ticker P&amp;L'!M222)</f>
        <v>0</v>
      </c>
      <c r="AT222" s="243" t="str">
        <f>IF($AL222="","",RANK(AR222,$AR$2:$AR$1001)+COUNTIF($AR$2:AR222,AR222)-1)</f>
        <v/>
      </c>
      <c r="AU222" s="243" t="str">
        <f>IF($AL222="","",RANK(AV222,$AV$2:$AV$1001)+COUNTIF($AV$2:AV222,AV222)-1)</f>
        <v/>
      </c>
      <c r="AV222" s="266">
        <f t="shared" si="38"/>
        <v>0</v>
      </c>
    </row>
    <row r="223" spans="26:48" ht="15" customHeight="1" x14ac:dyDescent="0.2">
      <c r="Z223" s="243" t="str">
        <f>Shares!A223</f>
        <v/>
      </c>
      <c r="AA223" s="243" t="str">
        <f>Shares!B223</f>
        <v/>
      </c>
      <c r="AB223" s="243" t="str">
        <f>Shares!C223</f>
        <v/>
      </c>
      <c r="AC223" s="243" t="str">
        <f>Shares!D223</f>
        <v/>
      </c>
      <c r="AD223" s="243">
        <f>IF($Z223="",0,Shares!E223)</f>
        <v>0</v>
      </c>
      <c r="AE223" s="266">
        <f>IF($Z223="",0,Shares!J223*Shares!I223)</f>
        <v>0</v>
      </c>
      <c r="AF223" s="267">
        <f t="shared" si="37"/>
        <v>0</v>
      </c>
      <c r="AG223" s="266">
        <f>IF($Z223="",0,Shares!L223)</f>
        <v>0</v>
      </c>
      <c r="AH223" s="267">
        <f>IF($Z223="",0,Shares!M223)</f>
        <v>0</v>
      </c>
      <c r="AI223" s="243" t="str">
        <f>IF($Z223="","",RANK(AE223,$AE$2:$AE$1001)+COUNTIF($AE$2:AE223,AE223)-1)</f>
        <v/>
      </c>
      <c r="AJ223" s="243" t="str">
        <f>IF($AD223&lt;0,COUNT($AJ$1:AJ222)+1,"")</f>
        <v/>
      </c>
      <c r="AL223" s="243" t="str">
        <f>'All Ticker P&amp;L'!A223</f>
        <v/>
      </c>
      <c r="AM223" s="243" t="str">
        <f>'All Ticker P&amp;L'!B223</f>
        <v/>
      </c>
      <c r="AN223" s="243" t="str">
        <f>'All Ticker P&amp;L'!C223</f>
        <v/>
      </c>
      <c r="AO223" s="243" t="str">
        <f>'All Ticker P&amp;L'!D223</f>
        <v/>
      </c>
      <c r="AP223" s="243">
        <f>IF($AL223="",0,'All Ticker P&amp;L'!E223)</f>
        <v>0</v>
      </c>
      <c r="AQ223" s="266">
        <f>IF($AL223="",0,'All Ticker P&amp;L'!J223*'All Ticker P&amp;L'!I223)</f>
        <v>0</v>
      </c>
      <c r="AR223" s="266">
        <f>IF($AL223="",0,'All Ticker P&amp;L'!L223)</f>
        <v>0</v>
      </c>
      <c r="AS223" s="267">
        <f>IF($AL223="",0,'All Ticker P&amp;L'!M223)</f>
        <v>0</v>
      </c>
      <c r="AT223" s="243" t="str">
        <f>IF($AL223="","",RANK(AR223,$AR$2:$AR$1001)+COUNTIF($AR$2:AR223,AR223)-1)</f>
        <v/>
      </c>
      <c r="AU223" s="243" t="str">
        <f>IF($AL223="","",RANK(AV223,$AV$2:$AV$1001)+COUNTIF($AV$2:AV223,AV223)-1)</f>
        <v/>
      </c>
      <c r="AV223" s="266">
        <f t="shared" si="38"/>
        <v>0</v>
      </c>
    </row>
    <row r="224" spans="26:48" ht="15" customHeight="1" x14ac:dyDescent="0.2">
      <c r="Z224" s="243" t="str">
        <f>Shares!A224</f>
        <v/>
      </c>
      <c r="AA224" s="243" t="str">
        <f>Shares!B224</f>
        <v/>
      </c>
      <c r="AB224" s="243" t="str">
        <f>Shares!C224</f>
        <v/>
      </c>
      <c r="AC224" s="243" t="str">
        <f>Shares!D224</f>
        <v/>
      </c>
      <c r="AD224" s="243">
        <f>IF($Z224="",0,Shares!E224)</f>
        <v>0</v>
      </c>
      <c r="AE224" s="266">
        <f>IF($Z224="",0,Shares!J224*Shares!I224)</f>
        <v>0</v>
      </c>
      <c r="AF224" s="267">
        <f t="shared" si="37"/>
        <v>0</v>
      </c>
      <c r="AG224" s="266">
        <f>IF($Z224="",0,Shares!L224)</f>
        <v>0</v>
      </c>
      <c r="AH224" s="267">
        <f>IF($Z224="",0,Shares!M224)</f>
        <v>0</v>
      </c>
      <c r="AI224" s="243" t="str">
        <f>IF($Z224="","",RANK(AE224,$AE$2:$AE$1001)+COUNTIF($AE$2:AE224,AE224)-1)</f>
        <v/>
      </c>
      <c r="AJ224" s="243" t="str">
        <f>IF($AD224&lt;0,COUNT($AJ$1:AJ223)+1,"")</f>
        <v/>
      </c>
      <c r="AL224" s="243" t="str">
        <f>'All Ticker P&amp;L'!A224</f>
        <v/>
      </c>
      <c r="AM224" s="243" t="str">
        <f>'All Ticker P&amp;L'!B224</f>
        <v/>
      </c>
      <c r="AN224" s="243" t="str">
        <f>'All Ticker P&amp;L'!C224</f>
        <v/>
      </c>
      <c r="AO224" s="243" t="str">
        <f>'All Ticker P&amp;L'!D224</f>
        <v/>
      </c>
      <c r="AP224" s="243">
        <f>IF($AL224="",0,'All Ticker P&amp;L'!E224)</f>
        <v>0</v>
      </c>
      <c r="AQ224" s="266">
        <f>IF($AL224="",0,'All Ticker P&amp;L'!J224*'All Ticker P&amp;L'!I224)</f>
        <v>0</v>
      </c>
      <c r="AR224" s="266">
        <f>IF($AL224="",0,'All Ticker P&amp;L'!L224)</f>
        <v>0</v>
      </c>
      <c r="AS224" s="267">
        <f>IF($AL224="",0,'All Ticker P&amp;L'!M224)</f>
        <v>0</v>
      </c>
      <c r="AT224" s="243" t="str">
        <f>IF($AL224="","",RANK(AR224,$AR$2:$AR$1001)+COUNTIF($AR$2:AR224,AR224)-1)</f>
        <v/>
      </c>
      <c r="AU224" s="243" t="str">
        <f>IF($AL224="","",RANK(AV224,$AV$2:$AV$1001)+COUNTIF($AV$2:AV224,AV224)-1)</f>
        <v/>
      </c>
      <c r="AV224" s="266">
        <f t="shared" si="38"/>
        <v>0</v>
      </c>
    </row>
    <row r="225" spans="26:48" ht="15" customHeight="1" x14ac:dyDescent="0.2">
      <c r="Z225" s="243" t="str">
        <f>Shares!A225</f>
        <v/>
      </c>
      <c r="AA225" s="243" t="str">
        <f>Shares!B225</f>
        <v/>
      </c>
      <c r="AB225" s="243" t="str">
        <f>Shares!C225</f>
        <v/>
      </c>
      <c r="AC225" s="243" t="str">
        <f>Shares!D225</f>
        <v/>
      </c>
      <c r="AD225" s="243">
        <f>IF($Z225="",0,Shares!E225)</f>
        <v>0</v>
      </c>
      <c r="AE225" s="266">
        <f>IF($Z225="",0,Shares!J225*Shares!I225)</f>
        <v>0</v>
      </c>
      <c r="AF225" s="267">
        <f t="shared" si="37"/>
        <v>0</v>
      </c>
      <c r="AG225" s="266">
        <f>IF($Z225="",0,Shares!L225)</f>
        <v>0</v>
      </c>
      <c r="AH225" s="267">
        <f>IF($Z225="",0,Shares!M225)</f>
        <v>0</v>
      </c>
      <c r="AI225" s="243" t="str">
        <f>IF($Z225="","",RANK(AE225,$AE$2:$AE$1001)+COUNTIF($AE$2:AE225,AE225)-1)</f>
        <v/>
      </c>
      <c r="AJ225" s="243" t="str">
        <f>IF($AD225&lt;0,COUNT($AJ$1:AJ224)+1,"")</f>
        <v/>
      </c>
      <c r="AL225" s="243" t="str">
        <f>'All Ticker P&amp;L'!A225</f>
        <v/>
      </c>
      <c r="AM225" s="243" t="str">
        <f>'All Ticker P&amp;L'!B225</f>
        <v/>
      </c>
      <c r="AN225" s="243" t="str">
        <f>'All Ticker P&amp;L'!C225</f>
        <v/>
      </c>
      <c r="AO225" s="243" t="str">
        <f>'All Ticker P&amp;L'!D225</f>
        <v/>
      </c>
      <c r="AP225" s="243">
        <f>IF($AL225="",0,'All Ticker P&amp;L'!E225)</f>
        <v>0</v>
      </c>
      <c r="AQ225" s="266">
        <f>IF($AL225="",0,'All Ticker P&amp;L'!J225*'All Ticker P&amp;L'!I225)</f>
        <v>0</v>
      </c>
      <c r="AR225" s="266">
        <f>IF($AL225="",0,'All Ticker P&amp;L'!L225)</f>
        <v>0</v>
      </c>
      <c r="AS225" s="267">
        <f>IF($AL225="",0,'All Ticker P&amp;L'!M225)</f>
        <v>0</v>
      </c>
      <c r="AT225" s="243" t="str">
        <f>IF($AL225="","",RANK(AR225,$AR$2:$AR$1001)+COUNTIF($AR$2:AR225,AR225)-1)</f>
        <v/>
      </c>
      <c r="AU225" s="243" t="str">
        <f>IF($AL225="","",RANK(AV225,$AV$2:$AV$1001)+COUNTIF($AV$2:AV225,AV225)-1)</f>
        <v/>
      </c>
      <c r="AV225" s="266">
        <f t="shared" si="38"/>
        <v>0</v>
      </c>
    </row>
    <row r="226" spans="26:48" ht="15" customHeight="1" x14ac:dyDescent="0.2">
      <c r="Z226" s="243" t="str">
        <f>Shares!A226</f>
        <v/>
      </c>
      <c r="AA226" s="243" t="str">
        <f>Shares!B226</f>
        <v/>
      </c>
      <c r="AB226" s="243" t="str">
        <f>Shares!C226</f>
        <v/>
      </c>
      <c r="AC226" s="243" t="str">
        <f>Shares!D226</f>
        <v/>
      </c>
      <c r="AD226" s="243">
        <f>IF($Z226="",0,Shares!E226)</f>
        <v>0</v>
      </c>
      <c r="AE226" s="266">
        <f>IF($Z226="",0,Shares!J226*Shares!I226)</f>
        <v>0</v>
      </c>
      <c r="AF226" s="267">
        <f t="shared" si="37"/>
        <v>0</v>
      </c>
      <c r="AG226" s="266">
        <f>IF($Z226="",0,Shares!L226)</f>
        <v>0</v>
      </c>
      <c r="AH226" s="267">
        <f>IF($Z226="",0,Shares!M226)</f>
        <v>0</v>
      </c>
      <c r="AI226" s="243" t="str">
        <f>IF($Z226="","",RANK(AE226,$AE$2:$AE$1001)+COUNTIF($AE$2:AE226,AE226)-1)</f>
        <v/>
      </c>
      <c r="AJ226" s="243" t="str">
        <f>IF($AD226&lt;0,COUNT($AJ$1:AJ225)+1,"")</f>
        <v/>
      </c>
      <c r="AL226" s="243" t="str">
        <f>'All Ticker P&amp;L'!A226</f>
        <v/>
      </c>
      <c r="AM226" s="243" t="str">
        <f>'All Ticker P&amp;L'!B226</f>
        <v/>
      </c>
      <c r="AN226" s="243" t="str">
        <f>'All Ticker P&amp;L'!C226</f>
        <v/>
      </c>
      <c r="AO226" s="243" t="str">
        <f>'All Ticker P&amp;L'!D226</f>
        <v/>
      </c>
      <c r="AP226" s="243">
        <f>IF($AL226="",0,'All Ticker P&amp;L'!E226)</f>
        <v>0</v>
      </c>
      <c r="AQ226" s="266">
        <f>IF($AL226="",0,'All Ticker P&amp;L'!J226*'All Ticker P&amp;L'!I226)</f>
        <v>0</v>
      </c>
      <c r="AR226" s="266">
        <f>IF($AL226="",0,'All Ticker P&amp;L'!L226)</f>
        <v>0</v>
      </c>
      <c r="AS226" s="267">
        <f>IF($AL226="",0,'All Ticker P&amp;L'!M226)</f>
        <v>0</v>
      </c>
      <c r="AT226" s="243" t="str">
        <f>IF($AL226="","",RANK(AR226,$AR$2:$AR$1001)+COUNTIF($AR$2:AR226,AR226)-1)</f>
        <v/>
      </c>
      <c r="AU226" s="243" t="str">
        <f>IF($AL226="","",RANK(AV226,$AV$2:$AV$1001)+COUNTIF($AV$2:AV226,AV226)-1)</f>
        <v/>
      </c>
      <c r="AV226" s="266">
        <f t="shared" si="38"/>
        <v>0</v>
      </c>
    </row>
    <row r="227" spans="26:48" ht="15" customHeight="1" x14ac:dyDescent="0.2">
      <c r="Z227" s="243" t="str">
        <f>Shares!A227</f>
        <v/>
      </c>
      <c r="AA227" s="243" t="str">
        <f>Shares!B227</f>
        <v/>
      </c>
      <c r="AB227" s="243" t="str">
        <f>Shares!C227</f>
        <v/>
      </c>
      <c r="AC227" s="243" t="str">
        <f>Shares!D227</f>
        <v/>
      </c>
      <c r="AD227" s="243">
        <f>IF($Z227="",0,Shares!E227)</f>
        <v>0</v>
      </c>
      <c r="AE227" s="266">
        <f>IF($Z227="",0,Shares!J227*Shares!I227)</f>
        <v>0</v>
      </c>
      <c r="AF227" s="267">
        <f t="shared" si="37"/>
        <v>0</v>
      </c>
      <c r="AG227" s="266">
        <f>IF($Z227="",0,Shares!L227)</f>
        <v>0</v>
      </c>
      <c r="AH227" s="267">
        <f>IF($Z227="",0,Shares!M227)</f>
        <v>0</v>
      </c>
      <c r="AI227" s="243" t="str">
        <f>IF($Z227="","",RANK(AE227,$AE$2:$AE$1001)+COUNTIF($AE$2:AE227,AE227)-1)</f>
        <v/>
      </c>
      <c r="AJ227" s="243" t="str">
        <f>IF($AD227&lt;0,COUNT($AJ$1:AJ226)+1,"")</f>
        <v/>
      </c>
      <c r="AL227" s="243" t="str">
        <f>'All Ticker P&amp;L'!A227</f>
        <v/>
      </c>
      <c r="AM227" s="243" t="str">
        <f>'All Ticker P&amp;L'!B227</f>
        <v/>
      </c>
      <c r="AN227" s="243" t="str">
        <f>'All Ticker P&amp;L'!C227</f>
        <v/>
      </c>
      <c r="AO227" s="243" t="str">
        <f>'All Ticker P&amp;L'!D227</f>
        <v/>
      </c>
      <c r="AP227" s="243">
        <f>IF($AL227="",0,'All Ticker P&amp;L'!E227)</f>
        <v>0</v>
      </c>
      <c r="AQ227" s="266">
        <f>IF($AL227="",0,'All Ticker P&amp;L'!J227*'All Ticker P&amp;L'!I227)</f>
        <v>0</v>
      </c>
      <c r="AR227" s="266">
        <f>IF($AL227="",0,'All Ticker P&amp;L'!L227)</f>
        <v>0</v>
      </c>
      <c r="AS227" s="267">
        <f>IF($AL227="",0,'All Ticker P&amp;L'!M227)</f>
        <v>0</v>
      </c>
      <c r="AT227" s="243" t="str">
        <f>IF($AL227="","",RANK(AR227,$AR$2:$AR$1001)+COUNTIF($AR$2:AR227,AR227)-1)</f>
        <v/>
      </c>
      <c r="AU227" s="243" t="str">
        <f>IF($AL227="","",RANK(AV227,$AV$2:$AV$1001)+COUNTIF($AV$2:AV227,AV227)-1)</f>
        <v/>
      </c>
      <c r="AV227" s="266">
        <f t="shared" si="38"/>
        <v>0</v>
      </c>
    </row>
    <row r="228" spans="26:48" ht="15" customHeight="1" x14ac:dyDescent="0.2">
      <c r="Z228" s="243" t="str">
        <f>Shares!A228</f>
        <v/>
      </c>
      <c r="AA228" s="243" t="str">
        <f>Shares!B228</f>
        <v/>
      </c>
      <c r="AB228" s="243" t="str">
        <f>Shares!C228</f>
        <v/>
      </c>
      <c r="AC228" s="243" t="str">
        <f>Shares!D228</f>
        <v/>
      </c>
      <c r="AD228" s="243">
        <f>IF($Z228="",0,Shares!E228)</f>
        <v>0</v>
      </c>
      <c r="AE228" s="266">
        <f>IF($Z228="",0,Shares!J228*Shares!I228)</f>
        <v>0</v>
      </c>
      <c r="AF228" s="267">
        <f t="shared" si="37"/>
        <v>0</v>
      </c>
      <c r="AG228" s="266">
        <f>IF($Z228="",0,Shares!L228)</f>
        <v>0</v>
      </c>
      <c r="AH228" s="267">
        <f>IF($Z228="",0,Shares!M228)</f>
        <v>0</v>
      </c>
      <c r="AI228" s="243" t="str">
        <f>IF($Z228="","",RANK(AE228,$AE$2:$AE$1001)+COUNTIF($AE$2:AE228,AE228)-1)</f>
        <v/>
      </c>
      <c r="AJ228" s="243" t="str">
        <f>IF($AD228&lt;0,COUNT($AJ$1:AJ227)+1,"")</f>
        <v/>
      </c>
      <c r="AL228" s="243" t="str">
        <f>'All Ticker P&amp;L'!A228</f>
        <v/>
      </c>
      <c r="AM228" s="243" t="str">
        <f>'All Ticker P&amp;L'!B228</f>
        <v/>
      </c>
      <c r="AN228" s="243" t="str">
        <f>'All Ticker P&amp;L'!C228</f>
        <v/>
      </c>
      <c r="AO228" s="243" t="str">
        <f>'All Ticker P&amp;L'!D228</f>
        <v/>
      </c>
      <c r="AP228" s="243">
        <f>IF($AL228="",0,'All Ticker P&amp;L'!E228)</f>
        <v>0</v>
      </c>
      <c r="AQ228" s="266">
        <f>IF($AL228="",0,'All Ticker P&amp;L'!J228*'All Ticker P&amp;L'!I228)</f>
        <v>0</v>
      </c>
      <c r="AR228" s="266">
        <f>IF($AL228="",0,'All Ticker P&amp;L'!L228)</f>
        <v>0</v>
      </c>
      <c r="AS228" s="267">
        <f>IF($AL228="",0,'All Ticker P&amp;L'!M228)</f>
        <v>0</v>
      </c>
      <c r="AT228" s="243" t="str">
        <f>IF($AL228="","",RANK(AR228,$AR$2:$AR$1001)+COUNTIF($AR$2:AR228,AR228)-1)</f>
        <v/>
      </c>
      <c r="AU228" s="243" t="str">
        <f>IF($AL228="","",RANK(AV228,$AV$2:$AV$1001)+COUNTIF($AV$2:AV228,AV228)-1)</f>
        <v/>
      </c>
      <c r="AV228" s="266">
        <f t="shared" si="38"/>
        <v>0</v>
      </c>
    </row>
    <row r="229" spans="26:48" ht="15" customHeight="1" x14ac:dyDescent="0.2">
      <c r="Z229" s="243" t="str">
        <f>Shares!A229</f>
        <v/>
      </c>
      <c r="AA229" s="243" t="str">
        <f>Shares!B229</f>
        <v/>
      </c>
      <c r="AB229" s="243" t="str">
        <f>Shares!C229</f>
        <v/>
      </c>
      <c r="AC229" s="243" t="str">
        <f>Shares!D229</f>
        <v/>
      </c>
      <c r="AD229" s="243">
        <f>IF($Z229="",0,Shares!E229)</f>
        <v>0</v>
      </c>
      <c r="AE229" s="266">
        <f>IF($Z229="",0,Shares!J229*Shares!I229)</f>
        <v>0</v>
      </c>
      <c r="AF229" s="267">
        <f t="shared" si="37"/>
        <v>0</v>
      </c>
      <c r="AG229" s="266">
        <f>IF($Z229="",0,Shares!L229)</f>
        <v>0</v>
      </c>
      <c r="AH229" s="267">
        <f>IF($Z229="",0,Shares!M229)</f>
        <v>0</v>
      </c>
      <c r="AI229" s="243" t="str">
        <f>IF($Z229="","",RANK(AE229,$AE$2:$AE$1001)+COUNTIF($AE$2:AE229,AE229)-1)</f>
        <v/>
      </c>
      <c r="AJ229" s="243" t="str">
        <f>IF($AD229&lt;0,COUNT($AJ$1:AJ228)+1,"")</f>
        <v/>
      </c>
      <c r="AL229" s="243" t="str">
        <f>'All Ticker P&amp;L'!A229</f>
        <v/>
      </c>
      <c r="AM229" s="243" t="str">
        <f>'All Ticker P&amp;L'!B229</f>
        <v/>
      </c>
      <c r="AN229" s="243" t="str">
        <f>'All Ticker P&amp;L'!C229</f>
        <v/>
      </c>
      <c r="AO229" s="243" t="str">
        <f>'All Ticker P&amp;L'!D229</f>
        <v/>
      </c>
      <c r="AP229" s="243">
        <f>IF($AL229="",0,'All Ticker P&amp;L'!E229)</f>
        <v>0</v>
      </c>
      <c r="AQ229" s="266">
        <f>IF($AL229="",0,'All Ticker P&amp;L'!J229*'All Ticker P&amp;L'!I229)</f>
        <v>0</v>
      </c>
      <c r="AR229" s="266">
        <f>IF($AL229="",0,'All Ticker P&amp;L'!L229)</f>
        <v>0</v>
      </c>
      <c r="AS229" s="267">
        <f>IF($AL229="",0,'All Ticker P&amp;L'!M229)</f>
        <v>0</v>
      </c>
      <c r="AT229" s="243" t="str">
        <f>IF($AL229="","",RANK(AR229,$AR$2:$AR$1001)+COUNTIF($AR$2:AR229,AR229)-1)</f>
        <v/>
      </c>
      <c r="AU229" s="243" t="str">
        <f>IF($AL229="","",RANK(AV229,$AV$2:$AV$1001)+COUNTIF($AV$2:AV229,AV229)-1)</f>
        <v/>
      </c>
      <c r="AV229" s="266">
        <f t="shared" si="38"/>
        <v>0</v>
      </c>
    </row>
    <row r="230" spans="26:48" ht="15" customHeight="1" x14ac:dyDescent="0.2">
      <c r="Z230" s="243" t="str">
        <f>Shares!A230</f>
        <v/>
      </c>
      <c r="AA230" s="243" t="str">
        <f>Shares!B230</f>
        <v/>
      </c>
      <c r="AB230" s="243" t="str">
        <f>Shares!C230</f>
        <v/>
      </c>
      <c r="AC230" s="243" t="str">
        <f>Shares!D230</f>
        <v/>
      </c>
      <c r="AD230" s="243">
        <f>IF($Z230="",0,Shares!E230)</f>
        <v>0</v>
      </c>
      <c r="AE230" s="266">
        <f>IF($Z230="",0,Shares!J230*Shares!I230)</f>
        <v>0</v>
      </c>
      <c r="AF230" s="267">
        <f t="shared" si="37"/>
        <v>0</v>
      </c>
      <c r="AG230" s="266">
        <f>IF($Z230="",0,Shares!L230)</f>
        <v>0</v>
      </c>
      <c r="AH230" s="267">
        <f>IF($Z230="",0,Shares!M230)</f>
        <v>0</v>
      </c>
      <c r="AI230" s="243" t="str">
        <f>IF($Z230="","",RANK(AE230,$AE$2:$AE$1001)+COUNTIF($AE$2:AE230,AE230)-1)</f>
        <v/>
      </c>
      <c r="AJ230" s="243" t="str">
        <f>IF($AD230&lt;0,COUNT($AJ$1:AJ229)+1,"")</f>
        <v/>
      </c>
      <c r="AL230" s="243" t="str">
        <f>'All Ticker P&amp;L'!A230</f>
        <v/>
      </c>
      <c r="AM230" s="243" t="str">
        <f>'All Ticker P&amp;L'!B230</f>
        <v/>
      </c>
      <c r="AN230" s="243" t="str">
        <f>'All Ticker P&amp;L'!C230</f>
        <v/>
      </c>
      <c r="AO230" s="243" t="str">
        <f>'All Ticker P&amp;L'!D230</f>
        <v/>
      </c>
      <c r="AP230" s="243">
        <f>IF($AL230="",0,'All Ticker P&amp;L'!E230)</f>
        <v>0</v>
      </c>
      <c r="AQ230" s="266">
        <f>IF($AL230="",0,'All Ticker P&amp;L'!J230*'All Ticker P&amp;L'!I230)</f>
        <v>0</v>
      </c>
      <c r="AR230" s="266">
        <f>IF($AL230="",0,'All Ticker P&amp;L'!L230)</f>
        <v>0</v>
      </c>
      <c r="AS230" s="267">
        <f>IF($AL230="",0,'All Ticker P&amp;L'!M230)</f>
        <v>0</v>
      </c>
      <c r="AT230" s="243" t="str">
        <f>IF($AL230="","",RANK(AR230,$AR$2:$AR$1001)+COUNTIF($AR$2:AR230,AR230)-1)</f>
        <v/>
      </c>
      <c r="AU230" s="243" t="str">
        <f>IF($AL230="","",RANK(AV230,$AV$2:$AV$1001)+COUNTIF($AV$2:AV230,AV230)-1)</f>
        <v/>
      </c>
      <c r="AV230" s="266">
        <f t="shared" si="38"/>
        <v>0</v>
      </c>
    </row>
    <row r="231" spans="26:48" ht="15" customHeight="1" x14ac:dyDescent="0.2">
      <c r="Z231" s="243" t="str">
        <f>Shares!A231</f>
        <v/>
      </c>
      <c r="AA231" s="243" t="str">
        <f>Shares!B231</f>
        <v/>
      </c>
      <c r="AB231" s="243" t="str">
        <f>Shares!C231</f>
        <v/>
      </c>
      <c r="AC231" s="243" t="str">
        <f>Shares!D231</f>
        <v/>
      </c>
      <c r="AD231" s="243">
        <f>IF($Z231="",0,Shares!E231)</f>
        <v>0</v>
      </c>
      <c r="AE231" s="266">
        <f>IF($Z231="",0,Shares!J231*Shares!I231)</f>
        <v>0</v>
      </c>
      <c r="AF231" s="267">
        <f t="shared" si="37"/>
        <v>0</v>
      </c>
      <c r="AG231" s="266">
        <f>IF($Z231="",0,Shares!L231)</f>
        <v>0</v>
      </c>
      <c r="AH231" s="267">
        <f>IF($Z231="",0,Shares!M231)</f>
        <v>0</v>
      </c>
      <c r="AI231" s="243" t="str">
        <f>IF($Z231="","",RANK(AE231,$AE$2:$AE$1001)+COUNTIF($AE$2:AE231,AE231)-1)</f>
        <v/>
      </c>
      <c r="AJ231" s="243" t="str">
        <f>IF($AD231&lt;0,COUNT($AJ$1:AJ230)+1,"")</f>
        <v/>
      </c>
      <c r="AL231" s="243" t="str">
        <f>'All Ticker P&amp;L'!A231</f>
        <v/>
      </c>
      <c r="AM231" s="243" t="str">
        <f>'All Ticker P&amp;L'!B231</f>
        <v/>
      </c>
      <c r="AN231" s="243" t="str">
        <f>'All Ticker P&amp;L'!C231</f>
        <v/>
      </c>
      <c r="AO231" s="243" t="str">
        <f>'All Ticker P&amp;L'!D231</f>
        <v/>
      </c>
      <c r="AP231" s="243">
        <f>IF($AL231="",0,'All Ticker P&amp;L'!E231)</f>
        <v>0</v>
      </c>
      <c r="AQ231" s="266">
        <f>IF($AL231="",0,'All Ticker P&amp;L'!J231*'All Ticker P&amp;L'!I231)</f>
        <v>0</v>
      </c>
      <c r="AR231" s="266">
        <f>IF($AL231="",0,'All Ticker P&amp;L'!L231)</f>
        <v>0</v>
      </c>
      <c r="AS231" s="267">
        <f>IF($AL231="",0,'All Ticker P&amp;L'!M231)</f>
        <v>0</v>
      </c>
      <c r="AT231" s="243" t="str">
        <f>IF($AL231="","",RANK(AR231,$AR$2:$AR$1001)+COUNTIF($AR$2:AR231,AR231)-1)</f>
        <v/>
      </c>
      <c r="AU231" s="243" t="str">
        <f>IF($AL231="","",RANK(AV231,$AV$2:$AV$1001)+COUNTIF($AV$2:AV231,AV231)-1)</f>
        <v/>
      </c>
      <c r="AV231" s="266">
        <f t="shared" si="38"/>
        <v>0</v>
      </c>
    </row>
    <row r="232" spans="26:48" ht="15" customHeight="1" x14ac:dyDescent="0.2">
      <c r="Z232" s="243" t="str">
        <f>Shares!A232</f>
        <v/>
      </c>
      <c r="AA232" s="243" t="str">
        <f>Shares!B232</f>
        <v/>
      </c>
      <c r="AB232" s="243" t="str">
        <f>Shares!C232</f>
        <v/>
      </c>
      <c r="AC232" s="243" t="str">
        <f>Shares!D232</f>
        <v/>
      </c>
      <c r="AD232" s="243">
        <f>IF($Z232="",0,Shares!E232)</f>
        <v>0</v>
      </c>
      <c r="AE232" s="266">
        <f>IF($Z232="",0,Shares!J232*Shares!I232)</f>
        <v>0</v>
      </c>
      <c r="AF232" s="267">
        <f t="shared" si="37"/>
        <v>0</v>
      </c>
      <c r="AG232" s="266">
        <f>IF($Z232="",0,Shares!L232)</f>
        <v>0</v>
      </c>
      <c r="AH232" s="267">
        <f>IF($Z232="",0,Shares!M232)</f>
        <v>0</v>
      </c>
      <c r="AI232" s="243" t="str">
        <f>IF($Z232="","",RANK(AE232,$AE$2:$AE$1001)+COUNTIF($AE$2:AE232,AE232)-1)</f>
        <v/>
      </c>
      <c r="AJ232" s="243" t="str">
        <f>IF($AD232&lt;0,COUNT($AJ$1:AJ231)+1,"")</f>
        <v/>
      </c>
      <c r="AL232" s="243" t="str">
        <f>'All Ticker P&amp;L'!A232</f>
        <v/>
      </c>
      <c r="AM232" s="243" t="str">
        <f>'All Ticker P&amp;L'!B232</f>
        <v/>
      </c>
      <c r="AN232" s="243" t="str">
        <f>'All Ticker P&amp;L'!C232</f>
        <v/>
      </c>
      <c r="AO232" s="243" t="str">
        <f>'All Ticker P&amp;L'!D232</f>
        <v/>
      </c>
      <c r="AP232" s="243">
        <f>IF($AL232="",0,'All Ticker P&amp;L'!E232)</f>
        <v>0</v>
      </c>
      <c r="AQ232" s="266">
        <f>IF($AL232="",0,'All Ticker P&amp;L'!J232*'All Ticker P&amp;L'!I232)</f>
        <v>0</v>
      </c>
      <c r="AR232" s="266">
        <f>IF($AL232="",0,'All Ticker P&amp;L'!L232)</f>
        <v>0</v>
      </c>
      <c r="AS232" s="267">
        <f>IF($AL232="",0,'All Ticker P&amp;L'!M232)</f>
        <v>0</v>
      </c>
      <c r="AT232" s="243" t="str">
        <f>IF($AL232="","",RANK(AR232,$AR$2:$AR$1001)+COUNTIF($AR$2:AR232,AR232)-1)</f>
        <v/>
      </c>
      <c r="AU232" s="243" t="str">
        <f>IF($AL232="","",RANK(AV232,$AV$2:$AV$1001)+COUNTIF($AV$2:AV232,AV232)-1)</f>
        <v/>
      </c>
      <c r="AV232" s="266">
        <f t="shared" si="38"/>
        <v>0</v>
      </c>
    </row>
    <row r="233" spans="26:48" ht="15" customHeight="1" x14ac:dyDescent="0.2">
      <c r="Z233" s="243" t="str">
        <f>Shares!A233</f>
        <v/>
      </c>
      <c r="AA233" s="243" t="str">
        <f>Shares!B233</f>
        <v/>
      </c>
      <c r="AB233" s="243" t="str">
        <f>Shares!C233</f>
        <v/>
      </c>
      <c r="AC233" s="243" t="str">
        <f>Shares!D233</f>
        <v/>
      </c>
      <c r="AD233" s="243">
        <f>IF($Z233="",0,Shares!E233)</f>
        <v>0</v>
      </c>
      <c r="AE233" s="266">
        <f>IF($Z233="",0,Shares!J233*Shares!I233)</f>
        <v>0</v>
      </c>
      <c r="AF233" s="267">
        <f t="shared" si="37"/>
        <v>0</v>
      </c>
      <c r="AG233" s="266">
        <f>IF($Z233="",0,Shares!L233)</f>
        <v>0</v>
      </c>
      <c r="AH233" s="267">
        <f>IF($Z233="",0,Shares!M233)</f>
        <v>0</v>
      </c>
      <c r="AI233" s="243" t="str">
        <f>IF($Z233="","",RANK(AE233,$AE$2:$AE$1001)+COUNTIF($AE$2:AE233,AE233)-1)</f>
        <v/>
      </c>
      <c r="AJ233" s="243" t="str">
        <f>IF($AD233&lt;0,COUNT($AJ$1:AJ232)+1,"")</f>
        <v/>
      </c>
      <c r="AL233" s="243" t="str">
        <f>'All Ticker P&amp;L'!A233</f>
        <v/>
      </c>
      <c r="AM233" s="243" t="str">
        <f>'All Ticker P&amp;L'!B233</f>
        <v/>
      </c>
      <c r="AN233" s="243" t="str">
        <f>'All Ticker P&amp;L'!C233</f>
        <v/>
      </c>
      <c r="AO233" s="243" t="str">
        <f>'All Ticker P&amp;L'!D233</f>
        <v/>
      </c>
      <c r="AP233" s="243">
        <f>IF($AL233="",0,'All Ticker P&amp;L'!E233)</f>
        <v>0</v>
      </c>
      <c r="AQ233" s="266">
        <f>IF($AL233="",0,'All Ticker P&amp;L'!J233*'All Ticker P&amp;L'!I233)</f>
        <v>0</v>
      </c>
      <c r="AR233" s="266">
        <f>IF($AL233="",0,'All Ticker P&amp;L'!L233)</f>
        <v>0</v>
      </c>
      <c r="AS233" s="267">
        <f>IF($AL233="",0,'All Ticker P&amp;L'!M233)</f>
        <v>0</v>
      </c>
      <c r="AT233" s="243" t="str">
        <f>IF($AL233="","",RANK(AR233,$AR$2:$AR$1001)+COUNTIF($AR$2:AR233,AR233)-1)</f>
        <v/>
      </c>
      <c r="AU233" s="243" t="str">
        <f>IF($AL233="","",RANK(AV233,$AV$2:$AV$1001)+COUNTIF($AV$2:AV233,AV233)-1)</f>
        <v/>
      </c>
      <c r="AV233" s="266">
        <f t="shared" si="38"/>
        <v>0</v>
      </c>
    </row>
    <row r="234" spans="26:48" ht="15" customHeight="1" x14ac:dyDescent="0.2">
      <c r="Z234" s="243" t="str">
        <f>Shares!A234</f>
        <v/>
      </c>
      <c r="AA234" s="243" t="str">
        <f>Shares!B234</f>
        <v/>
      </c>
      <c r="AB234" s="243" t="str">
        <f>Shares!C234</f>
        <v/>
      </c>
      <c r="AC234" s="243" t="str">
        <f>Shares!D234</f>
        <v/>
      </c>
      <c r="AD234" s="243">
        <f>IF($Z234="",0,Shares!E234)</f>
        <v>0</v>
      </c>
      <c r="AE234" s="266">
        <f>IF($Z234="",0,Shares!J234*Shares!I234)</f>
        <v>0</v>
      </c>
      <c r="AF234" s="267">
        <f t="shared" si="37"/>
        <v>0</v>
      </c>
      <c r="AG234" s="266">
        <f>IF($Z234="",0,Shares!L234)</f>
        <v>0</v>
      </c>
      <c r="AH234" s="267">
        <f>IF($Z234="",0,Shares!M234)</f>
        <v>0</v>
      </c>
      <c r="AI234" s="243" t="str">
        <f>IF($Z234="","",RANK(AE234,$AE$2:$AE$1001)+COUNTIF($AE$2:AE234,AE234)-1)</f>
        <v/>
      </c>
      <c r="AJ234" s="243" t="str">
        <f>IF($AD234&lt;0,COUNT($AJ$1:AJ233)+1,"")</f>
        <v/>
      </c>
      <c r="AL234" s="243" t="str">
        <f>'All Ticker P&amp;L'!A234</f>
        <v/>
      </c>
      <c r="AM234" s="243" t="str">
        <f>'All Ticker P&amp;L'!B234</f>
        <v/>
      </c>
      <c r="AN234" s="243" t="str">
        <f>'All Ticker P&amp;L'!C234</f>
        <v/>
      </c>
      <c r="AO234" s="243" t="str">
        <f>'All Ticker P&amp;L'!D234</f>
        <v/>
      </c>
      <c r="AP234" s="243">
        <f>IF($AL234="",0,'All Ticker P&amp;L'!E234)</f>
        <v>0</v>
      </c>
      <c r="AQ234" s="266">
        <f>IF($AL234="",0,'All Ticker P&amp;L'!J234*'All Ticker P&amp;L'!I234)</f>
        <v>0</v>
      </c>
      <c r="AR234" s="266">
        <f>IF($AL234="",0,'All Ticker P&amp;L'!L234)</f>
        <v>0</v>
      </c>
      <c r="AS234" s="267">
        <f>IF($AL234="",0,'All Ticker P&amp;L'!M234)</f>
        <v>0</v>
      </c>
      <c r="AT234" s="243" t="str">
        <f>IF($AL234="","",RANK(AR234,$AR$2:$AR$1001)+COUNTIF($AR$2:AR234,AR234)-1)</f>
        <v/>
      </c>
      <c r="AU234" s="243" t="str">
        <f>IF($AL234="","",RANK(AV234,$AV$2:$AV$1001)+COUNTIF($AV$2:AV234,AV234)-1)</f>
        <v/>
      </c>
      <c r="AV234" s="266">
        <f t="shared" si="38"/>
        <v>0</v>
      </c>
    </row>
    <row r="235" spans="26:48" ht="15" customHeight="1" x14ac:dyDescent="0.2">
      <c r="Z235" s="243" t="str">
        <f>Shares!A235</f>
        <v/>
      </c>
      <c r="AA235" s="243" t="str">
        <f>Shares!B235</f>
        <v/>
      </c>
      <c r="AB235" s="243" t="str">
        <f>Shares!C235</f>
        <v/>
      </c>
      <c r="AC235" s="243" t="str">
        <f>Shares!D235</f>
        <v/>
      </c>
      <c r="AD235" s="243">
        <f>IF($Z235="",0,Shares!E235)</f>
        <v>0</v>
      </c>
      <c r="AE235" s="266">
        <f>IF($Z235="",0,Shares!J235*Shares!I235)</f>
        <v>0</v>
      </c>
      <c r="AF235" s="267">
        <f t="shared" si="37"/>
        <v>0</v>
      </c>
      <c r="AG235" s="266">
        <f>IF($Z235="",0,Shares!L235)</f>
        <v>0</v>
      </c>
      <c r="AH235" s="267">
        <f>IF($Z235="",0,Shares!M235)</f>
        <v>0</v>
      </c>
      <c r="AI235" s="243" t="str">
        <f>IF($Z235="","",RANK(AE235,$AE$2:$AE$1001)+COUNTIF($AE$2:AE235,AE235)-1)</f>
        <v/>
      </c>
      <c r="AJ235" s="243" t="str">
        <f>IF($AD235&lt;0,COUNT($AJ$1:AJ234)+1,"")</f>
        <v/>
      </c>
      <c r="AL235" s="243" t="str">
        <f>'All Ticker P&amp;L'!A235</f>
        <v/>
      </c>
      <c r="AM235" s="243" t="str">
        <f>'All Ticker P&amp;L'!B235</f>
        <v/>
      </c>
      <c r="AN235" s="243" t="str">
        <f>'All Ticker P&amp;L'!C235</f>
        <v/>
      </c>
      <c r="AO235" s="243" t="str">
        <f>'All Ticker P&amp;L'!D235</f>
        <v/>
      </c>
      <c r="AP235" s="243">
        <f>IF($AL235="",0,'All Ticker P&amp;L'!E235)</f>
        <v>0</v>
      </c>
      <c r="AQ235" s="266">
        <f>IF($AL235="",0,'All Ticker P&amp;L'!J235*'All Ticker P&amp;L'!I235)</f>
        <v>0</v>
      </c>
      <c r="AR235" s="266">
        <f>IF($AL235="",0,'All Ticker P&amp;L'!L235)</f>
        <v>0</v>
      </c>
      <c r="AS235" s="267">
        <f>IF($AL235="",0,'All Ticker P&amp;L'!M235)</f>
        <v>0</v>
      </c>
      <c r="AT235" s="243" t="str">
        <f>IF($AL235="","",RANK(AR235,$AR$2:$AR$1001)+COUNTIF($AR$2:AR235,AR235)-1)</f>
        <v/>
      </c>
      <c r="AU235" s="243" t="str">
        <f>IF($AL235="","",RANK(AV235,$AV$2:$AV$1001)+COUNTIF($AV$2:AV235,AV235)-1)</f>
        <v/>
      </c>
      <c r="AV235" s="266">
        <f t="shared" si="38"/>
        <v>0</v>
      </c>
    </row>
    <row r="236" spans="26:48" ht="15" customHeight="1" x14ac:dyDescent="0.2">
      <c r="Z236" s="243" t="str">
        <f>Shares!A236</f>
        <v/>
      </c>
      <c r="AA236" s="243" t="str">
        <f>Shares!B236</f>
        <v/>
      </c>
      <c r="AB236" s="243" t="str">
        <f>Shares!C236</f>
        <v/>
      </c>
      <c r="AC236" s="243" t="str">
        <f>Shares!D236</f>
        <v/>
      </c>
      <c r="AD236" s="243">
        <f>IF($Z236="",0,Shares!E236)</f>
        <v>0</v>
      </c>
      <c r="AE236" s="266">
        <f>IF($Z236="",0,Shares!J236*Shares!I236)</f>
        <v>0</v>
      </c>
      <c r="AF236" s="267">
        <f t="shared" si="37"/>
        <v>0</v>
      </c>
      <c r="AG236" s="266">
        <f>IF($Z236="",0,Shares!L236)</f>
        <v>0</v>
      </c>
      <c r="AH236" s="267">
        <f>IF($Z236="",0,Shares!M236)</f>
        <v>0</v>
      </c>
      <c r="AI236" s="243" t="str">
        <f>IF($Z236="","",RANK(AE236,$AE$2:$AE$1001)+COUNTIF($AE$2:AE236,AE236)-1)</f>
        <v/>
      </c>
      <c r="AJ236" s="243" t="str">
        <f>IF($AD236&lt;0,COUNT($AJ$1:AJ235)+1,"")</f>
        <v/>
      </c>
      <c r="AL236" s="243" t="str">
        <f>'All Ticker P&amp;L'!A236</f>
        <v/>
      </c>
      <c r="AM236" s="243" t="str">
        <f>'All Ticker P&amp;L'!B236</f>
        <v/>
      </c>
      <c r="AN236" s="243" t="str">
        <f>'All Ticker P&amp;L'!C236</f>
        <v/>
      </c>
      <c r="AO236" s="243" t="str">
        <f>'All Ticker P&amp;L'!D236</f>
        <v/>
      </c>
      <c r="AP236" s="243">
        <f>IF($AL236="",0,'All Ticker P&amp;L'!E236)</f>
        <v>0</v>
      </c>
      <c r="AQ236" s="266">
        <f>IF($AL236="",0,'All Ticker P&amp;L'!J236*'All Ticker P&amp;L'!I236)</f>
        <v>0</v>
      </c>
      <c r="AR236" s="266">
        <f>IF($AL236="",0,'All Ticker P&amp;L'!L236)</f>
        <v>0</v>
      </c>
      <c r="AS236" s="267">
        <f>IF($AL236="",0,'All Ticker P&amp;L'!M236)</f>
        <v>0</v>
      </c>
      <c r="AT236" s="243" t="str">
        <f>IF($AL236="","",RANK(AR236,$AR$2:$AR$1001)+COUNTIF($AR$2:AR236,AR236)-1)</f>
        <v/>
      </c>
      <c r="AU236" s="243" t="str">
        <f>IF($AL236="","",RANK(AV236,$AV$2:$AV$1001)+COUNTIF($AV$2:AV236,AV236)-1)</f>
        <v/>
      </c>
      <c r="AV236" s="266">
        <f t="shared" si="38"/>
        <v>0</v>
      </c>
    </row>
    <row r="237" spans="26:48" ht="15" customHeight="1" x14ac:dyDescent="0.2">
      <c r="Z237" s="243" t="str">
        <f>Shares!A237</f>
        <v/>
      </c>
      <c r="AA237" s="243" t="str">
        <f>Shares!B237</f>
        <v/>
      </c>
      <c r="AB237" s="243" t="str">
        <f>Shares!C237</f>
        <v/>
      </c>
      <c r="AC237" s="243" t="str">
        <f>Shares!D237</f>
        <v/>
      </c>
      <c r="AD237" s="243">
        <f>IF($Z237="",0,Shares!E237)</f>
        <v>0</v>
      </c>
      <c r="AE237" s="266">
        <f>IF($Z237="",0,Shares!J237*Shares!I237)</f>
        <v>0</v>
      </c>
      <c r="AF237" s="267">
        <f t="shared" si="37"/>
        <v>0</v>
      </c>
      <c r="AG237" s="266">
        <f>IF($Z237="",0,Shares!L237)</f>
        <v>0</v>
      </c>
      <c r="AH237" s="267">
        <f>IF($Z237="",0,Shares!M237)</f>
        <v>0</v>
      </c>
      <c r="AI237" s="243" t="str">
        <f>IF($Z237="","",RANK(AE237,$AE$2:$AE$1001)+COUNTIF($AE$2:AE237,AE237)-1)</f>
        <v/>
      </c>
      <c r="AJ237" s="243" t="str">
        <f>IF($AD237&lt;0,COUNT($AJ$1:AJ236)+1,"")</f>
        <v/>
      </c>
      <c r="AL237" s="243" t="str">
        <f>'All Ticker P&amp;L'!A237</f>
        <v/>
      </c>
      <c r="AM237" s="243" t="str">
        <f>'All Ticker P&amp;L'!B237</f>
        <v/>
      </c>
      <c r="AN237" s="243" t="str">
        <f>'All Ticker P&amp;L'!C237</f>
        <v/>
      </c>
      <c r="AO237" s="243" t="str">
        <f>'All Ticker P&amp;L'!D237</f>
        <v/>
      </c>
      <c r="AP237" s="243">
        <f>IF($AL237="",0,'All Ticker P&amp;L'!E237)</f>
        <v>0</v>
      </c>
      <c r="AQ237" s="266">
        <f>IF($AL237="",0,'All Ticker P&amp;L'!J237*'All Ticker P&amp;L'!I237)</f>
        <v>0</v>
      </c>
      <c r="AR237" s="266">
        <f>IF($AL237="",0,'All Ticker P&amp;L'!L237)</f>
        <v>0</v>
      </c>
      <c r="AS237" s="267">
        <f>IF($AL237="",0,'All Ticker P&amp;L'!M237)</f>
        <v>0</v>
      </c>
      <c r="AT237" s="243" t="str">
        <f>IF($AL237="","",RANK(AR237,$AR$2:$AR$1001)+COUNTIF($AR$2:AR237,AR237)-1)</f>
        <v/>
      </c>
      <c r="AU237" s="243" t="str">
        <f>IF($AL237="","",RANK(AV237,$AV$2:$AV$1001)+COUNTIF($AV$2:AV237,AV237)-1)</f>
        <v/>
      </c>
      <c r="AV237" s="266">
        <f t="shared" si="38"/>
        <v>0</v>
      </c>
    </row>
    <row r="238" spans="26:48" ht="15" customHeight="1" x14ac:dyDescent="0.2">
      <c r="Z238" s="243" t="str">
        <f>Shares!A238</f>
        <v/>
      </c>
      <c r="AA238" s="243" t="str">
        <f>Shares!B238</f>
        <v/>
      </c>
      <c r="AB238" s="243" t="str">
        <f>Shares!C238</f>
        <v/>
      </c>
      <c r="AC238" s="243" t="str">
        <f>Shares!D238</f>
        <v/>
      </c>
      <c r="AD238" s="243">
        <f>IF($Z238="",0,Shares!E238)</f>
        <v>0</v>
      </c>
      <c r="AE238" s="266">
        <f>IF($Z238="",0,Shares!J238*Shares!I238)</f>
        <v>0</v>
      </c>
      <c r="AF238" s="267">
        <f t="shared" si="37"/>
        <v>0</v>
      </c>
      <c r="AG238" s="266">
        <f>IF($Z238="",0,Shares!L238)</f>
        <v>0</v>
      </c>
      <c r="AH238" s="267">
        <f>IF($Z238="",0,Shares!M238)</f>
        <v>0</v>
      </c>
      <c r="AI238" s="243" t="str">
        <f>IF($Z238="","",RANK(AE238,$AE$2:$AE$1001)+COUNTIF($AE$2:AE238,AE238)-1)</f>
        <v/>
      </c>
      <c r="AJ238" s="243" t="str">
        <f>IF($AD238&lt;0,COUNT($AJ$1:AJ237)+1,"")</f>
        <v/>
      </c>
      <c r="AL238" s="243" t="str">
        <f>'All Ticker P&amp;L'!A238</f>
        <v/>
      </c>
      <c r="AM238" s="243" t="str">
        <f>'All Ticker P&amp;L'!B238</f>
        <v/>
      </c>
      <c r="AN238" s="243" t="str">
        <f>'All Ticker P&amp;L'!C238</f>
        <v/>
      </c>
      <c r="AO238" s="243" t="str">
        <f>'All Ticker P&amp;L'!D238</f>
        <v/>
      </c>
      <c r="AP238" s="243">
        <f>IF($AL238="",0,'All Ticker P&amp;L'!E238)</f>
        <v>0</v>
      </c>
      <c r="AQ238" s="266">
        <f>IF($AL238="",0,'All Ticker P&amp;L'!J238*'All Ticker P&amp;L'!I238)</f>
        <v>0</v>
      </c>
      <c r="AR238" s="266">
        <f>IF($AL238="",0,'All Ticker P&amp;L'!L238)</f>
        <v>0</v>
      </c>
      <c r="AS238" s="267">
        <f>IF($AL238="",0,'All Ticker P&amp;L'!M238)</f>
        <v>0</v>
      </c>
      <c r="AT238" s="243" t="str">
        <f>IF($AL238="","",RANK(AR238,$AR$2:$AR$1001)+COUNTIF($AR$2:AR238,AR238)-1)</f>
        <v/>
      </c>
      <c r="AU238" s="243" t="str">
        <f>IF($AL238="","",RANK(AV238,$AV$2:$AV$1001)+COUNTIF($AV$2:AV238,AV238)-1)</f>
        <v/>
      </c>
      <c r="AV238" s="266">
        <f t="shared" si="38"/>
        <v>0</v>
      </c>
    </row>
    <row r="239" spans="26:48" ht="15" customHeight="1" x14ac:dyDescent="0.2">
      <c r="Z239" s="243" t="str">
        <f>Shares!A239</f>
        <v/>
      </c>
      <c r="AA239" s="243" t="str">
        <f>Shares!B239</f>
        <v/>
      </c>
      <c r="AB239" s="243" t="str">
        <f>Shares!C239</f>
        <v/>
      </c>
      <c r="AC239" s="243" t="str">
        <f>Shares!D239</f>
        <v/>
      </c>
      <c r="AD239" s="243">
        <f>IF($Z239="",0,Shares!E239)</f>
        <v>0</v>
      </c>
      <c r="AE239" s="266">
        <f>IF($Z239="",0,Shares!J239*Shares!I239)</f>
        <v>0</v>
      </c>
      <c r="AF239" s="267">
        <f t="shared" si="37"/>
        <v>0</v>
      </c>
      <c r="AG239" s="266">
        <f>IF($Z239="",0,Shares!L239)</f>
        <v>0</v>
      </c>
      <c r="AH239" s="267">
        <f>IF($Z239="",0,Shares!M239)</f>
        <v>0</v>
      </c>
      <c r="AI239" s="243" t="str">
        <f>IF($Z239="","",RANK(AE239,$AE$2:$AE$1001)+COUNTIF($AE$2:AE239,AE239)-1)</f>
        <v/>
      </c>
      <c r="AJ239" s="243" t="str">
        <f>IF($AD239&lt;0,COUNT($AJ$1:AJ238)+1,"")</f>
        <v/>
      </c>
      <c r="AL239" s="243" t="str">
        <f>'All Ticker P&amp;L'!A239</f>
        <v/>
      </c>
      <c r="AM239" s="243" t="str">
        <f>'All Ticker P&amp;L'!B239</f>
        <v/>
      </c>
      <c r="AN239" s="243" t="str">
        <f>'All Ticker P&amp;L'!C239</f>
        <v/>
      </c>
      <c r="AO239" s="243" t="str">
        <f>'All Ticker P&amp;L'!D239</f>
        <v/>
      </c>
      <c r="AP239" s="243">
        <f>IF($AL239="",0,'All Ticker P&amp;L'!E239)</f>
        <v>0</v>
      </c>
      <c r="AQ239" s="266">
        <f>IF($AL239="",0,'All Ticker P&amp;L'!J239*'All Ticker P&amp;L'!I239)</f>
        <v>0</v>
      </c>
      <c r="AR239" s="266">
        <f>IF($AL239="",0,'All Ticker P&amp;L'!L239)</f>
        <v>0</v>
      </c>
      <c r="AS239" s="267">
        <f>IF($AL239="",0,'All Ticker P&amp;L'!M239)</f>
        <v>0</v>
      </c>
      <c r="AT239" s="243" t="str">
        <f>IF($AL239="","",RANK(AR239,$AR$2:$AR$1001)+COUNTIF($AR$2:AR239,AR239)-1)</f>
        <v/>
      </c>
      <c r="AU239" s="243" t="str">
        <f>IF($AL239="","",RANK(AV239,$AV$2:$AV$1001)+COUNTIF($AV$2:AV239,AV239)-1)</f>
        <v/>
      </c>
      <c r="AV239" s="266">
        <f t="shared" si="38"/>
        <v>0</v>
      </c>
    </row>
    <row r="240" spans="26:48" ht="15" customHeight="1" x14ac:dyDescent="0.2">
      <c r="Z240" s="243" t="str">
        <f>Shares!A240</f>
        <v/>
      </c>
      <c r="AA240" s="243" t="str">
        <f>Shares!B240</f>
        <v/>
      </c>
      <c r="AB240" s="243" t="str">
        <f>Shares!C240</f>
        <v/>
      </c>
      <c r="AC240" s="243" t="str">
        <f>Shares!D240</f>
        <v/>
      </c>
      <c r="AD240" s="243">
        <f>IF($Z240="",0,Shares!E240)</f>
        <v>0</v>
      </c>
      <c r="AE240" s="266">
        <f>IF($Z240="",0,Shares!J240*Shares!I240)</f>
        <v>0</v>
      </c>
      <c r="AF240" s="267">
        <f t="shared" si="37"/>
        <v>0</v>
      </c>
      <c r="AG240" s="266">
        <f>IF($Z240="",0,Shares!L240)</f>
        <v>0</v>
      </c>
      <c r="AH240" s="267">
        <f>IF($Z240="",0,Shares!M240)</f>
        <v>0</v>
      </c>
      <c r="AI240" s="243" t="str">
        <f>IF($Z240="","",RANK(AE240,$AE$2:$AE$1001)+COUNTIF($AE$2:AE240,AE240)-1)</f>
        <v/>
      </c>
      <c r="AJ240" s="243" t="str">
        <f>IF($AD240&lt;0,COUNT($AJ$1:AJ239)+1,"")</f>
        <v/>
      </c>
      <c r="AL240" s="243" t="str">
        <f>'All Ticker P&amp;L'!A240</f>
        <v/>
      </c>
      <c r="AM240" s="243" t="str">
        <f>'All Ticker P&amp;L'!B240</f>
        <v/>
      </c>
      <c r="AN240" s="243" t="str">
        <f>'All Ticker P&amp;L'!C240</f>
        <v/>
      </c>
      <c r="AO240" s="243" t="str">
        <f>'All Ticker P&amp;L'!D240</f>
        <v/>
      </c>
      <c r="AP240" s="243">
        <f>IF($AL240="",0,'All Ticker P&amp;L'!E240)</f>
        <v>0</v>
      </c>
      <c r="AQ240" s="266">
        <f>IF($AL240="",0,'All Ticker P&amp;L'!J240*'All Ticker P&amp;L'!I240)</f>
        <v>0</v>
      </c>
      <c r="AR240" s="266">
        <f>IF($AL240="",0,'All Ticker P&amp;L'!L240)</f>
        <v>0</v>
      </c>
      <c r="AS240" s="267">
        <f>IF($AL240="",0,'All Ticker P&amp;L'!M240)</f>
        <v>0</v>
      </c>
      <c r="AT240" s="243" t="str">
        <f>IF($AL240="","",RANK(AR240,$AR$2:$AR$1001)+COUNTIF($AR$2:AR240,AR240)-1)</f>
        <v/>
      </c>
      <c r="AU240" s="243" t="str">
        <f>IF($AL240="","",RANK(AV240,$AV$2:$AV$1001)+COUNTIF($AV$2:AV240,AV240)-1)</f>
        <v/>
      </c>
      <c r="AV240" s="266">
        <f t="shared" si="38"/>
        <v>0</v>
      </c>
    </row>
    <row r="241" spans="26:48" ht="15" customHeight="1" x14ac:dyDescent="0.2">
      <c r="Z241" s="243" t="str">
        <f>Shares!A241</f>
        <v/>
      </c>
      <c r="AA241" s="243" t="str">
        <f>Shares!B241</f>
        <v/>
      </c>
      <c r="AB241" s="243" t="str">
        <f>Shares!C241</f>
        <v/>
      </c>
      <c r="AC241" s="243" t="str">
        <f>Shares!D241</f>
        <v/>
      </c>
      <c r="AD241" s="243">
        <f>IF($Z241="",0,Shares!E241)</f>
        <v>0</v>
      </c>
      <c r="AE241" s="266">
        <f>IF($Z241="",0,Shares!J241*Shares!I241)</f>
        <v>0</v>
      </c>
      <c r="AF241" s="267">
        <f t="shared" si="37"/>
        <v>0</v>
      </c>
      <c r="AG241" s="266">
        <f>IF($Z241="",0,Shares!L241)</f>
        <v>0</v>
      </c>
      <c r="AH241" s="267">
        <f>IF($Z241="",0,Shares!M241)</f>
        <v>0</v>
      </c>
      <c r="AI241" s="243" t="str">
        <f>IF($Z241="","",RANK(AE241,$AE$2:$AE$1001)+COUNTIF($AE$2:AE241,AE241)-1)</f>
        <v/>
      </c>
      <c r="AJ241" s="243" t="str">
        <f>IF($AD241&lt;0,COUNT($AJ$1:AJ240)+1,"")</f>
        <v/>
      </c>
      <c r="AL241" s="243" t="str">
        <f>'All Ticker P&amp;L'!A241</f>
        <v/>
      </c>
      <c r="AM241" s="243" t="str">
        <f>'All Ticker P&amp;L'!B241</f>
        <v/>
      </c>
      <c r="AN241" s="243" t="str">
        <f>'All Ticker P&amp;L'!C241</f>
        <v/>
      </c>
      <c r="AO241" s="243" t="str">
        <f>'All Ticker P&amp;L'!D241</f>
        <v/>
      </c>
      <c r="AP241" s="243">
        <f>IF($AL241="",0,'All Ticker P&amp;L'!E241)</f>
        <v>0</v>
      </c>
      <c r="AQ241" s="266">
        <f>IF($AL241="",0,'All Ticker P&amp;L'!J241*'All Ticker P&amp;L'!I241)</f>
        <v>0</v>
      </c>
      <c r="AR241" s="266">
        <f>IF($AL241="",0,'All Ticker P&amp;L'!L241)</f>
        <v>0</v>
      </c>
      <c r="AS241" s="267">
        <f>IF($AL241="",0,'All Ticker P&amp;L'!M241)</f>
        <v>0</v>
      </c>
      <c r="AT241" s="243" t="str">
        <f>IF($AL241="","",RANK(AR241,$AR$2:$AR$1001)+COUNTIF($AR$2:AR241,AR241)-1)</f>
        <v/>
      </c>
      <c r="AU241" s="243" t="str">
        <f>IF($AL241="","",RANK(AV241,$AV$2:$AV$1001)+COUNTIF($AV$2:AV241,AV241)-1)</f>
        <v/>
      </c>
      <c r="AV241" s="266">
        <f t="shared" si="38"/>
        <v>0</v>
      </c>
    </row>
    <row r="242" spans="26:48" ht="15" customHeight="1" x14ac:dyDescent="0.2">
      <c r="Z242" s="243" t="str">
        <f>Shares!A242</f>
        <v/>
      </c>
      <c r="AA242" s="243" t="str">
        <f>Shares!B242</f>
        <v/>
      </c>
      <c r="AB242" s="243" t="str">
        <f>Shares!C242</f>
        <v/>
      </c>
      <c r="AC242" s="243" t="str">
        <f>Shares!D242</f>
        <v/>
      </c>
      <c r="AD242" s="243">
        <f>IF($Z242="",0,Shares!E242)</f>
        <v>0</v>
      </c>
      <c r="AE242" s="266">
        <f>IF($Z242="",0,Shares!J242*Shares!I242)</f>
        <v>0</v>
      </c>
      <c r="AF242" s="267">
        <f t="shared" si="37"/>
        <v>0</v>
      </c>
      <c r="AG242" s="266">
        <f>IF($Z242="",0,Shares!L242)</f>
        <v>0</v>
      </c>
      <c r="AH242" s="267">
        <f>IF($Z242="",0,Shares!M242)</f>
        <v>0</v>
      </c>
      <c r="AI242" s="243" t="str">
        <f>IF($Z242="","",RANK(AE242,$AE$2:$AE$1001)+COUNTIF($AE$2:AE242,AE242)-1)</f>
        <v/>
      </c>
      <c r="AJ242" s="243" t="str">
        <f>IF($AD242&lt;0,COUNT($AJ$1:AJ241)+1,"")</f>
        <v/>
      </c>
      <c r="AL242" s="243" t="str">
        <f>'All Ticker P&amp;L'!A242</f>
        <v/>
      </c>
      <c r="AM242" s="243" t="str">
        <f>'All Ticker P&amp;L'!B242</f>
        <v/>
      </c>
      <c r="AN242" s="243" t="str">
        <f>'All Ticker P&amp;L'!C242</f>
        <v/>
      </c>
      <c r="AO242" s="243" t="str">
        <f>'All Ticker P&amp;L'!D242</f>
        <v/>
      </c>
      <c r="AP242" s="243">
        <f>IF($AL242="",0,'All Ticker P&amp;L'!E242)</f>
        <v>0</v>
      </c>
      <c r="AQ242" s="266">
        <f>IF($AL242="",0,'All Ticker P&amp;L'!J242*'All Ticker P&amp;L'!I242)</f>
        <v>0</v>
      </c>
      <c r="AR242" s="266">
        <f>IF($AL242="",0,'All Ticker P&amp;L'!L242)</f>
        <v>0</v>
      </c>
      <c r="AS242" s="267">
        <f>IF($AL242="",0,'All Ticker P&amp;L'!M242)</f>
        <v>0</v>
      </c>
      <c r="AT242" s="243" t="str">
        <f>IF($AL242="","",RANK(AR242,$AR$2:$AR$1001)+COUNTIF($AR$2:AR242,AR242)-1)</f>
        <v/>
      </c>
      <c r="AU242" s="243" t="str">
        <f>IF($AL242="","",RANK(AV242,$AV$2:$AV$1001)+COUNTIF($AV$2:AV242,AV242)-1)</f>
        <v/>
      </c>
      <c r="AV242" s="266">
        <f t="shared" si="38"/>
        <v>0</v>
      </c>
    </row>
    <row r="243" spans="26:48" ht="15" customHeight="1" x14ac:dyDescent="0.2">
      <c r="Z243" s="243" t="str">
        <f>Shares!A243</f>
        <v/>
      </c>
      <c r="AA243" s="243" t="str">
        <f>Shares!B243</f>
        <v/>
      </c>
      <c r="AB243" s="243" t="str">
        <f>Shares!C243</f>
        <v/>
      </c>
      <c r="AC243" s="243" t="str">
        <f>Shares!D243</f>
        <v/>
      </c>
      <c r="AD243" s="243">
        <f>IF($Z243="",0,Shares!E243)</f>
        <v>0</v>
      </c>
      <c r="AE243" s="266">
        <f>IF($Z243="",0,Shares!J243*Shares!I243)</f>
        <v>0</v>
      </c>
      <c r="AF243" s="267">
        <f t="shared" si="37"/>
        <v>0</v>
      </c>
      <c r="AG243" s="266">
        <f>IF($Z243="",0,Shares!L243)</f>
        <v>0</v>
      </c>
      <c r="AH243" s="267">
        <f>IF($Z243="",0,Shares!M243)</f>
        <v>0</v>
      </c>
      <c r="AI243" s="243" t="str">
        <f>IF($Z243="","",RANK(AE243,$AE$2:$AE$1001)+COUNTIF($AE$2:AE243,AE243)-1)</f>
        <v/>
      </c>
      <c r="AJ243" s="243" t="str">
        <f>IF($AD243&lt;0,COUNT($AJ$1:AJ242)+1,"")</f>
        <v/>
      </c>
      <c r="AL243" s="243" t="str">
        <f>'All Ticker P&amp;L'!A243</f>
        <v/>
      </c>
      <c r="AM243" s="243" t="str">
        <f>'All Ticker P&amp;L'!B243</f>
        <v/>
      </c>
      <c r="AN243" s="243" t="str">
        <f>'All Ticker P&amp;L'!C243</f>
        <v/>
      </c>
      <c r="AO243" s="243" t="str">
        <f>'All Ticker P&amp;L'!D243</f>
        <v/>
      </c>
      <c r="AP243" s="243">
        <f>IF($AL243="",0,'All Ticker P&amp;L'!E243)</f>
        <v>0</v>
      </c>
      <c r="AQ243" s="266">
        <f>IF($AL243="",0,'All Ticker P&amp;L'!J243*'All Ticker P&amp;L'!I243)</f>
        <v>0</v>
      </c>
      <c r="AR243" s="266">
        <f>IF($AL243="",0,'All Ticker P&amp;L'!L243)</f>
        <v>0</v>
      </c>
      <c r="AS243" s="267">
        <f>IF($AL243="",0,'All Ticker P&amp;L'!M243)</f>
        <v>0</v>
      </c>
      <c r="AT243" s="243" t="str">
        <f>IF($AL243="","",RANK(AR243,$AR$2:$AR$1001)+COUNTIF($AR$2:AR243,AR243)-1)</f>
        <v/>
      </c>
      <c r="AU243" s="243" t="str">
        <f>IF($AL243="","",RANK(AV243,$AV$2:$AV$1001)+COUNTIF($AV$2:AV243,AV243)-1)</f>
        <v/>
      </c>
      <c r="AV243" s="266">
        <f t="shared" si="38"/>
        <v>0</v>
      </c>
    </row>
    <row r="244" spans="26:48" ht="15" customHeight="1" x14ac:dyDescent="0.2">
      <c r="Z244" s="243" t="str">
        <f>Shares!A244</f>
        <v/>
      </c>
      <c r="AA244" s="243" t="str">
        <f>Shares!B244</f>
        <v/>
      </c>
      <c r="AB244" s="243" t="str">
        <f>Shares!C244</f>
        <v/>
      </c>
      <c r="AC244" s="243" t="str">
        <f>Shares!D244</f>
        <v/>
      </c>
      <c r="AD244" s="243">
        <f>IF($Z244="",0,Shares!E244)</f>
        <v>0</v>
      </c>
      <c r="AE244" s="266">
        <f>IF($Z244="",0,Shares!J244*Shares!I244)</f>
        <v>0</v>
      </c>
      <c r="AF244" s="267">
        <f t="shared" si="37"/>
        <v>0</v>
      </c>
      <c r="AG244" s="266">
        <f>IF($Z244="",0,Shares!L244)</f>
        <v>0</v>
      </c>
      <c r="AH244" s="267">
        <f>IF($Z244="",0,Shares!M244)</f>
        <v>0</v>
      </c>
      <c r="AI244" s="243" t="str">
        <f>IF($Z244="","",RANK(AE244,$AE$2:$AE$1001)+COUNTIF($AE$2:AE244,AE244)-1)</f>
        <v/>
      </c>
      <c r="AJ244" s="243" t="str">
        <f>IF($AD244&lt;0,COUNT($AJ$1:AJ243)+1,"")</f>
        <v/>
      </c>
      <c r="AL244" s="243" t="str">
        <f>'All Ticker P&amp;L'!A244</f>
        <v/>
      </c>
      <c r="AM244" s="243" t="str">
        <f>'All Ticker P&amp;L'!B244</f>
        <v/>
      </c>
      <c r="AN244" s="243" t="str">
        <f>'All Ticker P&amp;L'!C244</f>
        <v/>
      </c>
      <c r="AO244" s="243" t="str">
        <f>'All Ticker P&amp;L'!D244</f>
        <v/>
      </c>
      <c r="AP244" s="243">
        <f>IF($AL244="",0,'All Ticker P&amp;L'!E244)</f>
        <v>0</v>
      </c>
      <c r="AQ244" s="266">
        <f>IF($AL244="",0,'All Ticker P&amp;L'!J244*'All Ticker P&amp;L'!I244)</f>
        <v>0</v>
      </c>
      <c r="AR244" s="266">
        <f>IF($AL244="",0,'All Ticker P&amp;L'!L244)</f>
        <v>0</v>
      </c>
      <c r="AS244" s="267">
        <f>IF($AL244="",0,'All Ticker P&amp;L'!M244)</f>
        <v>0</v>
      </c>
      <c r="AT244" s="243" t="str">
        <f>IF($AL244="","",RANK(AR244,$AR$2:$AR$1001)+COUNTIF($AR$2:AR244,AR244)-1)</f>
        <v/>
      </c>
      <c r="AU244" s="243" t="str">
        <f>IF($AL244="","",RANK(AV244,$AV$2:$AV$1001)+COUNTIF($AV$2:AV244,AV244)-1)</f>
        <v/>
      </c>
      <c r="AV244" s="266">
        <f t="shared" si="38"/>
        <v>0</v>
      </c>
    </row>
    <row r="245" spans="26:48" ht="15" customHeight="1" x14ac:dyDescent="0.2">
      <c r="Z245" s="243" t="str">
        <f>Shares!A245</f>
        <v/>
      </c>
      <c r="AA245" s="243" t="str">
        <f>Shares!B245</f>
        <v/>
      </c>
      <c r="AB245" s="243" t="str">
        <f>Shares!C245</f>
        <v/>
      </c>
      <c r="AC245" s="243" t="str">
        <f>Shares!D245</f>
        <v/>
      </c>
      <c r="AD245" s="243">
        <f>IF($Z245="",0,Shares!E245)</f>
        <v>0</v>
      </c>
      <c r="AE245" s="266">
        <f>IF($Z245="",0,Shares!J245*Shares!I245)</f>
        <v>0</v>
      </c>
      <c r="AF245" s="267">
        <f t="shared" si="37"/>
        <v>0</v>
      </c>
      <c r="AG245" s="266">
        <f>IF($Z245="",0,Shares!L245)</f>
        <v>0</v>
      </c>
      <c r="AH245" s="267">
        <f>IF($Z245="",0,Shares!M245)</f>
        <v>0</v>
      </c>
      <c r="AI245" s="243" t="str">
        <f>IF($Z245="","",RANK(AE245,$AE$2:$AE$1001)+COUNTIF($AE$2:AE245,AE245)-1)</f>
        <v/>
      </c>
      <c r="AJ245" s="243" t="str">
        <f>IF($AD245&lt;0,COUNT($AJ$1:AJ244)+1,"")</f>
        <v/>
      </c>
      <c r="AL245" s="243" t="str">
        <f>'All Ticker P&amp;L'!A245</f>
        <v/>
      </c>
      <c r="AM245" s="243" t="str">
        <f>'All Ticker P&amp;L'!B245</f>
        <v/>
      </c>
      <c r="AN245" s="243" t="str">
        <f>'All Ticker P&amp;L'!C245</f>
        <v/>
      </c>
      <c r="AO245" s="243" t="str">
        <f>'All Ticker P&amp;L'!D245</f>
        <v/>
      </c>
      <c r="AP245" s="243">
        <f>IF($AL245="",0,'All Ticker P&amp;L'!E245)</f>
        <v>0</v>
      </c>
      <c r="AQ245" s="266">
        <f>IF($AL245="",0,'All Ticker P&amp;L'!J245*'All Ticker P&amp;L'!I245)</f>
        <v>0</v>
      </c>
      <c r="AR245" s="266">
        <f>IF($AL245="",0,'All Ticker P&amp;L'!L245)</f>
        <v>0</v>
      </c>
      <c r="AS245" s="267">
        <f>IF($AL245="",0,'All Ticker P&amp;L'!M245)</f>
        <v>0</v>
      </c>
      <c r="AT245" s="243" t="str">
        <f>IF($AL245="","",RANK(AR245,$AR$2:$AR$1001)+COUNTIF($AR$2:AR245,AR245)-1)</f>
        <v/>
      </c>
      <c r="AU245" s="243" t="str">
        <f>IF($AL245="","",RANK(AV245,$AV$2:$AV$1001)+COUNTIF($AV$2:AV245,AV245)-1)</f>
        <v/>
      </c>
      <c r="AV245" s="266">
        <f t="shared" si="38"/>
        <v>0</v>
      </c>
    </row>
    <row r="246" spans="26:48" ht="15" customHeight="1" x14ac:dyDescent="0.2">
      <c r="Z246" s="243" t="str">
        <f>Shares!A246</f>
        <v/>
      </c>
      <c r="AA246" s="243" t="str">
        <f>Shares!B246</f>
        <v/>
      </c>
      <c r="AB246" s="243" t="str">
        <f>Shares!C246</f>
        <v/>
      </c>
      <c r="AC246" s="243" t="str">
        <f>Shares!D246</f>
        <v/>
      </c>
      <c r="AD246" s="243">
        <f>IF($Z246="",0,Shares!E246)</f>
        <v>0</v>
      </c>
      <c r="AE246" s="266">
        <f>IF($Z246="",0,Shares!J246*Shares!I246)</f>
        <v>0</v>
      </c>
      <c r="AF246" s="267">
        <f t="shared" si="37"/>
        <v>0</v>
      </c>
      <c r="AG246" s="266">
        <f>IF($Z246="",0,Shares!L246)</f>
        <v>0</v>
      </c>
      <c r="AH246" s="267">
        <f>IF($Z246="",0,Shares!M246)</f>
        <v>0</v>
      </c>
      <c r="AI246" s="243" t="str">
        <f>IF($Z246="","",RANK(AE246,$AE$2:$AE$1001)+COUNTIF($AE$2:AE246,AE246)-1)</f>
        <v/>
      </c>
      <c r="AJ246" s="243" t="str">
        <f>IF($AD246&lt;0,COUNT($AJ$1:AJ245)+1,"")</f>
        <v/>
      </c>
      <c r="AL246" s="243" t="str">
        <f>'All Ticker P&amp;L'!A246</f>
        <v/>
      </c>
      <c r="AM246" s="243" t="str">
        <f>'All Ticker P&amp;L'!B246</f>
        <v/>
      </c>
      <c r="AN246" s="243" t="str">
        <f>'All Ticker P&amp;L'!C246</f>
        <v/>
      </c>
      <c r="AO246" s="243" t="str">
        <f>'All Ticker P&amp;L'!D246</f>
        <v/>
      </c>
      <c r="AP246" s="243">
        <f>IF($AL246="",0,'All Ticker P&amp;L'!E246)</f>
        <v>0</v>
      </c>
      <c r="AQ246" s="266">
        <f>IF($AL246="",0,'All Ticker P&amp;L'!J246*'All Ticker P&amp;L'!I246)</f>
        <v>0</v>
      </c>
      <c r="AR246" s="266">
        <f>IF($AL246="",0,'All Ticker P&amp;L'!L246)</f>
        <v>0</v>
      </c>
      <c r="AS246" s="267">
        <f>IF($AL246="",0,'All Ticker P&amp;L'!M246)</f>
        <v>0</v>
      </c>
      <c r="AT246" s="243" t="str">
        <f>IF($AL246="","",RANK(AR246,$AR$2:$AR$1001)+COUNTIF($AR$2:AR246,AR246)-1)</f>
        <v/>
      </c>
      <c r="AU246" s="243" t="str">
        <f>IF($AL246="","",RANK(AV246,$AV$2:$AV$1001)+COUNTIF($AV$2:AV246,AV246)-1)</f>
        <v/>
      </c>
      <c r="AV246" s="266">
        <f t="shared" si="38"/>
        <v>0</v>
      </c>
    </row>
    <row r="247" spans="26:48" ht="15" customHeight="1" x14ac:dyDescent="0.2">
      <c r="Z247" s="243" t="str">
        <f>Shares!A247</f>
        <v/>
      </c>
      <c r="AA247" s="243" t="str">
        <f>Shares!B247</f>
        <v/>
      </c>
      <c r="AB247" s="243" t="str">
        <f>Shares!C247</f>
        <v/>
      </c>
      <c r="AC247" s="243" t="str">
        <f>Shares!D247</f>
        <v/>
      </c>
      <c r="AD247" s="243">
        <f>IF($Z247="",0,Shares!E247)</f>
        <v>0</v>
      </c>
      <c r="AE247" s="266">
        <f>IF($Z247="",0,Shares!J247*Shares!I247)</f>
        <v>0</v>
      </c>
      <c r="AF247" s="267">
        <f t="shared" si="37"/>
        <v>0</v>
      </c>
      <c r="AG247" s="266">
        <f>IF($Z247="",0,Shares!L247)</f>
        <v>0</v>
      </c>
      <c r="AH247" s="267">
        <f>IF($Z247="",0,Shares!M247)</f>
        <v>0</v>
      </c>
      <c r="AI247" s="243" t="str">
        <f>IF($Z247="","",RANK(AE247,$AE$2:$AE$1001)+COUNTIF($AE$2:AE247,AE247)-1)</f>
        <v/>
      </c>
      <c r="AJ247" s="243" t="str">
        <f>IF($AD247&lt;0,COUNT($AJ$1:AJ246)+1,"")</f>
        <v/>
      </c>
      <c r="AL247" s="243" t="str">
        <f>'All Ticker P&amp;L'!A247</f>
        <v/>
      </c>
      <c r="AM247" s="243" t="str">
        <f>'All Ticker P&amp;L'!B247</f>
        <v/>
      </c>
      <c r="AN247" s="243" t="str">
        <f>'All Ticker P&amp;L'!C247</f>
        <v/>
      </c>
      <c r="AO247" s="243" t="str">
        <f>'All Ticker P&amp;L'!D247</f>
        <v/>
      </c>
      <c r="AP247" s="243">
        <f>IF($AL247="",0,'All Ticker P&amp;L'!E247)</f>
        <v>0</v>
      </c>
      <c r="AQ247" s="266">
        <f>IF($AL247="",0,'All Ticker P&amp;L'!J247*'All Ticker P&amp;L'!I247)</f>
        <v>0</v>
      </c>
      <c r="AR247" s="266">
        <f>IF($AL247="",0,'All Ticker P&amp;L'!L247)</f>
        <v>0</v>
      </c>
      <c r="AS247" s="267">
        <f>IF($AL247="",0,'All Ticker P&amp;L'!M247)</f>
        <v>0</v>
      </c>
      <c r="AT247" s="243" t="str">
        <f>IF($AL247="","",RANK(AR247,$AR$2:$AR$1001)+COUNTIF($AR$2:AR247,AR247)-1)</f>
        <v/>
      </c>
      <c r="AU247" s="243" t="str">
        <f>IF($AL247="","",RANK(AV247,$AV$2:$AV$1001)+COUNTIF($AV$2:AV247,AV247)-1)</f>
        <v/>
      </c>
      <c r="AV247" s="266">
        <f t="shared" si="38"/>
        <v>0</v>
      </c>
    </row>
    <row r="248" spans="26:48" ht="15" customHeight="1" x14ac:dyDescent="0.2">
      <c r="Z248" s="243" t="str">
        <f>Shares!A248</f>
        <v/>
      </c>
      <c r="AA248" s="243" t="str">
        <f>Shares!B248</f>
        <v/>
      </c>
      <c r="AB248" s="243" t="str">
        <f>Shares!C248</f>
        <v/>
      </c>
      <c r="AC248" s="243" t="str">
        <f>Shares!D248</f>
        <v/>
      </c>
      <c r="AD248" s="243">
        <f>IF($Z248="",0,Shares!E248)</f>
        <v>0</v>
      </c>
      <c r="AE248" s="266">
        <f>IF($Z248="",0,Shares!J248*Shares!I248)</f>
        <v>0</v>
      </c>
      <c r="AF248" s="267">
        <f t="shared" si="37"/>
        <v>0</v>
      </c>
      <c r="AG248" s="266">
        <f>IF($Z248="",0,Shares!L248)</f>
        <v>0</v>
      </c>
      <c r="AH248" s="267">
        <f>IF($Z248="",0,Shares!M248)</f>
        <v>0</v>
      </c>
      <c r="AI248" s="243" t="str">
        <f>IF($Z248="","",RANK(AE248,$AE$2:$AE$1001)+COUNTIF($AE$2:AE248,AE248)-1)</f>
        <v/>
      </c>
      <c r="AJ248" s="243" t="str">
        <f>IF($AD248&lt;0,COUNT($AJ$1:AJ247)+1,"")</f>
        <v/>
      </c>
      <c r="AL248" s="243" t="str">
        <f>'All Ticker P&amp;L'!A248</f>
        <v/>
      </c>
      <c r="AM248" s="243" t="str">
        <f>'All Ticker P&amp;L'!B248</f>
        <v/>
      </c>
      <c r="AN248" s="243" t="str">
        <f>'All Ticker P&amp;L'!C248</f>
        <v/>
      </c>
      <c r="AO248" s="243" t="str">
        <f>'All Ticker P&amp;L'!D248</f>
        <v/>
      </c>
      <c r="AP248" s="243">
        <f>IF($AL248="",0,'All Ticker P&amp;L'!E248)</f>
        <v>0</v>
      </c>
      <c r="AQ248" s="266">
        <f>IF($AL248="",0,'All Ticker P&amp;L'!J248*'All Ticker P&amp;L'!I248)</f>
        <v>0</v>
      </c>
      <c r="AR248" s="266">
        <f>IF($AL248="",0,'All Ticker P&amp;L'!L248)</f>
        <v>0</v>
      </c>
      <c r="AS248" s="267">
        <f>IF($AL248="",0,'All Ticker P&amp;L'!M248)</f>
        <v>0</v>
      </c>
      <c r="AT248" s="243" t="str">
        <f>IF($AL248="","",RANK(AR248,$AR$2:$AR$1001)+COUNTIF($AR$2:AR248,AR248)-1)</f>
        <v/>
      </c>
      <c r="AU248" s="243" t="str">
        <f>IF($AL248="","",RANK(AV248,$AV$2:$AV$1001)+COUNTIF($AV$2:AV248,AV248)-1)</f>
        <v/>
      </c>
      <c r="AV248" s="266">
        <f t="shared" si="38"/>
        <v>0</v>
      </c>
    </row>
    <row r="249" spans="26:48" ht="15" customHeight="1" x14ac:dyDescent="0.2">
      <c r="Z249" s="243" t="str">
        <f>Shares!A249</f>
        <v/>
      </c>
      <c r="AA249" s="243" t="str">
        <f>Shares!B249</f>
        <v/>
      </c>
      <c r="AB249" s="243" t="str">
        <f>Shares!C249</f>
        <v/>
      </c>
      <c r="AC249" s="243" t="str">
        <f>Shares!D249</f>
        <v/>
      </c>
      <c r="AD249" s="243">
        <f>IF($Z249="",0,Shares!E249)</f>
        <v>0</v>
      </c>
      <c r="AE249" s="266">
        <f>IF($Z249="",0,Shares!J249*Shares!I249)</f>
        <v>0</v>
      </c>
      <c r="AF249" s="267">
        <f t="shared" si="37"/>
        <v>0</v>
      </c>
      <c r="AG249" s="266">
        <f>IF($Z249="",0,Shares!L249)</f>
        <v>0</v>
      </c>
      <c r="AH249" s="267">
        <f>IF($Z249="",0,Shares!M249)</f>
        <v>0</v>
      </c>
      <c r="AI249" s="243" t="str">
        <f>IF($Z249="","",RANK(AE249,$AE$2:$AE$1001)+COUNTIF($AE$2:AE249,AE249)-1)</f>
        <v/>
      </c>
      <c r="AJ249" s="243" t="str">
        <f>IF($AD249&lt;0,COUNT($AJ$1:AJ248)+1,"")</f>
        <v/>
      </c>
      <c r="AL249" s="243" t="str">
        <f>'All Ticker P&amp;L'!A249</f>
        <v/>
      </c>
      <c r="AM249" s="243" t="str">
        <f>'All Ticker P&amp;L'!B249</f>
        <v/>
      </c>
      <c r="AN249" s="243" t="str">
        <f>'All Ticker P&amp;L'!C249</f>
        <v/>
      </c>
      <c r="AO249" s="243" t="str">
        <f>'All Ticker P&amp;L'!D249</f>
        <v/>
      </c>
      <c r="AP249" s="243">
        <f>IF($AL249="",0,'All Ticker P&amp;L'!E249)</f>
        <v>0</v>
      </c>
      <c r="AQ249" s="266">
        <f>IF($AL249="",0,'All Ticker P&amp;L'!J249*'All Ticker P&amp;L'!I249)</f>
        <v>0</v>
      </c>
      <c r="AR249" s="266">
        <f>IF($AL249="",0,'All Ticker P&amp;L'!L249)</f>
        <v>0</v>
      </c>
      <c r="AS249" s="267">
        <f>IF($AL249="",0,'All Ticker P&amp;L'!M249)</f>
        <v>0</v>
      </c>
      <c r="AT249" s="243" t="str">
        <f>IF($AL249="","",RANK(AR249,$AR$2:$AR$1001)+COUNTIF($AR$2:AR249,AR249)-1)</f>
        <v/>
      </c>
      <c r="AU249" s="243" t="str">
        <f>IF($AL249="","",RANK(AV249,$AV$2:$AV$1001)+COUNTIF($AV$2:AV249,AV249)-1)</f>
        <v/>
      </c>
      <c r="AV249" s="266">
        <f t="shared" si="38"/>
        <v>0</v>
      </c>
    </row>
    <row r="250" spans="26:48" ht="15" customHeight="1" x14ac:dyDescent="0.2">
      <c r="Z250" s="243" t="str">
        <f>Shares!A250</f>
        <v/>
      </c>
      <c r="AA250" s="243" t="str">
        <f>Shares!B250</f>
        <v/>
      </c>
      <c r="AB250" s="243" t="str">
        <f>Shares!C250</f>
        <v/>
      </c>
      <c r="AC250" s="243" t="str">
        <f>Shares!D250</f>
        <v/>
      </c>
      <c r="AD250" s="243">
        <f>IF($Z250="",0,Shares!E250)</f>
        <v>0</v>
      </c>
      <c r="AE250" s="266">
        <f>IF($Z250="",0,Shares!J250*Shares!I250)</f>
        <v>0</v>
      </c>
      <c r="AF250" s="267">
        <f t="shared" si="37"/>
        <v>0</v>
      </c>
      <c r="AG250" s="266">
        <f>IF($Z250="",0,Shares!L250)</f>
        <v>0</v>
      </c>
      <c r="AH250" s="267">
        <f>IF($Z250="",0,Shares!M250)</f>
        <v>0</v>
      </c>
      <c r="AI250" s="243" t="str">
        <f>IF($Z250="","",RANK(AE250,$AE$2:$AE$1001)+COUNTIF($AE$2:AE250,AE250)-1)</f>
        <v/>
      </c>
      <c r="AJ250" s="243" t="str">
        <f>IF($AD250&lt;0,COUNT($AJ$1:AJ249)+1,"")</f>
        <v/>
      </c>
      <c r="AL250" s="243" t="str">
        <f>'All Ticker P&amp;L'!A250</f>
        <v/>
      </c>
      <c r="AM250" s="243" t="str">
        <f>'All Ticker P&amp;L'!B250</f>
        <v/>
      </c>
      <c r="AN250" s="243" t="str">
        <f>'All Ticker P&amp;L'!C250</f>
        <v/>
      </c>
      <c r="AO250" s="243" t="str">
        <f>'All Ticker P&amp;L'!D250</f>
        <v/>
      </c>
      <c r="AP250" s="243">
        <f>IF($AL250="",0,'All Ticker P&amp;L'!E250)</f>
        <v>0</v>
      </c>
      <c r="AQ250" s="266">
        <f>IF($AL250="",0,'All Ticker P&amp;L'!J250*'All Ticker P&amp;L'!I250)</f>
        <v>0</v>
      </c>
      <c r="AR250" s="266">
        <f>IF($AL250="",0,'All Ticker P&amp;L'!L250)</f>
        <v>0</v>
      </c>
      <c r="AS250" s="267">
        <f>IF($AL250="",0,'All Ticker P&amp;L'!M250)</f>
        <v>0</v>
      </c>
      <c r="AT250" s="243" t="str">
        <f>IF($AL250="","",RANK(AR250,$AR$2:$AR$1001)+COUNTIF($AR$2:AR250,AR250)-1)</f>
        <v/>
      </c>
      <c r="AU250" s="243" t="str">
        <f>IF($AL250="","",RANK(AV250,$AV$2:$AV$1001)+COUNTIF($AV$2:AV250,AV250)-1)</f>
        <v/>
      </c>
      <c r="AV250" s="266">
        <f t="shared" si="38"/>
        <v>0</v>
      </c>
    </row>
    <row r="251" spans="26:48" ht="15" customHeight="1" x14ac:dyDescent="0.2">
      <c r="Z251" s="243" t="str">
        <f>Shares!A251</f>
        <v/>
      </c>
      <c r="AA251" s="243" t="str">
        <f>Shares!B251</f>
        <v/>
      </c>
      <c r="AB251" s="243" t="str">
        <f>Shares!C251</f>
        <v/>
      </c>
      <c r="AC251" s="243" t="str">
        <f>Shares!D251</f>
        <v/>
      </c>
      <c r="AD251" s="243">
        <f>IF($Z251="",0,Shares!E251)</f>
        <v>0</v>
      </c>
      <c r="AE251" s="266">
        <f>IF($Z251="",0,Shares!J251*Shares!I251)</f>
        <v>0</v>
      </c>
      <c r="AF251" s="267">
        <f t="shared" si="37"/>
        <v>0</v>
      </c>
      <c r="AG251" s="266">
        <f>IF($Z251="",0,Shares!L251)</f>
        <v>0</v>
      </c>
      <c r="AH251" s="267">
        <f>IF($Z251="",0,Shares!M251)</f>
        <v>0</v>
      </c>
      <c r="AI251" s="243" t="str">
        <f>IF($Z251="","",RANK(AE251,$AE$2:$AE$1001)+COUNTIF($AE$2:AE251,AE251)-1)</f>
        <v/>
      </c>
      <c r="AJ251" s="243" t="str">
        <f>IF($AD251&lt;0,COUNT($AJ$1:AJ250)+1,"")</f>
        <v/>
      </c>
      <c r="AL251" s="243" t="str">
        <f>'All Ticker P&amp;L'!A251</f>
        <v/>
      </c>
      <c r="AM251" s="243" t="str">
        <f>'All Ticker P&amp;L'!B251</f>
        <v/>
      </c>
      <c r="AN251" s="243" t="str">
        <f>'All Ticker P&amp;L'!C251</f>
        <v/>
      </c>
      <c r="AO251" s="243" t="str">
        <f>'All Ticker P&amp;L'!D251</f>
        <v/>
      </c>
      <c r="AP251" s="243">
        <f>IF($AL251="",0,'All Ticker P&amp;L'!E251)</f>
        <v>0</v>
      </c>
      <c r="AQ251" s="266">
        <f>IF($AL251="",0,'All Ticker P&amp;L'!J251*'All Ticker P&amp;L'!I251)</f>
        <v>0</v>
      </c>
      <c r="AR251" s="266">
        <f>IF($AL251="",0,'All Ticker P&amp;L'!L251)</f>
        <v>0</v>
      </c>
      <c r="AS251" s="267">
        <f>IF($AL251="",0,'All Ticker P&amp;L'!M251)</f>
        <v>0</v>
      </c>
      <c r="AT251" s="243" t="str">
        <f>IF($AL251="","",RANK(AR251,$AR$2:$AR$1001)+COUNTIF($AR$2:AR251,AR251)-1)</f>
        <v/>
      </c>
      <c r="AU251" s="243" t="str">
        <f>IF($AL251="","",RANK(AV251,$AV$2:$AV$1001)+COUNTIF($AV$2:AV251,AV251)-1)</f>
        <v/>
      </c>
      <c r="AV251" s="266">
        <f t="shared" si="38"/>
        <v>0</v>
      </c>
    </row>
    <row r="252" spans="26:48" ht="15" customHeight="1" x14ac:dyDescent="0.2">
      <c r="Z252" s="243" t="str">
        <f>Shares!A252</f>
        <v/>
      </c>
      <c r="AA252" s="243" t="str">
        <f>Shares!B252</f>
        <v/>
      </c>
      <c r="AB252" s="243" t="str">
        <f>Shares!C252</f>
        <v/>
      </c>
      <c r="AC252" s="243" t="str">
        <f>Shares!D252</f>
        <v/>
      </c>
      <c r="AD252" s="243">
        <f>IF($Z252="",0,Shares!E252)</f>
        <v>0</v>
      </c>
      <c r="AE252" s="266">
        <f>IF($Z252="",0,Shares!J252*Shares!I252)</f>
        <v>0</v>
      </c>
      <c r="AF252" s="267">
        <f t="shared" si="37"/>
        <v>0</v>
      </c>
      <c r="AG252" s="266">
        <f>IF($Z252="",0,Shares!L252)</f>
        <v>0</v>
      </c>
      <c r="AH252" s="267">
        <f>IF($Z252="",0,Shares!M252)</f>
        <v>0</v>
      </c>
      <c r="AI252" s="243" t="str">
        <f>IF($Z252="","",RANK(AE252,$AE$2:$AE$1001)+COUNTIF($AE$2:AE252,AE252)-1)</f>
        <v/>
      </c>
      <c r="AJ252" s="243" t="str">
        <f>IF($AD252&lt;0,COUNT($AJ$1:AJ251)+1,"")</f>
        <v/>
      </c>
      <c r="AL252" s="243" t="str">
        <f>'All Ticker P&amp;L'!A252</f>
        <v/>
      </c>
      <c r="AM252" s="243" t="str">
        <f>'All Ticker P&amp;L'!B252</f>
        <v/>
      </c>
      <c r="AN252" s="243" t="str">
        <f>'All Ticker P&amp;L'!C252</f>
        <v/>
      </c>
      <c r="AO252" s="243" t="str">
        <f>'All Ticker P&amp;L'!D252</f>
        <v/>
      </c>
      <c r="AP252" s="243">
        <f>IF($AL252="",0,'All Ticker P&amp;L'!E252)</f>
        <v>0</v>
      </c>
      <c r="AQ252" s="266">
        <f>IF($AL252="",0,'All Ticker P&amp;L'!J252*'All Ticker P&amp;L'!I252)</f>
        <v>0</v>
      </c>
      <c r="AR252" s="266">
        <f>IF($AL252="",0,'All Ticker P&amp;L'!L252)</f>
        <v>0</v>
      </c>
      <c r="AS252" s="267">
        <f>IF($AL252="",0,'All Ticker P&amp;L'!M252)</f>
        <v>0</v>
      </c>
      <c r="AT252" s="243" t="str">
        <f>IF($AL252="","",RANK(AR252,$AR$2:$AR$1001)+COUNTIF($AR$2:AR252,AR252)-1)</f>
        <v/>
      </c>
      <c r="AU252" s="243" t="str">
        <f>IF($AL252="","",RANK(AV252,$AV$2:$AV$1001)+COUNTIF($AV$2:AV252,AV252)-1)</f>
        <v/>
      </c>
      <c r="AV252" s="266">
        <f t="shared" si="38"/>
        <v>0</v>
      </c>
    </row>
    <row r="253" spans="26:48" ht="15" customHeight="1" x14ac:dyDescent="0.2">
      <c r="Z253" s="243" t="str">
        <f>Shares!A253</f>
        <v/>
      </c>
      <c r="AA253" s="243" t="str">
        <f>Shares!B253</f>
        <v/>
      </c>
      <c r="AB253" s="243" t="str">
        <f>Shares!C253</f>
        <v/>
      </c>
      <c r="AC253" s="243" t="str">
        <f>Shares!D253</f>
        <v/>
      </c>
      <c r="AD253" s="243">
        <f>IF($Z253="",0,Shares!E253)</f>
        <v>0</v>
      </c>
      <c r="AE253" s="266">
        <f>IF($Z253="",0,Shares!J253*Shares!I253)</f>
        <v>0</v>
      </c>
      <c r="AF253" s="267">
        <f t="shared" si="37"/>
        <v>0</v>
      </c>
      <c r="AG253" s="266">
        <f>IF($Z253="",0,Shares!L253)</f>
        <v>0</v>
      </c>
      <c r="AH253" s="267">
        <f>IF($Z253="",0,Shares!M253)</f>
        <v>0</v>
      </c>
      <c r="AI253" s="243" t="str">
        <f>IF($Z253="","",RANK(AE253,$AE$2:$AE$1001)+COUNTIF($AE$2:AE253,AE253)-1)</f>
        <v/>
      </c>
      <c r="AJ253" s="243" t="str">
        <f>IF($AD253&lt;0,COUNT($AJ$1:AJ252)+1,"")</f>
        <v/>
      </c>
      <c r="AL253" s="243" t="str">
        <f>'All Ticker P&amp;L'!A253</f>
        <v/>
      </c>
      <c r="AM253" s="243" t="str">
        <f>'All Ticker P&amp;L'!B253</f>
        <v/>
      </c>
      <c r="AN253" s="243" t="str">
        <f>'All Ticker P&amp;L'!C253</f>
        <v/>
      </c>
      <c r="AO253" s="243" t="str">
        <f>'All Ticker P&amp;L'!D253</f>
        <v/>
      </c>
      <c r="AP253" s="243">
        <f>IF($AL253="",0,'All Ticker P&amp;L'!E253)</f>
        <v>0</v>
      </c>
      <c r="AQ253" s="266">
        <f>IF($AL253="",0,'All Ticker P&amp;L'!J253*'All Ticker P&amp;L'!I253)</f>
        <v>0</v>
      </c>
      <c r="AR253" s="266">
        <f>IF($AL253="",0,'All Ticker P&amp;L'!L253)</f>
        <v>0</v>
      </c>
      <c r="AS253" s="267">
        <f>IF($AL253="",0,'All Ticker P&amp;L'!M253)</f>
        <v>0</v>
      </c>
      <c r="AT253" s="243" t="str">
        <f>IF($AL253="","",RANK(AR253,$AR$2:$AR$1001)+COUNTIF($AR$2:AR253,AR253)-1)</f>
        <v/>
      </c>
      <c r="AU253" s="243" t="str">
        <f>IF($AL253="","",RANK(AV253,$AV$2:$AV$1001)+COUNTIF($AV$2:AV253,AV253)-1)</f>
        <v/>
      </c>
      <c r="AV253" s="266">
        <f t="shared" si="38"/>
        <v>0</v>
      </c>
    </row>
    <row r="254" spans="26:48" ht="15" customHeight="1" x14ac:dyDescent="0.2">
      <c r="Z254" s="243" t="str">
        <f>Shares!A254</f>
        <v/>
      </c>
      <c r="AA254" s="243" t="str">
        <f>Shares!B254</f>
        <v/>
      </c>
      <c r="AB254" s="243" t="str">
        <f>Shares!C254</f>
        <v/>
      </c>
      <c r="AC254" s="243" t="str">
        <f>Shares!D254</f>
        <v/>
      </c>
      <c r="AD254" s="243">
        <f>IF($Z254="",0,Shares!E254)</f>
        <v>0</v>
      </c>
      <c r="AE254" s="266">
        <f>IF($Z254="",0,Shares!J254*Shares!I254)</f>
        <v>0</v>
      </c>
      <c r="AF254" s="267">
        <f t="shared" si="37"/>
        <v>0</v>
      </c>
      <c r="AG254" s="266">
        <f>IF($Z254="",0,Shares!L254)</f>
        <v>0</v>
      </c>
      <c r="AH254" s="267">
        <f>IF($Z254="",0,Shares!M254)</f>
        <v>0</v>
      </c>
      <c r="AI254" s="243" t="str">
        <f>IF($Z254="","",RANK(AE254,$AE$2:$AE$1001)+COUNTIF($AE$2:AE254,AE254)-1)</f>
        <v/>
      </c>
      <c r="AJ254" s="243" t="str">
        <f>IF($AD254&lt;0,COUNT($AJ$1:AJ253)+1,"")</f>
        <v/>
      </c>
      <c r="AL254" s="243" t="str">
        <f>'All Ticker P&amp;L'!A254</f>
        <v/>
      </c>
      <c r="AM254" s="243" t="str">
        <f>'All Ticker P&amp;L'!B254</f>
        <v/>
      </c>
      <c r="AN254" s="243" t="str">
        <f>'All Ticker P&amp;L'!C254</f>
        <v/>
      </c>
      <c r="AO254" s="243" t="str">
        <f>'All Ticker P&amp;L'!D254</f>
        <v/>
      </c>
      <c r="AP254" s="243">
        <f>IF($AL254="",0,'All Ticker P&amp;L'!E254)</f>
        <v>0</v>
      </c>
      <c r="AQ254" s="266">
        <f>IF($AL254="",0,'All Ticker P&amp;L'!J254*'All Ticker P&amp;L'!I254)</f>
        <v>0</v>
      </c>
      <c r="AR254" s="266">
        <f>IF($AL254="",0,'All Ticker P&amp;L'!L254)</f>
        <v>0</v>
      </c>
      <c r="AS254" s="267">
        <f>IF($AL254="",0,'All Ticker P&amp;L'!M254)</f>
        <v>0</v>
      </c>
      <c r="AT254" s="243" t="str">
        <f>IF($AL254="","",RANK(AR254,$AR$2:$AR$1001)+COUNTIF($AR$2:AR254,AR254)-1)</f>
        <v/>
      </c>
      <c r="AU254" s="243" t="str">
        <f>IF($AL254="","",RANK(AV254,$AV$2:$AV$1001)+COUNTIF($AV$2:AV254,AV254)-1)</f>
        <v/>
      </c>
      <c r="AV254" s="266">
        <f t="shared" si="38"/>
        <v>0</v>
      </c>
    </row>
    <row r="255" spans="26:48" ht="15" customHeight="1" x14ac:dyDescent="0.2">
      <c r="Z255" s="243" t="str">
        <f>Shares!A255</f>
        <v/>
      </c>
      <c r="AA255" s="243" t="str">
        <f>Shares!B255</f>
        <v/>
      </c>
      <c r="AB255" s="243" t="str">
        <f>Shares!C255</f>
        <v/>
      </c>
      <c r="AC255" s="243" t="str">
        <f>Shares!D255</f>
        <v/>
      </c>
      <c r="AD255" s="243">
        <f>IF($Z255="",0,Shares!E255)</f>
        <v>0</v>
      </c>
      <c r="AE255" s="266">
        <f>IF($Z255="",0,Shares!J255*Shares!I255)</f>
        <v>0</v>
      </c>
      <c r="AF255" s="267">
        <f t="shared" si="37"/>
        <v>0</v>
      </c>
      <c r="AG255" s="266">
        <f>IF($Z255="",0,Shares!L255)</f>
        <v>0</v>
      </c>
      <c r="AH255" s="267">
        <f>IF($Z255="",0,Shares!M255)</f>
        <v>0</v>
      </c>
      <c r="AI255" s="243" t="str">
        <f>IF($Z255="","",RANK(AE255,$AE$2:$AE$1001)+COUNTIF($AE$2:AE255,AE255)-1)</f>
        <v/>
      </c>
      <c r="AJ255" s="243" t="str">
        <f>IF($AD255&lt;0,COUNT($AJ$1:AJ254)+1,"")</f>
        <v/>
      </c>
      <c r="AL255" s="243" t="str">
        <f>'All Ticker P&amp;L'!A255</f>
        <v/>
      </c>
      <c r="AM255" s="243" t="str">
        <f>'All Ticker P&amp;L'!B255</f>
        <v/>
      </c>
      <c r="AN255" s="243" t="str">
        <f>'All Ticker P&amp;L'!C255</f>
        <v/>
      </c>
      <c r="AO255" s="243" t="str">
        <f>'All Ticker P&amp;L'!D255</f>
        <v/>
      </c>
      <c r="AP255" s="243">
        <f>IF($AL255="",0,'All Ticker P&amp;L'!E255)</f>
        <v>0</v>
      </c>
      <c r="AQ255" s="266">
        <f>IF($AL255="",0,'All Ticker P&amp;L'!J255*'All Ticker P&amp;L'!I255)</f>
        <v>0</v>
      </c>
      <c r="AR255" s="266">
        <f>IF($AL255="",0,'All Ticker P&amp;L'!L255)</f>
        <v>0</v>
      </c>
      <c r="AS255" s="267">
        <f>IF($AL255="",0,'All Ticker P&amp;L'!M255)</f>
        <v>0</v>
      </c>
      <c r="AT255" s="243" t="str">
        <f>IF($AL255="","",RANK(AR255,$AR$2:$AR$1001)+COUNTIF($AR$2:AR255,AR255)-1)</f>
        <v/>
      </c>
      <c r="AU255" s="243" t="str">
        <f>IF($AL255="","",RANK(AV255,$AV$2:$AV$1001)+COUNTIF($AV$2:AV255,AV255)-1)</f>
        <v/>
      </c>
      <c r="AV255" s="266">
        <f t="shared" si="38"/>
        <v>0</v>
      </c>
    </row>
    <row r="256" spans="26:48" ht="15" customHeight="1" x14ac:dyDescent="0.2">
      <c r="Z256" s="243" t="str">
        <f>Shares!A256</f>
        <v/>
      </c>
      <c r="AA256" s="243" t="str">
        <f>Shares!B256</f>
        <v/>
      </c>
      <c r="AB256" s="243" t="str">
        <f>Shares!C256</f>
        <v/>
      </c>
      <c r="AC256" s="243" t="str">
        <f>Shares!D256</f>
        <v/>
      </c>
      <c r="AD256" s="243">
        <f>IF($Z256="",0,Shares!E256)</f>
        <v>0</v>
      </c>
      <c r="AE256" s="266">
        <f>IF($Z256="",0,Shares!J256*Shares!I256)</f>
        <v>0</v>
      </c>
      <c r="AF256" s="267">
        <f t="shared" si="37"/>
        <v>0</v>
      </c>
      <c r="AG256" s="266">
        <f>IF($Z256="",0,Shares!L256)</f>
        <v>0</v>
      </c>
      <c r="AH256" s="267">
        <f>IF($Z256="",0,Shares!M256)</f>
        <v>0</v>
      </c>
      <c r="AI256" s="243" t="str">
        <f>IF($Z256="","",RANK(AE256,$AE$2:$AE$1001)+COUNTIF($AE$2:AE256,AE256)-1)</f>
        <v/>
      </c>
      <c r="AJ256" s="243" t="str">
        <f>IF($AD256&lt;0,COUNT($AJ$1:AJ255)+1,"")</f>
        <v/>
      </c>
      <c r="AL256" s="243" t="str">
        <f>'All Ticker P&amp;L'!A256</f>
        <v/>
      </c>
      <c r="AM256" s="243" t="str">
        <f>'All Ticker P&amp;L'!B256</f>
        <v/>
      </c>
      <c r="AN256" s="243" t="str">
        <f>'All Ticker P&amp;L'!C256</f>
        <v/>
      </c>
      <c r="AO256" s="243" t="str">
        <f>'All Ticker P&amp;L'!D256</f>
        <v/>
      </c>
      <c r="AP256" s="243">
        <f>IF($AL256="",0,'All Ticker P&amp;L'!E256)</f>
        <v>0</v>
      </c>
      <c r="AQ256" s="266">
        <f>IF($AL256="",0,'All Ticker P&amp;L'!J256*'All Ticker P&amp;L'!I256)</f>
        <v>0</v>
      </c>
      <c r="AR256" s="266">
        <f>IF($AL256="",0,'All Ticker P&amp;L'!L256)</f>
        <v>0</v>
      </c>
      <c r="AS256" s="267">
        <f>IF($AL256="",0,'All Ticker P&amp;L'!M256)</f>
        <v>0</v>
      </c>
      <c r="AT256" s="243" t="str">
        <f>IF($AL256="","",RANK(AR256,$AR$2:$AR$1001)+COUNTIF($AR$2:AR256,AR256)-1)</f>
        <v/>
      </c>
      <c r="AU256" s="243" t="str">
        <f>IF($AL256="","",RANK(AV256,$AV$2:$AV$1001)+COUNTIF($AV$2:AV256,AV256)-1)</f>
        <v/>
      </c>
      <c r="AV256" s="266">
        <f t="shared" si="38"/>
        <v>0</v>
      </c>
    </row>
    <row r="257" spans="26:48" ht="15" customHeight="1" x14ac:dyDescent="0.2">
      <c r="Z257" s="243" t="str">
        <f>Shares!A257</f>
        <v/>
      </c>
      <c r="AA257" s="243" t="str">
        <f>Shares!B257</f>
        <v/>
      </c>
      <c r="AB257" s="243" t="str">
        <f>Shares!C257</f>
        <v/>
      </c>
      <c r="AC257" s="243" t="str">
        <f>Shares!D257</f>
        <v/>
      </c>
      <c r="AD257" s="243">
        <f>IF($Z257="",0,Shares!E257)</f>
        <v>0</v>
      </c>
      <c r="AE257" s="266">
        <f>IF($Z257="",0,Shares!J257*Shares!I257)</f>
        <v>0</v>
      </c>
      <c r="AF257" s="267">
        <f t="shared" si="37"/>
        <v>0</v>
      </c>
      <c r="AG257" s="266">
        <f>IF($Z257="",0,Shares!L257)</f>
        <v>0</v>
      </c>
      <c r="AH257" s="267">
        <f>IF($Z257="",0,Shares!M257)</f>
        <v>0</v>
      </c>
      <c r="AI257" s="243" t="str">
        <f>IF($Z257="","",RANK(AE257,$AE$2:$AE$1001)+COUNTIF($AE$2:AE257,AE257)-1)</f>
        <v/>
      </c>
      <c r="AJ257" s="243" t="str">
        <f>IF($AD257&lt;0,COUNT($AJ$1:AJ256)+1,"")</f>
        <v/>
      </c>
      <c r="AL257" s="243" t="str">
        <f>'All Ticker P&amp;L'!A257</f>
        <v/>
      </c>
      <c r="AM257" s="243" t="str">
        <f>'All Ticker P&amp;L'!B257</f>
        <v/>
      </c>
      <c r="AN257" s="243" t="str">
        <f>'All Ticker P&amp;L'!C257</f>
        <v/>
      </c>
      <c r="AO257" s="243" t="str">
        <f>'All Ticker P&amp;L'!D257</f>
        <v/>
      </c>
      <c r="AP257" s="243">
        <f>IF($AL257="",0,'All Ticker P&amp;L'!E257)</f>
        <v>0</v>
      </c>
      <c r="AQ257" s="266">
        <f>IF($AL257="",0,'All Ticker P&amp;L'!J257*'All Ticker P&amp;L'!I257)</f>
        <v>0</v>
      </c>
      <c r="AR257" s="266">
        <f>IF($AL257="",0,'All Ticker P&amp;L'!L257)</f>
        <v>0</v>
      </c>
      <c r="AS257" s="267">
        <f>IF($AL257="",0,'All Ticker P&amp;L'!M257)</f>
        <v>0</v>
      </c>
      <c r="AT257" s="243" t="str">
        <f>IF($AL257="","",RANK(AR257,$AR$2:$AR$1001)+COUNTIF($AR$2:AR257,AR257)-1)</f>
        <v/>
      </c>
      <c r="AU257" s="243" t="str">
        <f>IF($AL257="","",RANK(AV257,$AV$2:$AV$1001)+COUNTIF($AV$2:AV257,AV257)-1)</f>
        <v/>
      </c>
      <c r="AV257" s="266">
        <f t="shared" si="38"/>
        <v>0</v>
      </c>
    </row>
    <row r="258" spans="26:48" ht="15" customHeight="1" x14ac:dyDescent="0.2">
      <c r="Z258" s="243" t="str">
        <f>Shares!A258</f>
        <v/>
      </c>
      <c r="AA258" s="243" t="str">
        <f>Shares!B258</f>
        <v/>
      </c>
      <c r="AB258" s="243" t="str">
        <f>Shares!C258</f>
        <v/>
      </c>
      <c r="AC258" s="243" t="str">
        <f>Shares!D258</f>
        <v/>
      </c>
      <c r="AD258" s="243">
        <f>IF($Z258="",0,Shares!E258)</f>
        <v>0</v>
      </c>
      <c r="AE258" s="266">
        <f>IF($Z258="",0,Shares!J258*Shares!I258)</f>
        <v>0</v>
      </c>
      <c r="AF258" s="267">
        <f t="shared" ref="AF258:AF321" si="39">IFERROR(AE258/$B$5,0)</f>
        <v>0</v>
      </c>
      <c r="AG258" s="266">
        <f>IF($Z258="",0,Shares!L258)</f>
        <v>0</v>
      </c>
      <c r="AH258" s="267">
        <f>IF($Z258="",0,Shares!M258)</f>
        <v>0</v>
      </c>
      <c r="AI258" s="243" t="str">
        <f>IF($Z258="","",RANK(AE258,$AE$2:$AE$1001)+COUNTIF($AE$2:AE258,AE258)-1)</f>
        <v/>
      </c>
      <c r="AJ258" s="243" t="str">
        <f>IF($AD258&lt;0,COUNT($AJ$1:AJ257)+1,"")</f>
        <v/>
      </c>
      <c r="AL258" s="243" t="str">
        <f>'All Ticker P&amp;L'!A258</f>
        <v/>
      </c>
      <c r="AM258" s="243" t="str">
        <f>'All Ticker P&amp;L'!B258</f>
        <v/>
      </c>
      <c r="AN258" s="243" t="str">
        <f>'All Ticker P&amp;L'!C258</f>
        <v/>
      </c>
      <c r="AO258" s="243" t="str">
        <f>'All Ticker P&amp;L'!D258</f>
        <v/>
      </c>
      <c r="AP258" s="243">
        <f>IF($AL258="",0,'All Ticker P&amp;L'!E258)</f>
        <v>0</v>
      </c>
      <c r="AQ258" s="266">
        <f>IF($AL258="",0,'All Ticker P&amp;L'!J258*'All Ticker P&amp;L'!I258)</f>
        <v>0</v>
      </c>
      <c r="AR258" s="266">
        <f>IF($AL258="",0,'All Ticker P&amp;L'!L258)</f>
        <v>0</v>
      </c>
      <c r="AS258" s="267">
        <f>IF($AL258="",0,'All Ticker P&amp;L'!M258)</f>
        <v>0</v>
      </c>
      <c r="AT258" s="243" t="str">
        <f>IF($AL258="","",RANK(AR258,$AR$2:$AR$1001)+COUNTIF($AR$2:AR258,AR258)-1)</f>
        <v/>
      </c>
      <c r="AU258" s="243" t="str">
        <f>IF($AL258="","",RANK(AV258,$AV$2:$AV$1001)+COUNTIF($AV$2:AV258,AV258)-1)</f>
        <v/>
      </c>
      <c r="AV258" s="266">
        <f t="shared" ref="AV258:AV321" si="40">-AR258</f>
        <v>0</v>
      </c>
    </row>
    <row r="259" spans="26:48" ht="15" customHeight="1" x14ac:dyDescent="0.2">
      <c r="Z259" s="243" t="str">
        <f>Shares!A259</f>
        <v/>
      </c>
      <c r="AA259" s="243" t="str">
        <f>Shares!B259</f>
        <v/>
      </c>
      <c r="AB259" s="243" t="str">
        <f>Shares!C259</f>
        <v/>
      </c>
      <c r="AC259" s="243" t="str">
        <f>Shares!D259</f>
        <v/>
      </c>
      <c r="AD259" s="243">
        <f>IF($Z259="",0,Shares!E259)</f>
        <v>0</v>
      </c>
      <c r="AE259" s="266">
        <f>IF($Z259="",0,Shares!J259*Shares!I259)</f>
        <v>0</v>
      </c>
      <c r="AF259" s="267">
        <f t="shared" si="39"/>
        <v>0</v>
      </c>
      <c r="AG259" s="266">
        <f>IF($Z259="",0,Shares!L259)</f>
        <v>0</v>
      </c>
      <c r="AH259" s="267">
        <f>IF($Z259="",0,Shares!M259)</f>
        <v>0</v>
      </c>
      <c r="AI259" s="243" t="str">
        <f>IF($Z259="","",RANK(AE259,$AE$2:$AE$1001)+COUNTIF($AE$2:AE259,AE259)-1)</f>
        <v/>
      </c>
      <c r="AJ259" s="243" t="str">
        <f>IF($AD259&lt;0,COUNT($AJ$1:AJ258)+1,"")</f>
        <v/>
      </c>
      <c r="AL259" s="243" t="str">
        <f>'All Ticker P&amp;L'!A259</f>
        <v/>
      </c>
      <c r="AM259" s="243" t="str">
        <f>'All Ticker P&amp;L'!B259</f>
        <v/>
      </c>
      <c r="AN259" s="243" t="str">
        <f>'All Ticker P&amp;L'!C259</f>
        <v/>
      </c>
      <c r="AO259" s="243" t="str">
        <f>'All Ticker P&amp;L'!D259</f>
        <v/>
      </c>
      <c r="AP259" s="243">
        <f>IF($AL259="",0,'All Ticker P&amp;L'!E259)</f>
        <v>0</v>
      </c>
      <c r="AQ259" s="266">
        <f>IF($AL259="",0,'All Ticker P&amp;L'!J259*'All Ticker P&amp;L'!I259)</f>
        <v>0</v>
      </c>
      <c r="AR259" s="266">
        <f>IF($AL259="",0,'All Ticker P&amp;L'!L259)</f>
        <v>0</v>
      </c>
      <c r="AS259" s="267">
        <f>IF($AL259="",0,'All Ticker P&amp;L'!M259)</f>
        <v>0</v>
      </c>
      <c r="AT259" s="243" t="str">
        <f>IF($AL259="","",RANK(AR259,$AR$2:$AR$1001)+COUNTIF($AR$2:AR259,AR259)-1)</f>
        <v/>
      </c>
      <c r="AU259" s="243" t="str">
        <f>IF($AL259="","",RANK(AV259,$AV$2:$AV$1001)+COUNTIF($AV$2:AV259,AV259)-1)</f>
        <v/>
      </c>
      <c r="AV259" s="266">
        <f t="shared" si="40"/>
        <v>0</v>
      </c>
    </row>
    <row r="260" spans="26:48" ht="15" customHeight="1" x14ac:dyDescent="0.2">
      <c r="Z260" s="243" t="str">
        <f>Shares!A260</f>
        <v/>
      </c>
      <c r="AA260" s="243" t="str">
        <f>Shares!B260</f>
        <v/>
      </c>
      <c r="AB260" s="243" t="str">
        <f>Shares!C260</f>
        <v/>
      </c>
      <c r="AC260" s="243" t="str">
        <f>Shares!D260</f>
        <v/>
      </c>
      <c r="AD260" s="243">
        <f>IF($Z260="",0,Shares!E260)</f>
        <v>0</v>
      </c>
      <c r="AE260" s="266">
        <f>IF($Z260="",0,Shares!J260*Shares!I260)</f>
        <v>0</v>
      </c>
      <c r="AF260" s="267">
        <f t="shared" si="39"/>
        <v>0</v>
      </c>
      <c r="AG260" s="266">
        <f>IF($Z260="",0,Shares!L260)</f>
        <v>0</v>
      </c>
      <c r="AH260" s="267">
        <f>IF($Z260="",0,Shares!M260)</f>
        <v>0</v>
      </c>
      <c r="AI260" s="243" t="str">
        <f>IF($Z260="","",RANK(AE260,$AE$2:$AE$1001)+COUNTIF($AE$2:AE260,AE260)-1)</f>
        <v/>
      </c>
      <c r="AJ260" s="243" t="str">
        <f>IF($AD260&lt;0,COUNT($AJ$1:AJ259)+1,"")</f>
        <v/>
      </c>
      <c r="AL260" s="243" t="str">
        <f>'All Ticker P&amp;L'!A260</f>
        <v/>
      </c>
      <c r="AM260" s="243" t="str">
        <f>'All Ticker P&amp;L'!B260</f>
        <v/>
      </c>
      <c r="AN260" s="243" t="str">
        <f>'All Ticker P&amp;L'!C260</f>
        <v/>
      </c>
      <c r="AO260" s="243" t="str">
        <f>'All Ticker P&amp;L'!D260</f>
        <v/>
      </c>
      <c r="AP260" s="243">
        <f>IF($AL260="",0,'All Ticker P&amp;L'!E260)</f>
        <v>0</v>
      </c>
      <c r="AQ260" s="266">
        <f>IF($AL260="",0,'All Ticker P&amp;L'!J260*'All Ticker P&amp;L'!I260)</f>
        <v>0</v>
      </c>
      <c r="AR260" s="266">
        <f>IF($AL260="",0,'All Ticker P&amp;L'!L260)</f>
        <v>0</v>
      </c>
      <c r="AS260" s="267">
        <f>IF($AL260="",0,'All Ticker P&amp;L'!M260)</f>
        <v>0</v>
      </c>
      <c r="AT260" s="243" t="str">
        <f>IF($AL260="","",RANK(AR260,$AR$2:$AR$1001)+COUNTIF($AR$2:AR260,AR260)-1)</f>
        <v/>
      </c>
      <c r="AU260" s="243" t="str">
        <f>IF($AL260="","",RANK(AV260,$AV$2:$AV$1001)+COUNTIF($AV$2:AV260,AV260)-1)</f>
        <v/>
      </c>
      <c r="AV260" s="266">
        <f t="shared" si="40"/>
        <v>0</v>
      </c>
    </row>
    <row r="261" spans="26:48" ht="15" customHeight="1" x14ac:dyDescent="0.2">
      <c r="Z261" s="243" t="str">
        <f>Shares!A261</f>
        <v/>
      </c>
      <c r="AA261" s="243" t="str">
        <f>Shares!B261</f>
        <v/>
      </c>
      <c r="AB261" s="243" t="str">
        <f>Shares!C261</f>
        <v/>
      </c>
      <c r="AC261" s="243" t="str">
        <f>Shares!D261</f>
        <v/>
      </c>
      <c r="AD261" s="243">
        <f>IF($Z261="",0,Shares!E261)</f>
        <v>0</v>
      </c>
      <c r="AE261" s="266">
        <f>IF($Z261="",0,Shares!J261*Shares!I261)</f>
        <v>0</v>
      </c>
      <c r="AF261" s="267">
        <f t="shared" si="39"/>
        <v>0</v>
      </c>
      <c r="AG261" s="266">
        <f>IF($Z261="",0,Shares!L261)</f>
        <v>0</v>
      </c>
      <c r="AH261" s="267">
        <f>IF($Z261="",0,Shares!M261)</f>
        <v>0</v>
      </c>
      <c r="AI261" s="243" t="str">
        <f>IF($Z261="","",RANK(AE261,$AE$2:$AE$1001)+COUNTIF($AE$2:AE261,AE261)-1)</f>
        <v/>
      </c>
      <c r="AJ261" s="243" t="str">
        <f>IF($AD261&lt;0,COUNT($AJ$1:AJ260)+1,"")</f>
        <v/>
      </c>
      <c r="AL261" s="243" t="str">
        <f>'All Ticker P&amp;L'!A261</f>
        <v/>
      </c>
      <c r="AM261" s="243" t="str">
        <f>'All Ticker P&amp;L'!B261</f>
        <v/>
      </c>
      <c r="AN261" s="243" t="str">
        <f>'All Ticker P&amp;L'!C261</f>
        <v/>
      </c>
      <c r="AO261" s="243" t="str">
        <f>'All Ticker P&amp;L'!D261</f>
        <v/>
      </c>
      <c r="AP261" s="243">
        <f>IF($AL261="",0,'All Ticker P&amp;L'!E261)</f>
        <v>0</v>
      </c>
      <c r="AQ261" s="266">
        <f>IF($AL261="",0,'All Ticker P&amp;L'!J261*'All Ticker P&amp;L'!I261)</f>
        <v>0</v>
      </c>
      <c r="AR261" s="266">
        <f>IF($AL261="",0,'All Ticker P&amp;L'!L261)</f>
        <v>0</v>
      </c>
      <c r="AS261" s="267">
        <f>IF($AL261="",0,'All Ticker P&amp;L'!M261)</f>
        <v>0</v>
      </c>
      <c r="AT261" s="243" t="str">
        <f>IF($AL261="","",RANK(AR261,$AR$2:$AR$1001)+COUNTIF($AR$2:AR261,AR261)-1)</f>
        <v/>
      </c>
      <c r="AU261" s="243" t="str">
        <f>IF($AL261="","",RANK(AV261,$AV$2:$AV$1001)+COUNTIF($AV$2:AV261,AV261)-1)</f>
        <v/>
      </c>
      <c r="AV261" s="266">
        <f t="shared" si="40"/>
        <v>0</v>
      </c>
    </row>
    <row r="262" spans="26:48" ht="15" customHeight="1" x14ac:dyDescent="0.2">
      <c r="Z262" s="243" t="str">
        <f>Shares!A262</f>
        <v/>
      </c>
      <c r="AA262" s="243" t="str">
        <f>Shares!B262</f>
        <v/>
      </c>
      <c r="AB262" s="243" t="str">
        <f>Shares!C262</f>
        <v/>
      </c>
      <c r="AC262" s="243" t="str">
        <f>Shares!D262</f>
        <v/>
      </c>
      <c r="AD262" s="243">
        <f>IF($Z262="",0,Shares!E262)</f>
        <v>0</v>
      </c>
      <c r="AE262" s="266">
        <f>IF($Z262="",0,Shares!J262*Shares!I262)</f>
        <v>0</v>
      </c>
      <c r="AF262" s="267">
        <f t="shared" si="39"/>
        <v>0</v>
      </c>
      <c r="AG262" s="266">
        <f>IF($Z262="",0,Shares!L262)</f>
        <v>0</v>
      </c>
      <c r="AH262" s="267">
        <f>IF($Z262="",0,Shares!M262)</f>
        <v>0</v>
      </c>
      <c r="AI262" s="243" t="str">
        <f>IF($Z262="","",RANK(AE262,$AE$2:$AE$1001)+COUNTIF($AE$2:AE262,AE262)-1)</f>
        <v/>
      </c>
      <c r="AJ262" s="243" t="str">
        <f>IF($AD262&lt;0,COUNT($AJ$1:AJ261)+1,"")</f>
        <v/>
      </c>
      <c r="AL262" s="243" t="str">
        <f>'All Ticker P&amp;L'!A262</f>
        <v/>
      </c>
      <c r="AM262" s="243" t="str">
        <f>'All Ticker P&amp;L'!B262</f>
        <v/>
      </c>
      <c r="AN262" s="243" t="str">
        <f>'All Ticker P&amp;L'!C262</f>
        <v/>
      </c>
      <c r="AO262" s="243" t="str">
        <f>'All Ticker P&amp;L'!D262</f>
        <v/>
      </c>
      <c r="AP262" s="243">
        <f>IF($AL262="",0,'All Ticker P&amp;L'!E262)</f>
        <v>0</v>
      </c>
      <c r="AQ262" s="266">
        <f>IF($AL262="",0,'All Ticker P&amp;L'!J262*'All Ticker P&amp;L'!I262)</f>
        <v>0</v>
      </c>
      <c r="AR262" s="266">
        <f>IF($AL262="",0,'All Ticker P&amp;L'!L262)</f>
        <v>0</v>
      </c>
      <c r="AS262" s="267">
        <f>IF($AL262="",0,'All Ticker P&amp;L'!M262)</f>
        <v>0</v>
      </c>
      <c r="AT262" s="243" t="str">
        <f>IF($AL262="","",RANK(AR262,$AR$2:$AR$1001)+COUNTIF($AR$2:AR262,AR262)-1)</f>
        <v/>
      </c>
      <c r="AU262" s="243" t="str">
        <f>IF($AL262="","",RANK(AV262,$AV$2:$AV$1001)+COUNTIF($AV$2:AV262,AV262)-1)</f>
        <v/>
      </c>
      <c r="AV262" s="266">
        <f t="shared" si="40"/>
        <v>0</v>
      </c>
    </row>
    <row r="263" spans="26:48" ht="15" customHeight="1" x14ac:dyDescent="0.2">
      <c r="Z263" s="243" t="str">
        <f>Shares!A263</f>
        <v/>
      </c>
      <c r="AA263" s="243" t="str">
        <f>Shares!B263</f>
        <v/>
      </c>
      <c r="AB263" s="243" t="str">
        <f>Shares!C263</f>
        <v/>
      </c>
      <c r="AC263" s="243" t="str">
        <f>Shares!D263</f>
        <v/>
      </c>
      <c r="AD263" s="243">
        <f>IF($Z263="",0,Shares!E263)</f>
        <v>0</v>
      </c>
      <c r="AE263" s="266">
        <f>IF($Z263="",0,Shares!J263*Shares!I263)</f>
        <v>0</v>
      </c>
      <c r="AF263" s="267">
        <f t="shared" si="39"/>
        <v>0</v>
      </c>
      <c r="AG263" s="266">
        <f>IF($Z263="",0,Shares!L263)</f>
        <v>0</v>
      </c>
      <c r="AH263" s="267">
        <f>IF($Z263="",0,Shares!M263)</f>
        <v>0</v>
      </c>
      <c r="AI263" s="243" t="str">
        <f>IF($Z263="","",RANK(AE263,$AE$2:$AE$1001)+COUNTIF($AE$2:AE263,AE263)-1)</f>
        <v/>
      </c>
      <c r="AJ263" s="243" t="str">
        <f>IF($AD263&lt;0,COUNT($AJ$1:AJ262)+1,"")</f>
        <v/>
      </c>
      <c r="AL263" s="243" t="str">
        <f>'All Ticker P&amp;L'!A263</f>
        <v/>
      </c>
      <c r="AM263" s="243" t="str">
        <f>'All Ticker P&amp;L'!B263</f>
        <v/>
      </c>
      <c r="AN263" s="243" t="str">
        <f>'All Ticker P&amp;L'!C263</f>
        <v/>
      </c>
      <c r="AO263" s="243" t="str">
        <f>'All Ticker P&amp;L'!D263</f>
        <v/>
      </c>
      <c r="AP263" s="243">
        <f>IF($AL263="",0,'All Ticker P&amp;L'!E263)</f>
        <v>0</v>
      </c>
      <c r="AQ263" s="266">
        <f>IF($AL263="",0,'All Ticker P&amp;L'!J263*'All Ticker P&amp;L'!I263)</f>
        <v>0</v>
      </c>
      <c r="AR263" s="266">
        <f>IF($AL263="",0,'All Ticker P&amp;L'!L263)</f>
        <v>0</v>
      </c>
      <c r="AS263" s="267">
        <f>IF($AL263="",0,'All Ticker P&amp;L'!M263)</f>
        <v>0</v>
      </c>
      <c r="AT263" s="243" t="str">
        <f>IF($AL263="","",RANK(AR263,$AR$2:$AR$1001)+COUNTIF($AR$2:AR263,AR263)-1)</f>
        <v/>
      </c>
      <c r="AU263" s="243" t="str">
        <f>IF($AL263="","",RANK(AV263,$AV$2:$AV$1001)+COUNTIF($AV$2:AV263,AV263)-1)</f>
        <v/>
      </c>
      <c r="AV263" s="266">
        <f t="shared" si="40"/>
        <v>0</v>
      </c>
    </row>
    <row r="264" spans="26:48" ht="15" customHeight="1" x14ac:dyDescent="0.2">
      <c r="Z264" s="243" t="str">
        <f>Shares!A264</f>
        <v/>
      </c>
      <c r="AA264" s="243" t="str">
        <f>Shares!B264</f>
        <v/>
      </c>
      <c r="AB264" s="243" t="str">
        <f>Shares!C264</f>
        <v/>
      </c>
      <c r="AC264" s="243" t="str">
        <f>Shares!D264</f>
        <v/>
      </c>
      <c r="AD264" s="243">
        <f>IF($Z264="",0,Shares!E264)</f>
        <v>0</v>
      </c>
      <c r="AE264" s="266">
        <f>IF($Z264="",0,Shares!J264*Shares!I264)</f>
        <v>0</v>
      </c>
      <c r="AF264" s="267">
        <f t="shared" si="39"/>
        <v>0</v>
      </c>
      <c r="AG264" s="266">
        <f>IF($Z264="",0,Shares!L264)</f>
        <v>0</v>
      </c>
      <c r="AH264" s="267">
        <f>IF($Z264="",0,Shares!M264)</f>
        <v>0</v>
      </c>
      <c r="AI264" s="243" t="str">
        <f>IF($Z264="","",RANK(AE264,$AE$2:$AE$1001)+COUNTIF($AE$2:AE264,AE264)-1)</f>
        <v/>
      </c>
      <c r="AJ264" s="243" t="str">
        <f>IF($AD264&lt;0,COUNT($AJ$1:AJ263)+1,"")</f>
        <v/>
      </c>
      <c r="AL264" s="243" t="str">
        <f>'All Ticker P&amp;L'!A264</f>
        <v/>
      </c>
      <c r="AM264" s="243" t="str">
        <f>'All Ticker P&amp;L'!B264</f>
        <v/>
      </c>
      <c r="AN264" s="243" t="str">
        <f>'All Ticker P&amp;L'!C264</f>
        <v/>
      </c>
      <c r="AO264" s="243" t="str">
        <f>'All Ticker P&amp;L'!D264</f>
        <v/>
      </c>
      <c r="AP264" s="243">
        <f>IF($AL264="",0,'All Ticker P&amp;L'!E264)</f>
        <v>0</v>
      </c>
      <c r="AQ264" s="266">
        <f>IF($AL264="",0,'All Ticker P&amp;L'!J264*'All Ticker P&amp;L'!I264)</f>
        <v>0</v>
      </c>
      <c r="AR264" s="266">
        <f>IF($AL264="",0,'All Ticker P&amp;L'!L264)</f>
        <v>0</v>
      </c>
      <c r="AS264" s="267">
        <f>IF($AL264="",0,'All Ticker P&amp;L'!M264)</f>
        <v>0</v>
      </c>
      <c r="AT264" s="243" t="str">
        <f>IF($AL264="","",RANK(AR264,$AR$2:$AR$1001)+COUNTIF($AR$2:AR264,AR264)-1)</f>
        <v/>
      </c>
      <c r="AU264" s="243" t="str">
        <f>IF($AL264="","",RANK(AV264,$AV$2:$AV$1001)+COUNTIF($AV$2:AV264,AV264)-1)</f>
        <v/>
      </c>
      <c r="AV264" s="266">
        <f t="shared" si="40"/>
        <v>0</v>
      </c>
    </row>
    <row r="265" spans="26:48" ht="15" customHeight="1" x14ac:dyDescent="0.2">
      <c r="Z265" s="243" t="str">
        <f>Shares!A265</f>
        <v/>
      </c>
      <c r="AA265" s="243" t="str">
        <f>Shares!B265</f>
        <v/>
      </c>
      <c r="AB265" s="243" t="str">
        <f>Shares!C265</f>
        <v/>
      </c>
      <c r="AC265" s="243" t="str">
        <f>Shares!D265</f>
        <v/>
      </c>
      <c r="AD265" s="243">
        <f>IF($Z265="",0,Shares!E265)</f>
        <v>0</v>
      </c>
      <c r="AE265" s="266">
        <f>IF($Z265="",0,Shares!J265*Shares!I265)</f>
        <v>0</v>
      </c>
      <c r="AF265" s="267">
        <f t="shared" si="39"/>
        <v>0</v>
      </c>
      <c r="AG265" s="266">
        <f>IF($Z265="",0,Shares!L265)</f>
        <v>0</v>
      </c>
      <c r="AH265" s="267">
        <f>IF($Z265="",0,Shares!M265)</f>
        <v>0</v>
      </c>
      <c r="AI265" s="243" t="str">
        <f>IF($Z265="","",RANK(AE265,$AE$2:$AE$1001)+COUNTIF($AE$2:AE265,AE265)-1)</f>
        <v/>
      </c>
      <c r="AJ265" s="243" t="str">
        <f>IF($AD265&lt;0,COUNT($AJ$1:AJ264)+1,"")</f>
        <v/>
      </c>
      <c r="AL265" s="243" t="str">
        <f>'All Ticker P&amp;L'!A265</f>
        <v/>
      </c>
      <c r="AM265" s="243" t="str">
        <f>'All Ticker P&amp;L'!B265</f>
        <v/>
      </c>
      <c r="AN265" s="243" t="str">
        <f>'All Ticker P&amp;L'!C265</f>
        <v/>
      </c>
      <c r="AO265" s="243" t="str">
        <f>'All Ticker P&amp;L'!D265</f>
        <v/>
      </c>
      <c r="AP265" s="243">
        <f>IF($AL265="",0,'All Ticker P&amp;L'!E265)</f>
        <v>0</v>
      </c>
      <c r="AQ265" s="266">
        <f>IF($AL265="",0,'All Ticker P&amp;L'!J265*'All Ticker P&amp;L'!I265)</f>
        <v>0</v>
      </c>
      <c r="AR265" s="266">
        <f>IF($AL265="",0,'All Ticker P&amp;L'!L265)</f>
        <v>0</v>
      </c>
      <c r="AS265" s="267">
        <f>IF($AL265="",0,'All Ticker P&amp;L'!M265)</f>
        <v>0</v>
      </c>
      <c r="AT265" s="243" t="str">
        <f>IF($AL265="","",RANK(AR265,$AR$2:$AR$1001)+COUNTIF($AR$2:AR265,AR265)-1)</f>
        <v/>
      </c>
      <c r="AU265" s="243" t="str">
        <f>IF($AL265="","",RANK(AV265,$AV$2:$AV$1001)+COUNTIF($AV$2:AV265,AV265)-1)</f>
        <v/>
      </c>
      <c r="AV265" s="266">
        <f t="shared" si="40"/>
        <v>0</v>
      </c>
    </row>
    <row r="266" spans="26:48" ht="15" customHeight="1" x14ac:dyDescent="0.2">
      <c r="Z266" s="243" t="str">
        <f>Shares!A266</f>
        <v/>
      </c>
      <c r="AA266" s="243" t="str">
        <f>Shares!B266</f>
        <v/>
      </c>
      <c r="AB266" s="243" t="str">
        <f>Shares!C266</f>
        <v/>
      </c>
      <c r="AC266" s="243" t="str">
        <f>Shares!D266</f>
        <v/>
      </c>
      <c r="AD266" s="243">
        <f>IF($Z266="",0,Shares!E266)</f>
        <v>0</v>
      </c>
      <c r="AE266" s="266">
        <f>IF($Z266="",0,Shares!J266*Shares!I266)</f>
        <v>0</v>
      </c>
      <c r="AF266" s="267">
        <f t="shared" si="39"/>
        <v>0</v>
      </c>
      <c r="AG266" s="266">
        <f>IF($Z266="",0,Shares!L266)</f>
        <v>0</v>
      </c>
      <c r="AH266" s="267">
        <f>IF($Z266="",0,Shares!M266)</f>
        <v>0</v>
      </c>
      <c r="AI266" s="243" t="str">
        <f>IF($Z266="","",RANK(AE266,$AE$2:$AE$1001)+COUNTIF($AE$2:AE266,AE266)-1)</f>
        <v/>
      </c>
      <c r="AJ266" s="243" t="str">
        <f>IF($AD266&lt;0,COUNT($AJ$1:AJ265)+1,"")</f>
        <v/>
      </c>
      <c r="AL266" s="243" t="str">
        <f>'All Ticker P&amp;L'!A266</f>
        <v/>
      </c>
      <c r="AM266" s="243" t="str">
        <f>'All Ticker P&amp;L'!B266</f>
        <v/>
      </c>
      <c r="AN266" s="243" t="str">
        <f>'All Ticker P&amp;L'!C266</f>
        <v/>
      </c>
      <c r="AO266" s="243" t="str">
        <f>'All Ticker P&amp;L'!D266</f>
        <v/>
      </c>
      <c r="AP266" s="243">
        <f>IF($AL266="",0,'All Ticker P&amp;L'!E266)</f>
        <v>0</v>
      </c>
      <c r="AQ266" s="266">
        <f>IF($AL266="",0,'All Ticker P&amp;L'!J266*'All Ticker P&amp;L'!I266)</f>
        <v>0</v>
      </c>
      <c r="AR266" s="266">
        <f>IF($AL266="",0,'All Ticker P&amp;L'!L266)</f>
        <v>0</v>
      </c>
      <c r="AS266" s="267">
        <f>IF($AL266="",0,'All Ticker P&amp;L'!M266)</f>
        <v>0</v>
      </c>
      <c r="AT266" s="243" t="str">
        <f>IF($AL266="","",RANK(AR266,$AR$2:$AR$1001)+COUNTIF($AR$2:AR266,AR266)-1)</f>
        <v/>
      </c>
      <c r="AU266" s="243" t="str">
        <f>IF($AL266="","",RANK(AV266,$AV$2:$AV$1001)+COUNTIF($AV$2:AV266,AV266)-1)</f>
        <v/>
      </c>
      <c r="AV266" s="266">
        <f t="shared" si="40"/>
        <v>0</v>
      </c>
    </row>
    <row r="267" spans="26:48" ht="15" customHeight="1" x14ac:dyDescent="0.2">
      <c r="Z267" s="243" t="str">
        <f>Shares!A267</f>
        <v/>
      </c>
      <c r="AA267" s="243" t="str">
        <f>Shares!B267</f>
        <v/>
      </c>
      <c r="AB267" s="243" t="str">
        <f>Shares!C267</f>
        <v/>
      </c>
      <c r="AC267" s="243" t="str">
        <f>Shares!D267</f>
        <v/>
      </c>
      <c r="AD267" s="243">
        <f>IF($Z267="",0,Shares!E267)</f>
        <v>0</v>
      </c>
      <c r="AE267" s="266">
        <f>IF($Z267="",0,Shares!J267*Shares!I267)</f>
        <v>0</v>
      </c>
      <c r="AF267" s="267">
        <f t="shared" si="39"/>
        <v>0</v>
      </c>
      <c r="AG267" s="266">
        <f>IF($Z267="",0,Shares!L267)</f>
        <v>0</v>
      </c>
      <c r="AH267" s="267">
        <f>IF($Z267="",0,Shares!M267)</f>
        <v>0</v>
      </c>
      <c r="AI267" s="243" t="str">
        <f>IF($Z267="","",RANK(AE267,$AE$2:$AE$1001)+COUNTIF($AE$2:AE267,AE267)-1)</f>
        <v/>
      </c>
      <c r="AJ267" s="243" t="str">
        <f>IF($AD267&lt;0,COUNT($AJ$1:AJ266)+1,"")</f>
        <v/>
      </c>
      <c r="AL267" s="243" t="str">
        <f>'All Ticker P&amp;L'!A267</f>
        <v/>
      </c>
      <c r="AM267" s="243" t="str">
        <f>'All Ticker P&amp;L'!B267</f>
        <v/>
      </c>
      <c r="AN267" s="243" t="str">
        <f>'All Ticker P&amp;L'!C267</f>
        <v/>
      </c>
      <c r="AO267" s="243" t="str">
        <f>'All Ticker P&amp;L'!D267</f>
        <v/>
      </c>
      <c r="AP267" s="243">
        <f>IF($AL267="",0,'All Ticker P&amp;L'!E267)</f>
        <v>0</v>
      </c>
      <c r="AQ267" s="266">
        <f>IF($AL267="",0,'All Ticker P&amp;L'!J267*'All Ticker P&amp;L'!I267)</f>
        <v>0</v>
      </c>
      <c r="AR267" s="266">
        <f>IF($AL267="",0,'All Ticker P&amp;L'!L267)</f>
        <v>0</v>
      </c>
      <c r="AS267" s="267">
        <f>IF($AL267="",0,'All Ticker P&amp;L'!M267)</f>
        <v>0</v>
      </c>
      <c r="AT267" s="243" t="str">
        <f>IF($AL267="","",RANK(AR267,$AR$2:$AR$1001)+COUNTIF($AR$2:AR267,AR267)-1)</f>
        <v/>
      </c>
      <c r="AU267" s="243" t="str">
        <f>IF($AL267="","",RANK(AV267,$AV$2:$AV$1001)+COUNTIF($AV$2:AV267,AV267)-1)</f>
        <v/>
      </c>
      <c r="AV267" s="266">
        <f t="shared" si="40"/>
        <v>0</v>
      </c>
    </row>
    <row r="268" spans="26:48" ht="15" customHeight="1" x14ac:dyDescent="0.2">
      <c r="Z268" s="243" t="str">
        <f>Shares!A268</f>
        <v/>
      </c>
      <c r="AA268" s="243" t="str">
        <f>Shares!B268</f>
        <v/>
      </c>
      <c r="AB268" s="243" t="str">
        <f>Shares!C268</f>
        <v/>
      </c>
      <c r="AC268" s="243" t="str">
        <f>Shares!D268</f>
        <v/>
      </c>
      <c r="AD268" s="243">
        <f>IF($Z268="",0,Shares!E268)</f>
        <v>0</v>
      </c>
      <c r="AE268" s="266">
        <f>IF($Z268="",0,Shares!J268*Shares!I268)</f>
        <v>0</v>
      </c>
      <c r="AF268" s="267">
        <f t="shared" si="39"/>
        <v>0</v>
      </c>
      <c r="AG268" s="266">
        <f>IF($Z268="",0,Shares!L268)</f>
        <v>0</v>
      </c>
      <c r="AH268" s="267">
        <f>IF($Z268="",0,Shares!M268)</f>
        <v>0</v>
      </c>
      <c r="AI268" s="243" t="str">
        <f>IF($Z268="","",RANK(AE268,$AE$2:$AE$1001)+COUNTIF($AE$2:AE268,AE268)-1)</f>
        <v/>
      </c>
      <c r="AJ268" s="243" t="str">
        <f>IF($AD268&lt;0,COUNT($AJ$1:AJ267)+1,"")</f>
        <v/>
      </c>
      <c r="AL268" s="243" t="str">
        <f>'All Ticker P&amp;L'!A268</f>
        <v/>
      </c>
      <c r="AM268" s="243" t="str">
        <f>'All Ticker P&amp;L'!B268</f>
        <v/>
      </c>
      <c r="AN268" s="243" t="str">
        <f>'All Ticker P&amp;L'!C268</f>
        <v/>
      </c>
      <c r="AO268" s="243" t="str">
        <f>'All Ticker P&amp;L'!D268</f>
        <v/>
      </c>
      <c r="AP268" s="243">
        <f>IF($AL268="",0,'All Ticker P&amp;L'!E268)</f>
        <v>0</v>
      </c>
      <c r="AQ268" s="266">
        <f>IF($AL268="",0,'All Ticker P&amp;L'!J268*'All Ticker P&amp;L'!I268)</f>
        <v>0</v>
      </c>
      <c r="AR268" s="266">
        <f>IF($AL268="",0,'All Ticker P&amp;L'!L268)</f>
        <v>0</v>
      </c>
      <c r="AS268" s="267">
        <f>IF($AL268="",0,'All Ticker P&amp;L'!M268)</f>
        <v>0</v>
      </c>
      <c r="AT268" s="243" t="str">
        <f>IF($AL268="","",RANK(AR268,$AR$2:$AR$1001)+COUNTIF($AR$2:AR268,AR268)-1)</f>
        <v/>
      </c>
      <c r="AU268" s="243" t="str">
        <f>IF($AL268="","",RANK(AV268,$AV$2:$AV$1001)+COUNTIF($AV$2:AV268,AV268)-1)</f>
        <v/>
      </c>
      <c r="AV268" s="266">
        <f t="shared" si="40"/>
        <v>0</v>
      </c>
    </row>
    <row r="269" spans="26:48" ht="15" customHeight="1" x14ac:dyDescent="0.2">
      <c r="Z269" s="243" t="str">
        <f>Shares!A269</f>
        <v/>
      </c>
      <c r="AA269" s="243" t="str">
        <f>Shares!B269</f>
        <v/>
      </c>
      <c r="AB269" s="243" t="str">
        <f>Shares!C269</f>
        <v/>
      </c>
      <c r="AC269" s="243" t="str">
        <f>Shares!D269</f>
        <v/>
      </c>
      <c r="AD269" s="243">
        <f>IF($Z269="",0,Shares!E269)</f>
        <v>0</v>
      </c>
      <c r="AE269" s="266">
        <f>IF($Z269="",0,Shares!J269*Shares!I269)</f>
        <v>0</v>
      </c>
      <c r="AF269" s="267">
        <f t="shared" si="39"/>
        <v>0</v>
      </c>
      <c r="AG269" s="266">
        <f>IF($Z269="",0,Shares!L269)</f>
        <v>0</v>
      </c>
      <c r="AH269" s="267">
        <f>IF($Z269="",0,Shares!M269)</f>
        <v>0</v>
      </c>
      <c r="AI269" s="243" t="str">
        <f>IF($Z269="","",RANK(AE269,$AE$2:$AE$1001)+COUNTIF($AE$2:AE269,AE269)-1)</f>
        <v/>
      </c>
      <c r="AJ269" s="243" t="str">
        <f>IF($AD269&lt;0,COUNT($AJ$1:AJ268)+1,"")</f>
        <v/>
      </c>
      <c r="AL269" s="243" t="str">
        <f>'All Ticker P&amp;L'!A269</f>
        <v/>
      </c>
      <c r="AM269" s="243" t="str">
        <f>'All Ticker P&amp;L'!B269</f>
        <v/>
      </c>
      <c r="AN269" s="243" t="str">
        <f>'All Ticker P&amp;L'!C269</f>
        <v/>
      </c>
      <c r="AO269" s="243" t="str">
        <f>'All Ticker P&amp;L'!D269</f>
        <v/>
      </c>
      <c r="AP269" s="243">
        <f>IF($AL269="",0,'All Ticker P&amp;L'!E269)</f>
        <v>0</v>
      </c>
      <c r="AQ269" s="266">
        <f>IF($AL269="",0,'All Ticker P&amp;L'!J269*'All Ticker P&amp;L'!I269)</f>
        <v>0</v>
      </c>
      <c r="AR269" s="266">
        <f>IF($AL269="",0,'All Ticker P&amp;L'!L269)</f>
        <v>0</v>
      </c>
      <c r="AS269" s="267">
        <f>IF($AL269="",0,'All Ticker P&amp;L'!M269)</f>
        <v>0</v>
      </c>
      <c r="AT269" s="243" t="str">
        <f>IF($AL269="","",RANK(AR269,$AR$2:$AR$1001)+COUNTIF($AR$2:AR269,AR269)-1)</f>
        <v/>
      </c>
      <c r="AU269" s="243" t="str">
        <f>IF($AL269="","",RANK(AV269,$AV$2:$AV$1001)+COUNTIF($AV$2:AV269,AV269)-1)</f>
        <v/>
      </c>
      <c r="AV269" s="266">
        <f t="shared" si="40"/>
        <v>0</v>
      </c>
    </row>
    <row r="270" spans="26:48" ht="15" customHeight="1" x14ac:dyDescent="0.2">
      <c r="Z270" s="243" t="str">
        <f>Shares!A270</f>
        <v/>
      </c>
      <c r="AA270" s="243" t="str">
        <f>Shares!B270</f>
        <v/>
      </c>
      <c r="AB270" s="243" t="str">
        <f>Shares!C270</f>
        <v/>
      </c>
      <c r="AC270" s="243" t="str">
        <f>Shares!D270</f>
        <v/>
      </c>
      <c r="AD270" s="243">
        <f>IF($Z270="",0,Shares!E270)</f>
        <v>0</v>
      </c>
      <c r="AE270" s="266">
        <f>IF($Z270="",0,Shares!J270*Shares!I270)</f>
        <v>0</v>
      </c>
      <c r="AF270" s="267">
        <f t="shared" si="39"/>
        <v>0</v>
      </c>
      <c r="AG270" s="266">
        <f>IF($Z270="",0,Shares!L270)</f>
        <v>0</v>
      </c>
      <c r="AH270" s="267">
        <f>IF($Z270="",0,Shares!M270)</f>
        <v>0</v>
      </c>
      <c r="AI270" s="243" t="str">
        <f>IF($Z270="","",RANK(AE270,$AE$2:$AE$1001)+COUNTIF($AE$2:AE270,AE270)-1)</f>
        <v/>
      </c>
      <c r="AJ270" s="243" t="str">
        <f>IF($AD270&lt;0,COUNT($AJ$1:AJ269)+1,"")</f>
        <v/>
      </c>
      <c r="AL270" s="243" t="str">
        <f>'All Ticker P&amp;L'!A270</f>
        <v/>
      </c>
      <c r="AM270" s="243" t="str">
        <f>'All Ticker P&amp;L'!B270</f>
        <v/>
      </c>
      <c r="AN270" s="243" t="str">
        <f>'All Ticker P&amp;L'!C270</f>
        <v/>
      </c>
      <c r="AO270" s="243" t="str">
        <f>'All Ticker P&amp;L'!D270</f>
        <v/>
      </c>
      <c r="AP270" s="243">
        <f>IF($AL270="",0,'All Ticker P&amp;L'!E270)</f>
        <v>0</v>
      </c>
      <c r="AQ270" s="266">
        <f>IF($AL270="",0,'All Ticker P&amp;L'!J270*'All Ticker P&amp;L'!I270)</f>
        <v>0</v>
      </c>
      <c r="AR270" s="266">
        <f>IF($AL270="",0,'All Ticker P&amp;L'!L270)</f>
        <v>0</v>
      </c>
      <c r="AS270" s="267">
        <f>IF($AL270="",0,'All Ticker P&amp;L'!M270)</f>
        <v>0</v>
      </c>
      <c r="AT270" s="243" t="str">
        <f>IF($AL270="","",RANK(AR270,$AR$2:$AR$1001)+COUNTIF($AR$2:AR270,AR270)-1)</f>
        <v/>
      </c>
      <c r="AU270" s="243" t="str">
        <f>IF($AL270="","",RANK(AV270,$AV$2:$AV$1001)+COUNTIF($AV$2:AV270,AV270)-1)</f>
        <v/>
      </c>
      <c r="AV270" s="266">
        <f t="shared" si="40"/>
        <v>0</v>
      </c>
    </row>
    <row r="271" spans="26:48" ht="15" customHeight="1" x14ac:dyDescent="0.2">
      <c r="Z271" s="243" t="str">
        <f>Shares!A271</f>
        <v/>
      </c>
      <c r="AA271" s="243" t="str">
        <f>Shares!B271</f>
        <v/>
      </c>
      <c r="AB271" s="243" t="str">
        <f>Shares!C271</f>
        <v/>
      </c>
      <c r="AC271" s="243" t="str">
        <f>Shares!D271</f>
        <v/>
      </c>
      <c r="AD271" s="243">
        <f>IF($Z271="",0,Shares!E271)</f>
        <v>0</v>
      </c>
      <c r="AE271" s="266">
        <f>IF($Z271="",0,Shares!J271*Shares!I271)</f>
        <v>0</v>
      </c>
      <c r="AF271" s="267">
        <f t="shared" si="39"/>
        <v>0</v>
      </c>
      <c r="AG271" s="266">
        <f>IF($Z271="",0,Shares!L271)</f>
        <v>0</v>
      </c>
      <c r="AH271" s="267">
        <f>IF($Z271="",0,Shares!M271)</f>
        <v>0</v>
      </c>
      <c r="AI271" s="243" t="str">
        <f>IF($Z271="","",RANK(AE271,$AE$2:$AE$1001)+COUNTIF($AE$2:AE271,AE271)-1)</f>
        <v/>
      </c>
      <c r="AJ271" s="243" t="str">
        <f>IF($AD271&lt;0,COUNT($AJ$1:AJ270)+1,"")</f>
        <v/>
      </c>
      <c r="AL271" s="243" t="str">
        <f>'All Ticker P&amp;L'!A271</f>
        <v/>
      </c>
      <c r="AM271" s="243" t="str">
        <f>'All Ticker P&amp;L'!B271</f>
        <v/>
      </c>
      <c r="AN271" s="243" t="str">
        <f>'All Ticker P&amp;L'!C271</f>
        <v/>
      </c>
      <c r="AO271" s="243" t="str">
        <f>'All Ticker P&amp;L'!D271</f>
        <v/>
      </c>
      <c r="AP271" s="243">
        <f>IF($AL271="",0,'All Ticker P&amp;L'!E271)</f>
        <v>0</v>
      </c>
      <c r="AQ271" s="266">
        <f>IF($AL271="",0,'All Ticker P&amp;L'!J271*'All Ticker P&amp;L'!I271)</f>
        <v>0</v>
      </c>
      <c r="AR271" s="266">
        <f>IF($AL271="",0,'All Ticker P&amp;L'!L271)</f>
        <v>0</v>
      </c>
      <c r="AS271" s="267">
        <f>IF($AL271="",0,'All Ticker P&amp;L'!M271)</f>
        <v>0</v>
      </c>
      <c r="AT271" s="243" t="str">
        <f>IF($AL271="","",RANK(AR271,$AR$2:$AR$1001)+COUNTIF($AR$2:AR271,AR271)-1)</f>
        <v/>
      </c>
      <c r="AU271" s="243" t="str">
        <f>IF($AL271="","",RANK(AV271,$AV$2:$AV$1001)+COUNTIF($AV$2:AV271,AV271)-1)</f>
        <v/>
      </c>
      <c r="AV271" s="266">
        <f t="shared" si="40"/>
        <v>0</v>
      </c>
    </row>
    <row r="272" spans="26:48" ht="15" customHeight="1" x14ac:dyDescent="0.2">
      <c r="Z272" s="243" t="str">
        <f>Shares!A272</f>
        <v/>
      </c>
      <c r="AA272" s="243" t="str">
        <f>Shares!B272</f>
        <v/>
      </c>
      <c r="AB272" s="243" t="str">
        <f>Shares!C272</f>
        <v/>
      </c>
      <c r="AC272" s="243" t="str">
        <f>Shares!D272</f>
        <v/>
      </c>
      <c r="AD272" s="243">
        <f>IF($Z272="",0,Shares!E272)</f>
        <v>0</v>
      </c>
      <c r="AE272" s="266">
        <f>IF($Z272="",0,Shares!J272*Shares!I272)</f>
        <v>0</v>
      </c>
      <c r="AF272" s="267">
        <f t="shared" si="39"/>
        <v>0</v>
      </c>
      <c r="AG272" s="266">
        <f>IF($Z272="",0,Shares!L272)</f>
        <v>0</v>
      </c>
      <c r="AH272" s="267">
        <f>IF($Z272="",0,Shares!M272)</f>
        <v>0</v>
      </c>
      <c r="AI272" s="243" t="str">
        <f>IF($Z272="","",RANK(AE272,$AE$2:$AE$1001)+COUNTIF($AE$2:AE272,AE272)-1)</f>
        <v/>
      </c>
      <c r="AJ272" s="243" t="str">
        <f>IF($AD272&lt;0,COUNT($AJ$1:AJ271)+1,"")</f>
        <v/>
      </c>
      <c r="AL272" s="243" t="str">
        <f>'All Ticker P&amp;L'!A272</f>
        <v/>
      </c>
      <c r="AM272" s="243" t="str">
        <f>'All Ticker P&amp;L'!B272</f>
        <v/>
      </c>
      <c r="AN272" s="243" t="str">
        <f>'All Ticker P&amp;L'!C272</f>
        <v/>
      </c>
      <c r="AO272" s="243" t="str">
        <f>'All Ticker P&amp;L'!D272</f>
        <v/>
      </c>
      <c r="AP272" s="243">
        <f>IF($AL272="",0,'All Ticker P&amp;L'!E272)</f>
        <v>0</v>
      </c>
      <c r="AQ272" s="266">
        <f>IF($AL272="",0,'All Ticker P&amp;L'!J272*'All Ticker P&amp;L'!I272)</f>
        <v>0</v>
      </c>
      <c r="AR272" s="266">
        <f>IF($AL272="",0,'All Ticker P&amp;L'!L272)</f>
        <v>0</v>
      </c>
      <c r="AS272" s="267">
        <f>IF($AL272="",0,'All Ticker P&amp;L'!M272)</f>
        <v>0</v>
      </c>
      <c r="AT272" s="243" t="str">
        <f>IF($AL272="","",RANK(AR272,$AR$2:$AR$1001)+COUNTIF($AR$2:AR272,AR272)-1)</f>
        <v/>
      </c>
      <c r="AU272" s="243" t="str">
        <f>IF($AL272="","",RANK(AV272,$AV$2:$AV$1001)+COUNTIF($AV$2:AV272,AV272)-1)</f>
        <v/>
      </c>
      <c r="AV272" s="266">
        <f t="shared" si="40"/>
        <v>0</v>
      </c>
    </row>
    <row r="273" spans="26:48" ht="15" customHeight="1" x14ac:dyDescent="0.2">
      <c r="Z273" s="243" t="str">
        <f>Shares!A273</f>
        <v/>
      </c>
      <c r="AA273" s="243" t="str">
        <f>Shares!B273</f>
        <v/>
      </c>
      <c r="AB273" s="243" t="str">
        <f>Shares!C273</f>
        <v/>
      </c>
      <c r="AC273" s="243" t="str">
        <f>Shares!D273</f>
        <v/>
      </c>
      <c r="AD273" s="243">
        <f>IF($Z273="",0,Shares!E273)</f>
        <v>0</v>
      </c>
      <c r="AE273" s="266">
        <f>IF($Z273="",0,Shares!J273*Shares!I273)</f>
        <v>0</v>
      </c>
      <c r="AF273" s="267">
        <f t="shared" si="39"/>
        <v>0</v>
      </c>
      <c r="AG273" s="266">
        <f>IF($Z273="",0,Shares!L273)</f>
        <v>0</v>
      </c>
      <c r="AH273" s="267">
        <f>IF($Z273="",0,Shares!M273)</f>
        <v>0</v>
      </c>
      <c r="AI273" s="243" t="str">
        <f>IF($Z273="","",RANK(AE273,$AE$2:$AE$1001)+COUNTIF($AE$2:AE273,AE273)-1)</f>
        <v/>
      </c>
      <c r="AJ273" s="243" t="str">
        <f>IF($AD273&lt;0,COUNT($AJ$1:AJ272)+1,"")</f>
        <v/>
      </c>
      <c r="AL273" s="243" t="str">
        <f>'All Ticker P&amp;L'!A273</f>
        <v/>
      </c>
      <c r="AM273" s="243" t="str">
        <f>'All Ticker P&amp;L'!B273</f>
        <v/>
      </c>
      <c r="AN273" s="243" t="str">
        <f>'All Ticker P&amp;L'!C273</f>
        <v/>
      </c>
      <c r="AO273" s="243" t="str">
        <f>'All Ticker P&amp;L'!D273</f>
        <v/>
      </c>
      <c r="AP273" s="243">
        <f>IF($AL273="",0,'All Ticker P&amp;L'!E273)</f>
        <v>0</v>
      </c>
      <c r="AQ273" s="266">
        <f>IF($AL273="",0,'All Ticker P&amp;L'!J273*'All Ticker P&amp;L'!I273)</f>
        <v>0</v>
      </c>
      <c r="AR273" s="266">
        <f>IF($AL273="",0,'All Ticker P&amp;L'!L273)</f>
        <v>0</v>
      </c>
      <c r="AS273" s="267">
        <f>IF($AL273="",0,'All Ticker P&amp;L'!M273)</f>
        <v>0</v>
      </c>
      <c r="AT273" s="243" t="str">
        <f>IF($AL273="","",RANK(AR273,$AR$2:$AR$1001)+COUNTIF($AR$2:AR273,AR273)-1)</f>
        <v/>
      </c>
      <c r="AU273" s="243" t="str">
        <f>IF($AL273="","",RANK(AV273,$AV$2:$AV$1001)+COUNTIF($AV$2:AV273,AV273)-1)</f>
        <v/>
      </c>
      <c r="AV273" s="266">
        <f t="shared" si="40"/>
        <v>0</v>
      </c>
    </row>
    <row r="274" spans="26:48" ht="15" customHeight="1" x14ac:dyDescent="0.2">
      <c r="Z274" s="243" t="str">
        <f>Shares!A274</f>
        <v/>
      </c>
      <c r="AA274" s="243" t="str">
        <f>Shares!B274</f>
        <v/>
      </c>
      <c r="AB274" s="243" t="str">
        <f>Shares!C274</f>
        <v/>
      </c>
      <c r="AC274" s="243" t="str">
        <f>Shares!D274</f>
        <v/>
      </c>
      <c r="AD274" s="243">
        <f>IF($Z274="",0,Shares!E274)</f>
        <v>0</v>
      </c>
      <c r="AE274" s="266">
        <f>IF($Z274="",0,Shares!J274*Shares!I274)</f>
        <v>0</v>
      </c>
      <c r="AF274" s="267">
        <f t="shared" si="39"/>
        <v>0</v>
      </c>
      <c r="AG274" s="266">
        <f>IF($Z274="",0,Shares!L274)</f>
        <v>0</v>
      </c>
      <c r="AH274" s="267">
        <f>IF($Z274="",0,Shares!M274)</f>
        <v>0</v>
      </c>
      <c r="AI274" s="243" t="str">
        <f>IF($Z274="","",RANK(AE274,$AE$2:$AE$1001)+COUNTIF($AE$2:AE274,AE274)-1)</f>
        <v/>
      </c>
      <c r="AJ274" s="243" t="str">
        <f>IF($AD274&lt;0,COUNT($AJ$1:AJ273)+1,"")</f>
        <v/>
      </c>
      <c r="AL274" s="243" t="str">
        <f>'All Ticker P&amp;L'!A274</f>
        <v/>
      </c>
      <c r="AM274" s="243" t="str">
        <f>'All Ticker P&amp;L'!B274</f>
        <v/>
      </c>
      <c r="AN274" s="243" t="str">
        <f>'All Ticker P&amp;L'!C274</f>
        <v/>
      </c>
      <c r="AO274" s="243" t="str">
        <f>'All Ticker P&amp;L'!D274</f>
        <v/>
      </c>
      <c r="AP274" s="243">
        <f>IF($AL274="",0,'All Ticker P&amp;L'!E274)</f>
        <v>0</v>
      </c>
      <c r="AQ274" s="266">
        <f>IF($AL274="",0,'All Ticker P&amp;L'!J274*'All Ticker P&amp;L'!I274)</f>
        <v>0</v>
      </c>
      <c r="AR274" s="266">
        <f>IF($AL274="",0,'All Ticker P&amp;L'!L274)</f>
        <v>0</v>
      </c>
      <c r="AS274" s="267">
        <f>IF($AL274="",0,'All Ticker P&amp;L'!M274)</f>
        <v>0</v>
      </c>
      <c r="AT274" s="243" t="str">
        <f>IF($AL274="","",RANK(AR274,$AR$2:$AR$1001)+COUNTIF($AR$2:AR274,AR274)-1)</f>
        <v/>
      </c>
      <c r="AU274" s="243" t="str">
        <f>IF($AL274="","",RANK(AV274,$AV$2:$AV$1001)+COUNTIF($AV$2:AV274,AV274)-1)</f>
        <v/>
      </c>
      <c r="AV274" s="266">
        <f t="shared" si="40"/>
        <v>0</v>
      </c>
    </row>
    <row r="275" spans="26:48" ht="15" customHeight="1" x14ac:dyDescent="0.2">
      <c r="Z275" s="243" t="str">
        <f>Shares!A275</f>
        <v/>
      </c>
      <c r="AA275" s="243" t="str">
        <f>Shares!B275</f>
        <v/>
      </c>
      <c r="AB275" s="243" t="str">
        <f>Shares!C275</f>
        <v/>
      </c>
      <c r="AC275" s="243" t="str">
        <f>Shares!D275</f>
        <v/>
      </c>
      <c r="AD275" s="243">
        <f>IF($Z275="",0,Shares!E275)</f>
        <v>0</v>
      </c>
      <c r="AE275" s="266">
        <f>IF($Z275="",0,Shares!J275*Shares!I275)</f>
        <v>0</v>
      </c>
      <c r="AF275" s="267">
        <f t="shared" si="39"/>
        <v>0</v>
      </c>
      <c r="AG275" s="266">
        <f>IF($Z275="",0,Shares!L275)</f>
        <v>0</v>
      </c>
      <c r="AH275" s="267">
        <f>IF($Z275="",0,Shares!M275)</f>
        <v>0</v>
      </c>
      <c r="AI275" s="243" t="str">
        <f>IF($Z275="","",RANK(AE275,$AE$2:$AE$1001)+COUNTIF($AE$2:AE275,AE275)-1)</f>
        <v/>
      </c>
      <c r="AJ275" s="243" t="str">
        <f>IF($AD275&lt;0,COUNT($AJ$1:AJ274)+1,"")</f>
        <v/>
      </c>
      <c r="AL275" s="243" t="str">
        <f>'All Ticker P&amp;L'!A275</f>
        <v/>
      </c>
      <c r="AM275" s="243" t="str">
        <f>'All Ticker P&amp;L'!B275</f>
        <v/>
      </c>
      <c r="AN275" s="243" t="str">
        <f>'All Ticker P&amp;L'!C275</f>
        <v/>
      </c>
      <c r="AO275" s="243" t="str">
        <f>'All Ticker P&amp;L'!D275</f>
        <v/>
      </c>
      <c r="AP275" s="243">
        <f>IF($AL275="",0,'All Ticker P&amp;L'!E275)</f>
        <v>0</v>
      </c>
      <c r="AQ275" s="266">
        <f>IF($AL275="",0,'All Ticker P&amp;L'!J275*'All Ticker P&amp;L'!I275)</f>
        <v>0</v>
      </c>
      <c r="AR275" s="266">
        <f>IF($AL275="",0,'All Ticker P&amp;L'!L275)</f>
        <v>0</v>
      </c>
      <c r="AS275" s="267">
        <f>IF($AL275="",0,'All Ticker P&amp;L'!M275)</f>
        <v>0</v>
      </c>
      <c r="AT275" s="243" t="str">
        <f>IF($AL275="","",RANK(AR275,$AR$2:$AR$1001)+COUNTIF($AR$2:AR275,AR275)-1)</f>
        <v/>
      </c>
      <c r="AU275" s="243" t="str">
        <f>IF($AL275="","",RANK(AV275,$AV$2:$AV$1001)+COUNTIF($AV$2:AV275,AV275)-1)</f>
        <v/>
      </c>
      <c r="AV275" s="266">
        <f t="shared" si="40"/>
        <v>0</v>
      </c>
    </row>
    <row r="276" spans="26:48" ht="15" customHeight="1" x14ac:dyDescent="0.2">
      <c r="Z276" s="243" t="str">
        <f>Shares!A276</f>
        <v/>
      </c>
      <c r="AA276" s="243" t="str">
        <f>Shares!B276</f>
        <v/>
      </c>
      <c r="AB276" s="243" t="str">
        <f>Shares!C276</f>
        <v/>
      </c>
      <c r="AC276" s="243" t="str">
        <f>Shares!D276</f>
        <v/>
      </c>
      <c r="AD276" s="243">
        <f>IF($Z276="",0,Shares!E276)</f>
        <v>0</v>
      </c>
      <c r="AE276" s="266">
        <f>IF($Z276="",0,Shares!J276*Shares!I276)</f>
        <v>0</v>
      </c>
      <c r="AF276" s="267">
        <f t="shared" si="39"/>
        <v>0</v>
      </c>
      <c r="AG276" s="266">
        <f>IF($Z276="",0,Shares!L276)</f>
        <v>0</v>
      </c>
      <c r="AH276" s="267">
        <f>IF($Z276="",0,Shares!M276)</f>
        <v>0</v>
      </c>
      <c r="AI276" s="243" t="str">
        <f>IF($Z276="","",RANK(AE276,$AE$2:$AE$1001)+COUNTIF($AE$2:AE276,AE276)-1)</f>
        <v/>
      </c>
      <c r="AJ276" s="243" t="str">
        <f>IF($AD276&lt;0,COUNT($AJ$1:AJ275)+1,"")</f>
        <v/>
      </c>
      <c r="AL276" s="243" t="str">
        <f>'All Ticker P&amp;L'!A276</f>
        <v/>
      </c>
      <c r="AM276" s="243" t="str">
        <f>'All Ticker P&amp;L'!B276</f>
        <v/>
      </c>
      <c r="AN276" s="243" t="str">
        <f>'All Ticker P&amp;L'!C276</f>
        <v/>
      </c>
      <c r="AO276" s="243" t="str">
        <f>'All Ticker P&amp;L'!D276</f>
        <v/>
      </c>
      <c r="AP276" s="243">
        <f>IF($AL276="",0,'All Ticker P&amp;L'!E276)</f>
        <v>0</v>
      </c>
      <c r="AQ276" s="266">
        <f>IF($AL276="",0,'All Ticker P&amp;L'!J276*'All Ticker P&amp;L'!I276)</f>
        <v>0</v>
      </c>
      <c r="AR276" s="266">
        <f>IF($AL276="",0,'All Ticker P&amp;L'!L276)</f>
        <v>0</v>
      </c>
      <c r="AS276" s="267">
        <f>IF($AL276="",0,'All Ticker P&amp;L'!M276)</f>
        <v>0</v>
      </c>
      <c r="AT276" s="243" t="str">
        <f>IF($AL276="","",RANK(AR276,$AR$2:$AR$1001)+COUNTIF($AR$2:AR276,AR276)-1)</f>
        <v/>
      </c>
      <c r="AU276" s="243" t="str">
        <f>IF($AL276="","",RANK(AV276,$AV$2:$AV$1001)+COUNTIF($AV$2:AV276,AV276)-1)</f>
        <v/>
      </c>
      <c r="AV276" s="266">
        <f t="shared" si="40"/>
        <v>0</v>
      </c>
    </row>
    <row r="277" spans="26:48" ht="15" customHeight="1" x14ac:dyDescent="0.2">
      <c r="Z277" s="243" t="str">
        <f>Shares!A277</f>
        <v/>
      </c>
      <c r="AA277" s="243" t="str">
        <f>Shares!B277</f>
        <v/>
      </c>
      <c r="AB277" s="243" t="str">
        <f>Shares!C277</f>
        <v/>
      </c>
      <c r="AC277" s="243" t="str">
        <f>Shares!D277</f>
        <v/>
      </c>
      <c r="AD277" s="243">
        <f>IF($Z277="",0,Shares!E277)</f>
        <v>0</v>
      </c>
      <c r="AE277" s="266">
        <f>IF($Z277="",0,Shares!J277*Shares!I277)</f>
        <v>0</v>
      </c>
      <c r="AF277" s="267">
        <f t="shared" si="39"/>
        <v>0</v>
      </c>
      <c r="AG277" s="266">
        <f>IF($Z277="",0,Shares!L277)</f>
        <v>0</v>
      </c>
      <c r="AH277" s="267">
        <f>IF($Z277="",0,Shares!M277)</f>
        <v>0</v>
      </c>
      <c r="AI277" s="243" t="str">
        <f>IF($Z277="","",RANK(AE277,$AE$2:$AE$1001)+COUNTIF($AE$2:AE277,AE277)-1)</f>
        <v/>
      </c>
      <c r="AJ277" s="243" t="str">
        <f>IF($AD277&lt;0,COUNT($AJ$1:AJ276)+1,"")</f>
        <v/>
      </c>
      <c r="AL277" s="243" t="str">
        <f>'All Ticker P&amp;L'!A277</f>
        <v/>
      </c>
      <c r="AM277" s="243" t="str">
        <f>'All Ticker P&amp;L'!B277</f>
        <v/>
      </c>
      <c r="AN277" s="243" t="str">
        <f>'All Ticker P&amp;L'!C277</f>
        <v/>
      </c>
      <c r="AO277" s="243" t="str">
        <f>'All Ticker P&amp;L'!D277</f>
        <v/>
      </c>
      <c r="AP277" s="243">
        <f>IF($AL277="",0,'All Ticker P&amp;L'!E277)</f>
        <v>0</v>
      </c>
      <c r="AQ277" s="266">
        <f>IF($AL277="",0,'All Ticker P&amp;L'!J277*'All Ticker P&amp;L'!I277)</f>
        <v>0</v>
      </c>
      <c r="AR277" s="266">
        <f>IF($AL277="",0,'All Ticker P&amp;L'!L277)</f>
        <v>0</v>
      </c>
      <c r="AS277" s="267">
        <f>IF($AL277="",0,'All Ticker P&amp;L'!M277)</f>
        <v>0</v>
      </c>
      <c r="AT277" s="243" t="str">
        <f>IF($AL277="","",RANK(AR277,$AR$2:$AR$1001)+COUNTIF($AR$2:AR277,AR277)-1)</f>
        <v/>
      </c>
      <c r="AU277" s="243" t="str">
        <f>IF($AL277="","",RANK(AV277,$AV$2:$AV$1001)+COUNTIF($AV$2:AV277,AV277)-1)</f>
        <v/>
      </c>
      <c r="AV277" s="266">
        <f t="shared" si="40"/>
        <v>0</v>
      </c>
    </row>
    <row r="278" spans="26:48" ht="15" customHeight="1" x14ac:dyDescent="0.2">
      <c r="Z278" s="243" t="str">
        <f>Shares!A278</f>
        <v/>
      </c>
      <c r="AA278" s="243" t="str">
        <f>Shares!B278</f>
        <v/>
      </c>
      <c r="AB278" s="243" t="str">
        <f>Shares!C278</f>
        <v/>
      </c>
      <c r="AC278" s="243" t="str">
        <f>Shares!D278</f>
        <v/>
      </c>
      <c r="AD278" s="243">
        <f>IF($Z278="",0,Shares!E278)</f>
        <v>0</v>
      </c>
      <c r="AE278" s="266">
        <f>IF($Z278="",0,Shares!J278*Shares!I278)</f>
        <v>0</v>
      </c>
      <c r="AF278" s="267">
        <f t="shared" si="39"/>
        <v>0</v>
      </c>
      <c r="AG278" s="266">
        <f>IF($Z278="",0,Shares!L278)</f>
        <v>0</v>
      </c>
      <c r="AH278" s="267">
        <f>IF($Z278="",0,Shares!M278)</f>
        <v>0</v>
      </c>
      <c r="AI278" s="243" t="str">
        <f>IF($Z278="","",RANK(AE278,$AE$2:$AE$1001)+COUNTIF($AE$2:AE278,AE278)-1)</f>
        <v/>
      </c>
      <c r="AJ278" s="243" t="str">
        <f>IF($AD278&lt;0,COUNT($AJ$1:AJ277)+1,"")</f>
        <v/>
      </c>
      <c r="AL278" s="243" t="str">
        <f>'All Ticker P&amp;L'!A278</f>
        <v/>
      </c>
      <c r="AM278" s="243" t="str">
        <f>'All Ticker P&amp;L'!B278</f>
        <v/>
      </c>
      <c r="AN278" s="243" t="str">
        <f>'All Ticker P&amp;L'!C278</f>
        <v/>
      </c>
      <c r="AO278" s="243" t="str">
        <f>'All Ticker P&amp;L'!D278</f>
        <v/>
      </c>
      <c r="AP278" s="243">
        <f>IF($AL278="",0,'All Ticker P&amp;L'!E278)</f>
        <v>0</v>
      </c>
      <c r="AQ278" s="266">
        <f>IF($AL278="",0,'All Ticker P&amp;L'!J278*'All Ticker P&amp;L'!I278)</f>
        <v>0</v>
      </c>
      <c r="AR278" s="266">
        <f>IF($AL278="",0,'All Ticker P&amp;L'!L278)</f>
        <v>0</v>
      </c>
      <c r="AS278" s="267">
        <f>IF($AL278="",0,'All Ticker P&amp;L'!M278)</f>
        <v>0</v>
      </c>
      <c r="AT278" s="243" t="str">
        <f>IF($AL278="","",RANK(AR278,$AR$2:$AR$1001)+COUNTIF($AR$2:AR278,AR278)-1)</f>
        <v/>
      </c>
      <c r="AU278" s="243" t="str">
        <f>IF($AL278="","",RANK(AV278,$AV$2:$AV$1001)+COUNTIF($AV$2:AV278,AV278)-1)</f>
        <v/>
      </c>
      <c r="AV278" s="266">
        <f t="shared" si="40"/>
        <v>0</v>
      </c>
    </row>
    <row r="279" spans="26:48" ht="15" customHeight="1" x14ac:dyDescent="0.2">
      <c r="Z279" s="243" t="str">
        <f>Shares!A279</f>
        <v/>
      </c>
      <c r="AA279" s="243" t="str">
        <f>Shares!B279</f>
        <v/>
      </c>
      <c r="AB279" s="243" t="str">
        <f>Shares!C279</f>
        <v/>
      </c>
      <c r="AC279" s="243" t="str">
        <f>Shares!D279</f>
        <v/>
      </c>
      <c r="AD279" s="243">
        <f>IF($Z279="",0,Shares!E279)</f>
        <v>0</v>
      </c>
      <c r="AE279" s="266">
        <f>IF($Z279="",0,Shares!J279*Shares!I279)</f>
        <v>0</v>
      </c>
      <c r="AF279" s="267">
        <f t="shared" si="39"/>
        <v>0</v>
      </c>
      <c r="AG279" s="266">
        <f>IF($Z279="",0,Shares!L279)</f>
        <v>0</v>
      </c>
      <c r="AH279" s="267">
        <f>IF($Z279="",0,Shares!M279)</f>
        <v>0</v>
      </c>
      <c r="AI279" s="243" t="str">
        <f>IF($Z279="","",RANK(AE279,$AE$2:$AE$1001)+COUNTIF($AE$2:AE279,AE279)-1)</f>
        <v/>
      </c>
      <c r="AJ279" s="243" t="str">
        <f>IF($AD279&lt;0,COUNT($AJ$1:AJ278)+1,"")</f>
        <v/>
      </c>
      <c r="AL279" s="243" t="str">
        <f>'All Ticker P&amp;L'!A279</f>
        <v/>
      </c>
      <c r="AM279" s="243" t="str">
        <f>'All Ticker P&amp;L'!B279</f>
        <v/>
      </c>
      <c r="AN279" s="243" t="str">
        <f>'All Ticker P&amp;L'!C279</f>
        <v/>
      </c>
      <c r="AO279" s="243" t="str">
        <f>'All Ticker P&amp;L'!D279</f>
        <v/>
      </c>
      <c r="AP279" s="243">
        <f>IF($AL279="",0,'All Ticker P&amp;L'!E279)</f>
        <v>0</v>
      </c>
      <c r="AQ279" s="266">
        <f>IF($AL279="",0,'All Ticker P&amp;L'!J279*'All Ticker P&amp;L'!I279)</f>
        <v>0</v>
      </c>
      <c r="AR279" s="266">
        <f>IF($AL279="",0,'All Ticker P&amp;L'!L279)</f>
        <v>0</v>
      </c>
      <c r="AS279" s="267">
        <f>IF($AL279="",0,'All Ticker P&amp;L'!M279)</f>
        <v>0</v>
      </c>
      <c r="AT279" s="243" t="str">
        <f>IF($AL279="","",RANK(AR279,$AR$2:$AR$1001)+COUNTIF($AR$2:AR279,AR279)-1)</f>
        <v/>
      </c>
      <c r="AU279" s="243" t="str">
        <f>IF($AL279="","",RANK(AV279,$AV$2:$AV$1001)+COUNTIF($AV$2:AV279,AV279)-1)</f>
        <v/>
      </c>
      <c r="AV279" s="266">
        <f t="shared" si="40"/>
        <v>0</v>
      </c>
    </row>
    <row r="280" spans="26:48" ht="15" customHeight="1" x14ac:dyDescent="0.2">
      <c r="Z280" s="243" t="str">
        <f>Shares!A280</f>
        <v/>
      </c>
      <c r="AA280" s="243" t="str">
        <f>Shares!B280</f>
        <v/>
      </c>
      <c r="AB280" s="243" t="str">
        <f>Shares!C280</f>
        <v/>
      </c>
      <c r="AC280" s="243" t="str">
        <f>Shares!D280</f>
        <v/>
      </c>
      <c r="AD280" s="243">
        <f>IF($Z280="",0,Shares!E280)</f>
        <v>0</v>
      </c>
      <c r="AE280" s="266">
        <f>IF($Z280="",0,Shares!J280*Shares!I280)</f>
        <v>0</v>
      </c>
      <c r="AF280" s="267">
        <f t="shared" si="39"/>
        <v>0</v>
      </c>
      <c r="AG280" s="266">
        <f>IF($Z280="",0,Shares!L280)</f>
        <v>0</v>
      </c>
      <c r="AH280" s="267">
        <f>IF($Z280="",0,Shares!M280)</f>
        <v>0</v>
      </c>
      <c r="AI280" s="243" t="str">
        <f>IF($Z280="","",RANK(AE280,$AE$2:$AE$1001)+COUNTIF($AE$2:AE280,AE280)-1)</f>
        <v/>
      </c>
      <c r="AJ280" s="243" t="str">
        <f>IF($AD280&lt;0,COUNT($AJ$1:AJ279)+1,"")</f>
        <v/>
      </c>
      <c r="AL280" s="243" t="str">
        <f>'All Ticker P&amp;L'!A280</f>
        <v/>
      </c>
      <c r="AM280" s="243" t="str">
        <f>'All Ticker P&amp;L'!B280</f>
        <v/>
      </c>
      <c r="AN280" s="243" t="str">
        <f>'All Ticker P&amp;L'!C280</f>
        <v/>
      </c>
      <c r="AO280" s="243" t="str">
        <f>'All Ticker P&amp;L'!D280</f>
        <v/>
      </c>
      <c r="AP280" s="243">
        <f>IF($AL280="",0,'All Ticker P&amp;L'!E280)</f>
        <v>0</v>
      </c>
      <c r="AQ280" s="266">
        <f>IF($AL280="",0,'All Ticker P&amp;L'!J280*'All Ticker P&amp;L'!I280)</f>
        <v>0</v>
      </c>
      <c r="AR280" s="266">
        <f>IF($AL280="",0,'All Ticker P&amp;L'!L280)</f>
        <v>0</v>
      </c>
      <c r="AS280" s="267">
        <f>IF($AL280="",0,'All Ticker P&amp;L'!M280)</f>
        <v>0</v>
      </c>
      <c r="AT280" s="243" t="str">
        <f>IF($AL280="","",RANK(AR280,$AR$2:$AR$1001)+COUNTIF($AR$2:AR280,AR280)-1)</f>
        <v/>
      </c>
      <c r="AU280" s="243" t="str">
        <f>IF($AL280="","",RANK(AV280,$AV$2:$AV$1001)+COUNTIF($AV$2:AV280,AV280)-1)</f>
        <v/>
      </c>
      <c r="AV280" s="266">
        <f t="shared" si="40"/>
        <v>0</v>
      </c>
    </row>
    <row r="281" spans="26:48" ht="15" customHeight="1" x14ac:dyDescent="0.2">
      <c r="Z281" s="243" t="str">
        <f>Shares!A281</f>
        <v/>
      </c>
      <c r="AA281" s="243" t="str">
        <f>Shares!B281</f>
        <v/>
      </c>
      <c r="AB281" s="243" t="str">
        <f>Shares!C281</f>
        <v/>
      </c>
      <c r="AC281" s="243" t="str">
        <f>Shares!D281</f>
        <v/>
      </c>
      <c r="AD281" s="243">
        <f>IF($Z281="",0,Shares!E281)</f>
        <v>0</v>
      </c>
      <c r="AE281" s="266">
        <f>IF($Z281="",0,Shares!J281*Shares!I281)</f>
        <v>0</v>
      </c>
      <c r="AF281" s="267">
        <f t="shared" si="39"/>
        <v>0</v>
      </c>
      <c r="AG281" s="266">
        <f>IF($Z281="",0,Shares!L281)</f>
        <v>0</v>
      </c>
      <c r="AH281" s="267">
        <f>IF($Z281="",0,Shares!M281)</f>
        <v>0</v>
      </c>
      <c r="AI281" s="243" t="str">
        <f>IF($Z281="","",RANK(AE281,$AE$2:$AE$1001)+COUNTIF($AE$2:AE281,AE281)-1)</f>
        <v/>
      </c>
      <c r="AJ281" s="243" t="str">
        <f>IF($AD281&lt;0,COUNT($AJ$1:AJ280)+1,"")</f>
        <v/>
      </c>
      <c r="AL281" s="243" t="str">
        <f>'All Ticker P&amp;L'!A281</f>
        <v/>
      </c>
      <c r="AM281" s="243" t="str">
        <f>'All Ticker P&amp;L'!B281</f>
        <v/>
      </c>
      <c r="AN281" s="243" t="str">
        <f>'All Ticker P&amp;L'!C281</f>
        <v/>
      </c>
      <c r="AO281" s="243" t="str">
        <f>'All Ticker P&amp;L'!D281</f>
        <v/>
      </c>
      <c r="AP281" s="243">
        <f>IF($AL281="",0,'All Ticker P&amp;L'!E281)</f>
        <v>0</v>
      </c>
      <c r="AQ281" s="266">
        <f>IF($AL281="",0,'All Ticker P&amp;L'!J281*'All Ticker P&amp;L'!I281)</f>
        <v>0</v>
      </c>
      <c r="AR281" s="266">
        <f>IF($AL281="",0,'All Ticker P&amp;L'!L281)</f>
        <v>0</v>
      </c>
      <c r="AS281" s="267">
        <f>IF($AL281="",0,'All Ticker P&amp;L'!M281)</f>
        <v>0</v>
      </c>
      <c r="AT281" s="243" t="str">
        <f>IF($AL281="","",RANK(AR281,$AR$2:$AR$1001)+COUNTIF($AR$2:AR281,AR281)-1)</f>
        <v/>
      </c>
      <c r="AU281" s="243" t="str">
        <f>IF($AL281="","",RANK(AV281,$AV$2:$AV$1001)+COUNTIF($AV$2:AV281,AV281)-1)</f>
        <v/>
      </c>
      <c r="AV281" s="266">
        <f t="shared" si="40"/>
        <v>0</v>
      </c>
    </row>
    <row r="282" spans="26:48" ht="15" customHeight="1" x14ac:dyDescent="0.2">
      <c r="Z282" s="243" t="str">
        <f>Shares!A282</f>
        <v/>
      </c>
      <c r="AA282" s="243" t="str">
        <f>Shares!B282</f>
        <v/>
      </c>
      <c r="AB282" s="243" t="str">
        <f>Shares!C282</f>
        <v/>
      </c>
      <c r="AC282" s="243" t="str">
        <f>Shares!D282</f>
        <v/>
      </c>
      <c r="AD282" s="243">
        <f>IF($Z282="",0,Shares!E282)</f>
        <v>0</v>
      </c>
      <c r="AE282" s="266">
        <f>IF($Z282="",0,Shares!J282*Shares!I282)</f>
        <v>0</v>
      </c>
      <c r="AF282" s="267">
        <f t="shared" si="39"/>
        <v>0</v>
      </c>
      <c r="AG282" s="266">
        <f>IF($Z282="",0,Shares!L282)</f>
        <v>0</v>
      </c>
      <c r="AH282" s="267">
        <f>IF($Z282="",0,Shares!M282)</f>
        <v>0</v>
      </c>
      <c r="AI282" s="243" t="str">
        <f>IF($Z282="","",RANK(AE282,$AE$2:$AE$1001)+COUNTIF($AE$2:AE282,AE282)-1)</f>
        <v/>
      </c>
      <c r="AJ282" s="243" t="str">
        <f>IF($AD282&lt;0,COUNT($AJ$1:AJ281)+1,"")</f>
        <v/>
      </c>
      <c r="AL282" s="243" t="str">
        <f>'All Ticker P&amp;L'!A282</f>
        <v/>
      </c>
      <c r="AM282" s="243" t="str">
        <f>'All Ticker P&amp;L'!B282</f>
        <v/>
      </c>
      <c r="AN282" s="243" t="str">
        <f>'All Ticker P&amp;L'!C282</f>
        <v/>
      </c>
      <c r="AO282" s="243" t="str">
        <f>'All Ticker P&amp;L'!D282</f>
        <v/>
      </c>
      <c r="AP282" s="243">
        <f>IF($AL282="",0,'All Ticker P&amp;L'!E282)</f>
        <v>0</v>
      </c>
      <c r="AQ282" s="266">
        <f>IF($AL282="",0,'All Ticker P&amp;L'!J282*'All Ticker P&amp;L'!I282)</f>
        <v>0</v>
      </c>
      <c r="AR282" s="266">
        <f>IF($AL282="",0,'All Ticker P&amp;L'!L282)</f>
        <v>0</v>
      </c>
      <c r="AS282" s="267">
        <f>IF($AL282="",0,'All Ticker P&amp;L'!M282)</f>
        <v>0</v>
      </c>
      <c r="AT282" s="243" t="str">
        <f>IF($AL282="","",RANK(AR282,$AR$2:$AR$1001)+COUNTIF($AR$2:AR282,AR282)-1)</f>
        <v/>
      </c>
      <c r="AU282" s="243" t="str">
        <f>IF($AL282="","",RANK(AV282,$AV$2:$AV$1001)+COUNTIF($AV$2:AV282,AV282)-1)</f>
        <v/>
      </c>
      <c r="AV282" s="266">
        <f t="shared" si="40"/>
        <v>0</v>
      </c>
    </row>
    <row r="283" spans="26:48" ht="15" customHeight="1" x14ac:dyDescent="0.2">
      <c r="Z283" s="243" t="str">
        <f>Shares!A283</f>
        <v/>
      </c>
      <c r="AA283" s="243" t="str">
        <f>Shares!B283</f>
        <v/>
      </c>
      <c r="AB283" s="243" t="str">
        <f>Shares!C283</f>
        <v/>
      </c>
      <c r="AC283" s="243" t="str">
        <f>Shares!D283</f>
        <v/>
      </c>
      <c r="AD283" s="243">
        <f>IF($Z283="",0,Shares!E283)</f>
        <v>0</v>
      </c>
      <c r="AE283" s="266">
        <f>IF($Z283="",0,Shares!J283*Shares!I283)</f>
        <v>0</v>
      </c>
      <c r="AF283" s="267">
        <f t="shared" si="39"/>
        <v>0</v>
      </c>
      <c r="AG283" s="266">
        <f>IF($Z283="",0,Shares!L283)</f>
        <v>0</v>
      </c>
      <c r="AH283" s="267">
        <f>IF($Z283="",0,Shares!M283)</f>
        <v>0</v>
      </c>
      <c r="AI283" s="243" t="str">
        <f>IF($Z283="","",RANK(AE283,$AE$2:$AE$1001)+COUNTIF($AE$2:AE283,AE283)-1)</f>
        <v/>
      </c>
      <c r="AJ283" s="243" t="str">
        <f>IF($AD283&lt;0,COUNT($AJ$1:AJ282)+1,"")</f>
        <v/>
      </c>
      <c r="AL283" s="243" t="str">
        <f>'All Ticker P&amp;L'!A283</f>
        <v/>
      </c>
      <c r="AM283" s="243" t="str">
        <f>'All Ticker P&amp;L'!B283</f>
        <v/>
      </c>
      <c r="AN283" s="243" t="str">
        <f>'All Ticker P&amp;L'!C283</f>
        <v/>
      </c>
      <c r="AO283" s="243" t="str">
        <f>'All Ticker P&amp;L'!D283</f>
        <v/>
      </c>
      <c r="AP283" s="243">
        <f>IF($AL283="",0,'All Ticker P&amp;L'!E283)</f>
        <v>0</v>
      </c>
      <c r="AQ283" s="266">
        <f>IF($AL283="",0,'All Ticker P&amp;L'!J283*'All Ticker P&amp;L'!I283)</f>
        <v>0</v>
      </c>
      <c r="AR283" s="266">
        <f>IF($AL283="",0,'All Ticker P&amp;L'!L283)</f>
        <v>0</v>
      </c>
      <c r="AS283" s="267">
        <f>IF($AL283="",0,'All Ticker P&amp;L'!M283)</f>
        <v>0</v>
      </c>
      <c r="AT283" s="243" t="str">
        <f>IF($AL283="","",RANK(AR283,$AR$2:$AR$1001)+COUNTIF($AR$2:AR283,AR283)-1)</f>
        <v/>
      </c>
      <c r="AU283" s="243" t="str">
        <f>IF($AL283="","",RANK(AV283,$AV$2:$AV$1001)+COUNTIF($AV$2:AV283,AV283)-1)</f>
        <v/>
      </c>
      <c r="AV283" s="266">
        <f t="shared" si="40"/>
        <v>0</v>
      </c>
    </row>
    <row r="284" spans="26:48" ht="15" customHeight="1" x14ac:dyDescent="0.2">
      <c r="Z284" s="243" t="str">
        <f>Shares!A284</f>
        <v/>
      </c>
      <c r="AA284" s="243" t="str">
        <f>Shares!B284</f>
        <v/>
      </c>
      <c r="AB284" s="243" t="str">
        <f>Shares!C284</f>
        <v/>
      </c>
      <c r="AC284" s="243" t="str">
        <f>Shares!D284</f>
        <v/>
      </c>
      <c r="AD284" s="243">
        <f>IF($Z284="",0,Shares!E284)</f>
        <v>0</v>
      </c>
      <c r="AE284" s="266">
        <f>IF($Z284="",0,Shares!J284*Shares!I284)</f>
        <v>0</v>
      </c>
      <c r="AF284" s="267">
        <f t="shared" si="39"/>
        <v>0</v>
      </c>
      <c r="AG284" s="266">
        <f>IF($Z284="",0,Shares!L284)</f>
        <v>0</v>
      </c>
      <c r="AH284" s="267">
        <f>IF($Z284="",0,Shares!M284)</f>
        <v>0</v>
      </c>
      <c r="AI284" s="243" t="str">
        <f>IF($Z284="","",RANK(AE284,$AE$2:$AE$1001)+COUNTIF($AE$2:AE284,AE284)-1)</f>
        <v/>
      </c>
      <c r="AJ284" s="243" t="str">
        <f>IF($AD284&lt;0,COUNT($AJ$1:AJ283)+1,"")</f>
        <v/>
      </c>
      <c r="AL284" s="243" t="str">
        <f>'All Ticker P&amp;L'!A284</f>
        <v/>
      </c>
      <c r="AM284" s="243" t="str">
        <f>'All Ticker P&amp;L'!B284</f>
        <v/>
      </c>
      <c r="AN284" s="243" t="str">
        <f>'All Ticker P&amp;L'!C284</f>
        <v/>
      </c>
      <c r="AO284" s="243" t="str">
        <f>'All Ticker P&amp;L'!D284</f>
        <v/>
      </c>
      <c r="AP284" s="243">
        <f>IF($AL284="",0,'All Ticker P&amp;L'!E284)</f>
        <v>0</v>
      </c>
      <c r="AQ284" s="266">
        <f>IF($AL284="",0,'All Ticker P&amp;L'!J284*'All Ticker P&amp;L'!I284)</f>
        <v>0</v>
      </c>
      <c r="AR284" s="266">
        <f>IF($AL284="",0,'All Ticker P&amp;L'!L284)</f>
        <v>0</v>
      </c>
      <c r="AS284" s="267">
        <f>IF($AL284="",0,'All Ticker P&amp;L'!M284)</f>
        <v>0</v>
      </c>
      <c r="AT284" s="243" t="str">
        <f>IF($AL284="","",RANK(AR284,$AR$2:$AR$1001)+COUNTIF($AR$2:AR284,AR284)-1)</f>
        <v/>
      </c>
      <c r="AU284" s="243" t="str">
        <f>IF($AL284="","",RANK(AV284,$AV$2:$AV$1001)+COUNTIF($AV$2:AV284,AV284)-1)</f>
        <v/>
      </c>
      <c r="AV284" s="266">
        <f t="shared" si="40"/>
        <v>0</v>
      </c>
    </row>
    <row r="285" spans="26:48" ht="15" customHeight="1" x14ac:dyDescent="0.2">
      <c r="Z285" s="243" t="str">
        <f>Shares!A285</f>
        <v/>
      </c>
      <c r="AA285" s="243" t="str">
        <f>Shares!B285</f>
        <v/>
      </c>
      <c r="AB285" s="243" t="str">
        <f>Shares!C285</f>
        <v/>
      </c>
      <c r="AC285" s="243" t="str">
        <f>Shares!D285</f>
        <v/>
      </c>
      <c r="AD285" s="243">
        <f>IF($Z285="",0,Shares!E285)</f>
        <v>0</v>
      </c>
      <c r="AE285" s="266">
        <f>IF($Z285="",0,Shares!J285*Shares!I285)</f>
        <v>0</v>
      </c>
      <c r="AF285" s="267">
        <f t="shared" si="39"/>
        <v>0</v>
      </c>
      <c r="AG285" s="266">
        <f>IF($Z285="",0,Shares!L285)</f>
        <v>0</v>
      </c>
      <c r="AH285" s="267">
        <f>IF($Z285="",0,Shares!M285)</f>
        <v>0</v>
      </c>
      <c r="AI285" s="243" t="str">
        <f>IF($Z285="","",RANK(AE285,$AE$2:$AE$1001)+COUNTIF($AE$2:AE285,AE285)-1)</f>
        <v/>
      </c>
      <c r="AJ285" s="243" t="str">
        <f>IF($AD285&lt;0,COUNT($AJ$1:AJ284)+1,"")</f>
        <v/>
      </c>
      <c r="AL285" s="243" t="str">
        <f>'All Ticker P&amp;L'!A285</f>
        <v/>
      </c>
      <c r="AM285" s="243" t="str">
        <f>'All Ticker P&amp;L'!B285</f>
        <v/>
      </c>
      <c r="AN285" s="243" t="str">
        <f>'All Ticker P&amp;L'!C285</f>
        <v/>
      </c>
      <c r="AO285" s="243" t="str">
        <f>'All Ticker P&amp;L'!D285</f>
        <v/>
      </c>
      <c r="AP285" s="243">
        <f>IF($AL285="",0,'All Ticker P&amp;L'!E285)</f>
        <v>0</v>
      </c>
      <c r="AQ285" s="266">
        <f>IF($AL285="",0,'All Ticker P&amp;L'!J285*'All Ticker P&amp;L'!I285)</f>
        <v>0</v>
      </c>
      <c r="AR285" s="266">
        <f>IF($AL285="",0,'All Ticker P&amp;L'!L285)</f>
        <v>0</v>
      </c>
      <c r="AS285" s="267">
        <f>IF($AL285="",0,'All Ticker P&amp;L'!M285)</f>
        <v>0</v>
      </c>
      <c r="AT285" s="243" t="str">
        <f>IF($AL285="","",RANK(AR285,$AR$2:$AR$1001)+COUNTIF($AR$2:AR285,AR285)-1)</f>
        <v/>
      </c>
      <c r="AU285" s="243" t="str">
        <f>IF($AL285="","",RANK(AV285,$AV$2:$AV$1001)+COUNTIF($AV$2:AV285,AV285)-1)</f>
        <v/>
      </c>
      <c r="AV285" s="266">
        <f t="shared" si="40"/>
        <v>0</v>
      </c>
    </row>
    <row r="286" spans="26:48" ht="15" customHeight="1" x14ac:dyDescent="0.2">
      <c r="Z286" s="243" t="str">
        <f>Shares!A286</f>
        <v/>
      </c>
      <c r="AA286" s="243" t="str">
        <f>Shares!B286</f>
        <v/>
      </c>
      <c r="AB286" s="243" t="str">
        <f>Shares!C286</f>
        <v/>
      </c>
      <c r="AC286" s="243" t="str">
        <f>Shares!D286</f>
        <v/>
      </c>
      <c r="AD286" s="243">
        <f>IF($Z286="",0,Shares!E286)</f>
        <v>0</v>
      </c>
      <c r="AE286" s="266">
        <f>IF($Z286="",0,Shares!J286*Shares!I286)</f>
        <v>0</v>
      </c>
      <c r="AF286" s="267">
        <f t="shared" si="39"/>
        <v>0</v>
      </c>
      <c r="AG286" s="266">
        <f>IF($Z286="",0,Shares!L286)</f>
        <v>0</v>
      </c>
      <c r="AH286" s="267">
        <f>IF($Z286="",0,Shares!M286)</f>
        <v>0</v>
      </c>
      <c r="AI286" s="243" t="str">
        <f>IF($Z286="","",RANK(AE286,$AE$2:$AE$1001)+COUNTIF($AE$2:AE286,AE286)-1)</f>
        <v/>
      </c>
      <c r="AJ286" s="243" t="str">
        <f>IF($AD286&lt;0,COUNT($AJ$1:AJ285)+1,"")</f>
        <v/>
      </c>
      <c r="AL286" s="243" t="str">
        <f>'All Ticker P&amp;L'!A286</f>
        <v/>
      </c>
      <c r="AM286" s="243" t="str">
        <f>'All Ticker P&amp;L'!B286</f>
        <v/>
      </c>
      <c r="AN286" s="243" t="str">
        <f>'All Ticker P&amp;L'!C286</f>
        <v/>
      </c>
      <c r="AO286" s="243" t="str">
        <f>'All Ticker P&amp;L'!D286</f>
        <v/>
      </c>
      <c r="AP286" s="243">
        <f>IF($AL286="",0,'All Ticker P&amp;L'!E286)</f>
        <v>0</v>
      </c>
      <c r="AQ286" s="266">
        <f>IF($AL286="",0,'All Ticker P&amp;L'!J286*'All Ticker P&amp;L'!I286)</f>
        <v>0</v>
      </c>
      <c r="AR286" s="266">
        <f>IF($AL286="",0,'All Ticker P&amp;L'!L286)</f>
        <v>0</v>
      </c>
      <c r="AS286" s="267">
        <f>IF($AL286="",0,'All Ticker P&amp;L'!M286)</f>
        <v>0</v>
      </c>
      <c r="AT286" s="243" t="str">
        <f>IF($AL286="","",RANK(AR286,$AR$2:$AR$1001)+COUNTIF($AR$2:AR286,AR286)-1)</f>
        <v/>
      </c>
      <c r="AU286" s="243" t="str">
        <f>IF($AL286="","",RANK(AV286,$AV$2:$AV$1001)+COUNTIF($AV$2:AV286,AV286)-1)</f>
        <v/>
      </c>
      <c r="AV286" s="266">
        <f t="shared" si="40"/>
        <v>0</v>
      </c>
    </row>
    <row r="287" spans="26:48" ht="15" customHeight="1" x14ac:dyDescent="0.2">
      <c r="Z287" s="243" t="str">
        <f>Shares!A287</f>
        <v/>
      </c>
      <c r="AA287" s="243" t="str">
        <f>Shares!B287</f>
        <v/>
      </c>
      <c r="AB287" s="243" t="str">
        <f>Shares!C287</f>
        <v/>
      </c>
      <c r="AC287" s="243" t="str">
        <f>Shares!D287</f>
        <v/>
      </c>
      <c r="AD287" s="243">
        <f>IF($Z287="",0,Shares!E287)</f>
        <v>0</v>
      </c>
      <c r="AE287" s="266">
        <f>IF($Z287="",0,Shares!J287*Shares!I287)</f>
        <v>0</v>
      </c>
      <c r="AF287" s="267">
        <f t="shared" si="39"/>
        <v>0</v>
      </c>
      <c r="AG287" s="266">
        <f>IF($Z287="",0,Shares!L287)</f>
        <v>0</v>
      </c>
      <c r="AH287" s="267">
        <f>IF($Z287="",0,Shares!M287)</f>
        <v>0</v>
      </c>
      <c r="AI287" s="243" t="str">
        <f>IF($Z287="","",RANK(AE287,$AE$2:$AE$1001)+COUNTIF($AE$2:AE287,AE287)-1)</f>
        <v/>
      </c>
      <c r="AJ287" s="243" t="str">
        <f>IF($AD287&lt;0,COUNT($AJ$1:AJ286)+1,"")</f>
        <v/>
      </c>
      <c r="AL287" s="243" t="str">
        <f>'All Ticker P&amp;L'!A287</f>
        <v/>
      </c>
      <c r="AM287" s="243" t="str">
        <f>'All Ticker P&amp;L'!B287</f>
        <v/>
      </c>
      <c r="AN287" s="243" t="str">
        <f>'All Ticker P&amp;L'!C287</f>
        <v/>
      </c>
      <c r="AO287" s="243" t="str">
        <f>'All Ticker P&amp;L'!D287</f>
        <v/>
      </c>
      <c r="AP287" s="243">
        <f>IF($AL287="",0,'All Ticker P&amp;L'!E287)</f>
        <v>0</v>
      </c>
      <c r="AQ287" s="266">
        <f>IF($AL287="",0,'All Ticker P&amp;L'!J287*'All Ticker P&amp;L'!I287)</f>
        <v>0</v>
      </c>
      <c r="AR287" s="266">
        <f>IF($AL287="",0,'All Ticker P&amp;L'!L287)</f>
        <v>0</v>
      </c>
      <c r="AS287" s="267">
        <f>IF($AL287="",0,'All Ticker P&amp;L'!M287)</f>
        <v>0</v>
      </c>
      <c r="AT287" s="243" t="str">
        <f>IF($AL287="","",RANK(AR287,$AR$2:$AR$1001)+COUNTIF($AR$2:AR287,AR287)-1)</f>
        <v/>
      </c>
      <c r="AU287" s="243" t="str">
        <f>IF($AL287="","",RANK(AV287,$AV$2:$AV$1001)+COUNTIF($AV$2:AV287,AV287)-1)</f>
        <v/>
      </c>
      <c r="AV287" s="266">
        <f t="shared" si="40"/>
        <v>0</v>
      </c>
    </row>
    <row r="288" spans="26:48" ht="15" customHeight="1" x14ac:dyDescent="0.2">
      <c r="Z288" s="243" t="str">
        <f>Shares!A288</f>
        <v/>
      </c>
      <c r="AA288" s="243" t="str">
        <f>Shares!B288</f>
        <v/>
      </c>
      <c r="AB288" s="243" t="str">
        <f>Shares!C288</f>
        <v/>
      </c>
      <c r="AC288" s="243" t="str">
        <f>Shares!D288</f>
        <v/>
      </c>
      <c r="AD288" s="243">
        <f>IF($Z288="",0,Shares!E288)</f>
        <v>0</v>
      </c>
      <c r="AE288" s="266">
        <f>IF($Z288="",0,Shares!J288*Shares!I288)</f>
        <v>0</v>
      </c>
      <c r="AF288" s="267">
        <f t="shared" si="39"/>
        <v>0</v>
      </c>
      <c r="AG288" s="266">
        <f>IF($Z288="",0,Shares!L288)</f>
        <v>0</v>
      </c>
      <c r="AH288" s="267">
        <f>IF($Z288="",0,Shares!M288)</f>
        <v>0</v>
      </c>
      <c r="AI288" s="243" t="str">
        <f>IF($Z288="","",RANK(AE288,$AE$2:$AE$1001)+COUNTIF($AE$2:AE288,AE288)-1)</f>
        <v/>
      </c>
      <c r="AJ288" s="243" t="str">
        <f>IF($AD288&lt;0,COUNT($AJ$1:AJ287)+1,"")</f>
        <v/>
      </c>
      <c r="AL288" s="243" t="str">
        <f>'All Ticker P&amp;L'!A288</f>
        <v/>
      </c>
      <c r="AM288" s="243" t="str">
        <f>'All Ticker P&amp;L'!B288</f>
        <v/>
      </c>
      <c r="AN288" s="243" t="str">
        <f>'All Ticker P&amp;L'!C288</f>
        <v/>
      </c>
      <c r="AO288" s="243" t="str">
        <f>'All Ticker P&amp;L'!D288</f>
        <v/>
      </c>
      <c r="AP288" s="243">
        <f>IF($AL288="",0,'All Ticker P&amp;L'!E288)</f>
        <v>0</v>
      </c>
      <c r="AQ288" s="266">
        <f>IF($AL288="",0,'All Ticker P&amp;L'!J288*'All Ticker P&amp;L'!I288)</f>
        <v>0</v>
      </c>
      <c r="AR288" s="266">
        <f>IF($AL288="",0,'All Ticker P&amp;L'!L288)</f>
        <v>0</v>
      </c>
      <c r="AS288" s="267">
        <f>IF($AL288="",0,'All Ticker P&amp;L'!M288)</f>
        <v>0</v>
      </c>
      <c r="AT288" s="243" t="str">
        <f>IF($AL288="","",RANK(AR288,$AR$2:$AR$1001)+COUNTIF($AR$2:AR288,AR288)-1)</f>
        <v/>
      </c>
      <c r="AU288" s="243" t="str">
        <f>IF($AL288="","",RANK(AV288,$AV$2:$AV$1001)+COUNTIF($AV$2:AV288,AV288)-1)</f>
        <v/>
      </c>
      <c r="AV288" s="266">
        <f t="shared" si="40"/>
        <v>0</v>
      </c>
    </row>
    <row r="289" spans="26:48" ht="15" customHeight="1" x14ac:dyDescent="0.2">
      <c r="Z289" s="243" t="str">
        <f>Shares!A289</f>
        <v/>
      </c>
      <c r="AA289" s="243" t="str">
        <f>Shares!B289</f>
        <v/>
      </c>
      <c r="AB289" s="243" t="str">
        <f>Shares!C289</f>
        <v/>
      </c>
      <c r="AC289" s="243" t="str">
        <f>Shares!D289</f>
        <v/>
      </c>
      <c r="AD289" s="243">
        <f>IF($Z289="",0,Shares!E289)</f>
        <v>0</v>
      </c>
      <c r="AE289" s="266">
        <f>IF($Z289="",0,Shares!J289*Shares!I289)</f>
        <v>0</v>
      </c>
      <c r="AF289" s="267">
        <f t="shared" si="39"/>
        <v>0</v>
      </c>
      <c r="AG289" s="266">
        <f>IF($Z289="",0,Shares!L289)</f>
        <v>0</v>
      </c>
      <c r="AH289" s="267">
        <f>IF($Z289="",0,Shares!M289)</f>
        <v>0</v>
      </c>
      <c r="AI289" s="243" t="str">
        <f>IF($Z289="","",RANK(AE289,$AE$2:$AE$1001)+COUNTIF($AE$2:AE289,AE289)-1)</f>
        <v/>
      </c>
      <c r="AJ289" s="243" t="str">
        <f>IF($AD289&lt;0,COUNT($AJ$1:AJ288)+1,"")</f>
        <v/>
      </c>
      <c r="AL289" s="243" t="str">
        <f>'All Ticker P&amp;L'!A289</f>
        <v/>
      </c>
      <c r="AM289" s="243" t="str">
        <f>'All Ticker P&amp;L'!B289</f>
        <v/>
      </c>
      <c r="AN289" s="243" t="str">
        <f>'All Ticker P&amp;L'!C289</f>
        <v/>
      </c>
      <c r="AO289" s="243" t="str">
        <f>'All Ticker P&amp;L'!D289</f>
        <v/>
      </c>
      <c r="AP289" s="243">
        <f>IF($AL289="",0,'All Ticker P&amp;L'!E289)</f>
        <v>0</v>
      </c>
      <c r="AQ289" s="266">
        <f>IF($AL289="",0,'All Ticker P&amp;L'!J289*'All Ticker P&amp;L'!I289)</f>
        <v>0</v>
      </c>
      <c r="AR289" s="266">
        <f>IF($AL289="",0,'All Ticker P&amp;L'!L289)</f>
        <v>0</v>
      </c>
      <c r="AS289" s="267">
        <f>IF($AL289="",0,'All Ticker P&amp;L'!M289)</f>
        <v>0</v>
      </c>
      <c r="AT289" s="243" t="str">
        <f>IF($AL289="","",RANK(AR289,$AR$2:$AR$1001)+COUNTIF($AR$2:AR289,AR289)-1)</f>
        <v/>
      </c>
      <c r="AU289" s="243" t="str">
        <f>IF($AL289="","",RANK(AV289,$AV$2:$AV$1001)+COUNTIF($AV$2:AV289,AV289)-1)</f>
        <v/>
      </c>
      <c r="AV289" s="266">
        <f t="shared" si="40"/>
        <v>0</v>
      </c>
    </row>
    <row r="290" spans="26:48" ht="15" customHeight="1" x14ac:dyDescent="0.2">
      <c r="Z290" s="243" t="str">
        <f>Shares!A290</f>
        <v/>
      </c>
      <c r="AA290" s="243" t="str">
        <f>Shares!B290</f>
        <v/>
      </c>
      <c r="AB290" s="243" t="str">
        <f>Shares!C290</f>
        <v/>
      </c>
      <c r="AC290" s="243" t="str">
        <f>Shares!D290</f>
        <v/>
      </c>
      <c r="AD290" s="243">
        <f>IF($Z290="",0,Shares!E290)</f>
        <v>0</v>
      </c>
      <c r="AE290" s="266">
        <f>IF($Z290="",0,Shares!J290*Shares!I290)</f>
        <v>0</v>
      </c>
      <c r="AF290" s="267">
        <f t="shared" si="39"/>
        <v>0</v>
      </c>
      <c r="AG290" s="266">
        <f>IF($Z290="",0,Shares!L290)</f>
        <v>0</v>
      </c>
      <c r="AH290" s="267">
        <f>IF($Z290="",0,Shares!M290)</f>
        <v>0</v>
      </c>
      <c r="AI290" s="243" t="str">
        <f>IF($Z290="","",RANK(AE290,$AE$2:$AE$1001)+COUNTIF($AE$2:AE290,AE290)-1)</f>
        <v/>
      </c>
      <c r="AJ290" s="243" t="str">
        <f>IF($AD290&lt;0,COUNT($AJ$1:AJ289)+1,"")</f>
        <v/>
      </c>
      <c r="AL290" s="243" t="str">
        <f>'All Ticker P&amp;L'!A290</f>
        <v/>
      </c>
      <c r="AM290" s="243" t="str">
        <f>'All Ticker P&amp;L'!B290</f>
        <v/>
      </c>
      <c r="AN290" s="243" t="str">
        <f>'All Ticker P&amp;L'!C290</f>
        <v/>
      </c>
      <c r="AO290" s="243" t="str">
        <f>'All Ticker P&amp;L'!D290</f>
        <v/>
      </c>
      <c r="AP290" s="243">
        <f>IF($AL290="",0,'All Ticker P&amp;L'!E290)</f>
        <v>0</v>
      </c>
      <c r="AQ290" s="266">
        <f>IF($AL290="",0,'All Ticker P&amp;L'!J290*'All Ticker P&amp;L'!I290)</f>
        <v>0</v>
      </c>
      <c r="AR290" s="266">
        <f>IF($AL290="",0,'All Ticker P&amp;L'!L290)</f>
        <v>0</v>
      </c>
      <c r="AS290" s="267">
        <f>IF($AL290="",0,'All Ticker P&amp;L'!M290)</f>
        <v>0</v>
      </c>
      <c r="AT290" s="243" t="str">
        <f>IF($AL290="","",RANK(AR290,$AR$2:$AR$1001)+COUNTIF($AR$2:AR290,AR290)-1)</f>
        <v/>
      </c>
      <c r="AU290" s="243" t="str">
        <f>IF($AL290="","",RANK(AV290,$AV$2:$AV$1001)+COUNTIF($AV$2:AV290,AV290)-1)</f>
        <v/>
      </c>
      <c r="AV290" s="266">
        <f t="shared" si="40"/>
        <v>0</v>
      </c>
    </row>
    <row r="291" spans="26:48" ht="15" customHeight="1" x14ac:dyDescent="0.2">
      <c r="Z291" s="243" t="str">
        <f>Shares!A291</f>
        <v/>
      </c>
      <c r="AA291" s="243" t="str">
        <f>Shares!B291</f>
        <v/>
      </c>
      <c r="AB291" s="243" t="str">
        <f>Shares!C291</f>
        <v/>
      </c>
      <c r="AC291" s="243" t="str">
        <f>Shares!D291</f>
        <v/>
      </c>
      <c r="AD291" s="243">
        <f>IF($Z291="",0,Shares!E291)</f>
        <v>0</v>
      </c>
      <c r="AE291" s="266">
        <f>IF($Z291="",0,Shares!J291*Shares!I291)</f>
        <v>0</v>
      </c>
      <c r="AF291" s="267">
        <f t="shared" si="39"/>
        <v>0</v>
      </c>
      <c r="AG291" s="266">
        <f>IF($Z291="",0,Shares!L291)</f>
        <v>0</v>
      </c>
      <c r="AH291" s="267">
        <f>IF($Z291="",0,Shares!M291)</f>
        <v>0</v>
      </c>
      <c r="AI291" s="243" t="str">
        <f>IF($Z291="","",RANK(AE291,$AE$2:$AE$1001)+COUNTIF($AE$2:AE291,AE291)-1)</f>
        <v/>
      </c>
      <c r="AJ291" s="243" t="str">
        <f>IF($AD291&lt;0,COUNT($AJ$1:AJ290)+1,"")</f>
        <v/>
      </c>
      <c r="AL291" s="243" t="str">
        <f>'All Ticker P&amp;L'!A291</f>
        <v/>
      </c>
      <c r="AM291" s="243" t="str">
        <f>'All Ticker P&amp;L'!B291</f>
        <v/>
      </c>
      <c r="AN291" s="243" t="str">
        <f>'All Ticker P&amp;L'!C291</f>
        <v/>
      </c>
      <c r="AO291" s="243" t="str">
        <f>'All Ticker P&amp;L'!D291</f>
        <v/>
      </c>
      <c r="AP291" s="243">
        <f>IF($AL291="",0,'All Ticker P&amp;L'!E291)</f>
        <v>0</v>
      </c>
      <c r="AQ291" s="266">
        <f>IF($AL291="",0,'All Ticker P&amp;L'!J291*'All Ticker P&amp;L'!I291)</f>
        <v>0</v>
      </c>
      <c r="AR291" s="266">
        <f>IF($AL291="",0,'All Ticker P&amp;L'!L291)</f>
        <v>0</v>
      </c>
      <c r="AS291" s="267">
        <f>IF($AL291="",0,'All Ticker P&amp;L'!M291)</f>
        <v>0</v>
      </c>
      <c r="AT291" s="243" t="str">
        <f>IF($AL291="","",RANK(AR291,$AR$2:$AR$1001)+COUNTIF($AR$2:AR291,AR291)-1)</f>
        <v/>
      </c>
      <c r="AU291" s="243" t="str">
        <f>IF($AL291="","",RANK(AV291,$AV$2:$AV$1001)+COUNTIF($AV$2:AV291,AV291)-1)</f>
        <v/>
      </c>
      <c r="AV291" s="266">
        <f t="shared" si="40"/>
        <v>0</v>
      </c>
    </row>
    <row r="292" spans="26:48" ht="15" customHeight="1" x14ac:dyDescent="0.2">
      <c r="Z292" s="243" t="str">
        <f>Shares!A292</f>
        <v/>
      </c>
      <c r="AA292" s="243" t="str">
        <f>Shares!B292</f>
        <v/>
      </c>
      <c r="AB292" s="243" t="str">
        <f>Shares!C292</f>
        <v/>
      </c>
      <c r="AC292" s="243" t="str">
        <f>Shares!D292</f>
        <v/>
      </c>
      <c r="AD292" s="243">
        <f>IF($Z292="",0,Shares!E292)</f>
        <v>0</v>
      </c>
      <c r="AE292" s="266">
        <f>IF($Z292="",0,Shares!J292*Shares!I292)</f>
        <v>0</v>
      </c>
      <c r="AF292" s="267">
        <f t="shared" si="39"/>
        <v>0</v>
      </c>
      <c r="AG292" s="266">
        <f>IF($Z292="",0,Shares!L292)</f>
        <v>0</v>
      </c>
      <c r="AH292" s="267">
        <f>IF($Z292="",0,Shares!M292)</f>
        <v>0</v>
      </c>
      <c r="AI292" s="243" t="str">
        <f>IF($Z292="","",RANK(AE292,$AE$2:$AE$1001)+COUNTIF($AE$2:AE292,AE292)-1)</f>
        <v/>
      </c>
      <c r="AJ292" s="243" t="str">
        <f>IF($AD292&lt;0,COUNT($AJ$1:AJ291)+1,"")</f>
        <v/>
      </c>
      <c r="AL292" s="243" t="str">
        <f>'All Ticker P&amp;L'!A292</f>
        <v/>
      </c>
      <c r="AM292" s="243" t="str">
        <f>'All Ticker P&amp;L'!B292</f>
        <v/>
      </c>
      <c r="AN292" s="243" t="str">
        <f>'All Ticker P&amp;L'!C292</f>
        <v/>
      </c>
      <c r="AO292" s="243" t="str">
        <f>'All Ticker P&amp;L'!D292</f>
        <v/>
      </c>
      <c r="AP292" s="243">
        <f>IF($AL292="",0,'All Ticker P&amp;L'!E292)</f>
        <v>0</v>
      </c>
      <c r="AQ292" s="266">
        <f>IF($AL292="",0,'All Ticker P&amp;L'!J292*'All Ticker P&amp;L'!I292)</f>
        <v>0</v>
      </c>
      <c r="AR292" s="266">
        <f>IF($AL292="",0,'All Ticker P&amp;L'!L292)</f>
        <v>0</v>
      </c>
      <c r="AS292" s="267">
        <f>IF($AL292="",0,'All Ticker P&amp;L'!M292)</f>
        <v>0</v>
      </c>
      <c r="AT292" s="243" t="str">
        <f>IF($AL292="","",RANK(AR292,$AR$2:$AR$1001)+COUNTIF($AR$2:AR292,AR292)-1)</f>
        <v/>
      </c>
      <c r="AU292" s="243" t="str">
        <f>IF($AL292="","",RANK(AV292,$AV$2:$AV$1001)+COUNTIF($AV$2:AV292,AV292)-1)</f>
        <v/>
      </c>
      <c r="AV292" s="266">
        <f t="shared" si="40"/>
        <v>0</v>
      </c>
    </row>
    <row r="293" spans="26:48" ht="15" customHeight="1" x14ac:dyDescent="0.2">
      <c r="Z293" s="243" t="str">
        <f>Shares!A293</f>
        <v/>
      </c>
      <c r="AA293" s="243" t="str">
        <f>Shares!B293</f>
        <v/>
      </c>
      <c r="AB293" s="243" t="str">
        <f>Shares!C293</f>
        <v/>
      </c>
      <c r="AC293" s="243" t="str">
        <f>Shares!D293</f>
        <v/>
      </c>
      <c r="AD293" s="243">
        <f>IF($Z293="",0,Shares!E293)</f>
        <v>0</v>
      </c>
      <c r="AE293" s="266">
        <f>IF($Z293="",0,Shares!J293*Shares!I293)</f>
        <v>0</v>
      </c>
      <c r="AF293" s="267">
        <f t="shared" si="39"/>
        <v>0</v>
      </c>
      <c r="AG293" s="266">
        <f>IF($Z293="",0,Shares!L293)</f>
        <v>0</v>
      </c>
      <c r="AH293" s="267">
        <f>IF($Z293="",0,Shares!M293)</f>
        <v>0</v>
      </c>
      <c r="AI293" s="243" t="str">
        <f>IF($Z293="","",RANK(AE293,$AE$2:$AE$1001)+COUNTIF($AE$2:AE293,AE293)-1)</f>
        <v/>
      </c>
      <c r="AJ293" s="243" t="str">
        <f>IF($AD293&lt;0,COUNT($AJ$1:AJ292)+1,"")</f>
        <v/>
      </c>
      <c r="AL293" s="243" t="str">
        <f>'All Ticker P&amp;L'!A293</f>
        <v/>
      </c>
      <c r="AM293" s="243" t="str">
        <f>'All Ticker P&amp;L'!B293</f>
        <v/>
      </c>
      <c r="AN293" s="243" t="str">
        <f>'All Ticker P&amp;L'!C293</f>
        <v/>
      </c>
      <c r="AO293" s="243" t="str">
        <f>'All Ticker P&amp;L'!D293</f>
        <v/>
      </c>
      <c r="AP293" s="243">
        <f>IF($AL293="",0,'All Ticker P&amp;L'!E293)</f>
        <v>0</v>
      </c>
      <c r="AQ293" s="266">
        <f>IF($AL293="",0,'All Ticker P&amp;L'!J293*'All Ticker P&amp;L'!I293)</f>
        <v>0</v>
      </c>
      <c r="AR293" s="266">
        <f>IF($AL293="",0,'All Ticker P&amp;L'!L293)</f>
        <v>0</v>
      </c>
      <c r="AS293" s="267">
        <f>IF($AL293="",0,'All Ticker P&amp;L'!M293)</f>
        <v>0</v>
      </c>
      <c r="AT293" s="243" t="str">
        <f>IF($AL293="","",RANK(AR293,$AR$2:$AR$1001)+COUNTIF($AR$2:AR293,AR293)-1)</f>
        <v/>
      </c>
      <c r="AU293" s="243" t="str">
        <f>IF($AL293="","",RANK(AV293,$AV$2:$AV$1001)+COUNTIF($AV$2:AV293,AV293)-1)</f>
        <v/>
      </c>
      <c r="AV293" s="266">
        <f t="shared" si="40"/>
        <v>0</v>
      </c>
    </row>
    <row r="294" spans="26:48" ht="15" customHeight="1" x14ac:dyDescent="0.2">
      <c r="Z294" s="243" t="str">
        <f>Shares!A294</f>
        <v/>
      </c>
      <c r="AA294" s="243" t="str">
        <f>Shares!B294</f>
        <v/>
      </c>
      <c r="AB294" s="243" t="str">
        <f>Shares!C294</f>
        <v/>
      </c>
      <c r="AC294" s="243" t="str">
        <f>Shares!D294</f>
        <v/>
      </c>
      <c r="AD294" s="243">
        <f>IF($Z294="",0,Shares!E294)</f>
        <v>0</v>
      </c>
      <c r="AE294" s="266">
        <f>IF($Z294="",0,Shares!J294*Shares!I294)</f>
        <v>0</v>
      </c>
      <c r="AF294" s="267">
        <f t="shared" si="39"/>
        <v>0</v>
      </c>
      <c r="AG294" s="266">
        <f>IF($Z294="",0,Shares!L294)</f>
        <v>0</v>
      </c>
      <c r="AH294" s="267">
        <f>IF($Z294="",0,Shares!M294)</f>
        <v>0</v>
      </c>
      <c r="AI294" s="243" t="str">
        <f>IF($Z294="","",RANK(AE294,$AE$2:$AE$1001)+COUNTIF($AE$2:AE294,AE294)-1)</f>
        <v/>
      </c>
      <c r="AJ294" s="243" t="str">
        <f>IF($AD294&lt;0,COUNT($AJ$1:AJ293)+1,"")</f>
        <v/>
      </c>
      <c r="AL294" s="243" t="str">
        <f>'All Ticker P&amp;L'!A294</f>
        <v/>
      </c>
      <c r="AM294" s="243" t="str">
        <f>'All Ticker P&amp;L'!B294</f>
        <v/>
      </c>
      <c r="AN294" s="243" t="str">
        <f>'All Ticker P&amp;L'!C294</f>
        <v/>
      </c>
      <c r="AO294" s="243" t="str">
        <f>'All Ticker P&amp;L'!D294</f>
        <v/>
      </c>
      <c r="AP294" s="243">
        <f>IF($AL294="",0,'All Ticker P&amp;L'!E294)</f>
        <v>0</v>
      </c>
      <c r="AQ294" s="266">
        <f>IF($AL294="",0,'All Ticker P&amp;L'!J294*'All Ticker P&amp;L'!I294)</f>
        <v>0</v>
      </c>
      <c r="AR294" s="266">
        <f>IF($AL294="",0,'All Ticker P&amp;L'!L294)</f>
        <v>0</v>
      </c>
      <c r="AS294" s="267">
        <f>IF($AL294="",0,'All Ticker P&amp;L'!M294)</f>
        <v>0</v>
      </c>
      <c r="AT294" s="243" t="str">
        <f>IF($AL294="","",RANK(AR294,$AR$2:$AR$1001)+COUNTIF($AR$2:AR294,AR294)-1)</f>
        <v/>
      </c>
      <c r="AU294" s="243" t="str">
        <f>IF($AL294="","",RANK(AV294,$AV$2:$AV$1001)+COUNTIF($AV$2:AV294,AV294)-1)</f>
        <v/>
      </c>
      <c r="AV294" s="266">
        <f t="shared" si="40"/>
        <v>0</v>
      </c>
    </row>
    <row r="295" spans="26:48" ht="15" customHeight="1" x14ac:dyDescent="0.2">
      <c r="Z295" s="243" t="str">
        <f>Shares!A295</f>
        <v/>
      </c>
      <c r="AA295" s="243" t="str">
        <f>Shares!B295</f>
        <v/>
      </c>
      <c r="AB295" s="243" t="str">
        <f>Shares!C295</f>
        <v/>
      </c>
      <c r="AC295" s="243" t="str">
        <f>Shares!D295</f>
        <v/>
      </c>
      <c r="AD295" s="243">
        <f>IF($Z295="",0,Shares!E295)</f>
        <v>0</v>
      </c>
      <c r="AE295" s="266">
        <f>IF($Z295="",0,Shares!J295*Shares!I295)</f>
        <v>0</v>
      </c>
      <c r="AF295" s="267">
        <f t="shared" si="39"/>
        <v>0</v>
      </c>
      <c r="AG295" s="266">
        <f>IF($Z295="",0,Shares!L295)</f>
        <v>0</v>
      </c>
      <c r="AH295" s="267">
        <f>IF($Z295="",0,Shares!M295)</f>
        <v>0</v>
      </c>
      <c r="AI295" s="243" t="str">
        <f>IF($Z295="","",RANK(AE295,$AE$2:$AE$1001)+COUNTIF($AE$2:AE295,AE295)-1)</f>
        <v/>
      </c>
      <c r="AJ295" s="243" t="str">
        <f>IF($AD295&lt;0,COUNT($AJ$1:AJ294)+1,"")</f>
        <v/>
      </c>
      <c r="AL295" s="243" t="str">
        <f>'All Ticker P&amp;L'!A295</f>
        <v/>
      </c>
      <c r="AM295" s="243" t="str">
        <f>'All Ticker P&amp;L'!B295</f>
        <v/>
      </c>
      <c r="AN295" s="243" t="str">
        <f>'All Ticker P&amp;L'!C295</f>
        <v/>
      </c>
      <c r="AO295" s="243" t="str">
        <f>'All Ticker P&amp;L'!D295</f>
        <v/>
      </c>
      <c r="AP295" s="243">
        <f>IF($AL295="",0,'All Ticker P&amp;L'!E295)</f>
        <v>0</v>
      </c>
      <c r="AQ295" s="266">
        <f>IF($AL295="",0,'All Ticker P&amp;L'!J295*'All Ticker P&amp;L'!I295)</f>
        <v>0</v>
      </c>
      <c r="AR295" s="266">
        <f>IF($AL295="",0,'All Ticker P&amp;L'!L295)</f>
        <v>0</v>
      </c>
      <c r="AS295" s="267">
        <f>IF($AL295="",0,'All Ticker P&amp;L'!M295)</f>
        <v>0</v>
      </c>
      <c r="AT295" s="243" t="str">
        <f>IF($AL295="","",RANK(AR295,$AR$2:$AR$1001)+COUNTIF($AR$2:AR295,AR295)-1)</f>
        <v/>
      </c>
      <c r="AU295" s="243" t="str">
        <f>IF($AL295="","",RANK(AV295,$AV$2:$AV$1001)+COUNTIF($AV$2:AV295,AV295)-1)</f>
        <v/>
      </c>
      <c r="AV295" s="266">
        <f t="shared" si="40"/>
        <v>0</v>
      </c>
    </row>
    <row r="296" spans="26:48" ht="15" customHeight="1" x14ac:dyDescent="0.2">
      <c r="Z296" s="243" t="str">
        <f>Shares!A296</f>
        <v/>
      </c>
      <c r="AA296" s="243" t="str">
        <f>Shares!B296</f>
        <v/>
      </c>
      <c r="AB296" s="243" t="str">
        <f>Shares!C296</f>
        <v/>
      </c>
      <c r="AC296" s="243" t="str">
        <f>Shares!D296</f>
        <v/>
      </c>
      <c r="AD296" s="243">
        <f>IF($Z296="",0,Shares!E296)</f>
        <v>0</v>
      </c>
      <c r="AE296" s="266">
        <f>IF($Z296="",0,Shares!J296*Shares!I296)</f>
        <v>0</v>
      </c>
      <c r="AF296" s="267">
        <f t="shared" si="39"/>
        <v>0</v>
      </c>
      <c r="AG296" s="266">
        <f>IF($Z296="",0,Shares!L296)</f>
        <v>0</v>
      </c>
      <c r="AH296" s="267">
        <f>IF($Z296="",0,Shares!M296)</f>
        <v>0</v>
      </c>
      <c r="AI296" s="243" t="str">
        <f>IF($Z296="","",RANK(AE296,$AE$2:$AE$1001)+COUNTIF($AE$2:AE296,AE296)-1)</f>
        <v/>
      </c>
      <c r="AJ296" s="243" t="str">
        <f>IF($AD296&lt;0,COUNT($AJ$1:AJ295)+1,"")</f>
        <v/>
      </c>
      <c r="AL296" s="243" t="str">
        <f>'All Ticker P&amp;L'!A296</f>
        <v/>
      </c>
      <c r="AM296" s="243" t="str">
        <f>'All Ticker P&amp;L'!B296</f>
        <v/>
      </c>
      <c r="AN296" s="243" t="str">
        <f>'All Ticker P&amp;L'!C296</f>
        <v/>
      </c>
      <c r="AO296" s="243" t="str">
        <f>'All Ticker P&amp;L'!D296</f>
        <v/>
      </c>
      <c r="AP296" s="243">
        <f>IF($AL296="",0,'All Ticker P&amp;L'!E296)</f>
        <v>0</v>
      </c>
      <c r="AQ296" s="266">
        <f>IF($AL296="",0,'All Ticker P&amp;L'!J296*'All Ticker P&amp;L'!I296)</f>
        <v>0</v>
      </c>
      <c r="AR296" s="266">
        <f>IF($AL296="",0,'All Ticker P&amp;L'!L296)</f>
        <v>0</v>
      </c>
      <c r="AS296" s="267">
        <f>IF($AL296="",0,'All Ticker P&amp;L'!M296)</f>
        <v>0</v>
      </c>
      <c r="AT296" s="243" t="str">
        <f>IF($AL296="","",RANK(AR296,$AR$2:$AR$1001)+COUNTIF($AR$2:AR296,AR296)-1)</f>
        <v/>
      </c>
      <c r="AU296" s="243" t="str">
        <f>IF($AL296="","",RANK(AV296,$AV$2:$AV$1001)+COUNTIF($AV$2:AV296,AV296)-1)</f>
        <v/>
      </c>
      <c r="AV296" s="266">
        <f t="shared" si="40"/>
        <v>0</v>
      </c>
    </row>
    <row r="297" spans="26:48" ht="15" customHeight="1" x14ac:dyDescent="0.2">
      <c r="Z297" s="243" t="str">
        <f>Shares!A297</f>
        <v/>
      </c>
      <c r="AA297" s="243" t="str">
        <f>Shares!B297</f>
        <v/>
      </c>
      <c r="AB297" s="243" t="str">
        <f>Shares!C297</f>
        <v/>
      </c>
      <c r="AC297" s="243" t="str">
        <f>Shares!D297</f>
        <v/>
      </c>
      <c r="AD297" s="243">
        <f>IF($Z297="",0,Shares!E297)</f>
        <v>0</v>
      </c>
      <c r="AE297" s="266">
        <f>IF($Z297="",0,Shares!J297*Shares!I297)</f>
        <v>0</v>
      </c>
      <c r="AF297" s="267">
        <f t="shared" si="39"/>
        <v>0</v>
      </c>
      <c r="AG297" s="266">
        <f>IF($Z297="",0,Shares!L297)</f>
        <v>0</v>
      </c>
      <c r="AH297" s="267">
        <f>IF($Z297="",0,Shares!M297)</f>
        <v>0</v>
      </c>
      <c r="AI297" s="243" t="str">
        <f>IF($Z297="","",RANK(AE297,$AE$2:$AE$1001)+COUNTIF($AE$2:AE297,AE297)-1)</f>
        <v/>
      </c>
      <c r="AJ297" s="243" t="str">
        <f>IF($AD297&lt;0,COUNT($AJ$1:AJ296)+1,"")</f>
        <v/>
      </c>
      <c r="AL297" s="243" t="str">
        <f>'All Ticker P&amp;L'!A297</f>
        <v/>
      </c>
      <c r="AM297" s="243" t="str">
        <f>'All Ticker P&amp;L'!B297</f>
        <v/>
      </c>
      <c r="AN297" s="243" t="str">
        <f>'All Ticker P&amp;L'!C297</f>
        <v/>
      </c>
      <c r="AO297" s="243" t="str">
        <f>'All Ticker P&amp;L'!D297</f>
        <v/>
      </c>
      <c r="AP297" s="243">
        <f>IF($AL297="",0,'All Ticker P&amp;L'!E297)</f>
        <v>0</v>
      </c>
      <c r="AQ297" s="266">
        <f>IF($AL297="",0,'All Ticker P&amp;L'!J297*'All Ticker P&amp;L'!I297)</f>
        <v>0</v>
      </c>
      <c r="AR297" s="266">
        <f>IF($AL297="",0,'All Ticker P&amp;L'!L297)</f>
        <v>0</v>
      </c>
      <c r="AS297" s="267">
        <f>IF($AL297="",0,'All Ticker P&amp;L'!M297)</f>
        <v>0</v>
      </c>
      <c r="AT297" s="243" t="str">
        <f>IF($AL297="","",RANK(AR297,$AR$2:$AR$1001)+COUNTIF($AR$2:AR297,AR297)-1)</f>
        <v/>
      </c>
      <c r="AU297" s="243" t="str">
        <f>IF($AL297="","",RANK(AV297,$AV$2:$AV$1001)+COUNTIF($AV$2:AV297,AV297)-1)</f>
        <v/>
      </c>
      <c r="AV297" s="266">
        <f t="shared" si="40"/>
        <v>0</v>
      </c>
    </row>
    <row r="298" spans="26:48" ht="15" customHeight="1" x14ac:dyDescent="0.2">
      <c r="Z298" s="243" t="str">
        <f>Shares!A298</f>
        <v/>
      </c>
      <c r="AA298" s="243" t="str">
        <f>Shares!B298</f>
        <v/>
      </c>
      <c r="AB298" s="243" t="str">
        <f>Shares!C298</f>
        <v/>
      </c>
      <c r="AC298" s="243" t="str">
        <f>Shares!D298</f>
        <v/>
      </c>
      <c r="AD298" s="243">
        <f>IF($Z298="",0,Shares!E298)</f>
        <v>0</v>
      </c>
      <c r="AE298" s="266">
        <f>IF($Z298="",0,Shares!J298*Shares!I298)</f>
        <v>0</v>
      </c>
      <c r="AF298" s="267">
        <f t="shared" si="39"/>
        <v>0</v>
      </c>
      <c r="AG298" s="266">
        <f>IF($Z298="",0,Shares!L298)</f>
        <v>0</v>
      </c>
      <c r="AH298" s="267">
        <f>IF($Z298="",0,Shares!M298)</f>
        <v>0</v>
      </c>
      <c r="AI298" s="243" t="str">
        <f>IF($Z298="","",RANK(AE298,$AE$2:$AE$1001)+COUNTIF($AE$2:AE298,AE298)-1)</f>
        <v/>
      </c>
      <c r="AJ298" s="243" t="str">
        <f>IF($AD298&lt;0,COUNT($AJ$1:AJ297)+1,"")</f>
        <v/>
      </c>
      <c r="AL298" s="243" t="str">
        <f>'All Ticker P&amp;L'!A298</f>
        <v/>
      </c>
      <c r="AM298" s="243" t="str">
        <f>'All Ticker P&amp;L'!B298</f>
        <v/>
      </c>
      <c r="AN298" s="243" t="str">
        <f>'All Ticker P&amp;L'!C298</f>
        <v/>
      </c>
      <c r="AO298" s="243" t="str">
        <f>'All Ticker P&amp;L'!D298</f>
        <v/>
      </c>
      <c r="AP298" s="243">
        <f>IF($AL298="",0,'All Ticker P&amp;L'!E298)</f>
        <v>0</v>
      </c>
      <c r="AQ298" s="266">
        <f>IF($AL298="",0,'All Ticker P&amp;L'!J298*'All Ticker P&amp;L'!I298)</f>
        <v>0</v>
      </c>
      <c r="AR298" s="266">
        <f>IF($AL298="",0,'All Ticker P&amp;L'!L298)</f>
        <v>0</v>
      </c>
      <c r="AS298" s="267">
        <f>IF($AL298="",0,'All Ticker P&amp;L'!M298)</f>
        <v>0</v>
      </c>
      <c r="AT298" s="243" t="str">
        <f>IF($AL298="","",RANK(AR298,$AR$2:$AR$1001)+COUNTIF($AR$2:AR298,AR298)-1)</f>
        <v/>
      </c>
      <c r="AU298" s="243" t="str">
        <f>IF($AL298="","",RANK(AV298,$AV$2:$AV$1001)+COUNTIF($AV$2:AV298,AV298)-1)</f>
        <v/>
      </c>
      <c r="AV298" s="266">
        <f t="shared" si="40"/>
        <v>0</v>
      </c>
    </row>
    <row r="299" spans="26:48" ht="15" customHeight="1" x14ac:dyDescent="0.2">
      <c r="Z299" s="243" t="str">
        <f>Shares!A299</f>
        <v/>
      </c>
      <c r="AA299" s="243" t="str">
        <f>Shares!B299</f>
        <v/>
      </c>
      <c r="AB299" s="243" t="str">
        <f>Shares!C299</f>
        <v/>
      </c>
      <c r="AC299" s="243" t="str">
        <f>Shares!D299</f>
        <v/>
      </c>
      <c r="AD299" s="243">
        <f>IF($Z299="",0,Shares!E299)</f>
        <v>0</v>
      </c>
      <c r="AE299" s="266">
        <f>IF($Z299="",0,Shares!J299*Shares!I299)</f>
        <v>0</v>
      </c>
      <c r="AF299" s="267">
        <f t="shared" si="39"/>
        <v>0</v>
      </c>
      <c r="AG299" s="266">
        <f>IF($Z299="",0,Shares!L299)</f>
        <v>0</v>
      </c>
      <c r="AH299" s="267">
        <f>IF($Z299="",0,Shares!M299)</f>
        <v>0</v>
      </c>
      <c r="AI299" s="243" t="str">
        <f>IF($Z299="","",RANK(AE299,$AE$2:$AE$1001)+COUNTIF($AE$2:AE299,AE299)-1)</f>
        <v/>
      </c>
      <c r="AJ299" s="243" t="str">
        <f>IF($AD299&lt;0,COUNT($AJ$1:AJ298)+1,"")</f>
        <v/>
      </c>
      <c r="AL299" s="243" t="str">
        <f>'All Ticker P&amp;L'!A299</f>
        <v/>
      </c>
      <c r="AM299" s="243" t="str">
        <f>'All Ticker P&amp;L'!B299</f>
        <v/>
      </c>
      <c r="AN299" s="243" t="str">
        <f>'All Ticker P&amp;L'!C299</f>
        <v/>
      </c>
      <c r="AO299" s="243" t="str">
        <f>'All Ticker P&amp;L'!D299</f>
        <v/>
      </c>
      <c r="AP299" s="243">
        <f>IF($AL299="",0,'All Ticker P&amp;L'!E299)</f>
        <v>0</v>
      </c>
      <c r="AQ299" s="266">
        <f>IF($AL299="",0,'All Ticker P&amp;L'!J299*'All Ticker P&amp;L'!I299)</f>
        <v>0</v>
      </c>
      <c r="AR299" s="266">
        <f>IF($AL299="",0,'All Ticker P&amp;L'!L299)</f>
        <v>0</v>
      </c>
      <c r="AS299" s="267">
        <f>IF($AL299="",0,'All Ticker P&amp;L'!M299)</f>
        <v>0</v>
      </c>
      <c r="AT299" s="243" t="str">
        <f>IF($AL299="","",RANK(AR299,$AR$2:$AR$1001)+COUNTIF($AR$2:AR299,AR299)-1)</f>
        <v/>
      </c>
      <c r="AU299" s="243" t="str">
        <f>IF($AL299="","",RANK(AV299,$AV$2:$AV$1001)+COUNTIF($AV$2:AV299,AV299)-1)</f>
        <v/>
      </c>
      <c r="AV299" s="266">
        <f t="shared" si="40"/>
        <v>0</v>
      </c>
    </row>
    <row r="300" spans="26:48" ht="15" customHeight="1" x14ac:dyDescent="0.2">
      <c r="Z300" s="243" t="str">
        <f>Shares!A300</f>
        <v/>
      </c>
      <c r="AA300" s="243" t="str">
        <f>Shares!B300</f>
        <v/>
      </c>
      <c r="AB300" s="243" t="str">
        <f>Shares!C300</f>
        <v/>
      </c>
      <c r="AC300" s="243" t="str">
        <f>Shares!D300</f>
        <v/>
      </c>
      <c r="AD300" s="243">
        <f>IF($Z300="",0,Shares!E300)</f>
        <v>0</v>
      </c>
      <c r="AE300" s="266">
        <f>IF($Z300="",0,Shares!J300*Shares!I300)</f>
        <v>0</v>
      </c>
      <c r="AF300" s="267">
        <f t="shared" si="39"/>
        <v>0</v>
      </c>
      <c r="AG300" s="266">
        <f>IF($Z300="",0,Shares!L300)</f>
        <v>0</v>
      </c>
      <c r="AH300" s="267">
        <f>IF($Z300="",0,Shares!M300)</f>
        <v>0</v>
      </c>
      <c r="AI300" s="243" t="str">
        <f>IF($Z300="","",RANK(AE300,$AE$2:$AE$1001)+COUNTIF($AE$2:AE300,AE300)-1)</f>
        <v/>
      </c>
      <c r="AJ300" s="243" t="str">
        <f>IF($AD300&lt;0,COUNT($AJ$1:AJ299)+1,"")</f>
        <v/>
      </c>
      <c r="AL300" s="243" t="str">
        <f>'All Ticker P&amp;L'!A300</f>
        <v/>
      </c>
      <c r="AM300" s="243" t="str">
        <f>'All Ticker P&amp;L'!B300</f>
        <v/>
      </c>
      <c r="AN300" s="243" t="str">
        <f>'All Ticker P&amp;L'!C300</f>
        <v/>
      </c>
      <c r="AO300" s="243" t="str">
        <f>'All Ticker P&amp;L'!D300</f>
        <v/>
      </c>
      <c r="AP300" s="243">
        <f>IF($AL300="",0,'All Ticker P&amp;L'!E300)</f>
        <v>0</v>
      </c>
      <c r="AQ300" s="266">
        <f>IF($AL300="",0,'All Ticker P&amp;L'!J300*'All Ticker P&amp;L'!I300)</f>
        <v>0</v>
      </c>
      <c r="AR300" s="266">
        <f>IF($AL300="",0,'All Ticker P&amp;L'!L300)</f>
        <v>0</v>
      </c>
      <c r="AS300" s="267">
        <f>IF($AL300="",0,'All Ticker P&amp;L'!M300)</f>
        <v>0</v>
      </c>
      <c r="AT300" s="243" t="str">
        <f>IF($AL300="","",RANK(AR300,$AR$2:$AR$1001)+COUNTIF($AR$2:AR300,AR300)-1)</f>
        <v/>
      </c>
      <c r="AU300" s="243" t="str">
        <f>IF($AL300="","",RANK(AV300,$AV$2:$AV$1001)+COUNTIF($AV$2:AV300,AV300)-1)</f>
        <v/>
      </c>
      <c r="AV300" s="266">
        <f t="shared" si="40"/>
        <v>0</v>
      </c>
    </row>
    <row r="301" spans="26:48" ht="15" customHeight="1" x14ac:dyDescent="0.2">
      <c r="Z301" s="243" t="str">
        <f>Shares!A301</f>
        <v/>
      </c>
      <c r="AA301" s="243" t="str">
        <f>Shares!B301</f>
        <v/>
      </c>
      <c r="AB301" s="243" t="str">
        <f>Shares!C301</f>
        <v/>
      </c>
      <c r="AC301" s="243" t="str">
        <f>Shares!D301</f>
        <v/>
      </c>
      <c r="AD301" s="243">
        <f>IF($Z301="",0,Shares!E301)</f>
        <v>0</v>
      </c>
      <c r="AE301" s="266">
        <f>IF($Z301="",0,Shares!J301*Shares!I301)</f>
        <v>0</v>
      </c>
      <c r="AF301" s="267">
        <f t="shared" si="39"/>
        <v>0</v>
      </c>
      <c r="AG301" s="266">
        <f>IF($Z301="",0,Shares!L301)</f>
        <v>0</v>
      </c>
      <c r="AH301" s="267">
        <f>IF($Z301="",0,Shares!M301)</f>
        <v>0</v>
      </c>
      <c r="AI301" s="243" t="str">
        <f>IF($Z301="","",RANK(AE301,$AE$2:$AE$1001)+COUNTIF($AE$2:AE301,AE301)-1)</f>
        <v/>
      </c>
      <c r="AJ301" s="243" t="str">
        <f>IF($AD301&lt;0,COUNT($AJ$1:AJ300)+1,"")</f>
        <v/>
      </c>
      <c r="AL301" s="243" t="str">
        <f>'All Ticker P&amp;L'!A301</f>
        <v/>
      </c>
      <c r="AM301" s="243" t="str">
        <f>'All Ticker P&amp;L'!B301</f>
        <v/>
      </c>
      <c r="AN301" s="243" t="str">
        <f>'All Ticker P&amp;L'!C301</f>
        <v/>
      </c>
      <c r="AO301" s="243" t="str">
        <f>'All Ticker P&amp;L'!D301</f>
        <v/>
      </c>
      <c r="AP301" s="243">
        <f>IF($AL301="",0,'All Ticker P&amp;L'!E301)</f>
        <v>0</v>
      </c>
      <c r="AQ301" s="266">
        <f>IF($AL301="",0,'All Ticker P&amp;L'!J301*'All Ticker P&amp;L'!I301)</f>
        <v>0</v>
      </c>
      <c r="AR301" s="266">
        <f>IF($AL301="",0,'All Ticker P&amp;L'!L301)</f>
        <v>0</v>
      </c>
      <c r="AS301" s="267">
        <f>IF($AL301="",0,'All Ticker P&amp;L'!M301)</f>
        <v>0</v>
      </c>
      <c r="AT301" s="243" t="str">
        <f>IF($AL301="","",RANK(AR301,$AR$2:$AR$1001)+COUNTIF($AR$2:AR301,AR301)-1)</f>
        <v/>
      </c>
      <c r="AU301" s="243" t="str">
        <f>IF($AL301="","",RANK(AV301,$AV$2:$AV$1001)+COUNTIF($AV$2:AV301,AV301)-1)</f>
        <v/>
      </c>
      <c r="AV301" s="266">
        <f t="shared" si="40"/>
        <v>0</v>
      </c>
    </row>
    <row r="302" spans="26:48" ht="15" customHeight="1" x14ac:dyDescent="0.2">
      <c r="Z302" s="243" t="str">
        <f>Shares!A302</f>
        <v/>
      </c>
      <c r="AA302" s="243" t="str">
        <f>Shares!B302</f>
        <v/>
      </c>
      <c r="AB302" s="243" t="str">
        <f>Shares!C302</f>
        <v/>
      </c>
      <c r="AC302" s="243" t="str">
        <f>Shares!D302</f>
        <v/>
      </c>
      <c r="AD302" s="243">
        <f>IF($Z302="",0,Shares!E302)</f>
        <v>0</v>
      </c>
      <c r="AE302" s="266">
        <f>IF($Z302="",0,Shares!J302*Shares!I302)</f>
        <v>0</v>
      </c>
      <c r="AF302" s="267">
        <f t="shared" si="39"/>
        <v>0</v>
      </c>
      <c r="AG302" s="266">
        <f>IF($Z302="",0,Shares!L302)</f>
        <v>0</v>
      </c>
      <c r="AH302" s="267">
        <f>IF($Z302="",0,Shares!M302)</f>
        <v>0</v>
      </c>
      <c r="AI302" s="243" t="str">
        <f>IF($Z302="","",RANK(AE302,$AE$2:$AE$1001)+COUNTIF($AE$2:AE302,AE302)-1)</f>
        <v/>
      </c>
      <c r="AJ302" s="243" t="str">
        <f>IF($AD302&lt;0,COUNT($AJ$1:AJ301)+1,"")</f>
        <v/>
      </c>
      <c r="AL302" s="243" t="str">
        <f>'All Ticker P&amp;L'!A302</f>
        <v/>
      </c>
      <c r="AM302" s="243" t="str">
        <f>'All Ticker P&amp;L'!B302</f>
        <v/>
      </c>
      <c r="AN302" s="243" t="str">
        <f>'All Ticker P&amp;L'!C302</f>
        <v/>
      </c>
      <c r="AO302" s="243" t="str">
        <f>'All Ticker P&amp;L'!D302</f>
        <v/>
      </c>
      <c r="AP302" s="243">
        <f>IF($AL302="",0,'All Ticker P&amp;L'!E302)</f>
        <v>0</v>
      </c>
      <c r="AQ302" s="266">
        <f>IF($AL302="",0,'All Ticker P&amp;L'!J302*'All Ticker P&amp;L'!I302)</f>
        <v>0</v>
      </c>
      <c r="AR302" s="266">
        <f>IF($AL302="",0,'All Ticker P&amp;L'!L302)</f>
        <v>0</v>
      </c>
      <c r="AS302" s="267">
        <f>IF($AL302="",0,'All Ticker P&amp;L'!M302)</f>
        <v>0</v>
      </c>
      <c r="AT302" s="243" t="str">
        <f>IF($AL302="","",RANK(AR302,$AR$2:$AR$1001)+COUNTIF($AR$2:AR302,AR302)-1)</f>
        <v/>
      </c>
      <c r="AU302" s="243" t="str">
        <f>IF($AL302="","",RANK(AV302,$AV$2:$AV$1001)+COUNTIF($AV$2:AV302,AV302)-1)</f>
        <v/>
      </c>
      <c r="AV302" s="266">
        <f t="shared" si="40"/>
        <v>0</v>
      </c>
    </row>
    <row r="303" spans="26:48" ht="15" customHeight="1" x14ac:dyDescent="0.2">
      <c r="Z303" s="243" t="str">
        <f>Shares!A303</f>
        <v/>
      </c>
      <c r="AA303" s="243" t="str">
        <f>Shares!B303</f>
        <v/>
      </c>
      <c r="AB303" s="243" t="str">
        <f>Shares!C303</f>
        <v/>
      </c>
      <c r="AC303" s="243" t="str">
        <f>Shares!D303</f>
        <v/>
      </c>
      <c r="AD303" s="243">
        <f>IF($Z303="",0,Shares!E303)</f>
        <v>0</v>
      </c>
      <c r="AE303" s="266">
        <f>IF($Z303="",0,Shares!J303*Shares!I303)</f>
        <v>0</v>
      </c>
      <c r="AF303" s="267">
        <f t="shared" si="39"/>
        <v>0</v>
      </c>
      <c r="AG303" s="266">
        <f>IF($Z303="",0,Shares!L303)</f>
        <v>0</v>
      </c>
      <c r="AH303" s="267">
        <f>IF($Z303="",0,Shares!M303)</f>
        <v>0</v>
      </c>
      <c r="AI303" s="243" t="str">
        <f>IF($Z303="","",RANK(AE303,$AE$2:$AE$1001)+COUNTIF($AE$2:AE303,AE303)-1)</f>
        <v/>
      </c>
      <c r="AJ303" s="243" t="str">
        <f>IF($AD303&lt;0,COUNT($AJ$1:AJ302)+1,"")</f>
        <v/>
      </c>
      <c r="AL303" s="243" t="str">
        <f>'All Ticker P&amp;L'!A303</f>
        <v/>
      </c>
      <c r="AM303" s="243" t="str">
        <f>'All Ticker P&amp;L'!B303</f>
        <v/>
      </c>
      <c r="AN303" s="243" t="str">
        <f>'All Ticker P&amp;L'!C303</f>
        <v/>
      </c>
      <c r="AO303" s="243" t="str">
        <f>'All Ticker P&amp;L'!D303</f>
        <v/>
      </c>
      <c r="AP303" s="243">
        <f>IF($AL303="",0,'All Ticker P&amp;L'!E303)</f>
        <v>0</v>
      </c>
      <c r="AQ303" s="266">
        <f>IF($AL303="",0,'All Ticker P&amp;L'!J303*'All Ticker P&amp;L'!I303)</f>
        <v>0</v>
      </c>
      <c r="AR303" s="266">
        <f>IF($AL303="",0,'All Ticker P&amp;L'!L303)</f>
        <v>0</v>
      </c>
      <c r="AS303" s="267">
        <f>IF($AL303="",0,'All Ticker P&amp;L'!M303)</f>
        <v>0</v>
      </c>
      <c r="AT303" s="243" t="str">
        <f>IF($AL303="","",RANK(AR303,$AR$2:$AR$1001)+COUNTIF($AR$2:AR303,AR303)-1)</f>
        <v/>
      </c>
      <c r="AU303" s="243" t="str">
        <f>IF($AL303="","",RANK(AV303,$AV$2:$AV$1001)+COUNTIF($AV$2:AV303,AV303)-1)</f>
        <v/>
      </c>
      <c r="AV303" s="266">
        <f t="shared" si="40"/>
        <v>0</v>
      </c>
    </row>
    <row r="304" spans="26:48" ht="15" customHeight="1" x14ac:dyDescent="0.2">
      <c r="Z304" s="243" t="str">
        <f>Shares!A304</f>
        <v/>
      </c>
      <c r="AA304" s="243" t="str">
        <f>Shares!B304</f>
        <v/>
      </c>
      <c r="AB304" s="243" t="str">
        <f>Shares!C304</f>
        <v/>
      </c>
      <c r="AC304" s="243" t="str">
        <f>Shares!D304</f>
        <v/>
      </c>
      <c r="AD304" s="243">
        <f>IF($Z304="",0,Shares!E304)</f>
        <v>0</v>
      </c>
      <c r="AE304" s="266">
        <f>IF($Z304="",0,Shares!J304*Shares!I304)</f>
        <v>0</v>
      </c>
      <c r="AF304" s="267">
        <f t="shared" si="39"/>
        <v>0</v>
      </c>
      <c r="AG304" s="266">
        <f>IF($Z304="",0,Shares!L304)</f>
        <v>0</v>
      </c>
      <c r="AH304" s="267">
        <f>IF($Z304="",0,Shares!M304)</f>
        <v>0</v>
      </c>
      <c r="AI304" s="243" t="str">
        <f>IF($Z304="","",RANK(AE304,$AE$2:$AE$1001)+COUNTIF($AE$2:AE304,AE304)-1)</f>
        <v/>
      </c>
      <c r="AJ304" s="243" t="str">
        <f>IF($AD304&lt;0,COUNT($AJ$1:AJ303)+1,"")</f>
        <v/>
      </c>
      <c r="AL304" s="243" t="str">
        <f>'All Ticker P&amp;L'!A304</f>
        <v/>
      </c>
      <c r="AM304" s="243" t="str">
        <f>'All Ticker P&amp;L'!B304</f>
        <v/>
      </c>
      <c r="AN304" s="243" t="str">
        <f>'All Ticker P&amp;L'!C304</f>
        <v/>
      </c>
      <c r="AO304" s="243" t="str">
        <f>'All Ticker P&amp;L'!D304</f>
        <v/>
      </c>
      <c r="AP304" s="243">
        <f>IF($AL304="",0,'All Ticker P&amp;L'!E304)</f>
        <v>0</v>
      </c>
      <c r="AQ304" s="266">
        <f>IF($AL304="",0,'All Ticker P&amp;L'!J304*'All Ticker P&amp;L'!I304)</f>
        <v>0</v>
      </c>
      <c r="AR304" s="266">
        <f>IF($AL304="",0,'All Ticker P&amp;L'!L304)</f>
        <v>0</v>
      </c>
      <c r="AS304" s="267">
        <f>IF($AL304="",0,'All Ticker P&amp;L'!M304)</f>
        <v>0</v>
      </c>
      <c r="AT304" s="243" t="str">
        <f>IF($AL304="","",RANK(AR304,$AR$2:$AR$1001)+COUNTIF($AR$2:AR304,AR304)-1)</f>
        <v/>
      </c>
      <c r="AU304" s="243" t="str">
        <f>IF($AL304="","",RANK(AV304,$AV$2:$AV$1001)+COUNTIF($AV$2:AV304,AV304)-1)</f>
        <v/>
      </c>
      <c r="AV304" s="266">
        <f t="shared" si="40"/>
        <v>0</v>
      </c>
    </row>
    <row r="305" spans="26:48" ht="15" customHeight="1" x14ac:dyDescent="0.2">
      <c r="Z305" s="243" t="str">
        <f>Shares!A305</f>
        <v/>
      </c>
      <c r="AA305" s="243" t="str">
        <f>Shares!B305</f>
        <v/>
      </c>
      <c r="AB305" s="243" t="str">
        <f>Shares!C305</f>
        <v/>
      </c>
      <c r="AC305" s="243" t="str">
        <f>Shares!D305</f>
        <v/>
      </c>
      <c r="AD305" s="243">
        <f>IF($Z305="",0,Shares!E305)</f>
        <v>0</v>
      </c>
      <c r="AE305" s="266">
        <f>IF($Z305="",0,Shares!J305*Shares!I305)</f>
        <v>0</v>
      </c>
      <c r="AF305" s="267">
        <f t="shared" si="39"/>
        <v>0</v>
      </c>
      <c r="AG305" s="266">
        <f>IF($Z305="",0,Shares!L305)</f>
        <v>0</v>
      </c>
      <c r="AH305" s="267">
        <f>IF($Z305="",0,Shares!M305)</f>
        <v>0</v>
      </c>
      <c r="AI305" s="243" t="str">
        <f>IF($Z305="","",RANK(AE305,$AE$2:$AE$1001)+COUNTIF($AE$2:AE305,AE305)-1)</f>
        <v/>
      </c>
      <c r="AJ305" s="243" t="str">
        <f>IF($AD305&lt;0,COUNT($AJ$1:AJ304)+1,"")</f>
        <v/>
      </c>
      <c r="AL305" s="243" t="str">
        <f>'All Ticker P&amp;L'!A305</f>
        <v/>
      </c>
      <c r="AM305" s="243" t="str">
        <f>'All Ticker P&amp;L'!B305</f>
        <v/>
      </c>
      <c r="AN305" s="243" t="str">
        <f>'All Ticker P&amp;L'!C305</f>
        <v/>
      </c>
      <c r="AO305" s="243" t="str">
        <f>'All Ticker P&amp;L'!D305</f>
        <v/>
      </c>
      <c r="AP305" s="243">
        <f>IF($AL305="",0,'All Ticker P&amp;L'!E305)</f>
        <v>0</v>
      </c>
      <c r="AQ305" s="266">
        <f>IF($AL305="",0,'All Ticker P&amp;L'!J305*'All Ticker P&amp;L'!I305)</f>
        <v>0</v>
      </c>
      <c r="AR305" s="266">
        <f>IF($AL305="",0,'All Ticker P&amp;L'!L305)</f>
        <v>0</v>
      </c>
      <c r="AS305" s="267">
        <f>IF($AL305="",0,'All Ticker P&amp;L'!M305)</f>
        <v>0</v>
      </c>
      <c r="AT305" s="243" t="str">
        <f>IF($AL305="","",RANK(AR305,$AR$2:$AR$1001)+COUNTIF($AR$2:AR305,AR305)-1)</f>
        <v/>
      </c>
      <c r="AU305" s="243" t="str">
        <f>IF($AL305="","",RANK(AV305,$AV$2:$AV$1001)+COUNTIF($AV$2:AV305,AV305)-1)</f>
        <v/>
      </c>
      <c r="AV305" s="266">
        <f t="shared" si="40"/>
        <v>0</v>
      </c>
    </row>
    <row r="306" spans="26:48" ht="15" customHeight="1" x14ac:dyDescent="0.2">
      <c r="Z306" s="243" t="str">
        <f>Shares!A306</f>
        <v/>
      </c>
      <c r="AA306" s="243" t="str">
        <f>Shares!B306</f>
        <v/>
      </c>
      <c r="AB306" s="243" t="str">
        <f>Shares!C306</f>
        <v/>
      </c>
      <c r="AC306" s="243" t="str">
        <f>Shares!D306</f>
        <v/>
      </c>
      <c r="AD306" s="243">
        <f>IF($Z306="",0,Shares!E306)</f>
        <v>0</v>
      </c>
      <c r="AE306" s="266">
        <f>IF($Z306="",0,Shares!J306*Shares!I306)</f>
        <v>0</v>
      </c>
      <c r="AF306" s="267">
        <f t="shared" si="39"/>
        <v>0</v>
      </c>
      <c r="AG306" s="266">
        <f>IF($Z306="",0,Shares!L306)</f>
        <v>0</v>
      </c>
      <c r="AH306" s="267">
        <f>IF($Z306="",0,Shares!M306)</f>
        <v>0</v>
      </c>
      <c r="AI306" s="243" t="str">
        <f>IF($Z306="","",RANK(AE306,$AE$2:$AE$1001)+COUNTIF($AE$2:AE306,AE306)-1)</f>
        <v/>
      </c>
      <c r="AJ306" s="243" t="str">
        <f>IF($AD306&lt;0,COUNT($AJ$1:AJ305)+1,"")</f>
        <v/>
      </c>
      <c r="AL306" s="243" t="str">
        <f>'All Ticker P&amp;L'!A306</f>
        <v/>
      </c>
      <c r="AM306" s="243" t="str">
        <f>'All Ticker P&amp;L'!B306</f>
        <v/>
      </c>
      <c r="AN306" s="243" t="str">
        <f>'All Ticker P&amp;L'!C306</f>
        <v/>
      </c>
      <c r="AO306" s="243" t="str">
        <f>'All Ticker P&amp;L'!D306</f>
        <v/>
      </c>
      <c r="AP306" s="243">
        <f>IF($AL306="",0,'All Ticker P&amp;L'!E306)</f>
        <v>0</v>
      </c>
      <c r="AQ306" s="266">
        <f>IF($AL306="",0,'All Ticker P&amp;L'!J306*'All Ticker P&amp;L'!I306)</f>
        <v>0</v>
      </c>
      <c r="AR306" s="266">
        <f>IF($AL306="",0,'All Ticker P&amp;L'!L306)</f>
        <v>0</v>
      </c>
      <c r="AS306" s="267">
        <f>IF($AL306="",0,'All Ticker P&amp;L'!M306)</f>
        <v>0</v>
      </c>
      <c r="AT306" s="243" t="str">
        <f>IF($AL306="","",RANK(AR306,$AR$2:$AR$1001)+COUNTIF($AR$2:AR306,AR306)-1)</f>
        <v/>
      </c>
      <c r="AU306" s="243" t="str">
        <f>IF($AL306="","",RANK(AV306,$AV$2:$AV$1001)+COUNTIF($AV$2:AV306,AV306)-1)</f>
        <v/>
      </c>
      <c r="AV306" s="266">
        <f t="shared" si="40"/>
        <v>0</v>
      </c>
    </row>
    <row r="307" spans="26:48" ht="15" customHeight="1" x14ac:dyDescent="0.2">
      <c r="Z307" s="243" t="str">
        <f>Shares!A307</f>
        <v/>
      </c>
      <c r="AA307" s="243" t="str">
        <f>Shares!B307</f>
        <v/>
      </c>
      <c r="AB307" s="243" t="str">
        <f>Shares!C307</f>
        <v/>
      </c>
      <c r="AC307" s="243" t="str">
        <f>Shares!D307</f>
        <v/>
      </c>
      <c r="AD307" s="243">
        <f>IF($Z307="",0,Shares!E307)</f>
        <v>0</v>
      </c>
      <c r="AE307" s="266">
        <f>IF($Z307="",0,Shares!J307*Shares!I307)</f>
        <v>0</v>
      </c>
      <c r="AF307" s="267">
        <f t="shared" si="39"/>
        <v>0</v>
      </c>
      <c r="AG307" s="266">
        <f>IF($Z307="",0,Shares!L307)</f>
        <v>0</v>
      </c>
      <c r="AH307" s="267">
        <f>IF($Z307="",0,Shares!M307)</f>
        <v>0</v>
      </c>
      <c r="AI307" s="243" t="str">
        <f>IF($Z307="","",RANK(AE307,$AE$2:$AE$1001)+COUNTIF($AE$2:AE307,AE307)-1)</f>
        <v/>
      </c>
      <c r="AJ307" s="243" t="str">
        <f>IF($AD307&lt;0,COUNT($AJ$1:AJ306)+1,"")</f>
        <v/>
      </c>
      <c r="AL307" s="243" t="str">
        <f>'All Ticker P&amp;L'!A307</f>
        <v/>
      </c>
      <c r="AM307" s="243" t="str">
        <f>'All Ticker P&amp;L'!B307</f>
        <v/>
      </c>
      <c r="AN307" s="243" t="str">
        <f>'All Ticker P&amp;L'!C307</f>
        <v/>
      </c>
      <c r="AO307" s="243" t="str">
        <f>'All Ticker P&amp;L'!D307</f>
        <v/>
      </c>
      <c r="AP307" s="243">
        <f>IF($AL307="",0,'All Ticker P&amp;L'!E307)</f>
        <v>0</v>
      </c>
      <c r="AQ307" s="266">
        <f>IF($AL307="",0,'All Ticker P&amp;L'!J307*'All Ticker P&amp;L'!I307)</f>
        <v>0</v>
      </c>
      <c r="AR307" s="266">
        <f>IF($AL307="",0,'All Ticker P&amp;L'!L307)</f>
        <v>0</v>
      </c>
      <c r="AS307" s="267">
        <f>IF($AL307="",0,'All Ticker P&amp;L'!M307)</f>
        <v>0</v>
      </c>
      <c r="AT307" s="243" t="str">
        <f>IF($AL307="","",RANK(AR307,$AR$2:$AR$1001)+COUNTIF($AR$2:AR307,AR307)-1)</f>
        <v/>
      </c>
      <c r="AU307" s="243" t="str">
        <f>IF($AL307="","",RANK(AV307,$AV$2:$AV$1001)+COUNTIF($AV$2:AV307,AV307)-1)</f>
        <v/>
      </c>
      <c r="AV307" s="266">
        <f t="shared" si="40"/>
        <v>0</v>
      </c>
    </row>
    <row r="308" spans="26:48" ht="15" customHeight="1" x14ac:dyDescent="0.2">
      <c r="Z308" s="243" t="str">
        <f>Shares!A308</f>
        <v/>
      </c>
      <c r="AA308" s="243" t="str">
        <f>Shares!B308</f>
        <v/>
      </c>
      <c r="AB308" s="243" t="str">
        <f>Shares!C308</f>
        <v/>
      </c>
      <c r="AC308" s="243" t="str">
        <f>Shares!D308</f>
        <v/>
      </c>
      <c r="AD308" s="243">
        <f>IF($Z308="",0,Shares!E308)</f>
        <v>0</v>
      </c>
      <c r="AE308" s="266">
        <f>IF($Z308="",0,Shares!J308*Shares!I308)</f>
        <v>0</v>
      </c>
      <c r="AF308" s="267">
        <f t="shared" si="39"/>
        <v>0</v>
      </c>
      <c r="AG308" s="266">
        <f>IF($Z308="",0,Shares!L308)</f>
        <v>0</v>
      </c>
      <c r="AH308" s="267">
        <f>IF($Z308="",0,Shares!M308)</f>
        <v>0</v>
      </c>
      <c r="AI308" s="243" t="str">
        <f>IF($Z308="","",RANK(AE308,$AE$2:$AE$1001)+COUNTIF($AE$2:AE308,AE308)-1)</f>
        <v/>
      </c>
      <c r="AJ308" s="243" t="str">
        <f>IF($AD308&lt;0,COUNT($AJ$1:AJ307)+1,"")</f>
        <v/>
      </c>
      <c r="AL308" s="243" t="str">
        <f>'All Ticker P&amp;L'!A308</f>
        <v/>
      </c>
      <c r="AM308" s="243" t="str">
        <f>'All Ticker P&amp;L'!B308</f>
        <v/>
      </c>
      <c r="AN308" s="243" t="str">
        <f>'All Ticker P&amp;L'!C308</f>
        <v/>
      </c>
      <c r="AO308" s="243" t="str">
        <f>'All Ticker P&amp;L'!D308</f>
        <v/>
      </c>
      <c r="AP308" s="243">
        <f>IF($AL308="",0,'All Ticker P&amp;L'!E308)</f>
        <v>0</v>
      </c>
      <c r="AQ308" s="266">
        <f>IF($AL308="",0,'All Ticker P&amp;L'!J308*'All Ticker P&amp;L'!I308)</f>
        <v>0</v>
      </c>
      <c r="AR308" s="266">
        <f>IF($AL308="",0,'All Ticker P&amp;L'!L308)</f>
        <v>0</v>
      </c>
      <c r="AS308" s="267">
        <f>IF($AL308="",0,'All Ticker P&amp;L'!M308)</f>
        <v>0</v>
      </c>
      <c r="AT308" s="243" t="str">
        <f>IF($AL308="","",RANK(AR308,$AR$2:$AR$1001)+COUNTIF($AR$2:AR308,AR308)-1)</f>
        <v/>
      </c>
      <c r="AU308" s="243" t="str">
        <f>IF($AL308="","",RANK(AV308,$AV$2:$AV$1001)+COUNTIF($AV$2:AV308,AV308)-1)</f>
        <v/>
      </c>
      <c r="AV308" s="266">
        <f t="shared" si="40"/>
        <v>0</v>
      </c>
    </row>
    <row r="309" spans="26:48" ht="15" customHeight="1" x14ac:dyDescent="0.2">
      <c r="Z309" s="243" t="str">
        <f>Shares!A309</f>
        <v/>
      </c>
      <c r="AA309" s="243" t="str">
        <f>Shares!B309</f>
        <v/>
      </c>
      <c r="AB309" s="243" t="str">
        <f>Shares!C309</f>
        <v/>
      </c>
      <c r="AC309" s="243" t="str">
        <f>Shares!D309</f>
        <v/>
      </c>
      <c r="AD309" s="243">
        <f>IF($Z309="",0,Shares!E309)</f>
        <v>0</v>
      </c>
      <c r="AE309" s="266">
        <f>IF($Z309="",0,Shares!J309*Shares!I309)</f>
        <v>0</v>
      </c>
      <c r="AF309" s="267">
        <f t="shared" si="39"/>
        <v>0</v>
      </c>
      <c r="AG309" s="266">
        <f>IF($Z309="",0,Shares!L309)</f>
        <v>0</v>
      </c>
      <c r="AH309" s="267">
        <f>IF($Z309="",0,Shares!M309)</f>
        <v>0</v>
      </c>
      <c r="AI309" s="243" t="str">
        <f>IF($Z309="","",RANK(AE309,$AE$2:$AE$1001)+COUNTIF($AE$2:AE309,AE309)-1)</f>
        <v/>
      </c>
      <c r="AJ309" s="243" t="str">
        <f>IF($AD309&lt;0,COUNT($AJ$1:AJ308)+1,"")</f>
        <v/>
      </c>
      <c r="AL309" s="243" t="str">
        <f>'All Ticker P&amp;L'!A309</f>
        <v/>
      </c>
      <c r="AM309" s="243" t="str">
        <f>'All Ticker P&amp;L'!B309</f>
        <v/>
      </c>
      <c r="AN309" s="243" t="str">
        <f>'All Ticker P&amp;L'!C309</f>
        <v/>
      </c>
      <c r="AO309" s="243" t="str">
        <f>'All Ticker P&amp;L'!D309</f>
        <v/>
      </c>
      <c r="AP309" s="243">
        <f>IF($AL309="",0,'All Ticker P&amp;L'!E309)</f>
        <v>0</v>
      </c>
      <c r="AQ309" s="266">
        <f>IF($AL309="",0,'All Ticker P&amp;L'!J309*'All Ticker P&amp;L'!I309)</f>
        <v>0</v>
      </c>
      <c r="AR309" s="266">
        <f>IF($AL309="",0,'All Ticker P&amp;L'!L309)</f>
        <v>0</v>
      </c>
      <c r="AS309" s="267">
        <f>IF($AL309="",0,'All Ticker P&amp;L'!M309)</f>
        <v>0</v>
      </c>
      <c r="AT309" s="243" t="str">
        <f>IF($AL309="","",RANK(AR309,$AR$2:$AR$1001)+COUNTIF($AR$2:AR309,AR309)-1)</f>
        <v/>
      </c>
      <c r="AU309" s="243" t="str">
        <f>IF($AL309="","",RANK(AV309,$AV$2:$AV$1001)+COUNTIF($AV$2:AV309,AV309)-1)</f>
        <v/>
      </c>
      <c r="AV309" s="266">
        <f t="shared" si="40"/>
        <v>0</v>
      </c>
    </row>
    <row r="310" spans="26:48" ht="15" customHeight="1" x14ac:dyDescent="0.2">
      <c r="Z310" s="243" t="str">
        <f>Shares!A310</f>
        <v/>
      </c>
      <c r="AA310" s="243" t="str">
        <f>Shares!B310</f>
        <v/>
      </c>
      <c r="AB310" s="243" t="str">
        <f>Shares!C310</f>
        <v/>
      </c>
      <c r="AC310" s="243" t="str">
        <f>Shares!D310</f>
        <v/>
      </c>
      <c r="AD310" s="243">
        <f>IF($Z310="",0,Shares!E310)</f>
        <v>0</v>
      </c>
      <c r="AE310" s="266">
        <f>IF($Z310="",0,Shares!J310*Shares!I310)</f>
        <v>0</v>
      </c>
      <c r="AF310" s="267">
        <f t="shared" si="39"/>
        <v>0</v>
      </c>
      <c r="AG310" s="266">
        <f>IF($Z310="",0,Shares!L310)</f>
        <v>0</v>
      </c>
      <c r="AH310" s="267">
        <f>IF($Z310="",0,Shares!M310)</f>
        <v>0</v>
      </c>
      <c r="AI310" s="243" t="str">
        <f>IF($Z310="","",RANK(AE310,$AE$2:$AE$1001)+COUNTIF($AE$2:AE310,AE310)-1)</f>
        <v/>
      </c>
      <c r="AJ310" s="243" t="str">
        <f>IF($AD310&lt;0,COUNT($AJ$1:AJ309)+1,"")</f>
        <v/>
      </c>
      <c r="AL310" s="243" t="str">
        <f>'All Ticker P&amp;L'!A310</f>
        <v/>
      </c>
      <c r="AM310" s="243" t="str">
        <f>'All Ticker P&amp;L'!B310</f>
        <v/>
      </c>
      <c r="AN310" s="243" t="str">
        <f>'All Ticker P&amp;L'!C310</f>
        <v/>
      </c>
      <c r="AO310" s="243" t="str">
        <f>'All Ticker P&amp;L'!D310</f>
        <v/>
      </c>
      <c r="AP310" s="243">
        <f>IF($AL310="",0,'All Ticker P&amp;L'!E310)</f>
        <v>0</v>
      </c>
      <c r="AQ310" s="266">
        <f>IF($AL310="",0,'All Ticker P&amp;L'!J310*'All Ticker P&amp;L'!I310)</f>
        <v>0</v>
      </c>
      <c r="AR310" s="266">
        <f>IF($AL310="",0,'All Ticker P&amp;L'!L310)</f>
        <v>0</v>
      </c>
      <c r="AS310" s="267">
        <f>IF($AL310="",0,'All Ticker P&amp;L'!M310)</f>
        <v>0</v>
      </c>
      <c r="AT310" s="243" t="str">
        <f>IF($AL310="","",RANK(AR310,$AR$2:$AR$1001)+COUNTIF($AR$2:AR310,AR310)-1)</f>
        <v/>
      </c>
      <c r="AU310" s="243" t="str">
        <f>IF($AL310="","",RANK(AV310,$AV$2:$AV$1001)+COUNTIF($AV$2:AV310,AV310)-1)</f>
        <v/>
      </c>
      <c r="AV310" s="266">
        <f t="shared" si="40"/>
        <v>0</v>
      </c>
    </row>
    <row r="311" spans="26:48" ht="15" customHeight="1" x14ac:dyDescent="0.2">
      <c r="Z311" s="243" t="str">
        <f>Shares!A311</f>
        <v/>
      </c>
      <c r="AA311" s="243" t="str">
        <f>Shares!B311</f>
        <v/>
      </c>
      <c r="AB311" s="243" t="str">
        <f>Shares!C311</f>
        <v/>
      </c>
      <c r="AC311" s="243" t="str">
        <f>Shares!D311</f>
        <v/>
      </c>
      <c r="AD311" s="243">
        <f>IF($Z311="",0,Shares!E311)</f>
        <v>0</v>
      </c>
      <c r="AE311" s="266">
        <f>IF($Z311="",0,Shares!J311*Shares!I311)</f>
        <v>0</v>
      </c>
      <c r="AF311" s="267">
        <f t="shared" si="39"/>
        <v>0</v>
      </c>
      <c r="AG311" s="266">
        <f>IF($Z311="",0,Shares!L311)</f>
        <v>0</v>
      </c>
      <c r="AH311" s="267">
        <f>IF($Z311="",0,Shares!M311)</f>
        <v>0</v>
      </c>
      <c r="AI311" s="243" t="str">
        <f>IF($Z311="","",RANK(AE311,$AE$2:$AE$1001)+COUNTIF($AE$2:AE311,AE311)-1)</f>
        <v/>
      </c>
      <c r="AJ311" s="243" t="str">
        <f>IF($AD311&lt;0,COUNT($AJ$1:AJ310)+1,"")</f>
        <v/>
      </c>
      <c r="AL311" s="243" t="str">
        <f>'All Ticker P&amp;L'!A311</f>
        <v/>
      </c>
      <c r="AM311" s="243" t="str">
        <f>'All Ticker P&amp;L'!B311</f>
        <v/>
      </c>
      <c r="AN311" s="243" t="str">
        <f>'All Ticker P&amp;L'!C311</f>
        <v/>
      </c>
      <c r="AO311" s="243" t="str">
        <f>'All Ticker P&amp;L'!D311</f>
        <v/>
      </c>
      <c r="AP311" s="243">
        <f>IF($AL311="",0,'All Ticker P&amp;L'!E311)</f>
        <v>0</v>
      </c>
      <c r="AQ311" s="266">
        <f>IF($AL311="",0,'All Ticker P&amp;L'!J311*'All Ticker P&amp;L'!I311)</f>
        <v>0</v>
      </c>
      <c r="AR311" s="266">
        <f>IF($AL311="",0,'All Ticker P&amp;L'!L311)</f>
        <v>0</v>
      </c>
      <c r="AS311" s="267">
        <f>IF($AL311="",0,'All Ticker P&amp;L'!M311)</f>
        <v>0</v>
      </c>
      <c r="AT311" s="243" t="str">
        <f>IF($AL311="","",RANK(AR311,$AR$2:$AR$1001)+COUNTIF($AR$2:AR311,AR311)-1)</f>
        <v/>
      </c>
      <c r="AU311" s="243" t="str">
        <f>IF($AL311="","",RANK(AV311,$AV$2:$AV$1001)+COUNTIF($AV$2:AV311,AV311)-1)</f>
        <v/>
      </c>
      <c r="AV311" s="266">
        <f t="shared" si="40"/>
        <v>0</v>
      </c>
    </row>
    <row r="312" spans="26:48" ht="15" customHeight="1" x14ac:dyDescent="0.2">
      <c r="Z312" s="243" t="str">
        <f>Shares!A312</f>
        <v/>
      </c>
      <c r="AA312" s="243" t="str">
        <f>Shares!B312</f>
        <v/>
      </c>
      <c r="AB312" s="243" t="str">
        <f>Shares!C312</f>
        <v/>
      </c>
      <c r="AC312" s="243" t="str">
        <f>Shares!D312</f>
        <v/>
      </c>
      <c r="AD312" s="243">
        <f>IF($Z312="",0,Shares!E312)</f>
        <v>0</v>
      </c>
      <c r="AE312" s="266">
        <f>IF($Z312="",0,Shares!J312*Shares!I312)</f>
        <v>0</v>
      </c>
      <c r="AF312" s="267">
        <f t="shared" si="39"/>
        <v>0</v>
      </c>
      <c r="AG312" s="266">
        <f>IF($Z312="",0,Shares!L312)</f>
        <v>0</v>
      </c>
      <c r="AH312" s="267">
        <f>IF($Z312="",0,Shares!M312)</f>
        <v>0</v>
      </c>
      <c r="AI312" s="243" t="str">
        <f>IF($Z312="","",RANK(AE312,$AE$2:$AE$1001)+COUNTIF($AE$2:AE312,AE312)-1)</f>
        <v/>
      </c>
      <c r="AJ312" s="243" t="str">
        <f>IF($AD312&lt;0,COUNT($AJ$1:AJ311)+1,"")</f>
        <v/>
      </c>
      <c r="AL312" s="243" t="str">
        <f>'All Ticker P&amp;L'!A312</f>
        <v/>
      </c>
      <c r="AM312" s="243" t="str">
        <f>'All Ticker P&amp;L'!B312</f>
        <v/>
      </c>
      <c r="AN312" s="243" t="str">
        <f>'All Ticker P&amp;L'!C312</f>
        <v/>
      </c>
      <c r="AO312" s="243" t="str">
        <f>'All Ticker P&amp;L'!D312</f>
        <v/>
      </c>
      <c r="AP312" s="243">
        <f>IF($AL312="",0,'All Ticker P&amp;L'!E312)</f>
        <v>0</v>
      </c>
      <c r="AQ312" s="266">
        <f>IF($AL312="",0,'All Ticker P&amp;L'!J312*'All Ticker P&amp;L'!I312)</f>
        <v>0</v>
      </c>
      <c r="AR312" s="266">
        <f>IF($AL312="",0,'All Ticker P&amp;L'!L312)</f>
        <v>0</v>
      </c>
      <c r="AS312" s="267">
        <f>IF($AL312="",0,'All Ticker P&amp;L'!M312)</f>
        <v>0</v>
      </c>
      <c r="AT312" s="243" t="str">
        <f>IF($AL312="","",RANK(AR312,$AR$2:$AR$1001)+COUNTIF($AR$2:AR312,AR312)-1)</f>
        <v/>
      </c>
      <c r="AU312" s="243" t="str">
        <f>IF($AL312="","",RANK(AV312,$AV$2:$AV$1001)+COUNTIF($AV$2:AV312,AV312)-1)</f>
        <v/>
      </c>
      <c r="AV312" s="266">
        <f t="shared" si="40"/>
        <v>0</v>
      </c>
    </row>
    <row r="313" spans="26:48" ht="15" customHeight="1" x14ac:dyDescent="0.2">
      <c r="Z313" s="243" t="str">
        <f>Shares!A313</f>
        <v/>
      </c>
      <c r="AA313" s="243" t="str">
        <f>Shares!B313</f>
        <v/>
      </c>
      <c r="AB313" s="243" t="str">
        <f>Shares!C313</f>
        <v/>
      </c>
      <c r="AC313" s="243" t="str">
        <f>Shares!D313</f>
        <v/>
      </c>
      <c r="AD313" s="243">
        <f>IF($Z313="",0,Shares!E313)</f>
        <v>0</v>
      </c>
      <c r="AE313" s="266">
        <f>IF($Z313="",0,Shares!J313*Shares!I313)</f>
        <v>0</v>
      </c>
      <c r="AF313" s="267">
        <f t="shared" si="39"/>
        <v>0</v>
      </c>
      <c r="AG313" s="266">
        <f>IF($Z313="",0,Shares!L313)</f>
        <v>0</v>
      </c>
      <c r="AH313" s="267">
        <f>IF($Z313="",0,Shares!M313)</f>
        <v>0</v>
      </c>
      <c r="AI313" s="243" t="str">
        <f>IF($Z313="","",RANK(AE313,$AE$2:$AE$1001)+COUNTIF($AE$2:AE313,AE313)-1)</f>
        <v/>
      </c>
      <c r="AJ313" s="243" t="str">
        <f>IF($AD313&lt;0,COUNT($AJ$1:AJ312)+1,"")</f>
        <v/>
      </c>
      <c r="AL313" s="243" t="str">
        <f>'All Ticker P&amp;L'!A313</f>
        <v/>
      </c>
      <c r="AM313" s="243" t="str">
        <f>'All Ticker P&amp;L'!B313</f>
        <v/>
      </c>
      <c r="AN313" s="243" t="str">
        <f>'All Ticker P&amp;L'!C313</f>
        <v/>
      </c>
      <c r="AO313" s="243" t="str">
        <f>'All Ticker P&amp;L'!D313</f>
        <v/>
      </c>
      <c r="AP313" s="243">
        <f>IF($AL313="",0,'All Ticker P&amp;L'!E313)</f>
        <v>0</v>
      </c>
      <c r="AQ313" s="266">
        <f>IF($AL313="",0,'All Ticker P&amp;L'!J313*'All Ticker P&amp;L'!I313)</f>
        <v>0</v>
      </c>
      <c r="AR313" s="266">
        <f>IF($AL313="",0,'All Ticker P&amp;L'!L313)</f>
        <v>0</v>
      </c>
      <c r="AS313" s="267">
        <f>IF($AL313="",0,'All Ticker P&amp;L'!M313)</f>
        <v>0</v>
      </c>
      <c r="AT313" s="243" t="str">
        <f>IF($AL313="","",RANK(AR313,$AR$2:$AR$1001)+COUNTIF($AR$2:AR313,AR313)-1)</f>
        <v/>
      </c>
      <c r="AU313" s="243" t="str">
        <f>IF($AL313="","",RANK(AV313,$AV$2:$AV$1001)+COUNTIF($AV$2:AV313,AV313)-1)</f>
        <v/>
      </c>
      <c r="AV313" s="266">
        <f t="shared" si="40"/>
        <v>0</v>
      </c>
    </row>
    <row r="314" spans="26:48" ht="15" customHeight="1" x14ac:dyDescent="0.2">
      <c r="Z314" s="243" t="str">
        <f>Shares!A314</f>
        <v/>
      </c>
      <c r="AA314" s="243" t="str">
        <f>Shares!B314</f>
        <v/>
      </c>
      <c r="AB314" s="243" t="str">
        <f>Shares!C314</f>
        <v/>
      </c>
      <c r="AC314" s="243" t="str">
        <f>Shares!D314</f>
        <v/>
      </c>
      <c r="AD314" s="243">
        <f>IF($Z314="",0,Shares!E314)</f>
        <v>0</v>
      </c>
      <c r="AE314" s="266">
        <f>IF($Z314="",0,Shares!J314*Shares!I314)</f>
        <v>0</v>
      </c>
      <c r="AF314" s="267">
        <f t="shared" si="39"/>
        <v>0</v>
      </c>
      <c r="AG314" s="266">
        <f>IF($Z314="",0,Shares!L314)</f>
        <v>0</v>
      </c>
      <c r="AH314" s="267">
        <f>IF($Z314="",0,Shares!M314)</f>
        <v>0</v>
      </c>
      <c r="AI314" s="243" t="str">
        <f>IF($Z314="","",RANK(AE314,$AE$2:$AE$1001)+COUNTIF($AE$2:AE314,AE314)-1)</f>
        <v/>
      </c>
      <c r="AJ314" s="243" t="str">
        <f>IF($AD314&lt;0,COUNT($AJ$1:AJ313)+1,"")</f>
        <v/>
      </c>
      <c r="AL314" s="243" t="str">
        <f>'All Ticker P&amp;L'!A314</f>
        <v/>
      </c>
      <c r="AM314" s="243" t="str">
        <f>'All Ticker P&amp;L'!B314</f>
        <v/>
      </c>
      <c r="AN314" s="243" t="str">
        <f>'All Ticker P&amp;L'!C314</f>
        <v/>
      </c>
      <c r="AO314" s="243" t="str">
        <f>'All Ticker P&amp;L'!D314</f>
        <v/>
      </c>
      <c r="AP314" s="243">
        <f>IF($AL314="",0,'All Ticker P&amp;L'!E314)</f>
        <v>0</v>
      </c>
      <c r="AQ314" s="266">
        <f>IF($AL314="",0,'All Ticker P&amp;L'!J314*'All Ticker P&amp;L'!I314)</f>
        <v>0</v>
      </c>
      <c r="AR314" s="266">
        <f>IF($AL314="",0,'All Ticker P&amp;L'!L314)</f>
        <v>0</v>
      </c>
      <c r="AS314" s="267">
        <f>IF($AL314="",0,'All Ticker P&amp;L'!M314)</f>
        <v>0</v>
      </c>
      <c r="AT314" s="243" t="str">
        <f>IF($AL314="","",RANK(AR314,$AR$2:$AR$1001)+COUNTIF($AR$2:AR314,AR314)-1)</f>
        <v/>
      </c>
      <c r="AU314" s="243" t="str">
        <f>IF($AL314="","",RANK(AV314,$AV$2:$AV$1001)+COUNTIF($AV$2:AV314,AV314)-1)</f>
        <v/>
      </c>
      <c r="AV314" s="266">
        <f t="shared" si="40"/>
        <v>0</v>
      </c>
    </row>
    <row r="315" spans="26:48" ht="15" customHeight="1" x14ac:dyDescent="0.2">
      <c r="Z315" s="243" t="str">
        <f>Shares!A315</f>
        <v/>
      </c>
      <c r="AA315" s="243" t="str">
        <f>Shares!B315</f>
        <v/>
      </c>
      <c r="AB315" s="243" t="str">
        <f>Shares!C315</f>
        <v/>
      </c>
      <c r="AC315" s="243" t="str">
        <f>Shares!D315</f>
        <v/>
      </c>
      <c r="AD315" s="243">
        <f>IF($Z315="",0,Shares!E315)</f>
        <v>0</v>
      </c>
      <c r="AE315" s="266">
        <f>IF($Z315="",0,Shares!J315*Shares!I315)</f>
        <v>0</v>
      </c>
      <c r="AF315" s="267">
        <f t="shared" si="39"/>
        <v>0</v>
      </c>
      <c r="AG315" s="266">
        <f>IF($Z315="",0,Shares!L315)</f>
        <v>0</v>
      </c>
      <c r="AH315" s="267">
        <f>IF($Z315="",0,Shares!M315)</f>
        <v>0</v>
      </c>
      <c r="AI315" s="243" t="str">
        <f>IF($Z315="","",RANK(AE315,$AE$2:$AE$1001)+COUNTIF($AE$2:AE315,AE315)-1)</f>
        <v/>
      </c>
      <c r="AJ315" s="243" t="str">
        <f>IF($AD315&lt;0,COUNT($AJ$1:AJ314)+1,"")</f>
        <v/>
      </c>
      <c r="AL315" s="243" t="str">
        <f>'All Ticker P&amp;L'!A315</f>
        <v/>
      </c>
      <c r="AM315" s="243" t="str">
        <f>'All Ticker P&amp;L'!B315</f>
        <v/>
      </c>
      <c r="AN315" s="243" t="str">
        <f>'All Ticker P&amp;L'!C315</f>
        <v/>
      </c>
      <c r="AO315" s="243" t="str">
        <f>'All Ticker P&amp;L'!D315</f>
        <v/>
      </c>
      <c r="AP315" s="243">
        <f>IF($AL315="",0,'All Ticker P&amp;L'!E315)</f>
        <v>0</v>
      </c>
      <c r="AQ315" s="266">
        <f>IF($AL315="",0,'All Ticker P&amp;L'!J315*'All Ticker P&amp;L'!I315)</f>
        <v>0</v>
      </c>
      <c r="AR315" s="266">
        <f>IF($AL315="",0,'All Ticker P&amp;L'!L315)</f>
        <v>0</v>
      </c>
      <c r="AS315" s="267">
        <f>IF($AL315="",0,'All Ticker P&amp;L'!M315)</f>
        <v>0</v>
      </c>
      <c r="AT315" s="243" t="str">
        <f>IF($AL315="","",RANK(AR315,$AR$2:$AR$1001)+COUNTIF($AR$2:AR315,AR315)-1)</f>
        <v/>
      </c>
      <c r="AU315" s="243" t="str">
        <f>IF($AL315="","",RANK(AV315,$AV$2:$AV$1001)+COUNTIF($AV$2:AV315,AV315)-1)</f>
        <v/>
      </c>
      <c r="AV315" s="266">
        <f t="shared" si="40"/>
        <v>0</v>
      </c>
    </row>
    <row r="316" spans="26:48" ht="15" customHeight="1" x14ac:dyDescent="0.2">
      <c r="Z316" s="243" t="str">
        <f>Shares!A316</f>
        <v/>
      </c>
      <c r="AA316" s="243" t="str">
        <f>Shares!B316</f>
        <v/>
      </c>
      <c r="AB316" s="243" t="str">
        <f>Shares!C316</f>
        <v/>
      </c>
      <c r="AC316" s="243" t="str">
        <f>Shares!D316</f>
        <v/>
      </c>
      <c r="AD316" s="243">
        <f>IF($Z316="",0,Shares!E316)</f>
        <v>0</v>
      </c>
      <c r="AE316" s="266">
        <f>IF($Z316="",0,Shares!J316*Shares!I316)</f>
        <v>0</v>
      </c>
      <c r="AF316" s="267">
        <f t="shared" si="39"/>
        <v>0</v>
      </c>
      <c r="AG316" s="266">
        <f>IF($Z316="",0,Shares!L316)</f>
        <v>0</v>
      </c>
      <c r="AH316" s="267">
        <f>IF($Z316="",0,Shares!M316)</f>
        <v>0</v>
      </c>
      <c r="AI316" s="243" t="str">
        <f>IF($Z316="","",RANK(AE316,$AE$2:$AE$1001)+COUNTIF($AE$2:AE316,AE316)-1)</f>
        <v/>
      </c>
      <c r="AJ316" s="243" t="str">
        <f>IF($AD316&lt;0,COUNT($AJ$1:AJ315)+1,"")</f>
        <v/>
      </c>
      <c r="AL316" s="243" t="str">
        <f>'All Ticker P&amp;L'!A316</f>
        <v/>
      </c>
      <c r="AM316" s="243" t="str">
        <f>'All Ticker P&amp;L'!B316</f>
        <v/>
      </c>
      <c r="AN316" s="243" t="str">
        <f>'All Ticker P&amp;L'!C316</f>
        <v/>
      </c>
      <c r="AO316" s="243" t="str">
        <f>'All Ticker P&amp;L'!D316</f>
        <v/>
      </c>
      <c r="AP316" s="243">
        <f>IF($AL316="",0,'All Ticker P&amp;L'!E316)</f>
        <v>0</v>
      </c>
      <c r="AQ316" s="266">
        <f>IF($AL316="",0,'All Ticker P&amp;L'!J316*'All Ticker P&amp;L'!I316)</f>
        <v>0</v>
      </c>
      <c r="AR316" s="266">
        <f>IF($AL316="",0,'All Ticker P&amp;L'!L316)</f>
        <v>0</v>
      </c>
      <c r="AS316" s="267">
        <f>IF($AL316="",0,'All Ticker P&amp;L'!M316)</f>
        <v>0</v>
      </c>
      <c r="AT316" s="243" t="str">
        <f>IF($AL316="","",RANK(AR316,$AR$2:$AR$1001)+COUNTIF($AR$2:AR316,AR316)-1)</f>
        <v/>
      </c>
      <c r="AU316" s="243" t="str">
        <f>IF($AL316="","",RANK(AV316,$AV$2:$AV$1001)+COUNTIF($AV$2:AV316,AV316)-1)</f>
        <v/>
      </c>
      <c r="AV316" s="266">
        <f t="shared" si="40"/>
        <v>0</v>
      </c>
    </row>
    <row r="317" spans="26:48" ht="15" customHeight="1" x14ac:dyDescent="0.2">
      <c r="Z317" s="243" t="str">
        <f>Shares!A317</f>
        <v/>
      </c>
      <c r="AA317" s="243" t="str">
        <f>Shares!B317</f>
        <v/>
      </c>
      <c r="AB317" s="243" t="str">
        <f>Shares!C317</f>
        <v/>
      </c>
      <c r="AC317" s="243" t="str">
        <f>Shares!D317</f>
        <v/>
      </c>
      <c r="AD317" s="243">
        <f>IF($Z317="",0,Shares!E317)</f>
        <v>0</v>
      </c>
      <c r="AE317" s="266">
        <f>IF($Z317="",0,Shares!J317*Shares!I317)</f>
        <v>0</v>
      </c>
      <c r="AF317" s="267">
        <f t="shared" si="39"/>
        <v>0</v>
      </c>
      <c r="AG317" s="266">
        <f>IF($Z317="",0,Shares!L317)</f>
        <v>0</v>
      </c>
      <c r="AH317" s="267">
        <f>IF($Z317="",0,Shares!M317)</f>
        <v>0</v>
      </c>
      <c r="AI317" s="243" t="str">
        <f>IF($Z317="","",RANK(AE317,$AE$2:$AE$1001)+COUNTIF($AE$2:AE317,AE317)-1)</f>
        <v/>
      </c>
      <c r="AJ317" s="243" t="str">
        <f>IF($AD317&lt;0,COUNT($AJ$1:AJ316)+1,"")</f>
        <v/>
      </c>
      <c r="AL317" s="243" t="str">
        <f>'All Ticker P&amp;L'!A317</f>
        <v/>
      </c>
      <c r="AM317" s="243" t="str">
        <f>'All Ticker P&amp;L'!B317</f>
        <v/>
      </c>
      <c r="AN317" s="243" t="str">
        <f>'All Ticker P&amp;L'!C317</f>
        <v/>
      </c>
      <c r="AO317" s="243" t="str">
        <f>'All Ticker P&amp;L'!D317</f>
        <v/>
      </c>
      <c r="AP317" s="243">
        <f>IF($AL317="",0,'All Ticker P&amp;L'!E317)</f>
        <v>0</v>
      </c>
      <c r="AQ317" s="266">
        <f>IF($AL317="",0,'All Ticker P&amp;L'!J317*'All Ticker P&amp;L'!I317)</f>
        <v>0</v>
      </c>
      <c r="AR317" s="266">
        <f>IF($AL317="",0,'All Ticker P&amp;L'!L317)</f>
        <v>0</v>
      </c>
      <c r="AS317" s="267">
        <f>IF($AL317="",0,'All Ticker P&amp;L'!M317)</f>
        <v>0</v>
      </c>
      <c r="AT317" s="243" t="str">
        <f>IF($AL317="","",RANK(AR317,$AR$2:$AR$1001)+COUNTIF($AR$2:AR317,AR317)-1)</f>
        <v/>
      </c>
      <c r="AU317" s="243" t="str">
        <f>IF($AL317="","",RANK(AV317,$AV$2:$AV$1001)+COUNTIF($AV$2:AV317,AV317)-1)</f>
        <v/>
      </c>
      <c r="AV317" s="266">
        <f t="shared" si="40"/>
        <v>0</v>
      </c>
    </row>
    <row r="318" spans="26:48" ht="15" customHeight="1" x14ac:dyDescent="0.2">
      <c r="Z318" s="243" t="str">
        <f>Shares!A318</f>
        <v/>
      </c>
      <c r="AA318" s="243" t="str">
        <f>Shares!B318</f>
        <v/>
      </c>
      <c r="AB318" s="243" t="str">
        <f>Shares!C318</f>
        <v/>
      </c>
      <c r="AC318" s="243" t="str">
        <f>Shares!D318</f>
        <v/>
      </c>
      <c r="AD318" s="243">
        <f>IF($Z318="",0,Shares!E318)</f>
        <v>0</v>
      </c>
      <c r="AE318" s="266">
        <f>IF($Z318="",0,Shares!J318*Shares!I318)</f>
        <v>0</v>
      </c>
      <c r="AF318" s="267">
        <f t="shared" si="39"/>
        <v>0</v>
      </c>
      <c r="AG318" s="266">
        <f>IF($Z318="",0,Shares!L318)</f>
        <v>0</v>
      </c>
      <c r="AH318" s="267">
        <f>IF($Z318="",0,Shares!M318)</f>
        <v>0</v>
      </c>
      <c r="AI318" s="243" t="str">
        <f>IF($Z318="","",RANK(AE318,$AE$2:$AE$1001)+COUNTIF($AE$2:AE318,AE318)-1)</f>
        <v/>
      </c>
      <c r="AJ318" s="243" t="str">
        <f>IF($AD318&lt;0,COUNT($AJ$1:AJ317)+1,"")</f>
        <v/>
      </c>
      <c r="AL318" s="243" t="str">
        <f>'All Ticker P&amp;L'!A318</f>
        <v/>
      </c>
      <c r="AM318" s="243" t="str">
        <f>'All Ticker P&amp;L'!B318</f>
        <v/>
      </c>
      <c r="AN318" s="243" t="str">
        <f>'All Ticker P&amp;L'!C318</f>
        <v/>
      </c>
      <c r="AO318" s="243" t="str">
        <f>'All Ticker P&amp;L'!D318</f>
        <v/>
      </c>
      <c r="AP318" s="243">
        <f>IF($AL318="",0,'All Ticker P&amp;L'!E318)</f>
        <v>0</v>
      </c>
      <c r="AQ318" s="266">
        <f>IF($AL318="",0,'All Ticker P&amp;L'!J318*'All Ticker P&amp;L'!I318)</f>
        <v>0</v>
      </c>
      <c r="AR318" s="266">
        <f>IF($AL318="",0,'All Ticker P&amp;L'!L318)</f>
        <v>0</v>
      </c>
      <c r="AS318" s="267">
        <f>IF($AL318="",0,'All Ticker P&amp;L'!M318)</f>
        <v>0</v>
      </c>
      <c r="AT318" s="243" t="str">
        <f>IF($AL318="","",RANK(AR318,$AR$2:$AR$1001)+COUNTIF($AR$2:AR318,AR318)-1)</f>
        <v/>
      </c>
      <c r="AU318" s="243" t="str">
        <f>IF($AL318="","",RANK(AV318,$AV$2:$AV$1001)+COUNTIF($AV$2:AV318,AV318)-1)</f>
        <v/>
      </c>
      <c r="AV318" s="266">
        <f t="shared" si="40"/>
        <v>0</v>
      </c>
    </row>
    <row r="319" spans="26:48" ht="15" customHeight="1" x14ac:dyDescent="0.2">
      <c r="Z319" s="243" t="str">
        <f>Shares!A319</f>
        <v/>
      </c>
      <c r="AA319" s="243" t="str">
        <f>Shares!B319</f>
        <v/>
      </c>
      <c r="AB319" s="243" t="str">
        <f>Shares!C319</f>
        <v/>
      </c>
      <c r="AC319" s="243" t="str">
        <f>Shares!D319</f>
        <v/>
      </c>
      <c r="AD319" s="243">
        <f>IF($Z319="",0,Shares!E319)</f>
        <v>0</v>
      </c>
      <c r="AE319" s="266">
        <f>IF($Z319="",0,Shares!J319*Shares!I319)</f>
        <v>0</v>
      </c>
      <c r="AF319" s="267">
        <f t="shared" si="39"/>
        <v>0</v>
      </c>
      <c r="AG319" s="266">
        <f>IF($Z319="",0,Shares!L319)</f>
        <v>0</v>
      </c>
      <c r="AH319" s="267">
        <f>IF($Z319="",0,Shares!M319)</f>
        <v>0</v>
      </c>
      <c r="AI319" s="243" t="str">
        <f>IF($Z319="","",RANK(AE319,$AE$2:$AE$1001)+COUNTIF($AE$2:AE319,AE319)-1)</f>
        <v/>
      </c>
      <c r="AJ319" s="243" t="str">
        <f>IF($AD319&lt;0,COUNT($AJ$1:AJ318)+1,"")</f>
        <v/>
      </c>
      <c r="AL319" s="243" t="str">
        <f>'All Ticker P&amp;L'!A319</f>
        <v/>
      </c>
      <c r="AM319" s="243" t="str">
        <f>'All Ticker P&amp;L'!B319</f>
        <v/>
      </c>
      <c r="AN319" s="243" t="str">
        <f>'All Ticker P&amp;L'!C319</f>
        <v/>
      </c>
      <c r="AO319" s="243" t="str">
        <f>'All Ticker P&amp;L'!D319</f>
        <v/>
      </c>
      <c r="AP319" s="243">
        <f>IF($AL319="",0,'All Ticker P&amp;L'!E319)</f>
        <v>0</v>
      </c>
      <c r="AQ319" s="266">
        <f>IF($AL319="",0,'All Ticker P&amp;L'!J319*'All Ticker P&amp;L'!I319)</f>
        <v>0</v>
      </c>
      <c r="AR319" s="266">
        <f>IF($AL319="",0,'All Ticker P&amp;L'!L319)</f>
        <v>0</v>
      </c>
      <c r="AS319" s="267">
        <f>IF($AL319="",0,'All Ticker P&amp;L'!M319)</f>
        <v>0</v>
      </c>
      <c r="AT319" s="243" t="str">
        <f>IF($AL319="","",RANK(AR319,$AR$2:$AR$1001)+COUNTIF($AR$2:AR319,AR319)-1)</f>
        <v/>
      </c>
      <c r="AU319" s="243" t="str">
        <f>IF($AL319="","",RANK(AV319,$AV$2:$AV$1001)+COUNTIF($AV$2:AV319,AV319)-1)</f>
        <v/>
      </c>
      <c r="AV319" s="266">
        <f t="shared" si="40"/>
        <v>0</v>
      </c>
    </row>
    <row r="320" spans="26:48" ht="15" customHeight="1" x14ac:dyDescent="0.2">
      <c r="Z320" s="243" t="str">
        <f>Shares!A320</f>
        <v/>
      </c>
      <c r="AA320" s="243" t="str">
        <f>Shares!B320</f>
        <v/>
      </c>
      <c r="AB320" s="243" t="str">
        <f>Shares!C320</f>
        <v/>
      </c>
      <c r="AC320" s="243" t="str">
        <f>Shares!D320</f>
        <v/>
      </c>
      <c r="AD320" s="243">
        <f>IF($Z320="",0,Shares!E320)</f>
        <v>0</v>
      </c>
      <c r="AE320" s="266">
        <f>IF($Z320="",0,Shares!J320*Shares!I320)</f>
        <v>0</v>
      </c>
      <c r="AF320" s="267">
        <f t="shared" si="39"/>
        <v>0</v>
      </c>
      <c r="AG320" s="266">
        <f>IF($Z320="",0,Shares!L320)</f>
        <v>0</v>
      </c>
      <c r="AH320" s="267">
        <f>IF($Z320="",0,Shares!M320)</f>
        <v>0</v>
      </c>
      <c r="AI320" s="243" t="str">
        <f>IF($Z320="","",RANK(AE320,$AE$2:$AE$1001)+COUNTIF($AE$2:AE320,AE320)-1)</f>
        <v/>
      </c>
      <c r="AJ320" s="243" t="str">
        <f>IF($AD320&lt;0,COUNT($AJ$1:AJ319)+1,"")</f>
        <v/>
      </c>
      <c r="AL320" s="243" t="str">
        <f>'All Ticker P&amp;L'!A320</f>
        <v/>
      </c>
      <c r="AM320" s="243" t="str">
        <f>'All Ticker P&amp;L'!B320</f>
        <v/>
      </c>
      <c r="AN320" s="243" t="str">
        <f>'All Ticker P&amp;L'!C320</f>
        <v/>
      </c>
      <c r="AO320" s="243" t="str">
        <f>'All Ticker P&amp;L'!D320</f>
        <v/>
      </c>
      <c r="AP320" s="243">
        <f>IF($AL320="",0,'All Ticker P&amp;L'!E320)</f>
        <v>0</v>
      </c>
      <c r="AQ320" s="266">
        <f>IF($AL320="",0,'All Ticker P&amp;L'!J320*'All Ticker P&amp;L'!I320)</f>
        <v>0</v>
      </c>
      <c r="AR320" s="266">
        <f>IF($AL320="",0,'All Ticker P&amp;L'!L320)</f>
        <v>0</v>
      </c>
      <c r="AS320" s="267">
        <f>IF($AL320="",0,'All Ticker P&amp;L'!M320)</f>
        <v>0</v>
      </c>
      <c r="AT320" s="243" t="str">
        <f>IF($AL320="","",RANK(AR320,$AR$2:$AR$1001)+COUNTIF($AR$2:AR320,AR320)-1)</f>
        <v/>
      </c>
      <c r="AU320" s="243" t="str">
        <f>IF($AL320="","",RANK(AV320,$AV$2:$AV$1001)+COUNTIF($AV$2:AV320,AV320)-1)</f>
        <v/>
      </c>
      <c r="AV320" s="266">
        <f t="shared" si="40"/>
        <v>0</v>
      </c>
    </row>
    <row r="321" spans="26:48" ht="15" customHeight="1" x14ac:dyDescent="0.2">
      <c r="Z321" s="243" t="str">
        <f>Shares!A321</f>
        <v/>
      </c>
      <c r="AA321" s="243" t="str">
        <f>Shares!B321</f>
        <v/>
      </c>
      <c r="AB321" s="243" t="str">
        <f>Shares!C321</f>
        <v/>
      </c>
      <c r="AC321" s="243" t="str">
        <f>Shares!D321</f>
        <v/>
      </c>
      <c r="AD321" s="243">
        <f>IF($Z321="",0,Shares!E321)</f>
        <v>0</v>
      </c>
      <c r="AE321" s="266">
        <f>IF($Z321="",0,Shares!J321*Shares!I321)</f>
        <v>0</v>
      </c>
      <c r="AF321" s="267">
        <f t="shared" si="39"/>
        <v>0</v>
      </c>
      <c r="AG321" s="266">
        <f>IF($Z321="",0,Shares!L321)</f>
        <v>0</v>
      </c>
      <c r="AH321" s="267">
        <f>IF($Z321="",0,Shares!M321)</f>
        <v>0</v>
      </c>
      <c r="AI321" s="243" t="str">
        <f>IF($Z321="","",RANK(AE321,$AE$2:$AE$1001)+COUNTIF($AE$2:AE321,AE321)-1)</f>
        <v/>
      </c>
      <c r="AJ321" s="243" t="str">
        <f>IF($AD321&lt;0,COUNT($AJ$1:AJ320)+1,"")</f>
        <v/>
      </c>
      <c r="AL321" s="243" t="str">
        <f>'All Ticker P&amp;L'!A321</f>
        <v/>
      </c>
      <c r="AM321" s="243" t="str">
        <f>'All Ticker P&amp;L'!B321</f>
        <v/>
      </c>
      <c r="AN321" s="243" t="str">
        <f>'All Ticker P&amp;L'!C321</f>
        <v/>
      </c>
      <c r="AO321" s="243" t="str">
        <f>'All Ticker P&amp;L'!D321</f>
        <v/>
      </c>
      <c r="AP321" s="243">
        <f>IF($AL321="",0,'All Ticker P&amp;L'!E321)</f>
        <v>0</v>
      </c>
      <c r="AQ321" s="266">
        <f>IF($AL321="",0,'All Ticker P&amp;L'!J321*'All Ticker P&amp;L'!I321)</f>
        <v>0</v>
      </c>
      <c r="AR321" s="266">
        <f>IF($AL321="",0,'All Ticker P&amp;L'!L321)</f>
        <v>0</v>
      </c>
      <c r="AS321" s="267">
        <f>IF($AL321="",0,'All Ticker P&amp;L'!M321)</f>
        <v>0</v>
      </c>
      <c r="AT321" s="243" t="str">
        <f>IF($AL321="","",RANK(AR321,$AR$2:$AR$1001)+COUNTIF($AR$2:AR321,AR321)-1)</f>
        <v/>
      </c>
      <c r="AU321" s="243" t="str">
        <f>IF($AL321="","",RANK(AV321,$AV$2:$AV$1001)+COUNTIF($AV$2:AV321,AV321)-1)</f>
        <v/>
      </c>
      <c r="AV321" s="266">
        <f t="shared" si="40"/>
        <v>0</v>
      </c>
    </row>
    <row r="322" spans="26:48" ht="15" customHeight="1" x14ac:dyDescent="0.2">
      <c r="Z322" s="243" t="str">
        <f>Shares!A322</f>
        <v/>
      </c>
      <c r="AA322" s="243" t="str">
        <f>Shares!B322</f>
        <v/>
      </c>
      <c r="AB322" s="243" t="str">
        <f>Shares!C322</f>
        <v/>
      </c>
      <c r="AC322" s="243" t="str">
        <f>Shares!D322</f>
        <v/>
      </c>
      <c r="AD322" s="243">
        <f>IF($Z322="",0,Shares!E322)</f>
        <v>0</v>
      </c>
      <c r="AE322" s="266">
        <f>IF($Z322="",0,Shares!J322*Shares!I322)</f>
        <v>0</v>
      </c>
      <c r="AF322" s="267">
        <f t="shared" ref="AF322:AF385" si="41">IFERROR(AE322/$B$5,0)</f>
        <v>0</v>
      </c>
      <c r="AG322" s="266">
        <f>IF($Z322="",0,Shares!L322)</f>
        <v>0</v>
      </c>
      <c r="AH322" s="267">
        <f>IF($Z322="",0,Shares!M322)</f>
        <v>0</v>
      </c>
      <c r="AI322" s="243" t="str">
        <f>IF($Z322="","",RANK(AE322,$AE$2:$AE$1001)+COUNTIF($AE$2:AE322,AE322)-1)</f>
        <v/>
      </c>
      <c r="AJ322" s="243" t="str">
        <f>IF($AD322&lt;0,COUNT($AJ$1:AJ321)+1,"")</f>
        <v/>
      </c>
      <c r="AL322" s="243" t="str">
        <f>'All Ticker P&amp;L'!A322</f>
        <v/>
      </c>
      <c r="AM322" s="243" t="str">
        <f>'All Ticker P&amp;L'!B322</f>
        <v/>
      </c>
      <c r="AN322" s="243" t="str">
        <f>'All Ticker P&amp;L'!C322</f>
        <v/>
      </c>
      <c r="AO322" s="243" t="str">
        <f>'All Ticker P&amp;L'!D322</f>
        <v/>
      </c>
      <c r="AP322" s="243">
        <f>IF($AL322="",0,'All Ticker P&amp;L'!E322)</f>
        <v>0</v>
      </c>
      <c r="AQ322" s="266">
        <f>IF($AL322="",0,'All Ticker P&amp;L'!J322*'All Ticker P&amp;L'!I322)</f>
        <v>0</v>
      </c>
      <c r="AR322" s="266">
        <f>IF($AL322="",0,'All Ticker P&amp;L'!L322)</f>
        <v>0</v>
      </c>
      <c r="AS322" s="267">
        <f>IF($AL322="",0,'All Ticker P&amp;L'!M322)</f>
        <v>0</v>
      </c>
      <c r="AT322" s="243" t="str">
        <f>IF($AL322="","",RANK(AR322,$AR$2:$AR$1001)+COUNTIF($AR$2:AR322,AR322)-1)</f>
        <v/>
      </c>
      <c r="AU322" s="243" t="str">
        <f>IF($AL322="","",RANK(AV322,$AV$2:$AV$1001)+COUNTIF($AV$2:AV322,AV322)-1)</f>
        <v/>
      </c>
      <c r="AV322" s="266">
        <f t="shared" ref="AV322:AV385" si="42">-AR322</f>
        <v>0</v>
      </c>
    </row>
    <row r="323" spans="26:48" ht="15" customHeight="1" x14ac:dyDescent="0.2">
      <c r="Z323" s="243" t="str">
        <f>Shares!A323</f>
        <v/>
      </c>
      <c r="AA323" s="243" t="str">
        <f>Shares!B323</f>
        <v/>
      </c>
      <c r="AB323" s="243" t="str">
        <f>Shares!C323</f>
        <v/>
      </c>
      <c r="AC323" s="243" t="str">
        <f>Shares!D323</f>
        <v/>
      </c>
      <c r="AD323" s="243">
        <f>IF($Z323="",0,Shares!E323)</f>
        <v>0</v>
      </c>
      <c r="AE323" s="266">
        <f>IF($Z323="",0,Shares!J323*Shares!I323)</f>
        <v>0</v>
      </c>
      <c r="AF323" s="267">
        <f t="shared" si="41"/>
        <v>0</v>
      </c>
      <c r="AG323" s="266">
        <f>IF($Z323="",0,Shares!L323)</f>
        <v>0</v>
      </c>
      <c r="AH323" s="267">
        <f>IF($Z323="",0,Shares!M323)</f>
        <v>0</v>
      </c>
      <c r="AI323" s="243" t="str">
        <f>IF($Z323="","",RANK(AE323,$AE$2:$AE$1001)+COUNTIF($AE$2:AE323,AE323)-1)</f>
        <v/>
      </c>
      <c r="AJ323" s="243" t="str">
        <f>IF($AD323&lt;0,COUNT($AJ$1:AJ322)+1,"")</f>
        <v/>
      </c>
      <c r="AL323" s="243" t="str">
        <f>'All Ticker P&amp;L'!A323</f>
        <v/>
      </c>
      <c r="AM323" s="243" t="str">
        <f>'All Ticker P&amp;L'!B323</f>
        <v/>
      </c>
      <c r="AN323" s="243" t="str">
        <f>'All Ticker P&amp;L'!C323</f>
        <v/>
      </c>
      <c r="AO323" s="243" t="str">
        <f>'All Ticker P&amp;L'!D323</f>
        <v/>
      </c>
      <c r="AP323" s="243">
        <f>IF($AL323="",0,'All Ticker P&amp;L'!E323)</f>
        <v>0</v>
      </c>
      <c r="AQ323" s="266">
        <f>IF($AL323="",0,'All Ticker P&amp;L'!J323*'All Ticker P&amp;L'!I323)</f>
        <v>0</v>
      </c>
      <c r="AR323" s="266">
        <f>IF($AL323="",0,'All Ticker P&amp;L'!L323)</f>
        <v>0</v>
      </c>
      <c r="AS323" s="267">
        <f>IF($AL323="",0,'All Ticker P&amp;L'!M323)</f>
        <v>0</v>
      </c>
      <c r="AT323" s="243" t="str">
        <f>IF($AL323="","",RANK(AR323,$AR$2:$AR$1001)+COUNTIF($AR$2:AR323,AR323)-1)</f>
        <v/>
      </c>
      <c r="AU323" s="243" t="str">
        <f>IF($AL323="","",RANK(AV323,$AV$2:$AV$1001)+COUNTIF($AV$2:AV323,AV323)-1)</f>
        <v/>
      </c>
      <c r="AV323" s="266">
        <f t="shared" si="42"/>
        <v>0</v>
      </c>
    </row>
    <row r="324" spans="26:48" ht="15" customHeight="1" x14ac:dyDescent="0.2">
      <c r="Z324" s="243" t="str">
        <f>Shares!A324</f>
        <v/>
      </c>
      <c r="AA324" s="243" t="str">
        <f>Shares!B324</f>
        <v/>
      </c>
      <c r="AB324" s="243" t="str">
        <f>Shares!C324</f>
        <v/>
      </c>
      <c r="AC324" s="243" t="str">
        <f>Shares!D324</f>
        <v/>
      </c>
      <c r="AD324" s="243">
        <f>IF($Z324="",0,Shares!E324)</f>
        <v>0</v>
      </c>
      <c r="AE324" s="266">
        <f>IF($Z324="",0,Shares!J324*Shares!I324)</f>
        <v>0</v>
      </c>
      <c r="AF324" s="267">
        <f t="shared" si="41"/>
        <v>0</v>
      </c>
      <c r="AG324" s="266">
        <f>IF($Z324="",0,Shares!L324)</f>
        <v>0</v>
      </c>
      <c r="AH324" s="267">
        <f>IF($Z324="",0,Shares!M324)</f>
        <v>0</v>
      </c>
      <c r="AI324" s="243" t="str">
        <f>IF($Z324="","",RANK(AE324,$AE$2:$AE$1001)+COUNTIF($AE$2:AE324,AE324)-1)</f>
        <v/>
      </c>
      <c r="AJ324" s="243" t="str">
        <f>IF($AD324&lt;0,COUNT($AJ$1:AJ323)+1,"")</f>
        <v/>
      </c>
      <c r="AL324" s="243" t="str">
        <f>'All Ticker P&amp;L'!A324</f>
        <v/>
      </c>
      <c r="AM324" s="243" t="str">
        <f>'All Ticker P&amp;L'!B324</f>
        <v/>
      </c>
      <c r="AN324" s="243" t="str">
        <f>'All Ticker P&amp;L'!C324</f>
        <v/>
      </c>
      <c r="AO324" s="243" t="str">
        <f>'All Ticker P&amp;L'!D324</f>
        <v/>
      </c>
      <c r="AP324" s="243">
        <f>IF($AL324="",0,'All Ticker P&amp;L'!E324)</f>
        <v>0</v>
      </c>
      <c r="AQ324" s="266">
        <f>IF($AL324="",0,'All Ticker P&amp;L'!J324*'All Ticker P&amp;L'!I324)</f>
        <v>0</v>
      </c>
      <c r="AR324" s="266">
        <f>IF($AL324="",0,'All Ticker P&amp;L'!L324)</f>
        <v>0</v>
      </c>
      <c r="AS324" s="267">
        <f>IF($AL324="",0,'All Ticker P&amp;L'!M324)</f>
        <v>0</v>
      </c>
      <c r="AT324" s="243" t="str">
        <f>IF($AL324="","",RANK(AR324,$AR$2:$AR$1001)+COUNTIF($AR$2:AR324,AR324)-1)</f>
        <v/>
      </c>
      <c r="AU324" s="243" t="str">
        <f>IF($AL324="","",RANK(AV324,$AV$2:$AV$1001)+COUNTIF($AV$2:AV324,AV324)-1)</f>
        <v/>
      </c>
      <c r="AV324" s="266">
        <f t="shared" si="42"/>
        <v>0</v>
      </c>
    </row>
    <row r="325" spans="26:48" ht="15" customHeight="1" x14ac:dyDescent="0.2">
      <c r="Z325" s="243" t="str">
        <f>Shares!A325</f>
        <v/>
      </c>
      <c r="AA325" s="243" t="str">
        <f>Shares!B325</f>
        <v/>
      </c>
      <c r="AB325" s="243" t="str">
        <f>Shares!C325</f>
        <v/>
      </c>
      <c r="AC325" s="243" t="str">
        <f>Shares!D325</f>
        <v/>
      </c>
      <c r="AD325" s="243">
        <f>IF($Z325="",0,Shares!E325)</f>
        <v>0</v>
      </c>
      <c r="AE325" s="266">
        <f>IF($Z325="",0,Shares!J325*Shares!I325)</f>
        <v>0</v>
      </c>
      <c r="AF325" s="267">
        <f t="shared" si="41"/>
        <v>0</v>
      </c>
      <c r="AG325" s="266">
        <f>IF($Z325="",0,Shares!L325)</f>
        <v>0</v>
      </c>
      <c r="AH325" s="267">
        <f>IF($Z325="",0,Shares!M325)</f>
        <v>0</v>
      </c>
      <c r="AI325" s="243" t="str">
        <f>IF($Z325="","",RANK(AE325,$AE$2:$AE$1001)+COUNTIF($AE$2:AE325,AE325)-1)</f>
        <v/>
      </c>
      <c r="AJ325" s="243" t="str">
        <f>IF($AD325&lt;0,COUNT($AJ$1:AJ324)+1,"")</f>
        <v/>
      </c>
      <c r="AL325" s="243" t="str">
        <f>'All Ticker P&amp;L'!A325</f>
        <v/>
      </c>
      <c r="AM325" s="243" t="str">
        <f>'All Ticker P&amp;L'!B325</f>
        <v/>
      </c>
      <c r="AN325" s="243" t="str">
        <f>'All Ticker P&amp;L'!C325</f>
        <v/>
      </c>
      <c r="AO325" s="243" t="str">
        <f>'All Ticker P&amp;L'!D325</f>
        <v/>
      </c>
      <c r="AP325" s="243">
        <f>IF($AL325="",0,'All Ticker P&amp;L'!E325)</f>
        <v>0</v>
      </c>
      <c r="AQ325" s="266">
        <f>IF($AL325="",0,'All Ticker P&amp;L'!J325*'All Ticker P&amp;L'!I325)</f>
        <v>0</v>
      </c>
      <c r="AR325" s="266">
        <f>IF($AL325="",0,'All Ticker P&amp;L'!L325)</f>
        <v>0</v>
      </c>
      <c r="AS325" s="267">
        <f>IF($AL325="",0,'All Ticker P&amp;L'!M325)</f>
        <v>0</v>
      </c>
      <c r="AT325" s="243" t="str">
        <f>IF($AL325="","",RANK(AR325,$AR$2:$AR$1001)+COUNTIF($AR$2:AR325,AR325)-1)</f>
        <v/>
      </c>
      <c r="AU325" s="243" t="str">
        <f>IF($AL325="","",RANK(AV325,$AV$2:$AV$1001)+COUNTIF($AV$2:AV325,AV325)-1)</f>
        <v/>
      </c>
      <c r="AV325" s="266">
        <f t="shared" si="42"/>
        <v>0</v>
      </c>
    </row>
    <row r="326" spans="26:48" ht="15" customHeight="1" x14ac:dyDescent="0.2">
      <c r="Z326" s="243" t="str">
        <f>Shares!A326</f>
        <v/>
      </c>
      <c r="AA326" s="243" t="str">
        <f>Shares!B326</f>
        <v/>
      </c>
      <c r="AB326" s="243" t="str">
        <f>Shares!C326</f>
        <v/>
      </c>
      <c r="AC326" s="243" t="str">
        <f>Shares!D326</f>
        <v/>
      </c>
      <c r="AD326" s="243">
        <f>IF($Z326="",0,Shares!E326)</f>
        <v>0</v>
      </c>
      <c r="AE326" s="266">
        <f>IF($Z326="",0,Shares!J326*Shares!I326)</f>
        <v>0</v>
      </c>
      <c r="AF326" s="267">
        <f t="shared" si="41"/>
        <v>0</v>
      </c>
      <c r="AG326" s="266">
        <f>IF($Z326="",0,Shares!L326)</f>
        <v>0</v>
      </c>
      <c r="AH326" s="267">
        <f>IF($Z326="",0,Shares!M326)</f>
        <v>0</v>
      </c>
      <c r="AI326" s="243" t="str">
        <f>IF($Z326="","",RANK(AE326,$AE$2:$AE$1001)+COUNTIF($AE$2:AE326,AE326)-1)</f>
        <v/>
      </c>
      <c r="AJ326" s="243" t="str">
        <f>IF($AD326&lt;0,COUNT($AJ$1:AJ325)+1,"")</f>
        <v/>
      </c>
      <c r="AL326" s="243" t="str">
        <f>'All Ticker P&amp;L'!A326</f>
        <v/>
      </c>
      <c r="AM326" s="243" t="str">
        <f>'All Ticker P&amp;L'!B326</f>
        <v/>
      </c>
      <c r="AN326" s="243" t="str">
        <f>'All Ticker P&amp;L'!C326</f>
        <v/>
      </c>
      <c r="AO326" s="243" t="str">
        <f>'All Ticker P&amp;L'!D326</f>
        <v/>
      </c>
      <c r="AP326" s="243">
        <f>IF($AL326="",0,'All Ticker P&amp;L'!E326)</f>
        <v>0</v>
      </c>
      <c r="AQ326" s="266">
        <f>IF($AL326="",0,'All Ticker P&amp;L'!J326*'All Ticker P&amp;L'!I326)</f>
        <v>0</v>
      </c>
      <c r="AR326" s="266">
        <f>IF($AL326="",0,'All Ticker P&amp;L'!L326)</f>
        <v>0</v>
      </c>
      <c r="AS326" s="267">
        <f>IF($AL326="",0,'All Ticker P&amp;L'!M326)</f>
        <v>0</v>
      </c>
      <c r="AT326" s="243" t="str">
        <f>IF($AL326="","",RANK(AR326,$AR$2:$AR$1001)+COUNTIF($AR$2:AR326,AR326)-1)</f>
        <v/>
      </c>
      <c r="AU326" s="243" t="str">
        <f>IF($AL326="","",RANK(AV326,$AV$2:$AV$1001)+COUNTIF($AV$2:AV326,AV326)-1)</f>
        <v/>
      </c>
      <c r="AV326" s="266">
        <f t="shared" si="42"/>
        <v>0</v>
      </c>
    </row>
    <row r="327" spans="26:48" ht="15" customHeight="1" x14ac:dyDescent="0.2">
      <c r="Z327" s="243" t="str">
        <f>Shares!A327</f>
        <v/>
      </c>
      <c r="AA327" s="243" t="str">
        <f>Shares!B327</f>
        <v/>
      </c>
      <c r="AB327" s="243" t="str">
        <f>Shares!C327</f>
        <v/>
      </c>
      <c r="AC327" s="243" t="str">
        <f>Shares!D327</f>
        <v/>
      </c>
      <c r="AD327" s="243">
        <f>IF($Z327="",0,Shares!E327)</f>
        <v>0</v>
      </c>
      <c r="AE327" s="266">
        <f>IF($Z327="",0,Shares!J327*Shares!I327)</f>
        <v>0</v>
      </c>
      <c r="AF327" s="267">
        <f t="shared" si="41"/>
        <v>0</v>
      </c>
      <c r="AG327" s="266">
        <f>IF($Z327="",0,Shares!L327)</f>
        <v>0</v>
      </c>
      <c r="AH327" s="267">
        <f>IF($Z327="",0,Shares!M327)</f>
        <v>0</v>
      </c>
      <c r="AI327" s="243" t="str">
        <f>IF($Z327="","",RANK(AE327,$AE$2:$AE$1001)+COUNTIF($AE$2:AE327,AE327)-1)</f>
        <v/>
      </c>
      <c r="AJ327" s="243" t="str">
        <f>IF($AD327&lt;0,COUNT($AJ$1:AJ326)+1,"")</f>
        <v/>
      </c>
      <c r="AL327" s="243" t="str">
        <f>'All Ticker P&amp;L'!A327</f>
        <v/>
      </c>
      <c r="AM327" s="243" t="str">
        <f>'All Ticker P&amp;L'!B327</f>
        <v/>
      </c>
      <c r="AN327" s="243" t="str">
        <f>'All Ticker P&amp;L'!C327</f>
        <v/>
      </c>
      <c r="AO327" s="243" t="str">
        <f>'All Ticker P&amp;L'!D327</f>
        <v/>
      </c>
      <c r="AP327" s="243">
        <f>IF($AL327="",0,'All Ticker P&amp;L'!E327)</f>
        <v>0</v>
      </c>
      <c r="AQ327" s="266">
        <f>IF($AL327="",0,'All Ticker P&amp;L'!J327*'All Ticker P&amp;L'!I327)</f>
        <v>0</v>
      </c>
      <c r="AR327" s="266">
        <f>IF($AL327="",0,'All Ticker P&amp;L'!L327)</f>
        <v>0</v>
      </c>
      <c r="AS327" s="267">
        <f>IF($AL327="",0,'All Ticker P&amp;L'!M327)</f>
        <v>0</v>
      </c>
      <c r="AT327" s="243" t="str">
        <f>IF($AL327="","",RANK(AR327,$AR$2:$AR$1001)+COUNTIF($AR$2:AR327,AR327)-1)</f>
        <v/>
      </c>
      <c r="AU327" s="243" t="str">
        <f>IF($AL327="","",RANK(AV327,$AV$2:$AV$1001)+COUNTIF($AV$2:AV327,AV327)-1)</f>
        <v/>
      </c>
      <c r="AV327" s="266">
        <f t="shared" si="42"/>
        <v>0</v>
      </c>
    </row>
    <row r="328" spans="26:48" ht="15" customHeight="1" x14ac:dyDescent="0.2">
      <c r="Z328" s="243" t="str">
        <f>Shares!A328</f>
        <v/>
      </c>
      <c r="AA328" s="243" t="str">
        <f>Shares!B328</f>
        <v/>
      </c>
      <c r="AB328" s="243" t="str">
        <f>Shares!C328</f>
        <v/>
      </c>
      <c r="AC328" s="243" t="str">
        <f>Shares!D328</f>
        <v/>
      </c>
      <c r="AD328" s="243">
        <f>IF($Z328="",0,Shares!E328)</f>
        <v>0</v>
      </c>
      <c r="AE328" s="266">
        <f>IF($Z328="",0,Shares!J328*Shares!I328)</f>
        <v>0</v>
      </c>
      <c r="AF328" s="267">
        <f t="shared" si="41"/>
        <v>0</v>
      </c>
      <c r="AG328" s="266">
        <f>IF($Z328="",0,Shares!L328)</f>
        <v>0</v>
      </c>
      <c r="AH328" s="267">
        <f>IF($Z328="",0,Shares!M328)</f>
        <v>0</v>
      </c>
      <c r="AI328" s="243" t="str">
        <f>IF($Z328="","",RANK(AE328,$AE$2:$AE$1001)+COUNTIF($AE$2:AE328,AE328)-1)</f>
        <v/>
      </c>
      <c r="AJ328" s="243" t="str">
        <f>IF($AD328&lt;0,COUNT($AJ$1:AJ327)+1,"")</f>
        <v/>
      </c>
      <c r="AL328" s="243" t="str">
        <f>'All Ticker P&amp;L'!A328</f>
        <v/>
      </c>
      <c r="AM328" s="243" t="str">
        <f>'All Ticker P&amp;L'!B328</f>
        <v/>
      </c>
      <c r="AN328" s="243" t="str">
        <f>'All Ticker P&amp;L'!C328</f>
        <v/>
      </c>
      <c r="AO328" s="243" t="str">
        <f>'All Ticker P&amp;L'!D328</f>
        <v/>
      </c>
      <c r="AP328" s="243">
        <f>IF($AL328="",0,'All Ticker P&amp;L'!E328)</f>
        <v>0</v>
      </c>
      <c r="AQ328" s="266">
        <f>IF($AL328="",0,'All Ticker P&amp;L'!J328*'All Ticker P&amp;L'!I328)</f>
        <v>0</v>
      </c>
      <c r="AR328" s="266">
        <f>IF($AL328="",0,'All Ticker P&amp;L'!L328)</f>
        <v>0</v>
      </c>
      <c r="AS328" s="267">
        <f>IF($AL328="",0,'All Ticker P&amp;L'!M328)</f>
        <v>0</v>
      </c>
      <c r="AT328" s="243" t="str">
        <f>IF($AL328="","",RANK(AR328,$AR$2:$AR$1001)+COUNTIF($AR$2:AR328,AR328)-1)</f>
        <v/>
      </c>
      <c r="AU328" s="243" t="str">
        <f>IF($AL328="","",RANK(AV328,$AV$2:$AV$1001)+COUNTIF($AV$2:AV328,AV328)-1)</f>
        <v/>
      </c>
      <c r="AV328" s="266">
        <f t="shared" si="42"/>
        <v>0</v>
      </c>
    </row>
    <row r="329" spans="26:48" ht="15" customHeight="1" x14ac:dyDescent="0.2">
      <c r="Z329" s="243" t="str">
        <f>Shares!A329</f>
        <v/>
      </c>
      <c r="AA329" s="243" t="str">
        <f>Shares!B329</f>
        <v/>
      </c>
      <c r="AB329" s="243" t="str">
        <f>Shares!C329</f>
        <v/>
      </c>
      <c r="AC329" s="243" t="str">
        <f>Shares!D329</f>
        <v/>
      </c>
      <c r="AD329" s="243">
        <f>IF($Z329="",0,Shares!E329)</f>
        <v>0</v>
      </c>
      <c r="AE329" s="266">
        <f>IF($Z329="",0,Shares!J329*Shares!I329)</f>
        <v>0</v>
      </c>
      <c r="AF329" s="267">
        <f t="shared" si="41"/>
        <v>0</v>
      </c>
      <c r="AG329" s="266">
        <f>IF($Z329="",0,Shares!L329)</f>
        <v>0</v>
      </c>
      <c r="AH329" s="267">
        <f>IF($Z329="",0,Shares!M329)</f>
        <v>0</v>
      </c>
      <c r="AI329" s="243" t="str">
        <f>IF($Z329="","",RANK(AE329,$AE$2:$AE$1001)+COUNTIF($AE$2:AE329,AE329)-1)</f>
        <v/>
      </c>
      <c r="AJ329" s="243" t="str">
        <f>IF($AD329&lt;0,COUNT($AJ$1:AJ328)+1,"")</f>
        <v/>
      </c>
      <c r="AL329" s="243" t="str">
        <f>'All Ticker P&amp;L'!A329</f>
        <v/>
      </c>
      <c r="AM329" s="243" t="str">
        <f>'All Ticker P&amp;L'!B329</f>
        <v/>
      </c>
      <c r="AN329" s="243" t="str">
        <f>'All Ticker P&amp;L'!C329</f>
        <v/>
      </c>
      <c r="AO329" s="243" t="str">
        <f>'All Ticker P&amp;L'!D329</f>
        <v/>
      </c>
      <c r="AP329" s="243">
        <f>IF($AL329="",0,'All Ticker P&amp;L'!E329)</f>
        <v>0</v>
      </c>
      <c r="AQ329" s="266">
        <f>IF($AL329="",0,'All Ticker P&amp;L'!J329*'All Ticker P&amp;L'!I329)</f>
        <v>0</v>
      </c>
      <c r="AR329" s="266">
        <f>IF($AL329="",0,'All Ticker P&amp;L'!L329)</f>
        <v>0</v>
      </c>
      <c r="AS329" s="267">
        <f>IF($AL329="",0,'All Ticker P&amp;L'!M329)</f>
        <v>0</v>
      </c>
      <c r="AT329" s="243" t="str">
        <f>IF($AL329="","",RANK(AR329,$AR$2:$AR$1001)+COUNTIF($AR$2:AR329,AR329)-1)</f>
        <v/>
      </c>
      <c r="AU329" s="243" t="str">
        <f>IF($AL329="","",RANK(AV329,$AV$2:$AV$1001)+COUNTIF($AV$2:AV329,AV329)-1)</f>
        <v/>
      </c>
      <c r="AV329" s="266">
        <f t="shared" si="42"/>
        <v>0</v>
      </c>
    </row>
    <row r="330" spans="26:48" ht="15" customHeight="1" x14ac:dyDescent="0.2">
      <c r="Z330" s="243" t="str">
        <f>Shares!A330</f>
        <v/>
      </c>
      <c r="AA330" s="243" t="str">
        <f>Shares!B330</f>
        <v/>
      </c>
      <c r="AB330" s="243" t="str">
        <f>Shares!C330</f>
        <v/>
      </c>
      <c r="AC330" s="243" t="str">
        <f>Shares!D330</f>
        <v/>
      </c>
      <c r="AD330" s="243">
        <f>IF($Z330="",0,Shares!E330)</f>
        <v>0</v>
      </c>
      <c r="AE330" s="266">
        <f>IF($Z330="",0,Shares!J330*Shares!I330)</f>
        <v>0</v>
      </c>
      <c r="AF330" s="267">
        <f t="shared" si="41"/>
        <v>0</v>
      </c>
      <c r="AG330" s="266">
        <f>IF($Z330="",0,Shares!L330)</f>
        <v>0</v>
      </c>
      <c r="AH330" s="267">
        <f>IF($Z330="",0,Shares!M330)</f>
        <v>0</v>
      </c>
      <c r="AI330" s="243" t="str">
        <f>IF($Z330="","",RANK(AE330,$AE$2:$AE$1001)+COUNTIF($AE$2:AE330,AE330)-1)</f>
        <v/>
      </c>
      <c r="AJ330" s="243" t="str">
        <f>IF($AD330&lt;0,COUNT($AJ$1:AJ329)+1,"")</f>
        <v/>
      </c>
      <c r="AL330" s="243" t="str">
        <f>'All Ticker P&amp;L'!A330</f>
        <v/>
      </c>
      <c r="AM330" s="243" t="str">
        <f>'All Ticker P&amp;L'!B330</f>
        <v/>
      </c>
      <c r="AN330" s="243" t="str">
        <f>'All Ticker P&amp;L'!C330</f>
        <v/>
      </c>
      <c r="AO330" s="243" t="str">
        <f>'All Ticker P&amp;L'!D330</f>
        <v/>
      </c>
      <c r="AP330" s="243">
        <f>IF($AL330="",0,'All Ticker P&amp;L'!E330)</f>
        <v>0</v>
      </c>
      <c r="AQ330" s="266">
        <f>IF($AL330="",0,'All Ticker P&amp;L'!J330*'All Ticker P&amp;L'!I330)</f>
        <v>0</v>
      </c>
      <c r="AR330" s="266">
        <f>IF($AL330="",0,'All Ticker P&amp;L'!L330)</f>
        <v>0</v>
      </c>
      <c r="AS330" s="267">
        <f>IF($AL330="",0,'All Ticker P&amp;L'!M330)</f>
        <v>0</v>
      </c>
      <c r="AT330" s="243" t="str">
        <f>IF($AL330="","",RANK(AR330,$AR$2:$AR$1001)+COUNTIF($AR$2:AR330,AR330)-1)</f>
        <v/>
      </c>
      <c r="AU330" s="243" t="str">
        <f>IF($AL330="","",RANK(AV330,$AV$2:$AV$1001)+COUNTIF($AV$2:AV330,AV330)-1)</f>
        <v/>
      </c>
      <c r="AV330" s="266">
        <f t="shared" si="42"/>
        <v>0</v>
      </c>
    </row>
    <row r="331" spans="26:48" ht="15" customHeight="1" x14ac:dyDescent="0.2">
      <c r="Z331" s="243" t="str">
        <f>Shares!A331</f>
        <v/>
      </c>
      <c r="AA331" s="243" t="str">
        <f>Shares!B331</f>
        <v/>
      </c>
      <c r="AB331" s="243" t="str">
        <f>Shares!C331</f>
        <v/>
      </c>
      <c r="AC331" s="243" t="str">
        <f>Shares!D331</f>
        <v/>
      </c>
      <c r="AD331" s="243">
        <f>IF($Z331="",0,Shares!E331)</f>
        <v>0</v>
      </c>
      <c r="AE331" s="266">
        <f>IF($Z331="",0,Shares!J331*Shares!I331)</f>
        <v>0</v>
      </c>
      <c r="AF331" s="267">
        <f t="shared" si="41"/>
        <v>0</v>
      </c>
      <c r="AG331" s="266">
        <f>IF($Z331="",0,Shares!L331)</f>
        <v>0</v>
      </c>
      <c r="AH331" s="267">
        <f>IF($Z331="",0,Shares!M331)</f>
        <v>0</v>
      </c>
      <c r="AI331" s="243" t="str">
        <f>IF($Z331="","",RANK(AE331,$AE$2:$AE$1001)+COUNTIF($AE$2:AE331,AE331)-1)</f>
        <v/>
      </c>
      <c r="AJ331" s="243" t="str">
        <f>IF($AD331&lt;0,COUNT($AJ$1:AJ330)+1,"")</f>
        <v/>
      </c>
      <c r="AL331" s="243" t="str">
        <f>'All Ticker P&amp;L'!A331</f>
        <v/>
      </c>
      <c r="AM331" s="243" t="str">
        <f>'All Ticker P&amp;L'!B331</f>
        <v/>
      </c>
      <c r="AN331" s="243" t="str">
        <f>'All Ticker P&amp;L'!C331</f>
        <v/>
      </c>
      <c r="AO331" s="243" t="str">
        <f>'All Ticker P&amp;L'!D331</f>
        <v/>
      </c>
      <c r="AP331" s="243">
        <f>IF($AL331="",0,'All Ticker P&amp;L'!E331)</f>
        <v>0</v>
      </c>
      <c r="AQ331" s="266">
        <f>IF($AL331="",0,'All Ticker P&amp;L'!J331*'All Ticker P&amp;L'!I331)</f>
        <v>0</v>
      </c>
      <c r="AR331" s="266">
        <f>IF($AL331="",0,'All Ticker P&amp;L'!L331)</f>
        <v>0</v>
      </c>
      <c r="AS331" s="267">
        <f>IF($AL331="",0,'All Ticker P&amp;L'!M331)</f>
        <v>0</v>
      </c>
      <c r="AT331" s="243" t="str">
        <f>IF($AL331="","",RANK(AR331,$AR$2:$AR$1001)+COUNTIF($AR$2:AR331,AR331)-1)</f>
        <v/>
      </c>
      <c r="AU331" s="243" t="str">
        <f>IF($AL331="","",RANK(AV331,$AV$2:$AV$1001)+COUNTIF($AV$2:AV331,AV331)-1)</f>
        <v/>
      </c>
      <c r="AV331" s="266">
        <f t="shared" si="42"/>
        <v>0</v>
      </c>
    </row>
    <row r="332" spans="26:48" ht="15" customHeight="1" x14ac:dyDescent="0.2">
      <c r="Z332" s="243" t="str">
        <f>Shares!A332</f>
        <v/>
      </c>
      <c r="AA332" s="243" t="str">
        <f>Shares!B332</f>
        <v/>
      </c>
      <c r="AB332" s="243" t="str">
        <f>Shares!C332</f>
        <v/>
      </c>
      <c r="AC332" s="243" t="str">
        <f>Shares!D332</f>
        <v/>
      </c>
      <c r="AD332" s="243">
        <f>IF($Z332="",0,Shares!E332)</f>
        <v>0</v>
      </c>
      <c r="AE332" s="266">
        <f>IF($Z332="",0,Shares!J332*Shares!I332)</f>
        <v>0</v>
      </c>
      <c r="AF332" s="267">
        <f t="shared" si="41"/>
        <v>0</v>
      </c>
      <c r="AG332" s="266">
        <f>IF($Z332="",0,Shares!L332)</f>
        <v>0</v>
      </c>
      <c r="AH332" s="267">
        <f>IF($Z332="",0,Shares!M332)</f>
        <v>0</v>
      </c>
      <c r="AI332" s="243" t="str">
        <f>IF($Z332="","",RANK(AE332,$AE$2:$AE$1001)+COUNTIF($AE$2:AE332,AE332)-1)</f>
        <v/>
      </c>
      <c r="AJ332" s="243" t="str">
        <f>IF($AD332&lt;0,COUNT($AJ$1:AJ331)+1,"")</f>
        <v/>
      </c>
      <c r="AL332" s="243" t="str">
        <f>'All Ticker P&amp;L'!A332</f>
        <v/>
      </c>
      <c r="AM332" s="243" t="str">
        <f>'All Ticker P&amp;L'!B332</f>
        <v/>
      </c>
      <c r="AN332" s="243" t="str">
        <f>'All Ticker P&amp;L'!C332</f>
        <v/>
      </c>
      <c r="AO332" s="243" t="str">
        <f>'All Ticker P&amp;L'!D332</f>
        <v/>
      </c>
      <c r="AP332" s="243">
        <f>IF($AL332="",0,'All Ticker P&amp;L'!E332)</f>
        <v>0</v>
      </c>
      <c r="AQ332" s="266">
        <f>IF($AL332="",0,'All Ticker P&amp;L'!J332*'All Ticker P&amp;L'!I332)</f>
        <v>0</v>
      </c>
      <c r="AR332" s="266">
        <f>IF($AL332="",0,'All Ticker P&amp;L'!L332)</f>
        <v>0</v>
      </c>
      <c r="AS332" s="267">
        <f>IF($AL332="",0,'All Ticker P&amp;L'!M332)</f>
        <v>0</v>
      </c>
      <c r="AT332" s="243" t="str">
        <f>IF($AL332="","",RANK(AR332,$AR$2:$AR$1001)+COUNTIF($AR$2:AR332,AR332)-1)</f>
        <v/>
      </c>
      <c r="AU332" s="243" t="str">
        <f>IF($AL332="","",RANK(AV332,$AV$2:$AV$1001)+COUNTIF($AV$2:AV332,AV332)-1)</f>
        <v/>
      </c>
      <c r="AV332" s="266">
        <f t="shared" si="42"/>
        <v>0</v>
      </c>
    </row>
    <row r="333" spans="26:48" ht="15" customHeight="1" x14ac:dyDescent="0.2">
      <c r="Z333" s="243" t="str">
        <f>Shares!A333</f>
        <v/>
      </c>
      <c r="AA333" s="243" t="str">
        <f>Shares!B333</f>
        <v/>
      </c>
      <c r="AB333" s="243" t="str">
        <f>Shares!C333</f>
        <v/>
      </c>
      <c r="AC333" s="243" t="str">
        <f>Shares!D333</f>
        <v/>
      </c>
      <c r="AD333" s="243">
        <f>IF($Z333="",0,Shares!E333)</f>
        <v>0</v>
      </c>
      <c r="AE333" s="266">
        <f>IF($Z333="",0,Shares!J333*Shares!I333)</f>
        <v>0</v>
      </c>
      <c r="AF333" s="267">
        <f t="shared" si="41"/>
        <v>0</v>
      </c>
      <c r="AG333" s="266">
        <f>IF($Z333="",0,Shares!L333)</f>
        <v>0</v>
      </c>
      <c r="AH333" s="267">
        <f>IF($Z333="",0,Shares!M333)</f>
        <v>0</v>
      </c>
      <c r="AI333" s="243" t="str">
        <f>IF($Z333="","",RANK(AE333,$AE$2:$AE$1001)+COUNTIF($AE$2:AE333,AE333)-1)</f>
        <v/>
      </c>
      <c r="AJ333" s="243" t="str">
        <f>IF($AD333&lt;0,COUNT($AJ$1:AJ332)+1,"")</f>
        <v/>
      </c>
      <c r="AL333" s="243" t="str">
        <f>'All Ticker P&amp;L'!A333</f>
        <v/>
      </c>
      <c r="AM333" s="243" t="str">
        <f>'All Ticker P&amp;L'!B333</f>
        <v/>
      </c>
      <c r="AN333" s="243" t="str">
        <f>'All Ticker P&amp;L'!C333</f>
        <v/>
      </c>
      <c r="AO333" s="243" t="str">
        <f>'All Ticker P&amp;L'!D333</f>
        <v/>
      </c>
      <c r="AP333" s="243">
        <f>IF($AL333="",0,'All Ticker P&amp;L'!E333)</f>
        <v>0</v>
      </c>
      <c r="AQ333" s="266">
        <f>IF($AL333="",0,'All Ticker P&amp;L'!J333*'All Ticker P&amp;L'!I333)</f>
        <v>0</v>
      </c>
      <c r="AR333" s="266">
        <f>IF($AL333="",0,'All Ticker P&amp;L'!L333)</f>
        <v>0</v>
      </c>
      <c r="AS333" s="267">
        <f>IF($AL333="",0,'All Ticker P&amp;L'!M333)</f>
        <v>0</v>
      </c>
      <c r="AT333" s="243" t="str">
        <f>IF($AL333="","",RANK(AR333,$AR$2:$AR$1001)+COUNTIF($AR$2:AR333,AR333)-1)</f>
        <v/>
      </c>
      <c r="AU333" s="243" t="str">
        <f>IF($AL333="","",RANK(AV333,$AV$2:$AV$1001)+COUNTIF($AV$2:AV333,AV333)-1)</f>
        <v/>
      </c>
      <c r="AV333" s="266">
        <f t="shared" si="42"/>
        <v>0</v>
      </c>
    </row>
    <row r="334" spans="26:48" ht="15" customHeight="1" x14ac:dyDescent="0.2">
      <c r="Z334" s="243" t="str">
        <f>Shares!A334</f>
        <v/>
      </c>
      <c r="AA334" s="243" t="str">
        <f>Shares!B334</f>
        <v/>
      </c>
      <c r="AB334" s="243" t="str">
        <f>Shares!C334</f>
        <v/>
      </c>
      <c r="AC334" s="243" t="str">
        <f>Shares!D334</f>
        <v/>
      </c>
      <c r="AD334" s="243">
        <f>IF($Z334="",0,Shares!E334)</f>
        <v>0</v>
      </c>
      <c r="AE334" s="266">
        <f>IF($Z334="",0,Shares!J334*Shares!I334)</f>
        <v>0</v>
      </c>
      <c r="AF334" s="267">
        <f t="shared" si="41"/>
        <v>0</v>
      </c>
      <c r="AG334" s="266">
        <f>IF($Z334="",0,Shares!L334)</f>
        <v>0</v>
      </c>
      <c r="AH334" s="267">
        <f>IF($Z334="",0,Shares!M334)</f>
        <v>0</v>
      </c>
      <c r="AI334" s="243" t="str">
        <f>IF($Z334="","",RANK(AE334,$AE$2:$AE$1001)+COUNTIF($AE$2:AE334,AE334)-1)</f>
        <v/>
      </c>
      <c r="AJ334" s="243" t="str">
        <f>IF($AD334&lt;0,COUNT($AJ$1:AJ333)+1,"")</f>
        <v/>
      </c>
      <c r="AL334" s="243" t="str">
        <f>'All Ticker P&amp;L'!A334</f>
        <v/>
      </c>
      <c r="AM334" s="243" t="str">
        <f>'All Ticker P&amp;L'!B334</f>
        <v/>
      </c>
      <c r="AN334" s="243" t="str">
        <f>'All Ticker P&amp;L'!C334</f>
        <v/>
      </c>
      <c r="AO334" s="243" t="str">
        <f>'All Ticker P&amp;L'!D334</f>
        <v/>
      </c>
      <c r="AP334" s="243">
        <f>IF($AL334="",0,'All Ticker P&amp;L'!E334)</f>
        <v>0</v>
      </c>
      <c r="AQ334" s="266">
        <f>IF($AL334="",0,'All Ticker P&amp;L'!J334*'All Ticker P&amp;L'!I334)</f>
        <v>0</v>
      </c>
      <c r="AR334" s="266">
        <f>IF($AL334="",0,'All Ticker P&amp;L'!L334)</f>
        <v>0</v>
      </c>
      <c r="AS334" s="267">
        <f>IF($AL334="",0,'All Ticker P&amp;L'!M334)</f>
        <v>0</v>
      </c>
      <c r="AT334" s="243" t="str">
        <f>IF($AL334="","",RANK(AR334,$AR$2:$AR$1001)+COUNTIF($AR$2:AR334,AR334)-1)</f>
        <v/>
      </c>
      <c r="AU334" s="243" t="str">
        <f>IF($AL334="","",RANK(AV334,$AV$2:$AV$1001)+COUNTIF($AV$2:AV334,AV334)-1)</f>
        <v/>
      </c>
      <c r="AV334" s="266">
        <f t="shared" si="42"/>
        <v>0</v>
      </c>
    </row>
    <row r="335" spans="26:48" ht="15" customHeight="1" x14ac:dyDescent="0.2">
      <c r="Z335" s="243" t="str">
        <f>Shares!A335</f>
        <v/>
      </c>
      <c r="AA335" s="243" t="str">
        <f>Shares!B335</f>
        <v/>
      </c>
      <c r="AB335" s="243" t="str">
        <f>Shares!C335</f>
        <v/>
      </c>
      <c r="AC335" s="243" t="str">
        <f>Shares!D335</f>
        <v/>
      </c>
      <c r="AD335" s="243">
        <f>IF($Z335="",0,Shares!E335)</f>
        <v>0</v>
      </c>
      <c r="AE335" s="266">
        <f>IF($Z335="",0,Shares!J335*Shares!I335)</f>
        <v>0</v>
      </c>
      <c r="AF335" s="267">
        <f t="shared" si="41"/>
        <v>0</v>
      </c>
      <c r="AG335" s="266">
        <f>IF($Z335="",0,Shares!L335)</f>
        <v>0</v>
      </c>
      <c r="AH335" s="267">
        <f>IF($Z335="",0,Shares!M335)</f>
        <v>0</v>
      </c>
      <c r="AI335" s="243" t="str">
        <f>IF($Z335="","",RANK(AE335,$AE$2:$AE$1001)+COUNTIF($AE$2:AE335,AE335)-1)</f>
        <v/>
      </c>
      <c r="AJ335" s="243" t="str">
        <f>IF($AD335&lt;0,COUNT($AJ$1:AJ334)+1,"")</f>
        <v/>
      </c>
      <c r="AL335" s="243" t="str">
        <f>'All Ticker P&amp;L'!A335</f>
        <v/>
      </c>
      <c r="AM335" s="243" t="str">
        <f>'All Ticker P&amp;L'!B335</f>
        <v/>
      </c>
      <c r="AN335" s="243" t="str">
        <f>'All Ticker P&amp;L'!C335</f>
        <v/>
      </c>
      <c r="AO335" s="243" t="str">
        <f>'All Ticker P&amp;L'!D335</f>
        <v/>
      </c>
      <c r="AP335" s="243">
        <f>IF($AL335="",0,'All Ticker P&amp;L'!E335)</f>
        <v>0</v>
      </c>
      <c r="AQ335" s="266">
        <f>IF($AL335="",0,'All Ticker P&amp;L'!J335*'All Ticker P&amp;L'!I335)</f>
        <v>0</v>
      </c>
      <c r="AR335" s="266">
        <f>IF($AL335="",0,'All Ticker P&amp;L'!L335)</f>
        <v>0</v>
      </c>
      <c r="AS335" s="267">
        <f>IF($AL335="",0,'All Ticker P&amp;L'!M335)</f>
        <v>0</v>
      </c>
      <c r="AT335" s="243" t="str">
        <f>IF($AL335="","",RANK(AR335,$AR$2:$AR$1001)+COUNTIF($AR$2:AR335,AR335)-1)</f>
        <v/>
      </c>
      <c r="AU335" s="243" t="str">
        <f>IF($AL335="","",RANK(AV335,$AV$2:$AV$1001)+COUNTIF($AV$2:AV335,AV335)-1)</f>
        <v/>
      </c>
      <c r="AV335" s="266">
        <f t="shared" si="42"/>
        <v>0</v>
      </c>
    </row>
    <row r="336" spans="26:48" ht="15" customHeight="1" x14ac:dyDescent="0.2">
      <c r="Z336" s="243" t="str">
        <f>Shares!A336</f>
        <v/>
      </c>
      <c r="AA336" s="243" t="str">
        <f>Shares!B336</f>
        <v/>
      </c>
      <c r="AB336" s="243" t="str">
        <f>Shares!C336</f>
        <v/>
      </c>
      <c r="AC336" s="243" t="str">
        <f>Shares!D336</f>
        <v/>
      </c>
      <c r="AD336" s="243">
        <f>IF($Z336="",0,Shares!E336)</f>
        <v>0</v>
      </c>
      <c r="AE336" s="266">
        <f>IF($Z336="",0,Shares!J336*Shares!I336)</f>
        <v>0</v>
      </c>
      <c r="AF336" s="267">
        <f t="shared" si="41"/>
        <v>0</v>
      </c>
      <c r="AG336" s="266">
        <f>IF($Z336="",0,Shares!L336)</f>
        <v>0</v>
      </c>
      <c r="AH336" s="267">
        <f>IF($Z336="",0,Shares!M336)</f>
        <v>0</v>
      </c>
      <c r="AI336" s="243" t="str">
        <f>IF($Z336="","",RANK(AE336,$AE$2:$AE$1001)+COUNTIF($AE$2:AE336,AE336)-1)</f>
        <v/>
      </c>
      <c r="AJ336" s="243" t="str">
        <f>IF($AD336&lt;0,COUNT($AJ$1:AJ335)+1,"")</f>
        <v/>
      </c>
      <c r="AL336" s="243" t="str">
        <f>'All Ticker P&amp;L'!A336</f>
        <v/>
      </c>
      <c r="AM336" s="243" t="str">
        <f>'All Ticker P&amp;L'!B336</f>
        <v/>
      </c>
      <c r="AN336" s="243" t="str">
        <f>'All Ticker P&amp;L'!C336</f>
        <v/>
      </c>
      <c r="AO336" s="243" t="str">
        <f>'All Ticker P&amp;L'!D336</f>
        <v/>
      </c>
      <c r="AP336" s="243">
        <f>IF($AL336="",0,'All Ticker P&amp;L'!E336)</f>
        <v>0</v>
      </c>
      <c r="AQ336" s="266">
        <f>IF($AL336="",0,'All Ticker P&amp;L'!J336*'All Ticker P&amp;L'!I336)</f>
        <v>0</v>
      </c>
      <c r="AR336" s="266">
        <f>IF($AL336="",0,'All Ticker P&amp;L'!L336)</f>
        <v>0</v>
      </c>
      <c r="AS336" s="267">
        <f>IF($AL336="",0,'All Ticker P&amp;L'!M336)</f>
        <v>0</v>
      </c>
      <c r="AT336" s="243" t="str">
        <f>IF($AL336="","",RANK(AR336,$AR$2:$AR$1001)+COUNTIF($AR$2:AR336,AR336)-1)</f>
        <v/>
      </c>
      <c r="AU336" s="243" t="str">
        <f>IF($AL336="","",RANK(AV336,$AV$2:$AV$1001)+COUNTIF($AV$2:AV336,AV336)-1)</f>
        <v/>
      </c>
      <c r="AV336" s="266">
        <f t="shared" si="42"/>
        <v>0</v>
      </c>
    </row>
    <row r="337" spans="26:48" ht="15" customHeight="1" x14ac:dyDescent="0.2">
      <c r="Z337" s="243" t="str">
        <f>Shares!A337</f>
        <v/>
      </c>
      <c r="AA337" s="243" t="str">
        <f>Shares!B337</f>
        <v/>
      </c>
      <c r="AB337" s="243" t="str">
        <f>Shares!C337</f>
        <v/>
      </c>
      <c r="AC337" s="243" t="str">
        <f>Shares!D337</f>
        <v/>
      </c>
      <c r="AD337" s="243">
        <f>IF($Z337="",0,Shares!E337)</f>
        <v>0</v>
      </c>
      <c r="AE337" s="266">
        <f>IF($Z337="",0,Shares!J337*Shares!I337)</f>
        <v>0</v>
      </c>
      <c r="AF337" s="267">
        <f t="shared" si="41"/>
        <v>0</v>
      </c>
      <c r="AG337" s="266">
        <f>IF($Z337="",0,Shares!L337)</f>
        <v>0</v>
      </c>
      <c r="AH337" s="267">
        <f>IF($Z337="",0,Shares!M337)</f>
        <v>0</v>
      </c>
      <c r="AI337" s="243" t="str">
        <f>IF($Z337="","",RANK(AE337,$AE$2:$AE$1001)+COUNTIF($AE$2:AE337,AE337)-1)</f>
        <v/>
      </c>
      <c r="AJ337" s="243" t="str">
        <f>IF($AD337&lt;0,COUNT($AJ$1:AJ336)+1,"")</f>
        <v/>
      </c>
      <c r="AL337" s="243" t="str">
        <f>'All Ticker P&amp;L'!A337</f>
        <v/>
      </c>
      <c r="AM337" s="243" t="str">
        <f>'All Ticker P&amp;L'!B337</f>
        <v/>
      </c>
      <c r="AN337" s="243" t="str">
        <f>'All Ticker P&amp;L'!C337</f>
        <v/>
      </c>
      <c r="AO337" s="243" t="str">
        <f>'All Ticker P&amp;L'!D337</f>
        <v/>
      </c>
      <c r="AP337" s="243">
        <f>IF($AL337="",0,'All Ticker P&amp;L'!E337)</f>
        <v>0</v>
      </c>
      <c r="AQ337" s="266">
        <f>IF($AL337="",0,'All Ticker P&amp;L'!J337*'All Ticker P&amp;L'!I337)</f>
        <v>0</v>
      </c>
      <c r="AR337" s="266">
        <f>IF($AL337="",0,'All Ticker P&amp;L'!L337)</f>
        <v>0</v>
      </c>
      <c r="AS337" s="267">
        <f>IF($AL337="",0,'All Ticker P&amp;L'!M337)</f>
        <v>0</v>
      </c>
      <c r="AT337" s="243" t="str">
        <f>IF($AL337="","",RANK(AR337,$AR$2:$AR$1001)+COUNTIF($AR$2:AR337,AR337)-1)</f>
        <v/>
      </c>
      <c r="AU337" s="243" t="str">
        <f>IF($AL337="","",RANK(AV337,$AV$2:$AV$1001)+COUNTIF($AV$2:AV337,AV337)-1)</f>
        <v/>
      </c>
      <c r="AV337" s="266">
        <f t="shared" si="42"/>
        <v>0</v>
      </c>
    </row>
    <row r="338" spans="26:48" ht="15" customHeight="1" x14ac:dyDescent="0.2">
      <c r="Z338" s="243" t="str">
        <f>Shares!A338</f>
        <v/>
      </c>
      <c r="AA338" s="243" t="str">
        <f>Shares!B338</f>
        <v/>
      </c>
      <c r="AB338" s="243" t="str">
        <f>Shares!C338</f>
        <v/>
      </c>
      <c r="AC338" s="243" t="str">
        <f>Shares!D338</f>
        <v/>
      </c>
      <c r="AD338" s="243">
        <f>IF($Z338="",0,Shares!E338)</f>
        <v>0</v>
      </c>
      <c r="AE338" s="266">
        <f>IF($Z338="",0,Shares!J338*Shares!I338)</f>
        <v>0</v>
      </c>
      <c r="AF338" s="267">
        <f t="shared" si="41"/>
        <v>0</v>
      </c>
      <c r="AG338" s="266">
        <f>IF($Z338="",0,Shares!L338)</f>
        <v>0</v>
      </c>
      <c r="AH338" s="267">
        <f>IF($Z338="",0,Shares!M338)</f>
        <v>0</v>
      </c>
      <c r="AI338" s="243" t="str">
        <f>IF($Z338="","",RANK(AE338,$AE$2:$AE$1001)+COUNTIF($AE$2:AE338,AE338)-1)</f>
        <v/>
      </c>
      <c r="AJ338" s="243" t="str">
        <f>IF($AD338&lt;0,COUNT($AJ$1:AJ337)+1,"")</f>
        <v/>
      </c>
      <c r="AL338" s="243" t="str">
        <f>'All Ticker P&amp;L'!A338</f>
        <v/>
      </c>
      <c r="AM338" s="243" t="str">
        <f>'All Ticker P&amp;L'!B338</f>
        <v/>
      </c>
      <c r="AN338" s="243" t="str">
        <f>'All Ticker P&amp;L'!C338</f>
        <v/>
      </c>
      <c r="AO338" s="243" t="str">
        <f>'All Ticker P&amp;L'!D338</f>
        <v/>
      </c>
      <c r="AP338" s="243">
        <f>IF($AL338="",0,'All Ticker P&amp;L'!E338)</f>
        <v>0</v>
      </c>
      <c r="AQ338" s="266">
        <f>IF($AL338="",0,'All Ticker P&amp;L'!J338*'All Ticker P&amp;L'!I338)</f>
        <v>0</v>
      </c>
      <c r="AR338" s="266">
        <f>IF($AL338="",0,'All Ticker P&amp;L'!L338)</f>
        <v>0</v>
      </c>
      <c r="AS338" s="267">
        <f>IF($AL338="",0,'All Ticker P&amp;L'!M338)</f>
        <v>0</v>
      </c>
      <c r="AT338" s="243" t="str">
        <f>IF($AL338="","",RANK(AR338,$AR$2:$AR$1001)+COUNTIF($AR$2:AR338,AR338)-1)</f>
        <v/>
      </c>
      <c r="AU338" s="243" t="str">
        <f>IF($AL338="","",RANK(AV338,$AV$2:$AV$1001)+COUNTIF($AV$2:AV338,AV338)-1)</f>
        <v/>
      </c>
      <c r="AV338" s="266">
        <f t="shared" si="42"/>
        <v>0</v>
      </c>
    </row>
    <row r="339" spans="26:48" ht="15" customHeight="1" x14ac:dyDescent="0.2">
      <c r="Z339" s="243" t="str">
        <f>Shares!A339</f>
        <v/>
      </c>
      <c r="AA339" s="243" t="str">
        <f>Shares!B339</f>
        <v/>
      </c>
      <c r="AB339" s="243" t="str">
        <f>Shares!C339</f>
        <v/>
      </c>
      <c r="AC339" s="243" t="str">
        <f>Shares!D339</f>
        <v/>
      </c>
      <c r="AD339" s="243">
        <f>IF($Z339="",0,Shares!E339)</f>
        <v>0</v>
      </c>
      <c r="AE339" s="266">
        <f>IF($Z339="",0,Shares!J339*Shares!I339)</f>
        <v>0</v>
      </c>
      <c r="AF339" s="267">
        <f t="shared" si="41"/>
        <v>0</v>
      </c>
      <c r="AG339" s="266">
        <f>IF($Z339="",0,Shares!L339)</f>
        <v>0</v>
      </c>
      <c r="AH339" s="267">
        <f>IF($Z339="",0,Shares!M339)</f>
        <v>0</v>
      </c>
      <c r="AI339" s="243" t="str">
        <f>IF($Z339="","",RANK(AE339,$AE$2:$AE$1001)+COUNTIF($AE$2:AE339,AE339)-1)</f>
        <v/>
      </c>
      <c r="AJ339" s="243" t="str">
        <f>IF($AD339&lt;0,COUNT($AJ$1:AJ338)+1,"")</f>
        <v/>
      </c>
      <c r="AL339" s="243" t="str">
        <f>'All Ticker P&amp;L'!A339</f>
        <v/>
      </c>
      <c r="AM339" s="243" t="str">
        <f>'All Ticker P&amp;L'!B339</f>
        <v/>
      </c>
      <c r="AN339" s="243" t="str">
        <f>'All Ticker P&amp;L'!C339</f>
        <v/>
      </c>
      <c r="AO339" s="243" t="str">
        <f>'All Ticker P&amp;L'!D339</f>
        <v/>
      </c>
      <c r="AP339" s="243">
        <f>IF($AL339="",0,'All Ticker P&amp;L'!E339)</f>
        <v>0</v>
      </c>
      <c r="AQ339" s="266">
        <f>IF($AL339="",0,'All Ticker P&amp;L'!J339*'All Ticker P&amp;L'!I339)</f>
        <v>0</v>
      </c>
      <c r="AR339" s="266">
        <f>IF($AL339="",0,'All Ticker P&amp;L'!L339)</f>
        <v>0</v>
      </c>
      <c r="AS339" s="267">
        <f>IF($AL339="",0,'All Ticker P&amp;L'!M339)</f>
        <v>0</v>
      </c>
      <c r="AT339" s="243" t="str">
        <f>IF($AL339="","",RANK(AR339,$AR$2:$AR$1001)+COUNTIF($AR$2:AR339,AR339)-1)</f>
        <v/>
      </c>
      <c r="AU339" s="243" t="str">
        <f>IF($AL339="","",RANK(AV339,$AV$2:$AV$1001)+COUNTIF($AV$2:AV339,AV339)-1)</f>
        <v/>
      </c>
      <c r="AV339" s="266">
        <f t="shared" si="42"/>
        <v>0</v>
      </c>
    </row>
    <row r="340" spans="26:48" ht="15" customHeight="1" x14ac:dyDescent="0.2">
      <c r="Z340" s="243" t="str">
        <f>Shares!A340</f>
        <v/>
      </c>
      <c r="AA340" s="243" t="str">
        <f>Shares!B340</f>
        <v/>
      </c>
      <c r="AB340" s="243" t="str">
        <f>Shares!C340</f>
        <v/>
      </c>
      <c r="AC340" s="243" t="str">
        <f>Shares!D340</f>
        <v/>
      </c>
      <c r="AD340" s="243">
        <f>IF($Z340="",0,Shares!E340)</f>
        <v>0</v>
      </c>
      <c r="AE340" s="266">
        <f>IF($Z340="",0,Shares!J340*Shares!I340)</f>
        <v>0</v>
      </c>
      <c r="AF340" s="267">
        <f t="shared" si="41"/>
        <v>0</v>
      </c>
      <c r="AG340" s="266">
        <f>IF($Z340="",0,Shares!L340)</f>
        <v>0</v>
      </c>
      <c r="AH340" s="267">
        <f>IF($Z340="",0,Shares!M340)</f>
        <v>0</v>
      </c>
      <c r="AI340" s="243" t="str">
        <f>IF($Z340="","",RANK(AE340,$AE$2:$AE$1001)+COUNTIF($AE$2:AE340,AE340)-1)</f>
        <v/>
      </c>
      <c r="AJ340" s="243" t="str">
        <f>IF($AD340&lt;0,COUNT($AJ$1:AJ339)+1,"")</f>
        <v/>
      </c>
      <c r="AL340" s="243" t="str">
        <f>'All Ticker P&amp;L'!A340</f>
        <v/>
      </c>
      <c r="AM340" s="243" t="str">
        <f>'All Ticker P&amp;L'!B340</f>
        <v/>
      </c>
      <c r="AN340" s="243" t="str">
        <f>'All Ticker P&amp;L'!C340</f>
        <v/>
      </c>
      <c r="AO340" s="243" t="str">
        <f>'All Ticker P&amp;L'!D340</f>
        <v/>
      </c>
      <c r="AP340" s="243">
        <f>IF($AL340="",0,'All Ticker P&amp;L'!E340)</f>
        <v>0</v>
      </c>
      <c r="AQ340" s="266">
        <f>IF($AL340="",0,'All Ticker P&amp;L'!J340*'All Ticker P&amp;L'!I340)</f>
        <v>0</v>
      </c>
      <c r="AR340" s="266">
        <f>IF($AL340="",0,'All Ticker P&amp;L'!L340)</f>
        <v>0</v>
      </c>
      <c r="AS340" s="267">
        <f>IF($AL340="",0,'All Ticker P&amp;L'!M340)</f>
        <v>0</v>
      </c>
      <c r="AT340" s="243" t="str">
        <f>IF($AL340="","",RANK(AR340,$AR$2:$AR$1001)+COUNTIF($AR$2:AR340,AR340)-1)</f>
        <v/>
      </c>
      <c r="AU340" s="243" t="str">
        <f>IF($AL340="","",RANK(AV340,$AV$2:$AV$1001)+COUNTIF($AV$2:AV340,AV340)-1)</f>
        <v/>
      </c>
      <c r="AV340" s="266">
        <f t="shared" si="42"/>
        <v>0</v>
      </c>
    </row>
    <row r="341" spans="26:48" ht="15" customHeight="1" x14ac:dyDescent="0.2">
      <c r="Z341" s="243" t="str">
        <f>Shares!A341</f>
        <v/>
      </c>
      <c r="AA341" s="243" t="str">
        <f>Shares!B341</f>
        <v/>
      </c>
      <c r="AB341" s="243" t="str">
        <f>Shares!C341</f>
        <v/>
      </c>
      <c r="AC341" s="243" t="str">
        <f>Shares!D341</f>
        <v/>
      </c>
      <c r="AD341" s="243">
        <f>IF($Z341="",0,Shares!E341)</f>
        <v>0</v>
      </c>
      <c r="AE341" s="266">
        <f>IF($Z341="",0,Shares!J341*Shares!I341)</f>
        <v>0</v>
      </c>
      <c r="AF341" s="267">
        <f t="shared" si="41"/>
        <v>0</v>
      </c>
      <c r="AG341" s="266">
        <f>IF($Z341="",0,Shares!L341)</f>
        <v>0</v>
      </c>
      <c r="AH341" s="267">
        <f>IF($Z341="",0,Shares!M341)</f>
        <v>0</v>
      </c>
      <c r="AI341" s="243" t="str">
        <f>IF($Z341="","",RANK(AE341,$AE$2:$AE$1001)+COUNTIF($AE$2:AE341,AE341)-1)</f>
        <v/>
      </c>
      <c r="AJ341" s="243" t="str">
        <f>IF($AD341&lt;0,COUNT($AJ$1:AJ340)+1,"")</f>
        <v/>
      </c>
      <c r="AL341" s="243" t="str">
        <f>'All Ticker P&amp;L'!A341</f>
        <v/>
      </c>
      <c r="AM341" s="243" t="str">
        <f>'All Ticker P&amp;L'!B341</f>
        <v/>
      </c>
      <c r="AN341" s="243" t="str">
        <f>'All Ticker P&amp;L'!C341</f>
        <v/>
      </c>
      <c r="AO341" s="243" t="str">
        <f>'All Ticker P&amp;L'!D341</f>
        <v/>
      </c>
      <c r="AP341" s="243">
        <f>IF($AL341="",0,'All Ticker P&amp;L'!E341)</f>
        <v>0</v>
      </c>
      <c r="AQ341" s="266">
        <f>IF($AL341="",0,'All Ticker P&amp;L'!J341*'All Ticker P&amp;L'!I341)</f>
        <v>0</v>
      </c>
      <c r="AR341" s="266">
        <f>IF($AL341="",0,'All Ticker P&amp;L'!L341)</f>
        <v>0</v>
      </c>
      <c r="AS341" s="267">
        <f>IF($AL341="",0,'All Ticker P&amp;L'!M341)</f>
        <v>0</v>
      </c>
      <c r="AT341" s="243" t="str">
        <f>IF($AL341="","",RANK(AR341,$AR$2:$AR$1001)+COUNTIF($AR$2:AR341,AR341)-1)</f>
        <v/>
      </c>
      <c r="AU341" s="243" t="str">
        <f>IF($AL341="","",RANK(AV341,$AV$2:$AV$1001)+COUNTIF($AV$2:AV341,AV341)-1)</f>
        <v/>
      </c>
      <c r="AV341" s="266">
        <f t="shared" si="42"/>
        <v>0</v>
      </c>
    </row>
    <row r="342" spans="26:48" ht="15" customHeight="1" x14ac:dyDescent="0.2">
      <c r="Z342" s="243" t="str">
        <f>Shares!A342</f>
        <v/>
      </c>
      <c r="AA342" s="243" t="str">
        <f>Shares!B342</f>
        <v/>
      </c>
      <c r="AB342" s="243" t="str">
        <f>Shares!C342</f>
        <v/>
      </c>
      <c r="AC342" s="243" t="str">
        <f>Shares!D342</f>
        <v/>
      </c>
      <c r="AD342" s="243">
        <f>IF($Z342="",0,Shares!E342)</f>
        <v>0</v>
      </c>
      <c r="AE342" s="266">
        <f>IF($Z342="",0,Shares!J342*Shares!I342)</f>
        <v>0</v>
      </c>
      <c r="AF342" s="267">
        <f t="shared" si="41"/>
        <v>0</v>
      </c>
      <c r="AG342" s="266">
        <f>IF($Z342="",0,Shares!L342)</f>
        <v>0</v>
      </c>
      <c r="AH342" s="267">
        <f>IF($Z342="",0,Shares!M342)</f>
        <v>0</v>
      </c>
      <c r="AI342" s="243" t="str">
        <f>IF($Z342="","",RANK(AE342,$AE$2:$AE$1001)+COUNTIF($AE$2:AE342,AE342)-1)</f>
        <v/>
      </c>
      <c r="AJ342" s="243" t="str">
        <f>IF($AD342&lt;0,COUNT($AJ$1:AJ341)+1,"")</f>
        <v/>
      </c>
      <c r="AL342" s="243" t="str">
        <f>'All Ticker P&amp;L'!A342</f>
        <v/>
      </c>
      <c r="AM342" s="243" t="str">
        <f>'All Ticker P&amp;L'!B342</f>
        <v/>
      </c>
      <c r="AN342" s="243" t="str">
        <f>'All Ticker P&amp;L'!C342</f>
        <v/>
      </c>
      <c r="AO342" s="243" t="str">
        <f>'All Ticker P&amp;L'!D342</f>
        <v/>
      </c>
      <c r="AP342" s="243">
        <f>IF($AL342="",0,'All Ticker P&amp;L'!E342)</f>
        <v>0</v>
      </c>
      <c r="AQ342" s="266">
        <f>IF($AL342="",0,'All Ticker P&amp;L'!J342*'All Ticker P&amp;L'!I342)</f>
        <v>0</v>
      </c>
      <c r="AR342" s="266">
        <f>IF($AL342="",0,'All Ticker P&amp;L'!L342)</f>
        <v>0</v>
      </c>
      <c r="AS342" s="267">
        <f>IF($AL342="",0,'All Ticker P&amp;L'!M342)</f>
        <v>0</v>
      </c>
      <c r="AT342" s="243" t="str">
        <f>IF($AL342="","",RANK(AR342,$AR$2:$AR$1001)+COUNTIF($AR$2:AR342,AR342)-1)</f>
        <v/>
      </c>
      <c r="AU342" s="243" t="str">
        <f>IF($AL342="","",RANK(AV342,$AV$2:$AV$1001)+COUNTIF($AV$2:AV342,AV342)-1)</f>
        <v/>
      </c>
      <c r="AV342" s="266">
        <f t="shared" si="42"/>
        <v>0</v>
      </c>
    </row>
    <row r="343" spans="26:48" ht="15" customHeight="1" x14ac:dyDescent="0.2">
      <c r="Z343" s="243" t="str">
        <f>Shares!A343</f>
        <v/>
      </c>
      <c r="AA343" s="243" t="str">
        <f>Shares!B343</f>
        <v/>
      </c>
      <c r="AB343" s="243" t="str">
        <f>Shares!C343</f>
        <v/>
      </c>
      <c r="AC343" s="243" t="str">
        <f>Shares!D343</f>
        <v/>
      </c>
      <c r="AD343" s="243">
        <f>IF($Z343="",0,Shares!E343)</f>
        <v>0</v>
      </c>
      <c r="AE343" s="266">
        <f>IF($Z343="",0,Shares!J343*Shares!I343)</f>
        <v>0</v>
      </c>
      <c r="AF343" s="267">
        <f t="shared" si="41"/>
        <v>0</v>
      </c>
      <c r="AG343" s="266">
        <f>IF($Z343="",0,Shares!L343)</f>
        <v>0</v>
      </c>
      <c r="AH343" s="267">
        <f>IF($Z343="",0,Shares!M343)</f>
        <v>0</v>
      </c>
      <c r="AI343" s="243" t="str">
        <f>IF($Z343="","",RANK(AE343,$AE$2:$AE$1001)+COUNTIF($AE$2:AE343,AE343)-1)</f>
        <v/>
      </c>
      <c r="AJ343" s="243" t="str">
        <f>IF($AD343&lt;0,COUNT($AJ$1:AJ342)+1,"")</f>
        <v/>
      </c>
      <c r="AL343" s="243" t="str">
        <f>'All Ticker P&amp;L'!A343</f>
        <v/>
      </c>
      <c r="AM343" s="243" t="str">
        <f>'All Ticker P&amp;L'!B343</f>
        <v/>
      </c>
      <c r="AN343" s="243" t="str">
        <f>'All Ticker P&amp;L'!C343</f>
        <v/>
      </c>
      <c r="AO343" s="243" t="str">
        <f>'All Ticker P&amp;L'!D343</f>
        <v/>
      </c>
      <c r="AP343" s="243">
        <f>IF($AL343="",0,'All Ticker P&amp;L'!E343)</f>
        <v>0</v>
      </c>
      <c r="AQ343" s="266">
        <f>IF($AL343="",0,'All Ticker P&amp;L'!J343*'All Ticker P&amp;L'!I343)</f>
        <v>0</v>
      </c>
      <c r="AR343" s="266">
        <f>IF($AL343="",0,'All Ticker P&amp;L'!L343)</f>
        <v>0</v>
      </c>
      <c r="AS343" s="267">
        <f>IF($AL343="",0,'All Ticker P&amp;L'!M343)</f>
        <v>0</v>
      </c>
      <c r="AT343" s="243" t="str">
        <f>IF($AL343="","",RANK(AR343,$AR$2:$AR$1001)+COUNTIF($AR$2:AR343,AR343)-1)</f>
        <v/>
      </c>
      <c r="AU343" s="243" t="str">
        <f>IF($AL343="","",RANK(AV343,$AV$2:$AV$1001)+COUNTIF($AV$2:AV343,AV343)-1)</f>
        <v/>
      </c>
      <c r="AV343" s="266">
        <f t="shared" si="42"/>
        <v>0</v>
      </c>
    </row>
    <row r="344" spans="26:48" ht="15" customHeight="1" x14ac:dyDescent="0.2">
      <c r="Z344" s="243" t="str">
        <f>Shares!A344</f>
        <v/>
      </c>
      <c r="AA344" s="243" t="str">
        <f>Shares!B344</f>
        <v/>
      </c>
      <c r="AB344" s="243" t="str">
        <f>Shares!C344</f>
        <v/>
      </c>
      <c r="AC344" s="243" t="str">
        <f>Shares!D344</f>
        <v/>
      </c>
      <c r="AD344" s="243">
        <f>IF($Z344="",0,Shares!E344)</f>
        <v>0</v>
      </c>
      <c r="AE344" s="266">
        <f>IF($Z344="",0,Shares!J344*Shares!I344)</f>
        <v>0</v>
      </c>
      <c r="AF344" s="267">
        <f t="shared" si="41"/>
        <v>0</v>
      </c>
      <c r="AG344" s="266">
        <f>IF($Z344="",0,Shares!L344)</f>
        <v>0</v>
      </c>
      <c r="AH344" s="267">
        <f>IF($Z344="",0,Shares!M344)</f>
        <v>0</v>
      </c>
      <c r="AI344" s="243" t="str">
        <f>IF($Z344="","",RANK(AE344,$AE$2:$AE$1001)+COUNTIF($AE$2:AE344,AE344)-1)</f>
        <v/>
      </c>
      <c r="AJ344" s="243" t="str">
        <f>IF($AD344&lt;0,COUNT($AJ$1:AJ343)+1,"")</f>
        <v/>
      </c>
      <c r="AL344" s="243" t="str">
        <f>'All Ticker P&amp;L'!A344</f>
        <v/>
      </c>
      <c r="AM344" s="243" t="str">
        <f>'All Ticker P&amp;L'!B344</f>
        <v/>
      </c>
      <c r="AN344" s="243" t="str">
        <f>'All Ticker P&amp;L'!C344</f>
        <v/>
      </c>
      <c r="AO344" s="243" t="str">
        <f>'All Ticker P&amp;L'!D344</f>
        <v/>
      </c>
      <c r="AP344" s="243">
        <f>IF($AL344="",0,'All Ticker P&amp;L'!E344)</f>
        <v>0</v>
      </c>
      <c r="AQ344" s="266">
        <f>IF($AL344="",0,'All Ticker P&amp;L'!J344*'All Ticker P&amp;L'!I344)</f>
        <v>0</v>
      </c>
      <c r="AR344" s="266">
        <f>IF($AL344="",0,'All Ticker P&amp;L'!L344)</f>
        <v>0</v>
      </c>
      <c r="AS344" s="267">
        <f>IF($AL344="",0,'All Ticker P&amp;L'!M344)</f>
        <v>0</v>
      </c>
      <c r="AT344" s="243" t="str">
        <f>IF($AL344="","",RANK(AR344,$AR$2:$AR$1001)+COUNTIF($AR$2:AR344,AR344)-1)</f>
        <v/>
      </c>
      <c r="AU344" s="243" t="str">
        <f>IF($AL344="","",RANK(AV344,$AV$2:$AV$1001)+COUNTIF($AV$2:AV344,AV344)-1)</f>
        <v/>
      </c>
      <c r="AV344" s="266">
        <f t="shared" si="42"/>
        <v>0</v>
      </c>
    </row>
    <row r="345" spans="26:48" ht="15" customHeight="1" x14ac:dyDescent="0.2">
      <c r="Z345" s="243" t="str">
        <f>Shares!A345</f>
        <v/>
      </c>
      <c r="AA345" s="243" t="str">
        <f>Shares!B345</f>
        <v/>
      </c>
      <c r="AB345" s="243" t="str">
        <f>Shares!C345</f>
        <v/>
      </c>
      <c r="AC345" s="243" t="str">
        <f>Shares!D345</f>
        <v/>
      </c>
      <c r="AD345" s="243">
        <f>IF($Z345="",0,Shares!E345)</f>
        <v>0</v>
      </c>
      <c r="AE345" s="266">
        <f>IF($Z345="",0,Shares!J345*Shares!I345)</f>
        <v>0</v>
      </c>
      <c r="AF345" s="267">
        <f t="shared" si="41"/>
        <v>0</v>
      </c>
      <c r="AG345" s="266">
        <f>IF($Z345="",0,Shares!L345)</f>
        <v>0</v>
      </c>
      <c r="AH345" s="267">
        <f>IF($Z345="",0,Shares!M345)</f>
        <v>0</v>
      </c>
      <c r="AI345" s="243" t="str">
        <f>IF($Z345="","",RANK(AE345,$AE$2:$AE$1001)+COUNTIF($AE$2:AE345,AE345)-1)</f>
        <v/>
      </c>
      <c r="AJ345" s="243" t="str">
        <f>IF($AD345&lt;0,COUNT($AJ$1:AJ344)+1,"")</f>
        <v/>
      </c>
      <c r="AL345" s="243" t="str">
        <f>'All Ticker P&amp;L'!A345</f>
        <v/>
      </c>
      <c r="AM345" s="243" t="str">
        <f>'All Ticker P&amp;L'!B345</f>
        <v/>
      </c>
      <c r="AN345" s="243" t="str">
        <f>'All Ticker P&amp;L'!C345</f>
        <v/>
      </c>
      <c r="AO345" s="243" t="str">
        <f>'All Ticker P&amp;L'!D345</f>
        <v/>
      </c>
      <c r="AP345" s="243">
        <f>IF($AL345="",0,'All Ticker P&amp;L'!E345)</f>
        <v>0</v>
      </c>
      <c r="AQ345" s="266">
        <f>IF($AL345="",0,'All Ticker P&amp;L'!J345*'All Ticker P&amp;L'!I345)</f>
        <v>0</v>
      </c>
      <c r="AR345" s="266">
        <f>IF($AL345="",0,'All Ticker P&amp;L'!L345)</f>
        <v>0</v>
      </c>
      <c r="AS345" s="267">
        <f>IF($AL345="",0,'All Ticker P&amp;L'!M345)</f>
        <v>0</v>
      </c>
      <c r="AT345" s="243" t="str">
        <f>IF($AL345="","",RANK(AR345,$AR$2:$AR$1001)+COUNTIF($AR$2:AR345,AR345)-1)</f>
        <v/>
      </c>
      <c r="AU345" s="243" t="str">
        <f>IF($AL345="","",RANK(AV345,$AV$2:$AV$1001)+COUNTIF($AV$2:AV345,AV345)-1)</f>
        <v/>
      </c>
      <c r="AV345" s="266">
        <f t="shared" si="42"/>
        <v>0</v>
      </c>
    </row>
    <row r="346" spans="26:48" ht="15" customHeight="1" x14ac:dyDescent="0.2">
      <c r="Z346" s="243" t="str">
        <f>Shares!A346</f>
        <v/>
      </c>
      <c r="AA346" s="243" t="str">
        <f>Shares!B346</f>
        <v/>
      </c>
      <c r="AB346" s="243" t="str">
        <f>Shares!C346</f>
        <v/>
      </c>
      <c r="AC346" s="243" t="str">
        <f>Shares!D346</f>
        <v/>
      </c>
      <c r="AD346" s="243">
        <f>IF($Z346="",0,Shares!E346)</f>
        <v>0</v>
      </c>
      <c r="AE346" s="266">
        <f>IF($Z346="",0,Shares!J346*Shares!I346)</f>
        <v>0</v>
      </c>
      <c r="AF346" s="267">
        <f t="shared" si="41"/>
        <v>0</v>
      </c>
      <c r="AG346" s="266">
        <f>IF($Z346="",0,Shares!L346)</f>
        <v>0</v>
      </c>
      <c r="AH346" s="267">
        <f>IF($Z346="",0,Shares!M346)</f>
        <v>0</v>
      </c>
      <c r="AI346" s="243" t="str">
        <f>IF($Z346="","",RANK(AE346,$AE$2:$AE$1001)+COUNTIF($AE$2:AE346,AE346)-1)</f>
        <v/>
      </c>
      <c r="AJ346" s="243" t="str">
        <f>IF($AD346&lt;0,COUNT($AJ$1:AJ345)+1,"")</f>
        <v/>
      </c>
      <c r="AL346" s="243" t="str">
        <f>'All Ticker P&amp;L'!A346</f>
        <v/>
      </c>
      <c r="AM346" s="243" t="str">
        <f>'All Ticker P&amp;L'!B346</f>
        <v/>
      </c>
      <c r="AN346" s="243" t="str">
        <f>'All Ticker P&amp;L'!C346</f>
        <v/>
      </c>
      <c r="AO346" s="243" t="str">
        <f>'All Ticker P&amp;L'!D346</f>
        <v/>
      </c>
      <c r="AP346" s="243">
        <f>IF($AL346="",0,'All Ticker P&amp;L'!E346)</f>
        <v>0</v>
      </c>
      <c r="AQ346" s="266">
        <f>IF($AL346="",0,'All Ticker P&amp;L'!J346*'All Ticker P&amp;L'!I346)</f>
        <v>0</v>
      </c>
      <c r="AR346" s="266">
        <f>IF($AL346="",0,'All Ticker P&amp;L'!L346)</f>
        <v>0</v>
      </c>
      <c r="AS346" s="267">
        <f>IF($AL346="",0,'All Ticker P&amp;L'!M346)</f>
        <v>0</v>
      </c>
      <c r="AT346" s="243" t="str">
        <f>IF($AL346="","",RANK(AR346,$AR$2:$AR$1001)+COUNTIF($AR$2:AR346,AR346)-1)</f>
        <v/>
      </c>
      <c r="AU346" s="243" t="str">
        <f>IF($AL346="","",RANK(AV346,$AV$2:$AV$1001)+COUNTIF($AV$2:AV346,AV346)-1)</f>
        <v/>
      </c>
      <c r="AV346" s="266">
        <f t="shared" si="42"/>
        <v>0</v>
      </c>
    </row>
    <row r="347" spans="26:48" ht="15" customHeight="1" x14ac:dyDescent="0.2">
      <c r="Z347" s="243" t="str">
        <f>Shares!A347</f>
        <v/>
      </c>
      <c r="AA347" s="243" t="str">
        <f>Shares!B347</f>
        <v/>
      </c>
      <c r="AB347" s="243" t="str">
        <f>Shares!C347</f>
        <v/>
      </c>
      <c r="AC347" s="243" t="str">
        <f>Shares!D347</f>
        <v/>
      </c>
      <c r="AD347" s="243">
        <f>IF($Z347="",0,Shares!E347)</f>
        <v>0</v>
      </c>
      <c r="AE347" s="266">
        <f>IF($Z347="",0,Shares!J347*Shares!I347)</f>
        <v>0</v>
      </c>
      <c r="AF347" s="267">
        <f t="shared" si="41"/>
        <v>0</v>
      </c>
      <c r="AG347" s="266">
        <f>IF($Z347="",0,Shares!L347)</f>
        <v>0</v>
      </c>
      <c r="AH347" s="267">
        <f>IF($Z347="",0,Shares!M347)</f>
        <v>0</v>
      </c>
      <c r="AI347" s="243" t="str">
        <f>IF($Z347="","",RANK(AE347,$AE$2:$AE$1001)+COUNTIF($AE$2:AE347,AE347)-1)</f>
        <v/>
      </c>
      <c r="AJ347" s="243" t="str">
        <f>IF($AD347&lt;0,COUNT($AJ$1:AJ346)+1,"")</f>
        <v/>
      </c>
      <c r="AL347" s="243" t="str">
        <f>'All Ticker P&amp;L'!A347</f>
        <v/>
      </c>
      <c r="AM347" s="243" t="str">
        <f>'All Ticker P&amp;L'!B347</f>
        <v/>
      </c>
      <c r="AN347" s="243" t="str">
        <f>'All Ticker P&amp;L'!C347</f>
        <v/>
      </c>
      <c r="AO347" s="243" t="str">
        <f>'All Ticker P&amp;L'!D347</f>
        <v/>
      </c>
      <c r="AP347" s="243">
        <f>IF($AL347="",0,'All Ticker P&amp;L'!E347)</f>
        <v>0</v>
      </c>
      <c r="AQ347" s="266">
        <f>IF($AL347="",0,'All Ticker P&amp;L'!J347*'All Ticker P&amp;L'!I347)</f>
        <v>0</v>
      </c>
      <c r="AR347" s="266">
        <f>IF($AL347="",0,'All Ticker P&amp;L'!L347)</f>
        <v>0</v>
      </c>
      <c r="AS347" s="267">
        <f>IF($AL347="",0,'All Ticker P&amp;L'!M347)</f>
        <v>0</v>
      </c>
      <c r="AT347" s="243" t="str">
        <f>IF($AL347="","",RANK(AR347,$AR$2:$AR$1001)+COUNTIF($AR$2:AR347,AR347)-1)</f>
        <v/>
      </c>
      <c r="AU347" s="243" t="str">
        <f>IF($AL347="","",RANK(AV347,$AV$2:$AV$1001)+COUNTIF($AV$2:AV347,AV347)-1)</f>
        <v/>
      </c>
      <c r="AV347" s="266">
        <f t="shared" si="42"/>
        <v>0</v>
      </c>
    </row>
    <row r="348" spans="26:48" ht="15" customHeight="1" x14ac:dyDescent="0.2">
      <c r="Z348" s="243" t="str">
        <f>Shares!A348</f>
        <v/>
      </c>
      <c r="AA348" s="243" t="str">
        <f>Shares!B348</f>
        <v/>
      </c>
      <c r="AB348" s="243" t="str">
        <f>Shares!C348</f>
        <v/>
      </c>
      <c r="AC348" s="243" t="str">
        <f>Shares!D348</f>
        <v/>
      </c>
      <c r="AD348" s="243">
        <f>IF($Z348="",0,Shares!E348)</f>
        <v>0</v>
      </c>
      <c r="AE348" s="266">
        <f>IF($Z348="",0,Shares!J348*Shares!I348)</f>
        <v>0</v>
      </c>
      <c r="AF348" s="267">
        <f t="shared" si="41"/>
        <v>0</v>
      </c>
      <c r="AG348" s="266">
        <f>IF($Z348="",0,Shares!L348)</f>
        <v>0</v>
      </c>
      <c r="AH348" s="267">
        <f>IF($Z348="",0,Shares!M348)</f>
        <v>0</v>
      </c>
      <c r="AI348" s="243" t="str">
        <f>IF($Z348="","",RANK(AE348,$AE$2:$AE$1001)+COUNTIF($AE$2:AE348,AE348)-1)</f>
        <v/>
      </c>
      <c r="AJ348" s="243" t="str">
        <f>IF($AD348&lt;0,COUNT($AJ$1:AJ347)+1,"")</f>
        <v/>
      </c>
      <c r="AL348" s="243" t="str">
        <f>'All Ticker P&amp;L'!A348</f>
        <v/>
      </c>
      <c r="AM348" s="243" t="str">
        <f>'All Ticker P&amp;L'!B348</f>
        <v/>
      </c>
      <c r="AN348" s="243" t="str">
        <f>'All Ticker P&amp;L'!C348</f>
        <v/>
      </c>
      <c r="AO348" s="243" t="str">
        <f>'All Ticker P&amp;L'!D348</f>
        <v/>
      </c>
      <c r="AP348" s="243">
        <f>IF($AL348="",0,'All Ticker P&amp;L'!E348)</f>
        <v>0</v>
      </c>
      <c r="AQ348" s="266">
        <f>IF($AL348="",0,'All Ticker P&amp;L'!J348*'All Ticker P&amp;L'!I348)</f>
        <v>0</v>
      </c>
      <c r="AR348" s="266">
        <f>IF($AL348="",0,'All Ticker P&amp;L'!L348)</f>
        <v>0</v>
      </c>
      <c r="AS348" s="267">
        <f>IF($AL348="",0,'All Ticker P&amp;L'!M348)</f>
        <v>0</v>
      </c>
      <c r="AT348" s="243" t="str">
        <f>IF($AL348="","",RANK(AR348,$AR$2:$AR$1001)+COUNTIF($AR$2:AR348,AR348)-1)</f>
        <v/>
      </c>
      <c r="AU348" s="243" t="str">
        <f>IF($AL348="","",RANK(AV348,$AV$2:$AV$1001)+COUNTIF($AV$2:AV348,AV348)-1)</f>
        <v/>
      </c>
      <c r="AV348" s="266">
        <f t="shared" si="42"/>
        <v>0</v>
      </c>
    </row>
    <row r="349" spans="26:48" ht="15" customHeight="1" x14ac:dyDescent="0.2">
      <c r="Z349" s="243" t="str">
        <f>Shares!A349</f>
        <v/>
      </c>
      <c r="AA349" s="243" t="str">
        <f>Shares!B349</f>
        <v/>
      </c>
      <c r="AB349" s="243" t="str">
        <f>Shares!C349</f>
        <v/>
      </c>
      <c r="AC349" s="243" t="str">
        <f>Shares!D349</f>
        <v/>
      </c>
      <c r="AD349" s="243">
        <f>IF($Z349="",0,Shares!E349)</f>
        <v>0</v>
      </c>
      <c r="AE349" s="266">
        <f>IF($Z349="",0,Shares!J349*Shares!I349)</f>
        <v>0</v>
      </c>
      <c r="AF349" s="267">
        <f t="shared" si="41"/>
        <v>0</v>
      </c>
      <c r="AG349" s="266">
        <f>IF($Z349="",0,Shares!L349)</f>
        <v>0</v>
      </c>
      <c r="AH349" s="267">
        <f>IF($Z349="",0,Shares!M349)</f>
        <v>0</v>
      </c>
      <c r="AI349" s="243" t="str">
        <f>IF($Z349="","",RANK(AE349,$AE$2:$AE$1001)+COUNTIF($AE$2:AE349,AE349)-1)</f>
        <v/>
      </c>
      <c r="AJ349" s="243" t="str">
        <f>IF($AD349&lt;0,COUNT($AJ$1:AJ348)+1,"")</f>
        <v/>
      </c>
      <c r="AL349" s="243" t="str">
        <f>'All Ticker P&amp;L'!A349</f>
        <v/>
      </c>
      <c r="AM349" s="243" t="str">
        <f>'All Ticker P&amp;L'!B349</f>
        <v/>
      </c>
      <c r="AN349" s="243" t="str">
        <f>'All Ticker P&amp;L'!C349</f>
        <v/>
      </c>
      <c r="AO349" s="243" t="str">
        <f>'All Ticker P&amp;L'!D349</f>
        <v/>
      </c>
      <c r="AP349" s="243">
        <f>IF($AL349="",0,'All Ticker P&amp;L'!E349)</f>
        <v>0</v>
      </c>
      <c r="AQ349" s="266">
        <f>IF($AL349="",0,'All Ticker P&amp;L'!J349*'All Ticker P&amp;L'!I349)</f>
        <v>0</v>
      </c>
      <c r="AR349" s="266">
        <f>IF($AL349="",0,'All Ticker P&amp;L'!L349)</f>
        <v>0</v>
      </c>
      <c r="AS349" s="267">
        <f>IF($AL349="",0,'All Ticker P&amp;L'!M349)</f>
        <v>0</v>
      </c>
      <c r="AT349" s="243" t="str">
        <f>IF($AL349="","",RANK(AR349,$AR$2:$AR$1001)+COUNTIF($AR$2:AR349,AR349)-1)</f>
        <v/>
      </c>
      <c r="AU349" s="243" t="str">
        <f>IF($AL349="","",RANK(AV349,$AV$2:$AV$1001)+COUNTIF($AV$2:AV349,AV349)-1)</f>
        <v/>
      </c>
      <c r="AV349" s="266">
        <f t="shared" si="42"/>
        <v>0</v>
      </c>
    </row>
    <row r="350" spans="26:48" ht="15" customHeight="1" x14ac:dyDescent="0.2">
      <c r="Z350" s="243" t="str">
        <f>Shares!A350</f>
        <v/>
      </c>
      <c r="AA350" s="243" t="str">
        <f>Shares!B350</f>
        <v/>
      </c>
      <c r="AB350" s="243" t="str">
        <f>Shares!C350</f>
        <v/>
      </c>
      <c r="AC350" s="243" t="str">
        <f>Shares!D350</f>
        <v/>
      </c>
      <c r="AD350" s="243">
        <f>IF($Z350="",0,Shares!E350)</f>
        <v>0</v>
      </c>
      <c r="AE350" s="266">
        <f>IF($Z350="",0,Shares!J350*Shares!I350)</f>
        <v>0</v>
      </c>
      <c r="AF350" s="267">
        <f t="shared" si="41"/>
        <v>0</v>
      </c>
      <c r="AG350" s="266">
        <f>IF($Z350="",0,Shares!L350)</f>
        <v>0</v>
      </c>
      <c r="AH350" s="267">
        <f>IF($Z350="",0,Shares!M350)</f>
        <v>0</v>
      </c>
      <c r="AI350" s="243" t="str">
        <f>IF($Z350="","",RANK(AE350,$AE$2:$AE$1001)+COUNTIF($AE$2:AE350,AE350)-1)</f>
        <v/>
      </c>
      <c r="AJ350" s="243" t="str">
        <f>IF($AD350&lt;0,COUNT($AJ$1:AJ349)+1,"")</f>
        <v/>
      </c>
      <c r="AL350" s="243" t="str">
        <f>'All Ticker P&amp;L'!A350</f>
        <v/>
      </c>
      <c r="AM350" s="243" t="str">
        <f>'All Ticker P&amp;L'!B350</f>
        <v/>
      </c>
      <c r="AN350" s="243" t="str">
        <f>'All Ticker P&amp;L'!C350</f>
        <v/>
      </c>
      <c r="AO350" s="243" t="str">
        <f>'All Ticker P&amp;L'!D350</f>
        <v/>
      </c>
      <c r="AP350" s="243">
        <f>IF($AL350="",0,'All Ticker P&amp;L'!E350)</f>
        <v>0</v>
      </c>
      <c r="AQ350" s="266">
        <f>IF($AL350="",0,'All Ticker P&amp;L'!J350*'All Ticker P&amp;L'!I350)</f>
        <v>0</v>
      </c>
      <c r="AR350" s="266">
        <f>IF($AL350="",0,'All Ticker P&amp;L'!L350)</f>
        <v>0</v>
      </c>
      <c r="AS350" s="267">
        <f>IF($AL350="",0,'All Ticker P&amp;L'!M350)</f>
        <v>0</v>
      </c>
      <c r="AT350" s="243" t="str">
        <f>IF($AL350="","",RANK(AR350,$AR$2:$AR$1001)+COUNTIF($AR$2:AR350,AR350)-1)</f>
        <v/>
      </c>
      <c r="AU350" s="243" t="str">
        <f>IF($AL350="","",RANK(AV350,$AV$2:$AV$1001)+COUNTIF($AV$2:AV350,AV350)-1)</f>
        <v/>
      </c>
      <c r="AV350" s="266">
        <f t="shared" si="42"/>
        <v>0</v>
      </c>
    </row>
    <row r="351" spans="26:48" ht="15" customHeight="1" x14ac:dyDescent="0.2">
      <c r="Z351" s="243" t="str">
        <f>Shares!A351</f>
        <v/>
      </c>
      <c r="AA351" s="243" t="str">
        <f>Shares!B351</f>
        <v/>
      </c>
      <c r="AB351" s="243" t="str">
        <f>Shares!C351</f>
        <v/>
      </c>
      <c r="AC351" s="243" t="str">
        <f>Shares!D351</f>
        <v/>
      </c>
      <c r="AD351" s="243">
        <f>IF($Z351="",0,Shares!E351)</f>
        <v>0</v>
      </c>
      <c r="AE351" s="266">
        <f>IF($Z351="",0,Shares!J351*Shares!I351)</f>
        <v>0</v>
      </c>
      <c r="AF351" s="267">
        <f t="shared" si="41"/>
        <v>0</v>
      </c>
      <c r="AG351" s="266">
        <f>IF($Z351="",0,Shares!L351)</f>
        <v>0</v>
      </c>
      <c r="AH351" s="267">
        <f>IF($Z351="",0,Shares!M351)</f>
        <v>0</v>
      </c>
      <c r="AI351" s="243" t="str">
        <f>IF($Z351="","",RANK(AE351,$AE$2:$AE$1001)+COUNTIF($AE$2:AE351,AE351)-1)</f>
        <v/>
      </c>
      <c r="AJ351" s="243" t="str">
        <f>IF($AD351&lt;0,COUNT($AJ$1:AJ350)+1,"")</f>
        <v/>
      </c>
      <c r="AL351" s="243" t="str">
        <f>'All Ticker P&amp;L'!A351</f>
        <v/>
      </c>
      <c r="AM351" s="243" t="str">
        <f>'All Ticker P&amp;L'!B351</f>
        <v/>
      </c>
      <c r="AN351" s="243" t="str">
        <f>'All Ticker P&amp;L'!C351</f>
        <v/>
      </c>
      <c r="AO351" s="243" t="str">
        <f>'All Ticker P&amp;L'!D351</f>
        <v/>
      </c>
      <c r="AP351" s="243">
        <f>IF($AL351="",0,'All Ticker P&amp;L'!E351)</f>
        <v>0</v>
      </c>
      <c r="AQ351" s="266">
        <f>IF($AL351="",0,'All Ticker P&amp;L'!J351*'All Ticker P&amp;L'!I351)</f>
        <v>0</v>
      </c>
      <c r="AR351" s="266">
        <f>IF($AL351="",0,'All Ticker P&amp;L'!L351)</f>
        <v>0</v>
      </c>
      <c r="AS351" s="267">
        <f>IF($AL351="",0,'All Ticker P&amp;L'!M351)</f>
        <v>0</v>
      </c>
      <c r="AT351" s="243" t="str">
        <f>IF($AL351="","",RANK(AR351,$AR$2:$AR$1001)+COUNTIF($AR$2:AR351,AR351)-1)</f>
        <v/>
      </c>
      <c r="AU351" s="243" t="str">
        <f>IF($AL351="","",RANK(AV351,$AV$2:$AV$1001)+COUNTIF($AV$2:AV351,AV351)-1)</f>
        <v/>
      </c>
      <c r="AV351" s="266">
        <f t="shared" si="42"/>
        <v>0</v>
      </c>
    </row>
    <row r="352" spans="26:48" ht="15" customHeight="1" x14ac:dyDescent="0.2">
      <c r="Z352" s="243" t="str">
        <f>Shares!A352</f>
        <v/>
      </c>
      <c r="AA352" s="243" t="str">
        <f>Shares!B352</f>
        <v/>
      </c>
      <c r="AB352" s="243" t="str">
        <f>Shares!C352</f>
        <v/>
      </c>
      <c r="AC352" s="243" t="str">
        <f>Shares!D352</f>
        <v/>
      </c>
      <c r="AD352" s="243">
        <f>IF($Z352="",0,Shares!E352)</f>
        <v>0</v>
      </c>
      <c r="AE352" s="266">
        <f>IF($Z352="",0,Shares!J352*Shares!I352)</f>
        <v>0</v>
      </c>
      <c r="AF352" s="267">
        <f t="shared" si="41"/>
        <v>0</v>
      </c>
      <c r="AG352" s="266">
        <f>IF($Z352="",0,Shares!L352)</f>
        <v>0</v>
      </c>
      <c r="AH352" s="267">
        <f>IF($Z352="",0,Shares!M352)</f>
        <v>0</v>
      </c>
      <c r="AI352" s="243" t="str">
        <f>IF($Z352="","",RANK(AE352,$AE$2:$AE$1001)+COUNTIF($AE$2:AE352,AE352)-1)</f>
        <v/>
      </c>
      <c r="AJ352" s="243" t="str">
        <f>IF($AD352&lt;0,COUNT($AJ$1:AJ351)+1,"")</f>
        <v/>
      </c>
      <c r="AL352" s="243" t="str">
        <f>'All Ticker P&amp;L'!A352</f>
        <v/>
      </c>
      <c r="AM352" s="243" t="str">
        <f>'All Ticker P&amp;L'!B352</f>
        <v/>
      </c>
      <c r="AN352" s="243" t="str">
        <f>'All Ticker P&amp;L'!C352</f>
        <v/>
      </c>
      <c r="AO352" s="243" t="str">
        <f>'All Ticker P&amp;L'!D352</f>
        <v/>
      </c>
      <c r="AP352" s="243">
        <f>IF($AL352="",0,'All Ticker P&amp;L'!E352)</f>
        <v>0</v>
      </c>
      <c r="AQ352" s="266">
        <f>IF($AL352="",0,'All Ticker P&amp;L'!J352*'All Ticker P&amp;L'!I352)</f>
        <v>0</v>
      </c>
      <c r="AR352" s="266">
        <f>IF($AL352="",0,'All Ticker P&amp;L'!L352)</f>
        <v>0</v>
      </c>
      <c r="AS352" s="267">
        <f>IF($AL352="",0,'All Ticker P&amp;L'!M352)</f>
        <v>0</v>
      </c>
      <c r="AT352" s="243" t="str">
        <f>IF($AL352="","",RANK(AR352,$AR$2:$AR$1001)+COUNTIF($AR$2:AR352,AR352)-1)</f>
        <v/>
      </c>
      <c r="AU352" s="243" t="str">
        <f>IF($AL352="","",RANK(AV352,$AV$2:$AV$1001)+COUNTIF($AV$2:AV352,AV352)-1)</f>
        <v/>
      </c>
      <c r="AV352" s="266">
        <f t="shared" si="42"/>
        <v>0</v>
      </c>
    </row>
    <row r="353" spans="26:48" ht="15" customHeight="1" x14ac:dyDescent="0.2">
      <c r="Z353" s="243" t="str">
        <f>Shares!A353</f>
        <v/>
      </c>
      <c r="AA353" s="243" t="str">
        <f>Shares!B353</f>
        <v/>
      </c>
      <c r="AB353" s="243" t="str">
        <f>Shares!C353</f>
        <v/>
      </c>
      <c r="AC353" s="243" t="str">
        <f>Shares!D353</f>
        <v/>
      </c>
      <c r="AD353" s="243">
        <f>IF($Z353="",0,Shares!E353)</f>
        <v>0</v>
      </c>
      <c r="AE353" s="266">
        <f>IF($Z353="",0,Shares!J353*Shares!I353)</f>
        <v>0</v>
      </c>
      <c r="AF353" s="267">
        <f t="shared" si="41"/>
        <v>0</v>
      </c>
      <c r="AG353" s="266">
        <f>IF($Z353="",0,Shares!L353)</f>
        <v>0</v>
      </c>
      <c r="AH353" s="267">
        <f>IF($Z353="",0,Shares!M353)</f>
        <v>0</v>
      </c>
      <c r="AI353" s="243" t="str">
        <f>IF($Z353="","",RANK(AE353,$AE$2:$AE$1001)+COUNTIF($AE$2:AE353,AE353)-1)</f>
        <v/>
      </c>
      <c r="AJ353" s="243" t="str">
        <f>IF($AD353&lt;0,COUNT($AJ$1:AJ352)+1,"")</f>
        <v/>
      </c>
      <c r="AL353" s="243" t="str">
        <f>'All Ticker P&amp;L'!A353</f>
        <v/>
      </c>
      <c r="AM353" s="243" t="str">
        <f>'All Ticker P&amp;L'!B353</f>
        <v/>
      </c>
      <c r="AN353" s="243" t="str">
        <f>'All Ticker P&amp;L'!C353</f>
        <v/>
      </c>
      <c r="AO353" s="243" t="str">
        <f>'All Ticker P&amp;L'!D353</f>
        <v/>
      </c>
      <c r="AP353" s="243">
        <f>IF($AL353="",0,'All Ticker P&amp;L'!E353)</f>
        <v>0</v>
      </c>
      <c r="AQ353" s="266">
        <f>IF($AL353="",0,'All Ticker P&amp;L'!J353*'All Ticker P&amp;L'!I353)</f>
        <v>0</v>
      </c>
      <c r="AR353" s="266">
        <f>IF($AL353="",0,'All Ticker P&amp;L'!L353)</f>
        <v>0</v>
      </c>
      <c r="AS353" s="267">
        <f>IF($AL353="",0,'All Ticker P&amp;L'!M353)</f>
        <v>0</v>
      </c>
      <c r="AT353" s="243" t="str">
        <f>IF($AL353="","",RANK(AR353,$AR$2:$AR$1001)+COUNTIF($AR$2:AR353,AR353)-1)</f>
        <v/>
      </c>
      <c r="AU353" s="243" t="str">
        <f>IF($AL353="","",RANK(AV353,$AV$2:$AV$1001)+COUNTIF($AV$2:AV353,AV353)-1)</f>
        <v/>
      </c>
      <c r="AV353" s="266">
        <f t="shared" si="42"/>
        <v>0</v>
      </c>
    </row>
    <row r="354" spans="26:48" ht="15" customHeight="1" x14ac:dyDescent="0.2">
      <c r="Z354" s="243" t="str">
        <f>Shares!A354</f>
        <v/>
      </c>
      <c r="AA354" s="243" t="str">
        <f>Shares!B354</f>
        <v/>
      </c>
      <c r="AB354" s="243" t="str">
        <f>Shares!C354</f>
        <v/>
      </c>
      <c r="AC354" s="243" t="str">
        <f>Shares!D354</f>
        <v/>
      </c>
      <c r="AD354" s="243">
        <f>IF($Z354="",0,Shares!E354)</f>
        <v>0</v>
      </c>
      <c r="AE354" s="266">
        <f>IF($Z354="",0,Shares!J354*Shares!I354)</f>
        <v>0</v>
      </c>
      <c r="AF354" s="267">
        <f t="shared" si="41"/>
        <v>0</v>
      </c>
      <c r="AG354" s="266">
        <f>IF($Z354="",0,Shares!L354)</f>
        <v>0</v>
      </c>
      <c r="AH354" s="267">
        <f>IF($Z354="",0,Shares!M354)</f>
        <v>0</v>
      </c>
      <c r="AI354" s="243" t="str">
        <f>IF($Z354="","",RANK(AE354,$AE$2:$AE$1001)+COUNTIF($AE$2:AE354,AE354)-1)</f>
        <v/>
      </c>
      <c r="AJ354" s="243" t="str">
        <f>IF($AD354&lt;0,COUNT($AJ$1:AJ353)+1,"")</f>
        <v/>
      </c>
      <c r="AL354" s="243" t="str">
        <f>'All Ticker P&amp;L'!A354</f>
        <v/>
      </c>
      <c r="AM354" s="243" t="str">
        <f>'All Ticker P&amp;L'!B354</f>
        <v/>
      </c>
      <c r="AN354" s="243" t="str">
        <f>'All Ticker P&amp;L'!C354</f>
        <v/>
      </c>
      <c r="AO354" s="243" t="str">
        <f>'All Ticker P&amp;L'!D354</f>
        <v/>
      </c>
      <c r="AP354" s="243">
        <f>IF($AL354="",0,'All Ticker P&amp;L'!E354)</f>
        <v>0</v>
      </c>
      <c r="AQ354" s="266">
        <f>IF($AL354="",0,'All Ticker P&amp;L'!J354*'All Ticker P&amp;L'!I354)</f>
        <v>0</v>
      </c>
      <c r="AR354" s="266">
        <f>IF($AL354="",0,'All Ticker P&amp;L'!L354)</f>
        <v>0</v>
      </c>
      <c r="AS354" s="267">
        <f>IF($AL354="",0,'All Ticker P&amp;L'!M354)</f>
        <v>0</v>
      </c>
      <c r="AT354" s="243" t="str">
        <f>IF($AL354="","",RANK(AR354,$AR$2:$AR$1001)+COUNTIF($AR$2:AR354,AR354)-1)</f>
        <v/>
      </c>
      <c r="AU354" s="243" t="str">
        <f>IF($AL354="","",RANK(AV354,$AV$2:$AV$1001)+COUNTIF($AV$2:AV354,AV354)-1)</f>
        <v/>
      </c>
      <c r="AV354" s="266">
        <f t="shared" si="42"/>
        <v>0</v>
      </c>
    </row>
    <row r="355" spans="26:48" ht="15" customHeight="1" x14ac:dyDescent="0.2">
      <c r="Z355" s="243" t="str">
        <f>Shares!A355</f>
        <v/>
      </c>
      <c r="AA355" s="243" t="str">
        <f>Shares!B355</f>
        <v/>
      </c>
      <c r="AB355" s="243" t="str">
        <f>Shares!C355</f>
        <v/>
      </c>
      <c r="AC355" s="243" t="str">
        <f>Shares!D355</f>
        <v/>
      </c>
      <c r="AD355" s="243">
        <f>IF($Z355="",0,Shares!E355)</f>
        <v>0</v>
      </c>
      <c r="AE355" s="266">
        <f>IF($Z355="",0,Shares!J355*Shares!I355)</f>
        <v>0</v>
      </c>
      <c r="AF355" s="267">
        <f t="shared" si="41"/>
        <v>0</v>
      </c>
      <c r="AG355" s="266">
        <f>IF($Z355="",0,Shares!L355)</f>
        <v>0</v>
      </c>
      <c r="AH355" s="267">
        <f>IF($Z355="",0,Shares!M355)</f>
        <v>0</v>
      </c>
      <c r="AI355" s="243" t="str">
        <f>IF($Z355="","",RANK(AE355,$AE$2:$AE$1001)+COUNTIF($AE$2:AE355,AE355)-1)</f>
        <v/>
      </c>
      <c r="AJ355" s="243" t="str">
        <f>IF($AD355&lt;0,COUNT($AJ$1:AJ354)+1,"")</f>
        <v/>
      </c>
      <c r="AL355" s="243" t="str">
        <f>'All Ticker P&amp;L'!A355</f>
        <v/>
      </c>
      <c r="AM355" s="243" t="str">
        <f>'All Ticker P&amp;L'!B355</f>
        <v/>
      </c>
      <c r="AN355" s="243" t="str">
        <f>'All Ticker P&amp;L'!C355</f>
        <v/>
      </c>
      <c r="AO355" s="243" t="str">
        <f>'All Ticker P&amp;L'!D355</f>
        <v/>
      </c>
      <c r="AP355" s="243">
        <f>IF($AL355="",0,'All Ticker P&amp;L'!E355)</f>
        <v>0</v>
      </c>
      <c r="AQ355" s="266">
        <f>IF($AL355="",0,'All Ticker P&amp;L'!J355*'All Ticker P&amp;L'!I355)</f>
        <v>0</v>
      </c>
      <c r="AR355" s="266">
        <f>IF($AL355="",0,'All Ticker P&amp;L'!L355)</f>
        <v>0</v>
      </c>
      <c r="AS355" s="267">
        <f>IF($AL355="",0,'All Ticker P&amp;L'!M355)</f>
        <v>0</v>
      </c>
      <c r="AT355" s="243" t="str">
        <f>IF($AL355="","",RANK(AR355,$AR$2:$AR$1001)+COUNTIF($AR$2:AR355,AR355)-1)</f>
        <v/>
      </c>
      <c r="AU355" s="243" t="str">
        <f>IF($AL355="","",RANK(AV355,$AV$2:$AV$1001)+COUNTIF($AV$2:AV355,AV355)-1)</f>
        <v/>
      </c>
      <c r="AV355" s="266">
        <f t="shared" si="42"/>
        <v>0</v>
      </c>
    </row>
    <row r="356" spans="26:48" ht="15" customHeight="1" x14ac:dyDescent="0.2">
      <c r="Z356" s="243" t="str">
        <f>Shares!A356</f>
        <v/>
      </c>
      <c r="AA356" s="243" t="str">
        <f>Shares!B356</f>
        <v/>
      </c>
      <c r="AB356" s="243" t="str">
        <f>Shares!C356</f>
        <v/>
      </c>
      <c r="AC356" s="243" t="str">
        <f>Shares!D356</f>
        <v/>
      </c>
      <c r="AD356" s="243">
        <f>IF($Z356="",0,Shares!E356)</f>
        <v>0</v>
      </c>
      <c r="AE356" s="266">
        <f>IF($Z356="",0,Shares!J356*Shares!I356)</f>
        <v>0</v>
      </c>
      <c r="AF356" s="267">
        <f t="shared" si="41"/>
        <v>0</v>
      </c>
      <c r="AG356" s="266">
        <f>IF($Z356="",0,Shares!L356)</f>
        <v>0</v>
      </c>
      <c r="AH356" s="267">
        <f>IF($Z356="",0,Shares!M356)</f>
        <v>0</v>
      </c>
      <c r="AI356" s="243" t="str">
        <f>IF($Z356="","",RANK(AE356,$AE$2:$AE$1001)+COUNTIF($AE$2:AE356,AE356)-1)</f>
        <v/>
      </c>
      <c r="AJ356" s="243" t="str">
        <f>IF($AD356&lt;0,COUNT($AJ$1:AJ355)+1,"")</f>
        <v/>
      </c>
      <c r="AL356" s="243" t="str">
        <f>'All Ticker P&amp;L'!A356</f>
        <v/>
      </c>
      <c r="AM356" s="243" t="str">
        <f>'All Ticker P&amp;L'!B356</f>
        <v/>
      </c>
      <c r="AN356" s="243" t="str">
        <f>'All Ticker P&amp;L'!C356</f>
        <v/>
      </c>
      <c r="AO356" s="243" t="str">
        <f>'All Ticker P&amp;L'!D356</f>
        <v/>
      </c>
      <c r="AP356" s="243">
        <f>IF($AL356="",0,'All Ticker P&amp;L'!E356)</f>
        <v>0</v>
      </c>
      <c r="AQ356" s="266">
        <f>IF($AL356="",0,'All Ticker P&amp;L'!J356*'All Ticker P&amp;L'!I356)</f>
        <v>0</v>
      </c>
      <c r="AR356" s="266">
        <f>IF($AL356="",0,'All Ticker P&amp;L'!L356)</f>
        <v>0</v>
      </c>
      <c r="AS356" s="267">
        <f>IF($AL356="",0,'All Ticker P&amp;L'!M356)</f>
        <v>0</v>
      </c>
      <c r="AT356" s="243" t="str">
        <f>IF($AL356="","",RANK(AR356,$AR$2:$AR$1001)+COUNTIF($AR$2:AR356,AR356)-1)</f>
        <v/>
      </c>
      <c r="AU356" s="243" t="str">
        <f>IF($AL356="","",RANK(AV356,$AV$2:$AV$1001)+COUNTIF($AV$2:AV356,AV356)-1)</f>
        <v/>
      </c>
      <c r="AV356" s="266">
        <f t="shared" si="42"/>
        <v>0</v>
      </c>
    </row>
    <row r="357" spans="26:48" ht="15" customHeight="1" x14ac:dyDescent="0.2">
      <c r="Z357" s="243" t="str">
        <f>Shares!A357</f>
        <v/>
      </c>
      <c r="AA357" s="243" t="str">
        <f>Shares!B357</f>
        <v/>
      </c>
      <c r="AB357" s="243" t="str">
        <f>Shares!C357</f>
        <v/>
      </c>
      <c r="AC357" s="243" t="str">
        <f>Shares!D357</f>
        <v/>
      </c>
      <c r="AD357" s="243">
        <f>IF($Z357="",0,Shares!E357)</f>
        <v>0</v>
      </c>
      <c r="AE357" s="266">
        <f>IF($Z357="",0,Shares!J357*Shares!I357)</f>
        <v>0</v>
      </c>
      <c r="AF357" s="267">
        <f t="shared" si="41"/>
        <v>0</v>
      </c>
      <c r="AG357" s="266">
        <f>IF($Z357="",0,Shares!L357)</f>
        <v>0</v>
      </c>
      <c r="AH357" s="267">
        <f>IF($Z357="",0,Shares!M357)</f>
        <v>0</v>
      </c>
      <c r="AI357" s="243" t="str">
        <f>IF($Z357="","",RANK(AE357,$AE$2:$AE$1001)+COUNTIF($AE$2:AE357,AE357)-1)</f>
        <v/>
      </c>
      <c r="AJ357" s="243" t="str">
        <f>IF($AD357&lt;0,COUNT($AJ$1:AJ356)+1,"")</f>
        <v/>
      </c>
      <c r="AL357" s="243" t="str">
        <f>'All Ticker P&amp;L'!A357</f>
        <v/>
      </c>
      <c r="AM357" s="243" t="str">
        <f>'All Ticker P&amp;L'!B357</f>
        <v/>
      </c>
      <c r="AN357" s="243" t="str">
        <f>'All Ticker P&amp;L'!C357</f>
        <v/>
      </c>
      <c r="AO357" s="243" t="str">
        <f>'All Ticker P&amp;L'!D357</f>
        <v/>
      </c>
      <c r="AP357" s="243">
        <f>IF($AL357="",0,'All Ticker P&amp;L'!E357)</f>
        <v>0</v>
      </c>
      <c r="AQ357" s="266">
        <f>IF($AL357="",0,'All Ticker P&amp;L'!J357*'All Ticker P&amp;L'!I357)</f>
        <v>0</v>
      </c>
      <c r="AR357" s="266">
        <f>IF($AL357="",0,'All Ticker P&amp;L'!L357)</f>
        <v>0</v>
      </c>
      <c r="AS357" s="267">
        <f>IF($AL357="",0,'All Ticker P&amp;L'!M357)</f>
        <v>0</v>
      </c>
      <c r="AT357" s="243" t="str">
        <f>IF($AL357="","",RANK(AR357,$AR$2:$AR$1001)+COUNTIF($AR$2:AR357,AR357)-1)</f>
        <v/>
      </c>
      <c r="AU357" s="243" t="str">
        <f>IF($AL357="","",RANK(AV357,$AV$2:$AV$1001)+COUNTIF($AV$2:AV357,AV357)-1)</f>
        <v/>
      </c>
      <c r="AV357" s="266">
        <f t="shared" si="42"/>
        <v>0</v>
      </c>
    </row>
    <row r="358" spans="26:48" ht="15" customHeight="1" x14ac:dyDescent="0.2">
      <c r="Z358" s="243" t="str">
        <f>Shares!A358</f>
        <v/>
      </c>
      <c r="AA358" s="243" t="str">
        <f>Shares!B358</f>
        <v/>
      </c>
      <c r="AB358" s="243" t="str">
        <f>Shares!C358</f>
        <v/>
      </c>
      <c r="AC358" s="243" t="str">
        <f>Shares!D358</f>
        <v/>
      </c>
      <c r="AD358" s="243">
        <f>IF($Z358="",0,Shares!E358)</f>
        <v>0</v>
      </c>
      <c r="AE358" s="266">
        <f>IF($Z358="",0,Shares!J358*Shares!I358)</f>
        <v>0</v>
      </c>
      <c r="AF358" s="267">
        <f t="shared" si="41"/>
        <v>0</v>
      </c>
      <c r="AG358" s="266">
        <f>IF($Z358="",0,Shares!L358)</f>
        <v>0</v>
      </c>
      <c r="AH358" s="267">
        <f>IF($Z358="",0,Shares!M358)</f>
        <v>0</v>
      </c>
      <c r="AI358" s="243" t="str">
        <f>IF($Z358="","",RANK(AE358,$AE$2:$AE$1001)+COUNTIF($AE$2:AE358,AE358)-1)</f>
        <v/>
      </c>
      <c r="AJ358" s="243" t="str">
        <f>IF($AD358&lt;0,COUNT($AJ$1:AJ357)+1,"")</f>
        <v/>
      </c>
      <c r="AL358" s="243" t="str">
        <f>'All Ticker P&amp;L'!A358</f>
        <v/>
      </c>
      <c r="AM358" s="243" t="str">
        <f>'All Ticker P&amp;L'!B358</f>
        <v/>
      </c>
      <c r="AN358" s="243" t="str">
        <f>'All Ticker P&amp;L'!C358</f>
        <v/>
      </c>
      <c r="AO358" s="243" t="str">
        <f>'All Ticker P&amp;L'!D358</f>
        <v/>
      </c>
      <c r="AP358" s="243">
        <f>IF($AL358="",0,'All Ticker P&amp;L'!E358)</f>
        <v>0</v>
      </c>
      <c r="AQ358" s="266">
        <f>IF($AL358="",0,'All Ticker P&amp;L'!J358*'All Ticker P&amp;L'!I358)</f>
        <v>0</v>
      </c>
      <c r="AR358" s="266">
        <f>IF($AL358="",0,'All Ticker P&amp;L'!L358)</f>
        <v>0</v>
      </c>
      <c r="AS358" s="267">
        <f>IF($AL358="",0,'All Ticker P&amp;L'!M358)</f>
        <v>0</v>
      </c>
      <c r="AT358" s="243" t="str">
        <f>IF($AL358="","",RANK(AR358,$AR$2:$AR$1001)+COUNTIF($AR$2:AR358,AR358)-1)</f>
        <v/>
      </c>
      <c r="AU358" s="243" t="str">
        <f>IF($AL358="","",RANK(AV358,$AV$2:$AV$1001)+COUNTIF($AV$2:AV358,AV358)-1)</f>
        <v/>
      </c>
      <c r="AV358" s="266">
        <f t="shared" si="42"/>
        <v>0</v>
      </c>
    </row>
    <row r="359" spans="26:48" ht="15" customHeight="1" x14ac:dyDescent="0.2">
      <c r="Z359" s="243" t="str">
        <f>Shares!A359</f>
        <v/>
      </c>
      <c r="AA359" s="243" t="str">
        <f>Shares!B359</f>
        <v/>
      </c>
      <c r="AB359" s="243" t="str">
        <f>Shares!C359</f>
        <v/>
      </c>
      <c r="AC359" s="243" t="str">
        <f>Shares!D359</f>
        <v/>
      </c>
      <c r="AD359" s="243">
        <f>IF($Z359="",0,Shares!E359)</f>
        <v>0</v>
      </c>
      <c r="AE359" s="266">
        <f>IF($Z359="",0,Shares!J359*Shares!I359)</f>
        <v>0</v>
      </c>
      <c r="AF359" s="267">
        <f t="shared" si="41"/>
        <v>0</v>
      </c>
      <c r="AG359" s="266">
        <f>IF($Z359="",0,Shares!L359)</f>
        <v>0</v>
      </c>
      <c r="AH359" s="267">
        <f>IF($Z359="",0,Shares!M359)</f>
        <v>0</v>
      </c>
      <c r="AI359" s="243" t="str">
        <f>IF($Z359="","",RANK(AE359,$AE$2:$AE$1001)+COUNTIF($AE$2:AE359,AE359)-1)</f>
        <v/>
      </c>
      <c r="AJ359" s="243" t="str">
        <f>IF($AD359&lt;0,COUNT($AJ$1:AJ358)+1,"")</f>
        <v/>
      </c>
      <c r="AL359" s="243" t="str">
        <f>'All Ticker P&amp;L'!A359</f>
        <v/>
      </c>
      <c r="AM359" s="243" t="str">
        <f>'All Ticker P&amp;L'!B359</f>
        <v/>
      </c>
      <c r="AN359" s="243" t="str">
        <f>'All Ticker P&amp;L'!C359</f>
        <v/>
      </c>
      <c r="AO359" s="243" t="str">
        <f>'All Ticker P&amp;L'!D359</f>
        <v/>
      </c>
      <c r="AP359" s="243">
        <f>IF($AL359="",0,'All Ticker P&amp;L'!E359)</f>
        <v>0</v>
      </c>
      <c r="AQ359" s="266">
        <f>IF($AL359="",0,'All Ticker P&amp;L'!J359*'All Ticker P&amp;L'!I359)</f>
        <v>0</v>
      </c>
      <c r="AR359" s="266">
        <f>IF($AL359="",0,'All Ticker P&amp;L'!L359)</f>
        <v>0</v>
      </c>
      <c r="AS359" s="267">
        <f>IF($AL359="",0,'All Ticker P&amp;L'!M359)</f>
        <v>0</v>
      </c>
      <c r="AT359" s="243" t="str">
        <f>IF($AL359="","",RANK(AR359,$AR$2:$AR$1001)+COUNTIF($AR$2:AR359,AR359)-1)</f>
        <v/>
      </c>
      <c r="AU359" s="243" t="str">
        <f>IF($AL359="","",RANK(AV359,$AV$2:$AV$1001)+COUNTIF($AV$2:AV359,AV359)-1)</f>
        <v/>
      </c>
      <c r="AV359" s="266">
        <f t="shared" si="42"/>
        <v>0</v>
      </c>
    </row>
    <row r="360" spans="26:48" ht="15" customHeight="1" x14ac:dyDescent="0.2">
      <c r="Z360" s="243" t="str">
        <f>Shares!A360</f>
        <v/>
      </c>
      <c r="AA360" s="243" t="str">
        <f>Shares!B360</f>
        <v/>
      </c>
      <c r="AB360" s="243" t="str">
        <f>Shares!C360</f>
        <v/>
      </c>
      <c r="AC360" s="243" t="str">
        <f>Shares!D360</f>
        <v/>
      </c>
      <c r="AD360" s="243">
        <f>IF($Z360="",0,Shares!E360)</f>
        <v>0</v>
      </c>
      <c r="AE360" s="266">
        <f>IF($Z360="",0,Shares!J360*Shares!I360)</f>
        <v>0</v>
      </c>
      <c r="AF360" s="267">
        <f t="shared" si="41"/>
        <v>0</v>
      </c>
      <c r="AG360" s="266">
        <f>IF($Z360="",0,Shares!L360)</f>
        <v>0</v>
      </c>
      <c r="AH360" s="267">
        <f>IF($Z360="",0,Shares!M360)</f>
        <v>0</v>
      </c>
      <c r="AI360" s="243" t="str">
        <f>IF($Z360="","",RANK(AE360,$AE$2:$AE$1001)+COUNTIF($AE$2:AE360,AE360)-1)</f>
        <v/>
      </c>
      <c r="AJ360" s="243" t="str">
        <f>IF($AD360&lt;0,COUNT($AJ$1:AJ359)+1,"")</f>
        <v/>
      </c>
      <c r="AL360" s="243" t="str">
        <f>'All Ticker P&amp;L'!A360</f>
        <v/>
      </c>
      <c r="AM360" s="243" t="str">
        <f>'All Ticker P&amp;L'!B360</f>
        <v/>
      </c>
      <c r="AN360" s="243" t="str">
        <f>'All Ticker P&amp;L'!C360</f>
        <v/>
      </c>
      <c r="AO360" s="243" t="str">
        <f>'All Ticker P&amp;L'!D360</f>
        <v/>
      </c>
      <c r="AP360" s="243">
        <f>IF($AL360="",0,'All Ticker P&amp;L'!E360)</f>
        <v>0</v>
      </c>
      <c r="AQ360" s="266">
        <f>IF($AL360="",0,'All Ticker P&amp;L'!J360*'All Ticker P&amp;L'!I360)</f>
        <v>0</v>
      </c>
      <c r="AR360" s="266">
        <f>IF($AL360="",0,'All Ticker P&amp;L'!L360)</f>
        <v>0</v>
      </c>
      <c r="AS360" s="267">
        <f>IF($AL360="",0,'All Ticker P&amp;L'!M360)</f>
        <v>0</v>
      </c>
      <c r="AT360" s="243" t="str">
        <f>IF($AL360="","",RANK(AR360,$AR$2:$AR$1001)+COUNTIF($AR$2:AR360,AR360)-1)</f>
        <v/>
      </c>
      <c r="AU360" s="243" t="str">
        <f>IF($AL360="","",RANK(AV360,$AV$2:$AV$1001)+COUNTIF($AV$2:AV360,AV360)-1)</f>
        <v/>
      </c>
      <c r="AV360" s="266">
        <f t="shared" si="42"/>
        <v>0</v>
      </c>
    </row>
    <row r="361" spans="26:48" ht="15" customHeight="1" x14ac:dyDescent="0.2">
      <c r="Z361" s="243" t="str">
        <f>Shares!A361</f>
        <v/>
      </c>
      <c r="AA361" s="243" t="str">
        <f>Shares!B361</f>
        <v/>
      </c>
      <c r="AB361" s="243" t="str">
        <f>Shares!C361</f>
        <v/>
      </c>
      <c r="AC361" s="243" t="str">
        <f>Shares!D361</f>
        <v/>
      </c>
      <c r="AD361" s="243">
        <f>IF($Z361="",0,Shares!E361)</f>
        <v>0</v>
      </c>
      <c r="AE361" s="266">
        <f>IF($Z361="",0,Shares!J361*Shares!I361)</f>
        <v>0</v>
      </c>
      <c r="AF361" s="267">
        <f t="shared" si="41"/>
        <v>0</v>
      </c>
      <c r="AG361" s="266">
        <f>IF($Z361="",0,Shares!L361)</f>
        <v>0</v>
      </c>
      <c r="AH361" s="267">
        <f>IF($Z361="",0,Shares!M361)</f>
        <v>0</v>
      </c>
      <c r="AI361" s="243" t="str">
        <f>IF($Z361="","",RANK(AE361,$AE$2:$AE$1001)+COUNTIF($AE$2:AE361,AE361)-1)</f>
        <v/>
      </c>
      <c r="AJ361" s="243" t="str">
        <f>IF($AD361&lt;0,COUNT($AJ$1:AJ360)+1,"")</f>
        <v/>
      </c>
      <c r="AL361" s="243" t="str">
        <f>'All Ticker P&amp;L'!A361</f>
        <v/>
      </c>
      <c r="AM361" s="243" t="str">
        <f>'All Ticker P&amp;L'!B361</f>
        <v/>
      </c>
      <c r="AN361" s="243" t="str">
        <f>'All Ticker P&amp;L'!C361</f>
        <v/>
      </c>
      <c r="AO361" s="243" t="str">
        <f>'All Ticker P&amp;L'!D361</f>
        <v/>
      </c>
      <c r="AP361" s="243">
        <f>IF($AL361="",0,'All Ticker P&amp;L'!E361)</f>
        <v>0</v>
      </c>
      <c r="AQ361" s="266">
        <f>IF($AL361="",0,'All Ticker P&amp;L'!J361*'All Ticker P&amp;L'!I361)</f>
        <v>0</v>
      </c>
      <c r="AR361" s="266">
        <f>IF($AL361="",0,'All Ticker P&amp;L'!L361)</f>
        <v>0</v>
      </c>
      <c r="AS361" s="267">
        <f>IF($AL361="",0,'All Ticker P&amp;L'!M361)</f>
        <v>0</v>
      </c>
      <c r="AT361" s="243" t="str">
        <f>IF($AL361="","",RANK(AR361,$AR$2:$AR$1001)+COUNTIF($AR$2:AR361,AR361)-1)</f>
        <v/>
      </c>
      <c r="AU361" s="243" t="str">
        <f>IF($AL361="","",RANK(AV361,$AV$2:$AV$1001)+COUNTIF($AV$2:AV361,AV361)-1)</f>
        <v/>
      </c>
      <c r="AV361" s="266">
        <f t="shared" si="42"/>
        <v>0</v>
      </c>
    </row>
    <row r="362" spans="26:48" ht="15" customHeight="1" x14ac:dyDescent="0.2">
      <c r="Z362" s="243" t="str">
        <f>Shares!A362</f>
        <v/>
      </c>
      <c r="AA362" s="243" t="str">
        <f>Shares!B362</f>
        <v/>
      </c>
      <c r="AB362" s="243" t="str">
        <f>Shares!C362</f>
        <v/>
      </c>
      <c r="AC362" s="243" t="str">
        <f>Shares!D362</f>
        <v/>
      </c>
      <c r="AD362" s="243">
        <f>IF($Z362="",0,Shares!E362)</f>
        <v>0</v>
      </c>
      <c r="AE362" s="266">
        <f>IF($Z362="",0,Shares!J362*Shares!I362)</f>
        <v>0</v>
      </c>
      <c r="AF362" s="267">
        <f t="shared" si="41"/>
        <v>0</v>
      </c>
      <c r="AG362" s="266">
        <f>IF($Z362="",0,Shares!L362)</f>
        <v>0</v>
      </c>
      <c r="AH362" s="267">
        <f>IF($Z362="",0,Shares!M362)</f>
        <v>0</v>
      </c>
      <c r="AI362" s="243" t="str">
        <f>IF($Z362="","",RANK(AE362,$AE$2:$AE$1001)+COUNTIF($AE$2:AE362,AE362)-1)</f>
        <v/>
      </c>
      <c r="AJ362" s="243" t="str">
        <f>IF($AD362&lt;0,COUNT($AJ$1:AJ361)+1,"")</f>
        <v/>
      </c>
      <c r="AL362" s="243" t="str">
        <f>'All Ticker P&amp;L'!A362</f>
        <v/>
      </c>
      <c r="AM362" s="243" t="str">
        <f>'All Ticker P&amp;L'!B362</f>
        <v/>
      </c>
      <c r="AN362" s="243" t="str">
        <f>'All Ticker P&amp;L'!C362</f>
        <v/>
      </c>
      <c r="AO362" s="243" t="str">
        <f>'All Ticker P&amp;L'!D362</f>
        <v/>
      </c>
      <c r="AP362" s="243">
        <f>IF($AL362="",0,'All Ticker P&amp;L'!E362)</f>
        <v>0</v>
      </c>
      <c r="AQ362" s="266">
        <f>IF($AL362="",0,'All Ticker P&amp;L'!J362*'All Ticker P&amp;L'!I362)</f>
        <v>0</v>
      </c>
      <c r="AR362" s="266">
        <f>IF($AL362="",0,'All Ticker P&amp;L'!L362)</f>
        <v>0</v>
      </c>
      <c r="AS362" s="267">
        <f>IF($AL362="",0,'All Ticker P&amp;L'!M362)</f>
        <v>0</v>
      </c>
      <c r="AT362" s="243" t="str">
        <f>IF($AL362="","",RANK(AR362,$AR$2:$AR$1001)+COUNTIF($AR$2:AR362,AR362)-1)</f>
        <v/>
      </c>
      <c r="AU362" s="243" t="str">
        <f>IF($AL362="","",RANK(AV362,$AV$2:$AV$1001)+COUNTIF($AV$2:AV362,AV362)-1)</f>
        <v/>
      </c>
      <c r="AV362" s="266">
        <f t="shared" si="42"/>
        <v>0</v>
      </c>
    </row>
    <row r="363" spans="26:48" ht="15" customHeight="1" x14ac:dyDescent="0.2">
      <c r="Z363" s="243" t="str">
        <f>Shares!A363</f>
        <v/>
      </c>
      <c r="AA363" s="243" t="str">
        <f>Shares!B363</f>
        <v/>
      </c>
      <c r="AB363" s="243" t="str">
        <f>Shares!C363</f>
        <v/>
      </c>
      <c r="AC363" s="243" t="str">
        <f>Shares!D363</f>
        <v/>
      </c>
      <c r="AD363" s="243">
        <f>IF($Z363="",0,Shares!E363)</f>
        <v>0</v>
      </c>
      <c r="AE363" s="266">
        <f>IF($Z363="",0,Shares!J363*Shares!I363)</f>
        <v>0</v>
      </c>
      <c r="AF363" s="267">
        <f t="shared" si="41"/>
        <v>0</v>
      </c>
      <c r="AG363" s="266">
        <f>IF($Z363="",0,Shares!L363)</f>
        <v>0</v>
      </c>
      <c r="AH363" s="267">
        <f>IF($Z363="",0,Shares!M363)</f>
        <v>0</v>
      </c>
      <c r="AI363" s="243" t="str">
        <f>IF($Z363="","",RANK(AE363,$AE$2:$AE$1001)+COUNTIF($AE$2:AE363,AE363)-1)</f>
        <v/>
      </c>
      <c r="AJ363" s="243" t="str">
        <f>IF($AD363&lt;0,COUNT($AJ$1:AJ362)+1,"")</f>
        <v/>
      </c>
      <c r="AL363" s="243" t="str">
        <f>'All Ticker P&amp;L'!A363</f>
        <v/>
      </c>
      <c r="AM363" s="243" t="str">
        <f>'All Ticker P&amp;L'!B363</f>
        <v/>
      </c>
      <c r="AN363" s="243" t="str">
        <f>'All Ticker P&amp;L'!C363</f>
        <v/>
      </c>
      <c r="AO363" s="243" t="str">
        <f>'All Ticker P&amp;L'!D363</f>
        <v/>
      </c>
      <c r="AP363" s="243">
        <f>IF($AL363="",0,'All Ticker P&amp;L'!E363)</f>
        <v>0</v>
      </c>
      <c r="AQ363" s="266">
        <f>IF($AL363="",0,'All Ticker P&amp;L'!J363*'All Ticker P&amp;L'!I363)</f>
        <v>0</v>
      </c>
      <c r="AR363" s="266">
        <f>IF($AL363="",0,'All Ticker P&amp;L'!L363)</f>
        <v>0</v>
      </c>
      <c r="AS363" s="267">
        <f>IF($AL363="",0,'All Ticker P&amp;L'!M363)</f>
        <v>0</v>
      </c>
      <c r="AT363" s="243" t="str">
        <f>IF($AL363="","",RANK(AR363,$AR$2:$AR$1001)+COUNTIF($AR$2:AR363,AR363)-1)</f>
        <v/>
      </c>
      <c r="AU363" s="243" t="str">
        <f>IF($AL363="","",RANK(AV363,$AV$2:$AV$1001)+COUNTIF($AV$2:AV363,AV363)-1)</f>
        <v/>
      </c>
      <c r="AV363" s="266">
        <f t="shared" si="42"/>
        <v>0</v>
      </c>
    </row>
    <row r="364" spans="26:48" ht="15" customHeight="1" x14ac:dyDescent="0.2">
      <c r="Z364" s="243" t="str">
        <f>Shares!A364</f>
        <v/>
      </c>
      <c r="AA364" s="243" t="str">
        <f>Shares!B364</f>
        <v/>
      </c>
      <c r="AB364" s="243" t="str">
        <f>Shares!C364</f>
        <v/>
      </c>
      <c r="AC364" s="243" t="str">
        <f>Shares!D364</f>
        <v/>
      </c>
      <c r="AD364" s="243">
        <f>IF($Z364="",0,Shares!E364)</f>
        <v>0</v>
      </c>
      <c r="AE364" s="266">
        <f>IF($Z364="",0,Shares!J364*Shares!I364)</f>
        <v>0</v>
      </c>
      <c r="AF364" s="267">
        <f t="shared" si="41"/>
        <v>0</v>
      </c>
      <c r="AG364" s="266">
        <f>IF($Z364="",0,Shares!L364)</f>
        <v>0</v>
      </c>
      <c r="AH364" s="267">
        <f>IF($Z364="",0,Shares!M364)</f>
        <v>0</v>
      </c>
      <c r="AI364" s="243" t="str">
        <f>IF($Z364="","",RANK(AE364,$AE$2:$AE$1001)+COUNTIF($AE$2:AE364,AE364)-1)</f>
        <v/>
      </c>
      <c r="AJ364" s="243" t="str">
        <f>IF($AD364&lt;0,COUNT($AJ$1:AJ363)+1,"")</f>
        <v/>
      </c>
      <c r="AL364" s="243" t="str">
        <f>'All Ticker P&amp;L'!A364</f>
        <v/>
      </c>
      <c r="AM364" s="243" t="str">
        <f>'All Ticker P&amp;L'!B364</f>
        <v/>
      </c>
      <c r="AN364" s="243" t="str">
        <f>'All Ticker P&amp;L'!C364</f>
        <v/>
      </c>
      <c r="AO364" s="243" t="str">
        <f>'All Ticker P&amp;L'!D364</f>
        <v/>
      </c>
      <c r="AP364" s="243">
        <f>IF($AL364="",0,'All Ticker P&amp;L'!E364)</f>
        <v>0</v>
      </c>
      <c r="AQ364" s="266">
        <f>IF($AL364="",0,'All Ticker P&amp;L'!J364*'All Ticker P&amp;L'!I364)</f>
        <v>0</v>
      </c>
      <c r="AR364" s="266">
        <f>IF($AL364="",0,'All Ticker P&amp;L'!L364)</f>
        <v>0</v>
      </c>
      <c r="AS364" s="267">
        <f>IF($AL364="",0,'All Ticker P&amp;L'!M364)</f>
        <v>0</v>
      </c>
      <c r="AT364" s="243" t="str">
        <f>IF($AL364="","",RANK(AR364,$AR$2:$AR$1001)+COUNTIF($AR$2:AR364,AR364)-1)</f>
        <v/>
      </c>
      <c r="AU364" s="243" t="str">
        <f>IF($AL364="","",RANK(AV364,$AV$2:$AV$1001)+COUNTIF($AV$2:AV364,AV364)-1)</f>
        <v/>
      </c>
      <c r="AV364" s="266">
        <f t="shared" si="42"/>
        <v>0</v>
      </c>
    </row>
    <row r="365" spans="26:48" ht="15" customHeight="1" x14ac:dyDescent="0.2">
      <c r="Z365" s="243" t="str">
        <f>Shares!A365</f>
        <v/>
      </c>
      <c r="AA365" s="243" t="str">
        <f>Shares!B365</f>
        <v/>
      </c>
      <c r="AB365" s="243" t="str">
        <f>Shares!C365</f>
        <v/>
      </c>
      <c r="AC365" s="243" t="str">
        <f>Shares!D365</f>
        <v/>
      </c>
      <c r="AD365" s="243">
        <f>IF($Z365="",0,Shares!E365)</f>
        <v>0</v>
      </c>
      <c r="AE365" s="266">
        <f>IF($Z365="",0,Shares!J365*Shares!I365)</f>
        <v>0</v>
      </c>
      <c r="AF365" s="267">
        <f t="shared" si="41"/>
        <v>0</v>
      </c>
      <c r="AG365" s="266">
        <f>IF($Z365="",0,Shares!L365)</f>
        <v>0</v>
      </c>
      <c r="AH365" s="267">
        <f>IF($Z365="",0,Shares!M365)</f>
        <v>0</v>
      </c>
      <c r="AI365" s="243" t="str">
        <f>IF($Z365="","",RANK(AE365,$AE$2:$AE$1001)+COUNTIF($AE$2:AE365,AE365)-1)</f>
        <v/>
      </c>
      <c r="AJ365" s="243" t="str">
        <f>IF($AD365&lt;0,COUNT($AJ$1:AJ364)+1,"")</f>
        <v/>
      </c>
      <c r="AL365" s="243" t="str">
        <f>'All Ticker P&amp;L'!A365</f>
        <v/>
      </c>
      <c r="AM365" s="243" t="str">
        <f>'All Ticker P&amp;L'!B365</f>
        <v/>
      </c>
      <c r="AN365" s="243" t="str">
        <f>'All Ticker P&amp;L'!C365</f>
        <v/>
      </c>
      <c r="AO365" s="243" t="str">
        <f>'All Ticker P&amp;L'!D365</f>
        <v/>
      </c>
      <c r="AP365" s="243">
        <f>IF($AL365="",0,'All Ticker P&amp;L'!E365)</f>
        <v>0</v>
      </c>
      <c r="AQ365" s="266">
        <f>IF($AL365="",0,'All Ticker P&amp;L'!J365*'All Ticker P&amp;L'!I365)</f>
        <v>0</v>
      </c>
      <c r="AR365" s="266">
        <f>IF($AL365="",0,'All Ticker P&amp;L'!L365)</f>
        <v>0</v>
      </c>
      <c r="AS365" s="267">
        <f>IF($AL365="",0,'All Ticker P&amp;L'!M365)</f>
        <v>0</v>
      </c>
      <c r="AT365" s="243" t="str">
        <f>IF($AL365="","",RANK(AR365,$AR$2:$AR$1001)+COUNTIF($AR$2:AR365,AR365)-1)</f>
        <v/>
      </c>
      <c r="AU365" s="243" t="str">
        <f>IF($AL365="","",RANK(AV365,$AV$2:$AV$1001)+COUNTIF($AV$2:AV365,AV365)-1)</f>
        <v/>
      </c>
      <c r="AV365" s="266">
        <f t="shared" si="42"/>
        <v>0</v>
      </c>
    </row>
    <row r="366" spans="26:48" ht="15" customHeight="1" x14ac:dyDescent="0.2">
      <c r="Z366" s="243" t="str">
        <f>Shares!A366</f>
        <v/>
      </c>
      <c r="AA366" s="243" t="str">
        <f>Shares!B366</f>
        <v/>
      </c>
      <c r="AB366" s="243" t="str">
        <f>Shares!C366</f>
        <v/>
      </c>
      <c r="AC366" s="243" t="str">
        <f>Shares!D366</f>
        <v/>
      </c>
      <c r="AD366" s="243">
        <f>IF($Z366="",0,Shares!E366)</f>
        <v>0</v>
      </c>
      <c r="AE366" s="266">
        <f>IF($Z366="",0,Shares!J366*Shares!I366)</f>
        <v>0</v>
      </c>
      <c r="AF366" s="267">
        <f t="shared" si="41"/>
        <v>0</v>
      </c>
      <c r="AG366" s="266">
        <f>IF($Z366="",0,Shares!L366)</f>
        <v>0</v>
      </c>
      <c r="AH366" s="267">
        <f>IF($Z366="",0,Shares!M366)</f>
        <v>0</v>
      </c>
      <c r="AI366" s="243" t="str">
        <f>IF($Z366="","",RANK(AE366,$AE$2:$AE$1001)+COUNTIF($AE$2:AE366,AE366)-1)</f>
        <v/>
      </c>
      <c r="AJ366" s="243" t="str">
        <f>IF($AD366&lt;0,COUNT($AJ$1:AJ365)+1,"")</f>
        <v/>
      </c>
      <c r="AL366" s="243" t="str">
        <f>'All Ticker P&amp;L'!A366</f>
        <v/>
      </c>
      <c r="AM366" s="243" t="str">
        <f>'All Ticker P&amp;L'!B366</f>
        <v/>
      </c>
      <c r="AN366" s="243" t="str">
        <f>'All Ticker P&amp;L'!C366</f>
        <v/>
      </c>
      <c r="AO366" s="243" t="str">
        <f>'All Ticker P&amp;L'!D366</f>
        <v/>
      </c>
      <c r="AP366" s="243">
        <f>IF($AL366="",0,'All Ticker P&amp;L'!E366)</f>
        <v>0</v>
      </c>
      <c r="AQ366" s="266">
        <f>IF($AL366="",0,'All Ticker P&amp;L'!J366*'All Ticker P&amp;L'!I366)</f>
        <v>0</v>
      </c>
      <c r="AR366" s="266">
        <f>IF($AL366="",0,'All Ticker P&amp;L'!L366)</f>
        <v>0</v>
      </c>
      <c r="AS366" s="267">
        <f>IF($AL366="",0,'All Ticker P&amp;L'!M366)</f>
        <v>0</v>
      </c>
      <c r="AT366" s="243" t="str">
        <f>IF($AL366="","",RANK(AR366,$AR$2:$AR$1001)+COUNTIF($AR$2:AR366,AR366)-1)</f>
        <v/>
      </c>
      <c r="AU366" s="243" t="str">
        <f>IF($AL366="","",RANK(AV366,$AV$2:$AV$1001)+COUNTIF($AV$2:AV366,AV366)-1)</f>
        <v/>
      </c>
      <c r="AV366" s="266">
        <f t="shared" si="42"/>
        <v>0</v>
      </c>
    </row>
    <row r="367" spans="26:48" ht="15" customHeight="1" x14ac:dyDescent="0.2">
      <c r="Z367" s="243" t="str">
        <f>Shares!A367</f>
        <v/>
      </c>
      <c r="AA367" s="243" t="str">
        <f>Shares!B367</f>
        <v/>
      </c>
      <c r="AB367" s="243" t="str">
        <f>Shares!C367</f>
        <v/>
      </c>
      <c r="AC367" s="243" t="str">
        <f>Shares!D367</f>
        <v/>
      </c>
      <c r="AD367" s="243">
        <f>IF($Z367="",0,Shares!E367)</f>
        <v>0</v>
      </c>
      <c r="AE367" s="266">
        <f>IF($Z367="",0,Shares!J367*Shares!I367)</f>
        <v>0</v>
      </c>
      <c r="AF367" s="267">
        <f t="shared" si="41"/>
        <v>0</v>
      </c>
      <c r="AG367" s="266">
        <f>IF($Z367="",0,Shares!L367)</f>
        <v>0</v>
      </c>
      <c r="AH367" s="267">
        <f>IF($Z367="",0,Shares!M367)</f>
        <v>0</v>
      </c>
      <c r="AI367" s="243" t="str">
        <f>IF($Z367="","",RANK(AE367,$AE$2:$AE$1001)+COUNTIF($AE$2:AE367,AE367)-1)</f>
        <v/>
      </c>
      <c r="AJ367" s="243" t="str">
        <f>IF($AD367&lt;0,COUNT($AJ$1:AJ366)+1,"")</f>
        <v/>
      </c>
      <c r="AL367" s="243" t="str">
        <f>'All Ticker P&amp;L'!A367</f>
        <v/>
      </c>
      <c r="AM367" s="243" t="str">
        <f>'All Ticker P&amp;L'!B367</f>
        <v/>
      </c>
      <c r="AN367" s="243" t="str">
        <f>'All Ticker P&amp;L'!C367</f>
        <v/>
      </c>
      <c r="AO367" s="243" t="str">
        <f>'All Ticker P&amp;L'!D367</f>
        <v/>
      </c>
      <c r="AP367" s="243">
        <f>IF($AL367="",0,'All Ticker P&amp;L'!E367)</f>
        <v>0</v>
      </c>
      <c r="AQ367" s="266">
        <f>IF($AL367="",0,'All Ticker P&amp;L'!J367*'All Ticker P&amp;L'!I367)</f>
        <v>0</v>
      </c>
      <c r="AR367" s="266">
        <f>IF($AL367="",0,'All Ticker P&amp;L'!L367)</f>
        <v>0</v>
      </c>
      <c r="AS367" s="267">
        <f>IF($AL367="",0,'All Ticker P&amp;L'!M367)</f>
        <v>0</v>
      </c>
      <c r="AT367" s="243" t="str">
        <f>IF($AL367="","",RANK(AR367,$AR$2:$AR$1001)+COUNTIF($AR$2:AR367,AR367)-1)</f>
        <v/>
      </c>
      <c r="AU367" s="243" t="str">
        <f>IF($AL367="","",RANK(AV367,$AV$2:$AV$1001)+COUNTIF($AV$2:AV367,AV367)-1)</f>
        <v/>
      </c>
      <c r="AV367" s="266">
        <f t="shared" si="42"/>
        <v>0</v>
      </c>
    </row>
    <row r="368" spans="26:48" ht="15" customHeight="1" x14ac:dyDescent="0.2">
      <c r="Z368" s="243" t="str">
        <f>Shares!A368</f>
        <v/>
      </c>
      <c r="AA368" s="243" t="str">
        <f>Shares!B368</f>
        <v/>
      </c>
      <c r="AB368" s="243" t="str">
        <f>Shares!C368</f>
        <v/>
      </c>
      <c r="AC368" s="243" t="str">
        <f>Shares!D368</f>
        <v/>
      </c>
      <c r="AD368" s="243">
        <f>IF($Z368="",0,Shares!E368)</f>
        <v>0</v>
      </c>
      <c r="AE368" s="266">
        <f>IF($Z368="",0,Shares!J368*Shares!I368)</f>
        <v>0</v>
      </c>
      <c r="AF368" s="267">
        <f t="shared" si="41"/>
        <v>0</v>
      </c>
      <c r="AG368" s="266">
        <f>IF($Z368="",0,Shares!L368)</f>
        <v>0</v>
      </c>
      <c r="AH368" s="267">
        <f>IF($Z368="",0,Shares!M368)</f>
        <v>0</v>
      </c>
      <c r="AI368" s="243" t="str">
        <f>IF($Z368="","",RANK(AE368,$AE$2:$AE$1001)+COUNTIF($AE$2:AE368,AE368)-1)</f>
        <v/>
      </c>
      <c r="AJ368" s="243" t="str">
        <f>IF($AD368&lt;0,COUNT($AJ$1:AJ367)+1,"")</f>
        <v/>
      </c>
      <c r="AL368" s="243" t="str">
        <f>'All Ticker P&amp;L'!A368</f>
        <v/>
      </c>
      <c r="AM368" s="243" t="str">
        <f>'All Ticker P&amp;L'!B368</f>
        <v/>
      </c>
      <c r="AN368" s="243" t="str">
        <f>'All Ticker P&amp;L'!C368</f>
        <v/>
      </c>
      <c r="AO368" s="243" t="str">
        <f>'All Ticker P&amp;L'!D368</f>
        <v/>
      </c>
      <c r="AP368" s="243">
        <f>IF($AL368="",0,'All Ticker P&amp;L'!E368)</f>
        <v>0</v>
      </c>
      <c r="AQ368" s="266">
        <f>IF($AL368="",0,'All Ticker P&amp;L'!J368*'All Ticker P&amp;L'!I368)</f>
        <v>0</v>
      </c>
      <c r="AR368" s="266">
        <f>IF($AL368="",0,'All Ticker P&amp;L'!L368)</f>
        <v>0</v>
      </c>
      <c r="AS368" s="267">
        <f>IF($AL368="",0,'All Ticker P&amp;L'!M368)</f>
        <v>0</v>
      </c>
      <c r="AT368" s="243" t="str">
        <f>IF($AL368="","",RANK(AR368,$AR$2:$AR$1001)+COUNTIF($AR$2:AR368,AR368)-1)</f>
        <v/>
      </c>
      <c r="AU368" s="243" t="str">
        <f>IF($AL368="","",RANK(AV368,$AV$2:$AV$1001)+COUNTIF($AV$2:AV368,AV368)-1)</f>
        <v/>
      </c>
      <c r="AV368" s="266">
        <f t="shared" si="42"/>
        <v>0</v>
      </c>
    </row>
    <row r="369" spans="26:48" ht="15" customHeight="1" x14ac:dyDescent="0.2">
      <c r="Z369" s="243" t="str">
        <f>Shares!A369</f>
        <v/>
      </c>
      <c r="AA369" s="243" t="str">
        <f>Shares!B369</f>
        <v/>
      </c>
      <c r="AB369" s="243" t="str">
        <f>Shares!C369</f>
        <v/>
      </c>
      <c r="AC369" s="243" t="str">
        <f>Shares!D369</f>
        <v/>
      </c>
      <c r="AD369" s="243">
        <f>IF($Z369="",0,Shares!E369)</f>
        <v>0</v>
      </c>
      <c r="AE369" s="266">
        <f>IF($Z369="",0,Shares!J369*Shares!I369)</f>
        <v>0</v>
      </c>
      <c r="AF369" s="267">
        <f t="shared" si="41"/>
        <v>0</v>
      </c>
      <c r="AG369" s="266">
        <f>IF($Z369="",0,Shares!L369)</f>
        <v>0</v>
      </c>
      <c r="AH369" s="267">
        <f>IF($Z369="",0,Shares!M369)</f>
        <v>0</v>
      </c>
      <c r="AI369" s="243" t="str">
        <f>IF($Z369="","",RANK(AE369,$AE$2:$AE$1001)+COUNTIF($AE$2:AE369,AE369)-1)</f>
        <v/>
      </c>
      <c r="AJ369" s="243" t="str">
        <f>IF($AD369&lt;0,COUNT($AJ$1:AJ368)+1,"")</f>
        <v/>
      </c>
      <c r="AL369" s="243" t="str">
        <f>'All Ticker P&amp;L'!A369</f>
        <v/>
      </c>
      <c r="AM369" s="243" t="str">
        <f>'All Ticker P&amp;L'!B369</f>
        <v/>
      </c>
      <c r="AN369" s="243" t="str">
        <f>'All Ticker P&amp;L'!C369</f>
        <v/>
      </c>
      <c r="AO369" s="243" t="str">
        <f>'All Ticker P&amp;L'!D369</f>
        <v/>
      </c>
      <c r="AP369" s="243">
        <f>IF($AL369="",0,'All Ticker P&amp;L'!E369)</f>
        <v>0</v>
      </c>
      <c r="AQ369" s="266">
        <f>IF($AL369="",0,'All Ticker P&amp;L'!J369*'All Ticker P&amp;L'!I369)</f>
        <v>0</v>
      </c>
      <c r="AR369" s="266">
        <f>IF($AL369="",0,'All Ticker P&amp;L'!L369)</f>
        <v>0</v>
      </c>
      <c r="AS369" s="267">
        <f>IF($AL369="",0,'All Ticker P&amp;L'!M369)</f>
        <v>0</v>
      </c>
      <c r="AT369" s="243" t="str">
        <f>IF($AL369="","",RANK(AR369,$AR$2:$AR$1001)+COUNTIF($AR$2:AR369,AR369)-1)</f>
        <v/>
      </c>
      <c r="AU369" s="243" t="str">
        <f>IF($AL369="","",RANK(AV369,$AV$2:$AV$1001)+COUNTIF($AV$2:AV369,AV369)-1)</f>
        <v/>
      </c>
      <c r="AV369" s="266">
        <f t="shared" si="42"/>
        <v>0</v>
      </c>
    </row>
    <row r="370" spans="26:48" ht="15" customHeight="1" x14ac:dyDescent="0.2">
      <c r="Z370" s="243" t="str">
        <f>Shares!A370</f>
        <v/>
      </c>
      <c r="AA370" s="243" t="str">
        <f>Shares!B370</f>
        <v/>
      </c>
      <c r="AB370" s="243" t="str">
        <f>Shares!C370</f>
        <v/>
      </c>
      <c r="AC370" s="243" t="str">
        <f>Shares!D370</f>
        <v/>
      </c>
      <c r="AD370" s="243">
        <f>IF($Z370="",0,Shares!E370)</f>
        <v>0</v>
      </c>
      <c r="AE370" s="266">
        <f>IF($Z370="",0,Shares!J370*Shares!I370)</f>
        <v>0</v>
      </c>
      <c r="AF370" s="267">
        <f t="shared" si="41"/>
        <v>0</v>
      </c>
      <c r="AG370" s="266">
        <f>IF($Z370="",0,Shares!L370)</f>
        <v>0</v>
      </c>
      <c r="AH370" s="267">
        <f>IF($Z370="",0,Shares!M370)</f>
        <v>0</v>
      </c>
      <c r="AI370" s="243" t="str">
        <f>IF($Z370="","",RANK(AE370,$AE$2:$AE$1001)+COUNTIF($AE$2:AE370,AE370)-1)</f>
        <v/>
      </c>
      <c r="AJ370" s="243" t="str">
        <f>IF($AD370&lt;0,COUNT($AJ$1:AJ369)+1,"")</f>
        <v/>
      </c>
      <c r="AL370" s="243" t="str">
        <f>'All Ticker P&amp;L'!A370</f>
        <v/>
      </c>
      <c r="AM370" s="243" t="str">
        <f>'All Ticker P&amp;L'!B370</f>
        <v/>
      </c>
      <c r="AN370" s="243" t="str">
        <f>'All Ticker P&amp;L'!C370</f>
        <v/>
      </c>
      <c r="AO370" s="243" t="str">
        <f>'All Ticker P&amp;L'!D370</f>
        <v/>
      </c>
      <c r="AP370" s="243">
        <f>IF($AL370="",0,'All Ticker P&amp;L'!E370)</f>
        <v>0</v>
      </c>
      <c r="AQ370" s="266">
        <f>IF($AL370="",0,'All Ticker P&amp;L'!J370*'All Ticker P&amp;L'!I370)</f>
        <v>0</v>
      </c>
      <c r="AR370" s="266">
        <f>IF($AL370="",0,'All Ticker P&amp;L'!L370)</f>
        <v>0</v>
      </c>
      <c r="AS370" s="267">
        <f>IF($AL370="",0,'All Ticker P&amp;L'!M370)</f>
        <v>0</v>
      </c>
      <c r="AT370" s="243" t="str">
        <f>IF($AL370="","",RANK(AR370,$AR$2:$AR$1001)+COUNTIF($AR$2:AR370,AR370)-1)</f>
        <v/>
      </c>
      <c r="AU370" s="243" t="str">
        <f>IF($AL370="","",RANK(AV370,$AV$2:$AV$1001)+COUNTIF($AV$2:AV370,AV370)-1)</f>
        <v/>
      </c>
      <c r="AV370" s="266">
        <f t="shared" si="42"/>
        <v>0</v>
      </c>
    </row>
    <row r="371" spans="26:48" ht="15" customHeight="1" x14ac:dyDescent="0.2">
      <c r="Z371" s="243" t="str">
        <f>Shares!A371</f>
        <v/>
      </c>
      <c r="AA371" s="243" t="str">
        <f>Shares!B371</f>
        <v/>
      </c>
      <c r="AB371" s="243" t="str">
        <f>Shares!C371</f>
        <v/>
      </c>
      <c r="AC371" s="243" t="str">
        <f>Shares!D371</f>
        <v/>
      </c>
      <c r="AD371" s="243">
        <f>IF($Z371="",0,Shares!E371)</f>
        <v>0</v>
      </c>
      <c r="AE371" s="266">
        <f>IF($Z371="",0,Shares!J371*Shares!I371)</f>
        <v>0</v>
      </c>
      <c r="AF371" s="267">
        <f t="shared" si="41"/>
        <v>0</v>
      </c>
      <c r="AG371" s="266">
        <f>IF($Z371="",0,Shares!L371)</f>
        <v>0</v>
      </c>
      <c r="AH371" s="267">
        <f>IF($Z371="",0,Shares!M371)</f>
        <v>0</v>
      </c>
      <c r="AI371" s="243" t="str">
        <f>IF($Z371="","",RANK(AE371,$AE$2:$AE$1001)+COUNTIF($AE$2:AE371,AE371)-1)</f>
        <v/>
      </c>
      <c r="AJ371" s="243" t="str">
        <f>IF($AD371&lt;0,COUNT($AJ$1:AJ370)+1,"")</f>
        <v/>
      </c>
      <c r="AL371" s="243" t="str">
        <f>'All Ticker P&amp;L'!A371</f>
        <v/>
      </c>
      <c r="AM371" s="243" t="str">
        <f>'All Ticker P&amp;L'!B371</f>
        <v/>
      </c>
      <c r="AN371" s="243" t="str">
        <f>'All Ticker P&amp;L'!C371</f>
        <v/>
      </c>
      <c r="AO371" s="243" t="str">
        <f>'All Ticker P&amp;L'!D371</f>
        <v/>
      </c>
      <c r="AP371" s="243">
        <f>IF($AL371="",0,'All Ticker P&amp;L'!E371)</f>
        <v>0</v>
      </c>
      <c r="AQ371" s="266">
        <f>IF($AL371="",0,'All Ticker P&amp;L'!J371*'All Ticker P&amp;L'!I371)</f>
        <v>0</v>
      </c>
      <c r="AR371" s="266">
        <f>IF($AL371="",0,'All Ticker P&amp;L'!L371)</f>
        <v>0</v>
      </c>
      <c r="AS371" s="267">
        <f>IF($AL371="",0,'All Ticker P&amp;L'!M371)</f>
        <v>0</v>
      </c>
      <c r="AT371" s="243" t="str">
        <f>IF($AL371="","",RANK(AR371,$AR$2:$AR$1001)+COUNTIF($AR$2:AR371,AR371)-1)</f>
        <v/>
      </c>
      <c r="AU371" s="243" t="str">
        <f>IF($AL371="","",RANK(AV371,$AV$2:$AV$1001)+COUNTIF($AV$2:AV371,AV371)-1)</f>
        <v/>
      </c>
      <c r="AV371" s="266">
        <f t="shared" si="42"/>
        <v>0</v>
      </c>
    </row>
    <row r="372" spans="26:48" ht="15" customHeight="1" x14ac:dyDescent="0.2">
      <c r="Z372" s="243" t="str">
        <f>Shares!A372</f>
        <v/>
      </c>
      <c r="AA372" s="243" t="str">
        <f>Shares!B372</f>
        <v/>
      </c>
      <c r="AB372" s="243" t="str">
        <f>Shares!C372</f>
        <v/>
      </c>
      <c r="AC372" s="243" t="str">
        <f>Shares!D372</f>
        <v/>
      </c>
      <c r="AD372" s="243">
        <f>IF($Z372="",0,Shares!E372)</f>
        <v>0</v>
      </c>
      <c r="AE372" s="266">
        <f>IF($Z372="",0,Shares!J372*Shares!I372)</f>
        <v>0</v>
      </c>
      <c r="AF372" s="267">
        <f t="shared" si="41"/>
        <v>0</v>
      </c>
      <c r="AG372" s="266">
        <f>IF($Z372="",0,Shares!L372)</f>
        <v>0</v>
      </c>
      <c r="AH372" s="267">
        <f>IF($Z372="",0,Shares!M372)</f>
        <v>0</v>
      </c>
      <c r="AI372" s="243" t="str">
        <f>IF($Z372="","",RANK(AE372,$AE$2:$AE$1001)+COUNTIF($AE$2:AE372,AE372)-1)</f>
        <v/>
      </c>
      <c r="AJ372" s="243" t="str">
        <f>IF($AD372&lt;0,COUNT($AJ$1:AJ371)+1,"")</f>
        <v/>
      </c>
      <c r="AL372" s="243" t="str">
        <f>'All Ticker P&amp;L'!A372</f>
        <v/>
      </c>
      <c r="AM372" s="243" t="str">
        <f>'All Ticker P&amp;L'!B372</f>
        <v/>
      </c>
      <c r="AN372" s="243" t="str">
        <f>'All Ticker P&amp;L'!C372</f>
        <v/>
      </c>
      <c r="AO372" s="243" t="str">
        <f>'All Ticker P&amp;L'!D372</f>
        <v/>
      </c>
      <c r="AP372" s="243">
        <f>IF($AL372="",0,'All Ticker P&amp;L'!E372)</f>
        <v>0</v>
      </c>
      <c r="AQ372" s="266">
        <f>IF($AL372="",0,'All Ticker P&amp;L'!J372*'All Ticker P&amp;L'!I372)</f>
        <v>0</v>
      </c>
      <c r="AR372" s="266">
        <f>IF($AL372="",0,'All Ticker P&amp;L'!L372)</f>
        <v>0</v>
      </c>
      <c r="AS372" s="267">
        <f>IF($AL372="",0,'All Ticker P&amp;L'!M372)</f>
        <v>0</v>
      </c>
      <c r="AT372" s="243" t="str">
        <f>IF($AL372="","",RANK(AR372,$AR$2:$AR$1001)+COUNTIF($AR$2:AR372,AR372)-1)</f>
        <v/>
      </c>
      <c r="AU372" s="243" t="str">
        <f>IF($AL372="","",RANK(AV372,$AV$2:$AV$1001)+COUNTIF($AV$2:AV372,AV372)-1)</f>
        <v/>
      </c>
      <c r="AV372" s="266">
        <f t="shared" si="42"/>
        <v>0</v>
      </c>
    </row>
    <row r="373" spans="26:48" ht="15" customHeight="1" x14ac:dyDescent="0.2">
      <c r="Z373" s="243" t="str">
        <f>Shares!A373</f>
        <v/>
      </c>
      <c r="AA373" s="243" t="str">
        <f>Shares!B373</f>
        <v/>
      </c>
      <c r="AB373" s="243" t="str">
        <f>Shares!C373</f>
        <v/>
      </c>
      <c r="AC373" s="243" t="str">
        <f>Shares!D373</f>
        <v/>
      </c>
      <c r="AD373" s="243">
        <f>IF($Z373="",0,Shares!E373)</f>
        <v>0</v>
      </c>
      <c r="AE373" s="266">
        <f>IF($Z373="",0,Shares!J373*Shares!I373)</f>
        <v>0</v>
      </c>
      <c r="AF373" s="267">
        <f t="shared" si="41"/>
        <v>0</v>
      </c>
      <c r="AG373" s="266">
        <f>IF($Z373="",0,Shares!L373)</f>
        <v>0</v>
      </c>
      <c r="AH373" s="267">
        <f>IF($Z373="",0,Shares!M373)</f>
        <v>0</v>
      </c>
      <c r="AI373" s="243" t="str">
        <f>IF($Z373="","",RANK(AE373,$AE$2:$AE$1001)+COUNTIF($AE$2:AE373,AE373)-1)</f>
        <v/>
      </c>
      <c r="AJ373" s="243" t="str">
        <f>IF($AD373&lt;0,COUNT($AJ$1:AJ372)+1,"")</f>
        <v/>
      </c>
      <c r="AL373" s="243" t="str">
        <f>'All Ticker P&amp;L'!A373</f>
        <v/>
      </c>
      <c r="AM373" s="243" t="str">
        <f>'All Ticker P&amp;L'!B373</f>
        <v/>
      </c>
      <c r="AN373" s="243" t="str">
        <f>'All Ticker P&amp;L'!C373</f>
        <v/>
      </c>
      <c r="AO373" s="243" t="str">
        <f>'All Ticker P&amp;L'!D373</f>
        <v/>
      </c>
      <c r="AP373" s="243">
        <f>IF($AL373="",0,'All Ticker P&amp;L'!E373)</f>
        <v>0</v>
      </c>
      <c r="AQ373" s="266">
        <f>IF($AL373="",0,'All Ticker P&amp;L'!J373*'All Ticker P&amp;L'!I373)</f>
        <v>0</v>
      </c>
      <c r="AR373" s="266">
        <f>IF($AL373="",0,'All Ticker P&amp;L'!L373)</f>
        <v>0</v>
      </c>
      <c r="AS373" s="267">
        <f>IF($AL373="",0,'All Ticker P&amp;L'!M373)</f>
        <v>0</v>
      </c>
      <c r="AT373" s="243" t="str">
        <f>IF($AL373="","",RANK(AR373,$AR$2:$AR$1001)+COUNTIF($AR$2:AR373,AR373)-1)</f>
        <v/>
      </c>
      <c r="AU373" s="243" t="str">
        <f>IF($AL373="","",RANK(AV373,$AV$2:$AV$1001)+COUNTIF($AV$2:AV373,AV373)-1)</f>
        <v/>
      </c>
      <c r="AV373" s="266">
        <f t="shared" si="42"/>
        <v>0</v>
      </c>
    </row>
    <row r="374" spans="26:48" ht="15" customHeight="1" x14ac:dyDescent="0.2">
      <c r="Z374" s="243" t="str">
        <f>Shares!A374</f>
        <v/>
      </c>
      <c r="AA374" s="243" t="str">
        <f>Shares!B374</f>
        <v/>
      </c>
      <c r="AB374" s="243" t="str">
        <f>Shares!C374</f>
        <v/>
      </c>
      <c r="AC374" s="243" t="str">
        <f>Shares!D374</f>
        <v/>
      </c>
      <c r="AD374" s="243">
        <f>IF($Z374="",0,Shares!E374)</f>
        <v>0</v>
      </c>
      <c r="AE374" s="266">
        <f>IF($Z374="",0,Shares!J374*Shares!I374)</f>
        <v>0</v>
      </c>
      <c r="AF374" s="267">
        <f t="shared" si="41"/>
        <v>0</v>
      </c>
      <c r="AG374" s="266">
        <f>IF($Z374="",0,Shares!L374)</f>
        <v>0</v>
      </c>
      <c r="AH374" s="267">
        <f>IF($Z374="",0,Shares!M374)</f>
        <v>0</v>
      </c>
      <c r="AI374" s="243" t="str">
        <f>IF($Z374="","",RANK(AE374,$AE$2:$AE$1001)+COUNTIF($AE$2:AE374,AE374)-1)</f>
        <v/>
      </c>
      <c r="AJ374" s="243" t="str">
        <f>IF($AD374&lt;0,COUNT($AJ$1:AJ373)+1,"")</f>
        <v/>
      </c>
      <c r="AL374" s="243" t="str">
        <f>'All Ticker P&amp;L'!A374</f>
        <v/>
      </c>
      <c r="AM374" s="243" t="str">
        <f>'All Ticker P&amp;L'!B374</f>
        <v/>
      </c>
      <c r="AN374" s="243" t="str">
        <f>'All Ticker P&amp;L'!C374</f>
        <v/>
      </c>
      <c r="AO374" s="243" t="str">
        <f>'All Ticker P&amp;L'!D374</f>
        <v/>
      </c>
      <c r="AP374" s="243">
        <f>IF($AL374="",0,'All Ticker P&amp;L'!E374)</f>
        <v>0</v>
      </c>
      <c r="AQ374" s="266">
        <f>IF($AL374="",0,'All Ticker P&amp;L'!J374*'All Ticker P&amp;L'!I374)</f>
        <v>0</v>
      </c>
      <c r="AR374" s="266">
        <f>IF($AL374="",0,'All Ticker P&amp;L'!L374)</f>
        <v>0</v>
      </c>
      <c r="AS374" s="267">
        <f>IF($AL374="",0,'All Ticker P&amp;L'!M374)</f>
        <v>0</v>
      </c>
      <c r="AT374" s="243" t="str">
        <f>IF($AL374="","",RANK(AR374,$AR$2:$AR$1001)+COUNTIF($AR$2:AR374,AR374)-1)</f>
        <v/>
      </c>
      <c r="AU374" s="243" t="str">
        <f>IF($AL374="","",RANK(AV374,$AV$2:$AV$1001)+COUNTIF($AV$2:AV374,AV374)-1)</f>
        <v/>
      </c>
      <c r="AV374" s="266">
        <f t="shared" si="42"/>
        <v>0</v>
      </c>
    </row>
    <row r="375" spans="26:48" ht="15" customHeight="1" x14ac:dyDescent="0.2">
      <c r="Z375" s="243" t="str">
        <f>Shares!A375</f>
        <v/>
      </c>
      <c r="AA375" s="243" t="str">
        <f>Shares!B375</f>
        <v/>
      </c>
      <c r="AB375" s="243" t="str">
        <f>Shares!C375</f>
        <v/>
      </c>
      <c r="AC375" s="243" t="str">
        <f>Shares!D375</f>
        <v/>
      </c>
      <c r="AD375" s="243">
        <f>IF($Z375="",0,Shares!E375)</f>
        <v>0</v>
      </c>
      <c r="AE375" s="266">
        <f>IF($Z375="",0,Shares!J375*Shares!I375)</f>
        <v>0</v>
      </c>
      <c r="AF375" s="267">
        <f t="shared" si="41"/>
        <v>0</v>
      </c>
      <c r="AG375" s="266">
        <f>IF($Z375="",0,Shares!L375)</f>
        <v>0</v>
      </c>
      <c r="AH375" s="267">
        <f>IF($Z375="",0,Shares!M375)</f>
        <v>0</v>
      </c>
      <c r="AI375" s="243" t="str">
        <f>IF($Z375="","",RANK(AE375,$AE$2:$AE$1001)+COUNTIF($AE$2:AE375,AE375)-1)</f>
        <v/>
      </c>
      <c r="AJ375" s="243" t="str">
        <f>IF($AD375&lt;0,COUNT($AJ$1:AJ374)+1,"")</f>
        <v/>
      </c>
      <c r="AL375" s="243" t="str">
        <f>'All Ticker P&amp;L'!A375</f>
        <v/>
      </c>
      <c r="AM375" s="243" t="str">
        <f>'All Ticker P&amp;L'!B375</f>
        <v/>
      </c>
      <c r="AN375" s="243" t="str">
        <f>'All Ticker P&amp;L'!C375</f>
        <v/>
      </c>
      <c r="AO375" s="243" t="str">
        <f>'All Ticker P&amp;L'!D375</f>
        <v/>
      </c>
      <c r="AP375" s="243">
        <f>IF($AL375="",0,'All Ticker P&amp;L'!E375)</f>
        <v>0</v>
      </c>
      <c r="AQ375" s="266">
        <f>IF($AL375="",0,'All Ticker P&amp;L'!J375*'All Ticker P&amp;L'!I375)</f>
        <v>0</v>
      </c>
      <c r="AR375" s="266">
        <f>IF($AL375="",0,'All Ticker P&amp;L'!L375)</f>
        <v>0</v>
      </c>
      <c r="AS375" s="267">
        <f>IF($AL375="",0,'All Ticker P&amp;L'!M375)</f>
        <v>0</v>
      </c>
      <c r="AT375" s="243" t="str">
        <f>IF($AL375="","",RANK(AR375,$AR$2:$AR$1001)+COUNTIF($AR$2:AR375,AR375)-1)</f>
        <v/>
      </c>
      <c r="AU375" s="243" t="str">
        <f>IF($AL375="","",RANK(AV375,$AV$2:$AV$1001)+COUNTIF($AV$2:AV375,AV375)-1)</f>
        <v/>
      </c>
      <c r="AV375" s="266">
        <f t="shared" si="42"/>
        <v>0</v>
      </c>
    </row>
    <row r="376" spans="26:48" ht="15" customHeight="1" x14ac:dyDescent="0.2">
      <c r="Z376" s="243" t="str">
        <f>Shares!A376</f>
        <v/>
      </c>
      <c r="AA376" s="243" t="str">
        <f>Shares!B376</f>
        <v/>
      </c>
      <c r="AB376" s="243" t="str">
        <f>Shares!C376</f>
        <v/>
      </c>
      <c r="AC376" s="243" t="str">
        <f>Shares!D376</f>
        <v/>
      </c>
      <c r="AD376" s="243">
        <f>IF($Z376="",0,Shares!E376)</f>
        <v>0</v>
      </c>
      <c r="AE376" s="266">
        <f>IF($Z376="",0,Shares!J376*Shares!I376)</f>
        <v>0</v>
      </c>
      <c r="AF376" s="267">
        <f t="shared" si="41"/>
        <v>0</v>
      </c>
      <c r="AG376" s="266">
        <f>IF($Z376="",0,Shares!L376)</f>
        <v>0</v>
      </c>
      <c r="AH376" s="267">
        <f>IF($Z376="",0,Shares!M376)</f>
        <v>0</v>
      </c>
      <c r="AI376" s="243" t="str">
        <f>IF($Z376="","",RANK(AE376,$AE$2:$AE$1001)+COUNTIF($AE$2:AE376,AE376)-1)</f>
        <v/>
      </c>
      <c r="AJ376" s="243" t="str">
        <f>IF($AD376&lt;0,COUNT($AJ$1:AJ375)+1,"")</f>
        <v/>
      </c>
      <c r="AL376" s="243" t="str">
        <f>'All Ticker P&amp;L'!A376</f>
        <v/>
      </c>
      <c r="AM376" s="243" t="str">
        <f>'All Ticker P&amp;L'!B376</f>
        <v/>
      </c>
      <c r="AN376" s="243" t="str">
        <f>'All Ticker P&amp;L'!C376</f>
        <v/>
      </c>
      <c r="AO376" s="243" t="str">
        <f>'All Ticker P&amp;L'!D376</f>
        <v/>
      </c>
      <c r="AP376" s="243">
        <f>IF($AL376="",0,'All Ticker P&amp;L'!E376)</f>
        <v>0</v>
      </c>
      <c r="AQ376" s="266">
        <f>IF($AL376="",0,'All Ticker P&amp;L'!J376*'All Ticker P&amp;L'!I376)</f>
        <v>0</v>
      </c>
      <c r="AR376" s="266">
        <f>IF($AL376="",0,'All Ticker P&amp;L'!L376)</f>
        <v>0</v>
      </c>
      <c r="AS376" s="267">
        <f>IF($AL376="",0,'All Ticker P&amp;L'!M376)</f>
        <v>0</v>
      </c>
      <c r="AT376" s="243" t="str">
        <f>IF($AL376="","",RANK(AR376,$AR$2:$AR$1001)+COUNTIF($AR$2:AR376,AR376)-1)</f>
        <v/>
      </c>
      <c r="AU376" s="243" t="str">
        <f>IF($AL376="","",RANK(AV376,$AV$2:$AV$1001)+COUNTIF($AV$2:AV376,AV376)-1)</f>
        <v/>
      </c>
      <c r="AV376" s="266">
        <f t="shared" si="42"/>
        <v>0</v>
      </c>
    </row>
    <row r="377" spans="26:48" ht="15" customHeight="1" x14ac:dyDescent="0.2">
      <c r="Z377" s="243" t="str">
        <f>Shares!A377</f>
        <v/>
      </c>
      <c r="AA377" s="243" t="str">
        <f>Shares!B377</f>
        <v/>
      </c>
      <c r="AB377" s="243" t="str">
        <f>Shares!C377</f>
        <v/>
      </c>
      <c r="AC377" s="243" t="str">
        <f>Shares!D377</f>
        <v/>
      </c>
      <c r="AD377" s="243">
        <f>IF($Z377="",0,Shares!E377)</f>
        <v>0</v>
      </c>
      <c r="AE377" s="266">
        <f>IF($Z377="",0,Shares!J377*Shares!I377)</f>
        <v>0</v>
      </c>
      <c r="AF377" s="267">
        <f t="shared" si="41"/>
        <v>0</v>
      </c>
      <c r="AG377" s="266">
        <f>IF($Z377="",0,Shares!L377)</f>
        <v>0</v>
      </c>
      <c r="AH377" s="267">
        <f>IF($Z377="",0,Shares!M377)</f>
        <v>0</v>
      </c>
      <c r="AI377" s="243" t="str">
        <f>IF($Z377="","",RANK(AE377,$AE$2:$AE$1001)+COUNTIF($AE$2:AE377,AE377)-1)</f>
        <v/>
      </c>
      <c r="AJ377" s="243" t="str">
        <f>IF($AD377&lt;0,COUNT($AJ$1:AJ376)+1,"")</f>
        <v/>
      </c>
      <c r="AL377" s="243" t="str">
        <f>'All Ticker P&amp;L'!A377</f>
        <v/>
      </c>
      <c r="AM377" s="243" t="str">
        <f>'All Ticker P&amp;L'!B377</f>
        <v/>
      </c>
      <c r="AN377" s="243" t="str">
        <f>'All Ticker P&amp;L'!C377</f>
        <v/>
      </c>
      <c r="AO377" s="243" t="str">
        <f>'All Ticker P&amp;L'!D377</f>
        <v/>
      </c>
      <c r="AP377" s="243">
        <f>IF($AL377="",0,'All Ticker P&amp;L'!E377)</f>
        <v>0</v>
      </c>
      <c r="AQ377" s="266">
        <f>IF($AL377="",0,'All Ticker P&amp;L'!J377*'All Ticker P&amp;L'!I377)</f>
        <v>0</v>
      </c>
      <c r="AR377" s="266">
        <f>IF($AL377="",0,'All Ticker P&amp;L'!L377)</f>
        <v>0</v>
      </c>
      <c r="AS377" s="267">
        <f>IF($AL377="",0,'All Ticker P&amp;L'!M377)</f>
        <v>0</v>
      </c>
      <c r="AT377" s="243" t="str">
        <f>IF($AL377="","",RANK(AR377,$AR$2:$AR$1001)+COUNTIF($AR$2:AR377,AR377)-1)</f>
        <v/>
      </c>
      <c r="AU377" s="243" t="str">
        <f>IF($AL377="","",RANK(AV377,$AV$2:$AV$1001)+COUNTIF($AV$2:AV377,AV377)-1)</f>
        <v/>
      </c>
      <c r="AV377" s="266">
        <f t="shared" si="42"/>
        <v>0</v>
      </c>
    </row>
    <row r="378" spans="26:48" ht="15" customHeight="1" x14ac:dyDescent="0.2">
      <c r="Z378" s="243" t="str">
        <f>Shares!A378</f>
        <v/>
      </c>
      <c r="AA378" s="243" t="str">
        <f>Shares!B378</f>
        <v/>
      </c>
      <c r="AB378" s="243" t="str">
        <f>Shares!C378</f>
        <v/>
      </c>
      <c r="AC378" s="243" t="str">
        <f>Shares!D378</f>
        <v/>
      </c>
      <c r="AD378" s="243">
        <f>IF($Z378="",0,Shares!E378)</f>
        <v>0</v>
      </c>
      <c r="AE378" s="266">
        <f>IF($Z378="",0,Shares!J378*Shares!I378)</f>
        <v>0</v>
      </c>
      <c r="AF378" s="267">
        <f t="shared" si="41"/>
        <v>0</v>
      </c>
      <c r="AG378" s="266">
        <f>IF($Z378="",0,Shares!L378)</f>
        <v>0</v>
      </c>
      <c r="AH378" s="267">
        <f>IF($Z378="",0,Shares!M378)</f>
        <v>0</v>
      </c>
      <c r="AI378" s="243" t="str">
        <f>IF($Z378="","",RANK(AE378,$AE$2:$AE$1001)+COUNTIF($AE$2:AE378,AE378)-1)</f>
        <v/>
      </c>
      <c r="AJ378" s="243" t="str">
        <f>IF($AD378&lt;0,COUNT($AJ$1:AJ377)+1,"")</f>
        <v/>
      </c>
      <c r="AL378" s="243" t="str">
        <f>'All Ticker P&amp;L'!A378</f>
        <v/>
      </c>
      <c r="AM378" s="243" t="str">
        <f>'All Ticker P&amp;L'!B378</f>
        <v/>
      </c>
      <c r="AN378" s="243" t="str">
        <f>'All Ticker P&amp;L'!C378</f>
        <v/>
      </c>
      <c r="AO378" s="243" t="str">
        <f>'All Ticker P&amp;L'!D378</f>
        <v/>
      </c>
      <c r="AP378" s="243">
        <f>IF($AL378="",0,'All Ticker P&amp;L'!E378)</f>
        <v>0</v>
      </c>
      <c r="AQ378" s="266">
        <f>IF($AL378="",0,'All Ticker P&amp;L'!J378*'All Ticker P&amp;L'!I378)</f>
        <v>0</v>
      </c>
      <c r="AR378" s="266">
        <f>IF($AL378="",0,'All Ticker P&amp;L'!L378)</f>
        <v>0</v>
      </c>
      <c r="AS378" s="267">
        <f>IF($AL378="",0,'All Ticker P&amp;L'!M378)</f>
        <v>0</v>
      </c>
      <c r="AT378" s="243" t="str">
        <f>IF($AL378="","",RANK(AR378,$AR$2:$AR$1001)+COUNTIF($AR$2:AR378,AR378)-1)</f>
        <v/>
      </c>
      <c r="AU378" s="243" t="str">
        <f>IF($AL378="","",RANK(AV378,$AV$2:$AV$1001)+COUNTIF($AV$2:AV378,AV378)-1)</f>
        <v/>
      </c>
      <c r="AV378" s="266">
        <f t="shared" si="42"/>
        <v>0</v>
      </c>
    </row>
    <row r="379" spans="26:48" ht="15" customHeight="1" x14ac:dyDescent="0.2">
      <c r="Z379" s="243" t="str">
        <f>Shares!A379</f>
        <v/>
      </c>
      <c r="AA379" s="243" t="str">
        <f>Shares!B379</f>
        <v/>
      </c>
      <c r="AB379" s="243" t="str">
        <f>Shares!C379</f>
        <v/>
      </c>
      <c r="AC379" s="243" t="str">
        <f>Shares!D379</f>
        <v/>
      </c>
      <c r="AD379" s="243">
        <f>IF($Z379="",0,Shares!E379)</f>
        <v>0</v>
      </c>
      <c r="AE379" s="266">
        <f>IF($Z379="",0,Shares!J379*Shares!I379)</f>
        <v>0</v>
      </c>
      <c r="AF379" s="267">
        <f t="shared" si="41"/>
        <v>0</v>
      </c>
      <c r="AG379" s="266">
        <f>IF($Z379="",0,Shares!L379)</f>
        <v>0</v>
      </c>
      <c r="AH379" s="267">
        <f>IF($Z379="",0,Shares!M379)</f>
        <v>0</v>
      </c>
      <c r="AI379" s="243" t="str">
        <f>IF($Z379="","",RANK(AE379,$AE$2:$AE$1001)+COUNTIF($AE$2:AE379,AE379)-1)</f>
        <v/>
      </c>
      <c r="AJ379" s="243" t="str">
        <f>IF($AD379&lt;0,COUNT($AJ$1:AJ378)+1,"")</f>
        <v/>
      </c>
      <c r="AL379" s="243" t="str">
        <f>'All Ticker P&amp;L'!A379</f>
        <v/>
      </c>
      <c r="AM379" s="243" t="str">
        <f>'All Ticker P&amp;L'!B379</f>
        <v/>
      </c>
      <c r="AN379" s="243" t="str">
        <f>'All Ticker P&amp;L'!C379</f>
        <v/>
      </c>
      <c r="AO379" s="243" t="str">
        <f>'All Ticker P&amp;L'!D379</f>
        <v/>
      </c>
      <c r="AP379" s="243">
        <f>IF($AL379="",0,'All Ticker P&amp;L'!E379)</f>
        <v>0</v>
      </c>
      <c r="AQ379" s="266">
        <f>IF($AL379="",0,'All Ticker P&amp;L'!J379*'All Ticker P&amp;L'!I379)</f>
        <v>0</v>
      </c>
      <c r="AR379" s="266">
        <f>IF($AL379="",0,'All Ticker P&amp;L'!L379)</f>
        <v>0</v>
      </c>
      <c r="AS379" s="267">
        <f>IF($AL379="",0,'All Ticker P&amp;L'!M379)</f>
        <v>0</v>
      </c>
      <c r="AT379" s="243" t="str">
        <f>IF($AL379="","",RANK(AR379,$AR$2:$AR$1001)+COUNTIF($AR$2:AR379,AR379)-1)</f>
        <v/>
      </c>
      <c r="AU379" s="243" t="str">
        <f>IF($AL379="","",RANK(AV379,$AV$2:$AV$1001)+COUNTIF($AV$2:AV379,AV379)-1)</f>
        <v/>
      </c>
      <c r="AV379" s="266">
        <f t="shared" si="42"/>
        <v>0</v>
      </c>
    </row>
    <row r="380" spans="26:48" ht="15" customHeight="1" x14ac:dyDescent="0.2">
      <c r="Z380" s="243" t="str">
        <f>Shares!A380</f>
        <v/>
      </c>
      <c r="AA380" s="243" t="str">
        <f>Shares!B380</f>
        <v/>
      </c>
      <c r="AB380" s="243" t="str">
        <f>Shares!C380</f>
        <v/>
      </c>
      <c r="AC380" s="243" t="str">
        <f>Shares!D380</f>
        <v/>
      </c>
      <c r="AD380" s="243">
        <f>IF($Z380="",0,Shares!E380)</f>
        <v>0</v>
      </c>
      <c r="AE380" s="266">
        <f>IF($Z380="",0,Shares!J380*Shares!I380)</f>
        <v>0</v>
      </c>
      <c r="AF380" s="267">
        <f t="shared" si="41"/>
        <v>0</v>
      </c>
      <c r="AG380" s="266">
        <f>IF($Z380="",0,Shares!L380)</f>
        <v>0</v>
      </c>
      <c r="AH380" s="267">
        <f>IF($Z380="",0,Shares!M380)</f>
        <v>0</v>
      </c>
      <c r="AI380" s="243" t="str">
        <f>IF($Z380="","",RANK(AE380,$AE$2:$AE$1001)+COUNTIF($AE$2:AE380,AE380)-1)</f>
        <v/>
      </c>
      <c r="AJ380" s="243" t="str">
        <f>IF($AD380&lt;0,COUNT($AJ$1:AJ379)+1,"")</f>
        <v/>
      </c>
      <c r="AL380" s="243" t="str">
        <f>'All Ticker P&amp;L'!A380</f>
        <v/>
      </c>
      <c r="AM380" s="243" t="str">
        <f>'All Ticker P&amp;L'!B380</f>
        <v/>
      </c>
      <c r="AN380" s="243" t="str">
        <f>'All Ticker P&amp;L'!C380</f>
        <v/>
      </c>
      <c r="AO380" s="243" t="str">
        <f>'All Ticker P&amp;L'!D380</f>
        <v/>
      </c>
      <c r="AP380" s="243">
        <f>IF($AL380="",0,'All Ticker P&amp;L'!E380)</f>
        <v>0</v>
      </c>
      <c r="AQ380" s="266">
        <f>IF($AL380="",0,'All Ticker P&amp;L'!J380*'All Ticker P&amp;L'!I380)</f>
        <v>0</v>
      </c>
      <c r="AR380" s="266">
        <f>IF($AL380="",0,'All Ticker P&amp;L'!L380)</f>
        <v>0</v>
      </c>
      <c r="AS380" s="267">
        <f>IF($AL380="",0,'All Ticker P&amp;L'!M380)</f>
        <v>0</v>
      </c>
      <c r="AT380" s="243" t="str">
        <f>IF($AL380="","",RANK(AR380,$AR$2:$AR$1001)+COUNTIF($AR$2:AR380,AR380)-1)</f>
        <v/>
      </c>
      <c r="AU380" s="243" t="str">
        <f>IF($AL380="","",RANK(AV380,$AV$2:$AV$1001)+COUNTIF($AV$2:AV380,AV380)-1)</f>
        <v/>
      </c>
      <c r="AV380" s="266">
        <f t="shared" si="42"/>
        <v>0</v>
      </c>
    </row>
    <row r="381" spans="26:48" ht="15" customHeight="1" x14ac:dyDescent="0.2">
      <c r="Z381" s="243" t="str">
        <f>Shares!A381</f>
        <v/>
      </c>
      <c r="AA381" s="243" t="str">
        <f>Shares!B381</f>
        <v/>
      </c>
      <c r="AB381" s="243" t="str">
        <f>Shares!C381</f>
        <v/>
      </c>
      <c r="AC381" s="243" t="str">
        <f>Shares!D381</f>
        <v/>
      </c>
      <c r="AD381" s="243">
        <f>IF($Z381="",0,Shares!E381)</f>
        <v>0</v>
      </c>
      <c r="AE381" s="266">
        <f>IF($Z381="",0,Shares!J381*Shares!I381)</f>
        <v>0</v>
      </c>
      <c r="AF381" s="267">
        <f t="shared" si="41"/>
        <v>0</v>
      </c>
      <c r="AG381" s="266">
        <f>IF($Z381="",0,Shares!L381)</f>
        <v>0</v>
      </c>
      <c r="AH381" s="267">
        <f>IF($Z381="",0,Shares!M381)</f>
        <v>0</v>
      </c>
      <c r="AI381" s="243" t="str">
        <f>IF($Z381="","",RANK(AE381,$AE$2:$AE$1001)+COUNTIF($AE$2:AE381,AE381)-1)</f>
        <v/>
      </c>
      <c r="AJ381" s="243" t="str">
        <f>IF($AD381&lt;0,COUNT($AJ$1:AJ380)+1,"")</f>
        <v/>
      </c>
      <c r="AL381" s="243" t="str">
        <f>'All Ticker P&amp;L'!A381</f>
        <v/>
      </c>
      <c r="AM381" s="243" t="str">
        <f>'All Ticker P&amp;L'!B381</f>
        <v/>
      </c>
      <c r="AN381" s="243" t="str">
        <f>'All Ticker P&amp;L'!C381</f>
        <v/>
      </c>
      <c r="AO381" s="243" t="str">
        <f>'All Ticker P&amp;L'!D381</f>
        <v/>
      </c>
      <c r="AP381" s="243">
        <f>IF($AL381="",0,'All Ticker P&amp;L'!E381)</f>
        <v>0</v>
      </c>
      <c r="AQ381" s="266">
        <f>IF($AL381="",0,'All Ticker P&amp;L'!J381*'All Ticker P&amp;L'!I381)</f>
        <v>0</v>
      </c>
      <c r="AR381" s="266">
        <f>IF($AL381="",0,'All Ticker P&amp;L'!L381)</f>
        <v>0</v>
      </c>
      <c r="AS381" s="267">
        <f>IF($AL381="",0,'All Ticker P&amp;L'!M381)</f>
        <v>0</v>
      </c>
      <c r="AT381" s="243" t="str">
        <f>IF($AL381="","",RANK(AR381,$AR$2:$AR$1001)+COUNTIF($AR$2:AR381,AR381)-1)</f>
        <v/>
      </c>
      <c r="AU381" s="243" t="str">
        <f>IF($AL381="","",RANK(AV381,$AV$2:$AV$1001)+COUNTIF($AV$2:AV381,AV381)-1)</f>
        <v/>
      </c>
      <c r="AV381" s="266">
        <f t="shared" si="42"/>
        <v>0</v>
      </c>
    </row>
    <row r="382" spans="26:48" ht="15" customHeight="1" x14ac:dyDescent="0.2">
      <c r="Z382" s="243" t="str">
        <f>Shares!A382</f>
        <v/>
      </c>
      <c r="AA382" s="243" t="str">
        <f>Shares!B382</f>
        <v/>
      </c>
      <c r="AB382" s="243" t="str">
        <f>Shares!C382</f>
        <v/>
      </c>
      <c r="AC382" s="243" t="str">
        <f>Shares!D382</f>
        <v/>
      </c>
      <c r="AD382" s="243">
        <f>IF($Z382="",0,Shares!E382)</f>
        <v>0</v>
      </c>
      <c r="AE382" s="266">
        <f>IF($Z382="",0,Shares!J382*Shares!I382)</f>
        <v>0</v>
      </c>
      <c r="AF382" s="267">
        <f t="shared" si="41"/>
        <v>0</v>
      </c>
      <c r="AG382" s="266">
        <f>IF($Z382="",0,Shares!L382)</f>
        <v>0</v>
      </c>
      <c r="AH382" s="267">
        <f>IF($Z382="",0,Shares!M382)</f>
        <v>0</v>
      </c>
      <c r="AI382" s="243" t="str">
        <f>IF($Z382="","",RANK(AE382,$AE$2:$AE$1001)+COUNTIF($AE$2:AE382,AE382)-1)</f>
        <v/>
      </c>
      <c r="AJ382" s="243" t="str">
        <f>IF($AD382&lt;0,COUNT($AJ$1:AJ381)+1,"")</f>
        <v/>
      </c>
      <c r="AL382" s="243" t="str">
        <f>'All Ticker P&amp;L'!A382</f>
        <v/>
      </c>
      <c r="AM382" s="243" t="str">
        <f>'All Ticker P&amp;L'!B382</f>
        <v/>
      </c>
      <c r="AN382" s="243" t="str">
        <f>'All Ticker P&amp;L'!C382</f>
        <v/>
      </c>
      <c r="AO382" s="243" t="str">
        <f>'All Ticker P&amp;L'!D382</f>
        <v/>
      </c>
      <c r="AP382" s="243">
        <f>IF($AL382="",0,'All Ticker P&amp;L'!E382)</f>
        <v>0</v>
      </c>
      <c r="AQ382" s="266">
        <f>IF($AL382="",0,'All Ticker P&amp;L'!J382*'All Ticker P&amp;L'!I382)</f>
        <v>0</v>
      </c>
      <c r="AR382" s="266">
        <f>IF($AL382="",0,'All Ticker P&amp;L'!L382)</f>
        <v>0</v>
      </c>
      <c r="AS382" s="267">
        <f>IF($AL382="",0,'All Ticker P&amp;L'!M382)</f>
        <v>0</v>
      </c>
      <c r="AT382" s="243" t="str">
        <f>IF($AL382="","",RANK(AR382,$AR$2:$AR$1001)+COUNTIF($AR$2:AR382,AR382)-1)</f>
        <v/>
      </c>
      <c r="AU382" s="243" t="str">
        <f>IF($AL382="","",RANK(AV382,$AV$2:$AV$1001)+COUNTIF($AV$2:AV382,AV382)-1)</f>
        <v/>
      </c>
      <c r="AV382" s="266">
        <f t="shared" si="42"/>
        <v>0</v>
      </c>
    </row>
    <row r="383" spans="26:48" ht="15" customHeight="1" x14ac:dyDescent="0.2">
      <c r="Z383" s="243" t="str">
        <f>Shares!A383</f>
        <v/>
      </c>
      <c r="AA383" s="243" t="str">
        <f>Shares!B383</f>
        <v/>
      </c>
      <c r="AB383" s="243" t="str">
        <f>Shares!C383</f>
        <v/>
      </c>
      <c r="AC383" s="243" t="str">
        <f>Shares!D383</f>
        <v/>
      </c>
      <c r="AD383" s="243">
        <f>IF($Z383="",0,Shares!E383)</f>
        <v>0</v>
      </c>
      <c r="AE383" s="266">
        <f>IF($Z383="",0,Shares!J383*Shares!I383)</f>
        <v>0</v>
      </c>
      <c r="AF383" s="267">
        <f t="shared" si="41"/>
        <v>0</v>
      </c>
      <c r="AG383" s="266">
        <f>IF($Z383="",0,Shares!L383)</f>
        <v>0</v>
      </c>
      <c r="AH383" s="267">
        <f>IF($Z383="",0,Shares!M383)</f>
        <v>0</v>
      </c>
      <c r="AI383" s="243" t="str">
        <f>IF($Z383="","",RANK(AE383,$AE$2:$AE$1001)+COUNTIF($AE$2:AE383,AE383)-1)</f>
        <v/>
      </c>
      <c r="AJ383" s="243" t="str">
        <f>IF($AD383&lt;0,COUNT($AJ$1:AJ382)+1,"")</f>
        <v/>
      </c>
      <c r="AL383" s="243" t="str">
        <f>'All Ticker P&amp;L'!A383</f>
        <v/>
      </c>
      <c r="AM383" s="243" t="str">
        <f>'All Ticker P&amp;L'!B383</f>
        <v/>
      </c>
      <c r="AN383" s="243" t="str">
        <f>'All Ticker P&amp;L'!C383</f>
        <v/>
      </c>
      <c r="AO383" s="243" t="str">
        <f>'All Ticker P&amp;L'!D383</f>
        <v/>
      </c>
      <c r="AP383" s="243">
        <f>IF($AL383="",0,'All Ticker P&amp;L'!E383)</f>
        <v>0</v>
      </c>
      <c r="AQ383" s="266">
        <f>IF($AL383="",0,'All Ticker P&amp;L'!J383*'All Ticker P&amp;L'!I383)</f>
        <v>0</v>
      </c>
      <c r="AR383" s="266">
        <f>IF($AL383="",0,'All Ticker P&amp;L'!L383)</f>
        <v>0</v>
      </c>
      <c r="AS383" s="267">
        <f>IF($AL383="",0,'All Ticker P&amp;L'!M383)</f>
        <v>0</v>
      </c>
      <c r="AT383" s="243" t="str">
        <f>IF($AL383="","",RANK(AR383,$AR$2:$AR$1001)+COUNTIF($AR$2:AR383,AR383)-1)</f>
        <v/>
      </c>
      <c r="AU383" s="243" t="str">
        <f>IF($AL383="","",RANK(AV383,$AV$2:$AV$1001)+COUNTIF($AV$2:AV383,AV383)-1)</f>
        <v/>
      </c>
      <c r="AV383" s="266">
        <f t="shared" si="42"/>
        <v>0</v>
      </c>
    </row>
    <row r="384" spans="26:48" ht="15" customHeight="1" x14ac:dyDescent="0.2">
      <c r="Z384" s="243" t="str">
        <f>Shares!A384</f>
        <v/>
      </c>
      <c r="AA384" s="243" t="str">
        <f>Shares!B384</f>
        <v/>
      </c>
      <c r="AB384" s="243" t="str">
        <f>Shares!C384</f>
        <v/>
      </c>
      <c r="AC384" s="243" t="str">
        <f>Shares!D384</f>
        <v/>
      </c>
      <c r="AD384" s="243">
        <f>IF($Z384="",0,Shares!E384)</f>
        <v>0</v>
      </c>
      <c r="AE384" s="266">
        <f>IF($Z384="",0,Shares!J384*Shares!I384)</f>
        <v>0</v>
      </c>
      <c r="AF384" s="267">
        <f t="shared" si="41"/>
        <v>0</v>
      </c>
      <c r="AG384" s="266">
        <f>IF($Z384="",0,Shares!L384)</f>
        <v>0</v>
      </c>
      <c r="AH384" s="267">
        <f>IF($Z384="",0,Shares!M384)</f>
        <v>0</v>
      </c>
      <c r="AI384" s="243" t="str">
        <f>IF($Z384="","",RANK(AE384,$AE$2:$AE$1001)+COUNTIF($AE$2:AE384,AE384)-1)</f>
        <v/>
      </c>
      <c r="AJ384" s="243" t="str">
        <f>IF($AD384&lt;0,COUNT($AJ$1:AJ383)+1,"")</f>
        <v/>
      </c>
      <c r="AL384" s="243" t="str">
        <f>'All Ticker P&amp;L'!A384</f>
        <v/>
      </c>
      <c r="AM384" s="243" t="str">
        <f>'All Ticker P&amp;L'!B384</f>
        <v/>
      </c>
      <c r="AN384" s="243" t="str">
        <f>'All Ticker P&amp;L'!C384</f>
        <v/>
      </c>
      <c r="AO384" s="243" t="str">
        <f>'All Ticker P&amp;L'!D384</f>
        <v/>
      </c>
      <c r="AP384" s="243">
        <f>IF($AL384="",0,'All Ticker P&amp;L'!E384)</f>
        <v>0</v>
      </c>
      <c r="AQ384" s="266">
        <f>IF($AL384="",0,'All Ticker P&amp;L'!J384*'All Ticker P&amp;L'!I384)</f>
        <v>0</v>
      </c>
      <c r="AR384" s="266">
        <f>IF($AL384="",0,'All Ticker P&amp;L'!L384)</f>
        <v>0</v>
      </c>
      <c r="AS384" s="267">
        <f>IF($AL384="",0,'All Ticker P&amp;L'!M384)</f>
        <v>0</v>
      </c>
      <c r="AT384" s="243" t="str">
        <f>IF($AL384="","",RANK(AR384,$AR$2:$AR$1001)+COUNTIF($AR$2:AR384,AR384)-1)</f>
        <v/>
      </c>
      <c r="AU384" s="243" t="str">
        <f>IF($AL384="","",RANK(AV384,$AV$2:$AV$1001)+COUNTIF($AV$2:AV384,AV384)-1)</f>
        <v/>
      </c>
      <c r="AV384" s="266">
        <f t="shared" si="42"/>
        <v>0</v>
      </c>
    </row>
    <row r="385" spans="26:48" ht="15" customHeight="1" x14ac:dyDescent="0.2">
      <c r="Z385" s="243" t="str">
        <f>Shares!A385</f>
        <v/>
      </c>
      <c r="AA385" s="243" t="str">
        <f>Shares!B385</f>
        <v/>
      </c>
      <c r="AB385" s="243" t="str">
        <f>Shares!C385</f>
        <v/>
      </c>
      <c r="AC385" s="243" t="str">
        <f>Shares!D385</f>
        <v/>
      </c>
      <c r="AD385" s="243">
        <f>IF($Z385="",0,Shares!E385)</f>
        <v>0</v>
      </c>
      <c r="AE385" s="266">
        <f>IF($Z385="",0,Shares!J385*Shares!I385)</f>
        <v>0</v>
      </c>
      <c r="AF385" s="267">
        <f t="shared" si="41"/>
        <v>0</v>
      </c>
      <c r="AG385" s="266">
        <f>IF($Z385="",0,Shares!L385)</f>
        <v>0</v>
      </c>
      <c r="AH385" s="267">
        <f>IF($Z385="",0,Shares!M385)</f>
        <v>0</v>
      </c>
      <c r="AI385" s="243" t="str">
        <f>IF($Z385="","",RANK(AE385,$AE$2:$AE$1001)+COUNTIF($AE$2:AE385,AE385)-1)</f>
        <v/>
      </c>
      <c r="AJ385" s="243" t="str">
        <f>IF($AD385&lt;0,COUNT($AJ$1:AJ384)+1,"")</f>
        <v/>
      </c>
      <c r="AL385" s="243" t="str">
        <f>'All Ticker P&amp;L'!A385</f>
        <v/>
      </c>
      <c r="AM385" s="243" t="str">
        <f>'All Ticker P&amp;L'!B385</f>
        <v/>
      </c>
      <c r="AN385" s="243" t="str">
        <f>'All Ticker P&amp;L'!C385</f>
        <v/>
      </c>
      <c r="AO385" s="243" t="str">
        <f>'All Ticker P&amp;L'!D385</f>
        <v/>
      </c>
      <c r="AP385" s="243">
        <f>IF($AL385="",0,'All Ticker P&amp;L'!E385)</f>
        <v>0</v>
      </c>
      <c r="AQ385" s="266">
        <f>IF($AL385="",0,'All Ticker P&amp;L'!J385*'All Ticker P&amp;L'!I385)</f>
        <v>0</v>
      </c>
      <c r="AR385" s="266">
        <f>IF($AL385="",0,'All Ticker P&amp;L'!L385)</f>
        <v>0</v>
      </c>
      <c r="AS385" s="267">
        <f>IF($AL385="",0,'All Ticker P&amp;L'!M385)</f>
        <v>0</v>
      </c>
      <c r="AT385" s="243" t="str">
        <f>IF($AL385="","",RANK(AR385,$AR$2:$AR$1001)+COUNTIF($AR$2:AR385,AR385)-1)</f>
        <v/>
      </c>
      <c r="AU385" s="243" t="str">
        <f>IF($AL385="","",RANK(AV385,$AV$2:$AV$1001)+COUNTIF($AV$2:AV385,AV385)-1)</f>
        <v/>
      </c>
      <c r="AV385" s="266">
        <f t="shared" si="42"/>
        <v>0</v>
      </c>
    </row>
    <row r="386" spans="26:48" ht="15" customHeight="1" x14ac:dyDescent="0.2">
      <c r="Z386" s="243" t="str">
        <f>Shares!A386</f>
        <v/>
      </c>
      <c r="AA386" s="243" t="str">
        <f>Shares!B386</f>
        <v/>
      </c>
      <c r="AB386" s="243" t="str">
        <f>Shares!C386</f>
        <v/>
      </c>
      <c r="AC386" s="243" t="str">
        <f>Shares!D386</f>
        <v/>
      </c>
      <c r="AD386" s="243">
        <f>IF($Z386="",0,Shares!E386)</f>
        <v>0</v>
      </c>
      <c r="AE386" s="266">
        <f>IF($Z386="",0,Shares!J386*Shares!I386)</f>
        <v>0</v>
      </c>
      <c r="AF386" s="267">
        <f t="shared" ref="AF386:AF449" si="43">IFERROR(AE386/$B$5,0)</f>
        <v>0</v>
      </c>
      <c r="AG386" s="266">
        <f>IF($Z386="",0,Shares!L386)</f>
        <v>0</v>
      </c>
      <c r="AH386" s="267">
        <f>IF($Z386="",0,Shares!M386)</f>
        <v>0</v>
      </c>
      <c r="AI386" s="243" t="str">
        <f>IF($Z386="","",RANK(AE386,$AE$2:$AE$1001)+COUNTIF($AE$2:AE386,AE386)-1)</f>
        <v/>
      </c>
      <c r="AJ386" s="243" t="str">
        <f>IF($AD386&lt;0,COUNT($AJ$1:AJ385)+1,"")</f>
        <v/>
      </c>
      <c r="AL386" s="243" t="str">
        <f>'All Ticker P&amp;L'!A386</f>
        <v/>
      </c>
      <c r="AM386" s="243" t="str">
        <f>'All Ticker P&amp;L'!B386</f>
        <v/>
      </c>
      <c r="AN386" s="243" t="str">
        <f>'All Ticker P&amp;L'!C386</f>
        <v/>
      </c>
      <c r="AO386" s="243" t="str">
        <f>'All Ticker P&amp;L'!D386</f>
        <v/>
      </c>
      <c r="AP386" s="243">
        <f>IF($AL386="",0,'All Ticker P&amp;L'!E386)</f>
        <v>0</v>
      </c>
      <c r="AQ386" s="266">
        <f>IF($AL386="",0,'All Ticker P&amp;L'!J386*'All Ticker P&amp;L'!I386)</f>
        <v>0</v>
      </c>
      <c r="AR386" s="266">
        <f>IF($AL386="",0,'All Ticker P&amp;L'!L386)</f>
        <v>0</v>
      </c>
      <c r="AS386" s="267">
        <f>IF($AL386="",0,'All Ticker P&amp;L'!M386)</f>
        <v>0</v>
      </c>
      <c r="AT386" s="243" t="str">
        <f>IF($AL386="","",RANK(AR386,$AR$2:$AR$1001)+COUNTIF($AR$2:AR386,AR386)-1)</f>
        <v/>
      </c>
      <c r="AU386" s="243" t="str">
        <f>IF($AL386="","",RANK(AV386,$AV$2:$AV$1001)+COUNTIF($AV$2:AV386,AV386)-1)</f>
        <v/>
      </c>
      <c r="AV386" s="266">
        <f t="shared" ref="AV386:AV449" si="44">-AR386</f>
        <v>0</v>
      </c>
    </row>
    <row r="387" spans="26:48" ht="15" customHeight="1" x14ac:dyDescent="0.2">
      <c r="Z387" s="243" t="str">
        <f>Shares!A387</f>
        <v/>
      </c>
      <c r="AA387" s="243" t="str">
        <f>Shares!B387</f>
        <v/>
      </c>
      <c r="AB387" s="243" t="str">
        <f>Shares!C387</f>
        <v/>
      </c>
      <c r="AC387" s="243" t="str">
        <f>Shares!D387</f>
        <v/>
      </c>
      <c r="AD387" s="243">
        <f>IF($Z387="",0,Shares!E387)</f>
        <v>0</v>
      </c>
      <c r="AE387" s="266">
        <f>IF($Z387="",0,Shares!J387*Shares!I387)</f>
        <v>0</v>
      </c>
      <c r="AF387" s="267">
        <f t="shared" si="43"/>
        <v>0</v>
      </c>
      <c r="AG387" s="266">
        <f>IF($Z387="",0,Shares!L387)</f>
        <v>0</v>
      </c>
      <c r="AH387" s="267">
        <f>IF($Z387="",0,Shares!M387)</f>
        <v>0</v>
      </c>
      <c r="AI387" s="243" t="str">
        <f>IF($Z387="","",RANK(AE387,$AE$2:$AE$1001)+COUNTIF($AE$2:AE387,AE387)-1)</f>
        <v/>
      </c>
      <c r="AJ387" s="243" t="str">
        <f>IF($AD387&lt;0,COUNT($AJ$1:AJ386)+1,"")</f>
        <v/>
      </c>
      <c r="AL387" s="243" t="str">
        <f>'All Ticker P&amp;L'!A387</f>
        <v/>
      </c>
      <c r="AM387" s="243" t="str">
        <f>'All Ticker P&amp;L'!B387</f>
        <v/>
      </c>
      <c r="AN387" s="243" t="str">
        <f>'All Ticker P&amp;L'!C387</f>
        <v/>
      </c>
      <c r="AO387" s="243" t="str">
        <f>'All Ticker P&amp;L'!D387</f>
        <v/>
      </c>
      <c r="AP387" s="243">
        <f>IF($AL387="",0,'All Ticker P&amp;L'!E387)</f>
        <v>0</v>
      </c>
      <c r="AQ387" s="266">
        <f>IF($AL387="",0,'All Ticker P&amp;L'!J387*'All Ticker P&amp;L'!I387)</f>
        <v>0</v>
      </c>
      <c r="AR387" s="266">
        <f>IF($AL387="",0,'All Ticker P&amp;L'!L387)</f>
        <v>0</v>
      </c>
      <c r="AS387" s="267">
        <f>IF($AL387="",0,'All Ticker P&amp;L'!M387)</f>
        <v>0</v>
      </c>
      <c r="AT387" s="243" t="str">
        <f>IF($AL387="","",RANK(AR387,$AR$2:$AR$1001)+COUNTIF($AR$2:AR387,AR387)-1)</f>
        <v/>
      </c>
      <c r="AU387" s="243" t="str">
        <f>IF($AL387="","",RANK(AV387,$AV$2:$AV$1001)+COUNTIF($AV$2:AV387,AV387)-1)</f>
        <v/>
      </c>
      <c r="AV387" s="266">
        <f t="shared" si="44"/>
        <v>0</v>
      </c>
    </row>
    <row r="388" spans="26:48" ht="15" customHeight="1" x14ac:dyDescent="0.2">
      <c r="Z388" s="243" t="str">
        <f>Shares!A388</f>
        <v/>
      </c>
      <c r="AA388" s="243" t="str">
        <f>Shares!B388</f>
        <v/>
      </c>
      <c r="AB388" s="243" t="str">
        <f>Shares!C388</f>
        <v/>
      </c>
      <c r="AC388" s="243" t="str">
        <f>Shares!D388</f>
        <v/>
      </c>
      <c r="AD388" s="243">
        <f>IF($Z388="",0,Shares!E388)</f>
        <v>0</v>
      </c>
      <c r="AE388" s="266">
        <f>IF($Z388="",0,Shares!J388*Shares!I388)</f>
        <v>0</v>
      </c>
      <c r="AF388" s="267">
        <f t="shared" si="43"/>
        <v>0</v>
      </c>
      <c r="AG388" s="266">
        <f>IF($Z388="",0,Shares!L388)</f>
        <v>0</v>
      </c>
      <c r="AH388" s="267">
        <f>IF($Z388="",0,Shares!M388)</f>
        <v>0</v>
      </c>
      <c r="AI388" s="243" t="str">
        <f>IF($Z388="","",RANK(AE388,$AE$2:$AE$1001)+COUNTIF($AE$2:AE388,AE388)-1)</f>
        <v/>
      </c>
      <c r="AJ388" s="243" t="str">
        <f>IF($AD388&lt;0,COUNT($AJ$1:AJ387)+1,"")</f>
        <v/>
      </c>
      <c r="AL388" s="243" t="str">
        <f>'All Ticker P&amp;L'!A388</f>
        <v/>
      </c>
      <c r="AM388" s="243" t="str">
        <f>'All Ticker P&amp;L'!B388</f>
        <v/>
      </c>
      <c r="AN388" s="243" t="str">
        <f>'All Ticker P&amp;L'!C388</f>
        <v/>
      </c>
      <c r="AO388" s="243" t="str">
        <f>'All Ticker P&amp;L'!D388</f>
        <v/>
      </c>
      <c r="AP388" s="243">
        <f>IF($AL388="",0,'All Ticker P&amp;L'!E388)</f>
        <v>0</v>
      </c>
      <c r="AQ388" s="266">
        <f>IF($AL388="",0,'All Ticker P&amp;L'!J388*'All Ticker P&amp;L'!I388)</f>
        <v>0</v>
      </c>
      <c r="AR388" s="266">
        <f>IF($AL388="",0,'All Ticker P&amp;L'!L388)</f>
        <v>0</v>
      </c>
      <c r="AS388" s="267">
        <f>IF($AL388="",0,'All Ticker P&amp;L'!M388)</f>
        <v>0</v>
      </c>
      <c r="AT388" s="243" t="str">
        <f>IF($AL388="","",RANK(AR388,$AR$2:$AR$1001)+COUNTIF($AR$2:AR388,AR388)-1)</f>
        <v/>
      </c>
      <c r="AU388" s="243" t="str">
        <f>IF($AL388="","",RANK(AV388,$AV$2:$AV$1001)+COUNTIF($AV$2:AV388,AV388)-1)</f>
        <v/>
      </c>
      <c r="AV388" s="266">
        <f t="shared" si="44"/>
        <v>0</v>
      </c>
    </row>
    <row r="389" spans="26:48" ht="15" customHeight="1" x14ac:dyDescent="0.2">
      <c r="Z389" s="243" t="str">
        <f>Shares!A389</f>
        <v/>
      </c>
      <c r="AA389" s="243" t="str">
        <f>Shares!B389</f>
        <v/>
      </c>
      <c r="AB389" s="243" t="str">
        <f>Shares!C389</f>
        <v/>
      </c>
      <c r="AC389" s="243" t="str">
        <f>Shares!D389</f>
        <v/>
      </c>
      <c r="AD389" s="243">
        <f>IF($Z389="",0,Shares!E389)</f>
        <v>0</v>
      </c>
      <c r="AE389" s="266">
        <f>IF($Z389="",0,Shares!J389*Shares!I389)</f>
        <v>0</v>
      </c>
      <c r="AF389" s="267">
        <f t="shared" si="43"/>
        <v>0</v>
      </c>
      <c r="AG389" s="266">
        <f>IF($Z389="",0,Shares!L389)</f>
        <v>0</v>
      </c>
      <c r="AH389" s="267">
        <f>IF($Z389="",0,Shares!M389)</f>
        <v>0</v>
      </c>
      <c r="AI389" s="243" t="str">
        <f>IF($Z389="","",RANK(AE389,$AE$2:$AE$1001)+COUNTIF($AE$2:AE389,AE389)-1)</f>
        <v/>
      </c>
      <c r="AJ389" s="243" t="str">
        <f>IF($AD389&lt;0,COUNT($AJ$1:AJ388)+1,"")</f>
        <v/>
      </c>
      <c r="AL389" s="243" t="str">
        <f>'All Ticker P&amp;L'!A389</f>
        <v/>
      </c>
      <c r="AM389" s="243" t="str">
        <f>'All Ticker P&amp;L'!B389</f>
        <v/>
      </c>
      <c r="AN389" s="243" t="str">
        <f>'All Ticker P&amp;L'!C389</f>
        <v/>
      </c>
      <c r="AO389" s="243" t="str">
        <f>'All Ticker P&amp;L'!D389</f>
        <v/>
      </c>
      <c r="AP389" s="243">
        <f>IF($AL389="",0,'All Ticker P&amp;L'!E389)</f>
        <v>0</v>
      </c>
      <c r="AQ389" s="266">
        <f>IF($AL389="",0,'All Ticker P&amp;L'!J389*'All Ticker P&amp;L'!I389)</f>
        <v>0</v>
      </c>
      <c r="AR389" s="266">
        <f>IF($AL389="",0,'All Ticker P&amp;L'!L389)</f>
        <v>0</v>
      </c>
      <c r="AS389" s="267">
        <f>IF($AL389="",0,'All Ticker P&amp;L'!M389)</f>
        <v>0</v>
      </c>
      <c r="AT389" s="243" t="str">
        <f>IF($AL389="","",RANK(AR389,$AR$2:$AR$1001)+COUNTIF($AR$2:AR389,AR389)-1)</f>
        <v/>
      </c>
      <c r="AU389" s="243" t="str">
        <f>IF($AL389="","",RANK(AV389,$AV$2:$AV$1001)+COUNTIF($AV$2:AV389,AV389)-1)</f>
        <v/>
      </c>
      <c r="AV389" s="266">
        <f t="shared" si="44"/>
        <v>0</v>
      </c>
    </row>
    <row r="390" spans="26:48" ht="15" customHeight="1" x14ac:dyDescent="0.2">
      <c r="Z390" s="243" t="str">
        <f>Shares!A390</f>
        <v/>
      </c>
      <c r="AA390" s="243" t="str">
        <f>Shares!B390</f>
        <v/>
      </c>
      <c r="AB390" s="243" t="str">
        <f>Shares!C390</f>
        <v/>
      </c>
      <c r="AC390" s="243" t="str">
        <f>Shares!D390</f>
        <v/>
      </c>
      <c r="AD390" s="243">
        <f>IF($Z390="",0,Shares!E390)</f>
        <v>0</v>
      </c>
      <c r="AE390" s="266">
        <f>IF($Z390="",0,Shares!J390*Shares!I390)</f>
        <v>0</v>
      </c>
      <c r="AF390" s="267">
        <f t="shared" si="43"/>
        <v>0</v>
      </c>
      <c r="AG390" s="266">
        <f>IF($Z390="",0,Shares!L390)</f>
        <v>0</v>
      </c>
      <c r="AH390" s="267">
        <f>IF($Z390="",0,Shares!M390)</f>
        <v>0</v>
      </c>
      <c r="AI390" s="243" t="str">
        <f>IF($Z390="","",RANK(AE390,$AE$2:$AE$1001)+COUNTIF($AE$2:AE390,AE390)-1)</f>
        <v/>
      </c>
      <c r="AJ390" s="243" t="str">
        <f>IF($AD390&lt;0,COUNT($AJ$1:AJ389)+1,"")</f>
        <v/>
      </c>
      <c r="AL390" s="243" t="str">
        <f>'All Ticker P&amp;L'!A390</f>
        <v/>
      </c>
      <c r="AM390" s="243" t="str">
        <f>'All Ticker P&amp;L'!B390</f>
        <v/>
      </c>
      <c r="AN390" s="243" t="str">
        <f>'All Ticker P&amp;L'!C390</f>
        <v/>
      </c>
      <c r="AO390" s="243" t="str">
        <f>'All Ticker P&amp;L'!D390</f>
        <v/>
      </c>
      <c r="AP390" s="243">
        <f>IF($AL390="",0,'All Ticker P&amp;L'!E390)</f>
        <v>0</v>
      </c>
      <c r="AQ390" s="266">
        <f>IF($AL390="",0,'All Ticker P&amp;L'!J390*'All Ticker P&amp;L'!I390)</f>
        <v>0</v>
      </c>
      <c r="AR390" s="266">
        <f>IF($AL390="",0,'All Ticker P&amp;L'!L390)</f>
        <v>0</v>
      </c>
      <c r="AS390" s="267">
        <f>IF($AL390="",0,'All Ticker P&amp;L'!M390)</f>
        <v>0</v>
      </c>
      <c r="AT390" s="243" t="str">
        <f>IF($AL390="","",RANK(AR390,$AR$2:$AR$1001)+COUNTIF($AR$2:AR390,AR390)-1)</f>
        <v/>
      </c>
      <c r="AU390" s="243" t="str">
        <f>IF($AL390="","",RANK(AV390,$AV$2:$AV$1001)+COUNTIF($AV$2:AV390,AV390)-1)</f>
        <v/>
      </c>
      <c r="AV390" s="266">
        <f t="shared" si="44"/>
        <v>0</v>
      </c>
    </row>
    <row r="391" spans="26:48" ht="15" customHeight="1" x14ac:dyDescent="0.2">
      <c r="Z391" s="243" t="str">
        <f>Shares!A391</f>
        <v/>
      </c>
      <c r="AA391" s="243" t="str">
        <f>Shares!B391</f>
        <v/>
      </c>
      <c r="AB391" s="243" t="str">
        <f>Shares!C391</f>
        <v/>
      </c>
      <c r="AC391" s="243" t="str">
        <f>Shares!D391</f>
        <v/>
      </c>
      <c r="AD391" s="243">
        <f>IF($Z391="",0,Shares!E391)</f>
        <v>0</v>
      </c>
      <c r="AE391" s="266">
        <f>IF($Z391="",0,Shares!J391*Shares!I391)</f>
        <v>0</v>
      </c>
      <c r="AF391" s="267">
        <f t="shared" si="43"/>
        <v>0</v>
      </c>
      <c r="AG391" s="266">
        <f>IF($Z391="",0,Shares!L391)</f>
        <v>0</v>
      </c>
      <c r="AH391" s="267">
        <f>IF($Z391="",0,Shares!M391)</f>
        <v>0</v>
      </c>
      <c r="AI391" s="243" t="str">
        <f>IF($Z391="","",RANK(AE391,$AE$2:$AE$1001)+COUNTIF($AE$2:AE391,AE391)-1)</f>
        <v/>
      </c>
      <c r="AJ391" s="243" t="str">
        <f>IF($AD391&lt;0,COUNT($AJ$1:AJ390)+1,"")</f>
        <v/>
      </c>
      <c r="AL391" s="243" t="str">
        <f>'All Ticker P&amp;L'!A391</f>
        <v/>
      </c>
      <c r="AM391" s="243" t="str">
        <f>'All Ticker P&amp;L'!B391</f>
        <v/>
      </c>
      <c r="AN391" s="243" t="str">
        <f>'All Ticker P&amp;L'!C391</f>
        <v/>
      </c>
      <c r="AO391" s="243" t="str">
        <f>'All Ticker P&amp;L'!D391</f>
        <v/>
      </c>
      <c r="AP391" s="243">
        <f>IF($AL391="",0,'All Ticker P&amp;L'!E391)</f>
        <v>0</v>
      </c>
      <c r="AQ391" s="266">
        <f>IF($AL391="",0,'All Ticker P&amp;L'!J391*'All Ticker P&amp;L'!I391)</f>
        <v>0</v>
      </c>
      <c r="AR391" s="266">
        <f>IF($AL391="",0,'All Ticker P&amp;L'!L391)</f>
        <v>0</v>
      </c>
      <c r="AS391" s="267">
        <f>IF($AL391="",0,'All Ticker P&amp;L'!M391)</f>
        <v>0</v>
      </c>
      <c r="AT391" s="243" t="str">
        <f>IF($AL391="","",RANK(AR391,$AR$2:$AR$1001)+COUNTIF($AR$2:AR391,AR391)-1)</f>
        <v/>
      </c>
      <c r="AU391" s="243" t="str">
        <f>IF($AL391="","",RANK(AV391,$AV$2:$AV$1001)+COUNTIF($AV$2:AV391,AV391)-1)</f>
        <v/>
      </c>
      <c r="AV391" s="266">
        <f t="shared" si="44"/>
        <v>0</v>
      </c>
    </row>
    <row r="392" spans="26:48" ht="15" customHeight="1" x14ac:dyDescent="0.2">
      <c r="Z392" s="243" t="str">
        <f>Shares!A392</f>
        <v/>
      </c>
      <c r="AA392" s="243" t="str">
        <f>Shares!B392</f>
        <v/>
      </c>
      <c r="AB392" s="243" t="str">
        <f>Shares!C392</f>
        <v/>
      </c>
      <c r="AC392" s="243" t="str">
        <f>Shares!D392</f>
        <v/>
      </c>
      <c r="AD392" s="243">
        <f>IF($Z392="",0,Shares!E392)</f>
        <v>0</v>
      </c>
      <c r="AE392" s="266">
        <f>IF($Z392="",0,Shares!J392*Shares!I392)</f>
        <v>0</v>
      </c>
      <c r="AF392" s="267">
        <f t="shared" si="43"/>
        <v>0</v>
      </c>
      <c r="AG392" s="266">
        <f>IF($Z392="",0,Shares!L392)</f>
        <v>0</v>
      </c>
      <c r="AH392" s="267">
        <f>IF($Z392="",0,Shares!M392)</f>
        <v>0</v>
      </c>
      <c r="AI392" s="243" t="str">
        <f>IF($Z392="","",RANK(AE392,$AE$2:$AE$1001)+COUNTIF($AE$2:AE392,AE392)-1)</f>
        <v/>
      </c>
      <c r="AJ392" s="243" t="str">
        <f>IF($AD392&lt;0,COUNT($AJ$1:AJ391)+1,"")</f>
        <v/>
      </c>
      <c r="AL392" s="243" t="str">
        <f>'All Ticker P&amp;L'!A392</f>
        <v/>
      </c>
      <c r="AM392" s="243" t="str">
        <f>'All Ticker P&amp;L'!B392</f>
        <v/>
      </c>
      <c r="AN392" s="243" t="str">
        <f>'All Ticker P&amp;L'!C392</f>
        <v/>
      </c>
      <c r="AO392" s="243" t="str">
        <f>'All Ticker P&amp;L'!D392</f>
        <v/>
      </c>
      <c r="AP392" s="243">
        <f>IF($AL392="",0,'All Ticker P&amp;L'!E392)</f>
        <v>0</v>
      </c>
      <c r="AQ392" s="266">
        <f>IF($AL392="",0,'All Ticker P&amp;L'!J392*'All Ticker P&amp;L'!I392)</f>
        <v>0</v>
      </c>
      <c r="AR392" s="266">
        <f>IF($AL392="",0,'All Ticker P&amp;L'!L392)</f>
        <v>0</v>
      </c>
      <c r="AS392" s="267">
        <f>IF($AL392="",0,'All Ticker P&amp;L'!M392)</f>
        <v>0</v>
      </c>
      <c r="AT392" s="243" t="str">
        <f>IF($AL392="","",RANK(AR392,$AR$2:$AR$1001)+COUNTIF($AR$2:AR392,AR392)-1)</f>
        <v/>
      </c>
      <c r="AU392" s="243" t="str">
        <f>IF($AL392="","",RANK(AV392,$AV$2:$AV$1001)+COUNTIF($AV$2:AV392,AV392)-1)</f>
        <v/>
      </c>
      <c r="AV392" s="266">
        <f t="shared" si="44"/>
        <v>0</v>
      </c>
    </row>
    <row r="393" spans="26:48" ht="15" customHeight="1" x14ac:dyDescent="0.2">
      <c r="Z393" s="243" t="str">
        <f>Shares!A393</f>
        <v/>
      </c>
      <c r="AA393" s="243" t="str">
        <f>Shares!B393</f>
        <v/>
      </c>
      <c r="AB393" s="243" t="str">
        <f>Shares!C393</f>
        <v/>
      </c>
      <c r="AC393" s="243" t="str">
        <f>Shares!D393</f>
        <v/>
      </c>
      <c r="AD393" s="243">
        <f>IF($Z393="",0,Shares!E393)</f>
        <v>0</v>
      </c>
      <c r="AE393" s="266">
        <f>IF($Z393="",0,Shares!J393*Shares!I393)</f>
        <v>0</v>
      </c>
      <c r="AF393" s="267">
        <f t="shared" si="43"/>
        <v>0</v>
      </c>
      <c r="AG393" s="266">
        <f>IF($Z393="",0,Shares!L393)</f>
        <v>0</v>
      </c>
      <c r="AH393" s="267">
        <f>IF($Z393="",0,Shares!M393)</f>
        <v>0</v>
      </c>
      <c r="AI393" s="243" t="str">
        <f>IF($Z393="","",RANK(AE393,$AE$2:$AE$1001)+COUNTIF($AE$2:AE393,AE393)-1)</f>
        <v/>
      </c>
      <c r="AJ393" s="243" t="str">
        <f>IF($AD393&lt;0,COUNT($AJ$1:AJ392)+1,"")</f>
        <v/>
      </c>
      <c r="AL393" s="243" t="str">
        <f>'All Ticker P&amp;L'!A393</f>
        <v/>
      </c>
      <c r="AM393" s="243" t="str">
        <f>'All Ticker P&amp;L'!B393</f>
        <v/>
      </c>
      <c r="AN393" s="243" t="str">
        <f>'All Ticker P&amp;L'!C393</f>
        <v/>
      </c>
      <c r="AO393" s="243" t="str">
        <f>'All Ticker P&amp;L'!D393</f>
        <v/>
      </c>
      <c r="AP393" s="243">
        <f>IF($AL393="",0,'All Ticker P&amp;L'!E393)</f>
        <v>0</v>
      </c>
      <c r="AQ393" s="266">
        <f>IF($AL393="",0,'All Ticker P&amp;L'!J393*'All Ticker P&amp;L'!I393)</f>
        <v>0</v>
      </c>
      <c r="AR393" s="266">
        <f>IF($AL393="",0,'All Ticker P&amp;L'!L393)</f>
        <v>0</v>
      </c>
      <c r="AS393" s="267">
        <f>IF($AL393="",0,'All Ticker P&amp;L'!M393)</f>
        <v>0</v>
      </c>
      <c r="AT393" s="243" t="str">
        <f>IF($AL393="","",RANK(AR393,$AR$2:$AR$1001)+COUNTIF($AR$2:AR393,AR393)-1)</f>
        <v/>
      </c>
      <c r="AU393" s="243" t="str">
        <f>IF($AL393="","",RANK(AV393,$AV$2:$AV$1001)+COUNTIF($AV$2:AV393,AV393)-1)</f>
        <v/>
      </c>
      <c r="AV393" s="266">
        <f t="shared" si="44"/>
        <v>0</v>
      </c>
    </row>
    <row r="394" spans="26:48" ht="15" customHeight="1" x14ac:dyDescent="0.2">
      <c r="Z394" s="243" t="str">
        <f>Shares!A394</f>
        <v/>
      </c>
      <c r="AA394" s="243" t="str">
        <f>Shares!B394</f>
        <v/>
      </c>
      <c r="AB394" s="243" t="str">
        <f>Shares!C394</f>
        <v/>
      </c>
      <c r="AC394" s="243" t="str">
        <f>Shares!D394</f>
        <v/>
      </c>
      <c r="AD394" s="243">
        <f>IF($Z394="",0,Shares!E394)</f>
        <v>0</v>
      </c>
      <c r="AE394" s="266">
        <f>IF($Z394="",0,Shares!J394*Shares!I394)</f>
        <v>0</v>
      </c>
      <c r="AF394" s="267">
        <f t="shared" si="43"/>
        <v>0</v>
      </c>
      <c r="AG394" s="266">
        <f>IF($Z394="",0,Shares!L394)</f>
        <v>0</v>
      </c>
      <c r="AH394" s="267">
        <f>IF($Z394="",0,Shares!M394)</f>
        <v>0</v>
      </c>
      <c r="AI394" s="243" t="str">
        <f>IF($Z394="","",RANK(AE394,$AE$2:$AE$1001)+COUNTIF($AE$2:AE394,AE394)-1)</f>
        <v/>
      </c>
      <c r="AJ394" s="243" t="str">
        <f>IF($AD394&lt;0,COUNT($AJ$1:AJ393)+1,"")</f>
        <v/>
      </c>
      <c r="AL394" s="243" t="str">
        <f>'All Ticker P&amp;L'!A394</f>
        <v/>
      </c>
      <c r="AM394" s="243" t="str">
        <f>'All Ticker P&amp;L'!B394</f>
        <v/>
      </c>
      <c r="AN394" s="243" t="str">
        <f>'All Ticker P&amp;L'!C394</f>
        <v/>
      </c>
      <c r="AO394" s="243" t="str">
        <f>'All Ticker P&amp;L'!D394</f>
        <v/>
      </c>
      <c r="AP394" s="243">
        <f>IF($AL394="",0,'All Ticker P&amp;L'!E394)</f>
        <v>0</v>
      </c>
      <c r="AQ394" s="266">
        <f>IF($AL394="",0,'All Ticker P&amp;L'!J394*'All Ticker P&amp;L'!I394)</f>
        <v>0</v>
      </c>
      <c r="AR394" s="266">
        <f>IF($AL394="",0,'All Ticker P&amp;L'!L394)</f>
        <v>0</v>
      </c>
      <c r="AS394" s="267">
        <f>IF($AL394="",0,'All Ticker P&amp;L'!M394)</f>
        <v>0</v>
      </c>
      <c r="AT394" s="243" t="str">
        <f>IF($AL394="","",RANK(AR394,$AR$2:$AR$1001)+COUNTIF($AR$2:AR394,AR394)-1)</f>
        <v/>
      </c>
      <c r="AU394" s="243" t="str">
        <f>IF($AL394="","",RANK(AV394,$AV$2:$AV$1001)+COUNTIF($AV$2:AV394,AV394)-1)</f>
        <v/>
      </c>
      <c r="AV394" s="266">
        <f t="shared" si="44"/>
        <v>0</v>
      </c>
    </row>
    <row r="395" spans="26:48" ht="15" customHeight="1" x14ac:dyDescent="0.2">
      <c r="Z395" s="243" t="str">
        <f>Shares!A395</f>
        <v/>
      </c>
      <c r="AA395" s="243" t="str">
        <f>Shares!B395</f>
        <v/>
      </c>
      <c r="AB395" s="243" t="str">
        <f>Shares!C395</f>
        <v/>
      </c>
      <c r="AC395" s="243" t="str">
        <f>Shares!D395</f>
        <v/>
      </c>
      <c r="AD395" s="243">
        <f>IF($Z395="",0,Shares!E395)</f>
        <v>0</v>
      </c>
      <c r="AE395" s="266">
        <f>IF($Z395="",0,Shares!J395*Shares!I395)</f>
        <v>0</v>
      </c>
      <c r="AF395" s="267">
        <f t="shared" si="43"/>
        <v>0</v>
      </c>
      <c r="AG395" s="266">
        <f>IF($Z395="",0,Shares!L395)</f>
        <v>0</v>
      </c>
      <c r="AH395" s="267">
        <f>IF($Z395="",0,Shares!M395)</f>
        <v>0</v>
      </c>
      <c r="AI395" s="243" t="str">
        <f>IF($Z395="","",RANK(AE395,$AE$2:$AE$1001)+COUNTIF($AE$2:AE395,AE395)-1)</f>
        <v/>
      </c>
      <c r="AJ395" s="243" t="str">
        <f>IF($AD395&lt;0,COUNT($AJ$1:AJ394)+1,"")</f>
        <v/>
      </c>
      <c r="AL395" s="243" t="str">
        <f>'All Ticker P&amp;L'!A395</f>
        <v/>
      </c>
      <c r="AM395" s="243" t="str">
        <f>'All Ticker P&amp;L'!B395</f>
        <v/>
      </c>
      <c r="AN395" s="243" t="str">
        <f>'All Ticker P&amp;L'!C395</f>
        <v/>
      </c>
      <c r="AO395" s="243" t="str">
        <f>'All Ticker P&amp;L'!D395</f>
        <v/>
      </c>
      <c r="AP395" s="243">
        <f>IF($AL395="",0,'All Ticker P&amp;L'!E395)</f>
        <v>0</v>
      </c>
      <c r="AQ395" s="266">
        <f>IF($AL395="",0,'All Ticker P&amp;L'!J395*'All Ticker P&amp;L'!I395)</f>
        <v>0</v>
      </c>
      <c r="AR395" s="266">
        <f>IF($AL395="",0,'All Ticker P&amp;L'!L395)</f>
        <v>0</v>
      </c>
      <c r="AS395" s="267">
        <f>IF($AL395="",0,'All Ticker P&amp;L'!M395)</f>
        <v>0</v>
      </c>
      <c r="AT395" s="243" t="str">
        <f>IF($AL395="","",RANK(AR395,$AR$2:$AR$1001)+COUNTIF($AR$2:AR395,AR395)-1)</f>
        <v/>
      </c>
      <c r="AU395" s="243" t="str">
        <f>IF($AL395="","",RANK(AV395,$AV$2:$AV$1001)+COUNTIF($AV$2:AV395,AV395)-1)</f>
        <v/>
      </c>
      <c r="AV395" s="266">
        <f t="shared" si="44"/>
        <v>0</v>
      </c>
    </row>
    <row r="396" spans="26:48" ht="15" customHeight="1" x14ac:dyDescent="0.2">
      <c r="Z396" s="243" t="str">
        <f>Shares!A396</f>
        <v/>
      </c>
      <c r="AA396" s="243" t="str">
        <f>Shares!B396</f>
        <v/>
      </c>
      <c r="AB396" s="243" t="str">
        <f>Shares!C396</f>
        <v/>
      </c>
      <c r="AC396" s="243" t="str">
        <f>Shares!D396</f>
        <v/>
      </c>
      <c r="AD396" s="243">
        <f>IF($Z396="",0,Shares!E396)</f>
        <v>0</v>
      </c>
      <c r="AE396" s="266">
        <f>IF($Z396="",0,Shares!J396*Shares!I396)</f>
        <v>0</v>
      </c>
      <c r="AF396" s="267">
        <f t="shared" si="43"/>
        <v>0</v>
      </c>
      <c r="AG396" s="266">
        <f>IF($Z396="",0,Shares!L396)</f>
        <v>0</v>
      </c>
      <c r="AH396" s="267">
        <f>IF($Z396="",0,Shares!M396)</f>
        <v>0</v>
      </c>
      <c r="AI396" s="243" t="str">
        <f>IF($Z396="","",RANK(AE396,$AE$2:$AE$1001)+COUNTIF($AE$2:AE396,AE396)-1)</f>
        <v/>
      </c>
      <c r="AJ396" s="243" t="str">
        <f>IF($AD396&lt;0,COUNT($AJ$1:AJ395)+1,"")</f>
        <v/>
      </c>
      <c r="AL396" s="243" t="str">
        <f>'All Ticker P&amp;L'!A396</f>
        <v/>
      </c>
      <c r="AM396" s="243" t="str">
        <f>'All Ticker P&amp;L'!B396</f>
        <v/>
      </c>
      <c r="AN396" s="243" t="str">
        <f>'All Ticker P&amp;L'!C396</f>
        <v/>
      </c>
      <c r="AO396" s="243" t="str">
        <f>'All Ticker P&amp;L'!D396</f>
        <v/>
      </c>
      <c r="AP396" s="243">
        <f>IF($AL396="",0,'All Ticker P&amp;L'!E396)</f>
        <v>0</v>
      </c>
      <c r="AQ396" s="266">
        <f>IF($AL396="",0,'All Ticker P&amp;L'!J396*'All Ticker P&amp;L'!I396)</f>
        <v>0</v>
      </c>
      <c r="AR396" s="266">
        <f>IF($AL396="",0,'All Ticker P&amp;L'!L396)</f>
        <v>0</v>
      </c>
      <c r="AS396" s="267">
        <f>IF($AL396="",0,'All Ticker P&amp;L'!M396)</f>
        <v>0</v>
      </c>
      <c r="AT396" s="243" t="str">
        <f>IF($AL396="","",RANK(AR396,$AR$2:$AR$1001)+COUNTIF($AR$2:AR396,AR396)-1)</f>
        <v/>
      </c>
      <c r="AU396" s="243" t="str">
        <f>IF($AL396="","",RANK(AV396,$AV$2:$AV$1001)+COUNTIF($AV$2:AV396,AV396)-1)</f>
        <v/>
      </c>
      <c r="AV396" s="266">
        <f t="shared" si="44"/>
        <v>0</v>
      </c>
    </row>
    <row r="397" spans="26:48" ht="15" customHeight="1" x14ac:dyDescent="0.2">
      <c r="Z397" s="243" t="str">
        <f>Shares!A397</f>
        <v/>
      </c>
      <c r="AA397" s="243" t="str">
        <f>Shares!B397</f>
        <v/>
      </c>
      <c r="AB397" s="243" t="str">
        <f>Shares!C397</f>
        <v/>
      </c>
      <c r="AC397" s="243" t="str">
        <f>Shares!D397</f>
        <v/>
      </c>
      <c r="AD397" s="243">
        <f>IF($Z397="",0,Shares!E397)</f>
        <v>0</v>
      </c>
      <c r="AE397" s="266">
        <f>IF($Z397="",0,Shares!J397*Shares!I397)</f>
        <v>0</v>
      </c>
      <c r="AF397" s="267">
        <f t="shared" si="43"/>
        <v>0</v>
      </c>
      <c r="AG397" s="266">
        <f>IF($Z397="",0,Shares!L397)</f>
        <v>0</v>
      </c>
      <c r="AH397" s="267">
        <f>IF($Z397="",0,Shares!M397)</f>
        <v>0</v>
      </c>
      <c r="AI397" s="243" t="str">
        <f>IF($Z397="","",RANK(AE397,$AE$2:$AE$1001)+COUNTIF($AE$2:AE397,AE397)-1)</f>
        <v/>
      </c>
      <c r="AJ397" s="243" t="str">
        <f>IF($AD397&lt;0,COUNT($AJ$1:AJ396)+1,"")</f>
        <v/>
      </c>
      <c r="AL397" s="243" t="str">
        <f>'All Ticker P&amp;L'!A397</f>
        <v/>
      </c>
      <c r="AM397" s="243" t="str">
        <f>'All Ticker P&amp;L'!B397</f>
        <v/>
      </c>
      <c r="AN397" s="243" t="str">
        <f>'All Ticker P&amp;L'!C397</f>
        <v/>
      </c>
      <c r="AO397" s="243" t="str">
        <f>'All Ticker P&amp;L'!D397</f>
        <v/>
      </c>
      <c r="AP397" s="243">
        <f>IF($AL397="",0,'All Ticker P&amp;L'!E397)</f>
        <v>0</v>
      </c>
      <c r="AQ397" s="266">
        <f>IF($AL397="",0,'All Ticker P&amp;L'!J397*'All Ticker P&amp;L'!I397)</f>
        <v>0</v>
      </c>
      <c r="AR397" s="266">
        <f>IF($AL397="",0,'All Ticker P&amp;L'!L397)</f>
        <v>0</v>
      </c>
      <c r="AS397" s="267">
        <f>IF($AL397="",0,'All Ticker P&amp;L'!M397)</f>
        <v>0</v>
      </c>
      <c r="AT397" s="243" t="str">
        <f>IF($AL397="","",RANK(AR397,$AR$2:$AR$1001)+COUNTIF($AR$2:AR397,AR397)-1)</f>
        <v/>
      </c>
      <c r="AU397" s="243" t="str">
        <f>IF($AL397="","",RANK(AV397,$AV$2:$AV$1001)+COUNTIF($AV$2:AV397,AV397)-1)</f>
        <v/>
      </c>
      <c r="AV397" s="266">
        <f t="shared" si="44"/>
        <v>0</v>
      </c>
    </row>
    <row r="398" spans="26:48" ht="15" customHeight="1" x14ac:dyDescent="0.2">
      <c r="Z398" s="243" t="str">
        <f>Shares!A398</f>
        <v/>
      </c>
      <c r="AA398" s="243" t="str">
        <f>Shares!B398</f>
        <v/>
      </c>
      <c r="AB398" s="243" t="str">
        <f>Shares!C398</f>
        <v/>
      </c>
      <c r="AC398" s="243" t="str">
        <f>Shares!D398</f>
        <v/>
      </c>
      <c r="AD398" s="243">
        <f>IF($Z398="",0,Shares!E398)</f>
        <v>0</v>
      </c>
      <c r="AE398" s="266">
        <f>IF($Z398="",0,Shares!J398*Shares!I398)</f>
        <v>0</v>
      </c>
      <c r="AF398" s="267">
        <f t="shared" si="43"/>
        <v>0</v>
      </c>
      <c r="AG398" s="266">
        <f>IF($Z398="",0,Shares!L398)</f>
        <v>0</v>
      </c>
      <c r="AH398" s="267">
        <f>IF($Z398="",0,Shares!M398)</f>
        <v>0</v>
      </c>
      <c r="AI398" s="243" t="str">
        <f>IF($Z398="","",RANK(AE398,$AE$2:$AE$1001)+COUNTIF($AE$2:AE398,AE398)-1)</f>
        <v/>
      </c>
      <c r="AJ398" s="243" t="str">
        <f>IF($AD398&lt;0,COUNT($AJ$1:AJ397)+1,"")</f>
        <v/>
      </c>
      <c r="AL398" s="243" t="str">
        <f>'All Ticker P&amp;L'!A398</f>
        <v/>
      </c>
      <c r="AM398" s="243" t="str">
        <f>'All Ticker P&amp;L'!B398</f>
        <v/>
      </c>
      <c r="AN398" s="243" t="str">
        <f>'All Ticker P&amp;L'!C398</f>
        <v/>
      </c>
      <c r="AO398" s="243" t="str">
        <f>'All Ticker P&amp;L'!D398</f>
        <v/>
      </c>
      <c r="AP398" s="243">
        <f>IF($AL398="",0,'All Ticker P&amp;L'!E398)</f>
        <v>0</v>
      </c>
      <c r="AQ398" s="266">
        <f>IF($AL398="",0,'All Ticker P&amp;L'!J398*'All Ticker P&amp;L'!I398)</f>
        <v>0</v>
      </c>
      <c r="AR398" s="266">
        <f>IF($AL398="",0,'All Ticker P&amp;L'!L398)</f>
        <v>0</v>
      </c>
      <c r="AS398" s="267">
        <f>IF($AL398="",0,'All Ticker P&amp;L'!M398)</f>
        <v>0</v>
      </c>
      <c r="AT398" s="243" t="str">
        <f>IF($AL398="","",RANK(AR398,$AR$2:$AR$1001)+COUNTIF($AR$2:AR398,AR398)-1)</f>
        <v/>
      </c>
      <c r="AU398" s="243" t="str">
        <f>IF($AL398="","",RANK(AV398,$AV$2:$AV$1001)+COUNTIF($AV$2:AV398,AV398)-1)</f>
        <v/>
      </c>
      <c r="AV398" s="266">
        <f t="shared" si="44"/>
        <v>0</v>
      </c>
    </row>
    <row r="399" spans="26:48" ht="15" customHeight="1" x14ac:dyDescent="0.2">
      <c r="Z399" s="243" t="str">
        <f>Shares!A399</f>
        <v/>
      </c>
      <c r="AA399" s="243" t="str">
        <f>Shares!B399</f>
        <v/>
      </c>
      <c r="AB399" s="243" t="str">
        <f>Shares!C399</f>
        <v/>
      </c>
      <c r="AC399" s="243" t="str">
        <f>Shares!D399</f>
        <v/>
      </c>
      <c r="AD399" s="243">
        <f>IF($Z399="",0,Shares!E399)</f>
        <v>0</v>
      </c>
      <c r="AE399" s="266">
        <f>IF($Z399="",0,Shares!J399*Shares!I399)</f>
        <v>0</v>
      </c>
      <c r="AF399" s="267">
        <f t="shared" si="43"/>
        <v>0</v>
      </c>
      <c r="AG399" s="266">
        <f>IF($Z399="",0,Shares!L399)</f>
        <v>0</v>
      </c>
      <c r="AH399" s="267">
        <f>IF($Z399="",0,Shares!M399)</f>
        <v>0</v>
      </c>
      <c r="AI399" s="243" t="str">
        <f>IF($Z399="","",RANK(AE399,$AE$2:$AE$1001)+COUNTIF($AE$2:AE399,AE399)-1)</f>
        <v/>
      </c>
      <c r="AJ399" s="243" t="str">
        <f>IF($AD399&lt;0,COUNT($AJ$1:AJ398)+1,"")</f>
        <v/>
      </c>
      <c r="AL399" s="243" t="str">
        <f>'All Ticker P&amp;L'!A399</f>
        <v/>
      </c>
      <c r="AM399" s="243" t="str">
        <f>'All Ticker P&amp;L'!B399</f>
        <v/>
      </c>
      <c r="AN399" s="243" t="str">
        <f>'All Ticker P&amp;L'!C399</f>
        <v/>
      </c>
      <c r="AO399" s="243" t="str">
        <f>'All Ticker P&amp;L'!D399</f>
        <v/>
      </c>
      <c r="AP399" s="243">
        <f>IF($AL399="",0,'All Ticker P&amp;L'!E399)</f>
        <v>0</v>
      </c>
      <c r="AQ399" s="266">
        <f>IF($AL399="",0,'All Ticker P&amp;L'!J399*'All Ticker P&amp;L'!I399)</f>
        <v>0</v>
      </c>
      <c r="AR399" s="266">
        <f>IF($AL399="",0,'All Ticker P&amp;L'!L399)</f>
        <v>0</v>
      </c>
      <c r="AS399" s="267">
        <f>IF($AL399="",0,'All Ticker P&amp;L'!M399)</f>
        <v>0</v>
      </c>
      <c r="AT399" s="243" t="str">
        <f>IF($AL399="","",RANK(AR399,$AR$2:$AR$1001)+COUNTIF($AR$2:AR399,AR399)-1)</f>
        <v/>
      </c>
      <c r="AU399" s="243" t="str">
        <f>IF($AL399="","",RANK(AV399,$AV$2:$AV$1001)+COUNTIF($AV$2:AV399,AV399)-1)</f>
        <v/>
      </c>
      <c r="AV399" s="266">
        <f t="shared" si="44"/>
        <v>0</v>
      </c>
    </row>
    <row r="400" spans="26:48" ht="15" customHeight="1" x14ac:dyDescent="0.2">
      <c r="Z400" s="243" t="str">
        <f>Shares!A400</f>
        <v/>
      </c>
      <c r="AA400" s="243" t="str">
        <f>Shares!B400</f>
        <v/>
      </c>
      <c r="AB400" s="243" t="str">
        <f>Shares!C400</f>
        <v/>
      </c>
      <c r="AC400" s="243" t="str">
        <f>Shares!D400</f>
        <v/>
      </c>
      <c r="AD400" s="243">
        <f>IF($Z400="",0,Shares!E400)</f>
        <v>0</v>
      </c>
      <c r="AE400" s="266">
        <f>IF($Z400="",0,Shares!J400*Shares!I400)</f>
        <v>0</v>
      </c>
      <c r="AF400" s="267">
        <f t="shared" si="43"/>
        <v>0</v>
      </c>
      <c r="AG400" s="266">
        <f>IF($Z400="",0,Shares!L400)</f>
        <v>0</v>
      </c>
      <c r="AH400" s="267">
        <f>IF($Z400="",0,Shares!M400)</f>
        <v>0</v>
      </c>
      <c r="AI400" s="243" t="str">
        <f>IF($Z400="","",RANK(AE400,$AE$2:$AE$1001)+COUNTIF($AE$2:AE400,AE400)-1)</f>
        <v/>
      </c>
      <c r="AJ400" s="243" t="str">
        <f>IF($AD400&lt;0,COUNT($AJ$1:AJ399)+1,"")</f>
        <v/>
      </c>
      <c r="AL400" s="243" t="str">
        <f>'All Ticker P&amp;L'!A400</f>
        <v/>
      </c>
      <c r="AM400" s="243" t="str">
        <f>'All Ticker P&amp;L'!B400</f>
        <v/>
      </c>
      <c r="AN400" s="243" t="str">
        <f>'All Ticker P&amp;L'!C400</f>
        <v/>
      </c>
      <c r="AO400" s="243" t="str">
        <f>'All Ticker P&amp;L'!D400</f>
        <v/>
      </c>
      <c r="AP400" s="243">
        <f>IF($AL400="",0,'All Ticker P&amp;L'!E400)</f>
        <v>0</v>
      </c>
      <c r="AQ400" s="266">
        <f>IF($AL400="",0,'All Ticker P&amp;L'!J400*'All Ticker P&amp;L'!I400)</f>
        <v>0</v>
      </c>
      <c r="AR400" s="266">
        <f>IF($AL400="",0,'All Ticker P&amp;L'!L400)</f>
        <v>0</v>
      </c>
      <c r="AS400" s="267">
        <f>IF($AL400="",0,'All Ticker P&amp;L'!M400)</f>
        <v>0</v>
      </c>
      <c r="AT400" s="243" t="str">
        <f>IF($AL400="","",RANK(AR400,$AR$2:$AR$1001)+COUNTIF($AR$2:AR400,AR400)-1)</f>
        <v/>
      </c>
      <c r="AU400" s="243" t="str">
        <f>IF($AL400="","",RANK(AV400,$AV$2:$AV$1001)+COUNTIF($AV$2:AV400,AV400)-1)</f>
        <v/>
      </c>
      <c r="AV400" s="266">
        <f t="shared" si="44"/>
        <v>0</v>
      </c>
    </row>
    <row r="401" spans="26:48" ht="15" customHeight="1" x14ac:dyDescent="0.2">
      <c r="Z401" s="243" t="str">
        <f>Shares!A401</f>
        <v/>
      </c>
      <c r="AA401" s="243" t="str">
        <f>Shares!B401</f>
        <v/>
      </c>
      <c r="AB401" s="243" t="str">
        <f>Shares!C401</f>
        <v/>
      </c>
      <c r="AC401" s="243" t="str">
        <f>Shares!D401</f>
        <v/>
      </c>
      <c r="AD401" s="243">
        <f>IF($Z401="",0,Shares!E401)</f>
        <v>0</v>
      </c>
      <c r="AE401" s="266">
        <f>IF($Z401="",0,Shares!J401*Shares!I401)</f>
        <v>0</v>
      </c>
      <c r="AF401" s="267">
        <f t="shared" si="43"/>
        <v>0</v>
      </c>
      <c r="AG401" s="266">
        <f>IF($Z401="",0,Shares!L401)</f>
        <v>0</v>
      </c>
      <c r="AH401" s="267">
        <f>IF($Z401="",0,Shares!M401)</f>
        <v>0</v>
      </c>
      <c r="AI401" s="243" t="str">
        <f>IF($Z401="","",RANK(AE401,$AE$2:$AE$1001)+COUNTIF($AE$2:AE401,AE401)-1)</f>
        <v/>
      </c>
      <c r="AJ401" s="243" t="str">
        <f>IF($AD401&lt;0,COUNT($AJ$1:AJ400)+1,"")</f>
        <v/>
      </c>
      <c r="AL401" s="243" t="str">
        <f>'All Ticker P&amp;L'!A401</f>
        <v/>
      </c>
      <c r="AM401" s="243" t="str">
        <f>'All Ticker P&amp;L'!B401</f>
        <v/>
      </c>
      <c r="AN401" s="243" t="str">
        <f>'All Ticker P&amp;L'!C401</f>
        <v/>
      </c>
      <c r="AO401" s="243" t="str">
        <f>'All Ticker P&amp;L'!D401</f>
        <v/>
      </c>
      <c r="AP401" s="243">
        <f>IF($AL401="",0,'All Ticker P&amp;L'!E401)</f>
        <v>0</v>
      </c>
      <c r="AQ401" s="266">
        <f>IF($AL401="",0,'All Ticker P&amp;L'!J401*'All Ticker P&amp;L'!I401)</f>
        <v>0</v>
      </c>
      <c r="AR401" s="266">
        <f>IF($AL401="",0,'All Ticker P&amp;L'!L401)</f>
        <v>0</v>
      </c>
      <c r="AS401" s="267">
        <f>IF($AL401="",0,'All Ticker P&amp;L'!M401)</f>
        <v>0</v>
      </c>
      <c r="AT401" s="243" t="str">
        <f>IF($AL401="","",RANK(AR401,$AR$2:$AR$1001)+COUNTIF($AR$2:AR401,AR401)-1)</f>
        <v/>
      </c>
      <c r="AU401" s="243" t="str">
        <f>IF($AL401="","",RANK(AV401,$AV$2:$AV$1001)+COUNTIF($AV$2:AV401,AV401)-1)</f>
        <v/>
      </c>
      <c r="AV401" s="266">
        <f t="shared" si="44"/>
        <v>0</v>
      </c>
    </row>
    <row r="402" spans="26:48" ht="15" customHeight="1" x14ac:dyDescent="0.2">
      <c r="Z402" s="243" t="str">
        <f>Shares!A402</f>
        <v/>
      </c>
      <c r="AA402" s="243" t="str">
        <f>Shares!B402</f>
        <v/>
      </c>
      <c r="AB402" s="243" t="str">
        <f>Shares!C402</f>
        <v/>
      </c>
      <c r="AC402" s="243" t="str">
        <f>Shares!D402</f>
        <v/>
      </c>
      <c r="AD402" s="243">
        <f>IF($Z402="",0,Shares!E402)</f>
        <v>0</v>
      </c>
      <c r="AE402" s="266">
        <f>IF($Z402="",0,Shares!J402*Shares!I402)</f>
        <v>0</v>
      </c>
      <c r="AF402" s="267">
        <f t="shared" si="43"/>
        <v>0</v>
      </c>
      <c r="AG402" s="266">
        <f>IF($Z402="",0,Shares!L402)</f>
        <v>0</v>
      </c>
      <c r="AH402" s="267">
        <f>IF($Z402="",0,Shares!M402)</f>
        <v>0</v>
      </c>
      <c r="AI402" s="243" t="str">
        <f>IF($Z402="","",RANK(AE402,$AE$2:$AE$1001)+COUNTIF($AE$2:AE402,AE402)-1)</f>
        <v/>
      </c>
      <c r="AJ402" s="243" t="str">
        <f>IF($AD402&lt;0,COUNT($AJ$1:AJ401)+1,"")</f>
        <v/>
      </c>
      <c r="AL402" s="243" t="str">
        <f>'All Ticker P&amp;L'!A402</f>
        <v/>
      </c>
      <c r="AM402" s="243" t="str">
        <f>'All Ticker P&amp;L'!B402</f>
        <v/>
      </c>
      <c r="AN402" s="243" t="str">
        <f>'All Ticker P&amp;L'!C402</f>
        <v/>
      </c>
      <c r="AO402" s="243" t="str">
        <f>'All Ticker P&amp;L'!D402</f>
        <v/>
      </c>
      <c r="AP402" s="243">
        <f>IF($AL402="",0,'All Ticker P&amp;L'!E402)</f>
        <v>0</v>
      </c>
      <c r="AQ402" s="266">
        <f>IF($AL402="",0,'All Ticker P&amp;L'!J402*'All Ticker P&amp;L'!I402)</f>
        <v>0</v>
      </c>
      <c r="AR402" s="266">
        <f>IF($AL402="",0,'All Ticker P&amp;L'!L402)</f>
        <v>0</v>
      </c>
      <c r="AS402" s="267">
        <f>IF($AL402="",0,'All Ticker P&amp;L'!M402)</f>
        <v>0</v>
      </c>
      <c r="AT402" s="243" t="str">
        <f>IF($AL402="","",RANK(AR402,$AR$2:$AR$1001)+COUNTIF($AR$2:AR402,AR402)-1)</f>
        <v/>
      </c>
      <c r="AU402" s="243" t="str">
        <f>IF($AL402="","",RANK(AV402,$AV$2:$AV$1001)+COUNTIF($AV$2:AV402,AV402)-1)</f>
        <v/>
      </c>
      <c r="AV402" s="266">
        <f t="shared" si="44"/>
        <v>0</v>
      </c>
    </row>
    <row r="403" spans="26:48" ht="15" customHeight="1" x14ac:dyDescent="0.2">
      <c r="Z403" s="243" t="str">
        <f>Shares!A403</f>
        <v/>
      </c>
      <c r="AA403" s="243" t="str">
        <f>Shares!B403</f>
        <v/>
      </c>
      <c r="AB403" s="243" t="str">
        <f>Shares!C403</f>
        <v/>
      </c>
      <c r="AC403" s="243" t="str">
        <f>Shares!D403</f>
        <v/>
      </c>
      <c r="AD403" s="243">
        <f>IF($Z403="",0,Shares!E403)</f>
        <v>0</v>
      </c>
      <c r="AE403" s="266">
        <f>IF($Z403="",0,Shares!J403*Shares!I403)</f>
        <v>0</v>
      </c>
      <c r="AF403" s="267">
        <f t="shared" si="43"/>
        <v>0</v>
      </c>
      <c r="AG403" s="266">
        <f>IF($Z403="",0,Shares!L403)</f>
        <v>0</v>
      </c>
      <c r="AH403" s="267">
        <f>IF($Z403="",0,Shares!M403)</f>
        <v>0</v>
      </c>
      <c r="AI403" s="243" t="str">
        <f>IF($Z403="","",RANK(AE403,$AE$2:$AE$1001)+COUNTIF($AE$2:AE403,AE403)-1)</f>
        <v/>
      </c>
      <c r="AJ403" s="243" t="str">
        <f>IF($AD403&lt;0,COUNT($AJ$1:AJ402)+1,"")</f>
        <v/>
      </c>
      <c r="AL403" s="243" t="str">
        <f>'All Ticker P&amp;L'!A403</f>
        <v/>
      </c>
      <c r="AM403" s="243" t="str">
        <f>'All Ticker P&amp;L'!B403</f>
        <v/>
      </c>
      <c r="AN403" s="243" t="str">
        <f>'All Ticker P&amp;L'!C403</f>
        <v/>
      </c>
      <c r="AO403" s="243" t="str">
        <f>'All Ticker P&amp;L'!D403</f>
        <v/>
      </c>
      <c r="AP403" s="243">
        <f>IF($AL403="",0,'All Ticker P&amp;L'!E403)</f>
        <v>0</v>
      </c>
      <c r="AQ403" s="266">
        <f>IF($AL403="",0,'All Ticker P&amp;L'!J403*'All Ticker P&amp;L'!I403)</f>
        <v>0</v>
      </c>
      <c r="AR403" s="266">
        <f>IF($AL403="",0,'All Ticker P&amp;L'!L403)</f>
        <v>0</v>
      </c>
      <c r="AS403" s="267">
        <f>IF($AL403="",0,'All Ticker P&amp;L'!M403)</f>
        <v>0</v>
      </c>
      <c r="AT403" s="243" t="str">
        <f>IF($AL403="","",RANK(AR403,$AR$2:$AR$1001)+COUNTIF($AR$2:AR403,AR403)-1)</f>
        <v/>
      </c>
      <c r="AU403" s="243" t="str">
        <f>IF($AL403="","",RANK(AV403,$AV$2:$AV$1001)+COUNTIF($AV$2:AV403,AV403)-1)</f>
        <v/>
      </c>
      <c r="AV403" s="266">
        <f t="shared" si="44"/>
        <v>0</v>
      </c>
    </row>
    <row r="404" spans="26:48" ht="15" customHeight="1" x14ac:dyDescent="0.2">
      <c r="Z404" s="243" t="str">
        <f>Shares!A404</f>
        <v/>
      </c>
      <c r="AA404" s="243" t="str">
        <f>Shares!B404</f>
        <v/>
      </c>
      <c r="AB404" s="243" t="str">
        <f>Shares!C404</f>
        <v/>
      </c>
      <c r="AC404" s="243" t="str">
        <f>Shares!D404</f>
        <v/>
      </c>
      <c r="AD404" s="243">
        <f>IF($Z404="",0,Shares!E404)</f>
        <v>0</v>
      </c>
      <c r="AE404" s="266">
        <f>IF($Z404="",0,Shares!J404*Shares!I404)</f>
        <v>0</v>
      </c>
      <c r="AF404" s="267">
        <f t="shared" si="43"/>
        <v>0</v>
      </c>
      <c r="AG404" s="266">
        <f>IF($Z404="",0,Shares!L404)</f>
        <v>0</v>
      </c>
      <c r="AH404" s="267">
        <f>IF($Z404="",0,Shares!M404)</f>
        <v>0</v>
      </c>
      <c r="AI404" s="243" t="str">
        <f>IF($Z404="","",RANK(AE404,$AE$2:$AE$1001)+COUNTIF($AE$2:AE404,AE404)-1)</f>
        <v/>
      </c>
      <c r="AJ404" s="243" t="str">
        <f>IF($AD404&lt;0,COUNT($AJ$1:AJ403)+1,"")</f>
        <v/>
      </c>
      <c r="AL404" s="243" t="str">
        <f>'All Ticker P&amp;L'!A404</f>
        <v/>
      </c>
      <c r="AM404" s="243" t="str">
        <f>'All Ticker P&amp;L'!B404</f>
        <v/>
      </c>
      <c r="AN404" s="243" t="str">
        <f>'All Ticker P&amp;L'!C404</f>
        <v/>
      </c>
      <c r="AO404" s="243" t="str">
        <f>'All Ticker P&amp;L'!D404</f>
        <v/>
      </c>
      <c r="AP404" s="243">
        <f>IF($AL404="",0,'All Ticker P&amp;L'!E404)</f>
        <v>0</v>
      </c>
      <c r="AQ404" s="266">
        <f>IF($AL404="",0,'All Ticker P&amp;L'!J404*'All Ticker P&amp;L'!I404)</f>
        <v>0</v>
      </c>
      <c r="AR404" s="266">
        <f>IF($AL404="",0,'All Ticker P&amp;L'!L404)</f>
        <v>0</v>
      </c>
      <c r="AS404" s="267">
        <f>IF($AL404="",0,'All Ticker P&amp;L'!M404)</f>
        <v>0</v>
      </c>
      <c r="AT404" s="243" t="str">
        <f>IF($AL404="","",RANK(AR404,$AR$2:$AR$1001)+COUNTIF($AR$2:AR404,AR404)-1)</f>
        <v/>
      </c>
      <c r="AU404" s="243" t="str">
        <f>IF($AL404="","",RANK(AV404,$AV$2:$AV$1001)+COUNTIF($AV$2:AV404,AV404)-1)</f>
        <v/>
      </c>
      <c r="AV404" s="266">
        <f t="shared" si="44"/>
        <v>0</v>
      </c>
    </row>
    <row r="405" spans="26:48" ht="15" customHeight="1" x14ac:dyDescent="0.2">
      <c r="Z405" s="243" t="str">
        <f>Shares!A405</f>
        <v/>
      </c>
      <c r="AA405" s="243" t="str">
        <f>Shares!B405</f>
        <v/>
      </c>
      <c r="AB405" s="243" t="str">
        <f>Shares!C405</f>
        <v/>
      </c>
      <c r="AC405" s="243" t="str">
        <f>Shares!D405</f>
        <v/>
      </c>
      <c r="AD405" s="243">
        <f>IF($Z405="",0,Shares!E405)</f>
        <v>0</v>
      </c>
      <c r="AE405" s="266">
        <f>IF($Z405="",0,Shares!J405*Shares!I405)</f>
        <v>0</v>
      </c>
      <c r="AF405" s="267">
        <f t="shared" si="43"/>
        <v>0</v>
      </c>
      <c r="AG405" s="266">
        <f>IF($Z405="",0,Shares!L405)</f>
        <v>0</v>
      </c>
      <c r="AH405" s="267">
        <f>IF($Z405="",0,Shares!M405)</f>
        <v>0</v>
      </c>
      <c r="AI405" s="243" t="str">
        <f>IF($Z405="","",RANK(AE405,$AE$2:$AE$1001)+COUNTIF($AE$2:AE405,AE405)-1)</f>
        <v/>
      </c>
      <c r="AJ405" s="243" t="str">
        <f>IF($AD405&lt;0,COUNT($AJ$1:AJ404)+1,"")</f>
        <v/>
      </c>
      <c r="AL405" s="243" t="str">
        <f>'All Ticker P&amp;L'!A405</f>
        <v/>
      </c>
      <c r="AM405" s="243" t="str">
        <f>'All Ticker P&amp;L'!B405</f>
        <v/>
      </c>
      <c r="AN405" s="243" t="str">
        <f>'All Ticker P&amp;L'!C405</f>
        <v/>
      </c>
      <c r="AO405" s="243" t="str">
        <f>'All Ticker P&amp;L'!D405</f>
        <v/>
      </c>
      <c r="AP405" s="243">
        <f>IF($AL405="",0,'All Ticker P&amp;L'!E405)</f>
        <v>0</v>
      </c>
      <c r="AQ405" s="266">
        <f>IF($AL405="",0,'All Ticker P&amp;L'!J405*'All Ticker P&amp;L'!I405)</f>
        <v>0</v>
      </c>
      <c r="AR405" s="266">
        <f>IF($AL405="",0,'All Ticker P&amp;L'!L405)</f>
        <v>0</v>
      </c>
      <c r="AS405" s="267">
        <f>IF($AL405="",0,'All Ticker P&amp;L'!M405)</f>
        <v>0</v>
      </c>
      <c r="AT405" s="243" t="str">
        <f>IF($AL405="","",RANK(AR405,$AR$2:$AR$1001)+COUNTIF($AR$2:AR405,AR405)-1)</f>
        <v/>
      </c>
      <c r="AU405" s="243" t="str">
        <f>IF($AL405="","",RANK(AV405,$AV$2:$AV$1001)+COUNTIF($AV$2:AV405,AV405)-1)</f>
        <v/>
      </c>
      <c r="AV405" s="266">
        <f t="shared" si="44"/>
        <v>0</v>
      </c>
    </row>
    <row r="406" spans="26:48" ht="15" customHeight="1" x14ac:dyDescent="0.2">
      <c r="Z406" s="243" t="str">
        <f>Shares!A406</f>
        <v/>
      </c>
      <c r="AA406" s="243" t="str">
        <f>Shares!B406</f>
        <v/>
      </c>
      <c r="AB406" s="243" t="str">
        <f>Shares!C406</f>
        <v/>
      </c>
      <c r="AC406" s="243" t="str">
        <f>Shares!D406</f>
        <v/>
      </c>
      <c r="AD406" s="243">
        <f>IF($Z406="",0,Shares!E406)</f>
        <v>0</v>
      </c>
      <c r="AE406" s="266">
        <f>IF($Z406="",0,Shares!J406*Shares!I406)</f>
        <v>0</v>
      </c>
      <c r="AF406" s="267">
        <f t="shared" si="43"/>
        <v>0</v>
      </c>
      <c r="AG406" s="266">
        <f>IF($Z406="",0,Shares!L406)</f>
        <v>0</v>
      </c>
      <c r="AH406" s="267">
        <f>IF($Z406="",0,Shares!M406)</f>
        <v>0</v>
      </c>
      <c r="AI406" s="243" t="str">
        <f>IF($Z406="","",RANK(AE406,$AE$2:$AE$1001)+COUNTIF($AE$2:AE406,AE406)-1)</f>
        <v/>
      </c>
      <c r="AJ406" s="243" t="str">
        <f>IF($AD406&lt;0,COUNT($AJ$1:AJ405)+1,"")</f>
        <v/>
      </c>
      <c r="AL406" s="243" t="str">
        <f>'All Ticker P&amp;L'!A406</f>
        <v/>
      </c>
      <c r="AM406" s="243" t="str">
        <f>'All Ticker P&amp;L'!B406</f>
        <v/>
      </c>
      <c r="AN406" s="243" t="str">
        <f>'All Ticker P&amp;L'!C406</f>
        <v/>
      </c>
      <c r="AO406" s="243" t="str">
        <f>'All Ticker P&amp;L'!D406</f>
        <v/>
      </c>
      <c r="AP406" s="243">
        <f>IF($AL406="",0,'All Ticker P&amp;L'!E406)</f>
        <v>0</v>
      </c>
      <c r="AQ406" s="266">
        <f>IF($AL406="",0,'All Ticker P&amp;L'!J406*'All Ticker P&amp;L'!I406)</f>
        <v>0</v>
      </c>
      <c r="AR406" s="266">
        <f>IF($AL406="",0,'All Ticker P&amp;L'!L406)</f>
        <v>0</v>
      </c>
      <c r="AS406" s="267">
        <f>IF($AL406="",0,'All Ticker P&amp;L'!M406)</f>
        <v>0</v>
      </c>
      <c r="AT406" s="243" t="str">
        <f>IF($AL406="","",RANK(AR406,$AR$2:$AR$1001)+COUNTIF($AR$2:AR406,AR406)-1)</f>
        <v/>
      </c>
      <c r="AU406" s="243" t="str">
        <f>IF($AL406="","",RANK(AV406,$AV$2:$AV$1001)+COUNTIF($AV$2:AV406,AV406)-1)</f>
        <v/>
      </c>
      <c r="AV406" s="266">
        <f t="shared" si="44"/>
        <v>0</v>
      </c>
    </row>
    <row r="407" spans="26:48" ht="15" customHeight="1" x14ac:dyDescent="0.2">
      <c r="Z407" s="243" t="str">
        <f>Shares!A407</f>
        <v/>
      </c>
      <c r="AA407" s="243" t="str">
        <f>Shares!B407</f>
        <v/>
      </c>
      <c r="AB407" s="243" t="str">
        <f>Shares!C407</f>
        <v/>
      </c>
      <c r="AC407" s="243" t="str">
        <f>Shares!D407</f>
        <v/>
      </c>
      <c r="AD407" s="243">
        <f>IF($Z407="",0,Shares!E407)</f>
        <v>0</v>
      </c>
      <c r="AE407" s="266">
        <f>IF($Z407="",0,Shares!J407*Shares!I407)</f>
        <v>0</v>
      </c>
      <c r="AF407" s="267">
        <f t="shared" si="43"/>
        <v>0</v>
      </c>
      <c r="AG407" s="266">
        <f>IF($Z407="",0,Shares!L407)</f>
        <v>0</v>
      </c>
      <c r="AH407" s="267">
        <f>IF($Z407="",0,Shares!M407)</f>
        <v>0</v>
      </c>
      <c r="AI407" s="243" t="str">
        <f>IF($Z407="","",RANK(AE407,$AE$2:$AE$1001)+COUNTIF($AE$2:AE407,AE407)-1)</f>
        <v/>
      </c>
      <c r="AJ407" s="243" t="str">
        <f>IF($AD407&lt;0,COUNT($AJ$1:AJ406)+1,"")</f>
        <v/>
      </c>
      <c r="AL407" s="243" t="str">
        <f>'All Ticker P&amp;L'!A407</f>
        <v/>
      </c>
      <c r="AM407" s="243" t="str">
        <f>'All Ticker P&amp;L'!B407</f>
        <v/>
      </c>
      <c r="AN407" s="243" t="str">
        <f>'All Ticker P&amp;L'!C407</f>
        <v/>
      </c>
      <c r="AO407" s="243" t="str">
        <f>'All Ticker P&amp;L'!D407</f>
        <v/>
      </c>
      <c r="AP407" s="243">
        <f>IF($AL407="",0,'All Ticker P&amp;L'!E407)</f>
        <v>0</v>
      </c>
      <c r="AQ407" s="266">
        <f>IF($AL407="",0,'All Ticker P&amp;L'!J407*'All Ticker P&amp;L'!I407)</f>
        <v>0</v>
      </c>
      <c r="AR407" s="266">
        <f>IF($AL407="",0,'All Ticker P&amp;L'!L407)</f>
        <v>0</v>
      </c>
      <c r="AS407" s="267">
        <f>IF($AL407="",0,'All Ticker P&amp;L'!M407)</f>
        <v>0</v>
      </c>
      <c r="AT407" s="243" t="str">
        <f>IF($AL407="","",RANK(AR407,$AR$2:$AR$1001)+COUNTIF($AR$2:AR407,AR407)-1)</f>
        <v/>
      </c>
      <c r="AU407" s="243" t="str">
        <f>IF($AL407="","",RANK(AV407,$AV$2:$AV$1001)+COUNTIF($AV$2:AV407,AV407)-1)</f>
        <v/>
      </c>
      <c r="AV407" s="266">
        <f t="shared" si="44"/>
        <v>0</v>
      </c>
    </row>
    <row r="408" spans="26:48" ht="15" customHeight="1" x14ac:dyDescent="0.2">
      <c r="Z408" s="243" t="str">
        <f>Shares!A408</f>
        <v/>
      </c>
      <c r="AA408" s="243" t="str">
        <f>Shares!B408</f>
        <v/>
      </c>
      <c r="AB408" s="243" t="str">
        <f>Shares!C408</f>
        <v/>
      </c>
      <c r="AC408" s="243" t="str">
        <f>Shares!D408</f>
        <v/>
      </c>
      <c r="AD408" s="243">
        <f>IF($Z408="",0,Shares!E408)</f>
        <v>0</v>
      </c>
      <c r="AE408" s="266">
        <f>IF($Z408="",0,Shares!J408*Shares!I408)</f>
        <v>0</v>
      </c>
      <c r="AF408" s="267">
        <f t="shared" si="43"/>
        <v>0</v>
      </c>
      <c r="AG408" s="266">
        <f>IF($Z408="",0,Shares!L408)</f>
        <v>0</v>
      </c>
      <c r="AH408" s="267">
        <f>IF($Z408="",0,Shares!M408)</f>
        <v>0</v>
      </c>
      <c r="AI408" s="243" t="str">
        <f>IF($Z408="","",RANK(AE408,$AE$2:$AE$1001)+COUNTIF($AE$2:AE408,AE408)-1)</f>
        <v/>
      </c>
      <c r="AJ408" s="243" t="str">
        <f>IF($AD408&lt;0,COUNT($AJ$1:AJ407)+1,"")</f>
        <v/>
      </c>
      <c r="AL408" s="243" t="str">
        <f>'All Ticker P&amp;L'!A408</f>
        <v/>
      </c>
      <c r="AM408" s="243" t="str">
        <f>'All Ticker P&amp;L'!B408</f>
        <v/>
      </c>
      <c r="AN408" s="243" t="str">
        <f>'All Ticker P&amp;L'!C408</f>
        <v/>
      </c>
      <c r="AO408" s="243" t="str">
        <f>'All Ticker P&amp;L'!D408</f>
        <v/>
      </c>
      <c r="AP408" s="243">
        <f>IF($AL408="",0,'All Ticker P&amp;L'!E408)</f>
        <v>0</v>
      </c>
      <c r="AQ408" s="266">
        <f>IF($AL408="",0,'All Ticker P&amp;L'!J408*'All Ticker P&amp;L'!I408)</f>
        <v>0</v>
      </c>
      <c r="AR408" s="266">
        <f>IF($AL408="",0,'All Ticker P&amp;L'!L408)</f>
        <v>0</v>
      </c>
      <c r="AS408" s="267">
        <f>IF($AL408="",0,'All Ticker P&amp;L'!M408)</f>
        <v>0</v>
      </c>
      <c r="AT408" s="243" t="str">
        <f>IF($AL408="","",RANK(AR408,$AR$2:$AR$1001)+COUNTIF($AR$2:AR408,AR408)-1)</f>
        <v/>
      </c>
      <c r="AU408" s="243" t="str">
        <f>IF($AL408="","",RANK(AV408,$AV$2:$AV$1001)+COUNTIF($AV$2:AV408,AV408)-1)</f>
        <v/>
      </c>
      <c r="AV408" s="266">
        <f t="shared" si="44"/>
        <v>0</v>
      </c>
    </row>
    <row r="409" spans="26:48" ht="15" customHeight="1" x14ac:dyDescent="0.2">
      <c r="Z409" s="243" t="str">
        <f>Shares!A409</f>
        <v/>
      </c>
      <c r="AA409" s="243" t="str">
        <f>Shares!B409</f>
        <v/>
      </c>
      <c r="AB409" s="243" t="str">
        <f>Shares!C409</f>
        <v/>
      </c>
      <c r="AC409" s="243" t="str">
        <f>Shares!D409</f>
        <v/>
      </c>
      <c r="AD409" s="243">
        <f>IF($Z409="",0,Shares!E409)</f>
        <v>0</v>
      </c>
      <c r="AE409" s="266">
        <f>IF($Z409="",0,Shares!J409*Shares!I409)</f>
        <v>0</v>
      </c>
      <c r="AF409" s="267">
        <f t="shared" si="43"/>
        <v>0</v>
      </c>
      <c r="AG409" s="266">
        <f>IF($Z409="",0,Shares!L409)</f>
        <v>0</v>
      </c>
      <c r="AH409" s="267">
        <f>IF($Z409="",0,Shares!M409)</f>
        <v>0</v>
      </c>
      <c r="AI409" s="243" t="str">
        <f>IF($Z409="","",RANK(AE409,$AE$2:$AE$1001)+COUNTIF($AE$2:AE409,AE409)-1)</f>
        <v/>
      </c>
      <c r="AJ409" s="243" t="str">
        <f>IF($AD409&lt;0,COUNT($AJ$1:AJ408)+1,"")</f>
        <v/>
      </c>
      <c r="AL409" s="243" t="str">
        <f>'All Ticker P&amp;L'!A409</f>
        <v/>
      </c>
      <c r="AM409" s="243" t="str">
        <f>'All Ticker P&amp;L'!B409</f>
        <v/>
      </c>
      <c r="AN409" s="243" t="str">
        <f>'All Ticker P&amp;L'!C409</f>
        <v/>
      </c>
      <c r="AO409" s="243" t="str">
        <f>'All Ticker P&amp;L'!D409</f>
        <v/>
      </c>
      <c r="AP409" s="243">
        <f>IF($AL409="",0,'All Ticker P&amp;L'!E409)</f>
        <v>0</v>
      </c>
      <c r="AQ409" s="266">
        <f>IF($AL409="",0,'All Ticker P&amp;L'!J409*'All Ticker P&amp;L'!I409)</f>
        <v>0</v>
      </c>
      <c r="AR409" s="266">
        <f>IF($AL409="",0,'All Ticker P&amp;L'!L409)</f>
        <v>0</v>
      </c>
      <c r="AS409" s="267">
        <f>IF($AL409="",0,'All Ticker P&amp;L'!M409)</f>
        <v>0</v>
      </c>
      <c r="AT409" s="243" t="str">
        <f>IF($AL409="","",RANK(AR409,$AR$2:$AR$1001)+COUNTIF($AR$2:AR409,AR409)-1)</f>
        <v/>
      </c>
      <c r="AU409" s="243" t="str">
        <f>IF($AL409="","",RANK(AV409,$AV$2:$AV$1001)+COUNTIF($AV$2:AV409,AV409)-1)</f>
        <v/>
      </c>
      <c r="AV409" s="266">
        <f t="shared" si="44"/>
        <v>0</v>
      </c>
    </row>
    <row r="410" spans="26:48" ht="15" customHeight="1" x14ac:dyDescent="0.2">
      <c r="Z410" s="243" t="str">
        <f>Shares!A410</f>
        <v/>
      </c>
      <c r="AA410" s="243" t="str">
        <f>Shares!B410</f>
        <v/>
      </c>
      <c r="AB410" s="243" t="str">
        <f>Shares!C410</f>
        <v/>
      </c>
      <c r="AC410" s="243" t="str">
        <f>Shares!D410</f>
        <v/>
      </c>
      <c r="AD410" s="243">
        <f>IF($Z410="",0,Shares!E410)</f>
        <v>0</v>
      </c>
      <c r="AE410" s="266">
        <f>IF($Z410="",0,Shares!J410*Shares!I410)</f>
        <v>0</v>
      </c>
      <c r="AF410" s="267">
        <f t="shared" si="43"/>
        <v>0</v>
      </c>
      <c r="AG410" s="266">
        <f>IF($Z410="",0,Shares!L410)</f>
        <v>0</v>
      </c>
      <c r="AH410" s="267">
        <f>IF($Z410="",0,Shares!M410)</f>
        <v>0</v>
      </c>
      <c r="AI410" s="243" t="str">
        <f>IF($Z410="","",RANK(AE410,$AE$2:$AE$1001)+COUNTIF($AE$2:AE410,AE410)-1)</f>
        <v/>
      </c>
      <c r="AJ410" s="243" t="str">
        <f>IF($AD410&lt;0,COUNT($AJ$1:AJ409)+1,"")</f>
        <v/>
      </c>
      <c r="AL410" s="243" t="str">
        <f>'All Ticker P&amp;L'!A410</f>
        <v/>
      </c>
      <c r="AM410" s="243" t="str">
        <f>'All Ticker P&amp;L'!B410</f>
        <v/>
      </c>
      <c r="AN410" s="243" t="str">
        <f>'All Ticker P&amp;L'!C410</f>
        <v/>
      </c>
      <c r="AO410" s="243" t="str">
        <f>'All Ticker P&amp;L'!D410</f>
        <v/>
      </c>
      <c r="AP410" s="243">
        <f>IF($AL410="",0,'All Ticker P&amp;L'!E410)</f>
        <v>0</v>
      </c>
      <c r="AQ410" s="266">
        <f>IF($AL410="",0,'All Ticker P&amp;L'!J410*'All Ticker P&amp;L'!I410)</f>
        <v>0</v>
      </c>
      <c r="AR410" s="266">
        <f>IF($AL410="",0,'All Ticker P&amp;L'!L410)</f>
        <v>0</v>
      </c>
      <c r="AS410" s="267">
        <f>IF($AL410="",0,'All Ticker P&amp;L'!M410)</f>
        <v>0</v>
      </c>
      <c r="AT410" s="243" t="str">
        <f>IF($AL410="","",RANK(AR410,$AR$2:$AR$1001)+COUNTIF($AR$2:AR410,AR410)-1)</f>
        <v/>
      </c>
      <c r="AU410" s="243" t="str">
        <f>IF($AL410="","",RANK(AV410,$AV$2:$AV$1001)+COUNTIF($AV$2:AV410,AV410)-1)</f>
        <v/>
      </c>
      <c r="AV410" s="266">
        <f t="shared" si="44"/>
        <v>0</v>
      </c>
    </row>
    <row r="411" spans="26:48" ht="15" customHeight="1" x14ac:dyDescent="0.2">
      <c r="Z411" s="243" t="str">
        <f>Shares!A411</f>
        <v/>
      </c>
      <c r="AA411" s="243" t="str">
        <f>Shares!B411</f>
        <v/>
      </c>
      <c r="AB411" s="243" t="str">
        <f>Shares!C411</f>
        <v/>
      </c>
      <c r="AC411" s="243" t="str">
        <f>Shares!D411</f>
        <v/>
      </c>
      <c r="AD411" s="243">
        <f>IF($Z411="",0,Shares!E411)</f>
        <v>0</v>
      </c>
      <c r="AE411" s="266">
        <f>IF($Z411="",0,Shares!J411*Shares!I411)</f>
        <v>0</v>
      </c>
      <c r="AF411" s="267">
        <f t="shared" si="43"/>
        <v>0</v>
      </c>
      <c r="AG411" s="266">
        <f>IF($Z411="",0,Shares!L411)</f>
        <v>0</v>
      </c>
      <c r="AH411" s="267">
        <f>IF($Z411="",0,Shares!M411)</f>
        <v>0</v>
      </c>
      <c r="AI411" s="243" t="str">
        <f>IF($Z411="","",RANK(AE411,$AE$2:$AE$1001)+COUNTIF($AE$2:AE411,AE411)-1)</f>
        <v/>
      </c>
      <c r="AJ411" s="243" t="str">
        <f>IF($AD411&lt;0,COUNT($AJ$1:AJ410)+1,"")</f>
        <v/>
      </c>
      <c r="AL411" s="243" t="str">
        <f>'All Ticker P&amp;L'!A411</f>
        <v/>
      </c>
      <c r="AM411" s="243" t="str">
        <f>'All Ticker P&amp;L'!B411</f>
        <v/>
      </c>
      <c r="AN411" s="243" t="str">
        <f>'All Ticker P&amp;L'!C411</f>
        <v/>
      </c>
      <c r="AO411" s="243" t="str">
        <f>'All Ticker P&amp;L'!D411</f>
        <v/>
      </c>
      <c r="AP411" s="243">
        <f>IF($AL411="",0,'All Ticker P&amp;L'!E411)</f>
        <v>0</v>
      </c>
      <c r="AQ411" s="266">
        <f>IF($AL411="",0,'All Ticker P&amp;L'!J411*'All Ticker P&amp;L'!I411)</f>
        <v>0</v>
      </c>
      <c r="AR411" s="266">
        <f>IF($AL411="",0,'All Ticker P&amp;L'!L411)</f>
        <v>0</v>
      </c>
      <c r="AS411" s="267">
        <f>IF($AL411="",0,'All Ticker P&amp;L'!M411)</f>
        <v>0</v>
      </c>
      <c r="AT411" s="243" t="str">
        <f>IF($AL411="","",RANK(AR411,$AR$2:$AR$1001)+COUNTIF($AR$2:AR411,AR411)-1)</f>
        <v/>
      </c>
      <c r="AU411" s="243" t="str">
        <f>IF($AL411="","",RANK(AV411,$AV$2:$AV$1001)+COUNTIF($AV$2:AV411,AV411)-1)</f>
        <v/>
      </c>
      <c r="AV411" s="266">
        <f t="shared" si="44"/>
        <v>0</v>
      </c>
    </row>
    <row r="412" spans="26:48" ht="15" customHeight="1" x14ac:dyDescent="0.2">
      <c r="Z412" s="243" t="str">
        <f>Shares!A412</f>
        <v/>
      </c>
      <c r="AA412" s="243" t="str">
        <f>Shares!B412</f>
        <v/>
      </c>
      <c r="AB412" s="243" t="str">
        <f>Shares!C412</f>
        <v/>
      </c>
      <c r="AC412" s="243" t="str">
        <f>Shares!D412</f>
        <v/>
      </c>
      <c r="AD412" s="243">
        <f>IF($Z412="",0,Shares!E412)</f>
        <v>0</v>
      </c>
      <c r="AE412" s="266">
        <f>IF($Z412="",0,Shares!J412*Shares!I412)</f>
        <v>0</v>
      </c>
      <c r="AF412" s="267">
        <f t="shared" si="43"/>
        <v>0</v>
      </c>
      <c r="AG412" s="266">
        <f>IF($Z412="",0,Shares!L412)</f>
        <v>0</v>
      </c>
      <c r="AH412" s="267">
        <f>IF($Z412="",0,Shares!M412)</f>
        <v>0</v>
      </c>
      <c r="AI412" s="243" t="str">
        <f>IF($Z412="","",RANK(AE412,$AE$2:$AE$1001)+COUNTIF($AE$2:AE412,AE412)-1)</f>
        <v/>
      </c>
      <c r="AJ412" s="243" t="str">
        <f>IF($AD412&lt;0,COUNT($AJ$1:AJ411)+1,"")</f>
        <v/>
      </c>
      <c r="AL412" s="243" t="str">
        <f>'All Ticker P&amp;L'!A412</f>
        <v/>
      </c>
      <c r="AM412" s="243" t="str">
        <f>'All Ticker P&amp;L'!B412</f>
        <v/>
      </c>
      <c r="AN412" s="243" t="str">
        <f>'All Ticker P&amp;L'!C412</f>
        <v/>
      </c>
      <c r="AO412" s="243" t="str">
        <f>'All Ticker P&amp;L'!D412</f>
        <v/>
      </c>
      <c r="AP412" s="243">
        <f>IF($AL412="",0,'All Ticker P&amp;L'!E412)</f>
        <v>0</v>
      </c>
      <c r="AQ412" s="266">
        <f>IF($AL412="",0,'All Ticker P&amp;L'!J412*'All Ticker P&amp;L'!I412)</f>
        <v>0</v>
      </c>
      <c r="AR412" s="266">
        <f>IF($AL412="",0,'All Ticker P&amp;L'!L412)</f>
        <v>0</v>
      </c>
      <c r="AS412" s="267">
        <f>IF($AL412="",0,'All Ticker P&amp;L'!M412)</f>
        <v>0</v>
      </c>
      <c r="AT412" s="243" t="str">
        <f>IF($AL412="","",RANK(AR412,$AR$2:$AR$1001)+COUNTIF($AR$2:AR412,AR412)-1)</f>
        <v/>
      </c>
      <c r="AU412" s="243" t="str">
        <f>IF($AL412="","",RANK(AV412,$AV$2:$AV$1001)+COUNTIF($AV$2:AV412,AV412)-1)</f>
        <v/>
      </c>
      <c r="AV412" s="266">
        <f t="shared" si="44"/>
        <v>0</v>
      </c>
    </row>
    <row r="413" spans="26:48" ht="15" customHeight="1" x14ac:dyDescent="0.2">
      <c r="Z413" s="243" t="str">
        <f>Shares!A413</f>
        <v/>
      </c>
      <c r="AA413" s="243" t="str">
        <f>Shares!B413</f>
        <v/>
      </c>
      <c r="AB413" s="243" t="str">
        <f>Shares!C413</f>
        <v/>
      </c>
      <c r="AC413" s="243" t="str">
        <f>Shares!D413</f>
        <v/>
      </c>
      <c r="AD413" s="243">
        <f>IF($Z413="",0,Shares!E413)</f>
        <v>0</v>
      </c>
      <c r="AE413" s="266">
        <f>IF($Z413="",0,Shares!J413*Shares!I413)</f>
        <v>0</v>
      </c>
      <c r="AF413" s="267">
        <f t="shared" si="43"/>
        <v>0</v>
      </c>
      <c r="AG413" s="266">
        <f>IF($Z413="",0,Shares!L413)</f>
        <v>0</v>
      </c>
      <c r="AH413" s="267">
        <f>IF($Z413="",0,Shares!M413)</f>
        <v>0</v>
      </c>
      <c r="AI413" s="243" t="str">
        <f>IF($Z413="","",RANK(AE413,$AE$2:$AE$1001)+COUNTIF($AE$2:AE413,AE413)-1)</f>
        <v/>
      </c>
      <c r="AJ413" s="243" t="str">
        <f>IF($AD413&lt;0,COUNT($AJ$1:AJ412)+1,"")</f>
        <v/>
      </c>
      <c r="AL413" s="243" t="str">
        <f>'All Ticker P&amp;L'!A413</f>
        <v/>
      </c>
      <c r="AM413" s="243" t="str">
        <f>'All Ticker P&amp;L'!B413</f>
        <v/>
      </c>
      <c r="AN413" s="243" t="str">
        <f>'All Ticker P&amp;L'!C413</f>
        <v/>
      </c>
      <c r="AO413" s="243" t="str">
        <f>'All Ticker P&amp;L'!D413</f>
        <v/>
      </c>
      <c r="AP413" s="243">
        <f>IF($AL413="",0,'All Ticker P&amp;L'!E413)</f>
        <v>0</v>
      </c>
      <c r="AQ413" s="266">
        <f>IF($AL413="",0,'All Ticker P&amp;L'!J413*'All Ticker P&amp;L'!I413)</f>
        <v>0</v>
      </c>
      <c r="AR413" s="266">
        <f>IF($AL413="",0,'All Ticker P&amp;L'!L413)</f>
        <v>0</v>
      </c>
      <c r="AS413" s="267">
        <f>IF($AL413="",0,'All Ticker P&amp;L'!M413)</f>
        <v>0</v>
      </c>
      <c r="AT413" s="243" t="str">
        <f>IF($AL413="","",RANK(AR413,$AR$2:$AR$1001)+COUNTIF($AR$2:AR413,AR413)-1)</f>
        <v/>
      </c>
      <c r="AU413" s="243" t="str">
        <f>IF($AL413="","",RANK(AV413,$AV$2:$AV$1001)+COUNTIF($AV$2:AV413,AV413)-1)</f>
        <v/>
      </c>
      <c r="AV413" s="266">
        <f t="shared" si="44"/>
        <v>0</v>
      </c>
    </row>
    <row r="414" spans="26:48" ht="15" customHeight="1" x14ac:dyDescent="0.2">
      <c r="Z414" s="243" t="str">
        <f>Shares!A414</f>
        <v/>
      </c>
      <c r="AA414" s="243" t="str">
        <f>Shares!B414</f>
        <v/>
      </c>
      <c r="AB414" s="243" t="str">
        <f>Shares!C414</f>
        <v/>
      </c>
      <c r="AC414" s="243" t="str">
        <f>Shares!D414</f>
        <v/>
      </c>
      <c r="AD414" s="243">
        <f>IF($Z414="",0,Shares!E414)</f>
        <v>0</v>
      </c>
      <c r="AE414" s="266">
        <f>IF($Z414="",0,Shares!J414*Shares!I414)</f>
        <v>0</v>
      </c>
      <c r="AF414" s="267">
        <f t="shared" si="43"/>
        <v>0</v>
      </c>
      <c r="AG414" s="266">
        <f>IF($Z414="",0,Shares!L414)</f>
        <v>0</v>
      </c>
      <c r="AH414" s="267">
        <f>IF($Z414="",0,Shares!M414)</f>
        <v>0</v>
      </c>
      <c r="AI414" s="243" t="str">
        <f>IF($Z414="","",RANK(AE414,$AE$2:$AE$1001)+COUNTIF($AE$2:AE414,AE414)-1)</f>
        <v/>
      </c>
      <c r="AJ414" s="243" t="str">
        <f>IF($AD414&lt;0,COUNT($AJ$1:AJ413)+1,"")</f>
        <v/>
      </c>
      <c r="AL414" s="243" t="str">
        <f>'All Ticker P&amp;L'!A414</f>
        <v/>
      </c>
      <c r="AM414" s="243" t="str">
        <f>'All Ticker P&amp;L'!B414</f>
        <v/>
      </c>
      <c r="AN414" s="243" t="str">
        <f>'All Ticker P&amp;L'!C414</f>
        <v/>
      </c>
      <c r="AO414" s="243" t="str">
        <f>'All Ticker P&amp;L'!D414</f>
        <v/>
      </c>
      <c r="AP414" s="243">
        <f>IF($AL414="",0,'All Ticker P&amp;L'!E414)</f>
        <v>0</v>
      </c>
      <c r="AQ414" s="266">
        <f>IF($AL414="",0,'All Ticker P&amp;L'!J414*'All Ticker P&amp;L'!I414)</f>
        <v>0</v>
      </c>
      <c r="AR414" s="266">
        <f>IF($AL414="",0,'All Ticker P&amp;L'!L414)</f>
        <v>0</v>
      </c>
      <c r="AS414" s="267">
        <f>IF($AL414="",0,'All Ticker P&amp;L'!M414)</f>
        <v>0</v>
      </c>
      <c r="AT414" s="243" t="str">
        <f>IF($AL414="","",RANK(AR414,$AR$2:$AR$1001)+COUNTIF($AR$2:AR414,AR414)-1)</f>
        <v/>
      </c>
      <c r="AU414" s="243" t="str">
        <f>IF($AL414="","",RANK(AV414,$AV$2:$AV$1001)+COUNTIF($AV$2:AV414,AV414)-1)</f>
        <v/>
      </c>
      <c r="AV414" s="266">
        <f t="shared" si="44"/>
        <v>0</v>
      </c>
    </row>
    <row r="415" spans="26:48" ht="15" customHeight="1" x14ac:dyDescent="0.2">
      <c r="Z415" s="243" t="str">
        <f>Shares!A415</f>
        <v/>
      </c>
      <c r="AA415" s="243" t="str">
        <f>Shares!B415</f>
        <v/>
      </c>
      <c r="AB415" s="243" t="str">
        <f>Shares!C415</f>
        <v/>
      </c>
      <c r="AC415" s="243" t="str">
        <f>Shares!D415</f>
        <v/>
      </c>
      <c r="AD415" s="243">
        <f>IF($Z415="",0,Shares!E415)</f>
        <v>0</v>
      </c>
      <c r="AE415" s="266">
        <f>IF($Z415="",0,Shares!J415*Shares!I415)</f>
        <v>0</v>
      </c>
      <c r="AF415" s="267">
        <f t="shared" si="43"/>
        <v>0</v>
      </c>
      <c r="AG415" s="266">
        <f>IF($Z415="",0,Shares!L415)</f>
        <v>0</v>
      </c>
      <c r="AH415" s="267">
        <f>IF($Z415="",0,Shares!M415)</f>
        <v>0</v>
      </c>
      <c r="AI415" s="243" t="str">
        <f>IF($Z415="","",RANK(AE415,$AE$2:$AE$1001)+COUNTIF($AE$2:AE415,AE415)-1)</f>
        <v/>
      </c>
      <c r="AJ415" s="243" t="str">
        <f>IF($AD415&lt;0,COUNT($AJ$1:AJ414)+1,"")</f>
        <v/>
      </c>
      <c r="AL415" s="243" t="str">
        <f>'All Ticker P&amp;L'!A415</f>
        <v/>
      </c>
      <c r="AM415" s="243" t="str">
        <f>'All Ticker P&amp;L'!B415</f>
        <v/>
      </c>
      <c r="AN415" s="243" t="str">
        <f>'All Ticker P&amp;L'!C415</f>
        <v/>
      </c>
      <c r="AO415" s="243" t="str">
        <f>'All Ticker P&amp;L'!D415</f>
        <v/>
      </c>
      <c r="AP415" s="243">
        <f>IF($AL415="",0,'All Ticker P&amp;L'!E415)</f>
        <v>0</v>
      </c>
      <c r="AQ415" s="266">
        <f>IF($AL415="",0,'All Ticker P&amp;L'!J415*'All Ticker P&amp;L'!I415)</f>
        <v>0</v>
      </c>
      <c r="AR415" s="266">
        <f>IF($AL415="",0,'All Ticker P&amp;L'!L415)</f>
        <v>0</v>
      </c>
      <c r="AS415" s="267">
        <f>IF($AL415="",0,'All Ticker P&amp;L'!M415)</f>
        <v>0</v>
      </c>
      <c r="AT415" s="243" t="str">
        <f>IF($AL415="","",RANK(AR415,$AR$2:$AR$1001)+COUNTIF($AR$2:AR415,AR415)-1)</f>
        <v/>
      </c>
      <c r="AU415" s="243" t="str">
        <f>IF($AL415="","",RANK(AV415,$AV$2:$AV$1001)+COUNTIF($AV$2:AV415,AV415)-1)</f>
        <v/>
      </c>
      <c r="AV415" s="266">
        <f t="shared" si="44"/>
        <v>0</v>
      </c>
    </row>
    <row r="416" spans="26:48" ht="15" customHeight="1" x14ac:dyDescent="0.2">
      <c r="Z416" s="243" t="str">
        <f>Shares!A416</f>
        <v/>
      </c>
      <c r="AA416" s="243" t="str">
        <f>Shares!B416</f>
        <v/>
      </c>
      <c r="AB416" s="243" t="str">
        <f>Shares!C416</f>
        <v/>
      </c>
      <c r="AC416" s="243" t="str">
        <f>Shares!D416</f>
        <v/>
      </c>
      <c r="AD416" s="243">
        <f>IF($Z416="",0,Shares!E416)</f>
        <v>0</v>
      </c>
      <c r="AE416" s="266">
        <f>IF($Z416="",0,Shares!J416*Shares!I416)</f>
        <v>0</v>
      </c>
      <c r="AF416" s="267">
        <f t="shared" si="43"/>
        <v>0</v>
      </c>
      <c r="AG416" s="266">
        <f>IF($Z416="",0,Shares!L416)</f>
        <v>0</v>
      </c>
      <c r="AH416" s="267">
        <f>IF($Z416="",0,Shares!M416)</f>
        <v>0</v>
      </c>
      <c r="AI416" s="243" t="str">
        <f>IF($Z416="","",RANK(AE416,$AE$2:$AE$1001)+COUNTIF($AE$2:AE416,AE416)-1)</f>
        <v/>
      </c>
      <c r="AJ416" s="243" t="str">
        <f>IF($AD416&lt;0,COUNT($AJ$1:AJ415)+1,"")</f>
        <v/>
      </c>
      <c r="AL416" s="243" t="str">
        <f>'All Ticker P&amp;L'!A416</f>
        <v/>
      </c>
      <c r="AM416" s="243" t="str">
        <f>'All Ticker P&amp;L'!B416</f>
        <v/>
      </c>
      <c r="AN416" s="243" t="str">
        <f>'All Ticker P&amp;L'!C416</f>
        <v/>
      </c>
      <c r="AO416" s="243" t="str">
        <f>'All Ticker P&amp;L'!D416</f>
        <v/>
      </c>
      <c r="AP416" s="243">
        <f>IF($AL416="",0,'All Ticker P&amp;L'!E416)</f>
        <v>0</v>
      </c>
      <c r="AQ416" s="266">
        <f>IF($AL416="",0,'All Ticker P&amp;L'!J416*'All Ticker P&amp;L'!I416)</f>
        <v>0</v>
      </c>
      <c r="AR416" s="266">
        <f>IF($AL416="",0,'All Ticker P&amp;L'!L416)</f>
        <v>0</v>
      </c>
      <c r="AS416" s="267">
        <f>IF($AL416="",0,'All Ticker P&amp;L'!M416)</f>
        <v>0</v>
      </c>
      <c r="AT416" s="243" t="str">
        <f>IF($AL416="","",RANK(AR416,$AR$2:$AR$1001)+COUNTIF($AR$2:AR416,AR416)-1)</f>
        <v/>
      </c>
      <c r="AU416" s="243" t="str">
        <f>IF($AL416="","",RANK(AV416,$AV$2:$AV$1001)+COUNTIF($AV$2:AV416,AV416)-1)</f>
        <v/>
      </c>
      <c r="AV416" s="266">
        <f t="shared" si="44"/>
        <v>0</v>
      </c>
    </row>
    <row r="417" spans="26:48" ht="15" customHeight="1" x14ac:dyDescent="0.2">
      <c r="Z417" s="243" t="str">
        <f>Shares!A417</f>
        <v/>
      </c>
      <c r="AA417" s="243" t="str">
        <f>Shares!B417</f>
        <v/>
      </c>
      <c r="AB417" s="243" t="str">
        <f>Shares!C417</f>
        <v/>
      </c>
      <c r="AC417" s="243" t="str">
        <f>Shares!D417</f>
        <v/>
      </c>
      <c r="AD417" s="243">
        <f>IF($Z417="",0,Shares!E417)</f>
        <v>0</v>
      </c>
      <c r="AE417" s="266">
        <f>IF($Z417="",0,Shares!J417*Shares!I417)</f>
        <v>0</v>
      </c>
      <c r="AF417" s="267">
        <f t="shared" si="43"/>
        <v>0</v>
      </c>
      <c r="AG417" s="266">
        <f>IF($Z417="",0,Shares!L417)</f>
        <v>0</v>
      </c>
      <c r="AH417" s="267">
        <f>IF($Z417="",0,Shares!M417)</f>
        <v>0</v>
      </c>
      <c r="AI417" s="243" t="str">
        <f>IF($Z417="","",RANK(AE417,$AE$2:$AE$1001)+COUNTIF($AE$2:AE417,AE417)-1)</f>
        <v/>
      </c>
      <c r="AJ417" s="243" t="str">
        <f>IF($AD417&lt;0,COUNT($AJ$1:AJ416)+1,"")</f>
        <v/>
      </c>
      <c r="AL417" s="243" t="str">
        <f>'All Ticker P&amp;L'!A417</f>
        <v/>
      </c>
      <c r="AM417" s="243" t="str">
        <f>'All Ticker P&amp;L'!B417</f>
        <v/>
      </c>
      <c r="AN417" s="243" t="str">
        <f>'All Ticker P&amp;L'!C417</f>
        <v/>
      </c>
      <c r="AO417" s="243" t="str">
        <f>'All Ticker P&amp;L'!D417</f>
        <v/>
      </c>
      <c r="AP417" s="243">
        <f>IF($AL417="",0,'All Ticker P&amp;L'!E417)</f>
        <v>0</v>
      </c>
      <c r="AQ417" s="266">
        <f>IF($AL417="",0,'All Ticker P&amp;L'!J417*'All Ticker P&amp;L'!I417)</f>
        <v>0</v>
      </c>
      <c r="AR417" s="266">
        <f>IF($AL417="",0,'All Ticker P&amp;L'!L417)</f>
        <v>0</v>
      </c>
      <c r="AS417" s="267">
        <f>IF($AL417="",0,'All Ticker P&amp;L'!M417)</f>
        <v>0</v>
      </c>
      <c r="AT417" s="243" t="str">
        <f>IF($AL417="","",RANK(AR417,$AR$2:$AR$1001)+COUNTIF($AR$2:AR417,AR417)-1)</f>
        <v/>
      </c>
      <c r="AU417" s="243" t="str">
        <f>IF($AL417="","",RANK(AV417,$AV$2:$AV$1001)+COUNTIF($AV$2:AV417,AV417)-1)</f>
        <v/>
      </c>
      <c r="AV417" s="266">
        <f t="shared" si="44"/>
        <v>0</v>
      </c>
    </row>
    <row r="418" spans="26:48" ht="15" customHeight="1" x14ac:dyDescent="0.2">
      <c r="Z418" s="243" t="str">
        <f>Shares!A418</f>
        <v/>
      </c>
      <c r="AA418" s="243" t="str">
        <f>Shares!B418</f>
        <v/>
      </c>
      <c r="AB418" s="243" t="str">
        <f>Shares!C418</f>
        <v/>
      </c>
      <c r="AC418" s="243" t="str">
        <f>Shares!D418</f>
        <v/>
      </c>
      <c r="AD418" s="243">
        <f>IF($Z418="",0,Shares!E418)</f>
        <v>0</v>
      </c>
      <c r="AE418" s="266">
        <f>IF($Z418="",0,Shares!J418*Shares!I418)</f>
        <v>0</v>
      </c>
      <c r="AF418" s="267">
        <f t="shared" si="43"/>
        <v>0</v>
      </c>
      <c r="AG418" s="266">
        <f>IF($Z418="",0,Shares!L418)</f>
        <v>0</v>
      </c>
      <c r="AH418" s="267">
        <f>IF($Z418="",0,Shares!M418)</f>
        <v>0</v>
      </c>
      <c r="AI418" s="243" t="str">
        <f>IF($Z418="","",RANK(AE418,$AE$2:$AE$1001)+COUNTIF($AE$2:AE418,AE418)-1)</f>
        <v/>
      </c>
      <c r="AJ418" s="243" t="str">
        <f>IF($AD418&lt;0,COUNT($AJ$1:AJ417)+1,"")</f>
        <v/>
      </c>
      <c r="AL418" s="243" t="str">
        <f>'All Ticker P&amp;L'!A418</f>
        <v/>
      </c>
      <c r="AM418" s="243" t="str">
        <f>'All Ticker P&amp;L'!B418</f>
        <v/>
      </c>
      <c r="AN418" s="243" t="str">
        <f>'All Ticker P&amp;L'!C418</f>
        <v/>
      </c>
      <c r="AO418" s="243" t="str">
        <f>'All Ticker P&amp;L'!D418</f>
        <v/>
      </c>
      <c r="AP418" s="243">
        <f>IF($AL418="",0,'All Ticker P&amp;L'!E418)</f>
        <v>0</v>
      </c>
      <c r="AQ418" s="266">
        <f>IF($AL418="",0,'All Ticker P&amp;L'!J418*'All Ticker P&amp;L'!I418)</f>
        <v>0</v>
      </c>
      <c r="AR418" s="266">
        <f>IF($AL418="",0,'All Ticker P&amp;L'!L418)</f>
        <v>0</v>
      </c>
      <c r="AS418" s="267">
        <f>IF($AL418="",0,'All Ticker P&amp;L'!M418)</f>
        <v>0</v>
      </c>
      <c r="AT418" s="243" t="str">
        <f>IF($AL418="","",RANK(AR418,$AR$2:$AR$1001)+COUNTIF($AR$2:AR418,AR418)-1)</f>
        <v/>
      </c>
      <c r="AU418" s="243" t="str">
        <f>IF($AL418="","",RANK(AV418,$AV$2:$AV$1001)+COUNTIF($AV$2:AV418,AV418)-1)</f>
        <v/>
      </c>
      <c r="AV418" s="266">
        <f t="shared" si="44"/>
        <v>0</v>
      </c>
    </row>
    <row r="419" spans="26:48" ht="15" customHeight="1" x14ac:dyDescent="0.2">
      <c r="Z419" s="243" t="str">
        <f>Shares!A419</f>
        <v/>
      </c>
      <c r="AA419" s="243" t="str">
        <f>Shares!B419</f>
        <v/>
      </c>
      <c r="AB419" s="243" t="str">
        <f>Shares!C419</f>
        <v/>
      </c>
      <c r="AC419" s="243" t="str">
        <f>Shares!D419</f>
        <v/>
      </c>
      <c r="AD419" s="243">
        <f>IF($Z419="",0,Shares!E419)</f>
        <v>0</v>
      </c>
      <c r="AE419" s="266">
        <f>IF($Z419="",0,Shares!J419*Shares!I419)</f>
        <v>0</v>
      </c>
      <c r="AF419" s="267">
        <f t="shared" si="43"/>
        <v>0</v>
      </c>
      <c r="AG419" s="266">
        <f>IF($Z419="",0,Shares!L419)</f>
        <v>0</v>
      </c>
      <c r="AH419" s="267">
        <f>IF($Z419="",0,Shares!M419)</f>
        <v>0</v>
      </c>
      <c r="AI419" s="243" t="str">
        <f>IF($Z419="","",RANK(AE419,$AE$2:$AE$1001)+COUNTIF($AE$2:AE419,AE419)-1)</f>
        <v/>
      </c>
      <c r="AJ419" s="243" t="str">
        <f>IF($AD419&lt;0,COUNT($AJ$1:AJ418)+1,"")</f>
        <v/>
      </c>
      <c r="AL419" s="243" t="str">
        <f>'All Ticker P&amp;L'!A419</f>
        <v/>
      </c>
      <c r="AM419" s="243" t="str">
        <f>'All Ticker P&amp;L'!B419</f>
        <v/>
      </c>
      <c r="AN419" s="243" t="str">
        <f>'All Ticker P&amp;L'!C419</f>
        <v/>
      </c>
      <c r="AO419" s="243" t="str">
        <f>'All Ticker P&amp;L'!D419</f>
        <v/>
      </c>
      <c r="AP419" s="243">
        <f>IF($AL419="",0,'All Ticker P&amp;L'!E419)</f>
        <v>0</v>
      </c>
      <c r="AQ419" s="266">
        <f>IF($AL419="",0,'All Ticker P&amp;L'!J419*'All Ticker P&amp;L'!I419)</f>
        <v>0</v>
      </c>
      <c r="AR419" s="266">
        <f>IF($AL419="",0,'All Ticker P&amp;L'!L419)</f>
        <v>0</v>
      </c>
      <c r="AS419" s="267">
        <f>IF($AL419="",0,'All Ticker P&amp;L'!M419)</f>
        <v>0</v>
      </c>
      <c r="AT419" s="243" t="str">
        <f>IF($AL419="","",RANK(AR419,$AR$2:$AR$1001)+COUNTIF($AR$2:AR419,AR419)-1)</f>
        <v/>
      </c>
      <c r="AU419" s="243" t="str">
        <f>IF($AL419="","",RANK(AV419,$AV$2:$AV$1001)+COUNTIF($AV$2:AV419,AV419)-1)</f>
        <v/>
      </c>
      <c r="AV419" s="266">
        <f t="shared" si="44"/>
        <v>0</v>
      </c>
    </row>
    <row r="420" spans="26:48" ht="15" customHeight="1" x14ac:dyDescent="0.2">
      <c r="Z420" s="243" t="str">
        <f>Shares!A420</f>
        <v/>
      </c>
      <c r="AA420" s="243" t="str">
        <f>Shares!B420</f>
        <v/>
      </c>
      <c r="AB420" s="243" t="str">
        <f>Shares!C420</f>
        <v/>
      </c>
      <c r="AC420" s="243" t="str">
        <f>Shares!D420</f>
        <v/>
      </c>
      <c r="AD420" s="243">
        <f>IF($Z420="",0,Shares!E420)</f>
        <v>0</v>
      </c>
      <c r="AE420" s="266">
        <f>IF($Z420="",0,Shares!J420*Shares!I420)</f>
        <v>0</v>
      </c>
      <c r="AF420" s="267">
        <f t="shared" si="43"/>
        <v>0</v>
      </c>
      <c r="AG420" s="266">
        <f>IF($Z420="",0,Shares!L420)</f>
        <v>0</v>
      </c>
      <c r="AH420" s="267">
        <f>IF($Z420="",0,Shares!M420)</f>
        <v>0</v>
      </c>
      <c r="AI420" s="243" t="str">
        <f>IF($Z420="","",RANK(AE420,$AE$2:$AE$1001)+COUNTIF($AE$2:AE420,AE420)-1)</f>
        <v/>
      </c>
      <c r="AJ420" s="243" t="str">
        <f>IF($AD420&lt;0,COUNT($AJ$1:AJ419)+1,"")</f>
        <v/>
      </c>
      <c r="AL420" s="243" t="str">
        <f>'All Ticker P&amp;L'!A420</f>
        <v/>
      </c>
      <c r="AM420" s="243" t="str">
        <f>'All Ticker P&amp;L'!B420</f>
        <v/>
      </c>
      <c r="AN420" s="243" t="str">
        <f>'All Ticker P&amp;L'!C420</f>
        <v/>
      </c>
      <c r="AO420" s="243" t="str">
        <f>'All Ticker P&amp;L'!D420</f>
        <v/>
      </c>
      <c r="AP420" s="243">
        <f>IF($AL420="",0,'All Ticker P&amp;L'!E420)</f>
        <v>0</v>
      </c>
      <c r="AQ420" s="266">
        <f>IF($AL420="",0,'All Ticker P&amp;L'!J420*'All Ticker P&amp;L'!I420)</f>
        <v>0</v>
      </c>
      <c r="AR420" s="266">
        <f>IF($AL420="",0,'All Ticker P&amp;L'!L420)</f>
        <v>0</v>
      </c>
      <c r="AS420" s="267">
        <f>IF($AL420="",0,'All Ticker P&amp;L'!M420)</f>
        <v>0</v>
      </c>
      <c r="AT420" s="243" t="str">
        <f>IF($AL420="","",RANK(AR420,$AR$2:$AR$1001)+COUNTIF($AR$2:AR420,AR420)-1)</f>
        <v/>
      </c>
      <c r="AU420" s="243" t="str">
        <f>IF($AL420="","",RANK(AV420,$AV$2:$AV$1001)+COUNTIF($AV$2:AV420,AV420)-1)</f>
        <v/>
      </c>
      <c r="AV420" s="266">
        <f t="shared" si="44"/>
        <v>0</v>
      </c>
    </row>
    <row r="421" spans="26:48" ht="15" customHeight="1" x14ac:dyDescent="0.2">
      <c r="Z421" s="243" t="str">
        <f>Shares!A421</f>
        <v/>
      </c>
      <c r="AA421" s="243" t="str">
        <f>Shares!B421</f>
        <v/>
      </c>
      <c r="AB421" s="243" t="str">
        <f>Shares!C421</f>
        <v/>
      </c>
      <c r="AC421" s="243" t="str">
        <f>Shares!D421</f>
        <v/>
      </c>
      <c r="AD421" s="243">
        <f>IF($Z421="",0,Shares!E421)</f>
        <v>0</v>
      </c>
      <c r="AE421" s="266">
        <f>IF($Z421="",0,Shares!J421*Shares!I421)</f>
        <v>0</v>
      </c>
      <c r="AF421" s="267">
        <f t="shared" si="43"/>
        <v>0</v>
      </c>
      <c r="AG421" s="266">
        <f>IF($Z421="",0,Shares!L421)</f>
        <v>0</v>
      </c>
      <c r="AH421" s="267">
        <f>IF($Z421="",0,Shares!M421)</f>
        <v>0</v>
      </c>
      <c r="AI421" s="243" t="str">
        <f>IF($Z421="","",RANK(AE421,$AE$2:$AE$1001)+COUNTIF($AE$2:AE421,AE421)-1)</f>
        <v/>
      </c>
      <c r="AJ421" s="243" t="str">
        <f>IF($AD421&lt;0,COUNT($AJ$1:AJ420)+1,"")</f>
        <v/>
      </c>
      <c r="AL421" s="243" t="str">
        <f>'All Ticker P&amp;L'!A421</f>
        <v/>
      </c>
      <c r="AM421" s="243" t="str">
        <f>'All Ticker P&amp;L'!B421</f>
        <v/>
      </c>
      <c r="AN421" s="243" t="str">
        <f>'All Ticker P&amp;L'!C421</f>
        <v/>
      </c>
      <c r="AO421" s="243" t="str">
        <f>'All Ticker P&amp;L'!D421</f>
        <v/>
      </c>
      <c r="AP421" s="243">
        <f>IF($AL421="",0,'All Ticker P&amp;L'!E421)</f>
        <v>0</v>
      </c>
      <c r="AQ421" s="266">
        <f>IF($AL421="",0,'All Ticker P&amp;L'!J421*'All Ticker P&amp;L'!I421)</f>
        <v>0</v>
      </c>
      <c r="AR421" s="266">
        <f>IF($AL421="",0,'All Ticker P&amp;L'!L421)</f>
        <v>0</v>
      </c>
      <c r="AS421" s="267">
        <f>IF($AL421="",0,'All Ticker P&amp;L'!M421)</f>
        <v>0</v>
      </c>
      <c r="AT421" s="243" t="str">
        <f>IF($AL421="","",RANK(AR421,$AR$2:$AR$1001)+COUNTIF($AR$2:AR421,AR421)-1)</f>
        <v/>
      </c>
      <c r="AU421" s="243" t="str">
        <f>IF($AL421="","",RANK(AV421,$AV$2:$AV$1001)+COUNTIF($AV$2:AV421,AV421)-1)</f>
        <v/>
      </c>
      <c r="AV421" s="266">
        <f t="shared" si="44"/>
        <v>0</v>
      </c>
    </row>
    <row r="422" spans="26:48" ht="15" customHeight="1" x14ac:dyDescent="0.2">
      <c r="Z422" s="243" t="str">
        <f>Shares!A422</f>
        <v/>
      </c>
      <c r="AA422" s="243" t="str">
        <f>Shares!B422</f>
        <v/>
      </c>
      <c r="AB422" s="243" t="str">
        <f>Shares!C422</f>
        <v/>
      </c>
      <c r="AC422" s="243" t="str">
        <f>Shares!D422</f>
        <v/>
      </c>
      <c r="AD422" s="243">
        <f>IF($Z422="",0,Shares!E422)</f>
        <v>0</v>
      </c>
      <c r="AE422" s="266">
        <f>IF($Z422="",0,Shares!J422*Shares!I422)</f>
        <v>0</v>
      </c>
      <c r="AF422" s="267">
        <f t="shared" si="43"/>
        <v>0</v>
      </c>
      <c r="AG422" s="266">
        <f>IF($Z422="",0,Shares!L422)</f>
        <v>0</v>
      </c>
      <c r="AH422" s="267">
        <f>IF($Z422="",0,Shares!M422)</f>
        <v>0</v>
      </c>
      <c r="AI422" s="243" t="str">
        <f>IF($Z422="","",RANK(AE422,$AE$2:$AE$1001)+COUNTIF($AE$2:AE422,AE422)-1)</f>
        <v/>
      </c>
      <c r="AJ422" s="243" t="str">
        <f>IF($AD422&lt;0,COUNT($AJ$1:AJ421)+1,"")</f>
        <v/>
      </c>
      <c r="AL422" s="243" t="str">
        <f>'All Ticker P&amp;L'!A422</f>
        <v/>
      </c>
      <c r="AM422" s="243" t="str">
        <f>'All Ticker P&amp;L'!B422</f>
        <v/>
      </c>
      <c r="AN422" s="243" t="str">
        <f>'All Ticker P&amp;L'!C422</f>
        <v/>
      </c>
      <c r="AO422" s="243" t="str">
        <f>'All Ticker P&amp;L'!D422</f>
        <v/>
      </c>
      <c r="AP422" s="243">
        <f>IF($AL422="",0,'All Ticker P&amp;L'!E422)</f>
        <v>0</v>
      </c>
      <c r="AQ422" s="266">
        <f>IF($AL422="",0,'All Ticker P&amp;L'!J422*'All Ticker P&amp;L'!I422)</f>
        <v>0</v>
      </c>
      <c r="AR422" s="266">
        <f>IF($AL422="",0,'All Ticker P&amp;L'!L422)</f>
        <v>0</v>
      </c>
      <c r="AS422" s="267">
        <f>IF($AL422="",0,'All Ticker P&amp;L'!M422)</f>
        <v>0</v>
      </c>
      <c r="AT422" s="243" t="str">
        <f>IF($AL422="","",RANK(AR422,$AR$2:$AR$1001)+COUNTIF($AR$2:AR422,AR422)-1)</f>
        <v/>
      </c>
      <c r="AU422" s="243" t="str">
        <f>IF($AL422="","",RANK(AV422,$AV$2:$AV$1001)+COUNTIF($AV$2:AV422,AV422)-1)</f>
        <v/>
      </c>
      <c r="AV422" s="266">
        <f t="shared" si="44"/>
        <v>0</v>
      </c>
    </row>
    <row r="423" spans="26:48" ht="15" customHeight="1" x14ac:dyDescent="0.2">
      <c r="Z423" s="243" t="str">
        <f>Shares!A423</f>
        <v/>
      </c>
      <c r="AA423" s="243" t="str">
        <f>Shares!B423</f>
        <v/>
      </c>
      <c r="AB423" s="243" t="str">
        <f>Shares!C423</f>
        <v/>
      </c>
      <c r="AC423" s="243" t="str">
        <f>Shares!D423</f>
        <v/>
      </c>
      <c r="AD423" s="243">
        <f>IF($Z423="",0,Shares!E423)</f>
        <v>0</v>
      </c>
      <c r="AE423" s="266">
        <f>IF($Z423="",0,Shares!J423*Shares!I423)</f>
        <v>0</v>
      </c>
      <c r="AF423" s="267">
        <f t="shared" si="43"/>
        <v>0</v>
      </c>
      <c r="AG423" s="266">
        <f>IF($Z423="",0,Shares!L423)</f>
        <v>0</v>
      </c>
      <c r="AH423" s="267">
        <f>IF($Z423="",0,Shares!M423)</f>
        <v>0</v>
      </c>
      <c r="AI423" s="243" t="str">
        <f>IF($Z423="","",RANK(AE423,$AE$2:$AE$1001)+COUNTIF($AE$2:AE423,AE423)-1)</f>
        <v/>
      </c>
      <c r="AJ423" s="243" t="str">
        <f>IF($AD423&lt;0,COUNT($AJ$1:AJ422)+1,"")</f>
        <v/>
      </c>
      <c r="AL423" s="243" t="str">
        <f>'All Ticker P&amp;L'!A423</f>
        <v/>
      </c>
      <c r="AM423" s="243" t="str">
        <f>'All Ticker P&amp;L'!B423</f>
        <v/>
      </c>
      <c r="AN423" s="243" t="str">
        <f>'All Ticker P&amp;L'!C423</f>
        <v/>
      </c>
      <c r="AO423" s="243" t="str">
        <f>'All Ticker P&amp;L'!D423</f>
        <v/>
      </c>
      <c r="AP423" s="243">
        <f>IF($AL423="",0,'All Ticker P&amp;L'!E423)</f>
        <v>0</v>
      </c>
      <c r="AQ423" s="266">
        <f>IF($AL423="",0,'All Ticker P&amp;L'!J423*'All Ticker P&amp;L'!I423)</f>
        <v>0</v>
      </c>
      <c r="AR423" s="266">
        <f>IF($AL423="",0,'All Ticker P&amp;L'!L423)</f>
        <v>0</v>
      </c>
      <c r="AS423" s="267">
        <f>IF($AL423="",0,'All Ticker P&amp;L'!M423)</f>
        <v>0</v>
      </c>
      <c r="AT423" s="243" t="str">
        <f>IF($AL423="","",RANK(AR423,$AR$2:$AR$1001)+COUNTIF($AR$2:AR423,AR423)-1)</f>
        <v/>
      </c>
      <c r="AU423" s="243" t="str">
        <f>IF($AL423="","",RANK(AV423,$AV$2:$AV$1001)+COUNTIF($AV$2:AV423,AV423)-1)</f>
        <v/>
      </c>
      <c r="AV423" s="266">
        <f t="shared" si="44"/>
        <v>0</v>
      </c>
    </row>
    <row r="424" spans="26:48" ht="15" customHeight="1" x14ac:dyDescent="0.2">
      <c r="Z424" s="243" t="str">
        <f>Shares!A424</f>
        <v/>
      </c>
      <c r="AA424" s="243" t="str">
        <f>Shares!B424</f>
        <v/>
      </c>
      <c r="AB424" s="243" t="str">
        <f>Shares!C424</f>
        <v/>
      </c>
      <c r="AC424" s="243" t="str">
        <f>Shares!D424</f>
        <v/>
      </c>
      <c r="AD424" s="243">
        <f>IF($Z424="",0,Shares!E424)</f>
        <v>0</v>
      </c>
      <c r="AE424" s="266">
        <f>IF($Z424="",0,Shares!J424*Shares!I424)</f>
        <v>0</v>
      </c>
      <c r="AF424" s="267">
        <f t="shared" si="43"/>
        <v>0</v>
      </c>
      <c r="AG424" s="266">
        <f>IF($Z424="",0,Shares!L424)</f>
        <v>0</v>
      </c>
      <c r="AH424" s="267">
        <f>IF($Z424="",0,Shares!M424)</f>
        <v>0</v>
      </c>
      <c r="AI424" s="243" t="str">
        <f>IF($Z424="","",RANK(AE424,$AE$2:$AE$1001)+COUNTIF($AE$2:AE424,AE424)-1)</f>
        <v/>
      </c>
      <c r="AJ424" s="243" t="str">
        <f>IF($AD424&lt;0,COUNT($AJ$1:AJ423)+1,"")</f>
        <v/>
      </c>
      <c r="AL424" s="243" t="str">
        <f>'All Ticker P&amp;L'!A424</f>
        <v/>
      </c>
      <c r="AM424" s="243" t="str">
        <f>'All Ticker P&amp;L'!B424</f>
        <v/>
      </c>
      <c r="AN424" s="243" t="str">
        <f>'All Ticker P&amp;L'!C424</f>
        <v/>
      </c>
      <c r="AO424" s="243" t="str">
        <f>'All Ticker P&amp;L'!D424</f>
        <v/>
      </c>
      <c r="AP424" s="243">
        <f>IF($AL424="",0,'All Ticker P&amp;L'!E424)</f>
        <v>0</v>
      </c>
      <c r="AQ424" s="266">
        <f>IF($AL424="",0,'All Ticker P&amp;L'!J424*'All Ticker P&amp;L'!I424)</f>
        <v>0</v>
      </c>
      <c r="AR424" s="266">
        <f>IF($AL424="",0,'All Ticker P&amp;L'!L424)</f>
        <v>0</v>
      </c>
      <c r="AS424" s="267">
        <f>IF($AL424="",0,'All Ticker P&amp;L'!M424)</f>
        <v>0</v>
      </c>
      <c r="AT424" s="243" t="str">
        <f>IF($AL424="","",RANK(AR424,$AR$2:$AR$1001)+COUNTIF($AR$2:AR424,AR424)-1)</f>
        <v/>
      </c>
      <c r="AU424" s="243" t="str">
        <f>IF($AL424="","",RANK(AV424,$AV$2:$AV$1001)+COUNTIF($AV$2:AV424,AV424)-1)</f>
        <v/>
      </c>
      <c r="AV424" s="266">
        <f t="shared" si="44"/>
        <v>0</v>
      </c>
    </row>
    <row r="425" spans="26:48" ht="15" customHeight="1" x14ac:dyDescent="0.2">
      <c r="Z425" s="243" t="str">
        <f>Shares!A425</f>
        <v/>
      </c>
      <c r="AA425" s="243" t="str">
        <f>Shares!B425</f>
        <v/>
      </c>
      <c r="AB425" s="243" t="str">
        <f>Shares!C425</f>
        <v/>
      </c>
      <c r="AC425" s="243" t="str">
        <f>Shares!D425</f>
        <v/>
      </c>
      <c r="AD425" s="243">
        <f>IF($Z425="",0,Shares!E425)</f>
        <v>0</v>
      </c>
      <c r="AE425" s="266">
        <f>IF($Z425="",0,Shares!J425*Shares!I425)</f>
        <v>0</v>
      </c>
      <c r="AF425" s="267">
        <f t="shared" si="43"/>
        <v>0</v>
      </c>
      <c r="AG425" s="266">
        <f>IF($Z425="",0,Shares!L425)</f>
        <v>0</v>
      </c>
      <c r="AH425" s="267">
        <f>IF($Z425="",0,Shares!M425)</f>
        <v>0</v>
      </c>
      <c r="AI425" s="243" t="str">
        <f>IF($Z425="","",RANK(AE425,$AE$2:$AE$1001)+COUNTIF($AE$2:AE425,AE425)-1)</f>
        <v/>
      </c>
      <c r="AJ425" s="243" t="str">
        <f>IF($AD425&lt;0,COUNT($AJ$1:AJ424)+1,"")</f>
        <v/>
      </c>
      <c r="AL425" s="243" t="str">
        <f>'All Ticker P&amp;L'!A425</f>
        <v/>
      </c>
      <c r="AM425" s="243" t="str">
        <f>'All Ticker P&amp;L'!B425</f>
        <v/>
      </c>
      <c r="AN425" s="243" t="str">
        <f>'All Ticker P&amp;L'!C425</f>
        <v/>
      </c>
      <c r="AO425" s="243" t="str">
        <f>'All Ticker P&amp;L'!D425</f>
        <v/>
      </c>
      <c r="AP425" s="243">
        <f>IF($AL425="",0,'All Ticker P&amp;L'!E425)</f>
        <v>0</v>
      </c>
      <c r="AQ425" s="266">
        <f>IF($AL425="",0,'All Ticker P&amp;L'!J425*'All Ticker P&amp;L'!I425)</f>
        <v>0</v>
      </c>
      <c r="AR425" s="266">
        <f>IF($AL425="",0,'All Ticker P&amp;L'!L425)</f>
        <v>0</v>
      </c>
      <c r="AS425" s="267">
        <f>IF($AL425="",0,'All Ticker P&amp;L'!M425)</f>
        <v>0</v>
      </c>
      <c r="AT425" s="243" t="str">
        <f>IF($AL425="","",RANK(AR425,$AR$2:$AR$1001)+COUNTIF($AR$2:AR425,AR425)-1)</f>
        <v/>
      </c>
      <c r="AU425" s="243" t="str">
        <f>IF($AL425="","",RANK(AV425,$AV$2:$AV$1001)+COUNTIF($AV$2:AV425,AV425)-1)</f>
        <v/>
      </c>
      <c r="AV425" s="266">
        <f t="shared" si="44"/>
        <v>0</v>
      </c>
    </row>
    <row r="426" spans="26:48" ht="15" customHeight="1" x14ac:dyDescent="0.2">
      <c r="Z426" s="243" t="str">
        <f>Shares!A426</f>
        <v/>
      </c>
      <c r="AA426" s="243" t="str">
        <f>Shares!B426</f>
        <v/>
      </c>
      <c r="AB426" s="243" t="str">
        <f>Shares!C426</f>
        <v/>
      </c>
      <c r="AC426" s="243" t="str">
        <f>Shares!D426</f>
        <v/>
      </c>
      <c r="AD426" s="243">
        <f>IF($Z426="",0,Shares!E426)</f>
        <v>0</v>
      </c>
      <c r="AE426" s="266">
        <f>IF($Z426="",0,Shares!J426*Shares!I426)</f>
        <v>0</v>
      </c>
      <c r="AF426" s="267">
        <f t="shared" si="43"/>
        <v>0</v>
      </c>
      <c r="AG426" s="266">
        <f>IF($Z426="",0,Shares!L426)</f>
        <v>0</v>
      </c>
      <c r="AH426" s="267">
        <f>IF($Z426="",0,Shares!M426)</f>
        <v>0</v>
      </c>
      <c r="AI426" s="243" t="str">
        <f>IF($Z426="","",RANK(AE426,$AE$2:$AE$1001)+COUNTIF($AE$2:AE426,AE426)-1)</f>
        <v/>
      </c>
      <c r="AJ426" s="243" t="str">
        <f>IF($AD426&lt;0,COUNT($AJ$1:AJ425)+1,"")</f>
        <v/>
      </c>
      <c r="AL426" s="243" t="str">
        <f>'All Ticker P&amp;L'!A426</f>
        <v/>
      </c>
      <c r="AM426" s="243" t="str">
        <f>'All Ticker P&amp;L'!B426</f>
        <v/>
      </c>
      <c r="AN426" s="243" t="str">
        <f>'All Ticker P&amp;L'!C426</f>
        <v/>
      </c>
      <c r="AO426" s="243" t="str">
        <f>'All Ticker P&amp;L'!D426</f>
        <v/>
      </c>
      <c r="AP426" s="243">
        <f>IF($AL426="",0,'All Ticker P&amp;L'!E426)</f>
        <v>0</v>
      </c>
      <c r="AQ426" s="266">
        <f>IF($AL426="",0,'All Ticker P&amp;L'!J426*'All Ticker P&amp;L'!I426)</f>
        <v>0</v>
      </c>
      <c r="AR426" s="266">
        <f>IF($AL426="",0,'All Ticker P&amp;L'!L426)</f>
        <v>0</v>
      </c>
      <c r="AS426" s="267">
        <f>IF($AL426="",0,'All Ticker P&amp;L'!M426)</f>
        <v>0</v>
      </c>
      <c r="AT426" s="243" t="str">
        <f>IF($AL426="","",RANK(AR426,$AR$2:$AR$1001)+COUNTIF($AR$2:AR426,AR426)-1)</f>
        <v/>
      </c>
      <c r="AU426" s="243" t="str">
        <f>IF($AL426="","",RANK(AV426,$AV$2:$AV$1001)+COUNTIF($AV$2:AV426,AV426)-1)</f>
        <v/>
      </c>
      <c r="AV426" s="266">
        <f t="shared" si="44"/>
        <v>0</v>
      </c>
    </row>
    <row r="427" spans="26:48" ht="15" customHeight="1" x14ac:dyDescent="0.2">
      <c r="Z427" s="243" t="str">
        <f>Shares!A427</f>
        <v/>
      </c>
      <c r="AA427" s="243" t="str">
        <f>Shares!B427</f>
        <v/>
      </c>
      <c r="AB427" s="243" t="str">
        <f>Shares!C427</f>
        <v/>
      </c>
      <c r="AC427" s="243" t="str">
        <f>Shares!D427</f>
        <v/>
      </c>
      <c r="AD427" s="243">
        <f>IF($Z427="",0,Shares!E427)</f>
        <v>0</v>
      </c>
      <c r="AE427" s="266">
        <f>IF($Z427="",0,Shares!J427*Shares!I427)</f>
        <v>0</v>
      </c>
      <c r="AF427" s="267">
        <f t="shared" si="43"/>
        <v>0</v>
      </c>
      <c r="AG427" s="266">
        <f>IF($Z427="",0,Shares!L427)</f>
        <v>0</v>
      </c>
      <c r="AH427" s="267">
        <f>IF($Z427="",0,Shares!M427)</f>
        <v>0</v>
      </c>
      <c r="AI427" s="243" t="str">
        <f>IF($Z427="","",RANK(AE427,$AE$2:$AE$1001)+COUNTIF($AE$2:AE427,AE427)-1)</f>
        <v/>
      </c>
      <c r="AJ427" s="243" t="str">
        <f>IF($AD427&lt;0,COUNT($AJ$1:AJ426)+1,"")</f>
        <v/>
      </c>
      <c r="AL427" s="243" t="str">
        <f>'All Ticker P&amp;L'!A427</f>
        <v/>
      </c>
      <c r="AM427" s="243" t="str">
        <f>'All Ticker P&amp;L'!B427</f>
        <v/>
      </c>
      <c r="AN427" s="243" t="str">
        <f>'All Ticker P&amp;L'!C427</f>
        <v/>
      </c>
      <c r="AO427" s="243" t="str">
        <f>'All Ticker P&amp;L'!D427</f>
        <v/>
      </c>
      <c r="AP427" s="243">
        <f>IF($AL427="",0,'All Ticker P&amp;L'!E427)</f>
        <v>0</v>
      </c>
      <c r="AQ427" s="266">
        <f>IF($AL427="",0,'All Ticker P&amp;L'!J427*'All Ticker P&amp;L'!I427)</f>
        <v>0</v>
      </c>
      <c r="AR427" s="266">
        <f>IF($AL427="",0,'All Ticker P&amp;L'!L427)</f>
        <v>0</v>
      </c>
      <c r="AS427" s="267">
        <f>IF($AL427="",0,'All Ticker P&amp;L'!M427)</f>
        <v>0</v>
      </c>
      <c r="AT427" s="243" t="str">
        <f>IF($AL427="","",RANK(AR427,$AR$2:$AR$1001)+COUNTIF($AR$2:AR427,AR427)-1)</f>
        <v/>
      </c>
      <c r="AU427" s="243" t="str">
        <f>IF($AL427="","",RANK(AV427,$AV$2:$AV$1001)+COUNTIF($AV$2:AV427,AV427)-1)</f>
        <v/>
      </c>
      <c r="AV427" s="266">
        <f t="shared" si="44"/>
        <v>0</v>
      </c>
    </row>
    <row r="428" spans="26:48" ht="15" customHeight="1" x14ac:dyDescent="0.2">
      <c r="Z428" s="243" t="str">
        <f>Shares!A428</f>
        <v/>
      </c>
      <c r="AA428" s="243" t="str">
        <f>Shares!B428</f>
        <v/>
      </c>
      <c r="AB428" s="243" t="str">
        <f>Shares!C428</f>
        <v/>
      </c>
      <c r="AC428" s="243" t="str">
        <f>Shares!D428</f>
        <v/>
      </c>
      <c r="AD428" s="243">
        <f>IF($Z428="",0,Shares!E428)</f>
        <v>0</v>
      </c>
      <c r="AE428" s="266">
        <f>IF($Z428="",0,Shares!J428*Shares!I428)</f>
        <v>0</v>
      </c>
      <c r="AF428" s="267">
        <f t="shared" si="43"/>
        <v>0</v>
      </c>
      <c r="AG428" s="266">
        <f>IF($Z428="",0,Shares!L428)</f>
        <v>0</v>
      </c>
      <c r="AH428" s="267">
        <f>IF($Z428="",0,Shares!M428)</f>
        <v>0</v>
      </c>
      <c r="AI428" s="243" t="str">
        <f>IF($Z428="","",RANK(AE428,$AE$2:$AE$1001)+COUNTIF($AE$2:AE428,AE428)-1)</f>
        <v/>
      </c>
      <c r="AJ428" s="243" t="str">
        <f>IF($AD428&lt;0,COUNT($AJ$1:AJ427)+1,"")</f>
        <v/>
      </c>
      <c r="AL428" s="243" t="str">
        <f>'All Ticker P&amp;L'!A428</f>
        <v/>
      </c>
      <c r="AM428" s="243" t="str">
        <f>'All Ticker P&amp;L'!B428</f>
        <v/>
      </c>
      <c r="AN428" s="243" t="str">
        <f>'All Ticker P&amp;L'!C428</f>
        <v/>
      </c>
      <c r="AO428" s="243" t="str">
        <f>'All Ticker P&amp;L'!D428</f>
        <v/>
      </c>
      <c r="AP428" s="243">
        <f>IF($AL428="",0,'All Ticker P&amp;L'!E428)</f>
        <v>0</v>
      </c>
      <c r="AQ428" s="266">
        <f>IF($AL428="",0,'All Ticker P&amp;L'!J428*'All Ticker P&amp;L'!I428)</f>
        <v>0</v>
      </c>
      <c r="AR428" s="266">
        <f>IF($AL428="",0,'All Ticker P&amp;L'!L428)</f>
        <v>0</v>
      </c>
      <c r="AS428" s="267">
        <f>IF($AL428="",0,'All Ticker P&amp;L'!M428)</f>
        <v>0</v>
      </c>
      <c r="AT428" s="243" t="str">
        <f>IF($AL428="","",RANK(AR428,$AR$2:$AR$1001)+COUNTIF($AR$2:AR428,AR428)-1)</f>
        <v/>
      </c>
      <c r="AU428" s="243" t="str">
        <f>IF($AL428="","",RANK(AV428,$AV$2:$AV$1001)+COUNTIF($AV$2:AV428,AV428)-1)</f>
        <v/>
      </c>
      <c r="AV428" s="266">
        <f t="shared" si="44"/>
        <v>0</v>
      </c>
    </row>
    <row r="429" spans="26:48" ht="15" customHeight="1" x14ac:dyDescent="0.2">
      <c r="Z429" s="243" t="str">
        <f>Shares!A429</f>
        <v/>
      </c>
      <c r="AA429" s="243" t="str">
        <f>Shares!B429</f>
        <v/>
      </c>
      <c r="AB429" s="243" t="str">
        <f>Shares!C429</f>
        <v/>
      </c>
      <c r="AC429" s="243" t="str">
        <f>Shares!D429</f>
        <v/>
      </c>
      <c r="AD429" s="243">
        <f>IF($Z429="",0,Shares!E429)</f>
        <v>0</v>
      </c>
      <c r="AE429" s="266">
        <f>IF($Z429="",0,Shares!J429*Shares!I429)</f>
        <v>0</v>
      </c>
      <c r="AF429" s="267">
        <f t="shared" si="43"/>
        <v>0</v>
      </c>
      <c r="AG429" s="266">
        <f>IF($Z429="",0,Shares!L429)</f>
        <v>0</v>
      </c>
      <c r="AH429" s="267">
        <f>IF($Z429="",0,Shares!M429)</f>
        <v>0</v>
      </c>
      <c r="AI429" s="243" t="str">
        <f>IF($Z429="","",RANK(AE429,$AE$2:$AE$1001)+COUNTIF($AE$2:AE429,AE429)-1)</f>
        <v/>
      </c>
      <c r="AJ429" s="243" t="str">
        <f>IF($AD429&lt;0,COUNT($AJ$1:AJ428)+1,"")</f>
        <v/>
      </c>
      <c r="AL429" s="243" t="str">
        <f>'All Ticker P&amp;L'!A429</f>
        <v/>
      </c>
      <c r="AM429" s="243" t="str">
        <f>'All Ticker P&amp;L'!B429</f>
        <v/>
      </c>
      <c r="AN429" s="243" t="str">
        <f>'All Ticker P&amp;L'!C429</f>
        <v/>
      </c>
      <c r="AO429" s="243" t="str">
        <f>'All Ticker P&amp;L'!D429</f>
        <v/>
      </c>
      <c r="AP429" s="243">
        <f>IF($AL429="",0,'All Ticker P&amp;L'!E429)</f>
        <v>0</v>
      </c>
      <c r="AQ429" s="266">
        <f>IF($AL429="",0,'All Ticker P&amp;L'!J429*'All Ticker P&amp;L'!I429)</f>
        <v>0</v>
      </c>
      <c r="AR429" s="266">
        <f>IF($AL429="",0,'All Ticker P&amp;L'!L429)</f>
        <v>0</v>
      </c>
      <c r="AS429" s="267">
        <f>IF($AL429="",0,'All Ticker P&amp;L'!M429)</f>
        <v>0</v>
      </c>
      <c r="AT429" s="243" t="str">
        <f>IF($AL429="","",RANK(AR429,$AR$2:$AR$1001)+COUNTIF($AR$2:AR429,AR429)-1)</f>
        <v/>
      </c>
      <c r="AU429" s="243" t="str">
        <f>IF($AL429="","",RANK(AV429,$AV$2:$AV$1001)+COUNTIF($AV$2:AV429,AV429)-1)</f>
        <v/>
      </c>
      <c r="AV429" s="266">
        <f t="shared" si="44"/>
        <v>0</v>
      </c>
    </row>
    <row r="430" spans="26:48" ht="15" customHeight="1" x14ac:dyDescent="0.2">
      <c r="Z430" s="243" t="str">
        <f>Shares!A430</f>
        <v/>
      </c>
      <c r="AA430" s="243" t="str">
        <f>Shares!B430</f>
        <v/>
      </c>
      <c r="AB430" s="243" t="str">
        <f>Shares!C430</f>
        <v/>
      </c>
      <c r="AC430" s="243" t="str">
        <f>Shares!D430</f>
        <v/>
      </c>
      <c r="AD430" s="243">
        <f>IF($Z430="",0,Shares!E430)</f>
        <v>0</v>
      </c>
      <c r="AE430" s="266">
        <f>IF($Z430="",0,Shares!J430*Shares!I430)</f>
        <v>0</v>
      </c>
      <c r="AF430" s="267">
        <f t="shared" si="43"/>
        <v>0</v>
      </c>
      <c r="AG430" s="266">
        <f>IF($Z430="",0,Shares!L430)</f>
        <v>0</v>
      </c>
      <c r="AH430" s="267">
        <f>IF($Z430="",0,Shares!M430)</f>
        <v>0</v>
      </c>
      <c r="AI430" s="243" t="str">
        <f>IF($Z430="","",RANK(AE430,$AE$2:$AE$1001)+COUNTIF($AE$2:AE430,AE430)-1)</f>
        <v/>
      </c>
      <c r="AJ430" s="243" t="str">
        <f>IF($AD430&lt;0,COUNT($AJ$1:AJ429)+1,"")</f>
        <v/>
      </c>
      <c r="AL430" s="243" t="str">
        <f>'All Ticker P&amp;L'!A430</f>
        <v/>
      </c>
      <c r="AM430" s="243" t="str">
        <f>'All Ticker P&amp;L'!B430</f>
        <v/>
      </c>
      <c r="AN430" s="243" t="str">
        <f>'All Ticker P&amp;L'!C430</f>
        <v/>
      </c>
      <c r="AO430" s="243" t="str">
        <f>'All Ticker P&amp;L'!D430</f>
        <v/>
      </c>
      <c r="AP430" s="243">
        <f>IF($AL430="",0,'All Ticker P&amp;L'!E430)</f>
        <v>0</v>
      </c>
      <c r="AQ430" s="266">
        <f>IF($AL430="",0,'All Ticker P&amp;L'!J430*'All Ticker P&amp;L'!I430)</f>
        <v>0</v>
      </c>
      <c r="AR430" s="266">
        <f>IF($AL430="",0,'All Ticker P&amp;L'!L430)</f>
        <v>0</v>
      </c>
      <c r="AS430" s="267">
        <f>IF($AL430="",0,'All Ticker P&amp;L'!M430)</f>
        <v>0</v>
      </c>
      <c r="AT430" s="243" t="str">
        <f>IF($AL430="","",RANK(AR430,$AR$2:$AR$1001)+COUNTIF($AR$2:AR430,AR430)-1)</f>
        <v/>
      </c>
      <c r="AU430" s="243" t="str">
        <f>IF($AL430="","",RANK(AV430,$AV$2:$AV$1001)+COUNTIF($AV$2:AV430,AV430)-1)</f>
        <v/>
      </c>
      <c r="AV430" s="266">
        <f t="shared" si="44"/>
        <v>0</v>
      </c>
    </row>
    <row r="431" spans="26:48" ht="15" customHeight="1" x14ac:dyDescent="0.2">
      <c r="Z431" s="243" t="str">
        <f>Shares!A431</f>
        <v/>
      </c>
      <c r="AA431" s="243" t="str">
        <f>Shares!B431</f>
        <v/>
      </c>
      <c r="AB431" s="243" t="str">
        <f>Shares!C431</f>
        <v/>
      </c>
      <c r="AC431" s="243" t="str">
        <f>Shares!D431</f>
        <v/>
      </c>
      <c r="AD431" s="243">
        <f>IF($Z431="",0,Shares!E431)</f>
        <v>0</v>
      </c>
      <c r="AE431" s="266">
        <f>IF($Z431="",0,Shares!J431*Shares!I431)</f>
        <v>0</v>
      </c>
      <c r="AF431" s="267">
        <f t="shared" si="43"/>
        <v>0</v>
      </c>
      <c r="AG431" s="266">
        <f>IF($Z431="",0,Shares!L431)</f>
        <v>0</v>
      </c>
      <c r="AH431" s="267">
        <f>IF($Z431="",0,Shares!M431)</f>
        <v>0</v>
      </c>
      <c r="AI431" s="243" t="str">
        <f>IF($Z431="","",RANK(AE431,$AE$2:$AE$1001)+COUNTIF($AE$2:AE431,AE431)-1)</f>
        <v/>
      </c>
      <c r="AJ431" s="243" t="str">
        <f>IF($AD431&lt;0,COUNT($AJ$1:AJ430)+1,"")</f>
        <v/>
      </c>
      <c r="AL431" s="243" t="str">
        <f>'All Ticker P&amp;L'!A431</f>
        <v/>
      </c>
      <c r="AM431" s="243" t="str">
        <f>'All Ticker P&amp;L'!B431</f>
        <v/>
      </c>
      <c r="AN431" s="243" t="str">
        <f>'All Ticker P&amp;L'!C431</f>
        <v/>
      </c>
      <c r="AO431" s="243" t="str">
        <f>'All Ticker P&amp;L'!D431</f>
        <v/>
      </c>
      <c r="AP431" s="243">
        <f>IF($AL431="",0,'All Ticker P&amp;L'!E431)</f>
        <v>0</v>
      </c>
      <c r="AQ431" s="266">
        <f>IF($AL431="",0,'All Ticker P&amp;L'!J431*'All Ticker P&amp;L'!I431)</f>
        <v>0</v>
      </c>
      <c r="AR431" s="266">
        <f>IF($AL431="",0,'All Ticker P&amp;L'!L431)</f>
        <v>0</v>
      </c>
      <c r="AS431" s="267">
        <f>IF($AL431="",0,'All Ticker P&amp;L'!M431)</f>
        <v>0</v>
      </c>
      <c r="AT431" s="243" t="str">
        <f>IF($AL431="","",RANK(AR431,$AR$2:$AR$1001)+COUNTIF($AR$2:AR431,AR431)-1)</f>
        <v/>
      </c>
      <c r="AU431" s="243" t="str">
        <f>IF($AL431="","",RANK(AV431,$AV$2:$AV$1001)+COUNTIF($AV$2:AV431,AV431)-1)</f>
        <v/>
      </c>
      <c r="AV431" s="266">
        <f t="shared" si="44"/>
        <v>0</v>
      </c>
    </row>
    <row r="432" spans="26:48" ht="15" customHeight="1" x14ac:dyDescent="0.2">
      <c r="Z432" s="243" t="str">
        <f>Shares!A432</f>
        <v/>
      </c>
      <c r="AA432" s="243" t="str">
        <f>Shares!B432</f>
        <v/>
      </c>
      <c r="AB432" s="243" t="str">
        <f>Shares!C432</f>
        <v/>
      </c>
      <c r="AC432" s="243" t="str">
        <f>Shares!D432</f>
        <v/>
      </c>
      <c r="AD432" s="243">
        <f>IF($Z432="",0,Shares!E432)</f>
        <v>0</v>
      </c>
      <c r="AE432" s="266">
        <f>IF($Z432="",0,Shares!J432*Shares!I432)</f>
        <v>0</v>
      </c>
      <c r="AF432" s="267">
        <f t="shared" si="43"/>
        <v>0</v>
      </c>
      <c r="AG432" s="266">
        <f>IF($Z432="",0,Shares!L432)</f>
        <v>0</v>
      </c>
      <c r="AH432" s="267">
        <f>IF($Z432="",0,Shares!M432)</f>
        <v>0</v>
      </c>
      <c r="AI432" s="243" t="str">
        <f>IF($Z432="","",RANK(AE432,$AE$2:$AE$1001)+COUNTIF($AE$2:AE432,AE432)-1)</f>
        <v/>
      </c>
      <c r="AJ432" s="243" t="str">
        <f>IF($AD432&lt;0,COUNT($AJ$1:AJ431)+1,"")</f>
        <v/>
      </c>
      <c r="AL432" s="243" t="str">
        <f>'All Ticker P&amp;L'!A432</f>
        <v/>
      </c>
      <c r="AM432" s="243" t="str">
        <f>'All Ticker P&amp;L'!B432</f>
        <v/>
      </c>
      <c r="AN432" s="243" t="str">
        <f>'All Ticker P&amp;L'!C432</f>
        <v/>
      </c>
      <c r="AO432" s="243" t="str">
        <f>'All Ticker P&amp;L'!D432</f>
        <v/>
      </c>
      <c r="AP432" s="243">
        <f>IF($AL432="",0,'All Ticker P&amp;L'!E432)</f>
        <v>0</v>
      </c>
      <c r="AQ432" s="266">
        <f>IF($AL432="",0,'All Ticker P&amp;L'!J432*'All Ticker P&amp;L'!I432)</f>
        <v>0</v>
      </c>
      <c r="AR432" s="266">
        <f>IF($AL432="",0,'All Ticker P&amp;L'!L432)</f>
        <v>0</v>
      </c>
      <c r="AS432" s="267">
        <f>IF($AL432="",0,'All Ticker P&amp;L'!M432)</f>
        <v>0</v>
      </c>
      <c r="AT432" s="243" t="str">
        <f>IF($AL432="","",RANK(AR432,$AR$2:$AR$1001)+COUNTIF($AR$2:AR432,AR432)-1)</f>
        <v/>
      </c>
      <c r="AU432" s="243" t="str">
        <f>IF($AL432="","",RANK(AV432,$AV$2:$AV$1001)+COUNTIF($AV$2:AV432,AV432)-1)</f>
        <v/>
      </c>
      <c r="AV432" s="266">
        <f t="shared" si="44"/>
        <v>0</v>
      </c>
    </row>
    <row r="433" spans="26:48" ht="15" customHeight="1" x14ac:dyDescent="0.2">
      <c r="Z433" s="243" t="str">
        <f>Shares!A433</f>
        <v/>
      </c>
      <c r="AA433" s="243" t="str">
        <f>Shares!B433</f>
        <v/>
      </c>
      <c r="AB433" s="243" t="str">
        <f>Shares!C433</f>
        <v/>
      </c>
      <c r="AC433" s="243" t="str">
        <f>Shares!D433</f>
        <v/>
      </c>
      <c r="AD433" s="243">
        <f>IF($Z433="",0,Shares!E433)</f>
        <v>0</v>
      </c>
      <c r="AE433" s="266">
        <f>IF($Z433="",0,Shares!J433*Shares!I433)</f>
        <v>0</v>
      </c>
      <c r="AF433" s="267">
        <f t="shared" si="43"/>
        <v>0</v>
      </c>
      <c r="AG433" s="266">
        <f>IF($Z433="",0,Shares!L433)</f>
        <v>0</v>
      </c>
      <c r="AH433" s="267">
        <f>IF($Z433="",0,Shares!M433)</f>
        <v>0</v>
      </c>
      <c r="AI433" s="243" t="str">
        <f>IF($Z433="","",RANK(AE433,$AE$2:$AE$1001)+COUNTIF($AE$2:AE433,AE433)-1)</f>
        <v/>
      </c>
      <c r="AJ433" s="243" t="str">
        <f>IF($AD433&lt;0,COUNT($AJ$1:AJ432)+1,"")</f>
        <v/>
      </c>
      <c r="AL433" s="243" t="str">
        <f>'All Ticker P&amp;L'!A433</f>
        <v/>
      </c>
      <c r="AM433" s="243" t="str">
        <f>'All Ticker P&amp;L'!B433</f>
        <v/>
      </c>
      <c r="AN433" s="243" t="str">
        <f>'All Ticker P&amp;L'!C433</f>
        <v/>
      </c>
      <c r="AO433" s="243" t="str">
        <f>'All Ticker P&amp;L'!D433</f>
        <v/>
      </c>
      <c r="AP433" s="243">
        <f>IF($AL433="",0,'All Ticker P&amp;L'!E433)</f>
        <v>0</v>
      </c>
      <c r="AQ433" s="266">
        <f>IF($AL433="",0,'All Ticker P&amp;L'!J433*'All Ticker P&amp;L'!I433)</f>
        <v>0</v>
      </c>
      <c r="AR433" s="266">
        <f>IF($AL433="",0,'All Ticker P&amp;L'!L433)</f>
        <v>0</v>
      </c>
      <c r="AS433" s="267">
        <f>IF($AL433="",0,'All Ticker P&amp;L'!M433)</f>
        <v>0</v>
      </c>
      <c r="AT433" s="243" t="str">
        <f>IF($AL433="","",RANK(AR433,$AR$2:$AR$1001)+COUNTIF($AR$2:AR433,AR433)-1)</f>
        <v/>
      </c>
      <c r="AU433" s="243" t="str">
        <f>IF($AL433="","",RANK(AV433,$AV$2:$AV$1001)+COUNTIF($AV$2:AV433,AV433)-1)</f>
        <v/>
      </c>
      <c r="AV433" s="266">
        <f t="shared" si="44"/>
        <v>0</v>
      </c>
    </row>
    <row r="434" spans="26:48" ht="15" customHeight="1" x14ac:dyDescent="0.2">
      <c r="Z434" s="243" t="str">
        <f>Shares!A434</f>
        <v/>
      </c>
      <c r="AA434" s="243" t="str">
        <f>Shares!B434</f>
        <v/>
      </c>
      <c r="AB434" s="243" t="str">
        <f>Shares!C434</f>
        <v/>
      </c>
      <c r="AC434" s="243" t="str">
        <f>Shares!D434</f>
        <v/>
      </c>
      <c r="AD434" s="243">
        <f>IF($Z434="",0,Shares!E434)</f>
        <v>0</v>
      </c>
      <c r="AE434" s="266">
        <f>IF($Z434="",0,Shares!J434*Shares!I434)</f>
        <v>0</v>
      </c>
      <c r="AF434" s="267">
        <f t="shared" si="43"/>
        <v>0</v>
      </c>
      <c r="AG434" s="266">
        <f>IF($Z434="",0,Shares!L434)</f>
        <v>0</v>
      </c>
      <c r="AH434" s="267">
        <f>IF($Z434="",0,Shares!M434)</f>
        <v>0</v>
      </c>
      <c r="AI434" s="243" t="str">
        <f>IF($Z434="","",RANK(AE434,$AE$2:$AE$1001)+COUNTIF($AE$2:AE434,AE434)-1)</f>
        <v/>
      </c>
      <c r="AJ434" s="243" t="str">
        <f>IF($AD434&lt;0,COUNT($AJ$1:AJ433)+1,"")</f>
        <v/>
      </c>
      <c r="AL434" s="243" t="str">
        <f>'All Ticker P&amp;L'!A434</f>
        <v/>
      </c>
      <c r="AM434" s="243" t="str">
        <f>'All Ticker P&amp;L'!B434</f>
        <v/>
      </c>
      <c r="AN434" s="243" t="str">
        <f>'All Ticker P&amp;L'!C434</f>
        <v/>
      </c>
      <c r="AO434" s="243" t="str">
        <f>'All Ticker P&amp;L'!D434</f>
        <v/>
      </c>
      <c r="AP434" s="243">
        <f>IF($AL434="",0,'All Ticker P&amp;L'!E434)</f>
        <v>0</v>
      </c>
      <c r="AQ434" s="266">
        <f>IF($AL434="",0,'All Ticker P&amp;L'!J434*'All Ticker P&amp;L'!I434)</f>
        <v>0</v>
      </c>
      <c r="AR434" s="266">
        <f>IF($AL434="",0,'All Ticker P&amp;L'!L434)</f>
        <v>0</v>
      </c>
      <c r="AS434" s="267">
        <f>IF($AL434="",0,'All Ticker P&amp;L'!M434)</f>
        <v>0</v>
      </c>
      <c r="AT434" s="243" t="str">
        <f>IF($AL434="","",RANK(AR434,$AR$2:$AR$1001)+COUNTIF($AR$2:AR434,AR434)-1)</f>
        <v/>
      </c>
      <c r="AU434" s="243" t="str">
        <f>IF($AL434="","",RANK(AV434,$AV$2:$AV$1001)+COUNTIF($AV$2:AV434,AV434)-1)</f>
        <v/>
      </c>
      <c r="AV434" s="266">
        <f t="shared" si="44"/>
        <v>0</v>
      </c>
    </row>
    <row r="435" spans="26:48" ht="15" customHeight="1" x14ac:dyDescent="0.2">
      <c r="Z435" s="243" t="str">
        <f>Shares!A435</f>
        <v/>
      </c>
      <c r="AA435" s="243" t="str">
        <f>Shares!B435</f>
        <v/>
      </c>
      <c r="AB435" s="243" t="str">
        <f>Shares!C435</f>
        <v/>
      </c>
      <c r="AC435" s="243" t="str">
        <f>Shares!D435</f>
        <v/>
      </c>
      <c r="AD435" s="243">
        <f>IF($Z435="",0,Shares!E435)</f>
        <v>0</v>
      </c>
      <c r="AE435" s="266">
        <f>IF($Z435="",0,Shares!J435*Shares!I435)</f>
        <v>0</v>
      </c>
      <c r="AF435" s="267">
        <f t="shared" si="43"/>
        <v>0</v>
      </c>
      <c r="AG435" s="266">
        <f>IF($Z435="",0,Shares!L435)</f>
        <v>0</v>
      </c>
      <c r="AH435" s="267">
        <f>IF($Z435="",0,Shares!M435)</f>
        <v>0</v>
      </c>
      <c r="AI435" s="243" t="str">
        <f>IF($Z435="","",RANK(AE435,$AE$2:$AE$1001)+COUNTIF($AE$2:AE435,AE435)-1)</f>
        <v/>
      </c>
      <c r="AJ435" s="243" t="str">
        <f>IF($AD435&lt;0,COUNT($AJ$1:AJ434)+1,"")</f>
        <v/>
      </c>
      <c r="AL435" s="243" t="str">
        <f>'All Ticker P&amp;L'!A435</f>
        <v/>
      </c>
      <c r="AM435" s="243" t="str">
        <f>'All Ticker P&amp;L'!B435</f>
        <v/>
      </c>
      <c r="AN435" s="243" t="str">
        <f>'All Ticker P&amp;L'!C435</f>
        <v/>
      </c>
      <c r="AO435" s="243" t="str">
        <f>'All Ticker P&amp;L'!D435</f>
        <v/>
      </c>
      <c r="AP435" s="243">
        <f>IF($AL435="",0,'All Ticker P&amp;L'!E435)</f>
        <v>0</v>
      </c>
      <c r="AQ435" s="266">
        <f>IF($AL435="",0,'All Ticker P&amp;L'!J435*'All Ticker P&amp;L'!I435)</f>
        <v>0</v>
      </c>
      <c r="AR435" s="266">
        <f>IF($AL435="",0,'All Ticker P&amp;L'!L435)</f>
        <v>0</v>
      </c>
      <c r="AS435" s="267">
        <f>IF($AL435="",0,'All Ticker P&amp;L'!M435)</f>
        <v>0</v>
      </c>
      <c r="AT435" s="243" t="str">
        <f>IF($AL435="","",RANK(AR435,$AR$2:$AR$1001)+COUNTIF($AR$2:AR435,AR435)-1)</f>
        <v/>
      </c>
      <c r="AU435" s="243" t="str">
        <f>IF($AL435="","",RANK(AV435,$AV$2:$AV$1001)+COUNTIF($AV$2:AV435,AV435)-1)</f>
        <v/>
      </c>
      <c r="AV435" s="266">
        <f t="shared" si="44"/>
        <v>0</v>
      </c>
    </row>
    <row r="436" spans="26:48" ht="15" customHeight="1" x14ac:dyDescent="0.2">
      <c r="Z436" s="243" t="str">
        <f>Shares!A436</f>
        <v/>
      </c>
      <c r="AA436" s="243" t="str">
        <f>Shares!B436</f>
        <v/>
      </c>
      <c r="AB436" s="243" t="str">
        <f>Shares!C436</f>
        <v/>
      </c>
      <c r="AC436" s="243" t="str">
        <f>Shares!D436</f>
        <v/>
      </c>
      <c r="AD436" s="243">
        <f>IF($Z436="",0,Shares!E436)</f>
        <v>0</v>
      </c>
      <c r="AE436" s="266">
        <f>IF($Z436="",0,Shares!J436*Shares!I436)</f>
        <v>0</v>
      </c>
      <c r="AF436" s="267">
        <f t="shared" si="43"/>
        <v>0</v>
      </c>
      <c r="AG436" s="266">
        <f>IF($Z436="",0,Shares!L436)</f>
        <v>0</v>
      </c>
      <c r="AH436" s="267">
        <f>IF($Z436="",0,Shares!M436)</f>
        <v>0</v>
      </c>
      <c r="AI436" s="243" t="str">
        <f>IF($Z436="","",RANK(AE436,$AE$2:$AE$1001)+COUNTIF($AE$2:AE436,AE436)-1)</f>
        <v/>
      </c>
      <c r="AJ436" s="243" t="str">
        <f>IF($AD436&lt;0,COUNT($AJ$1:AJ435)+1,"")</f>
        <v/>
      </c>
      <c r="AL436" s="243" t="str">
        <f>'All Ticker P&amp;L'!A436</f>
        <v/>
      </c>
      <c r="AM436" s="243" t="str">
        <f>'All Ticker P&amp;L'!B436</f>
        <v/>
      </c>
      <c r="AN436" s="243" t="str">
        <f>'All Ticker P&amp;L'!C436</f>
        <v/>
      </c>
      <c r="AO436" s="243" t="str">
        <f>'All Ticker P&amp;L'!D436</f>
        <v/>
      </c>
      <c r="AP436" s="243">
        <f>IF($AL436="",0,'All Ticker P&amp;L'!E436)</f>
        <v>0</v>
      </c>
      <c r="AQ436" s="266">
        <f>IF($AL436="",0,'All Ticker P&amp;L'!J436*'All Ticker P&amp;L'!I436)</f>
        <v>0</v>
      </c>
      <c r="AR436" s="266">
        <f>IF($AL436="",0,'All Ticker P&amp;L'!L436)</f>
        <v>0</v>
      </c>
      <c r="AS436" s="267">
        <f>IF($AL436="",0,'All Ticker P&amp;L'!M436)</f>
        <v>0</v>
      </c>
      <c r="AT436" s="243" t="str">
        <f>IF($AL436="","",RANK(AR436,$AR$2:$AR$1001)+COUNTIF($AR$2:AR436,AR436)-1)</f>
        <v/>
      </c>
      <c r="AU436" s="243" t="str">
        <f>IF($AL436="","",RANK(AV436,$AV$2:$AV$1001)+COUNTIF($AV$2:AV436,AV436)-1)</f>
        <v/>
      </c>
      <c r="AV436" s="266">
        <f t="shared" si="44"/>
        <v>0</v>
      </c>
    </row>
    <row r="437" spans="26:48" ht="15" customHeight="1" x14ac:dyDescent="0.2">
      <c r="Z437" s="243" t="str">
        <f>Shares!A437</f>
        <v/>
      </c>
      <c r="AA437" s="243" t="str">
        <f>Shares!B437</f>
        <v/>
      </c>
      <c r="AB437" s="243" t="str">
        <f>Shares!C437</f>
        <v/>
      </c>
      <c r="AC437" s="243" t="str">
        <f>Shares!D437</f>
        <v/>
      </c>
      <c r="AD437" s="243">
        <f>IF($Z437="",0,Shares!E437)</f>
        <v>0</v>
      </c>
      <c r="AE437" s="266">
        <f>IF($Z437="",0,Shares!J437*Shares!I437)</f>
        <v>0</v>
      </c>
      <c r="AF437" s="267">
        <f t="shared" si="43"/>
        <v>0</v>
      </c>
      <c r="AG437" s="266">
        <f>IF($Z437="",0,Shares!L437)</f>
        <v>0</v>
      </c>
      <c r="AH437" s="267">
        <f>IF($Z437="",0,Shares!M437)</f>
        <v>0</v>
      </c>
      <c r="AI437" s="243" t="str">
        <f>IF($Z437="","",RANK(AE437,$AE$2:$AE$1001)+COUNTIF($AE$2:AE437,AE437)-1)</f>
        <v/>
      </c>
      <c r="AJ437" s="243" t="str">
        <f>IF($AD437&lt;0,COUNT($AJ$1:AJ436)+1,"")</f>
        <v/>
      </c>
      <c r="AL437" s="243" t="str">
        <f>'All Ticker P&amp;L'!A437</f>
        <v/>
      </c>
      <c r="AM437" s="243" t="str">
        <f>'All Ticker P&amp;L'!B437</f>
        <v/>
      </c>
      <c r="AN437" s="243" t="str">
        <f>'All Ticker P&amp;L'!C437</f>
        <v/>
      </c>
      <c r="AO437" s="243" t="str">
        <f>'All Ticker P&amp;L'!D437</f>
        <v/>
      </c>
      <c r="AP437" s="243">
        <f>IF($AL437="",0,'All Ticker P&amp;L'!E437)</f>
        <v>0</v>
      </c>
      <c r="AQ437" s="266">
        <f>IF($AL437="",0,'All Ticker P&amp;L'!J437*'All Ticker P&amp;L'!I437)</f>
        <v>0</v>
      </c>
      <c r="AR437" s="266">
        <f>IF($AL437="",0,'All Ticker P&amp;L'!L437)</f>
        <v>0</v>
      </c>
      <c r="AS437" s="267">
        <f>IF($AL437="",0,'All Ticker P&amp;L'!M437)</f>
        <v>0</v>
      </c>
      <c r="AT437" s="243" t="str">
        <f>IF($AL437="","",RANK(AR437,$AR$2:$AR$1001)+COUNTIF($AR$2:AR437,AR437)-1)</f>
        <v/>
      </c>
      <c r="AU437" s="243" t="str">
        <f>IF($AL437="","",RANK(AV437,$AV$2:$AV$1001)+COUNTIF($AV$2:AV437,AV437)-1)</f>
        <v/>
      </c>
      <c r="AV437" s="266">
        <f t="shared" si="44"/>
        <v>0</v>
      </c>
    </row>
    <row r="438" spans="26:48" ht="15" customHeight="1" x14ac:dyDescent="0.2">
      <c r="Z438" s="243" t="str">
        <f>Shares!A438</f>
        <v/>
      </c>
      <c r="AA438" s="243" t="str">
        <f>Shares!B438</f>
        <v/>
      </c>
      <c r="AB438" s="243" t="str">
        <f>Shares!C438</f>
        <v/>
      </c>
      <c r="AC438" s="243" t="str">
        <f>Shares!D438</f>
        <v/>
      </c>
      <c r="AD438" s="243">
        <f>IF($Z438="",0,Shares!E438)</f>
        <v>0</v>
      </c>
      <c r="AE438" s="266">
        <f>IF($Z438="",0,Shares!J438*Shares!I438)</f>
        <v>0</v>
      </c>
      <c r="AF438" s="267">
        <f t="shared" si="43"/>
        <v>0</v>
      </c>
      <c r="AG438" s="266">
        <f>IF($Z438="",0,Shares!L438)</f>
        <v>0</v>
      </c>
      <c r="AH438" s="267">
        <f>IF($Z438="",0,Shares!M438)</f>
        <v>0</v>
      </c>
      <c r="AI438" s="243" t="str">
        <f>IF($Z438="","",RANK(AE438,$AE$2:$AE$1001)+COUNTIF($AE$2:AE438,AE438)-1)</f>
        <v/>
      </c>
      <c r="AJ438" s="243" t="str">
        <f>IF($AD438&lt;0,COUNT($AJ$1:AJ437)+1,"")</f>
        <v/>
      </c>
      <c r="AL438" s="243" t="str">
        <f>'All Ticker P&amp;L'!A438</f>
        <v/>
      </c>
      <c r="AM438" s="243" t="str">
        <f>'All Ticker P&amp;L'!B438</f>
        <v/>
      </c>
      <c r="AN438" s="243" t="str">
        <f>'All Ticker P&amp;L'!C438</f>
        <v/>
      </c>
      <c r="AO438" s="243" t="str">
        <f>'All Ticker P&amp;L'!D438</f>
        <v/>
      </c>
      <c r="AP438" s="243">
        <f>IF($AL438="",0,'All Ticker P&amp;L'!E438)</f>
        <v>0</v>
      </c>
      <c r="AQ438" s="266">
        <f>IF($AL438="",0,'All Ticker P&amp;L'!J438*'All Ticker P&amp;L'!I438)</f>
        <v>0</v>
      </c>
      <c r="AR438" s="266">
        <f>IF($AL438="",0,'All Ticker P&amp;L'!L438)</f>
        <v>0</v>
      </c>
      <c r="AS438" s="267">
        <f>IF($AL438="",0,'All Ticker P&amp;L'!M438)</f>
        <v>0</v>
      </c>
      <c r="AT438" s="243" t="str">
        <f>IF($AL438="","",RANK(AR438,$AR$2:$AR$1001)+COUNTIF($AR$2:AR438,AR438)-1)</f>
        <v/>
      </c>
      <c r="AU438" s="243" t="str">
        <f>IF($AL438="","",RANK(AV438,$AV$2:$AV$1001)+COUNTIF($AV$2:AV438,AV438)-1)</f>
        <v/>
      </c>
      <c r="AV438" s="266">
        <f t="shared" si="44"/>
        <v>0</v>
      </c>
    </row>
    <row r="439" spans="26:48" ht="15" customHeight="1" x14ac:dyDescent="0.2">
      <c r="Z439" s="243" t="str">
        <f>Shares!A439</f>
        <v/>
      </c>
      <c r="AA439" s="243" t="str">
        <f>Shares!B439</f>
        <v/>
      </c>
      <c r="AB439" s="243" t="str">
        <f>Shares!C439</f>
        <v/>
      </c>
      <c r="AC439" s="243" t="str">
        <f>Shares!D439</f>
        <v/>
      </c>
      <c r="AD439" s="243">
        <f>IF($Z439="",0,Shares!E439)</f>
        <v>0</v>
      </c>
      <c r="AE439" s="266">
        <f>IF($Z439="",0,Shares!J439*Shares!I439)</f>
        <v>0</v>
      </c>
      <c r="AF439" s="267">
        <f t="shared" si="43"/>
        <v>0</v>
      </c>
      <c r="AG439" s="266">
        <f>IF($Z439="",0,Shares!L439)</f>
        <v>0</v>
      </c>
      <c r="AH439" s="267">
        <f>IF($Z439="",0,Shares!M439)</f>
        <v>0</v>
      </c>
      <c r="AI439" s="243" t="str">
        <f>IF($Z439="","",RANK(AE439,$AE$2:$AE$1001)+COUNTIF($AE$2:AE439,AE439)-1)</f>
        <v/>
      </c>
      <c r="AJ439" s="243" t="str">
        <f>IF($AD439&lt;0,COUNT($AJ$1:AJ438)+1,"")</f>
        <v/>
      </c>
      <c r="AL439" s="243" t="str">
        <f>'All Ticker P&amp;L'!A439</f>
        <v/>
      </c>
      <c r="AM439" s="243" t="str">
        <f>'All Ticker P&amp;L'!B439</f>
        <v/>
      </c>
      <c r="AN439" s="243" t="str">
        <f>'All Ticker P&amp;L'!C439</f>
        <v/>
      </c>
      <c r="AO439" s="243" t="str">
        <f>'All Ticker P&amp;L'!D439</f>
        <v/>
      </c>
      <c r="AP439" s="243">
        <f>IF($AL439="",0,'All Ticker P&amp;L'!E439)</f>
        <v>0</v>
      </c>
      <c r="AQ439" s="266">
        <f>IF($AL439="",0,'All Ticker P&amp;L'!J439*'All Ticker P&amp;L'!I439)</f>
        <v>0</v>
      </c>
      <c r="AR439" s="266">
        <f>IF($AL439="",0,'All Ticker P&amp;L'!L439)</f>
        <v>0</v>
      </c>
      <c r="AS439" s="267">
        <f>IF($AL439="",0,'All Ticker P&amp;L'!M439)</f>
        <v>0</v>
      </c>
      <c r="AT439" s="243" t="str">
        <f>IF($AL439="","",RANK(AR439,$AR$2:$AR$1001)+COUNTIF($AR$2:AR439,AR439)-1)</f>
        <v/>
      </c>
      <c r="AU439" s="243" t="str">
        <f>IF($AL439="","",RANK(AV439,$AV$2:$AV$1001)+COUNTIF($AV$2:AV439,AV439)-1)</f>
        <v/>
      </c>
      <c r="AV439" s="266">
        <f t="shared" si="44"/>
        <v>0</v>
      </c>
    </row>
    <row r="440" spans="26:48" ht="15" customHeight="1" x14ac:dyDescent="0.2">
      <c r="Z440" s="243" t="str">
        <f>Shares!A440</f>
        <v/>
      </c>
      <c r="AA440" s="243" t="str">
        <f>Shares!B440</f>
        <v/>
      </c>
      <c r="AB440" s="243" t="str">
        <f>Shares!C440</f>
        <v/>
      </c>
      <c r="AC440" s="243" t="str">
        <f>Shares!D440</f>
        <v/>
      </c>
      <c r="AD440" s="243">
        <f>IF($Z440="",0,Shares!E440)</f>
        <v>0</v>
      </c>
      <c r="AE440" s="266">
        <f>IF($Z440="",0,Shares!J440*Shares!I440)</f>
        <v>0</v>
      </c>
      <c r="AF440" s="267">
        <f t="shared" si="43"/>
        <v>0</v>
      </c>
      <c r="AG440" s="266">
        <f>IF($Z440="",0,Shares!L440)</f>
        <v>0</v>
      </c>
      <c r="AH440" s="267">
        <f>IF($Z440="",0,Shares!M440)</f>
        <v>0</v>
      </c>
      <c r="AI440" s="243" t="str">
        <f>IF($Z440="","",RANK(AE440,$AE$2:$AE$1001)+COUNTIF($AE$2:AE440,AE440)-1)</f>
        <v/>
      </c>
      <c r="AJ440" s="243" t="str">
        <f>IF($AD440&lt;0,COUNT($AJ$1:AJ439)+1,"")</f>
        <v/>
      </c>
      <c r="AL440" s="243" t="str">
        <f>'All Ticker P&amp;L'!A440</f>
        <v/>
      </c>
      <c r="AM440" s="243" t="str">
        <f>'All Ticker P&amp;L'!B440</f>
        <v/>
      </c>
      <c r="AN440" s="243" t="str">
        <f>'All Ticker P&amp;L'!C440</f>
        <v/>
      </c>
      <c r="AO440" s="243" t="str">
        <f>'All Ticker P&amp;L'!D440</f>
        <v/>
      </c>
      <c r="AP440" s="243">
        <f>IF($AL440="",0,'All Ticker P&amp;L'!E440)</f>
        <v>0</v>
      </c>
      <c r="AQ440" s="266">
        <f>IF($AL440="",0,'All Ticker P&amp;L'!J440*'All Ticker P&amp;L'!I440)</f>
        <v>0</v>
      </c>
      <c r="AR440" s="266">
        <f>IF($AL440="",0,'All Ticker P&amp;L'!L440)</f>
        <v>0</v>
      </c>
      <c r="AS440" s="267">
        <f>IF($AL440="",0,'All Ticker P&amp;L'!M440)</f>
        <v>0</v>
      </c>
      <c r="AT440" s="243" t="str">
        <f>IF($AL440="","",RANK(AR440,$AR$2:$AR$1001)+COUNTIF($AR$2:AR440,AR440)-1)</f>
        <v/>
      </c>
      <c r="AU440" s="243" t="str">
        <f>IF($AL440="","",RANK(AV440,$AV$2:$AV$1001)+COUNTIF($AV$2:AV440,AV440)-1)</f>
        <v/>
      </c>
      <c r="AV440" s="266">
        <f t="shared" si="44"/>
        <v>0</v>
      </c>
    </row>
    <row r="441" spans="26:48" ht="15" customHeight="1" x14ac:dyDescent="0.2">
      <c r="Z441" s="243" t="str">
        <f>Shares!A441</f>
        <v/>
      </c>
      <c r="AA441" s="243" t="str">
        <f>Shares!B441</f>
        <v/>
      </c>
      <c r="AB441" s="243" t="str">
        <f>Shares!C441</f>
        <v/>
      </c>
      <c r="AC441" s="243" t="str">
        <f>Shares!D441</f>
        <v/>
      </c>
      <c r="AD441" s="243">
        <f>IF($Z441="",0,Shares!E441)</f>
        <v>0</v>
      </c>
      <c r="AE441" s="266">
        <f>IF($Z441="",0,Shares!J441*Shares!I441)</f>
        <v>0</v>
      </c>
      <c r="AF441" s="267">
        <f t="shared" si="43"/>
        <v>0</v>
      </c>
      <c r="AG441" s="266">
        <f>IF($Z441="",0,Shares!L441)</f>
        <v>0</v>
      </c>
      <c r="AH441" s="267">
        <f>IF($Z441="",0,Shares!M441)</f>
        <v>0</v>
      </c>
      <c r="AI441" s="243" t="str">
        <f>IF($Z441="","",RANK(AE441,$AE$2:$AE$1001)+COUNTIF($AE$2:AE441,AE441)-1)</f>
        <v/>
      </c>
      <c r="AJ441" s="243" t="str">
        <f>IF($AD441&lt;0,COUNT($AJ$1:AJ440)+1,"")</f>
        <v/>
      </c>
      <c r="AL441" s="243" t="str">
        <f>'All Ticker P&amp;L'!A441</f>
        <v/>
      </c>
      <c r="AM441" s="243" t="str">
        <f>'All Ticker P&amp;L'!B441</f>
        <v/>
      </c>
      <c r="AN441" s="243" t="str">
        <f>'All Ticker P&amp;L'!C441</f>
        <v/>
      </c>
      <c r="AO441" s="243" t="str">
        <f>'All Ticker P&amp;L'!D441</f>
        <v/>
      </c>
      <c r="AP441" s="243">
        <f>IF($AL441="",0,'All Ticker P&amp;L'!E441)</f>
        <v>0</v>
      </c>
      <c r="AQ441" s="266">
        <f>IF($AL441="",0,'All Ticker P&amp;L'!J441*'All Ticker P&amp;L'!I441)</f>
        <v>0</v>
      </c>
      <c r="AR441" s="266">
        <f>IF($AL441="",0,'All Ticker P&amp;L'!L441)</f>
        <v>0</v>
      </c>
      <c r="AS441" s="267">
        <f>IF($AL441="",0,'All Ticker P&amp;L'!M441)</f>
        <v>0</v>
      </c>
      <c r="AT441" s="243" t="str">
        <f>IF($AL441="","",RANK(AR441,$AR$2:$AR$1001)+COUNTIF($AR$2:AR441,AR441)-1)</f>
        <v/>
      </c>
      <c r="AU441" s="243" t="str">
        <f>IF($AL441="","",RANK(AV441,$AV$2:$AV$1001)+COUNTIF($AV$2:AV441,AV441)-1)</f>
        <v/>
      </c>
      <c r="AV441" s="266">
        <f t="shared" si="44"/>
        <v>0</v>
      </c>
    </row>
    <row r="442" spans="26:48" ht="15" customHeight="1" x14ac:dyDescent="0.2">
      <c r="Z442" s="243" t="str">
        <f>Shares!A442</f>
        <v/>
      </c>
      <c r="AA442" s="243" t="str">
        <f>Shares!B442</f>
        <v/>
      </c>
      <c r="AB442" s="243" t="str">
        <f>Shares!C442</f>
        <v/>
      </c>
      <c r="AC442" s="243" t="str">
        <f>Shares!D442</f>
        <v/>
      </c>
      <c r="AD442" s="243">
        <f>IF($Z442="",0,Shares!E442)</f>
        <v>0</v>
      </c>
      <c r="AE442" s="266">
        <f>IF($Z442="",0,Shares!J442*Shares!I442)</f>
        <v>0</v>
      </c>
      <c r="AF442" s="267">
        <f t="shared" si="43"/>
        <v>0</v>
      </c>
      <c r="AG442" s="266">
        <f>IF($Z442="",0,Shares!L442)</f>
        <v>0</v>
      </c>
      <c r="AH442" s="267">
        <f>IF($Z442="",0,Shares!M442)</f>
        <v>0</v>
      </c>
      <c r="AI442" s="243" t="str">
        <f>IF($Z442="","",RANK(AE442,$AE$2:$AE$1001)+COUNTIF($AE$2:AE442,AE442)-1)</f>
        <v/>
      </c>
      <c r="AJ442" s="243" t="str">
        <f>IF($AD442&lt;0,COUNT($AJ$1:AJ441)+1,"")</f>
        <v/>
      </c>
      <c r="AL442" s="243" t="str">
        <f>'All Ticker P&amp;L'!A442</f>
        <v/>
      </c>
      <c r="AM442" s="243" t="str">
        <f>'All Ticker P&amp;L'!B442</f>
        <v/>
      </c>
      <c r="AN442" s="243" t="str">
        <f>'All Ticker P&amp;L'!C442</f>
        <v/>
      </c>
      <c r="AO442" s="243" t="str">
        <f>'All Ticker P&amp;L'!D442</f>
        <v/>
      </c>
      <c r="AP442" s="243">
        <f>IF($AL442="",0,'All Ticker P&amp;L'!E442)</f>
        <v>0</v>
      </c>
      <c r="AQ442" s="266">
        <f>IF($AL442="",0,'All Ticker P&amp;L'!J442*'All Ticker P&amp;L'!I442)</f>
        <v>0</v>
      </c>
      <c r="AR442" s="266">
        <f>IF($AL442="",0,'All Ticker P&amp;L'!L442)</f>
        <v>0</v>
      </c>
      <c r="AS442" s="267">
        <f>IF($AL442="",0,'All Ticker P&amp;L'!M442)</f>
        <v>0</v>
      </c>
      <c r="AT442" s="243" t="str">
        <f>IF($AL442="","",RANK(AR442,$AR$2:$AR$1001)+COUNTIF($AR$2:AR442,AR442)-1)</f>
        <v/>
      </c>
      <c r="AU442" s="243" t="str">
        <f>IF($AL442="","",RANK(AV442,$AV$2:$AV$1001)+COUNTIF($AV$2:AV442,AV442)-1)</f>
        <v/>
      </c>
      <c r="AV442" s="266">
        <f t="shared" si="44"/>
        <v>0</v>
      </c>
    </row>
    <row r="443" spans="26:48" ht="15" customHeight="1" x14ac:dyDescent="0.2">
      <c r="Z443" s="243" t="str">
        <f>Shares!A443</f>
        <v/>
      </c>
      <c r="AA443" s="243" t="str">
        <f>Shares!B443</f>
        <v/>
      </c>
      <c r="AB443" s="243" t="str">
        <f>Shares!C443</f>
        <v/>
      </c>
      <c r="AC443" s="243" t="str">
        <f>Shares!D443</f>
        <v/>
      </c>
      <c r="AD443" s="243">
        <f>IF($Z443="",0,Shares!E443)</f>
        <v>0</v>
      </c>
      <c r="AE443" s="266">
        <f>IF($Z443="",0,Shares!J443*Shares!I443)</f>
        <v>0</v>
      </c>
      <c r="AF443" s="267">
        <f t="shared" si="43"/>
        <v>0</v>
      </c>
      <c r="AG443" s="266">
        <f>IF($Z443="",0,Shares!L443)</f>
        <v>0</v>
      </c>
      <c r="AH443" s="267">
        <f>IF($Z443="",0,Shares!M443)</f>
        <v>0</v>
      </c>
      <c r="AI443" s="243" t="str">
        <f>IF($Z443="","",RANK(AE443,$AE$2:$AE$1001)+COUNTIF($AE$2:AE443,AE443)-1)</f>
        <v/>
      </c>
      <c r="AJ443" s="243" t="str">
        <f>IF($AD443&lt;0,COUNT($AJ$1:AJ442)+1,"")</f>
        <v/>
      </c>
      <c r="AL443" s="243" t="str">
        <f>'All Ticker P&amp;L'!A443</f>
        <v/>
      </c>
      <c r="AM443" s="243" t="str">
        <f>'All Ticker P&amp;L'!B443</f>
        <v/>
      </c>
      <c r="AN443" s="243" t="str">
        <f>'All Ticker P&amp;L'!C443</f>
        <v/>
      </c>
      <c r="AO443" s="243" t="str">
        <f>'All Ticker P&amp;L'!D443</f>
        <v/>
      </c>
      <c r="AP443" s="243">
        <f>IF($AL443="",0,'All Ticker P&amp;L'!E443)</f>
        <v>0</v>
      </c>
      <c r="AQ443" s="266">
        <f>IF($AL443="",0,'All Ticker P&amp;L'!J443*'All Ticker P&amp;L'!I443)</f>
        <v>0</v>
      </c>
      <c r="AR443" s="266">
        <f>IF($AL443="",0,'All Ticker P&amp;L'!L443)</f>
        <v>0</v>
      </c>
      <c r="AS443" s="267">
        <f>IF($AL443="",0,'All Ticker P&amp;L'!M443)</f>
        <v>0</v>
      </c>
      <c r="AT443" s="243" t="str">
        <f>IF($AL443="","",RANK(AR443,$AR$2:$AR$1001)+COUNTIF($AR$2:AR443,AR443)-1)</f>
        <v/>
      </c>
      <c r="AU443" s="243" t="str">
        <f>IF($AL443="","",RANK(AV443,$AV$2:$AV$1001)+COUNTIF($AV$2:AV443,AV443)-1)</f>
        <v/>
      </c>
      <c r="AV443" s="266">
        <f t="shared" si="44"/>
        <v>0</v>
      </c>
    </row>
    <row r="444" spans="26:48" ht="15" customHeight="1" x14ac:dyDescent="0.2">
      <c r="Z444" s="243" t="str">
        <f>Shares!A444</f>
        <v/>
      </c>
      <c r="AA444" s="243" t="str">
        <f>Shares!B444</f>
        <v/>
      </c>
      <c r="AB444" s="243" t="str">
        <f>Shares!C444</f>
        <v/>
      </c>
      <c r="AC444" s="243" t="str">
        <f>Shares!D444</f>
        <v/>
      </c>
      <c r="AD444" s="243">
        <f>IF($Z444="",0,Shares!E444)</f>
        <v>0</v>
      </c>
      <c r="AE444" s="266">
        <f>IF($Z444="",0,Shares!J444*Shares!I444)</f>
        <v>0</v>
      </c>
      <c r="AF444" s="267">
        <f t="shared" si="43"/>
        <v>0</v>
      </c>
      <c r="AG444" s="266">
        <f>IF($Z444="",0,Shares!L444)</f>
        <v>0</v>
      </c>
      <c r="AH444" s="267">
        <f>IF($Z444="",0,Shares!M444)</f>
        <v>0</v>
      </c>
      <c r="AI444" s="243" t="str">
        <f>IF($Z444="","",RANK(AE444,$AE$2:$AE$1001)+COUNTIF($AE$2:AE444,AE444)-1)</f>
        <v/>
      </c>
      <c r="AJ444" s="243" t="str">
        <f>IF($AD444&lt;0,COUNT($AJ$1:AJ443)+1,"")</f>
        <v/>
      </c>
      <c r="AL444" s="243" t="str">
        <f>'All Ticker P&amp;L'!A444</f>
        <v/>
      </c>
      <c r="AM444" s="243" t="str">
        <f>'All Ticker P&amp;L'!B444</f>
        <v/>
      </c>
      <c r="AN444" s="243" t="str">
        <f>'All Ticker P&amp;L'!C444</f>
        <v/>
      </c>
      <c r="AO444" s="243" t="str">
        <f>'All Ticker P&amp;L'!D444</f>
        <v/>
      </c>
      <c r="AP444" s="243">
        <f>IF($AL444="",0,'All Ticker P&amp;L'!E444)</f>
        <v>0</v>
      </c>
      <c r="AQ444" s="266">
        <f>IF($AL444="",0,'All Ticker P&amp;L'!J444*'All Ticker P&amp;L'!I444)</f>
        <v>0</v>
      </c>
      <c r="AR444" s="266">
        <f>IF($AL444="",0,'All Ticker P&amp;L'!L444)</f>
        <v>0</v>
      </c>
      <c r="AS444" s="267">
        <f>IF($AL444="",0,'All Ticker P&amp;L'!M444)</f>
        <v>0</v>
      </c>
      <c r="AT444" s="243" t="str">
        <f>IF($AL444="","",RANK(AR444,$AR$2:$AR$1001)+COUNTIF($AR$2:AR444,AR444)-1)</f>
        <v/>
      </c>
      <c r="AU444" s="243" t="str">
        <f>IF($AL444="","",RANK(AV444,$AV$2:$AV$1001)+COUNTIF($AV$2:AV444,AV444)-1)</f>
        <v/>
      </c>
      <c r="AV444" s="266">
        <f t="shared" si="44"/>
        <v>0</v>
      </c>
    </row>
    <row r="445" spans="26:48" ht="15" customHeight="1" x14ac:dyDescent="0.2">
      <c r="Z445" s="243" t="str">
        <f>Shares!A445</f>
        <v/>
      </c>
      <c r="AA445" s="243" t="str">
        <f>Shares!B445</f>
        <v/>
      </c>
      <c r="AB445" s="243" t="str">
        <f>Shares!C445</f>
        <v/>
      </c>
      <c r="AC445" s="243" t="str">
        <f>Shares!D445</f>
        <v/>
      </c>
      <c r="AD445" s="243">
        <f>IF($Z445="",0,Shares!E445)</f>
        <v>0</v>
      </c>
      <c r="AE445" s="266">
        <f>IF($Z445="",0,Shares!J445*Shares!I445)</f>
        <v>0</v>
      </c>
      <c r="AF445" s="267">
        <f t="shared" si="43"/>
        <v>0</v>
      </c>
      <c r="AG445" s="266">
        <f>IF($Z445="",0,Shares!L445)</f>
        <v>0</v>
      </c>
      <c r="AH445" s="267">
        <f>IF($Z445="",0,Shares!M445)</f>
        <v>0</v>
      </c>
      <c r="AI445" s="243" t="str">
        <f>IF($Z445="","",RANK(AE445,$AE$2:$AE$1001)+COUNTIF($AE$2:AE445,AE445)-1)</f>
        <v/>
      </c>
      <c r="AJ445" s="243" t="str">
        <f>IF($AD445&lt;0,COUNT($AJ$1:AJ444)+1,"")</f>
        <v/>
      </c>
      <c r="AL445" s="243" t="str">
        <f>'All Ticker P&amp;L'!A445</f>
        <v/>
      </c>
      <c r="AM445" s="243" t="str">
        <f>'All Ticker P&amp;L'!B445</f>
        <v/>
      </c>
      <c r="AN445" s="243" t="str">
        <f>'All Ticker P&amp;L'!C445</f>
        <v/>
      </c>
      <c r="AO445" s="243" t="str">
        <f>'All Ticker P&amp;L'!D445</f>
        <v/>
      </c>
      <c r="AP445" s="243">
        <f>IF($AL445="",0,'All Ticker P&amp;L'!E445)</f>
        <v>0</v>
      </c>
      <c r="AQ445" s="266">
        <f>IF($AL445="",0,'All Ticker P&amp;L'!J445*'All Ticker P&amp;L'!I445)</f>
        <v>0</v>
      </c>
      <c r="AR445" s="266">
        <f>IF($AL445="",0,'All Ticker P&amp;L'!L445)</f>
        <v>0</v>
      </c>
      <c r="AS445" s="267">
        <f>IF($AL445="",0,'All Ticker P&amp;L'!M445)</f>
        <v>0</v>
      </c>
      <c r="AT445" s="243" t="str">
        <f>IF($AL445="","",RANK(AR445,$AR$2:$AR$1001)+COUNTIF($AR$2:AR445,AR445)-1)</f>
        <v/>
      </c>
      <c r="AU445" s="243" t="str">
        <f>IF($AL445="","",RANK(AV445,$AV$2:$AV$1001)+COUNTIF($AV$2:AV445,AV445)-1)</f>
        <v/>
      </c>
      <c r="AV445" s="266">
        <f t="shared" si="44"/>
        <v>0</v>
      </c>
    </row>
    <row r="446" spans="26:48" ht="15" customHeight="1" x14ac:dyDescent="0.2">
      <c r="Z446" s="243" t="str">
        <f>Shares!A446</f>
        <v/>
      </c>
      <c r="AA446" s="243" t="str">
        <f>Shares!B446</f>
        <v/>
      </c>
      <c r="AB446" s="243" t="str">
        <f>Shares!C446</f>
        <v/>
      </c>
      <c r="AC446" s="243" t="str">
        <f>Shares!D446</f>
        <v/>
      </c>
      <c r="AD446" s="243">
        <f>IF($Z446="",0,Shares!E446)</f>
        <v>0</v>
      </c>
      <c r="AE446" s="266">
        <f>IF($Z446="",0,Shares!J446*Shares!I446)</f>
        <v>0</v>
      </c>
      <c r="AF446" s="267">
        <f t="shared" si="43"/>
        <v>0</v>
      </c>
      <c r="AG446" s="266">
        <f>IF($Z446="",0,Shares!L446)</f>
        <v>0</v>
      </c>
      <c r="AH446" s="267">
        <f>IF($Z446="",0,Shares!M446)</f>
        <v>0</v>
      </c>
      <c r="AI446" s="243" t="str">
        <f>IF($Z446="","",RANK(AE446,$AE$2:$AE$1001)+COUNTIF($AE$2:AE446,AE446)-1)</f>
        <v/>
      </c>
      <c r="AJ446" s="243" t="str">
        <f>IF($AD446&lt;0,COUNT($AJ$1:AJ445)+1,"")</f>
        <v/>
      </c>
      <c r="AL446" s="243" t="str">
        <f>'All Ticker P&amp;L'!A446</f>
        <v/>
      </c>
      <c r="AM446" s="243" t="str">
        <f>'All Ticker P&amp;L'!B446</f>
        <v/>
      </c>
      <c r="AN446" s="243" t="str">
        <f>'All Ticker P&amp;L'!C446</f>
        <v/>
      </c>
      <c r="AO446" s="243" t="str">
        <f>'All Ticker P&amp;L'!D446</f>
        <v/>
      </c>
      <c r="AP446" s="243">
        <f>IF($AL446="",0,'All Ticker P&amp;L'!E446)</f>
        <v>0</v>
      </c>
      <c r="AQ446" s="266">
        <f>IF($AL446="",0,'All Ticker P&amp;L'!J446*'All Ticker P&amp;L'!I446)</f>
        <v>0</v>
      </c>
      <c r="AR446" s="266">
        <f>IF($AL446="",0,'All Ticker P&amp;L'!L446)</f>
        <v>0</v>
      </c>
      <c r="AS446" s="267">
        <f>IF($AL446="",0,'All Ticker P&amp;L'!M446)</f>
        <v>0</v>
      </c>
      <c r="AT446" s="243" t="str">
        <f>IF($AL446="","",RANK(AR446,$AR$2:$AR$1001)+COUNTIF($AR$2:AR446,AR446)-1)</f>
        <v/>
      </c>
      <c r="AU446" s="243" t="str">
        <f>IF($AL446="","",RANK(AV446,$AV$2:$AV$1001)+COUNTIF($AV$2:AV446,AV446)-1)</f>
        <v/>
      </c>
      <c r="AV446" s="266">
        <f t="shared" si="44"/>
        <v>0</v>
      </c>
    </row>
    <row r="447" spans="26:48" ht="15" customHeight="1" x14ac:dyDescent="0.2">
      <c r="Z447" s="243" t="str">
        <f>Shares!A447</f>
        <v/>
      </c>
      <c r="AA447" s="243" t="str">
        <f>Shares!B447</f>
        <v/>
      </c>
      <c r="AB447" s="243" t="str">
        <f>Shares!C447</f>
        <v/>
      </c>
      <c r="AC447" s="243" t="str">
        <f>Shares!D447</f>
        <v/>
      </c>
      <c r="AD447" s="243">
        <f>IF($Z447="",0,Shares!E447)</f>
        <v>0</v>
      </c>
      <c r="AE447" s="266">
        <f>IF($Z447="",0,Shares!J447*Shares!I447)</f>
        <v>0</v>
      </c>
      <c r="AF447" s="267">
        <f t="shared" si="43"/>
        <v>0</v>
      </c>
      <c r="AG447" s="266">
        <f>IF($Z447="",0,Shares!L447)</f>
        <v>0</v>
      </c>
      <c r="AH447" s="267">
        <f>IF($Z447="",0,Shares!M447)</f>
        <v>0</v>
      </c>
      <c r="AI447" s="243" t="str">
        <f>IF($Z447="","",RANK(AE447,$AE$2:$AE$1001)+COUNTIF($AE$2:AE447,AE447)-1)</f>
        <v/>
      </c>
      <c r="AJ447" s="243" t="str">
        <f>IF($AD447&lt;0,COUNT($AJ$1:AJ446)+1,"")</f>
        <v/>
      </c>
      <c r="AL447" s="243" t="str">
        <f>'All Ticker P&amp;L'!A447</f>
        <v/>
      </c>
      <c r="AM447" s="243" t="str">
        <f>'All Ticker P&amp;L'!B447</f>
        <v/>
      </c>
      <c r="AN447" s="243" t="str">
        <f>'All Ticker P&amp;L'!C447</f>
        <v/>
      </c>
      <c r="AO447" s="243" t="str">
        <f>'All Ticker P&amp;L'!D447</f>
        <v/>
      </c>
      <c r="AP447" s="243">
        <f>IF($AL447="",0,'All Ticker P&amp;L'!E447)</f>
        <v>0</v>
      </c>
      <c r="AQ447" s="266">
        <f>IF($AL447="",0,'All Ticker P&amp;L'!J447*'All Ticker P&amp;L'!I447)</f>
        <v>0</v>
      </c>
      <c r="AR447" s="266">
        <f>IF($AL447="",0,'All Ticker P&amp;L'!L447)</f>
        <v>0</v>
      </c>
      <c r="AS447" s="267">
        <f>IF($AL447="",0,'All Ticker P&amp;L'!M447)</f>
        <v>0</v>
      </c>
      <c r="AT447" s="243" t="str">
        <f>IF($AL447="","",RANK(AR447,$AR$2:$AR$1001)+COUNTIF($AR$2:AR447,AR447)-1)</f>
        <v/>
      </c>
      <c r="AU447" s="243" t="str">
        <f>IF($AL447="","",RANK(AV447,$AV$2:$AV$1001)+COUNTIF($AV$2:AV447,AV447)-1)</f>
        <v/>
      </c>
      <c r="AV447" s="266">
        <f t="shared" si="44"/>
        <v>0</v>
      </c>
    </row>
    <row r="448" spans="26:48" ht="15" customHeight="1" x14ac:dyDescent="0.2">
      <c r="Z448" s="243" t="str">
        <f>Shares!A448</f>
        <v/>
      </c>
      <c r="AA448" s="243" t="str">
        <f>Shares!B448</f>
        <v/>
      </c>
      <c r="AB448" s="243" t="str">
        <f>Shares!C448</f>
        <v/>
      </c>
      <c r="AC448" s="243" t="str">
        <f>Shares!D448</f>
        <v/>
      </c>
      <c r="AD448" s="243">
        <f>IF($Z448="",0,Shares!E448)</f>
        <v>0</v>
      </c>
      <c r="AE448" s="266">
        <f>IF($Z448="",0,Shares!J448*Shares!I448)</f>
        <v>0</v>
      </c>
      <c r="AF448" s="267">
        <f t="shared" si="43"/>
        <v>0</v>
      </c>
      <c r="AG448" s="266">
        <f>IF($Z448="",0,Shares!L448)</f>
        <v>0</v>
      </c>
      <c r="AH448" s="267">
        <f>IF($Z448="",0,Shares!M448)</f>
        <v>0</v>
      </c>
      <c r="AI448" s="243" t="str">
        <f>IF($Z448="","",RANK(AE448,$AE$2:$AE$1001)+COUNTIF($AE$2:AE448,AE448)-1)</f>
        <v/>
      </c>
      <c r="AJ448" s="243" t="str">
        <f>IF($AD448&lt;0,COUNT($AJ$1:AJ447)+1,"")</f>
        <v/>
      </c>
      <c r="AL448" s="243" t="str">
        <f>'All Ticker P&amp;L'!A448</f>
        <v/>
      </c>
      <c r="AM448" s="243" t="str">
        <f>'All Ticker P&amp;L'!B448</f>
        <v/>
      </c>
      <c r="AN448" s="243" t="str">
        <f>'All Ticker P&amp;L'!C448</f>
        <v/>
      </c>
      <c r="AO448" s="243" t="str">
        <f>'All Ticker P&amp;L'!D448</f>
        <v/>
      </c>
      <c r="AP448" s="243">
        <f>IF($AL448="",0,'All Ticker P&amp;L'!E448)</f>
        <v>0</v>
      </c>
      <c r="AQ448" s="266">
        <f>IF($AL448="",0,'All Ticker P&amp;L'!J448*'All Ticker P&amp;L'!I448)</f>
        <v>0</v>
      </c>
      <c r="AR448" s="266">
        <f>IF($AL448="",0,'All Ticker P&amp;L'!L448)</f>
        <v>0</v>
      </c>
      <c r="AS448" s="267">
        <f>IF($AL448="",0,'All Ticker P&amp;L'!M448)</f>
        <v>0</v>
      </c>
      <c r="AT448" s="243" t="str">
        <f>IF($AL448="","",RANK(AR448,$AR$2:$AR$1001)+COUNTIF($AR$2:AR448,AR448)-1)</f>
        <v/>
      </c>
      <c r="AU448" s="243" t="str">
        <f>IF($AL448="","",RANK(AV448,$AV$2:$AV$1001)+COUNTIF($AV$2:AV448,AV448)-1)</f>
        <v/>
      </c>
      <c r="AV448" s="266">
        <f t="shared" si="44"/>
        <v>0</v>
      </c>
    </row>
    <row r="449" spans="26:48" ht="15" customHeight="1" x14ac:dyDescent="0.2">
      <c r="Z449" s="243" t="str">
        <f>Shares!A449</f>
        <v/>
      </c>
      <c r="AA449" s="243" t="str">
        <f>Shares!B449</f>
        <v/>
      </c>
      <c r="AB449" s="243" t="str">
        <f>Shares!C449</f>
        <v/>
      </c>
      <c r="AC449" s="243" t="str">
        <f>Shares!D449</f>
        <v/>
      </c>
      <c r="AD449" s="243">
        <f>IF($Z449="",0,Shares!E449)</f>
        <v>0</v>
      </c>
      <c r="AE449" s="266">
        <f>IF($Z449="",0,Shares!J449*Shares!I449)</f>
        <v>0</v>
      </c>
      <c r="AF449" s="267">
        <f t="shared" si="43"/>
        <v>0</v>
      </c>
      <c r="AG449" s="266">
        <f>IF($Z449="",0,Shares!L449)</f>
        <v>0</v>
      </c>
      <c r="AH449" s="267">
        <f>IF($Z449="",0,Shares!M449)</f>
        <v>0</v>
      </c>
      <c r="AI449" s="243" t="str">
        <f>IF($Z449="","",RANK(AE449,$AE$2:$AE$1001)+COUNTIF($AE$2:AE449,AE449)-1)</f>
        <v/>
      </c>
      <c r="AJ449" s="243" t="str">
        <f>IF($AD449&lt;0,COUNT($AJ$1:AJ448)+1,"")</f>
        <v/>
      </c>
      <c r="AL449" s="243" t="str">
        <f>'All Ticker P&amp;L'!A449</f>
        <v/>
      </c>
      <c r="AM449" s="243" t="str">
        <f>'All Ticker P&amp;L'!B449</f>
        <v/>
      </c>
      <c r="AN449" s="243" t="str">
        <f>'All Ticker P&amp;L'!C449</f>
        <v/>
      </c>
      <c r="AO449" s="243" t="str">
        <f>'All Ticker P&amp;L'!D449</f>
        <v/>
      </c>
      <c r="AP449" s="243">
        <f>IF($AL449="",0,'All Ticker P&amp;L'!E449)</f>
        <v>0</v>
      </c>
      <c r="AQ449" s="266">
        <f>IF($AL449="",0,'All Ticker P&amp;L'!J449*'All Ticker P&amp;L'!I449)</f>
        <v>0</v>
      </c>
      <c r="AR449" s="266">
        <f>IF($AL449="",0,'All Ticker P&amp;L'!L449)</f>
        <v>0</v>
      </c>
      <c r="AS449" s="267">
        <f>IF($AL449="",0,'All Ticker P&amp;L'!M449)</f>
        <v>0</v>
      </c>
      <c r="AT449" s="243" t="str">
        <f>IF($AL449="","",RANK(AR449,$AR$2:$AR$1001)+COUNTIF($AR$2:AR449,AR449)-1)</f>
        <v/>
      </c>
      <c r="AU449" s="243" t="str">
        <f>IF($AL449="","",RANK(AV449,$AV$2:$AV$1001)+COUNTIF($AV$2:AV449,AV449)-1)</f>
        <v/>
      </c>
      <c r="AV449" s="266">
        <f t="shared" si="44"/>
        <v>0</v>
      </c>
    </row>
    <row r="450" spans="26:48" ht="15" customHeight="1" x14ac:dyDescent="0.2">
      <c r="Z450" s="243" t="str">
        <f>Shares!A450</f>
        <v/>
      </c>
      <c r="AA450" s="243" t="str">
        <f>Shares!B450</f>
        <v/>
      </c>
      <c r="AB450" s="243" t="str">
        <f>Shares!C450</f>
        <v/>
      </c>
      <c r="AC450" s="243" t="str">
        <f>Shares!D450</f>
        <v/>
      </c>
      <c r="AD450" s="243">
        <f>IF($Z450="",0,Shares!E450)</f>
        <v>0</v>
      </c>
      <c r="AE450" s="266">
        <f>IF($Z450="",0,Shares!J450*Shares!I450)</f>
        <v>0</v>
      </c>
      <c r="AF450" s="267">
        <f t="shared" ref="AF450:AF513" si="45">IFERROR(AE450/$B$5,0)</f>
        <v>0</v>
      </c>
      <c r="AG450" s="266">
        <f>IF($Z450="",0,Shares!L450)</f>
        <v>0</v>
      </c>
      <c r="AH450" s="267">
        <f>IF($Z450="",0,Shares!M450)</f>
        <v>0</v>
      </c>
      <c r="AI450" s="243" t="str">
        <f>IF($Z450="","",RANK(AE450,$AE$2:$AE$1001)+COUNTIF($AE$2:AE450,AE450)-1)</f>
        <v/>
      </c>
      <c r="AJ450" s="243" t="str">
        <f>IF($AD450&lt;0,COUNT($AJ$1:AJ449)+1,"")</f>
        <v/>
      </c>
      <c r="AL450" s="243" t="str">
        <f>'All Ticker P&amp;L'!A450</f>
        <v/>
      </c>
      <c r="AM450" s="243" t="str">
        <f>'All Ticker P&amp;L'!B450</f>
        <v/>
      </c>
      <c r="AN450" s="243" t="str">
        <f>'All Ticker P&amp;L'!C450</f>
        <v/>
      </c>
      <c r="AO450" s="243" t="str">
        <f>'All Ticker P&amp;L'!D450</f>
        <v/>
      </c>
      <c r="AP450" s="243">
        <f>IF($AL450="",0,'All Ticker P&amp;L'!E450)</f>
        <v>0</v>
      </c>
      <c r="AQ450" s="266">
        <f>IF($AL450="",0,'All Ticker P&amp;L'!J450*'All Ticker P&amp;L'!I450)</f>
        <v>0</v>
      </c>
      <c r="AR450" s="266">
        <f>IF($AL450="",0,'All Ticker P&amp;L'!L450)</f>
        <v>0</v>
      </c>
      <c r="AS450" s="267">
        <f>IF($AL450="",0,'All Ticker P&amp;L'!M450)</f>
        <v>0</v>
      </c>
      <c r="AT450" s="243" t="str">
        <f>IF($AL450="","",RANK(AR450,$AR$2:$AR$1001)+COUNTIF($AR$2:AR450,AR450)-1)</f>
        <v/>
      </c>
      <c r="AU450" s="243" t="str">
        <f>IF($AL450="","",RANK(AV450,$AV$2:$AV$1001)+COUNTIF($AV$2:AV450,AV450)-1)</f>
        <v/>
      </c>
      <c r="AV450" s="266">
        <f t="shared" ref="AV450:AV513" si="46">-AR450</f>
        <v>0</v>
      </c>
    </row>
    <row r="451" spans="26:48" ht="15" customHeight="1" x14ac:dyDescent="0.2">
      <c r="Z451" s="243" t="str">
        <f>Shares!A451</f>
        <v/>
      </c>
      <c r="AA451" s="243" t="str">
        <f>Shares!B451</f>
        <v/>
      </c>
      <c r="AB451" s="243" t="str">
        <f>Shares!C451</f>
        <v/>
      </c>
      <c r="AC451" s="243" t="str">
        <f>Shares!D451</f>
        <v/>
      </c>
      <c r="AD451" s="243">
        <f>IF($Z451="",0,Shares!E451)</f>
        <v>0</v>
      </c>
      <c r="AE451" s="266">
        <f>IF($Z451="",0,Shares!J451*Shares!I451)</f>
        <v>0</v>
      </c>
      <c r="AF451" s="267">
        <f t="shared" si="45"/>
        <v>0</v>
      </c>
      <c r="AG451" s="266">
        <f>IF($Z451="",0,Shares!L451)</f>
        <v>0</v>
      </c>
      <c r="AH451" s="267">
        <f>IF($Z451="",0,Shares!M451)</f>
        <v>0</v>
      </c>
      <c r="AI451" s="243" t="str">
        <f>IF($Z451="","",RANK(AE451,$AE$2:$AE$1001)+COUNTIF($AE$2:AE451,AE451)-1)</f>
        <v/>
      </c>
      <c r="AJ451" s="243" t="str">
        <f>IF($AD451&lt;0,COUNT($AJ$1:AJ450)+1,"")</f>
        <v/>
      </c>
      <c r="AL451" s="243" t="str">
        <f>'All Ticker P&amp;L'!A451</f>
        <v/>
      </c>
      <c r="AM451" s="243" t="str">
        <f>'All Ticker P&amp;L'!B451</f>
        <v/>
      </c>
      <c r="AN451" s="243" t="str">
        <f>'All Ticker P&amp;L'!C451</f>
        <v/>
      </c>
      <c r="AO451" s="243" t="str">
        <f>'All Ticker P&amp;L'!D451</f>
        <v/>
      </c>
      <c r="AP451" s="243">
        <f>IF($AL451="",0,'All Ticker P&amp;L'!E451)</f>
        <v>0</v>
      </c>
      <c r="AQ451" s="266">
        <f>IF($AL451="",0,'All Ticker P&amp;L'!J451*'All Ticker P&amp;L'!I451)</f>
        <v>0</v>
      </c>
      <c r="AR451" s="266">
        <f>IF($AL451="",0,'All Ticker P&amp;L'!L451)</f>
        <v>0</v>
      </c>
      <c r="AS451" s="267">
        <f>IF($AL451="",0,'All Ticker P&amp;L'!M451)</f>
        <v>0</v>
      </c>
      <c r="AT451" s="243" t="str">
        <f>IF($AL451="","",RANK(AR451,$AR$2:$AR$1001)+COUNTIF($AR$2:AR451,AR451)-1)</f>
        <v/>
      </c>
      <c r="AU451" s="243" t="str">
        <f>IF($AL451="","",RANK(AV451,$AV$2:$AV$1001)+COUNTIF($AV$2:AV451,AV451)-1)</f>
        <v/>
      </c>
      <c r="AV451" s="266">
        <f t="shared" si="46"/>
        <v>0</v>
      </c>
    </row>
    <row r="452" spans="26:48" ht="15" customHeight="1" x14ac:dyDescent="0.2">
      <c r="Z452" s="243" t="str">
        <f>Shares!A452</f>
        <v/>
      </c>
      <c r="AA452" s="243" t="str">
        <f>Shares!B452</f>
        <v/>
      </c>
      <c r="AB452" s="243" t="str">
        <f>Shares!C452</f>
        <v/>
      </c>
      <c r="AC452" s="243" t="str">
        <f>Shares!D452</f>
        <v/>
      </c>
      <c r="AD452" s="243">
        <f>IF($Z452="",0,Shares!E452)</f>
        <v>0</v>
      </c>
      <c r="AE452" s="266">
        <f>IF($Z452="",0,Shares!J452*Shares!I452)</f>
        <v>0</v>
      </c>
      <c r="AF452" s="267">
        <f t="shared" si="45"/>
        <v>0</v>
      </c>
      <c r="AG452" s="266">
        <f>IF($Z452="",0,Shares!L452)</f>
        <v>0</v>
      </c>
      <c r="AH452" s="267">
        <f>IF($Z452="",0,Shares!M452)</f>
        <v>0</v>
      </c>
      <c r="AI452" s="243" t="str">
        <f>IF($Z452="","",RANK(AE452,$AE$2:$AE$1001)+COUNTIF($AE$2:AE452,AE452)-1)</f>
        <v/>
      </c>
      <c r="AJ452" s="243" t="str">
        <f>IF($AD452&lt;0,COUNT($AJ$1:AJ451)+1,"")</f>
        <v/>
      </c>
      <c r="AL452" s="243" t="str">
        <f>'All Ticker P&amp;L'!A452</f>
        <v/>
      </c>
      <c r="AM452" s="243" t="str">
        <f>'All Ticker P&amp;L'!B452</f>
        <v/>
      </c>
      <c r="AN452" s="243" t="str">
        <f>'All Ticker P&amp;L'!C452</f>
        <v/>
      </c>
      <c r="AO452" s="243" t="str">
        <f>'All Ticker P&amp;L'!D452</f>
        <v/>
      </c>
      <c r="AP452" s="243">
        <f>IF($AL452="",0,'All Ticker P&amp;L'!E452)</f>
        <v>0</v>
      </c>
      <c r="AQ452" s="266">
        <f>IF($AL452="",0,'All Ticker P&amp;L'!J452*'All Ticker P&amp;L'!I452)</f>
        <v>0</v>
      </c>
      <c r="AR452" s="266">
        <f>IF($AL452="",0,'All Ticker P&amp;L'!L452)</f>
        <v>0</v>
      </c>
      <c r="AS452" s="267">
        <f>IF($AL452="",0,'All Ticker P&amp;L'!M452)</f>
        <v>0</v>
      </c>
      <c r="AT452" s="243" t="str">
        <f>IF($AL452="","",RANK(AR452,$AR$2:$AR$1001)+COUNTIF($AR$2:AR452,AR452)-1)</f>
        <v/>
      </c>
      <c r="AU452" s="243" t="str">
        <f>IF($AL452="","",RANK(AV452,$AV$2:$AV$1001)+COUNTIF($AV$2:AV452,AV452)-1)</f>
        <v/>
      </c>
      <c r="AV452" s="266">
        <f t="shared" si="46"/>
        <v>0</v>
      </c>
    </row>
    <row r="453" spans="26:48" ht="15" customHeight="1" x14ac:dyDescent="0.2">
      <c r="Z453" s="243" t="str">
        <f>Shares!A453</f>
        <v/>
      </c>
      <c r="AA453" s="243" t="str">
        <f>Shares!B453</f>
        <v/>
      </c>
      <c r="AB453" s="243" t="str">
        <f>Shares!C453</f>
        <v/>
      </c>
      <c r="AC453" s="243" t="str">
        <f>Shares!D453</f>
        <v/>
      </c>
      <c r="AD453" s="243">
        <f>IF($Z453="",0,Shares!E453)</f>
        <v>0</v>
      </c>
      <c r="AE453" s="266">
        <f>IF($Z453="",0,Shares!J453*Shares!I453)</f>
        <v>0</v>
      </c>
      <c r="AF453" s="267">
        <f t="shared" si="45"/>
        <v>0</v>
      </c>
      <c r="AG453" s="266">
        <f>IF($Z453="",0,Shares!L453)</f>
        <v>0</v>
      </c>
      <c r="AH453" s="267">
        <f>IF($Z453="",0,Shares!M453)</f>
        <v>0</v>
      </c>
      <c r="AI453" s="243" t="str">
        <f>IF($Z453="","",RANK(AE453,$AE$2:$AE$1001)+COUNTIF($AE$2:AE453,AE453)-1)</f>
        <v/>
      </c>
      <c r="AJ453" s="243" t="str">
        <f>IF($AD453&lt;0,COUNT($AJ$1:AJ452)+1,"")</f>
        <v/>
      </c>
      <c r="AL453" s="243" t="str">
        <f>'All Ticker P&amp;L'!A453</f>
        <v/>
      </c>
      <c r="AM453" s="243" t="str">
        <f>'All Ticker P&amp;L'!B453</f>
        <v/>
      </c>
      <c r="AN453" s="243" t="str">
        <f>'All Ticker P&amp;L'!C453</f>
        <v/>
      </c>
      <c r="AO453" s="243" t="str">
        <f>'All Ticker P&amp;L'!D453</f>
        <v/>
      </c>
      <c r="AP453" s="243">
        <f>IF($AL453="",0,'All Ticker P&amp;L'!E453)</f>
        <v>0</v>
      </c>
      <c r="AQ453" s="266">
        <f>IF($AL453="",0,'All Ticker P&amp;L'!J453*'All Ticker P&amp;L'!I453)</f>
        <v>0</v>
      </c>
      <c r="AR453" s="266">
        <f>IF($AL453="",0,'All Ticker P&amp;L'!L453)</f>
        <v>0</v>
      </c>
      <c r="AS453" s="267">
        <f>IF($AL453="",0,'All Ticker P&amp;L'!M453)</f>
        <v>0</v>
      </c>
      <c r="AT453" s="243" t="str">
        <f>IF($AL453="","",RANK(AR453,$AR$2:$AR$1001)+COUNTIF($AR$2:AR453,AR453)-1)</f>
        <v/>
      </c>
      <c r="AU453" s="243" t="str">
        <f>IF($AL453="","",RANK(AV453,$AV$2:$AV$1001)+COUNTIF($AV$2:AV453,AV453)-1)</f>
        <v/>
      </c>
      <c r="AV453" s="266">
        <f t="shared" si="46"/>
        <v>0</v>
      </c>
    </row>
    <row r="454" spans="26:48" ht="15" customHeight="1" x14ac:dyDescent="0.2">
      <c r="Z454" s="243" t="str">
        <f>Shares!A454</f>
        <v/>
      </c>
      <c r="AA454" s="243" t="str">
        <f>Shares!B454</f>
        <v/>
      </c>
      <c r="AB454" s="243" t="str">
        <f>Shares!C454</f>
        <v/>
      </c>
      <c r="AC454" s="243" t="str">
        <f>Shares!D454</f>
        <v/>
      </c>
      <c r="AD454" s="243">
        <f>IF($Z454="",0,Shares!E454)</f>
        <v>0</v>
      </c>
      <c r="AE454" s="266">
        <f>IF($Z454="",0,Shares!J454*Shares!I454)</f>
        <v>0</v>
      </c>
      <c r="AF454" s="267">
        <f t="shared" si="45"/>
        <v>0</v>
      </c>
      <c r="AG454" s="266">
        <f>IF($Z454="",0,Shares!L454)</f>
        <v>0</v>
      </c>
      <c r="AH454" s="267">
        <f>IF($Z454="",0,Shares!M454)</f>
        <v>0</v>
      </c>
      <c r="AI454" s="243" t="str">
        <f>IF($Z454="","",RANK(AE454,$AE$2:$AE$1001)+COUNTIF($AE$2:AE454,AE454)-1)</f>
        <v/>
      </c>
      <c r="AJ454" s="243" t="str">
        <f>IF($AD454&lt;0,COUNT($AJ$1:AJ453)+1,"")</f>
        <v/>
      </c>
      <c r="AL454" s="243" t="str">
        <f>'All Ticker P&amp;L'!A454</f>
        <v/>
      </c>
      <c r="AM454" s="243" t="str">
        <f>'All Ticker P&amp;L'!B454</f>
        <v/>
      </c>
      <c r="AN454" s="243" t="str">
        <f>'All Ticker P&amp;L'!C454</f>
        <v/>
      </c>
      <c r="AO454" s="243" t="str">
        <f>'All Ticker P&amp;L'!D454</f>
        <v/>
      </c>
      <c r="AP454" s="243">
        <f>IF($AL454="",0,'All Ticker P&amp;L'!E454)</f>
        <v>0</v>
      </c>
      <c r="AQ454" s="266">
        <f>IF($AL454="",0,'All Ticker P&amp;L'!J454*'All Ticker P&amp;L'!I454)</f>
        <v>0</v>
      </c>
      <c r="AR454" s="266">
        <f>IF($AL454="",0,'All Ticker P&amp;L'!L454)</f>
        <v>0</v>
      </c>
      <c r="AS454" s="267">
        <f>IF($AL454="",0,'All Ticker P&amp;L'!M454)</f>
        <v>0</v>
      </c>
      <c r="AT454" s="243" t="str">
        <f>IF($AL454="","",RANK(AR454,$AR$2:$AR$1001)+COUNTIF($AR$2:AR454,AR454)-1)</f>
        <v/>
      </c>
      <c r="AU454" s="243" t="str">
        <f>IF($AL454="","",RANK(AV454,$AV$2:$AV$1001)+COUNTIF($AV$2:AV454,AV454)-1)</f>
        <v/>
      </c>
      <c r="AV454" s="266">
        <f t="shared" si="46"/>
        <v>0</v>
      </c>
    </row>
    <row r="455" spans="26:48" ht="15" customHeight="1" x14ac:dyDescent="0.2">
      <c r="Z455" s="243" t="str">
        <f>Shares!A455</f>
        <v/>
      </c>
      <c r="AA455" s="243" t="str">
        <f>Shares!B455</f>
        <v/>
      </c>
      <c r="AB455" s="243" t="str">
        <f>Shares!C455</f>
        <v/>
      </c>
      <c r="AC455" s="243" t="str">
        <f>Shares!D455</f>
        <v/>
      </c>
      <c r="AD455" s="243">
        <f>IF($Z455="",0,Shares!E455)</f>
        <v>0</v>
      </c>
      <c r="AE455" s="266">
        <f>IF($Z455="",0,Shares!J455*Shares!I455)</f>
        <v>0</v>
      </c>
      <c r="AF455" s="267">
        <f t="shared" si="45"/>
        <v>0</v>
      </c>
      <c r="AG455" s="266">
        <f>IF($Z455="",0,Shares!L455)</f>
        <v>0</v>
      </c>
      <c r="AH455" s="267">
        <f>IF($Z455="",0,Shares!M455)</f>
        <v>0</v>
      </c>
      <c r="AI455" s="243" t="str">
        <f>IF($Z455="","",RANK(AE455,$AE$2:$AE$1001)+COUNTIF($AE$2:AE455,AE455)-1)</f>
        <v/>
      </c>
      <c r="AJ455" s="243" t="str">
        <f>IF($AD455&lt;0,COUNT($AJ$1:AJ454)+1,"")</f>
        <v/>
      </c>
      <c r="AL455" s="243" t="str">
        <f>'All Ticker P&amp;L'!A455</f>
        <v/>
      </c>
      <c r="AM455" s="243" t="str">
        <f>'All Ticker P&amp;L'!B455</f>
        <v/>
      </c>
      <c r="AN455" s="243" t="str">
        <f>'All Ticker P&amp;L'!C455</f>
        <v/>
      </c>
      <c r="AO455" s="243" t="str">
        <f>'All Ticker P&amp;L'!D455</f>
        <v/>
      </c>
      <c r="AP455" s="243">
        <f>IF($AL455="",0,'All Ticker P&amp;L'!E455)</f>
        <v>0</v>
      </c>
      <c r="AQ455" s="266">
        <f>IF($AL455="",0,'All Ticker P&amp;L'!J455*'All Ticker P&amp;L'!I455)</f>
        <v>0</v>
      </c>
      <c r="AR455" s="266">
        <f>IF($AL455="",0,'All Ticker P&amp;L'!L455)</f>
        <v>0</v>
      </c>
      <c r="AS455" s="267">
        <f>IF($AL455="",0,'All Ticker P&amp;L'!M455)</f>
        <v>0</v>
      </c>
      <c r="AT455" s="243" t="str">
        <f>IF($AL455="","",RANK(AR455,$AR$2:$AR$1001)+COUNTIF($AR$2:AR455,AR455)-1)</f>
        <v/>
      </c>
      <c r="AU455" s="243" t="str">
        <f>IF($AL455="","",RANK(AV455,$AV$2:$AV$1001)+COUNTIF($AV$2:AV455,AV455)-1)</f>
        <v/>
      </c>
      <c r="AV455" s="266">
        <f t="shared" si="46"/>
        <v>0</v>
      </c>
    </row>
    <row r="456" spans="26:48" ht="15" customHeight="1" x14ac:dyDescent="0.2">
      <c r="Z456" s="243" t="str">
        <f>Shares!A456</f>
        <v/>
      </c>
      <c r="AA456" s="243" t="str">
        <f>Shares!B456</f>
        <v/>
      </c>
      <c r="AB456" s="243" t="str">
        <f>Shares!C456</f>
        <v/>
      </c>
      <c r="AC456" s="243" t="str">
        <f>Shares!D456</f>
        <v/>
      </c>
      <c r="AD456" s="243">
        <f>IF($Z456="",0,Shares!E456)</f>
        <v>0</v>
      </c>
      <c r="AE456" s="266">
        <f>IF($Z456="",0,Shares!J456*Shares!I456)</f>
        <v>0</v>
      </c>
      <c r="AF456" s="267">
        <f t="shared" si="45"/>
        <v>0</v>
      </c>
      <c r="AG456" s="266">
        <f>IF($Z456="",0,Shares!L456)</f>
        <v>0</v>
      </c>
      <c r="AH456" s="267">
        <f>IF($Z456="",0,Shares!M456)</f>
        <v>0</v>
      </c>
      <c r="AI456" s="243" t="str">
        <f>IF($Z456="","",RANK(AE456,$AE$2:$AE$1001)+COUNTIF($AE$2:AE456,AE456)-1)</f>
        <v/>
      </c>
      <c r="AJ456" s="243" t="str">
        <f>IF($AD456&lt;0,COUNT($AJ$1:AJ455)+1,"")</f>
        <v/>
      </c>
      <c r="AL456" s="243" t="str">
        <f>'All Ticker P&amp;L'!A456</f>
        <v/>
      </c>
      <c r="AM456" s="243" t="str">
        <f>'All Ticker P&amp;L'!B456</f>
        <v/>
      </c>
      <c r="AN456" s="243" t="str">
        <f>'All Ticker P&amp;L'!C456</f>
        <v/>
      </c>
      <c r="AO456" s="243" t="str">
        <f>'All Ticker P&amp;L'!D456</f>
        <v/>
      </c>
      <c r="AP456" s="243">
        <f>IF($AL456="",0,'All Ticker P&amp;L'!E456)</f>
        <v>0</v>
      </c>
      <c r="AQ456" s="266">
        <f>IF($AL456="",0,'All Ticker P&amp;L'!J456*'All Ticker P&amp;L'!I456)</f>
        <v>0</v>
      </c>
      <c r="AR456" s="266">
        <f>IF($AL456="",0,'All Ticker P&amp;L'!L456)</f>
        <v>0</v>
      </c>
      <c r="AS456" s="267">
        <f>IF($AL456="",0,'All Ticker P&amp;L'!M456)</f>
        <v>0</v>
      </c>
      <c r="AT456" s="243" t="str">
        <f>IF($AL456="","",RANK(AR456,$AR$2:$AR$1001)+COUNTIF($AR$2:AR456,AR456)-1)</f>
        <v/>
      </c>
      <c r="AU456" s="243" t="str">
        <f>IF($AL456="","",RANK(AV456,$AV$2:$AV$1001)+COUNTIF($AV$2:AV456,AV456)-1)</f>
        <v/>
      </c>
      <c r="AV456" s="266">
        <f t="shared" si="46"/>
        <v>0</v>
      </c>
    </row>
    <row r="457" spans="26:48" ht="15" customHeight="1" x14ac:dyDescent="0.2">
      <c r="Z457" s="243" t="str">
        <f>Shares!A457</f>
        <v/>
      </c>
      <c r="AA457" s="243" t="str">
        <f>Shares!B457</f>
        <v/>
      </c>
      <c r="AB457" s="243" t="str">
        <f>Shares!C457</f>
        <v/>
      </c>
      <c r="AC457" s="243" t="str">
        <f>Shares!D457</f>
        <v/>
      </c>
      <c r="AD457" s="243">
        <f>IF($Z457="",0,Shares!E457)</f>
        <v>0</v>
      </c>
      <c r="AE457" s="266">
        <f>IF($Z457="",0,Shares!J457*Shares!I457)</f>
        <v>0</v>
      </c>
      <c r="AF457" s="267">
        <f t="shared" si="45"/>
        <v>0</v>
      </c>
      <c r="AG457" s="266">
        <f>IF($Z457="",0,Shares!L457)</f>
        <v>0</v>
      </c>
      <c r="AH457" s="267">
        <f>IF($Z457="",0,Shares!M457)</f>
        <v>0</v>
      </c>
      <c r="AI457" s="243" t="str">
        <f>IF($Z457="","",RANK(AE457,$AE$2:$AE$1001)+COUNTIF($AE$2:AE457,AE457)-1)</f>
        <v/>
      </c>
      <c r="AJ457" s="243" t="str">
        <f>IF($AD457&lt;0,COUNT($AJ$1:AJ456)+1,"")</f>
        <v/>
      </c>
      <c r="AL457" s="243" t="str">
        <f>'All Ticker P&amp;L'!A457</f>
        <v/>
      </c>
      <c r="AM457" s="243" t="str">
        <f>'All Ticker P&amp;L'!B457</f>
        <v/>
      </c>
      <c r="AN457" s="243" t="str">
        <f>'All Ticker P&amp;L'!C457</f>
        <v/>
      </c>
      <c r="AO457" s="243" t="str">
        <f>'All Ticker P&amp;L'!D457</f>
        <v/>
      </c>
      <c r="AP457" s="243">
        <f>IF($AL457="",0,'All Ticker P&amp;L'!E457)</f>
        <v>0</v>
      </c>
      <c r="AQ457" s="266">
        <f>IF($AL457="",0,'All Ticker P&amp;L'!J457*'All Ticker P&amp;L'!I457)</f>
        <v>0</v>
      </c>
      <c r="AR457" s="266">
        <f>IF($AL457="",0,'All Ticker P&amp;L'!L457)</f>
        <v>0</v>
      </c>
      <c r="AS457" s="267">
        <f>IF($AL457="",0,'All Ticker P&amp;L'!M457)</f>
        <v>0</v>
      </c>
      <c r="AT457" s="243" t="str">
        <f>IF($AL457="","",RANK(AR457,$AR$2:$AR$1001)+COUNTIF($AR$2:AR457,AR457)-1)</f>
        <v/>
      </c>
      <c r="AU457" s="243" t="str">
        <f>IF($AL457="","",RANK(AV457,$AV$2:$AV$1001)+COUNTIF($AV$2:AV457,AV457)-1)</f>
        <v/>
      </c>
      <c r="AV457" s="266">
        <f t="shared" si="46"/>
        <v>0</v>
      </c>
    </row>
    <row r="458" spans="26:48" ht="15" customHeight="1" x14ac:dyDescent="0.2">
      <c r="Z458" s="243" t="str">
        <f>Shares!A458</f>
        <v/>
      </c>
      <c r="AA458" s="243" t="str">
        <f>Shares!B458</f>
        <v/>
      </c>
      <c r="AB458" s="243" t="str">
        <f>Shares!C458</f>
        <v/>
      </c>
      <c r="AC458" s="243" t="str">
        <f>Shares!D458</f>
        <v/>
      </c>
      <c r="AD458" s="243">
        <f>IF($Z458="",0,Shares!E458)</f>
        <v>0</v>
      </c>
      <c r="AE458" s="266">
        <f>IF($Z458="",0,Shares!J458*Shares!I458)</f>
        <v>0</v>
      </c>
      <c r="AF458" s="267">
        <f t="shared" si="45"/>
        <v>0</v>
      </c>
      <c r="AG458" s="266">
        <f>IF($Z458="",0,Shares!L458)</f>
        <v>0</v>
      </c>
      <c r="AH458" s="267">
        <f>IF($Z458="",0,Shares!M458)</f>
        <v>0</v>
      </c>
      <c r="AI458" s="243" t="str">
        <f>IF($Z458="","",RANK(AE458,$AE$2:$AE$1001)+COUNTIF($AE$2:AE458,AE458)-1)</f>
        <v/>
      </c>
      <c r="AJ458" s="243" t="str">
        <f>IF($AD458&lt;0,COUNT($AJ$1:AJ457)+1,"")</f>
        <v/>
      </c>
      <c r="AL458" s="243" t="str">
        <f>'All Ticker P&amp;L'!A458</f>
        <v/>
      </c>
      <c r="AM458" s="243" t="str">
        <f>'All Ticker P&amp;L'!B458</f>
        <v/>
      </c>
      <c r="AN458" s="243" t="str">
        <f>'All Ticker P&amp;L'!C458</f>
        <v/>
      </c>
      <c r="AO458" s="243" t="str">
        <f>'All Ticker P&amp;L'!D458</f>
        <v/>
      </c>
      <c r="AP458" s="243">
        <f>IF($AL458="",0,'All Ticker P&amp;L'!E458)</f>
        <v>0</v>
      </c>
      <c r="AQ458" s="266">
        <f>IF($AL458="",0,'All Ticker P&amp;L'!J458*'All Ticker P&amp;L'!I458)</f>
        <v>0</v>
      </c>
      <c r="AR458" s="266">
        <f>IF($AL458="",0,'All Ticker P&amp;L'!L458)</f>
        <v>0</v>
      </c>
      <c r="AS458" s="267">
        <f>IF($AL458="",0,'All Ticker P&amp;L'!M458)</f>
        <v>0</v>
      </c>
      <c r="AT458" s="243" t="str">
        <f>IF($AL458="","",RANK(AR458,$AR$2:$AR$1001)+COUNTIF($AR$2:AR458,AR458)-1)</f>
        <v/>
      </c>
      <c r="AU458" s="243" t="str">
        <f>IF($AL458="","",RANK(AV458,$AV$2:$AV$1001)+COUNTIF($AV$2:AV458,AV458)-1)</f>
        <v/>
      </c>
      <c r="AV458" s="266">
        <f t="shared" si="46"/>
        <v>0</v>
      </c>
    </row>
    <row r="459" spans="26:48" ht="15" customHeight="1" x14ac:dyDescent="0.2">
      <c r="Z459" s="243" t="str">
        <f>Shares!A459</f>
        <v/>
      </c>
      <c r="AA459" s="243" t="str">
        <f>Shares!B459</f>
        <v/>
      </c>
      <c r="AB459" s="243" t="str">
        <f>Shares!C459</f>
        <v/>
      </c>
      <c r="AC459" s="243" t="str">
        <f>Shares!D459</f>
        <v/>
      </c>
      <c r="AD459" s="243">
        <f>IF($Z459="",0,Shares!E459)</f>
        <v>0</v>
      </c>
      <c r="AE459" s="266">
        <f>IF($Z459="",0,Shares!J459*Shares!I459)</f>
        <v>0</v>
      </c>
      <c r="AF459" s="267">
        <f t="shared" si="45"/>
        <v>0</v>
      </c>
      <c r="AG459" s="266">
        <f>IF($Z459="",0,Shares!L459)</f>
        <v>0</v>
      </c>
      <c r="AH459" s="267">
        <f>IF($Z459="",0,Shares!M459)</f>
        <v>0</v>
      </c>
      <c r="AI459" s="243" t="str">
        <f>IF($Z459="","",RANK(AE459,$AE$2:$AE$1001)+COUNTIF($AE$2:AE459,AE459)-1)</f>
        <v/>
      </c>
      <c r="AJ459" s="243" t="str">
        <f>IF($AD459&lt;0,COUNT($AJ$1:AJ458)+1,"")</f>
        <v/>
      </c>
      <c r="AL459" s="243" t="str">
        <f>'All Ticker P&amp;L'!A459</f>
        <v/>
      </c>
      <c r="AM459" s="243" t="str">
        <f>'All Ticker P&amp;L'!B459</f>
        <v/>
      </c>
      <c r="AN459" s="243" t="str">
        <f>'All Ticker P&amp;L'!C459</f>
        <v/>
      </c>
      <c r="AO459" s="243" t="str">
        <f>'All Ticker P&amp;L'!D459</f>
        <v/>
      </c>
      <c r="AP459" s="243">
        <f>IF($AL459="",0,'All Ticker P&amp;L'!E459)</f>
        <v>0</v>
      </c>
      <c r="AQ459" s="266">
        <f>IF($AL459="",0,'All Ticker P&amp;L'!J459*'All Ticker P&amp;L'!I459)</f>
        <v>0</v>
      </c>
      <c r="AR459" s="266">
        <f>IF($AL459="",0,'All Ticker P&amp;L'!L459)</f>
        <v>0</v>
      </c>
      <c r="AS459" s="267">
        <f>IF($AL459="",0,'All Ticker P&amp;L'!M459)</f>
        <v>0</v>
      </c>
      <c r="AT459" s="243" t="str">
        <f>IF($AL459="","",RANK(AR459,$AR$2:$AR$1001)+COUNTIF($AR$2:AR459,AR459)-1)</f>
        <v/>
      </c>
      <c r="AU459" s="243" t="str">
        <f>IF($AL459="","",RANK(AV459,$AV$2:$AV$1001)+COUNTIF($AV$2:AV459,AV459)-1)</f>
        <v/>
      </c>
      <c r="AV459" s="266">
        <f t="shared" si="46"/>
        <v>0</v>
      </c>
    </row>
    <row r="460" spans="26:48" ht="15" customHeight="1" x14ac:dyDescent="0.2">
      <c r="Z460" s="243" t="str">
        <f>Shares!A460</f>
        <v/>
      </c>
      <c r="AA460" s="243" t="str">
        <f>Shares!B460</f>
        <v/>
      </c>
      <c r="AB460" s="243" t="str">
        <f>Shares!C460</f>
        <v/>
      </c>
      <c r="AC460" s="243" t="str">
        <f>Shares!D460</f>
        <v/>
      </c>
      <c r="AD460" s="243">
        <f>IF($Z460="",0,Shares!E460)</f>
        <v>0</v>
      </c>
      <c r="AE460" s="266">
        <f>IF($Z460="",0,Shares!J460*Shares!I460)</f>
        <v>0</v>
      </c>
      <c r="AF460" s="267">
        <f t="shared" si="45"/>
        <v>0</v>
      </c>
      <c r="AG460" s="266">
        <f>IF($Z460="",0,Shares!L460)</f>
        <v>0</v>
      </c>
      <c r="AH460" s="267">
        <f>IF($Z460="",0,Shares!M460)</f>
        <v>0</v>
      </c>
      <c r="AI460" s="243" t="str">
        <f>IF($Z460="","",RANK(AE460,$AE$2:$AE$1001)+COUNTIF($AE$2:AE460,AE460)-1)</f>
        <v/>
      </c>
      <c r="AJ460" s="243" t="str">
        <f>IF($AD460&lt;0,COUNT($AJ$1:AJ459)+1,"")</f>
        <v/>
      </c>
      <c r="AL460" s="243" t="str">
        <f>'All Ticker P&amp;L'!A460</f>
        <v/>
      </c>
      <c r="AM460" s="243" t="str">
        <f>'All Ticker P&amp;L'!B460</f>
        <v/>
      </c>
      <c r="AN460" s="243" t="str">
        <f>'All Ticker P&amp;L'!C460</f>
        <v/>
      </c>
      <c r="AO460" s="243" t="str">
        <f>'All Ticker P&amp;L'!D460</f>
        <v/>
      </c>
      <c r="AP460" s="243">
        <f>IF($AL460="",0,'All Ticker P&amp;L'!E460)</f>
        <v>0</v>
      </c>
      <c r="AQ460" s="266">
        <f>IF($AL460="",0,'All Ticker P&amp;L'!J460*'All Ticker P&amp;L'!I460)</f>
        <v>0</v>
      </c>
      <c r="AR460" s="266">
        <f>IF($AL460="",0,'All Ticker P&amp;L'!L460)</f>
        <v>0</v>
      </c>
      <c r="AS460" s="267">
        <f>IF($AL460="",0,'All Ticker P&amp;L'!M460)</f>
        <v>0</v>
      </c>
      <c r="AT460" s="243" t="str">
        <f>IF($AL460="","",RANK(AR460,$AR$2:$AR$1001)+COUNTIF($AR$2:AR460,AR460)-1)</f>
        <v/>
      </c>
      <c r="AU460" s="243" t="str">
        <f>IF($AL460="","",RANK(AV460,$AV$2:$AV$1001)+COUNTIF($AV$2:AV460,AV460)-1)</f>
        <v/>
      </c>
      <c r="AV460" s="266">
        <f t="shared" si="46"/>
        <v>0</v>
      </c>
    </row>
    <row r="461" spans="26:48" ht="15" customHeight="1" x14ac:dyDescent="0.2">
      <c r="Z461" s="243" t="str">
        <f>Shares!A461</f>
        <v/>
      </c>
      <c r="AA461" s="243" t="str">
        <f>Shares!B461</f>
        <v/>
      </c>
      <c r="AB461" s="243" t="str">
        <f>Shares!C461</f>
        <v/>
      </c>
      <c r="AC461" s="243" t="str">
        <f>Shares!D461</f>
        <v/>
      </c>
      <c r="AD461" s="243">
        <f>IF($Z461="",0,Shares!E461)</f>
        <v>0</v>
      </c>
      <c r="AE461" s="266">
        <f>IF($Z461="",0,Shares!J461*Shares!I461)</f>
        <v>0</v>
      </c>
      <c r="AF461" s="267">
        <f t="shared" si="45"/>
        <v>0</v>
      </c>
      <c r="AG461" s="266">
        <f>IF($Z461="",0,Shares!L461)</f>
        <v>0</v>
      </c>
      <c r="AH461" s="267">
        <f>IF($Z461="",0,Shares!M461)</f>
        <v>0</v>
      </c>
      <c r="AI461" s="243" t="str">
        <f>IF($Z461="","",RANK(AE461,$AE$2:$AE$1001)+COUNTIF($AE$2:AE461,AE461)-1)</f>
        <v/>
      </c>
      <c r="AJ461" s="243" t="str">
        <f>IF($AD461&lt;0,COUNT($AJ$1:AJ460)+1,"")</f>
        <v/>
      </c>
      <c r="AL461" s="243" t="str">
        <f>'All Ticker P&amp;L'!A461</f>
        <v/>
      </c>
      <c r="AM461" s="243" t="str">
        <f>'All Ticker P&amp;L'!B461</f>
        <v/>
      </c>
      <c r="AN461" s="243" t="str">
        <f>'All Ticker P&amp;L'!C461</f>
        <v/>
      </c>
      <c r="AO461" s="243" t="str">
        <f>'All Ticker P&amp;L'!D461</f>
        <v/>
      </c>
      <c r="AP461" s="243">
        <f>IF($AL461="",0,'All Ticker P&amp;L'!E461)</f>
        <v>0</v>
      </c>
      <c r="AQ461" s="266">
        <f>IF($AL461="",0,'All Ticker P&amp;L'!J461*'All Ticker P&amp;L'!I461)</f>
        <v>0</v>
      </c>
      <c r="AR461" s="266">
        <f>IF($AL461="",0,'All Ticker P&amp;L'!L461)</f>
        <v>0</v>
      </c>
      <c r="AS461" s="267">
        <f>IF($AL461="",0,'All Ticker P&amp;L'!M461)</f>
        <v>0</v>
      </c>
      <c r="AT461" s="243" t="str">
        <f>IF($AL461="","",RANK(AR461,$AR$2:$AR$1001)+COUNTIF($AR$2:AR461,AR461)-1)</f>
        <v/>
      </c>
      <c r="AU461" s="243" t="str">
        <f>IF($AL461="","",RANK(AV461,$AV$2:$AV$1001)+COUNTIF($AV$2:AV461,AV461)-1)</f>
        <v/>
      </c>
      <c r="AV461" s="266">
        <f t="shared" si="46"/>
        <v>0</v>
      </c>
    </row>
    <row r="462" spans="26:48" ht="15" customHeight="1" x14ac:dyDescent="0.2">
      <c r="Z462" s="243" t="str">
        <f>Shares!A462</f>
        <v/>
      </c>
      <c r="AA462" s="243" t="str">
        <f>Shares!B462</f>
        <v/>
      </c>
      <c r="AB462" s="243" t="str">
        <f>Shares!C462</f>
        <v/>
      </c>
      <c r="AC462" s="243" t="str">
        <f>Shares!D462</f>
        <v/>
      </c>
      <c r="AD462" s="243">
        <f>IF($Z462="",0,Shares!E462)</f>
        <v>0</v>
      </c>
      <c r="AE462" s="266">
        <f>IF($Z462="",0,Shares!J462*Shares!I462)</f>
        <v>0</v>
      </c>
      <c r="AF462" s="267">
        <f t="shared" si="45"/>
        <v>0</v>
      </c>
      <c r="AG462" s="266">
        <f>IF($Z462="",0,Shares!L462)</f>
        <v>0</v>
      </c>
      <c r="AH462" s="267">
        <f>IF($Z462="",0,Shares!M462)</f>
        <v>0</v>
      </c>
      <c r="AI462" s="243" t="str">
        <f>IF($Z462="","",RANK(AE462,$AE$2:$AE$1001)+COUNTIF($AE$2:AE462,AE462)-1)</f>
        <v/>
      </c>
      <c r="AJ462" s="243" t="str">
        <f>IF($AD462&lt;0,COUNT($AJ$1:AJ461)+1,"")</f>
        <v/>
      </c>
      <c r="AL462" s="243" t="str">
        <f>'All Ticker P&amp;L'!A462</f>
        <v/>
      </c>
      <c r="AM462" s="243" t="str">
        <f>'All Ticker P&amp;L'!B462</f>
        <v/>
      </c>
      <c r="AN462" s="243" t="str">
        <f>'All Ticker P&amp;L'!C462</f>
        <v/>
      </c>
      <c r="AO462" s="243" t="str">
        <f>'All Ticker P&amp;L'!D462</f>
        <v/>
      </c>
      <c r="AP462" s="243">
        <f>IF($AL462="",0,'All Ticker P&amp;L'!E462)</f>
        <v>0</v>
      </c>
      <c r="AQ462" s="266">
        <f>IF($AL462="",0,'All Ticker P&amp;L'!J462*'All Ticker P&amp;L'!I462)</f>
        <v>0</v>
      </c>
      <c r="AR462" s="266">
        <f>IF($AL462="",0,'All Ticker P&amp;L'!L462)</f>
        <v>0</v>
      </c>
      <c r="AS462" s="267">
        <f>IF($AL462="",0,'All Ticker P&amp;L'!M462)</f>
        <v>0</v>
      </c>
      <c r="AT462" s="243" t="str">
        <f>IF($AL462="","",RANK(AR462,$AR$2:$AR$1001)+COUNTIF($AR$2:AR462,AR462)-1)</f>
        <v/>
      </c>
      <c r="AU462" s="243" t="str">
        <f>IF($AL462="","",RANK(AV462,$AV$2:$AV$1001)+COUNTIF($AV$2:AV462,AV462)-1)</f>
        <v/>
      </c>
      <c r="AV462" s="266">
        <f t="shared" si="46"/>
        <v>0</v>
      </c>
    </row>
    <row r="463" spans="26:48" ht="15" customHeight="1" x14ac:dyDescent="0.2">
      <c r="Z463" s="243" t="str">
        <f>Shares!A463</f>
        <v/>
      </c>
      <c r="AA463" s="243" t="str">
        <f>Shares!B463</f>
        <v/>
      </c>
      <c r="AB463" s="243" t="str">
        <f>Shares!C463</f>
        <v/>
      </c>
      <c r="AC463" s="243" t="str">
        <f>Shares!D463</f>
        <v/>
      </c>
      <c r="AD463" s="243">
        <f>IF($Z463="",0,Shares!E463)</f>
        <v>0</v>
      </c>
      <c r="AE463" s="266">
        <f>IF($Z463="",0,Shares!J463*Shares!I463)</f>
        <v>0</v>
      </c>
      <c r="AF463" s="267">
        <f t="shared" si="45"/>
        <v>0</v>
      </c>
      <c r="AG463" s="266">
        <f>IF($Z463="",0,Shares!L463)</f>
        <v>0</v>
      </c>
      <c r="AH463" s="267">
        <f>IF($Z463="",0,Shares!M463)</f>
        <v>0</v>
      </c>
      <c r="AI463" s="243" t="str">
        <f>IF($Z463="","",RANK(AE463,$AE$2:$AE$1001)+COUNTIF($AE$2:AE463,AE463)-1)</f>
        <v/>
      </c>
      <c r="AJ463" s="243" t="str">
        <f>IF($AD463&lt;0,COUNT($AJ$1:AJ462)+1,"")</f>
        <v/>
      </c>
      <c r="AL463" s="243" t="str">
        <f>'All Ticker P&amp;L'!A463</f>
        <v/>
      </c>
      <c r="AM463" s="243" t="str">
        <f>'All Ticker P&amp;L'!B463</f>
        <v/>
      </c>
      <c r="AN463" s="243" t="str">
        <f>'All Ticker P&amp;L'!C463</f>
        <v/>
      </c>
      <c r="AO463" s="243" t="str">
        <f>'All Ticker P&amp;L'!D463</f>
        <v/>
      </c>
      <c r="AP463" s="243">
        <f>IF($AL463="",0,'All Ticker P&amp;L'!E463)</f>
        <v>0</v>
      </c>
      <c r="AQ463" s="266">
        <f>IF($AL463="",0,'All Ticker P&amp;L'!J463*'All Ticker P&amp;L'!I463)</f>
        <v>0</v>
      </c>
      <c r="AR463" s="266">
        <f>IF($AL463="",0,'All Ticker P&amp;L'!L463)</f>
        <v>0</v>
      </c>
      <c r="AS463" s="267">
        <f>IF($AL463="",0,'All Ticker P&amp;L'!M463)</f>
        <v>0</v>
      </c>
      <c r="AT463" s="243" t="str">
        <f>IF($AL463="","",RANK(AR463,$AR$2:$AR$1001)+COUNTIF($AR$2:AR463,AR463)-1)</f>
        <v/>
      </c>
      <c r="AU463" s="243" t="str">
        <f>IF($AL463="","",RANK(AV463,$AV$2:$AV$1001)+COUNTIF($AV$2:AV463,AV463)-1)</f>
        <v/>
      </c>
      <c r="AV463" s="266">
        <f t="shared" si="46"/>
        <v>0</v>
      </c>
    </row>
    <row r="464" spans="26:48" ht="15" customHeight="1" x14ac:dyDescent="0.2">
      <c r="Z464" s="243" t="str">
        <f>Shares!A464</f>
        <v/>
      </c>
      <c r="AA464" s="243" t="str">
        <f>Shares!B464</f>
        <v/>
      </c>
      <c r="AB464" s="243" t="str">
        <f>Shares!C464</f>
        <v/>
      </c>
      <c r="AC464" s="243" t="str">
        <f>Shares!D464</f>
        <v/>
      </c>
      <c r="AD464" s="243">
        <f>IF($Z464="",0,Shares!E464)</f>
        <v>0</v>
      </c>
      <c r="AE464" s="266">
        <f>IF($Z464="",0,Shares!J464*Shares!I464)</f>
        <v>0</v>
      </c>
      <c r="AF464" s="267">
        <f t="shared" si="45"/>
        <v>0</v>
      </c>
      <c r="AG464" s="266">
        <f>IF($Z464="",0,Shares!L464)</f>
        <v>0</v>
      </c>
      <c r="AH464" s="267">
        <f>IF($Z464="",0,Shares!M464)</f>
        <v>0</v>
      </c>
      <c r="AI464" s="243" t="str">
        <f>IF($Z464="","",RANK(AE464,$AE$2:$AE$1001)+COUNTIF($AE$2:AE464,AE464)-1)</f>
        <v/>
      </c>
      <c r="AJ464" s="243" t="str">
        <f>IF($AD464&lt;0,COUNT($AJ$1:AJ463)+1,"")</f>
        <v/>
      </c>
      <c r="AL464" s="243" t="str">
        <f>'All Ticker P&amp;L'!A464</f>
        <v/>
      </c>
      <c r="AM464" s="243" t="str">
        <f>'All Ticker P&amp;L'!B464</f>
        <v/>
      </c>
      <c r="AN464" s="243" t="str">
        <f>'All Ticker P&amp;L'!C464</f>
        <v/>
      </c>
      <c r="AO464" s="243" t="str">
        <f>'All Ticker P&amp;L'!D464</f>
        <v/>
      </c>
      <c r="AP464" s="243">
        <f>IF($AL464="",0,'All Ticker P&amp;L'!E464)</f>
        <v>0</v>
      </c>
      <c r="AQ464" s="266">
        <f>IF($AL464="",0,'All Ticker P&amp;L'!J464*'All Ticker P&amp;L'!I464)</f>
        <v>0</v>
      </c>
      <c r="AR464" s="266">
        <f>IF($AL464="",0,'All Ticker P&amp;L'!L464)</f>
        <v>0</v>
      </c>
      <c r="AS464" s="267">
        <f>IF($AL464="",0,'All Ticker P&amp;L'!M464)</f>
        <v>0</v>
      </c>
      <c r="AT464" s="243" t="str">
        <f>IF($AL464="","",RANK(AR464,$AR$2:$AR$1001)+COUNTIF($AR$2:AR464,AR464)-1)</f>
        <v/>
      </c>
      <c r="AU464" s="243" t="str">
        <f>IF($AL464="","",RANK(AV464,$AV$2:$AV$1001)+COUNTIF($AV$2:AV464,AV464)-1)</f>
        <v/>
      </c>
      <c r="AV464" s="266">
        <f t="shared" si="46"/>
        <v>0</v>
      </c>
    </row>
    <row r="465" spans="26:48" ht="15" customHeight="1" x14ac:dyDescent="0.2">
      <c r="Z465" s="243" t="str">
        <f>Shares!A465</f>
        <v/>
      </c>
      <c r="AA465" s="243" t="str">
        <f>Shares!B465</f>
        <v/>
      </c>
      <c r="AB465" s="243" t="str">
        <f>Shares!C465</f>
        <v/>
      </c>
      <c r="AC465" s="243" t="str">
        <f>Shares!D465</f>
        <v/>
      </c>
      <c r="AD465" s="243">
        <f>IF($Z465="",0,Shares!E465)</f>
        <v>0</v>
      </c>
      <c r="AE465" s="266">
        <f>IF($Z465="",0,Shares!J465*Shares!I465)</f>
        <v>0</v>
      </c>
      <c r="AF465" s="267">
        <f t="shared" si="45"/>
        <v>0</v>
      </c>
      <c r="AG465" s="266">
        <f>IF($Z465="",0,Shares!L465)</f>
        <v>0</v>
      </c>
      <c r="AH465" s="267">
        <f>IF($Z465="",0,Shares!M465)</f>
        <v>0</v>
      </c>
      <c r="AI465" s="243" t="str">
        <f>IF($Z465="","",RANK(AE465,$AE$2:$AE$1001)+COUNTIF($AE$2:AE465,AE465)-1)</f>
        <v/>
      </c>
      <c r="AJ465" s="243" t="str">
        <f>IF($AD465&lt;0,COUNT($AJ$1:AJ464)+1,"")</f>
        <v/>
      </c>
      <c r="AL465" s="243" t="str">
        <f>'All Ticker P&amp;L'!A465</f>
        <v/>
      </c>
      <c r="AM465" s="243" t="str">
        <f>'All Ticker P&amp;L'!B465</f>
        <v/>
      </c>
      <c r="AN465" s="243" t="str">
        <f>'All Ticker P&amp;L'!C465</f>
        <v/>
      </c>
      <c r="AO465" s="243" t="str">
        <f>'All Ticker P&amp;L'!D465</f>
        <v/>
      </c>
      <c r="AP465" s="243">
        <f>IF($AL465="",0,'All Ticker P&amp;L'!E465)</f>
        <v>0</v>
      </c>
      <c r="AQ465" s="266">
        <f>IF($AL465="",0,'All Ticker P&amp;L'!J465*'All Ticker P&amp;L'!I465)</f>
        <v>0</v>
      </c>
      <c r="AR465" s="266">
        <f>IF($AL465="",0,'All Ticker P&amp;L'!L465)</f>
        <v>0</v>
      </c>
      <c r="AS465" s="267">
        <f>IF($AL465="",0,'All Ticker P&amp;L'!M465)</f>
        <v>0</v>
      </c>
      <c r="AT465" s="243" t="str">
        <f>IF($AL465="","",RANK(AR465,$AR$2:$AR$1001)+COUNTIF($AR$2:AR465,AR465)-1)</f>
        <v/>
      </c>
      <c r="AU465" s="243" t="str">
        <f>IF($AL465="","",RANK(AV465,$AV$2:$AV$1001)+COUNTIF($AV$2:AV465,AV465)-1)</f>
        <v/>
      </c>
      <c r="AV465" s="266">
        <f t="shared" si="46"/>
        <v>0</v>
      </c>
    </row>
    <row r="466" spans="26:48" ht="15" customHeight="1" x14ac:dyDescent="0.2">
      <c r="Z466" s="243" t="str">
        <f>Shares!A466</f>
        <v/>
      </c>
      <c r="AA466" s="243" t="str">
        <f>Shares!B466</f>
        <v/>
      </c>
      <c r="AB466" s="243" t="str">
        <f>Shares!C466</f>
        <v/>
      </c>
      <c r="AC466" s="243" t="str">
        <f>Shares!D466</f>
        <v/>
      </c>
      <c r="AD466" s="243">
        <f>IF($Z466="",0,Shares!E466)</f>
        <v>0</v>
      </c>
      <c r="AE466" s="266">
        <f>IF($Z466="",0,Shares!J466*Shares!I466)</f>
        <v>0</v>
      </c>
      <c r="AF466" s="267">
        <f t="shared" si="45"/>
        <v>0</v>
      </c>
      <c r="AG466" s="266">
        <f>IF($Z466="",0,Shares!L466)</f>
        <v>0</v>
      </c>
      <c r="AH466" s="267">
        <f>IF($Z466="",0,Shares!M466)</f>
        <v>0</v>
      </c>
      <c r="AI466" s="243" t="str">
        <f>IF($Z466="","",RANK(AE466,$AE$2:$AE$1001)+COUNTIF($AE$2:AE466,AE466)-1)</f>
        <v/>
      </c>
      <c r="AJ466" s="243" t="str">
        <f>IF($AD466&lt;0,COUNT($AJ$1:AJ465)+1,"")</f>
        <v/>
      </c>
      <c r="AL466" s="243" t="str">
        <f>'All Ticker P&amp;L'!A466</f>
        <v/>
      </c>
      <c r="AM466" s="243" t="str">
        <f>'All Ticker P&amp;L'!B466</f>
        <v/>
      </c>
      <c r="AN466" s="243" t="str">
        <f>'All Ticker P&amp;L'!C466</f>
        <v/>
      </c>
      <c r="AO466" s="243" t="str">
        <f>'All Ticker P&amp;L'!D466</f>
        <v/>
      </c>
      <c r="AP466" s="243">
        <f>IF($AL466="",0,'All Ticker P&amp;L'!E466)</f>
        <v>0</v>
      </c>
      <c r="AQ466" s="266">
        <f>IF($AL466="",0,'All Ticker P&amp;L'!J466*'All Ticker P&amp;L'!I466)</f>
        <v>0</v>
      </c>
      <c r="AR466" s="266">
        <f>IF($AL466="",0,'All Ticker P&amp;L'!L466)</f>
        <v>0</v>
      </c>
      <c r="AS466" s="267">
        <f>IF($AL466="",0,'All Ticker P&amp;L'!M466)</f>
        <v>0</v>
      </c>
      <c r="AT466" s="243" t="str">
        <f>IF($AL466="","",RANK(AR466,$AR$2:$AR$1001)+COUNTIF($AR$2:AR466,AR466)-1)</f>
        <v/>
      </c>
      <c r="AU466" s="243" t="str">
        <f>IF($AL466="","",RANK(AV466,$AV$2:$AV$1001)+COUNTIF($AV$2:AV466,AV466)-1)</f>
        <v/>
      </c>
      <c r="AV466" s="266">
        <f t="shared" si="46"/>
        <v>0</v>
      </c>
    </row>
    <row r="467" spans="26:48" ht="15" customHeight="1" x14ac:dyDescent="0.2">
      <c r="Z467" s="243" t="str">
        <f>Shares!A467</f>
        <v/>
      </c>
      <c r="AA467" s="243" t="str">
        <f>Shares!B467</f>
        <v/>
      </c>
      <c r="AB467" s="243" t="str">
        <f>Shares!C467</f>
        <v/>
      </c>
      <c r="AC467" s="243" t="str">
        <f>Shares!D467</f>
        <v/>
      </c>
      <c r="AD467" s="243">
        <f>IF($Z467="",0,Shares!E467)</f>
        <v>0</v>
      </c>
      <c r="AE467" s="266">
        <f>IF($Z467="",0,Shares!J467*Shares!I467)</f>
        <v>0</v>
      </c>
      <c r="AF467" s="267">
        <f t="shared" si="45"/>
        <v>0</v>
      </c>
      <c r="AG467" s="266">
        <f>IF($Z467="",0,Shares!L467)</f>
        <v>0</v>
      </c>
      <c r="AH467" s="267">
        <f>IF($Z467="",0,Shares!M467)</f>
        <v>0</v>
      </c>
      <c r="AI467" s="243" t="str">
        <f>IF($Z467="","",RANK(AE467,$AE$2:$AE$1001)+COUNTIF($AE$2:AE467,AE467)-1)</f>
        <v/>
      </c>
      <c r="AJ467" s="243" t="str">
        <f>IF($AD467&lt;0,COUNT($AJ$1:AJ466)+1,"")</f>
        <v/>
      </c>
      <c r="AL467" s="243" t="str">
        <f>'All Ticker P&amp;L'!A467</f>
        <v/>
      </c>
      <c r="AM467" s="243" t="str">
        <f>'All Ticker P&amp;L'!B467</f>
        <v/>
      </c>
      <c r="AN467" s="243" t="str">
        <f>'All Ticker P&amp;L'!C467</f>
        <v/>
      </c>
      <c r="AO467" s="243" t="str">
        <f>'All Ticker P&amp;L'!D467</f>
        <v/>
      </c>
      <c r="AP467" s="243">
        <f>IF($AL467="",0,'All Ticker P&amp;L'!E467)</f>
        <v>0</v>
      </c>
      <c r="AQ467" s="266">
        <f>IF($AL467="",0,'All Ticker P&amp;L'!J467*'All Ticker P&amp;L'!I467)</f>
        <v>0</v>
      </c>
      <c r="AR467" s="266">
        <f>IF($AL467="",0,'All Ticker P&amp;L'!L467)</f>
        <v>0</v>
      </c>
      <c r="AS467" s="267">
        <f>IF($AL467="",0,'All Ticker P&amp;L'!M467)</f>
        <v>0</v>
      </c>
      <c r="AT467" s="243" t="str">
        <f>IF($AL467="","",RANK(AR467,$AR$2:$AR$1001)+COUNTIF($AR$2:AR467,AR467)-1)</f>
        <v/>
      </c>
      <c r="AU467" s="243" t="str">
        <f>IF($AL467="","",RANK(AV467,$AV$2:$AV$1001)+COUNTIF($AV$2:AV467,AV467)-1)</f>
        <v/>
      </c>
      <c r="AV467" s="266">
        <f t="shared" si="46"/>
        <v>0</v>
      </c>
    </row>
    <row r="468" spans="26:48" ht="15" customHeight="1" x14ac:dyDescent="0.2">
      <c r="Z468" s="243" t="str">
        <f>Shares!A468</f>
        <v/>
      </c>
      <c r="AA468" s="243" t="str">
        <f>Shares!B468</f>
        <v/>
      </c>
      <c r="AB468" s="243" t="str">
        <f>Shares!C468</f>
        <v/>
      </c>
      <c r="AC468" s="243" t="str">
        <f>Shares!D468</f>
        <v/>
      </c>
      <c r="AD468" s="243">
        <f>IF($Z468="",0,Shares!E468)</f>
        <v>0</v>
      </c>
      <c r="AE468" s="266">
        <f>IF($Z468="",0,Shares!J468*Shares!I468)</f>
        <v>0</v>
      </c>
      <c r="AF468" s="267">
        <f t="shared" si="45"/>
        <v>0</v>
      </c>
      <c r="AG468" s="266">
        <f>IF($Z468="",0,Shares!L468)</f>
        <v>0</v>
      </c>
      <c r="AH468" s="267">
        <f>IF($Z468="",0,Shares!M468)</f>
        <v>0</v>
      </c>
      <c r="AI468" s="243" t="str">
        <f>IF($Z468="","",RANK(AE468,$AE$2:$AE$1001)+COUNTIF($AE$2:AE468,AE468)-1)</f>
        <v/>
      </c>
      <c r="AJ468" s="243" t="str">
        <f>IF($AD468&lt;0,COUNT($AJ$1:AJ467)+1,"")</f>
        <v/>
      </c>
      <c r="AL468" s="243" t="str">
        <f>'All Ticker P&amp;L'!A468</f>
        <v/>
      </c>
      <c r="AM468" s="243" t="str">
        <f>'All Ticker P&amp;L'!B468</f>
        <v/>
      </c>
      <c r="AN468" s="243" t="str">
        <f>'All Ticker P&amp;L'!C468</f>
        <v/>
      </c>
      <c r="AO468" s="243" t="str">
        <f>'All Ticker P&amp;L'!D468</f>
        <v/>
      </c>
      <c r="AP468" s="243">
        <f>IF($AL468="",0,'All Ticker P&amp;L'!E468)</f>
        <v>0</v>
      </c>
      <c r="AQ468" s="266">
        <f>IF($AL468="",0,'All Ticker P&amp;L'!J468*'All Ticker P&amp;L'!I468)</f>
        <v>0</v>
      </c>
      <c r="AR468" s="266">
        <f>IF($AL468="",0,'All Ticker P&amp;L'!L468)</f>
        <v>0</v>
      </c>
      <c r="AS468" s="267">
        <f>IF($AL468="",0,'All Ticker P&amp;L'!M468)</f>
        <v>0</v>
      </c>
      <c r="AT468" s="243" t="str">
        <f>IF($AL468="","",RANK(AR468,$AR$2:$AR$1001)+COUNTIF($AR$2:AR468,AR468)-1)</f>
        <v/>
      </c>
      <c r="AU468" s="243" t="str">
        <f>IF($AL468="","",RANK(AV468,$AV$2:$AV$1001)+COUNTIF($AV$2:AV468,AV468)-1)</f>
        <v/>
      </c>
      <c r="AV468" s="266">
        <f t="shared" si="46"/>
        <v>0</v>
      </c>
    </row>
    <row r="469" spans="26:48" ht="15" customHeight="1" x14ac:dyDescent="0.2">
      <c r="Z469" s="243" t="str">
        <f>Shares!A469</f>
        <v/>
      </c>
      <c r="AA469" s="243" t="str">
        <f>Shares!B469</f>
        <v/>
      </c>
      <c r="AB469" s="243" t="str">
        <f>Shares!C469</f>
        <v/>
      </c>
      <c r="AC469" s="243" t="str">
        <f>Shares!D469</f>
        <v/>
      </c>
      <c r="AD469" s="243">
        <f>IF($Z469="",0,Shares!E469)</f>
        <v>0</v>
      </c>
      <c r="AE469" s="266">
        <f>IF($Z469="",0,Shares!J469*Shares!I469)</f>
        <v>0</v>
      </c>
      <c r="AF469" s="267">
        <f t="shared" si="45"/>
        <v>0</v>
      </c>
      <c r="AG469" s="266">
        <f>IF($Z469="",0,Shares!L469)</f>
        <v>0</v>
      </c>
      <c r="AH469" s="267">
        <f>IF($Z469="",0,Shares!M469)</f>
        <v>0</v>
      </c>
      <c r="AI469" s="243" t="str">
        <f>IF($Z469="","",RANK(AE469,$AE$2:$AE$1001)+COUNTIF($AE$2:AE469,AE469)-1)</f>
        <v/>
      </c>
      <c r="AJ469" s="243" t="str">
        <f>IF($AD469&lt;0,COUNT($AJ$1:AJ468)+1,"")</f>
        <v/>
      </c>
      <c r="AL469" s="243" t="str">
        <f>'All Ticker P&amp;L'!A469</f>
        <v/>
      </c>
      <c r="AM469" s="243" t="str">
        <f>'All Ticker P&amp;L'!B469</f>
        <v/>
      </c>
      <c r="AN469" s="243" t="str">
        <f>'All Ticker P&amp;L'!C469</f>
        <v/>
      </c>
      <c r="AO469" s="243" t="str">
        <f>'All Ticker P&amp;L'!D469</f>
        <v/>
      </c>
      <c r="AP469" s="243">
        <f>IF($AL469="",0,'All Ticker P&amp;L'!E469)</f>
        <v>0</v>
      </c>
      <c r="AQ469" s="266">
        <f>IF($AL469="",0,'All Ticker P&amp;L'!J469*'All Ticker P&amp;L'!I469)</f>
        <v>0</v>
      </c>
      <c r="AR469" s="266">
        <f>IF($AL469="",0,'All Ticker P&amp;L'!L469)</f>
        <v>0</v>
      </c>
      <c r="AS469" s="267">
        <f>IF($AL469="",0,'All Ticker P&amp;L'!M469)</f>
        <v>0</v>
      </c>
      <c r="AT469" s="243" t="str">
        <f>IF($AL469="","",RANK(AR469,$AR$2:$AR$1001)+COUNTIF($AR$2:AR469,AR469)-1)</f>
        <v/>
      </c>
      <c r="AU469" s="243" t="str">
        <f>IF($AL469="","",RANK(AV469,$AV$2:$AV$1001)+COUNTIF($AV$2:AV469,AV469)-1)</f>
        <v/>
      </c>
      <c r="AV469" s="266">
        <f t="shared" si="46"/>
        <v>0</v>
      </c>
    </row>
    <row r="470" spans="26:48" ht="15" customHeight="1" x14ac:dyDescent="0.2">
      <c r="Z470" s="243" t="str">
        <f>Shares!A470</f>
        <v/>
      </c>
      <c r="AA470" s="243" t="str">
        <f>Shares!B470</f>
        <v/>
      </c>
      <c r="AB470" s="243" t="str">
        <f>Shares!C470</f>
        <v/>
      </c>
      <c r="AC470" s="243" t="str">
        <f>Shares!D470</f>
        <v/>
      </c>
      <c r="AD470" s="243">
        <f>IF($Z470="",0,Shares!E470)</f>
        <v>0</v>
      </c>
      <c r="AE470" s="266">
        <f>IF($Z470="",0,Shares!J470*Shares!I470)</f>
        <v>0</v>
      </c>
      <c r="AF470" s="267">
        <f t="shared" si="45"/>
        <v>0</v>
      </c>
      <c r="AG470" s="266">
        <f>IF($Z470="",0,Shares!L470)</f>
        <v>0</v>
      </c>
      <c r="AH470" s="267">
        <f>IF($Z470="",0,Shares!M470)</f>
        <v>0</v>
      </c>
      <c r="AI470" s="243" t="str">
        <f>IF($Z470="","",RANK(AE470,$AE$2:$AE$1001)+COUNTIF($AE$2:AE470,AE470)-1)</f>
        <v/>
      </c>
      <c r="AJ470" s="243" t="str">
        <f>IF($AD470&lt;0,COUNT($AJ$1:AJ469)+1,"")</f>
        <v/>
      </c>
      <c r="AL470" s="243" t="str">
        <f>'All Ticker P&amp;L'!A470</f>
        <v/>
      </c>
      <c r="AM470" s="243" t="str">
        <f>'All Ticker P&amp;L'!B470</f>
        <v/>
      </c>
      <c r="AN470" s="243" t="str">
        <f>'All Ticker P&amp;L'!C470</f>
        <v/>
      </c>
      <c r="AO470" s="243" t="str">
        <f>'All Ticker P&amp;L'!D470</f>
        <v/>
      </c>
      <c r="AP470" s="243">
        <f>IF($AL470="",0,'All Ticker P&amp;L'!E470)</f>
        <v>0</v>
      </c>
      <c r="AQ470" s="266">
        <f>IF($AL470="",0,'All Ticker P&amp;L'!J470*'All Ticker P&amp;L'!I470)</f>
        <v>0</v>
      </c>
      <c r="AR470" s="266">
        <f>IF($AL470="",0,'All Ticker P&amp;L'!L470)</f>
        <v>0</v>
      </c>
      <c r="AS470" s="267">
        <f>IF($AL470="",0,'All Ticker P&amp;L'!M470)</f>
        <v>0</v>
      </c>
      <c r="AT470" s="243" t="str">
        <f>IF($AL470="","",RANK(AR470,$AR$2:$AR$1001)+COUNTIF($AR$2:AR470,AR470)-1)</f>
        <v/>
      </c>
      <c r="AU470" s="243" t="str">
        <f>IF($AL470="","",RANK(AV470,$AV$2:$AV$1001)+COUNTIF($AV$2:AV470,AV470)-1)</f>
        <v/>
      </c>
      <c r="AV470" s="266">
        <f t="shared" si="46"/>
        <v>0</v>
      </c>
    </row>
    <row r="471" spans="26:48" ht="15" customHeight="1" x14ac:dyDescent="0.2">
      <c r="Z471" s="243" t="str">
        <f>Shares!A471</f>
        <v/>
      </c>
      <c r="AA471" s="243" t="str">
        <f>Shares!B471</f>
        <v/>
      </c>
      <c r="AB471" s="243" t="str">
        <f>Shares!C471</f>
        <v/>
      </c>
      <c r="AC471" s="243" t="str">
        <f>Shares!D471</f>
        <v/>
      </c>
      <c r="AD471" s="243">
        <f>IF($Z471="",0,Shares!E471)</f>
        <v>0</v>
      </c>
      <c r="AE471" s="266">
        <f>IF($Z471="",0,Shares!J471*Shares!I471)</f>
        <v>0</v>
      </c>
      <c r="AF471" s="267">
        <f t="shared" si="45"/>
        <v>0</v>
      </c>
      <c r="AG471" s="266">
        <f>IF($Z471="",0,Shares!L471)</f>
        <v>0</v>
      </c>
      <c r="AH471" s="267">
        <f>IF($Z471="",0,Shares!M471)</f>
        <v>0</v>
      </c>
      <c r="AI471" s="243" t="str">
        <f>IF($Z471="","",RANK(AE471,$AE$2:$AE$1001)+COUNTIF($AE$2:AE471,AE471)-1)</f>
        <v/>
      </c>
      <c r="AJ471" s="243" t="str">
        <f>IF($AD471&lt;0,COUNT($AJ$1:AJ470)+1,"")</f>
        <v/>
      </c>
      <c r="AL471" s="243" t="str">
        <f>'All Ticker P&amp;L'!A471</f>
        <v/>
      </c>
      <c r="AM471" s="243" t="str">
        <f>'All Ticker P&amp;L'!B471</f>
        <v/>
      </c>
      <c r="AN471" s="243" t="str">
        <f>'All Ticker P&amp;L'!C471</f>
        <v/>
      </c>
      <c r="AO471" s="243" t="str">
        <f>'All Ticker P&amp;L'!D471</f>
        <v/>
      </c>
      <c r="AP471" s="243">
        <f>IF($AL471="",0,'All Ticker P&amp;L'!E471)</f>
        <v>0</v>
      </c>
      <c r="AQ471" s="266">
        <f>IF($AL471="",0,'All Ticker P&amp;L'!J471*'All Ticker P&amp;L'!I471)</f>
        <v>0</v>
      </c>
      <c r="AR471" s="266">
        <f>IF($AL471="",0,'All Ticker P&amp;L'!L471)</f>
        <v>0</v>
      </c>
      <c r="AS471" s="267">
        <f>IF($AL471="",0,'All Ticker P&amp;L'!M471)</f>
        <v>0</v>
      </c>
      <c r="AT471" s="243" t="str">
        <f>IF($AL471="","",RANK(AR471,$AR$2:$AR$1001)+COUNTIF($AR$2:AR471,AR471)-1)</f>
        <v/>
      </c>
      <c r="AU471" s="243" t="str">
        <f>IF($AL471="","",RANK(AV471,$AV$2:$AV$1001)+COUNTIF($AV$2:AV471,AV471)-1)</f>
        <v/>
      </c>
      <c r="AV471" s="266">
        <f t="shared" si="46"/>
        <v>0</v>
      </c>
    </row>
    <row r="472" spans="26:48" ht="15" customHeight="1" x14ac:dyDescent="0.2">
      <c r="Z472" s="243" t="str">
        <f>Shares!A472</f>
        <v/>
      </c>
      <c r="AA472" s="243" t="str">
        <f>Shares!B472</f>
        <v/>
      </c>
      <c r="AB472" s="243" t="str">
        <f>Shares!C472</f>
        <v/>
      </c>
      <c r="AC472" s="243" t="str">
        <f>Shares!D472</f>
        <v/>
      </c>
      <c r="AD472" s="243">
        <f>IF($Z472="",0,Shares!E472)</f>
        <v>0</v>
      </c>
      <c r="AE472" s="266">
        <f>IF($Z472="",0,Shares!J472*Shares!I472)</f>
        <v>0</v>
      </c>
      <c r="AF472" s="267">
        <f t="shared" si="45"/>
        <v>0</v>
      </c>
      <c r="AG472" s="266">
        <f>IF($Z472="",0,Shares!L472)</f>
        <v>0</v>
      </c>
      <c r="AH472" s="267">
        <f>IF($Z472="",0,Shares!M472)</f>
        <v>0</v>
      </c>
      <c r="AI472" s="243" t="str">
        <f>IF($Z472="","",RANK(AE472,$AE$2:$AE$1001)+COUNTIF($AE$2:AE472,AE472)-1)</f>
        <v/>
      </c>
      <c r="AJ472" s="243" t="str">
        <f>IF($AD472&lt;0,COUNT($AJ$1:AJ471)+1,"")</f>
        <v/>
      </c>
      <c r="AL472" s="243" t="str">
        <f>'All Ticker P&amp;L'!A472</f>
        <v/>
      </c>
      <c r="AM472" s="243" t="str">
        <f>'All Ticker P&amp;L'!B472</f>
        <v/>
      </c>
      <c r="AN472" s="243" t="str">
        <f>'All Ticker P&amp;L'!C472</f>
        <v/>
      </c>
      <c r="AO472" s="243" t="str">
        <f>'All Ticker P&amp;L'!D472</f>
        <v/>
      </c>
      <c r="AP472" s="243">
        <f>IF($AL472="",0,'All Ticker P&amp;L'!E472)</f>
        <v>0</v>
      </c>
      <c r="AQ472" s="266">
        <f>IF($AL472="",0,'All Ticker P&amp;L'!J472*'All Ticker P&amp;L'!I472)</f>
        <v>0</v>
      </c>
      <c r="AR472" s="266">
        <f>IF($AL472="",0,'All Ticker P&amp;L'!L472)</f>
        <v>0</v>
      </c>
      <c r="AS472" s="267">
        <f>IF($AL472="",0,'All Ticker P&amp;L'!M472)</f>
        <v>0</v>
      </c>
      <c r="AT472" s="243" t="str">
        <f>IF($AL472="","",RANK(AR472,$AR$2:$AR$1001)+COUNTIF($AR$2:AR472,AR472)-1)</f>
        <v/>
      </c>
      <c r="AU472" s="243" t="str">
        <f>IF($AL472="","",RANK(AV472,$AV$2:$AV$1001)+COUNTIF($AV$2:AV472,AV472)-1)</f>
        <v/>
      </c>
      <c r="AV472" s="266">
        <f t="shared" si="46"/>
        <v>0</v>
      </c>
    </row>
    <row r="473" spans="26:48" ht="15" customHeight="1" x14ac:dyDescent="0.2">
      <c r="Z473" s="243" t="str">
        <f>Shares!A473</f>
        <v/>
      </c>
      <c r="AA473" s="243" t="str">
        <f>Shares!B473</f>
        <v/>
      </c>
      <c r="AB473" s="243" t="str">
        <f>Shares!C473</f>
        <v/>
      </c>
      <c r="AC473" s="243" t="str">
        <f>Shares!D473</f>
        <v/>
      </c>
      <c r="AD473" s="243">
        <f>IF($Z473="",0,Shares!E473)</f>
        <v>0</v>
      </c>
      <c r="AE473" s="266">
        <f>IF($Z473="",0,Shares!J473*Shares!I473)</f>
        <v>0</v>
      </c>
      <c r="AF473" s="267">
        <f t="shared" si="45"/>
        <v>0</v>
      </c>
      <c r="AG473" s="266">
        <f>IF($Z473="",0,Shares!L473)</f>
        <v>0</v>
      </c>
      <c r="AH473" s="267">
        <f>IF($Z473="",0,Shares!M473)</f>
        <v>0</v>
      </c>
      <c r="AI473" s="243" t="str">
        <f>IF($Z473="","",RANK(AE473,$AE$2:$AE$1001)+COUNTIF($AE$2:AE473,AE473)-1)</f>
        <v/>
      </c>
      <c r="AJ473" s="243" t="str">
        <f>IF($AD473&lt;0,COUNT($AJ$1:AJ472)+1,"")</f>
        <v/>
      </c>
      <c r="AL473" s="243" t="str">
        <f>'All Ticker P&amp;L'!A473</f>
        <v/>
      </c>
      <c r="AM473" s="243" t="str">
        <f>'All Ticker P&amp;L'!B473</f>
        <v/>
      </c>
      <c r="AN473" s="243" t="str">
        <f>'All Ticker P&amp;L'!C473</f>
        <v/>
      </c>
      <c r="AO473" s="243" t="str">
        <f>'All Ticker P&amp;L'!D473</f>
        <v/>
      </c>
      <c r="AP473" s="243">
        <f>IF($AL473="",0,'All Ticker P&amp;L'!E473)</f>
        <v>0</v>
      </c>
      <c r="AQ473" s="266">
        <f>IF($AL473="",0,'All Ticker P&amp;L'!J473*'All Ticker P&amp;L'!I473)</f>
        <v>0</v>
      </c>
      <c r="AR473" s="266">
        <f>IF($AL473="",0,'All Ticker P&amp;L'!L473)</f>
        <v>0</v>
      </c>
      <c r="AS473" s="267">
        <f>IF($AL473="",0,'All Ticker P&amp;L'!M473)</f>
        <v>0</v>
      </c>
      <c r="AT473" s="243" t="str">
        <f>IF($AL473="","",RANK(AR473,$AR$2:$AR$1001)+COUNTIF($AR$2:AR473,AR473)-1)</f>
        <v/>
      </c>
      <c r="AU473" s="243" t="str">
        <f>IF($AL473="","",RANK(AV473,$AV$2:$AV$1001)+COUNTIF($AV$2:AV473,AV473)-1)</f>
        <v/>
      </c>
      <c r="AV473" s="266">
        <f t="shared" si="46"/>
        <v>0</v>
      </c>
    </row>
    <row r="474" spans="26:48" ht="15" customHeight="1" x14ac:dyDescent="0.2">
      <c r="Z474" s="243" t="str">
        <f>Shares!A474</f>
        <v/>
      </c>
      <c r="AA474" s="243" t="str">
        <f>Shares!B474</f>
        <v/>
      </c>
      <c r="AB474" s="243" t="str">
        <f>Shares!C474</f>
        <v/>
      </c>
      <c r="AC474" s="243" t="str">
        <f>Shares!D474</f>
        <v/>
      </c>
      <c r="AD474" s="243">
        <f>IF($Z474="",0,Shares!E474)</f>
        <v>0</v>
      </c>
      <c r="AE474" s="266">
        <f>IF($Z474="",0,Shares!J474*Shares!I474)</f>
        <v>0</v>
      </c>
      <c r="AF474" s="267">
        <f t="shared" si="45"/>
        <v>0</v>
      </c>
      <c r="AG474" s="266">
        <f>IF($Z474="",0,Shares!L474)</f>
        <v>0</v>
      </c>
      <c r="AH474" s="267">
        <f>IF($Z474="",0,Shares!M474)</f>
        <v>0</v>
      </c>
      <c r="AI474" s="243" t="str">
        <f>IF($Z474="","",RANK(AE474,$AE$2:$AE$1001)+COUNTIF($AE$2:AE474,AE474)-1)</f>
        <v/>
      </c>
      <c r="AJ474" s="243" t="str">
        <f>IF($AD474&lt;0,COUNT($AJ$1:AJ473)+1,"")</f>
        <v/>
      </c>
      <c r="AL474" s="243" t="str">
        <f>'All Ticker P&amp;L'!A474</f>
        <v/>
      </c>
      <c r="AM474" s="243" t="str">
        <f>'All Ticker P&amp;L'!B474</f>
        <v/>
      </c>
      <c r="AN474" s="243" t="str">
        <f>'All Ticker P&amp;L'!C474</f>
        <v/>
      </c>
      <c r="AO474" s="243" t="str">
        <f>'All Ticker P&amp;L'!D474</f>
        <v/>
      </c>
      <c r="AP474" s="243">
        <f>IF($AL474="",0,'All Ticker P&amp;L'!E474)</f>
        <v>0</v>
      </c>
      <c r="AQ474" s="266">
        <f>IF($AL474="",0,'All Ticker P&amp;L'!J474*'All Ticker P&amp;L'!I474)</f>
        <v>0</v>
      </c>
      <c r="AR474" s="266">
        <f>IF($AL474="",0,'All Ticker P&amp;L'!L474)</f>
        <v>0</v>
      </c>
      <c r="AS474" s="267">
        <f>IF($AL474="",0,'All Ticker P&amp;L'!M474)</f>
        <v>0</v>
      </c>
      <c r="AT474" s="243" t="str">
        <f>IF($AL474="","",RANK(AR474,$AR$2:$AR$1001)+COUNTIF($AR$2:AR474,AR474)-1)</f>
        <v/>
      </c>
      <c r="AU474" s="243" t="str">
        <f>IF($AL474="","",RANK(AV474,$AV$2:$AV$1001)+COUNTIF($AV$2:AV474,AV474)-1)</f>
        <v/>
      </c>
      <c r="AV474" s="266">
        <f t="shared" si="46"/>
        <v>0</v>
      </c>
    </row>
    <row r="475" spans="26:48" ht="15" customHeight="1" x14ac:dyDescent="0.2">
      <c r="Z475" s="243" t="str">
        <f>Shares!A475</f>
        <v/>
      </c>
      <c r="AA475" s="243" t="str">
        <f>Shares!B475</f>
        <v/>
      </c>
      <c r="AB475" s="243" t="str">
        <f>Shares!C475</f>
        <v/>
      </c>
      <c r="AC475" s="243" t="str">
        <f>Shares!D475</f>
        <v/>
      </c>
      <c r="AD475" s="243">
        <f>IF($Z475="",0,Shares!E475)</f>
        <v>0</v>
      </c>
      <c r="AE475" s="266">
        <f>IF($Z475="",0,Shares!J475*Shares!I475)</f>
        <v>0</v>
      </c>
      <c r="AF475" s="267">
        <f t="shared" si="45"/>
        <v>0</v>
      </c>
      <c r="AG475" s="266">
        <f>IF($Z475="",0,Shares!L475)</f>
        <v>0</v>
      </c>
      <c r="AH475" s="267">
        <f>IF($Z475="",0,Shares!M475)</f>
        <v>0</v>
      </c>
      <c r="AI475" s="243" t="str">
        <f>IF($Z475="","",RANK(AE475,$AE$2:$AE$1001)+COUNTIF($AE$2:AE475,AE475)-1)</f>
        <v/>
      </c>
      <c r="AJ475" s="243" t="str">
        <f>IF($AD475&lt;0,COUNT($AJ$1:AJ474)+1,"")</f>
        <v/>
      </c>
      <c r="AL475" s="243" t="str">
        <f>'All Ticker P&amp;L'!A475</f>
        <v/>
      </c>
      <c r="AM475" s="243" t="str">
        <f>'All Ticker P&amp;L'!B475</f>
        <v/>
      </c>
      <c r="AN475" s="243" t="str">
        <f>'All Ticker P&amp;L'!C475</f>
        <v/>
      </c>
      <c r="AO475" s="243" t="str">
        <f>'All Ticker P&amp;L'!D475</f>
        <v/>
      </c>
      <c r="AP475" s="243">
        <f>IF($AL475="",0,'All Ticker P&amp;L'!E475)</f>
        <v>0</v>
      </c>
      <c r="AQ475" s="266">
        <f>IF($AL475="",0,'All Ticker P&amp;L'!J475*'All Ticker P&amp;L'!I475)</f>
        <v>0</v>
      </c>
      <c r="AR475" s="266">
        <f>IF($AL475="",0,'All Ticker P&amp;L'!L475)</f>
        <v>0</v>
      </c>
      <c r="AS475" s="267">
        <f>IF($AL475="",0,'All Ticker P&amp;L'!M475)</f>
        <v>0</v>
      </c>
      <c r="AT475" s="243" t="str">
        <f>IF($AL475="","",RANK(AR475,$AR$2:$AR$1001)+COUNTIF($AR$2:AR475,AR475)-1)</f>
        <v/>
      </c>
      <c r="AU475" s="243" t="str">
        <f>IF($AL475="","",RANK(AV475,$AV$2:$AV$1001)+COUNTIF($AV$2:AV475,AV475)-1)</f>
        <v/>
      </c>
      <c r="AV475" s="266">
        <f t="shared" si="46"/>
        <v>0</v>
      </c>
    </row>
    <row r="476" spans="26:48" ht="15" customHeight="1" x14ac:dyDescent="0.2">
      <c r="Z476" s="243" t="str">
        <f>Shares!A476</f>
        <v/>
      </c>
      <c r="AA476" s="243" t="str">
        <f>Shares!B476</f>
        <v/>
      </c>
      <c r="AB476" s="243" t="str">
        <f>Shares!C476</f>
        <v/>
      </c>
      <c r="AC476" s="243" t="str">
        <f>Shares!D476</f>
        <v/>
      </c>
      <c r="AD476" s="243">
        <f>IF($Z476="",0,Shares!E476)</f>
        <v>0</v>
      </c>
      <c r="AE476" s="266">
        <f>IF($Z476="",0,Shares!J476*Shares!I476)</f>
        <v>0</v>
      </c>
      <c r="AF476" s="267">
        <f t="shared" si="45"/>
        <v>0</v>
      </c>
      <c r="AG476" s="266">
        <f>IF($Z476="",0,Shares!L476)</f>
        <v>0</v>
      </c>
      <c r="AH476" s="267">
        <f>IF($Z476="",0,Shares!M476)</f>
        <v>0</v>
      </c>
      <c r="AI476" s="243" t="str">
        <f>IF($Z476="","",RANK(AE476,$AE$2:$AE$1001)+COUNTIF($AE$2:AE476,AE476)-1)</f>
        <v/>
      </c>
      <c r="AJ476" s="243" t="str">
        <f>IF($AD476&lt;0,COUNT($AJ$1:AJ475)+1,"")</f>
        <v/>
      </c>
      <c r="AL476" s="243" t="str">
        <f>'All Ticker P&amp;L'!A476</f>
        <v/>
      </c>
      <c r="AM476" s="243" t="str">
        <f>'All Ticker P&amp;L'!B476</f>
        <v/>
      </c>
      <c r="AN476" s="243" t="str">
        <f>'All Ticker P&amp;L'!C476</f>
        <v/>
      </c>
      <c r="AO476" s="243" t="str">
        <f>'All Ticker P&amp;L'!D476</f>
        <v/>
      </c>
      <c r="AP476" s="243">
        <f>IF($AL476="",0,'All Ticker P&amp;L'!E476)</f>
        <v>0</v>
      </c>
      <c r="AQ476" s="266">
        <f>IF($AL476="",0,'All Ticker P&amp;L'!J476*'All Ticker P&amp;L'!I476)</f>
        <v>0</v>
      </c>
      <c r="AR476" s="266">
        <f>IF($AL476="",0,'All Ticker P&amp;L'!L476)</f>
        <v>0</v>
      </c>
      <c r="AS476" s="267">
        <f>IF($AL476="",0,'All Ticker P&amp;L'!M476)</f>
        <v>0</v>
      </c>
      <c r="AT476" s="243" t="str">
        <f>IF($AL476="","",RANK(AR476,$AR$2:$AR$1001)+COUNTIF($AR$2:AR476,AR476)-1)</f>
        <v/>
      </c>
      <c r="AU476" s="243" t="str">
        <f>IF($AL476="","",RANK(AV476,$AV$2:$AV$1001)+COUNTIF($AV$2:AV476,AV476)-1)</f>
        <v/>
      </c>
      <c r="AV476" s="266">
        <f t="shared" si="46"/>
        <v>0</v>
      </c>
    </row>
    <row r="477" spans="26:48" ht="15" customHeight="1" x14ac:dyDescent="0.2">
      <c r="Z477" s="243" t="str">
        <f>Shares!A477</f>
        <v/>
      </c>
      <c r="AA477" s="243" t="str">
        <f>Shares!B477</f>
        <v/>
      </c>
      <c r="AB477" s="243" t="str">
        <f>Shares!C477</f>
        <v/>
      </c>
      <c r="AC477" s="243" t="str">
        <f>Shares!D477</f>
        <v/>
      </c>
      <c r="AD477" s="243">
        <f>IF($Z477="",0,Shares!E477)</f>
        <v>0</v>
      </c>
      <c r="AE477" s="266">
        <f>IF($Z477="",0,Shares!J477*Shares!I477)</f>
        <v>0</v>
      </c>
      <c r="AF477" s="267">
        <f t="shared" si="45"/>
        <v>0</v>
      </c>
      <c r="AG477" s="266">
        <f>IF($Z477="",0,Shares!L477)</f>
        <v>0</v>
      </c>
      <c r="AH477" s="267">
        <f>IF($Z477="",0,Shares!M477)</f>
        <v>0</v>
      </c>
      <c r="AI477" s="243" t="str">
        <f>IF($Z477="","",RANK(AE477,$AE$2:$AE$1001)+COUNTIF($AE$2:AE477,AE477)-1)</f>
        <v/>
      </c>
      <c r="AJ477" s="243" t="str">
        <f>IF($AD477&lt;0,COUNT($AJ$1:AJ476)+1,"")</f>
        <v/>
      </c>
      <c r="AL477" s="243" t="str">
        <f>'All Ticker P&amp;L'!A477</f>
        <v/>
      </c>
      <c r="AM477" s="243" t="str">
        <f>'All Ticker P&amp;L'!B477</f>
        <v/>
      </c>
      <c r="AN477" s="243" t="str">
        <f>'All Ticker P&amp;L'!C477</f>
        <v/>
      </c>
      <c r="AO477" s="243" t="str">
        <f>'All Ticker P&amp;L'!D477</f>
        <v/>
      </c>
      <c r="AP477" s="243">
        <f>IF($AL477="",0,'All Ticker P&amp;L'!E477)</f>
        <v>0</v>
      </c>
      <c r="AQ477" s="266">
        <f>IF($AL477="",0,'All Ticker P&amp;L'!J477*'All Ticker P&amp;L'!I477)</f>
        <v>0</v>
      </c>
      <c r="AR477" s="266">
        <f>IF($AL477="",0,'All Ticker P&amp;L'!L477)</f>
        <v>0</v>
      </c>
      <c r="AS477" s="267">
        <f>IF($AL477="",0,'All Ticker P&amp;L'!M477)</f>
        <v>0</v>
      </c>
      <c r="AT477" s="243" t="str">
        <f>IF($AL477="","",RANK(AR477,$AR$2:$AR$1001)+COUNTIF($AR$2:AR477,AR477)-1)</f>
        <v/>
      </c>
      <c r="AU477" s="243" t="str">
        <f>IF($AL477="","",RANK(AV477,$AV$2:$AV$1001)+COUNTIF($AV$2:AV477,AV477)-1)</f>
        <v/>
      </c>
      <c r="AV477" s="266">
        <f t="shared" si="46"/>
        <v>0</v>
      </c>
    </row>
    <row r="478" spans="26:48" ht="15" customHeight="1" x14ac:dyDescent="0.2">
      <c r="Z478" s="243" t="str">
        <f>Shares!A478</f>
        <v/>
      </c>
      <c r="AA478" s="243" t="str">
        <f>Shares!B478</f>
        <v/>
      </c>
      <c r="AB478" s="243" t="str">
        <f>Shares!C478</f>
        <v/>
      </c>
      <c r="AC478" s="243" t="str">
        <f>Shares!D478</f>
        <v/>
      </c>
      <c r="AD478" s="243">
        <f>IF($Z478="",0,Shares!E478)</f>
        <v>0</v>
      </c>
      <c r="AE478" s="266">
        <f>IF($Z478="",0,Shares!J478*Shares!I478)</f>
        <v>0</v>
      </c>
      <c r="AF478" s="267">
        <f t="shared" si="45"/>
        <v>0</v>
      </c>
      <c r="AG478" s="266">
        <f>IF($Z478="",0,Shares!L478)</f>
        <v>0</v>
      </c>
      <c r="AH478" s="267">
        <f>IF($Z478="",0,Shares!M478)</f>
        <v>0</v>
      </c>
      <c r="AI478" s="243" t="str">
        <f>IF($Z478="","",RANK(AE478,$AE$2:$AE$1001)+COUNTIF($AE$2:AE478,AE478)-1)</f>
        <v/>
      </c>
      <c r="AJ478" s="243" t="str">
        <f>IF($AD478&lt;0,COUNT($AJ$1:AJ477)+1,"")</f>
        <v/>
      </c>
      <c r="AL478" s="243" t="str">
        <f>'All Ticker P&amp;L'!A478</f>
        <v/>
      </c>
      <c r="AM478" s="243" t="str">
        <f>'All Ticker P&amp;L'!B478</f>
        <v/>
      </c>
      <c r="AN478" s="243" t="str">
        <f>'All Ticker P&amp;L'!C478</f>
        <v/>
      </c>
      <c r="AO478" s="243" t="str">
        <f>'All Ticker P&amp;L'!D478</f>
        <v/>
      </c>
      <c r="AP478" s="243">
        <f>IF($AL478="",0,'All Ticker P&amp;L'!E478)</f>
        <v>0</v>
      </c>
      <c r="AQ478" s="266">
        <f>IF($AL478="",0,'All Ticker P&amp;L'!J478*'All Ticker P&amp;L'!I478)</f>
        <v>0</v>
      </c>
      <c r="AR478" s="266">
        <f>IF($AL478="",0,'All Ticker P&amp;L'!L478)</f>
        <v>0</v>
      </c>
      <c r="AS478" s="267">
        <f>IF($AL478="",0,'All Ticker P&amp;L'!M478)</f>
        <v>0</v>
      </c>
      <c r="AT478" s="243" t="str">
        <f>IF($AL478="","",RANK(AR478,$AR$2:$AR$1001)+COUNTIF($AR$2:AR478,AR478)-1)</f>
        <v/>
      </c>
      <c r="AU478" s="243" t="str">
        <f>IF($AL478="","",RANK(AV478,$AV$2:$AV$1001)+COUNTIF($AV$2:AV478,AV478)-1)</f>
        <v/>
      </c>
      <c r="AV478" s="266">
        <f t="shared" si="46"/>
        <v>0</v>
      </c>
    </row>
    <row r="479" spans="26:48" ht="15" customHeight="1" x14ac:dyDescent="0.2">
      <c r="Z479" s="243" t="str">
        <f>Shares!A479</f>
        <v/>
      </c>
      <c r="AA479" s="243" t="str">
        <f>Shares!B479</f>
        <v/>
      </c>
      <c r="AB479" s="243" t="str">
        <f>Shares!C479</f>
        <v/>
      </c>
      <c r="AC479" s="243" t="str">
        <f>Shares!D479</f>
        <v/>
      </c>
      <c r="AD479" s="243">
        <f>IF($Z479="",0,Shares!E479)</f>
        <v>0</v>
      </c>
      <c r="AE479" s="266">
        <f>IF($Z479="",0,Shares!J479*Shares!I479)</f>
        <v>0</v>
      </c>
      <c r="AF479" s="267">
        <f t="shared" si="45"/>
        <v>0</v>
      </c>
      <c r="AG479" s="266">
        <f>IF($Z479="",0,Shares!L479)</f>
        <v>0</v>
      </c>
      <c r="AH479" s="267">
        <f>IF($Z479="",0,Shares!M479)</f>
        <v>0</v>
      </c>
      <c r="AI479" s="243" t="str">
        <f>IF($Z479="","",RANK(AE479,$AE$2:$AE$1001)+COUNTIF($AE$2:AE479,AE479)-1)</f>
        <v/>
      </c>
      <c r="AJ479" s="243" t="str">
        <f>IF($AD479&lt;0,COUNT($AJ$1:AJ478)+1,"")</f>
        <v/>
      </c>
      <c r="AL479" s="243" t="str">
        <f>'All Ticker P&amp;L'!A479</f>
        <v/>
      </c>
      <c r="AM479" s="243" t="str">
        <f>'All Ticker P&amp;L'!B479</f>
        <v/>
      </c>
      <c r="AN479" s="243" t="str">
        <f>'All Ticker P&amp;L'!C479</f>
        <v/>
      </c>
      <c r="AO479" s="243" t="str">
        <f>'All Ticker P&amp;L'!D479</f>
        <v/>
      </c>
      <c r="AP479" s="243">
        <f>IF($AL479="",0,'All Ticker P&amp;L'!E479)</f>
        <v>0</v>
      </c>
      <c r="AQ479" s="266">
        <f>IF($AL479="",0,'All Ticker P&amp;L'!J479*'All Ticker P&amp;L'!I479)</f>
        <v>0</v>
      </c>
      <c r="AR479" s="266">
        <f>IF($AL479="",0,'All Ticker P&amp;L'!L479)</f>
        <v>0</v>
      </c>
      <c r="AS479" s="267">
        <f>IF($AL479="",0,'All Ticker P&amp;L'!M479)</f>
        <v>0</v>
      </c>
      <c r="AT479" s="243" t="str">
        <f>IF($AL479="","",RANK(AR479,$AR$2:$AR$1001)+COUNTIF($AR$2:AR479,AR479)-1)</f>
        <v/>
      </c>
      <c r="AU479" s="243" t="str">
        <f>IF($AL479="","",RANK(AV479,$AV$2:$AV$1001)+COUNTIF($AV$2:AV479,AV479)-1)</f>
        <v/>
      </c>
      <c r="AV479" s="266">
        <f t="shared" si="46"/>
        <v>0</v>
      </c>
    </row>
    <row r="480" spans="26:48" ht="15" customHeight="1" x14ac:dyDescent="0.2">
      <c r="Z480" s="243" t="str">
        <f>Shares!A480</f>
        <v/>
      </c>
      <c r="AA480" s="243" t="str">
        <f>Shares!B480</f>
        <v/>
      </c>
      <c r="AB480" s="243" t="str">
        <f>Shares!C480</f>
        <v/>
      </c>
      <c r="AC480" s="243" t="str">
        <f>Shares!D480</f>
        <v/>
      </c>
      <c r="AD480" s="243">
        <f>IF($Z480="",0,Shares!E480)</f>
        <v>0</v>
      </c>
      <c r="AE480" s="266">
        <f>IF($Z480="",0,Shares!J480*Shares!I480)</f>
        <v>0</v>
      </c>
      <c r="AF480" s="267">
        <f t="shared" si="45"/>
        <v>0</v>
      </c>
      <c r="AG480" s="266">
        <f>IF($Z480="",0,Shares!L480)</f>
        <v>0</v>
      </c>
      <c r="AH480" s="267">
        <f>IF($Z480="",0,Shares!M480)</f>
        <v>0</v>
      </c>
      <c r="AI480" s="243" t="str">
        <f>IF($Z480="","",RANK(AE480,$AE$2:$AE$1001)+COUNTIF($AE$2:AE480,AE480)-1)</f>
        <v/>
      </c>
      <c r="AJ480" s="243" t="str">
        <f>IF($AD480&lt;0,COUNT($AJ$1:AJ479)+1,"")</f>
        <v/>
      </c>
      <c r="AL480" s="243" t="str">
        <f>'All Ticker P&amp;L'!A480</f>
        <v/>
      </c>
      <c r="AM480" s="243" t="str">
        <f>'All Ticker P&amp;L'!B480</f>
        <v/>
      </c>
      <c r="AN480" s="243" t="str">
        <f>'All Ticker P&amp;L'!C480</f>
        <v/>
      </c>
      <c r="AO480" s="243" t="str">
        <f>'All Ticker P&amp;L'!D480</f>
        <v/>
      </c>
      <c r="AP480" s="243">
        <f>IF($AL480="",0,'All Ticker P&amp;L'!E480)</f>
        <v>0</v>
      </c>
      <c r="AQ480" s="266">
        <f>IF($AL480="",0,'All Ticker P&amp;L'!J480*'All Ticker P&amp;L'!I480)</f>
        <v>0</v>
      </c>
      <c r="AR480" s="266">
        <f>IF($AL480="",0,'All Ticker P&amp;L'!L480)</f>
        <v>0</v>
      </c>
      <c r="AS480" s="267">
        <f>IF($AL480="",0,'All Ticker P&amp;L'!M480)</f>
        <v>0</v>
      </c>
      <c r="AT480" s="243" t="str">
        <f>IF($AL480="","",RANK(AR480,$AR$2:$AR$1001)+COUNTIF($AR$2:AR480,AR480)-1)</f>
        <v/>
      </c>
      <c r="AU480" s="243" t="str">
        <f>IF($AL480="","",RANK(AV480,$AV$2:$AV$1001)+COUNTIF($AV$2:AV480,AV480)-1)</f>
        <v/>
      </c>
      <c r="AV480" s="266">
        <f t="shared" si="46"/>
        <v>0</v>
      </c>
    </row>
    <row r="481" spans="26:48" ht="15" customHeight="1" x14ac:dyDescent="0.2">
      <c r="Z481" s="243" t="str">
        <f>Shares!A481</f>
        <v/>
      </c>
      <c r="AA481" s="243" t="str">
        <f>Shares!B481</f>
        <v/>
      </c>
      <c r="AB481" s="243" t="str">
        <f>Shares!C481</f>
        <v/>
      </c>
      <c r="AC481" s="243" t="str">
        <f>Shares!D481</f>
        <v/>
      </c>
      <c r="AD481" s="243">
        <f>IF($Z481="",0,Shares!E481)</f>
        <v>0</v>
      </c>
      <c r="AE481" s="266">
        <f>IF($Z481="",0,Shares!J481*Shares!I481)</f>
        <v>0</v>
      </c>
      <c r="AF481" s="267">
        <f t="shared" si="45"/>
        <v>0</v>
      </c>
      <c r="AG481" s="266">
        <f>IF($Z481="",0,Shares!L481)</f>
        <v>0</v>
      </c>
      <c r="AH481" s="267">
        <f>IF($Z481="",0,Shares!M481)</f>
        <v>0</v>
      </c>
      <c r="AI481" s="243" t="str">
        <f>IF($Z481="","",RANK(AE481,$AE$2:$AE$1001)+COUNTIF($AE$2:AE481,AE481)-1)</f>
        <v/>
      </c>
      <c r="AJ481" s="243" t="str">
        <f>IF($AD481&lt;0,COUNT($AJ$1:AJ480)+1,"")</f>
        <v/>
      </c>
      <c r="AL481" s="243" t="str">
        <f>'All Ticker P&amp;L'!A481</f>
        <v/>
      </c>
      <c r="AM481" s="243" t="str">
        <f>'All Ticker P&amp;L'!B481</f>
        <v/>
      </c>
      <c r="AN481" s="243" t="str">
        <f>'All Ticker P&amp;L'!C481</f>
        <v/>
      </c>
      <c r="AO481" s="243" t="str">
        <f>'All Ticker P&amp;L'!D481</f>
        <v/>
      </c>
      <c r="AP481" s="243">
        <f>IF($AL481="",0,'All Ticker P&amp;L'!E481)</f>
        <v>0</v>
      </c>
      <c r="AQ481" s="266">
        <f>IF($AL481="",0,'All Ticker P&amp;L'!J481*'All Ticker P&amp;L'!I481)</f>
        <v>0</v>
      </c>
      <c r="AR481" s="266">
        <f>IF($AL481="",0,'All Ticker P&amp;L'!L481)</f>
        <v>0</v>
      </c>
      <c r="AS481" s="267">
        <f>IF($AL481="",0,'All Ticker P&amp;L'!M481)</f>
        <v>0</v>
      </c>
      <c r="AT481" s="243" t="str">
        <f>IF($AL481="","",RANK(AR481,$AR$2:$AR$1001)+COUNTIF($AR$2:AR481,AR481)-1)</f>
        <v/>
      </c>
      <c r="AU481" s="243" t="str">
        <f>IF($AL481="","",RANK(AV481,$AV$2:$AV$1001)+COUNTIF($AV$2:AV481,AV481)-1)</f>
        <v/>
      </c>
      <c r="AV481" s="266">
        <f t="shared" si="46"/>
        <v>0</v>
      </c>
    </row>
    <row r="482" spans="26:48" ht="15" customHeight="1" x14ac:dyDescent="0.2">
      <c r="Z482" s="243" t="str">
        <f>Shares!A482</f>
        <v/>
      </c>
      <c r="AA482" s="243" t="str">
        <f>Shares!B482</f>
        <v/>
      </c>
      <c r="AB482" s="243" t="str">
        <f>Shares!C482</f>
        <v/>
      </c>
      <c r="AC482" s="243" t="str">
        <f>Shares!D482</f>
        <v/>
      </c>
      <c r="AD482" s="243">
        <f>IF($Z482="",0,Shares!E482)</f>
        <v>0</v>
      </c>
      <c r="AE482" s="266">
        <f>IF($Z482="",0,Shares!J482*Shares!I482)</f>
        <v>0</v>
      </c>
      <c r="AF482" s="267">
        <f t="shared" si="45"/>
        <v>0</v>
      </c>
      <c r="AG482" s="266">
        <f>IF($Z482="",0,Shares!L482)</f>
        <v>0</v>
      </c>
      <c r="AH482" s="267">
        <f>IF($Z482="",0,Shares!M482)</f>
        <v>0</v>
      </c>
      <c r="AI482" s="243" t="str">
        <f>IF($Z482="","",RANK(AE482,$AE$2:$AE$1001)+COUNTIF($AE$2:AE482,AE482)-1)</f>
        <v/>
      </c>
      <c r="AJ482" s="243" t="str">
        <f>IF($AD482&lt;0,COUNT($AJ$1:AJ481)+1,"")</f>
        <v/>
      </c>
      <c r="AL482" s="243" t="str">
        <f>'All Ticker P&amp;L'!A482</f>
        <v/>
      </c>
      <c r="AM482" s="243" t="str">
        <f>'All Ticker P&amp;L'!B482</f>
        <v/>
      </c>
      <c r="AN482" s="243" t="str">
        <f>'All Ticker P&amp;L'!C482</f>
        <v/>
      </c>
      <c r="AO482" s="243" t="str">
        <f>'All Ticker P&amp;L'!D482</f>
        <v/>
      </c>
      <c r="AP482" s="243">
        <f>IF($AL482="",0,'All Ticker P&amp;L'!E482)</f>
        <v>0</v>
      </c>
      <c r="AQ482" s="266">
        <f>IF($AL482="",0,'All Ticker P&amp;L'!J482*'All Ticker P&amp;L'!I482)</f>
        <v>0</v>
      </c>
      <c r="AR482" s="266">
        <f>IF($AL482="",0,'All Ticker P&amp;L'!L482)</f>
        <v>0</v>
      </c>
      <c r="AS482" s="267">
        <f>IF($AL482="",0,'All Ticker P&amp;L'!M482)</f>
        <v>0</v>
      </c>
      <c r="AT482" s="243" t="str">
        <f>IF($AL482="","",RANK(AR482,$AR$2:$AR$1001)+COUNTIF($AR$2:AR482,AR482)-1)</f>
        <v/>
      </c>
      <c r="AU482" s="243" t="str">
        <f>IF($AL482="","",RANK(AV482,$AV$2:$AV$1001)+COUNTIF($AV$2:AV482,AV482)-1)</f>
        <v/>
      </c>
      <c r="AV482" s="266">
        <f t="shared" si="46"/>
        <v>0</v>
      </c>
    </row>
    <row r="483" spans="26:48" ht="15" customHeight="1" x14ac:dyDescent="0.2">
      <c r="Z483" s="243" t="str">
        <f>Shares!A483</f>
        <v/>
      </c>
      <c r="AA483" s="243" t="str">
        <f>Shares!B483</f>
        <v/>
      </c>
      <c r="AB483" s="243" t="str">
        <f>Shares!C483</f>
        <v/>
      </c>
      <c r="AC483" s="243" t="str">
        <f>Shares!D483</f>
        <v/>
      </c>
      <c r="AD483" s="243">
        <f>IF($Z483="",0,Shares!E483)</f>
        <v>0</v>
      </c>
      <c r="AE483" s="266">
        <f>IF($Z483="",0,Shares!J483*Shares!I483)</f>
        <v>0</v>
      </c>
      <c r="AF483" s="267">
        <f t="shared" si="45"/>
        <v>0</v>
      </c>
      <c r="AG483" s="266">
        <f>IF($Z483="",0,Shares!L483)</f>
        <v>0</v>
      </c>
      <c r="AH483" s="267">
        <f>IF($Z483="",0,Shares!M483)</f>
        <v>0</v>
      </c>
      <c r="AI483" s="243" t="str">
        <f>IF($Z483="","",RANK(AE483,$AE$2:$AE$1001)+COUNTIF($AE$2:AE483,AE483)-1)</f>
        <v/>
      </c>
      <c r="AJ483" s="243" t="str">
        <f>IF($AD483&lt;0,COUNT($AJ$1:AJ482)+1,"")</f>
        <v/>
      </c>
      <c r="AL483" s="243" t="str">
        <f>'All Ticker P&amp;L'!A483</f>
        <v/>
      </c>
      <c r="AM483" s="243" t="str">
        <f>'All Ticker P&amp;L'!B483</f>
        <v/>
      </c>
      <c r="AN483" s="243" t="str">
        <f>'All Ticker P&amp;L'!C483</f>
        <v/>
      </c>
      <c r="AO483" s="243" t="str">
        <f>'All Ticker P&amp;L'!D483</f>
        <v/>
      </c>
      <c r="AP483" s="243">
        <f>IF($AL483="",0,'All Ticker P&amp;L'!E483)</f>
        <v>0</v>
      </c>
      <c r="AQ483" s="266">
        <f>IF($AL483="",0,'All Ticker P&amp;L'!J483*'All Ticker P&amp;L'!I483)</f>
        <v>0</v>
      </c>
      <c r="AR483" s="266">
        <f>IF($AL483="",0,'All Ticker P&amp;L'!L483)</f>
        <v>0</v>
      </c>
      <c r="AS483" s="267">
        <f>IF($AL483="",0,'All Ticker P&amp;L'!M483)</f>
        <v>0</v>
      </c>
      <c r="AT483" s="243" t="str">
        <f>IF($AL483="","",RANK(AR483,$AR$2:$AR$1001)+COUNTIF($AR$2:AR483,AR483)-1)</f>
        <v/>
      </c>
      <c r="AU483" s="243" t="str">
        <f>IF($AL483="","",RANK(AV483,$AV$2:$AV$1001)+COUNTIF($AV$2:AV483,AV483)-1)</f>
        <v/>
      </c>
      <c r="AV483" s="266">
        <f t="shared" si="46"/>
        <v>0</v>
      </c>
    </row>
    <row r="484" spans="26:48" ht="15" customHeight="1" x14ac:dyDescent="0.2">
      <c r="Z484" s="243" t="str">
        <f>Shares!A484</f>
        <v/>
      </c>
      <c r="AA484" s="243" t="str">
        <f>Shares!B484</f>
        <v/>
      </c>
      <c r="AB484" s="243" t="str">
        <f>Shares!C484</f>
        <v/>
      </c>
      <c r="AC484" s="243" t="str">
        <f>Shares!D484</f>
        <v/>
      </c>
      <c r="AD484" s="243">
        <f>IF($Z484="",0,Shares!E484)</f>
        <v>0</v>
      </c>
      <c r="AE484" s="266">
        <f>IF($Z484="",0,Shares!J484*Shares!I484)</f>
        <v>0</v>
      </c>
      <c r="AF484" s="267">
        <f t="shared" si="45"/>
        <v>0</v>
      </c>
      <c r="AG484" s="266">
        <f>IF($Z484="",0,Shares!L484)</f>
        <v>0</v>
      </c>
      <c r="AH484" s="267">
        <f>IF($Z484="",0,Shares!M484)</f>
        <v>0</v>
      </c>
      <c r="AI484" s="243" t="str">
        <f>IF($Z484="","",RANK(AE484,$AE$2:$AE$1001)+COUNTIF($AE$2:AE484,AE484)-1)</f>
        <v/>
      </c>
      <c r="AJ484" s="243" t="str">
        <f>IF($AD484&lt;0,COUNT($AJ$1:AJ483)+1,"")</f>
        <v/>
      </c>
      <c r="AL484" s="243" t="str">
        <f>'All Ticker P&amp;L'!A484</f>
        <v/>
      </c>
      <c r="AM484" s="243" t="str">
        <f>'All Ticker P&amp;L'!B484</f>
        <v/>
      </c>
      <c r="AN484" s="243" t="str">
        <f>'All Ticker P&amp;L'!C484</f>
        <v/>
      </c>
      <c r="AO484" s="243" t="str">
        <f>'All Ticker P&amp;L'!D484</f>
        <v/>
      </c>
      <c r="AP484" s="243">
        <f>IF($AL484="",0,'All Ticker P&amp;L'!E484)</f>
        <v>0</v>
      </c>
      <c r="AQ484" s="266">
        <f>IF($AL484="",0,'All Ticker P&amp;L'!J484*'All Ticker P&amp;L'!I484)</f>
        <v>0</v>
      </c>
      <c r="AR484" s="266">
        <f>IF($AL484="",0,'All Ticker P&amp;L'!L484)</f>
        <v>0</v>
      </c>
      <c r="AS484" s="267">
        <f>IF($AL484="",0,'All Ticker P&amp;L'!M484)</f>
        <v>0</v>
      </c>
      <c r="AT484" s="243" t="str">
        <f>IF($AL484="","",RANK(AR484,$AR$2:$AR$1001)+COUNTIF($AR$2:AR484,AR484)-1)</f>
        <v/>
      </c>
      <c r="AU484" s="243" t="str">
        <f>IF($AL484="","",RANK(AV484,$AV$2:$AV$1001)+COUNTIF($AV$2:AV484,AV484)-1)</f>
        <v/>
      </c>
      <c r="AV484" s="266">
        <f t="shared" si="46"/>
        <v>0</v>
      </c>
    </row>
    <row r="485" spans="26:48" ht="15" customHeight="1" x14ac:dyDescent="0.2">
      <c r="Z485" s="243" t="str">
        <f>Shares!A485</f>
        <v/>
      </c>
      <c r="AA485" s="243" t="str">
        <f>Shares!B485</f>
        <v/>
      </c>
      <c r="AB485" s="243" t="str">
        <f>Shares!C485</f>
        <v/>
      </c>
      <c r="AC485" s="243" t="str">
        <f>Shares!D485</f>
        <v/>
      </c>
      <c r="AD485" s="243">
        <f>IF($Z485="",0,Shares!E485)</f>
        <v>0</v>
      </c>
      <c r="AE485" s="266">
        <f>IF($Z485="",0,Shares!J485*Shares!I485)</f>
        <v>0</v>
      </c>
      <c r="AF485" s="267">
        <f t="shared" si="45"/>
        <v>0</v>
      </c>
      <c r="AG485" s="266">
        <f>IF($Z485="",0,Shares!L485)</f>
        <v>0</v>
      </c>
      <c r="AH485" s="267">
        <f>IF($Z485="",0,Shares!M485)</f>
        <v>0</v>
      </c>
      <c r="AI485" s="243" t="str">
        <f>IF($Z485="","",RANK(AE485,$AE$2:$AE$1001)+COUNTIF($AE$2:AE485,AE485)-1)</f>
        <v/>
      </c>
      <c r="AJ485" s="243" t="str">
        <f>IF($AD485&lt;0,COUNT($AJ$1:AJ484)+1,"")</f>
        <v/>
      </c>
      <c r="AL485" s="243" t="str">
        <f>'All Ticker P&amp;L'!A485</f>
        <v/>
      </c>
      <c r="AM485" s="243" t="str">
        <f>'All Ticker P&amp;L'!B485</f>
        <v/>
      </c>
      <c r="AN485" s="243" t="str">
        <f>'All Ticker P&amp;L'!C485</f>
        <v/>
      </c>
      <c r="AO485" s="243" t="str">
        <f>'All Ticker P&amp;L'!D485</f>
        <v/>
      </c>
      <c r="AP485" s="243">
        <f>IF($AL485="",0,'All Ticker P&amp;L'!E485)</f>
        <v>0</v>
      </c>
      <c r="AQ485" s="266">
        <f>IF($AL485="",0,'All Ticker P&amp;L'!J485*'All Ticker P&amp;L'!I485)</f>
        <v>0</v>
      </c>
      <c r="AR485" s="266">
        <f>IF($AL485="",0,'All Ticker P&amp;L'!L485)</f>
        <v>0</v>
      </c>
      <c r="AS485" s="267">
        <f>IF($AL485="",0,'All Ticker P&amp;L'!M485)</f>
        <v>0</v>
      </c>
      <c r="AT485" s="243" t="str">
        <f>IF($AL485="","",RANK(AR485,$AR$2:$AR$1001)+COUNTIF($AR$2:AR485,AR485)-1)</f>
        <v/>
      </c>
      <c r="AU485" s="243" t="str">
        <f>IF($AL485="","",RANK(AV485,$AV$2:$AV$1001)+COUNTIF($AV$2:AV485,AV485)-1)</f>
        <v/>
      </c>
      <c r="AV485" s="266">
        <f t="shared" si="46"/>
        <v>0</v>
      </c>
    </row>
    <row r="486" spans="26:48" ht="15" customHeight="1" x14ac:dyDescent="0.2">
      <c r="Z486" s="243" t="str">
        <f>Shares!A486</f>
        <v/>
      </c>
      <c r="AA486" s="243" t="str">
        <f>Shares!B486</f>
        <v/>
      </c>
      <c r="AB486" s="243" t="str">
        <f>Shares!C486</f>
        <v/>
      </c>
      <c r="AC486" s="243" t="str">
        <f>Shares!D486</f>
        <v/>
      </c>
      <c r="AD486" s="243">
        <f>IF($Z486="",0,Shares!E486)</f>
        <v>0</v>
      </c>
      <c r="AE486" s="266">
        <f>IF($Z486="",0,Shares!J486*Shares!I486)</f>
        <v>0</v>
      </c>
      <c r="AF486" s="267">
        <f t="shared" si="45"/>
        <v>0</v>
      </c>
      <c r="AG486" s="266">
        <f>IF($Z486="",0,Shares!L486)</f>
        <v>0</v>
      </c>
      <c r="AH486" s="267">
        <f>IF($Z486="",0,Shares!M486)</f>
        <v>0</v>
      </c>
      <c r="AI486" s="243" t="str">
        <f>IF($Z486="","",RANK(AE486,$AE$2:$AE$1001)+COUNTIF($AE$2:AE486,AE486)-1)</f>
        <v/>
      </c>
      <c r="AJ486" s="243" t="str">
        <f>IF($AD486&lt;0,COUNT($AJ$1:AJ485)+1,"")</f>
        <v/>
      </c>
      <c r="AL486" s="243" t="str">
        <f>'All Ticker P&amp;L'!A486</f>
        <v/>
      </c>
      <c r="AM486" s="243" t="str">
        <f>'All Ticker P&amp;L'!B486</f>
        <v/>
      </c>
      <c r="AN486" s="243" t="str">
        <f>'All Ticker P&amp;L'!C486</f>
        <v/>
      </c>
      <c r="AO486" s="243" t="str">
        <f>'All Ticker P&amp;L'!D486</f>
        <v/>
      </c>
      <c r="AP486" s="243">
        <f>IF($AL486="",0,'All Ticker P&amp;L'!E486)</f>
        <v>0</v>
      </c>
      <c r="AQ486" s="266">
        <f>IF($AL486="",0,'All Ticker P&amp;L'!J486*'All Ticker P&amp;L'!I486)</f>
        <v>0</v>
      </c>
      <c r="AR486" s="266">
        <f>IF($AL486="",0,'All Ticker P&amp;L'!L486)</f>
        <v>0</v>
      </c>
      <c r="AS486" s="267">
        <f>IF($AL486="",0,'All Ticker P&amp;L'!M486)</f>
        <v>0</v>
      </c>
      <c r="AT486" s="243" t="str">
        <f>IF($AL486="","",RANK(AR486,$AR$2:$AR$1001)+COUNTIF($AR$2:AR486,AR486)-1)</f>
        <v/>
      </c>
      <c r="AU486" s="243" t="str">
        <f>IF($AL486="","",RANK(AV486,$AV$2:$AV$1001)+COUNTIF($AV$2:AV486,AV486)-1)</f>
        <v/>
      </c>
      <c r="AV486" s="266">
        <f t="shared" si="46"/>
        <v>0</v>
      </c>
    </row>
    <row r="487" spans="26:48" ht="15" customHeight="1" x14ac:dyDescent="0.2">
      <c r="Z487" s="243" t="str">
        <f>Shares!A487</f>
        <v/>
      </c>
      <c r="AA487" s="243" t="str">
        <f>Shares!B487</f>
        <v/>
      </c>
      <c r="AB487" s="243" t="str">
        <f>Shares!C487</f>
        <v/>
      </c>
      <c r="AC487" s="243" t="str">
        <f>Shares!D487</f>
        <v/>
      </c>
      <c r="AD487" s="243">
        <f>IF($Z487="",0,Shares!E487)</f>
        <v>0</v>
      </c>
      <c r="AE487" s="266">
        <f>IF($Z487="",0,Shares!J487*Shares!I487)</f>
        <v>0</v>
      </c>
      <c r="AF487" s="267">
        <f t="shared" si="45"/>
        <v>0</v>
      </c>
      <c r="AG487" s="266">
        <f>IF($Z487="",0,Shares!L487)</f>
        <v>0</v>
      </c>
      <c r="AH487" s="267">
        <f>IF($Z487="",0,Shares!M487)</f>
        <v>0</v>
      </c>
      <c r="AI487" s="243" t="str">
        <f>IF($Z487="","",RANK(AE487,$AE$2:$AE$1001)+COUNTIF($AE$2:AE487,AE487)-1)</f>
        <v/>
      </c>
      <c r="AJ487" s="243" t="str">
        <f>IF($AD487&lt;0,COUNT($AJ$1:AJ486)+1,"")</f>
        <v/>
      </c>
      <c r="AL487" s="243" t="str">
        <f>'All Ticker P&amp;L'!A487</f>
        <v/>
      </c>
      <c r="AM487" s="243" t="str">
        <f>'All Ticker P&amp;L'!B487</f>
        <v/>
      </c>
      <c r="AN487" s="243" t="str">
        <f>'All Ticker P&amp;L'!C487</f>
        <v/>
      </c>
      <c r="AO487" s="243" t="str">
        <f>'All Ticker P&amp;L'!D487</f>
        <v/>
      </c>
      <c r="AP487" s="243">
        <f>IF($AL487="",0,'All Ticker P&amp;L'!E487)</f>
        <v>0</v>
      </c>
      <c r="AQ487" s="266">
        <f>IF($AL487="",0,'All Ticker P&amp;L'!J487*'All Ticker P&amp;L'!I487)</f>
        <v>0</v>
      </c>
      <c r="AR487" s="266">
        <f>IF($AL487="",0,'All Ticker P&amp;L'!L487)</f>
        <v>0</v>
      </c>
      <c r="AS487" s="267">
        <f>IF($AL487="",0,'All Ticker P&amp;L'!M487)</f>
        <v>0</v>
      </c>
      <c r="AT487" s="243" t="str">
        <f>IF($AL487="","",RANK(AR487,$AR$2:$AR$1001)+COUNTIF($AR$2:AR487,AR487)-1)</f>
        <v/>
      </c>
      <c r="AU487" s="243" t="str">
        <f>IF($AL487="","",RANK(AV487,$AV$2:$AV$1001)+COUNTIF($AV$2:AV487,AV487)-1)</f>
        <v/>
      </c>
      <c r="AV487" s="266">
        <f t="shared" si="46"/>
        <v>0</v>
      </c>
    </row>
    <row r="488" spans="26:48" ht="15" customHeight="1" x14ac:dyDescent="0.2">
      <c r="Z488" s="243" t="str">
        <f>Shares!A488</f>
        <v/>
      </c>
      <c r="AA488" s="243" t="str">
        <f>Shares!B488</f>
        <v/>
      </c>
      <c r="AB488" s="243" t="str">
        <f>Shares!C488</f>
        <v/>
      </c>
      <c r="AC488" s="243" t="str">
        <f>Shares!D488</f>
        <v/>
      </c>
      <c r="AD488" s="243">
        <f>IF($Z488="",0,Shares!E488)</f>
        <v>0</v>
      </c>
      <c r="AE488" s="266">
        <f>IF($Z488="",0,Shares!J488*Shares!I488)</f>
        <v>0</v>
      </c>
      <c r="AF488" s="267">
        <f t="shared" si="45"/>
        <v>0</v>
      </c>
      <c r="AG488" s="266">
        <f>IF($Z488="",0,Shares!L488)</f>
        <v>0</v>
      </c>
      <c r="AH488" s="267">
        <f>IF($Z488="",0,Shares!M488)</f>
        <v>0</v>
      </c>
      <c r="AI488" s="243" t="str">
        <f>IF($Z488="","",RANK(AE488,$AE$2:$AE$1001)+COUNTIF($AE$2:AE488,AE488)-1)</f>
        <v/>
      </c>
      <c r="AJ488" s="243" t="str">
        <f>IF($AD488&lt;0,COUNT($AJ$1:AJ487)+1,"")</f>
        <v/>
      </c>
      <c r="AL488" s="243" t="str">
        <f>'All Ticker P&amp;L'!A488</f>
        <v/>
      </c>
      <c r="AM488" s="243" t="str">
        <f>'All Ticker P&amp;L'!B488</f>
        <v/>
      </c>
      <c r="AN488" s="243" t="str">
        <f>'All Ticker P&amp;L'!C488</f>
        <v/>
      </c>
      <c r="AO488" s="243" t="str">
        <f>'All Ticker P&amp;L'!D488</f>
        <v/>
      </c>
      <c r="AP488" s="243">
        <f>IF($AL488="",0,'All Ticker P&amp;L'!E488)</f>
        <v>0</v>
      </c>
      <c r="AQ488" s="266">
        <f>IF($AL488="",0,'All Ticker P&amp;L'!J488*'All Ticker P&amp;L'!I488)</f>
        <v>0</v>
      </c>
      <c r="AR488" s="266">
        <f>IF($AL488="",0,'All Ticker P&amp;L'!L488)</f>
        <v>0</v>
      </c>
      <c r="AS488" s="267">
        <f>IF($AL488="",0,'All Ticker P&amp;L'!M488)</f>
        <v>0</v>
      </c>
      <c r="AT488" s="243" t="str">
        <f>IF($AL488="","",RANK(AR488,$AR$2:$AR$1001)+COUNTIF($AR$2:AR488,AR488)-1)</f>
        <v/>
      </c>
      <c r="AU488" s="243" t="str">
        <f>IF($AL488="","",RANK(AV488,$AV$2:$AV$1001)+COUNTIF($AV$2:AV488,AV488)-1)</f>
        <v/>
      </c>
      <c r="AV488" s="266">
        <f t="shared" si="46"/>
        <v>0</v>
      </c>
    </row>
    <row r="489" spans="26:48" ht="15" customHeight="1" x14ac:dyDescent="0.2">
      <c r="Z489" s="243" t="str">
        <f>Shares!A489</f>
        <v/>
      </c>
      <c r="AA489" s="243" t="str">
        <f>Shares!B489</f>
        <v/>
      </c>
      <c r="AB489" s="243" t="str">
        <f>Shares!C489</f>
        <v/>
      </c>
      <c r="AC489" s="243" t="str">
        <f>Shares!D489</f>
        <v/>
      </c>
      <c r="AD489" s="243">
        <f>IF($Z489="",0,Shares!E489)</f>
        <v>0</v>
      </c>
      <c r="AE489" s="266">
        <f>IF($Z489="",0,Shares!J489*Shares!I489)</f>
        <v>0</v>
      </c>
      <c r="AF489" s="267">
        <f t="shared" si="45"/>
        <v>0</v>
      </c>
      <c r="AG489" s="266">
        <f>IF($Z489="",0,Shares!L489)</f>
        <v>0</v>
      </c>
      <c r="AH489" s="267">
        <f>IF($Z489="",0,Shares!M489)</f>
        <v>0</v>
      </c>
      <c r="AI489" s="243" t="str">
        <f>IF($Z489="","",RANK(AE489,$AE$2:$AE$1001)+COUNTIF($AE$2:AE489,AE489)-1)</f>
        <v/>
      </c>
      <c r="AJ489" s="243" t="str">
        <f>IF($AD489&lt;0,COUNT($AJ$1:AJ488)+1,"")</f>
        <v/>
      </c>
      <c r="AL489" s="243" t="str">
        <f>'All Ticker P&amp;L'!A489</f>
        <v/>
      </c>
      <c r="AM489" s="243" t="str">
        <f>'All Ticker P&amp;L'!B489</f>
        <v/>
      </c>
      <c r="AN489" s="243" t="str">
        <f>'All Ticker P&amp;L'!C489</f>
        <v/>
      </c>
      <c r="AO489" s="243" t="str">
        <f>'All Ticker P&amp;L'!D489</f>
        <v/>
      </c>
      <c r="AP489" s="243">
        <f>IF($AL489="",0,'All Ticker P&amp;L'!E489)</f>
        <v>0</v>
      </c>
      <c r="AQ489" s="266">
        <f>IF($AL489="",0,'All Ticker P&amp;L'!J489*'All Ticker P&amp;L'!I489)</f>
        <v>0</v>
      </c>
      <c r="AR489" s="266">
        <f>IF($AL489="",0,'All Ticker P&amp;L'!L489)</f>
        <v>0</v>
      </c>
      <c r="AS489" s="267">
        <f>IF($AL489="",0,'All Ticker P&amp;L'!M489)</f>
        <v>0</v>
      </c>
      <c r="AT489" s="243" t="str">
        <f>IF($AL489="","",RANK(AR489,$AR$2:$AR$1001)+COUNTIF($AR$2:AR489,AR489)-1)</f>
        <v/>
      </c>
      <c r="AU489" s="243" t="str">
        <f>IF($AL489="","",RANK(AV489,$AV$2:$AV$1001)+COUNTIF($AV$2:AV489,AV489)-1)</f>
        <v/>
      </c>
      <c r="AV489" s="266">
        <f t="shared" si="46"/>
        <v>0</v>
      </c>
    </row>
    <row r="490" spans="26:48" ht="15" customHeight="1" x14ac:dyDescent="0.2">
      <c r="Z490" s="243" t="str">
        <f>Shares!A490</f>
        <v/>
      </c>
      <c r="AA490" s="243" t="str">
        <f>Shares!B490</f>
        <v/>
      </c>
      <c r="AB490" s="243" t="str">
        <f>Shares!C490</f>
        <v/>
      </c>
      <c r="AC490" s="243" t="str">
        <f>Shares!D490</f>
        <v/>
      </c>
      <c r="AD490" s="243">
        <f>IF($Z490="",0,Shares!E490)</f>
        <v>0</v>
      </c>
      <c r="AE490" s="266">
        <f>IF($Z490="",0,Shares!J490*Shares!I490)</f>
        <v>0</v>
      </c>
      <c r="AF490" s="267">
        <f t="shared" si="45"/>
        <v>0</v>
      </c>
      <c r="AG490" s="266">
        <f>IF($Z490="",0,Shares!L490)</f>
        <v>0</v>
      </c>
      <c r="AH490" s="267">
        <f>IF($Z490="",0,Shares!M490)</f>
        <v>0</v>
      </c>
      <c r="AI490" s="243" t="str">
        <f>IF($Z490="","",RANK(AE490,$AE$2:$AE$1001)+COUNTIF($AE$2:AE490,AE490)-1)</f>
        <v/>
      </c>
      <c r="AJ490" s="243" t="str">
        <f>IF($AD490&lt;0,COUNT($AJ$1:AJ489)+1,"")</f>
        <v/>
      </c>
      <c r="AL490" s="243" t="str">
        <f>'All Ticker P&amp;L'!A490</f>
        <v/>
      </c>
      <c r="AM490" s="243" t="str">
        <f>'All Ticker P&amp;L'!B490</f>
        <v/>
      </c>
      <c r="AN490" s="243" t="str">
        <f>'All Ticker P&amp;L'!C490</f>
        <v/>
      </c>
      <c r="AO490" s="243" t="str">
        <f>'All Ticker P&amp;L'!D490</f>
        <v/>
      </c>
      <c r="AP490" s="243">
        <f>IF($AL490="",0,'All Ticker P&amp;L'!E490)</f>
        <v>0</v>
      </c>
      <c r="AQ490" s="266">
        <f>IF($AL490="",0,'All Ticker P&amp;L'!J490*'All Ticker P&amp;L'!I490)</f>
        <v>0</v>
      </c>
      <c r="AR490" s="266">
        <f>IF($AL490="",0,'All Ticker P&amp;L'!L490)</f>
        <v>0</v>
      </c>
      <c r="AS490" s="267">
        <f>IF($AL490="",0,'All Ticker P&amp;L'!M490)</f>
        <v>0</v>
      </c>
      <c r="AT490" s="243" t="str">
        <f>IF($AL490="","",RANK(AR490,$AR$2:$AR$1001)+COUNTIF($AR$2:AR490,AR490)-1)</f>
        <v/>
      </c>
      <c r="AU490" s="243" t="str">
        <f>IF($AL490="","",RANK(AV490,$AV$2:$AV$1001)+COUNTIF($AV$2:AV490,AV490)-1)</f>
        <v/>
      </c>
      <c r="AV490" s="266">
        <f t="shared" si="46"/>
        <v>0</v>
      </c>
    </row>
    <row r="491" spans="26:48" ht="15" customHeight="1" x14ac:dyDescent="0.2">
      <c r="Z491" s="243" t="str">
        <f>Shares!A491</f>
        <v/>
      </c>
      <c r="AA491" s="243" t="str">
        <f>Shares!B491</f>
        <v/>
      </c>
      <c r="AB491" s="243" t="str">
        <f>Shares!C491</f>
        <v/>
      </c>
      <c r="AC491" s="243" t="str">
        <f>Shares!D491</f>
        <v/>
      </c>
      <c r="AD491" s="243">
        <f>IF($Z491="",0,Shares!E491)</f>
        <v>0</v>
      </c>
      <c r="AE491" s="266">
        <f>IF($Z491="",0,Shares!J491*Shares!I491)</f>
        <v>0</v>
      </c>
      <c r="AF491" s="267">
        <f t="shared" si="45"/>
        <v>0</v>
      </c>
      <c r="AG491" s="266">
        <f>IF($Z491="",0,Shares!L491)</f>
        <v>0</v>
      </c>
      <c r="AH491" s="267">
        <f>IF($Z491="",0,Shares!M491)</f>
        <v>0</v>
      </c>
      <c r="AI491" s="243" t="str">
        <f>IF($Z491="","",RANK(AE491,$AE$2:$AE$1001)+COUNTIF($AE$2:AE491,AE491)-1)</f>
        <v/>
      </c>
      <c r="AJ491" s="243" t="str">
        <f>IF($AD491&lt;0,COUNT($AJ$1:AJ490)+1,"")</f>
        <v/>
      </c>
      <c r="AL491" s="243" t="str">
        <f>'All Ticker P&amp;L'!A491</f>
        <v/>
      </c>
      <c r="AM491" s="243" t="str">
        <f>'All Ticker P&amp;L'!B491</f>
        <v/>
      </c>
      <c r="AN491" s="243" t="str">
        <f>'All Ticker P&amp;L'!C491</f>
        <v/>
      </c>
      <c r="AO491" s="243" t="str">
        <f>'All Ticker P&amp;L'!D491</f>
        <v/>
      </c>
      <c r="AP491" s="243">
        <f>IF($AL491="",0,'All Ticker P&amp;L'!E491)</f>
        <v>0</v>
      </c>
      <c r="AQ491" s="266">
        <f>IF($AL491="",0,'All Ticker P&amp;L'!J491*'All Ticker P&amp;L'!I491)</f>
        <v>0</v>
      </c>
      <c r="AR491" s="266">
        <f>IF($AL491="",0,'All Ticker P&amp;L'!L491)</f>
        <v>0</v>
      </c>
      <c r="AS491" s="267">
        <f>IF($AL491="",0,'All Ticker P&amp;L'!M491)</f>
        <v>0</v>
      </c>
      <c r="AT491" s="243" t="str">
        <f>IF($AL491="","",RANK(AR491,$AR$2:$AR$1001)+COUNTIF($AR$2:AR491,AR491)-1)</f>
        <v/>
      </c>
      <c r="AU491" s="243" t="str">
        <f>IF($AL491="","",RANK(AV491,$AV$2:$AV$1001)+COUNTIF($AV$2:AV491,AV491)-1)</f>
        <v/>
      </c>
      <c r="AV491" s="266">
        <f t="shared" si="46"/>
        <v>0</v>
      </c>
    </row>
    <row r="492" spans="26:48" ht="15" customHeight="1" x14ac:dyDescent="0.2">
      <c r="Z492" s="243" t="str">
        <f>Shares!A492</f>
        <v/>
      </c>
      <c r="AA492" s="243" t="str">
        <f>Shares!B492</f>
        <v/>
      </c>
      <c r="AB492" s="243" t="str">
        <f>Shares!C492</f>
        <v/>
      </c>
      <c r="AC492" s="243" t="str">
        <f>Shares!D492</f>
        <v/>
      </c>
      <c r="AD492" s="243">
        <f>IF($Z492="",0,Shares!E492)</f>
        <v>0</v>
      </c>
      <c r="AE492" s="266">
        <f>IF($Z492="",0,Shares!J492*Shares!I492)</f>
        <v>0</v>
      </c>
      <c r="AF492" s="267">
        <f t="shared" si="45"/>
        <v>0</v>
      </c>
      <c r="AG492" s="266">
        <f>IF($Z492="",0,Shares!L492)</f>
        <v>0</v>
      </c>
      <c r="AH492" s="267">
        <f>IF($Z492="",0,Shares!M492)</f>
        <v>0</v>
      </c>
      <c r="AI492" s="243" t="str">
        <f>IF($Z492="","",RANK(AE492,$AE$2:$AE$1001)+COUNTIF($AE$2:AE492,AE492)-1)</f>
        <v/>
      </c>
      <c r="AJ492" s="243" t="str">
        <f>IF($AD492&lt;0,COUNT($AJ$1:AJ491)+1,"")</f>
        <v/>
      </c>
      <c r="AL492" s="243" t="str">
        <f>'All Ticker P&amp;L'!A492</f>
        <v/>
      </c>
      <c r="AM492" s="243" t="str">
        <f>'All Ticker P&amp;L'!B492</f>
        <v/>
      </c>
      <c r="AN492" s="243" t="str">
        <f>'All Ticker P&amp;L'!C492</f>
        <v/>
      </c>
      <c r="AO492" s="243" t="str">
        <f>'All Ticker P&amp;L'!D492</f>
        <v/>
      </c>
      <c r="AP492" s="243">
        <f>IF($AL492="",0,'All Ticker P&amp;L'!E492)</f>
        <v>0</v>
      </c>
      <c r="AQ492" s="266">
        <f>IF($AL492="",0,'All Ticker P&amp;L'!J492*'All Ticker P&amp;L'!I492)</f>
        <v>0</v>
      </c>
      <c r="AR492" s="266">
        <f>IF($AL492="",0,'All Ticker P&amp;L'!L492)</f>
        <v>0</v>
      </c>
      <c r="AS492" s="267">
        <f>IF($AL492="",0,'All Ticker P&amp;L'!M492)</f>
        <v>0</v>
      </c>
      <c r="AT492" s="243" t="str">
        <f>IF($AL492="","",RANK(AR492,$AR$2:$AR$1001)+COUNTIF($AR$2:AR492,AR492)-1)</f>
        <v/>
      </c>
      <c r="AU492" s="243" t="str">
        <f>IF($AL492="","",RANK(AV492,$AV$2:$AV$1001)+COUNTIF($AV$2:AV492,AV492)-1)</f>
        <v/>
      </c>
      <c r="AV492" s="266">
        <f t="shared" si="46"/>
        <v>0</v>
      </c>
    </row>
    <row r="493" spans="26:48" ht="15" customHeight="1" x14ac:dyDescent="0.2">
      <c r="Z493" s="243" t="str">
        <f>Shares!A493</f>
        <v/>
      </c>
      <c r="AA493" s="243" t="str">
        <f>Shares!B493</f>
        <v/>
      </c>
      <c r="AB493" s="243" t="str">
        <f>Shares!C493</f>
        <v/>
      </c>
      <c r="AC493" s="243" t="str">
        <f>Shares!D493</f>
        <v/>
      </c>
      <c r="AD493" s="243">
        <f>IF($Z493="",0,Shares!E493)</f>
        <v>0</v>
      </c>
      <c r="AE493" s="266">
        <f>IF($Z493="",0,Shares!J493*Shares!I493)</f>
        <v>0</v>
      </c>
      <c r="AF493" s="267">
        <f t="shared" si="45"/>
        <v>0</v>
      </c>
      <c r="AG493" s="266">
        <f>IF($Z493="",0,Shares!L493)</f>
        <v>0</v>
      </c>
      <c r="AH493" s="267">
        <f>IF($Z493="",0,Shares!M493)</f>
        <v>0</v>
      </c>
      <c r="AI493" s="243" t="str">
        <f>IF($Z493="","",RANK(AE493,$AE$2:$AE$1001)+COUNTIF($AE$2:AE493,AE493)-1)</f>
        <v/>
      </c>
      <c r="AJ493" s="243" t="str">
        <f>IF($AD493&lt;0,COUNT($AJ$1:AJ492)+1,"")</f>
        <v/>
      </c>
      <c r="AL493" s="243" t="str">
        <f>'All Ticker P&amp;L'!A493</f>
        <v/>
      </c>
      <c r="AM493" s="243" t="str">
        <f>'All Ticker P&amp;L'!B493</f>
        <v/>
      </c>
      <c r="AN493" s="243" t="str">
        <f>'All Ticker P&amp;L'!C493</f>
        <v/>
      </c>
      <c r="AO493" s="243" t="str">
        <f>'All Ticker P&amp;L'!D493</f>
        <v/>
      </c>
      <c r="AP493" s="243">
        <f>IF($AL493="",0,'All Ticker P&amp;L'!E493)</f>
        <v>0</v>
      </c>
      <c r="AQ493" s="266">
        <f>IF($AL493="",0,'All Ticker P&amp;L'!J493*'All Ticker P&amp;L'!I493)</f>
        <v>0</v>
      </c>
      <c r="AR493" s="266">
        <f>IF($AL493="",0,'All Ticker P&amp;L'!L493)</f>
        <v>0</v>
      </c>
      <c r="AS493" s="267">
        <f>IF($AL493="",0,'All Ticker P&amp;L'!M493)</f>
        <v>0</v>
      </c>
      <c r="AT493" s="243" t="str">
        <f>IF($AL493="","",RANK(AR493,$AR$2:$AR$1001)+COUNTIF($AR$2:AR493,AR493)-1)</f>
        <v/>
      </c>
      <c r="AU493" s="243" t="str">
        <f>IF($AL493="","",RANK(AV493,$AV$2:$AV$1001)+COUNTIF($AV$2:AV493,AV493)-1)</f>
        <v/>
      </c>
      <c r="AV493" s="266">
        <f t="shared" si="46"/>
        <v>0</v>
      </c>
    </row>
    <row r="494" spans="26:48" ht="15" customHeight="1" x14ac:dyDescent="0.2">
      <c r="Z494" s="243" t="str">
        <f>Shares!A494</f>
        <v/>
      </c>
      <c r="AA494" s="243" t="str">
        <f>Shares!B494</f>
        <v/>
      </c>
      <c r="AB494" s="243" t="str">
        <f>Shares!C494</f>
        <v/>
      </c>
      <c r="AC494" s="243" t="str">
        <f>Shares!D494</f>
        <v/>
      </c>
      <c r="AD494" s="243">
        <f>IF($Z494="",0,Shares!E494)</f>
        <v>0</v>
      </c>
      <c r="AE494" s="266">
        <f>IF($Z494="",0,Shares!J494*Shares!I494)</f>
        <v>0</v>
      </c>
      <c r="AF494" s="267">
        <f t="shared" si="45"/>
        <v>0</v>
      </c>
      <c r="AG494" s="266">
        <f>IF($Z494="",0,Shares!L494)</f>
        <v>0</v>
      </c>
      <c r="AH494" s="267">
        <f>IF($Z494="",0,Shares!M494)</f>
        <v>0</v>
      </c>
      <c r="AI494" s="243" t="str">
        <f>IF($Z494="","",RANK(AE494,$AE$2:$AE$1001)+COUNTIF($AE$2:AE494,AE494)-1)</f>
        <v/>
      </c>
      <c r="AJ494" s="243" t="str">
        <f>IF($AD494&lt;0,COUNT($AJ$1:AJ493)+1,"")</f>
        <v/>
      </c>
      <c r="AL494" s="243" t="str">
        <f>'All Ticker P&amp;L'!A494</f>
        <v/>
      </c>
      <c r="AM494" s="243" t="str">
        <f>'All Ticker P&amp;L'!B494</f>
        <v/>
      </c>
      <c r="AN494" s="243" t="str">
        <f>'All Ticker P&amp;L'!C494</f>
        <v/>
      </c>
      <c r="AO494" s="243" t="str">
        <f>'All Ticker P&amp;L'!D494</f>
        <v/>
      </c>
      <c r="AP494" s="243">
        <f>IF($AL494="",0,'All Ticker P&amp;L'!E494)</f>
        <v>0</v>
      </c>
      <c r="AQ494" s="266">
        <f>IF($AL494="",0,'All Ticker P&amp;L'!J494*'All Ticker P&amp;L'!I494)</f>
        <v>0</v>
      </c>
      <c r="AR494" s="266">
        <f>IF($AL494="",0,'All Ticker P&amp;L'!L494)</f>
        <v>0</v>
      </c>
      <c r="AS494" s="267">
        <f>IF($AL494="",0,'All Ticker P&amp;L'!M494)</f>
        <v>0</v>
      </c>
      <c r="AT494" s="243" t="str">
        <f>IF($AL494="","",RANK(AR494,$AR$2:$AR$1001)+COUNTIF($AR$2:AR494,AR494)-1)</f>
        <v/>
      </c>
      <c r="AU494" s="243" t="str">
        <f>IF($AL494="","",RANK(AV494,$AV$2:$AV$1001)+COUNTIF($AV$2:AV494,AV494)-1)</f>
        <v/>
      </c>
      <c r="AV494" s="266">
        <f t="shared" si="46"/>
        <v>0</v>
      </c>
    </row>
    <row r="495" spans="26:48" ht="15" customHeight="1" x14ac:dyDescent="0.2">
      <c r="Z495" s="243" t="str">
        <f>Shares!A495</f>
        <v/>
      </c>
      <c r="AA495" s="243" t="str">
        <f>Shares!B495</f>
        <v/>
      </c>
      <c r="AB495" s="243" t="str">
        <f>Shares!C495</f>
        <v/>
      </c>
      <c r="AC495" s="243" t="str">
        <f>Shares!D495</f>
        <v/>
      </c>
      <c r="AD495" s="243">
        <f>IF($Z495="",0,Shares!E495)</f>
        <v>0</v>
      </c>
      <c r="AE495" s="266">
        <f>IF($Z495="",0,Shares!J495*Shares!I495)</f>
        <v>0</v>
      </c>
      <c r="AF495" s="267">
        <f t="shared" si="45"/>
        <v>0</v>
      </c>
      <c r="AG495" s="266">
        <f>IF($Z495="",0,Shares!L495)</f>
        <v>0</v>
      </c>
      <c r="AH495" s="267">
        <f>IF($Z495="",0,Shares!M495)</f>
        <v>0</v>
      </c>
      <c r="AI495" s="243" t="str">
        <f>IF($Z495="","",RANK(AE495,$AE$2:$AE$1001)+COUNTIF($AE$2:AE495,AE495)-1)</f>
        <v/>
      </c>
      <c r="AJ495" s="243" t="str">
        <f>IF($AD495&lt;0,COUNT($AJ$1:AJ494)+1,"")</f>
        <v/>
      </c>
      <c r="AL495" s="243" t="str">
        <f>'All Ticker P&amp;L'!A495</f>
        <v/>
      </c>
      <c r="AM495" s="243" t="str">
        <f>'All Ticker P&amp;L'!B495</f>
        <v/>
      </c>
      <c r="AN495" s="243" t="str">
        <f>'All Ticker P&amp;L'!C495</f>
        <v/>
      </c>
      <c r="AO495" s="243" t="str">
        <f>'All Ticker P&amp;L'!D495</f>
        <v/>
      </c>
      <c r="AP495" s="243">
        <f>IF($AL495="",0,'All Ticker P&amp;L'!E495)</f>
        <v>0</v>
      </c>
      <c r="AQ495" s="266">
        <f>IF($AL495="",0,'All Ticker P&amp;L'!J495*'All Ticker P&amp;L'!I495)</f>
        <v>0</v>
      </c>
      <c r="AR495" s="266">
        <f>IF($AL495="",0,'All Ticker P&amp;L'!L495)</f>
        <v>0</v>
      </c>
      <c r="AS495" s="267">
        <f>IF($AL495="",0,'All Ticker P&amp;L'!M495)</f>
        <v>0</v>
      </c>
      <c r="AT495" s="243" t="str">
        <f>IF($AL495="","",RANK(AR495,$AR$2:$AR$1001)+COUNTIF($AR$2:AR495,AR495)-1)</f>
        <v/>
      </c>
      <c r="AU495" s="243" t="str">
        <f>IF($AL495="","",RANK(AV495,$AV$2:$AV$1001)+COUNTIF($AV$2:AV495,AV495)-1)</f>
        <v/>
      </c>
      <c r="AV495" s="266">
        <f t="shared" si="46"/>
        <v>0</v>
      </c>
    </row>
    <row r="496" spans="26:48" ht="15" customHeight="1" x14ac:dyDescent="0.2">
      <c r="Z496" s="243" t="str">
        <f>Shares!A496</f>
        <v/>
      </c>
      <c r="AA496" s="243" t="str">
        <f>Shares!B496</f>
        <v/>
      </c>
      <c r="AB496" s="243" t="str">
        <f>Shares!C496</f>
        <v/>
      </c>
      <c r="AC496" s="243" t="str">
        <f>Shares!D496</f>
        <v/>
      </c>
      <c r="AD496" s="243">
        <f>IF($Z496="",0,Shares!E496)</f>
        <v>0</v>
      </c>
      <c r="AE496" s="266">
        <f>IF($Z496="",0,Shares!J496*Shares!I496)</f>
        <v>0</v>
      </c>
      <c r="AF496" s="267">
        <f t="shared" si="45"/>
        <v>0</v>
      </c>
      <c r="AG496" s="266">
        <f>IF($Z496="",0,Shares!L496)</f>
        <v>0</v>
      </c>
      <c r="AH496" s="267">
        <f>IF($Z496="",0,Shares!M496)</f>
        <v>0</v>
      </c>
      <c r="AI496" s="243" t="str">
        <f>IF($Z496="","",RANK(AE496,$AE$2:$AE$1001)+COUNTIF($AE$2:AE496,AE496)-1)</f>
        <v/>
      </c>
      <c r="AJ496" s="243" t="str">
        <f>IF($AD496&lt;0,COUNT($AJ$1:AJ495)+1,"")</f>
        <v/>
      </c>
      <c r="AL496" s="243" t="str">
        <f>'All Ticker P&amp;L'!A496</f>
        <v/>
      </c>
      <c r="AM496" s="243" t="str">
        <f>'All Ticker P&amp;L'!B496</f>
        <v/>
      </c>
      <c r="AN496" s="243" t="str">
        <f>'All Ticker P&amp;L'!C496</f>
        <v/>
      </c>
      <c r="AO496" s="243" t="str">
        <f>'All Ticker P&amp;L'!D496</f>
        <v/>
      </c>
      <c r="AP496" s="243">
        <f>IF($AL496="",0,'All Ticker P&amp;L'!E496)</f>
        <v>0</v>
      </c>
      <c r="AQ496" s="266">
        <f>IF($AL496="",0,'All Ticker P&amp;L'!J496*'All Ticker P&amp;L'!I496)</f>
        <v>0</v>
      </c>
      <c r="AR496" s="266">
        <f>IF($AL496="",0,'All Ticker P&amp;L'!L496)</f>
        <v>0</v>
      </c>
      <c r="AS496" s="267">
        <f>IF($AL496="",0,'All Ticker P&amp;L'!M496)</f>
        <v>0</v>
      </c>
      <c r="AT496" s="243" t="str">
        <f>IF($AL496="","",RANK(AR496,$AR$2:$AR$1001)+COUNTIF($AR$2:AR496,AR496)-1)</f>
        <v/>
      </c>
      <c r="AU496" s="243" t="str">
        <f>IF($AL496="","",RANK(AV496,$AV$2:$AV$1001)+COUNTIF($AV$2:AV496,AV496)-1)</f>
        <v/>
      </c>
      <c r="AV496" s="266">
        <f t="shared" si="46"/>
        <v>0</v>
      </c>
    </row>
    <row r="497" spans="26:48" ht="15" customHeight="1" x14ac:dyDescent="0.2">
      <c r="Z497" s="243" t="str">
        <f>Shares!A497</f>
        <v/>
      </c>
      <c r="AA497" s="243" t="str">
        <f>Shares!B497</f>
        <v/>
      </c>
      <c r="AB497" s="243" t="str">
        <f>Shares!C497</f>
        <v/>
      </c>
      <c r="AC497" s="243" t="str">
        <f>Shares!D497</f>
        <v/>
      </c>
      <c r="AD497" s="243">
        <f>IF($Z497="",0,Shares!E497)</f>
        <v>0</v>
      </c>
      <c r="AE497" s="266">
        <f>IF($Z497="",0,Shares!J497*Shares!I497)</f>
        <v>0</v>
      </c>
      <c r="AF497" s="267">
        <f t="shared" si="45"/>
        <v>0</v>
      </c>
      <c r="AG497" s="266">
        <f>IF($Z497="",0,Shares!L497)</f>
        <v>0</v>
      </c>
      <c r="AH497" s="267">
        <f>IF($Z497="",0,Shares!M497)</f>
        <v>0</v>
      </c>
      <c r="AI497" s="243" t="str">
        <f>IF($Z497="","",RANK(AE497,$AE$2:$AE$1001)+COUNTIF($AE$2:AE497,AE497)-1)</f>
        <v/>
      </c>
      <c r="AJ497" s="243" t="str">
        <f>IF($AD497&lt;0,COUNT($AJ$1:AJ496)+1,"")</f>
        <v/>
      </c>
      <c r="AL497" s="243" t="str">
        <f>'All Ticker P&amp;L'!A497</f>
        <v/>
      </c>
      <c r="AM497" s="243" t="str">
        <f>'All Ticker P&amp;L'!B497</f>
        <v/>
      </c>
      <c r="AN497" s="243" t="str">
        <f>'All Ticker P&amp;L'!C497</f>
        <v/>
      </c>
      <c r="AO497" s="243" t="str">
        <f>'All Ticker P&amp;L'!D497</f>
        <v/>
      </c>
      <c r="AP497" s="243">
        <f>IF($AL497="",0,'All Ticker P&amp;L'!E497)</f>
        <v>0</v>
      </c>
      <c r="AQ497" s="266">
        <f>IF($AL497="",0,'All Ticker P&amp;L'!J497*'All Ticker P&amp;L'!I497)</f>
        <v>0</v>
      </c>
      <c r="AR497" s="266">
        <f>IF($AL497="",0,'All Ticker P&amp;L'!L497)</f>
        <v>0</v>
      </c>
      <c r="AS497" s="267">
        <f>IF($AL497="",0,'All Ticker P&amp;L'!M497)</f>
        <v>0</v>
      </c>
      <c r="AT497" s="243" t="str">
        <f>IF($AL497="","",RANK(AR497,$AR$2:$AR$1001)+COUNTIF($AR$2:AR497,AR497)-1)</f>
        <v/>
      </c>
      <c r="AU497" s="243" t="str">
        <f>IF($AL497="","",RANK(AV497,$AV$2:$AV$1001)+COUNTIF($AV$2:AV497,AV497)-1)</f>
        <v/>
      </c>
      <c r="AV497" s="266">
        <f t="shared" si="46"/>
        <v>0</v>
      </c>
    </row>
    <row r="498" spans="26:48" ht="15" customHeight="1" x14ac:dyDescent="0.2">
      <c r="Z498" s="243" t="str">
        <f>Shares!A498</f>
        <v/>
      </c>
      <c r="AA498" s="243" t="str">
        <f>Shares!B498</f>
        <v/>
      </c>
      <c r="AB498" s="243" t="str">
        <f>Shares!C498</f>
        <v/>
      </c>
      <c r="AC498" s="243" t="str">
        <f>Shares!D498</f>
        <v/>
      </c>
      <c r="AD498" s="243">
        <f>IF($Z498="",0,Shares!E498)</f>
        <v>0</v>
      </c>
      <c r="AE498" s="266">
        <f>IF($Z498="",0,Shares!J498*Shares!I498)</f>
        <v>0</v>
      </c>
      <c r="AF498" s="267">
        <f t="shared" si="45"/>
        <v>0</v>
      </c>
      <c r="AG498" s="266">
        <f>IF($Z498="",0,Shares!L498)</f>
        <v>0</v>
      </c>
      <c r="AH498" s="267">
        <f>IF($Z498="",0,Shares!M498)</f>
        <v>0</v>
      </c>
      <c r="AI498" s="243" t="str">
        <f>IF($Z498="","",RANK(AE498,$AE$2:$AE$1001)+COUNTIF($AE$2:AE498,AE498)-1)</f>
        <v/>
      </c>
      <c r="AJ498" s="243" t="str">
        <f>IF($AD498&lt;0,COUNT($AJ$1:AJ497)+1,"")</f>
        <v/>
      </c>
      <c r="AL498" s="243" t="str">
        <f>'All Ticker P&amp;L'!A498</f>
        <v/>
      </c>
      <c r="AM498" s="243" t="str">
        <f>'All Ticker P&amp;L'!B498</f>
        <v/>
      </c>
      <c r="AN498" s="243" t="str">
        <f>'All Ticker P&amp;L'!C498</f>
        <v/>
      </c>
      <c r="AO498" s="243" t="str">
        <f>'All Ticker P&amp;L'!D498</f>
        <v/>
      </c>
      <c r="AP498" s="243">
        <f>IF($AL498="",0,'All Ticker P&amp;L'!E498)</f>
        <v>0</v>
      </c>
      <c r="AQ498" s="266">
        <f>IF($AL498="",0,'All Ticker P&amp;L'!J498*'All Ticker P&amp;L'!I498)</f>
        <v>0</v>
      </c>
      <c r="AR498" s="266">
        <f>IF($AL498="",0,'All Ticker P&amp;L'!L498)</f>
        <v>0</v>
      </c>
      <c r="AS498" s="267">
        <f>IF($AL498="",0,'All Ticker P&amp;L'!M498)</f>
        <v>0</v>
      </c>
      <c r="AT498" s="243" t="str">
        <f>IF($AL498="","",RANK(AR498,$AR$2:$AR$1001)+COUNTIF($AR$2:AR498,AR498)-1)</f>
        <v/>
      </c>
      <c r="AU498" s="243" t="str">
        <f>IF($AL498="","",RANK(AV498,$AV$2:$AV$1001)+COUNTIF($AV$2:AV498,AV498)-1)</f>
        <v/>
      </c>
      <c r="AV498" s="266">
        <f t="shared" si="46"/>
        <v>0</v>
      </c>
    </row>
    <row r="499" spans="26:48" ht="15" customHeight="1" x14ac:dyDescent="0.2">
      <c r="Z499" s="243" t="str">
        <f>Shares!A499</f>
        <v/>
      </c>
      <c r="AA499" s="243" t="str">
        <f>Shares!B499</f>
        <v/>
      </c>
      <c r="AB499" s="243" t="str">
        <f>Shares!C499</f>
        <v/>
      </c>
      <c r="AC499" s="243" t="str">
        <f>Shares!D499</f>
        <v/>
      </c>
      <c r="AD499" s="243">
        <f>IF($Z499="",0,Shares!E499)</f>
        <v>0</v>
      </c>
      <c r="AE499" s="266">
        <f>IF($Z499="",0,Shares!J499*Shares!I499)</f>
        <v>0</v>
      </c>
      <c r="AF499" s="267">
        <f t="shared" si="45"/>
        <v>0</v>
      </c>
      <c r="AG499" s="266">
        <f>IF($Z499="",0,Shares!L499)</f>
        <v>0</v>
      </c>
      <c r="AH499" s="267">
        <f>IF($Z499="",0,Shares!M499)</f>
        <v>0</v>
      </c>
      <c r="AI499" s="243" t="str">
        <f>IF($Z499="","",RANK(AE499,$AE$2:$AE$1001)+COUNTIF($AE$2:AE499,AE499)-1)</f>
        <v/>
      </c>
      <c r="AJ499" s="243" t="str">
        <f>IF($AD499&lt;0,COUNT($AJ$1:AJ498)+1,"")</f>
        <v/>
      </c>
      <c r="AL499" s="243" t="str">
        <f>'All Ticker P&amp;L'!A499</f>
        <v/>
      </c>
      <c r="AM499" s="243" t="str">
        <f>'All Ticker P&amp;L'!B499</f>
        <v/>
      </c>
      <c r="AN499" s="243" t="str">
        <f>'All Ticker P&amp;L'!C499</f>
        <v/>
      </c>
      <c r="AO499" s="243" t="str">
        <f>'All Ticker P&amp;L'!D499</f>
        <v/>
      </c>
      <c r="AP499" s="243">
        <f>IF($AL499="",0,'All Ticker P&amp;L'!E499)</f>
        <v>0</v>
      </c>
      <c r="AQ499" s="266">
        <f>IF($AL499="",0,'All Ticker P&amp;L'!J499*'All Ticker P&amp;L'!I499)</f>
        <v>0</v>
      </c>
      <c r="AR499" s="266">
        <f>IF($AL499="",0,'All Ticker P&amp;L'!L499)</f>
        <v>0</v>
      </c>
      <c r="AS499" s="267">
        <f>IF($AL499="",0,'All Ticker P&amp;L'!M499)</f>
        <v>0</v>
      </c>
      <c r="AT499" s="243" t="str">
        <f>IF($AL499="","",RANK(AR499,$AR$2:$AR$1001)+COUNTIF($AR$2:AR499,AR499)-1)</f>
        <v/>
      </c>
      <c r="AU499" s="243" t="str">
        <f>IF($AL499="","",RANK(AV499,$AV$2:$AV$1001)+COUNTIF($AV$2:AV499,AV499)-1)</f>
        <v/>
      </c>
      <c r="AV499" s="266">
        <f t="shared" si="46"/>
        <v>0</v>
      </c>
    </row>
    <row r="500" spans="26:48" ht="15" customHeight="1" x14ac:dyDescent="0.2">
      <c r="Z500" s="243" t="str">
        <f>Shares!A500</f>
        <v/>
      </c>
      <c r="AA500" s="243" t="str">
        <f>Shares!B500</f>
        <v/>
      </c>
      <c r="AB500" s="243" t="str">
        <f>Shares!C500</f>
        <v/>
      </c>
      <c r="AC500" s="243" t="str">
        <f>Shares!D500</f>
        <v/>
      </c>
      <c r="AD500" s="243">
        <f>IF($Z500="",0,Shares!E500)</f>
        <v>0</v>
      </c>
      <c r="AE500" s="266">
        <f>IF($Z500="",0,Shares!J500*Shares!I500)</f>
        <v>0</v>
      </c>
      <c r="AF500" s="267">
        <f t="shared" si="45"/>
        <v>0</v>
      </c>
      <c r="AG500" s="266">
        <f>IF($Z500="",0,Shares!L500)</f>
        <v>0</v>
      </c>
      <c r="AH500" s="267">
        <f>IF($Z500="",0,Shares!M500)</f>
        <v>0</v>
      </c>
      <c r="AI500" s="243" t="str">
        <f>IF($Z500="","",RANK(AE500,$AE$2:$AE$1001)+COUNTIF($AE$2:AE500,AE500)-1)</f>
        <v/>
      </c>
      <c r="AJ500" s="243" t="str">
        <f>IF($AD500&lt;0,COUNT($AJ$1:AJ499)+1,"")</f>
        <v/>
      </c>
      <c r="AL500" s="243" t="str">
        <f>'All Ticker P&amp;L'!A500</f>
        <v/>
      </c>
      <c r="AM500" s="243" t="str">
        <f>'All Ticker P&amp;L'!B500</f>
        <v/>
      </c>
      <c r="AN500" s="243" t="str">
        <f>'All Ticker P&amp;L'!C500</f>
        <v/>
      </c>
      <c r="AO500" s="243" t="str">
        <f>'All Ticker P&amp;L'!D500</f>
        <v/>
      </c>
      <c r="AP500" s="243">
        <f>IF($AL500="",0,'All Ticker P&amp;L'!E500)</f>
        <v>0</v>
      </c>
      <c r="AQ500" s="266">
        <f>IF($AL500="",0,'All Ticker P&amp;L'!J500*'All Ticker P&amp;L'!I500)</f>
        <v>0</v>
      </c>
      <c r="AR500" s="266">
        <f>IF($AL500="",0,'All Ticker P&amp;L'!L500)</f>
        <v>0</v>
      </c>
      <c r="AS500" s="267">
        <f>IF($AL500="",0,'All Ticker P&amp;L'!M500)</f>
        <v>0</v>
      </c>
      <c r="AT500" s="243" t="str">
        <f>IF($AL500="","",RANK(AR500,$AR$2:$AR$1001)+COUNTIF($AR$2:AR500,AR500)-1)</f>
        <v/>
      </c>
      <c r="AU500" s="243" t="str">
        <f>IF($AL500="","",RANK(AV500,$AV$2:$AV$1001)+COUNTIF($AV$2:AV500,AV500)-1)</f>
        <v/>
      </c>
      <c r="AV500" s="266">
        <f t="shared" si="46"/>
        <v>0</v>
      </c>
    </row>
    <row r="501" spans="26:48" ht="15" customHeight="1" x14ac:dyDescent="0.2">
      <c r="Z501" s="243" t="str">
        <f>Shares!A501</f>
        <v/>
      </c>
      <c r="AA501" s="243" t="str">
        <f>Shares!B501</f>
        <v/>
      </c>
      <c r="AB501" s="243" t="str">
        <f>Shares!C501</f>
        <v/>
      </c>
      <c r="AC501" s="243" t="str">
        <f>Shares!D501</f>
        <v/>
      </c>
      <c r="AD501" s="243">
        <f>IF($Z501="",0,Shares!E501)</f>
        <v>0</v>
      </c>
      <c r="AE501" s="266">
        <f>IF($Z501="",0,Shares!J501*Shares!I501)</f>
        <v>0</v>
      </c>
      <c r="AF501" s="267">
        <f t="shared" si="45"/>
        <v>0</v>
      </c>
      <c r="AG501" s="266">
        <f>IF($Z501="",0,Shares!L501)</f>
        <v>0</v>
      </c>
      <c r="AH501" s="267">
        <f>IF($Z501="",0,Shares!M501)</f>
        <v>0</v>
      </c>
      <c r="AI501" s="243" t="str">
        <f>IF($Z501="","",RANK(AE501,$AE$2:$AE$1001)+COUNTIF($AE$2:AE501,AE501)-1)</f>
        <v/>
      </c>
      <c r="AJ501" s="243" t="str">
        <f>IF($AD501&lt;0,COUNT($AJ$1:AJ500)+1,"")</f>
        <v/>
      </c>
      <c r="AL501" s="243" t="str">
        <f>'All Ticker P&amp;L'!A501</f>
        <v/>
      </c>
      <c r="AM501" s="243" t="str">
        <f>'All Ticker P&amp;L'!B501</f>
        <v/>
      </c>
      <c r="AN501" s="243" t="str">
        <f>'All Ticker P&amp;L'!C501</f>
        <v/>
      </c>
      <c r="AO501" s="243" t="str">
        <f>'All Ticker P&amp;L'!D501</f>
        <v/>
      </c>
      <c r="AP501" s="243">
        <f>IF($AL501="",0,'All Ticker P&amp;L'!E501)</f>
        <v>0</v>
      </c>
      <c r="AQ501" s="266">
        <f>IF($AL501="",0,'All Ticker P&amp;L'!J501*'All Ticker P&amp;L'!I501)</f>
        <v>0</v>
      </c>
      <c r="AR501" s="266">
        <f>IF($AL501="",0,'All Ticker P&amp;L'!L501)</f>
        <v>0</v>
      </c>
      <c r="AS501" s="267">
        <f>IF($AL501="",0,'All Ticker P&amp;L'!M501)</f>
        <v>0</v>
      </c>
      <c r="AT501" s="243" t="str">
        <f>IF($AL501="","",RANK(AR501,$AR$2:$AR$1001)+COUNTIF($AR$2:AR501,AR501)-1)</f>
        <v/>
      </c>
      <c r="AU501" s="243" t="str">
        <f>IF($AL501="","",RANK(AV501,$AV$2:$AV$1001)+COUNTIF($AV$2:AV501,AV501)-1)</f>
        <v/>
      </c>
      <c r="AV501" s="266">
        <f t="shared" si="46"/>
        <v>0</v>
      </c>
    </row>
    <row r="502" spans="26:48" ht="15" customHeight="1" x14ac:dyDescent="0.2">
      <c r="Z502" s="243" t="str">
        <f>Shares!A502</f>
        <v/>
      </c>
      <c r="AA502" s="243" t="str">
        <f>Shares!B502</f>
        <v/>
      </c>
      <c r="AB502" s="243" t="str">
        <f>Shares!C502</f>
        <v/>
      </c>
      <c r="AC502" s="243" t="str">
        <f>Shares!D502</f>
        <v/>
      </c>
      <c r="AD502" s="243">
        <f>IF($Z502="",0,Shares!E502)</f>
        <v>0</v>
      </c>
      <c r="AE502" s="266">
        <f>IF($Z502="",0,Shares!J502*Shares!I502)</f>
        <v>0</v>
      </c>
      <c r="AF502" s="267">
        <f t="shared" si="45"/>
        <v>0</v>
      </c>
      <c r="AG502" s="266">
        <f>IF($Z502="",0,Shares!L502)</f>
        <v>0</v>
      </c>
      <c r="AH502" s="267">
        <f>IF($Z502="",0,Shares!M502)</f>
        <v>0</v>
      </c>
      <c r="AI502" s="243" t="str">
        <f>IF($Z502="","",RANK(AE502,$AE$2:$AE$1001)+COUNTIF($AE$2:AE502,AE502)-1)</f>
        <v/>
      </c>
      <c r="AJ502" s="243" t="str">
        <f>IF($AD502&lt;0,COUNT($AJ$1:AJ501)+1,"")</f>
        <v/>
      </c>
      <c r="AL502" s="243" t="str">
        <f>'All Ticker P&amp;L'!A502</f>
        <v/>
      </c>
      <c r="AM502" s="243" t="str">
        <f>'All Ticker P&amp;L'!B502</f>
        <v/>
      </c>
      <c r="AN502" s="243" t="str">
        <f>'All Ticker P&amp;L'!C502</f>
        <v/>
      </c>
      <c r="AO502" s="243" t="str">
        <f>'All Ticker P&amp;L'!D502</f>
        <v/>
      </c>
      <c r="AP502" s="243">
        <f>IF($AL502="",0,'All Ticker P&amp;L'!E502)</f>
        <v>0</v>
      </c>
      <c r="AQ502" s="266">
        <f>IF($AL502="",0,'All Ticker P&amp;L'!J502*'All Ticker P&amp;L'!I502)</f>
        <v>0</v>
      </c>
      <c r="AR502" s="266">
        <f>IF($AL502="",0,'All Ticker P&amp;L'!L502)</f>
        <v>0</v>
      </c>
      <c r="AS502" s="267">
        <f>IF($AL502="",0,'All Ticker P&amp;L'!M502)</f>
        <v>0</v>
      </c>
      <c r="AT502" s="243" t="str">
        <f>IF($AL502="","",RANK(AR502,$AR$2:$AR$1001)+COUNTIF($AR$2:AR502,AR502)-1)</f>
        <v/>
      </c>
      <c r="AU502" s="243" t="str">
        <f>IF($AL502="","",RANK(AV502,$AV$2:$AV$1001)+COUNTIF($AV$2:AV502,AV502)-1)</f>
        <v/>
      </c>
      <c r="AV502" s="266">
        <f t="shared" si="46"/>
        <v>0</v>
      </c>
    </row>
    <row r="503" spans="26:48" ht="15" customHeight="1" x14ac:dyDescent="0.2">
      <c r="Z503" s="243" t="str">
        <f>Shares!A503</f>
        <v/>
      </c>
      <c r="AA503" s="243" t="str">
        <f>Shares!B503</f>
        <v/>
      </c>
      <c r="AB503" s="243" t="str">
        <f>Shares!C503</f>
        <v/>
      </c>
      <c r="AC503" s="243" t="str">
        <f>Shares!D503</f>
        <v/>
      </c>
      <c r="AD503" s="243">
        <f>IF($Z503="",0,Shares!E503)</f>
        <v>0</v>
      </c>
      <c r="AE503" s="266">
        <f>IF($Z503="",0,Shares!J503*Shares!I503)</f>
        <v>0</v>
      </c>
      <c r="AF503" s="267">
        <f t="shared" si="45"/>
        <v>0</v>
      </c>
      <c r="AG503" s="266">
        <f>IF($Z503="",0,Shares!L503)</f>
        <v>0</v>
      </c>
      <c r="AH503" s="267">
        <f>IF($Z503="",0,Shares!M503)</f>
        <v>0</v>
      </c>
      <c r="AI503" s="243" t="str">
        <f>IF($Z503="","",RANK(AE503,$AE$2:$AE$1001)+COUNTIF($AE$2:AE503,AE503)-1)</f>
        <v/>
      </c>
      <c r="AJ503" s="243" t="str">
        <f>IF($AD503&lt;0,COUNT($AJ$1:AJ502)+1,"")</f>
        <v/>
      </c>
      <c r="AL503" s="243" t="str">
        <f>'All Ticker P&amp;L'!A503</f>
        <v/>
      </c>
      <c r="AM503" s="243" t="str">
        <f>'All Ticker P&amp;L'!B503</f>
        <v/>
      </c>
      <c r="AN503" s="243" t="str">
        <f>'All Ticker P&amp;L'!C503</f>
        <v/>
      </c>
      <c r="AO503" s="243" t="str">
        <f>'All Ticker P&amp;L'!D503</f>
        <v/>
      </c>
      <c r="AP503" s="243">
        <f>IF($AL503="",0,'All Ticker P&amp;L'!E503)</f>
        <v>0</v>
      </c>
      <c r="AQ503" s="266">
        <f>IF($AL503="",0,'All Ticker P&amp;L'!J503*'All Ticker P&amp;L'!I503)</f>
        <v>0</v>
      </c>
      <c r="AR503" s="266">
        <f>IF($AL503="",0,'All Ticker P&amp;L'!L503)</f>
        <v>0</v>
      </c>
      <c r="AS503" s="267">
        <f>IF($AL503="",0,'All Ticker P&amp;L'!M503)</f>
        <v>0</v>
      </c>
      <c r="AT503" s="243" t="str">
        <f>IF($AL503="","",RANK(AR503,$AR$2:$AR$1001)+COUNTIF($AR$2:AR503,AR503)-1)</f>
        <v/>
      </c>
      <c r="AU503" s="243" t="str">
        <f>IF($AL503="","",RANK(AV503,$AV$2:$AV$1001)+COUNTIF($AV$2:AV503,AV503)-1)</f>
        <v/>
      </c>
      <c r="AV503" s="266">
        <f t="shared" si="46"/>
        <v>0</v>
      </c>
    </row>
    <row r="504" spans="26:48" ht="15" customHeight="1" x14ac:dyDescent="0.2">
      <c r="Z504" s="243" t="str">
        <f>Shares!A504</f>
        <v/>
      </c>
      <c r="AA504" s="243" t="str">
        <f>Shares!B504</f>
        <v/>
      </c>
      <c r="AB504" s="243" t="str">
        <f>Shares!C504</f>
        <v/>
      </c>
      <c r="AC504" s="243" t="str">
        <f>Shares!D504</f>
        <v/>
      </c>
      <c r="AD504" s="243">
        <f>IF($Z504="",0,Shares!E504)</f>
        <v>0</v>
      </c>
      <c r="AE504" s="266">
        <f>IF($Z504="",0,Shares!J504*Shares!I504)</f>
        <v>0</v>
      </c>
      <c r="AF504" s="267">
        <f t="shared" si="45"/>
        <v>0</v>
      </c>
      <c r="AG504" s="266">
        <f>IF($Z504="",0,Shares!L504)</f>
        <v>0</v>
      </c>
      <c r="AH504" s="267">
        <f>IF($Z504="",0,Shares!M504)</f>
        <v>0</v>
      </c>
      <c r="AI504" s="243" t="str">
        <f>IF($Z504="","",RANK(AE504,$AE$2:$AE$1001)+COUNTIF($AE$2:AE504,AE504)-1)</f>
        <v/>
      </c>
      <c r="AJ504" s="243" t="str">
        <f>IF($AD504&lt;0,COUNT($AJ$1:AJ503)+1,"")</f>
        <v/>
      </c>
      <c r="AL504" s="243" t="str">
        <f>'All Ticker P&amp;L'!A504</f>
        <v/>
      </c>
      <c r="AM504" s="243" t="str">
        <f>'All Ticker P&amp;L'!B504</f>
        <v/>
      </c>
      <c r="AN504" s="243" t="str">
        <f>'All Ticker P&amp;L'!C504</f>
        <v/>
      </c>
      <c r="AO504" s="243" t="str">
        <f>'All Ticker P&amp;L'!D504</f>
        <v/>
      </c>
      <c r="AP504" s="243">
        <f>IF($AL504="",0,'All Ticker P&amp;L'!E504)</f>
        <v>0</v>
      </c>
      <c r="AQ504" s="266">
        <f>IF($AL504="",0,'All Ticker P&amp;L'!J504*'All Ticker P&amp;L'!I504)</f>
        <v>0</v>
      </c>
      <c r="AR504" s="266">
        <f>IF($AL504="",0,'All Ticker P&amp;L'!L504)</f>
        <v>0</v>
      </c>
      <c r="AS504" s="267">
        <f>IF($AL504="",0,'All Ticker P&amp;L'!M504)</f>
        <v>0</v>
      </c>
      <c r="AT504" s="243" t="str">
        <f>IF($AL504="","",RANK(AR504,$AR$2:$AR$1001)+COUNTIF($AR$2:AR504,AR504)-1)</f>
        <v/>
      </c>
      <c r="AU504" s="243" t="str">
        <f>IF($AL504="","",RANK(AV504,$AV$2:$AV$1001)+COUNTIF($AV$2:AV504,AV504)-1)</f>
        <v/>
      </c>
      <c r="AV504" s="266">
        <f t="shared" si="46"/>
        <v>0</v>
      </c>
    </row>
    <row r="505" spans="26:48" ht="15" customHeight="1" x14ac:dyDescent="0.2">
      <c r="Z505" s="243" t="str">
        <f>Shares!A505</f>
        <v/>
      </c>
      <c r="AA505" s="243" t="str">
        <f>Shares!B505</f>
        <v/>
      </c>
      <c r="AB505" s="243" t="str">
        <f>Shares!C505</f>
        <v/>
      </c>
      <c r="AC505" s="243" t="str">
        <f>Shares!D505</f>
        <v/>
      </c>
      <c r="AD505" s="243">
        <f>IF($Z505="",0,Shares!E505)</f>
        <v>0</v>
      </c>
      <c r="AE505" s="266">
        <f>IF($Z505="",0,Shares!J505*Shares!I505)</f>
        <v>0</v>
      </c>
      <c r="AF505" s="267">
        <f t="shared" si="45"/>
        <v>0</v>
      </c>
      <c r="AG505" s="266">
        <f>IF($Z505="",0,Shares!L505)</f>
        <v>0</v>
      </c>
      <c r="AH505" s="267">
        <f>IF($Z505="",0,Shares!M505)</f>
        <v>0</v>
      </c>
      <c r="AI505" s="243" t="str">
        <f>IF($Z505="","",RANK(AE505,$AE$2:$AE$1001)+COUNTIF($AE$2:AE505,AE505)-1)</f>
        <v/>
      </c>
      <c r="AJ505" s="243" t="str">
        <f>IF($AD505&lt;0,COUNT($AJ$1:AJ504)+1,"")</f>
        <v/>
      </c>
      <c r="AL505" s="243" t="str">
        <f>'All Ticker P&amp;L'!A505</f>
        <v/>
      </c>
      <c r="AM505" s="243" t="str">
        <f>'All Ticker P&amp;L'!B505</f>
        <v/>
      </c>
      <c r="AN505" s="243" t="str">
        <f>'All Ticker P&amp;L'!C505</f>
        <v/>
      </c>
      <c r="AO505" s="243" t="str">
        <f>'All Ticker P&amp;L'!D505</f>
        <v/>
      </c>
      <c r="AP505" s="243">
        <f>IF($AL505="",0,'All Ticker P&amp;L'!E505)</f>
        <v>0</v>
      </c>
      <c r="AQ505" s="266">
        <f>IF($AL505="",0,'All Ticker P&amp;L'!J505*'All Ticker P&amp;L'!I505)</f>
        <v>0</v>
      </c>
      <c r="AR505" s="266">
        <f>IF($AL505="",0,'All Ticker P&amp;L'!L505)</f>
        <v>0</v>
      </c>
      <c r="AS505" s="267">
        <f>IF($AL505="",0,'All Ticker P&amp;L'!M505)</f>
        <v>0</v>
      </c>
      <c r="AT505" s="243" t="str">
        <f>IF($AL505="","",RANK(AR505,$AR$2:$AR$1001)+COUNTIF($AR$2:AR505,AR505)-1)</f>
        <v/>
      </c>
      <c r="AU505" s="243" t="str">
        <f>IF($AL505="","",RANK(AV505,$AV$2:$AV$1001)+COUNTIF($AV$2:AV505,AV505)-1)</f>
        <v/>
      </c>
      <c r="AV505" s="266">
        <f t="shared" si="46"/>
        <v>0</v>
      </c>
    </row>
    <row r="506" spans="26:48" ht="15" customHeight="1" x14ac:dyDescent="0.2">
      <c r="Z506" s="243" t="str">
        <f>Shares!A506</f>
        <v/>
      </c>
      <c r="AA506" s="243" t="str">
        <f>Shares!B506</f>
        <v/>
      </c>
      <c r="AB506" s="243" t="str">
        <f>Shares!C506</f>
        <v/>
      </c>
      <c r="AC506" s="243" t="str">
        <f>Shares!D506</f>
        <v/>
      </c>
      <c r="AD506" s="243">
        <f>IF($Z506="",0,Shares!E506)</f>
        <v>0</v>
      </c>
      <c r="AE506" s="266">
        <f>IF($Z506="",0,Shares!J506*Shares!I506)</f>
        <v>0</v>
      </c>
      <c r="AF506" s="267">
        <f t="shared" si="45"/>
        <v>0</v>
      </c>
      <c r="AG506" s="266">
        <f>IF($Z506="",0,Shares!L506)</f>
        <v>0</v>
      </c>
      <c r="AH506" s="267">
        <f>IF($Z506="",0,Shares!M506)</f>
        <v>0</v>
      </c>
      <c r="AI506" s="243" t="str">
        <f>IF($Z506="","",RANK(AE506,$AE$2:$AE$1001)+COUNTIF($AE$2:AE506,AE506)-1)</f>
        <v/>
      </c>
      <c r="AJ506" s="243" t="str">
        <f>IF($AD506&lt;0,COUNT($AJ$1:AJ505)+1,"")</f>
        <v/>
      </c>
      <c r="AL506" s="243" t="str">
        <f>'All Ticker P&amp;L'!A506</f>
        <v/>
      </c>
      <c r="AM506" s="243" t="str">
        <f>'All Ticker P&amp;L'!B506</f>
        <v/>
      </c>
      <c r="AN506" s="243" t="str">
        <f>'All Ticker P&amp;L'!C506</f>
        <v/>
      </c>
      <c r="AO506" s="243" t="str">
        <f>'All Ticker P&amp;L'!D506</f>
        <v/>
      </c>
      <c r="AP506" s="243">
        <f>IF($AL506="",0,'All Ticker P&amp;L'!E506)</f>
        <v>0</v>
      </c>
      <c r="AQ506" s="266">
        <f>IF($AL506="",0,'All Ticker P&amp;L'!J506*'All Ticker P&amp;L'!I506)</f>
        <v>0</v>
      </c>
      <c r="AR506" s="266">
        <f>IF($AL506="",0,'All Ticker P&amp;L'!L506)</f>
        <v>0</v>
      </c>
      <c r="AS506" s="267">
        <f>IF($AL506="",0,'All Ticker P&amp;L'!M506)</f>
        <v>0</v>
      </c>
      <c r="AT506" s="243" t="str">
        <f>IF($AL506="","",RANK(AR506,$AR$2:$AR$1001)+COUNTIF($AR$2:AR506,AR506)-1)</f>
        <v/>
      </c>
      <c r="AU506" s="243" t="str">
        <f>IF($AL506="","",RANK(AV506,$AV$2:$AV$1001)+COUNTIF($AV$2:AV506,AV506)-1)</f>
        <v/>
      </c>
      <c r="AV506" s="266">
        <f t="shared" si="46"/>
        <v>0</v>
      </c>
    </row>
    <row r="507" spans="26:48" ht="15" customHeight="1" x14ac:dyDescent="0.2">
      <c r="Z507" s="243" t="str">
        <f>Shares!A507</f>
        <v/>
      </c>
      <c r="AA507" s="243" t="str">
        <f>Shares!B507</f>
        <v/>
      </c>
      <c r="AB507" s="243" t="str">
        <f>Shares!C507</f>
        <v/>
      </c>
      <c r="AC507" s="243" t="str">
        <f>Shares!D507</f>
        <v/>
      </c>
      <c r="AD507" s="243">
        <f>IF($Z507="",0,Shares!E507)</f>
        <v>0</v>
      </c>
      <c r="AE507" s="266">
        <f>IF($Z507="",0,Shares!J507*Shares!I507)</f>
        <v>0</v>
      </c>
      <c r="AF507" s="267">
        <f t="shared" si="45"/>
        <v>0</v>
      </c>
      <c r="AG507" s="266">
        <f>IF($Z507="",0,Shares!L507)</f>
        <v>0</v>
      </c>
      <c r="AH507" s="267">
        <f>IF($Z507="",0,Shares!M507)</f>
        <v>0</v>
      </c>
      <c r="AI507" s="243" t="str">
        <f>IF($Z507="","",RANK(AE507,$AE$2:$AE$1001)+COUNTIF($AE$2:AE507,AE507)-1)</f>
        <v/>
      </c>
      <c r="AJ507" s="243" t="str">
        <f>IF($AD507&lt;0,COUNT($AJ$1:AJ506)+1,"")</f>
        <v/>
      </c>
      <c r="AL507" s="243" t="str">
        <f>'All Ticker P&amp;L'!A507</f>
        <v/>
      </c>
      <c r="AM507" s="243" t="str">
        <f>'All Ticker P&amp;L'!B507</f>
        <v/>
      </c>
      <c r="AN507" s="243" t="str">
        <f>'All Ticker P&amp;L'!C507</f>
        <v/>
      </c>
      <c r="AO507" s="243" t="str">
        <f>'All Ticker P&amp;L'!D507</f>
        <v/>
      </c>
      <c r="AP507" s="243">
        <f>IF($AL507="",0,'All Ticker P&amp;L'!E507)</f>
        <v>0</v>
      </c>
      <c r="AQ507" s="266">
        <f>IF($AL507="",0,'All Ticker P&amp;L'!J507*'All Ticker P&amp;L'!I507)</f>
        <v>0</v>
      </c>
      <c r="AR507" s="266">
        <f>IF($AL507="",0,'All Ticker P&amp;L'!L507)</f>
        <v>0</v>
      </c>
      <c r="AS507" s="267">
        <f>IF($AL507="",0,'All Ticker P&amp;L'!M507)</f>
        <v>0</v>
      </c>
      <c r="AT507" s="243" t="str">
        <f>IF($AL507="","",RANK(AR507,$AR$2:$AR$1001)+COUNTIF($AR$2:AR507,AR507)-1)</f>
        <v/>
      </c>
      <c r="AU507" s="243" t="str">
        <f>IF($AL507="","",RANK(AV507,$AV$2:$AV$1001)+COUNTIF($AV$2:AV507,AV507)-1)</f>
        <v/>
      </c>
      <c r="AV507" s="266">
        <f t="shared" si="46"/>
        <v>0</v>
      </c>
    </row>
    <row r="508" spans="26:48" ht="15" customHeight="1" x14ac:dyDescent="0.2">
      <c r="Z508" s="243" t="str">
        <f>Shares!A508</f>
        <v/>
      </c>
      <c r="AA508" s="243" t="str">
        <f>Shares!B508</f>
        <v/>
      </c>
      <c r="AB508" s="243" t="str">
        <f>Shares!C508</f>
        <v/>
      </c>
      <c r="AC508" s="243" t="str">
        <f>Shares!D508</f>
        <v/>
      </c>
      <c r="AD508" s="243">
        <f>IF($Z508="",0,Shares!E508)</f>
        <v>0</v>
      </c>
      <c r="AE508" s="266">
        <f>IF($Z508="",0,Shares!J508*Shares!I508)</f>
        <v>0</v>
      </c>
      <c r="AF508" s="267">
        <f t="shared" si="45"/>
        <v>0</v>
      </c>
      <c r="AG508" s="266">
        <f>IF($Z508="",0,Shares!L508)</f>
        <v>0</v>
      </c>
      <c r="AH508" s="267">
        <f>IF($Z508="",0,Shares!M508)</f>
        <v>0</v>
      </c>
      <c r="AI508" s="243" t="str">
        <f>IF($Z508="","",RANK(AE508,$AE$2:$AE$1001)+COUNTIF($AE$2:AE508,AE508)-1)</f>
        <v/>
      </c>
      <c r="AJ508" s="243" t="str">
        <f>IF($AD508&lt;0,COUNT($AJ$1:AJ507)+1,"")</f>
        <v/>
      </c>
      <c r="AL508" s="243" t="str">
        <f>'All Ticker P&amp;L'!A508</f>
        <v/>
      </c>
      <c r="AM508" s="243" t="str">
        <f>'All Ticker P&amp;L'!B508</f>
        <v/>
      </c>
      <c r="AN508" s="243" t="str">
        <f>'All Ticker P&amp;L'!C508</f>
        <v/>
      </c>
      <c r="AO508" s="243" t="str">
        <f>'All Ticker P&amp;L'!D508</f>
        <v/>
      </c>
      <c r="AP508" s="243">
        <f>IF($AL508="",0,'All Ticker P&amp;L'!E508)</f>
        <v>0</v>
      </c>
      <c r="AQ508" s="266">
        <f>IF($AL508="",0,'All Ticker P&amp;L'!J508*'All Ticker P&amp;L'!I508)</f>
        <v>0</v>
      </c>
      <c r="AR508" s="266">
        <f>IF($AL508="",0,'All Ticker P&amp;L'!L508)</f>
        <v>0</v>
      </c>
      <c r="AS508" s="267">
        <f>IF($AL508="",0,'All Ticker P&amp;L'!M508)</f>
        <v>0</v>
      </c>
      <c r="AT508" s="243" t="str">
        <f>IF($AL508="","",RANK(AR508,$AR$2:$AR$1001)+COUNTIF($AR$2:AR508,AR508)-1)</f>
        <v/>
      </c>
      <c r="AU508" s="243" t="str">
        <f>IF($AL508="","",RANK(AV508,$AV$2:$AV$1001)+COUNTIF($AV$2:AV508,AV508)-1)</f>
        <v/>
      </c>
      <c r="AV508" s="266">
        <f t="shared" si="46"/>
        <v>0</v>
      </c>
    </row>
    <row r="509" spans="26:48" ht="15" customHeight="1" x14ac:dyDescent="0.2">
      <c r="Z509" s="243" t="str">
        <f>Shares!A509</f>
        <v/>
      </c>
      <c r="AA509" s="243" t="str">
        <f>Shares!B509</f>
        <v/>
      </c>
      <c r="AB509" s="243" t="str">
        <f>Shares!C509</f>
        <v/>
      </c>
      <c r="AC509" s="243" t="str">
        <f>Shares!D509</f>
        <v/>
      </c>
      <c r="AD509" s="243">
        <f>IF($Z509="",0,Shares!E509)</f>
        <v>0</v>
      </c>
      <c r="AE509" s="266">
        <f>IF($Z509="",0,Shares!J509*Shares!I509)</f>
        <v>0</v>
      </c>
      <c r="AF509" s="267">
        <f t="shared" si="45"/>
        <v>0</v>
      </c>
      <c r="AG509" s="266">
        <f>IF($Z509="",0,Shares!L509)</f>
        <v>0</v>
      </c>
      <c r="AH509" s="267">
        <f>IF($Z509="",0,Shares!M509)</f>
        <v>0</v>
      </c>
      <c r="AI509" s="243" t="str">
        <f>IF($Z509="","",RANK(AE509,$AE$2:$AE$1001)+COUNTIF($AE$2:AE509,AE509)-1)</f>
        <v/>
      </c>
      <c r="AJ509" s="243" t="str">
        <f>IF($AD509&lt;0,COUNT($AJ$1:AJ508)+1,"")</f>
        <v/>
      </c>
      <c r="AL509" s="243" t="str">
        <f>'All Ticker P&amp;L'!A509</f>
        <v/>
      </c>
      <c r="AM509" s="243" t="str">
        <f>'All Ticker P&amp;L'!B509</f>
        <v/>
      </c>
      <c r="AN509" s="243" t="str">
        <f>'All Ticker P&amp;L'!C509</f>
        <v/>
      </c>
      <c r="AO509" s="243" t="str">
        <f>'All Ticker P&amp;L'!D509</f>
        <v/>
      </c>
      <c r="AP509" s="243">
        <f>IF($AL509="",0,'All Ticker P&amp;L'!E509)</f>
        <v>0</v>
      </c>
      <c r="AQ509" s="266">
        <f>IF($AL509="",0,'All Ticker P&amp;L'!J509*'All Ticker P&amp;L'!I509)</f>
        <v>0</v>
      </c>
      <c r="AR509" s="266">
        <f>IF($AL509="",0,'All Ticker P&amp;L'!L509)</f>
        <v>0</v>
      </c>
      <c r="AS509" s="267">
        <f>IF($AL509="",0,'All Ticker P&amp;L'!M509)</f>
        <v>0</v>
      </c>
      <c r="AT509" s="243" t="str">
        <f>IF($AL509="","",RANK(AR509,$AR$2:$AR$1001)+COUNTIF($AR$2:AR509,AR509)-1)</f>
        <v/>
      </c>
      <c r="AU509" s="243" t="str">
        <f>IF($AL509="","",RANK(AV509,$AV$2:$AV$1001)+COUNTIF($AV$2:AV509,AV509)-1)</f>
        <v/>
      </c>
      <c r="AV509" s="266">
        <f t="shared" si="46"/>
        <v>0</v>
      </c>
    </row>
    <row r="510" spans="26:48" ht="15" customHeight="1" x14ac:dyDescent="0.2">
      <c r="Z510" s="243" t="str">
        <f>Shares!A510</f>
        <v/>
      </c>
      <c r="AA510" s="243" t="str">
        <f>Shares!B510</f>
        <v/>
      </c>
      <c r="AB510" s="243" t="str">
        <f>Shares!C510</f>
        <v/>
      </c>
      <c r="AC510" s="243" t="str">
        <f>Shares!D510</f>
        <v/>
      </c>
      <c r="AD510" s="243">
        <f>IF($Z510="",0,Shares!E510)</f>
        <v>0</v>
      </c>
      <c r="AE510" s="266">
        <f>IF($Z510="",0,Shares!J510*Shares!I510)</f>
        <v>0</v>
      </c>
      <c r="AF510" s="267">
        <f t="shared" si="45"/>
        <v>0</v>
      </c>
      <c r="AG510" s="266">
        <f>IF($Z510="",0,Shares!L510)</f>
        <v>0</v>
      </c>
      <c r="AH510" s="267">
        <f>IF($Z510="",0,Shares!M510)</f>
        <v>0</v>
      </c>
      <c r="AI510" s="243" t="str">
        <f>IF($Z510="","",RANK(AE510,$AE$2:$AE$1001)+COUNTIF($AE$2:AE510,AE510)-1)</f>
        <v/>
      </c>
      <c r="AJ510" s="243" t="str">
        <f>IF($AD510&lt;0,COUNT($AJ$1:AJ509)+1,"")</f>
        <v/>
      </c>
      <c r="AL510" s="243" t="str">
        <f>'All Ticker P&amp;L'!A510</f>
        <v/>
      </c>
      <c r="AM510" s="243" t="str">
        <f>'All Ticker P&amp;L'!B510</f>
        <v/>
      </c>
      <c r="AN510" s="243" t="str">
        <f>'All Ticker P&amp;L'!C510</f>
        <v/>
      </c>
      <c r="AO510" s="243" t="str">
        <f>'All Ticker P&amp;L'!D510</f>
        <v/>
      </c>
      <c r="AP510" s="243">
        <f>IF($AL510="",0,'All Ticker P&amp;L'!E510)</f>
        <v>0</v>
      </c>
      <c r="AQ510" s="266">
        <f>IF($AL510="",0,'All Ticker P&amp;L'!J510*'All Ticker P&amp;L'!I510)</f>
        <v>0</v>
      </c>
      <c r="AR510" s="266">
        <f>IF($AL510="",0,'All Ticker P&amp;L'!L510)</f>
        <v>0</v>
      </c>
      <c r="AS510" s="267">
        <f>IF($AL510="",0,'All Ticker P&amp;L'!M510)</f>
        <v>0</v>
      </c>
      <c r="AT510" s="243" t="str">
        <f>IF($AL510="","",RANK(AR510,$AR$2:$AR$1001)+COUNTIF($AR$2:AR510,AR510)-1)</f>
        <v/>
      </c>
      <c r="AU510" s="243" t="str">
        <f>IF($AL510="","",RANK(AV510,$AV$2:$AV$1001)+COUNTIF($AV$2:AV510,AV510)-1)</f>
        <v/>
      </c>
      <c r="AV510" s="266">
        <f t="shared" si="46"/>
        <v>0</v>
      </c>
    </row>
    <row r="511" spans="26:48" ht="15" customHeight="1" x14ac:dyDescent="0.2">
      <c r="Z511" s="243" t="str">
        <f>Shares!A511</f>
        <v/>
      </c>
      <c r="AA511" s="243" t="str">
        <f>Shares!B511</f>
        <v/>
      </c>
      <c r="AB511" s="243" t="str">
        <f>Shares!C511</f>
        <v/>
      </c>
      <c r="AC511" s="243" t="str">
        <f>Shares!D511</f>
        <v/>
      </c>
      <c r="AD511" s="243">
        <f>IF($Z511="",0,Shares!E511)</f>
        <v>0</v>
      </c>
      <c r="AE511" s="266">
        <f>IF($Z511="",0,Shares!J511*Shares!I511)</f>
        <v>0</v>
      </c>
      <c r="AF511" s="267">
        <f t="shared" si="45"/>
        <v>0</v>
      </c>
      <c r="AG511" s="266">
        <f>IF($Z511="",0,Shares!L511)</f>
        <v>0</v>
      </c>
      <c r="AH511" s="267">
        <f>IF($Z511="",0,Shares!M511)</f>
        <v>0</v>
      </c>
      <c r="AI511" s="243" t="str">
        <f>IF($Z511="","",RANK(AE511,$AE$2:$AE$1001)+COUNTIF($AE$2:AE511,AE511)-1)</f>
        <v/>
      </c>
      <c r="AJ511" s="243" t="str">
        <f>IF($AD511&lt;0,COUNT($AJ$1:AJ510)+1,"")</f>
        <v/>
      </c>
      <c r="AL511" s="243" t="str">
        <f>'All Ticker P&amp;L'!A511</f>
        <v/>
      </c>
      <c r="AM511" s="243" t="str">
        <f>'All Ticker P&amp;L'!B511</f>
        <v/>
      </c>
      <c r="AN511" s="243" t="str">
        <f>'All Ticker P&amp;L'!C511</f>
        <v/>
      </c>
      <c r="AO511" s="243" t="str">
        <f>'All Ticker P&amp;L'!D511</f>
        <v/>
      </c>
      <c r="AP511" s="243">
        <f>IF($AL511="",0,'All Ticker P&amp;L'!E511)</f>
        <v>0</v>
      </c>
      <c r="AQ511" s="266">
        <f>IF($AL511="",0,'All Ticker P&amp;L'!J511*'All Ticker P&amp;L'!I511)</f>
        <v>0</v>
      </c>
      <c r="AR511" s="266">
        <f>IF($AL511="",0,'All Ticker P&amp;L'!L511)</f>
        <v>0</v>
      </c>
      <c r="AS511" s="267">
        <f>IF($AL511="",0,'All Ticker P&amp;L'!M511)</f>
        <v>0</v>
      </c>
      <c r="AT511" s="243" t="str">
        <f>IF($AL511="","",RANK(AR511,$AR$2:$AR$1001)+COUNTIF($AR$2:AR511,AR511)-1)</f>
        <v/>
      </c>
      <c r="AU511" s="243" t="str">
        <f>IF($AL511="","",RANK(AV511,$AV$2:$AV$1001)+COUNTIF($AV$2:AV511,AV511)-1)</f>
        <v/>
      </c>
      <c r="AV511" s="266">
        <f t="shared" si="46"/>
        <v>0</v>
      </c>
    </row>
    <row r="512" spans="26:48" ht="15" customHeight="1" x14ac:dyDescent="0.2">
      <c r="Z512" s="243" t="str">
        <f>Shares!A512</f>
        <v/>
      </c>
      <c r="AA512" s="243" t="str">
        <f>Shares!B512</f>
        <v/>
      </c>
      <c r="AB512" s="243" t="str">
        <f>Shares!C512</f>
        <v/>
      </c>
      <c r="AC512" s="243" t="str">
        <f>Shares!D512</f>
        <v/>
      </c>
      <c r="AD512" s="243">
        <f>IF($Z512="",0,Shares!E512)</f>
        <v>0</v>
      </c>
      <c r="AE512" s="266">
        <f>IF($Z512="",0,Shares!J512*Shares!I512)</f>
        <v>0</v>
      </c>
      <c r="AF512" s="267">
        <f t="shared" si="45"/>
        <v>0</v>
      </c>
      <c r="AG512" s="266">
        <f>IF($Z512="",0,Shares!L512)</f>
        <v>0</v>
      </c>
      <c r="AH512" s="267">
        <f>IF($Z512="",0,Shares!M512)</f>
        <v>0</v>
      </c>
      <c r="AI512" s="243" t="str">
        <f>IF($Z512="","",RANK(AE512,$AE$2:$AE$1001)+COUNTIF($AE$2:AE512,AE512)-1)</f>
        <v/>
      </c>
      <c r="AJ512" s="243" t="str">
        <f>IF($AD512&lt;0,COUNT($AJ$1:AJ511)+1,"")</f>
        <v/>
      </c>
      <c r="AL512" s="243" t="str">
        <f>'All Ticker P&amp;L'!A512</f>
        <v/>
      </c>
      <c r="AM512" s="243" t="str">
        <f>'All Ticker P&amp;L'!B512</f>
        <v/>
      </c>
      <c r="AN512" s="243" t="str">
        <f>'All Ticker P&amp;L'!C512</f>
        <v/>
      </c>
      <c r="AO512" s="243" t="str">
        <f>'All Ticker P&amp;L'!D512</f>
        <v/>
      </c>
      <c r="AP512" s="243">
        <f>IF($AL512="",0,'All Ticker P&amp;L'!E512)</f>
        <v>0</v>
      </c>
      <c r="AQ512" s="266">
        <f>IF($AL512="",0,'All Ticker P&amp;L'!J512*'All Ticker P&amp;L'!I512)</f>
        <v>0</v>
      </c>
      <c r="AR512" s="266">
        <f>IF($AL512="",0,'All Ticker P&amp;L'!L512)</f>
        <v>0</v>
      </c>
      <c r="AS512" s="267">
        <f>IF($AL512="",0,'All Ticker P&amp;L'!M512)</f>
        <v>0</v>
      </c>
      <c r="AT512" s="243" t="str">
        <f>IF($AL512="","",RANK(AR512,$AR$2:$AR$1001)+COUNTIF($AR$2:AR512,AR512)-1)</f>
        <v/>
      </c>
      <c r="AU512" s="243" t="str">
        <f>IF($AL512="","",RANK(AV512,$AV$2:$AV$1001)+COUNTIF($AV$2:AV512,AV512)-1)</f>
        <v/>
      </c>
      <c r="AV512" s="266">
        <f t="shared" si="46"/>
        <v>0</v>
      </c>
    </row>
    <row r="513" spans="26:48" ht="15" customHeight="1" x14ac:dyDescent="0.2">
      <c r="Z513" s="243" t="str">
        <f>Shares!A513</f>
        <v/>
      </c>
      <c r="AA513" s="243" t="str">
        <f>Shares!B513</f>
        <v/>
      </c>
      <c r="AB513" s="243" t="str">
        <f>Shares!C513</f>
        <v/>
      </c>
      <c r="AC513" s="243" t="str">
        <f>Shares!D513</f>
        <v/>
      </c>
      <c r="AD513" s="243">
        <f>IF($Z513="",0,Shares!E513)</f>
        <v>0</v>
      </c>
      <c r="AE513" s="266">
        <f>IF($Z513="",0,Shares!J513*Shares!I513)</f>
        <v>0</v>
      </c>
      <c r="AF513" s="267">
        <f t="shared" si="45"/>
        <v>0</v>
      </c>
      <c r="AG513" s="266">
        <f>IF($Z513="",0,Shares!L513)</f>
        <v>0</v>
      </c>
      <c r="AH513" s="267">
        <f>IF($Z513="",0,Shares!M513)</f>
        <v>0</v>
      </c>
      <c r="AI513" s="243" t="str">
        <f>IF($Z513="","",RANK(AE513,$AE$2:$AE$1001)+COUNTIF($AE$2:AE513,AE513)-1)</f>
        <v/>
      </c>
      <c r="AJ513" s="243" t="str">
        <f>IF($AD513&lt;0,COUNT($AJ$1:AJ512)+1,"")</f>
        <v/>
      </c>
      <c r="AL513" s="243" t="str">
        <f>'All Ticker P&amp;L'!A513</f>
        <v/>
      </c>
      <c r="AM513" s="243" t="str">
        <f>'All Ticker P&amp;L'!B513</f>
        <v/>
      </c>
      <c r="AN513" s="243" t="str">
        <f>'All Ticker P&amp;L'!C513</f>
        <v/>
      </c>
      <c r="AO513" s="243" t="str">
        <f>'All Ticker P&amp;L'!D513</f>
        <v/>
      </c>
      <c r="AP513" s="243">
        <f>IF($AL513="",0,'All Ticker P&amp;L'!E513)</f>
        <v>0</v>
      </c>
      <c r="AQ513" s="266">
        <f>IF($AL513="",0,'All Ticker P&amp;L'!J513*'All Ticker P&amp;L'!I513)</f>
        <v>0</v>
      </c>
      <c r="AR513" s="266">
        <f>IF($AL513="",0,'All Ticker P&amp;L'!L513)</f>
        <v>0</v>
      </c>
      <c r="AS513" s="267">
        <f>IF($AL513="",0,'All Ticker P&amp;L'!M513)</f>
        <v>0</v>
      </c>
      <c r="AT513" s="243" t="str">
        <f>IF($AL513="","",RANK(AR513,$AR$2:$AR$1001)+COUNTIF($AR$2:AR513,AR513)-1)</f>
        <v/>
      </c>
      <c r="AU513" s="243" t="str">
        <f>IF($AL513="","",RANK(AV513,$AV$2:$AV$1001)+COUNTIF($AV$2:AV513,AV513)-1)</f>
        <v/>
      </c>
      <c r="AV513" s="266">
        <f t="shared" si="46"/>
        <v>0</v>
      </c>
    </row>
    <row r="514" spans="26:48" ht="15" customHeight="1" x14ac:dyDescent="0.2">
      <c r="Z514" s="243" t="str">
        <f>Shares!A514</f>
        <v/>
      </c>
      <c r="AA514" s="243" t="str">
        <f>Shares!B514</f>
        <v/>
      </c>
      <c r="AB514" s="243" t="str">
        <f>Shares!C514</f>
        <v/>
      </c>
      <c r="AC514" s="243" t="str">
        <f>Shares!D514</f>
        <v/>
      </c>
      <c r="AD514" s="243">
        <f>IF($Z514="",0,Shares!E514)</f>
        <v>0</v>
      </c>
      <c r="AE514" s="266">
        <f>IF($Z514="",0,Shares!J514*Shares!I514)</f>
        <v>0</v>
      </c>
      <c r="AF514" s="267">
        <f t="shared" ref="AF514:AF577" si="47">IFERROR(AE514/$B$5,0)</f>
        <v>0</v>
      </c>
      <c r="AG514" s="266">
        <f>IF($Z514="",0,Shares!L514)</f>
        <v>0</v>
      </c>
      <c r="AH514" s="267">
        <f>IF($Z514="",0,Shares!M514)</f>
        <v>0</v>
      </c>
      <c r="AI514" s="243" t="str">
        <f>IF($Z514="","",RANK(AE514,$AE$2:$AE$1001)+COUNTIF($AE$2:AE514,AE514)-1)</f>
        <v/>
      </c>
      <c r="AJ514" s="243" t="str">
        <f>IF($AD514&lt;0,COUNT($AJ$1:AJ513)+1,"")</f>
        <v/>
      </c>
      <c r="AL514" s="243" t="str">
        <f>'All Ticker P&amp;L'!A514</f>
        <v/>
      </c>
      <c r="AM514" s="243" t="str">
        <f>'All Ticker P&amp;L'!B514</f>
        <v/>
      </c>
      <c r="AN514" s="243" t="str">
        <f>'All Ticker P&amp;L'!C514</f>
        <v/>
      </c>
      <c r="AO514" s="243" t="str">
        <f>'All Ticker P&amp;L'!D514</f>
        <v/>
      </c>
      <c r="AP514" s="243">
        <f>IF($AL514="",0,'All Ticker P&amp;L'!E514)</f>
        <v>0</v>
      </c>
      <c r="AQ514" s="266">
        <f>IF($AL514="",0,'All Ticker P&amp;L'!J514*'All Ticker P&amp;L'!I514)</f>
        <v>0</v>
      </c>
      <c r="AR514" s="266">
        <f>IF($AL514="",0,'All Ticker P&amp;L'!L514)</f>
        <v>0</v>
      </c>
      <c r="AS514" s="267">
        <f>IF($AL514="",0,'All Ticker P&amp;L'!M514)</f>
        <v>0</v>
      </c>
      <c r="AT514" s="243" t="str">
        <f>IF($AL514="","",RANK(AR514,$AR$2:$AR$1001)+COUNTIF($AR$2:AR514,AR514)-1)</f>
        <v/>
      </c>
      <c r="AU514" s="243" t="str">
        <f>IF($AL514="","",RANK(AV514,$AV$2:$AV$1001)+COUNTIF($AV$2:AV514,AV514)-1)</f>
        <v/>
      </c>
      <c r="AV514" s="266">
        <f t="shared" ref="AV514:AV577" si="48">-AR514</f>
        <v>0</v>
      </c>
    </row>
    <row r="515" spans="26:48" ht="15" customHeight="1" x14ac:dyDescent="0.2">
      <c r="Z515" s="243" t="str">
        <f>Shares!A515</f>
        <v/>
      </c>
      <c r="AA515" s="243" t="str">
        <f>Shares!B515</f>
        <v/>
      </c>
      <c r="AB515" s="243" t="str">
        <f>Shares!C515</f>
        <v/>
      </c>
      <c r="AC515" s="243" t="str">
        <f>Shares!D515</f>
        <v/>
      </c>
      <c r="AD515" s="243">
        <f>IF($Z515="",0,Shares!E515)</f>
        <v>0</v>
      </c>
      <c r="AE515" s="266">
        <f>IF($Z515="",0,Shares!J515*Shares!I515)</f>
        <v>0</v>
      </c>
      <c r="AF515" s="267">
        <f t="shared" si="47"/>
        <v>0</v>
      </c>
      <c r="AG515" s="266">
        <f>IF($Z515="",0,Shares!L515)</f>
        <v>0</v>
      </c>
      <c r="AH515" s="267">
        <f>IF($Z515="",0,Shares!M515)</f>
        <v>0</v>
      </c>
      <c r="AI515" s="243" t="str">
        <f>IF($Z515="","",RANK(AE515,$AE$2:$AE$1001)+COUNTIF($AE$2:AE515,AE515)-1)</f>
        <v/>
      </c>
      <c r="AJ515" s="243" t="str">
        <f>IF($AD515&lt;0,COUNT($AJ$1:AJ514)+1,"")</f>
        <v/>
      </c>
      <c r="AL515" s="243" t="str">
        <f>'All Ticker P&amp;L'!A515</f>
        <v/>
      </c>
      <c r="AM515" s="243" t="str">
        <f>'All Ticker P&amp;L'!B515</f>
        <v/>
      </c>
      <c r="AN515" s="243" t="str">
        <f>'All Ticker P&amp;L'!C515</f>
        <v/>
      </c>
      <c r="AO515" s="243" t="str">
        <f>'All Ticker P&amp;L'!D515</f>
        <v/>
      </c>
      <c r="AP515" s="243">
        <f>IF($AL515="",0,'All Ticker P&amp;L'!E515)</f>
        <v>0</v>
      </c>
      <c r="AQ515" s="266">
        <f>IF($AL515="",0,'All Ticker P&amp;L'!J515*'All Ticker P&amp;L'!I515)</f>
        <v>0</v>
      </c>
      <c r="AR515" s="266">
        <f>IF($AL515="",0,'All Ticker P&amp;L'!L515)</f>
        <v>0</v>
      </c>
      <c r="AS515" s="267">
        <f>IF($AL515="",0,'All Ticker P&amp;L'!M515)</f>
        <v>0</v>
      </c>
      <c r="AT515" s="243" t="str">
        <f>IF($AL515="","",RANK(AR515,$AR$2:$AR$1001)+COUNTIF($AR$2:AR515,AR515)-1)</f>
        <v/>
      </c>
      <c r="AU515" s="243" t="str">
        <f>IF($AL515="","",RANK(AV515,$AV$2:$AV$1001)+COUNTIF($AV$2:AV515,AV515)-1)</f>
        <v/>
      </c>
      <c r="AV515" s="266">
        <f t="shared" si="48"/>
        <v>0</v>
      </c>
    </row>
    <row r="516" spans="26:48" ht="15" customHeight="1" x14ac:dyDescent="0.2">
      <c r="Z516" s="243" t="str">
        <f>Shares!A516</f>
        <v/>
      </c>
      <c r="AA516" s="243" t="str">
        <f>Shares!B516</f>
        <v/>
      </c>
      <c r="AB516" s="243" t="str">
        <f>Shares!C516</f>
        <v/>
      </c>
      <c r="AC516" s="243" t="str">
        <f>Shares!D516</f>
        <v/>
      </c>
      <c r="AD516" s="243">
        <f>IF($Z516="",0,Shares!E516)</f>
        <v>0</v>
      </c>
      <c r="AE516" s="266">
        <f>IF($Z516="",0,Shares!J516*Shares!I516)</f>
        <v>0</v>
      </c>
      <c r="AF516" s="267">
        <f t="shared" si="47"/>
        <v>0</v>
      </c>
      <c r="AG516" s="266">
        <f>IF($Z516="",0,Shares!L516)</f>
        <v>0</v>
      </c>
      <c r="AH516" s="267">
        <f>IF($Z516="",0,Shares!M516)</f>
        <v>0</v>
      </c>
      <c r="AI516" s="243" t="str">
        <f>IF($Z516="","",RANK(AE516,$AE$2:$AE$1001)+COUNTIF($AE$2:AE516,AE516)-1)</f>
        <v/>
      </c>
      <c r="AJ516" s="243" t="str">
        <f>IF($AD516&lt;0,COUNT($AJ$1:AJ515)+1,"")</f>
        <v/>
      </c>
      <c r="AL516" s="243" t="str">
        <f>'All Ticker P&amp;L'!A516</f>
        <v/>
      </c>
      <c r="AM516" s="243" t="str">
        <f>'All Ticker P&amp;L'!B516</f>
        <v/>
      </c>
      <c r="AN516" s="243" t="str">
        <f>'All Ticker P&amp;L'!C516</f>
        <v/>
      </c>
      <c r="AO516" s="243" t="str">
        <f>'All Ticker P&amp;L'!D516</f>
        <v/>
      </c>
      <c r="AP516" s="243">
        <f>IF($AL516="",0,'All Ticker P&amp;L'!E516)</f>
        <v>0</v>
      </c>
      <c r="AQ516" s="266">
        <f>IF($AL516="",0,'All Ticker P&amp;L'!J516*'All Ticker P&amp;L'!I516)</f>
        <v>0</v>
      </c>
      <c r="AR516" s="266">
        <f>IF($AL516="",0,'All Ticker P&amp;L'!L516)</f>
        <v>0</v>
      </c>
      <c r="AS516" s="267">
        <f>IF($AL516="",0,'All Ticker P&amp;L'!M516)</f>
        <v>0</v>
      </c>
      <c r="AT516" s="243" t="str">
        <f>IF($AL516="","",RANK(AR516,$AR$2:$AR$1001)+COUNTIF($AR$2:AR516,AR516)-1)</f>
        <v/>
      </c>
      <c r="AU516" s="243" t="str">
        <f>IF($AL516="","",RANK(AV516,$AV$2:$AV$1001)+COUNTIF($AV$2:AV516,AV516)-1)</f>
        <v/>
      </c>
      <c r="AV516" s="266">
        <f t="shared" si="48"/>
        <v>0</v>
      </c>
    </row>
    <row r="517" spans="26:48" ht="15" customHeight="1" x14ac:dyDescent="0.2">
      <c r="Z517" s="243" t="str">
        <f>Shares!A517</f>
        <v/>
      </c>
      <c r="AA517" s="243" t="str">
        <f>Shares!B517</f>
        <v/>
      </c>
      <c r="AB517" s="243" t="str">
        <f>Shares!C517</f>
        <v/>
      </c>
      <c r="AC517" s="243" t="str">
        <f>Shares!D517</f>
        <v/>
      </c>
      <c r="AD517" s="243">
        <f>IF($Z517="",0,Shares!E517)</f>
        <v>0</v>
      </c>
      <c r="AE517" s="266">
        <f>IF($Z517="",0,Shares!J517*Shares!I517)</f>
        <v>0</v>
      </c>
      <c r="AF517" s="267">
        <f t="shared" si="47"/>
        <v>0</v>
      </c>
      <c r="AG517" s="266">
        <f>IF($Z517="",0,Shares!L517)</f>
        <v>0</v>
      </c>
      <c r="AH517" s="267">
        <f>IF($Z517="",0,Shares!M517)</f>
        <v>0</v>
      </c>
      <c r="AI517" s="243" t="str">
        <f>IF($Z517="","",RANK(AE517,$AE$2:$AE$1001)+COUNTIF($AE$2:AE517,AE517)-1)</f>
        <v/>
      </c>
      <c r="AJ517" s="243" t="str">
        <f>IF($AD517&lt;0,COUNT($AJ$1:AJ516)+1,"")</f>
        <v/>
      </c>
      <c r="AL517" s="243" t="str">
        <f>'All Ticker P&amp;L'!A517</f>
        <v/>
      </c>
      <c r="AM517" s="243" t="str">
        <f>'All Ticker P&amp;L'!B517</f>
        <v/>
      </c>
      <c r="AN517" s="243" t="str">
        <f>'All Ticker P&amp;L'!C517</f>
        <v/>
      </c>
      <c r="AO517" s="243" t="str">
        <f>'All Ticker P&amp;L'!D517</f>
        <v/>
      </c>
      <c r="AP517" s="243">
        <f>IF($AL517="",0,'All Ticker P&amp;L'!E517)</f>
        <v>0</v>
      </c>
      <c r="AQ517" s="266">
        <f>IF($AL517="",0,'All Ticker P&amp;L'!J517*'All Ticker P&amp;L'!I517)</f>
        <v>0</v>
      </c>
      <c r="AR517" s="266">
        <f>IF($AL517="",0,'All Ticker P&amp;L'!L517)</f>
        <v>0</v>
      </c>
      <c r="AS517" s="267">
        <f>IF($AL517="",0,'All Ticker P&amp;L'!M517)</f>
        <v>0</v>
      </c>
      <c r="AT517" s="243" t="str">
        <f>IF($AL517="","",RANK(AR517,$AR$2:$AR$1001)+COUNTIF($AR$2:AR517,AR517)-1)</f>
        <v/>
      </c>
      <c r="AU517" s="243" t="str">
        <f>IF($AL517="","",RANK(AV517,$AV$2:$AV$1001)+COUNTIF($AV$2:AV517,AV517)-1)</f>
        <v/>
      </c>
      <c r="AV517" s="266">
        <f t="shared" si="48"/>
        <v>0</v>
      </c>
    </row>
    <row r="518" spans="26:48" ht="15" customHeight="1" x14ac:dyDescent="0.2">
      <c r="Z518" s="243" t="str">
        <f>Shares!A518</f>
        <v/>
      </c>
      <c r="AA518" s="243" t="str">
        <f>Shares!B518</f>
        <v/>
      </c>
      <c r="AB518" s="243" t="str">
        <f>Shares!C518</f>
        <v/>
      </c>
      <c r="AC518" s="243" t="str">
        <f>Shares!D518</f>
        <v/>
      </c>
      <c r="AD518" s="243">
        <f>IF($Z518="",0,Shares!E518)</f>
        <v>0</v>
      </c>
      <c r="AE518" s="266">
        <f>IF($Z518="",0,Shares!J518*Shares!I518)</f>
        <v>0</v>
      </c>
      <c r="AF518" s="267">
        <f t="shared" si="47"/>
        <v>0</v>
      </c>
      <c r="AG518" s="266">
        <f>IF($Z518="",0,Shares!L518)</f>
        <v>0</v>
      </c>
      <c r="AH518" s="267">
        <f>IF($Z518="",0,Shares!M518)</f>
        <v>0</v>
      </c>
      <c r="AI518" s="243" t="str">
        <f>IF($Z518="","",RANK(AE518,$AE$2:$AE$1001)+COUNTIF($AE$2:AE518,AE518)-1)</f>
        <v/>
      </c>
      <c r="AJ518" s="243" t="str">
        <f>IF($AD518&lt;0,COUNT($AJ$1:AJ517)+1,"")</f>
        <v/>
      </c>
      <c r="AL518" s="243" t="str">
        <f>'All Ticker P&amp;L'!A518</f>
        <v/>
      </c>
      <c r="AM518" s="243" t="str">
        <f>'All Ticker P&amp;L'!B518</f>
        <v/>
      </c>
      <c r="AN518" s="243" t="str">
        <f>'All Ticker P&amp;L'!C518</f>
        <v/>
      </c>
      <c r="AO518" s="243" t="str">
        <f>'All Ticker P&amp;L'!D518</f>
        <v/>
      </c>
      <c r="AP518" s="243">
        <f>IF($AL518="",0,'All Ticker P&amp;L'!E518)</f>
        <v>0</v>
      </c>
      <c r="AQ518" s="266">
        <f>IF($AL518="",0,'All Ticker P&amp;L'!J518*'All Ticker P&amp;L'!I518)</f>
        <v>0</v>
      </c>
      <c r="AR518" s="266">
        <f>IF($AL518="",0,'All Ticker P&amp;L'!L518)</f>
        <v>0</v>
      </c>
      <c r="AS518" s="267">
        <f>IF($AL518="",0,'All Ticker P&amp;L'!M518)</f>
        <v>0</v>
      </c>
      <c r="AT518" s="243" t="str">
        <f>IF($AL518="","",RANK(AR518,$AR$2:$AR$1001)+COUNTIF($AR$2:AR518,AR518)-1)</f>
        <v/>
      </c>
      <c r="AU518" s="243" t="str">
        <f>IF($AL518="","",RANK(AV518,$AV$2:$AV$1001)+COUNTIF($AV$2:AV518,AV518)-1)</f>
        <v/>
      </c>
      <c r="AV518" s="266">
        <f t="shared" si="48"/>
        <v>0</v>
      </c>
    </row>
    <row r="519" spans="26:48" ht="15" customHeight="1" x14ac:dyDescent="0.2">
      <c r="Z519" s="243" t="str">
        <f>Shares!A519</f>
        <v/>
      </c>
      <c r="AA519" s="243" t="str">
        <f>Shares!B519</f>
        <v/>
      </c>
      <c r="AB519" s="243" t="str">
        <f>Shares!C519</f>
        <v/>
      </c>
      <c r="AC519" s="243" t="str">
        <f>Shares!D519</f>
        <v/>
      </c>
      <c r="AD519" s="243">
        <f>IF($Z519="",0,Shares!E519)</f>
        <v>0</v>
      </c>
      <c r="AE519" s="266">
        <f>IF($Z519="",0,Shares!J519*Shares!I519)</f>
        <v>0</v>
      </c>
      <c r="AF519" s="267">
        <f t="shared" si="47"/>
        <v>0</v>
      </c>
      <c r="AG519" s="266">
        <f>IF($Z519="",0,Shares!L519)</f>
        <v>0</v>
      </c>
      <c r="AH519" s="267">
        <f>IF($Z519="",0,Shares!M519)</f>
        <v>0</v>
      </c>
      <c r="AI519" s="243" t="str">
        <f>IF($Z519="","",RANK(AE519,$AE$2:$AE$1001)+COUNTIF($AE$2:AE519,AE519)-1)</f>
        <v/>
      </c>
      <c r="AJ519" s="243" t="str">
        <f>IF($AD519&lt;0,COUNT($AJ$1:AJ518)+1,"")</f>
        <v/>
      </c>
      <c r="AL519" s="243" t="str">
        <f>'All Ticker P&amp;L'!A519</f>
        <v/>
      </c>
      <c r="AM519" s="243" t="str">
        <f>'All Ticker P&amp;L'!B519</f>
        <v/>
      </c>
      <c r="AN519" s="243" t="str">
        <f>'All Ticker P&amp;L'!C519</f>
        <v/>
      </c>
      <c r="AO519" s="243" t="str">
        <f>'All Ticker P&amp;L'!D519</f>
        <v/>
      </c>
      <c r="AP519" s="243">
        <f>IF($AL519="",0,'All Ticker P&amp;L'!E519)</f>
        <v>0</v>
      </c>
      <c r="AQ519" s="266">
        <f>IF($AL519="",0,'All Ticker P&amp;L'!J519*'All Ticker P&amp;L'!I519)</f>
        <v>0</v>
      </c>
      <c r="AR519" s="266">
        <f>IF($AL519="",0,'All Ticker P&amp;L'!L519)</f>
        <v>0</v>
      </c>
      <c r="AS519" s="267">
        <f>IF($AL519="",0,'All Ticker P&amp;L'!M519)</f>
        <v>0</v>
      </c>
      <c r="AT519" s="243" t="str">
        <f>IF($AL519="","",RANK(AR519,$AR$2:$AR$1001)+COUNTIF($AR$2:AR519,AR519)-1)</f>
        <v/>
      </c>
      <c r="AU519" s="243" t="str">
        <f>IF($AL519="","",RANK(AV519,$AV$2:$AV$1001)+COUNTIF($AV$2:AV519,AV519)-1)</f>
        <v/>
      </c>
      <c r="AV519" s="266">
        <f t="shared" si="48"/>
        <v>0</v>
      </c>
    </row>
    <row r="520" spans="26:48" ht="15" customHeight="1" x14ac:dyDescent="0.2">
      <c r="Z520" s="243" t="str">
        <f>Shares!A520</f>
        <v/>
      </c>
      <c r="AA520" s="243" t="str">
        <f>Shares!B520</f>
        <v/>
      </c>
      <c r="AB520" s="243" t="str">
        <f>Shares!C520</f>
        <v/>
      </c>
      <c r="AC520" s="243" t="str">
        <f>Shares!D520</f>
        <v/>
      </c>
      <c r="AD520" s="243">
        <f>IF($Z520="",0,Shares!E520)</f>
        <v>0</v>
      </c>
      <c r="AE520" s="266">
        <f>IF($Z520="",0,Shares!J520*Shares!I520)</f>
        <v>0</v>
      </c>
      <c r="AF520" s="267">
        <f t="shared" si="47"/>
        <v>0</v>
      </c>
      <c r="AG520" s="266">
        <f>IF($Z520="",0,Shares!L520)</f>
        <v>0</v>
      </c>
      <c r="AH520" s="267">
        <f>IF($Z520="",0,Shares!M520)</f>
        <v>0</v>
      </c>
      <c r="AI520" s="243" t="str">
        <f>IF($Z520="","",RANK(AE520,$AE$2:$AE$1001)+COUNTIF($AE$2:AE520,AE520)-1)</f>
        <v/>
      </c>
      <c r="AJ520" s="243" t="str">
        <f>IF($AD520&lt;0,COUNT($AJ$1:AJ519)+1,"")</f>
        <v/>
      </c>
      <c r="AL520" s="243" t="str">
        <f>'All Ticker P&amp;L'!A520</f>
        <v/>
      </c>
      <c r="AM520" s="243" t="str">
        <f>'All Ticker P&amp;L'!B520</f>
        <v/>
      </c>
      <c r="AN520" s="243" t="str">
        <f>'All Ticker P&amp;L'!C520</f>
        <v/>
      </c>
      <c r="AO520" s="243" t="str">
        <f>'All Ticker P&amp;L'!D520</f>
        <v/>
      </c>
      <c r="AP520" s="243">
        <f>IF($AL520="",0,'All Ticker P&amp;L'!E520)</f>
        <v>0</v>
      </c>
      <c r="AQ520" s="266">
        <f>IF($AL520="",0,'All Ticker P&amp;L'!J520*'All Ticker P&amp;L'!I520)</f>
        <v>0</v>
      </c>
      <c r="AR520" s="266">
        <f>IF($AL520="",0,'All Ticker P&amp;L'!L520)</f>
        <v>0</v>
      </c>
      <c r="AS520" s="267">
        <f>IF($AL520="",0,'All Ticker P&amp;L'!M520)</f>
        <v>0</v>
      </c>
      <c r="AT520" s="243" t="str">
        <f>IF($AL520="","",RANK(AR520,$AR$2:$AR$1001)+COUNTIF($AR$2:AR520,AR520)-1)</f>
        <v/>
      </c>
      <c r="AU520" s="243" t="str">
        <f>IF($AL520="","",RANK(AV520,$AV$2:$AV$1001)+COUNTIF($AV$2:AV520,AV520)-1)</f>
        <v/>
      </c>
      <c r="AV520" s="266">
        <f t="shared" si="48"/>
        <v>0</v>
      </c>
    </row>
    <row r="521" spans="26:48" ht="15" customHeight="1" x14ac:dyDescent="0.2">
      <c r="Z521" s="243" t="str">
        <f>Shares!A521</f>
        <v/>
      </c>
      <c r="AA521" s="243" t="str">
        <f>Shares!B521</f>
        <v/>
      </c>
      <c r="AB521" s="243" t="str">
        <f>Shares!C521</f>
        <v/>
      </c>
      <c r="AC521" s="243" t="str">
        <f>Shares!D521</f>
        <v/>
      </c>
      <c r="AD521" s="243">
        <f>IF($Z521="",0,Shares!E521)</f>
        <v>0</v>
      </c>
      <c r="AE521" s="266">
        <f>IF($Z521="",0,Shares!J521*Shares!I521)</f>
        <v>0</v>
      </c>
      <c r="AF521" s="267">
        <f t="shared" si="47"/>
        <v>0</v>
      </c>
      <c r="AG521" s="266">
        <f>IF($Z521="",0,Shares!L521)</f>
        <v>0</v>
      </c>
      <c r="AH521" s="267">
        <f>IF($Z521="",0,Shares!M521)</f>
        <v>0</v>
      </c>
      <c r="AI521" s="243" t="str">
        <f>IF($Z521="","",RANK(AE521,$AE$2:$AE$1001)+COUNTIF($AE$2:AE521,AE521)-1)</f>
        <v/>
      </c>
      <c r="AJ521" s="243" t="str">
        <f>IF($AD521&lt;0,COUNT($AJ$1:AJ520)+1,"")</f>
        <v/>
      </c>
      <c r="AL521" s="243" t="str">
        <f>'All Ticker P&amp;L'!A521</f>
        <v/>
      </c>
      <c r="AM521" s="243" t="str">
        <f>'All Ticker P&amp;L'!B521</f>
        <v/>
      </c>
      <c r="AN521" s="243" t="str">
        <f>'All Ticker P&amp;L'!C521</f>
        <v/>
      </c>
      <c r="AO521" s="243" t="str">
        <f>'All Ticker P&amp;L'!D521</f>
        <v/>
      </c>
      <c r="AP521" s="243">
        <f>IF($AL521="",0,'All Ticker P&amp;L'!E521)</f>
        <v>0</v>
      </c>
      <c r="AQ521" s="266">
        <f>IF($AL521="",0,'All Ticker P&amp;L'!J521*'All Ticker P&amp;L'!I521)</f>
        <v>0</v>
      </c>
      <c r="AR521" s="266">
        <f>IF($AL521="",0,'All Ticker P&amp;L'!L521)</f>
        <v>0</v>
      </c>
      <c r="AS521" s="267">
        <f>IF($AL521="",0,'All Ticker P&amp;L'!M521)</f>
        <v>0</v>
      </c>
      <c r="AT521" s="243" t="str">
        <f>IF($AL521="","",RANK(AR521,$AR$2:$AR$1001)+COUNTIF($AR$2:AR521,AR521)-1)</f>
        <v/>
      </c>
      <c r="AU521" s="243" t="str">
        <f>IF($AL521="","",RANK(AV521,$AV$2:$AV$1001)+COUNTIF($AV$2:AV521,AV521)-1)</f>
        <v/>
      </c>
      <c r="AV521" s="266">
        <f t="shared" si="48"/>
        <v>0</v>
      </c>
    </row>
    <row r="522" spans="26:48" ht="15" customHeight="1" x14ac:dyDescent="0.2">
      <c r="Z522" s="243" t="str">
        <f>Shares!A522</f>
        <v/>
      </c>
      <c r="AA522" s="243" t="str">
        <f>Shares!B522</f>
        <v/>
      </c>
      <c r="AB522" s="243" t="str">
        <f>Shares!C522</f>
        <v/>
      </c>
      <c r="AC522" s="243" t="str">
        <f>Shares!D522</f>
        <v/>
      </c>
      <c r="AD522" s="243">
        <f>IF($Z522="",0,Shares!E522)</f>
        <v>0</v>
      </c>
      <c r="AE522" s="266">
        <f>IF($Z522="",0,Shares!J522*Shares!I522)</f>
        <v>0</v>
      </c>
      <c r="AF522" s="267">
        <f t="shared" si="47"/>
        <v>0</v>
      </c>
      <c r="AG522" s="266">
        <f>IF($Z522="",0,Shares!L522)</f>
        <v>0</v>
      </c>
      <c r="AH522" s="267">
        <f>IF($Z522="",0,Shares!M522)</f>
        <v>0</v>
      </c>
      <c r="AI522" s="243" t="str">
        <f>IF($Z522="","",RANK(AE522,$AE$2:$AE$1001)+COUNTIF($AE$2:AE522,AE522)-1)</f>
        <v/>
      </c>
      <c r="AJ522" s="243" t="str">
        <f>IF($AD522&lt;0,COUNT($AJ$1:AJ521)+1,"")</f>
        <v/>
      </c>
      <c r="AL522" s="243" t="str">
        <f>'All Ticker P&amp;L'!A522</f>
        <v/>
      </c>
      <c r="AM522" s="243" t="str">
        <f>'All Ticker P&amp;L'!B522</f>
        <v/>
      </c>
      <c r="AN522" s="243" t="str">
        <f>'All Ticker P&amp;L'!C522</f>
        <v/>
      </c>
      <c r="AO522" s="243" t="str">
        <f>'All Ticker P&amp;L'!D522</f>
        <v/>
      </c>
      <c r="AP522" s="243">
        <f>IF($AL522="",0,'All Ticker P&amp;L'!E522)</f>
        <v>0</v>
      </c>
      <c r="AQ522" s="266">
        <f>IF($AL522="",0,'All Ticker P&amp;L'!J522*'All Ticker P&amp;L'!I522)</f>
        <v>0</v>
      </c>
      <c r="AR522" s="266">
        <f>IF($AL522="",0,'All Ticker P&amp;L'!L522)</f>
        <v>0</v>
      </c>
      <c r="AS522" s="267">
        <f>IF($AL522="",0,'All Ticker P&amp;L'!M522)</f>
        <v>0</v>
      </c>
      <c r="AT522" s="243" t="str">
        <f>IF($AL522="","",RANK(AR522,$AR$2:$AR$1001)+COUNTIF($AR$2:AR522,AR522)-1)</f>
        <v/>
      </c>
      <c r="AU522" s="243" t="str">
        <f>IF($AL522="","",RANK(AV522,$AV$2:$AV$1001)+COUNTIF($AV$2:AV522,AV522)-1)</f>
        <v/>
      </c>
      <c r="AV522" s="266">
        <f t="shared" si="48"/>
        <v>0</v>
      </c>
    </row>
    <row r="523" spans="26:48" ht="15" customHeight="1" x14ac:dyDescent="0.2">
      <c r="Z523" s="243" t="str">
        <f>Shares!A523</f>
        <v/>
      </c>
      <c r="AA523" s="243" t="str">
        <f>Shares!B523</f>
        <v/>
      </c>
      <c r="AB523" s="243" t="str">
        <f>Shares!C523</f>
        <v/>
      </c>
      <c r="AC523" s="243" t="str">
        <f>Shares!D523</f>
        <v/>
      </c>
      <c r="AD523" s="243">
        <f>IF($Z523="",0,Shares!E523)</f>
        <v>0</v>
      </c>
      <c r="AE523" s="266">
        <f>IF($Z523="",0,Shares!J523*Shares!I523)</f>
        <v>0</v>
      </c>
      <c r="AF523" s="267">
        <f t="shared" si="47"/>
        <v>0</v>
      </c>
      <c r="AG523" s="266">
        <f>IF($Z523="",0,Shares!L523)</f>
        <v>0</v>
      </c>
      <c r="AH523" s="267">
        <f>IF($Z523="",0,Shares!M523)</f>
        <v>0</v>
      </c>
      <c r="AI523" s="243" t="str">
        <f>IF($Z523="","",RANK(AE523,$AE$2:$AE$1001)+COUNTIF($AE$2:AE523,AE523)-1)</f>
        <v/>
      </c>
      <c r="AJ523" s="243" t="str">
        <f>IF($AD523&lt;0,COUNT($AJ$1:AJ522)+1,"")</f>
        <v/>
      </c>
      <c r="AL523" s="243" t="str">
        <f>'All Ticker P&amp;L'!A523</f>
        <v/>
      </c>
      <c r="AM523" s="243" t="str">
        <f>'All Ticker P&amp;L'!B523</f>
        <v/>
      </c>
      <c r="AN523" s="243" t="str">
        <f>'All Ticker P&amp;L'!C523</f>
        <v/>
      </c>
      <c r="AO523" s="243" t="str">
        <f>'All Ticker P&amp;L'!D523</f>
        <v/>
      </c>
      <c r="AP523" s="243">
        <f>IF($AL523="",0,'All Ticker P&amp;L'!E523)</f>
        <v>0</v>
      </c>
      <c r="AQ523" s="266">
        <f>IF($AL523="",0,'All Ticker P&amp;L'!J523*'All Ticker P&amp;L'!I523)</f>
        <v>0</v>
      </c>
      <c r="AR523" s="266">
        <f>IF($AL523="",0,'All Ticker P&amp;L'!L523)</f>
        <v>0</v>
      </c>
      <c r="AS523" s="267">
        <f>IF($AL523="",0,'All Ticker P&amp;L'!M523)</f>
        <v>0</v>
      </c>
      <c r="AT523" s="243" t="str">
        <f>IF($AL523="","",RANK(AR523,$AR$2:$AR$1001)+COUNTIF($AR$2:AR523,AR523)-1)</f>
        <v/>
      </c>
      <c r="AU523" s="243" t="str">
        <f>IF($AL523="","",RANK(AV523,$AV$2:$AV$1001)+COUNTIF($AV$2:AV523,AV523)-1)</f>
        <v/>
      </c>
      <c r="AV523" s="266">
        <f t="shared" si="48"/>
        <v>0</v>
      </c>
    </row>
    <row r="524" spans="26:48" ht="15" customHeight="1" x14ac:dyDescent="0.2">
      <c r="Z524" s="243" t="str">
        <f>Shares!A524</f>
        <v/>
      </c>
      <c r="AA524" s="243" t="str">
        <f>Shares!B524</f>
        <v/>
      </c>
      <c r="AB524" s="243" t="str">
        <f>Shares!C524</f>
        <v/>
      </c>
      <c r="AC524" s="243" t="str">
        <f>Shares!D524</f>
        <v/>
      </c>
      <c r="AD524" s="243">
        <f>IF($Z524="",0,Shares!E524)</f>
        <v>0</v>
      </c>
      <c r="AE524" s="266">
        <f>IF($Z524="",0,Shares!J524*Shares!I524)</f>
        <v>0</v>
      </c>
      <c r="AF524" s="267">
        <f t="shared" si="47"/>
        <v>0</v>
      </c>
      <c r="AG524" s="266">
        <f>IF($Z524="",0,Shares!L524)</f>
        <v>0</v>
      </c>
      <c r="AH524" s="267">
        <f>IF($Z524="",0,Shares!M524)</f>
        <v>0</v>
      </c>
      <c r="AI524" s="243" t="str">
        <f>IF($Z524="","",RANK(AE524,$AE$2:$AE$1001)+COUNTIF($AE$2:AE524,AE524)-1)</f>
        <v/>
      </c>
      <c r="AJ524" s="243" t="str">
        <f>IF($AD524&lt;0,COUNT($AJ$1:AJ523)+1,"")</f>
        <v/>
      </c>
      <c r="AL524" s="243" t="str">
        <f>'All Ticker P&amp;L'!A524</f>
        <v/>
      </c>
      <c r="AM524" s="243" t="str">
        <f>'All Ticker P&amp;L'!B524</f>
        <v/>
      </c>
      <c r="AN524" s="243" t="str">
        <f>'All Ticker P&amp;L'!C524</f>
        <v/>
      </c>
      <c r="AO524" s="243" t="str">
        <f>'All Ticker P&amp;L'!D524</f>
        <v/>
      </c>
      <c r="AP524" s="243">
        <f>IF($AL524="",0,'All Ticker P&amp;L'!E524)</f>
        <v>0</v>
      </c>
      <c r="AQ524" s="266">
        <f>IF($AL524="",0,'All Ticker P&amp;L'!J524*'All Ticker P&amp;L'!I524)</f>
        <v>0</v>
      </c>
      <c r="AR524" s="266">
        <f>IF($AL524="",0,'All Ticker P&amp;L'!L524)</f>
        <v>0</v>
      </c>
      <c r="AS524" s="267">
        <f>IF($AL524="",0,'All Ticker P&amp;L'!M524)</f>
        <v>0</v>
      </c>
      <c r="AT524" s="243" t="str">
        <f>IF($AL524="","",RANK(AR524,$AR$2:$AR$1001)+COUNTIF($AR$2:AR524,AR524)-1)</f>
        <v/>
      </c>
      <c r="AU524" s="243" t="str">
        <f>IF($AL524="","",RANK(AV524,$AV$2:$AV$1001)+COUNTIF($AV$2:AV524,AV524)-1)</f>
        <v/>
      </c>
      <c r="AV524" s="266">
        <f t="shared" si="48"/>
        <v>0</v>
      </c>
    </row>
    <row r="525" spans="26:48" ht="15" customHeight="1" x14ac:dyDescent="0.2">
      <c r="Z525" s="243" t="str">
        <f>Shares!A525</f>
        <v/>
      </c>
      <c r="AA525" s="243" t="str">
        <f>Shares!B525</f>
        <v/>
      </c>
      <c r="AB525" s="243" t="str">
        <f>Shares!C525</f>
        <v/>
      </c>
      <c r="AC525" s="243" t="str">
        <f>Shares!D525</f>
        <v/>
      </c>
      <c r="AD525" s="243">
        <f>IF($Z525="",0,Shares!E525)</f>
        <v>0</v>
      </c>
      <c r="AE525" s="266">
        <f>IF($Z525="",0,Shares!J525*Shares!I525)</f>
        <v>0</v>
      </c>
      <c r="AF525" s="267">
        <f t="shared" si="47"/>
        <v>0</v>
      </c>
      <c r="AG525" s="266">
        <f>IF($Z525="",0,Shares!L525)</f>
        <v>0</v>
      </c>
      <c r="AH525" s="267">
        <f>IF($Z525="",0,Shares!M525)</f>
        <v>0</v>
      </c>
      <c r="AI525" s="243" t="str">
        <f>IF($Z525="","",RANK(AE525,$AE$2:$AE$1001)+COUNTIF($AE$2:AE525,AE525)-1)</f>
        <v/>
      </c>
      <c r="AJ525" s="243" t="str">
        <f>IF($AD525&lt;0,COUNT($AJ$1:AJ524)+1,"")</f>
        <v/>
      </c>
      <c r="AL525" s="243" t="str">
        <f>'All Ticker P&amp;L'!A525</f>
        <v/>
      </c>
      <c r="AM525" s="243" t="str">
        <f>'All Ticker P&amp;L'!B525</f>
        <v/>
      </c>
      <c r="AN525" s="243" t="str">
        <f>'All Ticker P&amp;L'!C525</f>
        <v/>
      </c>
      <c r="AO525" s="243" t="str">
        <f>'All Ticker P&amp;L'!D525</f>
        <v/>
      </c>
      <c r="AP525" s="243">
        <f>IF($AL525="",0,'All Ticker P&amp;L'!E525)</f>
        <v>0</v>
      </c>
      <c r="AQ525" s="266">
        <f>IF($AL525="",0,'All Ticker P&amp;L'!J525*'All Ticker P&amp;L'!I525)</f>
        <v>0</v>
      </c>
      <c r="AR525" s="266">
        <f>IF($AL525="",0,'All Ticker P&amp;L'!L525)</f>
        <v>0</v>
      </c>
      <c r="AS525" s="267">
        <f>IF($AL525="",0,'All Ticker P&amp;L'!M525)</f>
        <v>0</v>
      </c>
      <c r="AT525" s="243" t="str">
        <f>IF($AL525="","",RANK(AR525,$AR$2:$AR$1001)+COUNTIF($AR$2:AR525,AR525)-1)</f>
        <v/>
      </c>
      <c r="AU525" s="243" t="str">
        <f>IF($AL525="","",RANK(AV525,$AV$2:$AV$1001)+COUNTIF($AV$2:AV525,AV525)-1)</f>
        <v/>
      </c>
      <c r="AV525" s="266">
        <f t="shared" si="48"/>
        <v>0</v>
      </c>
    </row>
    <row r="526" spans="26:48" ht="15" customHeight="1" x14ac:dyDescent="0.2">
      <c r="Z526" s="243" t="str">
        <f>Shares!A526</f>
        <v/>
      </c>
      <c r="AA526" s="243" t="str">
        <f>Shares!B526</f>
        <v/>
      </c>
      <c r="AB526" s="243" t="str">
        <f>Shares!C526</f>
        <v/>
      </c>
      <c r="AC526" s="243" t="str">
        <f>Shares!D526</f>
        <v/>
      </c>
      <c r="AD526" s="243">
        <f>IF($Z526="",0,Shares!E526)</f>
        <v>0</v>
      </c>
      <c r="AE526" s="266">
        <f>IF($Z526="",0,Shares!J526*Shares!I526)</f>
        <v>0</v>
      </c>
      <c r="AF526" s="267">
        <f t="shared" si="47"/>
        <v>0</v>
      </c>
      <c r="AG526" s="266">
        <f>IF($Z526="",0,Shares!L526)</f>
        <v>0</v>
      </c>
      <c r="AH526" s="267">
        <f>IF($Z526="",0,Shares!M526)</f>
        <v>0</v>
      </c>
      <c r="AI526" s="243" t="str">
        <f>IF($Z526="","",RANK(AE526,$AE$2:$AE$1001)+COUNTIF($AE$2:AE526,AE526)-1)</f>
        <v/>
      </c>
      <c r="AJ526" s="243" t="str">
        <f>IF($AD526&lt;0,COUNT($AJ$1:AJ525)+1,"")</f>
        <v/>
      </c>
      <c r="AL526" s="243" t="str">
        <f>'All Ticker P&amp;L'!A526</f>
        <v/>
      </c>
      <c r="AM526" s="243" t="str">
        <f>'All Ticker P&amp;L'!B526</f>
        <v/>
      </c>
      <c r="AN526" s="243" t="str">
        <f>'All Ticker P&amp;L'!C526</f>
        <v/>
      </c>
      <c r="AO526" s="243" t="str">
        <f>'All Ticker P&amp;L'!D526</f>
        <v/>
      </c>
      <c r="AP526" s="243">
        <f>IF($AL526="",0,'All Ticker P&amp;L'!E526)</f>
        <v>0</v>
      </c>
      <c r="AQ526" s="266">
        <f>IF($AL526="",0,'All Ticker P&amp;L'!J526*'All Ticker P&amp;L'!I526)</f>
        <v>0</v>
      </c>
      <c r="AR526" s="266">
        <f>IF($AL526="",0,'All Ticker P&amp;L'!L526)</f>
        <v>0</v>
      </c>
      <c r="AS526" s="267">
        <f>IF($AL526="",0,'All Ticker P&amp;L'!M526)</f>
        <v>0</v>
      </c>
      <c r="AT526" s="243" t="str">
        <f>IF($AL526="","",RANK(AR526,$AR$2:$AR$1001)+COUNTIF($AR$2:AR526,AR526)-1)</f>
        <v/>
      </c>
      <c r="AU526" s="243" t="str">
        <f>IF($AL526="","",RANK(AV526,$AV$2:$AV$1001)+COUNTIF($AV$2:AV526,AV526)-1)</f>
        <v/>
      </c>
      <c r="AV526" s="266">
        <f t="shared" si="48"/>
        <v>0</v>
      </c>
    </row>
    <row r="527" spans="26:48" ht="15" customHeight="1" x14ac:dyDescent="0.2">
      <c r="Z527" s="243" t="str">
        <f>Shares!A527</f>
        <v/>
      </c>
      <c r="AA527" s="243" t="str">
        <f>Shares!B527</f>
        <v/>
      </c>
      <c r="AB527" s="243" t="str">
        <f>Shares!C527</f>
        <v/>
      </c>
      <c r="AC527" s="243" t="str">
        <f>Shares!D527</f>
        <v/>
      </c>
      <c r="AD527" s="243">
        <f>IF($Z527="",0,Shares!E527)</f>
        <v>0</v>
      </c>
      <c r="AE527" s="266">
        <f>IF($Z527="",0,Shares!J527*Shares!I527)</f>
        <v>0</v>
      </c>
      <c r="AF527" s="267">
        <f t="shared" si="47"/>
        <v>0</v>
      </c>
      <c r="AG527" s="266">
        <f>IF($Z527="",0,Shares!L527)</f>
        <v>0</v>
      </c>
      <c r="AH527" s="267">
        <f>IF($Z527="",0,Shares!M527)</f>
        <v>0</v>
      </c>
      <c r="AI527" s="243" t="str">
        <f>IF($Z527="","",RANK(AE527,$AE$2:$AE$1001)+COUNTIF($AE$2:AE527,AE527)-1)</f>
        <v/>
      </c>
      <c r="AJ527" s="243" t="str">
        <f>IF($AD527&lt;0,COUNT($AJ$1:AJ526)+1,"")</f>
        <v/>
      </c>
      <c r="AL527" s="243" t="str">
        <f>'All Ticker P&amp;L'!A527</f>
        <v/>
      </c>
      <c r="AM527" s="243" t="str">
        <f>'All Ticker P&amp;L'!B527</f>
        <v/>
      </c>
      <c r="AN527" s="243" t="str">
        <f>'All Ticker P&amp;L'!C527</f>
        <v/>
      </c>
      <c r="AO527" s="243" t="str">
        <f>'All Ticker P&amp;L'!D527</f>
        <v/>
      </c>
      <c r="AP527" s="243">
        <f>IF($AL527="",0,'All Ticker P&amp;L'!E527)</f>
        <v>0</v>
      </c>
      <c r="AQ527" s="266">
        <f>IF($AL527="",0,'All Ticker P&amp;L'!J527*'All Ticker P&amp;L'!I527)</f>
        <v>0</v>
      </c>
      <c r="AR527" s="266">
        <f>IF($AL527="",0,'All Ticker P&amp;L'!L527)</f>
        <v>0</v>
      </c>
      <c r="AS527" s="267">
        <f>IF($AL527="",0,'All Ticker P&amp;L'!M527)</f>
        <v>0</v>
      </c>
      <c r="AT527" s="243" t="str">
        <f>IF($AL527="","",RANK(AR527,$AR$2:$AR$1001)+COUNTIF($AR$2:AR527,AR527)-1)</f>
        <v/>
      </c>
      <c r="AU527" s="243" t="str">
        <f>IF($AL527="","",RANK(AV527,$AV$2:$AV$1001)+COUNTIF($AV$2:AV527,AV527)-1)</f>
        <v/>
      </c>
      <c r="AV527" s="266">
        <f t="shared" si="48"/>
        <v>0</v>
      </c>
    </row>
    <row r="528" spans="26:48" ht="15" customHeight="1" x14ac:dyDescent="0.2">
      <c r="Z528" s="243" t="str">
        <f>Shares!A528</f>
        <v/>
      </c>
      <c r="AA528" s="243" t="str">
        <f>Shares!B528</f>
        <v/>
      </c>
      <c r="AB528" s="243" t="str">
        <f>Shares!C528</f>
        <v/>
      </c>
      <c r="AC528" s="243" t="str">
        <f>Shares!D528</f>
        <v/>
      </c>
      <c r="AD528" s="243">
        <f>IF($Z528="",0,Shares!E528)</f>
        <v>0</v>
      </c>
      <c r="AE528" s="266">
        <f>IF($Z528="",0,Shares!J528*Shares!I528)</f>
        <v>0</v>
      </c>
      <c r="AF528" s="267">
        <f t="shared" si="47"/>
        <v>0</v>
      </c>
      <c r="AG528" s="266">
        <f>IF($Z528="",0,Shares!L528)</f>
        <v>0</v>
      </c>
      <c r="AH528" s="267">
        <f>IF($Z528="",0,Shares!M528)</f>
        <v>0</v>
      </c>
      <c r="AI528" s="243" t="str">
        <f>IF($Z528="","",RANK(AE528,$AE$2:$AE$1001)+COUNTIF($AE$2:AE528,AE528)-1)</f>
        <v/>
      </c>
      <c r="AJ528" s="243" t="str">
        <f>IF($AD528&lt;0,COUNT($AJ$1:AJ527)+1,"")</f>
        <v/>
      </c>
      <c r="AL528" s="243" t="str">
        <f>'All Ticker P&amp;L'!A528</f>
        <v/>
      </c>
      <c r="AM528" s="243" t="str">
        <f>'All Ticker P&amp;L'!B528</f>
        <v/>
      </c>
      <c r="AN528" s="243" t="str">
        <f>'All Ticker P&amp;L'!C528</f>
        <v/>
      </c>
      <c r="AO528" s="243" t="str">
        <f>'All Ticker P&amp;L'!D528</f>
        <v/>
      </c>
      <c r="AP528" s="243">
        <f>IF($AL528="",0,'All Ticker P&amp;L'!E528)</f>
        <v>0</v>
      </c>
      <c r="AQ528" s="266">
        <f>IF($AL528="",0,'All Ticker P&amp;L'!J528*'All Ticker P&amp;L'!I528)</f>
        <v>0</v>
      </c>
      <c r="AR528" s="266">
        <f>IF($AL528="",0,'All Ticker P&amp;L'!L528)</f>
        <v>0</v>
      </c>
      <c r="AS528" s="267">
        <f>IF($AL528="",0,'All Ticker P&amp;L'!M528)</f>
        <v>0</v>
      </c>
      <c r="AT528" s="243" t="str">
        <f>IF($AL528="","",RANK(AR528,$AR$2:$AR$1001)+COUNTIF($AR$2:AR528,AR528)-1)</f>
        <v/>
      </c>
      <c r="AU528" s="243" t="str">
        <f>IF($AL528="","",RANK(AV528,$AV$2:$AV$1001)+COUNTIF($AV$2:AV528,AV528)-1)</f>
        <v/>
      </c>
      <c r="AV528" s="266">
        <f t="shared" si="48"/>
        <v>0</v>
      </c>
    </row>
    <row r="529" spans="26:48" ht="15" customHeight="1" x14ac:dyDescent="0.2">
      <c r="Z529" s="243" t="str">
        <f>Shares!A529</f>
        <v/>
      </c>
      <c r="AA529" s="243" t="str">
        <f>Shares!B529</f>
        <v/>
      </c>
      <c r="AB529" s="243" t="str">
        <f>Shares!C529</f>
        <v/>
      </c>
      <c r="AC529" s="243" t="str">
        <f>Shares!D529</f>
        <v/>
      </c>
      <c r="AD529" s="243">
        <f>IF($Z529="",0,Shares!E529)</f>
        <v>0</v>
      </c>
      <c r="AE529" s="266">
        <f>IF($Z529="",0,Shares!J529*Shares!I529)</f>
        <v>0</v>
      </c>
      <c r="AF529" s="267">
        <f t="shared" si="47"/>
        <v>0</v>
      </c>
      <c r="AG529" s="266">
        <f>IF($Z529="",0,Shares!L529)</f>
        <v>0</v>
      </c>
      <c r="AH529" s="267">
        <f>IF($Z529="",0,Shares!M529)</f>
        <v>0</v>
      </c>
      <c r="AI529" s="243" t="str">
        <f>IF($Z529="","",RANK(AE529,$AE$2:$AE$1001)+COUNTIF($AE$2:AE529,AE529)-1)</f>
        <v/>
      </c>
      <c r="AJ529" s="243" t="str">
        <f>IF($AD529&lt;0,COUNT($AJ$1:AJ528)+1,"")</f>
        <v/>
      </c>
      <c r="AL529" s="243" t="str">
        <f>'All Ticker P&amp;L'!A529</f>
        <v/>
      </c>
      <c r="AM529" s="243" t="str">
        <f>'All Ticker P&amp;L'!B529</f>
        <v/>
      </c>
      <c r="AN529" s="243" t="str">
        <f>'All Ticker P&amp;L'!C529</f>
        <v/>
      </c>
      <c r="AO529" s="243" t="str">
        <f>'All Ticker P&amp;L'!D529</f>
        <v/>
      </c>
      <c r="AP529" s="243">
        <f>IF($AL529="",0,'All Ticker P&amp;L'!E529)</f>
        <v>0</v>
      </c>
      <c r="AQ529" s="266">
        <f>IF($AL529="",0,'All Ticker P&amp;L'!J529*'All Ticker P&amp;L'!I529)</f>
        <v>0</v>
      </c>
      <c r="AR529" s="266">
        <f>IF($AL529="",0,'All Ticker P&amp;L'!L529)</f>
        <v>0</v>
      </c>
      <c r="AS529" s="267">
        <f>IF($AL529="",0,'All Ticker P&amp;L'!M529)</f>
        <v>0</v>
      </c>
      <c r="AT529" s="243" t="str">
        <f>IF($AL529="","",RANK(AR529,$AR$2:$AR$1001)+COUNTIF($AR$2:AR529,AR529)-1)</f>
        <v/>
      </c>
      <c r="AU529" s="243" t="str">
        <f>IF($AL529="","",RANK(AV529,$AV$2:$AV$1001)+COUNTIF($AV$2:AV529,AV529)-1)</f>
        <v/>
      </c>
      <c r="AV529" s="266">
        <f t="shared" si="48"/>
        <v>0</v>
      </c>
    </row>
    <row r="530" spans="26:48" ht="15" customHeight="1" x14ac:dyDescent="0.2">
      <c r="Z530" s="243" t="str">
        <f>Shares!A530</f>
        <v/>
      </c>
      <c r="AA530" s="243" t="str">
        <f>Shares!B530</f>
        <v/>
      </c>
      <c r="AB530" s="243" t="str">
        <f>Shares!C530</f>
        <v/>
      </c>
      <c r="AC530" s="243" t="str">
        <f>Shares!D530</f>
        <v/>
      </c>
      <c r="AD530" s="243">
        <f>IF($Z530="",0,Shares!E530)</f>
        <v>0</v>
      </c>
      <c r="AE530" s="266">
        <f>IF($Z530="",0,Shares!J530*Shares!I530)</f>
        <v>0</v>
      </c>
      <c r="AF530" s="267">
        <f t="shared" si="47"/>
        <v>0</v>
      </c>
      <c r="AG530" s="266">
        <f>IF($Z530="",0,Shares!L530)</f>
        <v>0</v>
      </c>
      <c r="AH530" s="267">
        <f>IF($Z530="",0,Shares!M530)</f>
        <v>0</v>
      </c>
      <c r="AI530" s="243" t="str">
        <f>IF($Z530="","",RANK(AE530,$AE$2:$AE$1001)+COUNTIF($AE$2:AE530,AE530)-1)</f>
        <v/>
      </c>
      <c r="AJ530" s="243" t="str">
        <f>IF($AD530&lt;0,COUNT($AJ$1:AJ529)+1,"")</f>
        <v/>
      </c>
      <c r="AL530" s="243" t="str">
        <f>'All Ticker P&amp;L'!A530</f>
        <v/>
      </c>
      <c r="AM530" s="243" t="str">
        <f>'All Ticker P&amp;L'!B530</f>
        <v/>
      </c>
      <c r="AN530" s="243" t="str">
        <f>'All Ticker P&amp;L'!C530</f>
        <v/>
      </c>
      <c r="AO530" s="243" t="str">
        <f>'All Ticker P&amp;L'!D530</f>
        <v/>
      </c>
      <c r="AP530" s="243">
        <f>IF($AL530="",0,'All Ticker P&amp;L'!E530)</f>
        <v>0</v>
      </c>
      <c r="AQ530" s="266">
        <f>IF($AL530="",0,'All Ticker P&amp;L'!J530*'All Ticker P&amp;L'!I530)</f>
        <v>0</v>
      </c>
      <c r="AR530" s="266">
        <f>IF($AL530="",0,'All Ticker P&amp;L'!L530)</f>
        <v>0</v>
      </c>
      <c r="AS530" s="267">
        <f>IF($AL530="",0,'All Ticker P&amp;L'!M530)</f>
        <v>0</v>
      </c>
      <c r="AT530" s="243" t="str">
        <f>IF($AL530="","",RANK(AR530,$AR$2:$AR$1001)+COUNTIF($AR$2:AR530,AR530)-1)</f>
        <v/>
      </c>
      <c r="AU530" s="243" t="str">
        <f>IF($AL530="","",RANK(AV530,$AV$2:$AV$1001)+COUNTIF($AV$2:AV530,AV530)-1)</f>
        <v/>
      </c>
      <c r="AV530" s="266">
        <f t="shared" si="48"/>
        <v>0</v>
      </c>
    </row>
    <row r="531" spans="26:48" ht="15" customHeight="1" x14ac:dyDescent="0.2">
      <c r="Z531" s="243" t="str">
        <f>Shares!A531</f>
        <v/>
      </c>
      <c r="AA531" s="243" t="str">
        <f>Shares!B531</f>
        <v/>
      </c>
      <c r="AB531" s="243" t="str">
        <f>Shares!C531</f>
        <v/>
      </c>
      <c r="AC531" s="243" t="str">
        <f>Shares!D531</f>
        <v/>
      </c>
      <c r="AD531" s="243">
        <f>IF($Z531="",0,Shares!E531)</f>
        <v>0</v>
      </c>
      <c r="AE531" s="266">
        <f>IF($Z531="",0,Shares!J531*Shares!I531)</f>
        <v>0</v>
      </c>
      <c r="AF531" s="267">
        <f t="shared" si="47"/>
        <v>0</v>
      </c>
      <c r="AG531" s="266">
        <f>IF($Z531="",0,Shares!L531)</f>
        <v>0</v>
      </c>
      <c r="AH531" s="267">
        <f>IF($Z531="",0,Shares!M531)</f>
        <v>0</v>
      </c>
      <c r="AI531" s="243" t="str">
        <f>IF($Z531="","",RANK(AE531,$AE$2:$AE$1001)+COUNTIF($AE$2:AE531,AE531)-1)</f>
        <v/>
      </c>
      <c r="AJ531" s="243" t="str">
        <f>IF($AD531&lt;0,COUNT($AJ$1:AJ530)+1,"")</f>
        <v/>
      </c>
      <c r="AL531" s="243" t="str">
        <f>'All Ticker P&amp;L'!A531</f>
        <v/>
      </c>
      <c r="AM531" s="243" t="str">
        <f>'All Ticker P&amp;L'!B531</f>
        <v/>
      </c>
      <c r="AN531" s="243" t="str">
        <f>'All Ticker P&amp;L'!C531</f>
        <v/>
      </c>
      <c r="AO531" s="243" t="str">
        <f>'All Ticker P&amp;L'!D531</f>
        <v/>
      </c>
      <c r="AP531" s="243">
        <f>IF($AL531="",0,'All Ticker P&amp;L'!E531)</f>
        <v>0</v>
      </c>
      <c r="AQ531" s="266">
        <f>IF($AL531="",0,'All Ticker P&amp;L'!J531*'All Ticker P&amp;L'!I531)</f>
        <v>0</v>
      </c>
      <c r="AR531" s="266">
        <f>IF($AL531="",0,'All Ticker P&amp;L'!L531)</f>
        <v>0</v>
      </c>
      <c r="AS531" s="267">
        <f>IF($AL531="",0,'All Ticker P&amp;L'!M531)</f>
        <v>0</v>
      </c>
      <c r="AT531" s="243" t="str">
        <f>IF($AL531="","",RANK(AR531,$AR$2:$AR$1001)+COUNTIF($AR$2:AR531,AR531)-1)</f>
        <v/>
      </c>
      <c r="AU531" s="243" t="str">
        <f>IF($AL531="","",RANK(AV531,$AV$2:$AV$1001)+COUNTIF($AV$2:AV531,AV531)-1)</f>
        <v/>
      </c>
      <c r="AV531" s="266">
        <f t="shared" si="48"/>
        <v>0</v>
      </c>
    </row>
    <row r="532" spans="26:48" ht="15" customHeight="1" x14ac:dyDescent="0.2">
      <c r="Z532" s="243" t="str">
        <f>Shares!A532</f>
        <v/>
      </c>
      <c r="AA532" s="243" t="str">
        <f>Shares!B532</f>
        <v/>
      </c>
      <c r="AB532" s="243" t="str">
        <f>Shares!C532</f>
        <v/>
      </c>
      <c r="AC532" s="243" t="str">
        <f>Shares!D532</f>
        <v/>
      </c>
      <c r="AD532" s="243">
        <f>IF($Z532="",0,Shares!E532)</f>
        <v>0</v>
      </c>
      <c r="AE532" s="266">
        <f>IF($Z532="",0,Shares!J532*Shares!I532)</f>
        <v>0</v>
      </c>
      <c r="AF532" s="267">
        <f t="shared" si="47"/>
        <v>0</v>
      </c>
      <c r="AG532" s="266">
        <f>IF($Z532="",0,Shares!L532)</f>
        <v>0</v>
      </c>
      <c r="AH532" s="267">
        <f>IF($Z532="",0,Shares!M532)</f>
        <v>0</v>
      </c>
      <c r="AI532" s="243" t="str">
        <f>IF($Z532="","",RANK(AE532,$AE$2:$AE$1001)+COUNTIF($AE$2:AE532,AE532)-1)</f>
        <v/>
      </c>
      <c r="AJ532" s="243" t="str">
        <f>IF($AD532&lt;0,COUNT($AJ$1:AJ531)+1,"")</f>
        <v/>
      </c>
      <c r="AL532" s="243" t="str">
        <f>'All Ticker P&amp;L'!A532</f>
        <v/>
      </c>
      <c r="AM532" s="243" t="str">
        <f>'All Ticker P&amp;L'!B532</f>
        <v/>
      </c>
      <c r="AN532" s="243" t="str">
        <f>'All Ticker P&amp;L'!C532</f>
        <v/>
      </c>
      <c r="AO532" s="243" t="str">
        <f>'All Ticker P&amp;L'!D532</f>
        <v/>
      </c>
      <c r="AP532" s="243">
        <f>IF($AL532="",0,'All Ticker P&amp;L'!E532)</f>
        <v>0</v>
      </c>
      <c r="AQ532" s="266">
        <f>IF($AL532="",0,'All Ticker P&amp;L'!J532*'All Ticker P&amp;L'!I532)</f>
        <v>0</v>
      </c>
      <c r="AR532" s="266">
        <f>IF($AL532="",0,'All Ticker P&amp;L'!L532)</f>
        <v>0</v>
      </c>
      <c r="AS532" s="267">
        <f>IF($AL532="",0,'All Ticker P&amp;L'!M532)</f>
        <v>0</v>
      </c>
      <c r="AT532" s="243" t="str">
        <f>IF($AL532="","",RANK(AR532,$AR$2:$AR$1001)+COUNTIF($AR$2:AR532,AR532)-1)</f>
        <v/>
      </c>
      <c r="AU532" s="243" t="str">
        <f>IF($AL532="","",RANK(AV532,$AV$2:$AV$1001)+COUNTIF($AV$2:AV532,AV532)-1)</f>
        <v/>
      </c>
      <c r="AV532" s="266">
        <f t="shared" si="48"/>
        <v>0</v>
      </c>
    </row>
    <row r="533" spans="26:48" ht="15" customHeight="1" x14ac:dyDescent="0.2">
      <c r="Z533" s="243" t="str">
        <f>Shares!A533</f>
        <v/>
      </c>
      <c r="AA533" s="243" t="str">
        <f>Shares!B533</f>
        <v/>
      </c>
      <c r="AB533" s="243" t="str">
        <f>Shares!C533</f>
        <v/>
      </c>
      <c r="AC533" s="243" t="str">
        <f>Shares!D533</f>
        <v/>
      </c>
      <c r="AD533" s="243">
        <f>IF($Z533="",0,Shares!E533)</f>
        <v>0</v>
      </c>
      <c r="AE533" s="266">
        <f>IF($Z533="",0,Shares!J533*Shares!I533)</f>
        <v>0</v>
      </c>
      <c r="AF533" s="267">
        <f t="shared" si="47"/>
        <v>0</v>
      </c>
      <c r="AG533" s="266">
        <f>IF($Z533="",0,Shares!L533)</f>
        <v>0</v>
      </c>
      <c r="AH533" s="267">
        <f>IF($Z533="",0,Shares!M533)</f>
        <v>0</v>
      </c>
      <c r="AI533" s="243" t="str">
        <f>IF($Z533="","",RANK(AE533,$AE$2:$AE$1001)+COUNTIF($AE$2:AE533,AE533)-1)</f>
        <v/>
      </c>
      <c r="AJ533" s="243" t="str">
        <f>IF($AD533&lt;0,COUNT($AJ$1:AJ532)+1,"")</f>
        <v/>
      </c>
      <c r="AL533" s="243" t="str">
        <f>'All Ticker P&amp;L'!A533</f>
        <v/>
      </c>
      <c r="AM533" s="243" t="str">
        <f>'All Ticker P&amp;L'!B533</f>
        <v/>
      </c>
      <c r="AN533" s="243" t="str">
        <f>'All Ticker P&amp;L'!C533</f>
        <v/>
      </c>
      <c r="AO533" s="243" t="str">
        <f>'All Ticker P&amp;L'!D533</f>
        <v/>
      </c>
      <c r="AP533" s="243">
        <f>IF($AL533="",0,'All Ticker P&amp;L'!E533)</f>
        <v>0</v>
      </c>
      <c r="AQ533" s="266">
        <f>IF($AL533="",0,'All Ticker P&amp;L'!J533*'All Ticker P&amp;L'!I533)</f>
        <v>0</v>
      </c>
      <c r="AR533" s="266">
        <f>IF($AL533="",0,'All Ticker P&amp;L'!L533)</f>
        <v>0</v>
      </c>
      <c r="AS533" s="267">
        <f>IF($AL533="",0,'All Ticker P&amp;L'!M533)</f>
        <v>0</v>
      </c>
      <c r="AT533" s="243" t="str">
        <f>IF($AL533="","",RANK(AR533,$AR$2:$AR$1001)+COUNTIF($AR$2:AR533,AR533)-1)</f>
        <v/>
      </c>
      <c r="AU533" s="243" t="str">
        <f>IF($AL533="","",RANK(AV533,$AV$2:$AV$1001)+COUNTIF($AV$2:AV533,AV533)-1)</f>
        <v/>
      </c>
      <c r="AV533" s="266">
        <f t="shared" si="48"/>
        <v>0</v>
      </c>
    </row>
    <row r="534" spans="26:48" ht="15" customHeight="1" x14ac:dyDescent="0.2">
      <c r="Z534" s="243" t="str">
        <f>Shares!A534</f>
        <v/>
      </c>
      <c r="AA534" s="243" t="str">
        <f>Shares!B534</f>
        <v/>
      </c>
      <c r="AB534" s="243" t="str">
        <f>Shares!C534</f>
        <v/>
      </c>
      <c r="AC534" s="243" t="str">
        <f>Shares!D534</f>
        <v/>
      </c>
      <c r="AD534" s="243">
        <f>IF($Z534="",0,Shares!E534)</f>
        <v>0</v>
      </c>
      <c r="AE534" s="266">
        <f>IF($Z534="",0,Shares!J534*Shares!I534)</f>
        <v>0</v>
      </c>
      <c r="AF534" s="267">
        <f t="shared" si="47"/>
        <v>0</v>
      </c>
      <c r="AG534" s="266">
        <f>IF($Z534="",0,Shares!L534)</f>
        <v>0</v>
      </c>
      <c r="AH534" s="267">
        <f>IF($Z534="",0,Shares!M534)</f>
        <v>0</v>
      </c>
      <c r="AI534" s="243" t="str">
        <f>IF($Z534="","",RANK(AE534,$AE$2:$AE$1001)+COUNTIF($AE$2:AE534,AE534)-1)</f>
        <v/>
      </c>
      <c r="AJ534" s="243" t="str">
        <f>IF($AD534&lt;0,COUNT($AJ$1:AJ533)+1,"")</f>
        <v/>
      </c>
      <c r="AL534" s="243" t="str">
        <f>'All Ticker P&amp;L'!A534</f>
        <v/>
      </c>
      <c r="AM534" s="243" t="str">
        <f>'All Ticker P&amp;L'!B534</f>
        <v/>
      </c>
      <c r="AN534" s="243" t="str">
        <f>'All Ticker P&amp;L'!C534</f>
        <v/>
      </c>
      <c r="AO534" s="243" t="str">
        <f>'All Ticker P&amp;L'!D534</f>
        <v/>
      </c>
      <c r="AP534" s="243">
        <f>IF($AL534="",0,'All Ticker P&amp;L'!E534)</f>
        <v>0</v>
      </c>
      <c r="AQ534" s="266">
        <f>IF($AL534="",0,'All Ticker P&amp;L'!J534*'All Ticker P&amp;L'!I534)</f>
        <v>0</v>
      </c>
      <c r="AR534" s="266">
        <f>IF($AL534="",0,'All Ticker P&amp;L'!L534)</f>
        <v>0</v>
      </c>
      <c r="AS534" s="267">
        <f>IF($AL534="",0,'All Ticker P&amp;L'!M534)</f>
        <v>0</v>
      </c>
      <c r="AT534" s="243" t="str">
        <f>IF($AL534="","",RANK(AR534,$AR$2:$AR$1001)+COUNTIF($AR$2:AR534,AR534)-1)</f>
        <v/>
      </c>
      <c r="AU534" s="243" t="str">
        <f>IF($AL534="","",RANK(AV534,$AV$2:$AV$1001)+COUNTIF($AV$2:AV534,AV534)-1)</f>
        <v/>
      </c>
      <c r="AV534" s="266">
        <f t="shared" si="48"/>
        <v>0</v>
      </c>
    </row>
    <row r="535" spans="26:48" ht="15" customHeight="1" x14ac:dyDescent="0.2">
      <c r="Z535" s="243" t="str">
        <f>Shares!A535</f>
        <v/>
      </c>
      <c r="AA535" s="243" t="str">
        <f>Shares!B535</f>
        <v/>
      </c>
      <c r="AB535" s="243" t="str">
        <f>Shares!C535</f>
        <v/>
      </c>
      <c r="AC535" s="243" t="str">
        <f>Shares!D535</f>
        <v/>
      </c>
      <c r="AD535" s="243">
        <f>IF($Z535="",0,Shares!E535)</f>
        <v>0</v>
      </c>
      <c r="AE535" s="266">
        <f>IF($Z535="",0,Shares!J535*Shares!I535)</f>
        <v>0</v>
      </c>
      <c r="AF535" s="267">
        <f t="shared" si="47"/>
        <v>0</v>
      </c>
      <c r="AG535" s="266">
        <f>IF($Z535="",0,Shares!L535)</f>
        <v>0</v>
      </c>
      <c r="AH535" s="267">
        <f>IF($Z535="",0,Shares!M535)</f>
        <v>0</v>
      </c>
      <c r="AI535" s="243" t="str">
        <f>IF($Z535="","",RANK(AE535,$AE$2:$AE$1001)+COUNTIF($AE$2:AE535,AE535)-1)</f>
        <v/>
      </c>
      <c r="AJ535" s="243" t="str">
        <f>IF($AD535&lt;0,COUNT($AJ$1:AJ534)+1,"")</f>
        <v/>
      </c>
      <c r="AL535" s="243" t="str">
        <f>'All Ticker P&amp;L'!A535</f>
        <v/>
      </c>
      <c r="AM535" s="243" t="str">
        <f>'All Ticker P&amp;L'!B535</f>
        <v/>
      </c>
      <c r="AN535" s="243" t="str">
        <f>'All Ticker P&amp;L'!C535</f>
        <v/>
      </c>
      <c r="AO535" s="243" t="str">
        <f>'All Ticker P&amp;L'!D535</f>
        <v/>
      </c>
      <c r="AP535" s="243">
        <f>IF($AL535="",0,'All Ticker P&amp;L'!E535)</f>
        <v>0</v>
      </c>
      <c r="AQ535" s="266">
        <f>IF($AL535="",0,'All Ticker P&amp;L'!J535*'All Ticker P&amp;L'!I535)</f>
        <v>0</v>
      </c>
      <c r="AR535" s="266">
        <f>IF($AL535="",0,'All Ticker P&amp;L'!L535)</f>
        <v>0</v>
      </c>
      <c r="AS535" s="267">
        <f>IF($AL535="",0,'All Ticker P&amp;L'!M535)</f>
        <v>0</v>
      </c>
      <c r="AT535" s="243" t="str">
        <f>IF($AL535="","",RANK(AR535,$AR$2:$AR$1001)+COUNTIF($AR$2:AR535,AR535)-1)</f>
        <v/>
      </c>
      <c r="AU535" s="243" t="str">
        <f>IF($AL535="","",RANK(AV535,$AV$2:$AV$1001)+COUNTIF($AV$2:AV535,AV535)-1)</f>
        <v/>
      </c>
      <c r="AV535" s="266">
        <f t="shared" si="48"/>
        <v>0</v>
      </c>
    </row>
    <row r="536" spans="26:48" ht="15" customHeight="1" x14ac:dyDescent="0.2">
      <c r="Z536" s="243" t="str">
        <f>Shares!A536</f>
        <v/>
      </c>
      <c r="AA536" s="243" t="str">
        <f>Shares!B536</f>
        <v/>
      </c>
      <c r="AB536" s="243" t="str">
        <f>Shares!C536</f>
        <v/>
      </c>
      <c r="AC536" s="243" t="str">
        <f>Shares!D536</f>
        <v/>
      </c>
      <c r="AD536" s="243">
        <f>IF($Z536="",0,Shares!E536)</f>
        <v>0</v>
      </c>
      <c r="AE536" s="266">
        <f>IF($Z536="",0,Shares!J536*Shares!I536)</f>
        <v>0</v>
      </c>
      <c r="AF536" s="267">
        <f t="shared" si="47"/>
        <v>0</v>
      </c>
      <c r="AG536" s="266">
        <f>IF($Z536="",0,Shares!L536)</f>
        <v>0</v>
      </c>
      <c r="AH536" s="267">
        <f>IF($Z536="",0,Shares!M536)</f>
        <v>0</v>
      </c>
      <c r="AI536" s="243" t="str">
        <f>IF($Z536="","",RANK(AE536,$AE$2:$AE$1001)+COUNTIF($AE$2:AE536,AE536)-1)</f>
        <v/>
      </c>
      <c r="AJ536" s="243" t="str">
        <f>IF($AD536&lt;0,COUNT($AJ$1:AJ535)+1,"")</f>
        <v/>
      </c>
      <c r="AL536" s="243" t="str">
        <f>'All Ticker P&amp;L'!A536</f>
        <v/>
      </c>
      <c r="AM536" s="243" t="str">
        <f>'All Ticker P&amp;L'!B536</f>
        <v/>
      </c>
      <c r="AN536" s="243" t="str">
        <f>'All Ticker P&amp;L'!C536</f>
        <v/>
      </c>
      <c r="AO536" s="243" t="str">
        <f>'All Ticker P&amp;L'!D536</f>
        <v/>
      </c>
      <c r="AP536" s="243">
        <f>IF($AL536="",0,'All Ticker P&amp;L'!E536)</f>
        <v>0</v>
      </c>
      <c r="AQ536" s="266">
        <f>IF($AL536="",0,'All Ticker P&amp;L'!J536*'All Ticker P&amp;L'!I536)</f>
        <v>0</v>
      </c>
      <c r="AR536" s="266">
        <f>IF($AL536="",0,'All Ticker P&amp;L'!L536)</f>
        <v>0</v>
      </c>
      <c r="AS536" s="267">
        <f>IF($AL536="",0,'All Ticker P&amp;L'!M536)</f>
        <v>0</v>
      </c>
      <c r="AT536" s="243" t="str">
        <f>IF($AL536="","",RANK(AR536,$AR$2:$AR$1001)+COUNTIF($AR$2:AR536,AR536)-1)</f>
        <v/>
      </c>
      <c r="AU536" s="243" t="str">
        <f>IF($AL536="","",RANK(AV536,$AV$2:$AV$1001)+COUNTIF($AV$2:AV536,AV536)-1)</f>
        <v/>
      </c>
      <c r="AV536" s="266">
        <f t="shared" si="48"/>
        <v>0</v>
      </c>
    </row>
    <row r="537" spans="26:48" ht="15" customHeight="1" x14ac:dyDescent="0.2">
      <c r="Z537" s="243" t="str">
        <f>Shares!A537</f>
        <v/>
      </c>
      <c r="AA537" s="243" t="str">
        <f>Shares!B537</f>
        <v/>
      </c>
      <c r="AB537" s="243" t="str">
        <f>Shares!C537</f>
        <v/>
      </c>
      <c r="AC537" s="243" t="str">
        <f>Shares!D537</f>
        <v/>
      </c>
      <c r="AD537" s="243">
        <f>IF($Z537="",0,Shares!E537)</f>
        <v>0</v>
      </c>
      <c r="AE537" s="266">
        <f>IF($Z537="",0,Shares!J537*Shares!I537)</f>
        <v>0</v>
      </c>
      <c r="AF537" s="267">
        <f t="shared" si="47"/>
        <v>0</v>
      </c>
      <c r="AG537" s="266">
        <f>IF($Z537="",0,Shares!L537)</f>
        <v>0</v>
      </c>
      <c r="AH537" s="267">
        <f>IF($Z537="",0,Shares!M537)</f>
        <v>0</v>
      </c>
      <c r="AI537" s="243" t="str">
        <f>IF($Z537="","",RANK(AE537,$AE$2:$AE$1001)+COUNTIF($AE$2:AE537,AE537)-1)</f>
        <v/>
      </c>
      <c r="AJ537" s="243" t="str">
        <f>IF($AD537&lt;0,COUNT($AJ$1:AJ536)+1,"")</f>
        <v/>
      </c>
      <c r="AL537" s="243" t="str">
        <f>'All Ticker P&amp;L'!A537</f>
        <v/>
      </c>
      <c r="AM537" s="243" t="str">
        <f>'All Ticker P&amp;L'!B537</f>
        <v/>
      </c>
      <c r="AN537" s="243" t="str">
        <f>'All Ticker P&amp;L'!C537</f>
        <v/>
      </c>
      <c r="AO537" s="243" t="str">
        <f>'All Ticker P&amp;L'!D537</f>
        <v/>
      </c>
      <c r="AP537" s="243">
        <f>IF($AL537="",0,'All Ticker P&amp;L'!E537)</f>
        <v>0</v>
      </c>
      <c r="AQ537" s="266">
        <f>IF($AL537="",0,'All Ticker P&amp;L'!J537*'All Ticker P&amp;L'!I537)</f>
        <v>0</v>
      </c>
      <c r="AR537" s="266">
        <f>IF($AL537="",0,'All Ticker P&amp;L'!L537)</f>
        <v>0</v>
      </c>
      <c r="AS537" s="267">
        <f>IF($AL537="",0,'All Ticker P&amp;L'!M537)</f>
        <v>0</v>
      </c>
      <c r="AT537" s="243" t="str">
        <f>IF($AL537="","",RANK(AR537,$AR$2:$AR$1001)+COUNTIF($AR$2:AR537,AR537)-1)</f>
        <v/>
      </c>
      <c r="AU537" s="243" t="str">
        <f>IF($AL537="","",RANK(AV537,$AV$2:$AV$1001)+COUNTIF($AV$2:AV537,AV537)-1)</f>
        <v/>
      </c>
      <c r="AV537" s="266">
        <f t="shared" si="48"/>
        <v>0</v>
      </c>
    </row>
    <row r="538" spans="26:48" ht="15" customHeight="1" x14ac:dyDescent="0.2">
      <c r="Z538" s="243" t="str">
        <f>Shares!A538</f>
        <v/>
      </c>
      <c r="AA538" s="243" t="str">
        <f>Shares!B538</f>
        <v/>
      </c>
      <c r="AB538" s="243" t="str">
        <f>Shares!C538</f>
        <v/>
      </c>
      <c r="AC538" s="243" t="str">
        <f>Shares!D538</f>
        <v/>
      </c>
      <c r="AD538" s="243">
        <f>IF($Z538="",0,Shares!E538)</f>
        <v>0</v>
      </c>
      <c r="AE538" s="266">
        <f>IF($Z538="",0,Shares!J538*Shares!I538)</f>
        <v>0</v>
      </c>
      <c r="AF538" s="267">
        <f t="shared" si="47"/>
        <v>0</v>
      </c>
      <c r="AG538" s="266">
        <f>IF($Z538="",0,Shares!L538)</f>
        <v>0</v>
      </c>
      <c r="AH538" s="267">
        <f>IF($Z538="",0,Shares!M538)</f>
        <v>0</v>
      </c>
      <c r="AI538" s="243" t="str">
        <f>IF($Z538="","",RANK(AE538,$AE$2:$AE$1001)+COUNTIF($AE$2:AE538,AE538)-1)</f>
        <v/>
      </c>
      <c r="AJ538" s="243" t="str">
        <f>IF($AD538&lt;0,COUNT($AJ$1:AJ537)+1,"")</f>
        <v/>
      </c>
      <c r="AL538" s="243" t="str">
        <f>'All Ticker P&amp;L'!A538</f>
        <v/>
      </c>
      <c r="AM538" s="243" t="str">
        <f>'All Ticker P&amp;L'!B538</f>
        <v/>
      </c>
      <c r="AN538" s="243" t="str">
        <f>'All Ticker P&amp;L'!C538</f>
        <v/>
      </c>
      <c r="AO538" s="243" t="str">
        <f>'All Ticker P&amp;L'!D538</f>
        <v/>
      </c>
      <c r="AP538" s="243">
        <f>IF($AL538="",0,'All Ticker P&amp;L'!E538)</f>
        <v>0</v>
      </c>
      <c r="AQ538" s="266">
        <f>IF($AL538="",0,'All Ticker P&amp;L'!J538*'All Ticker P&amp;L'!I538)</f>
        <v>0</v>
      </c>
      <c r="AR538" s="266">
        <f>IF($AL538="",0,'All Ticker P&amp;L'!L538)</f>
        <v>0</v>
      </c>
      <c r="AS538" s="267">
        <f>IF($AL538="",0,'All Ticker P&amp;L'!M538)</f>
        <v>0</v>
      </c>
      <c r="AT538" s="243" t="str">
        <f>IF($AL538="","",RANK(AR538,$AR$2:$AR$1001)+COUNTIF($AR$2:AR538,AR538)-1)</f>
        <v/>
      </c>
      <c r="AU538" s="243" t="str">
        <f>IF($AL538="","",RANK(AV538,$AV$2:$AV$1001)+COUNTIF($AV$2:AV538,AV538)-1)</f>
        <v/>
      </c>
      <c r="AV538" s="266">
        <f t="shared" si="48"/>
        <v>0</v>
      </c>
    </row>
    <row r="539" spans="26:48" ht="15" customHeight="1" x14ac:dyDescent="0.2">
      <c r="Z539" s="243" t="str">
        <f>Shares!A539</f>
        <v/>
      </c>
      <c r="AA539" s="243" t="str">
        <f>Shares!B539</f>
        <v/>
      </c>
      <c r="AB539" s="243" t="str">
        <f>Shares!C539</f>
        <v/>
      </c>
      <c r="AC539" s="243" t="str">
        <f>Shares!D539</f>
        <v/>
      </c>
      <c r="AD539" s="243">
        <f>IF($Z539="",0,Shares!E539)</f>
        <v>0</v>
      </c>
      <c r="AE539" s="266">
        <f>IF($Z539="",0,Shares!J539*Shares!I539)</f>
        <v>0</v>
      </c>
      <c r="AF539" s="267">
        <f t="shared" si="47"/>
        <v>0</v>
      </c>
      <c r="AG539" s="266">
        <f>IF($Z539="",0,Shares!L539)</f>
        <v>0</v>
      </c>
      <c r="AH539" s="267">
        <f>IF($Z539="",0,Shares!M539)</f>
        <v>0</v>
      </c>
      <c r="AI539" s="243" t="str">
        <f>IF($Z539="","",RANK(AE539,$AE$2:$AE$1001)+COUNTIF($AE$2:AE539,AE539)-1)</f>
        <v/>
      </c>
      <c r="AJ539" s="243" t="str">
        <f>IF($AD539&lt;0,COUNT($AJ$1:AJ538)+1,"")</f>
        <v/>
      </c>
      <c r="AL539" s="243" t="str">
        <f>'All Ticker P&amp;L'!A539</f>
        <v/>
      </c>
      <c r="AM539" s="243" t="str">
        <f>'All Ticker P&amp;L'!B539</f>
        <v/>
      </c>
      <c r="AN539" s="243" t="str">
        <f>'All Ticker P&amp;L'!C539</f>
        <v/>
      </c>
      <c r="AO539" s="243" t="str">
        <f>'All Ticker P&amp;L'!D539</f>
        <v/>
      </c>
      <c r="AP539" s="243">
        <f>IF($AL539="",0,'All Ticker P&amp;L'!E539)</f>
        <v>0</v>
      </c>
      <c r="AQ539" s="266">
        <f>IF($AL539="",0,'All Ticker P&amp;L'!J539*'All Ticker P&amp;L'!I539)</f>
        <v>0</v>
      </c>
      <c r="AR539" s="266">
        <f>IF($AL539="",0,'All Ticker P&amp;L'!L539)</f>
        <v>0</v>
      </c>
      <c r="AS539" s="267">
        <f>IF($AL539="",0,'All Ticker P&amp;L'!M539)</f>
        <v>0</v>
      </c>
      <c r="AT539" s="243" t="str">
        <f>IF($AL539="","",RANK(AR539,$AR$2:$AR$1001)+COUNTIF($AR$2:AR539,AR539)-1)</f>
        <v/>
      </c>
      <c r="AU539" s="243" t="str">
        <f>IF($AL539="","",RANK(AV539,$AV$2:$AV$1001)+COUNTIF($AV$2:AV539,AV539)-1)</f>
        <v/>
      </c>
      <c r="AV539" s="266">
        <f t="shared" si="48"/>
        <v>0</v>
      </c>
    </row>
    <row r="540" spans="26:48" ht="15" customHeight="1" x14ac:dyDescent="0.2">
      <c r="Z540" s="243" t="str">
        <f>Shares!A540</f>
        <v/>
      </c>
      <c r="AA540" s="243" t="str">
        <f>Shares!B540</f>
        <v/>
      </c>
      <c r="AB540" s="243" t="str">
        <f>Shares!C540</f>
        <v/>
      </c>
      <c r="AC540" s="243" t="str">
        <f>Shares!D540</f>
        <v/>
      </c>
      <c r="AD540" s="243">
        <f>IF($Z540="",0,Shares!E540)</f>
        <v>0</v>
      </c>
      <c r="AE540" s="266">
        <f>IF($Z540="",0,Shares!J540*Shares!I540)</f>
        <v>0</v>
      </c>
      <c r="AF540" s="267">
        <f t="shared" si="47"/>
        <v>0</v>
      </c>
      <c r="AG540" s="266">
        <f>IF($Z540="",0,Shares!L540)</f>
        <v>0</v>
      </c>
      <c r="AH540" s="267">
        <f>IF($Z540="",0,Shares!M540)</f>
        <v>0</v>
      </c>
      <c r="AI540" s="243" t="str">
        <f>IF($Z540="","",RANK(AE540,$AE$2:$AE$1001)+COUNTIF($AE$2:AE540,AE540)-1)</f>
        <v/>
      </c>
      <c r="AJ540" s="243" t="str">
        <f>IF($AD540&lt;0,COUNT($AJ$1:AJ539)+1,"")</f>
        <v/>
      </c>
      <c r="AL540" s="243" t="str">
        <f>'All Ticker P&amp;L'!A540</f>
        <v/>
      </c>
      <c r="AM540" s="243" t="str">
        <f>'All Ticker P&amp;L'!B540</f>
        <v/>
      </c>
      <c r="AN540" s="243" t="str">
        <f>'All Ticker P&amp;L'!C540</f>
        <v/>
      </c>
      <c r="AO540" s="243" t="str">
        <f>'All Ticker P&amp;L'!D540</f>
        <v/>
      </c>
      <c r="AP540" s="243">
        <f>IF($AL540="",0,'All Ticker P&amp;L'!E540)</f>
        <v>0</v>
      </c>
      <c r="AQ540" s="266">
        <f>IF($AL540="",0,'All Ticker P&amp;L'!J540*'All Ticker P&amp;L'!I540)</f>
        <v>0</v>
      </c>
      <c r="AR540" s="266">
        <f>IF($AL540="",0,'All Ticker P&amp;L'!L540)</f>
        <v>0</v>
      </c>
      <c r="AS540" s="267">
        <f>IF($AL540="",0,'All Ticker P&amp;L'!M540)</f>
        <v>0</v>
      </c>
      <c r="AT540" s="243" t="str">
        <f>IF($AL540="","",RANK(AR540,$AR$2:$AR$1001)+COUNTIF($AR$2:AR540,AR540)-1)</f>
        <v/>
      </c>
      <c r="AU540" s="243" t="str">
        <f>IF($AL540="","",RANK(AV540,$AV$2:$AV$1001)+COUNTIF($AV$2:AV540,AV540)-1)</f>
        <v/>
      </c>
      <c r="AV540" s="266">
        <f t="shared" si="48"/>
        <v>0</v>
      </c>
    </row>
    <row r="541" spans="26:48" ht="15" customHeight="1" x14ac:dyDescent="0.2">
      <c r="Z541" s="243" t="str">
        <f>Shares!A541</f>
        <v/>
      </c>
      <c r="AA541" s="243" t="str">
        <f>Shares!B541</f>
        <v/>
      </c>
      <c r="AB541" s="243" t="str">
        <f>Shares!C541</f>
        <v/>
      </c>
      <c r="AC541" s="243" t="str">
        <f>Shares!D541</f>
        <v/>
      </c>
      <c r="AD541" s="243">
        <f>IF($Z541="",0,Shares!E541)</f>
        <v>0</v>
      </c>
      <c r="AE541" s="266">
        <f>IF($Z541="",0,Shares!J541*Shares!I541)</f>
        <v>0</v>
      </c>
      <c r="AF541" s="267">
        <f t="shared" si="47"/>
        <v>0</v>
      </c>
      <c r="AG541" s="266">
        <f>IF($Z541="",0,Shares!L541)</f>
        <v>0</v>
      </c>
      <c r="AH541" s="267">
        <f>IF($Z541="",0,Shares!M541)</f>
        <v>0</v>
      </c>
      <c r="AI541" s="243" t="str">
        <f>IF($Z541="","",RANK(AE541,$AE$2:$AE$1001)+COUNTIF($AE$2:AE541,AE541)-1)</f>
        <v/>
      </c>
      <c r="AJ541" s="243" t="str">
        <f>IF($AD541&lt;0,COUNT($AJ$1:AJ540)+1,"")</f>
        <v/>
      </c>
      <c r="AL541" s="243" t="str">
        <f>'All Ticker P&amp;L'!A541</f>
        <v/>
      </c>
      <c r="AM541" s="243" t="str">
        <f>'All Ticker P&amp;L'!B541</f>
        <v/>
      </c>
      <c r="AN541" s="243" t="str">
        <f>'All Ticker P&amp;L'!C541</f>
        <v/>
      </c>
      <c r="AO541" s="243" t="str">
        <f>'All Ticker P&amp;L'!D541</f>
        <v/>
      </c>
      <c r="AP541" s="243">
        <f>IF($AL541="",0,'All Ticker P&amp;L'!E541)</f>
        <v>0</v>
      </c>
      <c r="AQ541" s="266">
        <f>IF($AL541="",0,'All Ticker P&amp;L'!J541*'All Ticker P&amp;L'!I541)</f>
        <v>0</v>
      </c>
      <c r="AR541" s="266">
        <f>IF($AL541="",0,'All Ticker P&amp;L'!L541)</f>
        <v>0</v>
      </c>
      <c r="AS541" s="267">
        <f>IF($AL541="",0,'All Ticker P&amp;L'!M541)</f>
        <v>0</v>
      </c>
      <c r="AT541" s="243" t="str">
        <f>IF($AL541="","",RANK(AR541,$AR$2:$AR$1001)+COUNTIF($AR$2:AR541,AR541)-1)</f>
        <v/>
      </c>
      <c r="AU541" s="243" t="str">
        <f>IF($AL541="","",RANK(AV541,$AV$2:$AV$1001)+COUNTIF($AV$2:AV541,AV541)-1)</f>
        <v/>
      </c>
      <c r="AV541" s="266">
        <f t="shared" si="48"/>
        <v>0</v>
      </c>
    </row>
    <row r="542" spans="26:48" ht="15" customHeight="1" x14ac:dyDescent="0.2">
      <c r="Z542" s="243" t="str">
        <f>Shares!A542</f>
        <v/>
      </c>
      <c r="AA542" s="243" t="str">
        <f>Shares!B542</f>
        <v/>
      </c>
      <c r="AB542" s="243" t="str">
        <f>Shares!C542</f>
        <v/>
      </c>
      <c r="AC542" s="243" t="str">
        <f>Shares!D542</f>
        <v/>
      </c>
      <c r="AD542" s="243">
        <f>IF($Z542="",0,Shares!E542)</f>
        <v>0</v>
      </c>
      <c r="AE542" s="266">
        <f>IF($Z542="",0,Shares!J542*Shares!I542)</f>
        <v>0</v>
      </c>
      <c r="AF542" s="267">
        <f t="shared" si="47"/>
        <v>0</v>
      </c>
      <c r="AG542" s="266">
        <f>IF($Z542="",0,Shares!L542)</f>
        <v>0</v>
      </c>
      <c r="AH542" s="267">
        <f>IF($Z542="",0,Shares!M542)</f>
        <v>0</v>
      </c>
      <c r="AI542" s="243" t="str">
        <f>IF($Z542="","",RANK(AE542,$AE$2:$AE$1001)+COUNTIF($AE$2:AE542,AE542)-1)</f>
        <v/>
      </c>
      <c r="AJ542" s="243" t="str">
        <f>IF($AD542&lt;0,COUNT($AJ$1:AJ541)+1,"")</f>
        <v/>
      </c>
      <c r="AL542" s="243" t="str">
        <f>'All Ticker P&amp;L'!A542</f>
        <v/>
      </c>
      <c r="AM542" s="243" t="str">
        <f>'All Ticker P&amp;L'!B542</f>
        <v/>
      </c>
      <c r="AN542" s="243" t="str">
        <f>'All Ticker P&amp;L'!C542</f>
        <v/>
      </c>
      <c r="AO542" s="243" t="str">
        <f>'All Ticker P&amp;L'!D542</f>
        <v/>
      </c>
      <c r="AP542" s="243">
        <f>IF($AL542="",0,'All Ticker P&amp;L'!E542)</f>
        <v>0</v>
      </c>
      <c r="AQ542" s="266">
        <f>IF($AL542="",0,'All Ticker P&amp;L'!J542*'All Ticker P&amp;L'!I542)</f>
        <v>0</v>
      </c>
      <c r="AR542" s="266">
        <f>IF($AL542="",0,'All Ticker P&amp;L'!L542)</f>
        <v>0</v>
      </c>
      <c r="AS542" s="267">
        <f>IF($AL542="",0,'All Ticker P&amp;L'!M542)</f>
        <v>0</v>
      </c>
      <c r="AT542" s="243" t="str">
        <f>IF($AL542="","",RANK(AR542,$AR$2:$AR$1001)+COUNTIF($AR$2:AR542,AR542)-1)</f>
        <v/>
      </c>
      <c r="AU542" s="243" t="str">
        <f>IF($AL542="","",RANK(AV542,$AV$2:$AV$1001)+COUNTIF($AV$2:AV542,AV542)-1)</f>
        <v/>
      </c>
      <c r="AV542" s="266">
        <f t="shared" si="48"/>
        <v>0</v>
      </c>
    </row>
    <row r="543" spans="26:48" ht="15" customHeight="1" x14ac:dyDescent="0.2">
      <c r="Z543" s="243" t="str">
        <f>Shares!A543</f>
        <v/>
      </c>
      <c r="AA543" s="243" t="str">
        <f>Shares!B543</f>
        <v/>
      </c>
      <c r="AB543" s="243" t="str">
        <f>Shares!C543</f>
        <v/>
      </c>
      <c r="AC543" s="243" t="str">
        <f>Shares!D543</f>
        <v/>
      </c>
      <c r="AD543" s="243">
        <f>IF($Z543="",0,Shares!E543)</f>
        <v>0</v>
      </c>
      <c r="AE543" s="266">
        <f>IF($Z543="",0,Shares!J543*Shares!I543)</f>
        <v>0</v>
      </c>
      <c r="AF543" s="267">
        <f t="shared" si="47"/>
        <v>0</v>
      </c>
      <c r="AG543" s="266">
        <f>IF($Z543="",0,Shares!L543)</f>
        <v>0</v>
      </c>
      <c r="AH543" s="267">
        <f>IF($Z543="",0,Shares!M543)</f>
        <v>0</v>
      </c>
      <c r="AI543" s="243" t="str">
        <f>IF($Z543="","",RANK(AE543,$AE$2:$AE$1001)+COUNTIF($AE$2:AE543,AE543)-1)</f>
        <v/>
      </c>
      <c r="AJ543" s="243" t="str">
        <f>IF($AD543&lt;0,COUNT($AJ$1:AJ542)+1,"")</f>
        <v/>
      </c>
      <c r="AL543" s="243" t="str">
        <f>'All Ticker P&amp;L'!A543</f>
        <v/>
      </c>
      <c r="AM543" s="243" t="str">
        <f>'All Ticker P&amp;L'!B543</f>
        <v/>
      </c>
      <c r="AN543" s="243" t="str">
        <f>'All Ticker P&amp;L'!C543</f>
        <v/>
      </c>
      <c r="AO543" s="243" t="str">
        <f>'All Ticker P&amp;L'!D543</f>
        <v/>
      </c>
      <c r="AP543" s="243">
        <f>IF($AL543="",0,'All Ticker P&amp;L'!E543)</f>
        <v>0</v>
      </c>
      <c r="AQ543" s="266">
        <f>IF($AL543="",0,'All Ticker P&amp;L'!J543*'All Ticker P&amp;L'!I543)</f>
        <v>0</v>
      </c>
      <c r="AR543" s="266">
        <f>IF($AL543="",0,'All Ticker P&amp;L'!L543)</f>
        <v>0</v>
      </c>
      <c r="AS543" s="267">
        <f>IF($AL543="",0,'All Ticker P&amp;L'!M543)</f>
        <v>0</v>
      </c>
      <c r="AT543" s="243" t="str">
        <f>IF($AL543="","",RANK(AR543,$AR$2:$AR$1001)+COUNTIF($AR$2:AR543,AR543)-1)</f>
        <v/>
      </c>
      <c r="AU543" s="243" t="str">
        <f>IF($AL543="","",RANK(AV543,$AV$2:$AV$1001)+COUNTIF($AV$2:AV543,AV543)-1)</f>
        <v/>
      </c>
      <c r="AV543" s="266">
        <f t="shared" si="48"/>
        <v>0</v>
      </c>
    </row>
    <row r="544" spans="26:48" ht="15" customHeight="1" x14ac:dyDescent="0.2">
      <c r="Z544" s="243" t="str">
        <f>Shares!A544</f>
        <v/>
      </c>
      <c r="AA544" s="243" t="str">
        <f>Shares!B544</f>
        <v/>
      </c>
      <c r="AB544" s="243" t="str">
        <f>Shares!C544</f>
        <v/>
      </c>
      <c r="AC544" s="243" t="str">
        <f>Shares!D544</f>
        <v/>
      </c>
      <c r="AD544" s="243">
        <f>IF($Z544="",0,Shares!E544)</f>
        <v>0</v>
      </c>
      <c r="AE544" s="266">
        <f>IF($Z544="",0,Shares!J544*Shares!I544)</f>
        <v>0</v>
      </c>
      <c r="AF544" s="267">
        <f t="shared" si="47"/>
        <v>0</v>
      </c>
      <c r="AG544" s="266">
        <f>IF($Z544="",0,Shares!L544)</f>
        <v>0</v>
      </c>
      <c r="AH544" s="267">
        <f>IF($Z544="",0,Shares!M544)</f>
        <v>0</v>
      </c>
      <c r="AI544" s="243" t="str">
        <f>IF($Z544="","",RANK(AE544,$AE$2:$AE$1001)+COUNTIF($AE$2:AE544,AE544)-1)</f>
        <v/>
      </c>
      <c r="AJ544" s="243" t="str">
        <f>IF($AD544&lt;0,COUNT($AJ$1:AJ543)+1,"")</f>
        <v/>
      </c>
      <c r="AL544" s="243" t="str">
        <f>'All Ticker P&amp;L'!A544</f>
        <v/>
      </c>
      <c r="AM544" s="243" t="str">
        <f>'All Ticker P&amp;L'!B544</f>
        <v/>
      </c>
      <c r="AN544" s="243" t="str">
        <f>'All Ticker P&amp;L'!C544</f>
        <v/>
      </c>
      <c r="AO544" s="243" t="str">
        <f>'All Ticker P&amp;L'!D544</f>
        <v/>
      </c>
      <c r="AP544" s="243">
        <f>IF($AL544="",0,'All Ticker P&amp;L'!E544)</f>
        <v>0</v>
      </c>
      <c r="AQ544" s="266">
        <f>IF($AL544="",0,'All Ticker P&amp;L'!J544*'All Ticker P&amp;L'!I544)</f>
        <v>0</v>
      </c>
      <c r="AR544" s="266">
        <f>IF($AL544="",0,'All Ticker P&amp;L'!L544)</f>
        <v>0</v>
      </c>
      <c r="AS544" s="267">
        <f>IF($AL544="",0,'All Ticker P&amp;L'!M544)</f>
        <v>0</v>
      </c>
      <c r="AT544" s="243" t="str">
        <f>IF($AL544="","",RANK(AR544,$AR$2:$AR$1001)+COUNTIF($AR$2:AR544,AR544)-1)</f>
        <v/>
      </c>
      <c r="AU544" s="243" t="str">
        <f>IF($AL544="","",RANK(AV544,$AV$2:$AV$1001)+COUNTIF($AV$2:AV544,AV544)-1)</f>
        <v/>
      </c>
      <c r="AV544" s="266">
        <f t="shared" si="48"/>
        <v>0</v>
      </c>
    </row>
    <row r="545" spans="26:48" ht="15" customHeight="1" x14ac:dyDescent="0.2">
      <c r="Z545" s="243" t="str">
        <f>Shares!A545</f>
        <v/>
      </c>
      <c r="AA545" s="243" t="str">
        <f>Shares!B545</f>
        <v/>
      </c>
      <c r="AB545" s="243" t="str">
        <f>Shares!C545</f>
        <v/>
      </c>
      <c r="AC545" s="243" t="str">
        <f>Shares!D545</f>
        <v/>
      </c>
      <c r="AD545" s="243">
        <f>IF($Z545="",0,Shares!E545)</f>
        <v>0</v>
      </c>
      <c r="AE545" s="266">
        <f>IF($Z545="",0,Shares!J545*Shares!I545)</f>
        <v>0</v>
      </c>
      <c r="AF545" s="267">
        <f t="shared" si="47"/>
        <v>0</v>
      </c>
      <c r="AG545" s="266">
        <f>IF($Z545="",0,Shares!L545)</f>
        <v>0</v>
      </c>
      <c r="AH545" s="267">
        <f>IF($Z545="",0,Shares!M545)</f>
        <v>0</v>
      </c>
      <c r="AI545" s="243" t="str">
        <f>IF($Z545="","",RANK(AE545,$AE$2:$AE$1001)+COUNTIF($AE$2:AE545,AE545)-1)</f>
        <v/>
      </c>
      <c r="AJ545" s="243" t="str">
        <f>IF($AD545&lt;0,COUNT($AJ$1:AJ544)+1,"")</f>
        <v/>
      </c>
      <c r="AL545" s="243" t="str">
        <f>'All Ticker P&amp;L'!A545</f>
        <v/>
      </c>
      <c r="AM545" s="243" t="str">
        <f>'All Ticker P&amp;L'!B545</f>
        <v/>
      </c>
      <c r="AN545" s="243" t="str">
        <f>'All Ticker P&amp;L'!C545</f>
        <v/>
      </c>
      <c r="AO545" s="243" t="str">
        <f>'All Ticker P&amp;L'!D545</f>
        <v/>
      </c>
      <c r="AP545" s="243">
        <f>IF($AL545="",0,'All Ticker P&amp;L'!E545)</f>
        <v>0</v>
      </c>
      <c r="AQ545" s="266">
        <f>IF($AL545="",0,'All Ticker P&amp;L'!J545*'All Ticker P&amp;L'!I545)</f>
        <v>0</v>
      </c>
      <c r="AR545" s="266">
        <f>IF($AL545="",0,'All Ticker P&amp;L'!L545)</f>
        <v>0</v>
      </c>
      <c r="AS545" s="267">
        <f>IF($AL545="",0,'All Ticker P&amp;L'!M545)</f>
        <v>0</v>
      </c>
      <c r="AT545" s="243" t="str">
        <f>IF($AL545="","",RANK(AR545,$AR$2:$AR$1001)+COUNTIF($AR$2:AR545,AR545)-1)</f>
        <v/>
      </c>
      <c r="AU545" s="243" t="str">
        <f>IF($AL545="","",RANK(AV545,$AV$2:$AV$1001)+COUNTIF($AV$2:AV545,AV545)-1)</f>
        <v/>
      </c>
      <c r="AV545" s="266">
        <f t="shared" si="48"/>
        <v>0</v>
      </c>
    </row>
    <row r="546" spans="26:48" ht="15" customHeight="1" x14ac:dyDescent="0.2">
      <c r="Z546" s="243" t="str">
        <f>Shares!A546</f>
        <v/>
      </c>
      <c r="AA546" s="243" t="str">
        <f>Shares!B546</f>
        <v/>
      </c>
      <c r="AB546" s="243" t="str">
        <f>Shares!C546</f>
        <v/>
      </c>
      <c r="AC546" s="243" t="str">
        <f>Shares!D546</f>
        <v/>
      </c>
      <c r="AD546" s="243">
        <f>IF($Z546="",0,Shares!E546)</f>
        <v>0</v>
      </c>
      <c r="AE546" s="266">
        <f>IF($Z546="",0,Shares!J546*Shares!I546)</f>
        <v>0</v>
      </c>
      <c r="AF546" s="267">
        <f t="shared" si="47"/>
        <v>0</v>
      </c>
      <c r="AG546" s="266">
        <f>IF($Z546="",0,Shares!L546)</f>
        <v>0</v>
      </c>
      <c r="AH546" s="267">
        <f>IF($Z546="",0,Shares!M546)</f>
        <v>0</v>
      </c>
      <c r="AI546" s="243" t="str">
        <f>IF($Z546="","",RANK(AE546,$AE$2:$AE$1001)+COUNTIF($AE$2:AE546,AE546)-1)</f>
        <v/>
      </c>
      <c r="AJ546" s="243" t="str">
        <f>IF($AD546&lt;0,COUNT($AJ$1:AJ545)+1,"")</f>
        <v/>
      </c>
      <c r="AL546" s="243" t="str">
        <f>'All Ticker P&amp;L'!A546</f>
        <v/>
      </c>
      <c r="AM546" s="243" t="str">
        <f>'All Ticker P&amp;L'!B546</f>
        <v/>
      </c>
      <c r="AN546" s="243" t="str">
        <f>'All Ticker P&amp;L'!C546</f>
        <v/>
      </c>
      <c r="AO546" s="243" t="str">
        <f>'All Ticker P&amp;L'!D546</f>
        <v/>
      </c>
      <c r="AP546" s="243">
        <f>IF($AL546="",0,'All Ticker P&amp;L'!E546)</f>
        <v>0</v>
      </c>
      <c r="AQ546" s="266">
        <f>IF($AL546="",0,'All Ticker P&amp;L'!J546*'All Ticker P&amp;L'!I546)</f>
        <v>0</v>
      </c>
      <c r="AR546" s="266">
        <f>IF($AL546="",0,'All Ticker P&amp;L'!L546)</f>
        <v>0</v>
      </c>
      <c r="AS546" s="267">
        <f>IF($AL546="",0,'All Ticker P&amp;L'!M546)</f>
        <v>0</v>
      </c>
      <c r="AT546" s="243" t="str">
        <f>IF($AL546="","",RANK(AR546,$AR$2:$AR$1001)+COUNTIF($AR$2:AR546,AR546)-1)</f>
        <v/>
      </c>
      <c r="AU546" s="243" t="str">
        <f>IF($AL546="","",RANK(AV546,$AV$2:$AV$1001)+COUNTIF($AV$2:AV546,AV546)-1)</f>
        <v/>
      </c>
      <c r="AV546" s="266">
        <f t="shared" si="48"/>
        <v>0</v>
      </c>
    </row>
    <row r="547" spans="26:48" ht="15" customHeight="1" x14ac:dyDescent="0.2">
      <c r="Z547" s="243" t="str">
        <f>Shares!A547</f>
        <v/>
      </c>
      <c r="AA547" s="243" t="str">
        <f>Shares!B547</f>
        <v/>
      </c>
      <c r="AB547" s="243" t="str">
        <f>Shares!C547</f>
        <v/>
      </c>
      <c r="AC547" s="243" t="str">
        <f>Shares!D547</f>
        <v/>
      </c>
      <c r="AD547" s="243">
        <f>IF($Z547="",0,Shares!E547)</f>
        <v>0</v>
      </c>
      <c r="AE547" s="266">
        <f>IF($Z547="",0,Shares!J547*Shares!I547)</f>
        <v>0</v>
      </c>
      <c r="AF547" s="267">
        <f t="shared" si="47"/>
        <v>0</v>
      </c>
      <c r="AG547" s="266">
        <f>IF($Z547="",0,Shares!L547)</f>
        <v>0</v>
      </c>
      <c r="AH547" s="267">
        <f>IF($Z547="",0,Shares!M547)</f>
        <v>0</v>
      </c>
      <c r="AI547" s="243" t="str">
        <f>IF($Z547="","",RANK(AE547,$AE$2:$AE$1001)+COUNTIF($AE$2:AE547,AE547)-1)</f>
        <v/>
      </c>
      <c r="AJ547" s="243" t="str">
        <f>IF($AD547&lt;0,COUNT($AJ$1:AJ546)+1,"")</f>
        <v/>
      </c>
      <c r="AL547" s="243" t="str">
        <f>'All Ticker P&amp;L'!A547</f>
        <v/>
      </c>
      <c r="AM547" s="243" t="str">
        <f>'All Ticker P&amp;L'!B547</f>
        <v/>
      </c>
      <c r="AN547" s="243" t="str">
        <f>'All Ticker P&amp;L'!C547</f>
        <v/>
      </c>
      <c r="AO547" s="243" t="str">
        <f>'All Ticker P&amp;L'!D547</f>
        <v/>
      </c>
      <c r="AP547" s="243">
        <f>IF($AL547="",0,'All Ticker P&amp;L'!E547)</f>
        <v>0</v>
      </c>
      <c r="AQ547" s="266">
        <f>IF($AL547="",0,'All Ticker P&amp;L'!J547*'All Ticker P&amp;L'!I547)</f>
        <v>0</v>
      </c>
      <c r="AR547" s="266">
        <f>IF($AL547="",0,'All Ticker P&amp;L'!L547)</f>
        <v>0</v>
      </c>
      <c r="AS547" s="267">
        <f>IF($AL547="",0,'All Ticker P&amp;L'!M547)</f>
        <v>0</v>
      </c>
      <c r="AT547" s="243" t="str">
        <f>IF($AL547="","",RANK(AR547,$AR$2:$AR$1001)+COUNTIF($AR$2:AR547,AR547)-1)</f>
        <v/>
      </c>
      <c r="AU547" s="243" t="str">
        <f>IF($AL547="","",RANK(AV547,$AV$2:$AV$1001)+COUNTIF($AV$2:AV547,AV547)-1)</f>
        <v/>
      </c>
      <c r="AV547" s="266">
        <f t="shared" si="48"/>
        <v>0</v>
      </c>
    </row>
    <row r="548" spans="26:48" ht="15" customHeight="1" x14ac:dyDescent="0.2">
      <c r="Z548" s="243" t="str">
        <f>Shares!A548</f>
        <v/>
      </c>
      <c r="AA548" s="243" t="str">
        <f>Shares!B548</f>
        <v/>
      </c>
      <c r="AB548" s="243" t="str">
        <f>Shares!C548</f>
        <v/>
      </c>
      <c r="AC548" s="243" t="str">
        <f>Shares!D548</f>
        <v/>
      </c>
      <c r="AD548" s="243">
        <f>IF($Z548="",0,Shares!E548)</f>
        <v>0</v>
      </c>
      <c r="AE548" s="266">
        <f>IF($Z548="",0,Shares!J548*Shares!I548)</f>
        <v>0</v>
      </c>
      <c r="AF548" s="267">
        <f t="shared" si="47"/>
        <v>0</v>
      </c>
      <c r="AG548" s="266">
        <f>IF($Z548="",0,Shares!L548)</f>
        <v>0</v>
      </c>
      <c r="AH548" s="267">
        <f>IF($Z548="",0,Shares!M548)</f>
        <v>0</v>
      </c>
      <c r="AI548" s="243" t="str">
        <f>IF($Z548="","",RANK(AE548,$AE$2:$AE$1001)+COUNTIF($AE$2:AE548,AE548)-1)</f>
        <v/>
      </c>
      <c r="AJ548" s="243" t="str">
        <f>IF($AD548&lt;0,COUNT($AJ$1:AJ547)+1,"")</f>
        <v/>
      </c>
      <c r="AL548" s="243" t="str">
        <f>'All Ticker P&amp;L'!A548</f>
        <v/>
      </c>
      <c r="AM548" s="243" t="str">
        <f>'All Ticker P&amp;L'!B548</f>
        <v/>
      </c>
      <c r="AN548" s="243" t="str">
        <f>'All Ticker P&amp;L'!C548</f>
        <v/>
      </c>
      <c r="AO548" s="243" t="str">
        <f>'All Ticker P&amp;L'!D548</f>
        <v/>
      </c>
      <c r="AP548" s="243">
        <f>IF($AL548="",0,'All Ticker P&amp;L'!E548)</f>
        <v>0</v>
      </c>
      <c r="AQ548" s="266">
        <f>IF($AL548="",0,'All Ticker P&amp;L'!J548*'All Ticker P&amp;L'!I548)</f>
        <v>0</v>
      </c>
      <c r="AR548" s="266">
        <f>IF($AL548="",0,'All Ticker P&amp;L'!L548)</f>
        <v>0</v>
      </c>
      <c r="AS548" s="267">
        <f>IF($AL548="",0,'All Ticker P&amp;L'!M548)</f>
        <v>0</v>
      </c>
      <c r="AT548" s="243" t="str">
        <f>IF($AL548="","",RANK(AR548,$AR$2:$AR$1001)+COUNTIF($AR$2:AR548,AR548)-1)</f>
        <v/>
      </c>
      <c r="AU548" s="243" t="str">
        <f>IF($AL548="","",RANK(AV548,$AV$2:$AV$1001)+COUNTIF($AV$2:AV548,AV548)-1)</f>
        <v/>
      </c>
      <c r="AV548" s="266">
        <f t="shared" si="48"/>
        <v>0</v>
      </c>
    </row>
    <row r="549" spans="26:48" ht="15" customHeight="1" x14ac:dyDescent="0.2">
      <c r="Z549" s="243" t="str">
        <f>Shares!A549</f>
        <v/>
      </c>
      <c r="AA549" s="243" t="str">
        <f>Shares!B549</f>
        <v/>
      </c>
      <c r="AB549" s="243" t="str">
        <f>Shares!C549</f>
        <v/>
      </c>
      <c r="AC549" s="243" t="str">
        <f>Shares!D549</f>
        <v/>
      </c>
      <c r="AD549" s="243">
        <f>IF($Z549="",0,Shares!E549)</f>
        <v>0</v>
      </c>
      <c r="AE549" s="266">
        <f>IF($Z549="",0,Shares!J549*Shares!I549)</f>
        <v>0</v>
      </c>
      <c r="AF549" s="267">
        <f t="shared" si="47"/>
        <v>0</v>
      </c>
      <c r="AG549" s="266">
        <f>IF($Z549="",0,Shares!L549)</f>
        <v>0</v>
      </c>
      <c r="AH549" s="267">
        <f>IF($Z549="",0,Shares!M549)</f>
        <v>0</v>
      </c>
      <c r="AI549" s="243" t="str">
        <f>IF($Z549="","",RANK(AE549,$AE$2:$AE$1001)+COUNTIF($AE$2:AE549,AE549)-1)</f>
        <v/>
      </c>
      <c r="AJ549" s="243" t="str">
        <f>IF($AD549&lt;0,COUNT($AJ$1:AJ548)+1,"")</f>
        <v/>
      </c>
      <c r="AL549" s="243" t="str">
        <f>'All Ticker P&amp;L'!A549</f>
        <v/>
      </c>
      <c r="AM549" s="243" t="str">
        <f>'All Ticker P&amp;L'!B549</f>
        <v/>
      </c>
      <c r="AN549" s="243" t="str">
        <f>'All Ticker P&amp;L'!C549</f>
        <v/>
      </c>
      <c r="AO549" s="243" t="str">
        <f>'All Ticker P&amp;L'!D549</f>
        <v/>
      </c>
      <c r="AP549" s="243">
        <f>IF($AL549="",0,'All Ticker P&amp;L'!E549)</f>
        <v>0</v>
      </c>
      <c r="AQ549" s="266">
        <f>IF($AL549="",0,'All Ticker P&amp;L'!J549*'All Ticker P&amp;L'!I549)</f>
        <v>0</v>
      </c>
      <c r="AR549" s="266">
        <f>IF($AL549="",0,'All Ticker P&amp;L'!L549)</f>
        <v>0</v>
      </c>
      <c r="AS549" s="267">
        <f>IF($AL549="",0,'All Ticker P&amp;L'!M549)</f>
        <v>0</v>
      </c>
      <c r="AT549" s="243" t="str">
        <f>IF($AL549="","",RANK(AR549,$AR$2:$AR$1001)+COUNTIF($AR$2:AR549,AR549)-1)</f>
        <v/>
      </c>
      <c r="AU549" s="243" t="str">
        <f>IF($AL549="","",RANK(AV549,$AV$2:$AV$1001)+COUNTIF($AV$2:AV549,AV549)-1)</f>
        <v/>
      </c>
      <c r="AV549" s="266">
        <f t="shared" si="48"/>
        <v>0</v>
      </c>
    </row>
    <row r="550" spans="26:48" ht="15" customHeight="1" x14ac:dyDescent="0.2">
      <c r="Z550" s="243" t="str">
        <f>Shares!A550</f>
        <v/>
      </c>
      <c r="AA550" s="243" t="str">
        <f>Shares!B550</f>
        <v/>
      </c>
      <c r="AB550" s="243" t="str">
        <f>Shares!C550</f>
        <v/>
      </c>
      <c r="AC550" s="243" t="str">
        <f>Shares!D550</f>
        <v/>
      </c>
      <c r="AD550" s="243">
        <f>IF($Z550="",0,Shares!E550)</f>
        <v>0</v>
      </c>
      <c r="AE550" s="266">
        <f>IF($Z550="",0,Shares!J550*Shares!I550)</f>
        <v>0</v>
      </c>
      <c r="AF550" s="267">
        <f t="shared" si="47"/>
        <v>0</v>
      </c>
      <c r="AG550" s="266">
        <f>IF($Z550="",0,Shares!L550)</f>
        <v>0</v>
      </c>
      <c r="AH550" s="267">
        <f>IF($Z550="",0,Shares!M550)</f>
        <v>0</v>
      </c>
      <c r="AI550" s="243" t="str">
        <f>IF($Z550="","",RANK(AE550,$AE$2:$AE$1001)+COUNTIF($AE$2:AE550,AE550)-1)</f>
        <v/>
      </c>
      <c r="AJ550" s="243" t="str">
        <f>IF($AD550&lt;0,COUNT($AJ$1:AJ549)+1,"")</f>
        <v/>
      </c>
      <c r="AL550" s="243" t="str">
        <f>'All Ticker P&amp;L'!A550</f>
        <v/>
      </c>
      <c r="AM550" s="243" t="str">
        <f>'All Ticker P&amp;L'!B550</f>
        <v/>
      </c>
      <c r="AN550" s="243" t="str">
        <f>'All Ticker P&amp;L'!C550</f>
        <v/>
      </c>
      <c r="AO550" s="243" t="str">
        <f>'All Ticker P&amp;L'!D550</f>
        <v/>
      </c>
      <c r="AP550" s="243">
        <f>IF($AL550="",0,'All Ticker P&amp;L'!E550)</f>
        <v>0</v>
      </c>
      <c r="AQ550" s="266">
        <f>IF($AL550="",0,'All Ticker P&amp;L'!J550*'All Ticker P&amp;L'!I550)</f>
        <v>0</v>
      </c>
      <c r="AR550" s="266">
        <f>IF($AL550="",0,'All Ticker P&amp;L'!L550)</f>
        <v>0</v>
      </c>
      <c r="AS550" s="267">
        <f>IF($AL550="",0,'All Ticker P&amp;L'!M550)</f>
        <v>0</v>
      </c>
      <c r="AT550" s="243" t="str">
        <f>IF($AL550="","",RANK(AR550,$AR$2:$AR$1001)+COUNTIF($AR$2:AR550,AR550)-1)</f>
        <v/>
      </c>
      <c r="AU550" s="243" t="str">
        <f>IF($AL550="","",RANK(AV550,$AV$2:$AV$1001)+COUNTIF($AV$2:AV550,AV550)-1)</f>
        <v/>
      </c>
      <c r="AV550" s="266">
        <f t="shared" si="48"/>
        <v>0</v>
      </c>
    </row>
    <row r="551" spans="26:48" ht="15" customHeight="1" x14ac:dyDescent="0.2">
      <c r="Z551" s="243" t="str">
        <f>Shares!A551</f>
        <v/>
      </c>
      <c r="AA551" s="243" t="str">
        <f>Shares!B551</f>
        <v/>
      </c>
      <c r="AB551" s="243" t="str">
        <f>Shares!C551</f>
        <v/>
      </c>
      <c r="AC551" s="243" t="str">
        <f>Shares!D551</f>
        <v/>
      </c>
      <c r="AD551" s="243">
        <f>IF($Z551="",0,Shares!E551)</f>
        <v>0</v>
      </c>
      <c r="AE551" s="266">
        <f>IF($Z551="",0,Shares!J551*Shares!I551)</f>
        <v>0</v>
      </c>
      <c r="AF551" s="267">
        <f t="shared" si="47"/>
        <v>0</v>
      </c>
      <c r="AG551" s="266">
        <f>IF($Z551="",0,Shares!L551)</f>
        <v>0</v>
      </c>
      <c r="AH551" s="267">
        <f>IF($Z551="",0,Shares!M551)</f>
        <v>0</v>
      </c>
      <c r="AI551" s="243" t="str">
        <f>IF($Z551="","",RANK(AE551,$AE$2:$AE$1001)+COUNTIF($AE$2:AE551,AE551)-1)</f>
        <v/>
      </c>
      <c r="AJ551" s="243" t="str">
        <f>IF($AD551&lt;0,COUNT($AJ$1:AJ550)+1,"")</f>
        <v/>
      </c>
      <c r="AL551" s="243" t="str">
        <f>'All Ticker P&amp;L'!A551</f>
        <v/>
      </c>
      <c r="AM551" s="243" t="str">
        <f>'All Ticker P&amp;L'!B551</f>
        <v/>
      </c>
      <c r="AN551" s="243" t="str">
        <f>'All Ticker P&amp;L'!C551</f>
        <v/>
      </c>
      <c r="AO551" s="243" t="str">
        <f>'All Ticker P&amp;L'!D551</f>
        <v/>
      </c>
      <c r="AP551" s="243">
        <f>IF($AL551="",0,'All Ticker P&amp;L'!E551)</f>
        <v>0</v>
      </c>
      <c r="AQ551" s="266">
        <f>IF($AL551="",0,'All Ticker P&amp;L'!J551*'All Ticker P&amp;L'!I551)</f>
        <v>0</v>
      </c>
      <c r="AR551" s="266">
        <f>IF($AL551="",0,'All Ticker P&amp;L'!L551)</f>
        <v>0</v>
      </c>
      <c r="AS551" s="267">
        <f>IF($AL551="",0,'All Ticker P&amp;L'!M551)</f>
        <v>0</v>
      </c>
      <c r="AT551" s="243" t="str">
        <f>IF($AL551="","",RANK(AR551,$AR$2:$AR$1001)+COUNTIF($AR$2:AR551,AR551)-1)</f>
        <v/>
      </c>
      <c r="AU551" s="243" t="str">
        <f>IF($AL551="","",RANK(AV551,$AV$2:$AV$1001)+COUNTIF($AV$2:AV551,AV551)-1)</f>
        <v/>
      </c>
      <c r="AV551" s="266">
        <f t="shared" si="48"/>
        <v>0</v>
      </c>
    </row>
    <row r="552" spans="26:48" ht="15" customHeight="1" x14ac:dyDescent="0.2">
      <c r="Z552" s="243" t="str">
        <f>Shares!A552</f>
        <v/>
      </c>
      <c r="AA552" s="243" t="str">
        <f>Shares!B552</f>
        <v/>
      </c>
      <c r="AB552" s="243" t="str">
        <f>Shares!C552</f>
        <v/>
      </c>
      <c r="AC552" s="243" t="str">
        <f>Shares!D552</f>
        <v/>
      </c>
      <c r="AD552" s="243">
        <f>IF($Z552="",0,Shares!E552)</f>
        <v>0</v>
      </c>
      <c r="AE552" s="266">
        <f>IF($Z552="",0,Shares!J552*Shares!I552)</f>
        <v>0</v>
      </c>
      <c r="AF552" s="267">
        <f t="shared" si="47"/>
        <v>0</v>
      </c>
      <c r="AG552" s="266">
        <f>IF($Z552="",0,Shares!L552)</f>
        <v>0</v>
      </c>
      <c r="AH552" s="267">
        <f>IF($Z552="",0,Shares!M552)</f>
        <v>0</v>
      </c>
      <c r="AI552" s="243" t="str">
        <f>IF($Z552="","",RANK(AE552,$AE$2:$AE$1001)+COUNTIF($AE$2:AE552,AE552)-1)</f>
        <v/>
      </c>
      <c r="AJ552" s="243" t="str">
        <f>IF($AD552&lt;0,COUNT($AJ$1:AJ551)+1,"")</f>
        <v/>
      </c>
      <c r="AL552" s="243" t="str">
        <f>'All Ticker P&amp;L'!A552</f>
        <v/>
      </c>
      <c r="AM552" s="243" t="str">
        <f>'All Ticker P&amp;L'!B552</f>
        <v/>
      </c>
      <c r="AN552" s="243" t="str">
        <f>'All Ticker P&amp;L'!C552</f>
        <v/>
      </c>
      <c r="AO552" s="243" t="str">
        <f>'All Ticker P&amp;L'!D552</f>
        <v/>
      </c>
      <c r="AP552" s="243">
        <f>IF($AL552="",0,'All Ticker P&amp;L'!E552)</f>
        <v>0</v>
      </c>
      <c r="AQ552" s="266">
        <f>IF($AL552="",0,'All Ticker P&amp;L'!J552*'All Ticker P&amp;L'!I552)</f>
        <v>0</v>
      </c>
      <c r="AR552" s="266">
        <f>IF($AL552="",0,'All Ticker P&amp;L'!L552)</f>
        <v>0</v>
      </c>
      <c r="AS552" s="267">
        <f>IF($AL552="",0,'All Ticker P&amp;L'!M552)</f>
        <v>0</v>
      </c>
      <c r="AT552" s="243" t="str">
        <f>IF($AL552="","",RANK(AR552,$AR$2:$AR$1001)+COUNTIF($AR$2:AR552,AR552)-1)</f>
        <v/>
      </c>
      <c r="AU552" s="243" t="str">
        <f>IF($AL552="","",RANK(AV552,$AV$2:$AV$1001)+COUNTIF($AV$2:AV552,AV552)-1)</f>
        <v/>
      </c>
      <c r="AV552" s="266">
        <f t="shared" si="48"/>
        <v>0</v>
      </c>
    </row>
    <row r="553" spans="26:48" ht="15" customHeight="1" x14ac:dyDescent="0.2">
      <c r="Z553" s="243" t="str">
        <f>Shares!A553</f>
        <v/>
      </c>
      <c r="AA553" s="243" t="str">
        <f>Shares!B553</f>
        <v/>
      </c>
      <c r="AB553" s="243" t="str">
        <f>Shares!C553</f>
        <v/>
      </c>
      <c r="AC553" s="243" t="str">
        <f>Shares!D553</f>
        <v/>
      </c>
      <c r="AD553" s="243">
        <f>IF($Z553="",0,Shares!E553)</f>
        <v>0</v>
      </c>
      <c r="AE553" s="266">
        <f>IF($Z553="",0,Shares!J553*Shares!I553)</f>
        <v>0</v>
      </c>
      <c r="AF553" s="267">
        <f t="shared" si="47"/>
        <v>0</v>
      </c>
      <c r="AG553" s="266">
        <f>IF($Z553="",0,Shares!L553)</f>
        <v>0</v>
      </c>
      <c r="AH553" s="267">
        <f>IF($Z553="",0,Shares!M553)</f>
        <v>0</v>
      </c>
      <c r="AI553" s="243" t="str">
        <f>IF($Z553="","",RANK(AE553,$AE$2:$AE$1001)+COUNTIF($AE$2:AE553,AE553)-1)</f>
        <v/>
      </c>
      <c r="AJ553" s="243" t="str">
        <f>IF($AD553&lt;0,COUNT($AJ$1:AJ552)+1,"")</f>
        <v/>
      </c>
      <c r="AL553" s="243" t="str">
        <f>'All Ticker P&amp;L'!A553</f>
        <v/>
      </c>
      <c r="AM553" s="243" t="str">
        <f>'All Ticker P&amp;L'!B553</f>
        <v/>
      </c>
      <c r="AN553" s="243" t="str">
        <f>'All Ticker P&amp;L'!C553</f>
        <v/>
      </c>
      <c r="AO553" s="243" t="str">
        <f>'All Ticker P&amp;L'!D553</f>
        <v/>
      </c>
      <c r="AP553" s="243">
        <f>IF($AL553="",0,'All Ticker P&amp;L'!E553)</f>
        <v>0</v>
      </c>
      <c r="AQ553" s="266">
        <f>IF($AL553="",0,'All Ticker P&amp;L'!J553*'All Ticker P&amp;L'!I553)</f>
        <v>0</v>
      </c>
      <c r="AR553" s="266">
        <f>IF($AL553="",0,'All Ticker P&amp;L'!L553)</f>
        <v>0</v>
      </c>
      <c r="AS553" s="267">
        <f>IF($AL553="",0,'All Ticker P&amp;L'!M553)</f>
        <v>0</v>
      </c>
      <c r="AT553" s="243" t="str">
        <f>IF($AL553="","",RANK(AR553,$AR$2:$AR$1001)+COUNTIF($AR$2:AR553,AR553)-1)</f>
        <v/>
      </c>
      <c r="AU553" s="243" t="str">
        <f>IF($AL553="","",RANK(AV553,$AV$2:$AV$1001)+COUNTIF($AV$2:AV553,AV553)-1)</f>
        <v/>
      </c>
      <c r="AV553" s="266">
        <f t="shared" si="48"/>
        <v>0</v>
      </c>
    </row>
    <row r="554" spans="26:48" ht="15" customHeight="1" x14ac:dyDescent="0.2">
      <c r="Z554" s="243" t="str">
        <f>Shares!A554</f>
        <v/>
      </c>
      <c r="AA554" s="243" t="str">
        <f>Shares!B554</f>
        <v/>
      </c>
      <c r="AB554" s="243" t="str">
        <f>Shares!C554</f>
        <v/>
      </c>
      <c r="AC554" s="243" t="str">
        <f>Shares!D554</f>
        <v/>
      </c>
      <c r="AD554" s="243">
        <f>IF($Z554="",0,Shares!E554)</f>
        <v>0</v>
      </c>
      <c r="AE554" s="266">
        <f>IF($Z554="",0,Shares!J554*Shares!I554)</f>
        <v>0</v>
      </c>
      <c r="AF554" s="267">
        <f t="shared" si="47"/>
        <v>0</v>
      </c>
      <c r="AG554" s="266">
        <f>IF($Z554="",0,Shares!L554)</f>
        <v>0</v>
      </c>
      <c r="AH554" s="267">
        <f>IF($Z554="",0,Shares!M554)</f>
        <v>0</v>
      </c>
      <c r="AI554" s="243" t="str">
        <f>IF($Z554="","",RANK(AE554,$AE$2:$AE$1001)+COUNTIF($AE$2:AE554,AE554)-1)</f>
        <v/>
      </c>
      <c r="AJ554" s="243" t="str">
        <f>IF($AD554&lt;0,COUNT($AJ$1:AJ553)+1,"")</f>
        <v/>
      </c>
      <c r="AL554" s="243" t="str">
        <f>'All Ticker P&amp;L'!A554</f>
        <v/>
      </c>
      <c r="AM554" s="243" t="str">
        <f>'All Ticker P&amp;L'!B554</f>
        <v/>
      </c>
      <c r="AN554" s="243" t="str">
        <f>'All Ticker P&amp;L'!C554</f>
        <v/>
      </c>
      <c r="AO554" s="243" t="str">
        <f>'All Ticker P&amp;L'!D554</f>
        <v/>
      </c>
      <c r="AP554" s="243">
        <f>IF($AL554="",0,'All Ticker P&amp;L'!E554)</f>
        <v>0</v>
      </c>
      <c r="AQ554" s="266">
        <f>IF($AL554="",0,'All Ticker P&amp;L'!J554*'All Ticker P&amp;L'!I554)</f>
        <v>0</v>
      </c>
      <c r="AR554" s="266">
        <f>IF($AL554="",0,'All Ticker P&amp;L'!L554)</f>
        <v>0</v>
      </c>
      <c r="AS554" s="267">
        <f>IF($AL554="",0,'All Ticker P&amp;L'!M554)</f>
        <v>0</v>
      </c>
      <c r="AT554" s="243" t="str">
        <f>IF($AL554="","",RANK(AR554,$AR$2:$AR$1001)+COUNTIF($AR$2:AR554,AR554)-1)</f>
        <v/>
      </c>
      <c r="AU554" s="243" t="str">
        <f>IF($AL554="","",RANK(AV554,$AV$2:$AV$1001)+COUNTIF($AV$2:AV554,AV554)-1)</f>
        <v/>
      </c>
      <c r="AV554" s="266">
        <f t="shared" si="48"/>
        <v>0</v>
      </c>
    </row>
    <row r="555" spans="26:48" ht="15" customHeight="1" x14ac:dyDescent="0.2">
      <c r="Z555" s="243" t="str">
        <f>Shares!A555</f>
        <v/>
      </c>
      <c r="AA555" s="243" t="str">
        <f>Shares!B555</f>
        <v/>
      </c>
      <c r="AB555" s="243" t="str">
        <f>Shares!C555</f>
        <v/>
      </c>
      <c r="AC555" s="243" t="str">
        <f>Shares!D555</f>
        <v/>
      </c>
      <c r="AD555" s="243">
        <f>IF($Z555="",0,Shares!E555)</f>
        <v>0</v>
      </c>
      <c r="AE555" s="266">
        <f>IF($Z555="",0,Shares!J555*Shares!I555)</f>
        <v>0</v>
      </c>
      <c r="AF555" s="267">
        <f t="shared" si="47"/>
        <v>0</v>
      </c>
      <c r="AG555" s="266">
        <f>IF($Z555="",0,Shares!L555)</f>
        <v>0</v>
      </c>
      <c r="AH555" s="267">
        <f>IF($Z555="",0,Shares!M555)</f>
        <v>0</v>
      </c>
      <c r="AI555" s="243" t="str">
        <f>IF($Z555="","",RANK(AE555,$AE$2:$AE$1001)+COUNTIF($AE$2:AE555,AE555)-1)</f>
        <v/>
      </c>
      <c r="AJ555" s="243" t="str">
        <f>IF($AD555&lt;0,COUNT($AJ$1:AJ554)+1,"")</f>
        <v/>
      </c>
      <c r="AL555" s="243" t="str">
        <f>'All Ticker P&amp;L'!A555</f>
        <v/>
      </c>
      <c r="AM555" s="243" t="str">
        <f>'All Ticker P&amp;L'!B555</f>
        <v/>
      </c>
      <c r="AN555" s="243" t="str">
        <f>'All Ticker P&amp;L'!C555</f>
        <v/>
      </c>
      <c r="AO555" s="243" t="str">
        <f>'All Ticker P&amp;L'!D555</f>
        <v/>
      </c>
      <c r="AP555" s="243">
        <f>IF($AL555="",0,'All Ticker P&amp;L'!E555)</f>
        <v>0</v>
      </c>
      <c r="AQ555" s="266">
        <f>IF($AL555="",0,'All Ticker P&amp;L'!J555*'All Ticker P&amp;L'!I555)</f>
        <v>0</v>
      </c>
      <c r="AR555" s="266">
        <f>IF($AL555="",0,'All Ticker P&amp;L'!L555)</f>
        <v>0</v>
      </c>
      <c r="AS555" s="267">
        <f>IF($AL555="",0,'All Ticker P&amp;L'!M555)</f>
        <v>0</v>
      </c>
      <c r="AT555" s="243" t="str">
        <f>IF($AL555="","",RANK(AR555,$AR$2:$AR$1001)+COUNTIF($AR$2:AR555,AR555)-1)</f>
        <v/>
      </c>
      <c r="AU555" s="243" t="str">
        <f>IF($AL555="","",RANK(AV555,$AV$2:$AV$1001)+COUNTIF($AV$2:AV555,AV555)-1)</f>
        <v/>
      </c>
      <c r="AV555" s="266">
        <f t="shared" si="48"/>
        <v>0</v>
      </c>
    </row>
    <row r="556" spans="26:48" ht="15" customHeight="1" x14ac:dyDescent="0.2">
      <c r="Z556" s="243" t="str">
        <f>Shares!A556</f>
        <v/>
      </c>
      <c r="AA556" s="243" t="str">
        <f>Shares!B556</f>
        <v/>
      </c>
      <c r="AB556" s="243" t="str">
        <f>Shares!C556</f>
        <v/>
      </c>
      <c r="AC556" s="243" t="str">
        <f>Shares!D556</f>
        <v/>
      </c>
      <c r="AD556" s="243">
        <f>IF($Z556="",0,Shares!E556)</f>
        <v>0</v>
      </c>
      <c r="AE556" s="266">
        <f>IF($Z556="",0,Shares!J556*Shares!I556)</f>
        <v>0</v>
      </c>
      <c r="AF556" s="267">
        <f t="shared" si="47"/>
        <v>0</v>
      </c>
      <c r="AG556" s="266">
        <f>IF($Z556="",0,Shares!L556)</f>
        <v>0</v>
      </c>
      <c r="AH556" s="267">
        <f>IF($Z556="",0,Shares!M556)</f>
        <v>0</v>
      </c>
      <c r="AI556" s="243" t="str">
        <f>IF($Z556="","",RANK(AE556,$AE$2:$AE$1001)+COUNTIF($AE$2:AE556,AE556)-1)</f>
        <v/>
      </c>
      <c r="AJ556" s="243" t="str">
        <f>IF($AD556&lt;0,COUNT($AJ$1:AJ555)+1,"")</f>
        <v/>
      </c>
      <c r="AL556" s="243" t="str">
        <f>'All Ticker P&amp;L'!A556</f>
        <v/>
      </c>
      <c r="AM556" s="243" t="str">
        <f>'All Ticker P&amp;L'!B556</f>
        <v/>
      </c>
      <c r="AN556" s="243" t="str">
        <f>'All Ticker P&amp;L'!C556</f>
        <v/>
      </c>
      <c r="AO556" s="243" t="str">
        <f>'All Ticker P&amp;L'!D556</f>
        <v/>
      </c>
      <c r="AP556" s="243">
        <f>IF($AL556="",0,'All Ticker P&amp;L'!E556)</f>
        <v>0</v>
      </c>
      <c r="AQ556" s="266">
        <f>IF($AL556="",0,'All Ticker P&amp;L'!J556*'All Ticker P&amp;L'!I556)</f>
        <v>0</v>
      </c>
      <c r="AR556" s="266">
        <f>IF($AL556="",0,'All Ticker P&amp;L'!L556)</f>
        <v>0</v>
      </c>
      <c r="AS556" s="267">
        <f>IF($AL556="",0,'All Ticker P&amp;L'!M556)</f>
        <v>0</v>
      </c>
      <c r="AT556" s="243" t="str">
        <f>IF($AL556="","",RANK(AR556,$AR$2:$AR$1001)+COUNTIF($AR$2:AR556,AR556)-1)</f>
        <v/>
      </c>
      <c r="AU556" s="243" t="str">
        <f>IF($AL556="","",RANK(AV556,$AV$2:$AV$1001)+COUNTIF($AV$2:AV556,AV556)-1)</f>
        <v/>
      </c>
      <c r="AV556" s="266">
        <f t="shared" si="48"/>
        <v>0</v>
      </c>
    </row>
    <row r="557" spans="26:48" ht="15" customHeight="1" x14ac:dyDescent="0.2">
      <c r="Z557" s="243" t="str">
        <f>Shares!A557</f>
        <v/>
      </c>
      <c r="AA557" s="243" t="str">
        <f>Shares!B557</f>
        <v/>
      </c>
      <c r="AB557" s="243" t="str">
        <f>Shares!C557</f>
        <v/>
      </c>
      <c r="AC557" s="243" t="str">
        <f>Shares!D557</f>
        <v/>
      </c>
      <c r="AD557" s="243">
        <f>IF($Z557="",0,Shares!E557)</f>
        <v>0</v>
      </c>
      <c r="AE557" s="266">
        <f>IF($Z557="",0,Shares!J557*Shares!I557)</f>
        <v>0</v>
      </c>
      <c r="AF557" s="267">
        <f t="shared" si="47"/>
        <v>0</v>
      </c>
      <c r="AG557" s="266">
        <f>IF($Z557="",0,Shares!L557)</f>
        <v>0</v>
      </c>
      <c r="AH557" s="267">
        <f>IF($Z557="",0,Shares!M557)</f>
        <v>0</v>
      </c>
      <c r="AI557" s="243" t="str">
        <f>IF($Z557="","",RANK(AE557,$AE$2:$AE$1001)+COUNTIF($AE$2:AE557,AE557)-1)</f>
        <v/>
      </c>
      <c r="AJ557" s="243" t="str">
        <f>IF($AD557&lt;0,COUNT($AJ$1:AJ556)+1,"")</f>
        <v/>
      </c>
      <c r="AL557" s="243" t="str">
        <f>'All Ticker P&amp;L'!A557</f>
        <v/>
      </c>
      <c r="AM557" s="243" t="str">
        <f>'All Ticker P&amp;L'!B557</f>
        <v/>
      </c>
      <c r="AN557" s="243" t="str">
        <f>'All Ticker P&amp;L'!C557</f>
        <v/>
      </c>
      <c r="AO557" s="243" t="str">
        <f>'All Ticker P&amp;L'!D557</f>
        <v/>
      </c>
      <c r="AP557" s="243">
        <f>IF($AL557="",0,'All Ticker P&amp;L'!E557)</f>
        <v>0</v>
      </c>
      <c r="AQ557" s="266">
        <f>IF($AL557="",0,'All Ticker P&amp;L'!J557*'All Ticker P&amp;L'!I557)</f>
        <v>0</v>
      </c>
      <c r="AR557" s="266">
        <f>IF($AL557="",0,'All Ticker P&amp;L'!L557)</f>
        <v>0</v>
      </c>
      <c r="AS557" s="267">
        <f>IF($AL557="",0,'All Ticker P&amp;L'!M557)</f>
        <v>0</v>
      </c>
      <c r="AT557" s="243" t="str">
        <f>IF($AL557="","",RANK(AR557,$AR$2:$AR$1001)+COUNTIF($AR$2:AR557,AR557)-1)</f>
        <v/>
      </c>
      <c r="AU557" s="243" t="str">
        <f>IF($AL557="","",RANK(AV557,$AV$2:$AV$1001)+COUNTIF($AV$2:AV557,AV557)-1)</f>
        <v/>
      </c>
      <c r="AV557" s="266">
        <f t="shared" si="48"/>
        <v>0</v>
      </c>
    </row>
    <row r="558" spans="26:48" ht="15" customHeight="1" x14ac:dyDescent="0.2">
      <c r="Z558" s="243" t="str">
        <f>Shares!A558</f>
        <v/>
      </c>
      <c r="AA558" s="243" t="str">
        <f>Shares!B558</f>
        <v/>
      </c>
      <c r="AB558" s="243" t="str">
        <f>Shares!C558</f>
        <v/>
      </c>
      <c r="AC558" s="243" t="str">
        <f>Shares!D558</f>
        <v/>
      </c>
      <c r="AD558" s="243">
        <f>IF($Z558="",0,Shares!E558)</f>
        <v>0</v>
      </c>
      <c r="AE558" s="266">
        <f>IF($Z558="",0,Shares!J558*Shares!I558)</f>
        <v>0</v>
      </c>
      <c r="AF558" s="267">
        <f t="shared" si="47"/>
        <v>0</v>
      </c>
      <c r="AG558" s="266">
        <f>IF($Z558="",0,Shares!L558)</f>
        <v>0</v>
      </c>
      <c r="AH558" s="267">
        <f>IF($Z558="",0,Shares!M558)</f>
        <v>0</v>
      </c>
      <c r="AI558" s="243" t="str">
        <f>IF($Z558="","",RANK(AE558,$AE$2:$AE$1001)+COUNTIF($AE$2:AE558,AE558)-1)</f>
        <v/>
      </c>
      <c r="AJ558" s="243" t="str">
        <f>IF($AD558&lt;0,COUNT($AJ$1:AJ557)+1,"")</f>
        <v/>
      </c>
      <c r="AL558" s="243" t="str">
        <f>'All Ticker P&amp;L'!A558</f>
        <v/>
      </c>
      <c r="AM558" s="243" t="str">
        <f>'All Ticker P&amp;L'!B558</f>
        <v/>
      </c>
      <c r="AN558" s="243" t="str">
        <f>'All Ticker P&amp;L'!C558</f>
        <v/>
      </c>
      <c r="AO558" s="243" t="str">
        <f>'All Ticker P&amp;L'!D558</f>
        <v/>
      </c>
      <c r="AP558" s="243">
        <f>IF($AL558="",0,'All Ticker P&amp;L'!E558)</f>
        <v>0</v>
      </c>
      <c r="AQ558" s="266">
        <f>IF($AL558="",0,'All Ticker P&amp;L'!J558*'All Ticker P&amp;L'!I558)</f>
        <v>0</v>
      </c>
      <c r="AR558" s="266">
        <f>IF($AL558="",0,'All Ticker P&amp;L'!L558)</f>
        <v>0</v>
      </c>
      <c r="AS558" s="267">
        <f>IF($AL558="",0,'All Ticker P&amp;L'!M558)</f>
        <v>0</v>
      </c>
      <c r="AT558" s="243" t="str">
        <f>IF($AL558="","",RANK(AR558,$AR$2:$AR$1001)+COUNTIF($AR$2:AR558,AR558)-1)</f>
        <v/>
      </c>
      <c r="AU558" s="243" t="str">
        <f>IF($AL558="","",RANK(AV558,$AV$2:$AV$1001)+COUNTIF($AV$2:AV558,AV558)-1)</f>
        <v/>
      </c>
      <c r="AV558" s="266">
        <f t="shared" si="48"/>
        <v>0</v>
      </c>
    </row>
    <row r="559" spans="26:48" ht="15" customHeight="1" x14ac:dyDescent="0.2">
      <c r="Z559" s="243" t="str">
        <f>Shares!A559</f>
        <v/>
      </c>
      <c r="AA559" s="243" t="str">
        <f>Shares!B559</f>
        <v/>
      </c>
      <c r="AB559" s="243" t="str">
        <f>Shares!C559</f>
        <v/>
      </c>
      <c r="AC559" s="243" t="str">
        <f>Shares!D559</f>
        <v/>
      </c>
      <c r="AD559" s="243">
        <f>IF($Z559="",0,Shares!E559)</f>
        <v>0</v>
      </c>
      <c r="AE559" s="266">
        <f>IF($Z559="",0,Shares!J559*Shares!I559)</f>
        <v>0</v>
      </c>
      <c r="AF559" s="267">
        <f t="shared" si="47"/>
        <v>0</v>
      </c>
      <c r="AG559" s="266">
        <f>IF($Z559="",0,Shares!L559)</f>
        <v>0</v>
      </c>
      <c r="AH559" s="267">
        <f>IF($Z559="",0,Shares!M559)</f>
        <v>0</v>
      </c>
      <c r="AI559" s="243" t="str">
        <f>IF($Z559="","",RANK(AE559,$AE$2:$AE$1001)+COUNTIF($AE$2:AE559,AE559)-1)</f>
        <v/>
      </c>
      <c r="AJ559" s="243" t="str">
        <f>IF($AD559&lt;0,COUNT($AJ$1:AJ558)+1,"")</f>
        <v/>
      </c>
      <c r="AL559" s="243" t="str">
        <f>'All Ticker P&amp;L'!A559</f>
        <v/>
      </c>
      <c r="AM559" s="243" t="str">
        <f>'All Ticker P&amp;L'!B559</f>
        <v/>
      </c>
      <c r="AN559" s="243" t="str">
        <f>'All Ticker P&amp;L'!C559</f>
        <v/>
      </c>
      <c r="AO559" s="243" t="str">
        <f>'All Ticker P&amp;L'!D559</f>
        <v/>
      </c>
      <c r="AP559" s="243">
        <f>IF($AL559="",0,'All Ticker P&amp;L'!E559)</f>
        <v>0</v>
      </c>
      <c r="AQ559" s="266">
        <f>IF($AL559="",0,'All Ticker P&amp;L'!J559*'All Ticker P&amp;L'!I559)</f>
        <v>0</v>
      </c>
      <c r="AR559" s="266">
        <f>IF($AL559="",0,'All Ticker P&amp;L'!L559)</f>
        <v>0</v>
      </c>
      <c r="AS559" s="267">
        <f>IF($AL559="",0,'All Ticker P&amp;L'!M559)</f>
        <v>0</v>
      </c>
      <c r="AT559" s="243" t="str">
        <f>IF($AL559="","",RANK(AR559,$AR$2:$AR$1001)+COUNTIF($AR$2:AR559,AR559)-1)</f>
        <v/>
      </c>
      <c r="AU559" s="243" t="str">
        <f>IF($AL559="","",RANK(AV559,$AV$2:$AV$1001)+COUNTIF($AV$2:AV559,AV559)-1)</f>
        <v/>
      </c>
      <c r="AV559" s="266">
        <f t="shared" si="48"/>
        <v>0</v>
      </c>
    </row>
    <row r="560" spans="26:48" ht="15" customHeight="1" x14ac:dyDescent="0.2">
      <c r="Z560" s="243" t="str">
        <f>Shares!A560</f>
        <v/>
      </c>
      <c r="AA560" s="243" t="str">
        <f>Shares!B560</f>
        <v/>
      </c>
      <c r="AB560" s="243" t="str">
        <f>Shares!C560</f>
        <v/>
      </c>
      <c r="AC560" s="243" t="str">
        <f>Shares!D560</f>
        <v/>
      </c>
      <c r="AD560" s="243">
        <f>IF($Z560="",0,Shares!E560)</f>
        <v>0</v>
      </c>
      <c r="AE560" s="266">
        <f>IF($Z560="",0,Shares!J560*Shares!I560)</f>
        <v>0</v>
      </c>
      <c r="AF560" s="267">
        <f t="shared" si="47"/>
        <v>0</v>
      </c>
      <c r="AG560" s="266">
        <f>IF($Z560="",0,Shares!L560)</f>
        <v>0</v>
      </c>
      <c r="AH560" s="267">
        <f>IF($Z560="",0,Shares!M560)</f>
        <v>0</v>
      </c>
      <c r="AI560" s="243" t="str">
        <f>IF($Z560="","",RANK(AE560,$AE$2:$AE$1001)+COUNTIF($AE$2:AE560,AE560)-1)</f>
        <v/>
      </c>
      <c r="AJ560" s="243" t="str">
        <f>IF($AD560&lt;0,COUNT($AJ$1:AJ559)+1,"")</f>
        <v/>
      </c>
      <c r="AL560" s="243" t="str">
        <f>'All Ticker P&amp;L'!A560</f>
        <v/>
      </c>
      <c r="AM560" s="243" t="str">
        <f>'All Ticker P&amp;L'!B560</f>
        <v/>
      </c>
      <c r="AN560" s="243" t="str">
        <f>'All Ticker P&amp;L'!C560</f>
        <v/>
      </c>
      <c r="AO560" s="243" t="str">
        <f>'All Ticker P&amp;L'!D560</f>
        <v/>
      </c>
      <c r="AP560" s="243">
        <f>IF($AL560="",0,'All Ticker P&amp;L'!E560)</f>
        <v>0</v>
      </c>
      <c r="AQ560" s="266">
        <f>IF($AL560="",0,'All Ticker P&amp;L'!J560*'All Ticker P&amp;L'!I560)</f>
        <v>0</v>
      </c>
      <c r="AR560" s="266">
        <f>IF($AL560="",0,'All Ticker P&amp;L'!L560)</f>
        <v>0</v>
      </c>
      <c r="AS560" s="267">
        <f>IF($AL560="",0,'All Ticker P&amp;L'!M560)</f>
        <v>0</v>
      </c>
      <c r="AT560" s="243" t="str">
        <f>IF($AL560="","",RANK(AR560,$AR$2:$AR$1001)+COUNTIF($AR$2:AR560,AR560)-1)</f>
        <v/>
      </c>
      <c r="AU560" s="243" t="str">
        <f>IF($AL560="","",RANK(AV560,$AV$2:$AV$1001)+COUNTIF($AV$2:AV560,AV560)-1)</f>
        <v/>
      </c>
      <c r="AV560" s="266">
        <f t="shared" si="48"/>
        <v>0</v>
      </c>
    </row>
    <row r="561" spans="26:48" ht="15" customHeight="1" x14ac:dyDescent="0.2">
      <c r="Z561" s="243" t="str">
        <f>Shares!A561</f>
        <v/>
      </c>
      <c r="AA561" s="243" t="str">
        <f>Shares!B561</f>
        <v/>
      </c>
      <c r="AB561" s="243" t="str">
        <f>Shares!C561</f>
        <v/>
      </c>
      <c r="AC561" s="243" t="str">
        <f>Shares!D561</f>
        <v/>
      </c>
      <c r="AD561" s="243">
        <f>IF($Z561="",0,Shares!E561)</f>
        <v>0</v>
      </c>
      <c r="AE561" s="266">
        <f>IF($Z561="",0,Shares!J561*Shares!I561)</f>
        <v>0</v>
      </c>
      <c r="AF561" s="267">
        <f t="shared" si="47"/>
        <v>0</v>
      </c>
      <c r="AG561" s="266">
        <f>IF($Z561="",0,Shares!L561)</f>
        <v>0</v>
      </c>
      <c r="AH561" s="267">
        <f>IF($Z561="",0,Shares!M561)</f>
        <v>0</v>
      </c>
      <c r="AI561" s="243" t="str">
        <f>IF($Z561="","",RANK(AE561,$AE$2:$AE$1001)+COUNTIF($AE$2:AE561,AE561)-1)</f>
        <v/>
      </c>
      <c r="AJ561" s="243" t="str">
        <f>IF($AD561&lt;0,COUNT($AJ$1:AJ560)+1,"")</f>
        <v/>
      </c>
      <c r="AL561" s="243" t="str">
        <f>'All Ticker P&amp;L'!A561</f>
        <v/>
      </c>
      <c r="AM561" s="243" t="str">
        <f>'All Ticker P&amp;L'!B561</f>
        <v/>
      </c>
      <c r="AN561" s="243" t="str">
        <f>'All Ticker P&amp;L'!C561</f>
        <v/>
      </c>
      <c r="AO561" s="243" t="str">
        <f>'All Ticker P&amp;L'!D561</f>
        <v/>
      </c>
      <c r="AP561" s="243">
        <f>IF($AL561="",0,'All Ticker P&amp;L'!E561)</f>
        <v>0</v>
      </c>
      <c r="AQ561" s="266">
        <f>IF($AL561="",0,'All Ticker P&amp;L'!J561*'All Ticker P&amp;L'!I561)</f>
        <v>0</v>
      </c>
      <c r="AR561" s="266">
        <f>IF($AL561="",0,'All Ticker P&amp;L'!L561)</f>
        <v>0</v>
      </c>
      <c r="AS561" s="267">
        <f>IF($AL561="",0,'All Ticker P&amp;L'!M561)</f>
        <v>0</v>
      </c>
      <c r="AT561" s="243" t="str">
        <f>IF($AL561="","",RANK(AR561,$AR$2:$AR$1001)+COUNTIF($AR$2:AR561,AR561)-1)</f>
        <v/>
      </c>
      <c r="AU561" s="243" t="str">
        <f>IF($AL561="","",RANK(AV561,$AV$2:$AV$1001)+COUNTIF($AV$2:AV561,AV561)-1)</f>
        <v/>
      </c>
      <c r="AV561" s="266">
        <f t="shared" si="48"/>
        <v>0</v>
      </c>
    </row>
    <row r="562" spans="26:48" ht="15" customHeight="1" x14ac:dyDescent="0.2">
      <c r="Z562" s="243" t="str">
        <f>Shares!A562</f>
        <v/>
      </c>
      <c r="AA562" s="243" t="str">
        <f>Shares!B562</f>
        <v/>
      </c>
      <c r="AB562" s="243" t="str">
        <f>Shares!C562</f>
        <v/>
      </c>
      <c r="AC562" s="243" t="str">
        <f>Shares!D562</f>
        <v/>
      </c>
      <c r="AD562" s="243">
        <f>IF($Z562="",0,Shares!E562)</f>
        <v>0</v>
      </c>
      <c r="AE562" s="266">
        <f>IF($Z562="",0,Shares!J562*Shares!I562)</f>
        <v>0</v>
      </c>
      <c r="AF562" s="267">
        <f t="shared" si="47"/>
        <v>0</v>
      </c>
      <c r="AG562" s="266">
        <f>IF($Z562="",0,Shares!L562)</f>
        <v>0</v>
      </c>
      <c r="AH562" s="267">
        <f>IF($Z562="",0,Shares!M562)</f>
        <v>0</v>
      </c>
      <c r="AI562" s="243" t="str">
        <f>IF($Z562="","",RANK(AE562,$AE$2:$AE$1001)+COUNTIF($AE$2:AE562,AE562)-1)</f>
        <v/>
      </c>
      <c r="AJ562" s="243" t="str">
        <f>IF($AD562&lt;0,COUNT($AJ$1:AJ561)+1,"")</f>
        <v/>
      </c>
      <c r="AL562" s="243" t="str">
        <f>'All Ticker P&amp;L'!A562</f>
        <v/>
      </c>
      <c r="AM562" s="243" t="str">
        <f>'All Ticker P&amp;L'!B562</f>
        <v/>
      </c>
      <c r="AN562" s="243" t="str">
        <f>'All Ticker P&amp;L'!C562</f>
        <v/>
      </c>
      <c r="AO562" s="243" t="str">
        <f>'All Ticker P&amp;L'!D562</f>
        <v/>
      </c>
      <c r="AP562" s="243">
        <f>IF($AL562="",0,'All Ticker P&amp;L'!E562)</f>
        <v>0</v>
      </c>
      <c r="AQ562" s="266">
        <f>IF($AL562="",0,'All Ticker P&amp;L'!J562*'All Ticker P&amp;L'!I562)</f>
        <v>0</v>
      </c>
      <c r="AR562" s="266">
        <f>IF($AL562="",0,'All Ticker P&amp;L'!L562)</f>
        <v>0</v>
      </c>
      <c r="AS562" s="267">
        <f>IF($AL562="",0,'All Ticker P&amp;L'!M562)</f>
        <v>0</v>
      </c>
      <c r="AT562" s="243" t="str">
        <f>IF($AL562="","",RANK(AR562,$AR$2:$AR$1001)+COUNTIF($AR$2:AR562,AR562)-1)</f>
        <v/>
      </c>
      <c r="AU562" s="243" t="str">
        <f>IF($AL562="","",RANK(AV562,$AV$2:$AV$1001)+COUNTIF($AV$2:AV562,AV562)-1)</f>
        <v/>
      </c>
      <c r="AV562" s="266">
        <f t="shared" si="48"/>
        <v>0</v>
      </c>
    </row>
    <row r="563" spans="26:48" ht="15" customHeight="1" x14ac:dyDescent="0.2">
      <c r="Z563" s="243" t="str">
        <f>Shares!A563</f>
        <v/>
      </c>
      <c r="AA563" s="243" t="str">
        <f>Shares!B563</f>
        <v/>
      </c>
      <c r="AB563" s="243" t="str">
        <f>Shares!C563</f>
        <v/>
      </c>
      <c r="AC563" s="243" t="str">
        <f>Shares!D563</f>
        <v/>
      </c>
      <c r="AD563" s="243">
        <f>IF($Z563="",0,Shares!E563)</f>
        <v>0</v>
      </c>
      <c r="AE563" s="266">
        <f>IF($Z563="",0,Shares!J563*Shares!I563)</f>
        <v>0</v>
      </c>
      <c r="AF563" s="267">
        <f t="shared" si="47"/>
        <v>0</v>
      </c>
      <c r="AG563" s="266">
        <f>IF($Z563="",0,Shares!L563)</f>
        <v>0</v>
      </c>
      <c r="AH563" s="267">
        <f>IF($Z563="",0,Shares!M563)</f>
        <v>0</v>
      </c>
      <c r="AI563" s="243" t="str">
        <f>IF($Z563="","",RANK(AE563,$AE$2:$AE$1001)+COUNTIF($AE$2:AE563,AE563)-1)</f>
        <v/>
      </c>
      <c r="AJ563" s="243" t="str">
        <f>IF($AD563&lt;0,COUNT($AJ$1:AJ562)+1,"")</f>
        <v/>
      </c>
      <c r="AL563" s="243" t="str">
        <f>'All Ticker P&amp;L'!A563</f>
        <v/>
      </c>
      <c r="AM563" s="243" t="str">
        <f>'All Ticker P&amp;L'!B563</f>
        <v/>
      </c>
      <c r="AN563" s="243" t="str">
        <f>'All Ticker P&amp;L'!C563</f>
        <v/>
      </c>
      <c r="AO563" s="243" t="str">
        <f>'All Ticker P&amp;L'!D563</f>
        <v/>
      </c>
      <c r="AP563" s="243">
        <f>IF($AL563="",0,'All Ticker P&amp;L'!E563)</f>
        <v>0</v>
      </c>
      <c r="AQ563" s="266">
        <f>IF($AL563="",0,'All Ticker P&amp;L'!J563*'All Ticker P&amp;L'!I563)</f>
        <v>0</v>
      </c>
      <c r="AR563" s="266">
        <f>IF($AL563="",0,'All Ticker P&amp;L'!L563)</f>
        <v>0</v>
      </c>
      <c r="AS563" s="267">
        <f>IF($AL563="",0,'All Ticker P&amp;L'!M563)</f>
        <v>0</v>
      </c>
      <c r="AT563" s="243" t="str">
        <f>IF($AL563="","",RANK(AR563,$AR$2:$AR$1001)+COUNTIF($AR$2:AR563,AR563)-1)</f>
        <v/>
      </c>
      <c r="AU563" s="243" t="str">
        <f>IF($AL563="","",RANK(AV563,$AV$2:$AV$1001)+COUNTIF($AV$2:AV563,AV563)-1)</f>
        <v/>
      </c>
      <c r="AV563" s="266">
        <f t="shared" si="48"/>
        <v>0</v>
      </c>
    </row>
    <row r="564" spans="26:48" ht="15" customHeight="1" x14ac:dyDescent="0.2">
      <c r="Z564" s="243" t="str">
        <f>Shares!A564</f>
        <v/>
      </c>
      <c r="AA564" s="243" t="str">
        <f>Shares!B564</f>
        <v/>
      </c>
      <c r="AB564" s="243" t="str">
        <f>Shares!C564</f>
        <v/>
      </c>
      <c r="AC564" s="243" t="str">
        <f>Shares!D564</f>
        <v/>
      </c>
      <c r="AD564" s="243">
        <f>IF($Z564="",0,Shares!E564)</f>
        <v>0</v>
      </c>
      <c r="AE564" s="266">
        <f>IF($Z564="",0,Shares!J564*Shares!I564)</f>
        <v>0</v>
      </c>
      <c r="AF564" s="267">
        <f t="shared" si="47"/>
        <v>0</v>
      </c>
      <c r="AG564" s="266">
        <f>IF($Z564="",0,Shares!L564)</f>
        <v>0</v>
      </c>
      <c r="AH564" s="267">
        <f>IF($Z564="",0,Shares!M564)</f>
        <v>0</v>
      </c>
      <c r="AI564" s="243" t="str">
        <f>IF($Z564="","",RANK(AE564,$AE$2:$AE$1001)+COUNTIF($AE$2:AE564,AE564)-1)</f>
        <v/>
      </c>
      <c r="AJ564" s="243" t="str">
        <f>IF($AD564&lt;0,COUNT($AJ$1:AJ563)+1,"")</f>
        <v/>
      </c>
      <c r="AL564" s="243" t="str">
        <f>'All Ticker P&amp;L'!A564</f>
        <v/>
      </c>
      <c r="AM564" s="243" t="str">
        <f>'All Ticker P&amp;L'!B564</f>
        <v/>
      </c>
      <c r="AN564" s="243" t="str">
        <f>'All Ticker P&amp;L'!C564</f>
        <v/>
      </c>
      <c r="AO564" s="243" t="str">
        <f>'All Ticker P&amp;L'!D564</f>
        <v/>
      </c>
      <c r="AP564" s="243">
        <f>IF($AL564="",0,'All Ticker P&amp;L'!E564)</f>
        <v>0</v>
      </c>
      <c r="AQ564" s="266">
        <f>IF($AL564="",0,'All Ticker P&amp;L'!J564*'All Ticker P&amp;L'!I564)</f>
        <v>0</v>
      </c>
      <c r="AR564" s="266">
        <f>IF($AL564="",0,'All Ticker P&amp;L'!L564)</f>
        <v>0</v>
      </c>
      <c r="AS564" s="267">
        <f>IF($AL564="",0,'All Ticker P&amp;L'!M564)</f>
        <v>0</v>
      </c>
      <c r="AT564" s="243" t="str">
        <f>IF($AL564="","",RANK(AR564,$AR$2:$AR$1001)+COUNTIF($AR$2:AR564,AR564)-1)</f>
        <v/>
      </c>
      <c r="AU564" s="243" t="str">
        <f>IF($AL564="","",RANK(AV564,$AV$2:$AV$1001)+COUNTIF($AV$2:AV564,AV564)-1)</f>
        <v/>
      </c>
      <c r="AV564" s="266">
        <f t="shared" si="48"/>
        <v>0</v>
      </c>
    </row>
    <row r="565" spans="26:48" ht="15" customHeight="1" x14ac:dyDescent="0.2">
      <c r="Z565" s="243" t="str">
        <f>Shares!A565</f>
        <v/>
      </c>
      <c r="AA565" s="243" t="str">
        <f>Shares!B565</f>
        <v/>
      </c>
      <c r="AB565" s="243" t="str">
        <f>Shares!C565</f>
        <v/>
      </c>
      <c r="AC565" s="243" t="str">
        <f>Shares!D565</f>
        <v/>
      </c>
      <c r="AD565" s="243">
        <f>IF($Z565="",0,Shares!E565)</f>
        <v>0</v>
      </c>
      <c r="AE565" s="266">
        <f>IF($Z565="",0,Shares!J565*Shares!I565)</f>
        <v>0</v>
      </c>
      <c r="AF565" s="267">
        <f t="shared" si="47"/>
        <v>0</v>
      </c>
      <c r="AG565" s="266">
        <f>IF($Z565="",0,Shares!L565)</f>
        <v>0</v>
      </c>
      <c r="AH565" s="267">
        <f>IF($Z565="",0,Shares!M565)</f>
        <v>0</v>
      </c>
      <c r="AI565" s="243" t="str">
        <f>IF($Z565="","",RANK(AE565,$AE$2:$AE$1001)+COUNTIF($AE$2:AE565,AE565)-1)</f>
        <v/>
      </c>
      <c r="AJ565" s="243" t="str">
        <f>IF($AD565&lt;0,COUNT($AJ$1:AJ564)+1,"")</f>
        <v/>
      </c>
      <c r="AL565" s="243" t="str">
        <f>'All Ticker P&amp;L'!A565</f>
        <v/>
      </c>
      <c r="AM565" s="243" t="str">
        <f>'All Ticker P&amp;L'!B565</f>
        <v/>
      </c>
      <c r="AN565" s="243" t="str">
        <f>'All Ticker P&amp;L'!C565</f>
        <v/>
      </c>
      <c r="AO565" s="243" t="str">
        <f>'All Ticker P&amp;L'!D565</f>
        <v/>
      </c>
      <c r="AP565" s="243">
        <f>IF($AL565="",0,'All Ticker P&amp;L'!E565)</f>
        <v>0</v>
      </c>
      <c r="AQ565" s="266">
        <f>IF($AL565="",0,'All Ticker P&amp;L'!J565*'All Ticker P&amp;L'!I565)</f>
        <v>0</v>
      </c>
      <c r="AR565" s="266">
        <f>IF($AL565="",0,'All Ticker P&amp;L'!L565)</f>
        <v>0</v>
      </c>
      <c r="AS565" s="267">
        <f>IF($AL565="",0,'All Ticker P&amp;L'!M565)</f>
        <v>0</v>
      </c>
      <c r="AT565" s="243" t="str">
        <f>IF($AL565="","",RANK(AR565,$AR$2:$AR$1001)+COUNTIF($AR$2:AR565,AR565)-1)</f>
        <v/>
      </c>
      <c r="AU565" s="243" t="str">
        <f>IF($AL565="","",RANK(AV565,$AV$2:$AV$1001)+COUNTIF($AV$2:AV565,AV565)-1)</f>
        <v/>
      </c>
      <c r="AV565" s="266">
        <f t="shared" si="48"/>
        <v>0</v>
      </c>
    </row>
    <row r="566" spans="26:48" ht="15" customHeight="1" x14ac:dyDescent="0.2">
      <c r="Z566" s="243" t="str">
        <f>Shares!A566</f>
        <v/>
      </c>
      <c r="AA566" s="243" t="str">
        <f>Shares!B566</f>
        <v/>
      </c>
      <c r="AB566" s="243" t="str">
        <f>Shares!C566</f>
        <v/>
      </c>
      <c r="AC566" s="243" t="str">
        <f>Shares!D566</f>
        <v/>
      </c>
      <c r="AD566" s="243">
        <f>IF($Z566="",0,Shares!E566)</f>
        <v>0</v>
      </c>
      <c r="AE566" s="266">
        <f>IF($Z566="",0,Shares!J566*Shares!I566)</f>
        <v>0</v>
      </c>
      <c r="AF566" s="267">
        <f t="shared" si="47"/>
        <v>0</v>
      </c>
      <c r="AG566" s="266">
        <f>IF($Z566="",0,Shares!L566)</f>
        <v>0</v>
      </c>
      <c r="AH566" s="267">
        <f>IF($Z566="",0,Shares!M566)</f>
        <v>0</v>
      </c>
      <c r="AI566" s="243" t="str">
        <f>IF($Z566="","",RANK(AE566,$AE$2:$AE$1001)+COUNTIF($AE$2:AE566,AE566)-1)</f>
        <v/>
      </c>
      <c r="AJ566" s="243" t="str">
        <f>IF($AD566&lt;0,COUNT($AJ$1:AJ565)+1,"")</f>
        <v/>
      </c>
      <c r="AL566" s="243" t="str">
        <f>'All Ticker P&amp;L'!A566</f>
        <v/>
      </c>
      <c r="AM566" s="243" t="str">
        <f>'All Ticker P&amp;L'!B566</f>
        <v/>
      </c>
      <c r="AN566" s="243" t="str">
        <f>'All Ticker P&amp;L'!C566</f>
        <v/>
      </c>
      <c r="AO566" s="243" t="str">
        <f>'All Ticker P&amp;L'!D566</f>
        <v/>
      </c>
      <c r="AP566" s="243">
        <f>IF($AL566="",0,'All Ticker P&amp;L'!E566)</f>
        <v>0</v>
      </c>
      <c r="AQ566" s="266">
        <f>IF($AL566="",0,'All Ticker P&amp;L'!J566*'All Ticker P&amp;L'!I566)</f>
        <v>0</v>
      </c>
      <c r="AR566" s="266">
        <f>IF($AL566="",0,'All Ticker P&amp;L'!L566)</f>
        <v>0</v>
      </c>
      <c r="AS566" s="267">
        <f>IF($AL566="",0,'All Ticker P&amp;L'!M566)</f>
        <v>0</v>
      </c>
      <c r="AT566" s="243" t="str">
        <f>IF($AL566="","",RANK(AR566,$AR$2:$AR$1001)+COUNTIF($AR$2:AR566,AR566)-1)</f>
        <v/>
      </c>
      <c r="AU566" s="243" t="str">
        <f>IF($AL566="","",RANK(AV566,$AV$2:$AV$1001)+COUNTIF($AV$2:AV566,AV566)-1)</f>
        <v/>
      </c>
      <c r="AV566" s="266">
        <f t="shared" si="48"/>
        <v>0</v>
      </c>
    </row>
    <row r="567" spans="26:48" ht="15" customHeight="1" x14ac:dyDescent="0.2">
      <c r="Z567" s="243" t="str">
        <f>Shares!A567</f>
        <v/>
      </c>
      <c r="AA567" s="243" t="str">
        <f>Shares!B567</f>
        <v/>
      </c>
      <c r="AB567" s="243" t="str">
        <f>Shares!C567</f>
        <v/>
      </c>
      <c r="AC567" s="243" t="str">
        <f>Shares!D567</f>
        <v/>
      </c>
      <c r="AD567" s="243">
        <f>IF($Z567="",0,Shares!E567)</f>
        <v>0</v>
      </c>
      <c r="AE567" s="266">
        <f>IF($Z567="",0,Shares!J567*Shares!I567)</f>
        <v>0</v>
      </c>
      <c r="AF567" s="267">
        <f t="shared" si="47"/>
        <v>0</v>
      </c>
      <c r="AG567" s="266">
        <f>IF($Z567="",0,Shares!L567)</f>
        <v>0</v>
      </c>
      <c r="AH567" s="267">
        <f>IF($Z567="",0,Shares!M567)</f>
        <v>0</v>
      </c>
      <c r="AI567" s="243" t="str">
        <f>IF($Z567="","",RANK(AE567,$AE$2:$AE$1001)+COUNTIF($AE$2:AE567,AE567)-1)</f>
        <v/>
      </c>
      <c r="AJ567" s="243" t="str">
        <f>IF($AD567&lt;0,COUNT($AJ$1:AJ566)+1,"")</f>
        <v/>
      </c>
      <c r="AL567" s="243" t="str">
        <f>'All Ticker P&amp;L'!A567</f>
        <v/>
      </c>
      <c r="AM567" s="243" t="str">
        <f>'All Ticker P&amp;L'!B567</f>
        <v/>
      </c>
      <c r="AN567" s="243" t="str">
        <f>'All Ticker P&amp;L'!C567</f>
        <v/>
      </c>
      <c r="AO567" s="243" t="str">
        <f>'All Ticker P&amp;L'!D567</f>
        <v/>
      </c>
      <c r="AP567" s="243">
        <f>IF($AL567="",0,'All Ticker P&amp;L'!E567)</f>
        <v>0</v>
      </c>
      <c r="AQ567" s="266">
        <f>IF($AL567="",0,'All Ticker P&amp;L'!J567*'All Ticker P&amp;L'!I567)</f>
        <v>0</v>
      </c>
      <c r="AR567" s="266">
        <f>IF($AL567="",0,'All Ticker P&amp;L'!L567)</f>
        <v>0</v>
      </c>
      <c r="AS567" s="267">
        <f>IF($AL567="",0,'All Ticker P&amp;L'!M567)</f>
        <v>0</v>
      </c>
      <c r="AT567" s="243" t="str">
        <f>IF($AL567="","",RANK(AR567,$AR$2:$AR$1001)+COUNTIF($AR$2:AR567,AR567)-1)</f>
        <v/>
      </c>
      <c r="AU567" s="243" t="str">
        <f>IF($AL567="","",RANK(AV567,$AV$2:$AV$1001)+COUNTIF($AV$2:AV567,AV567)-1)</f>
        <v/>
      </c>
      <c r="AV567" s="266">
        <f t="shared" si="48"/>
        <v>0</v>
      </c>
    </row>
    <row r="568" spans="26:48" ht="15" customHeight="1" x14ac:dyDescent="0.2">
      <c r="Z568" s="243" t="str">
        <f>Shares!A568</f>
        <v/>
      </c>
      <c r="AA568" s="243" t="str">
        <f>Shares!B568</f>
        <v/>
      </c>
      <c r="AB568" s="243" t="str">
        <f>Shares!C568</f>
        <v/>
      </c>
      <c r="AC568" s="243" t="str">
        <f>Shares!D568</f>
        <v/>
      </c>
      <c r="AD568" s="243">
        <f>IF($Z568="",0,Shares!E568)</f>
        <v>0</v>
      </c>
      <c r="AE568" s="266">
        <f>IF($Z568="",0,Shares!J568*Shares!I568)</f>
        <v>0</v>
      </c>
      <c r="AF568" s="267">
        <f t="shared" si="47"/>
        <v>0</v>
      </c>
      <c r="AG568" s="266">
        <f>IF($Z568="",0,Shares!L568)</f>
        <v>0</v>
      </c>
      <c r="AH568" s="267">
        <f>IF($Z568="",0,Shares!M568)</f>
        <v>0</v>
      </c>
      <c r="AI568" s="243" t="str">
        <f>IF($Z568="","",RANK(AE568,$AE$2:$AE$1001)+COUNTIF($AE$2:AE568,AE568)-1)</f>
        <v/>
      </c>
      <c r="AJ568" s="243" t="str">
        <f>IF($AD568&lt;0,COUNT($AJ$1:AJ567)+1,"")</f>
        <v/>
      </c>
      <c r="AL568" s="243" t="str">
        <f>'All Ticker P&amp;L'!A568</f>
        <v/>
      </c>
      <c r="AM568" s="243" t="str">
        <f>'All Ticker P&amp;L'!B568</f>
        <v/>
      </c>
      <c r="AN568" s="243" t="str">
        <f>'All Ticker P&amp;L'!C568</f>
        <v/>
      </c>
      <c r="AO568" s="243" t="str">
        <f>'All Ticker P&amp;L'!D568</f>
        <v/>
      </c>
      <c r="AP568" s="243">
        <f>IF($AL568="",0,'All Ticker P&amp;L'!E568)</f>
        <v>0</v>
      </c>
      <c r="AQ568" s="266">
        <f>IF($AL568="",0,'All Ticker P&amp;L'!J568*'All Ticker P&amp;L'!I568)</f>
        <v>0</v>
      </c>
      <c r="AR568" s="266">
        <f>IF($AL568="",0,'All Ticker P&amp;L'!L568)</f>
        <v>0</v>
      </c>
      <c r="AS568" s="267">
        <f>IF($AL568="",0,'All Ticker P&amp;L'!M568)</f>
        <v>0</v>
      </c>
      <c r="AT568" s="243" t="str">
        <f>IF($AL568="","",RANK(AR568,$AR$2:$AR$1001)+COUNTIF($AR$2:AR568,AR568)-1)</f>
        <v/>
      </c>
      <c r="AU568" s="243" t="str">
        <f>IF($AL568="","",RANK(AV568,$AV$2:$AV$1001)+COUNTIF($AV$2:AV568,AV568)-1)</f>
        <v/>
      </c>
      <c r="AV568" s="266">
        <f t="shared" si="48"/>
        <v>0</v>
      </c>
    </row>
    <row r="569" spans="26:48" ht="15" customHeight="1" x14ac:dyDescent="0.2">
      <c r="Z569" s="243" t="str">
        <f>Shares!A569</f>
        <v/>
      </c>
      <c r="AA569" s="243" t="str">
        <f>Shares!B569</f>
        <v/>
      </c>
      <c r="AB569" s="243" t="str">
        <f>Shares!C569</f>
        <v/>
      </c>
      <c r="AC569" s="243" t="str">
        <f>Shares!D569</f>
        <v/>
      </c>
      <c r="AD569" s="243">
        <f>IF($Z569="",0,Shares!E569)</f>
        <v>0</v>
      </c>
      <c r="AE569" s="266">
        <f>IF($Z569="",0,Shares!J569*Shares!I569)</f>
        <v>0</v>
      </c>
      <c r="AF569" s="267">
        <f t="shared" si="47"/>
        <v>0</v>
      </c>
      <c r="AG569" s="266">
        <f>IF($Z569="",0,Shares!L569)</f>
        <v>0</v>
      </c>
      <c r="AH569" s="267">
        <f>IF($Z569="",0,Shares!M569)</f>
        <v>0</v>
      </c>
      <c r="AI569" s="243" t="str">
        <f>IF($Z569="","",RANK(AE569,$AE$2:$AE$1001)+COUNTIF($AE$2:AE569,AE569)-1)</f>
        <v/>
      </c>
      <c r="AJ569" s="243" t="str">
        <f>IF($AD569&lt;0,COUNT($AJ$1:AJ568)+1,"")</f>
        <v/>
      </c>
      <c r="AL569" s="243" t="str">
        <f>'All Ticker P&amp;L'!A569</f>
        <v/>
      </c>
      <c r="AM569" s="243" t="str">
        <f>'All Ticker P&amp;L'!B569</f>
        <v/>
      </c>
      <c r="AN569" s="243" t="str">
        <f>'All Ticker P&amp;L'!C569</f>
        <v/>
      </c>
      <c r="AO569" s="243" t="str">
        <f>'All Ticker P&amp;L'!D569</f>
        <v/>
      </c>
      <c r="AP569" s="243">
        <f>IF($AL569="",0,'All Ticker P&amp;L'!E569)</f>
        <v>0</v>
      </c>
      <c r="AQ569" s="266">
        <f>IF($AL569="",0,'All Ticker P&amp;L'!J569*'All Ticker P&amp;L'!I569)</f>
        <v>0</v>
      </c>
      <c r="AR569" s="266">
        <f>IF($AL569="",0,'All Ticker P&amp;L'!L569)</f>
        <v>0</v>
      </c>
      <c r="AS569" s="267">
        <f>IF($AL569="",0,'All Ticker P&amp;L'!M569)</f>
        <v>0</v>
      </c>
      <c r="AT569" s="243" t="str">
        <f>IF($AL569="","",RANK(AR569,$AR$2:$AR$1001)+COUNTIF($AR$2:AR569,AR569)-1)</f>
        <v/>
      </c>
      <c r="AU569" s="243" t="str">
        <f>IF($AL569="","",RANK(AV569,$AV$2:$AV$1001)+COUNTIF($AV$2:AV569,AV569)-1)</f>
        <v/>
      </c>
      <c r="AV569" s="266">
        <f t="shared" si="48"/>
        <v>0</v>
      </c>
    </row>
    <row r="570" spans="26:48" ht="15" customHeight="1" x14ac:dyDescent="0.2">
      <c r="Z570" s="243" t="str">
        <f>Shares!A570</f>
        <v/>
      </c>
      <c r="AA570" s="243" t="str">
        <f>Shares!B570</f>
        <v/>
      </c>
      <c r="AB570" s="243" t="str">
        <f>Shares!C570</f>
        <v/>
      </c>
      <c r="AC570" s="243" t="str">
        <f>Shares!D570</f>
        <v/>
      </c>
      <c r="AD570" s="243">
        <f>IF($Z570="",0,Shares!E570)</f>
        <v>0</v>
      </c>
      <c r="AE570" s="266">
        <f>IF($Z570="",0,Shares!J570*Shares!I570)</f>
        <v>0</v>
      </c>
      <c r="AF570" s="267">
        <f t="shared" si="47"/>
        <v>0</v>
      </c>
      <c r="AG570" s="266">
        <f>IF($Z570="",0,Shares!L570)</f>
        <v>0</v>
      </c>
      <c r="AH570" s="267">
        <f>IF($Z570="",0,Shares!M570)</f>
        <v>0</v>
      </c>
      <c r="AI570" s="243" t="str">
        <f>IF($Z570="","",RANK(AE570,$AE$2:$AE$1001)+COUNTIF($AE$2:AE570,AE570)-1)</f>
        <v/>
      </c>
      <c r="AJ570" s="243" t="str">
        <f>IF($AD570&lt;0,COUNT($AJ$1:AJ569)+1,"")</f>
        <v/>
      </c>
      <c r="AL570" s="243" t="str">
        <f>'All Ticker P&amp;L'!A570</f>
        <v/>
      </c>
      <c r="AM570" s="243" t="str">
        <f>'All Ticker P&amp;L'!B570</f>
        <v/>
      </c>
      <c r="AN570" s="243" t="str">
        <f>'All Ticker P&amp;L'!C570</f>
        <v/>
      </c>
      <c r="AO570" s="243" t="str">
        <f>'All Ticker P&amp;L'!D570</f>
        <v/>
      </c>
      <c r="AP570" s="243">
        <f>IF($AL570="",0,'All Ticker P&amp;L'!E570)</f>
        <v>0</v>
      </c>
      <c r="AQ570" s="266">
        <f>IF($AL570="",0,'All Ticker P&amp;L'!J570*'All Ticker P&amp;L'!I570)</f>
        <v>0</v>
      </c>
      <c r="AR570" s="266">
        <f>IF($AL570="",0,'All Ticker P&amp;L'!L570)</f>
        <v>0</v>
      </c>
      <c r="AS570" s="267">
        <f>IF($AL570="",0,'All Ticker P&amp;L'!M570)</f>
        <v>0</v>
      </c>
      <c r="AT570" s="243" t="str">
        <f>IF($AL570="","",RANK(AR570,$AR$2:$AR$1001)+COUNTIF($AR$2:AR570,AR570)-1)</f>
        <v/>
      </c>
      <c r="AU570" s="243" t="str">
        <f>IF($AL570="","",RANK(AV570,$AV$2:$AV$1001)+COUNTIF($AV$2:AV570,AV570)-1)</f>
        <v/>
      </c>
      <c r="AV570" s="266">
        <f t="shared" si="48"/>
        <v>0</v>
      </c>
    </row>
    <row r="571" spans="26:48" ht="15" customHeight="1" x14ac:dyDescent="0.2">
      <c r="Z571" s="243" t="str">
        <f>Shares!A571</f>
        <v/>
      </c>
      <c r="AA571" s="243" t="str">
        <f>Shares!B571</f>
        <v/>
      </c>
      <c r="AB571" s="243" t="str">
        <f>Shares!C571</f>
        <v/>
      </c>
      <c r="AC571" s="243" t="str">
        <f>Shares!D571</f>
        <v/>
      </c>
      <c r="AD571" s="243">
        <f>IF($Z571="",0,Shares!E571)</f>
        <v>0</v>
      </c>
      <c r="AE571" s="266">
        <f>IF($Z571="",0,Shares!J571*Shares!I571)</f>
        <v>0</v>
      </c>
      <c r="AF571" s="267">
        <f t="shared" si="47"/>
        <v>0</v>
      </c>
      <c r="AG571" s="266">
        <f>IF($Z571="",0,Shares!L571)</f>
        <v>0</v>
      </c>
      <c r="AH571" s="267">
        <f>IF($Z571="",0,Shares!M571)</f>
        <v>0</v>
      </c>
      <c r="AI571" s="243" t="str">
        <f>IF($Z571="","",RANK(AE571,$AE$2:$AE$1001)+COUNTIF($AE$2:AE571,AE571)-1)</f>
        <v/>
      </c>
      <c r="AJ571" s="243" t="str">
        <f>IF($AD571&lt;0,COUNT($AJ$1:AJ570)+1,"")</f>
        <v/>
      </c>
      <c r="AL571" s="243" t="str">
        <f>'All Ticker P&amp;L'!A571</f>
        <v/>
      </c>
      <c r="AM571" s="243" t="str">
        <f>'All Ticker P&amp;L'!B571</f>
        <v/>
      </c>
      <c r="AN571" s="243" t="str">
        <f>'All Ticker P&amp;L'!C571</f>
        <v/>
      </c>
      <c r="AO571" s="243" t="str">
        <f>'All Ticker P&amp;L'!D571</f>
        <v/>
      </c>
      <c r="AP571" s="243">
        <f>IF($AL571="",0,'All Ticker P&amp;L'!E571)</f>
        <v>0</v>
      </c>
      <c r="AQ571" s="266">
        <f>IF($AL571="",0,'All Ticker P&amp;L'!J571*'All Ticker P&amp;L'!I571)</f>
        <v>0</v>
      </c>
      <c r="AR571" s="266">
        <f>IF($AL571="",0,'All Ticker P&amp;L'!L571)</f>
        <v>0</v>
      </c>
      <c r="AS571" s="267">
        <f>IF($AL571="",0,'All Ticker P&amp;L'!M571)</f>
        <v>0</v>
      </c>
      <c r="AT571" s="243" t="str">
        <f>IF($AL571="","",RANK(AR571,$AR$2:$AR$1001)+COUNTIF($AR$2:AR571,AR571)-1)</f>
        <v/>
      </c>
      <c r="AU571" s="243" t="str">
        <f>IF($AL571="","",RANK(AV571,$AV$2:$AV$1001)+COUNTIF($AV$2:AV571,AV571)-1)</f>
        <v/>
      </c>
      <c r="AV571" s="266">
        <f t="shared" si="48"/>
        <v>0</v>
      </c>
    </row>
    <row r="572" spans="26:48" ht="15" customHeight="1" x14ac:dyDescent="0.2">
      <c r="Z572" s="243" t="str">
        <f>Shares!A572</f>
        <v/>
      </c>
      <c r="AA572" s="243" t="str">
        <f>Shares!B572</f>
        <v/>
      </c>
      <c r="AB572" s="243" t="str">
        <f>Shares!C572</f>
        <v/>
      </c>
      <c r="AC572" s="243" t="str">
        <f>Shares!D572</f>
        <v/>
      </c>
      <c r="AD572" s="243">
        <f>IF($Z572="",0,Shares!E572)</f>
        <v>0</v>
      </c>
      <c r="AE572" s="266">
        <f>IF($Z572="",0,Shares!J572*Shares!I572)</f>
        <v>0</v>
      </c>
      <c r="AF572" s="267">
        <f t="shared" si="47"/>
        <v>0</v>
      </c>
      <c r="AG572" s="266">
        <f>IF($Z572="",0,Shares!L572)</f>
        <v>0</v>
      </c>
      <c r="AH572" s="267">
        <f>IF($Z572="",0,Shares!M572)</f>
        <v>0</v>
      </c>
      <c r="AI572" s="243" t="str">
        <f>IF($Z572="","",RANK(AE572,$AE$2:$AE$1001)+COUNTIF($AE$2:AE572,AE572)-1)</f>
        <v/>
      </c>
      <c r="AJ572" s="243" t="str">
        <f>IF($AD572&lt;0,COUNT($AJ$1:AJ571)+1,"")</f>
        <v/>
      </c>
      <c r="AL572" s="243" t="str">
        <f>'All Ticker P&amp;L'!A572</f>
        <v/>
      </c>
      <c r="AM572" s="243" t="str">
        <f>'All Ticker P&amp;L'!B572</f>
        <v/>
      </c>
      <c r="AN572" s="243" t="str">
        <f>'All Ticker P&amp;L'!C572</f>
        <v/>
      </c>
      <c r="AO572" s="243" t="str">
        <f>'All Ticker P&amp;L'!D572</f>
        <v/>
      </c>
      <c r="AP572" s="243">
        <f>IF($AL572="",0,'All Ticker P&amp;L'!E572)</f>
        <v>0</v>
      </c>
      <c r="AQ572" s="266">
        <f>IF($AL572="",0,'All Ticker P&amp;L'!J572*'All Ticker P&amp;L'!I572)</f>
        <v>0</v>
      </c>
      <c r="AR572" s="266">
        <f>IF($AL572="",0,'All Ticker P&amp;L'!L572)</f>
        <v>0</v>
      </c>
      <c r="AS572" s="267">
        <f>IF($AL572="",0,'All Ticker P&amp;L'!M572)</f>
        <v>0</v>
      </c>
      <c r="AT572" s="243" t="str">
        <f>IF($AL572="","",RANK(AR572,$AR$2:$AR$1001)+COUNTIF($AR$2:AR572,AR572)-1)</f>
        <v/>
      </c>
      <c r="AU572" s="243" t="str">
        <f>IF($AL572="","",RANK(AV572,$AV$2:$AV$1001)+COUNTIF($AV$2:AV572,AV572)-1)</f>
        <v/>
      </c>
      <c r="AV572" s="266">
        <f t="shared" si="48"/>
        <v>0</v>
      </c>
    </row>
    <row r="573" spans="26:48" ht="15" customHeight="1" x14ac:dyDescent="0.2">
      <c r="Z573" s="243" t="str">
        <f>Shares!A573</f>
        <v/>
      </c>
      <c r="AA573" s="243" t="str">
        <f>Shares!B573</f>
        <v/>
      </c>
      <c r="AB573" s="243" t="str">
        <f>Shares!C573</f>
        <v/>
      </c>
      <c r="AC573" s="243" t="str">
        <f>Shares!D573</f>
        <v/>
      </c>
      <c r="AD573" s="243">
        <f>IF($Z573="",0,Shares!E573)</f>
        <v>0</v>
      </c>
      <c r="AE573" s="266">
        <f>IF($Z573="",0,Shares!J573*Shares!I573)</f>
        <v>0</v>
      </c>
      <c r="AF573" s="267">
        <f t="shared" si="47"/>
        <v>0</v>
      </c>
      <c r="AG573" s="266">
        <f>IF($Z573="",0,Shares!L573)</f>
        <v>0</v>
      </c>
      <c r="AH573" s="267">
        <f>IF($Z573="",0,Shares!M573)</f>
        <v>0</v>
      </c>
      <c r="AI573" s="243" t="str">
        <f>IF($Z573="","",RANK(AE573,$AE$2:$AE$1001)+COUNTIF($AE$2:AE573,AE573)-1)</f>
        <v/>
      </c>
      <c r="AJ573" s="243" t="str">
        <f>IF($AD573&lt;0,COUNT($AJ$1:AJ572)+1,"")</f>
        <v/>
      </c>
      <c r="AL573" s="243" t="str">
        <f>'All Ticker P&amp;L'!A573</f>
        <v/>
      </c>
      <c r="AM573" s="243" t="str">
        <f>'All Ticker P&amp;L'!B573</f>
        <v/>
      </c>
      <c r="AN573" s="243" t="str">
        <f>'All Ticker P&amp;L'!C573</f>
        <v/>
      </c>
      <c r="AO573" s="243" t="str">
        <f>'All Ticker P&amp;L'!D573</f>
        <v/>
      </c>
      <c r="AP573" s="243">
        <f>IF($AL573="",0,'All Ticker P&amp;L'!E573)</f>
        <v>0</v>
      </c>
      <c r="AQ573" s="266">
        <f>IF($AL573="",0,'All Ticker P&amp;L'!J573*'All Ticker P&amp;L'!I573)</f>
        <v>0</v>
      </c>
      <c r="AR573" s="266">
        <f>IF($AL573="",0,'All Ticker P&amp;L'!L573)</f>
        <v>0</v>
      </c>
      <c r="AS573" s="267">
        <f>IF($AL573="",0,'All Ticker P&amp;L'!M573)</f>
        <v>0</v>
      </c>
      <c r="AT573" s="243" t="str">
        <f>IF($AL573="","",RANK(AR573,$AR$2:$AR$1001)+COUNTIF($AR$2:AR573,AR573)-1)</f>
        <v/>
      </c>
      <c r="AU573" s="243" t="str">
        <f>IF($AL573="","",RANK(AV573,$AV$2:$AV$1001)+COUNTIF($AV$2:AV573,AV573)-1)</f>
        <v/>
      </c>
      <c r="AV573" s="266">
        <f t="shared" si="48"/>
        <v>0</v>
      </c>
    </row>
    <row r="574" spans="26:48" ht="15" customHeight="1" x14ac:dyDescent="0.2">
      <c r="Z574" s="243" t="str">
        <f>Shares!A574</f>
        <v/>
      </c>
      <c r="AA574" s="243" t="str">
        <f>Shares!B574</f>
        <v/>
      </c>
      <c r="AB574" s="243" t="str">
        <f>Shares!C574</f>
        <v/>
      </c>
      <c r="AC574" s="243" t="str">
        <f>Shares!D574</f>
        <v/>
      </c>
      <c r="AD574" s="243">
        <f>IF($Z574="",0,Shares!E574)</f>
        <v>0</v>
      </c>
      <c r="AE574" s="266">
        <f>IF($Z574="",0,Shares!J574*Shares!I574)</f>
        <v>0</v>
      </c>
      <c r="AF574" s="267">
        <f t="shared" si="47"/>
        <v>0</v>
      </c>
      <c r="AG574" s="266">
        <f>IF($Z574="",0,Shares!L574)</f>
        <v>0</v>
      </c>
      <c r="AH574" s="267">
        <f>IF($Z574="",0,Shares!M574)</f>
        <v>0</v>
      </c>
      <c r="AI574" s="243" t="str">
        <f>IF($Z574="","",RANK(AE574,$AE$2:$AE$1001)+COUNTIF($AE$2:AE574,AE574)-1)</f>
        <v/>
      </c>
      <c r="AJ574" s="243" t="str">
        <f>IF($AD574&lt;0,COUNT($AJ$1:AJ573)+1,"")</f>
        <v/>
      </c>
      <c r="AL574" s="243" t="str">
        <f>'All Ticker P&amp;L'!A574</f>
        <v/>
      </c>
      <c r="AM574" s="243" t="str">
        <f>'All Ticker P&amp;L'!B574</f>
        <v/>
      </c>
      <c r="AN574" s="243" t="str">
        <f>'All Ticker P&amp;L'!C574</f>
        <v/>
      </c>
      <c r="AO574" s="243" t="str">
        <f>'All Ticker P&amp;L'!D574</f>
        <v/>
      </c>
      <c r="AP574" s="243">
        <f>IF($AL574="",0,'All Ticker P&amp;L'!E574)</f>
        <v>0</v>
      </c>
      <c r="AQ574" s="266">
        <f>IF($AL574="",0,'All Ticker P&amp;L'!J574*'All Ticker P&amp;L'!I574)</f>
        <v>0</v>
      </c>
      <c r="AR574" s="266">
        <f>IF($AL574="",0,'All Ticker P&amp;L'!L574)</f>
        <v>0</v>
      </c>
      <c r="AS574" s="267">
        <f>IF($AL574="",0,'All Ticker P&amp;L'!M574)</f>
        <v>0</v>
      </c>
      <c r="AT574" s="243" t="str">
        <f>IF($AL574="","",RANK(AR574,$AR$2:$AR$1001)+COUNTIF($AR$2:AR574,AR574)-1)</f>
        <v/>
      </c>
      <c r="AU574" s="243" t="str">
        <f>IF($AL574="","",RANK(AV574,$AV$2:$AV$1001)+COUNTIF($AV$2:AV574,AV574)-1)</f>
        <v/>
      </c>
      <c r="AV574" s="266">
        <f t="shared" si="48"/>
        <v>0</v>
      </c>
    </row>
    <row r="575" spans="26:48" ht="15" customHeight="1" x14ac:dyDescent="0.2">
      <c r="Z575" s="243" t="str">
        <f>Shares!A575</f>
        <v/>
      </c>
      <c r="AA575" s="243" t="str">
        <f>Shares!B575</f>
        <v/>
      </c>
      <c r="AB575" s="243" t="str">
        <f>Shares!C575</f>
        <v/>
      </c>
      <c r="AC575" s="243" t="str">
        <f>Shares!D575</f>
        <v/>
      </c>
      <c r="AD575" s="243">
        <f>IF($Z575="",0,Shares!E575)</f>
        <v>0</v>
      </c>
      <c r="AE575" s="266">
        <f>IF($Z575="",0,Shares!J575*Shares!I575)</f>
        <v>0</v>
      </c>
      <c r="AF575" s="267">
        <f t="shared" si="47"/>
        <v>0</v>
      </c>
      <c r="AG575" s="266">
        <f>IF($Z575="",0,Shares!L575)</f>
        <v>0</v>
      </c>
      <c r="AH575" s="267">
        <f>IF($Z575="",0,Shares!M575)</f>
        <v>0</v>
      </c>
      <c r="AI575" s="243" t="str">
        <f>IF($Z575="","",RANK(AE575,$AE$2:$AE$1001)+COUNTIF($AE$2:AE575,AE575)-1)</f>
        <v/>
      </c>
      <c r="AJ575" s="243" t="str">
        <f>IF($AD575&lt;0,COUNT($AJ$1:AJ574)+1,"")</f>
        <v/>
      </c>
      <c r="AL575" s="243" t="str">
        <f>'All Ticker P&amp;L'!A575</f>
        <v/>
      </c>
      <c r="AM575" s="243" t="str">
        <f>'All Ticker P&amp;L'!B575</f>
        <v/>
      </c>
      <c r="AN575" s="243" t="str">
        <f>'All Ticker P&amp;L'!C575</f>
        <v/>
      </c>
      <c r="AO575" s="243" t="str">
        <f>'All Ticker P&amp;L'!D575</f>
        <v/>
      </c>
      <c r="AP575" s="243">
        <f>IF($AL575="",0,'All Ticker P&amp;L'!E575)</f>
        <v>0</v>
      </c>
      <c r="AQ575" s="266">
        <f>IF($AL575="",0,'All Ticker P&amp;L'!J575*'All Ticker P&amp;L'!I575)</f>
        <v>0</v>
      </c>
      <c r="AR575" s="266">
        <f>IF($AL575="",0,'All Ticker P&amp;L'!L575)</f>
        <v>0</v>
      </c>
      <c r="AS575" s="267">
        <f>IF($AL575="",0,'All Ticker P&amp;L'!M575)</f>
        <v>0</v>
      </c>
      <c r="AT575" s="243" t="str">
        <f>IF($AL575="","",RANK(AR575,$AR$2:$AR$1001)+COUNTIF($AR$2:AR575,AR575)-1)</f>
        <v/>
      </c>
      <c r="AU575" s="243" t="str">
        <f>IF($AL575="","",RANK(AV575,$AV$2:$AV$1001)+COUNTIF($AV$2:AV575,AV575)-1)</f>
        <v/>
      </c>
      <c r="AV575" s="266">
        <f t="shared" si="48"/>
        <v>0</v>
      </c>
    </row>
    <row r="576" spans="26:48" ht="15" customHeight="1" x14ac:dyDescent="0.2">
      <c r="Z576" s="243" t="str">
        <f>Shares!A576</f>
        <v/>
      </c>
      <c r="AA576" s="243" t="str">
        <f>Shares!B576</f>
        <v/>
      </c>
      <c r="AB576" s="243" t="str">
        <f>Shares!C576</f>
        <v/>
      </c>
      <c r="AC576" s="243" t="str">
        <f>Shares!D576</f>
        <v/>
      </c>
      <c r="AD576" s="243">
        <f>IF($Z576="",0,Shares!E576)</f>
        <v>0</v>
      </c>
      <c r="AE576" s="266">
        <f>IF($Z576="",0,Shares!J576*Shares!I576)</f>
        <v>0</v>
      </c>
      <c r="AF576" s="267">
        <f t="shared" si="47"/>
        <v>0</v>
      </c>
      <c r="AG576" s="266">
        <f>IF($Z576="",0,Shares!L576)</f>
        <v>0</v>
      </c>
      <c r="AH576" s="267">
        <f>IF($Z576="",0,Shares!M576)</f>
        <v>0</v>
      </c>
      <c r="AI576" s="243" t="str">
        <f>IF($Z576="","",RANK(AE576,$AE$2:$AE$1001)+COUNTIF($AE$2:AE576,AE576)-1)</f>
        <v/>
      </c>
      <c r="AJ576" s="243" t="str">
        <f>IF($AD576&lt;0,COUNT($AJ$1:AJ575)+1,"")</f>
        <v/>
      </c>
      <c r="AL576" s="243" t="str">
        <f>'All Ticker P&amp;L'!A576</f>
        <v/>
      </c>
      <c r="AM576" s="243" t="str">
        <f>'All Ticker P&amp;L'!B576</f>
        <v/>
      </c>
      <c r="AN576" s="243" t="str">
        <f>'All Ticker P&amp;L'!C576</f>
        <v/>
      </c>
      <c r="AO576" s="243" t="str">
        <f>'All Ticker P&amp;L'!D576</f>
        <v/>
      </c>
      <c r="AP576" s="243">
        <f>IF($AL576="",0,'All Ticker P&amp;L'!E576)</f>
        <v>0</v>
      </c>
      <c r="AQ576" s="266">
        <f>IF($AL576="",0,'All Ticker P&amp;L'!J576*'All Ticker P&amp;L'!I576)</f>
        <v>0</v>
      </c>
      <c r="AR576" s="266">
        <f>IF($AL576="",0,'All Ticker P&amp;L'!L576)</f>
        <v>0</v>
      </c>
      <c r="AS576" s="267">
        <f>IF($AL576="",0,'All Ticker P&amp;L'!M576)</f>
        <v>0</v>
      </c>
      <c r="AT576" s="243" t="str">
        <f>IF($AL576="","",RANK(AR576,$AR$2:$AR$1001)+COUNTIF($AR$2:AR576,AR576)-1)</f>
        <v/>
      </c>
      <c r="AU576" s="243" t="str">
        <f>IF($AL576="","",RANK(AV576,$AV$2:$AV$1001)+COUNTIF($AV$2:AV576,AV576)-1)</f>
        <v/>
      </c>
      <c r="AV576" s="266">
        <f t="shared" si="48"/>
        <v>0</v>
      </c>
    </row>
    <row r="577" spans="26:48" ht="15" customHeight="1" x14ac:dyDescent="0.2">
      <c r="Z577" s="243" t="str">
        <f>Shares!A577</f>
        <v/>
      </c>
      <c r="AA577" s="243" t="str">
        <f>Shares!B577</f>
        <v/>
      </c>
      <c r="AB577" s="243" t="str">
        <f>Shares!C577</f>
        <v/>
      </c>
      <c r="AC577" s="243" t="str">
        <f>Shares!D577</f>
        <v/>
      </c>
      <c r="AD577" s="243">
        <f>IF($Z577="",0,Shares!E577)</f>
        <v>0</v>
      </c>
      <c r="AE577" s="266">
        <f>IF($Z577="",0,Shares!J577*Shares!I577)</f>
        <v>0</v>
      </c>
      <c r="AF577" s="267">
        <f t="shared" si="47"/>
        <v>0</v>
      </c>
      <c r="AG577" s="266">
        <f>IF($Z577="",0,Shares!L577)</f>
        <v>0</v>
      </c>
      <c r="AH577" s="267">
        <f>IF($Z577="",0,Shares!M577)</f>
        <v>0</v>
      </c>
      <c r="AI577" s="243" t="str">
        <f>IF($Z577="","",RANK(AE577,$AE$2:$AE$1001)+COUNTIF($AE$2:AE577,AE577)-1)</f>
        <v/>
      </c>
      <c r="AJ577" s="243" t="str">
        <f>IF($AD577&lt;0,COUNT($AJ$1:AJ576)+1,"")</f>
        <v/>
      </c>
      <c r="AL577" s="243" t="str">
        <f>'All Ticker P&amp;L'!A577</f>
        <v/>
      </c>
      <c r="AM577" s="243" t="str">
        <f>'All Ticker P&amp;L'!B577</f>
        <v/>
      </c>
      <c r="AN577" s="243" t="str">
        <f>'All Ticker P&amp;L'!C577</f>
        <v/>
      </c>
      <c r="AO577" s="243" t="str">
        <f>'All Ticker P&amp;L'!D577</f>
        <v/>
      </c>
      <c r="AP577" s="243">
        <f>IF($AL577="",0,'All Ticker P&amp;L'!E577)</f>
        <v>0</v>
      </c>
      <c r="AQ577" s="266">
        <f>IF($AL577="",0,'All Ticker P&amp;L'!J577*'All Ticker P&amp;L'!I577)</f>
        <v>0</v>
      </c>
      <c r="AR577" s="266">
        <f>IF($AL577="",0,'All Ticker P&amp;L'!L577)</f>
        <v>0</v>
      </c>
      <c r="AS577" s="267">
        <f>IF($AL577="",0,'All Ticker P&amp;L'!M577)</f>
        <v>0</v>
      </c>
      <c r="AT577" s="243" t="str">
        <f>IF($AL577="","",RANK(AR577,$AR$2:$AR$1001)+COUNTIF($AR$2:AR577,AR577)-1)</f>
        <v/>
      </c>
      <c r="AU577" s="243" t="str">
        <f>IF($AL577="","",RANK(AV577,$AV$2:$AV$1001)+COUNTIF($AV$2:AV577,AV577)-1)</f>
        <v/>
      </c>
      <c r="AV577" s="266">
        <f t="shared" si="48"/>
        <v>0</v>
      </c>
    </row>
    <row r="578" spans="26:48" ht="15" customHeight="1" x14ac:dyDescent="0.2">
      <c r="Z578" s="243" t="str">
        <f>Shares!A578</f>
        <v/>
      </c>
      <c r="AA578" s="243" t="str">
        <f>Shares!B578</f>
        <v/>
      </c>
      <c r="AB578" s="243" t="str">
        <f>Shares!C578</f>
        <v/>
      </c>
      <c r="AC578" s="243" t="str">
        <f>Shares!D578</f>
        <v/>
      </c>
      <c r="AD578" s="243">
        <f>IF($Z578="",0,Shares!E578)</f>
        <v>0</v>
      </c>
      <c r="AE578" s="266">
        <f>IF($Z578="",0,Shares!J578*Shares!I578)</f>
        <v>0</v>
      </c>
      <c r="AF578" s="267">
        <f t="shared" ref="AF578:AF641" si="49">IFERROR(AE578/$B$5,0)</f>
        <v>0</v>
      </c>
      <c r="AG578" s="266">
        <f>IF($Z578="",0,Shares!L578)</f>
        <v>0</v>
      </c>
      <c r="AH578" s="267">
        <f>IF($Z578="",0,Shares!M578)</f>
        <v>0</v>
      </c>
      <c r="AI578" s="243" t="str">
        <f>IF($Z578="","",RANK(AE578,$AE$2:$AE$1001)+COUNTIF($AE$2:AE578,AE578)-1)</f>
        <v/>
      </c>
      <c r="AJ578" s="243" t="str">
        <f>IF($AD578&lt;0,COUNT($AJ$1:AJ577)+1,"")</f>
        <v/>
      </c>
      <c r="AL578" s="243" t="str">
        <f>'All Ticker P&amp;L'!A578</f>
        <v/>
      </c>
      <c r="AM578" s="243" t="str">
        <f>'All Ticker P&amp;L'!B578</f>
        <v/>
      </c>
      <c r="AN578" s="243" t="str">
        <f>'All Ticker P&amp;L'!C578</f>
        <v/>
      </c>
      <c r="AO578" s="243" t="str">
        <f>'All Ticker P&amp;L'!D578</f>
        <v/>
      </c>
      <c r="AP578" s="243">
        <f>IF($AL578="",0,'All Ticker P&amp;L'!E578)</f>
        <v>0</v>
      </c>
      <c r="AQ578" s="266">
        <f>IF($AL578="",0,'All Ticker P&amp;L'!J578*'All Ticker P&amp;L'!I578)</f>
        <v>0</v>
      </c>
      <c r="AR578" s="266">
        <f>IF($AL578="",0,'All Ticker P&amp;L'!L578)</f>
        <v>0</v>
      </c>
      <c r="AS578" s="267">
        <f>IF($AL578="",0,'All Ticker P&amp;L'!M578)</f>
        <v>0</v>
      </c>
      <c r="AT578" s="243" t="str">
        <f>IF($AL578="","",RANK(AR578,$AR$2:$AR$1001)+COUNTIF($AR$2:AR578,AR578)-1)</f>
        <v/>
      </c>
      <c r="AU578" s="243" t="str">
        <f>IF($AL578="","",RANK(AV578,$AV$2:$AV$1001)+COUNTIF($AV$2:AV578,AV578)-1)</f>
        <v/>
      </c>
      <c r="AV578" s="266">
        <f t="shared" ref="AV578:AV641" si="50">-AR578</f>
        <v>0</v>
      </c>
    </row>
    <row r="579" spans="26:48" ht="15" customHeight="1" x14ac:dyDescent="0.2">
      <c r="Z579" s="243" t="str">
        <f>Shares!A579</f>
        <v/>
      </c>
      <c r="AA579" s="243" t="str">
        <f>Shares!B579</f>
        <v/>
      </c>
      <c r="AB579" s="243" t="str">
        <f>Shares!C579</f>
        <v/>
      </c>
      <c r="AC579" s="243" t="str">
        <f>Shares!D579</f>
        <v/>
      </c>
      <c r="AD579" s="243">
        <f>IF($Z579="",0,Shares!E579)</f>
        <v>0</v>
      </c>
      <c r="AE579" s="266">
        <f>IF($Z579="",0,Shares!J579*Shares!I579)</f>
        <v>0</v>
      </c>
      <c r="AF579" s="267">
        <f t="shared" si="49"/>
        <v>0</v>
      </c>
      <c r="AG579" s="266">
        <f>IF($Z579="",0,Shares!L579)</f>
        <v>0</v>
      </c>
      <c r="AH579" s="267">
        <f>IF($Z579="",0,Shares!M579)</f>
        <v>0</v>
      </c>
      <c r="AI579" s="243" t="str">
        <f>IF($Z579="","",RANK(AE579,$AE$2:$AE$1001)+COUNTIF($AE$2:AE579,AE579)-1)</f>
        <v/>
      </c>
      <c r="AJ579" s="243" t="str">
        <f>IF($AD579&lt;0,COUNT($AJ$1:AJ578)+1,"")</f>
        <v/>
      </c>
      <c r="AL579" s="243" t="str">
        <f>'All Ticker P&amp;L'!A579</f>
        <v/>
      </c>
      <c r="AM579" s="243" t="str">
        <f>'All Ticker P&amp;L'!B579</f>
        <v/>
      </c>
      <c r="AN579" s="243" t="str">
        <f>'All Ticker P&amp;L'!C579</f>
        <v/>
      </c>
      <c r="AO579" s="243" t="str">
        <f>'All Ticker P&amp;L'!D579</f>
        <v/>
      </c>
      <c r="AP579" s="243">
        <f>IF($AL579="",0,'All Ticker P&amp;L'!E579)</f>
        <v>0</v>
      </c>
      <c r="AQ579" s="266">
        <f>IF($AL579="",0,'All Ticker P&amp;L'!J579*'All Ticker P&amp;L'!I579)</f>
        <v>0</v>
      </c>
      <c r="AR579" s="266">
        <f>IF($AL579="",0,'All Ticker P&amp;L'!L579)</f>
        <v>0</v>
      </c>
      <c r="AS579" s="267">
        <f>IF($AL579="",0,'All Ticker P&amp;L'!M579)</f>
        <v>0</v>
      </c>
      <c r="AT579" s="243" t="str">
        <f>IF($AL579="","",RANK(AR579,$AR$2:$AR$1001)+COUNTIF($AR$2:AR579,AR579)-1)</f>
        <v/>
      </c>
      <c r="AU579" s="243" t="str">
        <f>IF($AL579="","",RANK(AV579,$AV$2:$AV$1001)+COUNTIF($AV$2:AV579,AV579)-1)</f>
        <v/>
      </c>
      <c r="AV579" s="266">
        <f t="shared" si="50"/>
        <v>0</v>
      </c>
    </row>
    <row r="580" spans="26:48" ht="15" customHeight="1" x14ac:dyDescent="0.2">
      <c r="Z580" s="243" t="str">
        <f>Shares!A580</f>
        <v/>
      </c>
      <c r="AA580" s="243" t="str">
        <f>Shares!B580</f>
        <v/>
      </c>
      <c r="AB580" s="243" t="str">
        <f>Shares!C580</f>
        <v/>
      </c>
      <c r="AC580" s="243" t="str">
        <f>Shares!D580</f>
        <v/>
      </c>
      <c r="AD580" s="243">
        <f>IF($Z580="",0,Shares!E580)</f>
        <v>0</v>
      </c>
      <c r="AE580" s="266">
        <f>IF($Z580="",0,Shares!J580*Shares!I580)</f>
        <v>0</v>
      </c>
      <c r="AF580" s="267">
        <f t="shared" si="49"/>
        <v>0</v>
      </c>
      <c r="AG580" s="266">
        <f>IF($Z580="",0,Shares!L580)</f>
        <v>0</v>
      </c>
      <c r="AH580" s="267">
        <f>IF($Z580="",0,Shares!M580)</f>
        <v>0</v>
      </c>
      <c r="AI580" s="243" t="str">
        <f>IF($Z580="","",RANK(AE580,$AE$2:$AE$1001)+COUNTIF($AE$2:AE580,AE580)-1)</f>
        <v/>
      </c>
      <c r="AJ580" s="243" t="str">
        <f>IF($AD580&lt;0,COUNT($AJ$1:AJ579)+1,"")</f>
        <v/>
      </c>
      <c r="AL580" s="243" t="str">
        <f>'All Ticker P&amp;L'!A580</f>
        <v/>
      </c>
      <c r="AM580" s="243" t="str">
        <f>'All Ticker P&amp;L'!B580</f>
        <v/>
      </c>
      <c r="AN580" s="243" t="str">
        <f>'All Ticker P&amp;L'!C580</f>
        <v/>
      </c>
      <c r="AO580" s="243" t="str">
        <f>'All Ticker P&amp;L'!D580</f>
        <v/>
      </c>
      <c r="AP580" s="243">
        <f>IF($AL580="",0,'All Ticker P&amp;L'!E580)</f>
        <v>0</v>
      </c>
      <c r="AQ580" s="266">
        <f>IF($AL580="",0,'All Ticker P&amp;L'!J580*'All Ticker P&amp;L'!I580)</f>
        <v>0</v>
      </c>
      <c r="AR580" s="266">
        <f>IF($AL580="",0,'All Ticker P&amp;L'!L580)</f>
        <v>0</v>
      </c>
      <c r="AS580" s="267">
        <f>IF($AL580="",0,'All Ticker P&amp;L'!M580)</f>
        <v>0</v>
      </c>
      <c r="AT580" s="243" t="str">
        <f>IF($AL580="","",RANK(AR580,$AR$2:$AR$1001)+COUNTIF($AR$2:AR580,AR580)-1)</f>
        <v/>
      </c>
      <c r="AU580" s="243" t="str">
        <f>IF($AL580="","",RANK(AV580,$AV$2:$AV$1001)+COUNTIF($AV$2:AV580,AV580)-1)</f>
        <v/>
      </c>
      <c r="AV580" s="266">
        <f t="shared" si="50"/>
        <v>0</v>
      </c>
    </row>
    <row r="581" spans="26:48" ht="15" customHeight="1" x14ac:dyDescent="0.2">
      <c r="Z581" s="243" t="str">
        <f>Shares!A581</f>
        <v/>
      </c>
      <c r="AA581" s="243" t="str">
        <f>Shares!B581</f>
        <v/>
      </c>
      <c r="AB581" s="243" t="str">
        <f>Shares!C581</f>
        <v/>
      </c>
      <c r="AC581" s="243" t="str">
        <f>Shares!D581</f>
        <v/>
      </c>
      <c r="AD581" s="243">
        <f>IF($Z581="",0,Shares!E581)</f>
        <v>0</v>
      </c>
      <c r="AE581" s="266">
        <f>IF($Z581="",0,Shares!J581*Shares!I581)</f>
        <v>0</v>
      </c>
      <c r="AF581" s="267">
        <f t="shared" si="49"/>
        <v>0</v>
      </c>
      <c r="AG581" s="266">
        <f>IF($Z581="",0,Shares!L581)</f>
        <v>0</v>
      </c>
      <c r="AH581" s="267">
        <f>IF($Z581="",0,Shares!M581)</f>
        <v>0</v>
      </c>
      <c r="AI581" s="243" t="str">
        <f>IF($Z581="","",RANK(AE581,$AE$2:$AE$1001)+COUNTIF($AE$2:AE581,AE581)-1)</f>
        <v/>
      </c>
      <c r="AJ581" s="243" t="str">
        <f>IF($AD581&lt;0,COUNT($AJ$1:AJ580)+1,"")</f>
        <v/>
      </c>
      <c r="AL581" s="243" t="str">
        <f>'All Ticker P&amp;L'!A581</f>
        <v/>
      </c>
      <c r="AM581" s="243" t="str">
        <f>'All Ticker P&amp;L'!B581</f>
        <v/>
      </c>
      <c r="AN581" s="243" t="str">
        <f>'All Ticker P&amp;L'!C581</f>
        <v/>
      </c>
      <c r="AO581" s="243" t="str">
        <f>'All Ticker P&amp;L'!D581</f>
        <v/>
      </c>
      <c r="AP581" s="243">
        <f>IF($AL581="",0,'All Ticker P&amp;L'!E581)</f>
        <v>0</v>
      </c>
      <c r="AQ581" s="266">
        <f>IF($AL581="",0,'All Ticker P&amp;L'!J581*'All Ticker P&amp;L'!I581)</f>
        <v>0</v>
      </c>
      <c r="AR581" s="266">
        <f>IF($AL581="",0,'All Ticker P&amp;L'!L581)</f>
        <v>0</v>
      </c>
      <c r="AS581" s="267">
        <f>IF($AL581="",0,'All Ticker P&amp;L'!M581)</f>
        <v>0</v>
      </c>
      <c r="AT581" s="243" t="str">
        <f>IF($AL581="","",RANK(AR581,$AR$2:$AR$1001)+COUNTIF($AR$2:AR581,AR581)-1)</f>
        <v/>
      </c>
      <c r="AU581" s="243" t="str">
        <f>IF($AL581="","",RANK(AV581,$AV$2:$AV$1001)+COUNTIF($AV$2:AV581,AV581)-1)</f>
        <v/>
      </c>
      <c r="AV581" s="266">
        <f t="shared" si="50"/>
        <v>0</v>
      </c>
    </row>
    <row r="582" spans="26:48" ht="15" customHeight="1" x14ac:dyDescent="0.2">
      <c r="Z582" s="243" t="str">
        <f>Shares!A582</f>
        <v/>
      </c>
      <c r="AA582" s="243" t="str">
        <f>Shares!B582</f>
        <v/>
      </c>
      <c r="AB582" s="243" t="str">
        <f>Shares!C582</f>
        <v/>
      </c>
      <c r="AC582" s="243" t="str">
        <f>Shares!D582</f>
        <v/>
      </c>
      <c r="AD582" s="243">
        <f>IF($Z582="",0,Shares!E582)</f>
        <v>0</v>
      </c>
      <c r="AE582" s="266">
        <f>IF($Z582="",0,Shares!J582*Shares!I582)</f>
        <v>0</v>
      </c>
      <c r="AF582" s="267">
        <f t="shared" si="49"/>
        <v>0</v>
      </c>
      <c r="AG582" s="266">
        <f>IF($Z582="",0,Shares!L582)</f>
        <v>0</v>
      </c>
      <c r="AH582" s="267">
        <f>IF($Z582="",0,Shares!M582)</f>
        <v>0</v>
      </c>
      <c r="AI582" s="243" t="str">
        <f>IF($Z582="","",RANK(AE582,$AE$2:$AE$1001)+COUNTIF($AE$2:AE582,AE582)-1)</f>
        <v/>
      </c>
      <c r="AJ582" s="243" t="str">
        <f>IF($AD582&lt;0,COUNT($AJ$1:AJ581)+1,"")</f>
        <v/>
      </c>
      <c r="AL582" s="243" t="str">
        <f>'All Ticker P&amp;L'!A582</f>
        <v/>
      </c>
      <c r="AM582" s="243" t="str">
        <f>'All Ticker P&amp;L'!B582</f>
        <v/>
      </c>
      <c r="AN582" s="243" t="str">
        <f>'All Ticker P&amp;L'!C582</f>
        <v/>
      </c>
      <c r="AO582" s="243" t="str">
        <f>'All Ticker P&amp;L'!D582</f>
        <v/>
      </c>
      <c r="AP582" s="243">
        <f>IF($AL582="",0,'All Ticker P&amp;L'!E582)</f>
        <v>0</v>
      </c>
      <c r="AQ582" s="266">
        <f>IF($AL582="",0,'All Ticker P&amp;L'!J582*'All Ticker P&amp;L'!I582)</f>
        <v>0</v>
      </c>
      <c r="AR582" s="266">
        <f>IF($AL582="",0,'All Ticker P&amp;L'!L582)</f>
        <v>0</v>
      </c>
      <c r="AS582" s="267">
        <f>IF($AL582="",0,'All Ticker P&amp;L'!M582)</f>
        <v>0</v>
      </c>
      <c r="AT582" s="243" t="str">
        <f>IF($AL582="","",RANK(AR582,$AR$2:$AR$1001)+COUNTIF($AR$2:AR582,AR582)-1)</f>
        <v/>
      </c>
      <c r="AU582" s="243" t="str">
        <f>IF($AL582="","",RANK(AV582,$AV$2:$AV$1001)+COUNTIF($AV$2:AV582,AV582)-1)</f>
        <v/>
      </c>
      <c r="AV582" s="266">
        <f t="shared" si="50"/>
        <v>0</v>
      </c>
    </row>
    <row r="583" spans="26:48" ht="15" customHeight="1" x14ac:dyDescent="0.2">
      <c r="Z583" s="243" t="str">
        <f>Shares!A583</f>
        <v/>
      </c>
      <c r="AA583" s="243" t="str">
        <f>Shares!B583</f>
        <v/>
      </c>
      <c r="AB583" s="243" t="str">
        <f>Shares!C583</f>
        <v/>
      </c>
      <c r="AC583" s="243" t="str">
        <f>Shares!D583</f>
        <v/>
      </c>
      <c r="AD583" s="243">
        <f>IF($Z583="",0,Shares!E583)</f>
        <v>0</v>
      </c>
      <c r="AE583" s="266">
        <f>IF($Z583="",0,Shares!J583*Shares!I583)</f>
        <v>0</v>
      </c>
      <c r="AF583" s="267">
        <f t="shared" si="49"/>
        <v>0</v>
      </c>
      <c r="AG583" s="266">
        <f>IF($Z583="",0,Shares!L583)</f>
        <v>0</v>
      </c>
      <c r="AH583" s="267">
        <f>IF($Z583="",0,Shares!M583)</f>
        <v>0</v>
      </c>
      <c r="AI583" s="243" t="str">
        <f>IF($Z583="","",RANK(AE583,$AE$2:$AE$1001)+COUNTIF($AE$2:AE583,AE583)-1)</f>
        <v/>
      </c>
      <c r="AJ583" s="243" t="str">
        <f>IF($AD583&lt;0,COUNT($AJ$1:AJ582)+1,"")</f>
        <v/>
      </c>
      <c r="AL583" s="243" t="str">
        <f>'All Ticker P&amp;L'!A583</f>
        <v/>
      </c>
      <c r="AM583" s="243" t="str">
        <f>'All Ticker P&amp;L'!B583</f>
        <v/>
      </c>
      <c r="AN583" s="243" t="str">
        <f>'All Ticker P&amp;L'!C583</f>
        <v/>
      </c>
      <c r="AO583" s="243" t="str">
        <f>'All Ticker P&amp;L'!D583</f>
        <v/>
      </c>
      <c r="AP583" s="243">
        <f>IF($AL583="",0,'All Ticker P&amp;L'!E583)</f>
        <v>0</v>
      </c>
      <c r="AQ583" s="266">
        <f>IF($AL583="",0,'All Ticker P&amp;L'!J583*'All Ticker P&amp;L'!I583)</f>
        <v>0</v>
      </c>
      <c r="AR583" s="266">
        <f>IF($AL583="",0,'All Ticker P&amp;L'!L583)</f>
        <v>0</v>
      </c>
      <c r="AS583" s="267">
        <f>IF($AL583="",0,'All Ticker P&amp;L'!M583)</f>
        <v>0</v>
      </c>
      <c r="AT583" s="243" t="str">
        <f>IF($AL583="","",RANK(AR583,$AR$2:$AR$1001)+COUNTIF($AR$2:AR583,AR583)-1)</f>
        <v/>
      </c>
      <c r="AU583" s="243" t="str">
        <f>IF($AL583="","",RANK(AV583,$AV$2:$AV$1001)+COUNTIF($AV$2:AV583,AV583)-1)</f>
        <v/>
      </c>
      <c r="AV583" s="266">
        <f t="shared" si="50"/>
        <v>0</v>
      </c>
    </row>
    <row r="584" spans="26:48" ht="15" customHeight="1" x14ac:dyDescent="0.2">
      <c r="Z584" s="243" t="str">
        <f>Shares!A584</f>
        <v/>
      </c>
      <c r="AA584" s="243" t="str">
        <f>Shares!B584</f>
        <v/>
      </c>
      <c r="AB584" s="243" t="str">
        <f>Shares!C584</f>
        <v/>
      </c>
      <c r="AC584" s="243" t="str">
        <f>Shares!D584</f>
        <v/>
      </c>
      <c r="AD584" s="243">
        <f>IF($Z584="",0,Shares!E584)</f>
        <v>0</v>
      </c>
      <c r="AE584" s="266">
        <f>IF($Z584="",0,Shares!J584*Shares!I584)</f>
        <v>0</v>
      </c>
      <c r="AF584" s="267">
        <f t="shared" si="49"/>
        <v>0</v>
      </c>
      <c r="AG584" s="266">
        <f>IF($Z584="",0,Shares!L584)</f>
        <v>0</v>
      </c>
      <c r="AH584" s="267">
        <f>IF($Z584="",0,Shares!M584)</f>
        <v>0</v>
      </c>
      <c r="AI584" s="243" t="str">
        <f>IF($Z584="","",RANK(AE584,$AE$2:$AE$1001)+COUNTIF($AE$2:AE584,AE584)-1)</f>
        <v/>
      </c>
      <c r="AJ584" s="243" t="str">
        <f>IF($AD584&lt;0,COUNT($AJ$1:AJ583)+1,"")</f>
        <v/>
      </c>
      <c r="AL584" s="243" t="str">
        <f>'All Ticker P&amp;L'!A584</f>
        <v/>
      </c>
      <c r="AM584" s="243" t="str">
        <f>'All Ticker P&amp;L'!B584</f>
        <v/>
      </c>
      <c r="AN584" s="243" t="str">
        <f>'All Ticker P&amp;L'!C584</f>
        <v/>
      </c>
      <c r="AO584" s="243" t="str">
        <f>'All Ticker P&amp;L'!D584</f>
        <v/>
      </c>
      <c r="AP584" s="243">
        <f>IF($AL584="",0,'All Ticker P&amp;L'!E584)</f>
        <v>0</v>
      </c>
      <c r="AQ584" s="266">
        <f>IF($AL584="",0,'All Ticker P&amp;L'!J584*'All Ticker P&amp;L'!I584)</f>
        <v>0</v>
      </c>
      <c r="AR584" s="266">
        <f>IF($AL584="",0,'All Ticker P&amp;L'!L584)</f>
        <v>0</v>
      </c>
      <c r="AS584" s="267">
        <f>IF($AL584="",0,'All Ticker P&amp;L'!M584)</f>
        <v>0</v>
      </c>
      <c r="AT584" s="243" t="str">
        <f>IF($AL584="","",RANK(AR584,$AR$2:$AR$1001)+COUNTIF($AR$2:AR584,AR584)-1)</f>
        <v/>
      </c>
      <c r="AU584" s="243" t="str">
        <f>IF($AL584="","",RANK(AV584,$AV$2:$AV$1001)+COUNTIF($AV$2:AV584,AV584)-1)</f>
        <v/>
      </c>
      <c r="AV584" s="266">
        <f t="shared" si="50"/>
        <v>0</v>
      </c>
    </row>
    <row r="585" spans="26:48" ht="15" customHeight="1" x14ac:dyDescent="0.2">
      <c r="Z585" s="243" t="str">
        <f>Shares!A585</f>
        <v/>
      </c>
      <c r="AA585" s="243" t="str">
        <f>Shares!B585</f>
        <v/>
      </c>
      <c r="AB585" s="243" t="str">
        <f>Shares!C585</f>
        <v/>
      </c>
      <c r="AC585" s="243" t="str">
        <f>Shares!D585</f>
        <v/>
      </c>
      <c r="AD585" s="243">
        <f>IF($Z585="",0,Shares!E585)</f>
        <v>0</v>
      </c>
      <c r="AE585" s="266">
        <f>IF($Z585="",0,Shares!J585*Shares!I585)</f>
        <v>0</v>
      </c>
      <c r="AF585" s="267">
        <f t="shared" si="49"/>
        <v>0</v>
      </c>
      <c r="AG585" s="266">
        <f>IF($Z585="",0,Shares!L585)</f>
        <v>0</v>
      </c>
      <c r="AH585" s="267">
        <f>IF($Z585="",0,Shares!M585)</f>
        <v>0</v>
      </c>
      <c r="AI585" s="243" t="str">
        <f>IF($Z585="","",RANK(AE585,$AE$2:$AE$1001)+COUNTIF($AE$2:AE585,AE585)-1)</f>
        <v/>
      </c>
      <c r="AJ585" s="243" t="str">
        <f>IF($AD585&lt;0,COUNT($AJ$1:AJ584)+1,"")</f>
        <v/>
      </c>
      <c r="AL585" s="243" t="str">
        <f>'All Ticker P&amp;L'!A585</f>
        <v/>
      </c>
      <c r="AM585" s="243" t="str">
        <f>'All Ticker P&amp;L'!B585</f>
        <v/>
      </c>
      <c r="AN585" s="243" t="str">
        <f>'All Ticker P&amp;L'!C585</f>
        <v/>
      </c>
      <c r="AO585" s="243" t="str">
        <f>'All Ticker P&amp;L'!D585</f>
        <v/>
      </c>
      <c r="AP585" s="243">
        <f>IF($AL585="",0,'All Ticker P&amp;L'!E585)</f>
        <v>0</v>
      </c>
      <c r="AQ585" s="266">
        <f>IF($AL585="",0,'All Ticker P&amp;L'!J585*'All Ticker P&amp;L'!I585)</f>
        <v>0</v>
      </c>
      <c r="AR585" s="266">
        <f>IF($AL585="",0,'All Ticker P&amp;L'!L585)</f>
        <v>0</v>
      </c>
      <c r="AS585" s="267">
        <f>IF($AL585="",0,'All Ticker P&amp;L'!M585)</f>
        <v>0</v>
      </c>
      <c r="AT585" s="243" t="str">
        <f>IF($AL585="","",RANK(AR585,$AR$2:$AR$1001)+COUNTIF($AR$2:AR585,AR585)-1)</f>
        <v/>
      </c>
      <c r="AU585" s="243" t="str">
        <f>IF($AL585="","",RANK(AV585,$AV$2:$AV$1001)+COUNTIF($AV$2:AV585,AV585)-1)</f>
        <v/>
      </c>
      <c r="AV585" s="266">
        <f t="shared" si="50"/>
        <v>0</v>
      </c>
    </row>
    <row r="586" spans="26:48" ht="15" customHeight="1" x14ac:dyDescent="0.2">
      <c r="Z586" s="243" t="str">
        <f>Shares!A586</f>
        <v/>
      </c>
      <c r="AA586" s="243" t="str">
        <f>Shares!B586</f>
        <v/>
      </c>
      <c r="AB586" s="243" t="str">
        <f>Shares!C586</f>
        <v/>
      </c>
      <c r="AC586" s="243" t="str">
        <f>Shares!D586</f>
        <v/>
      </c>
      <c r="AD586" s="243">
        <f>IF($Z586="",0,Shares!E586)</f>
        <v>0</v>
      </c>
      <c r="AE586" s="266">
        <f>IF($Z586="",0,Shares!J586*Shares!I586)</f>
        <v>0</v>
      </c>
      <c r="AF586" s="267">
        <f t="shared" si="49"/>
        <v>0</v>
      </c>
      <c r="AG586" s="266">
        <f>IF($Z586="",0,Shares!L586)</f>
        <v>0</v>
      </c>
      <c r="AH586" s="267">
        <f>IF($Z586="",0,Shares!M586)</f>
        <v>0</v>
      </c>
      <c r="AI586" s="243" t="str">
        <f>IF($Z586="","",RANK(AE586,$AE$2:$AE$1001)+COUNTIF($AE$2:AE586,AE586)-1)</f>
        <v/>
      </c>
      <c r="AJ586" s="243" t="str">
        <f>IF($AD586&lt;0,COUNT($AJ$1:AJ585)+1,"")</f>
        <v/>
      </c>
      <c r="AL586" s="243" t="str">
        <f>'All Ticker P&amp;L'!A586</f>
        <v/>
      </c>
      <c r="AM586" s="243" t="str">
        <f>'All Ticker P&amp;L'!B586</f>
        <v/>
      </c>
      <c r="AN586" s="243" t="str">
        <f>'All Ticker P&amp;L'!C586</f>
        <v/>
      </c>
      <c r="AO586" s="243" t="str">
        <f>'All Ticker P&amp;L'!D586</f>
        <v/>
      </c>
      <c r="AP586" s="243">
        <f>IF($AL586="",0,'All Ticker P&amp;L'!E586)</f>
        <v>0</v>
      </c>
      <c r="AQ586" s="266">
        <f>IF($AL586="",0,'All Ticker P&amp;L'!J586*'All Ticker P&amp;L'!I586)</f>
        <v>0</v>
      </c>
      <c r="AR586" s="266">
        <f>IF($AL586="",0,'All Ticker P&amp;L'!L586)</f>
        <v>0</v>
      </c>
      <c r="AS586" s="267">
        <f>IF($AL586="",0,'All Ticker P&amp;L'!M586)</f>
        <v>0</v>
      </c>
      <c r="AT586" s="243" t="str">
        <f>IF($AL586="","",RANK(AR586,$AR$2:$AR$1001)+COUNTIF($AR$2:AR586,AR586)-1)</f>
        <v/>
      </c>
      <c r="AU586" s="243" t="str">
        <f>IF($AL586="","",RANK(AV586,$AV$2:$AV$1001)+COUNTIF($AV$2:AV586,AV586)-1)</f>
        <v/>
      </c>
      <c r="AV586" s="266">
        <f t="shared" si="50"/>
        <v>0</v>
      </c>
    </row>
    <row r="587" spans="26:48" ht="15" customHeight="1" x14ac:dyDescent="0.2">
      <c r="Z587" s="243" t="str">
        <f>Shares!A587</f>
        <v/>
      </c>
      <c r="AA587" s="243" t="str">
        <f>Shares!B587</f>
        <v/>
      </c>
      <c r="AB587" s="243" t="str">
        <f>Shares!C587</f>
        <v/>
      </c>
      <c r="AC587" s="243" t="str">
        <f>Shares!D587</f>
        <v/>
      </c>
      <c r="AD587" s="243">
        <f>IF($Z587="",0,Shares!E587)</f>
        <v>0</v>
      </c>
      <c r="AE587" s="266">
        <f>IF($Z587="",0,Shares!J587*Shares!I587)</f>
        <v>0</v>
      </c>
      <c r="AF587" s="267">
        <f t="shared" si="49"/>
        <v>0</v>
      </c>
      <c r="AG587" s="266">
        <f>IF($Z587="",0,Shares!L587)</f>
        <v>0</v>
      </c>
      <c r="AH587" s="267">
        <f>IF($Z587="",0,Shares!M587)</f>
        <v>0</v>
      </c>
      <c r="AI587" s="243" t="str">
        <f>IF($Z587="","",RANK(AE587,$AE$2:$AE$1001)+COUNTIF($AE$2:AE587,AE587)-1)</f>
        <v/>
      </c>
      <c r="AJ587" s="243" t="str">
        <f>IF($AD587&lt;0,COUNT($AJ$1:AJ586)+1,"")</f>
        <v/>
      </c>
      <c r="AL587" s="243" t="str">
        <f>'All Ticker P&amp;L'!A587</f>
        <v/>
      </c>
      <c r="AM587" s="243" t="str">
        <f>'All Ticker P&amp;L'!B587</f>
        <v/>
      </c>
      <c r="AN587" s="243" t="str">
        <f>'All Ticker P&amp;L'!C587</f>
        <v/>
      </c>
      <c r="AO587" s="243" t="str">
        <f>'All Ticker P&amp;L'!D587</f>
        <v/>
      </c>
      <c r="AP587" s="243">
        <f>IF($AL587="",0,'All Ticker P&amp;L'!E587)</f>
        <v>0</v>
      </c>
      <c r="AQ587" s="266">
        <f>IF($AL587="",0,'All Ticker P&amp;L'!J587*'All Ticker P&amp;L'!I587)</f>
        <v>0</v>
      </c>
      <c r="AR587" s="266">
        <f>IF($AL587="",0,'All Ticker P&amp;L'!L587)</f>
        <v>0</v>
      </c>
      <c r="AS587" s="267">
        <f>IF($AL587="",0,'All Ticker P&amp;L'!M587)</f>
        <v>0</v>
      </c>
      <c r="AT587" s="243" t="str">
        <f>IF($AL587="","",RANK(AR587,$AR$2:$AR$1001)+COUNTIF($AR$2:AR587,AR587)-1)</f>
        <v/>
      </c>
      <c r="AU587" s="243" t="str">
        <f>IF($AL587="","",RANK(AV587,$AV$2:$AV$1001)+COUNTIF($AV$2:AV587,AV587)-1)</f>
        <v/>
      </c>
      <c r="AV587" s="266">
        <f t="shared" si="50"/>
        <v>0</v>
      </c>
    </row>
    <row r="588" spans="26:48" ht="15" customHeight="1" x14ac:dyDescent="0.2">
      <c r="Z588" s="243" t="str">
        <f>Shares!A588</f>
        <v/>
      </c>
      <c r="AA588" s="243" t="str">
        <f>Shares!B588</f>
        <v/>
      </c>
      <c r="AB588" s="243" t="str">
        <f>Shares!C588</f>
        <v/>
      </c>
      <c r="AC588" s="243" t="str">
        <f>Shares!D588</f>
        <v/>
      </c>
      <c r="AD588" s="243">
        <f>IF($Z588="",0,Shares!E588)</f>
        <v>0</v>
      </c>
      <c r="AE588" s="266">
        <f>IF($Z588="",0,Shares!J588*Shares!I588)</f>
        <v>0</v>
      </c>
      <c r="AF588" s="267">
        <f t="shared" si="49"/>
        <v>0</v>
      </c>
      <c r="AG588" s="266">
        <f>IF($Z588="",0,Shares!L588)</f>
        <v>0</v>
      </c>
      <c r="AH588" s="267">
        <f>IF($Z588="",0,Shares!M588)</f>
        <v>0</v>
      </c>
      <c r="AI588" s="243" t="str">
        <f>IF($Z588="","",RANK(AE588,$AE$2:$AE$1001)+COUNTIF($AE$2:AE588,AE588)-1)</f>
        <v/>
      </c>
      <c r="AJ588" s="243" t="str">
        <f>IF($AD588&lt;0,COUNT($AJ$1:AJ587)+1,"")</f>
        <v/>
      </c>
      <c r="AL588" s="243" t="str">
        <f>'All Ticker P&amp;L'!A588</f>
        <v/>
      </c>
      <c r="AM588" s="243" t="str">
        <f>'All Ticker P&amp;L'!B588</f>
        <v/>
      </c>
      <c r="AN588" s="243" t="str">
        <f>'All Ticker P&amp;L'!C588</f>
        <v/>
      </c>
      <c r="AO588" s="243" t="str">
        <f>'All Ticker P&amp;L'!D588</f>
        <v/>
      </c>
      <c r="AP588" s="243">
        <f>IF($AL588="",0,'All Ticker P&amp;L'!E588)</f>
        <v>0</v>
      </c>
      <c r="AQ588" s="266">
        <f>IF($AL588="",0,'All Ticker P&amp;L'!J588*'All Ticker P&amp;L'!I588)</f>
        <v>0</v>
      </c>
      <c r="AR588" s="266">
        <f>IF($AL588="",0,'All Ticker P&amp;L'!L588)</f>
        <v>0</v>
      </c>
      <c r="AS588" s="267">
        <f>IF($AL588="",0,'All Ticker P&amp;L'!M588)</f>
        <v>0</v>
      </c>
      <c r="AT588" s="243" t="str">
        <f>IF($AL588="","",RANK(AR588,$AR$2:$AR$1001)+COUNTIF($AR$2:AR588,AR588)-1)</f>
        <v/>
      </c>
      <c r="AU588" s="243" t="str">
        <f>IF($AL588="","",RANK(AV588,$AV$2:$AV$1001)+COUNTIF($AV$2:AV588,AV588)-1)</f>
        <v/>
      </c>
      <c r="AV588" s="266">
        <f t="shared" si="50"/>
        <v>0</v>
      </c>
    </row>
    <row r="589" spans="26:48" ht="15" customHeight="1" x14ac:dyDescent="0.2">
      <c r="Z589" s="243" t="str">
        <f>Shares!A589</f>
        <v/>
      </c>
      <c r="AA589" s="243" t="str">
        <f>Shares!B589</f>
        <v/>
      </c>
      <c r="AB589" s="243" t="str">
        <f>Shares!C589</f>
        <v/>
      </c>
      <c r="AC589" s="243" t="str">
        <f>Shares!D589</f>
        <v/>
      </c>
      <c r="AD589" s="243">
        <f>IF($Z589="",0,Shares!E589)</f>
        <v>0</v>
      </c>
      <c r="AE589" s="266">
        <f>IF($Z589="",0,Shares!J589*Shares!I589)</f>
        <v>0</v>
      </c>
      <c r="AF589" s="267">
        <f t="shared" si="49"/>
        <v>0</v>
      </c>
      <c r="AG589" s="266">
        <f>IF($Z589="",0,Shares!L589)</f>
        <v>0</v>
      </c>
      <c r="AH589" s="267">
        <f>IF($Z589="",0,Shares!M589)</f>
        <v>0</v>
      </c>
      <c r="AI589" s="243" t="str">
        <f>IF($Z589="","",RANK(AE589,$AE$2:$AE$1001)+COUNTIF($AE$2:AE589,AE589)-1)</f>
        <v/>
      </c>
      <c r="AJ589" s="243" t="str">
        <f>IF($AD589&lt;0,COUNT($AJ$1:AJ588)+1,"")</f>
        <v/>
      </c>
      <c r="AL589" s="243" t="str">
        <f>'All Ticker P&amp;L'!A589</f>
        <v/>
      </c>
      <c r="AM589" s="243" t="str">
        <f>'All Ticker P&amp;L'!B589</f>
        <v/>
      </c>
      <c r="AN589" s="243" t="str">
        <f>'All Ticker P&amp;L'!C589</f>
        <v/>
      </c>
      <c r="AO589" s="243" t="str">
        <f>'All Ticker P&amp;L'!D589</f>
        <v/>
      </c>
      <c r="AP589" s="243">
        <f>IF($AL589="",0,'All Ticker P&amp;L'!E589)</f>
        <v>0</v>
      </c>
      <c r="AQ589" s="266">
        <f>IF($AL589="",0,'All Ticker P&amp;L'!J589*'All Ticker P&amp;L'!I589)</f>
        <v>0</v>
      </c>
      <c r="AR589" s="266">
        <f>IF($AL589="",0,'All Ticker P&amp;L'!L589)</f>
        <v>0</v>
      </c>
      <c r="AS589" s="267">
        <f>IF($AL589="",0,'All Ticker P&amp;L'!M589)</f>
        <v>0</v>
      </c>
      <c r="AT589" s="243" t="str">
        <f>IF($AL589="","",RANK(AR589,$AR$2:$AR$1001)+COUNTIF($AR$2:AR589,AR589)-1)</f>
        <v/>
      </c>
      <c r="AU589" s="243" t="str">
        <f>IF($AL589="","",RANK(AV589,$AV$2:$AV$1001)+COUNTIF($AV$2:AV589,AV589)-1)</f>
        <v/>
      </c>
      <c r="AV589" s="266">
        <f t="shared" si="50"/>
        <v>0</v>
      </c>
    </row>
    <row r="590" spans="26:48" ht="15" customHeight="1" x14ac:dyDescent="0.2">
      <c r="Z590" s="243" t="str">
        <f>Shares!A590</f>
        <v/>
      </c>
      <c r="AA590" s="243" t="str">
        <f>Shares!B590</f>
        <v/>
      </c>
      <c r="AB590" s="243" t="str">
        <f>Shares!C590</f>
        <v/>
      </c>
      <c r="AC590" s="243" t="str">
        <f>Shares!D590</f>
        <v/>
      </c>
      <c r="AD590" s="243">
        <f>IF($Z590="",0,Shares!E590)</f>
        <v>0</v>
      </c>
      <c r="AE590" s="266">
        <f>IF($Z590="",0,Shares!J590*Shares!I590)</f>
        <v>0</v>
      </c>
      <c r="AF590" s="267">
        <f t="shared" si="49"/>
        <v>0</v>
      </c>
      <c r="AG590" s="266">
        <f>IF($Z590="",0,Shares!L590)</f>
        <v>0</v>
      </c>
      <c r="AH590" s="267">
        <f>IF($Z590="",0,Shares!M590)</f>
        <v>0</v>
      </c>
      <c r="AI590" s="243" t="str">
        <f>IF($Z590="","",RANK(AE590,$AE$2:$AE$1001)+COUNTIF($AE$2:AE590,AE590)-1)</f>
        <v/>
      </c>
      <c r="AJ590" s="243" t="str">
        <f>IF($AD590&lt;0,COUNT($AJ$1:AJ589)+1,"")</f>
        <v/>
      </c>
      <c r="AL590" s="243" t="str">
        <f>'All Ticker P&amp;L'!A590</f>
        <v/>
      </c>
      <c r="AM590" s="243" t="str">
        <f>'All Ticker P&amp;L'!B590</f>
        <v/>
      </c>
      <c r="AN590" s="243" t="str">
        <f>'All Ticker P&amp;L'!C590</f>
        <v/>
      </c>
      <c r="AO590" s="243" t="str">
        <f>'All Ticker P&amp;L'!D590</f>
        <v/>
      </c>
      <c r="AP590" s="243">
        <f>IF($AL590="",0,'All Ticker P&amp;L'!E590)</f>
        <v>0</v>
      </c>
      <c r="AQ590" s="266">
        <f>IF($AL590="",0,'All Ticker P&amp;L'!J590*'All Ticker P&amp;L'!I590)</f>
        <v>0</v>
      </c>
      <c r="AR590" s="266">
        <f>IF($AL590="",0,'All Ticker P&amp;L'!L590)</f>
        <v>0</v>
      </c>
      <c r="AS590" s="267">
        <f>IF($AL590="",0,'All Ticker P&amp;L'!M590)</f>
        <v>0</v>
      </c>
      <c r="AT590" s="243" t="str">
        <f>IF($AL590="","",RANK(AR590,$AR$2:$AR$1001)+COUNTIF($AR$2:AR590,AR590)-1)</f>
        <v/>
      </c>
      <c r="AU590" s="243" t="str">
        <f>IF($AL590="","",RANK(AV590,$AV$2:$AV$1001)+COUNTIF($AV$2:AV590,AV590)-1)</f>
        <v/>
      </c>
      <c r="AV590" s="266">
        <f t="shared" si="50"/>
        <v>0</v>
      </c>
    </row>
    <row r="591" spans="26:48" ht="15" customHeight="1" x14ac:dyDescent="0.2">
      <c r="Z591" s="243" t="str">
        <f>Shares!A591</f>
        <v/>
      </c>
      <c r="AA591" s="243" t="str">
        <f>Shares!B591</f>
        <v/>
      </c>
      <c r="AB591" s="243" t="str">
        <f>Shares!C591</f>
        <v/>
      </c>
      <c r="AC591" s="243" t="str">
        <f>Shares!D591</f>
        <v/>
      </c>
      <c r="AD591" s="243">
        <f>IF($Z591="",0,Shares!E591)</f>
        <v>0</v>
      </c>
      <c r="AE591" s="266">
        <f>IF($Z591="",0,Shares!J591*Shares!I591)</f>
        <v>0</v>
      </c>
      <c r="AF591" s="267">
        <f t="shared" si="49"/>
        <v>0</v>
      </c>
      <c r="AG591" s="266">
        <f>IF($Z591="",0,Shares!L591)</f>
        <v>0</v>
      </c>
      <c r="AH591" s="267">
        <f>IF($Z591="",0,Shares!M591)</f>
        <v>0</v>
      </c>
      <c r="AI591" s="243" t="str">
        <f>IF($Z591="","",RANK(AE591,$AE$2:$AE$1001)+COUNTIF($AE$2:AE591,AE591)-1)</f>
        <v/>
      </c>
      <c r="AJ591" s="243" t="str">
        <f>IF($AD591&lt;0,COUNT($AJ$1:AJ590)+1,"")</f>
        <v/>
      </c>
      <c r="AL591" s="243" t="str">
        <f>'All Ticker P&amp;L'!A591</f>
        <v/>
      </c>
      <c r="AM591" s="243" t="str">
        <f>'All Ticker P&amp;L'!B591</f>
        <v/>
      </c>
      <c r="AN591" s="243" t="str">
        <f>'All Ticker P&amp;L'!C591</f>
        <v/>
      </c>
      <c r="AO591" s="243" t="str">
        <f>'All Ticker P&amp;L'!D591</f>
        <v/>
      </c>
      <c r="AP591" s="243">
        <f>IF($AL591="",0,'All Ticker P&amp;L'!E591)</f>
        <v>0</v>
      </c>
      <c r="AQ591" s="266">
        <f>IF($AL591="",0,'All Ticker P&amp;L'!J591*'All Ticker P&amp;L'!I591)</f>
        <v>0</v>
      </c>
      <c r="AR591" s="266">
        <f>IF($AL591="",0,'All Ticker P&amp;L'!L591)</f>
        <v>0</v>
      </c>
      <c r="AS591" s="267">
        <f>IF($AL591="",0,'All Ticker P&amp;L'!M591)</f>
        <v>0</v>
      </c>
      <c r="AT591" s="243" t="str">
        <f>IF($AL591="","",RANK(AR591,$AR$2:$AR$1001)+COUNTIF($AR$2:AR591,AR591)-1)</f>
        <v/>
      </c>
      <c r="AU591" s="243" t="str">
        <f>IF($AL591="","",RANK(AV591,$AV$2:$AV$1001)+COUNTIF($AV$2:AV591,AV591)-1)</f>
        <v/>
      </c>
      <c r="AV591" s="266">
        <f t="shared" si="50"/>
        <v>0</v>
      </c>
    </row>
    <row r="592" spans="26:48" ht="15" customHeight="1" x14ac:dyDescent="0.2">
      <c r="Z592" s="243" t="str">
        <f>Shares!A592</f>
        <v/>
      </c>
      <c r="AA592" s="243" t="str">
        <f>Shares!B592</f>
        <v/>
      </c>
      <c r="AB592" s="243" t="str">
        <f>Shares!C592</f>
        <v/>
      </c>
      <c r="AC592" s="243" t="str">
        <f>Shares!D592</f>
        <v/>
      </c>
      <c r="AD592" s="243">
        <f>IF($Z592="",0,Shares!E592)</f>
        <v>0</v>
      </c>
      <c r="AE592" s="266">
        <f>IF($Z592="",0,Shares!J592*Shares!I592)</f>
        <v>0</v>
      </c>
      <c r="AF592" s="267">
        <f t="shared" si="49"/>
        <v>0</v>
      </c>
      <c r="AG592" s="266">
        <f>IF($Z592="",0,Shares!L592)</f>
        <v>0</v>
      </c>
      <c r="AH592" s="267">
        <f>IF($Z592="",0,Shares!M592)</f>
        <v>0</v>
      </c>
      <c r="AI592" s="243" t="str">
        <f>IF($Z592="","",RANK(AE592,$AE$2:$AE$1001)+COUNTIF($AE$2:AE592,AE592)-1)</f>
        <v/>
      </c>
      <c r="AJ592" s="243" t="str">
        <f>IF($AD592&lt;0,COUNT($AJ$1:AJ591)+1,"")</f>
        <v/>
      </c>
      <c r="AL592" s="243" t="str">
        <f>'All Ticker P&amp;L'!A592</f>
        <v/>
      </c>
      <c r="AM592" s="243" t="str">
        <f>'All Ticker P&amp;L'!B592</f>
        <v/>
      </c>
      <c r="AN592" s="243" t="str">
        <f>'All Ticker P&amp;L'!C592</f>
        <v/>
      </c>
      <c r="AO592" s="243" t="str">
        <f>'All Ticker P&amp;L'!D592</f>
        <v/>
      </c>
      <c r="AP592" s="243">
        <f>IF($AL592="",0,'All Ticker P&amp;L'!E592)</f>
        <v>0</v>
      </c>
      <c r="AQ592" s="266">
        <f>IF($AL592="",0,'All Ticker P&amp;L'!J592*'All Ticker P&amp;L'!I592)</f>
        <v>0</v>
      </c>
      <c r="AR592" s="266">
        <f>IF($AL592="",0,'All Ticker P&amp;L'!L592)</f>
        <v>0</v>
      </c>
      <c r="AS592" s="267">
        <f>IF($AL592="",0,'All Ticker P&amp;L'!M592)</f>
        <v>0</v>
      </c>
      <c r="AT592" s="243" t="str">
        <f>IF($AL592="","",RANK(AR592,$AR$2:$AR$1001)+COUNTIF($AR$2:AR592,AR592)-1)</f>
        <v/>
      </c>
      <c r="AU592" s="243" t="str">
        <f>IF($AL592="","",RANK(AV592,$AV$2:$AV$1001)+COUNTIF($AV$2:AV592,AV592)-1)</f>
        <v/>
      </c>
      <c r="AV592" s="266">
        <f t="shared" si="50"/>
        <v>0</v>
      </c>
    </row>
    <row r="593" spans="26:48" ht="15" customHeight="1" x14ac:dyDescent="0.2">
      <c r="Z593" s="243" t="str">
        <f>Shares!A593</f>
        <v/>
      </c>
      <c r="AA593" s="243" t="str">
        <f>Shares!B593</f>
        <v/>
      </c>
      <c r="AB593" s="243" t="str">
        <f>Shares!C593</f>
        <v/>
      </c>
      <c r="AC593" s="243" t="str">
        <f>Shares!D593</f>
        <v/>
      </c>
      <c r="AD593" s="243">
        <f>IF($Z593="",0,Shares!E593)</f>
        <v>0</v>
      </c>
      <c r="AE593" s="266">
        <f>IF($Z593="",0,Shares!J593*Shares!I593)</f>
        <v>0</v>
      </c>
      <c r="AF593" s="267">
        <f t="shared" si="49"/>
        <v>0</v>
      </c>
      <c r="AG593" s="266">
        <f>IF($Z593="",0,Shares!L593)</f>
        <v>0</v>
      </c>
      <c r="AH593" s="267">
        <f>IF($Z593="",0,Shares!M593)</f>
        <v>0</v>
      </c>
      <c r="AI593" s="243" t="str">
        <f>IF($Z593="","",RANK(AE593,$AE$2:$AE$1001)+COUNTIF($AE$2:AE593,AE593)-1)</f>
        <v/>
      </c>
      <c r="AJ593" s="243" t="str">
        <f>IF($AD593&lt;0,COUNT($AJ$1:AJ592)+1,"")</f>
        <v/>
      </c>
      <c r="AL593" s="243" t="str">
        <f>'All Ticker P&amp;L'!A593</f>
        <v/>
      </c>
      <c r="AM593" s="243" t="str">
        <f>'All Ticker P&amp;L'!B593</f>
        <v/>
      </c>
      <c r="AN593" s="243" t="str">
        <f>'All Ticker P&amp;L'!C593</f>
        <v/>
      </c>
      <c r="AO593" s="243" t="str">
        <f>'All Ticker P&amp;L'!D593</f>
        <v/>
      </c>
      <c r="AP593" s="243">
        <f>IF($AL593="",0,'All Ticker P&amp;L'!E593)</f>
        <v>0</v>
      </c>
      <c r="AQ593" s="266">
        <f>IF($AL593="",0,'All Ticker P&amp;L'!J593*'All Ticker P&amp;L'!I593)</f>
        <v>0</v>
      </c>
      <c r="AR593" s="266">
        <f>IF($AL593="",0,'All Ticker P&amp;L'!L593)</f>
        <v>0</v>
      </c>
      <c r="AS593" s="267">
        <f>IF($AL593="",0,'All Ticker P&amp;L'!M593)</f>
        <v>0</v>
      </c>
      <c r="AT593" s="243" t="str">
        <f>IF($AL593="","",RANK(AR593,$AR$2:$AR$1001)+COUNTIF($AR$2:AR593,AR593)-1)</f>
        <v/>
      </c>
      <c r="AU593" s="243" t="str">
        <f>IF($AL593="","",RANK(AV593,$AV$2:$AV$1001)+COUNTIF($AV$2:AV593,AV593)-1)</f>
        <v/>
      </c>
      <c r="AV593" s="266">
        <f t="shared" si="50"/>
        <v>0</v>
      </c>
    </row>
    <row r="594" spans="26:48" ht="15" customHeight="1" x14ac:dyDescent="0.2">
      <c r="Z594" s="243" t="str">
        <f>Shares!A594</f>
        <v/>
      </c>
      <c r="AA594" s="243" t="str">
        <f>Shares!B594</f>
        <v/>
      </c>
      <c r="AB594" s="243" t="str">
        <f>Shares!C594</f>
        <v/>
      </c>
      <c r="AC594" s="243" t="str">
        <f>Shares!D594</f>
        <v/>
      </c>
      <c r="AD594" s="243">
        <f>IF($Z594="",0,Shares!E594)</f>
        <v>0</v>
      </c>
      <c r="AE594" s="266">
        <f>IF($Z594="",0,Shares!J594*Shares!I594)</f>
        <v>0</v>
      </c>
      <c r="AF594" s="267">
        <f t="shared" si="49"/>
        <v>0</v>
      </c>
      <c r="AG594" s="266">
        <f>IF($Z594="",0,Shares!L594)</f>
        <v>0</v>
      </c>
      <c r="AH594" s="267">
        <f>IF($Z594="",0,Shares!M594)</f>
        <v>0</v>
      </c>
      <c r="AI594" s="243" t="str">
        <f>IF($Z594="","",RANK(AE594,$AE$2:$AE$1001)+COUNTIF($AE$2:AE594,AE594)-1)</f>
        <v/>
      </c>
      <c r="AJ594" s="243" t="str">
        <f>IF($AD594&lt;0,COUNT($AJ$1:AJ593)+1,"")</f>
        <v/>
      </c>
      <c r="AL594" s="243" t="str">
        <f>'All Ticker P&amp;L'!A594</f>
        <v/>
      </c>
      <c r="AM594" s="243" t="str">
        <f>'All Ticker P&amp;L'!B594</f>
        <v/>
      </c>
      <c r="AN594" s="243" t="str">
        <f>'All Ticker P&amp;L'!C594</f>
        <v/>
      </c>
      <c r="AO594" s="243" t="str">
        <f>'All Ticker P&amp;L'!D594</f>
        <v/>
      </c>
      <c r="AP594" s="243">
        <f>IF($AL594="",0,'All Ticker P&amp;L'!E594)</f>
        <v>0</v>
      </c>
      <c r="AQ594" s="266">
        <f>IF($AL594="",0,'All Ticker P&amp;L'!J594*'All Ticker P&amp;L'!I594)</f>
        <v>0</v>
      </c>
      <c r="AR594" s="266">
        <f>IF($AL594="",0,'All Ticker P&amp;L'!L594)</f>
        <v>0</v>
      </c>
      <c r="AS594" s="267">
        <f>IF($AL594="",0,'All Ticker P&amp;L'!M594)</f>
        <v>0</v>
      </c>
      <c r="AT594" s="243" t="str">
        <f>IF($AL594="","",RANK(AR594,$AR$2:$AR$1001)+COUNTIF($AR$2:AR594,AR594)-1)</f>
        <v/>
      </c>
      <c r="AU594" s="243" t="str">
        <f>IF($AL594="","",RANK(AV594,$AV$2:$AV$1001)+COUNTIF($AV$2:AV594,AV594)-1)</f>
        <v/>
      </c>
      <c r="AV594" s="266">
        <f t="shared" si="50"/>
        <v>0</v>
      </c>
    </row>
    <row r="595" spans="26:48" ht="15" customHeight="1" x14ac:dyDescent="0.2">
      <c r="Z595" s="243" t="str">
        <f>Shares!A595</f>
        <v/>
      </c>
      <c r="AA595" s="243" t="str">
        <f>Shares!B595</f>
        <v/>
      </c>
      <c r="AB595" s="243" t="str">
        <f>Shares!C595</f>
        <v/>
      </c>
      <c r="AC595" s="243" t="str">
        <f>Shares!D595</f>
        <v/>
      </c>
      <c r="AD595" s="243">
        <f>IF($Z595="",0,Shares!E595)</f>
        <v>0</v>
      </c>
      <c r="AE595" s="266">
        <f>IF($Z595="",0,Shares!J595*Shares!I595)</f>
        <v>0</v>
      </c>
      <c r="AF595" s="267">
        <f t="shared" si="49"/>
        <v>0</v>
      </c>
      <c r="AG595" s="266">
        <f>IF($Z595="",0,Shares!L595)</f>
        <v>0</v>
      </c>
      <c r="AH595" s="267">
        <f>IF($Z595="",0,Shares!M595)</f>
        <v>0</v>
      </c>
      <c r="AI595" s="243" t="str">
        <f>IF($Z595="","",RANK(AE595,$AE$2:$AE$1001)+COUNTIF($AE$2:AE595,AE595)-1)</f>
        <v/>
      </c>
      <c r="AJ595" s="243" t="str">
        <f>IF($AD595&lt;0,COUNT($AJ$1:AJ594)+1,"")</f>
        <v/>
      </c>
      <c r="AL595" s="243" t="str">
        <f>'All Ticker P&amp;L'!A595</f>
        <v/>
      </c>
      <c r="AM595" s="243" t="str">
        <f>'All Ticker P&amp;L'!B595</f>
        <v/>
      </c>
      <c r="AN595" s="243" t="str">
        <f>'All Ticker P&amp;L'!C595</f>
        <v/>
      </c>
      <c r="AO595" s="243" t="str">
        <f>'All Ticker P&amp;L'!D595</f>
        <v/>
      </c>
      <c r="AP595" s="243">
        <f>IF($AL595="",0,'All Ticker P&amp;L'!E595)</f>
        <v>0</v>
      </c>
      <c r="AQ595" s="266">
        <f>IF($AL595="",0,'All Ticker P&amp;L'!J595*'All Ticker P&amp;L'!I595)</f>
        <v>0</v>
      </c>
      <c r="AR595" s="266">
        <f>IF($AL595="",0,'All Ticker P&amp;L'!L595)</f>
        <v>0</v>
      </c>
      <c r="AS595" s="267">
        <f>IF($AL595="",0,'All Ticker P&amp;L'!M595)</f>
        <v>0</v>
      </c>
      <c r="AT595" s="243" t="str">
        <f>IF($AL595="","",RANK(AR595,$AR$2:$AR$1001)+COUNTIF($AR$2:AR595,AR595)-1)</f>
        <v/>
      </c>
      <c r="AU595" s="243" t="str">
        <f>IF($AL595="","",RANK(AV595,$AV$2:$AV$1001)+COUNTIF($AV$2:AV595,AV595)-1)</f>
        <v/>
      </c>
      <c r="AV595" s="266">
        <f t="shared" si="50"/>
        <v>0</v>
      </c>
    </row>
    <row r="596" spans="26:48" ht="15" customHeight="1" x14ac:dyDescent="0.2">
      <c r="Z596" s="243" t="str">
        <f>Shares!A596</f>
        <v/>
      </c>
      <c r="AA596" s="243" t="str">
        <f>Shares!B596</f>
        <v/>
      </c>
      <c r="AB596" s="243" t="str">
        <f>Shares!C596</f>
        <v/>
      </c>
      <c r="AC596" s="243" t="str">
        <f>Shares!D596</f>
        <v/>
      </c>
      <c r="AD596" s="243">
        <f>IF($Z596="",0,Shares!E596)</f>
        <v>0</v>
      </c>
      <c r="AE596" s="266">
        <f>IF($Z596="",0,Shares!J596*Shares!I596)</f>
        <v>0</v>
      </c>
      <c r="AF596" s="267">
        <f t="shared" si="49"/>
        <v>0</v>
      </c>
      <c r="AG596" s="266">
        <f>IF($Z596="",0,Shares!L596)</f>
        <v>0</v>
      </c>
      <c r="AH596" s="267">
        <f>IF($Z596="",0,Shares!M596)</f>
        <v>0</v>
      </c>
      <c r="AI596" s="243" t="str">
        <f>IF($Z596="","",RANK(AE596,$AE$2:$AE$1001)+COUNTIF($AE$2:AE596,AE596)-1)</f>
        <v/>
      </c>
      <c r="AJ596" s="243" t="str">
        <f>IF($AD596&lt;0,COUNT($AJ$1:AJ595)+1,"")</f>
        <v/>
      </c>
      <c r="AL596" s="243" t="str">
        <f>'All Ticker P&amp;L'!A596</f>
        <v/>
      </c>
      <c r="AM596" s="243" t="str">
        <f>'All Ticker P&amp;L'!B596</f>
        <v/>
      </c>
      <c r="AN596" s="243" t="str">
        <f>'All Ticker P&amp;L'!C596</f>
        <v/>
      </c>
      <c r="AO596" s="243" t="str">
        <f>'All Ticker P&amp;L'!D596</f>
        <v/>
      </c>
      <c r="AP596" s="243">
        <f>IF($AL596="",0,'All Ticker P&amp;L'!E596)</f>
        <v>0</v>
      </c>
      <c r="AQ596" s="266">
        <f>IF($AL596="",0,'All Ticker P&amp;L'!J596*'All Ticker P&amp;L'!I596)</f>
        <v>0</v>
      </c>
      <c r="AR596" s="266">
        <f>IF($AL596="",0,'All Ticker P&amp;L'!L596)</f>
        <v>0</v>
      </c>
      <c r="AS596" s="267">
        <f>IF($AL596="",0,'All Ticker P&amp;L'!M596)</f>
        <v>0</v>
      </c>
      <c r="AT596" s="243" t="str">
        <f>IF($AL596="","",RANK(AR596,$AR$2:$AR$1001)+COUNTIF($AR$2:AR596,AR596)-1)</f>
        <v/>
      </c>
      <c r="AU596" s="243" t="str">
        <f>IF($AL596="","",RANK(AV596,$AV$2:$AV$1001)+COUNTIF($AV$2:AV596,AV596)-1)</f>
        <v/>
      </c>
      <c r="AV596" s="266">
        <f t="shared" si="50"/>
        <v>0</v>
      </c>
    </row>
    <row r="597" spans="26:48" ht="15" customHeight="1" x14ac:dyDescent="0.2">
      <c r="Z597" s="243" t="str">
        <f>Shares!A597</f>
        <v/>
      </c>
      <c r="AA597" s="243" t="str">
        <f>Shares!B597</f>
        <v/>
      </c>
      <c r="AB597" s="243" t="str">
        <f>Shares!C597</f>
        <v/>
      </c>
      <c r="AC597" s="243" t="str">
        <f>Shares!D597</f>
        <v/>
      </c>
      <c r="AD597" s="243">
        <f>IF($Z597="",0,Shares!E597)</f>
        <v>0</v>
      </c>
      <c r="AE597" s="266">
        <f>IF($Z597="",0,Shares!J597*Shares!I597)</f>
        <v>0</v>
      </c>
      <c r="AF597" s="267">
        <f t="shared" si="49"/>
        <v>0</v>
      </c>
      <c r="AG597" s="266">
        <f>IF($Z597="",0,Shares!L597)</f>
        <v>0</v>
      </c>
      <c r="AH597" s="267">
        <f>IF($Z597="",0,Shares!M597)</f>
        <v>0</v>
      </c>
      <c r="AI597" s="243" t="str">
        <f>IF($Z597="","",RANK(AE597,$AE$2:$AE$1001)+COUNTIF($AE$2:AE597,AE597)-1)</f>
        <v/>
      </c>
      <c r="AJ597" s="243" t="str">
        <f>IF($AD597&lt;0,COUNT($AJ$1:AJ596)+1,"")</f>
        <v/>
      </c>
      <c r="AL597" s="243" t="str">
        <f>'All Ticker P&amp;L'!A597</f>
        <v/>
      </c>
      <c r="AM597" s="243" t="str">
        <f>'All Ticker P&amp;L'!B597</f>
        <v/>
      </c>
      <c r="AN597" s="243" t="str">
        <f>'All Ticker P&amp;L'!C597</f>
        <v/>
      </c>
      <c r="AO597" s="243" t="str">
        <f>'All Ticker P&amp;L'!D597</f>
        <v/>
      </c>
      <c r="AP597" s="243">
        <f>IF($AL597="",0,'All Ticker P&amp;L'!E597)</f>
        <v>0</v>
      </c>
      <c r="AQ597" s="266">
        <f>IF($AL597="",0,'All Ticker P&amp;L'!J597*'All Ticker P&amp;L'!I597)</f>
        <v>0</v>
      </c>
      <c r="AR597" s="266">
        <f>IF($AL597="",0,'All Ticker P&amp;L'!L597)</f>
        <v>0</v>
      </c>
      <c r="AS597" s="267">
        <f>IF($AL597="",0,'All Ticker P&amp;L'!M597)</f>
        <v>0</v>
      </c>
      <c r="AT597" s="243" t="str">
        <f>IF($AL597="","",RANK(AR597,$AR$2:$AR$1001)+COUNTIF($AR$2:AR597,AR597)-1)</f>
        <v/>
      </c>
      <c r="AU597" s="243" t="str">
        <f>IF($AL597="","",RANK(AV597,$AV$2:$AV$1001)+COUNTIF($AV$2:AV597,AV597)-1)</f>
        <v/>
      </c>
      <c r="AV597" s="266">
        <f t="shared" si="50"/>
        <v>0</v>
      </c>
    </row>
    <row r="598" spans="26:48" ht="15" customHeight="1" x14ac:dyDescent="0.2">
      <c r="Z598" s="243" t="str">
        <f>Shares!A598</f>
        <v/>
      </c>
      <c r="AA598" s="243" t="str">
        <f>Shares!B598</f>
        <v/>
      </c>
      <c r="AB598" s="243" t="str">
        <f>Shares!C598</f>
        <v/>
      </c>
      <c r="AC598" s="243" t="str">
        <f>Shares!D598</f>
        <v/>
      </c>
      <c r="AD598" s="243">
        <f>IF($Z598="",0,Shares!E598)</f>
        <v>0</v>
      </c>
      <c r="AE598" s="266">
        <f>IF($Z598="",0,Shares!J598*Shares!I598)</f>
        <v>0</v>
      </c>
      <c r="AF598" s="267">
        <f t="shared" si="49"/>
        <v>0</v>
      </c>
      <c r="AG598" s="266">
        <f>IF($Z598="",0,Shares!L598)</f>
        <v>0</v>
      </c>
      <c r="AH598" s="267">
        <f>IF($Z598="",0,Shares!M598)</f>
        <v>0</v>
      </c>
      <c r="AI598" s="243" t="str">
        <f>IF($Z598="","",RANK(AE598,$AE$2:$AE$1001)+COUNTIF($AE$2:AE598,AE598)-1)</f>
        <v/>
      </c>
      <c r="AJ598" s="243" t="str">
        <f>IF($AD598&lt;0,COUNT($AJ$1:AJ597)+1,"")</f>
        <v/>
      </c>
      <c r="AL598" s="243" t="str">
        <f>'All Ticker P&amp;L'!A598</f>
        <v/>
      </c>
      <c r="AM598" s="243" t="str">
        <f>'All Ticker P&amp;L'!B598</f>
        <v/>
      </c>
      <c r="AN598" s="243" t="str">
        <f>'All Ticker P&amp;L'!C598</f>
        <v/>
      </c>
      <c r="AO598" s="243" t="str">
        <f>'All Ticker P&amp;L'!D598</f>
        <v/>
      </c>
      <c r="AP598" s="243">
        <f>IF($AL598="",0,'All Ticker P&amp;L'!E598)</f>
        <v>0</v>
      </c>
      <c r="AQ598" s="266">
        <f>IF($AL598="",0,'All Ticker P&amp;L'!J598*'All Ticker P&amp;L'!I598)</f>
        <v>0</v>
      </c>
      <c r="AR598" s="266">
        <f>IF($AL598="",0,'All Ticker P&amp;L'!L598)</f>
        <v>0</v>
      </c>
      <c r="AS598" s="267">
        <f>IF($AL598="",0,'All Ticker P&amp;L'!M598)</f>
        <v>0</v>
      </c>
      <c r="AT598" s="243" t="str">
        <f>IF($AL598="","",RANK(AR598,$AR$2:$AR$1001)+COUNTIF($AR$2:AR598,AR598)-1)</f>
        <v/>
      </c>
      <c r="AU598" s="243" t="str">
        <f>IF($AL598="","",RANK(AV598,$AV$2:$AV$1001)+COUNTIF($AV$2:AV598,AV598)-1)</f>
        <v/>
      </c>
      <c r="AV598" s="266">
        <f t="shared" si="50"/>
        <v>0</v>
      </c>
    </row>
    <row r="599" spans="26:48" ht="15" customHeight="1" x14ac:dyDescent="0.2">
      <c r="Z599" s="243" t="str">
        <f>Shares!A599</f>
        <v/>
      </c>
      <c r="AA599" s="243" t="str">
        <f>Shares!B599</f>
        <v/>
      </c>
      <c r="AB599" s="243" t="str">
        <f>Shares!C599</f>
        <v/>
      </c>
      <c r="AC599" s="243" t="str">
        <f>Shares!D599</f>
        <v/>
      </c>
      <c r="AD599" s="243">
        <f>IF($Z599="",0,Shares!E599)</f>
        <v>0</v>
      </c>
      <c r="AE599" s="266">
        <f>IF($Z599="",0,Shares!J599*Shares!I599)</f>
        <v>0</v>
      </c>
      <c r="AF599" s="267">
        <f t="shared" si="49"/>
        <v>0</v>
      </c>
      <c r="AG599" s="266">
        <f>IF($Z599="",0,Shares!L599)</f>
        <v>0</v>
      </c>
      <c r="AH599" s="267">
        <f>IF($Z599="",0,Shares!M599)</f>
        <v>0</v>
      </c>
      <c r="AI599" s="243" t="str">
        <f>IF($Z599="","",RANK(AE599,$AE$2:$AE$1001)+COUNTIF($AE$2:AE599,AE599)-1)</f>
        <v/>
      </c>
      <c r="AJ599" s="243" t="str">
        <f>IF($AD599&lt;0,COUNT($AJ$1:AJ598)+1,"")</f>
        <v/>
      </c>
      <c r="AL599" s="243" t="str">
        <f>'All Ticker P&amp;L'!A599</f>
        <v/>
      </c>
      <c r="AM599" s="243" t="str">
        <f>'All Ticker P&amp;L'!B599</f>
        <v/>
      </c>
      <c r="AN599" s="243" t="str">
        <f>'All Ticker P&amp;L'!C599</f>
        <v/>
      </c>
      <c r="AO599" s="243" t="str">
        <f>'All Ticker P&amp;L'!D599</f>
        <v/>
      </c>
      <c r="AP599" s="243">
        <f>IF($AL599="",0,'All Ticker P&amp;L'!E599)</f>
        <v>0</v>
      </c>
      <c r="AQ599" s="266">
        <f>IF($AL599="",0,'All Ticker P&amp;L'!J599*'All Ticker P&amp;L'!I599)</f>
        <v>0</v>
      </c>
      <c r="AR599" s="266">
        <f>IF($AL599="",0,'All Ticker P&amp;L'!L599)</f>
        <v>0</v>
      </c>
      <c r="AS599" s="267">
        <f>IF($AL599="",0,'All Ticker P&amp;L'!M599)</f>
        <v>0</v>
      </c>
      <c r="AT599" s="243" t="str">
        <f>IF($AL599="","",RANK(AR599,$AR$2:$AR$1001)+COUNTIF($AR$2:AR599,AR599)-1)</f>
        <v/>
      </c>
      <c r="AU599" s="243" t="str">
        <f>IF($AL599="","",RANK(AV599,$AV$2:$AV$1001)+COUNTIF($AV$2:AV599,AV599)-1)</f>
        <v/>
      </c>
      <c r="AV599" s="266">
        <f t="shared" si="50"/>
        <v>0</v>
      </c>
    </row>
    <row r="600" spans="26:48" ht="15" customHeight="1" x14ac:dyDescent="0.2">
      <c r="Z600" s="243" t="str">
        <f>Shares!A600</f>
        <v/>
      </c>
      <c r="AA600" s="243" t="str">
        <f>Shares!B600</f>
        <v/>
      </c>
      <c r="AB600" s="243" t="str">
        <f>Shares!C600</f>
        <v/>
      </c>
      <c r="AC600" s="243" t="str">
        <f>Shares!D600</f>
        <v/>
      </c>
      <c r="AD600" s="243">
        <f>IF($Z600="",0,Shares!E600)</f>
        <v>0</v>
      </c>
      <c r="AE600" s="266">
        <f>IF($Z600="",0,Shares!J600*Shares!I600)</f>
        <v>0</v>
      </c>
      <c r="AF600" s="267">
        <f t="shared" si="49"/>
        <v>0</v>
      </c>
      <c r="AG600" s="266">
        <f>IF($Z600="",0,Shares!L600)</f>
        <v>0</v>
      </c>
      <c r="AH600" s="267">
        <f>IF($Z600="",0,Shares!M600)</f>
        <v>0</v>
      </c>
      <c r="AI600" s="243" t="str">
        <f>IF($Z600="","",RANK(AE600,$AE$2:$AE$1001)+COUNTIF($AE$2:AE600,AE600)-1)</f>
        <v/>
      </c>
      <c r="AJ600" s="243" t="str">
        <f>IF($AD600&lt;0,COUNT($AJ$1:AJ599)+1,"")</f>
        <v/>
      </c>
      <c r="AL600" s="243" t="str">
        <f>'All Ticker P&amp;L'!A600</f>
        <v/>
      </c>
      <c r="AM600" s="243" t="str">
        <f>'All Ticker P&amp;L'!B600</f>
        <v/>
      </c>
      <c r="AN600" s="243" t="str">
        <f>'All Ticker P&amp;L'!C600</f>
        <v/>
      </c>
      <c r="AO600" s="243" t="str">
        <f>'All Ticker P&amp;L'!D600</f>
        <v/>
      </c>
      <c r="AP600" s="243">
        <f>IF($AL600="",0,'All Ticker P&amp;L'!E600)</f>
        <v>0</v>
      </c>
      <c r="AQ600" s="266">
        <f>IF($AL600="",0,'All Ticker P&amp;L'!J600*'All Ticker P&amp;L'!I600)</f>
        <v>0</v>
      </c>
      <c r="AR600" s="266">
        <f>IF($AL600="",0,'All Ticker P&amp;L'!L600)</f>
        <v>0</v>
      </c>
      <c r="AS600" s="267">
        <f>IF($AL600="",0,'All Ticker P&amp;L'!M600)</f>
        <v>0</v>
      </c>
      <c r="AT600" s="243" t="str">
        <f>IF($AL600="","",RANK(AR600,$AR$2:$AR$1001)+COUNTIF($AR$2:AR600,AR600)-1)</f>
        <v/>
      </c>
      <c r="AU600" s="243" t="str">
        <f>IF($AL600="","",RANK(AV600,$AV$2:$AV$1001)+COUNTIF($AV$2:AV600,AV600)-1)</f>
        <v/>
      </c>
      <c r="AV600" s="266">
        <f t="shared" si="50"/>
        <v>0</v>
      </c>
    </row>
    <row r="601" spans="26:48" ht="15" customHeight="1" x14ac:dyDescent="0.2">
      <c r="Z601" s="243" t="str">
        <f>Shares!A601</f>
        <v/>
      </c>
      <c r="AA601" s="243" t="str">
        <f>Shares!B601</f>
        <v/>
      </c>
      <c r="AB601" s="243" t="str">
        <f>Shares!C601</f>
        <v/>
      </c>
      <c r="AC601" s="243" t="str">
        <f>Shares!D601</f>
        <v/>
      </c>
      <c r="AD601" s="243">
        <f>IF($Z601="",0,Shares!E601)</f>
        <v>0</v>
      </c>
      <c r="AE601" s="266">
        <f>IF($Z601="",0,Shares!J601*Shares!I601)</f>
        <v>0</v>
      </c>
      <c r="AF601" s="267">
        <f t="shared" si="49"/>
        <v>0</v>
      </c>
      <c r="AG601" s="266">
        <f>IF($Z601="",0,Shares!L601)</f>
        <v>0</v>
      </c>
      <c r="AH601" s="267">
        <f>IF($Z601="",0,Shares!M601)</f>
        <v>0</v>
      </c>
      <c r="AI601" s="243" t="str">
        <f>IF($Z601="","",RANK(AE601,$AE$2:$AE$1001)+COUNTIF($AE$2:AE601,AE601)-1)</f>
        <v/>
      </c>
      <c r="AJ601" s="243" t="str">
        <f>IF($AD601&lt;0,COUNT($AJ$1:AJ600)+1,"")</f>
        <v/>
      </c>
      <c r="AL601" s="243" t="str">
        <f>'All Ticker P&amp;L'!A601</f>
        <v/>
      </c>
      <c r="AM601" s="243" t="str">
        <f>'All Ticker P&amp;L'!B601</f>
        <v/>
      </c>
      <c r="AN601" s="243" t="str">
        <f>'All Ticker P&amp;L'!C601</f>
        <v/>
      </c>
      <c r="AO601" s="243" t="str">
        <f>'All Ticker P&amp;L'!D601</f>
        <v/>
      </c>
      <c r="AP601" s="243">
        <f>IF($AL601="",0,'All Ticker P&amp;L'!E601)</f>
        <v>0</v>
      </c>
      <c r="AQ601" s="266">
        <f>IF($AL601="",0,'All Ticker P&amp;L'!J601*'All Ticker P&amp;L'!I601)</f>
        <v>0</v>
      </c>
      <c r="AR601" s="266">
        <f>IF($AL601="",0,'All Ticker P&amp;L'!L601)</f>
        <v>0</v>
      </c>
      <c r="AS601" s="267">
        <f>IF($AL601="",0,'All Ticker P&amp;L'!M601)</f>
        <v>0</v>
      </c>
      <c r="AT601" s="243" t="str">
        <f>IF($AL601="","",RANK(AR601,$AR$2:$AR$1001)+COUNTIF($AR$2:AR601,AR601)-1)</f>
        <v/>
      </c>
      <c r="AU601" s="243" t="str">
        <f>IF($AL601="","",RANK(AV601,$AV$2:$AV$1001)+COUNTIF($AV$2:AV601,AV601)-1)</f>
        <v/>
      </c>
      <c r="AV601" s="266">
        <f t="shared" si="50"/>
        <v>0</v>
      </c>
    </row>
    <row r="602" spans="26:48" ht="15" customHeight="1" x14ac:dyDescent="0.2">
      <c r="Z602" s="243" t="str">
        <f>Shares!A602</f>
        <v/>
      </c>
      <c r="AA602" s="243" t="str">
        <f>Shares!B602</f>
        <v/>
      </c>
      <c r="AB602" s="243" t="str">
        <f>Shares!C602</f>
        <v/>
      </c>
      <c r="AC602" s="243" t="str">
        <f>Shares!D602</f>
        <v/>
      </c>
      <c r="AD602" s="243">
        <f>IF($Z602="",0,Shares!E602)</f>
        <v>0</v>
      </c>
      <c r="AE602" s="266">
        <f>IF($Z602="",0,Shares!J602*Shares!I602)</f>
        <v>0</v>
      </c>
      <c r="AF602" s="267">
        <f t="shared" si="49"/>
        <v>0</v>
      </c>
      <c r="AG602" s="266">
        <f>IF($Z602="",0,Shares!L602)</f>
        <v>0</v>
      </c>
      <c r="AH602" s="267">
        <f>IF($Z602="",0,Shares!M602)</f>
        <v>0</v>
      </c>
      <c r="AI602" s="243" t="str">
        <f>IF($Z602="","",RANK(AE602,$AE$2:$AE$1001)+COUNTIF($AE$2:AE602,AE602)-1)</f>
        <v/>
      </c>
      <c r="AJ602" s="243" t="str">
        <f>IF($AD602&lt;0,COUNT($AJ$1:AJ601)+1,"")</f>
        <v/>
      </c>
      <c r="AL602" s="243" t="str">
        <f>'All Ticker P&amp;L'!A602</f>
        <v/>
      </c>
      <c r="AM602" s="243" t="str">
        <f>'All Ticker P&amp;L'!B602</f>
        <v/>
      </c>
      <c r="AN602" s="243" t="str">
        <f>'All Ticker P&amp;L'!C602</f>
        <v/>
      </c>
      <c r="AO602" s="243" t="str">
        <f>'All Ticker P&amp;L'!D602</f>
        <v/>
      </c>
      <c r="AP602" s="243">
        <f>IF($AL602="",0,'All Ticker P&amp;L'!E602)</f>
        <v>0</v>
      </c>
      <c r="AQ602" s="266">
        <f>IF($AL602="",0,'All Ticker P&amp;L'!J602*'All Ticker P&amp;L'!I602)</f>
        <v>0</v>
      </c>
      <c r="AR602" s="266">
        <f>IF($AL602="",0,'All Ticker P&amp;L'!L602)</f>
        <v>0</v>
      </c>
      <c r="AS602" s="267">
        <f>IF($AL602="",0,'All Ticker P&amp;L'!M602)</f>
        <v>0</v>
      </c>
      <c r="AT602" s="243" t="str">
        <f>IF($AL602="","",RANK(AR602,$AR$2:$AR$1001)+COUNTIF($AR$2:AR602,AR602)-1)</f>
        <v/>
      </c>
      <c r="AU602" s="243" t="str">
        <f>IF($AL602="","",RANK(AV602,$AV$2:$AV$1001)+COUNTIF($AV$2:AV602,AV602)-1)</f>
        <v/>
      </c>
      <c r="AV602" s="266">
        <f t="shared" si="50"/>
        <v>0</v>
      </c>
    </row>
    <row r="603" spans="26:48" ht="15" customHeight="1" x14ac:dyDescent="0.2">
      <c r="Z603" s="243" t="str">
        <f>Shares!A603</f>
        <v/>
      </c>
      <c r="AA603" s="243" t="str">
        <f>Shares!B603</f>
        <v/>
      </c>
      <c r="AB603" s="243" t="str">
        <f>Shares!C603</f>
        <v/>
      </c>
      <c r="AC603" s="243" t="str">
        <f>Shares!D603</f>
        <v/>
      </c>
      <c r="AD603" s="243">
        <f>IF($Z603="",0,Shares!E603)</f>
        <v>0</v>
      </c>
      <c r="AE603" s="266">
        <f>IF($Z603="",0,Shares!J603*Shares!I603)</f>
        <v>0</v>
      </c>
      <c r="AF603" s="267">
        <f t="shared" si="49"/>
        <v>0</v>
      </c>
      <c r="AG603" s="266">
        <f>IF($Z603="",0,Shares!L603)</f>
        <v>0</v>
      </c>
      <c r="AH603" s="267">
        <f>IF($Z603="",0,Shares!M603)</f>
        <v>0</v>
      </c>
      <c r="AI603" s="243" t="str">
        <f>IF($Z603="","",RANK(AE603,$AE$2:$AE$1001)+COUNTIF($AE$2:AE603,AE603)-1)</f>
        <v/>
      </c>
      <c r="AJ603" s="243" t="str">
        <f>IF($AD603&lt;0,COUNT($AJ$1:AJ602)+1,"")</f>
        <v/>
      </c>
      <c r="AL603" s="243" t="str">
        <f>'All Ticker P&amp;L'!A603</f>
        <v/>
      </c>
      <c r="AM603" s="243" t="str">
        <f>'All Ticker P&amp;L'!B603</f>
        <v/>
      </c>
      <c r="AN603" s="243" t="str">
        <f>'All Ticker P&amp;L'!C603</f>
        <v/>
      </c>
      <c r="AO603" s="243" t="str">
        <f>'All Ticker P&amp;L'!D603</f>
        <v/>
      </c>
      <c r="AP603" s="243">
        <f>IF($AL603="",0,'All Ticker P&amp;L'!E603)</f>
        <v>0</v>
      </c>
      <c r="AQ603" s="266">
        <f>IF($AL603="",0,'All Ticker P&amp;L'!J603*'All Ticker P&amp;L'!I603)</f>
        <v>0</v>
      </c>
      <c r="AR603" s="266">
        <f>IF($AL603="",0,'All Ticker P&amp;L'!L603)</f>
        <v>0</v>
      </c>
      <c r="AS603" s="267">
        <f>IF($AL603="",0,'All Ticker P&amp;L'!M603)</f>
        <v>0</v>
      </c>
      <c r="AT603" s="243" t="str">
        <f>IF($AL603="","",RANK(AR603,$AR$2:$AR$1001)+COUNTIF($AR$2:AR603,AR603)-1)</f>
        <v/>
      </c>
      <c r="AU603" s="243" t="str">
        <f>IF($AL603="","",RANK(AV603,$AV$2:$AV$1001)+COUNTIF($AV$2:AV603,AV603)-1)</f>
        <v/>
      </c>
      <c r="AV603" s="266">
        <f t="shared" si="50"/>
        <v>0</v>
      </c>
    </row>
    <row r="604" spans="26:48" ht="15" customHeight="1" x14ac:dyDescent="0.2">
      <c r="Z604" s="243" t="str">
        <f>Shares!A604</f>
        <v/>
      </c>
      <c r="AA604" s="243" t="str">
        <f>Shares!B604</f>
        <v/>
      </c>
      <c r="AB604" s="243" t="str">
        <f>Shares!C604</f>
        <v/>
      </c>
      <c r="AC604" s="243" t="str">
        <f>Shares!D604</f>
        <v/>
      </c>
      <c r="AD604" s="243">
        <f>IF($Z604="",0,Shares!E604)</f>
        <v>0</v>
      </c>
      <c r="AE604" s="266">
        <f>IF($Z604="",0,Shares!J604*Shares!I604)</f>
        <v>0</v>
      </c>
      <c r="AF604" s="267">
        <f t="shared" si="49"/>
        <v>0</v>
      </c>
      <c r="AG604" s="266">
        <f>IF($Z604="",0,Shares!L604)</f>
        <v>0</v>
      </c>
      <c r="AH604" s="267">
        <f>IF($Z604="",0,Shares!M604)</f>
        <v>0</v>
      </c>
      <c r="AI604" s="243" t="str">
        <f>IF($Z604="","",RANK(AE604,$AE$2:$AE$1001)+COUNTIF($AE$2:AE604,AE604)-1)</f>
        <v/>
      </c>
      <c r="AJ604" s="243" t="str">
        <f>IF($AD604&lt;0,COUNT($AJ$1:AJ603)+1,"")</f>
        <v/>
      </c>
      <c r="AL604" s="243" t="str">
        <f>'All Ticker P&amp;L'!A604</f>
        <v/>
      </c>
      <c r="AM604" s="243" t="str">
        <f>'All Ticker P&amp;L'!B604</f>
        <v/>
      </c>
      <c r="AN604" s="243" t="str">
        <f>'All Ticker P&amp;L'!C604</f>
        <v/>
      </c>
      <c r="AO604" s="243" t="str">
        <f>'All Ticker P&amp;L'!D604</f>
        <v/>
      </c>
      <c r="AP604" s="243">
        <f>IF($AL604="",0,'All Ticker P&amp;L'!E604)</f>
        <v>0</v>
      </c>
      <c r="AQ604" s="266">
        <f>IF($AL604="",0,'All Ticker P&amp;L'!J604*'All Ticker P&amp;L'!I604)</f>
        <v>0</v>
      </c>
      <c r="AR604" s="266">
        <f>IF($AL604="",0,'All Ticker P&amp;L'!L604)</f>
        <v>0</v>
      </c>
      <c r="AS604" s="267">
        <f>IF($AL604="",0,'All Ticker P&amp;L'!M604)</f>
        <v>0</v>
      </c>
      <c r="AT604" s="243" t="str">
        <f>IF($AL604="","",RANK(AR604,$AR$2:$AR$1001)+COUNTIF($AR$2:AR604,AR604)-1)</f>
        <v/>
      </c>
      <c r="AU604" s="243" t="str">
        <f>IF($AL604="","",RANK(AV604,$AV$2:$AV$1001)+COUNTIF($AV$2:AV604,AV604)-1)</f>
        <v/>
      </c>
      <c r="AV604" s="266">
        <f t="shared" si="50"/>
        <v>0</v>
      </c>
    </row>
    <row r="605" spans="26:48" ht="15" customHeight="1" x14ac:dyDescent="0.2">
      <c r="Z605" s="243" t="str">
        <f>Shares!A605</f>
        <v/>
      </c>
      <c r="AA605" s="243" t="str">
        <f>Shares!B605</f>
        <v/>
      </c>
      <c r="AB605" s="243" t="str">
        <f>Shares!C605</f>
        <v/>
      </c>
      <c r="AC605" s="243" t="str">
        <f>Shares!D605</f>
        <v/>
      </c>
      <c r="AD605" s="243">
        <f>IF($Z605="",0,Shares!E605)</f>
        <v>0</v>
      </c>
      <c r="AE605" s="266">
        <f>IF($Z605="",0,Shares!J605*Shares!I605)</f>
        <v>0</v>
      </c>
      <c r="AF605" s="267">
        <f t="shared" si="49"/>
        <v>0</v>
      </c>
      <c r="AG605" s="266">
        <f>IF($Z605="",0,Shares!L605)</f>
        <v>0</v>
      </c>
      <c r="AH605" s="267">
        <f>IF($Z605="",0,Shares!M605)</f>
        <v>0</v>
      </c>
      <c r="AI605" s="243" t="str">
        <f>IF($Z605="","",RANK(AE605,$AE$2:$AE$1001)+COUNTIF($AE$2:AE605,AE605)-1)</f>
        <v/>
      </c>
      <c r="AJ605" s="243" t="str">
        <f>IF($AD605&lt;0,COUNT($AJ$1:AJ604)+1,"")</f>
        <v/>
      </c>
      <c r="AL605" s="243" t="str">
        <f>'All Ticker P&amp;L'!A605</f>
        <v/>
      </c>
      <c r="AM605" s="243" t="str">
        <f>'All Ticker P&amp;L'!B605</f>
        <v/>
      </c>
      <c r="AN605" s="243" t="str">
        <f>'All Ticker P&amp;L'!C605</f>
        <v/>
      </c>
      <c r="AO605" s="243" t="str">
        <f>'All Ticker P&amp;L'!D605</f>
        <v/>
      </c>
      <c r="AP605" s="243">
        <f>IF($AL605="",0,'All Ticker P&amp;L'!E605)</f>
        <v>0</v>
      </c>
      <c r="AQ605" s="266">
        <f>IF($AL605="",0,'All Ticker P&amp;L'!J605*'All Ticker P&amp;L'!I605)</f>
        <v>0</v>
      </c>
      <c r="AR605" s="266">
        <f>IF($AL605="",0,'All Ticker P&amp;L'!L605)</f>
        <v>0</v>
      </c>
      <c r="AS605" s="267">
        <f>IF($AL605="",0,'All Ticker P&amp;L'!M605)</f>
        <v>0</v>
      </c>
      <c r="AT605" s="243" t="str">
        <f>IF($AL605="","",RANK(AR605,$AR$2:$AR$1001)+COUNTIF($AR$2:AR605,AR605)-1)</f>
        <v/>
      </c>
      <c r="AU605" s="243" t="str">
        <f>IF($AL605="","",RANK(AV605,$AV$2:$AV$1001)+COUNTIF($AV$2:AV605,AV605)-1)</f>
        <v/>
      </c>
      <c r="AV605" s="266">
        <f t="shared" si="50"/>
        <v>0</v>
      </c>
    </row>
    <row r="606" spans="26:48" ht="15" customHeight="1" x14ac:dyDescent="0.2">
      <c r="Z606" s="243" t="str">
        <f>Shares!A606</f>
        <v/>
      </c>
      <c r="AA606" s="243" t="str">
        <f>Shares!B606</f>
        <v/>
      </c>
      <c r="AB606" s="243" t="str">
        <f>Shares!C606</f>
        <v/>
      </c>
      <c r="AC606" s="243" t="str">
        <f>Shares!D606</f>
        <v/>
      </c>
      <c r="AD606" s="243">
        <f>IF($Z606="",0,Shares!E606)</f>
        <v>0</v>
      </c>
      <c r="AE606" s="266">
        <f>IF($Z606="",0,Shares!J606*Shares!I606)</f>
        <v>0</v>
      </c>
      <c r="AF606" s="267">
        <f t="shared" si="49"/>
        <v>0</v>
      </c>
      <c r="AG606" s="266">
        <f>IF($Z606="",0,Shares!L606)</f>
        <v>0</v>
      </c>
      <c r="AH606" s="267">
        <f>IF($Z606="",0,Shares!M606)</f>
        <v>0</v>
      </c>
      <c r="AI606" s="243" t="str">
        <f>IF($Z606="","",RANK(AE606,$AE$2:$AE$1001)+COUNTIF($AE$2:AE606,AE606)-1)</f>
        <v/>
      </c>
      <c r="AJ606" s="243" t="str">
        <f>IF($AD606&lt;0,COUNT($AJ$1:AJ605)+1,"")</f>
        <v/>
      </c>
      <c r="AL606" s="243" t="str">
        <f>'All Ticker P&amp;L'!A606</f>
        <v/>
      </c>
      <c r="AM606" s="243" t="str">
        <f>'All Ticker P&amp;L'!B606</f>
        <v/>
      </c>
      <c r="AN606" s="243" t="str">
        <f>'All Ticker P&amp;L'!C606</f>
        <v/>
      </c>
      <c r="AO606" s="243" t="str">
        <f>'All Ticker P&amp;L'!D606</f>
        <v/>
      </c>
      <c r="AP606" s="243">
        <f>IF($AL606="",0,'All Ticker P&amp;L'!E606)</f>
        <v>0</v>
      </c>
      <c r="AQ606" s="266">
        <f>IF($AL606="",0,'All Ticker P&amp;L'!J606*'All Ticker P&amp;L'!I606)</f>
        <v>0</v>
      </c>
      <c r="AR606" s="266">
        <f>IF($AL606="",0,'All Ticker P&amp;L'!L606)</f>
        <v>0</v>
      </c>
      <c r="AS606" s="267">
        <f>IF($AL606="",0,'All Ticker P&amp;L'!M606)</f>
        <v>0</v>
      </c>
      <c r="AT606" s="243" t="str">
        <f>IF($AL606="","",RANK(AR606,$AR$2:$AR$1001)+COUNTIF($AR$2:AR606,AR606)-1)</f>
        <v/>
      </c>
      <c r="AU606" s="243" t="str">
        <f>IF($AL606="","",RANK(AV606,$AV$2:$AV$1001)+COUNTIF($AV$2:AV606,AV606)-1)</f>
        <v/>
      </c>
      <c r="AV606" s="266">
        <f t="shared" si="50"/>
        <v>0</v>
      </c>
    </row>
    <row r="607" spans="26:48" ht="15" customHeight="1" x14ac:dyDescent="0.2">
      <c r="Z607" s="243" t="str">
        <f>Shares!A607</f>
        <v/>
      </c>
      <c r="AA607" s="243" t="str">
        <f>Shares!B607</f>
        <v/>
      </c>
      <c r="AB607" s="243" t="str">
        <f>Shares!C607</f>
        <v/>
      </c>
      <c r="AC607" s="243" t="str">
        <f>Shares!D607</f>
        <v/>
      </c>
      <c r="AD607" s="243">
        <f>IF($Z607="",0,Shares!E607)</f>
        <v>0</v>
      </c>
      <c r="AE607" s="266">
        <f>IF($Z607="",0,Shares!J607*Shares!I607)</f>
        <v>0</v>
      </c>
      <c r="AF607" s="267">
        <f t="shared" si="49"/>
        <v>0</v>
      </c>
      <c r="AG607" s="266">
        <f>IF($Z607="",0,Shares!L607)</f>
        <v>0</v>
      </c>
      <c r="AH607" s="267">
        <f>IF($Z607="",0,Shares!M607)</f>
        <v>0</v>
      </c>
      <c r="AI607" s="243" t="str">
        <f>IF($Z607="","",RANK(AE607,$AE$2:$AE$1001)+COUNTIF($AE$2:AE607,AE607)-1)</f>
        <v/>
      </c>
      <c r="AJ607" s="243" t="str">
        <f>IF($AD607&lt;0,COUNT($AJ$1:AJ606)+1,"")</f>
        <v/>
      </c>
      <c r="AL607" s="243" t="str">
        <f>'All Ticker P&amp;L'!A607</f>
        <v/>
      </c>
      <c r="AM607" s="243" t="str">
        <f>'All Ticker P&amp;L'!B607</f>
        <v/>
      </c>
      <c r="AN607" s="243" t="str">
        <f>'All Ticker P&amp;L'!C607</f>
        <v/>
      </c>
      <c r="AO607" s="243" t="str">
        <f>'All Ticker P&amp;L'!D607</f>
        <v/>
      </c>
      <c r="AP607" s="243">
        <f>IF($AL607="",0,'All Ticker P&amp;L'!E607)</f>
        <v>0</v>
      </c>
      <c r="AQ607" s="266">
        <f>IF($AL607="",0,'All Ticker P&amp;L'!J607*'All Ticker P&amp;L'!I607)</f>
        <v>0</v>
      </c>
      <c r="AR607" s="266">
        <f>IF($AL607="",0,'All Ticker P&amp;L'!L607)</f>
        <v>0</v>
      </c>
      <c r="AS607" s="267">
        <f>IF($AL607="",0,'All Ticker P&amp;L'!M607)</f>
        <v>0</v>
      </c>
      <c r="AT607" s="243" t="str">
        <f>IF($AL607="","",RANK(AR607,$AR$2:$AR$1001)+COUNTIF($AR$2:AR607,AR607)-1)</f>
        <v/>
      </c>
      <c r="AU607" s="243" t="str">
        <f>IF($AL607="","",RANK(AV607,$AV$2:$AV$1001)+COUNTIF($AV$2:AV607,AV607)-1)</f>
        <v/>
      </c>
      <c r="AV607" s="266">
        <f t="shared" si="50"/>
        <v>0</v>
      </c>
    </row>
    <row r="608" spans="26:48" ht="15" customHeight="1" x14ac:dyDescent="0.2">
      <c r="Z608" s="243" t="str">
        <f>Shares!A608</f>
        <v/>
      </c>
      <c r="AA608" s="243" t="str">
        <f>Shares!B608</f>
        <v/>
      </c>
      <c r="AB608" s="243" t="str">
        <f>Shares!C608</f>
        <v/>
      </c>
      <c r="AC608" s="243" t="str">
        <f>Shares!D608</f>
        <v/>
      </c>
      <c r="AD608" s="243">
        <f>IF($Z608="",0,Shares!E608)</f>
        <v>0</v>
      </c>
      <c r="AE608" s="266">
        <f>IF($Z608="",0,Shares!J608*Shares!I608)</f>
        <v>0</v>
      </c>
      <c r="AF608" s="267">
        <f t="shared" si="49"/>
        <v>0</v>
      </c>
      <c r="AG608" s="266">
        <f>IF($Z608="",0,Shares!L608)</f>
        <v>0</v>
      </c>
      <c r="AH608" s="267">
        <f>IF($Z608="",0,Shares!M608)</f>
        <v>0</v>
      </c>
      <c r="AI608" s="243" t="str">
        <f>IF($Z608="","",RANK(AE608,$AE$2:$AE$1001)+COUNTIF($AE$2:AE608,AE608)-1)</f>
        <v/>
      </c>
      <c r="AJ608" s="243" t="str">
        <f>IF($AD608&lt;0,COUNT($AJ$1:AJ607)+1,"")</f>
        <v/>
      </c>
      <c r="AL608" s="243" t="str">
        <f>'All Ticker P&amp;L'!A608</f>
        <v/>
      </c>
      <c r="AM608" s="243" t="str">
        <f>'All Ticker P&amp;L'!B608</f>
        <v/>
      </c>
      <c r="AN608" s="243" t="str">
        <f>'All Ticker P&amp;L'!C608</f>
        <v/>
      </c>
      <c r="AO608" s="243" t="str">
        <f>'All Ticker P&amp;L'!D608</f>
        <v/>
      </c>
      <c r="AP608" s="243">
        <f>IF($AL608="",0,'All Ticker P&amp;L'!E608)</f>
        <v>0</v>
      </c>
      <c r="AQ608" s="266">
        <f>IF($AL608="",0,'All Ticker P&amp;L'!J608*'All Ticker P&amp;L'!I608)</f>
        <v>0</v>
      </c>
      <c r="AR608" s="266">
        <f>IF($AL608="",0,'All Ticker P&amp;L'!L608)</f>
        <v>0</v>
      </c>
      <c r="AS608" s="267">
        <f>IF($AL608="",0,'All Ticker P&amp;L'!M608)</f>
        <v>0</v>
      </c>
      <c r="AT608" s="243" t="str">
        <f>IF($AL608="","",RANK(AR608,$AR$2:$AR$1001)+COUNTIF($AR$2:AR608,AR608)-1)</f>
        <v/>
      </c>
      <c r="AU608" s="243" t="str">
        <f>IF($AL608="","",RANK(AV608,$AV$2:$AV$1001)+COUNTIF($AV$2:AV608,AV608)-1)</f>
        <v/>
      </c>
      <c r="AV608" s="266">
        <f t="shared" si="50"/>
        <v>0</v>
      </c>
    </row>
    <row r="609" spans="26:48" ht="15" customHeight="1" x14ac:dyDescent="0.2">
      <c r="Z609" s="243" t="str">
        <f>Shares!A609</f>
        <v/>
      </c>
      <c r="AA609" s="243" t="str">
        <f>Shares!B609</f>
        <v/>
      </c>
      <c r="AB609" s="243" t="str">
        <f>Shares!C609</f>
        <v/>
      </c>
      <c r="AC609" s="243" t="str">
        <f>Shares!D609</f>
        <v/>
      </c>
      <c r="AD609" s="243">
        <f>IF($Z609="",0,Shares!E609)</f>
        <v>0</v>
      </c>
      <c r="AE609" s="266">
        <f>IF($Z609="",0,Shares!J609*Shares!I609)</f>
        <v>0</v>
      </c>
      <c r="AF609" s="267">
        <f t="shared" si="49"/>
        <v>0</v>
      </c>
      <c r="AG609" s="266">
        <f>IF($Z609="",0,Shares!L609)</f>
        <v>0</v>
      </c>
      <c r="AH609" s="267">
        <f>IF($Z609="",0,Shares!M609)</f>
        <v>0</v>
      </c>
      <c r="AI609" s="243" t="str">
        <f>IF($Z609="","",RANK(AE609,$AE$2:$AE$1001)+COUNTIF($AE$2:AE609,AE609)-1)</f>
        <v/>
      </c>
      <c r="AJ609" s="243" t="str">
        <f>IF($AD609&lt;0,COUNT($AJ$1:AJ608)+1,"")</f>
        <v/>
      </c>
      <c r="AL609" s="243" t="str">
        <f>'All Ticker P&amp;L'!A609</f>
        <v/>
      </c>
      <c r="AM609" s="243" t="str">
        <f>'All Ticker P&amp;L'!B609</f>
        <v/>
      </c>
      <c r="AN609" s="243" t="str">
        <f>'All Ticker P&amp;L'!C609</f>
        <v/>
      </c>
      <c r="AO609" s="243" t="str">
        <f>'All Ticker P&amp;L'!D609</f>
        <v/>
      </c>
      <c r="AP609" s="243">
        <f>IF($AL609="",0,'All Ticker P&amp;L'!E609)</f>
        <v>0</v>
      </c>
      <c r="AQ609" s="266">
        <f>IF($AL609="",0,'All Ticker P&amp;L'!J609*'All Ticker P&amp;L'!I609)</f>
        <v>0</v>
      </c>
      <c r="AR609" s="266">
        <f>IF($AL609="",0,'All Ticker P&amp;L'!L609)</f>
        <v>0</v>
      </c>
      <c r="AS609" s="267">
        <f>IF($AL609="",0,'All Ticker P&amp;L'!M609)</f>
        <v>0</v>
      </c>
      <c r="AT609" s="243" t="str">
        <f>IF($AL609="","",RANK(AR609,$AR$2:$AR$1001)+COUNTIF($AR$2:AR609,AR609)-1)</f>
        <v/>
      </c>
      <c r="AU609" s="243" t="str">
        <f>IF($AL609="","",RANK(AV609,$AV$2:$AV$1001)+COUNTIF($AV$2:AV609,AV609)-1)</f>
        <v/>
      </c>
      <c r="AV609" s="266">
        <f t="shared" si="50"/>
        <v>0</v>
      </c>
    </row>
    <row r="610" spans="26:48" ht="15" customHeight="1" x14ac:dyDescent="0.2">
      <c r="Z610" s="243" t="str">
        <f>Shares!A610</f>
        <v/>
      </c>
      <c r="AA610" s="243" t="str">
        <f>Shares!B610</f>
        <v/>
      </c>
      <c r="AB610" s="243" t="str">
        <f>Shares!C610</f>
        <v/>
      </c>
      <c r="AC610" s="243" t="str">
        <f>Shares!D610</f>
        <v/>
      </c>
      <c r="AD610" s="243">
        <f>IF($Z610="",0,Shares!E610)</f>
        <v>0</v>
      </c>
      <c r="AE610" s="266">
        <f>IF($Z610="",0,Shares!J610*Shares!I610)</f>
        <v>0</v>
      </c>
      <c r="AF610" s="267">
        <f t="shared" si="49"/>
        <v>0</v>
      </c>
      <c r="AG610" s="266">
        <f>IF($Z610="",0,Shares!L610)</f>
        <v>0</v>
      </c>
      <c r="AH610" s="267">
        <f>IF($Z610="",0,Shares!M610)</f>
        <v>0</v>
      </c>
      <c r="AI610" s="243" t="str">
        <f>IF($Z610="","",RANK(AE610,$AE$2:$AE$1001)+COUNTIF($AE$2:AE610,AE610)-1)</f>
        <v/>
      </c>
      <c r="AJ610" s="243" t="str">
        <f>IF($AD610&lt;0,COUNT($AJ$1:AJ609)+1,"")</f>
        <v/>
      </c>
      <c r="AL610" s="243" t="str">
        <f>'All Ticker P&amp;L'!A610</f>
        <v/>
      </c>
      <c r="AM610" s="243" t="str">
        <f>'All Ticker P&amp;L'!B610</f>
        <v/>
      </c>
      <c r="AN610" s="243" t="str">
        <f>'All Ticker P&amp;L'!C610</f>
        <v/>
      </c>
      <c r="AO610" s="243" t="str">
        <f>'All Ticker P&amp;L'!D610</f>
        <v/>
      </c>
      <c r="AP610" s="243">
        <f>IF($AL610="",0,'All Ticker P&amp;L'!E610)</f>
        <v>0</v>
      </c>
      <c r="AQ610" s="266">
        <f>IF($AL610="",0,'All Ticker P&amp;L'!J610*'All Ticker P&amp;L'!I610)</f>
        <v>0</v>
      </c>
      <c r="AR610" s="266">
        <f>IF($AL610="",0,'All Ticker P&amp;L'!L610)</f>
        <v>0</v>
      </c>
      <c r="AS610" s="267">
        <f>IF($AL610="",0,'All Ticker P&amp;L'!M610)</f>
        <v>0</v>
      </c>
      <c r="AT610" s="243" t="str">
        <f>IF($AL610="","",RANK(AR610,$AR$2:$AR$1001)+COUNTIF($AR$2:AR610,AR610)-1)</f>
        <v/>
      </c>
      <c r="AU610" s="243" t="str">
        <f>IF($AL610="","",RANK(AV610,$AV$2:$AV$1001)+COUNTIF($AV$2:AV610,AV610)-1)</f>
        <v/>
      </c>
      <c r="AV610" s="266">
        <f t="shared" si="50"/>
        <v>0</v>
      </c>
    </row>
    <row r="611" spans="26:48" ht="15" customHeight="1" x14ac:dyDescent="0.2">
      <c r="Z611" s="243" t="str">
        <f>Shares!A611</f>
        <v/>
      </c>
      <c r="AA611" s="243" t="str">
        <f>Shares!B611</f>
        <v/>
      </c>
      <c r="AB611" s="243" t="str">
        <f>Shares!C611</f>
        <v/>
      </c>
      <c r="AC611" s="243" t="str">
        <f>Shares!D611</f>
        <v/>
      </c>
      <c r="AD611" s="243">
        <f>IF($Z611="",0,Shares!E611)</f>
        <v>0</v>
      </c>
      <c r="AE611" s="266">
        <f>IF($Z611="",0,Shares!J611*Shares!I611)</f>
        <v>0</v>
      </c>
      <c r="AF611" s="267">
        <f t="shared" si="49"/>
        <v>0</v>
      </c>
      <c r="AG611" s="266">
        <f>IF($Z611="",0,Shares!L611)</f>
        <v>0</v>
      </c>
      <c r="AH611" s="267">
        <f>IF($Z611="",0,Shares!M611)</f>
        <v>0</v>
      </c>
      <c r="AI611" s="243" t="str">
        <f>IF($Z611="","",RANK(AE611,$AE$2:$AE$1001)+COUNTIF($AE$2:AE611,AE611)-1)</f>
        <v/>
      </c>
      <c r="AJ611" s="243" t="str">
        <f>IF($AD611&lt;0,COUNT($AJ$1:AJ610)+1,"")</f>
        <v/>
      </c>
      <c r="AL611" s="243" t="str">
        <f>'All Ticker P&amp;L'!A611</f>
        <v/>
      </c>
      <c r="AM611" s="243" t="str">
        <f>'All Ticker P&amp;L'!B611</f>
        <v/>
      </c>
      <c r="AN611" s="243" t="str">
        <f>'All Ticker P&amp;L'!C611</f>
        <v/>
      </c>
      <c r="AO611" s="243" t="str">
        <f>'All Ticker P&amp;L'!D611</f>
        <v/>
      </c>
      <c r="AP611" s="243">
        <f>IF($AL611="",0,'All Ticker P&amp;L'!E611)</f>
        <v>0</v>
      </c>
      <c r="AQ611" s="266">
        <f>IF($AL611="",0,'All Ticker P&amp;L'!J611*'All Ticker P&amp;L'!I611)</f>
        <v>0</v>
      </c>
      <c r="AR611" s="266">
        <f>IF($AL611="",0,'All Ticker P&amp;L'!L611)</f>
        <v>0</v>
      </c>
      <c r="AS611" s="267">
        <f>IF($AL611="",0,'All Ticker P&amp;L'!M611)</f>
        <v>0</v>
      </c>
      <c r="AT611" s="243" t="str">
        <f>IF($AL611="","",RANK(AR611,$AR$2:$AR$1001)+COUNTIF($AR$2:AR611,AR611)-1)</f>
        <v/>
      </c>
      <c r="AU611" s="243" t="str">
        <f>IF($AL611="","",RANK(AV611,$AV$2:$AV$1001)+COUNTIF($AV$2:AV611,AV611)-1)</f>
        <v/>
      </c>
      <c r="AV611" s="266">
        <f t="shared" si="50"/>
        <v>0</v>
      </c>
    </row>
    <row r="612" spans="26:48" ht="15" customHeight="1" x14ac:dyDescent="0.2">
      <c r="Z612" s="243" t="str">
        <f>Shares!A612</f>
        <v/>
      </c>
      <c r="AA612" s="243" t="str">
        <f>Shares!B612</f>
        <v/>
      </c>
      <c r="AB612" s="243" t="str">
        <f>Shares!C612</f>
        <v/>
      </c>
      <c r="AC612" s="243" t="str">
        <f>Shares!D612</f>
        <v/>
      </c>
      <c r="AD612" s="243">
        <f>IF($Z612="",0,Shares!E612)</f>
        <v>0</v>
      </c>
      <c r="AE612" s="266">
        <f>IF($Z612="",0,Shares!J612*Shares!I612)</f>
        <v>0</v>
      </c>
      <c r="AF612" s="267">
        <f t="shared" si="49"/>
        <v>0</v>
      </c>
      <c r="AG612" s="266">
        <f>IF($Z612="",0,Shares!L612)</f>
        <v>0</v>
      </c>
      <c r="AH612" s="267">
        <f>IF($Z612="",0,Shares!M612)</f>
        <v>0</v>
      </c>
      <c r="AI612" s="243" t="str">
        <f>IF($Z612="","",RANK(AE612,$AE$2:$AE$1001)+COUNTIF($AE$2:AE612,AE612)-1)</f>
        <v/>
      </c>
      <c r="AJ612" s="243" t="str">
        <f>IF($AD612&lt;0,COUNT($AJ$1:AJ611)+1,"")</f>
        <v/>
      </c>
      <c r="AL612" s="243" t="str">
        <f>'All Ticker P&amp;L'!A612</f>
        <v/>
      </c>
      <c r="AM612" s="243" t="str">
        <f>'All Ticker P&amp;L'!B612</f>
        <v/>
      </c>
      <c r="AN612" s="243" t="str">
        <f>'All Ticker P&amp;L'!C612</f>
        <v/>
      </c>
      <c r="AO612" s="243" t="str">
        <f>'All Ticker P&amp;L'!D612</f>
        <v/>
      </c>
      <c r="AP612" s="243">
        <f>IF($AL612="",0,'All Ticker P&amp;L'!E612)</f>
        <v>0</v>
      </c>
      <c r="AQ612" s="266">
        <f>IF($AL612="",0,'All Ticker P&amp;L'!J612*'All Ticker P&amp;L'!I612)</f>
        <v>0</v>
      </c>
      <c r="AR612" s="266">
        <f>IF($AL612="",0,'All Ticker P&amp;L'!L612)</f>
        <v>0</v>
      </c>
      <c r="AS612" s="267">
        <f>IF($AL612="",0,'All Ticker P&amp;L'!M612)</f>
        <v>0</v>
      </c>
      <c r="AT612" s="243" t="str">
        <f>IF($AL612="","",RANK(AR612,$AR$2:$AR$1001)+COUNTIF($AR$2:AR612,AR612)-1)</f>
        <v/>
      </c>
      <c r="AU612" s="243" t="str">
        <f>IF($AL612="","",RANK(AV612,$AV$2:$AV$1001)+COUNTIF($AV$2:AV612,AV612)-1)</f>
        <v/>
      </c>
      <c r="AV612" s="266">
        <f t="shared" si="50"/>
        <v>0</v>
      </c>
    </row>
    <row r="613" spans="26:48" ht="15" customHeight="1" x14ac:dyDescent="0.2">
      <c r="Z613" s="243" t="str">
        <f>Shares!A613</f>
        <v/>
      </c>
      <c r="AA613" s="243" t="str">
        <f>Shares!B613</f>
        <v/>
      </c>
      <c r="AB613" s="243" t="str">
        <f>Shares!C613</f>
        <v/>
      </c>
      <c r="AC613" s="243" t="str">
        <f>Shares!D613</f>
        <v/>
      </c>
      <c r="AD613" s="243">
        <f>IF($Z613="",0,Shares!E613)</f>
        <v>0</v>
      </c>
      <c r="AE613" s="266">
        <f>IF($Z613="",0,Shares!J613*Shares!I613)</f>
        <v>0</v>
      </c>
      <c r="AF613" s="267">
        <f t="shared" si="49"/>
        <v>0</v>
      </c>
      <c r="AG613" s="266">
        <f>IF($Z613="",0,Shares!L613)</f>
        <v>0</v>
      </c>
      <c r="AH613" s="267">
        <f>IF($Z613="",0,Shares!M613)</f>
        <v>0</v>
      </c>
      <c r="AI613" s="243" t="str">
        <f>IF($Z613="","",RANK(AE613,$AE$2:$AE$1001)+COUNTIF($AE$2:AE613,AE613)-1)</f>
        <v/>
      </c>
      <c r="AJ613" s="243" t="str">
        <f>IF($AD613&lt;0,COUNT($AJ$1:AJ612)+1,"")</f>
        <v/>
      </c>
      <c r="AL613" s="243" t="str">
        <f>'All Ticker P&amp;L'!A613</f>
        <v/>
      </c>
      <c r="AM613" s="243" t="str">
        <f>'All Ticker P&amp;L'!B613</f>
        <v/>
      </c>
      <c r="AN613" s="243" t="str">
        <f>'All Ticker P&amp;L'!C613</f>
        <v/>
      </c>
      <c r="AO613" s="243" t="str">
        <f>'All Ticker P&amp;L'!D613</f>
        <v/>
      </c>
      <c r="AP613" s="243">
        <f>IF($AL613="",0,'All Ticker P&amp;L'!E613)</f>
        <v>0</v>
      </c>
      <c r="AQ613" s="266">
        <f>IF($AL613="",0,'All Ticker P&amp;L'!J613*'All Ticker P&amp;L'!I613)</f>
        <v>0</v>
      </c>
      <c r="AR613" s="266">
        <f>IF($AL613="",0,'All Ticker P&amp;L'!L613)</f>
        <v>0</v>
      </c>
      <c r="AS613" s="267">
        <f>IF($AL613="",0,'All Ticker P&amp;L'!M613)</f>
        <v>0</v>
      </c>
      <c r="AT613" s="243" t="str">
        <f>IF($AL613="","",RANK(AR613,$AR$2:$AR$1001)+COUNTIF($AR$2:AR613,AR613)-1)</f>
        <v/>
      </c>
      <c r="AU613" s="243" t="str">
        <f>IF($AL613="","",RANK(AV613,$AV$2:$AV$1001)+COUNTIF($AV$2:AV613,AV613)-1)</f>
        <v/>
      </c>
      <c r="AV613" s="266">
        <f t="shared" si="50"/>
        <v>0</v>
      </c>
    </row>
    <row r="614" spans="26:48" ht="15" customHeight="1" x14ac:dyDescent="0.2">
      <c r="Z614" s="243" t="str">
        <f>Shares!A614</f>
        <v/>
      </c>
      <c r="AA614" s="243" t="str">
        <f>Shares!B614</f>
        <v/>
      </c>
      <c r="AB614" s="243" t="str">
        <f>Shares!C614</f>
        <v/>
      </c>
      <c r="AC614" s="243" t="str">
        <f>Shares!D614</f>
        <v/>
      </c>
      <c r="AD614" s="243">
        <f>IF($Z614="",0,Shares!E614)</f>
        <v>0</v>
      </c>
      <c r="AE614" s="266">
        <f>IF($Z614="",0,Shares!J614*Shares!I614)</f>
        <v>0</v>
      </c>
      <c r="AF614" s="267">
        <f t="shared" si="49"/>
        <v>0</v>
      </c>
      <c r="AG614" s="266">
        <f>IF($Z614="",0,Shares!L614)</f>
        <v>0</v>
      </c>
      <c r="AH614" s="267">
        <f>IF($Z614="",0,Shares!M614)</f>
        <v>0</v>
      </c>
      <c r="AI614" s="243" t="str">
        <f>IF($Z614="","",RANK(AE614,$AE$2:$AE$1001)+COUNTIF($AE$2:AE614,AE614)-1)</f>
        <v/>
      </c>
      <c r="AJ614" s="243" t="str">
        <f>IF($AD614&lt;0,COUNT($AJ$1:AJ613)+1,"")</f>
        <v/>
      </c>
      <c r="AL614" s="243" t="str">
        <f>'All Ticker P&amp;L'!A614</f>
        <v/>
      </c>
      <c r="AM614" s="243" t="str">
        <f>'All Ticker P&amp;L'!B614</f>
        <v/>
      </c>
      <c r="AN614" s="243" t="str">
        <f>'All Ticker P&amp;L'!C614</f>
        <v/>
      </c>
      <c r="AO614" s="243" t="str">
        <f>'All Ticker P&amp;L'!D614</f>
        <v/>
      </c>
      <c r="AP614" s="243">
        <f>IF($AL614="",0,'All Ticker P&amp;L'!E614)</f>
        <v>0</v>
      </c>
      <c r="AQ614" s="266">
        <f>IF($AL614="",0,'All Ticker P&amp;L'!J614*'All Ticker P&amp;L'!I614)</f>
        <v>0</v>
      </c>
      <c r="AR614" s="266">
        <f>IF($AL614="",0,'All Ticker P&amp;L'!L614)</f>
        <v>0</v>
      </c>
      <c r="AS614" s="267">
        <f>IF($AL614="",0,'All Ticker P&amp;L'!M614)</f>
        <v>0</v>
      </c>
      <c r="AT614" s="243" t="str">
        <f>IF($AL614="","",RANK(AR614,$AR$2:$AR$1001)+COUNTIF($AR$2:AR614,AR614)-1)</f>
        <v/>
      </c>
      <c r="AU614" s="243" t="str">
        <f>IF($AL614="","",RANK(AV614,$AV$2:$AV$1001)+COUNTIF($AV$2:AV614,AV614)-1)</f>
        <v/>
      </c>
      <c r="AV614" s="266">
        <f t="shared" si="50"/>
        <v>0</v>
      </c>
    </row>
    <row r="615" spans="26:48" ht="15" customHeight="1" x14ac:dyDescent="0.2">
      <c r="Z615" s="243" t="str">
        <f>Shares!A615</f>
        <v/>
      </c>
      <c r="AA615" s="243" t="str">
        <f>Shares!B615</f>
        <v/>
      </c>
      <c r="AB615" s="243" t="str">
        <f>Shares!C615</f>
        <v/>
      </c>
      <c r="AC615" s="243" t="str">
        <f>Shares!D615</f>
        <v/>
      </c>
      <c r="AD615" s="243">
        <f>IF($Z615="",0,Shares!E615)</f>
        <v>0</v>
      </c>
      <c r="AE615" s="266">
        <f>IF($Z615="",0,Shares!J615*Shares!I615)</f>
        <v>0</v>
      </c>
      <c r="AF615" s="267">
        <f t="shared" si="49"/>
        <v>0</v>
      </c>
      <c r="AG615" s="266">
        <f>IF($Z615="",0,Shares!L615)</f>
        <v>0</v>
      </c>
      <c r="AH615" s="267">
        <f>IF($Z615="",0,Shares!M615)</f>
        <v>0</v>
      </c>
      <c r="AI615" s="243" t="str">
        <f>IF($Z615="","",RANK(AE615,$AE$2:$AE$1001)+COUNTIF($AE$2:AE615,AE615)-1)</f>
        <v/>
      </c>
      <c r="AJ615" s="243" t="str">
        <f>IF($AD615&lt;0,COUNT($AJ$1:AJ614)+1,"")</f>
        <v/>
      </c>
      <c r="AL615" s="243" t="str">
        <f>'All Ticker P&amp;L'!A615</f>
        <v/>
      </c>
      <c r="AM615" s="243" t="str">
        <f>'All Ticker P&amp;L'!B615</f>
        <v/>
      </c>
      <c r="AN615" s="243" t="str">
        <f>'All Ticker P&amp;L'!C615</f>
        <v/>
      </c>
      <c r="AO615" s="243" t="str">
        <f>'All Ticker P&amp;L'!D615</f>
        <v/>
      </c>
      <c r="AP615" s="243">
        <f>IF($AL615="",0,'All Ticker P&amp;L'!E615)</f>
        <v>0</v>
      </c>
      <c r="AQ615" s="266">
        <f>IF($AL615="",0,'All Ticker P&amp;L'!J615*'All Ticker P&amp;L'!I615)</f>
        <v>0</v>
      </c>
      <c r="AR615" s="266">
        <f>IF($AL615="",0,'All Ticker P&amp;L'!L615)</f>
        <v>0</v>
      </c>
      <c r="AS615" s="267">
        <f>IF($AL615="",0,'All Ticker P&amp;L'!M615)</f>
        <v>0</v>
      </c>
      <c r="AT615" s="243" t="str">
        <f>IF($AL615="","",RANK(AR615,$AR$2:$AR$1001)+COUNTIF($AR$2:AR615,AR615)-1)</f>
        <v/>
      </c>
      <c r="AU615" s="243" t="str">
        <f>IF($AL615="","",RANK(AV615,$AV$2:$AV$1001)+COUNTIF($AV$2:AV615,AV615)-1)</f>
        <v/>
      </c>
      <c r="AV615" s="266">
        <f t="shared" si="50"/>
        <v>0</v>
      </c>
    </row>
    <row r="616" spans="26:48" ht="15" customHeight="1" x14ac:dyDescent="0.2">
      <c r="Z616" s="243" t="str">
        <f>Shares!A616</f>
        <v/>
      </c>
      <c r="AA616" s="243" t="str">
        <f>Shares!B616</f>
        <v/>
      </c>
      <c r="AB616" s="243" t="str">
        <f>Shares!C616</f>
        <v/>
      </c>
      <c r="AC616" s="243" t="str">
        <f>Shares!D616</f>
        <v/>
      </c>
      <c r="AD616" s="243">
        <f>IF($Z616="",0,Shares!E616)</f>
        <v>0</v>
      </c>
      <c r="AE616" s="266">
        <f>IF($Z616="",0,Shares!J616*Shares!I616)</f>
        <v>0</v>
      </c>
      <c r="AF616" s="267">
        <f t="shared" si="49"/>
        <v>0</v>
      </c>
      <c r="AG616" s="266">
        <f>IF($Z616="",0,Shares!L616)</f>
        <v>0</v>
      </c>
      <c r="AH616" s="267">
        <f>IF($Z616="",0,Shares!M616)</f>
        <v>0</v>
      </c>
      <c r="AI616" s="243" t="str">
        <f>IF($Z616="","",RANK(AE616,$AE$2:$AE$1001)+COUNTIF($AE$2:AE616,AE616)-1)</f>
        <v/>
      </c>
      <c r="AJ616" s="243" t="str">
        <f>IF($AD616&lt;0,COUNT($AJ$1:AJ615)+1,"")</f>
        <v/>
      </c>
      <c r="AL616" s="243" t="str">
        <f>'All Ticker P&amp;L'!A616</f>
        <v/>
      </c>
      <c r="AM616" s="243" t="str">
        <f>'All Ticker P&amp;L'!B616</f>
        <v/>
      </c>
      <c r="AN616" s="243" t="str">
        <f>'All Ticker P&amp;L'!C616</f>
        <v/>
      </c>
      <c r="AO616" s="243" t="str">
        <f>'All Ticker P&amp;L'!D616</f>
        <v/>
      </c>
      <c r="AP616" s="243">
        <f>IF($AL616="",0,'All Ticker P&amp;L'!E616)</f>
        <v>0</v>
      </c>
      <c r="AQ616" s="266">
        <f>IF($AL616="",0,'All Ticker P&amp;L'!J616*'All Ticker P&amp;L'!I616)</f>
        <v>0</v>
      </c>
      <c r="AR616" s="266">
        <f>IF($AL616="",0,'All Ticker P&amp;L'!L616)</f>
        <v>0</v>
      </c>
      <c r="AS616" s="267">
        <f>IF($AL616="",0,'All Ticker P&amp;L'!M616)</f>
        <v>0</v>
      </c>
      <c r="AT616" s="243" t="str">
        <f>IF($AL616="","",RANK(AR616,$AR$2:$AR$1001)+COUNTIF($AR$2:AR616,AR616)-1)</f>
        <v/>
      </c>
      <c r="AU616" s="243" t="str">
        <f>IF($AL616="","",RANK(AV616,$AV$2:$AV$1001)+COUNTIF($AV$2:AV616,AV616)-1)</f>
        <v/>
      </c>
      <c r="AV616" s="266">
        <f t="shared" si="50"/>
        <v>0</v>
      </c>
    </row>
    <row r="617" spans="26:48" ht="15" customHeight="1" x14ac:dyDescent="0.2">
      <c r="Z617" s="243" t="str">
        <f>Shares!A617</f>
        <v/>
      </c>
      <c r="AA617" s="243" t="str">
        <f>Shares!B617</f>
        <v/>
      </c>
      <c r="AB617" s="243" t="str">
        <f>Shares!C617</f>
        <v/>
      </c>
      <c r="AC617" s="243" t="str">
        <f>Shares!D617</f>
        <v/>
      </c>
      <c r="AD617" s="243">
        <f>IF($Z617="",0,Shares!E617)</f>
        <v>0</v>
      </c>
      <c r="AE617" s="266">
        <f>IF($Z617="",0,Shares!J617*Shares!I617)</f>
        <v>0</v>
      </c>
      <c r="AF617" s="267">
        <f t="shared" si="49"/>
        <v>0</v>
      </c>
      <c r="AG617" s="266">
        <f>IF($Z617="",0,Shares!L617)</f>
        <v>0</v>
      </c>
      <c r="AH617" s="267">
        <f>IF($Z617="",0,Shares!M617)</f>
        <v>0</v>
      </c>
      <c r="AI617" s="243" t="str">
        <f>IF($Z617="","",RANK(AE617,$AE$2:$AE$1001)+COUNTIF($AE$2:AE617,AE617)-1)</f>
        <v/>
      </c>
      <c r="AJ617" s="243" t="str">
        <f>IF($AD617&lt;0,COUNT($AJ$1:AJ616)+1,"")</f>
        <v/>
      </c>
      <c r="AL617" s="243" t="str">
        <f>'All Ticker P&amp;L'!A617</f>
        <v/>
      </c>
      <c r="AM617" s="243" t="str">
        <f>'All Ticker P&amp;L'!B617</f>
        <v/>
      </c>
      <c r="AN617" s="243" t="str">
        <f>'All Ticker P&amp;L'!C617</f>
        <v/>
      </c>
      <c r="AO617" s="243" t="str">
        <f>'All Ticker P&amp;L'!D617</f>
        <v/>
      </c>
      <c r="AP617" s="243">
        <f>IF($AL617="",0,'All Ticker P&amp;L'!E617)</f>
        <v>0</v>
      </c>
      <c r="AQ617" s="266">
        <f>IF($AL617="",0,'All Ticker P&amp;L'!J617*'All Ticker P&amp;L'!I617)</f>
        <v>0</v>
      </c>
      <c r="AR617" s="266">
        <f>IF($AL617="",0,'All Ticker P&amp;L'!L617)</f>
        <v>0</v>
      </c>
      <c r="AS617" s="267">
        <f>IF($AL617="",0,'All Ticker P&amp;L'!M617)</f>
        <v>0</v>
      </c>
      <c r="AT617" s="243" t="str">
        <f>IF($AL617="","",RANK(AR617,$AR$2:$AR$1001)+COUNTIF($AR$2:AR617,AR617)-1)</f>
        <v/>
      </c>
      <c r="AU617" s="243" t="str">
        <f>IF($AL617="","",RANK(AV617,$AV$2:$AV$1001)+COUNTIF($AV$2:AV617,AV617)-1)</f>
        <v/>
      </c>
      <c r="AV617" s="266">
        <f t="shared" si="50"/>
        <v>0</v>
      </c>
    </row>
    <row r="618" spans="26:48" ht="15" customHeight="1" x14ac:dyDescent="0.2">
      <c r="Z618" s="243" t="str">
        <f>Shares!A618</f>
        <v/>
      </c>
      <c r="AA618" s="243" t="str">
        <f>Shares!B618</f>
        <v/>
      </c>
      <c r="AB618" s="243" t="str">
        <f>Shares!C618</f>
        <v/>
      </c>
      <c r="AC618" s="243" t="str">
        <f>Shares!D618</f>
        <v/>
      </c>
      <c r="AD618" s="243">
        <f>IF($Z618="",0,Shares!E618)</f>
        <v>0</v>
      </c>
      <c r="AE618" s="266">
        <f>IF($Z618="",0,Shares!J618*Shares!I618)</f>
        <v>0</v>
      </c>
      <c r="AF618" s="267">
        <f t="shared" si="49"/>
        <v>0</v>
      </c>
      <c r="AG618" s="266">
        <f>IF($Z618="",0,Shares!L618)</f>
        <v>0</v>
      </c>
      <c r="AH618" s="267">
        <f>IF($Z618="",0,Shares!M618)</f>
        <v>0</v>
      </c>
      <c r="AI618" s="243" t="str">
        <f>IF($Z618="","",RANK(AE618,$AE$2:$AE$1001)+COUNTIF($AE$2:AE618,AE618)-1)</f>
        <v/>
      </c>
      <c r="AJ618" s="243" t="str">
        <f>IF($AD618&lt;0,COUNT($AJ$1:AJ617)+1,"")</f>
        <v/>
      </c>
      <c r="AL618" s="243" t="str">
        <f>'All Ticker P&amp;L'!A618</f>
        <v/>
      </c>
      <c r="AM618" s="243" t="str">
        <f>'All Ticker P&amp;L'!B618</f>
        <v/>
      </c>
      <c r="AN618" s="243" t="str">
        <f>'All Ticker P&amp;L'!C618</f>
        <v/>
      </c>
      <c r="AO618" s="243" t="str">
        <f>'All Ticker P&amp;L'!D618</f>
        <v/>
      </c>
      <c r="AP618" s="243">
        <f>IF($AL618="",0,'All Ticker P&amp;L'!E618)</f>
        <v>0</v>
      </c>
      <c r="AQ618" s="266">
        <f>IF($AL618="",0,'All Ticker P&amp;L'!J618*'All Ticker P&amp;L'!I618)</f>
        <v>0</v>
      </c>
      <c r="AR618" s="266">
        <f>IF($AL618="",0,'All Ticker P&amp;L'!L618)</f>
        <v>0</v>
      </c>
      <c r="AS618" s="267">
        <f>IF($AL618="",0,'All Ticker P&amp;L'!M618)</f>
        <v>0</v>
      </c>
      <c r="AT618" s="243" t="str">
        <f>IF($AL618="","",RANK(AR618,$AR$2:$AR$1001)+COUNTIF($AR$2:AR618,AR618)-1)</f>
        <v/>
      </c>
      <c r="AU618" s="243" t="str">
        <f>IF($AL618="","",RANK(AV618,$AV$2:$AV$1001)+COUNTIF($AV$2:AV618,AV618)-1)</f>
        <v/>
      </c>
      <c r="AV618" s="266">
        <f t="shared" si="50"/>
        <v>0</v>
      </c>
    </row>
    <row r="619" spans="26:48" ht="15" customHeight="1" x14ac:dyDescent="0.2">
      <c r="Z619" s="243" t="str">
        <f>Shares!A619</f>
        <v/>
      </c>
      <c r="AA619" s="243" t="str">
        <f>Shares!B619</f>
        <v/>
      </c>
      <c r="AB619" s="243" t="str">
        <f>Shares!C619</f>
        <v/>
      </c>
      <c r="AC619" s="243" t="str">
        <f>Shares!D619</f>
        <v/>
      </c>
      <c r="AD619" s="243">
        <f>IF($Z619="",0,Shares!E619)</f>
        <v>0</v>
      </c>
      <c r="AE619" s="266">
        <f>IF($Z619="",0,Shares!J619*Shares!I619)</f>
        <v>0</v>
      </c>
      <c r="AF619" s="267">
        <f t="shared" si="49"/>
        <v>0</v>
      </c>
      <c r="AG619" s="266">
        <f>IF($Z619="",0,Shares!L619)</f>
        <v>0</v>
      </c>
      <c r="AH619" s="267">
        <f>IF($Z619="",0,Shares!M619)</f>
        <v>0</v>
      </c>
      <c r="AI619" s="243" t="str">
        <f>IF($Z619="","",RANK(AE619,$AE$2:$AE$1001)+COUNTIF($AE$2:AE619,AE619)-1)</f>
        <v/>
      </c>
      <c r="AJ619" s="243" t="str">
        <f>IF($AD619&lt;0,COUNT($AJ$1:AJ618)+1,"")</f>
        <v/>
      </c>
      <c r="AL619" s="243" t="str">
        <f>'All Ticker P&amp;L'!A619</f>
        <v/>
      </c>
      <c r="AM619" s="243" t="str">
        <f>'All Ticker P&amp;L'!B619</f>
        <v/>
      </c>
      <c r="AN619" s="243" t="str">
        <f>'All Ticker P&amp;L'!C619</f>
        <v/>
      </c>
      <c r="AO619" s="243" t="str">
        <f>'All Ticker P&amp;L'!D619</f>
        <v/>
      </c>
      <c r="AP619" s="243">
        <f>IF($AL619="",0,'All Ticker P&amp;L'!E619)</f>
        <v>0</v>
      </c>
      <c r="AQ619" s="266">
        <f>IF($AL619="",0,'All Ticker P&amp;L'!J619*'All Ticker P&amp;L'!I619)</f>
        <v>0</v>
      </c>
      <c r="AR619" s="266">
        <f>IF($AL619="",0,'All Ticker P&amp;L'!L619)</f>
        <v>0</v>
      </c>
      <c r="AS619" s="267">
        <f>IF($AL619="",0,'All Ticker P&amp;L'!M619)</f>
        <v>0</v>
      </c>
      <c r="AT619" s="243" t="str">
        <f>IF($AL619="","",RANK(AR619,$AR$2:$AR$1001)+COUNTIF($AR$2:AR619,AR619)-1)</f>
        <v/>
      </c>
      <c r="AU619" s="243" t="str">
        <f>IF($AL619="","",RANK(AV619,$AV$2:$AV$1001)+COUNTIF($AV$2:AV619,AV619)-1)</f>
        <v/>
      </c>
      <c r="AV619" s="266">
        <f t="shared" si="50"/>
        <v>0</v>
      </c>
    </row>
    <row r="620" spans="26:48" ht="15" customHeight="1" x14ac:dyDescent="0.2">
      <c r="Z620" s="243" t="str">
        <f>Shares!A620</f>
        <v/>
      </c>
      <c r="AA620" s="243" t="str">
        <f>Shares!B620</f>
        <v/>
      </c>
      <c r="AB620" s="243" t="str">
        <f>Shares!C620</f>
        <v/>
      </c>
      <c r="AC620" s="243" t="str">
        <f>Shares!D620</f>
        <v/>
      </c>
      <c r="AD620" s="243">
        <f>IF($Z620="",0,Shares!E620)</f>
        <v>0</v>
      </c>
      <c r="AE620" s="266">
        <f>IF($Z620="",0,Shares!J620*Shares!I620)</f>
        <v>0</v>
      </c>
      <c r="AF620" s="267">
        <f t="shared" si="49"/>
        <v>0</v>
      </c>
      <c r="AG620" s="266">
        <f>IF($Z620="",0,Shares!L620)</f>
        <v>0</v>
      </c>
      <c r="AH620" s="267">
        <f>IF($Z620="",0,Shares!M620)</f>
        <v>0</v>
      </c>
      <c r="AI620" s="243" t="str">
        <f>IF($Z620="","",RANK(AE620,$AE$2:$AE$1001)+COUNTIF($AE$2:AE620,AE620)-1)</f>
        <v/>
      </c>
      <c r="AJ620" s="243" t="str">
        <f>IF($AD620&lt;0,COUNT($AJ$1:AJ619)+1,"")</f>
        <v/>
      </c>
      <c r="AL620" s="243" t="str">
        <f>'All Ticker P&amp;L'!A620</f>
        <v/>
      </c>
      <c r="AM620" s="243" t="str">
        <f>'All Ticker P&amp;L'!B620</f>
        <v/>
      </c>
      <c r="AN620" s="243" t="str">
        <f>'All Ticker P&amp;L'!C620</f>
        <v/>
      </c>
      <c r="AO620" s="243" t="str">
        <f>'All Ticker P&amp;L'!D620</f>
        <v/>
      </c>
      <c r="AP620" s="243">
        <f>IF($AL620="",0,'All Ticker P&amp;L'!E620)</f>
        <v>0</v>
      </c>
      <c r="AQ620" s="266">
        <f>IF($AL620="",0,'All Ticker P&amp;L'!J620*'All Ticker P&amp;L'!I620)</f>
        <v>0</v>
      </c>
      <c r="AR620" s="266">
        <f>IF($AL620="",0,'All Ticker P&amp;L'!L620)</f>
        <v>0</v>
      </c>
      <c r="AS620" s="267">
        <f>IF($AL620="",0,'All Ticker P&amp;L'!M620)</f>
        <v>0</v>
      </c>
      <c r="AT620" s="243" t="str">
        <f>IF($AL620="","",RANK(AR620,$AR$2:$AR$1001)+COUNTIF($AR$2:AR620,AR620)-1)</f>
        <v/>
      </c>
      <c r="AU620" s="243" t="str">
        <f>IF($AL620="","",RANK(AV620,$AV$2:$AV$1001)+COUNTIF($AV$2:AV620,AV620)-1)</f>
        <v/>
      </c>
      <c r="AV620" s="266">
        <f t="shared" si="50"/>
        <v>0</v>
      </c>
    </row>
    <row r="621" spans="26:48" ht="15" customHeight="1" x14ac:dyDescent="0.2">
      <c r="Z621" s="243" t="str">
        <f>Shares!A621</f>
        <v/>
      </c>
      <c r="AA621" s="243" t="str">
        <f>Shares!B621</f>
        <v/>
      </c>
      <c r="AB621" s="243" t="str">
        <f>Shares!C621</f>
        <v/>
      </c>
      <c r="AC621" s="243" t="str">
        <f>Shares!D621</f>
        <v/>
      </c>
      <c r="AD621" s="243">
        <f>IF($Z621="",0,Shares!E621)</f>
        <v>0</v>
      </c>
      <c r="AE621" s="266">
        <f>IF($Z621="",0,Shares!J621*Shares!I621)</f>
        <v>0</v>
      </c>
      <c r="AF621" s="267">
        <f t="shared" si="49"/>
        <v>0</v>
      </c>
      <c r="AG621" s="266">
        <f>IF($Z621="",0,Shares!L621)</f>
        <v>0</v>
      </c>
      <c r="AH621" s="267">
        <f>IF($Z621="",0,Shares!M621)</f>
        <v>0</v>
      </c>
      <c r="AI621" s="243" t="str">
        <f>IF($Z621="","",RANK(AE621,$AE$2:$AE$1001)+COUNTIF($AE$2:AE621,AE621)-1)</f>
        <v/>
      </c>
      <c r="AJ621" s="243" t="str">
        <f>IF($AD621&lt;0,COUNT($AJ$1:AJ620)+1,"")</f>
        <v/>
      </c>
      <c r="AL621" s="243" t="str">
        <f>'All Ticker P&amp;L'!A621</f>
        <v/>
      </c>
      <c r="AM621" s="243" t="str">
        <f>'All Ticker P&amp;L'!B621</f>
        <v/>
      </c>
      <c r="AN621" s="243" t="str">
        <f>'All Ticker P&amp;L'!C621</f>
        <v/>
      </c>
      <c r="AO621" s="243" t="str">
        <f>'All Ticker P&amp;L'!D621</f>
        <v/>
      </c>
      <c r="AP621" s="243">
        <f>IF($AL621="",0,'All Ticker P&amp;L'!E621)</f>
        <v>0</v>
      </c>
      <c r="AQ621" s="266">
        <f>IF($AL621="",0,'All Ticker P&amp;L'!J621*'All Ticker P&amp;L'!I621)</f>
        <v>0</v>
      </c>
      <c r="AR621" s="266">
        <f>IF($AL621="",0,'All Ticker P&amp;L'!L621)</f>
        <v>0</v>
      </c>
      <c r="AS621" s="267">
        <f>IF($AL621="",0,'All Ticker P&amp;L'!M621)</f>
        <v>0</v>
      </c>
      <c r="AT621" s="243" t="str">
        <f>IF($AL621="","",RANK(AR621,$AR$2:$AR$1001)+COUNTIF($AR$2:AR621,AR621)-1)</f>
        <v/>
      </c>
      <c r="AU621" s="243" t="str">
        <f>IF($AL621="","",RANK(AV621,$AV$2:$AV$1001)+COUNTIF($AV$2:AV621,AV621)-1)</f>
        <v/>
      </c>
      <c r="AV621" s="266">
        <f t="shared" si="50"/>
        <v>0</v>
      </c>
    </row>
    <row r="622" spans="26:48" ht="15" customHeight="1" x14ac:dyDescent="0.2">
      <c r="Z622" s="243" t="str">
        <f>Shares!A622</f>
        <v/>
      </c>
      <c r="AA622" s="243" t="str">
        <f>Shares!B622</f>
        <v/>
      </c>
      <c r="AB622" s="243" t="str">
        <f>Shares!C622</f>
        <v/>
      </c>
      <c r="AC622" s="243" t="str">
        <f>Shares!D622</f>
        <v/>
      </c>
      <c r="AD622" s="243">
        <f>IF($Z622="",0,Shares!E622)</f>
        <v>0</v>
      </c>
      <c r="AE622" s="266">
        <f>IF($Z622="",0,Shares!J622*Shares!I622)</f>
        <v>0</v>
      </c>
      <c r="AF622" s="267">
        <f t="shared" si="49"/>
        <v>0</v>
      </c>
      <c r="AG622" s="266">
        <f>IF($Z622="",0,Shares!L622)</f>
        <v>0</v>
      </c>
      <c r="AH622" s="267">
        <f>IF($Z622="",0,Shares!M622)</f>
        <v>0</v>
      </c>
      <c r="AI622" s="243" t="str">
        <f>IF($Z622="","",RANK(AE622,$AE$2:$AE$1001)+COUNTIF($AE$2:AE622,AE622)-1)</f>
        <v/>
      </c>
      <c r="AJ622" s="243" t="str">
        <f>IF($AD622&lt;0,COUNT($AJ$1:AJ621)+1,"")</f>
        <v/>
      </c>
      <c r="AL622" s="243" t="str">
        <f>'All Ticker P&amp;L'!A622</f>
        <v/>
      </c>
      <c r="AM622" s="243" t="str">
        <f>'All Ticker P&amp;L'!B622</f>
        <v/>
      </c>
      <c r="AN622" s="243" t="str">
        <f>'All Ticker P&amp;L'!C622</f>
        <v/>
      </c>
      <c r="AO622" s="243" t="str">
        <f>'All Ticker P&amp;L'!D622</f>
        <v/>
      </c>
      <c r="AP622" s="243">
        <f>IF($AL622="",0,'All Ticker P&amp;L'!E622)</f>
        <v>0</v>
      </c>
      <c r="AQ622" s="266">
        <f>IF($AL622="",0,'All Ticker P&amp;L'!J622*'All Ticker P&amp;L'!I622)</f>
        <v>0</v>
      </c>
      <c r="AR622" s="266">
        <f>IF($AL622="",0,'All Ticker P&amp;L'!L622)</f>
        <v>0</v>
      </c>
      <c r="AS622" s="267">
        <f>IF($AL622="",0,'All Ticker P&amp;L'!M622)</f>
        <v>0</v>
      </c>
      <c r="AT622" s="243" t="str">
        <f>IF($AL622="","",RANK(AR622,$AR$2:$AR$1001)+COUNTIF($AR$2:AR622,AR622)-1)</f>
        <v/>
      </c>
      <c r="AU622" s="243" t="str">
        <f>IF($AL622="","",RANK(AV622,$AV$2:$AV$1001)+COUNTIF($AV$2:AV622,AV622)-1)</f>
        <v/>
      </c>
      <c r="AV622" s="266">
        <f t="shared" si="50"/>
        <v>0</v>
      </c>
    </row>
    <row r="623" spans="26:48" ht="15" customHeight="1" x14ac:dyDescent="0.2">
      <c r="Z623" s="243" t="str">
        <f>Shares!A623</f>
        <v/>
      </c>
      <c r="AA623" s="243" t="str">
        <f>Shares!B623</f>
        <v/>
      </c>
      <c r="AB623" s="243" t="str">
        <f>Shares!C623</f>
        <v/>
      </c>
      <c r="AC623" s="243" t="str">
        <f>Shares!D623</f>
        <v/>
      </c>
      <c r="AD623" s="243">
        <f>IF($Z623="",0,Shares!E623)</f>
        <v>0</v>
      </c>
      <c r="AE623" s="266">
        <f>IF($Z623="",0,Shares!J623*Shares!I623)</f>
        <v>0</v>
      </c>
      <c r="AF623" s="267">
        <f t="shared" si="49"/>
        <v>0</v>
      </c>
      <c r="AG623" s="266">
        <f>IF($Z623="",0,Shares!L623)</f>
        <v>0</v>
      </c>
      <c r="AH623" s="267">
        <f>IF($Z623="",0,Shares!M623)</f>
        <v>0</v>
      </c>
      <c r="AI623" s="243" t="str">
        <f>IF($Z623="","",RANK(AE623,$AE$2:$AE$1001)+COUNTIF($AE$2:AE623,AE623)-1)</f>
        <v/>
      </c>
      <c r="AJ623" s="243" t="str">
        <f>IF($AD623&lt;0,COUNT($AJ$1:AJ622)+1,"")</f>
        <v/>
      </c>
      <c r="AL623" s="243" t="str">
        <f>'All Ticker P&amp;L'!A623</f>
        <v/>
      </c>
      <c r="AM623" s="243" t="str">
        <f>'All Ticker P&amp;L'!B623</f>
        <v/>
      </c>
      <c r="AN623" s="243" t="str">
        <f>'All Ticker P&amp;L'!C623</f>
        <v/>
      </c>
      <c r="AO623" s="243" t="str">
        <f>'All Ticker P&amp;L'!D623</f>
        <v/>
      </c>
      <c r="AP623" s="243">
        <f>IF($AL623="",0,'All Ticker P&amp;L'!E623)</f>
        <v>0</v>
      </c>
      <c r="AQ623" s="266">
        <f>IF($AL623="",0,'All Ticker P&amp;L'!J623*'All Ticker P&amp;L'!I623)</f>
        <v>0</v>
      </c>
      <c r="AR623" s="266">
        <f>IF($AL623="",0,'All Ticker P&amp;L'!L623)</f>
        <v>0</v>
      </c>
      <c r="AS623" s="267">
        <f>IF($AL623="",0,'All Ticker P&amp;L'!M623)</f>
        <v>0</v>
      </c>
      <c r="AT623" s="243" t="str">
        <f>IF($AL623="","",RANK(AR623,$AR$2:$AR$1001)+COUNTIF($AR$2:AR623,AR623)-1)</f>
        <v/>
      </c>
      <c r="AU623" s="243" t="str">
        <f>IF($AL623="","",RANK(AV623,$AV$2:$AV$1001)+COUNTIF($AV$2:AV623,AV623)-1)</f>
        <v/>
      </c>
      <c r="AV623" s="266">
        <f t="shared" si="50"/>
        <v>0</v>
      </c>
    </row>
    <row r="624" spans="26:48" ht="15" customHeight="1" x14ac:dyDescent="0.2">
      <c r="Z624" s="243" t="str">
        <f>Shares!A624</f>
        <v/>
      </c>
      <c r="AA624" s="243" t="str">
        <f>Shares!B624</f>
        <v/>
      </c>
      <c r="AB624" s="243" t="str">
        <f>Shares!C624</f>
        <v/>
      </c>
      <c r="AC624" s="243" t="str">
        <f>Shares!D624</f>
        <v/>
      </c>
      <c r="AD624" s="243">
        <f>IF($Z624="",0,Shares!E624)</f>
        <v>0</v>
      </c>
      <c r="AE624" s="266">
        <f>IF($Z624="",0,Shares!J624*Shares!I624)</f>
        <v>0</v>
      </c>
      <c r="AF624" s="267">
        <f t="shared" si="49"/>
        <v>0</v>
      </c>
      <c r="AG624" s="266">
        <f>IF($Z624="",0,Shares!L624)</f>
        <v>0</v>
      </c>
      <c r="AH624" s="267">
        <f>IF($Z624="",0,Shares!M624)</f>
        <v>0</v>
      </c>
      <c r="AI624" s="243" t="str">
        <f>IF($Z624="","",RANK(AE624,$AE$2:$AE$1001)+COUNTIF($AE$2:AE624,AE624)-1)</f>
        <v/>
      </c>
      <c r="AJ624" s="243" t="str">
        <f>IF($AD624&lt;0,COUNT($AJ$1:AJ623)+1,"")</f>
        <v/>
      </c>
      <c r="AL624" s="243" t="str">
        <f>'All Ticker P&amp;L'!A624</f>
        <v/>
      </c>
      <c r="AM624" s="243" t="str">
        <f>'All Ticker P&amp;L'!B624</f>
        <v/>
      </c>
      <c r="AN624" s="243" t="str">
        <f>'All Ticker P&amp;L'!C624</f>
        <v/>
      </c>
      <c r="AO624" s="243" t="str">
        <f>'All Ticker P&amp;L'!D624</f>
        <v/>
      </c>
      <c r="AP624" s="243">
        <f>IF($AL624="",0,'All Ticker P&amp;L'!E624)</f>
        <v>0</v>
      </c>
      <c r="AQ624" s="266">
        <f>IF($AL624="",0,'All Ticker P&amp;L'!J624*'All Ticker P&amp;L'!I624)</f>
        <v>0</v>
      </c>
      <c r="AR624" s="266">
        <f>IF($AL624="",0,'All Ticker P&amp;L'!L624)</f>
        <v>0</v>
      </c>
      <c r="AS624" s="267">
        <f>IF($AL624="",0,'All Ticker P&amp;L'!M624)</f>
        <v>0</v>
      </c>
      <c r="AT624" s="243" t="str">
        <f>IF($AL624="","",RANK(AR624,$AR$2:$AR$1001)+COUNTIF($AR$2:AR624,AR624)-1)</f>
        <v/>
      </c>
      <c r="AU624" s="243" t="str">
        <f>IF($AL624="","",RANK(AV624,$AV$2:$AV$1001)+COUNTIF($AV$2:AV624,AV624)-1)</f>
        <v/>
      </c>
      <c r="AV624" s="266">
        <f t="shared" si="50"/>
        <v>0</v>
      </c>
    </row>
    <row r="625" spans="26:48" ht="15" customHeight="1" x14ac:dyDescent="0.2">
      <c r="Z625" s="243" t="str">
        <f>Shares!A625</f>
        <v/>
      </c>
      <c r="AA625" s="243" t="str">
        <f>Shares!B625</f>
        <v/>
      </c>
      <c r="AB625" s="243" t="str">
        <f>Shares!C625</f>
        <v/>
      </c>
      <c r="AC625" s="243" t="str">
        <f>Shares!D625</f>
        <v/>
      </c>
      <c r="AD625" s="243">
        <f>IF($Z625="",0,Shares!E625)</f>
        <v>0</v>
      </c>
      <c r="AE625" s="266">
        <f>IF($Z625="",0,Shares!J625*Shares!I625)</f>
        <v>0</v>
      </c>
      <c r="AF625" s="267">
        <f t="shared" si="49"/>
        <v>0</v>
      </c>
      <c r="AG625" s="266">
        <f>IF($Z625="",0,Shares!L625)</f>
        <v>0</v>
      </c>
      <c r="AH625" s="267">
        <f>IF($Z625="",0,Shares!M625)</f>
        <v>0</v>
      </c>
      <c r="AI625" s="243" t="str">
        <f>IF($Z625="","",RANK(AE625,$AE$2:$AE$1001)+COUNTIF($AE$2:AE625,AE625)-1)</f>
        <v/>
      </c>
      <c r="AJ625" s="243" t="str">
        <f>IF($AD625&lt;0,COUNT($AJ$1:AJ624)+1,"")</f>
        <v/>
      </c>
      <c r="AL625" s="243" t="str">
        <f>'All Ticker P&amp;L'!A625</f>
        <v/>
      </c>
      <c r="AM625" s="243" t="str">
        <f>'All Ticker P&amp;L'!B625</f>
        <v/>
      </c>
      <c r="AN625" s="243" t="str">
        <f>'All Ticker P&amp;L'!C625</f>
        <v/>
      </c>
      <c r="AO625" s="243" t="str">
        <f>'All Ticker P&amp;L'!D625</f>
        <v/>
      </c>
      <c r="AP625" s="243">
        <f>IF($AL625="",0,'All Ticker P&amp;L'!E625)</f>
        <v>0</v>
      </c>
      <c r="AQ625" s="266">
        <f>IF($AL625="",0,'All Ticker P&amp;L'!J625*'All Ticker P&amp;L'!I625)</f>
        <v>0</v>
      </c>
      <c r="AR625" s="266">
        <f>IF($AL625="",0,'All Ticker P&amp;L'!L625)</f>
        <v>0</v>
      </c>
      <c r="AS625" s="267">
        <f>IF($AL625="",0,'All Ticker P&amp;L'!M625)</f>
        <v>0</v>
      </c>
      <c r="AT625" s="243" t="str">
        <f>IF($AL625="","",RANK(AR625,$AR$2:$AR$1001)+COUNTIF($AR$2:AR625,AR625)-1)</f>
        <v/>
      </c>
      <c r="AU625" s="243" t="str">
        <f>IF($AL625="","",RANK(AV625,$AV$2:$AV$1001)+COUNTIF($AV$2:AV625,AV625)-1)</f>
        <v/>
      </c>
      <c r="AV625" s="266">
        <f t="shared" si="50"/>
        <v>0</v>
      </c>
    </row>
    <row r="626" spans="26:48" ht="15" customHeight="1" x14ac:dyDescent="0.2">
      <c r="Z626" s="243" t="str">
        <f>Shares!A626</f>
        <v/>
      </c>
      <c r="AA626" s="243" t="str">
        <f>Shares!B626</f>
        <v/>
      </c>
      <c r="AB626" s="243" t="str">
        <f>Shares!C626</f>
        <v/>
      </c>
      <c r="AC626" s="243" t="str">
        <f>Shares!D626</f>
        <v/>
      </c>
      <c r="AD626" s="243">
        <f>IF($Z626="",0,Shares!E626)</f>
        <v>0</v>
      </c>
      <c r="AE626" s="266">
        <f>IF($Z626="",0,Shares!J626*Shares!I626)</f>
        <v>0</v>
      </c>
      <c r="AF626" s="267">
        <f t="shared" si="49"/>
        <v>0</v>
      </c>
      <c r="AG626" s="266">
        <f>IF($Z626="",0,Shares!L626)</f>
        <v>0</v>
      </c>
      <c r="AH626" s="267">
        <f>IF($Z626="",0,Shares!M626)</f>
        <v>0</v>
      </c>
      <c r="AI626" s="243" t="str">
        <f>IF($Z626="","",RANK(AE626,$AE$2:$AE$1001)+COUNTIF($AE$2:AE626,AE626)-1)</f>
        <v/>
      </c>
      <c r="AJ626" s="243" t="str">
        <f>IF($AD626&lt;0,COUNT($AJ$1:AJ625)+1,"")</f>
        <v/>
      </c>
      <c r="AL626" s="243" t="str">
        <f>'All Ticker P&amp;L'!A626</f>
        <v/>
      </c>
      <c r="AM626" s="243" t="str">
        <f>'All Ticker P&amp;L'!B626</f>
        <v/>
      </c>
      <c r="AN626" s="243" t="str">
        <f>'All Ticker P&amp;L'!C626</f>
        <v/>
      </c>
      <c r="AO626" s="243" t="str">
        <f>'All Ticker P&amp;L'!D626</f>
        <v/>
      </c>
      <c r="AP626" s="243">
        <f>IF($AL626="",0,'All Ticker P&amp;L'!E626)</f>
        <v>0</v>
      </c>
      <c r="AQ626" s="266">
        <f>IF($AL626="",0,'All Ticker P&amp;L'!J626*'All Ticker P&amp;L'!I626)</f>
        <v>0</v>
      </c>
      <c r="AR626" s="266">
        <f>IF($AL626="",0,'All Ticker P&amp;L'!L626)</f>
        <v>0</v>
      </c>
      <c r="AS626" s="267">
        <f>IF($AL626="",0,'All Ticker P&amp;L'!M626)</f>
        <v>0</v>
      </c>
      <c r="AT626" s="243" t="str">
        <f>IF($AL626="","",RANK(AR626,$AR$2:$AR$1001)+COUNTIF($AR$2:AR626,AR626)-1)</f>
        <v/>
      </c>
      <c r="AU626" s="243" t="str">
        <f>IF($AL626="","",RANK(AV626,$AV$2:$AV$1001)+COUNTIF($AV$2:AV626,AV626)-1)</f>
        <v/>
      </c>
      <c r="AV626" s="266">
        <f t="shared" si="50"/>
        <v>0</v>
      </c>
    </row>
    <row r="627" spans="26:48" ht="15" customHeight="1" x14ac:dyDescent="0.2">
      <c r="Z627" s="243" t="str">
        <f>Shares!A627</f>
        <v/>
      </c>
      <c r="AA627" s="243" t="str">
        <f>Shares!B627</f>
        <v/>
      </c>
      <c r="AB627" s="243" t="str">
        <f>Shares!C627</f>
        <v/>
      </c>
      <c r="AC627" s="243" t="str">
        <f>Shares!D627</f>
        <v/>
      </c>
      <c r="AD627" s="243">
        <f>IF($Z627="",0,Shares!E627)</f>
        <v>0</v>
      </c>
      <c r="AE627" s="266">
        <f>IF($Z627="",0,Shares!J627*Shares!I627)</f>
        <v>0</v>
      </c>
      <c r="AF627" s="267">
        <f t="shared" si="49"/>
        <v>0</v>
      </c>
      <c r="AG627" s="266">
        <f>IF($Z627="",0,Shares!L627)</f>
        <v>0</v>
      </c>
      <c r="AH627" s="267">
        <f>IF($Z627="",0,Shares!M627)</f>
        <v>0</v>
      </c>
      <c r="AI627" s="243" t="str">
        <f>IF($Z627="","",RANK(AE627,$AE$2:$AE$1001)+COUNTIF($AE$2:AE627,AE627)-1)</f>
        <v/>
      </c>
      <c r="AJ627" s="243" t="str">
        <f>IF($AD627&lt;0,COUNT($AJ$1:AJ626)+1,"")</f>
        <v/>
      </c>
      <c r="AL627" s="243" t="str">
        <f>'All Ticker P&amp;L'!A627</f>
        <v/>
      </c>
      <c r="AM627" s="243" t="str">
        <f>'All Ticker P&amp;L'!B627</f>
        <v/>
      </c>
      <c r="AN627" s="243" t="str">
        <f>'All Ticker P&amp;L'!C627</f>
        <v/>
      </c>
      <c r="AO627" s="243" t="str">
        <f>'All Ticker P&amp;L'!D627</f>
        <v/>
      </c>
      <c r="AP627" s="243">
        <f>IF($AL627="",0,'All Ticker P&amp;L'!E627)</f>
        <v>0</v>
      </c>
      <c r="AQ627" s="266">
        <f>IF($AL627="",0,'All Ticker P&amp;L'!J627*'All Ticker P&amp;L'!I627)</f>
        <v>0</v>
      </c>
      <c r="AR627" s="266">
        <f>IF($AL627="",0,'All Ticker P&amp;L'!L627)</f>
        <v>0</v>
      </c>
      <c r="AS627" s="267">
        <f>IF($AL627="",0,'All Ticker P&amp;L'!M627)</f>
        <v>0</v>
      </c>
      <c r="AT627" s="243" t="str">
        <f>IF($AL627="","",RANK(AR627,$AR$2:$AR$1001)+COUNTIF($AR$2:AR627,AR627)-1)</f>
        <v/>
      </c>
      <c r="AU627" s="243" t="str">
        <f>IF($AL627="","",RANK(AV627,$AV$2:$AV$1001)+COUNTIF($AV$2:AV627,AV627)-1)</f>
        <v/>
      </c>
      <c r="AV627" s="266">
        <f t="shared" si="50"/>
        <v>0</v>
      </c>
    </row>
    <row r="628" spans="26:48" ht="15" customHeight="1" x14ac:dyDescent="0.2">
      <c r="Z628" s="243" t="str">
        <f>Shares!A628</f>
        <v/>
      </c>
      <c r="AA628" s="243" t="str">
        <f>Shares!B628</f>
        <v/>
      </c>
      <c r="AB628" s="243" t="str">
        <f>Shares!C628</f>
        <v/>
      </c>
      <c r="AC628" s="243" t="str">
        <f>Shares!D628</f>
        <v/>
      </c>
      <c r="AD628" s="243">
        <f>IF($Z628="",0,Shares!E628)</f>
        <v>0</v>
      </c>
      <c r="AE628" s="266">
        <f>IF($Z628="",0,Shares!J628*Shares!I628)</f>
        <v>0</v>
      </c>
      <c r="AF628" s="267">
        <f t="shared" si="49"/>
        <v>0</v>
      </c>
      <c r="AG628" s="266">
        <f>IF($Z628="",0,Shares!L628)</f>
        <v>0</v>
      </c>
      <c r="AH628" s="267">
        <f>IF($Z628="",0,Shares!M628)</f>
        <v>0</v>
      </c>
      <c r="AI628" s="243" t="str">
        <f>IF($Z628="","",RANK(AE628,$AE$2:$AE$1001)+COUNTIF($AE$2:AE628,AE628)-1)</f>
        <v/>
      </c>
      <c r="AJ628" s="243" t="str">
        <f>IF($AD628&lt;0,COUNT($AJ$1:AJ627)+1,"")</f>
        <v/>
      </c>
      <c r="AL628" s="243" t="str">
        <f>'All Ticker P&amp;L'!A628</f>
        <v/>
      </c>
      <c r="AM628" s="243" t="str">
        <f>'All Ticker P&amp;L'!B628</f>
        <v/>
      </c>
      <c r="AN628" s="243" t="str">
        <f>'All Ticker P&amp;L'!C628</f>
        <v/>
      </c>
      <c r="AO628" s="243" t="str">
        <f>'All Ticker P&amp;L'!D628</f>
        <v/>
      </c>
      <c r="AP628" s="243">
        <f>IF($AL628="",0,'All Ticker P&amp;L'!E628)</f>
        <v>0</v>
      </c>
      <c r="AQ628" s="266">
        <f>IF($AL628="",0,'All Ticker P&amp;L'!J628*'All Ticker P&amp;L'!I628)</f>
        <v>0</v>
      </c>
      <c r="AR628" s="266">
        <f>IF($AL628="",0,'All Ticker P&amp;L'!L628)</f>
        <v>0</v>
      </c>
      <c r="AS628" s="267">
        <f>IF($AL628="",0,'All Ticker P&amp;L'!M628)</f>
        <v>0</v>
      </c>
      <c r="AT628" s="243" t="str">
        <f>IF($AL628="","",RANK(AR628,$AR$2:$AR$1001)+COUNTIF($AR$2:AR628,AR628)-1)</f>
        <v/>
      </c>
      <c r="AU628" s="243" t="str">
        <f>IF($AL628="","",RANK(AV628,$AV$2:$AV$1001)+COUNTIF($AV$2:AV628,AV628)-1)</f>
        <v/>
      </c>
      <c r="AV628" s="266">
        <f t="shared" si="50"/>
        <v>0</v>
      </c>
    </row>
    <row r="629" spans="26:48" ht="15" customHeight="1" x14ac:dyDescent="0.2">
      <c r="Z629" s="243" t="str">
        <f>Shares!A629</f>
        <v/>
      </c>
      <c r="AA629" s="243" t="str">
        <f>Shares!B629</f>
        <v/>
      </c>
      <c r="AB629" s="243" t="str">
        <f>Shares!C629</f>
        <v/>
      </c>
      <c r="AC629" s="243" t="str">
        <f>Shares!D629</f>
        <v/>
      </c>
      <c r="AD629" s="243">
        <f>IF($Z629="",0,Shares!E629)</f>
        <v>0</v>
      </c>
      <c r="AE629" s="266">
        <f>IF($Z629="",0,Shares!J629*Shares!I629)</f>
        <v>0</v>
      </c>
      <c r="AF629" s="267">
        <f t="shared" si="49"/>
        <v>0</v>
      </c>
      <c r="AG629" s="266">
        <f>IF($Z629="",0,Shares!L629)</f>
        <v>0</v>
      </c>
      <c r="AH629" s="267">
        <f>IF($Z629="",0,Shares!M629)</f>
        <v>0</v>
      </c>
      <c r="AI629" s="243" t="str">
        <f>IF($Z629="","",RANK(AE629,$AE$2:$AE$1001)+COUNTIF($AE$2:AE629,AE629)-1)</f>
        <v/>
      </c>
      <c r="AJ629" s="243" t="str">
        <f>IF($AD629&lt;0,COUNT($AJ$1:AJ628)+1,"")</f>
        <v/>
      </c>
      <c r="AL629" s="243" t="str">
        <f>'All Ticker P&amp;L'!A629</f>
        <v/>
      </c>
      <c r="AM629" s="243" t="str">
        <f>'All Ticker P&amp;L'!B629</f>
        <v/>
      </c>
      <c r="AN629" s="243" t="str">
        <f>'All Ticker P&amp;L'!C629</f>
        <v/>
      </c>
      <c r="AO629" s="243" t="str">
        <f>'All Ticker P&amp;L'!D629</f>
        <v/>
      </c>
      <c r="AP629" s="243">
        <f>IF($AL629="",0,'All Ticker P&amp;L'!E629)</f>
        <v>0</v>
      </c>
      <c r="AQ629" s="266">
        <f>IF($AL629="",0,'All Ticker P&amp;L'!J629*'All Ticker P&amp;L'!I629)</f>
        <v>0</v>
      </c>
      <c r="AR629" s="266">
        <f>IF($AL629="",0,'All Ticker P&amp;L'!L629)</f>
        <v>0</v>
      </c>
      <c r="AS629" s="267">
        <f>IF($AL629="",0,'All Ticker P&amp;L'!M629)</f>
        <v>0</v>
      </c>
      <c r="AT629" s="243" t="str">
        <f>IF($AL629="","",RANK(AR629,$AR$2:$AR$1001)+COUNTIF($AR$2:AR629,AR629)-1)</f>
        <v/>
      </c>
      <c r="AU629" s="243" t="str">
        <f>IF($AL629="","",RANK(AV629,$AV$2:$AV$1001)+COUNTIF($AV$2:AV629,AV629)-1)</f>
        <v/>
      </c>
      <c r="AV629" s="266">
        <f t="shared" si="50"/>
        <v>0</v>
      </c>
    </row>
    <row r="630" spans="26:48" ht="15" customHeight="1" x14ac:dyDescent="0.2">
      <c r="Z630" s="243" t="str">
        <f>Shares!A630</f>
        <v/>
      </c>
      <c r="AA630" s="243" t="str">
        <f>Shares!B630</f>
        <v/>
      </c>
      <c r="AB630" s="243" t="str">
        <f>Shares!C630</f>
        <v/>
      </c>
      <c r="AC630" s="243" t="str">
        <f>Shares!D630</f>
        <v/>
      </c>
      <c r="AD630" s="243">
        <f>IF($Z630="",0,Shares!E630)</f>
        <v>0</v>
      </c>
      <c r="AE630" s="266">
        <f>IF($Z630="",0,Shares!J630*Shares!I630)</f>
        <v>0</v>
      </c>
      <c r="AF630" s="267">
        <f t="shared" si="49"/>
        <v>0</v>
      </c>
      <c r="AG630" s="266">
        <f>IF($Z630="",0,Shares!L630)</f>
        <v>0</v>
      </c>
      <c r="AH630" s="267">
        <f>IF($Z630="",0,Shares!M630)</f>
        <v>0</v>
      </c>
      <c r="AI630" s="243" t="str">
        <f>IF($Z630="","",RANK(AE630,$AE$2:$AE$1001)+COUNTIF($AE$2:AE630,AE630)-1)</f>
        <v/>
      </c>
      <c r="AJ630" s="243" t="str">
        <f>IF($AD630&lt;0,COUNT($AJ$1:AJ629)+1,"")</f>
        <v/>
      </c>
      <c r="AL630" s="243" t="str">
        <f>'All Ticker P&amp;L'!A630</f>
        <v/>
      </c>
      <c r="AM630" s="243" t="str">
        <f>'All Ticker P&amp;L'!B630</f>
        <v/>
      </c>
      <c r="AN630" s="243" t="str">
        <f>'All Ticker P&amp;L'!C630</f>
        <v/>
      </c>
      <c r="AO630" s="243" t="str">
        <f>'All Ticker P&amp;L'!D630</f>
        <v/>
      </c>
      <c r="AP630" s="243">
        <f>IF($AL630="",0,'All Ticker P&amp;L'!E630)</f>
        <v>0</v>
      </c>
      <c r="AQ630" s="266">
        <f>IF($AL630="",0,'All Ticker P&amp;L'!J630*'All Ticker P&amp;L'!I630)</f>
        <v>0</v>
      </c>
      <c r="AR630" s="266">
        <f>IF($AL630="",0,'All Ticker P&amp;L'!L630)</f>
        <v>0</v>
      </c>
      <c r="AS630" s="267">
        <f>IF($AL630="",0,'All Ticker P&amp;L'!M630)</f>
        <v>0</v>
      </c>
      <c r="AT630" s="243" t="str">
        <f>IF($AL630="","",RANK(AR630,$AR$2:$AR$1001)+COUNTIF($AR$2:AR630,AR630)-1)</f>
        <v/>
      </c>
      <c r="AU630" s="243" t="str">
        <f>IF($AL630="","",RANK(AV630,$AV$2:$AV$1001)+COUNTIF($AV$2:AV630,AV630)-1)</f>
        <v/>
      </c>
      <c r="AV630" s="266">
        <f t="shared" si="50"/>
        <v>0</v>
      </c>
    </row>
    <row r="631" spans="26:48" ht="15" customHeight="1" x14ac:dyDescent="0.2">
      <c r="Z631" s="243" t="str">
        <f>Shares!A631</f>
        <v/>
      </c>
      <c r="AA631" s="243" t="str">
        <f>Shares!B631</f>
        <v/>
      </c>
      <c r="AB631" s="243" t="str">
        <f>Shares!C631</f>
        <v/>
      </c>
      <c r="AC631" s="243" t="str">
        <f>Shares!D631</f>
        <v/>
      </c>
      <c r="AD631" s="243">
        <f>IF($Z631="",0,Shares!E631)</f>
        <v>0</v>
      </c>
      <c r="AE631" s="266">
        <f>IF($Z631="",0,Shares!J631*Shares!I631)</f>
        <v>0</v>
      </c>
      <c r="AF631" s="267">
        <f t="shared" si="49"/>
        <v>0</v>
      </c>
      <c r="AG631" s="266">
        <f>IF($Z631="",0,Shares!L631)</f>
        <v>0</v>
      </c>
      <c r="AH631" s="267">
        <f>IF($Z631="",0,Shares!M631)</f>
        <v>0</v>
      </c>
      <c r="AI631" s="243" t="str">
        <f>IF($Z631="","",RANK(AE631,$AE$2:$AE$1001)+COUNTIF($AE$2:AE631,AE631)-1)</f>
        <v/>
      </c>
      <c r="AJ631" s="243" t="str">
        <f>IF($AD631&lt;0,COUNT($AJ$1:AJ630)+1,"")</f>
        <v/>
      </c>
      <c r="AL631" s="243" t="str">
        <f>'All Ticker P&amp;L'!A631</f>
        <v/>
      </c>
      <c r="AM631" s="243" t="str">
        <f>'All Ticker P&amp;L'!B631</f>
        <v/>
      </c>
      <c r="AN631" s="243" t="str">
        <f>'All Ticker P&amp;L'!C631</f>
        <v/>
      </c>
      <c r="AO631" s="243" t="str">
        <f>'All Ticker P&amp;L'!D631</f>
        <v/>
      </c>
      <c r="AP631" s="243">
        <f>IF($AL631="",0,'All Ticker P&amp;L'!E631)</f>
        <v>0</v>
      </c>
      <c r="AQ631" s="266">
        <f>IF($AL631="",0,'All Ticker P&amp;L'!J631*'All Ticker P&amp;L'!I631)</f>
        <v>0</v>
      </c>
      <c r="AR631" s="266">
        <f>IF($AL631="",0,'All Ticker P&amp;L'!L631)</f>
        <v>0</v>
      </c>
      <c r="AS631" s="267">
        <f>IF($AL631="",0,'All Ticker P&amp;L'!M631)</f>
        <v>0</v>
      </c>
      <c r="AT631" s="243" t="str">
        <f>IF($AL631="","",RANK(AR631,$AR$2:$AR$1001)+COUNTIF($AR$2:AR631,AR631)-1)</f>
        <v/>
      </c>
      <c r="AU631" s="243" t="str">
        <f>IF($AL631="","",RANK(AV631,$AV$2:$AV$1001)+COUNTIF($AV$2:AV631,AV631)-1)</f>
        <v/>
      </c>
      <c r="AV631" s="266">
        <f t="shared" si="50"/>
        <v>0</v>
      </c>
    </row>
    <row r="632" spans="26:48" ht="15" customHeight="1" x14ac:dyDescent="0.2">
      <c r="Z632" s="243" t="str">
        <f>Shares!A632</f>
        <v/>
      </c>
      <c r="AA632" s="243" t="str">
        <f>Shares!B632</f>
        <v/>
      </c>
      <c r="AB632" s="243" t="str">
        <f>Shares!C632</f>
        <v/>
      </c>
      <c r="AC632" s="243" t="str">
        <f>Shares!D632</f>
        <v/>
      </c>
      <c r="AD632" s="243">
        <f>IF($Z632="",0,Shares!E632)</f>
        <v>0</v>
      </c>
      <c r="AE632" s="266">
        <f>IF($Z632="",0,Shares!J632*Shares!I632)</f>
        <v>0</v>
      </c>
      <c r="AF632" s="267">
        <f t="shared" si="49"/>
        <v>0</v>
      </c>
      <c r="AG632" s="266">
        <f>IF($Z632="",0,Shares!L632)</f>
        <v>0</v>
      </c>
      <c r="AH632" s="267">
        <f>IF($Z632="",0,Shares!M632)</f>
        <v>0</v>
      </c>
      <c r="AI632" s="243" t="str">
        <f>IF($Z632="","",RANK(AE632,$AE$2:$AE$1001)+COUNTIF($AE$2:AE632,AE632)-1)</f>
        <v/>
      </c>
      <c r="AJ632" s="243" t="str">
        <f>IF($AD632&lt;0,COUNT($AJ$1:AJ631)+1,"")</f>
        <v/>
      </c>
      <c r="AL632" s="243" t="str">
        <f>'All Ticker P&amp;L'!A632</f>
        <v/>
      </c>
      <c r="AM632" s="243" t="str">
        <f>'All Ticker P&amp;L'!B632</f>
        <v/>
      </c>
      <c r="AN632" s="243" t="str">
        <f>'All Ticker P&amp;L'!C632</f>
        <v/>
      </c>
      <c r="AO632" s="243" t="str">
        <f>'All Ticker P&amp;L'!D632</f>
        <v/>
      </c>
      <c r="AP632" s="243">
        <f>IF($AL632="",0,'All Ticker P&amp;L'!E632)</f>
        <v>0</v>
      </c>
      <c r="AQ632" s="266">
        <f>IF($AL632="",0,'All Ticker P&amp;L'!J632*'All Ticker P&amp;L'!I632)</f>
        <v>0</v>
      </c>
      <c r="AR632" s="266">
        <f>IF($AL632="",0,'All Ticker P&amp;L'!L632)</f>
        <v>0</v>
      </c>
      <c r="AS632" s="267">
        <f>IF($AL632="",0,'All Ticker P&amp;L'!M632)</f>
        <v>0</v>
      </c>
      <c r="AT632" s="243" t="str">
        <f>IF($AL632="","",RANK(AR632,$AR$2:$AR$1001)+COUNTIF($AR$2:AR632,AR632)-1)</f>
        <v/>
      </c>
      <c r="AU632" s="243" t="str">
        <f>IF($AL632="","",RANK(AV632,$AV$2:$AV$1001)+COUNTIF($AV$2:AV632,AV632)-1)</f>
        <v/>
      </c>
      <c r="AV632" s="266">
        <f t="shared" si="50"/>
        <v>0</v>
      </c>
    </row>
    <row r="633" spans="26:48" ht="15" customHeight="1" x14ac:dyDescent="0.2">
      <c r="Z633" s="243" t="str">
        <f>Shares!A633</f>
        <v/>
      </c>
      <c r="AA633" s="243" t="str">
        <f>Shares!B633</f>
        <v/>
      </c>
      <c r="AB633" s="243" t="str">
        <f>Shares!C633</f>
        <v/>
      </c>
      <c r="AC633" s="243" t="str">
        <f>Shares!D633</f>
        <v/>
      </c>
      <c r="AD633" s="243">
        <f>IF($Z633="",0,Shares!E633)</f>
        <v>0</v>
      </c>
      <c r="AE633" s="266">
        <f>IF($Z633="",0,Shares!J633*Shares!I633)</f>
        <v>0</v>
      </c>
      <c r="AF633" s="267">
        <f t="shared" si="49"/>
        <v>0</v>
      </c>
      <c r="AG633" s="266">
        <f>IF($Z633="",0,Shares!L633)</f>
        <v>0</v>
      </c>
      <c r="AH633" s="267">
        <f>IF($Z633="",0,Shares!M633)</f>
        <v>0</v>
      </c>
      <c r="AI633" s="243" t="str">
        <f>IF($Z633="","",RANK(AE633,$AE$2:$AE$1001)+COUNTIF($AE$2:AE633,AE633)-1)</f>
        <v/>
      </c>
      <c r="AJ633" s="243" t="str">
        <f>IF($AD633&lt;0,COUNT($AJ$1:AJ632)+1,"")</f>
        <v/>
      </c>
      <c r="AL633" s="243" t="str">
        <f>'All Ticker P&amp;L'!A633</f>
        <v/>
      </c>
      <c r="AM633" s="243" t="str">
        <f>'All Ticker P&amp;L'!B633</f>
        <v/>
      </c>
      <c r="AN633" s="243" t="str">
        <f>'All Ticker P&amp;L'!C633</f>
        <v/>
      </c>
      <c r="AO633" s="243" t="str">
        <f>'All Ticker P&amp;L'!D633</f>
        <v/>
      </c>
      <c r="AP633" s="243">
        <f>IF($AL633="",0,'All Ticker P&amp;L'!E633)</f>
        <v>0</v>
      </c>
      <c r="AQ633" s="266">
        <f>IF($AL633="",0,'All Ticker P&amp;L'!J633*'All Ticker P&amp;L'!I633)</f>
        <v>0</v>
      </c>
      <c r="AR633" s="266">
        <f>IF($AL633="",0,'All Ticker P&amp;L'!L633)</f>
        <v>0</v>
      </c>
      <c r="AS633" s="267">
        <f>IF($AL633="",0,'All Ticker P&amp;L'!M633)</f>
        <v>0</v>
      </c>
      <c r="AT633" s="243" t="str">
        <f>IF($AL633="","",RANK(AR633,$AR$2:$AR$1001)+COUNTIF($AR$2:AR633,AR633)-1)</f>
        <v/>
      </c>
      <c r="AU633" s="243" t="str">
        <f>IF($AL633="","",RANK(AV633,$AV$2:$AV$1001)+COUNTIF($AV$2:AV633,AV633)-1)</f>
        <v/>
      </c>
      <c r="AV633" s="266">
        <f t="shared" si="50"/>
        <v>0</v>
      </c>
    </row>
    <row r="634" spans="26:48" ht="15" customHeight="1" x14ac:dyDescent="0.2">
      <c r="Z634" s="243" t="str">
        <f>Shares!A634</f>
        <v/>
      </c>
      <c r="AA634" s="243" t="str">
        <f>Shares!B634</f>
        <v/>
      </c>
      <c r="AB634" s="243" t="str">
        <f>Shares!C634</f>
        <v/>
      </c>
      <c r="AC634" s="243" t="str">
        <f>Shares!D634</f>
        <v/>
      </c>
      <c r="AD634" s="243">
        <f>IF($Z634="",0,Shares!E634)</f>
        <v>0</v>
      </c>
      <c r="AE634" s="266">
        <f>IF($Z634="",0,Shares!J634*Shares!I634)</f>
        <v>0</v>
      </c>
      <c r="AF634" s="267">
        <f t="shared" si="49"/>
        <v>0</v>
      </c>
      <c r="AG634" s="266">
        <f>IF($Z634="",0,Shares!L634)</f>
        <v>0</v>
      </c>
      <c r="AH634" s="267">
        <f>IF($Z634="",0,Shares!M634)</f>
        <v>0</v>
      </c>
      <c r="AI634" s="243" t="str">
        <f>IF($Z634="","",RANK(AE634,$AE$2:$AE$1001)+COUNTIF($AE$2:AE634,AE634)-1)</f>
        <v/>
      </c>
      <c r="AJ634" s="243" t="str">
        <f>IF($AD634&lt;0,COUNT($AJ$1:AJ633)+1,"")</f>
        <v/>
      </c>
      <c r="AL634" s="243" t="str">
        <f>'All Ticker P&amp;L'!A634</f>
        <v/>
      </c>
      <c r="AM634" s="243" t="str">
        <f>'All Ticker P&amp;L'!B634</f>
        <v/>
      </c>
      <c r="AN634" s="243" t="str">
        <f>'All Ticker P&amp;L'!C634</f>
        <v/>
      </c>
      <c r="AO634" s="243" t="str">
        <f>'All Ticker P&amp;L'!D634</f>
        <v/>
      </c>
      <c r="AP634" s="243">
        <f>IF($AL634="",0,'All Ticker P&amp;L'!E634)</f>
        <v>0</v>
      </c>
      <c r="AQ634" s="266">
        <f>IF($AL634="",0,'All Ticker P&amp;L'!J634*'All Ticker P&amp;L'!I634)</f>
        <v>0</v>
      </c>
      <c r="AR634" s="266">
        <f>IF($AL634="",0,'All Ticker P&amp;L'!L634)</f>
        <v>0</v>
      </c>
      <c r="AS634" s="267">
        <f>IF($AL634="",0,'All Ticker P&amp;L'!M634)</f>
        <v>0</v>
      </c>
      <c r="AT634" s="243" t="str">
        <f>IF($AL634="","",RANK(AR634,$AR$2:$AR$1001)+COUNTIF($AR$2:AR634,AR634)-1)</f>
        <v/>
      </c>
      <c r="AU634" s="243" t="str">
        <f>IF($AL634="","",RANK(AV634,$AV$2:$AV$1001)+COUNTIF($AV$2:AV634,AV634)-1)</f>
        <v/>
      </c>
      <c r="AV634" s="266">
        <f t="shared" si="50"/>
        <v>0</v>
      </c>
    </row>
    <row r="635" spans="26:48" ht="15" customHeight="1" x14ac:dyDescent="0.2">
      <c r="Z635" s="243" t="str">
        <f>Shares!A635</f>
        <v/>
      </c>
      <c r="AA635" s="243" t="str">
        <f>Shares!B635</f>
        <v/>
      </c>
      <c r="AB635" s="243" t="str">
        <f>Shares!C635</f>
        <v/>
      </c>
      <c r="AC635" s="243" t="str">
        <f>Shares!D635</f>
        <v/>
      </c>
      <c r="AD635" s="243">
        <f>IF($Z635="",0,Shares!E635)</f>
        <v>0</v>
      </c>
      <c r="AE635" s="266">
        <f>IF($Z635="",0,Shares!J635*Shares!I635)</f>
        <v>0</v>
      </c>
      <c r="AF635" s="267">
        <f t="shared" si="49"/>
        <v>0</v>
      </c>
      <c r="AG635" s="266">
        <f>IF($Z635="",0,Shares!L635)</f>
        <v>0</v>
      </c>
      <c r="AH635" s="267">
        <f>IF($Z635="",0,Shares!M635)</f>
        <v>0</v>
      </c>
      <c r="AI635" s="243" t="str">
        <f>IF($Z635="","",RANK(AE635,$AE$2:$AE$1001)+COUNTIF($AE$2:AE635,AE635)-1)</f>
        <v/>
      </c>
      <c r="AJ635" s="243" t="str">
        <f>IF($AD635&lt;0,COUNT($AJ$1:AJ634)+1,"")</f>
        <v/>
      </c>
      <c r="AL635" s="243" t="str">
        <f>'All Ticker P&amp;L'!A635</f>
        <v/>
      </c>
      <c r="AM635" s="243" t="str">
        <f>'All Ticker P&amp;L'!B635</f>
        <v/>
      </c>
      <c r="AN635" s="243" t="str">
        <f>'All Ticker P&amp;L'!C635</f>
        <v/>
      </c>
      <c r="AO635" s="243" t="str">
        <f>'All Ticker P&amp;L'!D635</f>
        <v/>
      </c>
      <c r="AP635" s="243">
        <f>IF($AL635="",0,'All Ticker P&amp;L'!E635)</f>
        <v>0</v>
      </c>
      <c r="AQ635" s="266">
        <f>IF($AL635="",0,'All Ticker P&amp;L'!J635*'All Ticker P&amp;L'!I635)</f>
        <v>0</v>
      </c>
      <c r="AR635" s="266">
        <f>IF($AL635="",0,'All Ticker P&amp;L'!L635)</f>
        <v>0</v>
      </c>
      <c r="AS635" s="267">
        <f>IF($AL635="",0,'All Ticker P&amp;L'!M635)</f>
        <v>0</v>
      </c>
      <c r="AT635" s="243" t="str">
        <f>IF($AL635="","",RANK(AR635,$AR$2:$AR$1001)+COUNTIF($AR$2:AR635,AR635)-1)</f>
        <v/>
      </c>
      <c r="AU635" s="243" t="str">
        <f>IF($AL635="","",RANK(AV635,$AV$2:$AV$1001)+COUNTIF($AV$2:AV635,AV635)-1)</f>
        <v/>
      </c>
      <c r="AV635" s="266">
        <f t="shared" si="50"/>
        <v>0</v>
      </c>
    </row>
    <row r="636" spans="26:48" ht="15" customHeight="1" x14ac:dyDescent="0.2">
      <c r="Z636" s="243" t="str">
        <f>Shares!A636</f>
        <v/>
      </c>
      <c r="AA636" s="243" t="str">
        <f>Shares!B636</f>
        <v/>
      </c>
      <c r="AB636" s="243" t="str">
        <f>Shares!C636</f>
        <v/>
      </c>
      <c r="AC636" s="243" t="str">
        <f>Shares!D636</f>
        <v/>
      </c>
      <c r="AD636" s="243">
        <f>IF($Z636="",0,Shares!E636)</f>
        <v>0</v>
      </c>
      <c r="AE636" s="266">
        <f>IF($Z636="",0,Shares!J636*Shares!I636)</f>
        <v>0</v>
      </c>
      <c r="AF636" s="267">
        <f t="shared" si="49"/>
        <v>0</v>
      </c>
      <c r="AG636" s="266">
        <f>IF($Z636="",0,Shares!L636)</f>
        <v>0</v>
      </c>
      <c r="AH636" s="267">
        <f>IF($Z636="",0,Shares!M636)</f>
        <v>0</v>
      </c>
      <c r="AI636" s="243" t="str">
        <f>IF($Z636="","",RANK(AE636,$AE$2:$AE$1001)+COUNTIF($AE$2:AE636,AE636)-1)</f>
        <v/>
      </c>
      <c r="AJ636" s="243" t="str">
        <f>IF($AD636&lt;0,COUNT($AJ$1:AJ635)+1,"")</f>
        <v/>
      </c>
      <c r="AL636" s="243" t="str">
        <f>'All Ticker P&amp;L'!A636</f>
        <v/>
      </c>
      <c r="AM636" s="243" t="str">
        <f>'All Ticker P&amp;L'!B636</f>
        <v/>
      </c>
      <c r="AN636" s="243" t="str">
        <f>'All Ticker P&amp;L'!C636</f>
        <v/>
      </c>
      <c r="AO636" s="243" t="str">
        <f>'All Ticker P&amp;L'!D636</f>
        <v/>
      </c>
      <c r="AP636" s="243">
        <f>IF($AL636="",0,'All Ticker P&amp;L'!E636)</f>
        <v>0</v>
      </c>
      <c r="AQ636" s="266">
        <f>IF($AL636="",0,'All Ticker P&amp;L'!J636*'All Ticker P&amp;L'!I636)</f>
        <v>0</v>
      </c>
      <c r="AR636" s="266">
        <f>IF($AL636="",0,'All Ticker P&amp;L'!L636)</f>
        <v>0</v>
      </c>
      <c r="AS636" s="267">
        <f>IF($AL636="",0,'All Ticker P&amp;L'!M636)</f>
        <v>0</v>
      </c>
      <c r="AT636" s="243" t="str">
        <f>IF($AL636="","",RANK(AR636,$AR$2:$AR$1001)+COUNTIF($AR$2:AR636,AR636)-1)</f>
        <v/>
      </c>
      <c r="AU636" s="243" t="str">
        <f>IF($AL636="","",RANK(AV636,$AV$2:$AV$1001)+COUNTIF($AV$2:AV636,AV636)-1)</f>
        <v/>
      </c>
      <c r="AV636" s="266">
        <f t="shared" si="50"/>
        <v>0</v>
      </c>
    </row>
    <row r="637" spans="26:48" ht="15" customHeight="1" x14ac:dyDescent="0.2">
      <c r="Z637" s="243" t="str">
        <f>Shares!A637</f>
        <v/>
      </c>
      <c r="AA637" s="243" t="str">
        <f>Shares!B637</f>
        <v/>
      </c>
      <c r="AB637" s="243" t="str">
        <f>Shares!C637</f>
        <v/>
      </c>
      <c r="AC637" s="243" t="str">
        <f>Shares!D637</f>
        <v/>
      </c>
      <c r="AD637" s="243">
        <f>IF($Z637="",0,Shares!E637)</f>
        <v>0</v>
      </c>
      <c r="AE637" s="266">
        <f>IF($Z637="",0,Shares!J637*Shares!I637)</f>
        <v>0</v>
      </c>
      <c r="AF637" s="267">
        <f t="shared" si="49"/>
        <v>0</v>
      </c>
      <c r="AG637" s="266">
        <f>IF($Z637="",0,Shares!L637)</f>
        <v>0</v>
      </c>
      <c r="AH637" s="267">
        <f>IF($Z637="",0,Shares!M637)</f>
        <v>0</v>
      </c>
      <c r="AI637" s="243" t="str">
        <f>IF($Z637="","",RANK(AE637,$AE$2:$AE$1001)+COUNTIF($AE$2:AE637,AE637)-1)</f>
        <v/>
      </c>
      <c r="AJ637" s="243" t="str">
        <f>IF($AD637&lt;0,COUNT($AJ$1:AJ636)+1,"")</f>
        <v/>
      </c>
      <c r="AL637" s="243" t="str">
        <f>'All Ticker P&amp;L'!A637</f>
        <v/>
      </c>
      <c r="AM637" s="243" t="str">
        <f>'All Ticker P&amp;L'!B637</f>
        <v/>
      </c>
      <c r="AN637" s="243" t="str">
        <f>'All Ticker P&amp;L'!C637</f>
        <v/>
      </c>
      <c r="AO637" s="243" t="str">
        <f>'All Ticker P&amp;L'!D637</f>
        <v/>
      </c>
      <c r="AP637" s="243">
        <f>IF($AL637="",0,'All Ticker P&amp;L'!E637)</f>
        <v>0</v>
      </c>
      <c r="AQ637" s="266">
        <f>IF($AL637="",0,'All Ticker P&amp;L'!J637*'All Ticker P&amp;L'!I637)</f>
        <v>0</v>
      </c>
      <c r="AR637" s="266">
        <f>IF($AL637="",0,'All Ticker P&amp;L'!L637)</f>
        <v>0</v>
      </c>
      <c r="AS637" s="267">
        <f>IF($AL637="",0,'All Ticker P&amp;L'!M637)</f>
        <v>0</v>
      </c>
      <c r="AT637" s="243" t="str">
        <f>IF($AL637="","",RANK(AR637,$AR$2:$AR$1001)+COUNTIF($AR$2:AR637,AR637)-1)</f>
        <v/>
      </c>
      <c r="AU637" s="243" t="str">
        <f>IF($AL637="","",RANK(AV637,$AV$2:$AV$1001)+COUNTIF($AV$2:AV637,AV637)-1)</f>
        <v/>
      </c>
      <c r="AV637" s="266">
        <f t="shared" si="50"/>
        <v>0</v>
      </c>
    </row>
    <row r="638" spans="26:48" ht="15" customHeight="1" x14ac:dyDescent="0.2">
      <c r="Z638" s="243" t="str">
        <f>Shares!A638</f>
        <v/>
      </c>
      <c r="AA638" s="243" t="str">
        <f>Shares!B638</f>
        <v/>
      </c>
      <c r="AB638" s="243" t="str">
        <f>Shares!C638</f>
        <v/>
      </c>
      <c r="AC638" s="243" t="str">
        <f>Shares!D638</f>
        <v/>
      </c>
      <c r="AD638" s="243">
        <f>IF($Z638="",0,Shares!E638)</f>
        <v>0</v>
      </c>
      <c r="AE638" s="266">
        <f>IF($Z638="",0,Shares!J638*Shares!I638)</f>
        <v>0</v>
      </c>
      <c r="AF638" s="267">
        <f t="shared" si="49"/>
        <v>0</v>
      </c>
      <c r="AG638" s="266">
        <f>IF($Z638="",0,Shares!L638)</f>
        <v>0</v>
      </c>
      <c r="AH638" s="267">
        <f>IF($Z638="",0,Shares!M638)</f>
        <v>0</v>
      </c>
      <c r="AI638" s="243" t="str">
        <f>IF($Z638="","",RANK(AE638,$AE$2:$AE$1001)+COUNTIF($AE$2:AE638,AE638)-1)</f>
        <v/>
      </c>
      <c r="AJ638" s="243" t="str">
        <f>IF($AD638&lt;0,COUNT($AJ$1:AJ637)+1,"")</f>
        <v/>
      </c>
      <c r="AL638" s="243" t="str">
        <f>'All Ticker P&amp;L'!A638</f>
        <v/>
      </c>
      <c r="AM638" s="243" t="str">
        <f>'All Ticker P&amp;L'!B638</f>
        <v/>
      </c>
      <c r="AN638" s="243" t="str">
        <f>'All Ticker P&amp;L'!C638</f>
        <v/>
      </c>
      <c r="AO638" s="243" t="str">
        <f>'All Ticker P&amp;L'!D638</f>
        <v/>
      </c>
      <c r="AP638" s="243">
        <f>IF($AL638="",0,'All Ticker P&amp;L'!E638)</f>
        <v>0</v>
      </c>
      <c r="AQ638" s="266">
        <f>IF($AL638="",0,'All Ticker P&amp;L'!J638*'All Ticker P&amp;L'!I638)</f>
        <v>0</v>
      </c>
      <c r="AR638" s="266">
        <f>IF($AL638="",0,'All Ticker P&amp;L'!L638)</f>
        <v>0</v>
      </c>
      <c r="AS638" s="267">
        <f>IF($AL638="",0,'All Ticker P&amp;L'!M638)</f>
        <v>0</v>
      </c>
      <c r="AT638" s="243" t="str">
        <f>IF($AL638="","",RANK(AR638,$AR$2:$AR$1001)+COUNTIF($AR$2:AR638,AR638)-1)</f>
        <v/>
      </c>
      <c r="AU638" s="243" t="str">
        <f>IF($AL638="","",RANK(AV638,$AV$2:$AV$1001)+COUNTIF($AV$2:AV638,AV638)-1)</f>
        <v/>
      </c>
      <c r="AV638" s="266">
        <f t="shared" si="50"/>
        <v>0</v>
      </c>
    </row>
    <row r="639" spans="26:48" ht="15" customHeight="1" x14ac:dyDescent="0.2">
      <c r="Z639" s="243" t="str">
        <f>Shares!A639</f>
        <v/>
      </c>
      <c r="AA639" s="243" t="str">
        <f>Shares!B639</f>
        <v/>
      </c>
      <c r="AB639" s="243" t="str">
        <f>Shares!C639</f>
        <v/>
      </c>
      <c r="AC639" s="243" t="str">
        <f>Shares!D639</f>
        <v/>
      </c>
      <c r="AD639" s="243">
        <f>IF($Z639="",0,Shares!E639)</f>
        <v>0</v>
      </c>
      <c r="AE639" s="266">
        <f>IF($Z639="",0,Shares!J639*Shares!I639)</f>
        <v>0</v>
      </c>
      <c r="AF639" s="267">
        <f t="shared" si="49"/>
        <v>0</v>
      </c>
      <c r="AG639" s="266">
        <f>IF($Z639="",0,Shares!L639)</f>
        <v>0</v>
      </c>
      <c r="AH639" s="267">
        <f>IF($Z639="",0,Shares!M639)</f>
        <v>0</v>
      </c>
      <c r="AI639" s="243" t="str">
        <f>IF($Z639="","",RANK(AE639,$AE$2:$AE$1001)+COUNTIF($AE$2:AE639,AE639)-1)</f>
        <v/>
      </c>
      <c r="AJ639" s="243" t="str">
        <f>IF($AD639&lt;0,COUNT($AJ$1:AJ638)+1,"")</f>
        <v/>
      </c>
      <c r="AL639" s="243" t="str">
        <f>'All Ticker P&amp;L'!A639</f>
        <v/>
      </c>
      <c r="AM639" s="243" t="str">
        <f>'All Ticker P&amp;L'!B639</f>
        <v/>
      </c>
      <c r="AN639" s="243" t="str">
        <f>'All Ticker P&amp;L'!C639</f>
        <v/>
      </c>
      <c r="AO639" s="243" t="str">
        <f>'All Ticker P&amp;L'!D639</f>
        <v/>
      </c>
      <c r="AP639" s="243">
        <f>IF($AL639="",0,'All Ticker P&amp;L'!E639)</f>
        <v>0</v>
      </c>
      <c r="AQ639" s="266">
        <f>IF($AL639="",0,'All Ticker P&amp;L'!J639*'All Ticker P&amp;L'!I639)</f>
        <v>0</v>
      </c>
      <c r="AR639" s="266">
        <f>IF($AL639="",0,'All Ticker P&amp;L'!L639)</f>
        <v>0</v>
      </c>
      <c r="AS639" s="267">
        <f>IF($AL639="",0,'All Ticker P&amp;L'!M639)</f>
        <v>0</v>
      </c>
      <c r="AT639" s="243" t="str">
        <f>IF($AL639="","",RANK(AR639,$AR$2:$AR$1001)+COUNTIF($AR$2:AR639,AR639)-1)</f>
        <v/>
      </c>
      <c r="AU639" s="243" t="str">
        <f>IF($AL639="","",RANK(AV639,$AV$2:$AV$1001)+COUNTIF($AV$2:AV639,AV639)-1)</f>
        <v/>
      </c>
      <c r="AV639" s="266">
        <f t="shared" si="50"/>
        <v>0</v>
      </c>
    </row>
    <row r="640" spans="26:48" ht="15" customHeight="1" x14ac:dyDescent="0.2">
      <c r="Z640" s="243" t="str">
        <f>Shares!A640</f>
        <v/>
      </c>
      <c r="AA640" s="243" t="str">
        <f>Shares!B640</f>
        <v/>
      </c>
      <c r="AB640" s="243" t="str">
        <f>Shares!C640</f>
        <v/>
      </c>
      <c r="AC640" s="243" t="str">
        <f>Shares!D640</f>
        <v/>
      </c>
      <c r="AD640" s="243">
        <f>IF($Z640="",0,Shares!E640)</f>
        <v>0</v>
      </c>
      <c r="AE640" s="266">
        <f>IF($Z640="",0,Shares!J640*Shares!I640)</f>
        <v>0</v>
      </c>
      <c r="AF640" s="267">
        <f t="shared" si="49"/>
        <v>0</v>
      </c>
      <c r="AG640" s="266">
        <f>IF($Z640="",0,Shares!L640)</f>
        <v>0</v>
      </c>
      <c r="AH640" s="267">
        <f>IF($Z640="",0,Shares!M640)</f>
        <v>0</v>
      </c>
      <c r="AI640" s="243" t="str">
        <f>IF($Z640="","",RANK(AE640,$AE$2:$AE$1001)+COUNTIF($AE$2:AE640,AE640)-1)</f>
        <v/>
      </c>
      <c r="AJ640" s="243" t="str">
        <f>IF($AD640&lt;0,COUNT($AJ$1:AJ639)+1,"")</f>
        <v/>
      </c>
      <c r="AL640" s="243" t="str">
        <f>'All Ticker P&amp;L'!A640</f>
        <v/>
      </c>
      <c r="AM640" s="243" t="str">
        <f>'All Ticker P&amp;L'!B640</f>
        <v/>
      </c>
      <c r="AN640" s="243" t="str">
        <f>'All Ticker P&amp;L'!C640</f>
        <v/>
      </c>
      <c r="AO640" s="243" t="str">
        <f>'All Ticker P&amp;L'!D640</f>
        <v/>
      </c>
      <c r="AP640" s="243">
        <f>IF($AL640="",0,'All Ticker P&amp;L'!E640)</f>
        <v>0</v>
      </c>
      <c r="AQ640" s="266">
        <f>IF($AL640="",0,'All Ticker P&amp;L'!J640*'All Ticker P&amp;L'!I640)</f>
        <v>0</v>
      </c>
      <c r="AR640" s="266">
        <f>IF($AL640="",0,'All Ticker P&amp;L'!L640)</f>
        <v>0</v>
      </c>
      <c r="AS640" s="267">
        <f>IF($AL640="",0,'All Ticker P&amp;L'!M640)</f>
        <v>0</v>
      </c>
      <c r="AT640" s="243" t="str">
        <f>IF($AL640="","",RANK(AR640,$AR$2:$AR$1001)+COUNTIF($AR$2:AR640,AR640)-1)</f>
        <v/>
      </c>
      <c r="AU640" s="243" t="str">
        <f>IF($AL640="","",RANK(AV640,$AV$2:$AV$1001)+COUNTIF($AV$2:AV640,AV640)-1)</f>
        <v/>
      </c>
      <c r="AV640" s="266">
        <f t="shared" si="50"/>
        <v>0</v>
      </c>
    </row>
    <row r="641" spans="26:48" ht="15" customHeight="1" x14ac:dyDescent="0.2">
      <c r="Z641" s="243" t="str">
        <f>Shares!A641</f>
        <v/>
      </c>
      <c r="AA641" s="243" t="str">
        <f>Shares!B641</f>
        <v/>
      </c>
      <c r="AB641" s="243" t="str">
        <f>Shares!C641</f>
        <v/>
      </c>
      <c r="AC641" s="243" t="str">
        <f>Shares!D641</f>
        <v/>
      </c>
      <c r="AD641" s="243">
        <f>IF($Z641="",0,Shares!E641)</f>
        <v>0</v>
      </c>
      <c r="AE641" s="266">
        <f>IF($Z641="",0,Shares!J641*Shares!I641)</f>
        <v>0</v>
      </c>
      <c r="AF641" s="267">
        <f t="shared" si="49"/>
        <v>0</v>
      </c>
      <c r="AG641" s="266">
        <f>IF($Z641="",0,Shares!L641)</f>
        <v>0</v>
      </c>
      <c r="AH641" s="267">
        <f>IF($Z641="",0,Shares!M641)</f>
        <v>0</v>
      </c>
      <c r="AI641" s="243" t="str">
        <f>IF($Z641="","",RANK(AE641,$AE$2:$AE$1001)+COUNTIF($AE$2:AE641,AE641)-1)</f>
        <v/>
      </c>
      <c r="AJ641" s="243" t="str">
        <f>IF($AD641&lt;0,COUNT($AJ$1:AJ640)+1,"")</f>
        <v/>
      </c>
      <c r="AL641" s="243" t="str">
        <f>'All Ticker P&amp;L'!A641</f>
        <v/>
      </c>
      <c r="AM641" s="243" t="str">
        <f>'All Ticker P&amp;L'!B641</f>
        <v/>
      </c>
      <c r="AN641" s="243" t="str">
        <f>'All Ticker P&amp;L'!C641</f>
        <v/>
      </c>
      <c r="AO641" s="243" t="str">
        <f>'All Ticker P&amp;L'!D641</f>
        <v/>
      </c>
      <c r="AP641" s="243">
        <f>IF($AL641="",0,'All Ticker P&amp;L'!E641)</f>
        <v>0</v>
      </c>
      <c r="AQ641" s="266">
        <f>IF($AL641="",0,'All Ticker P&amp;L'!J641*'All Ticker P&amp;L'!I641)</f>
        <v>0</v>
      </c>
      <c r="AR641" s="266">
        <f>IF($AL641="",0,'All Ticker P&amp;L'!L641)</f>
        <v>0</v>
      </c>
      <c r="AS641" s="267">
        <f>IF($AL641="",0,'All Ticker P&amp;L'!M641)</f>
        <v>0</v>
      </c>
      <c r="AT641" s="243" t="str">
        <f>IF($AL641="","",RANK(AR641,$AR$2:$AR$1001)+COUNTIF($AR$2:AR641,AR641)-1)</f>
        <v/>
      </c>
      <c r="AU641" s="243" t="str">
        <f>IF($AL641="","",RANK(AV641,$AV$2:$AV$1001)+COUNTIF($AV$2:AV641,AV641)-1)</f>
        <v/>
      </c>
      <c r="AV641" s="266">
        <f t="shared" si="50"/>
        <v>0</v>
      </c>
    </row>
    <row r="642" spans="26:48" ht="15" customHeight="1" x14ac:dyDescent="0.2">
      <c r="Z642" s="243" t="str">
        <f>Shares!A642</f>
        <v/>
      </c>
      <c r="AA642" s="243" t="str">
        <f>Shares!B642</f>
        <v/>
      </c>
      <c r="AB642" s="243" t="str">
        <f>Shares!C642</f>
        <v/>
      </c>
      <c r="AC642" s="243" t="str">
        <f>Shares!D642</f>
        <v/>
      </c>
      <c r="AD642" s="243">
        <f>IF($Z642="",0,Shares!E642)</f>
        <v>0</v>
      </c>
      <c r="AE642" s="266">
        <f>IF($Z642="",0,Shares!J642*Shares!I642)</f>
        <v>0</v>
      </c>
      <c r="AF642" s="267">
        <f t="shared" ref="AF642:AF705" si="51">IFERROR(AE642/$B$5,0)</f>
        <v>0</v>
      </c>
      <c r="AG642" s="266">
        <f>IF($Z642="",0,Shares!L642)</f>
        <v>0</v>
      </c>
      <c r="AH642" s="267">
        <f>IF($Z642="",0,Shares!M642)</f>
        <v>0</v>
      </c>
      <c r="AI642" s="243" t="str">
        <f>IF($Z642="","",RANK(AE642,$AE$2:$AE$1001)+COUNTIF($AE$2:AE642,AE642)-1)</f>
        <v/>
      </c>
      <c r="AJ642" s="243" t="str">
        <f>IF($AD642&lt;0,COUNT($AJ$1:AJ641)+1,"")</f>
        <v/>
      </c>
      <c r="AL642" s="243" t="str">
        <f>'All Ticker P&amp;L'!A642</f>
        <v/>
      </c>
      <c r="AM642" s="243" t="str">
        <f>'All Ticker P&amp;L'!B642</f>
        <v/>
      </c>
      <c r="AN642" s="243" t="str">
        <f>'All Ticker P&amp;L'!C642</f>
        <v/>
      </c>
      <c r="AO642" s="243" t="str">
        <f>'All Ticker P&amp;L'!D642</f>
        <v/>
      </c>
      <c r="AP642" s="243">
        <f>IF($AL642="",0,'All Ticker P&amp;L'!E642)</f>
        <v>0</v>
      </c>
      <c r="AQ642" s="266">
        <f>IF($AL642="",0,'All Ticker P&amp;L'!J642*'All Ticker P&amp;L'!I642)</f>
        <v>0</v>
      </c>
      <c r="AR642" s="266">
        <f>IF($AL642="",0,'All Ticker P&amp;L'!L642)</f>
        <v>0</v>
      </c>
      <c r="AS642" s="267">
        <f>IF($AL642="",0,'All Ticker P&amp;L'!M642)</f>
        <v>0</v>
      </c>
      <c r="AT642" s="243" t="str">
        <f>IF($AL642="","",RANK(AR642,$AR$2:$AR$1001)+COUNTIF($AR$2:AR642,AR642)-1)</f>
        <v/>
      </c>
      <c r="AU642" s="243" t="str">
        <f>IF($AL642="","",RANK(AV642,$AV$2:$AV$1001)+COUNTIF($AV$2:AV642,AV642)-1)</f>
        <v/>
      </c>
      <c r="AV642" s="266">
        <f t="shared" ref="AV642:AV705" si="52">-AR642</f>
        <v>0</v>
      </c>
    </row>
    <row r="643" spans="26:48" ht="15" customHeight="1" x14ac:dyDescent="0.2">
      <c r="Z643" s="243" t="str">
        <f>Shares!A643</f>
        <v/>
      </c>
      <c r="AA643" s="243" t="str">
        <f>Shares!B643</f>
        <v/>
      </c>
      <c r="AB643" s="243" t="str">
        <f>Shares!C643</f>
        <v/>
      </c>
      <c r="AC643" s="243" t="str">
        <f>Shares!D643</f>
        <v/>
      </c>
      <c r="AD643" s="243">
        <f>IF($Z643="",0,Shares!E643)</f>
        <v>0</v>
      </c>
      <c r="AE643" s="266">
        <f>IF($Z643="",0,Shares!J643*Shares!I643)</f>
        <v>0</v>
      </c>
      <c r="AF643" s="267">
        <f t="shared" si="51"/>
        <v>0</v>
      </c>
      <c r="AG643" s="266">
        <f>IF($Z643="",0,Shares!L643)</f>
        <v>0</v>
      </c>
      <c r="AH643" s="267">
        <f>IF($Z643="",0,Shares!M643)</f>
        <v>0</v>
      </c>
      <c r="AI643" s="243" t="str">
        <f>IF($Z643="","",RANK(AE643,$AE$2:$AE$1001)+COUNTIF($AE$2:AE643,AE643)-1)</f>
        <v/>
      </c>
      <c r="AJ643" s="243" t="str">
        <f>IF($AD643&lt;0,COUNT($AJ$1:AJ642)+1,"")</f>
        <v/>
      </c>
      <c r="AL643" s="243" t="str">
        <f>'All Ticker P&amp;L'!A643</f>
        <v/>
      </c>
      <c r="AM643" s="243" t="str">
        <f>'All Ticker P&amp;L'!B643</f>
        <v/>
      </c>
      <c r="AN643" s="243" t="str">
        <f>'All Ticker P&amp;L'!C643</f>
        <v/>
      </c>
      <c r="AO643" s="243" t="str">
        <f>'All Ticker P&amp;L'!D643</f>
        <v/>
      </c>
      <c r="AP643" s="243">
        <f>IF($AL643="",0,'All Ticker P&amp;L'!E643)</f>
        <v>0</v>
      </c>
      <c r="AQ643" s="266">
        <f>IF($AL643="",0,'All Ticker P&amp;L'!J643*'All Ticker P&amp;L'!I643)</f>
        <v>0</v>
      </c>
      <c r="AR643" s="266">
        <f>IF($AL643="",0,'All Ticker P&amp;L'!L643)</f>
        <v>0</v>
      </c>
      <c r="AS643" s="267">
        <f>IF($AL643="",0,'All Ticker P&amp;L'!M643)</f>
        <v>0</v>
      </c>
      <c r="AT643" s="243" t="str">
        <f>IF($AL643="","",RANK(AR643,$AR$2:$AR$1001)+COUNTIF($AR$2:AR643,AR643)-1)</f>
        <v/>
      </c>
      <c r="AU643" s="243" t="str">
        <f>IF($AL643="","",RANK(AV643,$AV$2:$AV$1001)+COUNTIF($AV$2:AV643,AV643)-1)</f>
        <v/>
      </c>
      <c r="AV643" s="266">
        <f t="shared" si="52"/>
        <v>0</v>
      </c>
    </row>
    <row r="644" spans="26:48" ht="15" customHeight="1" x14ac:dyDescent="0.2">
      <c r="Z644" s="243" t="str">
        <f>Shares!A644</f>
        <v/>
      </c>
      <c r="AA644" s="243" t="str">
        <f>Shares!B644</f>
        <v/>
      </c>
      <c r="AB644" s="243" t="str">
        <f>Shares!C644</f>
        <v/>
      </c>
      <c r="AC644" s="243" t="str">
        <f>Shares!D644</f>
        <v/>
      </c>
      <c r="AD644" s="243">
        <f>IF($Z644="",0,Shares!E644)</f>
        <v>0</v>
      </c>
      <c r="AE644" s="266">
        <f>IF($Z644="",0,Shares!J644*Shares!I644)</f>
        <v>0</v>
      </c>
      <c r="AF644" s="267">
        <f t="shared" si="51"/>
        <v>0</v>
      </c>
      <c r="AG644" s="266">
        <f>IF($Z644="",0,Shares!L644)</f>
        <v>0</v>
      </c>
      <c r="AH644" s="267">
        <f>IF($Z644="",0,Shares!M644)</f>
        <v>0</v>
      </c>
      <c r="AI644" s="243" t="str">
        <f>IF($Z644="","",RANK(AE644,$AE$2:$AE$1001)+COUNTIF($AE$2:AE644,AE644)-1)</f>
        <v/>
      </c>
      <c r="AJ644" s="243" t="str">
        <f>IF($AD644&lt;0,COUNT($AJ$1:AJ643)+1,"")</f>
        <v/>
      </c>
      <c r="AL644" s="243" t="str">
        <f>'All Ticker P&amp;L'!A644</f>
        <v/>
      </c>
      <c r="AM644" s="243" t="str">
        <f>'All Ticker P&amp;L'!B644</f>
        <v/>
      </c>
      <c r="AN644" s="243" t="str">
        <f>'All Ticker P&amp;L'!C644</f>
        <v/>
      </c>
      <c r="AO644" s="243" t="str">
        <f>'All Ticker P&amp;L'!D644</f>
        <v/>
      </c>
      <c r="AP644" s="243">
        <f>IF($AL644="",0,'All Ticker P&amp;L'!E644)</f>
        <v>0</v>
      </c>
      <c r="AQ644" s="266">
        <f>IF($AL644="",0,'All Ticker P&amp;L'!J644*'All Ticker P&amp;L'!I644)</f>
        <v>0</v>
      </c>
      <c r="AR644" s="266">
        <f>IF($AL644="",0,'All Ticker P&amp;L'!L644)</f>
        <v>0</v>
      </c>
      <c r="AS644" s="267">
        <f>IF($AL644="",0,'All Ticker P&amp;L'!M644)</f>
        <v>0</v>
      </c>
      <c r="AT644" s="243" t="str">
        <f>IF($AL644="","",RANK(AR644,$AR$2:$AR$1001)+COUNTIF($AR$2:AR644,AR644)-1)</f>
        <v/>
      </c>
      <c r="AU644" s="243" t="str">
        <f>IF($AL644="","",RANK(AV644,$AV$2:$AV$1001)+COUNTIF($AV$2:AV644,AV644)-1)</f>
        <v/>
      </c>
      <c r="AV644" s="266">
        <f t="shared" si="52"/>
        <v>0</v>
      </c>
    </row>
    <row r="645" spans="26:48" ht="15" customHeight="1" x14ac:dyDescent="0.2">
      <c r="Z645" s="243" t="str">
        <f>Shares!A645</f>
        <v/>
      </c>
      <c r="AA645" s="243" t="str">
        <f>Shares!B645</f>
        <v/>
      </c>
      <c r="AB645" s="243" t="str">
        <f>Shares!C645</f>
        <v/>
      </c>
      <c r="AC645" s="243" t="str">
        <f>Shares!D645</f>
        <v/>
      </c>
      <c r="AD645" s="243">
        <f>IF($Z645="",0,Shares!E645)</f>
        <v>0</v>
      </c>
      <c r="AE645" s="266">
        <f>IF($Z645="",0,Shares!J645*Shares!I645)</f>
        <v>0</v>
      </c>
      <c r="AF645" s="267">
        <f t="shared" si="51"/>
        <v>0</v>
      </c>
      <c r="AG645" s="266">
        <f>IF($Z645="",0,Shares!L645)</f>
        <v>0</v>
      </c>
      <c r="AH645" s="267">
        <f>IF($Z645="",0,Shares!M645)</f>
        <v>0</v>
      </c>
      <c r="AI645" s="243" t="str">
        <f>IF($Z645="","",RANK(AE645,$AE$2:$AE$1001)+COUNTIF($AE$2:AE645,AE645)-1)</f>
        <v/>
      </c>
      <c r="AJ645" s="243" t="str">
        <f>IF($AD645&lt;0,COUNT($AJ$1:AJ644)+1,"")</f>
        <v/>
      </c>
      <c r="AL645" s="243" t="str">
        <f>'All Ticker P&amp;L'!A645</f>
        <v/>
      </c>
      <c r="AM645" s="243" t="str">
        <f>'All Ticker P&amp;L'!B645</f>
        <v/>
      </c>
      <c r="AN645" s="243" t="str">
        <f>'All Ticker P&amp;L'!C645</f>
        <v/>
      </c>
      <c r="AO645" s="243" t="str">
        <f>'All Ticker P&amp;L'!D645</f>
        <v/>
      </c>
      <c r="AP645" s="243">
        <f>IF($AL645="",0,'All Ticker P&amp;L'!E645)</f>
        <v>0</v>
      </c>
      <c r="AQ645" s="266">
        <f>IF($AL645="",0,'All Ticker P&amp;L'!J645*'All Ticker P&amp;L'!I645)</f>
        <v>0</v>
      </c>
      <c r="AR645" s="266">
        <f>IF($AL645="",0,'All Ticker P&amp;L'!L645)</f>
        <v>0</v>
      </c>
      <c r="AS645" s="267">
        <f>IF($AL645="",0,'All Ticker P&amp;L'!M645)</f>
        <v>0</v>
      </c>
      <c r="AT645" s="243" t="str">
        <f>IF($AL645="","",RANK(AR645,$AR$2:$AR$1001)+COUNTIF($AR$2:AR645,AR645)-1)</f>
        <v/>
      </c>
      <c r="AU645" s="243" t="str">
        <f>IF($AL645="","",RANK(AV645,$AV$2:$AV$1001)+COUNTIF($AV$2:AV645,AV645)-1)</f>
        <v/>
      </c>
      <c r="AV645" s="266">
        <f t="shared" si="52"/>
        <v>0</v>
      </c>
    </row>
    <row r="646" spans="26:48" ht="15" customHeight="1" x14ac:dyDescent="0.2">
      <c r="Z646" s="243" t="str">
        <f>Shares!A646</f>
        <v/>
      </c>
      <c r="AA646" s="243" t="str">
        <f>Shares!B646</f>
        <v/>
      </c>
      <c r="AB646" s="243" t="str">
        <f>Shares!C646</f>
        <v/>
      </c>
      <c r="AC646" s="243" t="str">
        <f>Shares!D646</f>
        <v/>
      </c>
      <c r="AD646" s="243">
        <f>IF($Z646="",0,Shares!E646)</f>
        <v>0</v>
      </c>
      <c r="AE646" s="266">
        <f>IF($Z646="",0,Shares!J646*Shares!I646)</f>
        <v>0</v>
      </c>
      <c r="AF646" s="267">
        <f t="shared" si="51"/>
        <v>0</v>
      </c>
      <c r="AG646" s="266">
        <f>IF($Z646="",0,Shares!L646)</f>
        <v>0</v>
      </c>
      <c r="AH646" s="267">
        <f>IF($Z646="",0,Shares!M646)</f>
        <v>0</v>
      </c>
      <c r="AI646" s="243" t="str">
        <f>IF($Z646="","",RANK(AE646,$AE$2:$AE$1001)+COUNTIF($AE$2:AE646,AE646)-1)</f>
        <v/>
      </c>
      <c r="AJ646" s="243" t="str">
        <f>IF($AD646&lt;0,COUNT($AJ$1:AJ645)+1,"")</f>
        <v/>
      </c>
      <c r="AL646" s="243" t="str">
        <f>'All Ticker P&amp;L'!A646</f>
        <v/>
      </c>
      <c r="AM646" s="243" t="str">
        <f>'All Ticker P&amp;L'!B646</f>
        <v/>
      </c>
      <c r="AN646" s="243" t="str">
        <f>'All Ticker P&amp;L'!C646</f>
        <v/>
      </c>
      <c r="AO646" s="243" t="str">
        <f>'All Ticker P&amp;L'!D646</f>
        <v/>
      </c>
      <c r="AP646" s="243">
        <f>IF($AL646="",0,'All Ticker P&amp;L'!E646)</f>
        <v>0</v>
      </c>
      <c r="AQ646" s="266">
        <f>IF($AL646="",0,'All Ticker P&amp;L'!J646*'All Ticker P&amp;L'!I646)</f>
        <v>0</v>
      </c>
      <c r="AR646" s="266">
        <f>IF($AL646="",0,'All Ticker P&amp;L'!L646)</f>
        <v>0</v>
      </c>
      <c r="AS646" s="267">
        <f>IF($AL646="",0,'All Ticker P&amp;L'!M646)</f>
        <v>0</v>
      </c>
      <c r="AT646" s="243" t="str">
        <f>IF($AL646="","",RANK(AR646,$AR$2:$AR$1001)+COUNTIF($AR$2:AR646,AR646)-1)</f>
        <v/>
      </c>
      <c r="AU646" s="243" t="str">
        <f>IF($AL646="","",RANK(AV646,$AV$2:$AV$1001)+COUNTIF($AV$2:AV646,AV646)-1)</f>
        <v/>
      </c>
      <c r="AV646" s="266">
        <f t="shared" si="52"/>
        <v>0</v>
      </c>
    </row>
    <row r="647" spans="26:48" ht="15" customHeight="1" x14ac:dyDescent="0.2">
      <c r="Z647" s="243" t="str">
        <f>Shares!A647</f>
        <v/>
      </c>
      <c r="AA647" s="243" t="str">
        <f>Shares!B647</f>
        <v/>
      </c>
      <c r="AB647" s="243" t="str">
        <f>Shares!C647</f>
        <v/>
      </c>
      <c r="AC647" s="243" t="str">
        <f>Shares!D647</f>
        <v/>
      </c>
      <c r="AD647" s="243">
        <f>IF($Z647="",0,Shares!E647)</f>
        <v>0</v>
      </c>
      <c r="AE647" s="266">
        <f>IF($Z647="",0,Shares!J647*Shares!I647)</f>
        <v>0</v>
      </c>
      <c r="AF647" s="267">
        <f t="shared" si="51"/>
        <v>0</v>
      </c>
      <c r="AG647" s="266">
        <f>IF($Z647="",0,Shares!L647)</f>
        <v>0</v>
      </c>
      <c r="AH647" s="267">
        <f>IF($Z647="",0,Shares!M647)</f>
        <v>0</v>
      </c>
      <c r="AI647" s="243" t="str">
        <f>IF($Z647="","",RANK(AE647,$AE$2:$AE$1001)+COUNTIF($AE$2:AE647,AE647)-1)</f>
        <v/>
      </c>
      <c r="AJ647" s="243" t="str">
        <f>IF($AD647&lt;0,COUNT($AJ$1:AJ646)+1,"")</f>
        <v/>
      </c>
      <c r="AL647" s="243" t="str">
        <f>'All Ticker P&amp;L'!A647</f>
        <v/>
      </c>
      <c r="AM647" s="243" t="str">
        <f>'All Ticker P&amp;L'!B647</f>
        <v/>
      </c>
      <c r="AN647" s="243" t="str">
        <f>'All Ticker P&amp;L'!C647</f>
        <v/>
      </c>
      <c r="AO647" s="243" t="str">
        <f>'All Ticker P&amp;L'!D647</f>
        <v/>
      </c>
      <c r="AP647" s="243">
        <f>IF($AL647="",0,'All Ticker P&amp;L'!E647)</f>
        <v>0</v>
      </c>
      <c r="AQ647" s="266">
        <f>IF($AL647="",0,'All Ticker P&amp;L'!J647*'All Ticker P&amp;L'!I647)</f>
        <v>0</v>
      </c>
      <c r="AR647" s="266">
        <f>IF($AL647="",0,'All Ticker P&amp;L'!L647)</f>
        <v>0</v>
      </c>
      <c r="AS647" s="267">
        <f>IF($AL647="",0,'All Ticker P&amp;L'!M647)</f>
        <v>0</v>
      </c>
      <c r="AT647" s="243" t="str">
        <f>IF($AL647="","",RANK(AR647,$AR$2:$AR$1001)+COUNTIF($AR$2:AR647,AR647)-1)</f>
        <v/>
      </c>
      <c r="AU647" s="243" t="str">
        <f>IF($AL647="","",RANK(AV647,$AV$2:$AV$1001)+COUNTIF($AV$2:AV647,AV647)-1)</f>
        <v/>
      </c>
      <c r="AV647" s="266">
        <f t="shared" si="52"/>
        <v>0</v>
      </c>
    </row>
    <row r="648" spans="26:48" ht="15" customHeight="1" x14ac:dyDescent="0.2">
      <c r="Z648" s="243" t="str">
        <f>Shares!A648</f>
        <v/>
      </c>
      <c r="AA648" s="243" t="str">
        <f>Shares!B648</f>
        <v/>
      </c>
      <c r="AB648" s="243" t="str">
        <f>Shares!C648</f>
        <v/>
      </c>
      <c r="AC648" s="243" t="str">
        <f>Shares!D648</f>
        <v/>
      </c>
      <c r="AD648" s="243">
        <f>IF($Z648="",0,Shares!E648)</f>
        <v>0</v>
      </c>
      <c r="AE648" s="266">
        <f>IF($Z648="",0,Shares!J648*Shares!I648)</f>
        <v>0</v>
      </c>
      <c r="AF648" s="267">
        <f t="shared" si="51"/>
        <v>0</v>
      </c>
      <c r="AG648" s="266">
        <f>IF($Z648="",0,Shares!L648)</f>
        <v>0</v>
      </c>
      <c r="AH648" s="267">
        <f>IF($Z648="",0,Shares!M648)</f>
        <v>0</v>
      </c>
      <c r="AI648" s="243" t="str">
        <f>IF($Z648="","",RANK(AE648,$AE$2:$AE$1001)+COUNTIF($AE$2:AE648,AE648)-1)</f>
        <v/>
      </c>
      <c r="AJ648" s="243" t="str">
        <f>IF($AD648&lt;0,COUNT($AJ$1:AJ647)+1,"")</f>
        <v/>
      </c>
      <c r="AL648" s="243" t="str">
        <f>'All Ticker P&amp;L'!A648</f>
        <v/>
      </c>
      <c r="AM648" s="243" t="str">
        <f>'All Ticker P&amp;L'!B648</f>
        <v/>
      </c>
      <c r="AN648" s="243" t="str">
        <f>'All Ticker P&amp;L'!C648</f>
        <v/>
      </c>
      <c r="AO648" s="243" t="str">
        <f>'All Ticker P&amp;L'!D648</f>
        <v/>
      </c>
      <c r="AP648" s="243">
        <f>IF($AL648="",0,'All Ticker P&amp;L'!E648)</f>
        <v>0</v>
      </c>
      <c r="AQ648" s="266">
        <f>IF($AL648="",0,'All Ticker P&amp;L'!J648*'All Ticker P&amp;L'!I648)</f>
        <v>0</v>
      </c>
      <c r="AR648" s="266">
        <f>IF($AL648="",0,'All Ticker P&amp;L'!L648)</f>
        <v>0</v>
      </c>
      <c r="AS648" s="267">
        <f>IF($AL648="",0,'All Ticker P&amp;L'!M648)</f>
        <v>0</v>
      </c>
      <c r="AT648" s="243" t="str">
        <f>IF($AL648="","",RANK(AR648,$AR$2:$AR$1001)+COUNTIF($AR$2:AR648,AR648)-1)</f>
        <v/>
      </c>
      <c r="AU648" s="243" t="str">
        <f>IF($AL648="","",RANK(AV648,$AV$2:$AV$1001)+COUNTIF($AV$2:AV648,AV648)-1)</f>
        <v/>
      </c>
      <c r="AV648" s="266">
        <f t="shared" si="52"/>
        <v>0</v>
      </c>
    </row>
    <row r="649" spans="26:48" ht="15" customHeight="1" x14ac:dyDescent="0.2">
      <c r="Z649" s="243" t="str">
        <f>Shares!A649</f>
        <v/>
      </c>
      <c r="AA649" s="243" t="str">
        <f>Shares!B649</f>
        <v/>
      </c>
      <c r="AB649" s="243" t="str">
        <f>Shares!C649</f>
        <v/>
      </c>
      <c r="AC649" s="243" t="str">
        <f>Shares!D649</f>
        <v/>
      </c>
      <c r="AD649" s="243">
        <f>IF($Z649="",0,Shares!E649)</f>
        <v>0</v>
      </c>
      <c r="AE649" s="266">
        <f>IF($Z649="",0,Shares!J649*Shares!I649)</f>
        <v>0</v>
      </c>
      <c r="AF649" s="267">
        <f t="shared" si="51"/>
        <v>0</v>
      </c>
      <c r="AG649" s="266">
        <f>IF($Z649="",0,Shares!L649)</f>
        <v>0</v>
      </c>
      <c r="AH649" s="267">
        <f>IF($Z649="",0,Shares!M649)</f>
        <v>0</v>
      </c>
      <c r="AI649" s="243" t="str">
        <f>IF($Z649="","",RANK(AE649,$AE$2:$AE$1001)+COUNTIF($AE$2:AE649,AE649)-1)</f>
        <v/>
      </c>
      <c r="AJ649" s="243" t="str">
        <f>IF($AD649&lt;0,COUNT($AJ$1:AJ648)+1,"")</f>
        <v/>
      </c>
      <c r="AL649" s="243" t="str">
        <f>'All Ticker P&amp;L'!A649</f>
        <v/>
      </c>
      <c r="AM649" s="243" t="str">
        <f>'All Ticker P&amp;L'!B649</f>
        <v/>
      </c>
      <c r="AN649" s="243" t="str">
        <f>'All Ticker P&amp;L'!C649</f>
        <v/>
      </c>
      <c r="AO649" s="243" t="str">
        <f>'All Ticker P&amp;L'!D649</f>
        <v/>
      </c>
      <c r="AP649" s="243">
        <f>IF($AL649="",0,'All Ticker P&amp;L'!E649)</f>
        <v>0</v>
      </c>
      <c r="AQ649" s="266">
        <f>IF($AL649="",0,'All Ticker P&amp;L'!J649*'All Ticker P&amp;L'!I649)</f>
        <v>0</v>
      </c>
      <c r="AR649" s="266">
        <f>IF($AL649="",0,'All Ticker P&amp;L'!L649)</f>
        <v>0</v>
      </c>
      <c r="AS649" s="267">
        <f>IF($AL649="",0,'All Ticker P&amp;L'!M649)</f>
        <v>0</v>
      </c>
      <c r="AT649" s="243" t="str">
        <f>IF($AL649="","",RANK(AR649,$AR$2:$AR$1001)+COUNTIF($AR$2:AR649,AR649)-1)</f>
        <v/>
      </c>
      <c r="AU649" s="243" t="str">
        <f>IF($AL649="","",RANK(AV649,$AV$2:$AV$1001)+COUNTIF($AV$2:AV649,AV649)-1)</f>
        <v/>
      </c>
      <c r="AV649" s="266">
        <f t="shared" si="52"/>
        <v>0</v>
      </c>
    </row>
    <row r="650" spans="26:48" ht="15" customHeight="1" x14ac:dyDescent="0.2">
      <c r="Z650" s="243" t="str">
        <f>Shares!A650</f>
        <v/>
      </c>
      <c r="AA650" s="243" t="str">
        <f>Shares!B650</f>
        <v/>
      </c>
      <c r="AB650" s="243" t="str">
        <f>Shares!C650</f>
        <v/>
      </c>
      <c r="AC650" s="243" t="str">
        <f>Shares!D650</f>
        <v/>
      </c>
      <c r="AD650" s="243">
        <f>IF($Z650="",0,Shares!E650)</f>
        <v>0</v>
      </c>
      <c r="AE650" s="266">
        <f>IF($Z650="",0,Shares!J650*Shares!I650)</f>
        <v>0</v>
      </c>
      <c r="AF650" s="267">
        <f t="shared" si="51"/>
        <v>0</v>
      </c>
      <c r="AG650" s="266">
        <f>IF($Z650="",0,Shares!L650)</f>
        <v>0</v>
      </c>
      <c r="AH650" s="267">
        <f>IF($Z650="",0,Shares!M650)</f>
        <v>0</v>
      </c>
      <c r="AI650" s="243" t="str">
        <f>IF($Z650="","",RANK(AE650,$AE$2:$AE$1001)+COUNTIF($AE$2:AE650,AE650)-1)</f>
        <v/>
      </c>
      <c r="AJ650" s="243" t="str">
        <f>IF($AD650&lt;0,COUNT($AJ$1:AJ649)+1,"")</f>
        <v/>
      </c>
      <c r="AL650" s="243" t="str">
        <f>'All Ticker P&amp;L'!A650</f>
        <v/>
      </c>
      <c r="AM650" s="243" t="str">
        <f>'All Ticker P&amp;L'!B650</f>
        <v/>
      </c>
      <c r="AN650" s="243" t="str">
        <f>'All Ticker P&amp;L'!C650</f>
        <v/>
      </c>
      <c r="AO650" s="243" t="str">
        <f>'All Ticker P&amp;L'!D650</f>
        <v/>
      </c>
      <c r="AP650" s="243">
        <f>IF($AL650="",0,'All Ticker P&amp;L'!E650)</f>
        <v>0</v>
      </c>
      <c r="AQ650" s="266">
        <f>IF($AL650="",0,'All Ticker P&amp;L'!J650*'All Ticker P&amp;L'!I650)</f>
        <v>0</v>
      </c>
      <c r="AR650" s="266">
        <f>IF($AL650="",0,'All Ticker P&amp;L'!L650)</f>
        <v>0</v>
      </c>
      <c r="AS650" s="267">
        <f>IF($AL650="",0,'All Ticker P&amp;L'!M650)</f>
        <v>0</v>
      </c>
      <c r="AT650" s="243" t="str">
        <f>IF($AL650="","",RANK(AR650,$AR$2:$AR$1001)+COUNTIF($AR$2:AR650,AR650)-1)</f>
        <v/>
      </c>
      <c r="AU650" s="243" t="str">
        <f>IF($AL650="","",RANK(AV650,$AV$2:$AV$1001)+COUNTIF($AV$2:AV650,AV650)-1)</f>
        <v/>
      </c>
      <c r="AV650" s="266">
        <f t="shared" si="52"/>
        <v>0</v>
      </c>
    </row>
    <row r="651" spans="26:48" ht="15" customHeight="1" x14ac:dyDescent="0.2">
      <c r="Z651" s="243" t="str">
        <f>Shares!A651</f>
        <v/>
      </c>
      <c r="AA651" s="243" t="str">
        <f>Shares!B651</f>
        <v/>
      </c>
      <c r="AB651" s="243" t="str">
        <f>Shares!C651</f>
        <v/>
      </c>
      <c r="AC651" s="243" t="str">
        <f>Shares!D651</f>
        <v/>
      </c>
      <c r="AD651" s="243">
        <f>IF($Z651="",0,Shares!E651)</f>
        <v>0</v>
      </c>
      <c r="AE651" s="266">
        <f>IF($Z651="",0,Shares!J651*Shares!I651)</f>
        <v>0</v>
      </c>
      <c r="AF651" s="267">
        <f t="shared" si="51"/>
        <v>0</v>
      </c>
      <c r="AG651" s="266">
        <f>IF($Z651="",0,Shares!L651)</f>
        <v>0</v>
      </c>
      <c r="AH651" s="267">
        <f>IF($Z651="",0,Shares!M651)</f>
        <v>0</v>
      </c>
      <c r="AI651" s="243" t="str">
        <f>IF($Z651="","",RANK(AE651,$AE$2:$AE$1001)+COUNTIF($AE$2:AE651,AE651)-1)</f>
        <v/>
      </c>
      <c r="AJ651" s="243" t="str">
        <f>IF($AD651&lt;0,COUNT($AJ$1:AJ650)+1,"")</f>
        <v/>
      </c>
      <c r="AL651" s="243" t="str">
        <f>'All Ticker P&amp;L'!A651</f>
        <v/>
      </c>
      <c r="AM651" s="243" t="str">
        <f>'All Ticker P&amp;L'!B651</f>
        <v/>
      </c>
      <c r="AN651" s="243" t="str">
        <f>'All Ticker P&amp;L'!C651</f>
        <v/>
      </c>
      <c r="AO651" s="243" t="str">
        <f>'All Ticker P&amp;L'!D651</f>
        <v/>
      </c>
      <c r="AP651" s="243">
        <f>IF($AL651="",0,'All Ticker P&amp;L'!E651)</f>
        <v>0</v>
      </c>
      <c r="AQ651" s="266">
        <f>IF($AL651="",0,'All Ticker P&amp;L'!J651*'All Ticker P&amp;L'!I651)</f>
        <v>0</v>
      </c>
      <c r="AR651" s="266">
        <f>IF($AL651="",0,'All Ticker P&amp;L'!L651)</f>
        <v>0</v>
      </c>
      <c r="AS651" s="267">
        <f>IF($AL651="",0,'All Ticker P&amp;L'!M651)</f>
        <v>0</v>
      </c>
      <c r="AT651" s="243" t="str">
        <f>IF($AL651="","",RANK(AR651,$AR$2:$AR$1001)+COUNTIF($AR$2:AR651,AR651)-1)</f>
        <v/>
      </c>
      <c r="AU651" s="243" t="str">
        <f>IF($AL651="","",RANK(AV651,$AV$2:$AV$1001)+COUNTIF($AV$2:AV651,AV651)-1)</f>
        <v/>
      </c>
      <c r="AV651" s="266">
        <f t="shared" si="52"/>
        <v>0</v>
      </c>
    </row>
    <row r="652" spans="26:48" ht="15" customHeight="1" x14ac:dyDescent="0.2">
      <c r="Z652" s="243" t="str">
        <f>Shares!A652</f>
        <v/>
      </c>
      <c r="AA652" s="243" t="str">
        <f>Shares!B652</f>
        <v/>
      </c>
      <c r="AB652" s="243" t="str">
        <f>Shares!C652</f>
        <v/>
      </c>
      <c r="AC652" s="243" t="str">
        <f>Shares!D652</f>
        <v/>
      </c>
      <c r="AD652" s="243">
        <f>IF($Z652="",0,Shares!E652)</f>
        <v>0</v>
      </c>
      <c r="AE652" s="266">
        <f>IF($Z652="",0,Shares!J652*Shares!I652)</f>
        <v>0</v>
      </c>
      <c r="AF652" s="267">
        <f t="shared" si="51"/>
        <v>0</v>
      </c>
      <c r="AG652" s="266">
        <f>IF($Z652="",0,Shares!L652)</f>
        <v>0</v>
      </c>
      <c r="AH652" s="267">
        <f>IF($Z652="",0,Shares!M652)</f>
        <v>0</v>
      </c>
      <c r="AI652" s="243" t="str">
        <f>IF($Z652="","",RANK(AE652,$AE$2:$AE$1001)+COUNTIF($AE$2:AE652,AE652)-1)</f>
        <v/>
      </c>
      <c r="AJ652" s="243" t="str">
        <f>IF($AD652&lt;0,COUNT($AJ$1:AJ651)+1,"")</f>
        <v/>
      </c>
      <c r="AL652" s="243" t="str">
        <f>'All Ticker P&amp;L'!A652</f>
        <v/>
      </c>
      <c r="AM652" s="243" t="str">
        <f>'All Ticker P&amp;L'!B652</f>
        <v/>
      </c>
      <c r="AN652" s="243" t="str">
        <f>'All Ticker P&amp;L'!C652</f>
        <v/>
      </c>
      <c r="AO652" s="243" t="str">
        <f>'All Ticker P&amp;L'!D652</f>
        <v/>
      </c>
      <c r="AP652" s="243">
        <f>IF($AL652="",0,'All Ticker P&amp;L'!E652)</f>
        <v>0</v>
      </c>
      <c r="AQ652" s="266">
        <f>IF($AL652="",0,'All Ticker P&amp;L'!J652*'All Ticker P&amp;L'!I652)</f>
        <v>0</v>
      </c>
      <c r="AR652" s="266">
        <f>IF($AL652="",0,'All Ticker P&amp;L'!L652)</f>
        <v>0</v>
      </c>
      <c r="AS652" s="267">
        <f>IF($AL652="",0,'All Ticker P&amp;L'!M652)</f>
        <v>0</v>
      </c>
      <c r="AT652" s="243" t="str">
        <f>IF($AL652="","",RANK(AR652,$AR$2:$AR$1001)+COUNTIF($AR$2:AR652,AR652)-1)</f>
        <v/>
      </c>
      <c r="AU652" s="243" t="str">
        <f>IF($AL652="","",RANK(AV652,$AV$2:$AV$1001)+COUNTIF($AV$2:AV652,AV652)-1)</f>
        <v/>
      </c>
      <c r="AV652" s="266">
        <f t="shared" si="52"/>
        <v>0</v>
      </c>
    </row>
    <row r="653" spans="26:48" ht="15" customHeight="1" x14ac:dyDescent="0.2">
      <c r="Z653" s="243" t="str">
        <f>Shares!A653</f>
        <v/>
      </c>
      <c r="AA653" s="243" t="str">
        <f>Shares!B653</f>
        <v/>
      </c>
      <c r="AB653" s="243" t="str">
        <f>Shares!C653</f>
        <v/>
      </c>
      <c r="AC653" s="243" t="str">
        <f>Shares!D653</f>
        <v/>
      </c>
      <c r="AD653" s="243">
        <f>IF($Z653="",0,Shares!E653)</f>
        <v>0</v>
      </c>
      <c r="AE653" s="266">
        <f>IF($Z653="",0,Shares!J653*Shares!I653)</f>
        <v>0</v>
      </c>
      <c r="AF653" s="267">
        <f t="shared" si="51"/>
        <v>0</v>
      </c>
      <c r="AG653" s="266">
        <f>IF($Z653="",0,Shares!L653)</f>
        <v>0</v>
      </c>
      <c r="AH653" s="267">
        <f>IF($Z653="",0,Shares!M653)</f>
        <v>0</v>
      </c>
      <c r="AI653" s="243" t="str">
        <f>IF($Z653="","",RANK(AE653,$AE$2:$AE$1001)+COUNTIF($AE$2:AE653,AE653)-1)</f>
        <v/>
      </c>
      <c r="AJ653" s="243" t="str">
        <f>IF($AD653&lt;0,COUNT($AJ$1:AJ652)+1,"")</f>
        <v/>
      </c>
      <c r="AL653" s="243" t="str">
        <f>'All Ticker P&amp;L'!A653</f>
        <v/>
      </c>
      <c r="AM653" s="243" t="str">
        <f>'All Ticker P&amp;L'!B653</f>
        <v/>
      </c>
      <c r="AN653" s="243" t="str">
        <f>'All Ticker P&amp;L'!C653</f>
        <v/>
      </c>
      <c r="AO653" s="243" t="str">
        <f>'All Ticker P&amp;L'!D653</f>
        <v/>
      </c>
      <c r="AP653" s="243">
        <f>IF($AL653="",0,'All Ticker P&amp;L'!E653)</f>
        <v>0</v>
      </c>
      <c r="AQ653" s="266">
        <f>IF($AL653="",0,'All Ticker P&amp;L'!J653*'All Ticker P&amp;L'!I653)</f>
        <v>0</v>
      </c>
      <c r="AR653" s="266">
        <f>IF($AL653="",0,'All Ticker P&amp;L'!L653)</f>
        <v>0</v>
      </c>
      <c r="AS653" s="267">
        <f>IF($AL653="",0,'All Ticker P&amp;L'!M653)</f>
        <v>0</v>
      </c>
      <c r="AT653" s="243" t="str">
        <f>IF($AL653="","",RANK(AR653,$AR$2:$AR$1001)+COUNTIF($AR$2:AR653,AR653)-1)</f>
        <v/>
      </c>
      <c r="AU653" s="243" t="str">
        <f>IF($AL653="","",RANK(AV653,$AV$2:$AV$1001)+COUNTIF($AV$2:AV653,AV653)-1)</f>
        <v/>
      </c>
      <c r="AV653" s="266">
        <f t="shared" si="52"/>
        <v>0</v>
      </c>
    </row>
    <row r="654" spans="26:48" ht="15" customHeight="1" x14ac:dyDescent="0.2">
      <c r="Z654" s="243" t="str">
        <f>Shares!A654</f>
        <v/>
      </c>
      <c r="AA654" s="243" t="str">
        <f>Shares!B654</f>
        <v/>
      </c>
      <c r="AB654" s="243" t="str">
        <f>Shares!C654</f>
        <v/>
      </c>
      <c r="AC654" s="243" t="str">
        <f>Shares!D654</f>
        <v/>
      </c>
      <c r="AD654" s="243">
        <f>IF($Z654="",0,Shares!E654)</f>
        <v>0</v>
      </c>
      <c r="AE654" s="266">
        <f>IF($Z654="",0,Shares!J654*Shares!I654)</f>
        <v>0</v>
      </c>
      <c r="AF654" s="267">
        <f t="shared" si="51"/>
        <v>0</v>
      </c>
      <c r="AG654" s="266">
        <f>IF($Z654="",0,Shares!L654)</f>
        <v>0</v>
      </c>
      <c r="AH654" s="267">
        <f>IF($Z654="",0,Shares!M654)</f>
        <v>0</v>
      </c>
      <c r="AI654" s="243" t="str">
        <f>IF($Z654="","",RANK(AE654,$AE$2:$AE$1001)+COUNTIF($AE$2:AE654,AE654)-1)</f>
        <v/>
      </c>
      <c r="AJ654" s="243" t="str">
        <f>IF($AD654&lt;0,COUNT($AJ$1:AJ653)+1,"")</f>
        <v/>
      </c>
      <c r="AL654" s="243" t="str">
        <f>'All Ticker P&amp;L'!A654</f>
        <v/>
      </c>
      <c r="AM654" s="243" t="str">
        <f>'All Ticker P&amp;L'!B654</f>
        <v/>
      </c>
      <c r="AN654" s="243" t="str">
        <f>'All Ticker P&amp;L'!C654</f>
        <v/>
      </c>
      <c r="AO654" s="243" t="str">
        <f>'All Ticker P&amp;L'!D654</f>
        <v/>
      </c>
      <c r="AP654" s="243">
        <f>IF($AL654="",0,'All Ticker P&amp;L'!E654)</f>
        <v>0</v>
      </c>
      <c r="AQ654" s="266">
        <f>IF($AL654="",0,'All Ticker P&amp;L'!J654*'All Ticker P&amp;L'!I654)</f>
        <v>0</v>
      </c>
      <c r="AR654" s="266">
        <f>IF($AL654="",0,'All Ticker P&amp;L'!L654)</f>
        <v>0</v>
      </c>
      <c r="AS654" s="267">
        <f>IF($AL654="",0,'All Ticker P&amp;L'!M654)</f>
        <v>0</v>
      </c>
      <c r="AT654" s="243" t="str">
        <f>IF($AL654="","",RANK(AR654,$AR$2:$AR$1001)+COUNTIF($AR$2:AR654,AR654)-1)</f>
        <v/>
      </c>
      <c r="AU654" s="243" t="str">
        <f>IF($AL654="","",RANK(AV654,$AV$2:$AV$1001)+COUNTIF($AV$2:AV654,AV654)-1)</f>
        <v/>
      </c>
      <c r="AV654" s="266">
        <f t="shared" si="52"/>
        <v>0</v>
      </c>
    </row>
    <row r="655" spans="26:48" ht="15" customHeight="1" x14ac:dyDescent="0.2">
      <c r="Z655" s="243" t="str">
        <f>Shares!A655</f>
        <v/>
      </c>
      <c r="AA655" s="243" t="str">
        <f>Shares!B655</f>
        <v/>
      </c>
      <c r="AB655" s="243" t="str">
        <f>Shares!C655</f>
        <v/>
      </c>
      <c r="AC655" s="243" t="str">
        <f>Shares!D655</f>
        <v/>
      </c>
      <c r="AD655" s="243">
        <f>IF($Z655="",0,Shares!E655)</f>
        <v>0</v>
      </c>
      <c r="AE655" s="266">
        <f>IF($Z655="",0,Shares!J655*Shares!I655)</f>
        <v>0</v>
      </c>
      <c r="AF655" s="267">
        <f t="shared" si="51"/>
        <v>0</v>
      </c>
      <c r="AG655" s="266">
        <f>IF($Z655="",0,Shares!L655)</f>
        <v>0</v>
      </c>
      <c r="AH655" s="267">
        <f>IF($Z655="",0,Shares!M655)</f>
        <v>0</v>
      </c>
      <c r="AI655" s="243" t="str">
        <f>IF($Z655="","",RANK(AE655,$AE$2:$AE$1001)+COUNTIF($AE$2:AE655,AE655)-1)</f>
        <v/>
      </c>
      <c r="AJ655" s="243" t="str">
        <f>IF($AD655&lt;0,COUNT($AJ$1:AJ654)+1,"")</f>
        <v/>
      </c>
      <c r="AL655" s="243" t="str">
        <f>'All Ticker P&amp;L'!A655</f>
        <v/>
      </c>
      <c r="AM655" s="243" t="str">
        <f>'All Ticker P&amp;L'!B655</f>
        <v/>
      </c>
      <c r="AN655" s="243" t="str">
        <f>'All Ticker P&amp;L'!C655</f>
        <v/>
      </c>
      <c r="AO655" s="243" t="str">
        <f>'All Ticker P&amp;L'!D655</f>
        <v/>
      </c>
      <c r="AP655" s="243">
        <f>IF($AL655="",0,'All Ticker P&amp;L'!E655)</f>
        <v>0</v>
      </c>
      <c r="AQ655" s="266">
        <f>IF($AL655="",0,'All Ticker P&amp;L'!J655*'All Ticker P&amp;L'!I655)</f>
        <v>0</v>
      </c>
      <c r="AR655" s="266">
        <f>IF($AL655="",0,'All Ticker P&amp;L'!L655)</f>
        <v>0</v>
      </c>
      <c r="AS655" s="267">
        <f>IF($AL655="",0,'All Ticker P&amp;L'!M655)</f>
        <v>0</v>
      </c>
      <c r="AT655" s="243" t="str">
        <f>IF($AL655="","",RANK(AR655,$AR$2:$AR$1001)+COUNTIF($AR$2:AR655,AR655)-1)</f>
        <v/>
      </c>
      <c r="AU655" s="243" t="str">
        <f>IF($AL655="","",RANK(AV655,$AV$2:$AV$1001)+COUNTIF($AV$2:AV655,AV655)-1)</f>
        <v/>
      </c>
      <c r="AV655" s="266">
        <f t="shared" si="52"/>
        <v>0</v>
      </c>
    </row>
    <row r="656" spans="26:48" ht="15" customHeight="1" x14ac:dyDescent="0.2">
      <c r="Z656" s="243" t="str">
        <f>Shares!A656</f>
        <v/>
      </c>
      <c r="AA656" s="243" t="str">
        <f>Shares!B656</f>
        <v/>
      </c>
      <c r="AB656" s="243" t="str">
        <f>Shares!C656</f>
        <v/>
      </c>
      <c r="AC656" s="243" t="str">
        <f>Shares!D656</f>
        <v/>
      </c>
      <c r="AD656" s="243">
        <f>IF($Z656="",0,Shares!E656)</f>
        <v>0</v>
      </c>
      <c r="AE656" s="266">
        <f>IF($Z656="",0,Shares!J656*Shares!I656)</f>
        <v>0</v>
      </c>
      <c r="AF656" s="267">
        <f t="shared" si="51"/>
        <v>0</v>
      </c>
      <c r="AG656" s="266">
        <f>IF($Z656="",0,Shares!L656)</f>
        <v>0</v>
      </c>
      <c r="AH656" s="267">
        <f>IF($Z656="",0,Shares!M656)</f>
        <v>0</v>
      </c>
      <c r="AI656" s="243" t="str">
        <f>IF($Z656="","",RANK(AE656,$AE$2:$AE$1001)+COUNTIF($AE$2:AE656,AE656)-1)</f>
        <v/>
      </c>
      <c r="AJ656" s="243" t="str">
        <f>IF($AD656&lt;0,COUNT($AJ$1:AJ655)+1,"")</f>
        <v/>
      </c>
      <c r="AL656" s="243" t="str">
        <f>'All Ticker P&amp;L'!A656</f>
        <v/>
      </c>
      <c r="AM656" s="243" t="str">
        <f>'All Ticker P&amp;L'!B656</f>
        <v/>
      </c>
      <c r="AN656" s="243" t="str">
        <f>'All Ticker P&amp;L'!C656</f>
        <v/>
      </c>
      <c r="AO656" s="243" t="str">
        <f>'All Ticker P&amp;L'!D656</f>
        <v/>
      </c>
      <c r="AP656" s="243">
        <f>IF($AL656="",0,'All Ticker P&amp;L'!E656)</f>
        <v>0</v>
      </c>
      <c r="AQ656" s="266">
        <f>IF($AL656="",0,'All Ticker P&amp;L'!J656*'All Ticker P&amp;L'!I656)</f>
        <v>0</v>
      </c>
      <c r="AR656" s="266">
        <f>IF($AL656="",0,'All Ticker P&amp;L'!L656)</f>
        <v>0</v>
      </c>
      <c r="AS656" s="267">
        <f>IF($AL656="",0,'All Ticker P&amp;L'!M656)</f>
        <v>0</v>
      </c>
      <c r="AT656" s="243" t="str">
        <f>IF($AL656="","",RANK(AR656,$AR$2:$AR$1001)+COUNTIF($AR$2:AR656,AR656)-1)</f>
        <v/>
      </c>
      <c r="AU656" s="243" t="str">
        <f>IF($AL656="","",RANK(AV656,$AV$2:$AV$1001)+COUNTIF($AV$2:AV656,AV656)-1)</f>
        <v/>
      </c>
      <c r="AV656" s="266">
        <f t="shared" si="52"/>
        <v>0</v>
      </c>
    </row>
    <row r="657" spans="26:48" ht="15" customHeight="1" x14ac:dyDescent="0.2">
      <c r="Z657" s="243" t="str">
        <f>Shares!A657</f>
        <v/>
      </c>
      <c r="AA657" s="243" t="str">
        <f>Shares!B657</f>
        <v/>
      </c>
      <c r="AB657" s="243" t="str">
        <f>Shares!C657</f>
        <v/>
      </c>
      <c r="AC657" s="243" t="str">
        <f>Shares!D657</f>
        <v/>
      </c>
      <c r="AD657" s="243">
        <f>IF($Z657="",0,Shares!E657)</f>
        <v>0</v>
      </c>
      <c r="AE657" s="266">
        <f>IF($Z657="",0,Shares!J657*Shares!I657)</f>
        <v>0</v>
      </c>
      <c r="AF657" s="267">
        <f t="shared" si="51"/>
        <v>0</v>
      </c>
      <c r="AG657" s="266">
        <f>IF($Z657="",0,Shares!L657)</f>
        <v>0</v>
      </c>
      <c r="AH657" s="267">
        <f>IF($Z657="",0,Shares!M657)</f>
        <v>0</v>
      </c>
      <c r="AI657" s="243" t="str">
        <f>IF($Z657="","",RANK(AE657,$AE$2:$AE$1001)+COUNTIF($AE$2:AE657,AE657)-1)</f>
        <v/>
      </c>
      <c r="AJ657" s="243" t="str">
        <f>IF($AD657&lt;0,COUNT($AJ$1:AJ656)+1,"")</f>
        <v/>
      </c>
      <c r="AL657" s="243" t="str">
        <f>'All Ticker P&amp;L'!A657</f>
        <v/>
      </c>
      <c r="AM657" s="243" t="str">
        <f>'All Ticker P&amp;L'!B657</f>
        <v/>
      </c>
      <c r="AN657" s="243" t="str">
        <f>'All Ticker P&amp;L'!C657</f>
        <v/>
      </c>
      <c r="AO657" s="243" t="str">
        <f>'All Ticker P&amp;L'!D657</f>
        <v/>
      </c>
      <c r="AP657" s="243">
        <f>IF($AL657="",0,'All Ticker P&amp;L'!E657)</f>
        <v>0</v>
      </c>
      <c r="AQ657" s="266">
        <f>IF($AL657="",0,'All Ticker P&amp;L'!J657*'All Ticker P&amp;L'!I657)</f>
        <v>0</v>
      </c>
      <c r="AR657" s="266">
        <f>IF($AL657="",0,'All Ticker P&amp;L'!L657)</f>
        <v>0</v>
      </c>
      <c r="AS657" s="267">
        <f>IF($AL657="",0,'All Ticker P&amp;L'!M657)</f>
        <v>0</v>
      </c>
      <c r="AT657" s="243" t="str">
        <f>IF($AL657="","",RANK(AR657,$AR$2:$AR$1001)+COUNTIF($AR$2:AR657,AR657)-1)</f>
        <v/>
      </c>
      <c r="AU657" s="243" t="str">
        <f>IF($AL657="","",RANK(AV657,$AV$2:$AV$1001)+COUNTIF($AV$2:AV657,AV657)-1)</f>
        <v/>
      </c>
      <c r="AV657" s="266">
        <f t="shared" si="52"/>
        <v>0</v>
      </c>
    </row>
    <row r="658" spans="26:48" ht="15" customHeight="1" x14ac:dyDescent="0.2">
      <c r="Z658" s="243" t="str">
        <f>Shares!A658</f>
        <v/>
      </c>
      <c r="AA658" s="243" t="str">
        <f>Shares!B658</f>
        <v/>
      </c>
      <c r="AB658" s="243" t="str">
        <f>Shares!C658</f>
        <v/>
      </c>
      <c r="AC658" s="243" t="str">
        <f>Shares!D658</f>
        <v/>
      </c>
      <c r="AD658" s="243">
        <f>IF($Z658="",0,Shares!E658)</f>
        <v>0</v>
      </c>
      <c r="AE658" s="266">
        <f>IF($Z658="",0,Shares!J658*Shares!I658)</f>
        <v>0</v>
      </c>
      <c r="AF658" s="267">
        <f t="shared" si="51"/>
        <v>0</v>
      </c>
      <c r="AG658" s="266">
        <f>IF($Z658="",0,Shares!L658)</f>
        <v>0</v>
      </c>
      <c r="AH658" s="267">
        <f>IF($Z658="",0,Shares!M658)</f>
        <v>0</v>
      </c>
      <c r="AI658" s="243" t="str">
        <f>IF($Z658="","",RANK(AE658,$AE$2:$AE$1001)+COUNTIF($AE$2:AE658,AE658)-1)</f>
        <v/>
      </c>
      <c r="AJ658" s="243" t="str">
        <f>IF($AD658&lt;0,COUNT($AJ$1:AJ657)+1,"")</f>
        <v/>
      </c>
      <c r="AL658" s="243" t="str">
        <f>'All Ticker P&amp;L'!A658</f>
        <v/>
      </c>
      <c r="AM658" s="243" t="str">
        <f>'All Ticker P&amp;L'!B658</f>
        <v/>
      </c>
      <c r="AN658" s="243" t="str">
        <f>'All Ticker P&amp;L'!C658</f>
        <v/>
      </c>
      <c r="AO658" s="243" t="str">
        <f>'All Ticker P&amp;L'!D658</f>
        <v/>
      </c>
      <c r="AP658" s="243">
        <f>IF($AL658="",0,'All Ticker P&amp;L'!E658)</f>
        <v>0</v>
      </c>
      <c r="AQ658" s="266">
        <f>IF($AL658="",0,'All Ticker P&amp;L'!J658*'All Ticker P&amp;L'!I658)</f>
        <v>0</v>
      </c>
      <c r="AR658" s="266">
        <f>IF($AL658="",0,'All Ticker P&amp;L'!L658)</f>
        <v>0</v>
      </c>
      <c r="AS658" s="267">
        <f>IF($AL658="",0,'All Ticker P&amp;L'!M658)</f>
        <v>0</v>
      </c>
      <c r="AT658" s="243" t="str">
        <f>IF($AL658="","",RANK(AR658,$AR$2:$AR$1001)+COUNTIF($AR$2:AR658,AR658)-1)</f>
        <v/>
      </c>
      <c r="AU658" s="243" t="str">
        <f>IF($AL658="","",RANK(AV658,$AV$2:$AV$1001)+COUNTIF($AV$2:AV658,AV658)-1)</f>
        <v/>
      </c>
      <c r="AV658" s="266">
        <f t="shared" si="52"/>
        <v>0</v>
      </c>
    </row>
    <row r="659" spans="26:48" ht="15" customHeight="1" x14ac:dyDescent="0.2">
      <c r="Z659" s="243" t="str">
        <f>Shares!A659</f>
        <v/>
      </c>
      <c r="AA659" s="243" t="str">
        <f>Shares!B659</f>
        <v/>
      </c>
      <c r="AB659" s="243" t="str">
        <f>Shares!C659</f>
        <v/>
      </c>
      <c r="AC659" s="243" t="str">
        <f>Shares!D659</f>
        <v/>
      </c>
      <c r="AD659" s="243">
        <f>IF($Z659="",0,Shares!E659)</f>
        <v>0</v>
      </c>
      <c r="AE659" s="266">
        <f>IF($Z659="",0,Shares!J659*Shares!I659)</f>
        <v>0</v>
      </c>
      <c r="AF659" s="267">
        <f t="shared" si="51"/>
        <v>0</v>
      </c>
      <c r="AG659" s="266">
        <f>IF($Z659="",0,Shares!L659)</f>
        <v>0</v>
      </c>
      <c r="AH659" s="267">
        <f>IF($Z659="",0,Shares!M659)</f>
        <v>0</v>
      </c>
      <c r="AI659" s="243" t="str">
        <f>IF($Z659="","",RANK(AE659,$AE$2:$AE$1001)+COUNTIF($AE$2:AE659,AE659)-1)</f>
        <v/>
      </c>
      <c r="AJ659" s="243" t="str">
        <f>IF($AD659&lt;0,COUNT($AJ$1:AJ658)+1,"")</f>
        <v/>
      </c>
      <c r="AL659" s="243" t="str">
        <f>'All Ticker P&amp;L'!A659</f>
        <v/>
      </c>
      <c r="AM659" s="243" t="str">
        <f>'All Ticker P&amp;L'!B659</f>
        <v/>
      </c>
      <c r="AN659" s="243" t="str">
        <f>'All Ticker P&amp;L'!C659</f>
        <v/>
      </c>
      <c r="AO659" s="243" t="str">
        <f>'All Ticker P&amp;L'!D659</f>
        <v/>
      </c>
      <c r="AP659" s="243">
        <f>IF($AL659="",0,'All Ticker P&amp;L'!E659)</f>
        <v>0</v>
      </c>
      <c r="AQ659" s="266">
        <f>IF($AL659="",0,'All Ticker P&amp;L'!J659*'All Ticker P&amp;L'!I659)</f>
        <v>0</v>
      </c>
      <c r="AR659" s="266">
        <f>IF($AL659="",0,'All Ticker P&amp;L'!L659)</f>
        <v>0</v>
      </c>
      <c r="AS659" s="267">
        <f>IF($AL659="",0,'All Ticker P&amp;L'!M659)</f>
        <v>0</v>
      </c>
      <c r="AT659" s="243" t="str">
        <f>IF($AL659="","",RANK(AR659,$AR$2:$AR$1001)+COUNTIF($AR$2:AR659,AR659)-1)</f>
        <v/>
      </c>
      <c r="AU659" s="243" t="str">
        <f>IF($AL659="","",RANK(AV659,$AV$2:$AV$1001)+COUNTIF($AV$2:AV659,AV659)-1)</f>
        <v/>
      </c>
      <c r="AV659" s="266">
        <f t="shared" si="52"/>
        <v>0</v>
      </c>
    </row>
    <row r="660" spans="26:48" ht="15" customHeight="1" x14ac:dyDescent="0.2">
      <c r="Z660" s="243" t="str">
        <f>Shares!A660</f>
        <v/>
      </c>
      <c r="AA660" s="243" t="str">
        <f>Shares!B660</f>
        <v/>
      </c>
      <c r="AB660" s="243" t="str">
        <f>Shares!C660</f>
        <v/>
      </c>
      <c r="AC660" s="243" t="str">
        <f>Shares!D660</f>
        <v/>
      </c>
      <c r="AD660" s="243">
        <f>IF($Z660="",0,Shares!E660)</f>
        <v>0</v>
      </c>
      <c r="AE660" s="266">
        <f>IF($Z660="",0,Shares!J660*Shares!I660)</f>
        <v>0</v>
      </c>
      <c r="AF660" s="267">
        <f t="shared" si="51"/>
        <v>0</v>
      </c>
      <c r="AG660" s="266">
        <f>IF($Z660="",0,Shares!L660)</f>
        <v>0</v>
      </c>
      <c r="AH660" s="267">
        <f>IF($Z660="",0,Shares!M660)</f>
        <v>0</v>
      </c>
      <c r="AI660" s="243" t="str">
        <f>IF($Z660="","",RANK(AE660,$AE$2:$AE$1001)+COUNTIF($AE$2:AE660,AE660)-1)</f>
        <v/>
      </c>
      <c r="AJ660" s="243" t="str">
        <f>IF($AD660&lt;0,COUNT($AJ$1:AJ659)+1,"")</f>
        <v/>
      </c>
      <c r="AL660" s="243" t="str">
        <f>'All Ticker P&amp;L'!A660</f>
        <v/>
      </c>
      <c r="AM660" s="243" t="str">
        <f>'All Ticker P&amp;L'!B660</f>
        <v/>
      </c>
      <c r="AN660" s="243" t="str">
        <f>'All Ticker P&amp;L'!C660</f>
        <v/>
      </c>
      <c r="AO660" s="243" t="str">
        <f>'All Ticker P&amp;L'!D660</f>
        <v/>
      </c>
      <c r="AP660" s="243">
        <f>IF($AL660="",0,'All Ticker P&amp;L'!E660)</f>
        <v>0</v>
      </c>
      <c r="AQ660" s="266">
        <f>IF($AL660="",0,'All Ticker P&amp;L'!J660*'All Ticker P&amp;L'!I660)</f>
        <v>0</v>
      </c>
      <c r="AR660" s="266">
        <f>IF($AL660="",0,'All Ticker P&amp;L'!L660)</f>
        <v>0</v>
      </c>
      <c r="AS660" s="267">
        <f>IF($AL660="",0,'All Ticker P&amp;L'!M660)</f>
        <v>0</v>
      </c>
      <c r="AT660" s="243" t="str">
        <f>IF($AL660="","",RANK(AR660,$AR$2:$AR$1001)+COUNTIF($AR$2:AR660,AR660)-1)</f>
        <v/>
      </c>
      <c r="AU660" s="243" t="str">
        <f>IF($AL660="","",RANK(AV660,$AV$2:$AV$1001)+COUNTIF($AV$2:AV660,AV660)-1)</f>
        <v/>
      </c>
      <c r="AV660" s="266">
        <f t="shared" si="52"/>
        <v>0</v>
      </c>
    </row>
    <row r="661" spans="26:48" ht="15" customHeight="1" x14ac:dyDescent="0.2">
      <c r="Z661" s="243" t="str">
        <f>Shares!A661</f>
        <v/>
      </c>
      <c r="AA661" s="243" t="str">
        <f>Shares!B661</f>
        <v/>
      </c>
      <c r="AB661" s="243" t="str">
        <f>Shares!C661</f>
        <v/>
      </c>
      <c r="AC661" s="243" t="str">
        <f>Shares!D661</f>
        <v/>
      </c>
      <c r="AD661" s="243">
        <f>IF($Z661="",0,Shares!E661)</f>
        <v>0</v>
      </c>
      <c r="AE661" s="266">
        <f>IF($Z661="",0,Shares!J661*Shares!I661)</f>
        <v>0</v>
      </c>
      <c r="AF661" s="267">
        <f t="shared" si="51"/>
        <v>0</v>
      </c>
      <c r="AG661" s="266">
        <f>IF($Z661="",0,Shares!L661)</f>
        <v>0</v>
      </c>
      <c r="AH661" s="267">
        <f>IF($Z661="",0,Shares!M661)</f>
        <v>0</v>
      </c>
      <c r="AI661" s="243" t="str">
        <f>IF($Z661="","",RANK(AE661,$AE$2:$AE$1001)+COUNTIF($AE$2:AE661,AE661)-1)</f>
        <v/>
      </c>
      <c r="AJ661" s="243" t="str">
        <f>IF($AD661&lt;0,COUNT($AJ$1:AJ660)+1,"")</f>
        <v/>
      </c>
      <c r="AL661" s="243" t="str">
        <f>'All Ticker P&amp;L'!A661</f>
        <v/>
      </c>
      <c r="AM661" s="243" t="str">
        <f>'All Ticker P&amp;L'!B661</f>
        <v/>
      </c>
      <c r="AN661" s="243" t="str">
        <f>'All Ticker P&amp;L'!C661</f>
        <v/>
      </c>
      <c r="AO661" s="243" t="str">
        <f>'All Ticker P&amp;L'!D661</f>
        <v/>
      </c>
      <c r="AP661" s="243">
        <f>IF($AL661="",0,'All Ticker P&amp;L'!E661)</f>
        <v>0</v>
      </c>
      <c r="AQ661" s="266">
        <f>IF($AL661="",0,'All Ticker P&amp;L'!J661*'All Ticker P&amp;L'!I661)</f>
        <v>0</v>
      </c>
      <c r="AR661" s="266">
        <f>IF($AL661="",0,'All Ticker P&amp;L'!L661)</f>
        <v>0</v>
      </c>
      <c r="AS661" s="267">
        <f>IF($AL661="",0,'All Ticker P&amp;L'!M661)</f>
        <v>0</v>
      </c>
      <c r="AT661" s="243" t="str">
        <f>IF($AL661="","",RANK(AR661,$AR$2:$AR$1001)+COUNTIF($AR$2:AR661,AR661)-1)</f>
        <v/>
      </c>
      <c r="AU661" s="243" t="str">
        <f>IF($AL661="","",RANK(AV661,$AV$2:$AV$1001)+COUNTIF($AV$2:AV661,AV661)-1)</f>
        <v/>
      </c>
      <c r="AV661" s="266">
        <f t="shared" si="52"/>
        <v>0</v>
      </c>
    </row>
    <row r="662" spans="26:48" ht="15" customHeight="1" x14ac:dyDescent="0.2">
      <c r="Z662" s="243" t="str">
        <f>Shares!A662</f>
        <v/>
      </c>
      <c r="AA662" s="243" t="str">
        <f>Shares!B662</f>
        <v/>
      </c>
      <c r="AB662" s="243" t="str">
        <f>Shares!C662</f>
        <v/>
      </c>
      <c r="AC662" s="243" t="str">
        <f>Shares!D662</f>
        <v/>
      </c>
      <c r="AD662" s="243">
        <f>IF($Z662="",0,Shares!E662)</f>
        <v>0</v>
      </c>
      <c r="AE662" s="266">
        <f>IF($Z662="",0,Shares!J662*Shares!I662)</f>
        <v>0</v>
      </c>
      <c r="AF662" s="267">
        <f t="shared" si="51"/>
        <v>0</v>
      </c>
      <c r="AG662" s="266">
        <f>IF($Z662="",0,Shares!L662)</f>
        <v>0</v>
      </c>
      <c r="AH662" s="267">
        <f>IF($Z662="",0,Shares!M662)</f>
        <v>0</v>
      </c>
      <c r="AI662" s="243" t="str">
        <f>IF($Z662="","",RANK(AE662,$AE$2:$AE$1001)+COUNTIF($AE$2:AE662,AE662)-1)</f>
        <v/>
      </c>
      <c r="AJ662" s="243" t="str">
        <f>IF($AD662&lt;0,COUNT($AJ$1:AJ661)+1,"")</f>
        <v/>
      </c>
      <c r="AL662" s="243" t="str">
        <f>'All Ticker P&amp;L'!A662</f>
        <v/>
      </c>
      <c r="AM662" s="243" t="str">
        <f>'All Ticker P&amp;L'!B662</f>
        <v/>
      </c>
      <c r="AN662" s="243" t="str">
        <f>'All Ticker P&amp;L'!C662</f>
        <v/>
      </c>
      <c r="AO662" s="243" t="str">
        <f>'All Ticker P&amp;L'!D662</f>
        <v/>
      </c>
      <c r="AP662" s="243">
        <f>IF($AL662="",0,'All Ticker P&amp;L'!E662)</f>
        <v>0</v>
      </c>
      <c r="AQ662" s="266">
        <f>IF($AL662="",0,'All Ticker P&amp;L'!J662*'All Ticker P&amp;L'!I662)</f>
        <v>0</v>
      </c>
      <c r="AR662" s="266">
        <f>IF($AL662="",0,'All Ticker P&amp;L'!L662)</f>
        <v>0</v>
      </c>
      <c r="AS662" s="267">
        <f>IF($AL662="",0,'All Ticker P&amp;L'!M662)</f>
        <v>0</v>
      </c>
      <c r="AT662" s="243" t="str">
        <f>IF($AL662="","",RANK(AR662,$AR$2:$AR$1001)+COUNTIF($AR$2:AR662,AR662)-1)</f>
        <v/>
      </c>
      <c r="AU662" s="243" t="str">
        <f>IF($AL662="","",RANK(AV662,$AV$2:$AV$1001)+COUNTIF($AV$2:AV662,AV662)-1)</f>
        <v/>
      </c>
      <c r="AV662" s="266">
        <f t="shared" si="52"/>
        <v>0</v>
      </c>
    </row>
    <row r="663" spans="26:48" ht="15" customHeight="1" x14ac:dyDescent="0.2">
      <c r="Z663" s="243" t="str">
        <f>Shares!A663</f>
        <v/>
      </c>
      <c r="AA663" s="243" t="str">
        <f>Shares!B663</f>
        <v/>
      </c>
      <c r="AB663" s="243" t="str">
        <f>Shares!C663</f>
        <v/>
      </c>
      <c r="AC663" s="243" t="str">
        <f>Shares!D663</f>
        <v/>
      </c>
      <c r="AD663" s="243">
        <f>IF($Z663="",0,Shares!E663)</f>
        <v>0</v>
      </c>
      <c r="AE663" s="266">
        <f>IF($Z663="",0,Shares!J663*Shares!I663)</f>
        <v>0</v>
      </c>
      <c r="AF663" s="267">
        <f t="shared" si="51"/>
        <v>0</v>
      </c>
      <c r="AG663" s="266">
        <f>IF($Z663="",0,Shares!L663)</f>
        <v>0</v>
      </c>
      <c r="AH663" s="267">
        <f>IF($Z663="",0,Shares!M663)</f>
        <v>0</v>
      </c>
      <c r="AI663" s="243" t="str">
        <f>IF($Z663="","",RANK(AE663,$AE$2:$AE$1001)+COUNTIF($AE$2:AE663,AE663)-1)</f>
        <v/>
      </c>
      <c r="AJ663" s="243" t="str">
        <f>IF($AD663&lt;0,COUNT($AJ$1:AJ662)+1,"")</f>
        <v/>
      </c>
      <c r="AL663" s="243" t="str">
        <f>'All Ticker P&amp;L'!A663</f>
        <v/>
      </c>
      <c r="AM663" s="243" t="str">
        <f>'All Ticker P&amp;L'!B663</f>
        <v/>
      </c>
      <c r="AN663" s="243" t="str">
        <f>'All Ticker P&amp;L'!C663</f>
        <v/>
      </c>
      <c r="AO663" s="243" t="str">
        <f>'All Ticker P&amp;L'!D663</f>
        <v/>
      </c>
      <c r="AP663" s="243">
        <f>IF($AL663="",0,'All Ticker P&amp;L'!E663)</f>
        <v>0</v>
      </c>
      <c r="AQ663" s="266">
        <f>IF($AL663="",0,'All Ticker P&amp;L'!J663*'All Ticker P&amp;L'!I663)</f>
        <v>0</v>
      </c>
      <c r="AR663" s="266">
        <f>IF($AL663="",0,'All Ticker P&amp;L'!L663)</f>
        <v>0</v>
      </c>
      <c r="AS663" s="267">
        <f>IF($AL663="",0,'All Ticker P&amp;L'!M663)</f>
        <v>0</v>
      </c>
      <c r="AT663" s="243" t="str">
        <f>IF($AL663="","",RANK(AR663,$AR$2:$AR$1001)+COUNTIF($AR$2:AR663,AR663)-1)</f>
        <v/>
      </c>
      <c r="AU663" s="243" t="str">
        <f>IF($AL663="","",RANK(AV663,$AV$2:$AV$1001)+COUNTIF($AV$2:AV663,AV663)-1)</f>
        <v/>
      </c>
      <c r="AV663" s="266">
        <f t="shared" si="52"/>
        <v>0</v>
      </c>
    </row>
    <row r="664" spans="26:48" ht="15" customHeight="1" x14ac:dyDescent="0.2">
      <c r="Z664" s="243" t="str">
        <f>Shares!A664</f>
        <v/>
      </c>
      <c r="AA664" s="243" t="str">
        <f>Shares!B664</f>
        <v/>
      </c>
      <c r="AB664" s="243" t="str">
        <f>Shares!C664</f>
        <v/>
      </c>
      <c r="AC664" s="243" t="str">
        <f>Shares!D664</f>
        <v/>
      </c>
      <c r="AD664" s="243">
        <f>IF($Z664="",0,Shares!E664)</f>
        <v>0</v>
      </c>
      <c r="AE664" s="266">
        <f>IF($Z664="",0,Shares!J664*Shares!I664)</f>
        <v>0</v>
      </c>
      <c r="AF664" s="267">
        <f t="shared" si="51"/>
        <v>0</v>
      </c>
      <c r="AG664" s="266">
        <f>IF($Z664="",0,Shares!L664)</f>
        <v>0</v>
      </c>
      <c r="AH664" s="267">
        <f>IF($Z664="",0,Shares!M664)</f>
        <v>0</v>
      </c>
      <c r="AI664" s="243" t="str">
        <f>IF($Z664="","",RANK(AE664,$AE$2:$AE$1001)+COUNTIF($AE$2:AE664,AE664)-1)</f>
        <v/>
      </c>
      <c r="AJ664" s="243" t="str">
        <f>IF($AD664&lt;0,COUNT($AJ$1:AJ663)+1,"")</f>
        <v/>
      </c>
      <c r="AL664" s="243" t="str">
        <f>'All Ticker P&amp;L'!A664</f>
        <v/>
      </c>
      <c r="AM664" s="243" t="str">
        <f>'All Ticker P&amp;L'!B664</f>
        <v/>
      </c>
      <c r="AN664" s="243" t="str">
        <f>'All Ticker P&amp;L'!C664</f>
        <v/>
      </c>
      <c r="AO664" s="243" t="str">
        <f>'All Ticker P&amp;L'!D664</f>
        <v/>
      </c>
      <c r="AP664" s="243">
        <f>IF($AL664="",0,'All Ticker P&amp;L'!E664)</f>
        <v>0</v>
      </c>
      <c r="AQ664" s="266">
        <f>IF($AL664="",0,'All Ticker P&amp;L'!J664*'All Ticker P&amp;L'!I664)</f>
        <v>0</v>
      </c>
      <c r="AR664" s="266">
        <f>IF($AL664="",0,'All Ticker P&amp;L'!L664)</f>
        <v>0</v>
      </c>
      <c r="AS664" s="267">
        <f>IF($AL664="",0,'All Ticker P&amp;L'!M664)</f>
        <v>0</v>
      </c>
      <c r="AT664" s="243" t="str">
        <f>IF($AL664="","",RANK(AR664,$AR$2:$AR$1001)+COUNTIF($AR$2:AR664,AR664)-1)</f>
        <v/>
      </c>
      <c r="AU664" s="243" t="str">
        <f>IF($AL664="","",RANK(AV664,$AV$2:$AV$1001)+COUNTIF($AV$2:AV664,AV664)-1)</f>
        <v/>
      </c>
      <c r="AV664" s="266">
        <f t="shared" si="52"/>
        <v>0</v>
      </c>
    </row>
    <row r="665" spans="26:48" ht="15" customHeight="1" x14ac:dyDescent="0.2">
      <c r="Z665" s="243" t="str">
        <f>Shares!A665</f>
        <v/>
      </c>
      <c r="AA665" s="243" t="str">
        <f>Shares!B665</f>
        <v/>
      </c>
      <c r="AB665" s="243" t="str">
        <f>Shares!C665</f>
        <v/>
      </c>
      <c r="AC665" s="243" t="str">
        <f>Shares!D665</f>
        <v/>
      </c>
      <c r="AD665" s="243">
        <f>IF($Z665="",0,Shares!E665)</f>
        <v>0</v>
      </c>
      <c r="AE665" s="266">
        <f>IF($Z665="",0,Shares!J665*Shares!I665)</f>
        <v>0</v>
      </c>
      <c r="AF665" s="267">
        <f t="shared" si="51"/>
        <v>0</v>
      </c>
      <c r="AG665" s="266">
        <f>IF($Z665="",0,Shares!L665)</f>
        <v>0</v>
      </c>
      <c r="AH665" s="267">
        <f>IF($Z665="",0,Shares!M665)</f>
        <v>0</v>
      </c>
      <c r="AI665" s="243" t="str">
        <f>IF($Z665="","",RANK(AE665,$AE$2:$AE$1001)+COUNTIF($AE$2:AE665,AE665)-1)</f>
        <v/>
      </c>
      <c r="AJ665" s="243" t="str">
        <f>IF($AD665&lt;0,COUNT($AJ$1:AJ664)+1,"")</f>
        <v/>
      </c>
      <c r="AL665" s="243" t="str">
        <f>'All Ticker P&amp;L'!A665</f>
        <v/>
      </c>
      <c r="AM665" s="243" t="str">
        <f>'All Ticker P&amp;L'!B665</f>
        <v/>
      </c>
      <c r="AN665" s="243" t="str">
        <f>'All Ticker P&amp;L'!C665</f>
        <v/>
      </c>
      <c r="AO665" s="243" t="str">
        <f>'All Ticker P&amp;L'!D665</f>
        <v/>
      </c>
      <c r="AP665" s="243">
        <f>IF($AL665="",0,'All Ticker P&amp;L'!E665)</f>
        <v>0</v>
      </c>
      <c r="AQ665" s="266">
        <f>IF($AL665="",0,'All Ticker P&amp;L'!J665*'All Ticker P&amp;L'!I665)</f>
        <v>0</v>
      </c>
      <c r="AR665" s="266">
        <f>IF($AL665="",0,'All Ticker P&amp;L'!L665)</f>
        <v>0</v>
      </c>
      <c r="AS665" s="267">
        <f>IF($AL665="",0,'All Ticker P&amp;L'!M665)</f>
        <v>0</v>
      </c>
      <c r="AT665" s="243" t="str">
        <f>IF($AL665="","",RANK(AR665,$AR$2:$AR$1001)+COUNTIF($AR$2:AR665,AR665)-1)</f>
        <v/>
      </c>
      <c r="AU665" s="243" t="str">
        <f>IF($AL665="","",RANK(AV665,$AV$2:$AV$1001)+COUNTIF($AV$2:AV665,AV665)-1)</f>
        <v/>
      </c>
      <c r="AV665" s="266">
        <f t="shared" si="52"/>
        <v>0</v>
      </c>
    </row>
    <row r="666" spans="26:48" ht="15" customHeight="1" x14ac:dyDescent="0.2">
      <c r="Z666" s="243" t="str">
        <f>Shares!A666</f>
        <v/>
      </c>
      <c r="AA666" s="243" t="str">
        <f>Shares!B666</f>
        <v/>
      </c>
      <c r="AB666" s="243" t="str">
        <f>Shares!C666</f>
        <v/>
      </c>
      <c r="AC666" s="243" t="str">
        <f>Shares!D666</f>
        <v/>
      </c>
      <c r="AD666" s="243">
        <f>IF($Z666="",0,Shares!E666)</f>
        <v>0</v>
      </c>
      <c r="AE666" s="266">
        <f>IF($Z666="",0,Shares!J666*Shares!I666)</f>
        <v>0</v>
      </c>
      <c r="AF666" s="267">
        <f t="shared" si="51"/>
        <v>0</v>
      </c>
      <c r="AG666" s="266">
        <f>IF($Z666="",0,Shares!L666)</f>
        <v>0</v>
      </c>
      <c r="AH666" s="267">
        <f>IF($Z666="",0,Shares!M666)</f>
        <v>0</v>
      </c>
      <c r="AI666" s="243" t="str">
        <f>IF($Z666="","",RANK(AE666,$AE$2:$AE$1001)+COUNTIF($AE$2:AE666,AE666)-1)</f>
        <v/>
      </c>
      <c r="AJ666" s="243" t="str">
        <f>IF($AD666&lt;0,COUNT($AJ$1:AJ665)+1,"")</f>
        <v/>
      </c>
      <c r="AL666" s="243" t="str">
        <f>'All Ticker P&amp;L'!A666</f>
        <v/>
      </c>
      <c r="AM666" s="243" t="str">
        <f>'All Ticker P&amp;L'!B666</f>
        <v/>
      </c>
      <c r="AN666" s="243" t="str">
        <f>'All Ticker P&amp;L'!C666</f>
        <v/>
      </c>
      <c r="AO666" s="243" t="str">
        <f>'All Ticker P&amp;L'!D666</f>
        <v/>
      </c>
      <c r="AP666" s="243">
        <f>IF($AL666="",0,'All Ticker P&amp;L'!E666)</f>
        <v>0</v>
      </c>
      <c r="AQ666" s="266">
        <f>IF($AL666="",0,'All Ticker P&amp;L'!J666*'All Ticker P&amp;L'!I666)</f>
        <v>0</v>
      </c>
      <c r="AR666" s="266">
        <f>IF($AL666="",0,'All Ticker P&amp;L'!L666)</f>
        <v>0</v>
      </c>
      <c r="AS666" s="267">
        <f>IF($AL666="",0,'All Ticker P&amp;L'!M666)</f>
        <v>0</v>
      </c>
      <c r="AT666" s="243" t="str">
        <f>IF($AL666="","",RANK(AR666,$AR$2:$AR$1001)+COUNTIF($AR$2:AR666,AR666)-1)</f>
        <v/>
      </c>
      <c r="AU666" s="243" t="str">
        <f>IF($AL666="","",RANK(AV666,$AV$2:$AV$1001)+COUNTIF($AV$2:AV666,AV666)-1)</f>
        <v/>
      </c>
      <c r="AV666" s="266">
        <f t="shared" si="52"/>
        <v>0</v>
      </c>
    </row>
    <row r="667" spans="26:48" ht="15" customHeight="1" x14ac:dyDescent="0.2">
      <c r="Z667" s="243" t="str">
        <f>Shares!A667</f>
        <v/>
      </c>
      <c r="AA667" s="243" t="str">
        <f>Shares!B667</f>
        <v/>
      </c>
      <c r="AB667" s="243" t="str">
        <f>Shares!C667</f>
        <v/>
      </c>
      <c r="AC667" s="243" t="str">
        <f>Shares!D667</f>
        <v/>
      </c>
      <c r="AD667" s="243">
        <f>IF($Z667="",0,Shares!E667)</f>
        <v>0</v>
      </c>
      <c r="AE667" s="266">
        <f>IF($Z667="",0,Shares!J667*Shares!I667)</f>
        <v>0</v>
      </c>
      <c r="AF667" s="267">
        <f t="shared" si="51"/>
        <v>0</v>
      </c>
      <c r="AG667" s="266">
        <f>IF($Z667="",0,Shares!L667)</f>
        <v>0</v>
      </c>
      <c r="AH667" s="267">
        <f>IF($Z667="",0,Shares!M667)</f>
        <v>0</v>
      </c>
      <c r="AI667" s="243" t="str">
        <f>IF($Z667="","",RANK(AE667,$AE$2:$AE$1001)+COUNTIF($AE$2:AE667,AE667)-1)</f>
        <v/>
      </c>
      <c r="AJ667" s="243" t="str">
        <f>IF($AD667&lt;0,COUNT($AJ$1:AJ666)+1,"")</f>
        <v/>
      </c>
      <c r="AL667" s="243" t="str">
        <f>'All Ticker P&amp;L'!A667</f>
        <v/>
      </c>
      <c r="AM667" s="243" t="str">
        <f>'All Ticker P&amp;L'!B667</f>
        <v/>
      </c>
      <c r="AN667" s="243" t="str">
        <f>'All Ticker P&amp;L'!C667</f>
        <v/>
      </c>
      <c r="AO667" s="243" t="str">
        <f>'All Ticker P&amp;L'!D667</f>
        <v/>
      </c>
      <c r="AP667" s="243">
        <f>IF($AL667="",0,'All Ticker P&amp;L'!E667)</f>
        <v>0</v>
      </c>
      <c r="AQ667" s="266">
        <f>IF($AL667="",0,'All Ticker P&amp;L'!J667*'All Ticker P&amp;L'!I667)</f>
        <v>0</v>
      </c>
      <c r="AR667" s="266">
        <f>IF($AL667="",0,'All Ticker P&amp;L'!L667)</f>
        <v>0</v>
      </c>
      <c r="AS667" s="267">
        <f>IF($AL667="",0,'All Ticker P&amp;L'!M667)</f>
        <v>0</v>
      </c>
      <c r="AT667" s="243" t="str">
        <f>IF($AL667="","",RANK(AR667,$AR$2:$AR$1001)+COUNTIF($AR$2:AR667,AR667)-1)</f>
        <v/>
      </c>
      <c r="AU667" s="243" t="str">
        <f>IF($AL667="","",RANK(AV667,$AV$2:$AV$1001)+COUNTIF($AV$2:AV667,AV667)-1)</f>
        <v/>
      </c>
      <c r="AV667" s="266">
        <f t="shared" si="52"/>
        <v>0</v>
      </c>
    </row>
    <row r="668" spans="26:48" ht="15" customHeight="1" x14ac:dyDescent="0.2">
      <c r="Z668" s="243" t="str">
        <f>Shares!A668</f>
        <v/>
      </c>
      <c r="AA668" s="243" t="str">
        <f>Shares!B668</f>
        <v/>
      </c>
      <c r="AB668" s="243" t="str">
        <f>Shares!C668</f>
        <v/>
      </c>
      <c r="AC668" s="243" t="str">
        <f>Shares!D668</f>
        <v/>
      </c>
      <c r="AD668" s="243">
        <f>IF($Z668="",0,Shares!E668)</f>
        <v>0</v>
      </c>
      <c r="AE668" s="266">
        <f>IF($Z668="",0,Shares!J668*Shares!I668)</f>
        <v>0</v>
      </c>
      <c r="AF668" s="267">
        <f t="shared" si="51"/>
        <v>0</v>
      </c>
      <c r="AG668" s="266">
        <f>IF($Z668="",0,Shares!L668)</f>
        <v>0</v>
      </c>
      <c r="AH668" s="267">
        <f>IF($Z668="",0,Shares!M668)</f>
        <v>0</v>
      </c>
      <c r="AI668" s="243" t="str">
        <f>IF($Z668="","",RANK(AE668,$AE$2:$AE$1001)+COUNTIF($AE$2:AE668,AE668)-1)</f>
        <v/>
      </c>
      <c r="AJ668" s="243" t="str">
        <f>IF($AD668&lt;0,COUNT($AJ$1:AJ667)+1,"")</f>
        <v/>
      </c>
      <c r="AL668" s="243" t="str">
        <f>'All Ticker P&amp;L'!A668</f>
        <v/>
      </c>
      <c r="AM668" s="243" t="str">
        <f>'All Ticker P&amp;L'!B668</f>
        <v/>
      </c>
      <c r="AN668" s="243" t="str">
        <f>'All Ticker P&amp;L'!C668</f>
        <v/>
      </c>
      <c r="AO668" s="243" t="str">
        <f>'All Ticker P&amp;L'!D668</f>
        <v/>
      </c>
      <c r="AP668" s="243">
        <f>IF($AL668="",0,'All Ticker P&amp;L'!E668)</f>
        <v>0</v>
      </c>
      <c r="AQ668" s="266">
        <f>IF($AL668="",0,'All Ticker P&amp;L'!J668*'All Ticker P&amp;L'!I668)</f>
        <v>0</v>
      </c>
      <c r="AR668" s="266">
        <f>IF($AL668="",0,'All Ticker P&amp;L'!L668)</f>
        <v>0</v>
      </c>
      <c r="AS668" s="267">
        <f>IF($AL668="",0,'All Ticker P&amp;L'!M668)</f>
        <v>0</v>
      </c>
      <c r="AT668" s="243" t="str">
        <f>IF($AL668="","",RANK(AR668,$AR$2:$AR$1001)+COUNTIF($AR$2:AR668,AR668)-1)</f>
        <v/>
      </c>
      <c r="AU668" s="243" t="str">
        <f>IF($AL668="","",RANK(AV668,$AV$2:$AV$1001)+COUNTIF($AV$2:AV668,AV668)-1)</f>
        <v/>
      </c>
      <c r="AV668" s="266">
        <f t="shared" si="52"/>
        <v>0</v>
      </c>
    </row>
    <row r="669" spans="26:48" ht="15" customHeight="1" x14ac:dyDescent="0.2">
      <c r="Z669" s="243" t="str">
        <f>Shares!A669</f>
        <v/>
      </c>
      <c r="AA669" s="243" t="str">
        <f>Shares!B669</f>
        <v/>
      </c>
      <c r="AB669" s="243" t="str">
        <f>Shares!C669</f>
        <v/>
      </c>
      <c r="AC669" s="243" t="str">
        <f>Shares!D669</f>
        <v/>
      </c>
      <c r="AD669" s="243">
        <f>IF($Z669="",0,Shares!E669)</f>
        <v>0</v>
      </c>
      <c r="AE669" s="266">
        <f>IF($Z669="",0,Shares!J669*Shares!I669)</f>
        <v>0</v>
      </c>
      <c r="AF669" s="267">
        <f t="shared" si="51"/>
        <v>0</v>
      </c>
      <c r="AG669" s="266">
        <f>IF($Z669="",0,Shares!L669)</f>
        <v>0</v>
      </c>
      <c r="AH669" s="267">
        <f>IF($Z669="",0,Shares!M669)</f>
        <v>0</v>
      </c>
      <c r="AI669" s="243" t="str">
        <f>IF($Z669="","",RANK(AE669,$AE$2:$AE$1001)+COUNTIF($AE$2:AE669,AE669)-1)</f>
        <v/>
      </c>
      <c r="AJ669" s="243" t="str">
        <f>IF($AD669&lt;0,COUNT($AJ$1:AJ668)+1,"")</f>
        <v/>
      </c>
      <c r="AL669" s="243" t="str">
        <f>'All Ticker P&amp;L'!A669</f>
        <v/>
      </c>
      <c r="AM669" s="243" t="str">
        <f>'All Ticker P&amp;L'!B669</f>
        <v/>
      </c>
      <c r="AN669" s="243" t="str">
        <f>'All Ticker P&amp;L'!C669</f>
        <v/>
      </c>
      <c r="AO669" s="243" t="str">
        <f>'All Ticker P&amp;L'!D669</f>
        <v/>
      </c>
      <c r="AP669" s="243">
        <f>IF($AL669="",0,'All Ticker P&amp;L'!E669)</f>
        <v>0</v>
      </c>
      <c r="AQ669" s="266">
        <f>IF($AL669="",0,'All Ticker P&amp;L'!J669*'All Ticker P&amp;L'!I669)</f>
        <v>0</v>
      </c>
      <c r="AR669" s="266">
        <f>IF($AL669="",0,'All Ticker P&amp;L'!L669)</f>
        <v>0</v>
      </c>
      <c r="AS669" s="267">
        <f>IF($AL669="",0,'All Ticker P&amp;L'!M669)</f>
        <v>0</v>
      </c>
      <c r="AT669" s="243" t="str">
        <f>IF($AL669="","",RANK(AR669,$AR$2:$AR$1001)+COUNTIF($AR$2:AR669,AR669)-1)</f>
        <v/>
      </c>
      <c r="AU669" s="243" t="str">
        <f>IF($AL669="","",RANK(AV669,$AV$2:$AV$1001)+COUNTIF($AV$2:AV669,AV669)-1)</f>
        <v/>
      </c>
      <c r="AV669" s="266">
        <f t="shared" si="52"/>
        <v>0</v>
      </c>
    </row>
    <row r="670" spans="26:48" ht="15" customHeight="1" x14ac:dyDescent="0.2">
      <c r="Z670" s="243" t="str">
        <f>Shares!A670</f>
        <v/>
      </c>
      <c r="AA670" s="243" t="str">
        <f>Shares!B670</f>
        <v/>
      </c>
      <c r="AB670" s="243" t="str">
        <f>Shares!C670</f>
        <v/>
      </c>
      <c r="AC670" s="243" t="str">
        <f>Shares!D670</f>
        <v/>
      </c>
      <c r="AD670" s="243">
        <f>IF($Z670="",0,Shares!E670)</f>
        <v>0</v>
      </c>
      <c r="AE670" s="266">
        <f>IF($Z670="",0,Shares!J670*Shares!I670)</f>
        <v>0</v>
      </c>
      <c r="AF670" s="267">
        <f t="shared" si="51"/>
        <v>0</v>
      </c>
      <c r="AG670" s="266">
        <f>IF($Z670="",0,Shares!L670)</f>
        <v>0</v>
      </c>
      <c r="AH670" s="267">
        <f>IF($Z670="",0,Shares!M670)</f>
        <v>0</v>
      </c>
      <c r="AI670" s="243" t="str">
        <f>IF($Z670="","",RANK(AE670,$AE$2:$AE$1001)+COUNTIF($AE$2:AE670,AE670)-1)</f>
        <v/>
      </c>
      <c r="AJ670" s="243" t="str">
        <f>IF($AD670&lt;0,COUNT($AJ$1:AJ669)+1,"")</f>
        <v/>
      </c>
      <c r="AL670" s="243" t="str">
        <f>'All Ticker P&amp;L'!A670</f>
        <v/>
      </c>
      <c r="AM670" s="243" t="str">
        <f>'All Ticker P&amp;L'!B670</f>
        <v/>
      </c>
      <c r="AN670" s="243" t="str">
        <f>'All Ticker P&amp;L'!C670</f>
        <v/>
      </c>
      <c r="AO670" s="243" t="str">
        <f>'All Ticker P&amp;L'!D670</f>
        <v/>
      </c>
      <c r="AP670" s="243">
        <f>IF($AL670="",0,'All Ticker P&amp;L'!E670)</f>
        <v>0</v>
      </c>
      <c r="AQ670" s="266">
        <f>IF($AL670="",0,'All Ticker P&amp;L'!J670*'All Ticker P&amp;L'!I670)</f>
        <v>0</v>
      </c>
      <c r="AR670" s="266">
        <f>IF($AL670="",0,'All Ticker P&amp;L'!L670)</f>
        <v>0</v>
      </c>
      <c r="AS670" s="267">
        <f>IF($AL670="",0,'All Ticker P&amp;L'!M670)</f>
        <v>0</v>
      </c>
      <c r="AT670" s="243" t="str">
        <f>IF($AL670="","",RANK(AR670,$AR$2:$AR$1001)+COUNTIF($AR$2:AR670,AR670)-1)</f>
        <v/>
      </c>
      <c r="AU670" s="243" t="str">
        <f>IF($AL670="","",RANK(AV670,$AV$2:$AV$1001)+COUNTIF($AV$2:AV670,AV670)-1)</f>
        <v/>
      </c>
      <c r="AV670" s="266">
        <f t="shared" si="52"/>
        <v>0</v>
      </c>
    </row>
    <row r="671" spans="26:48" ht="15" customHeight="1" x14ac:dyDescent="0.2">
      <c r="Z671" s="243" t="str">
        <f>Shares!A671</f>
        <v/>
      </c>
      <c r="AA671" s="243" t="str">
        <f>Shares!B671</f>
        <v/>
      </c>
      <c r="AB671" s="243" t="str">
        <f>Shares!C671</f>
        <v/>
      </c>
      <c r="AC671" s="243" t="str">
        <f>Shares!D671</f>
        <v/>
      </c>
      <c r="AD671" s="243">
        <f>IF($Z671="",0,Shares!E671)</f>
        <v>0</v>
      </c>
      <c r="AE671" s="266">
        <f>IF($Z671="",0,Shares!J671*Shares!I671)</f>
        <v>0</v>
      </c>
      <c r="AF671" s="267">
        <f t="shared" si="51"/>
        <v>0</v>
      </c>
      <c r="AG671" s="266">
        <f>IF($Z671="",0,Shares!L671)</f>
        <v>0</v>
      </c>
      <c r="AH671" s="267">
        <f>IF($Z671="",0,Shares!M671)</f>
        <v>0</v>
      </c>
      <c r="AI671" s="243" t="str">
        <f>IF($Z671="","",RANK(AE671,$AE$2:$AE$1001)+COUNTIF($AE$2:AE671,AE671)-1)</f>
        <v/>
      </c>
      <c r="AJ671" s="243" t="str">
        <f>IF($AD671&lt;0,COUNT($AJ$1:AJ670)+1,"")</f>
        <v/>
      </c>
      <c r="AL671" s="243" t="str">
        <f>'All Ticker P&amp;L'!A671</f>
        <v/>
      </c>
      <c r="AM671" s="243" t="str">
        <f>'All Ticker P&amp;L'!B671</f>
        <v/>
      </c>
      <c r="AN671" s="243" t="str">
        <f>'All Ticker P&amp;L'!C671</f>
        <v/>
      </c>
      <c r="AO671" s="243" t="str">
        <f>'All Ticker P&amp;L'!D671</f>
        <v/>
      </c>
      <c r="AP671" s="243">
        <f>IF($AL671="",0,'All Ticker P&amp;L'!E671)</f>
        <v>0</v>
      </c>
      <c r="AQ671" s="266">
        <f>IF($AL671="",0,'All Ticker P&amp;L'!J671*'All Ticker P&amp;L'!I671)</f>
        <v>0</v>
      </c>
      <c r="AR671" s="266">
        <f>IF($AL671="",0,'All Ticker P&amp;L'!L671)</f>
        <v>0</v>
      </c>
      <c r="AS671" s="267">
        <f>IF($AL671="",0,'All Ticker P&amp;L'!M671)</f>
        <v>0</v>
      </c>
      <c r="AT671" s="243" t="str">
        <f>IF($AL671="","",RANK(AR671,$AR$2:$AR$1001)+COUNTIF($AR$2:AR671,AR671)-1)</f>
        <v/>
      </c>
      <c r="AU671" s="243" t="str">
        <f>IF($AL671="","",RANK(AV671,$AV$2:$AV$1001)+COUNTIF($AV$2:AV671,AV671)-1)</f>
        <v/>
      </c>
      <c r="AV671" s="266">
        <f t="shared" si="52"/>
        <v>0</v>
      </c>
    </row>
    <row r="672" spans="26:48" ht="15" customHeight="1" x14ac:dyDescent="0.2">
      <c r="Z672" s="243" t="str">
        <f>Shares!A672</f>
        <v/>
      </c>
      <c r="AA672" s="243" t="str">
        <f>Shares!B672</f>
        <v/>
      </c>
      <c r="AB672" s="243" t="str">
        <f>Shares!C672</f>
        <v/>
      </c>
      <c r="AC672" s="243" t="str">
        <f>Shares!D672</f>
        <v/>
      </c>
      <c r="AD672" s="243">
        <f>IF($Z672="",0,Shares!E672)</f>
        <v>0</v>
      </c>
      <c r="AE672" s="266">
        <f>IF($Z672="",0,Shares!J672*Shares!I672)</f>
        <v>0</v>
      </c>
      <c r="AF672" s="267">
        <f t="shared" si="51"/>
        <v>0</v>
      </c>
      <c r="AG672" s="266">
        <f>IF($Z672="",0,Shares!L672)</f>
        <v>0</v>
      </c>
      <c r="AH672" s="267">
        <f>IF($Z672="",0,Shares!M672)</f>
        <v>0</v>
      </c>
      <c r="AI672" s="243" t="str">
        <f>IF($Z672="","",RANK(AE672,$AE$2:$AE$1001)+COUNTIF($AE$2:AE672,AE672)-1)</f>
        <v/>
      </c>
      <c r="AJ672" s="243" t="str">
        <f>IF($AD672&lt;0,COUNT($AJ$1:AJ671)+1,"")</f>
        <v/>
      </c>
      <c r="AL672" s="243" t="str">
        <f>'All Ticker P&amp;L'!A672</f>
        <v/>
      </c>
      <c r="AM672" s="243" t="str">
        <f>'All Ticker P&amp;L'!B672</f>
        <v/>
      </c>
      <c r="AN672" s="243" t="str">
        <f>'All Ticker P&amp;L'!C672</f>
        <v/>
      </c>
      <c r="AO672" s="243" t="str">
        <f>'All Ticker P&amp;L'!D672</f>
        <v/>
      </c>
      <c r="AP672" s="243">
        <f>IF($AL672="",0,'All Ticker P&amp;L'!E672)</f>
        <v>0</v>
      </c>
      <c r="AQ672" s="266">
        <f>IF($AL672="",0,'All Ticker P&amp;L'!J672*'All Ticker P&amp;L'!I672)</f>
        <v>0</v>
      </c>
      <c r="AR672" s="266">
        <f>IF($AL672="",0,'All Ticker P&amp;L'!L672)</f>
        <v>0</v>
      </c>
      <c r="AS672" s="267">
        <f>IF($AL672="",0,'All Ticker P&amp;L'!M672)</f>
        <v>0</v>
      </c>
      <c r="AT672" s="243" t="str">
        <f>IF($AL672="","",RANK(AR672,$AR$2:$AR$1001)+COUNTIF($AR$2:AR672,AR672)-1)</f>
        <v/>
      </c>
      <c r="AU672" s="243" t="str">
        <f>IF($AL672="","",RANK(AV672,$AV$2:$AV$1001)+COUNTIF($AV$2:AV672,AV672)-1)</f>
        <v/>
      </c>
      <c r="AV672" s="266">
        <f t="shared" si="52"/>
        <v>0</v>
      </c>
    </row>
    <row r="673" spans="26:48" ht="15" customHeight="1" x14ac:dyDescent="0.2">
      <c r="Z673" s="243" t="str">
        <f>Shares!A673</f>
        <v/>
      </c>
      <c r="AA673" s="243" t="str">
        <f>Shares!B673</f>
        <v/>
      </c>
      <c r="AB673" s="243" t="str">
        <f>Shares!C673</f>
        <v/>
      </c>
      <c r="AC673" s="243" t="str">
        <f>Shares!D673</f>
        <v/>
      </c>
      <c r="AD673" s="243">
        <f>IF($Z673="",0,Shares!E673)</f>
        <v>0</v>
      </c>
      <c r="AE673" s="266">
        <f>IF($Z673="",0,Shares!J673*Shares!I673)</f>
        <v>0</v>
      </c>
      <c r="AF673" s="267">
        <f t="shared" si="51"/>
        <v>0</v>
      </c>
      <c r="AG673" s="266">
        <f>IF($Z673="",0,Shares!L673)</f>
        <v>0</v>
      </c>
      <c r="AH673" s="267">
        <f>IF($Z673="",0,Shares!M673)</f>
        <v>0</v>
      </c>
      <c r="AI673" s="243" t="str">
        <f>IF($Z673="","",RANK(AE673,$AE$2:$AE$1001)+COUNTIF($AE$2:AE673,AE673)-1)</f>
        <v/>
      </c>
      <c r="AJ673" s="243" t="str">
        <f>IF($AD673&lt;0,COUNT($AJ$1:AJ672)+1,"")</f>
        <v/>
      </c>
      <c r="AL673" s="243" t="str">
        <f>'All Ticker P&amp;L'!A673</f>
        <v/>
      </c>
      <c r="AM673" s="243" t="str">
        <f>'All Ticker P&amp;L'!B673</f>
        <v/>
      </c>
      <c r="AN673" s="243" t="str">
        <f>'All Ticker P&amp;L'!C673</f>
        <v/>
      </c>
      <c r="AO673" s="243" t="str">
        <f>'All Ticker P&amp;L'!D673</f>
        <v/>
      </c>
      <c r="AP673" s="243">
        <f>IF($AL673="",0,'All Ticker P&amp;L'!E673)</f>
        <v>0</v>
      </c>
      <c r="AQ673" s="266">
        <f>IF($AL673="",0,'All Ticker P&amp;L'!J673*'All Ticker P&amp;L'!I673)</f>
        <v>0</v>
      </c>
      <c r="AR673" s="266">
        <f>IF($AL673="",0,'All Ticker P&amp;L'!L673)</f>
        <v>0</v>
      </c>
      <c r="AS673" s="267">
        <f>IF($AL673="",0,'All Ticker P&amp;L'!M673)</f>
        <v>0</v>
      </c>
      <c r="AT673" s="243" t="str">
        <f>IF($AL673="","",RANK(AR673,$AR$2:$AR$1001)+COUNTIF($AR$2:AR673,AR673)-1)</f>
        <v/>
      </c>
      <c r="AU673" s="243" t="str">
        <f>IF($AL673="","",RANK(AV673,$AV$2:$AV$1001)+COUNTIF($AV$2:AV673,AV673)-1)</f>
        <v/>
      </c>
      <c r="AV673" s="266">
        <f t="shared" si="52"/>
        <v>0</v>
      </c>
    </row>
    <row r="674" spans="26:48" ht="15" customHeight="1" x14ac:dyDescent="0.2">
      <c r="Z674" s="243" t="str">
        <f>Shares!A674</f>
        <v/>
      </c>
      <c r="AA674" s="243" t="str">
        <f>Shares!B674</f>
        <v/>
      </c>
      <c r="AB674" s="243" t="str">
        <f>Shares!C674</f>
        <v/>
      </c>
      <c r="AC674" s="243" t="str">
        <f>Shares!D674</f>
        <v/>
      </c>
      <c r="AD674" s="243">
        <f>IF($Z674="",0,Shares!E674)</f>
        <v>0</v>
      </c>
      <c r="AE674" s="266">
        <f>IF($Z674="",0,Shares!J674*Shares!I674)</f>
        <v>0</v>
      </c>
      <c r="AF674" s="267">
        <f t="shared" si="51"/>
        <v>0</v>
      </c>
      <c r="AG674" s="266">
        <f>IF($Z674="",0,Shares!L674)</f>
        <v>0</v>
      </c>
      <c r="AH674" s="267">
        <f>IF($Z674="",0,Shares!M674)</f>
        <v>0</v>
      </c>
      <c r="AI674" s="243" t="str">
        <f>IF($Z674="","",RANK(AE674,$AE$2:$AE$1001)+COUNTIF($AE$2:AE674,AE674)-1)</f>
        <v/>
      </c>
      <c r="AJ674" s="243" t="str">
        <f>IF($AD674&lt;0,COUNT($AJ$1:AJ673)+1,"")</f>
        <v/>
      </c>
      <c r="AL674" s="243" t="str">
        <f>'All Ticker P&amp;L'!A674</f>
        <v/>
      </c>
      <c r="AM674" s="243" t="str">
        <f>'All Ticker P&amp;L'!B674</f>
        <v/>
      </c>
      <c r="AN674" s="243" t="str">
        <f>'All Ticker P&amp;L'!C674</f>
        <v/>
      </c>
      <c r="AO674" s="243" t="str">
        <f>'All Ticker P&amp;L'!D674</f>
        <v/>
      </c>
      <c r="AP674" s="243">
        <f>IF($AL674="",0,'All Ticker P&amp;L'!E674)</f>
        <v>0</v>
      </c>
      <c r="AQ674" s="266">
        <f>IF($AL674="",0,'All Ticker P&amp;L'!J674*'All Ticker P&amp;L'!I674)</f>
        <v>0</v>
      </c>
      <c r="AR674" s="266">
        <f>IF($AL674="",0,'All Ticker P&amp;L'!L674)</f>
        <v>0</v>
      </c>
      <c r="AS674" s="267">
        <f>IF($AL674="",0,'All Ticker P&amp;L'!M674)</f>
        <v>0</v>
      </c>
      <c r="AT674" s="243" t="str">
        <f>IF($AL674="","",RANK(AR674,$AR$2:$AR$1001)+COUNTIF($AR$2:AR674,AR674)-1)</f>
        <v/>
      </c>
      <c r="AU674" s="243" t="str">
        <f>IF($AL674="","",RANK(AV674,$AV$2:$AV$1001)+COUNTIF($AV$2:AV674,AV674)-1)</f>
        <v/>
      </c>
      <c r="AV674" s="266">
        <f t="shared" si="52"/>
        <v>0</v>
      </c>
    </row>
    <row r="675" spans="26:48" ht="15" customHeight="1" x14ac:dyDescent="0.2">
      <c r="Z675" s="243" t="str">
        <f>Shares!A675</f>
        <v/>
      </c>
      <c r="AA675" s="243" t="str">
        <f>Shares!B675</f>
        <v/>
      </c>
      <c r="AB675" s="243" t="str">
        <f>Shares!C675</f>
        <v/>
      </c>
      <c r="AC675" s="243" t="str">
        <f>Shares!D675</f>
        <v/>
      </c>
      <c r="AD675" s="243">
        <f>IF($Z675="",0,Shares!E675)</f>
        <v>0</v>
      </c>
      <c r="AE675" s="266">
        <f>IF($Z675="",0,Shares!J675*Shares!I675)</f>
        <v>0</v>
      </c>
      <c r="AF675" s="267">
        <f t="shared" si="51"/>
        <v>0</v>
      </c>
      <c r="AG675" s="266">
        <f>IF($Z675="",0,Shares!L675)</f>
        <v>0</v>
      </c>
      <c r="AH675" s="267">
        <f>IF($Z675="",0,Shares!M675)</f>
        <v>0</v>
      </c>
      <c r="AI675" s="243" t="str">
        <f>IF($Z675="","",RANK(AE675,$AE$2:$AE$1001)+COUNTIF($AE$2:AE675,AE675)-1)</f>
        <v/>
      </c>
      <c r="AJ675" s="243" t="str">
        <f>IF($AD675&lt;0,COUNT($AJ$1:AJ674)+1,"")</f>
        <v/>
      </c>
      <c r="AL675" s="243" t="str">
        <f>'All Ticker P&amp;L'!A675</f>
        <v/>
      </c>
      <c r="AM675" s="243" t="str">
        <f>'All Ticker P&amp;L'!B675</f>
        <v/>
      </c>
      <c r="AN675" s="243" t="str">
        <f>'All Ticker P&amp;L'!C675</f>
        <v/>
      </c>
      <c r="AO675" s="243" t="str">
        <f>'All Ticker P&amp;L'!D675</f>
        <v/>
      </c>
      <c r="AP675" s="243">
        <f>IF($AL675="",0,'All Ticker P&amp;L'!E675)</f>
        <v>0</v>
      </c>
      <c r="AQ675" s="266">
        <f>IF($AL675="",0,'All Ticker P&amp;L'!J675*'All Ticker P&amp;L'!I675)</f>
        <v>0</v>
      </c>
      <c r="AR675" s="266">
        <f>IF($AL675="",0,'All Ticker P&amp;L'!L675)</f>
        <v>0</v>
      </c>
      <c r="AS675" s="267">
        <f>IF($AL675="",0,'All Ticker P&amp;L'!M675)</f>
        <v>0</v>
      </c>
      <c r="AT675" s="243" t="str">
        <f>IF($AL675="","",RANK(AR675,$AR$2:$AR$1001)+COUNTIF($AR$2:AR675,AR675)-1)</f>
        <v/>
      </c>
      <c r="AU675" s="243" t="str">
        <f>IF($AL675="","",RANK(AV675,$AV$2:$AV$1001)+COUNTIF($AV$2:AV675,AV675)-1)</f>
        <v/>
      </c>
      <c r="AV675" s="266">
        <f t="shared" si="52"/>
        <v>0</v>
      </c>
    </row>
    <row r="676" spans="26:48" ht="15" customHeight="1" x14ac:dyDescent="0.2">
      <c r="Z676" s="243" t="str">
        <f>Shares!A676</f>
        <v/>
      </c>
      <c r="AA676" s="243" t="str">
        <f>Shares!B676</f>
        <v/>
      </c>
      <c r="AB676" s="243" t="str">
        <f>Shares!C676</f>
        <v/>
      </c>
      <c r="AC676" s="243" t="str">
        <f>Shares!D676</f>
        <v/>
      </c>
      <c r="AD676" s="243">
        <f>IF($Z676="",0,Shares!E676)</f>
        <v>0</v>
      </c>
      <c r="AE676" s="266">
        <f>IF($Z676="",0,Shares!J676*Shares!I676)</f>
        <v>0</v>
      </c>
      <c r="AF676" s="267">
        <f t="shared" si="51"/>
        <v>0</v>
      </c>
      <c r="AG676" s="266">
        <f>IF($Z676="",0,Shares!L676)</f>
        <v>0</v>
      </c>
      <c r="AH676" s="267">
        <f>IF($Z676="",0,Shares!M676)</f>
        <v>0</v>
      </c>
      <c r="AI676" s="243" t="str">
        <f>IF($Z676="","",RANK(AE676,$AE$2:$AE$1001)+COUNTIF($AE$2:AE676,AE676)-1)</f>
        <v/>
      </c>
      <c r="AJ676" s="243" t="str">
        <f>IF($AD676&lt;0,COUNT($AJ$1:AJ675)+1,"")</f>
        <v/>
      </c>
      <c r="AL676" s="243" t="str">
        <f>'All Ticker P&amp;L'!A676</f>
        <v/>
      </c>
      <c r="AM676" s="243" t="str">
        <f>'All Ticker P&amp;L'!B676</f>
        <v/>
      </c>
      <c r="AN676" s="243" t="str">
        <f>'All Ticker P&amp;L'!C676</f>
        <v/>
      </c>
      <c r="AO676" s="243" t="str">
        <f>'All Ticker P&amp;L'!D676</f>
        <v/>
      </c>
      <c r="AP676" s="243">
        <f>IF($AL676="",0,'All Ticker P&amp;L'!E676)</f>
        <v>0</v>
      </c>
      <c r="AQ676" s="266">
        <f>IF($AL676="",0,'All Ticker P&amp;L'!J676*'All Ticker P&amp;L'!I676)</f>
        <v>0</v>
      </c>
      <c r="AR676" s="266">
        <f>IF($AL676="",0,'All Ticker P&amp;L'!L676)</f>
        <v>0</v>
      </c>
      <c r="AS676" s="267">
        <f>IF($AL676="",0,'All Ticker P&amp;L'!M676)</f>
        <v>0</v>
      </c>
      <c r="AT676" s="243" t="str">
        <f>IF($AL676="","",RANK(AR676,$AR$2:$AR$1001)+COUNTIF($AR$2:AR676,AR676)-1)</f>
        <v/>
      </c>
      <c r="AU676" s="243" t="str">
        <f>IF($AL676="","",RANK(AV676,$AV$2:$AV$1001)+COUNTIF($AV$2:AV676,AV676)-1)</f>
        <v/>
      </c>
      <c r="AV676" s="266">
        <f t="shared" si="52"/>
        <v>0</v>
      </c>
    </row>
    <row r="677" spans="26:48" ht="15" customHeight="1" x14ac:dyDescent="0.2">
      <c r="Z677" s="243" t="str">
        <f>Shares!A677</f>
        <v/>
      </c>
      <c r="AA677" s="243" t="str">
        <f>Shares!B677</f>
        <v/>
      </c>
      <c r="AB677" s="243" t="str">
        <f>Shares!C677</f>
        <v/>
      </c>
      <c r="AC677" s="243" t="str">
        <f>Shares!D677</f>
        <v/>
      </c>
      <c r="AD677" s="243">
        <f>IF($Z677="",0,Shares!E677)</f>
        <v>0</v>
      </c>
      <c r="AE677" s="266">
        <f>IF($Z677="",0,Shares!J677*Shares!I677)</f>
        <v>0</v>
      </c>
      <c r="AF677" s="267">
        <f t="shared" si="51"/>
        <v>0</v>
      </c>
      <c r="AG677" s="266">
        <f>IF($Z677="",0,Shares!L677)</f>
        <v>0</v>
      </c>
      <c r="AH677" s="267">
        <f>IF($Z677="",0,Shares!M677)</f>
        <v>0</v>
      </c>
      <c r="AI677" s="243" t="str">
        <f>IF($Z677="","",RANK(AE677,$AE$2:$AE$1001)+COUNTIF($AE$2:AE677,AE677)-1)</f>
        <v/>
      </c>
      <c r="AJ677" s="243" t="str">
        <f>IF($AD677&lt;0,COUNT($AJ$1:AJ676)+1,"")</f>
        <v/>
      </c>
      <c r="AL677" s="243" t="str">
        <f>'All Ticker P&amp;L'!A677</f>
        <v/>
      </c>
      <c r="AM677" s="243" t="str">
        <f>'All Ticker P&amp;L'!B677</f>
        <v/>
      </c>
      <c r="AN677" s="243" t="str">
        <f>'All Ticker P&amp;L'!C677</f>
        <v/>
      </c>
      <c r="AO677" s="243" t="str">
        <f>'All Ticker P&amp;L'!D677</f>
        <v/>
      </c>
      <c r="AP677" s="243">
        <f>IF($AL677="",0,'All Ticker P&amp;L'!E677)</f>
        <v>0</v>
      </c>
      <c r="AQ677" s="266">
        <f>IF($AL677="",0,'All Ticker P&amp;L'!J677*'All Ticker P&amp;L'!I677)</f>
        <v>0</v>
      </c>
      <c r="AR677" s="266">
        <f>IF($AL677="",0,'All Ticker P&amp;L'!L677)</f>
        <v>0</v>
      </c>
      <c r="AS677" s="267">
        <f>IF($AL677="",0,'All Ticker P&amp;L'!M677)</f>
        <v>0</v>
      </c>
      <c r="AT677" s="243" t="str">
        <f>IF($AL677="","",RANK(AR677,$AR$2:$AR$1001)+COUNTIF($AR$2:AR677,AR677)-1)</f>
        <v/>
      </c>
      <c r="AU677" s="243" t="str">
        <f>IF($AL677="","",RANK(AV677,$AV$2:$AV$1001)+COUNTIF($AV$2:AV677,AV677)-1)</f>
        <v/>
      </c>
      <c r="AV677" s="266">
        <f t="shared" si="52"/>
        <v>0</v>
      </c>
    </row>
    <row r="678" spans="26:48" ht="15" customHeight="1" x14ac:dyDescent="0.2">
      <c r="Z678" s="243" t="str">
        <f>Shares!A678</f>
        <v/>
      </c>
      <c r="AA678" s="243" t="str">
        <f>Shares!B678</f>
        <v/>
      </c>
      <c r="AB678" s="243" t="str">
        <f>Shares!C678</f>
        <v/>
      </c>
      <c r="AC678" s="243" t="str">
        <f>Shares!D678</f>
        <v/>
      </c>
      <c r="AD678" s="243">
        <f>IF($Z678="",0,Shares!E678)</f>
        <v>0</v>
      </c>
      <c r="AE678" s="266">
        <f>IF($Z678="",0,Shares!J678*Shares!I678)</f>
        <v>0</v>
      </c>
      <c r="AF678" s="267">
        <f t="shared" si="51"/>
        <v>0</v>
      </c>
      <c r="AG678" s="266">
        <f>IF($Z678="",0,Shares!L678)</f>
        <v>0</v>
      </c>
      <c r="AH678" s="267">
        <f>IF($Z678="",0,Shares!M678)</f>
        <v>0</v>
      </c>
      <c r="AI678" s="243" t="str">
        <f>IF($Z678="","",RANK(AE678,$AE$2:$AE$1001)+COUNTIF($AE$2:AE678,AE678)-1)</f>
        <v/>
      </c>
      <c r="AJ678" s="243" t="str">
        <f>IF($AD678&lt;0,COUNT($AJ$1:AJ677)+1,"")</f>
        <v/>
      </c>
      <c r="AL678" s="243" t="str">
        <f>'All Ticker P&amp;L'!A678</f>
        <v/>
      </c>
      <c r="AM678" s="243" t="str">
        <f>'All Ticker P&amp;L'!B678</f>
        <v/>
      </c>
      <c r="AN678" s="243" t="str">
        <f>'All Ticker P&amp;L'!C678</f>
        <v/>
      </c>
      <c r="AO678" s="243" t="str">
        <f>'All Ticker P&amp;L'!D678</f>
        <v/>
      </c>
      <c r="AP678" s="243">
        <f>IF($AL678="",0,'All Ticker P&amp;L'!E678)</f>
        <v>0</v>
      </c>
      <c r="AQ678" s="266">
        <f>IF($AL678="",0,'All Ticker P&amp;L'!J678*'All Ticker P&amp;L'!I678)</f>
        <v>0</v>
      </c>
      <c r="AR678" s="266">
        <f>IF($AL678="",0,'All Ticker P&amp;L'!L678)</f>
        <v>0</v>
      </c>
      <c r="AS678" s="267">
        <f>IF($AL678="",0,'All Ticker P&amp;L'!M678)</f>
        <v>0</v>
      </c>
      <c r="AT678" s="243" t="str">
        <f>IF($AL678="","",RANK(AR678,$AR$2:$AR$1001)+COUNTIF($AR$2:AR678,AR678)-1)</f>
        <v/>
      </c>
      <c r="AU678" s="243" t="str">
        <f>IF($AL678="","",RANK(AV678,$AV$2:$AV$1001)+COUNTIF($AV$2:AV678,AV678)-1)</f>
        <v/>
      </c>
      <c r="AV678" s="266">
        <f t="shared" si="52"/>
        <v>0</v>
      </c>
    </row>
    <row r="679" spans="26:48" ht="15" customHeight="1" x14ac:dyDescent="0.2">
      <c r="Z679" s="243" t="str">
        <f>Shares!A679</f>
        <v/>
      </c>
      <c r="AA679" s="243" t="str">
        <f>Shares!B679</f>
        <v/>
      </c>
      <c r="AB679" s="243" t="str">
        <f>Shares!C679</f>
        <v/>
      </c>
      <c r="AC679" s="243" t="str">
        <f>Shares!D679</f>
        <v/>
      </c>
      <c r="AD679" s="243">
        <f>IF($Z679="",0,Shares!E679)</f>
        <v>0</v>
      </c>
      <c r="AE679" s="266">
        <f>IF($Z679="",0,Shares!J679*Shares!I679)</f>
        <v>0</v>
      </c>
      <c r="AF679" s="267">
        <f t="shared" si="51"/>
        <v>0</v>
      </c>
      <c r="AG679" s="266">
        <f>IF($Z679="",0,Shares!L679)</f>
        <v>0</v>
      </c>
      <c r="AH679" s="267">
        <f>IF($Z679="",0,Shares!M679)</f>
        <v>0</v>
      </c>
      <c r="AI679" s="243" t="str">
        <f>IF($Z679="","",RANK(AE679,$AE$2:$AE$1001)+COUNTIF($AE$2:AE679,AE679)-1)</f>
        <v/>
      </c>
      <c r="AJ679" s="243" t="str">
        <f>IF($AD679&lt;0,COUNT($AJ$1:AJ678)+1,"")</f>
        <v/>
      </c>
      <c r="AL679" s="243" t="str">
        <f>'All Ticker P&amp;L'!A679</f>
        <v/>
      </c>
      <c r="AM679" s="243" t="str">
        <f>'All Ticker P&amp;L'!B679</f>
        <v/>
      </c>
      <c r="AN679" s="243" t="str">
        <f>'All Ticker P&amp;L'!C679</f>
        <v/>
      </c>
      <c r="AO679" s="243" t="str">
        <f>'All Ticker P&amp;L'!D679</f>
        <v/>
      </c>
      <c r="AP679" s="243">
        <f>IF($AL679="",0,'All Ticker P&amp;L'!E679)</f>
        <v>0</v>
      </c>
      <c r="AQ679" s="266">
        <f>IF($AL679="",0,'All Ticker P&amp;L'!J679*'All Ticker P&amp;L'!I679)</f>
        <v>0</v>
      </c>
      <c r="AR679" s="266">
        <f>IF($AL679="",0,'All Ticker P&amp;L'!L679)</f>
        <v>0</v>
      </c>
      <c r="AS679" s="267">
        <f>IF($AL679="",0,'All Ticker P&amp;L'!M679)</f>
        <v>0</v>
      </c>
      <c r="AT679" s="243" t="str">
        <f>IF($AL679="","",RANK(AR679,$AR$2:$AR$1001)+COUNTIF($AR$2:AR679,AR679)-1)</f>
        <v/>
      </c>
      <c r="AU679" s="243" t="str">
        <f>IF($AL679="","",RANK(AV679,$AV$2:$AV$1001)+COUNTIF($AV$2:AV679,AV679)-1)</f>
        <v/>
      </c>
      <c r="AV679" s="266">
        <f t="shared" si="52"/>
        <v>0</v>
      </c>
    </row>
    <row r="680" spans="26:48" ht="15" customHeight="1" x14ac:dyDescent="0.2">
      <c r="Z680" s="243" t="str">
        <f>Shares!A680</f>
        <v/>
      </c>
      <c r="AA680" s="243" t="str">
        <f>Shares!B680</f>
        <v/>
      </c>
      <c r="AB680" s="243" t="str">
        <f>Shares!C680</f>
        <v/>
      </c>
      <c r="AC680" s="243" t="str">
        <f>Shares!D680</f>
        <v/>
      </c>
      <c r="AD680" s="243">
        <f>IF($Z680="",0,Shares!E680)</f>
        <v>0</v>
      </c>
      <c r="AE680" s="266">
        <f>IF($Z680="",0,Shares!J680*Shares!I680)</f>
        <v>0</v>
      </c>
      <c r="AF680" s="267">
        <f t="shared" si="51"/>
        <v>0</v>
      </c>
      <c r="AG680" s="266">
        <f>IF($Z680="",0,Shares!L680)</f>
        <v>0</v>
      </c>
      <c r="AH680" s="267">
        <f>IF($Z680="",0,Shares!M680)</f>
        <v>0</v>
      </c>
      <c r="AI680" s="243" t="str">
        <f>IF($Z680="","",RANK(AE680,$AE$2:$AE$1001)+COUNTIF($AE$2:AE680,AE680)-1)</f>
        <v/>
      </c>
      <c r="AJ680" s="243" t="str">
        <f>IF($AD680&lt;0,COUNT($AJ$1:AJ679)+1,"")</f>
        <v/>
      </c>
      <c r="AL680" s="243" t="str">
        <f>'All Ticker P&amp;L'!A680</f>
        <v/>
      </c>
      <c r="AM680" s="243" t="str">
        <f>'All Ticker P&amp;L'!B680</f>
        <v/>
      </c>
      <c r="AN680" s="243" t="str">
        <f>'All Ticker P&amp;L'!C680</f>
        <v/>
      </c>
      <c r="AO680" s="243" t="str">
        <f>'All Ticker P&amp;L'!D680</f>
        <v/>
      </c>
      <c r="AP680" s="243">
        <f>IF($AL680="",0,'All Ticker P&amp;L'!E680)</f>
        <v>0</v>
      </c>
      <c r="AQ680" s="266">
        <f>IF($AL680="",0,'All Ticker P&amp;L'!J680*'All Ticker P&amp;L'!I680)</f>
        <v>0</v>
      </c>
      <c r="AR680" s="266">
        <f>IF($AL680="",0,'All Ticker P&amp;L'!L680)</f>
        <v>0</v>
      </c>
      <c r="AS680" s="267">
        <f>IF($AL680="",0,'All Ticker P&amp;L'!M680)</f>
        <v>0</v>
      </c>
      <c r="AT680" s="243" t="str">
        <f>IF($AL680="","",RANK(AR680,$AR$2:$AR$1001)+COUNTIF($AR$2:AR680,AR680)-1)</f>
        <v/>
      </c>
      <c r="AU680" s="243" t="str">
        <f>IF($AL680="","",RANK(AV680,$AV$2:$AV$1001)+COUNTIF($AV$2:AV680,AV680)-1)</f>
        <v/>
      </c>
      <c r="AV680" s="266">
        <f t="shared" si="52"/>
        <v>0</v>
      </c>
    </row>
    <row r="681" spans="26:48" ht="15" customHeight="1" x14ac:dyDescent="0.2">
      <c r="Z681" s="243" t="str">
        <f>Shares!A681</f>
        <v/>
      </c>
      <c r="AA681" s="243" t="str">
        <f>Shares!B681</f>
        <v/>
      </c>
      <c r="AB681" s="243" t="str">
        <f>Shares!C681</f>
        <v/>
      </c>
      <c r="AC681" s="243" t="str">
        <f>Shares!D681</f>
        <v/>
      </c>
      <c r="AD681" s="243">
        <f>IF($Z681="",0,Shares!E681)</f>
        <v>0</v>
      </c>
      <c r="AE681" s="266">
        <f>IF($Z681="",0,Shares!J681*Shares!I681)</f>
        <v>0</v>
      </c>
      <c r="AF681" s="267">
        <f t="shared" si="51"/>
        <v>0</v>
      </c>
      <c r="AG681" s="266">
        <f>IF($Z681="",0,Shares!L681)</f>
        <v>0</v>
      </c>
      <c r="AH681" s="267">
        <f>IF($Z681="",0,Shares!M681)</f>
        <v>0</v>
      </c>
      <c r="AI681" s="243" t="str">
        <f>IF($Z681="","",RANK(AE681,$AE$2:$AE$1001)+COUNTIF($AE$2:AE681,AE681)-1)</f>
        <v/>
      </c>
      <c r="AJ681" s="243" t="str">
        <f>IF($AD681&lt;0,COUNT($AJ$1:AJ680)+1,"")</f>
        <v/>
      </c>
      <c r="AL681" s="243" t="str">
        <f>'All Ticker P&amp;L'!A681</f>
        <v/>
      </c>
      <c r="AM681" s="243" t="str">
        <f>'All Ticker P&amp;L'!B681</f>
        <v/>
      </c>
      <c r="AN681" s="243" t="str">
        <f>'All Ticker P&amp;L'!C681</f>
        <v/>
      </c>
      <c r="AO681" s="243" t="str">
        <f>'All Ticker P&amp;L'!D681</f>
        <v/>
      </c>
      <c r="AP681" s="243">
        <f>IF($AL681="",0,'All Ticker P&amp;L'!E681)</f>
        <v>0</v>
      </c>
      <c r="AQ681" s="266">
        <f>IF($AL681="",0,'All Ticker P&amp;L'!J681*'All Ticker P&amp;L'!I681)</f>
        <v>0</v>
      </c>
      <c r="AR681" s="266">
        <f>IF($AL681="",0,'All Ticker P&amp;L'!L681)</f>
        <v>0</v>
      </c>
      <c r="AS681" s="267">
        <f>IF($AL681="",0,'All Ticker P&amp;L'!M681)</f>
        <v>0</v>
      </c>
      <c r="AT681" s="243" t="str">
        <f>IF($AL681="","",RANK(AR681,$AR$2:$AR$1001)+COUNTIF($AR$2:AR681,AR681)-1)</f>
        <v/>
      </c>
      <c r="AU681" s="243" t="str">
        <f>IF($AL681="","",RANK(AV681,$AV$2:$AV$1001)+COUNTIF($AV$2:AV681,AV681)-1)</f>
        <v/>
      </c>
      <c r="AV681" s="266">
        <f t="shared" si="52"/>
        <v>0</v>
      </c>
    </row>
    <row r="682" spans="26:48" ht="15" customHeight="1" x14ac:dyDescent="0.2">
      <c r="Z682" s="243" t="str">
        <f>Shares!A682</f>
        <v/>
      </c>
      <c r="AA682" s="243" t="str">
        <f>Shares!B682</f>
        <v/>
      </c>
      <c r="AB682" s="243" t="str">
        <f>Shares!C682</f>
        <v/>
      </c>
      <c r="AC682" s="243" t="str">
        <f>Shares!D682</f>
        <v/>
      </c>
      <c r="AD682" s="243">
        <f>IF($Z682="",0,Shares!E682)</f>
        <v>0</v>
      </c>
      <c r="AE682" s="266">
        <f>IF($Z682="",0,Shares!J682*Shares!I682)</f>
        <v>0</v>
      </c>
      <c r="AF682" s="267">
        <f t="shared" si="51"/>
        <v>0</v>
      </c>
      <c r="AG682" s="266">
        <f>IF($Z682="",0,Shares!L682)</f>
        <v>0</v>
      </c>
      <c r="AH682" s="267">
        <f>IF($Z682="",0,Shares!M682)</f>
        <v>0</v>
      </c>
      <c r="AI682" s="243" t="str">
        <f>IF($Z682="","",RANK(AE682,$AE$2:$AE$1001)+COUNTIF($AE$2:AE682,AE682)-1)</f>
        <v/>
      </c>
      <c r="AJ682" s="243" t="str">
        <f>IF($AD682&lt;0,COUNT($AJ$1:AJ681)+1,"")</f>
        <v/>
      </c>
      <c r="AL682" s="243" t="str">
        <f>'All Ticker P&amp;L'!A682</f>
        <v/>
      </c>
      <c r="AM682" s="243" t="str">
        <f>'All Ticker P&amp;L'!B682</f>
        <v/>
      </c>
      <c r="AN682" s="243" t="str">
        <f>'All Ticker P&amp;L'!C682</f>
        <v/>
      </c>
      <c r="AO682" s="243" t="str">
        <f>'All Ticker P&amp;L'!D682</f>
        <v/>
      </c>
      <c r="AP682" s="243">
        <f>IF($AL682="",0,'All Ticker P&amp;L'!E682)</f>
        <v>0</v>
      </c>
      <c r="AQ682" s="266">
        <f>IF($AL682="",0,'All Ticker P&amp;L'!J682*'All Ticker P&amp;L'!I682)</f>
        <v>0</v>
      </c>
      <c r="AR682" s="266">
        <f>IF($AL682="",0,'All Ticker P&amp;L'!L682)</f>
        <v>0</v>
      </c>
      <c r="AS682" s="267">
        <f>IF($AL682="",0,'All Ticker P&amp;L'!M682)</f>
        <v>0</v>
      </c>
      <c r="AT682" s="243" t="str">
        <f>IF($AL682="","",RANK(AR682,$AR$2:$AR$1001)+COUNTIF($AR$2:AR682,AR682)-1)</f>
        <v/>
      </c>
      <c r="AU682" s="243" t="str">
        <f>IF($AL682="","",RANK(AV682,$AV$2:$AV$1001)+COUNTIF($AV$2:AV682,AV682)-1)</f>
        <v/>
      </c>
      <c r="AV682" s="266">
        <f t="shared" si="52"/>
        <v>0</v>
      </c>
    </row>
    <row r="683" spans="26:48" ht="15" customHeight="1" x14ac:dyDescent="0.2">
      <c r="Z683" s="243" t="str">
        <f>Shares!A683</f>
        <v/>
      </c>
      <c r="AA683" s="243" t="str">
        <f>Shares!B683</f>
        <v/>
      </c>
      <c r="AB683" s="243" t="str">
        <f>Shares!C683</f>
        <v/>
      </c>
      <c r="AC683" s="243" t="str">
        <f>Shares!D683</f>
        <v/>
      </c>
      <c r="AD683" s="243">
        <f>IF($Z683="",0,Shares!E683)</f>
        <v>0</v>
      </c>
      <c r="AE683" s="266">
        <f>IF($Z683="",0,Shares!J683*Shares!I683)</f>
        <v>0</v>
      </c>
      <c r="AF683" s="267">
        <f t="shared" si="51"/>
        <v>0</v>
      </c>
      <c r="AG683" s="266">
        <f>IF($Z683="",0,Shares!L683)</f>
        <v>0</v>
      </c>
      <c r="AH683" s="267">
        <f>IF($Z683="",0,Shares!M683)</f>
        <v>0</v>
      </c>
      <c r="AI683" s="243" t="str">
        <f>IF($Z683="","",RANK(AE683,$AE$2:$AE$1001)+COUNTIF($AE$2:AE683,AE683)-1)</f>
        <v/>
      </c>
      <c r="AJ683" s="243" t="str">
        <f>IF($AD683&lt;0,COUNT($AJ$1:AJ682)+1,"")</f>
        <v/>
      </c>
      <c r="AL683" s="243" t="str">
        <f>'All Ticker P&amp;L'!A683</f>
        <v/>
      </c>
      <c r="AM683" s="243" t="str">
        <f>'All Ticker P&amp;L'!B683</f>
        <v/>
      </c>
      <c r="AN683" s="243" t="str">
        <f>'All Ticker P&amp;L'!C683</f>
        <v/>
      </c>
      <c r="AO683" s="243" t="str">
        <f>'All Ticker P&amp;L'!D683</f>
        <v/>
      </c>
      <c r="AP683" s="243">
        <f>IF($AL683="",0,'All Ticker P&amp;L'!E683)</f>
        <v>0</v>
      </c>
      <c r="AQ683" s="266">
        <f>IF($AL683="",0,'All Ticker P&amp;L'!J683*'All Ticker P&amp;L'!I683)</f>
        <v>0</v>
      </c>
      <c r="AR683" s="266">
        <f>IF($AL683="",0,'All Ticker P&amp;L'!L683)</f>
        <v>0</v>
      </c>
      <c r="AS683" s="267">
        <f>IF($AL683="",0,'All Ticker P&amp;L'!M683)</f>
        <v>0</v>
      </c>
      <c r="AT683" s="243" t="str">
        <f>IF($AL683="","",RANK(AR683,$AR$2:$AR$1001)+COUNTIF($AR$2:AR683,AR683)-1)</f>
        <v/>
      </c>
      <c r="AU683" s="243" t="str">
        <f>IF($AL683="","",RANK(AV683,$AV$2:$AV$1001)+COUNTIF($AV$2:AV683,AV683)-1)</f>
        <v/>
      </c>
      <c r="AV683" s="266">
        <f t="shared" si="52"/>
        <v>0</v>
      </c>
    </row>
    <row r="684" spans="26:48" ht="15" customHeight="1" x14ac:dyDescent="0.2">
      <c r="Z684" s="243" t="str">
        <f>Shares!A684</f>
        <v/>
      </c>
      <c r="AA684" s="243" t="str">
        <f>Shares!B684</f>
        <v/>
      </c>
      <c r="AB684" s="243" t="str">
        <f>Shares!C684</f>
        <v/>
      </c>
      <c r="AC684" s="243" t="str">
        <f>Shares!D684</f>
        <v/>
      </c>
      <c r="AD684" s="243">
        <f>IF($Z684="",0,Shares!E684)</f>
        <v>0</v>
      </c>
      <c r="AE684" s="266">
        <f>IF($Z684="",0,Shares!J684*Shares!I684)</f>
        <v>0</v>
      </c>
      <c r="AF684" s="267">
        <f t="shared" si="51"/>
        <v>0</v>
      </c>
      <c r="AG684" s="266">
        <f>IF($Z684="",0,Shares!L684)</f>
        <v>0</v>
      </c>
      <c r="AH684" s="267">
        <f>IF($Z684="",0,Shares!M684)</f>
        <v>0</v>
      </c>
      <c r="AI684" s="243" t="str">
        <f>IF($Z684="","",RANK(AE684,$AE$2:$AE$1001)+COUNTIF($AE$2:AE684,AE684)-1)</f>
        <v/>
      </c>
      <c r="AJ684" s="243" t="str">
        <f>IF($AD684&lt;0,COUNT($AJ$1:AJ683)+1,"")</f>
        <v/>
      </c>
      <c r="AL684" s="243" t="str">
        <f>'All Ticker P&amp;L'!A684</f>
        <v/>
      </c>
      <c r="AM684" s="243" t="str">
        <f>'All Ticker P&amp;L'!B684</f>
        <v/>
      </c>
      <c r="AN684" s="243" t="str">
        <f>'All Ticker P&amp;L'!C684</f>
        <v/>
      </c>
      <c r="AO684" s="243" t="str">
        <f>'All Ticker P&amp;L'!D684</f>
        <v/>
      </c>
      <c r="AP684" s="243">
        <f>IF($AL684="",0,'All Ticker P&amp;L'!E684)</f>
        <v>0</v>
      </c>
      <c r="AQ684" s="266">
        <f>IF($AL684="",0,'All Ticker P&amp;L'!J684*'All Ticker P&amp;L'!I684)</f>
        <v>0</v>
      </c>
      <c r="AR684" s="266">
        <f>IF($AL684="",0,'All Ticker P&amp;L'!L684)</f>
        <v>0</v>
      </c>
      <c r="AS684" s="267">
        <f>IF($AL684="",0,'All Ticker P&amp;L'!M684)</f>
        <v>0</v>
      </c>
      <c r="AT684" s="243" t="str">
        <f>IF($AL684="","",RANK(AR684,$AR$2:$AR$1001)+COUNTIF($AR$2:AR684,AR684)-1)</f>
        <v/>
      </c>
      <c r="AU684" s="243" t="str">
        <f>IF($AL684="","",RANK(AV684,$AV$2:$AV$1001)+COUNTIF($AV$2:AV684,AV684)-1)</f>
        <v/>
      </c>
      <c r="AV684" s="266">
        <f t="shared" si="52"/>
        <v>0</v>
      </c>
    </row>
    <row r="685" spans="26:48" ht="15" customHeight="1" x14ac:dyDescent="0.2">
      <c r="Z685" s="243" t="str">
        <f>Shares!A685</f>
        <v/>
      </c>
      <c r="AA685" s="243" t="str">
        <f>Shares!B685</f>
        <v/>
      </c>
      <c r="AB685" s="243" t="str">
        <f>Shares!C685</f>
        <v/>
      </c>
      <c r="AC685" s="243" t="str">
        <f>Shares!D685</f>
        <v/>
      </c>
      <c r="AD685" s="243">
        <f>IF($Z685="",0,Shares!E685)</f>
        <v>0</v>
      </c>
      <c r="AE685" s="266">
        <f>IF($Z685="",0,Shares!J685*Shares!I685)</f>
        <v>0</v>
      </c>
      <c r="AF685" s="267">
        <f t="shared" si="51"/>
        <v>0</v>
      </c>
      <c r="AG685" s="266">
        <f>IF($Z685="",0,Shares!L685)</f>
        <v>0</v>
      </c>
      <c r="AH685" s="267">
        <f>IF($Z685="",0,Shares!M685)</f>
        <v>0</v>
      </c>
      <c r="AI685" s="243" t="str">
        <f>IF($Z685="","",RANK(AE685,$AE$2:$AE$1001)+COUNTIF($AE$2:AE685,AE685)-1)</f>
        <v/>
      </c>
      <c r="AJ685" s="243" t="str">
        <f>IF($AD685&lt;0,COUNT($AJ$1:AJ684)+1,"")</f>
        <v/>
      </c>
      <c r="AL685" s="243" t="str">
        <f>'All Ticker P&amp;L'!A685</f>
        <v/>
      </c>
      <c r="AM685" s="243" t="str">
        <f>'All Ticker P&amp;L'!B685</f>
        <v/>
      </c>
      <c r="AN685" s="243" t="str">
        <f>'All Ticker P&amp;L'!C685</f>
        <v/>
      </c>
      <c r="AO685" s="243" t="str">
        <f>'All Ticker P&amp;L'!D685</f>
        <v/>
      </c>
      <c r="AP685" s="243">
        <f>IF($AL685="",0,'All Ticker P&amp;L'!E685)</f>
        <v>0</v>
      </c>
      <c r="AQ685" s="266">
        <f>IF($AL685="",0,'All Ticker P&amp;L'!J685*'All Ticker P&amp;L'!I685)</f>
        <v>0</v>
      </c>
      <c r="AR685" s="266">
        <f>IF($AL685="",0,'All Ticker P&amp;L'!L685)</f>
        <v>0</v>
      </c>
      <c r="AS685" s="267">
        <f>IF($AL685="",0,'All Ticker P&amp;L'!M685)</f>
        <v>0</v>
      </c>
      <c r="AT685" s="243" t="str">
        <f>IF($AL685="","",RANK(AR685,$AR$2:$AR$1001)+COUNTIF($AR$2:AR685,AR685)-1)</f>
        <v/>
      </c>
      <c r="AU685" s="243" t="str">
        <f>IF($AL685="","",RANK(AV685,$AV$2:$AV$1001)+COUNTIF($AV$2:AV685,AV685)-1)</f>
        <v/>
      </c>
      <c r="AV685" s="266">
        <f t="shared" si="52"/>
        <v>0</v>
      </c>
    </row>
    <row r="686" spans="26:48" ht="15" customHeight="1" x14ac:dyDescent="0.2">
      <c r="Z686" s="243" t="str">
        <f>Shares!A686</f>
        <v/>
      </c>
      <c r="AA686" s="243" t="str">
        <f>Shares!B686</f>
        <v/>
      </c>
      <c r="AB686" s="243" t="str">
        <f>Shares!C686</f>
        <v/>
      </c>
      <c r="AC686" s="243" t="str">
        <f>Shares!D686</f>
        <v/>
      </c>
      <c r="AD686" s="243">
        <f>IF($Z686="",0,Shares!E686)</f>
        <v>0</v>
      </c>
      <c r="AE686" s="266">
        <f>IF($Z686="",0,Shares!J686*Shares!I686)</f>
        <v>0</v>
      </c>
      <c r="AF686" s="267">
        <f t="shared" si="51"/>
        <v>0</v>
      </c>
      <c r="AG686" s="266">
        <f>IF($Z686="",0,Shares!L686)</f>
        <v>0</v>
      </c>
      <c r="AH686" s="267">
        <f>IF($Z686="",0,Shares!M686)</f>
        <v>0</v>
      </c>
      <c r="AI686" s="243" t="str">
        <f>IF($Z686="","",RANK(AE686,$AE$2:$AE$1001)+COUNTIF($AE$2:AE686,AE686)-1)</f>
        <v/>
      </c>
      <c r="AJ686" s="243" t="str">
        <f>IF($AD686&lt;0,COUNT($AJ$1:AJ685)+1,"")</f>
        <v/>
      </c>
      <c r="AL686" s="243" t="str">
        <f>'All Ticker P&amp;L'!A686</f>
        <v/>
      </c>
      <c r="AM686" s="243" t="str">
        <f>'All Ticker P&amp;L'!B686</f>
        <v/>
      </c>
      <c r="AN686" s="243" t="str">
        <f>'All Ticker P&amp;L'!C686</f>
        <v/>
      </c>
      <c r="AO686" s="243" t="str">
        <f>'All Ticker P&amp;L'!D686</f>
        <v/>
      </c>
      <c r="AP686" s="243">
        <f>IF($AL686="",0,'All Ticker P&amp;L'!E686)</f>
        <v>0</v>
      </c>
      <c r="AQ686" s="266">
        <f>IF($AL686="",0,'All Ticker P&amp;L'!J686*'All Ticker P&amp;L'!I686)</f>
        <v>0</v>
      </c>
      <c r="AR686" s="266">
        <f>IF($AL686="",0,'All Ticker P&amp;L'!L686)</f>
        <v>0</v>
      </c>
      <c r="AS686" s="267">
        <f>IF($AL686="",0,'All Ticker P&amp;L'!M686)</f>
        <v>0</v>
      </c>
      <c r="AT686" s="243" t="str">
        <f>IF($AL686="","",RANK(AR686,$AR$2:$AR$1001)+COUNTIF($AR$2:AR686,AR686)-1)</f>
        <v/>
      </c>
      <c r="AU686" s="243" t="str">
        <f>IF($AL686="","",RANK(AV686,$AV$2:$AV$1001)+COUNTIF($AV$2:AV686,AV686)-1)</f>
        <v/>
      </c>
      <c r="AV686" s="266">
        <f t="shared" si="52"/>
        <v>0</v>
      </c>
    </row>
    <row r="687" spans="26:48" ht="15" customHeight="1" x14ac:dyDescent="0.2">
      <c r="Z687" s="243" t="str">
        <f>Shares!A687</f>
        <v/>
      </c>
      <c r="AA687" s="243" t="str">
        <f>Shares!B687</f>
        <v/>
      </c>
      <c r="AB687" s="243" t="str">
        <f>Shares!C687</f>
        <v/>
      </c>
      <c r="AC687" s="243" t="str">
        <f>Shares!D687</f>
        <v/>
      </c>
      <c r="AD687" s="243">
        <f>IF($Z687="",0,Shares!E687)</f>
        <v>0</v>
      </c>
      <c r="AE687" s="266">
        <f>IF($Z687="",0,Shares!J687*Shares!I687)</f>
        <v>0</v>
      </c>
      <c r="AF687" s="267">
        <f t="shared" si="51"/>
        <v>0</v>
      </c>
      <c r="AG687" s="266">
        <f>IF($Z687="",0,Shares!L687)</f>
        <v>0</v>
      </c>
      <c r="AH687" s="267">
        <f>IF($Z687="",0,Shares!M687)</f>
        <v>0</v>
      </c>
      <c r="AI687" s="243" t="str">
        <f>IF($Z687="","",RANK(AE687,$AE$2:$AE$1001)+COUNTIF($AE$2:AE687,AE687)-1)</f>
        <v/>
      </c>
      <c r="AJ687" s="243" t="str">
        <f>IF($AD687&lt;0,COUNT($AJ$1:AJ686)+1,"")</f>
        <v/>
      </c>
      <c r="AL687" s="243" t="str">
        <f>'All Ticker P&amp;L'!A687</f>
        <v/>
      </c>
      <c r="AM687" s="243" t="str">
        <f>'All Ticker P&amp;L'!B687</f>
        <v/>
      </c>
      <c r="AN687" s="243" t="str">
        <f>'All Ticker P&amp;L'!C687</f>
        <v/>
      </c>
      <c r="AO687" s="243" t="str">
        <f>'All Ticker P&amp;L'!D687</f>
        <v/>
      </c>
      <c r="AP687" s="243">
        <f>IF($AL687="",0,'All Ticker P&amp;L'!E687)</f>
        <v>0</v>
      </c>
      <c r="AQ687" s="266">
        <f>IF($AL687="",0,'All Ticker P&amp;L'!J687*'All Ticker P&amp;L'!I687)</f>
        <v>0</v>
      </c>
      <c r="AR687" s="266">
        <f>IF($AL687="",0,'All Ticker P&amp;L'!L687)</f>
        <v>0</v>
      </c>
      <c r="AS687" s="267">
        <f>IF($AL687="",0,'All Ticker P&amp;L'!M687)</f>
        <v>0</v>
      </c>
      <c r="AT687" s="243" t="str">
        <f>IF($AL687="","",RANK(AR687,$AR$2:$AR$1001)+COUNTIF($AR$2:AR687,AR687)-1)</f>
        <v/>
      </c>
      <c r="AU687" s="243" t="str">
        <f>IF($AL687="","",RANK(AV687,$AV$2:$AV$1001)+COUNTIF($AV$2:AV687,AV687)-1)</f>
        <v/>
      </c>
      <c r="AV687" s="266">
        <f t="shared" si="52"/>
        <v>0</v>
      </c>
    </row>
    <row r="688" spans="26:48" ht="15" customHeight="1" x14ac:dyDescent="0.2">
      <c r="Z688" s="243" t="str">
        <f>Shares!A688</f>
        <v/>
      </c>
      <c r="AA688" s="243" t="str">
        <f>Shares!B688</f>
        <v/>
      </c>
      <c r="AB688" s="243" t="str">
        <f>Shares!C688</f>
        <v/>
      </c>
      <c r="AC688" s="243" t="str">
        <f>Shares!D688</f>
        <v/>
      </c>
      <c r="AD688" s="243">
        <f>IF($Z688="",0,Shares!E688)</f>
        <v>0</v>
      </c>
      <c r="AE688" s="266">
        <f>IF($Z688="",0,Shares!J688*Shares!I688)</f>
        <v>0</v>
      </c>
      <c r="AF688" s="267">
        <f t="shared" si="51"/>
        <v>0</v>
      </c>
      <c r="AG688" s="266">
        <f>IF($Z688="",0,Shares!L688)</f>
        <v>0</v>
      </c>
      <c r="AH688" s="267">
        <f>IF($Z688="",0,Shares!M688)</f>
        <v>0</v>
      </c>
      <c r="AI688" s="243" t="str">
        <f>IF($Z688="","",RANK(AE688,$AE$2:$AE$1001)+COUNTIF($AE$2:AE688,AE688)-1)</f>
        <v/>
      </c>
      <c r="AJ688" s="243" t="str">
        <f>IF($AD688&lt;0,COUNT($AJ$1:AJ687)+1,"")</f>
        <v/>
      </c>
      <c r="AL688" s="243" t="str">
        <f>'All Ticker P&amp;L'!A688</f>
        <v/>
      </c>
      <c r="AM688" s="243" t="str">
        <f>'All Ticker P&amp;L'!B688</f>
        <v/>
      </c>
      <c r="AN688" s="243" t="str">
        <f>'All Ticker P&amp;L'!C688</f>
        <v/>
      </c>
      <c r="AO688" s="243" t="str">
        <f>'All Ticker P&amp;L'!D688</f>
        <v/>
      </c>
      <c r="AP688" s="243">
        <f>IF($AL688="",0,'All Ticker P&amp;L'!E688)</f>
        <v>0</v>
      </c>
      <c r="AQ688" s="266">
        <f>IF($AL688="",0,'All Ticker P&amp;L'!J688*'All Ticker P&amp;L'!I688)</f>
        <v>0</v>
      </c>
      <c r="AR688" s="266">
        <f>IF($AL688="",0,'All Ticker P&amp;L'!L688)</f>
        <v>0</v>
      </c>
      <c r="AS688" s="267">
        <f>IF($AL688="",0,'All Ticker P&amp;L'!M688)</f>
        <v>0</v>
      </c>
      <c r="AT688" s="243" t="str">
        <f>IF($AL688="","",RANK(AR688,$AR$2:$AR$1001)+COUNTIF($AR$2:AR688,AR688)-1)</f>
        <v/>
      </c>
      <c r="AU688" s="243" t="str">
        <f>IF($AL688="","",RANK(AV688,$AV$2:$AV$1001)+COUNTIF($AV$2:AV688,AV688)-1)</f>
        <v/>
      </c>
      <c r="AV688" s="266">
        <f t="shared" si="52"/>
        <v>0</v>
      </c>
    </row>
    <row r="689" spans="26:48" ht="15" customHeight="1" x14ac:dyDescent="0.2">
      <c r="Z689" s="243" t="str">
        <f>Shares!A689</f>
        <v/>
      </c>
      <c r="AA689" s="243" t="str">
        <f>Shares!B689</f>
        <v/>
      </c>
      <c r="AB689" s="243" t="str">
        <f>Shares!C689</f>
        <v/>
      </c>
      <c r="AC689" s="243" t="str">
        <f>Shares!D689</f>
        <v/>
      </c>
      <c r="AD689" s="243">
        <f>IF($Z689="",0,Shares!E689)</f>
        <v>0</v>
      </c>
      <c r="AE689" s="266">
        <f>IF($Z689="",0,Shares!J689*Shares!I689)</f>
        <v>0</v>
      </c>
      <c r="AF689" s="267">
        <f t="shared" si="51"/>
        <v>0</v>
      </c>
      <c r="AG689" s="266">
        <f>IF($Z689="",0,Shares!L689)</f>
        <v>0</v>
      </c>
      <c r="AH689" s="267">
        <f>IF($Z689="",0,Shares!M689)</f>
        <v>0</v>
      </c>
      <c r="AI689" s="243" t="str">
        <f>IF($Z689="","",RANK(AE689,$AE$2:$AE$1001)+COUNTIF($AE$2:AE689,AE689)-1)</f>
        <v/>
      </c>
      <c r="AJ689" s="243" t="str">
        <f>IF($AD689&lt;0,COUNT($AJ$1:AJ688)+1,"")</f>
        <v/>
      </c>
      <c r="AL689" s="243" t="str">
        <f>'All Ticker P&amp;L'!A689</f>
        <v/>
      </c>
      <c r="AM689" s="243" t="str">
        <f>'All Ticker P&amp;L'!B689</f>
        <v/>
      </c>
      <c r="AN689" s="243" t="str">
        <f>'All Ticker P&amp;L'!C689</f>
        <v/>
      </c>
      <c r="AO689" s="243" t="str">
        <f>'All Ticker P&amp;L'!D689</f>
        <v/>
      </c>
      <c r="AP689" s="243">
        <f>IF($AL689="",0,'All Ticker P&amp;L'!E689)</f>
        <v>0</v>
      </c>
      <c r="AQ689" s="266">
        <f>IF($AL689="",0,'All Ticker P&amp;L'!J689*'All Ticker P&amp;L'!I689)</f>
        <v>0</v>
      </c>
      <c r="AR689" s="266">
        <f>IF($AL689="",0,'All Ticker P&amp;L'!L689)</f>
        <v>0</v>
      </c>
      <c r="AS689" s="267">
        <f>IF($AL689="",0,'All Ticker P&amp;L'!M689)</f>
        <v>0</v>
      </c>
      <c r="AT689" s="243" t="str">
        <f>IF($AL689="","",RANK(AR689,$AR$2:$AR$1001)+COUNTIF($AR$2:AR689,AR689)-1)</f>
        <v/>
      </c>
      <c r="AU689" s="243" t="str">
        <f>IF($AL689="","",RANK(AV689,$AV$2:$AV$1001)+COUNTIF($AV$2:AV689,AV689)-1)</f>
        <v/>
      </c>
      <c r="AV689" s="266">
        <f t="shared" si="52"/>
        <v>0</v>
      </c>
    </row>
    <row r="690" spans="26:48" ht="15" customHeight="1" x14ac:dyDescent="0.2">
      <c r="Z690" s="243" t="str">
        <f>Shares!A690</f>
        <v/>
      </c>
      <c r="AA690" s="243" t="str">
        <f>Shares!B690</f>
        <v/>
      </c>
      <c r="AB690" s="243" t="str">
        <f>Shares!C690</f>
        <v/>
      </c>
      <c r="AC690" s="243" t="str">
        <f>Shares!D690</f>
        <v/>
      </c>
      <c r="AD690" s="243">
        <f>IF($Z690="",0,Shares!E690)</f>
        <v>0</v>
      </c>
      <c r="AE690" s="266">
        <f>IF($Z690="",0,Shares!J690*Shares!I690)</f>
        <v>0</v>
      </c>
      <c r="AF690" s="267">
        <f t="shared" si="51"/>
        <v>0</v>
      </c>
      <c r="AG690" s="266">
        <f>IF($Z690="",0,Shares!L690)</f>
        <v>0</v>
      </c>
      <c r="AH690" s="267">
        <f>IF($Z690="",0,Shares!M690)</f>
        <v>0</v>
      </c>
      <c r="AI690" s="243" t="str">
        <f>IF($Z690="","",RANK(AE690,$AE$2:$AE$1001)+COUNTIF($AE$2:AE690,AE690)-1)</f>
        <v/>
      </c>
      <c r="AJ690" s="243" t="str">
        <f>IF($AD690&lt;0,COUNT($AJ$1:AJ689)+1,"")</f>
        <v/>
      </c>
      <c r="AL690" s="243" t="str">
        <f>'All Ticker P&amp;L'!A690</f>
        <v/>
      </c>
      <c r="AM690" s="243" t="str">
        <f>'All Ticker P&amp;L'!B690</f>
        <v/>
      </c>
      <c r="AN690" s="243" t="str">
        <f>'All Ticker P&amp;L'!C690</f>
        <v/>
      </c>
      <c r="AO690" s="243" t="str">
        <f>'All Ticker P&amp;L'!D690</f>
        <v/>
      </c>
      <c r="AP690" s="243">
        <f>IF($AL690="",0,'All Ticker P&amp;L'!E690)</f>
        <v>0</v>
      </c>
      <c r="AQ690" s="266">
        <f>IF($AL690="",0,'All Ticker P&amp;L'!J690*'All Ticker P&amp;L'!I690)</f>
        <v>0</v>
      </c>
      <c r="AR690" s="266">
        <f>IF($AL690="",0,'All Ticker P&amp;L'!L690)</f>
        <v>0</v>
      </c>
      <c r="AS690" s="267">
        <f>IF($AL690="",0,'All Ticker P&amp;L'!M690)</f>
        <v>0</v>
      </c>
      <c r="AT690" s="243" t="str">
        <f>IF($AL690="","",RANK(AR690,$AR$2:$AR$1001)+COUNTIF($AR$2:AR690,AR690)-1)</f>
        <v/>
      </c>
      <c r="AU690" s="243" t="str">
        <f>IF($AL690="","",RANK(AV690,$AV$2:$AV$1001)+COUNTIF($AV$2:AV690,AV690)-1)</f>
        <v/>
      </c>
      <c r="AV690" s="266">
        <f t="shared" si="52"/>
        <v>0</v>
      </c>
    </row>
    <row r="691" spans="26:48" ht="15" customHeight="1" x14ac:dyDescent="0.2">
      <c r="Z691" s="243" t="str">
        <f>Shares!A691</f>
        <v/>
      </c>
      <c r="AA691" s="243" t="str">
        <f>Shares!B691</f>
        <v/>
      </c>
      <c r="AB691" s="243" t="str">
        <f>Shares!C691</f>
        <v/>
      </c>
      <c r="AC691" s="243" t="str">
        <f>Shares!D691</f>
        <v/>
      </c>
      <c r="AD691" s="243">
        <f>IF($Z691="",0,Shares!E691)</f>
        <v>0</v>
      </c>
      <c r="AE691" s="266">
        <f>IF($Z691="",0,Shares!J691*Shares!I691)</f>
        <v>0</v>
      </c>
      <c r="AF691" s="267">
        <f t="shared" si="51"/>
        <v>0</v>
      </c>
      <c r="AG691" s="266">
        <f>IF($Z691="",0,Shares!L691)</f>
        <v>0</v>
      </c>
      <c r="AH691" s="267">
        <f>IF($Z691="",0,Shares!M691)</f>
        <v>0</v>
      </c>
      <c r="AI691" s="243" t="str">
        <f>IF($Z691="","",RANK(AE691,$AE$2:$AE$1001)+COUNTIF($AE$2:AE691,AE691)-1)</f>
        <v/>
      </c>
      <c r="AJ691" s="243" t="str">
        <f>IF($AD691&lt;0,COUNT($AJ$1:AJ690)+1,"")</f>
        <v/>
      </c>
      <c r="AL691" s="243" t="str">
        <f>'All Ticker P&amp;L'!A691</f>
        <v/>
      </c>
      <c r="AM691" s="243" t="str">
        <f>'All Ticker P&amp;L'!B691</f>
        <v/>
      </c>
      <c r="AN691" s="243" t="str">
        <f>'All Ticker P&amp;L'!C691</f>
        <v/>
      </c>
      <c r="AO691" s="243" t="str">
        <f>'All Ticker P&amp;L'!D691</f>
        <v/>
      </c>
      <c r="AP691" s="243">
        <f>IF($AL691="",0,'All Ticker P&amp;L'!E691)</f>
        <v>0</v>
      </c>
      <c r="AQ691" s="266">
        <f>IF($AL691="",0,'All Ticker P&amp;L'!J691*'All Ticker P&amp;L'!I691)</f>
        <v>0</v>
      </c>
      <c r="AR691" s="266">
        <f>IF($AL691="",0,'All Ticker P&amp;L'!L691)</f>
        <v>0</v>
      </c>
      <c r="AS691" s="267">
        <f>IF($AL691="",0,'All Ticker P&amp;L'!M691)</f>
        <v>0</v>
      </c>
      <c r="AT691" s="243" t="str">
        <f>IF($AL691="","",RANK(AR691,$AR$2:$AR$1001)+COUNTIF($AR$2:AR691,AR691)-1)</f>
        <v/>
      </c>
      <c r="AU691" s="243" t="str">
        <f>IF($AL691="","",RANK(AV691,$AV$2:$AV$1001)+COUNTIF($AV$2:AV691,AV691)-1)</f>
        <v/>
      </c>
      <c r="AV691" s="266">
        <f t="shared" si="52"/>
        <v>0</v>
      </c>
    </row>
    <row r="692" spans="26:48" ht="15" customHeight="1" x14ac:dyDescent="0.2">
      <c r="Z692" s="243" t="str">
        <f>Shares!A692</f>
        <v/>
      </c>
      <c r="AA692" s="243" t="str">
        <f>Shares!B692</f>
        <v/>
      </c>
      <c r="AB692" s="243" t="str">
        <f>Shares!C692</f>
        <v/>
      </c>
      <c r="AC692" s="243" t="str">
        <f>Shares!D692</f>
        <v/>
      </c>
      <c r="AD692" s="243">
        <f>IF($Z692="",0,Shares!E692)</f>
        <v>0</v>
      </c>
      <c r="AE692" s="266">
        <f>IF($Z692="",0,Shares!J692*Shares!I692)</f>
        <v>0</v>
      </c>
      <c r="AF692" s="267">
        <f t="shared" si="51"/>
        <v>0</v>
      </c>
      <c r="AG692" s="266">
        <f>IF($Z692="",0,Shares!L692)</f>
        <v>0</v>
      </c>
      <c r="AH692" s="267">
        <f>IF($Z692="",0,Shares!M692)</f>
        <v>0</v>
      </c>
      <c r="AI692" s="243" t="str">
        <f>IF($Z692="","",RANK(AE692,$AE$2:$AE$1001)+COUNTIF($AE$2:AE692,AE692)-1)</f>
        <v/>
      </c>
      <c r="AJ692" s="243" t="str">
        <f>IF($AD692&lt;0,COUNT($AJ$1:AJ691)+1,"")</f>
        <v/>
      </c>
      <c r="AL692" s="243" t="str">
        <f>'All Ticker P&amp;L'!A692</f>
        <v/>
      </c>
      <c r="AM692" s="243" t="str">
        <f>'All Ticker P&amp;L'!B692</f>
        <v/>
      </c>
      <c r="AN692" s="243" t="str">
        <f>'All Ticker P&amp;L'!C692</f>
        <v/>
      </c>
      <c r="AO692" s="243" t="str">
        <f>'All Ticker P&amp;L'!D692</f>
        <v/>
      </c>
      <c r="AP692" s="243">
        <f>IF($AL692="",0,'All Ticker P&amp;L'!E692)</f>
        <v>0</v>
      </c>
      <c r="AQ692" s="266">
        <f>IF($AL692="",0,'All Ticker P&amp;L'!J692*'All Ticker P&amp;L'!I692)</f>
        <v>0</v>
      </c>
      <c r="AR692" s="266">
        <f>IF($AL692="",0,'All Ticker P&amp;L'!L692)</f>
        <v>0</v>
      </c>
      <c r="AS692" s="267">
        <f>IF($AL692="",0,'All Ticker P&amp;L'!M692)</f>
        <v>0</v>
      </c>
      <c r="AT692" s="243" t="str">
        <f>IF($AL692="","",RANK(AR692,$AR$2:$AR$1001)+COUNTIF($AR$2:AR692,AR692)-1)</f>
        <v/>
      </c>
      <c r="AU692" s="243" t="str">
        <f>IF($AL692="","",RANK(AV692,$AV$2:$AV$1001)+COUNTIF($AV$2:AV692,AV692)-1)</f>
        <v/>
      </c>
      <c r="AV692" s="266">
        <f t="shared" si="52"/>
        <v>0</v>
      </c>
    </row>
    <row r="693" spans="26:48" ht="15" customHeight="1" x14ac:dyDescent="0.2">
      <c r="Z693" s="243" t="str">
        <f>Shares!A693</f>
        <v/>
      </c>
      <c r="AA693" s="243" t="str">
        <f>Shares!B693</f>
        <v/>
      </c>
      <c r="AB693" s="243" t="str">
        <f>Shares!C693</f>
        <v/>
      </c>
      <c r="AC693" s="243" t="str">
        <f>Shares!D693</f>
        <v/>
      </c>
      <c r="AD693" s="243">
        <f>IF($Z693="",0,Shares!E693)</f>
        <v>0</v>
      </c>
      <c r="AE693" s="266">
        <f>IF($Z693="",0,Shares!J693*Shares!I693)</f>
        <v>0</v>
      </c>
      <c r="AF693" s="267">
        <f t="shared" si="51"/>
        <v>0</v>
      </c>
      <c r="AG693" s="266">
        <f>IF($Z693="",0,Shares!L693)</f>
        <v>0</v>
      </c>
      <c r="AH693" s="267">
        <f>IF($Z693="",0,Shares!M693)</f>
        <v>0</v>
      </c>
      <c r="AI693" s="243" t="str">
        <f>IF($Z693="","",RANK(AE693,$AE$2:$AE$1001)+COUNTIF($AE$2:AE693,AE693)-1)</f>
        <v/>
      </c>
      <c r="AJ693" s="243" t="str">
        <f>IF($AD693&lt;0,COUNT($AJ$1:AJ692)+1,"")</f>
        <v/>
      </c>
      <c r="AL693" s="243" t="str">
        <f>'All Ticker P&amp;L'!A693</f>
        <v/>
      </c>
      <c r="AM693" s="243" t="str">
        <f>'All Ticker P&amp;L'!B693</f>
        <v/>
      </c>
      <c r="AN693" s="243" t="str">
        <f>'All Ticker P&amp;L'!C693</f>
        <v/>
      </c>
      <c r="AO693" s="243" t="str">
        <f>'All Ticker P&amp;L'!D693</f>
        <v/>
      </c>
      <c r="AP693" s="243">
        <f>IF($AL693="",0,'All Ticker P&amp;L'!E693)</f>
        <v>0</v>
      </c>
      <c r="AQ693" s="266">
        <f>IF($AL693="",0,'All Ticker P&amp;L'!J693*'All Ticker P&amp;L'!I693)</f>
        <v>0</v>
      </c>
      <c r="AR693" s="266">
        <f>IF($AL693="",0,'All Ticker P&amp;L'!L693)</f>
        <v>0</v>
      </c>
      <c r="AS693" s="267">
        <f>IF($AL693="",0,'All Ticker P&amp;L'!M693)</f>
        <v>0</v>
      </c>
      <c r="AT693" s="243" t="str">
        <f>IF($AL693="","",RANK(AR693,$AR$2:$AR$1001)+COUNTIF($AR$2:AR693,AR693)-1)</f>
        <v/>
      </c>
      <c r="AU693" s="243" t="str">
        <f>IF($AL693="","",RANK(AV693,$AV$2:$AV$1001)+COUNTIF($AV$2:AV693,AV693)-1)</f>
        <v/>
      </c>
      <c r="AV693" s="266">
        <f t="shared" si="52"/>
        <v>0</v>
      </c>
    </row>
    <row r="694" spans="26:48" ht="15" customHeight="1" x14ac:dyDescent="0.2">
      <c r="Z694" s="243" t="str">
        <f>Shares!A694</f>
        <v/>
      </c>
      <c r="AA694" s="243" t="str">
        <f>Shares!B694</f>
        <v/>
      </c>
      <c r="AB694" s="243" t="str">
        <f>Shares!C694</f>
        <v/>
      </c>
      <c r="AC694" s="243" t="str">
        <f>Shares!D694</f>
        <v/>
      </c>
      <c r="AD694" s="243">
        <f>IF($Z694="",0,Shares!E694)</f>
        <v>0</v>
      </c>
      <c r="AE694" s="266">
        <f>IF($Z694="",0,Shares!J694*Shares!I694)</f>
        <v>0</v>
      </c>
      <c r="AF694" s="267">
        <f t="shared" si="51"/>
        <v>0</v>
      </c>
      <c r="AG694" s="266">
        <f>IF($Z694="",0,Shares!L694)</f>
        <v>0</v>
      </c>
      <c r="AH694" s="267">
        <f>IF($Z694="",0,Shares!M694)</f>
        <v>0</v>
      </c>
      <c r="AI694" s="243" t="str">
        <f>IF($Z694="","",RANK(AE694,$AE$2:$AE$1001)+COUNTIF($AE$2:AE694,AE694)-1)</f>
        <v/>
      </c>
      <c r="AJ694" s="243" t="str">
        <f>IF($AD694&lt;0,COUNT($AJ$1:AJ693)+1,"")</f>
        <v/>
      </c>
      <c r="AL694" s="243" t="str">
        <f>'All Ticker P&amp;L'!A694</f>
        <v/>
      </c>
      <c r="AM694" s="243" t="str">
        <f>'All Ticker P&amp;L'!B694</f>
        <v/>
      </c>
      <c r="AN694" s="243" t="str">
        <f>'All Ticker P&amp;L'!C694</f>
        <v/>
      </c>
      <c r="AO694" s="243" t="str">
        <f>'All Ticker P&amp;L'!D694</f>
        <v/>
      </c>
      <c r="AP694" s="243">
        <f>IF($AL694="",0,'All Ticker P&amp;L'!E694)</f>
        <v>0</v>
      </c>
      <c r="AQ694" s="266">
        <f>IF($AL694="",0,'All Ticker P&amp;L'!J694*'All Ticker P&amp;L'!I694)</f>
        <v>0</v>
      </c>
      <c r="AR694" s="266">
        <f>IF($AL694="",0,'All Ticker P&amp;L'!L694)</f>
        <v>0</v>
      </c>
      <c r="AS694" s="267">
        <f>IF($AL694="",0,'All Ticker P&amp;L'!M694)</f>
        <v>0</v>
      </c>
      <c r="AT694" s="243" t="str">
        <f>IF($AL694="","",RANK(AR694,$AR$2:$AR$1001)+COUNTIF($AR$2:AR694,AR694)-1)</f>
        <v/>
      </c>
      <c r="AU694" s="243" t="str">
        <f>IF($AL694="","",RANK(AV694,$AV$2:$AV$1001)+COUNTIF($AV$2:AV694,AV694)-1)</f>
        <v/>
      </c>
      <c r="AV694" s="266">
        <f t="shared" si="52"/>
        <v>0</v>
      </c>
    </row>
    <row r="695" spans="26:48" ht="15" customHeight="1" x14ac:dyDescent="0.2">
      <c r="Z695" s="243" t="str">
        <f>Shares!A695</f>
        <v/>
      </c>
      <c r="AA695" s="243" t="str">
        <f>Shares!B695</f>
        <v/>
      </c>
      <c r="AB695" s="243" t="str">
        <f>Shares!C695</f>
        <v/>
      </c>
      <c r="AC695" s="243" t="str">
        <f>Shares!D695</f>
        <v/>
      </c>
      <c r="AD695" s="243">
        <f>IF($Z695="",0,Shares!E695)</f>
        <v>0</v>
      </c>
      <c r="AE695" s="266">
        <f>IF($Z695="",0,Shares!J695*Shares!I695)</f>
        <v>0</v>
      </c>
      <c r="AF695" s="267">
        <f t="shared" si="51"/>
        <v>0</v>
      </c>
      <c r="AG695" s="266">
        <f>IF($Z695="",0,Shares!L695)</f>
        <v>0</v>
      </c>
      <c r="AH695" s="267">
        <f>IF($Z695="",0,Shares!M695)</f>
        <v>0</v>
      </c>
      <c r="AI695" s="243" t="str">
        <f>IF($Z695="","",RANK(AE695,$AE$2:$AE$1001)+COUNTIF($AE$2:AE695,AE695)-1)</f>
        <v/>
      </c>
      <c r="AJ695" s="243" t="str">
        <f>IF($AD695&lt;0,COUNT($AJ$1:AJ694)+1,"")</f>
        <v/>
      </c>
      <c r="AL695" s="243" t="str">
        <f>'All Ticker P&amp;L'!A695</f>
        <v/>
      </c>
      <c r="AM695" s="243" t="str">
        <f>'All Ticker P&amp;L'!B695</f>
        <v/>
      </c>
      <c r="AN695" s="243" t="str">
        <f>'All Ticker P&amp;L'!C695</f>
        <v/>
      </c>
      <c r="AO695" s="243" t="str">
        <f>'All Ticker P&amp;L'!D695</f>
        <v/>
      </c>
      <c r="AP695" s="243">
        <f>IF($AL695="",0,'All Ticker P&amp;L'!E695)</f>
        <v>0</v>
      </c>
      <c r="AQ695" s="266">
        <f>IF($AL695="",0,'All Ticker P&amp;L'!J695*'All Ticker P&amp;L'!I695)</f>
        <v>0</v>
      </c>
      <c r="AR695" s="266">
        <f>IF($AL695="",0,'All Ticker P&amp;L'!L695)</f>
        <v>0</v>
      </c>
      <c r="AS695" s="267">
        <f>IF($AL695="",0,'All Ticker P&amp;L'!M695)</f>
        <v>0</v>
      </c>
      <c r="AT695" s="243" t="str">
        <f>IF($AL695="","",RANK(AR695,$AR$2:$AR$1001)+COUNTIF($AR$2:AR695,AR695)-1)</f>
        <v/>
      </c>
      <c r="AU695" s="243" t="str">
        <f>IF($AL695="","",RANK(AV695,$AV$2:$AV$1001)+COUNTIF($AV$2:AV695,AV695)-1)</f>
        <v/>
      </c>
      <c r="AV695" s="266">
        <f t="shared" si="52"/>
        <v>0</v>
      </c>
    </row>
    <row r="696" spans="26:48" ht="15" customHeight="1" x14ac:dyDescent="0.2">
      <c r="Z696" s="243" t="str">
        <f>Shares!A696</f>
        <v/>
      </c>
      <c r="AA696" s="243" t="str">
        <f>Shares!B696</f>
        <v/>
      </c>
      <c r="AB696" s="243" t="str">
        <f>Shares!C696</f>
        <v/>
      </c>
      <c r="AC696" s="243" t="str">
        <f>Shares!D696</f>
        <v/>
      </c>
      <c r="AD696" s="243">
        <f>IF($Z696="",0,Shares!E696)</f>
        <v>0</v>
      </c>
      <c r="AE696" s="266">
        <f>IF($Z696="",0,Shares!J696*Shares!I696)</f>
        <v>0</v>
      </c>
      <c r="AF696" s="267">
        <f t="shared" si="51"/>
        <v>0</v>
      </c>
      <c r="AG696" s="266">
        <f>IF($Z696="",0,Shares!L696)</f>
        <v>0</v>
      </c>
      <c r="AH696" s="267">
        <f>IF($Z696="",0,Shares!M696)</f>
        <v>0</v>
      </c>
      <c r="AI696" s="243" t="str">
        <f>IF($Z696="","",RANK(AE696,$AE$2:$AE$1001)+COUNTIF($AE$2:AE696,AE696)-1)</f>
        <v/>
      </c>
      <c r="AJ696" s="243" t="str">
        <f>IF($AD696&lt;0,COUNT($AJ$1:AJ695)+1,"")</f>
        <v/>
      </c>
      <c r="AL696" s="243" t="str">
        <f>'All Ticker P&amp;L'!A696</f>
        <v/>
      </c>
      <c r="AM696" s="243" t="str">
        <f>'All Ticker P&amp;L'!B696</f>
        <v/>
      </c>
      <c r="AN696" s="243" t="str">
        <f>'All Ticker P&amp;L'!C696</f>
        <v/>
      </c>
      <c r="AO696" s="243" t="str">
        <f>'All Ticker P&amp;L'!D696</f>
        <v/>
      </c>
      <c r="AP696" s="243">
        <f>IF($AL696="",0,'All Ticker P&amp;L'!E696)</f>
        <v>0</v>
      </c>
      <c r="AQ696" s="266">
        <f>IF($AL696="",0,'All Ticker P&amp;L'!J696*'All Ticker P&amp;L'!I696)</f>
        <v>0</v>
      </c>
      <c r="AR696" s="266">
        <f>IF($AL696="",0,'All Ticker P&amp;L'!L696)</f>
        <v>0</v>
      </c>
      <c r="AS696" s="267">
        <f>IF($AL696="",0,'All Ticker P&amp;L'!M696)</f>
        <v>0</v>
      </c>
      <c r="AT696" s="243" t="str">
        <f>IF($AL696="","",RANK(AR696,$AR$2:$AR$1001)+COUNTIF($AR$2:AR696,AR696)-1)</f>
        <v/>
      </c>
      <c r="AU696" s="243" t="str">
        <f>IF($AL696="","",RANK(AV696,$AV$2:$AV$1001)+COUNTIF($AV$2:AV696,AV696)-1)</f>
        <v/>
      </c>
      <c r="AV696" s="266">
        <f t="shared" si="52"/>
        <v>0</v>
      </c>
    </row>
    <row r="697" spans="26:48" ht="15" customHeight="1" x14ac:dyDescent="0.2">
      <c r="Z697" s="243" t="str">
        <f>Shares!A697</f>
        <v/>
      </c>
      <c r="AA697" s="243" t="str">
        <f>Shares!B697</f>
        <v/>
      </c>
      <c r="AB697" s="243" t="str">
        <f>Shares!C697</f>
        <v/>
      </c>
      <c r="AC697" s="243" t="str">
        <f>Shares!D697</f>
        <v/>
      </c>
      <c r="AD697" s="243">
        <f>IF($Z697="",0,Shares!E697)</f>
        <v>0</v>
      </c>
      <c r="AE697" s="266">
        <f>IF($Z697="",0,Shares!J697*Shares!I697)</f>
        <v>0</v>
      </c>
      <c r="AF697" s="267">
        <f t="shared" si="51"/>
        <v>0</v>
      </c>
      <c r="AG697" s="266">
        <f>IF($Z697="",0,Shares!L697)</f>
        <v>0</v>
      </c>
      <c r="AH697" s="267">
        <f>IF($Z697="",0,Shares!M697)</f>
        <v>0</v>
      </c>
      <c r="AI697" s="243" t="str">
        <f>IF($Z697="","",RANK(AE697,$AE$2:$AE$1001)+COUNTIF($AE$2:AE697,AE697)-1)</f>
        <v/>
      </c>
      <c r="AJ697" s="243" t="str">
        <f>IF($AD697&lt;0,COUNT($AJ$1:AJ696)+1,"")</f>
        <v/>
      </c>
      <c r="AL697" s="243" t="str">
        <f>'All Ticker P&amp;L'!A697</f>
        <v/>
      </c>
      <c r="AM697" s="243" t="str">
        <f>'All Ticker P&amp;L'!B697</f>
        <v/>
      </c>
      <c r="AN697" s="243" t="str">
        <f>'All Ticker P&amp;L'!C697</f>
        <v/>
      </c>
      <c r="AO697" s="243" t="str">
        <f>'All Ticker P&amp;L'!D697</f>
        <v/>
      </c>
      <c r="AP697" s="243">
        <f>IF($AL697="",0,'All Ticker P&amp;L'!E697)</f>
        <v>0</v>
      </c>
      <c r="AQ697" s="266">
        <f>IF($AL697="",0,'All Ticker P&amp;L'!J697*'All Ticker P&amp;L'!I697)</f>
        <v>0</v>
      </c>
      <c r="AR697" s="266">
        <f>IF($AL697="",0,'All Ticker P&amp;L'!L697)</f>
        <v>0</v>
      </c>
      <c r="AS697" s="267">
        <f>IF($AL697="",0,'All Ticker P&amp;L'!M697)</f>
        <v>0</v>
      </c>
      <c r="AT697" s="243" t="str">
        <f>IF($AL697="","",RANK(AR697,$AR$2:$AR$1001)+COUNTIF($AR$2:AR697,AR697)-1)</f>
        <v/>
      </c>
      <c r="AU697" s="243" t="str">
        <f>IF($AL697="","",RANK(AV697,$AV$2:$AV$1001)+COUNTIF($AV$2:AV697,AV697)-1)</f>
        <v/>
      </c>
      <c r="AV697" s="266">
        <f t="shared" si="52"/>
        <v>0</v>
      </c>
    </row>
    <row r="698" spans="26:48" ht="15" customHeight="1" x14ac:dyDescent="0.2">
      <c r="Z698" s="243" t="str">
        <f>Shares!A698</f>
        <v/>
      </c>
      <c r="AA698" s="243" t="str">
        <f>Shares!B698</f>
        <v/>
      </c>
      <c r="AB698" s="243" t="str">
        <f>Shares!C698</f>
        <v/>
      </c>
      <c r="AC698" s="243" t="str">
        <f>Shares!D698</f>
        <v/>
      </c>
      <c r="AD698" s="243">
        <f>IF($Z698="",0,Shares!E698)</f>
        <v>0</v>
      </c>
      <c r="AE698" s="266">
        <f>IF($Z698="",0,Shares!J698*Shares!I698)</f>
        <v>0</v>
      </c>
      <c r="AF698" s="267">
        <f t="shared" si="51"/>
        <v>0</v>
      </c>
      <c r="AG698" s="266">
        <f>IF($Z698="",0,Shares!L698)</f>
        <v>0</v>
      </c>
      <c r="AH698" s="267">
        <f>IF($Z698="",0,Shares!M698)</f>
        <v>0</v>
      </c>
      <c r="AI698" s="243" t="str">
        <f>IF($Z698="","",RANK(AE698,$AE$2:$AE$1001)+COUNTIF($AE$2:AE698,AE698)-1)</f>
        <v/>
      </c>
      <c r="AJ698" s="243" t="str">
        <f>IF($AD698&lt;0,COUNT($AJ$1:AJ697)+1,"")</f>
        <v/>
      </c>
      <c r="AL698" s="243" t="str">
        <f>'All Ticker P&amp;L'!A698</f>
        <v/>
      </c>
      <c r="AM698" s="243" t="str">
        <f>'All Ticker P&amp;L'!B698</f>
        <v/>
      </c>
      <c r="AN698" s="243" t="str">
        <f>'All Ticker P&amp;L'!C698</f>
        <v/>
      </c>
      <c r="AO698" s="243" t="str">
        <f>'All Ticker P&amp;L'!D698</f>
        <v/>
      </c>
      <c r="AP698" s="243">
        <f>IF($AL698="",0,'All Ticker P&amp;L'!E698)</f>
        <v>0</v>
      </c>
      <c r="AQ698" s="266">
        <f>IF($AL698="",0,'All Ticker P&amp;L'!J698*'All Ticker P&amp;L'!I698)</f>
        <v>0</v>
      </c>
      <c r="AR698" s="266">
        <f>IF($AL698="",0,'All Ticker P&amp;L'!L698)</f>
        <v>0</v>
      </c>
      <c r="AS698" s="267">
        <f>IF($AL698="",0,'All Ticker P&amp;L'!M698)</f>
        <v>0</v>
      </c>
      <c r="AT698" s="243" t="str">
        <f>IF($AL698="","",RANK(AR698,$AR$2:$AR$1001)+COUNTIF($AR$2:AR698,AR698)-1)</f>
        <v/>
      </c>
      <c r="AU698" s="243" t="str">
        <f>IF($AL698="","",RANK(AV698,$AV$2:$AV$1001)+COUNTIF($AV$2:AV698,AV698)-1)</f>
        <v/>
      </c>
      <c r="AV698" s="266">
        <f t="shared" si="52"/>
        <v>0</v>
      </c>
    </row>
    <row r="699" spans="26:48" ht="15" customHeight="1" x14ac:dyDescent="0.2">
      <c r="Z699" s="243" t="str">
        <f>Shares!A699</f>
        <v/>
      </c>
      <c r="AA699" s="243" t="str">
        <f>Shares!B699</f>
        <v/>
      </c>
      <c r="AB699" s="243" t="str">
        <f>Shares!C699</f>
        <v/>
      </c>
      <c r="AC699" s="243" t="str">
        <f>Shares!D699</f>
        <v/>
      </c>
      <c r="AD699" s="243">
        <f>IF($Z699="",0,Shares!E699)</f>
        <v>0</v>
      </c>
      <c r="AE699" s="266">
        <f>IF($Z699="",0,Shares!J699*Shares!I699)</f>
        <v>0</v>
      </c>
      <c r="AF699" s="267">
        <f t="shared" si="51"/>
        <v>0</v>
      </c>
      <c r="AG699" s="266">
        <f>IF($Z699="",0,Shares!L699)</f>
        <v>0</v>
      </c>
      <c r="AH699" s="267">
        <f>IF($Z699="",0,Shares!M699)</f>
        <v>0</v>
      </c>
      <c r="AI699" s="243" t="str">
        <f>IF($Z699="","",RANK(AE699,$AE$2:$AE$1001)+COUNTIF($AE$2:AE699,AE699)-1)</f>
        <v/>
      </c>
      <c r="AJ699" s="243" t="str">
        <f>IF($AD699&lt;0,COUNT($AJ$1:AJ698)+1,"")</f>
        <v/>
      </c>
      <c r="AL699" s="243" t="str">
        <f>'All Ticker P&amp;L'!A699</f>
        <v/>
      </c>
      <c r="AM699" s="243" t="str">
        <f>'All Ticker P&amp;L'!B699</f>
        <v/>
      </c>
      <c r="AN699" s="243" t="str">
        <f>'All Ticker P&amp;L'!C699</f>
        <v/>
      </c>
      <c r="AO699" s="243" t="str">
        <f>'All Ticker P&amp;L'!D699</f>
        <v/>
      </c>
      <c r="AP699" s="243">
        <f>IF($AL699="",0,'All Ticker P&amp;L'!E699)</f>
        <v>0</v>
      </c>
      <c r="AQ699" s="266">
        <f>IF($AL699="",0,'All Ticker P&amp;L'!J699*'All Ticker P&amp;L'!I699)</f>
        <v>0</v>
      </c>
      <c r="AR699" s="266">
        <f>IF($AL699="",0,'All Ticker P&amp;L'!L699)</f>
        <v>0</v>
      </c>
      <c r="AS699" s="267">
        <f>IF($AL699="",0,'All Ticker P&amp;L'!M699)</f>
        <v>0</v>
      </c>
      <c r="AT699" s="243" t="str">
        <f>IF($AL699="","",RANK(AR699,$AR$2:$AR$1001)+COUNTIF($AR$2:AR699,AR699)-1)</f>
        <v/>
      </c>
      <c r="AU699" s="243" t="str">
        <f>IF($AL699="","",RANK(AV699,$AV$2:$AV$1001)+COUNTIF($AV$2:AV699,AV699)-1)</f>
        <v/>
      </c>
      <c r="AV699" s="266">
        <f t="shared" si="52"/>
        <v>0</v>
      </c>
    </row>
    <row r="700" spans="26:48" ht="15" customHeight="1" x14ac:dyDescent="0.2">
      <c r="Z700" s="243" t="str">
        <f>Shares!A700</f>
        <v/>
      </c>
      <c r="AA700" s="243" t="str">
        <f>Shares!B700</f>
        <v/>
      </c>
      <c r="AB700" s="243" t="str">
        <f>Shares!C700</f>
        <v/>
      </c>
      <c r="AC700" s="243" t="str">
        <f>Shares!D700</f>
        <v/>
      </c>
      <c r="AD700" s="243">
        <f>IF($Z700="",0,Shares!E700)</f>
        <v>0</v>
      </c>
      <c r="AE700" s="266">
        <f>IF($Z700="",0,Shares!J700*Shares!I700)</f>
        <v>0</v>
      </c>
      <c r="AF700" s="267">
        <f t="shared" si="51"/>
        <v>0</v>
      </c>
      <c r="AG700" s="266">
        <f>IF($Z700="",0,Shares!L700)</f>
        <v>0</v>
      </c>
      <c r="AH700" s="267">
        <f>IF($Z700="",0,Shares!M700)</f>
        <v>0</v>
      </c>
      <c r="AI700" s="243" t="str">
        <f>IF($Z700="","",RANK(AE700,$AE$2:$AE$1001)+COUNTIF($AE$2:AE700,AE700)-1)</f>
        <v/>
      </c>
      <c r="AJ700" s="243" t="str">
        <f>IF($AD700&lt;0,COUNT($AJ$1:AJ699)+1,"")</f>
        <v/>
      </c>
      <c r="AL700" s="243" t="str">
        <f>'All Ticker P&amp;L'!A700</f>
        <v/>
      </c>
      <c r="AM700" s="243" t="str">
        <f>'All Ticker P&amp;L'!B700</f>
        <v/>
      </c>
      <c r="AN700" s="243" t="str">
        <f>'All Ticker P&amp;L'!C700</f>
        <v/>
      </c>
      <c r="AO700" s="243" t="str">
        <f>'All Ticker P&amp;L'!D700</f>
        <v/>
      </c>
      <c r="AP700" s="243">
        <f>IF($AL700="",0,'All Ticker P&amp;L'!E700)</f>
        <v>0</v>
      </c>
      <c r="AQ700" s="266">
        <f>IF($AL700="",0,'All Ticker P&amp;L'!J700*'All Ticker P&amp;L'!I700)</f>
        <v>0</v>
      </c>
      <c r="AR700" s="266">
        <f>IF($AL700="",0,'All Ticker P&amp;L'!L700)</f>
        <v>0</v>
      </c>
      <c r="AS700" s="267">
        <f>IF($AL700="",0,'All Ticker P&amp;L'!M700)</f>
        <v>0</v>
      </c>
      <c r="AT700" s="243" t="str">
        <f>IF($AL700="","",RANK(AR700,$AR$2:$AR$1001)+COUNTIF($AR$2:AR700,AR700)-1)</f>
        <v/>
      </c>
      <c r="AU700" s="243" t="str">
        <f>IF($AL700="","",RANK(AV700,$AV$2:$AV$1001)+COUNTIF($AV$2:AV700,AV700)-1)</f>
        <v/>
      </c>
      <c r="AV700" s="266">
        <f t="shared" si="52"/>
        <v>0</v>
      </c>
    </row>
    <row r="701" spans="26:48" ht="15" customHeight="1" x14ac:dyDescent="0.2">
      <c r="Z701" s="243" t="str">
        <f>Shares!A701</f>
        <v/>
      </c>
      <c r="AA701" s="243" t="str">
        <f>Shares!B701</f>
        <v/>
      </c>
      <c r="AB701" s="243" t="str">
        <f>Shares!C701</f>
        <v/>
      </c>
      <c r="AC701" s="243" t="str">
        <f>Shares!D701</f>
        <v/>
      </c>
      <c r="AD701" s="243">
        <f>IF($Z701="",0,Shares!E701)</f>
        <v>0</v>
      </c>
      <c r="AE701" s="266">
        <f>IF($Z701="",0,Shares!J701*Shares!I701)</f>
        <v>0</v>
      </c>
      <c r="AF701" s="267">
        <f t="shared" si="51"/>
        <v>0</v>
      </c>
      <c r="AG701" s="266">
        <f>IF($Z701="",0,Shares!L701)</f>
        <v>0</v>
      </c>
      <c r="AH701" s="267">
        <f>IF($Z701="",0,Shares!M701)</f>
        <v>0</v>
      </c>
      <c r="AI701" s="243" t="str">
        <f>IF($Z701="","",RANK(AE701,$AE$2:$AE$1001)+COUNTIF($AE$2:AE701,AE701)-1)</f>
        <v/>
      </c>
      <c r="AJ701" s="243" t="str">
        <f>IF($AD701&lt;0,COUNT($AJ$1:AJ700)+1,"")</f>
        <v/>
      </c>
      <c r="AL701" s="243" t="str">
        <f>'All Ticker P&amp;L'!A701</f>
        <v/>
      </c>
      <c r="AM701" s="243" t="str">
        <f>'All Ticker P&amp;L'!B701</f>
        <v/>
      </c>
      <c r="AN701" s="243" t="str">
        <f>'All Ticker P&amp;L'!C701</f>
        <v/>
      </c>
      <c r="AO701" s="243" t="str">
        <f>'All Ticker P&amp;L'!D701</f>
        <v/>
      </c>
      <c r="AP701" s="243">
        <f>IF($AL701="",0,'All Ticker P&amp;L'!E701)</f>
        <v>0</v>
      </c>
      <c r="AQ701" s="266">
        <f>IF($AL701="",0,'All Ticker P&amp;L'!J701*'All Ticker P&amp;L'!I701)</f>
        <v>0</v>
      </c>
      <c r="AR701" s="266">
        <f>IF($AL701="",0,'All Ticker P&amp;L'!L701)</f>
        <v>0</v>
      </c>
      <c r="AS701" s="267">
        <f>IF($AL701="",0,'All Ticker P&amp;L'!M701)</f>
        <v>0</v>
      </c>
      <c r="AT701" s="243" t="str">
        <f>IF($AL701="","",RANK(AR701,$AR$2:$AR$1001)+COUNTIF($AR$2:AR701,AR701)-1)</f>
        <v/>
      </c>
      <c r="AU701" s="243" t="str">
        <f>IF($AL701="","",RANK(AV701,$AV$2:$AV$1001)+COUNTIF($AV$2:AV701,AV701)-1)</f>
        <v/>
      </c>
      <c r="AV701" s="266">
        <f t="shared" si="52"/>
        <v>0</v>
      </c>
    </row>
    <row r="702" spans="26:48" ht="15" customHeight="1" x14ac:dyDescent="0.2">
      <c r="Z702" s="243" t="str">
        <f>Shares!A702</f>
        <v/>
      </c>
      <c r="AA702" s="243" t="str">
        <f>Shares!B702</f>
        <v/>
      </c>
      <c r="AB702" s="243" t="str">
        <f>Shares!C702</f>
        <v/>
      </c>
      <c r="AC702" s="243" t="str">
        <f>Shares!D702</f>
        <v/>
      </c>
      <c r="AD702" s="243">
        <f>IF($Z702="",0,Shares!E702)</f>
        <v>0</v>
      </c>
      <c r="AE702" s="266">
        <f>IF($Z702="",0,Shares!J702*Shares!I702)</f>
        <v>0</v>
      </c>
      <c r="AF702" s="267">
        <f t="shared" si="51"/>
        <v>0</v>
      </c>
      <c r="AG702" s="266">
        <f>IF($Z702="",0,Shares!L702)</f>
        <v>0</v>
      </c>
      <c r="AH702" s="267">
        <f>IF($Z702="",0,Shares!M702)</f>
        <v>0</v>
      </c>
      <c r="AI702" s="243" t="str">
        <f>IF($Z702="","",RANK(AE702,$AE$2:$AE$1001)+COUNTIF($AE$2:AE702,AE702)-1)</f>
        <v/>
      </c>
      <c r="AJ702" s="243" t="str">
        <f>IF($AD702&lt;0,COUNT($AJ$1:AJ701)+1,"")</f>
        <v/>
      </c>
      <c r="AL702" s="243" t="str">
        <f>'All Ticker P&amp;L'!A702</f>
        <v/>
      </c>
      <c r="AM702" s="243" t="str">
        <f>'All Ticker P&amp;L'!B702</f>
        <v/>
      </c>
      <c r="AN702" s="243" t="str">
        <f>'All Ticker P&amp;L'!C702</f>
        <v/>
      </c>
      <c r="AO702" s="243" t="str">
        <f>'All Ticker P&amp;L'!D702</f>
        <v/>
      </c>
      <c r="AP702" s="243">
        <f>IF($AL702="",0,'All Ticker P&amp;L'!E702)</f>
        <v>0</v>
      </c>
      <c r="AQ702" s="266">
        <f>IF($AL702="",0,'All Ticker P&amp;L'!J702*'All Ticker P&amp;L'!I702)</f>
        <v>0</v>
      </c>
      <c r="AR702" s="266">
        <f>IF($AL702="",0,'All Ticker P&amp;L'!L702)</f>
        <v>0</v>
      </c>
      <c r="AS702" s="267">
        <f>IF($AL702="",0,'All Ticker P&amp;L'!M702)</f>
        <v>0</v>
      </c>
      <c r="AT702" s="243" t="str">
        <f>IF($AL702="","",RANK(AR702,$AR$2:$AR$1001)+COUNTIF($AR$2:AR702,AR702)-1)</f>
        <v/>
      </c>
      <c r="AU702" s="243" t="str">
        <f>IF($AL702="","",RANK(AV702,$AV$2:$AV$1001)+COUNTIF($AV$2:AV702,AV702)-1)</f>
        <v/>
      </c>
      <c r="AV702" s="266">
        <f t="shared" si="52"/>
        <v>0</v>
      </c>
    </row>
    <row r="703" spans="26:48" ht="15" customHeight="1" x14ac:dyDescent="0.2">
      <c r="Z703" s="243" t="str">
        <f>Shares!A703</f>
        <v/>
      </c>
      <c r="AA703" s="243" t="str">
        <f>Shares!B703</f>
        <v/>
      </c>
      <c r="AB703" s="243" t="str">
        <f>Shares!C703</f>
        <v/>
      </c>
      <c r="AC703" s="243" t="str">
        <f>Shares!D703</f>
        <v/>
      </c>
      <c r="AD703" s="243">
        <f>IF($Z703="",0,Shares!E703)</f>
        <v>0</v>
      </c>
      <c r="AE703" s="266">
        <f>IF($Z703="",0,Shares!J703*Shares!I703)</f>
        <v>0</v>
      </c>
      <c r="AF703" s="267">
        <f t="shared" si="51"/>
        <v>0</v>
      </c>
      <c r="AG703" s="266">
        <f>IF($Z703="",0,Shares!L703)</f>
        <v>0</v>
      </c>
      <c r="AH703" s="267">
        <f>IF($Z703="",0,Shares!M703)</f>
        <v>0</v>
      </c>
      <c r="AI703" s="243" t="str">
        <f>IF($Z703="","",RANK(AE703,$AE$2:$AE$1001)+COUNTIF($AE$2:AE703,AE703)-1)</f>
        <v/>
      </c>
      <c r="AJ703" s="243" t="str">
        <f>IF($AD703&lt;0,COUNT($AJ$1:AJ702)+1,"")</f>
        <v/>
      </c>
      <c r="AL703" s="243" t="str">
        <f>'All Ticker P&amp;L'!A703</f>
        <v/>
      </c>
      <c r="AM703" s="243" t="str">
        <f>'All Ticker P&amp;L'!B703</f>
        <v/>
      </c>
      <c r="AN703" s="243" t="str">
        <f>'All Ticker P&amp;L'!C703</f>
        <v/>
      </c>
      <c r="AO703" s="243" t="str">
        <f>'All Ticker P&amp;L'!D703</f>
        <v/>
      </c>
      <c r="AP703" s="243">
        <f>IF($AL703="",0,'All Ticker P&amp;L'!E703)</f>
        <v>0</v>
      </c>
      <c r="AQ703" s="266">
        <f>IF($AL703="",0,'All Ticker P&amp;L'!J703*'All Ticker P&amp;L'!I703)</f>
        <v>0</v>
      </c>
      <c r="AR703" s="266">
        <f>IF($AL703="",0,'All Ticker P&amp;L'!L703)</f>
        <v>0</v>
      </c>
      <c r="AS703" s="267">
        <f>IF($AL703="",0,'All Ticker P&amp;L'!M703)</f>
        <v>0</v>
      </c>
      <c r="AT703" s="243" t="str">
        <f>IF($AL703="","",RANK(AR703,$AR$2:$AR$1001)+COUNTIF($AR$2:AR703,AR703)-1)</f>
        <v/>
      </c>
      <c r="AU703" s="243" t="str">
        <f>IF($AL703="","",RANK(AV703,$AV$2:$AV$1001)+COUNTIF($AV$2:AV703,AV703)-1)</f>
        <v/>
      </c>
      <c r="AV703" s="266">
        <f t="shared" si="52"/>
        <v>0</v>
      </c>
    </row>
    <row r="704" spans="26:48" ht="15" customHeight="1" x14ac:dyDescent="0.2">
      <c r="Z704" s="243" t="str">
        <f>Shares!A704</f>
        <v/>
      </c>
      <c r="AA704" s="243" t="str">
        <f>Shares!B704</f>
        <v/>
      </c>
      <c r="AB704" s="243" t="str">
        <f>Shares!C704</f>
        <v/>
      </c>
      <c r="AC704" s="243" t="str">
        <f>Shares!D704</f>
        <v/>
      </c>
      <c r="AD704" s="243">
        <f>IF($Z704="",0,Shares!E704)</f>
        <v>0</v>
      </c>
      <c r="AE704" s="266">
        <f>IF($Z704="",0,Shares!J704*Shares!I704)</f>
        <v>0</v>
      </c>
      <c r="AF704" s="267">
        <f t="shared" si="51"/>
        <v>0</v>
      </c>
      <c r="AG704" s="266">
        <f>IF($Z704="",0,Shares!L704)</f>
        <v>0</v>
      </c>
      <c r="AH704" s="267">
        <f>IF($Z704="",0,Shares!M704)</f>
        <v>0</v>
      </c>
      <c r="AI704" s="243" t="str">
        <f>IF($Z704="","",RANK(AE704,$AE$2:$AE$1001)+COUNTIF($AE$2:AE704,AE704)-1)</f>
        <v/>
      </c>
      <c r="AJ704" s="243" t="str">
        <f>IF($AD704&lt;0,COUNT($AJ$1:AJ703)+1,"")</f>
        <v/>
      </c>
      <c r="AL704" s="243" t="str">
        <f>'All Ticker P&amp;L'!A704</f>
        <v/>
      </c>
      <c r="AM704" s="243" t="str">
        <f>'All Ticker P&amp;L'!B704</f>
        <v/>
      </c>
      <c r="AN704" s="243" t="str">
        <f>'All Ticker P&amp;L'!C704</f>
        <v/>
      </c>
      <c r="AO704" s="243" t="str">
        <f>'All Ticker P&amp;L'!D704</f>
        <v/>
      </c>
      <c r="AP704" s="243">
        <f>IF($AL704="",0,'All Ticker P&amp;L'!E704)</f>
        <v>0</v>
      </c>
      <c r="AQ704" s="266">
        <f>IF($AL704="",0,'All Ticker P&amp;L'!J704*'All Ticker P&amp;L'!I704)</f>
        <v>0</v>
      </c>
      <c r="AR704" s="266">
        <f>IF($AL704="",0,'All Ticker P&amp;L'!L704)</f>
        <v>0</v>
      </c>
      <c r="AS704" s="267">
        <f>IF($AL704="",0,'All Ticker P&amp;L'!M704)</f>
        <v>0</v>
      </c>
      <c r="AT704" s="243" t="str">
        <f>IF($AL704="","",RANK(AR704,$AR$2:$AR$1001)+COUNTIF($AR$2:AR704,AR704)-1)</f>
        <v/>
      </c>
      <c r="AU704" s="243" t="str">
        <f>IF($AL704="","",RANK(AV704,$AV$2:$AV$1001)+COUNTIF($AV$2:AV704,AV704)-1)</f>
        <v/>
      </c>
      <c r="AV704" s="266">
        <f t="shared" si="52"/>
        <v>0</v>
      </c>
    </row>
    <row r="705" spans="26:48" ht="15" customHeight="1" x14ac:dyDescent="0.2">
      <c r="Z705" s="243" t="str">
        <f>Shares!A705</f>
        <v/>
      </c>
      <c r="AA705" s="243" t="str">
        <f>Shares!B705</f>
        <v/>
      </c>
      <c r="AB705" s="243" t="str">
        <f>Shares!C705</f>
        <v/>
      </c>
      <c r="AC705" s="243" t="str">
        <f>Shares!D705</f>
        <v/>
      </c>
      <c r="AD705" s="243">
        <f>IF($Z705="",0,Shares!E705)</f>
        <v>0</v>
      </c>
      <c r="AE705" s="266">
        <f>IF($Z705="",0,Shares!J705*Shares!I705)</f>
        <v>0</v>
      </c>
      <c r="AF705" s="267">
        <f t="shared" si="51"/>
        <v>0</v>
      </c>
      <c r="AG705" s="266">
        <f>IF($Z705="",0,Shares!L705)</f>
        <v>0</v>
      </c>
      <c r="AH705" s="267">
        <f>IF($Z705="",0,Shares!M705)</f>
        <v>0</v>
      </c>
      <c r="AI705" s="243" t="str">
        <f>IF($Z705="","",RANK(AE705,$AE$2:$AE$1001)+COUNTIF($AE$2:AE705,AE705)-1)</f>
        <v/>
      </c>
      <c r="AJ705" s="243" t="str">
        <f>IF($AD705&lt;0,COUNT($AJ$1:AJ704)+1,"")</f>
        <v/>
      </c>
      <c r="AL705" s="243" t="str">
        <f>'All Ticker P&amp;L'!A705</f>
        <v/>
      </c>
      <c r="AM705" s="243" t="str">
        <f>'All Ticker P&amp;L'!B705</f>
        <v/>
      </c>
      <c r="AN705" s="243" t="str">
        <f>'All Ticker P&amp;L'!C705</f>
        <v/>
      </c>
      <c r="AO705" s="243" t="str">
        <f>'All Ticker P&amp;L'!D705</f>
        <v/>
      </c>
      <c r="AP705" s="243">
        <f>IF($AL705="",0,'All Ticker P&amp;L'!E705)</f>
        <v>0</v>
      </c>
      <c r="AQ705" s="266">
        <f>IF($AL705="",0,'All Ticker P&amp;L'!J705*'All Ticker P&amp;L'!I705)</f>
        <v>0</v>
      </c>
      <c r="AR705" s="266">
        <f>IF($AL705="",0,'All Ticker P&amp;L'!L705)</f>
        <v>0</v>
      </c>
      <c r="AS705" s="267">
        <f>IF($AL705="",0,'All Ticker P&amp;L'!M705)</f>
        <v>0</v>
      </c>
      <c r="AT705" s="243" t="str">
        <f>IF($AL705="","",RANK(AR705,$AR$2:$AR$1001)+COUNTIF($AR$2:AR705,AR705)-1)</f>
        <v/>
      </c>
      <c r="AU705" s="243" t="str">
        <f>IF($AL705="","",RANK(AV705,$AV$2:$AV$1001)+COUNTIF($AV$2:AV705,AV705)-1)</f>
        <v/>
      </c>
      <c r="AV705" s="266">
        <f t="shared" si="52"/>
        <v>0</v>
      </c>
    </row>
    <row r="706" spans="26:48" ht="15" customHeight="1" x14ac:dyDescent="0.2">
      <c r="Z706" s="243" t="str">
        <f>Shares!A706</f>
        <v/>
      </c>
      <c r="AA706" s="243" t="str">
        <f>Shares!B706</f>
        <v/>
      </c>
      <c r="AB706" s="243" t="str">
        <f>Shares!C706</f>
        <v/>
      </c>
      <c r="AC706" s="243" t="str">
        <f>Shares!D706</f>
        <v/>
      </c>
      <c r="AD706" s="243">
        <f>IF($Z706="",0,Shares!E706)</f>
        <v>0</v>
      </c>
      <c r="AE706" s="266">
        <f>IF($Z706="",0,Shares!J706*Shares!I706)</f>
        <v>0</v>
      </c>
      <c r="AF706" s="267">
        <f t="shared" ref="AF706:AF769" si="53">IFERROR(AE706/$B$5,0)</f>
        <v>0</v>
      </c>
      <c r="AG706" s="266">
        <f>IF($Z706="",0,Shares!L706)</f>
        <v>0</v>
      </c>
      <c r="AH706" s="267">
        <f>IF($Z706="",0,Shares!M706)</f>
        <v>0</v>
      </c>
      <c r="AI706" s="243" t="str">
        <f>IF($Z706="","",RANK(AE706,$AE$2:$AE$1001)+COUNTIF($AE$2:AE706,AE706)-1)</f>
        <v/>
      </c>
      <c r="AJ706" s="243" t="str">
        <f>IF($AD706&lt;0,COUNT($AJ$1:AJ705)+1,"")</f>
        <v/>
      </c>
      <c r="AL706" s="243" t="str">
        <f>'All Ticker P&amp;L'!A706</f>
        <v/>
      </c>
      <c r="AM706" s="243" t="str">
        <f>'All Ticker P&amp;L'!B706</f>
        <v/>
      </c>
      <c r="AN706" s="243" t="str">
        <f>'All Ticker P&amp;L'!C706</f>
        <v/>
      </c>
      <c r="AO706" s="243" t="str">
        <f>'All Ticker P&amp;L'!D706</f>
        <v/>
      </c>
      <c r="AP706" s="243">
        <f>IF($AL706="",0,'All Ticker P&amp;L'!E706)</f>
        <v>0</v>
      </c>
      <c r="AQ706" s="266">
        <f>IF($AL706="",0,'All Ticker P&amp;L'!J706*'All Ticker P&amp;L'!I706)</f>
        <v>0</v>
      </c>
      <c r="AR706" s="266">
        <f>IF($AL706="",0,'All Ticker P&amp;L'!L706)</f>
        <v>0</v>
      </c>
      <c r="AS706" s="267">
        <f>IF($AL706="",0,'All Ticker P&amp;L'!M706)</f>
        <v>0</v>
      </c>
      <c r="AT706" s="243" t="str">
        <f>IF($AL706="","",RANK(AR706,$AR$2:$AR$1001)+COUNTIF($AR$2:AR706,AR706)-1)</f>
        <v/>
      </c>
      <c r="AU706" s="243" t="str">
        <f>IF($AL706="","",RANK(AV706,$AV$2:$AV$1001)+COUNTIF($AV$2:AV706,AV706)-1)</f>
        <v/>
      </c>
      <c r="AV706" s="266">
        <f t="shared" ref="AV706:AV769" si="54">-AR706</f>
        <v>0</v>
      </c>
    </row>
    <row r="707" spans="26:48" ht="15" customHeight="1" x14ac:dyDescent="0.2">
      <c r="Z707" s="243" t="str">
        <f>Shares!A707</f>
        <v/>
      </c>
      <c r="AA707" s="243" t="str">
        <f>Shares!B707</f>
        <v/>
      </c>
      <c r="AB707" s="243" t="str">
        <f>Shares!C707</f>
        <v/>
      </c>
      <c r="AC707" s="243" t="str">
        <f>Shares!D707</f>
        <v/>
      </c>
      <c r="AD707" s="243">
        <f>IF($Z707="",0,Shares!E707)</f>
        <v>0</v>
      </c>
      <c r="AE707" s="266">
        <f>IF($Z707="",0,Shares!J707*Shares!I707)</f>
        <v>0</v>
      </c>
      <c r="AF707" s="267">
        <f t="shared" si="53"/>
        <v>0</v>
      </c>
      <c r="AG707" s="266">
        <f>IF($Z707="",0,Shares!L707)</f>
        <v>0</v>
      </c>
      <c r="AH707" s="267">
        <f>IF($Z707="",0,Shares!M707)</f>
        <v>0</v>
      </c>
      <c r="AI707" s="243" t="str">
        <f>IF($Z707="","",RANK(AE707,$AE$2:$AE$1001)+COUNTIF($AE$2:AE707,AE707)-1)</f>
        <v/>
      </c>
      <c r="AJ707" s="243" t="str">
        <f>IF($AD707&lt;0,COUNT($AJ$1:AJ706)+1,"")</f>
        <v/>
      </c>
      <c r="AL707" s="243" t="str">
        <f>'All Ticker P&amp;L'!A707</f>
        <v/>
      </c>
      <c r="AM707" s="243" t="str">
        <f>'All Ticker P&amp;L'!B707</f>
        <v/>
      </c>
      <c r="AN707" s="243" t="str">
        <f>'All Ticker P&amp;L'!C707</f>
        <v/>
      </c>
      <c r="AO707" s="243" t="str">
        <f>'All Ticker P&amp;L'!D707</f>
        <v/>
      </c>
      <c r="AP707" s="243">
        <f>IF($AL707="",0,'All Ticker P&amp;L'!E707)</f>
        <v>0</v>
      </c>
      <c r="AQ707" s="266">
        <f>IF($AL707="",0,'All Ticker P&amp;L'!J707*'All Ticker P&amp;L'!I707)</f>
        <v>0</v>
      </c>
      <c r="AR707" s="266">
        <f>IF($AL707="",0,'All Ticker P&amp;L'!L707)</f>
        <v>0</v>
      </c>
      <c r="AS707" s="267">
        <f>IF($AL707="",0,'All Ticker P&amp;L'!M707)</f>
        <v>0</v>
      </c>
      <c r="AT707" s="243" t="str">
        <f>IF($AL707="","",RANK(AR707,$AR$2:$AR$1001)+COUNTIF($AR$2:AR707,AR707)-1)</f>
        <v/>
      </c>
      <c r="AU707" s="243" t="str">
        <f>IF($AL707="","",RANK(AV707,$AV$2:$AV$1001)+COUNTIF($AV$2:AV707,AV707)-1)</f>
        <v/>
      </c>
      <c r="AV707" s="266">
        <f t="shared" si="54"/>
        <v>0</v>
      </c>
    </row>
    <row r="708" spans="26:48" ht="15" customHeight="1" x14ac:dyDescent="0.2">
      <c r="Z708" s="243" t="str">
        <f>Shares!A708</f>
        <v/>
      </c>
      <c r="AA708" s="243" t="str">
        <f>Shares!B708</f>
        <v/>
      </c>
      <c r="AB708" s="243" t="str">
        <f>Shares!C708</f>
        <v/>
      </c>
      <c r="AC708" s="243" t="str">
        <f>Shares!D708</f>
        <v/>
      </c>
      <c r="AD708" s="243">
        <f>IF($Z708="",0,Shares!E708)</f>
        <v>0</v>
      </c>
      <c r="AE708" s="266">
        <f>IF($Z708="",0,Shares!J708*Shares!I708)</f>
        <v>0</v>
      </c>
      <c r="AF708" s="267">
        <f t="shared" si="53"/>
        <v>0</v>
      </c>
      <c r="AG708" s="266">
        <f>IF($Z708="",0,Shares!L708)</f>
        <v>0</v>
      </c>
      <c r="AH708" s="267">
        <f>IF($Z708="",0,Shares!M708)</f>
        <v>0</v>
      </c>
      <c r="AI708" s="243" t="str">
        <f>IF($Z708="","",RANK(AE708,$AE$2:$AE$1001)+COUNTIF($AE$2:AE708,AE708)-1)</f>
        <v/>
      </c>
      <c r="AJ708" s="243" t="str">
        <f>IF($AD708&lt;0,COUNT($AJ$1:AJ707)+1,"")</f>
        <v/>
      </c>
      <c r="AL708" s="243" t="str">
        <f>'All Ticker P&amp;L'!A708</f>
        <v/>
      </c>
      <c r="AM708" s="243" t="str">
        <f>'All Ticker P&amp;L'!B708</f>
        <v/>
      </c>
      <c r="AN708" s="243" t="str">
        <f>'All Ticker P&amp;L'!C708</f>
        <v/>
      </c>
      <c r="AO708" s="243" t="str">
        <f>'All Ticker P&amp;L'!D708</f>
        <v/>
      </c>
      <c r="AP708" s="243">
        <f>IF($AL708="",0,'All Ticker P&amp;L'!E708)</f>
        <v>0</v>
      </c>
      <c r="AQ708" s="266">
        <f>IF($AL708="",0,'All Ticker P&amp;L'!J708*'All Ticker P&amp;L'!I708)</f>
        <v>0</v>
      </c>
      <c r="AR708" s="266">
        <f>IF($AL708="",0,'All Ticker P&amp;L'!L708)</f>
        <v>0</v>
      </c>
      <c r="AS708" s="267">
        <f>IF($AL708="",0,'All Ticker P&amp;L'!M708)</f>
        <v>0</v>
      </c>
      <c r="AT708" s="243" t="str">
        <f>IF($AL708="","",RANK(AR708,$AR$2:$AR$1001)+COUNTIF($AR$2:AR708,AR708)-1)</f>
        <v/>
      </c>
      <c r="AU708" s="243" t="str">
        <f>IF($AL708="","",RANK(AV708,$AV$2:$AV$1001)+COUNTIF($AV$2:AV708,AV708)-1)</f>
        <v/>
      </c>
      <c r="AV708" s="266">
        <f t="shared" si="54"/>
        <v>0</v>
      </c>
    </row>
    <row r="709" spans="26:48" ht="15" customHeight="1" x14ac:dyDescent="0.2">
      <c r="Z709" s="243" t="str">
        <f>Shares!A709</f>
        <v/>
      </c>
      <c r="AA709" s="243" t="str">
        <f>Shares!B709</f>
        <v/>
      </c>
      <c r="AB709" s="243" t="str">
        <f>Shares!C709</f>
        <v/>
      </c>
      <c r="AC709" s="243" t="str">
        <f>Shares!D709</f>
        <v/>
      </c>
      <c r="AD709" s="243">
        <f>IF($Z709="",0,Shares!E709)</f>
        <v>0</v>
      </c>
      <c r="AE709" s="266">
        <f>IF($Z709="",0,Shares!J709*Shares!I709)</f>
        <v>0</v>
      </c>
      <c r="AF709" s="267">
        <f t="shared" si="53"/>
        <v>0</v>
      </c>
      <c r="AG709" s="266">
        <f>IF($Z709="",0,Shares!L709)</f>
        <v>0</v>
      </c>
      <c r="AH709" s="267">
        <f>IF($Z709="",0,Shares!M709)</f>
        <v>0</v>
      </c>
      <c r="AI709" s="243" t="str">
        <f>IF($Z709="","",RANK(AE709,$AE$2:$AE$1001)+COUNTIF($AE$2:AE709,AE709)-1)</f>
        <v/>
      </c>
      <c r="AJ709" s="243" t="str">
        <f>IF($AD709&lt;0,COUNT($AJ$1:AJ708)+1,"")</f>
        <v/>
      </c>
      <c r="AL709" s="243" t="str">
        <f>'All Ticker P&amp;L'!A709</f>
        <v/>
      </c>
      <c r="AM709" s="243" t="str">
        <f>'All Ticker P&amp;L'!B709</f>
        <v/>
      </c>
      <c r="AN709" s="243" t="str">
        <f>'All Ticker P&amp;L'!C709</f>
        <v/>
      </c>
      <c r="AO709" s="243" t="str">
        <f>'All Ticker P&amp;L'!D709</f>
        <v/>
      </c>
      <c r="AP709" s="243">
        <f>IF($AL709="",0,'All Ticker P&amp;L'!E709)</f>
        <v>0</v>
      </c>
      <c r="AQ709" s="266">
        <f>IF($AL709="",0,'All Ticker P&amp;L'!J709*'All Ticker P&amp;L'!I709)</f>
        <v>0</v>
      </c>
      <c r="AR709" s="266">
        <f>IF($AL709="",0,'All Ticker P&amp;L'!L709)</f>
        <v>0</v>
      </c>
      <c r="AS709" s="267">
        <f>IF($AL709="",0,'All Ticker P&amp;L'!M709)</f>
        <v>0</v>
      </c>
      <c r="AT709" s="243" t="str">
        <f>IF($AL709="","",RANK(AR709,$AR$2:$AR$1001)+COUNTIF($AR$2:AR709,AR709)-1)</f>
        <v/>
      </c>
      <c r="AU709" s="243" t="str">
        <f>IF($AL709="","",RANK(AV709,$AV$2:$AV$1001)+COUNTIF($AV$2:AV709,AV709)-1)</f>
        <v/>
      </c>
      <c r="AV709" s="266">
        <f t="shared" si="54"/>
        <v>0</v>
      </c>
    </row>
    <row r="710" spans="26:48" ht="15" customHeight="1" x14ac:dyDescent="0.2">
      <c r="Z710" s="243" t="str">
        <f>Shares!A710</f>
        <v/>
      </c>
      <c r="AA710" s="243" t="str">
        <f>Shares!B710</f>
        <v/>
      </c>
      <c r="AB710" s="243" t="str">
        <f>Shares!C710</f>
        <v/>
      </c>
      <c r="AC710" s="243" t="str">
        <f>Shares!D710</f>
        <v/>
      </c>
      <c r="AD710" s="243">
        <f>IF($Z710="",0,Shares!E710)</f>
        <v>0</v>
      </c>
      <c r="AE710" s="266">
        <f>IF($Z710="",0,Shares!J710*Shares!I710)</f>
        <v>0</v>
      </c>
      <c r="AF710" s="267">
        <f t="shared" si="53"/>
        <v>0</v>
      </c>
      <c r="AG710" s="266">
        <f>IF($Z710="",0,Shares!L710)</f>
        <v>0</v>
      </c>
      <c r="AH710" s="267">
        <f>IF($Z710="",0,Shares!M710)</f>
        <v>0</v>
      </c>
      <c r="AI710" s="243" t="str">
        <f>IF($Z710="","",RANK(AE710,$AE$2:$AE$1001)+COUNTIF($AE$2:AE710,AE710)-1)</f>
        <v/>
      </c>
      <c r="AJ710" s="243" t="str">
        <f>IF($AD710&lt;0,COUNT($AJ$1:AJ709)+1,"")</f>
        <v/>
      </c>
      <c r="AL710" s="243" t="str">
        <f>'All Ticker P&amp;L'!A710</f>
        <v/>
      </c>
      <c r="AM710" s="243" t="str">
        <f>'All Ticker P&amp;L'!B710</f>
        <v/>
      </c>
      <c r="AN710" s="243" t="str">
        <f>'All Ticker P&amp;L'!C710</f>
        <v/>
      </c>
      <c r="AO710" s="243" t="str">
        <f>'All Ticker P&amp;L'!D710</f>
        <v/>
      </c>
      <c r="AP710" s="243">
        <f>IF($AL710="",0,'All Ticker P&amp;L'!E710)</f>
        <v>0</v>
      </c>
      <c r="AQ710" s="266">
        <f>IF($AL710="",0,'All Ticker P&amp;L'!J710*'All Ticker P&amp;L'!I710)</f>
        <v>0</v>
      </c>
      <c r="AR710" s="266">
        <f>IF($AL710="",0,'All Ticker P&amp;L'!L710)</f>
        <v>0</v>
      </c>
      <c r="AS710" s="267">
        <f>IF($AL710="",0,'All Ticker P&amp;L'!M710)</f>
        <v>0</v>
      </c>
      <c r="AT710" s="243" t="str">
        <f>IF($AL710="","",RANK(AR710,$AR$2:$AR$1001)+COUNTIF($AR$2:AR710,AR710)-1)</f>
        <v/>
      </c>
      <c r="AU710" s="243" t="str">
        <f>IF($AL710="","",RANK(AV710,$AV$2:$AV$1001)+COUNTIF($AV$2:AV710,AV710)-1)</f>
        <v/>
      </c>
      <c r="AV710" s="266">
        <f t="shared" si="54"/>
        <v>0</v>
      </c>
    </row>
    <row r="711" spans="26:48" ht="15" customHeight="1" x14ac:dyDescent="0.2">
      <c r="Z711" s="243" t="str">
        <f>Shares!A711</f>
        <v/>
      </c>
      <c r="AA711" s="243" t="str">
        <f>Shares!B711</f>
        <v/>
      </c>
      <c r="AB711" s="243" t="str">
        <f>Shares!C711</f>
        <v/>
      </c>
      <c r="AC711" s="243" t="str">
        <f>Shares!D711</f>
        <v/>
      </c>
      <c r="AD711" s="243">
        <f>IF($Z711="",0,Shares!E711)</f>
        <v>0</v>
      </c>
      <c r="AE711" s="266">
        <f>IF($Z711="",0,Shares!J711*Shares!I711)</f>
        <v>0</v>
      </c>
      <c r="AF711" s="267">
        <f t="shared" si="53"/>
        <v>0</v>
      </c>
      <c r="AG711" s="266">
        <f>IF($Z711="",0,Shares!L711)</f>
        <v>0</v>
      </c>
      <c r="AH711" s="267">
        <f>IF($Z711="",0,Shares!M711)</f>
        <v>0</v>
      </c>
      <c r="AI711" s="243" t="str">
        <f>IF($Z711="","",RANK(AE711,$AE$2:$AE$1001)+COUNTIF($AE$2:AE711,AE711)-1)</f>
        <v/>
      </c>
      <c r="AJ711" s="243" t="str">
        <f>IF($AD711&lt;0,COUNT($AJ$1:AJ710)+1,"")</f>
        <v/>
      </c>
      <c r="AL711" s="243" t="str">
        <f>'All Ticker P&amp;L'!A711</f>
        <v/>
      </c>
      <c r="AM711" s="243" t="str">
        <f>'All Ticker P&amp;L'!B711</f>
        <v/>
      </c>
      <c r="AN711" s="243" t="str">
        <f>'All Ticker P&amp;L'!C711</f>
        <v/>
      </c>
      <c r="AO711" s="243" t="str">
        <f>'All Ticker P&amp;L'!D711</f>
        <v/>
      </c>
      <c r="AP711" s="243">
        <f>IF($AL711="",0,'All Ticker P&amp;L'!E711)</f>
        <v>0</v>
      </c>
      <c r="AQ711" s="266">
        <f>IF($AL711="",0,'All Ticker P&amp;L'!J711*'All Ticker P&amp;L'!I711)</f>
        <v>0</v>
      </c>
      <c r="AR711" s="266">
        <f>IF($AL711="",0,'All Ticker P&amp;L'!L711)</f>
        <v>0</v>
      </c>
      <c r="AS711" s="267">
        <f>IF($AL711="",0,'All Ticker P&amp;L'!M711)</f>
        <v>0</v>
      </c>
      <c r="AT711" s="243" t="str">
        <f>IF($AL711="","",RANK(AR711,$AR$2:$AR$1001)+COUNTIF($AR$2:AR711,AR711)-1)</f>
        <v/>
      </c>
      <c r="AU711" s="243" t="str">
        <f>IF($AL711="","",RANK(AV711,$AV$2:$AV$1001)+COUNTIF($AV$2:AV711,AV711)-1)</f>
        <v/>
      </c>
      <c r="AV711" s="266">
        <f t="shared" si="54"/>
        <v>0</v>
      </c>
    </row>
    <row r="712" spans="26:48" ht="15" customHeight="1" x14ac:dyDescent="0.2">
      <c r="Z712" s="243" t="str">
        <f>Shares!A712</f>
        <v/>
      </c>
      <c r="AA712" s="243" t="str">
        <f>Shares!B712</f>
        <v/>
      </c>
      <c r="AB712" s="243" t="str">
        <f>Shares!C712</f>
        <v/>
      </c>
      <c r="AC712" s="243" t="str">
        <f>Shares!D712</f>
        <v/>
      </c>
      <c r="AD712" s="243">
        <f>IF($Z712="",0,Shares!E712)</f>
        <v>0</v>
      </c>
      <c r="AE712" s="266">
        <f>IF($Z712="",0,Shares!J712*Shares!I712)</f>
        <v>0</v>
      </c>
      <c r="AF712" s="267">
        <f t="shared" si="53"/>
        <v>0</v>
      </c>
      <c r="AG712" s="266">
        <f>IF($Z712="",0,Shares!L712)</f>
        <v>0</v>
      </c>
      <c r="AH712" s="267">
        <f>IF($Z712="",0,Shares!M712)</f>
        <v>0</v>
      </c>
      <c r="AI712" s="243" t="str">
        <f>IF($Z712="","",RANK(AE712,$AE$2:$AE$1001)+COUNTIF($AE$2:AE712,AE712)-1)</f>
        <v/>
      </c>
      <c r="AJ712" s="243" t="str">
        <f>IF($AD712&lt;0,COUNT($AJ$1:AJ711)+1,"")</f>
        <v/>
      </c>
      <c r="AL712" s="243" t="str">
        <f>'All Ticker P&amp;L'!A712</f>
        <v/>
      </c>
      <c r="AM712" s="243" t="str">
        <f>'All Ticker P&amp;L'!B712</f>
        <v/>
      </c>
      <c r="AN712" s="243" t="str">
        <f>'All Ticker P&amp;L'!C712</f>
        <v/>
      </c>
      <c r="AO712" s="243" t="str">
        <f>'All Ticker P&amp;L'!D712</f>
        <v/>
      </c>
      <c r="AP712" s="243">
        <f>IF($AL712="",0,'All Ticker P&amp;L'!E712)</f>
        <v>0</v>
      </c>
      <c r="AQ712" s="266">
        <f>IF($AL712="",0,'All Ticker P&amp;L'!J712*'All Ticker P&amp;L'!I712)</f>
        <v>0</v>
      </c>
      <c r="AR712" s="266">
        <f>IF($AL712="",0,'All Ticker P&amp;L'!L712)</f>
        <v>0</v>
      </c>
      <c r="AS712" s="267">
        <f>IF($AL712="",0,'All Ticker P&amp;L'!M712)</f>
        <v>0</v>
      </c>
      <c r="AT712" s="243" t="str">
        <f>IF($AL712="","",RANK(AR712,$AR$2:$AR$1001)+COUNTIF($AR$2:AR712,AR712)-1)</f>
        <v/>
      </c>
      <c r="AU712" s="243" t="str">
        <f>IF($AL712="","",RANK(AV712,$AV$2:$AV$1001)+COUNTIF($AV$2:AV712,AV712)-1)</f>
        <v/>
      </c>
      <c r="AV712" s="266">
        <f t="shared" si="54"/>
        <v>0</v>
      </c>
    </row>
    <row r="713" spans="26:48" ht="15" customHeight="1" x14ac:dyDescent="0.2">
      <c r="Z713" s="243" t="str">
        <f>Shares!A713</f>
        <v/>
      </c>
      <c r="AA713" s="243" t="str">
        <f>Shares!B713</f>
        <v/>
      </c>
      <c r="AB713" s="243" t="str">
        <f>Shares!C713</f>
        <v/>
      </c>
      <c r="AC713" s="243" t="str">
        <f>Shares!D713</f>
        <v/>
      </c>
      <c r="AD713" s="243">
        <f>IF($Z713="",0,Shares!E713)</f>
        <v>0</v>
      </c>
      <c r="AE713" s="266">
        <f>IF($Z713="",0,Shares!J713*Shares!I713)</f>
        <v>0</v>
      </c>
      <c r="AF713" s="267">
        <f t="shared" si="53"/>
        <v>0</v>
      </c>
      <c r="AG713" s="266">
        <f>IF($Z713="",0,Shares!L713)</f>
        <v>0</v>
      </c>
      <c r="AH713" s="267">
        <f>IF($Z713="",0,Shares!M713)</f>
        <v>0</v>
      </c>
      <c r="AI713" s="243" t="str">
        <f>IF($Z713="","",RANK(AE713,$AE$2:$AE$1001)+COUNTIF($AE$2:AE713,AE713)-1)</f>
        <v/>
      </c>
      <c r="AJ713" s="243" t="str">
        <f>IF($AD713&lt;0,COUNT($AJ$1:AJ712)+1,"")</f>
        <v/>
      </c>
      <c r="AL713" s="243" t="str">
        <f>'All Ticker P&amp;L'!A713</f>
        <v/>
      </c>
      <c r="AM713" s="243" t="str">
        <f>'All Ticker P&amp;L'!B713</f>
        <v/>
      </c>
      <c r="AN713" s="243" t="str">
        <f>'All Ticker P&amp;L'!C713</f>
        <v/>
      </c>
      <c r="AO713" s="243" t="str">
        <f>'All Ticker P&amp;L'!D713</f>
        <v/>
      </c>
      <c r="AP713" s="243">
        <f>IF($AL713="",0,'All Ticker P&amp;L'!E713)</f>
        <v>0</v>
      </c>
      <c r="AQ713" s="266">
        <f>IF($AL713="",0,'All Ticker P&amp;L'!J713*'All Ticker P&amp;L'!I713)</f>
        <v>0</v>
      </c>
      <c r="AR713" s="266">
        <f>IF($AL713="",0,'All Ticker P&amp;L'!L713)</f>
        <v>0</v>
      </c>
      <c r="AS713" s="267">
        <f>IF($AL713="",0,'All Ticker P&amp;L'!M713)</f>
        <v>0</v>
      </c>
      <c r="AT713" s="243" t="str">
        <f>IF($AL713="","",RANK(AR713,$AR$2:$AR$1001)+COUNTIF($AR$2:AR713,AR713)-1)</f>
        <v/>
      </c>
      <c r="AU713" s="243" t="str">
        <f>IF($AL713="","",RANK(AV713,$AV$2:$AV$1001)+COUNTIF($AV$2:AV713,AV713)-1)</f>
        <v/>
      </c>
      <c r="AV713" s="266">
        <f t="shared" si="54"/>
        <v>0</v>
      </c>
    </row>
    <row r="714" spans="26:48" ht="15" customHeight="1" x14ac:dyDescent="0.2">
      <c r="Z714" s="243" t="str">
        <f>Shares!A714</f>
        <v/>
      </c>
      <c r="AA714" s="243" t="str">
        <f>Shares!B714</f>
        <v/>
      </c>
      <c r="AB714" s="243" t="str">
        <f>Shares!C714</f>
        <v/>
      </c>
      <c r="AC714" s="243" t="str">
        <f>Shares!D714</f>
        <v/>
      </c>
      <c r="AD714" s="243">
        <f>IF($Z714="",0,Shares!E714)</f>
        <v>0</v>
      </c>
      <c r="AE714" s="266">
        <f>IF($Z714="",0,Shares!J714*Shares!I714)</f>
        <v>0</v>
      </c>
      <c r="AF714" s="267">
        <f t="shared" si="53"/>
        <v>0</v>
      </c>
      <c r="AG714" s="266">
        <f>IF($Z714="",0,Shares!L714)</f>
        <v>0</v>
      </c>
      <c r="AH714" s="267">
        <f>IF($Z714="",0,Shares!M714)</f>
        <v>0</v>
      </c>
      <c r="AI714" s="243" t="str">
        <f>IF($Z714="","",RANK(AE714,$AE$2:$AE$1001)+COUNTIF($AE$2:AE714,AE714)-1)</f>
        <v/>
      </c>
      <c r="AJ714" s="243" t="str">
        <f>IF($AD714&lt;0,COUNT($AJ$1:AJ713)+1,"")</f>
        <v/>
      </c>
      <c r="AL714" s="243" t="str">
        <f>'All Ticker P&amp;L'!A714</f>
        <v/>
      </c>
      <c r="AM714" s="243" t="str">
        <f>'All Ticker P&amp;L'!B714</f>
        <v/>
      </c>
      <c r="AN714" s="243" t="str">
        <f>'All Ticker P&amp;L'!C714</f>
        <v/>
      </c>
      <c r="AO714" s="243" t="str">
        <f>'All Ticker P&amp;L'!D714</f>
        <v/>
      </c>
      <c r="AP714" s="243">
        <f>IF($AL714="",0,'All Ticker P&amp;L'!E714)</f>
        <v>0</v>
      </c>
      <c r="AQ714" s="266">
        <f>IF($AL714="",0,'All Ticker P&amp;L'!J714*'All Ticker P&amp;L'!I714)</f>
        <v>0</v>
      </c>
      <c r="AR714" s="266">
        <f>IF($AL714="",0,'All Ticker P&amp;L'!L714)</f>
        <v>0</v>
      </c>
      <c r="AS714" s="267">
        <f>IF($AL714="",0,'All Ticker P&amp;L'!M714)</f>
        <v>0</v>
      </c>
      <c r="AT714" s="243" t="str">
        <f>IF($AL714="","",RANK(AR714,$AR$2:$AR$1001)+COUNTIF($AR$2:AR714,AR714)-1)</f>
        <v/>
      </c>
      <c r="AU714" s="243" t="str">
        <f>IF($AL714="","",RANK(AV714,$AV$2:$AV$1001)+COUNTIF($AV$2:AV714,AV714)-1)</f>
        <v/>
      </c>
      <c r="AV714" s="266">
        <f t="shared" si="54"/>
        <v>0</v>
      </c>
    </row>
    <row r="715" spans="26:48" ht="15" customHeight="1" x14ac:dyDescent="0.2">
      <c r="Z715" s="243" t="str">
        <f>Shares!A715</f>
        <v/>
      </c>
      <c r="AA715" s="243" t="str">
        <f>Shares!B715</f>
        <v/>
      </c>
      <c r="AB715" s="243" t="str">
        <f>Shares!C715</f>
        <v/>
      </c>
      <c r="AC715" s="243" t="str">
        <f>Shares!D715</f>
        <v/>
      </c>
      <c r="AD715" s="243">
        <f>IF($Z715="",0,Shares!E715)</f>
        <v>0</v>
      </c>
      <c r="AE715" s="266">
        <f>IF($Z715="",0,Shares!J715*Shares!I715)</f>
        <v>0</v>
      </c>
      <c r="AF715" s="267">
        <f t="shared" si="53"/>
        <v>0</v>
      </c>
      <c r="AG715" s="266">
        <f>IF($Z715="",0,Shares!L715)</f>
        <v>0</v>
      </c>
      <c r="AH715" s="267">
        <f>IF($Z715="",0,Shares!M715)</f>
        <v>0</v>
      </c>
      <c r="AI715" s="243" t="str">
        <f>IF($Z715="","",RANK(AE715,$AE$2:$AE$1001)+COUNTIF($AE$2:AE715,AE715)-1)</f>
        <v/>
      </c>
      <c r="AJ715" s="243" t="str">
        <f>IF($AD715&lt;0,COUNT($AJ$1:AJ714)+1,"")</f>
        <v/>
      </c>
      <c r="AL715" s="243" t="str">
        <f>'All Ticker P&amp;L'!A715</f>
        <v/>
      </c>
      <c r="AM715" s="243" t="str">
        <f>'All Ticker P&amp;L'!B715</f>
        <v/>
      </c>
      <c r="AN715" s="243" t="str">
        <f>'All Ticker P&amp;L'!C715</f>
        <v/>
      </c>
      <c r="AO715" s="243" t="str">
        <f>'All Ticker P&amp;L'!D715</f>
        <v/>
      </c>
      <c r="AP715" s="243">
        <f>IF($AL715="",0,'All Ticker P&amp;L'!E715)</f>
        <v>0</v>
      </c>
      <c r="AQ715" s="266">
        <f>IF($AL715="",0,'All Ticker P&amp;L'!J715*'All Ticker P&amp;L'!I715)</f>
        <v>0</v>
      </c>
      <c r="AR715" s="266">
        <f>IF($AL715="",0,'All Ticker P&amp;L'!L715)</f>
        <v>0</v>
      </c>
      <c r="AS715" s="267">
        <f>IF($AL715="",0,'All Ticker P&amp;L'!M715)</f>
        <v>0</v>
      </c>
      <c r="AT715" s="243" t="str">
        <f>IF($AL715="","",RANK(AR715,$AR$2:$AR$1001)+COUNTIF($AR$2:AR715,AR715)-1)</f>
        <v/>
      </c>
      <c r="AU715" s="243" t="str">
        <f>IF($AL715="","",RANK(AV715,$AV$2:$AV$1001)+COUNTIF($AV$2:AV715,AV715)-1)</f>
        <v/>
      </c>
      <c r="AV715" s="266">
        <f t="shared" si="54"/>
        <v>0</v>
      </c>
    </row>
    <row r="716" spans="26:48" ht="15" customHeight="1" x14ac:dyDescent="0.2">
      <c r="Z716" s="243" t="str">
        <f>Shares!A716</f>
        <v/>
      </c>
      <c r="AA716" s="243" t="str">
        <f>Shares!B716</f>
        <v/>
      </c>
      <c r="AB716" s="243" t="str">
        <f>Shares!C716</f>
        <v/>
      </c>
      <c r="AC716" s="243" t="str">
        <f>Shares!D716</f>
        <v/>
      </c>
      <c r="AD716" s="243">
        <f>IF($Z716="",0,Shares!E716)</f>
        <v>0</v>
      </c>
      <c r="AE716" s="266">
        <f>IF($Z716="",0,Shares!J716*Shares!I716)</f>
        <v>0</v>
      </c>
      <c r="AF716" s="267">
        <f t="shared" si="53"/>
        <v>0</v>
      </c>
      <c r="AG716" s="266">
        <f>IF($Z716="",0,Shares!L716)</f>
        <v>0</v>
      </c>
      <c r="AH716" s="267">
        <f>IF($Z716="",0,Shares!M716)</f>
        <v>0</v>
      </c>
      <c r="AI716" s="243" t="str">
        <f>IF($Z716="","",RANK(AE716,$AE$2:$AE$1001)+COUNTIF($AE$2:AE716,AE716)-1)</f>
        <v/>
      </c>
      <c r="AJ716" s="243" t="str">
        <f>IF($AD716&lt;0,COUNT($AJ$1:AJ715)+1,"")</f>
        <v/>
      </c>
      <c r="AL716" s="243" t="str">
        <f>'All Ticker P&amp;L'!A716</f>
        <v/>
      </c>
      <c r="AM716" s="243" t="str">
        <f>'All Ticker P&amp;L'!B716</f>
        <v/>
      </c>
      <c r="AN716" s="243" t="str">
        <f>'All Ticker P&amp;L'!C716</f>
        <v/>
      </c>
      <c r="AO716" s="243" t="str">
        <f>'All Ticker P&amp;L'!D716</f>
        <v/>
      </c>
      <c r="AP716" s="243">
        <f>IF($AL716="",0,'All Ticker P&amp;L'!E716)</f>
        <v>0</v>
      </c>
      <c r="AQ716" s="266">
        <f>IF($AL716="",0,'All Ticker P&amp;L'!J716*'All Ticker P&amp;L'!I716)</f>
        <v>0</v>
      </c>
      <c r="AR716" s="266">
        <f>IF($AL716="",0,'All Ticker P&amp;L'!L716)</f>
        <v>0</v>
      </c>
      <c r="AS716" s="267">
        <f>IF($AL716="",0,'All Ticker P&amp;L'!M716)</f>
        <v>0</v>
      </c>
      <c r="AT716" s="243" t="str">
        <f>IF($AL716="","",RANK(AR716,$AR$2:$AR$1001)+COUNTIF($AR$2:AR716,AR716)-1)</f>
        <v/>
      </c>
      <c r="AU716" s="243" t="str">
        <f>IF($AL716="","",RANK(AV716,$AV$2:$AV$1001)+COUNTIF($AV$2:AV716,AV716)-1)</f>
        <v/>
      </c>
      <c r="AV716" s="266">
        <f t="shared" si="54"/>
        <v>0</v>
      </c>
    </row>
    <row r="717" spans="26:48" ht="15" customHeight="1" x14ac:dyDescent="0.2">
      <c r="Z717" s="243" t="str">
        <f>Shares!A717</f>
        <v/>
      </c>
      <c r="AA717" s="243" t="str">
        <f>Shares!B717</f>
        <v/>
      </c>
      <c r="AB717" s="243" t="str">
        <f>Shares!C717</f>
        <v/>
      </c>
      <c r="AC717" s="243" t="str">
        <f>Shares!D717</f>
        <v/>
      </c>
      <c r="AD717" s="243">
        <f>IF($Z717="",0,Shares!E717)</f>
        <v>0</v>
      </c>
      <c r="AE717" s="266">
        <f>IF($Z717="",0,Shares!J717*Shares!I717)</f>
        <v>0</v>
      </c>
      <c r="AF717" s="267">
        <f t="shared" si="53"/>
        <v>0</v>
      </c>
      <c r="AG717" s="266">
        <f>IF($Z717="",0,Shares!L717)</f>
        <v>0</v>
      </c>
      <c r="AH717" s="267">
        <f>IF($Z717="",0,Shares!M717)</f>
        <v>0</v>
      </c>
      <c r="AI717" s="243" t="str">
        <f>IF($Z717="","",RANK(AE717,$AE$2:$AE$1001)+COUNTIF($AE$2:AE717,AE717)-1)</f>
        <v/>
      </c>
      <c r="AJ717" s="243" t="str">
        <f>IF($AD717&lt;0,COUNT($AJ$1:AJ716)+1,"")</f>
        <v/>
      </c>
      <c r="AL717" s="243" t="str">
        <f>'All Ticker P&amp;L'!A717</f>
        <v/>
      </c>
      <c r="AM717" s="243" t="str">
        <f>'All Ticker P&amp;L'!B717</f>
        <v/>
      </c>
      <c r="AN717" s="243" t="str">
        <f>'All Ticker P&amp;L'!C717</f>
        <v/>
      </c>
      <c r="AO717" s="243" t="str">
        <f>'All Ticker P&amp;L'!D717</f>
        <v/>
      </c>
      <c r="AP717" s="243">
        <f>IF($AL717="",0,'All Ticker P&amp;L'!E717)</f>
        <v>0</v>
      </c>
      <c r="AQ717" s="266">
        <f>IF($AL717="",0,'All Ticker P&amp;L'!J717*'All Ticker P&amp;L'!I717)</f>
        <v>0</v>
      </c>
      <c r="AR717" s="266">
        <f>IF($AL717="",0,'All Ticker P&amp;L'!L717)</f>
        <v>0</v>
      </c>
      <c r="AS717" s="267">
        <f>IF($AL717="",0,'All Ticker P&amp;L'!M717)</f>
        <v>0</v>
      </c>
      <c r="AT717" s="243" t="str">
        <f>IF($AL717="","",RANK(AR717,$AR$2:$AR$1001)+COUNTIF($AR$2:AR717,AR717)-1)</f>
        <v/>
      </c>
      <c r="AU717" s="243" t="str">
        <f>IF($AL717="","",RANK(AV717,$AV$2:$AV$1001)+COUNTIF($AV$2:AV717,AV717)-1)</f>
        <v/>
      </c>
      <c r="AV717" s="266">
        <f t="shared" si="54"/>
        <v>0</v>
      </c>
    </row>
    <row r="718" spans="26:48" ht="15" customHeight="1" x14ac:dyDescent="0.2">
      <c r="Z718" s="243" t="str">
        <f>Shares!A718</f>
        <v/>
      </c>
      <c r="AA718" s="243" t="str">
        <f>Shares!B718</f>
        <v/>
      </c>
      <c r="AB718" s="243" t="str">
        <f>Shares!C718</f>
        <v/>
      </c>
      <c r="AC718" s="243" t="str">
        <f>Shares!D718</f>
        <v/>
      </c>
      <c r="AD718" s="243">
        <f>IF($Z718="",0,Shares!E718)</f>
        <v>0</v>
      </c>
      <c r="AE718" s="266">
        <f>IF($Z718="",0,Shares!J718*Shares!I718)</f>
        <v>0</v>
      </c>
      <c r="AF718" s="267">
        <f t="shared" si="53"/>
        <v>0</v>
      </c>
      <c r="AG718" s="266">
        <f>IF($Z718="",0,Shares!L718)</f>
        <v>0</v>
      </c>
      <c r="AH718" s="267">
        <f>IF($Z718="",0,Shares!M718)</f>
        <v>0</v>
      </c>
      <c r="AI718" s="243" t="str">
        <f>IF($Z718="","",RANK(AE718,$AE$2:$AE$1001)+COUNTIF($AE$2:AE718,AE718)-1)</f>
        <v/>
      </c>
      <c r="AJ718" s="243" t="str">
        <f>IF($AD718&lt;0,COUNT($AJ$1:AJ717)+1,"")</f>
        <v/>
      </c>
      <c r="AL718" s="243" t="str">
        <f>'All Ticker P&amp;L'!A718</f>
        <v/>
      </c>
      <c r="AM718" s="243" t="str">
        <f>'All Ticker P&amp;L'!B718</f>
        <v/>
      </c>
      <c r="AN718" s="243" t="str">
        <f>'All Ticker P&amp;L'!C718</f>
        <v/>
      </c>
      <c r="AO718" s="243" t="str">
        <f>'All Ticker P&amp;L'!D718</f>
        <v/>
      </c>
      <c r="AP718" s="243">
        <f>IF($AL718="",0,'All Ticker P&amp;L'!E718)</f>
        <v>0</v>
      </c>
      <c r="AQ718" s="266">
        <f>IF($AL718="",0,'All Ticker P&amp;L'!J718*'All Ticker P&amp;L'!I718)</f>
        <v>0</v>
      </c>
      <c r="AR718" s="266">
        <f>IF($AL718="",0,'All Ticker P&amp;L'!L718)</f>
        <v>0</v>
      </c>
      <c r="AS718" s="267">
        <f>IF($AL718="",0,'All Ticker P&amp;L'!M718)</f>
        <v>0</v>
      </c>
      <c r="AT718" s="243" t="str">
        <f>IF($AL718="","",RANK(AR718,$AR$2:$AR$1001)+COUNTIF($AR$2:AR718,AR718)-1)</f>
        <v/>
      </c>
      <c r="AU718" s="243" t="str">
        <f>IF($AL718="","",RANK(AV718,$AV$2:$AV$1001)+COUNTIF($AV$2:AV718,AV718)-1)</f>
        <v/>
      </c>
      <c r="AV718" s="266">
        <f t="shared" si="54"/>
        <v>0</v>
      </c>
    </row>
    <row r="719" spans="26:48" ht="15" customHeight="1" x14ac:dyDescent="0.2">
      <c r="Z719" s="243" t="str">
        <f>Shares!A719</f>
        <v/>
      </c>
      <c r="AA719" s="243" t="str">
        <f>Shares!B719</f>
        <v/>
      </c>
      <c r="AB719" s="243" t="str">
        <f>Shares!C719</f>
        <v/>
      </c>
      <c r="AC719" s="243" t="str">
        <f>Shares!D719</f>
        <v/>
      </c>
      <c r="AD719" s="243">
        <f>IF($Z719="",0,Shares!E719)</f>
        <v>0</v>
      </c>
      <c r="AE719" s="266">
        <f>IF($Z719="",0,Shares!J719*Shares!I719)</f>
        <v>0</v>
      </c>
      <c r="AF719" s="267">
        <f t="shared" si="53"/>
        <v>0</v>
      </c>
      <c r="AG719" s="266">
        <f>IF($Z719="",0,Shares!L719)</f>
        <v>0</v>
      </c>
      <c r="AH719" s="267">
        <f>IF($Z719="",0,Shares!M719)</f>
        <v>0</v>
      </c>
      <c r="AI719" s="243" t="str">
        <f>IF($Z719="","",RANK(AE719,$AE$2:$AE$1001)+COUNTIF($AE$2:AE719,AE719)-1)</f>
        <v/>
      </c>
      <c r="AJ719" s="243" t="str">
        <f>IF($AD719&lt;0,COUNT($AJ$1:AJ718)+1,"")</f>
        <v/>
      </c>
      <c r="AL719" s="243" t="str">
        <f>'All Ticker P&amp;L'!A719</f>
        <v/>
      </c>
      <c r="AM719" s="243" t="str">
        <f>'All Ticker P&amp;L'!B719</f>
        <v/>
      </c>
      <c r="AN719" s="243" t="str">
        <f>'All Ticker P&amp;L'!C719</f>
        <v/>
      </c>
      <c r="AO719" s="243" t="str">
        <f>'All Ticker P&amp;L'!D719</f>
        <v/>
      </c>
      <c r="AP719" s="243">
        <f>IF($AL719="",0,'All Ticker P&amp;L'!E719)</f>
        <v>0</v>
      </c>
      <c r="AQ719" s="266">
        <f>IF($AL719="",0,'All Ticker P&amp;L'!J719*'All Ticker P&amp;L'!I719)</f>
        <v>0</v>
      </c>
      <c r="AR719" s="266">
        <f>IF($AL719="",0,'All Ticker P&amp;L'!L719)</f>
        <v>0</v>
      </c>
      <c r="AS719" s="267">
        <f>IF($AL719="",0,'All Ticker P&amp;L'!M719)</f>
        <v>0</v>
      </c>
      <c r="AT719" s="243" t="str">
        <f>IF($AL719="","",RANK(AR719,$AR$2:$AR$1001)+COUNTIF($AR$2:AR719,AR719)-1)</f>
        <v/>
      </c>
      <c r="AU719" s="243" t="str">
        <f>IF($AL719="","",RANK(AV719,$AV$2:$AV$1001)+COUNTIF($AV$2:AV719,AV719)-1)</f>
        <v/>
      </c>
      <c r="AV719" s="266">
        <f t="shared" si="54"/>
        <v>0</v>
      </c>
    </row>
    <row r="720" spans="26:48" ht="15" customHeight="1" x14ac:dyDescent="0.2">
      <c r="Z720" s="243" t="str">
        <f>Shares!A720</f>
        <v/>
      </c>
      <c r="AA720" s="243" t="str">
        <f>Shares!B720</f>
        <v/>
      </c>
      <c r="AB720" s="243" t="str">
        <f>Shares!C720</f>
        <v/>
      </c>
      <c r="AC720" s="243" t="str">
        <f>Shares!D720</f>
        <v/>
      </c>
      <c r="AD720" s="243">
        <f>IF($Z720="",0,Shares!E720)</f>
        <v>0</v>
      </c>
      <c r="AE720" s="266">
        <f>IF($Z720="",0,Shares!J720*Shares!I720)</f>
        <v>0</v>
      </c>
      <c r="AF720" s="267">
        <f t="shared" si="53"/>
        <v>0</v>
      </c>
      <c r="AG720" s="266">
        <f>IF($Z720="",0,Shares!L720)</f>
        <v>0</v>
      </c>
      <c r="AH720" s="267">
        <f>IF($Z720="",0,Shares!M720)</f>
        <v>0</v>
      </c>
      <c r="AI720" s="243" t="str">
        <f>IF($Z720="","",RANK(AE720,$AE$2:$AE$1001)+COUNTIF($AE$2:AE720,AE720)-1)</f>
        <v/>
      </c>
      <c r="AJ720" s="243" t="str">
        <f>IF($AD720&lt;0,COUNT($AJ$1:AJ719)+1,"")</f>
        <v/>
      </c>
      <c r="AL720" s="243" t="str">
        <f>'All Ticker P&amp;L'!A720</f>
        <v/>
      </c>
      <c r="AM720" s="243" t="str">
        <f>'All Ticker P&amp;L'!B720</f>
        <v/>
      </c>
      <c r="AN720" s="243" t="str">
        <f>'All Ticker P&amp;L'!C720</f>
        <v/>
      </c>
      <c r="AO720" s="243" t="str">
        <f>'All Ticker P&amp;L'!D720</f>
        <v/>
      </c>
      <c r="AP720" s="243">
        <f>IF($AL720="",0,'All Ticker P&amp;L'!E720)</f>
        <v>0</v>
      </c>
      <c r="AQ720" s="266">
        <f>IF($AL720="",0,'All Ticker P&amp;L'!J720*'All Ticker P&amp;L'!I720)</f>
        <v>0</v>
      </c>
      <c r="AR720" s="266">
        <f>IF($AL720="",0,'All Ticker P&amp;L'!L720)</f>
        <v>0</v>
      </c>
      <c r="AS720" s="267">
        <f>IF($AL720="",0,'All Ticker P&amp;L'!M720)</f>
        <v>0</v>
      </c>
      <c r="AT720" s="243" t="str">
        <f>IF($AL720="","",RANK(AR720,$AR$2:$AR$1001)+COUNTIF($AR$2:AR720,AR720)-1)</f>
        <v/>
      </c>
      <c r="AU720" s="243" t="str">
        <f>IF($AL720="","",RANK(AV720,$AV$2:$AV$1001)+COUNTIF($AV$2:AV720,AV720)-1)</f>
        <v/>
      </c>
      <c r="AV720" s="266">
        <f t="shared" si="54"/>
        <v>0</v>
      </c>
    </row>
    <row r="721" spans="26:48" ht="15" customHeight="1" x14ac:dyDescent="0.2">
      <c r="Z721" s="243" t="str">
        <f>Shares!A721</f>
        <v/>
      </c>
      <c r="AA721" s="243" t="str">
        <f>Shares!B721</f>
        <v/>
      </c>
      <c r="AB721" s="243" t="str">
        <f>Shares!C721</f>
        <v/>
      </c>
      <c r="AC721" s="243" t="str">
        <f>Shares!D721</f>
        <v/>
      </c>
      <c r="AD721" s="243">
        <f>IF($Z721="",0,Shares!E721)</f>
        <v>0</v>
      </c>
      <c r="AE721" s="266">
        <f>IF($Z721="",0,Shares!J721*Shares!I721)</f>
        <v>0</v>
      </c>
      <c r="AF721" s="267">
        <f t="shared" si="53"/>
        <v>0</v>
      </c>
      <c r="AG721" s="266">
        <f>IF($Z721="",0,Shares!L721)</f>
        <v>0</v>
      </c>
      <c r="AH721" s="267">
        <f>IF($Z721="",0,Shares!M721)</f>
        <v>0</v>
      </c>
      <c r="AI721" s="243" t="str">
        <f>IF($Z721="","",RANK(AE721,$AE$2:$AE$1001)+COUNTIF($AE$2:AE721,AE721)-1)</f>
        <v/>
      </c>
      <c r="AJ721" s="243" t="str">
        <f>IF($AD721&lt;0,COUNT($AJ$1:AJ720)+1,"")</f>
        <v/>
      </c>
      <c r="AL721" s="243" t="str">
        <f>'All Ticker P&amp;L'!A721</f>
        <v/>
      </c>
      <c r="AM721" s="243" t="str">
        <f>'All Ticker P&amp;L'!B721</f>
        <v/>
      </c>
      <c r="AN721" s="243" t="str">
        <f>'All Ticker P&amp;L'!C721</f>
        <v/>
      </c>
      <c r="AO721" s="243" t="str">
        <f>'All Ticker P&amp;L'!D721</f>
        <v/>
      </c>
      <c r="AP721" s="243">
        <f>IF($AL721="",0,'All Ticker P&amp;L'!E721)</f>
        <v>0</v>
      </c>
      <c r="AQ721" s="266">
        <f>IF($AL721="",0,'All Ticker P&amp;L'!J721*'All Ticker P&amp;L'!I721)</f>
        <v>0</v>
      </c>
      <c r="AR721" s="266">
        <f>IF($AL721="",0,'All Ticker P&amp;L'!L721)</f>
        <v>0</v>
      </c>
      <c r="AS721" s="267">
        <f>IF($AL721="",0,'All Ticker P&amp;L'!M721)</f>
        <v>0</v>
      </c>
      <c r="AT721" s="243" t="str">
        <f>IF($AL721="","",RANK(AR721,$AR$2:$AR$1001)+COUNTIF($AR$2:AR721,AR721)-1)</f>
        <v/>
      </c>
      <c r="AU721" s="243" t="str">
        <f>IF($AL721="","",RANK(AV721,$AV$2:$AV$1001)+COUNTIF($AV$2:AV721,AV721)-1)</f>
        <v/>
      </c>
      <c r="AV721" s="266">
        <f t="shared" si="54"/>
        <v>0</v>
      </c>
    </row>
    <row r="722" spans="26:48" ht="15" customHeight="1" x14ac:dyDescent="0.2">
      <c r="Z722" s="243" t="str">
        <f>Shares!A722</f>
        <v/>
      </c>
      <c r="AA722" s="243" t="str">
        <f>Shares!B722</f>
        <v/>
      </c>
      <c r="AB722" s="243" t="str">
        <f>Shares!C722</f>
        <v/>
      </c>
      <c r="AC722" s="243" t="str">
        <f>Shares!D722</f>
        <v/>
      </c>
      <c r="AD722" s="243">
        <f>IF($Z722="",0,Shares!E722)</f>
        <v>0</v>
      </c>
      <c r="AE722" s="266">
        <f>IF($Z722="",0,Shares!J722*Shares!I722)</f>
        <v>0</v>
      </c>
      <c r="AF722" s="267">
        <f t="shared" si="53"/>
        <v>0</v>
      </c>
      <c r="AG722" s="266">
        <f>IF($Z722="",0,Shares!L722)</f>
        <v>0</v>
      </c>
      <c r="AH722" s="267">
        <f>IF($Z722="",0,Shares!M722)</f>
        <v>0</v>
      </c>
      <c r="AI722" s="243" t="str">
        <f>IF($Z722="","",RANK(AE722,$AE$2:$AE$1001)+COUNTIF($AE$2:AE722,AE722)-1)</f>
        <v/>
      </c>
      <c r="AJ722" s="243" t="str">
        <f>IF($AD722&lt;0,COUNT($AJ$1:AJ721)+1,"")</f>
        <v/>
      </c>
      <c r="AL722" s="243" t="str">
        <f>'All Ticker P&amp;L'!A722</f>
        <v/>
      </c>
      <c r="AM722" s="243" t="str">
        <f>'All Ticker P&amp;L'!B722</f>
        <v/>
      </c>
      <c r="AN722" s="243" t="str">
        <f>'All Ticker P&amp;L'!C722</f>
        <v/>
      </c>
      <c r="AO722" s="243" t="str">
        <f>'All Ticker P&amp;L'!D722</f>
        <v/>
      </c>
      <c r="AP722" s="243">
        <f>IF($AL722="",0,'All Ticker P&amp;L'!E722)</f>
        <v>0</v>
      </c>
      <c r="AQ722" s="266">
        <f>IF($AL722="",0,'All Ticker P&amp;L'!J722*'All Ticker P&amp;L'!I722)</f>
        <v>0</v>
      </c>
      <c r="AR722" s="266">
        <f>IF($AL722="",0,'All Ticker P&amp;L'!L722)</f>
        <v>0</v>
      </c>
      <c r="AS722" s="267">
        <f>IF($AL722="",0,'All Ticker P&amp;L'!M722)</f>
        <v>0</v>
      </c>
      <c r="AT722" s="243" t="str">
        <f>IF($AL722="","",RANK(AR722,$AR$2:$AR$1001)+COUNTIF($AR$2:AR722,AR722)-1)</f>
        <v/>
      </c>
      <c r="AU722" s="243" t="str">
        <f>IF($AL722="","",RANK(AV722,$AV$2:$AV$1001)+COUNTIF($AV$2:AV722,AV722)-1)</f>
        <v/>
      </c>
      <c r="AV722" s="266">
        <f t="shared" si="54"/>
        <v>0</v>
      </c>
    </row>
    <row r="723" spans="26:48" ht="15" customHeight="1" x14ac:dyDescent="0.2">
      <c r="Z723" s="243" t="str">
        <f>Shares!A723</f>
        <v/>
      </c>
      <c r="AA723" s="243" t="str">
        <f>Shares!B723</f>
        <v/>
      </c>
      <c r="AB723" s="243" t="str">
        <f>Shares!C723</f>
        <v/>
      </c>
      <c r="AC723" s="243" t="str">
        <f>Shares!D723</f>
        <v/>
      </c>
      <c r="AD723" s="243">
        <f>IF($Z723="",0,Shares!E723)</f>
        <v>0</v>
      </c>
      <c r="AE723" s="266">
        <f>IF($Z723="",0,Shares!J723*Shares!I723)</f>
        <v>0</v>
      </c>
      <c r="AF723" s="267">
        <f t="shared" si="53"/>
        <v>0</v>
      </c>
      <c r="AG723" s="266">
        <f>IF($Z723="",0,Shares!L723)</f>
        <v>0</v>
      </c>
      <c r="AH723" s="267">
        <f>IF($Z723="",0,Shares!M723)</f>
        <v>0</v>
      </c>
      <c r="AI723" s="243" t="str">
        <f>IF($Z723="","",RANK(AE723,$AE$2:$AE$1001)+COUNTIF($AE$2:AE723,AE723)-1)</f>
        <v/>
      </c>
      <c r="AJ723" s="243" t="str">
        <f>IF($AD723&lt;0,COUNT($AJ$1:AJ722)+1,"")</f>
        <v/>
      </c>
      <c r="AL723" s="243" t="str">
        <f>'All Ticker P&amp;L'!A723</f>
        <v/>
      </c>
      <c r="AM723" s="243" t="str">
        <f>'All Ticker P&amp;L'!B723</f>
        <v/>
      </c>
      <c r="AN723" s="243" t="str">
        <f>'All Ticker P&amp;L'!C723</f>
        <v/>
      </c>
      <c r="AO723" s="243" t="str">
        <f>'All Ticker P&amp;L'!D723</f>
        <v/>
      </c>
      <c r="AP723" s="243">
        <f>IF($AL723="",0,'All Ticker P&amp;L'!E723)</f>
        <v>0</v>
      </c>
      <c r="AQ723" s="266">
        <f>IF($AL723="",0,'All Ticker P&amp;L'!J723*'All Ticker P&amp;L'!I723)</f>
        <v>0</v>
      </c>
      <c r="AR723" s="266">
        <f>IF($AL723="",0,'All Ticker P&amp;L'!L723)</f>
        <v>0</v>
      </c>
      <c r="AS723" s="267">
        <f>IF($AL723="",0,'All Ticker P&amp;L'!M723)</f>
        <v>0</v>
      </c>
      <c r="AT723" s="243" t="str">
        <f>IF($AL723="","",RANK(AR723,$AR$2:$AR$1001)+COUNTIF($AR$2:AR723,AR723)-1)</f>
        <v/>
      </c>
      <c r="AU723" s="243" t="str">
        <f>IF($AL723="","",RANK(AV723,$AV$2:$AV$1001)+COUNTIF($AV$2:AV723,AV723)-1)</f>
        <v/>
      </c>
      <c r="AV723" s="266">
        <f t="shared" si="54"/>
        <v>0</v>
      </c>
    </row>
    <row r="724" spans="26:48" ht="15" customHeight="1" x14ac:dyDescent="0.2">
      <c r="Z724" s="243" t="str">
        <f>Shares!A724</f>
        <v/>
      </c>
      <c r="AA724" s="243" t="str">
        <f>Shares!B724</f>
        <v/>
      </c>
      <c r="AB724" s="243" t="str">
        <f>Shares!C724</f>
        <v/>
      </c>
      <c r="AC724" s="243" t="str">
        <f>Shares!D724</f>
        <v/>
      </c>
      <c r="AD724" s="243">
        <f>IF($Z724="",0,Shares!E724)</f>
        <v>0</v>
      </c>
      <c r="AE724" s="266">
        <f>IF($Z724="",0,Shares!J724*Shares!I724)</f>
        <v>0</v>
      </c>
      <c r="AF724" s="267">
        <f t="shared" si="53"/>
        <v>0</v>
      </c>
      <c r="AG724" s="266">
        <f>IF($Z724="",0,Shares!L724)</f>
        <v>0</v>
      </c>
      <c r="AH724" s="267">
        <f>IF($Z724="",0,Shares!M724)</f>
        <v>0</v>
      </c>
      <c r="AI724" s="243" t="str">
        <f>IF($Z724="","",RANK(AE724,$AE$2:$AE$1001)+COUNTIF($AE$2:AE724,AE724)-1)</f>
        <v/>
      </c>
      <c r="AJ724" s="243" t="str">
        <f>IF($AD724&lt;0,COUNT($AJ$1:AJ723)+1,"")</f>
        <v/>
      </c>
      <c r="AL724" s="243" t="str">
        <f>'All Ticker P&amp;L'!A724</f>
        <v/>
      </c>
      <c r="AM724" s="243" t="str">
        <f>'All Ticker P&amp;L'!B724</f>
        <v/>
      </c>
      <c r="AN724" s="243" t="str">
        <f>'All Ticker P&amp;L'!C724</f>
        <v/>
      </c>
      <c r="AO724" s="243" t="str">
        <f>'All Ticker P&amp;L'!D724</f>
        <v/>
      </c>
      <c r="AP724" s="243">
        <f>IF($AL724="",0,'All Ticker P&amp;L'!E724)</f>
        <v>0</v>
      </c>
      <c r="AQ724" s="266">
        <f>IF($AL724="",0,'All Ticker P&amp;L'!J724*'All Ticker P&amp;L'!I724)</f>
        <v>0</v>
      </c>
      <c r="AR724" s="266">
        <f>IF($AL724="",0,'All Ticker P&amp;L'!L724)</f>
        <v>0</v>
      </c>
      <c r="AS724" s="267">
        <f>IF($AL724="",0,'All Ticker P&amp;L'!M724)</f>
        <v>0</v>
      </c>
      <c r="AT724" s="243" t="str">
        <f>IF($AL724="","",RANK(AR724,$AR$2:$AR$1001)+COUNTIF($AR$2:AR724,AR724)-1)</f>
        <v/>
      </c>
      <c r="AU724" s="243" t="str">
        <f>IF($AL724="","",RANK(AV724,$AV$2:$AV$1001)+COUNTIF($AV$2:AV724,AV724)-1)</f>
        <v/>
      </c>
      <c r="AV724" s="266">
        <f t="shared" si="54"/>
        <v>0</v>
      </c>
    </row>
    <row r="725" spans="26:48" ht="15" customHeight="1" x14ac:dyDescent="0.2">
      <c r="Z725" s="243" t="str">
        <f>Shares!A725</f>
        <v/>
      </c>
      <c r="AA725" s="243" t="str">
        <f>Shares!B725</f>
        <v/>
      </c>
      <c r="AB725" s="243" t="str">
        <f>Shares!C725</f>
        <v/>
      </c>
      <c r="AC725" s="243" t="str">
        <f>Shares!D725</f>
        <v/>
      </c>
      <c r="AD725" s="243">
        <f>IF($Z725="",0,Shares!E725)</f>
        <v>0</v>
      </c>
      <c r="AE725" s="266">
        <f>IF($Z725="",0,Shares!J725*Shares!I725)</f>
        <v>0</v>
      </c>
      <c r="AF725" s="267">
        <f t="shared" si="53"/>
        <v>0</v>
      </c>
      <c r="AG725" s="266">
        <f>IF($Z725="",0,Shares!L725)</f>
        <v>0</v>
      </c>
      <c r="AH725" s="267">
        <f>IF($Z725="",0,Shares!M725)</f>
        <v>0</v>
      </c>
      <c r="AI725" s="243" t="str">
        <f>IF($Z725="","",RANK(AE725,$AE$2:$AE$1001)+COUNTIF($AE$2:AE725,AE725)-1)</f>
        <v/>
      </c>
      <c r="AJ725" s="243" t="str">
        <f>IF($AD725&lt;0,COUNT($AJ$1:AJ724)+1,"")</f>
        <v/>
      </c>
      <c r="AL725" s="243" t="str">
        <f>'All Ticker P&amp;L'!A725</f>
        <v/>
      </c>
      <c r="AM725" s="243" t="str">
        <f>'All Ticker P&amp;L'!B725</f>
        <v/>
      </c>
      <c r="AN725" s="243" t="str">
        <f>'All Ticker P&amp;L'!C725</f>
        <v/>
      </c>
      <c r="AO725" s="243" t="str">
        <f>'All Ticker P&amp;L'!D725</f>
        <v/>
      </c>
      <c r="AP725" s="243">
        <f>IF($AL725="",0,'All Ticker P&amp;L'!E725)</f>
        <v>0</v>
      </c>
      <c r="AQ725" s="266">
        <f>IF($AL725="",0,'All Ticker P&amp;L'!J725*'All Ticker P&amp;L'!I725)</f>
        <v>0</v>
      </c>
      <c r="AR725" s="266">
        <f>IF($AL725="",0,'All Ticker P&amp;L'!L725)</f>
        <v>0</v>
      </c>
      <c r="AS725" s="267">
        <f>IF($AL725="",0,'All Ticker P&amp;L'!M725)</f>
        <v>0</v>
      </c>
      <c r="AT725" s="243" t="str">
        <f>IF($AL725="","",RANK(AR725,$AR$2:$AR$1001)+COUNTIF($AR$2:AR725,AR725)-1)</f>
        <v/>
      </c>
      <c r="AU725" s="243" t="str">
        <f>IF($AL725="","",RANK(AV725,$AV$2:$AV$1001)+COUNTIF($AV$2:AV725,AV725)-1)</f>
        <v/>
      </c>
      <c r="AV725" s="266">
        <f t="shared" si="54"/>
        <v>0</v>
      </c>
    </row>
    <row r="726" spans="26:48" ht="15" customHeight="1" x14ac:dyDescent="0.2">
      <c r="Z726" s="243" t="str">
        <f>Shares!A726</f>
        <v/>
      </c>
      <c r="AA726" s="243" t="str">
        <f>Shares!B726</f>
        <v/>
      </c>
      <c r="AB726" s="243" t="str">
        <f>Shares!C726</f>
        <v/>
      </c>
      <c r="AC726" s="243" t="str">
        <f>Shares!D726</f>
        <v/>
      </c>
      <c r="AD726" s="243">
        <f>IF($Z726="",0,Shares!E726)</f>
        <v>0</v>
      </c>
      <c r="AE726" s="266">
        <f>IF($Z726="",0,Shares!J726*Shares!I726)</f>
        <v>0</v>
      </c>
      <c r="AF726" s="267">
        <f t="shared" si="53"/>
        <v>0</v>
      </c>
      <c r="AG726" s="266">
        <f>IF($Z726="",0,Shares!L726)</f>
        <v>0</v>
      </c>
      <c r="AH726" s="267">
        <f>IF($Z726="",0,Shares!M726)</f>
        <v>0</v>
      </c>
      <c r="AI726" s="243" t="str">
        <f>IF($Z726="","",RANK(AE726,$AE$2:$AE$1001)+COUNTIF($AE$2:AE726,AE726)-1)</f>
        <v/>
      </c>
      <c r="AJ726" s="243" t="str">
        <f>IF($AD726&lt;0,COUNT($AJ$1:AJ725)+1,"")</f>
        <v/>
      </c>
      <c r="AL726" s="243" t="str">
        <f>'All Ticker P&amp;L'!A726</f>
        <v/>
      </c>
      <c r="AM726" s="243" t="str">
        <f>'All Ticker P&amp;L'!B726</f>
        <v/>
      </c>
      <c r="AN726" s="243" t="str">
        <f>'All Ticker P&amp;L'!C726</f>
        <v/>
      </c>
      <c r="AO726" s="243" t="str">
        <f>'All Ticker P&amp;L'!D726</f>
        <v/>
      </c>
      <c r="AP726" s="243">
        <f>IF($AL726="",0,'All Ticker P&amp;L'!E726)</f>
        <v>0</v>
      </c>
      <c r="AQ726" s="266">
        <f>IF($AL726="",0,'All Ticker P&amp;L'!J726*'All Ticker P&amp;L'!I726)</f>
        <v>0</v>
      </c>
      <c r="AR726" s="266">
        <f>IF($AL726="",0,'All Ticker P&amp;L'!L726)</f>
        <v>0</v>
      </c>
      <c r="AS726" s="267">
        <f>IF($AL726="",0,'All Ticker P&amp;L'!M726)</f>
        <v>0</v>
      </c>
      <c r="AT726" s="243" t="str">
        <f>IF($AL726="","",RANK(AR726,$AR$2:$AR$1001)+COUNTIF($AR$2:AR726,AR726)-1)</f>
        <v/>
      </c>
      <c r="AU726" s="243" t="str">
        <f>IF($AL726="","",RANK(AV726,$AV$2:$AV$1001)+COUNTIF($AV$2:AV726,AV726)-1)</f>
        <v/>
      </c>
      <c r="AV726" s="266">
        <f t="shared" si="54"/>
        <v>0</v>
      </c>
    </row>
    <row r="727" spans="26:48" ht="15" customHeight="1" x14ac:dyDescent="0.2">
      <c r="Z727" s="243" t="str">
        <f>Shares!A727</f>
        <v/>
      </c>
      <c r="AA727" s="243" t="str">
        <f>Shares!B727</f>
        <v/>
      </c>
      <c r="AB727" s="243" t="str">
        <f>Shares!C727</f>
        <v/>
      </c>
      <c r="AC727" s="243" t="str">
        <f>Shares!D727</f>
        <v/>
      </c>
      <c r="AD727" s="243">
        <f>IF($Z727="",0,Shares!E727)</f>
        <v>0</v>
      </c>
      <c r="AE727" s="266">
        <f>IF($Z727="",0,Shares!J727*Shares!I727)</f>
        <v>0</v>
      </c>
      <c r="AF727" s="267">
        <f t="shared" si="53"/>
        <v>0</v>
      </c>
      <c r="AG727" s="266">
        <f>IF($Z727="",0,Shares!L727)</f>
        <v>0</v>
      </c>
      <c r="AH727" s="267">
        <f>IF($Z727="",0,Shares!M727)</f>
        <v>0</v>
      </c>
      <c r="AI727" s="243" t="str">
        <f>IF($Z727="","",RANK(AE727,$AE$2:$AE$1001)+COUNTIF($AE$2:AE727,AE727)-1)</f>
        <v/>
      </c>
      <c r="AJ727" s="243" t="str">
        <f>IF($AD727&lt;0,COUNT($AJ$1:AJ726)+1,"")</f>
        <v/>
      </c>
      <c r="AL727" s="243" t="str">
        <f>'All Ticker P&amp;L'!A727</f>
        <v/>
      </c>
      <c r="AM727" s="243" t="str">
        <f>'All Ticker P&amp;L'!B727</f>
        <v/>
      </c>
      <c r="AN727" s="243" t="str">
        <f>'All Ticker P&amp;L'!C727</f>
        <v/>
      </c>
      <c r="AO727" s="243" t="str">
        <f>'All Ticker P&amp;L'!D727</f>
        <v/>
      </c>
      <c r="AP727" s="243">
        <f>IF($AL727="",0,'All Ticker P&amp;L'!E727)</f>
        <v>0</v>
      </c>
      <c r="AQ727" s="266">
        <f>IF($AL727="",0,'All Ticker P&amp;L'!J727*'All Ticker P&amp;L'!I727)</f>
        <v>0</v>
      </c>
      <c r="AR727" s="266">
        <f>IF($AL727="",0,'All Ticker P&amp;L'!L727)</f>
        <v>0</v>
      </c>
      <c r="AS727" s="267">
        <f>IF($AL727="",0,'All Ticker P&amp;L'!M727)</f>
        <v>0</v>
      </c>
      <c r="AT727" s="243" t="str">
        <f>IF($AL727="","",RANK(AR727,$AR$2:$AR$1001)+COUNTIF($AR$2:AR727,AR727)-1)</f>
        <v/>
      </c>
      <c r="AU727" s="243" t="str">
        <f>IF($AL727="","",RANK(AV727,$AV$2:$AV$1001)+COUNTIF($AV$2:AV727,AV727)-1)</f>
        <v/>
      </c>
      <c r="AV727" s="266">
        <f t="shared" si="54"/>
        <v>0</v>
      </c>
    </row>
    <row r="728" spans="26:48" ht="15" customHeight="1" x14ac:dyDescent="0.2">
      <c r="Z728" s="243" t="str">
        <f>Shares!A728</f>
        <v/>
      </c>
      <c r="AA728" s="243" t="str">
        <f>Shares!B728</f>
        <v/>
      </c>
      <c r="AB728" s="243" t="str">
        <f>Shares!C728</f>
        <v/>
      </c>
      <c r="AC728" s="243" t="str">
        <f>Shares!D728</f>
        <v/>
      </c>
      <c r="AD728" s="243">
        <f>IF($Z728="",0,Shares!E728)</f>
        <v>0</v>
      </c>
      <c r="AE728" s="266">
        <f>IF($Z728="",0,Shares!J728*Shares!I728)</f>
        <v>0</v>
      </c>
      <c r="AF728" s="267">
        <f t="shared" si="53"/>
        <v>0</v>
      </c>
      <c r="AG728" s="266">
        <f>IF($Z728="",0,Shares!L728)</f>
        <v>0</v>
      </c>
      <c r="AH728" s="267">
        <f>IF($Z728="",0,Shares!M728)</f>
        <v>0</v>
      </c>
      <c r="AI728" s="243" t="str">
        <f>IF($Z728="","",RANK(AE728,$AE$2:$AE$1001)+COUNTIF($AE$2:AE728,AE728)-1)</f>
        <v/>
      </c>
      <c r="AJ728" s="243" t="str">
        <f>IF($AD728&lt;0,COUNT($AJ$1:AJ727)+1,"")</f>
        <v/>
      </c>
      <c r="AL728" s="243" t="str">
        <f>'All Ticker P&amp;L'!A728</f>
        <v/>
      </c>
      <c r="AM728" s="243" t="str">
        <f>'All Ticker P&amp;L'!B728</f>
        <v/>
      </c>
      <c r="AN728" s="243" t="str">
        <f>'All Ticker P&amp;L'!C728</f>
        <v/>
      </c>
      <c r="AO728" s="243" t="str">
        <f>'All Ticker P&amp;L'!D728</f>
        <v/>
      </c>
      <c r="AP728" s="243">
        <f>IF($AL728="",0,'All Ticker P&amp;L'!E728)</f>
        <v>0</v>
      </c>
      <c r="AQ728" s="266">
        <f>IF($AL728="",0,'All Ticker P&amp;L'!J728*'All Ticker P&amp;L'!I728)</f>
        <v>0</v>
      </c>
      <c r="AR728" s="266">
        <f>IF($AL728="",0,'All Ticker P&amp;L'!L728)</f>
        <v>0</v>
      </c>
      <c r="AS728" s="267">
        <f>IF($AL728="",0,'All Ticker P&amp;L'!M728)</f>
        <v>0</v>
      </c>
      <c r="AT728" s="243" t="str">
        <f>IF($AL728="","",RANK(AR728,$AR$2:$AR$1001)+COUNTIF($AR$2:AR728,AR728)-1)</f>
        <v/>
      </c>
      <c r="AU728" s="243" t="str">
        <f>IF($AL728="","",RANK(AV728,$AV$2:$AV$1001)+COUNTIF($AV$2:AV728,AV728)-1)</f>
        <v/>
      </c>
      <c r="AV728" s="266">
        <f t="shared" si="54"/>
        <v>0</v>
      </c>
    </row>
    <row r="729" spans="26:48" ht="15" customHeight="1" x14ac:dyDescent="0.2">
      <c r="Z729" s="243" t="str">
        <f>Shares!A729</f>
        <v/>
      </c>
      <c r="AA729" s="243" t="str">
        <f>Shares!B729</f>
        <v/>
      </c>
      <c r="AB729" s="243" t="str">
        <f>Shares!C729</f>
        <v/>
      </c>
      <c r="AC729" s="243" t="str">
        <f>Shares!D729</f>
        <v/>
      </c>
      <c r="AD729" s="243">
        <f>IF($Z729="",0,Shares!E729)</f>
        <v>0</v>
      </c>
      <c r="AE729" s="266">
        <f>IF($Z729="",0,Shares!J729*Shares!I729)</f>
        <v>0</v>
      </c>
      <c r="AF729" s="267">
        <f t="shared" si="53"/>
        <v>0</v>
      </c>
      <c r="AG729" s="266">
        <f>IF($Z729="",0,Shares!L729)</f>
        <v>0</v>
      </c>
      <c r="AH729" s="267">
        <f>IF($Z729="",0,Shares!M729)</f>
        <v>0</v>
      </c>
      <c r="AI729" s="243" t="str">
        <f>IF($Z729="","",RANK(AE729,$AE$2:$AE$1001)+COUNTIF($AE$2:AE729,AE729)-1)</f>
        <v/>
      </c>
      <c r="AJ729" s="243" t="str">
        <f>IF($AD729&lt;0,COUNT($AJ$1:AJ728)+1,"")</f>
        <v/>
      </c>
      <c r="AL729" s="243" t="str">
        <f>'All Ticker P&amp;L'!A729</f>
        <v/>
      </c>
      <c r="AM729" s="243" t="str">
        <f>'All Ticker P&amp;L'!B729</f>
        <v/>
      </c>
      <c r="AN729" s="243" t="str">
        <f>'All Ticker P&amp;L'!C729</f>
        <v/>
      </c>
      <c r="AO729" s="243" t="str">
        <f>'All Ticker P&amp;L'!D729</f>
        <v/>
      </c>
      <c r="AP729" s="243">
        <f>IF($AL729="",0,'All Ticker P&amp;L'!E729)</f>
        <v>0</v>
      </c>
      <c r="AQ729" s="266">
        <f>IF($AL729="",0,'All Ticker P&amp;L'!J729*'All Ticker P&amp;L'!I729)</f>
        <v>0</v>
      </c>
      <c r="AR729" s="266">
        <f>IF($AL729="",0,'All Ticker P&amp;L'!L729)</f>
        <v>0</v>
      </c>
      <c r="AS729" s="267">
        <f>IF($AL729="",0,'All Ticker P&amp;L'!M729)</f>
        <v>0</v>
      </c>
      <c r="AT729" s="243" t="str">
        <f>IF($AL729="","",RANK(AR729,$AR$2:$AR$1001)+COUNTIF($AR$2:AR729,AR729)-1)</f>
        <v/>
      </c>
      <c r="AU729" s="243" t="str">
        <f>IF($AL729="","",RANK(AV729,$AV$2:$AV$1001)+COUNTIF($AV$2:AV729,AV729)-1)</f>
        <v/>
      </c>
      <c r="AV729" s="266">
        <f t="shared" si="54"/>
        <v>0</v>
      </c>
    </row>
    <row r="730" spans="26:48" ht="15" customHeight="1" x14ac:dyDescent="0.2">
      <c r="Z730" s="243" t="str">
        <f>Shares!A730</f>
        <v/>
      </c>
      <c r="AA730" s="243" t="str">
        <f>Shares!B730</f>
        <v/>
      </c>
      <c r="AB730" s="243" t="str">
        <f>Shares!C730</f>
        <v/>
      </c>
      <c r="AC730" s="243" t="str">
        <f>Shares!D730</f>
        <v/>
      </c>
      <c r="AD730" s="243">
        <f>IF($Z730="",0,Shares!E730)</f>
        <v>0</v>
      </c>
      <c r="AE730" s="266">
        <f>IF($Z730="",0,Shares!J730*Shares!I730)</f>
        <v>0</v>
      </c>
      <c r="AF730" s="267">
        <f t="shared" si="53"/>
        <v>0</v>
      </c>
      <c r="AG730" s="266">
        <f>IF($Z730="",0,Shares!L730)</f>
        <v>0</v>
      </c>
      <c r="AH730" s="267">
        <f>IF($Z730="",0,Shares!M730)</f>
        <v>0</v>
      </c>
      <c r="AI730" s="243" t="str">
        <f>IF($Z730="","",RANK(AE730,$AE$2:$AE$1001)+COUNTIF($AE$2:AE730,AE730)-1)</f>
        <v/>
      </c>
      <c r="AJ730" s="243" t="str">
        <f>IF($AD730&lt;0,COUNT($AJ$1:AJ729)+1,"")</f>
        <v/>
      </c>
      <c r="AL730" s="243" t="str">
        <f>'All Ticker P&amp;L'!A730</f>
        <v/>
      </c>
      <c r="AM730" s="243" t="str">
        <f>'All Ticker P&amp;L'!B730</f>
        <v/>
      </c>
      <c r="AN730" s="243" t="str">
        <f>'All Ticker P&amp;L'!C730</f>
        <v/>
      </c>
      <c r="AO730" s="243" t="str">
        <f>'All Ticker P&amp;L'!D730</f>
        <v/>
      </c>
      <c r="AP730" s="243">
        <f>IF($AL730="",0,'All Ticker P&amp;L'!E730)</f>
        <v>0</v>
      </c>
      <c r="AQ730" s="266">
        <f>IF($AL730="",0,'All Ticker P&amp;L'!J730*'All Ticker P&amp;L'!I730)</f>
        <v>0</v>
      </c>
      <c r="AR730" s="266">
        <f>IF($AL730="",0,'All Ticker P&amp;L'!L730)</f>
        <v>0</v>
      </c>
      <c r="AS730" s="267">
        <f>IF($AL730="",0,'All Ticker P&amp;L'!M730)</f>
        <v>0</v>
      </c>
      <c r="AT730" s="243" t="str">
        <f>IF($AL730="","",RANK(AR730,$AR$2:$AR$1001)+COUNTIF($AR$2:AR730,AR730)-1)</f>
        <v/>
      </c>
      <c r="AU730" s="243" t="str">
        <f>IF($AL730="","",RANK(AV730,$AV$2:$AV$1001)+COUNTIF($AV$2:AV730,AV730)-1)</f>
        <v/>
      </c>
      <c r="AV730" s="266">
        <f t="shared" si="54"/>
        <v>0</v>
      </c>
    </row>
    <row r="731" spans="26:48" ht="15" customHeight="1" x14ac:dyDescent="0.2">
      <c r="Z731" s="243" t="str">
        <f>Shares!A731</f>
        <v/>
      </c>
      <c r="AA731" s="243" t="str">
        <f>Shares!B731</f>
        <v/>
      </c>
      <c r="AB731" s="243" t="str">
        <f>Shares!C731</f>
        <v/>
      </c>
      <c r="AC731" s="243" t="str">
        <f>Shares!D731</f>
        <v/>
      </c>
      <c r="AD731" s="243">
        <f>IF($Z731="",0,Shares!E731)</f>
        <v>0</v>
      </c>
      <c r="AE731" s="266">
        <f>IF($Z731="",0,Shares!J731*Shares!I731)</f>
        <v>0</v>
      </c>
      <c r="AF731" s="267">
        <f t="shared" si="53"/>
        <v>0</v>
      </c>
      <c r="AG731" s="266">
        <f>IF($Z731="",0,Shares!L731)</f>
        <v>0</v>
      </c>
      <c r="AH731" s="267">
        <f>IF($Z731="",0,Shares!M731)</f>
        <v>0</v>
      </c>
      <c r="AI731" s="243" t="str">
        <f>IF($Z731="","",RANK(AE731,$AE$2:$AE$1001)+COUNTIF($AE$2:AE731,AE731)-1)</f>
        <v/>
      </c>
      <c r="AJ731" s="243" t="str">
        <f>IF($AD731&lt;0,COUNT($AJ$1:AJ730)+1,"")</f>
        <v/>
      </c>
      <c r="AL731" s="243" t="str">
        <f>'All Ticker P&amp;L'!A731</f>
        <v/>
      </c>
      <c r="AM731" s="243" t="str">
        <f>'All Ticker P&amp;L'!B731</f>
        <v/>
      </c>
      <c r="AN731" s="243" t="str">
        <f>'All Ticker P&amp;L'!C731</f>
        <v/>
      </c>
      <c r="AO731" s="243" t="str">
        <f>'All Ticker P&amp;L'!D731</f>
        <v/>
      </c>
      <c r="AP731" s="243">
        <f>IF($AL731="",0,'All Ticker P&amp;L'!E731)</f>
        <v>0</v>
      </c>
      <c r="AQ731" s="266">
        <f>IF($AL731="",0,'All Ticker P&amp;L'!J731*'All Ticker P&amp;L'!I731)</f>
        <v>0</v>
      </c>
      <c r="AR731" s="266">
        <f>IF($AL731="",0,'All Ticker P&amp;L'!L731)</f>
        <v>0</v>
      </c>
      <c r="AS731" s="267">
        <f>IF($AL731="",0,'All Ticker P&amp;L'!M731)</f>
        <v>0</v>
      </c>
      <c r="AT731" s="243" t="str">
        <f>IF($AL731="","",RANK(AR731,$AR$2:$AR$1001)+COUNTIF($AR$2:AR731,AR731)-1)</f>
        <v/>
      </c>
      <c r="AU731" s="243" t="str">
        <f>IF($AL731="","",RANK(AV731,$AV$2:$AV$1001)+COUNTIF($AV$2:AV731,AV731)-1)</f>
        <v/>
      </c>
      <c r="AV731" s="266">
        <f t="shared" si="54"/>
        <v>0</v>
      </c>
    </row>
    <row r="732" spans="26:48" ht="15" customHeight="1" x14ac:dyDescent="0.2">
      <c r="Z732" s="243" t="str">
        <f>Shares!A732</f>
        <v/>
      </c>
      <c r="AA732" s="243" t="str">
        <f>Shares!B732</f>
        <v/>
      </c>
      <c r="AB732" s="243" t="str">
        <f>Shares!C732</f>
        <v/>
      </c>
      <c r="AC732" s="243" t="str">
        <f>Shares!D732</f>
        <v/>
      </c>
      <c r="AD732" s="243">
        <f>IF($Z732="",0,Shares!E732)</f>
        <v>0</v>
      </c>
      <c r="AE732" s="266">
        <f>IF($Z732="",0,Shares!J732*Shares!I732)</f>
        <v>0</v>
      </c>
      <c r="AF732" s="267">
        <f t="shared" si="53"/>
        <v>0</v>
      </c>
      <c r="AG732" s="266">
        <f>IF($Z732="",0,Shares!L732)</f>
        <v>0</v>
      </c>
      <c r="AH732" s="267">
        <f>IF($Z732="",0,Shares!M732)</f>
        <v>0</v>
      </c>
      <c r="AI732" s="243" t="str">
        <f>IF($Z732="","",RANK(AE732,$AE$2:$AE$1001)+COUNTIF($AE$2:AE732,AE732)-1)</f>
        <v/>
      </c>
      <c r="AJ732" s="243" t="str">
        <f>IF($AD732&lt;0,COUNT($AJ$1:AJ731)+1,"")</f>
        <v/>
      </c>
      <c r="AL732" s="243" t="str">
        <f>'All Ticker P&amp;L'!A732</f>
        <v/>
      </c>
      <c r="AM732" s="243" t="str">
        <f>'All Ticker P&amp;L'!B732</f>
        <v/>
      </c>
      <c r="AN732" s="243" t="str">
        <f>'All Ticker P&amp;L'!C732</f>
        <v/>
      </c>
      <c r="AO732" s="243" t="str">
        <f>'All Ticker P&amp;L'!D732</f>
        <v/>
      </c>
      <c r="AP732" s="243">
        <f>IF($AL732="",0,'All Ticker P&amp;L'!E732)</f>
        <v>0</v>
      </c>
      <c r="AQ732" s="266">
        <f>IF($AL732="",0,'All Ticker P&amp;L'!J732*'All Ticker P&amp;L'!I732)</f>
        <v>0</v>
      </c>
      <c r="AR732" s="266">
        <f>IF($AL732="",0,'All Ticker P&amp;L'!L732)</f>
        <v>0</v>
      </c>
      <c r="AS732" s="267">
        <f>IF($AL732="",0,'All Ticker P&amp;L'!M732)</f>
        <v>0</v>
      </c>
      <c r="AT732" s="243" t="str">
        <f>IF($AL732="","",RANK(AR732,$AR$2:$AR$1001)+COUNTIF($AR$2:AR732,AR732)-1)</f>
        <v/>
      </c>
      <c r="AU732" s="243" t="str">
        <f>IF($AL732="","",RANK(AV732,$AV$2:$AV$1001)+COUNTIF($AV$2:AV732,AV732)-1)</f>
        <v/>
      </c>
      <c r="AV732" s="266">
        <f t="shared" si="54"/>
        <v>0</v>
      </c>
    </row>
    <row r="733" spans="26:48" ht="15" customHeight="1" x14ac:dyDescent="0.2">
      <c r="Z733" s="243" t="str">
        <f>Shares!A733</f>
        <v/>
      </c>
      <c r="AA733" s="243" t="str">
        <f>Shares!B733</f>
        <v/>
      </c>
      <c r="AB733" s="243" t="str">
        <f>Shares!C733</f>
        <v/>
      </c>
      <c r="AC733" s="243" t="str">
        <f>Shares!D733</f>
        <v/>
      </c>
      <c r="AD733" s="243">
        <f>IF($Z733="",0,Shares!E733)</f>
        <v>0</v>
      </c>
      <c r="AE733" s="266">
        <f>IF($Z733="",0,Shares!J733*Shares!I733)</f>
        <v>0</v>
      </c>
      <c r="AF733" s="267">
        <f t="shared" si="53"/>
        <v>0</v>
      </c>
      <c r="AG733" s="266">
        <f>IF($Z733="",0,Shares!L733)</f>
        <v>0</v>
      </c>
      <c r="AH733" s="267">
        <f>IF($Z733="",0,Shares!M733)</f>
        <v>0</v>
      </c>
      <c r="AI733" s="243" t="str">
        <f>IF($Z733="","",RANK(AE733,$AE$2:$AE$1001)+COUNTIF($AE$2:AE733,AE733)-1)</f>
        <v/>
      </c>
      <c r="AJ733" s="243" t="str">
        <f>IF($AD733&lt;0,COUNT($AJ$1:AJ732)+1,"")</f>
        <v/>
      </c>
      <c r="AL733" s="243" t="str">
        <f>'All Ticker P&amp;L'!A733</f>
        <v/>
      </c>
      <c r="AM733" s="243" t="str">
        <f>'All Ticker P&amp;L'!B733</f>
        <v/>
      </c>
      <c r="AN733" s="243" t="str">
        <f>'All Ticker P&amp;L'!C733</f>
        <v/>
      </c>
      <c r="AO733" s="243" t="str">
        <f>'All Ticker P&amp;L'!D733</f>
        <v/>
      </c>
      <c r="AP733" s="243">
        <f>IF($AL733="",0,'All Ticker P&amp;L'!E733)</f>
        <v>0</v>
      </c>
      <c r="AQ733" s="266">
        <f>IF($AL733="",0,'All Ticker P&amp;L'!J733*'All Ticker P&amp;L'!I733)</f>
        <v>0</v>
      </c>
      <c r="AR733" s="266">
        <f>IF($AL733="",0,'All Ticker P&amp;L'!L733)</f>
        <v>0</v>
      </c>
      <c r="AS733" s="267">
        <f>IF($AL733="",0,'All Ticker P&amp;L'!M733)</f>
        <v>0</v>
      </c>
      <c r="AT733" s="243" t="str">
        <f>IF($AL733="","",RANK(AR733,$AR$2:$AR$1001)+COUNTIF($AR$2:AR733,AR733)-1)</f>
        <v/>
      </c>
      <c r="AU733" s="243" t="str">
        <f>IF($AL733="","",RANK(AV733,$AV$2:$AV$1001)+COUNTIF($AV$2:AV733,AV733)-1)</f>
        <v/>
      </c>
      <c r="AV733" s="266">
        <f t="shared" si="54"/>
        <v>0</v>
      </c>
    </row>
    <row r="734" spans="26:48" ht="15" customHeight="1" x14ac:dyDescent="0.2">
      <c r="Z734" s="243" t="str">
        <f>Shares!A734</f>
        <v/>
      </c>
      <c r="AA734" s="243" t="str">
        <f>Shares!B734</f>
        <v/>
      </c>
      <c r="AB734" s="243" t="str">
        <f>Shares!C734</f>
        <v/>
      </c>
      <c r="AC734" s="243" t="str">
        <f>Shares!D734</f>
        <v/>
      </c>
      <c r="AD734" s="243">
        <f>IF($Z734="",0,Shares!E734)</f>
        <v>0</v>
      </c>
      <c r="AE734" s="266">
        <f>IF($Z734="",0,Shares!J734*Shares!I734)</f>
        <v>0</v>
      </c>
      <c r="AF734" s="267">
        <f t="shared" si="53"/>
        <v>0</v>
      </c>
      <c r="AG734" s="266">
        <f>IF($Z734="",0,Shares!L734)</f>
        <v>0</v>
      </c>
      <c r="AH734" s="267">
        <f>IF($Z734="",0,Shares!M734)</f>
        <v>0</v>
      </c>
      <c r="AI734" s="243" t="str">
        <f>IF($Z734="","",RANK(AE734,$AE$2:$AE$1001)+COUNTIF($AE$2:AE734,AE734)-1)</f>
        <v/>
      </c>
      <c r="AJ734" s="243" t="str">
        <f>IF($AD734&lt;0,COUNT($AJ$1:AJ733)+1,"")</f>
        <v/>
      </c>
      <c r="AL734" s="243" t="str">
        <f>'All Ticker P&amp;L'!A734</f>
        <v/>
      </c>
      <c r="AM734" s="243" t="str">
        <f>'All Ticker P&amp;L'!B734</f>
        <v/>
      </c>
      <c r="AN734" s="243" t="str">
        <f>'All Ticker P&amp;L'!C734</f>
        <v/>
      </c>
      <c r="AO734" s="243" t="str">
        <f>'All Ticker P&amp;L'!D734</f>
        <v/>
      </c>
      <c r="AP734" s="243">
        <f>IF($AL734="",0,'All Ticker P&amp;L'!E734)</f>
        <v>0</v>
      </c>
      <c r="AQ734" s="266">
        <f>IF($AL734="",0,'All Ticker P&amp;L'!J734*'All Ticker P&amp;L'!I734)</f>
        <v>0</v>
      </c>
      <c r="AR734" s="266">
        <f>IF($AL734="",0,'All Ticker P&amp;L'!L734)</f>
        <v>0</v>
      </c>
      <c r="AS734" s="267">
        <f>IF($AL734="",0,'All Ticker P&amp;L'!M734)</f>
        <v>0</v>
      </c>
      <c r="AT734" s="243" t="str">
        <f>IF($AL734="","",RANK(AR734,$AR$2:$AR$1001)+COUNTIF($AR$2:AR734,AR734)-1)</f>
        <v/>
      </c>
      <c r="AU734" s="243" t="str">
        <f>IF($AL734="","",RANK(AV734,$AV$2:$AV$1001)+COUNTIF($AV$2:AV734,AV734)-1)</f>
        <v/>
      </c>
      <c r="AV734" s="266">
        <f t="shared" si="54"/>
        <v>0</v>
      </c>
    </row>
    <row r="735" spans="26:48" ht="15" customHeight="1" x14ac:dyDescent="0.2">
      <c r="Z735" s="243" t="str">
        <f>Shares!A735</f>
        <v/>
      </c>
      <c r="AA735" s="243" t="str">
        <f>Shares!B735</f>
        <v/>
      </c>
      <c r="AB735" s="243" t="str">
        <f>Shares!C735</f>
        <v/>
      </c>
      <c r="AC735" s="243" t="str">
        <f>Shares!D735</f>
        <v/>
      </c>
      <c r="AD735" s="243">
        <f>IF($Z735="",0,Shares!E735)</f>
        <v>0</v>
      </c>
      <c r="AE735" s="266">
        <f>IF($Z735="",0,Shares!J735*Shares!I735)</f>
        <v>0</v>
      </c>
      <c r="AF735" s="267">
        <f t="shared" si="53"/>
        <v>0</v>
      </c>
      <c r="AG735" s="266">
        <f>IF($Z735="",0,Shares!L735)</f>
        <v>0</v>
      </c>
      <c r="AH735" s="267">
        <f>IF($Z735="",0,Shares!M735)</f>
        <v>0</v>
      </c>
      <c r="AI735" s="243" t="str">
        <f>IF($Z735="","",RANK(AE735,$AE$2:$AE$1001)+COUNTIF($AE$2:AE735,AE735)-1)</f>
        <v/>
      </c>
      <c r="AJ735" s="243" t="str">
        <f>IF($AD735&lt;0,COUNT($AJ$1:AJ734)+1,"")</f>
        <v/>
      </c>
      <c r="AL735" s="243" t="str">
        <f>'All Ticker P&amp;L'!A735</f>
        <v/>
      </c>
      <c r="AM735" s="243" t="str">
        <f>'All Ticker P&amp;L'!B735</f>
        <v/>
      </c>
      <c r="AN735" s="243" t="str">
        <f>'All Ticker P&amp;L'!C735</f>
        <v/>
      </c>
      <c r="AO735" s="243" t="str">
        <f>'All Ticker P&amp;L'!D735</f>
        <v/>
      </c>
      <c r="AP735" s="243">
        <f>IF($AL735="",0,'All Ticker P&amp;L'!E735)</f>
        <v>0</v>
      </c>
      <c r="AQ735" s="266">
        <f>IF($AL735="",0,'All Ticker P&amp;L'!J735*'All Ticker P&amp;L'!I735)</f>
        <v>0</v>
      </c>
      <c r="AR735" s="266">
        <f>IF($AL735="",0,'All Ticker P&amp;L'!L735)</f>
        <v>0</v>
      </c>
      <c r="AS735" s="267">
        <f>IF($AL735="",0,'All Ticker P&amp;L'!M735)</f>
        <v>0</v>
      </c>
      <c r="AT735" s="243" t="str">
        <f>IF($AL735="","",RANK(AR735,$AR$2:$AR$1001)+COUNTIF($AR$2:AR735,AR735)-1)</f>
        <v/>
      </c>
      <c r="AU735" s="243" t="str">
        <f>IF($AL735="","",RANK(AV735,$AV$2:$AV$1001)+COUNTIF($AV$2:AV735,AV735)-1)</f>
        <v/>
      </c>
      <c r="AV735" s="266">
        <f t="shared" si="54"/>
        <v>0</v>
      </c>
    </row>
    <row r="736" spans="26:48" ht="15" customHeight="1" x14ac:dyDescent="0.2">
      <c r="Z736" s="243" t="str">
        <f>Shares!A736</f>
        <v/>
      </c>
      <c r="AA736" s="243" t="str">
        <f>Shares!B736</f>
        <v/>
      </c>
      <c r="AB736" s="243" t="str">
        <f>Shares!C736</f>
        <v/>
      </c>
      <c r="AC736" s="243" t="str">
        <f>Shares!D736</f>
        <v/>
      </c>
      <c r="AD736" s="243">
        <f>IF($Z736="",0,Shares!E736)</f>
        <v>0</v>
      </c>
      <c r="AE736" s="266">
        <f>IF($Z736="",0,Shares!J736*Shares!I736)</f>
        <v>0</v>
      </c>
      <c r="AF736" s="267">
        <f t="shared" si="53"/>
        <v>0</v>
      </c>
      <c r="AG736" s="266">
        <f>IF($Z736="",0,Shares!L736)</f>
        <v>0</v>
      </c>
      <c r="AH736" s="267">
        <f>IF($Z736="",0,Shares!M736)</f>
        <v>0</v>
      </c>
      <c r="AI736" s="243" t="str">
        <f>IF($Z736="","",RANK(AE736,$AE$2:$AE$1001)+COUNTIF($AE$2:AE736,AE736)-1)</f>
        <v/>
      </c>
      <c r="AJ736" s="243" t="str">
        <f>IF($AD736&lt;0,COUNT($AJ$1:AJ735)+1,"")</f>
        <v/>
      </c>
      <c r="AL736" s="243" t="str">
        <f>'All Ticker P&amp;L'!A736</f>
        <v/>
      </c>
      <c r="AM736" s="243" t="str">
        <f>'All Ticker P&amp;L'!B736</f>
        <v/>
      </c>
      <c r="AN736" s="243" t="str">
        <f>'All Ticker P&amp;L'!C736</f>
        <v/>
      </c>
      <c r="AO736" s="243" t="str">
        <f>'All Ticker P&amp;L'!D736</f>
        <v/>
      </c>
      <c r="AP736" s="243">
        <f>IF($AL736="",0,'All Ticker P&amp;L'!E736)</f>
        <v>0</v>
      </c>
      <c r="AQ736" s="266">
        <f>IF($AL736="",0,'All Ticker P&amp;L'!J736*'All Ticker P&amp;L'!I736)</f>
        <v>0</v>
      </c>
      <c r="AR736" s="266">
        <f>IF($AL736="",0,'All Ticker P&amp;L'!L736)</f>
        <v>0</v>
      </c>
      <c r="AS736" s="267">
        <f>IF($AL736="",0,'All Ticker P&amp;L'!M736)</f>
        <v>0</v>
      </c>
      <c r="AT736" s="243" t="str">
        <f>IF($AL736="","",RANK(AR736,$AR$2:$AR$1001)+COUNTIF($AR$2:AR736,AR736)-1)</f>
        <v/>
      </c>
      <c r="AU736" s="243" t="str">
        <f>IF($AL736="","",RANK(AV736,$AV$2:$AV$1001)+COUNTIF($AV$2:AV736,AV736)-1)</f>
        <v/>
      </c>
      <c r="AV736" s="266">
        <f t="shared" si="54"/>
        <v>0</v>
      </c>
    </row>
    <row r="737" spans="26:48" ht="15" customHeight="1" x14ac:dyDescent="0.2">
      <c r="Z737" s="243" t="str">
        <f>Shares!A737</f>
        <v/>
      </c>
      <c r="AA737" s="243" t="str">
        <f>Shares!B737</f>
        <v/>
      </c>
      <c r="AB737" s="243" t="str">
        <f>Shares!C737</f>
        <v/>
      </c>
      <c r="AC737" s="243" t="str">
        <f>Shares!D737</f>
        <v/>
      </c>
      <c r="AD737" s="243">
        <f>IF($Z737="",0,Shares!E737)</f>
        <v>0</v>
      </c>
      <c r="AE737" s="266">
        <f>IF($Z737="",0,Shares!J737*Shares!I737)</f>
        <v>0</v>
      </c>
      <c r="AF737" s="267">
        <f t="shared" si="53"/>
        <v>0</v>
      </c>
      <c r="AG737" s="266">
        <f>IF($Z737="",0,Shares!L737)</f>
        <v>0</v>
      </c>
      <c r="AH737" s="267">
        <f>IF($Z737="",0,Shares!M737)</f>
        <v>0</v>
      </c>
      <c r="AI737" s="243" t="str">
        <f>IF($Z737="","",RANK(AE737,$AE$2:$AE$1001)+COUNTIF($AE$2:AE737,AE737)-1)</f>
        <v/>
      </c>
      <c r="AJ737" s="243" t="str">
        <f>IF($AD737&lt;0,COUNT($AJ$1:AJ736)+1,"")</f>
        <v/>
      </c>
      <c r="AL737" s="243" t="str">
        <f>'All Ticker P&amp;L'!A737</f>
        <v/>
      </c>
      <c r="AM737" s="243" t="str">
        <f>'All Ticker P&amp;L'!B737</f>
        <v/>
      </c>
      <c r="AN737" s="243" t="str">
        <f>'All Ticker P&amp;L'!C737</f>
        <v/>
      </c>
      <c r="AO737" s="243" t="str">
        <f>'All Ticker P&amp;L'!D737</f>
        <v/>
      </c>
      <c r="AP737" s="243">
        <f>IF($AL737="",0,'All Ticker P&amp;L'!E737)</f>
        <v>0</v>
      </c>
      <c r="AQ737" s="266">
        <f>IF($AL737="",0,'All Ticker P&amp;L'!J737*'All Ticker P&amp;L'!I737)</f>
        <v>0</v>
      </c>
      <c r="AR737" s="266">
        <f>IF($AL737="",0,'All Ticker P&amp;L'!L737)</f>
        <v>0</v>
      </c>
      <c r="AS737" s="267">
        <f>IF($AL737="",0,'All Ticker P&amp;L'!M737)</f>
        <v>0</v>
      </c>
      <c r="AT737" s="243" t="str">
        <f>IF($AL737="","",RANK(AR737,$AR$2:$AR$1001)+COUNTIF($AR$2:AR737,AR737)-1)</f>
        <v/>
      </c>
      <c r="AU737" s="243" t="str">
        <f>IF($AL737="","",RANK(AV737,$AV$2:$AV$1001)+COUNTIF($AV$2:AV737,AV737)-1)</f>
        <v/>
      </c>
      <c r="AV737" s="266">
        <f t="shared" si="54"/>
        <v>0</v>
      </c>
    </row>
    <row r="738" spans="26:48" ht="15" customHeight="1" x14ac:dyDescent="0.2">
      <c r="Z738" s="243" t="str">
        <f>Shares!A738</f>
        <v/>
      </c>
      <c r="AA738" s="243" t="str">
        <f>Shares!B738</f>
        <v/>
      </c>
      <c r="AB738" s="243" t="str">
        <f>Shares!C738</f>
        <v/>
      </c>
      <c r="AC738" s="243" t="str">
        <f>Shares!D738</f>
        <v/>
      </c>
      <c r="AD738" s="243">
        <f>IF($Z738="",0,Shares!E738)</f>
        <v>0</v>
      </c>
      <c r="AE738" s="266">
        <f>IF($Z738="",0,Shares!J738*Shares!I738)</f>
        <v>0</v>
      </c>
      <c r="AF738" s="267">
        <f t="shared" si="53"/>
        <v>0</v>
      </c>
      <c r="AG738" s="266">
        <f>IF($Z738="",0,Shares!L738)</f>
        <v>0</v>
      </c>
      <c r="AH738" s="267">
        <f>IF($Z738="",0,Shares!M738)</f>
        <v>0</v>
      </c>
      <c r="AI738" s="243" t="str">
        <f>IF($Z738="","",RANK(AE738,$AE$2:$AE$1001)+COUNTIF($AE$2:AE738,AE738)-1)</f>
        <v/>
      </c>
      <c r="AJ738" s="243" t="str">
        <f>IF($AD738&lt;0,COUNT($AJ$1:AJ737)+1,"")</f>
        <v/>
      </c>
      <c r="AL738" s="243" t="str">
        <f>'All Ticker P&amp;L'!A738</f>
        <v/>
      </c>
      <c r="AM738" s="243" t="str">
        <f>'All Ticker P&amp;L'!B738</f>
        <v/>
      </c>
      <c r="AN738" s="243" t="str">
        <f>'All Ticker P&amp;L'!C738</f>
        <v/>
      </c>
      <c r="AO738" s="243" t="str">
        <f>'All Ticker P&amp;L'!D738</f>
        <v/>
      </c>
      <c r="AP738" s="243">
        <f>IF($AL738="",0,'All Ticker P&amp;L'!E738)</f>
        <v>0</v>
      </c>
      <c r="AQ738" s="266">
        <f>IF($AL738="",0,'All Ticker P&amp;L'!J738*'All Ticker P&amp;L'!I738)</f>
        <v>0</v>
      </c>
      <c r="AR738" s="266">
        <f>IF($AL738="",0,'All Ticker P&amp;L'!L738)</f>
        <v>0</v>
      </c>
      <c r="AS738" s="267">
        <f>IF($AL738="",0,'All Ticker P&amp;L'!M738)</f>
        <v>0</v>
      </c>
      <c r="AT738" s="243" t="str">
        <f>IF($AL738="","",RANK(AR738,$AR$2:$AR$1001)+COUNTIF($AR$2:AR738,AR738)-1)</f>
        <v/>
      </c>
      <c r="AU738" s="243" t="str">
        <f>IF($AL738="","",RANK(AV738,$AV$2:$AV$1001)+COUNTIF($AV$2:AV738,AV738)-1)</f>
        <v/>
      </c>
      <c r="AV738" s="266">
        <f t="shared" si="54"/>
        <v>0</v>
      </c>
    </row>
    <row r="739" spans="26:48" ht="15" customHeight="1" x14ac:dyDescent="0.2">
      <c r="Z739" s="243" t="str">
        <f>Shares!A739</f>
        <v/>
      </c>
      <c r="AA739" s="243" t="str">
        <f>Shares!B739</f>
        <v/>
      </c>
      <c r="AB739" s="243" t="str">
        <f>Shares!C739</f>
        <v/>
      </c>
      <c r="AC739" s="243" t="str">
        <f>Shares!D739</f>
        <v/>
      </c>
      <c r="AD739" s="243">
        <f>IF($Z739="",0,Shares!E739)</f>
        <v>0</v>
      </c>
      <c r="AE739" s="266">
        <f>IF($Z739="",0,Shares!J739*Shares!I739)</f>
        <v>0</v>
      </c>
      <c r="AF739" s="267">
        <f t="shared" si="53"/>
        <v>0</v>
      </c>
      <c r="AG739" s="266">
        <f>IF($Z739="",0,Shares!L739)</f>
        <v>0</v>
      </c>
      <c r="AH739" s="267">
        <f>IF($Z739="",0,Shares!M739)</f>
        <v>0</v>
      </c>
      <c r="AI739" s="243" t="str">
        <f>IF($Z739="","",RANK(AE739,$AE$2:$AE$1001)+COUNTIF($AE$2:AE739,AE739)-1)</f>
        <v/>
      </c>
      <c r="AJ739" s="243" t="str">
        <f>IF($AD739&lt;0,COUNT($AJ$1:AJ738)+1,"")</f>
        <v/>
      </c>
      <c r="AL739" s="243" t="str">
        <f>'All Ticker P&amp;L'!A739</f>
        <v/>
      </c>
      <c r="AM739" s="243" t="str">
        <f>'All Ticker P&amp;L'!B739</f>
        <v/>
      </c>
      <c r="AN739" s="243" t="str">
        <f>'All Ticker P&amp;L'!C739</f>
        <v/>
      </c>
      <c r="AO739" s="243" t="str">
        <f>'All Ticker P&amp;L'!D739</f>
        <v/>
      </c>
      <c r="AP739" s="243">
        <f>IF($AL739="",0,'All Ticker P&amp;L'!E739)</f>
        <v>0</v>
      </c>
      <c r="AQ739" s="266">
        <f>IF($AL739="",0,'All Ticker P&amp;L'!J739*'All Ticker P&amp;L'!I739)</f>
        <v>0</v>
      </c>
      <c r="AR739" s="266">
        <f>IF($AL739="",0,'All Ticker P&amp;L'!L739)</f>
        <v>0</v>
      </c>
      <c r="AS739" s="267">
        <f>IF($AL739="",0,'All Ticker P&amp;L'!M739)</f>
        <v>0</v>
      </c>
      <c r="AT739" s="243" t="str">
        <f>IF($AL739="","",RANK(AR739,$AR$2:$AR$1001)+COUNTIF($AR$2:AR739,AR739)-1)</f>
        <v/>
      </c>
      <c r="AU739" s="243" t="str">
        <f>IF($AL739="","",RANK(AV739,$AV$2:$AV$1001)+COUNTIF($AV$2:AV739,AV739)-1)</f>
        <v/>
      </c>
      <c r="AV739" s="266">
        <f t="shared" si="54"/>
        <v>0</v>
      </c>
    </row>
    <row r="740" spans="26:48" ht="15" customHeight="1" x14ac:dyDescent="0.2">
      <c r="Z740" s="243" t="str">
        <f>Shares!A740</f>
        <v/>
      </c>
      <c r="AA740" s="243" t="str">
        <f>Shares!B740</f>
        <v/>
      </c>
      <c r="AB740" s="243" t="str">
        <f>Shares!C740</f>
        <v/>
      </c>
      <c r="AC740" s="243" t="str">
        <f>Shares!D740</f>
        <v/>
      </c>
      <c r="AD740" s="243">
        <f>IF($Z740="",0,Shares!E740)</f>
        <v>0</v>
      </c>
      <c r="AE740" s="266">
        <f>IF($Z740="",0,Shares!J740*Shares!I740)</f>
        <v>0</v>
      </c>
      <c r="AF740" s="267">
        <f t="shared" si="53"/>
        <v>0</v>
      </c>
      <c r="AG740" s="266">
        <f>IF($Z740="",0,Shares!L740)</f>
        <v>0</v>
      </c>
      <c r="AH740" s="267">
        <f>IF($Z740="",0,Shares!M740)</f>
        <v>0</v>
      </c>
      <c r="AI740" s="243" t="str">
        <f>IF($Z740="","",RANK(AE740,$AE$2:$AE$1001)+COUNTIF($AE$2:AE740,AE740)-1)</f>
        <v/>
      </c>
      <c r="AJ740" s="243" t="str">
        <f>IF($AD740&lt;0,COUNT($AJ$1:AJ739)+1,"")</f>
        <v/>
      </c>
      <c r="AL740" s="243" t="str">
        <f>'All Ticker P&amp;L'!A740</f>
        <v/>
      </c>
      <c r="AM740" s="243" t="str">
        <f>'All Ticker P&amp;L'!B740</f>
        <v/>
      </c>
      <c r="AN740" s="243" t="str">
        <f>'All Ticker P&amp;L'!C740</f>
        <v/>
      </c>
      <c r="AO740" s="243" t="str">
        <f>'All Ticker P&amp;L'!D740</f>
        <v/>
      </c>
      <c r="AP740" s="243">
        <f>IF($AL740="",0,'All Ticker P&amp;L'!E740)</f>
        <v>0</v>
      </c>
      <c r="AQ740" s="266">
        <f>IF($AL740="",0,'All Ticker P&amp;L'!J740*'All Ticker P&amp;L'!I740)</f>
        <v>0</v>
      </c>
      <c r="AR740" s="266">
        <f>IF($AL740="",0,'All Ticker P&amp;L'!L740)</f>
        <v>0</v>
      </c>
      <c r="AS740" s="267">
        <f>IF($AL740="",0,'All Ticker P&amp;L'!M740)</f>
        <v>0</v>
      </c>
      <c r="AT740" s="243" t="str">
        <f>IF($AL740="","",RANK(AR740,$AR$2:$AR$1001)+COUNTIF($AR$2:AR740,AR740)-1)</f>
        <v/>
      </c>
      <c r="AU740" s="243" t="str">
        <f>IF($AL740="","",RANK(AV740,$AV$2:$AV$1001)+COUNTIF($AV$2:AV740,AV740)-1)</f>
        <v/>
      </c>
      <c r="AV740" s="266">
        <f t="shared" si="54"/>
        <v>0</v>
      </c>
    </row>
    <row r="741" spans="26:48" ht="15" customHeight="1" x14ac:dyDescent="0.2">
      <c r="Z741" s="243" t="str">
        <f>Shares!A741</f>
        <v/>
      </c>
      <c r="AA741" s="243" t="str">
        <f>Shares!B741</f>
        <v/>
      </c>
      <c r="AB741" s="243" t="str">
        <f>Shares!C741</f>
        <v/>
      </c>
      <c r="AC741" s="243" t="str">
        <f>Shares!D741</f>
        <v/>
      </c>
      <c r="AD741" s="243">
        <f>IF($Z741="",0,Shares!E741)</f>
        <v>0</v>
      </c>
      <c r="AE741" s="266">
        <f>IF($Z741="",0,Shares!J741*Shares!I741)</f>
        <v>0</v>
      </c>
      <c r="AF741" s="267">
        <f t="shared" si="53"/>
        <v>0</v>
      </c>
      <c r="AG741" s="266">
        <f>IF($Z741="",0,Shares!L741)</f>
        <v>0</v>
      </c>
      <c r="AH741" s="267">
        <f>IF($Z741="",0,Shares!M741)</f>
        <v>0</v>
      </c>
      <c r="AI741" s="243" t="str">
        <f>IF($Z741="","",RANK(AE741,$AE$2:$AE$1001)+COUNTIF($AE$2:AE741,AE741)-1)</f>
        <v/>
      </c>
      <c r="AJ741" s="243" t="str">
        <f>IF($AD741&lt;0,COUNT($AJ$1:AJ740)+1,"")</f>
        <v/>
      </c>
      <c r="AL741" s="243" t="str">
        <f>'All Ticker P&amp;L'!A741</f>
        <v/>
      </c>
      <c r="AM741" s="243" t="str">
        <f>'All Ticker P&amp;L'!B741</f>
        <v/>
      </c>
      <c r="AN741" s="243" t="str">
        <f>'All Ticker P&amp;L'!C741</f>
        <v/>
      </c>
      <c r="AO741" s="243" t="str">
        <f>'All Ticker P&amp;L'!D741</f>
        <v/>
      </c>
      <c r="AP741" s="243">
        <f>IF($AL741="",0,'All Ticker P&amp;L'!E741)</f>
        <v>0</v>
      </c>
      <c r="AQ741" s="266">
        <f>IF($AL741="",0,'All Ticker P&amp;L'!J741*'All Ticker P&amp;L'!I741)</f>
        <v>0</v>
      </c>
      <c r="AR741" s="266">
        <f>IF($AL741="",0,'All Ticker P&amp;L'!L741)</f>
        <v>0</v>
      </c>
      <c r="AS741" s="267">
        <f>IF($AL741="",0,'All Ticker P&amp;L'!M741)</f>
        <v>0</v>
      </c>
      <c r="AT741" s="243" t="str">
        <f>IF($AL741="","",RANK(AR741,$AR$2:$AR$1001)+COUNTIF($AR$2:AR741,AR741)-1)</f>
        <v/>
      </c>
      <c r="AU741" s="243" t="str">
        <f>IF($AL741="","",RANK(AV741,$AV$2:$AV$1001)+COUNTIF($AV$2:AV741,AV741)-1)</f>
        <v/>
      </c>
      <c r="AV741" s="266">
        <f t="shared" si="54"/>
        <v>0</v>
      </c>
    </row>
    <row r="742" spans="26:48" ht="15" customHeight="1" x14ac:dyDescent="0.2">
      <c r="Z742" s="243" t="str">
        <f>Shares!A742</f>
        <v/>
      </c>
      <c r="AA742" s="243" t="str">
        <f>Shares!B742</f>
        <v/>
      </c>
      <c r="AB742" s="243" t="str">
        <f>Shares!C742</f>
        <v/>
      </c>
      <c r="AC742" s="243" t="str">
        <f>Shares!D742</f>
        <v/>
      </c>
      <c r="AD742" s="243">
        <f>IF($Z742="",0,Shares!E742)</f>
        <v>0</v>
      </c>
      <c r="AE742" s="266">
        <f>IF($Z742="",0,Shares!J742*Shares!I742)</f>
        <v>0</v>
      </c>
      <c r="AF742" s="267">
        <f t="shared" si="53"/>
        <v>0</v>
      </c>
      <c r="AG742" s="266">
        <f>IF($Z742="",0,Shares!L742)</f>
        <v>0</v>
      </c>
      <c r="AH742" s="267">
        <f>IF($Z742="",0,Shares!M742)</f>
        <v>0</v>
      </c>
      <c r="AI742" s="243" t="str">
        <f>IF($Z742="","",RANK(AE742,$AE$2:$AE$1001)+COUNTIF($AE$2:AE742,AE742)-1)</f>
        <v/>
      </c>
      <c r="AJ742" s="243" t="str">
        <f>IF($AD742&lt;0,COUNT($AJ$1:AJ741)+1,"")</f>
        <v/>
      </c>
      <c r="AL742" s="243" t="str">
        <f>'All Ticker P&amp;L'!A742</f>
        <v/>
      </c>
      <c r="AM742" s="243" t="str">
        <f>'All Ticker P&amp;L'!B742</f>
        <v/>
      </c>
      <c r="AN742" s="243" t="str">
        <f>'All Ticker P&amp;L'!C742</f>
        <v/>
      </c>
      <c r="AO742" s="243" t="str">
        <f>'All Ticker P&amp;L'!D742</f>
        <v/>
      </c>
      <c r="AP742" s="243">
        <f>IF($AL742="",0,'All Ticker P&amp;L'!E742)</f>
        <v>0</v>
      </c>
      <c r="AQ742" s="266">
        <f>IF($AL742="",0,'All Ticker P&amp;L'!J742*'All Ticker P&amp;L'!I742)</f>
        <v>0</v>
      </c>
      <c r="AR742" s="266">
        <f>IF($AL742="",0,'All Ticker P&amp;L'!L742)</f>
        <v>0</v>
      </c>
      <c r="AS742" s="267">
        <f>IF($AL742="",0,'All Ticker P&amp;L'!M742)</f>
        <v>0</v>
      </c>
      <c r="AT742" s="243" t="str">
        <f>IF($AL742="","",RANK(AR742,$AR$2:$AR$1001)+COUNTIF($AR$2:AR742,AR742)-1)</f>
        <v/>
      </c>
      <c r="AU742" s="243" t="str">
        <f>IF($AL742="","",RANK(AV742,$AV$2:$AV$1001)+COUNTIF($AV$2:AV742,AV742)-1)</f>
        <v/>
      </c>
      <c r="AV742" s="266">
        <f t="shared" si="54"/>
        <v>0</v>
      </c>
    </row>
    <row r="743" spans="26:48" ht="15" customHeight="1" x14ac:dyDescent="0.2">
      <c r="Z743" s="243" t="str">
        <f>Shares!A743</f>
        <v/>
      </c>
      <c r="AA743" s="243" t="str">
        <f>Shares!B743</f>
        <v/>
      </c>
      <c r="AB743" s="243" t="str">
        <f>Shares!C743</f>
        <v/>
      </c>
      <c r="AC743" s="243" t="str">
        <f>Shares!D743</f>
        <v/>
      </c>
      <c r="AD743" s="243">
        <f>IF($Z743="",0,Shares!E743)</f>
        <v>0</v>
      </c>
      <c r="AE743" s="266">
        <f>IF($Z743="",0,Shares!J743*Shares!I743)</f>
        <v>0</v>
      </c>
      <c r="AF743" s="267">
        <f t="shared" si="53"/>
        <v>0</v>
      </c>
      <c r="AG743" s="266">
        <f>IF($Z743="",0,Shares!L743)</f>
        <v>0</v>
      </c>
      <c r="AH743" s="267">
        <f>IF($Z743="",0,Shares!M743)</f>
        <v>0</v>
      </c>
      <c r="AI743" s="243" t="str">
        <f>IF($Z743="","",RANK(AE743,$AE$2:$AE$1001)+COUNTIF($AE$2:AE743,AE743)-1)</f>
        <v/>
      </c>
      <c r="AJ743" s="243" t="str">
        <f>IF($AD743&lt;0,COUNT($AJ$1:AJ742)+1,"")</f>
        <v/>
      </c>
      <c r="AL743" s="243" t="str">
        <f>'All Ticker P&amp;L'!A743</f>
        <v/>
      </c>
      <c r="AM743" s="243" t="str">
        <f>'All Ticker P&amp;L'!B743</f>
        <v/>
      </c>
      <c r="AN743" s="243" t="str">
        <f>'All Ticker P&amp;L'!C743</f>
        <v/>
      </c>
      <c r="AO743" s="243" t="str">
        <f>'All Ticker P&amp;L'!D743</f>
        <v/>
      </c>
      <c r="AP743" s="243">
        <f>IF($AL743="",0,'All Ticker P&amp;L'!E743)</f>
        <v>0</v>
      </c>
      <c r="AQ743" s="266">
        <f>IF($AL743="",0,'All Ticker P&amp;L'!J743*'All Ticker P&amp;L'!I743)</f>
        <v>0</v>
      </c>
      <c r="AR743" s="266">
        <f>IF($AL743="",0,'All Ticker P&amp;L'!L743)</f>
        <v>0</v>
      </c>
      <c r="AS743" s="267">
        <f>IF($AL743="",0,'All Ticker P&amp;L'!M743)</f>
        <v>0</v>
      </c>
      <c r="AT743" s="243" t="str">
        <f>IF($AL743="","",RANK(AR743,$AR$2:$AR$1001)+COUNTIF($AR$2:AR743,AR743)-1)</f>
        <v/>
      </c>
      <c r="AU743" s="243" t="str">
        <f>IF($AL743="","",RANK(AV743,$AV$2:$AV$1001)+COUNTIF($AV$2:AV743,AV743)-1)</f>
        <v/>
      </c>
      <c r="AV743" s="266">
        <f t="shared" si="54"/>
        <v>0</v>
      </c>
    </row>
    <row r="744" spans="26:48" ht="15" customHeight="1" x14ac:dyDescent="0.2">
      <c r="Z744" s="243" t="str">
        <f>Shares!A744</f>
        <v/>
      </c>
      <c r="AA744" s="243" t="str">
        <f>Shares!B744</f>
        <v/>
      </c>
      <c r="AB744" s="243" t="str">
        <f>Shares!C744</f>
        <v/>
      </c>
      <c r="AC744" s="243" t="str">
        <f>Shares!D744</f>
        <v/>
      </c>
      <c r="AD744" s="243">
        <f>IF($Z744="",0,Shares!E744)</f>
        <v>0</v>
      </c>
      <c r="AE744" s="266">
        <f>IF($Z744="",0,Shares!J744*Shares!I744)</f>
        <v>0</v>
      </c>
      <c r="AF744" s="267">
        <f t="shared" si="53"/>
        <v>0</v>
      </c>
      <c r="AG744" s="266">
        <f>IF($Z744="",0,Shares!L744)</f>
        <v>0</v>
      </c>
      <c r="AH744" s="267">
        <f>IF($Z744="",0,Shares!M744)</f>
        <v>0</v>
      </c>
      <c r="AI744" s="243" t="str">
        <f>IF($Z744="","",RANK(AE744,$AE$2:$AE$1001)+COUNTIF($AE$2:AE744,AE744)-1)</f>
        <v/>
      </c>
      <c r="AJ744" s="243" t="str">
        <f>IF($AD744&lt;0,COUNT($AJ$1:AJ743)+1,"")</f>
        <v/>
      </c>
      <c r="AL744" s="243" t="str">
        <f>'All Ticker P&amp;L'!A744</f>
        <v/>
      </c>
      <c r="AM744" s="243" t="str">
        <f>'All Ticker P&amp;L'!B744</f>
        <v/>
      </c>
      <c r="AN744" s="243" t="str">
        <f>'All Ticker P&amp;L'!C744</f>
        <v/>
      </c>
      <c r="AO744" s="243" t="str">
        <f>'All Ticker P&amp;L'!D744</f>
        <v/>
      </c>
      <c r="AP744" s="243">
        <f>IF($AL744="",0,'All Ticker P&amp;L'!E744)</f>
        <v>0</v>
      </c>
      <c r="AQ744" s="266">
        <f>IF($AL744="",0,'All Ticker P&amp;L'!J744*'All Ticker P&amp;L'!I744)</f>
        <v>0</v>
      </c>
      <c r="AR744" s="266">
        <f>IF($AL744="",0,'All Ticker P&amp;L'!L744)</f>
        <v>0</v>
      </c>
      <c r="AS744" s="267">
        <f>IF($AL744="",0,'All Ticker P&amp;L'!M744)</f>
        <v>0</v>
      </c>
      <c r="AT744" s="243" t="str">
        <f>IF($AL744="","",RANK(AR744,$AR$2:$AR$1001)+COUNTIF($AR$2:AR744,AR744)-1)</f>
        <v/>
      </c>
      <c r="AU744" s="243" t="str">
        <f>IF($AL744="","",RANK(AV744,$AV$2:$AV$1001)+COUNTIF($AV$2:AV744,AV744)-1)</f>
        <v/>
      </c>
      <c r="AV744" s="266">
        <f t="shared" si="54"/>
        <v>0</v>
      </c>
    </row>
    <row r="745" spans="26:48" ht="15" customHeight="1" x14ac:dyDescent="0.2">
      <c r="Z745" s="243" t="str">
        <f>Shares!A745</f>
        <v/>
      </c>
      <c r="AA745" s="243" t="str">
        <f>Shares!B745</f>
        <v/>
      </c>
      <c r="AB745" s="243" t="str">
        <f>Shares!C745</f>
        <v/>
      </c>
      <c r="AC745" s="243" t="str">
        <f>Shares!D745</f>
        <v/>
      </c>
      <c r="AD745" s="243">
        <f>IF($Z745="",0,Shares!E745)</f>
        <v>0</v>
      </c>
      <c r="AE745" s="266">
        <f>IF($Z745="",0,Shares!J745*Shares!I745)</f>
        <v>0</v>
      </c>
      <c r="AF745" s="267">
        <f t="shared" si="53"/>
        <v>0</v>
      </c>
      <c r="AG745" s="266">
        <f>IF($Z745="",0,Shares!L745)</f>
        <v>0</v>
      </c>
      <c r="AH745" s="267">
        <f>IF($Z745="",0,Shares!M745)</f>
        <v>0</v>
      </c>
      <c r="AI745" s="243" t="str">
        <f>IF($Z745="","",RANK(AE745,$AE$2:$AE$1001)+COUNTIF($AE$2:AE745,AE745)-1)</f>
        <v/>
      </c>
      <c r="AJ745" s="243" t="str">
        <f>IF($AD745&lt;0,COUNT($AJ$1:AJ744)+1,"")</f>
        <v/>
      </c>
      <c r="AL745" s="243" t="str">
        <f>'All Ticker P&amp;L'!A745</f>
        <v/>
      </c>
      <c r="AM745" s="243" t="str">
        <f>'All Ticker P&amp;L'!B745</f>
        <v/>
      </c>
      <c r="AN745" s="243" t="str">
        <f>'All Ticker P&amp;L'!C745</f>
        <v/>
      </c>
      <c r="AO745" s="243" t="str">
        <f>'All Ticker P&amp;L'!D745</f>
        <v/>
      </c>
      <c r="AP745" s="243">
        <f>IF($AL745="",0,'All Ticker P&amp;L'!E745)</f>
        <v>0</v>
      </c>
      <c r="AQ745" s="266">
        <f>IF($AL745="",0,'All Ticker P&amp;L'!J745*'All Ticker P&amp;L'!I745)</f>
        <v>0</v>
      </c>
      <c r="AR745" s="266">
        <f>IF($AL745="",0,'All Ticker P&amp;L'!L745)</f>
        <v>0</v>
      </c>
      <c r="AS745" s="267">
        <f>IF($AL745="",0,'All Ticker P&amp;L'!M745)</f>
        <v>0</v>
      </c>
      <c r="AT745" s="243" t="str">
        <f>IF($AL745="","",RANK(AR745,$AR$2:$AR$1001)+COUNTIF($AR$2:AR745,AR745)-1)</f>
        <v/>
      </c>
      <c r="AU745" s="243" t="str">
        <f>IF($AL745="","",RANK(AV745,$AV$2:$AV$1001)+COUNTIF($AV$2:AV745,AV745)-1)</f>
        <v/>
      </c>
      <c r="AV745" s="266">
        <f t="shared" si="54"/>
        <v>0</v>
      </c>
    </row>
    <row r="746" spans="26:48" ht="15" customHeight="1" x14ac:dyDescent="0.2">
      <c r="Z746" s="243" t="str">
        <f>Shares!A746</f>
        <v/>
      </c>
      <c r="AA746" s="243" t="str">
        <f>Shares!B746</f>
        <v/>
      </c>
      <c r="AB746" s="243" t="str">
        <f>Shares!C746</f>
        <v/>
      </c>
      <c r="AC746" s="243" t="str">
        <f>Shares!D746</f>
        <v/>
      </c>
      <c r="AD746" s="243">
        <f>IF($Z746="",0,Shares!E746)</f>
        <v>0</v>
      </c>
      <c r="AE746" s="266">
        <f>IF($Z746="",0,Shares!J746*Shares!I746)</f>
        <v>0</v>
      </c>
      <c r="AF746" s="267">
        <f t="shared" si="53"/>
        <v>0</v>
      </c>
      <c r="AG746" s="266">
        <f>IF($Z746="",0,Shares!L746)</f>
        <v>0</v>
      </c>
      <c r="AH746" s="267">
        <f>IF($Z746="",0,Shares!M746)</f>
        <v>0</v>
      </c>
      <c r="AI746" s="243" t="str">
        <f>IF($Z746="","",RANK(AE746,$AE$2:$AE$1001)+COUNTIF($AE$2:AE746,AE746)-1)</f>
        <v/>
      </c>
      <c r="AJ746" s="243" t="str">
        <f>IF($AD746&lt;0,COUNT($AJ$1:AJ745)+1,"")</f>
        <v/>
      </c>
      <c r="AL746" s="243" t="str">
        <f>'All Ticker P&amp;L'!A746</f>
        <v/>
      </c>
      <c r="AM746" s="243" t="str">
        <f>'All Ticker P&amp;L'!B746</f>
        <v/>
      </c>
      <c r="AN746" s="243" t="str">
        <f>'All Ticker P&amp;L'!C746</f>
        <v/>
      </c>
      <c r="AO746" s="243" t="str">
        <f>'All Ticker P&amp;L'!D746</f>
        <v/>
      </c>
      <c r="AP746" s="243">
        <f>IF($AL746="",0,'All Ticker P&amp;L'!E746)</f>
        <v>0</v>
      </c>
      <c r="AQ746" s="266">
        <f>IF($AL746="",0,'All Ticker P&amp;L'!J746*'All Ticker P&amp;L'!I746)</f>
        <v>0</v>
      </c>
      <c r="AR746" s="266">
        <f>IF($AL746="",0,'All Ticker P&amp;L'!L746)</f>
        <v>0</v>
      </c>
      <c r="AS746" s="267">
        <f>IF($AL746="",0,'All Ticker P&amp;L'!M746)</f>
        <v>0</v>
      </c>
      <c r="AT746" s="243" t="str">
        <f>IF($AL746="","",RANK(AR746,$AR$2:$AR$1001)+COUNTIF($AR$2:AR746,AR746)-1)</f>
        <v/>
      </c>
      <c r="AU746" s="243" t="str">
        <f>IF($AL746="","",RANK(AV746,$AV$2:$AV$1001)+COUNTIF($AV$2:AV746,AV746)-1)</f>
        <v/>
      </c>
      <c r="AV746" s="266">
        <f t="shared" si="54"/>
        <v>0</v>
      </c>
    </row>
    <row r="747" spans="26:48" ht="15" customHeight="1" x14ac:dyDescent="0.2">
      <c r="Z747" s="243" t="str">
        <f>Shares!A747</f>
        <v/>
      </c>
      <c r="AA747" s="243" t="str">
        <f>Shares!B747</f>
        <v/>
      </c>
      <c r="AB747" s="243" t="str">
        <f>Shares!C747</f>
        <v/>
      </c>
      <c r="AC747" s="243" t="str">
        <f>Shares!D747</f>
        <v/>
      </c>
      <c r="AD747" s="243">
        <f>IF($Z747="",0,Shares!E747)</f>
        <v>0</v>
      </c>
      <c r="AE747" s="266">
        <f>IF($Z747="",0,Shares!J747*Shares!I747)</f>
        <v>0</v>
      </c>
      <c r="AF747" s="267">
        <f t="shared" si="53"/>
        <v>0</v>
      </c>
      <c r="AG747" s="266">
        <f>IF($Z747="",0,Shares!L747)</f>
        <v>0</v>
      </c>
      <c r="AH747" s="267">
        <f>IF($Z747="",0,Shares!M747)</f>
        <v>0</v>
      </c>
      <c r="AI747" s="243" t="str">
        <f>IF($Z747="","",RANK(AE747,$AE$2:$AE$1001)+COUNTIF($AE$2:AE747,AE747)-1)</f>
        <v/>
      </c>
      <c r="AJ747" s="243" t="str">
        <f>IF($AD747&lt;0,COUNT($AJ$1:AJ746)+1,"")</f>
        <v/>
      </c>
      <c r="AL747" s="243" t="str">
        <f>'All Ticker P&amp;L'!A747</f>
        <v/>
      </c>
      <c r="AM747" s="243" t="str">
        <f>'All Ticker P&amp;L'!B747</f>
        <v/>
      </c>
      <c r="AN747" s="243" t="str">
        <f>'All Ticker P&amp;L'!C747</f>
        <v/>
      </c>
      <c r="AO747" s="243" t="str">
        <f>'All Ticker P&amp;L'!D747</f>
        <v/>
      </c>
      <c r="AP747" s="243">
        <f>IF($AL747="",0,'All Ticker P&amp;L'!E747)</f>
        <v>0</v>
      </c>
      <c r="AQ747" s="266">
        <f>IF($AL747="",0,'All Ticker P&amp;L'!J747*'All Ticker P&amp;L'!I747)</f>
        <v>0</v>
      </c>
      <c r="AR747" s="266">
        <f>IF($AL747="",0,'All Ticker P&amp;L'!L747)</f>
        <v>0</v>
      </c>
      <c r="AS747" s="267">
        <f>IF($AL747="",0,'All Ticker P&amp;L'!M747)</f>
        <v>0</v>
      </c>
      <c r="AT747" s="243" t="str">
        <f>IF($AL747="","",RANK(AR747,$AR$2:$AR$1001)+COUNTIF($AR$2:AR747,AR747)-1)</f>
        <v/>
      </c>
      <c r="AU747" s="243" t="str">
        <f>IF($AL747="","",RANK(AV747,$AV$2:$AV$1001)+COUNTIF($AV$2:AV747,AV747)-1)</f>
        <v/>
      </c>
      <c r="AV747" s="266">
        <f t="shared" si="54"/>
        <v>0</v>
      </c>
    </row>
    <row r="748" spans="26:48" ht="15" customHeight="1" x14ac:dyDescent="0.2">
      <c r="Z748" s="243" t="str">
        <f>Shares!A748</f>
        <v/>
      </c>
      <c r="AA748" s="243" t="str">
        <f>Shares!B748</f>
        <v/>
      </c>
      <c r="AB748" s="243" t="str">
        <f>Shares!C748</f>
        <v/>
      </c>
      <c r="AC748" s="243" t="str">
        <f>Shares!D748</f>
        <v/>
      </c>
      <c r="AD748" s="243">
        <f>IF($Z748="",0,Shares!E748)</f>
        <v>0</v>
      </c>
      <c r="AE748" s="266">
        <f>IF($Z748="",0,Shares!J748*Shares!I748)</f>
        <v>0</v>
      </c>
      <c r="AF748" s="267">
        <f t="shared" si="53"/>
        <v>0</v>
      </c>
      <c r="AG748" s="266">
        <f>IF($Z748="",0,Shares!L748)</f>
        <v>0</v>
      </c>
      <c r="AH748" s="267">
        <f>IF($Z748="",0,Shares!M748)</f>
        <v>0</v>
      </c>
      <c r="AI748" s="243" t="str">
        <f>IF($Z748="","",RANK(AE748,$AE$2:$AE$1001)+COUNTIF($AE$2:AE748,AE748)-1)</f>
        <v/>
      </c>
      <c r="AJ748" s="243" t="str">
        <f>IF($AD748&lt;0,COUNT($AJ$1:AJ747)+1,"")</f>
        <v/>
      </c>
      <c r="AL748" s="243" t="str">
        <f>'All Ticker P&amp;L'!A748</f>
        <v/>
      </c>
      <c r="AM748" s="243" t="str">
        <f>'All Ticker P&amp;L'!B748</f>
        <v/>
      </c>
      <c r="AN748" s="243" t="str">
        <f>'All Ticker P&amp;L'!C748</f>
        <v/>
      </c>
      <c r="AO748" s="243" t="str">
        <f>'All Ticker P&amp;L'!D748</f>
        <v/>
      </c>
      <c r="AP748" s="243">
        <f>IF($AL748="",0,'All Ticker P&amp;L'!E748)</f>
        <v>0</v>
      </c>
      <c r="AQ748" s="266">
        <f>IF($AL748="",0,'All Ticker P&amp;L'!J748*'All Ticker P&amp;L'!I748)</f>
        <v>0</v>
      </c>
      <c r="AR748" s="266">
        <f>IF($AL748="",0,'All Ticker P&amp;L'!L748)</f>
        <v>0</v>
      </c>
      <c r="AS748" s="267">
        <f>IF($AL748="",0,'All Ticker P&amp;L'!M748)</f>
        <v>0</v>
      </c>
      <c r="AT748" s="243" t="str">
        <f>IF($AL748="","",RANK(AR748,$AR$2:$AR$1001)+COUNTIF($AR$2:AR748,AR748)-1)</f>
        <v/>
      </c>
      <c r="AU748" s="243" t="str">
        <f>IF($AL748="","",RANK(AV748,$AV$2:$AV$1001)+COUNTIF($AV$2:AV748,AV748)-1)</f>
        <v/>
      </c>
      <c r="AV748" s="266">
        <f t="shared" si="54"/>
        <v>0</v>
      </c>
    </row>
    <row r="749" spans="26:48" ht="15" customHeight="1" x14ac:dyDescent="0.2">
      <c r="Z749" s="243" t="str">
        <f>Shares!A749</f>
        <v/>
      </c>
      <c r="AA749" s="243" t="str">
        <f>Shares!B749</f>
        <v/>
      </c>
      <c r="AB749" s="243" t="str">
        <f>Shares!C749</f>
        <v/>
      </c>
      <c r="AC749" s="243" t="str">
        <f>Shares!D749</f>
        <v/>
      </c>
      <c r="AD749" s="243">
        <f>IF($Z749="",0,Shares!E749)</f>
        <v>0</v>
      </c>
      <c r="AE749" s="266">
        <f>IF($Z749="",0,Shares!J749*Shares!I749)</f>
        <v>0</v>
      </c>
      <c r="AF749" s="267">
        <f t="shared" si="53"/>
        <v>0</v>
      </c>
      <c r="AG749" s="266">
        <f>IF($Z749="",0,Shares!L749)</f>
        <v>0</v>
      </c>
      <c r="AH749" s="267">
        <f>IF($Z749="",0,Shares!M749)</f>
        <v>0</v>
      </c>
      <c r="AI749" s="243" t="str">
        <f>IF($Z749="","",RANK(AE749,$AE$2:$AE$1001)+COUNTIF($AE$2:AE749,AE749)-1)</f>
        <v/>
      </c>
      <c r="AJ749" s="243" t="str">
        <f>IF($AD749&lt;0,COUNT($AJ$1:AJ748)+1,"")</f>
        <v/>
      </c>
      <c r="AL749" s="243" t="str">
        <f>'All Ticker P&amp;L'!A749</f>
        <v/>
      </c>
      <c r="AM749" s="243" t="str">
        <f>'All Ticker P&amp;L'!B749</f>
        <v/>
      </c>
      <c r="AN749" s="243" t="str">
        <f>'All Ticker P&amp;L'!C749</f>
        <v/>
      </c>
      <c r="AO749" s="243" t="str">
        <f>'All Ticker P&amp;L'!D749</f>
        <v/>
      </c>
      <c r="AP749" s="243">
        <f>IF($AL749="",0,'All Ticker P&amp;L'!E749)</f>
        <v>0</v>
      </c>
      <c r="AQ749" s="266">
        <f>IF($AL749="",0,'All Ticker P&amp;L'!J749*'All Ticker P&amp;L'!I749)</f>
        <v>0</v>
      </c>
      <c r="AR749" s="266">
        <f>IF($AL749="",0,'All Ticker P&amp;L'!L749)</f>
        <v>0</v>
      </c>
      <c r="AS749" s="267">
        <f>IF($AL749="",0,'All Ticker P&amp;L'!M749)</f>
        <v>0</v>
      </c>
      <c r="AT749" s="243" t="str">
        <f>IF($AL749="","",RANK(AR749,$AR$2:$AR$1001)+COUNTIF($AR$2:AR749,AR749)-1)</f>
        <v/>
      </c>
      <c r="AU749" s="243" t="str">
        <f>IF($AL749="","",RANK(AV749,$AV$2:$AV$1001)+COUNTIF($AV$2:AV749,AV749)-1)</f>
        <v/>
      </c>
      <c r="AV749" s="266">
        <f t="shared" si="54"/>
        <v>0</v>
      </c>
    </row>
    <row r="750" spans="26:48" ht="15" customHeight="1" x14ac:dyDescent="0.2">
      <c r="Z750" s="243" t="str">
        <f>Shares!A750</f>
        <v/>
      </c>
      <c r="AA750" s="243" t="str">
        <f>Shares!B750</f>
        <v/>
      </c>
      <c r="AB750" s="243" t="str">
        <f>Shares!C750</f>
        <v/>
      </c>
      <c r="AC750" s="243" t="str">
        <f>Shares!D750</f>
        <v/>
      </c>
      <c r="AD750" s="243">
        <f>IF($Z750="",0,Shares!E750)</f>
        <v>0</v>
      </c>
      <c r="AE750" s="266">
        <f>IF($Z750="",0,Shares!J750*Shares!I750)</f>
        <v>0</v>
      </c>
      <c r="AF750" s="267">
        <f t="shared" si="53"/>
        <v>0</v>
      </c>
      <c r="AG750" s="266">
        <f>IF($Z750="",0,Shares!L750)</f>
        <v>0</v>
      </c>
      <c r="AH750" s="267">
        <f>IF($Z750="",0,Shares!M750)</f>
        <v>0</v>
      </c>
      <c r="AI750" s="243" t="str">
        <f>IF($Z750="","",RANK(AE750,$AE$2:$AE$1001)+COUNTIF($AE$2:AE750,AE750)-1)</f>
        <v/>
      </c>
      <c r="AJ750" s="243" t="str">
        <f>IF($AD750&lt;0,COUNT($AJ$1:AJ749)+1,"")</f>
        <v/>
      </c>
      <c r="AL750" s="243" t="str">
        <f>'All Ticker P&amp;L'!A750</f>
        <v/>
      </c>
      <c r="AM750" s="243" t="str">
        <f>'All Ticker P&amp;L'!B750</f>
        <v/>
      </c>
      <c r="AN750" s="243" t="str">
        <f>'All Ticker P&amp;L'!C750</f>
        <v/>
      </c>
      <c r="AO750" s="243" t="str">
        <f>'All Ticker P&amp;L'!D750</f>
        <v/>
      </c>
      <c r="AP750" s="243">
        <f>IF($AL750="",0,'All Ticker P&amp;L'!E750)</f>
        <v>0</v>
      </c>
      <c r="AQ750" s="266">
        <f>IF($AL750="",0,'All Ticker P&amp;L'!J750*'All Ticker P&amp;L'!I750)</f>
        <v>0</v>
      </c>
      <c r="AR750" s="266">
        <f>IF($AL750="",0,'All Ticker P&amp;L'!L750)</f>
        <v>0</v>
      </c>
      <c r="AS750" s="267">
        <f>IF($AL750="",0,'All Ticker P&amp;L'!M750)</f>
        <v>0</v>
      </c>
      <c r="AT750" s="243" t="str">
        <f>IF($AL750="","",RANK(AR750,$AR$2:$AR$1001)+COUNTIF($AR$2:AR750,AR750)-1)</f>
        <v/>
      </c>
      <c r="AU750" s="243" t="str">
        <f>IF($AL750="","",RANK(AV750,$AV$2:$AV$1001)+COUNTIF($AV$2:AV750,AV750)-1)</f>
        <v/>
      </c>
      <c r="AV750" s="266">
        <f t="shared" si="54"/>
        <v>0</v>
      </c>
    </row>
    <row r="751" spans="26:48" ht="15" customHeight="1" x14ac:dyDescent="0.2">
      <c r="Z751" s="243" t="str">
        <f>Shares!A751</f>
        <v/>
      </c>
      <c r="AA751" s="243" t="str">
        <f>Shares!B751</f>
        <v/>
      </c>
      <c r="AB751" s="243" t="str">
        <f>Shares!C751</f>
        <v/>
      </c>
      <c r="AC751" s="243" t="str">
        <f>Shares!D751</f>
        <v/>
      </c>
      <c r="AD751" s="243">
        <f>IF($Z751="",0,Shares!E751)</f>
        <v>0</v>
      </c>
      <c r="AE751" s="266">
        <f>IF($Z751="",0,Shares!J751*Shares!I751)</f>
        <v>0</v>
      </c>
      <c r="AF751" s="267">
        <f t="shared" si="53"/>
        <v>0</v>
      </c>
      <c r="AG751" s="266">
        <f>IF($Z751="",0,Shares!L751)</f>
        <v>0</v>
      </c>
      <c r="AH751" s="267">
        <f>IF($Z751="",0,Shares!M751)</f>
        <v>0</v>
      </c>
      <c r="AI751" s="243" t="str">
        <f>IF($Z751="","",RANK(AE751,$AE$2:$AE$1001)+COUNTIF($AE$2:AE751,AE751)-1)</f>
        <v/>
      </c>
      <c r="AJ751" s="243" t="str">
        <f>IF($AD751&lt;0,COUNT($AJ$1:AJ750)+1,"")</f>
        <v/>
      </c>
      <c r="AL751" s="243" t="str">
        <f>'All Ticker P&amp;L'!A751</f>
        <v/>
      </c>
      <c r="AM751" s="243" t="str">
        <f>'All Ticker P&amp;L'!B751</f>
        <v/>
      </c>
      <c r="AN751" s="243" t="str">
        <f>'All Ticker P&amp;L'!C751</f>
        <v/>
      </c>
      <c r="AO751" s="243" t="str">
        <f>'All Ticker P&amp;L'!D751</f>
        <v/>
      </c>
      <c r="AP751" s="243">
        <f>IF($AL751="",0,'All Ticker P&amp;L'!E751)</f>
        <v>0</v>
      </c>
      <c r="AQ751" s="266">
        <f>IF($AL751="",0,'All Ticker P&amp;L'!J751*'All Ticker P&amp;L'!I751)</f>
        <v>0</v>
      </c>
      <c r="AR751" s="266">
        <f>IF($AL751="",0,'All Ticker P&amp;L'!L751)</f>
        <v>0</v>
      </c>
      <c r="AS751" s="267">
        <f>IF($AL751="",0,'All Ticker P&amp;L'!M751)</f>
        <v>0</v>
      </c>
      <c r="AT751" s="243" t="str">
        <f>IF($AL751="","",RANK(AR751,$AR$2:$AR$1001)+COUNTIF($AR$2:AR751,AR751)-1)</f>
        <v/>
      </c>
      <c r="AU751" s="243" t="str">
        <f>IF($AL751="","",RANK(AV751,$AV$2:$AV$1001)+COUNTIF($AV$2:AV751,AV751)-1)</f>
        <v/>
      </c>
      <c r="AV751" s="266">
        <f t="shared" si="54"/>
        <v>0</v>
      </c>
    </row>
    <row r="752" spans="26:48" ht="15" customHeight="1" x14ac:dyDescent="0.2">
      <c r="Z752" s="243" t="str">
        <f>Shares!A752</f>
        <v/>
      </c>
      <c r="AA752" s="243" t="str">
        <f>Shares!B752</f>
        <v/>
      </c>
      <c r="AB752" s="243" t="str">
        <f>Shares!C752</f>
        <v/>
      </c>
      <c r="AC752" s="243" t="str">
        <f>Shares!D752</f>
        <v/>
      </c>
      <c r="AD752" s="243">
        <f>IF($Z752="",0,Shares!E752)</f>
        <v>0</v>
      </c>
      <c r="AE752" s="266">
        <f>IF($Z752="",0,Shares!J752*Shares!I752)</f>
        <v>0</v>
      </c>
      <c r="AF752" s="267">
        <f t="shared" si="53"/>
        <v>0</v>
      </c>
      <c r="AG752" s="266">
        <f>IF($Z752="",0,Shares!L752)</f>
        <v>0</v>
      </c>
      <c r="AH752" s="267">
        <f>IF($Z752="",0,Shares!M752)</f>
        <v>0</v>
      </c>
      <c r="AI752" s="243" t="str">
        <f>IF($Z752="","",RANK(AE752,$AE$2:$AE$1001)+COUNTIF($AE$2:AE752,AE752)-1)</f>
        <v/>
      </c>
      <c r="AJ752" s="243" t="str">
        <f>IF($AD752&lt;0,COUNT($AJ$1:AJ751)+1,"")</f>
        <v/>
      </c>
      <c r="AL752" s="243" t="str">
        <f>'All Ticker P&amp;L'!A752</f>
        <v/>
      </c>
      <c r="AM752" s="243" t="str">
        <f>'All Ticker P&amp;L'!B752</f>
        <v/>
      </c>
      <c r="AN752" s="243" t="str">
        <f>'All Ticker P&amp;L'!C752</f>
        <v/>
      </c>
      <c r="AO752" s="243" t="str">
        <f>'All Ticker P&amp;L'!D752</f>
        <v/>
      </c>
      <c r="AP752" s="243">
        <f>IF($AL752="",0,'All Ticker P&amp;L'!E752)</f>
        <v>0</v>
      </c>
      <c r="AQ752" s="266">
        <f>IF($AL752="",0,'All Ticker P&amp;L'!J752*'All Ticker P&amp;L'!I752)</f>
        <v>0</v>
      </c>
      <c r="AR752" s="266">
        <f>IF($AL752="",0,'All Ticker P&amp;L'!L752)</f>
        <v>0</v>
      </c>
      <c r="AS752" s="267">
        <f>IF($AL752="",0,'All Ticker P&amp;L'!M752)</f>
        <v>0</v>
      </c>
      <c r="AT752" s="243" t="str">
        <f>IF($AL752="","",RANK(AR752,$AR$2:$AR$1001)+COUNTIF($AR$2:AR752,AR752)-1)</f>
        <v/>
      </c>
      <c r="AU752" s="243" t="str">
        <f>IF($AL752="","",RANK(AV752,$AV$2:$AV$1001)+COUNTIF($AV$2:AV752,AV752)-1)</f>
        <v/>
      </c>
      <c r="AV752" s="266">
        <f t="shared" si="54"/>
        <v>0</v>
      </c>
    </row>
    <row r="753" spans="26:48" ht="15" customHeight="1" x14ac:dyDescent="0.2">
      <c r="Z753" s="243" t="str">
        <f>Shares!A753</f>
        <v/>
      </c>
      <c r="AA753" s="243" t="str">
        <f>Shares!B753</f>
        <v/>
      </c>
      <c r="AB753" s="243" t="str">
        <f>Shares!C753</f>
        <v/>
      </c>
      <c r="AC753" s="243" t="str">
        <f>Shares!D753</f>
        <v/>
      </c>
      <c r="AD753" s="243">
        <f>IF($Z753="",0,Shares!E753)</f>
        <v>0</v>
      </c>
      <c r="AE753" s="266">
        <f>IF($Z753="",0,Shares!J753*Shares!I753)</f>
        <v>0</v>
      </c>
      <c r="AF753" s="267">
        <f t="shared" si="53"/>
        <v>0</v>
      </c>
      <c r="AG753" s="266">
        <f>IF($Z753="",0,Shares!L753)</f>
        <v>0</v>
      </c>
      <c r="AH753" s="267">
        <f>IF($Z753="",0,Shares!M753)</f>
        <v>0</v>
      </c>
      <c r="AI753" s="243" t="str">
        <f>IF($Z753="","",RANK(AE753,$AE$2:$AE$1001)+COUNTIF($AE$2:AE753,AE753)-1)</f>
        <v/>
      </c>
      <c r="AJ753" s="243" t="str">
        <f>IF($AD753&lt;0,COUNT($AJ$1:AJ752)+1,"")</f>
        <v/>
      </c>
      <c r="AL753" s="243" t="str">
        <f>'All Ticker P&amp;L'!A753</f>
        <v/>
      </c>
      <c r="AM753" s="243" t="str">
        <f>'All Ticker P&amp;L'!B753</f>
        <v/>
      </c>
      <c r="AN753" s="243" t="str">
        <f>'All Ticker P&amp;L'!C753</f>
        <v/>
      </c>
      <c r="AO753" s="243" t="str">
        <f>'All Ticker P&amp;L'!D753</f>
        <v/>
      </c>
      <c r="AP753" s="243">
        <f>IF($AL753="",0,'All Ticker P&amp;L'!E753)</f>
        <v>0</v>
      </c>
      <c r="AQ753" s="266">
        <f>IF($AL753="",0,'All Ticker P&amp;L'!J753*'All Ticker P&amp;L'!I753)</f>
        <v>0</v>
      </c>
      <c r="AR753" s="266">
        <f>IF($AL753="",0,'All Ticker P&amp;L'!L753)</f>
        <v>0</v>
      </c>
      <c r="AS753" s="267">
        <f>IF($AL753="",0,'All Ticker P&amp;L'!M753)</f>
        <v>0</v>
      </c>
      <c r="AT753" s="243" t="str">
        <f>IF($AL753="","",RANK(AR753,$AR$2:$AR$1001)+COUNTIF($AR$2:AR753,AR753)-1)</f>
        <v/>
      </c>
      <c r="AU753" s="243" t="str">
        <f>IF($AL753="","",RANK(AV753,$AV$2:$AV$1001)+COUNTIF($AV$2:AV753,AV753)-1)</f>
        <v/>
      </c>
      <c r="AV753" s="266">
        <f t="shared" si="54"/>
        <v>0</v>
      </c>
    </row>
    <row r="754" spans="26:48" ht="15" customHeight="1" x14ac:dyDescent="0.2">
      <c r="Z754" s="243" t="str">
        <f>Shares!A754</f>
        <v/>
      </c>
      <c r="AA754" s="243" t="str">
        <f>Shares!B754</f>
        <v/>
      </c>
      <c r="AB754" s="243" t="str">
        <f>Shares!C754</f>
        <v/>
      </c>
      <c r="AC754" s="243" t="str">
        <f>Shares!D754</f>
        <v/>
      </c>
      <c r="AD754" s="243">
        <f>IF($Z754="",0,Shares!E754)</f>
        <v>0</v>
      </c>
      <c r="AE754" s="266">
        <f>IF($Z754="",0,Shares!J754*Shares!I754)</f>
        <v>0</v>
      </c>
      <c r="AF754" s="267">
        <f t="shared" si="53"/>
        <v>0</v>
      </c>
      <c r="AG754" s="266">
        <f>IF($Z754="",0,Shares!L754)</f>
        <v>0</v>
      </c>
      <c r="AH754" s="267">
        <f>IF($Z754="",0,Shares!M754)</f>
        <v>0</v>
      </c>
      <c r="AI754" s="243" t="str">
        <f>IF($Z754="","",RANK(AE754,$AE$2:$AE$1001)+COUNTIF($AE$2:AE754,AE754)-1)</f>
        <v/>
      </c>
      <c r="AJ754" s="243" t="str">
        <f>IF($AD754&lt;0,COUNT($AJ$1:AJ753)+1,"")</f>
        <v/>
      </c>
      <c r="AL754" s="243" t="str">
        <f>'All Ticker P&amp;L'!A754</f>
        <v/>
      </c>
      <c r="AM754" s="243" t="str">
        <f>'All Ticker P&amp;L'!B754</f>
        <v/>
      </c>
      <c r="AN754" s="243" t="str">
        <f>'All Ticker P&amp;L'!C754</f>
        <v/>
      </c>
      <c r="AO754" s="243" t="str">
        <f>'All Ticker P&amp;L'!D754</f>
        <v/>
      </c>
      <c r="AP754" s="243">
        <f>IF($AL754="",0,'All Ticker P&amp;L'!E754)</f>
        <v>0</v>
      </c>
      <c r="AQ754" s="266">
        <f>IF($AL754="",0,'All Ticker P&amp;L'!J754*'All Ticker P&amp;L'!I754)</f>
        <v>0</v>
      </c>
      <c r="AR754" s="266">
        <f>IF($AL754="",0,'All Ticker P&amp;L'!L754)</f>
        <v>0</v>
      </c>
      <c r="AS754" s="267">
        <f>IF($AL754="",0,'All Ticker P&amp;L'!M754)</f>
        <v>0</v>
      </c>
      <c r="AT754" s="243" t="str">
        <f>IF($AL754="","",RANK(AR754,$AR$2:$AR$1001)+COUNTIF($AR$2:AR754,AR754)-1)</f>
        <v/>
      </c>
      <c r="AU754" s="243" t="str">
        <f>IF($AL754="","",RANK(AV754,$AV$2:$AV$1001)+COUNTIF($AV$2:AV754,AV754)-1)</f>
        <v/>
      </c>
      <c r="AV754" s="266">
        <f t="shared" si="54"/>
        <v>0</v>
      </c>
    </row>
    <row r="755" spans="26:48" ht="15" customHeight="1" x14ac:dyDescent="0.2">
      <c r="Z755" s="243" t="str">
        <f>Shares!A755</f>
        <v/>
      </c>
      <c r="AA755" s="243" t="str">
        <f>Shares!B755</f>
        <v/>
      </c>
      <c r="AB755" s="243" t="str">
        <f>Shares!C755</f>
        <v/>
      </c>
      <c r="AC755" s="243" t="str">
        <f>Shares!D755</f>
        <v/>
      </c>
      <c r="AD755" s="243">
        <f>IF($Z755="",0,Shares!E755)</f>
        <v>0</v>
      </c>
      <c r="AE755" s="266">
        <f>IF($Z755="",0,Shares!J755*Shares!I755)</f>
        <v>0</v>
      </c>
      <c r="AF755" s="267">
        <f t="shared" si="53"/>
        <v>0</v>
      </c>
      <c r="AG755" s="266">
        <f>IF($Z755="",0,Shares!L755)</f>
        <v>0</v>
      </c>
      <c r="AH755" s="267">
        <f>IF($Z755="",0,Shares!M755)</f>
        <v>0</v>
      </c>
      <c r="AI755" s="243" t="str">
        <f>IF($Z755="","",RANK(AE755,$AE$2:$AE$1001)+COUNTIF($AE$2:AE755,AE755)-1)</f>
        <v/>
      </c>
      <c r="AJ755" s="243" t="str">
        <f>IF($AD755&lt;0,COUNT($AJ$1:AJ754)+1,"")</f>
        <v/>
      </c>
      <c r="AL755" s="243" t="str">
        <f>'All Ticker P&amp;L'!A755</f>
        <v/>
      </c>
      <c r="AM755" s="243" t="str">
        <f>'All Ticker P&amp;L'!B755</f>
        <v/>
      </c>
      <c r="AN755" s="243" t="str">
        <f>'All Ticker P&amp;L'!C755</f>
        <v/>
      </c>
      <c r="AO755" s="243" t="str">
        <f>'All Ticker P&amp;L'!D755</f>
        <v/>
      </c>
      <c r="AP755" s="243">
        <f>IF($AL755="",0,'All Ticker P&amp;L'!E755)</f>
        <v>0</v>
      </c>
      <c r="AQ755" s="266">
        <f>IF($AL755="",0,'All Ticker P&amp;L'!J755*'All Ticker P&amp;L'!I755)</f>
        <v>0</v>
      </c>
      <c r="AR755" s="266">
        <f>IF($AL755="",0,'All Ticker P&amp;L'!L755)</f>
        <v>0</v>
      </c>
      <c r="AS755" s="267">
        <f>IF($AL755="",0,'All Ticker P&amp;L'!M755)</f>
        <v>0</v>
      </c>
      <c r="AT755" s="243" t="str">
        <f>IF($AL755="","",RANK(AR755,$AR$2:$AR$1001)+COUNTIF($AR$2:AR755,AR755)-1)</f>
        <v/>
      </c>
      <c r="AU755" s="243" t="str">
        <f>IF($AL755="","",RANK(AV755,$AV$2:$AV$1001)+COUNTIF($AV$2:AV755,AV755)-1)</f>
        <v/>
      </c>
      <c r="AV755" s="266">
        <f t="shared" si="54"/>
        <v>0</v>
      </c>
    </row>
    <row r="756" spans="26:48" ht="15" customHeight="1" x14ac:dyDescent="0.2">
      <c r="Z756" s="243" t="str">
        <f>Shares!A756</f>
        <v/>
      </c>
      <c r="AA756" s="243" t="str">
        <f>Shares!B756</f>
        <v/>
      </c>
      <c r="AB756" s="243" t="str">
        <f>Shares!C756</f>
        <v/>
      </c>
      <c r="AC756" s="243" t="str">
        <f>Shares!D756</f>
        <v/>
      </c>
      <c r="AD756" s="243">
        <f>IF($Z756="",0,Shares!E756)</f>
        <v>0</v>
      </c>
      <c r="AE756" s="266">
        <f>IF($Z756="",0,Shares!J756*Shares!I756)</f>
        <v>0</v>
      </c>
      <c r="AF756" s="267">
        <f t="shared" si="53"/>
        <v>0</v>
      </c>
      <c r="AG756" s="266">
        <f>IF($Z756="",0,Shares!L756)</f>
        <v>0</v>
      </c>
      <c r="AH756" s="267">
        <f>IF($Z756="",0,Shares!M756)</f>
        <v>0</v>
      </c>
      <c r="AI756" s="243" t="str">
        <f>IF($Z756="","",RANK(AE756,$AE$2:$AE$1001)+COUNTIF($AE$2:AE756,AE756)-1)</f>
        <v/>
      </c>
      <c r="AJ756" s="243" t="str">
        <f>IF($AD756&lt;0,COUNT($AJ$1:AJ755)+1,"")</f>
        <v/>
      </c>
      <c r="AL756" s="243" t="str">
        <f>'All Ticker P&amp;L'!A756</f>
        <v/>
      </c>
      <c r="AM756" s="243" t="str">
        <f>'All Ticker P&amp;L'!B756</f>
        <v/>
      </c>
      <c r="AN756" s="243" t="str">
        <f>'All Ticker P&amp;L'!C756</f>
        <v/>
      </c>
      <c r="AO756" s="243" t="str">
        <f>'All Ticker P&amp;L'!D756</f>
        <v/>
      </c>
      <c r="AP756" s="243">
        <f>IF($AL756="",0,'All Ticker P&amp;L'!E756)</f>
        <v>0</v>
      </c>
      <c r="AQ756" s="266">
        <f>IF($AL756="",0,'All Ticker P&amp;L'!J756*'All Ticker P&amp;L'!I756)</f>
        <v>0</v>
      </c>
      <c r="AR756" s="266">
        <f>IF($AL756="",0,'All Ticker P&amp;L'!L756)</f>
        <v>0</v>
      </c>
      <c r="AS756" s="267">
        <f>IF($AL756="",0,'All Ticker P&amp;L'!M756)</f>
        <v>0</v>
      </c>
      <c r="AT756" s="243" t="str">
        <f>IF($AL756="","",RANK(AR756,$AR$2:$AR$1001)+COUNTIF($AR$2:AR756,AR756)-1)</f>
        <v/>
      </c>
      <c r="AU756" s="243" t="str">
        <f>IF($AL756="","",RANK(AV756,$AV$2:$AV$1001)+COUNTIF($AV$2:AV756,AV756)-1)</f>
        <v/>
      </c>
      <c r="AV756" s="266">
        <f t="shared" si="54"/>
        <v>0</v>
      </c>
    </row>
    <row r="757" spans="26:48" ht="15" customHeight="1" x14ac:dyDescent="0.2">
      <c r="Z757" s="243" t="str">
        <f>Shares!A757</f>
        <v/>
      </c>
      <c r="AA757" s="243" t="str">
        <f>Shares!B757</f>
        <v/>
      </c>
      <c r="AB757" s="243" t="str">
        <f>Shares!C757</f>
        <v/>
      </c>
      <c r="AC757" s="243" t="str">
        <f>Shares!D757</f>
        <v/>
      </c>
      <c r="AD757" s="243">
        <f>IF($Z757="",0,Shares!E757)</f>
        <v>0</v>
      </c>
      <c r="AE757" s="266">
        <f>IF($Z757="",0,Shares!J757*Shares!I757)</f>
        <v>0</v>
      </c>
      <c r="AF757" s="267">
        <f t="shared" si="53"/>
        <v>0</v>
      </c>
      <c r="AG757" s="266">
        <f>IF($Z757="",0,Shares!L757)</f>
        <v>0</v>
      </c>
      <c r="AH757" s="267">
        <f>IF($Z757="",0,Shares!M757)</f>
        <v>0</v>
      </c>
      <c r="AI757" s="243" t="str">
        <f>IF($Z757="","",RANK(AE757,$AE$2:$AE$1001)+COUNTIF($AE$2:AE757,AE757)-1)</f>
        <v/>
      </c>
      <c r="AJ757" s="243" t="str">
        <f>IF($AD757&lt;0,COUNT($AJ$1:AJ756)+1,"")</f>
        <v/>
      </c>
      <c r="AL757" s="243" t="str">
        <f>'All Ticker P&amp;L'!A757</f>
        <v/>
      </c>
      <c r="AM757" s="243" t="str">
        <f>'All Ticker P&amp;L'!B757</f>
        <v/>
      </c>
      <c r="AN757" s="243" t="str">
        <f>'All Ticker P&amp;L'!C757</f>
        <v/>
      </c>
      <c r="AO757" s="243" t="str">
        <f>'All Ticker P&amp;L'!D757</f>
        <v/>
      </c>
      <c r="AP757" s="243">
        <f>IF($AL757="",0,'All Ticker P&amp;L'!E757)</f>
        <v>0</v>
      </c>
      <c r="AQ757" s="266">
        <f>IF($AL757="",0,'All Ticker P&amp;L'!J757*'All Ticker P&amp;L'!I757)</f>
        <v>0</v>
      </c>
      <c r="AR757" s="266">
        <f>IF($AL757="",0,'All Ticker P&amp;L'!L757)</f>
        <v>0</v>
      </c>
      <c r="AS757" s="267">
        <f>IF($AL757="",0,'All Ticker P&amp;L'!M757)</f>
        <v>0</v>
      </c>
      <c r="AT757" s="243" t="str">
        <f>IF($AL757="","",RANK(AR757,$AR$2:$AR$1001)+COUNTIF($AR$2:AR757,AR757)-1)</f>
        <v/>
      </c>
      <c r="AU757" s="243" t="str">
        <f>IF($AL757="","",RANK(AV757,$AV$2:$AV$1001)+COUNTIF($AV$2:AV757,AV757)-1)</f>
        <v/>
      </c>
      <c r="AV757" s="266">
        <f t="shared" si="54"/>
        <v>0</v>
      </c>
    </row>
    <row r="758" spans="26:48" ht="15" customHeight="1" x14ac:dyDescent="0.2">
      <c r="Z758" s="243" t="str">
        <f>Shares!A758</f>
        <v/>
      </c>
      <c r="AA758" s="243" t="str">
        <f>Shares!B758</f>
        <v/>
      </c>
      <c r="AB758" s="243" t="str">
        <f>Shares!C758</f>
        <v/>
      </c>
      <c r="AC758" s="243" t="str">
        <f>Shares!D758</f>
        <v/>
      </c>
      <c r="AD758" s="243">
        <f>IF($Z758="",0,Shares!E758)</f>
        <v>0</v>
      </c>
      <c r="AE758" s="266">
        <f>IF($Z758="",0,Shares!J758*Shares!I758)</f>
        <v>0</v>
      </c>
      <c r="AF758" s="267">
        <f t="shared" si="53"/>
        <v>0</v>
      </c>
      <c r="AG758" s="266">
        <f>IF($Z758="",0,Shares!L758)</f>
        <v>0</v>
      </c>
      <c r="AH758" s="267">
        <f>IF($Z758="",0,Shares!M758)</f>
        <v>0</v>
      </c>
      <c r="AI758" s="243" t="str">
        <f>IF($Z758="","",RANK(AE758,$AE$2:$AE$1001)+COUNTIF($AE$2:AE758,AE758)-1)</f>
        <v/>
      </c>
      <c r="AJ758" s="243" t="str">
        <f>IF($AD758&lt;0,COUNT($AJ$1:AJ757)+1,"")</f>
        <v/>
      </c>
      <c r="AL758" s="243" t="str">
        <f>'All Ticker P&amp;L'!A758</f>
        <v/>
      </c>
      <c r="AM758" s="243" t="str">
        <f>'All Ticker P&amp;L'!B758</f>
        <v/>
      </c>
      <c r="AN758" s="243" t="str">
        <f>'All Ticker P&amp;L'!C758</f>
        <v/>
      </c>
      <c r="AO758" s="243" t="str">
        <f>'All Ticker P&amp;L'!D758</f>
        <v/>
      </c>
      <c r="AP758" s="243">
        <f>IF($AL758="",0,'All Ticker P&amp;L'!E758)</f>
        <v>0</v>
      </c>
      <c r="AQ758" s="266">
        <f>IF($AL758="",0,'All Ticker P&amp;L'!J758*'All Ticker P&amp;L'!I758)</f>
        <v>0</v>
      </c>
      <c r="AR758" s="266">
        <f>IF($AL758="",0,'All Ticker P&amp;L'!L758)</f>
        <v>0</v>
      </c>
      <c r="AS758" s="267">
        <f>IF($AL758="",0,'All Ticker P&amp;L'!M758)</f>
        <v>0</v>
      </c>
      <c r="AT758" s="243" t="str">
        <f>IF($AL758="","",RANK(AR758,$AR$2:$AR$1001)+COUNTIF($AR$2:AR758,AR758)-1)</f>
        <v/>
      </c>
      <c r="AU758" s="243" t="str">
        <f>IF($AL758="","",RANK(AV758,$AV$2:$AV$1001)+COUNTIF($AV$2:AV758,AV758)-1)</f>
        <v/>
      </c>
      <c r="AV758" s="266">
        <f t="shared" si="54"/>
        <v>0</v>
      </c>
    </row>
    <row r="759" spans="26:48" ht="15" customHeight="1" x14ac:dyDescent="0.2">
      <c r="Z759" s="243" t="str">
        <f>Shares!A759</f>
        <v/>
      </c>
      <c r="AA759" s="243" t="str">
        <f>Shares!B759</f>
        <v/>
      </c>
      <c r="AB759" s="243" t="str">
        <f>Shares!C759</f>
        <v/>
      </c>
      <c r="AC759" s="243" t="str">
        <f>Shares!D759</f>
        <v/>
      </c>
      <c r="AD759" s="243">
        <f>IF($Z759="",0,Shares!E759)</f>
        <v>0</v>
      </c>
      <c r="AE759" s="266">
        <f>IF($Z759="",0,Shares!J759*Shares!I759)</f>
        <v>0</v>
      </c>
      <c r="AF759" s="267">
        <f t="shared" si="53"/>
        <v>0</v>
      </c>
      <c r="AG759" s="266">
        <f>IF($Z759="",0,Shares!L759)</f>
        <v>0</v>
      </c>
      <c r="AH759" s="267">
        <f>IF($Z759="",0,Shares!M759)</f>
        <v>0</v>
      </c>
      <c r="AI759" s="243" t="str">
        <f>IF($Z759="","",RANK(AE759,$AE$2:$AE$1001)+COUNTIF($AE$2:AE759,AE759)-1)</f>
        <v/>
      </c>
      <c r="AJ759" s="243" t="str">
        <f>IF($AD759&lt;0,COUNT($AJ$1:AJ758)+1,"")</f>
        <v/>
      </c>
      <c r="AL759" s="243" t="str">
        <f>'All Ticker P&amp;L'!A759</f>
        <v/>
      </c>
      <c r="AM759" s="243" t="str">
        <f>'All Ticker P&amp;L'!B759</f>
        <v/>
      </c>
      <c r="AN759" s="243" t="str">
        <f>'All Ticker P&amp;L'!C759</f>
        <v/>
      </c>
      <c r="AO759" s="243" t="str">
        <f>'All Ticker P&amp;L'!D759</f>
        <v/>
      </c>
      <c r="AP759" s="243">
        <f>IF($AL759="",0,'All Ticker P&amp;L'!E759)</f>
        <v>0</v>
      </c>
      <c r="AQ759" s="266">
        <f>IF($AL759="",0,'All Ticker P&amp;L'!J759*'All Ticker P&amp;L'!I759)</f>
        <v>0</v>
      </c>
      <c r="AR759" s="266">
        <f>IF($AL759="",0,'All Ticker P&amp;L'!L759)</f>
        <v>0</v>
      </c>
      <c r="AS759" s="267">
        <f>IF($AL759="",0,'All Ticker P&amp;L'!M759)</f>
        <v>0</v>
      </c>
      <c r="AT759" s="243" t="str">
        <f>IF($AL759="","",RANK(AR759,$AR$2:$AR$1001)+COUNTIF($AR$2:AR759,AR759)-1)</f>
        <v/>
      </c>
      <c r="AU759" s="243" t="str">
        <f>IF($AL759="","",RANK(AV759,$AV$2:$AV$1001)+COUNTIF($AV$2:AV759,AV759)-1)</f>
        <v/>
      </c>
      <c r="AV759" s="266">
        <f t="shared" si="54"/>
        <v>0</v>
      </c>
    </row>
    <row r="760" spans="26:48" ht="15" customHeight="1" x14ac:dyDescent="0.2">
      <c r="Z760" s="243" t="str">
        <f>Shares!A760</f>
        <v/>
      </c>
      <c r="AA760" s="243" t="str">
        <f>Shares!B760</f>
        <v/>
      </c>
      <c r="AB760" s="243" t="str">
        <f>Shares!C760</f>
        <v/>
      </c>
      <c r="AC760" s="243" t="str">
        <f>Shares!D760</f>
        <v/>
      </c>
      <c r="AD760" s="243">
        <f>IF($Z760="",0,Shares!E760)</f>
        <v>0</v>
      </c>
      <c r="AE760" s="266">
        <f>IF($Z760="",0,Shares!J760*Shares!I760)</f>
        <v>0</v>
      </c>
      <c r="AF760" s="267">
        <f t="shared" si="53"/>
        <v>0</v>
      </c>
      <c r="AG760" s="266">
        <f>IF($Z760="",0,Shares!L760)</f>
        <v>0</v>
      </c>
      <c r="AH760" s="267">
        <f>IF($Z760="",0,Shares!M760)</f>
        <v>0</v>
      </c>
      <c r="AI760" s="243" t="str">
        <f>IF($Z760="","",RANK(AE760,$AE$2:$AE$1001)+COUNTIF($AE$2:AE760,AE760)-1)</f>
        <v/>
      </c>
      <c r="AJ760" s="243" t="str">
        <f>IF($AD760&lt;0,COUNT($AJ$1:AJ759)+1,"")</f>
        <v/>
      </c>
      <c r="AL760" s="243" t="str">
        <f>'All Ticker P&amp;L'!A760</f>
        <v/>
      </c>
      <c r="AM760" s="243" t="str">
        <f>'All Ticker P&amp;L'!B760</f>
        <v/>
      </c>
      <c r="AN760" s="243" t="str">
        <f>'All Ticker P&amp;L'!C760</f>
        <v/>
      </c>
      <c r="AO760" s="243" t="str">
        <f>'All Ticker P&amp;L'!D760</f>
        <v/>
      </c>
      <c r="AP760" s="243">
        <f>IF($AL760="",0,'All Ticker P&amp;L'!E760)</f>
        <v>0</v>
      </c>
      <c r="AQ760" s="266">
        <f>IF($AL760="",0,'All Ticker P&amp;L'!J760*'All Ticker P&amp;L'!I760)</f>
        <v>0</v>
      </c>
      <c r="AR760" s="266">
        <f>IF($AL760="",0,'All Ticker P&amp;L'!L760)</f>
        <v>0</v>
      </c>
      <c r="AS760" s="267">
        <f>IF($AL760="",0,'All Ticker P&amp;L'!M760)</f>
        <v>0</v>
      </c>
      <c r="AT760" s="243" t="str">
        <f>IF($AL760="","",RANK(AR760,$AR$2:$AR$1001)+COUNTIF($AR$2:AR760,AR760)-1)</f>
        <v/>
      </c>
      <c r="AU760" s="243" t="str">
        <f>IF($AL760="","",RANK(AV760,$AV$2:$AV$1001)+COUNTIF($AV$2:AV760,AV760)-1)</f>
        <v/>
      </c>
      <c r="AV760" s="266">
        <f t="shared" si="54"/>
        <v>0</v>
      </c>
    </row>
    <row r="761" spans="26:48" ht="15" customHeight="1" x14ac:dyDescent="0.2">
      <c r="Z761" s="243" t="str">
        <f>Shares!A761</f>
        <v/>
      </c>
      <c r="AA761" s="243" t="str">
        <f>Shares!B761</f>
        <v/>
      </c>
      <c r="AB761" s="243" t="str">
        <f>Shares!C761</f>
        <v/>
      </c>
      <c r="AC761" s="243" t="str">
        <f>Shares!D761</f>
        <v/>
      </c>
      <c r="AD761" s="243">
        <f>IF($Z761="",0,Shares!E761)</f>
        <v>0</v>
      </c>
      <c r="AE761" s="266">
        <f>IF($Z761="",0,Shares!J761*Shares!I761)</f>
        <v>0</v>
      </c>
      <c r="AF761" s="267">
        <f t="shared" si="53"/>
        <v>0</v>
      </c>
      <c r="AG761" s="266">
        <f>IF($Z761="",0,Shares!L761)</f>
        <v>0</v>
      </c>
      <c r="AH761" s="267">
        <f>IF($Z761="",0,Shares!M761)</f>
        <v>0</v>
      </c>
      <c r="AI761" s="243" t="str">
        <f>IF($Z761="","",RANK(AE761,$AE$2:$AE$1001)+COUNTIF($AE$2:AE761,AE761)-1)</f>
        <v/>
      </c>
      <c r="AJ761" s="243" t="str">
        <f>IF($AD761&lt;0,COUNT($AJ$1:AJ760)+1,"")</f>
        <v/>
      </c>
      <c r="AL761" s="243" t="str">
        <f>'All Ticker P&amp;L'!A761</f>
        <v/>
      </c>
      <c r="AM761" s="243" t="str">
        <f>'All Ticker P&amp;L'!B761</f>
        <v/>
      </c>
      <c r="AN761" s="243" t="str">
        <f>'All Ticker P&amp;L'!C761</f>
        <v/>
      </c>
      <c r="AO761" s="243" t="str">
        <f>'All Ticker P&amp;L'!D761</f>
        <v/>
      </c>
      <c r="AP761" s="243">
        <f>IF($AL761="",0,'All Ticker P&amp;L'!E761)</f>
        <v>0</v>
      </c>
      <c r="AQ761" s="266">
        <f>IF($AL761="",0,'All Ticker P&amp;L'!J761*'All Ticker P&amp;L'!I761)</f>
        <v>0</v>
      </c>
      <c r="AR761" s="266">
        <f>IF($AL761="",0,'All Ticker P&amp;L'!L761)</f>
        <v>0</v>
      </c>
      <c r="AS761" s="267">
        <f>IF($AL761="",0,'All Ticker P&amp;L'!M761)</f>
        <v>0</v>
      </c>
      <c r="AT761" s="243" t="str">
        <f>IF($AL761="","",RANK(AR761,$AR$2:$AR$1001)+COUNTIF($AR$2:AR761,AR761)-1)</f>
        <v/>
      </c>
      <c r="AU761" s="243" t="str">
        <f>IF($AL761="","",RANK(AV761,$AV$2:$AV$1001)+COUNTIF($AV$2:AV761,AV761)-1)</f>
        <v/>
      </c>
      <c r="AV761" s="266">
        <f t="shared" si="54"/>
        <v>0</v>
      </c>
    </row>
    <row r="762" spans="26:48" ht="15" customHeight="1" x14ac:dyDescent="0.2">
      <c r="Z762" s="243" t="str">
        <f>Shares!A762</f>
        <v/>
      </c>
      <c r="AA762" s="243" t="str">
        <f>Shares!B762</f>
        <v/>
      </c>
      <c r="AB762" s="243" t="str">
        <f>Shares!C762</f>
        <v/>
      </c>
      <c r="AC762" s="243" t="str">
        <f>Shares!D762</f>
        <v/>
      </c>
      <c r="AD762" s="243">
        <f>IF($Z762="",0,Shares!E762)</f>
        <v>0</v>
      </c>
      <c r="AE762" s="266">
        <f>IF($Z762="",0,Shares!J762*Shares!I762)</f>
        <v>0</v>
      </c>
      <c r="AF762" s="267">
        <f t="shared" si="53"/>
        <v>0</v>
      </c>
      <c r="AG762" s="266">
        <f>IF($Z762="",0,Shares!L762)</f>
        <v>0</v>
      </c>
      <c r="AH762" s="267">
        <f>IF($Z762="",0,Shares!M762)</f>
        <v>0</v>
      </c>
      <c r="AI762" s="243" t="str">
        <f>IF($Z762="","",RANK(AE762,$AE$2:$AE$1001)+COUNTIF($AE$2:AE762,AE762)-1)</f>
        <v/>
      </c>
      <c r="AJ762" s="243" t="str">
        <f>IF($AD762&lt;0,COUNT($AJ$1:AJ761)+1,"")</f>
        <v/>
      </c>
      <c r="AL762" s="243" t="str">
        <f>'All Ticker P&amp;L'!A762</f>
        <v/>
      </c>
      <c r="AM762" s="243" t="str">
        <f>'All Ticker P&amp;L'!B762</f>
        <v/>
      </c>
      <c r="AN762" s="243" t="str">
        <f>'All Ticker P&amp;L'!C762</f>
        <v/>
      </c>
      <c r="AO762" s="243" t="str">
        <f>'All Ticker P&amp;L'!D762</f>
        <v/>
      </c>
      <c r="AP762" s="243">
        <f>IF($AL762="",0,'All Ticker P&amp;L'!E762)</f>
        <v>0</v>
      </c>
      <c r="AQ762" s="266">
        <f>IF($AL762="",0,'All Ticker P&amp;L'!J762*'All Ticker P&amp;L'!I762)</f>
        <v>0</v>
      </c>
      <c r="AR762" s="266">
        <f>IF($AL762="",0,'All Ticker P&amp;L'!L762)</f>
        <v>0</v>
      </c>
      <c r="AS762" s="267">
        <f>IF($AL762="",0,'All Ticker P&amp;L'!M762)</f>
        <v>0</v>
      </c>
      <c r="AT762" s="243" t="str">
        <f>IF($AL762="","",RANK(AR762,$AR$2:$AR$1001)+COUNTIF($AR$2:AR762,AR762)-1)</f>
        <v/>
      </c>
      <c r="AU762" s="243" t="str">
        <f>IF($AL762="","",RANK(AV762,$AV$2:$AV$1001)+COUNTIF($AV$2:AV762,AV762)-1)</f>
        <v/>
      </c>
      <c r="AV762" s="266">
        <f t="shared" si="54"/>
        <v>0</v>
      </c>
    </row>
    <row r="763" spans="26:48" ht="15" customHeight="1" x14ac:dyDescent="0.2">
      <c r="Z763" s="243" t="str">
        <f>Shares!A763</f>
        <v/>
      </c>
      <c r="AA763" s="243" t="str">
        <f>Shares!B763</f>
        <v/>
      </c>
      <c r="AB763" s="243" t="str">
        <f>Shares!C763</f>
        <v/>
      </c>
      <c r="AC763" s="243" t="str">
        <f>Shares!D763</f>
        <v/>
      </c>
      <c r="AD763" s="243">
        <f>IF($Z763="",0,Shares!E763)</f>
        <v>0</v>
      </c>
      <c r="AE763" s="266">
        <f>IF($Z763="",0,Shares!J763*Shares!I763)</f>
        <v>0</v>
      </c>
      <c r="AF763" s="267">
        <f t="shared" si="53"/>
        <v>0</v>
      </c>
      <c r="AG763" s="266">
        <f>IF($Z763="",0,Shares!L763)</f>
        <v>0</v>
      </c>
      <c r="AH763" s="267">
        <f>IF($Z763="",0,Shares!M763)</f>
        <v>0</v>
      </c>
      <c r="AI763" s="243" t="str">
        <f>IF($Z763="","",RANK(AE763,$AE$2:$AE$1001)+COUNTIF($AE$2:AE763,AE763)-1)</f>
        <v/>
      </c>
      <c r="AJ763" s="243" t="str">
        <f>IF($AD763&lt;0,COUNT($AJ$1:AJ762)+1,"")</f>
        <v/>
      </c>
      <c r="AL763" s="243" t="str">
        <f>'All Ticker P&amp;L'!A763</f>
        <v/>
      </c>
      <c r="AM763" s="243" t="str">
        <f>'All Ticker P&amp;L'!B763</f>
        <v/>
      </c>
      <c r="AN763" s="243" t="str">
        <f>'All Ticker P&amp;L'!C763</f>
        <v/>
      </c>
      <c r="AO763" s="243" t="str">
        <f>'All Ticker P&amp;L'!D763</f>
        <v/>
      </c>
      <c r="AP763" s="243">
        <f>IF($AL763="",0,'All Ticker P&amp;L'!E763)</f>
        <v>0</v>
      </c>
      <c r="AQ763" s="266">
        <f>IF($AL763="",0,'All Ticker P&amp;L'!J763*'All Ticker P&amp;L'!I763)</f>
        <v>0</v>
      </c>
      <c r="AR763" s="266">
        <f>IF($AL763="",0,'All Ticker P&amp;L'!L763)</f>
        <v>0</v>
      </c>
      <c r="AS763" s="267">
        <f>IF($AL763="",0,'All Ticker P&amp;L'!M763)</f>
        <v>0</v>
      </c>
      <c r="AT763" s="243" t="str">
        <f>IF($AL763="","",RANK(AR763,$AR$2:$AR$1001)+COUNTIF($AR$2:AR763,AR763)-1)</f>
        <v/>
      </c>
      <c r="AU763" s="243" t="str">
        <f>IF($AL763="","",RANK(AV763,$AV$2:$AV$1001)+COUNTIF($AV$2:AV763,AV763)-1)</f>
        <v/>
      </c>
      <c r="AV763" s="266">
        <f t="shared" si="54"/>
        <v>0</v>
      </c>
    </row>
    <row r="764" spans="26:48" ht="15" customHeight="1" x14ac:dyDescent="0.2">
      <c r="Z764" s="243" t="str">
        <f>Shares!A764</f>
        <v/>
      </c>
      <c r="AA764" s="243" t="str">
        <f>Shares!B764</f>
        <v/>
      </c>
      <c r="AB764" s="243" t="str">
        <f>Shares!C764</f>
        <v/>
      </c>
      <c r="AC764" s="243" t="str">
        <f>Shares!D764</f>
        <v/>
      </c>
      <c r="AD764" s="243">
        <f>IF($Z764="",0,Shares!E764)</f>
        <v>0</v>
      </c>
      <c r="AE764" s="266">
        <f>IF($Z764="",0,Shares!J764*Shares!I764)</f>
        <v>0</v>
      </c>
      <c r="AF764" s="267">
        <f t="shared" si="53"/>
        <v>0</v>
      </c>
      <c r="AG764" s="266">
        <f>IF($Z764="",0,Shares!L764)</f>
        <v>0</v>
      </c>
      <c r="AH764" s="267">
        <f>IF($Z764="",0,Shares!M764)</f>
        <v>0</v>
      </c>
      <c r="AI764" s="243" t="str">
        <f>IF($Z764="","",RANK(AE764,$AE$2:$AE$1001)+COUNTIF($AE$2:AE764,AE764)-1)</f>
        <v/>
      </c>
      <c r="AJ764" s="243" t="str">
        <f>IF($AD764&lt;0,COUNT($AJ$1:AJ763)+1,"")</f>
        <v/>
      </c>
      <c r="AL764" s="243" t="str">
        <f>'All Ticker P&amp;L'!A764</f>
        <v/>
      </c>
      <c r="AM764" s="243" t="str">
        <f>'All Ticker P&amp;L'!B764</f>
        <v/>
      </c>
      <c r="AN764" s="243" t="str">
        <f>'All Ticker P&amp;L'!C764</f>
        <v/>
      </c>
      <c r="AO764" s="243" t="str">
        <f>'All Ticker P&amp;L'!D764</f>
        <v/>
      </c>
      <c r="AP764" s="243">
        <f>IF($AL764="",0,'All Ticker P&amp;L'!E764)</f>
        <v>0</v>
      </c>
      <c r="AQ764" s="266">
        <f>IF($AL764="",0,'All Ticker P&amp;L'!J764*'All Ticker P&amp;L'!I764)</f>
        <v>0</v>
      </c>
      <c r="AR764" s="266">
        <f>IF($AL764="",0,'All Ticker P&amp;L'!L764)</f>
        <v>0</v>
      </c>
      <c r="AS764" s="267">
        <f>IF($AL764="",0,'All Ticker P&amp;L'!M764)</f>
        <v>0</v>
      </c>
      <c r="AT764" s="243" t="str">
        <f>IF($AL764="","",RANK(AR764,$AR$2:$AR$1001)+COUNTIF($AR$2:AR764,AR764)-1)</f>
        <v/>
      </c>
      <c r="AU764" s="243" t="str">
        <f>IF($AL764="","",RANK(AV764,$AV$2:$AV$1001)+COUNTIF($AV$2:AV764,AV764)-1)</f>
        <v/>
      </c>
      <c r="AV764" s="266">
        <f t="shared" si="54"/>
        <v>0</v>
      </c>
    </row>
    <row r="765" spans="26:48" ht="15" customHeight="1" x14ac:dyDescent="0.2">
      <c r="Z765" s="243" t="str">
        <f>Shares!A765</f>
        <v/>
      </c>
      <c r="AA765" s="243" t="str">
        <f>Shares!B765</f>
        <v/>
      </c>
      <c r="AB765" s="243" t="str">
        <f>Shares!C765</f>
        <v/>
      </c>
      <c r="AC765" s="243" t="str">
        <f>Shares!D765</f>
        <v/>
      </c>
      <c r="AD765" s="243">
        <f>IF($Z765="",0,Shares!E765)</f>
        <v>0</v>
      </c>
      <c r="AE765" s="266">
        <f>IF($Z765="",0,Shares!J765*Shares!I765)</f>
        <v>0</v>
      </c>
      <c r="AF765" s="267">
        <f t="shared" si="53"/>
        <v>0</v>
      </c>
      <c r="AG765" s="266">
        <f>IF($Z765="",0,Shares!L765)</f>
        <v>0</v>
      </c>
      <c r="AH765" s="267">
        <f>IF($Z765="",0,Shares!M765)</f>
        <v>0</v>
      </c>
      <c r="AI765" s="243" t="str">
        <f>IF($Z765="","",RANK(AE765,$AE$2:$AE$1001)+COUNTIF($AE$2:AE765,AE765)-1)</f>
        <v/>
      </c>
      <c r="AJ765" s="243" t="str">
        <f>IF($AD765&lt;0,COUNT($AJ$1:AJ764)+1,"")</f>
        <v/>
      </c>
      <c r="AL765" s="243" t="str">
        <f>'All Ticker P&amp;L'!A765</f>
        <v/>
      </c>
      <c r="AM765" s="243" t="str">
        <f>'All Ticker P&amp;L'!B765</f>
        <v/>
      </c>
      <c r="AN765" s="243" t="str">
        <f>'All Ticker P&amp;L'!C765</f>
        <v/>
      </c>
      <c r="AO765" s="243" t="str">
        <f>'All Ticker P&amp;L'!D765</f>
        <v/>
      </c>
      <c r="AP765" s="243">
        <f>IF($AL765="",0,'All Ticker P&amp;L'!E765)</f>
        <v>0</v>
      </c>
      <c r="AQ765" s="266">
        <f>IF($AL765="",0,'All Ticker P&amp;L'!J765*'All Ticker P&amp;L'!I765)</f>
        <v>0</v>
      </c>
      <c r="AR765" s="266">
        <f>IF($AL765="",0,'All Ticker P&amp;L'!L765)</f>
        <v>0</v>
      </c>
      <c r="AS765" s="267">
        <f>IF($AL765="",0,'All Ticker P&amp;L'!M765)</f>
        <v>0</v>
      </c>
      <c r="AT765" s="243" t="str">
        <f>IF($AL765="","",RANK(AR765,$AR$2:$AR$1001)+COUNTIF($AR$2:AR765,AR765)-1)</f>
        <v/>
      </c>
      <c r="AU765" s="243" t="str">
        <f>IF($AL765="","",RANK(AV765,$AV$2:$AV$1001)+COUNTIF($AV$2:AV765,AV765)-1)</f>
        <v/>
      </c>
      <c r="AV765" s="266">
        <f t="shared" si="54"/>
        <v>0</v>
      </c>
    </row>
    <row r="766" spans="26:48" ht="15" customHeight="1" x14ac:dyDescent="0.2">
      <c r="Z766" s="243" t="str">
        <f>Shares!A766</f>
        <v/>
      </c>
      <c r="AA766" s="243" t="str">
        <f>Shares!B766</f>
        <v/>
      </c>
      <c r="AB766" s="243" t="str">
        <f>Shares!C766</f>
        <v/>
      </c>
      <c r="AC766" s="243" t="str">
        <f>Shares!D766</f>
        <v/>
      </c>
      <c r="AD766" s="243">
        <f>IF($Z766="",0,Shares!E766)</f>
        <v>0</v>
      </c>
      <c r="AE766" s="266">
        <f>IF($Z766="",0,Shares!J766*Shares!I766)</f>
        <v>0</v>
      </c>
      <c r="AF766" s="267">
        <f t="shared" si="53"/>
        <v>0</v>
      </c>
      <c r="AG766" s="266">
        <f>IF($Z766="",0,Shares!L766)</f>
        <v>0</v>
      </c>
      <c r="AH766" s="267">
        <f>IF($Z766="",0,Shares!M766)</f>
        <v>0</v>
      </c>
      <c r="AI766" s="243" t="str">
        <f>IF($Z766="","",RANK(AE766,$AE$2:$AE$1001)+COUNTIF($AE$2:AE766,AE766)-1)</f>
        <v/>
      </c>
      <c r="AJ766" s="243" t="str">
        <f>IF($AD766&lt;0,COUNT($AJ$1:AJ765)+1,"")</f>
        <v/>
      </c>
      <c r="AL766" s="243" t="str">
        <f>'All Ticker P&amp;L'!A766</f>
        <v/>
      </c>
      <c r="AM766" s="243" t="str">
        <f>'All Ticker P&amp;L'!B766</f>
        <v/>
      </c>
      <c r="AN766" s="243" t="str">
        <f>'All Ticker P&amp;L'!C766</f>
        <v/>
      </c>
      <c r="AO766" s="243" t="str">
        <f>'All Ticker P&amp;L'!D766</f>
        <v/>
      </c>
      <c r="AP766" s="243">
        <f>IF($AL766="",0,'All Ticker P&amp;L'!E766)</f>
        <v>0</v>
      </c>
      <c r="AQ766" s="266">
        <f>IF($AL766="",0,'All Ticker P&amp;L'!J766*'All Ticker P&amp;L'!I766)</f>
        <v>0</v>
      </c>
      <c r="AR766" s="266">
        <f>IF($AL766="",0,'All Ticker P&amp;L'!L766)</f>
        <v>0</v>
      </c>
      <c r="AS766" s="267">
        <f>IF($AL766="",0,'All Ticker P&amp;L'!M766)</f>
        <v>0</v>
      </c>
      <c r="AT766" s="243" t="str">
        <f>IF($AL766="","",RANK(AR766,$AR$2:$AR$1001)+COUNTIF($AR$2:AR766,AR766)-1)</f>
        <v/>
      </c>
      <c r="AU766" s="243" t="str">
        <f>IF($AL766="","",RANK(AV766,$AV$2:$AV$1001)+COUNTIF($AV$2:AV766,AV766)-1)</f>
        <v/>
      </c>
      <c r="AV766" s="266">
        <f t="shared" si="54"/>
        <v>0</v>
      </c>
    </row>
    <row r="767" spans="26:48" ht="15" customHeight="1" x14ac:dyDescent="0.2">
      <c r="Z767" s="243" t="str">
        <f>Shares!A767</f>
        <v/>
      </c>
      <c r="AA767" s="243" t="str">
        <f>Shares!B767</f>
        <v/>
      </c>
      <c r="AB767" s="243" t="str">
        <f>Shares!C767</f>
        <v/>
      </c>
      <c r="AC767" s="243" t="str">
        <f>Shares!D767</f>
        <v/>
      </c>
      <c r="AD767" s="243">
        <f>IF($Z767="",0,Shares!E767)</f>
        <v>0</v>
      </c>
      <c r="AE767" s="266">
        <f>IF($Z767="",0,Shares!J767*Shares!I767)</f>
        <v>0</v>
      </c>
      <c r="AF767" s="267">
        <f t="shared" si="53"/>
        <v>0</v>
      </c>
      <c r="AG767" s="266">
        <f>IF($Z767="",0,Shares!L767)</f>
        <v>0</v>
      </c>
      <c r="AH767" s="267">
        <f>IF($Z767="",0,Shares!M767)</f>
        <v>0</v>
      </c>
      <c r="AI767" s="243" t="str">
        <f>IF($Z767="","",RANK(AE767,$AE$2:$AE$1001)+COUNTIF($AE$2:AE767,AE767)-1)</f>
        <v/>
      </c>
      <c r="AJ767" s="243" t="str">
        <f>IF($AD767&lt;0,COUNT($AJ$1:AJ766)+1,"")</f>
        <v/>
      </c>
      <c r="AL767" s="243" t="str">
        <f>'All Ticker P&amp;L'!A767</f>
        <v/>
      </c>
      <c r="AM767" s="243" t="str">
        <f>'All Ticker P&amp;L'!B767</f>
        <v/>
      </c>
      <c r="AN767" s="243" t="str">
        <f>'All Ticker P&amp;L'!C767</f>
        <v/>
      </c>
      <c r="AO767" s="243" t="str">
        <f>'All Ticker P&amp;L'!D767</f>
        <v/>
      </c>
      <c r="AP767" s="243">
        <f>IF($AL767="",0,'All Ticker P&amp;L'!E767)</f>
        <v>0</v>
      </c>
      <c r="AQ767" s="266">
        <f>IF($AL767="",0,'All Ticker P&amp;L'!J767*'All Ticker P&amp;L'!I767)</f>
        <v>0</v>
      </c>
      <c r="AR767" s="266">
        <f>IF($AL767="",0,'All Ticker P&amp;L'!L767)</f>
        <v>0</v>
      </c>
      <c r="AS767" s="267">
        <f>IF($AL767="",0,'All Ticker P&amp;L'!M767)</f>
        <v>0</v>
      </c>
      <c r="AT767" s="243" t="str">
        <f>IF($AL767="","",RANK(AR767,$AR$2:$AR$1001)+COUNTIF($AR$2:AR767,AR767)-1)</f>
        <v/>
      </c>
      <c r="AU767" s="243" t="str">
        <f>IF($AL767="","",RANK(AV767,$AV$2:$AV$1001)+COUNTIF($AV$2:AV767,AV767)-1)</f>
        <v/>
      </c>
      <c r="AV767" s="266">
        <f t="shared" si="54"/>
        <v>0</v>
      </c>
    </row>
    <row r="768" spans="26:48" ht="15" customHeight="1" x14ac:dyDescent="0.2">
      <c r="Z768" s="243" t="str">
        <f>Shares!A768</f>
        <v/>
      </c>
      <c r="AA768" s="243" t="str">
        <f>Shares!B768</f>
        <v/>
      </c>
      <c r="AB768" s="243" t="str">
        <f>Shares!C768</f>
        <v/>
      </c>
      <c r="AC768" s="243" t="str">
        <f>Shares!D768</f>
        <v/>
      </c>
      <c r="AD768" s="243">
        <f>IF($Z768="",0,Shares!E768)</f>
        <v>0</v>
      </c>
      <c r="AE768" s="266">
        <f>IF($Z768="",0,Shares!J768*Shares!I768)</f>
        <v>0</v>
      </c>
      <c r="AF768" s="267">
        <f t="shared" si="53"/>
        <v>0</v>
      </c>
      <c r="AG768" s="266">
        <f>IF($Z768="",0,Shares!L768)</f>
        <v>0</v>
      </c>
      <c r="AH768" s="267">
        <f>IF($Z768="",0,Shares!M768)</f>
        <v>0</v>
      </c>
      <c r="AI768" s="243" t="str">
        <f>IF($Z768="","",RANK(AE768,$AE$2:$AE$1001)+COUNTIF($AE$2:AE768,AE768)-1)</f>
        <v/>
      </c>
      <c r="AJ768" s="243" t="str">
        <f>IF($AD768&lt;0,COUNT($AJ$1:AJ767)+1,"")</f>
        <v/>
      </c>
      <c r="AL768" s="243" t="str">
        <f>'All Ticker P&amp;L'!A768</f>
        <v/>
      </c>
      <c r="AM768" s="243" t="str">
        <f>'All Ticker P&amp;L'!B768</f>
        <v/>
      </c>
      <c r="AN768" s="243" t="str">
        <f>'All Ticker P&amp;L'!C768</f>
        <v/>
      </c>
      <c r="AO768" s="243" t="str">
        <f>'All Ticker P&amp;L'!D768</f>
        <v/>
      </c>
      <c r="AP768" s="243">
        <f>IF($AL768="",0,'All Ticker P&amp;L'!E768)</f>
        <v>0</v>
      </c>
      <c r="AQ768" s="266">
        <f>IF($AL768="",0,'All Ticker P&amp;L'!J768*'All Ticker P&amp;L'!I768)</f>
        <v>0</v>
      </c>
      <c r="AR768" s="266">
        <f>IF($AL768="",0,'All Ticker P&amp;L'!L768)</f>
        <v>0</v>
      </c>
      <c r="AS768" s="267">
        <f>IF($AL768="",0,'All Ticker P&amp;L'!M768)</f>
        <v>0</v>
      </c>
      <c r="AT768" s="243" t="str">
        <f>IF($AL768="","",RANK(AR768,$AR$2:$AR$1001)+COUNTIF($AR$2:AR768,AR768)-1)</f>
        <v/>
      </c>
      <c r="AU768" s="243" t="str">
        <f>IF($AL768="","",RANK(AV768,$AV$2:$AV$1001)+COUNTIF($AV$2:AV768,AV768)-1)</f>
        <v/>
      </c>
      <c r="AV768" s="266">
        <f t="shared" si="54"/>
        <v>0</v>
      </c>
    </row>
    <row r="769" spans="26:48" ht="15" customHeight="1" x14ac:dyDescent="0.2">
      <c r="Z769" s="243" t="str">
        <f>Shares!A769</f>
        <v/>
      </c>
      <c r="AA769" s="243" t="str">
        <f>Shares!B769</f>
        <v/>
      </c>
      <c r="AB769" s="243" t="str">
        <f>Shares!C769</f>
        <v/>
      </c>
      <c r="AC769" s="243" t="str">
        <f>Shares!D769</f>
        <v/>
      </c>
      <c r="AD769" s="243">
        <f>IF($Z769="",0,Shares!E769)</f>
        <v>0</v>
      </c>
      <c r="AE769" s="266">
        <f>IF($Z769="",0,Shares!J769*Shares!I769)</f>
        <v>0</v>
      </c>
      <c r="AF769" s="267">
        <f t="shared" si="53"/>
        <v>0</v>
      </c>
      <c r="AG769" s="266">
        <f>IF($Z769="",0,Shares!L769)</f>
        <v>0</v>
      </c>
      <c r="AH769" s="267">
        <f>IF($Z769="",0,Shares!M769)</f>
        <v>0</v>
      </c>
      <c r="AI769" s="243" t="str">
        <f>IF($Z769="","",RANK(AE769,$AE$2:$AE$1001)+COUNTIF($AE$2:AE769,AE769)-1)</f>
        <v/>
      </c>
      <c r="AJ769" s="243" t="str">
        <f>IF($AD769&lt;0,COUNT($AJ$1:AJ768)+1,"")</f>
        <v/>
      </c>
      <c r="AL769" s="243" t="str">
        <f>'All Ticker P&amp;L'!A769</f>
        <v/>
      </c>
      <c r="AM769" s="243" t="str">
        <f>'All Ticker P&amp;L'!B769</f>
        <v/>
      </c>
      <c r="AN769" s="243" t="str">
        <f>'All Ticker P&amp;L'!C769</f>
        <v/>
      </c>
      <c r="AO769" s="243" t="str">
        <f>'All Ticker P&amp;L'!D769</f>
        <v/>
      </c>
      <c r="AP769" s="243">
        <f>IF($AL769="",0,'All Ticker P&amp;L'!E769)</f>
        <v>0</v>
      </c>
      <c r="AQ769" s="266">
        <f>IF($AL769="",0,'All Ticker P&amp;L'!J769*'All Ticker P&amp;L'!I769)</f>
        <v>0</v>
      </c>
      <c r="AR769" s="266">
        <f>IF($AL769="",0,'All Ticker P&amp;L'!L769)</f>
        <v>0</v>
      </c>
      <c r="AS769" s="267">
        <f>IF($AL769="",0,'All Ticker P&amp;L'!M769)</f>
        <v>0</v>
      </c>
      <c r="AT769" s="243" t="str">
        <f>IF($AL769="","",RANK(AR769,$AR$2:$AR$1001)+COUNTIF($AR$2:AR769,AR769)-1)</f>
        <v/>
      </c>
      <c r="AU769" s="243" t="str">
        <f>IF($AL769="","",RANK(AV769,$AV$2:$AV$1001)+COUNTIF($AV$2:AV769,AV769)-1)</f>
        <v/>
      </c>
      <c r="AV769" s="266">
        <f t="shared" si="54"/>
        <v>0</v>
      </c>
    </row>
    <row r="770" spans="26:48" ht="15" customHeight="1" x14ac:dyDescent="0.2">
      <c r="Z770" s="243" t="str">
        <f>Shares!A770</f>
        <v/>
      </c>
      <c r="AA770" s="243" t="str">
        <f>Shares!B770</f>
        <v/>
      </c>
      <c r="AB770" s="243" t="str">
        <f>Shares!C770</f>
        <v/>
      </c>
      <c r="AC770" s="243" t="str">
        <f>Shares!D770</f>
        <v/>
      </c>
      <c r="AD770" s="243">
        <f>IF($Z770="",0,Shares!E770)</f>
        <v>0</v>
      </c>
      <c r="AE770" s="266">
        <f>IF($Z770="",0,Shares!J770*Shares!I770)</f>
        <v>0</v>
      </c>
      <c r="AF770" s="267">
        <f t="shared" ref="AF770:AF833" si="55">IFERROR(AE770/$B$5,0)</f>
        <v>0</v>
      </c>
      <c r="AG770" s="266">
        <f>IF($Z770="",0,Shares!L770)</f>
        <v>0</v>
      </c>
      <c r="AH770" s="267">
        <f>IF($Z770="",0,Shares!M770)</f>
        <v>0</v>
      </c>
      <c r="AI770" s="243" t="str">
        <f>IF($Z770="","",RANK(AE770,$AE$2:$AE$1001)+COUNTIF($AE$2:AE770,AE770)-1)</f>
        <v/>
      </c>
      <c r="AJ770" s="243" t="str">
        <f>IF($AD770&lt;0,COUNT($AJ$1:AJ769)+1,"")</f>
        <v/>
      </c>
      <c r="AL770" s="243" t="str">
        <f>'All Ticker P&amp;L'!A770</f>
        <v/>
      </c>
      <c r="AM770" s="243" t="str">
        <f>'All Ticker P&amp;L'!B770</f>
        <v/>
      </c>
      <c r="AN770" s="243" t="str">
        <f>'All Ticker P&amp;L'!C770</f>
        <v/>
      </c>
      <c r="AO770" s="243" t="str">
        <f>'All Ticker P&amp;L'!D770</f>
        <v/>
      </c>
      <c r="AP770" s="243">
        <f>IF($AL770="",0,'All Ticker P&amp;L'!E770)</f>
        <v>0</v>
      </c>
      <c r="AQ770" s="266">
        <f>IF($AL770="",0,'All Ticker P&amp;L'!J770*'All Ticker P&amp;L'!I770)</f>
        <v>0</v>
      </c>
      <c r="AR770" s="266">
        <f>IF($AL770="",0,'All Ticker P&amp;L'!L770)</f>
        <v>0</v>
      </c>
      <c r="AS770" s="267">
        <f>IF($AL770="",0,'All Ticker P&amp;L'!M770)</f>
        <v>0</v>
      </c>
      <c r="AT770" s="243" t="str">
        <f>IF($AL770="","",RANK(AR770,$AR$2:$AR$1001)+COUNTIF($AR$2:AR770,AR770)-1)</f>
        <v/>
      </c>
      <c r="AU770" s="243" t="str">
        <f>IF($AL770="","",RANK(AV770,$AV$2:$AV$1001)+COUNTIF($AV$2:AV770,AV770)-1)</f>
        <v/>
      </c>
      <c r="AV770" s="266">
        <f t="shared" ref="AV770:AV833" si="56">-AR770</f>
        <v>0</v>
      </c>
    </row>
    <row r="771" spans="26:48" ht="15" customHeight="1" x14ac:dyDescent="0.2">
      <c r="Z771" s="243" t="str">
        <f>Shares!A771</f>
        <v/>
      </c>
      <c r="AA771" s="243" t="str">
        <f>Shares!B771</f>
        <v/>
      </c>
      <c r="AB771" s="243" t="str">
        <f>Shares!C771</f>
        <v/>
      </c>
      <c r="AC771" s="243" t="str">
        <f>Shares!D771</f>
        <v/>
      </c>
      <c r="AD771" s="243">
        <f>IF($Z771="",0,Shares!E771)</f>
        <v>0</v>
      </c>
      <c r="AE771" s="266">
        <f>IF($Z771="",0,Shares!J771*Shares!I771)</f>
        <v>0</v>
      </c>
      <c r="AF771" s="267">
        <f t="shared" si="55"/>
        <v>0</v>
      </c>
      <c r="AG771" s="266">
        <f>IF($Z771="",0,Shares!L771)</f>
        <v>0</v>
      </c>
      <c r="AH771" s="267">
        <f>IF($Z771="",0,Shares!M771)</f>
        <v>0</v>
      </c>
      <c r="AI771" s="243" t="str">
        <f>IF($Z771="","",RANK(AE771,$AE$2:$AE$1001)+COUNTIF($AE$2:AE771,AE771)-1)</f>
        <v/>
      </c>
      <c r="AJ771" s="243" t="str">
        <f>IF($AD771&lt;0,COUNT($AJ$1:AJ770)+1,"")</f>
        <v/>
      </c>
      <c r="AL771" s="243" t="str">
        <f>'All Ticker P&amp;L'!A771</f>
        <v/>
      </c>
      <c r="AM771" s="243" t="str">
        <f>'All Ticker P&amp;L'!B771</f>
        <v/>
      </c>
      <c r="AN771" s="243" t="str">
        <f>'All Ticker P&amp;L'!C771</f>
        <v/>
      </c>
      <c r="AO771" s="243" t="str">
        <f>'All Ticker P&amp;L'!D771</f>
        <v/>
      </c>
      <c r="AP771" s="243">
        <f>IF($AL771="",0,'All Ticker P&amp;L'!E771)</f>
        <v>0</v>
      </c>
      <c r="AQ771" s="266">
        <f>IF($AL771="",0,'All Ticker P&amp;L'!J771*'All Ticker P&amp;L'!I771)</f>
        <v>0</v>
      </c>
      <c r="AR771" s="266">
        <f>IF($AL771="",0,'All Ticker P&amp;L'!L771)</f>
        <v>0</v>
      </c>
      <c r="AS771" s="267">
        <f>IF($AL771="",0,'All Ticker P&amp;L'!M771)</f>
        <v>0</v>
      </c>
      <c r="AT771" s="243" t="str">
        <f>IF($AL771="","",RANK(AR771,$AR$2:$AR$1001)+COUNTIF($AR$2:AR771,AR771)-1)</f>
        <v/>
      </c>
      <c r="AU771" s="243" t="str">
        <f>IF($AL771="","",RANK(AV771,$AV$2:$AV$1001)+COUNTIF($AV$2:AV771,AV771)-1)</f>
        <v/>
      </c>
      <c r="AV771" s="266">
        <f t="shared" si="56"/>
        <v>0</v>
      </c>
    </row>
    <row r="772" spans="26:48" ht="15" customHeight="1" x14ac:dyDescent="0.2">
      <c r="Z772" s="243" t="str">
        <f>Shares!A772</f>
        <v/>
      </c>
      <c r="AA772" s="243" t="str">
        <f>Shares!B772</f>
        <v/>
      </c>
      <c r="AB772" s="243" t="str">
        <f>Shares!C772</f>
        <v/>
      </c>
      <c r="AC772" s="243" t="str">
        <f>Shares!D772</f>
        <v/>
      </c>
      <c r="AD772" s="243">
        <f>IF($Z772="",0,Shares!E772)</f>
        <v>0</v>
      </c>
      <c r="AE772" s="266">
        <f>IF($Z772="",0,Shares!J772*Shares!I772)</f>
        <v>0</v>
      </c>
      <c r="AF772" s="267">
        <f t="shared" si="55"/>
        <v>0</v>
      </c>
      <c r="AG772" s="266">
        <f>IF($Z772="",0,Shares!L772)</f>
        <v>0</v>
      </c>
      <c r="AH772" s="267">
        <f>IF($Z772="",0,Shares!M772)</f>
        <v>0</v>
      </c>
      <c r="AI772" s="243" t="str">
        <f>IF($Z772="","",RANK(AE772,$AE$2:$AE$1001)+COUNTIF($AE$2:AE772,AE772)-1)</f>
        <v/>
      </c>
      <c r="AJ772" s="243" t="str">
        <f>IF($AD772&lt;0,COUNT($AJ$1:AJ771)+1,"")</f>
        <v/>
      </c>
      <c r="AL772" s="243" t="str">
        <f>'All Ticker P&amp;L'!A772</f>
        <v/>
      </c>
      <c r="AM772" s="243" t="str">
        <f>'All Ticker P&amp;L'!B772</f>
        <v/>
      </c>
      <c r="AN772" s="243" t="str">
        <f>'All Ticker P&amp;L'!C772</f>
        <v/>
      </c>
      <c r="AO772" s="243" t="str">
        <f>'All Ticker P&amp;L'!D772</f>
        <v/>
      </c>
      <c r="AP772" s="243">
        <f>IF($AL772="",0,'All Ticker P&amp;L'!E772)</f>
        <v>0</v>
      </c>
      <c r="AQ772" s="266">
        <f>IF($AL772="",0,'All Ticker P&amp;L'!J772*'All Ticker P&amp;L'!I772)</f>
        <v>0</v>
      </c>
      <c r="AR772" s="266">
        <f>IF($AL772="",0,'All Ticker P&amp;L'!L772)</f>
        <v>0</v>
      </c>
      <c r="AS772" s="267">
        <f>IF($AL772="",0,'All Ticker P&amp;L'!M772)</f>
        <v>0</v>
      </c>
      <c r="AT772" s="243" t="str">
        <f>IF($AL772="","",RANK(AR772,$AR$2:$AR$1001)+COUNTIF($AR$2:AR772,AR772)-1)</f>
        <v/>
      </c>
      <c r="AU772" s="243" t="str">
        <f>IF($AL772="","",RANK(AV772,$AV$2:$AV$1001)+COUNTIF($AV$2:AV772,AV772)-1)</f>
        <v/>
      </c>
      <c r="AV772" s="266">
        <f t="shared" si="56"/>
        <v>0</v>
      </c>
    </row>
    <row r="773" spans="26:48" ht="15" customHeight="1" x14ac:dyDescent="0.2">
      <c r="Z773" s="243" t="str">
        <f>Shares!A773</f>
        <v/>
      </c>
      <c r="AA773" s="243" t="str">
        <f>Shares!B773</f>
        <v/>
      </c>
      <c r="AB773" s="243" t="str">
        <f>Shares!C773</f>
        <v/>
      </c>
      <c r="AC773" s="243" t="str">
        <f>Shares!D773</f>
        <v/>
      </c>
      <c r="AD773" s="243">
        <f>IF($Z773="",0,Shares!E773)</f>
        <v>0</v>
      </c>
      <c r="AE773" s="266">
        <f>IF($Z773="",0,Shares!J773*Shares!I773)</f>
        <v>0</v>
      </c>
      <c r="AF773" s="267">
        <f t="shared" si="55"/>
        <v>0</v>
      </c>
      <c r="AG773" s="266">
        <f>IF($Z773="",0,Shares!L773)</f>
        <v>0</v>
      </c>
      <c r="AH773" s="267">
        <f>IF($Z773="",0,Shares!M773)</f>
        <v>0</v>
      </c>
      <c r="AI773" s="243" t="str">
        <f>IF($Z773="","",RANK(AE773,$AE$2:$AE$1001)+COUNTIF($AE$2:AE773,AE773)-1)</f>
        <v/>
      </c>
      <c r="AJ773" s="243" t="str">
        <f>IF($AD773&lt;0,COUNT($AJ$1:AJ772)+1,"")</f>
        <v/>
      </c>
      <c r="AL773" s="243" t="str">
        <f>'All Ticker P&amp;L'!A773</f>
        <v/>
      </c>
      <c r="AM773" s="243" t="str">
        <f>'All Ticker P&amp;L'!B773</f>
        <v/>
      </c>
      <c r="AN773" s="243" t="str">
        <f>'All Ticker P&amp;L'!C773</f>
        <v/>
      </c>
      <c r="AO773" s="243" t="str">
        <f>'All Ticker P&amp;L'!D773</f>
        <v/>
      </c>
      <c r="AP773" s="243">
        <f>IF($AL773="",0,'All Ticker P&amp;L'!E773)</f>
        <v>0</v>
      </c>
      <c r="AQ773" s="266">
        <f>IF($AL773="",0,'All Ticker P&amp;L'!J773*'All Ticker P&amp;L'!I773)</f>
        <v>0</v>
      </c>
      <c r="AR773" s="266">
        <f>IF($AL773="",0,'All Ticker P&amp;L'!L773)</f>
        <v>0</v>
      </c>
      <c r="AS773" s="267">
        <f>IF($AL773="",0,'All Ticker P&amp;L'!M773)</f>
        <v>0</v>
      </c>
      <c r="AT773" s="243" t="str">
        <f>IF($AL773="","",RANK(AR773,$AR$2:$AR$1001)+COUNTIF($AR$2:AR773,AR773)-1)</f>
        <v/>
      </c>
      <c r="AU773" s="243" t="str">
        <f>IF($AL773="","",RANK(AV773,$AV$2:$AV$1001)+COUNTIF($AV$2:AV773,AV773)-1)</f>
        <v/>
      </c>
      <c r="AV773" s="266">
        <f t="shared" si="56"/>
        <v>0</v>
      </c>
    </row>
    <row r="774" spans="26:48" ht="15" customHeight="1" x14ac:dyDescent="0.2">
      <c r="Z774" s="243" t="str">
        <f>Shares!A774</f>
        <v/>
      </c>
      <c r="AA774" s="243" t="str">
        <f>Shares!B774</f>
        <v/>
      </c>
      <c r="AB774" s="243" t="str">
        <f>Shares!C774</f>
        <v/>
      </c>
      <c r="AC774" s="243" t="str">
        <f>Shares!D774</f>
        <v/>
      </c>
      <c r="AD774" s="243">
        <f>IF($Z774="",0,Shares!E774)</f>
        <v>0</v>
      </c>
      <c r="AE774" s="266">
        <f>IF($Z774="",0,Shares!J774*Shares!I774)</f>
        <v>0</v>
      </c>
      <c r="AF774" s="267">
        <f t="shared" si="55"/>
        <v>0</v>
      </c>
      <c r="AG774" s="266">
        <f>IF($Z774="",0,Shares!L774)</f>
        <v>0</v>
      </c>
      <c r="AH774" s="267">
        <f>IF($Z774="",0,Shares!M774)</f>
        <v>0</v>
      </c>
      <c r="AI774" s="243" t="str">
        <f>IF($Z774="","",RANK(AE774,$AE$2:$AE$1001)+COUNTIF($AE$2:AE774,AE774)-1)</f>
        <v/>
      </c>
      <c r="AJ774" s="243" t="str">
        <f>IF($AD774&lt;0,COUNT($AJ$1:AJ773)+1,"")</f>
        <v/>
      </c>
      <c r="AL774" s="243" t="str">
        <f>'All Ticker P&amp;L'!A774</f>
        <v/>
      </c>
      <c r="AM774" s="243" t="str">
        <f>'All Ticker P&amp;L'!B774</f>
        <v/>
      </c>
      <c r="AN774" s="243" t="str">
        <f>'All Ticker P&amp;L'!C774</f>
        <v/>
      </c>
      <c r="AO774" s="243" t="str">
        <f>'All Ticker P&amp;L'!D774</f>
        <v/>
      </c>
      <c r="AP774" s="243">
        <f>IF($AL774="",0,'All Ticker P&amp;L'!E774)</f>
        <v>0</v>
      </c>
      <c r="AQ774" s="266">
        <f>IF($AL774="",0,'All Ticker P&amp;L'!J774*'All Ticker P&amp;L'!I774)</f>
        <v>0</v>
      </c>
      <c r="AR774" s="266">
        <f>IF($AL774="",0,'All Ticker P&amp;L'!L774)</f>
        <v>0</v>
      </c>
      <c r="AS774" s="267">
        <f>IF($AL774="",0,'All Ticker P&amp;L'!M774)</f>
        <v>0</v>
      </c>
      <c r="AT774" s="243" t="str">
        <f>IF($AL774="","",RANK(AR774,$AR$2:$AR$1001)+COUNTIF($AR$2:AR774,AR774)-1)</f>
        <v/>
      </c>
      <c r="AU774" s="243" t="str">
        <f>IF($AL774="","",RANK(AV774,$AV$2:$AV$1001)+COUNTIF($AV$2:AV774,AV774)-1)</f>
        <v/>
      </c>
      <c r="AV774" s="266">
        <f t="shared" si="56"/>
        <v>0</v>
      </c>
    </row>
    <row r="775" spans="26:48" ht="15" customHeight="1" x14ac:dyDescent="0.2">
      <c r="Z775" s="243" t="str">
        <f>Shares!A775</f>
        <v/>
      </c>
      <c r="AA775" s="243" t="str">
        <f>Shares!B775</f>
        <v/>
      </c>
      <c r="AB775" s="243" t="str">
        <f>Shares!C775</f>
        <v/>
      </c>
      <c r="AC775" s="243" t="str">
        <f>Shares!D775</f>
        <v/>
      </c>
      <c r="AD775" s="243">
        <f>IF($Z775="",0,Shares!E775)</f>
        <v>0</v>
      </c>
      <c r="AE775" s="266">
        <f>IF($Z775="",0,Shares!J775*Shares!I775)</f>
        <v>0</v>
      </c>
      <c r="AF775" s="267">
        <f t="shared" si="55"/>
        <v>0</v>
      </c>
      <c r="AG775" s="266">
        <f>IF($Z775="",0,Shares!L775)</f>
        <v>0</v>
      </c>
      <c r="AH775" s="267">
        <f>IF($Z775="",0,Shares!M775)</f>
        <v>0</v>
      </c>
      <c r="AI775" s="243" t="str">
        <f>IF($Z775="","",RANK(AE775,$AE$2:$AE$1001)+COUNTIF($AE$2:AE775,AE775)-1)</f>
        <v/>
      </c>
      <c r="AJ775" s="243" t="str">
        <f>IF($AD775&lt;0,COUNT($AJ$1:AJ774)+1,"")</f>
        <v/>
      </c>
      <c r="AL775" s="243" t="str">
        <f>'All Ticker P&amp;L'!A775</f>
        <v/>
      </c>
      <c r="AM775" s="243" t="str">
        <f>'All Ticker P&amp;L'!B775</f>
        <v/>
      </c>
      <c r="AN775" s="243" t="str">
        <f>'All Ticker P&amp;L'!C775</f>
        <v/>
      </c>
      <c r="AO775" s="243" t="str">
        <f>'All Ticker P&amp;L'!D775</f>
        <v/>
      </c>
      <c r="AP775" s="243">
        <f>IF($AL775="",0,'All Ticker P&amp;L'!E775)</f>
        <v>0</v>
      </c>
      <c r="AQ775" s="266">
        <f>IF($AL775="",0,'All Ticker P&amp;L'!J775*'All Ticker P&amp;L'!I775)</f>
        <v>0</v>
      </c>
      <c r="AR775" s="266">
        <f>IF($AL775="",0,'All Ticker P&amp;L'!L775)</f>
        <v>0</v>
      </c>
      <c r="AS775" s="267">
        <f>IF($AL775="",0,'All Ticker P&amp;L'!M775)</f>
        <v>0</v>
      </c>
      <c r="AT775" s="243" t="str">
        <f>IF($AL775="","",RANK(AR775,$AR$2:$AR$1001)+COUNTIF($AR$2:AR775,AR775)-1)</f>
        <v/>
      </c>
      <c r="AU775" s="243" t="str">
        <f>IF($AL775="","",RANK(AV775,$AV$2:$AV$1001)+COUNTIF($AV$2:AV775,AV775)-1)</f>
        <v/>
      </c>
      <c r="AV775" s="266">
        <f t="shared" si="56"/>
        <v>0</v>
      </c>
    </row>
    <row r="776" spans="26:48" ht="15" customHeight="1" x14ac:dyDescent="0.2">
      <c r="Z776" s="243" t="str">
        <f>Shares!A776</f>
        <v/>
      </c>
      <c r="AA776" s="243" t="str">
        <f>Shares!B776</f>
        <v/>
      </c>
      <c r="AB776" s="243" t="str">
        <f>Shares!C776</f>
        <v/>
      </c>
      <c r="AC776" s="243" t="str">
        <f>Shares!D776</f>
        <v/>
      </c>
      <c r="AD776" s="243">
        <f>IF($Z776="",0,Shares!E776)</f>
        <v>0</v>
      </c>
      <c r="AE776" s="266">
        <f>IF($Z776="",0,Shares!J776*Shares!I776)</f>
        <v>0</v>
      </c>
      <c r="AF776" s="267">
        <f t="shared" si="55"/>
        <v>0</v>
      </c>
      <c r="AG776" s="266">
        <f>IF($Z776="",0,Shares!L776)</f>
        <v>0</v>
      </c>
      <c r="AH776" s="267">
        <f>IF($Z776="",0,Shares!M776)</f>
        <v>0</v>
      </c>
      <c r="AI776" s="243" t="str">
        <f>IF($Z776="","",RANK(AE776,$AE$2:$AE$1001)+COUNTIF($AE$2:AE776,AE776)-1)</f>
        <v/>
      </c>
      <c r="AJ776" s="243" t="str">
        <f>IF($AD776&lt;0,COUNT($AJ$1:AJ775)+1,"")</f>
        <v/>
      </c>
      <c r="AL776" s="243" t="str">
        <f>'All Ticker P&amp;L'!A776</f>
        <v/>
      </c>
      <c r="AM776" s="243" t="str">
        <f>'All Ticker P&amp;L'!B776</f>
        <v/>
      </c>
      <c r="AN776" s="243" t="str">
        <f>'All Ticker P&amp;L'!C776</f>
        <v/>
      </c>
      <c r="AO776" s="243" t="str">
        <f>'All Ticker P&amp;L'!D776</f>
        <v/>
      </c>
      <c r="AP776" s="243">
        <f>IF($AL776="",0,'All Ticker P&amp;L'!E776)</f>
        <v>0</v>
      </c>
      <c r="AQ776" s="266">
        <f>IF($AL776="",0,'All Ticker P&amp;L'!J776*'All Ticker P&amp;L'!I776)</f>
        <v>0</v>
      </c>
      <c r="AR776" s="266">
        <f>IF($AL776="",0,'All Ticker P&amp;L'!L776)</f>
        <v>0</v>
      </c>
      <c r="AS776" s="267">
        <f>IF($AL776="",0,'All Ticker P&amp;L'!M776)</f>
        <v>0</v>
      </c>
      <c r="AT776" s="243" t="str">
        <f>IF($AL776="","",RANK(AR776,$AR$2:$AR$1001)+COUNTIF($AR$2:AR776,AR776)-1)</f>
        <v/>
      </c>
      <c r="AU776" s="243" t="str">
        <f>IF($AL776="","",RANK(AV776,$AV$2:$AV$1001)+COUNTIF($AV$2:AV776,AV776)-1)</f>
        <v/>
      </c>
      <c r="AV776" s="266">
        <f t="shared" si="56"/>
        <v>0</v>
      </c>
    </row>
    <row r="777" spans="26:48" ht="15" customHeight="1" x14ac:dyDescent="0.2">
      <c r="Z777" s="243" t="str">
        <f>Shares!A777</f>
        <v/>
      </c>
      <c r="AA777" s="243" t="str">
        <f>Shares!B777</f>
        <v/>
      </c>
      <c r="AB777" s="243" t="str">
        <f>Shares!C777</f>
        <v/>
      </c>
      <c r="AC777" s="243" t="str">
        <f>Shares!D777</f>
        <v/>
      </c>
      <c r="AD777" s="243">
        <f>IF($Z777="",0,Shares!E777)</f>
        <v>0</v>
      </c>
      <c r="AE777" s="266">
        <f>IF($Z777="",0,Shares!J777*Shares!I777)</f>
        <v>0</v>
      </c>
      <c r="AF777" s="267">
        <f t="shared" si="55"/>
        <v>0</v>
      </c>
      <c r="AG777" s="266">
        <f>IF($Z777="",0,Shares!L777)</f>
        <v>0</v>
      </c>
      <c r="AH777" s="267">
        <f>IF($Z777="",0,Shares!M777)</f>
        <v>0</v>
      </c>
      <c r="AI777" s="243" t="str">
        <f>IF($Z777="","",RANK(AE777,$AE$2:$AE$1001)+COUNTIF($AE$2:AE777,AE777)-1)</f>
        <v/>
      </c>
      <c r="AJ777" s="243" t="str">
        <f>IF($AD777&lt;0,COUNT($AJ$1:AJ776)+1,"")</f>
        <v/>
      </c>
      <c r="AL777" s="243" t="str">
        <f>'All Ticker P&amp;L'!A777</f>
        <v/>
      </c>
      <c r="AM777" s="243" t="str">
        <f>'All Ticker P&amp;L'!B777</f>
        <v/>
      </c>
      <c r="AN777" s="243" t="str">
        <f>'All Ticker P&amp;L'!C777</f>
        <v/>
      </c>
      <c r="AO777" s="243" t="str">
        <f>'All Ticker P&amp;L'!D777</f>
        <v/>
      </c>
      <c r="AP777" s="243">
        <f>IF($AL777="",0,'All Ticker P&amp;L'!E777)</f>
        <v>0</v>
      </c>
      <c r="AQ777" s="266">
        <f>IF($AL777="",0,'All Ticker P&amp;L'!J777*'All Ticker P&amp;L'!I777)</f>
        <v>0</v>
      </c>
      <c r="AR777" s="266">
        <f>IF($AL777="",0,'All Ticker P&amp;L'!L777)</f>
        <v>0</v>
      </c>
      <c r="AS777" s="267">
        <f>IF($AL777="",0,'All Ticker P&amp;L'!M777)</f>
        <v>0</v>
      </c>
      <c r="AT777" s="243" t="str">
        <f>IF($AL777="","",RANK(AR777,$AR$2:$AR$1001)+COUNTIF($AR$2:AR777,AR777)-1)</f>
        <v/>
      </c>
      <c r="AU777" s="243" t="str">
        <f>IF($AL777="","",RANK(AV777,$AV$2:$AV$1001)+COUNTIF($AV$2:AV777,AV777)-1)</f>
        <v/>
      </c>
      <c r="AV777" s="266">
        <f t="shared" si="56"/>
        <v>0</v>
      </c>
    </row>
    <row r="778" spans="26:48" ht="15" customHeight="1" x14ac:dyDescent="0.2">
      <c r="Z778" s="243" t="str">
        <f>Shares!A778</f>
        <v/>
      </c>
      <c r="AA778" s="243" t="str">
        <f>Shares!B778</f>
        <v/>
      </c>
      <c r="AB778" s="243" t="str">
        <f>Shares!C778</f>
        <v/>
      </c>
      <c r="AC778" s="243" t="str">
        <f>Shares!D778</f>
        <v/>
      </c>
      <c r="AD778" s="243">
        <f>IF($Z778="",0,Shares!E778)</f>
        <v>0</v>
      </c>
      <c r="AE778" s="266">
        <f>IF($Z778="",0,Shares!J778*Shares!I778)</f>
        <v>0</v>
      </c>
      <c r="AF778" s="267">
        <f t="shared" si="55"/>
        <v>0</v>
      </c>
      <c r="AG778" s="266">
        <f>IF($Z778="",0,Shares!L778)</f>
        <v>0</v>
      </c>
      <c r="AH778" s="267">
        <f>IF($Z778="",0,Shares!M778)</f>
        <v>0</v>
      </c>
      <c r="AI778" s="243" t="str">
        <f>IF($Z778="","",RANK(AE778,$AE$2:$AE$1001)+COUNTIF($AE$2:AE778,AE778)-1)</f>
        <v/>
      </c>
      <c r="AJ778" s="243" t="str">
        <f>IF($AD778&lt;0,COUNT($AJ$1:AJ777)+1,"")</f>
        <v/>
      </c>
      <c r="AL778" s="243" t="str">
        <f>'All Ticker P&amp;L'!A778</f>
        <v/>
      </c>
      <c r="AM778" s="243" t="str">
        <f>'All Ticker P&amp;L'!B778</f>
        <v/>
      </c>
      <c r="AN778" s="243" t="str">
        <f>'All Ticker P&amp;L'!C778</f>
        <v/>
      </c>
      <c r="AO778" s="243" t="str">
        <f>'All Ticker P&amp;L'!D778</f>
        <v/>
      </c>
      <c r="AP778" s="243">
        <f>IF($AL778="",0,'All Ticker P&amp;L'!E778)</f>
        <v>0</v>
      </c>
      <c r="AQ778" s="266">
        <f>IF($AL778="",0,'All Ticker P&amp;L'!J778*'All Ticker P&amp;L'!I778)</f>
        <v>0</v>
      </c>
      <c r="AR778" s="266">
        <f>IF($AL778="",0,'All Ticker P&amp;L'!L778)</f>
        <v>0</v>
      </c>
      <c r="AS778" s="267">
        <f>IF($AL778="",0,'All Ticker P&amp;L'!M778)</f>
        <v>0</v>
      </c>
      <c r="AT778" s="243" t="str">
        <f>IF($AL778="","",RANK(AR778,$AR$2:$AR$1001)+COUNTIF($AR$2:AR778,AR778)-1)</f>
        <v/>
      </c>
      <c r="AU778" s="243" t="str">
        <f>IF($AL778="","",RANK(AV778,$AV$2:$AV$1001)+COUNTIF($AV$2:AV778,AV778)-1)</f>
        <v/>
      </c>
      <c r="AV778" s="266">
        <f t="shared" si="56"/>
        <v>0</v>
      </c>
    </row>
    <row r="779" spans="26:48" ht="15" customHeight="1" x14ac:dyDescent="0.2">
      <c r="Z779" s="243" t="str">
        <f>Shares!A779</f>
        <v/>
      </c>
      <c r="AA779" s="243" t="str">
        <f>Shares!B779</f>
        <v/>
      </c>
      <c r="AB779" s="243" t="str">
        <f>Shares!C779</f>
        <v/>
      </c>
      <c r="AC779" s="243" t="str">
        <f>Shares!D779</f>
        <v/>
      </c>
      <c r="AD779" s="243">
        <f>IF($Z779="",0,Shares!E779)</f>
        <v>0</v>
      </c>
      <c r="AE779" s="266">
        <f>IF($Z779="",0,Shares!J779*Shares!I779)</f>
        <v>0</v>
      </c>
      <c r="AF779" s="267">
        <f t="shared" si="55"/>
        <v>0</v>
      </c>
      <c r="AG779" s="266">
        <f>IF($Z779="",0,Shares!L779)</f>
        <v>0</v>
      </c>
      <c r="AH779" s="267">
        <f>IF($Z779="",0,Shares!M779)</f>
        <v>0</v>
      </c>
      <c r="AI779" s="243" t="str">
        <f>IF($Z779="","",RANK(AE779,$AE$2:$AE$1001)+COUNTIF($AE$2:AE779,AE779)-1)</f>
        <v/>
      </c>
      <c r="AJ779" s="243" t="str">
        <f>IF($AD779&lt;0,COUNT($AJ$1:AJ778)+1,"")</f>
        <v/>
      </c>
      <c r="AL779" s="243" t="str">
        <f>'All Ticker P&amp;L'!A779</f>
        <v/>
      </c>
      <c r="AM779" s="243" t="str">
        <f>'All Ticker P&amp;L'!B779</f>
        <v/>
      </c>
      <c r="AN779" s="243" t="str">
        <f>'All Ticker P&amp;L'!C779</f>
        <v/>
      </c>
      <c r="AO779" s="243" t="str">
        <f>'All Ticker P&amp;L'!D779</f>
        <v/>
      </c>
      <c r="AP779" s="243">
        <f>IF($AL779="",0,'All Ticker P&amp;L'!E779)</f>
        <v>0</v>
      </c>
      <c r="AQ779" s="266">
        <f>IF($AL779="",0,'All Ticker P&amp;L'!J779*'All Ticker P&amp;L'!I779)</f>
        <v>0</v>
      </c>
      <c r="AR779" s="266">
        <f>IF($AL779="",0,'All Ticker P&amp;L'!L779)</f>
        <v>0</v>
      </c>
      <c r="AS779" s="267">
        <f>IF($AL779="",0,'All Ticker P&amp;L'!M779)</f>
        <v>0</v>
      </c>
      <c r="AT779" s="243" t="str">
        <f>IF($AL779="","",RANK(AR779,$AR$2:$AR$1001)+COUNTIF($AR$2:AR779,AR779)-1)</f>
        <v/>
      </c>
      <c r="AU779" s="243" t="str">
        <f>IF($AL779="","",RANK(AV779,$AV$2:$AV$1001)+COUNTIF($AV$2:AV779,AV779)-1)</f>
        <v/>
      </c>
      <c r="AV779" s="266">
        <f t="shared" si="56"/>
        <v>0</v>
      </c>
    </row>
    <row r="780" spans="26:48" ht="15" customHeight="1" x14ac:dyDescent="0.2">
      <c r="Z780" s="243" t="str">
        <f>Shares!A780</f>
        <v/>
      </c>
      <c r="AA780" s="243" t="str">
        <f>Shares!B780</f>
        <v/>
      </c>
      <c r="AB780" s="243" t="str">
        <f>Shares!C780</f>
        <v/>
      </c>
      <c r="AC780" s="243" t="str">
        <f>Shares!D780</f>
        <v/>
      </c>
      <c r="AD780" s="243">
        <f>IF($Z780="",0,Shares!E780)</f>
        <v>0</v>
      </c>
      <c r="AE780" s="266">
        <f>IF($Z780="",0,Shares!J780*Shares!I780)</f>
        <v>0</v>
      </c>
      <c r="AF780" s="267">
        <f t="shared" si="55"/>
        <v>0</v>
      </c>
      <c r="AG780" s="266">
        <f>IF($Z780="",0,Shares!L780)</f>
        <v>0</v>
      </c>
      <c r="AH780" s="267">
        <f>IF($Z780="",0,Shares!M780)</f>
        <v>0</v>
      </c>
      <c r="AI780" s="243" t="str">
        <f>IF($Z780="","",RANK(AE780,$AE$2:$AE$1001)+COUNTIF($AE$2:AE780,AE780)-1)</f>
        <v/>
      </c>
      <c r="AJ780" s="243" t="str">
        <f>IF($AD780&lt;0,COUNT($AJ$1:AJ779)+1,"")</f>
        <v/>
      </c>
      <c r="AL780" s="243" t="str">
        <f>'All Ticker P&amp;L'!A780</f>
        <v/>
      </c>
      <c r="AM780" s="243" t="str">
        <f>'All Ticker P&amp;L'!B780</f>
        <v/>
      </c>
      <c r="AN780" s="243" t="str">
        <f>'All Ticker P&amp;L'!C780</f>
        <v/>
      </c>
      <c r="AO780" s="243" t="str">
        <f>'All Ticker P&amp;L'!D780</f>
        <v/>
      </c>
      <c r="AP780" s="243">
        <f>IF($AL780="",0,'All Ticker P&amp;L'!E780)</f>
        <v>0</v>
      </c>
      <c r="AQ780" s="266">
        <f>IF($AL780="",0,'All Ticker P&amp;L'!J780*'All Ticker P&amp;L'!I780)</f>
        <v>0</v>
      </c>
      <c r="AR780" s="266">
        <f>IF($AL780="",0,'All Ticker P&amp;L'!L780)</f>
        <v>0</v>
      </c>
      <c r="AS780" s="267">
        <f>IF($AL780="",0,'All Ticker P&amp;L'!M780)</f>
        <v>0</v>
      </c>
      <c r="AT780" s="243" t="str">
        <f>IF($AL780="","",RANK(AR780,$AR$2:$AR$1001)+COUNTIF($AR$2:AR780,AR780)-1)</f>
        <v/>
      </c>
      <c r="AU780" s="243" t="str">
        <f>IF($AL780="","",RANK(AV780,$AV$2:$AV$1001)+COUNTIF($AV$2:AV780,AV780)-1)</f>
        <v/>
      </c>
      <c r="AV780" s="266">
        <f t="shared" si="56"/>
        <v>0</v>
      </c>
    </row>
    <row r="781" spans="26:48" ht="15" customHeight="1" x14ac:dyDescent="0.2">
      <c r="Z781" s="243" t="str">
        <f>Shares!A781</f>
        <v/>
      </c>
      <c r="AA781" s="243" t="str">
        <f>Shares!B781</f>
        <v/>
      </c>
      <c r="AB781" s="243" t="str">
        <f>Shares!C781</f>
        <v/>
      </c>
      <c r="AC781" s="243" t="str">
        <f>Shares!D781</f>
        <v/>
      </c>
      <c r="AD781" s="243">
        <f>IF($Z781="",0,Shares!E781)</f>
        <v>0</v>
      </c>
      <c r="AE781" s="266">
        <f>IF($Z781="",0,Shares!J781*Shares!I781)</f>
        <v>0</v>
      </c>
      <c r="AF781" s="267">
        <f t="shared" si="55"/>
        <v>0</v>
      </c>
      <c r="AG781" s="266">
        <f>IF($Z781="",0,Shares!L781)</f>
        <v>0</v>
      </c>
      <c r="AH781" s="267">
        <f>IF($Z781="",0,Shares!M781)</f>
        <v>0</v>
      </c>
      <c r="AI781" s="243" t="str">
        <f>IF($Z781="","",RANK(AE781,$AE$2:$AE$1001)+COUNTIF($AE$2:AE781,AE781)-1)</f>
        <v/>
      </c>
      <c r="AJ781" s="243" t="str">
        <f>IF($AD781&lt;0,COUNT($AJ$1:AJ780)+1,"")</f>
        <v/>
      </c>
      <c r="AL781" s="243" t="str">
        <f>'All Ticker P&amp;L'!A781</f>
        <v/>
      </c>
      <c r="AM781" s="243" t="str">
        <f>'All Ticker P&amp;L'!B781</f>
        <v/>
      </c>
      <c r="AN781" s="243" t="str">
        <f>'All Ticker P&amp;L'!C781</f>
        <v/>
      </c>
      <c r="AO781" s="243" t="str">
        <f>'All Ticker P&amp;L'!D781</f>
        <v/>
      </c>
      <c r="AP781" s="243">
        <f>IF($AL781="",0,'All Ticker P&amp;L'!E781)</f>
        <v>0</v>
      </c>
      <c r="AQ781" s="266">
        <f>IF($AL781="",0,'All Ticker P&amp;L'!J781*'All Ticker P&amp;L'!I781)</f>
        <v>0</v>
      </c>
      <c r="AR781" s="266">
        <f>IF($AL781="",0,'All Ticker P&amp;L'!L781)</f>
        <v>0</v>
      </c>
      <c r="AS781" s="267">
        <f>IF($AL781="",0,'All Ticker P&amp;L'!M781)</f>
        <v>0</v>
      </c>
      <c r="AT781" s="243" t="str">
        <f>IF($AL781="","",RANK(AR781,$AR$2:$AR$1001)+COUNTIF($AR$2:AR781,AR781)-1)</f>
        <v/>
      </c>
      <c r="AU781" s="243" t="str">
        <f>IF($AL781="","",RANK(AV781,$AV$2:$AV$1001)+COUNTIF($AV$2:AV781,AV781)-1)</f>
        <v/>
      </c>
      <c r="AV781" s="266">
        <f t="shared" si="56"/>
        <v>0</v>
      </c>
    </row>
    <row r="782" spans="26:48" ht="15" customHeight="1" x14ac:dyDescent="0.2">
      <c r="Z782" s="243" t="str">
        <f>Shares!A782</f>
        <v/>
      </c>
      <c r="AA782" s="243" t="str">
        <f>Shares!B782</f>
        <v/>
      </c>
      <c r="AB782" s="243" t="str">
        <f>Shares!C782</f>
        <v/>
      </c>
      <c r="AC782" s="243" t="str">
        <f>Shares!D782</f>
        <v/>
      </c>
      <c r="AD782" s="243">
        <f>IF($Z782="",0,Shares!E782)</f>
        <v>0</v>
      </c>
      <c r="AE782" s="266">
        <f>IF($Z782="",0,Shares!J782*Shares!I782)</f>
        <v>0</v>
      </c>
      <c r="AF782" s="267">
        <f t="shared" si="55"/>
        <v>0</v>
      </c>
      <c r="AG782" s="266">
        <f>IF($Z782="",0,Shares!L782)</f>
        <v>0</v>
      </c>
      <c r="AH782" s="267">
        <f>IF($Z782="",0,Shares!M782)</f>
        <v>0</v>
      </c>
      <c r="AI782" s="243" t="str">
        <f>IF($Z782="","",RANK(AE782,$AE$2:$AE$1001)+COUNTIF($AE$2:AE782,AE782)-1)</f>
        <v/>
      </c>
      <c r="AJ782" s="243" t="str">
        <f>IF($AD782&lt;0,COUNT($AJ$1:AJ781)+1,"")</f>
        <v/>
      </c>
      <c r="AL782" s="243" t="str">
        <f>'All Ticker P&amp;L'!A782</f>
        <v/>
      </c>
      <c r="AM782" s="243" t="str">
        <f>'All Ticker P&amp;L'!B782</f>
        <v/>
      </c>
      <c r="AN782" s="243" t="str">
        <f>'All Ticker P&amp;L'!C782</f>
        <v/>
      </c>
      <c r="AO782" s="243" t="str">
        <f>'All Ticker P&amp;L'!D782</f>
        <v/>
      </c>
      <c r="AP782" s="243">
        <f>IF($AL782="",0,'All Ticker P&amp;L'!E782)</f>
        <v>0</v>
      </c>
      <c r="AQ782" s="266">
        <f>IF($AL782="",0,'All Ticker P&amp;L'!J782*'All Ticker P&amp;L'!I782)</f>
        <v>0</v>
      </c>
      <c r="AR782" s="266">
        <f>IF($AL782="",0,'All Ticker P&amp;L'!L782)</f>
        <v>0</v>
      </c>
      <c r="AS782" s="267">
        <f>IF($AL782="",0,'All Ticker P&amp;L'!M782)</f>
        <v>0</v>
      </c>
      <c r="AT782" s="243" t="str">
        <f>IF($AL782="","",RANK(AR782,$AR$2:$AR$1001)+COUNTIF($AR$2:AR782,AR782)-1)</f>
        <v/>
      </c>
      <c r="AU782" s="243" t="str">
        <f>IF($AL782="","",RANK(AV782,$AV$2:$AV$1001)+COUNTIF($AV$2:AV782,AV782)-1)</f>
        <v/>
      </c>
      <c r="AV782" s="266">
        <f t="shared" si="56"/>
        <v>0</v>
      </c>
    </row>
    <row r="783" spans="26:48" ht="15" customHeight="1" x14ac:dyDescent="0.2">
      <c r="Z783" s="243" t="str">
        <f>Shares!A783</f>
        <v/>
      </c>
      <c r="AA783" s="243" t="str">
        <f>Shares!B783</f>
        <v/>
      </c>
      <c r="AB783" s="243" t="str">
        <f>Shares!C783</f>
        <v/>
      </c>
      <c r="AC783" s="243" t="str">
        <f>Shares!D783</f>
        <v/>
      </c>
      <c r="AD783" s="243">
        <f>IF($Z783="",0,Shares!E783)</f>
        <v>0</v>
      </c>
      <c r="AE783" s="266">
        <f>IF($Z783="",0,Shares!J783*Shares!I783)</f>
        <v>0</v>
      </c>
      <c r="AF783" s="267">
        <f t="shared" si="55"/>
        <v>0</v>
      </c>
      <c r="AG783" s="266">
        <f>IF($Z783="",0,Shares!L783)</f>
        <v>0</v>
      </c>
      <c r="AH783" s="267">
        <f>IF($Z783="",0,Shares!M783)</f>
        <v>0</v>
      </c>
      <c r="AI783" s="243" t="str">
        <f>IF($Z783="","",RANK(AE783,$AE$2:$AE$1001)+COUNTIF($AE$2:AE783,AE783)-1)</f>
        <v/>
      </c>
      <c r="AJ783" s="243" t="str">
        <f>IF($AD783&lt;0,COUNT($AJ$1:AJ782)+1,"")</f>
        <v/>
      </c>
      <c r="AL783" s="243" t="str">
        <f>'All Ticker P&amp;L'!A783</f>
        <v/>
      </c>
      <c r="AM783" s="243" t="str">
        <f>'All Ticker P&amp;L'!B783</f>
        <v/>
      </c>
      <c r="AN783" s="243" t="str">
        <f>'All Ticker P&amp;L'!C783</f>
        <v/>
      </c>
      <c r="AO783" s="243" t="str">
        <f>'All Ticker P&amp;L'!D783</f>
        <v/>
      </c>
      <c r="AP783" s="243">
        <f>IF($AL783="",0,'All Ticker P&amp;L'!E783)</f>
        <v>0</v>
      </c>
      <c r="AQ783" s="266">
        <f>IF($AL783="",0,'All Ticker P&amp;L'!J783*'All Ticker P&amp;L'!I783)</f>
        <v>0</v>
      </c>
      <c r="AR783" s="266">
        <f>IF($AL783="",0,'All Ticker P&amp;L'!L783)</f>
        <v>0</v>
      </c>
      <c r="AS783" s="267">
        <f>IF($AL783="",0,'All Ticker P&amp;L'!M783)</f>
        <v>0</v>
      </c>
      <c r="AT783" s="243" t="str">
        <f>IF($AL783="","",RANK(AR783,$AR$2:$AR$1001)+COUNTIF($AR$2:AR783,AR783)-1)</f>
        <v/>
      </c>
      <c r="AU783" s="243" t="str">
        <f>IF($AL783="","",RANK(AV783,$AV$2:$AV$1001)+COUNTIF($AV$2:AV783,AV783)-1)</f>
        <v/>
      </c>
      <c r="AV783" s="266">
        <f t="shared" si="56"/>
        <v>0</v>
      </c>
    </row>
    <row r="784" spans="26:48" ht="15" customHeight="1" x14ac:dyDescent="0.2">
      <c r="Z784" s="243" t="str">
        <f>Shares!A784</f>
        <v/>
      </c>
      <c r="AA784" s="243" t="str">
        <f>Shares!B784</f>
        <v/>
      </c>
      <c r="AB784" s="243" t="str">
        <f>Shares!C784</f>
        <v/>
      </c>
      <c r="AC784" s="243" t="str">
        <f>Shares!D784</f>
        <v/>
      </c>
      <c r="AD784" s="243">
        <f>IF($Z784="",0,Shares!E784)</f>
        <v>0</v>
      </c>
      <c r="AE784" s="266">
        <f>IF($Z784="",0,Shares!J784*Shares!I784)</f>
        <v>0</v>
      </c>
      <c r="AF784" s="267">
        <f t="shared" si="55"/>
        <v>0</v>
      </c>
      <c r="AG784" s="266">
        <f>IF($Z784="",0,Shares!L784)</f>
        <v>0</v>
      </c>
      <c r="AH784" s="267">
        <f>IF($Z784="",0,Shares!M784)</f>
        <v>0</v>
      </c>
      <c r="AI784" s="243" t="str">
        <f>IF($Z784="","",RANK(AE784,$AE$2:$AE$1001)+COUNTIF($AE$2:AE784,AE784)-1)</f>
        <v/>
      </c>
      <c r="AJ784" s="243" t="str">
        <f>IF($AD784&lt;0,COUNT($AJ$1:AJ783)+1,"")</f>
        <v/>
      </c>
      <c r="AL784" s="243" t="str">
        <f>'All Ticker P&amp;L'!A784</f>
        <v/>
      </c>
      <c r="AM784" s="243" t="str">
        <f>'All Ticker P&amp;L'!B784</f>
        <v/>
      </c>
      <c r="AN784" s="243" t="str">
        <f>'All Ticker P&amp;L'!C784</f>
        <v/>
      </c>
      <c r="AO784" s="243" t="str">
        <f>'All Ticker P&amp;L'!D784</f>
        <v/>
      </c>
      <c r="AP784" s="243">
        <f>IF($AL784="",0,'All Ticker P&amp;L'!E784)</f>
        <v>0</v>
      </c>
      <c r="AQ784" s="266">
        <f>IF($AL784="",0,'All Ticker P&amp;L'!J784*'All Ticker P&amp;L'!I784)</f>
        <v>0</v>
      </c>
      <c r="AR784" s="266">
        <f>IF($AL784="",0,'All Ticker P&amp;L'!L784)</f>
        <v>0</v>
      </c>
      <c r="AS784" s="267">
        <f>IF($AL784="",0,'All Ticker P&amp;L'!M784)</f>
        <v>0</v>
      </c>
      <c r="AT784" s="243" t="str">
        <f>IF($AL784="","",RANK(AR784,$AR$2:$AR$1001)+COUNTIF($AR$2:AR784,AR784)-1)</f>
        <v/>
      </c>
      <c r="AU784" s="243" t="str">
        <f>IF($AL784="","",RANK(AV784,$AV$2:$AV$1001)+COUNTIF($AV$2:AV784,AV784)-1)</f>
        <v/>
      </c>
      <c r="AV784" s="266">
        <f t="shared" si="56"/>
        <v>0</v>
      </c>
    </row>
    <row r="785" spans="26:48" ht="15" customHeight="1" x14ac:dyDescent="0.2">
      <c r="Z785" s="243" t="str">
        <f>Shares!A785</f>
        <v/>
      </c>
      <c r="AA785" s="243" t="str">
        <f>Shares!B785</f>
        <v/>
      </c>
      <c r="AB785" s="243" t="str">
        <f>Shares!C785</f>
        <v/>
      </c>
      <c r="AC785" s="243" t="str">
        <f>Shares!D785</f>
        <v/>
      </c>
      <c r="AD785" s="243">
        <f>IF($Z785="",0,Shares!E785)</f>
        <v>0</v>
      </c>
      <c r="AE785" s="266">
        <f>IF($Z785="",0,Shares!J785*Shares!I785)</f>
        <v>0</v>
      </c>
      <c r="AF785" s="267">
        <f t="shared" si="55"/>
        <v>0</v>
      </c>
      <c r="AG785" s="266">
        <f>IF($Z785="",0,Shares!L785)</f>
        <v>0</v>
      </c>
      <c r="AH785" s="267">
        <f>IF($Z785="",0,Shares!M785)</f>
        <v>0</v>
      </c>
      <c r="AI785" s="243" t="str">
        <f>IF($Z785="","",RANK(AE785,$AE$2:$AE$1001)+COUNTIF($AE$2:AE785,AE785)-1)</f>
        <v/>
      </c>
      <c r="AJ785" s="243" t="str">
        <f>IF($AD785&lt;0,COUNT($AJ$1:AJ784)+1,"")</f>
        <v/>
      </c>
      <c r="AL785" s="243" t="str">
        <f>'All Ticker P&amp;L'!A785</f>
        <v/>
      </c>
      <c r="AM785" s="243" t="str">
        <f>'All Ticker P&amp;L'!B785</f>
        <v/>
      </c>
      <c r="AN785" s="243" t="str">
        <f>'All Ticker P&amp;L'!C785</f>
        <v/>
      </c>
      <c r="AO785" s="243" t="str">
        <f>'All Ticker P&amp;L'!D785</f>
        <v/>
      </c>
      <c r="AP785" s="243">
        <f>IF($AL785="",0,'All Ticker P&amp;L'!E785)</f>
        <v>0</v>
      </c>
      <c r="AQ785" s="266">
        <f>IF($AL785="",0,'All Ticker P&amp;L'!J785*'All Ticker P&amp;L'!I785)</f>
        <v>0</v>
      </c>
      <c r="AR785" s="266">
        <f>IF($AL785="",0,'All Ticker P&amp;L'!L785)</f>
        <v>0</v>
      </c>
      <c r="AS785" s="267">
        <f>IF($AL785="",0,'All Ticker P&amp;L'!M785)</f>
        <v>0</v>
      </c>
      <c r="AT785" s="243" t="str">
        <f>IF($AL785="","",RANK(AR785,$AR$2:$AR$1001)+COUNTIF($AR$2:AR785,AR785)-1)</f>
        <v/>
      </c>
      <c r="AU785" s="243" t="str">
        <f>IF($AL785="","",RANK(AV785,$AV$2:$AV$1001)+COUNTIF($AV$2:AV785,AV785)-1)</f>
        <v/>
      </c>
      <c r="AV785" s="266">
        <f t="shared" si="56"/>
        <v>0</v>
      </c>
    </row>
    <row r="786" spans="26:48" ht="15" customHeight="1" x14ac:dyDescent="0.2">
      <c r="Z786" s="243" t="str">
        <f>Shares!A786</f>
        <v/>
      </c>
      <c r="AA786" s="243" t="str">
        <f>Shares!B786</f>
        <v/>
      </c>
      <c r="AB786" s="243" t="str">
        <f>Shares!C786</f>
        <v/>
      </c>
      <c r="AC786" s="243" t="str">
        <f>Shares!D786</f>
        <v/>
      </c>
      <c r="AD786" s="243">
        <f>IF($Z786="",0,Shares!E786)</f>
        <v>0</v>
      </c>
      <c r="AE786" s="266">
        <f>IF($Z786="",0,Shares!J786*Shares!I786)</f>
        <v>0</v>
      </c>
      <c r="AF786" s="267">
        <f t="shared" si="55"/>
        <v>0</v>
      </c>
      <c r="AG786" s="266">
        <f>IF($Z786="",0,Shares!L786)</f>
        <v>0</v>
      </c>
      <c r="AH786" s="267">
        <f>IF($Z786="",0,Shares!M786)</f>
        <v>0</v>
      </c>
      <c r="AI786" s="243" t="str">
        <f>IF($Z786="","",RANK(AE786,$AE$2:$AE$1001)+COUNTIF($AE$2:AE786,AE786)-1)</f>
        <v/>
      </c>
      <c r="AJ786" s="243" t="str">
        <f>IF($AD786&lt;0,COUNT($AJ$1:AJ785)+1,"")</f>
        <v/>
      </c>
      <c r="AL786" s="243" t="str">
        <f>'All Ticker P&amp;L'!A786</f>
        <v/>
      </c>
      <c r="AM786" s="243" t="str">
        <f>'All Ticker P&amp;L'!B786</f>
        <v/>
      </c>
      <c r="AN786" s="243" t="str">
        <f>'All Ticker P&amp;L'!C786</f>
        <v/>
      </c>
      <c r="AO786" s="243" t="str">
        <f>'All Ticker P&amp;L'!D786</f>
        <v/>
      </c>
      <c r="AP786" s="243">
        <f>IF($AL786="",0,'All Ticker P&amp;L'!E786)</f>
        <v>0</v>
      </c>
      <c r="AQ786" s="266">
        <f>IF($AL786="",0,'All Ticker P&amp;L'!J786*'All Ticker P&amp;L'!I786)</f>
        <v>0</v>
      </c>
      <c r="AR786" s="266">
        <f>IF($AL786="",0,'All Ticker P&amp;L'!L786)</f>
        <v>0</v>
      </c>
      <c r="AS786" s="267">
        <f>IF($AL786="",0,'All Ticker P&amp;L'!M786)</f>
        <v>0</v>
      </c>
      <c r="AT786" s="243" t="str">
        <f>IF($AL786="","",RANK(AR786,$AR$2:$AR$1001)+COUNTIF($AR$2:AR786,AR786)-1)</f>
        <v/>
      </c>
      <c r="AU786" s="243" t="str">
        <f>IF($AL786="","",RANK(AV786,$AV$2:$AV$1001)+COUNTIF($AV$2:AV786,AV786)-1)</f>
        <v/>
      </c>
      <c r="AV786" s="266">
        <f t="shared" si="56"/>
        <v>0</v>
      </c>
    </row>
    <row r="787" spans="26:48" ht="15" customHeight="1" x14ac:dyDescent="0.2">
      <c r="Z787" s="243" t="str">
        <f>Shares!A787</f>
        <v/>
      </c>
      <c r="AA787" s="243" t="str">
        <f>Shares!B787</f>
        <v/>
      </c>
      <c r="AB787" s="243" t="str">
        <f>Shares!C787</f>
        <v/>
      </c>
      <c r="AC787" s="243" t="str">
        <f>Shares!D787</f>
        <v/>
      </c>
      <c r="AD787" s="243">
        <f>IF($Z787="",0,Shares!E787)</f>
        <v>0</v>
      </c>
      <c r="AE787" s="266">
        <f>IF($Z787="",0,Shares!J787*Shares!I787)</f>
        <v>0</v>
      </c>
      <c r="AF787" s="267">
        <f t="shared" si="55"/>
        <v>0</v>
      </c>
      <c r="AG787" s="266">
        <f>IF($Z787="",0,Shares!L787)</f>
        <v>0</v>
      </c>
      <c r="AH787" s="267">
        <f>IF($Z787="",0,Shares!M787)</f>
        <v>0</v>
      </c>
      <c r="AI787" s="243" t="str">
        <f>IF($Z787="","",RANK(AE787,$AE$2:$AE$1001)+COUNTIF($AE$2:AE787,AE787)-1)</f>
        <v/>
      </c>
      <c r="AJ787" s="243" t="str">
        <f>IF($AD787&lt;0,COUNT($AJ$1:AJ786)+1,"")</f>
        <v/>
      </c>
      <c r="AL787" s="243" t="str">
        <f>'All Ticker P&amp;L'!A787</f>
        <v/>
      </c>
      <c r="AM787" s="243" t="str">
        <f>'All Ticker P&amp;L'!B787</f>
        <v/>
      </c>
      <c r="AN787" s="243" t="str">
        <f>'All Ticker P&amp;L'!C787</f>
        <v/>
      </c>
      <c r="AO787" s="243" t="str">
        <f>'All Ticker P&amp;L'!D787</f>
        <v/>
      </c>
      <c r="AP787" s="243">
        <f>IF($AL787="",0,'All Ticker P&amp;L'!E787)</f>
        <v>0</v>
      </c>
      <c r="AQ787" s="266">
        <f>IF($AL787="",0,'All Ticker P&amp;L'!J787*'All Ticker P&amp;L'!I787)</f>
        <v>0</v>
      </c>
      <c r="AR787" s="266">
        <f>IF($AL787="",0,'All Ticker P&amp;L'!L787)</f>
        <v>0</v>
      </c>
      <c r="AS787" s="267">
        <f>IF($AL787="",0,'All Ticker P&amp;L'!M787)</f>
        <v>0</v>
      </c>
      <c r="AT787" s="243" t="str">
        <f>IF($AL787="","",RANK(AR787,$AR$2:$AR$1001)+COUNTIF($AR$2:AR787,AR787)-1)</f>
        <v/>
      </c>
      <c r="AU787" s="243" t="str">
        <f>IF($AL787="","",RANK(AV787,$AV$2:$AV$1001)+COUNTIF($AV$2:AV787,AV787)-1)</f>
        <v/>
      </c>
      <c r="AV787" s="266">
        <f t="shared" si="56"/>
        <v>0</v>
      </c>
    </row>
    <row r="788" spans="26:48" ht="15" customHeight="1" x14ac:dyDescent="0.2">
      <c r="Z788" s="243" t="str">
        <f>Shares!A788</f>
        <v/>
      </c>
      <c r="AA788" s="243" t="str">
        <f>Shares!B788</f>
        <v/>
      </c>
      <c r="AB788" s="243" t="str">
        <f>Shares!C788</f>
        <v/>
      </c>
      <c r="AC788" s="243" t="str">
        <f>Shares!D788</f>
        <v/>
      </c>
      <c r="AD788" s="243">
        <f>IF($Z788="",0,Shares!E788)</f>
        <v>0</v>
      </c>
      <c r="AE788" s="266">
        <f>IF($Z788="",0,Shares!J788*Shares!I788)</f>
        <v>0</v>
      </c>
      <c r="AF788" s="267">
        <f t="shared" si="55"/>
        <v>0</v>
      </c>
      <c r="AG788" s="266">
        <f>IF($Z788="",0,Shares!L788)</f>
        <v>0</v>
      </c>
      <c r="AH788" s="267">
        <f>IF($Z788="",0,Shares!M788)</f>
        <v>0</v>
      </c>
      <c r="AI788" s="243" t="str">
        <f>IF($Z788="","",RANK(AE788,$AE$2:$AE$1001)+COUNTIF($AE$2:AE788,AE788)-1)</f>
        <v/>
      </c>
      <c r="AJ788" s="243" t="str">
        <f>IF($AD788&lt;0,COUNT($AJ$1:AJ787)+1,"")</f>
        <v/>
      </c>
      <c r="AL788" s="243" t="str">
        <f>'All Ticker P&amp;L'!A788</f>
        <v/>
      </c>
      <c r="AM788" s="243" t="str">
        <f>'All Ticker P&amp;L'!B788</f>
        <v/>
      </c>
      <c r="AN788" s="243" t="str">
        <f>'All Ticker P&amp;L'!C788</f>
        <v/>
      </c>
      <c r="AO788" s="243" t="str">
        <f>'All Ticker P&amp;L'!D788</f>
        <v/>
      </c>
      <c r="AP788" s="243">
        <f>IF($AL788="",0,'All Ticker P&amp;L'!E788)</f>
        <v>0</v>
      </c>
      <c r="AQ788" s="266">
        <f>IF($AL788="",0,'All Ticker P&amp;L'!J788*'All Ticker P&amp;L'!I788)</f>
        <v>0</v>
      </c>
      <c r="AR788" s="266">
        <f>IF($AL788="",0,'All Ticker P&amp;L'!L788)</f>
        <v>0</v>
      </c>
      <c r="AS788" s="267">
        <f>IF($AL788="",0,'All Ticker P&amp;L'!M788)</f>
        <v>0</v>
      </c>
      <c r="AT788" s="243" t="str">
        <f>IF($AL788="","",RANK(AR788,$AR$2:$AR$1001)+COUNTIF($AR$2:AR788,AR788)-1)</f>
        <v/>
      </c>
      <c r="AU788" s="243" t="str">
        <f>IF($AL788="","",RANK(AV788,$AV$2:$AV$1001)+COUNTIF($AV$2:AV788,AV788)-1)</f>
        <v/>
      </c>
      <c r="AV788" s="266">
        <f t="shared" si="56"/>
        <v>0</v>
      </c>
    </row>
    <row r="789" spans="26:48" ht="15" customHeight="1" x14ac:dyDescent="0.2">
      <c r="Z789" s="243" t="str">
        <f>Shares!A789</f>
        <v/>
      </c>
      <c r="AA789" s="243" t="str">
        <f>Shares!B789</f>
        <v/>
      </c>
      <c r="AB789" s="243" t="str">
        <f>Shares!C789</f>
        <v/>
      </c>
      <c r="AC789" s="243" t="str">
        <f>Shares!D789</f>
        <v/>
      </c>
      <c r="AD789" s="243">
        <f>IF($Z789="",0,Shares!E789)</f>
        <v>0</v>
      </c>
      <c r="AE789" s="266">
        <f>IF($Z789="",0,Shares!J789*Shares!I789)</f>
        <v>0</v>
      </c>
      <c r="AF789" s="267">
        <f t="shared" si="55"/>
        <v>0</v>
      </c>
      <c r="AG789" s="266">
        <f>IF($Z789="",0,Shares!L789)</f>
        <v>0</v>
      </c>
      <c r="AH789" s="267">
        <f>IF($Z789="",0,Shares!M789)</f>
        <v>0</v>
      </c>
      <c r="AI789" s="243" t="str">
        <f>IF($Z789="","",RANK(AE789,$AE$2:$AE$1001)+COUNTIF($AE$2:AE789,AE789)-1)</f>
        <v/>
      </c>
      <c r="AJ789" s="243" t="str">
        <f>IF($AD789&lt;0,COUNT($AJ$1:AJ788)+1,"")</f>
        <v/>
      </c>
      <c r="AL789" s="243" t="str">
        <f>'All Ticker P&amp;L'!A789</f>
        <v/>
      </c>
      <c r="AM789" s="243" t="str">
        <f>'All Ticker P&amp;L'!B789</f>
        <v/>
      </c>
      <c r="AN789" s="243" t="str">
        <f>'All Ticker P&amp;L'!C789</f>
        <v/>
      </c>
      <c r="AO789" s="243" t="str">
        <f>'All Ticker P&amp;L'!D789</f>
        <v/>
      </c>
      <c r="AP789" s="243">
        <f>IF($AL789="",0,'All Ticker P&amp;L'!E789)</f>
        <v>0</v>
      </c>
      <c r="AQ789" s="266">
        <f>IF($AL789="",0,'All Ticker P&amp;L'!J789*'All Ticker P&amp;L'!I789)</f>
        <v>0</v>
      </c>
      <c r="AR789" s="266">
        <f>IF($AL789="",0,'All Ticker P&amp;L'!L789)</f>
        <v>0</v>
      </c>
      <c r="AS789" s="267">
        <f>IF($AL789="",0,'All Ticker P&amp;L'!M789)</f>
        <v>0</v>
      </c>
      <c r="AT789" s="243" t="str">
        <f>IF($AL789="","",RANK(AR789,$AR$2:$AR$1001)+COUNTIF($AR$2:AR789,AR789)-1)</f>
        <v/>
      </c>
      <c r="AU789" s="243" t="str">
        <f>IF($AL789="","",RANK(AV789,$AV$2:$AV$1001)+COUNTIF($AV$2:AV789,AV789)-1)</f>
        <v/>
      </c>
      <c r="AV789" s="266">
        <f t="shared" si="56"/>
        <v>0</v>
      </c>
    </row>
    <row r="790" spans="26:48" ht="15" customHeight="1" x14ac:dyDescent="0.2">
      <c r="Z790" s="243" t="str">
        <f>Shares!A790</f>
        <v/>
      </c>
      <c r="AA790" s="243" t="str">
        <f>Shares!B790</f>
        <v/>
      </c>
      <c r="AB790" s="243" t="str">
        <f>Shares!C790</f>
        <v/>
      </c>
      <c r="AC790" s="243" t="str">
        <f>Shares!D790</f>
        <v/>
      </c>
      <c r="AD790" s="243">
        <f>IF($Z790="",0,Shares!E790)</f>
        <v>0</v>
      </c>
      <c r="AE790" s="266">
        <f>IF($Z790="",0,Shares!J790*Shares!I790)</f>
        <v>0</v>
      </c>
      <c r="AF790" s="267">
        <f t="shared" si="55"/>
        <v>0</v>
      </c>
      <c r="AG790" s="266">
        <f>IF($Z790="",0,Shares!L790)</f>
        <v>0</v>
      </c>
      <c r="AH790" s="267">
        <f>IF($Z790="",0,Shares!M790)</f>
        <v>0</v>
      </c>
      <c r="AI790" s="243" t="str">
        <f>IF($Z790="","",RANK(AE790,$AE$2:$AE$1001)+COUNTIF($AE$2:AE790,AE790)-1)</f>
        <v/>
      </c>
      <c r="AJ790" s="243" t="str">
        <f>IF($AD790&lt;0,COUNT($AJ$1:AJ789)+1,"")</f>
        <v/>
      </c>
      <c r="AL790" s="243" t="str">
        <f>'All Ticker P&amp;L'!A790</f>
        <v/>
      </c>
      <c r="AM790" s="243" t="str">
        <f>'All Ticker P&amp;L'!B790</f>
        <v/>
      </c>
      <c r="AN790" s="243" t="str">
        <f>'All Ticker P&amp;L'!C790</f>
        <v/>
      </c>
      <c r="AO790" s="243" t="str">
        <f>'All Ticker P&amp;L'!D790</f>
        <v/>
      </c>
      <c r="AP790" s="243">
        <f>IF($AL790="",0,'All Ticker P&amp;L'!E790)</f>
        <v>0</v>
      </c>
      <c r="AQ790" s="266">
        <f>IF($AL790="",0,'All Ticker P&amp;L'!J790*'All Ticker P&amp;L'!I790)</f>
        <v>0</v>
      </c>
      <c r="AR790" s="266">
        <f>IF($AL790="",0,'All Ticker P&amp;L'!L790)</f>
        <v>0</v>
      </c>
      <c r="AS790" s="267">
        <f>IF($AL790="",0,'All Ticker P&amp;L'!M790)</f>
        <v>0</v>
      </c>
      <c r="AT790" s="243" t="str">
        <f>IF($AL790="","",RANK(AR790,$AR$2:$AR$1001)+COUNTIF($AR$2:AR790,AR790)-1)</f>
        <v/>
      </c>
      <c r="AU790" s="243" t="str">
        <f>IF($AL790="","",RANK(AV790,$AV$2:$AV$1001)+COUNTIF($AV$2:AV790,AV790)-1)</f>
        <v/>
      </c>
      <c r="AV790" s="266">
        <f t="shared" si="56"/>
        <v>0</v>
      </c>
    </row>
    <row r="791" spans="26:48" ht="15" customHeight="1" x14ac:dyDescent="0.2">
      <c r="Z791" s="243" t="str">
        <f>Shares!A791</f>
        <v/>
      </c>
      <c r="AA791" s="243" t="str">
        <f>Shares!B791</f>
        <v/>
      </c>
      <c r="AB791" s="243" t="str">
        <f>Shares!C791</f>
        <v/>
      </c>
      <c r="AC791" s="243" t="str">
        <f>Shares!D791</f>
        <v/>
      </c>
      <c r="AD791" s="243">
        <f>IF($Z791="",0,Shares!E791)</f>
        <v>0</v>
      </c>
      <c r="AE791" s="266">
        <f>IF($Z791="",0,Shares!J791*Shares!I791)</f>
        <v>0</v>
      </c>
      <c r="AF791" s="267">
        <f t="shared" si="55"/>
        <v>0</v>
      </c>
      <c r="AG791" s="266">
        <f>IF($Z791="",0,Shares!L791)</f>
        <v>0</v>
      </c>
      <c r="AH791" s="267">
        <f>IF($Z791="",0,Shares!M791)</f>
        <v>0</v>
      </c>
      <c r="AI791" s="243" t="str">
        <f>IF($Z791="","",RANK(AE791,$AE$2:$AE$1001)+COUNTIF($AE$2:AE791,AE791)-1)</f>
        <v/>
      </c>
      <c r="AJ791" s="243" t="str">
        <f>IF($AD791&lt;0,COUNT($AJ$1:AJ790)+1,"")</f>
        <v/>
      </c>
      <c r="AL791" s="243" t="str">
        <f>'All Ticker P&amp;L'!A791</f>
        <v/>
      </c>
      <c r="AM791" s="243" t="str">
        <f>'All Ticker P&amp;L'!B791</f>
        <v/>
      </c>
      <c r="AN791" s="243" t="str">
        <f>'All Ticker P&amp;L'!C791</f>
        <v/>
      </c>
      <c r="AO791" s="243" t="str">
        <f>'All Ticker P&amp;L'!D791</f>
        <v/>
      </c>
      <c r="AP791" s="243">
        <f>IF($AL791="",0,'All Ticker P&amp;L'!E791)</f>
        <v>0</v>
      </c>
      <c r="AQ791" s="266">
        <f>IF($AL791="",0,'All Ticker P&amp;L'!J791*'All Ticker P&amp;L'!I791)</f>
        <v>0</v>
      </c>
      <c r="AR791" s="266">
        <f>IF($AL791="",0,'All Ticker P&amp;L'!L791)</f>
        <v>0</v>
      </c>
      <c r="AS791" s="267">
        <f>IF($AL791="",0,'All Ticker P&amp;L'!M791)</f>
        <v>0</v>
      </c>
      <c r="AT791" s="243" t="str">
        <f>IF($AL791="","",RANK(AR791,$AR$2:$AR$1001)+COUNTIF($AR$2:AR791,AR791)-1)</f>
        <v/>
      </c>
      <c r="AU791" s="243" t="str">
        <f>IF($AL791="","",RANK(AV791,$AV$2:$AV$1001)+COUNTIF($AV$2:AV791,AV791)-1)</f>
        <v/>
      </c>
      <c r="AV791" s="266">
        <f t="shared" si="56"/>
        <v>0</v>
      </c>
    </row>
    <row r="792" spans="26:48" ht="15" customHeight="1" x14ac:dyDescent="0.2">
      <c r="Z792" s="243" t="str">
        <f>Shares!A792</f>
        <v/>
      </c>
      <c r="AA792" s="243" t="str">
        <f>Shares!B792</f>
        <v/>
      </c>
      <c r="AB792" s="243" t="str">
        <f>Shares!C792</f>
        <v/>
      </c>
      <c r="AC792" s="243" t="str">
        <f>Shares!D792</f>
        <v/>
      </c>
      <c r="AD792" s="243">
        <f>IF($Z792="",0,Shares!E792)</f>
        <v>0</v>
      </c>
      <c r="AE792" s="266">
        <f>IF($Z792="",0,Shares!J792*Shares!I792)</f>
        <v>0</v>
      </c>
      <c r="AF792" s="267">
        <f t="shared" si="55"/>
        <v>0</v>
      </c>
      <c r="AG792" s="266">
        <f>IF($Z792="",0,Shares!L792)</f>
        <v>0</v>
      </c>
      <c r="AH792" s="267">
        <f>IF($Z792="",0,Shares!M792)</f>
        <v>0</v>
      </c>
      <c r="AI792" s="243" t="str">
        <f>IF($Z792="","",RANK(AE792,$AE$2:$AE$1001)+COUNTIF($AE$2:AE792,AE792)-1)</f>
        <v/>
      </c>
      <c r="AJ792" s="243" t="str">
        <f>IF($AD792&lt;0,COUNT($AJ$1:AJ791)+1,"")</f>
        <v/>
      </c>
      <c r="AL792" s="243" t="str">
        <f>'All Ticker P&amp;L'!A792</f>
        <v/>
      </c>
      <c r="AM792" s="243" t="str">
        <f>'All Ticker P&amp;L'!B792</f>
        <v/>
      </c>
      <c r="AN792" s="243" t="str">
        <f>'All Ticker P&amp;L'!C792</f>
        <v/>
      </c>
      <c r="AO792" s="243" t="str">
        <f>'All Ticker P&amp;L'!D792</f>
        <v/>
      </c>
      <c r="AP792" s="243">
        <f>IF($AL792="",0,'All Ticker P&amp;L'!E792)</f>
        <v>0</v>
      </c>
      <c r="AQ792" s="266">
        <f>IF($AL792="",0,'All Ticker P&amp;L'!J792*'All Ticker P&amp;L'!I792)</f>
        <v>0</v>
      </c>
      <c r="AR792" s="266">
        <f>IF($AL792="",0,'All Ticker P&amp;L'!L792)</f>
        <v>0</v>
      </c>
      <c r="AS792" s="267">
        <f>IF($AL792="",0,'All Ticker P&amp;L'!M792)</f>
        <v>0</v>
      </c>
      <c r="AT792" s="243" t="str">
        <f>IF($AL792="","",RANK(AR792,$AR$2:$AR$1001)+COUNTIF($AR$2:AR792,AR792)-1)</f>
        <v/>
      </c>
      <c r="AU792" s="243" t="str">
        <f>IF($AL792="","",RANK(AV792,$AV$2:$AV$1001)+COUNTIF($AV$2:AV792,AV792)-1)</f>
        <v/>
      </c>
      <c r="AV792" s="266">
        <f t="shared" si="56"/>
        <v>0</v>
      </c>
    </row>
    <row r="793" spans="26:48" ht="15" customHeight="1" x14ac:dyDescent="0.2">
      <c r="Z793" s="243" t="str">
        <f>Shares!A793</f>
        <v/>
      </c>
      <c r="AA793" s="243" t="str">
        <f>Shares!B793</f>
        <v/>
      </c>
      <c r="AB793" s="243" t="str">
        <f>Shares!C793</f>
        <v/>
      </c>
      <c r="AC793" s="243" t="str">
        <f>Shares!D793</f>
        <v/>
      </c>
      <c r="AD793" s="243">
        <f>IF($Z793="",0,Shares!E793)</f>
        <v>0</v>
      </c>
      <c r="AE793" s="266">
        <f>IF($Z793="",0,Shares!J793*Shares!I793)</f>
        <v>0</v>
      </c>
      <c r="AF793" s="267">
        <f t="shared" si="55"/>
        <v>0</v>
      </c>
      <c r="AG793" s="266">
        <f>IF($Z793="",0,Shares!L793)</f>
        <v>0</v>
      </c>
      <c r="AH793" s="267">
        <f>IF($Z793="",0,Shares!M793)</f>
        <v>0</v>
      </c>
      <c r="AI793" s="243" t="str">
        <f>IF($Z793="","",RANK(AE793,$AE$2:$AE$1001)+COUNTIF($AE$2:AE793,AE793)-1)</f>
        <v/>
      </c>
      <c r="AJ793" s="243" t="str">
        <f>IF($AD793&lt;0,COUNT($AJ$1:AJ792)+1,"")</f>
        <v/>
      </c>
      <c r="AL793" s="243" t="str">
        <f>'All Ticker P&amp;L'!A793</f>
        <v/>
      </c>
      <c r="AM793" s="243" t="str">
        <f>'All Ticker P&amp;L'!B793</f>
        <v/>
      </c>
      <c r="AN793" s="243" t="str">
        <f>'All Ticker P&amp;L'!C793</f>
        <v/>
      </c>
      <c r="AO793" s="243" t="str">
        <f>'All Ticker P&amp;L'!D793</f>
        <v/>
      </c>
      <c r="AP793" s="243">
        <f>IF($AL793="",0,'All Ticker P&amp;L'!E793)</f>
        <v>0</v>
      </c>
      <c r="AQ793" s="266">
        <f>IF($AL793="",0,'All Ticker P&amp;L'!J793*'All Ticker P&amp;L'!I793)</f>
        <v>0</v>
      </c>
      <c r="AR793" s="266">
        <f>IF($AL793="",0,'All Ticker P&amp;L'!L793)</f>
        <v>0</v>
      </c>
      <c r="AS793" s="267">
        <f>IF($AL793="",0,'All Ticker P&amp;L'!M793)</f>
        <v>0</v>
      </c>
      <c r="AT793" s="243" t="str">
        <f>IF($AL793="","",RANK(AR793,$AR$2:$AR$1001)+COUNTIF($AR$2:AR793,AR793)-1)</f>
        <v/>
      </c>
      <c r="AU793" s="243" t="str">
        <f>IF($AL793="","",RANK(AV793,$AV$2:$AV$1001)+COUNTIF($AV$2:AV793,AV793)-1)</f>
        <v/>
      </c>
      <c r="AV793" s="266">
        <f t="shared" si="56"/>
        <v>0</v>
      </c>
    </row>
    <row r="794" spans="26:48" ht="15" customHeight="1" x14ac:dyDescent="0.2">
      <c r="Z794" s="243" t="str">
        <f>Shares!A794</f>
        <v/>
      </c>
      <c r="AA794" s="243" t="str">
        <f>Shares!B794</f>
        <v/>
      </c>
      <c r="AB794" s="243" t="str">
        <f>Shares!C794</f>
        <v/>
      </c>
      <c r="AC794" s="243" t="str">
        <f>Shares!D794</f>
        <v/>
      </c>
      <c r="AD794" s="243">
        <f>IF($Z794="",0,Shares!E794)</f>
        <v>0</v>
      </c>
      <c r="AE794" s="266">
        <f>IF($Z794="",0,Shares!J794*Shares!I794)</f>
        <v>0</v>
      </c>
      <c r="AF794" s="267">
        <f t="shared" si="55"/>
        <v>0</v>
      </c>
      <c r="AG794" s="266">
        <f>IF($Z794="",0,Shares!L794)</f>
        <v>0</v>
      </c>
      <c r="AH794" s="267">
        <f>IF($Z794="",0,Shares!M794)</f>
        <v>0</v>
      </c>
      <c r="AI794" s="243" t="str">
        <f>IF($Z794="","",RANK(AE794,$AE$2:$AE$1001)+COUNTIF($AE$2:AE794,AE794)-1)</f>
        <v/>
      </c>
      <c r="AJ794" s="243" t="str">
        <f>IF($AD794&lt;0,COUNT($AJ$1:AJ793)+1,"")</f>
        <v/>
      </c>
      <c r="AL794" s="243" t="str">
        <f>'All Ticker P&amp;L'!A794</f>
        <v/>
      </c>
      <c r="AM794" s="243" t="str">
        <f>'All Ticker P&amp;L'!B794</f>
        <v/>
      </c>
      <c r="AN794" s="243" t="str">
        <f>'All Ticker P&amp;L'!C794</f>
        <v/>
      </c>
      <c r="AO794" s="243" t="str">
        <f>'All Ticker P&amp;L'!D794</f>
        <v/>
      </c>
      <c r="AP794" s="243">
        <f>IF($AL794="",0,'All Ticker P&amp;L'!E794)</f>
        <v>0</v>
      </c>
      <c r="AQ794" s="266">
        <f>IF($AL794="",0,'All Ticker P&amp;L'!J794*'All Ticker P&amp;L'!I794)</f>
        <v>0</v>
      </c>
      <c r="AR794" s="266">
        <f>IF($AL794="",0,'All Ticker P&amp;L'!L794)</f>
        <v>0</v>
      </c>
      <c r="AS794" s="267">
        <f>IF($AL794="",0,'All Ticker P&amp;L'!M794)</f>
        <v>0</v>
      </c>
      <c r="AT794" s="243" t="str">
        <f>IF($AL794="","",RANK(AR794,$AR$2:$AR$1001)+COUNTIF($AR$2:AR794,AR794)-1)</f>
        <v/>
      </c>
      <c r="AU794" s="243" t="str">
        <f>IF($AL794="","",RANK(AV794,$AV$2:$AV$1001)+COUNTIF($AV$2:AV794,AV794)-1)</f>
        <v/>
      </c>
      <c r="AV794" s="266">
        <f t="shared" si="56"/>
        <v>0</v>
      </c>
    </row>
    <row r="795" spans="26:48" ht="15" customHeight="1" x14ac:dyDescent="0.2">
      <c r="Z795" s="243" t="str">
        <f>Shares!A795</f>
        <v/>
      </c>
      <c r="AA795" s="243" t="str">
        <f>Shares!B795</f>
        <v/>
      </c>
      <c r="AB795" s="243" t="str">
        <f>Shares!C795</f>
        <v/>
      </c>
      <c r="AC795" s="243" t="str">
        <f>Shares!D795</f>
        <v/>
      </c>
      <c r="AD795" s="243">
        <f>IF($Z795="",0,Shares!E795)</f>
        <v>0</v>
      </c>
      <c r="AE795" s="266">
        <f>IF($Z795="",0,Shares!J795*Shares!I795)</f>
        <v>0</v>
      </c>
      <c r="AF795" s="267">
        <f t="shared" si="55"/>
        <v>0</v>
      </c>
      <c r="AG795" s="266">
        <f>IF($Z795="",0,Shares!L795)</f>
        <v>0</v>
      </c>
      <c r="AH795" s="267">
        <f>IF($Z795="",0,Shares!M795)</f>
        <v>0</v>
      </c>
      <c r="AI795" s="243" t="str">
        <f>IF($Z795="","",RANK(AE795,$AE$2:$AE$1001)+COUNTIF($AE$2:AE795,AE795)-1)</f>
        <v/>
      </c>
      <c r="AJ795" s="243" t="str">
        <f>IF($AD795&lt;0,COUNT($AJ$1:AJ794)+1,"")</f>
        <v/>
      </c>
      <c r="AL795" s="243" t="str">
        <f>'All Ticker P&amp;L'!A795</f>
        <v/>
      </c>
      <c r="AM795" s="243" t="str">
        <f>'All Ticker P&amp;L'!B795</f>
        <v/>
      </c>
      <c r="AN795" s="243" t="str">
        <f>'All Ticker P&amp;L'!C795</f>
        <v/>
      </c>
      <c r="AO795" s="243" t="str">
        <f>'All Ticker P&amp;L'!D795</f>
        <v/>
      </c>
      <c r="AP795" s="243">
        <f>IF($AL795="",0,'All Ticker P&amp;L'!E795)</f>
        <v>0</v>
      </c>
      <c r="AQ795" s="266">
        <f>IF($AL795="",0,'All Ticker P&amp;L'!J795*'All Ticker P&amp;L'!I795)</f>
        <v>0</v>
      </c>
      <c r="AR795" s="266">
        <f>IF($AL795="",0,'All Ticker P&amp;L'!L795)</f>
        <v>0</v>
      </c>
      <c r="AS795" s="267">
        <f>IF($AL795="",0,'All Ticker P&amp;L'!M795)</f>
        <v>0</v>
      </c>
      <c r="AT795" s="243" t="str">
        <f>IF($AL795="","",RANK(AR795,$AR$2:$AR$1001)+COUNTIF($AR$2:AR795,AR795)-1)</f>
        <v/>
      </c>
      <c r="AU795" s="243" t="str">
        <f>IF($AL795="","",RANK(AV795,$AV$2:$AV$1001)+COUNTIF($AV$2:AV795,AV795)-1)</f>
        <v/>
      </c>
      <c r="AV795" s="266">
        <f t="shared" si="56"/>
        <v>0</v>
      </c>
    </row>
    <row r="796" spans="26:48" ht="15" customHeight="1" x14ac:dyDescent="0.2">
      <c r="Z796" s="243" t="str">
        <f>Shares!A796</f>
        <v/>
      </c>
      <c r="AA796" s="243" t="str">
        <f>Shares!B796</f>
        <v/>
      </c>
      <c r="AB796" s="243" t="str">
        <f>Shares!C796</f>
        <v/>
      </c>
      <c r="AC796" s="243" t="str">
        <f>Shares!D796</f>
        <v/>
      </c>
      <c r="AD796" s="243">
        <f>IF($Z796="",0,Shares!E796)</f>
        <v>0</v>
      </c>
      <c r="AE796" s="266">
        <f>IF($Z796="",0,Shares!J796*Shares!I796)</f>
        <v>0</v>
      </c>
      <c r="AF796" s="267">
        <f t="shared" si="55"/>
        <v>0</v>
      </c>
      <c r="AG796" s="266">
        <f>IF($Z796="",0,Shares!L796)</f>
        <v>0</v>
      </c>
      <c r="AH796" s="267">
        <f>IF($Z796="",0,Shares!M796)</f>
        <v>0</v>
      </c>
      <c r="AI796" s="243" t="str">
        <f>IF($Z796="","",RANK(AE796,$AE$2:$AE$1001)+COUNTIF($AE$2:AE796,AE796)-1)</f>
        <v/>
      </c>
      <c r="AJ796" s="243" t="str">
        <f>IF($AD796&lt;0,COUNT($AJ$1:AJ795)+1,"")</f>
        <v/>
      </c>
      <c r="AL796" s="243" t="str">
        <f>'All Ticker P&amp;L'!A796</f>
        <v/>
      </c>
      <c r="AM796" s="243" t="str">
        <f>'All Ticker P&amp;L'!B796</f>
        <v/>
      </c>
      <c r="AN796" s="243" t="str">
        <f>'All Ticker P&amp;L'!C796</f>
        <v/>
      </c>
      <c r="AO796" s="243" t="str">
        <f>'All Ticker P&amp;L'!D796</f>
        <v/>
      </c>
      <c r="AP796" s="243">
        <f>IF($AL796="",0,'All Ticker P&amp;L'!E796)</f>
        <v>0</v>
      </c>
      <c r="AQ796" s="266">
        <f>IF($AL796="",0,'All Ticker P&amp;L'!J796*'All Ticker P&amp;L'!I796)</f>
        <v>0</v>
      </c>
      <c r="AR796" s="266">
        <f>IF($AL796="",0,'All Ticker P&amp;L'!L796)</f>
        <v>0</v>
      </c>
      <c r="AS796" s="267">
        <f>IF($AL796="",0,'All Ticker P&amp;L'!M796)</f>
        <v>0</v>
      </c>
      <c r="AT796" s="243" t="str">
        <f>IF($AL796="","",RANK(AR796,$AR$2:$AR$1001)+COUNTIF($AR$2:AR796,AR796)-1)</f>
        <v/>
      </c>
      <c r="AU796" s="243" t="str">
        <f>IF($AL796="","",RANK(AV796,$AV$2:$AV$1001)+COUNTIF($AV$2:AV796,AV796)-1)</f>
        <v/>
      </c>
      <c r="AV796" s="266">
        <f t="shared" si="56"/>
        <v>0</v>
      </c>
    </row>
    <row r="797" spans="26:48" ht="15" customHeight="1" x14ac:dyDescent="0.2">
      <c r="Z797" s="243" t="str">
        <f>Shares!A797</f>
        <v/>
      </c>
      <c r="AA797" s="243" t="str">
        <f>Shares!B797</f>
        <v/>
      </c>
      <c r="AB797" s="243" t="str">
        <f>Shares!C797</f>
        <v/>
      </c>
      <c r="AC797" s="243" t="str">
        <f>Shares!D797</f>
        <v/>
      </c>
      <c r="AD797" s="243">
        <f>IF($Z797="",0,Shares!E797)</f>
        <v>0</v>
      </c>
      <c r="AE797" s="266">
        <f>IF($Z797="",0,Shares!J797*Shares!I797)</f>
        <v>0</v>
      </c>
      <c r="AF797" s="267">
        <f t="shared" si="55"/>
        <v>0</v>
      </c>
      <c r="AG797" s="266">
        <f>IF($Z797="",0,Shares!L797)</f>
        <v>0</v>
      </c>
      <c r="AH797" s="267">
        <f>IF($Z797="",0,Shares!M797)</f>
        <v>0</v>
      </c>
      <c r="AI797" s="243" t="str">
        <f>IF($Z797="","",RANK(AE797,$AE$2:$AE$1001)+COUNTIF($AE$2:AE797,AE797)-1)</f>
        <v/>
      </c>
      <c r="AJ797" s="243" t="str">
        <f>IF($AD797&lt;0,COUNT($AJ$1:AJ796)+1,"")</f>
        <v/>
      </c>
      <c r="AL797" s="243" t="str">
        <f>'All Ticker P&amp;L'!A797</f>
        <v/>
      </c>
      <c r="AM797" s="243" t="str">
        <f>'All Ticker P&amp;L'!B797</f>
        <v/>
      </c>
      <c r="AN797" s="243" t="str">
        <f>'All Ticker P&amp;L'!C797</f>
        <v/>
      </c>
      <c r="AO797" s="243" t="str">
        <f>'All Ticker P&amp;L'!D797</f>
        <v/>
      </c>
      <c r="AP797" s="243">
        <f>IF($AL797="",0,'All Ticker P&amp;L'!E797)</f>
        <v>0</v>
      </c>
      <c r="AQ797" s="266">
        <f>IF($AL797="",0,'All Ticker P&amp;L'!J797*'All Ticker P&amp;L'!I797)</f>
        <v>0</v>
      </c>
      <c r="AR797" s="266">
        <f>IF($AL797="",0,'All Ticker P&amp;L'!L797)</f>
        <v>0</v>
      </c>
      <c r="AS797" s="267">
        <f>IF($AL797="",0,'All Ticker P&amp;L'!M797)</f>
        <v>0</v>
      </c>
      <c r="AT797" s="243" t="str">
        <f>IF($AL797="","",RANK(AR797,$AR$2:$AR$1001)+COUNTIF($AR$2:AR797,AR797)-1)</f>
        <v/>
      </c>
      <c r="AU797" s="243" t="str">
        <f>IF($AL797="","",RANK(AV797,$AV$2:$AV$1001)+COUNTIF($AV$2:AV797,AV797)-1)</f>
        <v/>
      </c>
      <c r="AV797" s="266">
        <f t="shared" si="56"/>
        <v>0</v>
      </c>
    </row>
    <row r="798" spans="26:48" ht="15" customHeight="1" x14ac:dyDescent="0.2">
      <c r="Z798" s="243" t="str">
        <f>Shares!A798</f>
        <v/>
      </c>
      <c r="AA798" s="243" t="str">
        <f>Shares!B798</f>
        <v/>
      </c>
      <c r="AB798" s="243" t="str">
        <f>Shares!C798</f>
        <v/>
      </c>
      <c r="AC798" s="243" t="str">
        <f>Shares!D798</f>
        <v/>
      </c>
      <c r="AD798" s="243">
        <f>IF($Z798="",0,Shares!E798)</f>
        <v>0</v>
      </c>
      <c r="AE798" s="266">
        <f>IF($Z798="",0,Shares!J798*Shares!I798)</f>
        <v>0</v>
      </c>
      <c r="AF798" s="267">
        <f t="shared" si="55"/>
        <v>0</v>
      </c>
      <c r="AG798" s="266">
        <f>IF($Z798="",0,Shares!L798)</f>
        <v>0</v>
      </c>
      <c r="AH798" s="267">
        <f>IF($Z798="",0,Shares!M798)</f>
        <v>0</v>
      </c>
      <c r="AI798" s="243" t="str">
        <f>IF($Z798="","",RANK(AE798,$AE$2:$AE$1001)+COUNTIF($AE$2:AE798,AE798)-1)</f>
        <v/>
      </c>
      <c r="AJ798" s="243" t="str">
        <f>IF($AD798&lt;0,COUNT($AJ$1:AJ797)+1,"")</f>
        <v/>
      </c>
      <c r="AL798" s="243" t="str">
        <f>'All Ticker P&amp;L'!A798</f>
        <v/>
      </c>
      <c r="AM798" s="243" t="str">
        <f>'All Ticker P&amp;L'!B798</f>
        <v/>
      </c>
      <c r="AN798" s="243" t="str">
        <f>'All Ticker P&amp;L'!C798</f>
        <v/>
      </c>
      <c r="AO798" s="243" t="str">
        <f>'All Ticker P&amp;L'!D798</f>
        <v/>
      </c>
      <c r="AP798" s="243">
        <f>IF($AL798="",0,'All Ticker P&amp;L'!E798)</f>
        <v>0</v>
      </c>
      <c r="AQ798" s="266">
        <f>IF($AL798="",0,'All Ticker P&amp;L'!J798*'All Ticker P&amp;L'!I798)</f>
        <v>0</v>
      </c>
      <c r="AR798" s="266">
        <f>IF($AL798="",0,'All Ticker P&amp;L'!L798)</f>
        <v>0</v>
      </c>
      <c r="AS798" s="267">
        <f>IF($AL798="",0,'All Ticker P&amp;L'!M798)</f>
        <v>0</v>
      </c>
      <c r="AT798" s="243" t="str">
        <f>IF($AL798="","",RANK(AR798,$AR$2:$AR$1001)+COUNTIF($AR$2:AR798,AR798)-1)</f>
        <v/>
      </c>
      <c r="AU798" s="243" t="str">
        <f>IF($AL798="","",RANK(AV798,$AV$2:$AV$1001)+COUNTIF($AV$2:AV798,AV798)-1)</f>
        <v/>
      </c>
      <c r="AV798" s="266">
        <f t="shared" si="56"/>
        <v>0</v>
      </c>
    </row>
    <row r="799" spans="26:48" ht="15" customHeight="1" x14ac:dyDescent="0.2">
      <c r="Z799" s="243" t="str">
        <f>Shares!A799</f>
        <v/>
      </c>
      <c r="AA799" s="243" t="str">
        <f>Shares!B799</f>
        <v/>
      </c>
      <c r="AB799" s="243" t="str">
        <f>Shares!C799</f>
        <v/>
      </c>
      <c r="AC799" s="243" t="str">
        <f>Shares!D799</f>
        <v/>
      </c>
      <c r="AD799" s="243">
        <f>IF($Z799="",0,Shares!E799)</f>
        <v>0</v>
      </c>
      <c r="AE799" s="266">
        <f>IF($Z799="",0,Shares!J799*Shares!I799)</f>
        <v>0</v>
      </c>
      <c r="AF799" s="267">
        <f t="shared" si="55"/>
        <v>0</v>
      </c>
      <c r="AG799" s="266">
        <f>IF($Z799="",0,Shares!L799)</f>
        <v>0</v>
      </c>
      <c r="AH799" s="267">
        <f>IF($Z799="",0,Shares!M799)</f>
        <v>0</v>
      </c>
      <c r="AI799" s="243" t="str">
        <f>IF($Z799="","",RANK(AE799,$AE$2:$AE$1001)+COUNTIF($AE$2:AE799,AE799)-1)</f>
        <v/>
      </c>
      <c r="AJ799" s="243" t="str">
        <f>IF($AD799&lt;0,COUNT($AJ$1:AJ798)+1,"")</f>
        <v/>
      </c>
      <c r="AL799" s="243" t="str">
        <f>'All Ticker P&amp;L'!A799</f>
        <v/>
      </c>
      <c r="AM799" s="243" t="str">
        <f>'All Ticker P&amp;L'!B799</f>
        <v/>
      </c>
      <c r="AN799" s="243" t="str">
        <f>'All Ticker P&amp;L'!C799</f>
        <v/>
      </c>
      <c r="AO799" s="243" t="str">
        <f>'All Ticker P&amp;L'!D799</f>
        <v/>
      </c>
      <c r="AP799" s="243">
        <f>IF($AL799="",0,'All Ticker P&amp;L'!E799)</f>
        <v>0</v>
      </c>
      <c r="AQ799" s="266">
        <f>IF($AL799="",0,'All Ticker P&amp;L'!J799*'All Ticker P&amp;L'!I799)</f>
        <v>0</v>
      </c>
      <c r="AR799" s="266">
        <f>IF($AL799="",0,'All Ticker P&amp;L'!L799)</f>
        <v>0</v>
      </c>
      <c r="AS799" s="267">
        <f>IF($AL799="",0,'All Ticker P&amp;L'!M799)</f>
        <v>0</v>
      </c>
      <c r="AT799" s="243" t="str">
        <f>IF($AL799="","",RANK(AR799,$AR$2:$AR$1001)+COUNTIF($AR$2:AR799,AR799)-1)</f>
        <v/>
      </c>
      <c r="AU799" s="243" t="str">
        <f>IF($AL799="","",RANK(AV799,$AV$2:$AV$1001)+COUNTIF($AV$2:AV799,AV799)-1)</f>
        <v/>
      </c>
      <c r="AV799" s="266">
        <f t="shared" si="56"/>
        <v>0</v>
      </c>
    </row>
    <row r="800" spans="26:48" ht="15" customHeight="1" x14ac:dyDescent="0.2">
      <c r="Z800" s="243" t="str">
        <f>Shares!A800</f>
        <v/>
      </c>
      <c r="AA800" s="243" t="str">
        <f>Shares!B800</f>
        <v/>
      </c>
      <c r="AB800" s="243" t="str">
        <f>Shares!C800</f>
        <v/>
      </c>
      <c r="AC800" s="243" t="str">
        <f>Shares!D800</f>
        <v/>
      </c>
      <c r="AD800" s="243">
        <f>IF($Z800="",0,Shares!E800)</f>
        <v>0</v>
      </c>
      <c r="AE800" s="266">
        <f>IF($Z800="",0,Shares!J800*Shares!I800)</f>
        <v>0</v>
      </c>
      <c r="AF800" s="267">
        <f t="shared" si="55"/>
        <v>0</v>
      </c>
      <c r="AG800" s="266">
        <f>IF($Z800="",0,Shares!L800)</f>
        <v>0</v>
      </c>
      <c r="AH800" s="267">
        <f>IF($Z800="",0,Shares!M800)</f>
        <v>0</v>
      </c>
      <c r="AI800" s="243" t="str">
        <f>IF($Z800="","",RANK(AE800,$AE$2:$AE$1001)+COUNTIF($AE$2:AE800,AE800)-1)</f>
        <v/>
      </c>
      <c r="AJ800" s="243" t="str">
        <f>IF($AD800&lt;0,COUNT($AJ$1:AJ799)+1,"")</f>
        <v/>
      </c>
      <c r="AL800" s="243" t="str">
        <f>'All Ticker P&amp;L'!A800</f>
        <v/>
      </c>
      <c r="AM800" s="243" t="str">
        <f>'All Ticker P&amp;L'!B800</f>
        <v/>
      </c>
      <c r="AN800" s="243" t="str">
        <f>'All Ticker P&amp;L'!C800</f>
        <v/>
      </c>
      <c r="AO800" s="243" t="str">
        <f>'All Ticker P&amp;L'!D800</f>
        <v/>
      </c>
      <c r="AP800" s="243">
        <f>IF($AL800="",0,'All Ticker P&amp;L'!E800)</f>
        <v>0</v>
      </c>
      <c r="AQ800" s="266">
        <f>IF($AL800="",0,'All Ticker P&amp;L'!J800*'All Ticker P&amp;L'!I800)</f>
        <v>0</v>
      </c>
      <c r="AR800" s="266">
        <f>IF($AL800="",0,'All Ticker P&amp;L'!L800)</f>
        <v>0</v>
      </c>
      <c r="AS800" s="267">
        <f>IF($AL800="",0,'All Ticker P&amp;L'!M800)</f>
        <v>0</v>
      </c>
      <c r="AT800" s="243" t="str">
        <f>IF($AL800="","",RANK(AR800,$AR$2:$AR$1001)+COUNTIF($AR$2:AR800,AR800)-1)</f>
        <v/>
      </c>
      <c r="AU800" s="243" t="str">
        <f>IF($AL800="","",RANK(AV800,$AV$2:$AV$1001)+COUNTIF($AV$2:AV800,AV800)-1)</f>
        <v/>
      </c>
      <c r="AV800" s="266">
        <f t="shared" si="56"/>
        <v>0</v>
      </c>
    </row>
    <row r="801" spans="26:48" ht="15" customHeight="1" x14ac:dyDescent="0.2">
      <c r="Z801" s="243" t="str">
        <f>Shares!A801</f>
        <v/>
      </c>
      <c r="AA801" s="243" t="str">
        <f>Shares!B801</f>
        <v/>
      </c>
      <c r="AB801" s="243" t="str">
        <f>Shares!C801</f>
        <v/>
      </c>
      <c r="AC801" s="243" t="str">
        <f>Shares!D801</f>
        <v/>
      </c>
      <c r="AD801" s="243">
        <f>IF($Z801="",0,Shares!E801)</f>
        <v>0</v>
      </c>
      <c r="AE801" s="266">
        <f>IF($Z801="",0,Shares!J801*Shares!I801)</f>
        <v>0</v>
      </c>
      <c r="AF801" s="267">
        <f t="shared" si="55"/>
        <v>0</v>
      </c>
      <c r="AG801" s="266">
        <f>IF($Z801="",0,Shares!L801)</f>
        <v>0</v>
      </c>
      <c r="AH801" s="267">
        <f>IF($Z801="",0,Shares!M801)</f>
        <v>0</v>
      </c>
      <c r="AI801" s="243" t="str">
        <f>IF($Z801="","",RANK(AE801,$AE$2:$AE$1001)+COUNTIF($AE$2:AE801,AE801)-1)</f>
        <v/>
      </c>
      <c r="AJ801" s="243" t="str">
        <f>IF($AD801&lt;0,COUNT($AJ$1:AJ800)+1,"")</f>
        <v/>
      </c>
      <c r="AL801" s="243" t="str">
        <f>'All Ticker P&amp;L'!A801</f>
        <v/>
      </c>
      <c r="AM801" s="243" t="str">
        <f>'All Ticker P&amp;L'!B801</f>
        <v/>
      </c>
      <c r="AN801" s="243" t="str">
        <f>'All Ticker P&amp;L'!C801</f>
        <v/>
      </c>
      <c r="AO801" s="243" t="str">
        <f>'All Ticker P&amp;L'!D801</f>
        <v/>
      </c>
      <c r="AP801" s="243">
        <f>IF($AL801="",0,'All Ticker P&amp;L'!E801)</f>
        <v>0</v>
      </c>
      <c r="AQ801" s="266">
        <f>IF($AL801="",0,'All Ticker P&amp;L'!J801*'All Ticker P&amp;L'!I801)</f>
        <v>0</v>
      </c>
      <c r="AR801" s="266">
        <f>IF($AL801="",0,'All Ticker P&amp;L'!L801)</f>
        <v>0</v>
      </c>
      <c r="AS801" s="267">
        <f>IF($AL801="",0,'All Ticker P&amp;L'!M801)</f>
        <v>0</v>
      </c>
      <c r="AT801" s="243" t="str">
        <f>IF($AL801="","",RANK(AR801,$AR$2:$AR$1001)+COUNTIF($AR$2:AR801,AR801)-1)</f>
        <v/>
      </c>
      <c r="AU801" s="243" t="str">
        <f>IF($AL801="","",RANK(AV801,$AV$2:$AV$1001)+COUNTIF($AV$2:AV801,AV801)-1)</f>
        <v/>
      </c>
      <c r="AV801" s="266">
        <f t="shared" si="56"/>
        <v>0</v>
      </c>
    </row>
    <row r="802" spans="26:48" ht="15" customHeight="1" x14ac:dyDescent="0.2">
      <c r="Z802" s="243" t="str">
        <f>Shares!A802</f>
        <v/>
      </c>
      <c r="AA802" s="243" t="str">
        <f>Shares!B802</f>
        <v/>
      </c>
      <c r="AB802" s="243" t="str">
        <f>Shares!C802</f>
        <v/>
      </c>
      <c r="AC802" s="243" t="str">
        <f>Shares!D802</f>
        <v/>
      </c>
      <c r="AD802" s="243">
        <f>IF($Z802="",0,Shares!E802)</f>
        <v>0</v>
      </c>
      <c r="AE802" s="266">
        <f>IF($Z802="",0,Shares!J802*Shares!I802)</f>
        <v>0</v>
      </c>
      <c r="AF802" s="267">
        <f t="shared" si="55"/>
        <v>0</v>
      </c>
      <c r="AG802" s="266">
        <f>IF($Z802="",0,Shares!L802)</f>
        <v>0</v>
      </c>
      <c r="AH802" s="267">
        <f>IF($Z802="",0,Shares!M802)</f>
        <v>0</v>
      </c>
      <c r="AI802" s="243" t="str">
        <f>IF($Z802="","",RANK(AE802,$AE$2:$AE$1001)+COUNTIF($AE$2:AE802,AE802)-1)</f>
        <v/>
      </c>
      <c r="AJ802" s="243" t="str">
        <f>IF($AD802&lt;0,COUNT($AJ$1:AJ801)+1,"")</f>
        <v/>
      </c>
      <c r="AL802" s="243" t="str">
        <f>'All Ticker P&amp;L'!A802</f>
        <v/>
      </c>
      <c r="AM802" s="243" t="str">
        <f>'All Ticker P&amp;L'!B802</f>
        <v/>
      </c>
      <c r="AN802" s="243" t="str">
        <f>'All Ticker P&amp;L'!C802</f>
        <v/>
      </c>
      <c r="AO802" s="243" t="str">
        <f>'All Ticker P&amp;L'!D802</f>
        <v/>
      </c>
      <c r="AP802" s="243">
        <f>IF($AL802="",0,'All Ticker P&amp;L'!E802)</f>
        <v>0</v>
      </c>
      <c r="AQ802" s="266">
        <f>IF($AL802="",0,'All Ticker P&amp;L'!J802*'All Ticker P&amp;L'!I802)</f>
        <v>0</v>
      </c>
      <c r="AR802" s="266">
        <f>IF($AL802="",0,'All Ticker P&amp;L'!L802)</f>
        <v>0</v>
      </c>
      <c r="AS802" s="267">
        <f>IF($AL802="",0,'All Ticker P&amp;L'!M802)</f>
        <v>0</v>
      </c>
      <c r="AT802" s="243" t="str">
        <f>IF($AL802="","",RANK(AR802,$AR$2:$AR$1001)+COUNTIF($AR$2:AR802,AR802)-1)</f>
        <v/>
      </c>
      <c r="AU802" s="243" t="str">
        <f>IF($AL802="","",RANK(AV802,$AV$2:$AV$1001)+COUNTIF($AV$2:AV802,AV802)-1)</f>
        <v/>
      </c>
      <c r="AV802" s="266">
        <f t="shared" si="56"/>
        <v>0</v>
      </c>
    </row>
    <row r="803" spans="26:48" ht="15" customHeight="1" x14ac:dyDescent="0.2">
      <c r="Z803" s="243" t="str">
        <f>Shares!A803</f>
        <v/>
      </c>
      <c r="AA803" s="243" t="str">
        <f>Shares!B803</f>
        <v/>
      </c>
      <c r="AB803" s="243" t="str">
        <f>Shares!C803</f>
        <v/>
      </c>
      <c r="AC803" s="243" t="str">
        <f>Shares!D803</f>
        <v/>
      </c>
      <c r="AD803" s="243">
        <f>IF($Z803="",0,Shares!E803)</f>
        <v>0</v>
      </c>
      <c r="AE803" s="266">
        <f>IF($Z803="",0,Shares!J803*Shares!I803)</f>
        <v>0</v>
      </c>
      <c r="AF803" s="267">
        <f t="shared" si="55"/>
        <v>0</v>
      </c>
      <c r="AG803" s="266">
        <f>IF($Z803="",0,Shares!L803)</f>
        <v>0</v>
      </c>
      <c r="AH803" s="267">
        <f>IF($Z803="",0,Shares!M803)</f>
        <v>0</v>
      </c>
      <c r="AI803" s="243" t="str">
        <f>IF($Z803="","",RANK(AE803,$AE$2:$AE$1001)+COUNTIF($AE$2:AE803,AE803)-1)</f>
        <v/>
      </c>
      <c r="AJ803" s="243" t="str">
        <f>IF($AD803&lt;0,COUNT($AJ$1:AJ802)+1,"")</f>
        <v/>
      </c>
      <c r="AL803" s="243" t="str">
        <f>'All Ticker P&amp;L'!A803</f>
        <v/>
      </c>
      <c r="AM803" s="243" t="str">
        <f>'All Ticker P&amp;L'!B803</f>
        <v/>
      </c>
      <c r="AN803" s="243" t="str">
        <f>'All Ticker P&amp;L'!C803</f>
        <v/>
      </c>
      <c r="AO803" s="243" t="str">
        <f>'All Ticker P&amp;L'!D803</f>
        <v/>
      </c>
      <c r="AP803" s="243">
        <f>IF($AL803="",0,'All Ticker P&amp;L'!E803)</f>
        <v>0</v>
      </c>
      <c r="AQ803" s="266">
        <f>IF($AL803="",0,'All Ticker P&amp;L'!J803*'All Ticker P&amp;L'!I803)</f>
        <v>0</v>
      </c>
      <c r="AR803" s="266">
        <f>IF($AL803="",0,'All Ticker P&amp;L'!L803)</f>
        <v>0</v>
      </c>
      <c r="AS803" s="267">
        <f>IF($AL803="",0,'All Ticker P&amp;L'!M803)</f>
        <v>0</v>
      </c>
      <c r="AT803" s="243" t="str">
        <f>IF($AL803="","",RANK(AR803,$AR$2:$AR$1001)+COUNTIF($AR$2:AR803,AR803)-1)</f>
        <v/>
      </c>
      <c r="AU803" s="243" t="str">
        <f>IF($AL803="","",RANK(AV803,$AV$2:$AV$1001)+COUNTIF($AV$2:AV803,AV803)-1)</f>
        <v/>
      </c>
      <c r="AV803" s="266">
        <f t="shared" si="56"/>
        <v>0</v>
      </c>
    </row>
    <row r="804" spans="26:48" ht="15" customHeight="1" x14ac:dyDescent="0.2">
      <c r="Z804" s="243" t="str">
        <f>Shares!A804</f>
        <v/>
      </c>
      <c r="AA804" s="243" t="str">
        <f>Shares!B804</f>
        <v/>
      </c>
      <c r="AB804" s="243" t="str">
        <f>Shares!C804</f>
        <v/>
      </c>
      <c r="AC804" s="243" t="str">
        <f>Shares!D804</f>
        <v/>
      </c>
      <c r="AD804" s="243">
        <f>IF($Z804="",0,Shares!E804)</f>
        <v>0</v>
      </c>
      <c r="AE804" s="266">
        <f>IF($Z804="",0,Shares!J804*Shares!I804)</f>
        <v>0</v>
      </c>
      <c r="AF804" s="267">
        <f t="shared" si="55"/>
        <v>0</v>
      </c>
      <c r="AG804" s="266">
        <f>IF($Z804="",0,Shares!L804)</f>
        <v>0</v>
      </c>
      <c r="AH804" s="267">
        <f>IF($Z804="",0,Shares!M804)</f>
        <v>0</v>
      </c>
      <c r="AI804" s="243" t="str">
        <f>IF($Z804="","",RANK(AE804,$AE$2:$AE$1001)+COUNTIF($AE$2:AE804,AE804)-1)</f>
        <v/>
      </c>
      <c r="AJ804" s="243" t="str">
        <f>IF($AD804&lt;0,COUNT($AJ$1:AJ803)+1,"")</f>
        <v/>
      </c>
      <c r="AL804" s="243" t="str">
        <f>'All Ticker P&amp;L'!A804</f>
        <v/>
      </c>
      <c r="AM804" s="243" t="str">
        <f>'All Ticker P&amp;L'!B804</f>
        <v/>
      </c>
      <c r="AN804" s="243" t="str">
        <f>'All Ticker P&amp;L'!C804</f>
        <v/>
      </c>
      <c r="AO804" s="243" t="str">
        <f>'All Ticker P&amp;L'!D804</f>
        <v/>
      </c>
      <c r="AP804" s="243">
        <f>IF($AL804="",0,'All Ticker P&amp;L'!E804)</f>
        <v>0</v>
      </c>
      <c r="AQ804" s="266">
        <f>IF($AL804="",0,'All Ticker P&amp;L'!J804*'All Ticker P&amp;L'!I804)</f>
        <v>0</v>
      </c>
      <c r="AR804" s="266">
        <f>IF($AL804="",0,'All Ticker P&amp;L'!L804)</f>
        <v>0</v>
      </c>
      <c r="AS804" s="267">
        <f>IF($AL804="",0,'All Ticker P&amp;L'!M804)</f>
        <v>0</v>
      </c>
      <c r="AT804" s="243" t="str">
        <f>IF($AL804="","",RANK(AR804,$AR$2:$AR$1001)+COUNTIF($AR$2:AR804,AR804)-1)</f>
        <v/>
      </c>
      <c r="AU804" s="243" t="str">
        <f>IF($AL804="","",RANK(AV804,$AV$2:$AV$1001)+COUNTIF($AV$2:AV804,AV804)-1)</f>
        <v/>
      </c>
      <c r="AV804" s="266">
        <f t="shared" si="56"/>
        <v>0</v>
      </c>
    </row>
    <row r="805" spans="26:48" ht="15" customHeight="1" x14ac:dyDescent="0.2">
      <c r="Z805" s="243" t="str">
        <f>Shares!A805</f>
        <v/>
      </c>
      <c r="AA805" s="243" t="str">
        <f>Shares!B805</f>
        <v/>
      </c>
      <c r="AB805" s="243" t="str">
        <f>Shares!C805</f>
        <v/>
      </c>
      <c r="AC805" s="243" t="str">
        <f>Shares!D805</f>
        <v/>
      </c>
      <c r="AD805" s="243">
        <f>IF($Z805="",0,Shares!E805)</f>
        <v>0</v>
      </c>
      <c r="AE805" s="266">
        <f>IF($Z805="",0,Shares!J805*Shares!I805)</f>
        <v>0</v>
      </c>
      <c r="AF805" s="267">
        <f t="shared" si="55"/>
        <v>0</v>
      </c>
      <c r="AG805" s="266">
        <f>IF($Z805="",0,Shares!L805)</f>
        <v>0</v>
      </c>
      <c r="AH805" s="267">
        <f>IF($Z805="",0,Shares!M805)</f>
        <v>0</v>
      </c>
      <c r="AI805" s="243" t="str">
        <f>IF($Z805="","",RANK(AE805,$AE$2:$AE$1001)+COUNTIF($AE$2:AE805,AE805)-1)</f>
        <v/>
      </c>
      <c r="AJ805" s="243" t="str">
        <f>IF($AD805&lt;0,COUNT($AJ$1:AJ804)+1,"")</f>
        <v/>
      </c>
      <c r="AL805" s="243" t="str">
        <f>'All Ticker P&amp;L'!A805</f>
        <v/>
      </c>
      <c r="AM805" s="243" t="str">
        <f>'All Ticker P&amp;L'!B805</f>
        <v/>
      </c>
      <c r="AN805" s="243" t="str">
        <f>'All Ticker P&amp;L'!C805</f>
        <v/>
      </c>
      <c r="AO805" s="243" t="str">
        <f>'All Ticker P&amp;L'!D805</f>
        <v/>
      </c>
      <c r="AP805" s="243">
        <f>IF($AL805="",0,'All Ticker P&amp;L'!E805)</f>
        <v>0</v>
      </c>
      <c r="AQ805" s="266">
        <f>IF($AL805="",0,'All Ticker P&amp;L'!J805*'All Ticker P&amp;L'!I805)</f>
        <v>0</v>
      </c>
      <c r="AR805" s="266">
        <f>IF($AL805="",0,'All Ticker P&amp;L'!L805)</f>
        <v>0</v>
      </c>
      <c r="AS805" s="267">
        <f>IF($AL805="",0,'All Ticker P&amp;L'!M805)</f>
        <v>0</v>
      </c>
      <c r="AT805" s="243" t="str">
        <f>IF($AL805="","",RANK(AR805,$AR$2:$AR$1001)+COUNTIF($AR$2:AR805,AR805)-1)</f>
        <v/>
      </c>
      <c r="AU805" s="243" t="str">
        <f>IF($AL805="","",RANK(AV805,$AV$2:$AV$1001)+COUNTIF($AV$2:AV805,AV805)-1)</f>
        <v/>
      </c>
      <c r="AV805" s="266">
        <f t="shared" si="56"/>
        <v>0</v>
      </c>
    </row>
    <row r="806" spans="26:48" ht="15" customHeight="1" x14ac:dyDescent="0.2">
      <c r="Z806" s="243" t="str">
        <f>Shares!A806</f>
        <v/>
      </c>
      <c r="AA806" s="243" t="str">
        <f>Shares!B806</f>
        <v/>
      </c>
      <c r="AB806" s="243" t="str">
        <f>Shares!C806</f>
        <v/>
      </c>
      <c r="AC806" s="243" t="str">
        <f>Shares!D806</f>
        <v/>
      </c>
      <c r="AD806" s="243">
        <f>IF($Z806="",0,Shares!E806)</f>
        <v>0</v>
      </c>
      <c r="AE806" s="266">
        <f>IF($Z806="",0,Shares!J806*Shares!I806)</f>
        <v>0</v>
      </c>
      <c r="AF806" s="267">
        <f t="shared" si="55"/>
        <v>0</v>
      </c>
      <c r="AG806" s="266">
        <f>IF($Z806="",0,Shares!L806)</f>
        <v>0</v>
      </c>
      <c r="AH806" s="267">
        <f>IF($Z806="",0,Shares!M806)</f>
        <v>0</v>
      </c>
      <c r="AI806" s="243" t="str">
        <f>IF($Z806="","",RANK(AE806,$AE$2:$AE$1001)+COUNTIF($AE$2:AE806,AE806)-1)</f>
        <v/>
      </c>
      <c r="AJ806" s="243" t="str">
        <f>IF($AD806&lt;0,COUNT($AJ$1:AJ805)+1,"")</f>
        <v/>
      </c>
      <c r="AL806" s="243" t="str">
        <f>'All Ticker P&amp;L'!A806</f>
        <v/>
      </c>
      <c r="AM806" s="243" t="str">
        <f>'All Ticker P&amp;L'!B806</f>
        <v/>
      </c>
      <c r="AN806" s="243" t="str">
        <f>'All Ticker P&amp;L'!C806</f>
        <v/>
      </c>
      <c r="AO806" s="243" t="str">
        <f>'All Ticker P&amp;L'!D806</f>
        <v/>
      </c>
      <c r="AP806" s="243">
        <f>IF($AL806="",0,'All Ticker P&amp;L'!E806)</f>
        <v>0</v>
      </c>
      <c r="AQ806" s="266">
        <f>IF($AL806="",0,'All Ticker P&amp;L'!J806*'All Ticker P&amp;L'!I806)</f>
        <v>0</v>
      </c>
      <c r="AR806" s="266">
        <f>IF($AL806="",0,'All Ticker P&amp;L'!L806)</f>
        <v>0</v>
      </c>
      <c r="AS806" s="267">
        <f>IF($AL806="",0,'All Ticker P&amp;L'!M806)</f>
        <v>0</v>
      </c>
      <c r="AT806" s="243" t="str">
        <f>IF($AL806="","",RANK(AR806,$AR$2:$AR$1001)+COUNTIF($AR$2:AR806,AR806)-1)</f>
        <v/>
      </c>
      <c r="AU806" s="243" t="str">
        <f>IF($AL806="","",RANK(AV806,$AV$2:$AV$1001)+COUNTIF($AV$2:AV806,AV806)-1)</f>
        <v/>
      </c>
      <c r="AV806" s="266">
        <f t="shared" si="56"/>
        <v>0</v>
      </c>
    </row>
    <row r="807" spans="26:48" ht="15" customHeight="1" x14ac:dyDescent="0.2">
      <c r="Z807" s="243" t="str">
        <f>Shares!A807</f>
        <v/>
      </c>
      <c r="AA807" s="243" t="str">
        <f>Shares!B807</f>
        <v/>
      </c>
      <c r="AB807" s="243" t="str">
        <f>Shares!C807</f>
        <v/>
      </c>
      <c r="AC807" s="243" t="str">
        <f>Shares!D807</f>
        <v/>
      </c>
      <c r="AD807" s="243">
        <f>IF($Z807="",0,Shares!E807)</f>
        <v>0</v>
      </c>
      <c r="AE807" s="266">
        <f>IF($Z807="",0,Shares!J807*Shares!I807)</f>
        <v>0</v>
      </c>
      <c r="AF807" s="267">
        <f t="shared" si="55"/>
        <v>0</v>
      </c>
      <c r="AG807" s="266">
        <f>IF($Z807="",0,Shares!L807)</f>
        <v>0</v>
      </c>
      <c r="AH807" s="267">
        <f>IF($Z807="",0,Shares!M807)</f>
        <v>0</v>
      </c>
      <c r="AI807" s="243" t="str">
        <f>IF($Z807="","",RANK(AE807,$AE$2:$AE$1001)+COUNTIF($AE$2:AE807,AE807)-1)</f>
        <v/>
      </c>
      <c r="AJ807" s="243" t="str">
        <f>IF($AD807&lt;0,COUNT($AJ$1:AJ806)+1,"")</f>
        <v/>
      </c>
      <c r="AL807" s="243" t="str">
        <f>'All Ticker P&amp;L'!A807</f>
        <v/>
      </c>
      <c r="AM807" s="243" t="str">
        <f>'All Ticker P&amp;L'!B807</f>
        <v/>
      </c>
      <c r="AN807" s="243" t="str">
        <f>'All Ticker P&amp;L'!C807</f>
        <v/>
      </c>
      <c r="AO807" s="243" t="str">
        <f>'All Ticker P&amp;L'!D807</f>
        <v/>
      </c>
      <c r="AP807" s="243">
        <f>IF($AL807="",0,'All Ticker P&amp;L'!E807)</f>
        <v>0</v>
      </c>
      <c r="AQ807" s="266">
        <f>IF($AL807="",0,'All Ticker P&amp;L'!J807*'All Ticker P&amp;L'!I807)</f>
        <v>0</v>
      </c>
      <c r="AR807" s="266">
        <f>IF($AL807="",0,'All Ticker P&amp;L'!L807)</f>
        <v>0</v>
      </c>
      <c r="AS807" s="267">
        <f>IF($AL807="",0,'All Ticker P&amp;L'!M807)</f>
        <v>0</v>
      </c>
      <c r="AT807" s="243" t="str">
        <f>IF($AL807="","",RANK(AR807,$AR$2:$AR$1001)+COUNTIF($AR$2:AR807,AR807)-1)</f>
        <v/>
      </c>
      <c r="AU807" s="243" t="str">
        <f>IF($AL807="","",RANK(AV807,$AV$2:$AV$1001)+COUNTIF($AV$2:AV807,AV807)-1)</f>
        <v/>
      </c>
      <c r="AV807" s="266">
        <f t="shared" si="56"/>
        <v>0</v>
      </c>
    </row>
    <row r="808" spans="26:48" ht="15" customHeight="1" x14ac:dyDescent="0.2">
      <c r="Z808" s="243" t="str">
        <f>Shares!A808</f>
        <v/>
      </c>
      <c r="AA808" s="243" t="str">
        <f>Shares!B808</f>
        <v/>
      </c>
      <c r="AB808" s="243" t="str">
        <f>Shares!C808</f>
        <v/>
      </c>
      <c r="AC808" s="243" t="str">
        <f>Shares!D808</f>
        <v/>
      </c>
      <c r="AD808" s="243">
        <f>IF($Z808="",0,Shares!E808)</f>
        <v>0</v>
      </c>
      <c r="AE808" s="266">
        <f>IF($Z808="",0,Shares!J808*Shares!I808)</f>
        <v>0</v>
      </c>
      <c r="AF808" s="267">
        <f t="shared" si="55"/>
        <v>0</v>
      </c>
      <c r="AG808" s="266">
        <f>IF($Z808="",0,Shares!L808)</f>
        <v>0</v>
      </c>
      <c r="AH808" s="267">
        <f>IF($Z808="",0,Shares!M808)</f>
        <v>0</v>
      </c>
      <c r="AI808" s="243" t="str">
        <f>IF($Z808="","",RANK(AE808,$AE$2:$AE$1001)+COUNTIF($AE$2:AE808,AE808)-1)</f>
        <v/>
      </c>
      <c r="AJ808" s="243" t="str">
        <f>IF($AD808&lt;0,COUNT($AJ$1:AJ807)+1,"")</f>
        <v/>
      </c>
      <c r="AL808" s="243" t="str">
        <f>'All Ticker P&amp;L'!A808</f>
        <v/>
      </c>
      <c r="AM808" s="243" t="str">
        <f>'All Ticker P&amp;L'!B808</f>
        <v/>
      </c>
      <c r="AN808" s="243" t="str">
        <f>'All Ticker P&amp;L'!C808</f>
        <v/>
      </c>
      <c r="AO808" s="243" t="str">
        <f>'All Ticker P&amp;L'!D808</f>
        <v/>
      </c>
      <c r="AP808" s="243">
        <f>IF($AL808="",0,'All Ticker P&amp;L'!E808)</f>
        <v>0</v>
      </c>
      <c r="AQ808" s="266">
        <f>IF($AL808="",0,'All Ticker P&amp;L'!J808*'All Ticker P&amp;L'!I808)</f>
        <v>0</v>
      </c>
      <c r="AR808" s="266">
        <f>IF($AL808="",0,'All Ticker P&amp;L'!L808)</f>
        <v>0</v>
      </c>
      <c r="AS808" s="267">
        <f>IF($AL808="",0,'All Ticker P&amp;L'!M808)</f>
        <v>0</v>
      </c>
      <c r="AT808" s="243" t="str">
        <f>IF($AL808="","",RANK(AR808,$AR$2:$AR$1001)+COUNTIF($AR$2:AR808,AR808)-1)</f>
        <v/>
      </c>
      <c r="AU808" s="243" t="str">
        <f>IF($AL808="","",RANK(AV808,$AV$2:$AV$1001)+COUNTIF($AV$2:AV808,AV808)-1)</f>
        <v/>
      </c>
      <c r="AV808" s="266">
        <f t="shared" si="56"/>
        <v>0</v>
      </c>
    </row>
    <row r="809" spans="26:48" ht="15" customHeight="1" x14ac:dyDescent="0.2">
      <c r="Z809" s="243" t="str">
        <f>Shares!A809</f>
        <v/>
      </c>
      <c r="AA809" s="243" t="str">
        <f>Shares!B809</f>
        <v/>
      </c>
      <c r="AB809" s="243" t="str">
        <f>Shares!C809</f>
        <v/>
      </c>
      <c r="AC809" s="243" t="str">
        <f>Shares!D809</f>
        <v/>
      </c>
      <c r="AD809" s="243">
        <f>IF($Z809="",0,Shares!E809)</f>
        <v>0</v>
      </c>
      <c r="AE809" s="266">
        <f>IF($Z809="",0,Shares!J809*Shares!I809)</f>
        <v>0</v>
      </c>
      <c r="AF809" s="267">
        <f t="shared" si="55"/>
        <v>0</v>
      </c>
      <c r="AG809" s="266">
        <f>IF($Z809="",0,Shares!L809)</f>
        <v>0</v>
      </c>
      <c r="AH809" s="267">
        <f>IF($Z809="",0,Shares!M809)</f>
        <v>0</v>
      </c>
      <c r="AI809" s="243" t="str">
        <f>IF($Z809="","",RANK(AE809,$AE$2:$AE$1001)+COUNTIF($AE$2:AE809,AE809)-1)</f>
        <v/>
      </c>
      <c r="AJ809" s="243" t="str">
        <f>IF($AD809&lt;0,COUNT($AJ$1:AJ808)+1,"")</f>
        <v/>
      </c>
      <c r="AL809" s="243" t="str">
        <f>'All Ticker P&amp;L'!A809</f>
        <v/>
      </c>
      <c r="AM809" s="243" t="str">
        <f>'All Ticker P&amp;L'!B809</f>
        <v/>
      </c>
      <c r="AN809" s="243" t="str">
        <f>'All Ticker P&amp;L'!C809</f>
        <v/>
      </c>
      <c r="AO809" s="243" t="str">
        <f>'All Ticker P&amp;L'!D809</f>
        <v/>
      </c>
      <c r="AP809" s="243">
        <f>IF($AL809="",0,'All Ticker P&amp;L'!E809)</f>
        <v>0</v>
      </c>
      <c r="AQ809" s="266">
        <f>IF($AL809="",0,'All Ticker P&amp;L'!J809*'All Ticker P&amp;L'!I809)</f>
        <v>0</v>
      </c>
      <c r="AR809" s="266">
        <f>IF($AL809="",0,'All Ticker P&amp;L'!L809)</f>
        <v>0</v>
      </c>
      <c r="AS809" s="267">
        <f>IF($AL809="",0,'All Ticker P&amp;L'!M809)</f>
        <v>0</v>
      </c>
      <c r="AT809" s="243" t="str">
        <f>IF($AL809="","",RANK(AR809,$AR$2:$AR$1001)+COUNTIF($AR$2:AR809,AR809)-1)</f>
        <v/>
      </c>
      <c r="AU809" s="243" t="str">
        <f>IF($AL809="","",RANK(AV809,$AV$2:$AV$1001)+COUNTIF($AV$2:AV809,AV809)-1)</f>
        <v/>
      </c>
      <c r="AV809" s="266">
        <f t="shared" si="56"/>
        <v>0</v>
      </c>
    </row>
    <row r="810" spans="26:48" ht="15" customHeight="1" x14ac:dyDescent="0.2">
      <c r="Z810" s="243" t="str">
        <f>Shares!A810</f>
        <v/>
      </c>
      <c r="AA810" s="243" t="str">
        <f>Shares!B810</f>
        <v/>
      </c>
      <c r="AB810" s="243" t="str">
        <f>Shares!C810</f>
        <v/>
      </c>
      <c r="AC810" s="243" t="str">
        <f>Shares!D810</f>
        <v/>
      </c>
      <c r="AD810" s="243">
        <f>IF($Z810="",0,Shares!E810)</f>
        <v>0</v>
      </c>
      <c r="AE810" s="266">
        <f>IF($Z810="",0,Shares!J810*Shares!I810)</f>
        <v>0</v>
      </c>
      <c r="AF810" s="267">
        <f t="shared" si="55"/>
        <v>0</v>
      </c>
      <c r="AG810" s="266">
        <f>IF($Z810="",0,Shares!L810)</f>
        <v>0</v>
      </c>
      <c r="AH810" s="267">
        <f>IF($Z810="",0,Shares!M810)</f>
        <v>0</v>
      </c>
      <c r="AI810" s="243" t="str">
        <f>IF($Z810="","",RANK(AE810,$AE$2:$AE$1001)+COUNTIF($AE$2:AE810,AE810)-1)</f>
        <v/>
      </c>
      <c r="AJ810" s="243" t="str">
        <f>IF($AD810&lt;0,COUNT($AJ$1:AJ809)+1,"")</f>
        <v/>
      </c>
      <c r="AL810" s="243" t="str">
        <f>'All Ticker P&amp;L'!A810</f>
        <v/>
      </c>
      <c r="AM810" s="243" t="str">
        <f>'All Ticker P&amp;L'!B810</f>
        <v/>
      </c>
      <c r="AN810" s="243" t="str">
        <f>'All Ticker P&amp;L'!C810</f>
        <v/>
      </c>
      <c r="AO810" s="243" t="str">
        <f>'All Ticker P&amp;L'!D810</f>
        <v/>
      </c>
      <c r="AP810" s="243">
        <f>IF($AL810="",0,'All Ticker P&amp;L'!E810)</f>
        <v>0</v>
      </c>
      <c r="AQ810" s="266">
        <f>IF($AL810="",0,'All Ticker P&amp;L'!J810*'All Ticker P&amp;L'!I810)</f>
        <v>0</v>
      </c>
      <c r="AR810" s="266">
        <f>IF($AL810="",0,'All Ticker P&amp;L'!L810)</f>
        <v>0</v>
      </c>
      <c r="AS810" s="267">
        <f>IF($AL810="",0,'All Ticker P&amp;L'!M810)</f>
        <v>0</v>
      </c>
      <c r="AT810" s="243" t="str">
        <f>IF($AL810="","",RANK(AR810,$AR$2:$AR$1001)+COUNTIF($AR$2:AR810,AR810)-1)</f>
        <v/>
      </c>
      <c r="AU810" s="243" t="str">
        <f>IF($AL810="","",RANK(AV810,$AV$2:$AV$1001)+COUNTIF($AV$2:AV810,AV810)-1)</f>
        <v/>
      </c>
      <c r="AV810" s="266">
        <f t="shared" si="56"/>
        <v>0</v>
      </c>
    </row>
    <row r="811" spans="26:48" ht="15" customHeight="1" x14ac:dyDescent="0.2">
      <c r="Z811" s="243" t="str">
        <f>Shares!A811</f>
        <v/>
      </c>
      <c r="AA811" s="243" t="str">
        <f>Shares!B811</f>
        <v/>
      </c>
      <c r="AB811" s="243" t="str">
        <f>Shares!C811</f>
        <v/>
      </c>
      <c r="AC811" s="243" t="str">
        <f>Shares!D811</f>
        <v/>
      </c>
      <c r="AD811" s="243">
        <f>IF($Z811="",0,Shares!E811)</f>
        <v>0</v>
      </c>
      <c r="AE811" s="266">
        <f>IF($Z811="",0,Shares!J811*Shares!I811)</f>
        <v>0</v>
      </c>
      <c r="AF811" s="267">
        <f t="shared" si="55"/>
        <v>0</v>
      </c>
      <c r="AG811" s="266">
        <f>IF($Z811="",0,Shares!L811)</f>
        <v>0</v>
      </c>
      <c r="AH811" s="267">
        <f>IF($Z811="",0,Shares!M811)</f>
        <v>0</v>
      </c>
      <c r="AI811" s="243" t="str">
        <f>IF($Z811="","",RANK(AE811,$AE$2:$AE$1001)+COUNTIF($AE$2:AE811,AE811)-1)</f>
        <v/>
      </c>
      <c r="AJ811" s="243" t="str">
        <f>IF($AD811&lt;0,COUNT($AJ$1:AJ810)+1,"")</f>
        <v/>
      </c>
      <c r="AL811" s="243" t="str">
        <f>'All Ticker P&amp;L'!A811</f>
        <v/>
      </c>
      <c r="AM811" s="243" t="str">
        <f>'All Ticker P&amp;L'!B811</f>
        <v/>
      </c>
      <c r="AN811" s="243" t="str">
        <f>'All Ticker P&amp;L'!C811</f>
        <v/>
      </c>
      <c r="AO811" s="243" t="str">
        <f>'All Ticker P&amp;L'!D811</f>
        <v/>
      </c>
      <c r="AP811" s="243">
        <f>IF($AL811="",0,'All Ticker P&amp;L'!E811)</f>
        <v>0</v>
      </c>
      <c r="AQ811" s="266">
        <f>IF($AL811="",0,'All Ticker P&amp;L'!J811*'All Ticker P&amp;L'!I811)</f>
        <v>0</v>
      </c>
      <c r="AR811" s="266">
        <f>IF($AL811="",0,'All Ticker P&amp;L'!L811)</f>
        <v>0</v>
      </c>
      <c r="AS811" s="267">
        <f>IF($AL811="",0,'All Ticker P&amp;L'!M811)</f>
        <v>0</v>
      </c>
      <c r="AT811" s="243" t="str">
        <f>IF($AL811="","",RANK(AR811,$AR$2:$AR$1001)+COUNTIF($AR$2:AR811,AR811)-1)</f>
        <v/>
      </c>
      <c r="AU811" s="243" t="str">
        <f>IF($AL811="","",RANK(AV811,$AV$2:$AV$1001)+COUNTIF($AV$2:AV811,AV811)-1)</f>
        <v/>
      </c>
      <c r="AV811" s="266">
        <f t="shared" si="56"/>
        <v>0</v>
      </c>
    </row>
    <row r="812" spans="26:48" ht="15" customHeight="1" x14ac:dyDescent="0.2">
      <c r="Z812" s="243" t="str">
        <f>Shares!A812</f>
        <v/>
      </c>
      <c r="AA812" s="243" t="str">
        <f>Shares!B812</f>
        <v/>
      </c>
      <c r="AB812" s="243" t="str">
        <f>Shares!C812</f>
        <v/>
      </c>
      <c r="AC812" s="243" t="str">
        <f>Shares!D812</f>
        <v/>
      </c>
      <c r="AD812" s="243">
        <f>IF($Z812="",0,Shares!E812)</f>
        <v>0</v>
      </c>
      <c r="AE812" s="266">
        <f>IF($Z812="",0,Shares!J812*Shares!I812)</f>
        <v>0</v>
      </c>
      <c r="AF812" s="267">
        <f t="shared" si="55"/>
        <v>0</v>
      </c>
      <c r="AG812" s="266">
        <f>IF($Z812="",0,Shares!L812)</f>
        <v>0</v>
      </c>
      <c r="AH812" s="267">
        <f>IF($Z812="",0,Shares!M812)</f>
        <v>0</v>
      </c>
      <c r="AI812" s="243" t="str">
        <f>IF($Z812="","",RANK(AE812,$AE$2:$AE$1001)+COUNTIF($AE$2:AE812,AE812)-1)</f>
        <v/>
      </c>
      <c r="AJ812" s="243" t="str">
        <f>IF($AD812&lt;0,COUNT($AJ$1:AJ811)+1,"")</f>
        <v/>
      </c>
      <c r="AL812" s="243" t="str">
        <f>'All Ticker P&amp;L'!A812</f>
        <v/>
      </c>
      <c r="AM812" s="243" t="str">
        <f>'All Ticker P&amp;L'!B812</f>
        <v/>
      </c>
      <c r="AN812" s="243" t="str">
        <f>'All Ticker P&amp;L'!C812</f>
        <v/>
      </c>
      <c r="AO812" s="243" t="str">
        <f>'All Ticker P&amp;L'!D812</f>
        <v/>
      </c>
      <c r="AP812" s="243">
        <f>IF($AL812="",0,'All Ticker P&amp;L'!E812)</f>
        <v>0</v>
      </c>
      <c r="AQ812" s="266">
        <f>IF($AL812="",0,'All Ticker P&amp;L'!J812*'All Ticker P&amp;L'!I812)</f>
        <v>0</v>
      </c>
      <c r="AR812" s="266">
        <f>IF($AL812="",0,'All Ticker P&amp;L'!L812)</f>
        <v>0</v>
      </c>
      <c r="AS812" s="267">
        <f>IF($AL812="",0,'All Ticker P&amp;L'!M812)</f>
        <v>0</v>
      </c>
      <c r="AT812" s="243" t="str">
        <f>IF($AL812="","",RANK(AR812,$AR$2:$AR$1001)+COUNTIF($AR$2:AR812,AR812)-1)</f>
        <v/>
      </c>
      <c r="AU812" s="243" t="str">
        <f>IF($AL812="","",RANK(AV812,$AV$2:$AV$1001)+COUNTIF($AV$2:AV812,AV812)-1)</f>
        <v/>
      </c>
      <c r="AV812" s="266">
        <f t="shared" si="56"/>
        <v>0</v>
      </c>
    </row>
    <row r="813" spans="26:48" ht="15" customHeight="1" x14ac:dyDescent="0.2">
      <c r="Z813" s="243" t="str">
        <f>Shares!A813</f>
        <v/>
      </c>
      <c r="AA813" s="243" t="str">
        <f>Shares!B813</f>
        <v/>
      </c>
      <c r="AB813" s="243" t="str">
        <f>Shares!C813</f>
        <v/>
      </c>
      <c r="AC813" s="243" t="str">
        <f>Shares!D813</f>
        <v/>
      </c>
      <c r="AD813" s="243">
        <f>IF($Z813="",0,Shares!E813)</f>
        <v>0</v>
      </c>
      <c r="AE813" s="266">
        <f>IF($Z813="",0,Shares!J813*Shares!I813)</f>
        <v>0</v>
      </c>
      <c r="AF813" s="267">
        <f t="shared" si="55"/>
        <v>0</v>
      </c>
      <c r="AG813" s="266">
        <f>IF($Z813="",0,Shares!L813)</f>
        <v>0</v>
      </c>
      <c r="AH813" s="267">
        <f>IF($Z813="",0,Shares!M813)</f>
        <v>0</v>
      </c>
      <c r="AI813" s="243" t="str">
        <f>IF($Z813="","",RANK(AE813,$AE$2:$AE$1001)+COUNTIF($AE$2:AE813,AE813)-1)</f>
        <v/>
      </c>
      <c r="AJ813" s="243" t="str">
        <f>IF($AD813&lt;0,COUNT($AJ$1:AJ812)+1,"")</f>
        <v/>
      </c>
      <c r="AL813" s="243" t="str">
        <f>'All Ticker P&amp;L'!A813</f>
        <v/>
      </c>
      <c r="AM813" s="243" t="str">
        <f>'All Ticker P&amp;L'!B813</f>
        <v/>
      </c>
      <c r="AN813" s="243" t="str">
        <f>'All Ticker P&amp;L'!C813</f>
        <v/>
      </c>
      <c r="AO813" s="243" t="str">
        <f>'All Ticker P&amp;L'!D813</f>
        <v/>
      </c>
      <c r="AP813" s="243">
        <f>IF($AL813="",0,'All Ticker P&amp;L'!E813)</f>
        <v>0</v>
      </c>
      <c r="AQ813" s="266">
        <f>IF($AL813="",0,'All Ticker P&amp;L'!J813*'All Ticker P&amp;L'!I813)</f>
        <v>0</v>
      </c>
      <c r="AR813" s="266">
        <f>IF($AL813="",0,'All Ticker P&amp;L'!L813)</f>
        <v>0</v>
      </c>
      <c r="AS813" s="267">
        <f>IF($AL813="",0,'All Ticker P&amp;L'!M813)</f>
        <v>0</v>
      </c>
      <c r="AT813" s="243" t="str">
        <f>IF($AL813="","",RANK(AR813,$AR$2:$AR$1001)+COUNTIF($AR$2:AR813,AR813)-1)</f>
        <v/>
      </c>
      <c r="AU813" s="243" t="str">
        <f>IF($AL813="","",RANK(AV813,$AV$2:$AV$1001)+COUNTIF($AV$2:AV813,AV813)-1)</f>
        <v/>
      </c>
      <c r="AV813" s="266">
        <f t="shared" si="56"/>
        <v>0</v>
      </c>
    </row>
    <row r="814" spans="26:48" ht="15" customHeight="1" x14ac:dyDescent="0.2">
      <c r="Z814" s="243" t="str">
        <f>Shares!A814</f>
        <v/>
      </c>
      <c r="AA814" s="243" t="str">
        <f>Shares!B814</f>
        <v/>
      </c>
      <c r="AB814" s="243" t="str">
        <f>Shares!C814</f>
        <v/>
      </c>
      <c r="AC814" s="243" t="str">
        <f>Shares!D814</f>
        <v/>
      </c>
      <c r="AD814" s="243">
        <f>IF($Z814="",0,Shares!E814)</f>
        <v>0</v>
      </c>
      <c r="AE814" s="266">
        <f>IF($Z814="",0,Shares!J814*Shares!I814)</f>
        <v>0</v>
      </c>
      <c r="AF814" s="267">
        <f t="shared" si="55"/>
        <v>0</v>
      </c>
      <c r="AG814" s="266">
        <f>IF($Z814="",0,Shares!L814)</f>
        <v>0</v>
      </c>
      <c r="AH814" s="267">
        <f>IF($Z814="",0,Shares!M814)</f>
        <v>0</v>
      </c>
      <c r="AI814" s="243" t="str">
        <f>IF($Z814="","",RANK(AE814,$AE$2:$AE$1001)+COUNTIF($AE$2:AE814,AE814)-1)</f>
        <v/>
      </c>
      <c r="AJ814" s="243" t="str">
        <f>IF($AD814&lt;0,COUNT($AJ$1:AJ813)+1,"")</f>
        <v/>
      </c>
      <c r="AL814" s="243" t="str">
        <f>'All Ticker P&amp;L'!A814</f>
        <v/>
      </c>
      <c r="AM814" s="243" t="str">
        <f>'All Ticker P&amp;L'!B814</f>
        <v/>
      </c>
      <c r="AN814" s="243" t="str">
        <f>'All Ticker P&amp;L'!C814</f>
        <v/>
      </c>
      <c r="AO814" s="243" t="str">
        <f>'All Ticker P&amp;L'!D814</f>
        <v/>
      </c>
      <c r="AP814" s="243">
        <f>IF($AL814="",0,'All Ticker P&amp;L'!E814)</f>
        <v>0</v>
      </c>
      <c r="AQ814" s="266">
        <f>IF($AL814="",0,'All Ticker P&amp;L'!J814*'All Ticker P&amp;L'!I814)</f>
        <v>0</v>
      </c>
      <c r="AR814" s="266">
        <f>IF($AL814="",0,'All Ticker P&amp;L'!L814)</f>
        <v>0</v>
      </c>
      <c r="AS814" s="267">
        <f>IF($AL814="",0,'All Ticker P&amp;L'!M814)</f>
        <v>0</v>
      </c>
      <c r="AT814" s="243" t="str">
        <f>IF($AL814="","",RANK(AR814,$AR$2:$AR$1001)+COUNTIF($AR$2:AR814,AR814)-1)</f>
        <v/>
      </c>
      <c r="AU814" s="243" t="str">
        <f>IF($AL814="","",RANK(AV814,$AV$2:$AV$1001)+COUNTIF($AV$2:AV814,AV814)-1)</f>
        <v/>
      </c>
      <c r="AV814" s="266">
        <f t="shared" si="56"/>
        <v>0</v>
      </c>
    </row>
    <row r="815" spans="26:48" ht="15" customHeight="1" x14ac:dyDescent="0.2">
      <c r="Z815" s="243" t="str">
        <f>Shares!A815</f>
        <v/>
      </c>
      <c r="AA815" s="243" t="str">
        <f>Shares!B815</f>
        <v/>
      </c>
      <c r="AB815" s="243" t="str">
        <f>Shares!C815</f>
        <v/>
      </c>
      <c r="AC815" s="243" t="str">
        <f>Shares!D815</f>
        <v/>
      </c>
      <c r="AD815" s="243">
        <f>IF($Z815="",0,Shares!E815)</f>
        <v>0</v>
      </c>
      <c r="AE815" s="266">
        <f>IF($Z815="",0,Shares!J815*Shares!I815)</f>
        <v>0</v>
      </c>
      <c r="AF815" s="267">
        <f t="shared" si="55"/>
        <v>0</v>
      </c>
      <c r="AG815" s="266">
        <f>IF($Z815="",0,Shares!L815)</f>
        <v>0</v>
      </c>
      <c r="AH815" s="267">
        <f>IF($Z815="",0,Shares!M815)</f>
        <v>0</v>
      </c>
      <c r="AI815" s="243" t="str">
        <f>IF($Z815="","",RANK(AE815,$AE$2:$AE$1001)+COUNTIF($AE$2:AE815,AE815)-1)</f>
        <v/>
      </c>
      <c r="AJ815" s="243" t="str">
        <f>IF($AD815&lt;0,COUNT($AJ$1:AJ814)+1,"")</f>
        <v/>
      </c>
      <c r="AL815" s="243" t="str">
        <f>'All Ticker P&amp;L'!A815</f>
        <v/>
      </c>
      <c r="AM815" s="243" t="str">
        <f>'All Ticker P&amp;L'!B815</f>
        <v/>
      </c>
      <c r="AN815" s="243" t="str">
        <f>'All Ticker P&amp;L'!C815</f>
        <v/>
      </c>
      <c r="AO815" s="243" t="str">
        <f>'All Ticker P&amp;L'!D815</f>
        <v/>
      </c>
      <c r="AP815" s="243">
        <f>IF($AL815="",0,'All Ticker P&amp;L'!E815)</f>
        <v>0</v>
      </c>
      <c r="AQ815" s="266">
        <f>IF($AL815="",0,'All Ticker P&amp;L'!J815*'All Ticker P&amp;L'!I815)</f>
        <v>0</v>
      </c>
      <c r="AR815" s="266">
        <f>IF($AL815="",0,'All Ticker P&amp;L'!L815)</f>
        <v>0</v>
      </c>
      <c r="AS815" s="267">
        <f>IF($AL815="",0,'All Ticker P&amp;L'!M815)</f>
        <v>0</v>
      </c>
      <c r="AT815" s="243" t="str">
        <f>IF($AL815="","",RANK(AR815,$AR$2:$AR$1001)+COUNTIF($AR$2:AR815,AR815)-1)</f>
        <v/>
      </c>
      <c r="AU815" s="243" t="str">
        <f>IF($AL815="","",RANK(AV815,$AV$2:$AV$1001)+COUNTIF($AV$2:AV815,AV815)-1)</f>
        <v/>
      </c>
      <c r="AV815" s="266">
        <f t="shared" si="56"/>
        <v>0</v>
      </c>
    </row>
    <row r="816" spans="26:48" ht="15" customHeight="1" x14ac:dyDescent="0.2">
      <c r="Z816" s="243" t="str">
        <f>Shares!A816</f>
        <v/>
      </c>
      <c r="AA816" s="243" t="str">
        <f>Shares!B816</f>
        <v/>
      </c>
      <c r="AB816" s="243" t="str">
        <f>Shares!C816</f>
        <v/>
      </c>
      <c r="AC816" s="243" t="str">
        <f>Shares!D816</f>
        <v/>
      </c>
      <c r="AD816" s="243">
        <f>IF($Z816="",0,Shares!E816)</f>
        <v>0</v>
      </c>
      <c r="AE816" s="266">
        <f>IF($Z816="",0,Shares!J816*Shares!I816)</f>
        <v>0</v>
      </c>
      <c r="AF816" s="267">
        <f t="shared" si="55"/>
        <v>0</v>
      </c>
      <c r="AG816" s="266">
        <f>IF($Z816="",0,Shares!L816)</f>
        <v>0</v>
      </c>
      <c r="AH816" s="267">
        <f>IF($Z816="",0,Shares!M816)</f>
        <v>0</v>
      </c>
      <c r="AI816" s="243" t="str">
        <f>IF($Z816="","",RANK(AE816,$AE$2:$AE$1001)+COUNTIF($AE$2:AE816,AE816)-1)</f>
        <v/>
      </c>
      <c r="AJ816" s="243" t="str">
        <f>IF($AD816&lt;0,COUNT($AJ$1:AJ815)+1,"")</f>
        <v/>
      </c>
      <c r="AL816" s="243" t="str">
        <f>'All Ticker P&amp;L'!A816</f>
        <v/>
      </c>
      <c r="AM816" s="243" t="str">
        <f>'All Ticker P&amp;L'!B816</f>
        <v/>
      </c>
      <c r="AN816" s="243" t="str">
        <f>'All Ticker P&amp;L'!C816</f>
        <v/>
      </c>
      <c r="AO816" s="243" t="str">
        <f>'All Ticker P&amp;L'!D816</f>
        <v/>
      </c>
      <c r="AP816" s="243">
        <f>IF($AL816="",0,'All Ticker P&amp;L'!E816)</f>
        <v>0</v>
      </c>
      <c r="AQ816" s="266">
        <f>IF($AL816="",0,'All Ticker P&amp;L'!J816*'All Ticker P&amp;L'!I816)</f>
        <v>0</v>
      </c>
      <c r="AR816" s="266">
        <f>IF($AL816="",0,'All Ticker P&amp;L'!L816)</f>
        <v>0</v>
      </c>
      <c r="AS816" s="267">
        <f>IF($AL816="",0,'All Ticker P&amp;L'!M816)</f>
        <v>0</v>
      </c>
      <c r="AT816" s="243" t="str">
        <f>IF($AL816="","",RANK(AR816,$AR$2:$AR$1001)+COUNTIF($AR$2:AR816,AR816)-1)</f>
        <v/>
      </c>
      <c r="AU816" s="243" t="str">
        <f>IF($AL816="","",RANK(AV816,$AV$2:$AV$1001)+COUNTIF($AV$2:AV816,AV816)-1)</f>
        <v/>
      </c>
      <c r="AV816" s="266">
        <f t="shared" si="56"/>
        <v>0</v>
      </c>
    </row>
    <row r="817" spans="26:48" ht="15" customHeight="1" x14ac:dyDescent="0.2">
      <c r="Z817" s="243" t="str">
        <f>Shares!A817</f>
        <v/>
      </c>
      <c r="AA817" s="243" t="str">
        <f>Shares!B817</f>
        <v/>
      </c>
      <c r="AB817" s="243" t="str">
        <f>Shares!C817</f>
        <v/>
      </c>
      <c r="AC817" s="243" t="str">
        <f>Shares!D817</f>
        <v/>
      </c>
      <c r="AD817" s="243">
        <f>IF($Z817="",0,Shares!E817)</f>
        <v>0</v>
      </c>
      <c r="AE817" s="266">
        <f>IF($Z817="",0,Shares!J817*Shares!I817)</f>
        <v>0</v>
      </c>
      <c r="AF817" s="267">
        <f t="shared" si="55"/>
        <v>0</v>
      </c>
      <c r="AG817" s="266">
        <f>IF($Z817="",0,Shares!L817)</f>
        <v>0</v>
      </c>
      <c r="AH817" s="267">
        <f>IF($Z817="",0,Shares!M817)</f>
        <v>0</v>
      </c>
      <c r="AI817" s="243" t="str">
        <f>IF($Z817="","",RANK(AE817,$AE$2:$AE$1001)+COUNTIF($AE$2:AE817,AE817)-1)</f>
        <v/>
      </c>
      <c r="AJ817" s="243" t="str">
        <f>IF($AD817&lt;0,COUNT($AJ$1:AJ816)+1,"")</f>
        <v/>
      </c>
      <c r="AL817" s="243" t="str">
        <f>'All Ticker P&amp;L'!A817</f>
        <v/>
      </c>
      <c r="AM817" s="243" t="str">
        <f>'All Ticker P&amp;L'!B817</f>
        <v/>
      </c>
      <c r="AN817" s="243" t="str">
        <f>'All Ticker P&amp;L'!C817</f>
        <v/>
      </c>
      <c r="AO817" s="243" t="str">
        <f>'All Ticker P&amp;L'!D817</f>
        <v/>
      </c>
      <c r="AP817" s="243">
        <f>IF($AL817="",0,'All Ticker P&amp;L'!E817)</f>
        <v>0</v>
      </c>
      <c r="AQ817" s="266">
        <f>IF($AL817="",0,'All Ticker P&amp;L'!J817*'All Ticker P&amp;L'!I817)</f>
        <v>0</v>
      </c>
      <c r="AR817" s="266">
        <f>IF($AL817="",0,'All Ticker P&amp;L'!L817)</f>
        <v>0</v>
      </c>
      <c r="AS817" s="267">
        <f>IF($AL817="",0,'All Ticker P&amp;L'!M817)</f>
        <v>0</v>
      </c>
      <c r="AT817" s="243" t="str">
        <f>IF($AL817="","",RANK(AR817,$AR$2:$AR$1001)+COUNTIF($AR$2:AR817,AR817)-1)</f>
        <v/>
      </c>
      <c r="AU817" s="243" t="str">
        <f>IF($AL817="","",RANK(AV817,$AV$2:$AV$1001)+COUNTIF($AV$2:AV817,AV817)-1)</f>
        <v/>
      </c>
      <c r="AV817" s="266">
        <f t="shared" si="56"/>
        <v>0</v>
      </c>
    </row>
    <row r="818" spans="26:48" ht="15" customHeight="1" x14ac:dyDescent="0.2">
      <c r="Z818" s="243" t="str">
        <f>Shares!A818</f>
        <v/>
      </c>
      <c r="AA818" s="243" t="str">
        <f>Shares!B818</f>
        <v/>
      </c>
      <c r="AB818" s="243" t="str">
        <f>Shares!C818</f>
        <v/>
      </c>
      <c r="AC818" s="243" t="str">
        <f>Shares!D818</f>
        <v/>
      </c>
      <c r="AD818" s="243">
        <f>IF($Z818="",0,Shares!E818)</f>
        <v>0</v>
      </c>
      <c r="AE818" s="266">
        <f>IF($Z818="",0,Shares!J818*Shares!I818)</f>
        <v>0</v>
      </c>
      <c r="AF818" s="267">
        <f t="shared" si="55"/>
        <v>0</v>
      </c>
      <c r="AG818" s="266">
        <f>IF($Z818="",0,Shares!L818)</f>
        <v>0</v>
      </c>
      <c r="AH818" s="267">
        <f>IF($Z818="",0,Shares!M818)</f>
        <v>0</v>
      </c>
      <c r="AI818" s="243" t="str">
        <f>IF($Z818="","",RANK(AE818,$AE$2:$AE$1001)+COUNTIF($AE$2:AE818,AE818)-1)</f>
        <v/>
      </c>
      <c r="AJ818" s="243" t="str">
        <f>IF($AD818&lt;0,COUNT($AJ$1:AJ817)+1,"")</f>
        <v/>
      </c>
      <c r="AL818" s="243" t="str">
        <f>'All Ticker P&amp;L'!A818</f>
        <v/>
      </c>
      <c r="AM818" s="243" t="str">
        <f>'All Ticker P&amp;L'!B818</f>
        <v/>
      </c>
      <c r="AN818" s="243" t="str">
        <f>'All Ticker P&amp;L'!C818</f>
        <v/>
      </c>
      <c r="AO818" s="243" t="str">
        <f>'All Ticker P&amp;L'!D818</f>
        <v/>
      </c>
      <c r="AP818" s="243">
        <f>IF($AL818="",0,'All Ticker P&amp;L'!E818)</f>
        <v>0</v>
      </c>
      <c r="AQ818" s="266">
        <f>IF($AL818="",0,'All Ticker P&amp;L'!J818*'All Ticker P&amp;L'!I818)</f>
        <v>0</v>
      </c>
      <c r="AR818" s="266">
        <f>IF($AL818="",0,'All Ticker P&amp;L'!L818)</f>
        <v>0</v>
      </c>
      <c r="AS818" s="267">
        <f>IF($AL818="",0,'All Ticker P&amp;L'!M818)</f>
        <v>0</v>
      </c>
      <c r="AT818" s="243" t="str">
        <f>IF($AL818="","",RANK(AR818,$AR$2:$AR$1001)+COUNTIF($AR$2:AR818,AR818)-1)</f>
        <v/>
      </c>
      <c r="AU818" s="243" t="str">
        <f>IF($AL818="","",RANK(AV818,$AV$2:$AV$1001)+COUNTIF($AV$2:AV818,AV818)-1)</f>
        <v/>
      </c>
      <c r="AV818" s="266">
        <f t="shared" si="56"/>
        <v>0</v>
      </c>
    </row>
    <row r="819" spans="26:48" ht="15" customHeight="1" x14ac:dyDescent="0.2">
      <c r="Z819" s="243" t="str">
        <f>Shares!A819</f>
        <v/>
      </c>
      <c r="AA819" s="243" t="str">
        <f>Shares!B819</f>
        <v/>
      </c>
      <c r="AB819" s="243" t="str">
        <f>Shares!C819</f>
        <v/>
      </c>
      <c r="AC819" s="243" t="str">
        <f>Shares!D819</f>
        <v/>
      </c>
      <c r="AD819" s="243">
        <f>IF($Z819="",0,Shares!E819)</f>
        <v>0</v>
      </c>
      <c r="AE819" s="266">
        <f>IF($Z819="",0,Shares!J819*Shares!I819)</f>
        <v>0</v>
      </c>
      <c r="AF819" s="267">
        <f t="shared" si="55"/>
        <v>0</v>
      </c>
      <c r="AG819" s="266">
        <f>IF($Z819="",0,Shares!L819)</f>
        <v>0</v>
      </c>
      <c r="AH819" s="267">
        <f>IF($Z819="",0,Shares!M819)</f>
        <v>0</v>
      </c>
      <c r="AI819" s="243" t="str">
        <f>IF($Z819="","",RANK(AE819,$AE$2:$AE$1001)+COUNTIF($AE$2:AE819,AE819)-1)</f>
        <v/>
      </c>
      <c r="AJ819" s="243" t="str">
        <f>IF($AD819&lt;0,COUNT($AJ$1:AJ818)+1,"")</f>
        <v/>
      </c>
      <c r="AL819" s="243" t="str">
        <f>'All Ticker P&amp;L'!A819</f>
        <v/>
      </c>
      <c r="AM819" s="243" t="str">
        <f>'All Ticker P&amp;L'!B819</f>
        <v/>
      </c>
      <c r="AN819" s="243" t="str">
        <f>'All Ticker P&amp;L'!C819</f>
        <v/>
      </c>
      <c r="AO819" s="243" t="str">
        <f>'All Ticker P&amp;L'!D819</f>
        <v/>
      </c>
      <c r="AP819" s="243">
        <f>IF($AL819="",0,'All Ticker P&amp;L'!E819)</f>
        <v>0</v>
      </c>
      <c r="AQ819" s="266">
        <f>IF($AL819="",0,'All Ticker P&amp;L'!J819*'All Ticker P&amp;L'!I819)</f>
        <v>0</v>
      </c>
      <c r="AR819" s="266">
        <f>IF($AL819="",0,'All Ticker P&amp;L'!L819)</f>
        <v>0</v>
      </c>
      <c r="AS819" s="267">
        <f>IF($AL819="",0,'All Ticker P&amp;L'!M819)</f>
        <v>0</v>
      </c>
      <c r="AT819" s="243" t="str">
        <f>IF($AL819="","",RANK(AR819,$AR$2:$AR$1001)+COUNTIF($AR$2:AR819,AR819)-1)</f>
        <v/>
      </c>
      <c r="AU819" s="243" t="str">
        <f>IF($AL819="","",RANK(AV819,$AV$2:$AV$1001)+COUNTIF($AV$2:AV819,AV819)-1)</f>
        <v/>
      </c>
      <c r="AV819" s="266">
        <f t="shared" si="56"/>
        <v>0</v>
      </c>
    </row>
    <row r="820" spans="26:48" ht="15" customHeight="1" x14ac:dyDescent="0.2">
      <c r="Z820" s="243" t="str">
        <f>Shares!A820</f>
        <v/>
      </c>
      <c r="AA820" s="243" t="str">
        <f>Shares!B820</f>
        <v/>
      </c>
      <c r="AB820" s="243" t="str">
        <f>Shares!C820</f>
        <v/>
      </c>
      <c r="AC820" s="243" t="str">
        <f>Shares!D820</f>
        <v/>
      </c>
      <c r="AD820" s="243">
        <f>IF($Z820="",0,Shares!E820)</f>
        <v>0</v>
      </c>
      <c r="AE820" s="266">
        <f>IF($Z820="",0,Shares!J820*Shares!I820)</f>
        <v>0</v>
      </c>
      <c r="AF820" s="267">
        <f t="shared" si="55"/>
        <v>0</v>
      </c>
      <c r="AG820" s="266">
        <f>IF($Z820="",0,Shares!L820)</f>
        <v>0</v>
      </c>
      <c r="AH820" s="267">
        <f>IF($Z820="",0,Shares!M820)</f>
        <v>0</v>
      </c>
      <c r="AI820" s="243" t="str">
        <f>IF($Z820="","",RANK(AE820,$AE$2:$AE$1001)+COUNTIF($AE$2:AE820,AE820)-1)</f>
        <v/>
      </c>
      <c r="AJ820" s="243" t="str">
        <f>IF($AD820&lt;0,COUNT($AJ$1:AJ819)+1,"")</f>
        <v/>
      </c>
      <c r="AL820" s="243" t="str">
        <f>'All Ticker P&amp;L'!A820</f>
        <v/>
      </c>
      <c r="AM820" s="243" t="str">
        <f>'All Ticker P&amp;L'!B820</f>
        <v/>
      </c>
      <c r="AN820" s="243" t="str">
        <f>'All Ticker P&amp;L'!C820</f>
        <v/>
      </c>
      <c r="AO820" s="243" t="str">
        <f>'All Ticker P&amp;L'!D820</f>
        <v/>
      </c>
      <c r="AP820" s="243">
        <f>IF($AL820="",0,'All Ticker P&amp;L'!E820)</f>
        <v>0</v>
      </c>
      <c r="AQ820" s="266">
        <f>IF($AL820="",0,'All Ticker P&amp;L'!J820*'All Ticker P&amp;L'!I820)</f>
        <v>0</v>
      </c>
      <c r="AR820" s="266">
        <f>IF($AL820="",0,'All Ticker P&amp;L'!L820)</f>
        <v>0</v>
      </c>
      <c r="AS820" s="267">
        <f>IF($AL820="",0,'All Ticker P&amp;L'!M820)</f>
        <v>0</v>
      </c>
      <c r="AT820" s="243" t="str">
        <f>IF($AL820="","",RANK(AR820,$AR$2:$AR$1001)+COUNTIF($AR$2:AR820,AR820)-1)</f>
        <v/>
      </c>
      <c r="AU820" s="243" t="str">
        <f>IF($AL820="","",RANK(AV820,$AV$2:$AV$1001)+COUNTIF($AV$2:AV820,AV820)-1)</f>
        <v/>
      </c>
      <c r="AV820" s="266">
        <f t="shared" si="56"/>
        <v>0</v>
      </c>
    </row>
    <row r="821" spans="26:48" ht="15" customHeight="1" x14ac:dyDescent="0.2">
      <c r="Z821" s="243" t="str">
        <f>Shares!A821</f>
        <v/>
      </c>
      <c r="AA821" s="243" t="str">
        <f>Shares!B821</f>
        <v/>
      </c>
      <c r="AB821" s="243" t="str">
        <f>Shares!C821</f>
        <v/>
      </c>
      <c r="AC821" s="243" t="str">
        <f>Shares!D821</f>
        <v/>
      </c>
      <c r="AD821" s="243">
        <f>IF($Z821="",0,Shares!E821)</f>
        <v>0</v>
      </c>
      <c r="AE821" s="266">
        <f>IF($Z821="",0,Shares!J821*Shares!I821)</f>
        <v>0</v>
      </c>
      <c r="AF821" s="267">
        <f t="shared" si="55"/>
        <v>0</v>
      </c>
      <c r="AG821" s="266">
        <f>IF($Z821="",0,Shares!L821)</f>
        <v>0</v>
      </c>
      <c r="AH821" s="267">
        <f>IF($Z821="",0,Shares!M821)</f>
        <v>0</v>
      </c>
      <c r="AI821" s="243" t="str">
        <f>IF($Z821="","",RANK(AE821,$AE$2:$AE$1001)+COUNTIF($AE$2:AE821,AE821)-1)</f>
        <v/>
      </c>
      <c r="AJ821" s="243" t="str">
        <f>IF($AD821&lt;0,COUNT($AJ$1:AJ820)+1,"")</f>
        <v/>
      </c>
      <c r="AL821" s="243" t="str">
        <f>'All Ticker P&amp;L'!A821</f>
        <v/>
      </c>
      <c r="AM821" s="243" t="str">
        <f>'All Ticker P&amp;L'!B821</f>
        <v/>
      </c>
      <c r="AN821" s="243" t="str">
        <f>'All Ticker P&amp;L'!C821</f>
        <v/>
      </c>
      <c r="AO821" s="243" t="str">
        <f>'All Ticker P&amp;L'!D821</f>
        <v/>
      </c>
      <c r="AP821" s="243">
        <f>IF($AL821="",0,'All Ticker P&amp;L'!E821)</f>
        <v>0</v>
      </c>
      <c r="AQ821" s="266">
        <f>IF($AL821="",0,'All Ticker P&amp;L'!J821*'All Ticker P&amp;L'!I821)</f>
        <v>0</v>
      </c>
      <c r="AR821" s="266">
        <f>IF($AL821="",0,'All Ticker P&amp;L'!L821)</f>
        <v>0</v>
      </c>
      <c r="AS821" s="267">
        <f>IF($AL821="",0,'All Ticker P&amp;L'!M821)</f>
        <v>0</v>
      </c>
      <c r="AT821" s="243" t="str">
        <f>IF($AL821="","",RANK(AR821,$AR$2:$AR$1001)+COUNTIF($AR$2:AR821,AR821)-1)</f>
        <v/>
      </c>
      <c r="AU821" s="243" t="str">
        <f>IF($AL821="","",RANK(AV821,$AV$2:$AV$1001)+COUNTIF($AV$2:AV821,AV821)-1)</f>
        <v/>
      </c>
      <c r="AV821" s="266">
        <f t="shared" si="56"/>
        <v>0</v>
      </c>
    </row>
    <row r="822" spans="26:48" ht="15" customHeight="1" x14ac:dyDescent="0.2">
      <c r="Z822" s="243" t="str">
        <f>Shares!A822</f>
        <v/>
      </c>
      <c r="AA822" s="243" t="str">
        <f>Shares!B822</f>
        <v/>
      </c>
      <c r="AB822" s="243" t="str">
        <f>Shares!C822</f>
        <v/>
      </c>
      <c r="AC822" s="243" t="str">
        <f>Shares!D822</f>
        <v/>
      </c>
      <c r="AD822" s="243">
        <f>IF($Z822="",0,Shares!E822)</f>
        <v>0</v>
      </c>
      <c r="AE822" s="266">
        <f>IF($Z822="",0,Shares!J822*Shares!I822)</f>
        <v>0</v>
      </c>
      <c r="AF822" s="267">
        <f t="shared" si="55"/>
        <v>0</v>
      </c>
      <c r="AG822" s="266">
        <f>IF($Z822="",0,Shares!L822)</f>
        <v>0</v>
      </c>
      <c r="AH822" s="267">
        <f>IF($Z822="",0,Shares!M822)</f>
        <v>0</v>
      </c>
      <c r="AI822" s="243" t="str">
        <f>IF($Z822="","",RANK(AE822,$AE$2:$AE$1001)+COUNTIF($AE$2:AE822,AE822)-1)</f>
        <v/>
      </c>
      <c r="AJ822" s="243" t="str">
        <f>IF($AD822&lt;0,COUNT($AJ$1:AJ821)+1,"")</f>
        <v/>
      </c>
      <c r="AL822" s="243" t="str">
        <f>'All Ticker P&amp;L'!A822</f>
        <v/>
      </c>
      <c r="AM822" s="243" t="str">
        <f>'All Ticker P&amp;L'!B822</f>
        <v/>
      </c>
      <c r="AN822" s="243" t="str">
        <f>'All Ticker P&amp;L'!C822</f>
        <v/>
      </c>
      <c r="AO822" s="243" t="str">
        <f>'All Ticker P&amp;L'!D822</f>
        <v/>
      </c>
      <c r="AP822" s="243">
        <f>IF($AL822="",0,'All Ticker P&amp;L'!E822)</f>
        <v>0</v>
      </c>
      <c r="AQ822" s="266">
        <f>IF($AL822="",0,'All Ticker P&amp;L'!J822*'All Ticker P&amp;L'!I822)</f>
        <v>0</v>
      </c>
      <c r="AR822" s="266">
        <f>IF($AL822="",0,'All Ticker P&amp;L'!L822)</f>
        <v>0</v>
      </c>
      <c r="AS822" s="267">
        <f>IF($AL822="",0,'All Ticker P&amp;L'!M822)</f>
        <v>0</v>
      </c>
      <c r="AT822" s="243" t="str">
        <f>IF($AL822="","",RANK(AR822,$AR$2:$AR$1001)+COUNTIF($AR$2:AR822,AR822)-1)</f>
        <v/>
      </c>
      <c r="AU822" s="243" t="str">
        <f>IF($AL822="","",RANK(AV822,$AV$2:$AV$1001)+COUNTIF($AV$2:AV822,AV822)-1)</f>
        <v/>
      </c>
      <c r="AV822" s="266">
        <f t="shared" si="56"/>
        <v>0</v>
      </c>
    </row>
    <row r="823" spans="26:48" ht="15" customHeight="1" x14ac:dyDescent="0.2">
      <c r="Z823" s="243" t="str">
        <f>Shares!A823</f>
        <v/>
      </c>
      <c r="AA823" s="243" t="str">
        <f>Shares!B823</f>
        <v/>
      </c>
      <c r="AB823" s="243" t="str">
        <f>Shares!C823</f>
        <v/>
      </c>
      <c r="AC823" s="243" t="str">
        <f>Shares!D823</f>
        <v/>
      </c>
      <c r="AD823" s="243">
        <f>IF($Z823="",0,Shares!E823)</f>
        <v>0</v>
      </c>
      <c r="AE823" s="266">
        <f>IF($Z823="",0,Shares!J823*Shares!I823)</f>
        <v>0</v>
      </c>
      <c r="AF823" s="267">
        <f t="shared" si="55"/>
        <v>0</v>
      </c>
      <c r="AG823" s="266">
        <f>IF($Z823="",0,Shares!L823)</f>
        <v>0</v>
      </c>
      <c r="AH823" s="267">
        <f>IF($Z823="",0,Shares!M823)</f>
        <v>0</v>
      </c>
      <c r="AI823" s="243" t="str">
        <f>IF($Z823="","",RANK(AE823,$AE$2:$AE$1001)+COUNTIF($AE$2:AE823,AE823)-1)</f>
        <v/>
      </c>
      <c r="AJ823" s="243" t="str">
        <f>IF($AD823&lt;0,COUNT($AJ$1:AJ822)+1,"")</f>
        <v/>
      </c>
      <c r="AL823" s="243" t="str">
        <f>'All Ticker P&amp;L'!A823</f>
        <v/>
      </c>
      <c r="AM823" s="243" t="str">
        <f>'All Ticker P&amp;L'!B823</f>
        <v/>
      </c>
      <c r="AN823" s="243" t="str">
        <f>'All Ticker P&amp;L'!C823</f>
        <v/>
      </c>
      <c r="AO823" s="243" t="str">
        <f>'All Ticker P&amp;L'!D823</f>
        <v/>
      </c>
      <c r="AP823" s="243">
        <f>IF($AL823="",0,'All Ticker P&amp;L'!E823)</f>
        <v>0</v>
      </c>
      <c r="AQ823" s="266">
        <f>IF($AL823="",0,'All Ticker P&amp;L'!J823*'All Ticker P&amp;L'!I823)</f>
        <v>0</v>
      </c>
      <c r="AR823" s="266">
        <f>IF($AL823="",0,'All Ticker P&amp;L'!L823)</f>
        <v>0</v>
      </c>
      <c r="AS823" s="267">
        <f>IF($AL823="",0,'All Ticker P&amp;L'!M823)</f>
        <v>0</v>
      </c>
      <c r="AT823" s="243" t="str">
        <f>IF($AL823="","",RANK(AR823,$AR$2:$AR$1001)+COUNTIF($AR$2:AR823,AR823)-1)</f>
        <v/>
      </c>
      <c r="AU823" s="243" t="str">
        <f>IF($AL823="","",RANK(AV823,$AV$2:$AV$1001)+COUNTIF($AV$2:AV823,AV823)-1)</f>
        <v/>
      </c>
      <c r="AV823" s="266">
        <f t="shared" si="56"/>
        <v>0</v>
      </c>
    </row>
    <row r="824" spans="26:48" ht="15" customHeight="1" x14ac:dyDescent="0.2">
      <c r="Z824" s="243" t="str">
        <f>Shares!A824</f>
        <v/>
      </c>
      <c r="AA824" s="243" t="str">
        <f>Shares!B824</f>
        <v/>
      </c>
      <c r="AB824" s="243" t="str">
        <f>Shares!C824</f>
        <v/>
      </c>
      <c r="AC824" s="243" t="str">
        <f>Shares!D824</f>
        <v/>
      </c>
      <c r="AD824" s="243">
        <f>IF($Z824="",0,Shares!E824)</f>
        <v>0</v>
      </c>
      <c r="AE824" s="266">
        <f>IF($Z824="",0,Shares!J824*Shares!I824)</f>
        <v>0</v>
      </c>
      <c r="AF824" s="267">
        <f t="shared" si="55"/>
        <v>0</v>
      </c>
      <c r="AG824" s="266">
        <f>IF($Z824="",0,Shares!L824)</f>
        <v>0</v>
      </c>
      <c r="AH824" s="267">
        <f>IF($Z824="",0,Shares!M824)</f>
        <v>0</v>
      </c>
      <c r="AI824" s="243" t="str">
        <f>IF($Z824="","",RANK(AE824,$AE$2:$AE$1001)+COUNTIF($AE$2:AE824,AE824)-1)</f>
        <v/>
      </c>
      <c r="AJ824" s="243" t="str">
        <f>IF($AD824&lt;0,COUNT($AJ$1:AJ823)+1,"")</f>
        <v/>
      </c>
      <c r="AL824" s="243" t="str">
        <f>'All Ticker P&amp;L'!A824</f>
        <v/>
      </c>
      <c r="AM824" s="243" t="str">
        <f>'All Ticker P&amp;L'!B824</f>
        <v/>
      </c>
      <c r="AN824" s="243" t="str">
        <f>'All Ticker P&amp;L'!C824</f>
        <v/>
      </c>
      <c r="AO824" s="243" t="str">
        <f>'All Ticker P&amp;L'!D824</f>
        <v/>
      </c>
      <c r="AP824" s="243">
        <f>IF($AL824="",0,'All Ticker P&amp;L'!E824)</f>
        <v>0</v>
      </c>
      <c r="AQ824" s="266">
        <f>IF($AL824="",0,'All Ticker P&amp;L'!J824*'All Ticker P&amp;L'!I824)</f>
        <v>0</v>
      </c>
      <c r="AR824" s="266">
        <f>IF($AL824="",0,'All Ticker P&amp;L'!L824)</f>
        <v>0</v>
      </c>
      <c r="AS824" s="267">
        <f>IF($AL824="",0,'All Ticker P&amp;L'!M824)</f>
        <v>0</v>
      </c>
      <c r="AT824" s="243" t="str">
        <f>IF($AL824="","",RANK(AR824,$AR$2:$AR$1001)+COUNTIF($AR$2:AR824,AR824)-1)</f>
        <v/>
      </c>
      <c r="AU824" s="243" t="str">
        <f>IF($AL824="","",RANK(AV824,$AV$2:$AV$1001)+COUNTIF($AV$2:AV824,AV824)-1)</f>
        <v/>
      </c>
      <c r="AV824" s="266">
        <f t="shared" si="56"/>
        <v>0</v>
      </c>
    </row>
    <row r="825" spans="26:48" ht="15" customHeight="1" x14ac:dyDescent="0.2">
      <c r="Z825" s="243" t="str">
        <f>Shares!A825</f>
        <v/>
      </c>
      <c r="AA825" s="243" t="str">
        <f>Shares!B825</f>
        <v/>
      </c>
      <c r="AB825" s="243" t="str">
        <f>Shares!C825</f>
        <v/>
      </c>
      <c r="AC825" s="243" t="str">
        <f>Shares!D825</f>
        <v/>
      </c>
      <c r="AD825" s="243">
        <f>IF($Z825="",0,Shares!E825)</f>
        <v>0</v>
      </c>
      <c r="AE825" s="266">
        <f>IF($Z825="",0,Shares!J825*Shares!I825)</f>
        <v>0</v>
      </c>
      <c r="AF825" s="267">
        <f t="shared" si="55"/>
        <v>0</v>
      </c>
      <c r="AG825" s="266">
        <f>IF($Z825="",0,Shares!L825)</f>
        <v>0</v>
      </c>
      <c r="AH825" s="267">
        <f>IF($Z825="",0,Shares!M825)</f>
        <v>0</v>
      </c>
      <c r="AI825" s="243" t="str">
        <f>IF($Z825="","",RANK(AE825,$AE$2:$AE$1001)+COUNTIF($AE$2:AE825,AE825)-1)</f>
        <v/>
      </c>
      <c r="AJ825" s="243" t="str">
        <f>IF($AD825&lt;0,COUNT($AJ$1:AJ824)+1,"")</f>
        <v/>
      </c>
      <c r="AL825" s="243" t="str">
        <f>'All Ticker P&amp;L'!A825</f>
        <v/>
      </c>
      <c r="AM825" s="243" t="str">
        <f>'All Ticker P&amp;L'!B825</f>
        <v/>
      </c>
      <c r="AN825" s="243" t="str">
        <f>'All Ticker P&amp;L'!C825</f>
        <v/>
      </c>
      <c r="AO825" s="243" t="str">
        <f>'All Ticker P&amp;L'!D825</f>
        <v/>
      </c>
      <c r="AP825" s="243">
        <f>IF($AL825="",0,'All Ticker P&amp;L'!E825)</f>
        <v>0</v>
      </c>
      <c r="AQ825" s="266">
        <f>IF($AL825="",0,'All Ticker P&amp;L'!J825*'All Ticker P&amp;L'!I825)</f>
        <v>0</v>
      </c>
      <c r="AR825" s="266">
        <f>IF($AL825="",0,'All Ticker P&amp;L'!L825)</f>
        <v>0</v>
      </c>
      <c r="AS825" s="267">
        <f>IF($AL825="",0,'All Ticker P&amp;L'!M825)</f>
        <v>0</v>
      </c>
      <c r="AT825" s="243" t="str">
        <f>IF($AL825="","",RANK(AR825,$AR$2:$AR$1001)+COUNTIF($AR$2:AR825,AR825)-1)</f>
        <v/>
      </c>
      <c r="AU825" s="243" t="str">
        <f>IF($AL825="","",RANK(AV825,$AV$2:$AV$1001)+COUNTIF($AV$2:AV825,AV825)-1)</f>
        <v/>
      </c>
      <c r="AV825" s="266">
        <f t="shared" si="56"/>
        <v>0</v>
      </c>
    </row>
    <row r="826" spans="26:48" ht="15" customHeight="1" x14ac:dyDescent="0.2">
      <c r="Z826" s="243" t="str">
        <f>Shares!A826</f>
        <v/>
      </c>
      <c r="AA826" s="243" t="str">
        <f>Shares!B826</f>
        <v/>
      </c>
      <c r="AB826" s="243" t="str">
        <f>Shares!C826</f>
        <v/>
      </c>
      <c r="AC826" s="243" t="str">
        <f>Shares!D826</f>
        <v/>
      </c>
      <c r="AD826" s="243">
        <f>IF($Z826="",0,Shares!E826)</f>
        <v>0</v>
      </c>
      <c r="AE826" s="266">
        <f>IF($Z826="",0,Shares!J826*Shares!I826)</f>
        <v>0</v>
      </c>
      <c r="AF826" s="267">
        <f t="shared" si="55"/>
        <v>0</v>
      </c>
      <c r="AG826" s="266">
        <f>IF($Z826="",0,Shares!L826)</f>
        <v>0</v>
      </c>
      <c r="AH826" s="267">
        <f>IF($Z826="",0,Shares!M826)</f>
        <v>0</v>
      </c>
      <c r="AI826" s="243" t="str">
        <f>IF($Z826="","",RANK(AE826,$AE$2:$AE$1001)+COUNTIF($AE$2:AE826,AE826)-1)</f>
        <v/>
      </c>
      <c r="AJ826" s="243" t="str">
        <f>IF($AD826&lt;0,COUNT($AJ$1:AJ825)+1,"")</f>
        <v/>
      </c>
      <c r="AL826" s="243" t="str">
        <f>'All Ticker P&amp;L'!A826</f>
        <v/>
      </c>
      <c r="AM826" s="243" t="str">
        <f>'All Ticker P&amp;L'!B826</f>
        <v/>
      </c>
      <c r="AN826" s="243" t="str">
        <f>'All Ticker P&amp;L'!C826</f>
        <v/>
      </c>
      <c r="AO826" s="243" t="str">
        <f>'All Ticker P&amp;L'!D826</f>
        <v/>
      </c>
      <c r="AP826" s="243">
        <f>IF($AL826="",0,'All Ticker P&amp;L'!E826)</f>
        <v>0</v>
      </c>
      <c r="AQ826" s="266">
        <f>IF($AL826="",0,'All Ticker P&amp;L'!J826*'All Ticker P&amp;L'!I826)</f>
        <v>0</v>
      </c>
      <c r="AR826" s="266">
        <f>IF($AL826="",0,'All Ticker P&amp;L'!L826)</f>
        <v>0</v>
      </c>
      <c r="AS826" s="267">
        <f>IF($AL826="",0,'All Ticker P&amp;L'!M826)</f>
        <v>0</v>
      </c>
      <c r="AT826" s="243" t="str">
        <f>IF($AL826="","",RANK(AR826,$AR$2:$AR$1001)+COUNTIF($AR$2:AR826,AR826)-1)</f>
        <v/>
      </c>
      <c r="AU826" s="243" t="str">
        <f>IF($AL826="","",RANK(AV826,$AV$2:$AV$1001)+COUNTIF($AV$2:AV826,AV826)-1)</f>
        <v/>
      </c>
      <c r="AV826" s="266">
        <f t="shared" si="56"/>
        <v>0</v>
      </c>
    </row>
    <row r="827" spans="26:48" ht="15" customHeight="1" x14ac:dyDescent="0.2">
      <c r="Z827" s="243" t="str">
        <f>Shares!A827</f>
        <v/>
      </c>
      <c r="AA827" s="243" t="str">
        <f>Shares!B827</f>
        <v/>
      </c>
      <c r="AB827" s="243" t="str">
        <f>Shares!C827</f>
        <v/>
      </c>
      <c r="AC827" s="243" t="str">
        <f>Shares!D827</f>
        <v/>
      </c>
      <c r="AD827" s="243">
        <f>IF($Z827="",0,Shares!E827)</f>
        <v>0</v>
      </c>
      <c r="AE827" s="266">
        <f>IF($Z827="",0,Shares!J827*Shares!I827)</f>
        <v>0</v>
      </c>
      <c r="AF827" s="267">
        <f t="shared" si="55"/>
        <v>0</v>
      </c>
      <c r="AG827" s="266">
        <f>IF($Z827="",0,Shares!L827)</f>
        <v>0</v>
      </c>
      <c r="AH827" s="267">
        <f>IF($Z827="",0,Shares!M827)</f>
        <v>0</v>
      </c>
      <c r="AI827" s="243" t="str">
        <f>IF($Z827="","",RANK(AE827,$AE$2:$AE$1001)+COUNTIF($AE$2:AE827,AE827)-1)</f>
        <v/>
      </c>
      <c r="AJ827" s="243" t="str">
        <f>IF($AD827&lt;0,COUNT($AJ$1:AJ826)+1,"")</f>
        <v/>
      </c>
      <c r="AL827" s="243" t="str">
        <f>'All Ticker P&amp;L'!A827</f>
        <v/>
      </c>
      <c r="AM827" s="243" t="str">
        <f>'All Ticker P&amp;L'!B827</f>
        <v/>
      </c>
      <c r="AN827" s="243" t="str">
        <f>'All Ticker P&amp;L'!C827</f>
        <v/>
      </c>
      <c r="AO827" s="243" t="str">
        <f>'All Ticker P&amp;L'!D827</f>
        <v/>
      </c>
      <c r="AP827" s="243">
        <f>IF($AL827="",0,'All Ticker P&amp;L'!E827)</f>
        <v>0</v>
      </c>
      <c r="AQ827" s="266">
        <f>IF($AL827="",0,'All Ticker P&amp;L'!J827*'All Ticker P&amp;L'!I827)</f>
        <v>0</v>
      </c>
      <c r="AR827" s="266">
        <f>IF($AL827="",0,'All Ticker P&amp;L'!L827)</f>
        <v>0</v>
      </c>
      <c r="AS827" s="267">
        <f>IF($AL827="",0,'All Ticker P&amp;L'!M827)</f>
        <v>0</v>
      </c>
      <c r="AT827" s="243" t="str">
        <f>IF($AL827="","",RANK(AR827,$AR$2:$AR$1001)+COUNTIF($AR$2:AR827,AR827)-1)</f>
        <v/>
      </c>
      <c r="AU827" s="243" t="str">
        <f>IF($AL827="","",RANK(AV827,$AV$2:$AV$1001)+COUNTIF($AV$2:AV827,AV827)-1)</f>
        <v/>
      </c>
      <c r="AV827" s="266">
        <f t="shared" si="56"/>
        <v>0</v>
      </c>
    </row>
    <row r="828" spans="26:48" ht="15" customHeight="1" x14ac:dyDescent="0.2">
      <c r="Z828" s="243" t="str">
        <f>Shares!A828</f>
        <v/>
      </c>
      <c r="AA828" s="243" t="str">
        <f>Shares!B828</f>
        <v/>
      </c>
      <c r="AB828" s="243" t="str">
        <f>Shares!C828</f>
        <v/>
      </c>
      <c r="AC828" s="243" t="str">
        <f>Shares!D828</f>
        <v/>
      </c>
      <c r="AD828" s="243">
        <f>IF($Z828="",0,Shares!E828)</f>
        <v>0</v>
      </c>
      <c r="AE828" s="266">
        <f>IF($Z828="",0,Shares!J828*Shares!I828)</f>
        <v>0</v>
      </c>
      <c r="AF828" s="267">
        <f t="shared" si="55"/>
        <v>0</v>
      </c>
      <c r="AG828" s="266">
        <f>IF($Z828="",0,Shares!L828)</f>
        <v>0</v>
      </c>
      <c r="AH828" s="267">
        <f>IF($Z828="",0,Shares!M828)</f>
        <v>0</v>
      </c>
      <c r="AI828" s="243" t="str">
        <f>IF($Z828="","",RANK(AE828,$AE$2:$AE$1001)+COUNTIF($AE$2:AE828,AE828)-1)</f>
        <v/>
      </c>
      <c r="AJ828" s="243" t="str">
        <f>IF($AD828&lt;0,COUNT($AJ$1:AJ827)+1,"")</f>
        <v/>
      </c>
      <c r="AL828" s="243" t="str">
        <f>'All Ticker P&amp;L'!A828</f>
        <v/>
      </c>
      <c r="AM828" s="243" t="str">
        <f>'All Ticker P&amp;L'!B828</f>
        <v/>
      </c>
      <c r="AN828" s="243" t="str">
        <f>'All Ticker P&amp;L'!C828</f>
        <v/>
      </c>
      <c r="AO828" s="243" t="str">
        <f>'All Ticker P&amp;L'!D828</f>
        <v/>
      </c>
      <c r="AP828" s="243">
        <f>IF($AL828="",0,'All Ticker P&amp;L'!E828)</f>
        <v>0</v>
      </c>
      <c r="AQ828" s="266">
        <f>IF($AL828="",0,'All Ticker P&amp;L'!J828*'All Ticker P&amp;L'!I828)</f>
        <v>0</v>
      </c>
      <c r="AR828" s="266">
        <f>IF($AL828="",0,'All Ticker P&amp;L'!L828)</f>
        <v>0</v>
      </c>
      <c r="AS828" s="267">
        <f>IF($AL828="",0,'All Ticker P&amp;L'!M828)</f>
        <v>0</v>
      </c>
      <c r="AT828" s="243" t="str">
        <f>IF($AL828="","",RANK(AR828,$AR$2:$AR$1001)+COUNTIF($AR$2:AR828,AR828)-1)</f>
        <v/>
      </c>
      <c r="AU828" s="243" t="str">
        <f>IF($AL828="","",RANK(AV828,$AV$2:$AV$1001)+COUNTIF($AV$2:AV828,AV828)-1)</f>
        <v/>
      </c>
      <c r="AV828" s="266">
        <f t="shared" si="56"/>
        <v>0</v>
      </c>
    </row>
    <row r="829" spans="26:48" ht="15" customHeight="1" x14ac:dyDescent="0.2">
      <c r="Z829" s="243" t="str">
        <f>Shares!A829</f>
        <v/>
      </c>
      <c r="AA829" s="243" t="str">
        <f>Shares!B829</f>
        <v/>
      </c>
      <c r="AB829" s="243" t="str">
        <f>Shares!C829</f>
        <v/>
      </c>
      <c r="AC829" s="243" t="str">
        <f>Shares!D829</f>
        <v/>
      </c>
      <c r="AD829" s="243">
        <f>IF($Z829="",0,Shares!E829)</f>
        <v>0</v>
      </c>
      <c r="AE829" s="266">
        <f>IF($Z829="",0,Shares!J829*Shares!I829)</f>
        <v>0</v>
      </c>
      <c r="AF829" s="267">
        <f t="shared" si="55"/>
        <v>0</v>
      </c>
      <c r="AG829" s="266">
        <f>IF($Z829="",0,Shares!L829)</f>
        <v>0</v>
      </c>
      <c r="AH829" s="267">
        <f>IF($Z829="",0,Shares!M829)</f>
        <v>0</v>
      </c>
      <c r="AI829" s="243" t="str">
        <f>IF($Z829="","",RANK(AE829,$AE$2:$AE$1001)+COUNTIF($AE$2:AE829,AE829)-1)</f>
        <v/>
      </c>
      <c r="AJ829" s="243" t="str">
        <f>IF($AD829&lt;0,COUNT($AJ$1:AJ828)+1,"")</f>
        <v/>
      </c>
      <c r="AL829" s="243" t="str">
        <f>'All Ticker P&amp;L'!A829</f>
        <v/>
      </c>
      <c r="AM829" s="243" t="str">
        <f>'All Ticker P&amp;L'!B829</f>
        <v/>
      </c>
      <c r="AN829" s="243" t="str">
        <f>'All Ticker P&amp;L'!C829</f>
        <v/>
      </c>
      <c r="AO829" s="243" t="str">
        <f>'All Ticker P&amp;L'!D829</f>
        <v/>
      </c>
      <c r="AP829" s="243">
        <f>IF($AL829="",0,'All Ticker P&amp;L'!E829)</f>
        <v>0</v>
      </c>
      <c r="AQ829" s="266">
        <f>IF($AL829="",0,'All Ticker P&amp;L'!J829*'All Ticker P&amp;L'!I829)</f>
        <v>0</v>
      </c>
      <c r="AR829" s="266">
        <f>IF($AL829="",0,'All Ticker P&amp;L'!L829)</f>
        <v>0</v>
      </c>
      <c r="AS829" s="267">
        <f>IF($AL829="",0,'All Ticker P&amp;L'!M829)</f>
        <v>0</v>
      </c>
      <c r="AT829" s="243" t="str">
        <f>IF($AL829="","",RANK(AR829,$AR$2:$AR$1001)+COUNTIF($AR$2:AR829,AR829)-1)</f>
        <v/>
      </c>
      <c r="AU829" s="243" t="str">
        <f>IF($AL829="","",RANK(AV829,$AV$2:$AV$1001)+COUNTIF($AV$2:AV829,AV829)-1)</f>
        <v/>
      </c>
      <c r="AV829" s="266">
        <f t="shared" si="56"/>
        <v>0</v>
      </c>
    </row>
    <row r="830" spans="26:48" ht="15" customHeight="1" x14ac:dyDescent="0.2">
      <c r="Z830" s="243" t="str">
        <f>Shares!A830</f>
        <v/>
      </c>
      <c r="AA830" s="243" t="str">
        <f>Shares!B830</f>
        <v/>
      </c>
      <c r="AB830" s="243" t="str">
        <f>Shares!C830</f>
        <v/>
      </c>
      <c r="AC830" s="243" t="str">
        <f>Shares!D830</f>
        <v/>
      </c>
      <c r="AD830" s="243">
        <f>IF($Z830="",0,Shares!E830)</f>
        <v>0</v>
      </c>
      <c r="AE830" s="266">
        <f>IF($Z830="",0,Shares!J830*Shares!I830)</f>
        <v>0</v>
      </c>
      <c r="AF830" s="267">
        <f t="shared" si="55"/>
        <v>0</v>
      </c>
      <c r="AG830" s="266">
        <f>IF($Z830="",0,Shares!L830)</f>
        <v>0</v>
      </c>
      <c r="AH830" s="267">
        <f>IF($Z830="",0,Shares!M830)</f>
        <v>0</v>
      </c>
      <c r="AI830" s="243" t="str">
        <f>IF($Z830="","",RANK(AE830,$AE$2:$AE$1001)+COUNTIF($AE$2:AE830,AE830)-1)</f>
        <v/>
      </c>
      <c r="AJ830" s="243" t="str">
        <f>IF($AD830&lt;0,COUNT($AJ$1:AJ829)+1,"")</f>
        <v/>
      </c>
      <c r="AL830" s="243" t="str">
        <f>'All Ticker P&amp;L'!A830</f>
        <v/>
      </c>
      <c r="AM830" s="243" t="str">
        <f>'All Ticker P&amp;L'!B830</f>
        <v/>
      </c>
      <c r="AN830" s="243" t="str">
        <f>'All Ticker P&amp;L'!C830</f>
        <v/>
      </c>
      <c r="AO830" s="243" t="str">
        <f>'All Ticker P&amp;L'!D830</f>
        <v/>
      </c>
      <c r="AP830" s="243">
        <f>IF($AL830="",0,'All Ticker P&amp;L'!E830)</f>
        <v>0</v>
      </c>
      <c r="AQ830" s="266">
        <f>IF($AL830="",0,'All Ticker P&amp;L'!J830*'All Ticker P&amp;L'!I830)</f>
        <v>0</v>
      </c>
      <c r="AR830" s="266">
        <f>IF($AL830="",0,'All Ticker P&amp;L'!L830)</f>
        <v>0</v>
      </c>
      <c r="AS830" s="267">
        <f>IF($AL830="",0,'All Ticker P&amp;L'!M830)</f>
        <v>0</v>
      </c>
      <c r="AT830" s="243" t="str">
        <f>IF($AL830="","",RANK(AR830,$AR$2:$AR$1001)+COUNTIF($AR$2:AR830,AR830)-1)</f>
        <v/>
      </c>
      <c r="AU830" s="243" t="str">
        <f>IF($AL830="","",RANK(AV830,$AV$2:$AV$1001)+COUNTIF($AV$2:AV830,AV830)-1)</f>
        <v/>
      </c>
      <c r="AV830" s="266">
        <f t="shared" si="56"/>
        <v>0</v>
      </c>
    </row>
    <row r="831" spans="26:48" ht="15" customHeight="1" x14ac:dyDescent="0.2">
      <c r="Z831" s="243" t="str">
        <f>Shares!A831</f>
        <v/>
      </c>
      <c r="AA831" s="243" t="str">
        <f>Shares!B831</f>
        <v/>
      </c>
      <c r="AB831" s="243" t="str">
        <f>Shares!C831</f>
        <v/>
      </c>
      <c r="AC831" s="243" t="str">
        <f>Shares!D831</f>
        <v/>
      </c>
      <c r="AD831" s="243">
        <f>IF($Z831="",0,Shares!E831)</f>
        <v>0</v>
      </c>
      <c r="AE831" s="266">
        <f>IF($Z831="",0,Shares!J831*Shares!I831)</f>
        <v>0</v>
      </c>
      <c r="AF831" s="267">
        <f t="shared" si="55"/>
        <v>0</v>
      </c>
      <c r="AG831" s="266">
        <f>IF($Z831="",0,Shares!L831)</f>
        <v>0</v>
      </c>
      <c r="AH831" s="267">
        <f>IF($Z831="",0,Shares!M831)</f>
        <v>0</v>
      </c>
      <c r="AI831" s="243" t="str">
        <f>IF($Z831="","",RANK(AE831,$AE$2:$AE$1001)+COUNTIF($AE$2:AE831,AE831)-1)</f>
        <v/>
      </c>
      <c r="AJ831" s="243" t="str">
        <f>IF($AD831&lt;0,COUNT($AJ$1:AJ830)+1,"")</f>
        <v/>
      </c>
      <c r="AL831" s="243" t="str">
        <f>'All Ticker P&amp;L'!A831</f>
        <v/>
      </c>
      <c r="AM831" s="243" t="str">
        <f>'All Ticker P&amp;L'!B831</f>
        <v/>
      </c>
      <c r="AN831" s="243" t="str">
        <f>'All Ticker P&amp;L'!C831</f>
        <v/>
      </c>
      <c r="AO831" s="243" t="str">
        <f>'All Ticker P&amp;L'!D831</f>
        <v/>
      </c>
      <c r="AP831" s="243">
        <f>IF($AL831="",0,'All Ticker P&amp;L'!E831)</f>
        <v>0</v>
      </c>
      <c r="AQ831" s="266">
        <f>IF($AL831="",0,'All Ticker P&amp;L'!J831*'All Ticker P&amp;L'!I831)</f>
        <v>0</v>
      </c>
      <c r="AR831" s="266">
        <f>IF($AL831="",0,'All Ticker P&amp;L'!L831)</f>
        <v>0</v>
      </c>
      <c r="AS831" s="267">
        <f>IF($AL831="",0,'All Ticker P&amp;L'!M831)</f>
        <v>0</v>
      </c>
      <c r="AT831" s="243" t="str">
        <f>IF($AL831="","",RANK(AR831,$AR$2:$AR$1001)+COUNTIF($AR$2:AR831,AR831)-1)</f>
        <v/>
      </c>
      <c r="AU831" s="243" t="str">
        <f>IF($AL831="","",RANK(AV831,$AV$2:$AV$1001)+COUNTIF($AV$2:AV831,AV831)-1)</f>
        <v/>
      </c>
      <c r="AV831" s="266">
        <f t="shared" si="56"/>
        <v>0</v>
      </c>
    </row>
    <row r="832" spans="26:48" ht="15" customHeight="1" x14ac:dyDescent="0.2">
      <c r="Z832" s="243" t="str">
        <f>Shares!A832</f>
        <v/>
      </c>
      <c r="AA832" s="243" t="str">
        <f>Shares!B832</f>
        <v/>
      </c>
      <c r="AB832" s="243" t="str">
        <f>Shares!C832</f>
        <v/>
      </c>
      <c r="AC832" s="243" t="str">
        <f>Shares!D832</f>
        <v/>
      </c>
      <c r="AD832" s="243">
        <f>IF($Z832="",0,Shares!E832)</f>
        <v>0</v>
      </c>
      <c r="AE832" s="266">
        <f>IF($Z832="",0,Shares!J832*Shares!I832)</f>
        <v>0</v>
      </c>
      <c r="AF832" s="267">
        <f t="shared" si="55"/>
        <v>0</v>
      </c>
      <c r="AG832" s="266">
        <f>IF($Z832="",0,Shares!L832)</f>
        <v>0</v>
      </c>
      <c r="AH832" s="267">
        <f>IF($Z832="",0,Shares!M832)</f>
        <v>0</v>
      </c>
      <c r="AI832" s="243" t="str">
        <f>IF($Z832="","",RANK(AE832,$AE$2:$AE$1001)+COUNTIF($AE$2:AE832,AE832)-1)</f>
        <v/>
      </c>
      <c r="AJ832" s="243" t="str">
        <f>IF($AD832&lt;0,COUNT($AJ$1:AJ831)+1,"")</f>
        <v/>
      </c>
      <c r="AL832" s="243" t="str">
        <f>'All Ticker P&amp;L'!A832</f>
        <v/>
      </c>
      <c r="AM832" s="243" t="str">
        <f>'All Ticker P&amp;L'!B832</f>
        <v/>
      </c>
      <c r="AN832" s="243" t="str">
        <f>'All Ticker P&amp;L'!C832</f>
        <v/>
      </c>
      <c r="AO832" s="243" t="str">
        <f>'All Ticker P&amp;L'!D832</f>
        <v/>
      </c>
      <c r="AP832" s="243">
        <f>IF($AL832="",0,'All Ticker P&amp;L'!E832)</f>
        <v>0</v>
      </c>
      <c r="AQ832" s="266">
        <f>IF($AL832="",0,'All Ticker P&amp;L'!J832*'All Ticker P&amp;L'!I832)</f>
        <v>0</v>
      </c>
      <c r="AR832" s="266">
        <f>IF($AL832="",0,'All Ticker P&amp;L'!L832)</f>
        <v>0</v>
      </c>
      <c r="AS832" s="267">
        <f>IF($AL832="",0,'All Ticker P&amp;L'!M832)</f>
        <v>0</v>
      </c>
      <c r="AT832" s="243" t="str">
        <f>IF($AL832="","",RANK(AR832,$AR$2:$AR$1001)+COUNTIF($AR$2:AR832,AR832)-1)</f>
        <v/>
      </c>
      <c r="AU832" s="243" t="str">
        <f>IF($AL832="","",RANK(AV832,$AV$2:$AV$1001)+COUNTIF($AV$2:AV832,AV832)-1)</f>
        <v/>
      </c>
      <c r="AV832" s="266">
        <f t="shared" si="56"/>
        <v>0</v>
      </c>
    </row>
    <row r="833" spans="26:48" ht="15" customHeight="1" x14ac:dyDescent="0.2">
      <c r="Z833" s="243" t="str">
        <f>Shares!A833</f>
        <v/>
      </c>
      <c r="AA833" s="243" t="str">
        <f>Shares!B833</f>
        <v/>
      </c>
      <c r="AB833" s="243" t="str">
        <f>Shares!C833</f>
        <v/>
      </c>
      <c r="AC833" s="243" t="str">
        <f>Shares!D833</f>
        <v/>
      </c>
      <c r="AD833" s="243">
        <f>IF($Z833="",0,Shares!E833)</f>
        <v>0</v>
      </c>
      <c r="AE833" s="266">
        <f>IF($Z833="",0,Shares!J833*Shares!I833)</f>
        <v>0</v>
      </c>
      <c r="AF833" s="267">
        <f t="shared" si="55"/>
        <v>0</v>
      </c>
      <c r="AG833" s="266">
        <f>IF($Z833="",0,Shares!L833)</f>
        <v>0</v>
      </c>
      <c r="AH833" s="267">
        <f>IF($Z833="",0,Shares!M833)</f>
        <v>0</v>
      </c>
      <c r="AI833" s="243" t="str">
        <f>IF($Z833="","",RANK(AE833,$AE$2:$AE$1001)+COUNTIF($AE$2:AE833,AE833)-1)</f>
        <v/>
      </c>
      <c r="AJ833" s="243" t="str">
        <f>IF($AD833&lt;0,COUNT($AJ$1:AJ832)+1,"")</f>
        <v/>
      </c>
      <c r="AL833" s="243" t="str">
        <f>'All Ticker P&amp;L'!A833</f>
        <v/>
      </c>
      <c r="AM833" s="243" t="str">
        <f>'All Ticker P&amp;L'!B833</f>
        <v/>
      </c>
      <c r="AN833" s="243" t="str">
        <f>'All Ticker P&amp;L'!C833</f>
        <v/>
      </c>
      <c r="AO833" s="243" t="str">
        <f>'All Ticker P&amp;L'!D833</f>
        <v/>
      </c>
      <c r="AP833" s="243">
        <f>IF($AL833="",0,'All Ticker P&amp;L'!E833)</f>
        <v>0</v>
      </c>
      <c r="AQ833" s="266">
        <f>IF($AL833="",0,'All Ticker P&amp;L'!J833*'All Ticker P&amp;L'!I833)</f>
        <v>0</v>
      </c>
      <c r="AR833" s="266">
        <f>IF($AL833="",0,'All Ticker P&amp;L'!L833)</f>
        <v>0</v>
      </c>
      <c r="AS833" s="267">
        <f>IF($AL833="",0,'All Ticker P&amp;L'!M833)</f>
        <v>0</v>
      </c>
      <c r="AT833" s="243" t="str">
        <f>IF($AL833="","",RANK(AR833,$AR$2:$AR$1001)+COUNTIF($AR$2:AR833,AR833)-1)</f>
        <v/>
      </c>
      <c r="AU833" s="243" t="str">
        <f>IF($AL833="","",RANK(AV833,$AV$2:$AV$1001)+COUNTIF($AV$2:AV833,AV833)-1)</f>
        <v/>
      </c>
      <c r="AV833" s="266">
        <f t="shared" si="56"/>
        <v>0</v>
      </c>
    </row>
    <row r="834" spans="26:48" ht="15" customHeight="1" x14ac:dyDescent="0.2">
      <c r="Z834" s="243" t="str">
        <f>Shares!A834</f>
        <v/>
      </c>
      <c r="AA834" s="243" t="str">
        <f>Shares!B834</f>
        <v/>
      </c>
      <c r="AB834" s="243" t="str">
        <f>Shares!C834</f>
        <v/>
      </c>
      <c r="AC834" s="243" t="str">
        <f>Shares!D834</f>
        <v/>
      </c>
      <c r="AD834" s="243">
        <f>IF($Z834="",0,Shares!E834)</f>
        <v>0</v>
      </c>
      <c r="AE834" s="266">
        <f>IF($Z834="",0,Shares!J834*Shares!I834)</f>
        <v>0</v>
      </c>
      <c r="AF834" s="267">
        <f t="shared" ref="AF834:AF897" si="57">IFERROR(AE834/$B$5,0)</f>
        <v>0</v>
      </c>
      <c r="AG834" s="266">
        <f>IF($Z834="",0,Shares!L834)</f>
        <v>0</v>
      </c>
      <c r="AH834" s="267">
        <f>IF($Z834="",0,Shares!M834)</f>
        <v>0</v>
      </c>
      <c r="AI834" s="243" t="str">
        <f>IF($Z834="","",RANK(AE834,$AE$2:$AE$1001)+COUNTIF($AE$2:AE834,AE834)-1)</f>
        <v/>
      </c>
      <c r="AJ834" s="243" t="str">
        <f>IF($AD834&lt;0,COUNT($AJ$1:AJ833)+1,"")</f>
        <v/>
      </c>
      <c r="AL834" s="243" t="str">
        <f>'All Ticker P&amp;L'!A834</f>
        <v/>
      </c>
      <c r="AM834" s="243" t="str">
        <f>'All Ticker P&amp;L'!B834</f>
        <v/>
      </c>
      <c r="AN834" s="243" t="str">
        <f>'All Ticker P&amp;L'!C834</f>
        <v/>
      </c>
      <c r="AO834" s="243" t="str">
        <f>'All Ticker P&amp;L'!D834</f>
        <v/>
      </c>
      <c r="AP834" s="243">
        <f>IF($AL834="",0,'All Ticker P&amp;L'!E834)</f>
        <v>0</v>
      </c>
      <c r="AQ834" s="266">
        <f>IF($AL834="",0,'All Ticker P&amp;L'!J834*'All Ticker P&amp;L'!I834)</f>
        <v>0</v>
      </c>
      <c r="AR834" s="266">
        <f>IF($AL834="",0,'All Ticker P&amp;L'!L834)</f>
        <v>0</v>
      </c>
      <c r="AS834" s="267">
        <f>IF($AL834="",0,'All Ticker P&amp;L'!M834)</f>
        <v>0</v>
      </c>
      <c r="AT834" s="243" t="str">
        <f>IF($AL834="","",RANK(AR834,$AR$2:$AR$1001)+COUNTIF($AR$2:AR834,AR834)-1)</f>
        <v/>
      </c>
      <c r="AU834" s="243" t="str">
        <f>IF($AL834="","",RANK(AV834,$AV$2:$AV$1001)+COUNTIF($AV$2:AV834,AV834)-1)</f>
        <v/>
      </c>
      <c r="AV834" s="266">
        <f t="shared" ref="AV834:AV897" si="58">-AR834</f>
        <v>0</v>
      </c>
    </row>
    <row r="835" spans="26:48" ht="15" customHeight="1" x14ac:dyDescent="0.2">
      <c r="Z835" s="243" t="str">
        <f>Shares!A835</f>
        <v/>
      </c>
      <c r="AA835" s="243" t="str">
        <f>Shares!B835</f>
        <v/>
      </c>
      <c r="AB835" s="243" t="str">
        <f>Shares!C835</f>
        <v/>
      </c>
      <c r="AC835" s="243" t="str">
        <f>Shares!D835</f>
        <v/>
      </c>
      <c r="AD835" s="243">
        <f>IF($Z835="",0,Shares!E835)</f>
        <v>0</v>
      </c>
      <c r="AE835" s="266">
        <f>IF($Z835="",0,Shares!J835*Shares!I835)</f>
        <v>0</v>
      </c>
      <c r="AF835" s="267">
        <f t="shared" si="57"/>
        <v>0</v>
      </c>
      <c r="AG835" s="266">
        <f>IF($Z835="",0,Shares!L835)</f>
        <v>0</v>
      </c>
      <c r="AH835" s="267">
        <f>IF($Z835="",0,Shares!M835)</f>
        <v>0</v>
      </c>
      <c r="AI835" s="243" t="str">
        <f>IF($Z835="","",RANK(AE835,$AE$2:$AE$1001)+COUNTIF($AE$2:AE835,AE835)-1)</f>
        <v/>
      </c>
      <c r="AJ835" s="243" t="str">
        <f>IF($AD835&lt;0,COUNT($AJ$1:AJ834)+1,"")</f>
        <v/>
      </c>
      <c r="AL835" s="243" t="str">
        <f>'All Ticker P&amp;L'!A835</f>
        <v/>
      </c>
      <c r="AM835" s="243" t="str">
        <f>'All Ticker P&amp;L'!B835</f>
        <v/>
      </c>
      <c r="AN835" s="243" t="str">
        <f>'All Ticker P&amp;L'!C835</f>
        <v/>
      </c>
      <c r="AO835" s="243" t="str">
        <f>'All Ticker P&amp;L'!D835</f>
        <v/>
      </c>
      <c r="AP835" s="243">
        <f>IF($AL835="",0,'All Ticker P&amp;L'!E835)</f>
        <v>0</v>
      </c>
      <c r="AQ835" s="266">
        <f>IF($AL835="",0,'All Ticker P&amp;L'!J835*'All Ticker P&amp;L'!I835)</f>
        <v>0</v>
      </c>
      <c r="AR835" s="266">
        <f>IF($AL835="",0,'All Ticker P&amp;L'!L835)</f>
        <v>0</v>
      </c>
      <c r="AS835" s="267">
        <f>IF($AL835="",0,'All Ticker P&amp;L'!M835)</f>
        <v>0</v>
      </c>
      <c r="AT835" s="243" t="str">
        <f>IF($AL835="","",RANK(AR835,$AR$2:$AR$1001)+COUNTIF($AR$2:AR835,AR835)-1)</f>
        <v/>
      </c>
      <c r="AU835" s="243" t="str">
        <f>IF($AL835="","",RANK(AV835,$AV$2:$AV$1001)+COUNTIF($AV$2:AV835,AV835)-1)</f>
        <v/>
      </c>
      <c r="AV835" s="266">
        <f t="shared" si="58"/>
        <v>0</v>
      </c>
    </row>
    <row r="836" spans="26:48" ht="15" customHeight="1" x14ac:dyDescent="0.2">
      <c r="Z836" s="243" t="str">
        <f>Shares!A836</f>
        <v/>
      </c>
      <c r="AA836" s="243" t="str">
        <f>Shares!B836</f>
        <v/>
      </c>
      <c r="AB836" s="243" t="str">
        <f>Shares!C836</f>
        <v/>
      </c>
      <c r="AC836" s="243" t="str">
        <f>Shares!D836</f>
        <v/>
      </c>
      <c r="AD836" s="243">
        <f>IF($Z836="",0,Shares!E836)</f>
        <v>0</v>
      </c>
      <c r="AE836" s="266">
        <f>IF($Z836="",0,Shares!J836*Shares!I836)</f>
        <v>0</v>
      </c>
      <c r="AF836" s="267">
        <f t="shared" si="57"/>
        <v>0</v>
      </c>
      <c r="AG836" s="266">
        <f>IF($Z836="",0,Shares!L836)</f>
        <v>0</v>
      </c>
      <c r="AH836" s="267">
        <f>IF($Z836="",0,Shares!M836)</f>
        <v>0</v>
      </c>
      <c r="AI836" s="243" t="str">
        <f>IF($Z836="","",RANK(AE836,$AE$2:$AE$1001)+COUNTIF($AE$2:AE836,AE836)-1)</f>
        <v/>
      </c>
      <c r="AJ836" s="243" t="str">
        <f>IF($AD836&lt;0,COUNT($AJ$1:AJ835)+1,"")</f>
        <v/>
      </c>
      <c r="AL836" s="243" t="str">
        <f>'All Ticker P&amp;L'!A836</f>
        <v/>
      </c>
      <c r="AM836" s="243" t="str">
        <f>'All Ticker P&amp;L'!B836</f>
        <v/>
      </c>
      <c r="AN836" s="243" t="str">
        <f>'All Ticker P&amp;L'!C836</f>
        <v/>
      </c>
      <c r="AO836" s="243" t="str">
        <f>'All Ticker P&amp;L'!D836</f>
        <v/>
      </c>
      <c r="AP836" s="243">
        <f>IF($AL836="",0,'All Ticker P&amp;L'!E836)</f>
        <v>0</v>
      </c>
      <c r="AQ836" s="266">
        <f>IF($AL836="",0,'All Ticker P&amp;L'!J836*'All Ticker P&amp;L'!I836)</f>
        <v>0</v>
      </c>
      <c r="AR836" s="266">
        <f>IF($AL836="",0,'All Ticker P&amp;L'!L836)</f>
        <v>0</v>
      </c>
      <c r="AS836" s="267">
        <f>IF($AL836="",0,'All Ticker P&amp;L'!M836)</f>
        <v>0</v>
      </c>
      <c r="AT836" s="243" t="str">
        <f>IF($AL836="","",RANK(AR836,$AR$2:$AR$1001)+COUNTIF($AR$2:AR836,AR836)-1)</f>
        <v/>
      </c>
      <c r="AU836" s="243" t="str">
        <f>IF($AL836="","",RANK(AV836,$AV$2:$AV$1001)+COUNTIF($AV$2:AV836,AV836)-1)</f>
        <v/>
      </c>
      <c r="AV836" s="266">
        <f t="shared" si="58"/>
        <v>0</v>
      </c>
    </row>
    <row r="837" spans="26:48" ht="15" customHeight="1" x14ac:dyDescent="0.2">
      <c r="Z837" s="243" t="str">
        <f>Shares!A837</f>
        <v/>
      </c>
      <c r="AA837" s="243" t="str">
        <f>Shares!B837</f>
        <v/>
      </c>
      <c r="AB837" s="243" t="str">
        <f>Shares!C837</f>
        <v/>
      </c>
      <c r="AC837" s="243" t="str">
        <f>Shares!D837</f>
        <v/>
      </c>
      <c r="AD837" s="243">
        <f>IF($Z837="",0,Shares!E837)</f>
        <v>0</v>
      </c>
      <c r="AE837" s="266">
        <f>IF($Z837="",0,Shares!J837*Shares!I837)</f>
        <v>0</v>
      </c>
      <c r="AF837" s="267">
        <f t="shared" si="57"/>
        <v>0</v>
      </c>
      <c r="AG837" s="266">
        <f>IF($Z837="",0,Shares!L837)</f>
        <v>0</v>
      </c>
      <c r="AH837" s="267">
        <f>IF($Z837="",0,Shares!M837)</f>
        <v>0</v>
      </c>
      <c r="AI837" s="243" t="str">
        <f>IF($Z837="","",RANK(AE837,$AE$2:$AE$1001)+COUNTIF($AE$2:AE837,AE837)-1)</f>
        <v/>
      </c>
      <c r="AJ837" s="243" t="str">
        <f>IF($AD837&lt;0,COUNT($AJ$1:AJ836)+1,"")</f>
        <v/>
      </c>
      <c r="AL837" s="243" t="str">
        <f>'All Ticker P&amp;L'!A837</f>
        <v/>
      </c>
      <c r="AM837" s="243" t="str">
        <f>'All Ticker P&amp;L'!B837</f>
        <v/>
      </c>
      <c r="AN837" s="243" t="str">
        <f>'All Ticker P&amp;L'!C837</f>
        <v/>
      </c>
      <c r="AO837" s="243" t="str">
        <f>'All Ticker P&amp;L'!D837</f>
        <v/>
      </c>
      <c r="AP837" s="243">
        <f>IF($AL837="",0,'All Ticker P&amp;L'!E837)</f>
        <v>0</v>
      </c>
      <c r="AQ837" s="266">
        <f>IF($AL837="",0,'All Ticker P&amp;L'!J837*'All Ticker P&amp;L'!I837)</f>
        <v>0</v>
      </c>
      <c r="AR837" s="266">
        <f>IF($AL837="",0,'All Ticker P&amp;L'!L837)</f>
        <v>0</v>
      </c>
      <c r="AS837" s="267">
        <f>IF($AL837="",0,'All Ticker P&amp;L'!M837)</f>
        <v>0</v>
      </c>
      <c r="AT837" s="243" t="str">
        <f>IF($AL837="","",RANK(AR837,$AR$2:$AR$1001)+COUNTIF($AR$2:AR837,AR837)-1)</f>
        <v/>
      </c>
      <c r="AU837" s="243" t="str">
        <f>IF($AL837="","",RANK(AV837,$AV$2:$AV$1001)+COUNTIF($AV$2:AV837,AV837)-1)</f>
        <v/>
      </c>
      <c r="AV837" s="266">
        <f t="shared" si="58"/>
        <v>0</v>
      </c>
    </row>
    <row r="838" spans="26:48" ht="15" customHeight="1" x14ac:dyDescent="0.2">
      <c r="Z838" s="243" t="str">
        <f>Shares!A838</f>
        <v/>
      </c>
      <c r="AA838" s="243" t="str">
        <f>Shares!B838</f>
        <v/>
      </c>
      <c r="AB838" s="243" t="str">
        <f>Shares!C838</f>
        <v/>
      </c>
      <c r="AC838" s="243" t="str">
        <f>Shares!D838</f>
        <v/>
      </c>
      <c r="AD838" s="243">
        <f>IF($Z838="",0,Shares!E838)</f>
        <v>0</v>
      </c>
      <c r="AE838" s="266">
        <f>IF($Z838="",0,Shares!J838*Shares!I838)</f>
        <v>0</v>
      </c>
      <c r="AF838" s="267">
        <f t="shared" si="57"/>
        <v>0</v>
      </c>
      <c r="AG838" s="266">
        <f>IF($Z838="",0,Shares!L838)</f>
        <v>0</v>
      </c>
      <c r="AH838" s="267">
        <f>IF($Z838="",0,Shares!M838)</f>
        <v>0</v>
      </c>
      <c r="AI838" s="243" t="str">
        <f>IF($Z838="","",RANK(AE838,$AE$2:$AE$1001)+COUNTIF($AE$2:AE838,AE838)-1)</f>
        <v/>
      </c>
      <c r="AJ838" s="243" t="str">
        <f>IF($AD838&lt;0,COUNT($AJ$1:AJ837)+1,"")</f>
        <v/>
      </c>
      <c r="AL838" s="243" t="str">
        <f>'All Ticker P&amp;L'!A838</f>
        <v/>
      </c>
      <c r="AM838" s="243" t="str">
        <f>'All Ticker P&amp;L'!B838</f>
        <v/>
      </c>
      <c r="AN838" s="243" t="str">
        <f>'All Ticker P&amp;L'!C838</f>
        <v/>
      </c>
      <c r="AO838" s="243" t="str">
        <f>'All Ticker P&amp;L'!D838</f>
        <v/>
      </c>
      <c r="AP838" s="243">
        <f>IF($AL838="",0,'All Ticker P&amp;L'!E838)</f>
        <v>0</v>
      </c>
      <c r="AQ838" s="266">
        <f>IF($AL838="",0,'All Ticker P&amp;L'!J838*'All Ticker P&amp;L'!I838)</f>
        <v>0</v>
      </c>
      <c r="AR838" s="266">
        <f>IF($AL838="",0,'All Ticker P&amp;L'!L838)</f>
        <v>0</v>
      </c>
      <c r="AS838" s="267">
        <f>IF($AL838="",0,'All Ticker P&amp;L'!M838)</f>
        <v>0</v>
      </c>
      <c r="AT838" s="243" t="str">
        <f>IF($AL838="","",RANK(AR838,$AR$2:$AR$1001)+COUNTIF($AR$2:AR838,AR838)-1)</f>
        <v/>
      </c>
      <c r="AU838" s="243" t="str">
        <f>IF($AL838="","",RANK(AV838,$AV$2:$AV$1001)+COUNTIF($AV$2:AV838,AV838)-1)</f>
        <v/>
      </c>
      <c r="AV838" s="266">
        <f t="shared" si="58"/>
        <v>0</v>
      </c>
    </row>
    <row r="839" spans="26:48" ht="15" customHeight="1" x14ac:dyDescent="0.2">
      <c r="Z839" s="243" t="str">
        <f>Shares!A839</f>
        <v/>
      </c>
      <c r="AA839" s="243" t="str">
        <f>Shares!B839</f>
        <v/>
      </c>
      <c r="AB839" s="243" t="str">
        <f>Shares!C839</f>
        <v/>
      </c>
      <c r="AC839" s="243" t="str">
        <f>Shares!D839</f>
        <v/>
      </c>
      <c r="AD839" s="243">
        <f>IF($Z839="",0,Shares!E839)</f>
        <v>0</v>
      </c>
      <c r="AE839" s="266">
        <f>IF($Z839="",0,Shares!J839*Shares!I839)</f>
        <v>0</v>
      </c>
      <c r="AF839" s="267">
        <f t="shared" si="57"/>
        <v>0</v>
      </c>
      <c r="AG839" s="266">
        <f>IF($Z839="",0,Shares!L839)</f>
        <v>0</v>
      </c>
      <c r="AH839" s="267">
        <f>IF($Z839="",0,Shares!M839)</f>
        <v>0</v>
      </c>
      <c r="AI839" s="243" t="str">
        <f>IF($Z839="","",RANK(AE839,$AE$2:$AE$1001)+COUNTIF($AE$2:AE839,AE839)-1)</f>
        <v/>
      </c>
      <c r="AJ839" s="243" t="str">
        <f>IF($AD839&lt;0,COUNT($AJ$1:AJ838)+1,"")</f>
        <v/>
      </c>
      <c r="AL839" s="243" t="str">
        <f>'All Ticker P&amp;L'!A839</f>
        <v/>
      </c>
      <c r="AM839" s="243" t="str">
        <f>'All Ticker P&amp;L'!B839</f>
        <v/>
      </c>
      <c r="AN839" s="243" t="str">
        <f>'All Ticker P&amp;L'!C839</f>
        <v/>
      </c>
      <c r="AO839" s="243" t="str">
        <f>'All Ticker P&amp;L'!D839</f>
        <v/>
      </c>
      <c r="AP839" s="243">
        <f>IF($AL839="",0,'All Ticker P&amp;L'!E839)</f>
        <v>0</v>
      </c>
      <c r="AQ839" s="266">
        <f>IF($AL839="",0,'All Ticker P&amp;L'!J839*'All Ticker P&amp;L'!I839)</f>
        <v>0</v>
      </c>
      <c r="AR839" s="266">
        <f>IF($AL839="",0,'All Ticker P&amp;L'!L839)</f>
        <v>0</v>
      </c>
      <c r="AS839" s="267">
        <f>IF($AL839="",0,'All Ticker P&amp;L'!M839)</f>
        <v>0</v>
      </c>
      <c r="AT839" s="243" t="str">
        <f>IF($AL839="","",RANK(AR839,$AR$2:$AR$1001)+COUNTIF($AR$2:AR839,AR839)-1)</f>
        <v/>
      </c>
      <c r="AU839" s="243" t="str">
        <f>IF($AL839="","",RANK(AV839,$AV$2:$AV$1001)+COUNTIF($AV$2:AV839,AV839)-1)</f>
        <v/>
      </c>
      <c r="AV839" s="266">
        <f t="shared" si="58"/>
        <v>0</v>
      </c>
    </row>
    <row r="840" spans="26:48" ht="15" customHeight="1" x14ac:dyDescent="0.2">
      <c r="Z840" s="243" t="str">
        <f>Shares!A840</f>
        <v/>
      </c>
      <c r="AA840" s="243" t="str">
        <f>Shares!B840</f>
        <v/>
      </c>
      <c r="AB840" s="243" t="str">
        <f>Shares!C840</f>
        <v/>
      </c>
      <c r="AC840" s="243" t="str">
        <f>Shares!D840</f>
        <v/>
      </c>
      <c r="AD840" s="243">
        <f>IF($Z840="",0,Shares!E840)</f>
        <v>0</v>
      </c>
      <c r="AE840" s="266">
        <f>IF($Z840="",0,Shares!J840*Shares!I840)</f>
        <v>0</v>
      </c>
      <c r="AF840" s="267">
        <f t="shared" si="57"/>
        <v>0</v>
      </c>
      <c r="AG840" s="266">
        <f>IF($Z840="",0,Shares!L840)</f>
        <v>0</v>
      </c>
      <c r="AH840" s="267">
        <f>IF($Z840="",0,Shares!M840)</f>
        <v>0</v>
      </c>
      <c r="AI840" s="243" t="str">
        <f>IF($Z840="","",RANK(AE840,$AE$2:$AE$1001)+COUNTIF($AE$2:AE840,AE840)-1)</f>
        <v/>
      </c>
      <c r="AJ840" s="243" t="str">
        <f>IF($AD840&lt;0,COUNT($AJ$1:AJ839)+1,"")</f>
        <v/>
      </c>
      <c r="AL840" s="243" t="str">
        <f>'All Ticker P&amp;L'!A840</f>
        <v/>
      </c>
      <c r="AM840" s="243" t="str">
        <f>'All Ticker P&amp;L'!B840</f>
        <v/>
      </c>
      <c r="AN840" s="243" t="str">
        <f>'All Ticker P&amp;L'!C840</f>
        <v/>
      </c>
      <c r="AO840" s="243" t="str">
        <f>'All Ticker P&amp;L'!D840</f>
        <v/>
      </c>
      <c r="AP840" s="243">
        <f>IF($AL840="",0,'All Ticker P&amp;L'!E840)</f>
        <v>0</v>
      </c>
      <c r="AQ840" s="266">
        <f>IF($AL840="",0,'All Ticker P&amp;L'!J840*'All Ticker P&amp;L'!I840)</f>
        <v>0</v>
      </c>
      <c r="AR840" s="266">
        <f>IF($AL840="",0,'All Ticker P&amp;L'!L840)</f>
        <v>0</v>
      </c>
      <c r="AS840" s="267">
        <f>IF($AL840="",0,'All Ticker P&amp;L'!M840)</f>
        <v>0</v>
      </c>
      <c r="AT840" s="243" t="str">
        <f>IF($AL840="","",RANK(AR840,$AR$2:$AR$1001)+COUNTIF($AR$2:AR840,AR840)-1)</f>
        <v/>
      </c>
      <c r="AU840" s="243" t="str">
        <f>IF($AL840="","",RANK(AV840,$AV$2:$AV$1001)+COUNTIF($AV$2:AV840,AV840)-1)</f>
        <v/>
      </c>
      <c r="AV840" s="266">
        <f t="shared" si="58"/>
        <v>0</v>
      </c>
    </row>
    <row r="841" spans="26:48" ht="15" customHeight="1" x14ac:dyDescent="0.2">
      <c r="Z841" s="243" t="str">
        <f>Shares!A841</f>
        <v/>
      </c>
      <c r="AA841" s="243" t="str">
        <f>Shares!B841</f>
        <v/>
      </c>
      <c r="AB841" s="243" t="str">
        <f>Shares!C841</f>
        <v/>
      </c>
      <c r="AC841" s="243" t="str">
        <f>Shares!D841</f>
        <v/>
      </c>
      <c r="AD841" s="243">
        <f>IF($Z841="",0,Shares!E841)</f>
        <v>0</v>
      </c>
      <c r="AE841" s="266">
        <f>IF($Z841="",0,Shares!J841*Shares!I841)</f>
        <v>0</v>
      </c>
      <c r="AF841" s="267">
        <f t="shared" si="57"/>
        <v>0</v>
      </c>
      <c r="AG841" s="266">
        <f>IF($Z841="",0,Shares!L841)</f>
        <v>0</v>
      </c>
      <c r="AH841" s="267">
        <f>IF($Z841="",0,Shares!M841)</f>
        <v>0</v>
      </c>
      <c r="AI841" s="243" t="str">
        <f>IF($Z841="","",RANK(AE841,$AE$2:$AE$1001)+COUNTIF($AE$2:AE841,AE841)-1)</f>
        <v/>
      </c>
      <c r="AJ841" s="243" t="str">
        <f>IF($AD841&lt;0,COUNT($AJ$1:AJ840)+1,"")</f>
        <v/>
      </c>
      <c r="AL841" s="243" t="str">
        <f>'All Ticker P&amp;L'!A841</f>
        <v/>
      </c>
      <c r="AM841" s="243" t="str">
        <f>'All Ticker P&amp;L'!B841</f>
        <v/>
      </c>
      <c r="AN841" s="243" t="str">
        <f>'All Ticker P&amp;L'!C841</f>
        <v/>
      </c>
      <c r="AO841" s="243" t="str">
        <f>'All Ticker P&amp;L'!D841</f>
        <v/>
      </c>
      <c r="AP841" s="243">
        <f>IF($AL841="",0,'All Ticker P&amp;L'!E841)</f>
        <v>0</v>
      </c>
      <c r="AQ841" s="266">
        <f>IF($AL841="",0,'All Ticker P&amp;L'!J841*'All Ticker P&amp;L'!I841)</f>
        <v>0</v>
      </c>
      <c r="AR841" s="266">
        <f>IF($AL841="",0,'All Ticker P&amp;L'!L841)</f>
        <v>0</v>
      </c>
      <c r="AS841" s="267">
        <f>IF($AL841="",0,'All Ticker P&amp;L'!M841)</f>
        <v>0</v>
      </c>
      <c r="AT841" s="243" t="str">
        <f>IF($AL841="","",RANK(AR841,$AR$2:$AR$1001)+COUNTIF($AR$2:AR841,AR841)-1)</f>
        <v/>
      </c>
      <c r="AU841" s="243" t="str">
        <f>IF($AL841="","",RANK(AV841,$AV$2:$AV$1001)+COUNTIF($AV$2:AV841,AV841)-1)</f>
        <v/>
      </c>
      <c r="AV841" s="266">
        <f t="shared" si="58"/>
        <v>0</v>
      </c>
    </row>
    <row r="842" spans="26:48" ht="15" customHeight="1" x14ac:dyDescent="0.2">
      <c r="Z842" s="243" t="str">
        <f>Shares!A842</f>
        <v/>
      </c>
      <c r="AA842" s="243" t="str">
        <f>Shares!B842</f>
        <v/>
      </c>
      <c r="AB842" s="243" t="str">
        <f>Shares!C842</f>
        <v/>
      </c>
      <c r="AC842" s="243" t="str">
        <f>Shares!D842</f>
        <v/>
      </c>
      <c r="AD842" s="243">
        <f>IF($Z842="",0,Shares!E842)</f>
        <v>0</v>
      </c>
      <c r="AE842" s="266">
        <f>IF($Z842="",0,Shares!J842*Shares!I842)</f>
        <v>0</v>
      </c>
      <c r="AF842" s="267">
        <f t="shared" si="57"/>
        <v>0</v>
      </c>
      <c r="AG842" s="266">
        <f>IF($Z842="",0,Shares!L842)</f>
        <v>0</v>
      </c>
      <c r="AH842" s="267">
        <f>IF($Z842="",0,Shares!M842)</f>
        <v>0</v>
      </c>
      <c r="AI842" s="243" t="str">
        <f>IF($Z842="","",RANK(AE842,$AE$2:$AE$1001)+COUNTIF($AE$2:AE842,AE842)-1)</f>
        <v/>
      </c>
      <c r="AJ842" s="243" t="str">
        <f>IF($AD842&lt;0,COUNT($AJ$1:AJ841)+1,"")</f>
        <v/>
      </c>
      <c r="AL842" s="243" t="str">
        <f>'All Ticker P&amp;L'!A842</f>
        <v/>
      </c>
      <c r="AM842" s="243" t="str">
        <f>'All Ticker P&amp;L'!B842</f>
        <v/>
      </c>
      <c r="AN842" s="243" t="str">
        <f>'All Ticker P&amp;L'!C842</f>
        <v/>
      </c>
      <c r="AO842" s="243" t="str">
        <f>'All Ticker P&amp;L'!D842</f>
        <v/>
      </c>
      <c r="AP842" s="243">
        <f>IF($AL842="",0,'All Ticker P&amp;L'!E842)</f>
        <v>0</v>
      </c>
      <c r="AQ842" s="266">
        <f>IF($AL842="",0,'All Ticker P&amp;L'!J842*'All Ticker P&amp;L'!I842)</f>
        <v>0</v>
      </c>
      <c r="AR842" s="266">
        <f>IF($AL842="",0,'All Ticker P&amp;L'!L842)</f>
        <v>0</v>
      </c>
      <c r="AS842" s="267">
        <f>IF($AL842="",0,'All Ticker P&amp;L'!M842)</f>
        <v>0</v>
      </c>
      <c r="AT842" s="243" t="str">
        <f>IF($AL842="","",RANK(AR842,$AR$2:$AR$1001)+COUNTIF($AR$2:AR842,AR842)-1)</f>
        <v/>
      </c>
      <c r="AU842" s="243" t="str">
        <f>IF($AL842="","",RANK(AV842,$AV$2:$AV$1001)+COUNTIF($AV$2:AV842,AV842)-1)</f>
        <v/>
      </c>
      <c r="AV842" s="266">
        <f t="shared" si="58"/>
        <v>0</v>
      </c>
    </row>
    <row r="843" spans="26:48" ht="15" customHeight="1" x14ac:dyDescent="0.2">
      <c r="Z843" s="243" t="str">
        <f>Shares!A843</f>
        <v/>
      </c>
      <c r="AA843" s="243" t="str">
        <f>Shares!B843</f>
        <v/>
      </c>
      <c r="AB843" s="243" t="str">
        <f>Shares!C843</f>
        <v/>
      </c>
      <c r="AC843" s="243" t="str">
        <f>Shares!D843</f>
        <v/>
      </c>
      <c r="AD843" s="243">
        <f>IF($Z843="",0,Shares!E843)</f>
        <v>0</v>
      </c>
      <c r="AE843" s="266">
        <f>IF($Z843="",0,Shares!J843*Shares!I843)</f>
        <v>0</v>
      </c>
      <c r="AF843" s="267">
        <f t="shared" si="57"/>
        <v>0</v>
      </c>
      <c r="AG843" s="266">
        <f>IF($Z843="",0,Shares!L843)</f>
        <v>0</v>
      </c>
      <c r="AH843" s="267">
        <f>IF($Z843="",0,Shares!M843)</f>
        <v>0</v>
      </c>
      <c r="AI843" s="243" t="str">
        <f>IF($Z843="","",RANK(AE843,$AE$2:$AE$1001)+COUNTIF($AE$2:AE843,AE843)-1)</f>
        <v/>
      </c>
      <c r="AJ843" s="243" t="str">
        <f>IF($AD843&lt;0,COUNT($AJ$1:AJ842)+1,"")</f>
        <v/>
      </c>
      <c r="AL843" s="243" t="str">
        <f>'All Ticker P&amp;L'!A843</f>
        <v/>
      </c>
      <c r="AM843" s="243" t="str">
        <f>'All Ticker P&amp;L'!B843</f>
        <v/>
      </c>
      <c r="AN843" s="243" t="str">
        <f>'All Ticker P&amp;L'!C843</f>
        <v/>
      </c>
      <c r="AO843" s="243" t="str">
        <f>'All Ticker P&amp;L'!D843</f>
        <v/>
      </c>
      <c r="AP843" s="243">
        <f>IF($AL843="",0,'All Ticker P&amp;L'!E843)</f>
        <v>0</v>
      </c>
      <c r="AQ843" s="266">
        <f>IF($AL843="",0,'All Ticker P&amp;L'!J843*'All Ticker P&amp;L'!I843)</f>
        <v>0</v>
      </c>
      <c r="AR843" s="266">
        <f>IF($AL843="",0,'All Ticker P&amp;L'!L843)</f>
        <v>0</v>
      </c>
      <c r="AS843" s="267">
        <f>IF($AL843="",0,'All Ticker P&amp;L'!M843)</f>
        <v>0</v>
      </c>
      <c r="AT843" s="243" t="str">
        <f>IF($AL843="","",RANK(AR843,$AR$2:$AR$1001)+COUNTIF($AR$2:AR843,AR843)-1)</f>
        <v/>
      </c>
      <c r="AU843" s="243" t="str">
        <f>IF($AL843="","",RANK(AV843,$AV$2:$AV$1001)+COUNTIF($AV$2:AV843,AV843)-1)</f>
        <v/>
      </c>
      <c r="AV843" s="266">
        <f t="shared" si="58"/>
        <v>0</v>
      </c>
    </row>
    <row r="844" spans="26:48" ht="15" customHeight="1" x14ac:dyDescent="0.2">
      <c r="Z844" s="243" t="str">
        <f>Shares!A844</f>
        <v/>
      </c>
      <c r="AA844" s="243" t="str">
        <f>Shares!B844</f>
        <v/>
      </c>
      <c r="AB844" s="243" t="str">
        <f>Shares!C844</f>
        <v/>
      </c>
      <c r="AC844" s="243" t="str">
        <f>Shares!D844</f>
        <v/>
      </c>
      <c r="AD844" s="243">
        <f>IF($Z844="",0,Shares!E844)</f>
        <v>0</v>
      </c>
      <c r="AE844" s="266">
        <f>IF($Z844="",0,Shares!J844*Shares!I844)</f>
        <v>0</v>
      </c>
      <c r="AF844" s="267">
        <f t="shared" si="57"/>
        <v>0</v>
      </c>
      <c r="AG844" s="266">
        <f>IF($Z844="",0,Shares!L844)</f>
        <v>0</v>
      </c>
      <c r="AH844" s="267">
        <f>IF($Z844="",0,Shares!M844)</f>
        <v>0</v>
      </c>
      <c r="AI844" s="243" t="str">
        <f>IF($Z844="","",RANK(AE844,$AE$2:$AE$1001)+COUNTIF($AE$2:AE844,AE844)-1)</f>
        <v/>
      </c>
      <c r="AJ844" s="243" t="str">
        <f>IF($AD844&lt;0,COUNT($AJ$1:AJ843)+1,"")</f>
        <v/>
      </c>
      <c r="AL844" s="243" t="str">
        <f>'All Ticker P&amp;L'!A844</f>
        <v/>
      </c>
      <c r="AM844" s="243" t="str">
        <f>'All Ticker P&amp;L'!B844</f>
        <v/>
      </c>
      <c r="AN844" s="243" t="str">
        <f>'All Ticker P&amp;L'!C844</f>
        <v/>
      </c>
      <c r="AO844" s="243" t="str">
        <f>'All Ticker P&amp;L'!D844</f>
        <v/>
      </c>
      <c r="AP844" s="243">
        <f>IF($AL844="",0,'All Ticker P&amp;L'!E844)</f>
        <v>0</v>
      </c>
      <c r="AQ844" s="266">
        <f>IF($AL844="",0,'All Ticker P&amp;L'!J844*'All Ticker P&amp;L'!I844)</f>
        <v>0</v>
      </c>
      <c r="AR844" s="266">
        <f>IF($AL844="",0,'All Ticker P&amp;L'!L844)</f>
        <v>0</v>
      </c>
      <c r="AS844" s="267">
        <f>IF($AL844="",0,'All Ticker P&amp;L'!M844)</f>
        <v>0</v>
      </c>
      <c r="AT844" s="243" t="str">
        <f>IF($AL844="","",RANK(AR844,$AR$2:$AR$1001)+COUNTIF($AR$2:AR844,AR844)-1)</f>
        <v/>
      </c>
      <c r="AU844" s="243" t="str">
        <f>IF($AL844="","",RANK(AV844,$AV$2:$AV$1001)+COUNTIF($AV$2:AV844,AV844)-1)</f>
        <v/>
      </c>
      <c r="AV844" s="266">
        <f t="shared" si="58"/>
        <v>0</v>
      </c>
    </row>
    <row r="845" spans="26:48" ht="15" customHeight="1" x14ac:dyDescent="0.2">
      <c r="Z845" s="243" t="str">
        <f>Shares!A845</f>
        <v/>
      </c>
      <c r="AA845" s="243" t="str">
        <f>Shares!B845</f>
        <v/>
      </c>
      <c r="AB845" s="243" t="str">
        <f>Shares!C845</f>
        <v/>
      </c>
      <c r="AC845" s="243" t="str">
        <f>Shares!D845</f>
        <v/>
      </c>
      <c r="AD845" s="243">
        <f>IF($Z845="",0,Shares!E845)</f>
        <v>0</v>
      </c>
      <c r="AE845" s="266">
        <f>IF($Z845="",0,Shares!J845*Shares!I845)</f>
        <v>0</v>
      </c>
      <c r="AF845" s="267">
        <f t="shared" si="57"/>
        <v>0</v>
      </c>
      <c r="AG845" s="266">
        <f>IF($Z845="",0,Shares!L845)</f>
        <v>0</v>
      </c>
      <c r="AH845" s="267">
        <f>IF($Z845="",0,Shares!M845)</f>
        <v>0</v>
      </c>
      <c r="AI845" s="243" t="str">
        <f>IF($Z845="","",RANK(AE845,$AE$2:$AE$1001)+COUNTIF($AE$2:AE845,AE845)-1)</f>
        <v/>
      </c>
      <c r="AJ845" s="243" t="str">
        <f>IF($AD845&lt;0,COUNT($AJ$1:AJ844)+1,"")</f>
        <v/>
      </c>
      <c r="AL845" s="243" t="str">
        <f>'All Ticker P&amp;L'!A845</f>
        <v/>
      </c>
      <c r="AM845" s="243" t="str">
        <f>'All Ticker P&amp;L'!B845</f>
        <v/>
      </c>
      <c r="AN845" s="243" t="str">
        <f>'All Ticker P&amp;L'!C845</f>
        <v/>
      </c>
      <c r="AO845" s="243" t="str">
        <f>'All Ticker P&amp;L'!D845</f>
        <v/>
      </c>
      <c r="AP845" s="243">
        <f>IF($AL845="",0,'All Ticker P&amp;L'!E845)</f>
        <v>0</v>
      </c>
      <c r="AQ845" s="266">
        <f>IF($AL845="",0,'All Ticker P&amp;L'!J845*'All Ticker P&amp;L'!I845)</f>
        <v>0</v>
      </c>
      <c r="AR845" s="266">
        <f>IF($AL845="",0,'All Ticker P&amp;L'!L845)</f>
        <v>0</v>
      </c>
      <c r="AS845" s="267">
        <f>IF($AL845="",0,'All Ticker P&amp;L'!M845)</f>
        <v>0</v>
      </c>
      <c r="AT845" s="243" t="str">
        <f>IF($AL845="","",RANK(AR845,$AR$2:$AR$1001)+COUNTIF($AR$2:AR845,AR845)-1)</f>
        <v/>
      </c>
      <c r="AU845" s="243" t="str">
        <f>IF($AL845="","",RANK(AV845,$AV$2:$AV$1001)+COUNTIF($AV$2:AV845,AV845)-1)</f>
        <v/>
      </c>
      <c r="AV845" s="266">
        <f t="shared" si="58"/>
        <v>0</v>
      </c>
    </row>
    <row r="846" spans="26:48" ht="15" customHeight="1" x14ac:dyDescent="0.2">
      <c r="Z846" s="243" t="str">
        <f>Shares!A846</f>
        <v/>
      </c>
      <c r="AA846" s="243" t="str">
        <f>Shares!B846</f>
        <v/>
      </c>
      <c r="AB846" s="243" t="str">
        <f>Shares!C846</f>
        <v/>
      </c>
      <c r="AC846" s="243" t="str">
        <f>Shares!D846</f>
        <v/>
      </c>
      <c r="AD846" s="243">
        <f>IF($Z846="",0,Shares!E846)</f>
        <v>0</v>
      </c>
      <c r="AE846" s="266">
        <f>IF($Z846="",0,Shares!J846*Shares!I846)</f>
        <v>0</v>
      </c>
      <c r="AF846" s="267">
        <f t="shared" si="57"/>
        <v>0</v>
      </c>
      <c r="AG846" s="266">
        <f>IF($Z846="",0,Shares!L846)</f>
        <v>0</v>
      </c>
      <c r="AH846" s="267">
        <f>IF($Z846="",0,Shares!M846)</f>
        <v>0</v>
      </c>
      <c r="AI846" s="243" t="str">
        <f>IF($Z846="","",RANK(AE846,$AE$2:$AE$1001)+COUNTIF($AE$2:AE846,AE846)-1)</f>
        <v/>
      </c>
      <c r="AJ846" s="243" t="str">
        <f>IF($AD846&lt;0,COUNT($AJ$1:AJ845)+1,"")</f>
        <v/>
      </c>
      <c r="AL846" s="243" t="str">
        <f>'All Ticker P&amp;L'!A846</f>
        <v/>
      </c>
      <c r="AM846" s="243" t="str">
        <f>'All Ticker P&amp;L'!B846</f>
        <v/>
      </c>
      <c r="AN846" s="243" t="str">
        <f>'All Ticker P&amp;L'!C846</f>
        <v/>
      </c>
      <c r="AO846" s="243" t="str">
        <f>'All Ticker P&amp;L'!D846</f>
        <v/>
      </c>
      <c r="AP846" s="243">
        <f>IF($AL846="",0,'All Ticker P&amp;L'!E846)</f>
        <v>0</v>
      </c>
      <c r="AQ846" s="266">
        <f>IF($AL846="",0,'All Ticker P&amp;L'!J846*'All Ticker P&amp;L'!I846)</f>
        <v>0</v>
      </c>
      <c r="AR846" s="266">
        <f>IF($AL846="",0,'All Ticker P&amp;L'!L846)</f>
        <v>0</v>
      </c>
      <c r="AS846" s="267">
        <f>IF($AL846="",0,'All Ticker P&amp;L'!M846)</f>
        <v>0</v>
      </c>
      <c r="AT846" s="243" t="str">
        <f>IF($AL846="","",RANK(AR846,$AR$2:$AR$1001)+COUNTIF($AR$2:AR846,AR846)-1)</f>
        <v/>
      </c>
      <c r="AU846" s="243" t="str">
        <f>IF($AL846="","",RANK(AV846,$AV$2:$AV$1001)+COUNTIF($AV$2:AV846,AV846)-1)</f>
        <v/>
      </c>
      <c r="AV846" s="266">
        <f t="shared" si="58"/>
        <v>0</v>
      </c>
    </row>
    <row r="847" spans="26:48" ht="15" customHeight="1" x14ac:dyDescent="0.2">
      <c r="Z847" s="243" t="str">
        <f>Shares!A847</f>
        <v/>
      </c>
      <c r="AA847" s="243" t="str">
        <f>Shares!B847</f>
        <v/>
      </c>
      <c r="AB847" s="243" t="str">
        <f>Shares!C847</f>
        <v/>
      </c>
      <c r="AC847" s="243" t="str">
        <f>Shares!D847</f>
        <v/>
      </c>
      <c r="AD847" s="243">
        <f>IF($Z847="",0,Shares!E847)</f>
        <v>0</v>
      </c>
      <c r="AE847" s="266">
        <f>IF($Z847="",0,Shares!J847*Shares!I847)</f>
        <v>0</v>
      </c>
      <c r="AF847" s="267">
        <f t="shared" si="57"/>
        <v>0</v>
      </c>
      <c r="AG847" s="266">
        <f>IF($Z847="",0,Shares!L847)</f>
        <v>0</v>
      </c>
      <c r="AH847" s="267">
        <f>IF($Z847="",0,Shares!M847)</f>
        <v>0</v>
      </c>
      <c r="AI847" s="243" t="str">
        <f>IF($Z847="","",RANK(AE847,$AE$2:$AE$1001)+COUNTIF($AE$2:AE847,AE847)-1)</f>
        <v/>
      </c>
      <c r="AJ847" s="243" t="str">
        <f>IF($AD847&lt;0,COUNT($AJ$1:AJ846)+1,"")</f>
        <v/>
      </c>
      <c r="AL847" s="243" t="str">
        <f>'All Ticker P&amp;L'!A847</f>
        <v/>
      </c>
      <c r="AM847" s="243" t="str">
        <f>'All Ticker P&amp;L'!B847</f>
        <v/>
      </c>
      <c r="AN847" s="243" t="str">
        <f>'All Ticker P&amp;L'!C847</f>
        <v/>
      </c>
      <c r="AO847" s="243" t="str">
        <f>'All Ticker P&amp;L'!D847</f>
        <v/>
      </c>
      <c r="AP847" s="243">
        <f>IF($AL847="",0,'All Ticker P&amp;L'!E847)</f>
        <v>0</v>
      </c>
      <c r="AQ847" s="266">
        <f>IF($AL847="",0,'All Ticker P&amp;L'!J847*'All Ticker P&amp;L'!I847)</f>
        <v>0</v>
      </c>
      <c r="AR847" s="266">
        <f>IF($AL847="",0,'All Ticker P&amp;L'!L847)</f>
        <v>0</v>
      </c>
      <c r="AS847" s="267">
        <f>IF($AL847="",0,'All Ticker P&amp;L'!M847)</f>
        <v>0</v>
      </c>
      <c r="AT847" s="243" t="str">
        <f>IF($AL847="","",RANK(AR847,$AR$2:$AR$1001)+COUNTIF($AR$2:AR847,AR847)-1)</f>
        <v/>
      </c>
      <c r="AU847" s="243" t="str">
        <f>IF($AL847="","",RANK(AV847,$AV$2:$AV$1001)+COUNTIF($AV$2:AV847,AV847)-1)</f>
        <v/>
      </c>
      <c r="AV847" s="266">
        <f t="shared" si="58"/>
        <v>0</v>
      </c>
    </row>
    <row r="848" spans="26:48" ht="15" customHeight="1" x14ac:dyDescent="0.2">
      <c r="Z848" s="243" t="str">
        <f>Shares!A848</f>
        <v/>
      </c>
      <c r="AA848" s="243" t="str">
        <f>Shares!B848</f>
        <v/>
      </c>
      <c r="AB848" s="243" t="str">
        <f>Shares!C848</f>
        <v/>
      </c>
      <c r="AC848" s="243" t="str">
        <f>Shares!D848</f>
        <v/>
      </c>
      <c r="AD848" s="243">
        <f>IF($Z848="",0,Shares!E848)</f>
        <v>0</v>
      </c>
      <c r="AE848" s="266">
        <f>IF($Z848="",0,Shares!J848*Shares!I848)</f>
        <v>0</v>
      </c>
      <c r="AF848" s="267">
        <f t="shared" si="57"/>
        <v>0</v>
      </c>
      <c r="AG848" s="266">
        <f>IF($Z848="",0,Shares!L848)</f>
        <v>0</v>
      </c>
      <c r="AH848" s="267">
        <f>IF($Z848="",0,Shares!M848)</f>
        <v>0</v>
      </c>
      <c r="AI848" s="243" t="str">
        <f>IF($Z848="","",RANK(AE848,$AE$2:$AE$1001)+COUNTIF($AE$2:AE848,AE848)-1)</f>
        <v/>
      </c>
      <c r="AJ848" s="243" t="str">
        <f>IF($AD848&lt;0,COUNT($AJ$1:AJ847)+1,"")</f>
        <v/>
      </c>
      <c r="AL848" s="243" t="str">
        <f>'All Ticker P&amp;L'!A848</f>
        <v/>
      </c>
      <c r="AM848" s="243" t="str">
        <f>'All Ticker P&amp;L'!B848</f>
        <v/>
      </c>
      <c r="AN848" s="243" t="str">
        <f>'All Ticker P&amp;L'!C848</f>
        <v/>
      </c>
      <c r="AO848" s="243" t="str">
        <f>'All Ticker P&amp;L'!D848</f>
        <v/>
      </c>
      <c r="AP848" s="243">
        <f>IF($AL848="",0,'All Ticker P&amp;L'!E848)</f>
        <v>0</v>
      </c>
      <c r="AQ848" s="266">
        <f>IF($AL848="",0,'All Ticker P&amp;L'!J848*'All Ticker P&amp;L'!I848)</f>
        <v>0</v>
      </c>
      <c r="AR848" s="266">
        <f>IF($AL848="",0,'All Ticker P&amp;L'!L848)</f>
        <v>0</v>
      </c>
      <c r="AS848" s="267">
        <f>IF($AL848="",0,'All Ticker P&amp;L'!M848)</f>
        <v>0</v>
      </c>
      <c r="AT848" s="243" t="str">
        <f>IF($AL848="","",RANK(AR848,$AR$2:$AR$1001)+COUNTIF($AR$2:AR848,AR848)-1)</f>
        <v/>
      </c>
      <c r="AU848" s="243" t="str">
        <f>IF($AL848="","",RANK(AV848,$AV$2:$AV$1001)+COUNTIF($AV$2:AV848,AV848)-1)</f>
        <v/>
      </c>
      <c r="AV848" s="266">
        <f t="shared" si="58"/>
        <v>0</v>
      </c>
    </row>
    <row r="849" spans="26:48" ht="15" customHeight="1" x14ac:dyDescent="0.2">
      <c r="Z849" s="243" t="str">
        <f>Shares!A849</f>
        <v/>
      </c>
      <c r="AA849" s="243" t="str">
        <f>Shares!B849</f>
        <v/>
      </c>
      <c r="AB849" s="243" t="str">
        <f>Shares!C849</f>
        <v/>
      </c>
      <c r="AC849" s="243" t="str">
        <f>Shares!D849</f>
        <v/>
      </c>
      <c r="AD849" s="243">
        <f>IF($Z849="",0,Shares!E849)</f>
        <v>0</v>
      </c>
      <c r="AE849" s="266">
        <f>IF($Z849="",0,Shares!J849*Shares!I849)</f>
        <v>0</v>
      </c>
      <c r="AF849" s="267">
        <f t="shared" si="57"/>
        <v>0</v>
      </c>
      <c r="AG849" s="266">
        <f>IF($Z849="",0,Shares!L849)</f>
        <v>0</v>
      </c>
      <c r="AH849" s="267">
        <f>IF($Z849="",0,Shares!M849)</f>
        <v>0</v>
      </c>
      <c r="AI849" s="243" t="str">
        <f>IF($Z849="","",RANK(AE849,$AE$2:$AE$1001)+COUNTIF($AE$2:AE849,AE849)-1)</f>
        <v/>
      </c>
      <c r="AJ849" s="243" t="str">
        <f>IF($AD849&lt;0,COUNT($AJ$1:AJ848)+1,"")</f>
        <v/>
      </c>
      <c r="AL849" s="243" t="str">
        <f>'All Ticker P&amp;L'!A849</f>
        <v/>
      </c>
      <c r="AM849" s="243" t="str">
        <f>'All Ticker P&amp;L'!B849</f>
        <v/>
      </c>
      <c r="AN849" s="243" t="str">
        <f>'All Ticker P&amp;L'!C849</f>
        <v/>
      </c>
      <c r="AO849" s="243" t="str">
        <f>'All Ticker P&amp;L'!D849</f>
        <v/>
      </c>
      <c r="AP849" s="243">
        <f>IF($AL849="",0,'All Ticker P&amp;L'!E849)</f>
        <v>0</v>
      </c>
      <c r="AQ849" s="266">
        <f>IF($AL849="",0,'All Ticker P&amp;L'!J849*'All Ticker P&amp;L'!I849)</f>
        <v>0</v>
      </c>
      <c r="AR849" s="266">
        <f>IF($AL849="",0,'All Ticker P&amp;L'!L849)</f>
        <v>0</v>
      </c>
      <c r="AS849" s="267">
        <f>IF($AL849="",0,'All Ticker P&amp;L'!M849)</f>
        <v>0</v>
      </c>
      <c r="AT849" s="243" t="str">
        <f>IF($AL849="","",RANK(AR849,$AR$2:$AR$1001)+COUNTIF($AR$2:AR849,AR849)-1)</f>
        <v/>
      </c>
      <c r="AU849" s="243" t="str">
        <f>IF($AL849="","",RANK(AV849,$AV$2:$AV$1001)+COUNTIF($AV$2:AV849,AV849)-1)</f>
        <v/>
      </c>
      <c r="AV849" s="266">
        <f t="shared" si="58"/>
        <v>0</v>
      </c>
    </row>
    <row r="850" spans="26:48" ht="15" customHeight="1" x14ac:dyDescent="0.2">
      <c r="Z850" s="243" t="str">
        <f>Shares!A850</f>
        <v/>
      </c>
      <c r="AA850" s="243" t="str">
        <f>Shares!B850</f>
        <v/>
      </c>
      <c r="AB850" s="243" t="str">
        <f>Shares!C850</f>
        <v/>
      </c>
      <c r="AC850" s="243" t="str">
        <f>Shares!D850</f>
        <v/>
      </c>
      <c r="AD850" s="243">
        <f>IF($Z850="",0,Shares!E850)</f>
        <v>0</v>
      </c>
      <c r="AE850" s="266">
        <f>IF($Z850="",0,Shares!J850*Shares!I850)</f>
        <v>0</v>
      </c>
      <c r="AF850" s="267">
        <f t="shared" si="57"/>
        <v>0</v>
      </c>
      <c r="AG850" s="266">
        <f>IF($Z850="",0,Shares!L850)</f>
        <v>0</v>
      </c>
      <c r="AH850" s="267">
        <f>IF($Z850="",0,Shares!M850)</f>
        <v>0</v>
      </c>
      <c r="AI850" s="243" t="str">
        <f>IF($Z850="","",RANK(AE850,$AE$2:$AE$1001)+COUNTIF($AE$2:AE850,AE850)-1)</f>
        <v/>
      </c>
      <c r="AJ850" s="243" t="str">
        <f>IF($AD850&lt;0,COUNT($AJ$1:AJ849)+1,"")</f>
        <v/>
      </c>
      <c r="AL850" s="243" t="str">
        <f>'All Ticker P&amp;L'!A850</f>
        <v/>
      </c>
      <c r="AM850" s="243" t="str">
        <f>'All Ticker P&amp;L'!B850</f>
        <v/>
      </c>
      <c r="AN850" s="243" t="str">
        <f>'All Ticker P&amp;L'!C850</f>
        <v/>
      </c>
      <c r="AO850" s="243" t="str">
        <f>'All Ticker P&amp;L'!D850</f>
        <v/>
      </c>
      <c r="AP850" s="243">
        <f>IF($AL850="",0,'All Ticker P&amp;L'!E850)</f>
        <v>0</v>
      </c>
      <c r="AQ850" s="266">
        <f>IF($AL850="",0,'All Ticker P&amp;L'!J850*'All Ticker P&amp;L'!I850)</f>
        <v>0</v>
      </c>
      <c r="AR850" s="266">
        <f>IF($AL850="",0,'All Ticker P&amp;L'!L850)</f>
        <v>0</v>
      </c>
      <c r="AS850" s="267">
        <f>IF($AL850="",0,'All Ticker P&amp;L'!M850)</f>
        <v>0</v>
      </c>
      <c r="AT850" s="243" t="str">
        <f>IF($AL850="","",RANK(AR850,$AR$2:$AR$1001)+COUNTIF($AR$2:AR850,AR850)-1)</f>
        <v/>
      </c>
      <c r="AU850" s="243" t="str">
        <f>IF($AL850="","",RANK(AV850,$AV$2:$AV$1001)+COUNTIF($AV$2:AV850,AV850)-1)</f>
        <v/>
      </c>
      <c r="AV850" s="266">
        <f t="shared" si="58"/>
        <v>0</v>
      </c>
    </row>
    <row r="851" spans="26:48" ht="15" customHeight="1" x14ac:dyDescent="0.2">
      <c r="Z851" s="243" t="str">
        <f>Shares!A851</f>
        <v/>
      </c>
      <c r="AA851" s="243" t="str">
        <f>Shares!B851</f>
        <v/>
      </c>
      <c r="AB851" s="243" t="str">
        <f>Shares!C851</f>
        <v/>
      </c>
      <c r="AC851" s="243" t="str">
        <f>Shares!D851</f>
        <v/>
      </c>
      <c r="AD851" s="243">
        <f>IF($Z851="",0,Shares!E851)</f>
        <v>0</v>
      </c>
      <c r="AE851" s="266">
        <f>IF($Z851="",0,Shares!J851*Shares!I851)</f>
        <v>0</v>
      </c>
      <c r="AF851" s="267">
        <f t="shared" si="57"/>
        <v>0</v>
      </c>
      <c r="AG851" s="266">
        <f>IF($Z851="",0,Shares!L851)</f>
        <v>0</v>
      </c>
      <c r="AH851" s="267">
        <f>IF($Z851="",0,Shares!M851)</f>
        <v>0</v>
      </c>
      <c r="AI851" s="243" t="str">
        <f>IF($Z851="","",RANK(AE851,$AE$2:$AE$1001)+COUNTIF($AE$2:AE851,AE851)-1)</f>
        <v/>
      </c>
      <c r="AJ851" s="243" t="str">
        <f>IF($AD851&lt;0,COUNT($AJ$1:AJ850)+1,"")</f>
        <v/>
      </c>
      <c r="AL851" s="243" t="str">
        <f>'All Ticker P&amp;L'!A851</f>
        <v/>
      </c>
      <c r="AM851" s="243" t="str">
        <f>'All Ticker P&amp;L'!B851</f>
        <v/>
      </c>
      <c r="AN851" s="243" t="str">
        <f>'All Ticker P&amp;L'!C851</f>
        <v/>
      </c>
      <c r="AO851" s="243" t="str">
        <f>'All Ticker P&amp;L'!D851</f>
        <v/>
      </c>
      <c r="AP851" s="243">
        <f>IF($AL851="",0,'All Ticker P&amp;L'!E851)</f>
        <v>0</v>
      </c>
      <c r="AQ851" s="266">
        <f>IF($AL851="",0,'All Ticker P&amp;L'!J851*'All Ticker P&amp;L'!I851)</f>
        <v>0</v>
      </c>
      <c r="AR851" s="266">
        <f>IF($AL851="",0,'All Ticker P&amp;L'!L851)</f>
        <v>0</v>
      </c>
      <c r="AS851" s="267">
        <f>IF($AL851="",0,'All Ticker P&amp;L'!M851)</f>
        <v>0</v>
      </c>
      <c r="AT851" s="243" t="str">
        <f>IF($AL851="","",RANK(AR851,$AR$2:$AR$1001)+COUNTIF($AR$2:AR851,AR851)-1)</f>
        <v/>
      </c>
      <c r="AU851" s="243" t="str">
        <f>IF($AL851="","",RANK(AV851,$AV$2:$AV$1001)+COUNTIF($AV$2:AV851,AV851)-1)</f>
        <v/>
      </c>
      <c r="AV851" s="266">
        <f t="shared" si="58"/>
        <v>0</v>
      </c>
    </row>
    <row r="852" spans="26:48" ht="15" customHeight="1" x14ac:dyDescent="0.2">
      <c r="Z852" s="243" t="str">
        <f>Shares!A852</f>
        <v/>
      </c>
      <c r="AA852" s="243" t="str">
        <f>Shares!B852</f>
        <v/>
      </c>
      <c r="AB852" s="243" t="str">
        <f>Shares!C852</f>
        <v/>
      </c>
      <c r="AC852" s="243" t="str">
        <f>Shares!D852</f>
        <v/>
      </c>
      <c r="AD852" s="243">
        <f>IF($Z852="",0,Shares!E852)</f>
        <v>0</v>
      </c>
      <c r="AE852" s="266">
        <f>IF($Z852="",0,Shares!J852*Shares!I852)</f>
        <v>0</v>
      </c>
      <c r="AF852" s="267">
        <f t="shared" si="57"/>
        <v>0</v>
      </c>
      <c r="AG852" s="266">
        <f>IF($Z852="",0,Shares!L852)</f>
        <v>0</v>
      </c>
      <c r="AH852" s="267">
        <f>IF($Z852="",0,Shares!M852)</f>
        <v>0</v>
      </c>
      <c r="AI852" s="243" t="str">
        <f>IF($Z852="","",RANK(AE852,$AE$2:$AE$1001)+COUNTIF($AE$2:AE852,AE852)-1)</f>
        <v/>
      </c>
      <c r="AJ852" s="243" t="str">
        <f>IF($AD852&lt;0,COUNT($AJ$1:AJ851)+1,"")</f>
        <v/>
      </c>
      <c r="AL852" s="243" t="str">
        <f>'All Ticker P&amp;L'!A852</f>
        <v/>
      </c>
      <c r="AM852" s="243" t="str">
        <f>'All Ticker P&amp;L'!B852</f>
        <v/>
      </c>
      <c r="AN852" s="243" t="str">
        <f>'All Ticker P&amp;L'!C852</f>
        <v/>
      </c>
      <c r="AO852" s="243" t="str">
        <f>'All Ticker P&amp;L'!D852</f>
        <v/>
      </c>
      <c r="AP852" s="243">
        <f>IF($AL852="",0,'All Ticker P&amp;L'!E852)</f>
        <v>0</v>
      </c>
      <c r="AQ852" s="266">
        <f>IF($AL852="",0,'All Ticker P&amp;L'!J852*'All Ticker P&amp;L'!I852)</f>
        <v>0</v>
      </c>
      <c r="AR852" s="266">
        <f>IF($AL852="",0,'All Ticker P&amp;L'!L852)</f>
        <v>0</v>
      </c>
      <c r="AS852" s="267">
        <f>IF($AL852="",0,'All Ticker P&amp;L'!M852)</f>
        <v>0</v>
      </c>
      <c r="AT852" s="243" t="str">
        <f>IF($AL852="","",RANK(AR852,$AR$2:$AR$1001)+COUNTIF($AR$2:AR852,AR852)-1)</f>
        <v/>
      </c>
      <c r="AU852" s="243" t="str">
        <f>IF($AL852="","",RANK(AV852,$AV$2:$AV$1001)+COUNTIF($AV$2:AV852,AV852)-1)</f>
        <v/>
      </c>
      <c r="AV852" s="266">
        <f t="shared" si="58"/>
        <v>0</v>
      </c>
    </row>
    <row r="853" spans="26:48" ht="15" customHeight="1" x14ac:dyDescent="0.2">
      <c r="Z853" s="243" t="str">
        <f>Shares!A853</f>
        <v/>
      </c>
      <c r="AA853" s="243" t="str">
        <f>Shares!B853</f>
        <v/>
      </c>
      <c r="AB853" s="243" t="str">
        <f>Shares!C853</f>
        <v/>
      </c>
      <c r="AC853" s="243" t="str">
        <f>Shares!D853</f>
        <v/>
      </c>
      <c r="AD853" s="243">
        <f>IF($Z853="",0,Shares!E853)</f>
        <v>0</v>
      </c>
      <c r="AE853" s="266">
        <f>IF($Z853="",0,Shares!J853*Shares!I853)</f>
        <v>0</v>
      </c>
      <c r="AF853" s="267">
        <f t="shared" si="57"/>
        <v>0</v>
      </c>
      <c r="AG853" s="266">
        <f>IF($Z853="",0,Shares!L853)</f>
        <v>0</v>
      </c>
      <c r="AH853" s="267">
        <f>IF($Z853="",0,Shares!M853)</f>
        <v>0</v>
      </c>
      <c r="AI853" s="243" t="str">
        <f>IF($Z853="","",RANK(AE853,$AE$2:$AE$1001)+COUNTIF($AE$2:AE853,AE853)-1)</f>
        <v/>
      </c>
      <c r="AJ853" s="243" t="str">
        <f>IF($AD853&lt;0,COUNT($AJ$1:AJ852)+1,"")</f>
        <v/>
      </c>
      <c r="AL853" s="243" t="str">
        <f>'All Ticker P&amp;L'!A853</f>
        <v/>
      </c>
      <c r="AM853" s="243" t="str">
        <f>'All Ticker P&amp;L'!B853</f>
        <v/>
      </c>
      <c r="AN853" s="243" t="str">
        <f>'All Ticker P&amp;L'!C853</f>
        <v/>
      </c>
      <c r="AO853" s="243" t="str">
        <f>'All Ticker P&amp;L'!D853</f>
        <v/>
      </c>
      <c r="AP853" s="243">
        <f>IF($AL853="",0,'All Ticker P&amp;L'!E853)</f>
        <v>0</v>
      </c>
      <c r="AQ853" s="266">
        <f>IF($AL853="",0,'All Ticker P&amp;L'!J853*'All Ticker P&amp;L'!I853)</f>
        <v>0</v>
      </c>
      <c r="AR853" s="266">
        <f>IF($AL853="",0,'All Ticker P&amp;L'!L853)</f>
        <v>0</v>
      </c>
      <c r="AS853" s="267">
        <f>IF($AL853="",0,'All Ticker P&amp;L'!M853)</f>
        <v>0</v>
      </c>
      <c r="AT853" s="243" t="str">
        <f>IF($AL853="","",RANK(AR853,$AR$2:$AR$1001)+COUNTIF($AR$2:AR853,AR853)-1)</f>
        <v/>
      </c>
      <c r="AU853" s="243" t="str">
        <f>IF($AL853="","",RANK(AV853,$AV$2:$AV$1001)+COUNTIF($AV$2:AV853,AV853)-1)</f>
        <v/>
      </c>
      <c r="AV853" s="266">
        <f t="shared" si="58"/>
        <v>0</v>
      </c>
    </row>
    <row r="854" spans="26:48" ht="15" customHeight="1" x14ac:dyDescent="0.2">
      <c r="Z854" s="243" t="str">
        <f>Shares!A854</f>
        <v/>
      </c>
      <c r="AA854" s="243" t="str">
        <f>Shares!B854</f>
        <v/>
      </c>
      <c r="AB854" s="243" t="str">
        <f>Shares!C854</f>
        <v/>
      </c>
      <c r="AC854" s="243" t="str">
        <f>Shares!D854</f>
        <v/>
      </c>
      <c r="AD854" s="243">
        <f>IF($Z854="",0,Shares!E854)</f>
        <v>0</v>
      </c>
      <c r="AE854" s="266">
        <f>IF($Z854="",0,Shares!J854*Shares!I854)</f>
        <v>0</v>
      </c>
      <c r="AF854" s="267">
        <f t="shared" si="57"/>
        <v>0</v>
      </c>
      <c r="AG854" s="266">
        <f>IF($Z854="",0,Shares!L854)</f>
        <v>0</v>
      </c>
      <c r="AH854" s="267">
        <f>IF($Z854="",0,Shares!M854)</f>
        <v>0</v>
      </c>
      <c r="AI854" s="243" t="str">
        <f>IF($Z854="","",RANK(AE854,$AE$2:$AE$1001)+COUNTIF($AE$2:AE854,AE854)-1)</f>
        <v/>
      </c>
      <c r="AJ854" s="243" t="str">
        <f>IF($AD854&lt;0,COUNT($AJ$1:AJ853)+1,"")</f>
        <v/>
      </c>
      <c r="AL854" s="243" t="str">
        <f>'All Ticker P&amp;L'!A854</f>
        <v/>
      </c>
      <c r="AM854" s="243" t="str">
        <f>'All Ticker P&amp;L'!B854</f>
        <v/>
      </c>
      <c r="AN854" s="243" t="str">
        <f>'All Ticker P&amp;L'!C854</f>
        <v/>
      </c>
      <c r="AO854" s="243" t="str">
        <f>'All Ticker P&amp;L'!D854</f>
        <v/>
      </c>
      <c r="AP854" s="243">
        <f>IF($AL854="",0,'All Ticker P&amp;L'!E854)</f>
        <v>0</v>
      </c>
      <c r="AQ854" s="266">
        <f>IF($AL854="",0,'All Ticker P&amp;L'!J854*'All Ticker P&amp;L'!I854)</f>
        <v>0</v>
      </c>
      <c r="AR854" s="266">
        <f>IF($AL854="",0,'All Ticker P&amp;L'!L854)</f>
        <v>0</v>
      </c>
      <c r="AS854" s="267">
        <f>IF($AL854="",0,'All Ticker P&amp;L'!M854)</f>
        <v>0</v>
      </c>
      <c r="AT854" s="243" t="str">
        <f>IF($AL854="","",RANK(AR854,$AR$2:$AR$1001)+COUNTIF($AR$2:AR854,AR854)-1)</f>
        <v/>
      </c>
      <c r="AU854" s="243" t="str">
        <f>IF($AL854="","",RANK(AV854,$AV$2:$AV$1001)+COUNTIF($AV$2:AV854,AV854)-1)</f>
        <v/>
      </c>
      <c r="AV854" s="266">
        <f t="shared" si="58"/>
        <v>0</v>
      </c>
    </row>
    <row r="855" spans="26:48" ht="15" customHeight="1" x14ac:dyDescent="0.2">
      <c r="Z855" s="243" t="str">
        <f>Shares!A855</f>
        <v/>
      </c>
      <c r="AA855" s="243" t="str">
        <f>Shares!B855</f>
        <v/>
      </c>
      <c r="AB855" s="243" t="str">
        <f>Shares!C855</f>
        <v/>
      </c>
      <c r="AC855" s="243" t="str">
        <f>Shares!D855</f>
        <v/>
      </c>
      <c r="AD855" s="243">
        <f>IF($Z855="",0,Shares!E855)</f>
        <v>0</v>
      </c>
      <c r="AE855" s="266">
        <f>IF($Z855="",0,Shares!J855*Shares!I855)</f>
        <v>0</v>
      </c>
      <c r="AF855" s="267">
        <f t="shared" si="57"/>
        <v>0</v>
      </c>
      <c r="AG855" s="266">
        <f>IF($Z855="",0,Shares!L855)</f>
        <v>0</v>
      </c>
      <c r="AH855" s="267">
        <f>IF($Z855="",0,Shares!M855)</f>
        <v>0</v>
      </c>
      <c r="AI855" s="243" t="str">
        <f>IF($Z855="","",RANK(AE855,$AE$2:$AE$1001)+COUNTIF($AE$2:AE855,AE855)-1)</f>
        <v/>
      </c>
      <c r="AJ855" s="243" t="str">
        <f>IF($AD855&lt;0,COUNT($AJ$1:AJ854)+1,"")</f>
        <v/>
      </c>
      <c r="AL855" s="243" t="str">
        <f>'All Ticker P&amp;L'!A855</f>
        <v/>
      </c>
      <c r="AM855" s="243" t="str">
        <f>'All Ticker P&amp;L'!B855</f>
        <v/>
      </c>
      <c r="AN855" s="243" t="str">
        <f>'All Ticker P&amp;L'!C855</f>
        <v/>
      </c>
      <c r="AO855" s="243" t="str">
        <f>'All Ticker P&amp;L'!D855</f>
        <v/>
      </c>
      <c r="AP855" s="243">
        <f>IF($AL855="",0,'All Ticker P&amp;L'!E855)</f>
        <v>0</v>
      </c>
      <c r="AQ855" s="266">
        <f>IF($AL855="",0,'All Ticker P&amp;L'!J855*'All Ticker P&amp;L'!I855)</f>
        <v>0</v>
      </c>
      <c r="AR855" s="266">
        <f>IF($AL855="",0,'All Ticker P&amp;L'!L855)</f>
        <v>0</v>
      </c>
      <c r="AS855" s="267">
        <f>IF($AL855="",0,'All Ticker P&amp;L'!M855)</f>
        <v>0</v>
      </c>
      <c r="AT855" s="243" t="str">
        <f>IF($AL855="","",RANK(AR855,$AR$2:$AR$1001)+COUNTIF($AR$2:AR855,AR855)-1)</f>
        <v/>
      </c>
      <c r="AU855" s="243" t="str">
        <f>IF($AL855="","",RANK(AV855,$AV$2:$AV$1001)+COUNTIF($AV$2:AV855,AV855)-1)</f>
        <v/>
      </c>
      <c r="AV855" s="266">
        <f t="shared" si="58"/>
        <v>0</v>
      </c>
    </row>
    <row r="856" spans="26:48" ht="15" customHeight="1" x14ac:dyDescent="0.2">
      <c r="Z856" s="243" t="str">
        <f>Shares!A856</f>
        <v/>
      </c>
      <c r="AA856" s="243" t="str">
        <f>Shares!B856</f>
        <v/>
      </c>
      <c r="AB856" s="243" t="str">
        <f>Shares!C856</f>
        <v/>
      </c>
      <c r="AC856" s="243" t="str">
        <f>Shares!D856</f>
        <v/>
      </c>
      <c r="AD856" s="243">
        <f>IF($Z856="",0,Shares!E856)</f>
        <v>0</v>
      </c>
      <c r="AE856" s="266">
        <f>IF($Z856="",0,Shares!J856*Shares!I856)</f>
        <v>0</v>
      </c>
      <c r="AF856" s="267">
        <f t="shared" si="57"/>
        <v>0</v>
      </c>
      <c r="AG856" s="266">
        <f>IF($Z856="",0,Shares!L856)</f>
        <v>0</v>
      </c>
      <c r="AH856" s="267">
        <f>IF($Z856="",0,Shares!M856)</f>
        <v>0</v>
      </c>
      <c r="AI856" s="243" t="str">
        <f>IF($Z856="","",RANK(AE856,$AE$2:$AE$1001)+COUNTIF($AE$2:AE856,AE856)-1)</f>
        <v/>
      </c>
      <c r="AJ856" s="243" t="str">
        <f>IF($AD856&lt;0,COUNT($AJ$1:AJ855)+1,"")</f>
        <v/>
      </c>
      <c r="AL856" s="243" t="str">
        <f>'All Ticker P&amp;L'!A856</f>
        <v/>
      </c>
      <c r="AM856" s="243" t="str">
        <f>'All Ticker P&amp;L'!B856</f>
        <v/>
      </c>
      <c r="AN856" s="243" t="str">
        <f>'All Ticker P&amp;L'!C856</f>
        <v/>
      </c>
      <c r="AO856" s="243" t="str">
        <f>'All Ticker P&amp;L'!D856</f>
        <v/>
      </c>
      <c r="AP856" s="243">
        <f>IF($AL856="",0,'All Ticker P&amp;L'!E856)</f>
        <v>0</v>
      </c>
      <c r="AQ856" s="266">
        <f>IF($AL856="",0,'All Ticker P&amp;L'!J856*'All Ticker P&amp;L'!I856)</f>
        <v>0</v>
      </c>
      <c r="AR856" s="266">
        <f>IF($AL856="",0,'All Ticker P&amp;L'!L856)</f>
        <v>0</v>
      </c>
      <c r="AS856" s="267">
        <f>IF($AL856="",0,'All Ticker P&amp;L'!M856)</f>
        <v>0</v>
      </c>
      <c r="AT856" s="243" t="str">
        <f>IF($AL856="","",RANK(AR856,$AR$2:$AR$1001)+COUNTIF($AR$2:AR856,AR856)-1)</f>
        <v/>
      </c>
      <c r="AU856" s="243" t="str">
        <f>IF($AL856="","",RANK(AV856,$AV$2:$AV$1001)+COUNTIF($AV$2:AV856,AV856)-1)</f>
        <v/>
      </c>
      <c r="AV856" s="266">
        <f t="shared" si="58"/>
        <v>0</v>
      </c>
    </row>
    <row r="857" spans="26:48" ht="15" customHeight="1" x14ac:dyDescent="0.2">
      <c r="Z857" s="243" t="str">
        <f>Shares!A857</f>
        <v/>
      </c>
      <c r="AA857" s="243" t="str">
        <f>Shares!B857</f>
        <v/>
      </c>
      <c r="AB857" s="243" t="str">
        <f>Shares!C857</f>
        <v/>
      </c>
      <c r="AC857" s="243" t="str">
        <f>Shares!D857</f>
        <v/>
      </c>
      <c r="AD857" s="243">
        <f>IF($Z857="",0,Shares!E857)</f>
        <v>0</v>
      </c>
      <c r="AE857" s="266">
        <f>IF($Z857="",0,Shares!J857*Shares!I857)</f>
        <v>0</v>
      </c>
      <c r="AF857" s="267">
        <f t="shared" si="57"/>
        <v>0</v>
      </c>
      <c r="AG857" s="266">
        <f>IF($Z857="",0,Shares!L857)</f>
        <v>0</v>
      </c>
      <c r="AH857" s="267">
        <f>IF($Z857="",0,Shares!M857)</f>
        <v>0</v>
      </c>
      <c r="AI857" s="243" t="str">
        <f>IF($Z857="","",RANK(AE857,$AE$2:$AE$1001)+COUNTIF($AE$2:AE857,AE857)-1)</f>
        <v/>
      </c>
      <c r="AJ857" s="243" t="str">
        <f>IF($AD857&lt;0,COUNT($AJ$1:AJ856)+1,"")</f>
        <v/>
      </c>
      <c r="AL857" s="243" t="str">
        <f>'All Ticker P&amp;L'!A857</f>
        <v/>
      </c>
      <c r="AM857" s="243" t="str">
        <f>'All Ticker P&amp;L'!B857</f>
        <v/>
      </c>
      <c r="AN857" s="243" t="str">
        <f>'All Ticker P&amp;L'!C857</f>
        <v/>
      </c>
      <c r="AO857" s="243" t="str">
        <f>'All Ticker P&amp;L'!D857</f>
        <v/>
      </c>
      <c r="AP857" s="243">
        <f>IF($AL857="",0,'All Ticker P&amp;L'!E857)</f>
        <v>0</v>
      </c>
      <c r="AQ857" s="266">
        <f>IF($AL857="",0,'All Ticker P&amp;L'!J857*'All Ticker P&amp;L'!I857)</f>
        <v>0</v>
      </c>
      <c r="AR857" s="266">
        <f>IF($AL857="",0,'All Ticker P&amp;L'!L857)</f>
        <v>0</v>
      </c>
      <c r="AS857" s="267">
        <f>IF($AL857="",0,'All Ticker P&amp;L'!M857)</f>
        <v>0</v>
      </c>
      <c r="AT857" s="243" t="str">
        <f>IF($AL857="","",RANK(AR857,$AR$2:$AR$1001)+COUNTIF($AR$2:AR857,AR857)-1)</f>
        <v/>
      </c>
      <c r="AU857" s="243" t="str">
        <f>IF($AL857="","",RANK(AV857,$AV$2:$AV$1001)+COUNTIF($AV$2:AV857,AV857)-1)</f>
        <v/>
      </c>
      <c r="AV857" s="266">
        <f t="shared" si="58"/>
        <v>0</v>
      </c>
    </row>
    <row r="858" spans="26:48" ht="15" customHeight="1" x14ac:dyDescent="0.2">
      <c r="Z858" s="243" t="str">
        <f>Shares!A858</f>
        <v/>
      </c>
      <c r="AA858" s="243" t="str">
        <f>Shares!B858</f>
        <v/>
      </c>
      <c r="AB858" s="243" t="str">
        <f>Shares!C858</f>
        <v/>
      </c>
      <c r="AC858" s="243" t="str">
        <f>Shares!D858</f>
        <v/>
      </c>
      <c r="AD858" s="243">
        <f>IF($Z858="",0,Shares!E858)</f>
        <v>0</v>
      </c>
      <c r="AE858" s="266">
        <f>IF($Z858="",0,Shares!J858*Shares!I858)</f>
        <v>0</v>
      </c>
      <c r="AF858" s="267">
        <f t="shared" si="57"/>
        <v>0</v>
      </c>
      <c r="AG858" s="266">
        <f>IF($Z858="",0,Shares!L858)</f>
        <v>0</v>
      </c>
      <c r="AH858" s="267">
        <f>IF($Z858="",0,Shares!M858)</f>
        <v>0</v>
      </c>
      <c r="AI858" s="243" t="str">
        <f>IF($Z858="","",RANK(AE858,$AE$2:$AE$1001)+COUNTIF($AE$2:AE858,AE858)-1)</f>
        <v/>
      </c>
      <c r="AJ858" s="243" t="str">
        <f>IF($AD858&lt;0,COUNT($AJ$1:AJ857)+1,"")</f>
        <v/>
      </c>
      <c r="AL858" s="243" t="str">
        <f>'All Ticker P&amp;L'!A858</f>
        <v/>
      </c>
      <c r="AM858" s="243" t="str">
        <f>'All Ticker P&amp;L'!B858</f>
        <v/>
      </c>
      <c r="AN858" s="243" t="str">
        <f>'All Ticker P&amp;L'!C858</f>
        <v/>
      </c>
      <c r="AO858" s="243" t="str">
        <f>'All Ticker P&amp;L'!D858</f>
        <v/>
      </c>
      <c r="AP858" s="243">
        <f>IF($AL858="",0,'All Ticker P&amp;L'!E858)</f>
        <v>0</v>
      </c>
      <c r="AQ858" s="266">
        <f>IF($AL858="",0,'All Ticker P&amp;L'!J858*'All Ticker P&amp;L'!I858)</f>
        <v>0</v>
      </c>
      <c r="AR858" s="266">
        <f>IF($AL858="",0,'All Ticker P&amp;L'!L858)</f>
        <v>0</v>
      </c>
      <c r="AS858" s="267">
        <f>IF($AL858="",0,'All Ticker P&amp;L'!M858)</f>
        <v>0</v>
      </c>
      <c r="AT858" s="243" t="str">
        <f>IF($AL858="","",RANK(AR858,$AR$2:$AR$1001)+COUNTIF($AR$2:AR858,AR858)-1)</f>
        <v/>
      </c>
      <c r="AU858" s="243" t="str">
        <f>IF($AL858="","",RANK(AV858,$AV$2:$AV$1001)+COUNTIF($AV$2:AV858,AV858)-1)</f>
        <v/>
      </c>
      <c r="AV858" s="266">
        <f t="shared" si="58"/>
        <v>0</v>
      </c>
    </row>
    <row r="859" spans="26:48" ht="15" customHeight="1" x14ac:dyDescent="0.2">
      <c r="Z859" s="243" t="str">
        <f>Shares!A859</f>
        <v/>
      </c>
      <c r="AA859" s="243" t="str">
        <f>Shares!B859</f>
        <v/>
      </c>
      <c r="AB859" s="243" t="str">
        <f>Shares!C859</f>
        <v/>
      </c>
      <c r="AC859" s="243" t="str">
        <f>Shares!D859</f>
        <v/>
      </c>
      <c r="AD859" s="243">
        <f>IF($Z859="",0,Shares!E859)</f>
        <v>0</v>
      </c>
      <c r="AE859" s="266">
        <f>IF($Z859="",0,Shares!J859*Shares!I859)</f>
        <v>0</v>
      </c>
      <c r="AF859" s="267">
        <f t="shared" si="57"/>
        <v>0</v>
      </c>
      <c r="AG859" s="266">
        <f>IF($Z859="",0,Shares!L859)</f>
        <v>0</v>
      </c>
      <c r="AH859" s="267">
        <f>IF($Z859="",0,Shares!M859)</f>
        <v>0</v>
      </c>
      <c r="AI859" s="243" t="str">
        <f>IF($Z859="","",RANK(AE859,$AE$2:$AE$1001)+COUNTIF($AE$2:AE859,AE859)-1)</f>
        <v/>
      </c>
      <c r="AJ859" s="243" t="str">
        <f>IF($AD859&lt;0,COUNT($AJ$1:AJ858)+1,"")</f>
        <v/>
      </c>
      <c r="AL859" s="243" t="str">
        <f>'All Ticker P&amp;L'!A859</f>
        <v/>
      </c>
      <c r="AM859" s="243" t="str">
        <f>'All Ticker P&amp;L'!B859</f>
        <v/>
      </c>
      <c r="AN859" s="243" t="str">
        <f>'All Ticker P&amp;L'!C859</f>
        <v/>
      </c>
      <c r="AO859" s="243" t="str">
        <f>'All Ticker P&amp;L'!D859</f>
        <v/>
      </c>
      <c r="AP859" s="243">
        <f>IF($AL859="",0,'All Ticker P&amp;L'!E859)</f>
        <v>0</v>
      </c>
      <c r="AQ859" s="266">
        <f>IF($AL859="",0,'All Ticker P&amp;L'!J859*'All Ticker P&amp;L'!I859)</f>
        <v>0</v>
      </c>
      <c r="AR859" s="266">
        <f>IF($AL859="",0,'All Ticker P&amp;L'!L859)</f>
        <v>0</v>
      </c>
      <c r="AS859" s="267">
        <f>IF($AL859="",0,'All Ticker P&amp;L'!M859)</f>
        <v>0</v>
      </c>
      <c r="AT859" s="243" t="str">
        <f>IF($AL859="","",RANK(AR859,$AR$2:$AR$1001)+COUNTIF($AR$2:AR859,AR859)-1)</f>
        <v/>
      </c>
      <c r="AU859" s="243" t="str">
        <f>IF($AL859="","",RANK(AV859,$AV$2:$AV$1001)+COUNTIF($AV$2:AV859,AV859)-1)</f>
        <v/>
      </c>
      <c r="AV859" s="266">
        <f t="shared" si="58"/>
        <v>0</v>
      </c>
    </row>
    <row r="860" spans="26:48" ht="15" customHeight="1" x14ac:dyDescent="0.2">
      <c r="Z860" s="243" t="str">
        <f>Shares!A860</f>
        <v/>
      </c>
      <c r="AA860" s="243" t="str">
        <f>Shares!B860</f>
        <v/>
      </c>
      <c r="AB860" s="243" t="str">
        <f>Shares!C860</f>
        <v/>
      </c>
      <c r="AC860" s="243" t="str">
        <f>Shares!D860</f>
        <v/>
      </c>
      <c r="AD860" s="243">
        <f>IF($Z860="",0,Shares!E860)</f>
        <v>0</v>
      </c>
      <c r="AE860" s="266">
        <f>IF($Z860="",0,Shares!J860*Shares!I860)</f>
        <v>0</v>
      </c>
      <c r="AF860" s="267">
        <f t="shared" si="57"/>
        <v>0</v>
      </c>
      <c r="AG860" s="266">
        <f>IF($Z860="",0,Shares!L860)</f>
        <v>0</v>
      </c>
      <c r="AH860" s="267">
        <f>IF($Z860="",0,Shares!M860)</f>
        <v>0</v>
      </c>
      <c r="AI860" s="243" t="str">
        <f>IF($Z860="","",RANK(AE860,$AE$2:$AE$1001)+COUNTIF($AE$2:AE860,AE860)-1)</f>
        <v/>
      </c>
      <c r="AJ860" s="243" t="str">
        <f>IF($AD860&lt;0,COUNT($AJ$1:AJ859)+1,"")</f>
        <v/>
      </c>
      <c r="AL860" s="243" t="str">
        <f>'All Ticker P&amp;L'!A860</f>
        <v/>
      </c>
      <c r="AM860" s="243" t="str">
        <f>'All Ticker P&amp;L'!B860</f>
        <v/>
      </c>
      <c r="AN860" s="243" t="str">
        <f>'All Ticker P&amp;L'!C860</f>
        <v/>
      </c>
      <c r="AO860" s="243" t="str">
        <f>'All Ticker P&amp;L'!D860</f>
        <v/>
      </c>
      <c r="AP860" s="243">
        <f>IF($AL860="",0,'All Ticker P&amp;L'!E860)</f>
        <v>0</v>
      </c>
      <c r="AQ860" s="266">
        <f>IF($AL860="",0,'All Ticker P&amp;L'!J860*'All Ticker P&amp;L'!I860)</f>
        <v>0</v>
      </c>
      <c r="AR860" s="266">
        <f>IF($AL860="",0,'All Ticker P&amp;L'!L860)</f>
        <v>0</v>
      </c>
      <c r="AS860" s="267">
        <f>IF($AL860="",0,'All Ticker P&amp;L'!M860)</f>
        <v>0</v>
      </c>
      <c r="AT860" s="243" t="str">
        <f>IF($AL860="","",RANK(AR860,$AR$2:$AR$1001)+COUNTIF($AR$2:AR860,AR860)-1)</f>
        <v/>
      </c>
      <c r="AU860" s="243" t="str">
        <f>IF($AL860="","",RANK(AV860,$AV$2:$AV$1001)+COUNTIF($AV$2:AV860,AV860)-1)</f>
        <v/>
      </c>
      <c r="AV860" s="266">
        <f t="shared" si="58"/>
        <v>0</v>
      </c>
    </row>
    <row r="861" spans="26:48" ht="15" customHeight="1" x14ac:dyDescent="0.2">
      <c r="Z861" s="243" t="str">
        <f>Shares!A861</f>
        <v/>
      </c>
      <c r="AA861" s="243" t="str">
        <f>Shares!B861</f>
        <v/>
      </c>
      <c r="AB861" s="243" t="str">
        <f>Shares!C861</f>
        <v/>
      </c>
      <c r="AC861" s="243" t="str">
        <f>Shares!D861</f>
        <v/>
      </c>
      <c r="AD861" s="243">
        <f>IF($Z861="",0,Shares!E861)</f>
        <v>0</v>
      </c>
      <c r="AE861" s="266">
        <f>IF($Z861="",0,Shares!J861*Shares!I861)</f>
        <v>0</v>
      </c>
      <c r="AF861" s="267">
        <f t="shared" si="57"/>
        <v>0</v>
      </c>
      <c r="AG861" s="266">
        <f>IF($Z861="",0,Shares!L861)</f>
        <v>0</v>
      </c>
      <c r="AH861" s="267">
        <f>IF($Z861="",0,Shares!M861)</f>
        <v>0</v>
      </c>
      <c r="AI861" s="243" t="str">
        <f>IF($Z861="","",RANK(AE861,$AE$2:$AE$1001)+COUNTIF($AE$2:AE861,AE861)-1)</f>
        <v/>
      </c>
      <c r="AJ861" s="243" t="str">
        <f>IF($AD861&lt;0,COUNT($AJ$1:AJ860)+1,"")</f>
        <v/>
      </c>
      <c r="AL861" s="243" t="str">
        <f>'All Ticker P&amp;L'!A861</f>
        <v/>
      </c>
      <c r="AM861" s="243" t="str">
        <f>'All Ticker P&amp;L'!B861</f>
        <v/>
      </c>
      <c r="AN861" s="243" t="str">
        <f>'All Ticker P&amp;L'!C861</f>
        <v/>
      </c>
      <c r="AO861" s="243" t="str">
        <f>'All Ticker P&amp;L'!D861</f>
        <v/>
      </c>
      <c r="AP861" s="243">
        <f>IF($AL861="",0,'All Ticker P&amp;L'!E861)</f>
        <v>0</v>
      </c>
      <c r="AQ861" s="266">
        <f>IF($AL861="",0,'All Ticker P&amp;L'!J861*'All Ticker P&amp;L'!I861)</f>
        <v>0</v>
      </c>
      <c r="AR861" s="266">
        <f>IF($AL861="",0,'All Ticker P&amp;L'!L861)</f>
        <v>0</v>
      </c>
      <c r="AS861" s="267">
        <f>IF($AL861="",0,'All Ticker P&amp;L'!M861)</f>
        <v>0</v>
      </c>
      <c r="AT861" s="243" t="str">
        <f>IF($AL861="","",RANK(AR861,$AR$2:$AR$1001)+COUNTIF($AR$2:AR861,AR861)-1)</f>
        <v/>
      </c>
      <c r="AU861" s="243" t="str">
        <f>IF($AL861="","",RANK(AV861,$AV$2:$AV$1001)+COUNTIF($AV$2:AV861,AV861)-1)</f>
        <v/>
      </c>
      <c r="AV861" s="266">
        <f t="shared" si="58"/>
        <v>0</v>
      </c>
    </row>
    <row r="862" spans="26:48" ht="15" customHeight="1" x14ac:dyDescent="0.2">
      <c r="Z862" s="243" t="str">
        <f>Shares!A862</f>
        <v/>
      </c>
      <c r="AA862" s="243" t="str">
        <f>Shares!B862</f>
        <v/>
      </c>
      <c r="AB862" s="243" t="str">
        <f>Shares!C862</f>
        <v/>
      </c>
      <c r="AC862" s="243" t="str">
        <f>Shares!D862</f>
        <v/>
      </c>
      <c r="AD862" s="243">
        <f>IF($Z862="",0,Shares!E862)</f>
        <v>0</v>
      </c>
      <c r="AE862" s="266">
        <f>IF($Z862="",0,Shares!J862*Shares!I862)</f>
        <v>0</v>
      </c>
      <c r="AF862" s="267">
        <f t="shared" si="57"/>
        <v>0</v>
      </c>
      <c r="AG862" s="266">
        <f>IF($Z862="",0,Shares!L862)</f>
        <v>0</v>
      </c>
      <c r="AH862" s="267">
        <f>IF($Z862="",0,Shares!M862)</f>
        <v>0</v>
      </c>
      <c r="AI862" s="243" t="str">
        <f>IF($Z862="","",RANK(AE862,$AE$2:$AE$1001)+COUNTIF($AE$2:AE862,AE862)-1)</f>
        <v/>
      </c>
      <c r="AJ862" s="243" t="str">
        <f>IF($AD862&lt;0,COUNT($AJ$1:AJ861)+1,"")</f>
        <v/>
      </c>
      <c r="AL862" s="243" t="str">
        <f>'All Ticker P&amp;L'!A862</f>
        <v/>
      </c>
      <c r="AM862" s="243" t="str">
        <f>'All Ticker P&amp;L'!B862</f>
        <v/>
      </c>
      <c r="AN862" s="243" t="str">
        <f>'All Ticker P&amp;L'!C862</f>
        <v/>
      </c>
      <c r="AO862" s="243" t="str">
        <f>'All Ticker P&amp;L'!D862</f>
        <v/>
      </c>
      <c r="AP862" s="243">
        <f>IF($AL862="",0,'All Ticker P&amp;L'!E862)</f>
        <v>0</v>
      </c>
      <c r="AQ862" s="266">
        <f>IF($AL862="",0,'All Ticker P&amp;L'!J862*'All Ticker P&amp;L'!I862)</f>
        <v>0</v>
      </c>
      <c r="AR862" s="266">
        <f>IF($AL862="",0,'All Ticker P&amp;L'!L862)</f>
        <v>0</v>
      </c>
      <c r="AS862" s="267">
        <f>IF($AL862="",0,'All Ticker P&amp;L'!M862)</f>
        <v>0</v>
      </c>
      <c r="AT862" s="243" t="str">
        <f>IF($AL862="","",RANK(AR862,$AR$2:$AR$1001)+COUNTIF($AR$2:AR862,AR862)-1)</f>
        <v/>
      </c>
      <c r="AU862" s="243" t="str">
        <f>IF($AL862="","",RANK(AV862,$AV$2:$AV$1001)+COUNTIF($AV$2:AV862,AV862)-1)</f>
        <v/>
      </c>
      <c r="AV862" s="266">
        <f t="shared" si="58"/>
        <v>0</v>
      </c>
    </row>
    <row r="863" spans="26:48" ht="15" customHeight="1" x14ac:dyDescent="0.2">
      <c r="Z863" s="243" t="str">
        <f>Shares!A863</f>
        <v/>
      </c>
      <c r="AA863" s="243" t="str">
        <f>Shares!B863</f>
        <v/>
      </c>
      <c r="AB863" s="243" t="str">
        <f>Shares!C863</f>
        <v/>
      </c>
      <c r="AC863" s="243" t="str">
        <f>Shares!D863</f>
        <v/>
      </c>
      <c r="AD863" s="243">
        <f>IF($Z863="",0,Shares!E863)</f>
        <v>0</v>
      </c>
      <c r="AE863" s="266">
        <f>IF($Z863="",0,Shares!J863*Shares!I863)</f>
        <v>0</v>
      </c>
      <c r="AF863" s="267">
        <f t="shared" si="57"/>
        <v>0</v>
      </c>
      <c r="AG863" s="266">
        <f>IF($Z863="",0,Shares!L863)</f>
        <v>0</v>
      </c>
      <c r="AH863" s="267">
        <f>IF($Z863="",0,Shares!M863)</f>
        <v>0</v>
      </c>
      <c r="AI863" s="243" t="str">
        <f>IF($Z863="","",RANK(AE863,$AE$2:$AE$1001)+COUNTIF($AE$2:AE863,AE863)-1)</f>
        <v/>
      </c>
      <c r="AJ863" s="243" t="str">
        <f>IF($AD863&lt;0,COUNT($AJ$1:AJ862)+1,"")</f>
        <v/>
      </c>
      <c r="AL863" s="243" t="str">
        <f>'All Ticker P&amp;L'!A863</f>
        <v/>
      </c>
      <c r="AM863" s="243" t="str">
        <f>'All Ticker P&amp;L'!B863</f>
        <v/>
      </c>
      <c r="AN863" s="243" t="str">
        <f>'All Ticker P&amp;L'!C863</f>
        <v/>
      </c>
      <c r="AO863" s="243" t="str">
        <f>'All Ticker P&amp;L'!D863</f>
        <v/>
      </c>
      <c r="AP863" s="243">
        <f>IF($AL863="",0,'All Ticker P&amp;L'!E863)</f>
        <v>0</v>
      </c>
      <c r="AQ863" s="266">
        <f>IF($AL863="",0,'All Ticker P&amp;L'!J863*'All Ticker P&amp;L'!I863)</f>
        <v>0</v>
      </c>
      <c r="AR863" s="266">
        <f>IF($AL863="",0,'All Ticker P&amp;L'!L863)</f>
        <v>0</v>
      </c>
      <c r="AS863" s="267">
        <f>IF($AL863="",0,'All Ticker P&amp;L'!M863)</f>
        <v>0</v>
      </c>
      <c r="AT863" s="243" t="str">
        <f>IF($AL863="","",RANK(AR863,$AR$2:$AR$1001)+COUNTIF($AR$2:AR863,AR863)-1)</f>
        <v/>
      </c>
      <c r="AU863" s="243" t="str">
        <f>IF($AL863="","",RANK(AV863,$AV$2:$AV$1001)+COUNTIF($AV$2:AV863,AV863)-1)</f>
        <v/>
      </c>
      <c r="AV863" s="266">
        <f t="shared" si="58"/>
        <v>0</v>
      </c>
    </row>
    <row r="864" spans="26:48" ht="15" customHeight="1" x14ac:dyDescent="0.2">
      <c r="Z864" s="243" t="str">
        <f>Shares!A864</f>
        <v/>
      </c>
      <c r="AA864" s="243" t="str">
        <f>Shares!B864</f>
        <v/>
      </c>
      <c r="AB864" s="243" t="str">
        <f>Shares!C864</f>
        <v/>
      </c>
      <c r="AC864" s="243" t="str">
        <f>Shares!D864</f>
        <v/>
      </c>
      <c r="AD864" s="243">
        <f>IF($Z864="",0,Shares!E864)</f>
        <v>0</v>
      </c>
      <c r="AE864" s="266">
        <f>IF($Z864="",0,Shares!J864*Shares!I864)</f>
        <v>0</v>
      </c>
      <c r="AF864" s="267">
        <f t="shared" si="57"/>
        <v>0</v>
      </c>
      <c r="AG864" s="266">
        <f>IF($Z864="",0,Shares!L864)</f>
        <v>0</v>
      </c>
      <c r="AH864" s="267">
        <f>IF($Z864="",0,Shares!M864)</f>
        <v>0</v>
      </c>
      <c r="AI864" s="243" t="str">
        <f>IF($Z864="","",RANK(AE864,$AE$2:$AE$1001)+COUNTIF($AE$2:AE864,AE864)-1)</f>
        <v/>
      </c>
      <c r="AJ864" s="243" t="str">
        <f>IF($AD864&lt;0,COUNT($AJ$1:AJ863)+1,"")</f>
        <v/>
      </c>
      <c r="AL864" s="243" t="str">
        <f>'All Ticker P&amp;L'!A864</f>
        <v/>
      </c>
      <c r="AM864" s="243" t="str">
        <f>'All Ticker P&amp;L'!B864</f>
        <v/>
      </c>
      <c r="AN864" s="243" t="str">
        <f>'All Ticker P&amp;L'!C864</f>
        <v/>
      </c>
      <c r="AO864" s="243" t="str">
        <f>'All Ticker P&amp;L'!D864</f>
        <v/>
      </c>
      <c r="AP864" s="243">
        <f>IF($AL864="",0,'All Ticker P&amp;L'!E864)</f>
        <v>0</v>
      </c>
      <c r="AQ864" s="266">
        <f>IF($AL864="",0,'All Ticker P&amp;L'!J864*'All Ticker P&amp;L'!I864)</f>
        <v>0</v>
      </c>
      <c r="AR864" s="266">
        <f>IF($AL864="",0,'All Ticker P&amp;L'!L864)</f>
        <v>0</v>
      </c>
      <c r="AS864" s="267">
        <f>IF($AL864="",0,'All Ticker P&amp;L'!M864)</f>
        <v>0</v>
      </c>
      <c r="AT864" s="243" t="str">
        <f>IF($AL864="","",RANK(AR864,$AR$2:$AR$1001)+COUNTIF($AR$2:AR864,AR864)-1)</f>
        <v/>
      </c>
      <c r="AU864" s="243" t="str">
        <f>IF($AL864="","",RANK(AV864,$AV$2:$AV$1001)+COUNTIF($AV$2:AV864,AV864)-1)</f>
        <v/>
      </c>
      <c r="AV864" s="266">
        <f t="shared" si="58"/>
        <v>0</v>
      </c>
    </row>
    <row r="865" spans="26:48" ht="15" customHeight="1" x14ac:dyDescent="0.2">
      <c r="Z865" s="243" t="str">
        <f>Shares!A865</f>
        <v/>
      </c>
      <c r="AA865" s="243" t="str">
        <f>Shares!B865</f>
        <v/>
      </c>
      <c r="AB865" s="243" t="str">
        <f>Shares!C865</f>
        <v/>
      </c>
      <c r="AC865" s="243" t="str">
        <f>Shares!D865</f>
        <v/>
      </c>
      <c r="AD865" s="243">
        <f>IF($Z865="",0,Shares!E865)</f>
        <v>0</v>
      </c>
      <c r="AE865" s="266">
        <f>IF($Z865="",0,Shares!J865*Shares!I865)</f>
        <v>0</v>
      </c>
      <c r="AF865" s="267">
        <f t="shared" si="57"/>
        <v>0</v>
      </c>
      <c r="AG865" s="266">
        <f>IF($Z865="",0,Shares!L865)</f>
        <v>0</v>
      </c>
      <c r="AH865" s="267">
        <f>IF($Z865="",0,Shares!M865)</f>
        <v>0</v>
      </c>
      <c r="AI865" s="243" t="str">
        <f>IF($Z865="","",RANK(AE865,$AE$2:$AE$1001)+COUNTIF($AE$2:AE865,AE865)-1)</f>
        <v/>
      </c>
      <c r="AJ865" s="243" t="str">
        <f>IF($AD865&lt;0,COUNT($AJ$1:AJ864)+1,"")</f>
        <v/>
      </c>
      <c r="AL865" s="243" t="str">
        <f>'All Ticker P&amp;L'!A865</f>
        <v/>
      </c>
      <c r="AM865" s="243" t="str">
        <f>'All Ticker P&amp;L'!B865</f>
        <v/>
      </c>
      <c r="AN865" s="243" t="str">
        <f>'All Ticker P&amp;L'!C865</f>
        <v/>
      </c>
      <c r="AO865" s="243" t="str">
        <f>'All Ticker P&amp;L'!D865</f>
        <v/>
      </c>
      <c r="AP865" s="243">
        <f>IF($AL865="",0,'All Ticker P&amp;L'!E865)</f>
        <v>0</v>
      </c>
      <c r="AQ865" s="266">
        <f>IF($AL865="",0,'All Ticker P&amp;L'!J865*'All Ticker P&amp;L'!I865)</f>
        <v>0</v>
      </c>
      <c r="AR865" s="266">
        <f>IF($AL865="",0,'All Ticker P&amp;L'!L865)</f>
        <v>0</v>
      </c>
      <c r="AS865" s="267">
        <f>IF($AL865="",0,'All Ticker P&amp;L'!M865)</f>
        <v>0</v>
      </c>
      <c r="AT865" s="243" t="str">
        <f>IF($AL865="","",RANK(AR865,$AR$2:$AR$1001)+COUNTIF($AR$2:AR865,AR865)-1)</f>
        <v/>
      </c>
      <c r="AU865" s="243" t="str">
        <f>IF($AL865="","",RANK(AV865,$AV$2:$AV$1001)+COUNTIF($AV$2:AV865,AV865)-1)</f>
        <v/>
      </c>
      <c r="AV865" s="266">
        <f t="shared" si="58"/>
        <v>0</v>
      </c>
    </row>
    <row r="866" spans="26:48" ht="15" customHeight="1" x14ac:dyDescent="0.2">
      <c r="Z866" s="243" t="str">
        <f>Shares!A866</f>
        <v/>
      </c>
      <c r="AA866" s="243" t="str">
        <f>Shares!B866</f>
        <v/>
      </c>
      <c r="AB866" s="243" t="str">
        <f>Shares!C866</f>
        <v/>
      </c>
      <c r="AC866" s="243" t="str">
        <f>Shares!D866</f>
        <v/>
      </c>
      <c r="AD866" s="243">
        <f>IF($Z866="",0,Shares!E866)</f>
        <v>0</v>
      </c>
      <c r="AE866" s="266">
        <f>IF($Z866="",0,Shares!J866*Shares!I866)</f>
        <v>0</v>
      </c>
      <c r="AF866" s="267">
        <f t="shared" si="57"/>
        <v>0</v>
      </c>
      <c r="AG866" s="266">
        <f>IF($Z866="",0,Shares!L866)</f>
        <v>0</v>
      </c>
      <c r="AH866" s="267">
        <f>IF($Z866="",0,Shares!M866)</f>
        <v>0</v>
      </c>
      <c r="AI866" s="243" t="str">
        <f>IF($Z866="","",RANK(AE866,$AE$2:$AE$1001)+COUNTIF($AE$2:AE866,AE866)-1)</f>
        <v/>
      </c>
      <c r="AJ866" s="243" t="str">
        <f>IF($AD866&lt;0,COUNT($AJ$1:AJ865)+1,"")</f>
        <v/>
      </c>
      <c r="AL866" s="243" t="str">
        <f>'All Ticker P&amp;L'!A866</f>
        <v/>
      </c>
      <c r="AM866" s="243" t="str">
        <f>'All Ticker P&amp;L'!B866</f>
        <v/>
      </c>
      <c r="AN866" s="243" t="str">
        <f>'All Ticker P&amp;L'!C866</f>
        <v/>
      </c>
      <c r="AO866" s="243" t="str">
        <f>'All Ticker P&amp;L'!D866</f>
        <v/>
      </c>
      <c r="AP866" s="243">
        <f>IF($AL866="",0,'All Ticker P&amp;L'!E866)</f>
        <v>0</v>
      </c>
      <c r="AQ866" s="266">
        <f>IF($AL866="",0,'All Ticker P&amp;L'!J866*'All Ticker P&amp;L'!I866)</f>
        <v>0</v>
      </c>
      <c r="AR866" s="266">
        <f>IF($AL866="",0,'All Ticker P&amp;L'!L866)</f>
        <v>0</v>
      </c>
      <c r="AS866" s="267">
        <f>IF($AL866="",0,'All Ticker P&amp;L'!M866)</f>
        <v>0</v>
      </c>
      <c r="AT866" s="243" t="str">
        <f>IF($AL866="","",RANK(AR866,$AR$2:$AR$1001)+COUNTIF($AR$2:AR866,AR866)-1)</f>
        <v/>
      </c>
      <c r="AU866" s="243" t="str">
        <f>IF($AL866="","",RANK(AV866,$AV$2:$AV$1001)+COUNTIF($AV$2:AV866,AV866)-1)</f>
        <v/>
      </c>
      <c r="AV866" s="266">
        <f t="shared" si="58"/>
        <v>0</v>
      </c>
    </row>
    <row r="867" spans="26:48" ht="15" customHeight="1" x14ac:dyDescent="0.2">
      <c r="Z867" s="243" t="str">
        <f>Shares!A867</f>
        <v/>
      </c>
      <c r="AA867" s="243" t="str">
        <f>Shares!B867</f>
        <v/>
      </c>
      <c r="AB867" s="243" t="str">
        <f>Shares!C867</f>
        <v/>
      </c>
      <c r="AC867" s="243" t="str">
        <f>Shares!D867</f>
        <v/>
      </c>
      <c r="AD867" s="243">
        <f>IF($Z867="",0,Shares!E867)</f>
        <v>0</v>
      </c>
      <c r="AE867" s="266">
        <f>IF($Z867="",0,Shares!J867*Shares!I867)</f>
        <v>0</v>
      </c>
      <c r="AF867" s="267">
        <f t="shared" si="57"/>
        <v>0</v>
      </c>
      <c r="AG867" s="266">
        <f>IF($Z867="",0,Shares!L867)</f>
        <v>0</v>
      </c>
      <c r="AH867" s="267">
        <f>IF($Z867="",0,Shares!M867)</f>
        <v>0</v>
      </c>
      <c r="AI867" s="243" t="str">
        <f>IF($Z867="","",RANK(AE867,$AE$2:$AE$1001)+COUNTIF($AE$2:AE867,AE867)-1)</f>
        <v/>
      </c>
      <c r="AJ867" s="243" t="str">
        <f>IF($AD867&lt;0,COUNT($AJ$1:AJ866)+1,"")</f>
        <v/>
      </c>
      <c r="AL867" s="243" t="str">
        <f>'All Ticker P&amp;L'!A867</f>
        <v/>
      </c>
      <c r="AM867" s="243" t="str">
        <f>'All Ticker P&amp;L'!B867</f>
        <v/>
      </c>
      <c r="AN867" s="243" t="str">
        <f>'All Ticker P&amp;L'!C867</f>
        <v/>
      </c>
      <c r="AO867" s="243" t="str">
        <f>'All Ticker P&amp;L'!D867</f>
        <v/>
      </c>
      <c r="AP867" s="243">
        <f>IF($AL867="",0,'All Ticker P&amp;L'!E867)</f>
        <v>0</v>
      </c>
      <c r="AQ867" s="266">
        <f>IF($AL867="",0,'All Ticker P&amp;L'!J867*'All Ticker P&amp;L'!I867)</f>
        <v>0</v>
      </c>
      <c r="AR867" s="266">
        <f>IF($AL867="",0,'All Ticker P&amp;L'!L867)</f>
        <v>0</v>
      </c>
      <c r="AS867" s="267">
        <f>IF($AL867="",0,'All Ticker P&amp;L'!M867)</f>
        <v>0</v>
      </c>
      <c r="AT867" s="243" t="str">
        <f>IF($AL867="","",RANK(AR867,$AR$2:$AR$1001)+COUNTIF($AR$2:AR867,AR867)-1)</f>
        <v/>
      </c>
      <c r="AU867" s="243" t="str">
        <f>IF($AL867="","",RANK(AV867,$AV$2:$AV$1001)+COUNTIF($AV$2:AV867,AV867)-1)</f>
        <v/>
      </c>
      <c r="AV867" s="266">
        <f t="shared" si="58"/>
        <v>0</v>
      </c>
    </row>
    <row r="868" spans="26:48" ht="15" customHeight="1" x14ac:dyDescent="0.2">
      <c r="Z868" s="243" t="str">
        <f>Shares!A868</f>
        <v/>
      </c>
      <c r="AA868" s="243" t="str">
        <f>Shares!B868</f>
        <v/>
      </c>
      <c r="AB868" s="243" t="str">
        <f>Shares!C868</f>
        <v/>
      </c>
      <c r="AC868" s="243" t="str">
        <f>Shares!D868</f>
        <v/>
      </c>
      <c r="AD868" s="243">
        <f>IF($Z868="",0,Shares!E868)</f>
        <v>0</v>
      </c>
      <c r="AE868" s="266">
        <f>IF($Z868="",0,Shares!J868*Shares!I868)</f>
        <v>0</v>
      </c>
      <c r="AF868" s="267">
        <f t="shared" si="57"/>
        <v>0</v>
      </c>
      <c r="AG868" s="266">
        <f>IF($Z868="",0,Shares!L868)</f>
        <v>0</v>
      </c>
      <c r="AH868" s="267">
        <f>IF($Z868="",0,Shares!M868)</f>
        <v>0</v>
      </c>
      <c r="AI868" s="243" t="str">
        <f>IF($Z868="","",RANK(AE868,$AE$2:$AE$1001)+COUNTIF($AE$2:AE868,AE868)-1)</f>
        <v/>
      </c>
      <c r="AJ868" s="243" t="str">
        <f>IF($AD868&lt;0,COUNT($AJ$1:AJ867)+1,"")</f>
        <v/>
      </c>
      <c r="AL868" s="243" t="str">
        <f>'All Ticker P&amp;L'!A868</f>
        <v/>
      </c>
      <c r="AM868" s="243" t="str">
        <f>'All Ticker P&amp;L'!B868</f>
        <v/>
      </c>
      <c r="AN868" s="243" t="str">
        <f>'All Ticker P&amp;L'!C868</f>
        <v/>
      </c>
      <c r="AO868" s="243" t="str">
        <f>'All Ticker P&amp;L'!D868</f>
        <v/>
      </c>
      <c r="AP868" s="243">
        <f>IF($AL868="",0,'All Ticker P&amp;L'!E868)</f>
        <v>0</v>
      </c>
      <c r="AQ868" s="266">
        <f>IF($AL868="",0,'All Ticker P&amp;L'!J868*'All Ticker P&amp;L'!I868)</f>
        <v>0</v>
      </c>
      <c r="AR868" s="266">
        <f>IF($AL868="",0,'All Ticker P&amp;L'!L868)</f>
        <v>0</v>
      </c>
      <c r="AS868" s="267">
        <f>IF($AL868="",0,'All Ticker P&amp;L'!M868)</f>
        <v>0</v>
      </c>
      <c r="AT868" s="243" t="str">
        <f>IF($AL868="","",RANK(AR868,$AR$2:$AR$1001)+COUNTIF($AR$2:AR868,AR868)-1)</f>
        <v/>
      </c>
      <c r="AU868" s="243" t="str">
        <f>IF($AL868="","",RANK(AV868,$AV$2:$AV$1001)+COUNTIF($AV$2:AV868,AV868)-1)</f>
        <v/>
      </c>
      <c r="AV868" s="266">
        <f t="shared" si="58"/>
        <v>0</v>
      </c>
    </row>
    <row r="869" spans="26:48" ht="15" customHeight="1" x14ac:dyDescent="0.2">
      <c r="Z869" s="243" t="str">
        <f>Shares!A869</f>
        <v/>
      </c>
      <c r="AA869" s="243" t="str">
        <f>Shares!B869</f>
        <v/>
      </c>
      <c r="AB869" s="243" t="str">
        <f>Shares!C869</f>
        <v/>
      </c>
      <c r="AC869" s="243" t="str">
        <f>Shares!D869</f>
        <v/>
      </c>
      <c r="AD869" s="243">
        <f>IF($Z869="",0,Shares!E869)</f>
        <v>0</v>
      </c>
      <c r="AE869" s="266">
        <f>IF($Z869="",0,Shares!J869*Shares!I869)</f>
        <v>0</v>
      </c>
      <c r="AF869" s="267">
        <f t="shared" si="57"/>
        <v>0</v>
      </c>
      <c r="AG869" s="266">
        <f>IF($Z869="",0,Shares!L869)</f>
        <v>0</v>
      </c>
      <c r="AH869" s="267">
        <f>IF($Z869="",0,Shares!M869)</f>
        <v>0</v>
      </c>
      <c r="AI869" s="243" t="str">
        <f>IF($Z869="","",RANK(AE869,$AE$2:$AE$1001)+COUNTIF($AE$2:AE869,AE869)-1)</f>
        <v/>
      </c>
      <c r="AJ869" s="243" t="str">
        <f>IF($AD869&lt;0,COUNT($AJ$1:AJ868)+1,"")</f>
        <v/>
      </c>
      <c r="AL869" s="243" t="str">
        <f>'All Ticker P&amp;L'!A869</f>
        <v/>
      </c>
      <c r="AM869" s="243" t="str">
        <f>'All Ticker P&amp;L'!B869</f>
        <v/>
      </c>
      <c r="AN869" s="243" t="str">
        <f>'All Ticker P&amp;L'!C869</f>
        <v/>
      </c>
      <c r="AO869" s="243" t="str">
        <f>'All Ticker P&amp;L'!D869</f>
        <v/>
      </c>
      <c r="AP869" s="243">
        <f>IF($AL869="",0,'All Ticker P&amp;L'!E869)</f>
        <v>0</v>
      </c>
      <c r="AQ869" s="266">
        <f>IF($AL869="",0,'All Ticker P&amp;L'!J869*'All Ticker P&amp;L'!I869)</f>
        <v>0</v>
      </c>
      <c r="AR869" s="266">
        <f>IF($AL869="",0,'All Ticker P&amp;L'!L869)</f>
        <v>0</v>
      </c>
      <c r="AS869" s="267">
        <f>IF($AL869="",0,'All Ticker P&amp;L'!M869)</f>
        <v>0</v>
      </c>
      <c r="AT869" s="243" t="str">
        <f>IF($AL869="","",RANK(AR869,$AR$2:$AR$1001)+COUNTIF($AR$2:AR869,AR869)-1)</f>
        <v/>
      </c>
      <c r="AU869" s="243" t="str">
        <f>IF($AL869="","",RANK(AV869,$AV$2:$AV$1001)+COUNTIF($AV$2:AV869,AV869)-1)</f>
        <v/>
      </c>
      <c r="AV869" s="266">
        <f t="shared" si="58"/>
        <v>0</v>
      </c>
    </row>
    <row r="870" spans="26:48" ht="15" customHeight="1" x14ac:dyDescent="0.2">
      <c r="Z870" s="243" t="str">
        <f>Shares!A870</f>
        <v/>
      </c>
      <c r="AA870" s="243" t="str">
        <f>Shares!B870</f>
        <v/>
      </c>
      <c r="AB870" s="243" t="str">
        <f>Shares!C870</f>
        <v/>
      </c>
      <c r="AC870" s="243" t="str">
        <f>Shares!D870</f>
        <v/>
      </c>
      <c r="AD870" s="243">
        <f>IF($Z870="",0,Shares!E870)</f>
        <v>0</v>
      </c>
      <c r="AE870" s="266">
        <f>IF($Z870="",0,Shares!J870*Shares!I870)</f>
        <v>0</v>
      </c>
      <c r="AF870" s="267">
        <f t="shared" si="57"/>
        <v>0</v>
      </c>
      <c r="AG870" s="266">
        <f>IF($Z870="",0,Shares!L870)</f>
        <v>0</v>
      </c>
      <c r="AH870" s="267">
        <f>IF($Z870="",0,Shares!M870)</f>
        <v>0</v>
      </c>
      <c r="AI870" s="243" t="str">
        <f>IF($Z870="","",RANK(AE870,$AE$2:$AE$1001)+COUNTIF($AE$2:AE870,AE870)-1)</f>
        <v/>
      </c>
      <c r="AJ870" s="243" t="str">
        <f>IF($AD870&lt;0,COUNT($AJ$1:AJ869)+1,"")</f>
        <v/>
      </c>
      <c r="AL870" s="243" t="str">
        <f>'All Ticker P&amp;L'!A870</f>
        <v/>
      </c>
      <c r="AM870" s="243" t="str">
        <f>'All Ticker P&amp;L'!B870</f>
        <v/>
      </c>
      <c r="AN870" s="243" t="str">
        <f>'All Ticker P&amp;L'!C870</f>
        <v/>
      </c>
      <c r="AO870" s="243" t="str">
        <f>'All Ticker P&amp;L'!D870</f>
        <v/>
      </c>
      <c r="AP870" s="243">
        <f>IF($AL870="",0,'All Ticker P&amp;L'!E870)</f>
        <v>0</v>
      </c>
      <c r="AQ870" s="266">
        <f>IF($AL870="",0,'All Ticker P&amp;L'!J870*'All Ticker P&amp;L'!I870)</f>
        <v>0</v>
      </c>
      <c r="AR870" s="266">
        <f>IF($AL870="",0,'All Ticker P&amp;L'!L870)</f>
        <v>0</v>
      </c>
      <c r="AS870" s="267">
        <f>IF($AL870="",0,'All Ticker P&amp;L'!M870)</f>
        <v>0</v>
      </c>
      <c r="AT870" s="243" t="str">
        <f>IF($AL870="","",RANK(AR870,$AR$2:$AR$1001)+COUNTIF($AR$2:AR870,AR870)-1)</f>
        <v/>
      </c>
      <c r="AU870" s="243" t="str">
        <f>IF($AL870="","",RANK(AV870,$AV$2:$AV$1001)+COUNTIF($AV$2:AV870,AV870)-1)</f>
        <v/>
      </c>
      <c r="AV870" s="266">
        <f t="shared" si="58"/>
        <v>0</v>
      </c>
    </row>
    <row r="871" spans="26:48" ht="15" customHeight="1" x14ac:dyDescent="0.2">
      <c r="Z871" s="243" t="str">
        <f>Shares!A871</f>
        <v/>
      </c>
      <c r="AA871" s="243" t="str">
        <f>Shares!B871</f>
        <v/>
      </c>
      <c r="AB871" s="243" t="str">
        <f>Shares!C871</f>
        <v/>
      </c>
      <c r="AC871" s="243" t="str">
        <f>Shares!D871</f>
        <v/>
      </c>
      <c r="AD871" s="243">
        <f>IF($Z871="",0,Shares!E871)</f>
        <v>0</v>
      </c>
      <c r="AE871" s="266">
        <f>IF($Z871="",0,Shares!J871*Shares!I871)</f>
        <v>0</v>
      </c>
      <c r="AF871" s="267">
        <f t="shared" si="57"/>
        <v>0</v>
      </c>
      <c r="AG871" s="266">
        <f>IF($Z871="",0,Shares!L871)</f>
        <v>0</v>
      </c>
      <c r="AH871" s="267">
        <f>IF($Z871="",0,Shares!M871)</f>
        <v>0</v>
      </c>
      <c r="AI871" s="243" t="str">
        <f>IF($Z871="","",RANK(AE871,$AE$2:$AE$1001)+COUNTIF($AE$2:AE871,AE871)-1)</f>
        <v/>
      </c>
      <c r="AJ871" s="243" t="str">
        <f>IF($AD871&lt;0,COUNT($AJ$1:AJ870)+1,"")</f>
        <v/>
      </c>
      <c r="AL871" s="243" t="str">
        <f>'All Ticker P&amp;L'!A871</f>
        <v/>
      </c>
      <c r="AM871" s="243" t="str">
        <f>'All Ticker P&amp;L'!B871</f>
        <v/>
      </c>
      <c r="AN871" s="243" t="str">
        <f>'All Ticker P&amp;L'!C871</f>
        <v/>
      </c>
      <c r="AO871" s="243" t="str">
        <f>'All Ticker P&amp;L'!D871</f>
        <v/>
      </c>
      <c r="AP871" s="243">
        <f>IF($AL871="",0,'All Ticker P&amp;L'!E871)</f>
        <v>0</v>
      </c>
      <c r="AQ871" s="266">
        <f>IF($AL871="",0,'All Ticker P&amp;L'!J871*'All Ticker P&amp;L'!I871)</f>
        <v>0</v>
      </c>
      <c r="AR871" s="266">
        <f>IF($AL871="",0,'All Ticker P&amp;L'!L871)</f>
        <v>0</v>
      </c>
      <c r="AS871" s="267">
        <f>IF($AL871="",0,'All Ticker P&amp;L'!M871)</f>
        <v>0</v>
      </c>
      <c r="AT871" s="243" t="str">
        <f>IF($AL871="","",RANK(AR871,$AR$2:$AR$1001)+COUNTIF($AR$2:AR871,AR871)-1)</f>
        <v/>
      </c>
      <c r="AU871" s="243" t="str">
        <f>IF($AL871="","",RANK(AV871,$AV$2:$AV$1001)+COUNTIF($AV$2:AV871,AV871)-1)</f>
        <v/>
      </c>
      <c r="AV871" s="266">
        <f t="shared" si="58"/>
        <v>0</v>
      </c>
    </row>
    <row r="872" spans="26:48" ht="15" customHeight="1" x14ac:dyDescent="0.2">
      <c r="Z872" s="243" t="str">
        <f>Shares!A872</f>
        <v/>
      </c>
      <c r="AA872" s="243" t="str">
        <f>Shares!B872</f>
        <v/>
      </c>
      <c r="AB872" s="243" t="str">
        <f>Shares!C872</f>
        <v/>
      </c>
      <c r="AC872" s="243" t="str">
        <f>Shares!D872</f>
        <v/>
      </c>
      <c r="AD872" s="243">
        <f>IF($Z872="",0,Shares!E872)</f>
        <v>0</v>
      </c>
      <c r="AE872" s="266">
        <f>IF($Z872="",0,Shares!J872*Shares!I872)</f>
        <v>0</v>
      </c>
      <c r="AF872" s="267">
        <f t="shared" si="57"/>
        <v>0</v>
      </c>
      <c r="AG872" s="266">
        <f>IF($Z872="",0,Shares!L872)</f>
        <v>0</v>
      </c>
      <c r="AH872" s="267">
        <f>IF($Z872="",0,Shares!M872)</f>
        <v>0</v>
      </c>
      <c r="AI872" s="243" t="str">
        <f>IF($Z872="","",RANK(AE872,$AE$2:$AE$1001)+COUNTIF($AE$2:AE872,AE872)-1)</f>
        <v/>
      </c>
      <c r="AJ872" s="243" t="str">
        <f>IF($AD872&lt;0,COUNT($AJ$1:AJ871)+1,"")</f>
        <v/>
      </c>
      <c r="AL872" s="243" t="str">
        <f>'All Ticker P&amp;L'!A872</f>
        <v/>
      </c>
      <c r="AM872" s="243" t="str">
        <f>'All Ticker P&amp;L'!B872</f>
        <v/>
      </c>
      <c r="AN872" s="243" t="str">
        <f>'All Ticker P&amp;L'!C872</f>
        <v/>
      </c>
      <c r="AO872" s="243" t="str">
        <f>'All Ticker P&amp;L'!D872</f>
        <v/>
      </c>
      <c r="AP872" s="243">
        <f>IF($AL872="",0,'All Ticker P&amp;L'!E872)</f>
        <v>0</v>
      </c>
      <c r="AQ872" s="266">
        <f>IF($AL872="",0,'All Ticker P&amp;L'!J872*'All Ticker P&amp;L'!I872)</f>
        <v>0</v>
      </c>
      <c r="AR872" s="266">
        <f>IF($AL872="",0,'All Ticker P&amp;L'!L872)</f>
        <v>0</v>
      </c>
      <c r="AS872" s="267">
        <f>IF($AL872="",0,'All Ticker P&amp;L'!M872)</f>
        <v>0</v>
      </c>
      <c r="AT872" s="243" t="str">
        <f>IF($AL872="","",RANK(AR872,$AR$2:$AR$1001)+COUNTIF($AR$2:AR872,AR872)-1)</f>
        <v/>
      </c>
      <c r="AU872" s="243" t="str">
        <f>IF($AL872="","",RANK(AV872,$AV$2:$AV$1001)+COUNTIF($AV$2:AV872,AV872)-1)</f>
        <v/>
      </c>
      <c r="AV872" s="266">
        <f t="shared" si="58"/>
        <v>0</v>
      </c>
    </row>
    <row r="873" spans="26:48" ht="15" customHeight="1" x14ac:dyDescent="0.2">
      <c r="Z873" s="243" t="str">
        <f>Shares!A873</f>
        <v/>
      </c>
      <c r="AA873" s="243" t="str">
        <f>Shares!B873</f>
        <v/>
      </c>
      <c r="AB873" s="243" t="str">
        <f>Shares!C873</f>
        <v/>
      </c>
      <c r="AC873" s="243" t="str">
        <f>Shares!D873</f>
        <v/>
      </c>
      <c r="AD873" s="243">
        <f>IF($Z873="",0,Shares!E873)</f>
        <v>0</v>
      </c>
      <c r="AE873" s="266">
        <f>IF($Z873="",0,Shares!J873*Shares!I873)</f>
        <v>0</v>
      </c>
      <c r="AF873" s="267">
        <f t="shared" si="57"/>
        <v>0</v>
      </c>
      <c r="AG873" s="266">
        <f>IF($Z873="",0,Shares!L873)</f>
        <v>0</v>
      </c>
      <c r="AH873" s="267">
        <f>IF($Z873="",0,Shares!M873)</f>
        <v>0</v>
      </c>
      <c r="AI873" s="243" t="str">
        <f>IF($Z873="","",RANK(AE873,$AE$2:$AE$1001)+COUNTIF($AE$2:AE873,AE873)-1)</f>
        <v/>
      </c>
      <c r="AJ873" s="243" t="str">
        <f>IF($AD873&lt;0,COUNT($AJ$1:AJ872)+1,"")</f>
        <v/>
      </c>
      <c r="AL873" s="243" t="str">
        <f>'All Ticker P&amp;L'!A873</f>
        <v/>
      </c>
      <c r="AM873" s="243" t="str">
        <f>'All Ticker P&amp;L'!B873</f>
        <v/>
      </c>
      <c r="AN873" s="243" t="str">
        <f>'All Ticker P&amp;L'!C873</f>
        <v/>
      </c>
      <c r="AO873" s="243" t="str">
        <f>'All Ticker P&amp;L'!D873</f>
        <v/>
      </c>
      <c r="AP873" s="243">
        <f>IF($AL873="",0,'All Ticker P&amp;L'!E873)</f>
        <v>0</v>
      </c>
      <c r="AQ873" s="266">
        <f>IF($AL873="",0,'All Ticker P&amp;L'!J873*'All Ticker P&amp;L'!I873)</f>
        <v>0</v>
      </c>
      <c r="AR873" s="266">
        <f>IF($AL873="",0,'All Ticker P&amp;L'!L873)</f>
        <v>0</v>
      </c>
      <c r="AS873" s="267">
        <f>IF($AL873="",0,'All Ticker P&amp;L'!M873)</f>
        <v>0</v>
      </c>
      <c r="AT873" s="243" t="str">
        <f>IF($AL873="","",RANK(AR873,$AR$2:$AR$1001)+COUNTIF($AR$2:AR873,AR873)-1)</f>
        <v/>
      </c>
      <c r="AU873" s="243" t="str">
        <f>IF($AL873="","",RANK(AV873,$AV$2:$AV$1001)+COUNTIF($AV$2:AV873,AV873)-1)</f>
        <v/>
      </c>
      <c r="AV873" s="266">
        <f t="shared" si="58"/>
        <v>0</v>
      </c>
    </row>
    <row r="874" spans="26:48" ht="15" customHeight="1" x14ac:dyDescent="0.2">
      <c r="Z874" s="243" t="str">
        <f>Shares!A874</f>
        <v/>
      </c>
      <c r="AA874" s="243" t="str">
        <f>Shares!B874</f>
        <v/>
      </c>
      <c r="AB874" s="243" t="str">
        <f>Shares!C874</f>
        <v/>
      </c>
      <c r="AC874" s="243" t="str">
        <f>Shares!D874</f>
        <v/>
      </c>
      <c r="AD874" s="243">
        <f>IF($Z874="",0,Shares!E874)</f>
        <v>0</v>
      </c>
      <c r="AE874" s="266">
        <f>IF($Z874="",0,Shares!J874*Shares!I874)</f>
        <v>0</v>
      </c>
      <c r="AF874" s="267">
        <f t="shared" si="57"/>
        <v>0</v>
      </c>
      <c r="AG874" s="266">
        <f>IF($Z874="",0,Shares!L874)</f>
        <v>0</v>
      </c>
      <c r="AH874" s="267">
        <f>IF($Z874="",0,Shares!M874)</f>
        <v>0</v>
      </c>
      <c r="AI874" s="243" t="str">
        <f>IF($Z874="","",RANK(AE874,$AE$2:$AE$1001)+COUNTIF($AE$2:AE874,AE874)-1)</f>
        <v/>
      </c>
      <c r="AJ874" s="243" t="str">
        <f>IF($AD874&lt;0,COUNT($AJ$1:AJ873)+1,"")</f>
        <v/>
      </c>
      <c r="AL874" s="243" t="str">
        <f>'All Ticker P&amp;L'!A874</f>
        <v/>
      </c>
      <c r="AM874" s="243" t="str">
        <f>'All Ticker P&amp;L'!B874</f>
        <v/>
      </c>
      <c r="AN874" s="243" t="str">
        <f>'All Ticker P&amp;L'!C874</f>
        <v/>
      </c>
      <c r="AO874" s="243" t="str">
        <f>'All Ticker P&amp;L'!D874</f>
        <v/>
      </c>
      <c r="AP874" s="243">
        <f>IF($AL874="",0,'All Ticker P&amp;L'!E874)</f>
        <v>0</v>
      </c>
      <c r="AQ874" s="266">
        <f>IF($AL874="",0,'All Ticker P&amp;L'!J874*'All Ticker P&amp;L'!I874)</f>
        <v>0</v>
      </c>
      <c r="AR874" s="266">
        <f>IF($AL874="",0,'All Ticker P&amp;L'!L874)</f>
        <v>0</v>
      </c>
      <c r="AS874" s="267">
        <f>IF($AL874="",0,'All Ticker P&amp;L'!M874)</f>
        <v>0</v>
      </c>
      <c r="AT874" s="243" t="str">
        <f>IF($AL874="","",RANK(AR874,$AR$2:$AR$1001)+COUNTIF($AR$2:AR874,AR874)-1)</f>
        <v/>
      </c>
      <c r="AU874" s="243" t="str">
        <f>IF($AL874="","",RANK(AV874,$AV$2:$AV$1001)+COUNTIF($AV$2:AV874,AV874)-1)</f>
        <v/>
      </c>
      <c r="AV874" s="266">
        <f t="shared" si="58"/>
        <v>0</v>
      </c>
    </row>
    <row r="875" spans="26:48" ht="15" customHeight="1" x14ac:dyDescent="0.2">
      <c r="Z875" s="243" t="str">
        <f>Shares!A875</f>
        <v/>
      </c>
      <c r="AA875" s="243" t="str">
        <f>Shares!B875</f>
        <v/>
      </c>
      <c r="AB875" s="243" t="str">
        <f>Shares!C875</f>
        <v/>
      </c>
      <c r="AC875" s="243" t="str">
        <f>Shares!D875</f>
        <v/>
      </c>
      <c r="AD875" s="243">
        <f>IF($Z875="",0,Shares!E875)</f>
        <v>0</v>
      </c>
      <c r="AE875" s="266">
        <f>IF($Z875="",0,Shares!J875*Shares!I875)</f>
        <v>0</v>
      </c>
      <c r="AF875" s="267">
        <f t="shared" si="57"/>
        <v>0</v>
      </c>
      <c r="AG875" s="266">
        <f>IF($Z875="",0,Shares!L875)</f>
        <v>0</v>
      </c>
      <c r="AH875" s="267">
        <f>IF($Z875="",0,Shares!M875)</f>
        <v>0</v>
      </c>
      <c r="AI875" s="243" t="str">
        <f>IF($Z875="","",RANK(AE875,$AE$2:$AE$1001)+COUNTIF($AE$2:AE875,AE875)-1)</f>
        <v/>
      </c>
      <c r="AJ875" s="243" t="str">
        <f>IF($AD875&lt;0,COUNT($AJ$1:AJ874)+1,"")</f>
        <v/>
      </c>
      <c r="AL875" s="243" t="str">
        <f>'All Ticker P&amp;L'!A875</f>
        <v/>
      </c>
      <c r="AM875" s="243" t="str">
        <f>'All Ticker P&amp;L'!B875</f>
        <v/>
      </c>
      <c r="AN875" s="243" t="str">
        <f>'All Ticker P&amp;L'!C875</f>
        <v/>
      </c>
      <c r="AO875" s="243" t="str">
        <f>'All Ticker P&amp;L'!D875</f>
        <v/>
      </c>
      <c r="AP875" s="243">
        <f>IF($AL875="",0,'All Ticker P&amp;L'!E875)</f>
        <v>0</v>
      </c>
      <c r="AQ875" s="266">
        <f>IF($AL875="",0,'All Ticker P&amp;L'!J875*'All Ticker P&amp;L'!I875)</f>
        <v>0</v>
      </c>
      <c r="AR875" s="266">
        <f>IF($AL875="",0,'All Ticker P&amp;L'!L875)</f>
        <v>0</v>
      </c>
      <c r="AS875" s="267">
        <f>IF($AL875="",0,'All Ticker P&amp;L'!M875)</f>
        <v>0</v>
      </c>
      <c r="AT875" s="243" t="str">
        <f>IF($AL875="","",RANK(AR875,$AR$2:$AR$1001)+COUNTIF($AR$2:AR875,AR875)-1)</f>
        <v/>
      </c>
      <c r="AU875" s="243" t="str">
        <f>IF($AL875="","",RANK(AV875,$AV$2:$AV$1001)+COUNTIF($AV$2:AV875,AV875)-1)</f>
        <v/>
      </c>
      <c r="AV875" s="266">
        <f t="shared" si="58"/>
        <v>0</v>
      </c>
    </row>
    <row r="876" spans="26:48" ht="15" customHeight="1" x14ac:dyDescent="0.2">
      <c r="Z876" s="243" t="str">
        <f>Shares!A876</f>
        <v/>
      </c>
      <c r="AA876" s="243" t="str">
        <f>Shares!B876</f>
        <v/>
      </c>
      <c r="AB876" s="243" t="str">
        <f>Shares!C876</f>
        <v/>
      </c>
      <c r="AC876" s="243" t="str">
        <f>Shares!D876</f>
        <v/>
      </c>
      <c r="AD876" s="243">
        <f>IF($Z876="",0,Shares!E876)</f>
        <v>0</v>
      </c>
      <c r="AE876" s="266">
        <f>IF($Z876="",0,Shares!J876*Shares!I876)</f>
        <v>0</v>
      </c>
      <c r="AF876" s="267">
        <f t="shared" si="57"/>
        <v>0</v>
      </c>
      <c r="AG876" s="266">
        <f>IF($Z876="",0,Shares!L876)</f>
        <v>0</v>
      </c>
      <c r="AH876" s="267">
        <f>IF($Z876="",0,Shares!M876)</f>
        <v>0</v>
      </c>
      <c r="AI876" s="243" t="str">
        <f>IF($Z876="","",RANK(AE876,$AE$2:$AE$1001)+COUNTIF($AE$2:AE876,AE876)-1)</f>
        <v/>
      </c>
      <c r="AJ876" s="243" t="str">
        <f>IF($AD876&lt;0,COUNT($AJ$1:AJ875)+1,"")</f>
        <v/>
      </c>
      <c r="AL876" s="243" t="str">
        <f>'All Ticker P&amp;L'!A876</f>
        <v/>
      </c>
      <c r="AM876" s="243" t="str">
        <f>'All Ticker P&amp;L'!B876</f>
        <v/>
      </c>
      <c r="AN876" s="243" t="str">
        <f>'All Ticker P&amp;L'!C876</f>
        <v/>
      </c>
      <c r="AO876" s="243" t="str">
        <f>'All Ticker P&amp;L'!D876</f>
        <v/>
      </c>
      <c r="AP876" s="243">
        <f>IF($AL876="",0,'All Ticker P&amp;L'!E876)</f>
        <v>0</v>
      </c>
      <c r="AQ876" s="266">
        <f>IF($AL876="",0,'All Ticker P&amp;L'!J876*'All Ticker P&amp;L'!I876)</f>
        <v>0</v>
      </c>
      <c r="AR876" s="266">
        <f>IF($AL876="",0,'All Ticker P&amp;L'!L876)</f>
        <v>0</v>
      </c>
      <c r="AS876" s="267">
        <f>IF($AL876="",0,'All Ticker P&amp;L'!M876)</f>
        <v>0</v>
      </c>
      <c r="AT876" s="243" t="str">
        <f>IF($AL876="","",RANK(AR876,$AR$2:$AR$1001)+COUNTIF($AR$2:AR876,AR876)-1)</f>
        <v/>
      </c>
      <c r="AU876" s="243" t="str">
        <f>IF($AL876="","",RANK(AV876,$AV$2:$AV$1001)+COUNTIF($AV$2:AV876,AV876)-1)</f>
        <v/>
      </c>
      <c r="AV876" s="266">
        <f t="shared" si="58"/>
        <v>0</v>
      </c>
    </row>
    <row r="877" spans="26:48" ht="15" customHeight="1" x14ac:dyDescent="0.2">
      <c r="Z877" s="243" t="str">
        <f>Shares!A877</f>
        <v/>
      </c>
      <c r="AA877" s="243" t="str">
        <f>Shares!B877</f>
        <v/>
      </c>
      <c r="AB877" s="243" t="str">
        <f>Shares!C877</f>
        <v/>
      </c>
      <c r="AC877" s="243" t="str">
        <f>Shares!D877</f>
        <v/>
      </c>
      <c r="AD877" s="243">
        <f>IF($Z877="",0,Shares!E877)</f>
        <v>0</v>
      </c>
      <c r="AE877" s="266">
        <f>IF($Z877="",0,Shares!J877*Shares!I877)</f>
        <v>0</v>
      </c>
      <c r="AF877" s="267">
        <f t="shared" si="57"/>
        <v>0</v>
      </c>
      <c r="AG877" s="266">
        <f>IF($Z877="",0,Shares!L877)</f>
        <v>0</v>
      </c>
      <c r="AH877" s="267">
        <f>IF($Z877="",0,Shares!M877)</f>
        <v>0</v>
      </c>
      <c r="AI877" s="243" t="str">
        <f>IF($Z877="","",RANK(AE877,$AE$2:$AE$1001)+COUNTIF($AE$2:AE877,AE877)-1)</f>
        <v/>
      </c>
      <c r="AJ877" s="243" t="str">
        <f>IF($AD877&lt;0,COUNT($AJ$1:AJ876)+1,"")</f>
        <v/>
      </c>
      <c r="AL877" s="243" t="str">
        <f>'All Ticker P&amp;L'!A877</f>
        <v/>
      </c>
      <c r="AM877" s="243" t="str">
        <f>'All Ticker P&amp;L'!B877</f>
        <v/>
      </c>
      <c r="AN877" s="243" t="str">
        <f>'All Ticker P&amp;L'!C877</f>
        <v/>
      </c>
      <c r="AO877" s="243" t="str">
        <f>'All Ticker P&amp;L'!D877</f>
        <v/>
      </c>
      <c r="AP877" s="243">
        <f>IF($AL877="",0,'All Ticker P&amp;L'!E877)</f>
        <v>0</v>
      </c>
      <c r="AQ877" s="266">
        <f>IF($AL877="",0,'All Ticker P&amp;L'!J877*'All Ticker P&amp;L'!I877)</f>
        <v>0</v>
      </c>
      <c r="AR877" s="266">
        <f>IF($AL877="",0,'All Ticker P&amp;L'!L877)</f>
        <v>0</v>
      </c>
      <c r="AS877" s="267">
        <f>IF($AL877="",0,'All Ticker P&amp;L'!M877)</f>
        <v>0</v>
      </c>
      <c r="AT877" s="243" t="str">
        <f>IF($AL877="","",RANK(AR877,$AR$2:$AR$1001)+COUNTIF($AR$2:AR877,AR877)-1)</f>
        <v/>
      </c>
      <c r="AU877" s="243" t="str">
        <f>IF($AL877="","",RANK(AV877,$AV$2:$AV$1001)+COUNTIF($AV$2:AV877,AV877)-1)</f>
        <v/>
      </c>
      <c r="AV877" s="266">
        <f t="shared" si="58"/>
        <v>0</v>
      </c>
    </row>
    <row r="878" spans="26:48" ht="15" customHeight="1" x14ac:dyDescent="0.2">
      <c r="Z878" s="243" t="str">
        <f>Shares!A878</f>
        <v/>
      </c>
      <c r="AA878" s="243" t="str">
        <f>Shares!B878</f>
        <v/>
      </c>
      <c r="AB878" s="243" t="str">
        <f>Shares!C878</f>
        <v/>
      </c>
      <c r="AC878" s="243" t="str">
        <f>Shares!D878</f>
        <v/>
      </c>
      <c r="AD878" s="243">
        <f>IF($Z878="",0,Shares!E878)</f>
        <v>0</v>
      </c>
      <c r="AE878" s="266">
        <f>IF($Z878="",0,Shares!J878*Shares!I878)</f>
        <v>0</v>
      </c>
      <c r="AF878" s="267">
        <f t="shared" si="57"/>
        <v>0</v>
      </c>
      <c r="AG878" s="266">
        <f>IF($Z878="",0,Shares!L878)</f>
        <v>0</v>
      </c>
      <c r="AH878" s="267">
        <f>IF($Z878="",0,Shares!M878)</f>
        <v>0</v>
      </c>
      <c r="AI878" s="243" t="str">
        <f>IF($Z878="","",RANK(AE878,$AE$2:$AE$1001)+COUNTIF($AE$2:AE878,AE878)-1)</f>
        <v/>
      </c>
      <c r="AJ878" s="243" t="str">
        <f>IF($AD878&lt;0,COUNT($AJ$1:AJ877)+1,"")</f>
        <v/>
      </c>
      <c r="AL878" s="243" t="str">
        <f>'All Ticker P&amp;L'!A878</f>
        <v/>
      </c>
      <c r="AM878" s="243" t="str">
        <f>'All Ticker P&amp;L'!B878</f>
        <v/>
      </c>
      <c r="AN878" s="243" t="str">
        <f>'All Ticker P&amp;L'!C878</f>
        <v/>
      </c>
      <c r="AO878" s="243" t="str">
        <f>'All Ticker P&amp;L'!D878</f>
        <v/>
      </c>
      <c r="AP878" s="243">
        <f>IF($AL878="",0,'All Ticker P&amp;L'!E878)</f>
        <v>0</v>
      </c>
      <c r="AQ878" s="266">
        <f>IF($AL878="",0,'All Ticker P&amp;L'!J878*'All Ticker P&amp;L'!I878)</f>
        <v>0</v>
      </c>
      <c r="AR878" s="266">
        <f>IF($AL878="",0,'All Ticker P&amp;L'!L878)</f>
        <v>0</v>
      </c>
      <c r="AS878" s="267">
        <f>IF($AL878="",0,'All Ticker P&amp;L'!M878)</f>
        <v>0</v>
      </c>
      <c r="AT878" s="243" t="str">
        <f>IF($AL878="","",RANK(AR878,$AR$2:$AR$1001)+COUNTIF($AR$2:AR878,AR878)-1)</f>
        <v/>
      </c>
      <c r="AU878" s="243" t="str">
        <f>IF($AL878="","",RANK(AV878,$AV$2:$AV$1001)+COUNTIF($AV$2:AV878,AV878)-1)</f>
        <v/>
      </c>
      <c r="AV878" s="266">
        <f t="shared" si="58"/>
        <v>0</v>
      </c>
    </row>
    <row r="879" spans="26:48" ht="15" customHeight="1" x14ac:dyDescent="0.2">
      <c r="Z879" s="243" t="str">
        <f>Shares!A879</f>
        <v/>
      </c>
      <c r="AA879" s="243" t="str">
        <f>Shares!B879</f>
        <v/>
      </c>
      <c r="AB879" s="243" t="str">
        <f>Shares!C879</f>
        <v/>
      </c>
      <c r="AC879" s="243" t="str">
        <f>Shares!D879</f>
        <v/>
      </c>
      <c r="AD879" s="243">
        <f>IF($Z879="",0,Shares!E879)</f>
        <v>0</v>
      </c>
      <c r="AE879" s="266">
        <f>IF($Z879="",0,Shares!J879*Shares!I879)</f>
        <v>0</v>
      </c>
      <c r="AF879" s="267">
        <f t="shared" si="57"/>
        <v>0</v>
      </c>
      <c r="AG879" s="266">
        <f>IF($Z879="",0,Shares!L879)</f>
        <v>0</v>
      </c>
      <c r="AH879" s="267">
        <f>IF($Z879="",0,Shares!M879)</f>
        <v>0</v>
      </c>
      <c r="AI879" s="243" t="str">
        <f>IF($Z879="","",RANK(AE879,$AE$2:$AE$1001)+COUNTIF($AE$2:AE879,AE879)-1)</f>
        <v/>
      </c>
      <c r="AJ879" s="243" t="str">
        <f>IF($AD879&lt;0,COUNT($AJ$1:AJ878)+1,"")</f>
        <v/>
      </c>
      <c r="AL879" s="243" t="str">
        <f>'All Ticker P&amp;L'!A879</f>
        <v/>
      </c>
      <c r="AM879" s="243" t="str">
        <f>'All Ticker P&amp;L'!B879</f>
        <v/>
      </c>
      <c r="AN879" s="243" t="str">
        <f>'All Ticker P&amp;L'!C879</f>
        <v/>
      </c>
      <c r="AO879" s="243" t="str">
        <f>'All Ticker P&amp;L'!D879</f>
        <v/>
      </c>
      <c r="AP879" s="243">
        <f>IF($AL879="",0,'All Ticker P&amp;L'!E879)</f>
        <v>0</v>
      </c>
      <c r="AQ879" s="266">
        <f>IF($AL879="",0,'All Ticker P&amp;L'!J879*'All Ticker P&amp;L'!I879)</f>
        <v>0</v>
      </c>
      <c r="AR879" s="266">
        <f>IF($AL879="",0,'All Ticker P&amp;L'!L879)</f>
        <v>0</v>
      </c>
      <c r="AS879" s="267">
        <f>IF($AL879="",0,'All Ticker P&amp;L'!M879)</f>
        <v>0</v>
      </c>
      <c r="AT879" s="243" t="str">
        <f>IF($AL879="","",RANK(AR879,$AR$2:$AR$1001)+COUNTIF($AR$2:AR879,AR879)-1)</f>
        <v/>
      </c>
      <c r="AU879" s="243" t="str">
        <f>IF($AL879="","",RANK(AV879,$AV$2:$AV$1001)+COUNTIF($AV$2:AV879,AV879)-1)</f>
        <v/>
      </c>
      <c r="AV879" s="266">
        <f t="shared" si="58"/>
        <v>0</v>
      </c>
    </row>
    <row r="880" spans="26:48" ht="15" customHeight="1" x14ac:dyDescent="0.2">
      <c r="Z880" s="243" t="str">
        <f>Shares!A880</f>
        <v/>
      </c>
      <c r="AA880" s="243" t="str">
        <f>Shares!B880</f>
        <v/>
      </c>
      <c r="AB880" s="243" t="str">
        <f>Shares!C880</f>
        <v/>
      </c>
      <c r="AC880" s="243" t="str">
        <f>Shares!D880</f>
        <v/>
      </c>
      <c r="AD880" s="243">
        <f>IF($Z880="",0,Shares!E880)</f>
        <v>0</v>
      </c>
      <c r="AE880" s="266">
        <f>IF($Z880="",0,Shares!J880*Shares!I880)</f>
        <v>0</v>
      </c>
      <c r="AF880" s="267">
        <f t="shared" si="57"/>
        <v>0</v>
      </c>
      <c r="AG880" s="266">
        <f>IF($Z880="",0,Shares!L880)</f>
        <v>0</v>
      </c>
      <c r="AH880" s="267">
        <f>IF($Z880="",0,Shares!M880)</f>
        <v>0</v>
      </c>
      <c r="AI880" s="243" t="str">
        <f>IF($Z880="","",RANK(AE880,$AE$2:$AE$1001)+COUNTIF($AE$2:AE880,AE880)-1)</f>
        <v/>
      </c>
      <c r="AJ880" s="243" t="str">
        <f>IF($AD880&lt;0,COUNT($AJ$1:AJ879)+1,"")</f>
        <v/>
      </c>
      <c r="AL880" s="243" t="str">
        <f>'All Ticker P&amp;L'!A880</f>
        <v/>
      </c>
      <c r="AM880" s="243" t="str">
        <f>'All Ticker P&amp;L'!B880</f>
        <v/>
      </c>
      <c r="AN880" s="243" t="str">
        <f>'All Ticker P&amp;L'!C880</f>
        <v/>
      </c>
      <c r="AO880" s="243" t="str">
        <f>'All Ticker P&amp;L'!D880</f>
        <v/>
      </c>
      <c r="AP880" s="243">
        <f>IF($AL880="",0,'All Ticker P&amp;L'!E880)</f>
        <v>0</v>
      </c>
      <c r="AQ880" s="266">
        <f>IF($AL880="",0,'All Ticker P&amp;L'!J880*'All Ticker P&amp;L'!I880)</f>
        <v>0</v>
      </c>
      <c r="AR880" s="266">
        <f>IF($AL880="",0,'All Ticker P&amp;L'!L880)</f>
        <v>0</v>
      </c>
      <c r="AS880" s="267">
        <f>IF($AL880="",0,'All Ticker P&amp;L'!M880)</f>
        <v>0</v>
      </c>
      <c r="AT880" s="243" t="str">
        <f>IF($AL880="","",RANK(AR880,$AR$2:$AR$1001)+COUNTIF($AR$2:AR880,AR880)-1)</f>
        <v/>
      </c>
      <c r="AU880" s="243" t="str">
        <f>IF($AL880="","",RANK(AV880,$AV$2:$AV$1001)+COUNTIF($AV$2:AV880,AV880)-1)</f>
        <v/>
      </c>
      <c r="AV880" s="266">
        <f t="shared" si="58"/>
        <v>0</v>
      </c>
    </row>
    <row r="881" spans="26:48" ht="15" customHeight="1" x14ac:dyDescent="0.2">
      <c r="Z881" s="243" t="str">
        <f>Shares!A881</f>
        <v/>
      </c>
      <c r="AA881" s="243" t="str">
        <f>Shares!B881</f>
        <v/>
      </c>
      <c r="AB881" s="243" t="str">
        <f>Shares!C881</f>
        <v/>
      </c>
      <c r="AC881" s="243" t="str">
        <f>Shares!D881</f>
        <v/>
      </c>
      <c r="AD881" s="243">
        <f>IF($Z881="",0,Shares!E881)</f>
        <v>0</v>
      </c>
      <c r="AE881" s="266">
        <f>IF($Z881="",0,Shares!J881*Shares!I881)</f>
        <v>0</v>
      </c>
      <c r="AF881" s="267">
        <f t="shared" si="57"/>
        <v>0</v>
      </c>
      <c r="AG881" s="266">
        <f>IF($Z881="",0,Shares!L881)</f>
        <v>0</v>
      </c>
      <c r="AH881" s="267">
        <f>IF($Z881="",0,Shares!M881)</f>
        <v>0</v>
      </c>
      <c r="AI881" s="243" t="str">
        <f>IF($Z881="","",RANK(AE881,$AE$2:$AE$1001)+COUNTIF($AE$2:AE881,AE881)-1)</f>
        <v/>
      </c>
      <c r="AJ881" s="243" t="str">
        <f>IF($AD881&lt;0,COUNT($AJ$1:AJ880)+1,"")</f>
        <v/>
      </c>
      <c r="AL881" s="243" t="str">
        <f>'All Ticker P&amp;L'!A881</f>
        <v/>
      </c>
      <c r="AM881" s="243" t="str">
        <f>'All Ticker P&amp;L'!B881</f>
        <v/>
      </c>
      <c r="AN881" s="243" t="str">
        <f>'All Ticker P&amp;L'!C881</f>
        <v/>
      </c>
      <c r="AO881" s="243" t="str">
        <f>'All Ticker P&amp;L'!D881</f>
        <v/>
      </c>
      <c r="AP881" s="243">
        <f>IF($AL881="",0,'All Ticker P&amp;L'!E881)</f>
        <v>0</v>
      </c>
      <c r="AQ881" s="266">
        <f>IF($AL881="",0,'All Ticker P&amp;L'!J881*'All Ticker P&amp;L'!I881)</f>
        <v>0</v>
      </c>
      <c r="AR881" s="266">
        <f>IF($AL881="",0,'All Ticker P&amp;L'!L881)</f>
        <v>0</v>
      </c>
      <c r="AS881" s="267">
        <f>IF($AL881="",0,'All Ticker P&amp;L'!M881)</f>
        <v>0</v>
      </c>
      <c r="AT881" s="243" t="str">
        <f>IF($AL881="","",RANK(AR881,$AR$2:$AR$1001)+COUNTIF($AR$2:AR881,AR881)-1)</f>
        <v/>
      </c>
      <c r="AU881" s="243" t="str">
        <f>IF($AL881="","",RANK(AV881,$AV$2:$AV$1001)+COUNTIF($AV$2:AV881,AV881)-1)</f>
        <v/>
      </c>
      <c r="AV881" s="266">
        <f t="shared" si="58"/>
        <v>0</v>
      </c>
    </row>
    <row r="882" spans="26:48" ht="15" customHeight="1" x14ac:dyDescent="0.2">
      <c r="Z882" s="243" t="str">
        <f>Shares!A882</f>
        <v/>
      </c>
      <c r="AA882" s="243" t="str">
        <f>Shares!B882</f>
        <v/>
      </c>
      <c r="AB882" s="243" t="str">
        <f>Shares!C882</f>
        <v/>
      </c>
      <c r="AC882" s="243" t="str">
        <f>Shares!D882</f>
        <v/>
      </c>
      <c r="AD882" s="243">
        <f>IF($Z882="",0,Shares!E882)</f>
        <v>0</v>
      </c>
      <c r="AE882" s="266">
        <f>IF($Z882="",0,Shares!J882*Shares!I882)</f>
        <v>0</v>
      </c>
      <c r="AF882" s="267">
        <f t="shared" si="57"/>
        <v>0</v>
      </c>
      <c r="AG882" s="266">
        <f>IF($Z882="",0,Shares!L882)</f>
        <v>0</v>
      </c>
      <c r="AH882" s="267">
        <f>IF($Z882="",0,Shares!M882)</f>
        <v>0</v>
      </c>
      <c r="AI882" s="243" t="str">
        <f>IF($Z882="","",RANK(AE882,$AE$2:$AE$1001)+COUNTIF($AE$2:AE882,AE882)-1)</f>
        <v/>
      </c>
      <c r="AJ882" s="243" t="str">
        <f>IF($AD882&lt;0,COUNT($AJ$1:AJ881)+1,"")</f>
        <v/>
      </c>
      <c r="AL882" s="243" t="str">
        <f>'All Ticker P&amp;L'!A882</f>
        <v/>
      </c>
      <c r="AM882" s="243" t="str">
        <f>'All Ticker P&amp;L'!B882</f>
        <v/>
      </c>
      <c r="AN882" s="243" t="str">
        <f>'All Ticker P&amp;L'!C882</f>
        <v/>
      </c>
      <c r="AO882" s="243" t="str">
        <f>'All Ticker P&amp;L'!D882</f>
        <v/>
      </c>
      <c r="AP882" s="243">
        <f>IF($AL882="",0,'All Ticker P&amp;L'!E882)</f>
        <v>0</v>
      </c>
      <c r="AQ882" s="266">
        <f>IF($AL882="",0,'All Ticker P&amp;L'!J882*'All Ticker P&amp;L'!I882)</f>
        <v>0</v>
      </c>
      <c r="AR882" s="266">
        <f>IF($AL882="",0,'All Ticker P&amp;L'!L882)</f>
        <v>0</v>
      </c>
      <c r="AS882" s="267">
        <f>IF($AL882="",0,'All Ticker P&amp;L'!M882)</f>
        <v>0</v>
      </c>
      <c r="AT882" s="243" t="str">
        <f>IF($AL882="","",RANK(AR882,$AR$2:$AR$1001)+COUNTIF($AR$2:AR882,AR882)-1)</f>
        <v/>
      </c>
      <c r="AU882" s="243" t="str">
        <f>IF($AL882="","",RANK(AV882,$AV$2:$AV$1001)+COUNTIF($AV$2:AV882,AV882)-1)</f>
        <v/>
      </c>
      <c r="AV882" s="266">
        <f t="shared" si="58"/>
        <v>0</v>
      </c>
    </row>
    <row r="883" spans="26:48" ht="15" customHeight="1" x14ac:dyDescent="0.2">
      <c r="Z883" s="243" t="str">
        <f>Shares!A883</f>
        <v/>
      </c>
      <c r="AA883" s="243" t="str">
        <f>Shares!B883</f>
        <v/>
      </c>
      <c r="AB883" s="243" t="str">
        <f>Shares!C883</f>
        <v/>
      </c>
      <c r="AC883" s="243" t="str">
        <f>Shares!D883</f>
        <v/>
      </c>
      <c r="AD883" s="243">
        <f>IF($Z883="",0,Shares!E883)</f>
        <v>0</v>
      </c>
      <c r="AE883" s="266">
        <f>IF($Z883="",0,Shares!J883*Shares!I883)</f>
        <v>0</v>
      </c>
      <c r="AF883" s="267">
        <f t="shared" si="57"/>
        <v>0</v>
      </c>
      <c r="AG883" s="266">
        <f>IF($Z883="",0,Shares!L883)</f>
        <v>0</v>
      </c>
      <c r="AH883" s="267">
        <f>IF($Z883="",0,Shares!M883)</f>
        <v>0</v>
      </c>
      <c r="AI883" s="243" t="str">
        <f>IF($Z883="","",RANK(AE883,$AE$2:$AE$1001)+COUNTIF($AE$2:AE883,AE883)-1)</f>
        <v/>
      </c>
      <c r="AJ883" s="243" t="str">
        <f>IF($AD883&lt;0,COUNT($AJ$1:AJ882)+1,"")</f>
        <v/>
      </c>
      <c r="AL883" s="243" t="str">
        <f>'All Ticker P&amp;L'!A883</f>
        <v/>
      </c>
      <c r="AM883" s="243" t="str">
        <f>'All Ticker P&amp;L'!B883</f>
        <v/>
      </c>
      <c r="AN883" s="243" t="str">
        <f>'All Ticker P&amp;L'!C883</f>
        <v/>
      </c>
      <c r="AO883" s="243" t="str">
        <f>'All Ticker P&amp;L'!D883</f>
        <v/>
      </c>
      <c r="AP883" s="243">
        <f>IF($AL883="",0,'All Ticker P&amp;L'!E883)</f>
        <v>0</v>
      </c>
      <c r="AQ883" s="266">
        <f>IF($AL883="",0,'All Ticker P&amp;L'!J883*'All Ticker P&amp;L'!I883)</f>
        <v>0</v>
      </c>
      <c r="AR883" s="266">
        <f>IF($AL883="",0,'All Ticker P&amp;L'!L883)</f>
        <v>0</v>
      </c>
      <c r="AS883" s="267">
        <f>IF($AL883="",0,'All Ticker P&amp;L'!M883)</f>
        <v>0</v>
      </c>
      <c r="AT883" s="243" t="str">
        <f>IF($AL883="","",RANK(AR883,$AR$2:$AR$1001)+COUNTIF($AR$2:AR883,AR883)-1)</f>
        <v/>
      </c>
      <c r="AU883" s="243" t="str">
        <f>IF($AL883="","",RANK(AV883,$AV$2:$AV$1001)+COUNTIF($AV$2:AV883,AV883)-1)</f>
        <v/>
      </c>
      <c r="AV883" s="266">
        <f t="shared" si="58"/>
        <v>0</v>
      </c>
    </row>
    <row r="884" spans="26:48" ht="15" customHeight="1" x14ac:dyDescent="0.2">
      <c r="Z884" s="243" t="str">
        <f>Shares!A884</f>
        <v/>
      </c>
      <c r="AA884" s="243" t="str">
        <f>Shares!B884</f>
        <v/>
      </c>
      <c r="AB884" s="243" t="str">
        <f>Shares!C884</f>
        <v/>
      </c>
      <c r="AC884" s="243" t="str">
        <f>Shares!D884</f>
        <v/>
      </c>
      <c r="AD884" s="243">
        <f>IF($Z884="",0,Shares!E884)</f>
        <v>0</v>
      </c>
      <c r="AE884" s="266">
        <f>IF($Z884="",0,Shares!J884*Shares!I884)</f>
        <v>0</v>
      </c>
      <c r="AF884" s="267">
        <f t="shared" si="57"/>
        <v>0</v>
      </c>
      <c r="AG884" s="266">
        <f>IF($Z884="",0,Shares!L884)</f>
        <v>0</v>
      </c>
      <c r="AH884" s="267">
        <f>IF($Z884="",0,Shares!M884)</f>
        <v>0</v>
      </c>
      <c r="AI884" s="243" t="str">
        <f>IF($Z884="","",RANK(AE884,$AE$2:$AE$1001)+COUNTIF($AE$2:AE884,AE884)-1)</f>
        <v/>
      </c>
      <c r="AJ884" s="243" t="str">
        <f>IF($AD884&lt;0,COUNT($AJ$1:AJ883)+1,"")</f>
        <v/>
      </c>
      <c r="AL884" s="243" t="str">
        <f>'All Ticker P&amp;L'!A884</f>
        <v/>
      </c>
      <c r="AM884" s="243" t="str">
        <f>'All Ticker P&amp;L'!B884</f>
        <v/>
      </c>
      <c r="AN884" s="243" t="str">
        <f>'All Ticker P&amp;L'!C884</f>
        <v/>
      </c>
      <c r="AO884" s="243" t="str">
        <f>'All Ticker P&amp;L'!D884</f>
        <v/>
      </c>
      <c r="AP884" s="243">
        <f>IF($AL884="",0,'All Ticker P&amp;L'!E884)</f>
        <v>0</v>
      </c>
      <c r="AQ884" s="266">
        <f>IF($AL884="",0,'All Ticker P&amp;L'!J884*'All Ticker P&amp;L'!I884)</f>
        <v>0</v>
      </c>
      <c r="AR884" s="266">
        <f>IF($AL884="",0,'All Ticker P&amp;L'!L884)</f>
        <v>0</v>
      </c>
      <c r="AS884" s="267">
        <f>IF($AL884="",0,'All Ticker P&amp;L'!M884)</f>
        <v>0</v>
      </c>
      <c r="AT884" s="243" t="str">
        <f>IF($AL884="","",RANK(AR884,$AR$2:$AR$1001)+COUNTIF($AR$2:AR884,AR884)-1)</f>
        <v/>
      </c>
      <c r="AU884" s="243" t="str">
        <f>IF($AL884="","",RANK(AV884,$AV$2:$AV$1001)+COUNTIF($AV$2:AV884,AV884)-1)</f>
        <v/>
      </c>
      <c r="AV884" s="266">
        <f t="shared" si="58"/>
        <v>0</v>
      </c>
    </row>
    <row r="885" spans="26:48" ht="15" customHeight="1" x14ac:dyDescent="0.2">
      <c r="Z885" s="243" t="str">
        <f>Shares!A885</f>
        <v/>
      </c>
      <c r="AA885" s="243" t="str">
        <f>Shares!B885</f>
        <v/>
      </c>
      <c r="AB885" s="243" t="str">
        <f>Shares!C885</f>
        <v/>
      </c>
      <c r="AC885" s="243" t="str">
        <f>Shares!D885</f>
        <v/>
      </c>
      <c r="AD885" s="243">
        <f>IF($Z885="",0,Shares!E885)</f>
        <v>0</v>
      </c>
      <c r="AE885" s="266">
        <f>IF($Z885="",0,Shares!J885*Shares!I885)</f>
        <v>0</v>
      </c>
      <c r="AF885" s="267">
        <f t="shared" si="57"/>
        <v>0</v>
      </c>
      <c r="AG885" s="266">
        <f>IF($Z885="",0,Shares!L885)</f>
        <v>0</v>
      </c>
      <c r="AH885" s="267">
        <f>IF($Z885="",0,Shares!M885)</f>
        <v>0</v>
      </c>
      <c r="AI885" s="243" t="str">
        <f>IF($Z885="","",RANK(AE885,$AE$2:$AE$1001)+COUNTIF($AE$2:AE885,AE885)-1)</f>
        <v/>
      </c>
      <c r="AJ885" s="243" t="str">
        <f>IF($AD885&lt;0,COUNT($AJ$1:AJ884)+1,"")</f>
        <v/>
      </c>
      <c r="AL885" s="243" t="str">
        <f>'All Ticker P&amp;L'!A885</f>
        <v/>
      </c>
      <c r="AM885" s="243" t="str">
        <f>'All Ticker P&amp;L'!B885</f>
        <v/>
      </c>
      <c r="AN885" s="243" t="str">
        <f>'All Ticker P&amp;L'!C885</f>
        <v/>
      </c>
      <c r="AO885" s="243" t="str">
        <f>'All Ticker P&amp;L'!D885</f>
        <v/>
      </c>
      <c r="AP885" s="243">
        <f>IF($AL885="",0,'All Ticker P&amp;L'!E885)</f>
        <v>0</v>
      </c>
      <c r="AQ885" s="266">
        <f>IF($AL885="",0,'All Ticker P&amp;L'!J885*'All Ticker P&amp;L'!I885)</f>
        <v>0</v>
      </c>
      <c r="AR885" s="266">
        <f>IF($AL885="",0,'All Ticker P&amp;L'!L885)</f>
        <v>0</v>
      </c>
      <c r="AS885" s="267">
        <f>IF($AL885="",0,'All Ticker P&amp;L'!M885)</f>
        <v>0</v>
      </c>
      <c r="AT885" s="243" t="str">
        <f>IF($AL885="","",RANK(AR885,$AR$2:$AR$1001)+COUNTIF($AR$2:AR885,AR885)-1)</f>
        <v/>
      </c>
      <c r="AU885" s="243" t="str">
        <f>IF($AL885="","",RANK(AV885,$AV$2:$AV$1001)+COUNTIF($AV$2:AV885,AV885)-1)</f>
        <v/>
      </c>
      <c r="AV885" s="266">
        <f t="shared" si="58"/>
        <v>0</v>
      </c>
    </row>
    <row r="886" spans="26:48" ht="15" customHeight="1" x14ac:dyDescent="0.2">
      <c r="Z886" s="243" t="str">
        <f>Shares!A886</f>
        <v/>
      </c>
      <c r="AA886" s="243" t="str">
        <f>Shares!B886</f>
        <v/>
      </c>
      <c r="AB886" s="243" t="str">
        <f>Shares!C886</f>
        <v/>
      </c>
      <c r="AC886" s="243" t="str">
        <f>Shares!D886</f>
        <v/>
      </c>
      <c r="AD886" s="243">
        <f>IF($Z886="",0,Shares!E886)</f>
        <v>0</v>
      </c>
      <c r="AE886" s="266">
        <f>IF($Z886="",0,Shares!J886*Shares!I886)</f>
        <v>0</v>
      </c>
      <c r="AF886" s="267">
        <f t="shared" si="57"/>
        <v>0</v>
      </c>
      <c r="AG886" s="266">
        <f>IF($Z886="",0,Shares!L886)</f>
        <v>0</v>
      </c>
      <c r="AH886" s="267">
        <f>IF($Z886="",0,Shares!M886)</f>
        <v>0</v>
      </c>
      <c r="AI886" s="243" t="str">
        <f>IF($Z886="","",RANK(AE886,$AE$2:$AE$1001)+COUNTIF($AE$2:AE886,AE886)-1)</f>
        <v/>
      </c>
      <c r="AJ886" s="243" t="str">
        <f>IF($AD886&lt;0,COUNT($AJ$1:AJ885)+1,"")</f>
        <v/>
      </c>
      <c r="AL886" s="243" t="str">
        <f>'All Ticker P&amp;L'!A886</f>
        <v/>
      </c>
      <c r="AM886" s="243" t="str">
        <f>'All Ticker P&amp;L'!B886</f>
        <v/>
      </c>
      <c r="AN886" s="243" t="str">
        <f>'All Ticker P&amp;L'!C886</f>
        <v/>
      </c>
      <c r="AO886" s="243" t="str">
        <f>'All Ticker P&amp;L'!D886</f>
        <v/>
      </c>
      <c r="AP886" s="243">
        <f>IF($AL886="",0,'All Ticker P&amp;L'!E886)</f>
        <v>0</v>
      </c>
      <c r="AQ886" s="266">
        <f>IF($AL886="",0,'All Ticker P&amp;L'!J886*'All Ticker P&amp;L'!I886)</f>
        <v>0</v>
      </c>
      <c r="AR886" s="266">
        <f>IF($AL886="",0,'All Ticker P&amp;L'!L886)</f>
        <v>0</v>
      </c>
      <c r="AS886" s="267">
        <f>IF($AL886="",0,'All Ticker P&amp;L'!M886)</f>
        <v>0</v>
      </c>
      <c r="AT886" s="243" t="str">
        <f>IF($AL886="","",RANK(AR886,$AR$2:$AR$1001)+COUNTIF($AR$2:AR886,AR886)-1)</f>
        <v/>
      </c>
      <c r="AU886" s="243" t="str">
        <f>IF($AL886="","",RANK(AV886,$AV$2:$AV$1001)+COUNTIF($AV$2:AV886,AV886)-1)</f>
        <v/>
      </c>
      <c r="AV886" s="266">
        <f t="shared" si="58"/>
        <v>0</v>
      </c>
    </row>
    <row r="887" spans="26:48" ht="15" customHeight="1" x14ac:dyDescent="0.2">
      <c r="Z887" s="243" t="str">
        <f>Shares!A887</f>
        <v/>
      </c>
      <c r="AA887" s="243" t="str">
        <f>Shares!B887</f>
        <v/>
      </c>
      <c r="AB887" s="243" t="str">
        <f>Shares!C887</f>
        <v/>
      </c>
      <c r="AC887" s="243" t="str">
        <f>Shares!D887</f>
        <v/>
      </c>
      <c r="AD887" s="243">
        <f>IF($Z887="",0,Shares!E887)</f>
        <v>0</v>
      </c>
      <c r="AE887" s="266">
        <f>IF($Z887="",0,Shares!J887*Shares!I887)</f>
        <v>0</v>
      </c>
      <c r="AF887" s="267">
        <f t="shared" si="57"/>
        <v>0</v>
      </c>
      <c r="AG887" s="266">
        <f>IF($Z887="",0,Shares!L887)</f>
        <v>0</v>
      </c>
      <c r="AH887" s="267">
        <f>IF($Z887="",0,Shares!M887)</f>
        <v>0</v>
      </c>
      <c r="AI887" s="243" t="str">
        <f>IF($Z887="","",RANK(AE887,$AE$2:$AE$1001)+COUNTIF($AE$2:AE887,AE887)-1)</f>
        <v/>
      </c>
      <c r="AJ887" s="243" t="str">
        <f>IF($AD887&lt;0,COUNT($AJ$1:AJ886)+1,"")</f>
        <v/>
      </c>
      <c r="AL887" s="243" t="str">
        <f>'All Ticker P&amp;L'!A887</f>
        <v/>
      </c>
      <c r="AM887" s="243" t="str">
        <f>'All Ticker P&amp;L'!B887</f>
        <v/>
      </c>
      <c r="AN887" s="243" t="str">
        <f>'All Ticker P&amp;L'!C887</f>
        <v/>
      </c>
      <c r="AO887" s="243" t="str">
        <f>'All Ticker P&amp;L'!D887</f>
        <v/>
      </c>
      <c r="AP887" s="243">
        <f>IF($AL887="",0,'All Ticker P&amp;L'!E887)</f>
        <v>0</v>
      </c>
      <c r="AQ887" s="266">
        <f>IF($AL887="",0,'All Ticker P&amp;L'!J887*'All Ticker P&amp;L'!I887)</f>
        <v>0</v>
      </c>
      <c r="AR887" s="266">
        <f>IF($AL887="",0,'All Ticker P&amp;L'!L887)</f>
        <v>0</v>
      </c>
      <c r="AS887" s="267">
        <f>IF($AL887="",0,'All Ticker P&amp;L'!M887)</f>
        <v>0</v>
      </c>
      <c r="AT887" s="243" t="str">
        <f>IF($AL887="","",RANK(AR887,$AR$2:$AR$1001)+COUNTIF($AR$2:AR887,AR887)-1)</f>
        <v/>
      </c>
      <c r="AU887" s="243" t="str">
        <f>IF($AL887="","",RANK(AV887,$AV$2:$AV$1001)+COUNTIF($AV$2:AV887,AV887)-1)</f>
        <v/>
      </c>
      <c r="AV887" s="266">
        <f t="shared" si="58"/>
        <v>0</v>
      </c>
    </row>
    <row r="888" spans="26:48" ht="15" customHeight="1" x14ac:dyDescent="0.2">
      <c r="Z888" s="243" t="str">
        <f>Shares!A888</f>
        <v/>
      </c>
      <c r="AA888" s="243" t="str">
        <f>Shares!B888</f>
        <v/>
      </c>
      <c r="AB888" s="243" t="str">
        <f>Shares!C888</f>
        <v/>
      </c>
      <c r="AC888" s="243" t="str">
        <f>Shares!D888</f>
        <v/>
      </c>
      <c r="AD888" s="243">
        <f>IF($Z888="",0,Shares!E888)</f>
        <v>0</v>
      </c>
      <c r="AE888" s="266">
        <f>IF($Z888="",0,Shares!J888*Shares!I888)</f>
        <v>0</v>
      </c>
      <c r="AF888" s="267">
        <f t="shared" si="57"/>
        <v>0</v>
      </c>
      <c r="AG888" s="266">
        <f>IF($Z888="",0,Shares!L888)</f>
        <v>0</v>
      </c>
      <c r="AH888" s="267">
        <f>IF($Z888="",0,Shares!M888)</f>
        <v>0</v>
      </c>
      <c r="AI888" s="243" t="str">
        <f>IF($Z888="","",RANK(AE888,$AE$2:$AE$1001)+COUNTIF($AE$2:AE888,AE888)-1)</f>
        <v/>
      </c>
      <c r="AJ888" s="243" t="str">
        <f>IF($AD888&lt;0,COUNT($AJ$1:AJ887)+1,"")</f>
        <v/>
      </c>
      <c r="AL888" s="243" t="str">
        <f>'All Ticker P&amp;L'!A888</f>
        <v/>
      </c>
      <c r="AM888" s="243" t="str">
        <f>'All Ticker P&amp;L'!B888</f>
        <v/>
      </c>
      <c r="AN888" s="243" t="str">
        <f>'All Ticker P&amp;L'!C888</f>
        <v/>
      </c>
      <c r="AO888" s="243" t="str">
        <f>'All Ticker P&amp;L'!D888</f>
        <v/>
      </c>
      <c r="AP888" s="243">
        <f>IF($AL888="",0,'All Ticker P&amp;L'!E888)</f>
        <v>0</v>
      </c>
      <c r="AQ888" s="266">
        <f>IF($AL888="",0,'All Ticker P&amp;L'!J888*'All Ticker P&amp;L'!I888)</f>
        <v>0</v>
      </c>
      <c r="AR888" s="266">
        <f>IF($AL888="",0,'All Ticker P&amp;L'!L888)</f>
        <v>0</v>
      </c>
      <c r="AS888" s="267">
        <f>IF($AL888="",0,'All Ticker P&amp;L'!M888)</f>
        <v>0</v>
      </c>
      <c r="AT888" s="243" t="str">
        <f>IF($AL888="","",RANK(AR888,$AR$2:$AR$1001)+COUNTIF($AR$2:AR888,AR888)-1)</f>
        <v/>
      </c>
      <c r="AU888" s="243" t="str">
        <f>IF($AL888="","",RANK(AV888,$AV$2:$AV$1001)+COUNTIF($AV$2:AV888,AV888)-1)</f>
        <v/>
      </c>
      <c r="AV888" s="266">
        <f t="shared" si="58"/>
        <v>0</v>
      </c>
    </row>
    <row r="889" spans="26:48" ht="15" customHeight="1" x14ac:dyDescent="0.2">
      <c r="Z889" s="243" t="str">
        <f>Shares!A889</f>
        <v/>
      </c>
      <c r="AA889" s="243" t="str">
        <f>Shares!B889</f>
        <v/>
      </c>
      <c r="AB889" s="243" t="str">
        <f>Shares!C889</f>
        <v/>
      </c>
      <c r="AC889" s="243" t="str">
        <f>Shares!D889</f>
        <v/>
      </c>
      <c r="AD889" s="243">
        <f>IF($Z889="",0,Shares!E889)</f>
        <v>0</v>
      </c>
      <c r="AE889" s="266">
        <f>IF($Z889="",0,Shares!J889*Shares!I889)</f>
        <v>0</v>
      </c>
      <c r="AF889" s="267">
        <f t="shared" si="57"/>
        <v>0</v>
      </c>
      <c r="AG889" s="266">
        <f>IF($Z889="",0,Shares!L889)</f>
        <v>0</v>
      </c>
      <c r="AH889" s="267">
        <f>IF($Z889="",0,Shares!M889)</f>
        <v>0</v>
      </c>
      <c r="AI889" s="243" t="str">
        <f>IF($Z889="","",RANK(AE889,$AE$2:$AE$1001)+COUNTIF($AE$2:AE889,AE889)-1)</f>
        <v/>
      </c>
      <c r="AJ889" s="243" t="str">
        <f>IF($AD889&lt;0,COUNT($AJ$1:AJ888)+1,"")</f>
        <v/>
      </c>
      <c r="AL889" s="243" t="str">
        <f>'All Ticker P&amp;L'!A889</f>
        <v/>
      </c>
      <c r="AM889" s="243" t="str">
        <f>'All Ticker P&amp;L'!B889</f>
        <v/>
      </c>
      <c r="AN889" s="243" t="str">
        <f>'All Ticker P&amp;L'!C889</f>
        <v/>
      </c>
      <c r="AO889" s="243" t="str">
        <f>'All Ticker P&amp;L'!D889</f>
        <v/>
      </c>
      <c r="AP889" s="243">
        <f>IF($AL889="",0,'All Ticker P&amp;L'!E889)</f>
        <v>0</v>
      </c>
      <c r="AQ889" s="266">
        <f>IF($AL889="",0,'All Ticker P&amp;L'!J889*'All Ticker P&amp;L'!I889)</f>
        <v>0</v>
      </c>
      <c r="AR889" s="266">
        <f>IF($AL889="",0,'All Ticker P&amp;L'!L889)</f>
        <v>0</v>
      </c>
      <c r="AS889" s="267">
        <f>IF($AL889="",0,'All Ticker P&amp;L'!M889)</f>
        <v>0</v>
      </c>
      <c r="AT889" s="243" t="str">
        <f>IF($AL889="","",RANK(AR889,$AR$2:$AR$1001)+COUNTIF($AR$2:AR889,AR889)-1)</f>
        <v/>
      </c>
      <c r="AU889" s="243" t="str">
        <f>IF($AL889="","",RANK(AV889,$AV$2:$AV$1001)+COUNTIF($AV$2:AV889,AV889)-1)</f>
        <v/>
      </c>
      <c r="AV889" s="266">
        <f t="shared" si="58"/>
        <v>0</v>
      </c>
    </row>
    <row r="890" spans="26:48" ht="15" customHeight="1" x14ac:dyDescent="0.2">
      <c r="Z890" s="243" t="str">
        <f>Shares!A890</f>
        <v/>
      </c>
      <c r="AA890" s="243" t="str">
        <f>Shares!B890</f>
        <v/>
      </c>
      <c r="AB890" s="243" t="str">
        <f>Shares!C890</f>
        <v/>
      </c>
      <c r="AC890" s="243" t="str">
        <f>Shares!D890</f>
        <v/>
      </c>
      <c r="AD890" s="243">
        <f>IF($Z890="",0,Shares!E890)</f>
        <v>0</v>
      </c>
      <c r="AE890" s="266">
        <f>IF($Z890="",0,Shares!J890*Shares!I890)</f>
        <v>0</v>
      </c>
      <c r="AF890" s="267">
        <f t="shared" si="57"/>
        <v>0</v>
      </c>
      <c r="AG890" s="266">
        <f>IF($Z890="",0,Shares!L890)</f>
        <v>0</v>
      </c>
      <c r="AH890" s="267">
        <f>IF($Z890="",0,Shares!M890)</f>
        <v>0</v>
      </c>
      <c r="AI890" s="243" t="str">
        <f>IF($Z890="","",RANK(AE890,$AE$2:$AE$1001)+COUNTIF($AE$2:AE890,AE890)-1)</f>
        <v/>
      </c>
      <c r="AJ890" s="243" t="str">
        <f>IF($AD890&lt;0,COUNT($AJ$1:AJ889)+1,"")</f>
        <v/>
      </c>
      <c r="AL890" s="243" t="str">
        <f>'All Ticker P&amp;L'!A890</f>
        <v/>
      </c>
      <c r="AM890" s="243" t="str">
        <f>'All Ticker P&amp;L'!B890</f>
        <v/>
      </c>
      <c r="AN890" s="243" t="str">
        <f>'All Ticker P&amp;L'!C890</f>
        <v/>
      </c>
      <c r="AO890" s="243" t="str">
        <f>'All Ticker P&amp;L'!D890</f>
        <v/>
      </c>
      <c r="AP890" s="243">
        <f>IF($AL890="",0,'All Ticker P&amp;L'!E890)</f>
        <v>0</v>
      </c>
      <c r="AQ890" s="266">
        <f>IF($AL890="",0,'All Ticker P&amp;L'!J890*'All Ticker P&amp;L'!I890)</f>
        <v>0</v>
      </c>
      <c r="AR890" s="266">
        <f>IF($AL890="",0,'All Ticker P&amp;L'!L890)</f>
        <v>0</v>
      </c>
      <c r="AS890" s="267">
        <f>IF($AL890="",0,'All Ticker P&amp;L'!M890)</f>
        <v>0</v>
      </c>
      <c r="AT890" s="243" t="str">
        <f>IF($AL890="","",RANK(AR890,$AR$2:$AR$1001)+COUNTIF($AR$2:AR890,AR890)-1)</f>
        <v/>
      </c>
      <c r="AU890" s="243" t="str">
        <f>IF($AL890="","",RANK(AV890,$AV$2:$AV$1001)+COUNTIF($AV$2:AV890,AV890)-1)</f>
        <v/>
      </c>
      <c r="AV890" s="266">
        <f t="shared" si="58"/>
        <v>0</v>
      </c>
    </row>
    <row r="891" spans="26:48" ht="15" customHeight="1" x14ac:dyDescent="0.2">
      <c r="Z891" s="243" t="str">
        <f>Shares!A891</f>
        <v/>
      </c>
      <c r="AA891" s="243" t="str">
        <f>Shares!B891</f>
        <v/>
      </c>
      <c r="AB891" s="243" t="str">
        <f>Shares!C891</f>
        <v/>
      </c>
      <c r="AC891" s="243" t="str">
        <f>Shares!D891</f>
        <v/>
      </c>
      <c r="AD891" s="243">
        <f>IF($Z891="",0,Shares!E891)</f>
        <v>0</v>
      </c>
      <c r="AE891" s="266">
        <f>IF($Z891="",0,Shares!J891*Shares!I891)</f>
        <v>0</v>
      </c>
      <c r="AF891" s="267">
        <f t="shared" si="57"/>
        <v>0</v>
      </c>
      <c r="AG891" s="266">
        <f>IF($Z891="",0,Shares!L891)</f>
        <v>0</v>
      </c>
      <c r="AH891" s="267">
        <f>IF($Z891="",0,Shares!M891)</f>
        <v>0</v>
      </c>
      <c r="AI891" s="243" t="str">
        <f>IF($Z891="","",RANK(AE891,$AE$2:$AE$1001)+COUNTIF($AE$2:AE891,AE891)-1)</f>
        <v/>
      </c>
      <c r="AJ891" s="243" t="str">
        <f>IF($AD891&lt;0,COUNT($AJ$1:AJ890)+1,"")</f>
        <v/>
      </c>
      <c r="AL891" s="243" t="str">
        <f>'All Ticker P&amp;L'!A891</f>
        <v/>
      </c>
      <c r="AM891" s="243" t="str">
        <f>'All Ticker P&amp;L'!B891</f>
        <v/>
      </c>
      <c r="AN891" s="243" t="str">
        <f>'All Ticker P&amp;L'!C891</f>
        <v/>
      </c>
      <c r="AO891" s="243" t="str">
        <f>'All Ticker P&amp;L'!D891</f>
        <v/>
      </c>
      <c r="AP891" s="243">
        <f>IF($AL891="",0,'All Ticker P&amp;L'!E891)</f>
        <v>0</v>
      </c>
      <c r="AQ891" s="266">
        <f>IF($AL891="",0,'All Ticker P&amp;L'!J891*'All Ticker P&amp;L'!I891)</f>
        <v>0</v>
      </c>
      <c r="AR891" s="266">
        <f>IF($AL891="",0,'All Ticker P&amp;L'!L891)</f>
        <v>0</v>
      </c>
      <c r="AS891" s="267">
        <f>IF($AL891="",0,'All Ticker P&amp;L'!M891)</f>
        <v>0</v>
      </c>
      <c r="AT891" s="243" t="str">
        <f>IF($AL891="","",RANK(AR891,$AR$2:$AR$1001)+COUNTIF($AR$2:AR891,AR891)-1)</f>
        <v/>
      </c>
      <c r="AU891" s="243" t="str">
        <f>IF($AL891="","",RANK(AV891,$AV$2:$AV$1001)+COUNTIF($AV$2:AV891,AV891)-1)</f>
        <v/>
      </c>
      <c r="AV891" s="266">
        <f t="shared" si="58"/>
        <v>0</v>
      </c>
    </row>
    <row r="892" spans="26:48" ht="15" customHeight="1" x14ac:dyDescent="0.2">
      <c r="Z892" s="243" t="str">
        <f>Shares!A892</f>
        <v/>
      </c>
      <c r="AA892" s="243" t="str">
        <f>Shares!B892</f>
        <v/>
      </c>
      <c r="AB892" s="243" t="str">
        <f>Shares!C892</f>
        <v/>
      </c>
      <c r="AC892" s="243" t="str">
        <f>Shares!D892</f>
        <v/>
      </c>
      <c r="AD892" s="243">
        <f>IF($Z892="",0,Shares!E892)</f>
        <v>0</v>
      </c>
      <c r="AE892" s="266">
        <f>IF($Z892="",0,Shares!J892*Shares!I892)</f>
        <v>0</v>
      </c>
      <c r="AF892" s="267">
        <f t="shared" si="57"/>
        <v>0</v>
      </c>
      <c r="AG892" s="266">
        <f>IF($Z892="",0,Shares!L892)</f>
        <v>0</v>
      </c>
      <c r="AH892" s="267">
        <f>IF($Z892="",0,Shares!M892)</f>
        <v>0</v>
      </c>
      <c r="AI892" s="243" t="str">
        <f>IF($Z892="","",RANK(AE892,$AE$2:$AE$1001)+COUNTIF($AE$2:AE892,AE892)-1)</f>
        <v/>
      </c>
      <c r="AJ892" s="243" t="str">
        <f>IF($AD892&lt;0,COUNT($AJ$1:AJ891)+1,"")</f>
        <v/>
      </c>
      <c r="AL892" s="243" t="str">
        <f>'All Ticker P&amp;L'!A892</f>
        <v/>
      </c>
      <c r="AM892" s="243" t="str">
        <f>'All Ticker P&amp;L'!B892</f>
        <v/>
      </c>
      <c r="AN892" s="243" t="str">
        <f>'All Ticker P&amp;L'!C892</f>
        <v/>
      </c>
      <c r="AO892" s="243" t="str">
        <f>'All Ticker P&amp;L'!D892</f>
        <v/>
      </c>
      <c r="AP892" s="243">
        <f>IF($AL892="",0,'All Ticker P&amp;L'!E892)</f>
        <v>0</v>
      </c>
      <c r="AQ892" s="266">
        <f>IF($AL892="",0,'All Ticker P&amp;L'!J892*'All Ticker P&amp;L'!I892)</f>
        <v>0</v>
      </c>
      <c r="AR892" s="266">
        <f>IF($AL892="",0,'All Ticker P&amp;L'!L892)</f>
        <v>0</v>
      </c>
      <c r="AS892" s="267">
        <f>IF($AL892="",0,'All Ticker P&amp;L'!M892)</f>
        <v>0</v>
      </c>
      <c r="AT892" s="243" t="str">
        <f>IF($AL892="","",RANK(AR892,$AR$2:$AR$1001)+COUNTIF($AR$2:AR892,AR892)-1)</f>
        <v/>
      </c>
      <c r="AU892" s="243" t="str">
        <f>IF($AL892="","",RANK(AV892,$AV$2:$AV$1001)+COUNTIF($AV$2:AV892,AV892)-1)</f>
        <v/>
      </c>
      <c r="AV892" s="266">
        <f t="shared" si="58"/>
        <v>0</v>
      </c>
    </row>
    <row r="893" spans="26:48" ht="15" customHeight="1" x14ac:dyDescent="0.2">
      <c r="Z893" s="243" t="str">
        <f>Shares!A893</f>
        <v/>
      </c>
      <c r="AA893" s="243" t="str">
        <f>Shares!B893</f>
        <v/>
      </c>
      <c r="AB893" s="243" t="str">
        <f>Shares!C893</f>
        <v/>
      </c>
      <c r="AC893" s="243" t="str">
        <f>Shares!D893</f>
        <v/>
      </c>
      <c r="AD893" s="243">
        <f>IF($Z893="",0,Shares!E893)</f>
        <v>0</v>
      </c>
      <c r="AE893" s="266">
        <f>IF($Z893="",0,Shares!J893*Shares!I893)</f>
        <v>0</v>
      </c>
      <c r="AF893" s="267">
        <f t="shared" si="57"/>
        <v>0</v>
      </c>
      <c r="AG893" s="266">
        <f>IF($Z893="",0,Shares!L893)</f>
        <v>0</v>
      </c>
      <c r="AH893" s="267">
        <f>IF($Z893="",0,Shares!M893)</f>
        <v>0</v>
      </c>
      <c r="AI893" s="243" t="str">
        <f>IF($Z893="","",RANK(AE893,$AE$2:$AE$1001)+COUNTIF($AE$2:AE893,AE893)-1)</f>
        <v/>
      </c>
      <c r="AJ893" s="243" t="str">
        <f>IF($AD893&lt;0,COUNT($AJ$1:AJ892)+1,"")</f>
        <v/>
      </c>
      <c r="AL893" s="243" t="str">
        <f>'All Ticker P&amp;L'!A893</f>
        <v/>
      </c>
      <c r="AM893" s="243" t="str">
        <f>'All Ticker P&amp;L'!B893</f>
        <v/>
      </c>
      <c r="AN893" s="243" t="str">
        <f>'All Ticker P&amp;L'!C893</f>
        <v/>
      </c>
      <c r="AO893" s="243" t="str">
        <f>'All Ticker P&amp;L'!D893</f>
        <v/>
      </c>
      <c r="AP893" s="243">
        <f>IF($AL893="",0,'All Ticker P&amp;L'!E893)</f>
        <v>0</v>
      </c>
      <c r="AQ893" s="266">
        <f>IF($AL893="",0,'All Ticker P&amp;L'!J893*'All Ticker P&amp;L'!I893)</f>
        <v>0</v>
      </c>
      <c r="AR893" s="266">
        <f>IF($AL893="",0,'All Ticker P&amp;L'!L893)</f>
        <v>0</v>
      </c>
      <c r="AS893" s="267">
        <f>IF($AL893="",0,'All Ticker P&amp;L'!M893)</f>
        <v>0</v>
      </c>
      <c r="AT893" s="243" t="str">
        <f>IF($AL893="","",RANK(AR893,$AR$2:$AR$1001)+COUNTIF($AR$2:AR893,AR893)-1)</f>
        <v/>
      </c>
      <c r="AU893" s="243" t="str">
        <f>IF($AL893="","",RANK(AV893,$AV$2:$AV$1001)+COUNTIF($AV$2:AV893,AV893)-1)</f>
        <v/>
      </c>
      <c r="AV893" s="266">
        <f t="shared" si="58"/>
        <v>0</v>
      </c>
    </row>
    <row r="894" spans="26:48" ht="15" customHeight="1" x14ac:dyDescent="0.2">
      <c r="Z894" s="243" t="str">
        <f>Shares!A894</f>
        <v/>
      </c>
      <c r="AA894" s="243" t="str">
        <f>Shares!B894</f>
        <v/>
      </c>
      <c r="AB894" s="243" t="str">
        <f>Shares!C894</f>
        <v/>
      </c>
      <c r="AC894" s="243" t="str">
        <f>Shares!D894</f>
        <v/>
      </c>
      <c r="AD894" s="243">
        <f>IF($Z894="",0,Shares!E894)</f>
        <v>0</v>
      </c>
      <c r="AE894" s="266">
        <f>IF($Z894="",0,Shares!J894*Shares!I894)</f>
        <v>0</v>
      </c>
      <c r="AF894" s="267">
        <f t="shared" si="57"/>
        <v>0</v>
      </c>
      <c r="AG894" s="266">
        <f>IF($Z894="",0,Shares!L894)</f>
        <v>0</v>
      </c>
      <c r="AH894" s="267">
        <f>IF($Z894="",0,Shares!M894)</f>
        <v>0</v>
      </c>
      <c r="AI894" s="243" t="str">
        <f>IF($Z894="","",RANK(AE894,$AE$2:$AE$1001)+COUNTIF($AE$2:AE894,AE894)-1)</f>
        <v/>
      </c>
      <c r="AJ894" s="243" t="str">
        <f>IF($AD894&lt;0,COUNT($AJ$1:AJ893)+1,"")</f>
        <v/>
      </c>
      <c r="AL894" s="243" t="str">
        <f>'All Ticker P&amp;L'!A894</f>
        <v/>
      </c>
      <c r="AM894" s="243" t="str">
        <f>'All Ticker P&amp;L'!B894</f>
        <v/>
      </c>
      <c r="AN894" s="243" t="str">
        <f>'All Ticker P&amp;L'!C894</f>
        <v/>
      </c>
      <c r="AO894" s="243" t="str">
        <f>'All Ticker P&amp;L'!D894</f>
        <v/>
      </c>
      <c r="AP894" s="243">
        <f>IF($AL894="",0,'All Ticker P&amp;L'!E894)</f>
        <v>0</v>
      </c>
      <c r="AQ894" s="266">
        <f>IF($AL894="",0,'All Ticker P&amp;L'!J894*'All Ticker P&amp;L'!I894)</f>
        <v>0</v>
      </c>
      <c r="AR894" s="266">
        <f>IF($AL894="",0,'All Ticker P&amp;L'!L894)</f>
        <v>0</v>
      </c>
      <c r="AS894" s="267">
        <f>IF($AL894="",0,'All Ticker P&amp;L'!M894)</f>
        <v>0</v>
      </c>
      <c r="AT894" s="243" t="str">
        <f>IF($AL894="","",RANK(AR894,$AR$2:$AR$1001)+COUNTIF($AR$2:AR894,AR894)-1)</f>
        <v/>
      </c>
      <c r="AU894" s="243" t="str">
        <f>IF($AL894="","",RANK(AV894,$AV$2:$AV$1001)+COUNTIF($AV$2:AV894,AV894)-1)</f>
        <v/>
      </c>
      <c r="AV894" s="266">
        <f t="shared" si="58"/>
        <v>0</v>
      </c>
    </row>
    <row r="895" spans="26:48" ht="15" customHeight="1" x14ac:dyDescent="0.2">
      <c r="Z895" s="243" t="str">
        <f>Shares!A895</f>
        <v/>
      </c>
      <c r="AA895" s="243" t="str">
        <f>Shares!B895</f>
        <v/>
      </c>
      <c r="AB895" s="243" t="str">
        <f>Shares!C895</f>
        <v/>
      </c>
      <c r="AC895" s="243" t="str">
        <f>Shares!D895</f>
        <v/>
      </c>
      <c r="AD895" s="243">
        <f>IF($Z895="",0,Shares!E895)</f>
        <v>0</v>
      </c>
      <c r="AE895" s="266">
        <f>IF($Z895="",0,Shares!J895*Shares!I895)</f>
        <v>0</v>
      </c>
      <c r="AF895" s="267">
        <f t="shared" si="57"/>
        <v>0</v>
      </c>
      <c r="AG895" s="266">
        <f>IF($Z895="",0,Shares!L895)</f>
        <v>0</v>
      </c>
      <c r="AH895" s="267">
        <f>IF($Z895="",0,Shares!M895)</f>
        <v>0</v>
      </c>
      <c r="AI895" s="243" t="str">
        <f>IF($Z895="","",RANK(AE895,$AE$2:$AE$1001)+COUNTIF($AE$2:AE895,AE895)-1)</f>
        <v/>
      </c>
      <c r="AJ895" s="243" t="str">
        <f>IF($AD895&lt;0,COUNT($AJ$1:AJ894)+1,"")</f>
        <v/>
      </c>
      <c r="AL895" s="243" t="str">
        <f>'All Ticker P&amp;L'!A895</f>
        <v/>
      </c>
      <c r="AM895" s="243" t="str">
        <f>'All Ticker P&amp;L'!B895</f>
        <v/>
      </c>
      <c r="AN895" s="243" t="str">
        <f>'All Ticker P&amp;L'!C895</f>
        <v/>
      </c>
      <c r="AO895" s="243" t="str">
        <f>'All Ticker P&amp;L'!D895</f>
        <v/>
      </c>
      <c r="AP895" s="243">
        <f>IF($AL895="",0,'All Ticker P&amp;L'!E895)</f>
        <v>0</v>
      </c>
      <c r="AQ895" s="266">
        <f>IF($AL895="",0,'All Ticker P&amp;L'!J895*'All Ticker P&amp;L'!I895)</f>
        <v>0</v>
      </c>
      <c r="AR895" s="266">
        <f>IF($AL895="",0,'All Ticker P&amp;L'!L895)</f>
        <v>0</v>
      </c>
      <c r="AS895" s="267">
        <f>IF($AL895="",0,'All Ticker P&amp;L'!M895)</f>
        <v>0</v>
      </c>
      <c r="AT895" s="243" t="str">
        <f>IF($AL895="","",RANK(AR895,$AR$2:$AR$1001)+COUNTIF($AR$2:AR895,AR895)-1)</f>
        <v/>
      </c>
      <c r="AU895" s="243" t="str">
        <f>IF($AL895="","",RANK(AV895,$AV$2:$AV$1001)+COUNTIF($AV$2:AV895,AV895)-1)</f>
        <v/>
      </c>
      <c r="AV895" s="266">
        <f t="shared" si="58"/>
        <v>0</v>
      </c>
    </row>
    <row r="896" spans="26:48" ht="15" customHeight="1" x14ac:dyDescent="0.2">
      <c r="Z896" s="243" t="str">
        <f>Shares!A896</f>
        <v/>
      </c>
      <c r="AA896" s="243" t="str">
        <f>Shares!B896</f>
        <v/>
      </c>
      <c r="AB896" s="243" t="str">
        <f>Shares!C896</f>
        <v/>
      </c>
      <c r="AC896" s="243" t="str">
        <f>Shares!D896</f>
        <v/>
      </c>
      <c r="AD896" s="243">
        <f>IF($Z896="",0,Shares!E896)</f>
        <v>0</v>
      </c>
      <c r="AE896" s="266">
        <f>IF($Z896="",0,Shares!J896*Shares!I896)</f>
        <v>0</v>
      </c>
      <c r="AF896" s="267">
        <f t="shared" si="57"/>
        <v>0</v>
      </c>
      <c r="AG896" s="266">
        <f>IF($Z896="",0,Shares!L896)</f>
        <v>0</v>
      </c>
      <c r="AH896" s="267">
        <f>IF($Z896="",0,Shares!M896)</f>
        <v>0</v>
      </c>
      <c r="AI896" s="243" t="str">
        <f>IF($Z896="","",RANK(AE896,$AE$2:$AE$1001)+COUNTIF($AE$2:AE896,AE896)-1)</f>
        <v/>
      </c>
      <c r="AJ896" s="243" t="str">
        <f>IF($AD896&lt;0,COUNT($AJ$1:AJ895)+1,"")</f>
        <v/>
      </c>
      <c r="AL896" s="243" t="str">
        <f>'All Ticker P&amp;L'!A896</f>
        <v/>
      </c>
      <c r="AM896" s="243" t="str">
        <f>'All Ticker P&amp;L'!B896</f>
        <v/>
      </c>
      <c r="AN896" s="243" t="str">
        <f>'All Ticker P&amp;L'!C896</f>
        <v/>
      </c>
      <c r="AO896" s="243" t="str">
        <f>'All Ticker P&amp;L'!D896</f>
        <v/>
      </c>
      <c r="AP896" s="243">
        <f>IF($AL896="",0,'All Ticker P&amp;L'!E896)</f>
        <v>0</v>
      </c>
      <c r="AQ896" s="266">
        <f>IF($AL896="",0,'All Ticker P&amp;L'!J896*'All Ticker P&amp;L'!I896)</f>
        <v>0</v>
      </c>
      <c r="AR896" s="266">
        <f>IF($AL896="",0,'All Ticker P&amp;L'!L896)</f>
        <v>0</v>
      </c>
      <c r="AS896" s="267">
        <f>IF($AL896="",0,'All Ticker P&amp;L'!M896)</f>
        <v>0</v>
      </c>
      <c r="AT896" s="243" t="str">
        <f>IF($AL896="","",RANK(AR896,$AR$2:$AR$1001)+COUNTIF($AR$2:AR896,AR896)-1)</f>
        <v/>
      </c>
      <c r="AU896" s="243" t="str">
        <f>IF($AL896="","",RANK(AV896,$AV$2:$AV$1001)+COUNTIF($AV$2:AV896,AV896)-1)</f>
        <v/>
      </c>
      <c r="AV896" s="266">
        <f t="shared" si="58"/>
        <v>0</v>
      </c>
    </row>
    <row r="897" spans="26:48" ht="15" customHeight="1" x14ac:dyDescent="0.2">
      <c r="Z897" s="243" t="str">
        <f>Shares!A897</f>
        <v/>
      </c>
      <c r="AA897" s="243" t="str">
        <f>Shares!B897</f>
        <v/>
      </c>
      <c r="AB897" s="243" t="str">
        <f>Shares!C897</f>
        <v/>
      </c>
      <c r="AC897" s="243" t="str">
        <f>Shares!D897</f>
        <v/>
      </c>
      <c r="AD897" s="243">
        <f>IF($Z897="",0,Shares!E897)</f>
        <v>0</v>
      </c>
      <c r="AE897" s="266">
        <f>IF($Z897="",0,Shares!J897*Shares!I897)</f>
        <v>0</v>
      </c>
      <c r="AF897" s="267">
        <f t="shared" si="57"/>
        <v>0</v>
      </c>
      <c r="AG897" s="266">
        <f>IF($Z897="",0,Shares!L897)</f>
        <v>0</v>
      </c>
      <c r="AH897" s="267">
        <f>IF($Z897="",0,Shares!M897)</f>
        <v>0</v>
      </c>
      <c r="AI897" s="243" t="str">
        <f>IF($Z897="","",RANK(AE897,$AE$2:$AE$1001)+COUNTIF($AE$2:AE897,AE897)-1)</f>
        <v/>
      </c>
      <c r="AJ897" s="243" t="str">
        <f>IF($AD897&lt;0,COUNT($AJ$1:AJ896)+1,"")</f>
        <v/>
      </c>
      <c r="AL897" s="243" t="str">
        <f>'All Ticker P&amp;L'!A897</f>
        <v/>
      </c>
      <c r="AM897" s="243" t="str">
        <f>'All Ticker P&amp;L'!B897</f>
        <v/>
      </c>
      <c r="AN897" s="243" t="str">
        <f>'All Ticker P&amp;L'!C897</f>
        <v/>
      </c>
      <c r="AO897" s="243" t="str">
        <f>'All Ticker P&amp;L'!D897</f>
        <v/>
      </c>
      <c r="AP897" s="243">
        <f>IF($AL897="",0,'All Ticker P&amp;L'!E897)</f>
        <v>0</v>
      </c>
      <c r="AQ897" s="266">
        <f>IF($AL897="",0,'All Ticker P&amp;L'!J897*'All Ticker P&amp;L'!I897)</f>
        <v>0</v>
      </c>
      <c r="AR897" s="266">
        <f>IF($AL897="",0,'All Ticker P&amp;L'!L897)</f>
        <v>0</v>
      </c>
      <c r="AS897" s="267">
        <f>IF($AL897="",0,'All Ticker P&amp;L'!M897)</f>
        <v>0</v>
      </c>
      <c r="AT897" s="243" t="str">
        <f>IF($AL897="","",RANK(AR897,$AR$2:$AR$1001)+COUNTIF($AR$2:AR897,AR897)-1)</f>
        <v/>
      </c>
      <c r="AU897" s="243" t="str">
        <f>IF($AL897="","",RANK(AV897,$AV$2:$AV$1001)+COUNTIF($AV$2:AV897,AV897)-1)</f>
        <v/>
      </c>
      <c r="AV897" s="266">
        <f t="shared" si="58"/>
        <v>0</v>
      </c>
    </row>
    <row r="898" spans="26:48" ht="15" customHeight="1" x14ac:dyDescent="0.2">
      <c r="Z898" s="243" t="str">
        <f>Shares!A898</f>
        <v/>
      </c>
      <c r="AA898" s="243" t="str">
        <f>Shares!B898</f>
        <v/>
      </c>
      <c r="AB898" s="243" t="str">
        <f>Shares!C898</f>
        <v/>
      </c>
      <c r="AC898" s="243" t="str">
        <f>Shares!D898</f>
        <v/>
      </c>
      <c r="AD898" s="243">
        <f>IF($Z898="",0,Shares!E898)</f>
        <v>0</v>
      </c>
      <c r="AE898" s="266">
        <f>IF($Z898="",0,Shares!J898*Shares!I898)</f>
        <v>0</v>
      </c>
      <c r="AF898" s="267">
        <f t="shared" ref="AF898:AF961" si="59">IFERROR(AE898/$B$5,0)</f>
        <v>0</v>
      </c>
      <c r="AG898" s="266">
        <f>IF($Z898="",0,Shares!L898)</f>
        <v>0</v>
      </c>
      <c r="AH898" s="267">
        <f>IF($Z898="",0,Shares!M898)</f>
        <v>0</v>
      </c>
      <c r="AI898" s="243" t="str">
        <f>IF($Z898="","",RANK(AE898,$AE$2:$AE$1001)+COUNTIF($AE$2:AE898,AE898)-1)</f>
        <v/>
      </c>
      <c r="AJ898" s="243" t="str">
        <f>IF($AD898&lt;0,COUNT($AJ$1:AJ897)+1,"")</f>
        <v/>
      </c>
      <c r="AL898" s="243" t="str">
        <f>'All Ticker P&amp;L'!A898</f>
        <v/>
      </c>
      <c r="AM898" s="243" t="str">
        <f>'All Ticker P&amp;L'!B898</f>
        <v/>
      </c>
      <c r="AN898" s="243" t="str">
        <f>'All Ticker P&amp;L'!C898</f>
        <v/>
      </c>
      <c r="AO898" s="243" t="str">
        <f>'All Ticker P&amp;L'!D898</f>
        <v/>
      </c>
      <c r="AP898" s="243">
        <f>IF($AL898="",0,'All Ticker P&amp;L'!E898)</f>
        <v>0</v>
      </c>
      <c r="AQ898" s="266">
        <f>IF($AL898="",0,'All Ticker P&amp;L'!J898*'All Ticker P&amp;L'!I898)</f>
        <v>0</v>
      </c>
      <c r="AR898" s="266">
        <f>IF($AL898="",0,'All Ticker P&amp;L'!L898)</f>
        <v>0</v>
      </c>
      <c r="AS898" s="267">
        <f>IF($AL898="",0,'All Ticker P&amp;L'!M898)</f>
        <v>0</v>
      </c>
      <c r="AT898" s="243" t="str">
        <f>IF($AL898="","",RANK(AR898,$AR$2:$AR$1001)+COUNTIF($AR$2:AR898,AR898)-1)</f>
        <v/>
      </c>
      <c r="AU898" s="243" t="str">
        <f>IF($AL898="","",RANK(AV898,$AV$2:$AV$1001)+COUNTIF($AV$2:AV898,AV898)-1)</f>
        <v/>
      </c>
      <c r="AV898" s="266">
        <f t="shared" ref="AV898:AV961" si="60">-AR898</f>
        <v>0</v>
      </c>
    </row>
    <row r="899" spans="26:48" ht="15" customHeight="1" x14ac:dyDescent="0.2">
      <c r="Z899" s="243" t="str">
        <f>Shares!A899</f>
        <v/>
      </c>
      <c r="AA899" s="243" t="str">
        <f>Shares!B899</f>
        <v/>
      </c>
      <c r="AB899" s="243" t="str">
        <f>Shares!C899</f>
        <v/>
      </c>
      <c r="AC899" s="243" t="str">
        <f>Shares!D899</f>
        <v/>
      </c>
      <c r="AD899" s="243">
        <f>IF($Z899="",0,Shares!E899)</f>
        <v>0</v>
      </c>
      <c r="AE899" s="266">
        <f>IF($Z899="",0,Shares!J899*Shares!I899)</f>
        <v>0</v>
      </c>
      <c r="AF899" s="267">
        <f t="shared" si="59"/>
        <v>0</v>
      </c>
      <c r="AG899" s="266">
        <f>IF($Z899="",0,Shares!L899)</f>
        <v>0</v>
      </c>
      <c r="AH899" s="267">
        <f>IF($Z899="",0,Shares!M899)</f>
        <v>0</v>
      </c>
      <c r="AI899" s="243" t="str">
        <f>IF($Z899="","",RANK(AE899,$AE$2:$AE$1001)+COUNTIF($AE$2:AE899,AE899)-1)</f>
        <v/>
      </c>
      <c r="AJ899" s="243" t="str">
        <f>IF($AD899&lt;0,COUNT($AJ$1:AJ898)+1,"")</f>
        <v/>
      </c>
      <c r="AL899" s="243" t="str">
        <f>'All Ticker P&amp;L'!A899</f>
        <v/>
      </c>
      <c r="AM899" s="243" t="str">
        <f>'All Ticker P&amp;L'!B899</f>
        <v/>
      </c>
      <c r="AN899" s="243" t="str">
        <f>'All Ticker P&amp;L'!C899</f>
        <v/>
      </c>
      <c r="AO899" s="243" t="str">
        <f>'All Ticker P&amp;L'!D899</f>
        <v/>
      </c>
      <c r="AP899" s="243">
        <f>IF($AL899="",0,'All Ticker P&amp;L'!E899)</f>
        <v>0</v>
      </c>
      <c r="AQ899" s="266">
        <f>IF($AL899="",0,'All Ticker P&amp;L'!J899*'All Ticker P&amp;L'!I899)</f>
        <v>0</v>
      </c>
      <c r="AR899" s="266">
        <f>IF($AL899="",0,'All Ticker P&amp;L'!L899)</f>
        <v>0</v>
      </c>
      <c r="AS899" s="267">
        <f>IF($AL899="",0,'All Ticker P&amp;L'!M899)</f>
        <v>0</v>
      </c>
      <c r="AT899" s="243" t="str">
        <f>IF($AL899="","",RANK(AR899,$AR$2:$AR$1001)+COUNTIF($AR$2:AR899,AR899)-1)</f>
        <v/>
      </c>
      <c r="AU899" s="243" t="str">
        <f>IF($AL899="","",RANK(AV899,$AV$2:$AV$1001)+COUNTIF($AV$2:AV899,AV899)-1)</f>
        <v/>
      </c>
      <c r="AV899" s="266">
        <f t="shared" si="60"/>
        <v>0</v>
      </c>
    </row>
    <row r="900" spans="26:48" ht="15" customHeight="1" x14ac:dyDescent="0.2">
      <c r="Z900" s="243" t="str">
        <f>Shares!A900</f>
        <v/>
      </c>
      <c r="AA900" s="243" t="str">
        <f>Shares!B900</f>
        <v/>
      </c>
      <c r="AB900" s="243" t="str">
        <f>Shares!C900</f>
        <v/>
      </c>
      <c r="AC900" s="243" t="str">
        <f>Shares!D900</f>
        <v/>
      </c>
      <c r="AD900" s="243">
        <f>IF($Z900="",0,Shares!E900)</f>
        <v>0</v>
      </c>
      <c r="AE900" s="266">
        <f>IF($Z900="",0,Shares!J900*Shares!I900)</f>
        <v>0</v>
      </c>
      <c r="AF900" s="267">
        <f t="shared" si="59"/>
        <v>0</v>
      </c>
      <c r="AG900" s="266">
        <f>IF($Z900="",0,Shares!L900)</f>
        <v>0</v>
      </c>
      <c r="AH900" s="267">
        <f>IF($Z900="",0,Shares!M900)</f>
        <v>0</v>
      </c>
      <c r="AI900" s="243" t="str">
        <f>IF($Z900="","",RANK(AE900,$AE$2:$AE$1001)+COUNTIF($AE$2:AE900,AE900)-1)</f>
        <v/>
      </c>
      <c r="AJ900" s="243" t="str">
        <f>IF($AD900&lt;0,COUNT($AJ$1:AJ899)+1,"")</f>
        <v/>
      </c>
      <c r="AL900" s="243" t="str">
        <f>'All Ticker P&amp;L'!A900</f>
        <v/>
      </c>
      <c r="AM900" s="243" t="str">
        <f>'All Ticker P&amp;L'!B900</f>
        <v/>
      </c>
      <c r="AN900" s="243" t="str">
        <f>'All Ticker P&amp;L'!C900</f>
        <v/>
      </c>
      <c r="AO900" s="243" t="str">
        <f>'All Ticker P&amp;L'!D900</f>
        <v/>
      </c>
      <c r="AP900" s="243">
        <f>IF($AL900="",0,'All Ticker P&amp;L'!E900)</f>
        <v>0</v>
      </c>
      <c r="AQ900" s="266">
        <f>IF($AL900="",0,'All Ticker P&amp;L'!J900*'All Ticker P&amp;L'!I900)</f>
        <v>0</v>
      </c>
      <c r="AR900" s="266">
        <f>IF($AL900="",0,'All Ticker P&amp;L'!L900)</f>
        <v>0</v>
      </c>
      <c r="AS900" s="267">
        <f>IF($AL900="",0,'All Ticker P&amp;L'!M900)</f>
        <v>0</v>
      </c>
      <c r="AT900" s="243" t="str">
        <f>IF($AL900="","",RANK(AR900,$AR$2:$AR$1001)+COUNTIF($AR$2:AR900,AR900)-1)</f>
        <v/>
      </c>
      <c r="AU900" s="243" t="str">
        <f>IF($AL900="","",RANK(AV900,$AV$2:$AV$1001)+COUNTIF($AV$2:AV900,AV900)-1)</f>
        <v/>
      </c>
      <c r="AV900" s="266">
        <f t="shared" si="60"/>
        <v>0</v>
      </c>
    </row>
    <row r="901" spans="26:48" ht="15" customHeight="1" x14ac:dyDescent="0.2">
      <c r="Z901" s="243" t="str">
        <f>Shares!A901</f>
        <v/>
      </c>
      <c r="AA901" s="243" t="str">
        <f>Shares!B901</f>
        <v/>
      </c>
      <c r="AB901" s="243" t="str">
        <f>Shares!C901</f>
        <v/>
      </c>
      <c r="AC901" s="243" t="str">
        <f>Shares!D901</f>
        <v/>
      </c>
      <c r="AD901" s="243">
        <f>IF($Z901="",0,Shares!E901)</f>
        <v>0</v>
      </c>
      <c r="AE901" s="266">
        <f>IF($Z901="",0,Shares!J901*Shares!I901)</f>
        <v>0</v>
      </c>
      <c r="AF901" s="267">
        <f t="shared" si="59"/>
        <v>0</v>
      </c>
      <c r="AG901" s="266">
        <f>IF($Z901="",0,Shares!L901)</f>
        <v>0</v>
      </c>
      <c r="AH901" s="267">
        <f>IF($Z901="",0,Shares!M901)</f>
        <v>0</v>
      </c>
      <c r="AI901" s="243" t="str">
        <f>IF($Z901="","",RANK(AE901,$AE$2:$AE$1001)+COUNTIF($AE$2:AE901,AE901)-1)</f>
        <v/>
      </c>
      <c r="AJ901" s="243" t="str">
        <f>IF($AD901&lt;0,COUNT($AJ$1:AJ900)+1,"")</f>
        <v/>
      </c>
      <c r="AL901" s="243" t="str">
        <f>'All Ticker P&amp;L'!A901</f>
        <v/>
      </c>
      <c r="AM901" s="243" t="str">
        <f>'All Ticker P&amp;L'!B901</f>
        <v/>
      </c>
      <c r="AN901" s="243" t="str">
        <f>'All Ticker P&amp;L'!C901</f>
        <v/>
      </c>
      <c r="AO901" s="243" t="str">
        <f>'All Ticker P&amp;L'!D901</f>
        <v/>
      </c>
      <c r="AP901" s="243">
        <f>IF($AL901="",0,'All Ticker P&amp;L'!E901)</f>
        <v>0</v>
      </c>
      <c r="AQ901" s="266">
        <f>IF($AL901="",0,'All Ticker P&amp;L'!J901*'All Ticker P&amp;L'!I901)</f>
        <v>0</v>
      </c>
      <c r="AR901" s="266">
        <f>IF($AL901="",0,'All Ticker P&amp;L'!L901)</f>
        <v>0</v>
      </c>
      <c r="AS901" s="267">
        <f>IF($AL901="",0,'All Ticker P&amp;L'!M901)</f>
        <v>0</v>
      </c>
      <c r="AT901" s="243" t="str">
        <f>IF($AL901="","",RANK(AR901,$AR$2:$AR$1001)+COUNTIF($AR$2:AR901,AR901)-1)</f>
        <v/>
      </c>
      <c r="AU901" s="243" t="str">
        <f>IF($AL901="","",RANK(AV901,$AV$2:$AV$1001)+COUNTIF($AV$2:AV901,AV901)-1)</f>
        <v/>
      </c>
      <c r="AV901" s="266">
        <f t="shared" si="60"/>
        <v>0</v>
      </c>
    </row>
    <row r="902" spans="26:48" ht="15" customHeight="1" x14ac:dyDescent="0.2">
      <c r="Z902" s="243" t="str">
        <f>Shares!A902</f>
        <v/>
      </c>
      <c r="AA902" s="243" t="str">
        <f>Shares!B902</f>
        <v/>
      </c>
      <c r="AB902" s="243" t="str">
        <f>Shares!C902</f>
        <v/>
      </c>
      <c r="AC902" s="243" t="str">
        <f>Shares!D902</f>
        <v/>
      </c>
      <c r="AD902" s="243">
        <f>IF($Z902="",0,Shares!E902)</f>
        <v>0</v>
      </c>
      <c r="AE902" s="266">
        <f>IF($Z902="",0,Shares!J902*Shares!I902)</f>
        <v>0</v>
      </c>
      <c r="AF902" s="267">
        <f t="shared" si="59"/>
        <v>0</v>
      </c>
      <c r="AG902" s="266">
        <f>IF($Z902="",0,Shares!L902)</f>
        <v>0</v>
      </c>
      <c r="AH902" s="267">
        <f>IF($Z902="",0,Shares!M902)</f>
        <v>0</v>
      </c>
      <c r="AI902" s="243" t="str">
        <f>IF($Z902="","",RANK(AE902,$AE$2:$AE$1001)+COUNTIF($AE$2:AE902,AE902)-1)</f>
        <v/>
      </c>
      <c r="AJ902" s="243" t="str">
        <f>IF($AD902&lt;0,COUNT($AJ$1:AJ901)+1,"")</f>
        <v/>
      </c>
      <c r="AL902" s="243" t="str">
        <f>'All Ticker P&amp;L'!A902</f>
        <v/>
      </c>
      <c r="AM902" s="243" t="str">
        <f>'All Ticker P&amp;L'!B902</f>
        <v/>
      </c>
      <c r="AN902" s="243" t="str">
        <f>'All Ticker P&amp;L'!C902</f>
        <v/>
      </c>
      <c r="AO902" s="243" t="str">
        <f>'All Ticker P&amp;L'!D902</f>
        <v/>
      </c>
      <c r="AP902" s="243">
        <f>IF($AL902="",0,'All Ticker P&amp;L'!E902)</f>
        <v>0</v>
      </c>
      <c r="AQ902" s="266">
        <f>IF($AL902="",0,'All Ticker P&amp;L'!J902*'All Ticker P&amp;L'!I902)</f>
        <v>0</v>
      </c>
      <c r="AR902" s="266">
        <f>IF($AL902="",0,'All Ticker P&amp;L'!L902)</f>
        <v>0</v>
      </c>
      <c r="AS902" s="267">
        <f>IF($AL902="",0,'All Ticker P&amp;L'!M902)</f>
        <v>0</v>
      </c>
      <c r="AT902" s="243" t="str">
        <f>IF($AL902="","",RANK(AR902,$AR$2:$AR$1001)+COUNTIF($AR$2:AR902,AR902)-1)</f>
        <v/>
      </c>
      <c r="AU902" s="243" t="str">
        <f>IF($AL902="","",RANK(AV902,$AV$2:$AV$1001)+COUNTIF($AV$2:AV902,AV902)-1)</f>
        <v/>
      </c>
      <c r="AV902" s="266">
        <f t="shared" si="60"/>
        <v>0</v>
      </c>
    </row>
    <row r="903" spans="26:48" ht="15" customHeight="1" x14ac:dyDescent="0.2">
      <c r="Z903" s="243" t="str">
        <f>Shares!A903</f>
        <v/>
      </c>
      <c r="AA903" s="243" t="str">
        <f>Shares!B903</f>
        <v/>
      </c>
      <c r="AB903" s="243" t="str">
        <f>Shares!C903</f>
        <v/>
      </c>
      <c r="AC903" s="243" t="str">
        <f>Shares!D903</f>
        <v/>
      </c>
      <c r="AD903" s="243">
        <f>IF($Z903="",0,Shares!E903)</f>
        <v>0</v>
      </c>
      <c r="AE903" s="266">
        <f>IF($Z903="",0,Shares!J903*Shares!I903)</f>
        <v>0</v>
      </c>
      <c r="AF903" s="267">
        <f t="shared" si="59"/>
        <v>0</v>
      </c>
      <c r="AG903" s="266">
        <f>IF($Z903="",0,Shares!L903)</f>
        <v>0</v>
      </c>
      <c r="AH903" s="267">
        <f>IF($Z903="",0,Shares!M903)</f>
        <v>0</v>
      </c>
      <c r="AI903" s="243" t="str">
        <f>IF($Z903="","",RANK(AE903,$AE$2:$AE$1001)+COUNTIF($AE$2:AE903,AE903)-1)</f>
        <v/>
      </c>
      <c r="AJ903" s="243" t="str">
        <f>IF($AD903&lt;0,COUNT($AJ$1:AJ902)+1,"")</f>
        <v/>
      </c>
      <c r="AL903" s="243" t="str">
        <f>'All Ticker P&amp;L'!A903</f>
        <v/>
      </c>
      <c r="AM903" s="243" t="str">
        <f>'All Ticker P&amp;L'!B903</f>
        <v/>
      </c>
      <c r="AN903" s="243" t="str">
        <f>'All Ticker P&amp;L'!C903</f>
        <v/>
      </c>
      <c r="AO903" s="243" t="str">
        <f>'All Ticker P&amp;L'!D903</f>
        <v/>
      </c>
      <c r="AP903" s="243">
        <f>IF($AL903="",0,'All Ticker P&amp;L'!E903)</f>
        <v>0</v>
      </c>
      <c r="AQ903" s="266">
        <f>IF($AL903="",0,'All Ticker P&amp;L'!J903*'All Ticker P&amp;L'!I903)</f>
        <v>0</v>
      </c>
      <c r="AR903" s="266">
        <f>IF($AL903="",0,'All Ticker P&amp;L'!L903)</f>
        <v>0</v>
      </c>
      <c r="AS903" s="267">
        <f>IF($AL903="",0,'All Ticker P&amp;L'!M903)</f>
        <v>0</v>
      </c>
      <c r="AT903" s="243" t="str">
        <f>IF($AL903="","",RANK(AR903,$AR$2:$AR$1001)+COUNTIF($AR$2:AR903,AR903)-1)</f>
        <v/>
      </c>
      <c r="AU903" s="243" t="str">
        <f>IF($AL903="","",RANK(AV903,$AV$2:$AV$1001)+COUNTIF($AV$2:AV903,AV903)-1)</f>
        <v/>
      </c>
      <c r="AV903" s="266">
        <f t="shared" si="60"/>
        <v>0</v>
      </c>
    </row>
    <row r="904" spans="26:48" ht="15" customHeight="1" x14ac:dyDescent="0.2">
      <c r="Z904" s="243" t="str">
        <f>Shares!A904</f>
        <v/>
      </c>
      <c r="AA904" s="243" t="str">
        <f>Shares!B904</f>
        <v/>
      </c>
      <c r="AB904" s="243" t="str">
        <f>Shares!C904</f>
        <v/>
      </c>
      <c r="AC904" s="243" t="str">
        <f>Shares!D904</f>
        <v/>
      </c>
      <c r="AD904" s="243">
        <f>IF($Z904="",0,Shares!E904)</f>
        <v>0</v>
      </c>
      <c r="AE904" s="266">
        <f>IF($Z904="",0,Shares!J904*Shares!I904)</f>
        <v>0</v>
      </c>
      <c r="AF904" s="267">
        <f t="shared" si="59"/>
        <v>0</v>
      </c>
      <c r="AG904" s="266">
        <f>IF($Z904="",0,Shares!L904)</f>
        <v>0</v>
      </c>
      <c r="AH904" s="267">
        <f>IF($Z904="",0,Shares!M904)</f>
        <v>0</v>
      </c>
      <c r="AI904" s="243" t="str">
        <f>IF($Z904="","",RANK(AE904,$AE$2:$AE$1001)+COUNTIF($AE$2:AE904,AE904)-1)</f>
        <v/>
      </c>
      <c r="AJ904" s="243" t="str">
        <f>IF($AD904&lt;0,COUNT($AJ$1:AJ903)+1,"")</f>
        <v/>
      </c>
      <c r="AL904" s="243" t="str">
        <f>'All Ticker P&amp;L'!A904</f>
        <v/>
      </c>
      <c r="AM904" s="243" t="str">
        <f>'All Ticker P&amp;L'!B904</f>
        <v/>
      </c>
      <c r="AN904" s="243" t="str">
        <f>'All Ticker P&amp;L'!C904</f>
        <v/>
      </c>
      <c r="AO904" s="243" t="str">
        <f>'All Ticker P&amp;L'!D904</f>
        <v/>
      </c>
      <c r="AP904" s="243">
        <f>IF($AL904="",0,'All Ticker P&amp;L'!E904)</f>
        <v>0</v>
      </c>
      <c r="AQ904" s="266">
        <f>IF($AL904="",0,'All Ticker P&amp;L'!J904*'All Ticker P&amp;L'!I904)</f>
        <v>0</v>
      </c>
      <c r="AR904" s="266">
        <f>IF($AL904="",0,'All Ticker P&amp;L'!L904)</f>
        <v>0</v>
      </c>
      <c r="AS904" s="267">
        <f>IF($AL904="",0,'All Ticker P&amp;L'!M904)</f>
        <v>0</v>
      </c>
      <c r="AT904" s="243" t="str">
        <f>IF($AL904="","",RANK(AR904,$AR$2:$AR$1001)+COUNTIF($AR$2:AR904,AR904)-1)</f>
        <v/>
      </c>
      <c r="AU904" s="243" t="str">
        <f>IF($AL904="","",RANK(AV904,$AV$2:$AV$1001)+COUNTIF($AV$2:AV904,AV904)-1)</f>
        <v/>
      </c>
      <c r="AV904" s="266">
        <f t="shared" si="60"/>
        <v>0</v>
      </c>
    </row>
    <row r="905" spans="26:48" ht="15" customHeight="1" x14ac:dyDescent="0.2">
      <c r="Z905" s="243" t="str">
        <f>Shares!A905</f>
        <v/>
      </c>
      <c r="AA905" s="243" t="str">
        <f>Shares!B905</f>
        <v/>
      </c>
      <c r="AB905" s="243" t="str">
        <f>Shares!C905</f>
        <v/>
      </c>
      <c r="AC905" s="243" t="str">
        <f>Shares!D905</f>
        <v/>
      </c>
      <c r="AD905" s="243">
        <f>IF($Z905="",0,Shares!E905)</f>
        <v>0</v>
      </c>
      <c r="AE905" s="266">
        <f>IF($Z905="",0,Shares!J905*Shares!I905)</f>
        <v>0</v>
      </c>
      <c r="AF905" s="267">
        <f t="shared" si="59"/>
        <v>0</v>
      </c>
      <c r="AG905" s="266">
        <f>IF($Z905="",0,Shares!L905)</f>
        <v>0</v>
      </c>
      <c r="AH905" s="267">
        <f>IF($Z905="",0,Shares!M905)</f>
        <v>0</v>
      </c>
      <c r="AI905" s="243" t="str">
        <f>IF($Z905="","",RANK(AE905,$AE$2:$AE$1001)+COUNTIF($AE$2:AE905,AE905)-1)</f>
        <v/>
      </c>
      <c r="AJ905" s="243" t="str">
        <f>IF($AD905&lt;0,COUNT($AJ$1:AJ904)+1,"")</f>
        <v/>
      </c>
      <c r="AL905" s="243" t="str">
        <f>'All Ticker P&amp;L'!A905</f>
        <v/>
      </c>
      <c r="AM905" s="243" t="str">
        <f>'All Ticker P&amp;L'!B905</f>
        <v/>
      </c>
      <c r="AN905" s="243" t="str">
        <f>'All Ticker P&amp;L'!C905</f>
        <v/>
      </c>
      <c r="AO905" s="243" t="str">
        <f>'All Ticker P&amp;L'!D905</f>
        <v/>
      </c>
      <c r="AP905" s="243">
        <f>IF($AL905="",0,'All Ticker P&amp;L'!E905)</f>
        <v>0</v>
      </c>
      <c r="AQ905" s="266">
        <f>IF($AL905="",0,'All Ticker P&amp;L'!J905*'All Ticker P&amp;L'!I905)</f>
        <v>0</v>
      </c>
      <c r="AR905" s="266">
        <f>IF($AL905="",0,'All Ticker P&amp;L'!L905)</f>
        <v>0</v>
      </c>
      <c r="AS905" s="267">
        <f>IF($AL905="",0,'All Ticker P&amp;L'!M905)</f>
        <v>0</v>
      </c>
      <c r="AT905" s="243" t="str">
        <f>IF($AL905="","",RANK(AR905,$AR$2:$AR$1001)+COUNTIF($AR$2:AR905,AR905)-1)</f>
        <v/>
      </c>
      <c r="AU905" s="243" t="str">
        <f>IF($AL905="","",RANK(AV905,$AV$2:$AV$1001)+COUNTIF($AV$2:AV905,AV905)-1)</f>
        <v/>
      </c>
      <c r="AV905" s="266">
        <f t="shared" si="60"/>
        <v>0</v>
      </c>
    </row>
    <row r="906" spans="26:48" ht="15" customHeight="1" x14ac:dyDescent="0.2">
      <c r="Z906" s="243" t="str">
        <f>Shares!A906</f>
        <v/>
      </c>
      <c r="AA906" s="243" t="str">
        <f>Shares!B906</f>
        <v/>
      </c>
      <c r="AB906" s="243" t="str">
        <f>Shares!C906</f>
        <v/>
      </c>
      <c r="AC906" s="243" t="str">
        <f>Shares!D906</f>
        <v/>
      </c>
      <c r="AD906" s="243">
        <f>IF($Z906="",0,Shares!E906)</f>
        <v>0</v>
      </c>
      <c r="AE906" s="266">
        <f>IF($Z906="",0,Shares!J906*Shares!I906)</f>
        <v>0</v>
      </c>
      <c r="AF906" s="267">
        <f t="shared" si="59"/>
        <v>0</v>
      </c>
      <c r="AG906" s="266">
        <f>IF($Z906="",0,Shares!L906)</f>
        <v>0</v>
      </c>
      <c r="AH906" s="267">
        <f>IF($Z906="",0,Shares!M906)</f>
        <v>0</v>
      </c>
      <c r="AI906" s="243" t="str">
        <f>IF($Z906="","",RANK(AE906,$AE$2:$AE$1001)+COUNTIF($AE$2:AE906,AE906)-1)</f>
        <v/>
      </c>
      <c r="AJ906" s="243" t="str">
        <f>IF($AD906&lt;0,COUNT($AJ$1:AJ905)+1,"")</f>
        <v/>
      </c>
      <c r="AL906" s="243" t="str">
        <f>'All Ticker P&amp;L'!A906</f>
        <v/>
      </c>
      <c r="AM906" s="243" t="str">
        <f>'All Ticker P&amp;L'!B906</f>
        <v/>
      </c>
      <c r="AN906" s="243" t="str">
        <f>'All Ticker P&amp;L'!C906</f>
        <v/>
      </c>
      <c r="AO906" s="243" t="str">
        <f>'All Ticker P&amp;L'!D906</f>
        <v/>
      </c>
      <c r="AP906" s="243">
        <f>IF($AL906="",0,'All Ticker P&amp;L'!E906)</f>
        <v>0</v>
      </c>
      <c r="AQ906" s="266">
        <f>IF($AL906="",0,'All Ticker P&amp;L'!J906*'All Ticker P&amp;L'!I906)</f>
        <v>0</v>
      </c>
      <c r="AR906" s="266">
        <f>IF($AL906="",0,'All Ticker P&amp;L'!L906)</f>
        <v>0</v>
      </c>
      <c r="AS906" s="267">
        <f>IF($AL906="",0,'All Ticker P&amp;L'!M906)</f>
        <v>0</v>
      </c>
      <c r="AT906" s="243" t="str">
        <f>IF($AL906="","",RANK(AR906,$AR$2:$AR$1001)+COUNTIF($AR$2:AR906,AR906)-1)</f>
        <v/>
      </c>
      <c r="AU906" s="243" t="str">
        <f>IF($AL906="","",RANK(AV906,$AV$2:$AV$1001)+COUNTIF($AV$2:AV906,AV906)-1)</f>
        <v/>
      </c>
      <c r="AV906" s="266">
        <f t="shared" si="60"/>
        <v>0</v>
      </c>
    </row>
    <row r="907" spans="26:48" ht="15" customHeight="1" x14ac:dyDescent="0.2">
      <c r="Z907" s="243" t="str">
        <f>Shares!A907</f>
        <v/>
      </c>
      <c r="AA907" s="243" t="str">
        <f>Shares!B907</f>
        <v/>
      </c>
      <c r="AB907" s="243" t="str">
        <f>Shares!C907</f>
        <v/>
      </c>
      <c r="AC907" s="243" t="str">
        <f>Shares!D907</f>
        <v/>
      </c>
      <c r="AD907" s="243">
        <f>IF($Z907="",0,Shares!E907)</f>
        <v>0</v>
      </c>
      <c r="AE907" s="266">
        <f>IF($Z907="",0,Shares!J907*Shares!I907)</f>
        <v>0</v>
      </c>
      <c r="AF907" s="267">
        <f t="shared" si="59"/>
        <v>0</v>
      </c>
      <c r="AG907" s="266">
        <f>IF($Z907="",0,Shares!L907)</f>
        <v>0</v>
      </c>
      <c r="AH907" s="267">
        <f>IF($Z907="",0,Shares!M907)</f>
        <v>0</v>
      </c>
      <c r="AI907" s="243" t="str">
        <f>IF($Z907="","",RANK(AE907,$AE$2:$AE$1001)+COUNTIF($AE$2:AE907,AE907)-1)</f>
        <v/>
      </c>
      <c r="AJ907" s="243" t="str">
        <f>IF($AD907&lt;0,COUNT($AJ$1:AJ906)+1,"")</f>
        <v/>
      </c>
      <c r="AL907" s="243" t="str">
        <f>'All Ticker P&amp;L'!A907</f>
        <v/>
      </c>
      <c r="AM907" s="243" t="str">
        <f>'All Ticker P&amp;L'!B907</f>
        <v/>
      </c>
      <c r="AN907" s="243" t="str">
        <f>'All Ticker P&amp;L'!C907</f>
        <v/>
      </c>
      <c r="AO907" s="243" t="str">
        <f>'All Ticker P&amp;L'!D907</f>
        <v/>
      </c>
      <c r="AP907" s="243">
        <f>IF($AL907="",0,'All Ticker P&amp;L'!E907)</f>
        <v>0</v>
      </c>
      <c r="AQ907" s="266">
        <f>IF($AL907="",0,'All Ticker P&amp;L'!J907*'All Ticker P&amp;L'!I907)</f>
        <v>0</v>
      </c>
      <c r="AR907" s="266">
        <f>IF($AL907="",0,'All Ticker P&amp;L'!L907)</f>
        <v>0</v>
      </c>
      <c r="AS907" s="267">
        <f>IF($AL907="",0,'All Ticker P&amp;L'!M907)</f>
        <v>0</v>
      </c>
      <c r="AT907" s="243" t="str">
        <f>IF($AL907="","",RANK(AR907,$AR$2:$AR$1001)+COUNTIF($AR$2:AR907,AR907)-1)</f>
        <v/>
      </c>
      <c r="AU907" s="243" t="str">
        <f>IF($AL907="","",RANK(AV907,$AV$2:$AV$1001)+COUNTIF($AV$2:AV907,AV907)-1)</f>
        <v/>
      </c>
      <c r="AV907" s="266">
        <f t="shared" si="60"/>
        <v>0</v>
      </c>
    </row>
    <row r="908" spans="26:48" ht="15" customHeight="1" x14ac:dyDescent="0.2">
      <c r="Z908" s="243" t="str">
        <f>Shares!A908</f>
        <v/>
      </c>
      <c r="AA908" s="243" t="str">
        <f>Shares!B908</f>
        <v/>
      </c>
      <c r="AB908" s="243" t="str">
        <f>Shares!C908</f>
        <v/>
      </c>
      <c r="AC908" s="243" t="str">
        <f>Shares!D908</f>
        <v/>
      </c>
      <c r="AD908" s="243">
        <f>IF($Z908="",0,Shares!E908)</f>
        <v>0</v>
      </c>
      <c r="AE908" s="266">
        <f>IF($Z908="",0,Shares!J908*Shares!I908)</f>
        <v>0</v>
      </c>
      <c r="AF908" s="267">
        <f t="shared" si="59"/>
        <v>0</v>
      </c>
      <c r="AG908" s="266">
        <f>IF($Z908="",0,Shares!L908)</f>
        <v>0</v>
      </c>
      <c r="AH908" s="267">
        <f>IF($Z908="",0,Shares!M908)</f>
        <v>0</v>
      </c>
      <c r="AI908" s="243" t="str">
        <f>IF($Z908="","",RANK(AE908,$AE$2:$AE$1001)+COUNTIF($AE$2:AE908,AE908)-1)</f>
        <v/>
      </c>
      <c r="AJ908" s="243" t="str">
        <f>IF($AD908&lt;0,COUNT($AJ$1:AJ907)+1,"")</f>
        <v/>
      </c>
      <c r="AL908" s="243" t="str">
        <f>'All Ticker P&amp;L'!A908</f>
        <v/>
      </c>
      <c r="AM908" s="243" t="str">
        <f>'All Ticker P&amp;L'!B908</f>
        <v/>
      </c>
      <c r="AN908" s="243" t="str">
        <f>'All Ticker P&amp;L'!C908</f>
        <v/>
      </c>
      <c r="AO908" s="243" t="str">
        <f>'All Ticker P&amp;L'!D908</f>
        <v/>
      </c>
      <c r="AP908" s="243">
        <f>IF($AL908="",0,'All Ticker P&amp;L'!E908)</f>
        <v>0</v>
      </c>
      <c r="AQ908" s="266">
        <f>IF($AL908="",0,'All Ticker P&amp;L'!J908*'All Ticker P&amp;L'!I908)</f>
        <v>0</v>
      </c>
      <c r="AR908" s="266">
        <f>IF($AL908="",0,'All Ticker P&amp;L'!L908)</f>
        <v>0</v>
      </c>
      <c r="AS908" s="267">
        <f>IF($AL908="",0,'All Ticker P&amp;L'!M908)</f>
        <v>0</v>
      </c>
      <c r="AT908" s="243" t="str">
        <f>IF($AL908="","",RANK(AR908,$AR$2:$AR$1001)+COUNTIF($AR$2:AR908,AR908)-1)</f>
        <v/>
      </c>
      <c r="AU908" s="243" t="str">
        <f>IF($AL908="","",RANK(AV908,$AV$2:$AV$1001)+COUNTIF($AV$2:AV908,AV908)-1)</f>
        <v/>
      </c>
      <c r="AV908" s="266">
        <f t="shared" si="60"/>
        <v>0</v>
      </c>
    </row>
    <row r="909" spans="26:48" ht="15" customHeight="1" x14ac:dyDescent="0.2">
      <c r="Z909" s="243" t="str">
        <f>Shares!A909</f>
        <v/>
      </c>
      <c r="AA909" s="243" t="str">
        <f>Shares!B909</f>
        <v/>
      </c>
      <c r="AB909" s="243" t="str">
        <f>Shares!C909</f>
        <v/>
      </c>
      <c r="AC909" s="243" t="str">
        <f>Shares!D909</f>
        <v/>
      </c>
      <c r="AD909" s="243">
        <f>IF($Z909="",0,Shares!E909)</f>
        <v>0</v>
      </c>
      <c r="AE909" s="266">
        <f>IF($Z909="",0,Shares!J909*Shares!I909)</f>
        <v>0</v>
      </c>
      <c r="AF909" s="267">
        <f t="shared" si="59"/>
        <v>0</v>
      </c>
      <c r="AG909" s="266">
        <f>IF($Z909="",0,Shares!L909)</f>
        <v>0</v>
      </c>
      <c r="AH909" s="267">
        <f>IF($Z909="",0,Shares!M909)</f>
        <v>0</v>
      </c>
      <c r="AI909" s="243" t="str">
        <f>IF($Z909="","",RANK(AE909,$AE$2:$AE$1001)+COUNTIF($AE$2:AE909,AE909)-1)</f>
        <v/>
      </c>
      <c r="AJ909" s="243" t="str">
        <f>IF($AD909&lt;0,COUNT($AJ$1:AJ908)+1,"")</f>
        <v/>
      </c>
      <c r="AL909" s="243" t="str">
        <f>'All Ticker P&amp;L'!A909</f>
        <v/>
      </c>
      <c r="AM909" s="243" t="str">
        <f>'All Ticker P&amp;L'!B909</f>
        <v/>
      </c>
      <c r="AN909" s="243" t="str">
        <f>'All Ticker P&amp;L'!C909</f>
        <v/>
      </c>
      <c r="AO909" s="243" t="str">
        <f>'All Ticker P&amp;L'!D909</f>
        <v/>
      </c>
      <c r="AP909" s="243">
        <f>IF($AL909="",0,'All Ticker P&amp;L'!E909)</f>
        <v>0</v>
      </c>
      <c r="AQ909" s="266">
        <f>IF($AL909="",0,'All Ticker P&amp;L'!J909*'All Ticker P&amp;L'!I909)</f>
        <v>0</v>
      </c>
      <c r="AR909" s="266">
        <f>IF($AL909="",0,'All Ticker P&amp;L'!L909)</f>
        <v>0</v>
      </c>
      <c r="AS909" s="267">
        <f>IF($AL909="",0,'All Ticker P&amp;L'!M909)</f>
        <v>0</v>
      </c>
      <c r="AT909" s="243" t="str">
        <f>IF($AL909="","",RANK(AR909,$AR$2:$AR$1001)+COUNTIF($AR$2:AR909,AR909)-1)</f>
        <v/>
      </c>
      <c r="AU909" s="243" t="str">
        <f>IF($AL909="","",RANK(AV909,$AV$2:$AV$1001)+COUNTIF($AV$2:AV909,AV909)-1)</f>
        <v/>
      </c>
      <c r="AV909" s="266">
        <f t="shared" si="60"/>
        <v>0</v>
      </c>
    </row>
    <row r="910" spans="26:48" ht="15" customHeight="1" x14ac:dyDescent="0.2">
      <c r="Z910" s="243" t="str">
        <f>Shares!A910</f>
        <v/>
      </c>
      <c r="AA910" s="243" t="str">
        <f>Shares!B910</f>
        <v/>
      </c>
      <c r="AB910" s="243" t="str">
        <f>Shares!C910</f>
        <v/>
      </c>
      <c r="AC910" s="243" t="str">
        <f>Shares!D910</f>
        <v/>
      </c>
      <c r="AD910" s="243">
        <f>IF($Z910="",0,Shares!E910)</f>
        <v>0</v>
      </c>
      <c r="AE910" s="266">
        <f>IF($Z910="",0,Shares!J910*Shares!I910)</f>
        <v>0</v>
      </c>
      <c r="AF910" s="267">
        <f t="shared" si="59"/>
        <v>0</v>
      </c>
      <c r="AG910" s="266">
        <f>IF($Z910="",0,Shares!L910)</f>
        <v>0</v>
      </c>
      <c r="AH910" s="267">
        <f>IF($Z910="",0,Shares!M910)</f>
        <v>0</v>
      </c>
      <c r="AI910" s="243" t="str">
        <f>IF($Z910="","",RANK(AE910,$AE$2:$AE$1001)+COUNTIF($AE$2:AE910,AE910)-1)</f>
        <v/>
      </c>
      <c r="AJ910" s="243" t="str">
        <f>IF($AD910&lt;0,COUNT($AJ$1:AJ909)+1,"")</f>
        <v/>
      </c>
      <c r="AL910" s="243" t="str">
        <f>'All Ticker P&amp;L'!A910</f>
        <v/>
      </c>
      <c r="AM910" s="243" t="str">
        <f>'All Ticker P&amp;L'!B910</f>
        <v/>
      </c>
      <c r="AN910" s="243" t="str">
        <f>'All Ticker P&amp;L'!C910</f>
        <v/>
      </c>
      <c r="AO910" s="243" t="str">
        <f>'All Ticker P&amp;L'!D910</f>
        <v/>
      </c>
      <c r="AP910" s="243">
        <f>IF($AL910="",0,'All Ticker P&amp;L'!E910)</f>
        <v>0</v>
      </c>
      <c r="AQ910" s="266">
        <f>IF($AL910="",0,'All Ticker P&amp;L'!J910*'All Ticker P&amp;L'!I910)</f>
        <v>0</v>
      </c>
      <c r="AR910" s="266">
        <f>IF($AL910="",0,'All Ticker P&amp;L'!L910)</f>
        <v>0</v>
      </c>
      <c r="AS910" s="267">
        <f>IF($AL910="",0,'All Ticker P&amp;L'!M910)</f>
        <v>0</v>
      </c>
      <c r="AT910" s="243" t="str">
        <f>IF($AL910="","",RANK(AR910,$AR$2:$AR$1001)+COUNTIF($AR$2:AR910,AR910)-1)</f>
        <v/>
      </c>
      <c r="AU910" s="243" t="str">
        <f>IF($AL910="","",RANK(AV910,$AV$2:$AV$1001)+COUNTIF($AV$2:AV910,AV910)-1)</f>
        <v/>
      </c>
      <c r="AV910" s="266">
        <f t="shared" si="60"/>
        <v>0</v>
      </c>
    </row>
    <row r="911" spans="26:48" ht="15" customHeight="1" x14ac:dyDescent="0.2">
      <c r="Z911" s="243" t="str">
        <f>Shares!A911</f>
        <v/>
      </c>
      <c r="AA911" s="243" t="str">
        <f>Shares!B911</f>
        <v/>
      </c>
      <c r="AB911" s="243" t="str">
        <f>Shares!C911</f>
        <v/>
      </c>
      <c r="AC911" s="243" t="str">
        <f>Shares!D911</f>
        <v/>
      </c>
      <c r="AD911" s="243">
        <f>IF($Z911="",0,Shares!E911)</f>
        <v>0</v>
      </c>
      <c r="AE911" s="266">
        <f>IF($Z911="",0,Shares!J911*Shares!I911)</f>
        <v>0</v>
      </c>
      <c r="AF911" s="267">
        <f t="shared" si="59"/>
        <v>0</v>
      </c>
      <c r="AG911" s="266">
        <f>IF($Z911="",0,Shares!L911)</f>
        <v>0</v>
      </c>
      <c r="AH911" s="267">
        <f>IF($Z911="",0,Shares!M911)</f>
        <v>0</v>
      </c>
      <c r="AI911" s="243" t="str">
        <f>IF($Z911="","",RANK(AE911,$AE$2:$AE$1001)+COUNTIF($AE$2:AE911,AE911)-1)</f>
        <v/>
      </c>
      <c r="AJ911" s="243" t="str">
        <f>IF($AD911&lt;0,COUNT($AJ$1:AJ910)+1,"")</f>
        <v/>
      </c>
      <c r="AL911" s="243" t="str">
        <f>'All Ticker P&amp;L'!A911</f>
        <v/>
      </c>
      <c r="AM911" s="243" t="str">
        <f>'All Ticker P&amp;L'!B911</f>
        <v/>
      </c>
      <c r="AN911" s="243" t="str">
        <f>'All Ticker P&amp;L'!C911</f>
        <v/>
      </c>
      <c r="AO911" s="243" t="str">
        <f>'All Ticker P&amp;L'!D911</f>
        <v/>
      </c>
      <c r="AP911" s="243">
        <f>IF($AL911="",0,'All Ticker P&amp;L'!E911)</f>
        <v>0</v>
      </c>
      <c r="AQ911" s="266">
        <f>IF($AL911="",0,'All Ticker P&amp;L'!J911*'All Ticker P&amp;L'!I911)</f>
        <v>0</v>
      </c>
      <c r="AR911" s="266">
        <f>IF($AL911="",0,'All Ticker P&amp;L'!L911)</f>
        <v>0</v>
      </c>
      <c r="AS911" s="267">
        <f>IF($AL911="",0,'All Ticker P&amp;L'!M911)</f>
        <v>0</v>
      </c>
      <c r="AT911" s="243" t="str">
        <f>IF($AL911="","",RANK(AR911,$AR$2:$AR$1001)+COUNTIF($AR$2:AR911,AR911)-1)</f>
        <v/>
      </c>
      <c r="AU911" s="243" t="str">
        <f>IF($AL911="","",RANK(AV911,$AV$2:$AV$1001)+COUNTIF($AV$2:AV911,AV911)-1)</f>
        <v/>
      </c>
      <c r="AV911" s="266">
        <f t="shared" si="60"/>
        <v>0</v>
      </c>
    </row>
    <row r="912" spans="26:48" ht="15" customHeight="1" x14ac:dyDescent="0.2">
      <c r="Z912" s="243" t="str">
        <f>Shares!A912</f>
        <v/>
      </c>
      <c r="AA912" s="243" t="str">
        <f>Shares!B912</f>
        <v/>
      </c>
      <c r="AB912" s="243" t="str">
        <f>Shares!C912</f>
        <v/>
      </c>
      <c r="AC912" s="243" t="str">
        <f>Shares!D912</f>
        <v/>
      </c>
      <c r="AD912" s="243">
        <f>IF($Z912="",0,Shares!E912)</f>
        <v>0</v>
      </c>
      <c r="AE912" s="266">
        <f>IF($Z912="",0,Shares!J912*Shares!I912)</f>
        <v>0</v>
      </c>
      <c r="AF912" s="267">
        <f t="shared" si="59"/>
        <v>0</v>
      </c>
      <c r="AG912" s="266">
        <f>IF($Z912="",0,Shares!L912)</f>
        <v>0</v>
      </c>
      <c r="AH912" s="267">
        <f>IF($Z912="",0,Shares!M912)</f>
        <v>0</v>
      </c>
      <c r="AI912" s="243" t="str">
        <f>IF($Z912="","",RANK(AE912,$AE$2:$AE$1001)+COUNTIF($AE$2:AE912,AE912)-1)</f>
        <v/>
      </c>
      <c r="AJ912" s="243" t="str">
        <f>IF($AD912&lt;0,COUNT($AJ$1:AJ911)+1,"")</f>
        <v/>
      </c>
      <c r="AL912" s="243" t="str">
        <f>'All Ticker P&amp;L'!A912</f>
        <v/>
      </c>
      <c r="AM912" s="243" t="str">
        <f>'All Ticker P&amp;L'!B912</f>
        <v/>
      </c>
      <c r="AN912" s="243" t="str">
        <f>'All Ticker P&amp;L'!C912</f>
        <v/>
      </c>
      <c r="AO912" s="243" t="str">
        <f>'All Ticker P&amp;L'!D912</f>
        <v/>
      </c>
      <c r="AP912" s="243">
        <f>IF($AL912="",0,'All Ticker P&amp;L'!E912)</f>
        <v>0</v>
      </c>
      <c r="AQ912" s="266">
        <f>IF($AL912="",0,'All Ticker P&amp;L'!J912*'All Ticker P&amp;L'!I912)</f>
        <v>0</v>
      </c>
      <c r="AR912" s="266">
        <f>IF($AL912="",0,'All Ticker P&amp;L'!L912)</f>
        <v>0</v>
      </c>
      <c r="AS912" s="267">
        <f>IF($AL912="",0,'All Ticker P&amp;L'!M912)</f>
        <v>0</v>
      </c>
      <c r="AT912" s="243" t="str">
        <f>IF($AL912="","",RANK(AR912,$AR$2:$AR$1001)+COUNTIF($AR$2:AR912,AR912)-1)</f>
        <v/>
      </c>
      <c r="AU912" s="243" t="str">
        <f>IF($AL912="","",RANK(AV912,$AV$2:$AV$1001)+COUNTIF($AV$2:AV912,AV912)-1)</f>
        <v/>
      </c>
      <c r="AV912" s="266">
        <f t="shared" si="60"/>
        <v>0</v>
      </c>
    </row>
    <row r="913" spans="26:48" ht="15" customHeight="1" x14ac:dyDescent="0.2">
      <c r="Z913" s="243" t="str">
        <f>Shares!A913</f>
        <v/>
      </c>
      <c r="AA913" s="243" t="str">
        <f>Shares!B913</f>
        <v/>
      </c>
      <c r="AB913" s="243" t="str">
        <f>Shares!C913</f>
        <v/>
      </c>
      <c r="AC913" s="243" t="str">
        <f>Shares!D913</f>
        <v/>
      </c>
      <c r="AD913" s="243">
        <f>IF($Z913="",0,Shares!E913)</f>
        <v>0</v>
      </c>
      <c r="AE913" s="266">
        <f>IF($Z913="",0,Shares!J913*Shares!I913)</f>
        <v>0</v>
      </c>
      <c r="AF913" s="267">
        <f t="shared" si="59"/>
        <v>0</v>
      </c>
      <c r="AG913" s="266">
        <f>IF($Z913="",0,Shares!L913)</f>
        <v>0</v>
      </c>
      <c r="AH913" s="267">
        <f>IF($Z913="",0,Shares!M913)</f>
        <v>0</v>
      </c>
      <c r="AI913" s="243" t="str">
        <f>IF($Z913="","",RANK(AE913,$AE$2:$AE$1001)+COUNTIF($AE$2:AE913,AE913)-1)</f>
        <v/>
      </c>
      <c r="AJ913" s="243" t="str">
        <f>IF($AD913&lt;0,COUNT($AJ$1:AJ912)+1,"")</f>
        <v/>
      </c>
      <c r="AL913" s="243" t="str">
        <f>'All Ticker P&amp;L'!A913</f>
        <v/>
      </c>
      <c r="AM913" s="243" t="str">
        <f>'All Ticker P&amp;L'!B913</f>
        <v/>
      </c>
      <c r="AN913" s="243" t="str">
        <f>'All Ticker P&amp;L'!C913</f>
        <v/>
      </c>
      <c r="AO913" s="243" t="str">
        <f>'All Ticker P&amp;L'!D913</f>
        <v/>
      </c>
      <c r="AP913" s="243">
        <f>IF($AL913="",0,'All Ticker P&amp;L'!E913)</f>
        <v>0</v>
      </c>
      <c r="AQ913" s="266">
        <f>IF($AL913="",0,'All Ticker P&amp;L'!J913*'All Ticker P&amp;L'!I913)</f>
        <v>0</v>
      </c>
      <c r="AR913" s="266">
        <f>IF($AL913="",0,'All Ticker P&amp;L'!L913)</f>
        <v>0</v>
      </c>
      <c r="AS913" s="267">
        <f>IF($AL913="",0,'All Ticker P&amp;L'!M913)</f>
        <v>0</v>
      </c>
      <c r="AT913" s="243" t="str">
        <f>IF($AL913="","",RANK(AR913,$AR$2:$AR$1001)+COUNTIF($AR$2:AR913,AR913)-1)</f>
        <v/>
      </c>
      <c r="AU913" s="243" t="str">
        <f>IF($AL913="","",RANK(AV913,$AV$2:$AV$1001)+COUNTIF($AV$2:AV913,AV913)-1)</f>
        <v/>
      </c>
      <c r="AV913" s="266">
        <f t="shared" si="60"/>
        <v>0</v>
      </c>
    </row>
    <row r="914" spans="26:48" ht="15" customHeight="1" x14ac:dyDescent="0.2">
      <c r="Z914" s="243" t="str">
        <f>Shares!A914</f>
        <v/>
      </c>
      <c r="AA914" s="243" t="str">
        <f>Shares!B914</f>
        <v/>
      </c>
      <c r="AB914" s="243" t="str">
        <f>Shares!C914</f>
        <v/>
      </c>
      <c r="AC914" s="243" t="str">
        <f>Shares!D914</f>
        <v/>
      </c>
      <c r="AD914" s="243">
        <f>IF($Z914="",0,Shares!E914)</f>
        <v>0</v>
      </c>
      <c r="AE914" s="266">
        <f>IF($Z914="",0,Shares!J914*Shares!I914)</f>
        <v>0</v>
      </c>
      <c r="AF914" s="267">
        <f t="shared" si="59"/>
        <v>0</v>
      </c>
      <c r="AG914" s="266">
        <f>IF($Z914="",0,Shares!L914)</f>
        <v>0</v>
      </c>
      <c r="AH914" s="267">
        <f>IF($Z914="",0,Shares!M914)</f>
        <v>0</v>
      </c>
      <c r="AI914" s="243" t="str">
        <f>IF($Z914="","",RANK(AE914,$AE$2:$AE$1001)+COUNTIF($AE$2:AE914,AE914)-1)</f>
        <v/>
      </c>
      <c r="AJ914" s="243" t="str">
        <f>IF($AD914&lt;0,COUNT($AJ$1:AJ913)+1,"")</f>
        <v/>
      </c>
      <c r="AL914" s="243" t="str">
        <f>'All Ticker P&amp;L'!A914</f>
        <v/>
      </c>
      <c r="AM914" s="243" t="str">
        <f>'All Ticker P&amp;L'!B914</f>
        <v/>
      </c>
      <c r="AN914" s="243" t="str">
        <f>'All Ticker P&amp;L'!C914</f>
        <v/>
      </c>
      <c r="AO914" s="243" t="str">
        <f>'All Ticker P&amp;L'!D914</f>
        <v/>
      </c>
      <c r="AP914" s="243">
        <f>IF($AL914="",0,'All Ticker P&amp;L'!E914)</f>
        <v>0</v>
      </c>
      <c r="AQ914" s="266">
        <f>IF($AL914="",0,'All Ticker P&amp;L'!J914*'All Ticker P&amp;L'!I914)</f>
        <v>0</v>
      </c>
      <c r="AR914" s="266">
        <f>IF($AL914="",0,'All Ticker P&amp;L'!L914)</f>
        <v>0</v>
      </c>
      <c r="AS914" s="267">
        <f>IF($AL914="",0,'All Ticker P&amp;L'!M914)</f>
        <v>0</v>
      </c>
      <c r="AT914" s="243" t="str">
        <f>IF($AL914="","",RANK(AR914,$AR$2:$AR$1001)+COUNTIF($AR$2:AR914,AR914)-1)</f>
        <v/>
      </c>
      <c r="AU914" s="243" t="str">
        <f>IF($AL914="","",RANK(AV914,$AV$2:$AV$1001)+COUNTIF($AV$2:AV914,AV914)-1)</f>
        <v/>
      </c>
      <c r="AV914" s="266">
        <f t="shared" si="60"/>
        <v>0</v>
      </c>
    </row>
    <row r="915" spans="26:48" ht="15" customHeight="1" x14ac:dyDescent="0.2">
      <c r="Z915" s="243" t="str">
        <f>Shares!A915</f>
        <v/>
      </c>
      <c r="AA915" s="243" t="str">
        <f>Shares!B915</f>
        <v/>
      </c>
      <c r="AB915" s="243" t="str">
        <f>Shares!C915</f>
        <v/>
      </c>
      <c r="AC915" s="243" t="str">
        <f>Shares!D915</f>
        <v/>
      </c>
      <c r="AD915" s="243">
        <f>IF($Z915="",0,Shares!E915)</f>
        <v>0</v>
      </c>
      <c r="AE915" s="266">
        <f>IF($Z915="",0,Shares!J915*Shares!I915)</f>
        <v>0</v>
      </c>
      <c r="AF915" s="267">
        <f t="shared" si="59"/>
        <v>0</v>
      </c>
      <c r="AG915" s="266">
        <f>IF($Z915="",0,Shares!L915)</f>
        <v>0</v>
      </c>
      <c r="AH915" s="267">
        <f>IF($Z915="",0,Shares!M915)</f>
        <v>0</v>
      </c>
      <c r="AI915" s="243" t="str">
        <f>IF($Z915="","",RANK(AE915,$AE$2:$AE$1001)+COUNTIF($AE$2:AE915,AE915)-1)</f>
        <v/>
      </c>
      <c r="AJ915" s="243" t="str">
        <f>IF($AD915&lt;0,COUNT($AJ$1:AJ914)+1,"")</f>
        <v/>
      </c>
      <c r="AL915" s="243" t="str">
        <f>'All Ticker P&amp;L'!A915</f>
        <v/>
      </c>
      <c r="AM915" s="243" t="str">
        <f>'All Ticker P&amp;L'!B915</f>
        <v/>
      </c>
      <c r="AN915" s="243" t="str">
        <f>'All Ticker P&amp;L'!C915</f>
        <v/>
      </c>
      <c r="AO915" s="243" t="str">
        <f>'All Ticker P&amp;L'!D915</f>
        <v/>
      </c>
      <c r="AP915" s="243">
        <f>IF($AL915="",0,'All Ticker P&amp;L'!E915)</f>
        <v>0</v>
      </c>
      <c r="AQ915" s="266">
        <f>IF($AL915="",0,'All Ticker P&amp;L'!J915*'All Ticker P&amp;L'!I915)</f>
        <v>0</v>
      </c>
      <c r="AR915" s="266">
        <f>IF($AL915="",0,'All Ticker P&amp;L'!L915)</f>
        <v>0</v>
      </c>
      <c r="AS915" s="267">
        <f>IF($AL915="",0,'All Ticker P&amp;L'!M915)</f>
        <v>0</v>
      </c>
      <c r="AT915" s="243" t="str">
        <f>IF($AL915="","",RANK(AR915,$AR$2:$AR$1001)+COUNTIF($AR$2:AR915,AR915)-1)</f>
        <v/>
      </c>
      <c r="AU915" s="243" t="str">
        <f>IF($AL915="","",RANK(AV915,$AV$2:$AV$1001)+COUNTIF($AV$2:AV915,AV915)-1)</f>
        <v/>
      </c>
      <c r="AV915" s="266">
        <f t="shared" si="60"/>
        <v>0</v>
      </c>
    </row>
    <row r="916" spans="26:48" ht="15" customHeight="1" x14ac:dyDescent="0.2">
      <c r="Z916" s="243" t="str">
        <f>Shares!A916</f>
        <v/>
      </c>
      <c r="AA916" s="243" t="str">
        <f>Shares!B916</f>
        <v/>
      </c>
      <c r="AB916" s="243" t="str">
        <f>Shares!C916</f>
        <v/>
      </c>
      <c r="AC916" s="243" t="str">
        <f>Shares!D916</f>
        <v/>
      </c>
      <c r="AD916" s="243">
        <f>IF($Z916="",0,Shares!E916)</f>
        <v>0</v>
      </c>
      <c r="AE916" s="266">
        <f>IF($Z916="",0,Shares!J916*Shares!I916)</f>
        <v>0</v>
      </c>
      <c r="AF916" s="267">
        <f t="shared" si="59"/>
        <v>0</v>
      </c>
      <c r="AG916" s="266">
        <f>IF($Z916="",0,Shares!L916)</f>
        <v>0</v>
      </c>
      <c r="AH916" s="267">
        <f>IF($Z916="",0,Shares!M916)</f>
        <v>0</v>
      </c>
      <c r="AI916" s="243" t="str">
        <f>IF($Z916="","",RANK(AE916,$AE$2:$AE$1001)+COUNTIF($AE$2:AE916,AE916)-1)</f>
        <v/>
      </c>
      <c r="AJ916" s="243" t="str">
        <f>IF($AD916&lt;0,COUNT($AJ$1:AJ915)+1,"")</f>
        <v/>
      </c>
      <c r="AL916" s="243" t="str">
        <f>'All Ticker P&amp;L'!A916</f>
        <v/>
      </c>
      <c r="AM916" s="243" t="str">
        <f>'All Ticker P&amp;L'!B916</f>
        <v/>
      </c>
      <c r="AN916" s="243" t="str">
        <f>'All Ticker P&amp;L'!C916</f>
        <v/>
      </c>
      <c r="AO916" s="243" t="str">
        <f>'All Ticker P&amp;L'!D916</f>
        <v/>
      </c>
      <c r="AP916" s="243">
        <f>IF($AL916="",0,'All Ticker P&amp;L'!E916)</f>
        <v>0</v>
      </c>
      <c r="AQ916" s="266">
        <f>IF($AL916="",0,'All Ticker P&amp;L'!J916*'All Ticker P&amp;L'!I916)</f>
        <v>0</v>
      </c>
      <c r="AR916" s="266">
        <f>IF($AL916="",0,'All Ticker P&amp;L'!L916)</f>
        <v>0</v>
      </c>
      <c r="AS916" s="267">
        <f>IF($AL916="",0,'All Ticker P&amp;L'!M916)</f>
        <v>0</v>
      </c>
      <c r="AT916" s="243" t="str">
        <f>IF($AL916="","",RANK(AR916,$AR$2:$AR$1001)+COUNTIF($AR$2:AR916,AR916)-1)</f>
        <v/>
      </c>
      <c r="AU916" s="243" t="str">
        <f>IF($AL916="","",RANK(AV916,$AV$2:$AV$1001)+COUNTIF($AV$2:AV916,AV916)-1)</f>
        <v/>
      </c>
      <c r="AV916" s="266">
        <f t="shared" si="60"/>
        <v>0</v>
      </c>
    </row>
    <row r="917" spans="26:48" ht="15" customHeight="1" x14ac:dyDescent="0.2">
      <c r="Z917" s="243" t="str">
        <f>Shares!A917</f>
        <v/>
      </c>
      <c r="AA917" s="243" t="str">
        <f>Shares!B917</f>
        <v/>
      </c>
      <c r="AB917" s="243" t="str">
        <f>Shares!C917</f>
        <v/>
      </c>
      <c r="AC917" s="243" t="str">
        <f>Shares!D917</f>
        <v/>
      </c>
      <c r="AD917" s="243">
        <f>IF($Z917="",0,Shares!E917)</f>
        <v>0</v>
      </c>
      <c r="AE917" s="266">
        <f>IF($Z917="",0,Shares!J917*Shares!I917)</f>
        <v>0</v>
      </c>
      <c r="AF917" s="267">
        <f t="shared" si="59"/>
        <v>0</v>
      </c>
      <c r="AG917" s="266">
        <f>IF($Z917="",0,Shares!L917)</f>
        <v>0</v>
      </c>
      <c r="AH917" s="267">
        <f>IF($Z917="",0,Shares!M917)</f>
        <v>0</v>
      </c>
      <c r="AI917" s="243" t="str">
        <f>IF($Z917="","",RANK(AE917,$AE$2:$AE$1001)+COUNTIF($AE$2:AE917,AE917)-1)</f>
        <v/>
      </c>
      <c r="AJ917" s="243" t="str">
        <f>IF($AD917&lt;0,COUNT($AJ$1:AJ916)+1,"")</f>
        <v/>
      </c>
      <c r="AL917" s="243" t="str">
        <f>'All Ticker P&amp;L'!A917</f>
        <v/>
      </c>
      <c r="AM917" s="243" t="str">
        <f>'All Ticker P&amp;L'!B917</f>
        <v/>
      </c>
      <c r="AN917" s="243" t="str">
        <f>'All Ticker P&amp;L'!C917</f>
        <v/>
      </c>
      <c r="AO917" s="243" t="str">
        <f>'All Ticker P&amp;L'!D917</f>
        <v/>
      </c>
      <c r="AP917" s="243">
        <f>IF($AL917="",0,'All Ticker P&amp;L'!E917)</f>
        <v>0</v>
      </c>
      <c r="AQ917" s="266">
        <f>IF($AL917="",0,'All Ticker P&amp;L'!J917*'All Ticker P&amp;L'!I917)</f>
        <v>0</v>
      </c>
      <c r="AR917" s="266">
        <f>IF($AL917="",0,'All Ticker P&amp;L'!L917)</f>
        <v>0</v>
      </c>
      <c r="AS917" s="267">
        <f>IF($AL917="",0,'All Ticker P&amp;L'!M917)</f>
        <v>0</v>
      </c>
      <c r="AT917" s="243" t="str">
        <f>IF($AL917="","",RANK(AR917,$AR$2:$AR$1001)+COUNTIF($AR$2:AR917,AR917)-1)</f>
        <v/>
      </c>
      <c r="AU917" s="243" t="str">
        <f>IF($AL917="","",RANK(AV917,$AV$2:$AV$1001)+COUNTIF($AV$2:AV917,AV917)-1)</f>
        <v/>
      </c>
      <c r="AV917" s="266">
        <f t="shared" si="60"/>
        <v>0</v>
      </c>
    </row>
    <row r="918" spans="26:48" ht="15" customHeight="1" x14ac:dyDescent="0.2">
      <c r="Z918" s="243" t="str">
        <f>Shares!A918</f>
        <v/>
      </c>
      <c r="AA918" s="243" t="str">
        <f>Shares!B918</f>
        <v/>
      </c>
      <c r="AB918" s="243" t="str">
        <f>Shares!C918</f>
        <v/>
      </c>
      <c r="AC918" s="243" t="str">
        <f>Shares!D918</f>
        <v/>
      </c>
      <c r="AD918" s="243">
        <f>IF($Z918="",0,Shares!E918)</f>
        <v>0</v>
      </c>
      <c r="AE918" s="266">
        <f>IF($Z918="",0,Shares!J918*Shares!I918)</f>
        <v>0</v>
      </c>
      <c r="AF918" s="267">
        <f t="shared" si="59"/>
        <v>0</v>
      </c>
      <c r="AG918" s="266">
        <f>IF($Z918="",0,Shares!L918)</f>
        <v>0</v>
      </c>
      <c r="AH918" s="267">
        <f>IF($Z918="",0,Shares!M918)</f>
        <v>0</v>
      </c>
      <c r="AI918" s="243" t="str">
        <f>IF($Z918="","",RANK(AE918,$AE$2:$AE$1001)+COUNTIF($AE$2:AE918,AE918)-1)</f>
        <v/>
      </c>
      <c r="AJ918" s="243" t="str">
        <f>IF($AD918&lt;0,COUNT($AJ$1:AJ917)+1,"")</f>
        <v/>
      </c>
      <c r="AL918" s="243" t="str">
        <f>'All Ticker P&amp;L'!A918</f>
        <v/>
      </c>
      <c r="AM918" s="243" t="str">
        <f>'All Ticker P&amp;L'!B918</f>
        <v/>
      </c>
      <c r="AN918" s="243" t="str">
        <f>'All Ticker P&amp;L'!C918</f>
        <v/>
      </c>
      <c r="AO918" s="243" t="str">
        <f>'All Ticker P&amp;L'!D918</f>
        <v/>
      </c>
      <c r="AP918" s="243">
        <f>IF($AL918="",0,'All Ticker P&amp;L'!E918)</f>
        <v>0</v>
      </c>
      <c r="AQ918" s="266">
        <f>IF($AL918="",0,'All Ticker P&amp;L'!J918*'All Ticker P&amp;L'!I918)</f>
        <v>0</v>
      </c>
      <c r="AR918" s="266">
        <f>IF($AL918="",0,'All Ticker P&amp;L'!L918)</f>
        <v>0</v>
      </c>
      <c r="AS918" s="267">
        <f>IF($AL918="",0,'All Ticker P&amp;L'!M918)</f>
        <v>0</v>
      </c>
      <c r="AT918" s="243" t="str">
        <f>IF($AL918="","",RANK(AR918,$AR$2:$AR$1001)+COUNTIF($AR$2:AR918,AR918)-1)</f>
        <v/>
      </c>
      <c r="AU918" s="243" t="str">
        <f>IF($AL918="","",RANK(AV918,$AV$2:$AV$1001)+COUNTIF($AV$2:AV918,AV918)-1)</f>
        <v/>
      </c>
      <c r="AV918" s="266">
        <f t="shared" si="60"/>
        <v>0</v>
      </c>
    </row>
    <row r="919" spans="26:48" ht="15" customHeight="1" x14ac:dyDescent="0.2">
      <c r="Z919" s="243" t="str">
        <f>Shares!A919</f>
        <v/>
      </c>
      <c r="AA919" s="243" t="str">
        <f>Shares!B919</f>
        <v/>
      </c>
      <c r="AB919" s="243" t="str">
        <f>Shares!C919</f>
        <v/>
      </c>
      <c r="AC919" s="243" t="str">
        <f>Shares!D919</f>
        <v/>
      </c>
      <c r="AD919" s="243">
        <f>IF($Z919="",0,Shares!E919)</f>
        <v>0</v>
      </c>
      <c r="AE919" s="266">
        <f>IF($Z919="",0,Shares!J919*Shares!I919)</f>
        <v>0</v>
      </c>
      <c r="AF919" s="267">
        <f t="shared" si="59"/>
        <v>0</v>
      </c>
      <c r="AG919" s="266">
        <f>IF($Z919="",0,Shares!L919)</f>
        <v>0</v>
      </c>
      <c r="AH919" s="267">
        <f>IF($Z919="",0,Shares!M919)</f>
        <v>0</v>
      </c>
      <c r="AI919" s="243" t="str">
        <f>IF($Z919="","",RANK(AE919,$AE$2:$AE$1001)+COUNTIF($AE$2:AE919,AE919)-1)</f>
        <v/>
      </c>
      <c r="AJ919" s="243" t="str">
        <f>IF($AD919&lt;0,COUNT($AJ$1:AJ918)+1,"")</f>
        <v/>
      </c>
      <c r="AL919" s="243" t="str">
        <f>'All Ticker P&amp;L'!A919</f>
        <v/>
      </c>
      <c r="AM919" s="243" t="str">
        <f>'All Ticker P&amp;L'!B919</f>
        <v/>
      </c>
      <c r="AN919" s="243" t="str">
        <f>'All Ticker P&amp;L'!C919</f>
        <v/>
      </c>
      <c r="AO919" s="243" t="str">
        <f>'All Ticker P&amp;L'!D919</f>
        <v/>
      </c>
      <c r="AP919" s="243">
        <f>IF($AL919="",0,'All Ticker P&amp;L'!E919)</f>
        <v>0</v>
      </c>
      <c r="AQ919" s="266">
        <f>IF($AL919="",0,'All Ticker P&amp;L'!J919*'All Ticker P&amp;L'!I919)</f>
        <v>0</v>
      </c>
      <c r="AR919" s="266">
        <f>IF($AL919="",0,'All Ticker P&amp;L'!L919)</f>
        <v>0</v>
      </c>
      <c r="AS919" s="267">
        <f>IF($AL919="",0,'All Ticker P&amp;L'!M919)</f>
        <v>0</v>
      </c>
      <c r="AT919" s="243" t="str">
        <f>IF($AL919="","",RANK(AR919,$AR$2:$AR$1001)+COUNTIF($AR$2:AR919,AR919)-1)</f>
        <v/>
      </c>
      <c r="AU919" s="243" t="str">
        <f>IF($AL919="","",RANK(AV919,$AV$2:$AV$1001)+COUNTIF($AV$2:AV919,AV919)-1)</f>
        <v/>
      </c>
      <c r="AV919" s="266">
        <f t="shared" si="60"/>
        <v>0</v>
      </c>
    </row>
    <row r="920" spans="26:48" ht="15" customHeight="1" x14ac:dyDescent="0.2">
      <c r="Z920" s="243" t="str">
        <f>Shares!A920</f>
        <v/>
      </c>
      <c r="AA920" s="243" t="str">
        <f>Shares!B920</f>
        <v/>
      </c>
      <c r="AB920" s="243" t="str">
        <f>Shares!C920</f>
        <v/>
      </c>
      <c r="AC920" s="243" t="str">
        <f>Shares!D920</f>
        <v/>
      </c>
      <c r="AD920" s="243">
        <f>IF($Z920="",0,Shares!E920)</f>
        <v>0</v>
      </c>
      <c r="AE920" s="266">
        <f>IF($Z920="",0,Shares!J920*Shares!I920)</f>
        <v>0</v>
      </c>
      <c r="AF920" s="267">
        <f t="shared" si="59"/>
        <v>0</v>
      </c>
      <c r="AG920" s="266">
        <f>IF($Z920="",0,Shares!L920)</f>
        <v>0</v>
      </c>
      <c r="AH920" s="267">
        <f>IF($Z920="",0,Shares!M920)</f>
        <v>0</v>
      </c>
      <c r="AI920" s="243" t="str">
        <f>IF($Z920="","",RANK(AE920,$AE$2:$AE$1001)+COUNTIF($AE$2:AE920,AE920)-1)</f>
        <v/>
      </c>
      <c r="AJ920" s="243" t="str">
        <f>IF($AD920&lt;0,COUNT($AJ$1:AJ919)+1,"")</f>
        <v/>
      </c>
      <c r="AL920" s="243" t="str">
        <f>'All Ticker P&amp;L'!A920</f>
        <v/>
      </c>
      <c r="AM920" s="243" t="str">
        <f>'All Ticker P&amp;L'!B920</f>
        <v/>
      </c>
      <c r="AN920" s="243" t="str">
        <f>'All Ticker P&amp;L'!C920</f>
        <v/>
      </c>
      <c r="AO920" s="243" t="str">
        <f>'All Ticker P&amp;L'!D920</f>
        <v/>
      </c>
      <c r="AP920" s="243">
        <f>IF($AL920="",0,'All Ticker P&amp;L'!E920)</f>
        <v>0</v>
      </c>
      <c r="AQ920" s="266">
        <f>IF($AL920="",0,'All Ticker P&amp;L'!J920*'All Ticker P&amp;L'!I920)</f>
        <v>0</v>
      </c>
      <c r="AR920" s="266">
        <f>IF($AL920="",0,'All Ticker P&amp;L'!L920)</f>
        <v>0</v>
      </c>
      <c r="AS920" s="267">
        <f>IF($AL920="",0,'All Ticker P&amp;L'!M920)</f>
        <v>0</v>
      </c>
      <c r="AT920" s="243" t="str">
        <f>IF($AL920="","",RANK(AR920,$AR$2:$AR$1001)+COUNTIF($AR$2:AR920,AR920)-1)</f>
        <v/>
      </c>
      <c r="AU920" s="243" t="str">
        <f>IF($AL920="","",RANK(AV920,$AV$2:$AV$1001)+COUNTIF($AV$2:AV920,AV920)-1)</f>
        <v/>
      </c>
      <c r="AV920" s="266">
        <f t="shared" si="60"/>
        <v>0</v>
      </c>
    </row>
    <row r="921" spans="26:48" ht="15" customHeight="1" x14ac:dyDescent="0.2">
      <c r="Z921" s="243" t="str">
        <f>Shares!A921</f>
        <v/>
      </c>
      <c r="AA921" s="243" t="str">
        <f>Shares!B921</f>
        <v/>
      </c>
      <c r="AB921" s="243" t="str">
        <f>Shares!C921</f>
        <v/>
      </c>
      <c r="AC921" s="243" t="str">
        <f>Shares!D921</f>
        <v/>
      </c>
      <c r="AD921" s="243">
        <f>IF($Z921="",0,Shares!E921)</f>
        <v>0</v>
      </c>
      <c r="AE921" s="266">
        <f>IF($Z921="",0,Shares!J921*Shares!I921)</f>
        <v>0</v>
      </c>
      <c r="AF921" s="267">
        <f t="shared" si="59"/>
        <v>0</v>
      </c>
      <c r="AG921" s="266">
        <f>IF($Z921="",0,Shares!L921)</f>
        <v>0</v>
      </c>
      <c r="AH921" s="267">
        <f>IF($Z921="",0,Shares!M921)</f>
        <v>0</v>
      </c>
      <c r="AI921" s="243" t="str">
        <f>IF($Z921="","",RANK(AE921,$AE$2:$AE$1001)+COUNTIF($AE$2:AE921,AE921)-1)</f>
        <v/>
      </c>
      <c r="AJ921" s="243" t="str">
        <f>IF($AD921&lt;0,COUNT($AJ$1:AJ920)+1,"")</f>
        <v/>
      </c>
      <c r="AL921" s="243" t="str">
        <f>'All Ticker P&amp;L'!A921</f>
        <v/>
      </c>
      <c r="AM921" s="243" t="str">
        <f>'All Ticker P&amp;L'!B921</f>
        <v/>
      </c>
      <c r="AN921" s="243" t="str">
        <f>'All Ticker P&amp;L'!C921</f>
        <v/>
      </c>
      <c r="AO921" s="243" t="str">
        <f>'All Ticker P&amp;L'!D921</f>
        <v/>
      </c>
      <c r="AP921" s="243">
        <f>IF($AL921="",0,'All Ticker P&amp;L'!E921)</f>
        <v>0</v>
      </c>
      <c r="AQ921" s="266">
        <f>IF($AL921="",0,'All Ticker P&amp;L'!J921*'All Ticker P&amp;L'!I921)</f>
        <v>0</v>
      </c>
      <c r="AR921" s="266">
        <f>IF($AL921="",0,'All Ticker P&amp;L'!L921)</f>
        <v>0</v>
      </c>
      <c r="AS921" s="267">
        <f>IF($AL921="",0,'All Ticker P&amp;L'!M921)</f>
        <v>0</v>
      </c>
      <c r="AT921" s="243" t="str">
        <f>IF($AL921="","",RANK(AR921,$AR$2:$AR$1001)+COUNTIF($AR$2:AR921,AR921)-1)</f>
        <v/>
      </c>
      <c r="AU921" s="243" t="str">
        <f>IF($AL921="","",RANK(AV921,$AV$2:$AV$1001)+COUNTIF($AV$2:AV921,AV921)-1)</f>
        <v/>
      </c>
      <c r="AV921" s="266">
        <f t="shared" si="60"/>
        <v>0</v>
      </c>
    </row>
    <row r="922" spans="26:48" ht="15" customHeight="1" x14ac:dyDescent="0.2">
      <c r="Z922" s="243" t="str">
        <f>Shares!A922</f>
        <v/>
      </c>
      <c r="AA922" s="243" t="str">
        <f>Shares!B922</f>
        <v/>
      </c>
      <c r="AB922" s="243" t="str">
        <f>Shares!C922</f>
        <v/>
      </c>
      <c r="AC922" s="243" t="str">
        <f>Shares!D922</f>
        <v/>
      </c>
      <c r="AD922" s="243">
        <f>IF($Z922="",0,Shares!E922)</f>
        <v>0</v>
      </c>
      <c r="AE922" s="266">
        <f>IF($Z922="",0,Shares!J922*Shares!I922)</f>
        <v>0</v>
      </c>
      <c r="AF922" s="267">
        <f t="shared" si="59"/>
        <v>0</v>
      </c>
      <c r="AG922" s="266">
        <f>IF($Z922="",0,Shares!L922)</f>
        <v>0</v>
      </c>
      <c r="AH922" s="267">
        <f>IF($Z922="",0,Shares!M922)</f>
        <v>0</v>
      </c>
      <c r="AI922" s="243" t="str">
        <f>IF($Z922="","",RANK(AE922,$AE$2:$AE$1001)+COUNTIF($AE$2:AE922,AE922)-1)</f>
        <v/>
      </c>
      <c r="AJ922" s="243" t="str">
        <f>IF($AD922&lt;0,COUNT($AJ$1:AJ921)+1,"")</f>
        <v/>
      </c>
      <c r="AL922" s="243" t="str">
        <f>'All Ticker P&amp;L'!A922</f>
        <v/>
      </c>
      <c r="AM922" s="243" t="str">
        <f>'All Ticker P&amp;L'!B922</f>
        <v/>
      </c>
      <c r="AN922" s="243" t="str">
        <f>'All Ticker P&amp;L'!C922</f>
        <v/>
      </c>
      <c r="AO922" s="243" t="str">
        <f>'All Ticker P&amp;L'!D922</f>
        <v/>
      </c>
      <c r="AP922" s="243">
        <f>IF($AL922="",0,'All Ticker P&amp;L'!E922)</f>
        <v>0</v>
      </c>
      <c r="AQ922" s="266">
        <f>IF($AL922="",0,'All Ticker P&amp;L'!J922*'All Ticker P&amp;L'!I922)</f>
        <v>0</v>
      </c>
      <c r="AR922" s="266">
        <f>IF($AL922="",0,'All Ticker P&amp;L'!L922)</f>
        <v>0</v>
      </c>
      <c r="AS922" s="267">
        <f>IF($AL922="",0,'All Ticker P&amp;L'!M922)</f>
        <v>0</v>
      </c>
      <c r="AT922" s="243" t="str">
        <f>IF($AL922="","",RANK(AR922,$AR$2:$AR$1001)+COUNTIF($AR$2:AR922,AR922)-1)</f>
        <v/>
      </c>
      <c r="AU922" s="243" t="str">
        <f>IF($AL922="","",RANK(AV922,$AV$2:$AV$1001)+COUNTIF($AV$2:AV922,AV922)-1)</f>
        <v/>
      </c>
      <c r="AV922" s="266">
        <f t="shared" si="60"/>
        <v>0</v>
      </c>
    </row>
    <row r="923" spans="26:48" ht="15" customHeight="1" x14ac:dyDescent="0.2">
      <c r="Z923" s="243" t="str">
        <f>Shares!A923</f>
        <v/>
      </c>
      <c r="AA923" s="243" t="str">
        <f>Shares!B923</f>
        <v/>
      </c>
      <c r="AB923" s="243" t="str">
        <f>Shares!C923</f>
        <v/>
      </c>
      <c r="AC923" s="243" t="str">
        <f>Shares!D923</f>
        <v/>
      </c>
      <c r="AD923" s="243">
        <f>IF($Z923="",0,Shares!E923)</f>
        <v>0</v>
      </c>
      <c r="AE923" s="266">
        <f>IF($Z923="",0,Shares!J923*Shares!I923)</f>
        <v>0</v>
      </c>
      <c r="AF923" s="267">
        <f t="shared" si="59"/>
        <v>0</v>
      </c>
      <c r="AG923" s="266">
        <f>IF($Z923="",0,Shares!L923)</f>
        <v>0</v>
      </c>
      <c r="AH923" s="267">
        <f>IF($Z923="",0,Shares!M923)</f>
        <v>0</v>
      </c>
      <c r="AI923" s="243" t="str">
        <f>IF($Z923="","",RANK(AE923,$AE$2:$AE$1001)+COUNTIF($AE$2:AE923,AE923)-1)</f>
        <v/>
      </c>
      <c r="AJ923" s="243" t="str">
        <f>IF($AD923&lt;0,COUNT($AJ$1:AJ922)+1,"")</f>
        <v/>
      </c>
      <c r="AL923" s="243" t="str">
        <f>'All Ticker P&amp;L'!A923</f>
        <v/>
      </c>
      <c r="AM923" s="243" t="str">
        <f>'All Ticker P&amp;L'!B923</f>
        <v/>
      </c>
      <c r="AN923" s="243" t="str">
        <f>'All Ticker P&amp;L'!C923</f>
        <v/>
      </c>
      <c r="AO923" s="243" t="str">
        <f>'All Ticker P&amp;L'!D923</f>
        <v/>
      </c>
      <c r="AP923" s="243">
        <f>IF($AL923="",0,'All Ticker P&amp;L'!E923)</f>
        <v>0</v>
      </c>
      <c r="AQ923" s="266">
        <f>IF($AL923="",0,'All Ticker P&amp;L'!J923*'All Ticker P&amp;L'!I923)</f>
        <v>0</v>
      </c>
      <c r="AR923" s="266">
        <f>IF($AL923="",0,'All Ticker P&amp;L'!L923)</f>
        <v>0</v>
      </c>
      <c r="AS923" s="267">
        <f>IF($AL923="",0,'All Ticker P&amp;L'!M923)</f>
        <v>0</v>
      </c>
      <c r="AT923" s="243" t="str">
        <f>IF($AL923="","",RANK(AR923,$AR$2:$AR$1001)+COUNTIF($AR$2:AR923,AR923)-1)</f>
        <v/>
      </c>
      <c r="AU923" s="243" t="str">
        <f>IF($AL923="","",RANK(AV923,$AV$2:$AV$1001)+COUNTIF($AV$2:AV923,AV923)-1)</f>
        <v/>
      </c>
      <c r="AV923" s="266">
        <f t="shared" si="60"/>
        <v>0</v>
      </c>
    </row>
    <row r="924" spans="26:48" ht="15" customHeight="1" x14ac:dyDescent="0.2">
      <c r="Z924" s="243" t="str">
        <f>Shares!A924</f>
        <v/>
      </c>
      <c r="AA924" s="243" t="str">
        <f>Shares!B924</f>
        <v/>
      </c>
      <c r="AB924" s="243" t="str">
        <f>Shares!C924</f>
        <v/>
      </c>
      <c r="AC924" s="243" t="str">
        <f>Shares!D924</f>
        <v/>
      </c>
      <c r="AD924" s="243">
        <f>IF($Z924="",0,Shares!E924)</f>
        <v>0</v>
      </c>
      <c r="AE924" s="266">
        <f>IF($Z924="",0,Shares!J924*Shares!I924)</f>
        <v>0</v>
      </c>
      <c r="AF924" s="267">
        <f t="shared" si="59"/>
        <v>0</v>
      </c>
      <c r="AG924" s="266">
        <f>IF($Z924="",0,Shares!L924)</f>
        <v>0</v>
      </c>
      <c r="AH924" s="267">
        <f>IF($Z924="",0,Shares!M924)</f>
        <v>0</v>
      </c>
      <c r="AI924" s="243" t="str">
        <f>IF($Z924="","",RANK(AE924,$AE$2:$AE$1001)+COUNTIF($AE$2:AE924,AE924)-1)</f>
        <v/>
      </c>
      <c r="AJ924" s="243" t="str">
        <f>IF($AD924&lt;0,COUNT($AJ$1:AJ923)+1,"")</f>
        <v/>
      </c>
      <c r="AL924" s="243" t="str">
        <f>'All Ticker P&amp;L'!A924</f>
        <v/>
      </c>
      <c r="AM924" s="243" t="str">
        <f>'All Ticker P&amp;L'!B924</f>
        <v/>
      </c>
      <c r="AN924" s="243" t="str">
        <f>'All Ticker P&amp;L'!C924</f>
        <v/>
      </c>
      <c r="AO924" s="243" t="str">
        <f>'All Ticker P&amp;L'!D924</f>
        <v/>
      </c>
      <c r="AP924" s="243">
        <f>IF($AL924="",0,'All Ticker P&amp;L'!E924)</f>
        <v>0</v>
      </c>
      <c r="AQ924" s="266">
        <f>IF($AL924="",0,'All Ticker P&amp;L'!J924*'All Ticker P&amp;L'!I924)</f>
        <v>0</v>
      </c>
      <c r="AR924" s="266">
        <f>IF($AL924="",0,'All Ticker P&amp;L'!L924)</f>
        <v>0</v>
      </c>
      <c r="AS924" s="267">
        <f>IF($AL924="",0,'All Ticker P&amp;L'!M924)</f>
        <v>0</v>
      </c>
      <c r="AT924" s="243" t="str">
        <f>IF($AL924="","",RANK(AR924,$AR$2:$AR$1001)+COUNTIF($AR$2:AR924,AR924)-1)</f>
        <v/>
      </c>
      <c r="AU924" s="243" t="str">
        <f>IF($AL924="","",RANK(AV924,$AV$2:$AV$1001)+COUNTIF($AV$2:AV924,AV924)-1)</f>
        <v/>
      </c>
      <c r="AV924" s="266">
        <f t="shared" si="60"/>
        <v>0</v>
      </c>
    </row>
    <row r="925" spans="26:48" ht="15" customHeight="1" x14ac:dyDescent="0.2">
      <c r="Z925" s="243" t="str">
        <f>Shares!A925</f>
        <v/>
      </c>
      <c r="AA925" s="243" t="str">
        <f>Shares!B925</f>
        <v/>
      </c>
      <c r="AB925" s="243" t="str">
        <f>Shares!C925</f>
        <v/>
      </c>
      <c r="AC925" s="243" t="str">
        <f>Shares!D925</f>
        <v/>
      </c>
      <c r="AD925" s="243">
        <f>IF($Z925="",0,Shares!E925)</f>
        <v>0</v>
      </c>
      <c r="AE925" s="266">
        <f>IF($Z925="",0,Shares!J925*Shares!I925)</f>
        <v>0</v>
      </c>
      <c r="AF925" s="267">
        <f t="shared" si="59"/>
        <v>0</v>
      </c>
      <c r="AG925" s="266">
        <f>IF($Z925="",0,Shares!L925)</f>
        <v>0</v>
      </c>
      <c r="AH925" s="267">
        <f>IF($Z925="",0,Shares!M925)</f>
        <v>0</v>
      </c>
      <c r="AI925" s="243" t="str">
        <f>IF($Z925="","",RANK(AE925,$AE$2:$AE$1001)+COUNTIF($AE$2:AE925,AE925)-1)</f>
        <v/>
      </c>
      <c r="AJ925" s="243" t="str">
        <f>IF($AD925&lt;0,COUNT($AJ$1:AJ924)+1,"")</f>
        <v/>
      </c>
      <c r="AL925" s="243" t="str">
        <f>'All Ticker P&amp;L'!A925</f>
        <v/>
      </c>
      <c r="AM925" s="243" t="str">
        <f>'All Ticker P&amp;L'!B925</f>
        <v/>
      </c>
      <c r="AN925" s="243" t="str">
        <f>'All Ticker P&amp;L'!C925</f>
        <v/>
      </c>
      <c r="AO925" s="243" t="str">
        <f>'All Ticker P&amp;L'!D925</f>
        <v/>
      </c>
      <c r="AP925" s="243">
        <f>IF($AL925="",0,'All Ticker P&amp;L'!E925)</f>
        <v>0</v>
      </c>
      <c r="AQ925" s="266">
        <f>IF($AL925="",0,'All Ticker P&amp;L'!J925*'All Ticker P&amp;L'!I925)</f>
        <v>0</v>
      </c>
      <c r="AR925" s="266">
        <f>IF($AL925="",0,'All Ticker P&amp;L'!L925)</f>
        <v>0</v>
      </c>
      <c r="AS925" s="267">
        <f>IF($AL925="",0,'All Ticker P&amp;L'!M925)</f>
        <v>0</v>
      </c>
      <c r="AT925" s="243" t="str">
        <f>IF($AL925="","",RANK(AR925,$AR$2:$AR$1001)+COUNTIF($AR$2:AR925,AR925)-1)</f>
        <v/>
      </c>
      <c r="AU925" s="243" t="str">
        <f>IF($AL925="","",RANK(AV925,$AV$2:$AV$1001)+COUNTIF($AV$2:AV925,AV925)-1)</f>
        <v/>
      </c>
      <c r="AV925" s="266">
        <f t="shared" si="60"/>
        <v>0</v>
      </c>
    </row>
    <row r="926" spans="26:48" ht="15" customHeight="1" x14ac:dyDescent="0.2">
      <c r="Z926" s="243" t="str">
        <f>Shares!A926</f>
        <v/>
      </c>
      <c r="AA926" s="243" t="str">
        <f>Shares!B926</f>
        <v/>
      </c>
      <c r="AB926" s="243" t="str">
        <f>Shares!C926</f>
        <v/>
      </c>
      <c r="AC926" s="243" t="str">
        <f>Shares!D926</f>
        <v/>
      </c>
      <c r="AD926" s="243">
        <f>IF($Z926="",0,Shares!E926)</f>
        <v>0</v>
      </c>
      <c r="AE926" s="266">
        <f>IF($Z926="",0,Shares!J926*Shares!I926)</f>
        <v>0</v>
      </c>
      <c r="AF926" s="267">
        <f t="shared" si="59"/>
        <v>0</v>
      </c>
      <c r="AG926" s="266">
        <f>IF($Z926="",0,Shares!L926)</f>
        <v>0</v>
      </c>
      <c r="AH926" s="267">
        <f>IF($Z926="",0,Shares!M926)</f>
        <v>0</v>
      </c>
      <c r="AI926" s="243" t="str">
        <f>IF($Z926="","",RANK(AE926,$AE$2:$AE$1001)+COUNTIF($AE$2:AE926,AE926)-1)</f>
        <v/>
      </c>
      <c r="AJ926" s="243" t="str">
        <f>IF($AD926&lt;0,COUNT($AJ$1:AJ925)+1,"")</f>
        <v/>
      </c>
      <c r="AL926" s="243" t="str">
        <f>'All Ticker P&amp;L'!A926</f>
        <v/>
      </c>
      <c r="AM926" s="243" t="str">
        <f>'All Ticker P&amp;L'!B926</f>
        <v/>
      </c>
      <c r="AN926" s="243" t="str">
        <f>'All Ticker P&amp;L'!C926</f>
        <v/>
      </c>
      <c r="AO926" s="243" t="str">
        <f>'All Ticker P&amp;L'!D926</f>
        <v/>
      </c>
      <c r="AP926" s="243">
        <f>IF($AL926="",0,'All Ticker P&amp;L'!E926)</f>
        <v>0</v>
      </c>
      <c r="AQ926" s="266">
        <f>IF($AL926="",0,'All Ticker P&amp;L'!J926*'All Ticker P&amp;L'!I926)</f>
        <v>0</v>
      </c>
      <c r="AR926" s="266">
        <f>IF($AL926="",0,'All Ticker P&amp;L'!L926)</f>
        <v>0</v>
      </c>
      <c r="AS926" s="267">
        <f>IF($AL926="",0,'All Ticker P&amp;L'!M926)</f>
        <v>0</v>
      </c>
      <c r="AT926" s="243" t="str">
        <f>IF($AL926="","",RANK(AR926,$AR$2:$AR$1001)+COUNTIF($AR$2:AR926,AR926)-1)</f>
        <v/>
      </c>
      <c r="AU926" s="243" t="str">
        <f>IF($AL926="","",RANK(AV926,$AV$2:$AV$1001)+COUNTIF($AV$2:AV926,AV926)-1)</f>
        <v/>
      </c>
      <c r="AV926" s="266">
        <f t="shared" si="60"/>
        <v>0</v>
      </c>
    </row>
    <row r="927" spans="26:48" ht="15" customHeight="1" x14ac:dyDescent="0.2">
      <c r="Z927" s="243" t="str">
        <f>Shares!A927</f>
        <v/>
      </c>
      <c r="AA927" s="243" t="str">
        <f>Shares!B927</f>
        <v/>
      </c>
      <c r="AB927" s="243" t="str">
        <f>Shares!C927</f>
        <v/>
      </c>
      <c r="AC927" s="243" t="str">
        <f>Shares!D927</f>
        <v/>
      </c>
      <c r="AD927" s="243">
        <f>IF($Z927="",0,Shares!E927)</f>
        <v>0</v>
      </c>
      <c r="AE927" s="266">
        <f>IF($Z927="",0,Shares!J927*Shares!I927)</f>
        <v>0</v>
      </c>
      <c r="AF927" s="267">
        <f t="shared" si="59"/>
        <v>0</v>
      </c>
      <c r="AG927" s="266">
        <f>IF($Z927="",0,Shares!L927)</f>
        <v>0</v>
      </c>
      <c r="AH927" s="267">
        <f>IF($Z927="",0,Shares!M927)</f>
        <v>0</v>
      </c>
      <c r="AI927" s="243" t="str">
        <f>IF($Z927="","",RANK(AE927,$AE$2:$AE$1001)+COUNTIF($AE$2:AE927,AE927)-1)</f>
        <v/>
      </c>
      <c r="AJ927" s="243" t="str">
        <f>IF($AD927&lt;0,COUNT($AJ$1:AJ926)+1,"")</f>
        <v/>
      </c>
      <c r="AL927" s="243" t="str">
        <f>'All Ticker P&amp;L'!A927</f>
        <v/>
      </c>
      <c r="AM927" s="243" t="str">
        <f>'All Ticker P&amp;L'!B927</f>
        <v/>
      </c>
      <c r="AN927" s="243" t="str">
        <f>'All Ticker P&amp;L'!C927</f>
        <v/>
      </c>
      <c r="AO927" s="243" t="str">
        <f>'All Ticker P&amp;L'!D927</f>
        <v/>
      </c>
      <c r="AP927" s="243">
        <f>IF($AL927="",0,'All Ticker P&amp;L'!E927)</f>
        <v>0</v>
      </c>
      <c r="AQ927" s="266">
        <f>IF($AL927="",0,'All Ticker P&amp;L'!J927*'All Ticker P&amp;L'!I927)</f>
        <v>0</v>
      </c>
      <c r="AR927" s="266">
        <f>IF($AL927="",0,'All Ticker P&amp;L'!L927)</f>
        <v>0</v>
      </c>
      <c r="AS927" s="267">
        <f>IF($AL927="",0,'All Ticker P&amp;L'!M927)</f>
        <v>0</v>
      </c>
      <c r="AT927" s="243" t="str">
        <f>IF($AL927="","",RANK(AR927,$AR$2:$AR$1001)+COUNTIF($AR$2:AR927,AR927)-1)</f>
        <v/>
      </c>
      <c r="AU927" s="243" t="str">
        <f>IF($AL927="","",RANK(AV927,$AV$2:$AV$1001)+COUNTIF($AV$2:AV927,AV927)-1)</f>
        <v/>
      </c>
      <c r="AV927" s="266">
        <f t="shared" si="60"/>
        <v>0</v>
      </c>
    </row>
    <row r="928" spans="26:48" ht="15" customHeight="1" x14ac:dyDescent="0.2">
      <c r="Z928" s="243" t="str">
        <f>Shares!A928</f>
        <v/>
      </c>
      <c r="AA928" s="243" t="str">
        <f>Shares!B928</f>
        <v/>
      </c>
      <c r="AB928" s="243" t="str">
        <f>Shares!C928</f>
        <v/>
      </c>
      <c r="AC928" s="243" t="str">
        <f>Shares!D928</f>
        <v/>
      </c>
      <c r="AD928" s="243">
        <f>IF($Z928="",0,Shares!E928)</f>
        <v>0</v>
      </c>
      <c r="AE928" s="266">
        <f>IF($Z928="",0,Shares!J928*Shares!I928)</f>
        <v>0</v>
      </c>
      <c r="AF928" s="267">
        <f t="shared" si="59"/>
        <v>0</v>
      </c>
      <c r="AG928" s="266">
        <f>IF($Z928="",0,Shares!L928)</f>
        <v>0</v>
      </c>
      <c r="AH928" s="267">
        <f>IF($Z928="",0,Shares!M928)</f>
        <v>0</v>
      </c>
      <c r="AI928" s="243" t="str">
        <f>IF($Z928="","",RANK(AE928,$AE$2:$AE$1001)+COUNTIF($AE$2:AE928,AE928)-1)</f>
        <v/>
      </c>
      <c r="AJ928" s="243" t="str">
        <f>IF($AD928&lt;0,COUNT($AJ$1:AJ927)+1,"")</f>
        <v/>
      </c>
      <c r="AL928" s="243" t="str">
        <f>'All Ticker P&amp;L'!A928</f>
        <v/>
      </c>
      <c r="AM928" s="243" t="str">
        <f>'All Ticker P&amp;L'!B928</f>
        <v/>
      </c>
      <c r="AN928" s="243" t="str">
        <f>'All Ticker P&amp;L'!C928</f>
        <v/>
      </c>
      <c r="AO928" s="243" t="str">
        <f>'All Ticker P&amp;L'!D928</f>
        <v/>
      </c>
      <c r="AP928" s="243">
        <f>IF($AL928="",0,'All Ticker P&amp;L'!E928)</f>
        <v>0</v>
      </c>
      <c r="AQ928" s="266">
        <f>IF($AL928="",0,'All Ticker P&amp;L'!J928*'All Ticker P&amp;L'!I928)</f>
        <v>0</v>
      </c>
      <c r="AR928" s="266">
        <f>IF($AL928="",0,'All Ticker P&amp;L'!L928)</f>
        <v>0</v>
      </c>
      <c r="AS928" s="267">
        <f>IF($AL928="",0,'All Ticker P&amp;L'!M928)</f>
        <v>0</v>
      </c>
      <c r="AT928" s="243" t="str">
        <f>IF($AL928="","",RANK(AR928,$AR$2:$AR$1001)+COUNTIF($AR$2:AR928,AR928)-1)</f>
        <v/>
      </c>
      <c r="AU928" s="243" t="str">
        <f>IF($AL928="","",RANK(AV928,$AV$2:$AV$1001)+COUNTIF($AV$2:AV928,AV928)-1)</f>
        <v/>
      </c>
      <c r="AV928" s="266">
        <f t="shared" si="60"/>
        <v>0</v>
      </c>
    </row>
    <row r="929" spans="26:48" ht="15" customHeight="1" x14ac:dyDescent="0.2">
      <c r="Z929" s="243" t="str">
        <f>Shares!A929</f>
        <v/>
      </c>
      <c r="AA929" s="243" t="str">
        <f>Shares!B929</f>
        <v/>
      </c>
      <c r="AB929" s="243" t="str">
        <f>Shares!C929</f>
        <v/>
      </c>
      <c r="AC929" s="243" t="str">
        <f>Shares!D929</f>
        <v/>
      </c>
      <c r="AD929" s="243">
        <f>IF($Z929="",0,Shares!E929)</f>
        <v>0</v>
      </c>
      <c r="AE929" s="266">
        <f>IF($Z929="",0,Shares!J929*Shares!I929)</f>
        <v>0</v>
      </c>
      <c r="AF929" s="267">
        <f t="shared" si="59"/>
        <v>0</v>
      </c>
      <c r="AG929" s="266">
        <f>IF($Z929="",0,Shares!L929)</f>
        <v>0</v>
      </c>
      <c r="AH929" s="267">
        <f>IF($Z929="",0,Shares!M929)</f>
        <v>0</v>
      </c>
      <c r="AI929" s="243" t="str">
        <f>IF($Z929="","",RANK(AE929,$AE$2:$AE$1001)+COUNTIF($AE$2:AE929,AE929)-1)</f>
        <v/>
      </c>
      <c r="AJ929" s="243" t="str">
        <f>IF($AD929&lt;0,COUNT($AJ$1:AJ928)+1,"")</f>
        <v/>
      </c>
      <c r="AL929" s="243" t="str">
        <f>'All Ticker P&amp;L'!A929</f>
        <v/>
      </c>
      <c r="AM929" s="243" t="str">
        <f>'All Ticker P&amp;L'!B929</f>
        <v/>
      </c>
      <c r="AN929" s="243" t="str">
        <f>'All Ticker P&amp;L'!C929</f>
        <v/>
      </c>
      <c r="AO929" s="243" t="str">
        <f>'All Ticker P&amp;L'!D929</f>
        <v/>
      </c>
      <c r="AP929" s="243">
        <f>IF($AL929="",0,'All Ticker P&amp;L'!E929)</f>
        <v>0</v>
      </c>
      <c r="AQ929" s="266">
        <f>IF($AL929="",0,'All Ticker P&amp;L'!J929*'All Ticker P&amp;L'!I929)</f>
        <v>0</v>
      </c>
      <c r="AR929" s="266">
        <f>IF($AL929="",0,'All Ticker P&amp;L'!L929)</f>
        <v>0</v>
      </c>
      <c r="AS929" s="267">
        <f>IF($AL929="",0,'All Ticker P&amp;L'!M929)</f>
        <v>0</v>
      </c>
      <c r="AT929" s="243" t="str">
        <f>IF($AL929="","",RANK(AR929,$AR$2:$AR$1001)+COUNTIF($AR$2:AR929,AR929)-1)</f>
        <v/>
      </c>
      <c r="AU929" s="243" t="str">
        <f>IF($AL929="","",RANK(AV929,$AV$2:$AV$1001)+COUNTIF($AV$2:AV929,AV929)-1)</f>
        <v/>
      </c>
      <c r="AV929" s="266">
        <f t="shared" si="60"/>
        <v>0</v>
      </c>
    </row>
    <row r="930" spans="26:48" ht="15" customHeight="1" x14ac:dyDescent="0.2">
      <c r="Z930" s="243" t="str">
        <f>Shares!A930</f>
        <v/>
      </c>
      <c r="AA930" s="243" t="str">
        <f>Shares!B930</f>
        <v/>
      </c>
      <c r="AB930" s="243" t="str">
        <f>Shares!C930</f>
        <v/>
      </c>
      <c r="AC930" s="243" t="str">
        <f>Shares!D930</f>
        <v/>
      </c>
      <c r="AD930" s="243">
        <f>IF($Z930="",0,Shares!E930)</f>
        <v>0</v>
      </c>
      <c r="AE930" s="266">
        <f>IF($Z930="",0,Shares!J930*Shares!I930)</f>
        <v>0</v>
      </c>
      <c r="AF930" s="267">
        <f t="shared" si="59"/>
        <v>0</v>
      </c>
      <c r="AG930" s="266">
        <f>IF($Z930="",0,Shares!L930)</f>
        <v>0</v>
      </c>
      <c r="AH930" s="267">
        <f>IF($Z930="",0,Shares!M930)</f>
        <v>0</v>
      </c>
      <c r="AI930" s="243" t="str">
        <f>IF($Z930="","",RANK(AE930,$AE$2:$AE$1001)+COUNTIF($AE$2:AE930,AE930)-1)</f>
        <v/>
      </c>
      <c r="AJ930" s="243" t="str">
        <f>IF($AD930&lt;0,COUNT($AJ$1:AJ929)+1,"")</f>
        <v/>
      </c>
      <c r="AL930" s="243" t="str">
        <f>'All Ticker P&amp;L'!A930</f>
        <v/>
      </c>
      <c r="AM930" s="243" t="str">
        <f>'All Ticker P&amp;L'!B930</f>
        <v/>
      </c>
      <c r="AN930" s="243" t="str">
        <f>'All Ticker P&amp;L'!C930</f>
        <v/>
      </c>
      <c r="AO930" s="243" t="str">
        <f>'All Ticker P&amp;L'!D930</f>
        <v/>
      </c>
      <c r="AP930" s="243">
        <f>IF($AL930="",0,'All Ticker P&amp;L'!E930)</f>
        <v>0</v>
      </c>
      <c r="AQ930" s="266">
        <f>IF($AL930="",0,'All Ticker P&amp;L'!J930*'All Ticker P&amp;L'!I930)</f>
        <v>0</v>
      </c>
      <c r="AR930" s="266">
        <f>IF($AL930="",0,'All Ticker P&amp;L'!L930)</f>
        <v>0</v>
      </c>
      <c r="AS930" s="267">
        <f>IF($AL930="",0,'All Ticker P&amp;L'!M930)</f>
        <v>0</v>
      </c>
      <c r="AT930" s="243" t="str">
        <f>IF($AL930="","",RANK(AR930,$AR$2:$AR$1001)+COUNTIF($AR$2:AR930,AR930)-1)</f>
        <v/>
      </c>
      <c r="AU930" s="243" t="str">
        <f>IF($AL930="","",RANK(AV930,$AV$2:$AV$1001)+COUNTIF($AV$2:AV930,AV930)-1)</f>
        <v/>
      </c>
      <c r="AV930" s="266">
        <f t="shared" si="60"/>
        <v>0</v>
      </c>
    </row>
    <row r="931" spans="26:48" ht="15" customHeight="1" x14ac:dyDescent="0.2">
      <c r="Z931" s="243" t="str">
        <f>Shares!A931</f>
        <v/>
      </c>
      <c r="AA931" s="243" t="str">
        <f>Shares!B931</f>
        <v/>
      </c>
      <c r="AB931" s="243" t="str">
        <f>Shares!C931</f>
        <v/>
      </c>
      <c r="AC931" s="243" t="str">
        <f>Shares!D931</f>
        <v/>
      </c>
      <c r="AD931" s="243">
        <f>IF($Z931="",0,Shares!E931)</f>
        <v>0</v>
      </c>
      <c r="AE931" s="266">
        <f>IF($Z931="",0,Shares!J931*Shares!I931)</f>
        <v>0</v>
      </c>
      <c r="AF931" s="267">
        <f t="shared" si="59"/>
        <v>0</v>
      </c>
      <c r="AG931" s="266">
        <f>IF($Z931="",0,Shares!L931)</f>
        <v>0</v>
      </c>
      <c r="AH931" s="267">
        <f>IF($Z931="",0,Shares!M931)</f>
        <v>0</v>
      </c>
      <c r="AI931" s="243" t="str">
        <f>IF($Z931="","",RANK(AE931,$AE$2:$AE$1001)+COUNTIF($AE$2:AE931,AE931)-1)</f>
        <v/>
      </c>
      <c r="AJ931" s="243" t="str">
        <f>IF($AD931&lt;0,COUNT($AJ$1:AJ930)+1,"")</f>
        <v/>
      </c>
      <c r="AL931" s="243" t="str">
        <f>'All Ticker P&amp;L'!A931</f>
        <v/>
      </c>
      <c r="AM931" s="243" t="str">
        <f>'All Ticker P&amp;L'!B931</f>
        <v/>
      </c>
      <c r="AN931" s="243" t="str">
        <f>'All Ticker P&amp;L'!C931</f>
        <v/>
      </c>
      <c r="AO931" s="243" t="str">
        <f>'All Ticker P&amp;L'!D931</f>
        <v/>
      </c>
      <c r="AP931" s="243">
        <f>IF($AL931="",0,'All Ticker P&amp;L'!E931)</f>
        <v>0</v>
      </c>
      <c r="AQ931" s="266">
        <f>IF($AL931="",0,'All Ticker P&amp;L'!J931*'All Ticker P&amp;L'!I931)</f>
        <v>0</v>
      </c>
      <c r="AR931" s="266">
        <f>IF($AL931="",0,'All Ticker P&amp;L'!L931)</f>
        <v>0</v>
      </c>
      <c r="AS931" s="267">
        <f>IF($AL931="",0,'All Ticker P&amp;L'!M931)</f>
        <v>0</v>
      </c>
      <c r="AT931" s="243" t="str">
        <f>IF($AL931="","",RANK(AR931,$AR$2:$AR$1001)+COUNTIF($AR$2:AR931,AR931)-1)</f>
        <v/>
      </c>
      <c r="AU931" s="243" t="str">
        <f>IF($AL931="","",RANK(AV931,$AV$2:$AV$1001)+COUNTIF($AV$2:AV931,AV931)-1)</f>
        <v/>
      </c>
      <c r="AV931" s="266">
        <f t="shared" si="60"/>
        <v>0</v>
      </c>
    </row>
    <row r="932" spans="26:48" ht="15" customHeight="1" x14ac:dyDescent="0.2">
      <c r="Z932" s="243" t="str">
        <f>Shares!A932</f>
        <v/>
      </c>
      <c r="AA932" s="243" t="str">
        <f>Shares!B932</f>
        <v/>
      </c>
      <c r="AB932" s="243" t="str">
        <f>Shares!C932</f>
        <v/>
      </c>
      <c r="AC932" s="243" t="str">
        <f>Shares!D932</f>
        <v/>
      </c>
      <c r="AD932" s="243">
        <f>IF($Z932="",0,Shares!E932)</f>
        <v>0</v>
      </c>
      <c r="AE932" s="266">
        <f>IF($Z932="",0,Shares!J932*Shares!I932)</f>
        <v>0</v>
      </c>
      <c r="AF932" s="267">
        <f t="shared" si="59"/>
        <v>0</v>
      </c>
      <c r="AG932" s="266">
        <f>IF($Z932="",0,Shares!L932)</f>
        <v>0</v>
      </c>
      <c r="AH932" s="267">
        <f>IF($Z932="",0,Shares!M932)</f>
        <v>0</v>
      </c>
      <c r="AI932" s="243" t="str">
        <f>IF($Z932="","",RANK(AE932,$AE$2:$AE$1001)+COUNTIF($AE$2:AE932,AE932)-1)</f>
        <v/>
      </c>
      <c r="AJ932" s="243" t="str">
        <f>IF($AD932&lt;0,COUNT($AJ$1:AJ931)+1,"")</f>
        <v/>
      </c>
      <c r="AL932" s="243" t="str">
        <f>'All Ticker P&amp;L'!A932</f>
        <v/>
      </c>
      <c r="AM932" s="243" t="str">
        <f>'All Ticker P&amp;L'!B932</f>
        <v/>
      </c>
      <c r="AN932" s="243" t="str">
        <f>'All Ticker P&amp;L'!C932</f>
        <v/>
      </c>
      <c r="AO932" s="243" t="str">
        <f>'All Ticker P&amp;L'!D932</f>
        <v/>
      </c>
      <c r="AP932" s="243">
        <f>IF($AL932="",0,'All Ticker P&amp;L'!E932)</f>
        <v>0</v>
      </c>
      <c r="AQ932" s="266">
        <f>IF($AL932="",0,'All Ticker P&amp;L'!J932*'All Ticker P&amp;L'!I932)</f>
        <v>0</v>
      </c>
      <c r="AR932" s="266">
        <f>IF($AL932="",0,'All Ticker P&amp;L'!L932)</f>
        <v>0</v>
      </c>
      <c r="AS932" s="267">
        <f>IF($AL932="",0,'All Ticker P&amp;L'!M932)</f>
        <v>0</v>
      </c>
      <c r="AT932" s="243" t="str">
        <f>IF($AL932="","",RANK(AR932,$AR$2:$AR$1001)+COUNTIF($AR$2:AR932,AR932)-1)</f>
        <v/>
      </c>
      <c r="AU932" s="243" t="str">
        <f>IF($AL932="","",RANK(AV932,$AV$2:$AV$1001)+COUNTIF($AV$2:AV932,AV932)-1)</f>
        <v/>
      </c>
      <c r="AV932" s="266">
        <f t="shared" si="60"/>
        <v>0</v>
      </c>
    </row>
    <row r="933" spans="26:48" ht="15" customHeight="1" x14ac:dyDescent="0.2">
      <c r="Z933" s="243" t="str">
        <f>Shares!A933</f>
        <v/>
      </c>
      <c r="AA933" s="243" t="str">
        <f>Shares!B933</f>
        <v/>
      </c>
      <c r="AB933" s="243" t="str">
        <f>Shares!C933</f>
        <v/>
      </c>
      <c r="AC933" s="243" t="str">
        <f>Shares!D933</f>
        <v/>
      </c>
      <c r="AD933" s="243">
        <f>IF($Z933="",0,Shares!E933)</f>
        <v>0</v>
      </c>
      <c r="AE933" s="266">
        <f>IF($Z933="",0,Shares!J933*Shares!I933)</f>
        <v>0</v>
      </c>
      <c r="AF933" s="267">
        <f t="shared" si="59"/>
        <v>0</v>
      </c>
      <c r="AG933" s="266">
        <f>IF($Z933="",0,Shares!L933)</f>
        <v>0</v>
      </c>
      <c r="AH933" s="267">
        <f>IF($Z933="",0,Shares!M933)</f>
        <v>0</v>
      </c>
      <c r="AI933" s="243" t="str">
        <f>IF($Z933="","",RANK(AE933,$AE$2:$AE$1001)+COUNTIF($AE$2:AE933,AE933)-1)</f>
        <v/>
      </c>
      <c r="AJ933" s="243" t="str">
        <f>IF($AD933&lt;0,COUNT($AJ$1:AJ932)+1,"")</f>
        <v/>
      </c>
      <c r="AL933" s="243" t="str">
        <f>'All Ticker P&amp;L'!A933</f>
        <v/>
      </c>
      <c r="AM933" s="243" t="str">
        <f>'All Ticker P&amp;L'!B933</f>
        <v/>
      </c>
      <c r="AN933" s="243" t="str">
        <f>'All Ticker P&amp;L'!C933</f>
        <v/>
      </c>
      <c r="AO933" s="243" t="str">
        <f>'All Ticker P&amp;L'!D933</f>
        <v/>
      </c>
      <c r="AP933" s="243">
        <f>IF($AL933="",0,'All Ticker P&amp;L'!E933)</f>
        <v>0</v>
      </c>
      <c r="AQ933" s="266">
        <f>IF($AL933="",0,'All Ticker P&amp;L'!J933*'All Ticker P&amp;L'!I933)</f>
        <v>0</v>
      </c>
      <c r="AR933" s="266">
        <f>IF($AL933="",0,'All Ticker P&amp;L'!L933)</f>
        <v>0</v>
      </c>
      <c r="AS933" s="267">
        <f>IF($AL933="",0,'All Ticker P&amp;L'!M933)</f>
        <v>0</v>
      </c>
      <c r="AT933" s="243" t="str">
        <f>IF($AL933="","",RANK(AR933,$AR$2:$AR$1001)+COUNTIF($AR$2:AR933,AR933)-1)</f>
        <v/>
      </c>
      <c r="AU933" s="243" t="str">
        <f>IF($AL933="","",RANK(AV933,$AV$2:$AV$1001)+COUNTIF($AV$2:AV933,AV933)-1)</f>
        <v/>
      </c>
      <c r="AV933" s="266">
        <f t="shared" si="60"/>
        <v>0</v>
      </c>
    </row>
    <row r="934" spans="26:48" ht="15" customHeight="1" x14ac:dyDescent="0.2">
      <c r="Z934" s="243" t="str">
        <f>Shares!A934</f>
        <v/>
      </c>
      <c r="AA934" s="243" t="str">
        <f>Shares!B934</f>
        <v/>
      </c>
      <c r="AB934" s="243" t="str">
        <f>Shares!C934</f>
        <v/>
      </c>
      <c r="AC934" s="243" t="str">
        <f>Shares!D934</f>
        <v/>
      </c>
      <c r="AD934" s="243">
        <f>IF($Z934="",0,Shares!E934)</f>
        <v>0</v>
      </c>
      <c r="AE934" s="266">
        <f>IF($Z934="",0,Shares!J934*Shares!I934)</f>
        <v>0</v>
      </c>
      <c r="AF934" s="267">
        <f t="shared" si="59"/>
        <v>0</v>
      </c>
      <c r="AG934" s="266">
        <f>IF($Z934="",0,Shares!L934)</f>
        <v>0</v>
      </c>
      <c r="AH934" s="267">
        <f>IF($Z934="",0,Shares!M934)</f>
        <v>0</v>
      </c>
      <c r="AI934" s="243" t="str">
        <f>IF($Z934="","",RANK(AE934,$AE$2:$AE$1001)+COUNTIF($AE$2:AE934,AE934)-1)</f>
        <v/>
      </c>
      <c r="AJ934" s="243" t="str">
        <f>IF($AD934&lt;0,COUNT($AJ$1:AJ933)+1,"")</f>
        <v/>
      </c>
      <c r="AL934" s="243" t="str">
        <f>'All Ticker P&amp;L'!A934</f>
        <v/>
      </c>
      <c r="AM934" s="243" t="str">
        <f>'All Ticker P&amp;L'!B934</f>
        <v/>
      </c>
      <c r="AN934" s="243" t="str">
        <f>'All Ticker P&amp;L'!C934</f>
        <v/>
      </c>
      <c r="AO934" s="243" t="str">
        <f>'All Ticker P&amp;L'!D934</f>
        <v/>
      </c>
      <c r="AP934" s="243">
        <f>IF($AL934="",0,'All Ticker P&amp;L'!E934)</f>
        <v>0</v>
      </c>
      <c r="AQ934" s="266">
        <f>IF($AL934="",0,'All Ticker P&amp;L'!J934*'All Ticker P&amp;L'!I934)</f>
        <v>0</v>
      </c>
      <c r="AR934" s="266">
        <f>IF($AL934="",0,'All Ticker P&amp;L'!L934)</f>
        <v>0</v>
      </c>
      <c r="AS934" s="267">
        <f>IF($AL934="",0,'All Ticker P&amp;L'!M934)</f>
        <v>0</v>
      </c>
      <c r="AT934" s="243" t="str">
        <f>IF($AL934="","",RANK(AR934,$AR$2:$AR$1001)+COUNTIF($AR$2:AR934,AR934)-1)</f>
        <v/>
      </c>
      <c r="AU934" s="243" t="str">
        <f>IF($AL934="","",RANK(AV934,$AV$2:$AV$1001)+COUNTIF($AV$2:AV934,AV934)-1)</f>
        <v/>
      </c>
      <c r="AV934" s="266">
        <f t="shared" si="60"/>
        <v>0</v>
      </c>
    </row>
    <row r="935" spans="26:48" ht="15" customHeight="1" x14ac:dyDescent="0.2">
      <c r="Z935" s="243" t="str">
        <f>Shares!A935</f>
        <v/>
      </c>
      <c r="AA935" s="243" t="str">
        <f>Shares!B935</f>
        <v/>
      </c>
      <c r="AB935" s="243" t="str">
        <f>Shares!C935</f>
        <v/>
      </c>
      <c r="AC935" s="243" t="str">
        <f>Shares!D935</f>
        <v/>
      </c>
      <c r="AD935" s="243">
        <f>IF($Z935="",0,Shares!E935)</f>
        <v>0</v>
      </c>
      <c r="AE935" s="266">
        <f>IF($Z935="",0,Shares!J935*Shares!I935)</f>
        <v>0</v>
      </c>
      <c r="AF935" s="267">
        <f t="shared" si="59"/>
        <v>0</v>
      </c>
      <c r="AG935" s="266">
        <f>IF($Z935="",0,Shares!L935)</f>
        <v>0</v>
      </c>
      <c r="AH935" s="267">
        <f>IF($Z935="",0,Shares!M935)</f>
        <v>0</v>
      </c>
      <c r="AI935" s="243" t="str">
        <f>IF($Z935="","",RANK(AE935,$AE$2:$AE$1001)+COUNTIF($AE$2:AE935,AE935)-1)</f>
        <v/>
      </c>
      <c r="AJ935" s="243" t="str">
        <f>IF($AD935&lt;0,COUNT($AJ$1:AJ934)+1,"")</f>
        <v/>
      </c>
      <c r="AL935" s="243" t="str">
        <f>'All Ticker P&amp;L'!A935</f>
        <v/>
      </c>
      <c r="AM935" s="243" t="str">
        <f>'All Ticker P&amp;L'!B935</f>
        <v/>
      </c>
      <c r="AN935" s="243" t="str">
        <f>'All Ticker P&amp;L'!C935</f>
        <v/>
      </c>
      <c r="AO935" s="243" t="str">
        <f>'All Ticker P&amp;L'!D935</f>
        <v/>
      </c>
      <c r="AP935" s="243">
        <f>IF($AL935="",0,'All Ticker P&amp;L'!E935)</f>
        <v>0</v>
      </c>
      <c r="AQ935" s="266">
        <f>IF($AL935="",0,'All Ticker P&amp;L'!J935*'All Ticker P&amp;L'!I935)</f>
        <v>0</v>
      </c>
      <c r="AR935" s="266">
        <f>IF($AL935="",0,'All Ticker P&amp;L'!L935)</f>
        <v>0</v>
      </c>
      <c r="AS935" s="267">
        <f>IF($AL935="",0,'All Ticker P&amp;L'!M935)</f>
        <v>0</v>
      </c>
      <c r="AT935" s="243" t="str">
        <f>IF($AL935="","",RANK(AR935,$AR$2:$AR$1001)+COUNTIF($AR$2:AR935,AR935)-1)</f>
        <v/>
      </c>
      <c r="AU935" s="243" t="str">
        <f>IF($AL935="","",RANK(AV935,$AV$2:$AV$1001)+COUNTIF($AV$2:AV935,AV935)-1)</f>
        <v/>
      </c>
      <c r="AV935" s="266">
        <f t="shared" si="60"/>
        <v>0</v>
      </c>
    </row>
    <row r="936" spans="26:48" ht="15" customHeight="1" x14ac:dyDescent="0.2">
      <c r="Z936" s="243" t="str">
        <f>Shares!A936</f>
        <v/>
      </c>
      <c r="AA936" s="243" t="str">
        <f>Shares!B936</f>
        <v/>
      </c>
      <c r="AB936" s="243" t="str">
        <f>Shares!C936</f>
        <v/>
      </c>
      <c r="AC936" s="243" t="str">
        <f>Shares!D936</f>
        <v/>
      </c>
      <c r="AD936" s="243">
        <f>IF($Z936="",0,Shares!E936)</f>
        <v>0</v>
      </c>
      <c r="AE936" s="266">
        <f>IF($Z936="",0,Shares!J936*Shares!I936)</f>
        <v>0</v>
      </c>
      <c r="AF936" s="267">
        <f t="shared" si="59"/>
        <v>0</v>
      </c>
      <c r="AG936" s="266">
        <f>IF($Z936="",0,Shares!L936)</f>
        <v>0</v>
      </c>
      <c r="AH936" s="267">
        <f>IF($Z936="",0,Shares!M936)</f>
        <v>0</v>
      </c>
      <c r="AI936" s="243" t="str">
        <f>IF($Z936="","",RANK(AE936,$AE$2:$AE$1001)+COUNTIF($AE$2:AE936,AE936)-1)</f>
        <v/>
      </c>
      <c r="AJ936" s="243" t="str">
        <f>IF($AD936&lt;0,COUNT($AJ$1:AJ935)+1,"")</f>
        <v/>
      </c>
      <c r="AL936" s="243" t="str">
        <f>'All Ticker P&amp;L'!A936</f>
        <v/>
      </c>
      <c r="AM936" s="243" t="str">
        <f>'All Ticker P&amp;L'!B936</f>
        <v/>
      </c>
      <c r="AN936" s="243" t="str">
        <f>'All Ticker P&amp;L'!C936</f>
        <v/>
      </c>
      <c r="AO936" s="243" t="str">
        <f>'All Ticker P&amp;L'!D936</f>
        <v/>
      </c>
      <c r="AP936" s="243">
        <f>IF($AL936="",0,'All Ticker P&amp;L'!E936)</f>
        <v>0</v>
      </c>
      <c r="AQ936" s="266">
        <f>IF($AL936="",0,'All Ticker P&amp;L'!J936*'All Ticker P&amp;L'!I936)</f>
        <v>0</v>
      </c>
      <c r="AR936" s="266">
        <f>IF($AL936="",0,'All Ticker P&amp;L'!L936)</f>
        <v>0</v>
      </c>
      <c r="AS936" s="267">
        <f>IF($AL936="",0,'All Ticker P&amp;L'!M936)</f>
        <v>0</v>
      </c>
      <c r="AT936" s="243" t="str">
        <f>IF($AL936="","",RANK(AR936,$AR$2:$AR$1001)+COUNTIF($AR$2:AR936,AR936)-1)</f>
        <v/>
      </c>
      <c r="AU936" s="243" t="str">
        <f>IF($AL936="","",RANK(AV936,$AV$2:$AV$1001)+COUNTIF($AV$2:AV936,AV936)-1)</f>
        <v/>
      </c>
      <c r="AV936" s="266">
        <f t="shared" si="60"/>
        <v>0</v>
      </c>
    </row>
    <row r="937" spans="26:48" ht="15" customHeight="1" x14ac:dyDescent="0.2">
      <c r="Z937" s="243" t="str">
        <f>Shares!A937</f>
        <v/>
      </c>
      <c r="AA937" s="243" t="str">
        <f>Shares!B937</f>
        <v/>
      </c>
      <c r="AB937" s="243" t="str">
        <f>Shares!C937</f>
        <v/>
      </c>
      <c r="AC937" s="243" t="str">
        <f>Shares!D937</f>
        <v/>
      </c>
      <c r="AD937" s="243">
        <f>IF($Z937="",0,Shares!E937)</f>
        <v>0</v>
      </c>
      <c r="AE937" s="266">
        <f>IF($Z937="",0,Shares!J937*Shares!I937)</f>
        <v>0</v>
      </c>
      <c r="AF937" s="267">
        <f t="shared" si="59"/>
        <v>0</v>
      </c>
      <c r="AG937" s="266">
        <f>IF($Z937="",0,Shares!L937)</f>
        <v>0</v>
      </c>
      <c r="AH937" s="267">
        <f>IF($Z937="",0,Shares!M937)</f>
        <v>0</v>
      </c>
      <c r="AI937" s="243" t="str">
        <f>IF($Z937="","",RANK(AE937,$AE$2:$AE$1001)+COUNTIF($AE$2:AE937,AE937)-1)</f>
        <v/>
      </c>
      <c r="AJ937" s="243" t="str">
        <f>IF($AD937&lt;0,COUNT($AJ$1:AJ936)+1,"")</f>
        <v/>
      </c>
      <c r="AL937" s="243" t="str">
        <f>'All Ticker P&amp;L'!A937</f>
        <v/>
      </c>
      <c r="AM937" s="243" t="str">
        <f>'All Ticker P&amp;L'!B937</f>
        <v/>
      </c>
      <c r="AN937" s="243" t="str">
        <f>'All Ticker P&amp;L'!C937</f>
        <v/>
      </c>
      <c r="AO937" s="243" t="str">
        <f>'All Ticker P&amp;L'!D937</f>
        <v/>
      </c>
      <c r="AP937" s="243">
        <f>IF($AL937="",0,'All Ticker P&amp;L'!E937)</f>
        <v>0</v>
      </c>
      <c r="AQ937" s="266">
        <f>IF($AL937="",0,'All Ticker P&amp;L'!J937*'All Ticker P&amp;L'!I937)</f>
        <v>0</v>
      </c>
      <c r="AR937" s="266">
        <f>IF($AL937="",0,'All Ticker P&amp;L'!L937)</f>
        <v>0</v>
      </c>
      <c r="AS937" s="267">
        <f>IF($AL937="",0,'All Ticker P&amp;L'!M937)</f>
        <v>0</v>
      </c>
      <c r="AT937" s="243" t="str">
        <f>IF($AL937="","",RANK(AR937,$AR$2:$AR$1001)+COUNTIF($AR$2:AR937,AR937)-1)</f>
        <v/>
      </c>
      <c r="AU937" s="243" t="str">
        <f>IF($AL937="","",RANK(AV937,$AV$2:$AV$1001)+COUNTIF($AV$2:AV937,AV937)-1)</f>
        <v/>
      </c>
      <c r="AV937" s="266">
        <f t="shared" si="60"/>
        <v>0</v>
      </c>
    </row>
    <row r="938" spans="26:48" ht="15" customHeight="1" x14ac:dyDescent="0.2">
      <c r="Z938" s="243" t="str">
        <f>Shares!A938</f>
        <v/>
      </c>
      <c r="AA938" s="243" t="str">
        <f>Shares!B938</f>
        <v/>
      </c>
      <c r="AB938" s="243" t="str">
        <f>Shares!C938</f>
        <v/>
      </c>
      <c r="AC938" s="243" t="str">
        <f>Shares!D938</f>
        <v/>
      </c>
      <c r="AD938" s="243">
        <f>IF($Z938="",0,Shares!E938)</f>
        <v>0</v>
      </c>
      <c r="AE938" s="266">
        <f>IF($Z938="",0,Shares!J938*Shares!I938)</f>
        <v>0</v>
      </c>
      <c r="AF938" s="267">
        <f t="shared" si="59"/>
        <v>0</v>
      </c>
      <c r="AG938" s="266">
        <f>IF($Z938="",0,Shares!L938)</f>
        <v>0</v>
      </c>
      <c r="AH938" s="267">
        <f>IF($Z938="",0,Shares!M938)</f>
        <v>0</v>
      </c>
      <c r="AI938" s="243" t="str">
        <f>IF($Z938="","",RANK(AE938,$AE$2:$AE$1001)+COUNTIF($AE$2:AE938,AE938)-1)</f>
        <v/>
      </c>
      <c r="AJ938" s="243" t="str">
        <f>IF($AD938&lt;0,COUNT($AJ$1:AJ937)+1,"")</f>
        <v/>
      </c>
      <c r="AL938" s="243" t="str">
        <f>'All Ticker P&amp;L'!A938</f>
        <v/>
      </c>
      <c r="AM938" s="243" t="str">
        <f>'All Ticker P&amp;L'!B938</f>
        <v/>
      </c>
      <c r="AN938" s="243" t="str">
        <f>'All Ticker P&amp;L'!C938</f>
        <v/>
      </c>
      <c r="AO938" s="243" t="str">
        <f>'All Ticker P&amp;L'!D938</f>
        <v/>
      </c>
      <c r="AP938" s="243">
        <f>IF($AL938="",0,'All Ticker P&amp;L'!E938)</f>
        <v>0</v>
      </c>
      <c r="AQ938" s="266">
        <f>IF($AL938="",0,'All Ticker P&amp;L'!J938*'All Ticker P&amp;L'!I938)</f>
        <v>0</v>
      </c>
      <c r="AR938" s="266">
        <f>IF($AL938="",0,'All Ticker P&amp;L'!L938)</f>
        <v>0</v>
      </c>
      <c r="AS938" s="267">
        <f>IF($AL938="",0,'All Ticker P&amp;L'!M938)</f>
        <v>0</v>
      </c>
      <c r="AT938" s="243" t="str">
        <f>IF($AL938="","",RANK(AR938,$AR$2:$AR$1001)+COUNTIF($AR$2:AR938,AR938)-1)</f>
        <v/>
      </c>
      <c r="AU938" s="243" t="str">
        <f>IF($AL938="","",RANK(AV938,$AV$2:$AV$1001)+COUNTIF($AV$2:AV938,AV938)-1)</f>
        <v/>
      </c>
      <c r="AV938" s="266">
        <f t="shared" si="60"/>
        <v>0</v>
      </c>
    </row>
    <row r="939" spans="26:48" ht="15" customHeight="1" x14ac:dyDescent="0.2">
      <c r="Z939" s="243" t="str">
        <f>Shares!A939</f>
        <v/>
      </c>
      <c r="AA939" s="243" t="str">
        <f>Shares!B939</f>
        <v/>
      </c>
      <c r="AB939" s="243" t="str">
        <f>Shares!C939</f>
        <v/>
      </c>
      <c r="AC939" s="243" t="str">
        <f>Shares!D939</f>
        <v/>
      </c>
      <c r="AD939" s="243">
        <f>IF($Z939="",0,Shares!E939)</f>
        <v>0</v>
      </c>
      <c r="AE939" s="266">
        <f>IF($Z939="",0,Shares!J939*Shares!I939)</f>
        <v>0</v>
      </c>
      <c r="AF939" s="267">
        <f t="shared" si="59"/>
        <v>0</v>
      </c>
      <c r="AG939" s="266">
        <f>IF($Z939="",0,Shares!L939)</f>
        <v>0</v>
      </c>
      <c r="AH939" s="267">
        <f>IF($Z939="",0,Shares!M939)</f>
        <v>0</v>
      </c>
      <c r="AI939" s="243" t="str">
        <f>IF($Z939="","",RANK(AE939,$AE$2:$AE$1001)+COUNTIF($AE$2:AE939,AE939)-1)</f>
        <v/>
      </c>
      <c r="AJ939" s="243" t="str">
        <f>IF($AD939&lt;0,COUNT($AJ$1:AJ938)+1,"")</f>
        <v/>
      </c>
      <c r="AL939" s="243" t="str">
        <f>'All Ticker P&amp;L'!A939</f>
        <v/>
      </c>
      <c r="AM939" s="243" t="str">
        <f>'All Ticker P&amp;L'!B939</f>
        <v/>
      </c>
      <c r="AN939" s="243" t="str">
        <f>'All Ticker P&amp;L'!C939</f>
        <v/>
      </c>
      <c r="AO939" s="243" t="str">
        <f>'All Ticker P&amp;L'!D939</f>
        <v/>
      </c>
      <c r="AP939" s="243">
        <f>IF($AL939="",0,'All Ticker P&amp;L'!E939)</f>
        <v>0</v>
      </c>
      <c r="AQ939" s="266">
        <f>IF($AL939="",0,'All Ticker P&amp;L'!J939*'All Ticker P&amp;L'!I939)</f>
        <v>0</v>
      </c>
      <c r="AR939" s="266">
        <f>IF($AL939="",0,'All Ticker P&amp;L'!L939)</f>
        <v>0</v>
      </c>
      <c r="AS939" s="267">
        <f>IF($AL939="",0,'All Ticker P&amp;L'!M939)</f>
        <v>0</v>
      </c>
      <c r="AT939" s="243" t="str">
        <f>IF($AL939="","",RANK(AR939,$AR$2:$AR$1001)+COUNTIF($AR$2:AR939,AR939)-1)</f>
        <v/>
      </c>
      <c r="AU939" s="243" t="str">
        <f>IF($AL939="","",RANK(AV939,$AV$2:$AV$1001)+COUNTIF($AV$2:AV939,AV939)-1)</f>
        <v/>
      </c>
      <c r="AV939" s="266">
        <f t="shared" si="60"/>
        <v>0</v>
      </c>
    </row>
    <row r="940" spans="26:48" ht="15" customHeight="1" x14ac:dyDescent="0.2">
      <c r="Z940" s="243" t="str">
        <f>Shares!A940</f>
        <v/>
      </c>
      <c r="AA940" s="243" t="str">
        <f>Shares!B940</f>
        <v/>
      </c>
      <c r="AB940" s="243" t="str">
        <f>Shares!C940</f>
        <v/>
      </c>
      <c r="AC940" s="243" t="str">
        <f>Shares!D940</f>
        <v/>
      </c>
      <c r="AD940" s="243">
        <f>IF($Z940="",0,Shares!E940)</f>
        <v>0</v>
      </c>
      <c r="AE940" s="266">
        <f>IF($Z940="",0,Shares!J940*Shares!I940)</f>
        <v>0</v>
      </c>
      <c r="AF940" s="267">
        <f t="shared" si="59"/>
        <v>0</v>
      </c>
      <c r="AG940" s="266">
        <f>IF($Z940="",0,Shares!L940)</f>
        <v>0</v>
      </c>
      <c r="AH940" s="267">
        <f>IF($Z940="",0,Shares!M940)</f>
        <v>0</v>
      </c>
      <c r="AI940" s="243" t="str">
        <f>IF($Z940="","",RANK(AE940,$AE$2:$AE$1001)+COUNTIF($AE$2:AE940,AE940)-1)</f>
        <v/>
      </c>
      <c r="AJ940" s="243" t="str">
        <f>IF($AD940&lt;0,COUNT($AJ$1:AJ939)+1,"")</f>
        <v/>
      </c>
      <c r="AL940" s="243" t="str">
        <f>'All Ticker P&amp;L'!A940</f>
        <v/>
      </c>
      <c r="AM940" s="243" t="str">
        <f>'All Ticker P&amp;L'!B940</f>
        <v/>
      </c>
      <c r="AN940" s="243" t="str">
        <f>'All Ticker P&amp;L'!C940</f>
        <v/>
      </c>
      <c r="AO940" s="243" t="str">
        <f>'All Ticker P&amp;L'!D940</f>
        <v/>
      </c>
      <c r="AP940" s="243">
        <f>IF($AL940="",0,'All Ticker P&amp;L'!E940)</f>
        <v>0</v>
      </c>
      <c r="AQ940" s="266">
        <f>IF($AL940="",0,'All Ticker P&amp;L'!J940*'All Ticker P&amp;L'!I940)</f>
        <v>0</v>
      </c>
      <c r="AR940" s="266">
        <f>IF($AL940="",0,'All Ticker P&amp;L'!L940)</f>
        <v>0</v>
      </c>
      <c r="AS940" s="267">
        <f>IF($AL940="",0,'All Ticker P&amp;L'!M940)</f>
        <v>0</v>
      </c>
      <c r="AT940" s="243" t="str">
        <f>IF($AL940="","",RANK(AR940,$AR$2:$AR$1001)+COUNTIF($AR$2:AR940,AR940)-1)</f>
        <v/>
      </c>
      <c r="AU940" s="243" t="str">
        <f>IF($AL940="","",RANK(AV940,$AV$2:$AV$1001)+COUNTIF($AV$2:AV940,AV940)-1)</f>
        <v/>
      </c>
      <c r="AV940" s="266">
        <f t="shared" si="60"/>
        <v>0</v>
      </c>
    </row>
    <row r="941" spans="26:48" ht="15" customHeight="1" x14ac:dyDescent="0.2">
      <c r="Z941" s="243" t="str">
        <f>Shares!A941</f>
        <v/>
      </c>
      <c r="AA941" s="243" t="str">
        <f>Shares!B941</f>
        <v/>
      </c>
      <c r="AB941" s="243" t="str">
        <f>Shares!C941</f>
        <v/>
      </c>
      <c r="AC941" s="243" t="str">
        <f>Shares!D941</f>
        <v/>
      </c>
      <c r="AD941" s="243">
        <f>IF($Z941="",0,Shares!E941)</f>
        <v>0</v>
      </c>
      <c r="AE941" s="266">
        <f>IF($Z941="",0,Shares!J941*Shares!I941)</f>
        <v>0</v>
      </c>
      <c r="AF941" s="267">
        <f t="shared" si="59"/>
        <v>0</v>
      </c>
      <c r="AG941" s="266">
        <f>IF($Z941="",0,Shares!L941)</f>
        <v>0</v>
      </c>
      <c r="AH941" s="267">
        <f>IF($Z941="",0,Shares!M941)</f>
        <v>0</v>
      </c>
      <c r="AI941" s="243" t="str">
        <f>IF($Z941="","",RANK(AE941,$AE$2:$AE$1001)+COUNTIF($AE$2:AE941,AE941)-1)</f>
        <v/>
      </c>
      <c r="AJ941" s="243" t="str">
        <f>IF($AD941&lt;0,COUNT($AJ$1:AJ940)+1,"")</f>
        <v/>
      </c>
      <c r="AL941" s="243" t="str">
        <f>'All Ticker P&amp;L'!A941</f>
        <v/>
      </c>
      <c r="AM941" s="243" t="str">
        <f>'All Ticker P&amp;L'!B941</f>
        <v/>
      </c>
      <c r="AN941" s="243" t="str">
        <f>'All Ticker P&amp;L'!C941</f>
        <v/>
      </c>
      <c r="AO941" s="243" t="str">
        <f>'All Ticker P&amp;L'!D941</f>
        <v/>
      </c>
      <c r="AP941" s="243">
        <f>IF($AL941="",0,'All Ticker P&amp;L'!E941)</f>
        <v>0</v>
      </c>
      <c r="AQ941" s="266">
        <f>IF($AL941="",0,'All Ticker P&amp;L'!J941*'All Ticker P&amp;L'!I941)</f>
        <v>0</v>
      </c>
      <c r="AR941" s="266">
        <f>IF($AL941="",0,'All Ticker P&amp;L'!L941)</f>
        <v>0</v>
      </c>
      <c r="AS941" s="267">
        <f>IF($AL941="",0,'All Ticker P&amp;L'!M941)</f>
        <v>0</v>
      </c>
      <c r="AT941" s="243" t="str">
        <f>IF($AL941="","",RANK(AR941,$AR$2:$AR$1001)+COUNTIF($AR$2:AR941,AR941)-1)</f>
        <v/>
      </c>
      <c r="AU941" s="243" t="str">
        <f>IF($AL941="","",RANK(AV941,$AV$2:$AV$1001)+COUNTIF($AV$2:AV941,AV941)-1)</f>
        <v/>
      </c>
      <c r="AV941" s="266">
        <f t="shared" si="60"/>
        <v>0</v>
      </c>
    </row>
    <row r="942" spans="26:48" ht="15" customHeight="1" x14ac:dyDescent="0.2">
      <c r="Z942" s="243" t="str">
        <f>Shares!A942</f>
        <v/>
      </c>
      <c r="AA942" s="243" t="str">
        <f>Shares!B942</f>
        <v/>
      </c>
      <c r="AB942" s="243" t="str">
        <f>Shares!C942</f>
        <v/>
      </c>
      <c r="AC942" s="243" t="str">
        <f>Shares!D942</f>
        <v/>
      </c>
      <c r="AD942" s="243">
        <f>IF($Z942="",0,Shares!E942)</f>
        <v>0</v>
      </c>
      <c r="AE942" s="266">
        <f>IF($Z942="",0,Shares!J942*Shares!I942)</f>
        <v>0</v>
      </c>
      <c r="AF942" s="267">
        <f t="shared" si="59"/>
        <v>0</v>
      </c>
      <c r="AG942" s="266">
        <f>IF($Z942="",0,Shares!L942)</f>
        <v>0</v>
      </c>
      <c r="AH942" s="267">
        <f>IF($Z942="",0,Shares!M942)</f>
        <v>0</v>
      </c>
      <c r="AI942" s="243" t="str">
        <f>IF($Z942="","",RANK(AE942,$AE$2:$AE$1001)+COUNTIF($AE$2:AE942,AE942)-1)</f>
        <v/>
      </c>
      <c r="AJ942" s="243" t="str">
        <f>IF($AD942&lt;0,COUNT($AJ$1:AJ941)+1,"")</f>
        <v/>
      </c>
      <c r="AL942" s="243" t="str">
        <f>'All Ticker P&amp;L'!A942</f>
        <v/>
      </c>
      <c r="AM942" s="243" t="str">
        <f>'All Ticker P&amp;L'!B942</f>
        <v/>
      </c>
      <c r="AN942" s="243" t="str">
        <f>'All Ticker P&amp;L'!C942</f>
        <v/>
      </c>
      <c r="AO942" s="243" t="str">
        <f>'All Ticker P&amp;L'!D942</f>
        <v/>
      </c>
      <c r="AP942" s="243">
        <f>IF($AL942="",0,'All Ticker P&amp;L'!E942)</f>
        <v>0</v>
      </c>
      <c r="AQ942" s="266">
        <f>IF($AL942="",0,'All Ticker P&amp;L'!J942*'All Ticker P&amp;L'!I942)</f>
        <v>0</v>
      </c>
      <c r="AR942" s="266">
        <f>IF($AL942="",0,'All Ticker P&amp;L'!L942)</f>
        <v>0</v>
      </c>
      <c r="AS942" s="267">
        <f>IF($AL942="",0,'All Ticker P&amp;L'!M942)</f>
        <v>0</v>
      </c>
      <c r="AT942" s="243" t="str">
        <f>IF($AL942="","",RANK(AR942,$AR$2:$AR$1001)+COUNTIF($AR$2:AR942,AR942)-1)</f>
        <v/>
      </c>
      <c r="AU942" s="243" t="str">
        <f>IF($AL942="","",RANK(AV942,$AV$2:$AV$1001)+COUNTIF($AV$2:AV942,AV942)-1)</f>
        <v/>
      </c>
      <c r="AV942" s="266">
        <f t="shared" si="60"/>
        <v>0</v>
      </c>
    </row>
    <row r="943" spans="26:48" ht="15" customHeight="1" x14ac:dyDescent="0.2">
      <c r="Z943" s="243" t="str">
        <f>Shares!A943</f>
        <v/>
      </c>
      <c r="AA943" s="243" t="str">
        <f>Shares!B943</f>
        <v/>
      </c>
      <c r="AB943" s="243" t="str">
        <f>Shares!C943</f>
        <v/>
      </c>
      <c r="AC943" s="243" t="str">
        <f>Shares!D943</f>
        <v/>
      </c>
      <c r="AD943" s="243">
        <f>IF($Z943="",0,Shares!E943)</f>
        <v>0</v>
      </c>
      <c r="AE943" s="266">
        <f>IF($Z943="",0,Shares!J943*Shares!I943)</f>
        <v>0</v>
      </c>
      <c r="AF943" s="267">
        <f t="shared" si="59"/>
        <v>0</v>
      </c>
      <c r="AG943" s="266">
        <f>IF($Z943="",0,Shares!L943)</f>
        <v>0</v>
      </c>
      <c r="AH943" s="267">
        <f>IF($Z943="",0,Shares!M943)</f>
        <v>0</v>
      </c>
      <c r="AI943" s="243" t="str">
        <f>IF($Z943="","",RANK(AE943,$AE$2:$AE$1001)+COUNTIF($AE$2:AE943,AE943)-1)</f>
        <v/>
      </c>
      <c r="AJ943" s="243" t="str">
        <f>IF($AD943&lt;0,COUNT($AJ$1:AJ942)+1,"")</f>
        <v/>
      </c>
      <c r="AL943" s="243" t="str">
        <f>'All Ticker P&amp;L'!A943</f>
        <v/>
      </c>
      <c r="AM943" s="243" t="str">
        <f>'All Ticker P&amp;L'!B943</f>
        <v/>
      </c>
      <c r="AN943" s="243" t="str">
        <f>'All Ticker P&amp;L'!C943</f>
        <v/>
      </c>
      <c r="AO943" s="243" t="str">
        <f>'All Ticker P&amp;L'!D943</f>
        <v/>
      </c>
      <c r="AP943" s="243">
        <f>IF($AL943="",0,'All Ticker P&amp;L'!E943)</f>
        <v>0</v>
      </c>
      <c r="AQ943" s="266">
        <f>IF($AL943="",0,'All Ticker P&amp;L'!J943*'All Ticker P&amp;L'!I943)</f>
        <v>0</v>
      </c>
      <c r="AR943" s="266">
        <f>IF($AL943="",0,'All Ticker P&amp;L'!L943)</f>
        <v>0</v>
      </c>
      <c r="AS943" s="267">
        <f>IF($AL943="",0,'All Ticker P&amp;L'!M943)</f>
        <v>0</v>
      </c>
      <c r="AT943" s="243" t="str">
        <f>IF($AL943="","",RANK(AR943,$AR$2:$AR$1001)+COUNTIF($AR$2:AR943,AR943)-1)</f>
        <v/>
      </c>
      <c r="AU943" s="243" t="str">
        <f>IF($AL943="","",RANK(AV943,$AV$2:$AV$1001)+COUNTIF($AV$2:AV943,AV943)-1)</f>
        <v/>
      </c>
      <c r="AV943" s="266">
        <f t="shared" si="60"/>
        <v>0</v>
      </c>
    </row>
    <row r="944" spans="26:48" ht="15" customHeight="1" x14ac:dyDescent="0.2">
      <c r="Z944" s="243" t="str">
        <f>Shares!A944</f>
        <v/>
      </c>
      <c r="AA944" s="243" t="str">
        <f>Shares!B944</f>
        <v/>
      </c>
      <c r="AB944" s="243" t="str">
        <f>Shares!C944</f>
        <v/>
      </c>
      <c r="AC944" s="243" t="str">
        <f>Shares!D944</f>
        <v/>
      </c>
      <c r="AD944" s="243">
        <f>IF($Z944="",0,Shares!E944)</f>
        <v>0</v>
      </c>
      <c r="AE944" s="266">
        <f>IF($Z944="",0,Shares!J944*Shares!I944)</f>
        <v>0</v>
      </c>
      <c r="AF944" s="267">
        <f t="shared" si="59"/>
        <v>0</v>
      </c>
      <c r="AG944" s="266">
        <f>IF($Z944="",0,Shares!L944)</f>
        <v>0</v>
      </c>
      <c r="AH944" s="267">
        <f>IF($Z944="",0,Shares!M944)</f>
        <v>0</v>
      </c>
      <c r="AI944" s="243" t="str">
        <f>IF($Z944="","",RANK(AE944,$AE$2:$AE$1001)+COUNTIF($AE$2:AE944,AE944)-1)</f>
        <v/>
      </c>
      <c r="AJ944" s="243" t="str">
        <f>IF($AD944&lt;0,COUNT($AJ$1:AJ943)+1,"")</f>
        <v/>
      </c>
      <c r="AL944" s="243" t="str">
        <f>'All Ticker P&amp;L'!A944</f>
        <v/>
      </c>
      <c r="AM944" s="243" t="str">
        <f>'All Ticker P&amp;L'!B944</f>
        <v/>
      </c>
      <c r="AN944" s="243" t="str">
        <f>'All Ticker P&amp;L'!C944</f>
        <v/>
      </c>
      <c r="AO944" s="243" t="str">
        <f>'All Ticker P&amp;L'!D944</f>
        <v/>
      </c>
      <c r="AP944" s="243">
        <f>IF($AL944="",0,'All Ticker P&amp;L'!E944)</f>
        <v>0</v>
      </c>
      <c r="AQ944" s="266">
        <f>IF($AL944="",0,'All Ticker P&amp;L'!J944*'All Ticker P&amp;L'!I944)</f>
        <v>0</v>
      </c>
      <c r="AR944" s="266">
        <f>IF($AL944="",0,'All Ticker P&amp;L'!L944)</f>
        <v>0</v>
      </c>
      <c r="AS944" s="267">
        <f>IF($AL944="",0,'All Ticker P&amp;L'!M944)</f>
        <v>0</v>
      </c>
      <c r="AT944" s="243" t="str">
        <f>IF($AL944="","",RANK(AR944,$AR$2:$AR$1001)+COUNTIF($AR$2:AR944,AR944)-1)</f>
        <v/>
      </c>
      <c r="AU944" s="243" t="str">
        <f>IF($AL944="","",RANK(AV944,$AV$2:$AV$1001)+COUNTIF($AV$2:AV944,AV944)-1)</f>
        <v/>
      </c>
      <c r="AV944" s="266">
        <f t="shared" si="60"/>
        <v>0</v>
      </c>
    </row>
    <row r="945" spans="26:48" ht="15" customHeight="1" x14ac:dyDescent="0.2">
      <c r="Z945" s="243" t="str">
        <f>Shares!A945</f>
        <v/>
      </c>
      <c r="AA945" s="243" t="str">
        <f>Shares!B945</f>
        <v/>
      </c>
      <c r="AB945" s="243" t="str">
        <f>Shares!C945</f>
        <v/>
      </c>
      <c r="AC945" s="243" t="str">
        <f>Shares!D945</f>
        <v/>
      </c>
      <c r="AD945" s="243">
        <f>IF($Z945="",0,Shares!E945)</f>
        <v>0</v>
      </c>
      <c r="AE945" s="266">
        <f>IF($Z945="",0,Shares!J945*Shares!I945)</f>
        <v>0</v>
      </c>
      <c r="AF945" s="267">
        <f t="shared" si="59"/>
        <v>0</v>
      </c>
      <c r="AG945" s="266">
        <f>IF($Z945="",0,Shares!L945)</f>
        <v>0</v>
      </c>
      <c r="AH945" s="267">
        <f>IF($Z945="",0,Shares!M945)</f>
        <v>0</v>
      </c>
      <c r="AI945" s="243" t="str">
        <f>IF($Z945="","",RANK(AE945,$AE$2:$AE$1001)+COUNTIF($AE$2:AE945,AE945)-1)</f>
        <v/>
      </c>
      <c r="AJ945" s="243" t="str">
        <f>IF($AD945&lt;0,COUNT($AJ$1:AJ944)+1,"")</f>
        <v/>
      </c>
      <c r="AL945" s="243" t="str">
        <f>'All Ticker P&amp;L'!A945</f>
        <v/>
      </c>
      <c r="AM945" s="243" t="str">
        <f>'All Ticker P&amp;L'!B945</f>
        <v/>
      </c>
      <c r="AN945" s="243" t="str">
        <f>'All Ticker P&amp;L'!C945</f>
        <v/>
      </c>
      <c r="AO945" s="243" t="str">
        <f>'All Ticker P&amp;L'!D945</f>
        <v/>
      </c>
      <c r="AP945" s="243">
        <f>IF($AL945="",0,'All Ticker P&amp;L'!E945)</f>
        <v>0</v>
      </c>
      <c r="AQ945" s="266">
        <f>IF($AL945="",0,'All Ticker P&amp;L'!J945*'All Ticker P&amp;L'!I945)</f>
        <v>0</v>
      </c>
      <c r="AR945" s="266">
        <f>IF($AL945="",0,'All Ticker P&amp;L'!L945)</f>
        <v>0</v>
      </c>
      <c r="AS945" s="267">
        <f>IF($AL945="",0,'All Ticker P&amp;L'!M945)</f>
        <v>0</v>
      </c>
      <c r="AT945" s="243" t="str">
        <f>IF($AL945="","",RANK(AR945,$AR$2:$AR$1001)+COUNTIF($AR$2:AR945,AR945)-1)</f>
        <v/>
      </c>
      <c r="AU945" s="243" t="str">
        <f>IF($AL945="","",RANK(AV945,$AV$2:$AV$1001)+COUNTIF($AV$2:AV945,AV945)-1)</f>
        <v/>
      </c>
      <c r="AV945" s="266">
        <f t="shared" si="60"/>
        <v>0</v>
      </c>
    </row>
    <row r="946" spans="26:48" ht="15" customHeight="1" x14ac:dyDescent="0.2">
      <c r="Z946" s="243" t="str">
        <f>Shares!A946</f>
        <v/>
      </c>
      <c r="AA946" s="243" t="str">
        <f>Shares!B946</f>
        <v/>
      </c>
      <c r="AB946" s="243" t="str">
        <f>Shares!C946</f>
        <v/>
      </c>
      <c r="AC946" s="243" t="str">
        <f>Shares!D946</f>
        <v/>
      </c>
      <c r="AD946" s="243">
        <f>IF($Z946="",0,Shares!E946)</f>
        <v>0</v>
      </c>
      <c r="AE946" s="266">
        <f>IF($Z946="",0,Shares!J946*Shares!I946)</f>
        <v>0</v>
      </c>
      <c r="AF946" s="267">
        <f t="shared" si="59"/>
        <v>0</v>
      </c>
      <c r="AG946" s="266">
        <f>IF($Z946="",0,Shares!L946)</f>
        <v>0</v>
      </c>
      <c r="AH946" s="267">
        <f>IF($Z946="",0,Shares!M946)</f>
        <v>0</v>
      </c>
      <c r="AI946" s="243" t="str">
        <f>IF($Z946="","",RANK(AE946,$AE$2:$AE$1001)+COUNTIF($AE$2:AE946,AE946)-1)</f>
        <v/>
      </c>
      <c r="AJ946" s="243" t="str">
        <f>IF($AD946&lt;0,COUNT($AJ$1:AJ945)+1,"")</f>
        <v/>
      </c>
      <c r="AL946" s="243" t="str">
        <f>'All Ticker P&amp;L'!A946</f>
        <v/>
      </c>
      <c r="AM946" s="243" t="str">
        <f>'All Ticker P&amp;L'!B946</f>
        <v/>
      </c>
      <c r="AN946" s="243" t="str">
        <f>'All Ticker P&amp;L'!C946</f>
        <v/>
      </c>
      <c r="AO946" s="243" t="str">
        <f>'All Ticker P&amp;L'!D946</f>
        <v/>
      </c>
      <c r="AP946" s="243">
        <f>IF($AL946="",0,'All Ticker P&amp;L'!E946)</f>
        <v>0</v>
      </c>
      <c r="AQ946" s="266">
        <f>IF($AL946="",0,'All Ticker P&amp;L'!J946*'All Ticker P&amp;L'!I946)</f>
        <v>0</v>
      </c>
      <c r="AR946" s="266">
        <f>IF($AL946="",0,'All Ticker P&amp;L'!L946)</f>
        <v>0</v>
      </c>
      <c r="AS946" s="267">
        <f>IF($AL946="",0,'All Ticker P&amp;L'!M946)</f>
        <v>0</v>
      </c>
      <c r="AT946" s="243" t="str">
        <f>IF($AL946="","",RANK(AR946,$AR$2:$AR$1001)+COUNTIF($AR$2:AR946,AR946)-1)</f>
        <v/>
      </c>
      <c r="AU946" s="243" t="str">
        <f>IF($AL946="","",RANK(AV946,$AV$2:$AV$1001)+COUNTIF($AV$2:AV946,AV946)-1)</f>
        <v/>
      </c>
      <c r="AV946" s="266">
        <f t="shared" si="60"/>
        <v>0</v>
      </c>
    </row>
    <row r="947" spans="26:48" ht="15" customHeight="1" x14ac:dyDescent="0.2">
      <c r="Z947" s="243" t="str">
        <f>Shares!A947</f>
        <v/>
      </c>
      <c r="AA947" s="243" t="str">
        <f>Shares!B947</f>
        <v/>
      </c>
      <c r="AB947" s="243" t="str">
        <f>Shares!C947</f>
        <v/>
      </c>
      <c r="AC947" s="243" t="str">
        <f>Shares!D947</f>
        <v/>
      </c>
      <c r="AD947" s="243">
        <f>IF($Z947="",0,Shares!E947)</f>
        <v>0</v>
      </c>
      <c r="AE947" s="266">
        <f>IF($Z947="",0,Shares!J947*Shares!I947)</f>
        <v>0</v>
      </c>
      <c r="AF947" s="267">
        <f t="shared" si="59"/>
        <v>0</v>
      </c>
      <c r="AG947" s="266">
        <f>IF($Z947="",0,Shares!L947)</f>
        <v>0</v>
      </c>
      <c r="AH947" s="267">
        <f>IF($Z947="",0,Shares!M947)</f>
        <v>0</v>
      </c>
      <c r="AI947" s="243" t="str">
        <f>IF($Z947="","",RANK(AE947,$AE$2:$AE$1001)+COUNTIF($AE$2:AE947,AE947)-1)</f>
        <v/>
      </c>
      <c r="AJ947" s="243" t="str">
        <f>IF($AD947&lt;0,COUNT($AJ$1:AJ946)+1,"")</f>
        <v/>
      </c>
      <c r="AL947" s="243" t="str">
        <f>'All Ticker P&amp;L'!A947</f>
        <v/>
      </c>
      <c r="AM947" s="243" t="str">
        <f>'All Ticker P&amp;L'!B947</f>
        <v/>
      </c>
      <c r="AN947" s="243" t="str">
        <f>'All Ticker P&amp;L'!C947</f>
        <v/>
      </c>
      <c r="AO947" s="243" t="str">
        <f>'All Ticker P&amp;L'!D947</f>
        <v/>
      </c>
      <c r="AP947" s="243">
        <f>IF($AL947="",0,'All Ticker P&amp;L'!E947)</f>
        <v>0</v>
      </c>
      <c r="AQ947" s="266">
        <f>IF($AL947="",0,'All Ticker P&amp;L'!J947*'All Ticker P&amp;L'!I947)</f>
        <v>0</v>
      </c>
      <c r="AR947" s="266">
        <f>IF($AL947="",0,'All Ticker P&amp;L'!L947)</f>
        <v>0</v>
      </c>
      <c r="AS947" s="267">
        <f>IF($AL947="",0,'All Ticker P&amp;L'!M947)</f>
        <v>0</v>
      </c>
      <c r="AT947" s="243" t="str">
        <f>IF($AL947="","",RANK(AR947,$AR$2:$AR$1001)+COUNTIF($AR$2:AR947,AR947)-1)</f>
        <v/>
      </c>
      <c r="AU947" s="243" t="str">
        <f>IF($AL947="","",RANK(AV947,$AV$2:$AV$1001)+COUNTIF($AV$2:AV947,AV947)-1)</f>
        <v/>
      </c>
      <c r="AV947" s="266">
        <f t="shared" si="60"/>
        <v>0</v>
      </c>
    </row>
    <row r="948" spans="26:48" ht="15" customHeight="1" x14ac:dyDescent="0.2">
      <c r="Z948" s="243" t="str">
        <f>Shares!A948</f>
        <v/>
      </c>
      <c r="AA948" s="243" t="str">
        <f>Shares!B948</f>
        <v/>
      </c>
      <c r="AB948" s="243" t="str">
        <f>Shares!C948</f>
        <v/>
      </c>
      <c r="AC948" s="243" t="str">
        <f>Shares!D948</f>
        <v/>
      </c>
      <c r="AD948" s="243">
        <f>IF($Z948="",0,Shares!E948)</f>
        <v>0</v>
      </c>
      <c r="AE948" s="266">
        <f>IF($Z948="",0,Shares!J948*Shares!I948)</f>
        <v>0</v>
      </c>
      <c r="AF948" s="267">
        <f t="shared" si="59"/>
        <v>0</v>
      </c>
      <c r="AG948" s="266">
        <f>IF($Z948="",0,Shares!L948)</f>
        <v>0</v>
      </c>
      <c r="AH948" s="267">
        <f>IF($Z948="",0,Shares!M948)</f>
        <v>0</v>
      </c>
      <c r="AI948" s="243" t="str">
        <f>IF($Z948="","",RANK(AE948,$AE$2:$AE$1001)+COUNTIF($AE$2:AE948,AE948)-1)</f>
        <v/>
      </c>
      <c r="AJ948" s="243" t="str">
        <f>IF($AD948&lt;0,COUNT($AJ$1:AJ947)+1,"")</f>
        <v/>
      </c>
      <c r="AL948" s="243" t="str">
        <f>'All Ticker P&amp;L'!A948</f>
        <v/>
      </c>
      <c r="AM948" s="243" t="str">
        <f>'All Ticker P&amp;L'!B948</f>
        <v/>
      </c>
      <c r="AN948" s="243" t="str">
        <f>'All Ticker P&amp;L'!C948</f>
        <v/>
      </c>
      <c r="AO948" s="243" t="str">
        <f>'All Ticker P&amp;L'!D948</f>
        <v/>
      </c>
      <c r="AP948" s="243">
        <f>IF($AL948="",0,'All Ticker P&amp;L'!E948)</f>
        <v>0</v>
      </c>
      <c r="AQ948" s="266">
        <f>IF($AL948="",0,'All Ticker P&amp;L'!J948*'All Ticker P&amp;L'!I948)</f>
        <v>0</v>
      </c>
      <c r="AR948" s="266">
        <f>IF($AL948="",0,'All Ticker P&amp;L'!L948)</f>
        <v>0</v>
      </c>
      <c r="AS948" s="267">
        <f>IF($AL948="",0,'All Ticker P&amp;L'!M948)</f>
        <v>0</v>
      </c>
      <c r="AT948" s="243" t="str">
        <f>IF($AL948="","",RANK(AR948,$AR$2:$AR$1001)+COUNTIF($AR$2:AR948,AR948)-1)</f>
        <v/>
      </c>
      <c r="AU948" s="243" t="str">
        <f>IF($AL948="","",RANK(AV948,$AV$2:$AV$1001)+COUNTIF($AV$2:AV948,AV948)-1)</f>
        <v/>
      </c>
      <c r="AV948" s="266">
        <f t="shared" si="60"/>
        <v>0</v>
      </c>
    </row>
    <row r="949" spans="26:48" ht="15" customHeight="1" x14ac:dyDescent="0.2">
      <c r="Z949" s="243" t="str">
        <f>Shares!A949</f>
        <v/>
      </c>
      <c r="AA949" s="243" t="str">
        <f>Shares!B949</f>
        <v/>
      </c>
      <c r="AB949" s="243" t="str">
        <f>Shares!C949</f>
        <v/>
      </c>
      <c r="AC949" s="243" t="str">
        <f>Shares!D949</f>
        <v/>
      </c>
      <c r="AD949" s="243">
        <f>IF($Z949="",0,Shares!E949)</f>
        <v>0</v>
      </c>
      <c r="AE949" s="266">
        <f>IF($Z949="",0,Shares!J949*Shares!I949)</f>
        <v>0</v>
      </c>
      <c r="AF949" s="267">
        <f t="shared" si="59"/>
        <v>0</v>
      </c>
      <c r="AG949" s="266">
        <f>IF($Z949="",0,Shares!L949)</f>
        <v>0</v>
      </c>
      <c r="AH949" s="267">
        <f>IF($Z949="",0,Shares!M949)</f>
        <v>0</v>
      </c>
      <c r="AI949" s="243" t="str">
        <f>IF($Z949="","",RANK(AE949,$AE$2:$AE$1001)+COUNTIF($AE$2:AE949,AE949)-1)</f>
        <v/>
      </c>
      <c r="AJ949" s="243" t="str">
        <f>IF($AD949&lt;0,COUNT($AJ$1:AJ948)+1,"")</f>
        <v/>
      </c>
      <c r="AL949" s="243" t="str">
        <f>'All Ticker P&amp;L'!A949</f>
        <v/>
      </c>
      <c r="AM949" s="243" t="str">
        <f>'All Ticker P&amp;L'!B949</f>
        <v/>
      </c>
      <c r="AN949" s="243" t="str">
        <f>'All Ticker P&amp;L'!C949</f>
        <v/>
      </c>
      <c r="AO949" s="243" t="str">
        <f>'All Ticker P&amp;L'!D949</f>
        <v/>
      </c>
      <c r="AP949" s="243">
        <f>IF($AL949="",0,'All Ticker P&amp;L'!E949)</f>
        <v>0</v>
      </c>
      <c r="AQ949" s="266">
        <f>IF($AL949="",0,'All Ticker P&amp;L'!J949*'All Ticker P&amp;L'!I949)</f>
        <v>0</v>
      </c>
      <c r="AR949" s="266">
        <f>IF($AL949="",0,'All Ticker P&amp;L'!L949)</f>
        <v>0</v>
      </c>
      <c r="AS949" s="267">
        <f>IF($AL949="",0,'All Ticker P&amp;L'!M949)</f>
        <v>0</v>
      </c>
      <c r="AT949" s="243" t="str">
        <f>IF($AL949="","",RANK(AR949,$AR$2:$AR$1001)+COUNTIF($AR$2:AR949,AR949)-1)</f>
        <v/>
      </c>
      <c r="AU949" s="243" t="str">
        <f>IF($AL949="","",RANK(AV949,$AV$2:$AV$1001)+COUNTIF($AV$2:AV949,AV949)-1)</f>
        <v/>
      </c>
      <c r="AV949" s="266">
        <f t="shared" si="60"/>
        <v>0</v>
      </c>
    </row>
    <row r="950" spans="26:48" ht="15" customHeight="1" x14ac:dyDescent="0.2">
      <c r="Z950" s="243" t="str">
        <f>Shares!A950</f>
        <v/>
      </c>
      <c r="AA950" s="243" t="str">
        <f>Shares!B950</f>
        <v/>
      </c>
      <c r="AB950" s="243" t="str">
        <f>Shares!C950</f>
        <v/>
      </c>
      <c r="AC950" s="243" t="str">
        <f>Shares!D950</f>
        <v/>
      </c>
      <c r="AD950" s="243">
        <f>IF($Z950="",0,Shares!E950)</f>
        <v>0</v>
      </c>
      <c r="AE950" s="266">
        <f>IF($Z950="",0,Shares!J950*Shares!I950)</f>
        <v>0</v>
      </c>
      <c r="AF950" s="267">
        <f t="shared" si="59"/>
        <v>0</v>
      </c>
      <c r="AG950" s="266">
        <f>IF($Z950="",0,Shares!L950)</f>
        <v>0</v>
      </c>
      <c r="AH950" s="267">
        <f>IF($Z950="",0,Shares!M950)</f>
        <v>0</v>
      </c>
      <c r="AI950" s="243" t="str">
        <f>IF($Z950="","",RANK(AE950,$AE$2:$AE$1001)+COUNTIF($AE$2:AE950,AE950)-1)</f>
        <v/>
      </c>
      <c r="AJ950" s="243" t="str">
        <f>IF($AD950&lt;0,COUNT($AJ$1:AJ949)+1,"")</f>
        <v/>
      </c>
      <c r="AL950" s="243" t="str">
        <f>'All Ticker P&amp;L'!A950</f>
        <v/>
      </c>
      <c r="AM950" s="243" t="str">
        <f>'All Ticker P&amp;L'!B950</f>
        <v/>
      </c>
      <c r="AN950" s="243" t="str">
        <f>'All Ticker P&amp;L'!C950</f>
        <v/>
      </c>
      <c r="AO950" s="243" t="str">
        <f>'All Ticker P&amp;L'!D950</f>
        <v/>
      </c>
      <c r="AP950" s="243">
        <f>IF($AL950="",0,'All Ticker P&amp;L'!E950)</f>
        <v>0</v>
      </c>
      <c r="AQ950" s="266">
        <f>IF($AL950="",0,'All Ticker P&amp;L'!J950*'All Ticker P&amp;L'!I950)</f>
        <v>0</v>
      </c>
      <c r="AR950" s="266">
        <f>IF($AL950="",0,'All Ticker P&amp;L'!L950)</f>
        <v>0</v>
      </c>
      <c r="AS950" s="267">
        <f>IF($AL950="",0,'All Ticker P&amp;L'!M950)</f>
        <v>0</v>
      </c>
      <c r="AT950" s="243" t="str">
        <f>IF($AL950="","",RANK(AR950,$AR$2:$AR$1001)+COUNTIF($AR$2:AR950,AR950)-1)</f>
        <v/>
      </c>
      <c r="AU950" s="243" t="str">
        <f>IF($AL950="","",RANK(AV950,$AV$2:$AV$1001)+COUNTIF($AV$2:AV950,AV950)-1)</f>
        <v/>
      </c>
      <c r="AV950" s="266">
        <f t="shared" si="60"/>
        <v>0</v>
      </c>
    </row>
    <row r="951" spans="26:48" ht="15" customHeight="1" x14ac:dyDescent="0.2">
      <c r="Z951" s="243" t="str">
        <f>Shares!A951</f>
        <v/>
      </c>
      <c r="AA951" s="243" t="str">
        <f>Shares!B951</f>
        <v/>
      </c>
      <c r="AB951" s="243" t="str">
        <f>Shares!C951</f>
        <v/>
      </c>
      <c r="AC951" s="243" t="str">
        <f>Shares!D951</f>
        <v/>
      </c>
      <c r="AD951" s="243">
        <f>IF($Z951="",0,Shares!E951)</f>
        <v>0</v>
      </c>
      <c r="AE951" s="266">
        <f>IF($Z951="",0,Shares!J951*Shares!I951)</f>
        <v>0</v>
      </c>
      <c r="AF951" s="267">
        <f t="shared" si="59"/>
        <v>0</v>
      </c>
      <c r="AG951" s="266">
        <f>IF($Z951="",0,Shares!L951)</f>
        <v>0</v>
      </c>
      <c r="AH951" s="267">
        <f>IF($Z951="",0,Shares!M951)</f>
        <v>0</v>
      </c>
      <c r="AI951" s="243" t="str">
        <f>IF($Z951="","",RANK(AE951,$AE$2:$AE$1001)+COUNTIF($AE$2:AE951,AE951)-1)</f>
        <v/>
      </c>
      <c r="AJ951" s="243" t="str">
        <f>IF($AD951&lt;0,COUNT($AJ$1:AJ950)+1,"")</f>
        <v/>
      </c>
      <c r="AL951" s="243" t="str">
        <f>'All Ticker P&amp;L'!A951</f>
        <v/>
      </c>
      <c r="AM951" s="243" t="str">
        <f>'All Ticker P&amp;L'!B951</f>
        <v/>
      </c>
      <c r="AN951" s="243" t="str">
        <f>'All Ticker P&amp;L'!C951</f>
        <v/>
      </c>
      <c r="AO951" s="243" t="str">
        <f>'All Ticker P&amp;L'!D951</f>
        <v/>
      </c>
      <c r="AP951" s="243">
        <f>IF($AL951="",0,'All Ticker P&amp;L'!E951)</f>
        <v>0</v>
      </c>
      <c r="AQ951" s="266">
        <f>IF($AL951="",0,'All Ticker P&amp;L'!J951*'All Ticker P&amp;L'!I951)</f>
        <v>0</v>
      </c>
      <c r="AR951" s="266">
        <f>IF($AL951="",0,'All Ticker P&amp;L'!L951)</f>
        <v>0</v>
      </c>
      <c r="AS951" s="267">
        <f>IF($AL951="",0,'All Ticker P&amp;L'!M951)</f>
        <v>0</v>
      </c>
      <c r="AT951" s="243" t="str">
        <f>IF($AL951="","",RANK(AR951,$AR$2:$AR$1001)+COUNTIF($AR$2:AR951,AR951)-1)</f>
        <v/>
      </c>
      <c r="AU951" s="243" t="str">
        <f>IF($AL951="","",RANK(AV951,$AV$2:$AV$1001)+COUNTIF($AV$2:AV951,AV951)-1)</f>
        <v/>
      </c>
      <c r="AV951" s="266">
        <f t="shared" si="60"/>
        <v>0</v>
      </c>
    </row>
    <row r="952" spans="26:48" ht="15" customHeight="1" x14ac:dyDescent="0.2">
      <c r="Z952" s="243" t="str">
        <f>Shares!A952</f>
        <v/>
      </c>
      <c r="AA952" s="243" t="str">
        <f>Shares!B952</f>
        <v/>
      </c>
      <c r="AB952" s="243" t="str">
        <f>Shares!C952</f>
        <v/>
      </c>
      <c r="AC952" s="243" t="str">
        <f>Shares!D952</f>
        <v/>
      </c>
      <c r="AD952" s="243">
        <f>IF($Z952="",0,Shares!E952)</f>
        <v>0</v>
      </c>
      <c r="AE952" s="266">
        <f>IF($Z952="",0,Shares!J952*Shares!I952)</f>
        <v>0</v>
      </c>
      <c r="AF952" s="267">
        <f t="shared" si="59"/>
        <v>0</v>
      </c>
      <c r="AG952" s="266">
        <f>IF($Z952="",0,Shares!L952)</f>
        <v>0</v>
      </c>
      <c r="AH952" s="267">
        <f>IF($Z952="",0,Shares!M952)</f>
        <v>0</v>
      </c>
      <c r="AI952" s="243" t="str">
        <f>IF($Z952="","",RANK(AE952,$AE$2:$AE$1001)+COUNTIF($AE$2:AE952,AE952)-1)</f>
        <v/>
      </c>
      <c r="AJ952" s="243" t="str">
        <f>IF($AD952&lt;0,COUNT($AJ$1:AJ951)+1,"")</f>
        <v/>
      </c>
      <c r="AL952" s="243" t="str">
        <f>'All Ticker P&amp;L'!A952</f>
        <v/>
      </c>
      <c r="AM952" s="243" t="str">
        <f>'All Ticker P&amp;L'!B952</f>
        <v/>
      </c>
      <c r="AN952" s="243" t="str">
        <f>'All Ticker P&amp;L'!C952</f>
        <v/>
      </c>
      <c r="AO952" s="243" t="str">
        <f>'All Ticker P&amp;L'!D952</f>
        <v/>
      </c>
      <c r="AP952" s="243">
        <f>IF($AL952="",0,'All Ticker P&amp;L'!E952)</f>
        <v>0</v>
      </c>
      <c r="AQ952" s="266">
        <f>IF($AL952="",0,'All Ticker P&amp;L'!J952*'All Ticker P&amp;L'!I952)</f>
        <v>0</v>
      </c>
      <c r="AR952" s="266">
        <f>IF($AL952="",0,'All Ticker P&amp;L'!L952)</f>
        <v>0</v>
      </c>
      <c r="AS952" s="267">
        <f>IF($AL952="",0,'All Ticker P&amp;L'!M952)</f>
        <v>0</v>
      </c>
      <c r="AT952" s="243" t="str">
        <f>IF($AL952="","",RANK(AR952,$AR$2:$AR$1001)+COUNTIF($AR$2:AR952,AR952)-1)</f>
        <v/>
      </c>
      <c r="AU952" s="243" t="str">
        <f>IF($AL952="","",RANK(AV952,$AV$2:$AV$1001)+COUNTIF($AV$2:AV952,AV952)-1)</f>
        <v/>
      </c>
      <c r="AV952" s="266">
        <f t="shared" si="60"/>
        <v>0</v>
      </c>
    </row>
    <row r="953" spans="26:48" ht="15" customHeight="1" x14ac:dyDescent="0.2">
      <c r="Z953" s="243" t="str">
        <f>Shares!A953</f>
        <v/>
      </c>
      <c r="AA953" s="243" t="str">
        <f>Shares!B953</f>
        <v/>
      </c>
      <c r="AB953" s="243" t="str">
        <f>Shares!C953</f>
        <v/>
      </c>
      <c r="AC953" s="243" t="str">
        <f>Shares!D953</f>
        <v/>
      </c>
      <c r="AD953" s="243">
        <f>IF($Z953="",0,Shares!E953)</f>
        <v>0</v>
      </c>
      <c r="AE953" s="266">
        <f>IF($Z953="",0,Shares!J953*Shares!I953)</f>
        <v>0</v>
      </c>
      <c r="AF953" s="267">
        <f t="shared" si="59"/>
        <v>0</v>
      </c>
      <c r="AG953" s="266">
        <f>IF($Z953="",0,Shares!L953)</f>
        <v>0</v>
      </c>
      <c r="AH953" s="267">
        <f>IF($Z953="",0,Shares!M953)</f>
        <v>0</v>
      </c>
      <c r="AI953" s="243" t="str">
        <f>IF($Z953="","",RANK(AE953,$AE$2:$AE$1001)+COUNTIF($AE$2:AE953,AE953)-1)</f>
        <v/>
      </c>
      <c r="AJ953" s="243" t="str">
        <f>IF($AD953&lt;0,COUNT($AJ$1:AJ952)+1,"")</f>
        <v/>
      </c>
      <c r="AL953" s="243" t="str">
        <f>'All Ticker P&amp;L'!A953</f>
        <v/>
      </c>
      <c r="AM953" s="243" t="str">
        <f>'All Ticker P&amp;L'!B953</f>
        <v/>
      </c>
      <c r="AN953" s="243" t="str">
        <f>'All Ticker P&amp;L'!C953</f>
        <v/>
      </c>
      <c r="AO953" s="243" t="str">
        <f>'All Ticker P&amp;L'!D953</f>
        <v/>
      </c>
      <c r="AP953" s="243">
        <f>IF($AL953="",0,'All Ticker P&amp;L'!E953)</f>
        <v>0</v>
      </c>
      <c r="AQ953" s="266">
        <f>IF($AL953="",0,'All Ticker P&amp;L'!J953*'All Ticker P&amp;L'!I953)</f>
        <v>0</v>
      </c>
      <c r="AR953" s="266">
        <f>IF($AL953="",0,'All Ticker P&amp;L'!L953)</f>
        <v>0</v>
      </c>
      <c r="AS953" s="267">
        <f>IF($AL953="",0,'All Ticker P&amp;L'!M953)</f>
        <v>0</v>
      </c>
      <c r="AT953" s="243" t="str">
        <f>IF($AL953="","",RANK(AR953,$AR$2:$AR$1001)+COUNTIF($AR$2:AR953,AR953)-1)</f>
        <v/>
      </c>
      <c r="AU953" s="243" t="str">
        <f>IF($AL953="","",RANK(AV953,$AV$2:$AV$1001)+COUNTIF($AV$2:AV953,AV953)-1)</f>
        <v/>
      </c>
      <c r="AV953" s="266">
        <f t="shared" si="60"/>
        <v>0</v>
      </c>
    </row>
    <row r="954" spans="26:48" ht="15" customHeight="1" x14ac:dyDescent="0.2">
      <c r="Z954" s="243" t="str">
        <f>Shares!A954</f>
        <v/>
      </c>
      <c r="AA954" s="243" t="str">
        <f>Shares!B954</f>
        <v/>
      </c>
      <c r="AB954" s="243" t="str">
        <f>Shares!C954</f>
        <v/>
      </c>
      <c r="AC954" s="243" t="str">
        <f>Shares!D954</f>
        <v/>
      </c>
      <c r="AD954" s="243">
        <f>IF($Z954="",0,Shares!E954)</f>
        <v>0</v>
      </c>
      <c r="AE954" s="266">
        <f>IF($Z954="",0,Shares!J954*Shares!I954)</f>
        <v>0</v>
      </c>
      <c r="AF954" s="267">
        <f t="shared" si="59"/>
        <v>0</v>
      </c>
      <c r="AG954" s="266">
        <f>IF($Z954="",0,Shares!L954)</f>
        <v>0</v>
      </c>
      <c r="AH954" s="267">
        <f>IF($Z954="",0,Shares!M954)</f>
        <v>0</v>
      </c>
      <c r="AI954" s="243" t="str">
        <f>IF($Z954="","",RANK(AE954,$AE$2:$AE$1001)+COUNTIF($AE$2:AE954,AE954)-1)</f>
        <v/>
      </c>
      <c r="AJ954" s="243" t="str">
        <f>IF($AD954&lt;0,COUNT($AJ$1:AJ953)+1,"")</f>
        <v/>
      </c>
      <c r="AL954" s="243" t="str">
        <f>'All Ticker P&amp;L'!A954</f>
        <v/>
      </c>
      <c r="AM954" s="243" t="str">
        <f>'All Ticker P&amp;L'!B954</f>
        <v/>
      </c>
      <c r="AN954" s="243" t="str">
        <f>'All Ticker P&amp;L'!C954</f>
        <v/>
      </c>
      <c r="AO954" s="243" t="str">
        <f>'All Ticker P&amp;L'!D954</f>
        <v/>
      </c>
      <c r="AP954" s="243">
        <f>IF($AL954="",0,'All Ticker P&amp;L'!E954)</f>
        <v>0</v>
      </c>
      <c r="AQ954" s="266">
        <f>IF($AL954="",0,'All Ticker P&amp;L'!J954*'All Ticker P&amp;L'!I954)</f>
        <v>0</v>
      </c>
      <c r="AR954" s="266">
        <f>IF($AL954="",0,'All Ticker P&amp;L'!L954)</f>
        <v>0</v>
      </c>
      <c r="AS954" s="267">
        <f>IF($AL954="",0,'All Ticker P&amp;L'!M954)</f>
        <v>0</v>
      </c>
      <c r="AT954" s="243" t="str">
        <f>IF($AL954="","",RANK(AR954,$AR$2:$AR$1001)+COUNTIF($AR$2:AR954,AR954)-1)</f>
        <v/>
      </c>
      <c r="AU954" s="243" t="str">
        <f>IF($AL954="","",RANK(AV954,$AV$2:$AV$1001)+COUNTIF($AV$2:AV954,AV954)-1)</f>
        <v/>
      </c>
      <c r="AV954" s="266">
        <f t="shared" si="60"/>
        <v>0</v>
      </c>
    </row>
    <row r="955" spans="26:48" ht="15" customHeight="1" x14ac:dyDescent="0.2">
      <c r="Z955" s="243" t="str">
        <f>Shares!A955</f>
        <v/>
      </c>
      <c r="AA955" s="243" t="str">
        <f>Shares!B955</f>
        <v/>
      </c>
      <c r="AB955" s="243" t="str">
        <f>Shares!C955</f>
        <v/>
      </c>
      <c r="AC955" s="243" t="str">
        <f>Shares!D955</f>
        <v/>
      </c>
      <c r="AD955" s="243">
        <f>IF($Z955="",0,Shares!E955)</f>
        <v>0</v>
      </c>
      <c r="AE955" s="266">
        <f>IF($Z955="",0,Shares!J955*Shares!I955)</f>
        <v>0</v>
      </c>
      <c r="AF955" s="267">
        <f t="shared" si="59"/>
        <v>0</v>
      </c>
      <c r="AG955" s="266">
        <f>IF($Z955="",0,Shares!L955)</f>
        <v>0</v>
      </c>
      <c r="AH955" s="267">
        <f>IF($Z955="",0,Shares!M955)</f>
        <v>0</v>
      </c>
      <c r="AI955" s="243" t="str">
        <f>IF($Z955="","",RANK(AE955,$AE$2:$AE$1001)+COUNTIF($AE$2:AE955,AE955)-1)</f>
        <v/>
      </c>
      <c r="AJ955" s="243" t="str">
        <f>IF($AD955&lt;0,COUNT($AJ$1:AJ954)+1,"")</f>
        <v/>
      </c>
      <c r="AL955" s="243" t="str">
        <f>'All Ticker P&amp;L'!A955</f>
        <v/>
      </c>
      <c r="AM955" s="243" t="str">
        <f>'All Ticker P&amp;L'!B955</f>
        <v/>
      </c>
      <c r="AN955" s="243" t="str">
        <f>'All Ticker P&amp;L'!C955</f>
        <v/>
      </c>
      <c r="AO955" s="243" t="str">
        <f>'All Ticker P&amp;L'!D955</f>
        <v/>
      </c>
      <c r="AP955" s="243">
        <f>IF($AL955="",0,'All Ticker P&amp;L'!E955)</f>
        <v>0</v>
      </c>
      <c r="AQ955" s="266">
        <f>IF($AL955="",0,'All Ticker P&amp;L'!J955*'All Ticker P&amp;L'!I955)</f>
        <v>0</v>
      </c>
      <c r="AR955" s="266">
        <f>IF($AL955="",0,'All Ticker P&amp;L'!L955)</f>
        <v>0</v>
      </c>
      <c r="AS955" s="267">
        <f>IF($AL955="",0,'All Ticker P&amp;L'!M955)</f>
        <v>0</v>
      </c>
      <c r="AT955" s="243" t="str">
        <f>IF($AL955="","",RANK(AR955,$AR$2:$AR$1001)+COUNTIF($AR$2:AR955,AR955)-1)</f>
        <v/>
      </c>
      <c r="AU955" s="243" t="str">
        <f>IF($AL955="","",RANK(AV955,$AV$2:$AV$1001)+COUNTIF($AV$2:AV955,AV955)-1)</f>
        <v/>
      </c>
      <c r="AV955" s="266">
        <f t="shared" si="60"/>
        <v>0</v>
      </c>
    </row>
    <row r="956" spans="26:48" ht="15" customHeight="1" x14ac:dyDescent="0.2">
      <c r="Z956" s="243" t="str">
        <f>Shares!A956</f>
        <v/>
      </c>
      <c r="AA956" s="243" t="str">
        <f>Shares!B956</f>
        <v/>
      </c>
      <c r="AB956" s="243" t="str">
        <f>Shares!C956</f>
        <v/>
      </c>
      <c r="AC956" s="243" t="str">
        <f>Shares!D956</f>
        <v/>
      </c>
      <c r="AD956" s="243">
        <f>IF($Z956="",0,Shares!E956)</f>
        <v>0</v>
      </c>
      <c r="AE956" s="266">
        <f>IF($Z956="",0,Shares!J956*Shares!I956)</f>
        <v>0</v>
      </c>
      <c r="AF956" s="267">
        <f t="shared" si="59"/>
        <v>0</v>
      </c>
      <c r="AG956" s="266">
        <f>IF($Z956="",0,Shares!L956)</f>
        <v>0</v>
      </c>
      <c r="AH956" s="267">
        <f>IF($Z956="",0,Shares!M956)</f>
        <v>0</v>
      </c>
      <c r="AI956" s="243" t="str">
        <f>IF($Z956="","",RANK(AE956,$AE$2:$AE$1001)+COUNTIF($AE$2:AE956,AE956)-1)</f>
        <v/>
      </c>
      <c r="AJ956" s="243" t="str">
        <f>IF($AD956&lt;0,COUNT($AJ$1:AJ955)+1,"")</f>
        <v/>
      </c>
      <c r="AL956" s="243" t="str">
        <f>'All Ticker P&amp;L'!A956</f>
        <v/>
      </c>
      <c r="AM956" s="243" t="str">
        <f>'All Ticker P&amp;L'!B956</f>
        <v/>
      </c>
      <c r="AN956" s="243" t="str">
        <f>'All Ticker P&amp;L'!C956</f>
        <v/>
      </c>
      <c r="AO956" s="243" t="str">
        <f>'All Ticker P&amp;L'!D956</f>
        <v/>
      </c>
      <c r="AP956" s="243">
        <f>IF($AL956="",0,'All Ticker P&amp;L'!E956)</f>
        <v>0</v>
      </c>
      <c r="AQ956" s="266">
        <f>IF($AL956="",0,'All Ticker P&amp;L'!J956*'All Ticker P&amp;L'!I956)</f>
        <v>0</v>
      </c>
      <c r="AR956" s="266">
        <f>IF($AL956="",0,'All Ticker P&amp;L'!L956)</f>
        <v>0</v>
      </c>
      <c r="AS956" s="267">
        <f>IF($AL956="",0,'All Ticker P&amp;L'!M956)</f>
        <v>0</v>
      </c>
      <c r="AT956" s="243" t="str">
        <f>IF($AL956="","",RANK(AR956,$AR$2:$AR$1001)+COUNTIF($AR$2:AR956,AR956)-1)</f>
        <v/>
      </c>
      <c r="AU956" s="243" t="str">
        <f>IF($AL956="","",RANK(AV956,$AV$2:$AV$1001)+COUNTIF($AV$2:AV956,AV956)-1)</f>
        <v/>
      </c>
      <c r="AV956" s="266">
        <f t="shared" si="60"/>
        <v>0</v>
      </c>
    </row>
    <row r="957" spans="26:48" ht="15" customHeight="1" x14ac:dyDescent="0.2">
      <c r="Z957" s="243" t="str">
        <f>Shares!A957</f>
        <v/>
      </c>
      <c r="AA957" s="243" t="str">
        <f>Shares!B957</f>
        <v/>
      </c>
      <c r="AB957" s="243" t="str">
        <f>Shares!C957</f>
        <v/>
      </c>
      <c r="AC957" s="243" t="str">
        <f>Shares!D957</f>
        <v/>
      </c>
      <c r="AD957" s="243">
        <f>IF($Z957="",0,Shares!E957)</f>
        <v>0</v>
      </c>
      <c r="AE957" s="266">
        <f>IF($Z957="",0,Shares!J957*Shares!I957)</f>
        <v>0</v>
      </c>
      <c r="AF957" s="267">
        <f t="shared" si="59"/>
        <v>0</v>
      </c>
      <c r="AG957" s="266">
        <f>IF($Z957="",0,Shares!L957)</f>
        <v>0</v>
      </c>
      <c r="AH957" s="267">
        <f>IF($Z957="",0,Shares!M957)</f>
        <v>0</v>
      </c>
      <c r="AI957" s="243" t="str">
        <f>IF($Z957="","",RANK(AE957,$AE$2:$AE$1001)+COUNTIF($AE$2:AE957,AE957)-1)</f>
        <v/>
      </c>
      <c r="AJ957" s="243" t="str">
        <f>IF($AD957&lt;0,COUNT($AJ$1:AJ956)+1,"")</f>
        <v/>
      </c>
      <c r="AL957" s="243" t="str">
        <f>'All Ticker P&amp;L'!A957</f>
        <v/>
      </c>
      <c r="AM957" s="243" t="str">
        <f>'All Ticker P&amp;L'!B957</f>
        <v/>
      </c>
      <c r="AN957" s="243" t="str">
        <f>'All Ticker P&amp;L'!C957</f>
        <v/>
      </c>
      <c r="AO957" s="243" t="str">
        <f>'All Ticker P&amp;L'!D957</f>
        <v/>
      </c>
      <c r="AP957" s="243">
        <f>IF($AL957="",0,'All Ticker P&amp;L'!E957)</f>
        <v>0</v>
      </c>
      <c r="AQ957" s="266">
        <f>IF($AL957="",0,'All Ticker P&amp;L'!J957*'All Ticker P&amp;L'!I957)</f>
        <v>0</v>
      </c>
      <c r="AR957" s="266">
        <f>IF($AL957="",0,'All Ticker P&amp;L'!L957)</f>
        <v>0</v>
      </c>
      <c r="AS957" s="267">
        <f>IF($AL957="",0,'All Ticker P&amp;L'!M957)</f>
        <v>0</v>
      </c>
      <c r="AT957" s="243" t="str">
        <f>IF($AL957="","",RANK(AR957,$AR$2:$AR$1001)+COUNTIF($AR$2:AR957,AR957)-1)</f>
        <v/>
      </c>
      <c r="AU957" s="243" t="str">
        <f>IF($AL957="","",RANK(AV957,$AV$2:$AV$1001)+COUNTIF($AV$2:AV957,AV957)-1)</f>
        <v/>
      </c>
      <c r="AV957" s="266">
        <f t="shared" si="60"/>
        <v>0</v>
      </c>
    </row>
    <row r="958" spans="26:48" ht="15" customHeight="1" x14ac:dyDescent="0.2">
      <c r="Z958" s="243" t="str">
        <f>Shares!A958</f>
        <v/>
      </c>
      <c r="AA958" s="243" t="str">
        <f>Shares!B958</f>
        <v/>
      </c>
      <c r="AB958" s="243" t="str">
        <f>Shares!C958</f>
        <v/>
      </c>
      <c r="AC958" s="243" t="str">
        <f>Shares!D958</f>
        <v/>
      </c>
      <c r="AD958" s="243">
        <f>IF($Z958="",0,Shares!E958)</f>
        <v>0</v>
      </c>
      <c r="AE958" s="266">
        <f>IF($Z958="",0,Shares!J958*Shares!I958)</f>
        <v>0</v>
      </c>
      <c r="AF958" s="267">
        <f t="shared" si="59"/>
        <v>0</v>
      </c>
      <c r="AG958" s="266">
        <f>IF($Z958="",0,Shares!L958)</f>
        <v>0</v>
      </c>
      <c r="AH958" s="267">
        <f>IF($Z958="",0,Shares!M958)</f>
        <v>0</v>
      </c>
      <c r="AI958" s="243" t="str">
        <f>IF($Z958="","",RANK(AE958,$AE$2:$AE$1001)+COUNTIF($AE$2:AE958,AE958)-1)</f>
        <v/>
      </c>
      <c r="AJ958" s="243" t="str">
        <f>IF($AD958&lt;0,COUNT($AJ$1:AJ957)+1,"")</f>
        <v/>
      </c>
      <c r="AL958" s="243" t="str">
        <f>'All Ticker P&amp;L'!A958</f>
        <v/>
      </c>
      <c r="AM958" s="243" t="str">
        <f>'All Ticker P&amp;L'!B958</f>
        <v/>
      </c>
      <c r="AN958" s="243" t="str">
        <f>'All Ticker P&amp;L'!C958</f>
        <v/>
      </c>
      <c r="AO958" s="243" t="str">
        <f>'All Ticker P&amp;L'!D958</f>
        <v/>
      </c>
      <c r="AP958" s="243">
        <f>IF($AL958="",0,'All Ticker P&amp;L'!E958)</f>
        <v>0</v>
      </c>
      <c r="AQ958" s="266">
        <f>IF($AL958="",0,'All Ticker P&amp;L'!J958*'All Ticker P&amp;L'!I958)</f>
        <v>0</v>
      </c>
      <c r="AR958" s="266">
        <f>IF($AL958="",0,'All Ticker P&amp;L'!L958)</f>
        <v>0</v>
      </c>
      <c r="AS958" s="267">
        <f>IF($AL958="",0,'All Ticker P&amp;L'!M958)</f>
        <v>0</v>
      </c>
      <c r="AT958" s="243" t="str">
        <f>IF($AL958="","",RANK(AR958,$AR$2:$AR$1001)+COUNTIF($AR$2:AR958,AR958)-1)</f>
        <v/>
      </c>
      <c r="AU958" s="243" t="str">
        <f>IF($AL958="","",RANK(AV958,$AV$2:$AV$1001)+COUNTIF($AV$2:AV958,AV958)-1)</f>
        <v/>
      </c>
      <c r="AV958" s="266">
        <f t="shared" si="60"/>
        <v>0</v>
      </c>
    </row>
    <row r="959" spans="26:48" ht="15" customHeight="1" x14ac:dyDescent="0.2">
      <c r="Z959" s="243" t="str">
        <f>Shares!A959</f>
        <v/>
      </c>
      <c r="AA959" s="243" t="str">
        <f>Shares!B959</f>
        <v/>
      </c>
      <c r="AB959" s="243" t="str">
        <f>Shares!C959</f>
        <v/>
      </c>
      <c r="AC959" s="243" t="str">
        <f>Shares!D959</f>
        <v/>
      </c>
      <c r="AD959" s="243">
        <f>IF($Z959="",0,Shares!E959)</f>
        <v>0</v>
      </c>
      <c r="AE959" s="266">
        <f>IF($Z959="",0,Shares!J959*Shares!I959)</f>
        <v>0</v>
      </c>
      <c r="AF959" s="267">
        <f t="shared" si="59"/>
        <v>0</v>
      </c>
      <c r="AG959" s="266">
        <f>IF($Z959="",0,Shares!L959)</f>
        <v>0</v>
      </c>
      <c r="AH959" s="267">
        <f>IF($Z959="",0,Shares!M959)</f>
        <v>0</v>
      </c>
      <c r="AI959" s="243" t="str">
        <f>IF($Z959="","",RANK(AE959,$AE$2:$AE$1001)+COUNTIF($AE$2:AE959,AE959)-1)</f>
        <v/>
      </c>
      <c r="AJ959" s="243" t="str">
        <f>IF($AD959&lt;0,COUNT($AJ$1:AJ958)+1,"")</f>
        <v/>
      </c>
      <c r="AL959" s="243" t="str">
        <f>'All Ticker P&amp;L'!A959</f>
        <v/>
      </c>
      <c r="AM959" s="243" t="str">
        <f>'All Ticker P&amp;L'!B959</f>
        <v/>
      </c>
      <c r="AN959" s="243" t="str">
        <f>'All Ticker P&amp;L'!C959</f>
        <v/>
      </c>
      <c r="AO959" s="243" t="str">
        <f>'All Ticker P&amp;L'!D959</f>
        <v/>
      </c>
      <c r="AP959" s="243">
        <f>IF($AL959="",0,'All Ticker P&amp;L'!E959)</f>
        <v>0</v>
      </c>
      <c r="AQ959" s="266">
        <f>IF($AL959="",0,'All Ticker P&amp;L'!J959*'All Ticker P&amp;L'!I959)</f>
        <v>0</v>
      </c>
      <c r="AR959" s="266">
        <f>IF($AL959="",0,'All Ticker P&amp;L'!L959)</f>
        <v>0</v>
      </c>
      <c r="AS959" s="267">
        <f>IF($AL959="",0,'All Ticker P&amp;L'!M959)</f>
        <v>0</v>
      </c>
      <c r="AT959" s="243" t="str">
        <f>IF($AL959="","",RANK(AR959,$AR$2:$AR$1001)+COUNTIF($AR$2:AR959,AR959)-1)</f>
        <v/>
      </c>
      <c r="AU959" s="243" t="str">
        <f>IF($AL959="","",RANK(AV959,$AV$2:$AV$1001)+COUNTIF($AV$2:AV959,AV959)-1)</f>
        <v/>
      </c>
      <c r="AV959" s="266">
        <f t="shared" si="60"/>
        <v>0</v>
      </c>
    </row>
    <row r="960" spans="26:48" ht="15" customHeight="1" x14ac:dyDescent="0.2">
      <c r="Z960" s="243" t="str">
        <f>Shares!A960</f>
        <v/>
      </c>
      <c r="AA960" s="243" t="str">
        <f>Shares!B960</f>
        <v/>
      </c>
      <c r="AB960" s="243" t="str">
        <f>Shares!C960</f>
        <v/>
      </c>
      <c r="AC960" s="243" t="str">
        <f>Shares!D960</f>
        <v/>
      </c>
      <c r="AD960" s="243">
        <f>IF($Z960="",0,Shares!E960)</f>
        <v>0</v>
      </c>
      <c r="AE960" s="266">
        <f>IF($Z960="",0,Shares!J960*Shares!I960)</f>
        <v>0</v>
      </c>
      <c r="AF960" s="267">
        <f t="shared" si="59"/>
        <v>0</v>
      </c>
      <c r="AG960" s="266">
        <f>IF($Z960="",0,Shares!L960)</f>
        <v>0</v>
      </c>
      <c r="AH960" s="267">
        <f>IF($Z960="",0,Shares!M960)</f>
        <v>0</v>
      </c>
      <c r="AI960" s="243" t="str">
        <f>IF($Z960="","",RANK(AE960,$AE$2:$AE$1001)+COUNTIF($AE$2:AE960,AE960)-1)</f>
        <v/>
      </c>
      <c r="AJ960" s="243" t="str">
        <f>IF($AD960&lt;0,COUNT($AJ$1:AJ959)+1,"")</f>
        <v/>
      </c>
      <c r="AL960" s="243" t="str">
        <f>'All Ticker P&amp;L'!A960</f>
        <v/>
      </c>
      <c r="AM960" s="243" t="str">
        <f>'All Ticker P&amp;L'!B960</f>
        <v/>
      </c>
      <c r="AN960" s="243" t="str">
        <f>'All Ticker P&amp;L'!C960</f>
        <v/>
      </c>
      <c r="AO960" s="243" t="str">
        <f>'All Ticker P&amp;L'!D960</f>
        <v/>
      </c>
      <c r="AP960" s="243">
        <f>IF($AL960="",0,'All Ticker P&amp;L'!E960)</f>
        <v>0</v>
      </c>
      <c r="AQ960" s="266">
        <f>IF($AL960="",0,'All Ticker P&amp;L'!J960*'All Ticker P&amp;L'!I960)</f>
        <v>0</v>
      </c>
      <c r="AR960" s="266">
        <f>IF($AL960="",0,'All Ticker P&amp;L'!L960)</f>
        <v>0</v>
      </c>
      <c r="AS960" s="267">
        <f>IF($AL960="",0,'All Ticker P&amp;L'!M960)</f>
        <v>0</v>
      </c>
      <c r="AT960" s="243" t="str">
        <f>IF($AL960="","",RANK(AR960,$AR$2:$AR$1001)+COUNTIF($AR$2:AR960,AR960)-1)</f>
        <v/>
      </c>
      <c r="AU960" s="243" t="str">
        <f>IF($AL960="","",RANK(AV960,$AV$2:$AV$1001)+COUNTIF($AV$2:AV960,AV960)-1)</f>
        <v/>
      </c>
      <c r="AV960" s="266">
        <f t="shared" si="60"/>
        <v>0</v>
      </c>
    </row>
    <row r="961" spans="26:48" ht="15" customHeight="1" x14ac:dyDescent="0.2">
      <c r="Z961" s="243" t="str">
        <f>Shares!A961</f>
        <v/>
      </c>
      <c r="AA961" s="243" t="str">
        <f>Shares!B961</f>
        <v/>
      </c>
      <c r="AB961" s="243" t="str">
        <f>Shares!C961</f>
        <v/>
      </c>
      <c r="AC961" s="243" t="str">
        <f>Shares!D961</f>
        <v/>
      </c>
      <c r="AD961" s="243">
        <f>IF($Z961="",0,Shares!E961)</f>
        <v>0</v>
      </c>
      <c r="AE961" s="266">
        <f>IF($Z961="",0,Shares!J961*Shares!I961)</f>
        <v>0</v>
      </c>
      <c r="AF961" s="267">
        <f t="shared" si="59"/>
        <v>0</v>
      </c>
      <c r="AG961" s="266">
        <f>IF($Z961="",0,Shares!L961)</f>
        <v>0</v>
      </c>
      <c r="AH961" s="267">
        <f>IF($Z961="",0,Shares!M961)</f>
        <v>0</v>
      </c>
      <c r="AI961" s="243" t="str">
        <f>IF($Z961="","",RANK(AE961,$AE$2:$AE$1001)+COUNTIF($AE$2:AE961,AE961)-1)</f>
        <v/>
      </c>
      <c r="AJ961" s="243" t="str">
        <f>IF($AD961&lt;0,COUNT($AJ$1:AJ960)+1,"")</f>
        <v/>
      </c>
      <c r="AL961" s="243" t="str">
        <f>'All Ticker P&amp;L'!A961</f>
        <v/>
      </c>
      <c r="AM961" s="243" t="str">
        <f>'All Ticker P&amp;L'!B961</f>
        <v/>
      </c>
      <c r="AN961" s="243" t="str">
        <f>'All Ticker P&amp;L'!C961</f>
        <v/>
      </c>
      <c r="AO961" s="243" t="str">
        <f>'All Ticker P&amp;L'!D961</f>
        <v/>
      </c>
      <c r="AP961" s="243">
        <f>IF($AL961="",0,'All Ticker P&amp;L'!E961)</f>
        <v>0</v>
      </c>
      <c r="AQ961" s="266">
        <f>IF($AL961="",0,'All Ticker P&amp;L'!J961*'All Ticker P&amp;L'!I961)</f>
        <v>0</v>
      </c>
      <c r="AR961" s="266">
        <f>IF($AL961="",0,'All Ticker P&amp;L'!L961)</f>
        <v>0</v>
      </c>
      <c r="AS961" s="267">
        <f>IF($AL961="",0,'All Ticker P&amp;L'!M961)</f>
        <v>0</v>
      </c>
      <c r="AT961" s="243" t="str">
        <f>IF($AL961="","",RANK(AR961,$AR$2:$AR$1001)+COUNTIF($AR$2:AR961,AR961)-1)</f>
        <v/>
      </c>
      <c r="AU961" s="243" t="str">
        <f>IF($AL961="","",RANK(AV961,$AV$2:$AV$1001)+COUNTIF($AV$2:AV961,AV961)-1)</f>
        <v/>
      </c>
      <c r="AV961" s="266">
        <f t="shared" si="60"/>
        <v>0</v>
      </c>
    </row>
    <row r="962" spans="26:48" ht="15" customHeight="1" x14ac:dyDescent="0.2">
      <c r="Z962" s="243" t="str">
        <f>Shares!A962</f>
        <v/>
      </c>
      <c r="AA962" s="243" t="str">
        <f>Shares!B962</f>
        <v/>
      </c>
      <c r="AB962" s="243" t="str">
        <f>Shares!C962</f>
        <v/>
      </c>
      <c r="AC962" s="243" t="str">
        <f>Shares!D962</f>
        <v/>
      </c>
      <c r="AD962" s="243">
        <f>IF($Z962="",0,Shares!E962)</f>
        <v>0</v>
      </c>
      <c r="AE962" s="266">
        <f>IF($Z962="",0,Shares!J962*Shares!I962)</f>
        <v>0</v>
      </c>
      <c r="AF962" s="267">
        <f t="shared" ref="AF962:AF1025" si="61">IFERROR(AE962/$B$5,0)</f>
        <v>0</v>
      </c>
      <c r="AG962" s="266">
        <f>IF($Z962="",0,Shares!L962)</f>
        <v>0</v>
      </c>
      <c r="AH962" s="267">
        <f>IF($Z962="",0,Shares!M962)</f>
        <v>0</v>
      </c>
      <c r="AI962" s="243" t="str">
        <f>IF($Z962="","",RANK(AE962,$AE$2:$AE$1001)+COUNTIF($AE$2:AE962,AE962)-1)</f>
        <v/>
      </c>
      <c r="AJ962" s="243" t="str">
        <f>IF($AD962&lt;0,COUNT($AJ$1:AJ961)+1,"")</f>
        <v/>
      </c>
      <c r="AL962" s="243" t="str">
        <f>'All Ticker P&amp;L'!A962</f>
        <v/>
      </c>
      <c r="AM962" s="243" t="str">
        <f>'All Ticker P&amp;L'!B962</f>
        <v/>
      </c>
      <c r="AN962" s="243" t="str">
        <f>'All Ticker P&amp;L'!C962</f>
        <v/>
      </c>
      <c r="AO962" s="243" t="str">
        <f>'All Ticker P&amp;L'!D962</f>
        <v/>
      </c>
      <c r="AP962" s="243">
        <f>IF($AL962="",0,'All Ticker P&amp;L'!E962)</f>
        <v>0</v>
      </c>
      <c r="AQ962" s="266">
        <f>IF($AL962="",0,'All Ticker P&amp;L'!J962*'All Ticker P&amp;L'!I962)</f>
        <v>0</v>
      </c>
      <c r="AR962" s="266">
        <f>IF($AL962="",0,'All Ticker P&amp;L'!L962)</f>
        <v>0</v>
      </c>
      <c r="AS962" s="267">
        <f>IF($AL962="",0,'All Ticker P&amp;L'!M962)</f>
        <v>0</v>
      </c>
      <c r="AT962" s="243" t="str">
        <f>IF($AL962="","",RANK(AR962,$AR$2:$AR$1001)+COUNTIF($AR$2:AR962,AR962)-1)</f>
        <v/>
      </c>
      <c r="AU962" s="243" t="str">
        <f>IF($AL962="","",RANK(AV962,$AV$2:$AV$1001)+COUNTIF($AV$2:AV962,AV962)-1)</f>
        <v/>
      </c>
      <c r="AV962" s="266">
        <f t="shared" ref="AV962:AV1001" si="62">-AR962</f>
        <v>0</v>
      </c>
    </row>
    <row r="963" spans="26:48" ht="15" customHeight="1" x14ac:dyDescent="0.2">
      <c r="Z963" s="243" t="str">
        <f>Shares!A963</f>
        <v/>
      </c>
      <c r="AA963" s="243" t="str">
        <f>Shares!B963</f>
        <v/>
      </c>
      <c r="AB963" s="243" t="str">
        <f>Shares!C963</f>
        <v/>
      </c>
      <c r="AC963" s="243" t="str">
        <f>Shares!D963</f>
        <v/>
      </c>
      <c r="AD963" s="243">
        <f>IF($Z963="",0,Shares!E963)</f>
        <v>0</v>
      </c>
      <c r="AE963" s="266">
        <f>IF($Z963="",0,Shares!J963*Shares!I963)</f>
        <v>0</v>
      </c>
      <c r="AF963" s="267">
        <f t="shared" si="61"/>
        <v>0</v>
      </c>
      <c r="AG963" s="266">
        <f>IF($Z963="",0,Shares!L963)</f>
        <v>0</v>
      </c>
      <c r="AH963" s="267">
        <f>IF($Z963="",0,Shares!M963)</f>
        <v>0</v>
      </c>
      <c r="AI963" s="243" t="str">
        <f>IF($Z963="","",RANK(AE963,$AE$2:$AE$1001)+COUNTIF($AE$2:AE963,AE963)-1)</f>
        <v/>
      </c>
      <c r="AJ963" s="243" t="str">
        <f>IF($AD963&lt;0,COUNT($AJ$1:AJ962)+1,"")</f>
        <v/>
      </c>
      <c r="AL963" s="243" t="str">
        <f>'All Ticker P&amp;L'!A963</f>
        <v/>
      </c>
      <c r="AM963" s="243" t="str">
        <f>'All Ticker P&amp;L'!B963</f>
        <v/>
      </c>
      <c r="AN963" s="243" t="str">
        <f>'All Ticker P&amp;L'!C963</f>
        <v/>
      </c>
      <c r="AO963" s="243" t="str">
        <f>'All Ticker P&amp;L'!D963</f>
        <v/>
      </c>
      <c r="AP963" s="243">
        <f>IF($AL963="",0,'All Ticker P&amp;L'!E963)</f>
        <v>0</v>
      </c>
      <c r="AQ963" s="266">
        <f>IF($AL963="",0,'All Ticker P&amp;L'!J963*'All Ticker P&amp;L'!I963)</f>
        <v>0</v>
      </c>
      <c r="AR963" s="266">
        <f>IF($AL963="",0,'All Ticker P&amp;L'!L963)</f>
        <v>0</v>
      </c>
      <c r="AS963" s="267">
        <f>IF($AL963="",0,'All Ticker P&amp;L'!M963)</f>
        <v>0</v>
      </c>
      <c r="AT963" s="243" t="str">
        <f>IF($AL963="","",RANK(AR963,$AR$2:$AR$1001)+COUNTIF($AR$2:AR963,AR963)-1)</f>
        <v/>
      </c>
      <c r="AU963" s="243" t="str">
        <f>IF($AL963="","",RANK(AV963,$AV$2:$AV$1001)+COUNTIF($AV$2:AV963,AV963)-1)</f>
        <v/>
      </c>
      <c r="AV963" s="266">
        <f t="shared" si="62"/>
        <v>0</v>
      </c>
    </row>
    <row r="964" spans="26:48" ht="15" customHeight="1" x14ac:dyDescent="0.2">
      <c r="Z964" s="243" t="str">
        <f>Shares!A964</f>
        <v/>
      </c>
      <c r="AA964" s="243" t="str">
        <f>Shares!B964</f>
        <v/>
      </c>
      <c r="AB964" s="243" t="str">
        <f>Shares!C964</f>
        <v/>
      </c>
      <c r="AC964" s="243" t="str">
        <f>Shares!D964</f>
        <v/>
      </c>
      <c r="AD964" s="243">
        <f>IF($Z964="",0,Shares!E964)</f>
        <v>0</v>
      </c>
      <c r="AE964" s="266">
        <f>IF($Z964="",0,Shares!J964*Shares!I964)</f>
        <v>0</v>
      </c>
      <c r="AF964" s="267">
        <f t="shared" si="61"/>
        <v>0</v>
      </c>
      <c r="AG964" s="266">
        <f>IF($Z964="",0,Shares!L964)</f>
        <v>0</v>
      </c>
      <c r="AH964" s="267">
        <f>IF($Z964="",0,Shares!M964)</f>
        <v>0</v>
      </c>
      <c r="AI964" s="243" t="str">
        <f>IF($Z964="","",RANK(AE964,$AE$2:$AE$1001)+COUNTIF($AE$2:AE964,AE964)-1)</f>
        <v/>
      </c>
      <c r="AJ964" s="243" t="str">
        <f>IF($AD964&lt;0,COUNT($AJ$1:AJ963)+1,"")</f>
        <v/>
      </c>
      <c r="AL964" s="243" t="str">
        <f>'All Ticker P&amp;L'!A964</f>
        <v/>
      </c>
      <c r="AM964" s="243" t="str">
        <f>'All Ticker P&amp;L'!B964</f>
        <v/>
      </c>
      <c r="AN964" s="243" t="str">
        <f>'All Ticker P&amp;L'!C964</f>
        <v/>
      </c>
      <c r="AO964" s="243" t="str">
        <f>'All Ticker P&amp;L'!D964</f>
        <v/>
      </c>
      <c r="AP964" s="243">
        <f>IF($AL964="",0,'All Ticker P&amp;L'!E964)</f>
        <v>0</v>
      </c>
      <c r="AQ964" s="266">
        <f>IF($AL964="",0,'All Ticker P&amp;L'!J964*'All Ticker P&amp;L'!I964)</f>
        <v>0</v>
      </c>
      <c r="AR964" s="266">
        <f>IF($AL964="",0,'All Ticker P&amp;L'!L964)</f>
        <v>0</v>
      </c>
      <c r="AS964" s="267">
        <f>IF($AL964="",0,'All Ticker P&amp;L'!M964)</f>
        <v>0</v>
      </c>
      <c r="AT964" s="243" t="str">
        <f>IF($AL964="","",RANK(AR964,$AR$2:$AR$1001)+COUNTIF($AR$2:AR964,AR964)-1)</f>
        <v/>
      </c>
      <c r="AU964" s="243" t="str">
        <f>IF($AL964="","",RANK(AV964,$AV$2:$AV$1001)+COUNTIF($AV$2:AV964,AV964)-1)</f>
        <v/>
      </c>
      <c r="AV964" s="266">
        <f t="shared" si="62"/>
        <v>0</v>
      </c>
    </row>
    <row r="965" spans="26:48" ht="15" customHeight="1" x14ac:dyDescent="0.2">
      <c r="Z965" s="243" t="str">
        <f>Shares!A965</f>
        <v/>
      </c>
      <c r="AA965" s="243" t="str">
        <f>Shares!B965</f>
        <v/>
      </c>
      <c r="AB965" s="243" t="str">
        <f>Shares!C965</f>
        <v/>
      </c>
      <c r="AC965" s="243" t="str">
        <f>Shares!D965</f>
        <v/>
      </c>
      <c r="AD965" s="243">
        <f>IF($Z965="",0,Shares!E965)</f>
        <v>0</v>
      </c>
      <c r="AE965" s="266">
        <f>IF($Z965="",0,Shares!J965*Shares!I965)</f>
        <v>0</v>
      </c>
      <c r="AF965" s="267">
        <f t="shared" si="61"/>
        <v>0</v>
      </c>
      <c r="AG965" s="266">
        <f>IF($Z965="",0,Shares!L965)</f>
        <v>0</v>
      </c>
      <c r="AH965" s="267">
        <f>IF($Z965="",0,Shares!M965)</f>
        <v>0</v>
      </c>
      <c r="AI965" s="243" t="str">
        <f>IF($Z965="","",RANK(AE965,$AE$2:$AE$1001)+COUNTIF($AE$2:AE965,AE965)-1)</f>
        <v/>
      </c>
      <c r="AJ965" s="243" t="str">
        <f>IF($AD965&lt;0,COUNT($AJ$1:AJ964)+1,"")</f>
        <v/>
      </c>
      <c r="AL965" s="243" t="str">
        <f>'All Ticker P&amp;L'!A965</f>
        <v/>
      </c>
      <c r="AM965" s="243" t="str">
        <f>'All Ticker P&amp;L'!B965</f>
        <v/>
      </c>
      <c r="AN965" s="243" t="str">
        <f>'All Ticker P&amp;L'!C965</f>
        <v/>
      </c>
      <c r="AO965" s="243" t="str">
        <f>'All Ticker P&amp;L'!D965</f>
        <v/>
      </c>
      <c r="AP965" s="243">
        <f>IF($AL965="",0,'All Ticker P&amp;L'!E965)</f>
        <v>0</v>
      </c>
      <c r="AQ965" s="266">
        <f>IF($AL965="",0,'All Ticker P&amp;L'!J965*'All Ticker P&amp;L'!I965)</f>
        <v>0</v>
      </c>
      <c r="AR965" s="266">
        <f>IF($AL965="",0,'All Ticker P&amp;L'!L965)</f>
        <v>0</v>
      </c>
      <c r="AS965" s="267">
        <f>IF($AL965="",0,'All Ticker P&amp;L'!M965)</f>
        <v>0</v>
      </c>
      <c r="AT965" s="243" t="str">
        <f>IF($AL965="","",RANK(AR965,$AR$2:$AR$1001)+COUNTIF($AR$2:AR965,AR965)-1)</f>
        <v/>
      </c>
      <c r="AU965" s="243" t="str">
        <f>IF($AL965="","",RANK(AV965,$AV$2:$AV$1001)+COUNTIF($AV$2:AV965,AV965)-1)</f>
        <v/>
      </c>
      <c r="AV965" s="266">
        <f t="shared" si="62"/>
        <v>0</v>
      </c>
    </row>
    <row r="966" spans="26:48" ht="15" customHeight="1" x14ac:dyDescent="0.2">
      <c r="Z966" s="243" t="str">
        <f>Shares!A966</f>
        <v/>
      </c>
      <c r="AA966" s="243" t="str">
        <f>Shares!B966</f>
        <v/>
      </c>
      <c r="AB966" s="243" t="str">
        <f>Shares!C966</f>
        <v/>
      </c>
      <c r="AC966" s="243" t="str">
        <f>Shares!D966</f>
        <v/>
      </c>
      <c r="AD966" s="243">
        <f>IF($Z966="",0,Shares!E966)</f>
        <v>0</v>
      </c>
      <c r="AE966" s="266">
        <f>IF($Z966="",0,Shares!J966*Shares!I966)</f>
        <v>0</v>
      </c>
      <c r="AF966" s="267">
        <f t="shared" si="61"/>
        <v>0</v>
      </c>
      <c r="AG966" s="266">
        <f>IF($Z966="",0,Shares!L966)</f>
        <v>0</v>
      </c>
      <c r="AH966" s="267">
        <f>IF($Z966="",0,Shares!M966)</f>
        <v>0</v>
      </c>
      <c r="AI966" s="243" t="str">
        <f>IF($Z966="","",RANK(AE966,$AE$2:$AE$1001)+COUNTIF($AE$2:AE966,AE966)-1)</f>
        <v/>
      </c>
      <c r="AJ966" s="243" t="str">
        <f>IF($AD966&lt;0,COUNT($AJ$1:AJ965)+1,"")</f>
        <v/>
      </c>
      <c r="AL966" s="243" t="str">
        <f>'All Ticker P&amp;L'!A966</f>
        <v/>
      </c>
      <c r="AM966" s="243" t="str">
        <f>'All Ticker P&amp;L'!B966</f>
        <v/>
      </c>
      <c r="AN966" s="243" t="str">
        <f>'All Ticker P&amp;L'!C966</f>
        <v/>
      </c>
      <c r="AO966" s="243" t="str">
        <f>'All Ticker P&amp;L'!D966</f>
        <v/>
      </c>
      <c r="AP966" s="243">
        <f>IF($AL966="",0,'All Ticker P&amp;L'!E966)</f>
        <v>0</v>
      </c>
      <c r="AQ966" s="266">
        <f>IF($AL966="",0,'All Ticker P&amp;L'!J966*'All Ticker P&amp;L'!I966)</f>
        <v>0</v>
      </c>
      <c r="AR966" s="266">
        <f>IF($AL966="",0,'All Ticker P&amp;L'!L966)</f>
        <v>0</v>
      </c>
      <c r="AS966" s="267">
        <f>IF($AL966="",0,'All Ticker P&amp;L'!M966)</f>
        <v>0</v>
      </c>
      <c r="AT966" s="243" t="str">
        <f>IF($AL966="","",RANK(AR966,$AR$2:$AR$1001)+COUNTIF($AR$2:AR966,AR966)-1)</f>
        <v/>
      </c>
      <c r="AU966" s="243" t="str">
        <f>IF($AL966="","",RANK(AV966,$AV$2:$AV$1001)+COUNTIF($AV$2:AV966,AV966)-1)</f>
        <v/>
      </c>
      <c r="AV966" s="266">
        <f t="shared" si="62"/>
        <v>0</v>
      </c>
    </row>
    <row r="967" spans="26:48" ht="15" customHeight="1" x14ac:dyDescent="0.2">
      <c r="Z967" s="243" t="str">
        <f>Shares!A967</f>
        <v/>
      </c>
      <c r="AA967" s="243" t="str">
        <f>Shares!B967</f>
        <v/>
      </c>
      <c r="AB967" s="243" t="str">
        <f>Shares!C967</f>
        <v/>
      </c>
      <c r="AC967" s="243" t="str">
        <f>Shares!D967</f>
        <v/>
      </c>
      <c r="AD967" s="243">
        <f>IF($Z967="",0,Shares!E967)</f>
        <v>0</v>
      </c>
      <c r="AE967" s="266">
        <f>IF($Z967="",0,Shares!J967*Shares!I967)</f>
        <v>0</v>
      </c>
      <c r="AF967" s="267">
        <f t="shared" si="61"/>
        <v>0</v>
      </c>
      <c r="AG967" s="266">
        <f>IF($Z967="",0,Shares!L967)</f>
        <v>0</v>
      </c>
      <c r="AH967" s="267">
        <f>IF($Z967="",0,Shares!M967)</f>
        <v>0</v>
      </c>
      <c r="AI967" s="243" t="str">
        <f>IF($Z967="","",RANK(AE967,$AE$2:$AE$1001)+COUNTIF($AE$2:AE967,AE967)-1)</f>
        <v/>
      </c>
      <c r="AJ967" s="243" t="str">
        <f>IF($AD967&lt;0,COUNT($AJ$1:AJ966)+1,"")</f>
        <v/>
      </c>
      <c r="AL967" s="243" t="str">
        <f>'All Ticker P&amp;L'!A967</f>
        <v/>
      </c>
      <c r="AM967" s="243" t="str">
        <f>'All Ticker P&amp;L'!B967</f>
        <v/>
      </c>
      <c r="AN967" s="243" t="str">
        <f>'All Ticker P&amp;L'!C967</f>
        <v/>
      </c>
      <c r="AO967" s="243" t="str">
        <f>'All Ticker P&amp;L'!D967</f>
        <v/>
      </c>
      <c r="AP967" s="243">
        <f>IF($AL967="",0,'All Ticker P&amp;L'!E967)</f>
        <v>0</v>
      </c>
      <c r="AQ967" s="266">
        <f>IF($AL967="",0,'All Ticker P&amp;L'!J967*'All Ticker P&amp;L'!I967)</f>
        <v>0</v>
      </c>
      <c r="AR967" s="266">
        <f>IF($AL967="",0,'All Ticker P&amp;L'!L967)</f>
        <v>0</v>
      </c>
      <c r="AS967" s="267">
        <f>IF($AL967="",0,'All Ticker P&amp;L'!M967)</f>
        <v>0</v>
      </c>
      <c r="AT967" s="243" t="str">
        <f>IF($AL967="","",RANK(AR967,$AR$2:$AR$1001)+COUNTIF($AR$2:AR967,AR967)-1)</f>
        <v/>
      </c>
      <c r="AU967" s="243" t="str">
        <f>IF($AL967="","",RANK(AV967,$AV$2:$AV$1001)+COUNTIF($AV$2:AV967,AV967)-1)</f>
        <v/>
      </c>
      <c r="AV967" s="266">
        <f t="shared" si="62"/>
        <v>0</v>
      </c>
    </row>
    <row r="968" spans="26:48" ht="15" customHeight="1" x14ac:dyDescent="0.2">
      <c r="Z968" s="243" t="str">
        <f>Shares!A968</f>
        <v/>
      </c>
      <c r="AA968" s="243" t="str">
        <f>Shares!B968</f>
        <v/>
      </c>
      <c r="AB968" s="243" t="str">
        <f>Shares!C968</f>
        <v/>
      </c>
      <c r="AC968" s="243" t="str">
        <f>Shares!D968</f>
        <v/>
      </c>
      <c r="AD968" s="243">
        <f>IF($Z968="",0,Shares!E968)</f>
        <v>0</v>
      </c>
      <c r="AE968" s="266">
        <f>IF($Z968="",0,Shares!J968*Shares!I968)</f>
        <v>0</v>
      </c>
      <c r="AF968" s="267">
        <f t="shared" si="61"/>
        <v>0</v>
      </c>
      <c r="AG968" s="266">
        <f>IF($Z968="",0,Shares!L968)</f>
        <v>0</v>
      </c>
      <c r="AH968" s="267">
        <f>IF($Z968="",0,Shares!M968)</f>
        <v>0</v>
      </c>
      <c r="AI968" s="243" t="str">
        <f>IF($Z968="","",RANK(AE968,$AE$2:$AE$1001)+COUNTIF($AE$2:AE968,AE968)-1)</f>
        <v/>
      </c>
      <c r="AJ968" s="243" t="str">
        <f>IF($AD968&lt;0,COUNT($AJ$1:AJ967)+1,"")</f>
        <v/>
      </c>
      <c r="AL968" s="243" t="str">
        <f>'All Ticker P&amp;L'!A968</f>
        <v/>
      </c>
      <c r="AM968" s="243" t="str">
        <f>'All Ticker P&amp;L'!B968</f>
        <v/>
      </c>
      <c r="AN968" s="243" t="str">
        <f>'All Ticker P&amp;L'!C968</f>
        <v/>
      </c>
      <c r="AO968" s="243" t="str">
        <f>'All Ticker P&amp;L'!D968</f>
        <v/>
      </c>
      <c r="AP968" s="243">
        <f>IF($AL968="",0,'All Ticker P&amp;L'!E968)</f>
        <v>0</v>
      </c>
      <c r="AQ968" s="266">
        <f>IF($AL968="",0,'All Ticker P&amp;L'!J968*'All Ticker P&amp;L'!I968)</f>
        <v>0</v>
      </c>
      <c r="AR968" s="266">
        <f>IF($AL968="",0,'All Ticker P&amp;L'!L968)</f>
        <v>0</v>
      </c>
      <c r="AS968" s="267">
        <f>IF($AL968="",0,'All Ticker P&amp;L'!M968)</f>
        <v>0</v>
      </c>
      <c r="AT968" s="243" t="str">
        <f>IF($AL968="","",RANK(AR968,$AR$2:$AR$1001)+COUNTIF($AR$2:AR968,AR968)-1)</f>
        <v/>
      </c>
      <c r="AU968" s="243" t="str">
        <f>IF($AL968="","",RANK(AV968,$AV$2:$AV$1001)+COUNTIF($AV$2:AV968,AV968)-1)</f>
        <v/>
      </c>
      <c r="AV968" s="266">
        <f t="shared" si="62"/>
        <v>0</v>
      </c>
    </row>
    <row r="969" spans="26:48" ht="15" customHeight="1" x14ac:dyDescent="0.2">
      <c r="Z969" s="243" t="str">
        <f>Shares!A969</f>
        <v/>
      </c>
      <c r="AA969" s="243" t="str">
        <f>Shares!B969</f>
        <v/>
      </c>
      <c r="AB969" s="243" t="str">
        <f>Shares!C969</f>
        <v/>
      </c>
      <c r="AC969" s="243" t="str">
        <f>Shares!D969</f>
        <v/>
      </c>
      <c r="AD969" s="243">
        <f>IF($Z969="",0,Shares!E969)</f>
        <v>0</v>
      </c>
      <c r="AE969" s="266">
        <f>IF($Z969="",0,Shares!J969*Shares!I969)</f>
        <v>0</v>
      </c>
      <c r="AF969" s="267">
        <f t="shared" si="61"/>
        <v>0</v>
      </c>
      <c r="AG969" s="266">
        <f>IF($Z969="",0,Shares!L969)</f>
        <v>0</v>
      </c>
      <c r="AH969" s="267">
        <f>IF($Z969="",0,Shares!M969)</f>
        <v>0</v>
      </c>
      <c r="AI969" s="243" t="str">
        <f>IF($Z969="","",RANK(AE969,$AE$2:$AE$1001)+COUNTIF($AE$2:AE969,AE969)-1)</f>
        <v/>
      </c>
      <c r="AJ969" s="243" t="str">
        <f>IF($AD969&lt;0,COUNT($AJ$1:AJ968)+1,"")</f>
        <v/>
      </c>
      <c r="AL969" s="243" t="str">
        <f>'All Ticker P&amp;L'!A969</f>
        <v/>
      </c>
      <c r="AM969" s="243" t="str">
        <f>'All Ticker P&amp;L'!B969</f>
        <v/>
      </c>
      <c r="AN969" s="243" t="str">
        <f>'All Ticker P&amp;L'!C969</f>
        <v/>
      </c>
      <c r="AO969" s="243" t="str">
        <f>'All Ticker P&amp;L'!D969</f>
        <v/>
      </c>
      <c r="AP969" s="243">
        <f>IF($AL969="",0,'All Ticker P&amp;L'!E969)</f>
        <v>0</v>
      </c>
      <c r="AQ969" s="266">
        <f>IF($AL969="",0,'All Ticker P&amp;L'!J969*'All Ticker P&amp;L'!I969)</f>
        <v>0</v>
      </c>
      <c r="AR969" s="266">
        <f>IF($AL969="",0,'All Ticker P&amp;L'!L969)</f>
        <v>0</v>
      </c>
      <c r="AS969" s="267">
        <f>IF($AL969="",0,'All Ticker P&amp;L'!M969)</f>
        <v>0</v>
      </c>
      <c r="AT969" s="243" t="str">
        <f>IF($AL969="","",RANK(AR969,$AR$2:$AR$1001)+COUNTIF($AR$2:AR969,AR969)-1)</f>
        <v/>
      </c>
      <c r="AU969" s="243" t="str">
        <f>IF($AL969="","",RANK(AV969,$AV$2:$AV$1001)+COUNTIF($AV$2:AV969,AV969)-1)</f>
        <v/>
      </c>
      <c r="AV969" s="266">
        <f t="shared" si="62"/>
        <v>0</v>
      </c>
    </row>
    <row r="970" spans="26:48" ht="15" customHeight="1" x14ac:dyDescent="0.2">
      <c r="Z970" s="243" t="str">
        <f>Shares!A970</f>
        <v/>
      </c>
      <c r="AA970" s="243" t="str">
        <f>Shares!B970</f>
        <v/>
      </c>
      <c r="AB970" s="243" t="str">
        <f>Shares!C970</f>
        <v/>
      </c>
      <c r="AC970" s="243" t="str">
        <f>Shares!D970</f>
        <v/>
      </c>
      <c r="AD970" s="243">
        <f>IF($Z970="",0,Shares!E970)</f>
        <v>0</v>
      </c>
      <c r="AE970" s="266">
        <f>IF($Z970="",0,Shares!J970*Shares!I970)</f>
        <v>0</v>
      </c>
      <c r="AF970" s="267">
        <f t="shared" si="61"/>
        <v>0</v>
      </c>
      <c r="AG970" s="266">
        <f>IF($Z970="",0,Shares!L970)</f>
        <v>0</v>
      </c>
      <c r="AH970" s="267">
        <f>IF($Z970="",0,Shares!M970)</f>
        <v>0</v>
      </c>
      <c r="AI970" s="243" t="str">
        <f>IF($Z970="","",RANK(AE970,$AE$2:$AE$1001)+COUNTIF($AE$2:AE970,AE970)-1)</f>
        <v/>
      </c>
      <c r="AJ970" s="243" t="str">
        <f>IF($AD970&lt;0,COUNT($AJ$1:AJ969)+1,"")</f>
        <v/>
      </c>
      <c r="AL970" s="243" t="str">
        <f>'All Ticker P&amp;L'!A970</f>
        <v/>
      </c>
      <c r="AM970" s="243" t="str">
        <f>'All Ticker P&amp;L'!B970</f>
        <v/>
      </c>
      <c r="AN970" s="243" t="str">
        <f>'All Ticker P&amp;L'!C970</f>
        <v/>
      </c>
      <c r="AO970" s="243" t="str">
        <f>'All Ticker P&amp;L'!D970</f>
        <v/>
      </c>
      <c r="AP970" s="243">
        <f>IF($AL970="",0,'All Ticker P&amp;L'!E970)</f>
        <v>0</v>
      </c>
      <c r="AQ970" s="266">
        <f>IF($AL970="",0,'All Ticker P&amp;L'!J970*'All Ticker P&amp;L'!I970)</f>
        <v>0</v>
      </c>
      <c r="AR970" s="266">
        <f>IF($AL970="",0,'All Ticker P&amp;L'!L970)</f>
        <v>0</v>
      </c>
      <c r="AS970" s="267">
        <f>IF($AL970="",0,'All Ticker P&amp;L'!M970)</f>
        <v>0</v>
      </c>
      <c r="AT970" s="243" t="str">
        <f>IF($AL970="","",RANK(AR970,$AR$2:$AR$1001)+COUNTIF($AR$2:AR970,AR970)-1)</f>
        <v/>
      </c>
      <c r="AU970" s="243" t="str">
        <f>IF($AL970="","",RANK(AV970,$AV$2:$AV$1001)+COUNTIF($AV$2:AV970,AV970)-1)</f>
        <v/>
      </c>
      <c r="AV970" s="266">
        <f t="shared" si="62"/>
        <v>0</v>
      </c>
    </row>
    <row r="971" spans="26:48" ht="15" customHeight="1" x14ac:dyDescent="0.2">
      <c r="Z971" s="243" t="str">
        <f>Shares!A971</f>
        <v/>
      </c>
      <c r="AA971" s="243" t="str">
        <f>Shares!B971</f>
        <v/>
      </c>
      <c r="AB971" s="243" t="str">
        <f>Shares!C971</f>
        <v/>
      </c>
      <c r="AC971" s="243" t="str">
        <f>Shares!D971</f>
        <v/>
      </c>
      <c r="AD971" s="243">
        <f>IF($Z971="",0,Shares!E971)</f>
        <v>0</v>
      </c>
      <c r="AE971" s="266">
        <f>IF($Z971="",0,Shares!J971*Shares!I971)</f>
        <v>0</v>
      </c>
      <c r="AF971" s="267">
        <f t="shared" si="61"/>
        <v>0</v>
      </c>
      <c r="AG971" s="266">
        <f>IF($Z971="",0,Shares!L971)</f>
        <v>0</v>
      </c>
      <c r="AH971" s="267">
        <f>IF($Z971="",0,Shares!M971)</f>
        <v>0</v>
      </c>
      <c r="AI971" s="243" t="str">
        <f>IF($Z971="","",RANK(AE971,$AE$2:$AE$1001)+COUNTIF($AE$2:AE971,AE971)-1)</f>
        <v/>
      </c>
      <c r="AJ971" s="243" t="str">
        <f>IF($AD971&lt;0,COUNT($AJ$1:AJ970)+1,"")</f>
        <v/>
      </c>
      <c r="AL971" s="243" t="str">
        <f>'All Ticker P&amp;L'!A971</f>
        <v/>
      </c>
      <c r="AM971" s="243" t="str">
        <f>'All Ticker P&amp;L'!B971</f>
        <v/>
      </c>
      <c r="AN971" s="243" t="str">
        <f>'All Ticker P&amp;L'!C971</f>
        <v/>
      </c>
      <c r="AO971" s="243" t="str">
        <f>'All Ticker P&amp;L'!D971</f>
        <v/>
      </c>
      <c r="AP971" s="243">
        <f>IF($AL971="",0,'All Ticker P&amp;L'!E971)</f>
        <v>0</v>
      </c>
      <c r="AQ971" s="266">
        <f>IF($AL971="",0,'All Ticker P&amp;L'!J971*'All Ticker P&amp;L'!I971)</f>
        <v>0</v>
      </c>
      <c r="AR971" s="266">
        <f>IF($AL971="",0,'All Ticker P&amp;L'!L971)</f>
        <v>0</v>
      </c>
      <c r="AS971" s="267">
        <f>IF($AL971="",0,'All Ticker P&amp;L'!M971)</f>
        <v>0</v>
      </c>
      <c r="AT971" s="243" t="str">
        <f>IF($AL971="","",RANK(AR971,$AR$2:$AR$1001)+COUNTIF($AR$2:AR971,AR971)-1)</f>
        <v/>
      </c>
      <c r="AU971" s="243" t="str">
        <f>IF($AL971="","",RANK(AV971,$AV$2:$AV$1001)+COUNTIF($AV$2:AV971,AV971)-1)</f>
        <v/>
      </c>
      <c r="AV971" s="266">
        <f t="shared" si="62"/>
        <v>0</v>
      </c>
    </row>
    <row r="972" spans="26:48" ht="15" customHeight="1" x14ac:dyDescent="0.2">
      <c r="Z972" s="243" t="str">
        <f>Shares!A972</f>
        <v/>
      </c>
      <c r="AA972" s="243" t="str">
        <f>Shares!B972</f>
        <v/>
      </c>
      <c r="AB972" s="243" t="str">
        <f>Shares!C972</f>
        <v/>
      </c>
      <c r="AC972" s="243" t="str">
        <f>Shares!D972</f>
        <v/>
      </c>
      <c r="AD972" s="243">
        <f>IF($Z972="",0,Shares!E972)</f>
        <v>0</v>
      </c>
      <c r="AE972" s="266">
        <f>IF($Z972="",0,Shares!J972*Shares!I972)</f>
        <v>0</v>
      </c>
      <c r="AF972" s="267">
        <f t="shared" si="61"/>
        <v>0</v>
      </c>
      <c r="AG972" s="266">
        <f>IF($Z972="",0,Shares!L972)</f>
        <v>0</v>
      </c>
      <c r="AH972" s="267">
        <f>IF($Z972="",0,Shares!M972)</f>
        <v>0</v>
      </c>
      <c r="AI972" s="243" t="str">
        <f>IF($Z972="","",RANK(AE972,$AE$2:$AE$1001)+COUNTIF($AE$2:AE972,AE972)-1)</f>
        <v/>
      </c>
      <c r="AJ972" s="243" t="str">
        <f>IF($AD972&lt;0,COUNT($AJ$1:AJ971)+1,"")</f>
        <v/>
      </c>
      <c r="AL972" s="243" t="str">
        <f>'All Ticker P&amp;L'!A972</f>
        <v/>
      </c>
      <c r="AM972" s="243" t="str">
        <f>'All Ticker P&amp;L'!B972</f>
        <v/>
      </c>
      <c r="AN972" s="243" t="str">
        <f>'All Ticker P&amp;L'!C972</f>
        <v/>
      </c>
      <c r="AO972" s="243" t="str">
        <f>'All Ticker P&amp;L'!D972</f>
        <v/>
      </c>
      <c r="AP972" s="243">
        <f>IF($AL972="",0,'All Ticker P&amp;L'!E972)</f>
        <v>0</v>
      </c>
      <c r="AQ972" s="266">
        <f>IF($AL972="",0,'All Ticker P&amp;L'!J972*'All Ticker P&amp;L'!I972)</f>
        <v>0</v>
      </c>
      <c r="AR972" s="266">
        <f>IF($AL972="",0,'All Ticker P&amp;L'!L972)</f>
        <v>0</v>
      </c>
      <c r="AS972" s="267">
        <f>IF($AL972="",0,'All Ticker P&amp;L'!M972)</f>
        <v>0</v>
      </c>
      <c r="AT972" s="243" t="str">
        <f>IF($AL972="","",RANK(AR972,$AR$2:$AR$1001)+COUNTIF($AR$2:AR972,AR972)-1)</f>
        <v/>
      </c>
      <c r="AU972" s="243" t="str">
        <f>IF($AL972="","",RANK(AV972,$AV$2:$AV$1001)+COUNTIF($AV$2:AV972,AV972)-1)</f>
        <v/>
      </c>
      <c r="AV972" s="266">
        <f t="shared" si="62"/>
        <v>0</v>
      </c>
    </row>
    <row r="973" spans="26:48" ht="15" customHeight="1" x14ac:dyDescent="0.2">
      <c r="Z973" s="243" t="str">
        <f>Shares!A973</f>
        <v/>
      </c>
      <c r="AA973" s="243" t="str">
        <f>Shares!B973</f>
        <v/>
      </c>
      <c r="AB973" s="243" t="str">
        <f>Shares!C973</f>
        <v/>
      </c>
      <c r="AC973" s="243" t="str">
        <f>Shares!D973</f>
        <v/>
      </c>
      <c r="AD973" s="243">
        <f>IF($Z973="",0,Shares!E973)</f>
        <v>0</v>
      </c>
      <c r="AE973" s="266">
        <f>IF($Z973="",0,Shares!J973*Shares!I973)</f>
        <v>0</v>
      </c>
      <c r="AF973" s="267">
        <f t="shared" si="61"/>
        <v>0</v>
      </c>
      <c r="AG973" s="266">
        <f>IF($Z973="",0,Shares!L973)</f>
        <v>0</v>
      </c>
      <c r="AH973" s="267">
        <f>IF($Z973="",0,Shares!M973)</f>
        <v>0</v>
      </c>
      <c r="AI973" s="243" t="str">
        <f>IF($Z973="","",RANK(AE973,$AE$2:$AE$1001)+COUNTIF($AE$2:AE973,AE973)-1)</f>
        <v/>
      </c>
      <c r="AJ973" s="243" t="str">
        <f>IF($AD973&lt;0,COUNT($AJ$1:AJ972)+1,"")</f>
        <v/>
      </c>
      <c r="AL973" s="243" t="str">
        <f>'All Ticker P&amp;L'!A973</f>
        <v/>
      </c>
      <c r="AM973" s="243" t="str">
        <f>'All Ticker P&amp;L'!B973</f>
        <v/>
      </c>
      <c r="AN973" s="243" t="str">
        <f>'All Ticker P&amp;L'!C973</f>
        <v/>
      </c>
      <c r="AO973" s="243" t="str">
        <f>'All Ticker P&amp;L'!D973</f>
        <v/>
      </c>
      <c r="AP973" s="243">
        <f>IF($AL973="",0,'All Ticker P&amp;L'!E973)</f>
        <v>0</v>
      </c>
      <c r="AQ973" s="266">
        <f>IF($AL973="",0,'All Ticker P&amp;L'!J973*'All Ticker P&amp;L'!I973)</f>
        <v>0</v>
      </c>
      <c r="AR973" s="266">
        <f>IF($AL973="",0,'All Ticker P&amp;L'!L973)</f>
        <v>0</v>
      </c>
      <c r="AS973" s="267">
        <f>IF($AL973="",0,'All Ticker P&amp;L'!M973)</f>
        <v>0</v>
      </c>
      <c r="AT973" s="243" t="str">
        <f>IF($AL973="","",RANK(AR973,$AR$2:$AR$1001)+COUNTIF($AR$2:AR973,AR973)-1)</f>
        <v/>
      </c>
      <c r="AU973" s="243" t="str">
        <f>IF($AL973="","",RANK(AV973,$AV$2:$AV$1001)+COUNTIF($AV$2:AV973,AV973)-1)</f>
        <v/>
      </c>
      <c r="AV973" s="266">
        <f t="shared" si="62"/>
        <v>0</v>
      </c>
    </row>
    <row r="974" spans="26:48" ht="15" customHeight="1" x14ac:dyDescent="0.2">
      <c r="Z974" s="243" t="str">
        <f>Shares!A974</f>
        <v/>
      </c>
      <c r="AA974" s="243" t="str">
        <f>Shares!B974</f>
        <v/>
      </c>
      <c r="AB974" s="243" t="str">
        <f>Shares!C974</f>
        <v/>
      </c>
      <c r="AC974" s="243" t="str">
        <f>Shares!D974</f>
        <v/>
      </c>
      <c r="AD974" s="243">
        <f>IF($Z974="",0,Shares!E974)</f>
        <v>0</v>
      </c>
      <c r="AE974" s="266">
        <f>IF($Z974="",0,Shares!J974*Shares!I974)</f>
        <v>0</v>
      </c>
      <c r="AF974" s="267">
        <f t="shared" si="61"/>
        <v>0</v>
      </c>
      <c r="AG974" s="266">
        <f>IF($Z974="",0,Shares!L974)</f>
        <v>0</v>
      </c>
      <c r="AH974" s="267">
        <f>IF($Z974="",0,Shares!M974)</f>
        <v>0</v>
      </c>
      <c r="AI974" s="243" t="str">
        <f>IF($Z974="","",RANK(AE974,$AE$2:$AE$1001)+COUNTIF($AE$2:AE974,AE974)-1)</f>
        <v/>
      </c>
      <c r="AJ974" s="243" t="str">
        <f>IF($AD974&lt;0,COUNT($AJ$1:AJ973)+1,"")</f>
        <v/>
      </c>
      <c r="AL974" s="243" t="str">
        <f>'All Ticker P&amp;L'!A974</f>
        <v/>
      </c>
      <c r="AM974" s="243" t="str">
        <f>'All Ticker P&amp;L'!B974</f>
        <v/>
      </c>
      <c r="AN974" s="243" t="str">
        <f>'All Ticker P&amp;L'!C974</f>
        <v/>
      </c>
      <c r="AO974" s="243" t="str">
        <f>'All Ticker P&amp;L'!D974</f>
        <v/>
      </c>
      <c r="AP974" s="243">
        <f>IF($AL974="",0,'All Ticker P&amp;L'!E974)</f>
        <v>0</v>
      </c>
      <c r="AQ974" s="266">
        <f>IF($AL974="",0,'All Ticker P&amp;L'!J974*'All Ticker P&amp;L'!I974)</f>
        <v>0</v>
      </c>
      <c r="AR974" s="266">
        <f>IF($AL974="",0,'All Ticker P&amp;L'!L974)</f>
        <v>0</v>
      </c>
      <c r="AS974" s="267">
        <f>IF($AL974="",0,'All Ticker P&amp;L'!M974)</f>
        <v>0</v>
      </c>
      <c r="AT974" s="243" t="str">
        <f>IF($AL974="","",RANK(AR974,$AR$2:$AR$1001)+COUNTIF($AR$2:AR974,AR974)-1)</f>
        <v/>
      </c>
      <c r="AU974" s="243" t="str">
        <f>IF($AL974="","",RANK(AV974,$AV$2:$AV$1001)+COUNTIF($AV$2:AV974,AV974)-1)</f>
        <v/>
      </c>
      <c r="AV974" s="266">
        <f t="shared" si="62"/>
        <v>0</v>
      </c>
    </row>
    <row r="975" spans="26:48" ht="15" customHeight="1" x14ac:dyDescent="0.2">
      <c r="Z975" s="243" t="str">
        <f>Shares!A975</f>
        <v/>
      </c>
      <c r="AA975" s="243" t="str">
        <f>Shares!B975</f>
        <v/>
      </c>
      <c r="AB975" s="243" t="str">
        <f>Shares!C975</f>
        <v/>
      </c>
      <c r="AC975" s="243" t="str">
        <f>Shares!D975</f>
        <v/>
      </c>
      <c r="AD975" s="243">
        <f>IF($Z975="",0,Shares!E975)</f>
        <v>0</v>
      </c>
      <c r="AE975" s="266">
        <f>IF($Z975="",0,Shares!J975*Shares!I975)</f>
        <v>0</v>
      </c>
      <c r="AF975" s="267">
        <f t="shared" si="61"/>
        <v>0</v>
      </c>
      <c r="AG975" s="266">
        <f>IF($Z975="",0,Shares!L975)</f>
        <v>0</v>
      </c>
      <c r="AH975" s="267">
        <f>IF($Z975="",0,Shares!M975)</f>
        <v>0</v>
      </c>
      <c r="AI975" s="243" t="str">
        <f>IF($Z975="","",RANK(AE975,$AE$2:$AE$1001)+COUNTIF($AE$2:AE975,AE975)-1)</f>
        <v/>
      </c>
      <c r="AJ975" s="243" t="str">
        <f>IF($AD975&lt;0,COUNT($AJ$1:AJ974)+1,"")</f>
        <v/>
      </c>
      <c r="AL975" s="243" t="str">
        <f>'All Ticker P&amp;L'!A975</f>
        <v/>
      </c>
      <c r="AM975" s="243" t="str">
        <f>'All Ticker P&amp;L'!B975</f>
        <v/>
      </c>
      <c r="AN975" s="243" t="str">
        <f>'All Ticker P&amp;L'!C975</f>
        <v/>
      </c>
      <c r="AO975" s="243" t="str">
        <f>'All Ticker P&amp;L'!D975</f>
        <v/>
      </c>
      <c r="AP975" s="243">
        <f>IF($AL975="",0,'All Ticker P&amp;L'!E975)</f>
        <v>0</v>
      </c>
      <c r="AQ975" s="266">
        <f>IF($AL975="",0,'All Ticker P&amp;L'!J975*'All Ticker P&amp;L'!I975)</f>
        <v>0</v>
      </c>
      <c r="AR975" s="266">
        <f>IF($AL975="",0,'All Ticker P&amp;L'!L975)</f>
        <v>0</v>
      </c>
      <c r="AS975" s="267">
        <f>IF($AL975="",0,'All Ticker P&amp;L'!M975)</f>
        <v>0</v>
      </c>
      <c r="AT975" s="243" t="str">
        <f>IF($AL975="","",RANK(AR975,$AR$2:$AR$1001)+COUNTIF($AR$2:AR975,AR975)-1)</f>
        <v/>
      </c>
      <c r="AU975" s="243" t="str">
        <f>IF($AL975="","",RANK(AV975,$AV$2:$AV$1001)+COUNTIF($AV$2:AV975,AV975)-1)</f>
        <v/>
      </c>
      <c r="AV975" s="266">
        <f t="shared" si="62"/>
        <v>0</v>
      </c>
    </row>
    <row r="976" spans="26:48" ht="15" customHeight="1" x14ac:dyDescent="0.2">
      <c r="Z976" s="243" t="str">
        <f>Shares!A976</f>
        <v/>
      </c>
      <c r="AA976" s="243" t="str">
        <f>Shares!B976</f>
        <v/>
      </c>
      <c r="AB976" s="243" t="str">
        <f>Shares!C976</f>
        <v/>
      </c>
      <c r="AC976" s="243" t="str">
        <f>Shares!D976</f>
        <v/>
      </c>
      <c r="AD976" s="243">
        <f>IF($Z976="",0,Shares!E976)</f>
        <v>0</v>
      </c>
      <c r="AE976" s="266">
        <f>IF($Z976="",0,Shares!J976*Shares!I976)</f>
        <v>0</v>
      </c>
      <c r="AF976" s="267">
        <f t="shared" si="61"/>
        <v>0</v>
      </c>
      <c r="AG976" s="266">
        <f>IF($Z976="",0,Shares!L976)</f>
        <v>0</v>
      </c>
      <c r="AH976" s="267">
        <f>IF($Z976="",0,Shares!M976)</f>
        <v>0</v>
      </c>
      <c r="AI976" s="243" t="str">
        <f>IF($Z976="","",RANK(AE976,$AE$2:$AE$1001)+COUNTIF($AE$2:AE976,AE976)-1)</f>
        <v/>
      </c>
      <c r="AJ976" s="243" t="str">
        <f>IF($AD976&lt;0,COUNT($AJ$1:AJ975)+1,"")</f>
        <v/>
      </c>
      <c r="AL976" s="243" t="str">
        <f>'All Ticker P&amp;L'!A976</f>
        <v/>
      </c>
      <c r="AM976" s="243" t="str">
        <f>'All Ticker P&amp;L'!B976</f>
        <v/>
      </c>
      <c r="AN976" s="243" t="str">
        <f>'All Ticker P&amp;L'!C976</f>
        <v/>
      </c>
      <c r="AO976" s="243" t="str">
        <f>'All Ticker P&amp;L'!D976</f>
        <v/>
      </c>
      <c r="AP976" s="243">
        <f>IF($AL976="",0,'All Ticker P&amp;L'!E976)</f>
        <v>0</v>
      </c>
      <c r="AQ976" s="266">
        <f>IF($AL976="",0,'All Ticker P&amp;L'!J976*'All Ticker P&amp;L'!I976)</f>
        <v>0</v>
      </c>
      <c r="AR976" s="266">
        <f>IF($AL976="",0,'All Ticker P&amp;L'!L976)</f>
        <v>0</v>
      </c>
      <c r="AS976" s="267">
        <f>IF($AL976="",0,'All Ticker P&amp;L'!M976)</f>
        <v>0</v>
      </c>
      <c r="AT976" s="243" t="str">
        <f>IF($AL976="","",RANK(AR976,$AR$2:$AR$1001)+COUNTIF($AR$2:AR976,AR976)-1)</f>
        <v/>
      </c>
      <c r="AU976" s="243" t="str">
        <f>IF($AL976="","",RANK(AV976,$AV$2:$AV$1001)+COUNTIF($AV$2:AV976,AV976)-1)</f>
        <v/>
      </c>
      <c r="AV976" s="266">
        <f t="shared" si="62"/>
        <v>0</v>
      </c>
    </row>
    <row r="977" spans="26:48" ht="15" customHeight="1" x14ac:dyDescent="0.2">
      <c r="Z977" s="243" t="str">
        <f>Shares!A977</f>
        <v/>
      </c>
      <c r="AA977" s="243" t="str">
        <f>Shares!B977</f>
        <v/>
      </c>
      <c r="AB977" s="243" t="str">
        <f>Shares!C977</f>
        <v/>
      </c>
      <c r="AC977" s="243" t="str">
        <f>Shares!D977</f>
        <v/>
      </c>
      <c r="AD977" s="243">
        <f>IF($Z977="",0,Shares!E977)</f>
        <v>0</v>
      </c>
      <c r="AE977" s="266">
        <f>IF($Z977="",0,Shares!J977*Shares!I977)</f>
        <v>0</v>
      </c>
      <c r="AF977" s="267">
        <f t="shared" si="61"/>
        <v>0</v>
      </c>
      <c r="AG977" s="266">
        <f>IF($Z977="",0,Shares!L977)</f>
        <v>0</v>
      </c>
      <c r="AH977" s="267">
        <f>IF($Z977="",0,Shares!M977)</f>
        <v>0</v>
      </c>
      <c r="AI977" s="243" t="str">
        <f>IF($Z977="","",RANK(AE977,$AE$2:$AE$1001)+COUNTIF($AE$2:AE977,AE977)-1)</f>
        <v/>
      </c>
      <c r="AJ977" s="243" t="str">
        <f>IF($AD977&lt;0,COUNT($AJ$1:AJ976)+1,"")</f>
        <v/>
      </c>
      <c r="AL977" s="243" t="str">
        <f>'All Ticker P&amp;L'!A977</f>
        <v/>
      </c>
      <c r="AM977" s="243" t="str">
        <f>'All Ticker P&amp;L'!B977</f>
        <v/>
      </c>
      <c r="AN977" s="243" t="str">
        <f>'All Ticker P&amp;L'!C977</f>
        <v/>
      </c>
      <c r="AO977" s="243" t="str">
        <f>'All Ticker P&amp;L'!D977</f>
        <v/>
      </c>
      <c r="AP977" s="243">
        <f>IF($AL977="",0,'All Ticker P&amp;L'!E977)</f>
        <v>0</v>
      </c>
      <c r="AQ977" s="266">
        <f>IF($AL977="",0,'All Ticker P&amp;L'!J977*'All Ticker P&amp;L'!I977)</f>
        <v>0</v>
      </c>
      <c r="AR977" s="266">
        <f>IF($AL977="",0,'All Ticker P&amp;L'!L977)</f>
        <v>0</v>
      </c>
      <c r="AS977" s="267">
        <f>IF($AL977="",0,'All Ticker P&amp;L'!M977)</f>
        <v>0</v>
      </c>
      <c r="AT977" s="243" t="str">
        <f>IF($AL977="","",RANK(AR977,$AR$2:$AR$1001)+COUNTIF($AR$2:AR977,AR977)-1)</f>
        <v/>
      </c>
      <c r="AU977" s="243" t="str">
        <f>IF($AL977="","",RANK(AV977,$AV$2:$AV$1001)+COUNTIF($AV$2:AV977,AV977)-1)</f>
        <v/>
      </c>
      <c r="AV977" s="266">
        <f t="shared" si="62"/>
        <v>0</v>
      </c>
    </row>
    <row r="978" spans="26:48" ht="15" customHeight="1" x14ac:dyDescent="0.2">
      <c r="Z978" s="243" t="str">
        <f>Shares!A978</f>
        <v/>
      </c>
      <c r="AA978" s="243" t="str">
        <f>Shares!B978</f>
        <v/>
      </c>
      <c r="AB978" s="243" t="str">
        <f>Shares!C978</f>
        <v/>
      </c>
      <c r="AC978" s="243" t="str">
        <f>Shares!D978</f>
        <v/>
      </c>
      <c r="AD978" s="243">
        <f>IF($Z978="",0,Shares!E978)</f>
        <v>0</v>
      </c>
      <c r="AE978" s="266">
        <f>IF($Z978="",0,Shares!J978*Shares!I978)</f>
        <v>0</v>
      </c>
      <c r="AF978" s="267">
        <f t="shared" si="61"/>
        <v>0</v>
      </c>
      <c r="AG978" s="266">
        <f>IF($Z978="",0,Shares!L978)</f>
        <v>0</v>
      </c>
      <c r="AH978" s="267">
        <f>IF($Z978="",0,Shares!M978)</f>
        <v>0</v>
      </c>
      <c r="AI978" s="243" t="str">
        <f>IF($Z978="","",RANK(AE978,$AE$2:$AE$1001)+COUNTIF($AE$2:AE978,AE978)-1)</f>
        <v/>
      </c>
      <c r="AJ978" s="243" t="str">
        <f>IF($AD978&lt;0,COUNT($AJ$1:AJ977)+1,"")</f>
        <v/>
      </c>
      <c r="AL978" s="243" t="str">
        <f>'All Ticker P&amp;L'!A978</f>
        <v/>
      </c>
      <c r="AM978" s="243" t="str">
        <f>'All Ticker P&amp;L'!B978</f>
        <v/>
      </c>
      <c r="AN978" s="243" t="str">
        <f>'All Ticker P&amp;L'!C978</f>
        <v/>
      </c>
      <c r="AO978" s="243" t="str">
        <f>'All Ticker P&amp;L'!D978</f>
        <v/>
      </c>
      <c r="AP978" s="243">
        <f>IF($AL978="",0,'All Ticker P&amp;L'!E978)</f>
        <v>0</v>
      </c>
      <c r="AQ978" s="266">
        <f>IF($AL978="",0,'All Ticker P&amp;L'!J978*'All Ticker P&amp;L'!I978)</f>
        <v>0</v>
      </c>
      <c r="AR978" s="266">
        <f>IF($AL978="",0,'All Ticker P&amp;L'!L978)</f>
        <v>0</v>
      </c>
      <c r="AS978" s="267">
        <f>IF($AL978="",0,'All Ticker P&amp;L'!M978)</f>
        <v>0</v>
      </c>
      <c r="AT978" s="243" t="str">
        <f>IF($AL978="","",RANK(AR978,$AR$2:$AR$1001)+COUNTIF($AR$2:AR978,AR978)-1)</f>
        <v/>
      </c>
      <c r="AU978" s="243" t="str">
        <f>IF($AL978="","",RANK(AV978,$AV$2:$AV$1001)+COUNTIF($AV$2:AV978,AV978)-1)</f>
        <v/>
      </c>
      <c r="AV978" s="266">
        <f t="shared" si="62"/>
        <v>0</v>
      </c>
    </row>
    <row r="979" spans="26:48" ht="15" customHeight="1" x14ac:dyDescent="0.2">
      <c r="Z979" s="243" t="str">
        <f>Shares!A979</f>
        <v/>
      </c>
      <c r="AA979" s="243" t="str">
        <f>Shares!B979</f>
        <v/>
      </c>
      <c r="AB979" s="243" t="str">
        <f>Shares!C979</f>
        <v/>
      </c>
      <c r="AC979" s="243" t="str">
        <f>Shares!D979</f>
        <v/>
      </c>
      <c r="AD979" s="243">
        <f>IF($Z979="",0,Shares!E979)</f>
        <v>0</v>
      </c>
      <c r="AE979" s="266">
        <f>IF($Z979="",0,Shares!J979*Shares!I979)</f>
        <v>0</v>
      </c>
      <c r="AF979" s="267">
        <f t="shared" si="61"/>
        <v>0</v>
      </c>
      <c r="AG979" s="266">
        <f>IF($Z979="",0,Shares!L979)</f>
        <v>0</v>
      </c>
      <c r="AH979" s="267">
        <f>IF($Z979="",0,Shares!M979)</f>
        <v>0</v>
      </c>
      <c r="AI979" s="243" t="str">
        <f>IF($Z979="","",RANK(AE979,$AE$2:$AE$1001)+COUNTIF($AE$2:AE979,AE979)-1)</f>
        <v/>
      </c>
      <c r="AJ979" s="243" t="str">
        <f>IF($AD979&lt;0,COUNT($AJ$1:AJ978)+1,"")</f>
        <v/>
      </c>
      <c r="AL979" s="243" t="str">
        <f>'All Ticker P&amp;L'!A979</f>
        <v/>
      </c>
      <c r="AM979" s="243" t="str">
        <f>'All Ticker P&amp;L'!B979</f>
        <v/>
      </c>
      <c r="AN979" s="243" t="str">
        <f>'All Ticker P&amp;L'!C979</f>
        <v/>
      </c>
      <c r="AO979" s="243" t="str">
        <f>'All Ticker P&amp;L'!D979</f>
        <v/>
      </c>
      <c r="AP979" s="243">
        <f>IF($AL979="",0,'All Ticker P&amp;L'!E979)</f>
        <v>0</v>
      </c>
      <c r="AQ979" s="266">
        <f>IF($AL979="",0,'All Ticker P&amp;L'!J979*'All Ticker P&amp;L'!I979)</f>
        <v>0</v>
      </c>
      <c r="AR979" s="266">
        <f>IF($AL979="",0,'All Ticker P&amp;L'!L979)</f>
        <v>0</v>
      </c>
      <c r="AS979" s="267">
        <f>IF($AL979="",0,'All Ticker P&amp;L'!M979)</f>
        <v>0</v>
      </c>
      <c r="AT979" s="243" t="str">
        <f>IF($AL979="","",RANK(AR979,$AR$2:$AR$1001)+COUNTIF($AR$2:AR979,AR979)-1)</f>
        <v/>
      </c>
      <c r="AU979" s="243" t="str">
        <f>IF($AL979="","",RANK(AV979,$AV$2:$AV$1001)+COUNTIF($AV$2:AV979,AV979)-1)</f>
        <v/>
      </c>
      <c r="AV979" s="266">
        <f t="shared" si="62"/>
        <v>0</v>
      </c>
    </row>
    <row r="980" spans="26:48" ht="15" customHeight="1" x14ac:dyDescent="0.2">
      <c r="Z980" s="243" t="str">
        <f>Shares!A980</f>
        <v/>
      </c>
      <c r="AA980" s="243" t="str">
        <f>Shares!B980</f>
        <v/>
      </c>
      <c r="AB980" s="243" t="str">
        <f>Shares!C980</f>
        <v/>
      </c>
      <c r="AC980" s="243" t="str">
        <f>Shares!D980</f>
        <v/>
      </c>
      <c r="AD980" s="243">
        <f>IF($Z980="",0,Shares!E980)</f>
        <v>0</v>
      </c>
      <c r="AE980" s="266">
        <f>IF($Z980="",0,Shares!J980*Shares!I980)</f>
        <v>0</v>
      </c>
      <c r="AF980" s="267">
        <f t="shared" si="61"/>
        <v>0</v>
      </c>
      <c r="AG980" s="266">
        <f>IF($Z980="",0,Shares!L980)</f>
        <v>0</v>
      </c>
      <c r="AH980" s="267">
        <f>IF($Z980="",0,Shares!M980)</f>
        <v>0</v>
      </c>
      <c r="AI980" s="243" t="str">
        <f>IF($Z980="","",RANK(AE980,$AE$2:$AE$1001)+COUNTIF($AE$2:AE980,AE980)-1)</f>
        <v/>
      </c>
      <c r="AJ980" s="243" t="str">
        <f>IF($AD980&lt;0,COUNT($AJ$1:AJ979)+1,"")</f>
        <v/>
      </c>
      <c r="AL980" s="243" t="str">
        <f>'All Ticker P&amp;L'!A980</f>
        <v/>
      </c>
      <c r="AM980" s="243" t="str">
        <f>'All Ticker P&amp;L'!B980</f>
        <v/>
      </c>
      <c r="AN980" s="243" t="str">
        <f>'All Ticker P&amp;L'!C980</f>
        <v/>
      </c>
      <c r="AO980" s="243" t="str">
        <f>'All Ticker P&amp;L'!D980</f>
        <v/>
      </c>
      <c r="AP980" s="243">
        <f>IF($AL980="",0,'All Ticker P&amp;L'!E980)</f>
        <v>0</v>
      </c>
      <c r="AQ980" s="266">
        <f>IF($AL980="",0,'All Ticker P&amp;L'!J980*'All Ticker P&amp;L'!I980)</f>
        <v>0</v>
      </c>
      <c r="AR980" s="266">
        <f>IF($AL980="",0,'All Ticker P&amp;L'!L980)</f>
        <v>0</v>
      </c>
      <c r="AS980" s="267">
        <f>IF($AL980="",0,'All Ticker P&amp;L'!M980)</f>
        <v>0</v>
      </c>
      <c r="AT980" s="243" t="str">
        <f>IF($AL980="","",RANK(AR980,$AR$2:$AR$1001)+COUNTIF($AR$2:AR980,AR980)-1)</f>
        <v/>
      </c>
      <c r="AU980" s="243" t="str">
        <f>IF($AL980="","",RANK(AV980,$AV$2:$AV$1001)+COUNTIF($AV$2:AV980,AV980)-1)</f>
        <v/>
      </c>
      <c r="AV980" s="266">
        <f t="shared" si="62"/>
        <v>0</v>
      </c>
    </row>
    <row r="981" spans="26:48" ht="15" customHeight="1" x14ac:dyDescent="0.2">
      <c r="Z981" s="243" t="str">
        <f>Shares!A981</f>
        <v/>
      </c>
      <c r="AA981" s="243" t="str">
        <f>Shares!B981</f>
        <v/>
      </c>
      <c r="AB981" s="243" t="str">
        <f>Shares!C981</f>
        <v/>
      </c>
      <c r="AC981" s="243" t="str">
        <f>Shares!D981</f>
        <v/>
      </c>
      <c r="AD981" s="243">
        <f>IF($Z981="",0,Shares!E981)</f>
        <v>0</v>
      </c>
      <c r="AE981" s="266">
        <f>IF($Z981="",0,Shares!J981*Shares!I981)</f>
        <v>0</v>
      </c>
      <c r="AF981" s="267">
        <f t="shared" si="61"/>
        <v>0</v>
      </c>
      <c r="AG981" s="266">
        <f>IF($Z981="",0,Shares!L981)</f>
        <v>0</v>
      </c>
      <c r="AH981" s="267">
        <f>IF($Z981="",0,Shares!M981)</f>
        <v>0</v>
      </c>
      <c r="AI981" s="243" t="str">
        <f>IF($Z981="","",RANK(AE981,$AE$2:$AE$1001)+COUNTIF($AE$2:AE981,AE981)-1)</f>
        <v/>
      </c>
      <c r="AJ981" s="243" t="str">
        <f>IF($AD981&lt;0,COUNT($AJ$1:AJ980)+1,"")</f>
        <v/>
      </c>
      <c r="AL981" s="243" t="str">
        <f>'All Ticker P&amp;L'!A981</f>
        <v/>
      </c>
      <c r="AM981" s="243" t="str">
        <f>'All Ticker P&amp;L'!B981</f>
        <v/>
      </c>
      <c r="AN981" s="243" t="str">
        <f>'All Ticker P&amp;L'!C981</f>
        <v/>
      </c>
      <c r="AO981" s="243" t="str">
        <f>'All Ticker P&amp;L'!D981</f>
        <v/>
      </c>
      <c r="AP981" s="243">
        <f>IF($AL981="",0,'All Ticker P&amp;L'!E981)</f>
        <v>0</v>
      </c>
      <c r="AQ981" s="266">
        <f>IF($AL981="",0,'All Ticker P&amp;L'!J981*'All Ticker P&amp;L'!I981)</f>
        <v>0</v>
      </c>
      <c r="AR981" s="266">
        <f>IF($AL981="",0,'All Ticker P&amp;L'!L981)</f>
        <v>0</v>
      </c>
      <c r="AS981" s="267">
        <f>IF($AL981="",0,'All Ticker P&amp;L'!M981)</f>
        <v>0</v>
      </c>
      <c r="AT981" s="243" t="str">
        <f>IF($AL981="","",RANK(AR981,$AR$2:$AR$1001)+COUNTIF($AR$2:AR981,AR981)-1)</f>
        <v/>
      </c>
      <c r="AU981" s="243" t="str">
        <f>IF($AL981="","",RANK(AV981,$AV$2:$AV$1001)+COUNTIF($AV$2:AV981,AV981)-1)</f>
        <v/>
      </c>
      <c r="AV981" s="266">
        <f t="shared" si="62"/>
        <v>0</v>
      </c>
    </row>
    <row r="982" spans="26:48" ht="15" customHeight="1" x14ac:dyDescent="0.2">
      <c r="Z982" s="243" t="str">
        <f>Shares!A982</f>
        <v/>
      </c>
      <c r="AA982" s="243" t="str">
        <f>Shares!B982</f>
        <v/>
      </c>
      <c r="AB982" s="243" t="str">
        <f>Shares!C982</f>
        <v/>
      </c>
      <c r="AC982" s="243" t="str">
        <f>Shares!D982</f>
        <v/>
      </c>
      <c r="AD982" s="243">
        <f>IF($Z982="",0,Shares!E982)</f>
        <v>0</v>
      </c>
      <c r="AE982" s="266">
        <f>IF($Z982="",0,Shares!J982*Shares!I982)</f>
        <v>0</v>
      </c>
      <c r="AF982" s="267">
        <f t="shared" si="61"/>
        <v>0</v>
      </c>
      <c r="AG982" s="266">
        <f>IF($Z982="",0,Shares!L982)</f>
        <v>0</v>
      </c>
      <c r="AH982" s="267">
        <f>IF($Z982="",0,Shares!M982)</f>
        <v>0</v>
      </c>
      <c r="AI982" s="243" t="str">
        <f>IF($Z982="","",RANK(AE982,$AE$2:$AE$1001)+COUNTIF($AE$2:AE982,AE982)-1)</f>
        <v/>
      </c>
      <c r="AJ982" s="243" t="str">
        <f>IF($AD982&lt;0,COUNT($AJ$1:AJ981)+1,"")</f>
        <v/>
      </c>
      <c r="AL982" s="243" t="str">
        <f>'All Ticker P&amp;L'!A982</f>
        <v/>
      </c>
      <c r="AM982" s="243" t="str">
        <f>'All Ticker P&amp;L'!B982</f>
        <v/>
      </c>
      <c r="AN982" s="243" t="str">
        <f>'All Ticker P&amp;L'!C982</f>
        <v/>
      </c>
      <c r="AO982" s="243" t="str">
        <f>'All Ticker P&amp;L'!D982</f>
        <v/>
      </c>
      <c r="AP982" s="243">
        <f>IF($AL982="",0,'All Ticker P&amp;L'!E982)</f>
        <v>0</v>
      </c>
      <c r="AQ982" s="266">
        <f>IF($AL982="",0,'All Ticker P&amp;L'!J982*'All Ticker P&amp;L'!I982)</f>
        <v>0</v>
      </c>
      <c r="AR982" s="266">
        <f>IF($AL982="",0,'All Ticker P&amp;L'!L982)</f>
        <v>0</v>
      </c>
      <c r="AS982" s="267">
        <f>IF($AL982="",0,'All Ticker P&amp;L'!M982)</f>
        <v>0</v>
      </c>
      <c r="AT982" s="243" t="str">
        <f>IF($AL982="","",RANK(AR982,$AR$2:$AR$1001)+COUNTIF($AR$2:AR982,AR982)-1)</f>
        <v/>
      </c>
      <c r="AU982" s="243" t="str">
        <f>IF($AL982="","",RANK(AV982,$AV$2:$AV$1001)+COUNTIF($AV$2:AV982,AV982)-1)</f>
        <v/>
      </c>
      <c r="AV982" s="266">
        <f t="shared" si="62"/>
        <v>0</v>
      </c>
    </row>
    <row r="983" spans="26:48" ht="15" customHeight="1" x14ac:dyDescent="0.2">
      <c r="Z983" s="243" t="str">
        <f>Shares!A983</f>
        <v/>
      </c>
      <c r="AA983" s="243" t="str">
        <f>Shares!B983</f>
        <v/>
      </c>
      <c r="AB983" s="243" t="str">
        <f>Shares!C983</f>
        <v/>
      </c>
      <c r="AC983" s="243" t="str">
        <f>Shares!D983</f>
        <v/>
      </c>
      <c r="AD983" s="243">
        <f>IF($Z983="",0,Shares!E983)</f>
        <v>0</v>
      </c>
      <c r="AE983" s="266">
        <f>IF($Z983="",0,Shares!J983*Shares!I983)</f>
        <v>0</v>
      </c>
      <c r="AF983" s="267">
        <f t="shared" si="61"/>
        <v>0</v>
      </c>
      <c r="AG983" s="266">
        <f>IF($Z983="",0,Shares!L983)</f>
        <v>0</v>
      </c>
      <c r="AH983" s="267">
        <f>IF($Z983="",0,Shares!M983)</f>
        <v>0</v>
      </c>
      <c r="AI983" s="243" t="str">
        <f>IF($Z983="","",RANK(AE983,$AE$2:$AE$1001)+COUNTIF($AE$2:AE983,AE983)-1)</f>
        <v/>
      </c>
      <c r="AJ983" s="243" t="str">
        <f>IF($AD983&lt;0,COUNT($AJ$1:AJ982)+1,"")</f>
        <v/>
      </c>
      <c r="AL983" s="243" t="str">
        <f>'All Ticker P&amp;L'!A983</f>
        <v/>
      </c>
      <c r="AM983" s="243" t="str">
        <f>'All Ticker P&amp;L'!B983</f>
        <v/>
      </c>
      <c r="AN983" s="243" t="str">
        <f>'All Ticker P&amp;L'!C983</f>
        <v/>
      </c>
      <c r="AO983" s="243" t="str">
        <f>'All Ticker P&amp;L'!D983</f>
        <v/>
      </c>
      <c r="AP983" s="243">
        <f>IF($AL983="",0,'All Ticker P&amp;L'!E983)</f>
        <v>0</v>
      </c>
      <c r="AQ983" s="266">
        <f>IF($AL983="",0,'All Ticker P&amp;L'!J983*'All Ticker P&amp;L'!I983)</f>
        <v>0</v>
      </c>
      <c r="AR983" s="266">
        <f>IF($AL983="",0,'All Ticker P&amp;L'!L983)</f>
        <v>0</v>
      </c>
      <c r="AS983" s="267">
        <f>IF($AL983="",0,'All Ticker P&amp;L'!M983)</f>
        <v>0</v>
      </c>
      <c r="AT983" s="243" t="str">
        <f>IF($AL983="","",RANK(AR983,$AR$2:$AR$1001)+COUNTIF($AR$2:AR983,AR983)-1)</f>
        <v/>
      </c>
      <c r="AU983" s="243" t="str">
        <f>IF($AL983="","",RANK(AV983,$AV$2:$AV$1001)+COUNTIF($AV$2:AV983,AV983)-1)</f>
        <v/>
      </c>
      <c r="AV983" s="266">
        <f t="shared" si="62"/>
        <v>0</v>
      </c>
    </row>
    <row r="984" spans="26:48" ht="15" customHeight="1" x14ac:dyDescent="0.2">
      <c r="Z984" s="243" t="str">
        <f>Shares!A984</f>
        <v/>
      </c>
      <c r="AA984" s="243" t="str">
        <f>Shares!B984</f>
        <v/>
      </c>
      <c r="AB984" s="243" t="str">
        <f>Shares!C984</f>
        <v/>
      </c>
      <c r="AC984" s="243" t="str">
        <f>Shares!D984</f>
        <v/>
      </c>
      <c r="AD984" s="243">
        <f>IF($Z984="",0,Shares!E984)</f>
        <v>0</v>
      </c>
      <c r="AE984" s="266">
        <f>IF($Z984="",0,Shares!J984*Shares!I984)</f>
        <v>0</v>
      </c>
      <c r="AF984" s="267">
        <f t="shared" si="61"/>
        <v>0</v>
      </c>
      <c r="AG984" s="266">
        <f>IF($Z984="",0,Shares!L984)</f>
        <v>0</v>
      </c>
      <c r="AH984" s="267">
        <f>IF($Z984="",0,Shares!M984)</f>
        <v>0</v>
      </c>
      <c r="AI984" s="243" t="str">
        <f>IF($Z984="","",RANK(AE984,$AE$2:$AE$1001)+COUNTIF($AE$2:AE984,AE984)-1)</f>
        <v/>
      </c>
      <c r="AJ984" s="243" t="str">
        <f>IF($AD984&lt;0,COUNT($AJ$1:AJ983)+1,"")</f>
        <v/>
      </c>
      <c r="AL984" s="243" t="str">
        <f>'All Ticker P&amp;L'!A984</f>
        <v/>
      </c>
      <c r="AM984" s="243" t="str">
        <f>'All Ticker P&amp;L'!B984</f>
        <v/>
      </c>
      <c r="AN984" s="243" t="str">
        <f>'All Ticker P&amp;L'!C984</f>
        <v/>
      </c>
      <c r="AO984" s="243" t="str">
        <f>'All Ticker P&amp;L'!D984</f>
        <v/>
      </c>
      <c r="AP984" s="243">
        <f>IF($AL984="",0,'All Ticker P&amp;L'!E984)</f>
        <v>0</v>
      </c>
      <c r="AQ984" s="266">
        <f>IF($AL984="",0,'All Ticker P&amp;L'!J984*'All Ticker P&amp;L'!I984)</f>
        <v>0</v>
      </c>
      <c r="AR984" s="266">
        <f>IF($AL984="",0,'All Ticker P&amp;L'!L984)</f>
        <v>0</v>
      </c>
      <c r="AS984" s="267">
        <f>IF($AL984="",0,'All Ticker P&amp;L'!M984)</f>
        <v>0</v>
      </c>
      <c r="AT984" s="243" t="str">
        <f>IF($AL984="","",RANK(AR984,$AR$2:$AR$1001)+COUNTIF($AR$2:AR984,AR984)-1)</f>
        <v/>
      </c>
      <c r="AU984" s="243" t="str">
        <f>IF($AL984="","",RANK(AV984,$AV$2:$AV$1001)+COUNTIF($AV$2:AV984,AV984)-1)</f>
        <v/>
      </c>
      <c r="AV984" s="266">
        <f t="shared" si="62"/>
        <v>0</v>
      </c>
    </row>
    <row r="985" spans="26:48" ht="15" customHeight="1" x14ac:dyDescent="0.2">
      <c r="Z985" s="243" t="str">
        <f>Shares!A985</f>
        <v/>
      </c>
      <c r="AA985" s="243" t="str">
        <f>Shares!B985</f>
        <v/>
      </c>
      <c r="AB985" s="243" t="str">
        <f>Shares!C985</f>
        <v/>
      </c>
      <c r="AC985" s="243" t="str">
        <f>Shares!D985</f>
        <v/>
      </c>
      <c r="AD985" s="243">
        <f>IF($Z985="",0,Shares!E985)</f>
        <v>0</v>
      </c>
      <c r="AE985" s="266">
        <f>IF($Z985="",0,Shares!J985*Shares!I985)</f>
        <v>0</v>
      </c>
      <c r="AF985" s="267">
        <f t="shared" si="61"/>
        <v>0</v>
      </c>
      <c r="AG985" s="266">
        <f>IF($Z985="",0,Shares!L985)</f>
        <v>0</v>
      </c>
      <c r="AH985" s="267">
        <f>IF($Z985="",0,Shares!M985)</f>
        <v>0</v>
      </c>
      <c r="AI985" s="243" t="str">
        <f>IF($Z985="","",RANK(AE985,$AE$2:$AE$1001)+COUNTIF($AE$2:AE985,AE985)-1)</f>
        <v/>
      </c>
      <c r="AJ985" s="243" t="str">
        <f>IF($AD985&lt;0,COUNT($AJ$1:AJ984)+1,"")</f>
        <v/>
      </c>
      <c r="AL985" s="243" t="str">
        <f>'All Ticker P&amp;L'!A985</f>
        <v/>
      </c>
      <c r="AM985" s="243" t="str">
        <f>'All Ticker P&amp;L'!B985</f>
        <v/>
      </c>
      <c r="AN985" s="243" t="str">
        <f>'All Ticker P&amp;L'!C985</f>
        <v/>
      </c>
      <c r="AO985" s="243" t="str">
        <f>'All Ticker P&amp;L'!D985</f>
        <v/>
      </c>
      <c r="AP985" s="243">
        <f>IF($AL985="",0,'All Ticker P&amp;L'!E985)</f>
        <v>0</v>
      </c>
      <c r="AQ985" s="266">
        <f>IF($AL985="",0,'All Ticker P&amp;L'!J985*'All Ticker P&amp;L'!I985)</f>
        <v>0</v>
      </c>
      <c r="AR985" s="266">
        <f>IF($AL985="",0,'All Ticker P&amp;L'!L985)</f>
        <v>0</v>
      </c>
      <c r="AS985" s="267">
        <f>IF($AL985="",0,'All Ticker P&amp;L'!M985)</f>
        <v>0</v>
      </c>
      <c r="AT985" s="243" t="str">
        <f>IF($AL985="","",RANK(AR985,$AR$2:$AR$1001)+COUNTIF($AR$2:AR985,AR985)-1)</f>
        <v/>
      </c>
      <c r="AU985" s="243" t="str">
        <f>IF($AL985="","",RANK(AV985,$AV$2:$AV$1001)+COUNTIF($AV$2:AV985,AV985)-1)</f>
        <v/>
      </c>
      <c r="AV985" s="266">
        <f t="shared" si="62"/>
        <v>0</v>
      </c>
    </row>
    <row r="986" spans="26:48" ht="15" customHeight="1" x14ac:dyDescent="0.2">
      <c r="Z986" s="243" t="str">
        <f>Shares!A986</f>
        <v/>
      </c>
      <c r="AA986" s="243" t="str">
        <f>Shares!B986</f>
        <v/>
      </c>
      <c r="AB986" s="243" t="str">
        <f>Shares!C986</f>
        <v/>
      </c>
      <c r="AC986" s="243" t="str">
        <f>Shares!D986</f>
        <v/>
      </c>
      <c r="AD986" s="243">
        <f>IF($Z986="",0,Shares!E986)</f>
        <v>0</v>
      </c>
      <c r="AE986" s="266">
        <f>IF($Z986="",0,Shares!J986*Shares!I986)</f>
        <v>0</v>
      </c>
      <c r="AF986" s="267">
        <f t="shared" si="61"/>
        <v>0</v>
      </c>
      <c r="AG986" s="266">
        <f>IF($Z986="",0,Shares!L986)</f>
        <v>0</v>
      </c>
      <c r="AH986" s="267">
        <f>IF($Z986="",0,Shares!M986)</f>
        <v>0</v>
      </c>
      <c r="AI986" s="243" t="str">
        <f>IF($Z986="","",RANK(AE986,$AE$2:$AE$1001)+COUNTIF($AE$2:AE986,AE986)-1)</f>
        <v/>
      </c>
      <c r="AJ986" s="243" t="str">
        <f>IF($AD986&lt;0,COUNT($AJ$1:AJ985)+1,"")</f>
        <v/>
      </c>
      <c r="AL986" s="243" t="str">
        <f>'All Ticker P&amp;L'!A986</f>
        <v/>
      </c>
      <c r="AM986" s="243" t="str">
        <f>'All Ticker P&amp;L'!B986</f>
        <v/>
      </c>
      <c r="AN986" s="243" t="str">
        <f>'All Ticker P&amp;L'!C986</f>
        <v/>
      </c>
      <c r="AO986" s="243" t="str">
        <f>'All Ticker P&amp;L'!D986</f>
        <v/>
      </c>
      <c r="AP986" s="243">
        <f>IF($AL986="",0,'All Ticker P&amp;L'!E986)</f>
        <v>0</v>
      </c>
      <c r="AQ986" s="266">
        <f>IF($AL986="",0,'All Ticker P&amp;L'!J986*'All Ticker P&amp;L'!I986)</f>
        <v>0</v>
      </c>
      <c r="AR986" s="266">
        <f>IF($AL986="",0,'All Ticker P&amp;L'!L986)</f>
        <v>0</v>
      </c>
      <c r="AS986" s="267">
        <f>IF($AL986="",0,'All Ticker P&amp;L'!M986)</f>
        <v>0</v>
      </c>
      <c r="AT986" s="243" t="str">
        <f>IF($AL986="","",RANK(AR986,$AR$2:$AR$1001)+COUNTIF($AR$2:AR986,AR986)-1)</f>
        <v/>
      </c>
      <c r="AU986" s="243" t="str">
        <f>IF($AL986="","",RANK(AV986,$AV$2:$AV$1001)+COUNTIF($AV$2:AV986,AV986)-1)</f>
        <v/>
      </c>
      <c r="AV986" s="266">
        <f t="shared" si="62"/>
        <v>0</v>
      </c>
    </row>
    <row r="987" spans="26:48" ht="15" customHeight="1" x14ac:dyDescent="0.2">
      <c r="Z987" s="243" t="str">
        <f>Shares!A987</f>
        <v/>
      </c>
      <c r="AA987" s="243" t="str">
        <f>Shares!B987</f>
        <v/>
      </c>
      <c r="AB987" s="243" t="str">
        <f>Shares!C987</f>
        <v/>
      </c>
      <c r="AC987" s="243" t="str">
        <f>Shares!D987</f>
        <v/>
      </c>
      <c r="AD987" s="243">
        <f>IF($Z987="",0,Shares!E987)</f>
        <v>0</v>
      </c>
      <c r="AE987" s="266">
        <f>IF($Z987="",0,Shares!J987*Shares!I987)</f>
        <v>0</v>
      </c>
      <c r="AF987" s="267">
        <f t="shared" si="61"/>
        <v>0</v>
      </c>
      <c r="AG987" s="266">
        <f>IF($Z987="",0,Shares!L987)</f>
        <v>0</v>
      </c>
      <c r="AH987" s="267">
        <f>IF($Z987="",0,Shares!M987)</f>
        <v>0</v>
      </c>
      <c r="AI987" s="243" t="str">
        <f>IF($Z987="","",RANK(AE987,$AE$2:$AE$1001)+COUNTIF($AE$2:AE987,AE987)-1)</f>
        <v/>
      </c>
      <c r="AJ987" s="243" t="str">
        <f>IF($AD987&lt;0,COUNT($AJ$1:AJ986)+1,"")</f>
        <v/>
      </c>
      <c r="AL987" s="243" t="str">
        <f>'All Ticker P&amp;L'!A987</f>
        <v/>
      </c>
      <c r="AM987" s="243" t="str">
        <f>'All Ticker P&amp;L'!B987</f>
        <v/>
      </c>
      <c r="AN987" s="243" t="str">
        <f>'All Ticker P&amp;L'!C987</f>
        <v/>
      </c>
      <c r="AO987" s="243" t="str">
        <f>'All Ticker P&amp;L'!D987</f>
        <v/>
      </c>
      <c r="AP987" s="243">
        <f>IF($AL987="",0,'All Ticker P&amp;L'!E987)</f>
        <v>0</v>
      </c>
      <c r="AQ987" s="266">
        <f>IF($AL987="",0,'All Ticker P&amp;L'!J987*'All Ticker P&amp;L'!I987)</f>
        <v>0</v>
      </c>
      <c r="AR987" s="266">
        <f>IF($AL987="",0,'All Ticker P&amp;L'!L987)</f>
        <v>0</v>
      </c>
      <c r="AS987" s="267">
        <f>IF($AL987="",0,'All Ticker P&amp;L'!M987)</f>
        <v>0</v>
      </c>
      <c r="AT987" s="243" t="str">
        <f>IF($AL987="","",RANK(AR987,$AR$2:$AR$1001)+COUNTIF($AR$2:AR987,AR987)-1)</f>
        <v/>
      </c>
      <c r="AU987" s="243" t="str">
        <f>IF($AL987="","",RANK(AV987,$AV$2:$AV$1001)+COUNTIF($AV$2:AV987,AV987)-1)</f>
        <v/>
      </c>
      <c r="AV987" s="266">
        <f t="shared" si="62"/>
        <v>0</v>
      </c>
    </row>
    <row r="988" spans="26:48" ht="15" customHeight="1" x14ac:dyDescent="0.2">
      <c r="Z988" s="243" t="str">
        <f>Shares!A988</f>
        <v/>
      </c>
      <c r="AA988" s="243" t="str">
        <f>Shares!B988</f>
        <v/>
      </c>
      <c r="AB988" s="243" t="str">
        <f>Shares!C988</f>
        <v/>
      </c>
      <c r="AC988" s="243" t="str">
        <f>Shares!D988</f>
        <v/>
      </c>
      <c r="AD988" s="243">
        <f>IF($Z988="",0,Shares!E988)</f>
        <v>0</v>
      </c>
      <c r="AE988" s="266">
        <f>IF($Z988="",0,Shares!J988*Shares!I988)</f>
        <v>0</v>
      </c>
      <c r="AF988" s="267">
        <f t="shared" si="61"/>
        <v>0</v>
      </c>
      <c r="AG988" s="266">
        <f>IF($Z988="",0,Shares!L988)</f>
        <v>0</v>
      </c>
      <c r="AH988" s="267">
        <f>IF($Z988="",0,Shares!M988)</f>
        <v>0</v>
      </c>
      <c r="AI988" s="243" t="str">
        <f>IF($Z988="","",RANK(AE988,$AE$2:$AE$1001)+COUNTIF($AE$2:AE988,AE988)-1)</f>
        <v/>
      </c>
      <c r="AJ988" s="243" t="str">
        <f>IF($AD988&lt;0,COUNT($AJ$1:AJ987)+1,"")</f>
        <v/>
      </c>
      <c r="AL988" s="243" t="str">
        <f>'All Ticker P&amp;L'!A988</f>
        <v/>
      </c>
      <c r="AM988" s="243" t="str">
        <f>'All Ticker P&amp;L'!B988</f>
        <v/>
      </c>
      <c r="AN988" s="243" t="str">
        <f>'All Ticker P&amp;L'!C988</f>
        <v/>
      </c>
      <c r="AO988" s="243" t="str">
        <f>'All Ticker P&amp;L'!D988</f>
        <v/>
      </c>
      <c r="AP988" s="243">
        <f>IF($AL988="",0,'All Ticker P&amp;L'!E988)</f>
        <v>0</v>
      </c>
      <c r="AQ988" s="266">
        <f>IF($AL988="",0,'All Ticker P&amp;L'!J988*'All Ticker P&amp;L'!I988)</f>
        <v>0</v>
      </c>
      <c r="AR988" s="266">
        <f>IF($AL988="",0,'All Ticker P&amp;L'!L988)</f>
        <v>0</v>
      </c>
      <c r="AS988" s="267">
        <f>IF($AL988="",0,'All Ticker P&amp;L'!M988)</f>
        <v>0</v>
      </c>
      <c r="AT988" s="243" t="str">
        <f>IF($AL988="","",RANK(AR988,$AR$2:$AR$1001)+COUNTIF($AR$2:AR988,AR988)-1)</f>
        <v/>
      </c>
      <c r="AU988" s="243" t="str">
        <f>IF($AL988="","",RANK(AV988,$AV$2:$AV$1001)+COUNTIF($AV$2:AV988,AV988)-1)</f>
        <v/>
      </c>
      <c r="AV988" s="266">
        <f t="shared" si="62"/>
        <v>0</v>
      </c>
    </row>
    <row r="989" spans="26:48" ht="15" customHeight="1" x14ac:dyDescent="0.2">
      <c r="Z989" s="243" t="str">
        <f>Shares!A989</f>
        <v/>
      </c>
      <c r="AA989" s="243" t="str">
        <f>Shares!B989</f>
        <v/>
      </c>
      <c r="AB989" s="243" t="str">
        <f>Shares!C989</f>
        <v/>
      </c>
      <c r="AC989" s="243" t="str">
        <f>Shares!D989</f>
        <v/>
      </c>
      <c r="AD989" s="243">
        <f>IF($Z989="",0,Shares!E989)</f>
        <v>0</v>
      </c>
      <c r="AE989" s="266">
        <f>IF($Z989="",0,Shares!J989*Shares!I989)</f>
        <v>0</v>
      </c>
      <c r="AF989" s="267">
        <f t="shared" si="61"/>
        <v>0</v>
      </c>
      <c r="AG989" s="266">
        <f>IF($Z989="",0,Shares!L989)</f>
        <v>0</v>
      </c>
      <c r="AH989" s="267">
        <f>IF($Z989="",0,Shares!M989)</f>
        <v>0</v>
      </c>
      <c r="AI989" s="243" t="str">
        <f>IF($Z989="","",RANK(AE989,$AE$2:$AE$1001)+COUNTIF($AE$2:AE989,AE989)-1)</f>
        <v/>
      </c>
      <c r="AJ989" s="243" t="str">
        <f>IF($AD989&lt;0,COUNT($AJ$1:AJ988)+1,"")</f>
        <v/>
      </c>
      <c r="AL989" s="243" t="str">
        <f>'All Ticker P&amp;L'!A989</f>
        <v/>
      </c>
      <c r="AM989" s="243" t="str">
        <f>'All Ticker P&amp;L'!B989</f>
        <v/>
      </c>
      <c r="AN989" s="243" t="str">
        <f>'All Ticker P&amp;L'!C989</f>
        <v/>
      </c>
      <c r="AO989" s="243" t="str">
        <f>'All Ticker P&amp;L'!D989</f>
        <v/>
      </c>
      <c r="AP989" s="243">
        <f>IF($AL989="",0,'All Ticker P&amp;L'!E989)</f>
        <v>0</v>
      </c>
      <c r="AQ989" s="266">
        <f>IF($AL989="",0,'All Ticker P&amp;L'!J989*'All Ticker P&amp;L'!I989)</f>
        <v>0</v>
      </c>
      <c r="AR989" s="266">
        <f>IF($AL989="",0,'All Ticker P&amp;L'!L989)</f>
        <v>0</v>
      </c>
      <c r="AS989" s="267">
        <f>IF($AL989="",0,'All Ticker P&amp;L'!M989)</f>
        <v>0</v>
      </c>
      <c r="AT989" s="243" t="str">
        <f>IF($AL989="","",RANK(AR989,$AR$2:$AR$1001)+COUNTIF($AR$2:AR989,AR989)-1)</f>
        <v/>
      </c>
      <c r="AU989" s="243" t="str">
        <f>IF($AL989="","",RANK(AV989,$AV$2:$AV$1001)+COUNTIF($AV$2:AV989,AV989)-1)</f>
        <v/>
      </c>
      <c r="AV989" s="266">
        <f t="shared" si="62"/>
        <v>0</v>
      </c>
    </row>
    <row r="990" spans="26:48" ht="15" customHeight="1" x14ac:dyDescent="0.2">
      <c r="Z990" s="243" t="str">
        <f>Shares!A990</f>
        <v/>
      </c>
      <c r="AA990" s="243" t="str">
        <f>Shares!B990</f>
        <v/>
      </c>
      <c r="AB990" s="243" t="str">
        <f>Shares!C990</f>
        <v/>
      </c>
      <c r="AC990" s="243" t="str">
        <f>Shares!D990</f>
        <v/>
      </c>
      <c r="AD990" s="243">
        <f>IF($Z990="",0,Shares!E990)</f>
        <v>0</v>
      </c>
      <c r="AE990" s="266">
        <f>IF($Z990="",0,Shares!J990*Shares!I990)</f>
        <v>0</v>
      </c>
      <c r="AF990" s="267">
        <f t="shared" si="61"/>
        <v>0</v>
      </c>
      <c r="AG990" s="266">
        <f>IF($Z990="",0,Shares!L990)</f>
        <v>0</v>
      </c>
      <c r="AH990" s="267">
        <f>IF($Z990="",0,Shares!M990)</f>
        <v>0</v>
      </c>
      <c r="AI990" s="243" t="str">
        <f>IF($Z990="","",RANK(AE990,$AE$2:$AE$1001)+COUNTIF($AE$2:AE990,AE990)-1)</f>
        <v/>
      </c>
      <c r="AJ990" s="243" t="str">
        <f>IF($AD990&lt;0,COUNT($AJ$1:AJ989)+1,"")</f>
        <v/>
      </c>
      <c r="AL990" s="243" t="str">
        <f>'All Ticker P&amp;L'!A990</f>
        <v/>
      </c>
      <c r="AM990" s="243" t="str">
        <f>'All Ticker P&amp;L'!B990</f>
        <v/>
      </c>
      <c r="AN990" s="243" t="str">
        <f>'All Ticker P&amp;L'!C990</f>
        <v/>
      </c>
      <c r="AO990" s="243" t="str">
        <f>'All Ticker P&amp;L'!D990</f>
        <v/>
      </c>
      <c r="AP990" s="243">
        <f>IF($AL990="",0,'All Ticker P&amp;L'!E990)</f>
        <v>0</v>
      </c>
      <c r="AQ990" s="266">
        <f>IF($AL990="",0,'All Ticker P&amp;L'!J990*'All Ticker P&amp;L'!I990)</f>
        <v>0</v>
      </c>
      <c r="AR990" s="266">
        <f>IF($AL990="",0,'All Ticker P&amp;L'!L990)</f>
        <v>0</v>
      </c>
      <c r="AS990" s="267">
        <f>IF($AL990="",0,'All Ticker P&amp;L'!M990)</f>
        <v>0</v>
      </c>
      <c r="AT990" s="243" t="str">
        <f>IF($AL990="","",RANK(AR990,$AR$2:$AR$1001)+COUNTIF($AR$2:AR990,AR990)-1)</f>
        <v/>
      </c>
      <c r="AU990" s="243" t="str">
        <f>IF($AL990="","",RANK(AV990,$AV$2:$AV$1001)+COUNTIF($AV$2:AV990,AV990)-1)</f>
        <v/>
      </c>
      <c r="AV990" s="266">
        <f t="shared" si="62"/>
        <v>0</v>
      </c>
    </row>
    <row r="991" spans="26:48" ht="15" customHeight="1" x14ac:dyDescent="0.2">
      <c r="Z991" s="243" t="str">
        <f>Shares!A991</f>
        <v/>
      </c>
      <c r="AA991" s="243" t="str">
        <f>Shares!B991</f>
        <v/>
      </c>
      <c r="AB991" s="243" t="str">
        <f>Shares!C991</f>
        <v/>
      </c>
      <c r="AC991" s="243" t="str">
        <f>Shares!D991</f>
        <v/>
      </c>
      <c r="AD991" s="243">
        <f>IF($Z991="",0,Shares!E991)</f>
        <v>0</v>
      </c>
      <c r="AE991" s="266">
        <f>IF($Z991="",0,Shares!J991*Shares!I991)</f>
        <v>0</v>
      </c>
      <c r="AF991" s="267">
        <f t="shared" si="61"/>
        <v>0</v>
      </c>
      <c r="AG991" s="266">
        <f>IF($Z991="",0,Shares!L991)</f>
        <v>0</v>
      </c>
      <c r="AH991" s="267">
        <f>IF($Z991="",0,Shares!M991)</f>
        <v>0</v>
      </c>
      <c r="AI991" s="243" t="str">
        <f>IF($Z991="","",RANK(AE991,$AE$2:$AE$1001)+COUNTIF($AE$2:AE991,AE991)-1)</f>
        <v/>
      </c>
      <c r="AJ991" s="243" t="str">
        <f>IF($AD991&lt;0,COUNT($AJ$1:AJ990)+1,"")</f>
        <v/>
      </c>
      <c r="AL991" s="243" t="str">
        <f>'All Ticker P&amp;L'!A991</f>
        <v/>
      </c>
      <c r="AM991" s="243" t="str">
        <f>'All Ticker P&amp;L'!B991</f>
        <v/>
      </c>
      <c r="AN991" s="243" t="str">
        <f>'All Ticker P&amp;L'!C991</f>
        <v/>
      </c>
      <c r="AO991" s="243" t="str">
        <f>'All Ticker P&amp;L'!D991</f>
        <v/>
      </c>
      <c r="AP991" s="243">
        <f>IF($AL991="",0,'All Ticker P&amp;L'!E991)</f>
        <v>0</v>
      </c>
      <c r="AQ991" s="266">
        <f>IF($AL991="",0,'All Ticker P&amp;L'!J991*'All Ticker P&amp;L'!I991)</f>
        <v>0</v>
      </c>
      <c r="AR991" s="266">
        <f>IF($AL991="",0,'All Ticker P&amp;L'!L991)</f>
        <v>0</v>
      </c>
      <c r="AS991" s="267">
        <f>IF($AL991="",0,'All Ticker P&amp;L'!M991)</f>
        <v>0</v>
      </c>
      <c r="AT991" s="243" t="str">
        <f>IF($AL991="","",RANK(AR991,$AR$2:$AR$1001)+COUNTIF($AR$2:AR991,AR991)-1)</f>
        <v/>
      </c>
      <c r="AU991" s="243" t="str">
        <f>IF($AL991="","",RANK(AV991,$AV$2:$AV$1001)+COUNTIF($AV$2:AV991,AV991)-1)</f>
        <v/>
      </c>
      <c r="AV991" s="266">
        <f t="shared" si="62"/>
        <v>0</v>
      </c>
    </row>
    <row r="992" spans="26:48" ht="15" customHeight="1" x14ac:dyDescent="0.2">
      <c r="Z992" s="243" t="str">
        <f>Shares!A992</f>
        <v/>
      </c>
      <c r="AA992" s="243" t="str">
        <f>Shares!B992</f>
        <v/>
      </c>
      <c r="AB992" s="243" t="str">
        <f>Shares!C992</f>
        <v/>
      </c>
      <c r="AC992" s="243" t="str">
        <f>Shares!D992</f>
        <v/>
      </c>
      <c r="AD992" s="243">
        <f>IF($Z992="",0,Shares!E992)</f>
        <v>0</v>
      </c>
      <c r="AE992" s="266">
        <f>IF($Z992="",0,Shares!J992*Shares!I992)</f>
        <v>0</v>
      </c>
      <c r="AF992" s="267">
        <f t="shared" si="61"/>
        <v>0</v>
      </c>
      <c r="AG992" s="266">
        <f>IF($Z992="",0,Shares!L992)</f>
        <v>0</v>
      </c>
      <c r="AH992" s="267">
        <f>IF($Z992="",0,Shares!M992)</f>
        <v>0</v>
      </c>
      <c r="AI992" s="243" t="str">
        <f>IF($Z992="","",RANK(AE992,$AE$2:$AE$1001)+COUNTIF($AE$2:AE992,AE992)-1)</f>
        <v/>
      </c>
      <c r="AJ992" s="243" t="str">
        <f>IF($AD992&lt;0,COUNT($AJ$1:AJ991)+1,"")</f>
        <v/>
      </c>
      <c r="AL992" s="243" t="str">
        <f>'All Ticker P&amp;L'!A992</f>
        <v/>
      </c>
      <c r="AM992" s="243" t="str">
        <f>'All Ticker P&amp;L'!B992</f>
        <v/>
      </c>
      <c r="AN992" s="243" t="str">
        <f>'All Ticker P&amp;L'!C992</f>
        <v/>
      </c>
      <c r="AO992" s="243" t="str">
        <f>'All Ticker P&amp;L'!D992</f>
        <v/>
      </c>
      <c r="AP992" s="243">
        <f>IF($AL992="",0,'All Ticker P&amp;L'!E992)</f>
        <v>0</v>
      </c>
      <c r="AQ992" s="266">
        <f>IF($AL992="",0,'All Ticker P&amp;L'!J992*'All Ticker P&amp;L'!I992)</f>
        <v>0</v>
      </c>
      <c r="AR992" s="266">
        <f>IF($AL992="",0,'All Ticker P&amp;L'!L992)</f>
        <v>0</v>
      </c>
      <c r="AS992" s="267">
        <f>IF($AL992="",0,'All Ticker P&amp;L'!M992)</f>
        <v>0</v>
      </c>
      <c r="AT992" s="243" t="str">
        <f>IF($AL992="","",RANK(AR992,$AR$2:$AR$1001)+COUNTIF($AR$2:AR992,AR992)-1)</f>
        <v/>
      </c>
      <c r="AU992" s="243" t="str">
        <f>IF($AL992="","",RANK(AV992,$AV$2:$AV$1001)+COUNTIF($AV$2:AV992,AV992)-1)</f>
        <v/>
      </c>
      <c r="AV992" s="266">
        <f t="shared" si="62"/>
        <v>0</v>
      </c>
    </row>
    <row r="993" spans="26:48" ht="15" customHeight="1" x14ac:dyDescent="0.2">
      <c r="Z993" s="243" t="str">
        <f>Shares!A993</f>
        <v/>
      </c>
      <c r="AA993" s="243" t="str">
        <f>Shares!B993</f>
        <v/>
      </c>
      <c r="AB993" s="243" t="str">
        <f>Shares!C993</f>
        <v/>
      </c>
      <c r="AC993" s="243" t="str">
        <f>Shares!D993</f>
        <v/>
      </c>
      <c r="AD993" s="243">
        <f>IF($Z993="",0,Shares!E993)</f>
        <v>0</v>
      </c>
      <c r="AE993" s="266">
        <f>IF($Z993="",0,Shares!J993*Shares!I993)</f>
        <v>0</v>
      </c>
      <c r="AF993" s="267">
        <f t="shared" si="61"/>
        <v>0</v>
      </c>
      <c r="AG993" s="266">
        <f>IF($Z993="",0,Shares!L993)</f>
        <v>0</v>
      </c>
      <c r="AH993" s="267">
        <f>IF($Z993="",0,Shares!M993)</f>
        <v>0</v>
      </c>
      <c r="AI993" s="243" t="str">
        <f>IF($Z993="","",RANK(AE993,$AE$2:$AE$1001)+COUNTIF($AE$2:AE993,AE993)-1)</f>
        <v/>
      </c>
      <c r="AJ993" s="243" t="str">
        <f>IF($AD993&lt;0,COUNT($AJ$1:AJ992)+1,"")</f>
        <v/>
      </c>
      <c r="AL993" s="243" t="str">
        <f>'All Ticker P&amp;L'!A993</f>
        <v/>
      </c>
      <c r="AM993" s="243" t="str">
        <f>'All Ticker P&amp;L'!B993</f>
        <v/>
      </c>
      <c r="AN993" s="243" t="str">
        <f>'All Ticker P&amp;L'!C993</f>
        <v/>
      </c>
      <c r="AO993" s="243" t="str">
        <f>'All Ticker P&amp;L'!D993</f>
        <v/>
      </c>
      <c r="AP993" s="243">
        <f>IF($AL993="",0,'All Ticker P&amp;L'!E993)</f>
        <v>0</v>
      </c>
      <c r="AQ993" s="266">
        <f>IF($AL993="",0,'All Ticker P&amp;L'!J993*'All Ticker P&amp;L'!I993)</f>
        <v>0</v>
      </c>
      <c r="AR993" s="266">
        <f>IF($AL993="",0,'All Ticker P&amp;L'!L993)</f>
        <v>0</v>
      </c>
      <c r="AS993" s="267">
        <f>IF($AL993="",0,'All Ticker P&amp;L'!M993)</f>
        <v>0</v>
      </c>
      <c r="AT993" s="243" t="str">
        <f>IF($AL993="","",RANK(AR993,$AR$2:$AR$1001)+COUNTIF($AR$2:AR993,AR993)-1)</f>
        <v/>
      </c>
      <c r="AU993" s="243" t="str">
        <f>IF($AL993="","",RANK(AV993,$AV$2:$AV$1001)+COUNTIF($AV$2:AV993,AV993)-1)</f>
        <v/>
      </c>
      <c r="AV993" s="266">
        <f t="shared" si="62"/>
        <v>0</v>
      </c>
    </row>
    <row r="994" spans="26:48" ht="15" customHeight="1" x14ac:dyDescent="0.2">
      <c r="Z994" s="243" t="str">
        <f>Shares!A994</f>
        <v/>
      </c>
      <c r="AA994" s="243" t="str">
        <f>Shares!B994</f>
        <v/>
      </c>
      <c r="AB994" s="243" t="str">
        <f>Shares!C994</f>
        <v/>
      </c>
      <c r="AC994" s="243" t="str">
        <f>Shares!D994</f>
        <v/>
      </c>
      <c r="AD994" s="243">
        <f>IF($Z994="",0,Shares!E994)</f>
        <v>0</v>
      </c>
      <c r="AE994" s="266">
        <f>IF($Z994="",0,Shares!J994*Shares!I994)</f>
        <v>0</v>
      </c>
      <c r="AF994" s="267">
        <f t="shared" si="61"/>
        <v>0</v>
      </c>
      <c r="AG994" s="266">
        <f>IF($Z994="",0,Shares!L994)</f>
        <v>0</v>
      </c>
      <c r="AH994" s="267">
        <f>IF($Z994="",0,Shares!M994)</f>
        <v>0</v>
      </c>
      <c r="AI994" s="243" t="str">
        <f>IF($Z994="","",RANK(AE994,$AE$2:$AE$1001)+COUNTIF($AE$2:AE994,AE994)-1)</f>
        <v/>
      </c>
      <c r="AJ994" s="243" t="str">
        <f>IF($AD994&lt;0,COUNT($AJ$1:AJ993)+1,"")</f>
        <v/>
      </c>
      <c r="AL994" s="243" t="str">
        <f>'All Ticker P&amp;L'!A994</f>
        <v/>
      </c>
      <c r="AM994" s="243" t="str">
        <f>'All Ticker P&amp;L'!B994</f>
        <v/>
      </c>
      <c r="AN994" s="243" t="str">
        <f>'All Ticker P&amp;L'!C994</f>
        <v/>
      </c>
      <c r="AO994" s="243" t="str">
        <f>'All Ticker P&amp;L'!D994</f>
        <v/>
      </c>
      <c r="AP994" s="243">
        <f>IF($AL994="",0,'All Ticker P&amp;L'!E994)</f>
        <v>0</v>
      </c>
      <c r="AQ994" s="266">
        <f>IF($AL994="",0,'All Ticker P&amp;L'!J994*'All Ticker P&amp;L'!I994)</f>
        <v>0</v>
      </c>
      <c r="AR994" s="266">
        <f>IF($AL994="",0,'All Ticker P&amp;L'!L994)</f>
        <v>0</v>
      </c>
      <c r="AS994" s="267">
        <f>IF($AL994="",0,'All Ticker P&amp;L'!M994)</f>
        <v>0</v>
      </c>
      <c r="AT994" s="243" t="str">
        <f>IF($AL994="","",RANK(AR994,$AR$2:$AR$1001)+COUNTIF($AR$2:AR994,AR994)-1)</f>
        <v/>
      </c>
      <c r="AU994" s="243" t="str">
        <f>IF($AL994="","",RANK(AV994,$AV$2:$AV$1001)+COUNTIF($AV$2:AV994,AV994)-1)</f>
        <v/>
      </c>
      <c r="AV994" s="266">
        <f t="shared" si="62"/>
        <v>0</v>
      </c>
    </row>
    <row r="995" spans="26:48" ht="15" customHeight="1" x14ac:dyDescent="0.2">
      <c r="Z995" s="243" t="str">
        <f>Shares!A995</f>
        <v/>
      </c>
      <c r="AA995" s="243" t="str">
        <f>Shares!B995</f>
        <v/>
      </c>
      <c r="AB995" s="243" t="str">
        <f>Shares!C995</f>
        <v/>
      </c>
      <c r="AC995" s="243" t="str">
        <f>Shares!D995</f>
        <v/>
      </c>
      <c r="AD995" s="243">
        <f>IF($Z995="",0,Shares!E995)</f>
        <v>0</v>
      </c>
      <c r="AE995" s="266">
        <f>IF($Z995="",0,Shares!J995*Shares!I995)</f>
        <v>0</v>
      </c>
      <c r="AF995" s="267">
        <f t="shared" si="61"/>
        <v>0</v>
      </c>
      <c r="AG995" s="266">
        <f>IF($Z995="",0,Shares!L995)</f>
        <v>0</v>
      </c>
      <c r="AH995" s="267">
        <f>IF($Z995="",0,Shares!M995)</f>
        <v>0</v>
      </c>
      <c r="AI995" s="243" t="str">
        <f>IF($Z995="","",RANK(AE995,$AE$2:$AE$1001)+COUNTIF($AE$2:AE995,AE995)-1)</f>
        <v/>
      </c>
      <c r="AJ995" s="243" t="str">
        <f>IF($AD995&lt;0,COUNT($AJ$1:AJ994)+1,"")</f>
        <v/>
      </c>
      <c r="AL995" s="243" t="str">
        <f>'All Ticker P&amp;L'!A995</f>
        <v/>
      </c>
      <c r="AM995" s="243" t="str">
        <f>'All Ticker P&amp;L'!B995</f>
        <v/>
      </c>
      <c r="AN995" s="243" t="str">
        <f>'All Ticker P&amp;L'!C995</f>
        <v/>
      </c>
      <c r="AO995" s="243" t="str">
        <f>'All Ticker P&amp;L'!D995</f>
        <v/>
      </c>
      <c r="AP995" s="243">
        <f>IF($AL995="",0,'All Ticker P&amp;L'!E995)</f>
        <v>0</v>
      </c>
      <c r="AQ995" s="266">
        <f>IF($AL995="",0,'All Ticker P&amp;L'!J995*'All Ticker P&amp;L'!I995)</f>
        <v>0</v>
      </c>
      <c r="AR995" s="266">
        <f>IF($AL995="",0,'All Ticker P&amp;L'!L995)</f>
        <v>0</v>
      </c>
      <c r="AS995" s="267">
        <f>IF($AL995="",0,'All Ticker P&amp;L'!M995)</f>
        <v>0</v>
      </c>
      <c r="AT995" s="243" t="str">
        <f>IF($AL995="","",RANK(AR995,$AR$2:$AR$1001)+COUNTIF($AR$2:AR995,AR995)-1)</f>
        <v/>
      </c>
      <c r="AU995" s="243" t="str">
        <f>IF($AL995="","",RANK(AV995,$AV$2:$AV$1001)+COUNTIF($AV$2:AV995,AV995)-1)</f>
        <v/>
      </c>
      <c r="AV995" s="266">
        <f t="shared" si="62"/>
        <v>0</v>
      </c>
    </row>
    <row r="996" spans="26:48" ht="15" customHeight="1" x14ac:dyDescent="0.2">
      <c r="Z996" s="243" t="str">
        <f>Shares!A996</f>
        <v/>
      </c>
      <c r="AA996" s="243" t="str">
        <f>Shares!B996</f>
        <v/>
      </c>
      <c r="AB996" s="243" t="str">
        <f>Shares!C996</f>
        <v/>
      </c>
      <c r="AC996" s="243" t="str">
        <f>Shares!D996</f>
        <v/>
      </c>
      <c r="AD996" s="243">
        <f>IF($Z996="",0,Shares!E996)</f>
        <v>0</v>
      </c>
      <c r="AE996" s="266">
        <f>IF($Z996="",0,Shares!J996*Shares!I996)</f>
        <v>0</v>
      </c>
      <c r="AF996" s="267">
        <f t="shared" si="61"/>
        <v>0</v>
      </c>
      <c r="AG996" s="266">
        <f>IF($Z996="",0,Shares!L996)</f>
        <v>0</v>
      </c>
      <c r="AH996" s="267">
        <f>IF($Z996="",0,Shares!M996)</f>
        <v>0</v>
      </c>
      <c r="AI996" s="243" t="str">
        <f>IF($Z996="","",RANK(AE996,$AE$2:$AE$1001)+COUNTIF($AE$2:AE996,AE996)-1)</f>
        <v/>
      </c>
      <c r="AJ996" s="243" t="str">
        <f>IF($AD996&lt;0,COUNT($AJ$1:AJ995)+1,"")</f>
        <v/>
      </c>
      <c r="AL996" s="243" t="str">
        <f>'All Ticker P&amp;L'!A996</f>
        <v/>
      </c>
      <c r="AM996" s="243" t="str">
        <f>'All Ticker P&amp;L'!B996</f>
        <v/>
      </c>
      <c r="AN996" s="243" t="str">
        <f>'All Ticker P&amp;L'!C996</f>
        <v/>
      </c>
      <c r="AO996" s="243" t="str">
        <f>'All Ticker P&amp;L'!D996</f>
        <v/>
      </c>
      <c r="AP996" s="243">
        <f>IF($AL996="",0,'All Ticker P&amp;L'!E996)</f>
        <v>0</v>
      </c>
      <c r="AQ996" s="266">
        <f>IF($AL996="",0,'All Ticker P&amp;L'!J996*'All Ticker P&amp;L'!I996)</f>
        <v>0</v>
      </c>
      <c r="AR996" s="266">
        <f>IF($AL996="",0,'All Ticker P&amp;L'!L996)</f>
        <v>0</v>
      </c>
      <c r="AS996" s="267">
        <f>IF($AL996="",0,'All Ticker P&amp;L'!M996)</f>
        <v>0</v>
      </c>
      <c r="AT996" s="243" t="str">
        <f>IF($AL996="","",RANK(AR996,$AR$2:$AR$1001)+COUNTIF($AR$2:AR996,AR996)-1)</f>
        <v/>
      </c>
      <c r="AU996" s="243" t="str">
        <f>IF($AL996="","",RANK(AV996,$AV$2:$AV$1001)+COUNTIF($AV$2:AV996,AV996)-1)</f>
        <v/>
      </c>
      <c r="AV996" s="266">
        <f t="shared" si="62"/>
        <v>0</v>
      </c>
    </row>
    <row r="997" spans="26:48" ht="15" customHeight="1" x14ac:dyDescent="0.2">
      <c r="Z997" s="243" t="str">
        <f>Shares!A997</f>
        <v/>
      </c>
      <c r="AA997" s="243" t="str">
        <f>Shares!B997</f>
        <v/>
      </c>
      <c r="AB997" s="243" t="str">
        <f>Shares!C997</f>
        <v/>
      </c>
      <c r="AC997" s="243" t="str">
        <f>Shares!D997</f>
        <v/>
      </c>
      <c r="AD997" s="243">
        <f>IF($Z997="",0,Shares!E997)</f>
        <v>0</v>
      </c>
      <c r="AE997" s="266">
        <f>IF($Z997="",0,Shares!J997*Shares!I997)</f>
        <v>0</v>
      </c>
      <c r="AF997" s="267">
        <f t="shared" si="61"/>
        <v>0</v>
      </c>
      <c r="AG997" s="266">
        <f>IF($Z997="",0,Shares!L997)</f>
        <v>0</v>
      </c>
      <c r="AH997" s="267">
        <f>IF($Z997="",0,Shares!M997)</f>
        <v>0</v>
      </c>
      <c r="AI997" s="243" t="str">
        <f>IF($Z997="","",RANK(AE997,$AE$2:$AE$1001)+COUNTIF($AE$2:AE997,AE997)-1)</f>
        <v/>
      </c>
      <c r="AJ997" s="243" t="str">
        <f>IF($AD997&lt;0,COUNT($AJ$1:AJ996)+1,"")</f>
        <v/>
      </c>
      <c r="AL997" s="243" t="str">
        <f>'All Ticker P&amp;L'!A997</f>
        <v/>
      </c>
      <c r="AM997" s="243" t="str">
        <f>'All Ticker P&amp;L'!B997</f>
        <v/>
      </c>
      <c r="AN997" s="243" t="str">
        <f>'All Ticker P&amp;L'!C997</f>
        <v/>
      </c>
      <c r="AO997" s="243" t="str">
        <f>'All Ticker P&amp;L'!D997</f>
        <v/>
      </c>
      <c r="AP997" s="243">
        <f>IF($AL997="",0,'All Ticker P&amp;L'!E997)</f>
        <v>0</v>
      </c>
      <c r="AQ997" s="266">
        <f>IF($AL997="",0,'All Ticker P&amp;L'!J997*'All Ticker P&amp;L'!I997)</f>
        <v>0</v>
      </c>
      <c r="AR997" s="266">
        <f>IF($AL997="",0,'All Ticker P&amp;L'!L997)</f>
        <v>0</v>
      </c>
      <c r="AS997" s="267">
        <f>IF($AL997="",0,'All Ticker P&amp;L'!M997)</f>
        <v>0</v>
      </c>
      <c r="AT997" s="243" t="str">
        <f>IF($AL997="","",RANK(AR997,$AR$2:$AR$1001)+COUNTIF($AR$2:AR997,AR997)-1)</f>
        <v/>
      </c>
      <c r="AU997" s="243" t="str">
        <f>IF($AL997="","",RANK(AV997,$AV$2:$AV$1001)+COUNTIF($AV$2:AV997,AV997)-1)</f>
        <v/>
      </c>
      <c r="AV997" s="266">
        <f t="shared" si="62"/>
        <v>0</v>
      </c>
    </row>
    <row r="998" spans="26:48" ht="15" customHeight="1" x14ac:dyDescent="0.2">
      <c r="Z998" s="243" t="str">
        <f>Shares!A998</f>
        <v/>
      </c>
      <c r="AA998" s="243" t="str">
        <f>Shares!B998</f>
        <v/>
      </c>
      <c r="AB998" s="243" t="str">
        <f>Shares!C998</f>
        <v/>
      </c>
      <c r="AC998" s="243" t="str">
        <f>Shares!D998</f>
        <v/>
      </c>
      <c r="AD998" s="243">
        <f>IF($Z998="",0,Shares!E998)</f>
        <v>0</v>
      </c>
      <c r="AE998" s="266">
        <f>IF($Z998="",0,Shares!J998*Shares!I998)</f>
        <v>0</v>
      </c>
      <c r="AF998" s="267">
        <f t="shared" si="61"/>
        <v>0</v>
      </c>
      <c r="AG998" s="266">
        <f>IF($Z998="",0,Shares!L998)</f>
        <v>0</v>
      </c>
      <c r="AH998" s="267">
        <f>IF($Z998="",0,Shares!M998)</f>
        <v>0</v>
      </c>
      <c r="AI998" s="243" t="str">
        <f>IF($Z998="","",RANK(AE998,$AE$2:$AE$1001)+COUNTIF($AE$2:AE998,AE998)-1)</f>
        <v/>
      </c>
      <c r="AJ998" s="243" t="str">
        <f>IF($AD998&lt;0,COUNT($AJ$1:AJ997)+1,"")</f>
        <v/>
      </c>
      <c r="AL998" s="243" t="str">
        <f>'All Ticker P&amp;L'!A998</f>
        <v/>
      </c>
      <c r="AM998" s="243" t="str">
        <f>'All Ticker P&amp;L'!B998</f>
        <v/>
      </c>
      <c r="AN998" s="243" t="str">
        <f>'All Ticker P&amp;L'!C998</f>
        <v/>
      </c>
      <c r="AO998" s="243" t="str">
        <f>'All Ticker P&amp;L'!D998</f>
        <v/>
      </c>
      <c r="AP998" s="243">
        <f>IF($AL998="",0,'All Ticker P&amp;L'!E998)</f>
        <v>0</v>
      </c>
      <c r="AQ998" s="266">
        <f>IF($AL998="",0,'All Ticker P&amp;L'!J998*'All Ticker P&amp;L'!I998)</f>
        <v>0</v>
      </c>
      <c r="AR998" s="266">
        <f>IF($AL998="",0,'All Ticker P&amp;L'!L998)</f>
        <v>0</v>
      </c>
      <c r="AS998" s="267">
        <f>IF($AL998="",0,'All Ticker P&amp;L'!M998)</f>
        <v>0</v>
      </c>
      <c r="AT998" s="243" t="str">
        <f>IF($AL998="","",RANK(AR998,$AR$2:$AR$1001)+COUNTIF($AR$2:AR998,AR998)-1)</f>
        <v/>
      </c>
      <c r="AU998" s="243" t="str">
        <f>IF($AL998="","",RANK(AV998,$AV$2:$AV$1001)+COUNTIF($AV$2:AV998,AV998)-1)</f>
        <v/>
      </c>
      <c r="AV998" s="266">
        <f t="shared" si="62"/>
        <v>0</v>
      </c>
    </row>
    <row r="999" spans="26:48" ht="15" customHeight="1" x14ac:dyDescent="0.2">
      <c r="Z999" s="243" t="str">
        <f>Shares!A999</f>
        <v/>
      </c>
      <c r="AA999" s="243" t="str">
        <f>Shares!B999</f>
        <v/>
      </c>
      <c r="AB999" s="243" t="str">
        <f>Shares!C999</f>
        <v/>
      </c>
      <c r="AC999" s="243" t="str">
        <f>Shares!D999</f>
        <v/>
      </c>
      <c r="AD999" s="243">
        <f>IF($Z999="",0,Shares!E999)</f>
        <v>0</v>
      </c>
      <c r="AE999" s="266">
        <f>IF($Z999="",0,Shares!J999*Shares!I999)</f>
        <v>0</v>
      </c>
      <c r="AF999" s="267">
        <f t="shared" si="61"/>
        <v>0</v>
      </c>
      <c r="AG999" s="266">
        <f>IF($Z999="",0,Shares!L999)</f>
        <v>0</v>
      </c>
      <c r="AH999" s="267">
        <f>IF($Z999="",0,Shares!M999)</f>
        <v>0</v>
      </c>
      <c r="AI999" s="243" t="str">
        <f>IF($Z999="","",RANK(AE999,$AE$2:$AE$1001)+COUNTIF($AE$2:AE999,AE999)-1)</f>
        <v/>
      </c>
      <c r="AJ999" s="243" t="str">
        <f>IF($AD999&lt;0,COUNT($AJ$1:AJ998)+1,"")</f>
        <v/>
      </c>
      <c r="AL999" s="243" t="str">
        <f>'All Ticker P&amp;L'!A999</f>
        <v/>
      </c>
      <c r="AM999" s="243" t="str">
        <f>'All Ticker P&amp;L'!B999</f>
        <v/>
      </c>
      <c r="AN999" s="243" t="str">
        <f>'All Ticker P&amp;L'!C999</f>
        <v/>
      </c>
      <c r="AO999" s="243" t="str">
        <f>'All Ticker P&amp;L'!D999</f>
        <v/>
      </c>
      <c r="AP999" s="243">
        <f>IF($AL999="",0,'All Ticker P&amp;L'!E999)</f>
        <v>0</v>
      </c>
      <c r="AQ999" s="266">
        <f>IF($AL999="",0,'All Ticker P&amp;L'!J999*'All Ticker P&amp;L'!I999)</f>
        <v>0</v>
      </c>
      <c r="AR999" s="266">
        <f>IF($AL999="",0,'All Ticker P&amp;L'!L999)</f>
        <v>0</v>
      </c>
      <c r="AS999" s="267">
        <f>IF($AL999="",0,'All Ticker P&amp;L'!M999)</f>
        <v>0</v>
      </c>
      <c r="AT999" s="243" t="str">
        <f>IF($AL999="","",RANK(AR999,$AR$2:$AR$1001)+COUNTIF($AR$2:AR999,AR999)-1)</f>
        <v/>
      </c>
      <c r="AU999" s="243" t="str">
        <f>IF($AL999="","",RANK(AV999,$AV$2:$AV$1001)+COUNTIF($AV$2:AV999,AV999)-1)</f>
        <v/>
      </c>
      <c r="AV999" s="266">
        <f t="shared" si="62"/>
        <v>0</v>
      </c>
    </row>
    <row r="1000" spans="26:48" ht="15" customHeight="1" x14ac:dyDescent="0.2">
      <c r="Z1000" s="243" t="str">
        <f>Shares!A1000</f>
        <v/>
      </c>
      <c r="AA1000" s="243" t="str">
        <f>Shares!B1000</f>
        <v/>
      </c>
      <c r="AB1000" s="243" t="str">
        <f>Shares!C1000</f>
        <v/>
      </c>
      <c r="AC1000" s="243" t="str">
        <f>Shares!D1000</f>
        <v/>
      </c>
      <c r="AD1000" s="243">
        <f>IF($Z1000="",0,Shares!E1000)</f>
        <v>0</v>
      </c>
      <c r="AE1000" s="266">
        <f>IF($Z1000="",0,Shares!J1000*Shares!I1000)</f>
        <v>0</v>
      </c>
      <c r="AF1000" s="267">
        <f t="shared" si="61"/>
        <v>0</v>
      </c>
      <c r="AG1000" s="266">
        <f>IF($Z1000="",0,Shares!L1000)</f>
        <v>0</v>
      </c>
      <c r="AH1000" s="267">
        <f>IF($Z1000="",0,Shares!M1000)</f>
        <v>0</v>
      </c>
      <c r="AI1000" s="243" t="str">
        <f>IF($Z1000="","",RANK(AE1000,$AE$2:$AE$1001)+COUNTIF($AE$2:AE1000,AE1000)-1)</f>
        <v/>
      </c>
      <c r="AJ1000" s="243" t="str">
        <f>IF($AD1000&lt;0,COUNT($AJ$1:AJ999)+1,"")</f>
        <v/>
      </c>
      <c r="AL1000" s="243" t="str">
        <f>'All Ticker P&amp;L'!A1000</f>
        <v/>
      </c>
      <c r="AM1000" s="243" t="str">
        <f>'All Ticker P&amp;L'!B1000</f>
        <v/>
      </c>
      <c r="AN1000" s="243" t="str">
        <f>'All Ticker P&amp;L'!C1000</f>
        <v/>
      </c>
      <c r="AO1000" s="243" t="str">
        <f>'All Ticker P&amp;L'!D1000</f>
        <v/>
      </c>
      <c r="AP1000" s="243">
        <f>IF($AL1000="",0,'All Ticker P&amp;L'!E1000)</f>
        <v>0</v>
      </c>
      <c r="AQ1000" s="266">
        <f>IF($AL1000="",0,'All Ticker P&amp;L'!J1000*'All Ticker P&amp;L'!I1000)</f>
        <v>0</v>
      </c>
      <c r="AR1000" s="266">
        <f>IF($AL1000="",0,'All Ticker P&amp;L'!L1000)</f>
        <v>0</v>
      </c>
      <c r="AS1000" s="267">
        <f>IF($AL1000="",0,'All Ticker P&amp;L'!M1000)</f>
        <v>0</v>
      </c>
      <c r="AT1000" s="243" t="str">
        <f>IF($AL1000="","",RANK(AR1000,$AR$2:$AR$1001)+COUNTIF($AR$2:AR1000,AR1000)-1)</f>
        <v/>
      </c>
      <c r="AU1000" s="243" t="str">
        <f>IF($AL1000="","",RANK(AV1000,$AV$2:$AV$1001)+COUNTIF($AV$2:AV1000,AV1000)-1)</f>
        <v/>
      </c>
      <c r="AV1000" s="266">
        <f t="shared" si="62"/>
        <v>0</v>
      </c>
    </row>
    <row r="1001" spans="26:48" ht="15" customHeight="1" x14ac:dyDescent="0.2">
      <c r="Z1001" s="243" t="str">
        <f>Shares!A1001</f>
        <v/>
      </c>
      <c r="AA1001" s="243" t="str">
        <f>Shares!B1001</f>
        <v/>
      </c>
      <c r="AB1001" s="243" t="str">
        <f>Shares!C1001</f>
        <v/>
      </c>
      <c r="AC1001" s="243" t="str">
        <f>Shares!D1001</f>
        <v/>
      </c>
      <c r="AD1001" s="243">
        <f>IF($Z1001="",0,Shares!E1001)</f>
        <v>0</v>
      </c>
      <c r="AE1001" s="266">
        <f>IF($Z1001="",0,Shares!J1001*Shares!I1001)</f>
        <v>0</v>
      </c>
      <c r="AF1001" s="267">
        <f t="shared" si="61"/>
        <v>0</v>
      </c>
      <c r="AG1001" s="266">
        <f>IF($Z1001="",0,Shares!L1001)</f>
        <v>0</v>
      </c>
      <c r="AH1001" s="267">
        <f>IF($Z1001="",0,Shares!M1001)</f>
        <v>0</v>
      </c>
      <c r="AI1001" s="243" t="str">
        <f>IF($Z1001="","",RANK(AE1001,$AE$2:$AE$1001)+COUNTIF($AE$2:AE1001,AE1001)-1)</f>
        <v/>
      </c>
      <c r="AJ1001" s="243" t="str">
        <f>IF($AD1001&lt;0,COUNT($AJ$1:AJ1000)+1,"")</f>
        <v/>
      </c>
      <c r="AL1001" s="243" t="str">
        <f>'All Ticker P&amp;L'!A1001</f>
        <v/>
      </c>
      <c r="AM1001" s="243" t="str">
        <f>'All Ticker P&amp;L'!B1001</f>
        <v/>
      </c>
      <c r="AN1001" s="243" t="str">
        <f>'All Ticker P&amp;L'!C1001</f>
        <v/>
      </c>
      <c r="AO1001" s="243" t="str">
        <f>'All Ticker P&amp;L'!D1001</f>
        <v/>
      </c>
      <c r="AP1001" s="243">
        <f>IF($AL1001="",0,'All Ticker P&amp;L'!E1001)</f>
        <v>0</v>
      </c>
      <c r="AQ1001" s="266">
        <f>IF($AL1001="",0,'All Ticker P&amp;L'!J1001*'All Ticker P&amp;L'!I1001)</f>
        <v>0</v>
      </c>
      <c r="AR1001" s="266">
        <f>IF($AL1001="",0,'All Ticker P&amp;L'!L1001)</f>
        <v>0</v>
      </c>
      <c r="AS1001" s="267">
        <f>IF($AL1001="",0,'All Ticker P&amp;L'!M1001)</f>
        <v>0</v>
      </c>
      <c r="AT1001" s="243" t="str">
        <f>IF($AL1001="","",RANK(AR1001,$AR$2:$AR$1001)+COUNTIF($AR$2:AR1001,AR1001)-1)</f>
        <v/>
      </c>
      <c r="AU1001" s="243" t="str">
        <f>IF($AL1001="","",RANK(AV1001,$AV$2:$AV$1001)+COUNTIF($AV$2:AV1001,AV1001)-1)</f>
        <v/>
      </c>
      <c r="AV1001" s="266">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8" t="s">
        <v>502</v>
      </c>
    </row>
    <row r="2" spans="1:6" ht="15" customHeight="1" x14ac:dyDescent="0.15">
      <c r="A2" s="38" t="s">
        <v>503</v>
      </c>
    </row>
    <row r="4" spans="1:6" ht="15" customHeight="1" x14ac:dyDescent="0.15">
      <c r="A4" s="113" t="s">
        <v>206</v>
      </c>
      <c r="B4" s="113" t="s">
        <v>504</v>
      </c>
      <c r="C4" s="113" t="s">
        <v>505</v>
      </c>
      <c r="D4" s="113" t="s">
        <v>506</v>
      </c>
      <c r="E4" s="113" t="s">
        <v>507</v>
      </c>
      <c r="F4" s="113" t="s">
        <v>202</v>
      </c>
    </row>
    <row r="5" spans="1:6" ht="15" customHeight="1" x14ac:dyDescent="0.15">
      <c r="A5" s="282">
        <f ca="1">TODAY()</f>
        <v>46216</v>
      </c>
      <c r="B5" s="283">
        <f>'Stock Dashboard'!$B$5</f>
        <v>177864.44309718916</v>
      </c>
      <c r="C5" s="284"/>
      <c r="D5" s="284"/>
      <c r="E5" s="283">
        <f>SUM(Txn[Dividend SGD])</f>
        <v>1090</v>
      </c>
      <c r="F5" s="284" t="s">
        <v>508</v>
      </c>
    </row>
    <row r="7" spans="1:6" ht="15" customHeight="1" x14ac:dyDescent="0.15">
      <c r="A7" s="33" t="s">
        <v>509</v>
      </c>
    </row>
    <row r="8" spans="1:6" ht="15" customHeight="1" x14ac:dyDescent="0.15">
      <c r="A8" s="285"/>
      <c r="B8" s="48"/>
      <c r="C8" s="30"/>
      <c r="D8" s="112"/>
      <c r="E8" s="30" t="str">
        <f>IF($A8="","",SUMIFS(Txn[Dividend SGD],Txn[Date of transaction (YYYY-MM-DD)],"&lt;="&amp;$A8))</f>
        <v/>
      </c>
    </row>
    <row r="9" spans="1:6" ht="15" customHeight="1" x14ac:dyDescent="0.15">
      <c r="A9" s="285"/>
      <c r="B9" s="48"/>
      <c r="C9" s="30" t="str">
        <f>IF(OR($A9="",NOT(ISNUMBER($A8))),"",-SUMIFS(Txn[Flow SGD],Txn[Date of transaction (YYYY-MM-DD)],"&gt;"&amp;$A8,Txn[Date of transaction (YYYY-MM-DD)],"&lt;="&amp;$A9))</f>
        <v/>
      </c>
      <c r="D9" s="112" t="str">
        <f t="shared" ref="D9:D40" si="0">IF(OR($C9="",$B9="",$B8=""),"",IFERROR(($B9-$B8-$C9)/$B8,""))</f>
        <v/>
      </c>
      <c r="E9" s="30" t="str">
        <f>IF($A9="","",SUMIFS(Txn[Dividend SGD],Txn[Date of transaction (YYYY-MM-DD)],"&lt;="&amp;$A9))</f>
        <v/>
      </c>
    </row>
    <row r="10" spans="1:6" ht="15" customHeight="1" x14ac:dyDescent="0.15">
      <c r="A10" s="285"/>
      <c r="B10" s="48"/>
      <c r="C10" s="30" t="str">
        <f>IF(OR($A10="",NOT(ISNUMBER($A9))),"",-SUMIFS(Txn[Flow SGD],Txn[Date of transaction (YYYY-MM-DD)],"&gt;"&amp;$A9,Txn[Date of transaction (YYYY-MM-DD)],"&lt;="&amp;$A10))</f>
        <v/>
      </c>
      <c r="D10" s="112" t="str">
        <f t="shared" si="0"/>
        <v/>
      </c>
      <c r="E10" s="30" t="str">
        <f>IF($A10="","",SUMIFS(Txn[Dividend SGD],Txn[Date of transaction (YYYY-MM-DD)],"&lt;="&amp;$A10))</f>
        <v/>
      </c>
    </row>
    <row r="11" spans="1:6" ht="15" customHeight="1" x14ac:dyDescent="0.15">
      <c r="A11" s="285"/>
      <c r="B11" s="48"/>
      <c r="C11" s="30" t="str">
        <f>IF(OR($A11="",NOT(ISNUMBER($A10))),"",-SUMIFS(Txn[Flow SGD],Txn[Date of transaction (YYYY-MM-DD)],"&gt;"&amp;$A10,Txn[Date of transaction (YYYY-MM-DD)],"&lt;="&amp;$A11))</f>
        <v/>
      </c>
      <c r="D11" s="112" t="str">
        <f t="shared" si="0"/>
        <v/>
      </c>
      <c r="E11" s="30" t="str">
        <f>IF($A11="","",SUMIFS(Txn[Dividend SGD],Txn[Date of transaction (YYYY-MM-DD)],"&lt;="&amp;$A11))</f>
        <v/>
      </c>
    </row>
    <row r="12" spans="1:6" ht="15" customHeight="1" x14ac:dyDescent="0.15">
      <c r="A12" s="285"/>
      <c r="B12" s="48"/>
      <c r="C12" s="30" t="str">
        <f>IF(OR($A12="",NOT(ISNUMBER($A11))),"",-SUMIFS(Txn[Flow SGD],Txn[Date of transaction (YYYY-MM-DD)],"&gt;"&amp;$A11,Txn[Date of transaction (YYYY-MM-DD)],"&lt;="&amp;$A12))</f>
        <v/>
      </c>
      <c r="D12" s="112" t="str">
        <f t="shared" si="0"/>
        <v/>
      </c>
      <c r="E12" s="30" t="str">
        <f>IF($A12="","",SUMIFS(Txn[Dividend SGD],Txn[Date of transaction (YYYY-MM-DD)],"&lt;="&amp;$A12))</f>
        <v/>
      </c>
    </row>
    <row r="13" spans="1:6" ht="15" customHeight="1" x14ac:dyDescent="0.15">
      <c r="A13" s="285"/>
      <c r="B13" s="48"/>
      <c r="C13" s="30" t="str">
        <f>IF(OR($A13="",NOT(ISNUMBER($A12))),"",-SUMIFS(Txn[Flow SGD],Txn[Date of transaction (YYYY-MM-DD)],"&gt;"&amp;$A12,Txn[Date of transaction (YYYY-MM-DD)],"&lt;="&amp;$A13))</f>
        <v/>
      </c>
      <c r="D13" s="112" t="str">
        <f t="shared" si="0"/>
        <v/>
      </c>
      <c r="E13" s="30" t="str">
        <f>IF($A13="","",SUMIFS(Txn[Dividend SGD],Txn[Date of transaction (YYYY-MM-DD)],"&lt;="&amp;$A13))</f>
        <v/>
      </c>
    </row>
    <row r="14" spans="1:6" ht="15" customHeight="1" x14ac:dyDescent="0.15">
      <c r="A14" s="285"/>
      <c r="B14" s="48"/>
      <c r="C14" s="30" t="str">
        <f>IF(OR($A14="",NOT(ISNUMBER($A13))),"",-SUMIFS(Txn[Flow SGD],Txn[Date of transaction (YYYY-MM-DD)],"&gt;"&amp;$A13,Txn[Date of transaction (YYYY-MM-DD)],"&lt;="&amp;$A14))</f>
        <v/>
      </c>
      <c r="D14" s="112" t="str">
        <f t="shared" si="0"/>
        <v/>
      </c>
      <c r="E14" s="30" t="str">
        <f>IF($A14="","",SUMIFS(Txn[Dividend SGD],Txn[Date of transaction (YYYY-MM-DD)],"&lt;="&amp;$A14))</f>
        <v/>
      </c>
    </row>
    <row r="15" spans="1:6" ht="15" customHeight="1" x14ac:dyDescent="0.15">
      <c r="A15" s="285"/>
      <c r="B15" s="48"/>
      <c r="C15" s="30" t="str">
        <f>IF(OR($A15="",NOT(ISNUMBER($A14))),"",-SUMIFS(Txn[Flow SGD],Txn[Date of transaction (YYYY-MM-DD)],"&gt;"&amp;$A14,Txn[Date of transaction (YYYY-MM-DD)],"&lt;="&amp;$A15))</f>
        <v/>
      </c>
      <c r="D15" s="112" t="str">
        <f t="shared" si="0"/>
        <v/>
      </c>
      <c r="E15" s="30" t="str">
        <f>IF($A15="","",SUMIFS(Txn[Dividend SGD],Txn[Date of transaction (YYYY-MM-DD)],"&lt;="&amp;$A15))</f>
        <v/>
      </c>
    </row>
    <row r="16" spans="1:6" ht="15" customHeight="1" x14ac:dyDescent="0.15">
      <c r="A16" s="285"/>
      <c r="B16" s="48"/>
      <c r="C16" s="30" t="str">
        <f>IF(OR($A16="",NOT(ISNUMBER($A15))),"",-SUMIFS(Txn[Flow SGD],Txn[Date of transaction (YYYY-MM-DD)],"&gt;"&amp;$A15,Txn[Date of transaction (YYYY-MM-DD)],"&lt;="&amp;$A16))</f>
        <v/>
      </c>
      <c r="D16" s="112" t="str">
        <f t="shared" si="0"/>
        <v/>
      </c>
      <c r="E16" s="30" t="str">
        <f>IF($A16="","",SUMIFS(Txn[Dividend SGD],Txn[Date of transaction (YYYY-MM-DD)],"&lt;="&amp;$A16))</f>
        <v/>
      </c>
    </row>
    <row r="17" spans="1:5" ht="15" customHeight="1" x14ac:dyDescent="0.15">
      <c r="A17" s="285"/>
      <c r="B17" s="48"/>
      <c r="C17" s="30" t="str">
        <f>IF(OR($A17="",NOT(ISNUMBER($A16))),"",-SUMIFS(Txn[Flow SGD],Txn[Date of transaction (YYYY-MM-DD)],"&gt;"&amp;$A16,Txn[Date of transaction (YYYY-MM-DD)],"&lt;="&amp;$A17))</f>
        <v/>
      </c>
      <c r="D17" s="112" t="str">
        <f t="shared" si="0"/>
        <v/>
      </c>
      <c r="E17" s="30" t="str">
        <f>IF($A17="","",SUMIFS(Txn[Dividend SGD],Txn[Date of transaction (YYYY-MM-DD)],"&lt;="&amp;$A17))</f>
        <v/>
      </c>
    </row>
    <row r="18" spans="1:5" ht="15" customHeight="1" x14ac:dyDescent="0.15">
      <c r="A18" s="285"/>
      <c r="B18" s="48"/>
      <c r="C18" s="30" t="str">
        <f>IF(OR($A18="",NOT(ISNUMBER($A17))),"",-SUMIFS(Txn[Flow SGD],Txn[Date of transaction (YYYY-MM-DD)],"&gt;"&amp;$A17,Txn[Date of transaction (YYYY-MM-DD)],"&lt;="&amp;$A18))</f>
        <v/>
      </c>
      <c r="D18" s="112" t="str">
        <f t="shared" si="0"/>
        <v/>
      </c>
      <c r="E18" s="30" t="str">
        <f>IF($A18="","",SUMIFS(Txn[Dividend SGD],Txn[Date of transaction (YYYY-MM-DD)],"&lt;="&amp;$A18))</f>
        <v/>
      </c>
    </row>
    <row r="19" spans="1:5" ht="15" customHeight="1" x14ac:dyDescent="0.15">
      <c r="A19" s="285"/>
      <c r="B19" s="48"/>
      <c r="C19" s="30" t="str">
        <f>IF(OR($A19="",NOT(ISNUMBER($A18))),"",-SUMIFS(Txn[Flow SGD],Txn[Date of transaction (YYYY-MM-DD)],"&gt;"&amp;$A18,Txn[Date of transaction (YYYY-MM-DD)],"&lt;="&amp;$A19))</f>
        <v/>
      </c>
      <c r="D19" s="112" t="str">
        <f t="shared" si="0"/>
        <v/>
      </c>
      <c r="E19" s="30" t="str">
        <f>IF($A19="","",SUMIFS(Txn[Dividend SGD],Txn[Date of transaction (YYYY-MM-DD)],"&lt;="&amp;$A19))</f>
        <v/>
      </c>
    </row>
    <row r="20" spans="1:5" ht="15" customHeight="1" x14ac:dyDescent="0.15">
      <c r="A20" s="285"/>
      <c r="B20" s="48"/>
      <c r="C20" s="30" t="str">
        <f>IF(OR($A20="",NOT(ISNUMBER($A19))),"",-SUMIFS(Txn[Flow SGD],Txn[Date of transaction (YYYY-MM-DD)],"&gt;"&amp;$A19,Txn[Date of transaction (YYYY-MM-DD)],"&lt;="&amp;$A20))</f>
        <v/>
      </c>
      <c r="D20" s="112" t="str">
        <f t="shared" si="0"/>
        <v/>
      </c>
      <c r="E20" s="30" t="str">
        <f>IF($A20="","",SUMIFS(Txn[Dividend SGD],Txn[Date of transaction (YYYY-MM-DD)],"&lt;="&amp;$A20))</f>
        <v/>
      </c>
    </row>
    <row r="21" spans="1:5" ht="15" customHeight="1" x14ac:dyDescent="0.15">
      <c r="A21" s="285"/>
      <c r="B21" s="48"/>
      <c r="C21" s="30" t="str">
        <f>IF(OR($A21="",NOT(ISNUMBER($A20))),"",-SUMIFS(Txn[Flow SGD],Txn[Date of transaction (YYYY-MM-DD)],"&gt;"&amp;$A20,Txn[Date of transaction (YYYY-MM-DD)],"&lt;="&amp;$A21))</f>
        <v/>
      </c>
      <c r="D21" s="112" t="str">
        <f t="shared" si="0"/>
        <v/>
      </c>
      <c r="E21" s="30" t="str">
        <f>IF($A21="","",SUMIFS(Txn[Dividend SGD],Txn[Date of transaction (YYYY-MM-DD)],"&lt;="&amp;$A21))</f>
        <v/>
      </c>
    </row>
    <row r="22" spans="1:5" ht="15" customHeight="1" x14ac:dyDescent="0.15">
      <c r="A22" s="285"/>
      <c r="B22" s="48"/>
      <c r="C22" s="30" t="str">
        <f>IF(OR($A22="",NOT(ISNUMBER($A21))),"",-SUMIFS(Txn[Flow SGD],Txn[Date of transaction (YYYY-MM-DD)],"&gt;"&amp;$A21,Txn[Date of transaction (YYYY-MM-DD)],"&lt;="&amp;$A22))</f>
        <v/>
      </c>
      <c r="D22" s="112" t="str">
        <f t="shared" si="0"/>
        <v/>
      </c>
      <c r="E22" s="30" t="str">
        <f>IF($A22="","",SUMIFS(Txn[Dividend SGD],Txn[Date of transaction (YYYY-MM-DD)],"&lt;="&amp;$A22))</f>
        <v/>
      </c>
    </row>
    <row r="23" spans="1:5" ht="15" customHeight="1" x14ac:dyDescent="0.15">
      <c r="A23" s="285"/>
      <c r="B23" s="48"/>
      <c r="C23" s="30" t="str">
        <f>IF(OR($A23="",NOT(ISNUMBER($A22))),"",-SUMIFS(Txn[Flow SGD],Txn[Date of transaction (YYYY-MM-DD)],"&gt;"&amp;$A22,Txn[Date of transaction (YYYY-MM-DD)],"&lt;="&amp;$A23))</f>
        <v/>
      </c>
      <c r="D23" s="112" t="str">
        <f t="shared" si="0"/>
        <v/>
      </c>
      <c r="E23" s="30" t="str">
        <f>IF($A23="","",SUMIFS(Txn[Dividend SGD],Txn[Date of transaction (YYYY-MM-DD)],"&lt;="&amp;$A23))</f>
        <v/>
      </c>
    </row>
    <row r="24" spans="1:5" ht="15" customHeight="1" x14ac:dyDescent="0.15">
      <c r="A24" s="285"/>
      <c r="B24" s="48"/>
      <c r="C24" s="30" t="str">
        <f>IF(OR($A24="",NOT(ISNUMBER($A23))),"",-SUMIFS(Txn[Flow SGD],Txn[Date of transaction (YYYY-MM-DD)],"&gt;"&amp;$A23,Txn[Date of transaction (YYYY-MM-DD)],"&lt;="&amp;$A24))</f>
        <v/>
      </c>
      <c r="D24" s="112" t="str">
        <f t="shared" si="0"/>
        <v/>
      </c>
      <c r="E24" s="30" t="str">
        <f>IF($A24="","",SUMIFS(Txn[Dividend SGD],Txn[Date of transaction (YYYY-MM-DD)],"&lt;="&amp;$A24))</f>
        <v/>
      </c>
    </row>
    <row r="25" spans="1:5" ht="15" customHeight="1" x14ac:dyDescent="0.15">
      <c r="A25" s="285"/>
      <c r="B25" s="48"/>
      <c r="C25" s="30" t="str">
        <f>IF(OR($A25="",NOT(ISNUMBER($A24))),"",-SUMIFS(Txn[Flow SGD],Txn[Date of transaction (YYYY-MM-DD)],"&gt;"&amp;$A24,Txn[Date of transaction (YYYY-MM-DD)],"&lt;="&amp;$A25))</f>
        <v/>
      </c>
      <c r="D25" s="112" t="str">
        <f t="shared" si="0"/>
        <v/>
      </c>
      <c r="E25" s="30" t="str">
        <f>IF($A25="","",SUMIFS(Txn[Dividend SGD],Txn[Date of transaction (YYYY-MM-DD)],"&lt;="&amp;$A25))</f>
        <v/>
      </c>
    </row>
    <row r="26" spans="1:5" ht="15" customHeight="1" x14ac:dyDescent="0.15">
      <c r="A26" s="285"/>
      <c r="B26" s="48"/>
      <c r="C26" s="30" t="str">
        <f>IF(OR($A26="",NOT(ISNUMBER($A25))),"",-SUMIFS(Txn[Flow SGD],Txn[Date of transaction (YYYY-MM-DD)],"&gt;"&amp;$A25,Txn[Date of transaction (YYYY-MM-DD)],"&lt;="&amp;$A26))</f>
        <v/>
      </c>
      <c r="D26" s="112" t="str">
        <f t="shared" si="0"/>
        <v/>
      </c>
      <c r="E26" s="30" t="str">
        <f>IF($A26="","",SUMIFS(Txn[Dividend SGD],Txn[Date of transaction (YYYY-MM-DD)],"&lt;="&amp;$A26))</f>
        <v/>
      </c>
    </row>
    <row r="27" spans="1:5" ht="15" customHeight="1" x14ac:dyDescent="0.15">
      <c r="A27" s="285"/>
      <c r="B27" s="48"/>
      <c r="C27" s="30" t="str">
        <f>IF(OR($A27="",NOT(ISNUMBER($A26))),"",-SUMIFS(Txn[Flow SGD],Txn[Date of transaction (YYYY-MM-DD)],"&gt;"&amp;$A26,Txn[Date of transaction (YYYY-MM-DD)],"&lt;="&amp;$A27))</f>
        <v/>
      </c>
      <c r="D27" s="112" t="str">
        <f t="shared" si="0"/>
        <v/>
      </c>
      <c r="E27" s="30" t="str">
        <f>IF($A27="","",SUMIFS(Txn[Dividend SGD],Txn[Date of transaction (YYYY-MM-DD)],"&lt;="&amp;$A27))</f>
        <v/>
      </c>
    </row>
    <row r="28" spans="1:5" ht="15" customHeight="1" x14ac:dyDescent="0.15">
      <c r="A28" s="285"/>
      <c r="B28" s="48"/>
      <c r="C28" s="30" t="str">
        <f>IF(OR($A28="",NOT(ISNUMBER($A27))),"",-SUMIFS(Txn[Flow SGD],Txn[Date of transaction (YYYY-MM-DD)],"&gt;"&amp;$A27,Txn[Date of transaction (YYYY-MM-DD)],"&lt;="&amp;$A28))</f>
        <v/>
      </c>
      <c r="D28" s="112" t="str">
        <f t="shared" si="0"/>
        <v/>
      </c>
      <c r="E28" s="30" t="str">
        <f>IF($A28="","",SUMIFS(Txn[Dividend SGD],Txn[Date of transaction (YYYY-MM-DD)],"&lt;="&amp;$A28))</f>
        <v/>
      </c>
    </row>
    <row r="29" spans="1:5" ht="15" customHeight="1" x14ac:dyDescent="0.15">
      <c r="A29" s="285"/>
      <c r="B29" s="48"/>
      <c r="C29" s="30" t="str">
        <f>IF(OR($A29="",NOT(ISNUMBER($A28))),"",-SUMIFS(Txn[Flow SGD],Txn[Date of transaction (YYYY-MM-DD)],"&gt;"&amp;$A28,Txn[Date of transaction (YYYY-MM-DD)],"&lt;="&amp;$A29))</f>
        <v/>
      </c>
      <c r="D29" s="112" t="str">
        <f t="shared" si="0"/>
        <v/>
      </c>
      <c r="E29" s="30" t="str">
        <f>IF($A29="","",SUMIFS(Txn[Dividend SGD],Txn[Date of transaction (YYYY-MM-DD)],"&lt;="&amp;$A29))</f>
        <v/>
      </c>
    </row>
    <row r="30" spans="1:5" ht="15" customHeight="1" x14ac:dyDescent="0.15">
      <c r="A30" s="285"/>
      <c r="B30" s="48"/>
      <c r="C30" s="30" t="str">
        <f>IF(OR($A30="",NOT(ISNUMBER($A29))),"",-SUMIFS(Txn[Flow SGD],Txn[Date of transaction (YYYY-MM-DD)],"&gt;"&amp;$A29,Txn[Date of transaction (YYYY-MM-DD)],"&lt;="&amp;$A30))</f>
        <v/>
      </c>
      <c r="D30" s="112" t="str">
        <f t="shared" si="0"/>
        <v/>
      </c>
      <c r="E30" s="30" t="str">
        <f>IF($A30="","",SUMIFS(Txn[Dividend SGD],Txn[Date of transaction (YYYY-MM-DD)],"&lt;="&amp;$A30))</f>
        <v/>
      </c>
    </row>
    <row r="31" spans="1:5" ht="15" customHeight="1" x14ac:dyDescent="0.15">
      <c r="A31" s="285"/>
      <c r="B31" s="48"/>
      <c r="C31" s="30" t="str">
        <f>IF(OR($A31="",NOT(ISNUMBER($A30))),"",-SUMIFS(Txn[Flow SGD],Txn[Date of transaction (YYYY-MM-DD)],"&gt;"&amp;$A30,Txn[Date of transaction (YYYY-MM-DD)],"&lt;="&amp;$A31))</f>
        <v/>
      </c>
      <c r="D31" s="112" t="str">
        <f t="shared" si="0"/>
        <v/>
      </c>
      <c r="E31" s="30" t="str">
        <f>IF($A31="","",SUMIFS(Txn[Dividend SGD],Txn[Date of transaction (YYYY-MM-DD)],"&lt;="&amp;$A31))</f>
        <v/>
      </c>
    </row>
    <row r="32" spans="1:5" ht="15" customHeight="1" x14ac:dyDescent="0.15">
      <c r="A32" s="285"/>
      <c r="B32" s="48"/>
      <c r="C32" s="30" t="str">
        <f>IF(OR($A32="",NOT(ISNUMBER($A31))),"",-SUMIFS(Txn[Flow SGD],Txn[Date of transaction (YYYY-MM-DD)],"&gt;"&amp;$A31,Txn[Date of transaction (YYYY-MM-DD)],"&lt;="&amp;$A32))</f>
        <v/>
      </c>
      <c r="D32" s="112" t="str">
        <f t="shared" si="0"/>
        <v/>
      </c>
      <c r="E32" s="30" t="str">
        <f>IF($A32="","",SUMIFS(Txn[Dividend SGD],Txn[Date of transaction (YYYY-MM-DD)],"&lt;="&amp;$A32))</f>
        <v/>
      </c>
    </row>
    <row r="33" spans="1:5" ht="15" customHeight="1" x14ac:dyDescent="0.15">
      <c r="A33" s="285"/>
      <c r="B33" s="48"/>
      <c r="C33" s="30" t="str">
        <f>IF(OR($A33="",NOT(ISNUMBER($A32))),"",-SUMIFS(Txn[Flow SGD],Txn[Date of transaction (YYYY-MM-DD)],"&gt;"&amp;$A32,Txn[Date of transaction (YYYY-MM-DD)],"&lt;="&amp;$A33))</f>
        <v/>
      </c>
      <c r="D33" s="112" t="str">
        <f t="shared" si="0"/>
        <v/>
      </c>
      <c r="E33" s="30" t="str">
        <f>IF($A33="","",SUMIFS(Txn[Dividend SGD],Txn[Date of transaction (YYYY-MM-DD)],"&lt;="&amp;$A33))</f>
        <v/>
      </c>
    </row>
    <row r="34" spans="1:5" ht="15" customHeight="1" x14ac:dyDescent="0.15">
      <c r="A34" s="285"/>
      <c r="B34" s="48"/>
      <c r="C34" s="30" t="str">
        <f>IF(OR($A34="",NOT(ISNUMBER($A33))),"",-SUMIFS(Txn[Flow SGD],Txn[Date of transaction (YYYY-MM-DD)],"&gt;"&amp;$A33,Txn[Date of transaction (YYYY-MM-DD)],"&lt;="&amp;$A34))</f>
        <v/>
      </c>
      <c r="D34" s="112" t="str">
        <f t="shared" si="0"/>
        <v/>
      </c>
      <c r="E34" s="30" t="str">
        <f>IF($A34="","",SUMIFS(Txn[Dividend SGD],Txn[Date of transaction (YYYY-MM-DD)],"&lt;="&amp;$A34))</f>
        <v/>
      </c>
    </row>
    <row r="35" spans="1:5" ht="15" customHeight="1" x14ac:dyDescent="0.15">
      <c r="A35" s="285"/>
      <c r="B35" s="48"/>
      <c r="C35" s="30" t="str">
        <f>IF(OR($A35="",NOT(ISNUMBER($A34))),"",-SUMIFS(Txn[Flow SGD],Txn[Date of transaction (YYYY-MM-DD)],"&gt;"&amp;$A34,Txn[Date of transaction (YYYY-MM-DD)],"&lt;="&amp;$A35))</f>
        <v/>
      </c>
      <c r="D35" s="112" t="str">
        <f t="shared" si="0"/>
        <v/>
      </c>
      <c r="E35" s="30" t="str">
        <f>IF($A35="","",SUMIFS(Txn[Dividend SGD],Txn[Date of transaction (YYYY-MM-DD)],"&lt;="&amp;$A35))</f>
        <v/>
      </c>
    </row>
    <row r="36" spans="1:5" ht="15" customHeight="1" x14ac:dyDescent="0.15">
      <c r="A36" s="285"/>
      <c r="B36" s="48"/>
      <c r="C36" s="30" t="str">
        <f>IF(OR($A36="",NOT(ISNUMBER($A35))),"",-SUMIFS(Txn[Flow SGD],Txn[Date of transaction (YYYY-MM-DD)],"&gt;"&amp;$A35,Txn[Date of transaction (YYYY-MM-DD)],"&lt;="&amp;$A36))</f>
        <v/>
      </c>
      <c r="D36" s="112" t="str">
        <f t="shared" si="0"/>
        <v/>
      </c>
      <c r="E36" s="30" t="str">
        <f>IF($A36="","",SUMIFS(Txn[Dividend SGD],Txn[Date of transaction (YYYY-MM-DD)],"&lt;="&amp;$A36))</f>
        <v/>
      </c>
    </row>
    <row r="37" spans="1:5" ht="15" customHeight="1" x14ac:dyDescent="0.15">
      <c r="A37" s="285"/>
      <c r="B37" s="48"/>
      <c r="C37" s="30" t="str">
        <f>IF(OR($A37="",NOT(ISNUMBER($A36))),"",-SUMIFS(Txn[Flow SGD],Txn[Date of transaction (YYYY-MM-DD)],"&gt;"&amp;$A36,Txn[Date of transaction (YYYY-MM-DD)],"&lt;="&amp;$A37))</f>
        <v/>
      </c>
      <c r="D37" s="112" t="str">
        <f t="shared" si="0"/>
        <v/>
      </c>
      <c r="E37" s="30" t="str">
        <f>IF($A37="","",SUMIFS(Txn[Dividend SGD],Txn[Date of transaction (YYYY-MM-DD)],"&lt;="&amp;$A37))</f>
        <v/>
      </c>
    </row>
    <row r="38" spans="1:5" ht="15" customHeight="1" x14ac:dyDescent="0.15">
      <c r="A38" s="285"/>
      <c r="B38" s="48"/>
      <c r="C38" s="30" t="str">
        <f>IF(OR($A38="",NOT(ISNUMBER($A37))),"",-SUMIFS(Txn[Flow SGD],Txn[Date of transaction (YYYY-MM-DD)],"&gt;"&amp;$A37,Txn[Date of transaction (YYYY-MM-DD)],"&lt;="&amp;$A38))</f>
        <v/>
      </c>
      <c r="D38" s="112" t="str">
        <f t="shared" si="0"/>
        <v/>
      </c>
      <c r="E38" s="30" t="str">
        <f>IF($A38="","",SUMIFS(Txn[Dividend SGD],Txn[Date of transaction (YYYY-MM-DD)],"&lt;="&amp;$A38))</f>
        <v/>
      </c>
    </row>
    <row r="39" spans="1:5" ht="15" customHeight="1" x14ac:dyDescent="0.15">
      <c r="A39" s="285"/>
      <c r="B39" s="48"/>
      <c r="C39" s="30" t="str">
        <f>IF(OR($A39="",NOT(ISNUMBER($A38))),"",-SUMIFS(Txn[Flow SGD],Txn[Date of transaction (YYYY-MM-DD)],"&gt;"&amp;$A38,Txn[Date of transaction (YYYY-MM-DD)],"&lt;="&amp;$A39))</f>
        <v/>
      </c>
      <c r="D39" s="112" t="str">
        <f t="shared" si="0"/>
        <v/>
      </c>
      <c r="E39" s="30" t="str">
        <f>IF($A39="","",SUMIFS(Txn[Dividend SGD],Txn[Date of transaction (YYYY-MM-DD)],"&lt;="&amp;$A39))</f>
        <v/>
      </c>
    </row>
    <row r="40" spans="1:5" ht="15" customHeight="1" x14ac:dyDescent="0.15">
      <c r="A40" s="285"/>
      <c r="B40" s="48"/>
      <c r="C40" s="30" t="str">
        <f>IF(OR($A40="",NOT(ISNUMBER($A39))),"",-SUMIFS(Txn[Flow SGD],Txn[Date of transaction (YYYY-MM-DD)],"&gt;"&amp;$A39,Txn[Date of transaction (YYYY-MM-DD)],"&lt;="&amp;$A40))</f>
        <v/>
      </c>
      <c r="D40" s="112" t="str">
        <f t="shared" si="0"/>
        <v/>
      </c>
      <c r="E40" s="30" t="str">
        <f>IF($A40="","",SUMIFS(Txn[Dividend SGD],Txn[Date of transaction (YYYY-MM-DD)],"&lt;="&amp;$A40))</f>
        <v/>
      </c>
    </row>
    <row r="41" spans="1:5" ht="15" customHeight="1" x14ac:dyDescent="0.15">
      <c r="A41" s="285"/>
      <c r="B41" s="48"/>
      <c r="C41" s="30" t="str">
        <f>IF(OR($A41="",NOT(ISNUMBER($A40))),"",-SUMIFS(Txn[Flow SGD],Txn[Date of transaction (YYYY-MM-DD)],"&gt;"&amp;$A40,Txn[Date of transaction (YYYY-MM-DD)],"&lt;="&amp;$A41))</f>
        <v/>
      </c>
      <c r="D41" s="112" t="str">
        <f t="shared" ref="D41:D60" si="1">IF(OR($C41="",$B41="",$B40=""),"",IFERROR(($B41-$B40-$C41)/$B40,""))</f>
        <v/>
      </c>
      <c r="E41" s="30" t="str">
        <f>IF($A41="","",SUMIFS(Txn[Dividend SGD],Txn[Date of transaction (YYYY-MM-DD)],"&lt;="&amp;$A41))</f>
        <v/>
      </c>
    </row>
    <row r="42" spans="1:5" ht="15" customHeight="1" x14ac:dyDescent="0.15">
      <c r="A42" s="285"/>
      <c r="B42" s="48"/>
      <c r="C42" s="30" t="str">
        <f>IF(OR($A42="",NOT(ISNUMBER($A41))),"",-SUMIFS(Txn[Flow SGD],Txn[Date of transaction (YYYY-MM-DD)],"&gt;"&amp;$A41,Txn[Date of transaction (YYYY-MM-DD)],"&lt;="&amp;$A42))</f>
        <v/>
      </c>
      <c r="D42" s="112" t="str">
        <f t="shared" si="1"/>
        <v/>
      </c>
      <c r="E42" s="30" t="str">
        <f>IF($A42="","",SUMIFS(Txn[Dividend SGD],Txn[Date of transaction (YYYY-MM-DD)],"&lt;="&amp;$A42))</f>
        <v/>
      </c>
    </row>
    <row r="43" spans="1:5" ht="15" customHeight="1" x14ac:dyDescent="0.15">
      <c r="A43" s="285"/>
      <c r="B43" s="48"/>
      <c r="C43" s="30" t="str">
        <f>IF(OR($A43="",NOT(ISNUMBER($A42))),"",-SUMIFS(Txn[Flow SGD],Txn[Date of transaction (YYYY-MM-DD)],"&gt;"&amp;$A42,Txn[Date of transaction (YYYY-MM-DD)],"&lt;="&amp;$A43))</f>
        <v/>
      </c>
      <c r="D43" s="112" t="str">
        <f t="shared" si="1"/>
        <v/>
      </c>
      <c r="E43" s="30" t="str">
        <f>IF($A43="","",SUMIFS(Txn[Dividend SGD],Txn[Date of transaction (YYYY-MM-DD)],"&lt;="&amp;$A43))</f>
        <v/>
      </c>
    </row>
    <row r="44" spans="1:5" ht="15" customHeight="1" x14ac:dyDescent="0.15">
      <c r="A44" s="285"/>
      <c r="B44" s="48"/>
      <c r="C44" s="30" t="str">
        <f>IF(OR($A44="",NOT(ISNUMBER($A43))),"",-SUMIFS(Txn[Flow SGD],Txn[Date of transaction (YYYY-MM-DD)],"&gt;"&amp;$A43,Txn[Date of transaction (YYYY-MM-DD)],"&lt;="&amp;$A44))</f>
        <v/>
      </c>
      <c r="D44" s="112" t="str">
        <f t="shared" si="1"/>
        <v/>
      </c>
      <c r="E44" s="30" t="str">
        <f>IF($A44="","",SUMIFS(Txn[Dividend SGD],Txn[Date of transaction (YYYY-MM-DD)],"&lt;="&amp;$A44))</f>
        <v/>
      </c>
    </row>
    <row r="45" spans="1:5" ht="15" customHeight="1" x14ac:dyDescent="0.15">
      <c r="A45" s="285"/>
      <c r="B45" s="48"/>
      <c r="C45" s="30" t="str">
        <f>IF(OR($A45="",NOT(ISNUMBER($A44))),"",-SUMIFS(Txn[Flow SGD],Txn[Date of transaction (YYYY-MM-DD)],"&gt;"&amp;$A44,Txn[Date of transaction (YYYY-MM-DD)],"&lt;="&amp;$A45))</f>
        <v/>
      </c>
      <c r="D45" s="112" t="str">
        <f t="shared" si="1"/>
        <v/>
      </c>
      <c r="E45" s="30" t="str">
        <f>IF($A45="","",SUMIFS(Txn[Dividend SGD],Txn[Date of transaction (YYYY-MM-DD)],"&lt;="&amp;$A45))</f>
        <v/>
      </c>
    </row>
    <row r="46" spans="1:5" ht="15" customHeight="1" x14ac:dyDescent="0.15">
      <c r="A46" s="285"/>
      <c r="B46" s="48"/>
      <c r="C46" s="30" t="str">
        <f>IF(OR($A46="",NOT(ISNUMBER($A45))),"",-SUMIFS(Txn[Flow SGD],Txn[Date of transaction (YYYY-MM-DD)],"&gt;"&amp;$A45,Txn[Date of transaction (YYYY-MM-DD)],"&lt;="&amp;$A46))</f>
        <v/>
      </c>
      <c r="D46" s="112" t="str">
        <f t="shared" si="1"/>
        <v/>
      </c>
      <c r="E46" s="30" t="str">
        <f>IF($A46="","",SUMIFS(Txn[Dividend SGD],Txn[Date of transaction (YYYY-MM-DD)],"&lt;="&amp;$A46))</f>
        <v/>
      </c>
    </row>
    <row r="47" spans="1:5" ht="15" customHeight="1" x14ac:dyDescent="0.15">
      <c r="A47" s="285"/>
      <c r="B47" s="48"/>
      <c r="C47" s="30" t="str">
        <f>IF(OR($A47="",NOT(ISNUMBER($A46))),"",-SUMIFS(Txn[Flow SGD],Txn[Date of transaction (YYYY-MM-DD)],"&gt;"&amp;$A46,Txn[Date of transaction (YYYY-MM-DD)],"&lt;="&amp;$A47))</f>
        <v/>
      </c>
      <c r="D47" s="112" t="str">
        <f t="shared" si="1"/>
        <v/>
      </c>
      <c r="E47" s="30" t="str">
        <f>IF($A47="","",SUMIFS(Txn[Dividend SGD],Txn[Date of transaction (YYYY-MM-DD)],"&lt;="&amp;$A47))</f>
        <v/>
      </c>
    </row>
    <row r="48" spans="1:5" ht="15" customHeight="1" x14ac:dyDescent="0.15">
      <c r="A48" s="285"/>
      <c r="B48" s="48"/>
      <c r="C48" s="30" t="str">
        <f>IF(OR($A48="",NOT(ISNUMBER($A47))),"",-SUMIFS(Txn[Flow SGD],Txn[Date of transaction (YYYY-MM-DD)],"&gt;"&amp;$A47,Txn[Date of transaction (YYYY-MM-DD)],"&lt;="&amp;$A48))</f>
        <v/>
      </c>
      <c r="D48" s="112" t="str">
        <f t="shared" si="1"/>
        <v/>
      </c>
      <c r="E48" s="30" t="str">
        <f>IF($A48="","",SUMIFS(Txn[Dividend SGD],Txn[Date of transaction (YYYY-MM-DD)],"&lt;="&amp;$A48))</f>
        <v/>
      </c>
    </row>
    <row r="49" spans="1:5" ht="15" customHeight="1" x14ac:dyDescent="0.15">
      <c r="A49" s="285"/>
      <c r="B49" s="48"/>
      <c r="C49" s="30" t="str">
        <f>IF(OR($A49="",NOT(ISNUMBER($A48))),"",-SUMIFS(Txn[Flow SGD],Txn[Date of transaction (YYYY-MM-DD)],"&gt;"&amp;$A48,Txn[Date of transaction (YYYY-MM-DD)],"&lt;="&amp;$A49))</f>
        <v/>
      </c>
      <c r="D49" s="112" t="str">
        <f t="shared" si="1"/>
        <v/>
      </c>
      <c r="E49" s="30" t="str">
        <f>IF($A49="","",SUMIFS(Txn[Dividend SGD],Txn[Date of transaction (YYYY-MM-DD)],"&lt;="&amp;$A49))</f>
        <v/>
      </c>
    </row>
    <row r="50" spans="1:5" ht="15" customHeight="1" x14ac:dyDescent="0.15">
      <c r="A50" s="285"/>
      <c r="B50" s="48"/>
      <c r="C50" s="30" t="str">
        <f>IF(OR($A50="",NOT(ISNUMBER($A49))),"",-SUMIFS(Txn[Flow SGD],Txn[Date of transaction (YYYY-MM-DD)],"&gt;"&amp;$A49,Txn[Date of transaction (YYYY-MM-DD)],"&lt;="&amp;$A50))</f>
        <v/>
      </c>
      <c r="D50" s="112" t="str">
        <f t="shared" si="1"/>
        <v/>
      </c>
      <c r="E50" s="30" t="str">
        <f>IF($A50="","",SUMIFS(Txn[Dividend SGD],Txn[Date of transaction (YYYY-MM-DD)],"&lt;="&amp;$A50))</f>
        <v/>
      </c>
    </row>
    <row r="51" spans="1:5" ht="15" customHeight="1" x14ac:dyDescent="0.15">
      <c r="A51" s="285"/>
      <c r="B51" s="48"/>
      <c r="C51" s="30" t="str">
        <f>IF(OR($A51="",NOT(ISNUMBER($A50))),"",-SUMIFS(Txn[Flow SGD],Txn[Date of transaction (YYYY-MM-DD)],"&gt;"&amp;$A50,Txn[Date of transaction (YYYY-MM-DD)],"&lt;="&amp;$A51))</f>
        <v/>
      </c>
      <c r="D51" s="112" t="str">
        <f t="shared" si="1"/>
        <v/>
      </c>
      <c r="E51" s="30" t="str">
        <f>IF($A51="","",SUMIFS(Txn[Dividend SGD],Txn[Date of transaction (YYYY-MM-DD)],"&lt;="&amp;$A51))</f>
        <v/>
      </c>
    </row>
    <row r="52" spans="1:5" ht="15" customHeight="1" x14ac:dyDescent="0.15">
      <c r="A52" s="285"/>
      <c r="B52" s="48"/>
      <c r="C52" s="30" t="str">
        <f>IF(OR($A52="",NOT(ISNUMBER($A51))),"",-SUMIFS(Txn[Flow SGD],Txn[Date of transaction (YYYY-MM-DD)],"&gt;"&amp;$A51,Txn[Date of transaction (YYYY-MM-DD)],"&lt;="&amp;$A52))</f>
        <v/>
      </c>
      <c r="D52" s="112" t="str">
        <f t="shared" si="1"/>
        <v/>
      </c>
      <c r="E52" s="30" t="str">
        <f>IF($A52="","",SUMIFS(Txn[Dividend SGD],Txn[Date of transaction (YYYY-MM-DD)],"&lt;="&amp;$A52))</f>
        <v/>
      </c>
    </row>
    <row r="53" spans="1:5" ht="15" customHeight="1" x14ac:dyDescent="0.15">
      <c r="A53" s="285"/>
      <c r="B53" s="48"/>
      <c r="C53" s="30" t="str">
        <f>IF(OR($A53="",NOT(ISNUMBER($A52))),"",-SUMIFS(Txn[Flow SGD],Txn[Date of transaction (YYYY-MM-DD)],"&gt;"&amp;$A52,Txn[Date of transaction (YYYY-MM-DD)],"&lt;="&amp;$A53))</f>
        <v/>
      </c>
      <c r="D53" s="112" t="str">
        <f t="shared" si="1"/>
        <v/>
      </c>
      <c r="E53" s="30" t="str">
        <f>IF($A53="","",SUMIFS(Txn[Dividend SGD],Txn[Date of transaction (YYYY-MM-DD)],"&lt;="&amp;$A53))</f>
        <v/>
      </c>
    </row>
    <row r="54" spans="1:5" ht="15" customHeight="1" x14ac:dyDescent="0.15">
      <c r="A54" s="285"/>
      <c r="B54" s="48"/>
      <c r="C54" s="30" t="str">
        <f>IF(OR($A54="",NOT(ISNUMBER($A53))),"",-SUMIFS(Txn[Flow SGD],Txn[Date of transaction (YYYY-MM-DD)],"&gt;"&amp;$A53,Txn[Date of transaction (YYYY-MM-DD)],"&lt;="&amp;$A54))</f>
        <v/>
      </c>
      <c r="D54" s="112" t="str">
        <f t="shared" si="1"/>
        <v/>
      </c>
      <c r="E54" s="30" t="str">
        <f>IF($A54="","",SUMIFS(Txn[Dividend SGD],Txn[Date of transaction (YYYY-MM-DD)],"&lt;="&amp;$A54))</f>
        <v/>
      </c>
    </row>
    <row r="55" spans="1:5" ht="15" customHeight="1" x14ac:dyDescent="0.15">
      <c r="A55" s="285"/>
      <c r="B55" s="48"/>
      <c r="C55" s="30" t="str">
        <f>IF(OR($A55="",NOT(ISNUMBER($A54))),"",-SUMIFS(Txn[Flow SGD],Txn[Date of transaction (YYYY-MM-DD)],"&gt;"&amp;$A54,Txn[Date of transaction (YYYY-MM-DD)],"&lt;="&amp;$A55))</f>
        <v/>
      </c>
      <c r="D55" s="112" t="str">
        <f t="shared" si="1"/>
        <v/>
      </c>
      <c r="E55" s="30" t="str">
        <f>IF($A55="","",SUMIFS(Txn[Dividend SGD],Txn[Date of transaction (YYYY-MM-DD)],"&lt;="&amp;$A55))</f>
        <v/>
      </c>
    </row>
    <row r="56" spans="1:5" ht="15" customHeight="1" x14ac:dyDescent="0.15">
      <c r="A56" s="285"/>
      <c r="B56" s="48"/>
      <c r="C56" s="30" t="str">
        <f>IF(OR($A56="",NOT(ISNUMBER($A55))),"",-SUMIFS(Txn[Flow SGD],Txn[Date of transaction (YYYY-MM-DD)],"&gt;"&amp;$A55,Txn[Date of transaction (YYYY-MM-DD)],"&lt;="&amp;$A56))</f>
        <v/>
      </c>
      <c r="D56" s="112" t="str">
        <f t="shared" si="1"/>
        <v/>
      </c>
      <c r="E56" s="30" t="str">
        <f>IF($A56="","",SUMIFS(Txn[Dividend SGD],Txn[Date of transaction (YYYY-MM-DD)],"&lt;="&amp;$A56))</f>
        <v/>
      </c>
    </row>
    <row r="57" spans="1:5" ht="15" customHeight="1" x14ac:dyDescent="0.15">
      <c r="A57" s="285"/>
      <c r="B57" s="48"/>
      <c r="C57" s="30" t="str">
        <f>IF(OR($A57="",NOT(ISNUMBER($A56))),"",-SUMIFS(Txn[Flow SGD],Txn[Date of transaction (YYYY-MM-DD)],"&gt;"&amp;$A56,Txn[Date of transaction (YYYY-MM-DD)],"&lt;="&amp;$A57))</f>
        <v/>
      </c>
      <c r="D57" s="112" t="str">
        <f t="shared" si="1"/>
        <v/>
      </c>
      <c r="E57" s="30" t="str">
        <f>IF($A57="","",SUMIFS(Txn[Dividend SGD],Txn[Date of transaction (YYYY-MM-DD)],"&lt;="&amp;$A57))</f>
        <v/>
      </c>
    </row>
    <row r="58" spans="1:5" ht="15" customHeight="1" x14ac:dyDescent="0.15">
      <c r="A58" s="285"/>
      <c r="B58" s="48"/>
      <c r="C58" s="30" t="str">
        <f>IF(OR($A58="",NOT(ISNUMBER($A57))),"",-SUMIFS(Txn[Flow SGD],Txn[Date of transaction (YYYY-MM-DD)],"&gt;"&amp;$A57,Txn[Date of transaction (YYYY-MM-DD)],"&lt;="&amp;$A58))</f>
        <v/>
      </c>
      <c r="D58" s="112" t="str">
        <f t="shared" si="1"/>
        <v/>
      </c>
      <c r="E58" s="30" t="str">
        <f>IF($A58="","",SUMIFS(Txn[Dividend SGD],Txn[Date of transaction (YYYY-MM-DD)],"&lt;="&amp;$A58))</f>
        <v/>
      </c>
    </row>
    <row r="59" spans="1:5" ht="15" customHeight="1" x14ac:dyDescent="0.15">
      <c r="A59" s="285"/>
      <c r="B59" s="48"/>
      <c r="C59" s="30" t="str">
        <f>IF(OR($A59="",NOT(ISNUMBER($A58))),"",-SUMIFS(Txn[Flow SGD],Txn[Date of transaction (YYYY-MM-DD)],"&gt;"&amp;$A58,Txn[Date of transaction (YYYY-MM-DD)],"&lt;="&amp;$A59))</f>
        <v/>
      </c>
      <c r="D59" s="112" t="str">
        <f t="shared" si="1"/>
        <v/>
      </c>
      <c r="E59" s="30" t="str">
        <f>IF($A59="","",SUMIFS(Txn[Dividend SGD],Txn[Date of transaction (YYYY-MM-DD)],"&lt;="&amp;$A59))</f>
        <v/>
      </c>
    </row>
    <row r="60" spans="1:5" ht="15" customHeight="1" x14ac:dyDescent="0.15">
      <c r="A60" s="285"/>
      <c r="B60" s="48"/>
      <c r="C60" s="30" t="str">
        <f>IF(OR($A60="",NOT(ISNUMBER($A59))),"",-SUMIFS(Txn[Flow SGD],Txn[Date of transaction (YYYY-MM-DD)],"&gt;"&amp;$A59,Txn[Date of transaction (YYYY-MM-DD)],"&lt;="&amp;$A60))</f>
        <v/>
      </c>
      <c r="D60" s="112" t="str">
        <f t="shared" si="1"/>
        <v/>
      </c>
      <c r="E60" s="30"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W1001"/>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6" width="15" customWidth="1"/>
    <col min="18" max="19" width="16" customWidth="1"/>
    <col min="20" max="20" width="14" customWidth="1"/>
    <col min="21" max="21" width="16" customWidth="1"/>
    <col min="22" max="23" width="8" customWidth="1"/>
  </cols>
  <sheetData>
    <row r="1" spans="1:23" ht="15" customHeight="1" x14ac:dyDescent="0.15">
      <c r="A1" s="286" t="s">
        <v>395</v>
      </c>
      <c r="B1" s="286" t="s">
        <v>387</v>
      </c>
      <c r="C1" s="286" t="s">
        <v>388</v>
      </c>
      <c r="D1" s="286" t="s">
        <v>390</v>
      </c>
      <c r="E1" s="286" t="s">
        <v>496</v>
      </c>
      <c r="F1" s="286" t="s">
        <v>510</v>
      </c>
      <c r="G1" s="286" t="s">
        <v>511</v>
      </c>
      <c r="H1" s="286" t="s">
        <v>423</v>
      </c>
      <c r="I1" s="286" t="s">
        <v>424</v>
      </c>
      <c r="J1" s="286" t="s">
        <v>512</v>
      </c>
      <c r="K1" s="286" t="s">
        <v>513</v>
      </c>
      <c r="L1" s="286" t="s">
        <v>514</v>
      </c>
      <c r="M1" s="286" t="s">
        <v>515</v>
      </c>
      <c r="N1" s="286" t="s">
        <v>228</v>
      </c>
      <c r="O1" s="286" t="s">
        <v>473</v>
      </c>
      <c r="P1" s="286" t="s">
        <v>514</v>
      </c>
      <c r="R1" s="60" t="s">
        <v>516</v>
      </c>
    </row>
    <row r="2" spans="1:23" ht="15" customHeight="1" x14ac:dyDescent="0.2">
      <c r="A2" s="243" t="str">
        <f>IFERROR(INDEX('All Ticker P&amp;L'!$A$2:$A$1001,MATCH(ROWS($A$2:A2),'All Ticker P&amp;L'!$N$2:$N$1001,0)),"")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t="str">
        <f>IF($A2="","",IFERROR(INDEX(Prices[Category],MATCH($A2,Prices[Key],0)),"Uncategorized"))</f>
        <v>Gold &amp; Silver</v>
      </c>
      <c r="O2" s="291">
        <f t="shared" ref="O2:O65" si="7">IF($A2="","",$J2*$I2)</f>
        <v>78127</v>
      </c>
      <c r="P2" s="291">
        <f t="shared" ref="P2:P65" si="8">IF($A2="","",$L2)</f>
        <v>22627</v>
      </c>
      <c r="R2" s="60" t="s">
        <v>517</v>
      </c>
      <c r="S2" s="60" t="s">
        <v>518</v>
      </c>
      <c r="T2" s="60" t="s">
        <v>519</v>
      </c>
      <c r="U2" s="60" t="s">
        <v>520</v>
      </c>
      <c r="V2" s="60" t="s">
        <v>521</v>
      </c>
      <c r="W2" s="60" t="s">
        <v>522</v>
      </c>
    </row>
    <row r="3" spans="1:23" ht="15" customHeight="1" x14ac:dyDescent="0.2">
      <c r="A3" s="243" t="str">
        <f>IFERROR(INDEX('All Ticker P&amp;L'!$A$2:$A$1001,MATCH(ROWS($A$2:A3),'All Ticker P&amp;L'!$N$2:$N$1001,0)),"")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t="str">
        <f>IF($A3="","",IFERROR(INDEX(Prices[Category],MATCH($A3,Prices[Key],0)),"Uncategorized"))</f>
        <v>Reit/Dividend</v>
      </c>
      <c r="O3" s="291">
        <f t="shared" si="7"/>
        <v>11460</v>
      </c>
      <c r="P3" s="291">
        <f t="shared" si="8"/>
        <v>2135</v>
      </c>
      <c r="R3" t="s">
        <v>431</v>
      </c>
      <c r="S3" s="291">
        <f t="shared" ref="S3:S8" si="9">SUMIFS($O:$O,$N:$N,$R3)</f>
        <v>39594.911132508634</v>
      </c>
      <c r="T3" s="291">
        <f t="shared" ref="T3:T8" si="10">S3-U3</f>
        <v>27641.322782863186</v>
      </c>
      <c r="U3" s="291">
        <f t="shared" ref="U3:U8" si="11">SUMIFS($P:$P,$N:$N,$R3)</f>
        <v>11953.588349645448</v>
      </c>
      <c r="V3" s="292">
        <f t="shared" ref="V3:V9" si="12">IFERROR(U3/T3,"")</f>
        <v>0.43245355671098074</v>
      </c>
      <c r="W3" s="112">
        <f t="shared" ref="W3:W8" si="13">IFERROR(S3/$S$9,"")</f>
        <v>0.22261285304153278</v>
      </c>
    </row>
    <row r="4" spans="1:23" ht="15" customHeight="1" x14ac:dyDescent="0.2">
      <c r="A4" s="243" t="str">
        <f>IFERROR(INDEX('All Ticker P&amp;L'!$A$2:$A$1001,MATCH(ROWS($A$2:A4),'All Ticker P&amp;L'!$N$2:$N$1001,0)),"")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t="str">
        <f>IF($A4="","",IFERROR(INDEX(Prices[Category],MATCH($A4,Prices[Key],0)),"Uncategorized"))</f>
        <v>US/HK Growth</v>
      </c>
      <c r="O4" s="291">
        <f t="shared" si="7"/>
        <v>20684.929735879363</v>
      </c>
      <c r="P4" s="291">
        <f t="shared" si="8"/>
        <v>8907.4478675130504</v>
      </c>
      <c r="R4" t="s">
        <v>433</v>
      </c>
      <c r="S4" s="291">
        <f t="shared" si="9"/>
        <v>38740</v>
      </c>
      <c r="T4" s="291">
        <f t="shared" si="10"/>
        <v>37325</v>
      </c>
      <c r="U4" s="291">
        <f t="shared" si="11"/>
        <v>1415</v>
      </c>
      <c r="V4" s="292">
        <f t="shared" si="12"/>
        <v>3.7910247823174814E-2</v>
      </c>
      <c r="W4" s="112">
        <f t="shared" si="13"/>
        <v>0.2178063210690829</v>
      </c>
    </row>
    <row r="5" spans="1:23" ht="15" customHeight="1" x14ac:dyDescent="0.2">
      <c r="A5" s="243" t="str">
        <f>IFERROR(INDEX('All Ticker P&amp;L'!$A$2:$A$1001,MATCH(ROWS($A$2:A5),'All Ticker P&amp;L'!$N$2:$N$1001,0)),"")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t="str">
        <f>IF($A5="","",IFERROR(INDEX(Prices[Category],MATCH($A5,Prices[Key],0)),"Uncategorized"))</f>
        <v>Reit/Dividend</v>
      </c>
      <c r="O5" s="291">
        <f t="shared" si="7"/>
        <v>16320</v>
      </c>
      <c r="P5" s="291">
        <f t="shared" si="8"/>
        <v>170</v>
      </c>
      <c r="R5" t="s">
        <v>436</v>
      </c>
      <c r="S5" s="291">
        <f t="shared" si="9"/>
        <v>8149.9999999999991</v>
      </c>
      <c r="T5" s="291">
        <f t="shared" si="10"/>
        <v>7025</v>
      </c>
      <c r="U5" s="291">
        <f t="shared" si="11"/>
        <v>1124.9999999999991</v>
      </c>
      <c r="V5" s="292">
        <f t="shared" si="12"/>
        <v>0.16014234875444827</v>
      </c>
      <c r="W5" s="112">
        <f t="shared" si="13"/>
        <v>4.5821412408699677E-2</v>
      </c>
    </row>
    <row r="6" spans="1:23" ht="15" customHeight="1" x14ac:dyDescent="0.2">
      <c r="A6" s="243" t="str">
        <f>IFERROR(INDEX('All Ticker P&amp;L'!$A$2:$A$1001,MATCH(ROWS($A$2:A6),'All Ticker P&amp;L'!$N$2:$N$1001,0)),"")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t="str">
        <f>IF($A6="","",IFERROR(INDEX(Prices[Category],MATCH($A6,Prices[Key],0)),"Uncategorized"))</f>
        <v>Crypto</v>
      </c>
      <c r="O6" s="291">
        <f t="shared" si="7"/>
        <v>13252.53196468052</v>
      </c>
      <c r="P6" s="291">
        <f t="shared" si="8"/>
        <v>10860.836963969468</v>
      </c>
      <c r="R6" t="s">
        <v>523</v>
      </c>
      <c r="S6" s="291">
        <f t="shared" si="9"/>
        <v>0</v>
      </c>
      <c r="T6" s="291">
        <f t="shared" si="10"/>
        <v>0</v>
      </c>
      <c r="U6" s="291">
        <f t="shared" si="11"/>
        <v>0</v>
      </c>
      <c r="V6" s="292" t="str">
        <f t="shared" si="12"/>
        <v/>
      </c>
      <c r="W6" s="112">
        <f t="shared" si="13"/>
        <v>0</v>
      </c>
    </row>
    <row r="7" spans="1:23" ht="15" customHeight="1" x14ac:dyDescent="0.2">
      <c r="A7" s="243" t="str">
        <f>IFERROR(INDEX('All Ticker P&amp;L'!$A$2:$A$1001,MATCH(ROWS($A$2:A7),'All Ticker P&amp;L'!$N$2:$N$1001,0)),"")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t="str">
        <f>IF($A7="","",IFERROR(INDEX(Prices[Category],MATCH($A7,Prices[Key],0)),"Uncategorized"))</f>
        <v>US/HK Growth</v>
      </c>
      <c r="O7" s="291">
        <f t="shared" si="7"/>
        <v>8050.3932852926064</v>
      </c>
      <c r="P7" s="291">
        <f t="shared" si="8"/>
        <v>-1860.0662895964892</v>
      </c>
      <c r="R7" t="s">
        <v>429</v>
      </c>
      <c r="S7" s="291">
        <f t="shared" si="9"/>
        <v>13252.53196468052</v>
      </c>
      <c r="T7" s="291">
        <f t="shared" si="10"/>
        <v>2391.6950007110518</v>
      </c>
      <c r="U7" s="291">
        <f t="shared" si="11"/>
        <v>10860.836963969468</v>
      </c>
      <c r="V7" s="292">
        <f t="shared" si="12"/>
        <v>4.5410627027027015</v>
      </c>
      <c r="W7" s="112">
        <f t="shared" si="13"/>
        <v>7.4509169645779277E-2</v>
      </c>
    </row>
    <row r="8" spans="1:23" ht="15" customHeight="1" x14ac:dyDescent="0.2">
      <c r="A8" s="243" t="str">
        <f>IFERROR(INDEX('All Ticker P&amp;L'!$A$2:$A$1001,MATCH(ROWS($A$2:A8),'All Ticker P&amp;L'!$N$2:$N$1001,0)),"")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t="str">
        <f>IF($A8="","",IFERROR(INDEX(Prices[Category],MATCH($A8,Prices[Key],0)),"Uncategorized"))</f>
        <v>US/HK Growth</v>
      </c>
      <c r="O8" s="291">
        <f t="shared" si="7"/>
        <v>10859.588111336665</v>
      </c>
      <c r="P8" s="291">
        <f t="shared" si="8"/>
        <v>4906.2067717288865</v>
      </c>
      <c r="R8" t="s">
        <v>427</v>
      </c>
      <c r="S8" s="291">
        <f t="shared" si="9"/>
        <v>78127</v>
      </c>
      <c r="T8" s="291">
        <f t="shared" si="10"/>
        <v>55500</v>
      </c>
      <c r="U8" s="291">
        <f t="shared" si="11"/>
        <v>22627</v>
      </c>
      <c r="V8" s="292">
        <f t="shared" si="12"/>
        <v>0.40769369369369368</v>
      </c>
      <c r="W8" s="112">
        <f t="shared" si="13"/>
        <v>0.43925024383490552</v>
      </c>
    </row>
    <row r="9" spans="1:23" ht="15" customHeight="1" x14ac:dyDescent="0.2">
      <c r="A9" s="243" t="str">
        <f>IFERROR(INDEX('All Ticker P&amp;L'!$A$2:$A$1001,MATCH(ROWS($A$2:A9),'All Ticker P&amp;L'!$N$2:$N$1001,0)),"")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t="str">
        <f>IF($A9="","",IFERROR(INDEX(Prices[Category],MATCH($A9,Prices[Key],0)),"Uncategorized"))</f>
        <v>Reit/Dividend</v>
      </c>
      <c r="O9" s="291">
        <f t="shared" si="7"/>
        <v>10960</v>
      </c>
      <c r="P9" s="291">
        <f t="shared" si="8"/>
        <v>-890</v>
      </c>
      <c r="R9" s="60" t="s">
        <v>524</v>
      </c>
      <c r="S9" s="293">
        <f>SUM(S3:S8)</f>
        <v>177864.44309718913</v>
      </c>
      <c r="T9" s="293">
        <f>SUM(T3:T8)</f>
        <v>129883.01778357425</v>
      </c>
      <c r="U9" s="293">
        <f>SUM(U3:U8)</f>
        <v>47981.42531361492</v>
      </c>
      <c r="V9" s="294">
        <f t="shared" si="12"/>
        <v>0.36942031477561593</v>
      </c>
      <c r="W9" s="295">
        <v>1</v>
      </c>
    </row>
    <row r="10" spans="1:23" ht="15" customHeight="1" x14ac:dyDescent="0.2">
      <c r="A10" s="243" t="str">
        <f>IFERROR(INDEX('All Ticker P&amp;L'!$A$2:$A$1001,MATCH(ROWS($A$2:A10),'All Ticker P&amp;L'!$N$2:$N$1001,0)),"")</f>
        <v>SGX:CLR:SGD</v>
      </c>
      <c r="B10" s="243" t="str">
        <f t="shared" si="0"/>
        <v>SGX</v>
      </c>
      <c r="C10" s="243" t="str">
        <f t="shared" si="1"/>
        <v>CLR</v>
      </c>
      <c r="D10" s="243" t="str">
        <f t="shared" si="2"/>
        <v>SGD</v>
      </c>
      <c r="E10" s="265">
        <f>IF($A10="","",SUMIFS(Txn[Signed Units],Txn[Key],$A10))</f>
        <v>10000</v>
      </c>
      <c r="F10" s="287">
        <f>IF($A10="","",SUMIFS(Txn[Buy Cost],Txn[Key],$A10))</f>
        <v>7025</v>
      </c>
      <c r="G10" s="287">
        <f>IF($A10="","",SUMIFS(Txn[Sell Proceeds],Txn[Key],$A10))</f>
        <v>0</v>
      </c>
      <c r="H10" s="288">
        <f>IF($A10="","",IFERROR(INDEX(Prices[Current Price],MATCH($A10,Prices[Key],0)),0))</f>
        <v>0.81499999999999995</v>
      </c>
      <c r="I10" s="289">
        <f>IF($A10="","",IFERROR(INDEX(Prices[FX to SGD],MATCH($A10,Prices[Key],0)),1))</f>
        <v>1</v>
      </c>
      <c r="J10" s="287">
        <f t="shared" si="3"/>
        <v>8149.9999999999991</v>
      </c>
      <c r="K10" s="287">
        <f t="shared" si="4"/>
        <v>1124.9999999999991</v>
      </c>
      <c r="L10" s="287">
        <f t="shared" si="5"/>
        <v>1124.9999999999991</v>
      </c>
      <c r="M10" s="290">
        <f t="shared" si="6"/>
        <v>0.16014234875444827</v>
      </c>
      <c r="N10" t="str">
        <f>IF($A10="","",IFERROR(INDEX(Prices[Category],MATCH($A10,Prices[Key],0)),"Uncategorized"))</f>
        <v>Small Cap</v>
      </c>
      <c r="O10" s="291">
        <f t="shared" si="7"/>
        <v>8149.9999999999991</v>
      </c>
      <c r="P10" s="291">
        <f t="shared" si="8"/>
        <v>1124.9999999999991</v>
      </c>
    </row>
    <row r="11" spans="1:23" ht="15" customHeight="1" x14ac:dyDescent="0.2">
      <c r="A11" s="243" t="str">
        <f>IFERROR(INDEX('All Ticker P&amp;L'!$A$2:$A$1001,MATCH(ROWS($A$2:A11),'All Ticker P&amp;L'!$N$2:$N$1001,0)),"")</f>
        <v/>
      </c>
      <c r="B11" s="243" t="str">
        <f t="shared" si="0"/>
        <v/>
      </c>
      <c r="C11" s="243" t="str">
        <f t="shared" si="1"/>
        <v/>
      </c>
      <c r="D11" s="243" t="str">
        <f t="shared" si="2"/>
        <v/>
      </c>
      <c r="E11" s="265" t="str">
        <f>IF($A11="","",SUMIFS(Txn[Signed Units],Txn[Key],$A11))</f>
        <v/>
      </c>
      <c r="F11" s="287" t="str">
        <f>IF($A11="","",SUMIFS(Txn[Buy Cost],Txn[Key],$A11))</f>
        <v/>
      </c>
      <c r="G11" s="287" t="str">
        <f>IF($A11="","",SUMIFS(Txn[Sell Proceeds],Txn[Key],$A11))</f>
        <v/>
      </c>
      <c r="H11" s="288" t="str">
        <f>IF($A11="","",IFERROR(INDEX(Prices[Current Price],MATCH($A11,Prices[Key],0)),0))</f>
        <v/>
      </c>
      <c r="I11" s="289" t="str">
        <f>IF($A11="","",IFERROR(INDEX(Prices[FX to SGD],MATCH($A11,Prices[Key],0)),1))</f>
        <v/>
      </c>
      <c r="J11" s="287" t="str">
        <f t="shared" si="3"/>
        <v/>
      </c>
      <c r="K11" s="287" t="str">
        <f t="shared" si="4"/>
        <v/>
      </c>
      <c r="L11" s="287" t="str">
        <f t="shared" si="5"/>
        <v/>
      </c>
      <c r="M11" s="290" t="str">
        <f t="shared" si="6"/>
        <v/>
      </c>
      <c r="N11" t="str">
        <f>IF($A11="","",IFERROR(INDEX(Prices[Category],MATCH($A11,Prices[Key],0)),"Uncategorized"))</f>
        <v/>
      </c>
      <c r="O11" s="291" t="str">
        <f t="shared" si="7"/>
        <v/>
      </c>
      <c r="P11" s="291" t="str">
        <f t="shared" si="8"/>
        <v/>
      </c>
      <c r="R11" t="s">
        <v>525</v>
      </c>
    </row>
    <row r="12" spans="1:23" ht="15" customHeight="1" x14ac:dyDescent="0.2">
      <c r="A12" s="243" t="str">
        <f>IFERROR(INDEX('All Ticker P&amp;L'!$A$2:$A$1001,MATCH(ROWS($A$2:A12),'All Ticker P&amp;L'!$N$2:$N$1001,0)),"")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t="str">
        <f>IF($A12="","",IFERROR(INDEX(Prices[Category],MATCH($A12,Prices[Key],0)),"Uncategorized"))</f>
        <v/>
      </c>
      <c r="O12" s="291" t="str">
        <f t="shared" si="7"/>
        <v/>
      </c>
      <c r="P12" s="291" t="str">
        <f t="shared" si="8"/>
        <v/>
      </c>
      <c r="R12" t="s">
        <v>526</v>
      </c>
    </row>
    <row r="13" spans="1:23" ht="15" customHeight="1" x14ac:dyDescent="0.2">
      <c r="A13" s="243" t="str">
        <f>IFERROR(INDEX('All Ticker P&amp;L'!$A$2:$A$1001,MATCH(ROWS($A$2:A13),'All Ticker P&amp;L'!$N$2:$N$1001,0)),"")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t="str">
        <f>IF($A13="","",IFERROR(INDEX(Prices[Category],MATCH($A13,Prices[Key],0)),"Uncategorized"))</f>
        <v/>
      </c>
      <c r="O13" s="291" t="str">
        <f t="shared" si="7"/>
        <v/>
      </c>
      <c r="P13" s="291" t="str">
        <f t="shared" si="8"/>
        <v/>
      </c>
      <c r="R13" t="s">
        <v>527</v>
      </c>
    </row>
    <row r="14" spans="1:23" ht="15" customHeight="1" x14ac:dyDescent="0.2">
      <c r="A14" s="243" t="str">
        <f>IFERROR(INDEX('All Ticker P&amp;L'!$A$2:$A$1001,MATCH(ROWS($A$2:A14),'All Ticker P&amp;L'!$N$2:$N$1001,0)),"")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t="str">
        <f>IF($A14="","",IFERROR(INDEX(Prices[Category],MATCH($A14,Prices[Key],0)),"Uncategorized"))</f>
        <v/>
      </c>
      <c r="O14" s="291" t="str">
        <f t="shared" si="7"/>
        <v/>
      </c>
      <c r="P14" s="291" t="str">
        <f t="shared" si="8"/>
        <v/>
      </c>
    </row>
    <row r="15" spans="1:23" ht="15" customHeight="1" x14ac:dyDescent="0.2">
      <c r="A15" s="243" t="str">
        <f>IFERROR(INDEX('All Ticker P&amp;L'!$A$2:$A$1001,MATCH(ROWS($A$2:A15),'All Ticker P&amp;L'!$N$2:$N$1001,0)),"")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t="str">
        <f>IF($A15="","",IFERROR(INDEX(Prices[Category],MATCH($A15,Prices[Key],0)),"Uncategorized"))</f>
        <v/>
      </c>
      <c r="O15" s="291" t="str">
        <f t="shared" si="7"/>
        <v/>
      </c>
      <c r="P15" s="291" t="str">
        <f t="shared" si="8"/>
        <v/>
      </c>
    </row>
    <row r="16" spans="1:23" ht="15" customHeight="1" x14ac:dyDescent="0.2">
      <c r="A16" s="243" t="str">
        <f>IFERROR(INDEX('All Ticker P&amp;L'!$A$2:$A$1001,MATCH(ROWS($A$2:A16),'All Ticker P&amp;L'!$N$2:$N$1001,0)),"")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t="str">
        <f>IF($A16="","",IFERROR(INDEX(Prices[Category],MATCH($A16,Prices[Key],0)),"Uncategorized"))</f>
        <v/>
      </c>
      <c r="O16" s="291" t="str">
        <f t="shared" si="7"/>
        <v/>
      </c>
      <c r="P16" s="291" t="str">
        <f t="shared" si="8"/>
        <v/>
      </c>
    </row>
    <row r="17" spans="1:16" ht="15" customHeight="1" x14ac:dyDescent="0.2">
      <c r="A17" s="243" t="str">
        <f>IFERROR(INDEX('All Ticker P&amp;L'!$A$2:$A$1001,MATCH(ROWS($A$2:A17),'All Ticker P&amp;L'!$N$2:$N$1001,0)),"")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t="str">
        <f>IF($A17="","",IFERROR(INDEX(Prices[Category],MATCH($A17,Prices[Key],0)),"Uncategorized"))</f>
        <v/>
      </c>
      <c r="O17" s="291" t="str">
        <f t="shared" si="7"/>
        <v/>
      </c>
      <c r="P17" s="291" t="str">
        <f t="shared" si="8"/>
        <v/>
      </c>
    </row>
    <row r="18" spans="1:16" ht="15" customHeight="1" x14ac:dyDescent="0.2">
      <c r="A18" s="243" t="str">
        <f>IFERROR(INDEX('All Ticker P&amp;L'!$A$2:$A$1001,MATCH(ROWS($A$2:A18),'All Ticker P&amp;L'!$N$2:$N$1001,0)),"")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t="str">
        <f>IF($A18="","",IFERROR(INDEX(Prices[Category],MATCH($A18,Prices[Key],0)),"Uncategorized"))</f>
        <v/>
      </c>
      <c r="O18" s="291" t="str">
        <f t="shared" si="7"/>
        <v/>
      </c>
      <c r="P18" s="291" t="str">
        <f t="shared" si="8"/>
        <v/>
      </c>
    </row>
    <row r="19" spans="1:16" ht="15" customHeight="1" x14ac:dyDescent="0.2">
      <c r="A19" s="243" t="str">
        <f>IFERROR(INDEX('All Ticker P&amp;L'!$A$2:$A$1001,MATCH(ROWS($A$2:A19),'All Ticker P&amp;L'!$N$2:$N$1001,0)),"")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t="str">
        <f>IF($A19="","",IFERROR(INDEX(Prices[Category],MATCH($A19,Prices[Key],0)),"Uncategorized"))</f>
        <v/>
      </c>
      <c r="O19" s="291" t="str">
        <f t="shared" si="7"/>
        <v/>
      </c>
      <c r="P19" s="291" t="str">
        <f t="shared" si="8"/>
        <v/>
      </c>
    </row>
    <row r="20" spans="1:16" ht="15" customHeight="1" x14ac:dyDescent="0.2">
      <c r="A20" s="243" t="str">
        <f>IFERROR(INDEX('All Ticker P&amp;L'!$A$2:$A$1001,MATCH(ROWS($A$2:A20),'All Ticker P&amp;L'!$N$2:$N$1001,0)),"")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t="str">
        <f>IF($A20="","",IFERROR(INDEX(Prices[Category],MATCH($A20,Prices[Key],0)),"Uncategorized"))</f>
        <v/>
      </c>
      <c r="O20" s="291" t="str">
        <f t="shared" si="7"/>
        <v/>
      </c>
      <c r="P20" s="291" t="str">
        <f t="shared" si="8"/>
        <v/>
      </c>
    </row>
    <row r="21" spans="1:16" ht="15" customHeight="1" x14ac:dyDescent="0.2">
      <c r="A21" s="243" t="str">
        <f>IFERROR(INDEX('All Ticker P&amp;L'!$A$2:$A$1001,MATCH(ROWS($A$2:A21),'All Ticker P&amp;L'!$N$2:$N$1001,0)),"")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t="str">
        <f>IF($A21="","",IFERROR(INDEX(Prices[Category],MATCH($A21,Prices[Key],0)),"Uncategorized"))</f>
        <v/>
      </c>
      <c r="O21" s="291" t="str">
        <f t="shared" si="7"/>
        <v/>
      </c>
      <c r="P21" s="291" t="str">
        <f t="shared" si="8"/>
        <v/>
      </c>
    </row>
    <row r="22" spans="1:16" ht="15" customHeight="1" x14ac:dyDescent="0.2">
      <c r="A22" s="243" t="str">
        <f>IFERROR(INDEX('All Ticker P&amp;L'!$A$2:$A$1001,MATCH(ROWS($A$2:A22),'All Ticker P&amp;L'!$N$2:$N$1001,0)),"")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t="str">
        <f>IF($A22="","",IFERROR(INDEX(Prices[Category],MATCH($A22,Prices[Key],0)),"Uncategorized"))</f>
        <v/>
      </c>
      <c r="O22" s="291" t="str">
        <f t="shared" si="7"/>
        <v/>
      </c>
      <c r="P22" s="291" t="str">
        <f t="shared" si="8"/>
        <v/>
      </c>
    </row>
    <row r="23" spans="1:16" ht="15" customHeight="1" x14ac:dyDescent="0.2">
      <c r="A23" s="243" t="str">
        <f>IFERROR(INDEX('All Ticker P&amp;L'!$A$2:$A$1001,MATCH(ROWS($A$2:A23),'All Ticker P&amp;L'!$N$2:$N$1001,0)),"")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t="str">
        <f>IF($A23="","",IFERROR(INDEX(Prices[Category],MATCH($A23,Prices[Key],0)),"Uncategorized"))</f>
        <v/>
      </c>
      <c r="O23" s="291" t="str">
        <f t="shared" si="7"/>
        <v/>
      </c>
      <c r="P23" s="291" t="str">
        <f t="shared" si="8"/>
        <v/>
      </c>
    </row>
    <row r="24" spans="1:16" ht="15" customHeight="1" x14ac:dyDescent="0.2">
      <c r="A24" s="243" t="str">
        <f>IFERROR(INDEX('All Ticker P&amp;L'!$A$2:$A$1001,MATCH(ROWS($A$2:A24),'All Ticker P&amp;L'!$N$2:$N$1001,0)),"")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t="str">
        <f>IF($A24="","",IFERROR(INDEX(Prices[Category],MATCH($A24,Prices[Key],0)),"Uncategorized"))</f>
        <v/>
      </c>
      <c r="O24" s="291" t="str">
        <f t="shared" si="7"/>
        <v/>
      </c>
      <c r="P24" s="291" t="str">
        <f t="shared" si="8"/>
        <v/>
      </c>
    </row>
    <row r="25" spans="1:16" ht="15" customHeight="1" x14ac:dyDescent="0.2">
      <c r="A25" s="243" t="str">
        <f>IFERROR(INDEX('All Ticker P&amp;L'!$A$2:$A$1001,MATCH(ROWS($A$2:A25),'All Ticker P&amp;L'!$N$2:$N$1001,0)),"")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t="str">
        <f>IF($A25="","",IFERROR(INDEX(Prices[Category],MATCH($A25,Prices[Key],0)),"Uncategorized"))</f>
        <v/>
      </c>
      <c r="O25" s="291" t="str">
        <f t="shared" si="7"/>
        <v/>
      </c>
      <c r="P25" s="291" t="str">
        <f t="shared" si="8"/>
        <v/>
      </c>
    </row>
    <row r="26" spans="1:16" ht="15" customHeight="1" x14ac:dyDescent="0.2">
      <c r="A26" s="243" t="str">
        <f>IFERROR(INDEX('All Ticker P&amp;L'!$A$2:$A$1001,MATCH(ROWS($A$2:A26),'All Ticker P&amp;L'!$N$2:$N$1001,0)),"")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t="str">
        <f>IF($A26="","",IFERROR(INDEX(Prices[Category],MATCH($A26,Prices[Key],0)),"Uncategorized"))</f>
        <v/>
      </c>
      <c r="O26" s="291" t="str">
        <f t="shared" si="7"/>
        <v/>
      </c>
      <c r="P26" s="291" t="str">
        <f t="shared" si="8"/>
        <v/>
      </c>
    </row>
    <row r="27" spans="1:16" ht="15" customHeight="1" x14ac:dyDescent="0.2">
      <c r="A27" s="243" t="str">
        <f>IFERROR(INDEX('All Ticker P&amp;L'!$A$2:$A$1001,MATCH(ROWS($A$2:A27),'All Ticker P&amp;L'!$N$2:$N$1001,0)),"")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t="str">
        <f>IF($A27="","",IFERROR(INDEX(Prices[Category],MATCH($A27,Prices[Key],0)),"Uncategorized"))</f>
        <v/>
      </c>
      <c r="O27" s="291" t="str">
        <f t="shared" si="7"/>
        <v/>
      </c>
      <c r="P27" s="291" t="str">
        <f t="shared" si="8"/>
        <v/>
      </c>
    </row>
    <row r="28" spans="1:16" ht="15" customHeight="1" x14ac:dyDescent="0.2">
      <c r="A28" s="243" t="str">
        <f>IFERROR(INDEX('All Ticker P&amp;L'!$A$2:$A$1001,MATCH(ROWS($A$2:A28),'All Ticker P&amp;L'!$N$2:$N$1001,0)),"")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t="str">
        <f>IF($A28="","",IFERROR(INDEX(Prices[Category],MATCH($A28,Prices[Key],0)),"Uncategorized"))</f>
        <v/>
      </c>
      <c r="O28" s="291" t="str">
        <f t="shared" si="7"/>
        <v/>
      </c>
      <c r="P28" s="291" t="str">
        <f t="shared" si="8"/>
        <v/>
      </c>
    </row>
    <row r="29" spans="1:16" ht="15" customHeight="1" x14ac:dyDescent="0.2">
      <c r="A29" s="243" t="str">
        <f>IFERROR(INDEX('All Ticker P&amp;L'!$A$2:$A$1001,MATCH(ROWS($A$2:A29),'All Ticker P&amp;L'!$N$2:$N$1001,0)),"")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t="str">
        <f>IF($A29="","",IFERROR(INDEX(Prices[Category],MATCH($A29,Prices[Key],0)),"Uncategorized"))</f>
        <v/>
      </c>
      <c r="O29" s="291" t="str">
        <f t="shared" si="7"/>
        <v/>
      </c>
      <c r="P29" s="291" t="str">
        <f t="shared" si="8"/>
        <v/>
      </c>
    </row>
    <row r="30" spans="1:16" ht="15" customHeight="1" x14ac:dyDescent="0.2">
      <c r="A30" s="243" t="str">
        <f>IFERROR(INDEX('All Ticker P&amp;L'!$A$2:$A$1001,MATCH(ROWS($A$2:A30),'All Ticker P&amp;L'!$N$2:$N$1001,0)),"")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t="str">
        <f>IF($A30="","",IFERROR(INDEX(Prices[Category],MATCH($A30,Prices[Key],0)),"Uncategorized"))</f>
        <v/>
      </c>
      <c r="O30" s="291" t="str">
        <f t="shared" si="7"/>
        <v/>
      </c>
      <c r="P30" s="291" t="str">
        <f t="shared" si="8"/>
        <v/>
      </c>
    </row>
    <row r="31" spans="1:16" ht="15" customHeight="1" x14ac:dyDescent="0.2">
      <c r="A31" s="243" t="str">
        <f>IFERROR(INDEX('All Ticker P&amp;L'!$A$2:$A$1001,MATCH(ROWS($A$2:A31),'All Ticker P&amp;L'!$N$2:$N$1001,0)),"")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t="str">
        <f>IF($A31="","",IFERROR(INDEX(Prices[Category],MATCH($A31,Prices[Key],0)),"Uncategorized"))</f>
        <v/>
      </c>
      <c r="O31" s="291" t="str">
        <f t="shared" si="7"/>
        <v/>
      </c>
      <c r="P31" s="291" t="str">
        <f t="shared" si="8"/>
        <v/>
      </c>
    </row>
    <row r="32" spans="1:16" ht="15" customHeight="1" x14ac:dyDescent="0.2">
      <c r="A32" s="243" t="str">
        <f>IFERROR(INDEX('All Ticker P&amp;L'!$A$2:$A$1001,MATCH(ROWS($A$2:A32),'All Ticker P&amp;L'!$N$2:$N$1001,0)),"")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t="str">
        <f>IF($A32="","",IFERROR(INDEX(Prices[Category],MATCH($A32,Prices[Key],0)),"Uncategorized"))</f>
        <v/>
      </c>
      <c r="O32" s="291" t="str">
        <f t="shared" si="7"/>
        <v/>
      </c>
      <c r="P32" s="291" t="str">
        <f t="shared" si="8"/>
        <v/>
      </c>
    </row>
    <row r="33" spans="1:16" ht="15" customHeight="1" x14ac:dyDescent="0.2">
      <c r="A33" s="243" t="str">
        <f>IFERROR(INDEX('All Ticker P&amp;L'!$A$2:$A$1001,MATCH(ROWS($A$2:A33),'All Ticker P&amp;L'!$N$2:$N$1001,0)),"")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t="str">
        <f>IF($A33="","",IFERROR(INDEX(Prices[Category],MATCH($A33,Prices[Key],0)),"Uncategorized"))</f>
        <v/>
      </c>
      <c r="O33" s="291" t="str">
        <f t="shared" si="7"/>
        <v/>
      </c>
      <c r="P33" s="291" t="str">
        <f t="shared" si="8"/>
        <v/>
      </c>
    </row>
    <row r="34" spans="1:16" ht="15" customHeight="1" x14ac:dyDescent="0.2">
      <c r="A34" s="243" t="str">
        <f>IFERROR(INDEX('All Ticker P&amp;L'!$A$2:$A$1001,MATCH(ROWS($A$2:A34),'All Ticker P&amp;L'!$N$2:$N$1001,0)),"")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t="str">
        <f>IF($A34="","",IFERROR(INDEX(Prices[Category],MATCH($A34,Prices[Key],0)),"Uncategorized"))</f>
        <v/>
      </c>
      <c r="O34" s="291" t="str">
        <f t="shared" si="7"/>
        <v/>
      </c>
      <c r="P34" s="291" t="str">
        <f t="shared" si="8"/>
        <v/>
      </c>
    </row>
    <row r="35" spans="1:16" ht="15" customHeight="1" x14ac:dyDescent="0.2">
      <c r="A35" s="243" t="str">
        <f>IFERROR(INDEX('All Ticker P&amp;L'!$A$2:$A$1001,MATCH(ROWS($A$2:A35),'All Ticker P&amp;L'!$N$2:$N$1001,0)),"")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t="str">
        <f>IF($A35="","",IFERROR(INDEX(Prices[Category],MATCH($A35,Prices[Key],0)),"Uncategorized"))</f>
        <v/>
      </c>
      <c r="O35" s="291" t="str">
        <f t="shared" si="7"/>
        <v/>
      </c>
      <c r="P35" s="291" t="str">
        <f t="shared" si="8"/>
        <v/>
      </c>
    </row>
    <row r="36" spans="1:16" ht="15" customHeight="1" x14ac:dyDescent="0.2">
      <c r="A36" s="243" t="str">
        <f>IFERROR(INDEX('All Ticker P&amp;L'!$A$2:$A$1001,MATCH(ROWS($A$2:A36),'All Ticker P&amp;L'!$N$2:$N$1001,0)),"")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t="str">
        <f>IF($A36="","",IFERROR(INDEX(Prices[Category],MATCH($A36,Prices[Key],0)),"Uncategorized"))</f>
        <v/>
      </c>
      <c r="O36" s="291" t="str">
        <f t="shared" si="7"/>
        <v/>
      </c>
      <c r="P36" s="291" t="str">
        <f t="shared" si="8"/>
        <v/>
      </c>
    </row>
    <row r="37" spans="1:16" ht="15" customHeight="1" x14ac:dyDescent="0.2">
      <c r="A37" s="243" t="str">
        <f>IFERROR(INDEX('All Ticker P&amp;L'!$A$2:$A$1001,MATCH(ROWS($A$2:A37),'All Ticker P&amp;L'!$N$2:$N$1001,0)),"")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t="str">
        <f>IF($A37="","",IFERROR(INDEX(Prices[Category],MATCH($A37,Prices[Key],0)),"Uncategorized"))</f>
        <v/>
      </c>
      <c r="O37" s="291" t="str">
        <f t="shared" si="7"/>
        <v/>
      </c>
      <c r="P37" s="291" t="str">
        <f t="shared" si="8"/>
        <v/>
      </c>
    </row>
    <row r="38" spans="1:16" ht="15" customHeight="1" x14ac:dyDescent="0.2">
      <c r="A38" s="243" t="str">
        <f>IFERROR(INDEX('All Ticker P&amp;L'!$A$2:$A$1001,MATCH(ROWS($A$2:A38),'All Ticker P&amp;L'!$N$2:$N$1001,0)),"")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t="str">
        <f>IF($A38="","",IFERROR(INDEX(Prices[Category],MATCH($A38,Prices[Key],0)),"Uncategorized"))</f>
        <v/>
      </c>
      <c r="O38" s="291" t="str">
        <f t="shared" si="7"/>
        <v/>
      </c>
      <c r="P38" s="291" t="str">
        <f t="shared" si="8"/>
        <v/>
      </c>
    </row>
    <row r="39" spans="1:16" ht="15" customHeight="1" x14ac:dyDescent="0.2">
      <c r="A39" s="243" t="str">
        <f>IFERROR(INDEX('All Ticker P&amp;L'!$A$2:$A$1001,MATCH(ROWS($A$2:A39),'All Ticker P&amp;L'!$N$2:$N$1001,0)),"")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t="str">
        <f>IF($A39="","",IFERROR(INDEX(Prices[Category],MATCH($A39,Prices[Key],0)),"Uncategorized"))</f>
        <v/>
      </c>
      <c r="O39" s="291" t="str">
        <f t="shared" si="7"/>
        <v/>
      </c>
      <c r="P39" s="291" t="str">
        <f t="shared" si="8"/>
        <v/>
      </c>
    </row>
    <row r="40" spans="1:16" ht="15" customHeight="1" x14ac:dyDescent="0.2">
      <c r="A40" s="243" t="str">
        <f>IFERROR(INDEX('All Ticker P&amp;L'!$A$2:$A$1001,MATCH(ROWS($A$2:A40),'All Ticker P&amp;L'!$N$2:$N$1001,0)),"")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t="str">
        <f>IF($A40="","",IFERROR(INDEX(Prices[Category],MATCH($A40,Prices[Key],0)),"Uncategorized"))</f>
        <v/>
      </c>
      <c r="O40" s="291" t="str">
        <f t="shared" si="7"/>
        <v/>
      </c>
      <c r="P40" s="291" t="str">
        <f t="shared" si="8"/>
        <v/>
      </c>
    </row>
    <row r="41" spans="1:16" ht="15" customHeight="1" x14ac:dyDescent="0.2">
      <c r="A41" s="243" t="str">
        <f>IFERROR(INDEX('All Ticker P&amp;L'!$A$2:$A$1001,MATCH(ROWS($A$2:A41),'All Ticker P&amp;L'!$N$2:$N$1001,0)),"")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t="str">
        <f>IF($A41="","",IFERROR(INDEX(Prices[Category],MATCH($A41,Prices[Key],0)),"Uncategorized"))</f>
        <v/>
      </c>
      <c r="O41" s="291" t="str">
        <f t="shared" si="7"/>
        <v/>
      </c>
      <c r="P41" s="291" t="str">
        <f t="shared" si="8"/>
        <v/>
      </c>
    </row>
    <row r="42" spans="1:16" ht="15" customHeight="1" x14ac:dyDescent="0.2">
      <c r="A42" s="243" t="str">
        <f>IFERROR(INDEX('All Ticker P&amp;L'!$A$2:$A$1001,MATCH(ROWS($A$2:A42),'All Ticker P&amp;L'!$N$2:$N$1001,0)),"")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t="str">
        <f>IF($A42="","",IFERROR(INDEX(Prices[Category],MATCH($A42,Prices[Key],0)),"Uncategorized"))</f>
        <v/>
      </c>
      <c r="O42" s="291" t="str">
        <f t="shared" si="7"/>
        <v/>
      </c>
      <c r="P42" s="291" t="str">
        <f t="shared" si="8"/>
        <v/>
      </c>
    </row>
    <row r="43" spans="1:16" ht="15" customHeight="1" x14ac:dyDescent="0.2">
      <c r="A43" s="243" t="str">
        <f>IFERROR(INDEX('All Ticker P&amp;L'!$A$2:$A$1001,MATCH(ROWS($A$2:A43),'All Ticker P&amp;L'!$N$2:$N$1001,0)),"")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t="str">
        <f>IF($A43="","",IFERROR(INDEX(Prices[Category],MATCH($A43,Prices[Key],0)),"Uncategorized"))</f>
        <v/>
      </c>
      <c r="O43" s="291" t="str">
        <f t="shared" si="7"/>
        <v/>
      </c>
      <c r="P43" s="291" t="str">
        <f t="shared" si="8"/>
        <v/>
      </c>
    </row>
    <row r="44" spans="1:16" ht="15" customHeight="1" x14ac:dyDescent="0.2">
      <c r="A44" s="243" t="str">
        <f>IFERROR(INDEX('All Ticker P&amp;L'!$A$2:$A$1001,MATCH(ROWS($A$2:A44),'All Ticker P&amp;L'!$N$2:$N$1001,0)),"")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t="str">
        <f>IF($A44="","",IFERROR(INDEX(Prices[Category],MATCH($A44,Prices[Key],0)),"Uncategorized"))</f>
        <v/>
      </c>
      <c r="O44" s="291" t="str">
        <f t="shared" si="7"/>
        <v/>
      </c>
      <c r="P44" s="291" t="str">
        <f t="shared" si="8"/>
        <v/>
      </c>
    </row>
    <row r="45" spans="1:16" ht="15" customHeight="1" x14ac:dyDescent="0.2">
      <c r="A45" s="243" t="str">
        <f>IFERROR(INDEX('All Ticker P&amp;L'!$A$2:$A$1001,MATCH(ROWS($A$2:A45),'All Ticker P&amp;L'!$N$2:$N$1001,0)),"")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t="str">
        <f>IF($A45="","",IFERROR(INDEX(Prices[Category],MATCH($A45,Prices[Key],0)),"Uncategorized"))</f>
        <v/>
      </c>
      <c r="O45" s="291" t="str">
        <f t="shared" si="7"/>
        <v/>
      </c>
      <c r="P45" s="291" t="str">
        <f t="shared" si="8"/>
        <v/>
      </c>
    </row>
    <row r="46" spans="1:16" ht="15" customHeight="1" x14ac:dyDescent="0.2">
      <c r="A46" s="243" t="str">
        <f>IFERROR(INDEX('All Ticker P&amp;L'!$A$2:$A$1001,MATCH(ROWS($A$2:A46),'All Ticker P&amp;L'!$N$2:$N$1001,0)),"")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t="str">
        <f>IF($A46="","",IFERROR(INDEX(Prices[Category],MATCH($A46,Prices[Key],0)),"Uncategorized"))</f>
        <v/>
      </c>
      <c r="O46" s="291" t="str">
        <f t="shared" si="7"/>
        <v/>
      </c>
      <c r="P46" s="291" t="str">
        <f t="shared" si="8"/>
        <v/>
      </c>
    </row>
    <row r="47" spans="1:16" ht="15" customHeight="1" x14ac:dyDescent="0.2">
      <c r="A47" s="243" t="str">
        <f>IFERROR(INDEX('All Ticker P&amp;L'!$A$2:$A$1001,MATCH(ROWS($A$2:A47),'All Ticker P&amp;L'!$N$2:$N$1001,0)),"")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t="str">
        <f>IF($A47="","",IFERROR(INDEX(Prices[Category],MATCH($A47,Prices[Key],0)),"Uncategorized"))</f>
        <v/>
      </c>
      <c r="O47" s="291" t="str">
        <f t="shared" si="7"/>
        <v/>
      </c>
      <c r="P47" s="291" t="str">
        <f t="shared" si="8"/>
        <v/>
      </c>
    </row>
    <row r="48" spans="1:16" ht="15" customHeight="1" x14ac:dyDescent="0.2">
      <c r="A48" s="243" t="str">
        <f>IFERROR(INDEX('All Ticker P&amp;L'!$A$2:$A$1001,MATCH(ROWS($A$2:A48),'All Ticker P&amp;L'!$N$2:$N$1001,0)),"")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t="str">
        <f>IF($A48="","",IFERROR(INDEX(Prices[Category],MATCH($A48,Prices[Key],0)),"Uncategorized"))</f>
        <v/>
      </c>
      <c r="O48" s="291" t="str">
        <f t="shared" si="7"/>
        <v/>
      </c>
      <c r="P48" s="291" t="str">
        <f t="shared" si="8"/>
        <v/>
      </c>
    </row>
    <row r="49" spans="1:16" ht="15" customHeight="1" x14ac:dyDescent="0.2">
      <c r="A49" s="243" t="str">
        <f>IFERROR(INDEX('All Ticker P&amp;L'!$A$2:$A$1001,MATCH(ROWS($A$2:A49),'All Ticker P&amp;L'!$N$2:$N$1001,0)),"")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t="str">
        <f>IF($A49="","",IFERROR(INDEX(Prices[Category],MATCH($A49,Prices[Key],0)),"Uncategorized"))</f>
        <v/>
      </c>
      <c r="O49" s="291" t="str">
        <f t="shared" si="7"/>
        <v/>
      </c>
      <c r="P49" s="291" t="str">
        <f t="shared" si="8"/>
        <v/>
      </c>
    </row>
    <row r="50" spans="1:16" ht="15" customHeight="1" x14ac:dyDescent="0.2">
      <c r="A50" s="243" t="str">
        <f>IFERROR(INDEX('All Ticker P&amp;L'!$A$2:$A$1001,MATCH(ROWS($A$2:A50),'All Ticker P&amp;L'!$N$2:$N$1001,0)),"")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t="str">
        <f>IF($A50="","",IFERROR(INDEX(Prices[Category],MATCH($A50,Prices[Key],0)),"Uncategorized"))</f>
        <v/>
      </c>
      <c r="O50" s="291" t="str">
        <f t="shared" si="7"/>
        <v/>
      </c>
      <c r="P50" s="291" t="str">
        <f t="shared" si="8"/>
        <v/>
      </c>
    </row>
    <row r="51" spans="1:16" ht="15" customHeight="1" x14ac:dyDescent="0.2">
      <c r="A51" s="243" t="str">
        <f>IFERROR(INDEX('All Ticker P&amp;L'!$A$2:$A$1001,MATCH(ROWS($A$2:A51),'All Ticker P&amp;L'!$N$2:$N$1001,0)),"")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t="str">
        <f>IF($A51="","",IFERROR(INDEX(Prices[Category],MATCH($A51,Prices[Key],0)),"Uncategorized"))</f>
        <v/>
      </c>
      <c r="O51" s="291" t="str">
        <f t="shared" si="7"/>
        <v/>
      </c>
      <c r="P51" s="291" t="str">
        <f t="shared" si="8"/>
        <v/>
      </c>
    </row>
    <row r="52" spans="1:16" ht="15" customHeight="1" x14ac:dyDescent="0.2">
      <c r="A52" s="243" t="str">
        <f>IFERROR(INDEX('All Ticker P&amp;L'!$A$2:$A$1001,MATCH(ROWS($A$2:A52),'All Ticker P&amp;L'!$N$2:$N$1001,0)),"")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t="str">
        <f>IF($A52="","",IFERROR(INDEX(Prices[Category],MATCH($A52,Prices[Key],0)),"Uncategorized"))</f>
        <v/>
      </c>
      <c r="O52" s="291" t="str">
        <f t="shared" si="7"/>
        <v/>
      </c>
      <c r="P52" s="291" t="str">
        <f t="shared" si="8"/>
        <v/>
      </c>
    </row>
    <row r="53" spans="1:16" ht="15" customHeight="1" x14ac:dyDescent="0.2">
      <c r="A53" s="243" t="str">
        <f>IFERROR(INDEX('All Ticker P&amp;L'!$A$2:$A$1001,MATCH(ROWS($A$2:A53),'All Ticker P&amp;L'!$N$2:$N$1001,0)),"")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t="str">
        <f>IF($A53="","",IFERROR(INDEX(Prices[Category],MATCH($A53,Prices[Key],0)),"Uncategorized"))</f>
        <v/>
      </c>
      <c r="O53" s="291" t="str">
        <f t="shared" si="7"/>
        <v/>
      </c>
      <c r="P53" s="291" t="str">
        <f t="shared" si="8"/>
        <v/>
      </c>
    </row>
    <row r="54" spans="1:16" ht="15" customHeight="1" x14ac:dyDescent="0.2">
      <c r="A54" s="243" t="str">
        <f>IFERROR(INDEX('All Ticker P&amp;L'!$A$2:$A$1001,MATCH(ROWS($A$2:A54),'All Ticker P&amp;L'!$N$2:$N$1001,0)),"")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t="str">
        <f>IF($A54="","",IFERROR(INDEX(Prices[Category],MATCH($A54,Prices[Key],0)),"Uncategorized"))</f>
        <v/>
      </c>
      <c r="O54" s="291" t="str">
        <f t="shared" si="7"/>
        <v/>
      </c>
      <c r="P54" s="291" t="str">
        <f t="shared" si="8"/>
        <v/>
      </c>
    </row>
    <row r="55" spans="1:16" ht="15" customHeight="1" x14ac:dyDescent="0.2">
      <c r="A55" s="243" t="str">
        <f>IFERROR(INDEX('All Ticker P&amp;L'!$A$2:$A$1001,MATCH(ROWS($A$2:A55),'All Ticker P&amp;L'!$N$2:$N$1001,0)),"")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t="str">
        <f>IF($A55="","",IFERROR(INDEX(Prices[Category],MATCH($A55,Prices[Key],0)),"Uncategorized"))</f>
        <v/>
      </c>
      <c r="O55" s="291" t="str">
        <f t="shared" si="7"/>
        <v/>
      </c>
      <c r="P55" s="291" t="str">
        <f t="shared" si="8"/>
        <v/>
      </c>
    </row>
    <row r="56" spans="1:16" ht="15" customHeight="1" x14ac:dyDescent="0.2">
      <c r="A56" s="243" t="str">
        <f>IFERROR(INDEX('All Ticker P&amp;L'!$A$2:$A$1001,MATCH(ROWS($A$2:A56),'All Ticker P&amp;L'!$N$2:$N$1001,0)),"")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t="str">
        <f>IF($A56="","",IFERROR(INDEX(Prices[Category],MATCH($A56,Prices[Key],0)),"Uncategorized"))</f>
        <v/>
      </c>
      <c r="O56" s="291" t="str">
        <f t="shared" si="7"/>
        <v/>
      </c>
      <c r="P56" s="291" t="str">
        <f t="shared" si="8"/>
        <v/>
      </c>
    </row>
    <row r="57" spans="1:16" ht="15" customHeight="1" x14ac:dyDescent="0.2">
      <c r="A57" s="243" t="str">
        <f>IFERROR(INDEX('All Ticker P&amp;L'!$A$2:$A$1001,MATCH(ROWS($A$2:A57),'All Ticker P&amp;L'!$N$2:$N$1001,0)),"")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t="str">
        <f>IF($A57="","",IFERROR(INDEX(Prices[Category],MATCH($A57,Prices[Key],0)),"Uncategorized"))</f>
        <v/>
      </c>
      <c r="O57" s="291" t="str">
        <f t="shared" si="7"/>
        <v/>
      </c>
      <c r="P57" s="291" t="str">
        <f t="shared" si="8"/>
        <v/>
      </c>
    </row>
    <row r="58" spans="1:16" ht="15" customHeight="1" x14ac:dyDescent="0.2">
      <c r="A58" s="243" t="str">
        <f>IFERROR(INDEX('All Ticker P&amp;L'!$A$2:$A$1001,MATCH(ROWS($A$2:A58),'All Ticker P&amp;L'!$N$2:$N$1001,0)),"")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t="str">
        <f>IF($A58="","",IFERROR(INDEX(Prices[Category],MATCH($A58,Prices[Key],0)),"Uncategorized"))</f>
        <v/>
      </c>
      <c r="O58" s="291" t="str">
        <f t="shared" si="7"/>
        <v/>
      </c>
      <c r="P58" s="291" t="str">
        <f t="shared" si="8"/>
        <v/>
      </c>
    </row>
    <row r="59" spans="1:16" ht="15" customHeight="1" x14ac:dyDescent="0.2">
      <c r="A59" s="243" t="str">
        <f>IFERROR(INDEX('All Ticker P&amp;L'!$A$2:$A$1001,MATCH(ROWS($A$2:A59),'All Ticker P&amp;L'!$N$2:$N$1001,0)),"")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t="str">
        <f>IF($A59="","",IFERROR(INDEX(Prices[Category],MATCH($A59,Prices[Key],0)),"Uncategorized"))</f>
        <v/>
      </c>
      <c r="O59" s="291" t="str">
        <f t="shared" si="7"/>
        <v/>
      </c>
      <c r="P59" s="291" t="str">
        <f t="shared" si="8"/>
        <v/>
      </c>
    </row>
    <row r="60" spans="1:16" ht="15" customHeight="1" x14ac:dyDescent="0.2">
      <c r="A60" s="243" t="str">
        <f>IFERROR(INDEX('All Ticker P&amp;L'!$A$2:$A$1001,MATCH(ROWS($A$2:A60),'All Ticker P&amp;L'!$N$2:$N$1001,0)),"")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t="str">
        <f>IF($A60="","",IFERROR(INDEX(Prices[Category],MATCH($A60,Prices[Key],0)),"Uncategorized"))</f>
        <v/>
      </c>
      <c r="O60" s="291" t="str">
        <f t="shared" si="7"/>
        <v/>
      </c>
      <c r="P60" s="291" t="str">
        <f t="shared" si="8"/>
        <v/>
      </c>
    </row>
    <row r="61" spans="1:16" ht="15" customHeight="1" x14ac:dyDescent="0.2">
      <c r="A61" s="243" t="str">
        <f>IFERROR(INDEX('All Ticker P&amp;L'!$A$2:$A$1001,MATCH(ROWS($A$2:A61),'All Ticker P&amp;L'!$N$2:$N$1001,0)),"")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t="str">
        <f>IF($A61="","",IFERROR(INDEX(Prices[Category],MATCH($A61,Prices[Key],0)),"Uncategorized"))</f>
        <v/>
      </c>
      <c r="O61" s="291" t="str">
        <f t="shared" si="7"/>
        <v/>
      </c>
      <c r="P61" s="291" t="str">
        <f t="shared" si="8"/>
        <v/>
      </c>
    </row>
    <row r="62" spans="1:16" ht="15" customHeight="1" x14ac:dyDescent="0.2">
      <c r="A62" s="243" t="str">
        <f>IFERROR(INDEX('All Ticker P&amp;L'!$A$2:$A$1001,MATCH(ROWS($A$2:A62),'All Ticker P&amp;L'!$N$2:$N$1001,0)),"")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t="str">
        <f>IF($A62="","",IFERROR(INDEX(Prices[Category],MATCH($A62,Prices[Key],0)),"Uncategorized"))</f>
        <v/>
      </c>
      <c r="O62" s="291" t="str">
        <f t="shared" si="7"/>
        <v/>
      </c>
      <c r="P62" s="291" t="str">
        <f t="shared" si="8"/>
        <v/>
      </c>
    </row>
    <row r="63" spans="1:16" ht="15" customHeight="1" x14ac:dyDescent="0.2">
      <c r="A63" s="243" t="str">
        <f>IFERROR(INDEX('All Ticker P&amp;L'!$A$2:$A$1001,MATCH(ROWS($A$2:A63),'All Ticker P&amp;L'!$N$2:$N$1001,0)),"")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t="str">
        <f>IF($A63="","",IFERROR(INDEX(Prices[Category],MATCH($A63,Prices[Key],0)),"Uncategorized"))</f>
        <v/>
      </c>
      <c r="O63" s="291" t="str">
        <f t="shared" si="7"/>
        <v/>
      </c>
      <c r="P63" s="291" t="str">
        <f t="shared" si="8"/>
        <v/>
      </c>
    </row>
    <row r="64" spans="1:16" ht="15" customHeight="1" x14ac:dyDescent="0.2">
      <c r="A64" s="243" t="str">
        <f>IFERROR(INDEX('All Ticker P&amp;L'!$A$2:$A$1001,MATCH(ROWS($A$2:A64),'All Ticker P&amp;L'!$N$2:$N$1001,0)),"")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t="str">
        <f>IF($A64="","",IFERROR(INDEX(Prices[Category],MATCH($A64,Prices[Key],0)),"Uncategorized"))</f>
        <v/>
      </c>
      <c r="O64" s="291" t="str">
        <f t="shared" si="7"/>
        <v/>
      </c>
      <c r="P64" s="291" t="str">
        <f t="shared" si="8"/>
        <v/>
      </c>
    </row>
    <row r="65" spans="1:16" ht="15" customHeight="1" x14ac:dyDescent="0.2">
      <c r="A65" s="243" t="str">
        <f>IFERROR(INDEX('All Ticker P&amp;L'!$A$2:$A$1001,MATCH(ROWS($A$2:A65),'All Ticker P&amp;L'!$N$2:$N$1001,0)),"")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t="str">
        <f>IF($A65="","",IFERROR(INDEX(Prices[Category],MATCH($A65,Prices[Key],0)),"Uncategorized"))</f>
        <v/>
      </c>
      <c r="O65" s="291" t="str">
        <f t="shared" si="7"/>
        <v/>
      </c>
      <c r="P65" s="291" t="str">
        <f t="shared" si="8"/>
        <v/>
      </c>
    </row>
    <row r="66" spans="1:16" ht="15" customHeight="1" x14ac:dyDescent="0.2">
      <c r="A66" s="243" t="str">
        <f>IFERROR(INDEX('All Ticker P&amp;L'!$A$2:$A$1001,MATCH(ROWS($A$2:A66),'All Ticker P&amp;L'!$N$2:$N$1001,0)),"")</f>
        <v/>
      </c>
      <c r="B66" s="243" t="str">
        <f t="shared" ref="B66:B129" si="14">IF($A66="","",LEFT($A66,FIND(":",$A66)-1))</f>
        <v/>
      </c>
      <c r="C66" s="243" t="str">
        <f t="shared" ref="C66:C129" si="15">IF($A66="","",MID($A66,FIND(":",$A66)+1,FIND(":",$A66,FIND(":",$A66)+1)-FIND(":",$A66)-1))</f>
        <v/>
      </c>
      <c r="D66" s="243" t="str">
        <f t="shared" ref="D66:D129" si="16">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7">IF($A66="","",E66*H66)</f>
        <v/>
      </c>
      <c r="K66" s="287" t="str">
        <f t="shared" ref="K66:K129" si="18">IF($A66="","",J66+G66-F66)</f>
        <v/>
      </c>
      <c r="L66" s="287" t="str">
        <f t="shared" ref="L66:L129" si="19">IF($A66="","",K66*I66)</f>
        <v/>
      </c>
      <c r="M66" s="290" t="str">
        <f t="shared" ref="M66:M129" si="20">IF($A66="","",IFERROR(K66/F66,0))</f>
        <v/>
      </c>
      <c r="N66" t="str">
        <f>IF($A66="","",IFERROR(INDEX(Prices[Category],MATCH($A66,Prices[Key],0)),"Uncategorized"))</f>
        <v/>
      </c>
      <c r="O66" s="291" t="str">
        <f t="shared" ref="O66:O129" si="21">IF($A66="","",$J66*$I66)</f>
        <v/>
      </c>
      <c r="P66" s="291" t="str">
        <f t="shared" ref="P66:P129" si="22">IF($A66="","",$L66)</f>
        <v/>
      </c>
    </row>
    <row r="67" spans="1:16" ht="15" customHeight="1" x14ac:dyDescent="0.2">
      <c r="A67" s="243" t="str">
        <f>IFERROR(INDEX('All Ticker P&amp;L'!$A$2:$A$1001,MATCH(ROWS($A$2:A67),'All Ticker P&amp;L'!$N$2:$N$1001,0)),"")</f>
        <v/>
      </c>
      <c r="B67" s="243" t="str">
        <f t="shared" si="14"/>
        <v/>
      </c>
      <c r="C67" s="243" t="str">
        <f t="shared" si="15"/>
        <v/>
      </c>
      <c r="D67" s="243" t="str">
        <f t="shared" si="16"/>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7"/>
        <v/>
      </c>
      <c r="K67" s="287" t="str">
        <f t="shared" si="18"/>
        <v/>
      </c>
      <c r="L67" s="287" t="str">
        <f t="shared" si="19"/>
        <v/>
      </c>
      <c r="M67" s="290" t="str">
        <f t="shared" si="20"/>
        <v/>
      </c>
      <c r="N67" t="str">
        <f>IF($A67="","",IFERROR(INDEX(Prices[Category],MATCH($A67,Prices[Key],0)),"Uncategorized"))</f>
        <v/>
      </c>
      <c r="O67" s="291" t="str">
        <f t="shared" si="21"/>
        <v/>
      </c>
      <c r="P67" s="291" t="str">
        <f t="shared" si="22"/>
        <v/>
      </c>
    </row>
    <row r="68" spans="1:16" ht="15" customHeight="1" x14ac:dyDescent="0.2">
      <c r="A68" s="243" t="str">
        <f>IFERROR(INDEX('All Ticker P&amp;L'!$A$2:$A$1001,MATCH(ROWS($A$2:A68),'All Ticker P&amp;L'!$N$2:$N$1001,0)),"")</f>
        <v/>
      </c>
      <c r="B68" s="243" t="str">
        <f t="shared" si="14"/>
        <v/>
      </c>
      <c r="C68" s="243" t="str">
        <f t="shared" si="15"/>
        <v/>
      </c>
      <c r="D68" s="243" t="str">
        <f t="shared" si="16"/>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7"/>
        <v/>
      </c>
      <c r="K68" s="287" t="str">
        <f t="shared" si="18"/>
        <v/>
      </c>
      <c r="L68" s="287" t="str">
        <f t="shared" si="19"/>
        <v/>
      </c>
      <c r="M68" s="290" t="str">
        <f t="shared" si="20"/>
        <v/>
      </c>
      <c r="N68" t="str">
        <f>IF($A68="","",IFERROR(INDEX(Prices[Category],MATCH($A68,Prices[Key],0)),"Uncategorized"))</f>
        <v/>
      </c>
      <c r="O68" s="291" t="str">
        <f t="shared" si="21"/>
        <v/>
      </c>
      <c r="P68" s="291" t="str">
        <f t="shared" si="22"/>
        <v/>
      </c>
    </row>
    <row r="69" spans="1:16" ht="15" customHeight="1" x14ac:dyDescent="0.2">
      <c r="A69" s="243" t="str">
        <f>IFERROR(INDEX('All Ticker P&amp;L'!$A$2:$A$1001,MATCH(ROWS($A$2:A69),'All Ticker P&amp;L'!$N$2:$N$1001,0)),"")</f>
        <v/>
      </c>
      <c r="B69" s="243" t="str">
        <f t="shared" si="14"/>
        <v/>
      </c>
      <c r="C69" s="243" t="str">
        <f t="shared" si="15"/>
        <v/>
      </c>
      <c r="D69" s="243" t="str">
        <f t="shared" si="16"/>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7"/>
        <v/>
      </c>
      <c r="K69" s="287" t="str">
        <f t="shared" si="18"/>
        <v/>
      </c>
      <c r="L69" s="287" t="str">
        <f t="shared" si="19"/>
        <v/>
      </c>
      <c r="M69" s="290" t="str">
        <f t="shared" si="20"/>
        <v/>
      </c>
      <c r="N69" t="str">
        <f>IF($A69="","",IFERROR(INDEX(Prices[Category],MATCH($A69,Prices[Key],0)),"Uncategorized"))</f>
        <v/>
      </c>
      <c r="O69" s="291" t="str">
        <f t="shared" si="21"/>
        <v/>
      </c>
      <c r="P69" s="291" t="str">
        <f t="shared" si="22"/>
        <v/>
      </c>
    </row>
    <row r="70" spans="1:16" ht="15" customHeight="1" x14ac:dyDescent="0.2">
      <c r="A70" s="243" t="str">
        <f>IFERROR(INDEX('All Ticker P&amp;L'!$A$2:$A$1001,MATCH(ROWS($A$2:A70),'All Ticker P&amp;L'!$N$2:$N$1001,0)),"")</f>
        <v/>
      </c>
      <c r="B70" s="243" t="str">
        <f t="shared" si="14"/>
        <v/>
      </c>
      <c r="C70" s="243" t="str">
        <f t="shared" si="15"/>
        <v/>
      </c>
      <c r="D70" s="243" t="str">
        <f t="shared" si="16"/>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7"/>
        <v/>
      </c>
      <c r="K70" s="287" t="str">
        <f t="shared" si="18"/>
        <v/>
      </c>
      <c r="L70" s="287" t="str">
        <f t="shared" si="19"/>
        <v/>
      </c>
      <c r="M70" s="290" t="str">
        <f t="shared" si="20"/>
        <v/>
      </c>
      <c r="N70" t="str">
        <f>IF($A70="","",IFERROR(INDEX(Prices[Category],MATCH($A70,Prices[Key],0)),"Uncategorized"))</f>
        <v/>
      </c>
      <c r="O70" s="291" t="str">
        <f t="shared" si="21"/>
        <v/>
      </c>
      <c r="P70" s="291" t="str">
        <f t="shared" si="22"/>
        <v/>
      </c>
    </row>
    <row r="71" spans="1:16" ht="15" customHeight="1" x14ac:dyDescent="0.2">
      <c r="A71" s="243" t="str">
        <f>IFERROR(INDEX('All Ticker P&amp;L'!$A$2:$A$1001,MATCH(ROWS($A$2:A71),'All Ticker P&amp;L'!$N$2:$N$1001,0)),"")</f>
        <v/>
      </c>
      <c r="B71" s="243" t="str">
        <f t="shared" si="14"/>
        <v/>
      </c>
      <c r="C71" s="243" t="str">
        <f t="shared" si="15"/>
        <v/>
      </c>
      <c r="D71" s="243" t="str">
        <f t="shared" si="16"/>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7"/>
        <v/>
      </c>
      <c r="K71" s="287" t="str">
        <f t="shared" si="18"/>
        <v/>
      </c>
      <c r="L71" s="287" t="str">
        <f t="shared" si="19"/>
        <v/>
      </c>
      <c r="M71" s="290" t="str">
        <f t="shared" si="20"/>
        <v/>
      </c>
      <c r="N71" t="str">
        <f>IF($A71="","",IFERROR(INDEX(Prices[Category],MATCH($A71,Prices[Key],0)),"Uncategorized"))</f>
        <v/>
      </c>
      <c r="O71" s="291" t="str">
        <f t="shared" si="21"/>
        <v/>
      </c>
      <c r="P71" s="291" t="str">
        <f t="shared" si="22"/>
        <v/>
      </c>
    </row>
    <row r="72" spans="1:16" ht="15" customHeight="1" x14ac:dyDescent="0.2">
      <c r="A72" s="243" t="str">
        <f>IFERROR(INDEX('All Ticker P&amp;L'!$A$2:$A$1001,MATCH(ROWS($A$2:A72),'All Ticker P&amp;L'!$N$2:$N$1001,0)),"")</f>
        <v/>
      </c>
      <c r="B72" s="243" t="str">
        <f t="shared" si="14"/>
        <v/>
      </c>
      <c r="C72" s="243" t="str">
        <f t="shared" si="15"/>
        <v/>
      </c>
      <c r="D72" s="243" t="str">
        <f t="shared" si="16"/>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7"/>
        <v/>
      </c>
      <c r="K72" s="287" t="str">
        <f t="shared" si="18"/>
        <v/>
      </c>
      <c r="L72" s="287" t="str">
        <f t="shared" si="19"/>
        <v/>
      </c>
      <c r="M72" s="290" t="str">
        <f t="shared" si="20"/>
        <v/>
      </c>
      <c r="N72" t="str">
        <f>IF($A72="","",IFERROR(INDEX(Prices[Category],MATCH($A72,Prices[Key],0)),"Uncategorized"))</f>
        <v/>
      </c>
      <c r="O72" s="291" t="str">
        <f t="shared" si="21"/>
        <v/>
      </c>
      <c r="P72" s="291" t="str">
        <f t="shared" si="22"/>
        <v/>
      </c>
    </row>
    <row r="73" spans="1:16" ht="15" customHeight="1" x14ac:dyDescent="0.2">
      <c r="A73" s="243" t="str">
        <f>IFERROR(INDEX('All Ticker P&amp;L'!$A$2:$A$1001,MATCH(ROWS($A$2:A73),'All Ticker P&amp;L'!$N$2:$N$1001,0)),"")</f>
        <v/>
      </c>
      <c r="B73" s="243" t="str">
        <f t="shared" si="14"/>
        <v/>
      </c>
      <c r="C73" s="243" t="str">
        <f t="shared" si="15"/>
        <v/>
      </c>
      <c r="D73" s="243" t="str">
        <f t="shared" si="16"/>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7"/>
        <v/>
      </c>
      <c r="K73" s="287" t="str">
        <f t="shared" si="18"/>
        <v/>
      </c>
      <c r="L73" s="287" t="str">
        <f t="shared" si="19"/>
        <v/>
      </c>
      <c r="M73" s="290" t="str">
        <f t="shared" si="20"/>
        <v/>
      </c>
      <c r="N73" t="str">
        <f>IF($A73="","",IFERROR(INDEX(Prices[Category],MATCH($A73,Prices[Key],0)),"Uncategorized"))</f>
        <v/>
      </c>
      <c r="O73" s="291" t="str">
        <f t="shared" si="21"/>
        <v/>
      </c>
      <c r="P73" s="291" t="str">
        <f t="shared" si="22"/>
        <v/>
      </c>
    </row>
    <row r="74" spans="1:16" ht="15" customHeight="1" x14ac:dyDescent="0.2">
      <c r="A74" s="243" t="str">
        <f>IFERROR(INDEX('All Ticker P&amp;L'!$A$2:$A$1001,MATCH(ROWS($A$2:A74),'All Ticker P&amp;L'!$N$2:$N$1001,0)),"")</f>
        <v/>
      </c>
      <c r="B74" s="243" t="str">
        <f t="shared" si="14"/>
        <v/>
      </c>
      <c r="C74" s="243" t="str">
        <f t="shared" si="15"/>
        <v/>
      </c>
      <c r="D74" s="243" t="str">
        <f t="shared" si="16"/>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7"/>
        <v/>
      </c>
      <c r="K74" s="287" t="str">
        <f t="shared" si="18"/>
        <v/>
      </c>
      <c r="L74" s="287" t="str">
        <f t="shared" si="19"/>
        <v/>
      </c>
      <c r="M74" s="290" t="str">
        <f t="shared" si="20"/>
        <v/>
      </c>
      <c r="N74" t="str">
        <f>IF($A74="","",IFERROR(INDEX(Prices[Category],MATCH($A74,Prices[Key],0)),"Uncategorized"))</f>
        <v/>
      </c>
      <c r="O74" s="291" t="str">
        <f t="shared" si="21"/>
        <v/>
      </c>
      <c r="P74" s="291" t="str">
        <f t="shared" si="22"/>
        <v/>
      </c>
    </row>
    <row r="75" spans="1:16" ht="15" customHeight="1" x14ac:dyDescent="0.2">
      <c r="A75" s="243" t="str">
        <f>IFERROR(INDEX('All Ticker P&amp;L'!$A$2:$A$1001,MATCH(ROWS($A$2:A75),'All Ticker P&amp;L'!$N$2:$N$1001,0)),"")</f>
        <v/>
      </c>
      <c r="B75" s="243" t="str">
        <f t="shared" si="14"/>
        <v/>
      </c>
      <c r="C75" s="243" t="str">
        <f t="shared" si="15"/>
        <v/>
      </c>
      <c r="D75" s="243" t="str">
        <f t="shared" si="16"/>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7"/>
        <v/>
      </c>
      <c r="K75" s="287" t="str">
        <f t="shared" si="18"/>
        <v/>
      </c>
      <c r="L75" s="287" t="str">
        <f t="shared" si="19"/>
        <v/>
      </c>
      <c r="M75" s="290" t="str">
        <f t="shared" si="20"/>
        <v/>
      </c>
      <c r="N75" t="str">
        <f>IF($A75="","",IFERROR(INDEX(Prices[Category],MATCH($A75,Prices[Key],0)),"Uncategorized"))</f>
        <v/>
      </c>
      <c r="O75" s="291" t="str">
        <f t="shared" si="21"/>
        <v/>
      </c>
      <c r="P75" s="291" t="str">
        <f t="shared" si="22"/>
        <v/>
      </c>
    </row>
    <row r="76" spans="1:16" ht="15" customHeight="1" x14ac:dyDescent="0.2">
      <c r="A76" s="243" t="str">
        <f>IFERROR(INDEX('All Ticker P&amp;L'!$A$2:$A$1001,MATCH(ROWS($A$2:A76),'All Ticker P&amp;L'!$N$2:$N$1001,0)),"")</f>
        <v/>
      </c>
      <c r="B76" s="243" t="str">
        <f t="shared" si="14"/>
        <v/>
      </c>
      <c r="C76" s="243" t="str">
        <f t="shared" si="15"/>
        <v/>
      </c>
      <c r="D76" s="243" t="str">
        <f t="shared" si="16"/>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7"/>
        <v/>
      </c>
      <c r="K76" s="287" t="str">
        <f t="shared" si="18"/>
        <v/>
      </c>
      <c r="L76" s="287" t="str">
        <f t="shared" si="19"/>
        <v/>
      </c>
      <c r="M76" s="290" t="str">
        <f t="shared" si="20"/>
        <v/>
      </c>
      <c r="N76" t="str">
        <f>IF($A76="","",IFERROR(INDEX(Prices[Category],MATCH($A76,Prices[Key],0)),"Uncategorized"))</f>
        <v/>
      </c>
      <c r="O76" s="291" t="str">
        <f t="shared" si="21"/>
        <v/>
      </c>
      <c r="P76" s="291" t="str">
        <f t="shared" si="22"/>
        <v/>
      </c>
    </row>
    <row r="77" spans="1:16" ht="15" customHeight="1" x14ac:dyDescent="0.2">
      <c r="A77" s="243" t="str">
        <f>IFERROR(INDEX('All Ticker P&amp;L'!$A$2:$A$1001,MATCH(ROWS($A$2:A77),'All Ticker P&amp;L'!$N$2:$N$1001,0)),"")</f>
        <v/>
      </c>
      <c r="B77" s="243" t="str">
        <f t="shared" si="14"/>
        <v/>
      </c>
      <c r="C77" s="243" t="str">
        <f t="shared" si="15"/>
        <v/>
      </c>
      <c r="D77" s="243" t="str">
        <f t="shared" si="16"/>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7"/>
        <v/>
      </c>
      <c r="K77" s="287" t="str">
        <f t="shared" si="18"/>
        <v/>
      </c>
      <c r="L77" s="287" t="str">
        <f t="shared" si="19"/>
        <v/>
      </c>
      <c r="M77" s="290" t="str">
        <f t="shared" si="20"/>
        <v/>
      </c>
      <c r="N77" t="str">
        <f>IF($A77="","",IFERROR(INDEX(Prices[Category],MATCH($A77,Prices[Key],0)),"Uncategorized"))</f>
        <v/>
      </c>
      <c r="O77" s="291" t="str">
        <f t="shared" si="21"/>
        <v/>
      </c>
      <c r="P77" s="291" t="str">
        <f t="shared" si="22"/>
        <v/>
      </c>
    </row>
    <row r="78" spans="1:16" ht="15" customHeight="1" x14ac:dyDescent="0.2">
      <c r="A78" s="243" t="str">
        <f>IFERROR(INDEX('All Ticker P&amp;L'!$A$2:$A$1001,MATCH(ROWS($A$2:A78),'All Ticker P&amp;L'!$N$2:$N$1001,0)),"")</f>
        <v/>
      </c>
      <c r="B78" s="243" t="str">
        <f t="shared" si="14"/>
        <v/>
      </c>
      <c r="C78" s="243" t="str">
        <f t="shared" si="15"/>
        <v/>
      </c>
      <c r="D78" s="243" t="str">
        <f t="shared" si="16"/>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7"/>
        <v/>
      </c>
      <c r="K78" s="287" t="str">
        <f t="shared" si="18"/>
        <v/>
      </c>
      <c r="L78" s="287" t="str">
        <f t="shared" si="19"/>
        <v/>
      </c>
      <c r="M78" s="290" t="str">
        <f t="shared" si="20"/>
        <v/>
      </c>
      <c r="N78" t="str">
        <f>IF($A78="","",IFERROR(INDEX(Prices[Category],MATCH($A78,Prices[Key],0)),"Uncategorized"))</f>
        <v/>
      </c>
      <c r="O78" s="291" t="str">
        <f t="shared" si="21"/>
        <v/>
      </c>
      <c r="P78" s="291" t="str">
        <f t="shared" si="22"/>
        <v/>
      </c>
    </row>
    <row r="79" spans="1:16" ht="15" customHeight="1" x14ac:dyDescent="0.2">
      <c r="A79" s="243" t="str">
        <f>IFERROR(INDEX('All Ticker P&amp;L'!$A$2:$A$1001,MATCH(ROWS($A$2:A79),'All Ticker P&amp;L'!$N$2:$N$1001,0)),"")</f>
        <v/>
      </c>
      <c r="B79" s="243" t="str">
        <f t="shared" si="14"/>
        <v/>
      </c>
      <c r="C79" s="243" t="str">
        <f t="shared" si="15"/>
        <v/>
      </c>
      <c r="D79" s="243" t="str">
        <f t="shared" si="16"/>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7"/>
        <v/>
      </c>
      <c r="K79" s="287" t="str">
        <f t="shared" si="18"/>
        <v/>
      </c>
      <c r="L79" s="287" t="str">
        <f t="shared" si="19"/>
        <v/>
      </c>
      <c r="M79" s="290" t="str">
        <f t="shared" si="20"/>
        <v/>
      </c>
      <c r="N79" t="str">
        <f>IF($A79="","",IFERROR(INDEX(Prices[Category],MATCH($A79,Prices[Key],0)),"Uncategorized"))</f>
        <v/>
      </c>
      <c r="O79" s="291" t="str">
        <f t="shared" si="21"/>
        <v/>
      </c>
      <c r="P79" s="291" t="str">
        <f t="shared" si="22"/>
        <v/>
      </c>
    </row>
    <row r="80" spans="1:16" ht="15" customHeight="1" x14ac:dyDescent="0.2">
      <c r="A80" s="243" t="str">
        <f>IFERROR(INDEX('All Ticker P&amp;L'!$A$2:$A$1001,MATCH(ROWS($A$2:A80),'All Ticker P&amp;L'!$N$2:$N$1001,0)),"")</f>
        <v/>
      </c>
      <c r="B80" s="243" t="str">
        <f t="shared" si="14"/>
        <v/>
      </c>
      <c r="C80" s="243" t="str">
        <f t="shared" si="15"/>
        <v/>
      </c>
      <c r="D80" s="243" t="str">
        <f t="shared" si="16"/>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7"/>
        <v/>
      </c>
      <c r="K80" s="287" t="str">
        <f t="shared" si="18"/>
        <v/>
      </c>
      <c r="L80" s="287" t="str">
        <f t="shared" si="19"/>
        <v/>
      </c>
      <c r="M80" s="290" t="str">
        <f t="shared" si="20"/>
        <v/>
      </c>
      <c r="N80" t="str">
        <f>IF($A80="","",IFERROR(INDEX(Prices[Category],MATCH($A80,Prices[Key],0)),"Uncategorized"))</f>
        <v/>
      </c>
      <c r="O80" s="291" t="str">
        <f t="shared" si="21"/>
        <v/>
      </c>
      <c r="P80" s="291" t="str">
        <f t="shared" si="22"/>
        <v/>
      </c>
    </row>
    <row r="81" spans="1:16" ht="15" customHeight="1" x14ac:dyDescent="0.2">
      <c r="A81" s="243" t="str">
        <f>IFERROR(INDEX('All Ticker P&amp;L'!$A$2:$A$1001,MATCH(ROWS($A$2:A81),'All Ticker P&amp;L'!$N$2:$N$1001,0)),"")</f>
        <v/>
      </c>
      <c r="B81" s="243" t="str">
        <f t="shared" si="14"/>
        <v/>
      </c>
      <c r="C81" s="243" t="str">
        <f t="shared" si="15"/>
        <v/>
      </c>
      <c r="D81" s="243" t="str">
        <f t="shared" si="16"/>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7"/>
        <v/>
      </c>
      <c r="K81" s="287" t="str">
        <f t="shared" si="18"/>
        <v/>
      </c>
      <c r="L81" s="287" t="str">
        <f t="shared" si="19"/>
        <v/>
      </c>
      <c r="M81" s="290" t="str">
        <f t="shared" si="20"/>
        <v/>
      </c>
      <c r="N81" t="str">
        <f>IF($A81="","",IFERROR(INDEX(Prices[Category],MATCH($A81,Prices[Key],0)),"Uncategorized"))</f>
        <v/>
      </c>
      <c r="O81" s="291" t="str">
        <f t="shared" si="21"/>
        <v/>
      </c>
      <c r="P81" s="291" t="str">
        <f t="shared" si="22"/>
        <v/>
      </c>
    </row>
    <row r="82" spans="1:16" ht="15" customHeight="1" x14ac:dyDescent="0.2">
      <c r="A82" s="243" t="str">
        <f>IFERROR(INDEX('All Ticker P&amp;L'!$A$2:$A$1001,MATCH(ROWS($A$2:A82),'All Ticker P&amp;L'!$N$2:$N$1001,0)),"")</f>
        <v/>
      </c>
      <c r="B82" s="243" t="str">
        <f t="shared" si="14"/>
        <v/>
      </c>
      <c r="C82" s="243" t="str">
        <f t="shared" si="15"/>
        <v/>
      </c>
      <c r="D82" s="243" t="str">
        <f t="shared" si="16"/>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7"/>
        <v/>
      </c>
      <c r="K82" s="287" t="str">
        <f t="shared" si="18"/>
        <v/>
      </c>
      <c r="L82" s="287" t="str">
        <f t="shared" si="19"/>
        <v/>
      </c>
      <c r="M82" s="290" t="str">
        <f t="shared" si="20"/>
        <v/>
      </c>
      <c r="N82" t="str">
        <f>IF($A82="","",IFERROR(INDEX(Prices[Category],MATCH($A82,Prices[Key],0)),"Uncategorized"))</f>
        <v/>
      </c>
      <c r="O82" s="291" t="str">
        <f t="shared" si="21"/>
        <v/>
      </c>
      <c r="P82" s="291" t="str">
        <f t="shared" si="22"/>
        <v/>
      </c>
    </row>
    <row r="83" spans="1:16" ht="15" customHeight="1" x14ac:dyDescent="0.2">
      <c r="A83" s="243" t="str">
        <f>IFERROR(INDEX('All Ticker P&amp;L'!$A$2:$A$1001,MATCH(ROWS($A$2:A83),'All Ticker P&amp;L'!$N$2:$N$1001,0)),"")</f>
        <v/>
      </c>
      <c r="B83" s="243" t="str">
        <f t="shared" si="14"/>
        <v/>
      </c>
      <c r="C83" s="243" t="str">
        <f t="shared" si="15"/>
        <v/>
      </c>
      <c r="D83" s="243" t="str">
        <f t="shared" si="16"/>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7"/>
        <v/>
      </c>
      <c r="K83" s="287" t="str">
        <f t="shared" si="18"/>
        <v/>
      </c>
      <c r="L83" s="287" t="str">
        <f t="shared" si="19"/>
        <v/>
      </c>
      <c r="M83" s="290" t="str">
        <f t="shared" si="20"/>
        <v/>
      </c>
      <c r="N83" t="str">
        <f>IF($A83="","",IFERROR(INDEX(Prices[Category],MATCH($A83,Prices[Key],0)),"Uncategorized"))</f>
        <v/>
      </c>
      <c r="O83" s="291" t="str">
        <f t="shared" si="21"/>
        <v/>
      </c>
      <c r="P83" s="291" t="str">
        <f t="shared" si="22"/>
        <v/>
      </c>
    </row>
    <row r="84" spans="1:16" ht="15" customHeight="1" x14ac:dyDescent="0.2">
      <c r="A84" s="243" t="str">
        <f>IFERROR(INDEX('All Ticker P&amp;L'!$A$2:$A$1001,MATCH(ROWS($A$2:A84),'All Ticker P&amp;L'!$N$2:$N$1001,0)),"")</f>
        <v/>
      </c>
      <c r="B84" s="243" t="str">
        <f t="shared" si="14"/>
        <v/>
      </c>
      <c r="C84" s="243" t="str">
        <f t="shared" si="15"/>
        <v/>
      </c>
      <c r="D84" s="243" t="str">
        <f t="shared" si="16"/>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7"/>
        <v/>
      </c>
      <c r="K84" s="287" t="str">
        <f t="shared" si="18"/>
        <v/>
      </c>
      <c r="L84" s="287" t="str">
        <f t="shared" si="19"/>
        <v/>
      </c>
      <c r="M84" s="290" t="str">
        <f t="shared" si="20"/>
        <v/>
      </c>
      <c r="N84" t="str">
        <f>IF($A84="","",IFERROR(INDEX(Prices[Category],MATCH($A84,Prices[Key],0)),"Uncategorized"))</f>
        <v/>
      </c>
      <c r="O84" s="291" t="str">
        <f t="shared" si="21"/>
        <v/>
      </c>
      <c r="P84" s="291" t="str">
        <f t="shared" si="22"/>
        <v/>
      </c>
    </row>
    <row r="85" spans="1:16" ht="15" customHeight="1" x14ac:dyDescent="0.2">
      <c r="A85" s="243" t="str">
        <f>IFERROR(INDEX('All Ticker P&amp;L'!$A$2:$A$1001,MATCH(ROWS($A$2:A85),'All Ticker P&amp;L'!$N$2:$N$1001,0)),"")</f>
        <v/>
      </c>
      <c r="B85" s="243" t="str">
        <f t="shared" si="14"/>
        <v/>
      </c>
      <c r="C85" s="243" t="str">
        <f t="shared" si="15"/>
        <v/>
      </c>
      <c r="D85" s="243" t="str">
        <f t="shared" si="16"/>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7"/>
        <v/>
      </c>
      <c r="K85" s="287" t="str">
        <f t="shared" si="18"/>
        <v/>
      </c>
      <c r="L85" s="287" t="str">
        <f t="shared" si="19"/>
        <v/>
      </c>
      <c r="M85" s="290" t="str">
        <f t="shared" si="20"/>
        <v/>
      </c>
      <c r="N85" t="str">
        <f>IF($A85="","",IFERROR(INDEX(Prices[Category],MATCH($A85,Prices[Key],0)),"Uncategorized"))</f>
        <v/>
      </c>
      <c r="O85" s="291" t="str">
        <f t="shared" si="21"/>
        <v/>
      </c>
      <c r="P85" s="291" t="str">
        <f t="shared" si="22"/>
        <v/>
      </c>
    </row>
    <row r="86" spans="1:16" ht="15" customHeight="1" x14ac:dyDescent="0.2">
      <c r="A86" s="243" t="str">
        <f>IFERROR(INDEX('All Ticker P&amp;L'!$A$2:$A$1001,MATCH(ROWS($A$2:A86),'All Ticker P&amp;L'!$N$2:$N$1001,0)),"")</f>
        <v/>
      </c>
      <c r="B86" s="243" t="str">
        <f t="shared" si="14"/>
        <v/>
      </c>
      <c r="C86" s="243" t="str">
        <f t="shared" si="15"/>
        <v/>
      </c>
      <c r="D86" s="243" t="str">
        <f t="shared" si="16"/>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7"/>
        <v/>
      </c>
      <c r="K86" s="287" t="str">
        <f t="shared" si="18"/>
        <v/>
      </c>
      <c r="L86" s="287" t="str">
        <f t="shared" si="19"/>
        <v/>
      </c>
      <c r="M86" s="290" t="str">
        <f t="shared" si="20"/>
        <v/>
      </c>
      <c r="N86" t="str">
        <f>IF($A86="","",IFERROR(INDEX(Prices[Category],MATCH($A86,Prices[Key],0)),"Uncategorized"))</f>
        <v/>
      </c>
      <c r="O86" s="291" t="str">
        <f t="shared" si="21"/>
        <v/>
      </c>
      <c r="P86" s="291" t="str">
        <f t="shared" si="22"/>
        <v/>
      </c>
    </row>
    <row r="87" spans="1:16" ht="15" customHeight="1" x14ac:dyDescent="0.2">
      <c r="A87" s="243" t="str">
        <f>IFERROR(INDEX('All Ticker P&amp;L'!$A$2:$A$1001,MATCH(ROWS($A$2:A87),'All Ticker P&amp;L'!$N$2:$N$1001,0)),"")</f>
        <v/>
      </c>
      <c r="B87" s="243" t="str">
        <f t="shared" si="14"/>
        <v/>
      </c>
      <c r="C87" s="243" t="str">
        <f t="shared" si="15"/>
        <v/>
      </c>
      <c r="D87" s="243" t="str">
        <f t="shared" si="16"/>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7"/>
        <v/>
      </c>
      <c r="K87" s="287" t="str">
        <f t="shared" si="18"/>
        <v/>
      </c>
      <c r="L87" s="287" t="str">
        <f t="shared" si="19"/>
        <v/>
      </c>
      <c r="M87" s="290" t="str">
        <f t="shared" si="20"/>
        <v/>
      </c>
      <c r="N87" t="str">
        <f>IF($A87="","",IFERROR(INDEX(Prices[Category],MATCH($A87,Prices[Key],0)),"Uncategorized"))</f>
        <v/>
      </c>
      <c r="O87" s="291" t="str">
        <f t="shared" si="21"/>
        <v/>
      </c>
      <c r="P87" s="291" t="str">
        <f t="shared" si="22"/>
        <v/>
      </c>
    </row>
    <row r="88" spans="1:16" ht="15" customHeight="1" x14ac:dyDescent="0.2">
      <c r="A88" s="243" t="str">
        <f>IFERROR(INDEX('All Ticker P&amp;L'!$A$2:$A$1001,MATCH(ROWS($A$2:A88),'All Ticker P&amp;L'!$N$2:$N$1001,0)),"")</f>
        <v/>
      </c>
      <c r="B88" s="243" t="str">
        <f t="shared" si="14"/>
        <v/>
      </c>
      <c r="C88" s="243" t="str">
        <f t="shared" si="15"/>
        <v/>
      </c>
      <c r="D88" s="243" t="str">
        <f t="shared" si="16"/>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7"/>
        <v/>
      </c>
      <c r="K88" s="287" t="str">
        <f t="shared" si="18"/>
        <v/>
      </c>
      <c r="L88" s="287" t="str">
        <f t="shared" si="19"/>
        <v/>
      </c>
      <c r="M88" s="290" t="str">
        <f t="shared" si="20"/>
        <v/>
      </c>
      <c r="N88" t="str">
        <f>IF($A88="","",IFERROR(INDEX(Prices[Category],MATCH($A88,Prices[Key],0)),"Uncategorized"))</f>
        <v/>
      </c>
      <c r="O88" s="291" t="str">
        <f t="shared" si="21"/>
        <v/>
      </c>
      <c r="P88" s="291" t="str">
        <f t="shared" si="22"/>
        <v/>
      </c>
    </row>
    <row r="89" spans="1:16" ht="15" customHeight="1" x14ac:dyDescent="0.2">
      <c r="A89" s="243" t="str">
        <f>IFERROR(INDEX('All Ticker P&amp;L'!$A$2:$A$1001,MATCH(ROWS($A$2:A89),'All Ticker P&amp;L'!$N$2:$N$1001,0)),"")</f>
        <v/>
      </c>
      <c r="B89" s="243" t="str">
        <f t="shared" si="14"/>
        <v/>
      </c>
      <c r="C89" s="243" t="str">
        <f t="shared" si="15"/>
        <v/>
      </c>
      <c r="D89" s="243" t="str">
        <f t="shared" si="16"/>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7"/>
        <v/>
      </c>
      <c r="K89" s="287" t="str">
        <f t="shared" si="18"/>
        <v/>
      </c>
      <c r="L89" s="287" t="str">
        <f t="shared" si="19"/>
        <v/>
      </c>
      <c r="M89" s="290" t="str">
        <f t="shared" si="20"/>
        <v/>
      </c>
      <c r="N89" t="str">
        <f>IF($A89="","",IFERROR(INDEX(Prices[Category],MATCH($A89,Prices[Key],0)),"Uncategorized"))</f>
        <v/>
      </c>
      <c r="O89" s="291" t="str">
        <f t="shared" si="21"/>
        <v/>
      </c>
      <c r="P89" s="291" t="str">
        <f t="shared" si="22"/>
        <v/>
      </c>
    </row>
    <row r="90" spans="1:16" ht="15" customHeight="1" x14ac:dyDescent="0.2">
      <c r="A90" s="243" t="str">
        <f>IFERROR(INDEX('All Ticker P&amp;L'!$A$2:$A$1001,MATCH(ROWS($A$2:A90),'All Ticker P&amp;L'!$N$2:$N$1001,0)),"")</f>
        <v/>
      </c>
      <c r="B90" s="243" t="str">
        <f t="shared" si="14"/>
        <v/>
      </c>
      <c r="C90" s="243" t="str">
        <f t="shared" si="15"/>
        <v/>
      </c>
      <c r="D90" s="243" t="str">
        <f t="shared" si="16"/>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7"/>
        <v/>
      </c>
      <c r="K90" s="287" t="str">
        <f t="shared" si="18"/>
        <v/>
      </c>
      <c r="L90" s="287" t="str">
        <f t="shared" si="19"/>
        <v/>
      </c>
      <c r="M90" s="290" t="str">
        <f t="shared" si="20"/>
        <v/>
      </c>
      <c r="N90" t="str">
        <f>IF($A90="","",IFERROR(INDEX(Prices[Category],MATCH($A90,Prices[Key],0)),"Uncategorized"))</f>
        <v/>
      </c>
      <c r="O90" s="291" t="str">
        <f t="shared" si="21"/>
        <v/>
      </c>
      <c r="P90" s="291" t="str">
        <f t="shared" si="22"/>
        <v/>
      </c>
    </row>
    <row r="91" spans="1:16" ht="15" customHeight="1" x14ac:dyDescent="0.2">
      <c r="A91" s="243" t="str">
        <f>IFERROR(INDEX('All Ticker P&amp;L'!$A$2:$A$1001,MATCH(ROWS($A$2:A91),'All Ticker P&amp;L'!$N$2:$N$1001,0)),"")</f>
        <v/>
      </c>
      <c r="B91" s="243" t="str">
        <f t="shared" si="14"/>
        <v/>
      </c>
      <c r="C91" s="243" t="str">
        <f t="shared" si="15"/>
        <v/>
      </c>
      <c r="D91" s="243" t="str">
        <f t="shared" si="16"/>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7"/>
        <v/>
      </c>
      <c r="K91" s="287" t="str">
        <f t="shared" si="18"/>
        <v/>
      </c>
      <c r="L91" s="287" t="str">
        <f t="shared" si="19"/>
        <v/>
      </c>
      <c r="M91" s="290" t="str">
        <f t="shared" si="20"/>
        <v/>
      </c>
      <c r="N91" t="str">
        <f>IF($A91="","",IFERROR(INDEX(Prices[Category],MATCH($A91,Prices[Key],0)),"Uncategorized"))</f>
        <v/>
      </c>
      <c r="O91" s="291" t="str">
        <f t="shared" si="21"/>
        <v/>
      </c>
      <c r="P91" s="291" t="str">
        <f t="shared" si="22"/>
        <v/>
      </c>
    </row>
    <row r="92" spans="1:16" ht="15" customHeight="1" x14ac:dyDescent="0.2">
      <c r="A92" s="243" t="str">
        <f>IFERROR(INDEX('All Ticker P&amp;L'!$A$2:$A$1001,MATCH(ROWS($A$2:A92),'All Ticker P&amp;L'!$N$2:$N$1001,0)),"")</f>
        <v/>
      </c>
      <c r="B92" s="243" t="str">
        <f t="shared" si="14"/>
        <v/>
      </c>
      <c r="C92" s="243" t="str">
        <f t="shared" si="15"/>
        <v/>
      </c>
      <c r="D92" s="243" t="str">
        <f t="shared" si="16"/>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7"/>
        <v/>
      </c>
      <c r="K92" s="287" t="str">
        <f t="shared" si="18"/>
        <v/>
      </c>
      <c r="L92" s="287" t="str">
        <f t="shared" si="19"/>
        <v/>
      </c>
      <c r="M92" s="290" t="str">
        <f t="shared" si="20"/>
        <v/>
      </c>
      <c r="N92" t="str">
        <f>IF($A92="","",IFERROR(INDEX(Prices[Category],MATCH($A92,Prices[Key],0)),"Uncategorized"))</f>
        <v/>
      </c>
      <c r="O92" s="291" t="str">
        <f t="shared" si="21"/>
        <v/>
      </c>
      <c r="P92" s="291" t="str">
        <f t="shared" si="22"/>
        <v/>
      </c>
    </row>
    <row r="93" spans="1:16" ht="15" customHeight="1" x14ac:dyDescent="0.2">
      <c r="A93" s="243" t="str">
        <f>IFERROR(INDEX('All Ticker P&amp;L'!$A$2:$A$1001,MATCH(ROWS($A$2:A93),'All Ticker P&amp;L'!$N$2:$N$1001,0)),"")</f>
        <v/>
      </c>
      <c r="B93" s="243" t="str">
        <f t="shared" si="14"/>
        <v/>
      </c>
      <c r="C93" s="243" t="str">
        <f t="shared" si="15"/>
        <v/>
      </c>
      <c r="D93" s="243" t="str">
        <f t="shared" si="16"/>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7"/>
        <v/>
      </c>
      <c r="K93" s="287" t="str">
        <f t="shared" si="18"/>
        <v/>
      </c>
      <c r="L93" s="287" t="str">
        <f t="shared" si="19"/>
        <v/>
      </c>
      <c r="M93" s="290" t="str">
        <f t="shared" si="20"/>
        <v/>
      </c>
      <c r="N93" t="str">
        <f>IF($A93="","",IFERROR(INDEX(Prices[Category],MATCH($A93,Prices[Key],0)),"Uncategorized"))</f>
        <v/>
      </c>
      <c r="O93" s="291" t="str">
        <f t="shared" si="21"/>
        <v/>
      </c>
      <c r="P93" s="291" t="str">
        <f t="shared" si="22"/>
        <v/>
      </c>
    </row>
    <row r="94" spans="1:16" ht="15" customHeight="1" x14ac:dyDescent="0.2">
      <c r="A94" s="243" t="str">
        <f>IFERROR(INDEX('All Ticker P&amp;L'!$A$2:$A$1001,MATCH(ROWS($A$2:A94),'All Ticker P&amp;L'!$N$2:$N$1001,0)),"")</f>
        <v/>
      </c>
      <c r="B94" s="243" t="str">
        <f t="shared" si="14"/>
        <v/>
      </c>
      <c r="C94" s="243" t="str">
        <f t="shared" si="15"/>
        <v/>
      </c>
      <c r="D94" s="243" t="str">
        <f t="shared" si="16"/>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7"/>
        <v/>
      </c>
      <c r="K94" s="287" t="str">
        <f t="shared" si="18"/>
        <v/>
      </c>
      <c r="L94" s="287" t="str">
        <f t="shared" si="19"/>
        <v/>
      </c>
      <c r="M94" s="290" t="str">
        <f t="shared" si="20"/>
        <v/>
      </c>
      <c r="N94" t="str">
        <f>IF($A94="","",IFERROR(INDEX(Prices[Category],MATCH($A94,Prices[Key],0)),"Uncategorized"))</f>
        <v/>
      </c>
      <c r="O94" s="291" t="str">
        <f t="shared" si="21"/>
        <v/>
      </c>
      <c r="P94" s="291" t="str">
        <f t="shared" si="22"/>
        <v/>
      </c>
    </row>
    <row r="95" spans="1:16" ht="15" customHeight="1" x14ac:dyDescent="0.2">
      <c r="A95" s="243" t="str">
        <f>IFERROR(INDEX('All Ticker P&amp;L'!$A$2:$A$1001,MATCH(ROWS($A$2:A95),'All Ticker P&amp;L'!$N$2:$N$1001,0)),"")</f>
        <v/>
      </c>
      <c r="B95" s="243" t="str">
        <f t="shared" si="14"/>
        <v/>
      </c>
      <c r="C95" s="243" t="str">
        <f t="shared" si="15"/>
        <v/>
      </c>
      <c r="D95" s="243" t="str">
        <f t="shared" si="16"/>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7"/>
        <v/>
      </c>
      <c r="K95" s="287" t="str">
        <f t="shared" si="18"/>
        <v/>
      </c>
      <c r="L95" s="287" t="str">
        <f t="shared" si="19"/>
        <v/>
      </c>
      <c r="M95" s="290" t="str">
        <f t="shared" si="20"/>
        <v/>
      </c>
      <c r="N95" t="str">
        <f>IF($A95="","",IFERROR(INDEX(Prices[Category],MATCH($A95,Prices[Key],0)),"Uncategorized"))</f>
        <v/>
      </c>
      <c r="O95" s="291" t="str">
        <f t="shared" si="21"/>
        <v/>
      </c>
      <c r="P95" s="291" t="str">
        <f t="shared" si="22"/>
        <v/>
      </c>
    </row>
    <row r="96" spans="1:16" ht="15" customHeight="1" x14ac:dyDescent="0.2">
      <c r="A96" s="243" t="str">
        <f>IFERROR(INDEX('All Ticker P&amp;L'!$A$2:$A$1001,MATCH(ROWS($A$2:A96),'All Ticker P&amp;L'!$N$2:$N$1001,0)),"")</f>
        <v/>
      </c>
      <c r="B96" s="243" t="str">
        <f t="shared" si="14"/>
        <v/>
      </c>
      <c r="C96" s="243" t="str">
        <f t="shared" si="15"/>
        <v/>
      </c>
      <c r="D96" s="243" t="str">
        <f t="shared" si="16"/>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7"/>
        <v/>
      </c>
      <c r="K96" s="287" t="str">
        <f t="shared" si="18"/>
        <v/>
      </c>
      <c r="L96" s="287" t="str">
        <f t="shared" si="19"/>
        <v/>
      </c>
      <c r="M96" s="290" t="str">
        <f t="shared" si="20"/>
        <v/>
      </c>
      <c r="N96" t="str">
        <f>IF($A96="","",IFERROR(INDEX(Prices[Category],MATCH($A96,Prices[Key],0)),"Uncategorized"))</f>
        <v/>
      </c>
      <c r="O96" s="291" t="str">
        <f t="shared" si="21"/>
        <v/>
      </c>
      <c r="P96" s="291" t="str">
        <f t="shared" si="22"/>
        <v/>
      </c>
    </row>
    <row r="97" spans="1:16" ht="15" customHeight="1" x14ac:dyDescent="0.2">
      <c r="A97" s="243" t="str">
        <f>IFERROR(INDEX('All Ticker P&amp;L'!$A$2:$A$1001,MATCH(ROWS($A$2:A97),'All Ticker P&amp;L'!$N$2:$N$1001,0)),"")</f>
        <v/>
      </c>
      <c r="B97" s="243" t="str">
        <f t="shared" si="14"/>
        <v/>
      </c>
      <c r="C97" s="243" t="str">
        <f t="shared" si="15"/>
        <v/>
      </c>
      <c r="D97" s="243" t="str">
        <f t="shared" si="16"/>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7"/>
        <v/>
      </c>
      <c r="K97" s="287" t="str">
        <f t="shared" si="18"/>
        <v/>
      </c>
      <c r="L97" s="287" t="str">
        <f t="shared" si="19"/>
        <v/>
      </c>
      <c r="M97" s="290" t="str">
        <f t="shared" si="20"/>
        <v/>
      </c>
      <c r="N97" t="str">
        <f>IF($A97="","",IFERROR(INDEX(Prices[Category],MATCH($A97,Prices[Key],0)),"Uncategorized"))</f>
        <v/>
      </c>
      <c r="O97" s="291" t="str">
        <f t="shared" si="21"/>
        <v/>
      </c>
      <c r="P97" s="291" t="str">
        <f t="shared" si="22"/>
        <v/>
      </c>
    </row>
    <row r="98" spans="1:16" ht="15" customHeight="1" x14ac:dyDescent="0.2">
      <c r="A98" s="243" t="str">
        <f>IFERROR(INDEX('All Ticker P&amp;L'!$A$2:$A$1001,MATCH(ROWS($A$2:A98),'All Ticker P&amp;L'!$N$2:$N$1001,0)),"")</f>
        <v/>
      </c>
      <c r="B98" s="243" t="str">
        <f t="shared" si="14"/>
        <v/>
      </c>
      <c r="C98" s="243" t="str">
        <f t="shared" si="15"/>
        <v/>
      </c>
      <c r="D98" s="243" t="str">
        <f t="shared" si="16"/>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7"/>
        <v/>
      </c>
      <c r="K98" s="287" t="str">
        <f t="shared" si="18"/>
        <v/>
      </c>
      <c r="L98" s="287" t="str">
        <f t="shared" si="19"/>
        <v/>
      </c>
      <c r="M98" s="290" t="str">
        <f t="shared" si="20"/>
        <v/>
      </c>
      <c r="N98" t="str">
        <f>IF($A98="","",IFERROR(INDEX(Prices[Category],MATCH($A98,Prices[Key],0)),"Uncategorized"))</f>
        <v/>
      </c>
      <c r="O98" s="291" t="str">
        <f t="shared" si="21"/>
        <v/>
      </c>
      <c r="P98" s="291" t="str">
        <f t="shared" si="22"/>
        <v/>
      </c>
    </row>
    <row r="99" spans="1:16" ht="15" customHeight="1" x14ac:dyDescent="0.2">
      <c r="A99" s="243" t="str">
        <f>IFERROR(INDEX('All Ticker P&amp;L'!$A$2:$A$1001,MATCH(ROWS($A$2:A99),'All Ticker P&amp;L'!$N$2:$N$1001,0)),"")</f>
        <v/>
      </c>
      <c r="B99" s="243" t="str">
        <f t="shared" si="14"/>
        <v/>
      </c>
      <c r="C99" s="243" t="str">
        <f t="shared" si="15"/>
        <v/>
      </c>
      <c r="D99" s="243" t="str">
        <f t="shared" si="16"/>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7"/>
        <v/>
      </c>
      <c r="K99" s="287" t="str">
        <f t="shared" si="18"/>
        <v/>
      </c>
      <c r="L99" s="287" t="str">
        <f t="shared" si="19"/>
        <v/>
      </c>
      <c r="M99" s="290" t="str">
        <f t="shared" si="20"/>
        <v/>
      </c>
      <c r="N99" t="str">
        <f>IF($A99="","",IFERROR(INDEX(Prices[Category],MATCH($A99,Prices[Key],0)),"Uncategorized"))</f>
        <v/>
      </c>
      <c r="O99" s="291" t="str">
        <f t="shared" si="21"/>
        <v/>
      </c>
      <c r="P99" s="291" t="str">
        <f t="shared" si="22"/>
        <v/>
      </c>
    </row>
    <row r="100" spans="1:16" ht="15" customHeight="1" x14ac:dyDescent="0.2">
      <c r="A100" s="243" t="str">
        <f>IFERROR(INDEX('All Ticker P&amp;L'!$A$2:$A$1001,MATCH(ROWS($A$2:A100),'All Ticker P&amp;L'!$N$2:$N$1001,0)),"")</f>
        <v/>
      </c>
      <c r="B100" s="243" t="str">
        <f t="shared" si="14"/>
        <v/>
      </c>
      <c r="C100" s="243" t="str">
        <f t="shared" si="15"/>
        <v/>
      </c>
      <c r="D100" s="243" t="str">
        <f t="shared" si="16"/>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7"/>
        <v/>
      </c>
      <c r="K100" s="287" t="str">
        <f t="shared" si="18"/>
        <v/>
      </c>
      <c r="L100" s="287" t="str">
        <f t="shared" si="19"/>
        <v/>
      </c>
      <c r="M100" s="290" t="str">
        <f t="shared" si="20"/>
        <v/>
      </c>
      <c r="N100" t="str">
        <f>IF($A100="","",IFERROR(INDEX(Prices[Category],MATCH($A100,Prices[Key],0)),"Uncategorized"))</f>
        <v/>
      </c>
      <c r="O100" s="291" t="str">
        <f t="shared" si="21"/>
        <v/>
      </c>
      <c r="P100" s="291" t="str">
        <f t="shared" si="22"/>
        <v/>
      </c>
    </row>
    <row r="101" spans="1:16" ht="15" customHeight="1" x14ac:dyDescent="0.2">
      <c r="A101" s="243" t="str">
        <f>IFERROR(INDEX('All Ticker P&amp;L'!$A$2:$A$1001,MATCH(ROWS($A$2:A101),'All Ticker P&amp;L'!$N$2:$N$1001,0)),"")</f>
        <v/>
      </c>
      <c r="B101" s="243" t="str">
        <f t="shared" si="14"/>
        <v/>
      </c>
      <c r="C101" s="243" t="str">
        <f t="shared" si="15"/>
        <v/>
      </c>
      <c r="D101" s="243" t="str">
        <f t="shared" si="16"/>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7"/>
        <v/>
      </c>
      <c r="K101" s="287" t="str">
        <f t="shared" si="18"/>
        <v/>
      </c>
      <c r="L101" s="287" t="str">
        <f t="shared" si="19"/>
        <v/>
      </c>
      <c r="M101" s="290" t="str">
        <f t="shared" si="20"/>
        <v/>
      </c>
      <c r="N101" t="str">
        <f>IF($A101="","",IFERROR(INDEX(Prices[Category],MATCH($A101,Prices[Key],0)),"Uncategorized"))</f>
        <v/>
      </c>
      <c r="O101" s="291" t="str">
        <f t="shared" si="21"/>
        <v/>
      </c>
      <c r="P101" s="291" t="str">
        <f t="shared" si="22"/>
        <v/>
      </c>
    </row>
    <row r="102" spans="1:16" ht="15" customHeight="1" x14ac:dyDescent="0.2">
      <c r="A102" s="243" t="str">
        <f>IFERROR(INDEX('All Ticker P&amp;L'!$A$2:$A$1001,MATCH(ROWS($A$2:A102),'All Ticker P&amp;L'!$N$2:$N$1001,0)),"")</f>
        <v/>
      </c>
      <c r="B102" s="243" t="str">
        <f t="shared" si="14"/>
        <v/>
      </c>
      <c r="C102" s="243" t="str">
        <f t="shared" si="15"/>
        <v/>
      </c>
      <c r="D102" s="243" t="str">
        <f t="shared" si="16"/>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7"/>
        <v/>
      </c>
      <c r="K102" s="287" t="str">
        <f t="shared" si="18"/>
        <v/>
      </c>
      <c r="L102" s="287" t="str">
        <f t="shared" si="19"/>
        <v/>
      </c>
      <c r="M102" s="290" t="str">
        <f t="shared" si="20"/>
        <v/>
      </c>
      <c r="N102" t="str">
        <f>IF($A102="","",IFERROR(INDEX(Prices[Category],MATCH($A102,Prices[Key],0)),"Uncategorized"))</f>
        <v/>
      </c>
      <c r="O102" s="291" t="str">
        <f t="shared" si="21"/>
        <v/>
      </c>
      <c r="P102" s="291" t="str">
        <f t="shared" si="22"/>
        <v/>
      </c>
    </row>
    <row r="103" spans="1:16" ht="15" customHeight="1" x14ac:dyDescent="0.2">
      <c r="A103" s="243" t="str">
        <f>IFERROR(INDEX('All Ticker P&amp;L'!$A$2:$A$1001,MATCH(ROWS($A$2:A103),'All Ticker P&amp;L'!$N$2:$N$1001,0)),"")</f>
        <v/>
      </c>
      <c r="B103" s="243" t="str">
        <f t="shared" si="14"/>
        <v/>
      </c>
      <c r="C103" s="243" t="str">
        <f t="shared" si="15"/>
        <v/>
      </c>
      <c r="D103" s="243" t="str">
        <f t="shared" si="16"/>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7"/>
        <v/>
      </c>
      <c r="K103" s="287" t="str">
        <f t="shared" si="18"/>
        <v/>
      </c>
      <c r="L103" s="287" t="str">
        <f t="shared" si="19"/>
        <v/>
      </c>
      <c r="M103" s="290" t="str">
        <f t="shared" si="20"/>
        <v/>
      </c>
      <c r="N103" t="str">
        <f>IF($A103="","",IFERROR(INDEX(Prices[Category],MATCH($A103,Prices[Key],0)),"Uncategorized"))</f>
        <v/>
      </c>
      <c r="O103" s="291" t="str">
        <f t="shared" si="21"/>
        <v/>
      </c>
      <c r="P103" s="291" t="str">
        <f t="shared" si="22"/>
        <v/>
      </c>
    </row>
    <row r="104" spans="1:16" ht="15" customHeight="1" x14ac:dyDescent="0.2">
      <c r="A104" s="243" t="str">
        <f>IFERROR(INDEX('All Ticker P&amp;L'!$A$2:$A$1001,MATCH(ROWS($A$2:A104),'All Ticker P&amp;L'!$N$2:$N$1001,0)),"")</f>
        <v/>
      </c>
      <c r="B104" s="243" t="str">
        <f t="shared" si="14"/>
        <v/>
      </c>
      <c r="C104" s="243" t="str">
        <f t="shared" si="15"/>
        <v/>
      </c>
      <c r="D104" s="243" t="str">
        <f t="shared" si="16"/>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7"/>
        <v/>
      </c>
      <c r="K104" s="287" t="str">
        <f t="shared" si="18"/>
        <v/>
      </c>
      <c r="L104" s="287" t="str">
        <f t="shared" si="19"/>
        <v/>
      </c>
      <c r="M104" s="290" t="str">
        <f t="shared" si="20"/>
        <v/>
      </c>
      <c r="N104" t="str">
        <f>IF($A104="","",IFERROR(INDEX(Prices[Category],MATCH($A104,Prices[Key],0)),"Uncategorized"))</f>
        <v/>
      </c>
      <c r="O104" s="291" t="str">
        <f t="shared" si="21"/>
        <v/>
      </c>
      <c r="P104" s="291" t="str">
        <f t="shared" si="22"/>
        <v/>
      </c>
    </row>
    <row r="105" spans="1:16" ht="15" customHeight="1" x14ac:dyDescent="0.2">
      <c r="A105" s="243" t="str">
        <f>IFERROR(INDEX('All Ticker P&amp;L'!$A$2:$A$1001,MATCH(ROWS($A$2:A105),'All Ticker P&amp;L'!$N$2:$N$1001,0)),"")</f>
        <v/>
      </c>
      <c r="B105" s="243" t="str">
        <f t="shared" si="14"/>
        <v/>
      </c>
      <c r="C105" s="243" t="str">
        <f t="shared" si="15"/>
        <v/>
      </c>
      <c r="D105" s="243" t="str">
        <f t="shared" si="16"/>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7"/>
        <v/>
      </c>
      <c r="K105" s="287" t="str">
        <f t="shared" si="18"/>
        <v/>
      </c>
      <c r="L105" s="287" t="str">
        <f t="shared" si="19"/>
        <v/>
      </c>
      <c r="M105" s="290" t="str">
        <f t="shared" si="20"/>
        <v/>
      </c>
      <c r="N105" t="str">
        <f>IF($A105="","",IFERROR(INDEX(Prices[Category],MATCH($A105,Prices[Key],0)),"Uncategorized"))</f>
        <v/>
      </c>
      <c r="O105" s="291" t="str">
        <f t="shared" si="21"/>
        <v/>
      </c>
      <c r="P105" s="291" t="str">
        <f t="shared" si="22"/>
        <v/>
      </c>
    </row>
    <row r="106" spans="1:16" ht="15" customHeight="1" x14ac:dyDescent="0.2">
      <c r="A106" s="243" t="str">
        <f>IFERROR(INDEX('All Ticker P&amp;L'!$A$2:$A$1001,MATCH(ROWS($A$2:A106),'All Ticker P&amp;L'!$N$2:$N$1001,0)),"")</f>
        <v/>
      </c>
      <c r="B106" s="243" t="str">
        <f t="shared" si="14"/>
        <v/>
      </c>
      <c r="C106" s="243" t="str">
        <f t="shared" si="15"/>
        <v/>
      </c>
      <c r="D106" s="243" t="str">
        <f t="shared" si="16"/>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7"/>
        <v/>
      </c>
      <c r="K106" s="287" t="str">
        <f t="shared" si="18"/>
        <v/>
      </c>
      <c r="L106" s="287" t="str">
        <f t="shared" si="19"/>
        <v/>
      </c>
      <c r="M106" s="290" t="str">
        <f t="shared" si="20"/>
        <v/>
      </c>
      <c r="N106" t="str">
        <f>IF($A106="","",IFERROR(INDEX(Prices[Category],MATCH($A106,Prices[Key],0)),"Uncategorized"))</f>
        <v/>
      </c>
      <c r="O106" s="291" t="str">
        <f t="shared" si="21"/>
        <v/>
      </c>
      <c r="P106" s="291" t="str">
        <f t="shared" si="22"/>
        <v/>
      </c>
    </row>
    <row r="107" spans="1:16" ht="15" customHeight="1" x14ac:dyDescent="0.2">
      <c r="A107" s="243" t="str">
        <f>IFERROR(INDEX('All Ticker P&amp;L'!$A$2:$A$1001,MATCH(ROWS($A$2:A107),'All Ticker P&amp;L'!$N$2:$N$1001,0)),"")</f>
        <v/>
      </c>
      <c r="B107" s="243" t="str">
        <f t="shared" si="14"/>
        <v/>
      </c>
      <c r="C107" s="243" t="str">
        <f t="shared" si="15"/>
        <v/>
      </c>
      <c r="D107" s="243" t="str">
        <f t="shared" si="16"/>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7"/>
        <v/>
      </c>
      <c r="K107" s="287" t="str">
        <f t="shared" si="18"/>
        <v/>
      </c>
      <c r="L107" s="287" t="str">
        <f t="shared" si="19"/>
        <v/>
      </c>
      <c r="M107" s="290" t="str">
        <f t="shared" si="20"/>
        <v/>
      </c>
      <c r="N107" t="str">
        <f>IF($A107="","",IFERROR(INDEX(Prices[Category],MATCH($A107,Prices[Key],0)),"Uncategorized"))</f>
        <v/>
      </c>
      <c r="O107" s="291" t="str">
        <f t="shared" si="21"/>
        <v/>
      </c>
      <c r="P107" s="291" t="str">
        <f t="shared" si="22"/>
        <v/>
      </c>
    </row>
    <row r="108" spans="1:16" ht="15" customHeight="1" x14ac:dyDescent="0.2">
      <c r="A108" s="243" t="str">
        <f>IFERROR(INDEX('All Ticker P&amp;L'!$A$2:$A$1001,MATCH(ROWS($A$2:A108),'All Ticker P&amp;L'!$N$2:$N$1001,0)),"")</f>
        <v/>
      </c>
      <c r="B108" s="243" t="str">
        <f t="shared" si="14"/>
        <v/>
      </c>
      <c r="C108" s="243" t="str">
        <f t="shared" si="15"/>
        <v/>
      </c>
      <c r="D108" s="243" t="str">
        <f t="shared" si="16"/>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7"/>
        <v/>
      </c>
      <c r="K108" s="287" t="str">
        <f t="shared" si="18"/>
        <v/>
      </c>
      <c r="L108" s="287" t="str">
        <f t="shared" si="19"/>
        <v/>
      </c>
      <c r="M108" s="290" t="str">
        <f t="shared" si="20"/>
        <v/>
      </c>
      <c r="N108" t="str">
        <f>IF($A108="","",IFERROR(INDEX(Prices[Category],MATCH($A108,Prices[Key],0)),"Uncategorized"))</f>
        <v/>
      </c>
      <c r="O108" s="291" t="str">
        <f t="shared" si="21"/>
        <v/>
      </c>
      <c r="P108" s="291" t="str">
        <f t="shared" si="22"/>
        <v/>
      </c>
    </row>
    <row r="109" spans="1:16" ht="15" customHeight="1" x14ac:dyDescent="0.2">
      <c r="A109" s="243" t="str">
        <f>IFERROR(INDEX('All Ticker P&amp;L'!$A$2:$A$1001,MATCH(ROWS($A$2:A109),'All Ticker P&amp;L'!$N$2:$N$1001,0)),"")</f>
        <v/>
      </c>
      <c r="B109" s="243" t="str">
        <f t="shared" si="14"/>
        <v/>
      </c>
      <c r="C109" s="243" t="str">
        <f t="shared" si="15"/>
        <v/>
      </c>
      <c r="D109" s="243" t="str">
        <f t="shared" si="16"/>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7"/>
        <v/>
      </c>
      <c r="K109" s="287" t="str">
        <f t="shared" si="18"/>
        <v/>
      </c>
      <c r="L109" s="287" t="str">
        <f t="shared" si="19"/>
        <v/>
      </c>
      <c r="M109" s="290" t="str">
        <f t="shared" si="20"/>
        <v/>
      </c>
      <c r="N109" t="str">
        <f>IF($A109="","",IFERROR(INDEX(Prices[Category],MATCH($A109,Prices[Key],0)),"Uncategorized"))</f>
        <v/>
      </c>
      <c r="O109" s="291" t="str">
        <f t="shared" si="21"/>
        <v/>
      </c>
      <c r="P109" s="291" t="str">
        <f t="shared" si="22"/>
        <v/>
      </c>
    </row>
    <row r="110" spans="1:16" ht="15" customHeight="1" x14ac:dyDescent="0.2">
      <c r="A110" s="243" t="str">
        <f>IFERROR(INDEX('All Ticker P&amp;L'!$A$2:$A$1001,MATCH(ROWS($A$2:A110),'All Ticker P&amp;L'!$N$2:$N$1001,0)),"")</f>
        <v/>
      </c>
      <c r="B110" s="243" t="str">
        <f t="shared" si="14"/>
        <v/>
      </c>
      <c r="C110" s="243" t="str">
        <f t="shared" si="15"/>
        <v/>
      </c>
      <c r="D110" s="243" t="str">
        <f t="shared" si="16"/>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7"/>
        <v/>
      </c>
      <c r="K110" s="287" t="str">
        <f t="shared" si="18"/>
        <v/>
      </c>
      <c r="L110" s="287" t="str">
        <f t="shared" si="19"/>
        <v/>
      </c>
      <c r="M110" s="290" t="str">
        <f t="shared" si="20"/>
        <v/>
      </c>
      <c r="N110" t="str">
        <f>IF($A110="","",IFERROR(INDEX(Prices[Category],MATCH($A110,Prices[Key],0)),"Uncategorized"))</f>
        <v/>
      </c>
      <c r="O110" s="291" t="str">
        <f t="shared" si="21"/>
        <v/>
      </c>
      <c r="P110" s="291" t="str">
        <f t="shared" si="22"/>
        <v/>
      </c>
    </row>
    <row r="111" spans="1:16" ht="15" customHeight="1" x14ac:dyDescent="0.2">
      <c r="A111" s="243" t="str">
        <f>IFERROR(INDEX('All Ticker P&amp;L'!$A$2:$A$1001,MATCH(ROWS($A$2:A111),'All Ticker P&amp;L'!$N$2:$N$1001,0)),"")</f>
        <v/>
      </c>
      <c r="B111" s="243" t="str">
        <f t="shared" si="14"/>
        <v/>
      </c>
      <c r="C111" s="243" t="str">
        <f t="shared" si="15"/>
        <v/>
      </c>
      <c r="D111" s="243" t="str">
        <f t="shared" si="16"/>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7"/>
        <v/>
      </c>
      <c r="K111" s="287" t="str">
        <f t="shared" si="18"/>
        <v/>
      </c>
      <c r="L111" s="287" t="str">
        <f t="shared" si="19"/>
        <v/>
      </c>
      <c r="M111" s="290" t="str">
        <f t="shared" si="20"/>
        <v/>
      </c>
      <c r="N111" t="str">
        <f>IF($A111="","",IFERROR(INDEX(Prices[Category],MATCH($A111,Prices[Key],0)),"Uncategorized"))</f>
        <v/>
      </c>
      <c r="O111" s="291" t="str">
        <f t="shared" si="21"/>
        <v/>
      </c>
      <c r="P111" s="291" t="str">
        <f t="shared" si="22"/>
        <v/>
      </c>
    </row>
    <row r="112" spans="1:16" ht="15" customHeight="1" x14ac:dyDescent="0.2">
      <c r="A112" s="243" t="str">
        <f>IFERROR(INDEX('All Ticker P&amp;L'!$A$2:$A$1001,MATCH(ROWS($A$2:A112),'All Ticker P&amp;L'!$N$2:$N$1001,0)),"")</f>
        <v/>
      </c>
      <c r="B112" s="243" t="str">
        <f t="shared" si="14"/>
        <v/>
      </c>
      <c r="C112" s="243" t="str">
        <f t="shared" si="15"/>
        <v/>
      </c>
      <c r="D112" s="243" t="str">
        <f t="shared" si="16"/>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7"/>
        <v/>
      </c>
      <c r="K112" s="287" t="str">
        <f t="shared" si="18"/>
        <v/>
      </c>
      <c r="L112" s="287" t="str">
        <f t="shared" si="19"/>
        <v/>
      </c>
      <c r="M112" s="290" t="str">
        <f t="shared" si="20"/>
        <v/>
      </c>
      <c r="N112" t="str">
        <f>IF($A112="","",IFERROR(INDEX(Prices[Category],MATCH($A112,Prices[Key],0)),"Uncategorized"))</f>
        <v/>
      </c>
      <c r="O112" s="291" t="str">
        <f t="shared" si="21"/>
        <v/>
      </c>
      <c r="P112" s="291" t="str">
        <f t="shared" si="22"/>
        <v/>
      </c>
    </row>
    <row r="113" spans="1:16" ht="15" customHeight="1" x14ac:dyDescent="0.2">
      <c r="A113" s="243" t="str">
        <f>IFERROR(INDEX('All Ticker P&amp;L'!$A$2:$A$1001,MATCH(ROWS($A$2:A113),'All Ticker P&amp;L'!$N$2:$N$1001,0)),"")</f>
        <v/>
      </c>
      <c r="B113" s="243" t="str">
        <f t="shared" si="14"/>
        <v/>
      </c>
      <c r="C113" s="243" t="str">
        <f t="shared" si="15"/>
        <v/>
      </c>
      <c r="D113" s="243" t="str">
        <f t="shared" si="16"/>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7"/>
        <v/>
      </c>
      <c r="K113" s="287" t="str">
        <f t="shared" si="18"/>
        <v/>
      </c>
      <c r="L113" s="287" t="str">
        <f t="shared" si="19"/>
        <v/>
      </c>
      <c r="M113" s="290" t="str">
        <f t="shared" si="20"/>
        <v/>
      </c>
      <c r="N113" t="str">
        <f>IF($A113="","",IFERROR(INDEX(Prices[Category],MATCH($A113,Prices[Key],0)),"Uncategorized"))</f>
        <v/>
      </c>
      <c r="O113" s="291" t="str">
        <f t="shared" si="21"/>
        <v/>
      </c>
      <c r="P113" s="291" t="str">
        <f t="shared" si="22"/>
        <v/>
      </c>
    </row>
    <row r="114" spans="1:16" ht="15" customHeight="1" x14ac:dyDescent="0.2">
      <c r="A114" s="243" t="str">
        <f>IFERROR(INDEX('All Ticker P&amp;L'!$A$2:$A$1001,MATCH(ROWS($A$2:A114),'All Ticker P&amp;L'!$N$2:$N$1001,0)),"")</f>
        <v/>
      </c>
      <c r="B114" s="243" t="str">
        <f t="shared" si="14"/>
        <v/>
      </c>
      <c r="C114" s="243" t="str">
        <f t="shared" si="15"/>
        <v/>
      </c>
      <c r="D114" s="243" t="str">
        <f t="shared" si="16"/>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7"/>
        <v/>
      </c>
      <c r="K114" s="287" t="str">
        <f t="shared" si="18"/>
        <v/>
      </c>
      <c r="L114" s="287" t="str">
        <f t="shared" si="19"/>
        <v/>
      </c>
      <c r="M114" s="290" t="str">
        <f t="shared" si="20"/>
        <v/>
      </c>
      <c r="N114" t="str">
        <f>IF($A114="","",IFERROR(INDEX(Prices[Category],MATCH($A114,Prices[Key],0)),"Uncategorized"))</f>
        <v/>
      </c>
      <c r="O114" s="291" t="str">
        <f t="shared" si="21"/>
        <v/>
      </c>
      <c r="P114" s="291" t="str">
        <f t="shared" si="22"/>
        <v/>
      </c>
    </row>
    <row r="115" spans="1:16" ht="15" customHeight="1" x14ac:dyDescent="0.2">
      <c r="A115" s="243" t="str">
        <f>IFERROR(INDEX('All Ticker P&amp;L'!$A$2:$A$1001,MATCH(ROWS($A$2:A115),'All Ticker P&amp;L'!$N$2:$N$1001,0)),"")</f>
        <v/>
      </c>
      <c r="B115" s="243" t="str">
        <f t="shared" si="14"/>
        <v/>
      </c>
      <c r="C115" s="243" t="str">
        <f t="shared" si="15"/>
        <v/>
      </c>
      <c r="D115" s="243" t="str">
        <f t="shared" si="16"/>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7"/>
        <v/>
      </c>
      <c r="K115" s="287" t="str">
        <f t="shared" si="18"/>
        <v/>
      </c>
      <c r="L115" s="287" t="str">
        <f t="shared" si="19"/>
        <v/>
      </c>
      <c r="M115" s="290" t="str">
        <f t="shared" si="20"/>
        <v/>
      </c>
      <c r="N115" t="str">
        <f>IF($A115="","",IFERROR(INDEX(Prices[Category],MATCH($A115,Prices[Key],0)),"Uncategorized"))</f>
        <v/>
      </c>
      <c r="O115" s="291" t="str">
        <f t="shared" si="21"/>
        <v/>
      </c>
      <c r="P115" s="291" t="str">
        <f t="shared" si="22"/>
        <v/>
      </c>
    </row>
    <row r="116" spans="1:16" ht="15" customHeight="1" x14ac:dyDescent="0.2">
      <c r="A116" s="243" t="str">
        <f>IFERROR(INDEX('All Ticker P&amp;L'!$A$2:$A$1001,MATCH(ROWS($A$2:A116),'All Ticker P&amp;L'!$N$2:$N$1001,0)),"")</f>
        <v/>
      </c>
      <c r="B116" s="243" t="str">
        <f t="shared" si="14"/>
        <v/>
      </c>
      <c r="C116" s="243" t="str">
        <f t="shared" si="15"/>
        <v/>
      </c>
      <c r="D116" s="243" t="str">
        <f t="shared" si="16"/>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7"/>
        <v/>
      </c>
      <c r="K116" s="287" t="str">
        <f t="shared" si="18"/>
        <v/>
      </c>
      <c r="L116" s="287" t="str">
        <f t="shared" si="19"/>
        <v/>
      </c>
      <c r="M116" s="290" t="str">
        <f t="shared" si="20"/>
        <v/>
      </c>
      <c r="N116" t="str">
        <f>IF($A116="","",IFERROR(INDEX(Prices[Category],MATCH($A116,Prices[Key],0)),"Uncategorized"))</f>
        <v/>
      </c>
      <c r="O116" s="291" t="str">
        <f t="shared" si="21"/>
        <v/>
      </c>
      <c r="P116" s="291" t="str">
        <f t="shared" si="22"/>
        <v/>
      </c>
    </row>
    <row r="117" spans="1:16" ht="15" customHeight="1" x14ac:dyDescent="0.2">
      <c r="A117" s="243" t="str">
        <f>IFERROR(INDEX('All Ticker P&amp;L'!$A$2:$A$1001,MATCH(ROWS($A$2:A117),'All Ticker P&amp;L'!$N$2:$N$1001,0)),"")</f>
        <v/>
      </c>
      <c r="B117" s="243" t="str">
        <f t="shared" si="14"/>
        <v/>
      </c>
      <c r="C117" s="243" t="str">
        <f t="shared" si="15"/>
        <v/>
      </c>
      <c r="D117" s="243" t="str">
        <f t="shared" si="16"/>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7"/>
        <v/>
      </c>
      <c r="K117" s="287" t="str">
        <f t="shared" si="18"/>
        <v/>
      </c>
      <c r="L117" s="287" t="str">
        <f t="shared" si="19"/>
        <v/>
      </c>
      <c r="M117" s="290" t="str">
        <f t="shared" si="20"/>
        <v/>
      </c>
      <c r="N117" t="str">
        <f>IF($A117="","",IFERROR(INDEX(Prices[Category],MATCH($A117,Prices[Key],0)),"Uncategorized"))</f>
        <v/>
      </c>
      <c r="O117" s="291" t="str">
        <f t="shared" si="21"/>
        <v/>
      </c>
      <c r="P117" s="291" t="str">
        <f t="shared" si="22"/>
        <v/>
      </c>
    </row>
    <row r="118" spans="1:16" ht="15" customHeight="1" x14ac:dyDescent="0.2">
      <c r="A118" s="243" t="str">
        <f>IFERROR(INDEX('All Ticker P&amp;L'!$A$2:$A$1001,MATCH(ROWS($A$2:A118),'All Ticker P&amp;L'!$N$2:$N$1001,0)),"")</f>
        <v/>
      </c>
      <c r="B118" s="243" t="str">
        <f t="shared" si="14"/>
        <v/>
      </c>
      <c r="C118" s="243" t="str">
        <f t="shared" si="15"/>
        <v/>
      </c>
      <c r="D118" s="243" t="str">
        <f t="shared" si="16"/>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7"/>
        <v/>
      </c>
      <c r="K118" s="287" t="str">
        <f t="shared" si="18"/>
        <v/>
      </c>
      <c r="L118" s="287" t="str">
        <f t="shared" si="19"/>
        <v/>
      </c>
      <c r="M118" s="290" t="str">
        <f t="shared" si="20"/>
        <v/>
      </c>
      <c r="N118" t="str">
        <f>IF($A118="","",IFERROR(INDEX(Prices[Category],MATCH($A118,Prices[Key],0)),"Uncategorized"))</f>
        <v/>
      </c>
      <c r="O118" s="291" t="str">
        <f t="shared" si="21"/>
        <v/>
      </c>
      <c r="P118" s="291" t="str">
        <f t="shared" si="22"/>
        <v/>
      </c>
    </row>
    <row r="119" spans="1:16" ht="15" customHeight="1" x14ac:dyDescent="0.2">
      <c r="A119" s="243" t="str">
        <f>IFERROR(INDEX('All Ticker P&amp;L'!$A$2:$A$1001,MATCH(ROWS($A$2:A119),'All Ticker P&amp;L'!$N$2:$N$1001,0)),"")</f>
        <v/>
      </c>
      <c r="B119" s="243" t="str">
        <f t="shared" si="14"/>
        <v/>
      </c>
      <c r="C119" s="243" t="str">
        <f t="shared" si="15"/>
        <v/>
      </c>
      <c r="D119" s="243" t="str">
        <f t="shared" si="16"/>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7"/>
        <v/>
      </c>
      <c r="K119" s="287" t="str">
        <f t="shared" si="18"/>
        <v/>
      </c>
      <c r="L119" s="287" t="str">
        <f t="shared" si="19"/>
        <v/>
      </c>
      <c r="M119" s="290" t="str">
        <f t="shared" si="20"/>
        <v/>
      </c>
      <c r="N119" t="str">
        <f>IF($A119="","",IFERROR(INDEX(Prices[Category],MATCH($A119,Prices[Key],0)),"Uncategorized"))</f>
        <v/>
      </c>
      <c r="O119" s="291" t="str">
        <f t="shared" si="21"/>
        <v/>
      </c>
      <c r="P119" s="291" t="str">
        <f t="shared" si="22"/>
        <v/>
      </c>
    </row>
    <row r="120" spans="1:16" ht="15" customHeight="1" x14ac:dyDescent="0.2">
      <c r="A120" s="243" t="str">
        <f>IFERROR(INDEX('All Ticker P&amp;L'!$A$2:$A$1001,MATCH(ROWS($A$2:A120),'All Ticker P&amp;L'!$N$2:$N$1001,0)),"")</f>
        <v/>
      </c>
      <c r="B120" s="243" t="str">
        <f t="shared" si="14"/>
        <v/>
      </c>
      <c r="C120" s="243" t="str">
        <f t="shared" si="15"/>
        <v/>
      </c>
      <c r="D120" s="243" t="str">
        <f t="shared" si="16"/>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7"/>
        <v/>
      </c>
      <c r="K120" s="287" t="str">
        <f t="shared" si="18"/>
        <v/>
      </c>
      <c r="L120" s="287" t="str">
        <f t="shared" si="19"/>
        <v/>
      </c>
      <c r="M120" s="290" t="str">
        <f t="shared" si="20"/>
        <v/>
      </c>
      <c r="N120" t="str">
        <f>IF($A120="","",IFERROR(INDEX(Prices[Category],MATCH($A120,Prices[Key],0)),"Uncategorized"))</f>
        <v/>
      </c>
      <c r="O120" s="291" t="str">
        <f t="shared" si="21"/>
        <v/>
      </c>
      <c r="P120" s="291" t="str">
        <f t="shared" si="22"/>
        <v/>
      </c>
    </row>
    <row r="121" spans="1:16" ht="15" customHeight="1" x14ac:dyDescent="0.2">
      <c r="A121" s="243" t="str">
        <f>IFERROR(INDEX('All Ticker P&amp;L'!$A$2:$A$1001,MATCH(ROWS($A$2:A121),'All Ticker P&amp;L'!$N$2:$N$1001,0)),"")</f>
        <v/>
      </c>
      <c r="B121" s="243" t="str">
        <f t="shared" si="14"/>
        <v/>
      </c>
      <c r="C121" s="243" t="str">
        <f t="shared" si="15"/>
        <v/>
      </c>
      <c r="D121" s="243" t="str">
        <f t="shared" si="16"/>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7"/>
        <v/>
      </c>
      <c r="K121" s="287" t="str">
        <f t="shared" si="18"/>
        <v/>
      </c>
      <c r="L121" s="287" t="str">
        <f t="shared" si="19"/>
        <v/>
      </c>
      <c r="M121" s="290" t="str">
        <f t="shared" si="20"/>
        <v/>
      </c>
      <c r="N121" t="str">
        <f>IF($A121="","",IFERROR(INDEX(Prices[Category],MATCH($A121,Prices[Key],0)),"Uncategorized"))</f>
        <v/>
      </c>
      <c r="O121" s="291" t="str">
        <f t="shared" si="21"/>
        <v/>
      </c>
      <c r="P121" s="291" t="str">
        <f t="shared" si="22"/>
        <v/>
      </c>
    </row>
    <row r="122" spans="1:16" ht="15" customHeight="1" x14ac:dyDescent="0.2">
      <c r="A122" s="243" t="str">
        <f>IFERROR(INDEX('All Ticker P&amp;L'!$A$2:$A$1001,MATCH(ROWS($A$2:A122),'All Ticker P&amp;L'!$N$2:$N$1001,0)),"")</f>
        <v/>
      </c>
      <c r="B122" s="243" t="str">
        <f t="shared" si="14"/>
        <v/>
      </c>
      <c r="C122" s="243" t="str">
        <f t="shared" si="15"/>
        <v/>
      </c>
      <c r="D122" s="243" t="str">
        <f t="shared" si="16"/>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7"/>
        <v/>
      </c>
      <c r="K122" s="287" t="str">
        <f t="shared" si="18"/>
        <v/>
      </c>
      <c r="L122" s="287" t="str">
        <f t="shared" si="19"/>
        <v/>
      </c>
      <c r="M122" s="290" t="str">
        <f t="shared" si="20"/>
        <v/>
      </c>
      <c r="N122" t="str">
        <f>IF($A122="","",IFERROR(INDEX(Prices[Category],MATCH($A122,Prices[Key],0)),"Uncategorized"))</f>
        <v/>
      </c>
      <c r="O122" s="291" t="str">
        <f t="shared" si="21"/>
        <v/>
      </c>
      <c r="P122" s="291" t="str">
        <f t="shared" si="22"/>
        <v/>
      </c>
    </row>
    <row r="123" spans="1:16" ht="15" customHeight="1" x14ac:dyDescent="0.2">
      <c r="A123" s="243" t="str">
        <f>IFERROR(INDEX('All Ticker P&amp;L'!$A$2:$A$1001,MATCH(ROWS($A$2:A123),'All Ticker P&amp;L'!$N$2:$N$1001,0)),"")</f>
        <v/>
      </c>
      <c r="B123" s="243" t="str">
        <f t="shared" si="14"/>
        <v/>
      </c>
      <c r="C123" s="243" t="str">
        <f t="shared" si="15"/>
        <v/>
      </c>
      <c r="D123" s="243" t="str">
        <f t="shared" si="16"/>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7"/>
        <v/>
      </c>
      <c r="K123" s="287" t="str">
        <f t="shared" si="18"/>
        <v/>
      </c>
      <c r="L123" s="287" t="str">
        <f t="shared" si="19"/>
        <v/>
      </c>
      <c r="M123" s="290" t="str">
        <f t="shared" si="20"/>
        <v/>
      </c>
      <c r="N123" t="str">
        <f>IF($A123="","",IFERROR(INDEX(Prices[Category],MATCH($A123,Prices[Key],0)),"Uncategorized"))</f>
        <v/>
      </c>
      <c r="O123" s="291" t="str">
        <f t="shared" si="21"/>
        <v/>
      </c>
      <c r="P123" s="291" t="str">
        <f t="shared" si="22"/>
        <v/>
      </c>
    </row>
    <row r="124" spans="1:16" ht="15" customHeight="1" x14ac:dyDescent="0.2">
      <c r="A124" s="243" t="str">
        <f>IFERROR(INDEX('All Ticker P&amp;L'!$A$2:$A$1001,MATCH(ROWS($A$2:A124),'All Ticker P&amp;L'!$N$2:$N$1001,0)),"")</f>
        <v/>
      </c>
      <c r="B124" s="243" t="str">
        <f t="shared" si="14"/>
        <v/>
      </c>
      <c r="C124" s="243" t="str">
        <f t="shared" si="15"/>
        <v/>
      </c>
      <c r="D124" s="243" t="str">
        <f t="shared" si="16"/>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7"/>
        <v/>
      </c>
      <c r="K124" s="287" t="str">
        <f t="shared" si="18"/>
        <v/>
      </c>
      <c r="L124" s="287" t="str">
        <f t="shared" si="19"/>
        <v/>
      </c>
      <c r="M124" s="290" t="str">
        <f t="shared" si="20"/>
        <v/>
      </c>
      <c r="N124" t="str">
        <f>IF($A124="","",IFERROR(INDEX(Prices[Category],MATCH($A124,Prices[Key],0)),"Uncategorized"))</f>
        <v/>
      </c>
      <c r="O124" s="291" t="str">
        <f t="shared" si="21"/>
        <v/>
      </c>
      <c r="P124" s="291" t="str">
        <f t="shared" si="22"/>
        <v/>
      </c>
    </row>
    <row r="125" spans="1:16" ht="15" customHeight="1" x14ac:dyDescent="0.2">
      <c r="A125" s="243" t="str">
        <f>IFERROR(INDEX('All Ticker P&amp;L'!$A$2:$A$1001,MATCH(ROWS($A$2:A125),'All Ticker P&amp;L'!$N$2:$N$1001,0)),"")</f>
        <v/>
      </c>
      <c r="B125" s="243" t="str">
        <f t="shared" si="14"/>
        <v/>
      </c>
      <c r="C125" s="243" t="str">
        <f t="shared" si="15"/>
        <v/>
      </c>
      <c r="D125" s="243" t="str">
        <f t="shared" si="16"/>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7"/>
        <v/>
      </c>
      <c r="K125" s="287" t="str">
        <f t="shared" si="18"/>
        <v/>
      </c>
      <c r="L125" s="287" t="str">
        <f t="shared" si="19"/>
        <v/>
      </c>
      <c r="M125" s="290" t="str">
        <f t="shared" si="20"/>
        <v/>
      </c>
      <c r="N125" t="str">
        <f>IF($A125="","",IFERROR(INDEX(Prices[Category],MATCH($A125,Prices[Key],0)),"Uncategorized"))</f>
        <v/>
      </c>
      <c r="O125" s="291" t="str">
        <f t="shared" si="21"/>
        <v/>
      </c>
      <c r="P125" s="291" t="str">
        <f t="shared" si="22"/>
        <v/>
      </c>
    </row>
    <row r="126" spans="1:16" ht="15" customHeight="1" x14ac:dyDescent="0.2">
      <c r="A126" s="243" t="str">
        <f>IFERROR(INDEX('All Ticker P&amp;L'!$A$2:$A$1001,MATCH(ROWS($A$2:A126),'All Ticker P&amp;L'!$N$2:$N$1001,0)),"")</f>
        <v/>
      </c>
      <c r="B126" s="243" t="str">
        <f t="shared" si="14"/>
        <v/>
      </c>
      <c r="C126" s="243" t="str">
        <f t="shared" si="15"/>
        <v/>
      </c>
      <c r="D126" s="243" t="str">
        <f t="shared" si="16"/>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7"/>
        <v/>
      </c>
      <c r="K126" s="287" t="str">
        <f t="shared" si="18"/>
        <v/>
      </c>
      <c r="L126" s="287" t="str">
        <f t="shared" si="19"/>
        <v/>
      </c>
      <c r="M126" s="290" t="str">
        <f t="shared" si="20"/>
        <v/>
      </c>
      <c r="N126" t="str">
        <f>IF($A126="","",IFERROR(INDEX(Prices[Category],MATCH($A126,Prices[Key],0)),"Uncategorized"))</f>
        <v/>
      </c>
      <c r="O126" s="291" t="str">
        <f t="shared" si="21"/>
        <v/>
      </c>
      <c r="P126" s="291" t="str">
        <f t="shared" si="22"/>
        <v/>
      </c>
    </row>
    <row r="127" spans="1:16" ht="15" customHeight="1" x14ac:dyDescent="0.2">
      <c r="A127" s="243" t="str">
        <f>IFERROR(INDEX('All Ticker P&amp;L'!$A$2:$A$1001,MATCH(ROWS($A$2:A127),'All Ticker P&amp;L'!$N$2:$N$1001,0)),"")</f>
        <v/>
      </c>
      <c r="B127" s="243" t="str">
        <f t="shared" si="14"/>
        <v/>
      </c>
      <c r="C127" s="243" t="str">
        <f t="shared" si="15"/>
        <v/>
      </c>
      <c r="D127" s="243" t="str">
        <f t="shared" si="16"/>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7"/>
        <v/>
      </c>
      <c r="K127" s="287" t="str">
        <f t="shared" si="18"/>
        <v/>
      </c>
      <c r="L127" s="287" t="str">
        <f t="shared" si="19"/>
        <v/>
      </c>
      <c r="M127" s="290" t="str">
        <f t="shared" si="20"/>
        <v/>
      </c>
      <c r="N127" t="str">
        <f>IF($A127="","",IFERROR(INDEX(Prices[Category],MATCH($A127,Prices[Key],0)),"Uncategorized"))</f>
        <v/>
      </c>
      <c r="O127" s="291" t="str">
        <f t="shared" si="21"/>
        <v/>
      </c>
      <c r="P127" s="291" t="str">
        <f t="shared" si="22"/>
        <v/>
      </c>
    </row>
    <row r="128" spans="1:16" ht="15" customHeight="1" x14ac:dyDescent="0.2">
      <c r="A128" s="243" t="str">
        <f>IFERROR(INDEX('All Ticker P&amp;L'!$A$2:$A$1001,MATCH(ROWS($A$2:A128),'All Ticker P&amp;L'!$N$2:$N$1001,0)),"")</f>
        <v/>
      </c>
      <c r="B128" s="243" t="str">
        <f t="shared" si="14"/>
        <v/>
      </c>
      <c r="C128" s="243" t="str">
        <f t="shared" si="15"/>
        <v/>
      </c>
      <c r="D128" s="243" t="str">
        <f t="shared" si="16"/>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7"/>
        <v/>
      </c>
      <c r="K128" s="287" t="str">
        <f t="shared" si="18"/>
        <v/>
      </c>
      <c r="L128" s="287" t="str">
        <f t="shared" si="19"/>
        <v/>
      </c>
      <c r="M128" s="290" t="str">
        <f t="shared" si="20"/>
        <v/>
      </c>
      <c r="N128" t="str">
        <f>IF($A128="","",IFERROR(INDEX(Prices[Category],MATCH($A128,Prices[Key],0)),"Uncategorized"))</f>
        <v/>
      </c>
      <c r="O128" s="291" t="str">
        <f t="shared" si="21"/>
        <v/>
      </c>
      <c r="P128" s="291" t="str">
        <f t="shared" si="22"/>
        <v/>
      </c>
    </row>
    <row r="129" spans="1:16" ht="15" customHeight="1" x14ac:dyDescent="0.2">
      <c r="A129" s="243" t="str">
        <f>IFERROR(INDEX('All Ticker P&amp;L'!$A$2:$A$1001,MATCH(ROWS($A$2:A129),'All Ticker P&amp;L'!$N$2:$N$1001,0)),"")</f>
        <v/>
      </c>
      <c r="B129" s="243" t="str">
        <f t="shared" si="14"/>
        <v/>
      </c>
      <c r="C129" s="243" t="str">
        <f t="shared" si="15"/>
        <v/>
      </c>
      <c r="D129" s="243" t="str">
        <f t="shared" si="16"/>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7"/>
        <v/>
      </c>
      <c r="K129" s="287" t="str">
        <f t="shared" si="18"/>
        <v/>
      </c>
      <c r="L129" s="287" t="str">
        <f t="shared" si="19"/>
        <v/>
      </c>
      <c r="M129" s="290" t="str">
        <f t="shared" si="20"/>
        <v/>
      </c>
      <c r="N129" t="str">
        <f>IF($A129="","",IFERROR(INDEX(Prices[Category],MATCH($A129,Prices[Key],0)),"Uncategorized"))</f>
        <v/>
      </c>
      <c r="O129" s="291" t="str">
        <f t="shared" si="21"/>
        <v/>
      </c>
      <c r="P129" s="291" t="str">
        <f t="shared" si="22"/>
        <v/>
      </c>
    </row>
    <row r="130" spans="1:16" ht="15" customHeight="1" x14ac:dyDescent="0.2">
      <c r="A130" s="243" t="str">
        <f>IFERROR(INDEX('All Ticker P&amp;L'!$A$2:$A$1001,MATCH(ROWS($A$2:A130),'All Ticker P&amp;L'!$N$2:$N$1001,0)),"")</f>
        <v/>
      </c>
      <c r="B130" s="243" t="str">
        <f t="shared" ref="B130:B193" si="23">IF($A130="","",LEFT($A130,FIND(":",$A130)-1))</f>
        <v/>
      </c>
      <c r="C130" s="243" t="str">
        <f t="shared" ref="C130:C193" si="24">IF($A130="","",MID($A130,FIND(":",$A130)+1,FIND(":",$A130,FIND(":",$A130)+1)-FIND(":",$A130)-1))</f>
        <v/>
      </c>
      <c r="D130" s="243" t="str">
        <f t="shared" ref="D130:D193" si="25">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6">IF($A130="","",E130*H130)</f>
        <v/>
      </c>
      <c r="K130" s="287" t="str">
        <f t="shared" ref="K130:K193" si="27">IF($A130="","",J130+G130-F130)</f>
        <v/>
      </c>
      <c r="L130" s="287" t="str">
        <f t="shared" ref="L130:L193" si="28">IF($A130="","",K130*I130)</f>
        <v/>
      </c>
      <c r="M130" s="290" t="str">
        <f t="shared" ref="M130:M193" si="29">IF($A130="","",IFERROR(K130/F130,0))</f>
        <v/>
      </c>
      <c r="N130" t="str">
        <f>IF($A130="","",IFERROR(INDEX(Prices[Category],MATCH($A130,Prices[Key],0)),"Uncategorized"))</f>
        <v/>
      </c>
      <c r="O130" s="291" t="str">
        <f t="shared" ref="O130:O193" si="30">IF($A130="","",$J130*$I130)</f>
        <v/>
      </c>
      <c r="P130" s="291" t="str">
        <f t="shared" ref="P130:P193" si="31">IF($A130="","",$L130)</f>
        <v/>
      </c>
    </row>
    <row r="131" spans="1:16" ht="15" customHeight="1" x14ac:dyDescent="0.2">
      <c r="A131" s="243" t="str">
        <f>IFERROR(INDEX('All Ticker P&amp;L'!$A$2:$A$1001,MATCH(ROWS($A$2:A131),'All Ticker P&amp;L'!$N$2:$N$1001,0)),"")</f>
        <v/>
      </c>
      <c r="B131" s="243" t="str">
        <f t="shared" si="23"/>
        <v/>
      </c>
      <c r="C131" s="243" t="str">
        <f t="shared" si="24"/>
        <v/>
      </c>
      <c r="D131" s="243" t="str">
        <f t="shared" si="25"/>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6"/>
        <v/>
      </c>
      <c r="K131" s="287" t="str">
        <f t="shared" si="27"/>
        <v/>
      </c>
      <c r="L131" s="287" t="str">
        <f t="shared" si="28"/>
        <v/>
      </c>
      <c r="M131" s="290" t="str">
        <f t="shared" si="29"/>
        <v/>
      </c>
      <c r="N131" t="str">
        <f>IF($A131="","",IFERROR(INDEX(Prices[Category],MATCH($A131,Prices[Key],0)),"Uncategorized"))</f>
        <v/>
      </c>
      <c r="O131" s="291" t="str">
        <f t="shared" si="30"/>
        <v/>
      </c>
      <c r="P131" s="291" t="str">
        <f t="shared" si="31"/>
        <v/>
      </c>
    </row>
    <row r="132" spans="1:16" ht="15" customHeight="1" x14ac:dyDescent="0.2">
      <c r="A132" s="243" t="str">
        <f>IFERROR(INDEX('All Ticker P&amp;L'!$A$2:$A$1001,MATCH(ROWS($A$2:A132),'All Ticker P&amp;L'!$N$2:$N$1001,0)),"")</f>
        <v/>
      </c>
      <c r="B132" s="243" t="str">
        <f t="shared" si="23"/>
        <v/>
      </c>
      <c r="C132" s="243" t="str">
        <f t="shared" si="24"/>
        <v/>
      </c>
      <c r="D132" s="243" t="str">
        <f t="shared" si="25"/>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6"/>
        <v/>
      </c>
      <c r="K132" s="287" t="str">
        <f t="shared" si="27"/>
        <v/>
      </c>
      <c r="L132" s="287" t="str">
        <f t="shared" si="28"/>
        <v/>
      </c>
      <c r="M132" s="290" t="str">
        <f t="shared" si="29"/>
        <v/>
      </c>
      <c r="N132" t="str">
        <f>IF($A132="","",IFERROR(INDEX(Prices[Category],MATCH($A132,Prices[Key],0)),"Uncategorized"))</f>
        <v/>
      </c>
      <c r="O132" s="291" t="str">
        <f t="shared" si="30"/>
        <v/>
      </c>
      <c r="P132" s="291" t="str">
        <f t="shared" si="31"/>
        <v/>
      </c>
    </row>
    <row r="133" spans="1:16" ht="15" customHeight="1" x14ac:dyDescent="0.2">
      <c r="A133" s="243" t="str">
        <f>IFERROR(INDEX('All Ticker P&amp;L'!$A$2:$A$1001,MATCH(ROWS($A$2:A133),'All Ticker P&amp;L'!$N$2:$N$1001,0)),"")</f>
        <v/>
      </c>
      <c r="B133" s="243" t="str">
        <f t="shared" si="23"/>
        <v/>
      </c>
      <c r="C133" s="243" t="str">
        <f t="shared" si="24"/>
        <v/>
      </c>
      <c r="D133" s="243" t="str">
        <f t="shared" si="25"/>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6"/>
        <v/>
      </c>
      <c r="K133" s="287" t="str">
        <f t="shared" si="27"/>
        <v/>
      </c>
      <c r="L133" s="287" t="str">
        <f t="shared" si="28"/>
        <v/>
      </c>
      <c r="M133" s="290" t="str">
        <f t="shared" si="29"/>
        <v/>
      </c>
      <c r="N133" t="str">
        <f>IF($A133="","",IFERROR(INDEX(Prices[Category],MATCH($A133,Prices[Key],0)),"Uncategorized"))</f>
        <v/>
      </c>
      <c r="O133" s="291" t="str">
        <f t="shared" si="30"/>
        <v/>
      </c>
      <c r="P133" s="291" t="str">
        <f t="shared" si="31"/>
        <v/>
      </c>
    </row>
    <row r="134" spans="1:16" ht="15" customHeight="1" x14ac:dyDescent="0.2">
      <c r="A134" s="243" t="str">
        <f>IFERROR(INDEX('All Ticker P&amp;L'!$A$2:$A$1001,MATCH(ROWS($A$2:A134),'All Ticker P&amp;L'!$N$2:$N$1001,0)),"")</f>
        <v/>
      </c>
      <c r="B134" s="243" t="str">
        <f t="shared" si="23"/>
        <v/>
      </c>
      <c r="C134" s="243" t="str">
        <f t="shared" si="24"/>
        <v/>
      </c>
      <c r="D134" s="243" t="str">
        <f t="shared" si="25"/>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6"/>
        <v/>
      </c>
      <c r="K134" s="287" t="str">
        <f t="shared" si="27"/>
        <v/>
      </c>
      <c r="L134" s="287" t="str">
        <f t="shared" si="28"/>
        <v/>
      </c>
      <c r="M134" s="290" t="str">
        <f t="shared" si="29"/>
        <v/>
      </c>
      <c r="N134" t="str">
        <f>IF($A134="","",IFERROR(INDEX(Prices[Category],MATCH($A134,Prices[Key],0)),"Uncategorized"))</f>
        <v/>
      </c>
      <c r="O134" s="291" t="str">
        <f t="shared" si="30"/>
        <v/>
      </c>
      <c r="P134" s="291" t="str">
        <f t="shared" si="31"/>
        <v/>
      </c>
    </row>
    <row r="135" spans="1:16" ht="15" customHeight="1" x14ac:dyDescent="0.2">
      <c r="A135" s="243" t="str">
        <f>IFERROR(INDEX('All Ticker P&amp;L'!$A$2:$A$1001,MATCH(ROWS($A$2:A135),'All Ticker P&amp;L'!$N$2:$N$1001,0)),"")</f>
        <v/>
      </c>
      <c r="B135" s="243" t="str">
        <f t="shared" si="23"/>
        <v/>
      </c>
      <c r="C135" s="243" t="str">
        <f t="shared" si="24"/>
        <v/>
      </c>
      <c r="D135" s="243" t="str">
        <f t="shared" si="25"/>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6"/>
        <v/>
      </c>
      <c r="K135" s="287" t="str">
        <f t="shared" si="27"/>
        <v/>
      </c>
      <c r="L135" s="287" t="str">
        <f t="shared" si="28"/>
        <v/>
      </c>
      <c r="M135" s="290" t="str">
        <f t="shared" si="29"/>
        <v/>
      </c>
      <c r="N135" t="str">
        <f>IF($A135="","",IFERROR(INDEX(Prices[Category],MATCH($A135,Prices[Key],0)),"Uncategorized"))</f>
        <v/>
      </c>
      <c r="O135" s="291" t="str">
        <f t="shared" si="30"/>
        <v/>
      </c>
      <c r="P135" s="291" t="str">
        <f t="shared" si="31"/>
        <v/>
      </c>
    </row>
    <row r="136" spans="1:16" ht="15" customHeight="1" x14ac:dyDescent="0.2">
      <c r="A136" s="243" t="str">
        <f>IFERROR(INDEX('All Ticker P&amp;L'!$A$2:$A$1001,MATCH(ROWS($A$2:A136),'All Ticker P&amp;L'!$N$2:$N$1001,0)),"")</f>
        <v/>
      </c>
      <c r="B136" s="243" t="str">
        <f t="shared" si="23"/>
        <v/>
      </c>
      <c r="C136" s="243" t="str">
        <f t="shared" si="24"/>
        <v/>
      </c>
      <c r="D136" s="243" t="str">
        <f t="shared" si="25"/>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6"/>
        <v/>
      </c>
      <c r="K136" s="287" t="str">
        <f t="shared" si="27"/>
        <v/>
      </c>
      <c r="L136" s="287" t="str">
        <f t="shared" si="28"/>
        <v/>
      </c>
      <c r="M136" s="290" t="str">
        <f t="shared" si="29"/>
        <v/>
      </c>
      <c r="N136" t="str">
        <f>IF($A136="","",IFERROR(INDEX(Prices[Category],MATCH($A136,Prices[Key],0)),"Uncategorized"))</f>
        <v/>
      </c>
      <c r="O136" s="291" t="str">
        <f t="shared" si="30"/>
        <v/>
      </c>
      <c r="P136" s="291" t="str">
        <f t="shared" si="31"/>
        <v/>
      </c>
    </row>
    <row r="137" spans="1:16" ht="15" customHeight="1" x14ac:dyDescent="0.2">
      <c r="A137" s="243" t="str">
        <f>IFERROR(INDEX('All Ticker P&amp;L'!$A$2:$A$1001,MATCH(ROWS($A$2:A137),'All Ticker P&amp;L'!$N$2:$N$1001,0)),"")</f>
        <v/>
      </c>
      <c r="B137" s="243" t="str">
        <f t="shared" si="23"/>
        <v/>
      </c>
      <c r="C137" s="243" t="str">
        <f t="shared" si="24"/>
        <v/>
      </c>
      <c r="D137" s="243" t="str">
        <f t="shared" si="25"/>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6"/>
        <v/>
      </c>
      <c r="K137" s="287" t="str">
        <f t="shared" si="27"/>
        <v/>
      </c>
      <c r="L137" s="287" t="str">
        <f t="shared" si="28"/>
        <v/>
      </c>
      <c r="M137" s="290" t="str">
        <f t="shared" si="29"/>
        <v/>
      </c>
      <c r="N137" t="str">
        <f>IF($A137="","",IFERROR(INDEX(Prices[Category],MATCH($A137,Prices[Key],0)),"Uncategorized"))</f>
        <v/>
      </c>
      <c r="O137" s="291" t="str">
        <f t="shared" si="30"/>
        <v/>
      </c>
      <c r="P137" s="291" t="str">
        <f t="shared" si="31"/>
        <v/>
      </c>
    </row>
    <row r="138" spans="1:16" ht="15" customHeight="1" x14ac:dyDescent="0.2">
      <c r="A138" s="243" t="str">
        <f>IFERROR(INDEX('All Ticker P&amp;L'!$A$2:$A$1001,MATCH(ROWS($A$2:A138),'All Ticker P&amp;L'!$N$2:$N$1001,0)),"")</f>
        <v/>
      </c>
      <c r="B138" s="243" t="str">
        <f t="shared" si="23"/>
        <v/>
      </c>
      <c r="C138" s="243" t="str">
        <f t="shared" si="24"/>
        <v/>
      </c>
      <c r="D138" s="243" t="str">
        <f t="shared" si="25"/>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6"/>
        <v/>
      </c>
      <c r="K138" s="287" t="str">
        <f t="shared" si="27"/>
        <v/>
      </c>
      <c r="L138" s="287" t="str">
        <f t="shared" si="28"/>
        <v/>
      </c>
      <c r="M138" s="290" t="str">
        <f t="shared" si="29"/>
        <v/>
      </c>
      <c r="N138" t="str">
        <f>IF($A138="","",IFERROR(INDEX(Prices[Category],MATCH($A138,Prices[Key],0)),"Uncategorized"))</f>
        <v/>
      </c>
      <c r="O138" s="291" t="str">
        <f t="shared" si="30"/>
        <v/>
      </c>
      <c r="P138" s="291" t="str">
        <f t="shared" si="31"/>
        <v/>
      </c>
    </row>
    <row r="139" spans="1:16" ht="15" customHeight="1" x14ac:dyDescent="0.2">
      <c r="A139" s="243" t="str">
        <f>IFERROR(INDEX('All Ticker P&amp;L'!$A$2:$A$1001,MATCH(ROWS($A$2:A139),'All Ticker P&amp;L'!$N$2:$N$1001,0)),"")</f>
        <v/>
      </c>
      <c r="B139" s="243" t="str">
        <f t="shared" si="23"/>
        <v/>
      </c>
      <c r="C139" s="243" t="str">
        <f t="shared" si="24"/>
        <v/>
      </c>
      <c r="D139" s="243" t="str">
        <f t="shared" si="25"/>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6"/>
        <v/>
      </c>
      <c r="K139" s="287" t="str">
        <f t="shared" si="27"/>
        <v/>
      </c>
      <c r="L139" s="287" t="str">
        <f t="shared" si="28"/>
        <v/>
      </c>
      <c r="M139" s="290" t="str">
        <f t="shared" si="29"/>
        <v/>
      </c>
      <c r="N139" t="str">
        <f>IF($A139="","",IFERROR(INDEX(Prices[Category],MATCH($A139,Prices[Key],0)),"Uncategorized"))</f>
        <v/>
      </c>
      <c r="O139" s="291" t="str">
        <f t="shared" si="30"/>
        <v/>
      </c>
      <c r="P139" s="291" t="str">
        <f t="shared" si="31"/>
        <v/>
      </c>
    </row>
    <row r="140" spans="1:16" ht="15" customHeight="1" x14ac:dyDescent="0.2">
      <c r="A140" s="243" t="str">
        <f>IFERROR(INDEX('All Ticker P&amp;L'!$A$2:$A$1001,MATCH(ROWS($A$2:A140),'All Ticker P&amp;L'!$N$2:$N$1001,0)),"")</f>
        <v/>
      </c>
      <c r="B140" s="243" t="str">
        <f t="shared" si="23"/>
        <v/>
      </c>
      <c r="C140" s="243" t="str">
        <f t="shared" si="24"/>
        <v/>
      </c>
      <c r="D140" s="243" t="str">
        <f t="shared" si="25"/>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6"/>
        <v/>
      </c>
      <c r="K140" s="287" t="str">
        <f t="shared" si="27"/>
        <v/>
      </c>
      <c r="L140" s="287" t="str">
        <f t="shared" si="28"/>
        <v/>
      </c>
      <c r="M140" s="290" t="str">
        <f t="shared" si="29"/>
        <v/>
      </c>
      <c r="N140" t="str">
        <f>IF($A140="","",IFERROR(INDEX(Prices[Category],MATCH($A140,Prices[Key],0)),"Uncategorized"))</f>
        <v/>
      </c>
      <c r="O140" s="291" t="str">
        <f t="shared" si="30"/>
        <v/>
      </c>
      <c r="P140" s="291" t="str">
        <f t="shared" si="31"/>
        <v/>
      </c>
    </row>
    <row r="141" spans="1:16" ht="15" customHeight="1" x14ac:dyDescent="0.2">
      <c r="A141" s="243" t="str">
        <f>IFERROR(INDEX('All Ticker P&amp;L'!$A$2:$A$1001,MATCH(ROWS($A$2:A141),'All Ticker P&amp;L'!$N$2:$N$1001,0)),"")</f>
        <v/>
      </c>
      <c r="B141" s="243" t="str">
        <f t="shared" si="23"/>
        <v/>
      </c>
      <c r="C141" s="243" t="str">
        <f t="shared" si="24"/>
        <v/>
      </c>
      <c r="D141" s="243" t="str">
        <f t="shared" si="25"/>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6"/>
        <v/>
      </c>
      <c r="K141" s="287" t="str">
        <f t="shared" si="27"/>
        <v/>
      </c>
      <c r="L141" s="287" t="str">
        <f t="shared" si="28"/>
        <v/>
      </c>
      <c r="M141" s="290" t="str">
        <f t="shared" si="29"/>
        <v/>
      </c>
      <c r="N141" t="str">
        <f>IF($A141="","",IFERROR(INDEX(Prices[Category],MATCH($A141,Prices[Key],0)),"Uncategorized"))</f>
        <v/>
      </c>
      <c r="O141" s="291" t="str">
        <f t="shared" si="30"/>
        <v/>
      </c>
      <c r="P141" s="291" t="str">
        <f t="shared" si="31"/>
        <v/>
      </c>
    </row>
    <row r="142" spans="1:16" ht="15" customHeight="1" x14ac:dyDescent="0.2">
      <c r="A142" s="243" t="str">
        <f>IFERROR(INDEX('All Ticker P&amp;L'!$A$2:$A$1001,MATCH(ROWS($A$2:A142),'All Ticker P&amp;L'!$N$2:$N$1001,0)),"")</f>
        <v/>
      </c>
      <c r="B142" s="243" t="str">
        <f t="shared" si="23"/>
        <v/>
      </c>
      <c r="C142" s="243" t="str">
        <f t="shared" si="24"/>
        <v/>
      </c>
      <c r="D142" s="243" t="str">
        <f t="shared" si="25"/>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6"/>
        <v/>
      </c>
      <c r="K142" s="287" t="str">
        <f t="shared" si="27"/>
        <v/>
      </c>
      <c r="L142" s="287" t="str">
        <f t="shared" si="28"/>
        <v/>
      </c>
      <c r="M142" s="290" t="str">
        <f t="shared" si="29"/>
        <v/>
      </c>
      <c r="N142" t="str">
        <f>IF($A142="","",IFERROR(INDEX(Prices[Category],MATCH($A142,Prices[Key],0)),"Uncategorized"))</f>
        <v/>
      </c>
      <c r="O142" s="291" t="str">
        <f t="shared" si="30"/>
        <v/>
      </c>
      <c r="P142" s="291" t="str">
        <f t="shared" si="31"/>
        <v/>
      </c>
    </row>
    <row r="143" spans="1:16" ht="15" customHeight="1" x14ac:dyDescent="0.2">
      <c r="A143" s="243" t="str">
        <f>IFERROR(INDEX('All Ticker P&amp;L'!$A$2:$A$1001,MATCH(ROWS($A$2:A143),'All Ticker P&amp;L'!$N$2:$N$1001,0)),"")</f>
        <v/>
      </c>
      <c r="B143" s="243" t="str">
        <f t="shared" si="23"/>
        <v/>
      </c>
      <c r="C143" s="243" t="str">
        <f t="shared" si="24"/>
        <v/>
      </c>
      <c r="D143" s="243" t="str">
        <f t="shared" si="25"/>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6"/>
        <v/>
      </c>
      <c r="K143" s="287" t="str">
        <f t="shared" si="27"/>
        <v/>
      </c>
      <c r="L143" s="287" t="str">
        <f t="shared" si="28"/>
        <v/>
      </c>
      <c r="M143" s="290" t="str">
        <f t="shared" si="29"/>
        <v/>
      </c>
      <c r="N143" t="str">
        <f>IF($A143="","",IFERROR(INDEX(Prices[Category],MATCH($A143,Prices[Key],0)),"Uncategorized"))</f>
        <v/>
      </c>
      <c r="O143" s="291" t="str">
        <f t="shared" si="30"/>
        <v/>
      </c>
      <c r="P143" s="291" t="str">
        <f t="shared" si="31"/>
        <v/>
      </c>
    </row>
    <row r="144" spans="1:16" ht="15" customHeight="1" x14ac:dyDescent="0.2">
      <c r="A144" s="243" t="str">
        <f>IFERROR(INDEX('All Ticker P&amp;L'!$A$2:$A$1001,MATCH(ROWS($A$2:A144),'All Ticker P&amp;L'!$N$2:$N$1001,0)),"")</f>
        <v/>
      </c>
      <c r="B144" s="243" t="str">
        <f t="shared" si="23"/>
        <v/>
      </c>
      <c r="C144" s="243" t="str">
        <f t="shared" si="24"/>
        <v/>
      </c>
      <c r="D144" s="243" t="str">
        <f t="shared" si="25"/>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6"/>
        <v/>
      </c>
      <c r="K144" s="287" t="str">
        <f t="shared" si="27"/>
        <v/>
      </c>
      <c r="L144" s="287" t="str">
        <f t="shared" si="28"/>
        <v/>
      </c>
      <c r="M144" s="290" t="str">
        <f t="shared" si="29"/>
        <v/>
      </c>
      <c r="N144" t="str">
        <f>IF($A144="","",IFERROR(INDEX(Prices[Category],MATCH($A144,Prices[Key],0)),"Uncategorized"))</f>
        <v/>
      </c>
      <c r="O144" s="291" t="str">
        <f t="shared" si="30"/>
        <v/>
      </c>
      <c r="P144" s="291" t="str">
        <f t="shared" si="31"/>
        <v/>
      </c>
    </row>
    <row r="145" spans="1:16" ht="15" customHeight="1" x14ac:dyDescent="0.2">
      <c r="A145" s="243" t="str">
        <f>IFERROR(INDEX('All Ticker P&amp;L'!$A$2:$A$1001,MATCH(ROWS($A$2:A145),'All Ticker P&amp;L'!$N$2:$N$1001,0)),"")</f>
        <v/>
      </c>
      <c r="B145" s="243" t="str">
        <f t="shared" si="23"/>
        <v/>
      </c>
      <c r="C145" s="243" t="str">
        <f t="shared" si="24"/>
        <v/>
      </c>
      <c r="D145" s="243" t="str">
        <f t="shared" si="25"/>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6"/>
        <v/>
      </c>
      <c r="K145" s="287" t="str">
        <f t="shared" si="27"/>
        <v/>
      </c>
      <c r="L145" s="287" t="str">
        <f t="shared" si="28"/>
        <v/>
      </c>
      <c r="M145" s="290" t="str">
        <f t="shared" si="29"/>
        <v/>
      </c>
      <c r="N145" t="str">
        <f>IF($A145="","",IFERROR(INDEX(Prices[Category],MATCH($A145,Prices[Key],0)),"Uncategorized"))</f>
        <v/>
      </c>
      <c r="O145" s="291" t="str">
        <f t="shared" si="30"/>
        <v/>
      </c>
      <c r="P145" s="291" t="str">
        <f t="shared" si="31"/>
        <v/>
      </c>
    </row>
    <row r="146" spans="1:16" ht="15" customHeight="1" x14ac:dyDescent="0.2">
      <c r="A146" s="243" t="str">
        <f>IFERROR(INDEX('All Ticker P&amp;L'!$A$2:$A$1001,MATCH(ROWS($A$2:A146),'All Ticker P&amp;L'!$N$2:$N$1001,0)),"")</f>
        <v/>
      </c>
      <c r="B146" s="243" t="str">
        <f t="shared" si="23"/>
        <v/>
      </c>
      <c r="C146" s="243" t="str">
        <f t="shared" si="24"/>
        <v/>
      </c>
      <c r="D146" s="243" t="str">
        <f t="shared" si="25"/>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6"/>
        <v/>
      </c>
      <c r="K146" s="287" t="str">
        <f t="shared" si="27"/>
        <v/>
      </c>
      <c r="L146" s="287" t="str">
        <f t="shared" si="28"/>
        <v/>
      </c>
      <c r="M146" s="290" t="str">
        <f t="shared" si="29"/>
        <v/>
      </c>
      <c r="N146" t="str">
        <f>IF($A146="","",IFERROR(INDEX(Prices[Category],MATCH($A146,Prices[Key],0)),"Uncategorized"))</f>
        <v/>
      </c>
      <c r="O146" s="291" t="str">
        <f t="shared" si="30"/>
        <v/>
      </c>
      <c r="P146" s="291" t="str">
        <f t="shared" si="31"/>
        <v/>
      </c>
    </row>
    <row r="147" spans="1:16" ht="15" customHeight="1" x14ac:dyDescent="0.2">
      <c r="A147" s="243" t="str">
        <f>IFERROR(INDEX('All Ticker P&amp;L'!$A$2:$A$1001,MATCH(ROWS($A$2:A147),'All Ticker P&amp;L'!$N$2:$N$1001,0)),"")</f>
        <v/>
      </c>
      <c r="B147" s="243" t="str">
        <f t="shared" si="23"/>
        <v/>
      </c>
      <c r="C147" s="243" t="str">
        <f t="shared" si="24"/>
        <v/>
      </c>
      <c r="D147" s="243" t="str">
        <f t="shared" si="25"/>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6"/>
        <v/>
      </c>
      <c r="K147" s="287" t="str">
        <f t="shared" si="27"/>
        <v/>
      </c>
      <c r="L147" s="287" t="str">
        <f t="shared" si="28"/>
        <v/>
      </c>
      <c r="M147" s="290" t="str">
        <f t="shared" si="29"/>
        <v/>
      </c>
      <c r="N147" t="str">
        <f>IF($A147="","",IFERROR(INDEX(Prices[Category],MATCH($A147,Prices[Key],0)),"Uncategorized"))</f>
        <v/>
      </c>
      <c r="O147" s="291" t="str">
        <f t="shared" si="30"/>
        <v/>
      </c>
      <c r="P147" s="291" t="str">
        <f t="shared" si="31"/>
        <v/>
      </c>
    </row>
    <row r="148" spans="1:16" ht="15" customHeight="1" x14ac:dyDescent="0.2">
      <c r="A148" s="243" t="str">
        <f>IFERROR(INDEX('All Ticker P&amp;L'!$A$2:$A$1001,MATCH(ROWS($A$2:A148),'All Ticker P&amp;L'!$N$2:$N$1001,0)),"")</f>
        <v/>
      </c>
      <c r="B148" s="243" t="str">
        <f t="shared" si="23"/>
        <v/>
      </c>
      <c r="C148" s="243" t="str">
        <f t="shared" si="24"/>
        <v/>
      </c>
      <c r="D148" s="243" t="str">
        <f t="shared" si="25"/>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6"/>
        <v/>
      </c>
      <c r="K148" s="287" t="str">
        <f t="shared" si="27"/>
        <v/>
      </c>
      <c r="L148" s="287" t="str">
        <f t="shared" si="28"/>
        <v/>
      </c>
      <c r="M148" s="290" t="str">
        <f t="shared" si="29"/>
        <v/>
      </c>
      <c r="N148" t="str">
        <f>IF($A148="","",IFERROR(INDEX(Prices[Category],MATCH($A148,Prices[Key],0)),"Uncategorized"))</f>
        <v/>
      </c>
      <c r="O148" s="291" t="str">
        <f t="shared" si="30"/>
        <v/>
      </c>
      <c r="P148" s="291" t="str">
        <f t="shared" si="31"/>
        <v/>
      </c>
    </row>
    <row r="149" spans="1:16" ht="15" customHeight="1" x14ac:dyDescent="0.2">
      <c r="A149" s="243" t="str">
        <f>IFERROR(INDEX('All Ticker P&amp;L'!$A$2:$A$1001,MATCH(ROWS($A$2:A149),'All Ticker P&amp;L'!$N$2:$N$1001,0)),"")</f>
        <v/>
      </c>
      <c r="B149" s="243" t="str">
        <f t="shared" si="23"/>
        <v/>
      </c>
      <c r="C149" s="243" t="str">
        <f t="shared" si="24"/>
        <v/>
      </c>
      <c r="D149" s="243" t="str">
        <f t="shared" si="25"/>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6"/>
        <v/>
      </c>
      <c r="K149" s="287" t="str">
        <f t="shared" si="27"/>
        <v/>
      </c>
      <c r="L149" s="287" t="str">
        <f t="shared" si="28"/>
        <v/>
      </c>
      <c r="M149" s="290" t="str">
        <f t="shared" si="29"/>
        <v/>
      </c>
      <c r="N149" t="str">
        <f>IF($A149="","",IFERROR(INDEX(Prices[Category],MATCH($A149,Prices[Key],0)),"Uncategorized"))</f>
        <v/>
      </c>
      <c r="O149" s="291" t="str">
        <f t="shared" si="30"/>
        <v/>
      </c>
      <c r="P149" s="291" t="str">
        <f t="shared" si="31"/>
        <v/>
      </c>
    </row>
    <row r="150" spans="1:16" ht="15" customHeight="1" x14ac:dyDescent="0.2">
      <c r="A150" s="243" t="str">
        <f>IFERROR(INDEX('All Ticker P&amp;L'!$A$2:$A$1001,MATCH(ROWS($A$2:A150),'All Ticker P&amp;L'!$N$2:$N$1001,0)),"")</f>
        <v/>
      </c>
      <c r="B150" s="243" t="str">
        <f t="shared" si="23"/>
        <v/>
      </c>
      <c r="C150" s="243" t="str">
        <f t="shared" si="24"/>
        <v/>
      </c>
      <c r="D150" s="243" t="str">
        <f t="shared" si="25"/>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6"/>
        <v/>
      </c>
      <c r="K150" s="287" t="str">
        <f t="shared" si="27"/>
        <v/>
      </c>
      <c r="L150" s="287" t="str">
        <f t="shared" si="28"/>
        <v/>
      </c>
      <c r="M150" s="290" t="str">
        <f t="shared" si="29"/>
        <v/>
      </c>
      <c r="N150" t="str">
        <f>IF($A150="","",IFERROR(INDEX(Prices[Category],MATCH($A150,Prices[Key],0)),"Uncategorized"))</f>
        <v/>
      </c>
      <c r="O150" s="291" t="str">
        <f t="shared" si="30"/>
        <v/>
      </c>
      <c r="P150" s="291" t="str">
        <f t="shared" si="31"/>
        <v/>
      </c>
    </row>
    <row r="151" spans="1:16" ht="15" customHeight="1" x14ac:dyDescent="0.2">
      <c r="A151" s="243" t="str">
        <f>IFERROR(INDEX('All Ticker P&amp;L'!$A$2:$A$1001,MATCH(ROWS($A$2:A151),'All Ticker P&amp;L'!$N$2:$N$1001,0)),"")</f>
        <v/>
      </c>
      <c r="B151" s="243" t="str">
        <f t="shared" si="23"/>
        <v/>
      </c>
      <c r="C151" s="243" t="str">
        <f t="shared" si="24"/>
        <v/>
      </c>
      <c r="D151" s="243" t="str">
        <f t="shared" si="25"/>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6"/>
        <v/>
      </c>
      <c r="K151" s="287" t="str">
        <f t="shared" si="27"/>
        <v/>
      </c>
      <c r="L151" s="287" t="str">
        <f t="shared" si="28"/>
        <v/>
      </c>
      <c r="M151" s="290" t="str">
        <f t="shared" si="29"/>
        <v/>
      </c>
      <c r="N151" t="str">
        <f>IF($A151="","",IFERROR(INDEX(Prices[Category],MATCH($A151,Prices[Key],0)),"Uncategorized"))</f>
        <v/>
      </c>
      <c r="O151" s="291" t="str">
        <f t="shared" si="30"/>
        <v/>
      </c>
      <c r="P151" s="291" t="str">
        <f t="shared" si="31"/>
        <v/>
      </c>
    </row>
    <row r="152" spans="1:16" ht="15" customHeight="1" x14ac:dyDescent="0.2">
      <c r="A152" s="243" t="str">
        <f>IFERROR(INDEX('All Ticker P&amp;L'!$A$2:$A$1001,MATCH(ROWS($A$2:A152),'All Ticker P&amp;L'!$N$2:$N$1001,0)),"")</f>
        <v/>
      </c>
      <c r="B152" s="243" t="str">
        <f t="shared" si="23"/>
        <v/>
      </c>
      <c r="C152" s="243" t="str">
        <f t="shared" si="24"/>
        <v/>
      </c>
      <c r="D152" s="243" t="str">
        <f t="shared" si="25"/>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6"/>
        <v/>
      </c>
      <c r="K152" s="287" t="str">
        <f t="shared" si="27"/>
        <v/>
      </c>
      <c r="L152" s="287" t="str">
        <f t="shared" si="28"/>
        <v/>
      </c>
      <c r="M152" s="290" t="str">
        <f t="shared" si="29"/>
        <v/>
      </c>
      <c r="N152" t="str">
        <f>IF($A152="","",IFERROR(INDEX(Prices[Category],MATCH($A152,Prices[Key],0)),"Uncategorized"))</f>
        <v/>
      </c>
      <c r="O152" s="291" t="str">
        <f t="shared" si="30"/>
        <v/>
      </c>
      <c r="P152" s="291" t="str">
        <f t="shared" si="31"/>
        <v/>
      </c>
    </row>
    <row r="153" spans="1:16" ht="15" customHeight="1" x14ac:dyDescent="0.2">
      <c r="A153" s="243" t="str">
        <f>IFERROR(INDEX('All Ticker P&amp;L'!$A$2:$A$1001,MATCH(ROWS($A$2:A153),'All Ticker P&amp;L'!$N$2:$N$1001,0)),"")</f>
        <v/>
      </c>
      <c r="B153" s="243" t="str">
        <f t="shared" si="23"/>
        <v/>
      </c>
      <c r="C153" s="243" t="str">
        <f t="shared" si="24"/>
        <v/>
      </c>
      <c r="D153" s="243" t="str">
        <f t="shared" si="25"/>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6"/>
        <v/>
      </c>
      <c r="K153" s="287" t="str">
        <f t="shared" si="27"/>
        <v/>
      </c>
      <c r="L153" s="287" t="str">
        <f t="shared" si="28"/>
        <v/>
      </c>
      <c r="M153" s="290" t="str">
        <f t="shared" si="29"/>
        <v/>
      </c>
      <c r="N153" t="str">
        <f>IF($A153="","",IFERROR(INDEX(Prices[Category],MATCH($A153,Prices[Key],0)),"Uncategorized"))</f>
        <v/>
      </c>
      <c r="O153" s="291" t="str">
        <f t="shared" si="30"/>
        <v/>
      </c>
      <c r="P153" s="291" t="str">
        <f t="shared" si="31"/>
        <v/>
      </c>
    </row>
    <row r="154" spans="1:16" ht="15" customHeight="1" x14ac:dyDescent="0.2">
      <c r="A154" s="243" t="str">
        <f>IFERROR(INDEX('All Ticker P&amp;L'!$A$2:$A$1001,MATCH(ROWS($A$2:A154),'All Ticker P&amp;L'!$N$2:$N$1001,0)),"")</f>
        <v/>
      </c>
      <c r="B154" s="243" t="str">
        <f t="shared" si="23"/>
        <v/>
      </c>
      <c r="C154" s="243" t="str">
        <f t="shared" si="24"/>
        <v/>
      </c>
      <c r="D154" s="243" t="str">
        <f t="shared" si="25"/>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6"/>
        <v/>
      </c>
      <c r="K154" s="287" t="str">
        <f t="shared" si="27"/>
        <v/>
      </c>
      <c r="L154" s="287" t="str">
        <f t="shared" si="28"/>
        <v/>
      </c>
      <c r="M154" s="290" t="str">
        <f t="shared" si="29"/>
        <v/>
      </c>
      <c r="N154" t="str">
        <f>IF($A154="","",IFERROR(INDEX(Prices[Category],MATCH($A154,Prices[Key],0)),"Uncategorized"))</f>
        <v/>
      </c>
      <c r="O154" s="291" t="str">
        <f t="shared" si="30"/>
        <v/>
      </c>
      <c r="P154" s="291" t="str">
        <f t="shared" si="31"/>
        <v/>
      </c>
    </row>
    <row r="155" spans="1:16" ht="15" customHeight="1" x14ac:dyDescent="0.2">
      <c r="A155" s="243" t="str">
        <f>IFERROR(INDEX('All Ticker P&amp;L'!$A$2:$A$1001,MATCH(ROWS($A$2:A155),'All Ticker P&amp;L'!$N$2:$N$1001,0)),"")</f>
        <v/>
      </c>
      <c r="B155" s="243" t="str">
        <f t="shared" si="23"/>
        <v/>
      </c>
      <c r="C155" s="243" t="str">
        <f t="shared" si="24"/>
        <v/>
      </c>
      <c r="D155" s="243" t="str">
        <f t="shared" si="25"/>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6"/>
        <v/>
      </c>
      <c r="K155" s="287" t="str">
        <f t="shared" si="27"/>
        <v/>
      </c>
      <c r="L155" s="287" t="str">
        <f t="shared" si="28"/>
        <v/>
      </c>
      <c r="M155" s="290" t="str">
        <f t="shared" si="29"/>
        <v/>
      </c>
      <c r="N155" t="str">
        <f>IF($A155="","",IFERROR(INDEX(Prices[Category],MATCH($A155,Prices[Key],0)),"Uncategorized"))</f>
        <v/>
      </c>
      <c r="O155" s="291" t="str">
        <f t="shared" si="30"/>
        <v/>
      </c>
      <c r="P155" s="291" t="str">
        <f t="shared" si="31"/>
        <v/>
      </c>
    </row>
    <row r="156" spans="1:16" ht="15" customHeight="1" x14ac:dyDescent="0.2">
      <c r="A156" s="243" t="str">
        <f>IFERROR(INDEX('All Ticker P&amp;L'!$A$2:$A$1001,MATCH(ROWS($A$2:A156),'All Ticker P&amp;L'!$N$2:$N$1001,0)),"")</f>
        <v/>
      </c>
      <c r="B156" s="243" t="str">
        <f t="shared" si="23"/>
        <v/>
      </c>
      <c r="C156" s="243" t="str">
        <f t="shared" si="24"/>
        <v/>
      </c>
      <c r="D156" s="243" t="str">
        <f t="shared" si="25"/>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6"/>
        <v/>
      </c>
      <c r="K156" s="287" t="str">
        <f t="shared" si="27"/>
        <v/>
      </c>
      <c r="L156" s="287" t="str">
        <f t="shared" si="28"/>
        <v/>
      </c>
      <c r="M156" s="290" t="str">
        <f t="shared" si="29"/>
        <v/>
      </c>
      <c r="N156" t="str">
        <f>IF($A156="","",IFERROR(INDEX(Prices[Category],MATCH($A156,Prices[Key],0)),"Uncategorized"))</f>
        <v/>
      </c>
      <c r="O156" s="291" t="str">
        <f t="shared" si="30"/>
        <v/>
      </c>
      <c r="P156" s="291" t="str">
        <f t="shared" si="31"/>
        <v/>
      </c>
    </row>
    <row r="157" spans="1:16" ht="15" customHeight="1" x14ac:dyDescent="0.2">
      <c r="A157" s="243" t="str">
        <f>IFERROR(INDEX('All Ticker P&amp;L'!$A$2:$A$1001,MATCH(ROWS($A$2:A157),'All Ticker P&amp;L'!$N$2:$N$1001,0)),"")</f>
        <v/>
      </c>
      <c r="B157" s="243" t="str">
        <f t="shared" si="23"/>
        <v/>
      </c>
      <c r="C157" s="243" t="str">
        <f t="shared" si="24"/>
        <v/>
      </c>
      <c r="D157" s="243" t="str">
        <f t="shared" si="25"/>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6"/>
        <v/>
      </c>
      <c r="K157" s="287" t="str">
        <f t="shared" si="27"/>
        <v/>
      </c>
      <c r="L157" s="287" t="str">
        <f t="shared" si="28"/>
        <v/>
      </c>
      <c r="M157" s="290" t="str">
        <f t="shared" si="29"/>
        <v/>
      </c>
      <c r="N157" t="str">
        <f>IF($A157="","",IFERROR(INDEX(Prices[Category],MATCH($A157,Prices[Key],0)),"Uncategorized"))</f>
        <v/>
      </c>
      <c r="O157" s="291" t="str">
        <f t="shared" si="30"/>
        <v/>
      </c>
      <c r="P157" s="291" t="str">
        <f t="shared" si="31"/>
        <v/>
      </c>
    </row>
    <row r="158" spans="1:16" ht="15" customHeight="1" x14ac:dyDescent="0.2">
      <c r="A158" s="243" t="str">
        <f>IFERROR(INDEX('All Ticker P&amp;L'!$A$2:$A$1001,MATCH(ROWS($A$2:A158),'All Ticker P&amp;L'!$N$2:$N$1001,0)),"")</f>
        <v/>
      </c>
      <c r="B158" s="243" t="str">
        <f t="shared" si="23"/>
        <v/>
      </c>
      <c r="C158" s="243" t="str">
        <f t="shared" si="24"/>
        <v/>
      </c>
      <c r="D158" s="243" t="str">
        <f t="shared" si="25"/>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6"/>
        <v/>
      </c>
      <c r="K158" s="287" t="str">
        <f t="shared" si="27"/>
        <v/>
      </c>
      <c r="L158" s="287" t="str">
        <f t="shared" si="28"/>
        <v/>
      </c>
      <c r="M158" s="290" t="str">
        <f t="shared" si="29"/>
        <v/>
      </c>
      <c r="N158" t="str">
        <f>IF($A158="","",IFERROR(INDEX(Prices[Category],MATCH($A158,Prices[Key],0)),"Uncategorized"))</f>
        <v/>
      </c>
      <c r="O158" s="291" t="str">
        <f t="shared" si="30"/>
        <v/>
      </c>
      <c r="P158" s="291" t="str">
        <f t="shared" si="31"/>
        <v/>
      </c>
    </row>
    <row r="159" spans="1:16" ht="15" customHeight="1" x14ac:dyDescent="0.2">
      <c r="A159" s="243" t="str">
        <f>IFERROR(INDEX('All Ticker P&amp;L'!$A$2:$A$1001,MATCH(ROWS($A$2:A159),'All Ticker P&amp;L'!$N$2:$N$1001,0)),"")</f>
        <v/>
      </c>
      <c r="B159" s="243" t="str">
        <f t="shared" si="23"/>
        <v/>
      </c>
      <c r="C159" s="243" t="str">
        <f t="shared" si="24"/>
        <v/>
      </c>
      <c r="D159" s="243" t="str">
        <f t="shared" si="25"/>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6"/>
        <v/>
      </c>
      <c r="K159" s="287" t="str">
        <f t="shared" si="27"/>
        <v/>
      </c>
      <c r="L159" s="287" t="str">
        <f t="shared" si="28"/>
        <v/>
      </c>
      <c r="M159" s="290" t="str">
        <f t="shared" si="29"/>
        <v/>
      </c>
      <c r="N159" t="str">
        <f>IF($A159="","",IFERROR(INDEX(Prices[Category],MATCH($A159,Prices[Key],0)),"Uncategorized"))</f>
        <v/>
      </c>
      <c r="O159" s="291" t="str">
        <f t="shared" si="30"/>
        <v/>
      </c>
      <c r="P159" s="291" t="str">
        <f t="shared" si="31"/>
        <v/>
      </c>
    </row>
    <row r="160" spans="1:16" ht="15" customHeight="1" x14ac:dyDescent="0.2">
      <c r="A160" s="243" t="str">
        <f>IFERROR(INDEX('All Ticker P&amp;L'!$A$2:$A$1001,MATCH(ROWS($A$2:A160),'All Ticker P&amp;L'!$N$2:$N$1001,0)),"")</f>
        <v/>
      </c>
      <c r="B160" s="243" t="str">
        <f t="shared" si="23"/>
        <v/>
      </c>
      <c r="C160" s="243" t="str">
        <f t="shared" si="24"/>
        <v/>
      </c>
      <c r="D160" s="243" t="str">
        <f t="shared" si="25"/>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6"/>
        <v/>
      </c>
      <c r="K160" s="287" t="str">
        <f t="shared" si="27"/>
        <v/>
      </c>
      <c r="L160" s="287" t="str">
        <f t="shared" si="28"/>
        <v/>
      </c>
      <c r="M160" s="290" t="str">
        <f t="shared" si="29"/>
        <v/>
      </c>
      <c r="N160" t="str">
        <f>IF($A160="","",IFERROR(INDEX(Prices[Category],MATCH($A160,Prices[Key],0)),"Uncategorized"))</f>
        <v/>
      </c>
      <c r="O160" s="291" t="str">
        <f t="shared" si="30"/>
        <v/>
      </c>
      <c r="P160" s="291" t="str">
        <f t="shared" si="31"/>
        <v/>
      </c>
    </row>
    <row r="161" spans="1:16" ht="15" customHeight="1" x14ac:dyDescent="0.2">
      <c r="A161" s="243" t="str">
        <f>IFERROR(INDEX('All Ticker P&amp;L'!$A$2:$A$1001,MATCH(ROWS($A$2:A161),'All Ticker P&amp;L'!$N$2:$N$1001,0)),"")</f>
        <v/>
      </c>
      <c r="B161" s="243" t="str">
        <f t="shared" si="23"/>
        <v/>
      </c>
      <c r="C161" s="243" t="str">
        <f t="shared" si="24"/>
        <v/>
      </c>
      <c r="D161" s="243" t="str">
        <f t="shared" si="25"/>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6"/>
        <v/>
      </c>
      <c r="K161" s="287" t="str">
        <f t="shared" si="27"/>
        <v/>
      </c>
      <c r="L161" s="287" t="str">
        <f t="shared" si="28"/>
        <v/>
      </c>
      <c r="M161" s="290" t="str">
        <f t="shared" si="29"/>
        <v/>
      </c>
      <c r="N161" t="str">
        <f>IF($A161="","",IFERROR(INDEX(Prices[Category],MATCH($A161,Prices[Key],0)),"Uncategorized"))</f>
        <v/>
      </c>
      <c r="O161" s="291" t="str">
        <f t="shared" si="30"/>
        <v/>
      </c>
      <c r="P161" s="291" t="str">
        <f t="shared" si="31"/>
        <v/>
      </c>
    </row>
    <row r="162" spans="1:16" ht="15" customHeight="1" x14ac:dyDescent="0.2">
      <c r="A162" s="243" t="str">
        <f>IFERROR(INDEX('All Ticker P&amp;L'!$A$2:$A$1001,MATCH(ROWS($A$2:A162),'All Ticker P&amp;L'!$N$2:$N$1001,0)),"")</f>
        <v/>
      </c>
      <c r="B162" s="243" t="str">
        <f t="shared" si="23"/>
        <v/>
      </c>
      <c r="C162" s="243" t="str">
        <f t="shared" si="24"/>
        <v/>
      </c>
      <c r="D162" s="243" t="str">
        <f t="shared" si="25"/>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6"/>
        <v/>
      </c>
      <c r="K162" s="287" t="str">
        <f t="shared" si="27"/>
        <v/>
      </c>
      <c r="L162" s="287" t="str">
        <f t="shared" si="28"/>
        <v/>
      </c>
      <c r="M162" s="290" t="str">
        <f t="shared" si="29"/>
        <v/>
      </c>
      <c r="N162" t="str">
        <f>IF($A162="","",IFERROR(INDEX(Prices[Category],MATCH($A162,Prices[Key],0)),"Uncategorized"))</f>
        <v/>
      </c>
      <c r="O162" s="291" t="str">
        <f t="shared" si="30"/>
        <v/>
      </c>
      <c r="P162" s="291" t="str">
        <f t="shared" si="31"/>
        <v/>
      </c>
    </row>
    <row r="163" spans="1:16" ht="15" customHeight="1" x14ac:dyDescent="0.2">
      <c r="A163" s="243" t="str">
        <f>IFERROR(INDEX('All Ticker P&amp;L'!$A$2:$A$1001,MATCH(ROWS($A$2:A163),'All Ticker P&amp;L'!$N$2:$N$1001,0)),"")</f>
        <v/>
      </c>
      <c r="B163" s="243" t="str">
        <f t="shared" si="23"/>
        <v/>
      </c>
      <c r="C163" s="243" t="str">
        <f t="shared" si="24"/>
        <v/>
      </c>
      <c r="D163" s="243" t="str">
        <f t="shared" si="25"/>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6"/>
        <v/>
      </c>
      <c r="K163" s="287" t="str">
        <f t="shared" si="27"/>
        <v/>
      </c>
      <c r="L163" s="287" t="str">
        <f t="shared" si="28"/>
        <v/>
      </c>
      <c r="M163" s="290" t="str">
        <f t="shared" si="29"/>
        <v/>
      </c>
      <c r="N163" t="str">
        <f>IF($A163="","",IFERROR(INDEX(Prices[Category],MATCH($A163,Prices[Key],0)),"Uncategorized"))</f>
        <v/>
      </c>
      <c r="O163" s="291" t="str">
        <f t="shared" si="30"/>
        <v/>
      </c>
      <c r="P163" s="291" t="str">
        <f t="shared" si="31"/>
        <v/>
      </c>
    </row>
    <row r="164" spans="1:16" ht="15" customHeight="1" x14ac:dyDescent="0.2">
      <c r="A164" s="243" t="str">
        <f>IFERROR(INDEX('All Ticker P&amp;L'!$A$2:$A$1001,MATCH(ROWS($A$2:A164),'All Ticker P&amp;L'!$N$2:$N$1001,0)),"")</f>
        <v/>
      </c>
      <c r="B164" s="243" t="str">
        <f t="shared" si="23"/>
        <v/>
      </c>
      <c r="C164" s="243" t="str">
        <f t="shared" si="24"/>
        <v/>
      </c>
      <c r="D164" s="243" t="str">
        <f t="shared" si="25"/>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6"/>
        <v/>
      </c>
      <c r="K164" s="287" t="str">
        <f t="shared" si="27"/>
        <v/>
      </c>
      <c r="L164" s="287" t="str">
        <f t="shared" si="28"/>
        <v/>
      </c>
      <c r="M164" s="290" t="str">
        <f t="shared" si="29"/>
        <v/>
      </c>
      <c r="N164" t="str">
        <f>IF($A164="","",IFERROR(INDEX(Prices[Category],MATCH($A164,Prices[Key],0)),"Uncategorized"))</f>
        <v/>
      </c>
      <c r="O164" s="291" t="str">
        <f t="shared" si="30"/>
        <v/>
      </c>
      <c r="P164" s="291" t="str">
        <f t="shared" si="31"/>
        <v/>
      </c>
    </row>
    <row r="165" spans="1:16" ht="15" customHeight="1" x14ac:dyDescent="0.2">
      <c r="A165" s="243" t="str">
        <f>IFERROR(INDEX('All Ticker P&amp;L'!$A$2:$A$1001,MATCH(ROWS($A$2:A165),'All Ticker P&amp;L'!$N$2:$N$1001,0)),"")</f>
        <v/>
      </c>
      <c r="B165" s="243" t="str">
        <f t="shared" si="23"/>
        <v/>
      </c>
      <c r="C165" s="243" t="str">
        <f t="shared" si="24"/>
        <v/>
      </c>
      <c r="D165" s="243" t="str">
        <f t="shared" si="25"/>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6"/>
        <v/>
      </c>
      <c r="K165" s="287" t="str">
        <f t="shared" si="27"/>
        <v/>
      </c>
      <c r="L165" s="287" t="str">
        <f t="shared" si="28"/>
        <v/>
      </c>
      <c r="M165" s="290" t="str">
        <f t="shared" si="29"/>
        <v/>
      </c>
      <c r="N165" t="str">
        <f>IF($A165="","",IFERROR(INDEX(Prices[Category],MATCH($A165,Prices[Key],0)),"Uncategorized"))</f>
        <v/>
      </c>
      <c r="O165" s="291" t="str">
        <f t="shared" si="30"/>
        <v/>
      </c>
      <c r="P165" s="291" t="str">
        <f t="shared" si="31"/>
        <v/>
      </c>
    </row>
    <row r="166" spans="1:16" ht="15" customHeight="1" x14ac:dyDescent="0.2">
      <c r="A166" s="243" t="str">
        <f>IFERROR(INDEX('All Ticker P&amp;L'!$A$2:$A$1001,MATCH(ROWS($A$2:A166),'All Ticker P&amp;L'!$N$2:$N$1001,0)),"")</f>
        <v/>
      </c>
      <c r="B166" s="243" t="str">
        <f t="shared" si="23"/>
        <v/>
      </c>
      <c r="C166" s="243" t="str">
        <f t="shared" si="24"/>
        <v/>
      </c>
      <c r="D166" s="243" t="str">
        <f t="shared" si="25"/>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6"/>
        <v/>
      </c>
      <c r="K166" s="287" t="str">
        <f t="shared" si="27"/>
        <v/>
      </c>
      <c r="L166" s="287" t="str">
        <f t="shared" si="28"/>
        <v/>
      </c>
      <c r="M166" s="290" t="str">
        <f t="shared" si="29"/>
        <v/>
      </c>
      <c r="N166" t="str">
        <f>IF($A166="","",IFERROR(INDEX(Prices[Category],MATCH($A166,Prices[Key],0)),"Uncategorized"))</f>
        <v/>
      </c>
      <c r="O166" s="291" t="str">
        <f t="shared" si="30"/>
        <v/>
      </c>
      <c r="P166" s="291" t="str">
        <f t="shared" si="31"/>
        <v/>
      </c>
    </row>
    <row r="167" spans="1:16" ht="15" customHeight="1" x14ac:dyDescent="0.2">
      <c r="A167" s="243" t="str">
        <f>IFERROR(INDEX('All Ticker P&amp;L'!$A$2:$A$1001,MATCH(ROWS($A$2:A167),'All Ticker P&amp;L'!$N$2:$N$1001,0)),"")</f>
        <v/>
      </c>
      <c r="B167" s="243" t="str">
        <f t="shared" si="23"/>
        <v/>
      </c>
      <c r="C167" s="243" t="str">
        <f t="shared" si="24"/>
        <v/>
      </c>
      <c r="D167" s="243" t="str">
        <f t="shared" si="25"/>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6"/>
        <v/>
      </c>
      <c r="K167" s="287" t="str">
        <f t="shared" si="27"/>
        <v/>
      </c>
      <c r="L167" s="287" t="str">
        <f t="shared" si="28"/>
        <v/>
      </c>
      <c r="M167" s="290" t="str">
        <f t="shared" si="29"/>
        <v/>
      </c>
      <c r="N167" t="str">
        <f>IF($A167="","",IFERROR(INDEX(Prices[Category],MATCH($A167,Prices[Key],0)),"Uncategorized"))</f>
        <v/>
      </c>
      <c r="O167" s="291" t="str">
        <f t="shared" si="30"/>
        <v/>
      </c>
      <c r="P167" s="291" t="str">
        <f t="shared" si="31"/>
        <v/>
      </c>
    </row>
    <row r="168" spans="1:16" ht="15" customHeight="1" x14ac:dyDescent="0.2">
      <c r="A168" s="243" t="str">
        <f>IFERROR(INDEX('All Ticker P&amp;L'!$A$2:$A$1001,MATCH(ROWS($A$2:A168),'All Ticker P&amp;L'!$N$2:$N$1001,0)),"")</f>
        <v/>
      </c>
      <c r="B168" s="243" t="str">
        <f t="shared" si="23"/>
        <v/>
      </c>
      <c r="C168" s="243" t="str">
        <f t="shared" si="24"/>
        <v/>
      </c>
      <c r="D168" s="243" t="str">
        <f t="shared" si="25"/>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6"/>
        <v/>
      </c>
      <c r="K168" s="287" t="str">
        <f t="shared" si="27"/>
        <v/>
      </c>
      <c r="L168" s="287" t="str">
        <f t="shared" si="28"/>
        <v/>
      </c>
      <c r="M168" s="290" t="str">
        <f t="shared" si="29"/>
        <v/>
      </c>
      <c r="N168" t="str">
        <f>IF($A168="","",IFERROR(INDEX(Prices[Category],MATCH($A168,Prices[Key],0)),"Uncategorized"))</f>
        <v/>
      </c>
      <c r="O168" s="291" t="str">
        <f t="shared" si="30"/>
        <v/>
      </c>
      <c r="P168" s="291" t="str">
        <f t="shared" si="31"/>
        <v/>
      </c>
    </row>
    <row r="169" spans="1:16" ht="15" customHeight="1" x14ac:dyDescent="0.2">
      <c r="A169" s="243" t="str">
        <f>IFERROR(INDEX('All Ticker P&amp;L'!$A$2:$A$1001,MATCH(ROWS($A$2:A169),'All Ticker P&amp;L'!$N$2:$N$1001,0)),"")</f>
        <v/>
      </c>
      <c r="B169" s="243" t="str">
        <f t="shared" si="23"/>
        <v/>
      </c>
      <c r="C169" s="243" t="str">
        <f t="shared" si="24"/>
        <v/>
      </c>
      <c r="D169" s="243" t="str">
        <f t="shared" si="25"/>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6"/>
        <v/>
      </c>
      <c r="K169" s="287" t="str">
        <f t="shared" si="27"/>
        <v/>
      </c>
      <c r="L169" s="287" t="str">
        <f t="shared" si="28"/>
        <v/>
      </c>
      <c r="M169" s="290" t="str">
        <f t="shared" si="29"/>
        <v/>
      </c>
      <c r="N169" t="str">
        <f>IF($A169="","",IFERROR(INDEX(Prices[Category],MATCH($A169,Prices[Key],0)),"Uncategorized"))</f>
        <v/>
      </c>
      <c r="O169" s="291" t="str">
        <f t="shared" si="30"/>
        <v/>
      </c>
      <c r="P169" s="291" t="str">
        <f t="shared" si="31"/>
        <v/>
      </c>
    </row>
    <row r="170" spans="1:16" ht="15" customHeight="1" x14ac:dyDescent="0.2">
      <c r="A170" s="243" t="str">
        <f>IFERROR(INDEX('All Ticker P&amp;L'!$A$2:$A$1001,MATCH(ROWS($A$2:A170),'All Ticker P&amp;L'!$N$2:$N$1001,0)),"")</f>
        <v/>
      </c>
      <c r="B170" s="243" t="str">
        <f t="shared" si="23"/>
        <v/>
      </c>
      <c r="C170" s="243" t="str">
        <f t="shared" si="24"/>
        <v/>
      </c>
      <c r="D170" s="243" t="str">
        <f t="shared" si="25"/>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6"/>
        <v/>
      </c>
      <c r="K170" s="287" t="str">
        <f t="shared" si="27"/>
        <v/>
      </c>
      <c r="L170" s="287" t="str">
        <f t="shared" si="28"/>
        <v/>
      </c>
      <c r="M170" s="290" t="str">
        <f t="shared" si="29"/>
        <v/>
      </c>
      <c r="N170" t="str">
        <f>IF($A170="","",IFERROR(INDEX(Prices[Category],MATCH($A170,Prices[Key],0)),"Uncategorized"))</f>
        <v/>
      </c>
      <c r="O170" s="291" t="str">
        <f t="shared" si="30"/>
        <v/>
      </c>
      <c r="P170" s="291" t="str">
        <f t="shared" si="31"/>
        <v/>
      </c>
    </row>
    <row r="171" spans="1:16" ht="15" customHeight="1" x14ac:dyDescent="0.2">
      <c r="A171" s="243" t="str">
        <f>IFERROR(INDEX('All Ticker P&amp;L'!$A$2:$A$1001,MATCH(ROWS($A$2:A171),'All Ticker P&amp;L'!$N$2:$N$1001,0)),"")</f>
        <v/>
      </c>
      <c r="B171" s="243" t="str">
        <f t="shared" si="23"/>
        <v/>
      </c>
      <c r="C171" s="243" t="str">
        <f t="shared" si="24"/>
        <v/>
      </c>
      <c r="D171" s="243" t="str">
        <f t="shared" si="25"/>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6"/>
        <v/>
      </c>
      <c r="K171" s="287" t="str">
        <f t="shared" si="27"/>
        <v/>
      </c>
      <c r="L171" s="287" t="str">
        <f t="shared" si="28"/>
        <v/>
      </c>
      <c r="M171" s="290" t="str">
        <f t="shared" si="29"/>
        <v/>
      </c>
      <c r="N171" t="str">
        <f>IF($A171="","",IFERROR(INDEX(Prices[Category],MATCH($A171,Prices[Key],0)),"Uncategorized"))</f>
        <v/>
      </c>
      <c r="O171" s="291" t="str">
        <f t="shared" si="30"/>
        <v/>
      </c>
      <c r="P171" s="291" t="str">
        <f t="shared" si="31"/>
        <v/>
      </c>
    </row>
    <row r="172" spans="1:16" ht="15" customHeight="1" x14ac:dyDescent="0.2">
      <c r="A172" s="243" t="str">
        <f>IFERROR(INDEX('All Ticker P&amp;L'!$A$2:$A$1001,MATCH(ROWS($A$2:A172),'All Ticker P&amp;L'!$N$2:$N$1001,0)),"")</f>
        <v/>
      </c>
      <c r="B172" s="243" t="str">
        <f t="shared" si="23"/>
        <v/>
      </c>
      <c r="C172" s="243" t="str">
        <f t="shared" si="24"/>
        <v/>
      </c>
      <c r="D172" s="243" t="str">
        <f t="shared" si="25"/>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6"/>
        <v/>
      </c>
      <c r="K172" s="287" t="str">
        <f t="shared" si="27"/>
        <v/>
      </c>
      <c r="L172" s="287" t="str">
        <f t="shared" si="28"/>
        <v/>
      </c>
      <c r="M172" s="290" t="str">
        <f t="shared" si="29"/>
        <v/>
      </c>
      <c r="N172" t="str">
        <f>IF($A172="","",IFERROR(INDEX(Prices[Category],MATCH($A172,Prices[Key],0)),"Uncategorized"))</f>
        <v/>
      </c>
      <c r="O172" s="291" t="str">
        <f t="shared" si="30"/>
        <v/>
      </c>
      <c r="P172" s="291" t="str">
        <f t="shared" si="31"/>
        <v/>
      </c>
    </row>
    <row r="173" spans="1:16" ht="15" customHeight="1" x14ac:dyDescent="0.2">
      <c r="A173" s="243" t="str">
        <f>IFERROR(INDEX('All Ticker P&amp;L'!$A$2:$A$1001,MATCH(ROWS($A$2:A173),'All Ticker P&amp;L'!$N$2:$N$1001,0)),"")</f>
        <v/>
      </c>
      <c r="B173" s="243" t="str">
        <f t="shared" si="23"/>
        <v/>
      </c>
      <c r="C173" s="243" t="str">
        <f t="shared" si="24"/>
        <v/>
      </c>
      <c r="D173" s="243" t="str">
        <f t="shared" si="25"/>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6"/>
        <v/>
      </c>
      <c r="K173" s="287" t="str">
        <f t="shared" si="27"/>
        <v/>
      </c>
      <c r="L173" s="287" t="str">
        <f t="shared" si="28"/>
        <v/>
      </c>
      <c r="M173" s="290" t="str">
        <f t="shared" si="29"/>
        <v/>
      </c>
      <c r="N173" t="str">
        <f>IF($A173="","",IFERROR(INDEX(Prices[Category],MATCH($A173,Prices[Key],0)),"Uncategorized"))</f>
        <v/>
      </c>
      <c r="O173" s="291" t="str">
        <f t="shared" si="30"/>
        <v/>
      </c>
      <c r="P173" s="291" t="str">
        <f t="shared" si="31"/>
        <v/>
      </c>
    </row>
    <row r="174" spans="1:16" ht="15" customHeight="1" x14ac:dyDescent="0.2">
      <c r="A174" s="243" t="str">
        <f>IFERROR(INDEX('All Ticker P&amp;L'!$A$2:$A$1001,MATCH(ROWS($A$2:A174),'All Ticker P&amp;L'!$N$2:$N$1001,0)),"")</f>
        <v/>
      </c>
      <c r="B174" s="243" t="str">
        <f t="shared" si="23"/>
        <v/>
      </c>
      <c r="C174" s="243" t="str">
        <f t="shared" si="24"/>
        <v/>
      </c>
      <c r="D174" s="243" t="str">
        <f t="shared" si="25"/>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6"/>
        <v/>
      </c>
      <c r="K174" s="287" t="str">
        <f t="shared" si="27"/>
        <v/>
      </c>
      <c r="L174" s="287" t="str">
        <f t="shared" si="28"/>
        <v/>
      </c>
      <c r="M174" s="290" t="str">
        <f t="shared" si="29"/>
        <v/>
      </c>
      <c r="N174" t="str">
        <f>IF($A174="","",IFERROR(INDEX(Prices[Category],MATCH($A174,Prices[Key],0)),"Uncategorized"))</f>
        <v/>
      </c>
      <c r="O174" s="291" t="str">
        <f t="shared" si="30"/>
        <v/>
      </c>
      <c r="P174" s="291" t="str">
        <f t="shared" si="31"/>
        <v/>
      </c>
    </row>
    <row r="175" spans="1:16" ht="15" customHeight="1" x14ac:dyDescent="0.2">
      <c r="A175" s="243" t="str">
        <f>IFERROR(INDEX('All Ticker P&amp;L'!$A$2:$A$1001,MATCH(ROWS($A$2:A175),'All Ticker P&amp;L'!$N$2:$N$1001,0)),"")</f>
        <v/>
      </c>
      <c r="B175" s="243" t="str">
        <f t="shared" si="23"/>
        <v/>
      </c>
      <c r="C175" s="243" t="str">
        <f t="shared" si="24"/>
        <v/>
      </c>
      <c r="D175" s="243" t="str">
        <f t="shared" si="25"/>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6"/>
        <v/>
      </c>
      <c r="K175" s="287" t="str">
        <f t="shared" si="27"/>
        <v/>
      </c>
      <c r="L175" s="287" t="str">
        <f t="shared" si="28"/>
        <v/>
      </c>
      <c r="M175" s="290" t="str">
        <f t="shared" si="29"/>
        <v/>
      </c>
      <c r="N175" t="str">
        <f>IF($A175="","",IFERROR(INDEX(Prices[Category],MATCH($A175,Prices[Key],0)),"Uncategorized"))</f>
        <v/>
      </c>
      <c r="O175" s="291" t="str">
        <f t="shared" si="30"/>
        <v/>
      </c>
      <c r="P175" s="291" t="str">
        <f t="shared" si="31"/>
        <v/>
      </c>
    </row>
    <row r="176" spans="1:16" ht="15" customHeight="1" x14ac:dyDescent="0.2">
      <c r="A176" s="243" t="str">
        <f>IFERROR(INDEX('All Ticker P&amp;L'!$A$2:$A$1001,MATCH(ROWS($A$2:A176),'All Ticker P&amp;L'!$N$2:$N$1001,0)),"")</f>
        <v/>
      </c>
      <c r="B176" s="243" t="str">
        <f t="shared" si="23"/>
        <v/>
      </c>
      <c r="C176" s="243" t="str">
        <f t="shared" si="24"/>
        <v/>
      </c>
      <c r="D176" s="243" t="str">
        <f t="shared" si="25"/>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6"/>
        <v/>
      </c>
      <c r="K176" s="287" t="str">
        <f t="shared" si="27"/>
        <v/>
      </c>
      <c r="L176" s="287" t="str">
        <f t="shared" si="28"/>
        <v/>
      </c>
      <c r="M176" s="290" t="str">
        <f t="shared" si="29"/>
        <v/>
      </c>
      <c r="N176" t="str">
        <f>IF($A176="","",IFERROR(INDEX(Prices[Category],MATCH($A176,Prices[Key],0)),"Uncategorized"))</f>
        <v/>
      </c>
      <c r="O176" s="291" t="str">
        <f t="shared" si="30"/>
        <v/>
      </c>
      <c r="P176" s="291" t="str">
        <f t="shared" si="31"/>
        <v/>
      </c>
    </row>
    <row r="177" spans="1:16" ht="15" customHeight="1" x14ac:dyDescent="0.2">
      <c r="A177" s="243" t="str">
        <f>IFERROR(INDEX('All Ticker P&amp;L'!$A$2:$A$1001,MATCH(ROWS($A$2:A177),'All Ticker P&amp;L'!$N$2:$N$1001,0)),"")</f>
        <v/>
      </c>
      <c r="B177" s="243" t="str">
        <f t="shared" si="23"/>
        <v/>
      </c>
      <c r="C177" s="243" t="str">
        <f t="shared" si="24"/>
        <v/>
      </c>
      <c r="D177" s="243" t="str">
        <f t="shared" si="25"/>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6"/>
        <v/>
      </c>
      <c r="K177" s="287" t="str">
        <f t="shared" si="27"/>
        <v/>
      </c>
      <c r="L177" s="287" t="str">
        <f t="shared" si="28"/>
        <v/>
      </c>
      <c r="M177" s="290" t="str">
        <f t="shared" si="29"/>
        <v/>
      </c>
      <c r="N177" t="str">
        <f>IF($A177="","",IFERROR(INDEX(Prices[Category],MATCH($A177,Prices[Key],0)),"Uncategorized"))</f>
        <v/>
      </c>
      <c r="O177" s="291" t="str">
        <f t="shared" si="30"/>
        <v/>
      </c>
      <c r="P177" s="291" t="str">
        <f t="shared" si="31"/>
        <v/>
      </c>
    </row>
    <row r="178" spans="1:16" ht="15" customHeight="1" x14ac:dyDescent="0.2">
      <c r="A178" s="243" t="str">
        <f>IFERROR(INDEX('All Ticker P&amp;L'!$A$2:$A$1001,MATCH(ROWS($A$2:A178),'All Ticker P&amp;L'!$N$2:$N$1001,0)),"")</f>
        <v/>
      </c>
      <c r="B178" s="243" t="str">
        <f t="shared" si="23"/>
        <v/>
      </c>
      <c r="C178" s="243" t="str">
        <f t="shared" si="24"/>
        <v/>
      </c>
      <c r="D178" s="243" t="str">
        <f t="shared" si="25"/>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6"/>
        <v/>
      </c>
      <c r="K178" s="287" t="str">
        <f t="shared" si="27"/>
        <v/>
      </c>
      <c r="L178" s="287" t="str">
        <f t="shared" si="28"/>
        <v/>
      </c>
      <c r="M178" s="290" t="str">
        <f t="shared" si="29"/>
        <v/>
      </c>
      <c r="N178" t="str">
        <f>IF($A178="","",IFERROR(INDEX(Prices[Category],MATCH($A178,Prices[Key],0)),"Uncategorized"))</f>
        <v/>
      </c>
      <c r="O178" s="291" t="str">
        <f t="shared" si="30"/>
        <v/>
      </c>
      <c r="P178" s="291" t="str">
        <f t="shared" si="31"/>
        <v/>
      </c>
    </row>
    <row r="179" spans="1:16" ht="15" customHeight="1" x14ac:dyDescent="0.2">
      <c r="A179" s="243" t="str">
        <f>IFERROR(INDEX('All Ticker P&amp;L'!$A$2:$A$1001,MATCH(ROWS($A$2:A179),'All Ticker P&amp;L'!$N$2:$N$1001,0)),"")</f>
        <v/>
      </c>
      <c r="B179" s="243" t="str">
        <f t="shared" si="23"/>
        <v/>
      </c>
      <c r="C179" s="243" t="str">
        <f t="shared" si="24"/>
        <v/>
      </c>
      <c r="D179" s="243" t="str">
        <f t="shared" si="25"/>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6"/>
        <v/>
      </c>
      <c r="K179" s="287" t="str">
        <f t="shared" si="27"/>
        <v/>
      </c>
      <c r="L179" s="287" t="str">
        <f t="shared" si="28"/>
        <v/>
      </c>
      <c r="M179" s="290" t="str">
        <f t="shared" si="29"/>
        <v/>
      </c>
      <c r="N179" t="str">
        <f>IF($A179="","",IFERROR(INDEX(Prices[Category],MATCH($A179,Prices[Key],0)),"Uncategorized"))</f>
        <v/>
      </c>
      <c r="O179" s="291" t="str">
        <f t="shared" si="30"/>
        <v/>
      </c>
      <c r="P179" s="291" t="str">
        <f t="shared" si="31"/>
        <v/>
      </c>
    </row>
    <row r="180" spans="1:16" ht="15" customHeight="1" x14ac:dyDescent="0.2">
      <c r="A180" s="243" t="str">
        <f>IFERROR(INDEX('All Ticker P&amp;L'!$A$2:$A$1001,MATCH(ROWS($A$2:A180),'All Ticker P&amp;L'!$N$2:$N$1001,0)),"")</f>
        <v/>
      </c>
      <c r="B180" s="243" t="str">
        <f t="shared" si="23"/>
        <v/>
      </c>
      <c r="C180" s="243" t="str">
        <f t="shared" si="24"/>
        <v/>
      </c>
      <c r="D180" s="243" t="str">
        <f t="shared" si="25"/>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6"/>
        <v/>
      </c>
      <c r="K180" s="287" t="str">
        <f t="shared" si="27"/>
        <v/>
      </c>
      <c r="L180" s="287" t="str">
        <f t="shared" si="28"/>
        <v/>
      </c>
      <c r="M180" s="290" t="str">
        <f t="shared" si="29"/>
        <v/>
      </c>
      <c r="N180" t="str">
        <f>IF($A180="","",IFERROR(INDEX(Prices[Category],MATCH($A180,Prices[Key],0)),"Uncategorized"))</f>
        <v/>
      </c>
      <c r="O180" s="291" t="str">
        <f t="shared" si="30"/>
        <v/>
      </c>
      <c r="P180" s="291" t="str">
        <f t="shared" si="31"/>
        <v/>
      </c>
    </row>
    <row r="181" spans="1:16" ht="15" customHeight="1" x14ac:dyDescent="0.2">
      <c r="A181" s="243" t="str">
        <f>IFERROR(INDEX('All Ticker P&amp;L'!$A$2:$A$1001,MATCH(ROWS($A$2:A181),'All Ticker P&amp;L'!$N$2:$N$1001,0)),"")</f>
        <v/>
      </c>
      <c r="B181" s="243" t="str">
        <f t="shared" si="23"/>
        <v/>
      </c>
      <c r="C181" s="243" t="str">
        <f t="shared" si="24"/>
        <v/>
      </c>
      <c r="D181" s="243" t="str">
        <f t="shared" si="25"/>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6"/>
        <v/>
      </c>
      <c r="K181" s="287" t="str">
        <f t="shared" si="27"/>
        <v/>
      </c>
      <c r="L181" s="287" t="str">
        <f t="shared" si="28"/>
        <v/>
      </c>
      <c r="M181" s="290" t="str">
        <f t="shared" si="29"/>
        <v/>
      </c>
      <c r="N181" t="str">
        <f>IF($A181="","",IFERROR(INDEX(Prices[Category],MATCH($A181,Prices[Key],0)),"Uncategorized"))</f>
        <v/>
      </c>
      <c r="O181" s="291" t="str">
        <f t="shared" si="30"/>
        <v/>
      </c>
      <c r="P181" s="291" t="str">
        <f t="shared" si="31"/>
        <v/>
      </c>
    </row>
    <row r="182" spans="1:16" ht="15" customHeight="1" x14ac:dyDescent="0.2">
      <c r="A182" s="243" t="str">
        <f>IFERROR(INDEX('All Ticker P&amp;L'!$A$2:$A$1001,MATCH(ROWS($A$2:A182),'All Ticker P&amp;L'!$N$2:$N$1001,0)),"")</f>
        <v/>
      </c>
      <c r="B182" s="243" t="str">
        <f t="shared" si="23"/>
        <v/>
      </c>
      <c r="C182" s="243" t="str">
        <f t="shared" si="24"/>
        <v/>
      </c>
      <c r="D182" s="243" t="str">
        <f t="shared" si="25"/>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6"/>
        <v/>
      </c>
      <c r="K182" s="287" t="str">
        <f t="shared" si="27"/>
        <v/>
      </c>
      <c r="L182" s="287" t="str">
        <f t="shared" si="28"/>
        <v/>
      </c>
      <c r="M182" s="290" t="str">
        <f t="shared" si="29"/>
        <v/>
      </c>
      <c r="N182" t="str">
        <f>IF($A182="","",IFERROR(INDEX(Prices[Category],MATCH($A182,Prices[Key],0)),"Uncategorized"))</f>
        <v/>
      </c>
      <c r="O182" s="291" t="str">
        <f t="shared" si="30"/>
        <v/>
      </c>
      <c r="P182" s="291" t="str">
        <f t="shared" si="31"/>
        <v/>
      </c>
    </row>
    <row r="183" spans="1:16" ht="15" customHeight="1" x14ac:dyDescent="0.2">
      <c r="A183" s="243" t="str">
        <f>IFERROR(INDEX('All Ticker P&amp;L'!$A$2:$A$1001,MATCH(ROWS($A$2:A183),'All Ticker P&amp;L'!$N$2:$N$1001,0)),"")</f>
        <v/>
      </c>
      <c r="B183" s="243" t="str">
        <f t="shared" si="23"/>
        <v/>
      </c>
      <c r="C183" s="243" t="str">
        <f t="shared" si="24"/>
        <v/>
      </c>
      <c r="D183" s="243" t="str">
        <f t="shared" si="25"/>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6"/>
        <v/>
      </c>
      <c r="K183" s="287" t="str">
        <f t="shared" si="27"/>
        <v/>
      </c>
      <c r="L183" s="287" t="str">
        <f t="shared" si="28"/>
        <v/>
      </c>
      <c r="M183" s="290" t="str">
        <f t="shared" si="29"/>
        <v/>
      </c>
      <c r="N183" t="str">
        <f>IF($A183="","",IFERROR(INDEX(Prices[Category],MATCH($A183,Prices[Key],0)),"Uncategorized"))</f>
        <v/>
      </c>
      <c r="O183" s="291" t="str">
        <f t="shared" si="30"/>
        <v/>
      </c>
      <c r="P183" s="291" t="str">
        <f t="shared" si="31"/>
        <v/>
      </c>
    </row>
    <row r="184" spans="1:16" ht="15" customHeight="1" x14ac:dyDescent="0.2">
      <c r="A184" s="243" t="str">
        <f>IFERROR(INDEX('All Ticker P&amp;L'!$A$2:$A$1001,MATCH(ROWS($A$2:A184),'All Ticker P&amp;L'!$N$2:$N$1001,0)),"")</f>
        <v/>
      </c>
      <c r="B184" s="243" t="str">
        <f t="shared" si="23"/>
        <v/>
      </c>
      <c r="C184" s="243" t="str">
        <f t="shared" si="24"/>
        <v/>
      </c>
      <c r="D184" s="243" t="str">
        <f t="shared" si="25"/>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6"/>
        <v/>
      </c>
      <c r="K184" s="287" t="str">
        <f t="shared" si="27"/>
        <v/>
      </c>
      <c r="L184" s="287" t="str">
        <f t="shared" si="28"/>
        <v/>
      </c>
      <c r="M184" s="290" t="str">
        <f t="shared" si="29"/>
        <v/>
      </c>
      <c r="N184" t="str">
        <f>IF($A184="","",IFERROR(INDEX(Prices[Category],MATCH($A184,Prices[Key],0)),"Uncategorized"))</f>
        <v/>
      </c>
      <c r="O184" s="291" t="str">
        <f t="shared" si="30"/>
        <v/>
      </c>
      <c r="P184" s="291" t="str">
        <f t="shared" si="31"/>
        <v/>
      </c>
    </row>
    <row r="185" spans="1:16" ht="15" customHeight="1" x14ac:dyDescent="0.2">
      <c r="A185" s="243" t="str">
        <f>IFERROR(INDEX('All Ticker P&amp;L'!$A$2:$A$1001,MATCH(ROWS($A$2:A185),'All Ticker P&amp;L'!$N$2:$N$1001,0)),"")</f>
        <v/>
      </c>
      <c r="B185" s="243" t="str">
        <f t="shared" si="23"/>
        <v/>
      </c>
      <c r="C185" s="243" t="str">
        <f t="shared" si="24"/>
        <v/>
      </c>
      <c r="D185" s="243" t="str">
        <f t="shared" si="25"/>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6"/>
        <v/>
      </c>
      <c r="K185" s="287" t="str">
        <f t="shared" si="27"/>
        <v/>
      </c>
      <c r="L185" s="287" t="str">
        <f t="shared" si="28"/>
        <v/>
      </c>
      <c r="M185" s="290" t="str">
        <f t="shared" si="29"/>
        <v/>
      </c>
      <c r="N185" t="str">
        <f>IF($A185="","",IFERROR(INDEX(Prices[Category],MATCH($A185,Prices[Key],0)),"Uncategorized"))</f>
        <v/>
      </c>
      <c r="O185" s="291" t="str">
        <f t="shared" si="30"/>
        <v/>
      </c>
      <c r="P185" s="291" t="str">
        <f t="shared" si="31"/>
        <v/>
      </c>
    </row>
    <row r="186" spans="1:16" ht="15" customHeight="1" x14ac:dyDescent="0.2">
      <c r="A186" s="243" t="str">
        <f>IFERROR(INDEX('All Ticker P&amp;L'!$A$2:$A$1001,MATCH(ROWS($A$2:A186),'All Ticker P&amp;L'!$N$2:$N$1001,0)),"")</f>
        <v/>
      </c>
      <c r="B186" s="243" t="str">
        <f t="shared" si="23"/>
        <v/>
      </c>
      <c r="C186" s="243" t="str">
        <f t="shared" si="24"/>
        <v/>
      </c>
      <c r="D186" s="243" t="str">
        <f t="shared" si="25"/>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6"/>
        <v/>
      </c>
      <c r="K186" s="287" t="str">
        <f t="shared" si="27"/>
        <v/>
      </c>
      <c r="L186" s="287" t="str">
        <f t="shared" si="28"/>
        <v/>
      </c>
      <c r="M186" s="290" t="str">
        <f t="shared" si="29"/>
        <v/>
      </c>
      <c r="N186" t="str">
        <f>IF($A186="","",IFERROR(INDEX(Prices[Category],MATCH($A186,Prices[Key],0)),"Uncategorized"))</f>
        <v/>
      </c>
      <c r="O186" s="291" t="str">
        <f t="shared" si="30"/>
        <v/>
      </c>
      <c r="P186" s="291" t="str">
        <f t="shared" si="31"/>
        <v/>
      </c>
    </row>
    <row r="187" spans="1:16" ht="15" customHeight="1" x14ac:dyDescent="0.2">
      <c r="A187" s="243" t="str">
        <f>IFERROR(INDEX('All Ticker P&amp;L'!$A$2:$A$1001,MATCH(ROWS($A$2:A187),'All Ticker P&amp;L'!$N$2:$N$1001,0)),"")</f>
        <v/>
      </c>
      <c r="B187" s="243" t="str">
        <f t="shared" si="23"/>
        <v/>
      </c>
      <c r="C187" s="243" t="str">
        <f t="shared" si="24"/>
        <v/>
      </c>
      <c r="D187" s="243" t="str">
        <f t="shared" si="25"/>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6"/>
        <v/>
      </c>
      <c r="K187" s="287" t="str">
        <f t="shared" si="27"/>
        <v/>
      </c>
      <c r="L187" s="287" t="str">
        <f t="shared" si="28"/>
        <v/>
      </c>
      <c r="M187" s="290" t="str">
        <f t="shared" si="29"/>
        <v/>
      </c>
      <c r="N187" t="str">
        <f>IF($A187="","",IFERROR(INDEX(Prices[Category],MATCH($A187,Prices[Key],0)),"Uncategorized"))</f>
        <v/>
      </c>
      <c r="O187" s="291" t="str">
        <f t="shared" si="30"/>
        <v/>
      </c>
      <c r="P187" s="291" t="str">
        <f t="shared" si="31"/>
        <v/>
      </c>
    </row>
    <row r="188" spans="1:16" ht="15" customHeight="1" x14ac:dyDescent="0.2">
      <c r="A188" s="243" t="str">
        <f>IFERROR(INDEX('All Ticker P&amp;L'!$A$2:$A$1001,MATCH(ROWS($A$2:A188),'All Ticker P&amp;L'!$N$2:$N$1001,0)),"")</f>
        <v/>
      </c>
      <c r="B188" s="243" t="str">
        <f t="shared" si="23"/>
        <v/>
      </c>
      <c r="C188" s="243" t="str">
        <f t="shared" si="24"/>
        <v/>
      </c>
      <c r="D188" s="243" t="str">
        <f t="shared" si="25"/>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6"/>
        <v/>
      </c>
      <c r="K188" s="287" t="str">
        <f t="shared" si="27"/>
        <v/>
      </c>
      <c r="L188" s="287" t="str">
        <f t="shared" si="28"/>
        <v/>
      </c>
      <c r="M188" s="290" t="str">
        <f t="shared" si="29"/>
        <v/>
      </c>
      <c r="N188" t="str">
        <f>IF($A188="","",IFERROR(INDEX(Prices[Category],MATCH($A188,Prices[Key],0)),"Uncategorized"))</f>
        <v/>
      </c>
      <c r="O188" s="291" t="str">
        <f t="shared" si="30"/>
        <v/>
      </c>
      <c r="P188" s="291" t="str">
        <f t="shared" si="31"/>
        <v/>
      </c>
    </row>
    <row r="189" spans="1:16" ht="15" customHeight="1" x14ac:dyDescent="0.2">
      <c r="A189" s="243" t="str">
        <f>IFERROR(INDEX('All Ticker P&amp;L'!$A$2:$A$1001,MATCH(ROWS($A$2:A189),'All Ticker P&amp;L'!$N$2:$N$1001,0)),"")</f>
        <v/>
      </c>
      <c r="B189" s="243" t="str">
        <f t="shared" si="23"/>
        <v/>
      </c>
      <c r="C189" s="243" t="str">
        <f t="shared" si="24"/>
        <v/>
      </c>
      <c r="D189" s="243" t="str">
        <f t="shared" si="25"/>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6"/>
        <v/>
      </c>
      <c r="K189" s="287" t="str">
        <f t="shared" si="27"/>
        <v/>
      </c>
      <c r="L189" s="287" t="str">
        <f t="shared" si="28"/>
        <v/>
      </c>
      <c r="M189" s="290" t="str">
        <f t="shared" si="29"/>
        <v/>
      </c>
      <c r="N189" t="str">
        <f>IF($A189="","",IFERROR(INDEX(Prices[Category],MATCH($A189,Prices[Key],0)),"Uncategorized"))</f>
        <v/>
      </c>
      <c r="O189" s="291" t="str">
        <f t="shared" si="30"/>
        <v/>
      </c>
      <c r="P189" s="291" t="str">
        <f t="shared" si="31"/>
        <v/>
      </c>
    </row>
    <row r="190" spans="1:16" ht="15" customHeight="1" x14ac:dyDescent="0.2">
      <c r="A190" s="243" t="str">
        <f>IFERROR(INDEX('All Ticker P&amp;L'!$A$2:$A$1001,MATCH(ROWS($A$2:A190),'All Ticker P&amp;L'!$N$2:$N$1001,0)),"")</f>
        <v/>
      </c>
      <c r="B190" s="243" t="str">
        <f t="shared" si="23"/>
        <v/>
      </c>
      <c r="C190" s="243" t="str">
        <f t="shared" si="24"/>
        <v/>
      </c>
      <c r="D190" s="243" t="str">
        <f t="shared" si="25"/>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6"/>
        <v/>
      </c>
      <c r="K190" s="287" t="str">
        <f t="shared" si="27"/>
        <v/>
      </c>
      <c r="L190" s="287" t="str">
        <f t="shared" si="28"/>
        <v/>
      </c>
      <c r="M190" s="290" t="str">
        <f t="shared" si="29"/>
        <v/>
      </c>
      <c r="N190" t="str">
        <f>IF($A190="","",IFERROR(INDEX(Prices[Category],MATCH($A190,Prices[Key],0)),"Uncategorized"))</f>
        <v/>
      </c>
      <c r="O190" s="291" t="str">
        <f t="shared" si="30"/>
        <v/>
      </c>
      <c r="P190" s="291" t="str">
        <f t="shared" si="31"/>
        <v/>
      </c>
    </row>
    <row r="191" spans="1:16" ht="15" customHeight="1" x14ac:dyDescent="0.2">
      <c r="A191" s="243" t="str">
        <f>IFERROR(INDEX('All Ticker P&amp;L'!$A$2:$A$1001,MATCH(ROWS($A$2:A191),'All Ticker P&amp;L'!$N$2:$N$1001,0)),"")</f>
        <v/>
      </c>
      <c r="B191" s="243" t="str">
        <f t="shared" si="23"/>
        <v/>
      </c>
      <c r="C191" s="243" t="str">
        <f t="shared" si="24"/>
        <v/>
      </c>
      <c r="D191" s="243" t="str">
        <f t="shared" si="25"/>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6"/>
        <v/>
      </c>
      <c r="K191" s="287" t="str">
        <f t="shared" si="27"/>
        <v/>
      </c>
      <c r="L191" s="287" t="str">
        <f t="shared" si="28"/>
        <v/>
      </c>
      <c r="M191" s="290" t="str">
        <f t="shared" si="29"/>
        <v/>
      </c>
      <c r="N191" t="str">
        <f>IF($A191="","",IFERROR(INDEX(Prices[Category],MATCH($A191,Prices[Key],0)),"Uncategorized"))</f>
        <v/>
      </c>
      <c r="O191" s="291" t="str">
        <f t="shared" si="30"/>
        <v/>
      </c>
      <c r="P191" s="291" t="str">
        <f t="shared" si="31"/>
        <v/>
      </c>
    </row>
    <row r="192" spans="1:16" ht="15" customHeight="1" x14ac:dyDescent="0.2">
      <c r="A192" s="243" t="str">
        <f>IFERROR(INDEX('All Ticker P&amp;L'!$A$2:$A$1001,MATCH(ROWS($A$2:A192),'All Ticker P&amp;L'!$N$2:$N$1001,0)),"")</f>
        <v/>
      </c>
      <c r="B192" s="243" t="str">
        <f t="shared" si="23"/>
        <v/>
      </c>
      <c r="C192" s="243" t="str">
        <f t="shared" si="24"/>
        <v/>
      </c>
      <c r="D192" s="243" t="str">
        <f t="shared" si="25"/>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6"/>
        <v/>
      </c>
      <c r="K192" s="287" t="str">
        <f t="shared" si="27"/>
        <v/>
      </c>
      <c r="L192" s="287" t="str">
        <f t="shared" si="28"/>
        <v/>
      </c>
      <c r="M192" s="290" t="str">
        <f t="shared" si="29"/>
        <v/>
      </c>
      <c r="N192" t="str">
        <f>IF($A192="","",IFERROR(INDEX(Prices[Category],MATCH($A192,Prices[Key],0)),"Uncategorized"))</f>
        <v/>
      </c>
      <c r="O192" s="291" t="str">
        <f t="shared" si="30"/>
        <v/>
      </c>
      <c r="P192" s="291" t="str">
        <f t="shared" si="31"/>
        <v/>
      </c>
    </row>
    <row r="193" spans="1:16" ht="15" customHeight="1" x14ac:dyDescent="0.2">
      <c r="A193" s="243" t="str">
        <f>IFERROR(INDEX('All Ticker P&amp;L'!$A$2:$A$1001,MATCH(ROWS($A$2:A193),'All Ticker P&amp;L'!$N$2:$N$1001,0)),"")</f>
        <v/>
      </c>
      <c r="B193" s="243" t="str">
        <f t="shared" si="23"/>
        <v/>
      </c>
      <c r="C193" s="243" t="str">
        <f t="shared" si="24"/>
        <v/>
      </c>
      <c r="D193" s="243" t="str">
        <f t="shared" si="25"/>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6"/>
        <v/>
      </c>
      <c r="K193" s="287" t="str">
        <f t="shared" si="27"/>
        <v/>
      </c>
      <c r="L193" s="287" t="str">
        <f t="shared" si="28"/>
        <v/>
      </c>
      <c r="M193" s="290" t="str">
        <f t="shared" si="29"/>
        <v/>
      </c>
      <c r="N193" t="str">
        <f>IF($A193="","",IFERROR(INDEX(Prices[Category],MATCH($A193,Prices[Key],0)),"Uncategorized"))</f>
        <v/>
      </c>
      <c r="O193" s="291" t="str">
        <f t="shared" si="30"/>
        <v/>
      </c>
      <c r="P193" s="291" t="str">
        <f t="shared" si="31"/>
        <v/>
      </c>
    </row>
    <row r="194" spans="1:16" ht="15" customHeight="1" x14ac:dyDescent="0.2">
      <c r="A194" s="243" t="str">
        <f>IFERROR(INDEX('All Ticker P&amp;L'!$A$2:$A$1001,MATCH(ROWS($A$2:A194),'All Ticker P&amp;L'!$N$2:$N$1001,0)),"")</f>
        <v/>
      </c>
      <c r="B194" s="243" t="str">
        <f t="shared" ref="B194:B257" si="32">IF($A194="","",LEFT($A194,FIND(":",$A194)-1))</f>
        <v/>
      </c>
      <c r="C194" s="243" t="str">
        <f t="shared" ref="C194:C257" si="33">IF($A194="","",MID($A194,FIND(":",$A194)+1,FIND(":",$A194,FIND(":",$A194)+1)-FIND(":",$A194)-1))</f>
        <v/>
      </c>
      <c r="D194" s="243" t="str">
        <f t="shared" ref="D194:D257" si="34">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5">IF($A194="","",E194*H194)</f>
        <v/>
      </c>
      <c r="K194" s="287" t="str">
        <f t="shared" ref="K194:K257" si="36">IF($A194="","",J194+G194-F194)</f>
        <v/>
      </c>
      <c r="L194" s="287" t="str">
        <f t="shared" ref="L194:L257" si="37">IF($A194="","",K194*I194)</f>
        <v/>
      </c>
      <c r="M194" s="290" t="str">
        <f t="shared" ref="M194:M257" si="38">IF($A194="","",IFERROR(K194/F194,0))</f>
        <v/>
      </c>
      <c r="N194" t="str">
        <f>IF($A194="","",IFERROR(INDEX(Prices[Category],MATCH($A194,Prices[Key],0)),"Uncategorized"))</f>
        <v/>
      </c>
      <c r="O194" s="291" t="str">
        <f t="shared" ref="O194:O257" si="39">IF($A194="","",$J194*$I194)</f>
        <v/>
      </c>
      <c r="P194" s="291" t="str">
        <f t="shared" ref="P194:P257" si="40">IF($A194="","",$L194)</f>
        <v/>
      </c>
    </row>
    <row r="195" spans="1:16" ht="15" customHeight="1" x14ac:dyDescent="0.2">
      <c r="A195" s="243" t="str">
        <f>IFERROR(INDEX('All Ticker P&amp;L'!$A$2:$A$1001,MATCH(ROWS($A$2:A195),'All Ticker P&amp;L'!$N$2:$N$1001,0)),"")</f>
        <v/>
      </c>
      <c r="B195" s="243" t="str">
        <f t="shared" si="32"/>
        <v/>
      </c>
      <c r="C195" s="243" t="str">
        <f t="shared" si="33"/>
        <v/>
      </c>
      <c r="D195" s="243" t="str">
        <f t="shared" si="34"/>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5"/>
        <v/>
      </c>
      <c r="K195" s="287" t="str">
        <f t="shared" si="36"/>
        <v/>
      </c>
      <c r="L195" s="287" t="str">
        <f t="shared" si="37"/>
        <v/>
      </c>
      <c r="M195" s="290" t="str">
        <f t="shared" si="38"/>
        <v/>
      </c>
      <c r="N195" t="str">
        <f>IF($A195="","",IFERROR(INDEX(Prices[Category],MATCH($A195,Prices[Key],0)),"Uncategorized"))</f>
        <v/>
      </c>
      <c r="O195" s="291" t="str">
        <f t="shared" si="39"/>
        <v/>
      </c>
      <c r="P195" s="291" t="str">
        <f t="shared" si="40"/>
        <v/>
      </c>
    </row>
    <row r="196" spans="1:16" ht="15" customHeight="1" x14ac:dyDescent="0.2">
      <c r="A196" s="243" t="str">
        <f>IFERROR(INDEX('All Ticker P&amp;L'!$A$2:$A$1001,MATCH(ROWS($A$2:A196),'All Ticker P&amp;L'!$N$2:$N$1001,0)),"")</f>
        <v/>
      </c>
      <c r="B196" s="243" t="str">
        <f t="shared" si="32"/>
        <v/>
      </c>
      <c r="C196" s="243" t="str">
        <f t="shared" si="33"/>
        <v/>
      </c>
      <c r="D196" s="243" t="str">
        <f t="shared" si="34"/>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5"/>
        <v/>
      </c>
      <c r="K196" s="287" t="str">
        <f t="shared" si="36"/>
        <v/>
      </c>
      <c r="L196" s="287" t="str">
        <f t="shared" si="37"/>
        <v/>
      </c>
      <c r="M196" s="290" t="str">
        <f t="shared" si="38"/>
        <v/>
      </c>
      <c r="N196" t="str">
        <f>IF($A196="","",IFERROR(INDEX(Prices[Category],MATCH($A196,Prices[Key],0)),"Uncategorized"))</f>
        <v/>
      </c>
      <c r="O196" s="291" t="str">
        <f t="shared" si="39"/>
        <v/>
      </c>
      <c r="P196" s="291" t="str">
        <f t="shared" si="40"/>
        <v/>
      </c>
    </row>
    <row r="197" spans="1:16" ht="15" customHeight="1" x14ac:dyDescent="0.2">
      <c r="A197" s="243" t="str">
        <f>IFERROR(INDEX('All Ticker P&amp;L'!$A$2:$A$1001,MATCH(ROWS($A$2:A197),'All Ticker P&amp;L'!$N$2:$N$1001,0)),"")</f>
        <v/>
      </c>
      <c r="B197" s="243" t="str">
        <f t="shared" si="32"/>
        <v/>
      </c>
      <c r="C197" s="243" t="str">
        <f t="shared" si="33"/>
        <v/>
      </c>
      <c r="D197" s="243" t="str">
        <f t="shared" si="34"/>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5"/>
        <v/>
      </c>
      <c r="K197" s="287" t="str">
        <f t="shared" si="36"/>
        <v/>
      </c>
      <c r="L197" s="287" t="str">
        <f t="shared" si="37"/>
        <v/>
      </c>
      <c r="M197" s="290" t="str">
        <f t="shared" si="38"/>
        <v/>
      </c>
      <c r="N197" t="str">
        <f>IF($A197="","",IFERROR(INDEX(Prices[Category],MATCH($A197,Prices[Key],0)),"Uncategorized"))</f>
        <v/>
      </c>
      <c r="O197" s="291" t="str">
        <f t="shared" si="39"/>
        <v/>
      </c>
      <c r="P197" s="291" t="str">
        <f t="shared" si="40"/>
        <v/>
      </c>
    </row>
    <row r="198" spans="1:16" ht="15" customHeight="1" x14ac:dyDescent="0.2">
      <c r="A198" s="243" t="str">
        <f>IFERROR(INDEX('All Ticker P&amp;L'!$A$2:$A$1001,MATCH(ROWS($A$2:A198),'All Ticker P&amp;L'!$N$2:$N$1001,0)),"")</f>
        <v/>
      </c>
      <c r="B198" s="243" t="str">
        <f t="shared" si="32"/>
        <v/>
      </c>
      <c r="C198" s="243" t="str">
        <f t="shared" si="33"/>
        <v/>
      </c>
      <c r="D198" s="243" t="str">
        <f t="shared" si="34"/>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5"/>
        <v/>
      </c>
      <c r="K198" s="287" t="str">
        <f t="shared" si="36"/>
        <v/>
      </c>
      <c r="L198" s="287" t="str">
        <f t="shared" si="37"/>
        <v/>
      </c>
      <c r="M198" s="290" t="str">
        <f t="shared" si="38"/>
        <v/>
      </c>
      <c r="N198" t="str">
        <f>IF($A198="","",IFERROR(INDEX(Prices[Category],MATCH($A198,Prices[Key],0)),"Uncategorized"))</f>
        <v/>
      </c>
      <c r="O198" s="291" t="str">
        <f t="shared" si="39"/>
        <v/>
      </c>
      <c r="P198" s="291" t="str">
        <f t="shared" si="40"/>
        <v/>
      </c>
    </row>
    <row r="199" spans="1:16" ht="15" customHeight="1" x14ac:dyDescent="0.2">
      <c r="A199" s="243" t="str">
        <f>IFERROR(INDEX('All Ticker P&amp;L'!$A$2:$A$1001,MATCH(ROWS($A$2:A199),'All Ticker P&amp;L'!$N$2:$N$1001,0)),"")</f>
        <v/>
      </c>
      <c r="B199" s="243" t="str">
        <f t="shared" si="32"/>
        <v/>
      </c>
      <c r="C199" s="243" t="str">
        <f t="shared" si="33"/>
        <v/>
      </c>
      <c r="D199" s="243" t="str">
        <f t="shared" si="34"/>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5"/>
        <v/>
      </c>
      <c r="K199" s="287" t="str">
        <f t="shared" si="36"/>
        <v/>
      </c>
      <c r="L199" s="287" t="str">
        <f t="shared" si="37"/>
        <v/>
      </c>
      <c r="M199" s="290" t="str">
        <f t="shared" si="38"/>
        <v/>
      </c>
      <c r="N199" t="str">
        <f>IF($A199="","",IFERROR(INDEX(Prices[Category],MATCH($A199,Prices[Key],0)),"Uncategorized"))</f>
        <v/>
      </c>
      <c r="O199" s="291" t="str">
        <f t="shared" si="39"/>
        <v/>
      </c>
      <c r="P199" s="291" t="str">
        <f t="shared" si="40"/>
        <v/>
      </c>
    </row>
    <row r="200" spans="1:16" ht="15" customHeight="1" x14ac:dyDescent="0.2">
      <c r="A200" s="243" t="str">
        <f>IFERROR(INDEX('All Ticker P&amp;L'!$A$2:$A$1001,MATCH(ROWS($A$2:A200),'All Ticker P&amp;L'!$N$2:$N$1001,0)),"")</f>
        <v/>
      </c>
      <c r="B200" s="243" t="str">
        <f t="shared" si="32"/>
        <v/>
      </c>
      <c r="C200" s="243" t="str">
        <f t="shared" si="33"/>
        <v/>
      </c>
      <c r="D200" s="243" t="str">
        <f t="shared" si="34"/>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5"/>
        <v/>
      </c>
      <c r="K200" s="287" t="str">
        <f t="shared" si="36"/>
        <v/>
      </c>
      <c r="L200" s="287" t="str">
        <f t="shared" si="37"/>
        <v/>
      </c>
      <c r="M200" s="290" t="str">
        <f t="shared" si="38"/>
        <v/>
      </c>
      <c r="N200" t="str">
        <f>IF($A200="","",IFERROR(INDEX(Prices[Category],MATCH($A200,Prices[Key],0)),"Uncategorized"))</f>
        <v/>
      </c>
      <c r="O200" s="291" t="str">
        <f t="shared" si="39"/>
        <v/>
      </c>
      <c r="P200" s="291" t="str">
        <f t="shared" si="40"/>
        <v/>
      </c>
    </row>
    <row r="201" spans="1:16" ht="15" customHeight="1" x14ac:dyDescent="0.2">
      <c r="A201" s="243" t="str">
        <f>IFERROR(INDEX('All Ticker P&amp;L'!$A$2:$A$1001,MATCH(ROWS($A$2:A201),'All Ticker P&amp;L'!$N$2:$N$1001,0)),"")</f>
        <v/>
      </c>
      <c r="B201" s="243" t="str">
        <f t="shared" si="32"/>
        <v/>
      </c>
      <c r="C201" s="243" t="str">
        <f t="shared" si="33"/>
        <v/>
      </c>
      <c r="D201" s="243" t="str">
        <f t="shared" si="34"/>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5"/>
        <v/>
      </c>
      <c r="K201" s="287" t="str">
        <f t="shared" si="36"/>
        <v/>
      </c>
      <c r="L201" s="287" t="str">
        <f t="shared" si="37"/>
        <v/>
      </c>
      <c r="M201" s="290" t="str">
        <f t="shared" si="38"/>
        <v/>
      </c>
      <c r="N201" t="str">
        <f>IF($A201="","",IFERROR(INDEX(Prices[Category],MATCH($A201,Prices[Key],0)),"Uncategorized"))</f>
        <v/>
      </c>
      <c r="O201" s="291" t="str">
        <f t="shared" si="39"/>
        <v/>
      </c>
      <c r="P201" s="291" t="str">
        <f t="shared" si="40"/>
        <v/>
      </c>
    </row>
    <row r="202" spans="1:16" ht="15" customHeight="1" x14ac:dyDescent="0.2">
      <c r="A202" s="243" t="str">
        <f>IFERROR(INDEX('All Ticker P&amp;L'!$A$2:$A$1001,MATCH(ROWS($A$2:A202),'All Ticker P&amp;L'!$N$2:$N$1001,0)),"")</f>
        <v/>
      </c>
      <c r="B202" s="243" t="str">
        <f t="shared" si="32"/>
        <v/>
      </c>
      <c r="C202" s="243" t="str">
        <f t="shared" si="33"/>
        <v/>
      </c>
      <c r="D202" s="243" t="str">
        <f t="shared" si="34"/>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5"/>
        <v/>
      </c>
      <c r="K202" s="287" t="str">
        <f t="shared" si="36"/>
        <v/>
      </c>
      <c r="L202" s="287" t="str">
        <f t="shared" si="37"/>
        <v/>
      </c>
      <c r="M202" s="290" t="str">
        <f t="shared" si="38"/>
        <v/>
      </c>
      <c r="N202" t="str">
        <f>IF($A202="","",IFERROR(INDEX(Prices[Category],MATCH($A202,Prices[Key],0)),"Uncategorized"))</f>
        <v/>
      </c>
      <c r="O202" s="291" t="str">
        <f t="shared" si="39"/>
        <v/>
      </c>
      <c r="P202" s="291" t="str">
        <f t="shared" si="40"/>
        <v/>
      </c>
    </row>
    <row r="203" spans="1:16" ht="15" customHeight="1" x14ac:dyDescent="0.2">
      <c r="A203" s="243" t="str">
        <f>IFERROR(INDEX('All Ticker P&amp;L'!$A$2:$A$1001,MATCH(ROWS($A$2:A203),'All Ticker P&amp;L'!$N$2:$N$1001,0)),"")</f>
        <v/>
      </c>
      <c r="B203" s="243" t="str">
        <f t="shared" si="32"/>
        <v/>
      </c>
      <c r="C203" s="243" t="str">
        <f t="shared" si="33"/>
        <v/>
      </c>
      <c r="D203" s="243" t="str">
        <f t="shared" si="34"/>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5"/>
        <v/>
      </c>
      <c r="K203" s="287" t="str">
        <f t="shared" si="36"/>
        <v/>
      </c>
      <c r="L203" s="287" t="str">
        <f t="shared" si="37"/>
        <v/>
      </c>
      <c r="M203" s="290" t="str">
        <f t="shared" si="38"/>
        <v/>
      </c>
      <c r="N203" t="str">
        <f>IF($A203="","",IFERROR(INDEX(Prices[Category],MATCH($A203,Prices[Key],0)),"Uncategorized"))</f>
        <v/>
      </c>
      <c r="O203" s="291" t="str">
        <f t="shared" si="39"/>
        <v/>
      </c>
      <c r="P203" s="291" t="str">
        <f t="shared" si="40"/>
        <v/>
      </c>
    </row>
    <row r="204" spans="1:16" ht="15" customHeight="1" x14ac:dyDescent="0.2">
      <c r="A204" s="243" t="str">
        <f>IFERROR(INDEX('All Ticker P&amp;L'!$A$2:$A$1001,MATCH(ROWS($A$2:A204),'All Ticker P&amp;L'!$N$2:$N$1001,0)),"")</f>
        <v/>
      </c>
      <c r="B204" s="243" t="str">
        <f t="shared" si="32"/>
        <v/>
      </c>
      <c r="C204" s="243" t="str">
        <f t="shared" si="33"/>
        <v/>
      </c>
      <c r="D204" s="243" t="str">
        <f t="shared" si="34"/>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5"/>
        <v/>
      </c>
      <c r="K204" s="287" t="str">
        <f t="shared" si="36"/>
        <v/>
      </c>
      <c r="L204" s="287" t="str">
        <f t="shared" si="37"/>
        <v/>
      </c>
      <c r="M204" s="290" t="str">
        <f t="shared" si="38"/>
        <v/>
      </c>
      <c r="N204" t="str">
        <f>IF($A204="","",IFERROR(INDEX(Prices[Category],MATCH($A204,Prices[Key],0)),"Uncategorized"))</f>
        <v/>
      </c>
      <c r="O204" s="291" t="str">
        <f t="shared" si="39"/>
        <v/>
      </c>
      <c r="P204" s="291" t="str">
        <f t="shared" si="40"/>
        <v/>
      </c>
    </row>
    <row r="205" spans="1:16" ht="15" customHeight="1" x14ac:dyDescent="0.2">
      <c r="A205" s="243" t="str">
        <f>IFERROR(INDEX('All Ticker P&amp;L'!$A$2:$A$1001,MATCH(ROWS($A$2:A205),'All Ticker P&amp;L'!$N$2:$N$1001,0)),"")</f>
        <v/>
      </c>
      <c r="B205" s="243" t="str">
        <f t="shared" si="32"/>
        <v/>
      </c>
      <c r="C205" s="243" t="str">
        <f t="shared" si="33"/>
        <v/>
      </c>
      <c r="D205" s="243" t="str">
        <f t="shared" si="34"/>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5"/>
        <v/>
      </c>
      <c r="K205" s="287" t="str">
        <f t="shared" si="36"/>
        <v/>
      </c>
      <c r="L205" s="287" t="str">
        <f t="shared" si="37"/>
        <v/>
      </c>
      <c r="M205" s="290" t="str">
        <f t="shared" si="38"/>
        <v/>
      </c>
      <c r="N205" t="str">
        <f>IF($A205="","",IFERROR(INDEX(Prices[Category],MATCH($A205,Prices[Key],0)),"Uncategorized"))</f>
        <v/>
      </c>
      <c r="O205" s="291" t="str">
        <f t="shared" si="39"/>
        <v/>
      </c>
      <c r="P205" s="291" t="str">
        <f t="shared" si="40"/>
        <v/>
      </c>
    </row>
    <row r="206" spans="1:16" ht="15" customHeight="1" x14ac:dyDescent="0.2">
      <c r="A206" s="243" t="str">
        <f>IFERROR(INDEX('All Ticker P&amp;L'!$A$2:$A$1001,MATCH(ROWS($A$2:A206),'All Ticker P&amp;L'!$N$2:$N$1001,0)),"")</f>
        <v/>
      </c>
      <c r="B206" s="243" t="str">
        <f t="shared" si="32"/>
        <v/>
      </c>
      <c r="C206" s="243" t="str">
        <f t="shared" si="33"/>
        <v/>
      </c>
      <c r="D206" s="243" t="str">
        <f t="shared" si="34"/>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5"/>
        <v/>
      </c>
      <c r="K206" s="287" t="str">
        <f t="shared" si="36"/>
        <v/>
      </c>
      <c r="L206" s="287" t="str">
        <f t="shared" si="37"/>
        <v/>
      </c>
      <c r="M206" s="290" t="str">
        <f t="shared" si="38"/>
        <v/>
      </c>
      <c r="N206" t="str">
        <f>IF($A206="","",IFERROR(INDEX(Prices[Category],MATCH($A206,Prices[Key],0)),"Uncategorized"))</f>
        <v/>
      </c>
      <c r="O206" s="291" t="str">
        <f t="shared" si="39"/>
        <v/>
      </c>
      <c r="P206" s="291" t="str">
        <f t="shared" si="40"/>
        <v/>
      </c>
    </row>
    <row r="207" spans="1:16" ht="15" customHeight="1" x14ac:dyDescent="0.2">
      <c r="A207" s="243" t="str">
        <f>IFERROR(INDEX('All Ticker P&amp;L'!$A$2:$A$1001,MATCH(ROWS($A$2:A207),'All Ticker P&amp;L'!$N$2:$N$1001,0)),"")</f>
        <v/>
      </c>
      <c r="B207" s="243" t="str">
        <f t="shared" si="32"/>
        <v/>
      </c>
      <c r="C207" s="243" t="str">
        <f t="shared" si="33"/>
        <v/>
      </c>
      <c r="D207" s="243" t="str">
        <f t="shared" si="34"/>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5"/>
        <v/>
      </c>
      <c r="K207" s="287" t="str">
        <f t="shared" si="36"/>
        <v/>
      </c>
      <c r="L207" s="287" t="str">
        <f t="shared" si="37"/>
        <v/>
      </c>
      <c r="M207" s="290" t="str">
        <f t="shared" si="38"/>
        <v/>
      </c>
      <c r="N207" t="str">
        <f>IF($A207="","",IFERROR(INDEX(Prices[Category],MATCH($A207,Prices[Key],0)),"Uncategorized"))</f>
        <v/>
      </c>
      <c r="O207" s="291" t="str">
        <f t="shared" si="39"/>
        <v/>
      </c>
      <c r="P207" s="291" t="str">
        <f t="shared" si="40"/>
        <v/>
      </c>
    </row>
    <row r="208" spans="1:16" ht="15" customHeight="1" x14ac:dyDescent="0.2">
      <c r="A208" s="243" t="str">
        <f>IFERROR(INDEX('All Ticker P&amp;L'!$A$2:$A$1001,MATCH(ROWS($A$2:A208),'All Ticker P&amp;L'!$N$2:$N$1001,0)),"")</f>
        <v/>
      </c>
      <c r="B208" s="243" t="str">
        <f t="shared" si="32"/>
        <v/>
      </c>
      <c r="C208" s="243" t="str">
        <f t="shared" si="33"/>
        <v/>
      </c>
      <c r="D208" s="243" t="str">
        <f t="shared" si="34"/>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5"/>
        <v/>
      </c>
      <c r="K208" s="287" t="str">
        <f t="shared" si="36"/>
        <v/>
      </c>
      <c r="L208" s="287" t="str">
        <f t="shared" si="37"/>
        <v/>
      </c>
      <c r="M208" s="290" t="str">
        <f t="shared" si="38"/>
        <v/>
      </c>
      <c r="N208" t="str">
        <f>IF($A208="","",IFERROR(INDEX(Prices[Category],MATCH($A208,Prices[Key],0)),"Uncategorized"))</f>
        <v/>
      </c>
      <c r="O208" s="291" t="str">
        <f t="shared" si="39"/>
        <v/>
      </c>
      <c r="P208" s="291" t="str">
        <f t="shared" si="40"/>
        <v/>
      </c>
    </row>
    <row r="209" spans="1:16" ht="15" customHeight="1" x14ac:dyDescent="0.2">
      <c r="A209" s="243" t="str">
        <f>IFERROR(INDEX('All Ticker P&amp;L'!$A$2:$A$1001,MATCH(ROWS($A$2:A209),'All Ticker P&amp;L'!$N$2:$N$1001,0)),"")</f>
        <v/>
      </c>
      <c r="B209" s="243" t="str">
        <f t="shared" si="32"/>
        <v/>
      </c>
      <c r="C209" s="243" t="str">
        <f t="shared" si="33"/>
        <v/>
      </c>
      <c r="D209" s="243" t="str">
        <f t="shared" si="34"/>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5"/>
        <v/>
      </c>
      <c r="K209" s="287" t="str">
        <f t="shared" si="36"/>
        <v/>
      </c>
      <c r="L209" s="287" t="str">
        <f t="shared" si="37"/>
        <v/>
      </c>
      <c r="M209" s="290" t="str">
        <f t="shared" si="38"/>
        <v/>
      </c>
      <c r="N209" t="str">
        <f>IF($A209="","",IFERROR(INDEX(Prices[Category],MATCH($A209,Prices[Key],0)),"Uncategorized"))</f>
        <v/>
      </c>
      <c r="O209" s="291" t="str">
        <f t="shared" si="39"/>
        <v/>
      </c>
      <c r="P209" s="291" t="str">
        <f t="shared" si="40"/>
        <v/>
      </c>
    </row>
    <row r="210" spans="1:16" ht="15" customHeight="1" x14ac:dyDescent="0.2">
      <c r="A210" s="243" t="str">
        <f>IFERROR(INDEX('All Ticker P&amp;L'!$A$2:$A$1001,MATCH(ROWS($A$2:A210),'All Ticker P&amp;L'!$N$2:$N$1001,0)),"")</f>
        <v/>
      </c>
      <c r="B210" s="243" t="str">
        <f t="shared" si="32"/>
        <v/>
      </c>
      <c r="C210" s="243" t="str">
        <f t="shared" si="33"/>
        <v/>
      </c>
      <c r="D210" s="243" t="str">
        <f t="shared" si="34"/>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5"/>
        <v/>
      </c>
      <c r="K210" s="287" t="str">
        <f t="shared" si="36"/>
        <v/>
      </c>
      <c r="L210" s="287" t="str">
        <f t="shared" si="37"/>
        <v/>
      </c>
      <c r="M210" s="290" t="str">
        <f t="shared" si="38"/>
        <v/>
      </c>
      <c r="N210" t="str">
        <f>IF($A210="","",IFERROR(INDEX(Prices[Category],MATCH($A210,Prices[Key],0)),"Uncategorized"))</f>
        <v/>
      </c>
      <c r="O210" s="291" t="str">
        <f t="shared" si="39"/>
        <v/>
      </c>
      <c r="P210" s="291" t="str">
        <f t="shared" si="40"/>
        <v/>
      </c>
    </row>
    <row r="211" spans="1:16" ht="15" customHeight="1" x14ac:dyDescent="0.2">
      <c r="A211" s="243" t="str">
        <f>IFERROR(INDEX('All Ticker P&amp;L'!$A$2:$A$1001,MATCH(ROWS($A$2:A211),'All Ticker P&amp;L'!$N$2:$N$1001,0)),"")</f>
        <v/>
      </c>
      <c r="B211" s="243" t="str">
        <f t="shared" si="32"/>
        <v/>
      </c>
      <c r="C211" s="243" t="str">
        <f t="shared" si="33"/>
        <v/>
      </c>
      <c r="D211" s="243" t="str">
        <f t="shared" si="34"/>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5"/>
        <v/>
      </c>
      <c r="K211" s="287" t="str">
        <f t="shared" si="36"/>
        <v/>
      </c>
      <c r="L211" s="287" t="str">
        <f t="shared" si="37"/>
        <v/>
      </c>
      <c r="M211" s="290" t="str">
        <f t="shared" si="38"/>
        <v/>
      </c>
      <c r="N211" t="str">
        <f>IF($A211="","",IFERROR(INDEX(Prices[Category],MATCH($A211,Prices[Key],0)),"Uncategorized"))</f>
        <v/>
      </c>
      <c r="O211" s="291" t="str">
        <f t="shared" si="39"/>
        <v/>
      </c>
      <c r="P211" s="291" t="str">
        <f t="shared" si="40"/>
        <v/>
      </c>
    </row>
    <row r="212" spans="1:16" ht="15" customHeight="1" x14ac:dyDescent="0.2">
      <c r="A212" s="243" t="str">
        <f>IFERROR(INDEX('All Ticker P&amp;L'!$A$2:$A$1001,MATCH(ROWS($A$2:A212),'All Ticker P&amp;L'!$N$2:$N$1001,0)),"")</f>
        <v/>
      </c>
      <c r="B212" s="243" t="str">
        <f t="shared" si="32"/>
        <v/>
      </c>
      <c r="C212" s="243" t="str">
        <f t="shared" si="33"/>
        <v/>
      </c>
      <c r="D212" s="243" t="str">
        <f t="shared" si="34"/>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5"/>
        <v/>
      </c>
      <c r="K212" s="287" t="str">
        <f t="shared" si="36"/>
        <v/>
      </c>
      <c r="L212" s="287" t="str">
        <f t="shared" si="37"/>
        <v/>
      </c>
      <c r="M212" s="290" t="str">
        <f t="shared" si="38"/>
        <v/>
      </c>
      <c r="N212" t="str">
        <f>IF($A212="","",IFERROR(INDEX(Prices[Category],MATCH($A212,Prices[Key],0)),"Uncategorized"))</f>
        <v/>
      </c>
      <c r="O212" s="291" t="str">
        <f t="shared" si="39"/>
        <v/>
      </c>
      <c r="P212" s="291" t="str">
        <f t="shared" si="40"/>
        <v/>
      </c>
    </row>
    <row r="213" spans="1:16" ht="15" customHeight="1" x14ac:dyDescent="0.2">
      <c r="A213" s="243" t="str">
        <f>IFERROR(INDEX('All Ticker P&amp;L'!$A$2:$A$1001,MATCH(ROWS($A$2:A213),'All Ticker P&amp;L'!$N$2:$N$1001,0)),"")</f>
        <v/>
      </c>
      <c r="B213" s="243" t="str">
        <f t="shared" si="32"/>
        <v/>
      </c>
      <c r="C213" s="243" t="str">
        <f t="shared" si="33"/>
        <v/>
      </c>
      <c r="D213" s="243" t="str">
        <f t="shared" si="34"/>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5"/>
        <v/>
      </c>
      <c r="K213" s="287" t="str">
        <f t="shared" si="36"/>
        <v/>
      </c>
      <c r="L213" s="287" t="str">
        <f t="shared" si="37"/>
        <v/>
      </c>
      <c r="M213" s="290" t="str">
        <f t="shared" si="38"/>
        <v/>
      </c>
      <c r="N213" t="str">
        <f>IF($A213="","",IFERROR(INDEX(Prices[Category],MATCH($A213,Prices[Key],0)),"Uncategorized"))</f>
        <v/>
      </c>
      <c r="O213" s="291" t="str">
        <f t="shared" si="39"/>
        <v/>
      </c>
      <c r="P213" s="291" t="str">
        <f t="shared" si="40"/>
        <v/>
      </c>
    </row>
    <row r="214" spans="1:16" ht="15" customHeight="1" x14ac:dyDescent="0.2">
      <c r="A214" s="243" t="str">
        <f>IFERROR(INDEX('All Ticker P&amp;L'!$A$2:$A$1001,MATCH(ROWS($A$2:A214),'All Ticker P&amp;L'!$N$2:$N$1001,0)),"")</f>
        <v/>
      </c>
      <c r="B214" s="243" t="str">
        <f t="shared" si="32"/>
        <v/>
      </c>
      <c r="C214" s="243" t="str">
        <f t="shared" si="33"/>
        <v/>
      </c>
      <c r="D214" s="243" t="str">
        <f t="shared" si="34"/>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5"/>
        <v/>
      </c>
      <c r="K214" s="287" t="str">
        <f t="shared" si="36"/>
        <v/>
      </c>
      <c r="L214" s="287" t="str">
        <f t="shared" si="37"/>
        <v/>
      </c>
      <c r="M214" s="290" t="str">
        <f t="shared" si="38"/>
        <v/>
      </c>
      <c r="N214" t="str">
        <f>IF($A214="","",IFERROR(INDEX(Prices[Category],MATCH($A214,Prices[Key],0)),"Uncategorized"))</f>
        <v/>
      </c>
      <c r="O214" s="291" t="str">
        <f t="shared" si="39"/>
        <v/>
      </c>
      <c r="P214" s="291" t="str">
        <f t="shared" si="40"/>
        <v/>
      </c>
    </row>
    <row r="215" spans="1:16" ht="15" customHeight="1" x14ac:dyDescent="0.2">
      <c r="A215" s="243" t="str">
        <f>IFERROR(INDEX('All Ticker P&amp;L'!$A$2:$A$1001,MATCH(ROWS($A$2:A215),'All Ticker P&amp;L'!$N$2:$N$1001,0)),"")</f>
        <v/>
      </c>
      <c r="B215" s="243" t="str">
        <f t="shared" si="32"/>
        <v/>
      </c>
      <c r="C215" s="243" t="str">
        <f t="shared" si="33"/>
        <v/>
      </c>
      <c r="D215" s="243" t="str">
        <f t="shared" si="34"/>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5"/>
        <v/>
      </c>
      <c r="K215" s="287" t="str">
        <f t="shared" si="36"/>
        <v/>
      </c>
      <c r="L215" s="287" t="str">
        <f t="shared" si="37"/>
        <v/>
      </c>
      <c r="M215" s="290" t="str">
        <f t="shared" si="38"/>
        <v/>
      </c>
      <c r="N215" t="str">
        <f>IF($A215="","",IFERROR(INDEX(Prices[Category],MATCH($A215,Prices[Key],0)),"Uncategorized"))</f>
        <v/>
      </c>
      <c r="O215" s="291" t="str">
        <f t="shared" si="39"/>
        <v/>
      </c>
      <c r="P215" s="291" t="str">
        <f t="shared" si="40"/>
        <v/>
      </c>
    </row>
    <row r="216" spans="1:16" ht="15" customHeight="1" x14ac:dyDescent="0.2">
      <c r="A216" s="243" t="str">
        <f>IFERROR(INDEX('All Ticker P&amp;L'!$A$2:$A$1001,MATCH(ROWS($A$2:A216),'All Ticker P&amp;L'!$N$2:$N$1001,0)),"")</f>
        <v/>
      </c>
      <c r="B216" s="243" t="str">
        <f t="shared" si="32"/>
        <v/>
      </c>
      <c r="C216" s="243" t="str">
        <f t="shared" si="33"/>
        <v/>
      </c>
      <c r="D216" s="243" t="str">
        <f t="shared" si="34"/>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5"/>
        <v/>
      </c>
      <c r="K216" s="287" t="str">
        <f t="shared" si="36"/>
        <v/>
      </c>
      <c r="L216" s="287" t="str">
        <f t="shared" si="37"/>
        <v/>
      </c>
      <c r="M216" s="290" t="str">
        <f t="shared" si="38"/>
        <v/>
      </c>
      <c r="N216" t="str">
        <f>IF($A216="","",IFERROR(INDEX(Prices[Category],MATCH($A216,Prices[Key],0)),"Uncategorized"))</f>
        <v/>
      </c>
      <c r="O216" s="291" t="str">
        <f t="shared" si="39"/>
        <v/>
      </c>
      <c r="P216" s="291" t="str">
        <f t="shared" si="40"/>
        <v/>
      </c>
    </row>
    <row r="217" spans="1:16" ht="15" customHeight="1" x14ac:dyDescent="0.2">
      <c r="A217" s="243" t="str">
        <f>IFERROR(INDEX('All Ticker P&amp;L'!$A$2:$A$1001,MATCH(ROWS($A$2:A217),'All Ticker P&amp;L'!$N$2:$N$1001,0)),"")</f>
        <v/>
      </c>
      <c r="B217" s="243" t="str">
        <f t="shared" si="32"/>
        <v/>
      </c>
      <c r="C217" s="243" t="str">
        <f t="shared" si="33"/>
        <v/>
      </c>
      <c r="D217" s="243" t="str">
        <f t="shared" si="34"/>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5"/>
        <v/>
      </c>
      <c r="K217" s="287" t="str">
        <f t="shared" si="36"/>
        <v/>
      </c>
      <c r="L217" s="287" t="str">
        <f t="shared" si="37"/>
        <v/>
      </c>
      <c r="M217" s="290" t="str">
        <f t="shared" si="38"/>
        <v/>
      </c>
      <c r="N217" t="str">
        <f>IF($A217="","",IFERROR(INDEX(Prices[Category],MATCH($A217,Prices[Key],0)),"Uncategorized"))</f>
        <v/>
      </c>
      <c r="O217" s="291" t="str">
        <f t="shared" si="39"/>
        <v/>
      </c>
      <c r="P217" s="291" t="str">
        <f t="shared" si="40"/>
        <v/>
      </c>
    </row>
    <row r="218" spans="1:16" ht="15" customHeight="1" x14ac:dyDescent="0.2">
      <c r="A218" s="243" t="str">
        <f>IFERROR(INDEX('All Ticker P&amp;L'!$A$2:$A$1001,MATCH(ROWS($A$2:A218),'All Ticker P&amp;L'!$N$2:$N$1001,0)),"")</f>
        <v/>
      </c>
      <c r="B218" s="243" t="str">
        <f t="shared" si="32"/>
        <v/>
      </c>
      <c r="C218" s="243" t="str">
        <f t="shared" si="33"/>
        <v/>
      </c>
      <c r="D218" s="243" t="str">
        <f t="shared" si="34"/>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5"/>
        <v/>
      </c>
      <c r="K218" s="287" t="str">
        <f t="shared" si="36"/>
        <v/>
      </c>
      <c r="L218" s="287" t="str">
        <f t="shared" si="37"/>
        <v/>
      </c>
      <c r="M218" s="290" t="str">
        <f t="shared" si="38"/>
        <v/>
      </c>
      <c r="N218" t="str">
        <f>IF($A218="","",IFERROR(INDEX(Prices[Category],MATCH($A218,Prices[Key],0)),"Uncategorized"))</f>
        <v/>
      </c>
      <c r="O218" s="291" t="str">
        <f t="shared" si="39"/>
        <v/>
      </c>
      <c r="P218" s="291" t="str">
        <f t="shared" si="40"/>
        <v/>
      </c>
    </row>
    <row r="219" spans="1:16" ht="15" customHeight="1" x14ac:dyDescent="0.2">
      <c r="A219" s="243" t="str">
        <f>IFERROR(INDEX('All Ticker P&amp;L'!$A$2:$A$1001,MATCH(ROWS($A$2:A219),'All Ticker P&amp;L'!$N$2:$N$1001,0)),"")</f>
        <v/>
      </c>
      <c r="B219" s="243" t="str">
        <f t="shared" si="32"/>
        <v/>
      </c>
      <c r="C219" s="243" t="str">
        <f t="shared" si="33"/>
        <v/>
      </c>
      <c r="D219" s="243" t="str">
        <f t="shared" si="34"/>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5"/>
        <v/>
      </c>
      <c r="K219" s="287" t="str">
        <f t="shared" si="36"/>
        <v/>
      </c>
      <c r="L219" s="287" t="str">
        <f t="shared" si="37"/>
        <v/>
      </c>
      <c r="M219" s="290" t="str">
        <f t="shared" si="38"/>
        <v/>
      </c>
      <c r="N219" t="str">
        <f>IF($A219="","",IFERROR(INDEX(Prices[Category],MATCH($A219,Prices[Key],0)),"Uncategorized"))</f>
        <v/>
      </c>
      <c r="O219" s="291" t="str">
        <f t="shared" si="39"/>
        <v/>
      </c>
      <c r="P219" s="291" t="str">
        <f t="shared" si="40"/>
        <v/>
      </c>
    </row>
    <row r="220" spans="1:16" ht="15" customHeight="1" x14ac:dyDescent="0.2">
      <c r="A220" s="243" t="str">
        <f>IFERROR(INDEX('All Ticker P&amp;L'!$A$2:$A$1001,MATCH(ROWS($A$2:A220),'All Ticker P&amp;L'!$N$2:$N$1001,0)),"")</f>
        <v/>
      </c>
      <c r="B220" s="243" t="str">
        <f t="shared" si="32"/>
        <v/>
      </c>
      <c r="C220" s="243" t="str">
        <f t="shared" si="33"/>
        <v/>
      </c>
      <c r="D220" s="243" t="str">
        <f t="shared" si="34"/>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5"/>
        <v/>
      </c>
      <c r="K220" s="287" t="str">
        <f t="shared" si="36"/>
        <v/>
      </c>
      <c r="L220" s="287" t="str">
        <f t="shared" si="37"/>
        <v/>
      </c>
      <c r="M220" s="290" t="str">
        <f t="shared" si="38"/>
        <v/>
      </c>
      <c r="N220" t="str">
        <f>IF($A220="","",IFERROR(INDEX(Prices[Category],MATCH($A220,Prices[Key],0)),"Uncategorized"))</f>
        <v/>
      </c>
      <c r="O220" s="291" t="str">
        <f t="shared" si="39"/>
        <v/>
      </c>
      <c r="P220" s="291" t="str">
        <f t="shared" si="40"/>
        <v/>
      </c>
    </row>
    <row r="221" spans="1:16" ht="15" customHeight="1" x14ac:dyDescent="0.2">
      <c r="A221" s="243" t="str">
        <f>IFERROR(INDEX('All Ticker P&amp;L'!$A$2:$A$1001,MATCH(ROWS($A$2:A221),'All Ticker P&amp;L'!$N$2:$N$1001,0)),"")</f>
        <v/>
      </c>
      <c r="B221" s="243" t="str">
        <f t="shared" si="32"/>
        <v/>
      </c>
      <c r="C221" s="243" t="str">
        <f t="shared" si="33"/>
        <v/>
      </c>
      <c r="D221" s="243" t="str">
        <f t="shared" si="34"/>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5"/>
        <v/>
      </c>
      <c r="K221" s="287" t="str">
        <f t="shared" si="36"/>
        <v/>
      </c>
      <c r="L221" s="287" t="str">
        <f t="shared" si="37"/>
        <v/>
      </c>
      <c r="M221" s="290" t="str">
        <f t="shared" si="38"/>
        <v/>
      </c>
      <c r="N221" t="str">
        <f>IF($A221="","",IFERROR(INDEX(Prices[Category],MATCH($A221,Prices[Key],0)),"Uncategorized"))</f>
        <v/>
      </c>
      <c r="O221" s="291" t="str">
        <f t="shared" si="39"/>
        <v/>
      </c>
      <c r="P221" s="291" t="str">
        <f t="shared" si="40"/>
        <v/>
      </c>
    </row>
    <row r="222" spans="1:16" ht="15" customHeight="1" x14ac:dyDescent="0.2">
      <c r="A222" s="243" t="str">
        <f>IFERROR(INDEX('All Ticker P&amp;L'!$A$2:$A$1001,MATCH(ROWS($A$2:A222),'All Ticker P&amp;L'!$N$2:$N$1001,0)),"")</f>
        <v/>
      </c>
      <c r="B222" s="243" t="str">
        <f t="shared" si="32"/>
        <v/>
      </c>
      <c r="C222" s="243" t="str">
        <f t="shared" si="33"/>
        <v/>
      </c>
      <c r="D222" s="243" t="str">
        <f t="shared" si="34"/>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5"/>
        <v/>
      </c>
      <c r="K222" s="287" t="str">
        <f t="shared" si="36"/>
        <v/>
      </c>
      <c r="L222" s="287" t="str">
        <f t="shared" si="37"/>
        <v/>
      </c>
      <c r="M222" s="290" t="str">
        <f t="shared" si="38"/>
        <v/>
      </c>
      <c r="N222" t="str">
        <f>IF($A222="","",IFERROR(INDEX(Prices[Category],MATCH($A222,Prices[Key],0)),"Uncategorized"))</f>
        <v/>
      </c>
      <c r="O222" s="291" t="str">
        <f t="shared" si="39"/>
        <v/>
      </c>
      <c r="P222" s="291" t="str">
        <f t="shared" si="40"/>
        <v/>
      </c>
    </row>
    <row r="223" spans="1:16" ht="15" customHeight="1" x14ac:dyDescent="0.2">
      <c r="A223" s="243" t="str">
        <f>IFERROR(INDEX('All Ticker P&amp;L'!$A$2:$A$1001,MATCH(ROWS($A$2:A223),'All Ticker P&amp;L'!$N$2:$N$1001,0)),"")</f>
        <v/>
      </c>
      <c r="B223" s="243" t="str">
        <f t="shared" si="32"/>
        <v/>
      </c>
      <c r="C223" s="243" t="str">
        <f t="shared" si="33"/>
        <v/>
      </c>
      <c r="D223" s="243" t="str">
        <f t="shared" si="34"/>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5"/>
        <v/>
      </c>
      <c r="K223" s="287" t="str">
        <f t="shared" si="36"/>
        <v/>
      </c>
      <c r="L223" s="287" t="str">
        <f t="shared" si="37"/>
        <v/>
      </c>
      <c r="M223" s="290" t="str">
        <f t="shared" si="38"/>
        <v/>
      </c>
      <c r="N223" t="str">
        <f>IF($A223="","",IFERROR(INDEX(Prices[Category],MATCH($A223,Prices[Key],0)),"Uncategorized"))</f>
        <v/>
      </c>
      <c r="O223" s="291" t="str">
        <f t="shared" si="39"/>
        <v/>
      </c>
      <c r="P223" s="291" t="str">
        <f t="shared" si="40"/>
        <v/>
      </c>
    </row>
    <row r="224" spans="1:16" ht="15" customHeight="1" x14ac:dyDescent="0.2">
      <c r="A224" s="243" t="str">
        <f>IFERROR(INDEX('All Ticker P&amp;L'!$A$2:$A$1001,MATCH(ROWS($A$2:A224),'All Ticker P&amp;L'!$N$2:$N$1001,0)),"")</f>
        <v/>
      </c>
      <c r="B224" s="243" t="str">
        <f t="shared" si="32"/>
        <v/>
      </c>
      <c r="C224" s="243" t="str">
        <f t="shared" si="33"/>
        <v/>
      </c>
      <c r="D224" s="243" t="str">
        <f t="shared" si="34"/>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5"/>
        <v/>
      </c>
      <c r="K224" s="287" t="str">
        <f t="shared" si="36"/>
        <v/>
      </c>
      <c r="L224" s="287" t="str">
        <f t="shared" si="37"/>
        <v/>
      </c>
      <c r="M224" s="290" t="str">
        <f t="shared" si="38"/>
        <v/>
      </c>
      <c r="N224" t="str">
        <f>IF($A224="","",IFERROR(INDEX(Prices[Category],MATCH($A224,Prices[Key],0)),"Uncategorized"))</f>
        <v/>
      </c>
      <c r="O224" s="291" t="str">
        <f t="shared" si="39"/>
        <v/>
      </c>
      <c r="P224" s="291" t="str">
        <f t="shared" si="40"/>
        <v/>
      </c>
    </row>
    <row r="225" spans="1:16" ht="15" customHeight="1" x14ac:dyDescent="0.2">
      <c r="A225" s="243" t="str">
        <f>IFERROR(INDEX('All Ticker P&amp;L'!$A$2:$A$1001,MATCH(ROWS($A$2:A225),'All Ticker P&amp;L'!$N$2:$N$1001,0)),"")</f>
        <v/>
      </c>
      <c r="B225" s="243" t="str">
        <f t="shared" si="32"/>
        <v/>
      </c>
      <c r="C225" s="243" t="str">
        <f t="shared" si="33"/>
        <v/>
      </c>
      <c r="D225" s="243" t="str">
        <f t="shared" si="34"/>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5"/>
        <v/>
      </c>
      <c r="K225" s="287" t="str">
        <f t="shared" si="36"/>
        <v/>
      </c>
      <c r="L225" s="287" t="str">
        <f t="shared" si="37"/>
        <v/>
      </c>
      <c r="M225" s="290" t="str">
        <f t="shared" si="38"/>
        <v/>
      </c>
      <c r="N225" t="str">
        <f>IF($A225="","",IFERROR(INDEX(Prices[Category],MATCH($A225,Prices[Key],0)),"Uncategorized"))</f>
        <v/>
      </c>
      <c r="O225" s="291" t="str">
        <f t="shared" si="39"/>
        <v/>
      </c>
      <c r="P225" s="291" t="str">
        <f t="shared" si="40"/>
        <v/>
      </c>
    </row>
    <row r="226" spans="1:16" ht="15" customHeight="1" x14ac:dyDescent="0.2">
      <c r="A226" s="243" t="str">
        <f>IFERROR(INDEX('All Ticker P&amp;L'!$A$2:$A$1001,MATCH(ROWS($A$2:A226),'All Ticker P&amp;L'!$N$2:$N$1001,0)),"")</f>
        <v/>
      </c>
      <c r="B226" s="243" t="str">
        <f t="shared" si="32"/>
        <v/>
      </c>
      <c r="C226" s="243" t="str">
        <f t="shared" si="33"/>
        <v/>
      </c>
      <c r="D226" s="243" t="str">
        <f t="shared" si="34"/>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5"/>
        <v/>
      </c>
      <c r="K226" s="287" t="str">
        <f t="shared" si="36"/>
        <v/>
      </c>
      <c r="L226" s="287" t="str">
        <f t="shared" si="37"/>
        <v/>
      </c>
      <c r="M226" s="290" t="str">
        <f t="shared" si="38"/>
        <v/>
      </c>
      <c r="N226" t="str">
        <f>IF($A226="","",IFERROR(INDEX(Prices[Category],MATCH($A226,Prices[Key],0)),"Uncategorized"))</f>
        <v/>
      </c>
      <c r="O226" s="291" t="str">
        <f t="shared" si="39"/>
        <v/>
      </c>
      <c r="P226" s="291" t="str">
        <f t="shared" si="40"/>
        <v/>
      </c>
    </row>
    <row r="227" spans="1:16" ht="15" customHeight="1" x14ac:dyDescent="0.2">
      <c r="A227" s="243" t="str">
        <f>IFERROR(INDEX('All Ticker P&amp;L'!$A$2:$A$1001,MATCH(ROWS($A$2:A227),'All Ticker P&amp;L'!$N$2:$N$1001,0)),"")</f>
        <v/>
      </c>
      <c r="B227" s="243" t="str">
        <f t="shared" si="32"/>
        <v/>
      </c>
      <c r="C227" s="243" t="str">
        <f t="shared" si="33"/>
        <v/>
      </c>
      <c r="D227" s="243" t="str">
        <f t="shared" si="34"/>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5"/>
        <v/>
      </c>
      <c r="K227" s="287" t="str">
        <f t="shared" si="36"/>
        <v/>
      </c>
      <c r="L227" s="287" t="str">
        <f t="shared" si="37"/>
        <v/>
      </c>
      <c r="M227" s="290" t="str">
        <f t="shared" si="38"/>
        <v/>
      </c>
      <c r="N227" t="str">
        <f>IF($A227="","",IFERROR(INDEX(Prices[Category],MATCH($A227,Prices[Key],0)),"Uncategorized"))</f>
        <v/>
      </c>
      <c r="O227" s="291" t="str">
        <f t="shared" si="39"/>
        <v/>
      </c>
      <c r="P227" s="291" t="str">
        <f t="shared" si="40"/>
        <v/>
      </c>
    </row>
    <row r="228" spans="1:16" ht="15" customHeight="1" x14ac:dyDescent="0.2">
      <c r="A228" s="243" t="str">
        <f>IFERROR(INDEX('All Ticker P&amp;L'!$A$2:$A$1001,MATCH(ROWS($A$2:A228),'All Ticker P&amp;L'!$N$2:$N$1001,0)),"")</f>
        <v/>
      </c>
      <c r="B228" s="243" t="str">
        <f t="shared" si="32"/>
        <v/>
      </c>
      <c r="C228" s="243" t="str">
        <f t="shared" si="33"/>
        <v/>
      </c>
      <c r="D228" s="243" t="str">
        <f t="shared" si="34"/>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5"/>
        <v/>
      </c>
      <c r="K228" s="287" t="str">
        <f t="shared" si="36"/>
        <v/>
      </c>
      <c r="L228" s="287" t="str">
        <f t="shared" si="37"/>
        <v/>
      </c>
      <c r="M228" s="290" t="str">
        <f t="shared" si="38"/>
        <v/>
      </c>
      <c r="N228" t="str">
        <f>IF($A228="","",IFERROR(INDEX(Prices[Category],MATCH($A228,Prices[Key],0)),"Uncategorized"))</f>
        <v/>
      </c>
      <c r="O228" s="291" t="str">
        <f t="shared" si="39"/>
        <v/>
      </c>
      <c r="P228" s="291" t="str">
        <f t="shared" si="40"/>
        <v/>
      </c>
    </row>
    <row r="229" spans="1:16" ht="15" customHeight="1" x14ac:dyDescent="0.2">
      <c r="A229" s="243" t="str">
        <f>IFERROR(INDEX('All Ticker P&amp;L'!$A$2:$A$1001,MATCH(ROWS($A$2:A229),'All Ticker P&amp;L'!$N$2:$N$1001,0)),"")</f>
        <v/>
      </c>
      <c r="B229" s="243" t="str">
        <f t="shared" si="32"/>
        <v/>
      </c>
      <c r="C229" s="243" t="str">
        <f t="shared" si="33"/>
        <v/>
      </c>
      <c r="D229" s="243" t="str">
        <f t="shared" si="34"/>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5"/>
        <v/>
      </c>
      <c r="K229" s="287" t="str">
        <f t="shared" si="36"/>
        <v/>
      </c>
      <c r="L229" s="287" t="str">
        <f t="shared" si="37"/>
        <v/>
      </c>
      <c r="M229" s="290" t="str">
        <f t="shared" si="38"/>
        <v/>
      </c>
      <c r="N229" t="str">
        <f>IF($A229="","",IFERROR(INDEX(Prices[Category],MATCH($A229,Prices[Key],0)),"Uncategorized"))</f>
        <v/>
      </c>
      <c r="O229" s="291" t="str">
        <f t="shared" si="39"/>
        <v/>
      </c>
      <c r="P229" s="291" t="str">
        <f t="shared" si="40"/>
        <v/>
      </c>
    </row>
    <row r="230" spans="1:16" ht="15" customHeight="1" x14ac:dyDescent="0.2">
      <c r="A230" s="243" t="str">
        <f>IFERROR(INDEX('All Ticker P&amp;L'!$A$2:$A$1001,MATCH(ROWS($A$2:A230),'All Ticker P&amp;L'!$N$2:$N$1001,0)),"")</f>
        <v/>
      </c>
      <c r="B230" s="243" t="str">
        <f t="shared" si="32"/>
        <v/>
      </c>
      <c r="C230" s="243" t="str">
        <f t="shared" si="33"/>
        <v/>
      </c>
      <c r="D230" s="243" t="str">
        <f t="shared" si="34"/>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5"/>
        <v/>
      </c>
      <c r="K230" s="287" t="str">
        <f t="shared" si="36"/>
        <v/>
      </c>
      <c r="L230" s="287" t="str">
        <f t="shared" si="37"/>
        <v/>
      </c>
      <c r="M230" s="290" t="str">
        <f t="shared" si="38"/>
        <v/>
      </c>
      <c r="N230" t="str">
        <f>IF($A230="","",IFERROR(INDEX(Prices[Category],MATCH($A230,Prices[Key],0)),"Uncategorized"))</f>
        <v/>
      </c>
      <c r="O230" s="291" t="str">
        <f t="shared" si="39"/>
        <v/>
      </c>
      <c r="P230" s="291" t="str">
        <f t="shared" si="40"/>
        <v/>
      </c>
    </row>
    <row r="231" spans="1:16" ht="15" customHeight="1" x14ac:dyDescent="0.2">
      <c r="A231" s="243" t="str">
        <f>IFERROR(INDEX('All Ticker P&amp;L'!$A$2:$A$1001,MATCH(ROWS($A$2:A231),'All Ticker P&amp;L'!$N$2:$N$1001,0)),"")</f>
        <v/>
      </c>
      <c r="B231" s="243" t="str">
        <f t="shared" si="32"/>
        <v/>
      </c>
      <c r="C231" s="243" t="str">
        <f t="shared" si="33"/>
        <v/>
      </c>
      <c r="D231" s="243" t="str">
        <f t="shared" si="34"/>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5"/>
        <v/>
      </c>
      <c r="K231" s="287" t="str">
        <f t="shared" si="36"/>
        <v/>
      </c>
      <c r="L231" s="287" t="str">
        <f t="shared" si="37"/>
        <v/>
      </c>
      <c r="M231" s="290" t="str">
        <f t="shared" si="38"/>
        <v/>
      </c>
      <c r="N231" t="str">
        <f>IF($A231="","",IFERROR(INDEX(Prices[Category],MATCH($A231,Prices[Key],0)),"Uncategorized"))</f>
        <v/>
      </c>
      <c r="O231" s="291" t="str">
        <f t="shared" si="39"/>
        <v/>
      </c>
      <c r="P231" s="291" t="str">
        <f t="shared" si="40"/>
        <v/>
      </c>
    </row>
    <row r="232" spans="1:16" ht="15" customHeight="1" x14ac:dyDescent="0.2">
      <c r="A232" s="243" t="str">
        <f>IFERROR(INDEX('All Ticker P&amp;L'!$A$2:$A$1001,MATCH(ROWS($A$2:A232),'All Ticker P&amp;L'!$N$2:$N$1001,0)),"")</f>
        <v/>
      </c>
      <c r="B232" s="243" t="str">
        <f t="shared" si="32"/>
        <v/>
      </c>
      <c r="C232" s="243" t="str">
        <f t="shared" si="33"/>
        <v/>
      </c>
      <c r="D232" s="243" t="str">
        <f t="shared" si="34"/>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5"/>
        <v/>
      </c>
      <c r="K232" s="287" t="str">
        <f t="shared" si="36"/>
        <v/>
      </c>
      <c r="L232" s="287" t="str">
        <f t="shared" si="37"/>
        <v/>
      </c>
      <c r="M232" s="290" t="str">
        <f t="shared" si="38"/>
        <v/>
      </c>
      <c r="N232" t="str">
        <f>IF($A232="","",IFERROR(INDEX(Prices[Category],MATCH($A232,Prices[Key],0)),"Uncategorized"))</f>
        <v/>
      </c>
      <c r="O232" s="291" t="str">
        <f t="shared" si="39"/>
        <v/>
      </c>
      <c r="P232" s="291" t="str">
        <f t="shared" si="40"/>
        <v/>
      </c>
    </row>
    <row r="233" spans="1:16" ht="15" customHeight="1" x14ac:dyDescent="0.2">
      <c r="A233" s="243" t="str">
        <f>IFERROR(INDEX('All Ticker P&amp;L'!$A$2:$A$1001,MATCH(ROWS($A$2:A233),'All Ticker P&amp;L'!$N$2:$N$1001,0)),"")</f>
        <v/>
      </c>
      <c r="B233" s="243" t="str">
        <f t="shared" si="32"/>
        <v/>
      </c>
      <c r="C233" s="243" t="str">
        <f t="shared" si="33"/>
        <v/>
      </c>
      <c r="D233" s="243" t="str">
        <f t="shared" si="34"/>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5"/>
        <v/>
      </c>
      <c r="K233" s="287" t="str">
        <f t="shared" si="36"/>
        <v/>
      </c>
      <c r="L233" s="287" t="str">
        <f t="shared" si="37"/>
        <v/>
      </c>
      <c r="M233" s="290" t="str">
        <f t="shared" si="38"/>
        <v/>
      </c>
      <c r="N233" t="str">
        <f>IF($A233="","",IFERROR(INDEX(Prices[Category],MATCH($A233,Prices[Key],0)),"Uncategorized"))</f>
        <v/>
      </c>
      <c r="O233" s="291" t="str">
        <f t="shared" si="39"/>
        <v/>
      </c>
      <c r="P233" s="291" t="str">
        <f t="shared" si="40"/>
        <v/>
      </c>
    </row>
    <row r="234" spans="1:16" ht="15" customHeight="1" x14ac:dyDescent="0.2">
      <c r="A234" s="243" t="str">
        <f>IFERROR(INDEX('All Ticker P&amp;L'!$A$2:$A$1001,MATCH(ROWS($A$2:A234),'All Ticker P&amp;L'!$N$2:$N$1001,0)),"")</f>
        <v/>
      </c>
      <c r="B234" s="243" t="str">
        <f t="shared" si="32"/>
        <v/>
      </c>
      <c r="C234" s="243" t="str">
        <f t="shared" si="33"/>
        <v/>
      </c>
      <c r="D234" s="243" t="str">
        <f t="shared" si="34"/>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5"/>
        <v/>
      </c>
      <c r="K234" s="287" t="str">
        <f t="shared" si="36"/>
        <v/>
      </c>
      <c r="L234" s="287" t="str">
        <f t="shared" si="37"/>
        <v/>
      </c>
      <c r="M234" s="290" t="str">
        <f t="shared" si="38"/>
        <v/>
      </c>
      <c r="N234" t="str">
        <f>IF($A234="","",IFERROR(INDEX(Prices[Category],MATCH($A234,Prices[Key],0)),"Uncategorized"))</f>
        <v/>
      </c>
      <c r="O234" s="291" t="str">
        <f t="shared" si="39"/>
        <v/>
      </c>
      <c r="P234" s="291" t="str">
        <f t="shared" si="40"/>
        <v/>
      </c>
    </row>
    <row r="235" spans="1:16" ht="15" customHeight="1" x14ac:dyDescent="0.2">
      <c r="A235" s="243" t="str">
        <f>IFERROR(INDEX('All Ticker P&amp;L'!$A$2:$A$1001,MATCH(ROWS($A$2:A235),'All Ticker P&amp;L'!$N$2:$N$1001,0)),"")</f>
        <v/>
      </c>
      <c r="B235" s="243" t="str">
        <f t="shared" si="32"/>
        <v/>
      </c>
      <c r="C235" s="243" t="str">
        <f t="shared" si="33"/>
        <v/>
      </c>
      <c r="D235" s="243" t="str">
        <f t="shared" si="34"/>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5"/>
        <v/>
      </c>
      <c r="K235" s="287" t="str">
        <f t="shared" si="36"/>
        <v/>
      </c>
      <c r="L235" s="287" t="str">
        <f t="shared" si="37"/>
        <v/>
      </c>
      <c r="M235" s="290" t="str">
        <f t="shared" si="38"/>
        <v/>
      </c>
      <c r="N235" t="str">
        <f>IF($A235="","",IFERROR(INDEX(Prices[Category],MATCH($A235,Prices[Key],0)),"Uncategorized"))</f>
        <v/>
      </c>
      <c r="O235" s="291" t="str">
        <f t="shared" si="39"/>
        <v/>
      </c>
      <c r="P235" s="291" t="str">
        <f t="shared" si="40"/>
        <v/>
      </c>
    </row>
    <row r="236" spans="1:16" ht="15" customHeight="1" x14ac:dyDescent="0.2">
      <c r="A236" s="243" t="str">
        <f>IFERROR(INDEX('All Ticker P&amp;L'!$A$2:$A$1001,MATCH(ROWS($A$2:A236),'All Ticker P&amp;L'!$N$2:$N$1001,0)),"")</f>
        <v/>
      </c>
      <c r="B236" s="243" t="str">
        <f t="shared" si="32"/>
        <v/>
      </c>
      <c r="C236" s="243" t="str">
        <f t="shared" si="33"/>
        <v/>
      </c>
      <c r="D236" s="243" t="str">
        <f t="shared" si="34"/>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5"/>
        <v/>
      </c>
      <c r="K236" s="287" t="str">
        <f t="shared" si="36"/>
        <v/>
      </c>
      <c r="L236" s="287" t="str">
        <f t="shared" si="37"/>
        <v/>
      </c>
      <c r="M236" s="290" t="str">
        <f t="shared" si="38"/>
        <v/>
      </c>
      <c r="N236" t="str">
        <f>IF($A236="","",IFERROR(INDEX(Prices[Category],MATCH($A236,Prices[Key],0)),"Uncategorized"))</f>
        <v/>
      </c>
      <c r="O236" s="291" t="str">
        <f t="shared" si="39"/>
        <v/>
      </c>
      <c r="P236" s="291" t="str">
        <f t="shared" si="40"/>
        <v/>
      </c>
    </row>
    <row r="237" spans="1:16" ht="15" customHeight="1" x14ac:dyDescent="0.2">
      <c r="A237" s="243" t="str">
        <f>IFERROR(INDEX('All Ticker P&amp;L'!$A$2:$A$1001,MATCH(ROWS($A$2:A237),'All Ticker P&amp;L'!$N$2:$N$1001,0)),"")</f>
        <v/>
      </c>
      <c r="B237" s="243" t="str">
        <f t="shared" si="32"/>
        <v/>
      </c>
      <c r="C237" s="243" t="str">
        <f t="shared" si="33"/>
        <v/>
      </c>
      <c r="D237" s="243" t="str">
        <f t="shared" si="34"/>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5"/>
        <v/>
      </c>
      <c r="K237" s="287" t="str">
        <f t="shared" si="36"/>
        <v/>
      </c>
      <c r="L237" s="287" t="str">
        <f t="shared" si="37"/>
        <v/>
      </c>
      <c r="M237" s="290" t="str">
        <f t="shared" si="38"/>
        <v/>
      </c>
      <c r="N237" t="str">
        <f>IF($A237="","",IFERROR(INDEX(Prices[Category],MATCH($A237,Prices[Key],0)),"Uncategorized"))</f>
        <v/>
      </c>
      <c r="O237" s="291" t="str">
        <f t="shared" si="39"/>
        <v/>
      </c>
      <c r="P237" s="291" t="str">
        <f t="shared" si="40"/>
        <v/>
      </c>
    </row>
    <row r="238" spans="1:16" ht="15" customHeight="1" x14ac:dyDescent="0.2">
      <c r="A238" s="243" t="str">
        <f>IFERROR(INDEX('All Ticker P&amp;L'!$A$2:$A$1001,MATCH(ROWS($A$2:A238),'All Ticker P&amp;L'!$N$2:$N$1001,0)),"")</f>
        <v/>
      </c>
      <c r="B238" s="243" t="str">
        <f t="shared" si="32"/>
        <v/>
      </c>
      <c r="C238" s="243" t="str">
        <f t="shared" si="33"/>
        <v/>
      </c>
      <c r="D238" s="243" t="str">
        <f t="shared" si="34"/>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5"/>
        <v/>
      </c>
      <c r="K238" s="287" t="str">
        <f t="shared" si="36"/>
        <v/>
      </c>
      <c r="L238" s="287" t="str">
        <f t="shared" si="37"/>
        <v/>
      </c>
      <c r="M238" s="290" t="str">
        <f t="shared" si="38"/>
        <v/>
      </c>
      <c r="N238" t="str">
        <f>IF($A238="","",IFERROR(INDEX(Prices[Category],MATCH($A238,Prices[Key],0)),"Uncategorized"))</f>
        <v/>
      </c>
      <c r="O238" s="291" t="str">
        <f t="shared" si="39"/>
        <v/>
      </c>
      <c r="P238" s="291" t="str">
        <f t="shared" si="40"/>
        <v/>
      </c>
    </row>
    <row r="239" spans="1:16" ht="15" customHeight="1" x14ac:dyDescent="0.2">
      <c r="A239" s="243" t="str">
        <f>IFERROR(INDEX('All Ticker P&amp;L'!$A$2:$A$1001,MATCH(ROWS($A$2:A239),'All Ticker P&amp;L'!$N$2:$N$1001,0)),"")</f>
        <v/>
      </c>
      <c r="B239" s="243" t="str">
        <f t="shared" si="32"/>
        <v/>
      </c>
      <c r="C239" s="243" t="str">
        <f t="shared" si="33"/>
        <v/>
      </c>
      <c r="D239" s="243" t="str">
        <f t="shared" si="34"/>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5"/>
        <v/>
      </c>
      <c r="K239" s="287" t="str">
        <f t="shared" si="36"/>
        <v/>
      </c>
      <c r="L239" s="287" t="str">
        <f t="shared" si="37"/>
        <v/>
      </c>
      <c r="M239" s="290" t="str">
        <f t="shared" si="38"/>
        <v/>
      </c>
      <c r="N239" t="str">
        <f>IF($A239="","",IFERROR(INDEX(Prices[Category],MATCH($A239,Prices[Key],0)),"Uncategorized"))</f>
        <v/>
      </c>
      <c r="O239" s="291" t="str">
        <f t="shared" si="39"/>
        <v/>
      </c>
      <c r="P239" s="291" t="str">
        <f t="shared" si="40"/>
        <v/>
      </c>
    </row>
    <row r="240" spans="1:16" ht="15" customHeight="1" x14ac:dyDescent="0.2">
      <c r="A240" s="243" t="str">
        <f>IFERROR(INDEX('All Ticker P&amp;L'!$A$2:$A$1001,MATCH(ROWS($A$2:A240),'All Ticker P&amp;L'!$N$2:$N$1001,0)),"")</f>
        <v/>
      </c>
      <c r="B240" s="243" t="str">
        <f t="shared" si="32"/>
        <v/>
      </c>
      <c r="C240" s="243" t="str">
        <f t="shared" si="33"/>
        <v/>
      </c>
      <c r="D240" s="243" t="str">
        <f t="shared" si="34"/>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5"/>
        <v/>
      </c>
      <c r="K240" s="287" t="str">
        <f t="shared" si="36"/>
        <v/>
      </c>
      <c r="L240" s="287" t="str">
        <f t="shared" si="37"/>
        <v/>
      </c>
      <c r="M240" s="290" t="str">
        <f t="shared" si="38"/>
        <v/>
      </c>
      <c r="N240" t="str">
        <f>IF($A240="","",IFERROR(INDEX(Prices[Category],MATCH($A240,Prices[Key],0)),"Uncategorized"))</f>
        <v/>
      </c>
      <c r="O240" s="291" t="str">
        <f t="shared" si="39"/>
        <v/>
      </c>
      <c r="P240" s="291" t="str">
        <f t="shared" si="40"/>
        <v/>
      </c>
    </row>
    <row r="241" spans="1:16" ht="15" customHeight="1" x14ac:dyDescent="0.2">
      <c r="A241" s="243" t="str">
        <f>IFERROR(INDEX('All Ticker P&amp;L'!$A$2:$A$1001,MATCH(ROWS($A$2:A241),'All Ticker P&amp;L'!$N$2:$N$1001,0)),"")</f>
        <v/>
      </c>
      <c r="B241" s="243" t="str">
        <f t="shared" si="32"/>
        <v/>
      </c>
      <c r="C241" s="243" t="str">
        <f t="shared" si="33"/>
        <v/>
      </c>
      <c r="D241" s="243" t="str">
        <f t="shared" si="34"/>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5"/>
        <v/>
      </c>
      <c r="K241" s="287" t="str">
        <f t="shared" si="36"/>
        <v/>
      </c>
      <c r="L241" s="287" t="str">
        <f t="shared" si="37"/>
        <v/>
      </c>
      <c r="M241" s="290" t="str">
        <f t="shared" si="38"/>
        <v/>
      </c>
      <c r="N241" t="str">
        <f>IF($A241="","",IFERROR(INDEX(Prices[Category],MATCH($A241,Prices[Key],0)),"Uncategorized"))</f>
        <v/>
      </c>
      <c r="O241" s="291" t="str">
        <f t="shared" si="39"/>
        <v/>
      </c>
      <c r="P241" s="291" t="str">
        <f t="shared" si="40"/>
        <v/>
      </c>
    </row>
    <row r="242" spans="1:16" ht="15" customHeight="1" x14ac:dyDescent="0.2">
      <c r="A242" s="243" t="str">
        <f>IFERROR(INDEX('All Ticker P&amp;L'!$A$2:$A$1001,MATCH(ROWS($A$2:A242),'All Ticker P&amp;L'!$N$2:$N$1001,0)),"")</f>
        <v/>
      </c>
      <c r="B242" s="243" t="str">
        <f t="shared" si="32"/>
        <v/>
      </c>
      <c r="C242" s="243" t="str">
        <f t="shared" si="33"/>
        <v/>
      </c>
      <c r="D242" s="243" t="str">
        <f t="shared" si="34"/>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5"/>
        <v/>
      </c>
      <c r="K242" s="287" t="str">
        <f t="shared" si="36"/>
        <v/>
      </c>
      <c r="L242" s="287" t="str">
        <f t="shared" si="37"/>
        <v/>
      </c>
      <c r="M242" s="290" t="str">
        <f t="shared" si="38"/>
        <v/>
      </c>
      <c r="N242" t="str">
        <f>IF($A242="","",IFERROR(INDEX(Prices[Category],MATCH($A242,Prices[Key],0)),"Uncategorized"))</f>
        <v/>
      </c>
      <c r="O242" s="291" t="str">
        <f t="shared" si="39"/>
        <v/>
      </c>
      <c r="P242" s="291" t="str">
        <f t="shared" si="40"/>
        <v/>
      </c>
    </row>
    <row r="243" spans="1:16" ht="15" customHeight="1" x14ac:dyDescent="0.2">
      <c r="A243" s="243" t="str">
        <f>IFERROR(INDEX('All Ticker P&amp;L'!$A$2:$A$1001,MATCH(ROWS($A$2:A243),'All Ticker P&amp;L'!$N$2:$N$1001,0)),"")</f>
        <v/>
      </c>
      <c r="B243" s="243" t="str">
        <f t="shared" si="32"/>
        <v/>
      </c>
      <c r="C243" s="243" t="str">
        <f t="shared" si="33"/>
        <v/>
      </c>
      <c r="D243" s="243" t="str">
        <f t="shared" si="34"/>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5"/>
        <v/>
      </c>
      <c r="K243" s="287" t="str">
        <f t="shared" si="36"/>
        <v/>
      </c>
      <c r="L243" s="287" t="str">
        <f t="shared" si="37"/>
        <v/>
      </c>
      <c r="M243" s="290" t="str">
        <f t="shared" si="38"/>
        <v/>
      </c>
      <c r="N243" t="str">
        <f>IF($A243="","",IFERROR(INDEX(Prices[Category],MATCH($A243,Prices[Key],0)),"Uncategorized"))</f>
        <v/>
      </c>
      <c r="O243" s="291" t="str">
        <f t="shared" si="39"/>
        <v/>
      </c>
      <c r="P243" s="291" t="str">
        <f t="shared" si="40"/>
        <v/>
      </c>
    </row>
    <row r="244" spans="1:16" ht="15" customHeight="1" x14ac:dyDescent="0.2">
      <c r="A244" s="243" t="str">
        <f>IFERROR(INDEX('All Ticker P&amp;L'!$A$2:$A$1001,MATCH(ROWS($A$2:A244),'All Ticker P&amp;L'!$N$2:$N$1001,0)),"")</f>
        <v/>
      </c>
      <c r="B244" s="243" t="str">
        <f t="shared" si="32"/>
        <v/>
      </c>
      <c r="C244" s="243" t="str">
        <f t="shared" si="33"/>
        <v/>
      </c>
      <c r="D244" s="243" t="str">
        <f t="shared" si="34"/>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5"/>
        <v/>
      </c>
      <c r="K244" s="287" t="str">
        <f t="shared" si="36"/>
        <v/>
      </c>
      <c r="L244" s="287" t="str">
        <f t="shared" si="37"/>
        <v/>
      </c>
      <c r="M244" s="290" t="str">
        <f t="shared" si="38"/>
        <v/>
      </c>
      <c r="N244" t="str">
        <f>IF($A244="","",IFERROR(INDEX(Prices[Category],MATCH($A244,Prices[Key],0)),"Uncategorized"))</f>
        <v/>
      </c>
      <c r="O244" s="291" t="str">
        <f t="shared" si="39"/>
        <v/>
      </c>
      <c r="P244" s="291" t="str">
        <f t="shared" si="40"/>
        <v/>
      </c>
    </row>
    <row r="245" spans="1:16" ht="15" customHeight="1" x14ac:dyDescent="0.2">
      <c r="A245" s="243" t="str">
        <f>IFERROR(INDEX('All Ticker P&amp;L'!$A$2:$A$1001,MATCH(ROWS($A$2:A245),'All Ticker P&amp;L'!$N$2:$N$1001,0)),"")</f>
        <v/>
      </c>
      <c r="B245" s="243" t="str">
        <f t="shared" si="32"/>
        <v/>
      </c>
      <c r="C245" s="243" t="str">
        <f t="shared" si="33"/>
        <v/>
      </c>
      <c r="D245" s="243" t="str">
        <f t="shared" si="34"/>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5"/>
        <v/>
      </c>
      <c r="K245" s="287" t="str">
        <f t="shared" si="36"/>
        <v/>
      </c>
      <c r="L245" s="287" t="str">
        <f t="shared" si="37"/>
        <v/>
      </c>
      <c r="M245" s="290" t="str">
        <f t="shared" si="38"/>
        <v/>
      </c>
      <c r="N245" t="str">
        <f>IF($A245="","",IFERROR(INDEX(Prices[Category],MATCH($A245,Prices[Key],0)),"Uncategorized"))</f>
        <v/>
      </c>
      <c r="O245" s="291" t="str">
        <f t="shared" si="39"/>
        <v/>
      </c>
      <c r="P245" s="291" t="str">
        <f t="shared" si="40"/>
        <v/>
      </c>
    </row>
    <row r="246" spans="1:16" ht="15" customHeight="1" x14ac:dyDescent="0.2">
      <c r="A246" s="243" t="str">
        <f>IFERROR(INDEX('All Ticker P&amp;L'!$A$2:$A$1001,MATCH(ROWS($A$2:A246),'All Ticker P&amp;L'!$N$2:$N$1001,0)),"")</f>
        <v/>
      </c>
      <c r="B246" s="243" t="str">
        <f t="shared" si="32"/>
        <v/>
      </c>
      <c r="C246" s="243" t="str">
        <f t="shared" si="33"/>
        <v/>
      </c>
      <c r="D246" s="243" t="str">
        <f t="shared" si="34"/>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5"/>
        <v/>
      </c>
      <c r="K246" s="287" t="str">
        <f t="shared" si="36"/>
        <v/>
      </c>
      <c r="L246" s="287" t="str">
        <f t="shared" si="37"/>
        <v/>
      </c>
      <c r="M246" s="290" t="str">
        <f t="shared" si="38"/>
        <v/>
      </c>
      <c r="N246" t="str">
        <f>IF($A246="","",IFERROR(INDEX(Prices[Category],MATCH($A246,Prices[Key],0)),"Uncategorized"))</f>
        <v/>
      </c>
      <c r="O246" s="291" t="str">
        <f t="shared" si="39"/>
        <v/>
      </c>
      <c r="P246" s="291" t="str">
        <f t="shared" si="40"/>
        <v/>
      </c>
    </row>
    <row r="247" spans="1:16" ht="15" customHeight="1" x14ac:dyDescent="0.2">
      <c r="A247" s="243" t="str">
        <f>IFERROR(INDEX('All Ticker P&amp;L'!$A$2:$A$1001,MATCH(ROWS($A$2:A247),'All Ticker P&amp;L'!$N$2:$N$1001,0)),"")</f>
        <v/>
      </c>
      <c r="B247" s="243" t="str">
        <f t="shared" si="32"/>
        <v/>
      </c>
      <c r="C247" s="243" t="str">
        <f t="shared" si="33"/>
        <v/>
      </c>
      <c r="D247" s="243" t="str">
        <f t="shared" si="34"/>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5"/>
        <v/>
      </c>
      <c r="K247" s="287" t="str">
        <f t="shared" si="36"/>
        <v/>
      </c>
      <c r="L247" s="287" t="str">
        <f t="shared" si="37"/>
        <v/>
      </c>
      <c r="M247" s="290" t="str">
        <f t="shared" si="38"/>
        <v/>
      </c>
      <c r="N247" t="str">
        <f>IF($A247="","",IFERROR(INDEX(Prices[Category],MATCH($A247,Prices[Key],0)),"Uncategorized"))</f>
        <v/>
      </c>
      <c r="O247" s="291" t="str">
        <f t="shared" si="39"/>
        <v/>
      </c>
      <c r="P247" s="291" t="str">
        <f t="shared" si="40"/>
        <v/>
      </c>
    </row>
    <row r="248" spans="1:16" ht="15" customHeight="1" x14ac:dyDescent="0.2">
      <c r="A248" s="243" t="str">
        <f>IFERROR(INDEX('All Ticker P&amp;L'!$A$2:$A$1001,MATCH(ROWS($A$2:A248),'All Ticker P&amp;L'!$N$2:$N$1001,0)),"")</f>
        <v/>
      </c>
      <c r="B248" s="243" t="str">
        <f t="shared" si="32"/>
        <v/>
      </c>
      <c r="C248" s="243" t="str">
        <f t="shared" si="33"/>
        <v/>
      </c>
      <c r="D248" s="243" t="str">
        <f t="shared" si="34"/>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5"/>
        <v/>
      </c>
      <c r="K248" s="287" t="str">
        <f t="shared" si="36"/>
        <v/>
      </c>
      <c r="L248" s="287" t="str">
        <f t="shared" si="37"/>
        <v/>
      </c>
      <c r="M248" s="290" t="str">
        <f t="shared" si="38"/>
        <v/>
      </c>
      <c r="N248" t="str">
        <f>IF($A248="","",IFERROR(INDEX(Prices[Category],MATCH($A248,Prices[Key],0)),"Uncategorized"))</f>
        <v/>
      </c>
      <c r="O248" s="291" t="str">
        <f t="shared" si="39"/>
        <v/>
      </c>
      <c r="P248" s="291" t="str">
        <f t="shared" si="40"/>
        <v/>
      </c>
    </row>
    <row r="249" spans="1:16" ht="15" customHeight="1" x14ac:dyDescent="0.2">
      <c r="A249" s="243" t="str">
        <f>IFERROR(INDEX('All Ticker P&amp;L'!$A$2:$A$1001,MATCH(ROWS($A$2:A249),'All Ticker P&amp;L'!$N$2:$N$1001,0)),"")</f>
        <v/>
      </c>
      <c r="B249" s="243" t="str">
        <f t="shared" si="32"/>
        <v/>
      </c>
      <c r="C249" s="243" t="str">
        <f t="shared" si="33"/>
        <v/>
      </c>
      <c r="D249" s="243" t="str">
        <f t="shared" si="34"/>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5"/>
        <v/>
      </c>
      <c r="K249" s="287" t="str">
        <f t="shared" si="36"/>
        <v/>
      </c>
      <c r="L249" s="287" t="str">
        <f t="shared" si="37"/>
        <v/>
      </c>
      <c r="M249" s="290" t="str">
        <f t="shared" si="38"/>
        <v/>
      </c>
      <c r="N249" t="str">
        <f>IF($A249="","",IFERROR(INDEX(Prices[Category],MATCH($A249,Prices[Key],0)),"Uncategorized"))</f>
        <v/>
      </c>
      <c r="O249" s="291" t="str">
        <f t="shared" si="39"/>
        <v/>
      </c>
      <c r="P249" s="291" t="str">
        <f t="shared" si="40"/>
        <v/>
      </c>
    </row>
    <row r="250" spans="1:16" ht="15" customHeight="1" x14ac:dyDescent="0.2">
      <c r="A250" s="243" t="str">
        <f>IFERROR(INDEX('All Ticker P&amp;L'!$A$2:$A$1001,MATCH(ROWS($A$2:A250),'All Ticker P&amp;L'!$N$2:$N$1001,0)),"")</f>
        <v/>
      </c>
      <c r="B250" s="243" t="str">
        <f t="shared" si="32"/>
        <v/>
      </c>
      <c r="C250" s="243" t="str">
        <f t="shared" si="33"/>
        <v/>
      </c>
      <c r="D250" s="243" t="str">
        <f t="shared" si="34"/>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5"/>
        <v/>
      </c>
      <c r="K250" s="287" t="str">
        <f t="shared" si="36"/>
        <v/>
      </c>
      <c r="L250" s="287" t="str">
        <f t="shared" si="37"/>
        <v/>
      </c>
      <c r="M250" s="290" t="str">
        <f t="shared" si="38"/>
        <v/>
      </c>
      <c r="N250" t="str">
        <f>IF($A250="","",IFERROR(INDEX(Prices[Category],MATCH($A250,Prices[Key],0)),"Uncategorized"))</f>
        <v/>
      </c>
      <c r="O250" s="291" t="str">
        <f t="shared" si="39"/>
        <v/>
      </c>
      <c r="P250" s="291" t="str">
        <f t="shared" si="40"/>
        <v/>
      </c>
    </row>
    <row r="251" spans="1:16" ht="15" customHeight="1" x14ac:dyDescent="0.2">
      <c r="A251" s="243" t="str">
        <f>IFERROR(INDEX('All Ticker P&amp;L'!$A$2:$A$1001,MATCH(ROWS($A$2:A251),'All Ticker P&amp;L'!$N$2:$N$1001,0)),"")</f>
        <v/>
      </c>
      <c r="B251" s="243" t="str">
        <f t="shared" si="32"/>
        <v/>
      </c>
      <c r="C251" s="243" t="str">
        <f t="shared" si="33"/>
        <v/>
      </c>
      <c r="D251" s="243" t="str">
        <f t="shared" si="34"/>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5"/>
        <v/>
      </c>
      <c r="K251" s="287" t="str">
        <f t="shared" si="36"/>
        <v/>
      </c>
      <c r="L251" s="287" t="str">
        <f t="shared" si="37"/>
        <v/>
      </c>
      <c r="M251" s="290" t="str">
        <f t="shared" si="38"/>
        <v/>
      </c>
      <c r="N251" t="str">
        <f>IF($A251="","",IFERROR(INDEX(Prices[Category],MATCH($A251,Prices[Key],0)),"Uncategorized"))</f>
        <v/>
      </c>
      <c r="O251" s="291" t="str">
        <f t="shared" si="39"/>
        <v/>
      </c>
      <c r="P251" s="291" t="str">
        <f t="shared" si="40"/>
        <v/>
      </c>
    </row>
    <row r="252" spans="1:16" ht="15" customHeight="1" x14ac:dyDescent="0.2">
      <c r="A252" s="243" t="str">
        <f>IFERROR(INDEX('All Ticker P&amp;L'!$A$2:$A$1001,MATCH(ROWS($A$2:A252),'All Ticker P&amp;L'!$N$2:$N$1001,0)),"")</f>
        <v/>
      </c>
      <c r="B252" s="243" t="str">
        <f t="shared" si="32"/>
        <v/>
      </c>
      <c r="C252" s="243" t="str">
        <f t="shared" si="33"/>
        <v/>
      </c>
      <c r="D252" s="243" t="str">
        <f t="shared" si="34"/>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5"/>
        <v/>
      </c>
      <c r="K252" s="287" t="str">
        <f t="shared" si="36"/>
        <v/>
      </c>
      <c r="L252" s="287" t="str">
        <f t="shared" si="37"/>
        <v/>
      </c>
      <c r="M252" s="290" t="str">
        <f t="shared" si="38"/>
        <v/>
      </c>
      <c r="N252" t="str">
        <f>IF($A252="","",IFERROR(INDEX(Prices[Category],MATCH($A252,Prices[Key],0)),"Uncategorized"))</f>
        <v/>
      </c>
      <c r="O252" s="291" t="str">
        <f t="shared" si="39"/>
        <v/>
      </c>
      <c r="P252" s="291" t="str">
        <f t="shared" si="40"/>
        <v/>
      </c>
    </row>
    <row r="253" spans="1:16" ht="15" customHeight="1" x14ac:dyDescent="0.2">
      <c r="A253" s="243" t="str">
        <f>IFERROR(INDEX('All Ticker P&amp;L'!$A$2:$A$1001,MATCH(ROWS($A$2:A253),'All Ticker P&amp;L'!$N$2:$N$1001,0)),"")</f>
        <v/>
      </c>
      <c r="B253" s="243" t="str">
        <f t="shared" si="32"/>
        <v/>
      </c>
      <c r="C253" s="243" t="str">
        <f t="shared" si="33"/>
        <v/>
      </c>
      <c r="D253" s="243" t="str">
        <f t="shared" si="34"/>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5"/>
        <v/>
      </c>
      <c r="K253" s="287" t="str">
        <f t="shared" si="36"/>
        <v/>
      </c>
      <c r="L253" s="287" t="str">
        <f t="shared" si="37"/>
        <v/>
      </c>
      <c r="M253" s="290" t="str">
        <f t="shared" si="38"/>
        <v/>
      </c>
      <c r="N253" t="str">
        <f>IF($A253="","",IFERROR(INDEX(Prices[Category],MATCH($A253,Prices[Key],0)),"Uncategorized"))</f>
        <v/>
      </c>
      <c r="O253" s="291" t="str">
        <f t="shared" si="39"/>
        <v/>
      </c>
      <c r="P253" s="291" t="str">
        <f t="shared" si="40"/>
        <v/>
      </c>
    </row>
    <row r="254" spans="1:16" ht="15" customHeight="1" x14ac:dyDescent="0.2">
      <c r="A254" s="243" t="str">
        <f>IFERROR(INDEX('All Ticker P&amp;L'!$A$2:$A$1001,MATCH(ROWS($A$2:A254),'All Ticker P&amp;L'!$N$2:$N$1001,0)),"")</f>
        <v/>
      </c>
      <c r="B254" s="243" t="str">
        <f t="shared" si="32"/>
        <v/>
      </c>
      <c r="C254" s="243" t="str">
        <f t="shared" si="33"/>
        <v/>
      </c>
      <c r="D254" s="243" t="str">
        <f t="shared" si="34"/>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5"/>
        <v/>
      </c>
      <c r="K254" s="287" t="str">
        <f t="shared" si="36"/>
        <v/>
      </c>
      <c r="L254" s="287" t="str">
        <f t="shared" si="37"/>
        <v/>
      </c>
      <c r="M254" s="290" t="str">
        <f t="shared" si="38"/>
        <v/>
      </c>
      <c r="N254" t="str">
        <f>IF($A254="","",IFERROR(INDEX(Prices[Category],MATCH($A254,Prices[Key],0)),"Uncategorized"))</f>
        <v/>
      </c>
      <c r="O254" s="291" t="str">
        <f t="shared" si="39"/>
        <v/>
      </c>
      <c r="P254" s="291" t="str">
        <f t="shared" si="40"/>
        <v/>
      </c>
    </row>
    <row r="255" spans="1:16" ht="15" customHeight="1" x14ac:dyDescent="0.2">
      <c r="A255" s="243" t="str">
        <f>IFERROR(INDEX('All Ticker P&amp;L'!$A$2:$A$1001,MATCH(ROWS($A$2:A255),'All Ticker P&amp;L'!$N$2:$N$1001,0)),"")</f>
        <v/>
      </c>
      <c r="B255" s="243" t="str">
        <f t="shared" si="32"/>
        <v/>
      </c>
      <c r="C255" s="243" t="str">
        <f t="shared" si="33"/>
        <v/>
      </c>
      <c r="D255" s="243" t="str">
        <f t="shared" si="34"/>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5"/>
        <v/>
      </c>
      <c r="K255" s="287" t="str">
        <f t="shared" si="36"/>
        <v/>
      </c>
      <c r="L255" s="287" t="str">
        <f t="shared" si="37"/>
        <v/>
      </c>
      <c r="M255" s="290" t="str">
        <f t="shared" si="38"/>
        <v/>
      </c>
      <c r="N255" t="str">
        <f>IF($A255="","",IFERROR(INDEX(Prices[Category],MATCH($A255,Prices[Key],0)),"Uncategorized"))</f>
        <v/>
      </c>
      <c r="O255" s="291" t="str">
        <f t="shared" si="39"/>
        <v/>
      </c>
      <c r="P255" s="291" t="str">
        <f t="shared" si="40"/>
        <v/>
      </c>
    </row>
    <row r="256" spans="1:16" ht="15" customHeight="1" x14ac:dyDescent="0.2">
      <c r="A256" s="243" t="str">
        <f>IFERROR(INDEX('All Ticker P&amp;L'!$A$2:$A$1001,MATCH(ROWS($A$2:A256),'All Ticker P&amp;L'!$N$2:$N$1001,0)),"")</f>
        <v/>
      </c>
      <c r="B256" s="243" t="str">
        <f t="shared" si="32"/>
        <v/>
      </c>
      <c r="C256" s="243" t="str">
        <f t="shared" si="33"/>
        <v/>
      </c>
      <c r="D256" s="243" t="str">
        <f t="shared" si="34"/>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5"/>
        <v/>
      </c>
      <c r="K256" s="287" t="str">
        <f t="shared" si="36"/>
        <v/>
      </c>
      <c r="L256" s="287" t="str">
        <f t="shared" si="37"/>
        <v/>
      </c>
      <c r="M256" s="290" t="str">
        <f t="shared" si="38"/>
        <v/>
      </c>
      <c r="N256" t="str">
        <f>IF($A256="","",IFERROR(INDEX(Prices[Category],MATCH($A256,Prices[Key],0)),"Uncategorized"))</f>
        <v/>
      </c>
      <c r="O256" s="291" t="str">
        <f t="shared" si="39"/>
        <v/>
      </c>
      <c r="P256" s="291" t="str">
        <f t="shared" si="40"/>
        <v/>
      </c>
    </row>
    <row r="257" spans="1:16" ht="15" customHeight="1" x14ac:dyDescent="0.2">
      <c r="A257" s="243" t="str">
        <f>IFERROR(INDEX('All Ticker P&amp;L'!$A$2:$A$1001,MATCH(ROWS($A$2:A257),'All Ticker P&amp;L'!$N$2:$N$1001,0)),"")</f>
        <v/>
      </c>
      <c r="B257" s="243" t="str">
        <f t="shared" si="32"/>
        <v/>
      </c>
      <c r="C257" s="243" t="str">
        <f t="shared" si="33"/>
        <v/>
      </c>
      <c r="D257" s="243" t="str">
        <f t="shared" si="34"/>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5"/>
        <v/>
      </c>
      <c r="K257" s="287" t="str">
        <f t="shared" si="36"/>
        <v/>
      </c>
      <c r="L257" s="287" t="str">
        <f t="shared" si="37"/>
        <v/>
      </c>
      <c r="M257" s="290" t="str">
        <f t="shared" si="38"/>
        <v/>
      </c>
      <c r="N257" t="str">
        <f>IF($A257="","",IFERROR(INDEX(Prices[Category],MATCH($A257,Prices[Key],0)),"Uncategorized"))</f>
        <v/>
      </c>
      <c r="O257" s="291" t="str">
        <f t="shared" si="39"/>
        <v/>
      </c>
      <c r="P257" s="291" t="str">
        <f t="shared" si="40"/>
        <v/>
      </c>
    </row>
    <row r="258" spans="1:16" ht="15" customHeight="1" x14ac:dyDescent="0.2">
      <c r="A258" s="243" t="str">
        <f>IFERROR(INDEX('All Ticker P&amp;L'!$A$2:$A$1001,MATCH(ROWS($A$2:A258),'All Ticker P&amp;L'!$N$2:$N$1001,0)),"")</f>
        <v/>
      </c>
      <c r="B258" s="243" t="str">
        <f t="shared" ref="B258:B321" si="41">IF($A258="","",LEFT($A258,FIND(":",$A258)-1))</f>
        <v/>
      </c>
      <c r="C258" s="243" t="str">
        <f t="shared" ref="C258:C321" si="42">IF($A258="","",MID($A258,FIND(":",$A258)+1,FIND(":",$A258,FIND(":",$A258)+1)-FIND(":",$A258)-1))</f>
        <v/>
      </c>
      <c r="D258" s="243" t="str">
        <f t="shared" ref="D258:D321" si="43">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44">IF($A258="","",E258*H258)</f>
        <v/>
      </c>
      <c r="K258" s="287" t="str">
        <f t="shared" ref="K258:K321" si="45">IF($A258="","",J258+G258-F258)</f>
        <v/>
      </c>
      <c r="L258" s="287" t="str">
        <f t="shared" ref="L258:L321" si="46">IF($A258="","",K258*I258)</f>
        <v/>
      </c>
      <c r="M258" s="290" t="str">
        <f t="shared" ref="M258:M321" si="47">IF($A258="","",IFERROR(K258/F258,0))</f>
        <v/>
      </c>
      <c r="N258" t="str">
        <f>IF($A258="","",IFERROR(INDEX(Prices[Category],MATCH($A258,Prices[Key],0)),"Uncategorized"))</f>
        <v/>
      </c>
      <c r="O258" s="291" t="str">
        <f t="shared" ref="O258:O321" si="48">IF($A258="","",$J258*$I258)</f>
        <v/>
      </c>
      <c r="P258" s="291" t="str">
        <f t="shared" ref="P258:P321" si="49">IF($A258="","",$L258)</f>
        <v/>
      </c>
    </row>
    <row r="259" spans="1:16" ht="15" customHeight="1" x14ac:dyDescent="0.2">
      <c r="A259" s="243" t="str">
        <f>IFERROR(INDEX('All Ticker P&amp;L'!$A$2:$A$1001,MATCH(ROWS($A$2:A259),'All Ticker P&amp;L'!$N$2:$N$1001,0)),"")</f>
        <v/>
      </c>
      <c r="B259" s="243" t="str">
        <f t="shared" si="41"/>
        <v/>
      </c>
      <c r="C259" s="243" t="str">
        <f t="shared" si="42"/>
        <v/>
      </c>
      <c r="D259" s="243" t="str">
        <f t="shared" si="43"/>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44"/>
        <v/>
      </c>
      <c r="K259" s="287" t="str">
        <f t="shared" si="45"/>
        <v/>
      </c>
      <c r="L259" s="287" t="str">
        <f t="shared" si="46"/>
        <v/>
      </c>
      <c r="M259" s="290" t="str">
        <f t="shared" si="47"/>
        <v/>
      </c>
      <c r="N259" t="str">
        <f>IF($A259="","",IFERROR(INDEX(Prices[Category],MATCH($A259,Prices[Key],0)),"Uncategorized"))</f>
        <v/>
      </c>
      <c r="O259" s="291" t="str">
        <f t="shared" si="48"/>
        <v/>
      </c>
      <c r="P259" s="291" t="str">
        <f t="shared" si="49"/>
        <v/>
      </c>
    </row>
    <row r="260" spans="1:16" ht="15" customHeight="1" x14ac:dyDescent="0.2">
      <c r="A260" s="243" t="str">
        <f>IFERROR(INDEX('All Ticker P&amp;L'!$A$2:$A$1001,MATCH(ROWS($A$2:A260),'All Ticker P&amp;L'!$N$2:$N$1001,0)),"")</f>
        <v/>
      </c>
      <c r="B260" s="243" t="str">
        <f t="shared" si="41"/>
        <v/>
      </c>
      <c r="C260" s="243" t="str">
        <f t="shared" si="42"/>
        <v/>
      </c>
      <c r="D260" s="243" t="str">
        <f t="shared" si="43"/>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44"/>
        <v/>
      </c>
      <c r="K260" s="287" t="str">
        <f t="shared" si="45"/>
        <v/>
      </c>
      <c r="L260" s="287" t="str">
        <f t="shared" si="46"/>
        <v/>
      </c>
      <c r="M260" s="290" t="str">
        <f t="shared" si="47"/>
        <v/>
      </c>
      <c r="N260" t="str">
        <f>IF($A260="","",IFERROR(INDEX(Prices[Category],MATCH($A260,Prices[Key],0)),"Uncategorized"))</f>
        <v/>
      </c>
      <c r="O260" s="291" t="str">
        <f t="shared" si="48"/>
        <v/>
      </c>
      <c r="P260" s="291" t="str">
        <f t="shared" si="49"/>
        <v/>
      </c>
    </row>
    <row r="261" spans="1:16" ht="15" customHeight="1" x14ac:dyDescent="0.2">
      <c r="A261" s="243" t="str">
        <f>IFERROR(INDEX('All Ticker P&amp;L'!$A$2:$A$1001,MATCH(ROWS($A$2:A261),'All Ticker P&amp;L'!$N$2:$N$1001,0)),"")</f>
        <v/>
      </c>
      <c r="B261" s="243" t="str">
        <f t="shared" si="41"/>
        <v/>
      </c>
      <c r="C261" s="243" t="str">
        <f t="shared" si="42"/>
        <v/>
      </c>
      <c r="D261" s="243" t="str">
        <f t="shared" si="43"/>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44"/>
        <v/>
      </c>
      <c r="K261" s="287" t="str">
        <f t="shared" si="45"/>
        <v/>
      </c>
      <c r="L261" s="287" t="str">
        <f t="shared" si="46"/>
        <v/>
      </c>
      <c r="M261" s="290" t="str">
        <f t="shared" si="47"/>
        <v/>
      </c>
      <c r="N261" t="str">
        <f>IF($A261="","",IFERROR(INDEX(Prices[Category],MATCH($A261,Prices[Key],0)),"Uncategorized"))</f>
        <v/>
      </c>
      <c r="O261" s="291" t="str">
        <f t="shared" si="48"/>
        <v/>
      </c>
      <c r="P261" s="291" t="str">
        <f t="shared" si="49"/>
        <v/>
      </c>
    </row>
    <row r="262" spans="1:16" ht="15" customHeight="1" x14ac:dyDescent="0.2">
      <c r="A262" s="243" t="str">
        <f>IFERROR(INDEX('All Ticker P&amp;L'!$A$2:$A$1001,MATCH(ROWS($A$2:A262),'All Ticker P&amp;L'!$N$2:$N$1001,0)),"")</f>
        <v/>
      </c>
      <c r="B262" s="243" t="str">
        <f t="shared" si="41"/>
        <v/>
      </c>
      <c r="C262" s="243" t="str">
        <f t="shared" si="42"/>
        <v/>
      </c>
      <c r="D262" s="243" t="str">
        <f t="shared" si="43"/>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44"/>
        <v/>
      </c>
      <c r="K262" s="287" t="str">
        <f t="shared" si="45"/>
        <v/>
      </c>
      <c r="L262" s="287" t="str">
        <f t="shared" si="46"/>
        <v/>
      </c>
      <c r="M262" s="290" t="str">
        <f t="shared" si="47"/>
        <v/>
      </c>
      <c r="N262" t="str">
        <f>IF($A262="","",IFERROR(INDEX(Prices[Category],MATCH($A262,Prices[Key],0)),"Uncategorized"))</f>
        <v/>
      </c>
      <c r="O262" s="291" t="str">
        <f t="shared" si="48"/>
        <v/>
      </c>
      <c r="P262" s="291" t="str">
        <f t="shared" si="49"/>
        <v/>
      </c>
    </row>
    <row r="263" spans="1:16" ht="15" customHeight="1" x14ac:dyDescent="0.2">
      <c r="A263" s="243" t="str">
        <f>IFERROR(INDEX('All Ticker P&amp;L'!$A$2:$A$1001,MATCH(ROWS($A$2:A263),'All Ticker P&amp;L'!$N$2:$N$1001,0)),"")</f>
        <v/>
      </c>
      <c r="B263" s="243" t="str">
        <f t="shared" si="41"/>
        <v/>
      </c>
      <c r="C263" s="243" t="str">
        <f t="shared" si="42"/>
        <v/>
      </c>
      <c r="D263" s="243" t="str">
        <f t="shared" si="43"/>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44"/>
        <v/>
      </c>
      <c r="K263" s="287" t="str">
        <f t="shared" si="45"/>
        <v/>
      </c>
      <c r="L263" s="287" t="str">
        <f t="shared" si="46"/>
        <v/>
      </c>
      <c r="M263" s="290" t="str">
        <f t="shared" si="47"/>
        <v/>
      </c>
      <c r="N263" t="str">
        <f>IF($A263="","",IFERROR(INDEX(Prices[Category],MATCH($A263,Prices[Key],0)),"Uncategorized"))</f>
        <v/>
      </c>
      <c r="O263" s="291" t="str">
        <f t="shared" si="48"/>
        <v/>
      </c>
      <c r="P263" s="291" t="str">
        <f t="shared" si="49"/>
        <v/>
      </c>
    </row>
    <row r="264" spans="1:16" ht="15" customHeight="1" x14ac:dyDescent="0.2">
      <c r="A264" s="243" t="str">
        <f>IFERROR(INDEX('All Ticker P&amp;L'!$A$2:$A$1001,MATCH(ROWS($A$2:A264),'All Ticker P&amp;L'!$N$2:$N$1001,0)),"")</f>
        <v/>
      </c>
      <c r="B264" s="243" t="str">
        <f t="shared" si="41"/>
        <v/>
      </c>
      <c r="C264" s="243" t="str">
        <f t="shared" si="42"/>
        <v/>
      </c>
      <c r="D264" s="243" t="str">
        <f t="shared" si="43"/>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44"/>
        <v/>
      </c>
      <c r="K264" s="287" t="str">
        <f t="shared" si="45"/>
        <v/>
      </c>
      <c r="L264" s="287" t="str">
        <f t="shared" si="46"/>
        <v/>
      </c>
      <c r="M264" s="290" t="str">
        <f t="shared" si="47"/>
        <v/>
      </c>
      <c r="N264" t="str">
        <f>IF($A264="","",IFERROR(INDEX(Prices[Category],MATCH($A264,Prices[Key],0)),"Uncategorized"))</f>
        <v/>
      </c>
      <c r="O264" s="291" t="str">
        <f t="shared" si="48"/>
        <v/>
      </c>
      <c r="P264" s="291" t="str">
        <f t="shared" si="49"/>
        <v/>
      </c>
    </row>
    <row r="265" spans="1:16" ht="15" customHeight="1" x14ac:dyDescent="0.2">
      <c r="A265" s="243" t="str">
        <f>IFERROR(INDEX('All Ticker P&amp;L'!$A$2:$A$1001,MATCH(ROWS($A$2:A265),'All Ticker P&amp;L'!$N$2:$N$1001,0)),"")</f>
        <v/>
      </c>
      <c r="B265" s="243" t="str">
        <f t="shared" si="41"/>
        <v/>
      </c>
      <c r="C265" s="243" t="str">
        <f t="shared" si="42"/>
        <v/>
      </c>
      <c r="D265" s="243" t="str">
        <f t="shared" si="43"/>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44"/>
        <v/>
      </c>
      <c r="K265" s="287" t="str">
        <f t="shared" si="45"/>
        <v/>
      </c>
      <c r="L265" s="287" t="str">
        <f t="shared" si="46"/>
        <v/>
      </c>
      <c r="M265" s="290" t="str">
        <f t="shared" si="47"/>
        <v/>
      </c>
      <c r="N265" t="str">
        <f>IF($A265="","",IFERROR(INDEX(Prices[Category],MATCH($A265,Prices[Key],0)),"Uncategorized"))</f>
        <v/>
      </c>
      <c r="O265" s="291" t="str">
        <f t="shared" si="48"/>
        <v/>
      </c>
      <c r="P265" s="291" t="str">
        <f t="shared" si="49"/>
        <v/>
      </c>
    </row>
    <row r="266" spans="1:16" ht="15" customHeight="1" x14ac:dyDescent="0.2">
      <c r="A266" s="243" t="str">
        <f>IFERROR(INDEX('All Ticker P&amp;L'!$A$2:$A$1001,MATCH(ROWS($A$2:A266),'All Ticker P&amp;L'!$N$2:$N$1001,0)),"")</f>
        <v/>
      </c>
      <c r="B266" s="243" t="str">
        <f t="shared" si="41"/>
        <v/>
      </c>
      <c r="C266" s="243" t="str">
        <f t="shared" si="42"/>
        <v/>
      </c>
      <c r="D266" s="243" t="str">
        <f t="shared" si="43"/>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44"/>
        <v/>
      </c>
      <c r="K266" s="287" t="str">
        <f t="shared" si="45"/>
        <v/>
      </c>
      <c r="L266" s="287" t="str">
        <f t="shared" si="46"/>
        <v/>
      </c>
      <c r="M266" s="290" t="str">
        <f t="shared" si="47"/>
        <v/>
      </c>
      <c r="N266" t="str">
        <f>IF($A266="","",IFERROR(INDEX(Prices[Category],MATCH($A266,Prices[Key],0)),"Uncategorized"))</f>
        <v/>
      </c>
      <c r="O266" s="291" t="str">
        <f t="shared" si="48"/>
        <v/>
      </c>
      <c r="P266" s="291" t="str">
        <f t="shared" si="49"/>
        <v/>
      </c>
    </row>
    <row r="267" spans="1:16" ht="15" customHeight="1" x14ac:dyDescent="0.2">
      <c r="A267" s="243" t="str">
        <f>IFERROR(INDEX('All Ticker P&amp;L'!$A$2:$A$1001,MATCH(ROWS($A$2:A267),'All Ticker P&amp;L'!$N$2:$N$1001,0)),"")</f>
        <v/>
      </c>
      <c r="B267" s="243" t="str">
        <f t="shared" si="41"/>
        <v/>
      </c>
      <c r="C267" s="243" t="str">
        <f t="shared" si="42"/>
        <v/>
      </c>
      <c r="D267" s="243" t="str">
        <f t="shared" si="43"/>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44"/>
        <v/>
      </c>
      <c r="K267" s="287" t="str">
        <f t="shared" si="45"/>
        <v/>
      </c>
      <c r="L267" s="287" t="str">
        <f t="shared" si="46"/>
        <v/>
      </c>
      <c r="M267" s="290" t="str">
        <f t="shared" si="47"/>
        <v/>
      </c>
      <c r="N267" t="str">
        <f>IF($A267="","",IFERROR(INDEX(Prices[Category],MATCH($A267,Prices[Key],0)),"Uncategorized"))</f>
        <v/>
      </c>
      <c r="O267" s="291" t="str">
        <f t="shared" si="48"/>
        <v/>
      </c>
      <c r="P267" s="291" t="str">
        <f t="shared" si="49"/>
        <v/>
      </c>
    </row>
    <row r="268" spans="1:16" ht="15" customHeight="1" x14ac:dyDescent="0.2">
      <c r="A268" s="243" t="str">
        <f>IFERROR(INDEX('All Ticker P&amp;L'!$A$2:$A$1001,MATCH(ROWS($A$2:A268),'All Ticker P&amp;L'!$N$2:$N$1001,0)),"")</f>
        <v/>
      </c>
      <c r="B268" s="243" t="str">
        <f t="shared" si="41"/>
        <v/>
      </c>
      <c r="C268" s="243" t="str">
        <f t="shared" si="42"/>
        <v/>
      </c>
      <c r="D268" s="243" t="str">
        <f t="shared" si="43"/>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44"/>
        <v/>
      </c>
      <c r="K268" s="287" t="str">
        <f t="shared" si="45"/>
        <v/>
      </c>
      <c r="L268" s="287" t="str">
        <f t="shared" si="46"/>
        <v/>
      </c>
      <c r="M268" s="290" t="str">
        <f t="shared" si="47"/>
        <v/>
      </c>
      <c r="N268" t="str">
        <f>IF($A268="","",IFERROR(INDEX(Prices[Category],MATCH($A268,Prices[Key],0)),"Uncategorized"))</f>
        <v/>
      </c>
      <c r="O268" s="291" t="str">
        <f t="shared" si="48"/>
        <v/>
      </c>
      <c r="P268" s="291" t="str">
        <f t="shared" si="49"/>
        <v/>
      </c>
    </row>
    <row r="269" spans="1:16" ht="15" customHeight="1" x14ac:dyDescent="0.2">
      <c r="A269" s="243" t="str">
        <f>IFERROR(INDEX('All Ticker P&amp;L'!$A$2:$A$1001,MATCH(ROWS($A$2:A269),'All Ticker P&amp;L'!$N$2:$N$1001,0)),"")</f>
        <v/>
      </c>
      <c r="B269" s="243" t="str">
        <f t="shared" si="41"/>
        <v/>
      </c>
      <c r="C269" s="243" t="str">
        <f t="shared" si="42"/>
        <v/>
      </c>
      <c r="D269" s="243" t="str">
        <f t="shared" si="43"/>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44"/>
        <v/>
      </c>
      <c r="K269" s="287" t="str">
        <f t="shared" si="45"/>
        <v/>
      </c>
      <c r="L269" s="287" t="str">
        <f t="shared" si="46"/>
        <v/>
      </c>
      <c r="M269" s="290" t="str">
        <f t="shared" si="47"/>
        <v/>
      </c>
      <c r="N269" t="str">
        <f>IF($A269="","",IFERROR(INDEX(Prices[Category],MATCH($A269,Prices[Key],0)),"Uncategorized"))</f>
        <v/>
      </c>
      <c r="O269" s="291" t="str">
        <f t="shared" si="48"/>
        <v/>
      </c>
      <c r="P269" s="291" t="str">
        <f t="shared" si="49"/>
        <v/>
      </c>
    </row>
    <row r="270" spans="1:16" ht="15" customHeight="1" x14ac:dyDescent="0.2">
      <c r="A270" s="243" t="str">
        <f>IFERROR(INDEX('All Ticker P&amp;L'!$A$2:$A$1001,MATCH(ROWS($A$2:A270),'All Ticker P&amp;L'!$N$2:$N$1001,0)),"")</f>
        <v/>
      </c>
      <c r="B270" s="243" t="str">
        <f t="shared" si="41"/>
        <v/>
      </c>
      <c r="C270" s="243" t="str">
        <f t="shared" si="42"/>
        <v/>
      </c>
      <c r="D270" s="243" t="str">
        <f t="shared" si="43"/>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44"/>
        <v/>
      </c>
      <c r="K270" s="287" t="str">
        <f t="shared" si="45"/>
        <v/>
      </c>
      <c r="L270" s="287" t="str">
        <f t="shared" si="46"/>
        <v/>
      </c>
      <c r="M270" s="290" t="str">
        <f t="shared" si="47"/>
        <v/>
      </c>
      <c r="N270" t="str">
        <f>IF($A270="","",IFERROR(INDEX(Prices[Category],MATCH($A270,Prices[Key],0)),"Uncategorized"))</f>
        <v/>
      </c>
      <c r="O270" s="291" t="str">
        <f t="shared" si="48"/>
        <v/>
      </c>
      <c r="P270" s="291" t="str">
        <f t="shared" si="49"/>
        <v/>
      </c>
    </row>
    <row r="271" spans="1:16" ht="15" customHeight="1" x14ac:dyDescent="0.2">
      <c r="A271" s="243" t="str">
        <f>IFERROR(INDEX('All Ticker P&amp;L'!$A$2:$A$1001,MATCH(ROWS($A$2:A271),'All Ticker P&amp;L'!$N$2:$N$1001,0)),"")</f>
        <v/>
      </c>
      <c r="B271" s="243" t="str">
        <f t="shared" si="41"/>
        <v/>
      </c>
      <c r="C271" s="243" t="str">
        <f t="shared" si="42"/>
        <v/>
      </c>
      <c r="D271" s="243" t="str">
        <f t="shared" si="43"/>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44"/>
        <v/>
      </c>
      <c r="K271" s="287" t="str">
        <f t="shared" si="45"/>
        <v/>
      </c>
      <c r="L271" s="287" t="str">
        <f t="shared" si="46"/>
        <v/>
      </c>
      <c r="M271" s="290" t="str">
        <f t="shared" si="47"/>
        <v/>
      </c>
      <c r="N271" t="str">
        <f>IF($A271="","",IFERROR(INDEX(Prices[Category],MATCH($A271,Prices[Key],0)),"Uncategorized"))</f>
        <v/>
      </c>
      <c r="O271" s="291" t="str">
        <f t="shared" si="48"/>
        <v/>
      </c>
      <c r="P271" s="291" t="str">
        <f t="shared" si="49"/>
        <v/>
      </c>
    </row>
    <row r="272" spans="1:16" ht="15" customHeight="1" x14ac:dyDescent="0.2">
      <c r="A272" s="243" t="str">
        <f>IFERROR(INDEX('All Ticker P&amp;L'!$A$2:$A$1001,MATCH(ROWS($A$2:A272),'All Ticker P&amp;L'!$N$2:$N$1001,0)),"")</f>
        <v/>
      </c>
      <c r="B272" s="243" t="str">
        <f t="shared" si="41"/>
        <v/>
      </c>
      <c r="C272" s="243" t="str">
        <f t="shared" si="42"/>
        <v/>
      </c>
      <c r="D272" s="243" t="str">
        <f t="shared" si="43"/>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44"/>
        <v/>
      </c>
      <c r="K272" s="287" t="str">
        <f t="shared" si="45"/>
        <v/>
      </c>
      <c r="L272" s="287" t="str">
        <f t="shared" si="46"/>
        <v/>
      </c>
      <c r="M272" s="290" t="str">
        <f t="shared" si="47"/>
        <v/>
      </c>
      <c r="N272" t="str">
        <f>IF($A272="","",IFERROR(INDEX(Prices[Category],MATCH($A272,Prices[Key],0)),"Uncategorized"))</f>
        <v/>
      </c>
      <c r="O272" s="291" t="str">
        <f t="shared" si="48"/>
        <v/>
      </c>
      <c r="P272" s="291" t="str">
        <f t="shared" si="49"/>
        <v/>
      </c>
    </row>
    <row r="273" spans="1:16" ht="15" customHeight="1" x14ac:dyDescent="0.2">
      <c r="A273" s="243" t="str">
        <f>IFERROR(INDEX('All Ticker P&amp;L'!$A$2:$A$1001,MATCH(ROWS($A$2:A273),'All Ticker P&amp;L'!$N$2:$N$1001,0)),"")</f>
        <v/>
      </c>
      <c r="B273" s="243" t="str">
        <f t="shared" si="41"/>
        <v/>
      </c>
      <c r="C273" s="243" t="str">
        <f t="shared" si="42"/>
        <v/>
      </c>
      <c r="D273" s="243" t="str">
        <f t="shared" si="43"/>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44"/>
        <v/>
      </c>
      <c r="K273" s="287" t="str">
        <f t="shared" si="45"/>
        <v/>
      </c>
      <c r="L273" s="287" t="str">
        <f t="shared" si="46"/>
        <v/>
      </c>
      <c r="M273" s="290" t="str">
        <f t="shared" si="47"/>
        <v/>
      </c>
      <c r="N273" t="str">
        <f>IF($A273="","",IFERROR(INDEX(Prices[Category],MATCH($A273,Prices[Key],0)),"Uncategorized"))</f>
        <v/>
      </c>
      <c r="O273" s="291" t="str">
        <f t="shared" si="48"/>
        <v/>
      </c>
      <c r="P273" s="291" t="str">
        <f t="shared" si="49"/>
        <v/>
      </c>
    </row>
    <row r="274" spans="1:16" ht="15" customHeight="1" x14ac:dyDescent="0.2">
      <c r="A274" s="243" t="str">
        <f>IFERROR(INDEX('All Ticker P&amp;L'!$A$2:$A$1001,MATCH(ROWS($A$2:A274),'All Ticker P&amp;L'!$N$2:$N$1001,0)),"")</f>
        <v/>
      </c>
      <c r="B274" s="243" t="str">
        <f t="shared" si="41"/>
        <v/>
      </c>
      <c r="C274" s="243" t="str">
        <f t="shared" si="42"/>
        <v/>
      </c>
      <c r="D274" s="243" t="str">
        <f t="shared" si="43"/>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44"/>
        <v/>
      </c>
      <c r="K274" s="287" t="str">
        <f t="shared" si="45"/>
        <v/>
      </c>
      <c r="L274" s="287" t="str">
        <f t="shared" si="46"/>
        <v/>
      </c>
      <c r="M274" s="290" t="str">
        <f t="shared" si="47"/>
        <v/>
      </c>
      <c r="N274" t="str">
        <f>IF($A274="","",IFERROR(INDEX(Prices[Category],MATCH($A274,Prices[Key],0)),"Uncategorized"))</f>
        <v/>
      </c>
      <c r="O274" s="291" t="str">
        <f t="shared" si="48"/>
        <v/>
      </c>
      <c r="P274" s="291" t="str">
        <f t="shared" si="49"/>
        <v/>
      </c>
    </row>
    <row r="275" spans="1:16" ht="15" customHeight="1" x14ac:dyDescent="0.2">
      <c r="A275" s="243" t="str">
        <f>IFERROR(INDEX('All Ticker P&amp;L'!$A$2:$A$1001,MATCH(ROWS($A$2:A275),'All Ticker P&amp;L'!$N$2:$N$1001,0)),"")</f>
        <v/>
      </c>
      <c r="B275" s="243" t="str">
        <f t="shared" si="41"/>
        <v/>
      </c>
      <c r="C275" s="243" t="str">
        <f t="shared" si="42"/>
        <v/>
      </c>
      <c r="D275" s="243" t="str">
        <f t="shared" si="43"/>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44"/>
        <v/>
      </c>
      <c r="K275" s="287" t="str">
        <f t="shared" si="45"/>
        <v/>
      </c>
      <c r="L275" s="287" t="str">
        <f t="shared" si="46"/>
        <v/>
      </c>
      <c r="M275" s="290" t="str">
        <f t="shared" si="47"/>
        <v/>
      </c>
      <c r="N275" t="str">
        <f>IF($A275="","",IFERROR(INDEX(Prices[Category],MATCH($A275,Prices[Key],0)),"Uncategorized"))</f>
        <v/>
      </c>
      <c r="O275" s="291" t="str">
        <f t="shared" si="48"/>
        <v/>
      </c>
      <c r="P275" s="291" t="str">
        <f t="shared" si="49"/>
        <v/>
      </c>
    </row>
    <row r="276" spans="1:16" ht="15" customHeight="1" x14ac:dyDescent="0.2">
      <c r="A276" s="243" t="str">
        <f>IFERROR(INDEX('All Ticker P&amp;L'!$A$2:$A$1001,MATCH(ROWS($A$2:A276),'All Ticker P&amp;L'!$N$2:$N$1001,0)),"")</f>
        <v/>
      </c>
      <c r="B276" s="243" t="str">
        <f t="shared" si="41"/>
        <v/>
      </c>
      <c r="C276" s="243" t="str">
        <f t="shared" si="42"/>
        <v/>
      </c>
      <c r="D276" s="243" t="str">
        <f t="shared" si="43"/>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44"/>
        <v/>
      </c>
      <c r="K276" s="287" t="str">
        <f t="shared" si="45"/>
        <v/>
      </c>
      <c r="L276" s="287" t="str">
        <f t="shared" si="46"/>
        <v/>
      </c>
      <c r="M276" s="290" t="str">
        <f t="shared" si="47"/>
        <v/>
      </c>
      <c r="N276" t="str">
        <f>IF($A276="","",IFERROR(INDEX(Prices[Category],MATCH($A276,Prices[Key],0)),"Uncategorized"))</f>
        <v/>
      </c>
      <c r="O276" s="291" t="str">
        <f t="shared" si="48"/>
        <v/>
      </c>
      <c r="P276" s="291" t="str">
        <f t="shared" si="49"/>
        <v/>
      </c>
    </row>
    <row r="277" spans="1:16" ht="15" customHeight="1" x14ac:dyDescent="0.2">
      <c r="A277" s="243" t="str">
        <f>IFERROR(INDEX('All Ticker P&amp;L'!$A$2:$A$1001,MATCH(ROWS($A$2:A277),'All Ticker P&amp;L'!$N$2:$N$1001,0)),"")</f>
        <v/>
      </c>
      <c r="B277" s="243" t="str">
        <f t="shared" si="41"/>
        <v/>
      </c>
      <c r="C277" s="243" t="str">
        <f t="shared" si="42"/>
        <v/>
      </c>
      <c r="D277" s="243" t="str">
        <f t="shared" si="43"/>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44"/>
        <v/>
      </c>
      <c r="K277" s="287" t="str">
        <f t="shared" si="45"/>
        <v/>
      </c>
      <c r="L277" s="287" t="str">
        <f t="shared" si="46"/>
        <v/>
      </c>
      <c r="M277" s="290" t="str">
        <f t="shared" si="47"/>
        <v/>
      </c>
      <c r="N277" t="str">
        <f>IF($A277="","",IFERROR(INDEX(Prices[Category],MATCH($A277,Prices[Key],0)),"Uncategorized"))</f>
        <v/>
      </c>
      <c r="O277" s="291" t="str">
        <f t="shared" si="48"/>
        <v/>
      </c>
      <c r="P277" s="291" t="str">
        <f t="shared" si="49"/>
        <v/>
      </c>
    </row>
    <row r="278" spans="1:16" ht="15" customHeight="1" x14ac:dyDescent="0.2">
      <c r="A278" s="243" t="str">
        <f>IFERROR(INDEX('All Ticker P&amp;L'!$A$2:$A$1001,MATCH(ROWS($A$2:A278),'All Ticker P&amp;L'!$N$2:$N$1001,0)),"")</f>
        <v/>
      </c>
      <c r="B278" s="243" t="str">
        <f t="shared" si="41"/>
        <v/>
      </c>
      <c r="C278" s="243" t="str">
        <f t="shared" si="42"/>
        <v/>
      </c>
      <c r="D278" s="243" t="str">
        <f t="shared" si="43"/>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44"/>
        <v/>
      </c>
      <c r="K278" s="287" t="str">
        <f t="shared" si="45"/>
        <v/>
      </c>
      <c r="L278" s="287" t="str">
        <f t="shared" si="46"/>
        <v/>
      </c>
      <c r="M278" s="290" t="str">
        <f t="shared" si="47"/>
        <v/>
      </c>
      <c r="N278" t="str">
        <f>IF($A278="","",IFERROR(INDEX(Prices[Category],MATCH($A278,Prices[Key],0)),"Uncategorized"))</f>
        <v/>
      </c>
      <c r="O278" s="291" t="str">
        <f t="shared" si="48"/>
        <v/>
      </c>
      <c r="P278" s="291" t="str">
        <f t="shared" si="49"/>
        <v/>
      </c>
    </row>
    <row r="279" spans="1:16" ht="15" customHeight="1" x14ac:dyDescent="0.2">
      <c r="A279" s="243" t="str">
        <f>IFERROR(INDEX('All Ticker P&amp;L'!$A$2:$A$1001,MATCH(ROWS($A$2:A279),'All Ticker P&amp;L'!$N$2:$N$1001,0)),"")</f>
        <v/>
      </c>
      <c r="B279" s="243" t="str">
        <f t="shared" si="41"/>
        <v/>
      </c>
      <c r="C279" s="243" t="str">
        <f t="shared" si="42"/>
        <v/>
      </c>
      <c r="D279" s="243" t="str">
        <f t="shared" si="43"/>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44"/>
        <v/>
      </c>
      <c r="K279" s="287" t="str">
        <f t="shared" si="45"/>
        <v/>
      </c>
      <c r="L279" s="287" t="str">
        <f t="shared" si="46"/>
        <v/>
      </c>
      <c r="M279" s="290" t="str">
        <f t="shared" si="47"/>
        <v/>
      </c>
      <c r="N279" t="str">
        <f>IF($A279="","",IFERROR(INDEX(Prices[Category],MATCH($A279,Prices[Key],0)),"Uncategorized"))</f>
        <v/>
      </c>
      <c r="O279" s="291" t="str">
        <f t="shared" si="48"/>
        <v/>
      </c>
      <c r="P279" s="291" t="str">
        <f t="shared" si="49"/>
        <v/>
      </c>
    </row>
    <row r="280" spans="1:16" ht="15" customHeight="1" x14ac:dyDescent="0.2">
      <c r="A280" s="243" t="str">
        <f>IFERROR(INDEX('All Ticker P&amp;L'!$A$2:$A$1001,MATCH(ROWS($A$2:A280),'All Ticker P&amp;L'!$N$2:$N$1001,0)),"")</f>
        <v/>
      </c>
      <c r="B280" s="243" t="str">
        <f t="shared" si="41"/>
        <v/>
      </c>
      <c r="C280" s="243" t="str">
        <f t="shared" si="42"/>
        <v/>
      </c>
      <c r="D280" s="243" t="str">
        <f t="shared" si="43"/>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44"/>
        <v/>
      </c>
      <c r="K280" s="287" t="str">
        <f t="shared" si="45"/>
        <v/>
      </c>
      <c r="L280" s="287" t="str">
        <f t="shared" si="46"/>
        <v/>
      </c>
      <c r="M280" s="290" t="str">
        <f t="shared" si="47"/>
        <v/>
      </c>
      <c r="N280" t="str">
        <f>IF($A280="","",IFERROR(INDEX(Prices[Category],MATCH($A280,Prices[Key],0)),"Uncategorized"))</f>
        <v/>
      </c>
      <c r="O280" s="291" t="str">
        <f t="shared" si="48"/>
        <v/>
      </c>
      <c r="P280" s="291" t="str">
        <f t="shared" si="49"/>
        <v/>
      </c>
    </row>
    <row r="281" spans="1:16" ht="15" customHeight="1" x14ac:dyDescent="0.2">
      <c r="A281" s="243" t="str">
        <f>IFERROR(INDEX('All Ticker P&amp;L'!$A$2:$A$1001,MATCH(ROWS($A$2:A281),'All Ticker P&amp;L'!$N$2:$N$1001,0)),"")</f>
        <v/>
      </c>
      <c r="B281" s="243" t="str">
        <f t="shared" si="41"/>
        <v/>
      </c>
      <c r="C281" s="243" t="str">
        <f t="shared" si="42"/>
        <v/>
      </c>
      <c r="D281" s="243" t="str">
        <f t="shared" si="43"/>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44"/>
        <v/>
      </c>
      <c r="K281" s="287" t="str">
        <f t="shared" si="45"/>
        <v/>
      </c>
      <c r="L281" s="287" t="str">
        <f t="shared" si="46"/>
        <v/>
      </c>
      <c r="M281" s="290" t="str">
        <f t="shared" si="47"/>
        <v/>
      </c>
      <c r="N281" t="str">
        <f>IF($A281="","",IFERROR(INDEX(Prices[Category],MATCH($A281,Prices[Key],0)),"Uncategorized"))</f>
        <v/>
      </c>
      <c r="O281" s="291" t="str">
        <f t="shared" si="48"/>
        <v/>
      </c>
      <c r="P281" s="291" t="str">
        <f t="shared" si="49"/>
        <v/>
      </c>
    </row>
    <row r="282" spans="1:16" ht="15" customHeight="1" x14ac:dyDescent="0.2">
      <c r="A282" s="243" t="str">
        <f>IFERROR(INDEX('All Ticker P&amp;L'!$A$2:$A$1001,MATCH(ROWS($A$2:A282),'All Ticker P&amp;L'!$N$2:$N$1001,0)),"")</f>
        <v/>
      </c>
      <c r="B282" s="243" t="str">
        <f t="shared" si="41"/>
        <v/>
      </c>
      <c r="C282" s="243" t="str">
        <f t="shared" si="42"/>
        <v/>
      </c>
      <c r="D282" s="243" t="str">
        <f t="shared" si="43"/>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44"/>
        <v/>
      </c>
      <c r="K282" s="287" t="str">
        <f t="shared" si="45"/>
        <v/>
      </c>
      <c r="L282" s="287" t="str">
        <f t="shared" si="46"/>
        <v/>
      </c>
      <c r="M282" s="290" t="str">
        <f t="shared" si="47"/>
        <v/>
      </c>
      <c r="N282" t="str">
        <f>IF($A282="","",IFERROR(INDEX(Prices[Category],MATCH($A282,Prices[Key],0)),"Uncategorized"))</f>
        <v/>
      </c>
      <c r="O282" s="291" t="str">
        <f t="shared" si="48"/>
        <v/>
      </c>
      <c r="P282" s="291" t="str">
        <f t="shared" si="49"/>
        <v/>
      </c>
    </row>
    <row r="283" spans="1:16" ht="15" customHeight="1" x14ac:dyDescent="0.2">
      <c r="A283" s="243" t="str">
        <f>IFERROR(INDEX('All Ticker P&amp;L'!$A$2:$A$1001,MATCH(ROWS($A$2:A283),'All Ticker P&amp;L'!$N$2:$N$1001,0)),"")</f>
        <v/>
      </c>
      <c r="B283" s="243" t="str">
        <f t="shared" si="41"/>
        <v/>
      </c>
      <c r="C283" s="243" t="str">
        <f t="shared" si="42"/>
        <v/>
      </c>
      <c r="D283" s="243" t="str">
        <f t="shared" si="43"/>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44"/>
        <v/>
      </c>
      <c r="K283" s="287" t="str">
        <f t="shared" si="45"/>
        <v/>
      </c>
      <c r="L283" s="287" t="str">
        <f t="shared" si="46"/>
        <v/>
      </c>
      <c r="M283" s="290" t="str">
        <f t="shared" si="47"/>
        <v/>
      </c>
      <c r="N283" t="str">
        <f>IF($A283="","",IFERROR(INDEX(Prices[Category],MATCH($A283,Prices[Key],0)),"Uncategorized"))</f>
        <v/>
      </c>
      <c r="O283" s="291" t="str">
        <f t="shared" si="48"/>
        <v/>
      </c>
      <c r="P283" s="291" t="str">
        <f t="shared" si="49"/>
        <v/>
      </c>
    </row>
    <row r="284" spans="1:16" ht="15" customHeight="1" x14ac:dyDescent="0.2">
      <c r="A284" s="243" t="str">
        <f>IFERROR(INDEX('All Ticker P&amp;L'!$A$2:$A$1001,MATCH(ROWS($A$2:A284),'All Ticker P&amp;L'!$N$2:$N$1001,0)),"")</f>
        <v/>
      </c>
      <c r="B284" s="243" t="str">
        <f t="shared" si="41"/>
        <v/>
      </c>
      <c r="C284" s="243" t="str">
        <f t="shared" si="42"/>
        <v/>
      </c>
      <c r="D284" s="243" t="str">
        <f t="shared" si="43"/>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44"/>
        <v/>
      </c>
      <c r="K284" s="287" t="str">
        <f t="shared" si="45"/>
        <v/>
      </c>
      <c r="L284" s="287" t="str">
        <f t="shared" si="46"/>
        <v/>
      </c>
      <c r="M284" s="290" t="str">
        <f t="shared" si="47"/>
        <v/>
      </c>
      <c r="N284" t="str">
        <f>IF($A284="","",IFERROR(INDEX(Prices[Category],MATCH($A284,Prices[Key],0)),"Uncategorized"))</f>
        <v/>
      </c>
      <c r="O284" s="291" t="str">
        <f t="shared" si="48"/>
        <v/>
      </c>
      <c r="P284" s="291" t="str">
        <f t="shared" si="49"/>
        <v/>
      </c>
    </row>
    <row r="285" spans="1:16" ht="15" customHeight="1" x14ac:dyDescent="0.2">
      <c r="A285" s="243" t="str">
        <f>IFERROR(INDEX('All Ticker P&amp;L'!$A$2:$A$1001,MATCH(ROWS($A$2:A285),'All Ticker P&amp;L'!$N$2:$N$1001,0)),"")</f>
        <v/>
      </c>
      <c r="B285" s="243" t="str">
        <f t="shared" si="41"/>
        <v/>
      </c>
      <c r="C285" s="243" t="str">
        <f t="shared" si="42"/>
        <v/>
      </c>
      <c r="D285" s="243" t="str">
        <f t="shared" si="43"/>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44"/>
        <v/>
      </c>
      <c r="K285" s="287" t="str">
        <f t="shared" si="45"/>
        <v/>
      </c>
      <c r="L285" s="287" t="str">
        <f t="shared" si="46"/>
        <v/>
      </c>
      <c r="M285" s="290" t="str">
        <f t="shared" si="47"/>
        <v/>
      </c>
      <c r="N285" t="str">
        <f>IF($A285="","",IFERROR(INDEX(Prices[Category],MATCH($A285,Prices[Key],0)),"Uncategorized"))</f>
        <v/>
      </c>
      <c r="O285" s="291" t="str">
        <f t="shared" si="48"/>
        <v/>
      </c>
      <c r="P285" s="291" t="str">
        <f t="shared" si="49"/>
        <v/>
      </c>
    </row>
    <row r="286" spans="1:16" ht="15" customHeight="1" x14ac:dyDescent="0.2">
      <c r="A286" s="243" t="str">
        <f>IFERROR(INDEX('All Ticker P&amp;L'!$A$2:$A$1001,MATCH(ROWS($A$2:A286),'All Ticker P&amp;L'!$N$2:$N$1001,0)),"")</f>
        <v/>
      </c>
      <c r="B286" s="243" t="str">
        <f t="shared" si="41"/>
        <v/>
      </c>
      <c r="C286" s="243" t="str">
        <f t="shared" si="42"/>
        <v/>
      </c>
      <c r="D286" s="243" t="str">
        <f t="shared" si="43"/>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44"/>
        <v/>
      </c>
      <c r="K286" s="287" t="str">
        <f t="shared" si="45"/>
        <v/>
      </c>
      <c r="L286" s="287" t="str">
        <f t="shared" si="46"/>
        <v/>
      </c>
      <c r="M286" s="290" t="str">
        <f t="shared" si="47"/>
        <v/>
      </c>
      <c r="N286" t="str">
        <f>IF($A286="","",IFERROR(INDEX(Prices[Category],MATCH($A286,Prices[Key],0)),"Uncategorized"))</f>
        <v/>
      </c>
      <c r="O286" s="291" t="str">
        <f t="shared" si="48"/>
        <v/>
      </c>
      <c r="P286" s="291" t="str">
        <f t="shared" si="49"/>
        <v/>
      </c>
    </row>
    <row r="287" spans="1:16" ht="15" customHeight="1" x14ac:dyDescent="0.2">
      <c r="A287" s="243" t="str">
        <f>IFERROR(INDEX('All Ticker P&amp;L'!$A$2:$A$1001,MATCH(ROWS($A$2:A287),'All Ticker P&amp;L'!$N$2:$N$1001,0)),"")</f>
        <v/>
      </c>
      <c r="B287" s="243" t="str">
        <f t="shared" si="41"/>
        <v/>
      </c>
      <c r="C287" s="243" t="str">
        <f t="shared" si="42"/>
        <v/>
      </c>
      <c r="D287" s="243" t="str">
        <f t="shared" si="43"/>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44"/>
        <v/>
      </c>
      <c r="K287" s="287" t="str">
        <f t="shared" si="45"/>
        <v/>
      </c>
      <c r="L287" s="287" t="str">
        <f t="shared" si="46"/>
        <v/>
      </c>
      <c r="M287" s="290" t="str">
        <f t="shared" si="47"/>
        <v/>
      </c>
      <c r="N287" t="str">
        <f>IF($A287="","",IFERROR(INDEX(Prices[Category],MATCH($A287,Prices[Key],0)),"Uncategorized"))</f>
        <v/>
      </c>
      <c r="O287" s="291" t="str">
        <f t="shared" si="48"/>
        <v/>
      </c>
      <c r="P287" s="291" t="str">
        <f t="shared" si="49"/>
        <v/>
      </c>
    </row>
    <row r="288" spans="1:16" ht="15" customHeight="1" x14ac:dyDescent="0.2">
      <c r="A288" s="243" t="str">
        <f>IFERROR(INDEX('All Ticker P&amp;L'!$A$2:$A$1001,MATCH(ROWS($A$2:A288),'All Ticker P&amp;L'!$N$2:$N$1001,0)),"")</f>
        <v/>
      </c>
      <c r="B288" s="243" t="str">
        <f t="shared" si="41"/>
        <v/>
      </c>
      <c r="C288" s="243" t="str">
        <f t="shared" si="42"/>
        <v/>
      </c>
      <c r="D288" s="243" t="str">
        <f t="shared" si="43"/>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44"/>
        <v/>
      </c>
      <c r="K288" s="287" t="str">
        <f t="shared" si="45"/>
        <v/>
      </c>
      <c r="L288" s="287" t="str">
        <f t="shared" si="46"/>
        <v/>
      </c>
      <c r="M288" s="290" t="str">
        <f t="shared" si="47"/>
        <v/>
      </c>
      <c r="N288" t="str">
        <f>IF($A288="","",IFERROR(INDEX(Prices[Category],MATCH($A288,Prices[Key],0)),"Uncategorized"))</f>
        <v/>
      </c>
      <c r="O288" s="291" t="str">
        <f t="shared" si="48"/>
        <v/>
      </c>
      <c r="P288" s="291" t="str">
        <f t="shared" si="49"/>
        <v/>
      </c>
    </row>
    <row r="289" spans="1:16" ht="15" customHeight="1" x14ac:dyDescent="0.2">
      <c r="A289" s="243" t="str">
        <f>IFERROR(INDEX('All Ticker P&amp;L'!$A$2:$A$1001,MATCH(ROWS($A$2:A289),'All Ticker P&amp;L'!$N$2:$N$1001,0)),"")</f>
        <v/>
      </c>
      <c r="B289" s="243" t="str">
        <f t="shared" si="41"/>
        <v/>
      </c>
      <c r="C289" s="243" t="str">
        <f t="shared" si="42"/>
        <v/>
      </c>
      <c r="D289" s="243" t="str">
        <f t="shared" si="43"/>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44"/>
        <v/>
      </c>
      <c r="K289" s="287" t="str">
        <f t="shared" si="45"/>
        <v/>
      </c>
      <c r="L289" s="287" t="str">
        <f t="shared" si="46"/>
        <v/>
      </c>
      <c r="M289" s="290" t="str">
        <f t="shared" si="47"/>
        <v/>
      </c>
      <c r="N289" t="str">
        <f>IF($A289="","",IFERROR(INDEX(Prices[Category],MATCH($A289,Prices[Key],0)),"Uncategorized"))</f>
        <v/>
      </c>
      <c r="O289" s="291" t="str">
        <f t="shared" si="48"/>
        <v/>
      </c>
      <c r="P289" s="291" t="str">
        <f t="shared" si="49"/>
        <v/>
      </c>
    </row>
    <row r="290" spans="1:16" ht="15" customHeight="1" x14ac:dyDescent="0.2">
      <c r="A290" s="243" t="str">
        <f>IFERROR(INDEX('All Ticker P&amp;L'!$A$2:$A$1001,MATCH(ROWS($A$2:A290),'All Ticker P&amp;L'!$N$2:$N$1001,0)),"")</f>
        <v/>
      </c>
      <c r="B290" s="243" t="str">
        <f t="shared" si="41"/>
        <v/>
      </c>
      <c r="C290" s="243" t="str">
        <f t="shared" si="42"/>
        <v/>
      </c>
      <c r="D290" s="243" t="str">
        <f t="shared" si="43"/>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44"/>
        <v/>
      </c>
      <c r="K290" s="287" t="str">
        <f t="shared" si="45"/>
        <v/>
      </c>
      <c r="L290" s="287" t="str">
        <f t="shared" si="46"/>
        <v/>
      </c>
      <c r="M290" s="290" t="str">
        <f t="shared" si="47"/>
        <v/>
      </c>
      <c r="N290" t="str">
        <f>IF($A290="","",IFERROR(INDEX(Prices[Category],MATCH($A290,Prices[Key],0)),"Uncategorized"))</f>
        <v/>
      </c>
      <c r="O290" s="291" t="str">
        <f t="shared" si="48"/>
        <v/>
      </c>
      <c r="P290" s="291" t="str">
        <f t="shared" si="49"/>
        <v/>
      </c>
    </row>
    <row r="291" spans="1:16" ht="15" customHeight="1" x14ac:dyDescent="0.2">
      <c r="A291" s="243" t="str">
        <f>IFERROR(INDEX('All Ticker P&amp;L'!$A$2:$A$1001,MATCH(ROWS($A$2:A291),'All Ticker P&amp;L'!$N$2:$N$1001,0)),"")</f>
        <v/>
      </c>
      <c r="B291" s="243" t="str">
        <f t="shared" si="41"/>
        <v/>
      </c>
      <c r="C291" s="243" t="str">
        <f t="shared" si="42"/>
        <v/>
      </c>
      <c r="D291" s="243" t="str">
        <f t="shared" si="43"/>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44"/>
        <v/>
      </c>
      <c r="K291" s="287" t="str">
        <f t="shared" si="45"/>
        <v/>
      </c>
      <c r="L291" s="287" t="str">
        <f t="shared" si="46"/>
        <v/>
      </c>
      <c r="M291" s="290" t="str">
        <f t="shared" si="47"/>
        <v/>
      </c>
      <c r="N291" t="str">
        <f>IF($A291="","",IFERROR(INDEX(Prices[Category],MATCH($A291,Prices[Key],0)),"Uncategorized"))</f>
        <v/>
      </c>
      <c r="O291" s="291" t="str">
        <f t="shared" si="48"/>
        <v/>
      </c>
      <c r="P291" s="291" t="str">
        <f t="shared" si="49"/>
        <v/>
      </c>
    </row>
    <row r="292" spans="1:16" ht="15" customHeight="1" x14ac:dyDescent="0.2">
      <c r="A292" s="243" t="str">
        <f>IFERROR(INDEX('All Ticker P&amp;L'!$A$2:$A$1001,MATCH(ROWS($A$2:A292),'All Ticker P&amp;L'!$N$2:$N$1001,0)),"")</f>
        <v/>
      </c>
      <c r="B292" s="243" t="str">
        <f t="shared" si="41"/>
        <v/>
      </c>
      <c r="C292" s="243" t="str">
        <f t="shared" si="42"/>
        <v/>
      </c>
      <c r="D292" s="243" t="str">
        <f t="shared" si="43"/>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44"/>
        <v/>
      </c>
      <c r="K292" s="287" t="str">
        <f t="shared" si="45"/>
        <v/>
      </c>
      <c r="L292" s="287" t="str">
        <f t="shared" si="46"/>
        <v/>
      </c>
      <c r="M292" s="290" t="str">
        <f t="shared" si="47"/>
        <v/>
      </c>
      <c r="N292" t="str">
        <f>IF($A292="","",IFERROR(INDEX(Prices[Category],MATCH($A292,Prices[Key],0)),"Uncategorized"))</f>
        <v/>
      </c>
      <c r="O292" s="291" t="str">
        <f t="shared" si="48"/>
        <v/>
      </c>
      <c r="P292" s="291" t="str">
        <f t="shared" si="49"/>
        <v/>
      </c>
    </row>
    <row r="293" spans="1:16" ht="15" customHeight="1" x14ac:dyDescent="0.2">
      <c r="A293" s="243" t="str">
        <f>IFERROR(INDEX('All Ticker P&amp;L'!$A$2:$A$1001,MATCH(ROWS($A$2:A293),'All Ticker P&amp;L'!$N$2:$N$1001,0)),"")</f>
        <v/>
      </c>
      <c r="B293" s="243" t="str">
        <f t="shared" si="41"/>
        <v/>
      </c>
      <c r="C293" s="243" t="str">
        <f t="shared" si="42"/>
        <v/>
      </c>
      <c r="D293" s="243" t="str">
        <f t="shared" si="43"/>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44"/>
        <v/>
      </c>
      <c r="K293" s="287" t="str">
        <f t="shared" si="45"/>
        <v/>
      </c>
      <c r="L293" s="287" t="str">
        <f t="shared" si="46"/>
        <v/>
      </c>
      <c r="M293" s="290" t="str">
        <f t="shared" si="47"/>
        <v/>
      </c>
      <c r="N293" t="str">
        <f>IF($A293="","",IFERROR(INDEX(Prices[Category],MATCH($A293,Prices[Key],0)),"Uncategorized"))</f>
        <v/>
      </c>
      <c r="O293" s="291" t="str">
        <f t="shared" si="48"/>
        <v/>
      </c>
      <c r="P293" s="291" t="str">
        <f t="shared" si="49"/>
        <v/>
      </c>
    </row>
    <row r="294" spans="1:16" ht="15" customHeight="1" x14ac:dyDescent="0.2">
      <c r="A294" s="243" t="str">
        <f>IFERROR(INDEX('All Ticker P&amp;L'!$A$2:$A$1001,MATCH(ROWS($A$2:A294),'All Ticker P&amp;L'!$N$2:$N$1001,0)),"")</f>
        <v/>
      </c>
      <c r="B294" s="243" t="str">
        <f t="shared" si="41"/>
        <v/>
      </c>
      <c r="C294" s="243" t="str">
        <f t="shared" si="42"/>
        <v/>
      </c>
      <c r="D294" s="243" t="str">
        <f t="shared" si="43"/>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44"/>
        <v/>
      </c>
      <c r="K294" s="287" t="str">
        <f t="shared" si="45"/>
        <v/>
      </c>
      <c r="L294" s="287" t="str">
        <f t="shared" si="46"/>
        <v/>
      </c>
      <c r="M294" s="290" t="str">
        <f t="shared" si="47"/>
        <v/>
      </c>
      <c r="N294" t="str">
        <f>IF($A294="","",IFERROR(INDEX(Prices[Category],MATCH($A294,Prices[Key],0)),"Uncategorized"))</f>
        <v/>
      </c>
      <c r="O294" s="291" t="str">
        <f t="shared" si="48"/>
        <v/>
      </c>
      <c r="P294" s="291" t="str">
        <f t="shared" si="49"/>
        <v/>
      </c>
    </row>
    <row r="295" spans="1:16" ht="15" customHeight="1" x14ac:dyDescent="0.2">
      <c r="A295" s="243" t="str">
        <f>IFERROR(INDEX('All Ticker P&amp;L'!$A$2:$A$1001,MATCH(ROWS($A$2:A295),'All Ticker P&amp;L'!$N$2:$N$1001,0)),"")</f>
        <v/>
      </c>
      <c r="B295" s="243" t="str">
        <f t="shared" si="41"/>
        <v/>
      </c>
      <c r="C295" s="243" t="str">
        <f t="shared" si="42"/>
        <v/>
      </c>
      <c r="D295" s="243" t="str">
        <f t="shared" si="43"/>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44"/>
        <v/>
      </c>
      <c r="K295" s="287" t="str">
        <f t="shared" si="45"/>
        <v/>
      </c>
      <c r="L295" s="287" t="str">
        <f t="shared" si="46"/>
        <v/>
      </c>
      <c r="M295" s="290" t="str">
        <f t="shared" si="47"/>
        <v/>
      </c>
      <c r="N295" t="str">
        <f>IF($A295="","",IFERROR(INDEX(Prices[Category],MATCH($A295,Prices[Key],0)),"Uncategorized"))</f>
        <v/>
      </c>
      <c r="O295" s="291" t="str">
        <f t="shared" si="48"/>
        <v/>
      </c>
      <c r="P295" s="291" t="str">
        <f t="shared" si="49"/>
        <v/>
      </c>
    </row>
    <row r="296" spans="1:16" ht="15" customHeight="1" x14ac:dyDescent="0.2">
      <c r="A296" s="243" t="str">
        <f>IFERROR(INDEX('All Ticker P&amp;L'!$A$2:$A$1001,MATCH(ROWS($A$2:A296),'All Ticker P&amp;L'!$N$2:$N$1001,0)),"")</f>
        <v/>
      </c>
      <c r="B296" s="243" t="str">
        <f t="shared" si="41"/>
        <v/>
      </c>
      <c r="C296" s="243" t="str">
        <f t="shared" si="42"/>
        <v/>
      </c>
      <c r="D296" s="243" t="str">
        <f t="shared" si="43"/>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44"/>
        <v/>
      </c>
      <c r="K296" s="287" t="str">
        <f t="shared" si="45"/>
        <v/>
      </c>
      <c r="L296" s="287" t="str">
        <f t="shared" si="46"/>
        <v/>
      </c>
      <c r="M296" s="290" t="str">
        <f t="shared" si="47"/>
        <v/>
      </c>
      <c r="N296" t="str">
        <f>IF($A296="","",IFERROR(INDEX(Prices[Category],MATCH($A296,Prices[Key],0)),"Uncategorized"))</f>
        <v/>
      </c>
      <c r="O296" s="291" t="str">
        <f t="shared" si="48"/>
        <v/>
      </c>
      <c r="P296" s="291" t="str">
        <f t="shared" si="49"/>
        <v/>
      </c>
    </row>
    <row r="297" spans="1:16" ht="15" customHeight="1" x14ac:dyDescent="0.2">
      <c r="A297" s="243" t="str">
        <f>IFERROR(INDEX('All Ticker P&amp;L'!$A$2:$A$1001,MATCH(ROWS($A$2:A297),'All Ticker P&amp;L'!$N$2:$N$1001,0)),"")</f>
        <v/>
      </c>
      <c r="B297" s="243" t="str">
        <f t="shared" si="41"/>
        <v/>
      </c>
      <c r="C297" s="243" t="str">
        <f t="shared" si="42"/>
        <v/>
      </c>
      <c r="D297" s="243" t="str">
        <f t="shared" si="43"/>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44"/>
        <v/>
      </c>
      <c r="K297" s="287" t="str">
        <f t="shared" si="45"/>
        <v/>
      </c>
      <c r="L297" s="287" t="str">
        <f t="shared" si="46"/>
        <v/>
      </c>
      <c r="M297" s="290" t="str">
        <f t="shared" si="47"/>
        <v/>
      </c>
      <c r="N297" t="str">
        <f>IF($A297="","",IFERROR(INDEX(Prices[Category],MATCH($A297,Prices[Key],0)),"Uncategorized"))</f>
        <v/>
      </c>
      <c r="O297" s="291" t="str">
        <f t="shared" si="48"/>
        <v/>
      </c>
      <c r="P297" s="291" t="str">
        <f t="shared" si="49"/>
        <v/>
      </c>
    </row>
    <row r="298" spans="1:16" ht="15" customHeight="1" x14ac:dyDescent="0.2">
      <c r="A298" s="243" t="str">
        <f>IFERROR(INDEX('All Ticker P&amp;L'!$A$2:$A$1001,MATCH(ROWS($A$2:A298),'All Ticker P&amp;L'!$N$2:$N$1001,0)),"")</f>
        <v/>
      </c>
      <c r="B298" s="243" t="str">
        <f t="shared" si="41"/>
        <v/>
      </c>
      <c r="C298" s="243" t="str">
        <f t="shared" si="42"/>
        <v/>
      </c>
      <c r="D298" s="243" t="str">
        <f t="shared" si="43"/>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44"/>
        <v/>
      </c>
      <c r="K298" s="287" t="str">
        <f t="shared" si="45"/>
        <v/>
      </c>
      <c r="L298" s="287" t="str">
        <f t="shared" si="46"/>
        <v/>
      </c>
      <c r="M298" s="290" t="str">
        <f t="shared" si="47"/>
        <v/>
      </c>
      <c r="N298" t="str">
        <f>IF($A298="","",IFERROR(INDEX(Prices[Category],MATCH($A298,Prices[Key],0)),"Uncategorized"))</f>
        <v/>
      </c>
      <c r="O298" s="291" t="str">
        <f t="shared" si="48"/>
        <v/>
      </c>
      <c r="P298" s="291" t="str">
        <f t="shared" si="49"/>
        <v/>
      </c>
    </row>
    <row r="299" spans="1:16" ht="15" customHeight="1" x14ac:dyDescent="0.2">
      <c r="A299" s="243" t="str">
        <f>IFERROR(INDEX('All Ticker P&amp;L'!$A$2:$A$1001,MATCH(ROWS($A$2:A299),'All Ticker P&amp;L'!$N$2:$N$1001,0)),"")</f>
        <v/>
      </c>
      <c r="B299" s="243" t="str">
        <f t="shared" si="41"/>
        <v/>
      </c>
      <c r="C299" s="243" t="str">
        <f t="shared" si="42"/>
        <v/>
      </c>
      <c r="D299" s="243" t="str">
        <f t="shared" si="43"/>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44"/>
        <v/>
      </c>
      <c r="K299" s="287" t="str">
        <f t="shared" si="45"/>
        <v/>
      </c>
      <c r="L299" s="287" t="str">
        <f t="shared" si="46"/>
        <v/>
      </c>
      <c r="M299" s="290" t="str">
        <f t="shared" si="47"/>
        <v/>
      </c>
      <c r="N299" t="str">
        <f>IF($A299="","",IFERROR(INDEX(Prices[Category],MATCH($A299,Prices[Key],0)),"Uncategorized"))</f>
        <v/>
      </c>
      <c r="O299" s="291" t="str">
        <f t="shared" si="48"/>
        <v/>
      </c>
      <c r="P299" s="291" t="str">
        <f t="shared" si="49"/>
        <v/>
      </c>
    </row>
    <row r="300" spans="1:16" ht="15" customHeight="1" x14ac:dyDescent="0.2">
      <c r="A300" s="243" t="str">
        <f>IFERROR(INDEX('All Ticker P&amp;L'!$A$2:$A$1001,MATCH(ROWS($A$2:A300),'All Ticker P&amp;L'!$N$2:$N$1001,0)),"")</f>
        <v/>
      </c>
      <c r="B300" s="243" t="str">
        <f t="shared" si="41"/>
        <v/>
      </c>
      <c r="C300" s="243" t="str">
        <f t="shared" si="42"/>
        <v/>
      </c>
      <c r="D300" s="243" t="str">
        <f t="shared" si="43"/>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44"/>
        <v/>
      </c>
      <c r="K300" s="287" t="str">
        <f t="shared" si="45"/>
        <v/>
      </c>
      <c r="L300" s="287" t="str">
        <f t="shared" si="46"/>
        <v/>
      </c>
      <c r="M300" s="290" t="str">
        <f t="shared" si="47"/>
        <v/>
      </c>
      <c r="N300" t="str">
        <f>IF($A300="","",IFERROR(INDEX(Prices[Category],MATCH($A300,Prices[Key],0)),"Uncategorized"))</f>
        <v/>
      </c>
      <c r="O300" s="291" t="str">
        <f t="shared" si="48"/>
        <v/>
      </c>
      <c r="P300" s="291" t="str">
        <f t="shared" si="49"/>
        <v/>
      </c>
    </row>
    <row r="301" spans="1:16" ht="15" customHeight="1" x14ac:dyDescent="0.2">
      <c r="A301" s="243" t="str">
        <f>IFERROR(INDEX('All Ticker P&amp;L'!$A$2:$A$1001,MATCH(ROWS($A$2:A301),'All Ticker P&amp;L'!$N$2:$N$1001,0)),"")</f>
        <v/>
      </c>
      <c r="B301" s="243" t="str">
        <f t="shared" si="41"/>
        <v/>
      </c>
      <c r="C301" s="243" t="str">
        <f t="shared" si="42"/>
        <v/>
      </c>
      <c r="D301" s="243" t="str">
        <f t="shared" si="43"/>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44"/>
        <v/>
      </c>
      <c r="K301" s="287" t="str">
        <f t="shared" si="45"/>
        <v/>
      </c>
      <c r="L301" s="287" t="str">
        <f t="shared" si="46"/>
        <v/>
      </c>
      <c r="M301" s="290" t="str">
        <f t="shared" si="47"/>
        <v/>
      </c>
      <c r="N301" t="str">
        <f>IF($A301="","",IFERROR(INDEX(Prices[Category],MATCH($A301,Prices[Key],0)),"Uncategorized"))</f>
        <v/>
      </c>
      <c r="O301" s="291" t="str">
        <f t="shared" si="48"/>
        <v/>
      </c>
      <c r="P301" s="291" t="str">
        <f t="shared" si="49"/>
        <v/>
      </c>
    </row>
    <row r="302" spans="1:16" ht="15" customHeight="1" x14ac:dyDescent="0.2">
      <c r="A302" s="243" t="str">
        <f>IFERROR(INDEX('All Ticker P&amp;L'!$A$2:$A$1001,MATCH(ROWS($A$2:A302),'All Ticker P&amp;L'!$N$2:$N$1001,0)),"")</f>
        <v/>
      </c>
      <c r="B302" s="243" t="str">
        <f t="shared" si="41"/>
        <v/>
      </c>
      <c r="C302" s="243" t="str">
        <f t="shared" si="42"/>
        <v/>
      </c>
      <c r="D302" s="243" t="str">
        <f t="shared" si="43"/>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44"/>
        <v/>
      </c>
      <c r="K302" s="287" t="str">
        <f t="shared" si="45"/>
        <v/>
      </c>
      <c r="L302" s="287" t="str">
        <f t="shared" si="46"/>
        <v/>
      </c>
      <c r="M302" s="290" t="str">
        <f t="shared" si="47"/>
        <v/>
      </c>
      <c r="N302" t="str">
        <f>IF($A302="","",IFERROR(INDEX(Prices[Category],MATCH($A302,Prices[Key],0)),"Uncategorized"))</f>
        <v/>
      </c>
      <c r="O302" s="291" t="str">
        <f t="shared" si="48"/>
        <v/>
      </c>
      <c r="P302" s="291" t="str">
        <f t="shared" si="49"/>
        <v/>
      </c>
    </row>
    <row r="303" spans="1:16" ht="15" customHeight="1" x14ac:dyDescent="0.2">
      <c r="A303" s="243" t="str">
        <f>IFERROR(INDEX('All Ticker P&amp;L'!$A$2:$A$1001,MATCH(ROWS($A$2:A303),'All Ticker P&amp;L'!$N$2:$N$1001,0)),"")</f>
        <v/>
      </c>
      <c r="B303" s="243" t="str">
        <f t="shared" si="41"/>
        <v/>
      </c>
      <c r="C303" s="243" t="str">
        <f t="shared" si="42"/>
        <v/>
      </c>
      <c r="D303" s="243" t="str">
        <f t="shared" si="43"/>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44"/>
        <v/>
      </c>
      <c r="K303" s="287" t="str">
        <f t="shared" si="45"/>
        <v/>
      </c>
      <c r="L303" s="287" t="str">
        <f t="shared" si="46"/>
        <v/>
      </c>
      <c r="M303" s="290" t="str">
        <f t="shared" si="47"/>
        <v/>
      </c>
      <c r="N303" t="str">
        <f>IF($A303="","",IFERROR(INDEX(Prices[Category],MATCH($A303,Prices[Key],0)),"Uncategorized"))</f>
        <v/>
      </c>
      <c r="O303" s="291" t="str">
        <f t="shared" si="48"/>
        <v/>
      </c>
      <c r="P303" s="291" t="str">
        <f t="shared" si="49"/>
        <v/>
      </c>
    </row>
    <row r="304" spans="1:16" ht="15" customHeight="1" x14ac:dyDescent="0.2">
      <c r="A304" s="243" t="str">
        <f>IFERROR(INDEX('All Ticker P&amp;L'!$A$2:$A$1001,MATCH(ROWS($A$2:A304),'All Ticker P&amp;L'!$N$2:$N$1001,0)),"")</f>
        <v/>
      </c>
      <c r="B304" s="243" t="str">
        <f t="shared" si="41"/>
        <v/>
      </c>
      <c r="C304" s="243" t="str">
        <f t="shared" si="42"/>
        <v/>
      </c>
      <c r="D304" s="243" t="str">
        <f t="shared" si="43"/>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44"/>
        <v/>
      </c>
      <c r="K304" s="287" t="str">
        <f t="shared" si="45"/>
        <v/>
      </c>
      <c r="L304" s="287" t="str">
        <f t="shared" si="46"/>
        <v/>
      </c>
      <c r="M304" s="290" t="str">
        <f t="shared" si="47"/>
        <v/>
      </c>
      <c r="N304" t="str">
        <f>IF($A304="","",IFERROR(INDEX(Prices[Category],MATCH($A304,Prices[Key],0)),"Uncategorized"))</f>
        <v/>
      </c>
      <c r="O304" s="291" t="str">
        <f t="shared" si="48"/>
        <v/>
      </c>
      <c r="P304" s="291" t="str">
        <f t="shared" si="49"/>
        <v/>
      </c>
    </row>
    <row r="305" spans="1:16" ht="15" customHeight="1" x14ac:dyDescent="0.2">
      <c r="A305" s="243" t="str">
        <f>IFERROR(INDEX('All Ticker P&amp;L'!$A$2:$A$1001,MATCH(ROWS($A$2:A305),'All Ticker P&amp;L'!$N$2:$N$1001,0)),"")</f>
        <v/>
      </c>
      <c r="B305" s="243" t="str">
        <f t="shared" si="41"/>
        <v/>
      </c>
      <c r="C305" s="243" t="str">
        <f t="shared" si="42"/>
        <v/>
      </c>
      <c r="D305" s="243" t="str">
        <f t="shared" si="43"/>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44"/>
        <v/>
      </c>
      <c r="K305" s="287" t="str">
        <f t="shared" si="45"/>
        <v/>
      </c>
      <c r="L305" s="287" t="str">
        <f t="shared" si="46"/>
        <v/>
      </c>
      <c r="M305" s="290" t="str">
        <f t="shared" si="47"/>
        <v/>
      </c>
      <c r="N305" t="str">
        <f>IF($A305="","",IFERROR(INDEX(Prices[Category],MATCH($A305,Prices[Key],0)),"Uncategorized"))</f>
        <v/>
      </c>
      <c r="O305" s="291" t="str">
        <f t="shared" si="48"/>
        <v/>
      </c>
      <c r="P305" s="291" t="str">
        <f t="shared" si="49"/>
        <v/>
      </c>
    </row>
    <row r="306" spans="1:16" ht="15" customHeight="1" x14ac:dyDescent="0.2">
      <c r="A306" s="243" t="str">
        <f>IFERROR(INDEX('All Ticker P&amp;L'!$A$2:$A$1001,MATCH(ROWS($A$2:A306),'All Ticker P&amp;L'!$N$2:$N$1001,0)),"")</f>
        <v/>
      </c>
      <c r="B306" s="243" t="str">
        <f t="shared" si="41"/>
        <v/>
      </c>
      <c r="C306" s="243" t="str">
        <f t="shared" si="42"/>
        <v/>
      </c>
      <c r="D306" s="243" t="str">
        <f t="shared" si="43"/>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44"/>
        <v/>
      </c>
      <c r="K306" s="287" t="str">
        <f t="shared" si="45"/>
        <v/>
      </c>
      <c r="L306" s="287" t="str">
        <f t="shared" si="46"/>
        <v/>
      </c>
      <c r="M306" s="290" t="str">
        <f t="shared" si="47"/>
        <v/>
      </c>
      <c r="N306" t="str">
        <f>IF($A306="","",IFERROR(INDEX(Prices[Category],MATCH($A306,Prices[Key],0)),"Uncategorized"))</f>
        <v/>
      </c>
      <c r="O306" s="291" t="str">
        <f t="shared" si="48"/>
        <v/>
      </c>
      <c r="P306" s="291" t="str">
        <f t="shared" si="49"/>
        <v/>
      </c>
    </row>
    <row r="307" spans="1:16" ht="15" customHeight="1" x14ac:dyDescent="0.2">
      <c r="A307" s="243" t="str">
        <f>IFERROR(INDEX('All Ticker P&amp;L'!$A$2:$A$1001,MATCH(ROWS($A$2:A307),'All Ticker P&amp;L'!$N$2:$N$1001,0)),"")</f>
        <v/>
      </c>
      <c r="B307" s="243" t="str">
        <f t="shared" si="41"/>
        <v/>
      </c>
      <c r="C307" s="243" t="str">
        <f t="shared" si="42"/>
        <v/>
      </c>
      <c r="D307" s="243" t="str">
        <f t="shared" si="43"/>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44"/>
        <v/>
      </c>
      <c r="K307" s="287" t="str">
        <f t="shared" si="45"/>
        <v/>
      </c>
      <c r="L307" s="287" t="str">
        <f t="shared" si="46"/>
        <v/>
      </c>
      <c r="M307" s="290" t="str">
        <f t="shared" si="47"/>
        <v/>
      </c>
      <c r="N307" t="str">
        <f>IF($A307="","",IFERROR(INDEX(Prices[Category],MATCH($A307,Prices[Key],0)),"Uncategorized"))</f>
        <v/>
      </c>
      <c r="O307" s="291" t="str">
        <f t="shared" si="48"/>
        <v/>
      </c>
      <c r="P307" s="291" t="str">
        <f t="shared" si="49"/>
        <v/>
      </c>
    </row>
    <row r="308" spans="1:16" ht="15" customHeight="1" x14ac:dyDescent="0.2">
      <c r="A308" s="243" t="str">
        <f>IFERROR(INDEX('All Ticker P&amp;L'!$A$2:$A$1001,MATCH(ROWS($A$2:A308),'All Ticker P&amp;L'!$N$2:$N$1001,0)),"")</f>
        <v/>
      </c>
      <c r="B308" s="243" t="str">
        <f t="shared" si="41"/>
        <v/>
      </c>
      <c r="C308" s="243" t="str">
        <f t="shared" si="42"/>
        <v/>
      </c>
      <c r="D308" s="243" t="str">
        <f t="shared" si="43"/>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44"/>
        <v/>
      </c>
      <c r="K308" s="287" t="str">
        <f t="shared" si="45"/>
        <v/>
      </c>
      <c r="L308" s="287" t="str">
        <f t="shared" si="46"/>
        <v/>
      </c>
      <c r="M308" s="290" t="str">
        <f t="shared" si="47"/>
        <v/>
      </c>
      <c r="N308" t="str">
        <f>IF($A308="","",IFERROR(INDEX(Prices[Category],MATCH($A308,Prices[Key],0)),"Uncategorized"))</f>
        <v/>
      </c>
      <c r="O308" s="291" t="str">
        <f t="shared" si="48"/>
        <v/>
      </c>
      <c r="P308" s="291" t="str">
        <f t="shared" si="49"/>
        <v/>
      </c>
    </row>
    <row r="309" spans="1:16" ht="15" customHeight="1" x14ac:dyDescent="0.2">
      <c r="A309" s="243" t="str">
        <f>IFERROR(INDEX('All Ticker P&amp;L'!$A$2:$A$1001,MATCH(ROWS($A$2:A309),'All Ticker P&amp;L'!$N$2:$N$1001,0)),"")</f>
        <v/>
      </c>
      <c r="B309" s="243" t="str">
        <f t="shared" si="41"/>
        <v/>
      </c>
      <c r="C309" s="243" t="str">
        <f t="shared" si="42"/>
        <v/>
      </c>
      <c r="D309" s="243" t="str">
        <f t="shared" si="43"/>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44"/>
        <v/>
      </c>
      <c r="K309" s="287" t="str">
        <f t="shared" si="45"/>
        <v/>
      </c>
      <c r="L309" s="287" t="str">
        <f t="shared" si="46"/>
        <v/>
      </c>
      <c r="M309" s="290" t="str">
        <f t="shared" si="47"/>
        <v/>
      </c>
      <c r="N309" t="str">
        <f>IF($A309="","",IFERROR(INDEX(Prices[Category],MATCH($A309,Prices[Key],0)),"Uncategorized"))</f>
        <v/>
      </c>
      <c r="O309" s="291" t="str">
        <f t="shared" si="48"/>
        <v/>
      </c>
      <c r="P309" s="291" t="str">
        <f t="shared" si="49"/>
        <v/>
      </c>
    </row>
    <row r="310" spans="1:16" ht="15" customHeight="1" x14ac:dyDescent="0.2">
      <c r="A310" s="243" t="str">
        <f>IFERROR(INDEX('All Ticker P&amp;L'!$A$2:$A$1001,MATCH(ROWS($A$2:A310),'All Ticker P&amp;L'!$N$2:$N$1001,0)),"")</f>
        <v/>
      </c>
      <c r="B310" s="243" t="str">
        <f t="shared" si="41"/>
        <v/>
      </c>
      <c r="C310" s="243" t="str">
        <f t="shared" si="42"/>
        <v/>
      </c>
      <c r="D310" s="243" t="str">
        <f t="shared" si="43"/>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44"/>
        <v/>
      </c>
      <c r="K310" s="287" t="str">
        <f t="shared" si="45"/>
        <v/>
      </c>
      <c r="L310" s="287" t="str">
        <f t="shared" si="46"/>
        <v/>
      </c>
      <c r="M310" s="290" t="str">
        <f t="shared" si="47"/>
        <v/>
      </c>
      <c r="N310" t="str">
        <f>IF($A310="","",IFERROR(INDEX(Prices[Category],MATCH($A310,Prices[Key],0)),"Uncategorized"))</f>
        <v/>
      </c>
      <c r="O310" s="291" t="str">
        <f t="shared" si="48"/>
        <v/>
      </c>
      <c r="P310" s="291" t="str">
        <f t="shared" si="49"/>
        <v/>
      </c>
    </row>
    <row r="311" spans="1:16" ht="15" customHeight="1" x14ac:dyDescent="0.2">
      <c r="A311" s="243" t="str">
        <f>IFERROR(INDEX('All Ticker P&amp;L'!$A$2:$A$1001,MATCH(ROWS($A$2:A311),'All Ticker P&amp;L'!$N$2:$N$1001,0)),"")</f>
        <v/>
      </c>
      <c r="B311" s="243" t="str">
        <f t="shared" si="41"/>
        <v/>
      </c>
      <c r="C311" s="243" t="str">
        <f t="shared" si="42"/>
        <v/>
      </c>
      <c r="D311" s="243" t="str">
        <f t="shared" si="43"/>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44"/>
        <v/>
      </c>
      <c r="K311" s="287" t="str">
        <f t="shared" si="45"/>
        <v/>
      </c>
      <c r="L311" s="287" t="str">
        <f t="shared" si="46"/>
        <v/>
      </c>
      <c r="M311" s="290" t="str">
        <f t="shared" si="47"/>
        <v/>
      </c>
      <c r="N311" t="str">
        <f>IF($A311="","",IFERROR(INDEX(Prices[Category],MATCH($A311,Prices[Key],0)),"Uncategorized"))</f>
        <v/>
      </c>
      <c r="O311" s="291" t="str">
        <f t="shared" si="48"/>
        <v/>
      </c>
      <c r="P311" s="291" t="str">
        <f t="shared" si="49"/>
        <v/>
      </c>
    </row>
    <row r="312" spans="1:16" ht="15" customHeight="1" x14ac:dyDescent="0.2">
      <c r="A312" s="243" t="str">
        <f>IFERROR(INDEX('All Ticker P&amp;L'!$A$2:$A$1001,MATCH(ROWS($A$2:A312),'All Ticker P&amp;L'!$N$2:$N$1001,0)),"")</f>
        <v/>
      </c>
      <c r="B312" s="243" t="str">
        <f t="shared" si="41"/>
        <v/>
      </c>
      <c r="C312" s="243" t="str">
        <f t="shared" si="42"/>
        <v/>
      </c>
      <c r="D312" s="243" t="str">
        <f t="shared" si="43"/>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44"/>
        <v/>
      </c>
      <c r="K312" s="287" t="str">
        <f t="shared" si="45"/>
        <v/>
      </c>
      <c r="L312" s="287" t="str">
        <f t="shared" si="46"/>
        <v/>
      </c>
      <c r="M312" s="290" t="str">
        <f t="shared" si="47"/>
        <v/>
      </c>
      <c r="N312" t="str">
        <f>IF($A312="","",IFERROR(INDEX(Prices[Category],MATCH($A312,Prices[Key],0)),"Uncategorized"))</f>
        <v/>
      </c>
      <c r="O312" s="291" t="str">
        <f t="shared" si="48"/>
        <v/>
      </c>
      <c r="P312" s="291" t="str">
        <f t="shared" si="49"/>
        <v/>
      </c>
    </row>
    <row r="313" spans="1:16" ht="15" customHeight="1" x14ac:dyDescent="0.2">
      <c r="A313" s="243" t="str">
        <f>IFERROR(INDEX('All Ticker P&amp;L'!$A$2:$A$1001,MATCH(ROWS($A$2:A313),'All Ticker P&amp;L'!$N$2:$N$1001,0)),"")</f>
        <v/>
      </c>
      <c r="B313" s="243" t="str">
        <f t="shared" si="41"/>
        <v/>
      </c>
      <c r="C313" s="243" t="str">
        <f t="shared" si="42"/>
        <v/>
      </c>
      <c r="D313" s="243" t="str">
        <f t="shared" si="43"/>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44"/>
        <v/>
      </c>
      <c r="K313" s="287" t="str">
        <f t="shared" si="45"/>
        <v/>
      </c>
      <c r="L313" s="287" t="str">
        <f t="shared" si="46"/>
        <v/>
      </c>
      <c r="M313" s="290" t="str">
        <f t="shared" si="47"/>
        <v/>
      </c>
      <c r="N313" t="str">
        <f>IF($A313="","",IFERROR(INDEX(Prices[Category],MATCH($A313,Prices[Key],0)),"Uncategorized"))</f>
        <v/>
      </c>
      <c r="O313" s="291" t="str">
        <f t="shared" si="48"/>
        <v/>
      </c>
      <c r="P313" s="291" t="str">
        <f t="shared" si="49"/>
        <v/>
      </c>
    </row>
    <row r="314" spans="1:16" ht="15" customHeight="1" x14ac:dyDescent="0.2">
      <c r="A314" s="243" t="str">
        <f>IFERROR(INDEX('All Ticker P&amp;L'!$A$2:$A$1001,MATCH(ROWS($A$2:A314),'All Ticker P&amp;L'!$N$2:$N$1001,0)),"")</f>
        <v/>
      </c>
      <c r="B314" s="243" t="str">
        <f t="shared" si="41"/>
        <v/>
      </c>
      <c r="C314" s="243" t="str">
        <f t="shared" si="42"/>
        <v/>
      </c>
      <c r="D314" s="243" t="str">
        <f t="shared" si="43"/>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44"/>
        <v/>
      </c>
      <c r="K314" s="287" t="str">
        <f t="shared" si="45"/>
        <v/>
      </c>
      <c r="L314" s="287" t="str">
        <f t="shared" si="46"/>
        <v/>
      </c>
      <c r="M314" s="290" t="str">
        <f t="shared" si="47"/>
        <v/>
      </c>
      <c r="N314" t="str">
        <f>IF($A314="","",IFERROR(INDEX(Prices[Category],MATCH($A314,Prices[Key],0)),"Uncategorized"))</f>
        <v/>
      </c>
      <c r="O314" s="291" t="str">
        <f t="shared" si="48"/>
        <v/>
      </c>
      <c r="P314" s="291" t="str">
        <f t="shared" si="49"/>
        <v/>
      </c>
    </row>
    <row r="315" spans="1:16" ht="15" customHeight="1" x14ac:dyDescent="0.2">
      <c r="A315" s="243" t="str">
        <f>IFERROR(INDEX('All Ticker P&amp;L'!$A$2:$A$1001,MATCH(ROWS($A$2:A315),'All Ticker P&amp;L'!$N$2:$N$1001,0)),"")</f>
        <v/>
      </c>
      <c r="B315" s="243" t="str">
        <f t="shared" si="41"/>
        <v/>
      </c>
      <c r="C315" s="243" t="str">
        <f t="shared" si="42"/>
        <v/>
      </c>
      <c r="D315" s="243" t="str">
        <f t="shared" si="43"/>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44"/>
        <v/>
      </c>
      <c r="K315" s="287" t="str">
        <f t="shared" si="45"/>
        <v/>
      </c>
      <c r="L315" s="287" t="str">
        <f t="shared" si="46"/>
        <v/>
      </c>
      <c r="M315" s="290" t="str">
        <f t="shared" si="47"/>
        <v/>
      </c>
      <c r="N315" t="str">
        <f>IF($A315="","",IFERROR(INDEX(Prices[Category],MATCH($A315,Prices[Key],0)),"Uncategorized"))</f>
        <v/>
      </c>
      <c r="O315" s="291" t="str">
        <f t="shared" si="48"/>
        <v/>
      </c>
      <c r="P315" s="291" t="str">
        <f t="shared" si="49"/>
        <v/>
      </c>
    </row>
    <row r="316" spans="1:16" ht="15" customHeight="1" x14ac:dyDescent="0.2">
      <c r="A316" s="243" t="str">
        <f>IFERROR(INDEX('All Ticker P&amp;L'!$A$2:$A$1001,MATCH(ROWS($A$2:A316),'All Ticker P&amp;L'!$N$2:$N$1001,0)),"")</f>
        <v/>
      </c>
      <c r="B316" s="243" t="str">
        <f t="shared" si="41"/>
        <v/>
      </c>
      <c r="C316" s="243" t="str">
        <f t="shared" si="42"/>
        <v/>
      </c>
      <c r="D316" s="243" t="str">
        <f t="shared" si="43"/>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44"/>
        <v/>
      </c>
      <c r="K316" s="287" t="str">
        <f t="shared" si="45"/>
        <v/>
      </c>
      <c r="L316" s="287" t="str">
        <f t="shared" si="46"/>
        <v/>
      </c>
      <c r="M316" s="290" t="str">
        <f t="shared" si="47"/>
        <v/>
      </c>
      <c r="N316" t="str">
        <f>IF($A316="","",IFERROR(INDEX(Prices[Category],MATCH($A316,Prices[Key],0)),"Uncategorized"))</f>
        <v/>
      </c>
      <c r="O316" s="291" t="str">
        <f t="shared" si="48"/>
        <v/>
      </c>
      <c r="P316" s="291" t="str">
        <f t="shared" si="49"/>
        <v/>
      </c>
    </row>
    <row r="317" spans="1:16" ht="15" customHeight="1" x14ac:dyDescent="0.2">
      <c r="A317" s="243" t="str">
        <f>IFERROR(INDEX('All Ticker P&amp;L'!$A$2:$A$1001,MATCH(ROWS($A$2:A317),'All Ticker P&amp;L'!$N$2:$N$1001,0)),"")</f>
        <v/>
      </c>
      <c r="B317" s="243" t="str">
        <f t="shared" si="41"/>
        <v/>
      </c>
      <c r="C317" s="243" t="str">
        <f t="shared" si="42"/>
        <v/>
      </c>
      <c r="D317" s="243" t="str">
        <f t="shared" si="43"/>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44"/>
        <v/>
      </c>
      <c r="K317" s="287" t="str">
        <f t="shared" si="45"/>
        <v/>
      </c>
      <c r="L317" s="287" t="str">
        <f t="shared" si="46"/>
        <v/>
      </c>
      <c r="M317" s="290" t="str">
        <f t="shared" si="47"/>
        <v/>
      </c>
      <c r="N317" t="str">
        <f>IF($A317="","",IFERROR(INDEX(Prices[Category],MATCH($A317,Prices[Key],0)),"Uncategorized"))</f>
        <v/>
      </c>
      <c r="O317" s="291" t="str">
        <f t="shared" si="48"/>
        <v/>
      </c>
      <c r="P317" s="291" t="str">
        <f t="shared" si="49"/>
        <v/>
      </c>
    </row>
    <row r="318" spans="1:16" ht="15" customHeight="1" x14ac:dyDescent="0.2">
      <c r="A318" s="243" t="str">
        <f>IFERROR(INDEX('All Ticker P&amp;L'!$A$2:$A$1001,MATCH(ROWS($A$2:A318),'All Ticker P&amp;L'!$N$2:$N$1001,0)),"")</f>
        <v/>
      </c>
      <c r="B318" s="243" t="str">
        <f t="shared" si="41"/>
        <v/>
      </c>
      <c r="C318" s="243" t="str">
        <f t="shared" si="42"/>
        <v/>
      </c>
      <c r="D318" s="243" t="str">
        <f t="shared" si="43"/>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44"/>
        <v/>
      </c>
      <c r="K318" s="287" t="str">
        <f t="shared" si="45"/>
        <v/>
      </c>
      <c r="L318" s="287" t="str">
        <f t="shared" si="46"/>
        <v/>
      </c>
      <c r="M318" s="290" t="str">
        <f t="shared" si="47"/>
        <v/>
      </c>
      <c r="N318" t="str">
        <f>IF($A318="","",IFERROR(INDEX(Prices[Category],MATCH($A318,Prices[Key],0)),"Uncategorized"))</f>
        <v/>
      </c>
      <c r="O318" s="291" t="str">
        <f t="shared" si="48"/>
        <v/>
      </c>
      <c r="P318" s="291" t="str">
        <f t="shared" si="49"/>
        <v/>
      </c>
    </row>
    <row r="319" spans="1:16" ht="15" customHeight="1" x14ac:dyDescent="0.2">
      <c r="A319" s="243" t="str">
        <f>IFERROR(INDEX('All Ticker P&amp;L'!$A$2:$A$1001,MATCH(ROWS($A$2:A319),'All Ticker P&amp;L'!$N$2:$N$1001,0)),"")</f>
        <v/>
      </c>
      <c r="B319" s="243" t="str">
        <f t="shared" si="41"/>
        <v/>
      </c>
      <c r="C319" s="243" t="str">
        <f t="shared" si="42"/>
        <v/>
      </c>
      <c r="D319" s="243" t="str">
        <f t="shared" si="43"/>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44"/>
        <v/>
      </c>
      <c r="K319" s="287" t="str">
        <f t="shared" si="45"/>
        <v/>
      </c>
      <c r="L319" s="287" t="str">
        <f t="shared" si="46"/>
        <v/>
      </c>
      <c r="M319" s="290" t="str">
        <f t="shared" si="47"/>
        <v/>
      </c>
      <c r="N319" t="str">
        <f>IF($A319="","",IFERROR(INDEX(Prices[Category],MATCH($A319,Prices[Key],0)),"Uncategorized"))</f>
        <v/>
      </c>
      <c r="O319" s="291" t="str">
        <f t="shared" si="48"/>
        <v/>
      </c>
      <c r="P319" s="291" t="str">
        <f t="shared" si="49"/>
        <v/>
      </c>
    </row>
    <row r="320" spans="1:16" ht="15" customHeight="1" x14ac:dyDescent="0.2">
      <c r="A320" s="243" t="str">
        <f>IFERROR(INDEX('All Ticker P&amp;L'!$A$2:$A$1001,MATCH(ROWS($A$2:A320),'All Ticker P&amp;L'!$N$2:$N$1001,0)),"")</f>
        <v/>
      </c>
      <c r="B320" s="243" t="str">
        <f t="shared" si="41"/>
        <v/>
      </c>
      <c r="C320" s="243" t="str">
        <f t="shared" si="42"/>
        <v/>
      </c>
      <c r="D320" s="243" t="str">
        <f t="shared" si="43"/>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44"/>
        <v/>
      </c>
      <c r="K320" s="287" t="str">
        <f t="shared" si="45"/>
        <v/>
      </c>
      <c r="L320" s="287" t="str">
        <f t="shared" si="46"/>
        <v/>
      </c>
      <c r="M320" s="290" t="str">
        <f t="shared" si="47"/>
        <v/>
      </c>
      <c r="N320" t="str">
        <f>IF($A320="","",IFERROR(INDEX(Prices[Category],MATCH($A320,Prices[Key],0)),"Uncategorized"))</f>
        <v/>
      </c>
      <c r="O320" s="291" t="str">
        <f t="shared" si="48"/>
        <v/>
      </c>
      <c r="P320" s="291" t="str">
        <f t="shared" si="49"/>
        <v/>
      </c>
    </row>
    <row r="321" spans="1:16" ht="15" customHeight="1" x14ac:dyDescent="0.2">
      <c r="A321" s="243" t="str">
        <f>IFERROR(INDEX('All Ticker P&amp;L'!$A$2:$A$1001,MATCH(ROWS($A$2:A321),'All Ticker P&amp;L'!$N$2:$N$1001,0)),"")</f>
        <v/>
      </c>
      <c r="B321" s="243" t="str">
        <f t="shared" si="41"/>
        <v/>
      </c>
      <c r="C321" s="243" t="str">
        <f t="shared" si="42"/>
        <v/>
      </c>
      <c r="D321" s="243" t="str">
        <f t="shared" si="43"/>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44"/>
        <v/>
      </c>
      <c r="K321" s="287" t="str">
        <f t="shared" si="45"/>
        <v/>
      </c>
      <c r="L321" s="287" t="str">
        <f t="shared" si="46"/>
        <v/>
      </c>
      <c r="M321" s="290" t="str">
        <f t="shared" si="47"/>
        <v/>
      </c>
      <c r="N321" t="str">
        <f>IF($A321="","",IFERROR(INDEX(Prices[Category],MATCH($A321,Prices[Key],0)),"Uncategorized"))</f>
        <v/>
      </c>
      <c r="O321" s="291" t="str">
        <f t="shared" si="48"/>
        <v/>
      </c>
      <c r="P321" s="291" t="str">
        <f t="shared" si="49"/>
        <v/>
      </c>
    </row>
    <row r="322" spans="1:16" ht="15" customHeight="1" x14ac:dyDescent="0.2">
      <c r="A322" s="243" t="str">
        <f>IFERROR(INDEX('All Ticker P&amp;L'!$A$2:$A$1001,MATCH(ROWS($A$2:A322),'All Ticker P&amp;L'!$N$2:$N$1001,0)),"")</f>
        <v/>
      </c>
      <c r="B322" s="243" t="str">
        <f t="shared" ref="B322:B385" si="50">IF($A322="","",LEFT($A322,FIND(":",$A322)-1))</f>
        <v/>
      </c>
      <c r="C322" s="243" t="str">
        <f t="shared" ref="C322:C385" si="51">IF($A322="","",MID($A322,FIND(":",$A322)+1,FIND(":",$A322,FIND(":",$A322)+1)-FIND(":",$A322)-1))</f>
        <v/>
      </c>
      <c r="D322" s="243" t="str">
        <f t="shared" ref="D322:D385" si="52">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53">IF($A322="","",E322*H322)</f>
        <v/>
      </c>
      <c r="K322" s="287" t="str">
        <f t="shared" ref="K322:K385" si="54">IF($A322="","",J322+G322-F322)</f>
        <v/>
      </c>
      <c r="L322" s="287" t="str">
        <f t="shared" ref="L322:L385" si="55">IF($A322="","",K322*I322)</f>
        <v/>
      </c>
      <c r="M322" s="290" t="str">
        <f t="shared" ref="M322:M385" si="56">IF($A322="","",IFERROR(K322/F322,0))</f>
        <v/>
      </c>
      <c r="N322" t="str">
        <f>IF($A322="","",IFERROR(INDEX(Prices[Category],MATCH($A322,Prices[Key],0)),"Uncategorized"))</f>
        <v/>
      </c>
      <c r="O322" s="291" t="str">
        <f t="shared" ref="O322:O385" si="57">IF($A322="","",$J322*$I322)</f>
        <v/>
      </c>
      <c r="P322" s="291" t="str">
        <f t="shared" ref="P322:P385" si="58">IF($A322="","",$L322)</f>
        <v/>
      </c>
    </row>
    <row r="323" spans="1:16" ht="15" customHeight="1" x14ac:dyDescent="0.2">
      <c r="A323" s="243" t="str">
        <f>IFERROR(INDEX('All Ticker P&amp;L'!$A$2:$A$1001,MATCH(ROWS($A$2:A323),'All Ticker P&amp;L'!$N$2:$N$1001,0)),"")</f>
        <v/>
      </c>
      <c r="B323" s="243" t="str">
        <f t="shared" si="50"/>
        <v/>
      </c>
      <c r="C323" s="243" t="str">
        <f t="shared" si="51"/>
        <v/>
      </c>
      <c r="D323" s="243" t="str">
        <f t="shared" si="52"/>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53"/>
        <v/>
      </c>
      <c r="K323" s="287" t="str">
        <f t="shared" si="54"/>
        <v/>
      </c>
      <c r="L323" s="287" t="str">
        <f t="shared" si="55"/>
        <v/>
      </c>
      <c r="M323" s="290" t="str">
        <f t="shared" si="56"/>
        <v/>
      </c>
      <c r="N323" t="str">
        <f>IF($A323="","",IFERROR(INDEX(Prices[Category],MATCH($A323,Prices[Key],0)),"Uncategorized"))</f>
        <v/>
      </c>
      <c r="O323" s="291" t="str">
        <f t="shared" si="57"/>
        <v/>
      </c>
      <c r="P323" s="291" t="str">
        <f t="shared" si="58"/>
        <v/>
      </c>
    </row>
    <row r="324" spans="1:16" ht="15" customHeight="1" x14ac:dyDescent="0.2">
      <c r="A324" s="243" t="str">
        <f>IFERROR(INDEX('All Ticker P&amp;L'!$A$2:$A$1001,MATCH(ROWS($A$2:A324),'All Ticker P&amp;L'!$N$2:$N$1001,0)),"")</f>
        <v/>
      </c>
      <c r="B324" s="243" t="str">
        <f t="shared" si="50"/>
        <v/>
      </c>
      <c r="C324" s="243" t="str">
        <f t="shared" si="51"/>
        <v/>
      </c>
      <c r="D324" s="243" t="str">
        <f t="shared" si="52"/>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53"/>
        <v/>
      </c>
      <c r="K324" s="287" t="str">
        <f t="shared" si="54"/>
        <v/>
      </c>
      <c r="L324" s="287" t="str">
        <f t="shared" si="55"/>
        <v/>
      </c>
      <c r="M324" s="290" t="str">
        <f t="shared" si="56"/>
        <v/>
      </c>
      <c r="N324" t="str">
        <f>IF($A324="","",IFERROR(INDEX(Prices[Category],MATCH($A324,Prices[Key],0)),"Uncategorized"))</f>
        <v/>
      </c>
      <c r="O324" s="291" t="str">
        <f t="shared" si="57"/>
        <v/>
      </c>
      <c r="P324" s="291" t="str">
        <f t="shared" si="58"/>
        <v/>
      </c>
    </row>
    <row r="325" spans="1:16" ht="15" customHeight="1" x14ac:dyDescent="0.2">
      <c r="A325" s="243" t="str">
        <f>IFERROR(INDEX('All Ticker P&amp;L'!$A$2:$A$1001,MATCH(ROWS($A$2:A325),'All Ticker P&amp;L'!$N$2:$N$1001,0)),"")</f>
        <v/>
      </c>
      <c r="B325" s="243" t="str">
        <f t="shared" si="50"/>
        <v/>
      </c>
      <c r="C325" s="243" t="str">
        <f t="shared" si="51"/>
        <v/>
      </c>
      <c r="D325" s="243" t="str">
        <f t="shared" si="52"/>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53"/>
        <v/>
      </c>
      <c r="K325" s="287" t="str">
        <f t="shared" si="54"/>
        <v/>
      </c>
      <c r="L325" s="287" t="str">
        <f t="shared" si="55"/>
        <v/>
      </c>
      <c r="M325" s="290" t="str">
        <f t="shared" si="56"/>
        <v/>
      </c>
      <c r="N325" t="str">
        <f>IF($A325="","",IFERROR(INDEX(Prices[Category],MATCH($A325,Prices[Key],0)),"Uncategorized"))</f>
        <v/>
      </c>
      <c r="O325" s="291" t="str">
        <f t="shared" si="57"/>
        <v/>
      </c>
      <c r="P325" s="291" t="str">
        <f t="shared" si="58"/>
        <v/>
      </c>
    </row>
    <row r="326" spans="1:16" ht="15" customHeight="1" x14ac:dyDescent="0.2">
      <c r="A326" s="243" t="str">
        <f>IFERROR(INDEX('All Ticker P&amp;L'!$A$2:$A$1001,MATCH(ROWS($A$2:A326),'All Ticker P&amp;L'!$N$2:$N$1001,0)),"")</f>
        <v/>
      </c>
      <c r="B326" s="243" t="str">
        <f t="shared" si="50"/>
        <v/>
      </c>
      <c r="C326" s="243" t="str">
        <f t="shared" si="51"/>
        <v/>
      </c>
      <c r="D326" s="243" t="str">
        <f t="shared" si="52"/>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53"/>
        <v/>
      </c>
      <c r="K326" s="287" t="str">
        <f t="shared" si="54"/>
        <v/>
      </c>
      <c r="L326" s="287" t="str">
        <f t="shared" si="55"/>
        <v/>
      </c>
      <c r="M326" s="290" t="str">
        <f t="shared" si="56"/>
        <v/>
      </c>
      <c r="N326" t="str">
        <f>IF($A326="","",IFERROR(INDEX(Prices[Category],MATCH($A326,Prices[Key],0)),"Uncategorized"))</f>
        <v/>
      </c>
      <c r="O326" s="291" t="str">
        <f t="shared" si="57"/>
        <v/>
      </c>
      <c r="P326" s="291" t="str">
        <f t="shared" si="58"/>
        <v/>
      </c>
    </row>
    <row r="327" spans="1:16" ht="15" customHeight="1" x14ac:dyDescent="0.2">
      <c r="A327" s="243" t="str">
        <f>IFERROR(INDEX('All Ticker P&amp;L'!$A$2:$A$1001,MATCH(ROWS($A$2:A327),'All Ticker P&amp;L'!$N$2:$N$1001,0)),"")</f>
        <v/>
      </c>
      <c r="B327" s="243" t="str">
        <f t="shared" si="50"/>
        <v/>
      </c>
      <c r="C327" s="243" t="str">
        <f t="shared" si="51"/>
        <v/>
      </c>
      <c r="D327" s="243" t="str">
        <f t="shared" si="52"/>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53"/>
        <v/>
      </c>
      <c r="K327" s="287" t="str">
        <f t="shared" si="54"/>
        <v/>
      </c>
      <c r="L327" s="287" t="str">
        <f t="shared" si="55"/>
        <v/>
      </c>
      <c r="M327" s="290" t="str">
        <f t="shared" si="56"/>
        <v/>
      </c>
      <c r="N327" t="str">
        <f>IF($A327="","",IFERROR(INDEX(Prices[Category],MATCH($A327,Prices[Key],0)),"Uncategorized"))</f>
        <v/>
      </c>
      <c r="O327" s="291" t="str">
        <f t="shared" si="57"/>
        <v/>
      </c>
      <c r="P327" s="291" t="str">
        <f t="shared" si="58"/>
        <v/>
      </c>
    </row>
    <row r="328" spans="1:16" ht="15" customHeight="1" x14ac:dyDescent="0.2">
      <c r="A328" s="243" t="str">
        <f>IFERROR(INDEX('All Ticker P&amp;L'!$A$2:$A$1001,MATCH(ROWS($A$2:A328),'All Ticker P&amp;L'!$N$2:$N$1001,0)),"")</f>
        <v/>
      </c>
      <c r="B328" s="243" t="str">
        <f t="shared" si="50"/>
        <v/>
      </c>
      <c r="C328" s="243" t="str">
        <f t="shared" si="51"/>
        <v/>
      </c>
      <c r="D328" s="243" t="str">
        <f t="shared" si="52"/>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53"/>
        <v/>
      </c>
      <c r="K328" s="287" t="str">
        <f t="shared" si="54"/>
        <v/>
      </c>
      <c r="L328" s="287" t="str">
        <f t="shared" si="55"/>
        <v/>
      </c>
      <c r="M328" s="290" t="str">
        <f t="shared" si="56"/>
        <v/>
      </c>
      <c r="N328" t="str">
        <f>IF($A328="","",IFERROR(INDEX(Prices[Category],MATCH($A328,Prices[Key],0)),"Uncategorized"))</f>
        <v/>
      </c>
      <c r="O328" s="291" t="str">
        <f t="shared" si="57"/>
        <v/>
      </c>
      <c r="P328" s="291" t="str">
        <f t="shared" si="58"/>
        <v/>
      </c>
    </row>
    <row r="329" spans="1:16" ht="15" customHeight="1" x14ac:dyDescent="0.2">
      <c r="A329" s="243" t="str">
        <f>IFERROR(INDEX('All Ticker P&amp;L'!$A$2:$A$1001,MATCH(ROWS($A$2:A329),'All Ticker P&amp;L'!$N$2:$N$1001,0)),"")</f>
        <v/>
      </c>
      <c r="B329" s="243" t="str">
        <f t="shared" si="50"/>
        <v/>
      </c>
      <c r="C329" s="243" t="str">
        <f t="shared" si="51"/>
        <v/>
      </c>
      <c r="D329" s="243" t="str">
        <f t="shared" si="52"/>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53"/>
        <v/>
      </c>
      <c r="K329" s="287" t="str">
        <f t="shared" si="54"/>
        <v/>
      </c>
      <c r="L329" s="287" t="str">
        <f t="shared" si="55"/>
        <v/>
      </c>
      <c r="M329" s="290" t="str">
        <f t="shared" si="56"/>
        <v/>
      </c>
      <c r="N329" t="str">
        <f>IF($A329="","",IFERROR(INDEX(Prices[Category],MATCH($A329,Prices[Key],0)),"Uncategorized"))</f>
        <v/>
      </c>
      <c r="O329" s="291" t="str">
        <f t="shared" si="57"/>
        <v/>
      </c>
      <c r="P329" s="291" t="str">
        <f t="shared" si="58"/>
        <v/>
      </c>
    </row>
    <row r="330" spans="1:16" ht="15" customHeight="1" x14ac:dyDescent="0.2">
      <c r="A330" s="243" t="str">
        <f>IFERROR(INDEX('All Ticker P&amp;L'!$A$2:$A$1001,MATCH(ROWS($A$2:A330),'All Ticker P&amp;L'!$N$2:$N$1001,0)),"")</f>
        <v/>
      </c>
      <c r="B330" s="243" t="str">
        <f t="shared" si="50"/>
        <v/>
      </c>
      <c r="C330" s="243" t="str">
        <f t="shared" si="51"/>
        <v/>
      </c>
      <c r="D330" s="243" t="str">
        <f t="shared" si="52"/>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53"/>
        <v/>
      </c>
      <c r="K330" s="287" t="str">
        <f t="shared" si="54"/>
        <v/>
      </c>
      <c r="L330" s="287" t="str">
        <f t="shared" si="55"/>
        <v/>
      </c>
      <c r="M330" s="290" t="str">
        <f t="shared" si="56"/>
        <v/>
      </c>
      <c r="N330" t="str">
        <f>IF($A330="","",IFERROR(INDEX(Prices[Category],MATCH($A330,Prices[Key],0)),"Uncategorized"))</f>
        <v/>
      </c>
      <c r="O330" s="291" t="str">
        <f t="shared" si="57"/>
        <v/>
      </c>
      <c r="P330" s="291" t="str">
        <f t="shared" si="58"/>
        <v/>
      </c>
    </row>
    <row r="331" spans="1:16" ht="15" customHeight="1" x14ac:dyDescent="0.2">
      <c r="A331" s="243" t="str">
        <f>IFERROR(INDEX('All Ticker P&amp;L'!$A$2:$A$1001,MATCH(ROWS($A$2:A331),'All Ticker P&amp;L'!$N$2:$N$1001,0)),"")</f>
        <v/>
      </c>
      <c r="B331" s="243" t="str">
        <f t="shared" si="50"/>
        <v/>
      </c>
      <c r="C331" s="243" t="str">
        <f t="shared" si="51"/>
        <v/>
      </c>
      <c r="D331" s="243" t="str">
        <f t="shared" si="52"/>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53"/>
        <v/>
      </c>
      <c r="K331" s="287" t="str">
        <f t="shared" si="54"/>
        <v/>
      </c>
      <c r="L331" s="287" t="str">
        <f t="shared" si="55"/>
        <v/>
      </c>
      <c r="M331" s="290" t="str">
        <f t="shared" si="56"/>
        <v/>
      </c>
      <c r="N331" t="str">
        <f>IF($A331="","",IFERROR(INDEX(Prices[Category],MATCH($A331,Prices[Key],0)),"Uncategorized"))</f>
        <v/>
      </c>
      <c r="O331" s="291" t="str">
        <f t="shared" si="57"/>
        <v/>
      </c>
      <c r="P331" s="291" t="str">
        <f t="shared" si="58"/>
        <v/>
      </c>
    </row>
    <row r="332" spans="1:16" ht="15" customHeight="1" x14ac:dyDescent="0.2">
      <c r="A332" s="243" t="str">
        <f>IFERROR(INDEX('All Ticker P&amp;L'!$A$2:$A$1001,MATCH(ROWS($A$2:A332),'All Ticker P&amp;L'!$N$2:$N$1001,0)),"")</f>
        <v/>
      </c>
      <c r="B332" s="243" t="str">
        <f t="shared" si="50"/>
        <v/>
      </c>
      <c r="C332" s="243" t="str">
        <f t="shared" si="51"/>
        <v/>
      </c>
      <c r="D332" s="243" t="str">
        <f t="shared" si="52"/>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53"/>
        <v/>
      </c>
      <c r="K332" s="287" t="str">
        <f t="shared" si="54"/>
        <v/>
      </c>
      <c r="L332" s="287" t="str">
        <f t="shared" si="55"/>
        <v/>
      </c>
      <c r="M332" s="290" t="str">
        <f t="shared" si="56"/>
        <v/>
      </c>
      <c r="N332" t="str">
        <f>IF($A332="","",IFERROR(INDEX(Prices[Category],MATCH($A332,Prices[Key],0)),"Uncategorized"))</f>
        <v/>
      </c>
      <c r="O332" s="291" t="str">
        <f t="shared" si="57"/>
        <v/>
      </c>
      <c r="P332" s="291" t="str">
        <f t="shared" si="58"/>
        <v/>
      </c>
    </row>
    <row r="333" spans="1:16" ht="15" customHeight="1" x14ac:dyDescent="0.2">
      <c r="A333" s="243" t="str">
        <f>IFERROR(INDEX('All Ticker P&amp;L'!$A$2:$A$1001,MATCH(ROWS($A$2:A333),'All Ticker P&amp;L'!$N$2:$N$1001,0)),"")</f>
        <v/>
      </c>
      <c r="B333" s="243" t="str">
        <f t="shared" si="50"/>
        <v/>
      </c>
      <c r="C333" s="243" t="str">
        <f t="shared" si="51"/>
        <v/>
      </c>
      <c r="D333" s="243" t="str">
        <f t="shared" si="52"/>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53"/>
        <v/>
      </c>
      <c r="K333" s="287" t="str">
        <f t="shared" si="54"/>
        <v/>
      </c>
      <c r="L333" s="287" t="str">
        <f t="shared" si="55"/>
        <v/>
      </c>
      <c r="M333" s="290" t="str">
        <f t="shared" si="56"/>
        <v/>
      </c>
      <c r="N333" t="str">
        <f>IF($A333="","",IFERROR(INDEX(Prices[Category],MATCH($A333,Prices[Key],0)),"Uncategorized"))</f>
        <v/>
      </c>
      <c r="O333" s="291" t="str">
        <f t="shared" si="57"/>
        <v/>
      </c>
      <c r="P333" s="291" t="str">
        <f t="shared" si="58"/>
        <v/>
      </c>
    </row>
    <row r="334" spans="1:16" ht="15" customHeight="1" x14ac:dyDescent="0.2">
      <c r="A334" s="243" t="str">
        <f>IFERROR(INDEX('All Ticker P&amp;L'!$A$2:$A$1001,MATCH(ROWS($A$2:A334),'All Ticker P&amp;L'!$N$2:$N$1001,0)),"")</f>
        <v/>
      </c>
      <c r="B334" s="243" t="str">
        <f t="shared" si="50"/>
        <v/>
      </c>
      <c r="C334" s="243" t="str">
        <f t="shared" si="51"/>
        <v/>
      </c>
      <c r="D334" s="243" t="str">
        <f t="shared" si="52"/>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53"/>
        <v/>
      </c>
      <c r="K334" s="287" t="str">
        <f t="shared" si="54"/>
        <v/>
      </c>
      <c r="L334" s="287" t="str">
        <f t="shared" si="55"/>
        <v/>
      </c>
      <c r="M334" s="290" t="str">
        <f t="shared" si="56"/>
        <v/>
      </c>
      <c r="N334" t="str">
        <f>IF($A334="","",IFERROR(INDEX(Prices[Category],MATCH($A334,Prices[Key],0)),"Uncategorized"))</f>
        <v/>
      </c>
      <c r="O334" s="291" t="str">
        <f t="shared" si="57"/>
        <v/>
      </c>
      <c r="P334" s="291" t="str">
        <f t="shared" si="58"/>
        <v/>
      </c>
    </row>
    <row r="335" spans="1:16" ht="15" customHeight="1" x14ac:dyDescent="0.2">
      <c r="A335" s="243" t="str">
        <f>IFERROR(INDEX('All Ticker P&amp;L'!$A$2:$A$1001,MATCH(ROWS($A$2:A335),'All Ticker P&amp;L'!$N$2:$N$1001,0)),"")</f>
        <v/>
      </c>
      <c r="B335" s="243" t="str">
        <f t="shared" si="50"/>
        <v/>
      </c>
      <c r="C335" s="243" t="str">
        <f t="shared" si="51"/>
        <v/>
      </c>
      <c r="D335" s="243" t="str">
        <f t="shared" si="52"/>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53"/>
        <v/>
      </c>
      <c r="K335" s="287" t="str">
        <f t="shared" si="54"/>
        <v/>
      </c>
      <c r="L335" s="287" t="str">
        <f t="shared" si="55"/>
        <v/>
      </c>
      <c r="M335" s="290" t="str">
        <f t="shared" si="56"/>
        <v/>
      </c>
      <c r="N335" t="str">
        <f>IF($A335="","",IFERROR(INDEX(Prices[Category],MATCH($A335,Prices[Key],0)),"Uncategorized"))</f>
        <v/>
      </c>
      <c r="O335" s="291" t="str">
        <f t="shared" si="57"/>
        <v/>
      </c>
      <c r="P335" s="291" t="str">
        <f t="shared" si="58"/>
        <v/>
      </c>
    </row>
    <row r="336" spans="1:16" ht="15" customHeight="1" x14ac:dyDescent="0.2">
      <c r="A336" s="243" t="str">
        <f>IFERROR(INDEX('All Ticker P&amp;L'!$A$2:$A$1001,MATCH(ROWS($A$2:A336),'All Ticker P&amp;L'!$N$2:$N$1001,0)),"")</f>
        <v/>
      </c>
      <c r="B336" s="243" t="str">
        <f t="shared" si="50"/>
        <v/>
      </c>
      <c r="C336" s="243" t="str">
        <f t="shared" si="51"/>
        <v/>
      </c>
      <c r="D336" s="243" t="str">
        <f t="shared" si="52"/>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53"/>
        <v/>
      </c>
      <c r="K336" s="287" t="str">
        <f t="shared" si="54"/>
        <v/>
      </c>
      <c r="L336" s="287" t="str">
        <f t="shared" si="55"/>
        <v/>
      </c>
      <c r="M336" s="290" t="str">
        <f t="shared" si="56"/>
        <v/>
      </c>
      <c r="N336" t="str">
        <f>IF($A336="","",IFERROR(INDEX(Prices[Category],MATCH($A336,Prices[Key],0)),"Uncategorized"))</f>
        <v/>
      </c>
      <c r="O336" s="291" t="str">
        <f t="shared" si="57"/>
        <v/>
      </c>
      <c r="P336" s="291" t="str">
        <f t="shared" si="58"/>
        <v/>
      </c>
    </row>
    <row r="337" spans="1:16" ht="15" customHeight="1" x14ac:dyDescent="0.2">
      <c r="A337" s="243" t="str">
        <f>IFERROR(INDEX('All Ticker P&amp;L'!$A$2:$A$1001,MATCH(ROWS($A$2:A337),'All Ticker P&amp;L'!$N$2:$N$1001,0)),"")</f>
        <v/>
      </c>
      <c r="B337" s="243" t="str">
        <f t="shared" si="50"/>
        <v/>
      </c>
      <c r="C337" s="243" t="str">
        <f t="shared" si="51"/>
        <v/>
      </c>
      <c r="D337" s="243" t="str">
        <f t="shared" si="52"/>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53"/>
        <v/>
      </c>
      <c r="K337" s="287" t="str">
        <f t="shared" si="54"/>
        <v/>
      </c>
      <c r="L337" s="287" t="str">
        <f t="shared" si="55"/>
        <v/>
      </c>
      <c r="M337" s="290" t="str">
        <f t="shared" si="56"/>
        <v/>
      </c>
      <c r="N337" t="str">
        <f>IF($A337="","",IFERROR(INDEX(Prices[Category],MATCH($A337,Prices[Key],0)),"Uncategorized"))</f>
        <v/>
      </c>
      <c r="O337" s="291" t="str">
        <f t="shared" si="57"/>
        <v/>
      </c>
      <c r="P337" s="291" t="str">
        <f t="shared" si="58"/>
        <v/>
      </c>
    </row>
    <row r="338" spans="1:16" ht="15" customHeight="1" x14ac:dyDescent="0.2">
      <c r="A338" s="243" t="str">
        <f>IFERROR(INDEX('All Ticker P&amp;L'!$A$2:$A$1001,MATCH(ROWS($A$2:A338),'All Ticker P&amp;L'!$N$2:$N$1001,0)),"")</f>
        <v/>
      </c>
      <c r="B338" s="243" t="str">
        <f t="shared" si="50"/>
        <v/>
      </c>
      <c r="C338" s="243" t="str">
        <f t="shared" si="51"/>
        <v/>
      </c>
      <c r="D338" s="243" t="str">
        <f t="shared" si="52"/>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53"/>
        <v/>
      </c>
      <c r="K338" s="287" t="str">
        <f t="shared" si="54"/>
        <v/>
      </c>
      <c r="L338" s="287" t="str">
        <f t="shared" si="55"/>
        <v/>
      </c>
      <c r="M338" s="290" t="str">
        <f t="shared" si="56"/>
        <v/>
      </c>
      <c r="N338" t="str">
        <f>IF($A338="","",IFERROR(INDEX(Prices[Category],MATCH($A338,Prices[Key],0)),"Uncategorized"))</f>
        <v/>
      </c>
      <c r="O338" s="291" t="str">
        <f t="shared" si="57"/>
        <v/>
      </c>
      <c r="P338" s="291" t="str">
        <f t="shared" si="58"/>
        <v/>
      </c>
    </row>
    <row r="339" spans="1:16" ht="15" customHeight="1" x14ac:dyDescent="0.2">
      <c r="A339" s="243" t="str">
        <f>IFERROR(INDEX('All Ticker P&amp;L'!$A$2:$A$1001,MATCH(ROWS($A$2:A339),'All Ticker P&amp;L'!$N$2:$N$1001,0)),"")</f>
        <v/>
      </c>
      <c r="B339" s="243" t="str">
        <f t="shared" si="50"/>
        <v/>
      </c>
      <c r="C339" s="243" t="str">
        <f t="shared" si="51"/>
        <v/>
      </c>
      <c r="D339" s="243" t="str">
        <f t="shared" si="52"/>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53"/>
        <v/>
      </c>
      <c r="K339" s="287" t="str">
        <f t="shared" si="54"/>
        <v/>
      </c>
      <c r="L339" s="287" t="str">
        <f t="shared" si="55"/>
        <v/>
      </c>
      <c r="M339" s="290" t="str">
        <f t="shared" si="56"/>
        <v/>
      </c>
      <c r="N339" t="str">
        <f>IF($A339="","",IFERROR(INDEX(Prices[Category],MATCH($A339,Prices[Key],0)),"Uncategorized"))</f>
        <v/>
      </c>
      <c r="O339" s="291" t="str">
        <f t="shared" si="57"/>
        <v/>
      </c>
      <c r="P339" s="291" t="str">
        <f t="shared" si="58"/>
        <v/>
      </c>
    </row>
    <row r="340" spans="1:16" ht="15" customHeight="1" x14ac:dyDescent="0.2">
      <c r="A340" s="243" t="str">
        <f>IFERROR(INDEX('All Ticker P&amp;L'!$A$2:$A$1001,MATCH(ROWS($A$2:A340),'All Ticker P&amp;L'!$N$2:$N$1001,0)),"")</f>
        <v/>
      </c>
      <c r="B340" s="243" t="str">
        <f t="shared" si="50"/>
        <v/>
      </c>
      <c r="C340" s="243" t="str">
        <f t="shared" si="51"/>
        <v/>
      </c>
      <c r="D340" s="243" t="str">
        <f t="shared" si="52"/>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53"/>
        <v/>
      </c>
      <c r="K340" s="287" t="str">
        <f t="shared" si="54"/>
        <v/>
      </c>
      <c r="L340" s="287" t="str">
        <f t="shared" si="55"/>
        <v/>
      </c>
      <c r="M340" s="290" t="str">
        <f t="shared" si="56"/>
        <v/>
      </c>
      <c r="N340" t="str">
        <f>IF($A340="","",IFERROR(INDEX(Prices[Category],MATCH($A340,Prices[Key],0)),"Uncategorized"))</f>
        <v/>
      </c>
      <c r="O340" s="291" t="str">
        <f t="shared" si="57"/>
        <v/>
      </c>
      <c r="P340" s="291" t="str">
        <f t="shared" si="58"/>
        <v/>
      </c>
    </row>
    <row r="341" spans="1:16" ht="15" customHeight="1" x14ac:dyDescent="0.2">
      <c r="A341" s="243" t="str">
        <f>IFERROR(INDEX('All Ticker P&amp;L'!$A$2:$A$1001,MATCH(ROWS($A$2:A341),'All Ticker P&amp;L'!$N$2:$N$1001,0)),"")</f>
        <v/>
      </c>
      <c r="B341" s="243" t="str">
        <f t="shared" si="50"/>
        <v/>
      </c>
      <c r="C341" s="243" t="str">
        <f t="shared" si="51"/>
        <v/>
      </c>
      <c r="D341" s="243" t="str">
        <f t="shared" si="52"/>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53"/>
        <v/>
      </c>
      <c r="K341" s="287" t="str">
        <f t="shared" si="54"/>
        <v/>
      </c>
      <c r="L341" s="287" t="str">
        <f t="shared" si="55"/>
        <v/>
      </c>
      <c r="M341" s="290" t="str">
        <f t="shared" si="56"/>
        <v/>
      </c>
      <c r="N341" t="str">
        <f>IF($A341="","",IFERROR(INDEX(Prices[Category],MATCH($A341,Prices[Key],0)),"Uncategorized"))</f>
        <v/>
      </c>
      <c r="O341" s="291" t="str">
        <f t="shared" si="57"/>
        <v/>
      </c>
      <c r="P341" s="291" t="str">
        <f t="shared" si="58"/>
        <v/>
      </c>
    </row>
    <row r="342" spans="1:16" ht="15" customHeight="1" x14ac:dyDescent="0.2">
      <c r="A342" s="243" t="str">
        <f>IFERROR(INDEX('All Ticker P&amp;L'!$A$2:$A$1001,MATCH(ROWS($A$2:A342),'All Ticker P&amp;L'!$N$2:$N$1001,0)),"")</f>
        <v/>
      </c>
      <c r="B342" s="243" t="str">
        <f t="shared" si="50"/>
        <v/>
      </c>
      <c r="C342" s="243" t="str">
        <f t="shared" si="51"/>
        <v/>
      </c>
      <c r="D342" s="243" t="str">
        <f t="shared" si="52"/>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53"/>
        <v/>
      </c>
      <c r="K342" s="287" t="str">
        <f t="shared" si="54"/>
        <v/>
      </c>
      <c r="L342" s="287" t="str">
        <f t="shared" si="55"/>
        <v/>
      </c>
      <c r="M342" s="290" t="str">
        <f t="shared" si="56"/>
        <v/>
      </c>
      <c r="N342" t="str">
        <f>IF($A342="","",IFERROR(INDEX(Prices[Category],MATCH($A342,Prices[Key],0)),"Uncategorized"))</f>
        <v/>
      </c>
      <c r="O342" s="291" t="str">
        <f t="shared" si="57"/>
        <v/>
      </c>
      <c r="P342" s="291" t="str">
        <f t="shared" si="58"/>
        <v/>
      </c>
    </row>
    <row r="343" spans="1:16" ht="15" customHeight="1" x14ac:dyDescent="0.2">
      <c r="A343" s="243" t="str">
        <f>IFERROR(INDEX('All Ticker P&amp;L'!$A$2:$A$1001,MATCH(ROWS($A$2:A343),'All Ticker P&amp;L'!$N$2:$N$1001,0)),"")</f>
        <v/>
      </c>
      <c r="B343" s="243" t="str">
        <f t="shared" si="50"/>
        <v/>
      </c>
      <c r="C343" s="243" t="str">
        <f t="shared" si="51"/>
        <v/>
      </c>
      <c r="D343" s="243" t="str">
        <f t="shared" si="52"/>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53"/>
        <v/>
      </c>
      <c r="K343" s="287" t="str">
        <f t="shared" si="54"/>
        <v/>
      </c>
      <c r="L343" s="287" t="str">
        <f t="shared" si="55"/>
        <v/>
      </c>
      <c r="M343" s="290" t="str">
        <f t="shared" si="56"/>
        <v/>
      </c>
      <c r="N343" t="str">
        <f>IF($A343="","",IFERROR(INDEX(Prices[Category],MATCH($A343,Prices[Key],0)),"Uncategorized"))</f>
        <v/>
      </c>
      <c r="O343" s="291" t="str">
        <f t="shared" si="57"/>
        <v/>
      </c>
      <c r="P343" s="291" t="str">
        <f t="shared" si="58"/>
        <v/>
      </c>
    </row>
    <row r="344" spans="1:16" ht="15" customHeight="1" x14ac:dyDescent="0.2">
      <c r="A344" s="243" t="str">
        <f>IFERROR(INDEX('All Ticker P&amp;L'!$A$2:$A$1001,MATCH(ROWS($A$2:A344),'All Ticker P&amp;L'!$N$2:$N$1001,0)),"")</f>
        <v/>
      </c>
      <c r="B344" s="243" t="str">
        <f t="shared" si="50"/>
        <v/>
      </c>
      <c r="C344" s="243" t="str">
        <f t="shared" si="51"/>
        <v/>
      </c>
      <c r="D344" s="243" t="str">
        <f t="shared" si="52"/>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53"/>
        <v/>
      </c>
      <c r="K344" s="287" t="str">
        <f t="shared" si="54"/>
        <v/>
      </c>
      <c r="L344" s="287" t="str">
        <f t="shared" si="55"/>
        <v/>
      </c>
      <c r="M344" s="290" t="str">
        <f t="shared" si="56"/>
        <v/>
      </c>
      <c r="N344" t="str">
        <f>IF($A344="","",IFERROR(INDEX(Prices[Category],MATCH($A344,Prices[Key],0)),"Uncategorized"))</f>
        <v/>
      </c>
      <c r="O344" s="291" t="str">
        <f t="shared" si="57"/>
        <v/>
      </c>
      <c r="P344" s="291" t="str">
        <f t="shared" si="58"/>
        <v/>
      </c>
    </row>
    <row r="345" spans="1:16" ht="15" customHeight="1" x14ac:dyDescent="0.2">
      <c r="A345" s="243" t="str">
        <f>IFERROR(INDEX('All Ticker P&amp;L'!$A$2:$A$1001,MATCH(ROWS($A$2:A345),'All Ticker P&amp;L'!$N$2:$N$1001,0)),"")</f>
        <v/>
      </c>
      <c r="B345" s="243" t="str">
        <f t="shared" si="50"/>
        <v/>
      </c>
      <c r="C345" s="243" t="str">
        <f t="shared" si="51"/>
        <v/>
      </c>
      <c r="D345" s="243" t="str">
        <f t="shared" si="52"/>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53"/>
        <v/>
      </c>
      <c r="K345" s="287" t="str">
        <f t="shared" si="54"/>
        <v/>
      </c>
      <c r="L345" s="287" t="str">
        <f t="shared" si="55"/>
        <v/>
      </c>
      <c r="M345" s="290" t="str">
        <f t="shared" si="56"/>
        <v/>
      </c>
      <c r="N345" t="str">
        <f>IF($A345="","",IFERROR(INDEX(Prices[Category],MATCH($A345,Prices[Key],0)),"Uncategorized"))</f>
        <v/>
      </c>
      <c r="O345" s="291" t="str">
        <f t="shared" si="57"/>
        <v/>
      </c>
      <c r="P345" s="291" t="str">
        <f t="shared" si="58"/>
        <v/>
      </c>
    </row>
    <row r="346" spans="1:16" ht="15" customHeight="1" x14ac:dyDescent="0.2">
      <c r="A346" s="243" t="str">
        <f>IFERROR(INDEX('All Ticker P&amp;L'!$A$2:$A$1001,MATCH(ROWS($A$2:A346),'All Ticker P&amp;L'!$N$2:$N$1001,0)),"")</f>
        <v/>
      </c>
      <c r="B346" s="243" t="str">
        <f t="shared" si="50"/>
        <v/>
      </c>
      <c r="C346" s="243" t="str">
        <f t="shared" si="51"/>
        <v/>
      </c>
      <c r="D346" s="243" t="str">
        <f t="shared" si="52"/>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53"/>
        <v/>
      </c>
      <c r="K346" s="287" t="str">
        <f t="shared" si="54"/>
        <v/>
      </c>
      <c r="L346" s="287" t="str">
        <f t="shared" si="55"/>
        <v/>
      </c>
      <c r="M346" s="290" t="str">
        <f t="shared" si="56"/>
        <v/>
      </c>
      <c r="N346" t="str">
        <f>IF($A346="","",IFERROR(INDEX(Prices[Category],MATCH($A346,Prices[Key],0)),"Uncategorized"))</f>
        <v/>
      </c>
      <c r="O346" s="291" t="str">
        <f t="shared" si="57"/>
        <v/>
      </c>
      <c r="P346" s="291" t="str">
        <f t="shared" si="58"/>
        <v/>
      </c>
    </row>
    <row r="347" spans="1:16" ht="15" customHeight="1" x14ac:dyDescent="0.2">
      <c r="A347" s="243" t="str">
        <f>IFERROR(INDEX('All Ticker P&amp;L'!$A$2:$A$1001,MATCH(ROWS($A$2:A347),'All Ticker P&amp;L'!$N$2:$N$1001,0)),"")</f>
        <v/>
      </c>
      <c r="B347" s="243" t="str">
        <f t="shared" si="50"/>
        <v/>
      </c>
      <c r="C347" s="243" t="str">
        <f t="shared" si="51"/>
        <v/>
      </c>
      <c r="D347" s="243" t="str">
        <f t="shared" si="52"/>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53"/>
        <v/>
      </c>
      <c r="K347" s="287" t="str">
        <f t="shared" si="54"/>
        <v/>
      </c>
      <c r="L347" s="287" t="str">
        <f t="shared" si="55"/>
        <v/>
      </c>
      <c r="M347" s="290" t="str">
        <f t="shared" si="56"/>
        <v/>
      </c>
      <c r="N347" t="str">
        <f>IF($A347="","",IFERROR(INDEX(Prices[Category],MATCH($A347,Prices[Key],0)),"Uncategorized"))</f>
        <v/>
      </c>
      <c r="O347" s="291" t="str">
        <f t="shared" si="57"/>
        <v/>
      </c>
      <c r="P347" s="291" t="str">
        <f t="shared" si="58"/>
        <v/>
      </c>
    </row>
    <row r="348" spans="1:16" ht="15" customHeight="1" x14ac:dyDescent="0.2">
      <c r="A348" s="243" t="str">
        <f>IFERROR(INDEX('All Ticker P&amp;L'!$A$2:$A$1001,MATCH(ROWS($A$2:A348),'All Ticker P&amp;L'!$N$2:$N$1001,0)),"")</f>
        <v/>
      </c>
      <c r="B348" s="243" t="str">
        <f t="shared" si="50"/>
        <v/>
      </c>
      <c r="C348" s="243" t="str">
        <f t="shared" si="51"/>
        <v/>
      </c>
      <c r="D348" s="243" t="str">
        <f t="shared" si="52"/>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53"/>
        <v/>
      </c>
      <c r="K348" s="287" t="str">
        <f t="shared" si="54"/>
        <v/>
      </c>
      <c r="L348" s="287" t="str">
        <f t="shared" si="55"/>
        <v/>
      </c>
      <c r="M348" s="290" t="str">
        <f t="shared" si="56"/>
        <v/>
      </c>
      <c r="N348" t="str">
        <f>IF($A348="","",IFERROR(INDEX(Prices[Category],MATCH($A348,Prices[Key],0)),"Uncategorized"))</f>
        <v/>
      </c>
      <c r="O348" s="291" t="str">
        <f t="shared" si="57"/>
        <v/>
      </c>
      <c r="P348" s="291" t="str">
        <f t="shared" si="58"/>
        <v/>
      </c>
    </row>
    <row r="349" spans="1:16" ht="15" customHeight="1" x14ac:dyDescent="0.2">
      <c r="A349" s="243" t="str">
        <f>IFERROR(INDEX('All Ticker P&amp;L'!$A$2:$A$1001,MATCH(ROWS($A$2:A349),'All Ticker P&amp;L'!$N$2:$N$1001,0)),"")</f>
        <v/>
      </c>
      <c r="B349" s="243" t="str">
        <f t="shared" si="50"/>
        <v/>
      </c>
      <c r="C349" s="243" t="str">
        <f t="shared" si="51"/>
        <v/>
      </c>
      <c r="D349" s="243" t="str">
        <f t="shared" si="52"/>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53"/>
        <v/>
      </c>
      <c r="K349" s="287" t="str">
        <f t="shared" si="54"/>
        <v/>
      </c>
      <c r="L349" s="287" t="str">
        <f t="shared" si="55"/>
        <v/>
      </c>
      <c r="M349" s="290" t="str">
        <f t="shared" si="56"/>
        <v/>
      </c>
      <c r="N349" t="str">
        <f>IF($A349="","",IFERROR(INDEX(Prices[Category],MATCH($A349,Prices[Key],0)),"Uncategorized"))</f>
        <v/>
      </c>
      <c r="O349" s="291" t="str">
        <f t="shared" si="57"/>
        <v/>
      </c>
      <c r="P349" s="291" t="str">
        <f t="shared" si="58"/>
        <v/>
      </c>
    </row>
    <row r="350" spans="1:16" ht="15" customHeight="1" x14ac:dyDescent="0.2">
      <c r="A350" s="243" t="str">
        <f>IFERROR(INDEX('All Ticker P&amp;L'!$A$2:$A$1001,MATCH(ROWS($A$2:A350),'All Ticker P&amp;L'!$N$2:$N$1001,0)),"")</f>
        <v/>
      </c>
      <c r="B350" s="243" t="str">
        <f t="shared" si="50"/>
        <v/>
      </c>
      <c r="C350" s="243" t="str">
        <f t="shared" si="51"/>
        <v/>
      </c>
      <c r="D350" s="243" t="str">
        <f t="shared" si="52"/>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53"/>
        <v/>
      </c>
      <c r="K350" s="287" t="str">
        <f t="shared" si="54"/>
        <v/>
      </c>
      <c r="L350" s="287" t="str">
        <f t="shared" si="55"/>
        <v/>
      </c>
      <c r="M350" s="290" t="str">
        <f t="shared" si="56"/>
        <v/>
      </c>
      <c r="N350" t="str">
        <f>IF($A350="","",IFERROR(INDEX(Prices[Category],MATCH($A350,Prices[Key],0)),"Uncategorized"))</f>
        <v/>
      </c>
      <c r="O350" s="291" t="str">
        <f t="shared" si="57"/>
        <v/>
      </c>
      <c r="P350" s="291" t="str">
        <f t="shared" si="58"/>
        <v/>
      </c>
    </row>
    <row r="351" spans="1:16" ht="15" customHeight="1" x14ac:dyDescent="0.2">
      <c r="A351" s="243" t="str">
        <f>IFERROR(INDEX('All Ticker P&amp;L'!$A$2:$A$1001,MATCH(ROWS($A$2:A351),'All Ticker P&amp;L'!$N$2:$N$1001,0)),"")</f>
        <v/>
      </c>
      <c r="B351" s="243" t="str">
        <f t="shared" si="50"/>
        <v/>
      </c>
      <c r="C351" s="243" t="str">
        <f t="shared" si="51"/>
        <v/>
      </c>
      <c r="D351" s="243" t="str">
        <f t="shared" si="52"/>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53"/>
        <v/>
      </c>
      <c r="K351" s="287" t="str">
        <f t="shared" si="54"/>
        <v/>
      </c>
      <c r="L351" s="287" t="str">
        <f t="shared" si="55"/>
        <v/>
      </c>
      <c r="M351" s="290" t="str">
        <f t="shared" si="56"/>
        <v/>
      </c>
      <c r="N351" t="str">
        <f>IF($A351="","",IFERROR(INDEX(Prices[Category],MATCH($A351,Prices[Key],0)),"Uncategorized"))</f>
        <v/>
      </c>
      <c r="O351" s="291" t="str">
        <f t="shared" si="57"/>
        <v/>
      </c>
      <c r="P351" s="291" t="str">
        <f t="shared" si="58"/>
        <v/>
      </c>
    </row>
    <row r="352" spans="1:16" ht="15" customHeight="1" x14ac:dyDescent="0.2">
      <c r="A352" s="243" t="str">
        <f>IFERROR(INDEX('All Ticker P&amp;L'!$A$2:$A$1001,MATCH(ROWS($A$2:A352),'All Ticker P&amp;L'!$N$2:$N$1001,0)),"")</f>
        <v/>
      </c>
      <c r="B352" s="243" t="str">
        <f t="shared" si="50"/>
        <v/>
      </c>
      <c r="C352" s="243" t="str">
        <f t="shared" si="51"/>
        <v/>
      </c>
      <c r="D352" s="243" t="str">
        <f t="shared" si="52"/>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53"/>
        <v/>
      </c>
      <c r="K352" s="287" t="str">
        <f t="shared" si="54"/>
        <v/>
      </c>
      <c r="L352" s="287" t="str">
        <f t="shared" si="55"/>
        <v/>
      </c>
      <c r="M352" s="290" t="str">
        <f t="shared" si="56"/>
        <v/>
      </c>
      <c r="N352" t="str">
        <f>IF($A352="","",IFERROR(INDEX(Prices[Category],MATCH($A352,Prices[Key],0)),"Uncategorized"))</f>
        <v/>
      </c>
      <c r="O352" s="291" t="str">
        <f t="shared" si="57"/>
        <v/>
      </c>
      <c r="P352" s="291" t="str">
        <f t="shared" si="58"/>
        <v/>
      </c>
    </row>
    <row r="353" spans="1:16" ht="15" customHeight="1" x14ac:dyDescent="0.2">
      <c r="A353" s="243" t="str">
        <f>IFERROR(INDEX('All Ticker P&amp;L'!$A$2:$A$1001,MATCH(ROWS($A$2:A353),'All Ticker P&amp;L'!$N$2:$N$1001,0)),"")</f>
        <v/>
      </c>
      <c r="B353" s="243" t="str">
        <f t="shared" si="50"/>
        <v/>
      </c>
      <c r="C353" s="243" t="str">
        <f t="shared" si="51"/>
        <v/>
      </c>
      <c r="D353" s="243" t="str">
        <f t="shared" si="52"/>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53"/>
        <v/>
      </c>
      <c r="K353" s="287" t="str">
        <f t="shared" si="54"/>
        <v/>
      </c>
      <c r="L353" s="287" t="str">
        <f t="shared" si="55"/>
        <v/>
      </c>
      <c r="M353" s="290" t="str">
        <f t="shared" si="56"/>
        <v/>
      </c>
      <c r="N353" t="str">
        <f>IF($A353="","",IFERROR(INDEX(Prices[Category],MATCH($A353,Prices[Key],0)),"Uncategorized"))</f>
        <v/>
      </c>
      <c r="O353" s="291" t="str">
        <f t="shared" si="57"/>
        <v/>
      </c>
      <c r="P353" s="291" t="str">
        <f t="shared" si="58"/>
        <v/>
      </c>
    </row>
    <row r="354" spans="1:16" ht="15" customHeight="1" x14ac:dyDescent="0.2">
      <c r="A354" s="243" t="str">
        <f>IFERROR(INDEX('All Ticker P&amp;L'!$A$2:$A$1001,MATCH(ROWS($A$2:A354),'All Ticker P&amp;L'!$N$2:$N$1001,0)),"")</f>
        <v/>
      </c>
      <c r="B354" s="243" t="str">
        <f t="shared" si="50"/>
        <v/>
      </c>
      <c r="C354" s="243" t="str">
        <f t="shared" si="51"/>
        <v/>
      </c>
      <c r="D354" s="243" t="str">
        <f t="shared" si="52"/>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53"/>
        <v/>
      </c>
      <c r="K354" s="287" t="str">
        <f t="shared" si="54"/>
        <v/>
      </c>
      <c r="L354" s="287" t="str">
        <f t="shared" si="55"/>
        <v/>
      </c>
      <c r="M354" s="290" t="str">
        <f t="shared" si="56"/>
        <v/>
      </c>
      <c r="N354" t="str">
        <f>IF($A354="","",IFERROR(INDEX(Prices[Category],MATCH($A354,Prices[Key],0)),"Uncategorized"))</f>
        <v/>
      </c>
      <c r="O354" s="291" t="str">
        <f t="shared" si="57"/>
        <v/>
      </c>
      <c r="P354" s="291" t="str">
        <f t="shared" si="58"/>
        <v/>
      </c>
    </row>
    <row r="355" spans="1:16" ht="15" customHeight="1" x14ac:dyDescent="0.2">
      <c r="A355" s="243" t="str">
        <f>IFERROR(INDEX('All Ticker P&amp;L'!$A$2:$A$1001,MATCH(ROWS($A$2:A355),'All Ticker P&amp;L'!$N$2:$N$1001,0)),"")</f>
        <v/>
      </c>
      <c r="B355" s="243" t="str">
        <f t="shared" si="50"/>
        <v/>
      </c>
      <c r="C355" s="243" t="str">
        <f t="shared" si="51"/>
        <v/>
      </c>
      <c r="D355" s="243" t="str">
        <f t="shared" si="52"/>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53"/>
        <v/>
      </c>
      <c r="K355" s="287" t="str">
        <f t="shared" si="54"/>
        <v/>
      </c>
      <c r="L355" s="287" t="str">
        <f t="shared" si="55"/>
        <v/>
      </c>
      <c r="M355" s="290" t="str">
        <f t="shared" si="56"/>
        <v/>
      </c>
      <c r="N355" t="str">
        <f>IF($A355="","",IFERROR(INDEX(Prices[Category],MATCH($A355,Prices[Key],0)),"Uncategorized"))</f>
        <v/>
      </c>
      <c r="O355" s="291" t="str">
        <f t="shared" si="57"/>
        <v/>
      </c>
      <c r="P355" s="291" t="str">
        <f t="shared" si="58"/>
        <v/>
      </c>
    </row>
    <row r="356" spans="1:16" ht="15" customHeight="1" x14ac:dyDescent="0.2">
      <c r="A356" s="243" t="str">
        <f>IFERROR(INDEX('All Ticker P&amp;L'!$A$2:$A$1001,MATCH(ROWS($A$2:A356),'All Ticker P&amp;L'!$N$2:$N$1001,0)),"")</f>
        <v/>
      </c>
      <c r="B356" s="243" t="str">
        <f t="shared" si="50"/>
        <v/>
      </c>
      <c r="C356" s="243" t="str">
        <f t="shared" si="51"/>
        <v/>
      </c>
      <c r="D356" s="243" t="str">
        <f t="shared" si="52"/>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53"/>
        <v/>
      </c>
      <c r="K356" s="287" t="str">
        <f t="shared" si="54"/>
        <v/>
      </c>
      <c r="L356" s="287" t="str">
        <f t="shared" si="55"/>
        <v/>
      </c>
      <c r="M356" s="290" t="str">
        <f t="shared" si="56"/>
        <v/>
      </c>
      <c r="N356" t="str">
        <f>IF($A356="","",IFERROR(INDEX(Prices[Category],MATCH($A356,Prices[Key],0)),"Uncategorized"))</f>
        <v/>
      </c>
      <c r="O356" s="291" t="str">
        <f t="shared" si="57"/>
        <v/>
      </c>
      <c r="P356" s="291" t="str">
        <f t="shared" si="58"/>
        <v/>
      </c>
    </row>
    <row r="357" spans="1:16" ht="15" customHeight="1" x14ac:dyDescent="0.2">
      <c r="A357" s="243" t="str">
        <f>IFERROR(INDEX('All Ticker P&amp;L'!$A$2:$A$1001,MATCH(ROWS($A$2:A357),'All Ticker P&amp;L'!$N$2:$N$1001,0)),"")</f>
        <v/>
      </c>
      <c r="B357" s="243" t="str">
        <f t="shared" si="50"/>
        <v/>
      </c>
      <c r="C357" s="243" t="str">
        <f t="shared" si="51"/>
        <v/>
      </c>
      <c r="D357" s="243" t="str">
        <f t="shared" si="52"/>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53"/>
        <v/>
      </c>
      <c r="K357" s="287" t="str">
        <f t="shared" si="54"/>
        <v/>
      </c>
      <c r="L357" s="287" t="str">
        <f t="shared" si="55"/>
        <v/>
      </c>
      <c r="M357" s="290" t="str">
        <f t="shared" si="56"/>
        <v/>
      </c>
      <c r="N357" t="str">
        <f>IF($A357="","",IFERROR(INDEX(Prices[Category],MATCH($A357,Prices[Key],0)),"Uncategorized"))</f>
        <v/>
      </c>
      <c r="O357" s="291" t="str">
        <f t="shared" si="57"/>
        <v/>
      </c>
      <c r="P357" s="291" t="str">
        <f t="shared" si="58"/>
        <v/>
      </c>
    </row>
    <row r="358" spans="1:16" ht="15" customHeight="1" x14ac:dyDescent="0.2">
      <c r="A358" s="243" t="str">
        <f>IFERROR(INDEX('All Ticker P&amp;L'!$A$2:$A$1001,MATCH(ROWS($A$2:A358),'All Ticker P&amp;L'!$N$2:$N$1001,0)),"")</f>
        <v/>
      </c>
      <c r="B358" s="243" t="str">
        <f t="shared" si="50"/>
        <v/>
      </c>
      <c r="C358" s="243" t="str">
        <f t="shared" si="51"/>
        <v/>
      </c>
      <c r="D358" s="243" t="str">
        <f t="shared" si="52"/>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53"/>
        <v/>
      </c>
      <c r="K358" s="287" t="str">
        <f t="shared" si="54"/>
        <v/>
      </c>
      <c r="L358" s="287" t="str">
        <f t="shared" si="55"/>
        <v/>
      </c>
      <c r="M358" s="290" t="str">
        <f t="shared" si="56"/>
        <v/>
      </c>
      <c r="N358" t="str">
        <f>IF($A358="","",IFERROR(INDEX(Prices[Category],MATCH($A358,Prices[Key],0)),"Uncategorized"))</f>
        <v/>
      </c>
      <c r="O358" s="291" t="str">
        <f t="shared" si="57"/>
        <v/>
      </c>
      <c r="P358" s="291" t="str">
        <f t="shared" si="58"/>
        <v/>
      </c>
    </row>
    <row r="359" spans="1:16" ht="15" customHeight="1" x14ac:dyDescent="0.2">
      <c r="A359" s="243" t="str">
        <f>IFERROR(INDEX('All Ticker P&amp;L'!$A$2:$A$1001,MATCH(ROWS($A$2:A359),'All Ticker P&amp;L'!$N$2:$N$1001,0)),"")</f>
        <v/>
      </c>
      <c r="B359" s="243" t="str">
        <f t="shared" si="50"/>
        <v/>
      </c>
      <c r="C359" s="243" t="str">
        <f t="shared" si="51"/>
        <v/>
      </c>
      <c r="D359" s="243" t="str">
        <f t="shared" si="52"/>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53"/>
        <v/>
      </c>
      <c r="K359" s="287" t="str">
        <f t="shared" si="54"/>
        <v/>
      </c>
      <c r="L359" s="287" t="str">
        <f t="shared" si="55"/>
        <v/>
      </c>
      <c r="M359" s="290" t="str">
        <f t="shared" si="56"/>
        <v/>
      </c>
      <c r="N359" t="str">
        <f>IF($A359="","",IFERROR(INDEX(Prices[Category],MATCH($A359,Prices[Key],0)),"Uncategorized"))</f>
        <v/>
      </c>
      <c r="O359" s="291" t="str">
        <f t="shared" si="57"/>
        <v/>
      </c>
      <c r="P359" s="291" t="str">
        <f t="shared" si="58"/>
        <v/>
      </c>
    </row>
    <row r="360" spans="1:16" ht="15" customHeight="1" x14ac:dyDescent="0.2">
      <c r="A360" s="243" t="str">
        <f>IFERROR(INDEX('All Ticker P&amp;L'!$A$2:$A$1001,MATCH(ROWS($A$2:A360),'All Ticker P&amp;L'!$N$2:$N$1001,0)),"")</f>
        <v/>
      </c>
      <c r="B360" s="243" t="str">
        <f t="shared" si="50"/>
        <v/>
      </c>
      <c r="C360" s="243" t="str">
        <f t="shared" si="51"/>
        <v/>
      </c>
      <c r="D360" s="243" t="str">
        <f t="shared" si="52"/>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53"/>
        <v/>
      </c>
      <c r="K360" s="287" t="str">
        <f t="shared" si="54"/>
        <v/>
      </c>
      <c r="L360" s="287" t="str">
        <f t="shared" si="55"/>
        <v/>
      </c>
      <c r="M360" s="290" t="str">
        <f t="shared" si="56"/>
        <v/>
      </c>
      <c r="N360" t="str">
        <f>IF($A360="","",IFERROR(INDEX(Prices[Category],MATCH($A360,Prices[Key],0)),"Uncategorized"))</f>
        <v/>
      </c>
      <c r="O360" s="291" t="str">
        <f t="shared" si="57"/>
        <v/>
      </c>
      <c r="P360" s="291" t="str">
        <f t="shared" si="58"/>
        <v/>
      </c>
    </row>
    <row r="361" spans="1:16" ht="15" customHeight="1" x14ac:dyDescent="0.2">
      <c r="A361" s="243" t="str">
        <f>IFERROR(INDEX('All Ticker P&amp;L'!$A$2:$A$1001,MATCH(ROWS($A$2:A361),'All Ticker P&amp;L'!$N$2:$N$1001,0)),"")</f>
        <v/>
      </c>
      <c r="B361" s="243" t="str">
        <f t="shared" si="50"/>
        <v/>
      </c>
      <c r="C361" s="243" t="str">
        <f t="shared" si="51"/>
        <v/>
      </c>
      <c r="D361" s="243" t="str">
        <f t="shared" si="52"/>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53"/>
        <v/>
      </c>
      <c r="K361" s="287" t="str">
        <f t="shared" si="54"/>
        <v/>
      </c>
      <c r="L361" s="287" t="str">
        <f t="shared" si="55"/>
        <v/>
      </c>
      <c r="M361" s="290" t="str">
        <f t="shared" si="56"/>
        <v/>
      </c>
      <c r="N361" t="str">
        <f>IF($A361="","",IFERROR(INDEX(Prices[Category],MATCH($A361,Prices[Key],0)),"Uncategorized"))</f>
        <v/>
      </c>
      <c r="O361" s="291" t="str">
        <f t="shared" si="57"/>
        <v/>
      </c>
      <c r="P361" s="291" t="str">
        <f t="shared" si="58"/>
        <v/>
      </c>
    </row>
    <row r="362" spans="1:16" ht="15" customHeight="1" x14ac:dyDescent="0.2">
      <c r="A362" s="243" t="str">
        <f>IFERROR(INDEX('All Ticker P&amp;L'!$A$2:$A$1001,MATCH(ROWS($A$2:A362),'All Ticker P&amp;L'!$N$2:$N$1001,0)),"")</f>
        <v/>
      </c>
      <c r="B362" s="243" t="str">
        <f t="shared" si="50"/>
        <v/>
      </c>
      <c r="C362" s="243" t="str">
        <f t="shared" si="51"/>
        <v/>
      </c>
      <c r="D362" s="243" t="str">
        <f t="shared" si="52"/>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53"/>
        <v/>
      </c>
      <c r="K362" s="287" t="str">
        <f t="shared" si="54"/>
        <v/>
      </c>
      <c r="L362" s="287" t="str">
        <f t="shared" si="55"/>
        <v/>
      </c>
      <c r="M362" s="290" t="str">
        <f t="shared" si="56"/>
        <v/>
      </c>
      <c r="N362" t="str">
        <f>IF($A362="","",IFERROR(INDEX(Prices[Category],MATCH($A362,Prices[Key],0)),"Uncategorized"))</f>
        <v/>
      </c>
      <c r="O362" s="291" t="str">
        <f t="shared" si="57"/>
        <v/>
      </c>
      <c r="P362" s="291" t="str">
        <f t="shared" si="58"/>
        <v/>
      </c>
    </row>
    <row r="363" spans="1:16" ht="15" customHeight="1" x14ac:dyDescent="0.2">
      <c r="A363" s="243" t="str">
        <f>IFERROR(INDEX('All Ticker P&amp;L'!$A$2:$A$1001,MATCH(ROWS($A$2:A363),'All Ticker P&amp;L'!$N$2:$N$1001,0)),"")</f>
        <v/>
      </c>
      <c r="B363" s="243" t="str">
        <f t="shared" si="50"/>
        <v/>
      </c>
      <c r="C363" s="243" t="str">
        <f t="shared" si="51"/>
        <v/>
      </c>
      <c r="D363" s="243" t="str">
        <f t="shared" si="52"/>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53"/>
        <v/>
      </c>
      <c r="K363" s="287" t="str">
        <f t="shared" si="54"/>
        <v/>
      </c>
      <c r="L363" s="287" t="str">
        <f t="shared" si="55"/>
        <v/>
      </c>
      <c r="M363" s="290" t="str">
        <f t="shared" si="56"/>
        <v/>
      </c>
      <c r="N363" t="str">
        <f>IF($A363="","",IFERROR(INDEX(Prices[Category],MATCH($A363,Prices[Key],0)),"Uncategorized"))</f>
        <v/>
      </c>
      <c r="O363" s="291" t="str">
        <f t="shared" si="57"/>
        <v/>
      </c>
      <c r="P363" s="291" t="str">
        <f t="shared" si="58"/>
        <v/>
      </c>
    </row>
    <row r="364" spans="1:16" ht="15" customHeight="1" x14ac:dyDescent="0.2">
      <c r="A364" s="243" t="str">
        <f>IFERROR(INDEX('All Ticker P&amp;L'!$A$2:$A$1001,MATCH(ROWS($A$2:A364),'All Ticker P&amp;L'!$N$2:$N$1001,0)),"")</f>
        <v/>
      </c>
      <c r="B364" s="243" t="str">
        <f t="shared" si="50"/>
        <v/>
      </c>
      <c r="C364" s="243" t="str">
        <f t="shared" si="51"/>
        <v/>
      </c>
      <c r="D364" s="243" t="str">
        <f t="shared" si="52"/>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53"/>
        <v/>
      </c>
      <c r="K364" s="287" t="str">
        <f t="shared" si="54"/>
        <v/>
      </c>
      <c r="L364" s="287" t="str">
        <f t="shared" si="55"/>
        <v/>
      </c>
      <c r="M364" s="290" t="str">
        <f t="shared" si="56"/>
        <v/>
      </c>
      <c r="N364" t="str">
        <f>IF($A364="","",IFERROR(INDEX(Prices[Category],MATCH($A364,Prices[Key],0)),"Uncategorized"))</f>
        <v/>
      </c>
      <c r="O364" s="291" t="str">
        <f t="shared" si="57"/>
        <v/>
      </c>
      <c r="P364" s="291" t="str">
        <f t="shared" si="58"/>
        <v/>
      </c>
    </row>
    <row r="365" spans="1:16" ht="15" customHeight="1" x14ac:dyDescent="0.2">
      <c r="A365" s="243" t="str">
        <f>IFERROR(INDEX('All Ticker P&amp;L'!$A$2:$A$1001,MATCH(ROWS($A$2:A365),'All Ticker P&amp;L'!$N$2:$N$1001,0)),"")</f>
        <v/>
      </c>
      <c r="B365" s="243" t="str">
        <f t="shared" si="50"/>
        <v/>
      </c>
      <c r="C365" s="243" t="str">
        <f t="shared" si="51"/>
        <v/>
      </c>
      <c r="D365" s="243" t="str">
        <f t="shared" si="52"/>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53"/>
        <v/>
      </c>
      <c r="K365" s="287" t="str">
        <f t="shared" si="54"/>
        <v/>
      </c>
      <c r="L365" s="287" t="str">
        <f t="shared" si="55"/>
        <v/>
      </c>
      <c r="M365" s="290" t="str">
        <f t="shared" si="56"/>
        <v/>
      </c>
      <c r="N365" t="str">
        <f>IF($A365="","",IFERROR(INDEX(Prices[Category],MATCH($A365,Prices[Key],0)),"Uncategorized"))</f>
        <v/>
      </c>
      <c r="O365" s="291" t="str">
        <f t="shared" si="57"/>
        <v/>
      </c>
      <c r="P365" s="291" t="str">
        <f t="shared" si="58"/>
        <v/>
      </c>
    </row>
    <row r="366" spans="1:16" ht="15" customHeight="1" x14ac:dyDescent="0.2">
      <c r="A366" s="243" t="str">
        <f>IFERROR(INDEX('All Ticker P&amp;L'!$A$2:$A$1001,MATCH(ROWS($A$2:A366),'All Ticker P&amp;L'!$N$2:$N$1001,0)),"")</f>
        <v/>
      </c>
      <c r="B366" s="243" t="str">
        <f t="shared" si="50"/>
        <v/>
      </c>
      <c r="C366" s="243" t="str">
        <f t="shared" si="51"/>
        <v/>
      </c>
      <c r="D366" s="243" t="str">
        <f t="shared" si="52"/>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53"/>
        <v/>
      </c>
      <c r="K366" s="287" t="str">
        <f t="shared" si="54"/>
        <v/>
      </c>
      <c r="L366" s="287" t="str">
        <f t="shared" si="55"/>
        <v/>
      </c>
      <c r="M366" s="290" t="str">
        <f t="shared" si="56"/>
        <v/>
      </c>
      <c r="N366" t="str">
        <f>IF($A366="","",IFERROR(INDEX(Prices[Category],MATCH($A366,Prices[Key],0)),"Uncategorized"))</f>
        <v/>
      </c>
      <c r="O366" s="291" t="str">
        <f t="shared" si="57"/>
        <v/>
      </c>
      <c r="P366" s="291" t="str">
        <f t="shared" si="58"/>
        <v/>
      </c>
    </row>
    <row r="367" spans="1:16" ht="15" customHeight="1" x14ac:dyDescent="0.2">
      <c r="A367" s="243" t="str">
        <f>IFERROR(INDEX('All Ticker P&amp;L'!$A$2:$A$1001,MATCH(ROWS($A$2:A367),'All Ticker P&amp;L'!$N$2:$N$1001,0)),"")</f>
        <v/>
      </c>
      <c r="B367" s="243" t="str">
        <f t="shared" si="50"/>
        <v/>
      </c>
      <c r="C367" s="243" t="str">
        <f t="shared" si="51"/>
        <v/>
      </c>
      <c r="D367" s="243" t="str">
        <f t="shared" si="52"/>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53"/>
        <v/>
      </c>
      <c r="K367" s="287" t="str">
        <f t="shared" si="54"/>
        <v/>
      </c>
      <c r="L367" s="287" t="str">
        <f t="shared" si="55"/>
        <v/>
      </c>
      <c r="M367" s="290" t="str">
        <f t="shared" si="56"/>
        <v/>
      </c>
      <c r="N367" t="str">
        <f>IF($A367="","",IFERROR(INDEX(Prices[Category],MATCH($A367,Prices[Key],0)),"Uncategorized"))</f>
        <v/>
      </c>
      <c r="O367" s="291" t="str">
        <f t="shared" si="57"/>
        <v/>
      </c>
      <c r="P367" s="291" t="str">
        <f t="shared" si="58"/>
        <v/>
      </c>
    </row>
    <row r="368" spans="1:16" ht="15" customHeight="1" x14ac:dyDescent="0.2">
      <c r="A368" s="243" t="str">
        <f>IFERROR(INDEX('All Ticker P&amp;L'!$A$2:$A$1001,MATCH(ROWS($A$2:A368),'All Ticker P&amp;L'!$N$2:$N$1001,0)),"")</f>
        <v/>
      </c>
      <c r="B368" s="243" t="str">
        <f t="shared" si="50"/>
        <v/>
      </c>
      <c r="C368" s="243" t="str">
        <f t="shared" si="51"/>
        <v/>
      </c>
      <c r="D368" s="243" t="str">
        <f t="shared" si="52"/>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53"/>
        <v/>
      </c>
      <c r="K368" s="287" t="str">
        <f t="shared" si="54"/>
        <v/>
      </c>
      <c r="L368" s="287" t="str">
        <f t="shared" si="55"/>
        <v/>
      </c>
      <c r="M368" s="290" t="str">
        <f t="shared" si="56"/>
        <v/>
      </c>
      <c r="N368" t="str">
        <f>IF($A368="","",IFERROR(INDEX(Prices[Category],MATCH($A368,Prices[Key],0)),"Uncategorized"))</f>
        <v/>
      </c>
      <c r="O368" s="291" t="str">
        <f t="shared" si="57"/>
        <v/>
      </c>
      <c r="P368" s="291" t="str">
        <f t="shared" si="58"/>
        <v/>
      </c>
    </row>
    <row r="369" spans="1:16" ht="15" customHeight="1" x14ac:dyDescent="0.2">
      <c r="A369" s="243" t="str">
        <f>IFERROR(INDEX('All Ticker P&amp;L'!$A$2:$A$1001,MATCH(ROWS($A$2:A369),'All Ticker P&amp;L'!$N$2:$N$1001,0)),"")</f>
        <v/>
      </c>
      <c r="B369" s="243" t="str">
        <f t="shared" si="50"/>
        <v/>
      </c>
      <c r="C369" s="243" t="str">
        <f t="shared" si="51"/>
        <v/>
      </c>
      <c r="D369" s="243" t="str">
        <f t="shared" si="52"/>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53"/>
        <v/>
      </c>
      <c r="K369" s="287" t="str">
        <f t="shared" si="54"/>
        <v/>
      </c>
      <c r="L369" s="287" t="str">
        <f t="shared" si="55"/>
        <v/>
      </c>
      <c r="M369" s="290" t="str">
        <f t="shared" si="56"/>
        <v/>
      </c>
      <c r="N369" t="str">
        <f>IF($A369="","",IFERROR(INDEX(Prices[Category],MATCH($A369,Prices[Key],0)),"Uncategorized"))</f>
        <v/>
      </c>
      <c r="O369" s="291" t="str">
        <f t="shared" si="57"/>
        <v/>
      </c>
      <c r="P369" s="291" t="str">
        <f t="shared" si="58"/>
        <v/>
      </c>
    </row>
    <row r="370" spans="1:16" ht="15" customHeight="1" x14ac:dyDescent="0.2">
      <c r="A370" s="243" t="str">
        <f>IFERROR(INDEX('All Ticker P&amp;L'!$A$2:$A$1001,MATCH(ROWS($A$2:A370),'All Ticker P&amp;L'!$N$2:$N$1001,0)),"")</f>
        <v/>
      </c>
      <c r="B370" s="243" t="str">
        <f t="shared" si="50"/>
        <v/>
      </c>
      <c r="C370" s="243" t="str">
        <f t="shared" si="51"/>
        <v/>
      </c>
      <c r="D370" s="243" t="str">
        <f t="shared" si="52"/>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53"/>
        <v/>
      </c>
      <c r="K370" s="287" t="str">
        <f t="shared" si="54"/>
        <v/>
      </c>
      <c r="L370" s="287" t="str">
        <f t="shared" si="55"/>
        <v/>
      </c>
      <c r="M370" s="290" t="str">
        <f t="shared" si="56"/>
        <v/>
      </c>
      <c r="N370" t="str">
        <f>IF($A370="","",IFERROR(INDEX(Prices[Category],MATCH($A370,Prices[Key],0)),"Uncategorized"))</f>
        <v/>
      </c>
      <c r="O370" s="291" t="str">
        <f t="shared" si="57"/>
        <v/>
      </c>
      <c r="P370" s="291" t="str">
        <f t="shared" si="58"/>
        <v/>
      </c>
    </row>
    <row r="371" spans="1:16" ht="15" customHeight="1" x14ac:dyDescent="0.2">
      <c r="A371" s="243" t="str">
        <f>IFERROR(INDEX('All Ticker P&amp;L'!$A$2:$A$1001,MATCH(ROWS($A$2:A371),'All Ticker P&amp;L'!$N$2:$N$1001,0)),"")</f>
        <v/>
      </c>
      <c r="B371" s="243" t="str">
        <f t="shared" si="50"/>
        <v/>
      </c>
      <c r="C371" s="243" t="str">
        <f t="shared" si="51"/>
        <v/>
      </c>
      <c r="D371" s="243" t="str">
        <f t="shared" si="52"/>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53"/>
        <v/>
      </c>
      <c r="K371" s="287" t="str">
        <f t="shared" si="54"/>
        <v/>
      </c>
      <c r="L371" s="287" t="str">
        <f t="shared" si="55"/>
        <v/>
      </c>
      <c r="M371" s="290" t="str">
        <f t="shared" si="56"/>
        <v/>
      </c>
      <c r="N371" t="str">
        <f>IF($A371="","",IFERROR(INDEX(Prices[Category],MATCH($A371,Prices[Key],0)),"Uncategorized"))</f>
        <v/>
      </c>
      <c r="O371" s="291" t="str">
        <f t="shared" si="57"/>
        <v/>
      </c>
      <c r="P371" s="291" t="str">
        <f t="shared" si="58"/>
        <v/>
      </c>
    </row>
    <row r="372" spans="1:16" ht="15" customHeight="1" x14ac:dyDescent="0.2">
      <c r="A372" s="243" t="str">
        <f>IFERROR(INDEX('All Ticker P&amp;L'!$A$2:$A$1001,MATCH(ROWS($A$2:A372),'All Ticker P&amp;L'!$N$2:$N$1001,0)),"")</f>
        <v/>
      </c>
      <c r="B372" s="243" t="str">
        <f t="shared" si="50"/>
        <v/>
      </c>
      <c r="C372" s="243" t="str">
        <f t="shared" si="51"/>
        <v/>
      </c>
      <c r="D372" s="243" t="str">
        <f t="shared" si="52"/>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53"/>
        <v/>
      </c>
      <c r="K372" s="287" t="str">
        <f t="shared" si="54"/>
        <v/>
      </c>
      <c r="L372" s="287" t="str">
        <f t="shared" si="55"/>
        <v/>
      </c>
      <c r="M372" s="290" t="str">
        <f t="shared" si="56"/>
        <v/>
      </c>
      <c r="N372" t="str">
        <f>IF($A372="","",IFERROR(INDEX(Prices[Category],MATCH($A372,Prices[Key],0)),"Uncategorized"))</f>
        <v/>
      </c>
      <c r="O372" s="291" t="str">
        <f t="shared" si="57"/>
        <v/>
      </c>
      <c r="P372" s="291" t="str">
        <f t="shared" si="58"/>
        <v/>
      </c>
    </row>
    <row r="373" spans="1:16" ht="15" customHeight="1" x14ac:dyDescent="0.2">
      <c r="A373" s="243" t="str">
        <f>IFERROR(INDEX('All Ticker P&amp;L'!$A$2:$A$1001,MATCH(ROWS($A$2:A373),'All Ticker P&amp;L'!$N$2:$N$1001,0)),"")</f>
        <v/>
      </c>
      <c r="B373" s="243" t="str">
        <f t="shared" si="50"/>
        <v/>
      </c>
      <c r="C373" s="243" t="str">
        <f t="shared" si="51"/>
        <v/>
      </c>
      <c r="D373" s="243" t="str">
        <f t="shared" si="52"/>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53"/>
        <v/>
      </c>
      <c r="K373" s="287" t="str">
        <f t="shared" si="54"/>
        <v/>
      </c>
      <c r="L373" s="287" t="str">
        <f t="shared" si="55"/>
        <v/>
      </c>
      <c r="M373" s="290" t="str">
        <f t="shared" si="56"/>
        <v/>
      </c>
      <c r="N373" t="str">
        <f>IF($A373="","",IFERROR(INDEX(Prices[Category],MATCH($A373,Prices[Key],0)),"Uncategorized"))</f>
        <v/>
      </c>
      <c r="O373" s="291" t="str">
        <f t="shared" si="57"/>
        <v/>
      </c>
      <c r="P373" s="291" t="str">
        <f t="shared" si="58"/>
        <v/>
      </c>
    </row>
    <row r="374" spans="1:16" ht="15" customHeight="1" x14ac:dyDescent="0.2">
      <c r="A374" s="243" t="str">
        <f>IFERROR(INDEX('All Ticker P&amp;L'!$A$2:$A$1001,MATCH(ROWS($A$2:A374),'All Ticker P&amp;L'!$N$2:$N$1001,0)),"")</f>
        <v/>
      </c>
      <c r="B374" s="243" t="str">
        <f t="shared" si="50"/>
        <v/>
      </c>
      <c r="C374" s="243" t="str">
        <f t="shared" si="51"/>
        <v/>
      </c>
      <c r="D374" s="243" t="str">
        <f t="shared" si="52"/>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53"/>
        <v/>
      </c>
      <c r="K374" s="287" t="str">
        <f t="shared" si="54"/>
        <v/>
      </c>
      <c r="L374" s="287" t="str">
        <f t="shared" si="55"/>
        <v/>
      </c>
      <c r="M374" s="290" t="str">
        <f t="shared" si="56"/>
        <v/>
      </c>
      <c r="N374" t="str">
        <f>IF($A374="","",IFERROR(INDEX(Prices[Category],MATCH($A374,Prices[Key],0)),"Uncategorized"))</f>
        <v/>
      </c>
      <c r="O374" s="291" t="str">
        <f t="shared" si="57"/>
        <v/>
      </c>
      <c r="P374" s="291" t="str">
        <f t="shared" si="58"/>
        <v/>
      </c>
    </row>
    <row r="375" spans="1:16" ht="15" customHeight="1" x14ac:dyDescent="0.2">
      <c r="A375" s="243" t="str">
        <f>IFERROR(INDEX('All Ticker P&amp;L'!$A$2:$A$1001,MATCH(ROWS($A$2:A375),'All Ticker P&amp;L'!$N$2:$N$1001,0)),"")</f>
        <v/>
      </c>
      <c r="B375" s="243" t="str">
        <f t="shared" si="50"/>
        <v/>
      </c>
      <c r="C375" s="243" t="str">
        <f t="shared" si="51"/>
        <v/>
      </c>
      <c r="D375" s="243" t="str">
        <f t="shared" si="52"/>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53"/>
        <v/>
      </c>
      <c r="K375" s="287" t="str">
        <f t="shared" si="54"/>
        <v/>
      </c>
      <c r="L375" s="287" t="str">
        <f t="shared" si="55"/>
        <v/>
      </c>
      <c r="M375" s="290" t="str">
        <f t="shared" si="56"/>
        <v/>
      </c>
      <c r="N375" t="str">
        <f>IF($A375="","",IFERROR(INDEX(Prices[Category],MATCH($A375,Prices[Key],0)),"Uncategorized"))</f>
        <v/>
      </c>
      <c r="O375" s="291" t="str">
        <f t="shared" si="57"/>
        <v/>
      </c>
      <c r="P375" s="291" t="str">
        <f t="shared" si="58"/>
        <v/>
      </c>
    </row>
    <row r="376" spans="1:16" ht="15" customHeight="1" x14ac:dyDescent="0.2">
      <c r="A376" s="243" t="str">
        <f>IFERROR(INDEX('All Ticker P&amp;L'!$A$2:$A$1001,MATCH(ROWS($A$2:A376),'All Ticker P&amp;L'!$N$2:$N$1001,0)),"")</f>
        <v/>
      </c>
      <c r="B376" s="243" t="str">
        <f t="shared" si="50"/>
        <v/>
      </c>
      <c r="C376" s="243" t="str">
        <f t="shared" si="51"/>
        <v/>
      </c>
      <c r="D376" s="243" t="str">
        <f t="shared" si="52"/>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53"/>
        <v/>
      </c>
      <c r="K376" s="287" t="str">
        <f t="shared" si="54"/>
        <v/>
      </c>
      <c r="L376" s="287" t="str">
        <f t="shared" si="55"/>
        <v/>
      </c>
      <c r="M376" s="290" t="str">
        <f t="shared" si="56"/>
        <v/>
      </c>
      <c r="N376" t="str">
        <f>IF($A376="","",IFERROR(INDEX(Prices[Category],MATCH($A376,Prices[Key],0)),"Uncategorized"))</f>
        <v/>
      </c>
      <c r="O376" s="291" t="str">
        <f t="shared" si="57"/>
        <v/>
      </c>
      <c r="P376" s="291" t="str">
        <f t="shared" si="58"/>
        <v/>
      </c>
    </row>
    <row r="377" spans="1:16" ht="15" customHeight="1" x14ac:dyDescent="0.2">
      <c r="A377" s="243" t="str">
        <f>IFERROR(INDEX('All Ticker P&amp;L'!$A$2:$A$1001,MATCH(ROWS($A$2:A377),'All Ticker P&amp;L'!$N$2:$N$1001,0)),"")</f>
        <v/>
      </c>
      <c r="B377" s="243" t="str">
        <f t="shared" si="50"/>
        <v/>
      </c>
      <c r="C377" s="243" t="str">
        <f t="shared" si="51"/>
        <v/>
      </c>
      <c r="D377" s="243" t="str">
        <f t="shared" si="52"/>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53"/>
        <v/>
      </c>
      <c r="K377" s="287" t="str">
        <f t="shared" si="54"/>
        <v/>
      </c>
      <c r="L377" s="287" t="str">
        <f t="shared" si="55"/>
        <v/>
      </c>
      <c r="M377" s="290" t="str">
        <f t="shared" si="56"/>
        <v/>
      </c>
      <c r="N377" t="str">
        <f>IF($A377="","",IFERROR(INDEX(Prices[Category],MATCH($A377,Prices[Key],0)),"Uncategorized"))</f>
        <v/>
      </c>
      <c r="O377" s="291" t="str">
        <f t="shared" si="57"/>
        <v/>
      </c>
      <c r="P377" s="291" t="str">
        <f t="shared" si="58"/>
        <v/>
      </c>
    </row>
    <row r="378" spans="1:16" ht="15" customHeight="1" x14ac:dyDescent="0.2">
      <c r="A378" s="243" t="str">
        <f>IFERROR(INDEX('All Ticker P&amp;L'!$A$2:$A$1001,MATCH(ROWS($A$2:A378),'All Ticker P&amp;L'!$N$2:$N$1001,0)),"")</f>
        <v/>
      </c>
      <c r="B378" s="243" t="str">
        <f t="shared" si="50"/>
        <v/>
      </c>
      <c r="C378" s="243" t="str">
        <f t="shared" si="51"/>
        <v/>
      </c>
      <c r="D378" s="243" t="str">
        <f t="shared" si="52"/>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53"/>
        <v/>
      </c>
      <c r="K378" s="287" t="str">
        <f t="shared" si="54"/>
        <v/>
      </c>
      <c r="L378" s="287" t="str">
        <f t="shared" si="55"/>
        <v/>
      </c>
      <c r="M378" s="290" t="str">
        <f t="shared" si="56"/>
        <v/>
      </c>
      <c r="N378" t="str">
        <f>IF($A378="","",IFERROR(INDEX(Prices[Category],MATCH($A378,Prices[Key],0)),"Uncategorized"))</f>
        <v/>
      </c>
      <c r="O378" s="291" t="str">
        <f t="shared" si="57"/>
        <v/>
      </c>
      <c r="P378" s="291" t="str">
        <f t="shared" si="58"/>
        <v/>
      </c>
    </row>
    <row r="379" spans="1:16" ht="15" customHeight="1" x14ac:dyDescent="0.2">
      <c r="A379" s="243" t="str">
        <f>IFERROR(INDEX('All Ticker P&amp;L'!$A$2:$A$1001,MATCH(ROWS($A$2:A379),'All Ticker P&amp;L'!$N$2:$N$1001,0)),"")</f>
        <v/>
      </c>
      <c r="B379" s="243" t="str">
        <f t="shared" si="50"/>
        <v/>
      </c>
      <c r="C379" s="243" t="str">
        <f t="shared" si="51"/>
        <v/>
      </c>
      <c r="D379" s="243" t="str">
        <f t="shared" si="52"/>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53"/>
        <v/>
      </c>
      <c r="K379" s="287" t="str">
        <f t="shared" si="54"/>
        <v/>
      </c>
      <c r="L379" s="287" t="str">
        <f t="shared" si="55"/>
        <v/>
      </c>
      <c r="M379" s="290" t="str">
        <f t="shared" si="56"/>
        <v/>
      </c>
      <c r="N379" t="str">
        <f>IF($A379="","",IFERROR(INDEX(Prices[Category],MATCH($A379,Prices[Key],0)),"Uncategorized"))</f>
        <v/>
      </c>
      <c r="O379" s="291" t="str">
        <f t="shared" si="57"/>
        <v/>
      </c>
      <c r="P379" s="291" t="str">
        <f t="shared" si="58"/>
        <v/>
      </c>
    </row>
    <row r="380" spans="1:16" ht="15" customHeight="1" x14ac:dyDescent="0.2">
      <c r="A380" s="243" t="str">
        <f>IFERROR(INDEX('All Ticker P&amp;L'!$A$2:$A$1001,MATCH(ROWS($A$2:A380),'All Ticker P&amp;L'!$N$2:$N$1001,0)),"")</f>
        <v/>
      </c>
      <c r="B380" s="243" t="str">
        <f t="shared" si="50"/>
        <v/>
      </c>
      <c r="C380" s="243" t="str">
        <f t="shared" si="51"/>
        <v/>
      </c>
      <c r="D380" s="243" t="str">
        <f t="shared" si="52"/>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53"/>
        <v/>
      </c>
      <c r="K380" s="287" t="str">
        <f t="shared" si="54"/>
        <v/>
      </c>
      <c r="L380" s="287" t="str">
        <f t="shared" si="55"/>
        <v/>
      </c>
      <c r="M380" s="290" t="str">
        <f t="shared" si="56"/>
        <v/>
      </c>
      <c r="N380" t="str">
        <f>IF($A380="","",IFERROR(INDEX(Prices[Category],MATCH($A380,Prices[Key],0)),"Uncategorized"))</f>
        <v/>
      </c>
      <c r="O380" s="291" t="str">
        <f t="shared" si="57"/>
        <v/>
      </c>
      <c r="P380" s="291" t="str">
        <f t="shared" si="58"/>
        <v/>
      </c>
    </row>
    <row r="381" spans="1:16" ht="15" customHeight="1" x14ac:dyDescent="0.2">
      <c r="A381" s="243" t="str">
        <f>IFERROR(INDEX('All Ticker P&amp;L'!$A$2:$A$1001,MATCH(ROWS($A$2:A381),'All Ticker P&amp;L'!$N$2:$N$1001,0)),"")</f>
        <v/>
      </c>
      <c r="B381" s="243" t="str">
        <f t="shared" si="50"/>
        <v/>
      </c>
      <c r="C381" s="243" t="str">
        <f t="shared" si="51"/>
        <v/>
      </c>
      <c r="D381" s="243" t="str">
        <f t="shared" si="52"/>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53"/>
        <v/>
      </c>
      <c r="K381" s="287" t="str">
        <f t="shared" si="54"/>
        <v/>
      </c>
      <c r="L381" s="287" t="str">
        <f t="shared" si="55"/>
        <v/>
      </c>
      <c r="M381" s="290" t="str">
        <f t="shared" si="56"/>
        <v/>
      </c>
      <c r="N381" t="str">
        <f>IF($A381="","",IFERROR(INDEX(Prices[Category],MATCH($A381,Prices[Key],0)),"Uncategorized"))</f>
        <v/>
      </c>
      <c r="O381" s="291" t="str">
        <f t="shared" si="57"/>
        <v/>
      </c>
      <c r="P381" s="291" t="str">
        <f t="shared" si="58"/>
        <v/>
      </c>
    </row>
    <row r="382" spans="1:16" ht="15" customHeight="1" x14ac:dyDescent="0.2">
      <c r="A382" s="243" t="str">
        <f>IFERROR(INDEX('All Ticker P&amp;L'!$A$2:$A$1001,MATCH(ROWS($A$2:A382),'All Ticker P&amp;L'!$N$2:$N$1001,0)),"")</f>
        <v/>
      </c>
      <c r="B382" s="243" t="str">
        <f t="shared" si="50"/>
        <v/>
      </c>
      <c r="C382" s="243" t="str">
        <f t="shared" si="51"/>
        <v/>
      </c>
      <c r="D382" s="243" t="str">
        <f t="shared" si="52"/>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53"/>
        <v/>
      </c>
      <c r="K382" s="287" t="str">
        <f t="shared" si="54"/>
        <v/>
      </c>
      <c r="L382" s="287" t="str">
        <f t="shared" si="55"/>
        <v/>
      </c>
      <c r="M382" s="290" t="str">
        <f t="shared" si="56"/>
        <v/>
      </c>
      <c r="N382" t="str">
        <f>IF($A382="","",IFERROR(INDEX(Prices[Category],MATCH($A382,Prices[Key],0)),"Uncategorized"))</f>
        <v/>
      </c>
      <c r="O382" s="291" t="str">
        <f t="shared" si="57"/>
        <v/>
      </c>
      <c r="P382" s="291" t="str">
        <f t="shared" si="58"/>
        <v/>
      </c>
    </row>
    <row r="383" spans="1:16" ht="15" customHeight="1" x14ac:dyDescent="0.2">
      <c r="A383" s="243" t="str">
        <f>IFERROR(INDEX('All Ticker P&amp;L'!$A$2:$A$1001,MATCH(ROWS($A$2:A383),'All Ticker P&amp;L'!$N$2:$N$1001,0)),"")</f>
        <v/>
      </c>
      <c r="B383" s="243" t="str">
        <f t="shared" si="50"/>
        <v/>
      </c>
      <c r="C383" s="243" t="str">
        <f t="shared" si="51"/>
        <v/>
      </c>
      <c r="D383" s="243" t="str">
        <f t="shared" si="52"/>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53"/>
        <v/>
      </c>
      <c r="K383" s="287" t="str">
        <f t="shared" si="54"/>
        <v/>
      </c>
      <c r="L383" s="287" t="str">
        <f t="shared" si="55"/>
        <v/>
      </c>
      <c r="M383" s="290" t="str">
        <f t="shared" si="56"/>
        <v/>
      </c>
      <c r="N383" t="str">
        <f>IF($A383="","",IFERROR(INDEX(Prices[Category],MATCH($A383,Prices[Key],0)),"Uncategorized"))</f>
        <v/>
      </c>
      <c r="O383" s="291" t="str">
        <f t="shared" si="57"/>
        <v/>
      </c>
      <c r="P383" s="291" t="str">
        <f t="shared" si="58"/>
        <v/>
      </c>
    </row>
    <row r="384" spans="1:16" ht="15" customHeight="1" x14ac:dyDescent="0.2">
      <c r="A384" s="243" t="str">
        <f>IFERROR(INDEX('All Ticker P&amp;L'!$A$2:$A$1001,MATCH(ROWS($A$2:A384),'All Ticker P&amp;L'!$N$2:$N$1001,0)),"")</f>
        <v/>
      </c>
      <c r="B384" s="243" t="str">
        <f t="shared" si="50"/>
        <v/>
      </c>
      <c r="C384" s="243" t="str">
        <f t="shared" si="51"/>
        <v/>
      </c>
      <c r="D384" s="243" t="str">
        <f t="shared" si="52"/>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53"/>
        <v/>
      </c>
      <c r="K384" s="287" t="str">
        <f t="shared" si="54"/>
        <v/>
      </c>
      <c r="L384" s="287" t="str">
        <f t="shared" si="55"/>
        <v/>
      </c>
      <c r="M384" s="290" t="str">
        <f t="shared" si="56"/>
        <v/>
      </c>
      <c r="N384" t="str">
        <f>IF($A384="","",IFERROR(INDEX(Prices[Category],MATCH($A384,Prices[Key],0)),"Uncategorized"))</f>
        <v/>
      </c>
      <c r="O384" s="291" t="str">
        <f t="shared" si="57"/>
        <v/>
      </c>
      <c r="P384" s="291" t="str">
        <f t="shared" si="58"/>
        <v/>
      </c>
    </row>
    <row r="385" spans="1:16" ht="15" customHeight="1" x14ac:dyDescent="0.2">
      <c r="A385" s="243" t="str">
        <f>IFERROR(INDEX('All Ticker P&amp;L'!$A$2:$A$1001,MATCH(ROWS($A$2:A385),'All Ticker P&amp;L'!$N$2:$N$1001,0)),"")</f>
        <v/>
      </c>
      <c r="B385" s="243" t="str">
        <f t="shared" si="50"/>
        <v/>
      </c>
      <c r="C385" s="243" t="str">
        <f t="shared" si="51"/>
        <v/>
      </c>
      <c r="D385" s="243" t="str">
        <f t="shared" si="52"/>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53"/>
        <v/>
      </c>
      <c r="K385" s="287" t="str">
        <f t="shared" si="54"/>
        <v/>
      </c>
      <c r="L385" s="287" t="str">
        <f t="shared" si="55"/>
        <v/>
      </c>
      <c r="M385" s="290" t="str">
        <f t="shared" si="56"/>
        <v/>
      </c>
      <c r="N385" t="str">
        <f>IF($A385="","",IFERROR(INDEX(Prices[Category],MATCH($A385,Prices[Key],0)),"Uncategorized"))</f>
        <v/>
      </c>
      <c r="O385" s="291" t="str">
        <f t="shared" si="57"/>
        <v/>
      </c>
      <c r="P385" s="291" t="str">
        <f t="shared" si="58"/>
        <v/>
      </c>
    </row>
    <row r="386" spans="1:16" ht="15" customHeight="1" x14ac:dyDescent="0.2">
      <c r="A386" s="243" t="str">
        <f>IFERROR(INDEX('All Ticker P&amp;L'!$A$2:$A$1001,MATCH(ROWS($A$2:A386),'All Ticker P&amp;L'!$N$2:$N$1001,0)),"")</f>
        <v/>
      </c>
      <c r="B386" s="243" t="str">
        <f t="shared" ref="B386:B449" si="59">IF($A386="","",LEFT($A386,FIND(":",$A386)-1))</f>
        <v/>
      </c>
      <c r="C386" s="243" t="str">
        <f t="shared" ref="C386:C449" si="60">IF($A386="","",MID($A386,FIND(":",$A386)+1,FIND(":",$A386,FIND(":",$A386)+1)-FIND(":",$A386)-1))</f>
        <v/>
      </c>
      <c r="D386" s="243" t="str">
        <f t="shared" ref="D386:D449" si="61">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62">IF($A386="","",E386*H386)</f>
        <v/>
      </c>
      <c r="K386" s="287" t="str">
        <f t="shared" ref="K386:K449" si="63">IF($A386="","",J386+G386-F386)</f>
        <v/>
      </c>
      <c r="L386" s="287" t="str">
        <f t="shared" ref="L386:L449" si="64">IF($A386="","",K386*I386)</f>
        <v/>
      </c>
      <c r="M386" s="290" t="str">
        <f t="shared" ref="M386:M449" si="65">IF($A386="","",IFERROR(K386/F386,0))</f>
        <v/>
      </c>
      <c r="N386" t="str">
        <f>IF($A386="","",IFERROR(INDEX(Prices[Category],MATCH($A386,Prices[Key],0)),"Uncategorized"))</f>
        <v/>
      </c>
      <c r="O386" s="291" t="str">
        <f t="shared" ref="O386:O449" si="66">IF($A386="","",$J386*$I386)</f>
        <v/>
      </c>
      <c r="P386" s="291" t="str">
        <f t="shared" ref="P386:P449" si="67">IF($A386="","",$L386)</f>
        <v/>
      </c>
    </row>
    <row r="387" spans="1:16" ht="15" customHeight="1" x14ac:dyDescent="0.2">
      <c r="A387" s="243" t="str">
        <f>IFERROR(INDEX('All Ticker P&amp;L'!$A$2:$A$1001,MATCH(ROWS($A$2:A387),'All Ticker P&amp;L'!$N$2:$N$1001,0)),"")</f>
        <v/>
      </c>
      <c r="B387" s="243" t="str">
        <f t="shared" si="59"/>
        <v/>
      </c>
      <c r="C387" s="243" t="str">
        <f t="shared" si="60"/>
        <v/>
      </c>
      <c r="D387" s="243" t="str">
        <f t="shared" si="61"/>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62"/>
        <v/>
      </c>
      <c r="K387" s="287" t="str">
        <f t="shared" si="63"/>
        <v/>
      </c>
      <c r="L387" s="287" t="str">
        <f t="shared" si="64"/>
        <v/>
      </c>
      <c r="M387" s="290" t="str">
        <f t="shared" si="65"/>
        <v/>
      </c>
      <c r="N387" t="str">
        <f>IF($A387="","",IFERROR(INDEX(Prices[Category],MATCH($A387,Prices[Key],0)),"Uncategorized"))</f>
        <v/>
      </c>
      <c r="O387" s="291" t="str">
        <f t="shared" si="66"/>
        <v/>
      </c>
      <c r="P387" s="291" t="str">
        <f t="shared" si="67"/>
        <v/>
      </c>
    </row>
    <row r="388" spans="1:16" ht="15" customHeight="1" x14ac:dyDescent="0.2">
      <c r="A388" s="243" t="str">
        <f>IFERROR(INDEX('All Ticker P&amp;L'!$A$2:$A$1001,MATCH(ROWS($A$2:A388),'All Ticker P&amp;L'!$N$2:$N$1001,0)),"")</f>
        <v/>
      </c>
      <c r="B388" s="243" t="str">
        <f t="shared" si="59"/>
        <v/>
      </c>
      <c r="C388" s="243" t="str">
        <f t="shared" si="60"/>
        <v/>
      </c>
      <c r="D388" s="243" t="str">
        <f t="shared" si="61"/>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62"/>
        <v/>
      </c>
      <c r="K388" s="287" t="str">
        <f t="shared" si="63"/>
        <v/>
      </c>
      <c r="L388" s="287" t="str">
        <f t="shared" si="64"/>
        <v/>
      </c>
      <c r="M388" s="290" t="str">
        <f t="shared" si="65"/>
        <v/>
      </c>
      <c r="N388" t="str">
        <f>IF($A388="","",IFERROR(INDEX(Prices[Category],MATCH($A388,Prices[Key],0)),"Uncategorized"))</f>
        <v/>
      </c>
      <c r="O388" s="291" t="str">
        <f t="shared" si="66"/>
        <v/>
      </c>
      <c r="P388" s="291" t="str">
        <f t="shared" si="67"/>
        <v/>
      </c>
    </row>
    <row r="389" spans="1:16" ht="15" customHeight="1" x14ac:dyDescent="0.2">
      <c r="A389" s="243" t="str">
        <f>IFERROR(INDEX('All Ticker P&amp;L'!$A$2:$A$1001,MATCH(ROWS($A$2:A389),'All Ticker P&amp;L'!$N$2:$N$1001,0)),"")</f>
        <v/>
      </c>
      <c r="B389" s="243" t="str">
        <f t="shared" si="59"/>
        <v/>
      </c>
      <c r="C389" s="243" t="str">
        <f t="shared" si="60"/>
        <v/>
      </c>
      <c r="D389" s="243" t="str">
        <f t="shared" si="61"/>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62"/>
        <v/>
      </c>
      <c r="K389" s="287" t="str">
        <f t="shared" si="63"/>
        <v/>
      </c>
      <c r="L389" s="287" t="str">
        <f t="shared" si="64"/>
        <v/>
      </c>
      <c r="M389" s="290" t="str">
        <f t="shared" si="65"/>
        <v/>
      </c>
      <c r="N389" t="str">
        <f>IF($A389="","",IFERROR(INDEX(Prices[Category],MATCH($A389,Prices[Key],0)),"Uncategorized"))</f>
        <v/>
      </c>
      <c r="O389" s="291" t="str">
        <f t="shared" si="66"/>
        <v/>
      </c>
      <c r="P389" s="291" t="str">
        <f t="shared" si="67"/>
        <v/>
      </c>
    </row>
    <row r="390" spans="1:16" ht="15" customHeight="1" x14ac:dyDescent="0.2">
      <c r="A390" s="243" t="str">
        <f>IFERROR(INDEX('All Ticker P&amp;L'!$A$2:$A$1001,MATCH(ROWS($A$2:A390),'All Ticker P&amp;L'!$N$2:$N$1001,0)),"")</f>
        <v/>
      </c>
      <c r="B390" s="243" t="str">
        <f t="shared" si="59"/>
        <v/>
      </c>
      <c r="C390" s="243" t="str">
        <f t="shared" si="60"/>
        <v/>
      </c>
      <c r="D390" s="243" t="str">
        <f t="shared" si="61"/>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62"/>
        <v/>
      </c>
      <c r="K390" s="287" t="str">
        <f t="shared" si="63"/>
        <v/>
      </c>
      <c r="L390" s="287" t="str">
        <f t="shared" si="64"/>
        <v/>
      </c>
      <c r="M390" s="290" t="str">
        <f t="shared" si="65"/>
        <v/>
      </c>
      <c r="N390" t="str">
        <f>IF($A390="","",IFERROR(INDEX(Prices[Category],MATCH($A390,Prices[Key],0)),"Uncategorized"))</f>
        <v/>
      </c>
      <c r="O390" s="291" t="str">
        <f t="shared" si="66"/>
        <v/>
      </c>
      <c r="P390" s="291" t="str">
        <f t="shared" si="67"/>
        <v/>
      </c>
    </row>
    <row r="391" spans="1:16" ht="15" customHeight="1" x14ac:dyDescent="0.2">
      <c r="A391" s="243" t="str">
        <f>IFERROR(INDEX('All Ticker P&amp;L'!$A$2:$A$1001,MATCH(ROWS($A$2:A391),'All Ticker P&amp;L'!$N$2:$N$1001,0)),"")</f>
        <v/>
      </c>
      <c r="B391" s="243" t="str">
        <f t="shared" si="59"/>
        <v/>
      </c>
      <c r="C391" s="243" t="str">
        <f t="shared" si="60"/>
        <v/>
      </c>
      <c r="D391" s="243" t="str">
        <f t="shared" si="61"/>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62"/>
        <v/>
      </c>
      <c r="K391" s="287" t="str">
        <f t="shared" si="63"/>
        <v/>
      </c>
      <c r="L391" s="287" t="str">
        <f t="shared" si="64"/>
        <v/>
      </c>
      <c r="M391" s="290" t="str">
        <f t="shared" si="65"/>
        <v/>
      </c>
      <c r="N391" t="str">
        <f>IF($A391="","",IFERROR(INDEX(Prices[Category],MATCH($A391,Prices[Key],0)),"Uncategorized"))</f>
        <v/>
      </c>
      <c r="O391" s="291" t="str">
        <f t="shared" si="66"/>
        <v/>
      </c>
      <c r="P391" s="291" t="str">
        <f t="shared" si="67"/>
        <v/>
      </c>
    </row>
    <row r="392" spans="1:16" ht="15" customHeight="1" x14ac:dyDescent="0.2">
      <c r="A392" s="243" t="str">
        <f>IFERROR(INDEX('All Ticker P&amp;L'!$A$2:$A$1001,MATCH(ROWS($A$2:A392),'All Ticker P&amp;L'!$N$2:$N$1001,0)),"")</f>
        <v/>
      </c>
      <c r="B392" s="243" t="str">
        <f t="shared" si="59"/>
        <v/>
      </c>
      <c r="C392" s="243" t="str">
        <f t="shared" si="60"/>
        <v/>
      </c>
      <c r="D392" s="243" t="str">
        <f t="shared" si="61"/>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62"/>
        <v/>
      </c>
      <c r="K392" s="287" t="str">
        <f t="shared" si="63"/>
        <v/>
      </c>
      <c r="L392" s="287" t="str">
        <f t="shared" si="64"/>
        <v/>
      </c>
      <c r="M392" s="290" t="str">
        <f t="shared" si="65"/>
        <v/>
      </c>
      <c r="N392" t="str">
        <f>IF($A392="","",IFERROR(INDEX(Prices[Category],MATCH($A392,Prices[Key],0)),"Uncategorized"))</f>
        <v/>
      </c>
      <c r="O392" s="291" t="str">
        <f t="shared" si="66"/>
        <v/>
      </c>
      <c r="P392" s="291" t="str">
        <f t="shared" si="67"/>
        <v/>
      </c>
    </row>
    <row r="393" spans="1:16" ht="15" customHeight="1" x14ac:dyDescent="0.2">
      <c r="A393" s="243" t="str">
        <f>IFERROR(INDEX('All Ticker P&amp;L'!$A$2:$A$1001,MATCH(ROWS($A$2:A393),'All Ticker P&amp;L'!$N$2:$N$1001,0)),"")</f>
        <v/>
      </c>
      <c r="B393" s="243" t="str">
        <f t="shared" si="59"/>
        <v/>
      </c>
      <c r="C393" s="243" t="str">
        <f t="shared" si="60"/>
        <v/>
      </c>
      <c r="D393" s="243" t="str">
        <f t="shared" si="61"/>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62"/>
        <v/>
      </c>
      <c r="K393" s="287" t="str">
        <f t="shared" si="63"/>
        <v/>
      </c>
      <c r="L393" s="287" t="str">
        <f t="shared" si="64"/>
        <v/>
      </c>
      <c r="M393" s="290" t="str">
        <f t="shared" si="65"/>
        <v/>
      </c>
      <c r="N393" t="str">
        <f>IF($A393="","",IFERROR(INDEX(Prices[Category],MATCH($A393,Prices[Key],0)),"Uncategorized"))</f>
        <v/>
      </c>
      <c r="O393" s="291" t="str">
        <f t="shared" si="66"/>
        <v/>
      </c>
      <c r="P393" s="291" t="str">
        <f t="shared" si="67"/>
        <v/>
      </c>
    </row>
    <row r="394" spans="1:16" ht="15" customHeight="1" x14ac:dyDescent="0.2">
      <c r="A394" s="243" t="str">
        <f>IFERROR(INDEX('All Ticker P&amp;L'!$A$2:$A$1001,MATCH(ROWS($A$2:A394),'All Ticker P&amp;L'!$N$2:$N$1001,0)),"")</f>
        <v/>
      </c>
      <c r="B394" s="243" t="str">
        <f t="shared" si="59"/>
        <v/>
      </c>
      <c r="C394" s="243" t="str">
        <f t="shared" si="60"/>
        <v/>
      </c>
      <c r="D394" s="243" t="str">
        <f t="shared" si="61"/>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62"/>
        <v/>
      </c>
      <c r="K394" s="287" t="str">
        <f t="shared" si="63"/>
        <v/>
      </c>
      <c r="L394" s="287" t="str">
        <f t="shared" si="64"/>
        <v/>
      </c>
      <c r="M394" s="290" t="str">
        <f t="shared" si="65"/>
        <v/>
      </c>
      <c r="N394" t="str">
        <f>IF($A394="","",IFERROR(INDEX(Prices[Category],MATCH($A394,Prices[Key],0)),"Uncategorized"))</f>
        <v/>
      </c>
      <c r="O394" s="291" t="str">
        <f t="shared" si="66"/>
        <v/>
      </c>
      <c r="P394" s="291" t="str">
        <f t="shared" si="67"/>
        <v/>
      </c>
    </row>
    <row r="395" spans="1:16" ht="15" customHeight="1" x14ac:dyDescent="0.2">
      <c r="A395" s="243" t="str">
        <f>IFERROR(INDEX('All Ticker P&amp;L'!$A$2:$A$1001,MATCH(ROWS($A$2:A395),'All Ticker P&amp;L'!$N$2:$N$1001,0)),"")</f>
        <v/>
      </c>
      <c r="B395" s="243" t="str">
        <f t="shared" si="59"/>
        <v/>
      </c>
      <c r="C395" s="243" t="str">
        <f t="shared" si="60"/>
        <v/>
      </c>
      <c r="D395" s="243" t="str">
        <f t="shared" si="61"/>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62"/>
        <v/>
      </c>
      <c r="K395" s="287" t="str">
        <f t="shared" si="63"/>
        <v/>
      </c>
      <c r="L395" s="287" t="str">
        <f t="shared" si="64"/>
        <v/>
      </c>
      <c r="M395" s="290" t="str">
        <f t="shared" si="65"/>
        <v/>
      </c>
      <c r="N395" t="str">
        <f>IF($A395="","",IFERROR(INDEX(Prices[Category],MATCH($A395,Prices[Key],0)),"Uncategorized"))</f>
        <v/>
      </c>
      <c r="O395" s="291" t="str">
        <f t="shared" si="66"/>
        <v/>
      </c>
      <c r="P395" s="291" t="str">
        <f t="shared" si="67"/>
        <v/>
      </c>
    </row>
    <row r="396" spans="1:16" ht="15" customHeight="1" x14ac:dyDescent="0.2">
      <c r="A396" s="243" t="str">
        <f>IFERROR(INDEX('All Ticker P&amp;L'!$A$2:$A$1001,MATCH(ROWS($A$2:A396),'All Ticker P&amp;L'!$N$2:$N$1001,0)),"")</f>
        <v/>
      </c>
      <c r="B396" s="243" t="str">
        <f t="shared" si="59"/>
        <v/>
      </c>
      <c r="C396" s="243" t="str">
        <f t="shared" si="60"/>
        <v/>
      </c>
      <c r="D396" s="243" t="str">
        <f t="shared" si="61"/>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62"/>
        <v/>
      </c>
      <c r="K396" s="287" t="str">
        <f t="shared" si="63"/>
        <v/>
      </c>
      <c r="L396" s="287" t="str">
        <f t="shared" si="64"/>
        <v/>
      </c>
      <c r="M396" s="290" t="str">
        <f t="shared" si="65"/>
        <v/>
      </c>
      <c r="N396" t="str">
        <f>IF($A396="","",IFERROR(INDEX(Prices[Category],MATCH($A396,Prices[Key],0)),"Uncategorized"))</f>
        <v/>
      </c>
      <c r="O396" s="291" t="str">
        <f t="shared" si="66"/>
        <v/>
      </c>
      <c r="P396" s="291" t="str">
        <f t="shared" si="67"/>
        <v/>
      </c>
    </row>
    <row r="397" spans="1:16" ht="15" customHeight="1" x14ac:dyDescent="0.2">
      <c r="A397" s="243" t="str">
        <f>IFERROR(INDEX('All Ticker P&amp;L'!$A$2:$A$1001,MATCH(ROWS($A$2:A397),'All Ticker P&amp;L'!$N$2:$N$1001,0)),"")</f>
        <v/>
      </c>
      <c r="B397" s="243" t="str">
        <f t="shared" si="59"/>
        <v/>
      </c>
      <c r="C397" s="243" t="str">
        <f t="shared" si="60"/>
        <v/>
      </c>
      <c r="D397" s="243" t="str">
        <f t="shared" si="61"/>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62"/>
        <v/>
      </c>
      <c r="K397" s="287" t="str">
        <f t="shared" si="63"/>
        <v/>
      </c>
      <c r="L397" s="287" t="str">
        <f t="shared" si="64"/>
        <v/>
      </c>
      <c r="M397" s="290" t="str">
        <f t="shared" si="65"/>
        <v/>
      </c>
      <c r="N397" t="str">
        <f>IF($A397="","",IFERROR(INDEX(Prices[Category],MATCH($A397,Prices[Key],0)),"Uncategorized"))</f>
        <v/>
      </c>
      <c r="O397" s="291" t="str">
        <f t="shared" si="66"/>
        <v/>
      </c>
      <c r="P397" s="291" t="str">
        <f t="shared" si="67"/>
        <v/>
      </c>
    </row>
    <row r="398" spans="1:16" ht="15" customHeight="1" x14ac:dyDescent="0.2">
      <c r="A398" s="243" t="str">
        <f>IFERROR(INDEX('All Ticker P&amp;L'!$A$2:$A$1001,MATCH(ROWS($A$2:A398),'All Ticker P&amp;L'!$N$2:$N$1001,0)),"")</f>
        <v/>
      </c>
      <c r="B398" s="243" t="str">
        <f t="shared" si="59"/>
        <v/>
      </c>
      <c r="C398" s="243" t="str">
        <f t="shared" si="60"/>
        <v/>
      </c>
      <c r="D398" s="243" t="str">
        <f t="shared" si="61"/>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62"/>
        <v/>
      </c>
      <c r="K398" s="287" t="str">
        <f t="shared" si="63"/>
        <v/>
      </c>
      <c r="L398" s="287" t="str">
        <f t="shared" si="64"/>
        <v/>
      </c>
      <c r="M398" s="290" t="str">
        <f t="shared" si="65"/>
        <v/>
      </c>
      <c r="N398" t="str">
        <f>IF($A398="","",IFERROR(INDEX(Prices[Category],MATCH($A398,Prices[Key],0)),"Uncategorized"))</f>
        <v/>
      </c>
      <c r="O398" s="291" t="str">
        <f t="shared" si="66"/>
        <v/>
      </c>
      <c r="P398" s="291" t="str">
        <f t="shared" si="67"/>
        <v/>
      </c>
    </row>
    <row r="399" spans="1:16" ht="15" customHeight="1" x14ac:dyDescent="0.2">
      <c r="A399" s="243" t="str">
        <f>IFERROR(INDEX('All Ticker P&amp;L'!$A$2:$A$1001,MATCH(ROWS($A$2:A399),'All Ticker P&amp;L'!$N$2:$N$1001,0)),"")</f>
        <v/>
      </c>
      <c r="B399" s="243" t="str">
        <f t="shared" si="59"/>
        <v/>
      </c>
      <c r="C399" s="243" t="str">
        <f t="shared" si="60"/>
        <v/>
      </c>
      <c r="D399" s="243" t="str">
        <f t="shared" si="61"/>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62"/>
        <v/>
      </c>
      <c r="K399" s="287" t="str">
        <f t="shared" si="63"/>
        <v/>
      </c>
      <c r="L399" s="287" t="str">
        <f t="shared" si="64"/>
        <v/>
      </c>
      <c r="M399" s="290" t="str">
        <f t="shared" si="65"/>
        <v/>
      </c>
      <c r="N399" t="str">
        <f>IF($A399="","",IFERROR(INDEX(Prices[Category],MATCH($A399,Prices[Key],0)),"Uncategorized"))</f>
        <v/>
      </c>
      <c r="O399" s="291" t="str">
        <f t="shared" si="66"/>
        <v/>
      </c>
      <c r="P399" s="291" t="str">
        <f t="shared" si="67"/>
        <v/>
      </c>
    </row>
    <row r="400" spans="1:16" ht="15" customHeight="1" x14ac:dyDescent="0.2">
      <c r="A400" s="243" t="str">
        <f>IFERROR(INDEX('All Ticker P&amp;L'!$A$2:$A$1001,MATCH(ROWS($A$2:A400),'All Ticker P&amp;L'!$N$2:$N$1001,0)),"")</f>
        <v/>
      </c>
      <c r="B400" s="243" t="str">
        <f t="shared" si="59"/>
        <v/>
      </c>
      <c r="C400" s="243" t="str">
        <f t="shared" si="60"/>
        <v/>
      </c>
      <c r="D400" s="243" t="str">
        <f t="shared" si="61"/>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62"/>
        <v/>
      </c>
      <c r="K400" s="287" t="str">
        <f t="shared" si="63"/>
        <v/>
      </c>
      <c r="L400" s="287" t="str">
        <f t="shared" si="64"/>
        <v/>
      </c>
      <c r="M400" s="290" t="str">
        <f t="shared" si="65"/>
        <v/>
      </c>
      <c r="N400" t="str">
        <f>IF($A400="","",IFERROR(INDEX(Prices[Category],MATCH($A400,Prices[Key],0)),"Uncategorized"))</f>
        <v/>
      </c>
      <c r="O400" s="291" t="str">
        <f t="shared" si="66"/>
        <v/>
      </c>
      <c r="P400" s="291" t="str">
        <f t="shared" si="67"/>
        <v/>
      </c>
    </row>
    <row r="401" spans="1:16" ht="15" customHeight="1" x14ac:dyDescent="0.2">
      <c r="A401" s="243" t="str">
        <f>IFERROR(INDEX('All Ticker P&amp;L'!$A$2:$A$1001,MATCH(ROWS($A$2:A401),'All Ticker P&amp;L'!$N$2:$N$1001,0)),"")</f>
        <v/>
      </c>
      <c r="B401" s="243" t="str">
        <f t="shared" si="59"/>
        <v/>
      </c>
      <c r="C401" s="243" t="str">
        <f t="shared" si="60"/>
        <v/>
      </c>
      <c r="D401" s="243" t="str">
        <f t="shared" si="61"/>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62"/>
        <v/>
      </c>
      <c r="K401" s="287" t="str">
        <f t="shared" si="63"/>
        <v/>
      </c>
      <c r="L401" s="287" t="str">
        <f t="shared" si="64"/>
        <v/>
      </c>
      <c r="M401" s="290" t="str">
        <f t="shared" si="65"/>
        <v/>
      </c>
      <c r="N401" t="str">
        <f>IF($A401="","",IFERROR(INDEX(Prices[Category],MATCH($A401,Prices[Key],0)),"Uncategorized"))</f>
        <v/>
      </c>
      <c r="O401" s="291" t="str">
        <f t="shared" si="66"/>
        <v/>
      </c>
      <c r="P401" s="291" t="str">
        <f t="shared" si="67"/>
        <v/>
      </c>
    </row>
    <row r="402" spans="1:16" ht="15" customHeight="1" x14ac:dyDescent="0.2">
      <c r="A402" s="243" t="str">
        <f>IFERROR(INDEX('All Ticker P&amp;L'!$A$2:$A$1001,MATCH(ROWS($A$2:A402),'All Ticker P&amp;L'!$N$2:$N$1001,0)),"")</f>
        <v/>
      </c>
      <c r="B402" s="243" t="str">
        <f t="shared" si="59"/>
        <v/>
      </c>
      <c r="C402" s="243" t="str">
        <f t="shared" si="60"/>
        <v/>
      </c>
      <c r="D402" s="243" t="str">
        <f t="shared" si="61"/>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62"/>
        <v/>
      </c>
      <c r="K402" s="287" t="str">
        <f t="shared" si="63"/>
        <v/>
      </c>
      <c r="L402" s="287" t="str">
        <f t="shared" si="64"/>
        <v/>
      </c>
      <c r="M402" s="290" t="str">
        <f t="shared" si="65"/>
        <v/>
      </c>
      <c r="N402" t="str">
        <f>IF($A402="","",IFERROR(INDEX(Prices[Category],MATCH($A402,Prices[Key],0)),"Uncategorized"))</f>
        <v/>
      </c>
      <c r="O402" s="291" t="str">
        <f t="shared" si="66"/>
        <v/>
      </c>
      <c r="P402" s="291" t="str">
        <f t="shared" si="67"/>
        <v/>
      </c>
    </row>
    <row r="403" spans="1:16" ht="15" customHeight="1" x14ac:dyDescent="0.2">
      <c r="A403" s="243" t="str">
        <f>IFERROR(INDEX('All Ticker P&amp;L'!$A$2:$A$1001,MATCH(ROWS($A$2:A403),'All Ticker P&amp;L'!$N$2:$N$1001,0)),"")</f>
        <v/>
      </c>
      <c r="B403" s="243" t="str">
        <f t="shared" si="59"/>
        <v/>
      </c>
      <c r="C403" s="243" t="str">
        <f t="shared" si="60"/>
        <v/>
      </c>
      <c r="D403" s="243" t="str">
        <f t="shared" si="61"/>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62"/>
        <v/>
      </c>
      <c r="K403" s="287" t="str">
        <f t="shared" si="63"/>
        <v/>
      </c>
      <c r="L403" s="287" t="str">
        <f t="shared" si="64"/>
        <v/>
      </c>
      <c r="M403" s="290" t="str">
        <f t="shared" si="65"/>
        <v/>
      </c>
      <c r="N403" t="str">
        <f>IF($A403="","",IFERROR(INDEX(Prices[Category],MATCH($A403,Prices[Key],0)),"Uncategorized"))</f>
        <v/>
      </c>
      <c r="O403" s="291" t="str">
        <f t="shared" si="66"/>
        <v/>
      </c>
      <c r="P403" s="291" t="str">
        <f t="shared" si="67"/>
        <v/>
      </c>
    </row>
    <row r="404" spans="1:16" ht="15" customHeight="1" x14ac:dyDescent="0.2">
      <c r="A404" s="243" t="str">
        <f>IFERROR(INDEX('All Ticker P&amp;L'!$A$2:$A$1001,MATCH(ROWS($A$2:A404),'All Ticker P&amp;L'!$N$2:$N$1001,0)),"")</f>
        <v/>
      </c>
      <c r="B404" s="243" t="str">
        <f t="shared" si="59"/>
        <v/>
      </c>
      <c r="C404" s="243" t="str">
        <f t="shared" si="60"/>
        <v/>
      </c>
      <c r="D404" s="243" t="str">
        <f t="shared" si="61"/>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62"/>
        <v/>
      </c>
      <c r="K404" s="287" t="str">
        <f t="shared" si="63"/>
        <v/>
      </c>
      <c r="L404" s="287" t="str">
        <f t="shared" si="64"/>
        <v/>
      </c>
      <c r="M404" s="290" t="str">
        <f t="shared" si="65"/>
        <v/>
      </c>
      <c r="N404" t="str">
        <f>IF($A404="","",IFERROR(INDEX(Prices[Category],MATCH($A404,Prices[Key],0)),"Uncategorized"))</f>
        <v/>
      </c>
      <c r="O404" s="291" t="str">
        <f t="shared" si="66"/>
        <v/>
      </c>
      <c r="P404" s="291" t="str">
        <f t="shared" si="67"/>
        <v/>
      </c>
    </row>
    <row r="405" spans="1:16" ht="15" customHeight="1" x14ac:dyDescent="0.2">
      <c r="A405" s="243" t="str">
        <f>IFERROR(INDEX('All Ticker P&amp;L'!$A$2:$A$1001,MATCH(ROWS($A$2:A405),'All Ticker P&amp;L'!$N$2:$N$1001,0)),"")</f>
        <v/>
      </c>
      <c r="B405" s="243" t="str">
        <f t="shared" si="59"/>
        <v/>
      </c>
      <c r="C405" s="243" t="str">
        <f t="shared" si="60"/>
        <v/>
      </c>
      <c r="D405" s="243" t="str">
        <f t="shared" si="61"/>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62"/>
        <v/>
      </c>
      <c r="K405" s="287" t="str">
        <f t="shared" si="63"/>
        <v/>
      </c>
      <c r="L405" s="287" t="str">
        <f t="shared" si="64"/>
        <v/>
      </c>
      <c r="M405" s="290" t="str">
        <f t="shared" si="65"/>
        <v/>
      </c>
      <c r="N405" t="str">
        <f>IF($A405="","",IFERROR(INDEX(Prices[Category],MATCH($A405,Prices[Key],0)),"Uncategorized"))</f>
        <v/>
      </c>
      <c r="O405" s="291" t="str">
        <f t="shared" si="66"/>
        <v/>
      </c>
      <c r="P405" s="291" t="str">
        <f t="shared" si="67"/>
        <v/>
      </c>
    </row>
    <row r="406" spans="1:16" ht="15" customHeight="1" x14ac:dyDescent="0.2">
      <c r="A406" s="243" t="str">
        <f>IFERROR(INDEX('All Ticker P&amp;L'!$A$2:$A$1001,MATCH(ROWS($A$2:A406),'All Ticker P&amp;L'!$N$2:$N$1001,0)),"")</f>
        <v/>
      </c>
      <c r="B406" s="243" t="str">
        <f t="shared" si="59"/>
        <v/>
      </c>
      <c r="C406" s="243" t="str">
        <f t="shared" si="60"/>
        <v/>
      </c>
      <c r="D406" s="243" t="str">
        <f t="shared" si="61"/>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62"/>
        <v/>
      </c>
      <c r="K406" s="287" t="str">
        <f t="shared" si="63"/>
        <v/>
      </c>
      <c r="L406" s="287" t="str">
        <f t="shared" si="64"/>
        <v/>
      </c>
      <c r="M406" s="290" t="str">
        <f t="shared" si="65"/>
        <v/>
      </c>
      <c r="N406" t="str">
        <f>IF($A406="","",IFERROR(INDEX(Prices[Category],MATCH($A406,Prices[Key],0)),"Uncategorized"))</f>
        <v/>
      </c>
      <c r="O406" s="291" t="str">
        <f t="shared" si="66"/>
        <v/>
      </c>
      <c r="P406" s="291" t="str">
        <f t="shared" si="67"/>
        <v/>
      </c>
    </row>
    <row r="407" spans="1:16" ht="15" customHeight="1" x14ac:dyDescent="0.2">
      <c r="A407" s="243" t="str">
        <f>IFERROR(INDEX('All Ticker P&amp;L'!$A$2:$A$1001,MATCH(ROWS($A$2:A407),'All Ticker P&amp;L'!$N$2:$N$1001,0)),"")</f>
        <v/>
      </c>
      <c r="B407" s="243" t="str">
        <f t="shared" si="59"/>
        <v/>
      </c>
      <c r="C407" s="243" t="str">
        <f t="shared" si="60"/>
        <v/>
      </c>
      <c r="D407" s="243" t="str">
        <f t="shared" si="61"/>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62"/>
        <v/>
      </c>
      <c r="K407" s="287" t="str">
        <f t="shared" si="63"/>
        <v/>
      </c>
      <c r="L407" s="287" t="str">
        <f t="shared" si="64"/>
        <v/>
      </c>
      <c r="M407" s="290" t="str">
        <f t="shared" si="65"/>
        <v/>
      </c>
      <c r="N407" t="str">
        <f>IF($A407="","",IFERROR(INDEX(Prices[Category],MATCH($A407,Prices[Key],0)),"Uncategorized"))</f>
        <v/>
      </c>
      <c r="O407" s="291" t="str">
        <f t="shared" si="66"/>
        <v/>
      </c>
      <c r="P407" s="291" t="str">
        <f t="shared" si="67"/>
        <v/>
      </c>
    </row>
    <row r="408" spans="1:16" ht="15" customHeight="1" x14ac:dyDescent="0.2">
      <c r="A408" s="243" t="str">
        <f>IFERROR(INDEX('All Ticker P&amp;L'!$A$2:$A$1001,MATCH(ROWS($A$2:A408),'All Ticker P&amp;L'!$N$2:$N$1001,0)),"")</f>
        <v/>
      </c>
      <c r="B408" s="243" t="str">
        <f t="shared" si="59"/>
        <v/>
      </c>
      <c r="C408" s="243" t="str">
        <f t="shared" si="60"/>
        <v/>
      </c>
      <c r="D408" s="243" t="str">
        <f t="shared" si="61"/>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62"/>
        <v/>
      </c>
      <c r="K408" s="287" t="str">
        <f t="shared" si="63"/>
        <v/>
      </c>
      <c r="L408" s="287" t="str">
        <f t="shared" si="64"/>
        <v/>
      </c>
      <c r="M408" s="290" t="str">
        <f t="shared" si="65"/>
        <v/>
      </c>
      <c r="N408" t="str">
        <f>IF($A408="","",IFERROR(INDEX(Prices[Category],MATCH($A408,Prices[Key],0)),"Uncategorized"))</f>
        <v/>
      </c>
      <c r="O408" s="291" t="str">
        <f t="shared" si="66"/>
        <v/>
      </c>
      <c r="P408" s="291" t="str">
        <f t="shared" si="67"/>
        <v/>
      </c>
    </row>
    <row r="409" spans="1:16" ht="15" customHeight="1" x14ac:dyDescent="0.2">
      <c r="A409" s="243" t="str">
        <f>IFERROR(INDEX('All Ticker P&amp;L'!$A$2:$A$1001,MATCH(ROWS($A$2:A409),'All Ticker P&amp;L'!$N$2:$N$1001,0)),"")</f>
        <v/>
      </c>
      <c r="B409" s="243" t="str">
        <f t="shared" si="59"/>
        <v/>
      </c>
      <c r="C409" s="243" t="str">
        <f t="shared" si="60"/>
        <v/>
      </c>
      <c r="D409" s="243" t="str">
        <f t="shared" si="61"/>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62"/>
        <v/>
      </c>
      <c r="K409" s="287" t="str">
        <f t="shared" si="63"/>
        <v/>
      </c>
      <c r="L409" s="287" t="str">
        <f t="shared" si="64"/>
        <v/>
      </c>
      <c r="M409" s="290" t="str">
        <f t="shared" si="65"/>
        <v/>
      </c>
      <c r="N409" t="str">
        <f>IF($A409="","",IFERROR(INDEX(Prices[Category],MATCH($A409,Prices[Key],0)),"Uncategorized"))</f>
        <v/>
      </c>
      <c r="O409" s="291" t="str">
        <f t="shared" si="66"/>
        <v/>
      </c>
      <c r="P409" s="291" t="str">
        <f t="shared" si="67"/>
        <v/>
      </c>
    </row>
    <row r="410" spans="1:16" ht="15" customHeight="1" x14ac:dyDescent="0.2">
      <c r="A410" s="243" t="str">
        <f>IFERROR(INDEX('All Ticker P&amp;L'!$A$2:$A$1001,MATCH(ROWS($A$2:A410),'All Ticker P&amp;L'!$N$2:$N$1001,0)),"")</f>
        <v/>
      </c>
      <c r="B410" s="243" t="str">
        <f t="shared" si="59"/>
        <v/>
      </c>
      <c r="C410" s="243" t="str">
        <f t="shared" si="60"/>
        <v/>
      </c>
      <c r="D410" s="243" t="str">
        <f t="shared" si="61"/>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62"/>
        <v/>
      </c>
      <c r="K410" s="287" t="str">
        <f t="shared" si="63"/>
        <v/>
      </c>
      <c r="L410" s="287" t="str">
        <f t="shared" si="64"/>
        <v/>
      </c>
      <c r="M410" s="290" t="str">
        <f t="shared" si="65"/>
        <v/>
      </c>
      <c r="N410" t="str">
        <f>IF($A410="","",IFERROR(INDEX(Prices[Category],MATCH($A410,Prices[Key],0)),"Uncategorized"))</f>
        <v/>
      </c>
      <c r="O410" s="291" t="str">
        <f t="shared" si="66"/>
        <v/>
      </c>
      <c r="P410" s="291" t="str">
        <f t="shared" si="67"/>
        <v/>
      </c>
    </row>
    <row r="411" spans="1:16" ht="15" customHeight="1" x14ac:dyDescent="0.2">
      <c r="A411" s="243" t="str">
        <f>IFERROR(INDEX('All Ticker P&amp;L'!$A$2:$A$1001,MATCH(ROWS($A$2:A411),'All Ticker P&amp;L'!$N$2:$N$1001,0)),"")</f>
        <v/>
      </c>
      <c r="B411" s="243" t="str">
        <f t="shared" si="59"/>
        <v/>
      </c>
      <c r="C411" s="243" t="str">
        <f t="shared" si="60"/>
        <v/>
      </c>
      <c r="D411" s="243" t="str">
        <f t="shared" si="61"/>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62"/>
        <v/>
      </c>
      <c r="K411" s="287" t="str">
        <f t="shared" si="63"/>
        <v/>
      </c>
      <c r="L411" s="287" t="str">
        <f t="shared" si="64"/>
        <v/>
      </c>
      <c r="M411" s="290" t="str">
        <f t="shared" si="65"/>
        <v/>
      </c>
      <c r="N411" t="str">
        <f>IF($A411="","",IFERROR(INDEX(Prices[Category],MATCH($A411,Prices[Key],0)),"Uncategorized"))</f>
        <v/>
      </c>
      <c r="O411" s="291" t="str">
        <f t="shared" si="66"/>
        <v/>
      </c>
      <c r="P411" s="291" t="str">
        <f t="shared" si="67"/>
        <v/>
      </c>
    </row>
    <row r="412" spans="1:16" ht="15" customHeight="1" x14ac:dyDescent="0.2">
      <c r="A412" s="243" t="str">
        <f>IFERROR(INDEX('All Ticker P&amp;L'!$A$2:$A$1001,MATCH(ROWS($A$2:A412),'All Ticker P&amp;L'!$N$2:$N$1001,0)),"")</f>
        <v/>
      </c>
      <c r="B412" s="243" t="str">
        <f t="shared" si="59"/>
        <v/>
      </c>
      <c r="C412" s="243" t="str">
        <f t="shared" si="60"/>
        <v/>
      </c>
      <c r="D412" s="243" t="str">
        <f t="shared" si="61"/>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62"/>
        <v/>
      </c>
      <c r="K412" s="287" t="str">
        <f t="shared" si="63"/>
        <v/>
      </c>
      <c r="L412" s="287" t="str">
        <f t="shared" si="64"/>
        <v/>
      </c>
      <c r="M412" s="290" t="str">
        <f t="shared" si="65"/>
        <v/>
      </c>
      <c r="N412" t="str">
        <f>IF($A412="","",IFERROR(INDEX(Prices[Category],MATCH($A412,Prices[Key],0)),"Uncategorized"))</f>
        <v/>
      </c>
      <c r="O412" s="291" t="str">
        <f t="shared" si="66"/>
        <v/>
      </c>
      <c r="P412" s="291" t="str">
        <f t="shared" si="67"/>
        <v/>
      </c>
    </row>
    <row r="413" spans="1:16" ht="15" customHeight="1" x14ac:dyDescent="0.2">
      <c r="A413" s="243" t="str">
        <f>IFERROR(INDEX('All Ticker P&amp;L'!$A$2:$A$1001,MATCH(ROWS($A$2:A413),'All Ticker P&amp;L'!$N$2:$N$1001,0)),"")</f>
        <v/>
      </c>
      <c r="B413" s="243" t="str">
        <f t="shared" si="59"/>
        <v/>
      </c>
      <c r="C413" s="243" t="str">
        <f t="shared" si="60"/>
        <v/>
      </c>
      <c r="D413" s="243" t="str">
        <f t="shared" si="61"/>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62"/>
        <v/>
      </c>
      <c r="K413" s="287" t="str">
        <f t="shared" si="63"/>
        <v/>
      </c>
      <c r="L413" s="287" t="str">
        <f t="shared" si="64"/>
        <v/>
      </c>
      <c r="M413" s="290" t="str">
        <f t="shared" si="65"/>
        <v/>
      </c>
      <c r="N413" t="str">
        <f>IF($A413="","",IFERROR(INDEX(Prices[Category],MATCH($A413,Prices[Key],0)),"Uncategorized"))</f>
        <v/>
      </c>
      <c r="O413" s="291" t="str">
        <f t="shared" si="66"/>
        <v/>
      </c>
      <c r="P413" s="291" t="str">
        <f t="shared" si="67"/>
        <v/>
      </c>
    </row>
    <row r="414" spans="1:16" ht="15" customHeight="1" x14ac:dyDescent="0.2">
      <c r="A414" s="243" t="str">
        <f>IFERROR(INDEX('All Ticker P&amp;L'!$A$2:$A$1001,MATCH(ROWS($A$2:A414),'All Ticker P&amp;L'!$N$2:$N$1001,0)),"")</f>
        <v/>
      </c>
      <c r="B414" s="243" t="str">
        <f t="shared" si="59"/>
        <v/>
      </c>
      <c r="C414" s="243" t="str">
        <f t="shared" si="60"/>
        <v/>
      </c>
      <c r="D414" s="243" t="str">
        <f t="shared" si="61"/>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62"/>
        <v/>
      </c>
      <c r="K414" s="287" t="str">
        <f t="shared" si="63"/>
        <v/>
      </c>
      <c r="L414" s="287" t="str">
        <f t="shared" si="64"/>
        <v/>
      </c>
      <c r="M414" s="290" t="str">
        <f t="shared" si="65"/>
        <v/>
      </c>
      <c r="N414" t="str">
        <f>IF($A414="","",IFERROR(INDEX(Prices[Category],MATCH($A414,Prices[Key],0)),"Uncategorized"))</f>
        <v/>
      </c>
      <c r="O414" s="291" t="str">
        <f t="shared" si="66"/>
        <v/>
      </c>
      <c r="P414" s="291" t="str">
        <f t="shared" si="67"/>
        <v/>
      </c>
    </row>
    <row r="415" spans="1:16" ht="15" customHeight="1" x14ac:dyDescent="0.2">
      <c r="A415" s="243" t="str">
        <f>IFERROR(INDEX('All Ticker P&amp;L'!$A$2:$A$1001,MATCH(ROWS($A$2:A415),'All Ticker P&amp;L'!$N$2:$N$1001,0)),"")</f>
        <v/>
      </c>
      <c r="B415" s="243" t="str">
        <f t="shared" si="59"/>
        <v/>
      </c>
      <c r="C415" s="243" t="str">
        <f t="shared" si="60"/>
        <v/>
      </c>
      <c r="D415" s="243" t="str">
        <f t="shared" si="61"/>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62"/>
        <v/>
      </c>
      <c r="K415" s="287" t="str">
        <f t="shared" si="63"/>
        <v/>
      </c>
      <c r="L415" s="287" t="str">
        <f t="shared" si="64"/>
        <v/>
      </c>
      <c r="M415" s="290" t="str">
        <f t="shared" si="65"/>
        <v/>
      </c>
      <c r="N415" t="str">
        <f>IF($A415="","",IFERROR(INDEX(Prices[Category],MATCH($A415,Prices[Key],0)),"Uncategorized"))</f>
        <v/>
      </c>
      <c r="O415" s="291" t="str">
        <f t="shared" si="66"/>
        <v/>
      </c>
      <c r="P415" s="291" t="str">
        <f t="shared" si="67"/>
        <v/>
      </c>
    </row>
    <row r="416" spans="1:16" ht="15" customHeight="1" x14ac:dyDescent="0.2">
      <c r="A416" s="243" t="str">
        <f>IFERROR(INDEX('All Ticker P&amp;L'!$A$2:$A$1001,MATCH(ROWS($A$2:A416),'All Ticker P&amp;L'!$N$2:$N$1001,0)),"")</f>
        <v/>
      </c>
      <c r="B416" s="243" t="str">
        <f t="shared" si="59"/>
        <v/>
      </c>
      <c r="C416" s="243" t="str">
        <f t="shared" si="60"/>
        <v/>
      </c>
      <c r="D416" s="243" t="str">
        <f t="shared" si="61"/>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62"/>
        <v/>
      </c>
      <c r="K416" s="287" t="str">
        <f t="shared" si="63"/>
        <v/>
      </c>
      <c r="L416" s="287" t="str">
        <f t="shared" si="64"/>
        <v/>
      </c>
      <c r="M416" s="290" t="str">
        <f t="shared" si="65"/>
        <v/>
      </c>
      <c r="N416" t="str">
        <f>IF($A416="","",IFERROR(INDEX(Prices[Category],MATCH($A416,Prices[Key],0)),"Uncategorized"))</f>
        <v/>
      </c>
      <c r="O416" s="291" t="str">
        <f t="shared" si="66"/>
        <v/>
      </c>
      <c r="P416" s="291" t="str">
        <f t="shared" si="67"/>
        <v/>
      </c>
    </row>
    <row r="417" spans="1:16" ht="15" customHeight="1" x14ac:dyDescent="0.2">
      <c r="A417" s="243" t="str">
        <f>IFERROR(INDEX('All Ticker P&amp;L'!$A$2:$A$1001,MATCH(ROWS($A$2:A417),'All Ticker P&amp;L'!$N$2:$N$1001,0)),"")</f>
        <v/>
      </c>
      <c r="B417" s="243" t="str">
        <f t="shared" si="59"/>
        <v/>
      </c>
      <c r="C417" s="243" t="str">
        <f t="shared" si="60"/>
        <v/>
      </c>
      <c r="D417" s="243" t="str">
        <f t="shared" si="61"/>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62"/>
        <v/>
      </c>
      <c r="K417" s="287" t="str">
        <f t="shared" si="63"/>
        <v/>
      </c>
      <c r="L417" s="287" t="str">
        <f t="shared" si="64"/>
        <v/>
      </c>
      <c r="M417" s="290" t="str">
        <f t="shared" si="65"/>
        <v/>
      </c>
      <c r="N417" t="str">
        <f>IF($A417="","",IFERROR(INDEX(Prices[Category],MATCH($A417,Prices[Key],0)),"Uncategorized"))</f>
        <v/>
      </c>
      <c r="O417" s="291" t="str">
        <f t="shared" si="66"/>
        <v/>
      </c>
      <c r="P417" s="291" t="str">
        <f t="shared" si="67"/>
        <v/>
      </c>
    </row>
    <row r="418" spans="1:16" ht="15" customHeight="1" x14ac:dyDescent="0.2">
      <c r="A418" s="243" t="str">
        <f>IFERROR(INDEX('All Ticker P&amp;L'!$A$2:$A$1001,MATCH(ROWS($A$2:A418),'All Ticker P&amp;L'!$N$2:$N$1001,0)),"")</f>
        <v/>
      </c>
      <c r="B418" s="243" t="str">
        <f t="shared" si="59"/>
        <v/>
      </c>
      <c r="C418" s="243" t="str">
        <f t="shared" si="60"/>
        <v/>
      </c>
      <c r="D418" s="243" t="str">
        <f t="shared" si="61"/>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62"/>
        <v/>
      </c>
      <c r="K418" s="287" t="str">
        <f t="shared" si="63"/>
        <v/>
      </c>
      <c r="L418" s="287" t="str">
        <f t="shared" si="64"/>
        <v/>
      </c>
      <c r="M418" s="290" t="str">
        <f t="shared" si="65"/>
        <v/>
      </c>
      <c r="N418" t="str">
        <f>IF($A418="","",IFERROR(INDEX(Prices[Category],MATCH($A418,Prices[Key],0)),"Uncategorized"))</f>
        <v/>
      </c>
      <c r="O418" s="291" t="str">
        <f t="shared" si="66"/>
        <v/>
      </c>
      <c r="P418" s="291" t="str">
        <f t="shared" si="67"/>
        <v/>
      </c>
    </row>
    <row r="419" spans="1:16" ht="15" customHeight="1" x14ac:dyDescent="0.2">
      <c r="A419" s="243" t="str">
        <f>IFERROR(INDEX('All Ticker P&amp;L'!$A$2:$A$1001,MATCH(ROWS($A$2:A419),'All Ticker P&amp;L'!$N$2:$N$1001,0)),"")</f>
        <v/>
      </c>
      <c r="B419" s="243" t="str">
        <f t="shared" si="59"/>
        <v/>
      </c>
      <c r="C419" s="243" t="str">
        <f t="shared" si="60"/>
        <v/>
      </c>
      <c r="D419" s="243" t="str">
        <f t="shared" si="61"/>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62"/>
        <v/>
      </c>
      <c r="K419" s="287" t="str">
        <f t="shared" si="63"/>
        <v/>
      </c>
      <c r="L419" s="287" t="str">
        <f t="shared" si="64"/>
        <v/>
      </c>
      <c r="M419" s="290" t="str">
        <f t="shared" si="65"/>
        <v/>
      </c>
      <c r="N419" t="str">
        <f>IF($A419="","",IFERROR(INDEX(Prices[Category],MATCH($A419,Prices[Key],0)),"Uncategorized"))</f>
        <v/>
      </c>
      <c r="O419" s="291" t="str">
        <f t="shared" si="66"/>
        <v/>
      </c>
      <c r="P419" s="291" t="str">
        <f t="shared" si="67"/>
        <v/>
      </c>
    </row>
    <row r="420" spans="1:16" ht="15" customHeight="1" x14ac:dyDescent="0.2">
      <c r="A420" s="243" t="str">
        <f>IFERROR(INDEX('All Ticker P&amp;L'!$A$2:$A$1001,MATCH(ROWS($A$2:A420),'All Ticker P&amp;L'!$N$2:$N$1001,0)),"")</f>
        <v/>
      </c>
      <c r="B420" s="243" t="str">
        <f t="shared" si="59"/>
        <v/>
      </c>
      <c r="C420" s="243" t="str">
        <f t="shared" si="60"/>
        <v/>
      </c>
      <c r="D420" s="243" t="str">
        <f t="shared" si="61"/>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62"/>
        <v/>
      </c>
      <c r="K420" s="287" t="str">
        <f t="shared" si="63"/>
        <v/>
      </c>
      <c r="L420" s="287" t="str">
        <f t="shared" si="64"/>
        <v/>
      </c>
      <c r="M420" s="290" t="str">
        <f t="shared" si="65"/>
        <v/>
      </c>
      <c r="N420" t="str">
        <f>IF($A420="","",IFERROR(INDEX(Prices[Category],MATCH($A420,Prices[Key],0)),"Uncategorized"))</f>
        <v/>
      </c>
      <c r="O420" s="291" t="str">
        <f t="shared" si="66"/>
        <v/>
      </c>
      <c r="P420" s="291" t="str">
        <f t="shared" si="67"/>
        <v/>
      </c>
    </row>
    <row r="421" spans="1:16" ht="15" customHeight="1" x14ac:dyDescent="0.2">
      <c r="A421" s="243" t="str">
        <f>IFERROR(INDEX('All Ticker P&amp;L'!$A$2:$A$1001,MATCH(ROWS($A$2:A421),'All Ticker P&amp;L'!$N$2:$N$1001,0)),"")</f>
        <v/>
      </c>
      <c r="B421" s="243" t="str">
        <f t="shared" si="59"/>
        <v/>
      </c>
      <c r="C421" s="243" t="str">
        <f t="shared" si="60"/>
        <v/>
      </c>
      <c r="D421" s="243" t="str">
        <f t="shared" si="61"/>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62"/>
        <v/>
      </c>
      <c r="K421" s="287" t="str">
        <f t="shared" si="63"/>
        <v/>
      </c>
      <c r="L421" s="287" t="str">
        <f t="shared" si="64"/>
        <v/>
      </c>
      <c r="M421" s="290" t="str">
        <f t="shared" si="65"/>
        <v/>
      </c>
      <c r="N421" t="str">
        <f>IF($A421="","",IFERROR(INDEX(Prices[Category],MATCH($A421,Prices[Key],0)),"Uncategorized"))</f>
        <v/>
      </c>
      <c r="O421" s="291" t="str">
        <f t="shared" si="66"/>
        <v/>
      </c>
      <c r="P421" s="291" t="str">
        <f t="shared" si="67"/>
        <v/>
      </c>
    </row>
    <row r="422" spans="1:16" ht="15" customHeight="1" x14ac:dyDescent="0.2">
      <c r="A422" s="243" t="str">
        <f>IFERROR(INDEX('All Ticker P&amp;L'!$A$2:$A$1001,MATCH(ROWS($A$2:A422),'All Ticker P&amp;L'!$N$2:$N$1001,0)),"")</f>
        <v/>
      </c>
      <c r="B422" s="243" t="str">
        <f t="shared" si="59"/>
        <v/>
      </c>
      <c r="C422" s="243" t="str">
        <f t="shared" si="60"/>
        <v/>
      </c>
      <c r="D422" s="243" t="str">
        <f t="shared" si="61"/>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62"/>
        <v/>
      </c>
      <c r="K422" s="287" t="str">
        <f t="shared" si="63"/>
        <v/>
      </c>
      <c r="L422" s="287" t="str">
        <f t="shared" si="64"/>
        <v/>
      </c>
      <c r="M422" s="290" t="str">
        <f t="shared" si="65"/>
        <v/>
      </c>
      <c r="N422" t="str">
        <f>IF($A422="","",IFERROR(INDEX(Prices[Category],MATCH($A422,Prices[Key],0)),"Uncategorized"))</f>
        <v/>
      </c>
      <c r="O422" s="291" t="str">
        <f t="shared" si="66"/>
        <v/>
      </c>
      <c r="P422" s="291" t="str">
        <f t="shared" si="67"/>
        <v/>
      </c>
    </row>
    <row r="423" spans="1:16" ht="15" customHeight="1" x14ac:dyDescent="0.2">
      <c r="A423" s="243" t="str">
        <f>IFERROR(INDEX('All Ticker P&amp;L'!$A$2:$A$1001,MATCH(ROWS($A$2:A423),'All Ticker P&amp;L'!$N$2:$N$1001,0)),"")</f>
        <v/>
      </c>
      <c r="B423" s="243" t="str">
        <f t="shared" si="59"/>
        <v/>
      </c>
      <c r="C423" s="243" t="str">
        <f t="shared" si="60"/>
        <v/>
      </c>
      <c r="D423" s="243" t="str">
        <f t="shared" si="61"/>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62"/>
        <v/>
      </c>
      <c r="K423" s="287" t="str">
        <f t="shared" si="63"/>
        <v/>
      </c>
      <c r="L423" s="287" t="str">
        <f t="shared" si="64"/>
        <v/>
      </c>
      <c r="M423" s="290" t="str">
        <f t="shared" si="65"/>
        <v/>
      </c>
      <c r="N423" t="str">
        <f>IF($A423="","",IFERROR(INDEX(Prices[Category],MATCH($A423,Prices[Key],0)),"Uncategorized"))</f>
        <v/>
      </c>
      <c r="O423" s="291" t="str">
        <f t="shared" si="66"/>
        <v/>
      </c>
      <c r="P423" s="291" t="str">
        <f t="shared" si="67"/>
        <v/>
      </c>
    </row>
    <row r="424" spans="1:16" ht="15" customHeight="1" x14ac:dyDescent="0.2">
      <c r="A424" s="243" t="str">
        <f>IFERROR(INDEX('All Ticker P&amp;L'!$A$2:$A$1001,MATCH(ROWS($A$2:A424),'All Ticker P&amp;L'!$N$2:$N$1001,0)),"")</f>
        <v/>
      </c>
      <c r="B424" s="243" t="str">
        <f t="shared" si="59"/>
        <v/>
      </c>
      <c r="C424" s="243" t="str">
        <f t="shared" si="60"/>
        <v/>
      </c>
      <c r="D424" s="243" t="str">
        <f t="shared" si="61"/>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62"/>
        <v/>
      </c>
      <c r="K424" s="287" t="str">
        <f t="shared" si="63"/>
        <v/>
      </c>
      <c r="L424" s="287" t="str">
        <f t="shared" si="64"/>
        <v/>
      </c>
      <c r="M424" s="290" t="str">
        <f t="shared" si="65"/>
        <v/>
      </c>
      <c r="N424" t="str">
        <f>IF($A424="","",IFERROR(INDEX(Prices[Category],MATCH($A424,Prices[Key],0)),"Uncategorized"))</f>
        <v/>
      </c>
      <c r="O424" s="291" t="str">
        <f t="shared" si="66"/>
        <v/>
      </c>
      <c r="P424" s="291" t="str">
        <f t="shared" si="67"/>
        <v/>
      </c>
    </row>
    <row r="425" spans="1:16" ht="15" customHeight="1" x14ac:dyDescent="0.2">
      <c r="A425" s="243" t="str">
        <f>IFERROR(INDEX('All Ticker P&amp;L'!$A$2:$A$1001,MATCH(ROWS($A$2:A425),'All Ticker P&amp;L'!$N$2:$N$1001,0)),"")</f>
        <v/>
      </c>
      <c r="B425" s="243" t="str">
        <f t="shared" si="59"/>
        <v/>
      </c>
      <c r="C425" s="243" t="str">
        <f t="shared" si="60"/>
        <v/>
      </c>
      <c r="D425" s="243" t="str">
        <f t="shared" si="61"/>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62"/>
        <v/>
      </c>
      <c r="K425" s="287" t="str">
        <f t="shared" si="63"/>
        <v/>
      </c>
      <c r="L425" s="287" t="str">
        <f t="shared" si="64"/>
        <v/>
      </c>
      <c r="M425" s="290" t="str">
        <f t="shared" si="65"/>
        <v/>
      </c>
      <c r="N425" t="str">
        <f>IF($A425="","",IFERROR(INDEX(Prices[Category],MATCH($A425,Prices[Key],0)),"Uncategorized"))</f>
        <v/>
      </c>
      <c r="O425" s="291" t="str">
        <f t="shared" si="66"/>
        <v/>
      </c>
      <c r="P425" s="291" t="str">
        <f t="shared" si="67"/>
        <v/>
      </c>
    </row>
    <row r="426" spans="1:16" ht="15" customHeight="1" x14ac:dyDescent="0.2">
      <c r="A426" s="243" t="str">
        <f>IFERROR(INDEX('All Ticker P&amp;L'!$A$2:$A$1001,MATCH(ROWS($A$2:A426),'All Ticker P&amp;L'!$N$2:$N$1001,0)),"")</f>
        <v/>
      </c>
      <c r="B426" s="243" t="str">
        <f t="shared" si="59"/>
        <v/>
      </c>
      <c r="C426" s="243" t="str">
        <f t="shared" si="60"/>
        <v/>
      </c>
      <c r="D426" s="243" t="str">
        <f t="shared" si="61"/>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62"/>
        <v/>
      </c>
      <c r="K426" s="287" t="str">
        <f t="shared" si="63"/>
        <v/>
      </c>
      <c r="L426" s="287" t="str">
        <f t="shared" si="64"/>
        <v/>
      </c>
      <c r="M426" s="290" t="str">
        <f t="shared" si="65"/>
        <v/>
      </c>
      <c r="N426" t="str">
        <f>IF($A426="","",IFERROR(INDEX(Prices[Category],MATCH($A426,Prices[Key],0)),"Uncategorized"))</f>
        <v/>
      </c>
      <c r="O426" s="291" t="str">
        <f t="shared" si="66"/>
        <v/>
      </c>
      <c r="P426" s="291" t="str">
        <f t="shared" si="67"/>
        <v/>
      </c>
    </row>
    <row r="427" spans="1:16" ht="15" customHeight="1" x14ac:dyDescent="0.2">
      <c r="A427" s="243" t="str">
        <f>IFERROR(INDEX('All Ticker P&amp;L'!$A$2:$A$1001,MATCH(ROWS($A$2:A427),'All Ticker P&amp;L'!$N$2:$N$1001,0)),"")</f>
        <v/>
      </c>
      <c r="B427" s="243" t="str">
        <f t="shared" si="59"/>
        <v/>
      </c>
      <c r="C427" s="243" t="str">
        <f t="shared" si="60"/>
        <v/>
      </c>
      <c r="D427" s="243" t="str">
        <f t="shared" si="61"/>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62"/>
        <v/>
      </c>
      <c r="K427" s="287" t="str">
        <f t="shared" si="63"/>
        <v/>
      </c>
      <c r="L427" s="287" t="str">
        <f t="shared" si="64"/>
        <v/>
      </c>
      <c r="M427" s="290" t="str">
        <f t="shared" si="65"/>
        <v/>
      </c>
      <c r="N427" t="str">
        <f>IF($A427="","",IFERROR(INDEX(Prices[Category],MATCH($A427,Prices[Key],0)),"Uncategorized"))</f>
        <v/>
      </c>
      <c r="O427" s="291" t="str">
        <f t="shared" si="66"/>
        <v/>
      </c>
      <c r="P427" s="291" t="str">
        <f t="shared" si="67"/>
        <v/>
      </c>
    </row>
    <row r="428" spans="1:16" ht="15" customHeight="1" x14ac:dyDescent="0.2">
      <c r="A428" s="243" t="str">
        <f>IFERROR(INDEX('All Ticker P&amp;L'!$A$2:$A$1001,MATCH(ROWS($A$2:A428),'All Ticker P&amp;L'!$N$2:$N$1001,0)),"")</f>
        <v/>
      </c>
      <c r="B428" s="243" t="str">
        <f t="shared" si="59"/>
        <v/>
      </c>
      <c r="C428" s="243" t="str">
        <f t="shared" si="60"/>
        <v/>
      </c>
      <c r="D428" s="243" t="str">
        <f t="shared" si="61"/>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62"/>
        <v/>
      </c>
      <c r="K428" s="287" t="str">
        <f t="shared" si="63"/>
        <v/>
      </c>
      <c r="L428" s="287" t="str">
        <f t="shared" si="64"/>
        <v/>
      </c>
      <c r="M428" s="290" t="str">
        <f t="shared" si="65"/>
        <v/>
      </c>
      <c r="N428" t="str">
        <f>IF($A428="","",IFERROR(INDEX(Prices[Category],MATCH($A428,Prices[Key],0)),"Uncategorized"))</f>
        <v/>
      </c>
      <c r="O428" s="291" t="str">
        <f t="shared" si="66"/>
        <v/>
      </c>
      <c r="P428" s="291" t="str">
        <f t="shared" si="67"/>
        <v/>
      </c>
    </row>
    <row r="429" spans="1:16" ht="15" customHeight="1" x14ac:dyDescent="0.2">
      <c r="A429" s="243" t="str">
        <f>IFERROR(INDEX('All Ticker P&amp;L'!$A$2:$A$1001,MATCH(ROWS($A$2:A429),'All Ticker P&amp;L'!$N$2:$N$1001,0)),"")</f>
        <v/>
      </c>
      <c r="B429" s="243" t="str">
        <f t="shared" si="59"/>
        <v/>
      </c>
      <c r="C429" s="243" t="str">
        <f t="shared" si="60"/>
        <v/>
      </c>
      <c r="D429" s="243" t="str">
        <f t="shared" si="61"/>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62"/>
        <v/>
      </c>
      <c r="K429" s="287" t="str">
        <f t="shared" si="63"/>
        <v/>
      </c>
      <c r="L429" s="287" t="str">
        <f t="shared" si="64"/>
        <v/>
      </c>
      <c r="M429" s="290" t="str">
        <f t="shared" si="65"/>
        <v/>
      </c>
      <c r="N429" t="str">
        <f>IF($A429="","",IFERROR(INDEX(Prices[Category],MATCH($A429,Prices[Key],0)),"Uncategorized"))</f>
        <v/>
      </c>
      <c r="O429" s="291" t="str">
        <f t="shared" si="66"/>
        <v/>
      </c>
      <c r="P429" s="291" t="str">
        <f t="shared" si="67"/>
        <v/>
      </c>
    </row>
    <row r="430" spans="1:16" ht="15" customHeight="1" x14ac:dyDescent="0.2">
      <c r="A430" s="243" t="str">
        <f>IFERROR(INDEX('All Ticker P&amp;L'!$A$2:$A$1001,MATCH(ROWS($A$2:A430),'All Ticker P&amp;L'!$N$2:$N$1001,0)),"")</f>
        <v/>
      </c>
      <c r="B430" s="243" t="str">
        <f t="shared" si="59"/>
        <v/>
      </c>
      <c r="C430" s="243" t="str">
        <f t="shared" si="60"/>
        <v/>
      </c>
      <c r="D430" s="243" t="str">
        <f t="shared" si="61"/>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62"/>
        <v/>
      </c>
      <c r="K430" s="287" t="str">
        <f t="shared" si="63"/>
        <v/>
      </c>
      <c r="L430" s="287" t="str">
        <f t="shared" si="64"/>
        <v/>
      </c>
      <c r="M430" s="290" t="str">
        <f t="shared" si="65"/>
        <v/>
      </c>
      <c r="N430" t="str">
        <f>IF($A430="","",IFERROR(INDEX(Prices[Category],MATCH($A430,Prices[Key],0)),"Uncategorized"))</f>
        <v/>
      </c>
      <c r="O430" s="291" t="str">
        <f t="shared" si="66"/>
        <v/>
      </c>
      <c r="P430" s="291" t="str">
        <f t="shared" si="67"/>
        <v/>
      </c>
    </row>
    <row r="431" spans="1:16" ht="15" customHeight="1" x14ac:dyDescent="0.2">
      <c r="A431" s="243" t="str">
        <f>IFERROR(INDEX('All Ticker P&amp;L'!$A$2:$A$1001,MATCH(ROWS($A$2:A431),'All Ticker P&amp;L'!$N$2:$N$1001,0)),"")</f>
        <v/>
      </c>
      <c r="B431" s="243" t="str">
        <f t="shared" si="59"/>
        <v/>
      </c>
      <c r="C431" s="243" t="str">
        <f t="shared" si="60"/>
        <v/>
      </c>
      <c r="D431" s="243" t="str">
        <f t="shared" si="61"/>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62"/>
        <v/>
      </c>
      <c r="K431" s="287" t="str">
        <f t="shared" si="63"/>
        <v/>
      </c>
      <c r="L431" s="287" t="str">
        <f t="shared" si="64"/>
        <v/>
      </c>
      <c r="M431" s="290" t="str">
        <f t="shared" si="65"/>
        <v/>
      </c>
      <c r="N431" t="str">
        <f>IF($A431="","",IFERROR(INDEX(Prices[Category],MATCH($A431,Prices[Key],0)),"Uncategorized"))</f>
        <v/>
      </c>
      <c r="O431" s="291" t="str">
        <f t="shared" si="66"/>
        <v/>
      </c>
      <c r="P431" s="291" t="str">
        <f t="shared" si="67"/>
        <v/>
      </c>
    </row>
    <row r="432" spans="1:16" ht="15" customHeight="1" x14ac:dyDescent="0.2">
      <c r="A432" s="243" t="str">
        <f>IFERROR(INDEX('All Ticker P&amp;L'!$A$2:$A$1001,MATCH(ROWS($A$2:A432),'All Ticker P&amp;L'!$N$2:$N$1001,0)),"")</f>
        <v/>
      </c>
      <c r="B432" s="243" t="str">
        <f t="shared" si="59"/>
        <v/>
      </c>
      <c r="C432" s="243" t="str">
        <f t="shared" si="60"/>
        <v/>
      </c>
      <c r="D432" s="243" t="str">
        <f t="shared" si="61"/>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62"/>
        <v/>
      </c>
      <c r="K432" s="287" t="str">
        <f t="shared" si="63"/>
        <v/>
      </c>
      <c r="L432" s="287" t="str">
        <f t="shared" si="64"/>
        <v/>
      </c>
      <c r="M432" s="290" t="str">
        <f t="shared" si="65"/>
        <v/>
      </c>
      <c r="N432" t="str">
        <f>IF($A432="","",IFERROR(INDEX(Prices[Category],MATCH($A432,Prices[Key],0)),"Uncategorized"))</f>
        <v/>
      </c>
      <c r="O432" s="291" t="str">
        <f t="shared" si="66"/>
        <v/>
      </c>
      <c r="P432" s="291" t="str">
        <f t="shared" si="67"/>
        <v/>
      </c>
    </row>
    <row r="433" spans="1:16" ht="15" customHeight="1" x14ac:dyDescent="0.2">
      <c r="A433" s="243" t="str">
        <f>IFERROR(INDEX('All Ticker P&amp;L'!$A$2:$A$1001,MATCH(ROWS($A$2:A433),'All Ticker P&amp;L'!$N$2:$N$1001,0)),"")</f>
        <v/>
      </c>
      <c r="B433" s="243" t="str">
        <f t="shared" si="59"/>
        <v/>
      </c>
      <c r="C433" s="243" t="str">
        <f t="shared" si="60"/>
        <v/>
      </c>
      <c r="D433" s="243" t="str">
        <f t="shared" si="61"/>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62"/>
        <v/>
      </c>
      <c r="K433" s="287" t="str">
        <f t="shared" si="63"/>
        <v/>
      </c>
      <c r="L433" s="287" t="str">
        <f t="shared" si="64"/>
        <v/>
      </c>
      <c r="M433" s="290" t="str">
        <f t="shared" si="65"/>
        <v/>
      </c>
      <c r="N433" t="str">
        <f>IF($A433="","",IFERROR(INDEX(Prices[Category],MATCH($A433,Prices[Key],0)),"Uncategorized"))</f>
        <v/>
      </c>
      <c r="O433" s="291" t="str">
        <f t="shared" si="66"/>
        <v/>
      </c>
      <c r="P433" s="291" t="str">
        <f t="shared" si="67"/>
        <v/>
      </c>
    </row>
    <row r="434" spans="1:16" ht="15" customHeight="1" x14ac:dyDescent="0.2">
      <c r="A434" s="243" t="str">
        <f>IFERROR(INDEX('All Ticker P&amp;L'!$A$2:$A$1001,MATCH(ROWS($A$2:A434),'All Ticker P&amp;L'!$N$2:$N$1001,0)),"")</f>
        <v/>
      </c>
      <c r="B434" s="243" t="str">
        <f t="shared" si="59"/>
        <v/>
      </c>
      <c r="C434" s="243" t="str">
        <f t="shared" si="60"/>
        <v/>
      </c>
      <c r="D434" s="243" t="str">
        <f t="shared" si="61"/>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62"/>
        <v/>
      </c>
      <c r="K434" s="287" t="str">
        <f t="shared" si="63"/>
        <v/>
      </c>
      <c r="L434" s="287" t="str">
        <f t="shared" si="64"/>
        <v/>
      </c>
      <c r="M434" s="290" t="str">
        <f t="shared" si="65"/>
        <v/>
      </c>
      <c r="N434" t="str">
        <f>IF($A434="","",IFERROR(INDEX(Prices[Category],MATCH($A434,Prices[Key],0)),"Uncategorized"))</f>
        <v/>
      </c>
      <c r="O434" s="291" t="str">
        <f t="shared" si="66"/>
        <v/>
      </c>
      <c r="P434" s="291" t="str">
        <f t="shared" si="67"/>
        <v/>
      </c>
    </row>
    <row r="435" spans="1:16" ht="15" customHeight="1" x14ac:dyDescent="0.2">
      <c r="A435" s="243" t="str">
        <f>IFERROR(INDEX('All Ticker P&amp;L'!$A$2:$A$1001,MATCH(ROWS($A$2:A435),'All Ticker P&amp;L'!$N$2:$N$1001,0)),"")</f>
        <v/>
      </c>
      <c r="B435" s="243" t="str">
        <f t="shared" si="59"/>
        <v/>
      </c>
      <c r="C435" s="243" t="str">
        <f t="shared" si="60"/>
        <v/>
      </c>
      <c r="D435" s="243" t="str">
        <f t="shared" si="61"/>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62"/>
        <v/>
      </c>
      <c r="K435" s="287" t="str">
        <f t="shared" si="63"/>
        <v/>
      </c>
      <c r="L435" s="287" t="str">
        <f t="shared" si="64"/>
        <v/>
      </c>
      <c r="M435" s="290" t="str">
        <f t="shared" si="65"/>
        <v/>
      </c>
      <c r="N435" t="str">
        <f>IF($A435="","",IFERROR(INDEX(Prices[Category],MATCH($A435,Prices[Key],0)),"Uncategorized"))</f>
        <v/>
      </c>
      <c r="O435" s="291" t="str">
        <f t="shared" si="66"/>
        <v/>
      </c>
      <c r="P435" s="291" t="str">
        <f t="shared" si="67"/>
        <v/>
      </c>
    </row>
    <row r="436" spans="1:16" ht="15" customHeight="1" x14ac:dyDescent="0.2">
      <c r="A436" s="243" t="str">
        <f>IFERROR(INDEX('All Ticker P&amp;L'!$A$2:$A$1001,MATCH(ROWS($A$2:A436),'All Ticker P&amp;L'!$N$2:$N$1001,0)),"")</f>
        <v/>
      </c>
      <c r="B436" s="243" t="str">
        <f t="shared" si="59"/>
        <v/>
      </c>
      <c r="C436" s="243" t="str">
        <f t="shared" si="60"/>
        <v/>
      </c>
      <c r="D436" s="243" t="str">
        <f t="shared" si="61"/>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62"/>
        <v/>
      </c>
      <c r="K436" s="287" t="str">
        <f t="shared" si="63"/>
        <v/>
      </c>
      <c r="L436" s="287" t="str">
        <f t="shared" si="64"/>
        <v/>
      </c>
      <c r="M436" s="290" t="str">
        <f t="shared" si="65"/>
        <v/>
      </c>
      <c r="N436" t="str">
        <f>IF($A436="","",IFERROR(INDEX(Prices[Category],MATCH($A436,Prices[Key],0)),"Uncategorized"))</f>
        <v/>
      </c>
      <c r="O436" s="291" t="str">
        <f t="shared" si="66"/>
        <v/>
      </c>
      <c r="P436" s="291" t="str">
        <f t="shared" si="67"/>
        <v/>
      </c>
    </row>
    <row r="437" spans="1:16" ht="15" customHeight="1" x14ac:dyDescent="0.2">
      <c r="A437" s="243" t="str">
        <f>IFERROR(INDEX('All Ticker P&amp;L'!$A$2:$A$1001,MATCH(ROWS($A$2:A437),'All Ticker P&amp;L'!$N$2:$N$1001,0)),"")</f>
        <v/>
      </c>
      <c r="B437" s="243" t="str">
        <f t="shared" si="59"/>
        <v/>
      </c>
      <c r="C437" s="243" t="str">
        <f t="shared" si="60"/>
        <v/>
      </c>
      <c r="D437" s="243" t="str">
        <f t="shared" si="61"/>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62"/>
        <v/>
      </c>
      <c r="K437" s="287" t="str">
        <f t="shared" si="63"/>
        <v/>
      </c>
      <c r="L437" s="287" t="str">
        <f t="shared" si="64"/>
        <v/>
      </c>
      <c r="M437" s="290" t="str">
        <f t="shared" si="65"/>
        <v/>
      </c>
      <c r="N437" t="str">
        <f>IF($A437="","",IFERROR(INDEX(Prices[Category],MATCH($A437,Prices[Key],0)),"Uncategorized"))</f>
        <v/>
      </c>
      <c r="O437" s="291" t="str">
        <f t="shared" si="66"/>
        <v/>
      </c>
      <c r="P437" s="291" t="str">
        <f t="shared" si="67"/>
        <v/>
      </c>
    </row>
    <row r="438" spans="1:16" ht="15" customHeight="1" x14ac:dyDescent="0.2">
      <c r="A438" s="243" t="str">
        <f>IFERROR(INDEX('All Ticker P&amp;L'!$A$2:$A$1001,MATCH(ROWS($A$2:A438),'All Ticker P&amp;L'!$N$2:$N$1001,0)),"")</f>
        <v/>
      </c>
      <c r="B438" s="243" t="str">
        <f t="shared" si="59"/>
        <v/>
      </c>
      <c r="C438" s="243" t="str">
        <f t="shared" si="60"/>
        <v/>
      </c>
      <c r="D438" s="243" t="str">
        <f t="shared" si="61"/>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62"/>
        <v/>
      </c>
      <c r="K438" s="287" t="str">
        <f t="shared" si="63"/>
        <v/>
      </c>
      <c r="L438" s="287" t="str">
        <f t="shared" si="64"/>
        <v/>
      </c>
      <c r="M438" s="290" t="str">
        <f t="shared" si="65"/>
        <v/>
      </c>
      <c r="N438" t="str">
        <f>IF($A438="","",IFERROR(INDEX(Prices[Category],MATCH($A438,Prices[Key],0)),"Uncategorized"))</f>
        <v/>
      </c>
      <c r="O438" s="291" t="str">
        <f t="shared" si="66"/>
        <v/>
      </c>
      <c r="P438" s="291" t="str">
        <f t="shared" si="67"/>
        <v/>
      </c>
    </row>
    <row r="439" spans="1:16" ht="15" customHeight="1" x14ac:dyDescent="0.2">
      <c r="A439" s="243" t="str">
        <f>IFERROR(INDEX('All Ticker P&amp;L'!$A$2:$A$1001,MATCH(ROWS($A$2:A439),'All Ticker P&amp;L'!$N$2:$N$1001,0)),"")</f>
        <v/>
      </c>
      <c r="B439" s="243" t="str">
        <f t="shared" si="59"/>
        <v/>
      </c>
      <c r="C439" s="243" t="str">
        <f t="shared" si="60"/>
        <v/>
      </c>
      <c r="D439" s="243" t="str">
        <f t="shared" si="61"/>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62"/>
        <v/>
      </c>
      <c r="K439" s="287" t="str">
        <f t="shared" si="63"/>
        <v/>
      </c>
      <c r="L439" s="287" t="str">
        <f t="shared" si="64"/>
        <v/>
      </c>
      <c r="M439" s="290" t="str">
        <f t="shared" si="65"/>
        <v/>
      </c>
      <c r="N439" t="str">
        <f>IF($A439="","",IFERROR(INDEX(Prices[Category],MATCH($A439,Prices[Key],0)),"Uncategorized"))</f>
        <v/>
      </c>
      <c r="O439" s="291" t="str">
        <f t="shared" si="66"/>
        <v/>
      </c>
      <c r="P439" s="291" t="str">
        <f t="shared" si="67"/>
        <v/>
      </c>
    </row>
    <row r="440" spans="1:16" ht="15" customHeight="1" x14ac:dyDescent="0.2">
      <c r="A440" s="243" t="str">
        <f>IFERROR(INDEX('All Ticker P&amp;L'!$A$2:$A$1001,MATCH(ROWS($A$2:A440),'All Ticker P&amp;L'!$N$2:$N$1001,0)),"")</f>
        <v/>
      </c>
      <c r="B440" s="243" t="str">
        <f t="shared" si="59"/>
        <v/>
      </c>
      <c r="C440" s="243" t="str">
        <f t="shared" si="60"/>
        <v/>
      </c>
      <c r="D440" s="243" t="str">
        <f t="shared" si="61"/>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62"/>
        <v/>
      </c>
      <c r="K440" s="287" t="str">
        <f t="shared" si="63"/>
        <v/>
      </c>
      <c r="L440" s="287" t="str">
        <f t="shared" si="64"/>
        <v/>
      </c>
      <c r="M440" s="290" t="str">
        <f t="shared" si="65"/>
        <v/>
      </c>
      <c r="N440" t="str">
        <f>IF($A440="","",IFERROR(INDEX(Prices[Category],MATCH($A440,Prices[Key],0)),"Uncategorized"))</f>
        <v/>
      </c>
      <c r="O440" s="291" t="str">
        <f t="shared" si="66"/>
        <v/>
      </c>
      <c r="P440" s="291" t="str">
        <f t="shared" si="67"/>
        <v/>
      </c>
    </row>
    <row r="441" spans="1:16" ht="15" customHeight="1" x14ac:dyDescent="0.2">
      <c r="A441" s="243" t="str">
        <f>IFERROR(INDEX('All Ticker P&amp;L'!$A$2:$A$1001,MATCH(ROWS($A$2:A441),'All Ticker P&amp;L'!$N$2:$N$1001,0)),"")</f>
        <v/>
      </c>
      <c r="B441" s="243" t="str">
        <f t="shared" si="59"/>
        <v/>
      </c>
      <c r="C441" s="243" t="str">
        <f t="shared" si="60"/>
        <v/>
      </c>
      <c r="D441" s="243" t="str">
        <f t="shared" si="61"/>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62"/>
        <v/>
      </c>
      <c r="K441" s="287" t="str">
        <f t="shared" si="63"/>
        <v/>
      </c>
      <c r="L441" s="287" t="str">
        <f t="shared" si="64"/>
        <v/>
      </c>
      <c r="M441" s="290" t="str">
        <f t="shared" si="65"/>
        <v/>
      </c>
      <c r="N441" t="str">
        <f>IF($A441="","",IFERROR(INDEX(Prices[Category],MATCH($A441,Prices[Key],0)),"Uncategorized"))</f>
        <v/>
      </c>
      <c r="O441" s="291" t="str">
        <f t="shared" si="66"/>
        <v/>
      </c>
      <c r="P441" s="291" t="str">
        <f t="shared" si="67"/>
        <v/>
      </c>
    </row>
    <row r="442" spans="1:16" ht="15" customHeight="1" x14ac:dyDescent="0.2">
      <c r="A442" s="243" t="str">
        <f>IFERROR(INDEX('All Ticker P&amp;L'!$A$2:$A$1001,MATCH(ROWS($A$2:A442),'All Ticker P&amp;L'!$N$2:$N$1001,0)),"")</f>
        <v/>
      </c>
      <c r="B442" s="243" t="str">
        <f t="shared" si="59"/>
        <v/>
      </c>
      <c r="C442" s="243" t="str">
        <f t="shared" si="60"/>
        <v/>
      </c>
      <c r="D442" s="243" t="str">
        <f t="shared" si="61"/>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62"/>
        <v/>
      </c>
      <c r="K442" s="287" t="str">
        <f t="shared" si="63"/>
        <v/>
      </c>
      <c r="L442" s="287" t="str">
        <f t="shared" si="64"/>
        <v/>
      </c>
      <c r="M442" s="290" t="str">
        <f t="shared" si="65"/>
        <v/>
      </c>
      <c r="N442" t="str">
        <f>IF($A442="","",IFERROR(INDEX(Prices[Category],MATCH($A442,Prices[Key],0)),"Uncategorized"))</f>
        <v/>
      </c>
      <c r="O442" s="291" t="str">
        <f t="shared" si="66"/>
        <v/>
      </c>
      <c r="P442" s="291" t="str">
        <f t="shared" si="67"/>
        <v/>
      </c>
    </row>
    <row r="443" spans="1:16" ht="15" customHeight="1" x14ac:dyDescent="0.2">
      <c r="A443" s="243" t="str">
        <f>IFERROR(INDEX('All Ticker P&amp;L'!$A$2:$A$1001,MATCH(ROWS($A$2:A443),'All Ticker P&amp;L'!$N$2:$N$1001,0)),"")</f>
        <v/>
      </c>
      <c r="B443" s="243" t="str">
        <f t="shared" si="59"/>
        <v/>
      </c>
      <c r="C443" s="243" t="str">
        <f t="shared" si="60"/>
        <v/>
      </c>
      <c r="D443" s="243" t="str">
        <f t="shared" si="61"/>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62"/>
        <v/>
      </c>
      <c r="K443" s="287" t="str">
        <f t="shared" si="63"/>
        <v/>
      </c>
      <c r="L443" s="287" t="str">
        <f t="shared" si="64"/>
        <v/>
      </c>
      <c r="M443" s="290" t="str">
        <f t="shared" si="65"/>
        <v/>
      </c>
      <c r="N443" t="str">
        <f>IF($A443="","",IFERROR(INDEX(Prices[Category],MATCH($A443,Prices[Key],0)),"Uncategorized"))</f>
        <v/>
      </c>
      <c r="O443" s="291" t="str">
        <f t="shared" si="66"/>
        <v/>
      </c>
      <c r="P443" s="291" t="str">
        <f t="shared" si="67"/>
        <v/>
      </c>
    </row>
    <row r="444" spans="1:16" ht="15" customHeight="1" x14ac:dyDescent="0.2">
      <c r="A444" s="243" t="str">
        <f>IFERROR(INDEX('All Ticker P&amp;L'!$A$2:$A$1001,MATCH(ROWS($A$2:A444),'All Ticker P&amp;L'!$N$2:$N$1001,0)),"")</f>
        <v/>
      </c>
      <c r="B444" s="243" t="str">
        <f t="shared" si="59"/>
        <v/>
      </c>
      <c r="C444" s="243" t="str">
        <f t="shared" si="60"/>
        <v/>
      </c>
      <c r="D444" s="243" t="str">
        <f t="shared" si="61"/>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62"/>
        <v/>
      </c>
      <c r="K444" s="287" t="str">
        <f t="shared" si="63"/>
        <v/>
      </c>
      <c r="L444" s="287" t="str">
        <f t="shared" si="64"/>
        <v/>
      </c>
      <c r="M444" s="290" t="str">
        <f t="shared" si="65"/>
        <v/>
      </c>
      <c r="N444" t="str">
        <f>IF($A444="","",IFERROR(INDEX(Prices[Category],MATCH($A444,Prices[Key],0)),"Uncategorized"))</f>
        <v/>
      </c>
      <c r="O444" s="291" t="str">
        <f t="shared" si="66"/>
        <v/>
      </c>
      <c r="P444" s="291" t="str">
        <f t="shared" si="67"/>
        <v/>
      </c>
    </row>
    <row r="445" spans="1:16" ht="15" customHeight="1" x14ac:dyDescent="0.2">
      <c r="A445" s="243" t="str">
        <f>IFERROR(INDEX('All Ticker P&amp;L'!$A$2:$A$1001,MATCH(ROWS($A$2:A445),'All Ticker P&amp;L'!$N$2:$N$1001,0)),"")</f>
        <v/>
      </c>
      <c r="B445" s="243" t="str">
        <f t="shared" si="59"/>
        <v/>
      </c>
      <c r="C445" s="243" t="str">
        <f t="shared" si="60"/>
        <v/>
      </c>
      <c r="D445" s="243" t="str">
        <f t="shared" si="61"/>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62"/>
        <v/>
      </c>
      <c r="K445" s="287" t="str">
        <f t="shared" si="63"/>
        <v/>
      </c>
      <c r="L445" s="287" t="str">
        <f t="shared" si="64"/>
        <v/>
      </c>
      <c r="M445" s="290" t="str">
        <f t="shared" si="65"/>
        <v/>
      </c>
      <c r="N445" t="str">
        <f>IF($A445="","",IFERROR(INDEX(Prices[Category],MATCH($A445,Prices[Key],0)),"Uncategorized"))</f>
        <v/>
      </c>
      <c r="O445" s="291" t="str">
        <f t="shared" si="66"/>
        <v/>
      </c>
      <c r="P445" s="291" t="str">
        <f t="shared" si="67"/>
        <v/>
      </c>
    </row>
    <row r="446" spans="1:16" ht="15" customHeight="1" x14ac:dyDescent="0.2">
      <c r="A446" s="243" t="str">
        <f>IFERROR(INDEX('All Ticker P&amp;L'!$A$2:$A$1001,MATCH(ROWS($A$2:A446),'All Ticker P&amp;L'!$N$2:$N$1001,0)),"")</f>
        <v/>
      </c>
      <c r="B446" s="243" t="str">
        <f t="shared" si="59"/>
        <v/>
      </c>
      <c r="C446" s="243" t="str">
        <f t="shared" si="60"/>
        <v/>
      </c>
      <c r="D446" s="243" t="str">
        <f t="shared" si="61"/>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62"/>
        <v/>
      </c>
      <c r="K446" s="287" t="str">
        <f t="shared" si="63"/>
        <v/>
      </c>
      <c r="L446" s="287" t="str">
        <f t="shared" si="64"/>
        <v/>
      </c>
      <c r="M446" s="290" t="str">
        <f t="shared" si="65"/>
        <v/>
      </c>
      <c r="N446" t="str">
        <f>IF($A446="","",IFERROR(INDEX(Prices[Category],MATCH($A446,Prices[Key],0)),"Uncategorized"))</f>
        <v/>
      </c>
      <c r="O446" s="291" t="str">
        <f t="shared" si="66"/>
        <v/>
      </c>
      <c r="P446" s="291" t="str">
        <f t="shared" si="67"/>
        <v/>
      </c>
    </row>
    <row r="447" spans="1:16" ht="15" customHeight="1" x14ac:dyDescent="0.2">
      <c r="A447" s="243" t="str">
        <f>IFERROR(INDEX('All Ticker P&amp;L'!$A$2:$A$1001,MATCH(ROWS($A$2:A447),'All Ticker P&amp;L'!$N$2:$N$1001,0)),"")</f>
        <v/>
      </c>
      <c r="B447" s="243" t="str">
        <f t="shared" si="59"/>
        <v/>
      </c>
      <c r="C447" s="243" t="str">
        <f t="shared" si="60"/>
        <v/>
      </c>
      <c r="D447" s="243" t="str">
        <f t="shared" si="61"/>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62"/>
        <v/>
      </c>
      <c r="K447" s="287" t="str">
        <f t="shared" si="63"/>
        <v/>
      </c>
      <c r="L447" s="287" t="str">
        <f t="shared" si="64"/>
        <v/>
      </c>
      <c r="M447" s="290" t="str">
        <f t="shared" si="65"/>
        <v/>
      </c>
      <c r="N447" t="str">
        <f>IF($A447="","",IFERROR(INDEX(Prices[Category],MATCH($A447,Prices[Key],0)),"Uncategorized"))</f>
        <v/>
      </c>
      <c r="O447" s="291" t="str">
        <f t="shared" si="66"/>
        <v/>
      </c>
      <c r="P447" s="291" t="str">
        <f t="shared" si="67"/>
        <v/>
      </c>
    </row>
    <row r="448" spans="1:16" ht="15" customHeight="1" x14ac:dyDescent="0.2">
      <c r="A448" s="243" t="str">
        <f>IFERROR(INDEX('All Ticker P&amp;L'!$A$2:$A$1001,MATCH(ROWS($A$2:A448),'All Ticker P&amp;L'!$N$2:$N$1001,0)),"")</f>
        <v/>
      </c>
      <c r="B448" s="243" t="str">
        <f t="shared" si="59"/>
        <v/>
      </c>
      <c r="C448" s="243" t="str">
        <f t="shared" si="60"/>
        <v/>
      </c>
      <c r="D448" s="243" t="str">
        <f t="shared" si="61"/>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62"/>
        <v/>
      </c>
      <c r="K448" s="287" t="str">
        <f t="shared" si="63"/>
        <v/>
      </c>
      <c r="L448" s="287" t="str">
        <f t="shared" si="64"/>
        <v/>
      </c>
      <c r="M448" s="290" t="str">
        <f t="shared" si="65"/>
        <v/>
      </c>
      <c r="N448" t="str">
        <f>IF($A448="","",IFERROR(INDEX(Prices[Category],MATCH($A448,Prices[Key],0)),"Uncategorized"))</f>
        <v/>
      </c>
      <c r="O448" s="291" t="str">
        <f t="shared" si="66"/>
        <v/>
      </c>
      <c r="P448" s="291" t="str">
        <f t="shared" si="67"/>
        <v/>
      </c>
    </row>
    <row r="449" spans="1:16" ht="15" customHeight="1" x14ac:dyDescent="0.2">
      <c r="A449" s="243" t="str">
        <f>IFERROR(INDEX('All Ticker P&amp;L'!$A$2:$A$1001,MATCH(ROWS($A$2:A449),'All Ticker P&amp;L'!$N$2:$N$1001,0)),"")</f>
        <v/>
      </c>
      <c r="B449" s="243" t="str">
        <f t="shared" si="59"/>
        <v/>
      </c>
      <c r="C449" s="243" t="str">
        <f t="shared" si="60"/>
        <v/>
      </c>
      <c r="D449" s="243" t="str">
        <f t="shared" si="61"/>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62"/>
        <v/>
      </c>
      <c r="K449" s="287" t="str">
        <f t="shared" si="63"/>
        <v/>
      </c>
      <c r="L449" s="287" t="str">
        <f t="shared" si="64"/>
        <v/>
      </c>
      <c r="M449" s="290" t="str">
        <f t="shared" si="65"/>
        <v/>
      </c>
      <c r="N449" t="str">
        <f>IF($A449="","",IFERROR(INDEX(Prices[Category],MATCH($A449,Prices[Key],0)),"Uncategorized"))</f>
        <v/>
      </c>
      <c r="O449" s="291" t="str">
        <f t="shared" si="66"/>
        <v/>
      </c>
      <c r="P449" s="291" t="str">
        <f t="shared" si="67"/>
        <v/>
      </c>
    </row>
    <row r="450" spans="1:16" ht="15" customHeight="1" x14ac:dyDescent="0.2">
      <c r="A450" s="243" t="str">
        <f>IFERROR(INDEX('All Ticker P&amp;L'!$A$2:$A$1001,MATCH(ROWS($A$2:A450),'All Ticker P&amp;L'!$N$2:$N$1001,0)),"")</f>
        <v/>
      </c>
      <c r="B450" s="243" t="str">
        <f t="shared" ref="B450:B513" si="68">IF($A450="","",LEFT($A450,FIND(":",$A450)-1))</f>
        <v/>
      </c>
      <c r="C450" s="243" t="str">
        <f t="shared" ref="C450:C513" si="69">IF($A450="","",MID($A450,FIND(":",$A450)+1,FIND(":",$A450,FIND(":",$A450)+1)-FIND(":",$A450)-1))</f>
        <v/>
      </c>
      <c r="D450" s="243" t="str">
        <f t="shared" ref="D450:D513" si="70">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71">IF($A450="","",E450*H450)</f>
        <v/>
      </c>
      <c r="K450" s="287" t="str">
        <f t="shared" ref="K450:K513" si="72">IF($A450="","",J450+G450-F450)</f>
        <v/>
      </c>
      <c r="L450" s="287" t="str">
        <f t="shared" ref="L450:L513" si="73">IF($A450="","",K450*I450)</f>
        <v/>
      </c>
      <c r="M450" s="290" t="str">
        <f t="shared" ref="M450:M513" si="74">IF($A450="","",IFERROR(K450/F450,0))</f>
        <v/>
      </c>
      <c r="N450" t="str">
        <f>IF($A450="","",IFERROR(INDEX(Prices[Category],MATCH($A450,Prices[Key],0)),"Uncategorized"))</f>
        <v/>
      </c>
      <c r="O450" s="291" t="str">
        <f t="shared" ref="O450:O513" si="75">IF($A450="","",$J450*$I450)</f>
        <v/>
      </c>
      <c r="P450" s="291" t="str">
        <f t="shared" ref="P450:P513" si="76">IF($A450="","",$L450)</f>
        <v/>
      </c>
    </row>
    <row r="451" spans="1:16" ht="15" customHeight="1" x14ac:dyDescent="0.2">
      <c r="A451" s="243" t="str">
        <f>IFERROR(INDEX('All Ticker P&amp;L'!$A$2:$A$1001,MATCH(ROWS($A$2:A451),'All Ticker P&amp;L'!$N$2:$N$1001,0)),"")</f>
        <v/>
      </c>
      <c r="B451" s="243" t="str">
        <f t="shared" si="68"/>
        <v/>
      </c>
      <c r="C451" s="243" t="str">
        <f t="shared" si="69"/>
        <v/>
      </c>
      <c r="D451" s="243" t="str">
        <f t="shared" si="70"/>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71"/>
        <v/>
      </c>
      <c r="K451" s="287" t="str">
        <f t="shared" si="72"/>
        <v/>
      </c>
      <c r="L451" s="287" t="str">
        <f t="shared" si="73"/>
        <v/>
      </c>
      <c r="M451" s="290" t="str">
        <f t="shared" si="74"/>
        <v/>
      </c>
      <c r="N451" t="str">
        <f>IF($A451="","",IFERROR(INDEX(Prices[Category],MATCH($A451,Prices[Key],0)),"Uncategorized"))</f>
        <v/>
      </c>
      <c r="O451" s="291" t="str">
        <f t="shared" si="75"/>
        <v/>
      </c>
      <c r="P451" s="291" t="str">
        <f t="shared" si="76"/>
        <v/>
      </c>
    </row>
    <row r="452" spans="1:16" ht="15" customHeight="1" x14ac:dyDescent="0.2">
      <c r="A452" s="243" t="str">
        <f>IFERROR(INDEX('All Ticker P&amp;L'!$A$2:$A$1001,MATCH(ROWS($A$2:A452),'All Ticker P&amp;L'!$N$2:$N$1001,0)),"")</f>
        <v/>
      </c>
      <c r="B452" s="243" t="str">
        <f t="shared" si="68"/>
        <v/>
      </c>
      <c r="C452" s="243" t="str">
        <f t="shared" si="69"/>
        <v/>
      </c>
      <c r="D452" s="243" t="str">
        <f t="shared" si="70"/>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71"/>
        <v/>
      </c>
      <c r="K452" s="287" t="str">
        <f t="shared" si="72"/>
        <v/>
      </c>
      <c r="L452" s="287" t="str">
        <f t="shared" si="73"/>
        <v/>
      </c>
      <c r="M452" s="290" t="str">
        <f t="shared" si="74"/>
        <v/>
      </c>
      <c r="N452" t="str">
        <f>IF($A452="","",IFERROR(INDEX(Prices[Category],MATCH($A452,Prices[Key],0)),"Uncategorized"))</f>
        <v/>
      </c>
      <c r="O452" s="291" t="str">
        <f t="shared" si="75"/>
        <v/>
      </c>
      <c r="P452" s="291" t="str">
        <f t="shared" si="76"/>
        <v/>
      </c>
    </row>
    <row r="453" spans="1:16" ht="15" customHeight="1" x14ac:dyDescent="0.2">
      <c r="A453" s="243" t="str">
        <f>IFERROR(INDEX('All Ticker P&amp;L'!$A$2:$A$1001,MATCH(ROWS($A$2:A453),'All Ticker P&amp;L'!$N$2:$N$1001,0)),"")</f>
        <v/>
      </c>
      <c r="B453" s="243" t="str">
        <f t="shared" si="68"/>
        <v/>
      </c>
      <c r="C453" s="243" t="str">
        <f t="shared" si="69"/>
        <v/>
      </c>
      <c r="D453" s="243" t="str">
        <f t="shared" si="70"/>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71"/>
        <v/>
      </c>
      <c r="K453" s="287" t="str">
        <f t="shared" si="72"/>
        <v/>
      </c>
      <c r="L453" s="287" t="str">
        <f t="shared" si="73"/>
        <v/>
      </c>
      <c r="M453" s="290" t="str">
        <f t="shared" si="74"/>
        <v/>
      </c>
      <c r="N453" t="str">
        <f>IF($A453="","",IFERROR(INDEX(Prices[Category],MATCH($A453,Prices[Key],0)),"Uncategorized"))</f>
        <v/>
      </c>
      <c r="O453" s="291" t="str">
        <f t="shared" si="75"/>
        <v/>
      </c>
      <c r="P453" s="291" t="str">
        <f t="shared" si="76"/>
        <v/>
      </c>
    </row>
    <row r="454" spans="1:16" ht="15" customHeight="1" x14ac:dyDescent="0.2">
      <c r="A454" s="243" t="str">
        <f>IFERROR(INDEX('All Ticker P&amp;L'!$A$2:$A$1001,MATCH(ROWS($A$2:A454),'All Ticker P&amp;L'!$N$2:$N$1001,0)),"")</f>
        <v/>
      </c>
      <c r="B454" s="243" t="str">
        <f t="shared" si="68"/>
        <v/>
      </c>
      <c r="C454" s="243" t="str">
        <f t="shared" si="69"/>
        <v/>
      </c>
      <c r="D454" s="243" t="str">
        <f t="shared" si="70"/>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71"/>
        <v/>
      </c>
      <c r="K454" s="287" t="str">
        <f t="shared" si="72"/>
        <v/>
      </c>
      <c r="L454" s="287" t="str">
        <f t="shared" si="73"/>
        <v/>
      </c>
      <c r="M454" s="290" t="str">
        <f t="shared" si="74"/>
        <v/>
      </c>
      <c r="N454" t="str">
        <f>IF($A454="","",IFERROR(INDEX(Prices[Category],MATCH($A454,Prices[Key],0)),"Uncategorized"))</f>
        <v/>
      </c>
      <c r="O454" s="291" t="str">
        <f t="shared" si="75"/>
        <v/>
      </c>
      <c r="P454" s="291" t="str">
        <f t="shared" si="76"/>
        <v/>
      </c>
    </row>
    <row r="455" spans="1:16" ht="15" customHeight="1" x14ac:dyDescent="0.2">
      <c r="A455" s="243" t="str">
        <f>IFERROR(INDEX('All Ticker P&amp;L'!$A$2:$A$1001,MATCH(ROWS($A$2:A455),'All Ticker P&amp;L'!$N$2:$N$1001,0)),"")</f>
        <v/>
      </c>
      <c r="B455" s="243" t="str">
        <f t="shared" si="68"/>
        <v/>
      </c>
      <c r="C455" s="243" t="str">
        <f t="shared" si="69"/>
        <v/>
      </c>
      <c r="D455" s="243" t="str">
        <f t="shared" si="70"/>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71"/>
        <v/>
      </c>
      <c r="K455" s="287" t="str">
        <f t="shared" si="72"/>
        <v/>
      </c>
      <c r="L455" s="287" t="str">
        <f t="shared" si="73"/>
        <v/>
      </c>
      <c r="M455" s="290" t="str">
        <f t="shared" si="74"/>
        <v/>
      </c>
      <c r="N455" t="str">
        <f>IF($A455="","",IFERROR(INDEX(Prices[Category],MATCH($A455,Prices[Key],0)),"Uncategorized"))</f>
        <v/>
      </c>
      <c r="O455" s="291" t="str">
        <f t="shared" si="75"/>
        <v/>
      </c>
      <c r="P455" s="291" t="str">
        <f t="shared" si="76"/>
        <v/>
      </c>
    </row>
    <row r="456" spans="1:16" ht="15" customHeight="1" x14ac:dyDescent="0.2">
      <c r="A456" s="243" t="str">
        <f>IFERROR(INDEX('All Ticker P&amp;L'!$A$2:$A$1001,MATCH(ROWS($A$2:A456),'All Ticker P&amp;L'!$N$2:$N$1001,0)),"")</f>
        <v/>
      </c>
      <c r="B456" s="243" t="str">
        <f t="shared" si="68"/>
        <v/>
      </c>
      <c r="C456" s="243" t="str">
        <f t="shared" si="69"/>
        <v/>
      </c>
      <c r="D456" s="243" t="str">
        <f t="shared" si="70"/>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71"/>
        <v/>
      </c>
      <c r="K456" s="287" t="str">
        <f t="shared" si="72"/>
        <v/>
      </c>
      <c r="L456" s="287" t="str">
        <f t="shared" si="73"/>
        <v/>
      </c>
      <c r="M456" s="290" t="str">
        <f t="shared" si="74"/>
        <v/>
      </c>
      <c r="N456" t="str">
        <f>IF($A456="","",IFERROR(INDEX(Prices[Category],MATCH($A456,Prices[Key],0)),"Uncategorized"))</f>
        <v/>
      </c>
      <c r="O456" s="291" t="str">
        <f t="shared" si="75"/>
        <v/>
      </c>
      <c r="P456" s="291" t="str">
        <f t="shared" si="76"/>
        <v/>
      </c>
    </row>
    <row r="457" spans="1:16" ht="15" customHeight="1" x14ac:dyDescent="0.2">
      <c r="A457" s="243" t="str">
        <f>IFERROR(INDEX('All Ticker P&amp;L'!$A$2:$A$1001,MATCH(ROWS($A$2:A457),'All Ticker P&amp;L'!$N$2:$N$1001,0)),"")</f>
        <v/>
      </c>
      <c r="B457" s="243" t="str">
        <f t="shared" si="68"/>
        <v/>
      </c>
      <c r="C457" s="243" t="str">
        <f t="shared" si="69"/>
        <v/>
      </c>
      <c r="D457" s="243" t="str">
        <f t="shared" si="70"/>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71"/>
        <v/>
      </c>
      <c r="K457" s="287" t="str">
        <f t="shared" si="72"/>
        <v/>
      </c>
      <c r="L457" s="287" t="str">
        <f t="shared" si="73"/>
        <v/>
      </c>
      <c r="M457" s="290" t="str">
        <f t="shared" si="74"/>
        <v/>
      </c>
      <c r="N457" t="str">
        <f>IF($A457="","",IFERROR(INDEX(Prices[Category],MATCH($A457,Prices[Key],0)),"Uncategorized"))</f>
        <v/>
      </c>
      <c r="O457" s="291" t="str">
        <f t="shared" si="75"/>
        <v/>
      </c>
      <c r="P457" s="291" t="str">
        <f t="shared" si="76"/>
        <v/>
      </c>
    </row>
    <row r="458" spans="1:16" ht="15" customHeight="1" x14ac:dyDescent="0.2">
      <c r="A458" s="243" t="str">
        <f>IFERROR(INDEX('All Ticker P&amp;L'!$A$2:$A$1001,MATCH(ROWS($A$2:A458),'All Ticker P&amp;L'!$N$2:$N$1001,0)),"")</f>
        <v/>
      </c>
      <c r="B458" s="243" t="str">
        <f t="shared" si="68"/>
        <v/>
      </c>
      <c r="C458" s="243" t="str">
        <f t="shared" si="69"/>
        <v/>
      </c>
      <c r="D458" s="243" t="str">
        <f t="shared" si="70"/>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71"/>
        <v/>
      </c>
      <c r="K458" s="287" t="str">
        <f t="shared" si="72"/>
        <v/>
      </c>
      <c r="L458" s="287" t="str">
        <f t="shared" si="73"/>
        <v/>
      </c>
      <c r="M458" s="290" t="str">
        <f t="shared" si="74"/>
        <v/>
      </c>
      <c r="N458" t="str">
        <f>IF($A458="","",IFERROR(INDEX(Prices[Category],MATCH($A458,Prices[Key],0)),"Uncategorized"))</f>
        <v/>
      </c>
      <c r="O458" s="291" t="str">
        <f t="shared" si="75"/>
        <v/>
      </c>
      <c r="P458" s="291" t="str">
        <f t="shared" si="76"/>
        <v/>
      </c>
    </row>
    <row r="459" spans="1:16" ht="15" customHeight="1" x14ac:dyDescent="0.2">
      <c r="A459" s="243" t="str">
        <f>IFERROR(INDEX('All Ticker P&amp;L'!$A$2:$A$1001,MATCH(ROWS($A$2:A459),'All Ticker P&amp;L'!$N$2:$N$1001,0)),"")</f>
        <v/>
      </c>
      <c r="B459" s="243" t="str">
        <f t="shared" si="68"/>
        <v/>
      </c>
      <c r="C459" s="243" t="str">
        <f t="shared" si="69"/>
        <v/>
      </c>
      <c r="D459" s="243" t="str">
        <f t="shared" si="70"/>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71"/>
        <v/>
      </c>
      <c r="K459" s="287" t="str">
        <f t="shared" si="72"/>
        <v/>
      </c>
      <c r="L459" s="287" t="str">
        <f t="shared" si="73"/>
        <v/>
      </c>
      <c r="M459" s="290" t="str">
        <f t="shared" si="74"/>
        <v/>
      </c>
      <c r="N459" t="str">
        <f>IF($A459="","",IFERROR(INDEX(Prices[Category],MATCH($A459,Prices[Key],0)),"Uncategorized"))</f>
        <v/>
      </c>
      <c r="O459" s="291" t="str">
        <f t="shared" si="75"/>
        <v/>
      </c>
      <c r="P459" s="291" t="str">
        <f t="shared" si="76"/>
        <v/>
      </c>
    </row>
    <row r="460" spans="1:16" ht="15" customHeight="1" x14ac:dyDescent="0.2">
      <c r="A460" s="243" t="str">
        <f>IFERROR(INDEX('All Ticker P&amp;L'!$A$2:$A$1001,MATCH(ROWS($A$2:A460),'All Ticker P&amp;L'!$N$2:$N$1001,0)),"")</f>
        <v/>
      </c>
      <c r="B460" s="243" t="str">
        <f t="shared" si="68"/>
        <v/>
      </c>
      <c r="C460" s="243" t="str">
        <f t="shared" si="69"/>
        <v/>
      </c>
      <c r="D460" s="243" t="str">
        <f t="shared" si="70"/>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71"/>
        <v/>
      </c>
      <c r="K460" s="287" t="str">
        <f t="shared" si="72"/>
        <v/>
      </c>
      <c r="L460" s="287" t="str">
        <f t="shared" si="73"/>
        <v/>
      </c>
      <c r="M460" s="290" t="str">
        <f t="shared" si="74"/>
        <v/>
      </c>
      <c r="N460" t="str">
        <f>IF($A460="","",IFERROR(INDEX(Prices[Category],MATCH($A460,Prices[Key],0)),"Uncategorized"))</f>
        <v/>
      </c>
      <c r="O460" s="291" t="str">
        <f t="shared" si="75"/>
        <v/>
      </c>
      <c r="P460" s="291" t="str">
        <f t="shared" si="76"/>
        <v/>
      </c>
    </row>
    <row r="461" spans="1:16" ht="15" customHeight="1" x14ac:dyDescent="0.2">
      <c r="A461" s="243" t="str">
        <f>IFERROR(INDEX('All Ticker P&amp;L'!$A$2:$A$1001,MATCH(ROWS($A$2:A461),'All Ticker P&amp;L'!$N$2:$N$1001,0)),"")</f>
        <v/>
      </c>
      <c r="B461" s="243" t="str">
        <f t="shared" si="68"/>
        <v/>
      </c>
      <c r="C461" s="243" t="str">
        <f t="shared" si="69"/>
        <v/>
      </c>
      <c r="D461" s="243" t="str">
        <f t="shared" si="70"/>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71"/>
        <v/>
      </c>
      <c r="K461" s="287" t="str">
        <f t="shared" si="72"/>
        <v/>
      </c>
      <c r="L461" s="287" t="str">
        <f t="shared" si="73"/>
        <v/>
      </c>
      <c r="M461" s="290" t="str">
        <f t="shared" si="74"/>
        <v/>
      </c>
      <c r="N461" t="str">
        <f>IF($A461="","",IFERROR(INDEX(Prices[Category],MATCH($A461,Prices[Key],0)),"Uncategorized"))</f>
        <v/>
      </c>
      <c r="O461" s="291" t="str">
        <f t="shared" si="75"/>
        <v/>
      </c>
      <c r="P461" s="291" t="str">
        <f t="shared" si="76"/>
        <v/>
      </c>
    </row>
    <row r="462" spans="1:16" ht="15" customHeight="1" x14ac:dyDescent="0.2">
      <c r="A462" s="243" t="str">
        <f>IFERROR(INDEX('All Ticker P&amp;L'!$A$2:$A$1001,MATCH(ROWS($A$2:A462),'All Ticker P&amp;L'!$N$2:$N$1001,0)),"")</f>
        <v/>
      </c>
      <c r="B462" s="243" t="str">
        <f t="shared" si="68"/>
        <v/>
      </c>
      <c r="C462" s="243" t="str">
        <f t="shared" si="69"/>
        <v/>
      </c>
      <c r="D462" s="243" t="str">
        <f t="shared" si="70"/>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71"/>
        <v/>
      </c>
      <c r="K462" s="287" t="str">
        <f t="shared" si="72"/>
        <v/>
      </c>
      <c r="L462" s="287" t="str">
        <f t="shared" si="73"/>
        <v/>
      </c>
      <c r="M462" s="290" t="str">
        <f t="shared" si="74"/>
        <v/>
      </c>
      <c r="N462" t="str">
        <f>IF($A462="","",IFERROR(INDEX(Prices[Category],MATCH($A462,Prices[Key],0)),"Uncategorized"))</f>
        <v/>
      </c>
      <c r="O462" s="291" t="str">
        <f t="shared" si="75"/>
        <v/>
      </c>
      <c r="P462" s="291" t="str">
        <f t="shared" si="76"/>
        <v/>
      </c>
    </row>
    <row r="463" spans="1:16" ht="15" customHeight="1" x14ac:dyDescent="0.2">
      <c r="A463" s="243" t="str">
        <f>IFERROR(INDEX('All Ticker P&amp;L'!$A$2:$A$1001,MATCH(ROWS($A$2:A463),'All Ticker P&amp;L'!$N$2:$N$1001,0)),"")</f>
        <v/>
      </c>
      <c r="B463" s="243" t="str">
        <f t="shared" si="68"/>
        <v/>
      </c>
      <c r="C463" s="243" t="str">
        <f t="shared" si="69"/>
        <v/>
      </c>
      <c r="D463" s="243" t="str">
        <f t="shared" si="70"/>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71"/>
        <v/>
      </c>
      <c r="K463" s="287" t="str">
        <f t="shared" si="72"/>
        <v/>
      </c>
      <c r="L463" s="287" t="str">
        <f t="shared" si="73"/>
        <v/>
      </c>
      <c r="M463" s="290" t="str">
        <f t="shared" si="74"/>
        <v/>
      </c>
      <c r="N463" t="str">
        <f>IF($A463="","",IFERROR(INDEX(Prices[Category],MATCH($A463,Prices[Key],0)),"Uncategorized"))</f>
        <v/>
      </c>
      <c r="O463" s="291" t="str">
        <f t="shared" si="75"/>
        <v/>
      </c>
      <c r="P463" s="291" t="str">
        <f t="shared" si="76"/>
        <v/>
      </c>
    </row>
    <row r="464" spans="1:16" ht="15" customHeight="1" x14ac:dyDescent="0.2">
      <c r="A464" s="243" t="str">
        <f>IFERROR(INDEX('All Ticker P&amp;L'!$A$2:$A$1001,MATCH(ROWS($A$2:A464),'All Ticker P&amp;L'!$N$2:$N$1001,0)),"")</f>
        <v/>
      </c>
      <c r="B464" s="243" t="str">
        <f t="shared" si="68"/>
        <v/>
      </c>
      <c r="C464" s="243" t="str">
        <f t="shared" si="69"/>
        <v/>
      </c>
      <c r="D464" s="243" t="str">
        <f t="shared" si="70"/>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71"/>
        <v/>
      </c>
      <c r="K464" s="287" t="str">
        <f t="shared" si="72"/>
        <v/>
      </c>
      <c r="L464" s="287" t="str">
        <f t="shared" si="73"/>
        <v/>
      </c>
      <c r="M464" s="290" t="str">
        <f t="shared" si="74"/>
        <v/>
      </c>
      <c r="N464" t="str">
        <f>IF($A464="","",IFERROR(INDEX(Prices[Category],MATCH($A464,Prices[Key],0)),"Uncategorized"))</f>
        <v/>
      </c>
      <c r="O464" s="291" t="str">
        <f t="shared" si="75"/>
        <v/>
      </c>
      <c r="P464" s="291" t="str">
        <f t="shared" si="76"/>
        <v/>
      </c>
    </row>
    <row r="465" spans="1:16" ht="15" customHeight="1" x14ac:dyDescent="0.2">
      <c r="A465" s="243" t="str">
        <f>IFERROR(INDEX('All Ticker P&amp;L'!$A$2:$A$1001,MATCH(ROWS($A$2:A465),'All Ticker P&amp;L'!$N$2:$N$1001,0)),"")</f>
        <v/>
      </c>
      <c r="B465" s="243" t="str">
        <f t="shared" si="68"/>
        <v/>
      </c>
      <c r="C465" s="243" t="str">
        <f t="shared" si="69"/>
        <v/>
      </c>
      <c r="D465" s="243" t="str">
        <f t="shared" si="70"/>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71"/>
        <v/>
      </c>
      <c r="K465" s="287" t="str">
        <f t="shared" si="72"/>
        <v/>
      </c>
      <c r="L465" s="287" t="str">
        <f t="shared" si="73"/>
        <v/>
      </c>
      <c r="M465" s="290" t="str">
        <f t="shared" si="74"/>
        <v/>
      </c>
      <c r="N465" t="str">
        <f>IF($A465="","",IFERROR(INDEX(Prices[Category],MATCH($A465,Prices[Key],0)),"Uncategorized"))</f>
        <v/>
      </c>
      <c r="O465" s="291" t="str">
        <f t="shared" si="75"/>
        <v/>
      </c>
      <c r="P465" s="291" t="str">
        <f t="shared" si="76"/>
        <v/>
      </c>
    </row>
    <row r="466" spans="1:16" ht="15" customHeight="1" x14ac:dyDescent="0.2">
      <c r="A466" s="243" t="str">
        <f>IFERROR(INDEX('All Ticker P&amp;L'!$A$2:$A$1001,MATCH(ROWS($A$2:A466),'All Ticker P&amp;L'!$N$2:$N$1001,0)),"")</f>
        <v/>
      </c>
      <c r="B466" s="243" t="str">
        <f t="shared" si="68"/>
        <v/>
      </c>
      <c r="C466" s="243" t="str">
        <f t="shared" si="69"/>
        <v/>
      </c>
      <c r="D466" s="243" t="str">
        <f t="shared" si="70"/>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71"/>
        <v/>
      </c>
      <c r="K466" s="287" t="str">
        <f t="shared" si="72"/>
        <v/>
      </c>
      <c r="L466" s="287" t="str">
        <f t="shared" si="73"/>
        <v/>
      </c>
      <c r="M466" s="290" t="str">
        <f t="shared" si="74"/>
        <v/>
      </c>
      <c r="N466" t="str">
        <f>IF($A466="","",IFERROR(INDEX(Prices[Category],MATCH($A466,Prices[Key],0)),"Uncategorized"))</f>
        <v/>
      </c>
      <c r="O466" s="291" t="str">
        <f t="shared" si="75"/>
        <v/>
      </c>
      <c r="P466" s="291" t="str">
        <f t="shared" si="76"/>
        <v/>
      </c>
    </row>
    <row r="467" spans="1:16" ht="15" customHeight="1" x14ac:dyDescent="0.2">
      <c r="A467" s="243" t="str">
        <f>IFERROR(INDEX('All Ticker P&amp;L'!$A$2:$A$1001,MATCH(ROWS($A$2:A467),'All Ticker P&amp;L'!$N$2:$N$1001,0)),"")</f>
        <v/>
      </c>
      <c r="B467" s="243" t="str">
        <f t="shared" si="68"/>
        <v/>
      </c>
      <c r="C467" s="243" t="str">
        <f t="shared" si="69"/>
        <v/>
      </c>
      <c r="D467" s="243" t="str">
        <f t="shared" si="70"/>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71"/>
        <v/>
      </c>
      <c r="K467" s="287" t="str">
        <f t="shared" si="72"/>
        <v/>
      </c>
      <c r="L467" s="287" t="str">
        <f t="shared" si="73"/>
        <v/>
      </c>
      <c r="M467" s="290" t="str">
        <f t="shared" si="74"/>
        <v/>
      </c>
      <c r="N467" t="str">
        <f>IF($A467="","",IFERROR(INDEX(Prices[Category],MATCH($A467,Prices[Key],0)),"Uncategorized"))</f>
        <v/>
      </c>
      <c r="O467" s="291" t="str">
        <f t="shared" si="75"/>
        <v/>
      </c>
      <c r="P467" s="291" t="str">
        <f t="shared" si="76"/>
        <v/>
      </c>
    </row>
    <row r="468" spans="1:16" ht="15" customHeight="1" x14ac:dyDescent="0.2">
      <c r="A468" s="243" t="str">
        <f>IFERROR(INDEX('All Ticker P&amp;L'!$A$2:$A$1001,MATCH(ROWS($A$2:A468),'All Ticker P&amp;L'!$N$2:$N$1001,0)),"")</f>
        <v/>
      </c>
      <c r="B468" s="243" t="str">
        <f t="shared" si="68"/>
        <v/>
      </c>
      <c r="C468" s="243" t="str">
        <f t="shared" si="69"/>
        <v/>
      </c>
      <c r="D468" s="243" t="str">
        <f t="shared" si="70"/>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71"/>
        <v/>
      </c>
      <c r="K468" s="287" t="str">
        <f t="shared" si="72"/>
        <v/>
      </c>
      <c r="L468" s="287" t="str">
        <f t="shared" si="73"/>
        <v/>
      </c>
      <c r="M468" s="290" t="str">
        <f t="shared" si="74"/>
        <v/>
      </c>
      <c r="N468" t="str">
        <f>IF($A468="","",IFERROR(INDEX(Prices[Category],MATCH($A468,Prices[Key],0)),"Uncategorized"))</f>
        <v/>
      </c>
      <c r="O468" s="291" t="str">
        <f t="shared" si="75"/>
        <v/>
      </c>
      <c r="P468" s="291" t="str">
        <f t="shared" si="76"/>
        <v/>
      </c>
    </row>
    <row r="469" spans="1:16" ht="15" customHeight="1" x14ac:dyDescent="0.2">
      <c r="A469" s="243" t="str">
        <f>IFERROR(INDEX('All Ticker P&amp;L'!$A$2:$A$1001,MATCH(ROWS($A$2:A469),'All Ticker P&amp;L'!$N$2:$N$1001,0)),"")</f>
        <v/>
      </c>
      <c r="B469" s="243" t="str">
        <f t="shared" si="68"/>
        <v/>
      </c>
      <c r="C469" s="243" t="str">
        <f t="shared" si="69"/>
        <v/>
      </c>
      <c r="D469" s="243" t="str">
        <f t="shared" si="70"/>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71"/>
        <v/>
      </c>
      <c r="K469" s="287" t="str">
        <f t="shared" si="72"/>
        <v/>
      </c>
      <c r="L469" s="287" t="str">
        <f t="shared" si="73"/>
        <v/>
      </c>
      <c r="M469" s="290" t="str">
        <f t="shared" si="74"/>
        <v/>
      </c>
      <c r="N469" t="str">
        <f>IF($A469="","",IFERROR(INDEX(Prices[Category],MATCH($A469,Prices[Key],0)),"Uncategorized"))</f>
        <v/>
      </c>
      <c r="O469" s="291" t="str">
        <f t="shared" si="75"/>
        <v/>
      </c>
      <c r="P469" s="291" t="str">
        <f t="shared" si="76"/>
        <v/>
      </c>
    </row>
    <row r="470" spans="1:16" ht="15" customHeight="1" x14ac:dyDescent="0.2">
      <c r="A470" s="243" t="str">
        <f>IFERROR(INDEX('All Ticker P&amp;L'!$A$2:$A$1001,MATCH(ROWS($A$2:A470),'All Ticker P&amp;L'!$N$2:$N$1001,0)),"")</f>
        <v/>
      </c>
      <c r="B470" s="243" t="str">
        <f t="shared" si="68"/>
        <v/>
      </c>
      <c r="C470" s="243" t="str">
        <f t="shared" si="69"/>
        <v/>
      </c>
      <c r="D470" s="243" t="str">
        <f t="shared" si="70"/>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71"/>
        <v/>
      </c>
      <c r="K470" s="287" t="str">
        <f t="shared" si="72"/>
        <v/>
      </c>
      <c r="L470" s="287" t="str">
        <f t="shared" si="73"/>
        <v/>
      </c>
      <c r="M470" s="290" t="str">
        <f t="shared" si="74"/>
        <v/>
      </c>
      <c r="N470" t="str">
        <f>IF($A470="","",IFERROR(INDEX(Prices[Category],MATCH($A470,Prices[Key],0)),"Uncategorized"))</f>
        <v/>
      </c>
      <c r="O470" s="291" t="str">
        <f t="shared" si="75"/>
        <v/>
      </c>
      <c r="P470" s="291" t="str">
        <f t="shared" si="76"/>
        <v/>
      </c>
    </row>
    <row r="471" spans="1:16" ht="15" customHeight="1" x14ac:dyDescent="0.2">
      <c r="A471" s="243" t="str">
        <f>IFERROR(INDEX('All Ticker P&amp;L'!$A$2:$A$1001,MATCH(ROWS($A$2:A471),'All Ticker P&amp;L'!$N$2:$N$1001,0)),"")</f>
        <v/>
      </c>
      <c r="B471" s="243" t="str">
        <f t="shared" si="68"/>
        <v/>
      </c>
      <c r="C471" s="243" t="str">
        <f t="shared" si="69"/>
        <v/>
      </c>
      <c r="D471" s="243" t="str">
        <f t="shared" si="70"/>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71"/>
        <v/>
      </c>
      <c r="K471" s="287" t="str">
        <f t="shared" si="72"/>
        <v/>
      </c>
      <c r="L471" s="287" t="str">
        <f t="shared" si="73"/>
        <v/>
      </c>
      <c r="M471" s="290" t="str">
        <f t="shared" si="74"/>
        <v/>
      </c>
      <c r="N471" t="str">
        <f>IF($A471="","",IFERROR(INDEX(Prices[Category],MATCH($A471,Prices[Key],0)),"Uncategorized"))</f>
        <v/>
      </c>
      <c r="O471" s="291" t="str">
        <f t="shared" si="75"/>
        <v/>
      </c>
      <c r="P471" s="291" t="str">
        <f t="shared" si="76"/>
        <v/>
      </c>
    </row>
    <row r="472" spans="1:16" ht="15" customHeight="1" x14ac:dyDescent="0.2">
      <c r="A472" s="243" t="str">
        <f>IFERROR(INDEX('All Ticker P&amp;L'!$A$2:$A$1001,MATCH(ROWS($A$2:A472),'All Ticker P&amp;L'!$N$2:$N$1001,0)),"")</f>
        <v/>
      </c>
      <c r="B472" s="243" t="str">
        <f t="shared" si="68"/>
        <v/>
      </c>
      <c r="C472" s="243" t="str">
        <f t="shared" si="69"/>
        <v/>
      </c>
      <c r="D472" s="243" t="str">
        <f t="shared" si="70"/>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71"/>
        <v/>
      </c>
      <c r="K472" s="287" t="str">
        <f t="shared" si="72"/>
        <v/>
      </c>
      <c r="L472" s="287" t="str">
        <f t="shared" si="73"/>
        <v/>
      </c>
      <c r="M472" s="290" t="str">
        <f t="shared" si="74"/>
        <v/>
      </c>
      <c r="N472" t="str">
        <f>IF($A472="","",IFERROR(INDEX(Prices[Category],MATCH($A472,Prices[Key],0)),"Uncategorized"))</f>
        <v/>
      </c>
      <c r="O472" s="291" t="str">
        <f t="shared" si="75"/>
        <v/>
      </c>
      <c r="P472" s="291" t="str">
        <f t="shared" si="76"/>
        <v/>
      </c>
    </row>
    <row r="473" spans="1:16" ht="15" customHeight="1" x14ac:dyDescent="0.2">
      <c r="A473" s="243" t="str">
        <f>IFERROR(INDEX('All Ticker P&amp;L'!$A$2:$A$1001,MATCH(ROWS($A$2:A473),'All Ticker P&amp;L'!$N$2:$N$1001,0)),"")</f>
        <v/>
      </c>
      <c r="B473" s="243" t="str">
        <f t="shared" si="68"/>
        <v/>
      </c>
      <c r="C473" s="243" t="str">
        <f t="shared" si="69"/>
        <v/>
      </c>
      <c r="D473" s="243" t="str">
        <f t="shared" si="70"/>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71"/>
        <v/>
      </c>
      <c r="K473" s="287" t="str">
        <f t="shared" si="72"/>
        <v/>
      </c>
      <c r="L473" s="287" t="str">
        <f t="shared" si="73"/>
        <v/>
      </c>
      <c r="M473" s="290" t="str">
        <f t="shared" si="74"/>
        <v/>
      </c>
      <c r="N473" t="str">
        <f>IF($A473="","",IFERROR(INDEX(Prices[Category],MATCH($A473,Prices[Key],0)),"Uncategorized"))</f>
        <v/>
      </c>
      <c r="O473" s="291" t="str">
        <f t="shared" si="75"/>
        <v/>
      </c>
      <c r="P473" s="291" t="str">
        <f t="shared" si="76"/>
        <v/>
      </c>
    </row>
    <row r="474" spans="1:16" ht="15" customHeight="1" x14ac:dyDescent="0.2">
      <c r="A474" s="243" t="str">
        <f>IFERROR(INDEX('All Ticker P&amp;L'!$A$2:$A$1001,MATCH(ROWS($A$2:A474),'All Ticker P&amp;L'!$N$2:$N$1001,0)),"")</f>
        <v/>
      </c>
      <c r="B474" s="243" t="str">
        <f t="shared" si="68"/>
        <v/>
      </c>
      <c r="C474" s="243" t="str">
        <f t="shared" si="69"/>
        <v/>
      </c>
      <c r="D474" s="243" t="str">
        <f t="shared" si="70"/>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71"/>
        <v/>
      </c>
      <c r="K474" s="287" t="str">
        <f t="shared" si="72"/>
        <v/>
      </c>
      <c r="L474" s="287" t="str">
        <f t="shared" si="73"/>
        <v/>
      </c>
      <c r="M474" s="290" t="str">
        <f t="shared" si="74"/>
        <v/>
      </c>
      <c r="N474" t="str">
        <f>IF($A474="","",IFERROR(INDEX(Prices[Category],MATCH($A474,Prices[Key],0)),"Uncategorized"))</f>
        <v/>
      </c>
      <c r="O474" s="291" t="str">
        <f t="shared" si="75"/>
        <v/>
      </c>
      <c r="P474" s="291" t="str">
        <f t="shared" si="76"/>
        <v/>
      </c>
    </row>
    <row r="475" spans="1:16" ht="15" customHeight="1" x14ac:dyDescent="0.2">
      <c r="A475" s="243" t="str">
        <f>IFERROR(INDEX('All Ticker P&amp;L'!$A$2:$A$1001,MATCH(ROWS($A$2:A475),'All Ticker P&amp;L'!$N$2:$N$1001,0)),"")</f>
        <v/>
      </c>
      <c r="B475" s="243" t="str">
        <f t="shared" si="68"/>
        <v/>
      </c>
      <c r="C475" s="243" t="str">
        <f t="shared" si="69"/>
        <v/>
      </c>
      <c r="D475" s="243" t="str">
        <f t="shared" si="70"/>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71"/>
        <v/>
      </c>
      <c r="K475" s="287" t="str">
        <f t="shared" si="72"/>
        <v/>
      </c>
      <c r="L475" s="287" t="str">
        <f t="shared" si="73"/>
        <v/>
      </c>
      <c r="M475" s="290" t="str">
        <f t="shared" si="74"/>
        <v/>
      </c>
      <c r="N475" t="str">
        <f>IF($A475="","",IFERROR(INDEX(Prices[Category],MATCH($A475,Prices[Key],0)),"Uncategorized"))</f>
        <v/>
      </c>
      <c r="O475" s="291" t="str">
        <f t="shared" si="75"/>
        <v/>
      </c>
      <c r="P475" s="291" t="str">
        <f t="shared" si="76"/>
        <v/>
      </c>
    </row>
    <row r="476" spans="1:16" ht="15" customHeight="1" x14ac:dyDescent="0.2">
      <c r="A476" s="243" t="str">
        <f>IFERROR(INDEX('All Ticker P&amp;L'!$A$2:$A$1001,MATCH(ROWS($A$2:A476),'All Ticker P&amp;L'!$N$2:$N$1001,0)),"")</f>
        <v/>
      </c>
      <c r="B476" s="243" t="str">
        <f t="shared" si="68"/>
        <v/>
      </c>
      <c r="C476" s="243" t="str">
        <f t="shared" si="69"/>
        <v/>
      </c>
      <c r="D476" s="243" t="str">
        <f t="shared" si="70"/>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71"/>
        <v/>
      </c>
      <c r="K476" s="287" t="str">
        <f t="shared" si="72"/>
        <v/>
      </c>
      <c r="L476" s="287" t="str">
        <f t="shared" si="73"/>
        <v/>
      </c>
      <c r="M476" s="290" t="str">
        <f t="shared" si="74"/>
        <v/>
      </c>
      <c r="N476" t="str">
        <f>IF($A476="","",IFERROR(INDEX(Prices[Category],MATCH($A476,Prices[Key],0)),"Uncategorized"))</f>
        <v/>
      </c>
      <c r="O476" s="291" t="str">
        <f t="shared" si="75"/>
        <v/>
      </c>
      <c r="P476" s="291" t="str">
        <f t="shared" si="76"/>
        <v/>
      </c>
    </row>
    <row r="477" spans="1:16" ht="15" customHeight="1" x14ac:dyDescent="0.2">
      <c r="A477" s="243" t="str">
        <f>IFERROR(INDEX('All Ticker P&amp;L'!$A$2:$A$1001,MATCH(ROWS($A$2:A477),'All Ticker P&amp;L'!$N$2:$N$1001,0)),"")</f>
        <v/>
      </c>
      <c r="B477" s="243" t="str">
        <f t="shared" si="68"/>
        <v/>
      </c>
      <c r="C477" s="243" t="str">
        <f t="shared" si="69"/>
        <v/>
      </c>
      <c r="D477" s="243" t="str">
        <f t="shared" si="70"/>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71"/>
        <v/>
      </c>
      <c r="K477" s="287" t="str">
        <f t="shared" si="72"/>
        <v/>
      </c>
      <c r="L477" s="287" t="str">
        <f t="shared" si="73"/>
        <v/>
      </c>
      <c r="M477" s="290" t="str">
        <f t="shared" si="74"/>
        <v/>
      </c>
      <c r="N477" t="str">
        <f>IF($A477="","",IFERROR(INDEX(Prices[Category],MATCH($A477,Prices[Key],0)),"Uncategorized"))</f>
        <v/>
      </c>
      <c r="O477" s="291" t="str">
        <f t="shared" si="75"/>
        <v/>
      </c>
      <c r="P477" s="291" t="str">
        <f t="shared" si="76"/>
        <v/>
      </c>
    </row>
    <row r="478" spans="1:16" ht="15" customHeight="1" x14ac:dyDescent="0.2">
      <c r="A478" s="243" t="str">
        <f>IFERROR(INDEX('All Ticker P&amp;L'!$A$2:$A$1001,MATCH(ROWS($A$2:A478),'All Ticker P&amp;L'!$N$2:$N$1001,0)),"")</f>
        <v/>
      </c>
      <c r="B478" s="243" t="str">
        <f t="shared" si="68"/>
        <v/>
      </c>
      <c r="C478" s="243" t="str">
        <f t="shared" si="69"/>
        <v/>
      </c>
      <c r="D478" s="243" t="str">
        <f t="shared" si="70"/>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71"/>
        <v/>
      </c>
      <c r="K478" s="287" t="str">
        <f t="shared" si="72"/>
        <v/>
      </c>
      <c r="L478" s="287" t="str">
        <f t="shared" si="73"/>
        <v/>
      </c>
      <c r="M478" s="290" t="str">
        <f t="shared" si="74"/>
        <v/>
      </c>
      <c r="N478" t="str">
        <f>IF($A478="","",IFERROR(INDEX(Prices[Category],MATCH($A478,Prices[Key],0)),"Uncategorized"))</f>
        <v/>
      </c>
      <c r="O478" s="291" t="str">
        <f t="shared" si="75"/>
        <v/>
      </c>
      <c r="P478" s="291" t="str">
        <f t="shared" si="76"/>
        <v/>
      </c>
    </row>
    <row r="479" spans="1:16" ht="15" customHeight="1" x14ac:dyDescent="0.2">
      <c r="A479" s="243" t="str">
        <f>IFERROR(INDEX('All Ticker P&amp;L'!$A$2:$A$1001,MATCH(ROWS($A$2:A479),'All Ticker P&amp;L'!$N$2:$N$1001,0)),"")</f>
        <v/>
      </c>
      <c r="B479" s="243" t="str">
        <f t="shared" si="68"/>
        <v/>
      </c>
      <c r="C479" s="243" t="str">
        <f t="shared" si="69"/>
        <v/>
      </c>
      <c r="D479" s="243" t="str">
        <f t="shared" si="70"/>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71"/>
        <v/>
      </c>
      <c r="K479" s="287" t="str">
        <f t="shared" si="72"/>
        <v/>
      </c>
      <c r="L479" s="287" t="str">
        <f t="shared" si="73"/>
        <v/>
      </c>
      <c r="M479" s="290" t="str">
        <f t="shared" si="74"/>
        <v/>
      </c>
      <c r="N479" t="str">
        <f>IF($A479="","",IFERROR(INDEX(Prices[Category],MATCH($A479,Prices[Key],0)),"Uncategorized"))</f>
        <v/>
      </c>
      <c r="O479" s="291" t="str">
        <f t="shared" si="75"/>
        <v/>
      </c>
      <c r="P479" s="291" t="str">
        <f t="shared" si="76"/>
        <v/>
      </c>
    </row>
    <row r="480" spans="1:16" ht="15" customHeight="1" x14ac:dyDescent="0.2">
      <c r="A480" s="243" t="str">
        <f>IFERROR(INDEX('All Ticker P&amp;L'!$A$2:$A$1001,MATCH(ROWS($A$2:A480),'All Ticker P&amp;L'!$N$2:$N$1001,0)),"")</f>
        <v/>
      </c>
      <c r="B480" s="243" t="str">
        <f t="shared" si="68"/>
        <v/>
      </c>
      <c r="C480" s="243" t="str">
        <f t="shared" si="69"/>
        <v/>
      </c>
      <c r="D480" s="243" t="str">
        <f t="shared" si="70"/>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71"/>
        <v/>
      </c>
      <c r="K480" s="287" t="str">
        <f t="shared" si="72"/>
        <v/>
      </c>
      <c r="L480" s="287" t="str">
        <f t="shared" si="73"/>
        <v/>
      </c>
      <c r="M480" s="290" t="str">
        <f t="shared" si="74"/>
        <v/>
      </c>
      <c r="N480" t="str">
        <f>IF($A480="","",IFERROR(INDEX(Prices[Category],MATCH($A480,Prices[Key],0)),"Uncategorized"))</f>
        <v/>
      </c>
      <c r="O480" s="291" t="str">
        <f t="shared" si="75"/>
        <v/>
      </c>
      <c r="P480" s="291" t="str">
        <f t="shared" si="76"/>
        <v/>
      </c>
    </row>
    <row r="481" spans="1:16" ht="15" customHeight="1" x14ac:dyDescent="0.2">
      <c r="A481" s="243" t="str">
        <f>IFERROR(INDEX('All Ticker P&amp;L'!$A$2:$A$1001,MATCH(ROWS($A$2:A481),'All Ticker P&amp;L'!$N$2:$N$1001,0)),"")</f>
        <v/>
      </c>
      <c r="B481" s="243" t="str">
        <f t="shared" si="68"/>
        <v/>
      </c>
      <c r="C481" s="243" t="str">
        <f t="shared" si="69"/>
        <v/>
      </c>
      <c r="D481" s="243" t="str">
        <f t="shared" si="70"/>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71"/>
        <v/>
      </c>
      <c r="K481" s="287" t="str">
        <f t="shared" si="72"/>
        <v/>
      </c>
      <c r="L481" s="287" t="str">
        <f t="shared" si="73"/>
        <v/>
      </c>
      <c r="M481" s="290" t="str">
        <f t="shared" si="74"/>
        <v/>
      </c>
      <c r="N481" t="str">
        <f>IF($A481="","",IFERROR(INDEX(Prices[Category],MATCH($A481,Prices[Key],0)),"Uncategorized"))</f>
        <v/>
      </c>
      <c r="O481" s="291" t="str">
        <f t="shared" si="75"/>
        <v/>
      </c>
      <c r="P481" s="291" t="str">
        <f t="shared" si="76"/>
        <v/>
      </c>
    </row>
    <row r="482" spans="1:16" ht="15" customHeight="1" x14ac:dyDescent="0.2">
      <c r="A482" s="243" t="str">
        <f>IFERROR(INDEX('All Ticker P&amp;L'!$A$2:$A$1001,MATCH(ROWS($A$2:A482),'All Ticker P&amp;L'!$N$2:$N$1001,0)),"")</f>
        <v/>
      </c>
      <c r="B482" s="243" t="str">
        <f t="shared" si="68"/>
        <v/>
      </c>
      <c r="C482" s="243" t="str">
        <f t="shared" si="69"/>
        <v/>
      </c>
      <c r="D482" s="243" t="str">
        <f t="shared" si="70"/>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71"/>
        <v/>
      </c>
      <c r="K482" s="287" t="str">
        <f t="shared" si="72"/>
        <v/>
      </c>
      <c r="L482" s="287" t="str">
        <f t="shared" si="73"/>
        <v/>
      </c>
      <c r="M482" s="290" t="str">
        <f t="shared" si="74"/>
        <v/>
      </c>
      <c r="N482" t="str">
        <f>IF($A482="","",IFERROR(INDEX(Prices[Category],MATCH($A482,Prices[Key],0)),"Uncategorized"))</f>
        <v/>
      </c>
      <c r="O482" s="291" t="str">
        <f t="shared" si="75"/>
        <v/>
      </c>
      <c r="P482" s="291" t="str">
        <f t="shared" si="76"/>
        <v/>
      </c>
    </row>
    <row r="483" spans="1:16" ht="15" customHeight="1" x14ac:dyDescent="0.2">
      <c r="A483" s="243" t="str">
        <f>IFERROR(INDEX('All Ticker P&amp;L'!$A$2:$A$1001,MATCH(ROWS($A$2:A483),'All Ticker P&amp;L'!$N$2:$N$1001,0)),"")</f>
        <v/>
      </c>
      <c r="B483" s="243" t="str">
        <f t="shared" si="68"/>
        <v/>
      </c>
      <c r="C483" s="243" t="str">
        <f t="shared" si="69"/>
        <v/>
      </c>
      <c r="D483" s="243" t="str">
        <f t="shared" si="70"/>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71"/>
        <v/>
      </c>
      <c r="K483" s="287" t="str">
        <f t="shared" si="72"/>
        <v/>
      </c>
      <c r="L483" s="287" t="str">
        <f t="shared" si="73"/>
        <v/>
      </c>
      <c r="M483" s="290" t="str">
        <f t="shared" si="74"/>
        <v/>
      </c>
      <c r="N483" t="str">
        <f>IF($A483="","",IFERROR(INDEX(Prices[Category],MATCH($A483,Prices[Key],0)),"Uncategorized"))</f>
        <v/>
      </c>
      <c r="O483" s="291" t="str">
        <f t="shared" si="75"/>
        <v/>
      </c>
      <c r="P483" s="291" t="str">
        <f t="shared" si="76"/>
        <v/>
      </c>
    </row>
    <row r="484" spans="1:16" ht="15" customHeight="1" x14ac:dyDescent="0.2">
      <c r="A484" s="243" t="str">
        <f>IFERROR(INDEX('All Ticker P&amp;L'!$A$2:$A$1001,MATCH(ROWS($A$2:A484),'All Ticker P&amp;L'!$N$2:$N$1001,0)),"")</f>
        <v/>
      </c>
      <c r="B484" s="243" t="str">
        <f t="shared" si="68"/>
        <v/>
      </c>
      <c r="C484" s="243" t="str">
        <f t="shared" si="69"/>
        <v/>
      </c>
      <c r="D484" s="243" t="str">
        <f t="shared" si="70"/>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71"/>
        <v/>
      </c>
      <c r="K484" s="287" t="str">
        <f t="shared" si="72"/>
        <v/>
      </c>
      <c r="L484" s="287" t="str">
        <f t="shared" si="73"/>
        <v/>
      </c>
      <c r="M484" s="290" t="str">
        <f t="shared" si="74"/>
        <v/>
      </c>
      <c r="N484" t="str">
        <f>IF($A484="","",IFERROR(INDEX(Prices[Category],MATCH($A484,Prices[Key],0)),"Uncategorized"))</f>
        <v/>
      </c>
      <c r="O484" s="291" t="str">
        <f t="shared" si="75"/>
        <v/>
      </c>
      <c r="P484" s="291" t="str">
        <f t="shared" si="76"/>
        <v/>
      </c>
    </row>
    <row r="485" spans="1:16" ht="15" customHeight="1" x14ac:dyDescent="0.2">
      <c r="A485" s="243" t="str">
        <f>IFERROR(INDEX('All Ticker P&amp;L'!$A$2:$A$1001,MATCH(ROWS($A$2:A485),'All Ticker P&amp;L'!$N$2:$N$1001,0)),"")</f>
        <v/>
      </c>
      <c r="B485" s="243" t="str">
        <f t="shared" si="68"/>
        <v/>
      </c>
      <c r="C485" s="243" t="str">
        <f t="shared" si="69"/>
        <v/>
      </c>
      <c r="D485" s="243" t="str">
        <f t="shared" si="70"/>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71"/>
        <v/>
      </c>
      <c r="K485" s="287" t="str">
        <f t="shared" si="72"/>
        <v/>
      </c>
      <c r="L485" s="287" t="str">
        <f t="shared" si="73"/>
        <v/>
      </c>
      <c r="M485" s="290" t="str">
        <f t="shared" si="74"/>
        <v/>
      </c>
      <c r="N485" t="str">
        <f>IF($A485="","",IFERROR(INDEX(Prices[Category],MATCH($A485,Prices[Key],0)),"Uncategorized"))</f>
        <v/>
      </c>
      <c r="O485" s="291" t="str">
        <f t="shared" si="75"/>
        <v/>
      </c>
      <c r="P485" s="291" t="str">
        <f t="shared" si="76"/>
        <v/>
      </c>
    </row>
    <row r="486" spans="1:16" ht="15" customHeight="1" x14ac:dyDescent="0.2">
      <c r="A486" s="243" t="str">
        <f>IFERROR(INDEX('All Ticker P&amp;L'!$A$2:$A$1001,MATCH(ROWS($A$2:A486),'All Ticker P&amp;L'!$N$2:$N$1001,0)),"")</f>
        <v/>
      </c>
      <c r="B486" s="243" t="str">
        <f t="shared" si="68"/>
        <v/>
      </c>
      <c r="C486" s="243" t="str">
        <f t="shared" si="69"/>
        <v/>
      </c>
      <c r="D486" s="243" t="str">
        <f t="shared" si="70"/>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71"/>
        <v/>
      </c>
      <c r="K486" s="287" t="str">
        <f t="shared" si="72"/>
        <v/>
      </c>
      <c r="L486" s="287" t="str">
        <f t="shared" si="73"/>
        <v/>
      </c>
      <c r="M486" s="290" t="str">
        <f t="shared" si="74"/>
        <v/>
      </c>
      <c r="N486" t="str">
        <f>IF($A486="","",IFERROR(INDEX(Prices[Category],MATCH($A486,Prices[Key],0)),"Uncategorized"))</f>
        <v/>
      </c>
      <c r="O486" s="291" t="str">
        <f t="shared" si="75"/>
        <v/>
      </c>
      <c r="P486" s="291" t="str">
        <f t="shared" si="76"/>
        <v/>
      </c>
    </row>
    <row r="487" spans="1:16" ht="15" customHeight="1" x14ac:dyDescent="0.2">
      <c r="A487" s="243" t="str">
        <f>IFERROR(INDEX('All Ticker P&amp;L'!$A$2:$A$1001,MATCH(ROWS($A$2:A487),'All Ticker P&amp;L'!$N$2:$N$1001,0)),"")</f>
        <v/>
      </c>
      <c r="B487" s="243" t="str">
        <f t="shared" si="68"/>
        <v/>
      </c>
      <c r="C487" s="243" t="str">
        <f t="shared" si="69"/>
        <v/>
      </c>
      <c r="D487" s="243" t="str">
        <f t="shared" si="70"/>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71"/>
        <v/>
      </c>
      <c r="K487" s="287" t="str">
        <f t="shared" si="72"/>
        <v/>
      </c>
      <c r="L487" s="287" t="str">
        <f t="shared" si="73"/>
        <v/>
      </c>
      <c r="M487" s="290" t="str">
        <f t="shared" si="74"/>
        <v/>
      </c>
      <c r="N487" t="str">
        <f>IF($A487="","",IFERROR(INDEX(Prices[Category],MATCH($A487,Prices[Key],0)),"Uncategorized"))</f>
        <v/>
      </c>
      <c r="O487" s="291" t="str">
        <f t="shared" si="75"/>
        <v/>
      </c>
      <c r="P487" s="291" t="str">
        <f t="shared" si="76"/>
        <v/>
      </c>
    </row>
    <row r="488" spans="1:16" ht="15" customHeight="1" x14ac:dyDescent="0.2">
      <c r="A488" s="243" t="str">
        <f>IFERROR(INDEX('All Ticker P&amp;L'!$A$2:$A$1001,MATCH(ROWS($A$2:A488),'All Ticker P&amp;L'!$N$2:$N$1001,0)),"")</f>
        <v/>
      </c>
      <c r="B488" s="243" t="str">
        <f t="shared" si="68"/>
        <v/>
      </c>
      <c r="C488" s="243" t="str">
        <f t="shared" si="69"/>
        <v/>
      </c>
      <c r="D488" s="243" t="str">
        <f t="shared" si="70"/>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71"/>
        <v/>
      </c>
      <c r="K488" s="287" t="str">
        <f t="shared" si="72"/>
        <v/>
      </c>
      <c r="L488" s="287" t="str">
        <f t="shared" si="73"/>
        <v/>
      </c>
      <c r="M488" s="290" t="str">
        <f t="shared" si="74"/>
        <v/>
      </c>
      <c r="N488" t="str">
        <f>IF($A488="","",IFERROR(INDEX(Prices[Category],MATCH($A488,Prices[Key],0)),"Uncategorized"))</f>
        <v/>
      </c>
      <c r="O488" s="291" t="str">
        <f t="shared" si="75"/>
        <v/>
      </c>
      <c r="P488" s="291" t="str">
        <f t="shared" si="76"/>
        <v/>
      </c>
    </row>
    <row r="489" spans="1:16" ht="15" customHeight="1" x14ac:dyDescent="0.2">
      <c r="A489" s="243" t="str">
        <f>IFERROR(INDEX('All Ticker P&amp;L'!$A$2:$A$1001,MATCH(ROWS($A$2:A489),'All Ticker P&amp;L'!$N$2:$N$1001,0)),"")</f>
        <v/>
      </c>
      <c r="B489" s="243" t="str">
        <f t="shared" si="68"/>
        <v/>
      </c>
      <c r="C489" s="243" t="str">
        <f t="shared" si="69"/>
        <v/>
      </c>
      <c r="D489" s="243" t="str">
        <f t="shared" si="70"/>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71"/>
        <v/>
      </c>
      <c r="K489" s="287" t="str">
        <f t="shared" si="72"/>
        <v/>
      </c>
      <c r="L489" s="287" t="str">
        <f t="shared" si="73"/>
        <v/>
      </c>
      <c r="M489" s="290" t="str">
        <f t="shared" si="74"/>
        <v/>
      </c>
      <c r="N489" t="str">
        <f>IF($A489="","",IFERROR(INDEX(Prices[Category],MATCH($A489,Prices[Key],0)),"Uncategorized"))</f>
        <v/>
      </c>
      <c r="O489" s="291" t="str">
        <f t="shared" si="75"/>
        <v/>
      </c>
      <c r="P489" s="291" t="str">
        <f t="shared" si="76"/>
        <v/>
      </c>
    </row>
    <row r="490" spans="1:16" ht="15" customHeight="1" x14ac:dyDescent="0.2">
      <c r="A490" s="243" t="str">
        <f>IFERROR(INDEX('All Ticker P&amp;L'!$A$2:$A$1001,MATCH(ROWS($A$2:A490),'All Ticker P&amp;L'!$N$2:$N$1001,0)),"")</f>
        <v/>
      </c>
      <c r="B490" s="243" t="str">
        <f t="shared" si="68"/>
        <v/>
      </c>
      <c r="C490" s="243" t="str">
        <f t="shared" si="69"/>
        <v/>
      </c>
      <c r="D490" s="243" t="str">
        <f t="shared" si="70"/>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71"/>
        <v/>
      </c>
      <c r="K490" s="287" t="str">
        <f t="shared" si="72"/>
        <v/>
      </c>
      <c r="L490" s="287" t="str">
        <f t="shared" si="73"/>
        <v/>
      </c>
      <c r="M490" s="290" t="str">
        <f t="shared" si="74"/>
        <v/>
      </c>
      <c r="N490" t="str">
        <f>IF($A490="","",IFERROR(INDEX(Prices[Category],MATCH($A490,Prices[Key],0)),"Uncategorized"))</f>
        <v/>
      </c>
      <c r="O490" s="291" t="str">
        <f t="shared" si="75"/>
        <v/>
      </c>
      <c r="P490" s="291" t="str">
        <f t="shared" si="76"/>
        <v/>
      </c>
    </row>
    <row r="491" spans="1:16" ht="15" customHeight="1" x14ac:dyDescent="0.2">
      <c r="A491" s="243" t="str">
        <f>IFERROR(INDEX('All Ticker P&amp;L'!$A$2:$A$1001,MATCH(ROWS($A$2:A491),'All Ticker P&amp;L'!$N$2:$N$1001,0)),"")</f>
        <v/>
      </c>
      <c r="B491" s="243" t="str">
        <f t="shared" si="68"/>
        <v/>
      </c>
      <c r="C491" s="243" t="str">
        <f t="shared" si="69"/>
        <v/>
      </c>
      <c r="D491" s="243" t="str">
        <f t="shared" si="70"/>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71"/>
        <v/>
      </c>
      <c r="K491" s="287" t="str">
        <f t="shared" si="72"/>
        <v/>
      </c>
      <c r="L491" s="287" t="str">
        <f t="shared" si="73"/>
        <v/>
      </c>
      <c r="M491" s="290" t="str">
        <f t="shared" si="74"/>
        <v/>
      </c>
      <c r="N491" t="str">
        <f>IF($A491="","",IFERROR(INDEX(Prices[Category],MATCH($A491,Prices[Key],0)),"Uncategorized"))</f>
        <v/>
      </c>
      <c r="O491" s="291" t="str">
        <f t="shared" si="75"/>
        <v/>
      </c>
      <c r="P491" s="291" t="str">
        <f t="shared" si="76"/>
        <v/>
      </c>
    </row>
    <row r="492" spans="1:16" ht="15" customHeight="1" x14ac:dyDescent="0.2">
      <c r="A492" s="243" t="str">
        <f>IFERROR(INDEX('All Ticker P&amp;L'!$A$2:$A$1001,MATCH(ROWS($A$2:A492),'All Ticker P&amp;L'!$N$2:$N$1001,0)),"")</f>
        <v/>
      </c>
      <c r="B492" s="243" t="str">
        <f t="shared" si="68"/>
        <v/>
      </c>
      <c r="C492" s="243" t="str">
        <f t="shared" si="69"/>
        <v/>
      </c>
      <c r="D492" s="243" t="str">
        <f t="shared" si="70"/>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71"/>
        <v/>
      </c>
      <c r="K492" s="287" t="str">
        <f t="shared" si="72"/>
        <v/>
      </c>
      <c r="L492" s="287" t="str">
        <f t="shared" si="73"/>
        <v/>
      </c>
      <c r="M492" s="290" t="str">
        <f t="shared" si="74"/>
        <v/>
      </c>
      <c r="N492" t="str">
        <f>IF($A492="","",IFERROR(INDEX(Prices[Category],MATCH($A492,Prices[Key],0)),"Uncategorized"))</f>
        <v/>
      </c>
      <c r="O492" s="291" t="str">
        <f t="shared" si="75"/>
        <v/>
      </c>
      <c r="P492" s="291" t="str">
        <f t="shared" si="76"/>
        <v/>
      </c>
    </row>
    <row r="493" spans="1:16" ht="15" customHeight="1" x14ac:dyDescent="0.2">
      <c r="A493" s="243" t="str">
        <f>IFERROR(INDEX('All Ticker P&amp;L'!$A$2:$A$1001,MATCH(ROWS($A$2:A493),'All Ticker P&amp;L'!$N$2:$N$1001,0)),"")</f>
        <v/>
      </c>
      <c r="B493" s="243" t="str">
        <f t="shared" si="68"/>
        <v/>
      </c>
      <c r="C493" s="243" t="str">
        <f t="shared" si="69"/>
        <v/>
      </c>
      <c r="D493" s="243" t="str">
        <f t="shared" si="70"/>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71"/>
        <v/>
      </c>
      <c r="K493" s="287" t="str">
        <f t="shared" si="72"/>
        <v/>
      </c>
      <c r="L493" s="287" t="str">
        <f t="shared" si="73"/>
        <v/>
      </c>
      <c r="M493" s="290" t="str">
        <f t="shared" si="74"/>
        <v/>
      </c>
      <c r="N493" t="str">
        <f>IF($A493="","",IFERROR(INDEX(Prices[Category],MATCH($A493,Prices[Key],0)),"Uncategorized"))</f>
        <v/>
      </c>
      <c r="O493" s="291" t="str">
        <f t="shared" si="75"/>
        <v/>
      </c>
      <c r="P493" s="291" t="str">
        <f t="shared" si="76"/>
        <v/>
      </c>
    </row>
    <row r="494" spans="1:16" ht="15" customHeight="1" x14ac:dyDescent="0.2">
      <c r="A494" s="243" t="str">
        <f>IFERROR(INDEX('All Ticker P&amp;L'!$A$2:$A$1001,MATCH(ROWS($A$2:A494),'All Ticker P&amp;L'!$N$2:$N$1001,0)),"")</f>
        <v/>
      </c>
      <c r="B494" s="243" t="str">
        <f t="shared" si="68"/>
        <v/>
      </c>
      <c r="C494" s="243" t="str">
        <f t="shared" si="69"/>
        <v/>
      </c>
      <c r="D494" s="243" t="str">
        <f t="shared" si="70"/>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71"/>
        <v/>
      </c>
      <c r="K494" s="287" t="str">
        <f t="shared" si="72"/>
        <v/>
      </c>
      <c r="L494" s="287" t="str">
        <f t="shared" si="73"/>
        <v/>
      </c>
      <c r="M494" s="290" t="str">
        <f t="shared" si="74"/>
        <v/>
      </c>
      <c r="N494" t="str">
        <f>IF($A494="","",IFERROR(INDEX(Prices[Category],MATCH($A494,Prices[Key],0)),"Uncategorized"))</f>
        <v/>
      </c>
      <c r="O494" s="291" t="str">
        <f t="shared" si="75"/>
        <v/>
      </c>
      <c r="P494" s="291" t="str">
        <f t="shared" si="76"/>
        <v/>
      </c>
    </row>
    <row r="495" spans="1:16" ht="15" customHeight="1" x14ac:dyDescent="0.2">
      <c r="A495" s="243" t="str">
        <f>IFERROR(INDEX('All Ticker P&amp;L'!$A$2:$A$1001,MATCH(ROWS($A$2:A495),'All Ticker P&amp;L'!$N$2:$N$1001,0)),"")</f>
        <v/>
      </c>
      <c r="B495" s="243" t="str">
        <f t="shared" si="68"/>
        <v/>
      </c>
      <c r="C495" s="243" t="str">
        <f t="shared" si="69"/>
        <v/>
      </c>
      <c r="D495" s="243" t="str">
        <f t="shared" si="70"/>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71"/>
        <v/>
      </c>
      <c r="K495" s="287" t="str">
        <f t="shared" si="72"/>
        <v/>
      </c>
      <c r="L495" s="287" t="str">
        <f t="shared" si="73"/>
        <v/>
      </c>
      <c r="M495" s="290" t="str">
        <f t="shared" si="74"/>
        <v/>
      </c>
      <c r="N495" t="str">
        <f>IF($A495="","",IFERROR(INDEX(Prices[Category],MATCH($A495,Prices[Key],0)),"Uncategorized"))</f>
        <v/>
      </c>
      <c r="O495" s="291" t="str">
        <f t="shared" si="75"/>
        <v/>
      </c>
      <c r="P495" s="291" t="str">
        <f t="shared" si="76"/>
        <v/>
      </c>
    </row>
    <row r="496" spans="1:16" ht="15" customHeight="1" x14ac:dyDescent="0.2">
      <c r="A496" s="243" t="str">
        <f>IFERROR(INDEX('All Ticker P&amp;L'!$A$2:$A$1001,MATCH(ROWS($A$2:A496),'All Ticker P&amp;L'!$N$2:$N$1001,0)),"")</f>
        <v/>
      </c>
      <c r="B496" s="243" t="str">
        <f t="shared" si="68"/>
        <v/>
      </c>
      <c r="C496" s="243" t="str">
        <f t="shared" si="69"/>
        <v/>
      </c>
      <c r="D496" s="243" t="str">
        <f t="shared" si="70"/>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71"/>
        <v/>
      </c>
      <c r="K496" s="287" t="str">
        <f t="shared" si="72"/>
        <v/>
      </c>
      <c r="L496" s="287" t="str">
        <f t="shared" si="73"/>
        <v/>
      </c>
      <c r="M496" s="290" t="str">
        <f t="shared" si="74"/>
        <v/>
      </c>
      <c r="N496" t="str">
        <f>IF($A496="","",IFERROR(INDEX(Prices[Category],MATCH($A496,Prices[Key],0)),"Uncategorized"))</f>
        <v/>
      </c>
      <c r="O496" s="291" t="str">
        <f t="shared" si="75"/>
        <v/>
      </c>
      <c r="P496" s="291" t="str">
        <f t="shared" si="76"/>
        <v/>
      </c>
    </row>
    <row r="497" spans="1:16" ht="15" customHeight="1" x14ac:dyDescent="0.2">
      <c r="A497" s="243" t="str">
        <f>IFERROR(INDEX('All Ticker P&amp;L'!$A$2:$A$1001,MATCH(ROWS($A$2:A497),'All Ticker P&amp;L'!$N$2:$N$1001,0)),"")</f>
        <v/>
      </c>
      <c r="B497" s="243" t="str">
        <f t="shared" si="68"/>
        <v/>
      </c>
      <c r="C497" s="243" t="str">
        <f t="shared" si="69"/>
        <v/>
      </c>
      <c r="D497" s="243" t="str">
        <f t="shared" si="70"/>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71"/>
        <v/>
      </c>
      <c r="K497" s="287" t="str">
        <f t="shared" si="72"/>
        <v/>
      </c>
      <c r="L497" s="287" t="str">
        <f t="shared" si="73"/>
        <v/>
      </c>
      <c r="M497" s="290" t="str">
        <f t="shared" si="74"/>
        <v/>
      </c>
      <c r="N497" t="str">
        <f>IF($A497="","",IFERROR(INDEX(Prices[Category],MATCH($A497,Prices[Key],0)),"Uncategorized"))</f>
        <v/>
      </c>
      <c r="O497" s="291" t="str">
        <f t="shared" si="75"/>
        <v/>
      </c>
      <c r="P497" s="291" t="str">
        <f t="shared" si="76"/>
        <v/>
      </c>
    </row>
    <row r="498" spans="1:16" ht="15" customHeight="1" x14ac:dyDescent="0.2">
      <c r="A498" s="243" t="str">
        <f>IFERROR(INDEX('All Ticker P&amp;L'!$A$2:$A$1001,MATCH(ROWS($A$2:A498),'All Ticker P&amp;L'!$N$2:$N$1001,0)),"")</f>
        <v/>
      </c>
      <c r="B498" s="243" t="str">
        <f t="shared" si="68"/>
        <v/>
      </c>
      <c r="C498" s="243" t="str">
        <f t="shared" si="69"/>
        <v/>
      </c>
      <c r="D498" s="243" t="str">
        <f t="shared" si="70"/>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71"/>
        <v/>
      </c>
      <c r="K498" s="287" t="str">
        <f t="shared" si="72"/>
        <v/>
      </c>
      <c r="L498" s="287" t="str">
        <f t="shared" si="73"/>
        <v/>
      </c>
      <c r="M498" s="290" t="str">
        <f t="shared" si="74"/>
        <v/>
      </c>
      <c r="N498" t="str">
        <f>IF($A498="","",IFERROR(INDEX(Prices[Category],MATCH($A498,Prices[Key],0)),"Uncategorized"))</f>
        <v/>
      </c>
      <c r="O498" s="291" t="str">
        <f t="shared" si="75"/>
        <v/>
      </c>
      <c r="P498" s="291" t="str">
        <f t="shared" si="76"/>
        <v/>
      </c>
    </row>
    <row r="499" spans="1:16" ht="15" customHeight="1" x14ac:dyDescent="0.2">
      <c r="A499" s="243" t="str">
        <f>IFERROR(INDEX('All Ticker P&amp;L'!$A$2:$A$1001,MATCH(ROWS($A$2:A499),'All Ticker P&amp;L'!$N$2:$N$1001,0)),"")</f>
        <v/>
      </c>
      <c r="B499" s="243" t="str">
        <f t="shared" si="68"/>
        <v/>
      </c>
      <c r="C499" s="243" t="str">
        <f t="shared" si="69"/>
        <v/>
      </c>
      <c r="D499" s="243" t="str">
        <f t="shared" si="70"/>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71"/>
        <v/>
      </c>
      <c r="K499" s="287" t="str">
        <f t="shared" si="72"/>
        <v/>
      </c>
      <c r="L499" s="287" t="str">
        <f t="shared" si="73"/>
        <v/>
      </c>
      <c r="M499" s="290" t="str">
        <f t="shared" si="74"/>
        <v/>
      </c>
      <c r="N499" t="str">
        <f>IF($A499="","",IFERROR(INDEX(Prices[Category],MATCH($A499,Prices[Key],0)),"Uncategorized"))</f>
        <v/>
      </c>
      <c r="O499" s="291" t="str">
        <f t="shared" si="75"/>
        <v/>
      </c>
      <c r="P499" s="291" t="str">
        <f t="shared" si="76"/>
        <v/>
      </c>
    </row>
    <row r="500" spans="1:16" ht="15" customHeight="1" x14ac:dyDescent="0.2">
      <c r="A500" s="243" t="str">
        <f>IFERROR(INDEX('All Ticker P&amp;L'!$A$2:$A$1001,MATCH(ROWS($A$2:A500),'All Ticker P&amp;L'!$N$2:$N$1001,0)),"")</f>
        <v/>
      </c>
      <c r="B500" s="243" t="str">
        <f t="shared" si="68"/>
        <v/>
      </c>
      <c r="C500" s="243" t="str">
        <f t="shared" si="69"/>
        <v/>
      </c>
      <c r="D500" s="243" t="str">
        <f t="shared" si="70"/>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71"/>
        <v/>
      </c>
      <c r="K500" s="287" t="str">
        <f t="shared" si="72"/>
        <v/>
      </c>
      <c r="L500" s="287" t="str">
        <f t="shared" si="73"/>
        <v/>
      </c>
      <c r="M500" s="290" t="str">
        <f t="shared" si="74"/>
        <v/>
      </c>
      <c r="N500" t="str">
        <f>IF($A500="","",IFERROR(INDEX(Prices[Category],MATCH($A500,Prices[Key],0)),"Uncategorized"))</f>
        <v/>
      </c>
      <c r="O500" s="291" t="str">
        <f t="shared" si="75"/>
        <v/>
      </c>
      <c r="P500" s="291" t="str">
        <f t="shared" si="76"/>
        <v/>
      </c>
    </row>
    <row r="501" spans="1:16" ht="15" customHeight="1" x14ac:dyDescent="0.2">
      <c r="A501" s="243" t="str">
        <f>IFERROR(INDEX('All Ticker P&amp;L'!$A$2:$A$1001,MATCH(ROWS($A$2:A501),'All Ticker P&amp;L'!$N$2:$N$1001,0)),"")</f>
        <v/>
      </c>
      <c r="B501" s="243" t="str">
        <f t="shared" si="68"/>
        <v/>
      </c>
      <c r="C501" s="243" t="str">
        <f t="shared" si="69"/>
        <v/>
      </c>
      <c r="D501" s="243" t="str">
        <f t="shared" si="70"/>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71"/>
        <v/>
      </c>
      <c r="K501" s="287" t="str">
        <f t="shared" si="72"/>
        <v/>
      </c>
      <c r="L501" s="287" t="str">
        <f t="shared" si="73"/>
        <v/>
      </c>
      <c r="M501" s="290" t="str">
        <f t="shared" si="74"/>
        <v/>
      </c>
      <c r="N501" t="str">
        <f>IF($A501="","",IFERROR(INDEX(Prices[Category],MATCH($A501,Prices[Key],0)),"Uncategorized"))</f>
        <v/>
      </c>
      <c r="O501" s="291" t="str">
        <f t="shared" si="75"/>
        <v/>
      </c>
      <c r="P501" s="291" t="str">
        <f t="shared" si="76"/>
        <v/>
      </c>
    </row>
    <row r="502" spans="1:16" ht="15" customHeight="1" x14ac:dyDescent="0.2">
      <c r="A502" s="243" t="str">
        <f>IFERROR(INDEX('All Ticker P&amp;L'!$A$2:$A$1001,MATCH(ROWS($A$2:A502),'All Ticker P&amp;L'!$N$2:$N$1001,0)),"")</f>
        <v/>
      </c>
      <c r="B502" s="243" t="str">
        <f t="shared" si="68"/>
        <v/>
      </c>
      <c r="C502" s="243" t="str">
        <f t="shared" si="69"/>
        <v/>
      </c>
      <c r="D502" s="243" t="str">
        <f t="shared" si="70"/>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71"/>
        <v/>
      </c>
      <c r="K502" s="287" t="str">
        <f t="shared" si="72"/>
        <v/>
      </c>
      <c r="L502" s="287" t="str">
        <f t="shared" si="73"/>
        <v/>
      </c>
      <c r="M502" s="290" t="str">
        <f t="shared" si="74"/>
        <v/>
      </c>
      <c r="N502" t="str">
        <f>IF($A502="","",IFERROR(INDEX(Prices[Category],MATCH($A502,Prices[Key],0)),"Uncategorized"))</f>
        <v/>
      </c>
      <c r="O502" s="291" t="str">
        <f t="shared" si="75"/>
        <v/>
      </c>
      <c r="P502" s="291" t="str">
        <f t="shared" si="76"/>
        <v/>
      </c>
    </row>
    <row r="503" spans="1:16" ht="15" customHeight="1" x14ac:dyDescent="0.2">
      <c r="A503" s="243" t="str">
        <f>IFERROR(INDEX('All Ticker P&amp;L'!$A$2:$A$1001,MATCH(ROWS($A$2:A503),'All Ticker P&amp;L'!$N$2:$N$1001,0)),"")</f>
        <v/>
      </c>
      <c r="B503" s="243" t="str">
        <f t="shared" si="68"/>
        <v/>
      </c>
      <c r="C503" s="243" t="str">
        <f t="shared" si="69"/>
        <v/>
      </c>
      <c r="D503" s="243" t="str">
        <f t="shared" si="70"/>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71"/>
        <v/>
      </c>
      <c r="K503" s="287" t="str">
        <f t="shared" si="72"/>
        <v/>
      </c>
      <c r="L503" s="287" t="str">
        <f t="shared" si="73"/>
        <v/>
      </c>
      <c r="M503" s="290" t="str">
        <f t="shared" si="74"/>
        <v/>
      </c>
      <c r="N503" t="str">
        <f>IF($A503="","",IFERROR(INDEX(Prices[Category],MATCH($A503,Prices[Key],0)),"Uncategorized"))</f>
        <v/>
      </c>
      <c r="O503" s="291" t="str">
        <f t="shared" si="75"/>
        <v/>
      </c>
      <c r="P503" s="291" t="str">
        <f t="shared" si="76"/>
        <v/>
      </c>
    </row>
    <row r="504" spans="1:16" ht="15" customHeight="1" x14ac:dyDescent="0.2">
      <c r="A504" s="243" t="str">
        <f>IFERROR(INDEX('All Ticker P&amp;L'!$A$2:$A$1001,MATCH(ROWS($A$2:A504),'All Ticker P&amp;L'!$N$2:$N$1001,0)),"")</f>
        <v/>
      </c>
      <c r="B504" s="243" t="str">
        <f t="shared" si="68"/>
        <v/>
      </c>
      <c r="C504" s="243" t="str">
        <f t="shared" si="69"/>
        <v/>
      </c>
      <c r="D504" s="243" t="str">
        <f t="shared" si="70"/>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71"/>
        <v/>
      </c>
      <c r="K504" s="287" t="str">
        <f t="shared" si="72"/>
        <v/>
      </c>
      <c r="L504" s="287" t="str">
        <f t="shared" si="73"/>
        <v/>
      </c>
      <c r="M504" s="290" t="str">
        <f t="shared" si="74"/>
        <v/>
      </c>
      <c r="N504" t="str">
        <f>IF($A504="","",IFERROR(INDEX(Prices[Category],MATCH($A504,Prices[Key],0)),"Uncategorized"))</f>
        <v/>
      </c>
      <c r="O504" s="291" t="str">
        <f t="shared" si="75"/>
        <v/>
      </c>
      <c r="P504" s="291" t="str">
        <f t="shared" si="76"/>
        <v/>
      </c>
    </row>
    <row r="505" spans="1:16" ht="15" customHeight="1" x14ac:dyDescent="0.2">
      <c r="A505" s="243" t="str">
        <f>IFERROR(INDEX('All Ticker P&amp;L'!$A$2:$A$1001,MATCH(ROWS($A$2:A505),'All Ticker P&amp;L'!$N$2:$N$1001,0)),"")</f>
        <v/>
      </c>
      <c r="B505" s="243" t="str">
        <f t="shared" si="68"/>
        <v/>
      </c>
      <c r="C505" s="243" t="str">
        <f t="shared" si="69"/>
        <v/>
      </c>
      <c r="D505" s="243" t="str">
        <f t="shared" si="70"/>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71"/>
        <v/>
      </c>
      <c r="K505" s="287" t="str">
        <f t="shared" si="72"/>
        <v/>
      </c>
      <c r="L505" s="287" t="str">
        <f t="shared" si="73"/>
        <v/>
      </c>
      <c r="M505" s="290" t="str">
        <f t="shared" si="74"/>
        <v/>
      </c>
      <c r="N505" t="str">
        <f>IF($A505="","",IFERROR(INDEX(Prices[Category],MATCH($A505,Prices[Key],0)),"Uncategorized"))</f>
        <v/>
      </c>
      <c r="O505" s="291" t="str">
        <f t="shared" si="75"/>
        <v/>
      </c>
      <c r="P505" s="291" t="str">
        <f t="shared" si="76"/>
        <v/>
      </c>
    </row>
    <row r="506" spans="1:16" ht="15" customHeight="1" x14ac:dyDescent="0.2">
      <c r="A506" s="243" t="str">
        <f>IFERROR(INDEX('All Ticker P&amp;L'!$A$2:$A$1001,MATCH(ROWS($A$2:A506),'All Ticker P&amp;L'!$N$2:$N$1001,0)),"")</f>
        <v/>
      </c>
      <c r="B506" s="243" t="str">
        <f t="shared" si="68"/>
        <v/>
      </c>
      <c r="C506" s="243" t="str">
        <f t="shared" si="69"/>
        <v/>
      </c>
      <c r="D506" s="243" t="str">
        <f t="shared" si="70"/>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71"/>
        <v/>
      </c>
      <c r="K506" s="287" t="str">
        <f t="shared" si="72"/>
        <v/>
      </c>
      <c r="L506" s="287" t="str">
        <f t="shared" si="73"/>
        <v/>
      </c>
      <c r="M506" s="290" t="str">
        <f t="shared" si="74"/>
        <v/>
      </c>
      <c r="N506" t="str">
        <f>IF($A506="","",IFERROR(INDEX(Prices[Category],MATCH($A506,Prices[Key],0)),"Uncategorized"))</f>
        <v/>
      </c>
      <c r="O506" s="291" t="str">
        <f t="shared" si="75"/>
        <v/>
      </c>
      <c r="P506" s="291" t="str">
        <f t="shared" si="76"/>
        <v/>
      </c>
    </row>
    <row r="507" spans="1:16" ht="15" customHeight="1" x14ac:dyDescent="0.2">
      <c r="A507" s="243" t="str">
        <f>IFERROR(INDEX('All Ticker P&amp;L'!$A$2:$A$1001,MATCH(ROWS($A$2:A507),'All Ticker P&amp;L'!$N$2:$N$1001,0)),"")</f>
        <v/>
      </c>
      <c r="B507" s="243" t="str">
        <f t="shared" si="68"/>
        <v/>
      </c>
      <c r="C507" s="243" t="str">
        <f t="shared" si="69"/>
        <v/>
      </c>
      <c r="D507" s="243" t="str">
        <f t="shared" si="70"/>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71"/>
        <v/>
      </c>
      <c r="K507" s="287" t="str">
        <f t="shared" si="72"/>
        <v/>
      </c>
      <c r="L507" s="287" t="str">
        <f t="shared" si="73"/>
        <v/>
      </c>
      <c r="M507" s="290" t="str">
        <f t="shared" si="74"/>
        <v/>
      </c>
      <c r="N507" t="str">
        <f>IF($A507="","",IFERROR(INDEX(Prices[Category],MATCH($A507,Prices[Key],0)),"Uncategorized"))</f>
        <v/>
      </c>
      <c r="O507" s="291" t="str">
        <f t="shared" si="75"/>
        <v/>
      </c>
      <c r="P507" s="291" t="str">
        <f t="shared" si="76"/>
        <v/>
      </c>
    </row>
    <row r="508" spans="1:16" ht="15" customHeight="1" x14ac:dyDescent="0.2">
      <c r="A508" s="243" t="str">
        <f>IFERROR(INDEX('All Ticker P&amp;L'!$A$2:$A$1001,MATCH(ROWS($A$2:A508),'All Ticker P&amp;L'!$N$2:$N$1001,0)),"")</f>
        <v/>
      </c>
      <c r="B508" s="243" t="str">
        <f t="shared" si="68"/>
        <v/>
      </c>
      <c r="C508" s="243" t="str">
        <f t="shared" si="69"/>
        <v/>
      </c>
      <c r="D508" s="243" t="str">
        <f t="shared" si="70"/>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71"/>
        <v/>
      </c>
      <c r="K508" s="287" t="str">
        <f t="shared" si="72"/>
        <v/>
      </c>
      <c r="L508" s="287" t="str">
        <f t="shared" si="73"/>
        <v/>
      </c>
      <c r="M508" s="290" t="str">
        <f t="shared" si="74"/>
        <v/>
      </c>
      <c r="N508" t="str">
        <f>IF($A508="","",IFERROR(INDEX(Prices[Category],MATCH($A508,Prices[Key],0)),"Uncategorized"))</f>
        <v/>
      </c>
      <c r="O508" s="291" t="str">
        <f t="shared" si="75"/>
        <v/>
      </c>
      <c r="P508" s="291" t="str">
        <f t="shared" si="76"/>
        <v/>
      </c>
    </row>
    <row r="509" spans="1:16" ht="15" customHeight="1" x14ac:dyDescent="0.2">
      <c r="A509" s="243" t="str">
        <f>IFERROR(INDEX('All Ticker P&amp;L'!$A$2:$A$1001,MATCH(ROWS($A$2:A509),'All Ticker P&amp;L'!$N$2:$N$1001,0)),"")</f>
        <v/>
      </c>
      <c r="B509" s="243" t="str">
        <f t="shared" si="68"/>
        <v/>
      </c>
      <c r="C509" s="243" t="str">
        <f t="shared" si="69"/>
        <v/>
      </c>
      <c r="D509" s="243" t="str">
        <f t="shared" si="70"/>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71"/>
        <v/>
      </c>
      <c r="K509" s="287" t="str">
        <f t="shared" si="72"/>
        <v/>
      </c>
      <c r="L509" s="287" t="str">
        <f t="shared" si="73"/>
        <v/>
      </c>
      <c r="M509" s="290" t="str">
        <f t="shared" si="74"/>
        <v/>
      </c>
      <c r="N509" t="str">
        <f>IF($A509="","",IFERROR(INDEX(Prices[Category],MATCH($A509,Prices[Key],0)),"Uncategorized"))</f>
        <v/>
      </c>
      <c r="O509" s="291" t="str">
        <f t="shared" si="75"/>
        <v/>
      </c>
      <c r="P509" s="291" t="str">
        <f t="shared" si="76"/>
        <v/>
      </c>
    </row>
    <row r="510" spans="1:16" ht="15" customHeight="1" x14ac:dyDescent="0.2">
      <c r="A510" s="243" t="str">
        <f>IFERROR(INDEX('All Ticker P&amp;L'!$A$2:$A$1001,MATCH(ROWS($A$2:A510),'All Ticker P&amp;L'!$N$2:$N$1001,0)),"")</f>
        <v/>
      </c>
      <c r="B510" s="243" t="str">
        <f t="shared" si="68"/>
        <v/>
      </c>
      <c r="C510" s="243" t="str">
        <f t="shared" si="69"/>
        <v/>
      </c>
      <c r="D510" s="243" t="str">
        <f t="shared" si="70"/>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71"/>
        <v/>
      </c>
      <c r="K510" s="287" t="str">
        <f t="shared" si="72"/>
        <v/>
      </c>
      <c r="L510" s="287" t="str">
        <f t="shared" si="73"/>
        <v/>
      </c>
      <c r="M510" s="290" t="str">
        <f t="shared" si="74"/>
        <v/>
      </c>
      <c r="N510" t="str">
        <f>IF($A510="","",IFERROR(INDEX(Prices[Category],MATCH($A510,Prices[Key],0)),"Uncategorized"))</f>
        <v/>
      </c>
      <c r="O510" s="291" t="str">
        <f t="shared" si="75"/>
        <v/>
      </c>
      <c r="P510" s="291" t="str">
        <f t="shared" si="76"/>
        <v/>
      </c>
    </row>
    <row r="511" spans="1:16" ht="15" customHeight="1" x14ac:dyDescent="0.2">
      <c r="A511" s="243" t="str">
        <f>IFERROR(INDEX('All Ticker P&amp;L'!$A$2:$A$1001,MATCH(ROWS($A$2:A511),'All Ticker P&amp;L'!$N$2:$N$1001,0)),"")</f>
        <v/>
      </c>
      <c r="B511" s="243" t="str">
        <f t="shared" si="68"/>
        <v/>
      </c>
      <c r="C511" s="243" t="str">
        <f t="shared" si="69"/>
        <v/>
      </c>
      <c r="D511" s="243" t="str">
        <f t="shared" si="70"/>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71"/>
        <v/>
      </c>
      <c r="K511" s="287" t="str">
        <f t="shared" si="72"/>
        <v/>
      </c>
      <c r="L511" s="287" t="str">
        <f t="shared" si="73"/>
        <v/>
      </c>
      <c r="M511" s="290" t="str">
        <f t="shared" si="74"/>
        <v/>
      </c>
      <c r="N511" t="str">
        <f>IF($A511="","",IFERROR(INDEX(Prices[Category],MATCH($A511,Prices[Key],0)),"Uncategorized"))</f>
        <v/>
      </c>
      <c r="O511" s="291" t="str">
        <f t="shared" si="75"/>
        <v/>
      </c>
      <c r="P511" s="291" t="str">
        <f t="shared" si="76"/>
        <v/>
      </c>
    </row>
    <row r="512" spans="1:16" ht="15" customHeight="1" x14ac:dyDescent="0.2">
      <c r="A512" s="243" t="str">
        <f>IFERROR(INDEX('All Ticker P&amp;L'!$A$2:$A$1001,MATCH(ROWS($A$2:A512),'All Ticker P&amp;L'!$N$2:$N$1001,0)),"")</f>
        <v/>
      </c>
      <c r="B512" s="243" t="str">
        <f t="shared" si="68"/>
        <v/>
      </c>
      <c r="C512" s="243" t="str">
        <f t="shared" si="69"/>
        <v/>
      </c>
      <c r="D512" s="243" t="str">
        <f t="shared" si="70"/>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71"/>
        <v/>
      </c>
      <c r="K512" s="287" t="str">
        <f t="shared" si="72"/>
        <v/>
      </c>
      <c r="L512" s="287" t="str">
        <f t="shared" si="73"/>
        <v/>
      </c>
      <c r="M512" s="290" t="str">
        <f t="shared" si="74"/>
        <v/>
      </c>
      <c r="N512" t="str">
        <f>IF($A512="","",IFERROR(INDEX(Prices[Category],MATCH($A512,Prices[Key],0)),"Uncategorized"))</f>
        <v/>
      </c>
      <c r="O512" s="291" t="str">
        <f t="shared" si="75"/>
        <v/>
      </c>
      <c r="P512" s="291" t="str">
        <f t="shared" si="76"/>
        <v/>
      </c>
    </row>
    <row r="513" spans="1:16" ht="15" customHeight="1" x14ac:dyDescent="0.2">
      <c r="A513" s="243" t="str">
        <f>IFERROR(INDEX('All Ticker P&amp;L'!$A$2:$A$1001,MATCH(ROWS($A$2:A513),'All Ticker P&amp;L'!$N$2:$N$1001,0)),"")</f>
        <v/>
      </c>
      <c r="B513" s="243" t="str">
        <f t="shared" si="68"/>
        <v/>
      </c>
      <c r="C513" s="243" t="str">
        <f t="shared" si="69"/>
        <v/>
      </c>
      <c r="D513" s="243" t="str">
        <f t="shared" si="70"/>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71"/>
        <v/>
      </c>
      <c r="K513" s="287" t="str">
        <f t="shared" si="72"/>
        <v/>
      </c>
      <c r="L513" s="287" t="str">
        <f t="shared" si="73"/>
        <v/>
      </c>
      <c r="M513" s="290" t="str">
        <f t="shared" si="74"/>
        <v/>
      </c>
      <c r="N513" t="str">
        <f>IF($A513="","",IFERROR(INDEX(Prices[Category],MATCH($A513,Prices[Key],0)),"Uncategorized"))</f>
        <v/>
      </c>
      <c r="O513" s="291" t="str">
        <f t="shared" si="75"/>
        <v/>
      </c>
      <c r="P513" s="291" t="str">
        <f t="shared" si="76"/>
        <v/>
      </c>
    </row>
    <row r="514" spans="1:16" ht="15" customHeight="1" x14ac:dyDescent="0.2">
      <c r="A514" s="243" t="str">
        <f>IFERROR(INDEX('All Ticker P&amp;L'!$A$2:$A$1001,MATCH(ROWS($A$2:A514),'All Ticker P&amp;L'!$N$2:$N$1001,0)),"")</f>
        <v/>
      </c>
      <c r="B514" s="243" t="str">
        <f t="shared" ref="B514:B577" si="77">IF($A514="","",LEFT($A514,FIND(":",$A514)-1))</f>
        <v/>
      </c>
      <c r="C514" s="243" t="str">
        <f t="shared" ref="C514:C577" si="78">IF($A514="","",MID($A514,FIND(":",$A514)+1,FIND(":",$A514,FIND(":",$A514)+1)-FIND(":",$A514)-1))</f>
        <v/>
      </c>
      <c r="D514" s="243" t="str">
        <f t="shared" ref="D514:D577" si="79">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80">IF($A514="","",E514*H514)</f>
        <v/>
      </c>
      <c r="K514" s="287" t="str">
        <f t="shared" ref="K514:K577" si="81">IF($A514="","",J514+G514-F514)</f>
        <v/>
      </c>
      <c r="L514" s="287" t="str">
        <f t="shared" ref="L514:L577" si="82">IF($A514="","",K514*I514)</f>
        <v/>
      </c>
      <c r="M514" s="290" t="str">
        <f t="shared" ref="M514:M577" si="83">IF($A514="","",IFERROR(K514/F514,0))</f>
        <v/>
      </c>
      <c r="N514" t="str">
        <f>IF($A514="","",IFERROR(INDEX(Prices[Category],MATCH($A514,Prices[Key],0)),"Uncategorized"))</f>
        <v/>
      </c>
      <c r="O514" s="291" t="str">
        <f t="shared" ref="O514:O577" si="84">IF($A514="","",$J514*$I514)</f>
        <v/>
      </c>
      <c r="P514" s="291" t="str">
        <f t="shared" ref="P514:P577" si="85">IF($A514="","",$L514)</f>
        <v/>
      </c>
    </row>
    <row r="515" spans="1:16" ht="15" customHeight="1" x14ac:dyDescent="0.2">
      <c r="A515" s="243" t="str">
        <f>IFERROR(INDEX('All Ticker P&amp;L'!$A$2:$A$1001,MATCH(ROWS($A$2:A515),'All Ticker P&amp;L'!$N$2:$N$1001,0)),"")</f>
        <v/>
      </c>
      <c r="B515" s="243" t="str">
        <f t="shared" si="77"/>
        <v/>
      </c>
      <c r="C515" s="243" t="str">
        <f t="shared" si="78"/>
        <v/>
      </c>
      <c r="D515" s="243" t="str">
        <f t="shared" si="79"/>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80"/>
        <v/>
      </c>
      <c r="K515" s="287" t="str">
        <f t="shared" si="81"/>
        <v/>
      </c>
      <c r="L515" s="287" t="str">
        <f t="shared" si="82"/>
        <v/>
      </c>
      <c r="M515" s="290" t="str">
        <f t="shared" si="83"/>
        <v/>
      </c>
      <c r="N515" t="str">
        <f>IF($A515="","",IFERROR(INDEX(Prices[Category],MATCH($A515,Prices[Key],0)),"Uncategorized"))</f>
        <v/>
      </c>
      <c r="O515" s="291" t="str">
        <f t="shared" si="84"/>
        <v/>
      </c>
      <c r="P515" s="291" t="str">
        <f t="shared" si="85"/>
        <v/>
      </c>
    </row>
    <row r="516" spans="1:16" ht="15" customHeight="1" x14ac:dyDescent="0.2">
      <c r="A516" s="243" t="str">
        <f>IFERROR(INDEX('All Ticker P&amp;L'!$A$2:$A$1001,MATCH(ROWS($A$2:A516),'All Ticker P&amp;L'!$N$2:$N$1001,0)),"")</f>
        <v/>
      </c>
      <c r="B516" s="243" t="str">
        <f t="shared" si="77"/>
        <v/>
      </c>
      <c r="C516" s="243" t="str">
        <f t="shared" si="78"/>
        <v/>
      </c>
      <c r="D516" s="243" t="str">
        <f t="shared" si="79"/>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80"/>
        <v/>
      </c>
      <c r="K516" s="287" t="str">
        <f t="shared" si="81"/>
        <v/>
      </c>
      <c r="L516" s="287" t="str">
        <f t="shared" si="82"/>
        <v/>
      </c>
      <c r="M516" s="290" t="str">
        <f t="shared" si="83"/>
        <v/>
      </c>
      <c r="N516" t="str">
        <f>IF($A516="","",IFERROR(INDEX(Prices[Category],MATCH($A516,Prices[Key],0)),"Uncategorized"))</f>
        <v/>
      </c>
      <c r="O516" s="291" t="str">
        <f t="shared" si="84"/>
        <v/>
      </c>
      <c r="P516" s="291" t="str">
        <f t="shared" si="85"/>
        <v/>
      </c>
    </row>
    <row r="517" spans="1:16" ht="15" customHeight="1" x14ac:dyDescent="0.2">
      <c r="A517" s="243" t="str">
        <f>IFERROR(INDEX('All Ticker P&amp;L'!$A$2:$A$1001,MATCH(ROWS($A$2:A517),'All Ticker P&amp;L'!$N$2:$N$1001,0)),"")</f>
        <v/>
      </c>
      <c r="B517" s="243" t="str">
        <f t="shared" si="77"/>
        <v/>
      </c>
      <c r="C517" s="243" t="str">
        <f t="shared" si="78"/>
        <v/>
      </c>
      <c r="D517" s="243" t="str">
        <f t="shared" si="79"/>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80"/>
        <v/>
      </c>
      <c r="K517" s="287" t="str">
        <f t="shared" si="81"/>
        <v/>
      </c>
      <c r="L517" s="287" t="str">
        <f t="shared" si="82"/>
        <v/>
      </c>
      <c r="M517" s="290" t="str">
        <f t="shared" si="83"/>
        <v/>
      </c>
      <c r="N517" t="str">
        <f>IF($A517="","",IFERROR(INDEX(Prices[Category],MATCH($A517,Prices[Key],0)),"Uncategorized"))</f>
        <v/>
      </c>
      <c r="O517" s="291" t="str">
        <f t="shared" si="84"/>
        <v/>
      </c>
      <c r="P517" s="291" t="str">
        <f t="shared" si="85"/>
        <v/>
      </c>
    </row>
    <row r="518" spans="1:16" ht="15" customHeight="1" x14ac:dyDescent="0.2">
      <c r="A518" s="243" t="str">
        <f>IFERROR(INDEX('All Ticker P&amp;L'!$A$2:$A$1001,MATCH(ROWS($A$2:A518),'All Ticker P&amp;L'!$N$2:$N$1001,0)),"")</f>
        <v/>
      </c>
      <c r="B518" s="243" t="str">
        <f t="shared" si="77"/>
        <v/>
      </c>
      <c r="C518" s="243" t="str">
        <f t="shared" si="78"/>
        <v/>
      </c>
      <c r="D518" s="243" t="str">
        <f t="shared" si="79"/>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80"/>
        <v/>
      </c>
      <c r="K518" s="287" t="str">
        <f t="shared" si="81"/>
        <v/>
      </c>
      <c r="L518" s="287" t="str">
        <f t="shared" si="82"/>
        <v/>
      </c>
      <c r="M518" s="290" t="str">
        <f t="shared" si="83"/>
        <v/>
      </c>
      <c r="N518" t="str">
        <f>IF($A518="","",IFERROR(INDEX(Prices[Category],MATCH($A518,Prices[Key],0)),"Uncategorized"))</f>
        <v/>
      </c>
      <c r="O518" s="291" t="str">
        <f t="shared" si="84"/>
        <v/>
      </c>
      <c r="P518" s="291" t="str">
        <f t="shared" si="85"/>
        <v/>
      </c>
    </row>
    <row r="519" spans="1:16" ht="15" customHeight="1" x14ac:dyDescent="0.2">
      <c r="A519" s="243" t="str">
        <f>IFERROR(INDEX('All Ticker P&amp;L'!$A$2:$A$1001,MATCH(ROWS($A$2:A519),'All Ticker P&amp;L'!$N$2:$N$1001,0)),"")</f>
        <v/>
      </c>
      <c r="B519" s="243" t="str">
        <f t="shared" si="77"/>
        <v/>
      </c>
      <c r="C519" s="243" t="str">
        <f t="shared" si="78"/>
        <v/>
      </c>
      <c r="D519" s="243" t="str">
        <f t="shared" si="79"/>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80"/>
        <v/>
      </c>
      <c r="K519" s="287" t="str">
        <f t="shared" si="81"/>
        <v/>
      </c>
      <c r="L519" s="287" t="str">
        <f t="shared" si="82"/>
        <v/>
      </c>
      <c r="M519" s="290" t="str">
        <f t="shared" si="83"/>
        <v/>
      </c>
      <c r="N519" t="str">
        <f>IF($A519="","",IFERROR(INDEX(Prices[Category],MATCH($A519,Prices[Key],0)),"Uncategorized"))</f>
        <v/>
      </c>
      <c r="O519" s="291" t="str">
        <f t="shared" si="84"/>
        <v/>
      </c>
      <c r="P519" s="291" t="str">
        <f t="shared" si="85"/>
        <v/>
      </c>
    </row>
    <row r="520" spans="1:16" ht="15" customHeight="1" x14ac:dyDescent="0.2">
      <c r="A520" s="243" t="str">
        <f>IFERROR(INDEX('All Ticker P&amp;L'!$A$2:$A$1001,MATCH(ROWS($A$2:A520),'All Ticker P&amp;L'!$N$2:$N$1001,0)),"")</f>
        <v/>
      </c>
      <c r="B520" s="243" t="str">
        <f t="shared" si="77"/>
        <v/>
      </c>
      <c r="C520" s="243" t="str">
        <f t="shared" si="78"/>
        <v/>
      </c>
      <c r="D520" s="243" t="str">
        <f t="shared" si="79"/>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80"/>
        <v/>
      </c>
      <c r="K520" s="287" t="str">
        <f t="shared" si="81"/>
        <v/>
      </c>
      <c r="L520" s="287" t="str">
        <f t="shared" si="82"/>
        <v/>
      </c>
      <c r="M520" s="290" t="str">
        <f t="shared" si="83"/>
        <v/>
      </c>
      <c r="N520" t="str">
        <f>IF($A520="","",IFERROR(INDEX(Prices[Category],MATCH($A520,Prices[Key],0)),"Uncategorized"))</f>
        <v/>
      </c>
      <c r="O520" s="291" t="str">
        <f t="shared" si="84"/>
        <v/>
      </c>
      <c r="P520" s="291" t="str">
        <f t="shared" si="85"/>
        <v/>
      </c>
    </row>
    <row r="521" spans="1:16" ht="15" customHeight="1" x14ac:dyDescent="0.2">
      <c r="A521" s="243" t="str">
        <f>IFERROR(INDEX('All Ticker P&amp;L'!$A$2:$A$1001,MATCH(ROWS($A$2:A521),'All Ticker P&amp;L'!$N$2:$N$1001,0)),"")</f>
        <v/>
      </c>
      <c r="B521" s="243" t="str">
        <f t="shared" si="77"/>
        <v/>
      </c>
      <c r="C521" s="243" t="str">
        <f t="shared" si="78"/>
        <v/>
      </c>
      <c r="D521" s="243" t="str">
        <f t="shared" si="79"/>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80"/>
        <v/>
      </c>
      <c r="K521" s="287" t="str">
        <f t="shared" si="81"/>
        <v/>
      </c>
      <c r="L521" s="287" t="str">
        <f t="shared" si="82"/>
        <v/>
      </c>
      <c r="M521" s="290" t="str">
        <f t="shared" si="83"/>
        <v/>
      </c>
      <c r="N521" t="str">
        <f>IF($A521="","",IFERROR(INDEX(Prices[Category],MATCH($A521,Prices[Key],0)),"Uncategorized"))</f>
        <v/>
      </c>
      <c r="O521" s="291" t="str">
        <f t="shared" si="84"/>
        <v/>
      </c>
      <c r="P521" s="291" t="str">
        <f t="shared" si="85"/>
        <v/>
      </c>
    </row>
    <row r="522" spans="1:16" ht="15" customHeight="1" x14ac:dyDescent="0.2">
      <c r="A522" s="243" t="str">
        <f>IFERROR(INDEX('All Ticker P&amp;L'!$A$2:$A$1001,MATCH(ROWS($A$2:A522),'All Ticker P&amp;L'!$N$2:$N$1001,0)),"")</f>
        <v/>
      </c>
      <c r="B522" s="243" t="str">
        <f t="shared" si="77"/>
        <v/>
      </c>
      <c r="C522" s="243" t="str">
        <f t="shared" si="78"/>
        <v/>
      </c>
      <c r="D522" s="243" t="str">
        <f t="shared" si="79"/>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80"/>
        <v/>
      </c>
      <c r="K522" s="287" t="str">
        <f t="shared" si="81"/>
        <v/>
      </c>
      <c r="L522" s="287" t="str">
        <f t="shared" si="82"/>
        <v/>
      </c>
      <c r="M522" s="290" t="str">
        <f t="shared" si="83"/>
        <v/>
      </c>
      <c r="N522" t="str">
        <f>IF($A522="","",IFERROR(INDEX(Prices[Category],MATCH($A522,Prices[Key],0)),"Uncategorized"))</f>
        <v/>
      </c>
      <c r="O522" s="291" t="str">
        <f t="shared" si="84"/>
        <v/>
      </c>
      <c r="P522" s="291" t="str">
        <f t="shared" si="85"/>
        <v/>
      </c>
    </row>
    <row r="523" spans="1:16" ht="15" customHeight="1" x14ac:dyDescent="0.2">
      <c r="A523" s="243" t="str">
        <f>IFERROR(INDEX('All Ticker P&amp;L'!$A$2:$A$1001,MATCH(ROWS($A$2:A523),'All Ticker P&amp;L'!$N$2:$N$1001,0)),"")</f>
        <v/>
      </c>
      <c r="B523" s="243" t="str">
        <f t="shared" si="77"/>
        <v/>
      </c>
      <c r="C523" s="243" t="str">
        <f t="shared" si="78"/>
        <v/>
      </c>
      <c r="D523" s="243" t="str">
        <f t="shared" si="79"/>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80"/>
        <v/>
      </c>
      <c r="K523" s="287" t="str">
        <f t="shared" si="81"/>
        <v/>
      </c>
      <c r="L523" s="287" t="str">
        <f t="shared" si="82"/>
        <v/>
      </c>
      <c r="M523" s="290" t="str">
        <f t="shared" si="83"/>
        <v/>
      </c>
      <c r="N523" t="str">
        <f>IF($A523="","",IFERROR(INDEX(Prices[Category],MATCH($A523,Prices[Key],0)),"Uncategorized"))</f>
        <v/>
      </c>
      <c r="O523" s="291" t="str">
        <f t="shared" si="84"/>
        <v/>
      </c>
      <c r="P523" s="291" t="str">
        <f t="shared" si="85"/>
        <v/>
      </c>
    </row>
    <row r="524" spans="1:16" ht="15" customHeight="1" x14ac:dyDescent="0.2">
      <c r="A524" s="243" t="str">
        <f>IFERROR(INDEX('All Ticker P&amp;L'!$A$2:$A$1001,MATCH(ROWS($A$2:A524),'All Ticker P&amp;L'!$N$2:$N$1001,0)),"")</f>
        <v/>
      </c>
      <c r="B524" s="243" t="str">
        <f t="shared" si="77"/>
        <v/>
      </c>
      <c r="C524" s="243" t="str">
        <f t="shared" si="78"/>
        <v/>
      </c>
      <c r="D524" s="243" t="str">
        <f t="shared" si="79"/>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80"/>
        <v/>
      </c>
      <c r="K524" s="287" t="str">
        <f t="shared" si="81"/>
        <v/>
      </c>
      <c r="L524" s="287" t="str">
        <f t="shared" si="82"/>
        <v/>
      </c>
      <c r="M524" s="290" t="str">
        <f t="shared" si="83"/>
        <v/>
      </c>
      <c r="N524" t="str">
        <f>IF($A524="","",IFERROR(INDEX(Prices[Category],MATCH($A524,Prices[Key],0)),"Uncategorized"))</f>
        <v/>
      </c>
      <c r="O524" s="291" t="str">
        <f t="shared" si="84"/>
        <v/>
      </c>
      <c r="P524" s="291" t="str">
        <f t="shared" si="85"/>
        <v/>
      </c>
    </row>
    <row r="525" spans="1:16" ht="15" customHeight="1" x14ac:dyDescent="0.2">
      <c r="A525" s="243" t="str">
        <f>IFERROR(INDEX('All Ticker P&amp;L'!$A$2:$A$1001,MATCH(ROWS($A$2:A525),'All Ticker P&amp;L'!$N$2:$N$1001,0)),"")</f>
        <v/>
      </c>
      <c r="B525" s="243" t="str">
        <f t="shared" si="77"/>
        <v/>
      </c>
      <c r="C525" s="243" t="str">
        <f t="shared" si="78"/>
        <v/>
      </c>
      <c r="D525" s="243" t="str">
        <f t="shared" si="79"/>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80"/>
        <v/>
      </c>
      <c r="K525" s="287" t="str">
        <f t="shared" si="81"/>
        <v/>
      </c>
      <c r="L525" s="287" t="str">
        <f t="shared" si="82"/>
        <v/>
      </c>
      <c r="M525" s="290" t="str">
        <f t="shared" si="83"/>
        <v/>
      </c>
      <c r="N525" t="str">
        <f>IF($A525="","",IFERROR(INDEX(Prices[Category],MATCH($A525,Prices[Key],0)),"Uncategorized"))</f>
        <v/>
      </c>
      <c r="O525" s="291" t="str">
        <f t="shared" si="84"/>
        <v/>
      </c>
      <c r="P525" s="291" t="str">
        <f t="shared" si="85"/>
        <v/>
      </c>
    </row>
    <row r="526" spans="1:16" ht="15" customHeight="1" x14ac:dyDescent="0.2">
      <c r="A526" s="243" t="str">
        <f>IFERROR(INDEX('All Ticker P&amp;L'!$A$2:$A$1001,MATCH(ROWS($A$2:A526),'All Ticker P&amp;L'!$N$2:$N$1001,0)),"")</f>
        <v/>
      </c>
      <c r="B526" s="243" t="str">
        <f t="shared" si="77"/>
        <v/>
      </c>
      <c r="C526" s="243" t="str">
        <f t="shared" si="78"/>
        <v/>
      </c>
      <c r="D526" s="243" t="str">
        <f t="shared" si="79"/>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80"/>
        <v/>
      </c>
      <c r="K526" s="287" t="str">
        <f t="shared" si="81"/>
        <v/>
      </c>
      <c r="L526" s="287" t="str">
        <f t="shared" si="82"/>
        <v/>
      </c>
      <c r="M526" s="290" t="str">
        <f t="shared" si="83"/>
        <v/>
      </c>
      <c r="N526" t="str">
        <f>IF($A526="","",IFERROR(INDEX(Prices[Category],MATCH($A526,Prices[Key],0)),"Uncategorized"))</f>
        <v/>
      </c>
      <c r="O526" s="291" t="str">
        <f t="shared" si="84"/>
        <v/>
      </c>
      <c r="P526" s="291" t="str">
        <f t="shared" si="85"/>
        <v/>
      </c>
    </row>
    <row r="527" spans="1:16" ht="15" customHeight="1" x14ac:dyDescent="0.2">
      <c r="A527" s="243" t="str">
        <f>IFERROR(INDEX('All Ticker P&amp;L'!$A$2:$A$1001,MATCH(ROWS($A$2:A527),'All Ticker P&amp;L'!$N$2:$N$1001,0)),"")</f>
        <v/>
      </c>
      <c r="B527" s="243" t="str">
        <f t="shared" si="77"/>
        <v/>
      </c>
      <c r="C527" s="243" t="str">
        <f t="shared" si="78"/>
        <v/>
      </c>
      <c r="D527" s="243" t="str">
        <f t="shared" si="79"/>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80"/>
        <v/>
      </c>
      <c r="K527" s="287" t="str">
        <f t="shared" si="81"/>
        <v/>
      </c>
      <c r="L527" s="287" t="str">
        <f t="shared" si="82"/>
        <v/>
      </c>
      <c r="M527" s="290" t="str">
        <f t="shared" si="83"/>
        <v/>
      </c>
      <c r="N527" t="str">
        <f>IF($A527="","",IFERROR(INDEX(Prices[Category],MATCH($A527,Prices[Key],0)),"Uncategorized"))</f>
        <v/>
      </c>
      <c r="O527" s="291" t="str">
        <f t="shared" si="84"/>
        <v/>
      </c>
      <c r="P527" s="291" t="str">
        <f t="shared" si="85"/>
        <v/>
      </c>
    </row>
    <row r="528" spans="1:16" ht="15" customHeight="1" x14ac:dyDescent="0.2">
      <c r="A528" s="243" t="str">
        <f>IFERROR(INDEX('All Ticker P&amp;L'!$A$2:$A$1001,MATCH(ROWS($A$2:A528),'All Ticker P&amp;L'!$N$2:$N$1001,0)),"")</f>
        <v/>
      </c>
      <c r="B528" s="243" t="str">
        <f t="shared" si="77"/>
        <v/>
      </c>
      <c r="C528" s="243" t="str">
        <f t="shared" si="78"/>
        <v/>
      </c>
      <c r="D528" s="243" t="str">
        <f t="shared" si="79"/>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80"/>
        <v/>
      </c>
      <c r="K528" s="287" t="str">
        <f t="shared" si="81"/>
        <v/>
      </c>
      <c r="L528" s="287" t="str">
        <f t="shared" si="82"/>
        <v/>
      </c>
      <c r="M528" s="290" t="str">
        <f t="shared" si="83"/>
        <v/>
      </c>
      <c r="N528" t="str">
        <f>IF($A528="","",IFERROR(INDEX(Prices[Category],MATCH($A528,Prices[Key],0)),"Uncategorized"))</f>
        <v/>
      </c>
      <c r="O528" s="291" t="str">
        <f t="shared" si="84"/>
        <v/>
      </c>
      <c r="P528" s="291" t="str">
        <f t="shared" si="85"/>
        <v/>
      </c>
    </row>
    <row r="529" spans="1:16" ht="15" customHeight="1" x14ac:dyDescent="0.2">
      <c r="A529" s="243" t="str">
        <f>IFERROR(INDEX('All Ticker P&amp;L'!$A$2:$A$1001,MATCH(ROWS($A$2:A529),'All Ticker P&amp;L'!$N$2:$N$1001,0)),"")</f>
        <v/>
      </c>
      <c r="B529" s="243" t="str">
        <f t="shared" si="77"/>
        <v/>
      </c>
      <c r="C529" s="243" t="str">
        <f t="shared" si="78"/>
        <v/>
      </c>
      <c r="D529" s="243" t="str">
        <f t="shared" si="79"/>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80"/>
        <v/>
      </c>
      <c r="K529" s="287" t="str">
        <f t="shared" si="81"/>
        <v/>
      </c>
      <c r="L529" s="287" t="str">
        <f t="shared" si="82"/>
        <v/>
      </c>
      <c r="M529" s="290" t="str">
        <f t="shared" si="83"/>
        <v/>
      </c>
      <c r="N529" t="str">
        <f>IF($A529="","",IFERROR(INDEX(Prices[Category],MATCH($A529,Prices[Key],0)),"Uncategorized"))</f>
        <v/>
      </c>
      <c r="O529" s="291" t="str">
        <f t="shared" si="84"/>
        <v/>
      </c>
      <c r="P529" s="291" t="str">
        <f t="shared" si="85"/>
        <v/>
      </c>
    </row>
    <row r="530" spans="1:16" ht="15" customHeight="1" x14ac:dyDescent="0.2">
      <c r="A530" s="243" t="str">
        <f>IFERROR(INDEX('All Ticker P&amp;L'!$A$2:$A$1001,MATCH(ROWS($A$2:A530),'All Ticker P&amp;L'!$N$2:$N$1001,0)),"")</f>
        <v/>
      </c>
      <c r="B530" s="243" t="str">
        <f t="shared" si="77"/>
        <v/>
      </c>
      <c r="C530" s="243" t="str">
        <f t="shared" si="78"/>
        <v/>
      </c>
      <c r="D530" s="243" t="str">
        <f t="shared" si="79"/>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80"/>
        <v/>
      </c>
      <c r="K530" s="287" t="str">
        <f t="shared" si="81"/>
        <v/>
      </c>
      <c r="L530" s="287" t="str">
        <f t="shared" si="82"/>
        <v/>
      </c>
      <c r="M530" s="290" t="str">
        <f t="shared" si="83"/>
        <v/>
      </c>
      <c r="N530" t="str">
        <f>IF($A530="","",IFERROR(INDEX(Prices[Category],MATCH($A530,Prices[Key],0)),"Uncategorized"))</f>
        <v/>
      </c>
      <c r="O530" s="291" t="str">
        <f t="shared" si="84"/>
        <v/>
      </c>
      <c r="P530" s="291" t="str">
        <f t="shared" si="85"/>
        <v/>
      </c>
    </row>
    <row r="531" spans="1:16" ht="15" customHeight="1" x14ac:dyDescent="0.2">
      <c r="A531" s="243" t="str">
        <f>IFERROR(INDEX('All Ticker P&amp;L'!$A$2:$A$1001,MATCH(ROWS($A$2:A531),'All Ticker P&amp;L'!$N$2:$N$1001,0)),"")</f>
        <v/>
      </c>
      <c r="B531" s="243" t="str">
        <f t="shared" si="77"/>
        <v/>
      </c>
      <c r="C531" s="243" t="str">
        <f t="shared" si="78"/>
        <v/>
      </c>
      <c r="D531" s="243" t="str">
        <f t="shared" si="79"/>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80"/>
        <v/>
      </c>
      <c r="K531" s="287" t="str">
        <f t="shared" si="81"/>
        <v/>
      </c>
      <c r="L531" s="287" t="str">
        <f t="shared" si="82"/>
        <v/>
      </c>
      <c r="M531" s="290" t="str">
        <f t="shared" si="83"/>
        <v/>
      </c>
      <c r="N531" t="str">
        <f>IF($A531="","",IFERROR(INDEX(Prices[Category],MATCH($A531,Prices[Key],0)),"Uncategorized"))</f>
        <v/>
      </c>
      <c r="O531" s="291" t="str">
        <f t="shared" si="84"/>
        <v/>
      </c>
      <c r="P531" s="291" t="str">
        <f t="shared" si="85"/>
        <v/>
      </c>
    </row>
    <row r="532" spans="1:16" ht="15" customHeight="1" x14ac:dyDescent="0.2">
      <c r="A532" s="243" t="str">
        <f>IFERROR(INDEX('All Ticker P&amp;L'!$A$2:$A$1001,MATCH(ROWS($A$2:A532),'All Ticker P&amp;L'!$N$2:$N$1001,0)),"")</f>
        <v/>
      </c>
      <c r="B532" s="243" t="str">
        <f t="shared" si="77"/>
        <v/>
      </c>
      <c r="C532" s="243" t="str">
        <f t="shared" si="78"/>
        <v/>
      </c>
      <c r="D532" s="243" t="str">
        <f t="shared" si="79"/>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80"/>
        <v/>
      </c>
      <c r="K532" s="287" t="str">
        <f t="shared" si="81"/>
        <v/>
      </c>
      <c r="L532" s="287" t="str">
        <f t="shared" si="82"/>
        <v/>
      </c>
      <c r="M532" s="290" t="str">
        <f t="shared" si="83"/>
        <v/>
      </c>
      <c r="N532" t="str">
        <f>IF($A532="","",IFERROR(INDEX(Prices[Category],MATCH($A532,Prices[Key],0)),"Uncategorized"))</f>
        <v/>
      </c>
      <c r="O532" s="291" t="str">
        <f t="shared" si="84"/>
        <v/>
      </c>
      <c r="P532" s="291" t="str">
        <f t="shared" si="85"/>
        <v/>
      </c>
    </row>
    <row r="533" spans="1:16" ht="15" customHeight="1" x14ac:dyDescent="0.2">
      <c r="A533" s="243" t="str">
        <f>IFERROR(INDEX('All Ticker P&amp;L'!$A$2:$A$1001,MATCH(ROWS($A$2:A533),'All Ticker P&amp;L'!$N$2:$N$1001,0)),"")</f>
        <v/>
      </c>
      <c r="B533" s="243" t="str">
        <f t="shared" si="77"/>
        <v/>
      </c>
      <c r="C533" s="243" t="str">
        <f t="shared" si="78"/>
        <v/>
      </c>
      <c r="D533" s="243" t="str">
        <f t="shared" si="79"/>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80"/>
        <v/>
      </c>
      <c r="K533" s="287" t="str">
        <f t="shared" si="81"/>
        <v/>
      </c>
      <c r="L533" s="287" t="str">
        <f t="shared" si="82"/>
        <v/>
      </c>
      <c r="M533" s="290" t="str">
        <f t="shared" si="83"/>
        <v/>
      </c>
      <c r="N533" t="str">
        <f>IF($A533="","",IFERROR(INDEX(Prices[Category],MATCH($A533,Prices[Key],0)),"Uncategorized"))</f>
        <v/>
      </c>
      <c r="O533" s="291" t="str">
        <f t="shared" si="84"/>
        <v/>
      </c>
      <c r="P533" s="291" t="str">
        <f t="shared" si="85"/>
        <v/>
      </c>
    </row>
    <row r="534" spans="1:16" ht="15" customHeight="1" x14ac:dyDescent="0.2">
      <c r="A534" s="243" t="str">
        <f>IFERROR(INDEX('All Ticker P&amp;L'!$A$2:$A$1001,MATCH(ROWS($A$2:A534),'All Ticker P&amp;L'!$N$2:$N$1001,0)),"")</f>
        <v/>
      </c>
      <c r="B534" s="243" t="str">
        <f t="shared" si="77"/>
        <v/>
      </c>
      <c r="C534" s="243" t="str">
        <f t="shared" si="78"/>
        <v/>
      </c>
      <c r="D534" s="243" t="str">
        <f t="shared" si="79"/>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80"/>
        <v/>
      </c>
      <c r="K534" s="287" t="str">
        <f t="shared" si="81"/>
        <v/>
      </c>
      <c r="L534" s="287" t="str">
        <f t="shared" si="82"/>
        <v/>
      </c>
      <c r="M534" s="290" t="str">
        <f t="shared" si="83"/>
        <v/>
      </c>
      <c r="N534" t="str">
        <f>IF($A534="","",IFERROR(INDEX(Prices[Category],MATCH($A534,Prices[Key],0)),"Uncategorized"))</f>
        <v/>
      </c>
      <c r="O534" s="291" t="str">
        <f t="shared" si="84"/>
        <v/>
      </c>
      <c r="P534" s="291" t="str">
        <f t="shared" si="85"/>
        <v/>
      </c>
    </row>
    <row r="535" spans="1:16" ht="15" customHeight="1" x14ac:dyDescent="0.2">
      <c r="A535" s="243" t="str">
        <f>IFERROR(INDEX('All Ticker P&amp;L'!$A$2:$A$1001,MATCH(ROWS($A$2:A535),'All Ticker P&amp;L'!$N$2:$N$1001,0)),"")</f>
        <v/>
      </c>
      <c r="B535" s="243" t="str">
        <f t="shared" si="77"/>
        <v/>
      </c>
      <c r="C535" s="243" t="str">
        <f t="shared" si="78"/>
        <v/>
      </c>
      <c r="D535" s="243" t="str">
        <f t="shared" si="79"/>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80"/>
        <v/>
      </c>
      <c r="K535" s="287" t="str">
        <f t="shared" si="81"/>
        <v/>
      </c>
      <c r="L535" s="287" t="str">
        <f t="shared" si="82"/>
        <v/>
      </c>
      <c r="M535" s="290" t="str">
        <f t="shared" si="83"/>
        <v/>
      </c>
      <c r="N535" t="str">
        <f>IF($A535="","",IFERROR(INDEX(Prices[Category],MATCH($A535,Prices[Key],0)),"Uncategorized"))</f>
        <v/>
      </c>
      <c r="O535" s="291" t="str">
        <f t="shared" si="84"/>
        <v/>
      </c>
      <c r="P535" s="291" t="str">
        <f t="shared" si="85"/>
        <v/>
      </c>
    </row>
    <row r="536" spans="1:16" ht="15" customHeight="1" x14ac:dyDescent="0.2">
      <c r="A536" s="243" t="str">
        <f>IFERROR(INDEX('All Ticker P&amp;L'!$A$2:$A$1001,MATCH(ROWS($A$2:A536),'All Ticker P&amp;L'!$N$2:$N$1001,0)),"")</f>
        <v/>
      </c>
      <c r="B536" s="243" t="str">
        <f t="shared" si="77"/>
        <v/>
      </c>
      <c r="C536" s="243" t="str">
        <f t="shared" si="78"/>
        <v/>
      </c>
      <c r="D536" s="243" t="str">
        <f t="shared" si="79"/>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80"/>
        <v/>
      </c>
      <c r="K536" s="287" t="str">
        <f t="shared" si="81"/>
        <v/>
      </c>
      <c r="L536" s="287" t="str">
        <f t="shared" si="82"/>
        <v/>
      </c>
      <c r="M536" s="290" t="str">
        <f t="shared" si="83"/>
        <v/>
      </c>
      <c r="N536" t="str">
        <f>IF($A536="","",IFERROR(INDEX(Prices[Category],MATCH($A536,Prices[Key],0)),"Uncategorized"))</f>
        <v/>
      </c>
      <c r="O536" s="291" t="str">
        <f t="shared" si="84"/>
        <v/>
      </c>
      <c r="P536" s="291" t="str">
        <f t="shared" si="85"/>
        <v/>
      </c>
    </row>
    <row r="537" spans="1:16" ht="15" customHeight="1" x14ac:dyDescent="0.2">
      <c r="A537" s="243" t="str">
        <f>IFERROR(INDEX('All Ticker P&amp;L'!$A$2:$A$1001,MATCH(ROWS($A$2:A537),'All Ticker P&amp;L'!$N$2:$N$1001,0)),"")</f>
        <v/>
      </c>
      <c r="B537" s="243" t="str">
        <f t="shared" si="77"/>
        <v/>
      </c>
      <c r="C537" s="243" t="str">
        <f t="shared" si="78"/>
        <v/>
      </c>
      <c r="D537" s="243" t="str">
        <f t="shared" si="79"/>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80"/>
        <v/>
      </c>
      <c r="K537" s="287" t="str">
        <f t="shared" si="81"/>
        <v/>
      </c>
      <c r="L537" s="287" t="str">
        <f t="shared" si="82"/>
        <v/>
      </c>
      <c r="M537" s="290" t="str">
        <f t="shared" si="83"/>
        <v/>
      </c>
      <c r="N537" t="str">
        <f>IF($A537="","",IFERROR(INDEX(Prices[Category],MATCH($A537,Prices[Key],0)),"Uncategorized"))</f>
        <v/>
      </c>
      <c r="O537" s="291" t="str">
        <f t="shared" si="84"/>
        <v/>
      </c>
      <c r="P537" s="291" t="str">
        <f t="shared" si="85"/>
        <v/>
      </c>
    </row>
    <row r="538" spans="1:16" ht="15" customHeight="1" x14ac:dyDescent="0.2">
      <c r="A538" s="243" t="str">
        <f>IFERROR(INDEX('All Ticker P&amp;L'!$A$2:$A$1001,MATCH(ROWS($A$2:A538),'All Ticker P&amp;L'!$N$2:$N$1001,0)),"")</f>
        <v/>
      </c>
      <c r="B538" s="243" t="str">
        <f t="shared" si="77"/>
        <v/>
      </c>
      <c r="C538" s="243" t="str">
        <f t="shared" si="78"/>
        <v/>
      </c>
      <c r="D538" s="243" t="str">
        <f t="shared" si="79"/>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80"/>
        <v/>
      </c>
      <c r="K538" s="287" t="str">
        <f t="shared" si="81"/>
        <v/>
      </c>
      <c r="L538" s="287" t="str">
        <f t="shared" si="82"/>
        <v/>
      </c>
      <c r="M538" s="290" t="str">
        <f t="shared" si="83"/>
        <v/>
      </c>
      <c r="N538" t="str">
        <f>IF($A538="","",IFERROR(INDEX(Prices[Category],MATCH($A538,Prices[Key],0)),"Uncategorized"))</f>
        <v/>
      </c>
      <c r="O538" s="291" t="str">
        <f t="shared" si="84"/>
        <v/>
      </c>
      <c r="P538" s="291" t="str">
        <f t="shared" si="85"/>
        <v/>
      </c>
    </row>
    <row r="539" spans="1:16" ht="15" customHeight="1" x14ac:dyDescent="0.2">
      <c r="A539" s="243" t="str">
        <f>IFERROR(INDEX('All Ticker P&amp;L'!$A$2:$A$1001,MATCH(ROWS($A$2:A539),'All Ticker P&amp;L'!$N$2:$N$1001,0)),"")</f>
        <v/>
      </c>
      <c r="B539" s="243" t="str">
        <f t="shared" si="77"/>
        <v/>
      </c>
      <c r="C539" s="243" t="str">
        <f t="shared" si="78"/>
        <v/>
      </c>
      <c r="D539" s="243" t="str">
        <f t="shared" si="79"/>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80"/>
        <v/>
      </c>
      <c r="K539" s="287" t="str">
        <f t="shared" si="81"/>
        <v/>
      </c>
      <c r="L539" s="287" t="str">
        <f t="shared" si="82"/>
        <v/>
      </c>
      <c r="M539" s="290" t="str">
        <f t="shared" si="83"/>
        <v/>
      </c>
      <c r="N539" t="str">
        <f>IF($A539="","",IFERROR(INDEX(Prices[Category],MATCH($A539,Prices[Key],0)),"Uncategorized"))</f>
        <v/>
      </c>
      <c r="O539" s="291" t="str">
        <f t="shared" si="84"/>
        <v/>
      </c>
      <c r="P539" s="291" t="str">
        <f t="shared" si="85"/>
        <v/>
      </c>
    </row>
    <row r="540" spans="1:16" ht="15" customHeight="1" x14ac:dyDescent="0.2">
      <c r="A540" s="243" t="str">
        <f>IFERROR(INDEX('All Ticker P&amp;L'!$A$2:$A$1001,MATCH(ROWS($A$2:A540),'All Ticker P&amp;L'!$N$2:$N$1001,0)),"")</f>
        <v/>
      </c>
      <c r="B540" s="243" t="str">
        <f t="shared" si="77"/>
        <v/>
      </c>
      <c r="C540" s="243" t="str">
        <f t="shared" si="78"/>
        <v/>
      </c>
      <c r="D540" s="243" t="str">
        <f t="shared" si="79"/>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80"/>
        <v/>
      </c>
      <c r="K540" s="287" t="str">
        <f t="shared" si="81"/>
        <v/>
      </c>
      <c r="L540" s="287" t="str">
        <f t="shared" si="82"/>
        <v/>
      </c>
      <c r="M540" s="290" t="str">
        <f t="shared" si="83"/>
        <v/>
      </c>
      <c r="N540" t="str">
        <f>IF($A540="","",IFERROR(INDEX(Prices[Category],MATCH($A540,Prices[Key],0)),"Uncategorized"))</f>
        <v/>
      </c>
      <c r="O540" s="291" t="str">
        <f t="shared" si="84"/>
        <v/>
      </c>
      <c r="P540" s="291" t="str">
        <f t="shared" si="85"/>
        <v/>
      </c>
    </row>
    <row r="541" spans="1:16" ht="15" customHeight="1" x14ac:dyDescent="0.2">
      <c r="A541" s="243" t="str">
        <f>IFERROR(INDEX('All Ticker P&amp;L'!$A$2:$A$1001,MATCH(ROWS($A$2:A541),'All Ticker P&amp;L'!$N$2:$N$1001,0)),"")</f>
        <v/>
      </c>
      <c r="B541" s="243" t="str">
        <f t="shared" si="77"/>
        <v/>
      </c>
      <c r="C541" s="243" t="str">
        <f t="shared" si="78"/>
        <v/>
      </c>
      <c r="D541" s="243" t="str">
        <f t="shared" si="79"/>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80"/>
        <v/>
      </c>
      <c r="K541" s="287" t="str">
        <f t="shared" si="81"/>
        <v/>
      </c>
      <c r="L541" s="287" t="str">
        <f t="shared" si="82"/>
        <v/>
      </c>
      <c r="M541" s="290" t="str">
        <f t="shared" si="83"/>
        <v/>
      </c>
      <c r="N541" t="str">
        <f>IF($A541="","",IFERROR(INDEX(Prices[Category],MATCH($A541,Prices[Key],0)),"Uncategorized"))</f>
        <v/>
      </c>
      <c r="O541" s="291" t="str">
        <f t="shared" si="84"/>
        <v/>
      </c>
      <c r="P541" s="291" t="str">
        <f t="shared" si="85"/>
        <v/>
      </c>
    </row>
    <row r="542" spans="1:16" ht="15" customHeight="1" x14ac:dyDescent="0.2">
      <c r="A542" s="243" t="str">
        <f>IFERROR(INDEX('All Ticker P&amp;L'!$A$2:$A$1001,MATCH(ROWS($A$2:A542),'All Ticker P&amp;L'!$N$2:$N$1001,0)),"")</f>
        <v/>
      </c>
      <c r="B542" s="243" t="str">
        <f t="shared" si="77"/>
        <v/>
      </c>
      <c r="C542" s="243" t="str">
        <f t="shared" si="78"/>
        <v/>
      </c>
      <c r="D542" s="243" t="str">
        <f t="shared" si="79"/>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80"/>
        <v/>
      </c>
      <c r="K542" s="287" t="str">
        <f t="shared" si="81"/>
        <v/>
      </c>
      <c r="L542" s="287" t="str">
        <f t="shared" si="82"/>
        <v/>
      </c>
      <c r="M542" s="290" t="str">
        <f t="shared" si="83"/>
        <v/>
      </c>
      <c r="N542" t="str">
        <f>IF($A542="","",IFERROR(INDEX(Prices[Category],MATCH($A542,Prices[Key],0)),"Uncategorized"))</f>
        <v/>
      </c>
      <c r="O542" s="291" t="str">
        <f t="shared" si="84"/>
        <v/>
      </c>
      <c r="P542" s="291" t="str">
        <f t="shared" si="85"/>
        <v/>
      </c>
    </row>
    <row r="543" spans="1:16" ht="15" customHeight="1" x14ac:dyDescent="0.2">
      <c r="A543" s="243" t="str">
        <f>IFERROR(INDEX('All Ticker P&amp;L'!$A$2:$A$1001,MATCH(ROWS($A$2:A543),'All Ticker P&amp;L'!$N$2:$N$1001,0)),"")</f>
        <v/>
      </c>
      <c r="B543" s="243" t="str">
        <f t="shared" si="77"/>
        <v/>
      </c>
      <c r="C543" s="243" t="str">
        <f t="shared" si="78"/>
        <v/>
      </c>
      <c r="D543" s="243" t="str">
        <f t="shared" si="79"/>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80"/>
        <v/>
      </c>
      <c r="K543" s="287" t="str">
        <f t="shared" si="81"/>
        <v/>
      </c>
      <c r="L543" s="287" t="str">
        <f t="shared" si="82"/>
        <v/>
      </c>
      <c r="M543" s="290" t="str">
        <f t="shared" si="83"/>
        <v/>
      </c>
      <c r="N543" t="str">
        <f>IF($A543="","",IFERROR(INDEX(Prices[Category],MATCH($A543,Prices[Key],0)),"Uncategorized"))</f>
        <v/>
      </c>
      <c r="O543" s="291" t="str">
        <f t="shared" si="84"/>
        <v/>
      </c>
      <c r="P543" s="291" t="str">
        <f t="shared" si="85"/>
        <v/>
      </c>
    </row>
    <row r="544" spans="1:16" ht="15" customHeight="1" x14ac:dyDescent="0.2">
      <c r="A544" s="243" t="str">
        <f>IFERROR(INDEX('All Ticker P&amp;L'!$A$2:$A$1001,MATCH(ROWS($A$2:A544),'All Ticker P&amp;L'!$N$2:$N$1001,0)),"")</f>
        <v/>
      </c>
      <c r="B544" s="243" t="str">
        <f t="shared" si="77"/>
        <v/>
      </c>
      <c r="C544" s="243" t="str">
        <f t="shared" si="78"/>
        <v/>
      </c>
      <c r="D544" s="243" t="str">
        <f t="shared" si="79"/>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80"/>
        <v/>
      </c>
      <c r="K544" s="287" t="str">
        <f t="shared" si="81"/>
        <v/>
      </c>
      <c r="L544" s="287" t="str">
        <f t="shared" si="82"/>
        <v/>
      </c>
      <c r="M544" s="290" t="str">
        <f t="shared" si="83"/>
        <v/>
      </c>
      <c r="N544" t="str">
        <f>IF($A544="","",IFERROR(INDEX(Prices[Category],MATCH($A544,Prices[Key],0)),"Uncategorized"))</f>
        <v/>
      </c>
      <c r="O544" s="291" t="str">
        <f t="shared" si="84"/>
        <v/>
      </c>
      <c r="P544" s="291" t="str">
        <f t="shared" si="85"/>
        <v/>
      </c>
    </row>
    <row r="545" spans="1:16" ht="15" customHeight="1" x14ac:dyDescent="0.2">
      <c r="A545" s="243" t="str">
        <f>IFERROR(INDEX('All Ticker P&amp;L'!$A$2:$A$1001,MATCH(ROWS($A$2:A545),'All Ticker P&amp;L'!$N$2:$N$1001,0)),"")</f>
        <v/>
      </c>
      <c r="B545" s="243" t="str">
        <f t="shared" si="77"/>
        <v/>
      </c>
      <c r="C545" s="243" t="str">
        <f t="shared" si="78"/>
        <v/>
      </c>
      <c r="D545" s="243" t="str">
        <f t="shared" si="79"/>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80"/>
        <v/>
      </c>
      <c r="K545" s="287" t="str">
        <f t="shared" si="81"/>
        <v/>
      </c>
      <c r="L545" s="287" t="str">
        <f t="shared" si="82"/>
        <v/>
      </c>
      <c r="M545" s="290" t="str">
        <f t="shared" si="83"/>
        <v/>
      </c>
      <c r="N545" t="str">
        <f>IF($A545="","",IFERROR(INDEX(Prices[Category],MATCH($A545,Prices[Key],0)),"Uncategorized"))</f>
        <v/>
      </c>
      <c r="O545" s="291" t="str">
        <f t="shared" si="84"/>
        <v/>
      </c>
      <c r="P545" s="291" t="str">
        <f t="shared" si="85"/>
        <v/>
      </c>
    </row>
    <row r="546" spans="1:16" ht="15" customHeight="1" x14ac:dyDescent="0.2">
      <c r="A546" s="243" t="str">
        <f>IFERROR(INDEX('All Ticker P&amp;L'!$A$2:$A$1001,MATCH(ROWS($A$2:A546),'All Ticker P&amp;L'!$N$2:$N$1001,0)),"")</f>
        <v/>
      </c>
      <c r="B546" s="243" t="str">
        <f t="shared" si="77"/>
        <v/>
      </c>
      <c r="C546" s="243" t="str">
        <f t="shared" si="78"/>
        <v/>
      </c>
      <c r="D546" s="243" t="str">
        <f t="shared" si="79"/>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80"/>
        <v/>
      </c>
      <c r="K546" s="287" t="str">
        <f t="shared" si="81"/>
        <v/>
      </c>
      <c r="L546" s="287" t="str">
        <f t="shared" si="82"/>
        <v/>
      </c>
      <c r="M546" s="290" t="str">
        <f t="shared" si="83"/>
        <v/>
      </c>
      <c r="N546" t="str">
        <f>IF($A546="","",IFERROR(INDEX(Prices[Category],MATCH($A546,Prices[Key],0)),"Uncategorized"))</f>
        <v/>
      </c>
      <c r="O546" s="291" t="str">
        <f t="shared" si="84"/>
        <v/>
      </c>
      <c r="P546" s="291" t="str">
        <f t="shared" si="85"/>
        <v/>
      </c>
    </row>
    <row r="547" spans="1:16" ht="15" customHeight="1" x14ac:dyDescent="0.2">
      <c r="A547" s="243" t="str">
        <f>IFERROR(INDEX('All Ticker P&amp;L'!$A$2:$A$1001,MATCH(ROWS($A$2:A547),'All Ticker P&amp;L'!$N$2:$N$1001,0)),"")</f>
        <v/>
      </c>
      <c r="B547" s="243" t="str">
        <f t="shared" si="77"/>
        <v/>
      </c>
      <c r="C547" s="243" t="str">
        <f t="shared" si="78"/>
        <v/>
      </c>
      <c r="D547" s="243" t="str">
        <f t="shared" si="79"/>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80"/>
        <v/>
      </c>
      <c r="K547" s="287" t="str">
        <f t="shared" si="81"/>
        <v/>
      </c>
      <c r="L547" s="287" t="str">
        <f t="shared" si="82"/>
        <v/>
      </c>
      <c r="M547" s="290" t="str">
        <f t="shared" si="83"/>
        <v/>
      </c>
      <c r="N547" t="str">
        <f>IF($A547="","",IFERROR(INDEX(Prices[Category],MATCH($A547,Prices[Key],0)),"Uncategorized"))</f>
        <v/>
      </c>
      <c r="O547" s="291" t="str">
        <f t="shared" si="84"/>
        <v/>
      </c>
      <c r="P547" s="291" t="str">
        <f t="shared" si="85"/>
        <v/>
      </c>
    </row>
    <row r="548" spans="1:16" ht="15" customHeight="1" x14ac:dyDescent="0.2">
      <c r="A548" s="243" t="str">
        <f>IFERROR(INDEX('All Ticker P&amp;L'!$A$2:$A$1001,MATCH(ROWS($A$2:A548),'All Ticker P&amp;L'!$N$2:$N$1001,0)),"")</f>
        <v/>
      </c>
      <c r="B548" s="243" t="str">
        <f t="shared" si="77"/>
        <v/>
      </c>
      <c r="C548" s="243" t="str">
        <f t="shared" si="78"/>
        <v/>
      </c>
      <c r="D548" s="243" t="str">
        <f t="shared" si="79"/>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80"/>
        <v/>
      </c>
      <c r="K548" s="287" t="str">
        <f t="shared" si="81"/>
        <v/>
      </c>
      <c r="L548" s="287" t="str">
        <f t="shared" si="82"/>
        <v/>
      </c>
      <c r="M548" s="290" t="str">
        <f t="shared" si="83"/>
        <v/>
      </c>
      <c r="N548" t="str">
        <f>IF($A548="","",IFERROR(INDEX(Prices[Category],MATCH($A548,Prices[Key],0)),"Uncategorized"))</f>
        <v/>
      </c>
      <c r="O548" s="291" t="str">
        <f t="shared" si="84"/>
        <v/>
      </c>
      <c r="P548" s="291" t="str">
        <f t="shared" si="85"/>
        <v/>
      </c>
    </row>
    <row r="549" spans="1:16" ht="15" customHeight="1" x14ac:dyDescent="0.2">
      <c r="A549" s="243" t="str">
        <f>IFERROR(INDEX('All Ticker P&amp;L'!$A$2:$A$1001,MATCH(ROWS($A$2:A549),'All Ticker P&amp;L'!$N$2:$N$1001,0)),"")</f>
        <v/>
      </c>
      <c r="B549" s="243" t="str">
        <f t="shared" si="77"/>
        <v/>
      </c>
      <c r="C549" s="243" t="str">
        <f t="shared" si="78"/>
        <v/>
      </c>
      <c r="D549" s="243" t="str">
        <f t="shared" si="79"/>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80"/>
        <v/>
      </c>
      <c r="K549" s="287" t="str">
        <f t="shared" si="81"/>
        <v/>
      </c>
      <c r="L549" s="287" t="str">
        <f t="shared" si="82"/>
        <v/>
      </c>
      <c r="M549" s="290" t="str">
        <f t="shared" si="83"/>
        <v/>
      </c>
      <c r="N549" t="str">
        <f>IF($A549="","",IFERROR(INDEX(Prices[Category],MATCH($A549,Prices[Key],0)),"Uncategorized"))</f>
        <v/>
      </c>
      <c r="O549" s="291" t="str">
        <f t="shared" si="84"/>
        <v/>
      </c>
      <c r="P549" s="291" t="str">
        <f t="shared" si="85"/>
        <v/>
      </c>
    </row>
    <row r="550" spans="1:16" ht="15" customHeight="1" x14ac:dyDescent="0.2">
      <c r="A550" s="243" t="str">
        <f>IFERROR(INDEX('All Ticker P&amp;L'!$A$2:$A$1001,MATCH(ROWS($A$2:A550),'All Ticker P&amp;L'!$N$2:$N$1001,0)),"")</f>
        <v/>
      </c>
      <c r="B550" s="243" t="str">
        <f t="shared" si="77"/>
        <v/>
      </c>
      <c r="C550" s="243" t="str">
        <f t="shared" si="78"/>
        <v/>
      </c>
      <c r="D550" s="243" t="str">
        <f t="shared" si="79"/>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80"/>
        <v/>
      </c>
      <c r="K550" s="287" t="str">
        <f t="shared" si="81"/>
        <v/>
      </c>
      <c r="L550" s="287" t="str">
        <f t="shared" si="82"/>
        <v/>
      </c>
      <c r="M550" s="290" t="str">
        <f t="shared" si="83"/>
        <v/>
      </c>
      <c r="N550" t="str">
        <f>IF($A550="","",IFERROR(INDEX(Prices[Category],MATCH($A550,Prices[Key],0)),"Uncategorized"))</f>
        <v/>
      </c>
      <c r="O550" s="291" t="str">
        <f t="shared" si="84"/>
        <v/>
      </c>
      <c r="P550" s="291" t="str">
        <f t="shared" si="85"/>
        <v/>
      </c>
    </row>
    <row r="551" spans="1:16" ht="15" customHeight="1" x14ac:dyDescent="0.2">
      <c r="A551" s="243" t="str">
        <f>IFERROR(INDEX('All Ticker P&amp;L'!$A$2:$A$1001,MATCH(ROWS($A$2:A551),'All Ticker P&amp;L'!$N$2:$N$1001,0)),"")</f>
        <v/>
      </c>
      <c r="B551" s="243" t="str">
        <f t="shared" si="77"/>
        <v/>
      </c>
      <c r="C551" s="243" t="str">
        <f t="shared" si="78"/>
        <v/>
      </c>
      <c r="D551" s="243" t="str">
        <f t="shared" si="79"/>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80"/>
        <v/>
      </c>
      <c r="K551" s="287" t="str">
        <f t="shared" si="81"/>
        <v/>
      </c>
      <c r="L551" s="287" t="str">
        <f t="shared" si="82"/>
        <v/>
      </c>
      <c r="M551" s="290" t="str">
        <f t="shared" si="83"/>
        <v/>
      </c>
      <c r="N551" t="str">
        <f>IF($A551="","",IFERROR(INDEX(Prices[Category],MATCH($A551,Prices[Key],0)),"Uncategorized"))</f>
        <v/>
      </c>
      <c r="O551" s="291" t="str">
        <f t="shared" si="84"/>
        <v/>
      </c>
      <c r="P551" s="291" t="str">
        <f t="shared" si="85"/>
        <v/>
      </c>
    </row>
    <row r="552" spans="1:16" ht="15" customHeight="1" x14ac:dyDescent="0.2">
      <c r="A552" s="243" t="str">
        <f>IFERROR(INDEX('All Ticker P&amp;L'!$A$2:$A$1001,MATCH(ROWS($A$2:A552),'All Ticker P&amp;L'!$N$2:$N$1001,0)),"")</f>
        <v/>
      </c>
      <c r="B552" s="243" t="str">
        <f t="shared" si="77"/>
        <v/>
      </c>
      <c r="C552" s="243" t="str">
        <f t="shared" si="78"/>
        <v/>
      </c>
      <c r="D552" s="243" t="str">
        <f t="shared" si="79"/>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80"/>
        <v/>
      </c>
      <c r="K552" s="287" t="str">
        <f t="shared" si="81"/>
        <v/>
      </c>
      <c r="L552" s="287" t="str">
        <f t="shared" si="82"/>
        <v/>
      </c>
      <c r="M552" s="290" t="str">
        <f t="shared" si="83"/>
        <v/>
      </c>
      <c r="N552" t="str">
        <f>IF($A552="","",IFERROR(INDEX(Prices[Category],MATCH($A552,Prices[Key],0)),"Uncategorized"))</f>
        <v/>
      </c>
      <c r="O552" s="291" t="str">
        <f t="shared" si="84"/>
        <v/>
      </c>
      <c r="P552" s="291" t="str">
        <f t="shared" si="85"/>
        <v/>
      </c>
    </row>
    <row r="553" spans="1:16" ht="15" customHeight="1" x14ac:dyDescent="0.2">
      <c r="A553" s="243" t="str">
        <f>IFERROR(INDEX('All Ticker P&amp;L'!$A$2:$A$1001,MATCH(ROWS($A$2:A553),'All Ticker P&amp;L'!$N$2:$N$1001,0)),"")</f>
        <v/>
      </c>
      <c r="B553" s="243" t="str">
        <f t="shared" si="77"/>
        <v/>
      </c>
      <c r="C553" s="243" t="str">
        <f t="shared" si="78"/>
        <v/>
      </c>
      <c r="D553" s="243" t="str">
        <f t="shared" si="79"/>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80"/>
        <v/>
      </c>
      <c r="K553" s="287" t="str">
        <f t="shared" si="81"/>
        <v/>
      </c>
      <c r="L553" s="287" t="str">
        <f t="shared" si="82"/>
        <v/>
      </c>
      <c r="M553" s="290" t="str">
        <f t="shared" si="83"/>
        <v/>
      </c>
      <c r="N553" t="str">
        <f>IF($A553="","",IFERROR(INDEX(Prices[Category],MATCH($A553,Prices[Key],0)),"Uncategorized"))</f>
        <v/>
      </c>
      <c r="O553" s="291" t="str">
        <f t="shared" si="84"/>
        <v/>
      </c>
      <c r="P553" s="291" t="str">
        <f t="shared" si="85"/>
        <v/>
      </c>
    </row>
    <row r="554" spans="1:16" ht="15" customHeight="1" x14ac:dyDescent="0.2">
      <c r="A554" s="243" t="str">
        <f>IFERROR(INDEX('All Ticker P&amp;L'!$A$2:$A$1001,MATCH(ROWS($A$2:A554),'All Ticker P&amp;L'!$N$2:$N$1001,0)),"")</f>
        <v/>
      </c>
      <c r="B554" s="243" t="str">
        <f t="shared" si="77"/>
        <v/>
      </c>
      <c r="C554" s="243" t="str">
        <f t="shared" si="78"/>
        <v/>
      </c>
      <c r="D554" s="243" t="str">
        <f t="shared" si="79"/>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80"/>
        <v/>
      </c>
      <c r="K554" s="287" t="str">
        <f t="shared" si="81"/>
        <v/>
      </c>
      <c r="L554" s="287" t="str">
        <f t="shared" si="82"/>
        <v/>
      </c>
      <c r="M554" s="290" t="str">
        <f t="shared" si="83"/>
        <v/>
      </c>
      <c r="N554" t="str">
        <f>IF($A554="","",IFERROR(INDEX(Prices[Category],MATCH($A554,Prices[Key],0)),"Uncategorized"))</f>
        <v/>
      </c>
      <c r="O554" s="291" t="str">
        <f t="shared" si="84"/>
        <v/>
      </c>
      <c r="P554" s="291" t="str">
        <f t="shared" si="85"/>
        <v/>
      </c>
    </row>
    <row r="555" spans="1:16" ht="15" customHeight="1" x14ac:dyDescent="0.2">
      <c r="A555" s="243" t="str">
        <f>IFERROR(INDEX('All Ticker P&amp;L'!$A$2:$A$1001,MATCH(ROWS($A$2:A555),'All Ticker P&amp;L'!$N$2:$N$1001,0)),"")</f>
        <v/>
      </c>
      <c r="B555" s="243" t="str">
        <f t="shared" si="77"/>
        <v/>
      </c>
      <c r="C555" s="243" t="str">
        <f t="shared" si="78"/>
        <v/>
      </c>
      <c r="D555" s="243" t="str">
        <f t="shared" si="79"/>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80"/>
        <v/>
      </c>
      <c r="K555" s="287" t="str">
        <f t="shared" si="81"/>
        <v/>
      </c>
      <c r="L555" s="287" t="str">
        <f t="shared" si="82"/>
        <v/>
      </c>
      <c r="M555" s="290" t="str">
        <f t="shared" si="83"/>
        <v/>
      </c>
      <c r="N555" t="str">
        <f>IF($A555="","",IFERROR(INDEX(Prices[Category],MATCH($A555,Prices[Key],0)),"Uncategorized"))</f>
        <v/>
      </c>
      <c r="O555" s="291" t="str">
        <f t="shared" si="84"/>
        <v/>
      </c>
      <c r="P555" s="291" t="str">
        <f t="shared" si="85"/>
        <v/>
      </c>
    </row>
    <row r="556" spans="1:16" ht="15" customHeight="1" x14ac:dyDescent="0.2">
      <c r="A556" s="243" t="str">
        <f>IFERROR(INDEX('All Ticker P&amp;L'!$A$2:$A$1001,MATCH(ROWS($A$2:A556),'All Ticker P&amp;L'!$N$2:$N$1001,0)),"")</f>
        <v/>
      </c>
      <c r="B556" s="243" t="str">
        <f t="shared" si="77"/>
        <v/>
      </c>
      <c r="C556" s="243" t="str">
        <f t="shared" si="78"/>
        <v/>
      </c>
      <c r="D556" s="243" t="str">
        <f t="shared" si="79"/>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80"/>
        <v/>
      </c>
      <c r="K556" s="287" t="str">
        <f t="shared" si="81"/>
        <v/>
      </c>
      <c r="L556" s="287" t="str">
        <f t="shared" si="82"/>
        <v/>
      </c>
      <c r="M556" s="290" t="str">
        <f t="shared" si="83"/>
        <v/>
      </c>
      <c r="N556" t="str">
        <f>IF($A556="","",IFERROR(INDEX(Prices[Category],MATCH($A556,Prices[Key],0)),"Uncategorized"))</f>
        <v/>
      </c>
      <c r="O556" s="291" t="str">
        <f t="shared" si="84"/>
        <v/>
      </c>
      <c r="P556" s="291" t="str">
        <f t="shared" si="85"/>
        <v/>
      </c>
    </row>
    <row r="557" spans="1:16" ht="15" customHeight="1" x14ac:dyDescent="0.2">
      <c r="A557" s="243" t="str">
        <f>IFERROR(INDEX('All Ticker P&amp;L'!$A$2:$A$1001,MATCH(ROWS($A$2:A557),'All Ticker P&amp;L'!$N$2:$N$1001,0)),"")</f>
        <v/>
      </c>
      <c r="B557" s="243" t="str">
        <f t="shared" si="77"/>
        <v/>
      </c>
      <c r="C557" s="243" t="str">
        <f t="shared" si="78"/>
        <v/>
      </c>
      <c r="D557" s="243" t="str">
        <f t="shared" si="79"/>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80"/>
        <v/>
      </c>
      <c r="K557" s="287" t="str">
        <f t="shared" si="81"/>
        <v/>
      </c>
      <c r="L557" s="287" t="str">
        <f t="shared" si="82"/>
        <v/>
      </c>
      <c r="M557" s="290" t="str">
        <f t="shared" si="83"/>
        <v/>
      </c>
      <c r="N557" t="str">
        <f>IF($A557="","",IFERROR(INDEX(Prices[Category],MATCH($A557,Prices[Key],0)),"Uncategorized"))</f>
        <v/>
      </c>
      <c r="O557" s="291" t="str">
        <f t="shared" si="84"/>
        <v/>
      </c>
      <c r="P557" s="291" t="str">
        <f t="shared" si="85"/>
        <v/>
      </c>
    </row>
    <row r="558" spans="1:16" ht="15" customHeight="1" x14ac:dyDescent="0.2">
      <c r="A558" s="243" t="str">
        <f>IFERROR(INDEX('All Ticker P&amp;L'!$A$2:$A$1001,MATCH(ROWS($A$2:A558),'All Ticker P&amp;L'!$N$2:$N$1001,0)),"")</f>
        <v/>
      </c>
      <c r="B558" s="243" t="str">
        <f t="shared" si="77"/>
        <v/>
      </c>
      <c r="C558" s="243" t="str">
        <f t="shared" si="78"/>
        <v/>
      </c>
      <c r="D558" s="243" t="str">
        <f t="shared" si="79"/>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80"/>
        <v/>
      </c>
      <c r="K558" s="287" t="str">
        <f t="shared" si="81"/>
        <v/>
      </c>
      <c r="L558" s="287" t="str">
        <f t="shared" si="82"/>
        <v/>
      </c>
      <c r="M558" s="290" t="str">
        <f t="shared" si="83"/>
        <v/>
      </c>
      <c r="N558" t="str">
        <f>IF($A558="","",IFERROR(INDEX(Prices[Category],MATCH($A558,Prices[Key],0)),"Uncategorized"))</f>
        <v/>
      </c>
      <c r="O558" s="291" t="str">
        <f t="shared" si="84"/>
        <v/>
      </c>
      <c r="P558" s="291" t="str">
        <f t="shared" si="85"/>
        <v/>
      </c>
    </row>
    <row r="559" spans="1:16" ht="15" customHeight="1" x14ac:dyDescent="0.2">
      <c r="A559" s="243" t="str">
        <f>IFERROR(INDEX('All Ticker P&amp;L'!$A$2:$A$1001,MATCH(ROWS($A$2:A559),'All Ticker P&amp;L'!$N$2:$N$1001,0)),"")</f>
        <v/>
      </c>
      <c r="B559" s="243" t="str">
        <f t="shared" si="77"/>
        <v/>
      </c>
      <c r="C559" s="243" t="str">
        <f t="shared" si="78"/>
        <v/>
      </c>
      <c r="D559" s="243" t="str">
        <f t="shared" si="79"/>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80"/>
        <v/>
      </c>
      <c r="K559" s="287" t="str">
        <f t="shared" si="81"/>
        <v/>
      </c>
      <c r="L559" s="287" t="str">
        <f t="shared" si="82"/>
        <v/>
      </c>
      <c r="M559" s="290" t="str">
        <f t="shared" si="83"/>
        <v/>
      </c>
      <c r="N559" t="str">
        <f>IF($A559="","",IFERROR(INDEX(Prices[Category],MATCH($A559,Prices[Key],0)),"Uncategorized"))</f>
        <v/>
      </c>
      <c r="O559" s="291" t="str">
        <f t="shared" si="84"/>
        <v/>
      </c>
      <c r="P559" s="291" t="str">
        <f t="shared" si="85"/>
        <v/>
      </c>
    </row>
    <row r="560" spans="1:16" ht="15" customHeight="1" x14ac:dyDescent="0.2">
      <c r="A560" s="243" t="str">
        <f>IFERROR(INDEX('All Ticker P&amp;L'!$A$2:$A$1001,MATCH(ROWS($A$2:A560),'All Ticker P&amp;L'!$N$2:$N$1001,0)),"")</f>
        <v/>
      </c>
      <c r="B560" s="243" t="str">
        <f t="shared" si="77"/>
        <v/>
      </c>
      <c r="C560" s="243" t="str">
        <f t="shared" si="78"/>
        <v/>
      </c>
      <c r="D560" s="243" t="str">
        <f t="shared" si="79"/>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80"/>
        <v/>
      </c>
      <c r="K560" s="287" t="str">
        <f t="shared" si="81"/>
        <v/>
      </c>
      <c r="L560" s="287" t="str">
        <f t="shared" si="82"/>
        <v/>
      </c>
      <c r="M560" s="290" t="str">
        <f t="shared" si="83"/>
        <v/>
      </c>
      <c r="N560" t="str">
        <f>IF($A560="","",IFERROR(INDEX(Prices[Category],MATCH($A560,Prices[Key],0)),"Uncategorized"))</f>
        <v/>
      </c>
      <c r="O560" s="291" t="str">
        <f t="shared" si="84"/>
        <v/>
      </c>
      <c r="P560" s="291" t="str">
        <f t="shared" si="85"/>
        <v/>
      </c>
    </row>
    <row r="561" spans="1:16" ht="15" customHeight="1" x14ac:dyDescent="0.2">
      <c r="A561" s="243" t="str">
        <f>IFERROR(INDEX('All Ticker P&amp;L'!$A$2:$A$1001,MATCH(ROWS($A$2:A561),'All Ticker P&amp;L'!$N$2:$N$1001,0)),"")</f>
        <v/>
      </c>
      <c r="B561" s="243" t="str">
        <f t="shared" si="77"/>
        <v/>
      </c>
      <c r="C561" s="243" t="str">
        <f t="shared" si="78"/>
        <v/>
      </c>
      <c r="D561" s="243" t="str">
        <f t="shared" si="79"/>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80"/>
        <v/>
      </c>
      <c r="K561" s="287" t="str">
        <f t="shared" si="81"/>
        <v/>
      </c>
      <c r="L561" s="287" t="str">
        <f t="shared" si="82"/>
        <v/>
      </c>
      <c r="M561" s="290" t="str">
        <f t="shared" si="83"/>
        <v/>
      </c>
      <c r="N561" t="str">
        <f>IF($A561="","",IFERROR(INDEX(Prices[Category],MATCH($A561,Prices[Key],0)),"Uncategorized"))</f>
        <v/>
      </c>
      <c r="O561" s="291" t="str">
        <f t="shared" si="84"/>
        <v/>
      </c>
      <c r="P561" s="291" t="str">
        <f t="shared" si="85"/>
        <v/>
      </c>
    </row>
    <row r="562" spans="1:16" ht="15" customHeight="1" x14ac:dyDescent="0.2">
      <c r="A562" s="243" t="str">
        <f>IFERROR(INDEX('All Ticker P&amp;L'!$A$2:$A$1001,MATCH(ROWS($A$2:A562),'All Ticker P&amp;L'!$N$2:$N$1001,0)),"")</f>
        <v/>
      </c>
      <c r="B562" s="243" t="str">
        <f t="shared" si="77"/>
        <v/>
      </c>
      <c r="C562" s="243" t="str">
        <f t="shared" si="78"/>
        <v/>
      </c>
      <c r="D562" s="243" t="str">
        <f t="shared" si="79"/>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80"/>
        <v/>
      </c>
      <c r="K562" s="287" t="str">
        <f t="shared" si="81"/>
        <v/>
      </c>
      <c r="L562" s="287" t="str">
        <f t="shared" si="82"/>
        <v/>
      </c>
      <c r="M562" s="290" t="str">
        <f t="shared" si="83"/>
        <v/>
      </c>
      <c r="N562" t="str">
        <f>IF($A562="","",IFERROR(INDEX(Prices[Category],MATCH($A562,Prices[Key],0)),"Uncategorized"))</f>
        <v/>
      </c>
      <c r="O562" s="291" t="str">
        <f t="shared" si="84"/>
        <v/>
      </c>
      <c r="P562" s="291" t="str">
        <f t="shared" si="85"/>
        <v/>
      </c>
    </row>
    <row r="563" spans="1:16" ht="15" customHeight="1" x14ac:dyDescent="0.2">
      <c r="A563" s="243" t="str">
        <f>IFERROR(INDEX('All Ticker P&amp;L'!$A$2:$A$1001,MATCH(ROWS($A$2:A563),'All Ticker P&amp;L'!$N$2:$N$1001,0)),"")</f>
        <v/>
      </c>
      <c r="B563" s="243" t="str">
        <f t="shared" si="77"/>
        <v/>
      </c>
      <c r="C563" s="243" t="str">
        <f t="shared" si="78"/>
        <v/>
      </c>
      <c r="D563" s="243" t="str">
        <f t="shared" si="79"/>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80"/>
        <v/>
      </c>
      <c r="K563" s="287" t="str">
        <f t="shared" si="81"/>
        <v/>
      </c>
      <c r="L563" s="287" t="str">
        <f t="shared" si="82"/>
        <v/>
      </c>
      <c r="M563" s="290" t="str">
        <f t="shared" si="83"/>
        <v/>
      </c>
      <c r="N563" t="str">
        <f>IF($A563="","",IFERROR(INDEX(Prices[Category],MATCH($A563,Prices[Key],0)),"Uncategorized"))</f>
        <v/>
      </c>
      <c r="O563" s="291" t="str">
        <f t="shared" si="84"/>
        <v/>
      </c>
      <c r="P563" s="291" t="str">
        <f t="shared" si="85"/>
        <v/>
      </c>
    </row>
    <row r="564" spans="1:16" ht="15" customHeight="1" x14ac:dyDescent="0.2">
      <c r="A564" s="243" t="str">
        <f>IFERROR(INDEX('All Ticker P&amp;L'!$A$2:$A$1001,MATCH(ROWS($A$2:A564),'All Ticker P&amp;L'!$N$2:$N$1001,0)),"")</f>
        <v/>
      </c>
      <c r="B564" s="243" t="str">
        <f t="shared" si="77"/>
        <v/>
      </c>
      <c r="C564" s="243" t="str">
        <f t="shared" si="78"/>
        <v/>
      </c>
      <c r="D564" s="243" t="str">
        <f t="shared" si="79"/>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80"/>
        <v/>
      </c>
      <c r="K564" s="287" t="str">
        <f t="shared" si="81"/>
        <v/>
      </c>
      <c r="L564" s="287" t="str">
        <f t="shared" si="82"/>
        <v/>
      </c>
      <c r="M564" s="290" t="str">
        <f t="shared" si="83"/>
        <v/>
      </c>
      <c r="N564" t="str">
        <f>IF($A564="","",IFERROR(INDEX(Prices[Category],MATCH($A564,Prices[Key],0)),"Uncategorized"))</f>
        <v/>
      </c>
      <c r="O564" s="291" t="str">
        <f t="shared" si="84"/>
        <v/>
      </c>
      <c r="P564" s="291" t="str">
        <f t="shared" si="85"/>
        <v/>
      </c>
    </row>
    <row r="565" spans="1:16" ht="15" customHeight="1" x14ac:dyDescent="0.2">
      <c r="A565" s="243" t="str">
        <f>IFERROR(INDEX('All Ticker P&amp;L'!$A$2:$A$1001,MATCH(ROWS($A$2:A565),'All Ticker P&amp;L'!$N$2:$N$1001,0)),"")</f>
        <v/>
      </c>
      <c r="B565" s="243" t="str">
        <f t="shared" si="77"/>
        <v/>
      </c>
      <c r="C565" s="243" t="str">
        <f t="shared" si="78"/>
        <v/>
      </c>
      <c r="D565" s="243" t="str">
        <f t="shared" si="79"/>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80"/>
        <v/>
      </c>
      <c r="K565" s="287" t="str">
        <f t="shared" si="81"/>
        <v/>
      </c>
      <c r="L565" s="287" t="str">
        <f t="shared" si="82"/>
        <v/>
      </c>
      <c r="M565" s="290" t="str">
        <f t="shared" si="83"/>
        <v/>
      </c>
      <c r="N565" t="str">
        <f>IF($A565="","",IFERROR(INDEX(Prices[Category],MATCH($A565,Prices[Key],0)),"Uncategorized"))</f>
        <v/>
      </c>
      <c r="O565" s="291" t="str">
        <f t="shared" si="84"/>
        <v/>
      </c>
      <c r="P565" s="291" t="str">
        <f t="shared" si="85"/>
        <v/>
      </c>
    </row>
    <row r="566" spans="1:16" ht="15" customHeight="1" x14ac:dyDescent="0.2">
      <c r="A566" s="243" t="str">
        <f>IFERROR(INDEX('All Ticker P&amp;L'!$A$2:$A$1001,MATCH(ROWS($A$2:A566),'All Ticker P&amp;L'!$N$2:$N$1001,0)),"")</f>
        <v/>
      </c>
      <c r="B566" s="243" t="str">
        <f t="shared" si="77"/>
        <v/>
      </c>
      <c r="C566" s="243" t="str">
        <f t="shared" si="78"/>
        <v/>
      </c>
      <c r="D566" s="243" t="str">
        <f t="shared" si="79"/>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80"/>
        <v/>
      </c>
      <c r="K566" s="287" t="str">
        <f t="shared" si="81"/>
        <v/>
      </c>
      <c r="L566" s="287" t="str">
        <f t="shared" si="82"/>
        <v/>
      </c>
      <c r="M566" s="290" t="str">
        <f t="shared" si="83"/>
        <v/>
      </c>
      <c r="N566" t="str">
        <f>IF($A566="","",IFERROR(INDEX(Prices[Category],MATCH($A566,Prices[Key],0)),"Uncategorized"))</f>
        <v/>
      </c>
      <c r="O566" s="291" t="str">
        <f t="shared" si="84"/>
        <v/>
      </c>
      <c r="P566" s="291" t="str">
        <f t="shared" si="85"/>
        <v/>
      </c>
    </row>
    <row r="567" spans="1:16" ht="15" customHeight="1" x14ac:dyDescent="0.2">
      <c r="A567" s="243" t="str">
        <f>IFERROR(INDEX('All Ticker P&amp;L'!$A$2:$A$1001,MATCH(ROWS($A$2:A567),'All Ticker P&amp;L'!$N$2:$N$1001,0)),"")</f>
        <v/>
      </c>
      <c r="B567" s="243" t="str">
        <f t="shared" si="77"/>
        <v/>
      </c>
      <c r="C567" s="243" t="str">
        <f t="shared" si="78"/>
        <v/>
      </c>
      <c r="D567" s="243" t="str">
        <f t="shared" si="79"/>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80"/>
        <v/>
      </c>
      <c r="K567" s="287" t="str">
        <f t="shared" si="81"/>
        <v/>
      </c>
      <c r="L567" s="287" t="str">
        <f t="shared" si="82"/>
        <v/>
      </c>
      <c r="M567" s="290" t="str">
        <f t="shared" si="83"/>
        <v/>
      </c>
      <c r="N567" t="str">
        <f>IF($A567="","",IFERROR(INDEX(Prices[Category],MATCH($A567,Prices[Key],0)),"Uncategorized"))</f>
        <v/>
      </c>
      <c r="O567" s="291" t="str">
        <f t="shared" si="84"/>
        <v/>
      </c>
      <c r="P567" s="291" t="str">
        <f t="shared" si="85"/>
        <v/>
      </c>
    </row>
    <row r="568" spans="1:16" ht="15" customHeight="1" x14ac:dyDescent="0.2">
      <c r="A568" s="243" t="str">
        <f>IFERROR(INDEX('All Ticker P&amp;L'!$A$2:$A$1001,MATCH(ROWS($A$2:A568),'All Ticker P&amp;L'!$N$2:$N$1001,0)),"")</f>
        <v/>
      </c>
      <c r="B568" s="243" t="str">
        <f t="shared" si="77"/>
        <v/>
      </c>
      <c r="C568" s="243" t="str">
        <f t="shared" si="78"/>
        <v/>
      </c>
      <c r="D568" s="243" t="str">
        <f t="shared" si="79"/>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80"/>
        <v/>
      </c>
      <c r="K568" s="287" t="str">
        <f t="shared" si="81"/>
        <v/>
      </c>
      <c r="L568" s="287" t="str">
        <f t="shared" si="82"/>
        <v/>
      </c>
      <c r="M568" s="290" t="str">
        <f t="shared" si="83"/>
        <v/>
      </c>
      <c r="N568" t="str">
        <f>IF($A568="","",IFERROR(INDEX(Prices[Category],MATCH($A568,Prices[Key],0)),"Uncategorized"))</f>
        <v/>
      </c>
      <c r="O568" s="291" t="str">
        <f t="shared" si="84"/>
        <v/>
      </c>
      <c r="P568" s="291" t="str">
        <f t="shared" si="85"/>
        <v/>
      </c>
    </row>
    <row r="569" spans="1:16" ht="15" customHeight="1" x14ac:dyDescent="0.2">
      <c r="A569" s="243" t="str">
        <f>IFERROR(INDEX('All Ticker P&amp;L'!$A$2:$A$1001,MATCH(ROWS($A$2:A569),'All Ticker P&amp;L'!$N$2:$N$1001,0)),"")</f>
        <v/>
      </c>
      <c r="B569" s="243" t="str">
        <f t="shared" si="77"/>
        <v/>
      </c>
      <c r="C569" s="243" t="str">
        <f t="shared" si="78"/>
        <v/>
      </c>
      <c r="D569" s="243" t="str">
        <f t="shared" si="79"/>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80"/>
        <v/>
      </c>
      <c r="K569" s="287" t="str">
        <f t="shared" si="81"/>
        <v/>
      </c>
      <c r="L569" s="287" t="str">
        <f t="shared" si="82"/>
        <v/>
      </c>
      <c r="M569" s="290" t="str">
        <f t="shared" si="83"/>
        <v/>
      </c>
      <c r="N569" t="str">
        <f>IF($A569="","",IFERROR(INDEX(Prices[Category],MATCH($A569,Prices[Key],0)),"Uncategorized"))</f>
        <v/>
      </c>
      <c r="O569" s="291" t="str">
        <f t="shared" si="84"/>
        <v/>
      </c>
      <c r="P569" s="291" t="str">
        <f t="shared" si="85"/>
        <v/>
      </c>
    </row>
    <row r="570" spans="1:16" ht="15" customHeight="1" x14ac:dyDescent="0.2">
      <c r="A570" s="243" t="str">
        <f>IFERROR(INDEX('All Ticker P&amp;L'!$A$2:$A$1001,MATCH(ROWS($A$2:A570),'All Ticker P&amp;L'!$N$2:$N$1001,0)),"")</f>
        <v/>
      </c>
      <c r="B570" s="243" t="str">
        <f t="shared" si="77"/>
        <v/>
      </c>
      <c r="C570" s="243" t="str">
        <f t="shared" si="78"/>
        <v/>
      </c>
      <c r="D570" s="243" t="str">
        <f t="shared" si="79"/>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80"/>
        <v/>
      </c>
      <c r="K570" s="287" t="str">
        <f t="shared" si="81"/>
        <v/>
      </c>
      <c r="L570" s="287" t="str">
        <f t="shared" si="82"/>
        <v/>
      </c>
      <c r="M570" s="290" t="str">
        <f t="shared" si="83"/>
        <v/>
      </c>
      <c r="N570" t="str">
        <f>IF($A570="","",IFERROR(INDEX(Prices[Category],MATCH($A570,Prices[Key],0)),"Uncategorized"))</f>
        <v/>
      </c>
      <c r="O570" s="291" t="str">
        <f t="shared" si="84"/>
        <v/>
      </c>
      <c r="P570" s="291" t="str">
        <f t="shared" si="85"/>
        <v/>
      </c>
    </row>
    <row r="571" spans="1:16" ht="15" customHeight="1" x14ac:dyDescent="0.2">
      <c r="A571" s="243" t="str">
        <f>IFERROR(INDEX('All Ticker P&amp;L'!$A$2:$A$1001,MATCH(ROWS($A$2:A571),'All Ticker P&amp;L'!$N$2:$N$1001,0)),"")</f>
        <v/>
      </c>
      <c r="B571" s="243" t="str">
        <f t="shared" si="77"/>
        <v/>
      </c>
      <c r="C571" s="243" t="str">
        <f t="shared" si="78"/>
        <v/>
      </c>
      <c r="D571" s="243" t="str">
        <f t="shared" si="79"/>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80"/>
        <v/>
      </c>
      <c r="K571" s="287" t="str">
        <f t="shared" si="81"/>
        <v/>
      </c>
      <c r="L571" s="287" t="str">
        <f t="shared" si="82"/>
        <v/>
      </c>
      <c r="M571" s="290" t="str">
        <f t="shared" si="83"/>
        <v/>
      </c>
      <c r="N571" t="str">
        <f>IF($A571="","",IFERROR(INDEX(Prices[Category],MATCH($A571,Prices[Key],0)),"Uncategorized"))</f>
        <v/>
      </c>
      <c r="O571" s="291" t="str">
        <f t="shared" si="84"/>
        <v/>
      </c>
      <c r="P571" s="291" t="str">
        <f t="shared" si="85"/>
        <v/>
      </c>
    </row>
    <row r="572" spans="1:16" ht="15" customHeight="1" x14ac:dyDescent="0.2">
      <c r="A572" s="243" t="str">
        <f>IFERROR(INDEX('All Ticker P&amp;L'!$A$2:$A$1001,MATCH(ROWS($A$2:A572),'All Ticker P&amp;L'!$N$2:$N$1001,0)),"")</f>
        <v/>
      </c>
      <c r="B572" s="243" t="str">
        <f t="shared" si="77"/>
        <v/>
      </c>
      <c r="C572" s="243" t="str">
        <f t="shared" si="78"/>
        <v/>
      </c>
      <c r="D572" s="243" t="str">
        <f t="shared" si="79"/>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80"/>
        <v/>
      </c>
      <c r="K572" s="287" t="str">
        <f t="shared" si="81"/>
        <v/>
      </c>
      <c r="L572" s="287" t="str">
        <f t="shared" si="82"/>
        <v/>
      </c>
      <c r="M572" s="290" t="str">
        <f t="shared" si="83"/>
        <v/>
      </c>
      <c r="N572" t="str">
        <f>IF($A572="","",IFERROR(INDEX(Prices[Category],MATCH($A572,Prices[Key],0)),"Uncategorized"))</f>
        <v/>
      </c>
      <c r="O572" s="291" t="str">
        <f t="shared" si="84"/>
        <v/>
      </c>
      <c r="P572" s="291" t="str">
        <f t="shared" si="85"/>
        <v/>
      </c>
    </row>
    <row r="573" spans="1:16" ht="15" customHeight="1" x14ac:dyDescent="0.2">
      <c r="A573" s="243" t="str">
        <f>IFERROR(INDEX('All Ticker P&amp;L'!$A$2:$A$1001,MATCH(ROWS($A$2:A573),'All Ticker P&amp;L'!$N$2:$N$1001,0)),"")</f>
        <v/>
      </c>
      <c r="B573" s="243" t="str">
        <f t="shared" si="77"/>
        <v/>
      </c>
      <c r="C573" s="243" t="str">
        <f t="shared" si="78"/>
        <v/>
      </c>
      <c r="D573" s="243" t="str">
        <f t="shared" si="79"/>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80"/>
        <v/>
      </c>
      <c r="K573" s="287" t="str">
        <f t="shared" si="81"/>
        <v/>
      </c>
      <c r="L573" s="287" t="str">
        <f t="shared" si="82"/>
        <v/>
      </c>
      <c r="M573" s="290" t="str">
        <f t="shared" si="83"/>
        <v/>
      </c>
      <c r="N573" t="str">
        <f>IF($A573="","",IFERROR(INDEX(Prices[Category],MATCH($A573,Prices[Key],0)),"Uncategorized"))</f>
        <v/>
      </c>
      <c r="O573" s="291" t="str">
        <f t="shared" si="84"/>
        <v/>
      </c>
      <c r="P573" s="291" t="str">
        <f t="shared" si="85"/>
        <v/>
      </c>
    </row>
    <row r="574" spans="1:16" ht="15" customHeight="1" x14ac:dyDescent="0.2">
      <c r="A574" s="243" t="str">
        <f>IFERROR(INDEX('All Ticker P&amp;L'!$A$2:$A$1001,MATCH(ROWS($A$2:A574),'All Ticker P&amp;L'!$N$2:$N$1001,0)),"")</f>
        <v/>
      </c>
      <c r="B574" s="243" t="str">
        <f t="shared" si="77"/>
        <v/>
      </c>
      <c r="C574" s="243" t="str">
        <f t="shared" si="78"/>
        <v/>
      </c>
      <c r="D574" s="243" t="str">
        <f t="shared" si="79"/>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80"/>
        <v/>
      </c>
      <c r="K574" s="287" t="str">
        <f t="shared" si="81"/>
        <v/>
      </c>
      <c r="L574" s="287" t="str">
        <f t="shared" si="82"/>
        <v/>
      </c>
      <c r="M574" s="290" t="str">
        <f t="shared" si="83"/>
        <v/>
      </c>
      <c r="N574" t="str">
        <f>IF($A574="","",IFERROR(INDEX(Prices[Category],MATCH($A574,Prices[Key],0)),"Uncategorized"))</f>
        <v/>
      </c>
      <c r="O574" s="291" t="str">
        <f t="shared" si="84"/>
        <v/>
      </c>
      <c r="P574" s="291" t="str">
        <f t="shared" si="85"/>
        <v/>
      </c>
    </row>
    <row r="575" spans="1:16" ht="15" customHeight="1" x14ac:dyDescent="0.2">
      <c r="A575" s="243" t="str">
        <f>IFERROR(INDEX('All Ticker P&amp;L'!$A$2:$A$1001,MATCH(ROWS($A$2:A575),'All Ticker P&amp;L'!$N$2:$N$1001,0)),"")</f>
        <v/>
      </c>
      <c r="B575" s="243" t="str">
        <f t="shared" si="77"/>
        <v/>
      </c>
      <c r="C575" s="243" t="str">
        <f t="shared" si="78"/>
        <v/>
      </c>
      <c r="D575" s="243" t="str">
        <f t="shared" si="79"/>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80"/>
        <v/>
      </c>
      <c r="K575" s="287" t="str">
        <f t="shared" si="81"/>
        <v/>
      </c>
      <c r="L575" s="287" t="str">
        <f t="shared" si="82"/>
        <v/>
      </c>
      <c r="M575" s="290" t="str">
        <f t="shared" si="83"/>
        <v/>
      </c>
      <c r="N575" t="str">
        <f>IF($A575="","",IFERROR(INDEX(Prices[Category],MATCH($A575,Prices[Key],0)),"Uncategorized"))</f>
        <v/>
      </c>
      <c r="O575" s="291" t="str">
        <f t="shared" si="84"/>
        <v/>
      </c>
      <c r="P575" s="291" t="str">
        <f t="shared" si="85"/>
        <v/>
      </c>
    </row>
    <row r="576" spans="1:16" ht="15" customHeight="1" x14ac:dyDescent="0.2">
      <c r="A576" s="243" t="str">
        <f>IFERROR(INDEX('All Ticker P&amp;L'!$A$2:$A$1001,MATCH(ROWS($A$2:A576),'All Ticker P&amp;L'!$N$2:$N$1001,0)),"")</f>
        <v/>
      </c>
      <c r="B576" s="243" t="str">
        <f t="shared" si="77"/>
        <v/>
      </c>
      <c r="C576" s="243" t="str">
        <f t="shared" si="78"/>
        <v/>
      </c>
      <c r="D576" s="243" t="str">
        <f t="shared" si="79"/>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80"/>
        <v/>
      </c>
      <c r="K576" s="287" t="str">
        <f t="shared" si="81"/>
        <v/>
      </c>
      <c r="L576" s="287" t="str">
        <f t="shared" si="82"/>
        <v/>
      </c>
      <c r="M576" s="290" t="str">
        <f t="shared" si="83"/>
        <v/>
      </c>
      <c r="N576" t="str">
        <f>IF($A576="","",IFERROR(INDEX(Prices[Category],MATCH($A576,Prices[Key],0)),"Uncategorized"))</f>
        <v/>
      </c>
      <c r="O576" s="291" t="str">
        <f t="shared" si="84"/>
        <v/>
      </c>
      <c r="P576" s="291" t="str">
        <f t="shared" si="85"/>
        <v/>
      </c>
    </row>
    <row r="577" spans="1:16" ht="15" customHeight="1" x14ac:dyDescent="0.2">
      <c r="A577" s="243" t="str">
        <f>IFERROR(INDEX('All Ticker P&amp;L'!$A$2:$A$1001,MATCH(ROWS($A$2:A577),'All Ticker P&amp;L'!$N$2:$N$1001,0)),"")</f>
        <v/>
      </c>
      <c r="B577" s="243" t="str">
        <f t="shared" si="77"/>
        <v/>
      </c>
      <c r="C577" s="243" t="str">
        <f t="shared" si="78"/>
        <v/>
      </c>
      <c r="D577" s="243" t="str">
        <f t="shared" si="79"/>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80"/>
        <v/>
      </c>
      <c r="K577" s="287" t="str">
        <f t="shared" si="81"/>
        <v/>
      </c>
      <c r="L577" s="287" t="str">
        <f t="shared" si="82"/>
        <v/>
      </c>
      <c r="M577" s="290" t="str">
        <f t="shared" si="83"/>
        <v/>
      </c>
      <c r="N577" t="str">
        <f>IF($A577="","",IFERROR(INDEX(Prices[Category],MATCH($A577,Prices[Key],0)),"Uncategorized"))</f>
        <v/>
      </c>
      <c r="O577" s="291" t="str">
        <f t="shared" si="84"/>
        <v/>
      </c>
      <c r="P577" s="291" t="str">
        <f t="shared" si="85"/>
        <v/>
      </c>
    </row>
    <row r="578" spans="1:16" ht="15" customHeight="1" x14ac:dyDescent="0.2">
      <c r="A578" s="243" t="str">
        <f>IFERROR(INDEX('All Ticker P&amp;L'!$A$2:$A$1001,MATCH(ROWS($A$2:A578),'All Ticker P&amp;L'!$N$2:$N$1001,0)),"")</f>
        <v/>
      </c>
      <c r="B578" s="243" t="str">
        <f t="shared" ref="B578:B641" si="86">IF($A578="","",LEFT($A578,FIND(":",$A578)-1))</f>
        <v/>
      </c>
      <c r="C578" s="243" t="str">
        <f t="shared" ref="C578:C641" si="87">IF($A578="","",MID($A578,FIND(":",$A578)+1,FIND(":",$A578,FIND(":",$A578)+1)-FIND(":",$A578)-1))</f>
        <v/>
      </c>
      <c r="D578" s="243" t="str">
        <f t="shared" ref="D578:D641" si="88">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9">IF($A578="","",E578*H578)</f>
        <v/>
      </c>
      <c r="K578" s="287" t="str">
        <f t="shared" ref="K578:K641" si="90">IF($A578="","",J578+G578-F578)</f>
        <v/>
      </c>
      <c r="L578" s="287" t="str">
        <f t="shared" ref="L578:L641" si="91">IF($A578="","",K578*I578)</f>
        <v/>
      </c>
      <c r="M578" s="290" t="str">
        <f t="shared" ref="M578:M641" si="92">IF($A578="","",IFERROR(K578/F578,0))</f>
        <v/>
      </c>
      <c r="N578" t="str">
        <f>IF($A578="","",IFERROR(INDEX(Prices[Category],MATCH($A578,Prices[Key],0)),"Uncategorized"))</f>
        <v/>
      </c>
      <c r="O578" s="291" t="str">
        <f t="shared" ref="O578:O641" si="93">IF($A578="","",$J578*$I578)</f>
        <v/>
      </c>
      <c r="P578" s="291" t="str">
        <f t="shared" ref="P578:P641" si="94">IF($A578="","",$L578)</f>
        <v/>
      </c>
    </row>
    <row r="579" spans="1:16" ht="15" customHeight="1" x14ac:dyDescent="0.2">
      <c r="A579" s="243" t="str">
        <f>IFERROR(INDEX('All Ticker P&amp;L'!$A$2:$A$1001,MATCH(ROWS($A$2:A579),'All Ticker P&amp;L'!$N$2:$N$1001,0)),"")</f>
        <v/>
      </c>
      <c r="B579" s="243" t="str">
        <f t="shared" si="86"/>
        <v/>
      </c>
      <c r="C579" s="243" t="str">
        <f t="shared" si="87"/>
        <v/>
      </c>
      <c r="D579" s="243" t="str">
        <f t="shared" si="88"/>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9"/>
        <v/>
      </c>
      <c r="K579" s="287" t="str">
        <f t="shared" si="90"/>
        <v/>
      </c>
      <c r="L579" s="287" t="str">
        <f t="shared" si="91"/>
        <v/>
      </c>
      <c r="M579" s="290" t="str">
        <f t="shared" si="92"/>
        <v/>
      </c>
      <c r="N579" t="str">
        <f>IF($A579="","",IFERROR(INDEX(Prices[Category],MATCH($A579,Prices[Key],0)),"Uncategorized"))</f>
        <v/>
      </c>
      <c r="O579" s="291" t="str">
        <f t="shared" si="93"/>
        <v/>
      </c>
      <c r="P579" s="291" t="str">
        <f t="shared" si="94"/>
        <v/>
      </c>
    </row>
    <row r="580" spans="1:16" ht="15" customHeight="1" x14ac:dyDescent="0.2">
      <c r="A580" s="243" t="str">
        <f>IFERROR(INDEX('All Ticker P&amp;L'!$A$2:$A$1001,MATCH(ROWS($A$2:A580),'All Ticker P&amp;L'!$N$2:$N$1001,0)),"")</f>
        <v/>
      </c>
      <c r="B580" s="243" t="str">
        <f t="shared" si="86"/>
        <v/>
      </c>
      <c r="C580" s="243" t="str">
        <f t="shared" si="87"/>
        <v/>
      </c>
      <c r="D580" s="243" t="str">
        <f t="shared" si="88"/>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9"/>
        <v/>
      </c>
      <c r="K580" s="287" t="str">
        <f t="shared" si="90"/>
        <v/>
      </c>
      <c r="L580" s="287" t="str">
        <f t="shared" si="91"/>
        <v/>
      </c>
      <c r="M580" s="290" t="str">
        <f t="shared" si="92"/>
        <v/>
      </c>
      <c r="N580" t="str">
        <f>IF($A580="","",IFERROR(INDEX(Prices[Category],MATCH($A580,Prices[Key],0)),"Uncategorized"))</f>
        <v/>
      </c>
      <c r="O580" s="291" t="str">
        <f t="shared" si="93"/>
        <v/>
      </c>
      <c r="P580" s="291" t="str">
        <f t="shared" si="94"/>
        <v/>
      </c>
    </row>
    <row r="581" spans="1:16" ht="15" customHeight="1" x14ac:dyDescent="0.2">
      <c r="A581" s="243" t="str">
        <f>IFERROR(INDEX('All Ticker P&amp;L'!$A$2:$A$1001,MATCH(ROWS($A$2:A581),'All Ticker P&amp;L'!$N$2:$N$1001,0)),"")</f>
        <v/>
      </c>
      <c r="B581" s="243" t="str">
        <f t="shared" si="86"/>
        <v/>
      </c>
      <c r="C581" s="243" t="str">
        <f t="shared" si="87"/>
        <v/>
      </c>
      <c r="D581" s="243" t="str">
        <f t="shared" si="88"/>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9"/>
        <v/>
      </c>
      <c r="K581" s="287" t="str">
        <f t="shared" si="90"/>
        <v/>
      </c>
      <c r="L581" s="287" t="str">
        <f t="shared" si="91"/>
        <v/>
      </c>
      <c r="M581" s="290" t="str">
        <f t="shared" si="92"/>
        <v/>
      </c>
      <c r="N581" t="str">
        <f>IF($A581="","",IFERROR(INDEX(Prices[Category],MATCH($A581,Prices[Key],0)),"Uncategorized"))</f>
        <v/>
      </c>
      <c r="O581" s="291" t="str">
        <f t="shared" si="93"/>
        <v/>
      </c>
      <c r="P581" s="291" t="str">
        <f t="shared" si="94"/>
        <v/>
      </c>
    </row>
    <row r="582" spans="1:16" ht="15" customHeight="1" x14ac:dyDescent="0.2">
      <c r="A582" s="243" t="str">
        <f>IFERROR(INDEX('All Ticker P&amp;L'!$A$2:$A$1001,MATCH(ROWS($A$2:A582),'All Ticker P&amp;L'!$N$2:$N$1001,0)),"")</f>
        <v/>
      </c>
      <c r="B582" s="243" t="str">
        <f t="shared" si="86"/>
        <v/>
      </c>
      <c r="C582" s="243" t="str">
        <f t="shared" si="87"/>
        <v/>
      </c>
      <c r="D582" s="243" t="str">
        <f t="shared" si="88"/>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9"/>
        <v/>
      </c>
      <c r="K582" s="287" t="str">
        <f t="shared" si="90"/>
        <v/>
      </c>
      <c r="L582" s="287" t="str">
        <f t="shared" si="91"/>
        <v/>
      </c>
      <c r="M582" s="290" t="str">
        <f t="shared" si="92"/>
        <v/>
      </c>
      <c r="N582" t="str">
        <f>IF($A582="","",IFERROR(INDEX(Prices[Category],MATCH($A582,Prices[Key],0)),"Uncategorized"))</f>
        <v/>
      </c>
      <c r="O582" s="291" t="str">
        <f t="shared" si="93"/>
        <v/>
      </c>
      <c r="P582" s="291" t="str">
        <f t="shared" si="94"/>
        <v/>
      </c>
    </row>
    <row r="583" spans="1:16" ht="15" customHeight="1" x14ac:dyDescent="0.2">
      <c r="A583" s="243" t="str">
        <f>IFERROR(INDEX('All Ticker P&amp;L'!$A$2:$A$1001,MATCH(ROWS($A$2:A583),'All Ticker P&amp;L'!$N$2:$N$1001,0)),"")</f>
        <v/>
      </c>
      <c r="B583" s="243" t="str">
        <f t="shared" si="86"/>
        <v/>
      </c>
      <c r="C583" s="243" t="str">
        <f t="shared" si="87"/>
        <v/>
      </c>
      <c r="D583" s="243" t="str">
        <f t="shared" si="88"/>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9"/>
        <v/>
      </c>
      <c r="K583" s="287" t="str">
        <f t="shared" si="90"/>
        <v/>
      </c>
      <c r="L583" s="287" t="str">
        <f t="shared" si="91"/>
        <v/>
      </c>
      <c r="M583" s="290" t="str">
        <f t="shared" si="92"/>
        <v/>
      </c>
      <c r="N583" t="str">
        <f>IF($A583="","",IFERROR(INDEX(Prices[Category],MATCH($A583,Prices[Key],0)),"Uncategorized"))</f>
        <v/>
      </c>
      <c r="O583" s="291" t="str">
        <f t="shared" si="93"/>
        <v/>
      </c>
      <c r="P583" s="291" t="str">
        <f t="shared" si="94"/>
        <v/>
      </c>
    </row>
    <row r="584" spans="1:16" ht="15" customHeight="1" x14ac:dyDescent="0.2">
      <c r="A584" s="243" t="str">
        <f>IFERROR(INDEX('All Ticker P&amp;L'!$A$2:$A$1001,MATCH(ROWS($A$2:A584),'All Ticker P&amp;L'!$N$2:$N$1001,0)),"")</f>
        <v/>
      </c>
      <c r="B584" s="243" t="str">
        <f t="shared" si="86"/>
        <v/>
      </c>
      <c r="C584" s="243" t="str">
        <f t="shared" si="87"/>
        <v/>
      </c>
      <c r="D584" s="243" t="str">
        <f t="shared" si="88"/>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9"/>
        <v/>
      </c>
      <c r="K584" s="287" t="str">
        <f t="shared" si="90"/>
        <v/>
      </c>
      <c r="L584" s="287" t="str">
        <f t="shared" si="91"/>
        <v/>
      </c>
      <c r="M584" s="290" t="str">
        <f t="shared" si="92"/>
        <v/>
      </c>
      <c r="N584" t="str">
        <f>IF($A584="","",IFERROR(INDEX(Prices[Category],MATCH($A584,Prices[Key],0)),"Uncategorized"))</f>
        <v/>
      </c>
      <c r="O584" s="291" t="str">
        <f t="shared" si="93"/>
        <v/>
      </c>
      <c r="P584" s="291" t="str">
        <f t="shared" si="94"/>
        <v/>
      </c>
    </row>
    <row r="585" spans="1:16" ht="15" customHeight="1" x14ac:dyDescent="0.2">
      <c r="A585" s="243" t="str">
        <f>IFERROR(INDEX('All Ticker P&amp;L'!$A$2:$A$1001,MATCH(ROWS($A$2:A585),'All Ticker P&amp;L'!$N$2:$N$1001,0)),"")</f>
        <v/>
      </c>
      <c r="B585" s="243" t="str">
        <f t="shared" si="86"/>
        <v/>
      </c>
      <c r="C585" s="243" t="str">
        <f t="shared" si="87"/>
        <v/>
      </c>
      <c r="D585" s="243" t="str">
        <f t="shared" si="88"/>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9"/>
        <v/>
      </c>
      <c r="K585" s="287" t="str">
        <f t="shared" si="90"/>
        <v/>
      </c>
      <c r="L585" s="287" t="str">
        <f t="shared" si="91"/>
        <v/>
      </c>
      <c r="M585" s="290" t="str">
        <f t="shared" si="92"/>
        <v/>
      </c>
      <c r="N585" t="str">
        <f>IF($A585="","",IFERROR(INDEX(Prices[Category],MATCH($A585,Prices[Key],0)),"Uncategorized"))</f>
        <v/>
      </c>
      <c r="O585" s="291" t="str">
        <f t="shared" si="93"/>
        <v/>
      </c>
      <c r="P585" s="291" t="str">
        <f t="shared" si="94"/>
        <v/>
      </c>
    </row>
    <row r="586" spans="1:16" ht="15" customHeight="1" x14ac:dyDescent="0.2">
      <c r="A586" s="243" t="str">
        <f>IFERROR(INDEX('All Ticker P&amp;L'!$A$2:$A$1001,MATCH(ROWS($A$2:A586),'All Ticker P&amp;L'!$N$2:$N$1001,0)),"")</f>
        <v/>
      </c>
      <c r="B586" s="243" t="str">
        <f t="shared" si="86"/>
        <v/>
      </c>
      <c r="C586" s="243" t="str">
        <f t="shared" si="87"/>
        <v/>
      </c>
      <c r="D586" s="243" t="str">
        <f t="shared" si="88"/>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9"/>
        <v/>
      </c>
      <c r="K586" s="287" t="str">
        <f t="shared" si="90"/>
        <v/>
      </c>
      <c r="L586" s="287" t="str">
        <f t="shared" si="91"/>
        <v/>
      </c>
      <c r="M586" s="290" t="str">
        <f t="shared" si="92"/>
        <v/>
      </c>
      <c r="N586" t="str">
        <f>IF($A586="","",IFERROR(INDEX(Prices[Category],MATCH($A586,Prices[Key],0)),"Uncategorized"))</f>
        <v/>
      </c>
      <c r="O586" s="291" t="str">
        <f t="shared" si="93"/>
        <v/>
      </c>
      <c r="P586" s="291" t="str">
        <f t="shared" si="94"/>
        <v/>
      </c>
    </row>
    <row r="587" spans="1:16" ht="15" customHeight="1" x14ac:dyDescent="0.2">
      <c r="A587" s="243" t="str">
        <f>IFERROR(INDEX('All Ticker P&amp;L'!$A$2:$A$1001,MATCH(ROWS($A$2:A587),'All Ticker P&amp;L'!$N$2:$N$1001,0)),"")</f>
        <v/>
      </c>
      <c r="B587" s="243" t="str">
        <f t="shared" si="86"/>
        <v/>
      </c>
      <c r="C587" s="243" t="str">
        <f t="shared" si="87"/>
        <v/>
      </c>
      <c r="D587" s="243" t="str">
        <f t="shared" si="88"/>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9"/>
        <v/>
      </c>
      <c r="K587" s="287" t="str">
        <f t="shared" si="90"/>
        <v/>
      </c>
      <c r="L587" s="287" t="str">
        <f t="shared" si="91"/>
        <v/>
      </c>
      <c r="M587" s="290" t="str">
        <f t="shared" si="92"/>
        <v/>
      </c>
      <c r="N587" t="str">
        <f>IF($A587="","",IFERROR(INDEX(Prices[Category],MATCH($A587,Prices[Key],0)),"Uncategorized"))</f>
        <v/>
      </c>
      <c r="O587" s="291" t="str">
        <f t="shared" si="93"/>
        <v/>
      </c>
      <c r="P587" s="291" t="str">
        <f t="shared" si="94"/>
        <v/>
      </c>
    </row>
    <row r="588" spans="1:16" ht="15" customHeight="1" x14ac:dyDescent="0.2">
      <c r="A588" s="243" t="str">
        <f>IFERROR(INDEX('All Ticker P&amp;L'!$A$2:$A$1001,MATCH(ROWS($A$2:A588),'All Ticker P&amp;L'!$N$2:$N$1001,0)),"")</f>
        <v/>
      </c>
      <c r="B588" s="243" t="str">
        <f t="shared" si="86"/>
        <v/>
      </c>
      <c r="C588" s="243" t="str">
        <f t="shared" si="87"/>
        <v/>
      </c>
      <c r="D588" s="243" t="str">
        <f t="shared" si="88"/>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9"/>
        <v/>
      </c>
      <c r="K588" s="287" t="str">
        <f t="shared" si="90"/>
        <v/>
      </c>
      <c r="L588" s="287" t="str">
        <f t="shared" si="91"/>
        <v/>
      </c>
      <c r="M588" s="290" t="str">
        <f t="shared" si="92"/>
        <v/>
      </c>
      <c r="N588" t="str">
        <f>IF($A588="","",IFERROR(INDEX(Prices[Category],MATCH($A588,Prices[Key],0)),"Uncategorized"))</f>
        <v/>
      </c>
      <c r="O588" s="291" t="str">
        <f t="shared" si="93"/>
        <v/>
      </c>
      <c r="P588" s="291" t="str">
        <f t="shared" si="94"/>
        <v/>
      </c>
    </row>
    <row r="589" spans="1:16" ht="15" customHeight="1" x14ac:dyDescent="0.2">
      <c r="A589" s="243" t="str">
        <f>IFERROR(INDEX('All Ticker P&amp;L'!$A$2:$A$1001,MATCH(ROWS($A$2:A589),'All Ticker P&amp;L'!$N$2:$N$1001,0)),"")</f>
        <v/>
      </c>
      <c r="B589" s="243" t="str">
        <f t="shared" si="86"/>
        <v/>
      </c>
      <c r="C589" s="243" t="str">
        <f t="shared" si="87"/>
        <v/>
      </c>
      <c r="D589" s="243" t="str">
        <f t="shared" si="88"/>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9"/>
        <v/>
      </c>
      <c r="K589" s="287" t="str">
        <f t="shared" si="90"/>
        <v/>
      </c>
      <c r="L589" s="287" t="str">
        <f t="shared" si="91"/>
        <v/>
      </c>
      <c r="M589" s="290" t="str">
        <f t="shared" si="92"/>
        <v/>
      </c>
      <c r="N589" t="str">
        <f>IF($A589="","",IFERROR(INDEX(Prices[Category],MATCH($A589,Prices[Key],0)),"Uncategorized"))</f>
        <v/>
      </c>
      <c r="O589" s="291" t="str">
        <f t="shared" si="93"/>
        <v/>
      </c>
      <c r="P589" s="291" t="str">
        <f t="shared" si="94"/>
        <v/>
      </c>
    </row>
    <row r="590" spans="1:16" ht="15" customHeight="1" x14ac:dyDescent="0.2">
      <c r="A590" s="243" t="str">
        <f>IFERROR(INDEX('All Ticker P&amp;L'!$A$2:$A$1001,MATCH(ROWS($A$2:A590),'All Ticker P&amp;L'!$N$2:$N$1001,0)),"")</f>
        <v/>
      </c>
      <c r="B590" s="243" t="str">
        <f t="shared" si="86"/>
        <v/>
      </c>
      <c r="C590" s="243" t="str">
        <f t="shared" si="87"/>
        <v/>
      </c>
      <c r="D590" s="243" t="str">
        <f t="shared" si="88"/>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9"/>
        <v/>
      </c>
      <c r="K590" s="287" t="str">
        <f t="shared" si="90"/>
        <v/>
      </c>
      <c r="L590" s="287" t="str">
        <f t="shared" si="91"/>
        <v/>
      </c>
      <c r="M590" s="290" t="str">
        <f t="shared" si="92"/>
        <v/>
      </c>
      <c r="N590" t="str">
        <f>IF($A590="","",IFERROR(INDEX(Prices[Category],MATCH($A590,Prices[Key],0)),"Uncategorized"))</f>
        <v/>
      </c>
      <c r="O590" s="291" t="str">
        <f t="shared" si="93"/>
        <v/>
      </c>
      <c r="P590" s="291" t="str">
        <f t="shared" si="94"/>
        <v/>
      </c>
    </row>
    <row r="591" spans="1:16" ht="15" customHeight="1" x14ac:dyDescent="0.2">
      <c r="A591" s="243" t="str">
        <f>IFERROR(INDEX('All Ticker P&amp;L'!$A$2:$A$1001,MATCH(ROWS($A$2:A591),'All Ticker P&amp;L'!$N$2:$N$1001,0)),"")</f>
        <v/>
      </c>
      <c r="B591" s="243" t="str">
        <f t="shared" si="86"/>
        <v/>
      </c>
      <c r="C591" s="243" t="str">
        <f t="shared" si="87"/>
        <v/>
      </c>
      <c r="D591" s="243" t="str">
        <f t="shared" si="88"/>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9"/>
        <v/>
      </c>
      <c r="K591" s="287" t="str">
        <f t="shared" si="90"/>
        <v/>
      </c>
      <c r="L591" s="287" t="str">
        <f t="shared" si="91"/>
        <v/>
      </c>
      <c r="M591" s="290" t="str">
        <f t="shared" si="92"/>
        <v/>
      </c>
      <c r="N591" t="str">
        <f>IF($A591="","",IFERROR(INDEX(Prices[Category],MATCH($A591,Prices[Key],0)),"Uncategorized"))</f>
        <v/>
      </c>
      <c r="O591" s="291" t="str">
        <f t="shared" si="93"/>
        <v/>
      </c>
      <c r="P591" s="291" t="str">
        <f t="shared" si="94"/>
        <v/>
      </c>
    </row>
    <row r="592" spans="1:16" ht="15" customHeight="1" x14ac:dyDescent="0.2">
      <c r="A592" s="243" t="str">
        <f>IFERROR(INDEX('All Ticker P&amp;L'!$A$2:$A$1001,MATCH(ROWS($A$2:A592),'All Ticker P&amp;L'!$N$2:$N$1001,0)),"")</f>
        <v/>
      </c>
      <c r="B592" s="243" t="str">
        <f t="shared" si="86"/>
        <v/>
      </c>
      <c r="C592" s="243" t="str">
        <f t="shared" si="87"/>
        <v/>
      </c>
      <c r="D592" s="243" t="str">
        <f t="shared" si="88"/>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9"/>
        <v/>
      </c>
      <c r="K592" s="287" t="str">
        <f t="shared" si="90"/>
        <v/>
      </c>
      <c r="L592" s="287" t="str">
        <f t="shared" si="91"/>
        <v/>
      </c>
      <c r="M592" s="290" t="str">
        <f t="shared" si="92"/>
        <v/>
      </c>
      <c r="N592" t="str">
        <f>IF($A592="","",IFERROR(INDEX(Prices[Category],MATCH($A592,Prices[Key],0)),"Uncategorized"))</f>
        <v/>
      </c>
      <c r="O592" s="291" t="str">
        <f t="shared" si="93"/>
        <v/>
      </c>
      <c r="P592" s="291" t="str">
        <f t="shared" si="94"/>
        <v/>
      </c>
    </row>
    <row r="593" spans="1:16" ht="15" customHeight="1" x14ac:dyDescent="0.2">
      <c r="A593" s="243" t="str">
        <f>IFERROR(INDEX('All Ticker P&amp;L'!$A$2:$A$1001,MATCH(ROWS($A$2:A593),'All Ticker P&amp;L'!$N$2:$N$1001,0)),"")</f>
        <v/>
      </c>
      <c r="B593" s="243" t="str">
        <f t="shared" si="86"/>
        <v/>
      </c>
      <c r="C593" s="243" t="str">
        <f t="shared" si="87"/>
        <v/>
      </c>
      <c r="D593" s="243" t="str">
        <f t="shared" si="88"/>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9"/>
        <v/>
      </c>
      <c r="K593" s="287" t="str">
        <f t="shared" si="90"/>
        <v/>
      </c>
      <c r="L593" s="287" t="str">
        <f t="shared" si="91"/>
        <v/>
      </c>
      <c r="M593" s="290" t="str">
        <f t="shared" si="92"/>
        <v/>
      </c>
      <c r="N593" t="str">
        <f>IF($A593="","",IFERROR(INDEX(Prices[Category],MATCH($A593,Prices[Key],0)),"Uncategorized"))</f>
        <v/>
      </c>
      <c r="O593" s="291" t="str">
        <f t="shared" si="93"/>
        <v/>
      </c>
      <c r="P593" s="291" t="str">
        <f t="shared" si="94"/>
        <v/>
      </c>
    </row>
    <row r="594" spans="1:16" ht="15" customHeight="1" x14ac:dyDescent="0.2">
      <c r="A594" s="243" t="str">
        <f>IFERROR(INDEX('All Ticker P&amp;L'!$A$2:$A$1001,MATCH(ROWS($A$2:A594),'All Ticker P&amp;L'!$N$2:$N$1001,0)),"")</f>
        <v/>
      </c>
      <c r="B594" s="243" t="str">
        <f t="shared" si="86"/>
        <v/>
      </c>
      <c r="C594" s="243" t="str">
        <f t="shared" si="87"/>
        <v/>
      </c>
      <c r="D594" s="243" t="str">
        <f t="shared" si="88"/>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9"/>
        <v/>
      </c>
      <c r="K594" s="287" t="str">
        <f t="shared" si="90"/>
        <v/>
      </c>
      <c r="L594" s="287" t="str">
        <f t="shared" si="91"/>
        <v/>
      </c>
      <c r="M594" s="290" t="str">
        <f t="shared" si="92"/>
        <v/>
      </c>
      <c r="N594" t="str">
        <f>IF($A594="","",IFERROR(INDEX(Prices[Category],MATCH($A594,Prices[Key],0)),"Uncategorized"))</f>
        <v/>
      </c>
      <c r="O594" s="291" t="str">
        <f t="shared" si="93"/>
        <v/>
      </c>
      <c r="P594" s="291" t="str">
        <f t="shared" si="94"/>
        <v/>
      </c>
    </row>
    <row r="595" spans="1:16" ht="15" customHeight="1" x14ac:dyDescent="0.2">
      <c r="A595" s="243" t="str">
        <f>IFERROR(INDEX('All Ticker P&amp;L'!$A$2:$A$1001,MATCH(ROWS($A$2:A595),'All Ticker P&amp;L'!$N$2:$N$1001,0)),"")</f>
        <v/>
      </c>
      <c r="B595" s="243" t="str">
        <f t="shared" si="86"/>
        <v/>
      </c>
      <c r="C595" s="243" t="str">
        <f t="shared" si="87"/>
        <v/>
      </c>
      <c r="D595" s="243" t="str">
        <f t="shared" si="88"/>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9"/>
        <v/>
      </c>
      <c r="K595" s="287" t="str">
        <f t="shared" si="90"/>
        <v/>
      </c>
      <c r="L595" s="287" t="str">
        <f t="shared" si="91"/>
        <v/>
      </c>
      <c r="M595" s="290" t="str">
        <f t="shared" si="92"/>
        <v/>
      </c>
      <c r="N595" t="str">
        <f>IF($A595="","",IFERROR(INDEX(Prices[Category],MATCH($A595,Prices[Key],0)),"Uncategorized"))</f>
        <v/>
      </c>
      <c r="O595" s="291" t="str">
        <f t="shared" si="93"/>
        <v/>
      </c>
      <c r="P595" s="291" t="str">
        <f t="shared" si="94"/>
        <v/>
      </c>
    </row>
    <row r="596" spans="1:16" ht="15" customHeight="1" x14ac:dyDescent="0.2">
      <c r="A596" s="243" t="str">
        <f>IFERROR(INDEX('All Ticker P&amp;L'!$A$2:$A$1001,MATCH(ROWS($A$2:A596),'All Ticker P&amp;L'!$N$2:$N$1001,0)),"")</f>
        <v/>
      </c>
      <c r="B596" s="243" t="str">
        <f t="shared" si="86"/>
        <v/>
      </c>
      <c r="C596" s="243" t="str">
        <f t="shared" si="87"/>
        <v/>
      </c>
      <c r="D596" s="243" t="str">
        <f t="shared" si="88"/>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9"/>
        <v/>
      </c>
      <c r="K596" s="287" t="str">
        <f t="shared" si="90"/>
        <v/>
      </c>
      <c r="L596" s="287" t="str">
        <f t="shared" si="91"/>
        <v/>
      </c>
      <c r="M596" s="290" t="str">
        <f t="shared" si="92"/>
        <v/>
      </c>
      <c r="N596" t="str">
        <f>IF($A596="","",IFERROR(INDEX(Prices[Category],MATCH($A596,Prices[Key],0)),"Uncategorized"))</f>
        <v/>
      </c>
      <c r="O596" s="291" t="str">
        <f t="shared" si="93"/>
        <v/>
      </c>
      <c r="P596" s="291" t="str">
        <f t="shared" si="94"/>
        <v/>
      </c>
    </row>
    <row r="597" spans="1:16" ht="15" customHeight="1" x14ac:dyDescent="0.2">
      <c r="A597" s="243" t="str">
        <f>IFERROR(INDEX('All Ticker P&amp;L'!$A$2:$A$1001,MATCH(ROWS($A$2:A597),'All Ticker P&amp;L'!$N$2:$N$1001,0)),"")</f>
        <v/>
      </c>
      <c r="B597" s="243" t="str">
        <f t="shared" si="86"/>
        <v/>
      </c>
      <c r="C597" s="243" t="str">
        <f t="shared" si="87"/>
        <v/>
      </c>
      <c r="D597" s="243" t="str">
        <f t="shared" si="88"/>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9"/>
        <v/>
      </c>
      <c r="K597" s="287" t="str">
        <f t="shared" si="90"/>
        <v/>
      </c>
      <c r="L597" s="287" t="str">
        <f t="shared" si="91"/>
        <v/>
      </c>
      <c r="M597" s="290" t="str">
        <f t="shared" si="92"/>
        <v/>
      </c>
      <c r="N597" t="str">
        <f>IF($A597="","",IFERROR(INDEX(Prices[Category],MATCH($A597,Prices[Key],0)),"Uncategorized"))</f>
        <v/>
      </c>
      <c r="O597" s="291" t="str">
        <f t="shared" si="93"/>
        <v/>
      </c>
      <c r="P597" s="291" t="str">
        <f t="shared" si="94"/>
        <v/>
      </c>
    </row>
    <row r="598" spans="1:16" ht="15" customHeight="1" x14ac:dyDescent="0.2">
      <c r="A598" s="243" t="str">
        <f>IFERROR(INDEX('All Ticker P&amp;L'!$A$2:$A$1001,MATCH(ROWS($A$2:A598),'All Ticker P&amp;L'!$N$2:$N$1001,0)),"")</f>
        <v/>
      </c>
      <c r="B598" s="243" t="str">
        <f t="shared" si="86"/>
        <v/>
      </c>
      <c r="C598" s="243" t="str">
        <f t="shared" si="87"/>
        <v/>
      </c>
      <c r="D598" s="243" t="str">
        <f t="shared" si="88"/>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9"/>
        <v/>
      </c>
      <c r="K598" s="287" t="str">
        <f t="shared" si="90"/>
        <v/>
      </c>
      <c r="L598" s="287" t="str">
        <f t="shared" si="91"/>
        <v/>
      </c>
      <c r="M598" s="290" t="str">
        <f t="shared" si="92"/>
        <v/>
      </c>
      <c r="N598" t="str">
        <f>IF($A598="","",IFERROR(INDEX(Prices[Category],MATCH($A598,Prices[Key],0)),"Uncategorized"))</f>
        <v/>
      </c>
      <c r="O598" s="291" t="str">
        <f t="shared" si="93"/>
        <v/>
      </c>
      <c r="P598" s="291" t="str">
        <f t="shared" si="94"/>
        <v/>
      </c>
    </row>
    <row r="599" spans="1:16" ht="15" customHeight="1" x14ac:dyDescent="0.2">
      <c r="A599" s="243" t="str">
        <f>IFERROR(INDEX('All Ticker P&amp;L'!$A$2:$A$1001,MATCH(ROWS($A$2:A599),'All Ticker P&amp;L'!$N$2:$N$1001,0)),"")</f>
        <v/>
      </c>
      <c r="B599" s="243" t="str">
        <f t="shared" si="86"/>
        <v/>
      </c>
      <c r="C599" s="243" t="str">
        <f t="shared" si="87"/>
        <v/>
      </c>
      <c r="D599" s="243" t="str">
        <f t="shared" si="88"/>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9"/>
        <v/>
      </c>
      <c r="K599" s="287" t="str">
        <f t="shared" si="90"/>
        <v/>
      </c>
      <c r="L599" s="287" t="str">
        <f t="shared" si="91"/>
        <v/>
      </c>
      <c r="M599" s="290" t="str">
        <f t="shared" si="92"/>
        <v/>
      </c>
      <c r="N599" t="str">
        <f>IF($A599="","",IFERROR(INDEX(Prices[Category],MATCH($A599,Prices[Key],0)),"Uncategorized"))</f>
        <v/>
      </c>
      <c r="O599" s="291" t="str">
        <f t="shared" si="93"/>
        <v/>
      </c>
      <c r="P599" s="291" t="str">
        <f t="shared" si="94"/>
        <v/>
      </c>
    </row>
    <row r="600" spans="1:16" ht="15" customHeight="1" x14ac:dyDescent="0.2">
      <c r="A600" s="243" t="str">
        <f>IFERROR(INDEX('All Ticker P&amp;L'!$A$2:$A$1001,MATCH(ROWS($A$2:A600),'All Ticker P&amp;L'!$N$2:$N$1001,0)),"")</f>
        <v/>
      </c>
      <c r="B600" s="243" t="str">
        <f t="shared" si="86"/>
        <v/>
      </c>
      <c r="C600" s="243" t="str">
        <f t="shared" si="87"/>
        <v/>
      </c>
      <c r="D600" s="243" t="str">
        <f t="shared" si="88"/>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9"/>
        <v/>
      </c>
      <c r="K600" s="287" t="str">
        <f t="shared" si="90"/>
        <v/>
      </c>
      <c r="L600" s="287" t="str">
        <f t="shared" si="91"/>
        <v/>
      </c>
      <c r="M600" s="290" t="str">
        <f t="shared" si="92"/>
        <v/>
      </c>
      <c r="N600" t="str">
        <f>IF($A600="","",IFERROR(INDEX(Prices[Category],MATCH($A600,Prices[Key],0)),"Uncategorized"))</f>
        <v/>
      </c>
      <c r="O600" s="291" t="str">
        <f t="shared" si="93"/>
        <v/>
      </c>
      <c r="P600" s="291" t="str">
        <f t="shared" si="94"/>
        <v/>
      </c>
    </row>
    <row r="601" spans="1:16" ht="15" customHeight="1" x14ac:dyDescent="0.2">
      <c r="A601" s="243" t="str">
        <f>IFERROR(INDEX('All Ticker P&amp;L'!$A$2:$A$1001,MATCH(ROWS($A$2:A601),'All Ticker P&amp;L'!$N$2:$N$1001,0)),"")</f>
        <v/>
      </c>
      <c r="B601" s="243" t="str">
        <f t="shared" si="86"/>
        <v/>
      </c>
      <c r="C601" s="243" t="str">
        <f t="shared" si="87"/>
        <v/>
      </c>
      <c r="D601" s="243" t="str">
        <f t="shared" si="88"/>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9"/>
        <v/>
      </c>
      <c r="K601" s="287" t="str">
        <f t="shared" si="90"/>
        <v/>
      </c>
      <c r="L601" s="287" t="str">
        <f t="shared" si="91"/>
        <v/>
      </c>
      <c r="M601" s="290" t="str">
        <f t="shared" si="92"/>
        <v/>
      </c>
      <c r="N601" t="str">
        <f>IF($A601="","",IFERROR(INDEX(Prices[Category],MATCH($A601,Prices[Key],0)),"Uncategorized"))</f>
        <v/>
      </c>
      <c r="O601" s="291" t="str">
        <f t="shared" si="93"/>
        <v/>
      </c>
      <c r="P601" s="291" t="str">
        <f t="shared" si="94"/>
        <v/>
      </c>
    </row>
    <row r="602" spans="1:16" ht="15" customHeight="1" x14ac:dyDescent="0.2">
      <c r="A602" s="243" t="str">
        <f>IFERROR(INDEX('All Ticker P&amp;L'!$A$2:$A$1001,MATCH(ROWS($A$2:A602),'All Ticker P&amp;L'!$N$2:$N$1001,0)),"")</f>
        <v/>
      </c>
      <c r="B602" s="243" t="str">
        <f t="shared" si="86"/>
        <v/>
      </c>
      <c r="C602" s="243" t="str">
        <f t="shared" si="87"/>
        <v/>
      </c>
      <c r="D602" s="243" t="str">
        <f t="shared" si="88"/>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9"/>
        <v/>
      </c>
      <c r="K602" s="287" t="str">
        <f t="shared" si="90"/>
        <v/>
      </c>
      <c r="L602" s="287" t="str">
        <f t="shared" si="91"/>
        <v/>
      </c>
      <c r="M602" s="290" t="str">
        <f t="shared" si="92"/>
        <v/>
      </c>
      <c r="N602" t="str">
        <f>IF($A602="","",IFERROR(INDEX(Prices[Category],MATCH($A602,Prices[Key],0)),"Uncategorized"))</f>
        <v/>
      </c>
      <c r="O602" s="291" t="str">
        <f t="shared" si="93"/>
        <v/>
      </c>
      <c r="P602" s="291" t="str">
        <f t="shared" si="94"/>
        <v/>
      </c>
    </row>
    <row r="603" spans="1:16" ht="15" customHeight="1" x14ac:dyDescent="0.2">
      <c r="A603" s="243" t="str">
        <f>IFERROR(INDEX('All Ticker P&amp;L'!$A$2:$A$1001,MATCH(ROWS($A$2:A603),'All Ticker P&amp;L'!$N$2:$N$1001,0)),"")</f>
        <v/>
      </c>
      <c r="B603" s="243" t="str">
        <f t="shared" si="86"/>
        <v/>
      </c>
      <c r="C603" s="243" t="str">
        <f t="shared" si="87"/>
        <v/>
      </c>
      <c r="D603" s="243" t="str">
        <f t="shared" si="88"/>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9"/>
        <v/>
      </c>
      <c r="K603" s="287" t="str">
        <f t="shared" si="90"/>
        <v/>
      </c>
      <c r="L603" s="287" t="str">
        <f t="shared" si="91"/>
        <v/>
      </c>
      <c r="M603" s="290" t="str">
        <f t="shared" si="92"/>
        <v/>
      </c>
      <c r="N603" t="str">
        <f>IF($A603="","",IFERROR(INDEX(Prices[Category],MATCH($A603,Prices[Key],0)),"Uncategorized"))</f>
        <v/>
      </c>
      <c r="O603" s="291" t="str">
        <f t="shared" si="93"/>
        <v/>
      </c>
      <c r="P603" s="291" t="str">
        <f t="shared" si="94"/>
        <v/>
      </c>
    </row>
    <row r="604" spans="1:16" ht="15" customHeight="1" x14ac:dyDescent="0.2">
      <c r="A604" s="243" t="str">
        <f>IFERROR(INDEX('All Ticker P&amp;L'!$A$2:$A$1001,MATCH(ROWS($A$2:A604),'All Ticker P&amp;L'!$N$2:$N$1001,0)),"")</f>
        <v/>
      </c>
      <c r="B604" s="243" t="str">
        <f t="shared" si="86"/>
        <v/>
      </c>
      <c r="C604" s="243" t="str">
        <f t="shared" si="87"/>
        <v/>
      </c>
      <c r="D604" s="243" t="str">
        <f t="shared" si="88"/>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9"/>
        <v/>
      </c>
      <c r="K604" s="287" t="str">
        <f t="shared" si="90"/>
        <v/>
      </c>
      <c r="L604" s="287" t="str">
        <f t="shared" si="91"/>
        <v/>
      </c>
      <c r="M604" s="290" t="str">
        <f t="shared" si="92"/>
        <v/>
      </c>
      <c r="N604" t="str">
        <f>IF($A604="","",IFERROR(INDEX(Prices[Category],MATCH($A604,Prices[Key],0)),"Uncategorized"))</f>
        <v/>
      </c>
      <c r="O604" s="291" t="str">
        <f t="shared" si="93"/>
        <v/>
      </c>
      <c r="P604" s="291" t="str">
        <f t="shared" si="94"/>
        <v/>
      </c>
    </row>
    <row r="605" spans="1:16" ht="15" customHeight="1" x14ac:dyDescent="0.2">
      <c r="A605" s="243" t="str">
        <f>IFERROR(INDEX('All Ticker P&amp;L'!$A$2:$A$1001,MATCH(ROWS($A$2:A605),'All Ticker P&amp;L'!$N$2:$N$1001,0)),"")</f>
        <v/>
      </c>
      <c r="B605" s="243" t="str">
        <f t="shared" si="86"/>
        <v/>
      </c>
      <c r="C605" s="243" t="str">
        <f t="shared" si="87"/>
        <v/>
      </c>
      <c r="D605" s="243" t="str">
        <f t="shared" si="88"/>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9"/>
        <v/>
      </c>
      <c r="K605" s="287" t="str">
        <f t="shared" si="90"/>
        <v/>
      </c>
      <c r="L605" s="287" t="str">
        <f t="shared" si="91"/>
        <v/>
      </c>
      <c r="M605" s="290" t="str">
        <f t="shared" si="92"/>
        <v/>
      </c>
      <c r="N605" t="str">
        <f>IF($A605="","",IFERROR(INDEX(Prices[Category],MATCH($A605,Prices[Key],0)),"Uncategorized"))</f>
        <v/>
      </c>
      <c r="O605" s="291" t="str">
        <f t="shared" si="93"/>
        <v/>
      </c>
      <c r="P605" s="291" t="str">
        <f t="shared" si="94"/>
        <v/>
      </c>
    </row>
    <row r="606" spans="1:16" ht="15" customHeight="1" x14ac:dyDescent="0.2">
      <c r="A606" s="243" t="str">
        <f>IFERROR(INDEX('All Ticker P&amp;L'!$A$2:$A$1001,MATCH(ROWS($A$2:A606),'All Ticker P&amp;L'!$N$2:$N$1001,0)),"")</f>
        <v/>
      </c>
      <c r="B606" s="243" t="str">
        <f t="shared" si="86"/>
        <v/>
      </c>
      <c r="C606" s="243" t="str">
        <f t="shared" si="87"/>
        <v/>
      </c>
      <c r="D606" s="243" t="str">
        <f t="shared" si="88"/>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9"/>
        <v/>
      </c>
      <c r="K606" s="287" t="str">
        <f t="shared" si="90"/>
        <v/>
      </c>
      <c r="L606" s="287" t="str">
        <f t="shared" si="91"/>
        <v/>
      </c>
      <c r="M606" s="290" t="str">
        <f t="shared" si="92"/>
        <v/>
      </c>
      <c r="N606" t="str">
        <f>IF($A606="","",IFERROR(INDEX(Prices[Category],MATCH($A606,Prices[Key],0)),"Uncategorized"))</f>
        <v/>
      </c>
      <c r="O606" s="291" t="str">
        <f t="shared" si="93"/>
        <v/>
      </c>
      <c r="P606" s="291" t="str">
        <f t="shared" si="94"/>
        <v/>
      </c>
    </row>
    <row r="607" spans="1:16" ht="15" customHeight="1" x14ac:dyDescent="0.2">
      <c r="A607" s="243" t="str">
        <f>IFERROR(INDEX('All Ticker P&amp;L'!$A$2:$A$1001,MATCH(ROWS($A$2:A607),'All Ticker P&amp;L'!$N$2:$N$1001,0)),"")</f>
        <v/>
      </c>
      <c r="B607" s="243" t="str">
        <f t="shared" si="86"/>
        <v/>
      </c>
      <c r="C607" s="243" t="str">
        <f t="shared" si="87"/>
        <v/>
      </c>
      <c r="D607" s="243" t="str">
        <f t="shared" si="88"/>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9"/>
        <v/>
      </c>
      <c r="K607" s="287" t="str">
        <f t="shared" si="90"/>
        <v/>
      </c>
      <c r="L607" s="287" t="str">
        <f t="shared" si="91"/>
        <v/>
      </c>
      <c r="M607" s="290" t="str">
        <f t="shared" si="92"/>
        <v/>
      </c>
      <c r="N607" t="str">
        <f>IF($A607="","",IFERROR(INDEX(Prices[Category],MATCH($A607,Prices[Key],0)),"Uncategorized"))</f>
        <v/>
      </c>
      <c r="O607" s="291" t="str">
        <f t="shared" si="93"/>
        <v/>
      </c>
      <c r="P607" s="291" t="str">
        <f t="shared" si="94"/>
        <v/>
      </c>
    </row>
    <row r="608" spans="1:16" ht="15" customHeight="1" x14ac:dyDescent="0.2">
      <c r="A608" s="243" t="str">
        <f>IFERROR(INDEX('All Ticker P&amp;L'!$A$2:$A$1001,MATCH(ROWS($A$2:A608),'All Ticker P&amp;L'!$N$2:$N$1001,0)),"")</f>
        <v/>
      </c>
      <c r="B608" s="243" t="str">
        <f t="shared" si="86"/>
        <v/>
      </c>
      <c r="C608" s="243" t="str">
        <f t="shared" si="87"/>
        <v/>
      </c>
      <c r="D608" s="243" t="str">
        <f t="shared" si="88"/>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9"/>
        <v/>
      </c>
      <c r="K608" s="287" t="str">
        <f t="shared" si="90"/>
        <v/>
      </c>
      <c r="L608" s="287" t="str">
        <f t="shared" si="91"/>
        <v/>
      </c>
      <c r="M608" s="290" t="str">
        <f t="shared" si="92"/>
        <v/>
      </c>
      <c r="N608" t="str">
        <f>IF($A608="","",IFERROR(INDEX(Prices[Category],MATCH($A608,Prices[Key],0)),"Uncategorized"))</f>
        <v/>
      </c>
      <c r="O608" s="291" t="str">
        <f t="shared" si="93"/>
        <v/>
      </c>
      <c r="P608" s="291" t="str">
        <f t="shared" si="94"/>
        <v/>
      </c>
    </row>
    <row r="609" spans="1:16" ht="15" customHeight="1" x14ac:dyDescent="0.2">
      <c r="A609" s="243" t="str">
        <f>IFERROR(INDEX('All Ticker P&amp;L'!$A$2:$A$1001,MATCH(ROWS($A$2:A609),'All Ticker P&amp;L'!$N$2:$N$1001,0)),"")</f>
        <v/>
      </c>
      <c r="B609" s="243" t="str">
        <f t="shared" si="86"/>
        <v/>
      </c>
      <c r="C609" s="243" t="str">
        <f t="shared" si="87"/>
        <v/>
      </c>
      <c r="D609" s="243" t="str">
        <f t="shared" si="88"/>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9"/>
        <v/>
      </c>
      <c r="K609" s="287" t="str">
        <f t="shared" si="90"/>
        <v/>
      </c>
      <c r="L609" s="287" t="str">
        <f t="shared" si="91"/>
        <v/>
      </c>
      <c r="M609" s="290" t="str">
        <f t="shared" si="92"/>
        <v/>
      </c>
      <c r="N609" t="str">
        <f>IF($A609="","",IFERROR(INDEX(Prices[Category],MATCH($A609,Prices[Key],0)),"Uncategorized"))</f>
        <v/>
      </c>
      <c r="O609" s="291" t="str">
        <f t="shared" si="93"/>
        <v/>
      </c>
      <c r="P609" s="291" t="str">
        <f t="shared" si="94"/>
        <v/>
      </c>
    </row>
    <row r="610" spans="1:16" ht="15" customHeight="1" x14ac:dyDescent="0.2">
      <c r="A610" s="243" t="str">
        <f>IFERROR(INDEX('All Ticker P&amp;L'!$A$2:$A$1001,MATCH(ROWS($A$2:A610),'All Ticker P&amp;L'!$N$2:$N$1001,0)),"")</f>
        <v/>
      </c>
      <c r="B610" s="243" t="str">
        <f t="shared" si="86"/>
        <v/>
      </c>
      <c r="C610" s="243" t="str">
        <f t="shared" si="87"/>
        <v/>
      </c>
      <c r="D610" s="243" t="str">
        <f t="shared" si="88"/>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9"/>
        <v/>
      </c>
      <c r="K610" s="287" t="str">
        <f t="shared" si="90"/>
        <v/>
      </c>
      <c r="L610" s="287" t="str">
        <f t="shared" si="91"/>
        <v/>
      </c>
      <c r="M610" s="290" t="str">
        <f t="shared" si="92"/>
        <v/>
      </c>
      <c r="N610" t="str">
        <f>IF($A610="","",IFERROR(INDEX(Prices[Category],MATCH($A610,Prices[Key],0)),"Uncategorized"))</f>
        <v/>
      </c>
      <c r="O610" s="291" t="str">
        <f t="shared" si="93"/>
        <v/>
      </c>
      <c r="P610" s="291" t="str">
        <f t="shared" si="94"/>
        <v/>
      </c>
    </row>
    <row r="611" spans="1:16" ht="15" customHeight="1" x14ac:dyDescent="0.2">
      <c r="A611" s="243" t="str">
        <f>IFERROR(INDEX('All Ticker P&amp;L'!$A$2:$A$1001,MATCH(ROWS($A$2:A611),'All Ticker P&amp;L'!$N$2:$N$1001,0)),"")</f>
        <v/>
      </c>
      <c r="B611" s="243" t="str">
        <f t="shared" si="86"/>
        <v/>
      </c>
      <c r="C611" s="243" t="str">
        <f t="shared" si="87"/>
        <v/>
      </c>
      <c r="D611" s="243" t="str">
        <f t="shared" si="88"/>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9"/>
        <v/>
      </c>
      <c r="K611" s="287" t="str">
        <f t="shared" si="90"/>
        <v/>
      </c>
      <c r="L611" s="287" t="str">
        <f t="shared" si="91"/>
        <v/>
      </c>
      <c r="M611" s="290" t="str">
        <f t="shared" si="92"/>
        <v/>
      </c>
      <c r="N611" t="str">
        <f>IF($A611="","",IFERROR(INDEX(Prices[Category],MATCH($A611,Prices[Key],0)),"Uncategorized"))</f>
        <v/>
      </c>
      <c r="O611" s="291" t="str">
        <f t="shared" si="93"/>
        <v/>
      </c>
      <c r="P611" s="291" t="str">
        <f t="shared" si="94"/>
        <v/>
      </c>
    </row>
    <row r="612" spans="1:16" ht="15" customHeight="1" x14ac:dyDescent="0.2">
      <c r="A612" s="243" t="str">
        <f>IFERROR(INDEX('All Ticker P&amp;L'!$A$2:$A$1001,MATCH(ROWS($A$2:A612),'All Ticker P&amp;L'!$N$2:$N$1001,0)),"")</f>
        <v/>
      </c>
      <c r="B612" s="243" t="str">
        <f t="shared" si="86"/>
        <v/>
      </c>
      <c r="C612" s="243" t="str">
        <f t="shared" si="87"/>
        <v/>
      </c>
      <c r="D612" s="243" t="str">
        <f t="shared" si="88"/>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9"/>
        <v/>
      </c>
      <c r="K612" s="287" t="str">
        <f t="shared" si="90"/>
        <v/>
      </c>
      <c r="L612" s="287" t="str">
        <f t="shared" si="91"/>
        <v/>
      </c>
      <c r="M612" s="290" t="str">
        <f t="shared" si="92"/>
        <v/>
      </c>
      <c r="N612" t="str">
        <f>IF($A612="","",IFERROR(INDEX(Prices[Category],MATCH($A612,Prices[Key],0)),"Uncategorized"))</f>
        <v/>
      </c>
      <c r="O612" s="291" t="str">
        <f t="shared" si="93"/>
        <v/>
      </c>
      <c r="P612" s="291" t="str">
        <f t="shared" si="94"/>
        <v/>
      </c>
    </row>
    <row r="613" spans="1:16" ht="15" customHeight="1" x14ac:dyDescent="0.2">
      <c r="A613" s="243" t="str">
        <f>IFERROR(INDEX('All Ticker P&amp;L'!$A$2:$A$1001,MATCH(ROWS($A$2:A613),'All Ticker P&amp;L'!$N$2:$N$1001,0)),"")</f>
        <v/>
      </c>
      <c r="B613" s="243" t="str">
        <f t="shared" si="86"/>
        <v/>
      </c>
      <c r="C613" s="243" t="str">
        <f t="shared" si="87"/>
        <v/>
      </c>
      <c r="D613" s="243" t="str">
        <f t="shared" si="88"/>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9"/>
        <v/>
      </c>
      <c r="K613" s="287" t="str">
        <f t="shared" si="90"/>
        <v/>
      </c>
      <c r="L613" s="287" t="str">
        <f t="shared" si="91"/>
        <v/>
      </c>
      <c r="M613" s="290" t="str">
        <f t="shared" si="92"/>
        <v/>
      </c>
      <c r="N613" t="str">
        <f>IF($A613="","",IFERROR(INDEX(Prices[Category],MATCH($A613,Prices[Key],0)),"Uncategorized"))</f>
        <v/>
      </c>
      <c r="O613" s="291" t="str">
        <f t="shared" si="93"/>
        <v/>
      </c>
      <c r="P613" s="291" t="str">
        <f t="shared" si="94"/>
        <v/>
      </c>
    </row>
    <row r="614" spans="1:16" ht="15" customHeight="1" x14ac:dyDescent="0.2">
      <c r="A614" s="243" t="str">
        <f>IFERROR(INDEX('All Ticker P&amp;L'!$A$2:$A$1001,MATCH(ROWS($A$2:A614),'All Ticker P&amp;L'!$N$2:$N$1001,0)),"")</f>
        <v/>
      </c>
      <c r="B614" s="243" t="str">
        <f t="shared" si="86"/>
        <v/>
      </c>
      <c r="C614" s="243" t="str">
        <f t="shared" si="87"/>
        <v/>
      </c>
      <c r="D614" s="243" t="str">
        <f t="shared" si="88"/>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9"/>
        <v/>
      </c>
      <c r="K614" s="287" t="str">
        <f t="shared" si="90"/>
        <v/>
      </c>
      <c r="L614" s="287" t="str">
        <f t="shared" si="91"/>
        <v/>
      </c>
      <c r="M614" s="290" t="str">
        <f t="shared" si="92"/>
        <v/>
      </c>
      <c r="N614" t="str">
        <f>IF($A614="","",IFERROR(INDEX(Prices[Category],MATCH($A614,Prices[Key],0)),"Uncategorized"))</f>
        <v/>
      </c>
      <c r="O614" s="291" t="str">
        <f t="shared" si="93"/>
        <v/>
      </c>
      <c r="P614" s="291" t="str">
        <f t="shared" si="94"/>
        <v/>
      </c>
    </row>
    <row r="615" spans="1:16" ht="15" customHeight="1" x14ac:dyDescent="0.2">
      <c r="A615" s="243" t="str">
        <f>IFERROR(INDEX('All Ticker P&amp;L'!$A$2:$A$1001,MATCH(ROWS($A$2:A615),'All Ticker P&amp;L'!$N$2:$N$1001,0)),"")</f>
        <v/>
      </c>
      <c r="B615" s="243" t="str">
        <f t="shared" si="86"/>
        <v/>
      </c>
      <c r="C615" s="243" t="str">
        <f t="shared" si="87"/>
        <v/>
      </c>
      <c r="D615" s="243" t="str">
        <f t="shared" si="88"/>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9"/>
        <v/>
      </c>
      <c r="K615" s="287" t="str">
        <f t="shared" si="90"/>
        <v/>
      </c>
      <c r="L615" s="287" t="str">
        <f t="shared" si="91"/>
        <v/>
      </c>
      <c r="M615" s="290" t="str">
        <f t="shared" si="92"/>
        <v/>
      </c>
      <c r="N615" t="str">
        <f>IF($A615="","",IFERROR(INDEX(Prices[Category],MATCH($A615,Prices[Key],0)),"Uncategorized"))</f>
        <v/>
      </c>
      <c r="O615" s="291" t="str">
        <f t="shared" si="93"/>
        <v/>
      </c>
      <c r="P615" s="291" t="str">
        <f t="shared" si="94"/>
        <v/>
      </c>
    </row>
    <row r="616" spans="1:16" ht="15" customHeight="1" x14ac:dyDescent="0.2">
      <c r="A616" s="243" t="str">
        <f>IFERROR(INDEX('All Ticker P&amp;L'!$A$2:$A$1001,MATCH(ROWS($A$2:A616),'All Ticker P&amp;L'!$N$2:$N$1001,0)),"")</f>
        <v/>
      </c>
      <c r="B616" s="243" t="str">
        <f t="shared" si="86"/>
        <v/>
      </c>
      <c r="C616" s="243" t="str">
        <f t="shared" si="87"/>
        <v/>
      </c>
      <c r="D616" s="243" t="str">
        <f t="shared" si="88"/>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9"/>
        <v/>
      </c>
      <c r="K616" s="287" t="str">
        <f t="shared" si="90"/>
        <v/>
      </c>
      <c r="L616" s="287" t="str">
        <f t="shared" si="91"/>
        <v/>
      </c>
      <c r="M616" s="290" t="str">
        <f t="shared" si="92"/>
        <v/>
      </c>
      <c r="N616" t="str">
        <f>IF($A616="","",IFERROR(INDEX(Prices[Category],MATCH($A616,Prices[Key],0)),"Uncategorized"))</f>
        <v/>
      </c>
      <c r="O616" s="291" t="str">
        <f t="shared" si="93"/>
        <v/>
      </c>
      <c r="P616" s="291" t="str">
        <f t="shared" si="94"/>
        <v/>
      </c>
    </row>
    <row r="617" spans="1:16" ht="15" customHeight="1" x14ac:dyDescent="0.2">
      <c r="A617" s="243" t="str">
        <f>IFERROR(INDEX('All Ticker P&amp;L'!$A$2:$A$1001,MATCH(ROWS($A$2:A617),'All Ticker P&amp;L'!$N$2:$N$1001,0)),"")</f>
        <v/>
      </c>
      <c r="B617" s="243" t="str">
        <f t="shared" si="86"/>
        <v/>
      </c>
      <c r="C617" s="243" t="str">
        <f t="shared" si="87"/>
        <v/>
      </c>
      <c r="D617" s="243" t="str">
        <f t="shared" si="88"/>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9"/>
        <v/>
      </c>
      <c r="K617" s="287" t="str">
        <f t="shared" si="90"/>
        <v/>
      </c>
      <c r="L617" s="287" t="str">
        <f t="shared" si="91"/>
        <v/>
      </c>
      <c r="M617" s="290" t="str">
        <f t="shared" si="92"/>
        <v/>
      </c>
      <c r="N617" t="str">
        <f>IF($A617="","",IFERROR(INDEX(Prices[Category],MATCH($A617,Prices[Key],0)),"Uncategorized"))</f>
        <v/>
      </c>
      <c r="O617" s="291" t="str">
        <f t="shared" si="93"/>
        <v/>
      </c>
      <c r="P617" s="291" t="str">
        <f t="shared" si="94"/>
        <v/>
      </c>
    </row>
    <row r="618" spans="1:16" ht="15" customHeight="1" x14ac:dyDescent="0.2">
      <c r="A618" s="243" t="str">
        <f>IFERROR(INDEX('All Ticker P&amp;L'!$A$2:$A$1001,MATCH(ROWS($A$2:A618),'All Ticker P&amp;L'!$N$2:$N$1001,0)),"")</f>
        <v/>
      </c>
      <c r="B618" s="243" t="str">
        <f t="shared" si="86"/>
        <v/>
      </c>
      <c r="C618" s="243" t="str">
        <f t="shared" si="87"/>
        <v/>
      </c>
      <c r="D618" s="243" t="str">
        <f t="shared" si="88"/>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9"/>
        <v/>
      </c>
      <c r="K618" s="287" t="str">
        <f t="shared" si="90"/>
        <v/>
      </c>
      <c r="L618" s="287" t="str">
        <f t="shared" si="91"/>
        <v/>
      </c>
      <c r="M618" s="290" t="str">
        <f t="shared" si="92"/>
        <v/>
      </c>
      <c r="N618" t="str">
        <f>IF($A618="","",IFERROR(INDEX(Prices[Category],MATCH($A618,Prices[Key],0)),"Uncategorized"))</f>
        <v/>
      </c>
      <c r="O618" s="291" t="str">
        <f t="shared" si="93"/>
        <v/>
      </c>
      <c r="P618" s="291" t="str">
        <f t="shared" si="94"/>
        <v/>
      </c>
    </row>
    <row r="619" spans="1:16" ht="15" customHeight="1" x14ac:dyDescent="0.2">
      <c r="A619" s="243" t="str">
        <f>IFERROR(INDEX('All Ticker P&amp;L'!$A$2:$A$1001,MATCH(ROWS($A$2:A619),'All Ticker P&amp;L'!$N$2:$N$1001,0)),"")</f>
        <v/>
      </c>
      <c r="B619" s="243" t="str">
        <f t="shared" si="86"/>
        <v/>
      </c>
      <c r="C619" s="243" t="str">
        <f t="shared" si="87"/>
        <v/>
      </c>
      <c r="D619" s="243" t="str">
        <f t="shared" si="88"/>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9"/>
        <v/>
      </c>
      <c r="K619" s="287" t="str">
        <f t="shared" si="90"/>
        <v/>
      </c>
      <c r="L619" s="287" t="str">
        <f t="shared" si="91"/>
        <v/>
      </c>
      <c r="M619" s="290" t="str">
        <f t="shared" si="92"/>
        <v/>
      </c>
      <c r="N619" t="str">
        <f>IF($A619="","",IFERROR(INDEX(Prices[Category],MATCH($A619,Prices[Key],0)),"Uncategorized"))</f>
        <v/>
      </c>
      <c r="O619" s="291" t="str">
        <f t="shared" si="93"/>
        <v/>
      </c>
      <c r="P619" s="291" t="str">
        <f t="shared" si="94"/>
        <v/>
      </c>
    </row>
    <row r="620" spans="1:16" ht="15" customHeight="1" x14ac:dyDescent="0.2">
      <c r="A620" s="243" t="str">
        <f>IFERROR(INDEX('All Ticker P&amp;L'!$A$2:$A$1001,MATCH(ROWS($A$2:A620),'All Ticker P&amp;L'!$N$2:$N$1001,0)),"")</f>
        <v/>
      </c>
      <c r="B620" s="243" t="str">
        <f t="shared" si="86"/>
        <v/>
      </c>
      <c r="C620" s="243" t="str">
        <f t="shared" si="87"/>
        <v/>
      </c>
      <c r="D620" s="243" t="str">
        <f t="shared" si="88"/>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9"/>
        <v/>
      </c>
      <c r="K620" s="287" t="str">
        <f t="shared" si="90"/>
        <v/>
      </c>
      <c r="L620" s="287" t="str">
        <f t="shared" si="91"/>
        <v/>
      </c>
      <c r="M620" s="290" t="str">
        <f t="shared" si="92"/>
        <v/>
      </c>
      <c r="N620" t="str">
        <f>IF($A620="","",IFERROR(INDEX(Prices[Category],MATCH($A620,Prices[Key],0)),"Uncategorized"))</f>
        <v/>
      </c>
      <c r="O620" s="291" t="str">
        <f t="shared" si="93"/>
        <v/>
      </c>
      <c r="P620" s="291" t="str">
        <f t="shared" si="94"/>
        <v/>
      </c>
    </row>
    <row r="621" spans="1:16" ht="15" customHeight="1" x14ac:dyDescent="0.2">
      <c r="A621" s="243" t="str">
        <f>IFERROR(INDEX('All Ticker P&amp;L'!$A$2:$A$1001,MATCH(ROWS($A$2:A621),'All Ticker P&amp;L'!$N$2:$N$1001,0)),"")</f>
        <v/>
      </c>
      <c r="B621" s="243" t="str">
        <f t="shared" si="86"/>
        <v/>
      </c>
      <c r="C621" s="243" t="str">
        <f t="shared" si="87"/>
        <v/>
      </c>
      <c r="D621" s="243" t="str">
        <f t="shared" si="88"/>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9"/>
        <v/>
      </c>
      <c r="K621" s="287" t="str">
        <f t="shared" si="90"/>
        <v/>
      </c>
      <c r="L621" s="287" t="str">
        <f t="shared" si="91"/>
        <v/>
      </c>
      <c r="M621" s="290" t="str">
        <f t="shared" si="92"/>
        <v/>
      </c>
      <c r="N621" t="str">
        <f>IF($A621="","",IFERROR(INDEX(Prices[Category],MATCH($A621,Prices[Key],0)),"Uncategorized"))</f>
        <v/>
      </c>
      <c r="O621" s="291" t="str">
        <f t="shared" si="93"/>
        <v/>
      </c>
      <c r="P621" s="291" t="str">
        <f t="shared" si="94"/>
        <v/>
      </c>
    </row>
    <row r="622" spans="1:16" ht="15" customHeight="1" x14ac:dyDescent="0.2">
      <c r="A622" s="243" t="str">
        <f>IFERROR(INDEX('All Ticker P&amp;L'!$A$2:$A$1001,MATCH(ROWS($A$2:A622),'All Ticker P&amp;L'!$N$2:$N$1001,0)),"")</f>
        <v/>
      </c>
      <c r="B622" s="243" t="str">
        <f t="shared" si="86"/>
        <v/>
      </c>
      <c r="C622" s="243" t="str">
        <f t="shared" si="87"/>
        <v/>
      </c>
      <c r="D622" s="243" t="str">
        <f t="shared" si="88"/>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9"/>
        <v/>
      </c>
      <c r="K622" s="287" t="str">
        <f t="shared" si="90"/>
        <v/>
      </c>
      <c r="L622" s="287" t="str">
        <f t="shared" si="91"/>
        <v/>
      </c>
      <c r="M622" s="290" t="str">
        <f t="shared" si="92"/>
        <v/>
      </c>
      <c r="N622" t="str">
        <f>IF($A622="","",IFERROR(INDEX(Prices[Category],MATCH($A622,Prices[Key],0)),"Uncategorized"))</f>
        <v/>
      </c>
      <c r="O622" s="291" t="str">
        <f t="shared" si="93"/>
        <v/>
      </c>
      <c r="P622" s="291" t="str">
        <f t="shared" si="94"/>
        <v/>
      </c>
    </row>
    <row r="623" spans="1:16" ht="15" customHeight="1" x14ac:dyDescent="0.2">
      <c r="A623" s="243" t="str">
        <f>IFERROR(INDEX('All Ticker P&amp;L'!$A$2:$A$1001,MATCH(ROWS($A$2:A623),'All Ticker P&amp;L'!$N$2:$N$1001,0)),"")</f>
        <v/>
      </c>
      <c r="B623" s="243" t="str">
        <f t="shared" si="86"/>
        <v/>
      </c>
      <c r="C623" s="243" t="str">
        <f t="shared" si="87"/>
        <v/>
      </c>
      <c r="D623" s="243" t="str">
        <f t="shared" si="88"/>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9"/>
        <v/>
      </c>
      <c r="K623" s="287" t="str">
        <f t="shared" si="90"/>
        <v/>
      </c>
      <c r="L623" s="287" t="str">
        <f t="shared" si="91"/>
        <v/>
      </c>
      <c r="M623" s="290" t="str">
        <f t="shared" si="92"/>
        <v/>
      </c>
      <c r="N623" t="str">
        <f>IF($A623="","",IFERROR(INDEX(Prices[Category],MATCH($A623,Prices[Key],0)),"Uncategorized"))</f>
        <v/>
      </c>
      <c r="O623" s="291" t="str">
        <f t="shared" si="93"/>
        <v/>
      </c>
      <c r="P623" s="291" t="str">
        <f t="shared" si="94"/>
        <v/>
      </c>
    </row>
    <row r="624" spans="1:16" ht="15" customHeight="1" x14ac:dyDescent="0.2">
      <c r="A624" s="243" t="str">
        <f>IFERROR(INDEX('All Ticker P&amp;L'!$A$2:$A$1001,MATCH(ROWS($A$2:A624),'All Ticker P&amp;L'!$N$2:$N$1001,0)),"")</f>
        <v/>
      </c>
      <c r="B624" s="243" t="str">
        <f t="shared" si="86"/>
        <v/>
      </c>
      <c r="C624" s="243" t="str">
        <f t="shared" si="87"/>
        <v/>
      </c>
      <c r="D624" s="243" t="str">
        <f t="shared" si="88"/>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9"/>
        <v/>
      </c>
      <c r="K624" s="287" t="str">
        <f t="shared" si="90"/>
        <v/>
      </c>
      <c r="L624" s="287" t="str">
        <f t="shared" si="91"/>
        <v/>
      </c>
      <c r="M624" s="290" t="str">
        <f t="shared" si="92"/>
        <v/>
      </c>
      <c r="N624" t="str">
        <f>IF($A624="","",IFERROR(INDEX(Prices[Category],MATCH($A624,Prices[Key],0)),"Uncategorized"))</f>
        <v/>
      </c>
      <c r="O624" s="291" t="str">
        <f t="shared" si="93"/>
        <v/>
      </c>
      <c r="P624" s="291" t="str">
        <f t="shared" si="94"/>
        <v/>
      </c>
    </row>
    <row r="625" spans="1:16" ht="15" customHeight="1" x14ac:dyDescent="0.2">
      <c r="A625" s="243" t="str">
        <f>IFERROR(INDEX('All Ticker P&amp;L'!$A$2:$A$1001,MATCH(ROWS($A$2:A625),'All Ticker P&amp;L'!$N$2:$N$1001,0)),"")</f>
        <v/>
      </c>
      <c r="B625" s="243" t="str">
        <f t="shared" si="86"/>
        <v/>
      </c>
      <c r="C625" s="243" t="str">
        <f t="shared" si="87"/>
        <v/>
      </c>
      <c r="D625" s="243" t="str">
        <f t="shared" si="88"/>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9"/>
        <v/>
      </c>
      <c r="K625" s="287" t="str">
        <f t="shared" si="90"/>
        <v/>
      </c>
      <c r="L625" s="287" t="str">
        <f t="shared" si="91"/>
        <v/>
      </c>
      <c r="M625" s="290" t="str">
        <f t="shared" si="92"/>
        <v/>
      </c>
      <c r="N625" t="str">
        <f>IF($A625="","",IFERROR(INDEX(Prices[Category],MATCH($A625,Prices[Key],0)),"Uncategorized"))</f>
        <v/>
      </c>
      <c r="O625" s="291" t="str">
        <f t="shared" si="93"/>
        <v/>
      </c>
      <c r="P625" s="291" t="str">
        <f t="shared" si="94"/>
        <v/>
      </c>
    </row>
    <row r="626" spans="1:16" ht="15" customHeight="1" x14ac:dyDescent="0.2">
      <c r="A626" s="243" t="str">
        <f>IFERROR(INDEX('All Ticker P&amp;L'!$A$2:$A$1001,MATCH(ROWS($A$2:A626),'All Ticker P&amp;L'!$N$2:$N$1001,0)),"")</f>
        <v/>
      </c>
      <c r="B626" s="243" t="str">
        <f t="shared" si="86"/>
        <v/>
      </c>
      <c r="C626" s="243" t="str">
        <f t="shared" si="87"/>
        <v/>
      </c>
      <c r="D626" s="243" t="str">
        <f t="shared" si="88"/>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9"/>
        <v/>
      </c>
      <c r="K626" s="287" t="str">
        <f t="shared" si="90"/>
        <v/>
      </c>
      <c r="L626" s="287" t="str">
        <f t="shared" si="91"/>
        <v/>
      </c>
      <c r="M626" s="290" t="str">
        <f t="shared" si="92"/>
        <v/>
      </c>
      <c r="N626" t="str">
        <f>IF($A626="","",IFERROR(INDEX(Prices[Category],MATCH($A626,Prices[Key],0)),"Uncategorized"))</f>
        <v/>
      </c>
      <c r="O626" s="291" t="str">
        <f t="shared" si="93"/>
        <v/>
      </c>
      <c r="P626" s="291" t="str">
        <f t="shared" si="94"/>
        <v/>
      </c>
    </row>
    <row r="627" spans="1:16" ht="15" customHeight="1" x14ac:dyDescent="0.2">
      <c r="A627" s="243" t="str">
        <f>IFERROR(INDEX('All Ticker P&amp;L'!$A$2:$A$1001,MATCH(ROWS($A$2:A627),'All Ticker P&amp;L'!$N$2:$N$1001,0)),"")</f>
        <v/>
      </c>
      <c r="B627" s="243" t="str">
        <f t="shared" si="86"/>
        <v/>
      </c>
      <c r="C627" s="243" t="str">
        <f t="shared" si="87"/>
        <v/>
      </c>
      <c r="D627" s="243" t="str">
        <f t="shared" si="88"/>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9"/>
        <v/>
      </c>
      <c r="K627" s="287" t="str">
        <f t="shared" si="90"/>
        <v/>
      </c>
      <c r="L627" s="287" t="str">
        <f t="shared" si="91"/>
        <v/>
      </c>
      <c r="M627" s="290" t="str">
        <f t="shared" si="92"/>
        <v/>
      </c>
      <c r="N627" t="str">
        <f>IF($A627="","",IFERROR(INDEX(Prices[Category],MATCH($A627,Prices[Key],0)),"Uncategorized"))</f>
        <v/>
      </c>
      <c r="O627" s="291" t="str">
        <f t="shared" si="93"/>
        <v/>
      </c>
      <c r="P627" s="291" t="str">
        <f t="shared" si="94"/>
        <v/>
      </c>
    </row>
    <row r="628" spans="1:16" ht="15" customHeight="1" x14ac:dyDescent="0.2">
      <c r="A628" s="243" t="str">
        <f>IFERROR(INDEX('All Ticker P&amp;L'!$A$2:$A$1001,MATCH(ROWS($A$2:A628),'All Ticker P&amp;L'!$N$2:$N$1001,0)),"")</f>
        <v/>
      </c>
      <c r="B628" s="243" t="str">
        <f t="shared" si="86"/>
        <v/>
      </c>
      <c r="C628" s="243" t="str">
        <f t="shared" si="87"/>
        <v/>
      </c>
      <c r="D628" s="243" t="str">
        <f t="shared" si="88"/>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9"/>
        <v/>
      </c>
      <c r="K628" s="287" t="str">
        <f t="shared" si="90"/>
        <v/>
      </c>
      <c r="L628" s="287" t="str">
        <f t="shared" si="91"/>
        <v/>
      </c>
      <c r="M628" s="290" t="str">
        <f t="shared" si="92"/>
        <v/>
      </c>
      <c r="N628" t="str">
        <f>IF($A628="","",IFERROR(INDEX(Prices[Category],MATCH($A628,Prices[Key],0)),"Uncategorized"))</f>
        <v/>
      </c>
      <c r="O628" s="291" t="str">
        <f t="shared" si="93"/>
        <v/>
      </c>
      <c r="P628" s="291" t="str">
        <f t="shared" si="94"/>
        <v/>
      </c>
    </row>
    <row r="629" spans="1:16" ht="15" customHeight="1" x14ac:dyDescent="0.2">
      <c r="A629" s="243" t="str">
        <f>IFERROR(INDEX('All Ticker P&amp;L'!$A$2:$A$1001,MATCH(ROWS($A$2:A629),'All Ticker P&amp;L'!$N$2:$N$1001,0)),"")</f>
        <v/>
      </c>
      <c r="B629" s="243" t="str">
        <f t="shared" si="86"/>
        <v/>
      </c>
      <c r="C629" s="243" t="str">
        <f t="shared" si="87"/>
        <v/>
      </c>
      <c r="D629" s="243" t="str">
        <f t="shared" si="88"/>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9"/>
        <v/>
      </c>
      <c r="K629" s="287" t="str">
        <f t="shared" si="90"/>
        <v/>
      </c>
      <c r="L629" s="287" t="str">
        <f t="shared" si="91"/>
        <v/>
      </c>
      <c r="M629" s="290" t="str">
        <f t="shared" si="92"/>
        <v/>
      </c>
      <c r="N629" t="str">
        <f>IF($A629="","",IFERROR(INDEX(Prices[Category],MATCH($A629,Prices[Key],0)),"Uncategorized"))</f>
        <v/>
      </c>
      <c r="O629" s="291" t="str">
        <f t="shared" si="93"/>
        <v/>
      </c>
      <c r="P629" s="291" t="str">
        <f t="shared" si="94"/>
        <v/>
      </c>
    </row>
    <row r="630" spans="1:16" ht="15" customHeight="1" x14ac:dyDescent="0.2">
      <c r="A630" s="243" t="str">
        <f>IFERROR(INDEX('All Ticker P&amp;L'!$A$2:$A$1001,MATCH(ROWS($A$2:A630),'All Ticker P&amp;L'!$N$2:$N$1001,0)),"")</f>
        <v/>
      </c>
      <c r="B630" s="243" t="str">
        <f t="shared" si="86"/>
        <v/>
      </c>
      <c r="C630" s="243" t="str">
        <f t="shared" si="87"/>
        <v/>
      </c>
      <c r="D630" s="243" t="str">
        <f t="shared" si="88"/>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9"/>
        <v/>
      </c>
      <c r="K630" s="287" t="str">
        <f t="shared" si="90"/>
        <v/>
      </c>
      <c r="L630" s="287" t="str">
        <f t="shared" si="91"/>
        <v/>
      </c>
      <c r="M630" s="290" t="str">
        <f t="shared" si="92"/>
        <v/>
      </c>
      <c r="N630" t="str">
        <f>IF($A630="","",IFERROR(INDEX(Prices[Category],MATCH($A630,Prices[Key],0)),"Uncategorized"))</f>
        <v/>
      </c>
      <c r="O630" s="291" t="str">
        <f t="shared" si="93"/>
        <v/>
      </c>
      <c r="P630" s="291" t="str">
        <f t="shared" si="94"/>
        <v/>
      </c>
    </row>
    <row r="631" spans="1:16" ht="15" customHeight="1" x14ac:dyDescent="0.2">
      <c r="A631" s="243" t="str">
        <f>IFERROR(INDEX('All Ticker P&amp;L'!$A$2:$A$1001,MATCH(ROWS($A$2:A631),'All Ticker P&amp;L'!$N$2:$N$1001,0)),"")</f>
        <v/>
      </c>
      <c r="B631" s="243" t="str">
        <f t="shared" si="86"/>
        <v/>
      </c>
      <c r="C631" s="243" t="str">
        <f t="shared" si="87"/>
        <v/>
      </c>
      <c r="D631" s="243" t="str">
        <f t="shared" si="88"/>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9"/>
        <v/>
      </c>
      <c r="K631" s="287" t="str">
        <f t="shared" si="90"/>
        <v/>
      </c>
      <c r="L631" s="287" t="str">
        <f t="shared" si="91"/>
        <v/>
      </c>
      <c r="M631" s="290" t="str">
        <f t="shared" si="92"/>
        <v/>
      </c>
      <c r="N631" t="str">
        <f>IF($A631="","",IFERROR(INDEX(Prices[Category],MATCH($A631,Prices[Key],0)),"Uncategorized"))</f>
        <v/>
      </c>
      <c r="O631" s="291" t="str">
        <f t="shared" si="93"/>
        <v/>
      </c>
      <c r="P631" s="291" t="str">
        <f t="shared" si="94"/>
        <v/>
      </c>
    </row>
    <row r="632" spans="1:16" ht="15" customHeight="1" x14ac:dyDescent="0.2">
      <c r="A632" s="243" t="str">
        <f>IFERROR(INDEX('All Ticker P&amp;L'!$A$2:$A$1001,MATCH(ROWS($A$2:A632),'All Ticker P&amp;L'!$N$2:$N$1001,0)),"")</f>
        <v/>
      </c>
      <c r="B632" s="243" t="str">
        <f t="shared" si="86"/>
        <v/>
      </c>
      <c r="C632" s="243" t="str">
        <f t="shared" si="87"/>
        <v/>
      </c>
      <c r="D632" s="243" t="str">
        <f t="shared" si="88"/>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9"/>
        <v/>
      </c>
      <c r="K632" s="287" t="str">
        <f t="shared" si="90"/>
        <v/>
      </c>
      <c r="L632" s="287" t="str">
        <f t="shared" si="91"/>
        <v/>
      </c>
      <c r="M632" s="290" t="str">
        <f t="shared" si="92"/>
        <v/>
      </c>
      <c r="N632" t="str">
        <f>IF($A632="","",IFERROR(INDEX(Prices[Category],MATCH($A632,Prices[Key],0)),"Uncategorized"))</f>
        <v/>
      </c>
      <c r="O632" s="291" t="str">
        <f t="shared" si="93"/>
        <v/>
      </c>
      <c r="P632" s="291" t="str">
        <f t="shared" si="94"/>
        <v/>
      </c>
    </row>
    <row r="633" spans="1:16" ht="15" customHeight="1" x14ac:dyDescent="0.2">
      <c r="A633" s="243" t="str">
        <f>IFERROR(INDEX('All Ticker P&amp;L'!$A$2:$A$1001,MATCH(ROWS($A$2:A633),'All Ticker P&amp;L'!$N$2:$N$1001,0)),"")</f>
        <v/>
      </c>
      <c r="B633" s="243" t="str">
        <f t="shared" si="86"/>
        <v/>
      </c>
      <c r="C633" s="243" t="str">
        <f t="shared" si="87"/>
        <v/>
      </c>
      <c r="D633" s="243" t="str">
        <f t="shared" si="88"/>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9"/>
        <v/>
      </c>
      <c r="K633" s="287" t="str">
        <f t="shared" si="90"/>
        <v/>
      </c>
      <c r="L633" s="287" t="str">
        <f t="shared" si="91"/>
        <v/>
      </c>
      <c r="M633" s="290" t="str">
        <f t="shared" si="92"/>
        <v/>
      </c>
      <c r="N633" t="str">
        <f>IF($A633="","",IFERROR(INDEX(Prices[Category],MATCH($A633,Prices[Key],0)),"Uncategorized"))</f>
        <v/>
      </c>
      <c r="O633" s="291" t="str">
        <f t="shared" si="93"/>
        <v/>
      </c>
      <c r="P633" s="291" t="str">
        <f t="shared" si="94"/>
        <v/>
      </c>
    </row>
    <row r="634" spans="1:16" ht="15" customHeight="1" x14ac:dyDescent="0.2">
      <c r="A634" s="243" t="str">
        <f>IFERROR(INDEX('All Ticker P&amp;L'!$A$2:$A$1001,MATCH(ROWS($A$2:A634),'All Ticker P&amp;L'!$N$2:$N$1001,0)),"")</f>
        <v/>
      </c>
      <c r="B634" s="243" t="str">
        <f t="shared" si="86"/>
        <v/>
      </c>
      <c r="C634" s="243" t="str">
        <f t="shared" si="87"/>
        <v/>
      </c>
      <c r="D634" s="243" t="str">
        <f t="shared" si="88"/>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9"/>
        <v/>
      </c>
      <c r="K634" s="287" t="str">
        <f t="shared" si="90"/>
        <v/>
      </c>
      <c r="L634" s="287" t="str">
        <f t="shared" si="91"/>
        <v/>
      </c>
      <c r="M634" s="290" t="str">
        <f t="shared" si="92"/>
        <v/>
      </c>
      <c r="N634" t="str">
        <f>IF($A634="","",IFERROR(INDEX(Prices[Category],MATCH($A634,Prices[Key],0)),"Uncategorized"))</f>
        <v/>
      </c>
      <c r="O634" s="291" t="str">
        <f t="shared" si="93"/>
        <v/>
      </c>
      <c r="P634" s="291" t="str">
        <f t="shared" si="94"/>
        <v/>
      </c>
    </row>
    <row r="635" spans="1:16" ht="15" customHeight="1" x14ac:dyDescent="0.2">
      <c r="A635" s="243" t="str">
        <f>IFERROR(INDEX('All Ticker P&amp;L'!$A$2:$A$1001,MATCH(ROWS($A$2:A635),'All Ticker P&amp;L'!$N$2:$N$1001,0)),"")</f>
        <v/>
      </c>
      <c r="B635" s="243" t="str">
        <f t="shared" si="86"/>
        <v/>
      </c>
      <c r="C635" s="243" t="str">
        <f t="shared" si="87"/>
        <v/>
      </c>
      <c r="D635" s="243" t="str">
        <f t="shared" si="88"/>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9"/>
        <v/>
      </c>
      <c r="K635" s="287" t="str">
        <f t="shared" si="90"/>
        <v/>
      </c>
      <c r="L635" s="287" t="str">
        <f t="shared" si="91"/>
        <v/>
      </c>
      <c r="M635" s="290" t="str">
        <f t="shared" si="92"/>
        <v/>
      </c>
      <c r="N635" t="str">
        <f>IF($A635="","",IFERROR(INDEX(Prices[Category],MATCH($A635,Prices[Key],0)),"Uncategorized"))</f>
        <v/>
      </c>
      <c r="O635" s="291" t="str">
        <f t="shared" si="93"/>
        <v/>
      </c>
      <c r="P635" s="291" t="str">
        <f t="shared" si="94"/>
        <v/>
      </c>
    </row>
    <row r="636" spans="1:16" ht="15" customHeight="1" x14ac:dyDescent="0.2">
      <c r="A636" s="243" t="str">
        <f>IFERROR(INDEX('All Ticker P&amp;L'!$A$2:$A$1001,MATCH(ROWS($A$2:A636),'All Ticker P&amp;L'!$N$2:$N$1001,0)),"")</f>
        <v/>
      </c>
      <c r="B636" s="243" t="str">
        <f t="shared" si="86"/>
        <v/>
      </c>
      <c r="C636" s="243" t="str">
        <f t="shared" si="87"/>
        <v/>
      </c>
      <c r="D636" s="243" t="str">
        <f t="shared" si="88"/>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9"/>
        <v/>
      </c>
      <c r="K636" s="287" t="str">
        <f t="shared" si="90"/>
        <v/>
      </c>
      <c r="L636" s="287" t="str">
        <f t="shared" si="91"/>
        <v/>
      </c>
      <c r="M636" s="290" t="str">
        <f t="shared" si="92"/>
        <v/>
      </c>
      <c r="N636" t="str">
        <f>IF($A636="","",IFERROR(INDEX(Prices[Category],MATCH($A636,Prices[Key],0)),"Uncategorized"))</f>
        <v/>
      </c>
      <c r="O636" s="291" t="str">
        <f t="shared" si="93"/>
        <v/>
      </c>
      <c r="P636" s="291" t="str">
        <f t="shared" si="94"/>
        <v/>
      </c>
    </row>
    <row r="637" spans="1:16" ht="15" customHeight="1" x14ac:dyDescent="0.2">
      <c r="A637" s="243" t="str">
        <f>IFERROR(INDEX('All Ticker P&amp;L'!$A$2:$A$1001,MATCH(ROWS($A$2:A637),'All Ticker P&amp;L'!$N$2:$N$1001,0)),"")</f>
        <v/>
      </c>
      <c r="B637" s="243" t="str">
        <f t="shared" si="86"/>
        <v/>
      </c>
      <c r="C637" s="243" t="str">
        <f t="shared" si="87"/>
        <v/>
      </c>
      <c r="D637" s="243" t="str">
        <f t="shared" si="88"/>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9"/>
        <v/>
      </c>
      <c r="K637" s="287" t="str">
        <f t="shared" si="90"/>
        <v/>
      </c>
      <c r="L637" s="287" t="str">
        <f t="shared" si="91"/>
        <v/>
      </c>
      <c r="M637" s="290" t="str">
        <f t="shared" si="92"/>
        <v/>
      </c>
      <c r="N637" t="str">
        <f>IF($A637="","",IFERROR(INDEX(Prices[Category],MATCH($A637,Prices[Key],0)),"Uncategorized"))</f>
        <v/>
      </c>
      <c r="O637" s="291" t="str">
        <f t="shared" si="93"/>
        <v/>
      </c>
      <c r="P637" s="291" t="str">
        <f t="shared" si="94"/>
        <v/>
      </c>
    </row>
    <row r="638" spans="1:16" ht="15" customHeight="1" x14ac:dyDescent="0.2">
      <c r="A638" s="243" t="str">
        <f>IFERROR(INDEX('All Ticker P&amp;L'!$A$2:$A$1001,MATCH(ROWS($A$2:A638),'All Ticker P&amp;L'!$N$2:$N$1001,0)),"")</f>
        <v/>
      </c>
      <c r="B638" s="243" t="str">
        <f t="shared" si="86"/>
        <v/>
      </c>
      <c r="C638" s="243" t="str">
        <f t="shared" si="87"/>
        <v/>
      </c>
      <c r="D638" s="243" t="str">
        <f t="shared" si="88"/>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9"/>
        <v/>
      </c>
      <c r="K638" s="287" t="str">
        <f t="shared" si="90"/>
        <v/>
      </c>
      <c r="L638" s="287" t="str">
        <f t="shared" si="91"/>
        <v/>
      </c>
      <c r="M638" s="290" t="str">
        <f t="shared" si="92"/>
        <v/>
      </c>
      <c r="N638" t="str">
        <f>IF($A638="","",IFERROR(INDEX(Prices[Category],MATCH($A638,Prices[Key],0)),"Uncategorized"))</f>
        <v/>
      </c>
      <c r="O638" s="291" t="str">
        <f t="shared" si="93"/>
        <v/>
      </c>
      <c r="P638" s="291" t="str">
        <f t="shared" si="94"/>
        <v/>
      </c>
    </row>
    <row r="639" spans="1:16" ht="15" customHeight="1" x14ac:dyDescent="0.2">
      <c r="A639" s="243" t="str">
        <f>IFERROR(INDEX('All Ticker P&amp;L'!$A$2:$A$1001,MATCH(ROWS($A$2:A639),'All Ticker P&amp;L'!$N$2:$N$1001,0)),"")</f>
        <v/>
      </c>
      <c r="B639" s="243" t="str">
        <f t="shared" si="86"/>
        <v/>
      </c>
      <c r="C639" s="243" t="str">
        <f t="shared" si="87"/>
        <v/>
      </c>
      <c r="D639" s="243" t="str">
        <f t="shared" si="88"/>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9"/>
        <v/>
      </c>
      <c r="K639" s="287" t="str">
        <f t="shared" si="90"/>
        <v/>
      </c>
      <c r="L639" s="287" t="str">
        <f t="shared" si="91"/>
        <v/>
      </c>
      <c r="M639" s="290" t="str">
        <f t="shared" si="92"/>
        <v/>
      </c>
      <c r="N639" t="str">
        <f>IF($A639="","",IFERROR(INDEX(Prices[Category],MATCH($A639,Prices[Key],0)),"Uncategorized"))</f>
        <v/>
      </c>
      <c r="O639" s="291" t="str">
        <f t="shared" si="93"/>
        <v/>
      </c>
      <c r="P639" s="291" t="str">
        <f t="shared" si="94"/>
        <v/>
      </c>
    </row>
    <row r="640" spans="1:16" ht="15" customHeight="1" x14ac:dyDescent="0.2">
      <c r="A640" s="243" t="str">
        <f>IFERROR(INDEX('All Ticker P&amp;L'!$A$2:$A$1001,MATCH(ROWS($A$2:A640),'All Ticker P&amp;L'!$N$2:$N$1001,0)),"")</f>
        <v/>
      </c>
      <c r="B640" s="243" t="str">
        <f t="shared" si="86"/>
        <v/>
      </c>
      <c r="C640" s="243" t="str">
        <f t="shared" si="87"/>
        <v/>
      </c>
      <c r="D640" s="243" t="str">
        <f t="shared" si="88"/>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9"/>
        <v/>
      </c>
      <c r="K640" s="287" t="str">
        <f t="shared" si="90"/>
        <v/>
      </c>
      <c r="L640" s="287" t="str">
        <f t="shared" si="91"/>
        <v/>
      </c>
      <c r="M640" s="290" t="str">
        <f t="shared" si="92"/>
        <v/>
      </c>
      <c r="N640" t="str">
        <f>IF($A640="","",IFERROR(INDEX(Prices[Category],MATCH($A640,Prices[Key],0)),"Uncategorized"))</f>
        <v/>
      </c>
      <c r="O640" s="291" t="str">
        <f t="shared" si="93"/>
        <v/>
      </c>
      <c r="P640" s="291" t="str">
        <f t="shared" si="94"/>
        <v/>
      </c>
    </row>
    <row r="641" spans="1:16" ht="15" customHeight="1" x14ac:dyDescent="0.2">
      <c r="A641" s="243" t="str">
        <f>IFERROR(INDEX('All Ticker P&amp;L'!$A$2:$A$1001,MATCH(ROWS($A$2:A641),'All Ticker P&amp;L'!$N$2:$N$1001,0)),"")</f>
        <v/>
      </c>
      <c r="B641" s="243" t="str">
        <f t="shared" si="86"/>
        <v/>
      </c>
      <c r="C641" s="243" t="str">
        <f t="shared" si="87"/>
        <v/>
      </c>
      <c r="D641" s="243" t="str">
        <f t="shared" si="88"/>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9"/>
        <v/>
      </c>
      <c r="K641" s="287" t="str">
        <f t="shared" si="90"/>
        <v/>
      </c>
      <c r="L641" s="287" t="str">
        <f t="shared" si="91"/>
        <v/>
      </c>
      <c r="M641" s="290" t="str">
        <f t="shared" si="92"/>
        <v/>
      </c>
      <c r="N641" t="str">
        <f>IF($A641="","",IFERROR(INDEX(Prices[Category],MATCH($A641,Prices[Key],0)),"Uncategorized"))</f>
        <v/>
      </c>
      <c r="O641" s="291" t="str">
        <f t="shared" si="93"/>
        <v/>
      </c>
      <c r="P641" s="291" t="str">
        <f t="shared" si="94"/>
        <v/>
      </c>
    </row>
    <row r="642" spans="1:16" ht="15" customHeight="1" x14ac:dyDescent="0.2">
      <c r="A642" s="243" t="str">
        <f>IFERROR(INDEX('All Ticker P&amp;L'!$A$2:$A$1001,MATCH(ROWS($A$2:A642),'All Ticker P&amp;L'!$N$2:$N$1001,0)),"")</f>
        <v/>
      </c>
      <c r="B642" s="243" t="str">
        <f t="shared" ref="B642:B705" si="95">IF($A642="","",LEFT($A642,FIND(":",$A642)-1))</f>
        <v/>
      </c>
      <c r="C642" s="243" t="str">
        <f t="shared" ref="C642:C705" si="96">IF($A642="","",MID($A642,FIND(":",$A642)+1,FIND(":",$A642,FIND(":",$A642)+1)-FIND(":",$A642)-1))</f>
        <v/>
      </c>
      <c r="D642" s="243" t="str">
        <f t="shared" ref="D642:D705" si="97">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8">IF($A642="","",E642*H642)</f>
        <v/>
      </c>
      <c r="K642" s="287" t="str">
        <f t="shared" ref="K642:K705" si="99">IF($A642="","",J642+G642-F642)</f>
        <v/>
      </c>
      <c r="L642" s="287" t="str">
        <f t="shared" ref="L642:L705" si="100">IF($A642="","",K642*I642)</f>
        <v/>
      </c>
      <c r="M642" s="290" t="str">
        <f t="shared" ref="M642:M705" si="101">IF($A642="","",IFERROR(K642/F642,0))</f>
        <v/>
      </c>
      <c r="N642" t="str">
        <f>IF($A642="","",IFERROR(INDEX(Prices[Category],MATCH($A642,Prices[Key],0)),"Uncategorized"))</f>
        <v/>
      </c>
      <c r="O642" s="291" t="str">
        <f t="shared" ref="O642:O705" si="102">IF($A642="","",$J642*$I642)</f>
        <v/>
      </c>
      <c r="P642" s="291" t="str">
        <f t="shared" ref="P642:P705" si="103">IF($A642="","",$L642)</f>
        <v/>
      </c>
    </row>
    <row r="643" spans="1:16" ht="15" customHeight="1" x14ac:dyDescent="0.2">
      <c r="A643" s="243" t="str">
        <f>IFERROR(INDEX('All Ticker P&amp;L'!$A$2:$A$1001,MATCH(ROWS($A$2:A643),'All Ticker P&amp;L'!$N$2:$N$1001,0)),"")</f>
        <v/>
      </c>
      <c r="B643" s="243" t="str">
        <f t="shared" si="95"/>
        <v/>
      </c>
      <c r="C643" s="243" t="str">
        <f t="shared" si="96"/>
        <v/>
      </c>
      <c r="D643" s="243" t="str">
        <f t="shared" si="97"/>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8"/>
        <v/>
      </c>
      <c r="K643" s="287" t="str">
        <f t="shared" si="99"/>
        <v/>
      </c>
      <c r="L643" s="287" t="str">
        <f t="shared" si="100"/>
        <v/>
      </c>
      <c r="M643" s="290" t="str">
        <f t="shared" si="101"/>
        <v/>
      </c>
      <c r="N643" t="str">
        <f>IF($A643="","",IFERROR(INDEX(Prices[Category],MATCH($A643,Prices[Key],0)),"Uncategorized"))</f>
        <v/>
      </c>
      <c r="O643" s="291" t="str">
        <f t="shared" si="102"/>
        <v/>
      </c>
      <c r="P643" s="291" t="str">
        <f t="shared" si="103"/>
        <v/>
      </c>
    </row>
    <row r="644" spans="1:16" ht="15" customHeight="1" x14ac:dyDescent="0.2">
      <c r="A644" s="243" t="str">
        <f>IFERROR(INDEX('All Ticker P&amp;L'!$A$2:$A$1001,MATCH(ROWS($A$2:A644),'All Ticker P&amp;L'!$N$2:$N$1001,0)),"")</f>
        <v/>
      </c>
      <c r="B644" s="243" t="str">
        <f t="shared" si="95"/>
        <v/>
      </c>
      <c r="C644" s="243" t="str">
        <f t="shared" si="96"/>
        <v/>
      </c>
      <c r="D644" s="243" t="str">
        <f t="shared" si="97"/>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8"/>
        <v/>
      </c>
      <c r="K644" s="287" t="str">
        <f t="shared" si="99"/>
        <v/>
      </c>
      <c r="L644" s="287" t="str">
        <f t="shared" si="100"/>
        <v/>
      </c>
      <c r="M644" s="290" t="str">
        <f t="shared" si="101"/>
        <v/>
      </c>
      <c r="N644" t="str">
        <f>IF($A644="","",IFERROR(INDEX(Prices[Category],MATCH($A644,Prices[Key],0)),"Uncategorized"))</f>
        <v/>
      </c>
      <c r="O644" s="291" t="str">
        <f t="shared" si="102"/>
        <v/>
      </c>
      <c r="P644" s="291" t="str">
        <f t="shared" si="103"/>
        <v/>
      </c>
    </row>
    <row r="645" spans="1:16" ht="15" customHeight="1" x14ac:dyDescent="0.2">
      <c r="A645" s="243" t="str">
        <f>IFERROR(INDEX('All Ticker P&amp;L'!$A$2:$A$1001,MATCH(ROWS($A$2:A645),'All Ticker P&amp;L'!$N$2:$N$1001,0)),"")</f>
        <v/>
      </c>
      <c r="B645" s="243" t="str">
        <f t="shared" si="95"/>
        <v/>
      </c>
      <c r="C645" s="243" t="str">
        <f t="shared" si="96"/>
        <v/>
      </c>
      <c r="D645" s="243" t="str">
        <f t="shared" si="97"/>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8"/>
        <v/>
      </c>
      <c r="K645" s="287" t="str">
        <f t="shared" si="99"/>
        <v/>
      </c>
      <c r="L645" s="287" t="str">
        <f t="shared" si="100"/>
        <v/>
      </c>
      <c r="M645" s="290" t="str">
        <f t="shared" si="101"/>
        <v/>
      </c>
      <c r="N645" t="str">
        <f>IF($A645="","",IFERROR(INDEX(Prices[Category],MATCH($A645,Prices[Key],0)),"Uncategorized"))</f>
        <v/>
      </c>
      <c r="O645" s="291" t="str">
        <f t="shared" si="102"/>
        <v/>
      </c>
      <c r="P645" s="291" t="str">
        <f t="shared" si="103"/>
        <v/>
      </c>
    </row>
    <row r="646" spans="1:16" ht="15" customHeight="1" x14ac:dyDescent="0.2">
      <c r="A646" s="243" t="str">
        <f>IFERROR(INDEX('All Ticker P&amp;L'!$A$2:$A$1001,MATCH(ROWS($A$2:A646),'All Ticker P&amp;L'!$N$2:$N$1001,0)),"")</f>
        <v/>
      </c>
      <c r="B646" s="243" t="str">
        <f t="shared" si="95"/>
        <v/>
      </c>
      <c r="C646" s="243" t="str">
        <f t="shared" si="96"/>
        <v/>
      </c>
      <c r="D646" s="243" t="str">
        <f t="shared" si="97"/>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8"/>
        <v/>
      </c>
      <c r="K646" s="287" t="str">
        <f t="shared" si="99"/>
        <v/>
      </c>
      <c r="L646" s="287" t="str">
        <f t="shared" si="100"/>
        <v/>
      </c>
      <c r="M646" s="290" t="str">
        <f t="shared" si="101"/>
        <v/>
      </c>
      <c r="N646" t="str">
        <f>IF($A646="","",IFERROR(INDEX(Prices[Category],MATCH($A646,Prices[Key],0)),"Uncategorized"))</f>
        <v/>
      </c>
      <c r="O646" s="291" t="str">
        <f t="shared" si="102"/>
        <v/>
      </c>
      <c r="P646" s="291" t="str">
        <f t="shared" si="103"/>
        <v/>
      </c>
    </row>
    <row r="647" spans="1:16" ht="15" customHeight="1" x14ac:dyDescent="0.2">
      <c r="A647" s="243" t="str">
        <f>IFERROR(INDEX('All Ticker P&amp;L'!$A$2:$A$1001,MATCH(ROWS($A$2:A647),'All Ticker P&amp;L'!$N$2:$N$1001,0)),"")</f>
        <v/>
      </c>
      <c r="B647" s="243" t="str">
        <f t="shared" si="95"/>
        <v/>
      </c>
      <c r="C647" s="243" t="str">
        <f t="shared" si="96"/>
        <v/>
      </c>
      <c r="D647" s="243" t="str">
        <f t="shared" si="97"/>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8"/>
        <v/>
      </c>
      <c r="K647" s="287" t="str">
        <f t="shared" si="99"/>
        <v/>
      </c>
      <c r="L647" s="287" t="str">
        <f t="shared" si="100"/>
        <v/>
      </c>
      <c r="M647" s="290" t="str">
        <f t="shared" si="101"/>
        <v/>
      </c>
      <c r="N647" t="str">
        <f>IF($A647="","",IFERROR(INDEX(Prices[Category],MATCH($A647,Prices[Key],0)),"Uncategorized"))</f>
        <v/>
      </c>
      <c r="O647" s="291" t="str">
        <f t="shared" si="102"/>
        <v/>
      </c>
      <c r="P647" s="291" t="str">
        <f t="shared" si="103"/>
        <v/>
      </c>
    </row>
    <row r="648" spans="1:16" ht="15" customHeight="1" x14ac:dyDescent="0.2">
      <c r="A648" s="243" t="str">
        <f>IFERROR(INDEX('All Ticker P&amp;L'!$A$2:$A$1001,MATCH(ROWS($A$2:A648),'All Ticker P&amp;L'!$N$2:$N$1001,0)),"")</f>
        <v/>
      </c>
      <c r="B648" s="243" t="str">
        <f t="shared" si="95"/>
        <v/>
      </c>
      <c r="C648" s="243" t="str">
        <f t="shared" si="96"/>
        <v/>
      </c>
      <c r="D648" s="243" t="str">
        <f t="shared" si="97"/>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8"/>
        <v/>
      </c>
      <c r="K648" s="287" t="str">
        <f t="shared" si="99"/>
        <v/>
      </c>
      <c r="L648" s="287" t="str">
        <f t="shared" si="100"/>
        <v/>
      </c>
      <c r="M648" s="290" t="str">
        <f t="shared" si="101"/>
        <v/>
      </c>
      <c r="N648" t="str">
        <f>IF($A648="","",IFERROR(INDEX(Prices[Category],MATCH($A648,Prices[Key],0)),"Uncategorized"))</f>
        <v/>
      </c>
      <c r="O648" s="291" t="str">
        <f t="shared" si="102"/>
        <v/>
      </c>
      <c r="P648" s="291" t="str">
        <f t="shared" si="103"/>
        <v/>
      </c>
    </row>
    <row r="649" spans="1:16" ht="15" customHeight="1" x14ac:dyDescent="0.2">
      <c r="A649" s="243" t="str">
        <f>IFERROR(INDEX('All Ticker P&amp;L'!$A$2:$A$1001,MATCH(ROWS($A$2:A649),'All Ticker P&amp;L'!$N$2:$N$1001,0)),"")</f>
        <v/>
      </c>
      <c r="B649" s="243" t="str">
        <f t="shared" si="95"/>
        <v/>
      </c>
      <c r="C649" s="243" t="str">
        <f t="shared" si="96"/>
        <v/>
      </c>
      <c r="D649" s="243" t="str">
        <f t="shared" si="97"/>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8"/>
        <v/>
      </c>
      <c r="K649" s="287" t="str">
        <f t="shared" si="99"/>
        <v/>
      </c>
      <c r="L649" s="287" t="str">
        <f t="shared" si="100"/>
        <v/>
      </c>
      <c r="M649" s="290" t="str">
        <f t="shared" si="101"/>
        <v/>
      </c>
      <c r="N649" t="str">
        <f>IF($A649="","",IFERROR(INDEX(Prices[Category],MATCH($A649,Prices[Key],0)),"Uncategorized"))</f>
        <v/>
      </c>
      <c r="O649" s="291" t="str">
        <f t="shared" si="102"/>
        <v/>
      </c>
      <c r="P649" s="291" t="str">
        <f t="shared" si="103"/>
        <v/>
      </c>
    </row>
    <row r="650" spans="1:16" ht="15" customHeight="1" x14ac:dyDescent="0.2">
      <c r="A650" s="243" t="str">
        <f>IFERROR(INDEX('All Ticker P&amp;L'!$A$2:$A$1001,MATCH(ROWS($A$2:A650),'All Ticker P&amp;L'!$N$2:$N$1001,0)),"")</f>
        <v/>
      </c>
      <c r="B650" s="243" t="str">
        <f t="shared" si="95"/>
        <v/>
      </c>
      <c r="C650" s="243" t="str">
        <f t="shared" si="96"/>
        <v/>
      </c>
      <c r="D650" s="243" t="str">
        <f t="shared" si="97"/>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8"/>
        <v/>
      </c>
      <c r="K650" s="287" t="str">
        <f t="shared" si="99"/>
        <v/>
      </c>
      <c r="L650" s="287" t="str">
        <f t="shared" si="100"/>
        <v/>
      </c>
      <c r="M650" s="290" t="str">
        <f t="shared" si="101"/>
        <v/>
      </c>
      <c r="N650" t="str">
        <f>IF($A650="","",IFERROR(INDEX(Prices[Category],MATCH($A650,Prices[Key],0)),"Uncategorized"))</f>
        <v/>
      </c>
      <c r="O650" s="291" t="str">
        <f t="shared" si="102"/>
        <v/>
      </c>
      <c r="P650" s="291" t="str">
        <f t="shared" si="103"/>
        <v/>
      </c>
    </row>
    <row r="651" spans="1:16" ht="15" customHeight="1" x14ac:dyDescent="0.2">
      <c r="A651" s="243" t="str">
        <f>IFERROR(INDEX('All Ticker P&amp;L'!$A$2:$A$1001,MATCH(ROWS($A$2:A651),'All Ticker P&amp;L'!$N$2:$N$1001,0)),"")</f>
        <v/>
      </c>
      <c r="B651" s="243" t="str">
        <f t="shared" si="95"/>
        <v/>
      </c>
      <c r="C651" s="243" t="str">
        <f t="shared" si="96"/>
        <v/>
      </c>
      <c r="D651" s="243" t="str">
        <f t="shared" si="97"/>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8"/>
        <v/>
      </c>
      <c r="K651" s="287" t="str">
        <f t="shared" si="99"/>
        <v/>
      </c>
      <c r="L651" s="287" t="str">
        <f t="shared" si="100"/>
        <v/>
      </c>
      <c r="M651" s="290" t="str">
        <f t="shared" si="101"/>
        <v/>
      </c>
      <c r="N651" t="str">
        <f>IF($A651="","",IFERROR(INDEX(Prices[Category],MATCH($A651,Prices[Key],0)),"Uncategorized"))</f>
        <v/>
      </c>
      <c r="O651" s="291" t="str">
        <f t="shared" si="102"/>
        <v/>
      </c>
      <c r="P651" s="291" t="str">
        <f t="shared" si="103"/>
        <v/>
      </c>
    </row>
    <row r="652" spans="1:16" ht="15" customHeight="1" x14ac:dyDescent="0.2">
      <c r="A652" s="243" t="str">
        <f>IFERROR(INDEX('All Ticker P&amp;L'!$A$2:$A$1001,MATCH(ROWS($A$2:A652),'All Ticker P&amp;L'!$N$2:$N$1001,0)),"")</f>
        <v/>
      </c>
      <c r="B652" s="243" t="str">
        <f t="shared" si="95"/>
        <v/>
      </c>
      <c r="C652" s="243" t="str">
        <f t="shared" si="96"/>
        <v/>
      </c>
      <c r="D652" s="243" t="str">
        <f t="shared" si="97"/>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8"/>
        <v/>
      </c>
      <c r="K652" s="287" t="str">
        <f t="shared" si="99"/>
        <v/>
      </c>
      <c r="L652" s="287" t="str">
        <f t="shared" si="100"/>
        <v/>
      </c>
      <c r="M652" s="290" t="str">
        <f t="shared" si="101"/>
        <v/>
      </c>
      <c r="N652" t="str">
        <f>IF($A652="","",IFERROR(INDEX(Prices[Category],MATCH($A652,Prices[Key],0)),"Uncategorized"))</f>
        <v/>
      </c>
      <c r="O652" s="291" t="str">
        <f t="shared" si="102"/>
        <v/>
      </c>
      <c r="P652" s="291" t="str">
        <f t="shared" si="103"/>
        <v/>
      </c>
    </row>
    <row r="653" spans="1:16" ht="15" customHeight="1" x14ac:dyDescent="0.2">
      <c r="A653" s="243" t="str">
        <f>IFERROR(INDEX('All Ticker P&amp;L'!$A$2:$A$1001,MATCH(ROWS($A$2:A653),'All Ticker P&amp;L'!$N$2:$N$1001,0)),"")</f>
        <v/>
      </c>
      <c r="B653" s="243" t="str">
        <f t="shared" si="95"/>
        <v/>
      </c>
      <c r="C653" s="243" t="str">
        <f t="shared" si="96"/>
        <v/>
      </c>
      <c r="D653" s="243" t="str">
        <f t="shared" si="97"/>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8"/>
        <v/>
      </c>
      <c r="K653" s="287" t="str">
        <f t="shared" si="99"/>
        <v/>
      </c>
      <c r="L653" s="287" t="str">
        <f t="shared" si="100"/>
        <v/>
      </c>
      <c r="M653" s="290" t="str">
        <f t="shared" si="101"/>
        <v/>
      </c>
      <c r="N653" t="str">
        <f>IF($A653="","",IFERROR(INDEX(Prices[Category],MATCH($A653,Prices[Key],0)),"Uncategorized"))</f>
        <v/>
      </c>
      <c r="O653" s="291" t="str">
        <f t="shared" si="102"/>
        <v/>
      </c>
      <c r="P653" s="291" t="str">
        <f t="shared" si="103"/>
        <v/>
      </c>
    </row>
    <row r="654" spans="1:16" ht="15" customHeight="1" x14ac:dyDescent="0.2">
      <c r="A654" s="243" t="str">
        <f>IFERROR(INDEX('All Ticker P&amp;L'!$A$2:$A$1001,MATCH(ROWS($A$2:A654),'All Ticker P&amp;L'!$N$2:$N$1001,0)),"")</f>
        <v/>
      </c>
      <c r="B654" s="243" t="str">
        <f t="shared" si="95"/>
        <v/>
      </c>
      <c r="C654" s="243" t="str">
        <f t="shared" si="96"/>
        <v/>
      </c>
      <c r="D654" s="243" t="str">
        <f t="shared" si="97"/>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8"/>
        <v/>
      </c>
      <c r="K654" s="287" t="str">
        <f t="shared" si="99"/>
        <v/>
      </c>
      <c r="L654" s="287" t="str">
        <f t="shared" si="100"/>
        <v/>
      </c>
      <c r="M654" s="290" t="str">
        <f t="shared" si="101"/>
        <v/>
      </c>
      <c r="N654" t="str">
        <f>IF($A654="","",IFERROR(INDEX(Prices[Category],MATCH($A654,Prices[Key],0)),"Uncategorized"))</f>
        <v/>
      </c>
      <c r="O654" s="291" t="str">
        <f t="shared" si="102"/>
        <v/>
      </c>
      <c r="P654" s="291" t="str">
        <f t="shared" si="103"/>
        <v/>
      </c>
    </row>
    <row r="655" spans="1:16" ht="15" customHeight="1" x14ac:dyDescent="0.2">
      <c r="A655" s="243" t="str">
        <f>IFERROR(INDEX('All Ticker P&amp;L'!$A$2:$A$1001,MATCH(ROWS($A$2:A655),'All Ticker P&amp;L'!$N$2:$N$1001,0)),"")</f>
        <v/>
      </c>
      <c r="B655" s="243" t="str">
        <f t="shared" si="95"/>
        <v/>
      </c>
      <c r="C655" s="243" t="str">
        <f t="shared" si="96"/>
        <v/>
      </c>
      <c r="D655" s="243" t="str">
        <f t="shared" si="97"/>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8"/>
        <v/>
      </c>
      <c r="K655" s="287" t="str">
        <f t="shared" si="99"/>
        <v/>
      </c>
      <c r="L655" s="287" t="str">
        <f t="shared" si="100"/>
        <v/>
      </c>
      <c r="M655" s="290" t="str">
        <f t="shared" si="101"/>
        <v/>
      </c>
      <c r="N655" t="str">
        <f>IF($A655="","",IFERROR(INDEX(Prices[Category],MATCH($A655,Prices[Key],0)),"Uncategorized"))</f>
        <v/>
      </c>
      <c r="O655" s="291" t="str">
        <f t="shared" si="102"/>
        <v/>
      </c>
      <c r="P655" s="291" t="str">
        <f t="shared" si="103"/>
        <v/>
      </c>
    </row>
    <row r="656" spans="1:16" ht="15" customHeight="1" x14ac:dyDescent="0.2">
      <c r="A656" s="243" t="str">
        <f>IFERROR(INDEX('All Ticker P&amp;L'!$A$2:$A$1001,MATCH(ROWS($A$2:A656),'All Ticker P&amp;L'!$N$2:$N$1001,0)),"")</f>
        <v/>
      </c>
      <c r="B656" s="243" t="str">
        <f t="shared" si="95"/>
        <v/>
      </c>
      <c r="C656" s="243" t="str">
        <f t="shared" si="96"/>
        <v/>
      </c>
      <c r="D656" s="243" t="str">
        <f t="shared" si="97"/>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8"/>
        <v/>
      </c>
      <c r="K656" s="287" t="str">
        <f t="shared" si="99"/>
        <v/>
      </c>
      <c r="L656" s="287" t="str">
        <f t="shared" si="100"/>
        <v/>
      </c>
      <c r="M656" s="290" t="str">
        <f t="shared" si="101"/>
        <v/>
      </c>
      <c r="N656" t="str">
        <f>IF($A656="","",IFERROR(INDEX(Prices[Category],MATCH($A656,Prices[Key],0)),"Uncategorized"))</f>
        <v/>
      </c>
      <c r="O656" s="291" t="str">
        <f t="shared" si="102"/>
        <v/>
      </c>
      <c r="P656" s="291" t="str">
        <f t="shared" si="103"/>
        <v/>
      </c>
    </row>
    <row r="657" spans="1:16" ht="15" customHeight="1" x14ac:dyDescent="0.2">
      <c r="A657" s="243" t="str">
        <f>IFERROR(INDEX('All Ticker P&amp;L'!$A$2:$A$1001,MATCH(ROWS($A$2:A657),'All Ticker P&amp;L'!$N$2:$N$1001,0)),"")</f>
        <v/>
      </c>
      <c r="B657" s="243" t="str">
        <f t="shared" si="95"/>
        <v/>
      </c>
      <c r="C657" s="243" t="str">
        <f t="shared" si="96"/>
        <v/>
      </c>
      <c r="D657" s="243" t="str">
        <f t="shared" si="97"/>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8"/>
        <v/>
      </c>
      <c r="K657" s="287" t="str">
        <f t="shared" si="99"/>
        <v/>
      </c>
      <c r="L657" s="287" t="str">
        <f t="shared" si="100"/>
        <v/>
      </c>
      <c r="M657" s="290" t="str">
        <f t="shared" si="101"/>
        <v/>
      </c>
      <c r="N657" t="str">
        <f>IF($A657="","",IFERROR(INDEX(Prices[Category],MATCH($A657,Prices[Key],0)),"Uncategorized"))</f>
        <v/>
      </c>
      <c r="O657" s="291" t="str">
        <f t="shared" si="102"/>
        <v/>
      </c>
      <c r="P657" s="291" t="str">
        <f t="shared" si="103"/>
        <v/>
      </c>
    </row>
    <row r="658" spans="1:16" ht="15" customHeight="1" x14ac:dyDescent="0.2">
      <c r="A658" s="243" t="str">
        <f>IFERROR(INDEX('All Ticker P&amp;L'!$A$2:$A$1001,MATCH(ROWS($A$2:A658),'All Ticker P&amp;L'!$N$2:$N$1001,0)),"")</f>
        <v/>
      </c>
      <c r="B658" s="243" t="str">
        <f t="shared" si="95"/>
        <v/>
      </c>
      <c r="C658" s="243" t="str">
        <f t="shared" si="96"/>
        <v/>
      </c>
      <c r="D658" s="243" t="str">
        <f t="shared" si="97"/>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8"/>
        <v/>
      </c>
      <c r="K658" s="287" t="str">
        <f t="shared" si="99"/>
        <v/>
      </c>
      <c r="L658" s="287" t="str">
        <f t="shared" si="100"/>
        <v/>
      </c>
      <c r="M658" s="290" t="str">
        <f t="shared" si="101"/>
        <v/>
      </c>
      <c r="N658" t="str">
        <f>IF($A658="","",IFERROR(INDEX(Prices[Category],MATCH($A658,Prices[Key],0)),"Uncategorized"))</f>
        <v/>
      </c>
      <c r="O658" s="291" t="str">
        <f t="shared" si="102"/>
        <v/>
      </c>
      <c r="P658" s="291" t="str">
        <f t="shared" si="103"/>
        <v/>
      </c>
    </row>
    <row r="659" spans="1:16" ht="15" customHeight="1" x14ac:dyDescent="0.2">
      <c r="A659" s="243" t="str">
        <f>IFERROR(INDEX('All Ticker P&amp;L'!$A$2:$A$1001,MATCH(ROWS($A$2:A659),'All Ticker P&amp;L'!$N$2:$N$1001,0)),"")</f>
        <v/>
      </c>
      <c r="B659" s="243" t="str">
        <f t="shared" si="95"/>
        <v/>
      </c>
      <c r="C659" s="243" t="str">
        <f t="shared" si="96"/>
        <v/>
      </c>
      <c r="D659" s="243" t="str">
        <f t="shared" si="97"/>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8"/>
        <v/>
      </c>
      <c r="K659" s="287" t="str">
        <f t="shared" si="99"/>
        <v/>
      </c>
      <c r="L659" s="287" t="str">
        <f t="shared" si="100"/>
        <v/>
      </c>
      <c r="M659" s="290" t="str">
        <f t="shared" si="101"/>
        <v/>
      </c>
      <c r="N659" t="str">
        <f>IF($A659="","",IFERROR(INDEX(Prices[Category],MATCH($A659,Prices[Key],0)),"Uncategorized"))</f>
        <v/>
      </c>
      <c r="O659" s="291" t="str">
        <f t="shared" si="102"/>
        <v/>
      </c>
      <c r="P659" s="291" t="str">
        <f t="shared" si="103"/>
        <v/>
      </c>
    </row>
    <row r="660" spans="1:16" ht="15" customHeight="1" x14ac:dyDescent="0.2">
      <c r="A660" s="243" t="str">
        <f>IFERROR(INDEX('All Ticker P&amp;L'!$A$2:$A$1001,MATCH(ROWS($A$2:A660),'All Ticker P&amp;L'!$N$2:$N$1001,0)),"")</f>
        <v/>
      </c>
      <c r="B660" s="243" t="str">
        <f t="shared" si="95"/>
        <v/>
      </c>
      <c r="C660" s="243" t="str">
        <f t="shared" si="96"/>
        <v/>
      </c>
      <c r="D660" s="243" t="str">
        <f t="shared" si="97"/>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8"/>
        <v/>
      </c>
      <c r="K660" s="287" t="str">
        <f t="shared" si="99"/>
        <v/>
      </c>
      <c r="L660" s="287" t="str">
        <f t="shared" si="100"/>
        <v/>
      </c>
      <c r="M660" s="290" t="str">
        <f t="shared" si="101"/>
        <v/>
      </c>
      <c r="N660" t="str">
        <f>IF($A660="","",IFERROR(INDEX(Prices[Category],MATCH($A660,Prices[Key],0)),"Uncategorized"))</f>
        <v/>
      </c>
      <c r="O660" s="291" t="str">
        <f t="shared" si="102"/>
        <v/>
      </c>
      <c r="P660" s="291" t="str">
        <f t="shared" si="103"/>
        <v/>
      </c>
    </row>
    <row r="661" spans="1:16" ht="15" customHeight="1" x14ac:dyDescent="0.2">
      <c r="A661" s="243" t="str">
        <f>IFERROR(INDEX('All Ticker P&amp;L'!$A$2:$A$1001,MATCH(ROWS($A$2:A661),'All Ticker P&amp;L'!$N$2:$N$1001,0)),"")</f>
        <v/>
      </c>
      <c r="B661" s="243" t="str">
        <f t="shared" si="95"/>
        <v/>
      </c>
      <c r="C661" s="243" t="str">
        <f t="shared" si="96"/>
        <v/>
      </c>
      <c r="D661" s="243" t="str">
        <f t="shared" si="97"/>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8"/>
        <v/>
      </c>
      <c r="K661" s="287" t="str">
        <f t="shared" si="99"/>
        <v/>
      </c>
      <c r="L661" s="287" t="str">
        <f t="shared" si="100"/>
        <v/>
      </c>
      <c r="M661" s="290" t="str">
        <f t="shared" si="101"/>
        <v/>
      </c>
      <c r="N661" t="str">
        <f>IF($A661="","",IFERROR(INDEX(Prices[Category],MATCH($A661,Prices[Key],0)),"Uncategorized"))</f>
        <v/>
      </c>
      <c r="O661" s="291" t="str">
        <f t="shared" si="102"/>
        <v/>
      </c>
      <c r="P661" s="291" t="str">
        <f t="shared" si="103"/>
        <v/>
      </c>
    </row>
    <row r="662" spans="1:16" ht="15" customHeight="1" x14ac:dyDescent="0.2">
      <c r="A662" s="243" t="str">
        <f>IFERROR(INDEX('All Ticker P&amp;L'!$A$2:$A$1001,MATCH(ROWS($A$2:A662),'All Ticker P&amp;L'!$N$2:$N$1001,0)),"")</f>
        <v/>
      </c>
      <c r="B662" s="243" t="str">
        <f t="shared" si="95"/>
        <v/>
      </c>
      <c r="C662" s="243" t="str">
        <f t="shared" si="96"/>
        <v/>
      </c>
      <c r="D662" s="243" t="str">
        <f t="shared" si="97"/>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8"/>
        <v/>
      </c>
      <c r="K662" s="287" t="str">
        <f t="shared" si="99"/>
        <v/>
      </c>
      <c r="L662" s="287" t="str">
        <f t="shared" si="100"/>
        <v/>
      </c>
      <c r="M662" s="290" t="str">
        <f t="shared" si="101"/>
        <v/>
      </c>
      <c r="N662" t="str">
        <f>IF($A662="","",IFERROR(INDEX(Prices[Category],MATCH($A662,Prices[Key],0)),"Uncategorized"))</f>
        <v/>
      </c>
      <c r="O662" s="291" t="str">
        <f t="shared" si="102"/>
        <v/>
      </c>
      <c r="P662" s="291" t="str">
        <f t="shared" si="103"/>
        <v/>
      </c>
    </row>
    <row r="663" spans="1:16" ht="15" customHeight="1" x14ac:dyDescent="0.2">
      <c r="A663" s="243" t="str">
        <f>IFERROR(INDEX('All Ticker P&amp;L'!$A$2:$A$1001,MATCH(ROWS($A$2:A663),'All Ticker P&amp;L'!$N$2:$N$1001,0)),"")</f>
        <v/>
      </c>
      <c r="B663" s="243" t="str">
        <f t="shared" si="95"/>
        <v/>
      </c>
      <c r="C663" s="243" t="str">
        <f t="shared" si="96"/>
        <v/>
      </c>
      <c r="D663" s="243" t="str">
        <f t="shared" si="97"/>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8"/>
        <v/>
      </c>
      <c r="K663" s="287" t="str">
        <f t="shared" si="99"/>
        <v/>
      </c>
      <c r="L663" s="287" t="str">
        <f t="shared" si="100"/>
        <v/>
      </c>
      <c r="M663" s="290" t="str">
        <f t="shared" si="101"/>
        <v/>
      </c>
      <c r="N663" t="str">
        <f>IF($A663="","",IFERROR(INDEX(Prices[Category],MATCH($A663,Prices[Key],0)),"Uncategorized"))</f>
        <v/>
      </c>
      <c r="O663" s="291" t="str">
        <f t="shared" si="102"/>
        <v/>
      </c>
      <c r="P663" s="291" t="str">
        <f t="shared" si="103"/>
        <v/>
      </c>
    </row>
    <row r="664" spans="1:16" ht="15" customHeight="1" x14ac:dyDescent="0.2">
      <c r="A664" s="243" t="str">
        <f>IFERROR(INDEX('All Ticker P&amp;L'!$A$2:$A$1001,MATCH(ROWS($A$2:A664),'All Ticker P&amp;L'!$N$2:$N$1001,0)),"")</f>
        <v/>
      </c>
      <c r="B664" s="243" t="str">
        <f t="shared" si="95"/>
        <v/>
      </c>
      <c r="C664" s="243" t="str">
        <f t="shared" si="96"/>
        <v/>
      </c>
      <c r="D664" s="243" t="str">
        <f t="shared" si="97"/>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8"/>
        <v/>
      </c>
      <c r="K664" s="287" t="str">
        <f t="shared" si="99"/>
        <v/>
      </c>
      <c r="L664" s="287" t="str">
        <f t="shared" si="100"/>
        <v/>
      </c>
      <c r="M664" s="290" t="str">
        <f t="shared" si="101"/>
        <v/>
      </c>
      <c r="N664" t="str">
        <f>IF($A664="","",IFERROR(INDEX(Prices[Category],MATCH($A664,Prices[Key],0)),"Uncategorized"))</f>
        <v/>
      </c>
      <c r="O664" s="291" t="str">
        <f t="shared" si="102"/>
        <v/>
      </c>
      <c r="P664" s="291" t="str">
        <f t="shared" si="103"/>
        <v/>
      </c>
    </row>
    <row r="665" spans="1:16" ht="15" customHeight="1" x14ac:dyDescent="0.2">
      <c r="A665" s="243" t="str">
        <f>IFERROR(INDEX('All Ticker P&amp;L'!$A$2:$A$1001,MATCH(ROWS($A$2:A665),'All Ticker P&amp;L'!$N$2:$N$1001,0)),"")</f>
        <v/>
      </c>
      <c r="B665" s="243" t="str">
        <f t="shared" si="95"/>
        <v/>
      </c>
      <c r="C665" s="243" t="str">
        <f t="shared" si="96"/>
        <v/>
      </c>
      <c r="D665" s="243" t="str">
        <f t="shared" si="97"/>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8"/>
        <v/>
      </c>
      <c r="K665" s="287" t="str">
        <f t="shared" si="99"/>
        <v/>
      </c>
      <c r="L665" s="287" t="str">
        <f t="shared" si="100"/>
        <v/>
      </c>
      <c r="M665" s="290" t="str">
        <f t="shared" si="101"/>
        <v/>
      </c>
      <c r="N665" t="str">
        <f>IF($A665="","",IFERROR(INDEX(Prices[Category],MATCH($A665,Prices[Key],0)),"Uncategorized"))</f>
        <v/>
      </c>
      <c r="O665" s="291" t="str">
        <f t="shared" si="102"/>
        <v/>
      </c>
      <c r="P665" s="291" t="str">
        <f t="shared" si="103"/>
        <v/>
      </c>
    </row>
    <row r="666" spans="1:16" ht="15" customHeight="1" x14ac:dyDescent="0.2">
      <c r="A666" s="243" t="str">
        <f>IFERROR(INDEX('All Ticker P&amp;L'!$A$2:$A$1001,MATCH(ROWS($A$2:A666),'All Ticker P&amp;L'!$N$2:$N$1001,0)),"")</f>
        <v/>
      </c>
      <c r="B666" s="243" t="str">
        <f t="shared" si="95"/>
        <v/>
      </c>
      <c r="C666" s="243" t="str">
        <f t="shared" si="96"/>
        <v/>
      </c>
      <c r="D666" s="243" t="str">
        <f t="shared" si="97"/>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8"/>
        <v/>
      </c>
      <c r="K666" s="287" t="str">
        <f t="shared" si="99"/>
        <v/>
      </c>
      <c r="L666" s="287" t="str">
        <f t="shared" si="100"/>
        <v/>
      </c>
      <c r="M666" s="290" t="str">
        <f t="shared" si="101"/>
        <v/>
      </c>
      <c r="N666" t="str">
        <f>IF($A666="","",IFERROR(INDEX(Prices[Category],MATCH($A666,Prices[Key],0)),"Uncategorized"))</f>
        <v/>
      </c>
      <c r="O666" s="291" t="str">
        <f t="shared" si="102"/>
        <v/>
      </c>
      <c r="P666" s="291" t="str">
        <f t="shared" si="103"/>
        <v/>
      </c>
    </row>
    <row r="667" spans="1:16" ht="15" customHeight="1" x14ac:dyDescent="0.2">
      <c r="A667" s="243" t="str">
        <f>IFERROR(INDEX('All Ticker P&amp;L'!$A$2:$A$1001,MATCH(ROWS($A$2:A667),'All Ticker P&amp;L'!$N$2:$N$1001,0)),"")</f>
        <v/>
      </c>
      <c r="B667" s="243" t="str">
        <f t="shared" si="95"/>
        <v/>
      </c>
      <c r="C667" s="243" t="str">
        <f t="shared" si="96"/>
        <v/>
      </c>
      <c r="D667" s="243" t="str">
        <f t="shared" si="97"/>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8"/>
        <v/>
      </c>
      <c r="K667" s="287" t="str">
        <f t="shared" si="99"/>
        <v/>
      </c>
      <c r="L667" s="287" t="str">
        <f t="shared" si="100"/>
        <v/>
      </c>
      <c r="M667" s="290" t="str">
        <f t="shared" si="101"/>
        <v/>
      </c>
      <c r="N667" t="str">
        <f>IF($A667="","",IFERROR(INDEX(Prices[Category],MATCH($A667,Prices[Key],0)),"Uncategorized"))</f>
        <v/>
      </c>
      <c r="O667" s="291" t="str">
        <f t="shared" si="102"/>
        <v/>
      </c>
      <c r="P667" s="291" t="str">
        <f t="shared" si="103"/>
        <v/>
      </c>
    </row>
    <row r="668" spans="1:16" ht="15" customHeight="1" x14ac:dyDescent="0.2">
      <c r="A668" s="243" t="str">
        <f>IFERROR(INDEX('All Ticker P&amp;L'!$A$2:$A$1001,MATCH(ROWS($A$2:A668),'All Ticker P&amp;L'!$N$2:$N$1001,0)),"")</f>
        <v/>
      </c>
      <c r="B668" s="243" t="str">
        <f t="shared" si="95"/>
        <v/>
      </c>
      <c r="C668" s="243" t="str">
        <f t="shared" si="96"/>
        <v/>
      </c>
      <c r="D668" s="243" t="str">
        <f t="shared" si="97"/>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8"/>
        <v/>
      </c>
      <c r="K668" s="287" t="str">
        <f t="shared" si="99"/>
        <v/>
      </c>
      <c r="L668" s="287" t="str">
        <f t="shared" si="100"/>
        <v/>
      </c>
      <c r="M668" s="290" t="str">
        <f t="shared" si="101"/>
        <v/>
      </c>
      <c r="N668" t="str">
        <f>IF($A668="","",IFERROR(INDEX(Prices[Category],MATCH($A668,Prices[Key],0)),"Uncategorized"))</f>
        <v/>
      </c>
      <c r="O668" s="291" t="str">
        <f t="shared" si="102"/>
        <v/>
      </c>
      <c r="P668" s="291" t="str">
        <f t="shared" si="103"/>
        <v/>
      </c>
    </row>
    <row r="669" spans="1:16" ht="15" customHeight="1" x14ac:dyDescent="0.2">
      <c r="A669" s="243" t="str">
        <f>IFERROR(INDEX('All Ticker P&amp;L'!$A$2:$A$1001,MATCH(ROWS($A$2:A669),'All Ticker P&amp;L'!$N$2:$N$1001,0)),"")</f>
        <v/>
      </c>
      <c r="B669" s="243" t="str">
        <f t="shared" si="95"/>
        <v/>
      </c>
      <c r="C669" s="243" t="str">
        <f t="shared" si="96"/>
        <v/>
      </c>
      <c r="D669" s="243" t="str">
        <f t="shared" si="97"/>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8"/>
        <v/>
      </c>
      <c r="K669" s="287" t="str">
        <f t="shared" si="99"/>
        <v/>
      </c>
      <c r="L669" s="287" t="str">
        <f t="shared" si="100"/>
        <v/>
      </c>
      <c r="M669" s="290" t="str">
        <f t="shared" si="101"/>
        <v/>
      </c>
      <c r="N669" t="str">
        <f>IF($A669="","",IFERROR(INDEX(Prices[Category],MATCH($A669,Prices[Key],0)),"Uncategorized"))</f>
        <v/>
      </c>
      <c r="O669" s="291" t="str">
        <f t="shared" si="102"/>
        <v/>
      </c>
      <c r="P669" s="291" t="str">
        <f t="shared" si="103"/>
        <v/>
      </c>
    </row>
    <row r="670" spans="1:16" ht="15" customHeight="1" x14ac:dyDescent="0.2">
      <c r="A670" s="243" t="str">
        <f>IFERROR(INDEX('All Ticker P&amp;L'!$A$2:$A$1001,MATCH(ROWS($A$2:A670),'All Ticker P&amp;L'!$N$2:$N$1001,0)),"")</f>
        <v/>
      </c>
      <c r="B670" s="243" t="str">
        <f t="shared" si="95"/>
        <v/>
      </c>
      <c r="C670" s="243" t="str">
        <f t="shared" si="96"/>
        <v/>
      </c>
      <c r="D670" s="243" t="str">
        <f t="shared" si="97"/>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8"/>
        <v/>
      </c>
      <c r="K670" s="287" t="str">
        <f t="shared" si="99"/>
        <v/>
      </c>
      <c r="L670" s="287" t="str">
        <f t="shared" si="100"/>
        <v/>
      </c>
      <c r="M670" s="290" t="str">
        <f t="shared" si="101"/>
        <v/>
      </c>
      <c r="N670" t="str">
        <f>IF($A670="","",IFERROR(INDEX(Prices[Category],MATCH($A670,Prices[Key],0)),"Uncategorized"))</f>
        <v/>
      </c>
      <c r="O670" s="291" t="str">
        <f t="shared" si="102"/>
        <v/>
      </c>
      <c r="P670" s="291" t="str">
        <f t="shared" si="103"/>
        <v/>
      </c>
    </row>
    <row r="671" spans="1:16" ht="15" customHeight="1" x14ac:dyDescent="0.2">
      <c r="A671" s="243" t="str">
        <f>IFERROR(INDEX('All Ticker P&amp;L'!$A$2:$A$1001,MATCH(ROWS($A$2:A671),'All Ticker P&amp;L'!$N$2:$N$1001,0)),"")</f>
        <v/>
      </c>
      <c r="B671" s="243" t="str">
        <f t="shared" si="95"/>
        <v/>
      </c>
      <c r="C671" s="243" t="str">
        <f t="shared" si="96"/>
        <v/>
      </c>
      <c r="D671" s="243" t="str">
        <f t="shared" si="97"/>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8"/>
        <v/>
      </c>
      <c r="K671" s="287" t="str">
        <f t="shared" si="99"/>
        <v/>
      </c>
      <c r="L671" s="287" t="str">
        <f t="shared" si="100"/>
        <v/>
      </c>
      <c r="M671" s="290" t="str">
        <f t="shared" si="101"/>
        <v/>
      </c>
      <c r="N671" t="str">
        <f>IF($A671="","",IFERROR(INDEX(Prices[Category],MATCH($A671,Prices[Key],0)),"Uncategorized"))</f>
        <v/>
      </c>
      <c r="O671" s="291" t="str">
        <f t="shared" si="102"/>
        <v/>
      </c>
      <c r="P671" s="291" t="str">
        <f t="shared" si="103"/>
        <v/>
      </c>
    </row>
    <row r="672" spans="1:16" ht="15" customHeight="1" x14ac:dyDescent="0.2">
      <c r="A672" s="243" t="str">
        <f>IFERROR(INDEX('All Ticker P&amp;L'!$A$2:$A$1001,MATCH(ROWS($A$2:A672),'All Ticker P&amp;L'!$N$2:$N$1001,0)),"")</f>
        <v/>
      </c>
      <c r="B672" s="243" t="str">
        <f t="shared" si="95"/>
        <v/>
      </c>
      <c r="C672" s="243" t="str">
        <f t="shared" si="96"/>
        <v/>
      </c>
      <c r="D672" s="243" t="str">
        <f t="shared" si="97"/>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8"/>
        <v/>
      </c>
      <c r="K672" s="287" t="str">
        <f t="shared" si="99"/>
        <v/>
      </c>
      <c r="L672" s="287" t="str">
        <f t="shared" si="100"/>
        <v/>
      </c>
      <c r="M672" s="290" t="str">
        <f t="shared" si="101"/>
        <v/>
      </c>
      <c r="N672" t="str">
        <f>IF($A672="","",IFERROR(INDEX(Prices[Category],MATCH($A672,Prices[Key],0)),"Uncategorized"))</f>
        <v/>
      </c>
      <c r="O672" s="291" t="str">
        <f t="shared" si="102"/>
        <v/>
      </c>
      <c r="P672" s="291" t="str">
        <f t="shared" si="103"/>
        <v/>
      </c>
    </row>
    <row r="673" spans="1:16" ht="15" customHeight="1" x14ac:dyDescent="0.2">
      <c r="A673" s="243" t="str">
        <f>IFERROR(INDEX('All Ticker P&amp;L'!$A$2:$A$1001,MATCH(ROWS($A$2:A673),'All Ticker P&amp;L'!$N$2:$N$1001,0)),"")</f>
        <v/>
      </c>
      <c r="B673" s="243" t="str">
        <f t="shared" si="95"/>
        <v/>
      </c>
      <c r="C673" s="243" t="str">
        <f t="shared" si="96"/>
        <v/>
      </c>
      <c r="D673" s="243" t="str">
        <f t="shared" si="97"/>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8"/>
        <v/>
      </c>
      <c r="K673" s="287" t="str">
        <f t="shared" si="99"/>
        <v/>
      </c>
      <c r="L673" s="287" t="str">
        <f t="shared" si="100"/>
        <v/>
      </c>
      <c r="M673" s="290" t="str">
        <f t="shared" si="101"/>
        <v/>
      </c>
      <c r="N673" t="str">
        <f>IF($A673="","",IFERROR(INDEX(Prices[Category],MATCH($A673,Prices[Key],0)),"Uncategorized"))</f>
        <v/>
      </c>
      <c r="O673" s="291" t="str">
        <f t="shared" si="102"/>
        <v/>
      </c>
      <c r="P673" s="291" t="str">
        <f t="shared" si="103"/>
        <v/>
      </c>
    </row>
    <row r="674" spans="1:16" ht="15" customHeight="1" x14ac:dyDescent="0.2">
      <c r="A674" s="243" t="str">
        <f>IFERROR(INDEX('All Ticker P&amp;L'!$A$2:$A$1001,MATCH(ROWS($A$2:A674),'All Ticker P&amp;L'!$N$2:$N$1001,0)),"")</f>
        <v/>
      </c>
      <c r="B674" s="243" t="str">
        <f t="shared" si="95"/>
        <v/>
      </c>
      <c r="C674" s="243" t="str">
        <f t="shared" si="96"/>
        <v/>
      </c>
      <c r="D674" s="243" t="str">
        <f t="shared" si="97"/>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8"/>
        <v/>
      </c>
      <c r="K674" s="287" t="str">
        <f t="shared" si="99"/>
        <v/>
      </c>
      <c r="L674" s="287" t="str">
        <f t="shared" si="100"/>
        <v/>
      </c>
      <c r="M674" s="290" t="str">
        <f t="shared" si="101"/>
        <v/>
      </c>
      <c r="N674" t="str">
        <f>IF($A674="","",IFERROR(INDEX(Prices[Category],MATCH($A674,Prices[Key],0)),"Uncategorized"))</f>
        <v/>
      </c>
      <c r="O674" s="291" t="str">
        <f t="shared" si="102"/>
        <v/>
      </c>
      <c r="P674" s="291" t="str">
        <f t="shared" si="103"/>
        <v/>
      </c>
    </row>
    <row r="675" spans="1:16" ht="15" customHeight="1" x14ac:dyDescent="0.2">
      <c r="A675" s="243" t="str">
        <f>IFERROR(INDEX('All Ticker P&amp;L'!$A$2:$A$1001,MATCH(ROWS($A$2:A675),'All Ticker P&amp;L'!$N$2:$N$1001,0)),"")</f>
        <v/>
      </c>
      <c r="B675" s="243" t="str">
        <f t="shared" si="95"/>
        <v/>
      </c>
      <c r="C675" s="243" t="str">
        <f t="shared" si="96"/>
        <v/>
      </c>
      <c r="D675" s="243" t="str">
        <f t="shared" si="97"/>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8"/>
        <v/>
      </c>
      <c r="K675" s="287" t="str">
        <f t="shared" si="99"/>
        <v/>
      </c>
      <c r="L675" s="287" t="str">
        <f t="shared" si="100"/>
        <v/>
      </c>
      <c r="M675" s="290" t="str">
        <f t="shared" si="101"/>
        <v/>
      </c>
      <c r="N675" t="str">
        <f>IF($A675="","",IFERROR(INDEX(Prices[Category],MATCH($A675,Prices[Key],0)),"Uncategorized"))</f>
        <v/>
      </c>
      <c r="O675" s="291" t="str">
        <f t="shared" si="102"/>
        <v/>
      </c>
      <c r="P675" s="291" t="str">
        <f t="shared" si="103"/>
        <v/>
      </c>
    </row>
    <row r="676" spans="1:16" ht="15" customHeight="1" x14ac:dyDescent="0.2">
      <c r="A676" s="243" t="str">
        <f>IFERROR(INDEX('All Ticker P&amp;L'!$A$2:$A$1001,MATCH(ROWS($A$2:A676),'All Ticker P&amp;L'!$N$2:$N$1001,0)),"")</f>
        <v/>
      </c>
      <c r="B676" s="243" t="str">
        <f t="shared" si="95"/>
        <v/>
      </c>
      <c r="C676" s="243" t="str">
        <f t="shared" si="96"/>
        <v/>
      </c>
      <c r="D676" s="243" t="str">
        <f t="shared" si="97"/>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8"/>
        <v/>
      </c>
      <c r="K676" s="287" t="str">
        <f t="shared" si="99"/>
        <v/>
      </c>
      <c r="L676" s="287" t="str">
        <f t="shared" si="100"/>
        <v/>
      </c>
      <c r="M676" s="290" t="str">
        <f t="shared" si="101"/>
        <v/>
      </c>
      <c r="N676" t="str">
        <f>IF($A676="","",IFERROR(INDEX(Prices[Category],MATCH($A676,Prices[Key],0)),"Uncategorized"))</f>
        <v/>
      </c>
      <c r="O676" s="291" t="str">
        <f t="shared" si="102"/>
        <v/>
      </c>
      <c r="P676" s="291" t="str">
        <f t="shared" si="103"/>
        <v/>
      </c>
    </row>
    <row r="677" spans="1:16" ht="15" customHeight="1" x14ac:dyDescent="0.2">
      <c r="A677" s="243" t="str">
        <f>IFERROR(INDEX('All Ticker P&amp;L'!$A$2:$A$1001,MATCH(ROWS($A$2:A677),'All Ticker P&amp;L'!$N$2:$N$1001,0)),"")</f>
        <v/>
      </c>
      <c r="B677" s="243" t="str">
        <f t="shared" si="95"/>
        <v/>
      </c>
      <c r="C677" s="243" t="str">
        <f t="shared" si="96"/>
        <v/>
      </c>
      <c r="D677" s="243" t="str">
        <f t="shared" si="97"/>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8"/>
        <v/>
      </c>
      <c r="K677" s="287" t="str">
        <f t="shared" si="99"/>
        <v/>
      </c>
      <c r="L677" s="287" t="str">
        <f t="shared" si="100"/>
        <v/>
      </c>
      <c r="M677" s="290" t="str">
        <f t="shared" si="101"/>
        <v/>
      </c>
      <c r="N677" t="str">
        <f>IF($A677="","",IFERROR(INDEX(Prices[Category],MATCH($A677,Prices[Key],0)),"Uncategorized"))</f>
        <v/>
      </c>
      <c r="O677" s="291" t="str">
        <f t="shared" si="102"/>
        <v/>
      </c>
      <c r="P677" s="291" t="str">
        <f t="shared" si="103"/>
        <v/>
      </c>
    </row>
    <row r="678" spans="1:16" ht="15" customHeight="1" x14ac:dyDescent="0.2">
      <c r="A678" s="243" t="str">
        <f>IFERROR(INDEX('All Ticker P&amp;L'!$A$2:$A$1001,MATCH(ROWS($A$2:A678),'All Ticker P&amp;L'!$N$2:$N$1001,0)),"")</f>
        <v/>
      </c>
      <c r="B678" s="243" t="str">
        <f t="shared" si="95"/>
        <v/>
      </c>
      <c r="C678" s="243" t="str">
        <f t="shared" si="96"/>
        <v/>
      </c>
      <c r="D678" s="243" t="str">
        <f t="shared" si="97"/>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8"/>
        <v/>
      </c>
      <c r="K678" s="287" t="str">
        <f t="shared" si="99"/>
        <v/>
      </c>
      <c r="L678" s="287" t="str">
        <f t="shared" si="100"/>
        <v/>
      </c>
      <c r="M678" s="290" t="str">
        <f t="shared" si="101"/>
        <v/>
      </c>
      <c r="N678" t="str">
        <f>IF($A678="","",IFERROR(INDEX(Prices[Category],MATCH($A678,Prices[Key],0)),"Uncategorized"))</f>
        <v/>
      </c>
      <c r="O678" s="291" t="str">
        <f t="shared" si="102"/>
        <v/>
      </c>
      <c r="P678" s="291" t="str">
        <f t="shared" si="103"/>
        <v/>
      </c>
    </row>
    <row r="679" spans="1:16" ht="15" customHeight="1" x14ac:dyDescent="0.2">
      <c r="A679" s="243" t="str">
        <f>IFERROR(INDEX('All Ticker P&amp;L'!$A$2:$A$1001,MATCH(ROWS($A$2:A679),'All Ticker P&amp;L'!$N$2:$N$1001,0)),"")</f>
        <v/>
      </c>
      <c r="B679" s="243" t="str">
        <f t="shared" si="95"/>
        <v/>
      </c>
      <c r="C679" s="243" t="str">
        <f t="shared" si="96"/>
        <v/>
      </c>
      <c r="D679" s="243" t="str">
        <f t="shared" si="97"/>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8"/>
        <v/>
      </c>
      <c r="K679" s="287" t="str">
        <f t="shared" si="99"/>
        <v/>
      </c>
      <c r="L679" s="287" t="str">
        <f t="shared" si="100"/>
        <v/>
      </c>
      <c r="M679" s="290" t="str">
        <f t="shared" si="101"/>
        <v/>
      </c>
      <c r="N679" t="str">
        <f>IF($A679="","",IFERROR(INDEX(Prices[Category],MATCH($A679,Prices[Key],0)),"Uncategorized"))</f>
        <v/>
      </c>
      <c r="O679" s="291" t="str">
        <f t="shared" si="102"/>
        <v/>
      </c>
      <c r="P679" s="291" t="str">
        <f t="shared" si="103"/>
        <v/>
      </c>
    </row>
    <row r="680" spans="1:16" ht="15" customHeight="1" x14ac:dyDescent="0.2">
      <c r="A680" s="243" t="str">
        <f>IFERROR(INDEX('All Ticker P&amp;L'!$A$2:$A$1001,MATCH(ROWS($A$2:A680),'All Ticker P&amp;L'!$N$2:$N$1001,0)),"")</f>
        <v/>
      </c>
      <c r="B680" s="243" t="str">
        <f t="shared" si="95"/>
        <v/>
      </c>
      <c r="C680" s="243" t="str">
        <f t="shared" si="96"/>
        <v/>
      </c>
      <c r="D680" s="243" t="str">
        <f t="shared" si="97"/>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8"/>
        <v/>
      </c>
      <c r="K680" s="287" t="str">
        <f t="shared" si="99"/>
        <v/>
      </c>
      <c r="L680" s="287" t="str">
        <f t="shared" si="100"/>
        <v/>
      </c>
      <c r="M680" s="290" t="str">
        <f t="shared" si="101"/>
        <v/>
      </c>
      <c r="N680" t="str">
        <f>IF($A680="","",IFERROR(INDEX(Prices[Category],MATCH($A680,Prices[Key],0)),"Uncategorized"))</f>
        <v/>
      </c>
      <c r="O680" s="291" t="str">
        <f t="shared" si="102"/>
        <v/>
      </c>
      <c r="P680" s="291" t="str">
        <f t="shared" si="103"/>
        <v/>
      </c>
    </row>
    <row r="681" spans="1:16" ht="15" customHeight="1" x14ac:dyDescent="0.2">
      <c r="A681" s="243" t="str">
        <f>IFERROR(INDEX('All Ticker P&amp;L'!$A$2:$A$1001,MATCH(ROWS($A$2:A681),'All Ticker P&amp;L'!$N$2:$N$1001,0)),"")</f>
        <v/>
      </c>
      <c r="B681" s="243" t="str">
        <f t="shared" si="95"/>
        <v/>
      </c>
      <c r="C681" s="243" t="str">
        <f t="shared" si="96"/>
        <v/>
      </c>
      <c r="D681" s="243" t="str">
        <f t="shared" si="97"/>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8"/>
        <v/>
      </c>
      <c r="K681" s="287" t="str">
        <f t="shared" si="99"/>
        <v/>
      </c>
      <c r="L681" s="287" t="str">
        <f t="shared" si="100"/>
        <v/>
      </c>
      <c r="M681" s="290" t="str">
        <f t="shared" si="101"/>
        <v/>
      </c>
      <c r="N681" t="str">
        <f>IF($A681="","",IFERROR(INDEX(Prices[Category],MATCH($A681,Prices[Key],0)),"Uncategorized"))</f>
        <v/>
      </c>
      <c r="O681" s="291" t="str">
        <f t="shared" si="102"/>
        <v/>
      </c>
      <c r="P681" s="291" t="str">
        <f t="shared" si="103"/>
        <v/>
      </c>
    </row>
    <row r="682" spans="1:16" ht="15" customHeight="1" x14ac:dyDescent="0.2">
      <c r="A682" s="243" t="str">
        <f>IFERROR(INDEX('All Ticker P&amp;L'!$A$2:$A$1001,MATCH(ROWS($A$2:A682),'All Ticker P&amp;L'!$N$2:$N$1001,0)),"")</f>
        <v/>
      </c>
      <c r="B682" s="243" t="str">
        <f t="shared" si="95"/>
        <v/>
      </c>
      <c r="C682" s="243" t="str">
        <f t="shared" si="96"/>
        <v/>
      </c>
      <c r="D682" s="243" t="str">
        <f t="shared" si="97"/>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8"/>
        <v/>
      </c>
      <c r="K682" s="287" t="str">
        <f t="shared" si="99"/>
        <v/>
      </c>
      <c r="L682" s="287" t="str">
        <f t="shared" si="100"/>
        <v/>
      </c>
      <c r="M682" s="290" t="str">
        <f t="shared" si="101"/>
        <v/>
      </c>
      <c r="N682" t="str">
        <f>IF($A682="","",IFERROR(INDEX(Prices[Category],MATCH($A682,Prices[Key],0)),"Uncategorized"))</f>
        <v/>
      </c>
      <c r="O682" s="291" t="str">
        <f t="shared" si="102"/>
        <v/>
      </c>
      <c r="P682" s="291" t="str">
        <f t="shared" si="103"/>
        <v/>
      </c>
    </row>
    <row r="683" spans="1:16" ht="15" customHeight="1" x14ac:dyDescent="0.2">
      <c r="A683" s="243" t="str">
        <f>IFERROR(INDEX('All Ticker P&amp;L'!$A$2:$A$1001,MATCH(ROWS($A$2:A683),'All Ticker P&amp;L'!$N$2:$N$1001,0)),"")</f>
        <v/>
      </c>
      <c r="B683" s="243" t="str">
        <f t="shared" si="95"/>
        <v/>
      </c>
      <c r="C683" s="243" t="str">
        <f t="shared" si="96"/>
        <v/>
      </c>
      <c r="D683" s="243" t="str">
        <f t="shared" si="97"/>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8"/>
        <v/>
      </c>
      <c r="K683" s="287" t="str">
        <f t="shared" si="99"/>
        <v/>
      </c>
      <c r="L683" s="287" t="str">
        <f t="shared" si="100"/>
        <v/>
      </c>
      <c r="M683" s="290" t="str">
        <f t="shared" si="101"/>
        <v/>
      </c>
      <c r="N683" t="str">
        <f>IF($A683="","",IFERROR(INDEX(Prices[Category],MATCH($A683,Prices[Key],0)),"Uncategorized"))</f>
        <v/>
      </c>
      <c r="O683" s="291" t="str">
        <f t="shared" si="102"/>
        <v/>
      </c>
      <c r="P683" s="291" t="str">
        <f t="shared" si="103"/>
        <v/>
      </c>
    </row>
    <row r="684" spans="1:16" ht="15" customHeight="1" x14ac:dyDescent="0.2">
      <c r="A684" s="243" t="str">
        <f>IFERROR(INDEX('All Ticker P&amp;L'!$A$2:$A$1001,MATCH(ROWS($A$2:A684),'All Ticker P&amp;L'!$N$2:$N$1001,0)),"")</f>
        <v/>
      </c>
      <c r="B684" s="243" t="str">
        <f t="shared" si="95"/>
        <v/>
      </c>
      <c r="C684" s="243" t="str">
        <f t="shared" si="96"/>
        <v/>
      </c>
      <c r="D684" s="243" t="str">
        <f t="shared" si="97"/>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8"/>
        <v/>
      </c>
      <c r="K684" s="287" t="str">
        <f t="shared" si="99"/>
        <v/>
      </c>
      <c r="L684" s="287" t="str">
        <f t="shared" si="100"/>
        <v/>
      </c>
      <c r="M684" s="290" t="str">
        <f t="shared" si="101"/>
        <v/>
      </c>
      <c r="N684" t="str">
        <f>IF($A684="","",IFERROR(INDEX(Prices[Category],MATCH($A684,Prices[Key],0)),"Uncategorized"))</f>
        <v/>
      </c>
      <c r="O684" s="291" t="str">
        <f t="shared" si="102"/>
        <v/>
      </c>
      <c r="P684" s="291" t="str">
        <f t="shared" si="103"/>
        <v/>
      </c>
    </row>
    <row r="685" spans="1:16" ht="15" customHeight="1" x14ac:dyDescent="0.2">
      <c r="A685" s="243" t="str">
        <f>IFERROR(INDEX('All Ticker P&amp;L'!$A$2:$A$1001,MATCH(ROWS($A$2:A685),'All Ticker P&amp;L'!$N$2:$N$1001,0)),"")</f>
        <v/>
      </c>
      <c r="B685" s="243" t="str">
        <f t="shared" si="95"/>
        <v/>
      </c>
      <c r="C685" s="243" t="str">
        <f t="shared" si="96"/>
        <v/>
      </c>
      <c r="D685" s="243" t="str">
        <f t="shared" si="97"/>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8"/>
        <v/>
      </c>
      <c r="K685" s="287" t="str">
        <f t="shared" si="99"/>
        <v/>
      </c>
      <c r="L685" s="287" t="str">
        <f t="shared" si="100"/>
        <v/>
      </c>
      <c r="M685" s="290" t="str">
        <f t="shared" si="101"/>
        <v/>
      </c>
      <c r="N685" t="str">
        <f>IF($A685="","",IFERROR(INDEX(Prices[Category],MATCH($A685,Prices[Key],0)),"Uncategorized"))</f>
        <v/>
      </c>
      <c r="O685" s="291" t="str">
        <f t="shared" si="102"/>
        <v/>
      </c>
      <c r="P685" s="291" t="str">
        <f t="shared" si="103"/>
        <v/>
      </c>
    </row>
    <row r="686" spans="1:16" ht="15" customHeight="1" x14ac:dyDescent="0.2">
      <c r="A686" s="243" t="str">
        <f>IFERROR(INDEX('All Ticker P&amp;L'!$A$2:$A$1001,MATCH(ROWS($A$2:A686),'All Ticker P&amp;L'!$N$2:$N$1001,0)),"")</f>
        <v/>
      </c>
      <c r="B686" s="243" t="str">
        <f t="shared" si="95"/>
        <v/>
      </c>
      <c r="C686" s="243" t="str">
        <f t="shared" si="96"/>
        <v/>
      </c>
      <c r="D686" s="243" t="str">
        <f t="shared" si="97"/>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8"/>
        <v/>
      </c>
      <c r="K686" s="287" t="str">
        <f t="shared" si="99"/>
        <v/>
      </c>
      <c r="L686" s="287" t="str">
        <f t="shared" si="100"/>
        <v/>
      </c>
      <c r="M686" s="290" t="str">
        <f t="shared" si="101"/>
        <v/>
      </c>
      <c r="N686" t="str">
        <f>IF($A686="","",IFERROR(INDEX(Prices[Category],MATCH($A686,Prices[Key],0)),"Uncategorized"))</f>
        <v/>
      </c>
      <c r="O686" s="291" t="str">
        <f t="shared" si="102"/>
        <v/>
      </c>
      <c r="P686" s="291" t="str">
        <f t="shared" si="103"/>
        <v/>
      </c>
    </row>
    <row r="687" spans="1:16" ht="15" customHeight="1" x14ac:dyDescent="0.2">
      <c r="A687" s="243" t="str">
        <f>IFERROR(INDEX('All Ticker P&amp;L'!$A$2:$A$1001,MATCH(ROWS($A$2:A687),'All Ticker P&amp;L'!$N$2:$N$1001,0)),"")</f>
        <v/>
      </c>
      <c r="B687" s="243" t="str">
        <f t="shared" si="95"/>
        <v/>
      </c>
      <c r="C687" s="243" t="str">
        <f t="shared" si="96"/>
        <v/>
      </c>
      <c r="D687" s="243" t="str">
        <f t="shared" si="97"/>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8"/>
        <v/>
      </c>
      <c r="K687" s="287" t="str">
        <f t="shared" si="99"/>
        <v/>
      </c>
      <c r="L687" s="287" t="str">
        <f t="shared" si="100"/>
        <v/>
      </c>
      <c r="M687" s="290" t="str">
        <f t="shared" si="101"/>
        <v/>
      </c>
      <c r="N687" t="str">
        <f>IF($A687="","",IFERROR(INDEX(Prices[Category],MATCH($A687,Prices[Key],0)),"Uncategorized"))</f>
        <v/>
      </c>
      <c r="O687" s="291" t="str">
        <f t="shared" si="102"/>
        <v/>
      </c>
      <c r="P687" s="291" t="str">
        <f t="shared" si="103"/>
        <v/>
      </c>
    </row>
    <row r="688" spans="1:16" ht="15" customHeight="1" x14ac:dyDescent="0.2">
      <c r="A688" s="243" t="str">
        <f>IFERROR(INDEX('All Ticker P&amp;L'!$A$2:$A$1001,MATCH(ROWS($A$2:A688),'All Ticker P&amp;L'!$N$2:$N$1001,0)),"")</f>
        <v/>
      </c>
      <c r="B688" s="243" t="str">
        <f t="shared" si="95"/>
        <v/>
      </c>
      <c r="C688" s="243" t="str">
        <f t="shared" si="96"/>
        <v/>
      </c>
      <c r="D688" s="243" t="str">
        <f t="shared" si="97"/>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8"/>
        <v/>
      </c>
      <c r="K688" s="287" t="str">
        <f t="shared" si="99"/>
        <v/>
      </c>
      <c r="L688" s="287" t="str">
        <f t="shared" si="100"/>
        <v/>
      </c>
      <c r="M688" s="290" t="str">
        <f t="shared" si="101"/>
        <v/>
      </c>
      <c r="N688" t="str">
        <f>IF($A688="","",IFERROR(INDEX(Prices[Category],MATCH($A688,Prices[Key],0)),"Uncategorized"))</f>
        <v/>
      </c>
      <c r="O688" s="291" t="str">
        <f t="shared" si="102"/>
        <v/>
      </c>
      <c r="P688" s="291" t="str">
        <f t="shared" si="103"/>
        <v/>
      </c>
    </row>
    <row r="689" spans="1:16" ht="15" customHeight="1" x14ac:dyDescent="0.2">
      <c r="A689" s="243" t="str">
        <f>IFERROR(INDEX('All Ticker P&amp;L'!$A$2:$A$1001,MATCH(ROWS($A$2:A689),'All Ticker P&amp;L'!$N$2:$N$1001,0)),"")</f>
        <v/>
      </c>
      <c r="B689" s="243" t="str">
        <f t="shared" si="95"/>
        <v/>
      </c>
      <c r="C689" s="243" t="str">
        <f t="shared" si="96"/>
        <v/>
      </c>
      <c r="D689" s="243" t="str">
        <f t="shared" si="97"/>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8"/>
        <v/>
      </c>
      <c r="K689" s="287" t="str">
        <f t="shared" si="99"/>
        <v/>
      </c>
      <c r="L689" s="287" t="str">
        <f t="shared" si="100"/>
        <v/>
      </c>
      <c r="M689" s="290" t="str">
        <f t="shared" si="101"/>
        <v/>
      </c>
      <c r="N689" t="str">
        <f>IF($A689="","",IFERROR(INDEX(Prices[Category],MATCH($A689,Prices[Key],0)),"Uncategorized"))</f>
        <v/>
      </c>
      <c r="O689" s="291" t="str">
        <f t="shared" si="102"/>
        <v/>
      </c>
      <c r="P689" s="291" t="str">
        <f t="shared" si="103"/>
        <v/>
      </c>
    </row>
    <row r="690" spans="1:16" ht="15" customHeight="1" x14ac:dyDescent="0.2">
      <c r="A690" s="243" t="str">
        <f>IFERROR(INDEX('All Ticker P&amp;L'!$A$2:$A$1001,MATCH(ROWS($A$2:A690),'All Ticker P&amp;L'!$N$2:$N$1001,0)),"")</f>
        <v/>
      </c>
      <c r="B690" s="243" t="str">
        <f t="shared" si="95"/>
        <v/>
      </c>
      <c r="C690" s="243" t="str">
        <f t="shared" si="96"/>
        <v/>
      </c>
      <c r="D690" s="243" t="str">
        <f t="shared" si="97"/>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8"/>
        <v/>
      </c>
      <c r="K690" s="287" t="str">
        <f t="shared" si="99"/>
        <v/>
      </c>
      <c r="L690" s="287" t="str">
        <f t="shared" si="100"/>
        <v/>
      </c>
      <c r="M690" s="290" t="str">
        <f t="shared" si="101"/>
        <v/>
      </c>
      <c r="N690" t="str">
        <f>IF($A690="","",IFERROR(INDEX(Prices[Category],MATCH($A690,Prices[Key],0)),"Uncategorized"))</f>
        <v/>
      </c>
      <c r="O690" s="291" t="str">
        <f t="shared" si="102"/>
        <v/>
      </c>
      <c r="P690" s="291" t="str">
        <f t="shared" si="103"/>
        <v/>
      </c>
    </row>
    <row r="691" spans="1:16" ht="15" customHeight="1" x14ac:dyDescent="0.2">
      <c r="A691" s="243" t="str">
        <f>IFERROR(INDEX('All Ticker P&amp;L'!$A$2:$A$1001,MATCH(ROWS($A$2:A691),'All Ticker P&amp;L'!$N$2:$N$1001,0)),"")</f>
        <v/>
      </c>
      <c r="B691" s="243" t="str">
        <f t="shared" si="95"/>
        <v/>
      </c>
      <c r="C691" s="243" t="str">
        <f t="shared" si="96"/>
        <v/>
      </c>
      <c r="D691" s="243" t="str">
        <f t="shared" si="97"/>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8"/>
        <v/>
      </c>
      <c r="K691" s="287" t="str">
        <f t="shared" si="99"/>
        <v/>
      </c>
      <c r="L691" s="287" t="str">
        <f t="shared" si="100"/>
        <v/>
      </c>
      <c r="M691" s="290" t="str">
        <f t="shared" si="101"/>
        <v/>
      </c>
      <c r="N691" t="str">
        <f>IF($A691="","",IFERROR(INDEX(Prices[Category],MATCH($A691,Prices[Key],0)),"Uncategorized"))</f>
        <v/>
      </c>
      <c r="O691" s="291" t="str">
        <f t="shared" si="102"/>
        <v/>
      </c>
      <c r="P691" s="291" t="str">
        <f t="shared" si="103"/>
        <v/>
      </c>
    </row>
    <row r="692" spans="1:16" ht="15" customHeight="1" x14ac:dyDescent="0.2">
      <c r="A692" s="243" t="str">
        <f>IFERROR(INDEX('All Ticker P&amp;L'!$A$2:$A$1001,MATCH(ROWS($A$2:A692),'All Ticker P&amp;L'!$N$2:$N$1001,0)),"")</f>
        <v/>
      </c>
      <c r="B692" s="243" t="str">
        <f t="shared" si="95"/>
        <v/>
      </c>
      <c r="C692" s="243" t="str">
        <f t="shared" si="96"/>
        <v/>
      </c>
      <c r="D692" s="243" t="str">
        <f t="shared" si="97"/>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8"/>
        <v/>
      </c>
      <c r="K692" s="287" t="str">
        <f t="shared" si="99"/>
        <v/>
      </c>
      <c r="L692" s="287" t="str">
        <f t="shared" si="100"/>
        <v/>
      </c>
      <c r="M692" s="290" t="str">
        <f t="shared" si="101"/>
        <v/>
      </c>
      <c r="N692" t="str">
        <f>IF($A692="","",IFERROR(INDEX(Prices[Category],MATCH($A692,Prices[Key],0)),"Uncategorized"))</f>
        <v/>
      </c>
      <c r="O692" s="291" t="str">
        <f t="shared" si="102"/>
        <v/>
      </c>
      <c r="P692" s="291" t="str">
        <f t="shared" si="103"/>
        <v/>
      </c>
    </row>
    <row r="693" spans="1:16" ht="15" customHeight="1" x14ac:dyDescent="0.2">
      <c r="A693" s="243" t="str">
        <f>IFERROR(INDEX('All Ticker P&amp;L'!$A$2:$A$1001,MATCH(ROWS($A$2:A693),'All Ticker P&amp;L'!$N$2:$N$1001,0)),"")</f>
        <v/>
      </c>
      <c r="B693" s="243" t="str">
        <f t="shared" si="95"/>
        <v/>
      </c>
      <c r="C693" s="243" t="str">
        <f t="shared" si="96"/>
        <v/>
      </c>
      <c r="D693" s="243" t="str">
        <f t="shared" si="97"/>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8"/>
        <v/>
      </c>
      <c r="K693" s="287" t="str">
        <f t="shared" si="99"/>
        <v/>
      </c>
      <c r="L693" s="287" t="str">
        <f t="shared" si="100"/>
        <v/>
      </c>
      <c r="M693" s="290" t="str">
        <f t="shared" si="101"/>
        <v/>
      </c>
      <c r="N693" t="str">
        <f>IF($A693="","",IFERROR(INDEX(Prices[Category],MATCH($A693,Prices[Key],0)),"Uncategorized"))</f>
        <v/>
      </c>
      <c r="O693" s="291" t="str">
        <f t="shared" si="102"/>
        <v/>
      </c>
      <c r="P693" s="291" t="str">
        <f t="shared" si="103"/>
        <v/>
      </c>
    </row>
    <row r="694" spans="1:16" ht="15" customHeight="1" x14ac:dyDescent="0.2">
      <c r="A694" s="243" t="str">
        <f>IFERROR(INDEX('All Ticker P&amp;L'!$A$2:$A$1001,MATCH(ROWS($A$2:A694),'All Ticker P&amp;L'!$N$2:$N$1001,0)),"")</f>
        <v/>
      </c>
      <c r="B694" s="243" t="str">
        <f t="shared" si="95"/>
        <v/>
      </c>
      <c r="C694" s="243" t="str">
        <f t="shared" si="96"/>
        <v/>
      </c>
      <c r="D694" s="243" t="str">
        <f t="shared" si="97"/>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8"/>
        <v/>
      </c>
      <c r="K694" s="287" t="str">
        <f t="shared" si="99"/>
        <v/>
      </c>
      <c r="L694" s="287" t="str">
        <f t="shared" si="100"/>
        <v/>
      </c>
      <c r="M694" s="290" t="str">
        <f t="shared" si="101"/>
        <v/>
      </c>
      <c r="N694" t="str">
        <f>IF($A694="","",IFERROR(INDEX(Prices[Category],MATCH($A694,Prices[Key],0)),"Uncategorized"))</f>
        <v/>
      </c>
      <c r="O694" s="291" t="str">
        <f t="shared" si="102"/>
        <v/>
      </c>
      <c r="P694" s="291" t="str">
        <f t="shared" si="103"/>
        <v/>
      </c>
    </row>
    <row r="695" spans="1:16" ht="15" customHeight="1" x14ac:dyDescent="0.2">
      <c r="A695" s="243" t="str">
        <f>IFERROR(INDEX('All Ticker P&amp;L'!$A$2:$A$1001,MATCH(ROWS($A$2:A695),'All Ticker P&amp;L'!$N$2:$N$1001,0)),"")</f>
        <v/>
      </c>
      <c r="B695" s="243" t="str">
        <f t="shared" si="95"/>
        <v/>
      </c>
      <c r="C695" s="243" t="str">
        <f t="shared" si="96"/>
        <v/>
      </c>
      <c r="D695" s="243" t="str">
        <f t="shared" si="97"/>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8"/>
        <v/>
      </c>
      <c r="K695" s="287" t="str">
        <f t="shared" si="99"/>
        <v/>
      </c>
      <c r="L695" s="287" t="str">
        <f t="shared" si="100"/>
        <v/>
      </c>
      <c r="M695" s="290" t="str">
        <f t="shared" si="101"/>
        <v/>
      </c>
      <c r="N695" t="str">
        <f>IF($A695="","",IFERROR(INDEX(Prices[Category],MATCH($A695,Prices[Key],0)),"Uncategorized"))</f>
        <v/>
      </c>
      <c r="O695" s="291" t="str">
        <f t="shared" si="102"/>
        <v/>
      </c>
      <c r="P695" s="291" t="str">
        <f t="shared" si="103"/>
        <v/>
      </c>
    </row>
    <row r="696" spans="1:16" ht="15" customHeight="1" x14ac:dyDescent="0.2">
      <c r="A696" s="243" t="str">
        <f>IFERROR(INDEX('All Ticker P&amp;L'!$A$2:$A$1001,MATCH(ROWS($A$2:A696),'All Ticker P&amp;L'!$N$2:$N$1001,0)),"")</f>
        <v/>
      </c>
      <c r="B696" s="243" t="str">
        <f t="shared" si="95"/>
        <v/>
      </c>
      <c r="C696" s="243" t="str">
        <f t="shared" si="96"/>
        <v/>
      </c>
      <c r="D696" s="243" t="str">
        <f t="shared" si="97"/>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8"/>
        <v/>
      </c>
      <c r="K696" s="287" t="str">
        <f t="shared" si="99"/>
        <v/>
      </c>
      <c r="L696" s="287" t="str">
        <f t="shared" si="100"/>
        <v/>
      </c>
      <c r="M696" s="290" t="str">
        <f t="shared" si="101"/>
        <v/>
      </c>
      <c r="N696" t="str">
        <f>IF($A696="","",IFERROR(INDEX(Prices[Category],MATCH($A696,Prices[Key],0)),"Uncategorized"))</f>
        <v/>
      </c>
      <c r="O696" s="291" t="str">
        <f t="shared" si="102"/>
        <v/>
      </c>
      <c r="P696" s="291" t="str">
        <f t="shared" si="103"/>
        <v/>
      </c>
    </row>
    <row r="697" spans="1:16" ht="15" customHeight="1" x14ac:dyDescent="0.2">
      <c r="A697" s="243" t="str">
        <f>IFERROR(INDEX('All Ticker P&amp;L'!$A$2:$A$1001,MATCH(ROWS($A$2:A697),'All Ticker P&amp;L'!$N$2:$N$1001,0)),"")</f>
        <v/>
      </c>
      <c r="B697" s="243" t="str">
        <f t="shared" si="95"/>
        <v/>
      </c>
      <c r="C697" s="243" t="str">
        <f t="shared" si="96"/>
        <v/>
      </c>
      <c r="D697" s="243" t="str">
        <f t="shared" si="97"/>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8"/>
        <v/>
      </c>
      <c r="K697" s="287" t="str">
        <f t="shared" si="99"/>
        <v/>
      </c>
      <c r="L697" s="287" t="str">
        <f t="shared" si="100"/>
        <v/>
      </c>
      <c r="M697" s="290" t="str">
        <f t="shared" si="101"/>
        <v/>
      </c>
      <c r="N697" t="str">
        <f>IF($A697="","",IFERROR(INDEX(Prices[Category],MATCH($A697,Prices[Key],0)),"Uncategorized"))</f>
        <v/>
      </c>
      <c r="O697" s="291" t="str">
        <f t="shared" si="102"/>
        <v/>
      </c>
      <c r="P697" s="291" t="str">
        <f t="shared" si="103"/>
        <v/>
      </c>
    </row>
    <row r="698" spans="1:16" ht="15" customHeight="1" x14ac:dyDescent="0.2">
      <c r="A698" s="243" t="str">
        <f>IFERROR(INDEX('All Ticker P&amp;L'!$A$2:$A$1001,MATCH(ROWS($A$2:A698),'All Ticker P&amp;L'!$N$2:$N$1001,0)),"")</f>
        <v/>
      </c>
      <c r="B698" s="243" t="str">
        <f t="shared" si="95"/>
        <v/>
      </c>
      <c r="C698" s="243" t="str">
        <f t="shared" si="96"/>
        <v/>
      </c>
      <c r="D698" s="243" t="str">
        <f t="shared" si="97"/>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8"/>
        <v/>
      </c>
      <c r="K698" s="287" t="str">
        <f t="shared" si="99"/>
        <v/>
      </c>
      <c r="L698" s="287" t="str">
        <f t="shared" si="100"/>
        <v/>
      </c>
      <c r="M698" s="290" t="str">
        <f t="shared" si="101"/>
        <v/>
      </c>
      <c r="N698" t="str">
        <f>IF($A698="","",IFERROR(INDEX(Prices[Category],MATCH($A698,Prices[Key],0)),"Uncategorized"))</f>
        <v/>
      </c>
      <c r="O698" s="291" t="str">
        <f t="shared" si="102"/>
        <v/>
      </c>
      <c r="P698" s="291" t="str">
        <f t="shared" si="103"/>
        <v/>
      </c>
    </row>
    <row r="699" spans="1:16" ht="15" customHeight="1" x14ac:dyDescent="0.2">
      <c r="A699" s="243" t="str">
        <f>IFERROR(INDEX('All Ticker P&amp;L'!$A$2:$A$1001,MATCH(ROWS($A$2:A699),'All Ticker P&amp;L'!$N$2:$N$1001,0)),"")</f>
        <v/>
      </c>
      <c r="B699" s="243" t="str">
        <f t="shared" si="95"/>
        <v/>
      </c>
      <c r="C699" s="243" t="str">
        <f t="shared" si="96"/>
        <v/>
      </c>
      <c r="D699" s="243" t="str">
        <f t="shared" si="97"/>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8"/>
        <v/>
      </c>
      <c r="K699" s="287" t="str">
        <f t="shared" si="99"/>
        <v/>
      </c>
      <c r="L699" s="287" t="str">
        <f t="shared" si="100"/>
        <v/>
      </c>
      <c r="M699" s="290" t="str">
        <f t="shared" si="101"/>
        <v/>
      </c>
      <c r="N699" t="str">
        <f>IF($A699="","",IFERROR(INDEX(Prices[Category],MATCH($A699,Prices[Key],0)),"Uncategorized"))</f>
        <v/>
      </c>
      <c r="O699" s="291" t="str">
        <f t="shared" si="102"/>
        <v/>
      </c>
      <c r="P699" s="291" t="str">
        <f t="shared" si="103"/>
        <v/>
      </c>
    </row>
    <row r="700" spans="1:16" ht="15" customHeight="1" x14ac:dyDescent="0.2">
      <c r="A700" s="243" t="str">
        <f>IFERROR(INDEX('All Ticker P&amp;L'!$A$2:$A$1001,MATCH(ROWS($A$2:A700),'All Ticker P&amp;L'!$N$2:$N$1001,0)),"")</f>
        <v/>
      </c>
      <c r="B700" s="243" t="str">
        <f t="shared" si="95"/>
        <v/>
      </c>
      <c r="C700" s="243" t="str">
        <f t="shared" si="96"/>
        <v/>
      </c>
      <c r="D700" s="243" t="str">
        <f t="shared" si="97"/>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8"/>
        <v/>
      </c>
      <c r="K700" s="287" t="str">
        <f t="shared" si="99"/>
        <v/>
      </c>
      <c r="L700" s="287" t="str">
        <f t="shared" si="100"/>
        <v/>
      </c>
      <c r="M700" s="290" t="str">
        <f t="shared" si="101"/>
        <v/>
      </c>
      <c r="N700" t="str">
        <f>IF($A700="","",IFERROR(INDEX(Prices[Category],MATCH($A700,Prices[Key],0)),"Uncategorized"))</f>
        <v/>
      </c>
      <c r="O700" s="291" t="str">
        <f t="shared" si="102"/>
        <v/>
      </c>
      <c r="P700" s="291" t="str">
        <f t="shared" si="103"/>
        <v/>
      </c>
    </row>
    <row r="701" spans="1:16" ht="15" customHeight="1" x14ac:dyDescent="0.2">
      <c r="A701" s="243" t="str">
        <f>IFERROR(INDEX('All Ticker P&amp;L'!$A$2:$A$1001,MATCH(ROWS($A$2:A701),'All Ticker P&amp;L'!$N$2:$N$1001,0)),"")</f>
        <v/>
      </c>
      <c r="B701" s="243" t="str">
        <f t="shared" si="95"/>
        <v/>
      </c>
      <c r="C701" s="243" t="str">
        <f t="shared" si="96"/>
        <v/>
      </c>
      <c r="D701" s="243" t="str">
        <f t="shared" si="97"/>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8"/>
        <v/>
      </c>
      <c r="K701" s="287" t="str">
        <f t="shared" si="99"/>
        <v/>
      </c>
      <c r="L701" s="287" t="str">
        <f t="shared" si="100"/>
        <v/>
      </c>
      <c r="M701" s="290" t="str">
        <f t="shared" si="101"/>
        <v/>
      </c>
      <c r="N701" t="str">
        <f>IF($A701="","",IFERROR(INDEX(Prices[Category],MATCH($A701,Prices[Key],0)),"Uncategorized"))</f>
        <v/>
      </c>
      <c r="O701" s="291" t="str">
        <f t="shared" si="102"/>
        <v/>
      </c>
      <c r="P701" s="291" t="str">
        <f t="shared" si="103"/>
        <v/>
      </c>
    </row>
    <row r="702" spans="1:16" ht="15" customHeight="1" x14ac:dyDescent="0.2">
      <c r="A702" s="243" t="str">
        <f>IFERROR(INDEX('All Ticker P&amp;L'!$A$2:$A$1001,MATCH(ROWS($A$2:A702),'All Ticker P&amp;L'!$N$2:$N$1001,0)),"")</f>
        <v/>
      </c>
      <c r="B702" s="243" t="str">
        <f t="shared" si="95"/>
        <v/>
      </c>
      <c r="C702" s="243" t="str">
        <f t="shared" si="96"/>
        <v/>
      </c>
      <c r="D702" s="243" t="str">
        <f t="shared" si="97"/>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8"/>
        <v/>
      </c>
      <c r="K702" s="287" t="str">
        <f t="shared" si="99"/>
        <v/>
      </c>
      <c r="L702" s="287" t="str">
        <f t="shared" si="100"/>
        <v/>
      </c>
      <c r="M702" s="290" t="str">
        <f t="shared" si="101"/>
        <v/>
      </c>
      <c r="N702" t="str">
        <f>IF($A702="","",IFERROR(INDEX(Prices[Category],MATCH($A702,Prices[Key],0)),"Uncategorized"))</f>
        <v/>
      </c>
      <c r="O702" s="291" t="str">
        <f t="shared" si="102"/>
        <v/>
      </c>
      <c r="P702" s="291" t="str">
        <f t="shared" si="103"/>
        <v/>
      </c>
    </row>
    <row r="703" spans="1:16" ht="15" customHeight="1" x14ac:dyDescent="0.2">
      <c r="A703" s="243" t="str">
        <f>IFERROR(INDEX('All Ticker P&amp;L'!$A$2:$A$1001,MATCH(ROWS($A$2:A703),'All Ticker P&amp;L'!$N$2:$N$1001,0)),"")</f>
        <v/>
      </c>
      <c r="B703" s="243" t="str">
        <f t="shared" si="95"/>
        <v/>
      </c>
      <c r="C703" s="243" t="str">
        <f t="shared" si="96"/>
        <v/>
      </c>
      <c r="D703" s="243" t="str">
        <f t="shared" si="97"/>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8"/>
        <v/>
      </c>
      <c r="K703" s="287" t="str">
        <f t="shared" si="99"/>
        <v/>
      </c>
      <c r="L703" s="287" t="str">
        <f t="shared" si="100"/>
        <v/>
      </c>
      <c r="M703" s="290" t="str">
        <f t="shared" si="101"/>
        <v/>
      </c>
      <c r="N703" t="str">
        <f>IF($A703="","",IFERROR(INDEX(Prices[Category],MATCH($A703,Prices[Key],0)),"Uncategorized"))</f>
        <v/>
      </c>
      <c r="O703" s="291" t="str">
        <f t="shared" si="102"/>
        <v/>
      </c>
      <c r="P703" s="291" t="str">
        <f t="shared" si="103"/>
        <v/>
      </c>
    </row>
    <row r="704" spans="1:16" ht="15" customHeight="1" x14ac:dyDescent="0.2">
      <c r="A704" s="243" t="str">
        <f>IFERROR(INDEX('All Ticker P&amp;L'!$A$2:$A$1001,MATCH(ROWS($A$2:A704),'All Ticker P&amp;L'!$N$2:$N$1001,0)),"")</f>
        <v/>
      </c>
      <c r="B704" s="243" t="str">
        <f t="shared" si="95"/>
        <v/>
      </c>
      <c r="C704" s="243" t="str">
        <f t="shared" si="96"/>
        <v/>
      </c>
      <c r="D704" s="243" t="str">
        <f t="shared" si="97"/>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8"/>
        <v/>
      </c>
      <c r="K704" s="287" t="str">
        <f t="shared" si="99"/>
        <v/>
      </c>
      <c r="L704" s="287" t="str">
        <f t="shared" si="100"/>
        <v/>
      </c>
      <c r="M704" s="290" t="str">
        <f t="shared" si="101"/>
        <v/>
      </c>
      <c r="N704" t="str">
        <f>IF($A704="","",IFERROR(INDEX(Prices[Category],MATCH($A704,Prices[Key],0)),"Uncategorized"))</f>
        <v/>
      </c>
      <c r="O704" s="291" t="str">
        <f t="shared" si="102"/>
        <v/>
      </c>
      <c r="P704" s="291" t="str">
        <f t="shared" si="103"/>
        <v/>
      </c>
    </row>
    <row r="705" spans="1:16" ht="15" customHeight="1" x14ac:dyDescent="0.2">
      <c r="A705" s="243" t="str">
        <f>IFERROR(INDEX('All Ticker P&amp;L'!$A$2:$A$1001,MATCH(ROWS($A$2:A705),'All Ticker P&amp;L'!$N$2:$N$1001,0)),"")</f>
        <v/>
      </c>
      <c r="B705" s="243" t="str">
        <f t="shared" si="95"/>
        <v/>
      </c>
      <c r="C705" s="243" t="str">
        <f t="shared" si="96"/>
        <v/>
      </c>
      <c r="D705" s="243" t="str">
        <f t="shared" si="97"/>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8"/>
        <v/>
      </c>
      <c r="K705" s="287" t="str">
        <f t="shared" si="99"/>
        <v/>
      </c>
      <c r="L705" s="287" t="str">
        <f t="shared" si="100"/>
        <v/>
      </c>
      <c r="M705" s="290" t="str">
        <f t="shared" si="101"/>
        <v/>
      </c>
      <c r="N705" t="str">
        <f>IF($A705="","",IFERROR(INDEX(Prices[Category],MATCH($A705,Prices[Key],0)),"Uncategorized"))</f>
        <v/>
      </c>
      <c r="O705" s="291" t="str">
        <f t="shared" si="102"/>
        <v/>
      </c>
      <c r="P705" s="291" t="str">
        <f t="shared" si="103"/>
        <v/>
      </c>
    </row>
    <row r="706" spans="1:16" ht="15" customHeight="1" x14ac:dyDescent="0.2">
      <c r="A706" s="243" t="str">
        <f>IFERROR(INDEX('All Ticker P&amp;L'!$A$2:$A$1001,MATCH(ROWS($A$2:A706),'All Ticker P&amp;L'!$N$2:$N$1001,0)),"")</f>
        <v/>
      </c>
      <c r="B706" s="243" t="str">
        <f t="shared" ref="B706:B769" si="104">IF($A706="","",LEFT($A706,FIND(":",$A706)-1))</f>
        <v/>
      </c>
      <c r="C706" s="243" t="str">
        <f t="shared" ref="C706:C769" si="105">IF($A706="","",MID($A706,FIND(":",$A706)+1,FIND(":",$A706,FIND(":",$A706)+1)-FIND(":",$A706)-1))</f>
        <v/>
      </c>
      <c r="D706" s="243" t="str">
        <f t="shared" ref="D706:D769" si="106">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7">IF($A706="","",E706*H706)</f>
        <v/>
      </c>
      <c r="K706" s="287" t="str">
        <f t="shared" ref="K706:K769" si="108">IF($A706="","",J706+G706-F706)</f>
        <v/>
      </c>
      <c r="L706" s="287" t="str">
        <f t="shared" ref="L706:L769" si="109">IF($A706="","",K706*I706)</f>
        <v/>
      </c>
      <c r="M706" s="290" t="str">
        <f t="shared" ref="M706:M769" si="110">IF($A706="","",IFERROR(K706/F706,0))</f>
        <v/>
      </c>
      <c r="N706" t="str">
        <f>IF($A706="","",IFERROR(INDEX(Prices[Category],MATCH($A706,Prices[Key],0)),"Uncategorized"))</f>
        <v/>
      </c>
      <c r="O706" s="291" t="str">
        <f t="shared" ref="O706:O769" si="111">IF($A706="","",$J706*$I706)</f>
        <v/>
      </c>
      <c r="P706" s="291" t="str">
        <f t="shared" ref="P706:P769" si="112">IF($A706="","",$L706)</f>
        <v/>
      </c>
    </row>
    <row r="707" spans="1:16" ht="15" customHeight="1" x14ac:dyDescent="0.2">
      <c r="A707" s="243" t="str">
        <f>IFERROR(INDEX('All Ticker P&amp;L'!$A$2:$A$1001,MATCH(ROWS($A$2:A707),'All Ticker P&amp;L'!$N$2:$N$1001,0)),"")</f>
        <v/>
      </c>
      <c r="B707" s="243" t="str">
        <f t="shared" si="104"/>
        <v/>
      </c>
      <c r="C707" s="243" t="str">
        <f t="shared" si="105"/>
        <v/>
      </c>
      <c r="D707" s="243" t="str">
        <f t="shared" si="106"/>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7"/>
        <v/>
      </c>
      <c r="K707" s="287" t="str">
        <f t="shared" si="108"/>
        <v/>
      </c>
      <c r="L707" s="287" t="str">
        <f t="shared" si="109"/>
        <v/>
      </c>
      <c r="M707" s="290" t="str">
        <f t="shared" si="110"/>
        <v/>
      </c>
      <c r="N707" t="str">
        <f>IF($A707="","",IFERROR(INDEX(Prices[Category],MATCH($A707,Prices[Key],0)),"Uncategorized"))</f>
        <v/>
      </c>
      <c r="O707" s="291" t="str">
        <f t="shared" si="111"/>
        <v/>
      </c>
      <c r="P707" s="291" t="str">
        <f t="shared" si="112"/>
        <v/>
      </c>
    </row>
    <row r="708" spans="1:16" ht="15" customHeight="1" x14ac:dyDescent="0.2">
      <c r="A708" s="243" t="str">
        <f>IFERROR(INDEX('All Ticker P&amp;L'!$A$2:$A$1001,MATCH(ROWS($A$2:A708),'All Ticker P&amp;L'!$N$2:$N$1001,0)),"")</f>
        <v/>
      </c>
      <c r="B708" s="243" t="str">
        <f t="shared" si="104"/>
        <v/>
      </c>
      <c r="C708" s="243" t="str">
        <f t="shared" si="105"/>
        <v/>
      </c>
      <c r="D708" s="243" t="str">
        <f t="shared" si="106"/>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7"/>
        <v/>
      </c>
      <c r="K708" s="287" t="str">
        <f t="shared" si="108"/>
        <v/>
      </c>
      <c r="L708" s="287" t="str">
        <f t="shared" si="109"/>
        <v/>
      </c>
      <c r="M708" s="290" t="str">
        <f t="shared" si="110"/>
        <v/>
      </c>
      <c r="N708" t="str">
        <f>IF($A708="","",IFERROR(INDEX(Prices[Category],MATCH($A708,Prices[Key],0)),"Uncategorized"))</f>
        <v/>
      </c>
      <c r="O708" s="291" t="str">
        <f t="shared" si="111"/>
        <v/>
      </c>
      <c r="P708" s="291" t="str">
        <f t="shared" si="112"/>
        <v/>
      </c>
    </row>
    <row r="709" spans="1:16" ht="15" customHeight="1" x14ac:dyDescent="0.2">
      <c r="A709" s="243" t="str">
        <f>IFERROR(INDEX('All Ticker P&amp;L'!$A$2:$A$1001,MATCH(ROWS($A$2:A709),'All Ticker P&amp;L'!$N$2:$N$1001,0)),"")</f>
        <v/>
      </c>
      <c r="B709" s="243" t="str">
        <f t="shared" si="104"/>
        <v/>
      </c>
      <c r="C709" s="243" t="str">
        <f t="shared" si="105"/>
        <v/>
      </c>
      <c r="D709" s="243" t="str">
        <f t="shared" si="106"/>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7"/>
        <v/>
      </c>
      <c r="K709" s="287" t="str">
        <f t="shared" si="108"/>
        <v/>
      </c>
      <c r="L709" s="287" t="str">
        <f t="shared" si="109"/>
        <v/>
      </c>
      <c r="M709" s="290" t="str">
        <f t="shared" si="110"/>
        <v/>
      </c>
      <c r="N709" t="str">
        <f>IF($A709="","",IFERROR(INDEX(Prices[Category],MATCH($A709,Prices[Key],0)),"Uncategorized"))</f>
        <v/>
      </c>
      <c r="O709" s="291" t="str">
        <f t="shared" si="111"/>
        <v/>
      </c>
      <c r="P709" s="291" t="str">
        <f t="shared" si="112"/>
        <v/>
      </c>
    </row>
    <row r="710" spans="1:16" ht="15" customHeight="1" x14ac:dyDescent="0.2">
      <c r="A710" s="243" t="str">
        <f>IFERROR(INDEX('All Ticker P&amp;L'!$A$2:$A$1001,MATCH(ROWS($A$2:A710),'All Ticker P&amp;L'!$N$2:$N$1001,0)),"")</f>
        <v/>
      </c>
      <c r="B710" s="243" t="str">
        <f t="shared" si="104"/>
        <v/>
      </c>
      <c r="C710" s="243" t="str">
        <f t="shared" si="105"/>
        <v/>
      </c>
      <c r="D710" s="243" t="str">
        <f t="shared" si="106"/>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7"/>
        <v/>
      </c>
      <c r="K710" s="287" t="str">
        <f t="shared" si="108"/>
        <v/>
      </c>
      <c r="L710" s="287" t="str">
        <f t="shared" si="109"/>
        <v/>
      </c>
      <c r="M710" s="290" t="str">
        <f t="shared" si="110"/>
        <v/>
      </c>
      <c r="N710" t="str">
        <f>IF($A710="","",IFERROR(INDEX(Prices[Category],MATCH($A710,Prices[Key],0)),"Uncategorized"))</f>
        <v/>
      </c>
      <c r="O710" s="291" t="str">
        <f t="shared" si="111"/>
        <v/>
      </c>
      <c r="P710" s="291" t="str">
        <f t="shared" si="112"/>
        <v/>
      </c>
    </row>
    <row r="711" spans="1:16" ht="15" customHeight="1" x14ac:dyDescent="0.2">
      <c r="A711" s="243" t="str">
        <f>IFERROR(INDEX('All Ticker P&amp;L'!$A$2:$A$1001,MATCH(ROWS($A$2:A711),'All Ticker P&amp;L'!$N$2:$N$1001,0)),"")</f>
        <v/>
      </c>
      <c r="B711" s="243" t="str">
        <f t="shared" si="104"/>
        <v/>
      </c>
      <c r="C711" s="243" t="str">
        <f t="shared" si="105"/>
        <v/>
      </c>
      <c r="D711" s="243" t="str">
        <f t="shared" si="106"/>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7"/>
        <v/>
      </c>
      <c r="K711" s="287" t="str">
        <f t="shared" si="108"/>
        <v/>
      </c>
      <c r="L711" s="287" t="str">
        <f t="shared" si="109"/>
        <v/>
      </c>
      <c r="M711" s="290" t="str">
        <f t="shared" si="110"/>
        <v/>
      </c>
      <c r="N711" t="str">
        <f>IF($A711="","",IFERROR(INDEX(Prices[Category],MATCH($A711,Prices[Key],0)),"Uncategorized"))</f>
        <v/>
      </c>
      <c r="O711" s="291" t="str">
        <f t="shared" si="111"/>
        <v/>
      </c>
      <c r="P711" s="291" t="str">
        <f t="shared" si="112"/>
        <v/>
      </c>
    </row>
    <row r="712" spans="1:16" ht="15" customHeight="1" x14ac:dyDescent="0.2">
      <c r="A712" s="243" t="str">
        <f>IFERROR(INDEX('All Ticker P&amp;L'!$A$2:$A$1001,MATCH(ROWS($A$2:A712),'All Ticker P&amp;L'!$N$2:$N$1001,0)),"")</f>
        <v/>
      </c>
      <c r="B712" s="243" t="str">
        <f t="shared" si="104"/>
        <v/>
      </c>
      <c r="C712" s="243" t="str">
        <f t="shared" si="105"/>
        <v/>
      </c>
      <c r="D712" s="243" t="str">
        <f t="shared" si="106"/>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7"/>
        <v/>
      </c>
      <c r="K712" s="287" t="str">
        <f t="shared" si="108"/>
        <v/>
      </c>
      <c r="L712" s="287" t="str">
        <f t="shared" si="109"/>
        <v/>
      </c>
      <c r="M712" s="290" t="str">
        <f t="shared" si="110"/>
        <v/>
      </c>
      <c r="N712" t="str">
        <f>IF($A712="","",IFERROR(INDEX(Prices[Category],MATCH($A712,Prices[Key],0)),"Uncategorized"))</f>
        <v/>
      </c>
      <c r="O712" s="291" t="str">
        <f t="shared" si="111"/>
        <v/>
      </c>
      <c r="P712" s="291" t="str">
        <f t="shared" si="112"/>
        <v/>
      </c>
    </row>
    <row r="713" spans="1:16" ht="15" customHeight="1" x14ac:dyDescent="0.2">
      <c r="A713" s="243" t="str">
        <f>IFERROR(INDEX('All Ticker P&amp;L'!$A$2:$A$1001,MATCH(ROWS($A$2:A713),'All Ticker P&amp;L'!$N$2:$N$1001,0)),"")</f>
        <v/>
      </c>
      <c r="B713" s="243" t="str">
        <f t="shared" si="104"/>
        <v/>
      </c>
      <c r="C713" s="243" t="str">
        <f t="shared" si="105"/>
        <v/>
      </c>
      <c r="D713" s="243" t="str">
        <f t="shared" si="106"/>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7"/>
        <v/>
      </c>
      <c r="K713" s="287" t="str">
        <f t="shared" si="108"/>
        <v/>
      </c>
      <c r="L713" s="287" t="str">
        <f t="shared" si="109"/>
        <v/>
      </c>
      <c r="M713" s="290" t="str">
        <f t="shared" si="110"/>
        <v/>
      </c>
      <c r="N713" t="str">
        <f>IF($A713="","",IFERROR(INDEX(Prices[Category],MATCH($A713,Prices[Key],0)),"Uncategorized"))</f>
        <v/>
      </c>
      <c r="O713" s="291" t="str">
        <f t="shared" si="111"/>
        <v/>
      </c>
      <c r="P713" s="291" t="str">
        <f t="shared" si="112"/>
        <v/>
      </c>
    </row>
    <row r="714" spans="1:16" ht="15" customHeight="1" x14ac:dyDescent="0.2">
      <c r="A714" s="243" t="str">
        <f>IFERROR(INDEX('All Ticker P&amp;L'!$A$2:$A$1001,MATCH(ROWS($A$2:A714),'All Ticker P&amp;L'!$N$2:$N$1001,0)),"")</f>
        <v/>
      </c>
      <c r="B714" s="243" t="str">
        <f t="shared" si="104"/>
        <v/>
      </c>
      <c r="C714" s="243" t="str">
        <f t="shared" si="105"/>
        <v/>
      </c>
      <c r="D714" s="243" t="str">
        <f t="shared" si="106"/>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7"/>
        <v/>
      </c>
      <c r="K714" s="287" t="str">
        <f t="shared" si="108"/>
        <v/>
      </c>
      <c r="L714" s="287" t="str">
        <f t="shared" si="109"/>
        <v/>
      </c>
      <c r="M714" s="290" t="str">
        <f t="shared" si="110"/>
        <v/>
      </c>
      <c r="N714" t="str">
        <f>IF($A714="","",IFERROR(INDEX(Prices[Category],MATCH($A714,Prices[Key],0)),"Uncategorized"))</f>
        <v/>
      </c>
      <c r="O714" s="291" t="str">
        <f t="shared" si="111"/>
        <v/>
      </c>
      <c r="P714" s="291" t="str">
        <f t="shared" si="112"/>
        <v/>
      </c>
    </row>
    <row r="715" spans="1:16" ht="15" customHeight="1" x14ac:dyDescent="0.2">
      <c r="A715" s="243" t="str">
        <f>IFERROR(INDEX('All Ticker P&amp;L'!$A$2:$A$1001,MATCH(ROWS($A$2:A715),'All Ticker P&amp;L'!$N$2:$N$1001,0)),"")</f>
        <v/>
      </c>
      <c r="B715" s="243" t="str">
        <f t="shared" si="104"/>
        <v/>
      </c>
      <c r="C715" s="243" t="str">
        <f t="shared" si="105"/>
        <v/>
      </c>
      <c r="D715" s="243" t="str">
        <f t="shared" si="106"/>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7"/>
        <v/>
      </c>
      <c r="K715" s="287" t="str">
        <f t="shared" si="108"/>
        <v/>
      </c>
      <c r="L715" s="287" t="str">
        <f t="shared" si="109"/>
        <v/>
      </c>
      <c r="M715" s="290" t="str">
        <f t="shared" si="110"/>
        <v/>
      </c>
      <c r="N715" t="str">
        <f>IF($A715="","",IFERROR(INDEX(Prices[Category],MATCH($A715,Prices[Key],0)),"Uncategorized"))</f>
        <v/>
      </c>
      <c r="O715" s="291" t="str">
        <f t="shared" si="111"/>
        <v/>
      </c>
      <c r="P715" s="291" t="str">
        <f t="shared" si="112"/>
        <v/>
      </c>
    </row>
    <row r="716" spans="1:16" ht="15" customHeight="1" x14ac:dyDescent="0.2">
      <c r="A716" s="243" t="str">
        <f>IFERROR(INDEX('All Ticker P&amp;L'!$A$2:$A$1001,MATCH(ROWS($A$2:A716),'All Ticker P&amp;L'!$N$2:$N$1001,0)),"")</f>
        <v/>
      </c>
      <c r="B716" s="243" t="str">
        <f t="shared" si="104"/>
        <v/>
      </c>
      <c r="C716" s="243" t="str">
        <f t="shared" si="105"/>
        <v/>
      </c>
      <c r="D716" s="243" t="str">
        <f t="shared" si="106"/>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7"/>
        <v/>
      </c>
      <c r="K716" s="287" t="str">
        <f t="shared" si="108"/>
        <v/>
      </c>
      <c r="L716" s="287" t="str">
        <f t="shared" si="109"/>
        <v/>
      </c>
      <c r="M716" s="290" t="str">
        <f t="shared" si="110"/>
        <v/>
      </c>
      <c r="N716" t="str">
        <f>IF($A716="","",IFERROR(INDEX(Prices[Category],MATCH($A716,Prices[Key],0)),"Uncategorized"))</f>
        <v/>
      </c>
      <c r="O716" s="291" t="str">
        <f t="shared" si="111"/>
        <v/>
      </c>
      <c r="P716" s="291" t="str">
        <f t="shared" si="112"/>
        <v/>
      </c>
    </row>
    <row r="717" spans="1:16" ht="15" customHeight="1" x14ac:dyDescent="0.2">
      <c r="A717" s="243" t="str">
        <f>IFERROR(INDEX('All Ticker P&amp;L'!$A$2:$A$1001,MATCH(ROWS($A$2:A717),'All Ticker P&amp;L'!$N$2:$N$1001,0)),"")</f>
        <v/>
      </c>
      <c r="B717" s="243" t="str">
        <f t="shared" si="104"/>
        <v/>
      </c>
      <c r="C717" s="243" t="str">
        <f t="shared" si="105"/>
        <v/>
      </c>
      <c r="D717" s="243" t="str">
        <f t="shared" si="106"/>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7"/>
        <v/>
      </c>
      <c r="K717" s="287" t="str">
        <f t="shared" si="108"/>
        <v/>
      </c>
      <c r="L717" s="287" t="str">
        <f t="shared" si="109"/>
        <v/>
      </c>
      <c r="M717" s="290" t="str">
        <f t="shared" si="110"/>
        <v/>
      </c>
      <c r="N717" t="str">
        <f>IF($A717="","",IFERROR(INDEX(Prices[Category],MATCH($A717,Prices[Key],0)),"Uncategorized"))</f>
        <v/>
      </c>
      <c r="O717" s="291" t="str">
        <f t="shared" si="111"/>
        <v/>
      </c>
      <c r="P717" s="291" t="str">
        <f t="shared" si="112"/>
        <v/>
      </c>
    </row>
    <row r="718" spans="1:16" ht="15" customHeight="1" x14ac:dyDescent="0.2">
      <c r="A718" s="243" t="str">
        <f>IFERROR(INDEX('All Ticker P&amp;L'!$A$2:$A$1001,MATCH(ROWS($A$2:A718),'All Ticker P&amp;L'!$N$2:$N$1001,0)),"")</f>
        <v/>
      </c>
      <c r="B718" s="243" t="str">
        <f t="shared" si="104"/>
        <v/>
      </c>
      <c r="C718" s="243" t="str">
        <f t="shared" si="105"/>
        <v/>
      </c>
      <c r="D718" s="243" t="str">
        <f t="shared" si="106"/>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7"/>
        <v/>
      </c>
      <c r="K718" s="287" t="str">
        <f t="shared" si="108"/>
        <v/>
      </c>
      <c r="L718" s="287" t="str">
        <f t="shared" si="109"/>
        <v/>
      </c>
      <c r="M718" s="290" t="str">
        <f t="shared" si="110"/>
        <v/>
      </c>
      <c r="N718" t="str">
        <f>IF($A718="","",IFERROR(INDEX(Prices[Category],MATCH($A718,Prices[Key],0)),"Uncategorized"))</f>
        <v/>
      </c>
      <c r="O718" s="291" t="str">
        <f t="shared" si="111"/>
        <v/>
      </c>
      <c r="P718" s="291" t="str">
        <f t="shared" si="112"/>
        <v/>
      </c>
    </row>
    <row r="719" spans="1:16" ht="15" customHeight="1" x14ac:dyDescent="0.2">
      <c r="A719" s="243" t="str">
        <f>IFERROR(INDEX('All Ticker P&amp;L'!$A$2:$A$1001,MATCH(ROWS($A$2:A719),'All Ticker P&amp;L'!$N$2:$N$1001,0)),"")</f>
        <v/>
      </c>
      <c r="B719" s="243" t="str">
        <f t="shared" si="104"/>
        <v/>
      </c>
      <c r="C719" s="243" t="str">
        <f t="shared" si="105"/>
        <v/>
      </c>
      <c r="D719" s="243" t="str">
        <f t="shared" si="106"/>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7"/>
        <v/>
      </c>
      <c r="K719" s="287" t="str">
        <f t="shared" si="108"/>
        <v/>
      </c>
      <c r="L719" s="287" t="str">
        <f t="shared" si="109"/>
        <v/>
      </c>
      <c r="M719" s="290" t="str">
        <f t="shared" si="110"/>
        <v/>
      </c>
      <c r="N719" t="str">
        <f>IF($A719="","",IFERROR(INDEX(Prices[Category],MATCH($A719,Prices[Key],0)),"Uncategorized"))</f>
        <v/>
      </c>
      <c r="O719" s="291" t="str">
        <f t="shared" si="111"/>
        <v/>
      </c>
      <c r="P719" s="291" t="str">
        <f t="shared" si="112"/>
        <v/>
      </c>
    </row>
    <row r="720" spans="1:16" ht="15" customHeight="1" x14ac:dyDescent="0.2">
      <c r="A720" s="243" t="str">
        <f>IFERROR(INDEX('All Ticker P&amp;L'!$A$2:$A$1001,MATCH(ROWS($A$2:A720),'All Ticker P&amp;L'!$N$2:$N$1001,0)),"")</f>
        <v/>
      </c>
      <c r="B720" s="243" t="str">
        <f t="shared" si="104"/>
        <v/>
      </c>
      <c r="C720" s="243" t="str">
        <f t="shared" si="105"/>
        <v/>
      </c>
      <c r="D720" s="243" t="str">
        <f t="shared" si="106"/>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7"/>
        <v/>
      </c>
      <c r="K720" s="287" t="str">
        <f t="shared" si="108"/>
        <v/>
      </c>
      <c r="L720" s="287" t="str">
        <f t="shared" si="109"/>
        <v/>
      </c>
      <c r="M720" s="290" t="str">
        <f t="shared" si="110"/>
        <v/>
      </c>
      <c r="N720" t="str">
        <f>IF($A720="","",IFERROR(INDEX(Prices[Category],MATCH($A720,Prices[Key],0)),"Uncategorized"))</f>
        <v/>
      </c>
      <c r="O720" s="291" t="str">
        <f t="shared" si="111"/>
        <v/>
      </c>
      <c r="P720" s="291" t="str">
        <f t="shared" si="112"/>
        <v/>
      </c>
    </row>
    <row r="721" spans="1:16" ht="15" customHeight="1" x14ac:dyDescent="0.2">
      <c r="A721" s="243" t="str">
        <f>IFERROR(INDEX('All Ticker P&amp;L'!$A$2:$A$1001,MATCH(ROWS($A$2:A721),'All Ticker P&amp;L'!$N$2:$N$1001,0)),"")</f>
        <v/>
      </c>
      <c r="B721" s="243" t="str">
        <f t="shared" si="104"/>
        <v/>
      </c>
      <c r="C721" s="243" t="str">
        <f t="shared" si="105"/>
        <v/>
      </c>
      <c r="D721" s="243" t="str">
        <f t="shared" si="106"/>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7"/>
        <v/>
      </c>
      <c r="K721" s="287" t="str">
        <f t="shared" si="108"/>
        <v/>
      </c>
      <c r="L721" s="287" t="str">
        <f t="shared" si="109"/>
        <v/>
      </c>
      <c r="M721" s="290" t="str">
        <f t="shared" si="110"/>
        <v/>
      </c>
      <c r="N721" t="str">
        <f>IF($A721="","",IFERROR(INDEX(Prices[Category],MATCH($A721,Prices[Key],0)),"Uncategorized"))</f>
        <v/>
      </c>
      <c r="O721" s="291" t="str">
        <f t="shared" si="111"/>
        <v/>
      </c>
      <c r="P721" s="291" t="str">
        <f t="shared" si="112"/>
        <v/>
      </c>
    </row>
    <row r="722" spans="1:16" ht="15" customHeight="1" x14ac:dyDescent="0.2">
      <c r="A722" s="243" t="str">
        <f>IFERROR(INDEX('All Ticker P&amp;L'!$A$2:$A$1001,MATCH(ROWS($A$2:A722),'All Ticker P&amp;L'!$N$2:$N$1001,0)),"")</f>
        <v/>
      </c>
      <c r="B722" s="243" t="str">
        <f t="shared" si="104"/>
        <v/>
      </c>
      <c r="C722" s="243" t="str">
        <f t="shared" si="105"/>
        <v/>
      </c>
      <c r="D722" s="243" t="str">
        <f t="shared" si="106"/>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7"/>
        <v/>
      </c>
      <c r="K722" s="287" t="str">
        <f t="shared" si="108"/>
        <v/>
      </c>
      <c r="L722" s="287" t="str">
        <f t="shared" si="109"/>
        <v/>
      </c>
      <c r="M722" s="290" t="str">
        <f t="shared" si="110"/>
        <v/>
      </c>
      <c r="N722" t="str">
        <f>IF($A722="","",IFERROR(INDEX(Prices[Category],MATCH($A722,Prices[Key],0)),"Uncategorized"))</f>
        <v/>
      </c>
      <c r="O722" s="291" t="str">
        <f t="shared" si="111"/>
        <v/>
      </c>
      <c r="P722" s="291" t="str">
        <f t="shared" si="112"/>
        <v/>
      </c>
    </row>
    <row r="723" spans="1:16" ht="15" customHeight="1" x14ac:dyDescent="0.2">
      <c r="A723" s="243" t="str">
        <f>IFERROR(INDEX('All Ticker P&amp;L'!$A$2:$A$1001,MATCH(ROWS($A$2:A723),'All Ticker P&amp;L'!$N$2:$N$1001,0)),"")</f>
        <v/>
      </c>
      <c r="B723" s="243" t="str">
        <f t="shared" si="104"/>
        <v/>
      </c>
      <c r="C723" s="243" t="str">
        <f t="shared" si="105"/>
        <v/>
      </c>
      <c r="D723" s="243" t="str">
        <f t="shared" si="106"/>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7"/>
        <v/>
      </c>
      <c r="K723" s="287" t="str">
        <f t="shared" si="108"/>
        <v/>
      </c>
      <c r="L723" s="287" t="str">
        <f t="shared" si="109"/>
        <v/>
      </c>
      <c r="M723" s="290" t="str">
        <f t="shared" si="110"/>
        <v/>
      </c>
      <c r="N723" t="str">
        <f>IF($A723="","",IFERROR(INDEX(Prices[Category],MATCH($A723,Prices[Key],0)),"Uncategorized"))</f>
        <v/>
      </c>
      <c r="O723" s="291" t="str">
        <f t="shared" si="111"/>
        <v/>
      </c>
      <c r="P723" s="291" t="str">
        <f t="shared" si="112"/>
        <v/>
      </c>
    </row>
    <row r="724" spans="1:16" ht="15" customHeight="1" x14ac:dyDescent="0.2">
      <c r="A724" s="243" t="str">
        <f>IFERROR(INDEX('All Ticker P&amp;L'!$A$2:$A$1001,MATCH(ROWS($A$2:A724),'All Ticker P&amp;L'!$N$2:$N$1001,0)),"")</f>
        <v/>
      </c>
      <c r="B724" s="243" t="str">
        <f t="shared" si="104"/>
        <v/>
      </c>
      <c r="C724" s="243" t="str">
        <f t="shared" si="105"/>
        <v/>
      </c>
      <c r="D724" s="243" t="str">
        <f t="shared" si="106"/>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7"/>
        <v/>
      </c>
      <c r="K724" s="287" t="str">
        <f t="shared" si="108"/>
        <v/>
      </c>
      <c r="L724" s="287" t="str">
        <f t="shared" si="109"/>
        <v/>
      </c>
      <c r="M724" s="290" t="str">
        <f t="shared" si="110"/>
        <v/>
      </c>
      <c r="N724" t="str">
        <f>IF($A724="","",IFERROR(INDEX(Prices[Category],MATCH($A724,Prices[Key],0)),"Uncategorized"))</f>
        <v/>
      </c>
      <c r="O724" s="291" t="str">
        <f t="shared" si="111"/>
        <v/>
      </c>
      <c r="P724" s="291" t="str">
        <f t="shared" si="112"/>
        <v/>
      </c>
    </row>
    <row r="725" spans="1:16" ht="15" customHeight="1" x14ac:dyDescent="0.2">
      <c r="A725" s="243" t="str">
        <f>IFERROR(INDEX('All Ticker P&amp;L'!$A$2:$A$1001,MATCH(ROWS($A$2:A725),'All Ticker P&amp;L'!$N$2:$N$1001,0)),"")</f>
        <v/>
      </c>
      <c r="B725" s="243" t="str">
        <f t="shared" si="104"/>
        <v/>
      </c>
      <c r="C725" s="243" t="str">
        <f t="shared" si="105"/>
        <v/>
      </c>
      <c r="D725" s="243" t="str">
        <f t="shared" si="106"/>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7"/>
        <v/>
      </c>
      <c r="K725" s="287" t="str">
        <f t="shared" si="108"/>
        <v/>
      </c>
      <c r="L725" s="287" t="str">
        <f t="shared" si="109"/>
        <v/>
      </c>
      <c r="M725" s="290" t="str">
        <f t="shared" si="110"/>
        <v/>
      </c>
      <c r="N725" t="str">
        <f>IF($A725="","",IFERROR(INDEX(Prices[Category],MATCH($A725,Prices[Key],0)),"Uncategorized"))</f>
        <v/>
      </c>
      <c r="O725" s="291" t="str">
        <f t="shared" si="111"/>
        <v/>
      </c>
      <c r="P725" s="291" t="str">
        <f t="shared" si="112"/>
        <v/>
      </c>
    </row>
    <row r="726" spans="1:16" ht="15" customHeight="1" x14ac:dyDescent="0.2">
      <c r="A726" s="243" t="str">
        <f>IFERROR(INDEX('All Ticker P&amp;L'!$A$2:$A$1001,MATCH(ROWS($A$2:A726),'All Ticker P&amp;L'!$N$2:$N$1001,0)),"")</f>
        <v/>
      </c>
      <c r="B726" s="243" t="str">
        <f t="shared" si="104"/>
        <v/>
      </c>
      <c r="C726" s="243" t="str">
        <f t="shared" si="105"/>
        <v/>
      </c>
      <c r="D726" s="243" t="str">
        <f t="shared" si="106"/>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7"/>
        <v/>
      </c>
      <c r="K726" s="287" t="str">
        <f t="shared" si="108"/>
        <v/>
      </c>
      <c r="L726" s="287" t="str">
        <f t="shared" si="109"/>
        <v/>
      </c>
      <c r="M726" s="290" t="str">
        <f t="shared" si="110"/>
        <v/>
      </c>
      <c r="N726" t="str">
        <f>IF($A726="","",IFERROR(INDEX(Prices[Category],MATCH($A726,Prices[Key],0)),"Uncategorized"))</f>
        <v/>
      </c>
      <c r="O726" s="291" t="str">
        <f t="shared" si="111"/>
        <v/>
      </c>
      <c r="P726" s="291" t="str">
        <f t="shared" si="112"/>
        <v/>
      </c>
    </row>
    <row r="727" spans="1:16" ht="15" customHeight="1" x14ac:dyDescent="0.2">
      <c r="A727" s="243" t="str">
        <f>IFERROR(INDEX('All Ticker P&amp;L'!$A$2:$A$1001,MATCH(ROWS($A$2:A727),'All Ticker P&amp;L'!$N$2:$N$1001,0)),"")</f>
        <v/>
      </c>
      <c r="B727" s="243" t="str">
        <f t="shared" si="104"/>
        <v/>
      </c>
      <c r="C727" s="243" t="str">
        <f t="shared" si="105"/>
        <v/>
      </c>
      <c r="D727" s="243" t="str">
        <f t="shared" si="106"/>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7"/>
        <v/>
      </c>
      <c r="K727" s="287" t="str">
        <f t="shared" si="108"/>
        <v/>
      </c>
      <c r="L727" s="287" t="str">
        <f t="shared" si="109"/>
        <v/>
      </c>
      <c r="M727" s="290" t="str">
        <f t="shared" si="110"/>
        <v/>
      </c>
      <c r="N727" t="str">
        <f>IF($A727="","",IFERROR(INDEX(Prices[Category],MATCH($A727,Prices[Key],0)),"Uncategorized"))</f>
        <v/>
      </c>
      <c r="O727" s="291" t="str">
        <f t="shared" si="111"/>
        <v/>
      </c>
      <c r="P727" s="291" t="str">
        <f t="shared" si="112"/>
        <v/>
      </c>
    </row>
    <row r="728" spans="1:16" ht="15" customHeight="1" x14ac:dyDescent="0.2">
      <c r="A728" s="243" t="str">
        <f>IFERROR(INDEX('All Ticker P&amp;L'!$A$2:$A$1001,MATCH(ROWS($A$2:A728),'All Ticker P&amp;L'!$N$2:$N$1001,0)),"")</f>
        <v/>
      </c>
      <c r="B728" s="243" t="str">
        <f t="shared" si="104"/>
        <v/>
      </c>
      <c r="C728" s="243" t="str">
        <f t="shared" si="105"/>
        <v/>
      </c>
      <c r="D728" s="243" t="str">
        <f t="shared" si="106"/>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7"/>
        <v/>
      </c>
      <c r="K728" s="287" t="str">
        <f t="shared" si="108"/>
        <v/>
      </c>
      <c r="L728" s="287" t="str">
        <f t="shared" si="109"/>
        <v/>
      </c>
      <c r="M728" s="290" t="str">
        <f t="shared" si="110"/>
        <v/>
      </c>
      <c r="N728" t="str">
        <f>IF($A728="","",IFERROR(INDEX(Prices[Category],MATCH($A728,Prices[Key],0)),"Uncategorized"))</f>
        <v/>
      </c>
      <c r="O728" s="291" t="str">
        <f t="shared" si="111"/>
        <v/>
      </c>
      <c r="P728" s="291" t="str">
        <f t="shared" si="112"/>
        <v/>
      </c>
    </row>
    <row r="729" spans="1:16" ht="15" customHeight="1" x14ac:dyDescent="0.2">
      <c r="A729" s="243" t="str">
        <f>IFERROR(INDEX('All Ticker P&amp;L'!$A$2:$A$1001,MATCH(ROWS($A$2:A729),'All Ticker P&amp;L'!$N$2:$N$1001,0)),"")</f>
        <v/>
      </c>
      <c r="B729" s="243" t="str">
        <f t="shared" si="104"/>
        <v/>
      </c>
      <c r="C729" s="243" t="str">
        <f t="shared" si="105"/>
        <v/>
      </c>
      <c r="D729" s="243" t="str">
        <f t="shared" si="106"/>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7"/>
        <v/>
      </c>
      <c r="K729" s="287" t="str">
        <f t="shared" si="108"/>
        <v/>
      </c>
      <c r="L729" s="287" t="str">
        <f t="shared" si="109"/>
        <v/>
      </c>
      <c r="M729" s="290" t="str">
        <f t="shared" si="110"/>
        <v/>
      </c>
      <c r="N729" t="str">
        <f>IF($A729="","",IFERROR(INDEX(Prices[Category],MATCH($A729,Prices[Key],0)),"Uncategorized"))</f>
        <v/>
      </c>
      <c r="O729" s="291" t="str">
        <f t="shared" si="111"/>
        <v/>
      </c>
      <c r="P729" s="291" t="str">
        <f t="shared" si="112"/>
        <v/>
      </c>
    </row>
    <row r="730" spans="1:16" ht="15" customHeight="1" x14ac:dyDescent="0.2">
      <c r="A730" s="243" t="str">
        <f>IFERROR(INDEX('All Ticker P&amp;L'!$A$2:$A$1001,MATCH(ROWS($A$2:A730),'All Ticker P&amp;L'!$N$2:$N$1001,0)),"")</f>
        <v/>
      </c>
      <c r="B730" s="243" t="str">
        <f t="shared" si="104"/>
        <v/>
      </c>
      <c r="C730" s="243" t="str">
        <f t="shared" si="105"/>
        <v/>
      </c>
      <c r="D730" s="243" t="str">
        <f t="shared" si="106"/>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7"/>
        <v/>
      </c>
      <c r="K730" s="287" t="str">
        <f t="shared" si="108"/>
        <v/>
      </c>
      <c r="L730" s="287" t="str">
        <f t="shared" si="109"/>
        <v/>
      </c>
      <c r="M730" s="290" t="str">
        <f t="shared" si="110"/>
        <v/>
      </c>
      <c r="N730" t="str">
        <f>IF($A730="","",IFERROR(INDEX(Prices[Category],MATCH($A730,Prices[Key],0)),"Uncategorized"))</f>
        <v/>
      </c>
      <c r="O730" s="291" t="str">
        <f t="shared" si="111"/>
        <v/>
      </c>
      <c r="P730" s="291" t="str">
        <f t="shared" si="112"/>
        <v/>
      </c>
    </row>
    <row r="731" spans="1:16" ht="15" customHeight="1" x14ac:dyDescent="0.2">
      <c r="A731" s="243" t="str">
        <f>IFERROR(INDEX('All Ticker P&amp;L'!$A$2:$A$1001,MATCH(ROWS($A$2:A731),'All Ticker P&amp;L'!$N$2:$N$1001,0)),"")</f>
        <v/>
      </c>
      <c r="B731" s="243" t="str">
        <f t="shared" si="104"/>
        <v/>
      </c>
      <c r="C731" s="243" t="str">
        <f t="shared" si="105"/>
        <v/>
      </c>
      <c r="D731" s="243" t="str">
        <f t="shared" si="106"/>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7"/>
        <v/>
      </c>
      <c r="K731" s="287" t="str">
        <f t="shared" si="108"/>
        <v/>
      </c>
      <c r="L731" s="287" t="str">
        <f t="shared" si="109"/>
        <v/>
      </c>
      <c r="M731" s="290" t="str">
        <f t="shared" si="110"/>
        <v/>
      </c>
      <c r="N731" t="str">
        <f>IF($A731="","",IFERROR(INDEX(Prices[Category],MATCH($A731,Prices[Key],0)),"Uncategorized"))</f>
        <v/>
      </c>
      <c r="O731" s="291" t="str">
        <f t="shared" si="111"/>
        <v/>
      </c>
      <c r="P731" s="291" t="str">
        <f t="shared" si="112"/>
        <v/>
      </c>
    </row>
    <row r="732" spans="1:16" ht="15" customHeight="1" x14ac:dyDescent="0.2">
      <c r="A732" s="243" t="str">
        <f>IFERROR(INDEX('All Ticker P&amp;L'!$A$2:$A$1001,MATCH(ROWS($A$2:A732),'All Ticker P&amp;L'!$N$2:$N$1001,0)),"")</f>
        <v/>
      </c>
      <c r="B732" s="243" t="str">
        <f t="shared" si="104"/>
        <v/>
      </c>
      <c r="C732" s="243" t="str">
        <f t="shared" si="105"/>
        <v/>
      </c>
      <c r="D732" s="243" t="str">
        <f t="shared" si="106"/>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7"/>
        <v/>
      </c>
      <c r="K732" s="287" t="str">
        <f t="shared" si="108"/>
        <v/>
      </c>
      <c r="L732" s="287" t="str">
        <f t="shared" si="109"/>
        <v/>
      </c>
      <c r="M732" s="290" t="str">
        <f t="shared" si="110"/>
        <v/>
      </c>
      <c r="N732" t="str">
        <f>IF($A732="","",IFERROR(INDEX(Prices[Category],MATCH($A732,Prices[Key],0)),"Uncategorized"))</f>
        <v/>
      </c>
      <c r="O732" s="291" t="str">
        <f t="shared" si="111"/>
        <v/>
      </c>
      <c r="P732" s="291" t="str">
        <f t="shared" si="112"/>
        <v/>
      </c>
    </row>
    <row r="733" spans="1:16" ht="15" customHeight="1" x14ac:dyDescent="0.2">
      <c r="A733" s="243" t="str">
        <f>IFERROR(INDEX('All Ticker P&amp;L'!$A$2:$A$1001,MATCH(ROWS($A$2:A733),'All Ticker P&amp;L'!$N$2:$N$1001,0)),"")</f>
        <v/>
      </c>
      <c r="B733" s="243" t="str">
        <f t="shared" si="104"/>
        <v/>
      </c>
      <c r="C733" s="243" t="str">
        <f t="shared" si="105"/>
        <v/>
      </c>
      <c r="D733" s="243" t="str">
        <f t="shared" si="106"/>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7"/>
        <v/>
      </c>
      <c r="K733" s="287" t="str">
        <f t="shared" si="108"/>
        <v/>
      </c>
      <c r="L733" s="287" t="str">
        <f t="shared" si="109"/>
        <v/>
      </c>
      <c r="M733" s="290" t="str">
        <f t="shared" si="110"/>
        <v/>
      </c>
      <c r="N733" t="str">
        <f>IF($A733="","",IFERROR(INDEX(Prices[Category],MATCH($A733,Prices[Key],0)),"Uncategorized"))</f>
        <v/>
      </c>
      <c r="O733" s="291" t="str">
        <f t="shared" si="111"/>
        <v/>
      </c>
      <c r="P733" s="291" t="str">
        <f t="shared" si="112"/>
        <v/>
      </c>
    </row>
    <row r="734" spans="1:16" ht="15" customHeight="1" x14ac:dyDescent="0.2">
      <c r="A734" s="243" t="str">
        <f>IFERROR(INDEX('All Ticker P&amp;L'!$A$2:$A$1001,MATCH(ROWS($A$2:A734),'All Ticker P&amp;L'!$N$2:$N$1001,0)),"")</f>
        <v/>
      </c>
      <c r="B734" s="243" t="str">
        <f t="shared" si="104"/>
        <v/>
      </c>
      <c r="C734" s="243" t="str">
        <f t="shared" si="105"/>
        <v/>
      </c>
      <c r="D734" s="243" t="str">
        <f t="shared" si="106"/>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7"/>
        <v/>
      </c>
      <c r="K734" s="287" t="str">
        <f t="shared" si="108"/>
        <v/>
      </c>
      <c r="L734" s="287" t="str">
        <f t="shared" si="109"/>
        <v/>
      </c>
      <c r="M734" s="290" t="str">
        <f t="shared" si="110"/>
        <v/>
      </c>
      <c r="N734" t="str">
        <f>IF($A734="","",IFERROR(INDEX(Prices[Category],MATCH($A734,Prices[Key],0)),"Uncategorized"))</f>
        <v/>
      </c>
      <c r="O734" s="291" t="str">
        <f t="shared" si="111"/>
        <v/>
      </c>
      <c r="P734" s="291" t="str">
        <f t="shared" si="112"/>
        <v/>
      </c>
    </row>
    <row r="735" spans="1:16" ht="15" customHeight="1" x14ac:dyDescent="0.2">
      <c r="A735" s="243" t="str">
        <f>IFERROR(INDEX('All Ticker P&amp;L'!$A$2:$A$1001,MATCH(ROWS($A$2:A735),'All Ticker P&amp;L'!$N$2:$N$1001,0)),"")</f>
        <v/>
      </c>
      <c r="B735" s="243" t="str">
        <f t="shared" si="104"/>
        <v/>
      </c>
      <c r="C735" s="243" t="str">
        <f t="shared" si="105"/>
        <v/>
      </c>
      <c r="D735" s="243" t="str">
        <f t="shared" si="106"/>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7"/>
        <v/>
      </c>
      <c r="K735" s="287" t="str">
        <f t="shared" si="108"/>
        <v/>
      </c>
      <c r="L735" s="287" t="str">
        <f t="shared" si="109"/>
        <v/>
      </c>
      <c r="M735" s="290" t="str">
        <f t="shared" si="110"/>
        <v/>
      </c>
      <c r="N735" t="str">
        <f>IF($A735="","",IFERROR(INDEX(Prices[Category],MATCH($A735,Prices[Key],0)),"Uncategorized"))</f>
        <v/>
      </c>
      <c r="O735" s="291" t="str">
        <f t="shared" si="111"/>
        <v/>
      </c>
      <c r="P735" s="291" t="str">
        <f t="shared" si="112"/>
        <v/>
      </c>
    </row>
    <row r="736" spans="1:16" ht="15" customHeight="1" x14ac:dyDescent="0.2">
      <c r="A736" s="243" t="str">
        <f>IFERROR(INDEX('All Ticker P&amp;L'!$A$2:$A$1001,MATCH(ROWS($A$2:A736),'All Ticker P&amp;L'!$N$2:$N$1001,0)),"")</f>
        <v/>
      </c>
      <c r="B736" s="243" t="str">
        <f t="shared" si="104"/>
        <v/>
      </c>
      <c r="C736" s="243" t="str">
        <f t="shared" si="105"/>
        <v/>
      </c>
      <c r="D736" s="243" t="str">
        <f t="shared" si="106"/>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7"/>
        <v/>
      </c>
      <c r="K736" s="287" t="str">
        <f t="shared" si="108"/>
        <v/>
      </c>
      <c r="L736" s="287" t="str">
        <f t="shared" si="109"/>
        <v/>
      </c>
      <c r="M736" s="290" t="str">
        <f t="shared" si="110"/>
        <v/>
      </c>
      <c r="N736" t="str">
        <f>IF($A736="","",IFERROR(INDEX(Prices[Category],MATCH($A736,Prices[Key],0)),"Uncategorized"))</f>
        <v/>
      </c>
      <c r="O736" s="291" t="str">
        <f t="shared" si="111"/>
        <v/>
      </c>
      <c r="P736" s="291" t="str">
        <f t="shared" si="112"/>
        <v/>
      </c>
    </row>
    <row r="737" spans="1:16" ht="15" customHeight="1" x14ac:dyDescent="0.2">
      <c r="A737" s="243" t="str">
        <f>IFERROR(INDEX('All Ticker P&amp;L'!$A$2:$A$1001,MATCH(ROWS($A$2:A737),'All Ticker P&amp;L'!$N$2:$N$1001,0)),"")</f>
        <v/>
      </c>
      <c r="B737" s="243" t="str">
        <f t="shared" si="104"/>
        <v/>
      </c>
      <c r="C737" s="243" t="str">
        <f t="shared" si="105"/>
        <v/>
      </c>
      <c r="D737" s="243" t="str">
        <f t="shared" si="106"/>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7"/>
        <v/>
      </c>
      <c r="K737" s="287" t="str">
        <f t="shared" si="108"/>
        <v/>
      </c>
      <c r="L737" s="287" t="str">
        <f t="shared" si="109"/>
        <v/>
      </c>
      <c r="M737" s="290" t="str">
        <f t="shared" si="110"/>
        <v/>
      </c>
      <c r="N737" t="str">
        <f>IF($A737="","",IFERROR(INDEX(Prices[Category],MATCH($A737,Prices[Key],0)),"Uncategorized"))</f>
        <v/>
      </c>
      <c r="O737" s="291" t="str">
        <f t="shared" si="111"/>
        <v/>
      </c>
      <c r="P737" s="291" t="str">
        <f t="shared" si="112"/>
        <v/>
      </c>
    </row>
    <row r="738" spans="1:16" ht="15" customHeight="1" x14ac:dyDescent="0.2">
      <c r="A738" s="243" t="str">
        <f>IFERROR(INDEX('All Ticker P&amp;L'!$A$2:$A$1001,MATCH(ROWS($A$2:A738),'All Ticker P&amp;L'!$N$2:$N$1001,0)),"")</f>
        <v/>
      </c>
      <c r="B738" s="243" t="str">
        <f t="shared" si="104"/>
        <v/>
      </c>
      <c r="C738" s="243" t="str">
        <f t="shared" si="105"/>
        <v/>
      </c>
      <c r="D738" s="243" t="str">
        <f t="shared" si="106"/>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7"/>
        <v/>
      </c>
      <c r="K738" s="287" t="str">
        <f t="shared" si="108"/>
        <v/>
      </c>
      <c r="L738" s="287" t="str">
        <f t="shared" si="109"/>
        <v/>
      </c>
      <c r="M738" s="290" t="str">
        <f t="shared" si="110"/>
        <v/>
      </c>
      <c r="N738" t="str">
        <f>IF($A738="","",IFERROR(INDEX(Prices[Category],MATCH($A738,Prices[Key],0)),"Uncategorized"))</f>
        <v/>
      </c>
      <c r="O738" s="291" t="str">
        <f t="shared" si="111"/>
        <v/>
      </c>
      <c r="P738" s="291" t="str">
        <f t="shared" si="112"/>
        <v/>
      </c>
    </row>
    <row r="739" spans="1:16" ht="15" customHeight="1" x14ac:dyDescent="0.2">
      <c r="A739" s="243" t="str">
        <f>IFERROR(INDEX('All Ticker P&amp;L'!$A$2:$A$1001,MATCH(ROWS($A$2:A739),'All Ticker P&amp;L'!$N$2:$N$1001,0)),"")</f>
        <v/>
      </c>
      <c r="B739" s="243" t="str">
        <f t="shared" si="104"/>
        <v/>
      </c>
      <c r="C739" s="243" t="str">
        <f t="shared" si="105"/>
        <v/>
      </c>
      <c r="D739" s="243" t="str">
        <f t="shared" si="106"/>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7"/>
        <v/>
      </c>
      <c r="K739" s="287" t="str">
        <f t="shared" si="108"/>
        <v/>
      </c>
      <c r="L739" s="287" t="str">
        <f t="shared" si="109"/>
        <v/>
      </c>
      <c r="M739" s="290" t="str">
        <f t="shared" si="110"/>
        <v/>
      </c>
      <c r="N739" t="str">
        <f>IF($A739="","",IFERROR(INDEX(Prices[Category],MATCH($A739,Prices[Key],0)),"Uncategorized"))</f>
        <v/>
      </c>
      <c r="O739" s="291" t="str">
        <f t="shared" si="111"/>
        <v/>
      </c>
      <c r="P739" s="291" t="str">
        <f t="shared" si="112"/>
        <v/>
      </c>
    </row>
    <row r="740" spans="1:16" ht="15" customHeight="1" x14ac:dyDescent="0.2">
      <c r="A740" s="243" t="str">
        <f>IFERROR(INDEX('All Ticker P&amp;L'!$A$2:$A$1001,MATCH(ROWS($A$2:A740),'All Ticker P&amp;L'!$N$2:$N$1001,0)),"")</f>
        <v/>
      </c>
      <c r="B740" s="243" t="str">
        <f t="shared" si="104"/>
        <v/>
      </c>
      <c r="C740" s="243" t="str">
        <f t="shared" si="105"/>
        <v/>
      </c>
      <c r="D740" s="243" t="str">
        <f t="shared" si="106"/>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7"/>
        <v/>
      </c>
      <c r="K740" s="287" t="str">
        <f t="shared" si="108"/>
        <v/>
      </c>
      <c r="L740" s="287" t="str">
        <f t="shared" si="109"/>
        <v/>
      </c>
      <c r="M740" s="290" t="str">
        <f t="shared" si="110"/>
        <v/>
      </c>
      <c r="N740" t="str">
        <f>IF($A740="","",IFERROR(INDEX(Prices[Category],MATCH($A740,Prices[Key],0)),"Uncategorized"))</f>
        <v/>
      </c>
      <c r="O740" s="291" t="str">
        <f t="shared" si="111"/>
        <v/>
      </c>
      <c r="P740" s="291" t="str">
        <f t="shared" si="112"/>
        <v/>
      </c>
    </row>
    <row r="741" spans="1:16" ht="15" customHeight="1" x14ac:dyDescent="0.2">
      <c r="A741" s="243" t="str">
        <f>IFERROR(INDEX('All Ticker P&amp;L'!$A$2:$A$1001,MATCH(ROWS($A$2:A741),'All Ticker P&amp;L'!$N$2:$N$1001,0)),"")</f>
        <v/>
      </c>
      <c r="B741" s="243" t="str">
        <f t="shared" si="104"/>
        <v/>
      </c>
      <c r="C741" s="243" t="str">
        <f t="shared" si="105"/>
        <v/>
      </c>
      <c r="D741" s="243" t="str">
        <f t="shared" si="106"/>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7"/>
        <v/>
      </c>
      <c r="K741" s="287" t="str">
        <f t="shared" si="108"/>
        <v/>
      </c>
      <c r="L741" s="287" t="str">
        <f t="shared" si="109"/>
        <v/>
      </c>
      <c r="M741" s="290" t="str">
        <f t="shared" si="110"/>
        <v/>
      </c>
      <c r="N741" t="str">
        <f>IF($A741="","",IFERROR(INDEX(Prices[Category],MATCH($A741,Prices[Key],0)),"Uncategorized"))</f>
        <v/>
      </c>
      <c r="O741" s="291" t="str">
        <f t="shared" si="111"/>
        <v/>
      </c>
      <c r="P741" s="291" t="str">
        <f t="shared" si="112"/>
        <v/>
      </c>
    </row>
    <row r="742" spans="1:16" ht="15" customHeight="1" x14ac:dyDescent="0.2">
      <c r="A742" s="243" t="str">
        <f>IFERROR(INDEX('All Ticker P&amp;L'!$A$2:$A$1001,MATCH(ROWS($A$2:A742),'All Ticker P&amp;L'!$N$2:$N$1001,0)),"")</f>
        <v/>
      </c>
      <c r="B742" s="243" t="str">
        <f t="shared" si="104"/>
        <v/>
      </c>
      <c r="C742" s="243" t="str">
        <f t="shared" si="105"/>
        <v/>
      </c>
      <c r="D742" s="243" t="str">
        <f t="shared" si="106"/>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7"/>
        <v/>
      </c>
      <c r="K742" s="287" t="str">
        <f t="shared" si="108"/>
        <v/>
      </c>
      <c r="L742" s="287" t="str">
        <f t="shared" si="109"/>
        <v/>
      </c>
      <c r="M742" s="290" t="str">
        <f t="shared" si="110"/>
        <v/>
      </c>
      <c r="N742" t="str">
        <f>IF($A742="","",IFERROR(INDEX(Prices[Category],MATCH($A742,Prices[Key],0)),"Uncategorized"))</f>
        <v/>
      </c>
      <c r="O742" s="291" t="str">
        <f t="shared" si="111"/>
        <v/>
      </c>
      <c r="P742" s="291" t="str">
        <f t="shared" si="112"/>
        <v/>
      </c>
    </row>
    <row r="743" spans="1:16" ht="15" customHeight="1" x14ac:dyDescent="0.2">
      <c r="A743" s="243" t="str">
        <f>IFERROR(INDEX('All Ticker P&amp;L'!$A$2:$A$1001,MATCH(ROWS($A$2:A743),'All Ticker P&amp;L'!$N$2:$N$1001,0)),"")</f>
        <v/>
      </c>
      <c r="B743" s="243" t="str">
        <f t="shared" si="104"/>
        <v/>
      </c>
      <c r="C743" s="243" t="str">
        <f t="shared" si="105"/>
        <v/>
      </c>
      <c r="D743" s="243" t="str">
        <f t="shared" si="106"/>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7"/>
        <v/>
      </c>
      <c r="K743" s="287" t="str">
        <f t="shared" si="108"/>
        <v/>
      </c>
      <c r="L743" s="287" t="str">
        <f t="shared" si="109"/>
        <v/>
      </c>
      <c r="M743" s="290" t="str">
        <f t="shared" si="110"/>
        <v/>
      </c>
      <c r="N743" t="str">
        <f>IF($A743="","",IFERROR(INDEX(Prices[Category],MATCH($A743,Prices[Key],0)),"Uncategorized"))</f>
        <v/>
      </c>
      <c r="O743" s="291" t="str">
        <f t="shared" si="111"/>
        <v/>
      </c>
      <c r="P743" s="291" t="str">
        <f t="shared" si="112"/>
        <v/>
      </c>
    </row>
    <row r="744" spans="1:16" ht="15" customHeight="1" x14ac:dyDescent="0.2">
      <c r="A744" s="243" t="str">
        <f>IFERROR(INDEX('All Ticker P&amp;L'!$A$2:$A$1001,MATCH(ROWS($A$2:A744),'All Ticker P&amp;L'!$N$2:$N$1001,0)),"")</f>
        <v/>
      </c>
      <c r="B744" s="243" t="str">
        <f t="shared" si="104"/>
        <v/>
      </c>
      <c r="C744" s="243" t="str">
        <f t="shared" si="105"/>
        <v/>
      </c>
      <c r="D744" s="243" t="str">
        <f t="shared" si="106"/>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7"/>
        <v/>
      </c>
      <c r="K744" s="287" t="str">
        <f t="shared" si="108"/>
        <v/>
      </c>
      <c r="L744" s="287" t="str">
        <f t="shared" si="109"/>
        <v/>
      </c>
      <c r="M744" s="290" t="str">
        <f t="shared" si="110"/>
        <v/>
      </c>
      <c r="N744" t="str">
        <f>IF($A744="","",IFERROR(INDEX(Prices[Category],MATCH($A744,Prices[Key],0)),"Uncategorized"))</f>
        <v/>
      </c>
      <c r="O744" s="291" t="str">
        <f t="shared" si="111"/>
        <v/>
      </c>
      <c r="P744" s="291" t="str">
        <f t="shared" si="112"/>
        <v/>
      </c>
    </row>
    <row r="745" spans="1:16" ht="15" customHeight="1" x14ac:dyDescent="0.2">
      <c r="A745" s="243" t="str">
        <f>IFERROR(INDEX('All Ticker P&amp;L'!$A$2:$A$1001,MATCH(ROWS($A$2:A745),'All Ticker P&amp;L'!$N$2:$N$1001,0)),"")</f>
        <v/>
      </c>
      <c r="B745" s="243" t="str">
        <f t="shared" si="104"/>
        <v/>
      </c>
      <c r="C745" s="243" t="str">
        <f t="shared" si="105"/>
        <v/>
      </c>
      <c r="D745" s="243" t="str">
        <f t="shared" si="106"/>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7"/>
        <v/>
      </c>
      <c r="K745" s="287" t="str">
        <f t="shared" si="108"/>
        <v/>
      </c>
      <c r="L745" s="287" t="str">
        <f t="shared" si="109"/>
        <v/>
      </c>
      <c r="M745" s="290" t="str">
        <f t="shared" si="110"/>
        <v/>
      </c>
      <c r="N745" t="str">
        <f>IF($A745="","",IFERROR(INDEX(Prices[Category],MATCH($A745,Prices[Key],0)),"Uncategorized"))</f>
        <v/>
      </c>
      <c r="O745" s="291" t="str">
        <f t="shared" si="111"/>
        <v/>
      </c>
      <c r="P745" s="291" t="str">
        <f t="shared" si="112"/>
        <v/>
      </c>
    </row>
    <row r="746" spans="1:16" ht="15" customHeight="1" x14ac:dyDescent="0.2">
      <c r="A746" s="243" t="str">
        <f>IFERROR(INDEX('All Ticker P&amp;L'!$A$2:$A$1001,MATCH(ROWS($A$2:A746),'All Ticker P&amp;L'!$N$2:$N$1001,0)),"")</f>
        <v/>
      </c>
      <c r="B746" s="243" t="str">
        <f t="shared" si="104"/>
        <v/>
      </c>
      <c r="C746" s="243" t="str">
        <f t="shared" si="105"/>
        <v/>
      </c>
      <c r="D746" s="243" t="str">
        <f t="shared" si="106"/>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7"/>
        <v/>
      </c>
      <c r="K746" s="287" t="str">
        <f t="shared" si="108"/>
        <v/>
      </c>
      <c r="L746" s="287" t="str">
        <f t="shared" si="109"/>
        <v/>
      </c>
      <c r="M746" s="290" t="str">
        <f t="shared" si="110"/>
        <v/>
      </c>
      <c r="N746" t="str">
        <f>IF($A746="","",IFERROR(INDEX(Prices[Category],MATCH($A746,Prices[Key],0)),"Uncategorized"))</f>
        <v/>
      </c>
      <c r="O746" s="291" t="str">
        <f t="shared" si="111"/>
        <v/>
      </c>
      <c r="P746" s="291" t="str">
        <f t="shared" si="112"/>
        <v/>
      </c>
    </row>
    <row r="747" spans="1:16" ht="15" customHeight="1" x14ac:dyDescent="0.2">
      <c r="A747" s="243" t="str">
        <f>IFERROR(INDEX('All Ticker P&amp;L'!$A$2:$A$1001,MATCH(ROWS($A$2:A747),'All Ticker P&amp;L'!$N$2:$N$1001,0)),"")</f>
        <v/>
      </c>
      <c r="B747" s="243" t="str">
        <f t="shared" si="104"/>
        <v/>
      </c>
      <c r="C747" s="243" t="str">
        <f t="shared" si="105"/>
        <v/>
      </c>
      <c r="D747" s="243" t="str">
        <f t="shared" si="106"/>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7"/>
        <v/>
      </c>
      <c r="K747" s="287" t="str">
        <f t="shared" si="108"/>
        <v/>
      </c>
      <c r="L747" s="287" t="str">
        <f t="shared" si="109"/>
        <v/>
      </c>
      <c r="M747" s="290" t="str">
        <f t="shared" si="110"/>
        <v/>
      </c>
      <c r="N747" t="str">
        <f>IF($A747="","",IFERROR(INDEX(Prices[Category],MATCH($A747,Prices[Key],0)),"Uncategorized"))</f>
        <v/>
      </c>
      <c r="O747" s="291" t="str">
        <f t="shared" si="111"/>
        <v/>
      </c>
      <c r="P747" s="291" t="str">
        <f t="shared" si="112"/>
        <v/>
      </c>
    </row>
    <row r="748" spans="1:16" ht="15" customHeight="1" x14ac:dyDescent="0.2">
      <c r="A748" s="243" t="str">
        <f>IFERROR(INDEX('All Ticker P&amp;L'!$A$2:$A$1001,MATCH(ROWS($A$2:A748),'All Ticker P&amp;L'!$N$2:$N$1001,0)),"")</f>
        <v/>
      </c>
      <c r="B748" s="243" t="str">
        <f t="shared" si="104"/>
        <v/>
      </c>
      <c r="C748" s="243" t="str">
        <f t="shared" si="105"/>
        <v/>
      </c>
      <c r="D748" s="243" t="str">
        <f t="shared" si="106"/>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7"/>
        <v/>
      </c>
      <c r="K748" s="287" t="str">
        <f t="shared" si="108"/>
        <v/>
      </c>
      <c r="L748" s="287" t="str">
        <f t="shared" si="109"/>
        <v/>
      </c>
      <c r="M748" s="290" t="str">
        <f t="shared" si="110"/>
        <v/>
      </c>
      <c r="N748" t="str">
        <f>IF($A748="","",IFERROR(INDEX(Prices[Category],MATCH($A748,Prices[Key],0)),"Uncategorized"))</f>
        <v/>
      </c>
      <c r="O748" s="291" t="str">
        <f t="shared" si="111"/>
        <v/>
      </c>
      <c r="P748" s="291" t="str">
        <f t="shared" si="112"/>
        <v/>
      </c>
    </row>
    <row r="749" spans="1:16" ht="15" customHeight="1" x14ac:dyDescent="0.2">
      <c r="A749" s="243" t="str">
        <f>IFERROR(INDEX('All Ticker P&amp;L'!$A$2:$A$1001,MATCH(ROWS($A$2:A749),'All Ticker P&amp;L'!$N$2:$N$1001,0)),"")</f>
        <v/>
      </c>
      <c r="B749" s="243" t="str">
        <f t="shared" si="104"/>
        <v/>
      </c>
      <c r="C749" s="243" t="str">
        <f t="shared" si="105"/>
        <v/>
      </c>
      <c r="D749" s="243" t="str">
        <f t="shared" si="106"/>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7"/>
        <v/>
      </c>
      <c r="K749" s="287" t="str">
        <f t="shared" si="108"/>
        <v/>
      </c>
      <c r="L749" s="287" t="str">
        <f t="shared" si="109"/>
        <v/>
      </c>
      <c r="M749" s="290" t="str">
        <f t="shared" si="110"/>
        <v/>
      </c>
      <c r="N749" t="str">
        <f>IF($A749="","",IFERROR(INDEX(Prices[Category],MATCH($A749,Prices[Key],0)),"Uncategorized"))</f>
        <v/>
      </c>
      <c r="O749" s="291" t="str">
        <f t="shared" si="111"/>
        <v/>
      </c>
      <c r="P749" s="291" t="str">
        <f t="shared" si="112"/>
        <v/>
      </c>
    </row>
    <row r="750" spans="1:16" ht="15" customHeight="1" x14ac:dyDescent="0.2">
      <c r="A750" s="243" t="str">
        <f>IFERROR(INDEX('All Ticker P&amp;L'!$A$2:$A$1001,MATCH(ROWS($A$2:A750),'All Ticker P&amp;L'!$N$2:$N$1001,0)),"")</f>
        <v/>
      </c>
      <c r="B750" s="243" t="str">
        <f t="shared" si="104"/>
        <v/>
      </c>
      <c r="C750" s="243" t="str">
        <f t="shared" si="105"/>
        <v/>
      </c>
      <c r="D750" s="243" t="str">
        <f t="shared" si="106"/>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7"/>
        <v/>
      </c>
      <c r="K750" s="287" t="str">
        <f t="shared" si="108"/>
        <v/>
      </c>
      <c r="L750" s="287" t="str">
        <f t="shared" si="109"/>
        <v/>
      </c>
      <c r="M750" s="290" t="str">
        <f t="shared" si="110"/>
        <v/>
      </c>
      <c r="N750" t="str">
        <f>IF($A750="","",IFERROR(INDEX(Prices[Category],MATCH($A750,Prices[Key],0)),"Uncategorized"))</f>
        <v/>
      </c>
      <c r="O750" s="291" t="str">
        <f t="shared" si="111"/>
        <v/>
      </c>
      <c r="P750" s="291" t="str">
        <f t="shared" si="112"/>
        <v/>
      </c>
    </row>
    <row r="751" spans="1:16" ht="15" customHeight="1" x14ac:dyDescent="0.2">
      <c r="A751" s="243" t="str">
        <f>IFERROR(INDEX('All Ticker P&amp;L'!$A$2:$A$1001,MATCH(ROWS($A$2:A751),'All Ticker P&amp;L'!$N$2:$N$1001,0)),"")</f>
        <v/>
      </c>
      <c r="B751" s="243" t="str">
        <f t="shared" si="104"/>
        <v/>
      </c>
      <c r="C751" s="243" t="str">
        <f t="shared" si="105"/>
        <v/>
      </c>
      <c r="D751" s="243" t="str">
        <f t="shared" si="106"/>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7"/>
        <v/>
      </c>
      <c r="K751" s="287" t="str">
        <f t="shared" si="108"/>
        <v/>
      </c>
      <c r="L751" s="287" t="str">
        <f t="shared" si="109"/>
        <v/>
      </c>
      <c r="M751" s="290" t="str">
        <f t="shared" si="110"/>
        <v/>
      </c>
      <c r="N751" t="str">
        <f>IF($A751="","",IFERROR(INDEX(Prices[Category],MATCH($A751,Prices[Key],0)),"Uncategorized"))</f>
        <v/>
      </c>
      <c r="O751" s="291" t="str">
        <f t="shared" si="111"/>
        <v/>
      </c>
      <c r="P751" s="291" t="str">
        <f t="shared" si="112"/>
        <v/>
      </c>
    </row>
    <row r="752" spans="1:16" ht="15" customHeight="1" x14ac:dyDescent="0.2">
      <c r="A752" s="243" t="str">
        <f>IFERROR(INDEX('All Ticker P&amp;L'!$A$2:$A$1001,MATCH(ROWS($A$2:A752),'All Ticker P&amp;L'!$N$2:$N$1001,0)),"")</f>
        <v/>
      </c>
      <c r="B752" s="243" t="str">
        <f t="shared" si="104"/>
        <v/>
      </c>
      <c r="C752" s="243" t="str">
        <f t="shared" si="105"/>
        <v/>
      </c>
      <c r="D752" s="243" t="str">
        <f t="shared" si="106"/>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7"/>
        <v/>
      </c>
      <c r="K752" s="287" t="str">
        <f t="shared" si="108"/>
        <v/>
      </c>
      <c r="L752" s="287" t="str">
        <f t="shared" si="109"/>
        <v/>
      </c>
      <c r="M752" s="290" t="str">
        <f t="shared" si="110"/>
        <v/>
      </c>
      <c r="N752" t="str">
        <f>IF($A752="","",IFERROR(INDEX(Prices[Category],MATCH($A752,Prices[Key],0)),"Uncategorized"))</f>
        <v/>
      </c>
      <c r="O752" s="291" t="str">
        <f t="shared" si="111"/>
        <v/>
      </c>
      <c r="P752" s="291" t="str">
        <f t="shared" si="112"/>
        <v/>
      </c>
    </row>
    <row r="753" spans="1:16" ht="15" customHeight="1" x14ac:dyDescent="0.2">
      <c r="A753" s="243" t="str">
        <f>IFERROR(INDEX('All Ticker P&amp;L'!$A$2:$A$1001,MATCH(ROWS($A$2:A753),'All Ticker P&amp;L'!$N$2:$N$1001,0)),"")</f>
        <v/>
      </c>
      <c r="B753" s="243" t="str">
        <f t="shared" si="104"/>
        <v/>
      </c>
      <c r="C753" s="243" t="str">
        <f t="shared" si="105"/>
        <v/>
      </c>
      <c r="D753" s="243" t="str">
        <f t="shared" si="106"/>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7"/>
        <v/>
      </c>
      <c r="K753" s="287" t="str">
        <f t="shared" si="108"/>
        <v/>
      </c>
      <c r="L753" s="287" t="str">
        <f t="shared" si="109"/>
        <v/>
      </c>
      <c r="M753" s="290" t="str">
        <f t="shared" si="110"/>
        <v/>
      </c>
      <c r="N753" t="str">
        <f>IF($A753="","",IFERROR(INDEX(Prices[Category],MATCH($A753,Prices[Key],0)),"Uncategorized"))</f>
        <v/>
      </c>
      <c r="O753" s="291" t="str">
        <f t="shared" si="111"/>
        <v/>
      </c>
      <c r="P753" s="291" t="str">
        <f t="shared" si="112"/>
        <v/>
      </c>
    </row>
    <row r="754" spans="1:16" ht="15" customHeight="1" x14ac:dyDescent="0.2">
      <c r="A754" s="243" t="str">
        <f>IFERROR(INDEX('All Ticker P&amp;L'!$A$2:$A$1001,MATCH(ROWS($A$2:A754),'All Ticker P&amp;L'!$N$2:$N$1001,0)),"")</f>
        <v/>
      </c>
      <c r="B754" s="243" t="str">
        <f t="shared" si="104"/>
        <v/>
      </c>
      <c r="C754" s="243" t="str">
        <f t="shared" si="105"/>
        <v/>
      </c>
      <c r="D754" s="243" t="str">
        <f t="shared" si="106"/>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7"/>
        <v/>
      </c>
      <c r="K754" s="287" t="str">
        <f t="shared" si="108"/>
        <v/>
      </c>
      <c r="L754" s="287" t="str">
        <f t="shared" si="109"/>
        <v/>
      </c>
      <c r="M754" s="290" t="str">
        <f t="shared" si="110"/>
        <v/>
      </c>
      <c r="N754" t="str">
        <f>IF($A754="","",IFERROR(INDEX(Prices[Category],MATCH($A754,Prices[Key],0)),"Uncategorized"))</f>
        <v/>
      </c>
      <c r="O754" s="291" t="str">
        <f t="shared" si="111"/>
        <v/>
      </c>
      <c r="P754" s="291" t="str">
        <f t="shared" si="112"/>
        <v/>
      </c>
    </row>
    <row r="755" spans="1:16" ht="15" customHeight="1" x14ac:dyDescent="0.2">
      <c r="A755" s="243" t="str">
        <f>IFERROR(INDEX('All Ticker P&amp;L'!$A$2:$A$1001,MATCH(ROWS($A$2:A755),'All Ticker P&amp;L'!$N$2:$N$1001,0)),"")</f>
        <v/>
      </c>
      <c r="B755" s="243" t="str">
        <f t="shared" si="104"/>
        <v/>
      </c>
      <c r="C755" s="243" t="str">
        <f t="shared" si="105"/>
        <v/>
      </c>
      <c r="D755" s="243" t="str">
        <f t="shared" si="106"/>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7"/>
        <v/>
      </c>
      <c r="K755" s="287" t="str">
        <f t="shared" si="108"/>
        <v/>
      </c>
      <c r="L755" s="287" t="str">
        <f t="shared" si="109"/>
        <v/>
      </c>
      <c r="M755" s="290" t="str">
        <f t="shared" si="110"/>
        <v/>
      </c>
      <c r="N755" t="str">
        <f>IF($A755="","",IFERROR(INDEX(Prices[Category],MATCH($A755,Prices[Key],0)),"Uncategorized"))</f>
        <v/>
      </c>
      <c r="O755" s="291" t="str">
        <f t="shared" si="111"/>
        <v/>
      </c>
      <c r="P755" s="291" t="str">
        <f t="shared" si="112"/>
        <v/>
      </c>
    </row>
    <row r="756" spans="1:16" ht="15" customHeight="1" x14ac:dyDescent="0.2">
      <c r="A756" s="243" t="str">
        <f>IFERROR(INDEX('All Ticker P&amp;L'!$A$2:$A$1001,MATCH(ROWS($A$2:A756),'All Ticker P&amp;L'!$N$2:$N$1001,0)),"")</f>
        <v/>
      </c>
      <c r="B756" s="243" t="str">
        <f t="shared" si="104"/>
        <v/>
      </c>
      <c r="C756" s="243" t="str">
        <f t="shared" si="105"/>
        <v/>
      </c>
      <c r="D756" s="243" t="str">
        <f t="shared" si="106"/>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7"/>
        <v/>
      </c>
      <c r="K756" s="287" t="str">
        <f t="shared" si="108"/>
        <v/>
      </c>
      <c r="L756" s="287" t="str">
        <f t="shared" si="109"/>
        <v/>
      </c>
      <c r="M756" s="290" t="str">
        <f t="shared" si="110"/>
        <v/>
      </c>
      <c r="N756" t="str">
        <f>IF($A756="","",IFERROR(INDEX(Prices[Category],MATCH($A756,Prices[Key],0)),"Uncategorized"))</f>
        <v/>
      </c>
      <c r="O756" s="291" t="str">
        <f t="shared" si="111"/>
        <v/>
      </c>
      <c r="P756" s="291" t="str">
        <f t="shared" si="112"/>
        <v/>
      </c>
    </row>
    <row r="757" spans="1:16" ht="15" customHeight="1" x14ac:dyDescent="0.2">
      <c r="A757" s="243" t="str">
        <f>IFERROR(INDEX('All Ticker P&amp;L'!$A$2:$A$1001,MATCH(ROWS($A$2:A757),'All Ticker P&amp;L'!$N$2:$N$1001,0)),"")</f>
        <v/>
      </c>
      <c r="B757" s="243" t="str">
        <f t="shared" si="104"/>
        <v/>
      </c>
      <c r="C757" s="243" t="str">
        <f t="shared" si="105"/>
        <v/>
      </c>
      <c r="D757" s="243" t="str">
        <f t="shared" si="106"/>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7"/>
        <v/>
      </c>
      <c r="K757" s="287" t="str">
        <f t="shared" si="108"/>
        <v/>
      </c>
      <c r="L757" s="287" t="str">
        <f t="shared" si="109"/>
        <v/>
      </c>
      <c r="M757" s="290" t="str">
        <f t="shared" si="110"/>
        <v/>
      </c>
      <c r="N757" t="str">
        <f>IF($A757="","",IFERROR(INDEX(Prices[Category],MATCH($A757,Prices[Key],0)),"Uncategorized"))</f>
        <v/>
      </c>
      <c r="O757" s="291" t="str">
        <f t="shared" si="111"/>
        <v/>
      </c>
      <c r="P757" s="291" t="str">
        <f t="shared" si="112"/>
        <v/>
      </c>
    </row>
    <row r="758" spans="1:16" ht="15" customHeight="1" x14ac:dyDescent="0.2">
      <c r="A758" s="243" t="str">
        <f>IFERROR(INDEX('All Ticker P&amp;L'!$A$2:$A$1001,MATCH(ROWS($A$2:A758),'All Ticker P&amp;L'!$N$2:$N$1001,0)),"")</f>
        <v/>
      </c>
      <c r="B758" s="243" t="str">
        <f t="shared" si="104"/>
        <v/>
      </c>
      <c r="C758" s="243" t="str">
        <f t="shared" si="105"/>
        <v/>
      </c>
      <c r="D758" s="243" t="str">
        <f t="shared" si="106"/>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7"/>
        <v/>
      </c>
      <c r="K758" s="287" t="str">
        <f t="shared" si="108"/>
        <v/>
      </c>
      <c r="L758" s="287" t="str">
        <f t="shared" si="109"/>
        <v/>
      </c>
      <c r="M758" s="290" t="str">
        <f t="shared" si="110"/>
        <v/>
      </c>
      <c r="N758" t="str">
        <f>IF($A758="","",IFERROR(INDEX(Prices[Category],MATCH($A758,Prices[Key],0)),"Uncategorized"))</f>
        <v/>
      </c>
      <c r="O758" s="291" t="str">
        <f t="shared" si="111"/>
        <v/>
      </c>
      <c r="P758" s="291" t="str">
        <f t="shared" si="112"/>
        <v/>
      </c>
    </row>
    <row r="759" spans="1:16" ht="15" customHeight="1" x14ac:dyDescent="0.2">
      <c r="A759" s="243" t="str">
        <f>IFERROR(INDEX('All Ticker P&amp;L'!$A$2:$A$1001,MATCH(ROWS($A$2:A759),'All Ticker P&amp;L'!$N$2:$N$1001,0)),"")</f>
        <v/>
      </c>
      <c r="B759" s="243" t="str">
        <f t="shared" si="104"/>
        <v/>
      </c>
      <c r="C759" s="243" t="str">
        <f t="shared" si="105"/>
        <v/>
      </c>
      <c r="D759" s="243" t="str">
        <f t="shared" si="106"/>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7"/>
        <v/>
      </c>
      <c r="K759" s="287" t="str">
        <f t="shared" si="108"/>
        <v/>
      </c>
      <c r="L759" s="287" t="str">
        <f t="shared" si="109"/>
        <v/>
      </c>
      <c r="M759" s="290" t="str">
        <f t="shared" si="110"/>
        <v/>
      </c>
      <c r="N759" t="str">
        <f>IF($A759="","",IFERROR(INDEX(Prices[Category],MATCH($A759,Prices[Key],0)),"Uncategorized"))</f>
        <v/>
      </c>
      <c r="O759" s="291" t="str">
        <f t="shared" si="111"/>
        <v/>
      </c>
      <c r="P759" s="291" t="str">
        <f t="shared" si="112"/>
        <v/>
      </c>
    </row>
    <row r="760" spans="1:16" ht="15" customHeight="1" x14ac:dyDescent="0.2">
      <c r="A760" s="243" t="str">
        <f>IFERROR(INDEX('All Ticker P&amp;L'!$A$2:$A$1001,MATCH(ROWS($A$2:A760),'All Ticker P&amp;L'!$N$2:$N$1001,0)),"")</f>
        <v/>
      </c>
      <c r="B760" s="243" t="str">
        <f t="shared" si="104"/>
        <v/>
      </c>
      <c r="C760" s="243" t="str">
        <f t="shared" si="105"/>
        <v/>
      </c>
      <c r="D760" s="243" t="str">
        <f t="shared" si="106"/>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7"/>
        <v/>
      </c>
      <c r="K760" s="287" t="str">
        <f t="shared" si="108"/>
        <v/>
      </c>
      <c r="L760" s="287" t="str">
        <f t="shared" si="109"/>
        <v/>
      </c>
      <c r="M760" s="290" t="str">
        <f t="shared" si="110"/>
        <v/>
      </c>
      <c r="N760" t="str">
        <f>IF($A760="","",IFERROR(INDEX(Prices[Category],MATCH($A760,Prices[Key],0)),"Uncategorized"))</f>
        <v/>
      </c>
      <c r="O760" s="291" t="str">
        <f t="shared" si="111"/>
        <v/>
      </c>
      <c r="P760" s="291" t="str">
        <f t="shared" si="112"/>
        <v/>
      </c>
    </row>
    <row r="761" spans="1:16" ht="15" customHeight="1" x14ac:dyDescent="0.2">
      <c r="A761" s="243" t="str">
        <f>IFERROR(INDEX('All Ticker P&amp;L'!$A$2:$A$1001,MATCH(ROWS($A$2:A761),'All Ticker P&amp;L'!$N$2:$N$1001,0)),"")</f>
        <v/>
      </c>
      <c r="B761" s="243" t="str">
        <f t="shared" si="104"/>
        <v/>
      </c>
      <c r="C761" s="243" t="str">
        <f t="shared" si="105"/>
        <v/>
      </c>
      <c r="D761" s="243" t="str">
        <f t="shared" si="106"/>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7"/>
        <v/>
      </c>
      <c r="K761" s="287" t="str">
        <f t="shared" si="108"/>
        <v/>
      </c>
      <c r="L761" s="287" t="str">
        <f t="shared" si="109"/>
        <v/>
      </c>
      <c r="M761" s="290" t="str">
        <f t="shared" si="110"/>
        <v/>
      </c>
      <c r="N761" t="str">
        <f>IF($A761="","",IFERROR(INDEX(Prices[Category],MATCH($A761,Prices[Key],0)),"Uncategorized"))</f>
        <v/>
      </c>
      <c r="O761" s="291" t="str">
        <f t="shared" si="111"/>
        <v/>
      </c>
      <c r="P761" s="291" t="str">
        <f t="shared" si="112"/>
        <v/>
      </c>
    </row>
    <row r="762" spans="1:16" ht="15" customHeight="1" x14ac:dyDescent="0.2">
      <c r="A762" s="243" t="str">
        <f>IFERROR(INDEX('All Ticker P&amp;L'!$A$2:$A$1001,MATCH(ROWS($A$2:A762),'All Ticker P&amp;L'!$N$2:$N$1001,0)),"")</f>
        <v/>
      </c>
      <c r="B762" s="243" t="str">
        <f t="shared" si="104"/>
        <v/>
      </c>
      <c r="C762" s="243" t="str">
        <f t="shared" si="105"/>
        <v/>
      </c>
      <c r="D762" s="243" t="str">
        <f t="shared" si="106"/>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7"/>
        <v/>
      </c>
      <c r="K762" s="287" t="str">
        <f t="shared" si="108"/>
        <v/>
      </c>
      <c r="L762" s="287" t="str">
        <f t="shared" si="109"/>
        <v/>
      </c>
      <c r="M762" s="290" t="str">
        <f t="shared" si="110"/>
        <v/>
      </c>
      <c r="N762" t="str">
        <f>IF($A762="","",IFERROR(INDEX(Prices[Category],MATCH($A762,Prices[Key],0)),"Uncategorized"))</f>
        <v/>
      </c>
      <c r="O762" s="291" t="str">
        <f t="shared" si="111"/>
        <v/>
      </c>
      <c r="P762" s="291" t="str">
        <f t="shared" si="112"/>
        <v/>
      </c>
    </row>
    <row r="763" spans="1:16" ht="15" customHeight="1" x14ac:dyDescent="0.2">
      <c r="A763" s="243" t="str">
        <f>IFERROR(INDEX('All Ticker P&amp;L'!$A$2:$A$1001,MATCH(ROWS($A$2:A763),'All Ticker P&amp;L'!$N$2:$N$1001,0)),"")</f>
        <v/>
      </c>
      <c r="B763" s="243" t="str">
        <f t="shared" si="104"/>
        <v/>
      </c>
      <c r="C763" s="243" t="str">
        <f t="shared" si="105"/>
        <v/>
      </c>
      <c r="D763" s="243" t="str">
        <f t="shared" si="106"/>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7"/>
        <v/>
      </c>
      <c r="K763" s="287" t="str">
        <f t="shared" si="108"/>
        <v/>
      </c>
      <c r="L763" s="287" t="str">
        <f t="shared" si="109"/>
        <v/>
      </c>
      <c r="M763" s="290" t="str">
        <f t="shared" si="110"/>
        <v/>
      </c>
      <c r="N763" t="str">
        <f>IF($A763="","",IFERROR(INDEX(Prices[Category],MATCH($A763,Prices[Key],0)),"Uncategorized"))</f>
        <v/>
      </c>
      <c r="O763" s="291" t="str">
        <f t="shared" si="111"/>
        <v/>
      </c>
      <c r="P763" s="291" t="str">
        <f t="shared" si="112"/>
        <v/>
      </c>
    </row>
    <row r="764" spans="1:16" ht="15" customHeight="1" x14ac:dyDescent="0.2">
      <c r="A764" s="243" t="str">
        <f>IFERROR(INDEX('All Ticker P&amp;L'!$A$2:$A$1001,MATCH(ROWS($A$2:A764),'All Ticker P&amp;L'!$N$2:$N$1001,0)),"")</f>
        <v/>
      </c>
      <c r="B764" s="243" t="str">
        <f t="shared" si="104"/>
        <v/>
      </c>
      <c r="C764" s="243" t="str">
        <f t="shared" si="105"/>
        <v/>
      </c>
      <c r="D764" s="243" t="str">
        <f t="shared" si="106"/>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7"/>
        <v/>
      </c>
      <c r="K764" s="287" t="str">
        <f t="shared" si="108"/>
        <v/>
      </c>
      <c r="L764" s="287" t="str">
        <f t="shared" si="109"/>
        <v/>
      </c>
      <c r="M764" s="290" t="str">
        <f t="shared" si="110"/>
        <v/>
      </c>
      <c r="N764" t="str">
        <f>IF($A764="","",IFERROR(INDEX(Prices[Category],MATCH($A764,Prices[Key],0)),"Uncategorized"))</f>
        <v/>
      </c>
      <c r="O764" s="291" t="str">
        <f t="shared" si="111"/>
        <v/>
      </c>
      <c r="P764" s="291" t="str">
        <f t="shared" si="112"/>
        <v/>
      </c>
    </row>
    <row r="765" spans="1:16" ht="15" customHeight="1" x14ac:dyDescent="0.2">
      <c r="A765" s="243" t="str">
        <f>IFERROR(INDEX('All Ticker P&amp;L'!$A$2:$A$1001,MATCH(ROWS($A$2:A765),'All Ticker P&amp;L'!$N$2:$N$1001,0)),"")</f>
        <v/>
      </c>
      <c r="B765" s="243" t="str">
        <f t="shared" si="104"/>
        <v/>
      </c>
      <c r="C765" s="243" t="str">
        <f t="shared" si="105"/>
        <v/>
      </c>
      <c r="D765" s="243" t="str">
        <f t="shared" si="106"/>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7"/>
        <v/>
      </c>
      <c r="K765" s="287" t="str">
        <f t="shared" si="108"/>
        <v/>
      </c>
      <c r="L765" s="287" t="str">
        <f t="shared" si="109"/>
        <v/>
      </c>
      <c r="M765" s="290" t="str">
        <f t="shared" si="110"/>
        <v/>
      </c>
      <c r="N765" t="str">
        <f>IF($A765="","",IFERROR(INDEX(Prices[Category],MATCH($A765,Prices[Key],0)),"Uncategorized"))</f>
        <v/>
      </c>
      <c r="O765" s="291" t="str">
        <f t="shared" si="111"/>
        <v/>
      </c>
      <c r="P765" s="291" t="str">
        <f t="shared" si="112"/>
        <v/>
      </c>
    </row>
    <row r="766" spans="1:16" ht="15" customHeight="1" x14ac:dyDescent="0.2">
      <c r="A766" s="243" t="str">
        <f>IFERROR(INDEX('All Ticker P&amp;L'!$A$2:$A$1001,MATCH(ROWS($A$2:A766),'All Ticker P&amp;L'!$N$2:$N$1001,0)),"")</f>
        <v/>
      </c>
      <c r="B766" s="243" t="str">
        <f t="shared" si="104"/>
        <v/>
      </c>
      <c r="C766" s="243" t="str">
        <f t="shared" si="105"/>
        <v/>
      </c>
      <c r="D766" s="243" t="str">
        <f t="shared" si="106"/>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7"/>
        <v/>
      </c>
      <c r="K766" s="287" t="str">
        <f t="shared" si="108"/>
        <v/>
      </c>
      <c r="L766" s="287" t="str">
        <f t="shared" si="109"/>
        <v/>
      </c>
      <c r="M766" s="290" t="str">
        <f t="shared" si="110"/>
        <v/>
      </c>
      <c r="N766" t="str">
        <f>IF($A766="","",IFERROR(INDEX(Prices[Category],MATCH($A766,Prices[Key],0)),"Uncategorized"))</f>
        <v/>
      </c>
      <c r="O766" s="291" t="str">
        <f t="shared" si="111"/>
        <v/>
      </c>
      <c r="P766" s="291" t="str">
        <f t="shared" si="112"/>
        <v/>
      </c>
    </row>
    <row r="767" spans="1:16" ht="15" customHeight="1" x14ac:dyDescent="0.2">
      <c r="A767" s="243" t="str">
        <f>IFERROR(INDEX('All Ticker P&amp;L'!$A$2:$A$1001,MATCH(ROWS($A$2:A767),'All Ticker P&amp;L'!$N$2:$N$1001,0)),"")</f>
        <v/>
      </c>
      <c r="B767" s="243" t="str">
        <f t="shared" si="104"/>
        <v/>
      </c>
      <c r="C767" s="243" t="str">
        <f t="shared" si="105"/>
        <v/>
      </c>
      <c r="D767" s="243" t="str">
        <f t="shared" si="106"/>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7"/>
        <v/>
      </c>
      <c r="K767" s="287" t="str">
        <f t="shared" si="108"/>
        <v/>
      </c>
      <c r="L767" s="287" t="str">
        <f t="shared" si="109"/>
        <v/>
      </c>
      <c r="M767" s="290" t="str">
        <f t="shared" si="110"/>
        <v/>
      </c>
      <c r="N767" t="str">
        <f>IF($A767="","",IFERROR(INDEX(Prices[Category],MATCH($A767,Prices[Key],0)),"Uncategorized"))</f>
        <v/>
      </c>
      <c r="O767" s="291" t="str">
        <f t="shared" si="111"/>
        <v/>
      </c>
      <c r="P767" s="291" t="str">
        <f t="shared" si="112"/>
        <v/>
      </c>
    </row>
    <row r="768" spans="1:16" ht="15" customHeight="1" x14ac:dyDescent="0.2">
      <c r="A768" s="243" t="str">
        <f>IFERROR(INDEX('All Ticker P&amp;L'!$A$2:$A$1001,MATCH(ROWS($A$2:A768),'All Ticker P&amp;L'!$N$2:$N$1001,0)),"")</f>
        <v/>
      </c>
      <c r="B768" s="243" t="str">
        <f t="shared" si="104"/>
        <v/>
      </c>
      <c r="C768" s="243" t="str">
        <f t="shared" si="105"/>
        <v/>
      </c>
      <c r="D768" s="243" t="str">
        <f t="shared" si="106"/>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7"/>
        <v/>
      </c>
      <c r="K768" s="287" t="str">
        <f t="shared" si="108"/>
        <v/>
      </c>
      <c r="L768" s="287" t="str">
        <f t="shared" si="109"/>
        <v/>
      </c>
      <c r="M768" s="290" t="str">
        <f t="shared" si="110"/>
        <v/>
      </c>
      <c r="N768" t="str">
        <f>IF($A768="","",IFERROR(INDEX(Prices[Category],MATCH($A768,Prices[Key],0)),"Uncategorized"))</f>
        <v/>
      </c>
      <c r="O768" s="291" t="str">
        <f t="shared" si="111"/>
        <v/>
      </c>
      <c r="P768" s="291" t="str">
        <f t="shared" si="112"/>
        <v/>
      </c>
    </row>
    <row r="769" spans="1:16" ht="15" customHeight="1" x14ac:dyDescent="0.2">
      <c r="A769" s="243" t="str">
        <f>IFERROR(INDEX('All Ticker P&amp;L'!$A$2:$A$1001,MATCH(ROWS($A$2:A769),'All Ticker P&amp;L'!$N$2:$N$1001,0)),"")</f>
        <v/>
      </c>
      <c r="B769" s="243" t="str">
        <f t="shared" si="104"/>
        <v/>
      </c>
      <c r="C769" s="243" t="str">
        <f t="shared" si="105"/>
        <v/>
      </c>
      <c r="D769" s="243" t="str">
        <f t="shared" si="106"/>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7"/>
        <v/>
      </c>
      <c r="K769" s="287" t="str">
        <f t="shared" si="108"/>
        <v/>
      </c>
      <c r="L769" s="287" t="str">
        <f t="shared" si="109"/>
        <v/>
      </c>
      <c r="M769" s="290" t="str">
        <f t="shared" si="110"/>
        <v/>
      </c>
      <c r="N769" t="str">
        <f>IF($A769="","",IFERROR(INDEX(Prices[Category],MATCH($A769,Prices[Key],0)),"Uncategorized"))</f>
        <v/>
      </c>
      <c r="O769" s="291" t="str">
        <f t="shared" si="111"/>
        <v/>
      </c>
      <c r="P769" s="291" t="str">
        <f t="shared" si="112"/>
        <v/>
      </c>
    </row>
    <row r="770" spans="1:16" ht="15" customHeight="1" x14ac:dyDescent="0.2">
      <c r="A770" s="243" t="str">
        <f>IFERROR(INDEX('All Ticker P&amp;L'!$A$2:$A$1001,MATCH(ROWS($A$2:A770),'All Ticker P&amp;L'!$N$2:$N$1001,0)),"")</f>
        <v/>
      </c>
      <c r="B770" s="243" t="str">
        <f t="shared" ref="B770:B833" si="113">IF($A770="","",LEFT($A770,FIND(":",$A770)-1))</f>
        <v/>
      </c>
      <c r="C770" s="243" t="str">
        <f t="shared" ref="C770:C833" si="114">IF($A770="","",MID($A770,FIND(":",$A770)+1,FIND(":",$A770,FIND(":",$A770)+1)-FIND(":",$A770)-1))</f>
        <v/>
      </c>
      <c r="D770" s="243" t="str">
        <f t="shared" ref="D770:D833" si="115">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6">IF($A770="","",E770*H770)</f>
        <v/>
      </c>
      <c r="K770" s="287" t="str">
        <f t="shared" ref="K770:K833" si="117">IF($A770="","",J770+G770-F770)</f>
        <v/>
      </c>
      <c r="L770" s="287" t="str">
        <f t="shared" ref="L770:L833" si="118">IF($A770="","",K770*I770)</f>
        <v/>
      </c>
      <c r="M770" s="290" t="str">
        <f t="shared" ref="M770:M833" si="119">IF($A770="","",IFERROR(K770/F770,0))</f>
        <v/>
      </c>
      <c r="N770" t="str">
        <f>IF($A770="","",IFERROR(INDEX(Prices[Category],MATCH($A770,Prices[Key],0)),"Uncategorized"))</f>
        <v/>
      </c>
      <c r="O770" s="291" t="str">
        <f t="shared" ref="O770:O833" si="120">IF($A770="","",$J770*$I770)</f>
        <v/>
      </c>
      <c r="P770" s="291" t="str">
        <f t="shared" ref="P770:P833" si="121">IF($A770="","",$L770)</f>
        <v/>
      </c>
    </row>
    <row r="771" spans="1:16" ht="15" customHeight="1" x14ac:dyDescent="0.2">
      <c r="A771" s="243" t="str">
        <f>IFERROR(INDEX('All Ticker P&amp;L'!$A$2:$A$1001,MATCH(ROWS($A$2:A771),'All Ticker P&amp;L'!$N$2:$N$1001,0)),"")</f>
        <v/>
      </c>
      <c r="B771" s="243" t="str">
        <f t="shared" si="113"/>
        <v/>
      </c>
      <c r="C771" s="243" t="str">
        <f t="shared" si="114"/>
        <v/>
      </c>
      <c r="D771" s="243" t="str">
        <f t="shared" si="115"/>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6"/>
        <v/>
      </c>
      <c r="K771" s="287" t="str">
        <f t="shared" si="117"/>
        <v/>
      </c>
      <c r="L771" s="287" t="str">
        <f t="shared" si="118"/>
        <v/>
      </c>
      <c r="M771" s="290" t="str">
        <f t="shared" si="119"/>
        <v/>
      </c>
      <c r="N771" t="str">
        <f>IF($A771="","",IFERROR(INDEX(Prices[Category],MATCH($A771,Prices[Key],0)),"Uncategorized"))</f>
        <v/>
      </c>
      <c r="O771" s="291" t="str">
        <f t="shared" si="120"/>
        <v/>
      </c>
      <c r="P771" s="291" t="str">
        <f t="shared" si="121"/>
        <v/>
      </c>
    </row>
    <row r="772" spans="1:16" ht="15" customHeight="1" x14ac:dyDescent="0.2">
      <c r="A772" s="243" t="str">
        <f>IFERROR(INDEX('All Ticker P&amp;L'!$A$2:$A$1001,MATCH(ROWS($A$2:A772),'All Ticker P&amp;L'!$N$2:$N$1001,0)),"")</f>
        <v/>
      </c>
      <c r="B772" s="243" t="str">
        <f t="shared" si="113"/>
        <v/>
      </c>
      <c r="C772" s="243" t="str">
        <f t="shared" si="114"/>
        <v/>
      </c>
      <c r="D772" s="243" t="str">
        <f t="shared" si="115"/>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6"/>
        <v/>
      </c>
      <c r="K772" s="287" t="str">
        <f t="shared" si="117"/>
        <v/>
      </c>
      <c r="L772" s="287" t="str">
        <f t="shared" si="118"/>
        <v/>
      </c>
      <c r="M772" s="290" t="str">
        <f t="shared" si="119"/>
        <v/>
      </c>
      <c r="N772" t="str">
        <f>IF($A772="","",IFERROR(INDEX(Prices[Category],MATCH($A772,Prices[Key],0)),"Uncategorized"))</f>
        <v/>
      </c>
      <c r="O772" s="291" t="str">
        <f t="shared" si="120"/>
        <v/>
      </c>
      <c r="P772" s="291" t="str">
        <f t="shared" si="121"/>
        <v/>
      </c>
    </row>
    <row r="773" spans="1:16" ht="15" customHeight="1" x14ac:dyDescent="0.2">
      <c r="A773" s="243" t="str">
        <f>IFERROR(INDEX('All Ticker P&amp;L'!$A$2:$A$1001,MATCH(ROWS($A$2:A773),'All Ticker P&amp;L'!$N$2:$N$1001,0)),"")</f>
        <v/>
      </c>
      <c r="B773" s="243" t="str">
        <f t="shared" si="113"/>
        <v/>
      </c>
      <c r="C773" s="243" t="str">
        <f t="shared" si="114"/>
        <v/>
      </c>
      <c r="D773" s="243" t="str">
        <f t="shared" si="115"/>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6"/>
        <v/>
      </c>
      <c r="K773" s="287" t="str">
        <f t="shared" si="117"/>
        <v/>
      </c>
      <c r="L773" s="287" t="str">
        <f t="shared" si="118"/>
        <v/>
      </c>
      <c r="M773" s="290" t="str">
        <f t="shared" si="119"/>
        <v/>
      </c>
      <c r="N773" t="str">
        <f>IF($A773="","",IFERROR(INDEX(Prices[Category],MATCH($A773,Prices[Key],0)),"Uncategorized"))</f>
        <v/>
      </c>
      <c r="O773" s="291" t="str">
        <f t="shared" si="120"/>
        <v/>
      </c>
      <c r="P773" s="291" t="str">
        <f t="shared" si="121"/>
        <v/>
      </c>
    </row>
    <row r="774" spans="1:16" ht="15" customHeight="1" x14ac:dyDescent="0.2">
      <c r="A774" s="243" t="str">
        <f>IFERROR(INDEX('All Ticker P&amp;L'!$A$2:$A$1001,MATCH(ROWS($A$2:A774),'All Ticker P&amp;L'!$N$2:$N$1001,0)),"")</f>
        <v/>
      </c>
      <c r="B774" s="243" t="str">
        <f t="shared" si="113"/>
        <v/>
      </c>
      <c r="C774" s="243" t="str">
        <f t="shared" si="114"/>
        <v/>
      </c>
      <c r="D774" s="243" t="str">
        <f t="shared" si="115"/>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6"/>
        <v/>
      </c>
      <c r="K774" s="287" t="str">
        <f t="shared" si="117"/>
        <v/>
      </c>
      <c r="L774" s="287" t="str">
        <f t="shared" si="118"/>
        <v/>
      </c>
      <c r="M774" s="290" t="str">
        <f t="shared" si="119"/>
        <v/>
      </c>
      <c r="N774" t="str">
        <f>IF($A774="","",IFERROR(INDEX(Prices[Category],MATCH($A774,Prices[Key],0)),"Uncategorized"))</f>
        <v/>
      </c>
      <c r="O774" s="291" t="str">
        <f t="shared" si="120"/>
        <v/>
      </c>
      <c r="P774" s="291" t="str">
        <f t="shared" si="121"/>
        <v/>
      </c>
    </row>
    <row r="775" spans="1:16" ht="15" customHeight="1" x14ac:dyDescent="0.2">
      <c r="A775" s="243" t="str">
        <f>IFERROR(INDEX('All Ticker P&amp;L'!$A$2:$A$1001,MATCH(ROWS($A$2:A775),'All Ticker P&amp;L'!$N$2:$N$1001,0)),"")</f>
        <v/>
      </c>
      <c r="B775" s="243" t="str">
        <f t="shared" si="113"/>
        <v/>
      </c>
      <c r="C775" s="243" t="str">
        <f t="shared" si="114"/>
        <v/>
      </c>
      <c r="D775" s="243" t="str">
        <f t="shared" si="115"/>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6"/>
        <v/>
      </c>
      <c r="K775" s="287" t="str">
        <f t="shared" si="117"/>
        <v/>
      </c>
      <c r="L775" s="287" t="str">
        <f t="shared" si="118"/>
        <v/>
      </c>
      <c r="M775" s="290" t="str">
        <f t="shared" si="119"/>
        <v/>
      </c>
      <c r="N775" t="str">
        <f>IF($A775="","",IFERROR(INDEX(Prices[Category],MATCH($A775,Prices[Key],0)),"Uncategorized"))</f>
        <v/>
      </c>
      <c r="O775" s="291" t="str">
        <f t="shared" si="120"/>
        <v/>
      </c>
      <c r="P775" s="291" t="str">
        <f t="shared" si="121"/>
        <v/>
      </c>
    </row>
    <row r="776" spans="1:16" ht="15" customHeight="1" x14ac:dyDescent="0.2">
      <c r="A776" s="243" t="str">
        <f>IFERROR(INDEX('All Ticker P&amp;L'!$A$2:$A$1001,MATCH(ROWS($A$2:A776),'All Ticker P&amp;L'!$N$2:$N$1001,0)),"")</f>
        <v/>
      </c>
      <c r="B776" s="243" t="str">
        <f t="shared" si="113"/>
        <v/>
      </c>
      <c r="C776" s="243" t="str">
        <f t="shared" si="114"/>
        <v/>
      </c>
      <c r="D776" s="243" t="str">
        <f t="shared" si="115"/>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6"/>
        <v/>
      </c>
      <c r="K776" s="287" t="str">
        <f t="shared" si="117"/>
        <v/>
      </c>
      <c r="L776" s="287" t="str">
        <f t="shared" si="118"/>
        <v/>
      </c>
      <c r="M776" s="290" t="str">
        <f t="shared" si="119"/>
        <v/>
      </c>
      <c r="N776" t="str">
        <f>IF($A776="","",IFERROR(INDEX(Prices[Category],MATCH($A776,Prices[Key],0)),"Uncategorized"))</f>
        <v/>
      </c>
      <c r="O776" s="291" t="str">
        <f t="shared" si="120"/>
        <v/>
      </c>
      <c r="P776" s="291" t="str">
        <f t="shared" si="121"/>
        <v/>
      </c>
    </row>
    <row r="777" spans="1:16" ht="15" customHeight="1" x14ac:dyDescent="0.2">
      <c r="A777" s="243" t="str">
        <f>IFERROR(INDEX('All Ticker P&amp;L'!$A$2:$A$1001,MATCH(ROWS($A$2:A777),'All Ticker P&amp;L'!$N$2:$N$1001,0)),"")</f>
        <v/>
      </c>
      <c r="B777" s="243" t="str">
        <f t="shared" si="113"/>
        <v/>
      </c>
      <c r="C777" s="243" t="str">
        <f t="shared" si="114"/>
        <v/>
      </c>
      <c r="D777" s="243" t="str">
        <f t="shared" si="115"/>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6"/>
        <v/>
      </c>
      <c r="K777" s="287" t="str">
        <f t="shared" si="117"/>
        <v/>
      </c>
      <c r="L777" s="287" t="str">
        <f t="shared" si="118"/>
        <v/>
      </c>
      <c r="M777" s="290" t="str">
        <f t="shared" si="119"/>
        <v/>
      </c>
      <c r="N777" t="str">
        <f>IF($A777="","",IFERROR(INDEX(Prices[Category],MATCH($A777,Prices[Key],0)),"Uncategorized"))</f>
        <v/>
      </c>
      <c r="O777" s="291" t="str">
        <f t="shared" si="120"/>
        <v/>
      </c>
      <c r="P777" s="291" t="str">
        <f t="shared" si="121"/>
        <v/>
      </c>
    </row>
    <row r="778" spans="1:16" ht="15" customHeight="1" x14ac:dyDescent="0.2">
      <c r="A778" s="243" t="str">
        <f>IFERROR(INDEX('All Ticker P&amp;L'!$A$2:$A$1001,MATCH(ROWS($A$2:A778),'All Ticker P&amp;L'!$N$2:$N$1001,0)),"")</f>
        <v/>
      </c>
      <c r="B778" s="243" t="str">
        <f t="shared" si="113"/>
        <v/>
      </c>
      <c r="C778" s="243" t="str">
        <f t="shared" si="114"/>
        <v/>
      </c>
      <c r="D778" s="243" t="str">
        <f t="shared" si="115"/>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6"/>
        <v/>
      </c>
      <c r="K778" s="287" t="str">
        <f t="shared" si="117"/>
        <v/>
      </c>
      <c r="L778" s="287" t="str">
        <f t="shared" si="118"/>
        <v/>
      </c>
      <c r="M778" s="290" t="str">
        <f t="shared" si="119"/>
        <v/>
      </c>
      <c r="N778" t="str">
        <f>IF($A778="","",IFERROR(INDEX(Prices[Category],MATCH($A778,Prices[Key],0)),"Uncategorized"))</f>
        <v/>
      </c>
      <c r="O778" s="291" t="str">
        <f t="shared" si="120"/>
        <v/>
      </c>
      <c r="P778" s="291" t="str">
        <f t="shared" si="121"/>
        <v/>
      </c>
    </row>
    <row r="779" spans="1:16" ht="15" customHeight="1" x14ac:dyDescent="0.2">
      <c r="A779" s="243" t="str">
        <f>IFERROR(INDEX('All Ticker P&amp;L'!$A$2:$A$1001,MATCH(ROWS($A$2:A779),'All Ticker P&amp;L'!$N$2:$N$1001,0)),"")</f>
        <v/>
      </c>
      <c r="B779" s="243" t="str">
        <f t="shared" si="113"/>
        <v/>
      </c>
      <c r="C779" s="243" t="str">
        <f t="shared" si="114"/>
        <v/>
      </c>
      <c r="D779" s="243" t="str">
        <f t="shared" si="115"/>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6"/>
        <v/>
      </c>
      <c r="K779" s="287" t="str">
        <f t="shared" si="117"/>
        <v/>
      </c>
      <c r="L779" s="287" t="str">
        <f t="shared" si="118"/>
        <v/>
      </c>
      <c r="M779" s="290" t="str">
        <f t="shared" si="119"/>
        <v/>
      </c>
      <c r="N779" t="str">
        <f>IF($A779="","",IFERROR(INDEX(Prices[Category],MATCH($A779,Prices[Key],0)),"Uncategorized"))</f>
        <v/>
      </c>
      <c r="O779" s="291" t="str">
        <f t="shared" si="120"/>
        <v/>
      </c>
      <c r="P779" s="291" t="str">
        <f t="shared" si="121"/>
        <v/>
      </c>
    </row>
    <row r="780" spans="1:16" ht="15" customHeight="1" x14ac:dyDescent="0.2">
      <c r="A780" s="243" t="str">
        <f>IFERROR(INDEX('All Ticker P&amp;L'!$A$2:$A$1001,MATCH(ROWS($A$2:A780),'All Ticker P&amp;L'!$N$2:$N$1001,0)),"")</f>
        <v/>
      </c>
      <c r="B780" s="243" t="str">
        <f t="shared" si="113"/>
        <v/>
      </c>
      <c r="C780" s="243" t="str">
        <f t="shared" si="114"/>
        <v/>
      </c>
      <c r="D780" s="243" t="str">
        <f t="shared" si="115"/>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6"/>
        <v/>
      </c>
      <c r="K780" s="287" t="str">
        <f t="shared" si="117"/>
        <v/>
      </c>
      <c r="L780" s="287" t="str">
        <f t="shared" si="118"/>
        <v/>
      </c>
      <c r="M780" s="290" t="str">
        <f t="shared" si="119"/>
        <v/>
      </c>
      <c r="N780" t="str">
        <f>IF($A780="","",IFERROR(INDEX(Prices[Category],MATCH($A780,Prices[Key],0)),"Uncategorized"))</f>
        <v/>
      </c>
      <c r="O780" s="291" t="str">
        <f t="shared" si="120"/>
        <v/>
      </c>
      <c r="P780" s="291" t="str">
        <f t="shared" si="121"/>
        <v/>
      </c>
    </row>
    <row r="781" spans="1:16" ht="15" customHeight="1" x14ac:dyDescent="0.2">
      <c r="A781" s="243" t="str">
        <f>IFERROR(INDEX('All Ticker P&amp;L'!$A$2:$A$1001,MATCH(ROWS($A$2:A781),'All Ticker P&amp;L'!$N$2:$N$1001,0)),"")</f>
        <v/>
      </c>
      <c r="B781" s="243" t="str">
        <f t="shared" si="113"/>
        <v/>
      </c>
      <c r="C781" s="243" t="str">
        <f t="shared" si="114"/>
        <v/>
      </c>
      <c r="D781" s="243" t="str">
        <f t="shared" si="115"/>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6"/>
        <v/>
      </c>
      <c r="K781" s="287" t="str">
        <f t="shared" si="117"/>
        <v/>
      </c>
      <c r="L781" s="287" t="str">
        <f t="shared" si="118"/>
        <v/>
      </c>
      <c r="M781" s="290" t="str">
        <f t="shared" si="119"/>
        <v/>
      </c>
      <c r="N781" t="str">
        <f>IF($A781="","",IFERROR(INDEX(Prices[Category],MATCH($A781,Prices[Key],0)),"Uncategorized"))</f>
        <v/>
      </c>
      <c r="O781" s="291" t="str">
        <f t="shared" si="120"/>
        <v/>
      </c>
      <c r="P781" s="291" t="str">
        <f t="shared" si="121"/>
        <v/>
      </c>
    </row>
    <row r="782" spans="1:16" ht="15" customHeight="1" x14ac:dyDescent="0.2">
      <c r="A782" s="243" t="str">
        <f>IFERROR(INDEX('All Ticker P&amp;L'!$A$2:$A$1001,MATCH(ROWS($A$2:A782),'All Ticker P&amp;L'!$N$2:$N$1001,0)),"")</f>
        <v/>
      </c>
      <c r="B782" s="243" t="str">
        <f t="shared" si="113"/>
        <v/>
      </c>
      <c r="C782" s="243" t="str">
        <f t="shared" si="114"/>
        <v/>
      </c>
      <c r="D782" s="243" t="str">
        <f t="shared" si="115"/>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6"/>
        <v/>
      </c>
      <c r="K782" s="287" t="str">
        <f t="shared" si="117"/>
        <v/>
      </c>
      <c r="L782" s="287" t="str">
        <f t="shared" si="118"/>
        <v/>
      </c>
      <c r="M782" s="290" t="str">
        <f t="shared" si="119"/>
        <v/>
      </c>
      <c r="N782" t="str">
        <f>IF($A782="","",IFERROR(INDEX(Prices[Category],MATCH($A782,Prices[Key],0)),"Uncategorized"))</f>
        <v/>
      </c>
      <c r="O782" s="291" t="str">
        <f t="shared" si="120"/>
        <v/>
      </c>
      <c r="P782" s="291" t="str">
        <f t="shared" si="121"/>
        <v/>
      </c>
    </row>
    <row r="783" spans="1:16" ht="15" customHeight="1" x14ac:dyDescent="0.2">
      <c r="A783" s="243" t="str">
        <f>IFERROR(INDEX('All Ticker P&amp;L'!$A$2:$A$1001,MATCH(ROWS($A$2:A783),'All Ticker P&amp;L'!$N$2:$N$1001,0)),"")</f>
        <v/>
      </c>
      <c r="B783" s="243" t="str">
        <f t="shared" si="113"/>
        <v/>
      </c>
      <c r="C783" s="243" t="str">
        <f t="shared" si="114"/>
        <v/>
      </c>
      <c r="D783" s="243" t="str">
        <f t="shared" si="115"/>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6"/>
        <v/>
      </c>
      <c r="K783" s="287" t="str">
        <f t="shared" si="117"/>
        <v/>
      </c>
      <c r="L783" s="287" t="str">
        <f t="shared" si="118"/>
        <v/>
      </c>
      <c r="M783" s="290" t="str">
        <f t="shared" si="119"/>
        <v/>
      </c>
      <c r="N783" t="str">
        <f>IF($A783="","",IFERROR(INDEX(Prices[Category],MATCH($A783,Prices[Key],0)),"Uncategorized"))</f>
        <v/>
      </c>
      <c r="O783" s="291" t="str">
        <f t="shared" si="120"/>
        <v/>
      </c>
      <c r="P783" s="291" t="str">
        <f t="shared" si="121"/>
        <v/>
      </c>
    </row>
    <row r="784" spans="1:16" ht="15" customHeight="1" x14ac:dyDescent="0.2">
      <c r="A784" s="243" t="str">
        <f>IFERROR(INDEX('All Ticker P&amp;L'!$A$2:$A$1001,MATCH(ROWS($A$2:A784),'All Ticker P&amp;L'!$N$2:$N$1001,0)),"")</f>
        <v/>
      </c>
      <c r="B784" s="243" t="str">
        <f t="shared" si="113"/>
        <v/>
      </c>
      <c r="C784" s="243" t="str">
        <f t="shared" si="114"/>
        <v/>
      </c>
      <c r="D784" s="243" t="str">
        <f t="shared" si="115"/>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6"/>
        <v/>
      </c>
      <c r="K784" s="287" t="str">
        <f t="shared" si="117"/>
        <v/>
      </c>
      <c r="L784" s="287" t="str">
        <f t="shared" si="118"/>
        <v/>
      </c>
      <c r="M784" s="290" t="str">
        <f t="shared" si="119"/>
        <v/>
      </c>
      <c r="N784" t="str">
        <f>IF($A784="","",IFERROR(INDEX(Prices[Category],MATCH($A784,Prices[Key],0)),"Uncategorized"))</f>
        <v/>
      </c>
      <c r="O784" s="291" t="str">
        <f t="shared" si="120"/>
        <v/>
      </c>
      <c r="P784" s="291" t="str">
        <f t="shared" si="121"/>
        <v/>
      </c>
    </row>
    <row r="785" spans="1:16" ht="15" customHeight="1" x14ac:dyDescent="0.2">
      <c r="A785" s="243" t="str">
        <f>IFERROR(INDEX('All Ticker P&amp;L'!$A$2:$A$1001,MATCH(ROWS($A$2:A785),'All Ticker P&amp;L'!$N$2:$N$1001,0)),"")</f>
        <v/>
      </c>
      <c r="B785" s="243" t="str">
        <f t="shared" si="113"/>
        <v/>
      </c>
      <c r="C785" s="243" t="str">
        <f t="shared" si="114"/>
        <v/>
      </c>
      <c r="D785" s="243" t="str">
        <f t="shared" si="115"/>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6"/>
        <v/>
      </c>
      <c r="K785" s="287" t="str">
        <f t="shared" si="117"/>
        <v/>
      </c>
      <c r="L785" s="287" t="str">
        <f t="shared" si="118"/>
        <v/>
      </c>
      <c r="M785" s="290" t="str">
        <f t="shared" si="119"/>
        <v/>
      </c>
      <c r="N785" t="str">
        <f>IF($A785="","",IFERROR(INDEX(Prices[Category],MATCH($A785,Prices[Key],0)),"Uncategorized"))</f>
        <v/>
      </c>
      <c r="O785" s="291" t="str">
        <f t="shared" si="120"/>
        <v/>
      </c>
      <c r="P785" s="291" t="str">
        <f t="shared" si="121"/>
        <v/>
      </c>
    </row>
    <row r="786" spans="1:16" ht="15" customHeight="1" x14ac:dyDescent="0.2">
      <c r="A786" s="243" t="str">
        <f>IFERROR(INDEX('All Ticker P&amp;L'!$A$2:$A$1001,MATCH(ROWS($A$2:A786),'All Ticker P&amp;L'!$N$2:$N$1001,0)),"")</f>
        <v/>
      </c>
      <c r="B786" s="243" t="str">
        <f t="shared" si="113"/>
        <v/>
      </c>
      <c r="C786" s="243" t="str">
        <f t="shared" si="114"/>
        <v/>
      </c>
      <c r="D786" s="243" t="str">
        <f t="shared" si="115"/>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6"/>
        <v/>
      </c>
      <c r="K786" s="287" t="str">
        <f t="shared" si="117"/>
        <v/>
      </c>
      <c r="L786" s="287" t="str">
        <f t="shared" si="118"/>
        <v/>
      </c>
      <c r="M786" s="290" t="str">
        <f t="shared" si="119"/>
        <v/>
      </c>
      <c r="N786" t="str">
        <f>IF($A786="","",IFERROR(INDEX(Prices[Category],MATCH($A786,Prices[Key],0)),"Uncategorized"))</f>
        <v/>
      </c>
      <c r="O786" s="291" t="str">
        <f t="shared" si="120"/>
        <v/>
      </c>
      <c r="P786" s="291" t="str">
        <f t="shared" si="121"/>
        <v/>
      </c>
    </row>
    <row r="787" spans="1:16" ht="15" customHeight="1" x14ac:dyDescent="0.2">
      <c r="A787" s="243" t="str">
        <f>IFERROR(INDEX('All Ticker P&amp;L'!$A$2:$A$1001,MATCH(ROWS($A$2:A787),'All Ticker P&amp;L'!$N$2:$N$1001,0)),"")</f>
        <v/>
      </c>
      <c r="B787" s="243" t="str">
        <f t="shared" si="113"/>
        <v/>
      </c>
      <c r="C787" s="243" t="str">
        <f t="shared" si="114"/>
        <v/>
      </c>
      <c r="D787" s="243" t="str">
        <f t="shared" si="115"/>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6"/>
        <v/>
      </c>
      <c r="K787" s="287" t="str">
        <f t="shared" si="117"/>
        <v/>
      </c>
      <c r="L787" s="287" t="str">
        <f t="shared" si="118"/>
        <v/>
      </c>
      <c r="M787" s="290" t="str">
        <f t="shared" si="119"/>
        <v/>
      </c>
      <c r="N787" t="str">
        <f>IF($A787="","",IFERROR(INDEX(Prices[Category],MATCH($A787,Prices[Key],0)),"Uncategorized"))</f>
        <v/>
      </c>
      <c r="O787" s="291" t="str">
        <f t="shared" si="120"/>
        <v/>
      </c>
      <c r="P787" s="291" t="str">
        <f t="shared" si="121"/>
        <v/>
      </c>
    </row>
    <row r="788" spans="1:16" ht="15" customHeight="1" x14ac:dyDescent="0.2">
      <c r="A788" s="243" t="str">
        <f>IFERROR(INDEX('All Ticker P&amp;L'!$A$2:$A$1001,MATCH(ROWS($A$2:A788),'All Ticker P&amp;L'!$N$2:$N$1001,0)),"")</f>
        <v/>
      </c>
      <c r="B788" s="243" t="str">
        <f t="shared" si="113"/>
        <v/>
      </c>
      <c r="C788" s="243" t="str">
        <f t="shared" si="114"/>
        <v/>
      </c>
      <c r="D788" s="243" t="str">
        <f t="shared" si="115"/>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6"/>
        <v/>
      </c>
      <c r="K788" s="287" t="str">
        <f t="shared" si="117"/>
        <v/>
      </c>
      <c r="L788" s="287" t="str">
        <f t="shared" si="118"/>
        <v/>
      </c>
      <c r="M788" s="290" t="str">
        <f t="shared" si="119"/>
        <v/>
      </c>
      <c r="N788" t="str">
        <f>IF($A788="","",IFERROR(INDEX(Prices[Category],MATCH($A788,Prices[Key],0)),"Uncategorized"))</f>
        <v/>
      </c>
      <c r="O788" s="291" t="str">
        <f t="shared" si="120"/>
        <v/>
      </c>
      <c r="P788" s="291" t="str">
        <f t="shared" si="121"/>
        <v/>
      </c>
    </row>
    <row r="789" spans="1:16" ht="15" customHeight="1" x14ac:dyDescent="0.2">
      <c r="A789" s="243" t="str">
        <f>IFERROR(INDEX('All Ticker P&amp;L'!$A$2:$A$1001,MATCH(ROWS($A$2:A789),'All Ticker P&amp;L'!$N$2:$N$1001,0)),"")</f>
        <v/>
      </c>
      <c r="B789" s="243" t="str">
        <f t="shared" si="113"/>
        <v/>
      </c>
      <c r="C789" s="243" t="str">
        <f t="shared" si="114"/>
        <v/>
      </c>
      <c r="D789" s="243" t="str">
        <f t="shared" si="115"/>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6"/>
        <v/>
      </c>
      <c r="K789" s="287" t="str">
        <f t="shared" si="117"/>
        <v/>
      </c>
      <c r="L789" s="287" t="str">
        <f t="shared" si="118"/>
        <v/>
      </c>
      <c r="M789" s="290" t="str">
        <f t="shared" si="119"/>
        <v/>
      </c>
      <c r="N789" t="str">
        <f>IF($A789="","",IFERROR(INDEX(Prices[Category],MATCH($A789,Prices[Key],0)),"Uncategorized"))</f>
        <v/>
      </c>
      <c r="O789" s="291" t="str">
        <f t="shared" si="120"/>
        <v/>
      </c>
      <c r="P789" s="291" t="str">
        <f t="shared" si="121"/>
        <v/>
      </c>
    </row>
    <row r="790" spans="1:16" ht="15" customHeight="1" x14ac:dyDescent="0.2">
      <c r="A790" s="243" t="str">
        <f>IFERROR(INDEX('All Ticker P&amp;L'!$A$2:$A$1001,MATCH(ROWS($A$2:A790),'All Ticker P&amp;L'!$N$2:$N$1001,0)),"")</f>
        <v/>
      </c>
      <c r="B790" s="243" t="str">
        <f t="shared" si="113"/>
        <v/>
      </c>
      <c r="C790" s="243" t="str">
        <f t="shared" si="114"/>
        <v/>
      </c>
      <c r="D790" s="243" t="str">
        <f t="shared" si="115"/>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6"/>
        <v/>
      </c>
      <c r="K790" s="287" t="str">
        <f t="shared" si="117"/>
        <v/>
      </c>
      <c r="L790" s="287" t="str">
        <f t="shared" si="118"/>
        <v/>
      </c>
      <c r="M790" s="290" t="str">
        <f t="shared" si="119"/>
        <v/>
      </c>
      <c r="N790" t="str">
        <f>IF($A790="","",IFERROR(INDEX(Prices[Category],MATCH($A790,Prices[Key],0)),"Uncategorized"))</f>
        <v/>
      </c>
      <c r="O790" s="291" t="str">
        <f t="shared" si="120"/>
        <v/>
      </c>
      <c r="P790" s="291" t="str">
        <f t="shared" si="121"/>
        <v/>
      </c>
    </row>
    <row r="791" spans="1:16" ht="15" customHeight="1" x14ac:dyDescent="0.2">
      <c r="A791" s="243" t="str">
        <f>IFERROR(INDEX('All Ticker P&amp;L'!$A$2:$A$1001,MATCH(ROWS($A$2:A791),'All Ticker P&amp;L'!$N$2:$N$1001,0)),"")</f>
        <v/>
      </c>
      <c r="B791" s="243" t="str">
        <f t="shared" si="113"/>
        <v/>
      </c>
      <c r="C791" s="243" t="str">
        <f t="shared" si="114"/>
        <v/>
      </c>
      <c r="D791" s="243" t="str">
        <f t="shared" si="115"/>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6"/>
        <v/>
      </c>
      <c r="K791" s="287" t="str">
        <f t="shared" si="117"/>
        <v/>
      </c>
      <c r="L791" s="287" t="str">
        <f t="shared" si="118"/>
        <v/>
      </c>
      <c r="M791" s="290" t="str">
        <f t="shared" si="119"/>
        <v/>
      </c>
      <c r="N791" t="str">
        <f>IF($A791="","",IFERROR(INDEX(Prices[Category],MATCH($A791,Prices[Key],0)),"Uncategorized"))</f>
        <v/>
      </c>
      <c r="O791" s="291" t="str">
        <f t="shared" si="120"/>
        <v/>
      </c>
      <c r="P791" s="291" t="str">
        <f t="shared" si="121"/>
        <v/>
      </c>
    </row>
    <row r="792" spans="1:16" ht="15" customHeight="1" x14ac:dyDescent="0.2">
      <c r="A792" s="243" t="str">
        <f>IFERROR(INDEX('All Ticker P&amp;L'!$A$2:$A$1001,MATCH(ROWS($A$2:A792),'All Ticker P&amp;L'!$N$2:$N$1001,0)),"")</f>
        <v/>
      </c>
      <c r="B792" s="243" t="str">
        <f t="shared" si="113"/>
        <v/>
      </c>
      <c r="C792" s="243" t="str">
        <f t="shared" si="114"/>
        <v/>
      </c>
      <c r="D792" s="243" t="str">
        <f t="shared" si="115"/>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6"/>
        <v/>
      </c>
      <c r="K792" s="287" t="str">
        <f t="shared" si="117"/>
        <v/>
      </c>
      <c r="L792" s="287" t="str">
        <f t="shared" si="118"/>
        <v/>
      </c>
      <c r="M792" s="290" t="str">
        <f t="shared" si="119"/>
        <v/>
      </c>
      <c r="N792" t="str">
        <f>IF($A792="","",IFERROR(INDEX(Prices[Category],MATCH($A792,Prices[Key],0)),"Uncategorized"))</f>
        <v/>
      </c>
      <c r="O792" s="291" t="str">
        <f t="shared" si="120"/>
        <v/>
      </c>
      <c r="P792" s="291" t="str">
        <f t="shared" si="121"/>
        <v/>
      </c>
    </row>
    <row r="793" spans="1:16" ht="15" customHeight="1" x14ac:dyDescent="0.2">
      <c r="A793" s="243" t="str">
        <f>IFERROR(INDEX('All Ticker P&amp;L'!$A$2:$A$1001,MATCH(ROWS($A$2:A793),'All Ticker P&amp;L'!$N$2:$N$1001,0)),"")</f>
        <v/>
      </c>
      <c r="B793" s="243" t="str">
        <f t="shared" si="113"/>
        <v/>
      </c>
      <c r="C793" s="243" t="str">
        <f t="shared" si="114"/>
        <v/>
      </c>
      <c r="D793" s="243" t="str">
        <f t="shared" si="115"/>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6"/>
        <v/>
      </c>
      <c r="K793" s="287" t="str">
        <f t="shared" si="117"/>
        <v/>
      </c>
      <c r="L793" s="287" t="str">
        <f t="shared" si="118"/>
        <v/>
      </c>
      <c r="M793" s="290" t="str">
        <f t="shared" si="119"/>
        <v/>
      </c>
      <c r="N793" t="str">
        <f>IF($A793="","",IFERROR(INDEX(Prices[Category],MATCH($A793,Prices[Key],0)),"Uncategorized"))</f>
        <v/>
      </c>
      <c r="O793" s="291" t="str">
        <f t="shared" si="120"/>
        <v/>
      </c>
      <c r="P793" s="291" t="str">
        <f t="shared" si="121"/>
        <v/>
      </c>
    </row>
    <row r="794" spans="1:16" ht="15" customHeight="1" x14ac:dyDescent="0.2">
      <c r="A794" s="243" t="str">
        <f>IFERROR(INDEX('All Ticker P&amp;L'!$A$2:$A$1001,MATCH(ROWS($A$2:A794),'All Ticker P&amp;L'!$N$2:$N$1001,0)),"")</f>
        <v/>
      </c>
      <c r="B794" s="243" t="str">
        <f t="shared" si="113"/>
        <v/>
      </c>
      <c r="C794" s="243" t="str">
        <f t="shared" si="114"/>
        <v/>
      </c>
      <c r="D794" s="243" t="str">
        <f t="shared" si="115"/>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6"/>
        <v/>
      </c>
      <c r="K794" s="287" t="str">
        <f t="shared" si="117"/>
        <v/>
      </c>
      <c r="L794" s="287" t="str">
        <f t="shared" si="118"/>
        <v/>
      </c>
      <c r="M794" s="290" t="str">
        <f t="shared" si="119"/>
        <v/>
      </c>
      <c r="N794" t="str">
        <f>IF($A794="","",IFERROR(INDEX(Prices[Category],MATCH($A794,Prices[Key],0)),"Uncategorized"))</f>
        <v/>
      </c>
      <c r="O794" s="291" t="str">
        <f t="shared" si="120"/>
        <v/>
      </c>
      <c r="P794" s="291" t="str">
        <f t="shared" si="121"/>
        <v/>
      </c>
    </row>
    <row r="795" spans="1:16" ht="15" customHeight="1" x14ac:dyDescent="0.2">
      <c r="A795" s="243" t="str">
        <f>IFERROR(INDEX('All Ticker P&amp;L'!$A$2:$A$1001,MATCH(ROWS($A$2:A795),'All Ticker P&amp;L'!$N$2:$N$1001,0)),"")</f>
        <v/>
      </c>
      <c r="B795" s="243" t="str">
        <f t="shared" si="113"/>
        <v/>
      </c>
      <c r="C795" s="243" t="str">
        <f t="shared" si="114"/>
        <v/>
      </c>
      <c r="D795" s="243" t="str">
        <f t="shared" si="115"/>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6"/>
        <v/>
      </c>
      <c r="K795" s="287" t="str">
        <f t="shared" si="117"/>
        <v/>
      </c>
      <c r="L795" s="287" t="str">
        <f t="shared" si="118"/>
        <v/>
      </c>
      <c r="M795" s="290" t="str">
        <f t="shared" si="119"/>
        <v/>
      </c>
      <c r="N795" t="str">
        <f>IF($A795="","",IFERROR(INDEX(Prices[Category],MATCH($A795,Prices[Key],0)),"Uncategorized"))</f>
        <v/>
      </c>
      <c r="O795" s="291" t="str">
        <f t="shared" si="120"/>
        <v/>
      </c>
      <c r="P795" s="291" t="str">
        <f t="shared" si="121"/>
        <v/>
      </c>
    </row>
    <row r="796" spans="1:16" ht="15" customHeight="1" x14ac:dyDescent="0.2">
      <c r="A796" s="243" t="str">
        <f>IFERROR(INDEX('All Ticker P&amp;L'!$A$2:$A$1001,MATCH(ROWS($A$2:A796),'All Ticker P&amp;L'!$N$2:$N$1001,0)),"")</f>
        <v/>
      </c>
      <c r="B796" s="243" t="str">
        <f t="shared" si="113"/>
        <v/>
      </c>
      <c r="C796" s="243" t="str">
        <f t="shared" si="114"/>
        <v/>
      </c>
      <c r="D796" s="243" t="str">
        <f t="shared" si="115"/>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6"/>
        <v/>
      </c>
      <c r="K796" s="287" t="str">
        <f t="shared" si="117"/>
        <v/>
      </c>
      <c r="L796" s="287" t="str">
        <f t="shared" si="118"/>
        <v/>
      </c>
      <c r="M796" s="290" t="str">
        <f t="shared" si="119"/>
        <v/>
      </c>
      <c r="N796" t="str">
        <f>IF($A796="","",IFERROR(INDEX(Prices[Category],MATCH($A796,Prices[Key],0)),"Uncategorized"))</f>
        <v/>
      </c>
      <c r="O796" s="291" t="str">
        <f t="shared" si="120"/>
        <v/>
      </c>
      <c r="P796" s="291" t="str">
        <f t="shared" si="121"/>
        <v/>
      </c>
    </row>
    <row r="797" spans="1:16" ht="15" customHeight="1" x14ac:dyDescent="0.2">
      <c r="A797" s="243" t="str">
        <f>IFERROR(INDEX('All Ticker P&amp;L'!$A$2:$A$1001,MATCH(ROWS($A$2:A797),'All Ticker P&amp;L'!$N$2:$N$1001,0)),"")</f>
        <v/>
      </c>
      <c r="B797" s="243" t="str">
        <f t="shared" si="113"/>
        <v/>
      </c>
      <c r="C797" s="243" t="str">
        <f t="shared" si="114"/>
        <v/>
      </c>
      <c r="D797" s="243" t="str">
        <f t="shared" si="115"/>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6"/>
        <v/>
      </c>
      <c r="K797" s="287" t="str">
        <f t="shared" si="117"/>
        <v/>
      </c>
      <c r="L797" s="287" t="str">
        <f t="shared" si="118"/>
        <v/>
      </c>
      <c r="M797" s="290" t="str">
        <f t="shared" si="119"/>
        <v/>
      </c>
      <c r="N797" t="str">
        <f>IF($A797="","",IFERROR(INDEX(Prices[Category],MATCH($A797,Prices[Key],0)),"Uncategorized"))</f>
        <v/>
      </c>
      <c r="O797" s="291" t="str">
        <f t="shared" si="120"/>
        <v/>
      </c>
      <c r="P797" s="291" t="str">
        <f t="shared" si="121"/>
        <v/>
      </c>
    </row>
    <row r="798" spans="1:16" ht="15" customHeight="1" x14ac:dyDescent="0.2">
      <c r="A798" s="243" t="str">
        <f>IFERROR(INDEX('All Ticker P&amp;L'!$A$2:$A$1001,MATCH(ROWS($A$2:A798),'All Ticker P&amp;L'!$N$2:$N$1001,0)),"")</f>
        <v/>
      </c>
      <c r="B798" s="243" t="str">
        <f t="shared" si="113"/>
        <v/>
      </c>
      <c r="C798" s="243" t="str">
        <f t="shared" si="114"/>
        <v/>
      </c>
      <c r="D798" s="243" t="str">
        <f t="shared" si="115"/>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6"/>
        <v/>
      </c>
      <c r="K798" s="287" t="str">
        <f t="shared" si="117"/>
        <v/>
      </c>
      <c r="L798" s="287" t="str">
        <f t="shared" si="118"/>
        <v/>
      </c>
      <c r="M798" s="290" t="str">
        <f t="shared" si="119"/>
        <v/>
      </c>
      <c r="N798" t="str">
        <f>IF($A798="","",IFERROR(INDEX(Prices[Category],MATCH($A798,Prices[Key],0)),"Uncategorized"))</f>
        <v/>
      </c>
      <c r="O798" s="291" t="str">
        <f t="shared" si="120"/>
        <v/>
      </c>
      <c r="P798" s="291" t="str">
        <f t="shared" si="121"/>
        <v/>
      </c>
    </row>
    <row r="799" spans="1:16" ht="15" customHeight="1" x14ac:dyDescent="0.2">
      <c r="A799" s="243" t="str">
        <f>IFERROR(INDEX('All Ticker P&amp;L'!$A$2:$A$1001,MATCH(ROWS($A$2:A799),'All Ticker P&amp;L'!$N$2:$N$1001,0)),"")</f>
        <v/>
      </c>
      <c r="B799" s="243" t="str">
        <f t="shared" si="113"/>
        <v/>
      </c>
      <c r="C799" s="243" t="str">
        <f t="shared" si="114"/>
        <v/>
      </c>
      <c r="D799" s="243" t="str">
        <f t="shared" si="115"/>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6"/>
        <v/>
      </c>
      <c r="K799" s="287" t="str">
        <f t="shared" si="117"/>
        <v/>
      </c>
      <c r="L799" s="287" t="str">
        <f t="shared" si="118"/>
        <v/>
      </c>
      <c r="M799" s="290" t="str">
        <f t="shared" si="119"/>
        <v/>
      </c>
      <c r="N799" t="str">
        <f>IF($A799="","",IFERROR(INDEX(Prices[Category],MATCH($A799,Prices[Key],0)),"Uncategorized"))</f>
        <v/>
      </c>
      <c r="O799" s="291" t="str">
        <f t="shared" si="120"/>
        <v/>
      </c>
      <c r="P799" s="291" t="str">
        <f t="shared" si="121"/>
        <v/>
      </c>
    </row>
    <row r="800" spans="1:16" ht="15" customHeight="1" x14ac:dyDescent="0.2">
      <c r="A800" s="243" t="str">
        <f>IFERROR(INDEX('All Ticker P&amp;L'!$A$2:$A$1001,MATCH(ROWS($A$2:A800),'All Ticker P&amp;L'!$N$2:$N$1001,0)),"")</f>
        <v/>
      </c>
      <c r="B800" s="243" t="str">
        <f t="shared" si="113"/>
        <v/>
      </c>
      <c r="C800" s="243" t="str">
        <f t="shared" si="114"/>
        <v/>
      </c>
      <c r="D800" s="243" t="str">
        <f t="shared" si="115"/>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6"/>
        <v/>
      </c>
      <c r="K800" s="287" t="str">
        <f t="shared" si="117"/>
        <v/>
      </c>
      <c r="L800" s="287" t="str">
        <f t="shared" si="118"/>
        <v/>
      </c>
      <c r="M800" s="290" t="str">
        <f t="shared" si="119"/>
        <v/>
      </c>
      <c r="N800" t="str">
        <f>IF($A800="","",IFERROR(INDEX(Prices[Category],MATCH($A800,Prices[Key],0)),"Uncategorized"))</f>
        <v/>
      </c>
      <c r="O800" s="291" t="str">
        <f t="shared" si="120"/>
        <v/>
      </c>
      <c r="P800" s="291" t="str">
        <f t="shared" si="121"/>
        <v/>
      </c>
    </row>
    <row r="801" spans="1:16" ht="15" customHeight="1" x14ac:dyDescent="0.2">
      <c r="A801" s="243" t="str">
        <f>IFERROR(INDEX('All Ticker P&amp;L'!$A$2:$A$1001,MATCH(ROWS($A$2:A801),'All Ticker P&amp;L'!$N$2:$N$1001,0)),"")</f>
        <v/>
      </c>
      <c r="B801" s="243" t="str">
        <f t="shared" si="113"/>
        <v/>
      </c>
      <c r="C801" s="243" t="str">
        <f t="shared" si="114"/>
        <v/>
      </c>
      <c r="D801" s="243" t="str">
        <f t="shared" si="115"/>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6"/>
        <v/>
      </c>
      <c r="K801" s="287" t="str">
        <f t="shared" si="117"/>
        <v/>
      </c>
      <c r="L801" s="287" t="str">
        <f t="shared" si="118"/>
        <v/>
      </c>
      <c r="M801" s="290" t="str">
        <f t="shared" si="119"/>
        <v/>
      </c>
      <c r="N801" t="str">
        <f>IF($A801="","",IFERROR(INDEX(Prices[Category],MATCH($A801,Prices[Key],0)),"Uncategorized"))</f>
        <v/>
      </c>
      <c r="O801" s="291" t="str">
        <f t="shared" si="120"/>
        <v/>
      </c>
      <c r="P801" s="291" t="str">
        <f t="shared" si="121"/>
        <v/>
      </c>
    </row>
    <row r="802" spans="1:16" ht="15" customHeight="1" x14ac:dyDescent="0.2">
      <c r="A802" s="243" t="str">
        <f>IFERROR(INDEX('All Ticker P&amp;L'!$A$2:$A$1001,MATCH(ROWS($A$2:A802),'All Ticker P&amp;L'!$N$2:$N$1001,0)),"")</f>
        <v/>
      </c>
      <c r="B802" s="243" t="str">
        <f t="shared" si="113"/>
        <v/>
      </c>
      <c r="C802" s="243" t="str">
        <f t="shared" si="114"/>
        <v/>
      </c>
      <c r="D802" s="243" t="str">
        <f t="shared" si="115"/>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6"/>
        <v/>
      </c>
      <c r="K802" s="287" t="str">
        <f t="shared" si="117"/>
        <v/>
      </c>
      <c r="L802" s="287" t="str">
        <f t="shared" si="118"/>
        <v/>
      </c>
      <c r="M802" s="290" t="str">
        <f t="shared" si="119"/>
        <v/>
      </c>
      <c r="N802" t="str">
        <f>IF($A802="","",IFERROR(INDEX(Prices[Category],MATCH($A802,Prices[Key],0)),"Uncategorized"))</f>
        <v/>
      </c>
      <c r="O802" s="291" t="str">
        <f t="shared" si="120"/>
        <v/>
      </c>
      <c r="P802" s="291" t="str">
        <f t="shared" si="121"/>
        <v/>
      </c>
    </row>
    <row r="803" spans="1:16" ht="15" customHeight="1" x14ac:dyDescent="0.2">
      <c r="A803" s="243" t="str">
        <f>IFERROR(INDEX('All Ticker P&amp;L'!$A$2:$A$1001,MATCH(ROWS($A$2:A803),'All Ticker P&amp;L'!$N$2:$N$1001,0)),"")</f>
        <v/>
      </c>
      <c r="B803" s="243" t="str">
        <f t="shared" si="113"/>
        <v/>
      </c>
      <c r="C803" s="243" t="str">
        <f t="shared" si="114"/>
        <v/>
      </c>
      <c r="D803" s="243" t="str">
        <f t="shared" si="115"/>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6"/>
        <v/>
      </c>
      <c r="K803" s="287" t="str">
        <f t="shared" si="117"/>
        <v/>
      </c>
      <c r="L803" s="287" t="str">
        <f t="shared" si="118"/>
        <v/>
      </c>
      <c r="M803" s="290" t="str">
        <f t="shared" si="119"/>
        <v/>
      </c>
      <c r="N803" t="str">
        <f>IF($A803="","",IFERROR(INDEX(Prices[Category],MATCH($A803,Prices[Key],0)),"Uncategorized"))</f>
        <v/>
      </c>
      <c r="O803" s="291" t="str">
        <f t="shared" si="120"/>
        <v/>
      </c>
      <c r="P803" s="291" t="str">
        <f t="shared" si="121"/>
        <v/>
      </c>
    </row>
    <row r="804" spans="1:16" ht="15" customHeight="1" x14ac:dyDescent="0.2">
      <c r="A804" s="243" t="str">
        <f>IFERROR(INDEX('All Ticker P&amp;L'!$A$2:$A$1001,MATCH(ROWS($A$2:A804),'All Ticker P&amp;L'!$N$2:$N$1001,0)),"")</f>
        <v/>
      </c>
      <c r="B804" s="243" t="str">
        <f t="shared" si="113"/>
        <v/>
      </c>
      <c r="C804" s="243" t="str">
        <f t="shared" si="114"/>
        <v/>
      </c>
      <c r="D804" s="243" t="str">
        <f t="shared" si="115"/>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6"/>
        <v/>
      </c>
      <c r="K804" s="287" t="str">
        <f t="shared" si="117"/>
        <v/>
      </c>
      <c r="L804" s="287" t="str">
        <f t="shared" si="118"/>
        <v/>
      </c>
      <c r="M804" s="290" t="str">
        <f t="shared" si="119"/>
        <v/>
      </c>
      <c r="N804" t="str">
        <f>IF($A804="","",IFERROR(INDEX(Prices[Category],MATCH($A804,Prices[Key],0)),"Uncategorized"))</f>
        <v/>
      </c>
      <c r="O804" s="291" t="str">
        <f t="shared" si="120"/>
        <v/>
      </c>
      <c r="P804" s="291" t="str">
        <f t="shared" si="121"/>
        <v/>
      </c>
    </row>
    <row r="805" spans="1:16" ht="15" customHeight="1" x14ac:dyDescent="0.2">
      <c r="A805" s="243" t="str">
        <f>IFERROR(INDEX('All Ticker P&amp;L'!$A$2:$A$1001,MATCH(ROWS($A$2:A805),'All Ticker P&amp;L'!$N$2:$N$1001,0)),"")</f>
        <v/>
      </c>
      <c r="B805" s="243" t="str">
        <f t="shared" si="113"/>
        <v/>
      </c>
      <c r="C805" s="243" t="str">
        <f t="shared" si="114"/>
        <v/>
      </c>
      <c r="D805" s="243" t="str">
        <f t="shared" si="115"/>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6"/>
        <v/>
      </c>
      <c r="K805" s="287" t="str">
        <f t="shared" si="117"/>
        <v/>
      </c>
      <c r="L805" s="287" t="str">
        <f t="shared" si="118"/>
        <v/>
      </c>
      <c r="M805" s="290" t="str">
        <f t="shared" si="119"/>
        <v/>
      </c>
      <c r="N805" t="str">
        <f>IF($A805="","",IFERROR(INDEX(Prices[Category],MATCH($A805,Prices[Key],0)),"Uncategorized"))</f>
        <v/>
      </c>
      <c r="O805" s="291" t="str">
        <f t="shared" si="120"/>
        <v/>
      </c>
      <c r="P805" s="291" t="str">
        <f t="shared" si="121"/>
        <v/>
      </c>
    </row>
    <row r="806" spans="1:16" ht="15" customHeight="1" x14ac:dyDescent="0.2">
      <c r="A806" s="243" t="str">
        <f>IFERROR(INDEX('All Ticker P&amp;L'!$A$2:$A$1001,MATCH(ROWS($A$2:A806),'All Ticker P&amp;L'!$N$2:$N$1001,0)),"")</f>
        <v/>
      </c>
      <c r="B806" s="243" t="str">
        <f t="shared" si="113"/>
        <v/>
      </c>
      <c r="C806" s="243" t="str">
        <f t="shared" si="114"/>
        <v/>
      </c>
      <c r="D806" s="243" t="str">
        <f t="shared" si="115"/>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6"/>
        <v/>
      </c>
      <c r="K806" s="287" t="str">
        <f t="shared" si="117"/>
        <v/>
      </c>
      <c r="L806" s="287" t="str">
        <f t="shared" si="118"/>
        <v/>
      </c>
      <c r="M806" s="290" t="str">
        <f t="shared" si="119"/>
        <v/>
      </c>
      <c r="N806" t="str">
        <f>IF($A806="","",IFERROR(INDEX(Prices[Category],MATCH($A806,Prices[Key],0)),"Uncategorized"))</f>
        <v/>
      </c>
      <c r="O806" s="291" t="str">
        <f t="shared" si="120"/>
        <v/>
      </c>
      <c r="P806" s="291" t="str">
        <f t="shared" si="121"/>
        <v/>
      </c>
    </row>
    <row r="807" spans="1:16" ht="15" customHeight="1" x14ac:dyDescent="0.2">
      <c r="A807" s="243" t="str">
        <f>IFERROR(INDEX('All Ticker P&amp;L'!$A$2:$A$1001,MATCH(ROWS($A$2:A807),'All Ticker P&amp;L'!$N$2:$N$1001,0)),"")</f>
        <v/>
      </c>
      <c r="B807" s="243" t="str">
        <f t="shared" si="113"/>
        <v/>
      </c>
      <c r="C807" s="243" t="str">
        <f t="shared" si="114"/>
        <v/>
      </c>
      <c r="D807" s="243" t="str">
        <f t="shared" si="115"/>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6"/>
        <v/>
      </c>
      <c r="K807" s="287" t="str">
        <f t="shared" si="117"/>
        <v/>
      </c>
      <c r="L807" s="287" t="str">
        <f t="shared" si="118"/>
        <v/>
      </c>
      <c r="M807" s="290" t="str">
        <f t="shared" si="119"/>
        <v/>
      </c>
      <c r="N807" t="str">
        <f>IF($A807="","",IFERROR(INDEX(Prices[Category],MATCH($A807,Prices[Key],0)),"Uncategorized"))</f>
        <v/>
      </c>
      <c r="O807" s="291" t="str">
        <f t="shared" si="120"/>
        <v/>
      </c>
      <c r="P807" s="291" t="str">
        <f t="shared" si="121"/>
        <v/>
      </c>
    </row>
    <row r="808" spans="1:16" ht="15" customHeight="1" x14ac:dyDescent="0.2">
      <c r="A808" s="243" t="str">
        <f>IFERROR(INDEX('All Ticker P&amp;L'!$A$2:$A$1001,MATCH(ROWS($A$2:A808),'All Ticker P&amp;L'!$N$2:$N$1001,0)),"")</f>
        <v/>
      </c>
      <c r="B808" s="243" t="str">
        <f t="shared" si="113"/>
        <v/>
      </c>
      <c r="C808" s="243" t="str">
        <f t="shared" si="114"/>
        <v/>
      </c>
      <c r="D808" s="243" t="str">
        <f t="shared" si="115"/>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6"/>
        <v/>
      </c>
      <c r="K808" s="287" t="str">
        <f t="shared" si="117"/>
        <v/>
      </c>
      <c r="L808" s="287" t="str">
        <f t="shared" si="118"/>
        <v/>
      </c>
      <c r="M808" s="290" t="str">
        <f t="shared" si="119"/>
        <v/>
      </c>
      <c r="N808" t="str">
        <f>IF($A808="","",IFERROR(INDEX(Prices[Category],MATCH($A808,Prices[Key],0)),"Uncategorized"))</f>
        <v/>
      </c>
      <c r="O808" s="291" t="str">
        <f t="shared" si="120"/>
        <v/>
      </c>
      <c r="P808" s="291" t="str">
        <f t="shared" si="121"/>
        <v/>
      </c>
    </row>
    <row r="809" spans="1:16" ht="15" customHeight="1" x14ac:dyDescent="0.2">
      <c r="A809" s="243" t="str">
        <f>IFERROR(INDEX('All Ticker P&amp;L'!$A$2:$A$1001,MATCH(ROWS($A$2:A809),'All Ticker P&amp;L'!$N$2:$N$1001,0)),"")</f>
        <v/>
      </c>
      <c r="B809" s="243" t="str">
        <f t="shared" si="113"/>
        <v/>
      </c>
      <c r="C809" s="243" t="str">
        <f t="shared" si="114"/>
        <v/>
      </c>
      <c r="D809" s="243" t="str">
        <f t="shared" si="115"/>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6"/>
        <v/>
      </c>
      <c r="K809" s="287" t="str">
        <f t="shared" si="117"/>
        <v/>
      </c>
      <c r="L809" s="287" t="str">
        <f t="shared" si="118"/>
        <v/>
      </c>
      <c r="M809" s="290" t="str">
        <f t="shared" si="119"/>
        <v/>
      </c>
      <c r="N809" t="str">
        <f>IF($A809="","",IFERROR(INDEX(Prices[Category],MATCH($A809,Prices[Key],0)),"Uncategorized"))</f>
        <v/>
      </c>
      <c r="O809" s="291" t="str">
        <f t="shared" si="120"/>
        <v/>
      </c>
      <c r="P809" s="291" t="str">
        <f t="shared" si="121"/>
        <v/>
      </c>
    </row>
    <row r="810" spans="1:16" ht="15" customHeight="1" x14ac:dyDescent="0.2">
      <c r="A810" s="243" t="str">
        <f>IFERROR(INDEX('All Ticker P&amp;L'!$A$2:$A$1001,MATCH(ROWS($A$2:A810),'All Ticker P&amp;L'!$N$2:$N$1001,0)),"")</f>
        <v/>
      </c>
      <c r="B810" s="243" t="str">
        <f t="shared" si="113"/>
        <v/>
      </c>
      <c r="C810" s="243" t="str">
        <f t="shared" si="114"/>
        <v/>
      </c>
      <c r="D810" s="243" t="str">
        <f t="shared" si="115"/>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6"/>
        <v/>
      </c>
      <c r="K810" s="287" t="str">
        <f t="shared" si="117"/>
        <v/>
      </c>
      <c r="L810" s="287" t="str">
        <f t="shared" si="118"/>
        <v/>
      </c>
      <c r="M810" s="290" t="str">
        <f t="shared" si="119"/>
        <v/>
      </c>
      <c r="N810" t="str">
        <f>IF($A810="","",IFERROR(INDEX(Prices[Category],MATCH($A810,Prices[Key],0)),"Uncategorized"))</f>
        <v/>
      </c>
      <c r="O810" s="291" t="str">
        <f t="shared" si="120"/>
        <v/>
      </c>
      <c r="P810" s="291" t="str">
        <f t="shared" si="121"/>
        <v/>
      </c>
    </row>
    <row r="811" spans="1:16" ht="15" customHeight="1" x14ac:dyDescent="0.2">
      <c r="A811" s="243" t="str">
        <f>IFERROR(INDEX('All Ticker P&amp;L'!$A$2:$A$1001,MATCH(ROWS($A$2:A811),'All Ticker P&amp;L'!$N$2:$N$1001,0)),"")</f>
        <v/>
      </c>
      <c r="B811" s="243" t="str">
        <f t="shared" si="113"/>
        <v/>
      </c>
      <c r="C811" s="243" t="str">
        <f t="shared" si="114"/>
        <v/>
      </c>
      <c r="D811" s="243" t="str">
        <f t="shared" si="115"/>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6"/>
        <v/>
      </c>
      <c r="K811" s="287" t="str">
        <f t="shared" si="117"/>
        <v/>
      </c>
      <c r="L811" s="287" t="str">
        <f t="shared" si="118"/>
        <v/>
      </c>
      <c r="M811" s="290" t="str">
        <f t="shared" si="119"/>
        <v/>
      </c>
      <c r="N811" t="str">
        <f>IF($A811="","",IFERROR(INDEX(Prices[Category],MATCH($A811,Prices[Key],0)),"Uncategorized"))</f>
        <v/>
      </c>
      <c r="O811" s="291" t="str">
        <f t="shared" si="120"/>
        <v/>
      </c>
      <c r="P811" s="291" t="str">
        <f t="shared" si="121"/>
        <v/>
      </c>
    </row>
    <row r="812" spans="1:16" ht="15" customHeight="1" x14ac:dyDescent="0.2">
      <c r="A812" s="243" t="str">
        <f>IFERROR(INDEX('All Ticker P&amp;L'!$A$2:$A$1001,MATCH(ROWS($A$2:A812),'All Ticker P&amp;L'!$N$2:$N$1001,0)),"")</f>
        <v/>
      </c>
      <c r="B812" s="243" t="str">
        <f t="shared" si="113"/>
        <v/>
      </c>
      <c r="C812" s="243" t="str">
        <f t="shared" si="114"/>
        <v/>
      </c>
      <c r="D812" s="243" t="str">
        <f t="shared" si="115"/>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6"/>
        <v/>
      </c>
      <c r="K812" s="287" t="str">
        <f t="shared" si="117"/>
        <v/>
      </c>
      <c r="L812" s="287" t="str">
        <f t="shared" si="118"/>
        <v/>
      </c>
      <c r="M812" s="290" t="str">
        <f t="shared" si="119"/>
        <v/>
      </c>
      <c r="N812" t="str">
        <f>IF($A812="","",IFERROR(INDEX(Prices[Category],MATCH($A812,Prices[Key],0)),"Uncategorized"))</f>
        <v/>
      </c>
      <c r="O812" s="291" t="str">
        <f t="shared" si="120"/>
        <v/>
      </c>
      <c r="P812" s="291" t="str">
        <f t="shared" si="121"/>
        <v/>
      </c>
    </row>
    <row r="813" spans="1:16" ht="15" customHeight="1" x14ac:dyDescent="0.2">
      <c r="A813" s="243" t="str">
        <f>IFERROR(INDEX('All Ticker P&amp;L'!$A$2:$A$1001,MATCH(ROWS($A$2:A813),'All Ticker P&amp;L'!$N$2:$N$1001,0)),"")</f>
        <v/>
      </c>
      <c r="B813" s="243" t="str">
        <f t="shared" si="113"/>
        <v/>
      </c>
      <c r="C813" s="243" t="str">
        <f t="shared" si="114"/>
        <v/>
      </c>
      <c r="D813" s="243" t="str">
        <f t="shared" si="115"/>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6"/>
        <v/>
      </c>
      <c r="K813" s="287" t="str">
        <f t="shared" si="117"/>
        <v/>
      </c>
      <c r="L813" s="287" t="str">
        <f t="shared" si="118"/>
        <v/>
      </c>
      <c r="M813" s="290" t="str">
        <f t="shared" si="119"/>
        <v/>
      </c>
      <c r="N813" t="str">
        <f>IF($A813="","",IFERROR(INDEX(Prices[Category],MATCH($A813,Prices[Key],0)),"Uncategorized"))</f>
        <v/>
      </c>
      <c r="O813" s="291" t="str">
        <f t="shared" si="120"/>
        <v/>
      </c>
      <c r="P813" s="291" t="str">
        <f t="shared" si="121"/>
        <v/>
      </c>
    </row>
    <row r="814" spans="1:16" ht="15" customHeight="1" x14ac:dyDescent="0.2">
      <c r="A814" s="243" t="str">
        <f>IFERROR(INDEX('All Ticker P&amp;L'!$A$2:$A$1001,MATCH(ROWS($A$2:A814),'All Ticker P&amp;L'!$N$2:$N$1001,0)),"")</f>
        <v/>
      </c>
      <c r="B814" s="243" t="str">
        <f t="shared" si="113"/>
        <v/>
      </c>
      <c r="C814" s="243" t="str">
        <f t="shared" si="114"/>
        <v/>
      </c>
      <c r="D814" s="243" t="str">
        <f t="shared" si="115"/>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6"/>
        <v/>
      </c>
      <c r="K814" s="287" t="str">
        <f t="shared" si="117"/>
        <v/>
      </c>
      <c r="L814" s="287" t="str">
        <f t="shared" si="118"/>
        <v/>
      </c>
      <c r="M814" s="290" t="str">
        <f t="shared" si="119"/>
        <v/>
      </c>
      <c r="N814" t="str">
        <f>IF($A814="","",IFERROR(INDEX(Prices[Category],MATCH($A814,Prices[Key],0)),"Uncategorized"))</f>
        <v/>
      </c>
      <c r="O814" s="291" t="str">
        <f t="shared" si="120"/>
        <v/>
      </c>
      <c r="P814" s="291" t="str">
        <f t="shared" si="121"/>
        <v/>
      </c>
    </row>
    <row r="815" spans="1:16" ht="15" customHeight="1" x14ac:dyDescent="0.2">
      <c r="A815" s="243" t="str">
        <f>IFERROR(INDEX('All Ticker P&amp;L'!$A$2:$A$1001,MATCH(ROWS($A$2:A815),'All Ticker P&amp;L'!$N$2:$N$1001,0)),"")</f>
        <v/>
      </c>
      <c r="B815" s="243" t="str">
        <f t="shared" si="113"/>
        <v/>
      </c>
      <c r="C815" s="243" t="str">
        <f t="shared" si="114"/>
        <v/>
      </c>
      <c r="D815" s="243" t="str">
        <f t="shared" si="115"/>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6"/>
        <v/>
      </c>
      <c r="K815" s="287" t="str">
        <f t="shared" si="117"/>
        <v/>
      </c>
      <c r="L815" s="287" t="str">
        <f t="shared" si="118"/>
        <v/>
      </c>
      <c r="M815" s="290" t="str">
        <f t="shared" si="119"/>
        <v/>
      </c>
      <c r="N815" t="str">
        <f>IF($A815="","",IFERROR(INDEX(Prices[Category],MATCH($A815,Prices[Key],0)),"Uncategorized"))</f>
        <v/>
      </c>
      <c r="O815" s="291" t="str">
        <f t="shared" si="120"/>
        <v/>
      </c>
      <c r="P815" s="291" t="str">
        <f t="shared" si="121"/>
        <v/>
      </c>
    </row>
    <row r="816" spans="1:16" ht="15" customHeight="1" x14ac:dyDescent="0.2">
      <c r="A816" s="243" t="str">
        <f>IFERROR(INDEX('All Ticker P&amp;L'!$A$2:$A$1001,MATCH(ROWS($A$2:A816),'All Ticker P&amp;L'!$N$2:$N$1001,0)),"")</f>
        <v/>
      </c>
      <c r="B816" s="243" t="str">
        <f t="shared" si="113"/>
        <v/>
      </c>
      <c r="C816" s="243" t="str">
        <f t="shared" si="114"/>
        <v/>
      </c>
      <c r="D816" s="243" t="str">
        <f t="shared" si="115"/>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6"/>
        <v/>
      </c>
      <c r="K816" s="287" t="str">
        <f t="shared" si="117"/>
        <v/>
      </c>
      <c r="L816" s="287" t="str">
        <f t="shared" si="118"/>
        <v/>
      </c>
      <c r="M816" s="290" t="str">
        <f t="shared" si="119"/>
        <v/>
      </c>
      <c r="N816" t="str">
        <f>IF($A816="","",IFERROR(INDEX(Prices[Category],MATCH($A816,Prices[Key],0)),"Uncategorized"))</f>
        <v/>
      </c>
      <c r="O816" s="291" t="str">
        <f t="shared" si="120"/>
        <v/>
      </c>
      <c r="P816" s="291" t="str">
        <f t="shared" si="121"/>
        <v/>
      </c>
    </row>
    <row r="817" spans="1:16" ht="15" customHeight="1" x14ac:dyDescent="0.2">
      <c r="A817" s="243" t="str">
        <f>IFERROR(INDEX('All Ticker P&amp;L'!$A$2:$A$1001,MATCH(ROWS($A$2:A817),'All Ticker P&amp;L'!$N$2:$N$1001,0)),"")</f>
        <v/>
      </c>
      <c r="B817" s="243" t="str">
        <f t="shared" si="113"/>
        <v/>
      </c>
      <c r="C817" s="243" t="str">
        <f t="shared" si="114"/>
        <v/>
      </c>
      <c r="D817" s="243" t="str">
        <f t="shared" si="115"/>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6"/>
        <v/>
      </c>
      <c r="K817" s="287" t="str">
        <f t="shared" si="117"/>
        <v/>
      </c>
      <c r="L817" s="287" t="str">
        <f t="shared" si="118"/>
        <v/>
      </c>
      <c r="M817" s="290" t="str">
        <f t="shared" si="119"/>
        <v/>
      </c>
      <c r="N817" t="str">
        <f>IF($A817="","",IFERROR(INDEX(Prices[Category],MATCH($A817,Prices[Key],0)),"Uncategorized"))</f>
        <v/>
      </c>
      <c r="O817" s="291" t="str">
        <f t="shared" si="120"/>
        <v/>
      </c>
      <c r="P817" s="291" t="str">
        <f t="shared" si="121"/>
        <v/>
      </c>
    </row>
    <row r="818" spans="1:16" ht="15" customHeight="1" x14ac:dyDescent="0.2">
      <c r="A818" s="243" t="str">
        <f>IFERROR(INDEX('All Ticker P&amp;L'!$A$2:$A$1001,MATCH(ROWS($A$2:A818),'All Ticker P&amp;L'!$N$2:$N$1001,0)),"")</f>
        <v/>
      </c>
      <c r="B818" s="243" t="str">
        <f t="shared" si="113"/>
        <v/>
      </c>
      <c r="C818" s="243" t="str">
        <f t="shared" si="114"/>
        <v/>
      </c>
      <c r="D818" s="243" t="str">
        <f t="shared" si="115"/>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6"/>
        <v/>
      </c>
      <c r="K818" s="287" t="str">
        <f t="shared" si="117"/>
        <v/>
      </c>
      <c r="L818" s="287" t="str">
        <f t="shared" si="118"/>
        <v/>
      </c>
      <c r="M818" s="290" t="str">
        <f t="shared" si="119"/>
        <v/>
      </c>
      <c r="N818" t="str">
        <f>IF($A818="","",IFERROR(INDEX(Prices[Category],MATCH($A818,Prices[Key],0)),"Uncategorized"))</f>
        <v/>
      </c>
      <c r="O818" s="291" t="str">
        <f t="shared" si="120"/>
        <v/>
      </c>
      <c r="P818" s="291" t="str">
        <f t="shared" si="121"/>
        <v/>
      </c>
    </row>
    <row r="819" spans="1:16" ht="15" customHeight="1" x14ac:dyDescent="0.2">
      <c r="A819" s="243" t="str">
        <f>IFERROR(INDEX('All Ticker P&amp;L'!$A$2:$A$1001,MATCH(ROWS($A$2:A819),'All Ticker P&amp;L'!$N$2:$N$1001,0)),"")</f>
        <v/>
      </c>
      <c r="B819" s="243" t="str">
        <f t="shared" si="113"/>
        <v/>
      </c>
      <c r="C819" s="243" t="str">
        <f t="shared" si="114"/>
        <v/>
      </c>
      <c r="D819" s="243" t="str">
        <f t="shared" si="115"/>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6"/>
        <v/>
      </c>
      <c r="K819" s="287" t="str">
        <f t="shared" si="117"/>
        <v/>
      </c>
      <c r="L819" s="287" t="str">
        <f t="shared" si="118"/>
        <v/>
      </c>
      <c r="M819" s="290" t="str">
        <f t="shared" si="119"/>
        <v/>
      </c>
      <c r="N819" t="str">
        <f>IF($A819="","",IFERROR(INDEX(Prices[Category],MATCH($A819,Prices[Key],0)),"Uncategorized"))</f>
        <v/>
      </c>
      <c r="O819" s="291" t="str">
        <f t="shared" si="120"/>
        <v/>
      </c>
      <c r="P819" s="291" t="str">
        <f t="shared" si="121"/>
        <v/>
      </c>
    </row>
    <row r="820" spans="1:16" ht="15" customHeight="1" x14ac:dyDescent="0.2">
      <c r="A820" s="243" t="str">
        <f>IFERROR(INDEX('All Ticker P&amp;L'!$A$2:$A$1001,MATCH(ROWS($A$2:A820),'All Ticker P&amp;L'!$N$2:$N$1001,0)),"")</f>
        <v/>
      </c>
      <c r="B820" s="243" t="str">
        <f t="shared" si="113"/>
        <v/>
      </c>
      <c r="C820" s="243" t="str">
        <f t="shared" si="114"/>
        <v/>
      </c>
      <c r="D820" s="243" t="str">
        <f t="shared" si="115"/>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6"/>
        <v/>
      </c>
      <c r="K820" s="287" t="str">
        <f t="shared" si="117"/>
        <v/>
      </c>
      <c r="L820" s="287" t="str">
        <f t="shared" si="118"/>
        <v/>
      </c>
      <c r="M820" s="290" t="str">
        <f t="shared" si="119"/>
        <v/>
      </c>
      <c r="N820" t="str">
        <f>IF($A820="","",IFERROR(INDEX(Prices[Category],MATCH($A820,Prices[Key],0)),"Uncategorized"))</f>
        <v/>
      </c>
      <c r="O820" s="291" t="str">
        <f t="shared" si="120"/>
        <v/>
      </c>
      <c r="P820" s="291" t="str">
        <f t="shared" si="121"/>
        <v/>
      </c>
    </row>
    <row r="821" spans="1:16" ht="15" customHeight="1" x14ac:dyDescent="0.2">
      <c r="A821" s="243" t="str">
        <f>IFERROR(INDEX('All Ticker P&amp;L'!$A$2:$A$1001,MATCH(ROWS($A$2:A821),'All Ticker P&amp;L'!$N$2:$N$1001,0)),"")</f>
        <v/>
      </c>
      <c r="B821" s="243" t="str">
        <f t="shared" si="113"/>
        <v/>
      </c>
      <c r="C821" s="243" t="str">
        <f t="shared" si="114"/>
        <v/>
      </c>
      <c r="D821" s="243" t="str">
        <f t="shared" si="115"/>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6"/>
        <v/>
      </c>
      <c r="K821" s="287" t="str">
        <f t="shared" si="117"/>
        <v/>
      </c>
      <c r="L821" s="287" t="str">
        <f t="shared" si="118"/>
        <v/>
      </c>
      <c r="M821" s="290" t="str">
        <f t="shared" si="119"/>
        <v/>
      </c>
      <c r="N821" t="str">
        <f>IF($A821="","",IFERROR(INDEX(Prices[Category],MATCH($A821,Prices[Key],0)),"Uncategorized"))</f>
        <v/>
      </c>
      <c r="O821" s="291" t="str">
        <f t="shared" si="120"/>
        <v/>
      </c>
      <c r="P821" s="291" t="str">
        <f t="shared" si="121"/>
        <v/>
      </c>
    </row>
    <row r="822" spans="1:16" ht="15" customHeight="1" x14ac:dyDescent="0.2">
      <c r="A822" s="243" t="str">
        <f>IFERROR(INDEX('All Ticker P&amp;L'!$A$2:$A$1001,MATCH(ROWS($A$2:A822),'All Ticker P&amp;L'!$N$2:$N$1001,0)),"")</f>
        <v/>
      </c>
      <c r="B822" s="243" t="str">
        <f t="shared" si="113"/>
        <v/>
      </c>
      <c r="C822" s="243" t="str">
        <f t="shared" si="114"/>
        <v/>
      </c>
      <c r="D822" s="243" t="str">
        <f t="shared" si="115"/>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6"/>
        <v/>
      </c>
      <c r="K822" s="287" t="str">
        <f t="shared" si="117"/>
        <v/>
      </c>
      <c r="L822" s="287" t="str">
        <f t="shared" si="118"/>
        <v/>
      </c>
      <c r="M822" s="290" t="str">
        <f t="shared" si="119"/>
        <v/>
      </c>
      <c r="N822" t="str">
        <f>IF($A822="","",IFERROR(INDEX(Prices[Category],MATCH($A822,Prices[Key],0)),"Uncategorized"))</f>
        <v/>
      </c>
      <c r="O822" s="291" t="str">
        <f t="shared" si="120"/>
        <v/>
      </c>
      <c r="P822" s="291" t="str">
        <f t="shared" si="121"/>
        <v/>
      </c>
    </row>
    <row r="823" spans="1:16" ht="15" customHeight="1" x14ac:dyDescent="0.2">
      <c r="A823" s="243" t="str">
        <f>IFERROR(INDEX('All Ticker P&amp;L'!$A$2:$A$1001,MATCH(ROWS($A$2:A823),'All Ticker P&amp;L'!$N$2:$N$1001,0)),"")</f>
        <v/>
      </c>
      <c r="B823" s="243" t="str">
        <f t="shared" si="113"/>
        <v/>
      </c>
      <c r="C823" s="243" t="str">
        <f t="shared" si="114"/>
        <v/>
      </c>
      <c r="D823" s="243" t="str">
        <f t="shared" si="115"/>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6"/>
        <v/>
      </c>
      <c r="K823" s="287" t="str">
        <f t="shared" si="117"/>
        <v/>
      </c>
      <c r="L823" s="287" t="str">
        <f t="shared" si="118"/>
        <v/>
      </c>
      <c r="M823" s="290" t="str">
        <f t="shared" si="119"/>
        <v/>
      </c>
      <c r="N823" t="str">
        <f>IF($A823="","",IFERROR(INDEX(Prices[Category],MATCH($A823,Prices[Key],0)),"Uncategorized"))</f>
        <v/>
      </c>
      <c r="O823" s="291" t="str">
        <f t="shared" si="120"/>
        <v/>
      </c>
      <c r="P823" s="291" t="str">
        <f t="shared" si="121"/>
        <v/>
      </c>
    </row>
    <row r="824" spans="1:16" ht="15" customHeight="1" x14ac:dyDescent="0.2">
      <c r="A824" s="243" t="str">
        <f>IFERROR(INDEX('All Ticker P&amp;L'!$A$2:$A$1001,MATCH(ROWS($A$2:A824),'All Ticker P&amp;L'!$N$2:$N$1001,0)),"")</f>
        <v/>
      </c>
      <c r="B824" s="243" t="str">
        <f t="shared" si="113"/>
        <v/>
      </c>
      <c r="C824" s="243" t="str">
        <f t="shared" si="114"/>
        <v/>
      </c>
      <c r="D824" s="243" t="str">
        <f t="shared" si="115"/>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6"/>
        <v/>
      </c>
      <c r="K824" s="287" t="str">
        <f t="shared" si="117"/>
        <v/>
      </c>
      <c r="L824" s="287" t="str">
        <f t="shared" si="118"/>
        <v/>
      </c>
      <c r="M824" s="290" t="str">
        <f t="shared" si="119"/>
        <v/>
      </c>
      <c r="N824" t="str">
        <f>IF($A824="","",IFERROR(INDEX(Prices[Category],MATCH($A824,Prices[Key],0)),"Uncategorized"))</f>
        <v/>
      </c>
      <c r="O824" s="291" t="str">
        <f t="shared" si="120"/>
        <v/>
      </c>
      <c r="P824" s="291" t="str">
        <f t="shared" si="121"/>
        <v/>
      </c>
    </row>
    <row r="825" spans="1:16" ht="15" customHeight="1" x14ac:dyDescent="0.2">
      <c r="A825" s="243" t="str">
        <f>IFERROR(INDEX('All Ticker P&amp;L'!$A$2:$A$1001,MATCH(ROWS($A$2:A825),'All Ticker P&amp;L'!$N$2:$N$1001,0)),"")</f>
        <v/>
      </c>
      <c r="B825" s="243" t="str">
        <f t="shared" si="113"/>
        <v/>
      </c>
      <c r="C825" s="243" t="str">
        <f t="shared" si="114"/>
        <v/>
      </c>
      <c r="D825" s="243" t="str">
        <f t="shared" si="115"/>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6"/>
        <v/>
      </c>
      <c r="K825" s="287" t="str">
        <f t="shared" si="117"/>
        <v/>
      </c>
      <c r="L825" s="287" t="str">
        <f t="shared" si="118"/>
        <v/>
      </c>
      <c r="M825" s="290" t="str">
        <f t="shared" si="119"/>
        <v/>
      </c>
      <c r="N825" t="str">
        <f>IF($A825="","",IFERROR(INDEX(Prices[Category],MATCH($A825,Prices[Key],0)),"Uncategorized"))</f>
        <v/>
      </c>
      <c r="O825" s="291" t="str">
        <f t="shared" si="120"/>
        <v/>
      </c>
      <c r="P825" s="291" t="str">
        <f t="shared" si="121"/>
        <v/>
      </c>
    </row>
    <row r="826" spans="1:16" ht="15" customHeight="1" x14ac:dyDescent="0.2">
      <c r="A826" s="243" t="str">
        <f>IFERROR(INDEX('All Ticker P&amp;L'!$A$2:$A$1001,MATCH(ROWS($A$2:A826),'All Ticker P&amp;L'!$N$2:$N$1001,0)),"")</f>
        <v/>
      </c>
      <c r="B826" s="243" t="str">
        <f t="shared" si="113"/>
        <v/>
      </c>
      <c r="C826" s="243" t="str">
        <f t="shared" si="114"/>
        <v/>
      </c>
      <c r="D826" s="243" t="str">
        <f t="shared" si="115"/>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6"/>
        <v/>
      </c>
      <c r="K826" s="287" t="str">
        <f t="shared" si="117"/>
        <v/>
      </c>
      <c r="L826" s="287" t="str">
        <f t="shared" si="118"/>
        <v/>
      </c>
      <c r="M826" s="290" t="str">
        <f t="shared" si="119"/>
        <v/>
      </c>
      <c r="N826" t="str">
        <f>IF($A826="","",IFERROR(INDEX(Prices[Category],MATCH($A826,Prices[Key],0)),"Uncategorized"))</f>
        <v/>
      </c>
      <c r="O826" s="291" t="str">
        <f t="shared" si="120"/>
        <v/>
      </c>
      <c r="P826" s="291" t="str">
        <f t="shared" si="121"/>
        <v/>
      </c>
    </row>
    <row r="827" spans="1:16" ht="15" customHeight="1" x14ac:dyDescent="0.2">
      <c r="A827" s="243" t="str">
        <f>IFERROR(INDEX('All Ticker P&amp;L'!$A$2:$A$1001,MATCH(ROWS($A$2:A827),'All Ticker P&amp;L'!$N$2:$N$1001,0)),"")</f>
        <v/>
      </c>
      <c r="B827" s="243" t="str">
        <f t="shared" si="113"/>
        <v/>
      </c>
      <c r="C827" s="243" t="str">
        <f t="shared" si="114"/>
        <v/>
      </c>
      <c r="D827" s="243" t="str">
        <f t="shared" si="115"/>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6"/>
        <v/>
      </c>
      <c r="K827" s="287" t="str">
        <f t="shared" si="117"/>
        <v/>
      </c>
      <c r="L827" s="287" t="str">
        <f t="shared" si="118"/>
        <v/>
      </c>
      <c r="M827" s="290" t="str">
        <f t="shared" si="119"/>
        <v/>
      </c>
      <c r="N827" t="str">
        <f>IF($A827="","",IFERROR(INDEX(Prices[Category],MATCH($A827,Prices[Key],0)),"Uncategorized"))</f>
        <v/>
      </c>
      <c r="O827" s="291" t="str">
        <f t="shared" si="120"/>
        <v/>
      </c>
      <c r="P827" s="291" t="str">
        <f t="shared" si="121"/>
        <v/>
      </c>
    </row>
    <row r="828" spans="1:16" ht="15" customHeight="1" x14ac:dyDescent="0.2">
      <c r="A828" s="243" t="str">
        <f>IFERROR(INDEX('All Ticker P&amp;L'!$A$2:$A$1001,MATCH(ROWS($A$2:A828),'All Ticker P&amp;L'!$N$2:$N$1001,0)),"")</f>
        <v/>
      </c>
      <c r="B828" s="243" t="str">
        <f t="shared" si="113"/>
        <v/>
      </c>
      <c r="C828" s="243" t="str">
        <f t="shared" si="114"/>
        <v/>
      </c>
      <c r="D828" s="243" t="str">
        <f t="shared" si="115"/>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6"/>
        <v/>
      </c>
      <c r="K828" s="287" t="str">
        <f t="shared" si="117"/>
        <v/>
      </c>
      <c r="L828" s="287" t="str">
        <f t="shared" si="118"/>
        <v/>
      </c>
      <c r="M828" s="290" t="str">
        <f t="shared" si="119"/>
        <v/>
      </c>
      <c r="N828" t="str">
        <f>IF($A828="","",IFERROR(INDEX(Prices[Category],MATCH($A828,Prices[Key],0)),"Uncategorized"))</f>
        <v/>
      </c>
      <c r="O828" s="291" t="str">
        <f t="shared" si="120"/>
        <v/>
      </c>
      <c r="P828" s="291" t="str">
        <f t="shared" si="121"/>
        <v/>
      </c>
    </row>
    <row r="829" spans="1:16" ht="15" customHeight="1" x14ac:dyDescent="0.2">
      <c r="A829" s="243" t="str">
        <f>IFERROR(INDEX('All Ticker P&amp;L'!$A$2:$A$1001,MATCH(ROWS($A$2:A829),'All Ticker P&amp;L'!$N$2:$N$1001,0)),"")</f>
        <v/>
      </c>
      <c r="B829" s="243" t="str">
        <f t="shared" si="113"/>
        <v/>
      </c>
      <c r="C829" s="243" t="str">
        <f t="shared" si="114"/>
        <v/>
      </c>
      <c r="D829" s="243" t="str">
        <f t="shared" si="115"/>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6"/>
        <v/>
      </c>
      <c r="K829" s="287" t="str">
        <f t="shared" si="117"/>
        <v/>
      </c>
      <c r="L829" s="287" t="str">
        <f t="shared" si="118"/>
        <v/>
      </c>
      <c r="M829" s="290" t="str">
        <f t="shared" si="119"/>
        <v/>
      </c>
      <c r="N829" t="str">
        <f>IF($A829="","",IFERROR(INDEX(Prices[Category],MATCH($A829,Prices[Key],0)),"Uncategorized"))</f>
        <v/>
      </c>
      <c r="O829" s="291" t="str">
        <f t="shared" si="120"/>
        <v/>
      </c>
      <c r="P829" s="291" t="str">
        <f t="shared" si="121"/>
        <v/>
      </c>
    </row>
    <row r="830" spans="1:16" ht="15" customHeight="1" x14ac:dyDescent="0.2">
      <c r="A830" s="243" t="str">
        <f>IFERROR(INDEX('All Ticker P&amp;L'!$A$2:$A$1001,MATCH(ROWS($A$2:A830),'All Ticker P&amp;L'!$N$2:$N$1001,0)),"")</f>
        <v/>
      </c>
      <c r="B830" s="243" t="str">
        <f t="shared" si="113"/>
        <v/>
      </c>
      <c r="C830" s="243" t="str">
        <f t="shared" si="114"/>
        <v/>
      </c>
      <c r="D830" s="243" t="str">
        <f t="shared" si="115"/>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6"/>
        <v/>
      </c>
      <c r="K830" s="287" t="str">
        <f t="shared" si="117"/>
        <v/>
      </c>
      <c r="L830" s="287" t="str">
        <f t="shared" si="118"/>
        <v/>
      </c>
      <c r="M830" s="290" t="str">
        <f t="shared" si="119"/>
        <v/>
      </c>
      <c r="N830" t="str">
        <f>IF($A830="","",IFERROR(INDEX(Prices[Category],MATCH($A830,Prices[Key],0)),"Uncategorized"))</f>
        <v/>
      </c>
      <c r="O830" s="291" t="str">
        <f t="shared" si="120"/>
        <v/>
      </c>
      <c r="P830" s="291" t="str">
        <f t="shared" si="121"/>
        <v/>
      </c>
    </row>
    <row r="831" spans="1:16" ht="15" customHeight="1" x14ac:dyDescent="0.2">
      <c r="A831" s="243" t="str">
        <f>IFERROR(INDEX('All Ticker P&amp;L'!$A$2:$A$1001,MATCH(ROWS($A$2:A831),'All Ticker P&amp;L'!$N$2:$N$1001,0)),"")</f>
        <v/>
      </c>
      <c r="B831" s="243" t="str">
        <f t="shared" si="113"/>
        <v/>
      </c>
      <c r="C831" s="243" t="str">
        <f t="shared" si="114"/>
        <v/>
      </c>
      <c r="D831" s="243" t="str">
        <f t="shared" si="115"/>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6"/>
        <v/>
      </c>
      <c r="K831" s="287" t="str">
        <f t="shared" si="117"/>
        <v/>
      </c>
      <c r="L831" s="287" t="str">
        <f t="shared" si="118"/>
        <v/>
      </c>
      <c r="M831" s="290" t="str">
        <f t="shared" si="119"/>
        <v/>
      </c>
      <c r="N831" t="str">
        <f>IF($A831="","",IFERROR(INDEX(Prices[Category],MATCH($A831,Prices[Key],0)),"Uncategorized"))</f>
        <v/>
      </c>
      <c r="O831" s="291" t="str">
        <f t="shared" si="120"/>
        <v/>
      </c>
      <c r="P831" s="291" t="str">
        <f t="shared" si="121"/>
        <v/>
      </c>
    </row>
    <row r="832" spans="1:16" ht="15" customHeight="1" x14ac:dyDescent="0.2">
      <c r="A832" s="243" t="str">
        <f>IFERROR(INDEX('All Ticker P&amp;L'!$A$2:$A$1001,MATCH(ROWS($A$2:A832),'All Ticker P&amp;L'!$N$2:$N$1001,0)),"")</f>
        <v/>
      </c>
      <c r="B832" s="243" t="str">
        <f t="shared" si="113"/>
        <v/>
      </c>
      <c r="C832" s="243" t="str">
        <f t="shared" si="114"/>
        <v/>
      </c>
      <c r="D832" s="243" t="str">
        <f t="shared" si="115"/>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6"/>
        <v/>
      </c>
      <c r="K832" s="287" t="str">
        <f t="shared" si="117"/>
        <v/>
      </c>
      <c r="L832" s="287" t="str">
        <f t="shared" si="118"/>
        <v/>
      </c>
      <c r="M832" s="290" t="str">
        <f t="shared" si="119"/>
        <v/>
      </c>
      <c r="N832" t="str">
        <f>IF($A832="","",IFERROR(INDEX(Prices[Category],MATCH($A832,Prices[Key],0)),"Uncategorized"))</f>
        <v/>
      </c>
      <c r="O832" s="291" t="str">
        <f t="shared" si="120"/>
        <v/>
      </c>
      <c r="P832" s="291" t="str">
        <f t="shared" si="121"/>
        <v/>
      </c>
    </row>
    <row r="833" spans="1:16" ht="15" customHeight="1" x14ac:dyDescent="0.2">
      <c r="A833" s="243" t="str">
        <f>IFERROR(INDEX('All Ticker P&amp;L'!$A$2:$A$1001,MATCH(ROWS($A$2:A833),'All Ticker P&amp;L'!$N$2:$N$1001,0)),"")</f>
        <v/>
      </c>
      <c r="B833" s="243" t="str">
        <f t="shared" si="113"/>
        <v/>
      </c>
      <c r="C833" s="243" t="str">
        <f t="shared" si="114"/>
        <v/>
      </c>
      <c r="D833" s="243" t="str">
        <f t="shared" si="115"/>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6"/>
        <v/>
      </c>
      <c r="K833" s="287" t="str">
        <f t="shared" si="117"/>
        <v/>
      </c>
      <c r="L833" s="287" t="str">
        <f t="shared" si="118"/>
        <v/>
      </c>
      <c r="M833" s="290" t="str">
        <f t="shared" si="119"/>
        <v/>
      </c>
      <c r="N833" t="str">
        <f>IF($A833="","",IFERROR(INDEX(Prices[Category],MATCH($A833,Prices[Key],0)),"Uncategorized"))</f>
        <v/>
      </c>
      <c r="O833" s="291" t="str">
        <f t="shared" si="120"/>
        <v/>
      </c>
      <c r="P833" s="291" t="str">
        <f t="shared" si="121"/>
        <v/>
      </c>
    </row>
    <row r="834" spans="1:16" ht="15" customHeight="1" x14ac:dyDescent="0.2">
      <c r="A834" s="243" t="str">
        <f>IFERROR(INDEX('All Ticker P&amp;L'!$A$2:$A$1001,MATCH(ROWS($A$2:A834),'All Ticker P&amp;L'!$N$2:$N$1001,0)),"")</f>
        <v/>
      </c>
      <c r="B834" s="243" t="str">
        <f t="shared" ref="B834:B897" si="122">IF($A834="","",LEFT($A834,FIND(":",$A834)-1))</f>
        <v/>
      </c>
      <c r="C834" s="243" t="str">
        <f t="shared" ref="C834:C897" si="123">IF($A834="","",MID($A834,FIND(":",$A834)+1,FIND(":",$A834,FIND(":",$A834)+1)-FIND(":",$A834)-1))</f>
        <v/>
      </c>
      <c r="D834" s="243" t="str">
        <f t="shared" ref="D834:D897" si="124">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5">IF($A834="","",E834*H834)</f>
        <v/>
      </c>
      <c r="K834" s="287" t="str">
        <f t="shared" ref="K834:K897" si="126">IF($A834="","",J834+G834-F834)</f>
        <v/>
      </c>
      <c r="L834" s="287" t="str">
        <f t="shared" ref="L834:L897" si="127">IF($A834="","",K834*I834)</f>
        <v/>
      </c>
      <c r="M834" s="290" t="str">
        <f t="shared" ref="M834:M897" si="128">IF($A834="","",IFERROR(K834/F834,0))</f>
        <v/>
      </c>
      <c r="N834" t="str">
        <f>IF($A834="","",IFERROR(INDEX(Prices[Category],MATCH($A834,Prices[Key],0)),"Uncategorized"))</f>
        <v/>
      </c>
      <c r="O834" s="291" t="str">
        <f t="shared" ref="O834:O897" si="129">IF($A834="","",$J834*$I834)</f>
        <v/>
      </c>
      <c r="P834" s="291" t="str">
        <f t="shared" ref="P834:P897" si="130">IF($A834="","",$L834)</f>
        <v/>
      </c>
    </row>
    <row r="835" spans="1:16" ht="15" customHeight="1" x14ac:dyDescent="0.2">
      <c r="A835" s="243" t="str">
        <f>IFERROR(INDEX('All Ticker P&amp;L'!$A$2:$A$1001,MATCH(ROWS($A$2:A835),'All Ticker P&amp;L'!$N$2:$N$1001,0)),"")</f>
        <v/>
      </c>
      <c r="B835" s="243" t="str">
        <f t="shared" si="122"/>
        <v/>
      </c>
      <c r="C835" s="243" t="str">
        <f t="shared" si="123"/>
        <v/>
      </c>
      <c r="D835" s="243" t="str">
        <f t="shared" si="124"/>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5"/>
        <v/>
      </c>
      <c r="K835" s="287" t="str">
        <f t="shared" si="126"/>
        <v/>
      </c>
      <c r="L835" s="287" t="str">
        <f t="shared" si="127"/>
        <v/>
      </c>
      <c r="M835" s="290" t="str">
        <f t="shared" si="128"/>
        <v/>
      </c>
      <c r="N835" t="str">
        <f>IF($A835="","",IFERROR(INDEX(Prices[Category],MATCH($A835,Prices[Key],0)),"Uncategorized"))</f>
        <v/>
      </c>
      <c r="O835" s="291" t="str">
        <f t="shared" si="129"/>
        <v/>
      </c>
      <c r="P835" s="291" t="str">
        <f t="shared" si="130"/>
        <v/>
      </c>
    </row>
    <row r="836" spans="1:16" ht="15" customHeight="1" x14ac:dyDescent="0.2">
      <c r="A836" s="243" t="str">
        <f>IFERROR(INDEX('All Ticker P&amp;L'!$A$2:$A$1001,MATCH(ROWS($A$2:A836),'All Ticker P&amp;L'!$N$2:$N$1001,0)),"")</f>
        <v/>
      </c>
      <c r="B836" s="243" t="str">
        <f t="shared" si="122"/>
        <v/>
      </c>
      <c r="C836" s="243" t="str">
        <f t="shared" si="123"/>
        <v/>
      </c>
      <c r="D836" s="243" t="str">
        <f t="shared" si="124"/>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5"/>
        <v/>
      </c>
      <c r="K836" s="287" t="str">
        <f t="shared" si="126"/>
        <v/>
      </c>
      <c r="L836" s="287" t="str">
        <f t="shared" si="127"/>
        <v/>
      </c>
      <c r="M836" s="290" t="str">
        <f t="shared" si="128"/>
        <v/>
      </c>
      <c r="N836" t="str">
        <f>IF($A836="","",IFERROR(INDEX(Prices[Category],MATCH($A836,Prices[Key],0)),"Uncategorized"))</f>
        <v/>
      </c>
      <c r="O836" s="291" t="str">
        <f t="shared" si="129"/>
        <v/>
      </c>
      <c r="P836" s="291" t="str">
        <f t="shared" si="130"/>
        <v/>
      </c>
    </row>
    <row r="837" spans="1:16" ht="15" customHeight="1" x14ac:dyDescent="0.2">
      <c r="A837" s="243" t="str">
        <f>IFERROR(INDEX('All Ticker P&amp;L'!$A$2:$A$1001,MATCH(ROWS($A$2:A837),'All Ticker P&amp;L'!$N$2:$N$1001,0)),"")</f>
        <v/>
      </c>
      <c r="B837" s="243" t="str">
        <f t="shared" si="122"/>
        <v/>
      </c>
      <c r="C837" s="243" t="str">
        <f t="shared" si="123"/>
        <v/>
      </c>
      <c r="D837" s="243" t="str">
        <f t="shared" si="124"/>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5"/>
        <v/>
      </c>
      <c r="K837" s="287" t="str">
        <f t="shared" si="126"/>
        <v/>
      </c>
      <c r="L837" s="287" t="str">
        <f t="shared" si="127"/>
        <v/>
      </c>
      <c r="M837" s="290" t="str">
        <f t="shared" si="128"/>
        <v/>
      </c>
      <c r="N837" t="str">
        <f>IF($A837="","",IFERROR(INDEX(Prices[Category],MATCH($A837,Prices[Key],0)),"Uncategorized"))</f>
        <v/>
      </c>
      <c r="O837" s="291" t="str">
        <f t="shared" si="129"/>
        <v/>
      </c>
      <c r="P837" s="291" t="str">
        <f t="shared" si="130"/>
        <v/>
      </c>
    </row>
    <row r="838" spans="1:16" ht="15" customHeight="1" x14ac:dyDescent="0.2">
      <c r="A838" s="243" t="str">
        <f>IFERROR(INDEX('All Ticker P&amp;L'!$A$2:$A$1001,MATCH(ROWS($A$2:A838),'All Ticker P&amp;L'!$N$2:$N$1001,0)),"")</f>
        <v/>
      </c>
      <c r="B838" s="243" t="str">
        <f t="shared" si="122"/>
        <v/>
      </c>
      <c r="C838" s="243" t="str">
        <f t="shared" si="123"/>
        <v/>
      </c>
      <c r="D838" s="243" t="str">
        <f t="shared" si="124"/>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5"/>
        <v/>
      </c>
      <c r="K838" s="287" t="str">
        <f t="shared" si="126"/>
        <v/>
      </c>
      <c r="L838" s="287" t="str">
        <f t="shared" si="127"/>
        <v/>
      </c>
      <c r="M838" s="290" t="str">
        <f t="shared" si="128"/>
        <v/>
      </c>
      <c r="N838" t="str">
        <f>IF($A838="","",IFERROR(INDEX(Prices[Category],MATCH($A838,Prices[Key],0)),"Uncategorized"))</f>
        <v/>
      </c>
      <c r="O838" s="291" t="str">
        <f t="shared" si="129"/>
        <v/>
      </c>
      <c r="P838" s="291" t="str">
        <f t="shared" si="130"/>
        <v/>
      </c>
    </row>
    <row r="839" spans="1:16" ht="15" customHeight="1" x14ac:dyDescent="0.2">
      <c r="A839" s="243" t="str">
        <f>IFERROR(INDEX('All Ticker P&amp;L'!$A$2:$A$1001,MATCH(ROWS($A$2:A839),'All Ticker P&amp;L'!$N$2:$N$1001,0)),"")</f>
        <v/>
      </c>
      <c r="B839" s="243" t="str">
        <f t="shared" si="122"/>
        <v/>
      </c>
      <c r="C839" s="243" t="str">
        <f t="shared" si="123"/>
        <v/>
      </c>
      <c r="D839" s="243" t="str">
        <f t="shared" si="124"/>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5"/>
        <v/>
      </c>
      <c r="K839" s="287" t="str">
        <f t="shared" si="126"/>
        <v/>
      </c>
      <c r="L839" s="287" t="str">
        <f t="shared" si="127"/>
        <v/>
      </c>
      <c r="M839" s="290" t="str">
        <f t="shared" si="128"/>
        <v/>
      </c>
      <c r="N839" t="str">
        <f>IF($A839="","",IFERROR(INDEX(Prices[Category],MATCH($A839,Prices[Key],0)),"Uncategorized"))</f>
        <v/>
      </c>
      <c r="O839" s="291" t="str">
        <f t="shared" si="129"/>
        <v/>
      </c>
      <c r="P839" s="291" t="str">
        <f t="shared" si="130"/>
        <v/>
      </c>
    </row>
    <row r="840" spans="1:16" ht="15" customHeight="1" x14ac:dyDescent="0.2">
      <c r="A840" s="243" t="str">
        <f>IFERROR(INDEX('All Ticker P&amp;L'!$A$2:$A$1001,MATCH(ROWS($A$2:A840),'All Ticker P&amp;L'!$N$2:$N$1001,0)),"")</f>
        <v/>
      </c>
      <c r="B840" s="243" t="str">
        <f t="shared" si="122"/>
        <v/>
      </c>
      <c r="C840" s="243" t="str">
        <f t="shared" si="123"/>
        <v/>
      </c>
      <c r="D840" s="243" t="str">
        <f t="shared" si="124"/>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5"/>
        <v/>
      </c>
      <c r="K840" s="287" t="str">
        <f t="shared" si="126"/>
        <v/>
      </c>
      <c r="L840" s="287" t="str">
        <f t="shared" si="127"/>
        <v/>
      </c>
      <c r="M840" s="290" t="str">
        <f t="shared" si="128"/>
        <v/>
      </c>
      <c r="N840" t="str">
        <f>IF($A840="","",IFERROR(INDEX(Prices[Category],MATCH($A840,Prices[Key],0)),"Uncategorized"))</f>
        <v/>
      </c>
      <c r="O840" s="291" t="str">
        <f t="shared" si="129"/>
        <v/>
      </c>
      <c r="P840" s="291" t="str">
        <f t="shared" si="130"/>
        <v/>
      </c>
    </row>
    <row r="841" spans="1:16" ht="15" customHeight="1" x14ac:dyDescent="0.2">
      <c r="A841" s="243" t="str">
        <f>IFERROR(INDEX('All Ticker P&amp;L'!$A$2:$A$1001,MATCH(ROWS($A$2:A841),'All Ticker P&amp;L'!$N$2:$N$1001,0)),"")</f>
        <v/>
      </c>
      <c r="B841" s="243" t="str">
        <f t="shared" si="122"/>
        <v/>
      </c>
      <c r="C841" s="243" t="str">
        <f t="shared" si="123"/>
        <v/>
      </c>
      <c r="D841" s="243" t="str">
        <f t="shared" si="124"/>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5"/>
        <v/>
      </c>
      <c r="K841" s="287" t="str">
        <f t="shared" si="126"/>
        <v/>
      </c>
      <c r="L841" s="287" t="str">
        <f t="shared" si="127"/>
        <v/>
      </c>
      <c r="M841" s="290" t="str">
        <f t="shared" si="128"/>
        <v/>
      </c>
      <c r="N841" t="str">
        <f>IF($A841="","",IFERROR(INDEX(Prices[Category],MATCH($A841,Prices[Key],0)),"Uncategorized"))</f>
        <v/>
      </c>
      <c r="O841" s="291" t="str">
        <f t="shared" si="129"/>
        <v/>
      </c>
      <c r="P841" s="291" t="str">
        <f t="shared" si="130"/>
        <v/>
      </c>
    </row>
    <row r="842" spans="1:16" ht="15" customHeight="1" x14ac:dyDescent="0.2">
      <c r="A842" s="243" t="str">
        <f>IFERROR(INDEX('All Ticker P&amp;L'!$A$2:$A$1001,MATCH(ROWS($A$2:A842),'All Ticker P&amp;L'!$N$2:$N$1001,0)),"")</f>
        <v/>
      </c>
      <c r="B842" s="243" t="str">
        <f t="shared" si="122"/>
        <v/>
      </c>
      <c r="C842" s="243" t="str">
        <f t="shared" si="123"/>
        <v/>
      </c>
      <c r="D842" s="243" t="str">
        <f t="shared" si="124"/>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5"/>
        <v/>
      </c>
      <c r="K842" s="287" t="str">
        <f t="shared" si="126"/>
        <v/>
      </c>
      <c r="L842" s="287" t="str">
        <f t="shared" si="127"/>
        <v/>
      </c>
      <c r="M842" s="290" t="str">
        <f t="shared" si="128"/>
        <v/>
      </c>
      <c r="N842" t="str">
        <f>IF($A842="","",IFERROR(INDEX(Prices[Category],MATCH($A842,Prices[Key],0)),"Uncategorized"))</f>
        <v/>
      </c>
      <c r="O842" s="291" t="str">
        <f t="shared" si="129"/>
        <v/>
      </c>
      <c r="P842" s="291" t="str">
        <f t="shared" si="130"/>
        <v/>
      </c>
    </row>
    <row r="843" spans="1:16" ht="15" customHeight="1" x14ac:dyDescent="0.2">
      <c r="A843" s="243" t="str">
        <f>IFERROR(INDEX('All Ticker P&amp;L'!$A$2:$A$1001,MATCH(ROWS($A$2:A843),'All Ticker P&amp;L'!$N$2:$N$1001,0)),"")</f>
        <v/>
      </c>
      <c r="B843" s="243" t="str">
        <f t="shared" si="122"/>
        <v/>
      </c>
      <c r="C843" s="243" t="str">
        <f t="shared" si="123"/>
        <v/>
      </c>
      <c r="D843" s="243" t="str">
        <f t="shared" si="124"/>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5"/>
        <v/>
      </c>
      <c r="K843" s="287" t="str">
        <f t="shared" si="126"/>
        <v/>
      </c>
      <c r="L843" s="287" t="str">
        <f t="shared" si="127"/>
        <v/>
      </c>
      <c r="M843" s="290" t="str">
        <f t="shared" si="128"/>
        <v/>
      </c>
      <c r="N843" t="str">
        <f>IF($A843="","",IFERROR(INDEX(Prices[Category],MATCH($A843,Prices[Key],0)),"Uncategorized"))</f>
        <v/>
      </c>
      <c r="O843" s="291" t="str">
        <f t="shared" si="129"/>
        <v/>
      </c>
      <c r="P843" s="291" t="str">
        <f t="shared" si="130"/>
        <v/>
      </c>
    </row>
    <row r="844" spans="1:16" ht="15" customHeight="1" x14ac:dyDescent="0.2">
      <c r="A844" s="243" t="str">
        <f>IFERROR(INDEX('All Ticker P&amp;L'!$A$2:$A$1001,MATCH(ROWS($A$2:A844),'All Ticker P&amp;L'!$N$2:$N$1001,0)),"")</f>
        <v/>
      </c>
      <c r="B844" s="243" t="str">
        <f t="shared" si="122"/>
        <v/>
      </c>
      <c r="C844" s="243" t="str">
        <f t="shared" si="123"/>
        <v/>
      </c>
      <c r="D844" s="243" t="str">
        <f t="shared" si="124"/>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5"/>
        <v/>
      </c>
      <c r="K844" s="287" t="str">
        <f t="shared" si="126"/>
        <v/>
      </c>
      <c r="L844" s="287" t="str">
        <f t="shared" si="127"/>
        <v/>
      </c>
      <c r="M844" s="290" t="str">
        <f t="shared" si="128"/>
        <v/>
      </c>
      <c r="N844" t="str">
        <f>IF($A844="","",IFERROR(INDEX(Prices[Category],MATCH($A844,Prices[Key],0)),"Uncategorized"))</f>
        <v/>
      </c>
      <c r="O844" s="291" t="str">
        <f t="shared" si="129"/>
        <v/>
      </c>
      <c r="P844" s="291" t="str">
        <f t="shared" si="130"/>
        <v/>
      </c>
    </row>
    <row r="845" spans="1:16" ht="15" customHeight="1" x14ac:dyDescent="0.2">
      <c r="A845" s="243" t="str">
        <f>IFERROR(INDEX('All Ticker P&amp;L'!$A$2:$A$1001,MATCH(ROWS($A$2:A845),'All Ticker P&amp;L'!$N$2:$N$1001,0)),"")</f>
        <v/>
      </c>
      <c r="B845" s="243" t="str">
        <f t="shared" si="122"/>
        <v/>
      </c>
      <c r="C845" s="243" t="str">
        <f t="shared" si="123"/>
        <v/>
      </c>
      <c r="D845" s="243" t="str">
        <f t="shared" si="124"/>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5"/>
        <v/>
      </c>
      <c r="K845" s="287" t="str">
        <f t="shared" si="126"/>
        <v/>
      </c>
      <c r="L845" s="287" t="str">
        <f t="shared" si="127"/>
        <v/>
      </c>
      <c r="M845" s="290" t="str">
        <f t="shared" si="128"/>
        <v/>
      </c>
      <c r="N845" t="str">
        <f>IF($A845="","",IFERROR(INDEX(Prices[Category],MATCH($A845,Prices[Key],0)),"Uncategorized"))</f>
        <v/>
      </c>
      <c r="O845" s="291" t="str">
        <f t="shared" si="129"/>
        <v/>
      </c>
      <c r="P845" s="291" t="str">
        <f t="shared" si="130"/>
        <v/>
      </c>
    </row>
    <row r="846" spans="1:16" ht="15" customHeight="1" x14ac:dyDescent="0.2">
      <c r="A846" s="243" t="str">
        <f>IFERROR(INDEX('All Ticker P&amp;L'!$A$2:$A$1001,MATCH(ROWS($A$2:A846),'All Ticker P&amp;L'!$N$2:$N$1001,0)),"")</f>
        <v/>
      </c>
      <c r="B846" s="243" t="str">
        <f t="shared" si="122"/>
        <v/>
      </c>
      <c r="C846" s="243" t="str">
        <f t="shared" si="123"/>
        <v/>
      </c>
      <c r="D846" s="243" t="str">
        <f t="shared" si="124"/>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5"/>
        <v/>
      </c>
      <c r="K846" s="287" t="str">
        <f t="shared" si="126"/>
        <v/>
      </c>
      <c r="L846" s="287" t="str">
        <f t="shared" si="127"/>
        <v/>
      </c>
      <c r="M846" s="290" t="str">
        <f t="shared" si="128"/>
        <v/>
      </c>
      <c r="N846" t="str">
        <f>IF($A846="","",IFERROR(INDEX(Prices[Category],MATCH($A846,Prices[Key],0)),"Uncategorized"))</f>
        <v/>
      </c>
      <c r="O846" s="291" t="str">
        <f t="shared" si="129"/>
        <v/>
      </c>
      <c r="P846" s="291" t="str">
        <f t="shared" si="130"/>
        <v/>
      </c>
    </row>
    <row r="847" spans="1:16" ht="15" customHeight="1" x14ac:dyDescent="0.2">
      <c r="A847" s="243" t="str">
        <f>IFERROR(INDEX('All Ticker P&amp;L'!$A$2:$A$1001,MATCH(ROWS($A$2:A847),'All Ticker P&amp;L'!$N$2:$N$1001,0)),"")</f>
        <v/>
      </c>
      <c r="B847" s="243" t="str">
        <f t="shared" si="122"/>
        <v/>
      </c>
      <c r="C847" s="243" t="str">
        <f t="shared" si="123"/>
        <v/>
      </c>
      <c r="D847" s="243" t="str">
        <f t="shared" si="124"/>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5"/>
        <v/>
      </c>
      <c r="K847" s="287" t="str">
        <f t="shared" si="126"/>
        <v/>
      </c>
      <c r="L847" s="287" t="str">
        <f t="shared" si="127"/>
        <v/>
      </c>
      <c r="M847" s="290" t="str">
        <f t="shared" si="128"/>
        <v/>
      </c>
      <c r="N847" t="str">
        <f>IF($A847="","",IFERROR(INDEX(Prices[Category],MATCH($A847,Prices[Key],0)),"Uncategorized"))</f>
        <v/>
      </c>
      <c r="O847" s="291" t="str">
        <f t="shared" si="129"/>
        <v/>
      </c>
      <c r="P847" s="291" t="str">
        <f t="shared" si="130"/>
        <v/>
      </c>
    </row>
    <row r="848" spans="1:16" ht="15" customHeight="1" x14ac:dyDescent="0.2">
      <c r="A848" s="243" t="str">
        <f>IFERROR(INDEX('All Ticker P&amp;L'!$A$2:$A$1001,MATCH(ROWS($A$2:A848),'All Ticker P&amp;L'!$N$2:$N$1001,0)),"")</f>
        <v/>
      </c>
      <c r="B848" s="243" t="str">
        <f t="shared" si="122"/>
        <v/>
      </c>
      <c r="C848" s="243" t="str">
        <f t="shared" si="123"/>
        <v/>
      </c>
      <c r="D848" s="243" t="str">
        <f t="shared" si="124"/>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5"/>
        <v/>
      </c>
      <c r="K848" s="287" t="str">
        <f t="shared" si="126"/>
        <v/>
      </c>
      <c r="L848" s="287" t="str">
        <f t="shared" si="127"/>
        <v/>
      </c>
      <c r="M848" s="290" t="str">
        <f t="shared" si="128"/>
        <v/>
      </c>
      <c r="N848" t="str">
        <f>IF($A848="","",IFERROR(INDEX(Prices[Category],MATCH($A848,Prices[Key],0)),"Uncategorized"))</f>
        <v/>
      </c>
      <c r="O848" s="291" t="str">
        <f t="shared" si="129"/>
        <v/>
      </c>
      <c r="P848" s="291" t="str">
        <f t="shared" si="130"/>
        <v/>
      </c>
    </row>
    <row r="849" spans="1:16" ht="15" customHeight="1" x14ac:dyDescent="0.2">
      <c r="A849" s="243" t="str">
        <f>IFERROR(INDEX('All Ticker P&amp;L'!$A$2:$A$1001,MATCH(ROWS($A$2:A849),'All Ticker P&amp;L'!$N$2:$N$1001,0)),"")</f>
        <v/>
      </c>
      <c r="B849" s="243" t="str">
        <f t="shared" si="122"/>
        <v/>
      </c>
      <c r="C849" s="243" t="str">
        <f t="shared" si="123"/>
        <v/>
      </c>
      <c r="D849" s="243" t="str">
        <f t="shared" si="124"/>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5"/>
        <v/>
      </c>
      <c r="K849" s="287" t="str">
        <f t="shared" si="126"/>
        <v/>
      </c>
      <c r="L849" s="287" t="str">
        <f t="shared" si="127"/>
        <v/>
      </c>
      <c r="M849" s="290" t="str">
        <f t="shared" si="128"/>
        <v/>
      </c>
      <c r="N849" t="str">
        <f>IF($A849="","",IFERROR(INDEX(Prices[Category],MATCH($A849,Prices[Key],0)),"Uncategorized"))</f>
        <v/>
      </c>
      <c r="O849" s="291" t="str">
        <f t="shared" si="129"/>
        <v/>
      </c>
      <c r="P849" s="291" t="str">
        <f t="shared" si="130"/>
        <v/>
      </c>
    </row>
    <row r="850" spans="1:16" ht="15" customHeight="1" x14ac:dyDescent="0.2">
      <c r="A850" s="243" t="str">
        <f>IFERROR(INDEX('All Ticker P&amp;L'!$A$2:$A$1001,MATCH(ROWS($A$2:A850),'All Ticker P&amp;L'!$N$2:$N$1001,0)),"")</f>
        <v/>
      </c>
      <c r="B850" s="243" t="str">
        <f t="shared" si="122"/>
        <v/>
      </c>
      <c r="C850" s="243" t="str">
        <f t="shared" si="123"/>
        <v/>
      </c>
      <c r="D850" s="243" t="str">
        <f t="shared" si="124"/>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5"/>
        <v/>
      </c>
      <c r="K850" s="287" t="str">
        <f t="shared" si="126"/>
        <v/>
      </c>
      <c r="L850" s="287" t="str">
        <f t="shared" si="127"/>
        <v/>
      </c>
      <c r="M850" s="290" t="str">
        <f t="shared" si="128"/>
        <v/>
      </c>
      <c r="N850" t="str">
        <f>IF($A850="","",IFERROR(INDEX(Prices[Category],MATCH($A850,Prices[Key],0)),"Uncategorized"))</f>
        <v/>
      </c>
      <c r="O850" s="291" t="str">
        <f t="shared" si="129"/>
        <v/>
      </c>
      <c r="P850" s="291" t="str">
        <f t="shared" si="130"/>
        <v/>
      </c>
    </row>
    <row r="851" spans="1:16" ht="15" customHeight="1" x14ac:dyDescent="0.2">
      <c r="A851" s="243" t="str">
        <f>IFERROR(INDEX('All Ticker P&amp;L'!$A$2:$A$1001,MATCH(ROWS($A$2:A851),'All Ticker P&amp;L'!$N$2:$N$1001,0)),"")</f>
        <v/>
      </c>
      <c r="B851" s="243" t="str">
        <f t="shared" si="122"/>
        <v/>
      </c>
      <c r="C851" s="243" t="str">
        <f t="shared" si="123"/>
        <v/>
      </c>
      <c r="D851" s="243" t="str">
        <f t="shared" si="124"/>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5"/>
        <v/>
      </c>
      <c r="K851" s="287" t="str">
        <f t="shared" si="126"/>
        <v/>
      </c>
      <c r="L851" s="287" t="str">
        <f t="shared" si="127"/>
        <v/>
      </c>
      <c r="M851" s="290" t="str">
        <f t="shared" si="128"/>
        <v/>
      </c>
      <c r="N851" t="str">
        <f>IF($A851="","",IFERROR(INDEX(Prices[Category],MATCH($A851,Prices[Key],0)),"Uncategorized"))</f>
        <v/>
      </c>
      <c r="O851" s="291" t="str">
        <f t="shared" si="129"/>
        <v/>
      </c>
      <c r="P851" s="291" t="str">
        <f t="shared" si="130"/>
        <v/>
      </c>
    </row>
    <row r="852" spans="1:16" ht="15" customHeight="1" x14ac:dyDescent="0.2">
      <c r="A852" s="243" t="str">
        <f>IFERROR(INDEX('All Ticker P&amp;L'!$A$2:$A$1001,MATCH(ROWS($A$2:A852),'All Ticker P&amp;L'!$N$2:$N$1001,0)),"")</f>
        <v/>
      </c>
      <c r="B852" s="243" t="str">
        <f t="shared" si="122"/>
        <v/>
      </c>
      <c r="C852" s="243" t="str">
        <f t="shared" si="123"/>
        <v/>
      </c>
      <c r="D852" s="243" t="str">
        <f t="shared" si="124"/>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5"/>
        <v/>
      </c>
      <c r="K852" s="287" t="str">
        <f t="shared" si="126"/>
        <v/>
      </c>
      <c r="L852" s="287" t="str">
        <f t="shared" si="127"/>
        <v/>
      </c>
      <c r="M852" s="290" t="str">
        <f t="shared" si="128"/>
        <v/>
      </c>
      <c r="N852" t="str">
        <f>IF($A852="","",IFERROR(INDEX(Prices[Category],MATCH($A852,Prices[Key],0)),"Uncategorized"))</f>
        <v/>
      </c>
      <c r="O852" s="291" t="str">
        <f t="shared" si="129"/>
        <v/>
      </c>
      <c r="P852" s="291" t="str">
        <f t="shared" si="130"/>
        <v/>
      </c>
    </row>
    <row r="853" spans="1:16" ht="15" customHeight="1" x14ac:dyDescent="0.2">
      <c r="A853" s="243" t="str">
        <f>IFERROR(INDEX('All Ticker P&amp;L'!$A$2:$A$1001,MATCH(ROWS($A$2:A853),'All Ticker P&amp;L'!$N$2:$N$1001,0)),"")</f>
        <v/>
      </c>
      <c r="B853" s="243" t="str">
        <f t="shared" si="122"/>
        <v/>
      </c>
      <c r="C853" s="243" t="str">
        <f t="shared" si="123"/>
        <v/>
      </c>
      <c r="D853" s="243" t="str">
        <f t="shared" si="124"/>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5"/>
        <v/>
      </c>
      <c r="K853" s="287" t="str">
        <f t="shared" si="126"/>
        <v/>
      </c>
      <c r="L853" s="287" t="str">
        <f t="shared" si="127"/>
        <v/>
      </c>
      <c r="M853" s="290" t="str">
        <f t="shared" si="128"/>
        <v/>
      </c>
      <c r="N853" t="str">
        <f>IF($A853="","",IFERROR(INDEX(Prices[Category],MATCH($A853,Prices[Key],0)),"Uncategorized"))</f>
        <v/>
      </c>
      <c r="O853" s="291" t="str">
        <f t="shared" si="129"/>
        <v/>
      </c>
      <c r="P853" s="291" t="str">
        <f t="shared" si="130"/>
        <v/>
      </c>
    </row>
    <row r="854" spans="1:16" ht="15" customHeight="1" x14ac:dyDescent="0.2">
      <c r="A854" s="243" t="str">
        <f>IFERROR(INDEX('All Ticker P&amp;L'!$A$2:$A$1001,MATCH(ROWS($A$2:A854),'All Ticker P&amp;L'!$N$2:$N$1001,0)),"")</f>
        <v/>
      </c>
      <c r="B854" s="243" t="str">
        <f t="shared" si="122"/>
        <v/>
      </c>
      <c r="C854" s="243" t="str">
        <f t="shared" si="123"/>
        <v/>
      </c>
      <c r="D854" s="243" t="str">
        <f t="shared" si="124"/>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5"/>
        <v/>
      </c>
      <c r="K854" s="287" t="str">
        <f t="shared" si="126"/>
        <v/>
      </c>
      <c r="L854" s="287" t="str">
        <f t="shared" si="127"/>
        <v/>
      </c>
      <c r="M854" s="290" t="str">
        <f t="shared" si="128"/>
        <v/>
      </c>
      <c r="N854" t="str">
        <f>IF($A854="","",IFERROR(INDEX(Prices[Category],MATCH($A854,Prices[Key],0)),"Uncategorized"))</f>
        <v/>
      </c>
      <c r="O854" s="291" t="str">
        <f t="shared" si="129"/>
        <v/>
      </c>
      <c r="P854" s="291" t="str">
        <f t="shared" si="130"/>
        <v/>
      </c>
    </row>
    <row r="855" spans="1:16" ht="15" customHeight="1" x14ac:dyDescent="0.2">
      <c r="A855" s="243" t="str">
        <f>IFERROR(INDEX('All Ticker P&amp;L'!$A$2:$A$1001,MATCH(ROWS($A$2:A855),'All Ticker P&amp;L'!$N$2:$N$1001,0)),"")</f>
        <v/>
      </c>
      <c r="B855" s="243" t="str">
        <f t="shared" si="122"/>
        <v/>
      </c>
      <c r="C855" s="243" t="str">
        <f t="shared" si="123"/>
        <v/>
      </c>
      <c r="D855" s="243" t="str">
        <f t="shared" si="124"/>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5"/>
        <v/>
      </c>
      <c r="K855" s="287" t="str">
        <f t="shared" si="126"/>
        <v/>
      </c>
      <c r="L855" s="287" t="str">
        <f t="shared" si="127"/>
        <v/>
      </c>
      <c r="M855" s="290" t="str">
        <f t="shared" si="128"/>
        <v/>
      </c>
      <c r="N855" t="str">
        <f>IF($A855="","",IFERROR(INDEX(Prices[Category],MATCH($A855,Prices[Key],0)),"Uncategorized"))</f>
        <v/>
      </c>
      <c r="O855" s="291" t="str">
        <f t="shared" si="129"/>
        <v/>
      </c>
      <c r="P855" s="291" t="str">
        <f t="shared" si="130"/>
        <v/>
      </c>
    </row>
    <row r="856" spans="1:16" ht="15" customHeight="1" x14ac:dyDescent="0.2">
      <c r="A856" s="243" t="str">
        <f>IFERROR(INDEX('All Ticker P&amp;L'!$A$2:$A$1001,MATCH(ROWS($A$2:A856),'All Ticker P&amp;L'!$N$2:$N$1001,0)),"")</f>
        <v/>
      </c>
      <c r="B856" s="243" t="str">
        <f t="shared" si="122"/>
        <v/>
      </c>
      <c r="C856" s="243" t="str">
        <f t="shared" si="123"/>
        <v/>
      </c>
      <c r="D856" s="243" t="str">
        <f t="shared" si="124"/>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5"/>
        <v/>
      </c>
      <c r="K856" s="287" t="str">
        <f t="shared" si="126"/>
        <v/>
      </c>
      <c r="L856" s="287" t="str">
        <f t="shared" si="127"/>
        <v/>
      </c>
      <c r="M856" s="290" t="str">
        <f t="shared" si="128"/>
        <v/>
      </c>
      <c r="N856" t="str">
        <f>IF($A856="","",IFERROR(INDEX(Prices[Category],MATCH($A856,Prices[Key],0)),"Uncategorized"))</f>
        <v/>
      </c>
      <c r="O856" s="291" t="str">
        <f t="shared" si="129"/>
        <v/>
      </c>
      <c r="P856" s="291" t="str">
        <f t="shared" si="130"/>
        <v/>
      </c>
    </row>
    <row r="857" spans="1:16" ht="15" customHeight="1" x14ac:dyDescent="0.2">
      <c r="A857" s="243" t="str">
        <f>IFERROR(INDEX('All Ticker P&amp;L'!$A$2:$A$1001,MATCH(ROWS($A$2:A857),'All Ticker P&amp;L'!$N$2:$N$1001,0)),"")</f>
        <v/>
      </c>
      <c r="B857" s="243" t="str">
        <f t="shared" si="122"/>
        <v/>
      </c>
      <c r="C857" s="243" t="str">
        <f t="shared" si="123"/>
        <v/>
      </c>
      <c r="D857" s="243" t="str">
        <f t="shared" si="124"/>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5"/>
        <v/>
      </c>
      <c r="K857" s="287" t="str">
        <f t="shared" si="126"/>
        <v/>
      </c>
      <c r="L857" s="287" t="str">
        <f t="shared" si="127"/>
        <v/>
      </c>
      <c r="M857" s="290" t="str">
        <f t="shared" si="128"/>
        <v/>
      </c>
      <c r="N857" t="str">
        <f>IF($A857="","",IFERROR(INDEX(Prices[Category],MATCH($A857,Prices[Key],0)),"Uncategorized"))</f>
        <v/>
      </c>
      <c r="O857" s="291" t="str">
        <f t="shared" si="129"/>
        <v/>
      </c>
      <c r="P857" s="291" t="str">
        <f t="shared" si="130"/>
        <v/>
      </c>
    </row>
    <row r="858" spans="1:16" ht="15" customHeight="1" x14ac:dyDescent="0.2">
      <c r="A858" s="243" t="str">
        <f>IFERROR(INDEX('All Ticker P&amp;L'!$A$2:$A$1001,MATCH(ROWS($A$2:A858),'All Ticker P&amp;L'!$N$2:$N$1001,0)),"")</f>
        <v/>
      </c>
      <c r="B858" s="243" t="str">
        <f t="shared" si="122"/>
        <v/>
      </c>
      <c r="C858" s="243" t="str">
        <f t="shared" si="123"/>
        <v/>
      </c>
      <c r="D858" s="243" t="str">
        <f t="shared" si="124"/>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5"/>
        <v/>
      </c>
      <c r="K858" s="287" t="str">
        <f t="shared" si="126"/>
        <v/>
      </c>
      <c r="L858" s="287" t="str">
        <f t="shared" si="127"/>
        <v/>
      </c>
      <c r="M858" s="290" t="str">
        <f t="shared" si="128"/>
        <v/>
      </c>
      <c r="N858" t="str">
        <f>IF($A858="","",IFERROR(INDEX(Prices[Category],MATCH($A858,Prices[Key],0)),"Uncategorized"))</f>
        <v/>
      </c>
      <c r="O858" s="291" t="str">
        <f t="shared" si="129"/>
        <v/>
      </c>
      <c r="P858" s="291" t="str">
        <f t="shared" si="130"/>
        <v/>
      </c>
    </row>
    <row r="859" spans="1:16" ht="15" customHeight="1" x14ac:dyDescent="0.2">
      <c r="A859" s="243" t="str">
        <f>IFERROR(INDEX('All Ticker P&amp;L'!$A$2:$A$1001,MATCH(ROWS($A$2:A859),'All Ticker P&amp;L'!$N$2:$N$1001,0)),"")</f>
        <v/>
      </c>
      <c r="B859" s="243" t="str">
        <f t="shared" si="122"/>
        <v/>
      </c>
      <c r="C859" s="243" t="str">
        <f t="shared" si="123"/>
        <v/>
      </c>
      <c r="D859" s="243" t="str">
        <f t="shared" si="124"/>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5"/>
        <v/>
      </c>
      <c r="K859" s="287" t="str">
        <f t="shared" si="126"/>
        <v/>
      </c>
      <c r="L859" s="287" t="str">
        <f t="shared" si="127"/>
        <v/>
      </c>
      <c r="M859" s="290" t="str">
        <f t="shared" si="128"/>
        <v/>
      </c>
      <c r="N859" t="str">
        <f>IF($A859="","",IFERROR(INDEX(Prices[Category],MATCH($A859,Prices[Key],0)),"Uncategorized"))</f>
        <v/>
      </c>
      <c r="O859" s="291" t="str">
        <f t="shared" si="129"/>
        <v/>
      </c>
      <c r="P859" s="291" t="str">
        <f t="shared" si="130"/>
        <v/>
      </c>
    </row>
    <row r="860" spans="1:16" ht="15" customHeight="1" x14ac:dyDescent="0.2">
      <c r="A860" s="243" t="str">
        <f>IFERROR(INDEX('All Ticker P&amp;L'!$A$2:$A$1001,MATCH(ROWS($A$2:A860),'All Ticker P&amp;L'!$N$2:$N$1001,0)),"")</f>
        <v/>
      </c>
      <c r="B860" s="243" t="str">
        <f t="shared" si="122"/>
        <v/>
      </c>
      <c r="C860" s="243" t="str">
        <f t="shared" si="123"/>
        <v/>
      </c>
      <c r="D860" s="243" t="str">
        <f t="shared" si="124"/>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5"/>
        <v/>
      </c>
      <c r="K860" s="287" t="str">
        <f t="shared" si="126"/>
        <v/>
      </c>
      <c r="L860" s="287" t="str">
        <f t="shared" si="127"/>
        <v/>
      </c>
      <c r="M860" s="290" t="str">
        <f t="shared" si="128"/>
        <v/>
      </c>
      <c r="N860" t="str">
        <f>IF($A860="","",IFERROR(INDEX(Prices[Category],MATCH($A860,Prices[Key],0)),"Uncategorized"))</f>
        <v/>
      </c>
      <c r="O860" s="291" t="str">
        <f t="shared" si="129"/>
        <v/>
      </c>
      <c r="P860" s="291" t="str">
        <f t="shared" si="130"/>
        <v/>
      </c>
    </row>
    <row r="861" spans="1:16" ht="15" customHeight="1" x14ac:dyDescent="0.2">
      <c r="A861" s="243" t="str">
        <f>IFERROR(INDEX('All Ticker P&amp;L'!$A$2:$A$1001,MATCH(ROWS($A$2:A861),'All Ticker P&amp;L'!$N$2:$N$1001,0)),"")</f>
        <v/>
      </c>
      <c r="B861" s="243" t="str">
        <f t="shared" si="122"/>
        <v/>
      </c>
      <c r="C861" s="243" t="str">
        <f t="shared" si="123"/>
        <v/>
      </c>
      <c r="D861" s="243" t="str">
        <f t="shared" si="124"/>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5"/>
        <v/>
      </c>
      <c r="K861" s="287" t="str">
        <f t="shared" si="126"/>
        <v/>
      </c>
      <c r="L861" s="287" t="str">
        <f t="shared" si="127"/>
        <v/>
      </c>
      <c r="M861" s="290" t="str">
        <f t="shared" si="128"/>
        <v/>
      </c>
      <c r="N861" t="str">
        <f>IF($A861="","",IFERROR(INDEX(Prices[Category],MATCH($A861,Prices[Key],0)),"Uncategorized"))</f>
        <v/>
      </c>
      <c r="O861" s="291" t="str">
        <f t="shared" si="129"/>
        <v/>
      </c>
      <c r="P861" s="291" t="str">
        <f t="shared" si="130"/>
        <v/>
      </c>
    </row>
    <row r="862" spans="1:16" ht="15" customHeight="1" x14ac:dyDescent="0.2">
      <c r="A862" s="243" t="str">
        <f>IFERROR(INDEX('All Ticker P&amp;L'!$A$2:$A$1001,MATCH(ROWS($A$2:A862),'All Ticker P&amp;L'!$N$2:$N$1001,0)),"")</f>
        <v/>
      </c>
      <c r="B862" s="243" t="str">
        <f t="shared" si="122"/>
        <v/>
      </c>
      <c r="C862" s="243" t="str">
        <f t="shared" si="123"/>
        <v/>
      </c>
      <c r="D862" s="243" t="str">
        <f t="shared" si="124"/>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5"/>
        <v/>
      </c>
      <c r="K862" s="287" t="str">
        <f t="shared" si="126"/>
        <v/>
      </c>
      <c r="L862" s="287" t="str">
        <f t="shared" si="127"/>
        <v/>
      </c>
      <c r="M862" s="290" t="str">
        <f t="shared" si="128"/>
        <v/>
      </c>
      <c r="N862" t="str">
        <f>IF($A862="","",IFERROR(INDEX(Prices[Category],MATCH($A862,Prices[Key],0)),"Uncategorized"))</f>
        <v/>
      </c>
      <c r="O862" s="291" t="str">
        <f t="shared" si="129"/>
        <v/>
      </c>
      <c r="P862" s="291" t="str">
        <f t="shared" si="130"/>
        <v/>
      </c>
    </row>
    <row r="863" spans="1:16" ht="15" customHeight="1" x14ac:dyDescent="0.2">
      <c r="A863" s="243" t="str">
        <f>IFERROR(INDEX('All Ticker P&amp;L'!$A$2:$A$1001,MATCH(ROWS($A$2:A863),'All Ticker P&amp;L'!$N$2:$N$1001,0)),"")</f>
        <v/>
      </c>
      <c r="B863" s="243" t="str">
        <f t="shared" si="122"/>
        <v/>
      </c>
      <c r="C863" s="243" t="str">
        <f t="shared" si="123"/>
        <v/>
      </c>
      <c r="D863" s="243" t="str">
        <f t="shared" si="124"/>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5"/>
        <v/>
      </c>
      <c r="K863" s="287" t="str">
        <f t="shared" si="126"/>
        <v/>
      </c>
      <c r="L863" s="287" t="str">
        <f t="shared" si="127"/>
        <v/>
      </c>
      <c r="M863" s="290" t="str">
        <f t="shared" si="128"/>
        <v/>
      </c>
      <c r="N863" t="str">
        <f>IF($A863="","",IFERROR(INDEX(Prices[Category],MATCH($A863,Prices[Key],0)),"Uncategorized"))</f>
        <v/>
      </c>
      <c r="O863" s="291" t="str">
        <f t="shared" si="129"/>
        <v/>
      </c>
      <c r="P863" s="291" t="str">
        <f t="shared" si="130"/>
        <v/>
      </c>
    </row>
    <row r="864" spans="1:16" ht="15" customHeight="1" x14ac:dyDescent="0.2">
      <c r="A864" s="243" t="str">
        <f>IFERROR(INDEX('All Ticker P&amp;L'!$A$2:$A$1001,MATCH(ROWS($A$2:A864),'All Ticker P&amp;L'!$N$2:$N$1001,0)),"")</f>
        <v/>
      </c>
      <c r="B864" s="243" t="str">
        <f t="shared" si="122"/>
        <v/>
      </c>
      <c r="C864" s="243" t="str">
        <f t="shared" si="123"/>
        <v/>
      </c>
      <c r="D864" s="243" t="str">
        <f t="shared" si="124"/>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5"/>
        <v/>
      </c>
      <c r="K864" s="287" t="str">
        <f t="shared" si="126"/>
        <v/>
      </c>
      <c r="L864" s="287" t="str">
        <f t="shared" si="127"/>
        <v/>
      </c>
      <c r="M864" s="290" t="str">
        <f t="shared" si="128"/>
        <v/>
      </c>
      <c r="N864" t="str">
        <f>IF($A864="","",IFERROR(INDEX(Prices[Category],MATCH($A864,Prices[Key],0)),"Uncategorized"))</f>
        <v/>
      </c>
      <c r="O864" s="291" t="str">
        <f t="shared" si="129"/>
        <v/>
      </c>
      <c r="P864" s="291" t="str">
        <f t="shared" si="130"/>
        <v/>
      </c>
    </row>
    <row r="865" spans="1:16" ht="15" customHeight="1" x14ac:dyDescent="0.2">
      <c r="A865" s="243" t="str">
        <f>IFERROR(INDEX('All Ticker P&amp;L'!$A$2:$A$1001,MATCH(ROWS($A$2:A865),'All Ticker P&amp;L'!$N$2:$N$1001,0)),"")</f>
        <v/>
      </c>
      <c r="B865" s="243" t="str">
        <f t="shared" si="122"/>
        <v/>
      </c>
      <c r="C865" s="243" t="str">
        <f t="shared" si="123"/>
        <v/>
      </c>
      <c r="D865" s="243" t="str">
        <f t="shared" si="124"/>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5"/>
        <v/>
      </c>
      <c r="K865" s="287" t="str">
        <f t="shared" si="126"/>
        <v/>
      </c>
      <c r="L865" s="287" t="str">
        <f t="shared" si="127"/>
        <v/>
      </c>
      <c r="M865" s="290" t="str">
        <f t="shared" si="128"/>
        <v/>
      </c>
      <c r="N865" t="str">
        <f>IF($A865="","",IFERROR(INDEX(Prices[Category],MATCH($A865,Prices[Key],0)),"Uncategorized"))</f>
        <v/>
      </c>
      <c r="O865" s="291" t="str">
        <f t="shared" si="129"/>
        <v/>
      </c>
      <c r="P865" s="291" t="str">
        <f t="shared" si="130"/>
        <v/>
      </c>
    </row>
    <row r="866" spans="1:16" ht="15" customHeight="1" x14ac:dyDescent="0.2">
      <c r="A866" s="243" t="str">
        <f>IFERROR(INDEX('All Ticker P&amp;L'!$A$2:$A$1001,MATCH(ROWS($A$2:A866),'All Ticker P&amp;L'!$N$2:$N$1001,0)),"")</f>
        <v/>
      </c>
      <c r="B866" s="243" t="str">
        <f t="shared" si="122"/>
        <v/>
      </c>
      <c r="C866" s="243" t="str">
        <f t="shared" si="123"/>
        <v/>
      </c>
      <c r="D866" s="243" t="str">
        <f t="shared" si="124"/>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5"/>
        <v/>
      </c>
      <c r="K866" s="287" t="str">
        <f t="shared" si="126"/>
        <v/>
      </c>
      <c r="L866" s="287" t="str">
        <f t="shared" si="127"/>
        <v/>
      </c>
      <c r="M866" s="290" t="str">
        <f t="shared" si="128"/>
        <v/>
      </c>
      <c r="N866" t="str">
        <f>IF($A866="","",IFERROR(INDEX(Prices[Category],MATCH($A866,Prices[Key],0)),"Uncategorized"))</f>
        <v/>
      </c>
      <c r="O866" s="291" t="str">
        <f t="shared" si="129"/>
        <v/>
      </c>
      <c r="P866" s="291" t="str">
        <f t="shared" si="130"/>
        <v/>
      </c>
    </row>
    <row r="867" spans="1:16" ht="15" customHeight="1" x14ac:dyDescent="0.2">
      <c r="A867" s="243" t="str">
        <f>IFERROR(INDEX('All Ticker P&amp;L'!$A$2:$A$1001,MATCH(ROWS($A$2:A867),'All Ticker P&amp;L'!$N$2:$N$1001,0)),"")</f>
        <v/>
      </c>
      <c r="B867" s="243" t="str">
        <f t="shared" si="122"/>
        <v/>
      </c>
      <c r="C867" s="243" t="str">
        <f t="shared" si="123"/>
        <v/>
      </c>
      <c r="D867" s="243" t="str">
        <f t="shared" si="124"/>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5"/>
        <v/>
      </c>
      <c r="K867" s="287" t="str">
        <f t="shared" si="126"/>
        <v/>
      </c>
      <c r="L867" s="287" t="str">
        <f t="shared" si="127"/>
        <v/>
      </c>
      <c r="M867" s="290" t="str">
        <f t="shared" si="128"/>
        <v/>
      </c>
      <c r="N867" t="str">
        <f>IF($A867="","",IFERROR(INDEX(Prices[Category],MATCH($A867,Prices[Key],0)),"Uncategorized"))</f>
        <v/>
      </c>
      <c r="O867" s="291" t="str">
        <f t="shared" si="129"/>
        <v/>
      </c>
      <c r="P867" s="291" t="str">
        <f t="shared" si="130"/>
        <v/>
      </c>
    </row>
    <row r="868" spans="1:16" ht="15" customHeight="1" x14ac:dyDescent="0.2">
      <c r="A868" s="243" t="str">
        <f>IFERROR(INDEX('All Ticker P&amp;L'!$A$2:$A$1001,MATCH(ROWS($A$2:A868),'All Ticker P&amp;L'!$N$2:$N$1001,0)),"")</f>
        <v/>
      </c>
      <c r="B868" s="243" t="str">
        <f t="shared" si="122"/>
        <v/>
      </c>
      <c r="C868" s="243" t="str">
        <f t="shared" si="123"/>
        <v/>
      </c>
      <c r="D868" s="243" t="str">
        <f t="shared" si="124"/>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5"/>
        <v/>
      </c>
      <c r="K868" s="287" t="str">
        <f t="shared" si="126"/>
        <v/>
      </c>
      <c r="L868" s="287" t="str">
        <f t="shared" si="127"/>
        <v/>
      </c>
      <c r="M868" s="290" t="str">
        <f t="shared" si="128"/>
        <v/>
      </c>
      <c r="N868" t="str">
        <f>IF($A868="","",IFERROR(INDEX(Prices[Category],MATCH($A868,Prices[Key],0)),"Uncategorized"))</f>
        <v/>
      </c>
      <c r="O868" s="291" t="str">
        <f t="shared" si="129"/>
        <v/>
      </c>
      <c r="P868" s="291" t="str">
        <f t="shared" si="130"/>
        <v/>
      </c>
    </row>
    <row r="869" spans="1:16" ht="15" customHeight="1" x14ac:dyDescent="0.2">
      <c r="A869" s="243" t="str">
        <f>IFERROR(INDEX('All Ticker P&amp;L'!$A$2:$A$1001,MATCH(ROWS($A$2:A869),'All Ticker P&amp;L'!$N$2:$N$1001,0)),"")</f>
        <v/>
      </c>
      <c r="B869" s="243" t="str">
        <f t="shared" si="122"/>
        <v/>
      </c>
      <c r="C869" s="243" t="str">
        <f t="shared" si="123"/>
        <v/>
      </c>
      <c r="D869" s="243" t="str">
        <f t="shared" si="124"/>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5"/>
        <v/>
      </c>
      <c r="K869" s="287" t="str">
        <f t="shared" si="126"/>
        <v/>
      </c>
      <c r="L869" s="287" t="str">
        <f t="shared" si="127"/>
        <v/>
      </c>
      <c r="M869" s="290" t="str">
        <f t="shared" si="128"/>
        <v/>
      </c>
      <c r="N869" t="str">
        <f>IF($A869="","",IFERROR(INDEX(Prices[Category],MATCH($A869,Prices[Key],0)),"Uncategorized"))</f>
        <v/>
      </c>
      <c r="O869" s="291" t="str">
        <f t="shared" si="129"/>
        <v/>
      </c>
      <c r="P869" s="291" t="str">
        <f t="shared" si="130"/>
        <v/>
      </c>
    </row>
    <row r="870" spans="1:16" ht="15" customHeight="1" x14ac:dyDescent="0.2">
      <c r="A870" s="243" t="str">
        <f>IFERROR(INDEX('All Ticker P&amp;L'!$A$2:$A$1001,MATCH(ROWS($A$2:A870),'All Ticker P&amp;L'!$N$2:$N$1001,0)),"")</f>
        <v/>
      </c>
      <c r="B870" s="243" t="str">
        <f t="shared" si="122"/>
        <v/>
      </c>
      <c r="C870" s="243" t="str">
        <f t="shared" si="123"/>
        <v/>
      </c>
      <c r="D870" s="243" t="str">
        <f t="shared" si="124"/>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5"/>
        <v/>
      </c>
      <c r="K870" s="287" t="str">
        <f t="shared" si="126"/>
        <v/>
      </c>
      <c r="L870" s="287" t="str">
        <f t="shared" si="127"/>
        <v/>
      </c>
      <c r="M870" s="290" t="str">
        <f t="shared" si="128"/>
        <v/>
      </c>
      <c r="N870" t="str">
        <f>IF($A870="","",IFERROR(INDEX(Prices[Category],MATCH($A870,Prices[Key],0)),"Uncategorized"))</f>
        <v/>
      </c>
      <c r="O870" s="291" t="str">
        <f t="shared" si="129"/>
        <v/>
      </c>
      <c r="P870" s="291" t="str">
        <f t="shared" si="130"/>
        <v/>
      </c>
    </row>
    <row r="871" spans="1:16" ht="15" customHeight="1" x14ac:dyDescent="0.2">
      <c r="A871" s="243" t="str">
        <f>IFERROR(INDEX('All Ticker P&amp;L'!$A$2:$A$1001,MATCH(ROWS($A$2:A871),'All Ticker P&amp;L'!$N$2:$N$1001,0)),"")</f>
        <v/>
      </c>
      <c r="B871" s="243" t="str">
        <f t="shared" si="122"/>
        <v/>
      </c>
      <c r="C871" s="243" t="str">
        <f t="shared" si="123"/>
        <v/>
      </c>
      <c r="D871" s="243" t="str">
        <f t="shared" si="124"/>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5"/>
        <v/>
      </c>
      <c r="K871" s="287" t="str">
        <f t="shared" si="126"/>
        <v/>
      </c>
      <c r="L871" s="287" t="str">
        <f t="shared" si="127"/>
        <v/>
      </c>
      <c r="M871" s="290" t="str">
        <f t="shared" si="128"/>
        <v/>
      </c>
      <c r="N871" t="str">
        <f>IF($A871="","",IFERROR(INDEX(Prices[Category],MATCH($A871,Prices[Key],0)),"Uncategorized"))</f>
        <v/>
      </c>
      <c r="O871" s="291" t="str">
        <f t="shared" si="129"/>
        <v/>
      </c>
      <c r="P871" s="291" t="str">
        <f t="shared" si="130"/>
        <v/>
      </c>
    </row>
    <row r="872" spans="1:16" ht="15" customHeight="1" x14ac:dyDescent="0.2">
      <c r="A872" s="243" t="str">
        <f>IFERROR(INDEX('All Ticker P&amp;L'!$A$2:$A$1001,MATCH(ROWS($A$2:A872),'All Ticker P&amp;L'!$N$2:$N$1001,0)),"")</f>
        <v/>
      </c>
      <c r="B872" s="243" t="str">
        <f t="shared" si="122"/>
        <v/>
      </c>
      <c r="C872" s="243" t="str">
        <f t="shared" si="123"/>
        <v/>
      </c>
      <c r="D872" s="243" t="str">
        <f t="shared" si="124"/>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5"/>
        <v/>
      </c>
      <c r="K872" s="287" t="str">
        <f t="shared" si="126"/>
        <v/>
      </c>
      <c r="L872" s="287" t="str">
        <f t="shared" si="127"/>
        <v/>
      </c>
      <c r="M872" s="290" t="str">
        <f t="shared" si="128"/>
        <v/>
      </c>
      <c r="N872" t="str">
        <f>IF($A872="","",IFERROR(INDEX(Prices[Category],MATCH($A872,Prices[Key],0)),"Uncategorized"))</f>
        <v/>
      </c>
      <c r="O872" s="291" t="str">
        <f t="shared" si="129"/>
        <v/>
      </c>
      <c r="P872" s="291" t="str">
        <f t="shared" si="130"/>
        <v/>
      </c>
    </row>
    <row r="873" spans="1:16" ht="15" customHeight="1" x14ac:dyDescent="0.2">
      <c r="A873" s="243" t="str">
        <f>IFERROR(INDEX('All Ticker P&amp;L'!$A$2:$A$1001,MATCH(ROWS($A$2:A873),'All Ticker P&amp;L'!$N$2:$N$1001,0)),"")</f>
        <v/>
      </c>
      <c r="B873" s="243" t="str">
        <f t="shared" si="122"/>
        <v/>
      </c>
      <c r="C873" s="243" t="str">
        <f t="shared" si="123"/>
        <v/>
      </c>
      <c r="D873" s="243" t="str">
        <f t="shared" si="124"/>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5"/>
        <v/>
      </c>
      <c r="K873" s="287" t="str">
        <f t="shared" si="126"/>
        <v/>
      </c>
      <c r="L873" s="287" t="str">
        <f t="shared" si="127"/>
        <v/>
      </c>
      <c r="M873" s="290" t="str">
        <f t="shared" si="128"/>
        <v/>
      </c>
      <c r="N873" t="str">
        <f>IF($A873="","",IFERROR(INDEX(Prices[Category],MATCH($A873,Prices[Key],0)),"Uncategorized"))</f>
        <v/>
      </c>
      <c r="O873" s="291" t="str">
        <f t="shared" si="129"/>
        <v/>
      </c>
      <c r="P873" s="291" t="str">
        <f t="shared" si="130"/>
        <v/>
      </c>
    </row>
    <row r="874" spans="1:16" ht="15" customHeight="1" x14ac:dyDescent="0.2">
      <c r="A874" s="243" t="str">
        <f>IFERROR(INDEX('All Ticker P&amp;L'!$A$2:$A$1001,MATCH(ROWS($A$2:A874),'All Ticker P&amp;L'!$N$2:$N$1001,0)),"")</f>
        <v/>
      </c>
      <c r="B874" s="243" t="str">
        <f t="shared" si="122"/>
        <v/>
      </c>
      <c r="C874" s="243" t="str">
        <f t="shared" si="123"/>
        <v/>
      </c>
      <c r="D874" s="243" t="str">
        <f t="shared" si="124"/>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5"/>
        <v/>
      </c>
      <c r="K874" s="287" t="str">
        <f t="shared" si="126"/>
        <v/>
      </c>
      <c r="L874" s="287" t="str">
        <f t="shared" si="127"/>
        <v/>
      </c>
      <c r="M874" s="290" t="str">
        <f t="shared" si="128"/>
        <v/>
      </c>
      <c r="N874" t="str">
        <f>IF($A874="","",IFERROR(INDEX(Prices[Category],MATCH($A874,Prices[Key],0)),"Uncategorized"))</f>
        <v/>
      </c>
      <c r="O874" s="291" t="str">
        <f t="shared" si="129"/>
        <v/>
      </c>
      <c r="P874" s="291" t="str">
        <f t="shared" si="130"/>
        <v/>
      </c>
    </row>
    <row r="875" spans="1:16" ht="15" customHeight="1" x14ac:dyDescent="0.2">
      <c r="A875" s="243" t="str">
        <f>IFERROR(INDEX('All Ticker P&amp;L'!$A$2:$A$1001,MATCH(ROWS($A$2:A875),'All Ticker P&amp;L'!$N$2:$N$1001,0)),"")</f>
        <v/>
      </c>
      <c r="B875" s="243" t="str">
        <f t="shared" si="122"/>
        <v/>
      </c>
      <c r="C875" s="243" t="str">
        <f t="shared" si="123"/>
        <v/>
      </c>
      <c r="D875" s="243" t="str">
        <f t="shared" si="124"/>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5"/>
        <v/>
      </c>
      <c r="K875" s="287" t="str">
        <f t="shared" si="126"/>
        <v/>
      </c>
      <c r="L875" s="287" t="str">
        <f t="shared" si="127"/>
        <v/>
      </c>
      <c r="M875" s="290" t="str">
        <f t="shared" si="128"/>
        <v/>
      </c>
      <c r="N875" t="str">
        <f>IF($A875="","",IFERROR(INDEX(Prices[Category],MATCH($A875,Prices[Key],0)),"Uncategorized"))</f>
        <v/>
      </c>
      <c r="O875" s="291" t="str">
        <f t="shared" si="129"/>
        <v/>
      </c>
      <c r="P875" s="291" t="str">
        <f t="shared" si="130"/>
        <v/>
      </c>
    </row>
    <row r="876" spans="1:16" ht="15" customHeight="1" x14ac:dyDescent="0.2">
      <c r="A876" s="243" t="str">
        <f>IFERROR(INDEX('All Ticker P&amp;L'!$A$2:$A$1001,MATCH(ROWS($A$2:A876),'All Ticker P&amp;L'!$N$2:$N$1001,0)),"")</f>
        <v/>
      </c>
      <c r="B876" s="243" t="str">
        <f t="shared" si="122"/>
        <v/>
      </c>
      <c r="C876" s="243" t="str">
        <f t="shared" si="123"/>
        <v/>
      </c>
      <c r="D876" s="243" t="str">
        <f t="shared" si="124"/>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5"/>
        <v/>
      </c>
      <c r="K876" s="287" t="str">
        <f t="shared" si="126"/>
        <v/>
      </c>
      <c r="L876" s="287" t="str">
        <f t="shared" si="127"/>
        <v/>
      </c>
      <c r="M876" s="290" t="str">
        <f t="shared" si="128"/>
        <v/>
      </c>
      <c r="N876" t="str">
        <f>IF($A876="","",IFERROR(INDEX(Prices[Category],MATCH($A876,Prices[Key],0)),"Uncategorized"))</f>
        <v/>
      </c>
      <c r="O876" s="291" t="str">
        <f t="shared" si="129"/>
        <v/>
      </c>
      <c r="P876" s="291" t="str">
        <f t="shared" si="130"/>
        <v/>
      </c>
    </row>
    <row r="877" spans="1:16" ht="15" customHeight="1" x14ac:dyDescent="0.2">
      <c r="A877" s="243" t="str">
        <f>IFERROR(INDEX('All Ticker P&amp;L'!$A$2:$A$1001,MATCH(ROWS($A$2:A877),'All Ticker P&amp;L'!$N$2:$N$1001,0)),"")</f>
        <v/>
      </c>
      <c r="B877" s="243" t="str">
        <f t="shared" si="122"/>
        <v/>
      </c>
      <c r="C877" s="243" t="str">
        <f t="shared" si="123"/>
        <v/>
      </c>
      <c r="D877" s="243" t="str">
        <f t="shared" si="124"/>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5"/>
        <v/>
      </c>
      <c r="K877" s="287" t="str">
        <f t="shared" si="126"/>
        <v/>
      </c>
      <c r="L877" s="287" t="str">
        <f t="shared" si="127"/>
        <v/>
      </c>
      <c r="M877" s="290" t="str">
        <f t="shared" si="128"/>
        <v/>
      </c>
      <c r="N877" t="str">
        <f>IF($A877="","",IFERROR(INDEX(Prices[Category],MATCH($A877,Prices[Key],0)),"Uncategorized"))</f>
        <v/>
      </c>
      <c r="O877" s="291" t="str">
        <f t="shared" si="129"/>
        <v/>
      </c>
      <c r="P877" s="291" t="str">
        <f t="shared" si="130"/>
        <v/>
      </c>
    </row>
    <row r="878" spans="1:16" ht="15" customHeight="1" x14ac:dyDescent="0.2">
      <c r="A878" s="243" t="str">
        <f>IFERROR(INDEX('All Ticker P&amp;L'!$A$2:$A$1001,MATCH(ROWS($A$2:A878),'All Ticker P&amp;L'!$N$2:$N$1001,0)),"")</f>
        <v/>
      </c>
      <c r="B878" s="243" t="str">
        <f t="shared" si="122"/>
        <v/>
      </c>
      <c r="C878" s="243" t="str">
        <f t="shared" si="123"/>
        <v/>
      </c>
      <c r="D878" s="243" t="str">
        <f t="shared" si="124"/>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5"/>
        <v/>
      </c>
      <c r="K878" s="287" t="str">
        <f t="shared" si="126"/>
        <v/>
      </c>
      <c r="L878" s="287" t="str">
        <f t="shared" si="127"/>
        <v/>
      </c>
      <c r="M878" s="290" t="str">
        <f t="shared" si="128"/>
        <v/>
      </c>
      <c r="N878" t="str">
        <f>IF($A878="","",IFERROR(INDEX(Prices[Category],MATCH($A878,Prices[Key],0)),"Uncategorized"))</f>
        <v/>
      </c>
      <c r="O878" s="291" t="str">
        <f t="shared" si="129"/>
        <v/>
      </c>
      <c r="P878" s="291" t="str">
        <f t="shared" si="130"/>
        <v/>
      </c>
    </row>
    <row r="879" spans="1:16" ht="15" customHeight="1" x14ac:dyDescent="0.2">
      <c r="A879" s="243" t="str">
        <f>IFERROR(INDEX('All Ticker P&amp;L'!$A$2:$A$1001,MATCH(ROWS($A$2:A879),'All Ticker P&amp;L'!$N$2:$N$1001,0)),"")</f>
        <v/>
      </c>
      <c r="B879" s="243" t="str">
        <f t="shared" si="122"/>
        <v/>
      </c>
      <c r="C879" s="243" t="str">
        <f t="shared" si="123"/>
        <v/>
      </c>
      <c r="D879" s="243" t="str">
        <f t="shared" si="124"/>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5"/>
        <v/>
      </c>
      <c r="K879" s="287" t="str">
        <f t="shared" si="126"/>
        <v/>
      </c>
      <c r="L879" s="287" t="str">
        <f t="shared" si="127"/>
        <v/>
      </c>
      <c r="M879" s="290" t="str">
        <f t="shared" si="128"/>
        <v/>
      </c>
      <c r="N879" t="str">
        <f>IF($A879="","",IFERROR(INDEX(Prices[Category],MATCH($A879,Prices[Key],0)),"Uncategorized"))</f>
        <v/>
      </c>
      <c r="O879" s="291" t="str">
        <f t="shared" si="129"/>
        <v/>
      </c>
      <c r="P879" s="291" t="str">
        <f t="shared" si="130"/>
        <v/>
      </c>
    </row>
    <row r="880" spans="1:16" ht="15" customHeight="1" x14ac:dyDescent="0.2">
      <c r="A880" s="243" t="str">
        <f>IFERROR(INDEX('All Ticker P&amp;L'!$A$2:$A$1001,MATCH(ROWS($A$2:A880),'All Ticker P&amp;L'!$N$2:$N$1001,0)),"")</f>
        <v/>
      </c>
      <c r="B880" s="243" t="str">
        <f t="shared" si="122"/>
        <v/>
      </c>
      <c r="C880" s="243" t="str">
        <f t="shared" si="123"/>
        <v/>
      </c>
      <c r="D880" s="243" t="str">
        <f t="shared" si="124"/>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5"/>
        <v/>
      </c>
      <c r="K880" s="287" t="str">
        <f t="shared" si="126"/>
        <v/>
      </c>
      <c r="L880" s="287" t="str">
        <f t="shared" si="127"/>
        <v/>
      </c>
      <c r="M880" s="290" t="str">
        <f t="shared" si="128"/>
        <v/>
      </c>
      <c r="N880" t="str">
        <f>IF($A880="","",IFERROR(INDEX(Prices[Category],MATCH($A880,Prices[Key],0)),"Uncategorized"))</f>
        <v/>
      </c>
      <c r="O880" s="291" t="str">
        <f t="shared" si="129"/>
        <v/>
      </c>
      <c r="P880" s="291" t="str">
        <f t="shared" si="130"/>
        <v/>
      </c>
    </row>
    <row r="881" spans="1:16" ht="15" customHeight="1" x14ac:dyDescent="0.2">
      <c r="A881" s="243" t="str">
        <f>IFERROR(INDEX('All Ticker P&amp;L'!$A$2:$A$1001,MATCH(ROWS($A$2:A881),'All Ticker P&amp;L'!$N$2:$N$1001,0)),"")</f>
        <v/>
      </c>
      <c r="B881" s="243" t="str">
        <f t="shared" si="122"/>
        <v/>
      </c>
      <c r="C881" s="243" t="str">
        <f t="shared" si="123"/>
        <v/>
      </c>
      <c r="D881" s="243" t="str">
        <f t="shared" si="124"/>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5"/>
        <v/>
      </c>
      <c r="K881" s="287" t="str">
        <f t="shared" si="126"/>
        <v/>
      </c>
      <c r="L881" s="287" t="str">
        <f t="shared" si="127"/>
        <v/>
      </c>
      <c r="M881" s="290" t="str">
        <f t="shared" si="128"/>
        <v/>
      </c>
      <c r="N881" t="str">
        <f>IF($A881="","",IFERROR(INDEX(Prices[Category],MATCH($A881,Prices[Key],0)),"Uncategorized"))</f>
        <v/>
      </c>
      <c r="O881" s="291" t="str">
        <f t="shared" si="129"/>
        <v/>
      </c>
      <c r="P881" s="291" t="str">
        <f t="shared" si="130"/>
        <v/>
      </c>
    </row>
    <row r="882" spans="1:16" ht="15" customHeight="1" x14ac:dyDescent="0.2">
      <c r="A882" s="243" t="str">
        <f>IFERROR(INDEX('All Ticker P&amp;L'!$A$2:$A$1001,MATCH(ROWS($A$2:A882),'All Ticker P&amp;L'!$N$2:$N$1001,0)),"")</f>
        <v/>
      </c>
      <c r="B882" s="243" t="str">
        <f t="shared" si="122"/>
        <v/>
      </c>
      <c r="C882" s="243" t="str">
        <f t="shared" si="123"/>
        <v/>
      </c>
      <c r="D882" s="243" t="str">
        <f t="shared" si="124"/>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5"/>
        <v/>
      </c>
      <c r="K882" s="287" t="str">
        <f t="shared" si="126"/>
        <v/>
      </c>
      <c r="L882" s="287" t="str">
        <f t="shared" si="127"/>
        <v/>
      </c>
      <c r="M882" s="290" t="str">
        <f t="shared" si="128"/>
        <v/>
      </c>
      <c r="N882" t="str">
        <f>IF($A882="","",IFERROR(INDEX(Prices[Category],MATCH($A882,Prices[Key],0)),"Uncategorized"))</f>
        <v/>
      </c>
      <c r="O882" s="291" t="str">
        <f t="shared" si="129"/>
        <v/>
      </c>
      <c r="P882" s="291" t="str">
        <f t="shared" si="130"/>
        <v/>
      </c>
    </row>
    <row r="883" spans="1:16" ht="15" customHeight="1" x14ac:dyDescent="0.2">
      <c r="A883" s="243" t="str">
        <f>IFERROR(INDEX('All Ticker P&amp;L'!$A$2:$A$1001,MATCH(ROWS($A$2:A883),'All Ticker P&amp;L'!$N$2:$N$1001,0)),"")</f>
        <v/>
      </c>
      <c r="B883" s="243" t="str">
        <f t="shared" si="122"/>
        <v/>
      </c>
      <c r="C883" s="243" t="str">
        <f t="shared" si="123"/>
        <v/>
      </c>
      <c r="D883" s="243" t="str">
        <f t="shared" si="124"/>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5"/>
        <v/>
      </c>
      <c r="K883" s="287" t="str">
        <f t="shared" si="126"/>
        <v/>
      </c>
      <c r="L883" s="287" t="str">
        <f t="shared" si="127"/>
        <v/>
      </c>
      <c r="M883" s="290" t="str">
        <f t="shared" si="128"/>
        <v/>
      </c>
      <c r="N883" t="str">
        <f>IF($A883="","",IFERROR(INDEX(Prices[Category],MATCH($A883,Prices[Key],0)),"Uncategorized"))</f>
        <v/>
      </c>
      <c r="O883" s="291" t="str">
        <f t="shared" si="129"/>
        <v/>
      </c>
      <c r="P883" s="291" t="str">
        <f t="shared" si="130"/>
        <v/>
      </c>
    </row>
    <row r="884" spans="1:16" ht="15" customHeight="1" x14ac:dyDescent="0.2">
      <c r="A884" s="243" t="str">
        <f>IFERROR(INDEX('All Ticker P&amp;L'!$A$2:$A$1001,MATCH(ROWS($A$2:A884),'All Ticker P&amp;L'!$N$2:$N$1001,0)),"")</f>
        <v/>
      </c>
      <c r="B884" s="243" t="str">
        <f t="shared" si="122"/>
        <v/>
      </c>
      <c r="C884" s="243" t="str">
        <f t="shared" si="123"/>
        <v/>
      </c>
      <c r="D884" s="243" t="str">
        <f t="shared" si="124"/>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5"/>
        <v/>
      </c>
      <c r="K884" s="287" t="str">
        <f t="shared" si="126"/>
        <v/>
      </c>
      <c r="L884" s="287" t="str">
        <f t="shared" si="127"/>
        <v/>
      </c>
      <c r="M884" s="290" t="str">
        <f t="shared" si="128"/>
        <v/>
      </c>
      <c r="N884" t="str">
        <f>IF($A884="","",IFERROR(INDEX(Prices[Category],MATCH($A884,Prices[Key],0)),"Uncategorized"))</f>
        <v/>
      </c>
      <c r="O884" s="291" t="str">
        <f t="shared" si="129"/>
        <v/>
      </c>
      <c r="P884" s="291" t="str">
        <f t="shared" si="130"/>
        <v/>
      </c>
    </row>
    <row r="885" spans="1:16" ht="15" customHeight="1" x14ac:dyDescent="0.2">
      <c r="A885" s="243" t="str">
        <f>IFERROR(INDEX('All Ticker P&amp;L'!$A$2:$A$1001,MATCH(ROWS($A$2:A885),'All Ticker P&amp;L'!$N$2:$N$1001,0)),"")</f>
        <v/>
      </c>
      <c r="B885" s="243" t="str">
        <f t="shared" si="122"/>
        <v/>
      </c>
      <c r="C885" s="243" t="str">
        <f t="shared" si="123"/>
        <v/>
      </c>
      <c r="D885" s="243" t="str">
        <f t="shared" si="124"/>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5"/>
        <v/>
      </c>
      <c r="K885" s="287" t="str">
        <f t="shared" si="126"/>
        <v/>
      </c>
      <c r="L885" s="287" t="str">
        <f t="shared" si="127"/>
        <v/>
      </c>
      <c r="M885" s="290" t="str">
        <f t="shared" si="128"/>
        <v/>
      </c>
      <c r="N885" t="str">
        <f>IF($A885="","",IFERROR(INDEX(Prices[Category],MATCH($A885,Prices[Key],0)),"Uncategorized"))</f>
        <v/>
      </c>
      <c r="O885" s="291" t="str">
        <f t="shared" si="129"/>
        <v/>
      </c>
      <c r="P885" s="291" t="str">
        <f t="shared" si="130"/>
        <v/>
      </c>
    </row>
    <row r="886" spans="1:16" ht="15" customHeight="1" x14ac:dyDescent="0.2">
      <c r="A886" s="243" t="str">
        <f>IFERROR(INDEX('All Ticker P&amp;L'!$A$2:$A$1001,MATCH(ROWS($A$2:A886),'All Ticker P&amp;L'!$N$2:$N$1001,0)),"")</f>
        <v/>
      </c>
      <c r="B886" s="243" t="str">
        <f t="shared" si="122"/>
        <v/>
      </c>
      <c r="C886" s="243" t="str">
        <f t="shared" si="123"/>
        <v/>
      </c>
      <c r="D886" s="243" t="str">
        <f t="shared" si="124"/>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5"/>
        <v/>
      </c>
      <c r="K886" s="287" t="str">
        <f t="shared" si="126"/>
        <v/>
      </c>
      <c r="L886" s="287" t="str">
        <f t="shared" si="127"/>
        <v/>
      </c>
      <c r="M886" s="290" t="str">
        <f t="shared" si="128"/>
        <v/>
      </c>
      <c r="N886" t="str">
        <f>IF($A886="","",IFERROR(INDEX(Prices[Category],MATCH($A886,Prices[Key],0)),"Uncategorized"))</f>
        <v/>
      </c>
      <c r="O886" s="291" t="str">
        <f t="shared" si="129"/>
        <v/>
      </c>
      <c r="P886" s="291" t="str">
        <f t="shared" si="130"/>
        <v/>
      </c>
    </row>
    <row r="887" spans="1:16" ht="15" customHeight="1" x14ac:dyDescent="0.2">
      <c r="A887" s="243" t="str">
        <f>IFERROR(INDEX('All Ticker P&amp;L'!$A$2:$A$1001,MATCH(ROWS($A$2:A887),'All Ticker P&amp;L'!$N$2:$N$1001,0)),"")</f>
        <v/>
      </c>
      <c r="B887" s="243" t="str">
        <f t="shared" si="122"/>
        <v/>
      </c>
      <c r="C887" s="243" t="str">
        <f t="shared" si="123"/>
        <v/>
      </c>
      <c r="D887" s="243" t="str">
        <f t="shared" si="124"/>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5"/>
        <v/>
      </c>
      <c r="K887" s="287" t="str">
        <f t="shared" si="126"/>
        <v/>
      </c>
      <c r="L887" s="287" t="str">
        <f t="shared" si="127"/>
        <v/>
      </c>
      <c r="M887" s="290" t="str">
        <f t="shared" si="128"/>
        <v/>
      </c>
      <c r="N887" t="str">
        <f>IF($A887="","",IFERROR(INDEX(Prices[Category],MATCH($A887,Prices[Key],0)),"Uncategorized"))</f>
        <v/>
      </c>
      <c r="O887" s="291" t="str">
        <f t="shared" si="129"/>
        <v/>
      </c>
      <c r="P887" s="291" t="str">
        <f t="shared" si="130"/>
        <v/>
      </c>
    </row>
    <row r="888" spans="1:16" ht="15" customHeight="1" x14ac:dyDescent="0.2">
      <c r="A888" s="243" t="str">
        <f>IFERROR(INDEX('All Ticker P&amp;L'!$A$2:$A$1001,MATCH(ROWS($A$2:A888),'All Ticker P&amp;L'!$N$2:$N$1001,0)),"")</f>
        <v/>
      </c>
      <c r="B888" s="243" t="str">
        <f t="shared" si="122"/>
        <v/>
      </c>
      <c r="C888" s="243" t="str">
        <f t="shared" si="123"/>
        <v/>
      </c>
      <c r="D888" s="243" t="str">
        <f t="shared" si="124"/>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5"/>
        <v/>
      </c>
      <c r="K888" s="287" t="str">
        <f t="shared" si="126"/>
        <v/>
      </c>
      <c r="L888" s="287" t="str">
        <f t="shared" si="127"/>
        <v/>
      </c>
      <c r="M888" s="290" t="str">
        <f t="shared" si="128"/>
        <v/>
      </c>
      <c r="N888" t="str">
        <f>IF($A888="","",IFERROR(INDEX(Prices[Category],MATCH($A888,Prices[Key],0)),"Uncategorized"))</f>
        <v/>
      </c>
      <c r="O888" s="291" t="str">
        <f t="shared" si="129"/>
        <v/>
      </c>
      <c r="P888" s="291" t="str">
        <f t="shared" si="130"/>
        <v/>
      </c>
    </row>
    <row r="889" spans="1:16" ht="15" customHeight="1" x14ac:dyDescent="0.2">
      <c r="A889" s="243" t="str">
        <f>IFERROR(INDEX('All Ticker P&amp;L'!$A$2:$A$1001,MATCH(ROWS($A$2:A889),'All Ticker P&amp;L'!$N$2:$N$1001,0)),"")</f>
        <v/>
      </c>
      <c r="B889" s="243" t="str">
        <f t="shared" si="122"/>
        <v/>
      </c>
      <c r="C889" s="243" t="str">
        <f t="shared" si="123"/>
        <v/>
      </c>
      <c r="D889" s="243" t="str">
        <f t="shared" si="124"/>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5"/>
        <v/>
      </c>
      <c r="K889" s="287" t="str">
        <f t="shared" si="126"/>
        <v/>
      </c>
      <c r="L889" s="287" t="str">
        <f t="shared" si="127"/>
        <v/>
      </c>
      <c r="M889" s="290" t="str">
        <f t="shared" si="128"/>
        <v/>
      </c>
      <c r="N889" t="str">
        <f>IF($A889="","",IFERROR(INDEX(Prices[Category],MATCH($A889,Prices[Key],0)),"Uncategorized"))</f>
        <v/>
      </c>
      <c r="O889" s="291" t="str">
        <f t="shared" si="129"/>
        <v/>
      </c>
      <c r="P889" s="291" t="str">
        <f t="shared" si="130"/>
        <v/>
      </c>
    </row>
    <row r="890" spans="1:16" ht="15" customHeight="1" x14ac:dyDescent="0.2">
      <c r="A890" s="243" t="str">
        <f>IFERROR(INDEX('All Ticker P&amp;L'!$A$2:$A$1001,MATCH(ROWS($A$2:A890),'All Ticker P&amp;L'!$N$2:$N$1001,0)),"")</f>
        <v/>
      </c>
      <c r="B890" s="243" t="str">
        <f t="shared" si="122"/>
        <v/>
      </c>
      <c r="C890" s="243" t="str">
        <f t="shared" si="123"/>
        <v/>
      </c>
      <c r="D890" s="243" t="str">
        <f t="shared" si="124"/>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5"/>
        <v/>
      </c>
      <c r="K890" s="287" t="str">
        <f t="shared" si="126"/>
        <v/>
      </c>
      <c r="L890" s="287" t="str">
        <f t="shared" si="127"/>
        <v/>
      </c>
      <c r="M890" s="290" t="str">
        <f t="shared" si="128"/>
        <v/>
      </c>
      <c r="N890" t="str">
        <f>IF($A890="","",IFERROR(INDEX(Prices[Category],MATCH($A890,Prices[Key],0)),"Uncategorized"))</f>
        <v/>
      </c>
      <c r="O890" s="291" t="str">
        <f t="shared" si="129"/>
        <v/>
      </c>
      <c r="P890" s="291" t="str">
        <f t="shared" si="130"/>
        <v/>
      </c>
    </row>
    <row r="891" spans="1:16" ht="15" customHeight="1" x14ac:dyDescent="0.2">
      <c r="A891" s="243" t="str">
        <f>IFERROR(INDEX('All Ticker P&amp;L'!$A$2:$A$1001,MATCH(ROWS($A$2:A891),'All Ticker P&amp;L'!$N$2:$N$1001,0)),"")</f>
        <v/>
      </c>
      <c r="B891" s="243" t="str">
        <f t="shared" si="122"/>
        <v/>
      </c>
      <c r="C891" s="243" t="str">
        <f t="shared" si="123"/>
        <v/>
      </c>
      <c r="D891" s="243" t="str">
        <f t="shared" si="124"/>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5"/>
        <v/>
      </c>
      <c r="K891" s="287" t="str">
        <f t="shared" si="126"/>
        <v/>
      </c>
      <c r="L891" s="287" t="str">
        <f t="shared" si="127"/>
        <v/>
      </c>
      <c r="M891" s="290" t="str">
        <f t="shared" si="128"/>
        <v/>
      </c>
      <c r="N891" t="str">
        <f>IF($A891="","",IFERROR(INDEX(Prices[Category],MATCH($A891,Prices[Key],0)),"Uncategorized"))</f>
        <v/>
      </c>
      <c r="O891" s="291" t="str">
        <f t="shared" si="129"/>
        <v/>
      </c>
      <c r="P891" s="291" t="str">
        <f t="shared" si="130"/>
        <v/>
      </c>
    </row>
    <row r="892" spans="1:16" ht="15" customHeight="1" x14ac:dyDescent="0.2">
      <c r="A892" s="243" t="str">
        <f>IFERROR(INDEX('All Ticker P&amp;L'!$A$2:$A$1001,MATCH(ROWS($A$2:A892),'All Ticker P&amp;L'!$N$2:$N$1001,0)),"")</f>
        <v/>
      </c>
      <c r="B892" s="243" t="str">
        <f t="shared" si="122"/>
        <v/>
      </c>
      <c r="C892" s="243" t="str">
        <f t="shared" si="123"/>
        <v/>
      </c>
      <c r="D892" s="243" t="str">
        <f t="shared" si="124"/>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5"/>
        <v/>
      </c>
      <c r="K892" s="287" t="str">
        <f t="shared" si="126"/>
        <v/>
      </c>
      <c r="L892" s="287" t="str">
        <f t="shared" si="127"/>
        <v/>
      </c>
      <c r="M892" s="290" t="str">
        <f t="shared" si="128"/>
        <v/>
      </c>
      <c r="N892" t="str">
        <f>IF($A892="","",IFERROR(INDEX(Prices[Category],MATCH($A892,Prices[Key],0)),"Uncategorized"))</f>
        <v/>
      </c>
      <c r="O892" s="291" t="str">
        <f t="shared" si="129"/>
        <v/>
      </c>
      <c r="P892" s="291" t="str">
        <f t="shared" si="130"/>
        <v/>
      </c>
    </row>
    <row r="893" spans="1:16" ht="15" customHeight="1" x14ac:dyDescent="0.2">
      <c r="A893" s="243" t="str">
        <f>IFERROR(INDEX('All Ticker P&amp;L'!$A$2:$A$1001,MATCH(ROWS($A$2:A893),'All Ticker P&amp;L'!$N$2:$N$1001,0)),"")</f>
        <v/>
      </c>
      <c r="B893" s="243" t="str">
        <f t="shared" si="122"/>
        <v/>
      </c>
      <c r="C893" s="243" t="str">
        <f t="shared" si="123"/>
        <v/>
      </c>
      <c r="D893" s="243" t="str">
        <f t="shared" si="124"/>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5"/>
        <v/>
      </c>
      <c r="K893" s="287" t="str">
        <f t="shared" si="126"/>
        <v/>
      </c>
      <c r="L893" s="287" t="str">
        <f t="shared" si="127"/>
        <v/>
      </c>
      <c r="M893" s="290" t="str">
        <f t="shared" si="128"/>
        <v/>
      </c>
      <c r="N893" t="str">
        <f>IF($A893="","",IFERROR(INDEX(Prices[Category],MATCH($A893,Prices[Key],0)),"Uncategorized"))</f>
        <v/>
      </c>
      <c r="O893" s="291" t="str">
        <f t="shared" si="129"/>
        <v/>
      </c>
      <c r="P893" s="291" t="str">
        <f t="shared" si="130"/>
        <v/>
      </c>
    </row>
    <row r="894" spans="1:16" ht="15" customHeight="1" x14ac:dyDescent="0.2">
      <c r="A894" s="243" t="str">
        <f>IFERROR(INDEX('All Ticker P&amp;L'!$A$2:$A$1001,MATCH(ROWS($A$2:A894),'All Ticker P&amp;L'!$N$2:$N$1001,0)),"")</f>
        <v/>
      </c>
      <c r="B894" s="243" t="str">
        <f t="shared" si="122"/>
        <v/>
      </c>
      <c r="C894" s="243" t="str">
        <f t="shared" si="123"/>
        <v/>
      </c>
      <c r="D894" s="243" t="str">
        <f t="shared" si="124"/>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5"/>
        <v/>
      </c>
      <c r="K894" s="287" t="str">
        <f t="shared" si="126"/>
        <v/>
      </c>
      <c r="L894" s="287" t="str">
        <f t="shared" si="127"/>
        <v/>
      </c>
      <c r="M894" s="290" t="str">
        <f t="shared" si="128"/>
        <v/>
      </c>
      <c r="N894" t="str">
        <f>IF($A894="","",IFERROR(INDEX(Prices[Category],MATCH($A894,Prices[Key],0)),"Uncategorized"))</f>
        <v/>
      </c>
      <c r="O894" s="291" t="str">
        <f t="shared" si="129"/>
        <v/>
      </c>
      <c r="P894" s="291" t="str">
        <f t="shared" si="130"/>
        <v/>
      </c>
    </row>
    <row r="895" spans="1:16" ht="15" customHeight="1" x14ac:dyDescent="0.2">
      <c r="A895" s="243" t="str">
        <f>IFERROR(INDEX('All Ticker P&amp;L'!$A$2:$A$1001,MATCH(ROWS($A$2:A895),'All Ticker P&amp;L'!$N$2:$N$1001,0)),"")</f>
        <v/>
      </c>
      <c r="B895" s="243" t="str">
        <f t="shared" si="122"/>
        <v/>
      </c>
      <c r="C895" s="243" t="str">
        <f t="shared" si="123"/>
        <v/>
      </c>
      <c r="D895" s="243" t="str">
        <f t="shared" si="124"/>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5"/>
        <v/>
      </c>
      <c r="K895" s="287" t="str">
        <f t="shared" si="126"/>
        <v/>
      </c>
      <c r="L895" s="287" t="str">
        <f t="shared" si="127"/>
        <v/>
      </c>
      <c r="M895" s="290" t="str">
        <f t="shared" si="128"/>
        <v/>
      </c>
      <c r="N895" t="str">
        <f>IF($A895="","",IFERROR(INDEX(Prices[Category],MATCH($A895,Prices[Key],0)),"Uncategorized"))</f>
        <v/>
      </c>
      <c r="O895" s="291" t="str">
        <f t="shared" si="129"/>
        <v/>
      </c>
      <c r="P895" s="291" t="str">
        <f t="shared" si="130"/>
        <v/>
      </c>
    </row>
    <row r="896" spans="1:16" ht="15" customHeight="1" x14ac:dyDescent="0.2">
      <c r="A896" s="243" t="str">
        <f>IFERROR(INDEX('All Ticker P&amp;L'!$A$2:$A$1001,MATCH(ROWS($A$2:A896),'All Ticker P&amp;L'!$N$2:$N$1001,0)),"")</f>
        <v/>
      </c>
      <c r="B896" s="243" t="str">
        <f t="shared" si="122"/>
        <v/>
      </c>
      <c r="C896" s="243" t="str">
        <f t="shared" si="123"/>
        <v/>
      </c>
      <c r="D896" s="243" t="str">
        <f t="shared" si="124"/>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5"/>
        <v/>
      </c>
      <c r="K896" s="287" t="str">
        <f t="shared" si="126"/>
        <v/>
      </c>
      <c r="L896" s="287" t="str">
        <f t="shared" si="127"/>
        <v/>
      </c>
      <c r="M896" s="290" t="str">
        <f t="shared" si="128"/>
        <v/>
      </c>
      <c r="N896" t="str">
        <f>IF($A896="","",IFERROR(INDEX(Prices[Category],MATCH($A896,Prices[Key],0)),"Uncategorized"))</f>
        <v/>
      </c>
      <c r="O896" s="291" t="str">
        <f t="shared" si="129"/>
        <v/>
      </c>
      <c r="P896" s="291" t="str">
        <f t="shared" si="130"/>
        <v/>
      </c>
    </row>
    <row r="897" spans="1:16" ht="15" customHeight="1" x14ac:dyDescent="0.2">
      <c r="A897" s="243" t="str">
        <f>IFERROR(INDEX('All Ticker P&amp;L'!$A$2:$A$1001,MATCH(ROWS($A$2:A897),'All Ticker P&amp;L'!$N$2:$N$1001,0)),"")</f>
        <v/>
      </c>
      <c r="B897" s="243" t="str">
        <f t="shared" si="122"/>
        <v/>
      </c>
      <c r="C897" s="243" t="str">
        <f t="shared" si="123"/>
        <v/>
      </c>
      <c r="D897" s="243" t="str">
        <f t="shared" si="124"/>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5"/>
        <v/>
      </c>
      <c r="K897" s="287" t="str">
        <f t="shared" si="126"/>
        <v/>
      </c>
      <c r="L897" s="287" t="str">
        <f t="shared" si="127"/>
        <v/>
      </c>
      <c r="M897" s="290" t="str">
        <f t="shared" si="128"/>
        <v/>
      </c>
      <c r="N897" t="str">
        <f>IF($A897="","",IFERROR(INDEX(Prices[Category],MATCH($A897,Prices[Key],0)),"Uncategorized"))</f>
        <v/>
      </c>
      <c r="O897" s="291" t="str">
        <f t="shared" si="129"/>
        <v/>
      </c>
      <c r="P897" s="291" t="str">
        <f t="shared" si="130"/>
        <v/>
      </c>
    </row>
    <row r="898" spans="1:16" ht="15" customHeight="1" x14ac:dyDescent="0.2">
      <c r="A898" s="243" t="str">
        <f>IFERROR(INDEX('All Ticker P&amp;L'!$A$2:$A$1001,MATCH(ROWS($A$2:A898),'All Ticker P&amp;L'!$N$2:$N$1001,0)),"")</f>
        <v/>
      </c>
      <c r="B898" s="243" t="str">
        <f t="shared" ref="B898:B961" si="131">IF($A898="","",LEFT($A898,FIND(":",$A898)-1))</f>
        <v/>
      </c>
      <c r="C898" s="243" t="str">
        <f t="shared" ref="C898:C961" si="132">IF($A898="","",MID($A898,FIND(":",$A898)+1,FIND(":",$A898,FIND(":",$A898)+1)-FIND(":",$A898)-1))</f>
        <v/>
      </c>
      <c r="D898" s="243" t="str">
        <f t="shared" ref="D898:D961" si="133">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34">IF($A898="","",E898*H898)</f>
        <v/>
      </c>
      <c r="K898" s="287" t="str">
        <f t="shared" ref="K898:K961" si="135">IF($A898="","",J898+G898-F898)</f>
        <v/>
      </c>
      <c r="L898" s="287" t="str">
        <f t="shared" ref="L898:L961" si="136">IF($A898="","",K898*I898)</f>
        <v/>
      </c>
      <c r="M898" s="290" t="str">
        <f t="shared" ref="M898:M961" si="137">IF($A898="","",IFERROR(K898/F898,0))</f>
        <v/>
      </c>
      <c r="N898" t="str">
        <f>IF($A898="","",IFERROR(INDEX(Prices[Category],MATCH($A898,Prices[Key],0)),"Uncategorized"))</f>
        <v/>
      </c>
      <c r="O898" s="291" t="str">
        <f t="shared" ref="O898:O961" si="138">IF($A898="","",$J898*$I898)</f>
        <v/>
      </c>
      <c r="P898" s="291" t="str">
        <f t="shared" ref="P898:P961" si="139">IF($A898="","",$L898)</f>
        <v/>
      </c>
    </row>
    <row r="899" spans="1:16" ht="15" customHeight="1" x14ac:dyDescent="0.2">
      <c r="A899" s="243" t="str">
        <f>IFERROR(INDEX('All Ticker P&amp;L'!$A$2:$A$1001,MATCH(ROWS($A$2:A899),'All Ticker P&amp;L'!$N$2:$N$1001,0)),"")</f>
        <v/>
      </c>
      <c r="B899" s="243" t="str">
        <f t="shared" si="131"/>
        <v/>
      </c>
      <c r="C899" s="243" t="str">
        <f t="shared" si="132"/>
        <v/>
      </c>
      <c r="D899" s="243" t="str">
        <f t="shared" si="133"/>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34"/>
        <v/>
      </c>
      <c r="K899" s="287" t="str">
        <f t="shared" si="135"/>
        <v/>
      </c>
      <c r="L899" s="287" t="str">
        <f t="shared" si="136"/>
        <v/>
      </c>
      <c r="M899" s="290" t="str">
        <f t="shared" si="137"/>
        <v/>
      </c>
      <c r="N899" t="str">
        <f>IF($A899="","",IFERROR(INDEX(Prices[Category],MATCH($A899,Prices[Key],0)),"Uncategorized"))</f>
        <v/>
      </c>
      <c r="O899" s="291" t="str">
        <f t="shared" si="138"/>
        <v/>
      </c>
      <c r="P899" s="291" t="str">
        <f t="shared" si="139"/>
        <v/>
      </c>
    </row>
    <row r="900" spans="1:16" ht="15" customHeight="1" x14ac:dyDescent="0.2">
      <c r="A900" s="243" t="str">
        <f>IFERROR(INDEX('All Ticker P&amp;L'!$A$2:$A$1001,MATCH(ROWS($A$2:A900),'All Ticker P&amp;L'!$N$2:$N$1001,0)),"")</f>
        <v/>
      </c>
      <c r="B900" s="243" t="str">
        <f t="shared" si="131"/>
        <v/>
      </c>
      <c r="C900" s="243" t="str">
        <f t="shared" si="132"/>
        <v/>
      </c>
      <c r="D900" s="243" t="str">
        <f t="shared" si="133"/>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34"/>
        <v/>
      </c>
      <c r="K900" s="287" t="str">
        <f t="shared" si="135"/>
        <v/>
      </c>
      <c r="L900" s="287" t="str">
        <f t="shared" si="136"/>
        <v/>
      </c>
      <c r="M900" s="290" t="str">
        <f t="shared" si="137"/>
        <v/>
      </c>
      <c r="N900" t="str">
        <f>IF($A900="","",IFERROR(INDEX(Prices[Category],MATCH($A900,Prices[Key],0)),"Uncategorized"))</f>
        <v/>
      </c>
      <c r="O900" s="291" t="str">
        <f t="shared" si="138"/>
        <v/>
      </c>
      <c r="P900" s="291" t="str">
        <f t="shared" si="139"/>
        <v/>
      </c>
    </row>
    <row r="901" spans="1:16" ht="15" customHeight="1" x14ac:dyDescent="0.2">
      <c r="A901" s="243" t="str">
        <f>IFERROR(INDEX('All Ticker P&amp;L'!$A$2:$A$1001,MATCH(ROWS($A$2:A901),'All Ticker P&amp;L'!$N$2:$N$1001,0)),"")</f>
        <v/>
      </c>
      <c r="B901" s="243" t="str">
        <f t="shared" si="131"/>
        <v/>
      </c>
      <c r="C901" s="243" t="str">
        <f t="shared" si="132"/>
        <v/>
      </c>
      <c r="D901" s="243" t="str">
        <f t="shared" si="133"/>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34"/>
        <v/>
      </c>
      <c r="K901" s="287" t="str">
        <f t="shared" si="135"/>
        <v/>
      </c>
      <c r="L901" s="287" t="str">
        <f t="shared" si="136"/>
        <v/>
      </c>
      <c r="M901" s="290" t="str">
        <f t="shared" si="137"/>
        <v/>
      </c>
      <c r="N901" t="str">
        <f>IF($A901="","",IFERROR(INDEX(Prices[Category],MATCH($A901,Prices[Key],0)),"Uncategorized"))</f>
        <v/>
      </c>
      <c r="O901" s="291" t="str">
        <f t="shared" si="138"/>
        <v/>
      </c>
      <c r="P901" s="291" t="str">
        <f t="shared" si="139"/>
        <v/>
      </c>
    </row>
    <row r="902" spans="1:16" ht="15" customHeight="1" x14ac:dyDescent="0.2">
      <c r="A902" s="243" t="str">
        <f>IFERROR(INDEX('All Ticker P&amp;L'!$A$2:$A$1001,MATCH(ROWS($A$2:A902),'All Ticker P&amp;L'!$N$2:$N$1001,0)),"")</f>
        <v/>
      </c>
      <c r="B902" s="243" t="str">
        <f t="shared" si="131"/>
        <v/>
      </c>
      <c r="C902" s="243" t="str">
        <f t="shared" si="132"/>
        <v/>
      </c>
      <c r="D902" s="243" t="str">
        <f t="shared" si="133"/>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34"/>
        <v/>
      </c>
      <c r="K902" s="287" t="str">
        <f t="shared" si="135"/>
        <v/>
      </c>
      <c r="L902" s="287" t="str">
        <f t="shared" si="136"/>
        <v/>
      </c>
      <c r="M902" s="290" t="str">
        <f t="shared" si="137"/>
        <v/>
      </c>
      <c r="N902" t="str">
        <f>IF($A902="","",IFERROR(INDEX(Prices[Category],MATCH($A902,Prices[Key],0)),"Uncategorized"))</f>
        <v/>
      </c>
      <c r="O902" s="291" t="str">
        <f t="shared" si="138"/>
        <v/>
      </c>
      <c r="P902" s="291" t="str">
        <f t="shared" si="139"/>
        <v/>
      </c>
    </row>
    <row r="903" spans="1:16" ht="15" customHeight="1" x14ac:dyDescent="0.2">
      <c r="A903" s="243" t="str">
        <f>IFERROR(INDEX('All Ticker P&amp;L'!$A$2:$A$1001,MATCH(ROWS($A$2:A903),'All Ticker P&amp;L'!$N$2:$N$1001,0)),"")</f>
        <v/>
      </c>
      <c r="B903" s="243" t="str">
        <f t="shared" si="131"/>
        <v/>
      </c>
      <c r="C903" s="243" t="str">
        <f t="shared" si="132"/>
        <v/>
      </c>
      <c r="D903" s="243" t="str">
        <f t="shared" si="133"/>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34"/>
        <v/>
      </c>
      <c r="K903" s="287" t="str">
        <f t="shared" si="135"/>
        <v/>
      </c>
      <c r="L903" s="287" t="str">
        <f t="shared" si="136"/>
        <v/>
      </c>
      <c r="M903" s="290" t="str">
        <f t="shared" si="137"/>
        <v/>
      </c>
      <c r="N903" t="str">
        <f>IF($A903="","",IFERROR(INDEX(Prices[Category],MATCH($A903,Prices[Key],0)),"Uncategorized"))</f>
        <v/>
      </c>
      <c r="O903" s="291" t="str">
        <f t="shared" si="138"/>
        <v/>
      </c>
      <c r="P903" s="291" t="str">
        <f t="shared" si="139"/>
        <v/>
      </c>
    </row>
    <row r="904" spans="1:16" ht="15" customHeight="1" x14ac:dyDescent="0.2">
      <c r="A904" s="243" t="str">
        <f>IFERROR(INDEX('All Ticker P&amp;L'!$A$2:$A$1001,MATCH(ROWS($A$2:A904),'All Ticker P&amp;L'!$N$2:$N$1001,0)),"")</f>
        <v/>
      </c>
      <c r="B904" s="243" t="str">
        <f t="shared" si="131"/>
        <v/>
      </c>
      <c r="C904" s="243" t="str">
        <f t="shared" si="132"/>
        <v/>
      </c>
      <c r="D904" s="243" t="str">
        <f t="shared" si="133"/>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34"/>
        <v/>
      </c>
      <c r="K904" s="287" t="str">
        <f t="shared" si="135"/>
        <v/>
      </c>
      <c r="L904" s="287" t="str">
        <f t="shared" si="136"/>
        <v/>
      </c>
      <c r="M904" s="290" t="str">
        <f t="shared" si="137"/>
        <v/>
      </c>
      <c r="N904" t="str">
        <f>IF($A904="","",IFERROR(INDEX(Prices[Category],MATCH($A904,Prices[Key],0)),"Uncategorized"))</f>
        <v/>
      </c>
      <c r="O904" s="291" t="str">
        <f t="shared" si="138"/>
        <v/>
      </c>
      <c r="P904" s="291" t="str">
        <f t="shared" si="139"/>
        <v/>
      </c>
    </row>
    <row r="905" spans="1:16" ht="15" customHeight="1" x14ac:dyDescent="0.2">
      <c r="A905" s="243" t="str">
        <f>IFERROR(INDEX('All Ticker P&amp;L'!$A$2:$A$1001,MATCH(ROWS($A$2:A905),'All Ticker P&amp;L'!$N$2:$N$1001,0)),"")</f>
        <v/>
      </c>
      <c r="B905" s="243" t="str">
        <f t="shared" si="131"/>
        <v/>
      </c>
      <c r="C905" s="243" t="str">
        <f t="shared" si="132"/>
        <v/>
      </c>
      <c r="D905" s="243" t="str">
        <f t="shared" si="133"/>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34"/>
        <v/>
      </c>
      <c r="K905" s="287" t="str">
        <f t="shared" si="135"/>
        <v/>
      </c>
      <c r="L905" s="287" t="str">
        <f t="shared" si="136"/>
        <v/>
      </c>
      <c r="M905" s="290" t="str">
        <f t="shared" si="137"/>
        <v/>
      </c>
      <c r="N905" t="str">
        <f>IF($A905="","",IFERROR(INDEX(Prices[Category],MATCH($A905,Prices[Key],0)),"Uncategorized"))</f>
        <v/>
      </c>
      <c r="O905" s="291" t="str">
        <f t="shared" si="138"/>
        <v/>
      </c>
      <c r="P905" s="291" t="str">
        <f t="shared" si="139"/>
        <v/>
      </c>
    </row>
    <row r="906" spans="1:16" ht="15" customHeight="1" x14ac:dyDescent="0.2">
      <c r="A906" s="243" t="str">
        <f>IFERROR(INDEX('All Ticker P&amp;L'!$A$2:$A$1001,MATCH(ROWS($A$2:A906),'All Ticker P&amp;L'!$N$2:$N$1001,0)),"")</f>
        <v/>
      </c>
      <c r="B906" s="243" t="str">
        <f t="shared" si="131"/>
        <v/>
      </c>
      <c r="C906" s="243" t="str">
        <f t="shared" si="132"/>
        <v/>
      </c>
      <c r="D906" s="243" t="str">
        <f t="shared" si="133"/>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34"/>
        <v/>
      </c>
      <c r="K906" s="287" t="str">
        <f t="shared" si="135"/>
        <v/>
      </c>
      <c r="L906" s="287" t="str">
        <f t="shared" si="136"/>
        <v/>
      </c>
      <c r="M906" s="290" t="str">
        <f t="shared" si="137"/>
        <v/>
      </c>
      <c r="N906" t="str">
        <f>IF($A906="","",IFERROR(INDEX(Prices[Category],MATCH($A906,Prices[Key],0)),"Uncategorized"))</f>
        <v/>
      </c>
      <c r="O906" s="291" t="str">
        <f t="shared" si="138"/>
        <v/>
      </c>
      <c r="P906" s="291" t="str">
        <f t="shared" si="139"/>
        <v/>
      </c>
    </row>
    <row r="907" spans="1:16" ht="15" customHeight="1" x14ac:dyDescent="0.2">
      <c r="A907" s="243" t="str">
        <f>IFERROR(INDEX('All Ticker P&amp;L'!$A$2:$A$1001,MATCH(ROWS($A$2:A907),'All Ticker P&amp;L'!$N$2:$N$1001,0)),"")</f>
        <v/>
      </c>
      <c r="B907" s="243" t="str">
        <f t="shared" si="131"/>
        <v/>
      </c>
      <c r="C907" s="243" t="str">
        <f t="shared" si="132"/>
        <v/>
      </c>
      <c r="D907" s="243" t="str">
        <f t="shared" si="133"/>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34"/>
        <v/>
      </c>
      <c r="K907" s="287" t="str">
        <f t="shared" si="135"/>
        <v/>
      </c>
      <c r="L907" s="287" t="str">
        <f t="shared" si="136"/>
        <v/>
      </c>
      <c r="M907" s="290" t="str">
        <f t="shared" si="137"/>
        <v/>
      </c>
      <c r="N907" t="str">
        <f>IF($A907="","",IFERROR(INDEX(Prices[Category],MATCH($A907,Prices[Key],0)),"Uncategorized"))</f>
        <v/>
      </c>
      <c r="O907" s="291" t="str">
        <f t="shared" si="138"/>
        <v/>
      </c>
      <c r="P907" s="291" t="str">
        <f t="shared" si="139"/>
        <v/>
      </c>
    </row>
    <row r="908" spans="1:16" ht="15" customHeight="1" x14ac:dyDescent="0.2">
      <c r="A908" s="243" t="str">
        <f>IFERROR(INDEX('All Ticker P&amp;L'!$A$2:$A$1001,MATCH(ROWS($A$2:A908),'All Ticker P&amp;L'!$N$2:$N$1001,0)),"")</f>
        <v/>
      </c>
      <c r="B908" s="243" t="str">
        <f t="shared" si="131"/>
        <v/>
      </c>
      <c r="C908" s="243" t="str">
        <f t="shared" si="132"/>
        <v/>
      </c>
      <c r="D908" s="243" t="str">
        <f t="shared" si="133"/>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34"/>
        <v/>
      </c>
      <c r="K908" s="287" t="str">
        <f t="shared" si="135"/>
        <v/>
      </c>
      <c r="L908" s="287" t="str">
        <f t="shared" si="136"/>
        <v/>
      </c>
      <c r="M908" s="290" t="str">
        <f t="shared" si="137"/>
        <v/>
      </c>
      <c r="N908" t="str">
        <f>IF($A908="","",IFERROR(INDEX(Prices[Category],MATCH($A908,Prices[Key],0)),"Uncategorized"))</f>
        <v/>
      </c>
      <c r="O908" s="291" t="str">
        <f t="shared" si="138"/>
        <v/>
      </c>
      <c r="P908" s="291" t="str">
        <f t="shared" si="139"/>
        <v/>
      </c>
    </row>
    <row r="909" spans="1:16" ht="15" customHeight="1" x14ac:dyDescent="0.2">
      <c r="A909" s="243" t="str">
        <f>IFERROR(INDEX('All Ticker P&amp;L'!$A$2:$A$1001,MATCH(ROWS($A$2:A909),'All Ticker P&amp;L'!$N$2:$N$1001,0)),"")</f>
        <v/>
      </c>
      <c r="B909" s="243" t="str">
        <f t="shared" si="131"/>
        <v/>
      </c>
      <c r="C909" s="243" t="str">
        <f t="shared" si="132"/>
        <v/>
      </c>
      <c r="D909" s="243" t="str">
        <f t="shared" si="133"/>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34"/>
        <v/>
      </c>
      <c r="K909" s="287" t="str">
        <f t="shared" si="135"/>
        <v/>
      </c>
      <c r="L909" s="287" t="str">
        <f t="shared" si="136"/>
        <v/>
      </c>
      <c r="M909" s="290" t="str">
        <f t="shared" si="137"/>
        <v/>
      </c>
      <c r="N909" t="str">
        <f>IF($A909="","",IFERROR(INDEX(Prices[Category],MATCH($A909,Prices[Key],0)),"Uncategorized"))</f>
        <v/>
      </c>
      <c r="O909" s="291" t="str">
        <f t="shared" si="138"/>
        <v/>
      </c>
      <c r="P909" s="291" t="str">
        <f t="shared" si="139"/>
        <v/>
      </c>
    </row>
    <row r="910" spans="1:16" ht="15" customHeight="1" x14ac:dyDescent="0.2">
      <c r="A910" s="243" t="str">
        <f>IFERROR(INDEX('All Ticker P&amp;L'!$A$2:$A$1001,MATCH(ROWS($A$2:A910),'All Ticker P&amp;L'!$N$2:$N$1001,0)),"")</f>
        <v/>
      </c>
      <c r="B910" s="243" t="str">
        <f t="shared" si="131"/>
        <v/>
      </c>
      <c r="C910" s="243" t="str">
        <f t="shared" si="132"/>
        <v/>
      </c>
      <c r="D910" s="243" t="str">
        <f t="shared" si="133"/>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34"/>
        <v/>
      </c>
      <c r="K910" s="287" t="str">
        <f t="shared" si="135"/>
        <v/>
      </c>
      <c r="L910" s="287" t="str">
        <f t="shared" si="136"/>
        <v/>
      </c>
      <c r="M910" s="290" t="str">
        <f t="shared" si="137"/>
        <v/>
      </c>
      <c r="N910" t="str">
        <f>IF($A910="","",IFERROR(INDEX(Prices[Category],MATCH($A910,Prices[Key],0)),"Uncategorized"))</f>
        <v/>
      </c>
      <c r="O910" s="291" t="str">
        <f t="shared" si="138"/>
        <v/>
      </c>
      <c r="P910" s="291" t="str">
        <f t="shared" si="139"/>
        <v/>
      </c>
    </row>
    <row r="911" spans="1:16" ht="15" customHeight="1" x14ac:dyDescent="0.2">
      <c r="A911" s="243" t="str">
        <f>IFERROR(INDEX('All Ticker P&amp;L'!$A$2:$A$1001,MATCH(ROWS($A$2:A911),'All Ticker P&amp;L'!$N$2:$N$1001,0)),"")</f>
        <v/>
      </c>
      <c r="B911" s="243" t="str">
        <f t="shared" si="131"/>
        <v/>
      </c>
      <c r="C911" s="243" t="str">
        <f t="shared" si="132"/>
        <v/>
      </c>
      <c r="D911" s="243" t="str">
        <f t="shared" si="133"/>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34"/>
        <v/>
      </c>
      <c r="K911" s="287" t="str">
        <f t="shared" si="135"/>
        <v/>
      </c>
      <c r="L911" s="287" t="str">
        <f t="shared" si="136"/>
        <v/>
      </c>
      <c r="M911" s="290" t="str">
        <f t="shared" si="137"/>
        <v/>
      </c>
      <c r="N911" t="str">
        <f>IF($A911="","",IFERROR(INDEX(Prices[Category],MATCH($A911,Prices[Key],0)),"Uncategorized"))</f>
        <v/>
      </c>
      <c r="O911" s="291" t="str">
        <f t="shared" si="138"/>
        <v/>
      </c>
      <c r="P911" s="291" t="str">
        <f t="shared" si="139"/>
        <v/>
      </c>
    </row>
    <row r="912" spans="1:16" ht="15" customHeight="1" x14ac:dyDescent="0.2">
      <c r="A912" s="243" t="str">
        <f>IFERROR(INDEX('All Ticker P&amp;L'!$A$2:$A$1001,MATCH(ROWS($A$2:A912),'All Ticker P&amp;L'!$N$2:$N$1001,0)),"")</f>
        <v/>
      </c>
      <c r="B912" s="243" t="str">
        <f t="shared" si="131"/>
        <v/>
      </c>
      <c r="C912" s="243" t="str">
        <f t="shared" si="132"/>
        <v/>
      </c>
      <c r="D912" s="243" t="str">
        <f t="shared" si="133"/>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34"/>
        <v/>
      </c>
      <c r="K912" s="287" t="str">
        <f t="shared" si="135"/>
        <v/>
      </c>
      <c r="L912" s="287" t="str">
        <f t="shared" si="136"/>
        <v/>
      </c>
      <c r="M912" s="290" t="str">
        <f t="shared" si="137"/>
        <v/>
      </c>
      <c r="N912" t="str">
        <f>IF($A912="","",IFERROR(INDEX(Prices[Category],MATCH($A912,Prices[Key],0)),"Uncategorized"))</f>
        <v/>
      </c>
      <c r="O912" s="291" t="str">
        <f t="shared" si="138"/>
        <v/>
      </c>
      <c r="P912" s="291" t="str">
        <f t="shared" si="139"/>
        <v/>
      </c>
    </row>
    <row r="913" spans="1:16" ht="15" customHeight="1" x14ac:dyDescent="0.2">
      <c r="A913" s="243" t="str">
        <f>IFERROR(INDEX('All Ticker P&amp;L'!$A$2:$A$1001,MATCH(ROWS($A$2:A913),'All Ticker P&amp;L'!$N$2:$N$1001,0)),"")</f>
        <v/>
      </c>
      <c r="B913" s="243" t="str">
        <f t="shared" si="131"/>
        <v/>
      </c>
      <c r="C913" s="243" t="str">
        <f t="shared" si="132"/>
        <v/>
      </c>
      <c r="D913" s="243" t="str">
        <f t="shared" si="133"/>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34"/>
        <v/>
      </c>
      <c r="K913" s="287" t="str">
        <f t="shared" si="135"/>
        <v/>
      </c>
      <c r="L913" s="287" t="str">
        <f t="shared" si="136"/>
        <v/>
      </c>
      <c r="M913" s="290" t="str">
        <f t="shared" si="137"/>
        <v/>
      </c>
      <c r="N913" t="str">
        <f>IF($A913="","",IFERROR(INDEX(Prices[Category],MATCH($A913,Prices[Key],0)),"Uncategorized"))</f>
        <v/>
      </c>
      <c r="O913" s="291" t="str">
        <f t="shared" si="138"/>
        <v/>
      </c>
      <c r="P913" s="291" t="str">
        <f t="shared" si="139"/>
        <v/>
      </c>
    </row>
    <row r="914" spans="1:16" ht="15" customHeight="1" x14ac:dyDescent="0.2">
      <c r="A914" s="243" t="str">
        <f>IFERROR(INDEX('All Ticker P&amp;L'!$A$2:$A$1001,MATCH(ROWS($A$2:A914),'All Ticker P&amp;L'!$N$2:$N$1001,0)),"")</f>
        <v/>
      </c>
      <c r="B914" s="243" t="str">
        <f t="shared" si="131"/>
        <v/>
      </c>
      <c r="C914" s="243" t="str">
        <f t="shared" si="132"/>
        <v/>
      </c>
      <c r="D914" s="243" t="str">
        <f t="shared" si="133"/>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34"/>
        <v/>
      </c>
      <c r="K914" s="287" t="str">
        <f t="shared" si="135"/>
        <v/>
      </c>
      <c r="L914" s="287" t="str">
        <f t="shared" si="136"/>
        <v/>
      </c>
      <c r="M914" s="290" t="str">
        <f t="shared" si="137"/>
        <v/>
      </c>
      <c r="N914" t="str">
        <f>IF($A914="","",IFERROR(INDEX(Prices[Category],MATCH($A914,Prices[Key],0)),"Uncategorized"))</f>
        <v/>
      </c>
      <c r="O914" s="291" t="str">
        <f t="shared" si="138"/>
        <v/>
      </c>
      <c r="P914" s="291" t="str">
        <f t="shared" si="139"/>
        <v/>
      </c>
    </row>
    <row r="915" spans="1:16" ht="15" customHeight="1" x14ac:dyDescent="0.2">
      <c r="A915" s="243" t="str">
        <f>IFERROR(INDEX('All Ticker P&amp;L'!$A$2:$A$1001,MATCH(ROWS($A$2:A915),'All Ticker P&amp;L'!$N$2:$N$1001,0)),"")</f>
        <v/>
      </c>
      <c r="B915" s="243" t="str">
        <f t="shared" si="131"/>
        <v/>
      </c>
      <c r="C915" s="243" t="str">
        <f t="shared" si="132"/>
        <v/>
      </c>
      <c r="D915" s="243" t="str">
        <f t="shared" si="133"/>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34"/>
        <v/>
      </c>
      <c r="K915" s="287" t="str">
        <f t="shared" si="135"/>
        <v/>
      </c>
      <c r="L915" s="287" t="str">
        <f t="shared" si="136"/>
        <v/>
      </c>
      <c r="M915" s="290" t="str">
        <f t="shared" si="137"/>
        <v/>
      </c>
      <c r="N915" t="str">
        <f>IF($A915="","",IFERROR(INDEX(Prices[Category],MATCH($A915,Prices[Key],0)),"Uncategorized"))</f>
        <v/>
      </c>
      <c r="O915" s="291" t="str">
        <f t="shared" si="138"/>
        <v/>
      </c>
      <c r="P915" s="291" t="str">
        <f t="shared" si="139"/>
        <v/>
      </c>
    </row>
    <row r="916" spans="1:16" ht="15" customHeight="1" x14ac:dyDescent="0.2">
      <c r="A916" s="243" t="str">
        <f>IFERROR(INDEX('All Ticker P&amp;L'!$A$2:$A$1001,MATCH(ROWS($A$2:A916),'All Ticker P&amp;L'!$N$2:$N$1001,0)),"")</f>
        <v/>
      </c>
      <c r="B916" s="243" t="str">
        <f t="shared" si="131"/>
        <v/>
      </c>
      <c r="C916" s="243" t="str">
        <f t="shared" si="132"/>
        <v/>
      </c>
      <c r="D916" s="243" t="str">
        <f t="shared" si="133"/>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34"/>
        <v/>
      </c>
      <c r="K916" s="287" t="str">
        <f t="shared" si="135"/>
        <v/>
      </c>
      <c r="L916" s="287" t="str">
        <f t="shared" si="136"/>
        <v/>
      </c>
      <c r="M916" s="290" t="str">
        <f t="shared" si="137"/>
        <v/>
      </c>
      <c r="N916" t="str">
        <f>IF($A916="","",IFERROR(INDEX(Prices[Category],MATCH($A916,Prices[Key],0)),"Uncategorized"))</f>
        <v/>
      </c>
      <c r="O916" s="291" t="str">
        <f t="shared" si="138"/>
        <v/>
      </c>
      <c r="P916" s="291" t="str">
        <f t="shared" si="139"/>
        <v/>
      </c>
    </row>
    <row r="917" spans="1:16" ht="15" customHeight="1" x14ac:dyDescent="0.2">
      <c r="A917" s="243" t="str">
        <f>IFERROR(INDEX('All Ticker P&amp;L'!$A$2:$A$1001,MATCH(ROWS($A$2:A917),'All Ticker P&amp;L'!$N$2:$N$1001,0)),"")</f>
        <v/>
      </c>
      <c r="B917" s="243" t="str">
        <f t="shared" si="131"/>
        <v/>
      </c>
      <c r="C917" s="243" t="str">
        <f t="shared" si="132"/>
        <v/>
      </c>
      <c r="D917" s="243" t="str">
        <f t="shared" si="133"/>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34"/>
        <v/>
      </c>
      <c r="K917" s="287" t="str">
        <f t="shared" si="135"/>
        <v/>
      </c>
      <c r="L917" s="287" t="str">
        <f t="shared" si="136"/>
        <v/>
      </c>
      <c r="M917" s="290" t="str">
        <f t="shared" si="137"/>
        <v/>
      </c>
      <c r="N917" t="str">
        <f>IF($A917="","",IFERROR(INDEX(Prices[Category],MATCH($A917,Prices[Key],0)),"Uncategorized"))</f>
        <v/>
      </c>
      <c r="O917" s="291" t="str">
        <f t="shared" si="138"/>
        <v/>
      </c>
      <c r="P917" s="291" t="str">
        <f t="shared" si="139"/>
        <v/>
      </c>
    </row>
    <row r="918" spans="1:16" ht="15" customHeight="1" x14ac:dyDescent="0.2">
      <c r="A918" s="243" t="str">
        <f>IFERROR(INDEX('All Ticker P&amp;L'!$A$2:$A$1001,MATCH(ROWS($A$2:A918),'All Ticker P&amp;L'!$N$2:$N$1001,0)),"")</f>
        <v/>
      </c>
      <c r="B918" s="243" t="str">
        <f t="shared" si="131"/>
        <v/>
      </c>
      <c r="C918" s="243" t="str">
        <f t="shared" si="132"/>
        <v/>
      </c>
      <c r="D918" s="243" t="str">
        <f t="shared" si="133"/>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34"/>
        <v/>
      </c>
      <c r="K918" s="287" t="str">
        <f t="shared" si="135"/>
        <v/>
      </c>
      <c r="L918" s="287" t="str">
        <f t="shared" si="136"/>
        <v/>
      </c>
      <c r="M918" s="290" t="str">
        <f t="shared" si="137"/>
        <v/>
      </c>
      <c r="N918" t="str">
        <f>IF($A918="","",IFERROR(INDEX(Prices[Category],MATCH($A918,Prices[Key],0)),"Uncategorized"))</f>
        <v/>
      </c>
      <c r="O918" s="291" t="str">
        <f t="shared" si="138"/>
        <v/>
      </c>
      <c r="P918" s="291" t="str">
        <f t="shared" si="139"/>
        <v/>
      </c>
    </row>
    <row r="919" spans="1:16" ht="15" customHeight="1" x14ac:dyDescent="0.2">
      <c r="A919" s="243" t="str">
        <f>IFERROR(INDEX('All Ticker P&amp;L'!$A$2:$A$1001,MATCH(ROWS($A$2:A919),'All Ticker P&amp;L'!$N$2:$N$1001,0)),"")</f>
        <v/>
      </c>
      <c r="B919" s="243" t="str">
        <f t="shared" si="131"/>
        <v/>
      </c>
      <c r="C919" s="243" t="str">
        <f t="shared" si="132"/>
        <v/>
      </c>
      <c r="D919" s="243" t="str">
        <f t="shared" si="133"/>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34"/>
        <v/>
      </c>
      <c r="K919" s="287" t="str">
        <f t="shared" si="135"/>
        <v/>
      </c>
      <c r="L919" s="287" t="str">
        <f t="shared" si="136"/>
        <v/>
      </c>
      <c r="M919" s="290" t="str">
        <f t="shared" si="137"/>
        <v/>
      </c>
      <c r="N919" t="str">
        <f>IF($A919="","",IFERROR(INDEX(Prices[Category],MATCH($A919,Prices[Key],0)),"Uncategorized"))</f>
        <v/>
      </c>
      <c r="O919" s="291" t="str">
        <f t="shared" si="138"/>
        <v/>
      </c>
      <c r="P919" s="291" t="str">
        <f t="shared" si="139"/>
        <v/>
      </c>
    </row>
    <row r="920" spans="1:16" ht="15" customHeight="1" x14ac:dyDescent="0.2">
      <c r="A920" s="243" t="str">
        <f>IFERROR(INDEX('All Ticker P&amp;L'!$A$2:$A$1001,MATCH(ROWS($A$2:A920),'All Ticker P&amp;L'!$N$2:$N$1001,0)),"")</f>
        <v/>
      </c>
      <c r="B920" s="243" t="str">
        <f t="shared" si="131"/>
        <v/>
      </c>
      <c r="C920" s="243" t="str">
        <f t="shared" si="132"/>
        <v/>
      </c>
      <c r="D920" s="243" t="str">
        <f t="shared" si="133"/>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34"/>
        <v/>
      </c>
      <c r="K920" s="287" t="str">
        <f t="shared" si="135"/>
        <v/>
      </c>
      <c r="L920" s="287" t="str">
        <f t="shared" si="136"/>
        <v/>
      </c>
      <c r="M920" s="290" t="str">
        <f t="shared" si="137"/>
        <v/>
      </c>
      <c r="N920" t="str">
        <f>IF($A920="","",IFERROR(INDEX(Prices[Category],MATCH($A920,Prices[Key],0)),"Uncategorized"))</f>
        <v/>
      </c>
      <c r="O920" s="291" t="str">
        <f t="shared" si="138"/>
        <v/>
      </c>
      <c r="P920" s="291" t="str">
        <f t="shared" si="139"/>
        <v/>
      </c>
    </row>
    <row r="921" spans="1:16" ht="15" customHeight="1" x14ac:dyDescent="0.2">
      <c r="A921" s="243" t="str">
        <f>IFERROR(INDEX('All Ticker P&amp;L'!$A$2:$A$1001,MATCH(ROWS($A$2:A921),'All Ticker P&amp;L'!$N$2:$N$1001,0)),"")</f>
        <v/>
      </c>
      <c r="B921" s="243" t="str">
        <f t="shared" si="131"/>
        <v/>
      </c>
      <c r="C921" s="243" t="str">
        <f t="shared" si="132"/>
        <v/>
      </c>
      <c r="D921" s="243" t="str">
        <f t="shared" si="133"/>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34"/>
        <v/>
      </c>
      <c r="K921" s="287" t="str">
        <f t="shared" si="135"/>
        <v/>
      </c>
      <c r="L921" s="287" t="str">
        <f t="shared" si="136"/>
        <v/>
      </c>
      <c r="M921" s="290" t="str">
        <f t="shared" si="137"/>
        <v/>
      </c>
      <c r="N921" t="str">
        <f>IF($A921="","",IFERROR(INDEX(Prices[Category],MATCH($A921,Prices[Key],0)),"Uncategorized"))</f>
        <v/>
      </c>
      <c r="O921" s="291" t="str">
        <f t="shared" si="138"/>
        <v/>
      </c>
      <c r="P921" s="291" t="str">
        <f t="shared" si="139"/>
        <v/>
      </c>
    </row>
    <row r="922" spans="1:16" ht="15" customHeight="1" x14ac:dyDescent="0.2">
      <c r="A922" s="243" t="str">
        <f>IFERROR(INDEX('All Ticker P&amp;L'!$A$2:$A$1001,MATCH(ROWS($A$2:A922),'All Ticker P&amp;L'!$N$2:$N$1001,0)),"")</f>
        <v/>
      </c>
      <c r="B922" s="243" t="str">
        <f t="shared" si="131"/>
        <v/>
      </c>
      <c r="C922" s="243" t="str">
        <f t="shared" si="132"/>
        <v/>
      </c>
      <c r="D922" s="243" t="str">
        <f t="shared" si="133"/>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34"/>
        <v/>
      </c>
      <c r="K922" s="287" t="str">
        <f t="shared" si="135"/>
        <v/>
      </c>
      <c r="L922" s="287" t="str">
        <f t="shared" si="136"/>
        <v/>
      </c>
      <c r="M922" s="290" t="str">
        <f t="shared" si="137"/>
        <v/>
      </c>
      <c r="N922" t="str">
        <f>IF($A922="","",IFERROR(INDEX(Prices[Category],MATCH($A922,Prices[Key],0)),"Uncategorized"))</f>
        <v/>
      </c>
      <c r="O922" s="291" t="str">
        <f t="shared" si="138"/>
        <v/>
      </c>
      <c r="P922" s="291" t="str">
        <f t="shared" si="139"/>
        <v/>
      </c>
    </row>
    <row r="923" spans="1:16" ht="15" customHeight="1" x14ac:dyDescent="0.2">
      <c r="A923" s="243" t="str">
        <f>IFERROR(INDEX('All Ticker P&amp;L'!$A$2:$A$1001,MATCH(ROWS($A$2:A923),'All Ticker P&amp;L'!$N$2:$N$1001,0)),"")</f>
        <v/>
      </c>
      <c r="B923" s="243" t="str">
        <f t="shared" si="131"/>
        <v/>
      </c>
      <c r="C923" s="243" t="str">
        <f t="shared" si="132"/>
        <v/>
      </c>
      <c r="D923" s="243" t="str">
        <f t="shared" si="133"/>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34"/>
        <v/>
      </c>
      <c r="K923" s="287" t="str">
        <f t="shared" si="135"/>
        <v/>
      </c>
      <c r="L923" s="287" t="str">
        <f t="shared" si="136"/>
        <v/>
      </c>
      <c r="M923" s="290" t="str">
        <f t="shared" si="137"/>
        <v/>
      </c>
      <c r="N923" t="str">
        <f>IF($A923="","",IFERROR(INDEX(Prices[Category],MATCH($A923,Prices[Key],0)),"Uncategorized"))</f>
        <v/>
      </c>
      <c r="O923" s="291" t="str">
        <f t="shared" si="138"/>
        <v/>
      </c>
      <c r="P923" s="291" t="str">
        <f t="shared" si="139"/>
        <v/>
      </c>
    </row>
    <row r="924" spans="1:16" ht="15" customHeight="1" x14ac:dyDescent="0.2">
      <c r="A924" s="243" t="str">
        <f>IFERROR(INDEX('All Ticker P&amp;L'!$A$2:$A$1001,MATCH(ROWS($A$2:A924),'All Ticker P&amp;L'!$N$2:$N$1001,0)),"")</f>
        <v/>
      </c>
      <c r="B924" s="243" t="str">
        <f t="shared" si="131"/>
        <v/>
      </c>
      <c r="C924" s="243" t="str">
        <f t="shared" si="132"/>
        <v/>
      </c>
      <c r="D924" s="243" t="str">
        <f t="shared" si="133"/>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34"/>
        <v/>
      </c>
      <c r="K924" s="287" t="str">
        <f t="shared" si="135"/>
        <v/>
      </c>
      <c r="L924" s="287" t="str">
        <f t="shared" si="136"/>
        <v/>
      </c>
      <c r="M924" s="290" t="str">
        <f t="shared" si="137"/>
        <v/>
      </c>
      <c r="N924" t="str">
        <f>IF($A924="","",IFERROR(INDEX(Prices[Category],MATCH($A924,Prices[Key],0)),"Uncategorized"))</f>
        <v/>
      </c>
      <c r="O924" s="291" t="str">
        <f t="shared" si="138"/>
        <v/>
      </c>
      <c r="P924" s="291" t="str">
        <f t="shared" si="139"/>
        <v/>
      </c>
    </row>
    <row r="925" spans="1:16" ht="15" customHeight="1" x14ac:dyDescent="0.2">
      <c r="A925" s="243" t="str">
        <f>IFERROR(INDEX('All Ticker P&amp;L'!$A$2:$A$1001,MATCH(ROWS($A$2:A925),'All Ticker P&amp;L'!$N$2:$N$1001,0)),"")</f>
        <v/>
      </c>
      <c r="B925" s="243" t="str">
        <f t="shared" si="131"/>
        <v/>
      </c>
      <c r="C925" s="243" t="str">
        <f t="shared" si="132"/>
        <v/>
      </c>
      <c r="D925" s="243" t="str">
        <f t="shared" si="133"/>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34"/>
        <v/>
      </c>
      <c r="K925" s="287" t="str">
        <f t="shared" si="135"/>
        <v/>
      </c>
      <c r="L925" s="287" t="str">
        <f t="shared" si="136"/>
        <v/>
      </c>
      <c r="M925" s="290" t="str">
        <f t="shared" si="137"/>
        <v/>
      </c>
      <c r="N925" t="str">
        <f>IF($A925="","",IFERROR(INDEX(Prices[Category],MATCH($A925,Prices[Key],0)),"Uncategorized"))</f>
        <v/>
      </c>
      <c r="O925" s="291" t="str">
        <f t="shared" si="138"/>
        <v/>
      </c>
      <c r="P925" s="291" t="str">
        <f t="shared" si="139"/>
        <v/>
      </c>
    </row>
    <row r="926" spans="1:16" ht="15" customHeight="1" x14ac:dyDescent="0.2">
      <c r="A926" s="243" t="str">
        <f>IFERROR(INDEX('All Ticker P&amp;L'!$A$2:$A$1001,MATCH(ROWS($A$2:A926),'All Ticker P&amp;L'!$N$2:$N$1001,0)),"")</f>
        <v/>
      </c>
      <c r="B926" s="243" t="str">
        <f t="shared" si="131"/>
        <v/>
      </c>
      <c r="C926" s="243" t="str">
        <f t="shared" si="132"/>
        <v/>
      </c>
      <c r="D926" s="243" t="str">
        <f t="shared" si="133"/>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34"/>
        <v/>
      </c>
      <c r="K926" s="287" t="str">
        <f t="shared" si="135"/>
        <v/>
      </c>
      <c r="L926" s="287" t="str">
        <f t="shared" si="136"/>
        <v/>
      </c>
      <c r="M926" s="290" t="str">
        <f t="shared" si="137"/>
        <v/>
      </c>
      <c r="N926" t="str">
        <f>IF($A926="","",IFERROR(INDEX(Prices[Category],MATCH($A926,Prices[Key],0)),"Uncategorized"))</f>
        <v/>
      </c>
      <c r="O926" s="291" t="str">
        <f t="shared" si="138"/>
        <v/>
      </c>
      <c r="P926" s="291" t="str">
        <f t="shared" si="139"/>
        <v/>
      </c>
    </row>
    <row r="927" spans="1:16" ht="15" customHeight="1" x14ac:dyDescent="0.2">
      <c r="A927" s="243" t="str">
        <f>IFERROR(INDEX('All Ticker P&amp;L'!$A$2:$A$1001,MATCH(ROWS($A$2:A927),'All Ticker P&amp;L'!$N$2:$N$1001,0)),"")</f>
        <v/>
      </c>
      <c r="B927" s="243" t="str">
        <f t="shared" si="131"/>
        <v/>
      </c>
      <c r="C927" s="243" t="str">
        <f t="shared" si="132"/>
        <v/>
      </c>
      <c r="D927" s="243" t="str">
        <f t="shared" si="133"/>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34"/>
        <v/>
      </c>
      <c r="K927" s="287" t="str">
        <f t="shared" si="135"/>
        <v/>
      </c>
      <c r="L927" s="287" t="str">
        <f t="shared" si="136"/>
        <v/>
      </c>
      <c r="M927" s="290" t="str">
        <f t="shared" si="137"/>
        <v/>
      </c>
      <c r="N927" t="str">
        <f>IF($A927="","",IFERROR(INDEX(Prices[Category],MATCH($A927,Prices[Key],0)),"Uncategorized"))</f>
        <v/>
      </c>
      <c r="O927" s="291" t="str">
        <f t="shared" si="138"/>
        <v/>
      </c>
      <c r="P927" s="291" t="str">
        <f t="shared" si="139"/>
        <v/>
      </c>
    </row>
    <row r="928" spans="1:16" ht="15" customHeight="1" x14ac:dyDescent="0.2">
      <c r="A928" s="243" t="str">
        <f>IFERROR(INDEX('All Ticker P&amp;L'!$A$2:$A$1001,MATCH(ROWS($A$2:A928),'All Ticker P&amp;L'!$N$2:$N$1001,0)),"")</f>
        <v/>
      </c>
      <c r="B928" s="243" t="str">
        <f t="shared" si="131"/>
        <v/>
      </c>
      <c r="C928" s="243" t="str">
        <f t="shared" si="132"/>
        <v/>
      </c>
      <c r="D928" s="243" t="str">
        <f t="shared" si="133"/>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34"/>
        <v/>
      </c>
      <c r="K928" s="287" t="str">
        <f t="shared" si="135"/>
        <v/>
      </c>
      <c r="L928" s="287" t="str">
        <f t="shared" si="136"/>
        <v/>
      </c>
      <c r="M928" s="290" t="str">
        <f t="shared" si="137"/>
        <v/>
      </c>
      <c r="N928" t="str">
        <f>IF($A928="","",IFERROR(INDEX(Prices[Category],MATCH($A928,Prices[Key],0)),"Uncategorized"))</f>
        <v/>
      </c>
      <c r="O928" s="291" t="str">
        <f t="shared" si="138"/>
        <v/>
      </c>
      <c r="P928" s="291" t="str">
        <f t="shared" si="139"/>
        <v/>
      </c>
    </row>
    <row r="929" spans="1:16" ht="15" customHeight="1" x14ac:dyDescent="0.2">
      <c r="A929" s="243" t="str">
        <f>IFERROR(INDEX('All Ticker P&amp;L'!$A$2:$A$1001,MATCH(ROWS($A$2:A929),'All Ticker P&amp;L'!$N$2:$N$1001,0)),"")</f>
        <v/>
      </c>
      <c r="B929" s="243" t="str">
        <f t="shared" si="131"/>
        <v/>
      </c>
      <c r="C929" s="243" t="str">
        <f t="shared" si="132"/>
        <v/>
      </c>
      <c r="D929" s="243" t="str">
        <f t="shared" si="133"/>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34"/>
        <v/>
      </c>
      <c r="K929" s="287" t="str">
        <f t="shared" si="135"/>
        <v/>
      </c>
      <c r="L929" s="287" t="str">
        <f t="shared" si="136"/>
        <v/>
      </c>
      <c r="M929" s="290" t="str">
        <f t="shared" si="137"/>
        <v/>
      </c>
      <c r="N929" t="str">
        <f>IF($A929="","",IFERROR(INDEX(Prices[Category],MATCH($A929,Prices[Key],0)),"Uncategorized"))</f>
        <v/>
      </c>
      <c r="O929" s="291" t="str">
        <f t="shared" si="138"/>
        <v/>
      </c>
      <c r="P929" s="291" t="str">
        <f t="shared" si="139"/>
        <v/>
      </c>
    </row>
    <row r="930" spans="1:16" ht="15" customHeight="1" x14ac:dyDescent="0.2">
      <c r="A930" s="243" t="str">
        <f>IFERROR(INDEX('All Ticker P&amp;L'!$A$2:$A$1001,MATCH(ROWS($A$2:A930),'All Ticker P&amp;L'!$N$2:$N$1001,0)),"")</f>
        <v/>
      </c>
      <c r="B930" s="243" t="str">
        <f t="shared" si="131"/>
        <v/>
      </c>
      <c r="C930" s="243" t="str">
        <f t="shared" si="132"/>
        <v/>
      </c>
      <c r="D930" s="243" t="str">
        <f t="shared" si="133"/>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34"/>
        <v/>
      </c>
      <c r="K930" s="287" t="str">
        <f t="shared" si="135"/>
        <v/>
      </c>
      <c r="L930" s="287" t="str">
        <f t="shared" si="136"/>
        <v/>
      </c>
      <c r="M930" s="290" t="str">
        <f t="shared" si="137"/>
        <v/>
      </c>
      <c r="N930" t="str">
        <f>IF($A930="","",IFERROR(INDEX(Prices[Category],MATCH($A930,Prices[Key],0)),"Uncategorized"))</f>
        <v/>
      </c>
      <c r="O930" s="291" t="str">
        <f t="shared" si="138"/>
        <v/>
      </c>
      <c r="P930" s="291" t="str">
        <f t="shared" si="139"/>
        <v/>
      </c>
    </row>
    <row r="931" spans="1:16" ht="15" customHeight="1" x14ac:dyDescent="0.2">
      <c r="A931" s="243" t="str">
        <f>IFERROR(INDEX('All Ticker P&amp;L'!$A$2:$A$1001,MATCH(ROWS($A$2:A931),'All Ticker P&amp;L'!$N$2:$N$1001,0)),"")</f>
        <v/>
      </c>
      <c r="B931" s="243" t="str">
        <f t="shared" si="131"/>
        <v/>
      </c>
      <c r="C931" s="243" t="str">
        <f t="shared" si="132"/>
        <v/>
      </c>
      <c r="D931" s="243" t="str">
        <f t="shared" si="133"/>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34"/>
        <v/>
      </c>
      <c r="K931" s="287" t="str">
        <f t="shared" si="135"/>
        <v/>
      </c>
      <c r="L931" s="287" t="str">
        <f t="shared" si="136"/>
        <v/>
      </c>
      <c r="M931" s="290" t="str">
        <f t="shared" si="137"/>
        <v/>
      </c>
      <c r="N931" t="str">
        <f>IF($A931="","",IFERROR(INDEX(Prices[Category],MATCH($A931,Prices[Key],0)),"Uncategorized"))</f>
        <v/>
      </c>
      <c r="O931" s="291" t="str">
        <f t="shared" si="138"/>
        <v/>
      </c>
      <c r="P931" s="291" t="str">
        <f t="shared" si="139"/>
        <v/>
      </c>
    </row>
    <row r="932" spans="1:16" ht="15" customHeight="1" x14ac:dyDescent="0.2">
      <c r="A932" s="243" t="str">
        <f>IFERROR(INDEX('All Ticker P&amp;L'!$A$2:$A$1001,MATCH(ROWS($A$2:A932),'All Ticker P&amp;L'!$N$2:$N$1001,0)),"")</f>
        <v/>
      </c>
      <c r="B932" s="243" t="str">
        <f t="shared" si="131"/>
        <v/>
      </c>
      <c r="C932" s="243" t="str">
        <f t="shared" si="132"/>
        <v/>
      </c>
      <c r="D932" s="243" t="str">
        <f t="shared" si="133"/>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34"/>
        <v/>
      </c>
      <c r="K932" s="287" t="str">
        <f t="shared" si="135"/>
        <v/>
      </c>
      <c r="L932" s="287" t="str">
        <f t="shared" si="136"/>
        <v/>
      </c>
      <c r="M932" s="290" t="str">
        <f t="shared" si="137"/>
        <v/>
      </c>
      <c r="N932" t="str">
        <f>IF($A932="","",IFERROR(INDEX(Prices[Category],MATCH($A932,Prices[Key],0)),"Uncategorized"))</f>
        <v/>
      </c>
      <c r="O932" s="291" t="str">
        <f t="shared" si="138"/>
        <v/>
      </c>
      <c r="P932" s="291" t="str">
        <f t="shared" si="139"/>
        <v/>
      </c>
    </row>
    <row r="933" spans="1:16" ht="15" customHeight="1" x14ac:dyDescent="0.2">
      <c r="A933" s="243" t="str">
        <f>IFERROR(INDEX('All Ticker P&amp;L'!$A$2:$A$1001,MATCH(ROWS($A$2:A933),'All Ticker P&amp;L'!$N$2:$N$1001,0)),"")</f>
        <v/>
      </c>
      <c r="B933" s="243" t="str">
        <f t="shared" si="131"/>
        <v/>
      </c>
      <c r="C933" s="243" t="str">
        <f t="shared" si="132"/>
        <v/>
      </c>
      <c r="D933" s="243" t="str">
        <f t="shared" si="133"/>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34"/>
        <v/>
      </c>
      <c r="K933" s="287" t="str">
        <f t="shared" si="135"/>
        <v/>
      </c>
      <c r="L933" s="287" t="str">
        <f t="shared" si="136"/>
        <v/>
      </c>
      <c r="M933" s="290" t="str">
        <f t="shared" si="137"/>
        <v/>
      </c>
      <c r="N933" t="str">
        <f>IF($A933="","",IFERROR(INDEX(Prices[Category],MATCH($A933,Prices[Key],0)),"Uncategorized"))</f>
        <v/>
      </c>
      <c r="O933" s="291" t="str">
        <f t="shared" si="138"/>
        <v/>
      </c>
      <c r="P933" s="291" t="str">
        <f t="shared" si="139"/>
        <v/>
      </c>
    </row>
    <row r="934" spans="1:16" ht="15" customHeight="1" x14ac:dyDescent="0.2">
      <c r="A934" s="243" t="str">
        <f>IFERROR(INDEX('All Ticker P&amp;L'!$A$2:$A$1001,MATCH(ROWS($A$2:A934),'All Ticker P&amp;L'!$N$2:$N$1001,0)),"")</f>
        <v/>
      </c>
      <c r="B934" s="243" t="str">
        <f t="shared" si="131"/>
        <v/>
      </c>
      <c r="C934" s="243" t="str">
        <f t="shared" si="132"/>
        <v/>
      </c>
      <c r="D934" s="243" t="str">
        <f t="shared" si="133"/>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34"/>
        <v/>
      </c>
      <c r="K934" s="287" t="str">
        <f t="shared" si="135"/>
        <v/>
      </c>
      <c r="L934" s="287" t="str">
        <f t="shared" si="136"/>
        <v/>
      </c>
      <c r="M934" s="290" t="str">
        <f t="shared" si="137"/>
        <v/>
      </c>
      <c r="N934" t="str">
        <f>IF($A934="","",IFERROR(INDEX(Prices[Category],MATCH($A934,Prices[Key],0)),"Uncategorized"))</f>
        <v/>
      </c>
      <c r="O934" s="291" t="str">
        <f t="shared" si="138"/>
        <v/>
      </c>
      <c r="P934" s="291" t="str">
        <f t="shared" si="139"/>
        <v/>
      </c>
    </row>
    <row r="935" spans="1:16" ht="15" customHeight="1" x14ac:dyDescent="0.2">
      <c r="A935" s="243" t="str">
        <f>IFERROR(INDEX('All Ticker P&amp;L'!$A$2:$A$1001,MATCH(ROWS($A$2:A935),'All Ticker P&amp;L'!$N$2:$N$1001,0)),"")</f>
        <v/>
      </c>
      <c r="B935" s="243" t="str">
        <f t="shared" si="131"/>
        <v/>
      </c>
      <c r="C935" s="243" t="str">
        <f t="shared" si="132"/>
        <v/>
      </c>
      <c r="D935" s="243" t="str">
        <f t="shared" si="133"/>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34"/>
        <v/>
      </c>
      <c r="K935" s="287" t="str">
        <f t="shared" si="135"/>
        <v/>
      </c>
      <c r="L935" s="287" t="str">
        <f t="shared" si="136"/>
        <v/>
      </c>
      <c r="M935" s="290" t="str">
        <f t="shared" si="137"/>
        <v/>
      </c>
      <c r="N935" t="str">
        <f>IF($A935="","",IFERROR(INDEX(Prices[Category],MATCH($A935,Prices[Key],0)),"Uncategorized"))</f>
        <v/>
      </c>
      <c r="O935" s="291" t="str">
        <f t="shared" si="138"/>
        <v/>
      </c>
      <c r="P935" s="291" t="str">
        <f t="shared" si="139"/>
        <v/>
      </c>
    </row>
    <row r="936" spans="1:16" ht="15" customHeight="1" x14ac:dyDescent="0.2">
      <c r="A936" s="243" t="str">
        <f>IFERROR(INDEX('All Ticker P&amp;L'!$A$2:$A$1001,MATCH(ROWS($A$2:A936),'All Ticker P&amp;L'!$N$2:$N$1001,0)),"")</f>
        <v/>
      </c>
      <c r="B936" s="243" t="str">
        <f t="shared" si="131"/>
        <v/>
      </c>
      <c r="C936" s="243" t="str">
        <f t="shared" si="132"/>
        <v/>
      </c>
      <c r="D936" s="243" t="str">
        <f t="shared" si="133"/>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34"/>
        <v/>
      </c>
      <c r="K936" s="287" t="str">
        <f t="shared" si="135"/>
        <v/>
      </c>
      <c r="L936" s="287" t="str">
        <f t="shared" si="136"/>
        <v/>
      </c>
      <c r="M936" s="290" t="str">
        <f t="shared" si="137"/>
        <v/>
      </c>
      <c r="N936" t="str">
        <f>IF($A936="","",IFERROR(INDEX(Prices[Category],MATCH($A936,Prices[Key],0)),"Uncategorized"))</f>
        <v/>
      </c>
      <c r="O936" s="291" t="str">
        <f t="shared" si="138"/>
        <v/>
      </c>
      <c r="P936" s="291" t="str">
        <f t="shared" si="139"/>
        <v/>
      </c>
    </row>
    <row r="937" spans="1:16" ht="15" customHeight="1" x14ac:dyDescent="0.2">
      <c r="A937" s="243" t="str">
        <f>IFERROR(INDEX('All Ticker P&amp;L'!$A$2:$A$1001,MATCH(ROWS($A$2:A937),'All Ticker P&amp;L'!$N$2:$N$1001,0)),"")</f>
        <v/>
      </c>
      <c r="B937" s="243" t="str">
        <f t="shared" si="131"/>
        <v/>
      </c>
      <c r="C937" s="243" t="str">
        <f t="shared" si="132"/>
        <v/>
      </c>
      <c r="D937" s="243" t="str">
        <f t="shared" si="133"/>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34"/>
        <v/>
      </c>
      <c r="K937" s="287" t="str">
        <f t="shared" si="135"/>
        <v/>
      </c>
      <c r="L937" s="287" t="str">
        <f t="shared" si="136"/>
        <v/>
      </c>
      <c r="M937" s="290" t="str">
        <f t="shared" si="137"/>
        <v/>
      </c>
      <c r="N937" t="str">
        <f>IF($A937="","",IFERROR(INDEX(Prices[Category],MATCH($A937,Prices[Key],0)),"Uncategorized"))</f>
        <v/>
      </c>
      <c r="O937" s="291" t="str">
        <f t="shared" si="138"/>
        <v/>
      </c>
      <c r="P937" s="291" t="str">
        <f t="shared" si="139"/>
        <v/>
      </c>
    </row>
    <row r="938" spans="1:16" ht="15" customHeight="1" x14ac:dyDescent="0.2">
      <c r="A938" s="243" t="str">
        <f>IFERROR(INDEX('All Ticker P&amp;L'!$A$2:$A$1001,MATCH(ROWS($A$2:A938),'All Ticker P&amp;L'!$N$2:$N$1001,0)),"")</f>
        <v/>
      </c>
      <c r="B938" s="243" t="str">
        <f t="shared" si="131"/>
        <v/>
      </c>
      <c r="C938" s="243" t="str">
        <f t="shared" si="132"/>
        <v/>
      </c>
      <c r="D938" s="243" t="str">
        <f t="shared" si="133"/>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34"/>
        <v/>
      </c>
      <c r="K938" s="287" t="str">
        <f t="shared" si="135"/>
        <v/>
      </c>
      <c r="L938" s="287" t="str">
        <f t="shared" si="136"/>
        <v/>
      </c>
      <c r="M938" s="290" t="str">
        <f t="shared" si="137"/>
        <v/>
      </c>
      <c r="N938" t="str">
        <f>IF($A938="","",IFERROR(INDEX(Prices[Category],MATCH($A938,Prices[Key],0)),"Uncategorized"))</f>
        <v/>
      </c>
      <c r="O938" s="291" t="str">
        <f t="shared" si="138"/>
        <v/>
      </c>
      <c r="P938" s="291" t="str">
        <f t="shared" si="139"/>
        <v/>
      </c>
    </row>
    <row r="939" spans="1:16" ht="15" customHeight="1" x14ac:dyDescent="0.2">
      <c r="A939" s="243" t="str">
        <f>IFERROR(INDEX('All Ticker P&amp;L'!$A$2:$A$1001,MATCH(ROWS($A$2:A939),'All Ticker P&amp;L'!$N$2:$N$1001,0)),"")</f>
        <v/>
      </c>
      <c r="B939" s="243" t="str">
        <f t="shared" si="131"/>
        <v/>
      </c>
      <c r="C939" s="243" t="str">
        <f t="shared" si="132"/>
        <v/>
      </c>
      <c r="D939" s="243" t="str">
        <f t="shared" si="133"/>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34"/>
        <v/>
      </c>
      <c r="K939" s="287" t="str">
        <f t="shared" si="135"/>
        <v/>
      </c>
      <c r="L939" s="287" t="str">
        <f t="shared" si="136"/>
        <v/>
      </c>
      <c r="M939" s="290" t="str">
        <f t="shared" si="137"/>
        <v/>
      </c>
      <c r="N939" t="str">
        <f>IF($A939="","",IFERROR(INDEX(Prices[Category],MATCH($A939,Prices[Key],0)),"Uncategorized"))</f>
        <v/>
      </c>
      <c r="O939" s="291" t="str">
        <f t="shared" si="138"/>
        <v/>
      </c>
      <c r="P939" s="291" t="str">
        <f t="shared" si="139"/>
        <v/>
      </c>
    </row>
    <row r="940" spans="1:16" ht="15" customHeight="1" x14ac:dyDescent="0.2">
      <c r="A940" s="243" t="str">
        <f>IFERROR(INDEX('All Ticker P&amp;L'!$A$2:$A$1001,MATCH(ROWS($A$2:A940),'All Ticker P&amp;L'!$N$2:$N$1001,0)),"")</f>
        <v/>
      </c>
      <c r="B940" s="243" t="str">
        <f t="shared" si="131"/>
        <v/>
      </c>
      <c r="C940" s="243" t="str">
        <f t="shared" si="132"/>
        <v/>
      </c>
      <c r="D940" s="243" t="str">
        <f t="shared" si="133"/>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34"/>
        <v/>
      </c>
      <c r="K940" s="287" t="str">
        <f t="shared" si="135"/>
        <v/>
      </c>
      <c r="L940" s="287" t="str">
        <f t="shared" si="136"/>
        <v/>
      </c>
      <c r="M940" s="290" t="str">
        <f t="shared" si="137"/>
        <v/>
      </c>
      <c r="N940" t="str">
        <f>IF($A940="","",IFERROR(INDEX(Prices[Category],MATCH($A940,Prices[Key],0)),"Uncategorized"))</f>
        <v/>
      </c>
      <c r="O940" s="291" t="str">
        <f t="shared" si="138"/>
        <v/>
      </c>
      <c r="P940" s="291" t="str">
        <f t="shared" si="139"/>
        <v/>
      </c>
    </row>
    <row r="941" spans="1:16" ht="15" customHeight="1" x14ac:dyDescent="0.2">
      <c r="A941" s="243" t="str">
        <f>IFERROR(INDEX('All Ticker P&amp;L'!$A$2:$A$1001,MATCH(ROWS($A$2:A941),'All Ticker P&amp;L'!$N$2:$N$1001,0)),"")</f>
        <v/>
      </c>
      <c r="B941" s="243" t="str">
        <f t="shared" si="131"/>
        <v/>
      </c>
      <c r="C941" s="243" t="str">
        <f t="shared" si="132"/>
        <v/>
      </c>
      <c r="D941" s="243" t="str">
        <f t="shared" si="133"/>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34"/>
        <v/>
      </c>
      <c r="K941" s="287" t="str">
        <f t="shared" si="135"/>
        <v/>
      </c>
      <c r="L941" s="287" t="str">
        <f t="shared" si="136"/>
        <v/>
      </c>
      <c r="M941" s="290" t="str">
        <f t="shared" si="137"/>
        <v/>
      </c>
      <c r="N941" t="str">
        <f>IF($A941="","",IFERROR(INDEX(Prices[Category],MATCH($A941,Prices[Key],0)),"Uncategorized"))</f>
        <v/>
      </c>
      <c r="O941" s="291" t="str">
        <f t="shared" si="138"/>
        <v/>
      </c>
      <c r="P941" s="291" t="str">
        <f t="shared" si="139"/>
        <v/>
      </c>
    </row>
    <row r="942" spans="1:16" ht="15" customHeight="1" x14ac:dyDescent="0.2">
      <c r="A942" s="243" t="str">
        <f>IFERROR(INDEX('All Ticker P&amp;L'!$A$2:$A$1001,MATCH(ROWS($A$2:A942),'All Ticker P&amp;L'!$N$2:$N$1001,0)),"")</f>
        <v/>
      </c>
      <c r="B942" s="243" t="str">
        <f t="shared" si="131"/>
        <v/>
      </c>
      <c r="C942" s="243" t="str">
        <f t="shared" si="132"/>
        <v/>
      </c>
      <c r="D942" s="243" t="str">
        <f t="shared" si="133"/>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34"/>
        <v/>
      </c>
      <c r="K942" s="287" t="str">
        <f t="shared" si="135"/>
        <v/>
      </c>
      <c r="L942" s="287" t="str">
        <f t="shared" si="136"/>
        <v/>
      </c>
      <c r="M942" s="290" t="str">
        <f t="shared" si="137"/>
        <v/>
      </c>
      <c r="N942" t="str">
        <f>IF($A942="","",IFERROR(INDEX(Prices[Category],MATCH($A942,Prices[Key],0)),"Uncategorized"))</f>
        <v/>
      </c>
      <c r="O942" s="291" t="str">
        <f t="shared" si="138"/>
        <v/>
      </c>
      <c r="P942" s="291" t="str">
        <f t="shared" si="139"/>
        <v/>
      </c>
    </row>
    <row r="943" spans="1:16" ht="15" customHeight="1" x14ac:dyDescent="0.2">
      <c r="A943" s="243" t="str">
        <f>IFERROR(INDEX('All Ticker P&amp;L'!$A$2:$A$1001,MATCH(ROWS($A$2:A943),'All Ticker P&amp;L'!$N$2:$N$1001,0)),"")</f>
        <v/>
      </c>
      <c r="B943" s="243" t="str">
        <f t="shared" si="131"/>
        <v/>
      </c>
      <c r="C943" s="243" t="str">
        <f t="shared" si="132"/>
        <v/>
      </c>
      <c r="D943" s="243" t="str">
        <f t="shared" si="133"/>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34"/>
        <v/>
      </c>
      <c r="K943" s="287" t="str">
        <f t="shared" si="135"/>
        <v/>
      </c>
      <c r="L943" s="287" t="str">
        <f t="shared" si="136"/>
        <v/>
      </c>
      <c r="M943" s="290" t="str">
        <f t="shared" si="137"/>
        <v/>
      </c>
      <c r="N943" t="str">
        <f>IF($A943="","",IFERROR(INDEX(Prices[Category],MATCH($A943,Prices[Key],0)),"Uncategorized"))</f>
        <v/>
      </c>
      <c r="O943" s="291" t="str">
        <f t="shared" si="138"/>
        <v/>
      </c>
      <c r="P943" s="291" t="str">
        <f t="shared" si="139"/>
        <v/>
      </c>
    </row>
    <row r="944" spans="1:16" ht="15" customHeight="1" x14ac:dyDescent="0.2">
      <c r="A944" s="243" t="str">
        <f>IFERROR(INDEX('All Ticker P&amp;L'!$A$2:$A$1001,MATCH(ROWS($A$2:A944),'All Ticker P&amp;L'!$N$2:$N$1001,0)),"")</f>
        <v/>
      </c>
      <c r="B944" s="243" t="str">
        <f t="shared" si="131"/>
        <v/>
      </c>
      <c r="C944" s="243" t="str">
        <f t="shared" si="132"/>
        <v/>
      </c>
      <c r="D944" s="243" t="str">
        <f t="shared" si="133"/>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34"/>
        <v/>
      </c>
      <c r="K944" s="287" t="str">
        <f t="shared" si="135"/>
        <v/>
      </c>
      <c r="L944" s="287" t="str">
        <f t="shared" si="136"/>
        <v/>
      </c>
      <c r="M944" s="290" t="str">
        <f t="shared" si="137"/>
        <v/>
      </c>
      <c r="N944" t="str">
        <f>IF($A944="","",IFERROR(INDEX(Prices[Category],MATCH($A944,Prices[Key],0)),"Uncategorized"))</f>
        <v/>
      </c>
      <c r="O944" s="291" t="str">
        <f t="shared" si="138"/>
        <v/>
      </c>
      <c r="P944" s="291" t="str">
        <f t="shared" si="139"/>
        <v/>
      </c>
    </row>
    <row r="945" spans="1:16" ht="15" customHeight="1" x14ac:dyDescent="0.2">
      <c r="A945" s="243" t="str">
        <f>IFERROR(INDEX('All Ticker P&amp;L'!$A$2:$A$1001,MATCH(ROWS($A$2:A945),'All Ticker P&amp;L'!$N$2:$N$1001,0)),"")</f>
        <v/>
      </c>
      <c r="B945" s="243" t="str">
        <f t="shared" si="131"/>
        <v/>
      </c>
      <c r="C945" s="243" t="str">
        <f t="shared" si="132"/>
        <v/>
      </c>
      <c r="D945" s="243" t="str">
        <f t="shared" si="133"/>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34"/>
        <v/>
      </c>
      <c r="K945" s="287" t="str">
        <f t="shared" si="135"/>
        <v/>
      </c>
      <c r="L945" s="287" t="str">
        <f t="shared" si="136"/>
        <v/>
      </c>
      <c r="M945" s="290" t="str">
        <f t="shared" si="137"/>
        <v/>
      </c>
      <c r="N945" t="str">
        <f>IF($A945="","",IFERROR(INDEX(Prices[Category],MATCH($A945,Prices[Key],0)),"Uncategorized"))</f>
        <v/>
      </c>
      <c r="O945" s="291" t="str">
        <f t="shared" si="138"/>
        <v/>
      </c>
      <c r="P945" s="291" t="str">
        <f t="shared" si="139"/>
        <v/>
      </c>
    </row>
    <row r="946" spans="1:16" ht="15" customHeight="1" x14ac:dyDescent="0.2">
      <c r="A946" s="243" t="str">
        <f>IFERROR(INDEX('All Ticker P&amp;L'!$A$2:$A$1001,MATCH(ROWS($A$2:A946),'All Ticker P&amp;L'!$N$2:$N$1001,0)),"")</f>
        <v/>
      </c>
      <c r="B946" s="243" t="str">
        <f t="shared" si="131"/>
        <v/>
      </c>
      <c r="C946" s="243" t="str">
        <f t="shared" si="132"/>
        <v/>
      </c>
      <c r="D946" s="243" t="str">
        <f t="shared" si="133"/>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34"/>
        <v/>
      </c>
      <c r="K946" s="287" t="str">
        <f t="shared" si="135"/>
        <v/>
      </c>
      <c r="L946" s="287" t="str">
        <f t="shared" si="136"/>
        <v/>
      </c>
      <c r="M946" s="290" t="str">
        <f t="shared" si="137"/>
        <v/>
      </c>
      <c r="N946" t="str">
        <f>IF($A946="","",IFERROR(INDEX(Prices[Category],MATCH($A946,Prices[Key],0)),"Uncategorized"))</f>
        <v/>
      </c>
      <c r="O946" s="291" t="str">
        <f t="shared" si="138"/>
        <v/>
      </c>
      <c r="P946" s="291" t="str">
        <f t="shared" si="139"/>
        <v/>
      </c>
    </row>
    <row r="947" spans="1:16" ht="15" customHeight="1" x14ac:dyDescent="0.2">
      <c r="A947" s="243" t="str">
        <f>IFERROR(INDEX('All Ticker P&amp;L'!$A$2:$A$1001,MATCH(ROWS($A$2:A947),'All Ticker P&amp;L'!$N$2:$N$1001,0)),"")</f>
        <v/>
      </c>
      <c r="B947" s="243" t="str">
        <f t="shared" si="131"/>
        <v/>
      </c>
      <c r="C947" s="243" t="str">
        <f t="shared" si="132"/>
        <v/>
      </c>
      <c r="D947" s="243" t="str">
        <f t="shared" si="133"/>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34"/>
        <v/>
      </c>
      <c r="K947" s="287" t="str">
        <f t="shared" si="135"/>
        <v/>
      </c>
      <c r="L947" s="287" t="str">
        <f t="shared" si="136"/>
        <v/>
      </c>
      <c r="M947" s="290" t="str">
        <f t="shared" si="137"/>
        <v/>
      </c>
      <c r="N947" t="str">
        <f>IF($A947="","",IFERROR(INDEX(Prices[Category],MATCH($A947,Prices[Key],0)),"Uncategorized"))</f>
        <v/>
      </c>
      <c r="O947" s="291" t="str">
        <f t="shared" si="138"/>
        <v/>
      </c>
      <c r="P947" s="291" t="str">
        <f t="shared" si="139"/>
        <v/>
      </c>
    </row>
    <row r="948" spans="1:16" ht="15" customHeight="1" x14ac:dyDescent="0.2">
      <c r="A948" s="243" t="str">
        <f>IFERROR(INDEX('All Ticker P&amp;L'!$A$2:$A$1001,MATCH(ROWS($A$2:A948),'All Ticker P&amp;L'!$N$2:$N$1001,0)),"")</f>
        <v/>
      </c>
      <c r="B948" s="243" t="str">
        <f t="shared" si="131"/>
        <v/>
      </c>
      <c r="C948" s="243" t="str">
        <f t="shared" si="132"/>
        <v/>
      </c>
      <c r="D948" s="243" t="str">
        <f t="shared" si="133"/>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34"/>
        <v/>
      </c>
      <c r="K948" s="287" t="str">
        <f t="shared" si="135"/>
        <v/>
      </c>
      <c r="L948" s="287" t="str">
        <f t="shared" si="136"/>
        <v/>
      </c>
      <c r="M948" s="290" t="str">
        <f t="shared" si="137"/>
        <v/>
      </c>
      <c r="N948" t="str">
        <f>IF($A948="","",IFERROR(INDEX(Prices[Category],MATCH($A948,Prices[Key],0)),"Uncategorized"))</f>
        <v/>
      </c>
      <c r="O948" s="291" t="str">
        <f t="shared" si="138"/>
        <v/>
      </c>
      <c r="P948" s="291" t="str">
        <f t="shared" si="139"/>
        <v/>
      </c>
    </row>
    <row r="949" spans="1:16" ht="15" customHeight="1" x14ac:dyDescent="0.2">
      <c r="A949" s="243" t="str">
        <f>IFERROR(INDEX('All Ticker P&amp;L'!$A$2:$A$1001,MATCH(ROWS($A$2:A949),'All Ticker P&amp;L'!$N$2:$N$1001,0)),"")</f>
        <v/>
      </c>
      <c r="B949" s="243" t="str">
        <f t="shared" si="131"/>
        <v/>
      </c>
      <c r="C949" s="243" t="str">
        <f t="shared" si="132"/>
        <v/>
      </c>
      <c r="D949" s="243" t="str">
        <f t="shared" si="133"/>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34"/>
        <v/>
      </c>
      <c r="K949" s="287" t="str">
        <f t="shared" si="135"/>
        <v/>
      </c>
      <c r="L949" s="287" t="str">
        <f t="shared" si="136"/>
        <v/>
      </c>
      <c r="M949" s="290" t="str">
        <f t="shared" si="137"/>
        <v/>
      </c>
      <c r="N949" t="str">
        <f>IF($A949="","",IFERROR(INDEX(Prices[Category],MATCH($A949,Prices[Key],0)),"Uncategorized"))</f>
        <v/>
      </c>
      <c r="O949" s="291" t="str">
        <f t="shared" si="138"/>
        <v/>
      </c>
      <c r="P949" s="291" t="str">
        <f t="shared" si="139"/>
        <v/>
      </c>
    </row>
    <row r="950" spans="1:16" ht="15" customHeight="1" x14ac:dyDescent="0.2">
      <c r="A950" s="243" t="str">
        <f>IFERROR(INDEX('All Ticker P&amp;L'!$A$2:$A$1001,MATCH(ROWS($A$2:A950),'All Ticker P&amp;L'!$N$2:$N$1001,0)),"")</f>
        <v/>
      </c>
      <c r="B950" s="243" t="str">
        <f t="shared" si="131"/>
        <v/>
      </c>
      <c r="C950" s="243" t="str">
        <f t="shared" si="132"/>
        <v/>
      </c>
      <c r="D950" s="243" t="str">
        <f t="shared" si="133"/>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34"/>
        <v/>
      </c>
      <c r="K950" s="287" t="str">
        <f t="shared" si="135"/>
        <v/>
      </c>
      <c r="L950" s="287" t="str">
        <f t="shared" si="136"/>
        <v/>
      </c>
      <c r="M950" s="290" t="str">
        <f t="shared" si="137"/>
        <v/>
      </c>
      <c r="N950" t="str">
        <f>IF($A950="","",IFERROR(INDEX(Prices[Category],MATCH($A950,Prices[Key],0)),"Uncategorized"))</f>
        <v/>
      </c>
      <c r="O950" s="291" t="str">
        <f t="shared" si="138"/>
        <v/>
      </c>
      <c r="P950" s="291" t="str">
        <f t="shared" si="139"/>
        <v/>
      </c>
    </row>
    <row r="951" spans="1:16" ht="15" customHeight="1" x14ac:dyDescent="0.2">
      <c r="A951" s="243" t="str">
        <f>IFERROR(INDEX('All Ticker P&amp;L'!$A$2:$A$1001,MATCH(ROWS($A$2:A951),'All Ticker P&amp;L'!$N$2:$N$1001,0)),"")</f>
        <v/>
      </c>
      <c r="B951" s="243" t="str">
        <f t="shared" si="131"/>
        <v/>
      </c>
      <c r="C951" s="243" t="str">
        <f t="shared" si="132"/>
        <v/>
      </c>
      <c r="D951" s="243" t="str">
        <f t="shared" si="133"/>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34"/>
        <v/>
      </c>
      <c r="K951" s="287" t="str">
        <f t="shared" si="135"/>
        <v/>
      </c>
      <c r="L951" s="287" t="str">
        <f t="shared" si="136"/>
        <v/>
      </c>
      <c r="M951" s="290" t="str">
        <f t="shared" si="137"/>
        <v/>
      </c>
      <c r="N951" t="str">
        <f>IF($A951="","",IFERROR(INDEX(Prices[Category],MATCH($A951,Prices[Key],0)),"Uncategorized"))</f>
        <v/>
      </c>
      <c r="O951" s="291" t="str">
        <f t="shared" si="138"/>
        <v/>
      </c>
      <c r="P951" s="291" t="str">
        <f t="shared" si="139"/>
        <v/>
      </c>
    </row>
    <row r="952" spans="1:16" ht="15" customHeight="1" x14ac:dyDescent="0.2">
      <c r="A952" s="243" t="str">
        <f>IFERROR(INDEX('All Ticker P&amp;L'!$A$2:$A$1001,MATCH(ROWS($A$2:A952),'All Ticker P&amp;L'!$N$2:$N$1001,0)),"")</f>
        <v/>
      </c>
      <c r="B952" s="243" t="str">
        <f t="shared" si="131"/>
        <v/>
      </c>
      <c r="C952" s="243" t="str">
        <f t="shared" si="132"/>
        <v/>
      </c>
      <c r="D952" s="243" t="str">
        <f t="shared" si="133"/>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34"/>
        <v/>
      </c>
      <c r="K952" s="287" t="str">
        <f t="shared" si="135"/>
        <v/>
      </c>
      <c r="L952" s="287" t="str">
        <f t="shared" si="136"/>
        <v/>
      </c>
      <c r="M952" s="290" t="str">
        <f t="shared" si="137"/>
        <v/>
      </c>
      <c r="N952" t="str">
        <f>IF($A952="","",IFERROR(INDEX(Prices[Category],MATCH($A952,Prices[Key],0)),"Uncategorized"))</f>
        <v/>
      </c>
      <c r="O952" s="291" t="str">
        <f t="shared" si="138"/>
        <v/>
      </c>
      <c r="P952" s="291" t="str">
        <f t="shared" si="139"/>
        <v/>
      </c>
    </row>
    <row r="953" spans="1:16" ht="15" customHeight="1" x14ac:dyDescent="0.2">
      <c r="A953" s="243" t="str">
        <f>IFERROR(INDEX('All Ticker P&amp;L'!$A$2:$A$1001,MATCH(ROWS($A$2:A953),'All Ticker P&amp;L'!$N$2:$N$1001,0)),"")</f>
        <v/>
      </c>
      <c r="B953" s="243" t="str">
        <f t="shared" si="131"/>
        <v/>
      </c>
      <c r="C953" s="243" t="str">
        <f t="shared" si="132"/>
        <v/>
      </c>
      <c r="D953" s="243" t="str">
        <f t="shared" si="133"/>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34"/>
        <v/>
      </c>
      <c r="K953" s="287" t="str">
        <f t="shared" si="135"/>
        <v/>
      </c>
      <c r="L953" s="287" t="str">
        <f t="shared" si="136"/>
        <v/>
      </c>
      <c r="M953" s="290" t="str">
        <f t="shared" si="137"/>
        <v/>
      </c>
      <c r="N953" t="str">
        <f>IF($A953="","",IFERROR(INDEX(Prices[Category],MATCH($A953,Prices[Key],0)),"Uncategorized"))</f>
        <v/>
      </c>
      <c r="O953" s="291" t="str">
        <f t="shared" si="138"/>
        <v/>
      </c>
      <c r="P953" s="291" t="str">
        <f t="shared" si="139"/>
        <v/>
      </c>
    </row>
    <row r="954" spans="1:16" ht="15" customHeight="1" x14ac:dyDescent="0.2">
      <c r="A954" s="243" t="str">
        <f>IFERROR(INDEX('All Ticker P&amp;L'!$A$2:$A$1001,MATCH(ROWS($A$2:A954),'All Ticker P&amp;L'!$N$2:$N$1001,0)),"")</f>
        <v/>
      </c>
      <c r="B954" s="243" t="str">
        <f t="shared" si="131"/>
        <v/>
      </c>
      <c r="C954" s="243" t="str">
        <f t="shared" si="132"/>
        <v/>
      </c>
      <c r="D954" s="243" t="str">
        <f t="shared" si="133"/>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34"/>
        <v/>
      </c>
      <c r="K954" s="287" t="str">
        <f t="shared" si="135"/>
        <v/>
      </c>
      <c r="L954" s="287" t="str">
        <f t="shared" si="136"/>
        <v/>
      </c>
      <c r="M954" s="290" t="str">
        <f t="shared" si="137"/>
        <v/>
      </c>
      <c r="N954" t="str">
        <f>IF($A954="","",IFERROR(INDEX(Prices[Category],MATCH($A954,Prices[Key],0)),"Uncategorized"))</f>
        <v/>
      </c>
      <c r="O954" s="291" t="str">
        <f t="shared" si="138"/>
        <v/>
      </c>
      <c r="P954" s="291" t="str">
        <f t="shared" si="139"/>
        <v/>
      </c>
    </row>
    <row r="955" spans="1:16" ht="15" customHeight="1" x14ac:dyDescent="0.2">
      <c r="A955" s="243" t="str">
        <f>IFERROR(INDEX('All Ticker P&amp;L'!$A$2:$A$1001,MATCH(ROWS($A$2:A955),'All Ticker P&amp;L'!$N$2:$N$1001,0)),"")</f>
        <v/>
      </c>
      <c r="B955" s="243" t="str">
        <f t="shared" si="131"/>
        <v/>
      </c>
      <c r="C955" s="243" t="str">
        <f t="shared" si="132"/>
        <v/>
      </c>
      <c r="D955" s="243" t="str">
        <f t="shared" si="133"/>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34"/>
        <v/>
      </c>
      <c r="K955" s="287" t="str">
        <f t="shared" si="135"/>
        <v/>
      </c>
      <c r="L955" s="287" t="str">
        <f t="shared" si="136"/>
        <v/>
      </c>
      <c r="M955" s="290" t="str">
        <f t="shared" si="137"/>
        <v/>
      </c>
      <c r="N955" t="str">
        <f>IF($A955="","",IFERROR(INDEX(Prices[Category],MATCH($A955,Prices[Key],0)),"Uncategorized"))</f>
        <v/>
      </c>
      <c r="O955" s="291" t="str">
        <f t="shared" si="138"/>
        <v/>
      </c>
      <c r="P955" s="291" t="str">
        <f t="shared" si="139"/>
        <v/>
      </c>
    </row>
    <row r="956" spans="1:16" ht="15" customHeight="1" x14ac:dyDescent="0.2">
      <c r="A956" s="243" t="str">
        <f>IFERROR(INDEX('All Ticker P&amp;L'!$A$2:$A$1001,MATCH(ROWS($A$2:A956),'All Ticker P&amp;L'!$N$2:$N$1001,0)),"")</f>
        <v/>
      </c>
      <c r="B956" s="243" t="str">
        <f t="shared" si="131"/>
        <v/>
      </c>
      <c r="C956" s="243" t="str">
        <f t="shared" si="132"/>
        <v/>
      </c>
      <c r="D956" s="243" t="str">
        <f t="shared" si="133"/>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34"/>
        <v/>
      </c>
      <c r="K956" s="287" t="str">
        <f t="shared" si="135"/>
        <v/>
      </c>
      <c r="L956" s="287" t="str">
        <f t="shared" si="136"/>
        <v/>
      </c>
      <c r="M956" s="290" t="str">
        <f t="shared" si="137"/>
        <v/>
      </c>
      <c r="N956" t="str">
        <f>IF($A956="","",IFERROR(INDEX(Prices[Category],MATCH($A956,Prices[Key],0)),"Uncategorized"))</f>
        <v/>
      </c>
      <c r="O956" s="291" t="str">
        <f t="shared" si="138"/>
        <v/>
      </c>
      <c r="P956" s="291" t="str">
        <f t="shared" si="139"/>
        <v/>
      </c>
    </row>
    <row r="957" spans="1:16" ht="15" customHeight="1" x14ac:dyDescent="0.2">
      <c r="A957" s="243" t="str">
        <f>IFERROR(INDEX('All Ticker P&amp;L'!$A$2:$A$1001,MATCH(ROWS($A$2:A957),'All Ticker P&amp;L'!$N$2:$N$1001,0)),"")</f>
        <v/>
      </c>
      <c r="B957" s="243" t="str">
        <f t="shared" si="131"/>
        <v/>
      </c>
      <c r="C957" s="243" t="str">
        <f t="shared" si="132"/>
        <v/>
      </c>
      <c r="D957" s="243" t="str">
        <f t="shared" si="133"/>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34"/>
        <v/>
      </c>
      <c r="K957" s="287" t="str">
        <f t="shared" si="135"/>
        <v/>
      </c>
      <c r="L957" s="287" t="str">
        <f t="shared" si="136"/>
        <v/>
      </c>
      <c r="M957" s="290" t="str">
        <f t="shared" si="137"/>
        <v/>
      </c>
      <c r="N957" t="str">
        <f>IF($A957="","",IFERROR(INDEX(Prices[Category],MATCH($A957,Prices[Key],0)),"Uncategorized"))</f>
        <v/>
      </c>
      <c r="O957" s="291" t="str">
        <f t="shared" si="138"/>
        <v/>
      </c>
      <c r="P957" s="291" t="str">
        <f t="shared" si="139"/>
        <v/>
      </c>
    </row>
    <row r="958" spans="1:16" ht="15" customHeight="1" x14ac:dyDescent="0.2">
      <c r="A958" s="243" t="str">
        <f>IFERROR(INDEX('All Ticker P&amp;L'!$A$2:$A$1001,MATCH(ROWS($A$2:A958),'All Ticker P&amp;L'!$N$2:$N$1001,0)),"")</f>
        <v/>
      </c>
      <c r="B958" s="243" t="str">
        <f t="shared" si="131"/>
        <v/>
      </c>
      <c r="C958" s="243" t="str">
        <f t="shared" si="132"/>
        <v/>
      </c>
      <c r="D958" s="243" t="str">
        <f t="shared" si="133"/>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34"/>
        <v/>
      </c>
      <c r="K958" s="287" t="str">
        <f t="shared" si="135"/>
        <v/>
      </c>
      <c r="L958" s="287" t="str">
        <f t="shared" si="136"/>
        <v/>
      </c>
      <c r="M958" s="290" t="str">
        <f t="shared" si="137"/>
        <v/>
      </c>
      <c r="N958" t="str">
        <f>IF($A958="","",IFERROR(INDEX(Prices[Category],MATCH($A958,Prices[Key],0)),"Uncategorized"))</f>
        <v/>
      </c>
      <c r="O958" s="291" t="str">
        <f t="shared" si="138"/>
        <v/>
      </c>
      <c r="P958" s="291" t="str">
        <f t="shared" si="139"/>
        <v/>
      </c>
    </row>
    <row r="959" spans="1:16" ht="15" customHeight="1" x14ac:dyDescent="0.2">
      <c r="A959" s="243" t="str">
        <f>IFERROR(INDEX('All Ticker P&amp;L'!$A$2:$A$1001,MATCH(ROWS($A$2:A959),'All Ticker P&amp;L'!$N$2:$N$1001,0)),"")</f>
        <v/>
      </c>
      <c r="B959" s="243" t="str">
        <f t="shared" si="131"/>
        <v/>
      </c>
      <c r="C959" s="243" t="str">
        <f t="shared" si="132"/>
        <v/>
      </c>
      <c r="D959" s="243" t="str">
        <f t="shared" si="133"/>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34"/>
        <v/>
      </c>
      <c r="K959" s="287" t="str">
        <f t="shared" si="135"/>
        <v/>
      </c>
      <c r="L959" s="287" t="str">
        <f t="shared" si="136"/>
        <v/>
      </c>
      <c r="M959" s="290" t="str">
        <f t="shared" si="137"/>
        <v/>
      </c>
      <c r="N959" t="str">
        <f>IF($A959="","",IFERROR(INDEX(Prices[Category],MATCH($A959,Prices[Key],0)),"Uncategorized"))</f>
        <v/>
      </c>
      <c r="O959" s="291" t="str">
        <f t="shared" si="138"/>
        <v/>
      </c>
      <c r="P959" s="291" t="str">
        <f t="shared" si="139"/>
        <v/>
      </c>
    </row>
    <row r="960" spans="1:16" ht="15" customHeight="1" x14ac:dyDescent="0.2">
      <c r="A960" s="243" t="str">
        <f>IFERROR(INDEX('All Ticker P&amp;L'!$A$2:$A$1001,MATCH(ROWS($A$2:A960),'All Ticker P&amp;L'!$N$2:$N$1001,0)),"")</f>
        <v/>
      </c>
      <c r="B960" s="243" t="str">
        <f t="shared" si="131"/>
        <v/>
      </c>
      <c r="C960" s="243" t="str">
        <f t="shared" si="132"/>
        <v/>
      </c>
      <c r="D960" s="243" t="str">
        <f t="shared" si="133"/>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34"/>
        <v/>
      </c>
      <c r="K960" s="287" t="str">
        <f t="shared" si="135"/>
        <v/>
      </c>
      <c r="L960" s="287" t="str">
        <f t="shared" si="136"/>
        <v/>
      </c>
      <c r="M960" s="290" t="str">
        <f t="shared" si="137"/>
        <v/>
      </c>
      <c r="N960" t="str">
        <f>IF($A960="","",IFERROR(INDEX(Prices[Category],MATCH($A960,Prices[Key],0)),"Uncategorized"))</f>
        <v/>
      </c>
      <c r="O960" s="291" t="str">
        <f t="shared" si="138"/>
        <v/>
      </c>
      <c r="P960" s="291" t="str">
        <f t="shared" si="139"/>
        <v/>
      </c>
    </row>
    <row r="961" spans="1:16" ht="15" customHeight="1" x14ac:dyDescent="0.2">
      <c r="A961" s="243" t="str">
        <f>IFERROR(INDEX('All Ticker P&amp;L'!$A$2:$A$1001,MATCH(ROWS($A$2:A961),'All Ticker P&amp;L'!$N$2:$N$1001,0)),"")</f>
        <v/>
      </c>
      <c r="B961" s="243" t="str">
        <f t="shared" si="131"/>
        <v/>
      </c>
      <c r="C961" s="243" t="str">
        <f t="shared" si="132"/>
        <v/>
      </c>
      <c r="D961" s="243" t="str">
        <f t="shared" si="133"/>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34"/>
        <v/>
      </c>
      <c r="K961" s="287" t="str">
        <f t="shared" si="135"/>
        <v/>
      </c>
      <c r="L961" s="287" t="str">
        <f t="shared" si="136"/>
        <v/>
      </c>
      <c r="M961" s="290" t="str">
        <f t="shared" si="137"/>
        <v/>
      </c>
      <c r="N961" t="str">
        <f>IF($A961="","",IFERROR(INDEX(Prices[Category],MATCH($A961,Prices[Key],0)),"Uncategorized"))</f>
        <v/>
      </c>
      <c r="O961" s="291" t="str">
        <f t="shared" si="138"/>
        <v/>
      </c>
      <c r="P961" s="291" t="str">
        <f t="shared" si="139"/>
        <v/>
      </c>
    </row>
    <row r="962" spans="1:16" ht="15" customHeight="1" x14ac:dyDescent="0.2">
      <c r="A962" s="243" t="str">
        <f>IFERROR(INDEX('All Ticker P&amp;L'!$A$2:$A$1001,MATCH(ROWS($A$2:A962),'All Ticker P&amp;L'!$N$2:$N$1001,0)),"")</f>
        <v/>
      </c>
      <c r="B962" s="243" t="str">
        <f t="shared" ref="B962:B1001" si="140">IF($A962="","",LEFT($A962,FIND(":",$A962)-1))</f>
        <v/>
      </c>
      <c r="C962" s="243" t="str">
        <f t="shared" ref="C962:C1001" si="141">IF($A962="","",MID($A962,FIND(":",$A962)+1,FIND(":",$A962,FIND(":",$A962)+1)-FIND(":",$A962)-1))</f>
        <v/>
      </c>
      <c r="D962" s="243" t="str">
        <f t="shared" ref="D962:D1001" si="142">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43">IF($A962="","",E962*H962)</f>
        <v/>
      </c>
      <c r="K962" s="287" t="str">
        <f t="shared" ref="K962:K1025" si="144">IF($A962="","",J962+G962-F962)</f>
        <v/>
      </c>
      <c r="L962" s="287" t="str">
        <f t="shared" ref="L962:L1025" si="145">IF($A962="","",K962*I962)</f>
        <v/>
      </c>
      <c r="M962" s="290" t="str">
        <f t="shared" ref="M962:M1001" si="146">IF($A962="","",IFERROR(K962/F962,0))</f>
        <v/>
      </c>
      <c r="N962" t="str">
        <f>IF($A962="","",IFERROR(INDEX(Prices[Category],MATCH($A962,Prices[Key],0)),"Uncategorized"))</f>
        <v/>
      </c>
      <c r="O962" s="291" t="str">
        <f t="shared" ref="O962:O1001" si="147">IF($A962="","",$J962*$I962)</f>
        <v/>
      </c>
      <c r="P962" s="291" t="str">
        <f t="shared" ref="P962:P1001" si="148">IF($A962="","",$L962)</f>
        <v/>
      </c>
    </row>
    <row r="963" spans="1:16" ht="15" customHeight="1" x14ac:dyDescent="0.2">
      <c r="A963" s="243" t="str">
        <f>IFERROR(INDEX('All Ticker P&amp;L'!$A$2:$A$1001,MATCH(ROWS($A$2:A963),'All Ticker P&amp;L'!$N$2:$N$1001,0)),"")</f>
        <v/>
      </c>
      <c r="B963" s="243" t="str">
        <f t="shared" si="140"/>
        <v/>
      </c>
      <c r="C963" s="243" t="str">
        <f t="shared" si="141"/>
        <v/>
      </c>
      <c r="D963" s="243" t="str">
        <f t="shared" si="142"/>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43"/>
        <v/>
      </c>
      <c r="K963" s="287" t="str">
        <f t="shared" si="144"/>
        <v/>
      </c>
      <c r="L963" s="287" t="str">
        <f t="shared" si="145"/>
        <v/>
      </c>
      <c r="M963" s="290" t="str">
        <f t="shared" si="146"/>
        <v/>
      </c>
      <c r="N963" t="str">
        <f>IF($A963="","",IFERROR(INDEX(Prices[Category],MATCH($A963,Prices[Key],0)),"Uncategorized"))</f>
        <v/>
      </c>
      <c r="O963" s="291" t="str">
        <f t="shared" si="147"/>
        <v/>
      </c>
      <c r="P963" s="291" t="str">
        <f t="shared" si="148"/>
        <v/>
      </c>
    </row>
    <row r="964" spans="1:16" ht="15" customHeight="1" x14ac:dyDescent="0.2">
      <c r="A964" s="243" t="str">
        <f>IFERROR(INDEX('All Ticker P&amp;L'!$A$2:$A$1001,MATCH(ROWS($A$2:A964),'All Ticker P&amp;L'!$N$2:$N$1001,0)),"")</f>
        <v/>
      </c>
      <c r="B964" s="243" t="str">
        <f t="shared" si="140"/>
        <v/>
      </c>
      <c r="C964" s="243" t="str">
        <f t="shared" si="141"/>
        <v/>
      </c>
      <c r="D964" s="243" t="str">
        <f t="shared" si="142"/>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43"/>
        <v/>
      </c>
      <c r="K964" s="287" t="str">
        <f t="shared" si="144"/>
        <v/>
      </c>
      <c r="L964" s="287" t="str">
        <f t="shared" si="145"/>
        <v/>
      </c>
      <c r="M964" s="290" t="str">
        <f t="shared" si="146"/>
        <v/>
      </c>
      <c r="N964" t="str">
        <f>IF($A964="","",IFERROR(INDEX(Prices[Category],MATCH($A964,Prices[Key],0)),"Uncategorized"))</f>
        <v/>
      </c>
      <c r="O964" s="291" t="str">
        <f t="shared" si="147"/>
        <v/>
      </c>
      <c r="P964" s="291" t="str">
        <f t="shared" si="148"/>
        <v/>
      </c>
    </row>
    <row r="965" spans="1:16" ht="15" customHeight="1" x14ac:dyDescent="0.2">
      <c r="A965" s="243" t="str">
        <f>IFERROR(INDEX('All Ticker P&amp;L'!$A$2:$A$1001,MATCH(ROWS($A$2:A965),'All Ticker P&amp;L'!$N$2:$N$1001,0)),"")</f>
        <v/>
      </c>
      <c r="B965" s="243" t="str">
        <f t="shared" si="140"/>
        <v/>
      </c>
      <c r="C965" s="243" t="str">
        <f t="shared" si="141"/>
        <v/>
      </c>
      <c r="D965" s="243" t="str">
        <f t="shared" si="142"/>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43"/>
        <v/>
      </c>
      <c r="K965" s="287" t="str">
        <f t="shared" si="144"/>
        <v/>
      </c>
      <c r="L965" s="287" t="str">
        <f t="shared" si="145"/>
        <v/>
      </c>
      <c r="M965" s="290" t="str">
        <f t="shared" si="146"/>
        <v/>
      </c>
      <c r="N965" t="str">
        <f>IF($A965="","",IFERROR(INDEX(Prices[Category],MATCH($A965,Prices[Key],0)),"Uncategorized"))</f>
        <v/>
      </c>
      <c r="O965" s="291" t="str">
        <f t="shared" si="147"/>
        <v/>
      </c>
      <c r="P965" s="291" t="str">
        <f t="shared" si="148"/>
        <v/>
      </c>
    </row>
    <row r="966" spans="1:16" ht="15" customHeight="1" x14ac:dyDescent="0.2">
      <c r="A966" s="243" t="str">
        <f>IFERROR(INDEX('All Ticker P&amp;L'!$A$2:$A$1001,MATCH(ROWS($A$2:A966),'All Ticker P&amp;L'!$N$2:$N$1001,0)),"")</f>
        <v/>
      </c>
      <c r="B966" s="243" t="str">
        <f t="shared" si="140"/>
        <v/>
      </c>
      <c r="C966" s="243" t="str">
        <f t="shared" si="141"/>
        <v/>
      </c>
      <c r="D966" s="243" t="str">
        <f t="shared" si="142"/>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43"/>
        <v/>
      </c>
      <c r="K966" s="287" t="str">
        <f t="shared" si="144"/>
        <v/>
      </c>
      <c r="L966" s="287" t="str">
        <f t="shared" si="145"/>
        <v/>
      </c>
      <c r="M966" s="290" t="str">
        <f t="shared" si="146"/>
        <v/>
      </c>
      <c r="N966" t="str">
        <f>IF($A966="","",IFERROR(INDEX(Prices[Category],MATCH($A966,Prices[Key],0)),"Uncategorized"))</f>
        <v/>
      </c>
      <c r="O966" s="291" t="str">
        <f t="shared" si="147"/>
        <v/>
      </c>
      <c r="P966" s="291" t="str">
        <f t="shared" si="148"/>
        <v/>
      </c>
    </row>
    <row r="967" spans="1:16" ht="15" customHeight="1" x14ac:dyDescent="0.2">
      <c r="A967" s="243" t="str">
        <f>IFERROR(INDEX('All Ticker P&amp;L'!$A$2:$A$1001,MATCH(ROWS($A$2:A967),'All Ticker P&amp;L'!$N$2:$N$1001,0)),"")</f>
        <v/>
      </c>
      <c r="B967" s="243" t="str">
        <f t="shared" si="140"/>
        <v/>
      </c>
      <c r="C967" s="243" t="str">
        <f t="shared" si="141"/>
        <v/>
      </c>
      <c r="D967" s="243" t="str">
        <f t="shared" si="142"/>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43"/>
        <v/>
      </c>
      <c r="K967" s="287" t="str">
        <f t="shared" si="144"/>
        <v/>
      </c>
      <c r="L967" s="287" t="str">
        <f t="shared" si="145"/>
        <v/>
      </c>
      <c r="M967" s="290" t="str">
        <f t="shared" si="146"/>
        <v/>
      </c>
      <c r="N967" t="str">
        <f>IF($A967="","",IFERROR(INDEX(Prices[Category],MATCH($A967,Prices[Key],0)),"Uncategorized"))</f>
        <v/>
      </c>
      <c r="O967" s="291" t="str">
        <f t="shared" si="147"/>
        <v/>
      </c>
      <c r="P967" s="291" t="str">
        <f t="shared" si="148"/>
        <v/>
      </c>
    </row>
    <row r="968" spans="1:16" ht="15" customHeight="1" x14ac:dyDescent="0.2">
      <c r="A968" s="243" t="str">
        <f>IFERROR(INDEX('All Ticker P&amp;L'!$A$2:$A$1001,MATCH(ROWS($A$2:A968),'All Ticker P&amp;L'!$N$2:$N$1001,0)),"")</f>
        <v/>
      </c>
      <c r="B968" s="243" t="str">
        <f t="shared" si="140"/>
        <v/>
      </c>
      <c r="C968" s="243" t="str">
        <f t="shared" si="141"/>
        <v/>
      </c>
      <c r="D968" s="243" t="str">
        <f t="shared" si="142"/>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43"/>
        <v/>
      </c>
      <c r="K968" s="287" t="str">
        <f t="shared" si="144"/>
        <v/>
      </c>
      <c r="L968" s="287" t="str">
        <f t="shared" si="145"/>
        <v/>
      </c>
      <c r="M968" s="290" t="str">
        <f t="shared" si="146"/>
        <v/>
      </c>
      <c r="N968" t="str">
        <f>IF($A968="","",IFERROR(INDEX(Prices[Category],MATCH($A968,Prices[Key],0)),"Uncategorized"))</f>
        <v/>
      </c>
      <c r="O968" s="291" t="str">
        <f t="shared" si="147"/>
        <v/>
      </c>
      <c r="P968" s="291" t="str">
        <f t="shared" si="148"/>
        <v/>
      </c>
    </row>
    <row r="969" spans="1:16" ht="15" customHeight="1" x14ac:dyDescent="0.2">
      <c r="A969" s="243" t="str">
        <f>IFERROR(INDEX('All Ticker P&amp;L'!$A$2:$A$1001,MATCH(ROWS($A$2:A969),'All Ticker P&amp;L'!$N$2:$N$1001,0)),"")</f>
        <v/>
      </c>
      <c r="B969" s="243" t="str">
        <f t="shared" si="140"/>
        <v/>
      </c>
      <c r="C969" s="243" t="str">
        <f t="shared" si="141"/>
        <v/>
      </c>
      <c r="D969" s="243" t="str">
        <f t="shared" si="142"/>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43"/>
        <v/>
      </c>
      <c r="K969" s="287" t="str">
        <f t="shared" si="144"/>
        <v/>
      </c>
      <c r="L969" s="287" t="str">
        <f t="shared" si="145"/>
        <v/>
      </c>
      <c r="M969" s="290" t="str">
        <f t="shared" si="146"/>
        <v/>
      </c>
      <c r="N969" t="str">
        <f>IF($A969="","",IFERROR(INDEX(Prices[Category],MATCH($A969,Prices[Key],0)),"Uncategorized"))</f>
        <v/>
      </c>
      <c r="O969" s="291" t="str">
        <f t="shared" si="147"/>
        <v/>
      </c>
      <c r="P969" s="291" t="str">
        <f t="shared" si="148"/>
        <v/>
      </c>
    </row>
    <row r="970" spans="1:16" ht="15" customHeight="1" x14ac:dyDescent="0.2">
      <c r="A970" s="243" t="str">
        <f>IFERROR(INDEX('All Ticker P&amp;L'!$A$2:$A$1001,MATCH(ROWS($A$2:A970),'All Ticker P&amp;L'!$N$2:$N$1001,0)),"")</f>
        <v/>
      </c>
      <c r="B970" s="243" t="str">
        <f t="shared" si="140"/>
        <v/>
      </c>
      <c r="C970" s="243" t="str">
        <f t="shared" si="141"/>
        <v/>
      </c>
      <c r="D970" s="243" t="str">
        <f t="shared" si="142"/>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43"/>
        <v/>
      </c>
      <c r="K970" s="287" t="str">
        <f t="shared" si="144"/>
        <v/>
      </c>
      <c r="L970" s="287" t="str">
        <f t="shared" si="145"/>
        <v/>
      </c>
      <c r="M970" s="290" t="str">
        <f t="shared" si="146"/>
        <v/>
      </c>
      <c r="N970" t="str">
        <f>IF($A970="","",IFERROR(INDEX(Prices[Category],MATCH($A970,Prices[Key],0)),"Uncategorized"))</f>
        <v/>
      </c>
      <c r="O970" s="291" t="str">
        <f t="shared" si="147"/>
        <v/>
      </c>
      <c r="P970" s="291" t="str">
        <f t="shared" si="148"/>
        <v/>
      </c>
    </row>
    <row r="971" spans="1:16" ht="15" customHeight="1" x14ac:dyDescent="0.2">
      <c r="A971" s="243" t="str">
        <f>IFERROR(INDEX('All Ticker P&amp;L'!$A$2:$A$1001,MATCH(ROWS($A$2:A971),'All Ticker P&amp;L'!$N$2:$N$1001,0)),"")</f>
        <v/>
      </c>
      <c r="B971" s="243" t="str">
        <f t="shared" si="140"/>
        <v/>
      </c>
      <c r="C971" s="243" t="str">
        <f t="shared" si="141"/>
        <v/>
      </c>
      <c r="D971" s="243" t="str">
        <f t="shared" si="142"/>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43"/>
        <v/>
      </c>
      <c r="K971" s="287" t="str">
        <f t="shared" si="144"/>
        <v/>
      </c>
      <c r="L971" s="287" t="str">
        <f t="shared" si="145"/>
        <v/>
      </c>
      <c r="M971" s="290" t="str">
        <f t="shared" si="146"/>
        <v/>
      </c>
      <c r="N971" t="str">
        <f>IF($A971="","",IFERROR(INDEX(Prices[Category],MATCH($A971,Prices[Key],0)),"Uncategorized"))</f>
        <v/>
      </c>
      <c r="O971" s="291" t="str">
        <f t="shared" si="147"/>
        <v/>
      </c>
      <c r="P971" s="291" t="str">
        <f t="shared" si="148"/>
        <v/>
      </c>
    </row>
    <row r="972" spans="1:16" ht="15" customHeight="1" x14ac:dyDescent="0.2">
      <c r="A972" s="243" t="str">
        <f>IFERROR(INDEX('All Ticker P&amp;L'!$A$2:$A$1001,MATCH(ROWS($A$2:A972),'All Ticker P&amp;L'!$N$2:$N$1001,0)),"")</f>
        <v/>
      </c>
      <c r="B972" s="243" t="str">
        <f t="shared" si="140"/>
        <v/>
      </c>
      <c r="C972" s="243" t="str">
        <f t="shared" si="141"/>
        <v/>
      </c>
      <c r="D972" s="243" t="str">
        <f t="shared" si="142"/>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43"/>
        <v/>
      </c>
      <c r="K972" s="287" t="str">
        <f t="shared" si="144"/>
        <v/>
      </c>
      <c r="L972" s="287" t="str">
        <f t="shared" si="145"/>
        <v/>
      </c>
      <c r="M972" s="290" t="str">
        <f t="shared" si="146"/>
        <v/>
      </c>
      <c r="N972" t="str">
        <f>IF($A972="","",IFERROR(INDEX(Prices[Category],MATCH($A972,Prices[Key],0)),"Uncategorized"))</f>
        <v/>
      </c>
      <c r="O972" s="291" t="str">
        <f t="shared" si="147"/>
        <v/>
      </c>
      <c r="P972" s="291" t="str">
        <f t="shared" si="148"/>
        <v/>
      </c>
    </row>
    <row r="973" spans="1:16" ht="15" customHeight="1" x14ac:dyDescent="0.2">
      <c r="A973" s="243" t="str">
        <f>IFERROR(INDEX('All Ticker P&amp;L'!$A$2:$A$1001,MATCH(ROWS($A$2:A973),'All Ticker P&amp;L'!$N$2:$N$1001,0)),"")</f>
        <v/>
      </c>
      <c r="B973" s="243" t="str">
        <f t="shared" si="140"/>
        <v/>
      </c>
      <c r="C973" s="243" t="str">
        <f t="shared" si="141"/>
        <v/>
      </c>
      <c r="D973" s="243" t="str">
        <f t="shared" si="142"/>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43"/>
        <v/>
      </c>
      <c r="K973" s="287" t="str">
        <f t="shared" si="144"/>
        <v/>
      </c>
      <c r="L973" s="287" t="str">
        <f t="shared" si="145"/>
        <v/>
      </c>
      <c r="M973" s="290" t="str">
        <f t="shared" si="146"/>
        <v/>
      </c>
      <c r="N973" t="str">
        <f>IF($A973="","",IFERROR(INDEX(Prices[Category],MATCH($A973,Prices[Key],0)),"Uncategorized"))</f>
        <v/>
      </c>
      <c r="O973" s="291" t="str">
        <f t="shared" si="147"/>
        <v/>
      </c>
      <c r="P973" s="291" t="str">
        <f t="shared" si="148"/>
        <v/>
      </c>
    </row>
    <row r="974" spans="1:16" ht="15" customHeight="1" x14ac:dyDescent="0.2">
      <c r="A974" s="243" t="str">
        <f>IFERROR(INDEX('All Ticker P&amp;L'!$A$2:$A$1001,MATCH(ROWS($A$2:A974),'All Ticker P&amp;L'!$N$2:$N$1001,0)),"")</f>
        <v/>
      </c>
      <c r="B974" s="243" t="str">
        <f t="shared" si="140"/>
        <v/>
      </c>
      <c r="C974" s="243" t="str">
        <f t="shared" si="141"/>
        <v/>
      </c>
      <c r="D974" s="243" t="str">
        <f t="shared" si="142"/>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43"/>
        <v/>
      </c>
      <c r="K974" s="287" t="str">
        <f t="shared" si="144"/>
        <v/>
      </c>
      <c r="L974" s="287" t="str">
        <f t="shared" si="145"/>
        <v/>
      </c>
      <c r="M974" s="290" t="str">
        <f t="shared" si="146"/>
        <v/>
      </c>
      <c r="N974" t="str">
        <f>IF($A974="","",IFERROR(INDEX(Prices[Category],MATCH($A974,Prices[Key],0)),"Uncategorized"))</f>
        <v/>
      </c>
      <c r="O974" s="291" t="str">
        <f t="shared" si="147"/>
        <v/>
      </c>
      <c r="P974" s="291" t="str">
        <f t="shared" si="148"/>
        <v/>
      </c>
    </row>
    <row r="975" spans="1:16" ht="15" customHeight="1" x14ac:dyDescent="0.2">
      <c r="A975" s="243" t="str">
        <f>IFERROR(INDEX('All Ticker P&amp;L'!$A$2:$A$1001,MATCH(ROWS($A$2:A975),'All Ticker P&amp;L'!$N$2:$N$1001,0)),"")</f>
        <v/>
      </c>
      <c r="B975" s="243" t="str">
        <f t="shared" si="140"/>
        <v/>
      </c>
      <c r="C975" s="243" t="str">
        <f t="shared" si="141"/>
        <v/>
      </c>
      <c r="D975" s="243" t="str">
        <f t="shared" si="142"/>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43"/>
        <v/>
      </c>
      <c r="K975" s="287" t="str">
        <f t="shared" si="144"/>
        <v/>
      </c>
      <c r="L975" s="287" t="str">
        <f t="shared" si="145"/>
        <v/>
      </c>
      <c r="M975" s="290" t="str">
        <f t="shared" si="146"/>
        <v/>
      </c>
      <c r="N975" t="str">
        <f>IF($A975="","",IFERROR(INDEX(Prices[Category],MATCH($A975,Prices[Key],0)),"Uncategorized"))</f>
        <v/>
      </c>
      <c r="O975" s="291" t="str">
        <f t="shared" si="147"/>
        <v/>
      </c>
      <c r="P975" s="291" t="str">
        <f t="shared" si="148"/>
        <v/>
      </c>
    </row>
    <row r="976" spans="1:16" ht="15" customHeight="1" x14ac:dyDescent="0.2">
      <c r="A976" s="243" t="str">
        <f>IFERROR(INDEX('All Ticker P&amp;L'!$A$2:$A$1001,MATCH(ROWS($A$2:A976),'All Ticker P&amp;L'!$N$2:$N$1001,0)),"")</f>
        <v/>
      </c>
      <c r="B976" s="243" t="str">
        <f t="shared" si="140"/>
        <v/>
      </c>
      <c r="C976" s="243" t="str">
        <f t="shared" si="141"/>
        <v/>
      </c>
      <c r="D976" s="243" t="str">
        <f t="shared" si="142"/>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43"/>
        <v/>
      </c>
      <c r="K976" s="287" t="str">
        <f t="shared" si="144"/>
        <v/>
      </c>
      <c r="L976" s="287" t="str">
        <f t="shared" si="145"/>
        <v/>
      </c>
      <c r="M976" s="290" t="str">
        <f t="shared" si="146"/>
        <v/>
      </c>
      <c r="N976" t="str">
        <f>IF($A976="","",IFERROR(INDEX(Prices[Category],MATCH($A976,Prices[Key],0)),"Uncategorized"))</f>
        <v/>
      </c>
      <c r="O976" s="291" t="str">
        <f t="shared" si="147"/>
        <v/>
      </c>
      <c r="P976" s="291" t="str">
        <f t="shared" si="148"/>
        <v/>
      </c>
    </row>
    <row r="977" spans="1:16" ht="15" customHeight="1" x14ac:dyDescent="0.2">
      <c r="A977" s="243" t="str">
        <f>IFERROR(INDEX('All Ticker P&amp;L'!$A$2:$A$1001,MATCH(ROWS($A$2:A977),'All Ticker P&amp;L'!$N$2:$N$1001,0)),"")</f>
        <v/>
      </c>
      <c r="B977" s="243" t="str">
        <f t="shared" si="140"/>
        <v/>
      </c>
      <c r="C977" s="243" t="str">
        <f t="shared" si="141"/>
        <v/>
      </c>
      <c r="D977" s="243" t="str">
        <f t="shared" si="142"/>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43"/>
        <v/>
      </c>
      <c r="K977" s="287" t="str">
        <f t="shared" si="144"/>
        <v/>
      </c>
      <c r="L977" s="287" t="str">
        <f t="shared" si="145"/>
        <v/>
      </c>
      <c r="M977" s="290" t="str">
        <f t="shared" si="146"/>
        <v/>
      </c>
      <c r="N977" t="str">
        <f>IF($A977="","",IFERROR(INDEX(Prices[Category],MATCH($A977,Prices[Key],0)),"Uncategorized"))</f>
        <v/>
      </c>
      <c r="O977" s="291" t="str">
        <f t="shared" si="147"/>
        <v/>
      </c>
      <c r="P977" s="291" t="str">
        <f t="shared" si="148"/>
        <v/>
      </c>
    </row>
    <row r="978" spans="1:16" ht="15" customHeight="1" x14ac:dyDescent="0.2">
      <c r="A978" s="243" t="str">
        <f>IFERROR(INDEX('All Ticker P&amp;L'!$A$2:$A$1001,MATCH(ROWS($A$2:A978),'All Ticker P&amp;L'!$N$2:$N$1001,0)),"")</f>
        <v/>
      </c>
      <c r="B978" s="243" t="str">
        <f t="shared" si="140"/>
        <v/>
      </c>
      <c r="C978" s="243" t="str">
        <f t="shared" si="141"/>
        <v/>
      </c>
      <c r="D978" s="243" t="str">
        <f t="shared" si="142"/>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43"/>
        <v/>
      </c>
      <c r="K978" s="287" t="str">
        <f t="shared" si="144"/>
        <v/>
      </c>
      <c r="L978" s="287" t="str">
        <f t="shared" si="145"/>
        <v/>
      </c>
      <c r="M978" s="290" t="str">
        <f t="shared" si="146"/>
        <v/>
      </c>
      <c r="N978" t="str">
        <f>IF($A978="","",IFERROR(INDEX(Prices[Category],MATCH($A978,Prices[Key],0)),"Uncategorized"))</f>
        <v/>
      </c>
      <c r="O978" s="291" t="str">
        <f t="shared" si="147"/>
        <v/>
      </c>
      <c r="P978" s="291" t="str">
        <f t="shared" si="148"/>
        <v/>
      </c>
    </row>
    <row r="979" spans="1:16" ht="15" customHeight="1" x14ac:dyDescent="0.2">
      <c r="A979" s="243" t="str">
        <f>IFERROR(INDEX('All Ticker P&amp;L'!$A$2:$A$1001,MATCH(ROWS($A$2:A979),'All Ticker P&amp;L'!$N$2:$N$1001,0)),"")</f>
        <v/>
      </c>
      <c r="B979" s="243" t="str">
        <f t="shared" si="140"/>
        <v/>
      </c>
      <c r="C979" s="243" t="str">
        <f t="shared" si="141"/>
        <v/>
      </c>
      <c r="D979" s="243" t="str">
        <f t="shared" si="142"/>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43"/>
        <v/>
      </c>
      <c r="K979" s="287" t="str">
        <f t="shared" si="144"/>
        <v/>
      </c>
      <c r="L979" s="287" t="str">
        <f t="shared" si="145"/>
        <v/>
      </c>
      <c r="M979" s="290" t="str">
        <f t="shared" si="146"/>
        <v/>
      </c>
      <c r="N979" t="str">
        <f>IF($A979="","",IFERROR(INDEX(Prices[Category],MATCH($A979,Prices[Key],0)),"Uncategorized"))</f>
        <v/>
      </c>
      <c r="O979" s="291" t="str">
        <f t="shared" si="147"/>
        <v/>
      </c>
      <c r="P979" s="291" t="str">
        <f t="shared" si="148"/>
        <v/>
      </c>
    </row>
    <row r="980" spans="1:16" ht="15" customHeight="1" x14ac:dyDescent="0.2">
      <c r="A980" s="243" t="str">
        <f>IFERROR(INDEX('All Ticker P&amp;L'!$A$2:$A$1001,MATCH(ROWS($A$2:A980),'All Ticker P&amp;L'!$N$2:$N$1001,0)),"")</f>
        <v/>
      </c>
      <c r="B980" s="243" t="str">
        <f t="shared" si="140"/>
        <v/>
      </c>
      <c r="C980" s="243" t="str">
        <f t="shared" si="141"/>
        <v/>
      </c>
      <c r="D980" s="243" t="str">
        <f t="shared" si="142"/>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43"/>
        <v/>
      </c>
      <c r="K980" s="287" t="str">
        <f t="shared" si="144"/>
        <v/>
      </c>
      <c r="L980" s="287" t="str">
        <f t="shared" si="145"/>
        <v/>
      </c>
      <c r="M980" s="290" t="str">
        <f t="shared" si="146"/>
        <v/>
      </c>
      <c r="N980" t="str">
        <f>IF($A980="","",IFERROR(INDEX(Prices[Category],MATCH($A980,Prices[Key],0)),"Uncategorized"))</f>
        <v/>
      </c>
      <c r="O980" s="291" t="str">
        <f t="shared" si="147"/>
        <v/>
      </c>
      <c r="P980" s="291" t="str">
        <f t="shared" si="148"/>
        <v/>
      </c>
    </row>
    <row r="981" spans="1:16" ht="15" customHeight="1" x14ac:dyDescent="0.2">
      <c r="A981" s="243" t="str">
        <f>IFERROR(INDEX('All Ticker P&amp;L'!$A$2:$A$1001,MATCH(ROWS($A$2:A981),'All Ticker P&amp;L'!$N$2:$N$1001,0)),"")</f>
        <v/>
      </c>
      <c r="B981" s="243" t="str">
        <f t="shared" si="140"/>
        <v/>
      </c>
      <c r="C981" s="243" t="str">
        <f t="shared" si="141"/>
        <v/>
      </c>
      <c r="D981" s="243" t="str">
        <f t="shared" si="142"/>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43"/>
        <v/>
      </c>
      <c r="K981" s="287" t="str">
        <f t="shared" si="144"/>
        <v/>
      </c>
      <c r="L981" s="287" t="str">
        <f t="shared" si="145"/>
        <v/>
      </c>
      <c r="M981" s="290" t="str">
        <f t="shared" si="146"/>
        <v/>
      </c>
      <c r="N981" t="str">
        <f>IF($A981="","",IFERROR(INDEX(Prices[Category],MATCH($A981,Prices[Key],0)),"Uncategorized"))</f>
        <v/>
      </c>
      <c r="O981" s="291" t="str">
        <f t="shared" si="147"/>
        <v/>
      </c>
      <c r="P981" s="291" t="str">
        <f t="shared" si="148"/>
        <v/>
      </c>
    </row>
    <row r="982" spans="1:16" ht="15" customHeight="1" x14ac:dyDescent="0.2">
      <c r="A982" s="243" t="str">
        <f>IFERROR(INDEX('All Ticker P&amp;L'!$A$2:$A$1001,MATCH(ROWS($A$2:A982),'All Ticker P&amp;L'!$N$2:$N$1001,0)),"")</f>
        <v/>
      </c>
      <c r="B982" s="243" t="str">
        <f t="shared" si="140"/>
        <v/>
      </c>
      <c r="C982" s="243" t="str">
        <f t="shared" si="141"/>
        <v/>
      </c>
      <c r="D982" s="243" t="str">
        <f t="shared" si="142"/>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43"/>
        <v/>
      </c>
      <c r="K982" s="287" t="str">
        <f t="shared" si="144"/>
        <v/>
      </c>
      <c r="L982" s="287" t="str">
        <f t="shared" si="145"/>
        <v/>
      </c>
      <c r="M982" s="290" t="str">
        <f t="shared" si="146"/>
        <v/>
      </c>
      <c r="N982" t="str">
        <f>IF($A982="","",IFERROR(INDEX(Prices[Category],MATCH($A982,Prices[Key],0)),"Uncategorized"))</f>
        <v/>
      </c>
      <c r="O982" s="291" t="str">
        <f t="shared" si="147"/>
        <v/>
      </c>
      <c r="P982" s="291" t="str">
        <f t="shared" si="148"/>
        <v/>
      </c>
    </row>
    <row r="983" spans="1:16" ht="15" customHeight="1" x14ac:dyDescent="0.2">
      <c r="A983" s="243" t="str">
        <f>IFERROR(INDEX('All Ticker P&amp;L'!$A$2:$A$1001,MATCH(ROWS($A$2:A983),'All Ticker P&amp;L'!$N$2:$N$1001,0)),"")</f>
        <v/>
      </c>
      <c r="B983" s="243" t="str">
        <f t="shared" si="140"/>
        <v/>
      </c>
      <c r="C983" s="243" t="str">
        <f t="shared" si="141"/>
        <v/>
      </c>
      <c r="D983" s="243" t="str">
        <f t="shared" si="142"/>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43"/>
        <v/>
      </c>
      <c r="K983" s="287" t="str">
        <f t="shared" si="144"/>
        <v/>
      </c>
      <c r="L983" s="287" t="str">
        <f t="shared" si="145"/>
        <v/>
      </c>
      <c r="M983" s="290" t="str">
        <f t="shared" si="146"/>
        <v/>
      </c>
      <c r="N983" t="str">
        <f>IF($A983="","",IFERROR(INDEX(Prices[Category],MATCH($A983,Prices[Key],0)),"Uncategorized"))</f>
        <v/>
      </c>
      <c r="O983" s="291" t="str">
        <f t="shared" si="147"/>
        <v/>
      </c>
      <c r="P983" s="291" t="str">
        <f t="shared" si="148"/>
        <v/>
      </c>
    </row>
    <row r="984" spans="1:16" ht="15" customHeight="1" x14ac:dyDescent="0.2">
      <c r="A984" s="243" t="str">
        <f>IFERROR(INDEX('All Ticker P&amp;L'!$A$2:$A$1001,MATCH(ROWS($A$2:A984),'All Ticker P&amp;L'!$N$2:$N$1001,0)),"")</f>
        <v/>
      </c>
      <c r="B984" s="243" t="str">
        <f t="shared" si="140"/>
        <v/>
      </c>
      <c r="C984" s="243" t="str">
        <f t="shared" si="141"/>
        <v/>
      </c>
      <c r="D984" s="243" t="str">
        <f t="shared" si="142"/>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43"/>
        <v/>
      </c>
      <c r="K984" s="287" t="str">
        <f t="shared" si="144"/>
        <v/>
      </c>
      <c r="L984" s="287" t="str">
        <f t="shared" si="145"/>
        <v/>
      </c>
      <c r="M984" s="290" t="str">
        <f t="shared" si="146"/>
        <v/>
      </c>
      <c r="N984" t="str">
        <f>IF($A984="","",IFERROR(INDEX(Prices[Category],MATCH($A984,Prices[Key],0)),"Uncategorized"))</f>
        <v/>
      </c>
      <c r="O984" s="291" t="str">
        <f t="shared" si="147"/>
        <v/>
      </c>
      <c r="P984" s="291" t="str">
        <f t="shared" si="148"/>
        <v/>
      </c>
    </row>
    <row r="985" spans="1:16" ht="15" customHeight="1" x14ac:dyDescent="0.2">
      <c r="A985" s="243" t="str">
        <f>IFERROR(INDEX('All Ticker P&amp;L'!$A$2:$A$1001,MATCH(ROWS($A$2:A985),'All Ticker P&amp;L'!$N$2:$N$1001,0)),"")</f>
        <v/>
      </c>
      <c r="B985" s="243" t="str">
        <f t="shared" si="140"/>
        <v/>
      </c>
      <c r="C985" s="243" t="str">
        <f t="shared" si="141"/>
        <v/>
      </c>
      <c r="D985" s="243" t="str">
        <f t="shared" si="142"/>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43"/>
        <v/>
      </c>
      <c r="K985" s="287" t="str">
        <f t="shared" si="144"/>
        <v/>
      </c>
      <c r="L985" s="287" t="str">
        <f t="shared" si="145"/>
        <v/>
      </c>
      <c r="M985" s="290" t="str">
        <f t="shared" si="146"/>
        <v/>
      </c>
      <c r="N985" t="str">
        <f>IF($A985="","",IFERROR(INDEX(Prices[Category],MATCH($A985,Prices[Key],0)),"Uncategorized"))</f>
        <v/>
      </c>
      <c r="O985" s="291" t="str">
        <f t="shared" si="147"/>
        <v/>
      </c>
      <c r="P985" s="291" t="str">
        <f t="shared" si="148"/>
        <v/>
      </c>
    </row>
    <row r="986" spans="1:16" ht="15" customHeight="1" x14ac:dyDescent="0.2">
      <c r="A986" s="243" t="str">
        <f>IFERROR(INDEX('All Ticker P&amp;L'!$A$2:$A$1001,MATCH(ROWS($A$2:A986),'All Ticker P&amp;L'!$N$2:$N$1001,0)),"")</f>
        <v/>
      </c>
      <c r="B986" s="243" t="str">
        <f t="shared" si="140"/>
        <v/>
      </c>
      <c r="C986" s="243" t="str">
        <f t="shared" si="141"/>
        <v/>
      </c>
      <c r="D986" s="243" t="str">
        <f t="shared" si="142"/>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43"/>
        <v/>
      </c>
      <c r="K986" s="287" t="str">
        <f t="shared" si="144"/>
        <v/>
      </c>
      <c r="L986" s="287" t="str">
        <f t="shared" si="145"/>
        <v/>
      </c>
      <c r="M986" s="290" t="str">
        <f t="shared" si="146"/>
        <v/>
      </c>
      <c r="N986" t="str">
        <f>IF($A986="","",IFERROR(INDEX(Prices[Category],MATCH($A986,Prices[Key],0)),"Uncategorized"))</f>
        <v/>
      </c>
      <c r="O986" s="291" t="str">
        <f t="shared" si="147"/>
        <v/>
      </c>
      <c r="P986" s="291" t="str">
        <f t="shared" si="148"/>
        <v/>
      </c>
    </row>
    <row r="987" spans="1:16" ht="15" customHeight="1" x14ac:dyDescent="0.2">
      <c r="A987" s="243" t="str">
        <f>IFERROR(INDEX('All Ticker P&amp;L'!$A$2:$A$1001,MATCH(ROWS($A$2:A987),'All Ticker P&amp;L'!$N$2:$N$1001,0)),"")</f>
        <v/>
      </c>
      <c r="B987" s="243" t="str">
        <f t="shared" si="140"/>
        <v/>
      </c>
      <c r="C987" s="243" t="str">
        <f t="shared" si="141"/>
        <v/>
      </c>
      <c r="D987" s="243" t="str">
        <f t="shared" si="142"/>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43"/>
        <v/>
      </c>
      <c r="K987" s="287" t="str">
        <f t="shared" si="144"/>
        <v/>
      </c>
      <c r="L987" s="287" t="str">
        <f t="shared" si="145"/>
        <v/>
      </c>
      <c r="M987" s="290" t="str">
        <f t="shared" si="146"/>
        <v/>
      </c>
      <c r="N987" t="str">
        <f>IF($A987="","",IFERROR(INDEX(Prices[Category],MATCH($A987,Prices[Key],0)),"Uncategorized"))</f>
        <v/>
      </c>
      <c r="O987" s="291" t="str">
        <f t="shared" si="147"/>
        <v/>
      </c>
      <c r="P987" s="291" t="str">
        <f t="shared" si="148"/>
        <v/>
      </c>
    </row>
    <row r="988" spans="1:16" ht="15" customHeight="1" x14ac:dyDescent="0.2">
      <c r="A988" s="243" t="str">
        <f>IFERROR(INDEX('All Ticker P&amp;L'!$A$2:$A$1001,MATCH(ROWS($A$2:A988),'All Ticker P&amp;L'!$N$2:$N$1001,0)),"")</f>
        <v/>
      </c>
      <c r="B988" s="243" t="str">
        <f t="shared" si="140"/>
        <v/>
      </c>
      <c r="C988" s="243" t="str">
        <f t="shared" si="141"/>
        <v/>
      </c>
      <c r="D988" s="243" t="str">
        <f t="shared" si="142"/>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43"/>
        <v/>
      </c>
      <c r="K988" s="287" t="str">
        <f t="shared" si="144"/>
        <v/>
      </c>
      <c r="L988" s="287" t="str">
        <f t="shared" si="145"/>
        <v/>
      </c>
      <c r="M988" s="290" t="str">
        <f t="shared" si="146"/>
        <v/>
      </c>
      <c r="N988" t="str">
        <f>IF($A988="","",IFERROR(INDEX(Prices[Category],MATCH($A988,Prices[Key],0)),"Uncategorized"))</f>
        <v/>
      </c>
      <c r="O988" s="291" t="str">
        <f t="shared" si="147"/>
        <v/>
      </c>
      <c r="P988" s="291" t="str">
        <f t="shared" si="148"/>
        <v/>
      </c>
    </row>
    <row r="989" spans="1:16" ht="15" customHeight="1" x14ac:dyDescent="0.2">
      <c r="A989" s="243" t="str">
        <f>IFERROR(INDEX('All Ticker P&amp;L'!$A$2:$A$1001,MATCH(ROWS($A$2:A989),'All Ticker P&amp;L'!$N$2:$N$1001,0)),"")</f>
        <v/>
      </c>
      <c r="B989" s="243" t="str">
        <f t="shared" si="140"/>
        <v/>
      </c>
      <c r="C989" s="243" t="str">
        <f t="shared" si="141"/>
        <v/>
      </c>
      <c r="D989" s="243" t="str">
        <f t="shared" si="142"/>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43"/>
        <v/>
      </c>
      <c r="K989" s="287" t="str">
        <f t="shared" si="144"/>
        <v/>
      </c>
      <c r="L989" s="287" t="str">
        <f t="shared" si="145"/>
        <v/>
      </c>
      <c r="M989" s="290" t="str">
        <f t="shared" si="146"/>
        <v/>
      </c>
      <c r="N989" t="str">
        <f>IF($A989="","",IFERROR(INDEX(Prices[Category],MATCH($A989,Prices[Key],0)),"Uncategorized"))</f>
        <v/>
      </c>
      <c r="O989" s="291" t="str">
        <f t="shared" si="147"/>
        <v/>
      </c>
      <c r="P989" s="291" t="str">
        <f t="shared" si="148"/>
        <v/>
      </c>
    </row>
    <row r="990" spans="1:16" ht="15" customHeight="1" x14ac:dyDescent="0.2">
      <c r="A990" s="243" t="str">
        <f>IFERROR(INDEX('All Ticker P&amp;L'!$A$2:$A$1001,MATCH(ROWS($A$2:A990),'All Ticker P&amp;L'!$N$2:$N$1001,0)),"")</f>
        <v/>
      </c>
      <c r="B990" s="243" t="str">
        <f t="shared" si="140"/>
        <v/>
      </c>
      <c r="C990" s="243" t="str">
        <f t="shared" si="141"/>
        <v/>
      </c>
      <c r="D990" s="243" t="str">
        <f t="shared" si="142"/>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43"/>
        <v/>
      </c>
      <c r="K990" s="287" t="str">
        <f t="shared" si="144"/>
        <v/>
      </c>
      <c r="L990" s="287" t="str">
        <f t="shared" si="145"/>
        <v/>
      </c>
      <c r="M990" s="290" t="str">
        <f t="shared" si="146"/>
        <v/>
      </c>
      <c r="N990" t="str">
        <f>IF($A990="","",IFERROR(INDEX(Prices[Category],MATCH($A990,Prices[Key],0)),"Uncategorized"))</f>
        <v/>
      </c>
      <c r="O990" s="291" t="str">
        <f t="shared" si="147"/>
        <v/>
      </c>
      <c r="P990" s="291" t="str">
        <f t="shared" si="148"/>
        <v/>
      </c>
    </row>
    <row r="991" spans="1:16" ht="15" customHeight="1" x14ac:dyDescent="0.2">
      <c r="A991" s="243" t="str">
        <f>IFERROR(INDEX('All Ticker P&amp;L'!$A$2:$A$1001,MATCH(ROWS($A$2:A991),'All Ticker P&amp;L'!$N$2:$N$1001,0)),"")</f>
        <v/>
      </c>
      <c r="B991" s="243" t="str">
        <f t="shared" si="140"/>
        <v/>
      </c>
      <c r="C991" s="243" t="str">
        <f t="shared" si="141"/>
        <v/>
      </c>
      <c r="D991" s="243" t="str">
        <f t="shared" si="142"/>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43"/>
        <v/>
      </c>
      <c r="K991" s="287" t="str">
        <f t="shared" si="144"/>
        <v/>
      </c>
      <c r="L991" s="287" t="str">
        <f t="shared" si="145"/>
        <v/>
      </c>
      <c r="M991" s="290" t="str">
        <f t="shared" si="146"/>
        <v/>
      </c>
      <c r="N991" t="str">
        <f>IF($A991="","",IFERROR(INDEX(Prices[Category],MATCH($A991,Prices[Key],0)),"Uncategorized"))</f>
        <v/>
      </c>
      <c r="O991" s="291" t="str">
        <f t="shared" si="147"/>
        <v/>
      </c>
      <c r="P991" s="291" t="str">
        <f t="shared" si="148"/>
        <v/>
      </c>
    </row>
    <row r="992" spans="1:16" ht="15" customHeight="1" x14ac:dyDescent="0.2">
      <c r="A992" s="243" t="str">
        <f>IFERROR(INDEX('All Ticker P&amp;L'!$A$2:$A$1001,MATCH(ROWS($A$2:A992),'All Ticker P&amp;L'!$N$2:$N$1001,0)),"")</f>
        <v/>
      </c>
      <c r="B992" s="243" t="str">
        <f t="shared" si="140"/>
        <v/>
      </c>
      <c r="C992" s="243" t="str">
        <f t="shared" si="141"/>
        <v/>
      </c>
      <c r="D992" s="243" t="str">
        <f t="shared" si="142"/>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43"/>
        <v/>
      </c>
      <c r="K992" s="287" t="str">
        <f t="shared" si="144"/>
        <v/>
      </c>
      <c r="L992" s="287" t="str">
        <f t="shared" si="145"/>
        <v/>
      </c>
      <c r="M992" s="290" t="str">
        <f t="shared" si="146"/>
        <v/>
      </c>
      <c r="N992" t="str">
        <f>IF($A992="","",IFERROR(INDEX(Prices[Category],MATCH($A992,Prices[Key],0)),"Uncategorized"))</f>
        <v/>
      </c>
      <c r="O992" s="291" t="str">
        <f t="shared" si="147"/>
        <v/>
      </c>
      <c r="P992" s="291" t="str">
        <f t="shared" si="148"/>
        <v/>
      </c>
    </row>
    <row r="993" spans="1:16" ht="15" customHeight="1" x14ac:dyDescent="0.2">
      <c r="A993" s="243" t="str">
        <f>IFERROR(INDEX('All Ticker P&amp;L'!$A$2:$A$1001,MATCH(ROWS($A$2:A993),'All Ticker P&amp;L'!$N$2:$N$1001,0)),"")</f>
        <v/>
      </c>
      <c r="B993" s="243" t="str">
        <f t="shared" si="140"/>
        <v/>
      </c>
      <c r="C993" s="243" t="str">
        <f t="shared" si="141"/>
        <v/>
      </c>
      <c r="D993" s="243" t="str">
        <f t="shared" si="142"/>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43"/>
        <v/>
      </c>
      <c r="K993" s="287" t="str">
        <f t="shared" si="144"/>
        <v/>
      </c>
      <c r="L993" s="287" t="str">
        <f t="shared" si="145"/>
        <v/>
      </c>
      <c r="M993" s="290" t="str">
        <f t="shared" si="146"/>
        <v/>
      </c>
      <c r="N993" t="str">
        <f>IF($A993="","",IFERROR(INDEX(Prices[Category],MATCH($A993,Prices[Key],0)),"Uncategorized"))</f>
        <v/>
      </c>
      <c r="O993" s="291" t="str">
        <f t="shared" si="147"/>
        <v/>
      </c>
      <c r="P993" s="291" t="str">
        <f t="shared" si="148"/>
        <v/>
      </c>
    </row>
    <row r="994" spans="1:16" ht="15" customHeight="1" x14ac:dyDescent="0.2">
      <c r="A994" s="243" t="str">
        <f>IFERROR(INDEX('All Ticker P&amp;L'!$A$2:$A$1001,MATCH(ROWS($A$2:A994),'All Ticker P&amp;L'!$N$2:$N$1001,0)),"")</f>
        <v/>
      </c>
      <c r="B994" s="243" t="str">
        <f t="shared" si="140"/>
        <v/>
      </c>
      <c r="C994" s="243" t="str">
        <f t="shared" si="141"/>
        <v/>
      </c>
      <c r="D994" s="243" t="str">
        <f t="shared" si="142"/>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43"/>
        <v/>
      </c>
      <c r="K994" s="287" t="str">
        <f t="shared" si="144"/>
        <v/>
      </c>
      <c r="L994" s="287" t="str">
        <f t="shared" si="145"/>
        <v/>
      </c>
      <c r="M994" s="290" t="str">
        <f t="shared" si="146"/>
        <v/>
      </c>
      <c r="N994" t="str">
        <f>IF($A994="","",IFERROR(INDEX(Prices[Category],MATCH($A994,Prices[Key],0)),"Uncategorized"))</f>
        <v/>
      </c>
      <c r="O994" s="291" t="str">
        <f t="shared" si="147"/>
        <v/>
      </c>
      <c r="P994" s="291" t="str">
        <f t="shared" si="148"/>
        <v/>
      </c>
    </row>
    <row r="995" spans="1:16" ht="15" customHeight="1" x14ac:dyDescent="0.2">
      <c r="A995" s="243" t="str">
        <f>IFERROR(INDEX('All Ticker P&amp;L'!$A$2:$A$1001,MATCH(ROWS($A$2:A995),'All Ticker P&amp;L'!$N$2:$N$1001,0)),"")</f>
        <v/>
      </c>
      <c r="B995" s="243" t="str">
        <f t="shared" si="140"/>
        <v/>
      </c>
      <c r="C995" s="243" t="str">
        <f t="shared" si="141"/>
        <v/>
      </c>
      <c r="D995" s="243" t="str">
        <f t="shared" si="142"/>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43"/>
        <v/>
      </c>
      <c r="K995" s="287" t="str">
        <f t="shared" si="144"/>
        <v/>
      </c>
      <c r="L995" s="287" t="str">
        <f t="shared" si="145"/>
        <v/>
      </c>
      <c r="M995" s="290" t="str">
        <f t="shared" si="146"/>
        <v/>
      </c>
      <c r="N995" t="str">
        <f>IF($A995="","",IFERROR(INDEX(Prices[Category],MATCH($A995,Prices[Key],0)),"Uncategorized"))</f>
        <v/>
      </c>
      <c r="O995" s="291" t="str">
        <f t="shared" si="147"/>
        <v/>
      </c>
      <c r="P995" s="291" t="str">
        <f t="shared" si="148"/>
        <v/>
      </c>
    </row>
    <row r="996" spans="1:16" ht="15" customHeight="1" x14ac:dyDescent="0.2">
      <c r="A996" s="243" t="str">
        <f>IFERROR(INDEX('All Ticker P&amp;L'!$A$2:$A$1001,MATCH(ROWS($A$2:A996),'All Ticker P&amp;L'!$N$2:$N$1001,0)),"")</f>
        <v/>
      </c>
      <c r="B996" s="243" t="str">
        <f t="shared" si="140"/>
        <v/>
      </c>
      <c r="C996" s="243" t="str">
        <f t="shared" si="141"/>
        <v/>
      </c>
      <c r="D996" s="243" t="str">
        <f t="shared" si="142"/>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43"/>
        <v/>
      </c>
      <c r="K996" s="287" t="str">
        <f t="shared" si="144"/>
        <v/>
      </c>
      <c r="L996" s="287" t="str">
        <f t="shared" si="145"/>
        <v/>
      </c>
      <c r="M996" s="290" t="str">
        <f t="shared" si="146"/>
        <v/>
      </c>
      <c r="N996" t="str">
        <f>IF($A996="","",IFERROR(INDEX(Prices[Category],MATCH($A996,Prices[Key],0)),"Uncategorized"))</f>
        <v/>
      </c>
      <c r="O996" s="291" t="str">
        <f t="shared" si="147"/>
        <v/>
      </c>
      <c r="P996" s="291" t="str">
        <f t="shared" si="148"/>
        <v/>
      </c>
    </row>
    <row r="997" spans="1:16" ht="15" customHeight="1" x14ac:dyDescent="0.2">
      <c r="A997" s="243" t="str">
        <f>IFERROR(INDEX('All Ticker P&amp;L'!$A$2:$A$1001,MATCH(ROWS($A$2:A997),'All Ticker P&amp;L'!$N$2:$N$1001,0)),"")</f>
        <v/>
      </c>
      <c r="B997" s="243" t="str">
        <f t="shared" si="140"/>
        <v/>
      </c>
      <c r="C997" s="243" t="str">
        <f t="shared" si="141"/>
        <v/>
      </c>
      <c r="D997" s="243" t="str">
        <f t="shared" si="142"/>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43"/>
        <v/>
      </c>
      <c r="K997" s="287" t="str">
        <f t="shared" si="144"/>
        <v/>
      </c>
      <c r="L997" s="287" t="str">
        <f t="shared" si="145"/>
        <v/>
      </c>
      <c r="M997" s="290" t="str">
        <f t="shared" si="146"/>
        <v/>
      </c>
      <c r="N997" t="str">
        <f>IF($A997="","",IFERROR(INDEX(Prices[Category],MATCH($A997,Prices[Key],0)),"Uncategorized"))</f>
        <v/>
      </c>
      <c r="O997" s="291" t="str">
        <f t="shared" si="147"/>
        <v/>
      </c>
      <c r="P997" s="291" t="str">
        <f t="shared" si="148"/>
        <v/>
      </c>
    </row>
    <row r="998" spans="1:16" ht="15" customHeight="1" x14ac:dyDescent="0.2">
      <c r="A998" s="243" t="str">
        <f>IFERROR(INDEX('All Ticker P&amp;L'!$A$2:$A$1001,MATCH(ROWS($A$2:A998),'All Ticker P&amp;L'!$N$2:$N$1001,0)),"")</f>
        <v/>
      </c>
      <c r="B998" s="243" t="str">
        <f t="shared" si="140"/>
        <v/>
      </c>
      <c r="C998" s="243" t="str">
        <f t="shared" si="141"/>
        <v/>
      </c>
      <c r="D998" s="243" t="str">
        <f t="shared" si="142"/>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43"/>
        <v/>
      </c>
      <c r="K998" s="287" t="str">
        <f t="shared" si="144"/>
        <v/>
      </c>
      <c r="L998" s="287" t="str">
        <f t="shared" si="145"/>
        <v/>
      </c>
      <c r="M998" s="290" t="str">
        <f t="shared" si="146"/>
        <v/>
      </c>
      <c r="N998" t="str">
        <f>IF($A998="","",IFERROR(INDEX(Prices[Category],MATCH($A998,Prices[Key],0)),"Uncategorized"))</f>
        <v/>
      </c>
      <c r="O998" s="291" t="str">
        <f t="shared" si="147"/>
        <v/>
      </c>
      <c r="P998" s="291" t="str">
        <f t="shared" si="148"/>
        <v/>
      </c>
    </row>
    <row r="999" spans="1:16" ht="15" customHeight="1" x14ac:dyDescent="0.2">
      <c r="A999" s="243" t="str">
        <f>IFERROR(INDEX('All Ticker P&amp;L'!$A$2:$A$1001,MATCH(ROWS($A$2:A999),'All Ticker P&amp;L'!$N$2:$N$1001,0)),"")</f>
        <v/>
      </c>
      <c r="B999" s="243" t="str">
        <f t="shared" si="140"/>
        <v/>
      </c>
      <c r="C999" s="243" t="str">
        <f t="shared" si="141"/>
        <v/>
      </c>
      <c r="D999" s="243" t="str">
        <f t="shared" si="142"/>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43"/>
        <v/>
      </c>
      <c r="K999" s="287" t="str">
        <f t="shared" si="144"/>
        <v/>
      </c>
      <c r="L999" s="287" t="str">
        <f t="shared" si="145"/>
        <v/>
      </c>
      <c r="M999" s="290" t="str">
        <f t="shared" si="146"/>
        <v/>
      </c>
      <c r="N999" t="str">
        <f>IF($A999="","",IFERROR(INDEX(Prices[Category],MATCH($A999,Prices[Key],0)),"Uncategorized"))</f>
        <v/>
      </c>
      <c r="O999" s="291" t="str">
        <f t="shared" si="147"/>
        <v/>
      </c>
      <c r="P999" s="291" t="str">
        <f t="shared" si="148"/>
        <v/>
      </c>
    </row>
    <row r="1000" spans="1:16" ht="15" customHeight="1" x14ac:dyDescent="0.2">
      <c r="A1000" s="243" t="str">
        <f>IFERROR(INDEX('All Ticker P&amp;L'!$A$2:$A$1001,MATCH(ROWS($A$2:A1000),'All Ticker P&amp;L'!$N$2:$N$1001,0)),"")</f>
        <v/>
      </c>
      <c r="B1000" s="243" t="str">
        <f t="shared" si="140"/>
        <v/>
      </c>
      <c r="C1000" s="243" t="str">
        <f t="shared" si="141"/>
        <v/>
      </c>
      <c r="D1000" s="243" t="str">
        <f t="shared" si="142"/>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43"/>
        <v/>
      </c>
      <c r="K1000" s="287" t="str">
        <f t="shared" si="144"/>
        <v/>
      </c>
      <c r="L1000" s="287" t="str">
        <f t="shared" si="145"/>
        <v/>
      </c>
      <c r="M1000" s="290" t="str">
        <f t="shared" si="146"/>
        <v/>
      </c>
      <c r="N1000" t="str">
        <f>IF($A1000="","",IFERROR(INDEX(Prices[Category],MATCH($A1000,Prices[Key],0)),"Uncategorized"))</f>
        <v/>
      </c>
      <c r="O1000" s="291" t="str">
        <f t="shared" si="147"/>
        <v/>
      </c>
      <c r="P1000" s="291" t="str">
        <f t="shared" si="148"/>
        <v/>
      </c>
    </row>
    <row r="1001" spans="1:16" ht="15" customHeight="1" x14ac:dyDescent="0.2">
      <c r="A1001" s="243" t="str">
        <f>IFERROR(INDEX('All Ticker P&amp;L'!$A$2:$A$1001,MATCH(ROWS($A$2:A1001),'All Ticker P&amp;L'!$N$2:$N$1001,0)),"")</f>
        <v/>
      </c>
      <c r="B1001" s="243" t="str">
        <f t="shared" si="140"/>
        <v/>
      </c>
      <c r="C1001" s="243" t="str">
        <f t="shared" si="141"/>
        <v/>
      </c>
      <c r="D1001" s="243" t="str">
        <f t="shared" si="142"/>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43"/>
        <v/>
      </c>
      <c r="K1001" s="287" t="str">
        <f t="shared" si="144"/>
        <v/>
      </c>
      <c r="L1001" s="287" t="str">
        <f t="shared" si="145"/>
        <v/>
      </c>
      <c r="M1001" s="290" t="str">
        <f t="shared" si="146"/>
        <v/>
      </c>
      <c r="N1001" t="str">
        <f>IF($A1001="","",IFERROR(INDEX(Prices[Category],MATCH($A1001,Prices[Key],0)),"Uncategorized"))</f>
        <v/>
      </c>
      <c r="O1001" s="291" t="str">
        <f t="shared" si="147"/>
        <v/>
      </c>
      <c r="P1001" s="291"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6" t="s">
        <v>395</v>
      </c>
      <c r="B1" s="296" t="s">
        <v>387</v>
      </c>
      <c r="C1" s="296" t="s">
        <v>388</v>
      </c>
      <c r="D1" s="296" t="s">
        <v>390</v>
      </c>
      <c r="E1" s="296" t="s">
        <v>496</v>
      </c>
      <c r="F1" s="296" t="s">
        <v>510</v>
      </c>
      <c r="G1" s="296" t="s">
        <v>511</v>
      </c>
      <c r="H1" s="296" t="s">
        <v>423</v>
      </c>
      <c r="I1" s="296" t="s">
        <v>424</v>
      </c>
      <c r="J1" s="296" t="s">
        <v>512</v>
      </c>
      <c r="K1" s="296" t="s">
        <v>513</v>
      </c>
      <c r="L1" s="296" t="s">
        <v>514</v>
      </c>
      <c r="M1" s="296" t="s">
        <v>515</v>
      </c>
      <c r="N1" s="243" t="s">
        <v>528</v>
      </c>
      <c r="O1" s="243" t="s">
        <v>529</v>
      </c>
      <c r="P1" s="243" t="s">
        <v>530</v>
      </c>
      <c r="Q1" s="243" t="s">
        <v>531</v>
      </c>
    </row>
    <row r="2" spans="1:17" ht="15" customHeight="1" x14ac:dyDescent="0.2">
      <c r="A2" s="243" t="str">
        <f>IFERROR(INDEX(Txn[Key],MATCH(0,INDEX(COUNTIF($A$1:A1,Txn[Key])+(Txn[Key]=""),0),0)),"")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s="243">
        <f>IF($A2="","",IF(ABS(E2)&gt;0.000001,COUNT($N$1:N1)+1,""))</f>
        <v>1</v>
      </c>
      <c r="O2" s="291">
        <f>IF($A2="","",SUMIFS(Transactions!$H$2:$H$1001,Transactions!$J$2:$J$1001,$A2,Transactions!$A$2:$A$1001,2)*$I2)</f>
        <v>0</v>
      </c>
      <c r="P2" s="291">
        <f t="shared" ref="P2:P65" si="7">IF($A2="","",$L2+$O2)</f>
        <v>22627</v>
      </c>
      <c r="Q2" s="292">
        <f t="shared" ref="Q2:Q65" si="8">IF($A2="","",IFERROR(($L2+$O2)/($F2*$I2),0))</f>
        <v>0.40769369369369368</v>
      </c>
    </row>
    <row r="3" spans="1:17" ht="15" customHeight="1" x14ac:dyDescent="0.2">
      <c r="A3" s="243" t="str">
        <f>IFERROR(INDEX(Txn[Key],MATCH(0,INDEX(COUNTIF($A$1:A2,Txn[Key])+(Txn[Key]=""),0),0)),"")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s="243">
        <f>IF($A3="","",IF(ABS(E3)&gt;0.000001,COUNT($N$1:N2)+1,""))</f>
        <v>2</v>
      </c>
      <c r="O3" s="291">
        <f>IF($A3="","",SUMIFS(Transactions!$H$2:$H$1001,Transactions!$J$2:$J$1001,$A3,Transactions!$A$2:$A$1001,2)*$I3)</f>
        <v>200</v>
      </c>
      <c r="P3" s="291">
        <f t="shared" si="7"/>
        <v>2335</v>
      </c>
      <c r="Q3" s="292">
        <f t="shared" si="8"/>
        <v>0.25040214477211797</v>
      </c>
    </row>
    <row r="4" spans="1:17" ht="15" customHeight="1" x14ac:dyDescent="0.2">
      <c r="A4" s="243" t="str">
        <f>IFERROR(INDEX(Txn[Key],MATCH(0,INDEX(COUNTIF($A$1:A3,Txn[Key])+(Txn[Key]=""),0),0)),"")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s="243">
        <f>IF($A4="","",IF(ABS(E4)&gt;0.000001,COUNT($N$1:N3)+1,""))</f>
        <v>3</v>
      </c>
      <c r="O4" s="291">
        <f>IF($A4="","",SUMIFS(Transactions!$H$2:$H$1001,Transactions!$J$2:$J$1001,$A4,Transactions!$A$2:$A$1001,2)*$I4)</f>
        <v>0</v>
      </c>
      <c r="P4" s="291">
        <f t="shared" si="7"/>
        <v>8907.4478675130504</v>
      </c>
      <c r="Q4" s="292">
        <f t="shared" si="8"/>
        <v>0.75631174533479706</v>
      </c>
    </row>
    <row r="5" spans="1:17" ht="15" customHeight="1" x14ac:dyDescent="0.2">
      <c r="A5" s="243" t="str">
        <f>IFERROR(INDEX(Txn[Key],MATCH(0,INDEX(COUNTIF($A$1:A4,Txn[Key])+(Txn[Key]=""),0),0)),"")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s="243">
        <f>IF($A5="","",IF(ABS(E5)&gt;0.000001,COUNT($N$1:N4)+1,""))</f>
        <v>4</v>
      </c>
      <c r="O5" s="291">
        <f>IF($A5="","",SUMIFS(Transactions!$H$2:$H$1001,Transactions!$J$2:$J$1001,$A5,Transactions!$A$2:$A$1001,2)*$I5)</f>
        <v>580</v>
      </c>
      <c r="P5" s="291">
        <f t="shared" si="7"/>
        <v>750</v>
      </c>
      <c r="Q5" s="292">
        <f t="shared" si="8"/>
        <v>4.6439628482972138E-2</v>
      </c>
    </row>
    <row r="6" spans="1:17" ht="15" customHeight="1" x14ac:dyDescent="0.2">
      <c r="A6" s="243" t="str">
        <f>IFERROR(INDEX(Txn[Key],MATCH(0,INDEX(COUNTIF($A$1:A5,Txn[Key])+(Txn[Key]=""),0),0)),"")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s="243">
        <f>IF($A6="","",IF(ABS(E6)&gt;0.000001,COUNT($N$1:N5)+1,""))</f>
        <v>5</v>
      </c>
      <c r="O6" s="291">
        <f>IF($A6="","",SUMIFS(Transactions!$H$2:$H$1001,Transactions!$J$2:$J$1001,$A6,Transactions!$A$2:$A$1001,2)*$I6)</f>
        <v>0</v>
      </c>
      <c r="P6" s="291">
        <f t="shared" si="7"/>
        <v>10860.836963969468</v>
      </c>
      <c r="Q6" s="292">
        <f t="shared" si="8"/>
        <v>4.5410627027027024</v>
      </c>
    </row>
    <row r="7" spans="1:17" ht="15" customHeight="1" x14ac:dyDescent="0.2">
      <c r="A7" s="243" t="str">
        <f>IFERROR(INDEX(Txn[Key],MATCH(0,INDEX(COUNTIF($A$1:A6,Txn[Key])+(Txn[Key]=""),0),0)),"")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s="243">
        <f>IF($A7="","",IF(ABS(E7)&gt;0.000001,COUNT($N$1:N6)+1,""))</f>
        <v>6</v>
      </c>
      <c r="O7" s="291">
        <f>IF($A7="","",SUMIFS(Transactions!$H$2:$H$1001,Transactions!$J$2:$J$1001,$A7,Transactions!$A$2:$A$1001,2)*$I7)</f>
        <v>0</v>
      </c>
      <c r="P7" s="291">
        <f t="shared" si="7"/>
        <v>-1860.0662895964892</v>
      </c>
      <c r="Q7" s="292">
        <f t="shared" si="8"/>
        <v>-0.18768718801996673</v>
      </c>
    </row>
    <row r="8" spans="1:17" ht="15" customHeight="1" x14ac:dyDescent="0.2">
      <c r="A8" s="243" t="str">
        <f>IFERROR(INDEX(Txn[Key],MATCH(0,INDEX(COUNTIF($A$1:A7,Txn[Key])+(Txn[Key]=""),0),0)),"")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s="243">
        <f>IF($A8="","",IF(ABS(E8)&gt;0.000001,COUNT($N$1:N7)+1,""))</f>
        <v>7</v>
      </c>
      <c r="O8" s="291">
        <f>IF($A8="","",SUMIFS(Transactions!$H$2:$H$1001,Transactions!$J$2:$J$1001,$A8,Transactions!$A$2:$A$1001,2)*$I8)</f>
        <v>0</v>
      </c>
      <c r="P8" s="291">
        <f t="shared" si="7"/>
        <v>4906.2067717288865</v>
      </c>
      <c r="Q8" s="292">
        <f t="shared" si="8"/>
        <v>0.82410423452768744</v>
      </c>
    </row>
    <row r="9" spans="1:17" ht="15" customHeight="1" x14ac:dyDescent="0.2">
      <c r="A9" s="243" t="str">
        <f>IFERROR(INDEX(Txn[Key],MATCH(0,INDEX(COUNTIF($A$1:A8,Txn[Key])+(Txn[Key]=""),0),0)),"")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s="243">
        <f>IF($A9="","",IF(ABS(E9)&gt;0.000001,COUNT($N$1:N8)+1,""))</f>
        <v>8</v>
      </c>
      <c r="O9" s="291">
        <f>IF($A9="","",SUMIFS(Transactions!$H$2:$H$1001,Transactions!$J$2:$J$1001,$A9,Transactions!$A$2:$A$1001,2)*$I9)</f>
        <v>310</v>
      </c>
      <c r="P9" s="291">
        <f t="shared" si="7"/>
        <v>-580</v>
      </c>
      <c r="Q9" s="292">
        <f t="shared" si="8"/>
        <v>-4.8945147679324896E-2</v>
      </c>
    </row>
    <row r="10" spans="1:17" ht="15" customHeight="1" x14ac:dyDescent="0.2">
      <c r="A10" s="243" t="str">
        <f>IFERROR(INDEX(Txn[Key],MATCH(0,INDEX(COUNTIF($A$1:A9,Txn[Key])+(Txn[Key]=""),0),0)),"")</f>
        <v>USX:NVDA:USD</v>
      </c>
      <c r="B10" s="243" t="str">
        <f t="shared" si="0"/>
        <v>USX</v>
      </c>
      <c r="C10" s="243" t="str">
        <f t="shared" si="1"/>
        <v>NVDA</v>
      </c>
      <c r="D10" s="243" t="str">
        <f t="shared" si="2"/>
        <v>USD</v>
      </c>
      <c r="E10" s="265">
        <f>IF($A10="","",SUMIFS(Txn[Signed Units],Txn[Key],$A10))</f>
        <v>0</v>
      </c>
      <c r="F10" s="287">
        <f>IF($A10="","",SUMIFS(Txn[Buy Cost],Txn[Key],$A10))</f>
        <v>4805</v>
      </c>
      <c r="G10" s="287">
        <f>IF($A10="","",SUMIFS(Txn[Sell Proceeds],Txn[Key],$A10))</f>
        <v>17995</v>
      </c>
      <c r="H10" s="288">
        <f>IF($A10="","",IFERROR(INDEX(Prices[Current Price],MATCH($A10,Prices[Key],0)),0))</f>
        <v>170</v>
      </c>
      <c r="I10" s="289">
        <f>IF($A10="","",IFERROR(INDEX(Prices[FX to SGD],MATCH($A10,Prices[Key],0)),1))</f>
        <v>1.2928081084924601</v>
      </c>
      <c r="J10" s="287">
        <f t="shared" si="3"/>
        <v>0</v>
      </c>
      <c r="K10" s="287">
        <f t="shared" si="4"/>
        <v>13190</v>
      </c>
      <c r="L10" s="287">
        <f t="shared" si="5"/>
        <v>17052.13895101555</v>
      </c>
      <c r="M10" s="290">
        <f t="shared" si="6"/>
        <v>2.7450572320499478</v>
      </c>
      <c r="N10" s="243" t="str">
        <f>IF($A10="","",IF(ABS(E10)&gt;0.000001,COUNT($N$1:N9)+1,""))</f>
        <v/>
      </c>
      <c r="O10" s="291">
        <f>IF($A10="","",SUMIFS(Transactions!$H$2:$H$1001,Transactions!$J$2:$J$1001,$A10,Transactions!$A$2:$A$1001,2)*$I10)</f>
        <v>0</v>
      </c>
      <c r="P10" s="291">
        <f t="shared" si="7"/>
        <v>17052.13895101555</v>
      </c>
      <c r="Q10" s="292">
        <f t="shared" si="8"/>
        <v>2.7450572320499482</v>
      </c>
    </row>
    <row r="11" spans="1:17" ht="15" customHeight="1" x14ac:dyDescent="0.2">
      <c r="A11" s="243" t="str">
        <f>IFERROR(INDEX(Txn[Key],MATCH(0,INDEX(COUNTIF($A$1:A10,Txn[Key])+(Txn[Key]=""),0),0)),"")</f>
        <v>SGX:CLR:SGD</v>
      </c>
      <c r="B11" s="243" t="str">
        <f t="shared" si="0"/>
        <v>SGX</v>
      </c>
      <c r="C11" s="243" t="str">
        <f t="shared" si="1"/>
        <v>CLR</v>
      </c>
      <c r="D11" s="243" t="str">
        <f t="shared" si="2"/>
        <v>SGD</v>
      </c>
      <c r="E11" s="265">
        <f>IF($A11="","",SUMIFS(Txn[Signed Units],Txn[Key],$A11))</f>
        <v>10000</v>
      </c>
      <c r="F11" s="287">
        <f>IF($A11="","",SUMIFS(Txn[Buy Cost],Txn[Key],$A11))</f>
        <v>7025</v>
      </c>
      <c r="G11" s="287">
        <f>IF($A11="","",SUMIFS(Txn[Sell Proceeds],Txn[Key],$A11))</f>
        <v>0</v>
      </c>
      <c r="H11" s="288">
        <f>IF($A11="","",IFERROR(INDEX(Prices[Current Price],MATCH($A11,Prices[Key],0)),0))</f>
        <v>0.81499999999999995</v>
      </c>
      <c r="I11" s="289">
        <f>IF($A11="","",IFERROR(INDEX(Prices[FX to SGD],MATCH($A11,Prices[Key],0)),1))</f>
        <v>1</v>
      </c>
      <c r="J11" s="287">
        <f t="shared" si="3"/>
        <v>8149.9999999999991</v>
      </c>
      <c r="K11" s="287">
        <f t="shared" si="4"/>
        <v>1124.9999999999991</v>
      </c>
      <c r="L11" s="287">
        <f t="shared" si="5"/>
        <v>1124.9999999999991</v>
      </c>
      <c r="M11" s="290">
        <f t="shared" si="6"/>
        <v>0.16014234875444827</v>
      </c>
      <c r="N11" s="243">
        <f>IF($A11="","",IF(ABS(E11)&gt;0.000001,COUNT($N$1:N10)+1,""))</f>
        <v>9</v>
      </c>
      <c r="O11" s="291">
        <f>IF($A11="","",SUMIFS(Transactions!$H$2:$H$1001,Transactions!$J$2:$J$1001,$A11,Transactions!$A$2:$A$1001,2)*$I11)</f>
        <v>0</v>
      </c>
      <c r="P11" s="291">
        <f t="shared" si="7"/>
        <v>1124.9999999999991</v>
      </c>
      <c r="Q11" s="292">
        <f t="shared" si="8"/>
        <v>0.16014234875444827</v>
      </c>
    </row>
    <row r="12" spans="1:17" ht="15" customHeight="1" x14ac:dyDescent="0.2">
      <c r="A12" s="243" t="str">
        <f>IFERROR(INDEX(Txn[Key],MATCH(0,INDEX(COUNTIF($A$1:A11,Txn[Key])+(Txn[Key]=""),0),0)),"")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s="243" t="str">
        <f>IF($A12="","",IF(ABS(E12)&gt;0.000001,COUNT($N$1:N11)+1,""))</f>
        <v/>
      </c>
      <c r="O12" s="291" t="str">
        <f>IF($A12="","",SUMIFS(Transactions!$H$2:$H$1001,Transactions!$J$2:$J$1001,$A12,Transactions!$A$2:$A$1001,2)*$I12)</f>
        <v/>
      </c>
      <c r="P12" s="291" t="str">
        <f t="shared" si="7"/>
        <v/>
      </c>
      <c r="Q12" s="292" t="str">
        <f t="shared" si="8"/>
        <v/>
      </c>
    </row>
    <row r="13" spans="1:17" ht="15" customHeight="1" x14ac:dyDescent="0.2">
      <c r="A13" s="243" t="str">
        <f>IFERROR(INDEX(Txn[Key],MATCH(0,INDEX(COUNTIF($A$1:A12,Txn[Key])+(Txn[Key]=""),0),0)),"")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s="243" t="str">
        <f>IF($A13="","",IF(ABS(E13)&gt;0.000001,COUNT($N$1:N12)+1,""))</f>
        <v/>
      </c>
      <c r="O13" s="291" t="str">
        <f>IF($A13="","",SUMIFS(Transactions!$H$2:$H$1001,Transactions!$J$2:$J$1001,$A13,Transactions!$A$2:$A$1001,2)*$I13)</f>
        <v/>
      </c>
      <c r="P13" s="291" t="str">
        <f t="shared" si="7"/>
        <v/>
      </c>
      <c r="Q13" s="292" t="str">
        <f t="shared" si="8"/>
        <v/>
      </c>
    </row>
    <row r="14" spans="1:17" ht="15" customHeight="1" x14ac:dyDescent="0.2">
      <c r="A14" s="243" t="str">
        <f>IFERROR(INDEX(Txn[Key],MATCH(0,INDEX(COUNTIF($A$1:A13,Txn[Key])+(Txn[Key]=""),0),0)),"")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s="243" t="str">
        <f>IF($A14="","",IF(ABS(E14)&gt;0.000001,COUNT($N$1:N13)+1,""))</f>
        <v/>
      </c>
      <c r="O14" s="291" t="str">
        <f>IF($A14="","",SUMIFS(Transactions!$H$2:$H$1001,Transactions!$J$2:$J$1001,$A14,Transactions!$A$2:$A$1001,2)*$I14)</f>
        <v/>
      </c>
      <c r="P14" s="291" t="str">
        <f t="shared" si="7"/>
        <v/>
      </c>
      <c r="Q14" s="292" t="str">
        <f t="shared" si="8"/>
        <v/>
      </c>
    </row>
    <row r="15" spans="1:17" ht="15" customHeight="1" x14ac:dyDescent="0.2">
      <c r="A15" s="243" t="str">
        <f>IFERROR(INDEX(Txn[Key],MATCH(0,INDEX(COUNTIF($A$1:A14,Txn[Key])+(Txn[Key]=""),0),0)),"")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s="243" t="str">
        <f>IF($A15="","",IF(ABS(E15)&gt;0.000001,COUNT($N$1:N14)+1,""))</f>
        <v/>
      </c>
      <c r="O15" s="291" t="str">
        <f>IF($A15="","",SUMIFS(Transactions!$H$2:$H$1001,Transactions!$J$2:$J$1001,$A15,Transactions!$A$2:$A$1001,2)*$I15)</f>
        <v/>
      </c>
      <c r="P15" s="291" t="str">
        <f t="shared" si="7"/>
        <v/>
      </c>
      <c r="Q15" s="292" t="str">
        <f t="shared" si="8"/>
        <v/>
      </c>
    </row>
    <row r="16" spans="1:17" ht="15" customHeight="1" x14ac:dyDescent="0.2">
      <c r="A16" s="243" t="str">
        <f>IFERROR(INDEX(Txn[Key],MATCH(0,INDEX(COUNTIF($A$1:A15,Txn[Key])+(Txn[Key]=""),0),0)),"")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s="243" t="str">
        <f>IF($A16="","",IF(ABS(E16)&gt;0.000001,COUNT($N$1:N15)+1,""))</f>
        <v/>
      </c>
      <c r="O16" s="291" t="str">
        <f>IF($A16="","",SUMIFS(Transactions!$H$2:$H$1001,Transactions!$J$2:$J$1001,$A16,Transactions!$A$2:$A$1001,2)*$I16)</f>
        <v/>
      </c>
      <c r="P16" s="291" t="str">
        <f t="shared" si="7"/>
        <v/>
      </c>
      <c r="Q16" s="292" t="str">
        <f t="shared" si="8"/>
        <v/>
      </c>
    </row>
    <row r="17" spans="1:17" ht="15" customHeight="1" x14ac:dyDescent="0.2">
      <c r="A17" s="243" t="str">
        <f>IFERROR(INDEX(Txn[Key],MATCH(0,INDEX(COUNTIF($A$1:A16,Txn[Key])+(Txn[Key]=""),0),0)),"")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s="243" t="str">
        <f>IF($A17="","",IF(ABS(E17)&gt;0.000001,COUNT($N$1:N16)+1,""))</f>
        <v/>
      </c>
      <c r="O17" s="291" t="str">
        <f>IF($A17="","",SUMIFS(Transactions!$H$2:$H$1001,Transactions!$J$2:$J$1001,$A17,Transactions!$A$2:$A$1001,2)*$I17)</f>
        <v/>
      </c>
      <c r="P17" s="291" t="str">
        <f t="shared" si="7"/>
        <v/>
      </c>
      <c r="Q17" s="292" t="str">
        <f t="shared" si="8"/>
        <v/>
      </c>
    </row>
    <row r="18" spans="1:17" ht="15" customHeight="1" x14ac:dyDescent="0.2">
      <c r="A18" s="243" t="str">
        <f>IFERROR(INDEX(Txn[Key],MATCH(0,INDEX(COUNTIF($A$1:A17,Txn[Key])+(Txn[Key]=""),0),0)),"")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s="243" t="str">
        <f>IF($A18="","",IF(ABS(E18)&gt;0.000001,COUNT($N$1:N17)+1,""))</f>
        <v/>
      </c>
      <c r="O18" s="291" t="str">
        <f>IF($A18="","",SUMIFS(Transactions!$H$2:$H$1001,Transactions!$J$2:$J$1001,$A18,Transactions!$A$2:$A$1001,2)*$I18)</f>
        <v/>
      </c>
      <c r="P18" s="291" t="str">
        <f t="shared" si="7"/>
        <v/>
      </c>
      <c r="Q18" s="292" t="str">
        <f t="shared" si="8"/>
        <v/>
      </c>
    </row>
    <row r="19" spans="1:17" ht="15" customHeight="1" x14ac:dyDescent="0.2">
      <c r="A19" s="243" t="str">
        <f>IFERROR(INDEX(Txn[Key],MATCH(0,INDEX(COUNTIF($A$1:A18,Txn[Key])+(Txn[Key]=""),0),0)),"")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s="243" t="str">
        <f>IF($A19="","",IF(ABS(E19)&gt;0.000001,COUNT($N$1:N18)+1,""))</f>
        <v/>
      </c>
      <c r="O19" s="291" t="str">
        <f>IF($A19="","",SUMIFS(Transactions!$H$2:$H$1001,Transactions!$J$2:$J$1001,$A19,Transactions!$A$2:$A$1001,2)*$I19)</f>
        <v/>
      </c>
      <c r="P19" s="291" t="str">
        <f t="shared" si="7"/>
        <v/>
      </c>
      <c r="Q19" s="292" t="str">
        <f t="shared" si="8"/>
        <v/>
      </c>
    </row>
    <row r="20" spans="1:17" ht="15" customHeight="1" x14ac:dyDescent="0.2">
      <c r="A20" s="243" t="str">
        <f>IFERROR(INDEX(Txn[Key],MATCH(0,INDEX(COUNTIF($A$1:A19,Txn[Key])+(Txn[Key]=""),0),0)),"")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s="243" t="str">
        <f>IF($A20="","",IF(ABS(E20)&gt;0.000001,COUNT($N$1:N19)+1,""))</f>
        <v/>
      </c>
      <c r="O20" s="291" t="str">
        <f>IF($A20="","",SUMIFS(Transactions!$H$2:$H$1001,Transactions!$J$2:$J$1001,$A20,Transactions!$A$2:$A$1001,2)*$I20)</f>
        <v/>
      </c>
      <c r="P20" s="291" t="str">
        <f t="shared" si="7"/>
        <v/>
      </c>
      <c r="Q20" s="292" t="str">
        <f t="shared" si="8"/>
        <v/>
      </c>
    </row>
    <row r="21" spans="1:17" ht="15" customHeight="1" x14ac:dyDescent="0.2">
      <c r="A21" s="243" t="str">
        <f>IFERROR(INDEX(Txn[Key],MATCH(0,INDEX(COUNTIF($A$1:A20,Txn[Key])+(Txn[Key]=""),0),0)),"")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s="243" t="str">
        <f>IF($A21="","",IF(ABS(E21)&gt;0.000001,COUNT($N$1:N20)+1,""))</f>
        <v/>
      </c>
      <c r="O21" s="291" t="str">
        <f>IF($A21="","",SUMIFS(Transactions!$H$2:$H$1001,Transactions!$J$2:$J$1001,$A21,Transactions!$A$2:$A$1001,2)*$I21)</f>
        <v/>
      </c>
      <c r="P21" s="291" t="str">
        <f t="shared" si="7"/>
        <v/>
      </c>
      <c r="Q21" s="292" t="str">
        <f t="shared" si="8"/>
        <v/>
      </c>
    </row>
    <row r="22" spans="1:17" ht="15" customHeight="1" x14ac:dyDescent="0.2">
      <c r="A22" s="243" t="str">
        <f>IFERROR(INDEX(Txn[Key],MATCH(0,INDEX(COUNTIF($A$1:A21,Txn[Key])+(Txn[Key]=""),0),0)),"")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s="243" t="str">
        <f>IF($A22="","",IF(ABS(E22)&gt;0.000001,COUNT($N$1:N21)+1,""))</f>
        <v/>
      </c>
      <c r="O22" s="291" t="str">
        <f>IF($A22="","",SUMIFS(Transactions!$H$2:$H$1001,Transactions!$J$2:$J$1001,$A22,Transactions!$A$2:$A$1001,2)*$I22)</f>
        <v/>
      </c>
      <c r="P22" s="291" t="str">
        <f t="shared" si="7"/>
        <v/>
      </c>
      <c r="Q22" s="292" t="str">
        <f t="shared" si="8"/>
        <v/>
      </c>
    </row>
    <row r="23" spans="1:17" ht="15" customHeight="1" x14ac:dyDescent="0.2">
      <c r="A23" s="243" t="str">
        <f>IFERROR(INDEX(Txn[Key],MATCH(0,INDEX(COUNTIF($A$1:A22,Txn[Key])+(Txn[Key]=""),0),0)),"")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s="243" t="str">
        <f>IF($A23="","",IF(ABS(E23)&gt;0.000001,COUNT($N$1:N22)+1,""))</f>
        <v/>
      </c>
      <c r="O23" s="291" t="str">
        <f>IF($A23="","",SUMIFS(Transactions!$H$2:$H$1001,Transactions!$J$2:$J$1001,$A23,Transactions!$A$2:$A$1001,2)*$I23)</f>
        <v/>
      </c>
      <c r="P23" s="291" t="str">
        <f t="shared" si="7"/>
        <v/>
      </c>
      <c r="Q23" s="292" t="str">
        <f t="shared" si="8"/>
        <v/>
      </c>
    </row>
    <row r="24" spans="1:17" ht="15" customHeight="1" x14ac:dyDescent="0.2">
      <c r="A24" s="243" t="str">
        <f>IFERROR(INDEX(Txn[Key],MATCH(0,INDEX(COUNTIF($A$1:A23,Txn[Key])+(Txn[Key]=""),0),0)),"")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s="243" t="str">
        <f>IF($A24="","",IF(ABS(E24)&gt;0.000001,COUNT($N$1:N23)+1,""))</f>
        <v/>
      </c>
      <c r="O24" s="291" t="str">
        <f>IF($A24="","",SUMIFS(Transactions!$H$2:$H$1001,Transactions!$J$2:$J$1001,$A24,Transactions!$A$2:$A$1001,2)*$I24)</f>
        <v/>
      </c>
      <c r="P24" s="291" t="str">
        <f t="shared" si="7"/>
        <v/>
      </c>
      <c r="Q24" s="292" t="str">
        <f t="shared" si="8"/>
        <v/>
      </c>
    </row>
    <row r="25" spans="1:17" ht="15" customHeight="1" x14ac:dyDescent="0.2">
      <c r="A25" s="243" t="str">
        <f>IFERROR(INDEX(Txn[Key],MATCH(0,INDEX(COUNTIF($A$1:A24,Txn[Key])+(Txn[Key]=""),0),0)),"")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s="243" t="str">
        <f>IF($A25="","",IF(ABS(E25)&gt;0.000001,COUNT($N$1:N24)+1,""))</f>
        <v/>
      </c>
      <c r="O25" s="291" t="str">
        <f>IF($A25="","",SUMIFS(Transactions!$H$2:$H$1001,Transactions!$J$2:$J$1001,$A25,Transactions!$A$2:$A$1001,2)*$I25)</f>
        <v/>
      </c>
      <c r="P25" s="291" t="str">
        <f t="shared" si="7"/>
        <v/>
      </c>
      <c r="Q25" s="292" t="str">
        <f t="shared" si="8"/>
        <v/>
      </c>
    </row>
    <row r="26" spans="1:17" ht="15" customHeight="1" x14ac:dyDescent="0.2">
      <c r="A26" s="243" t="str">
        <f>IFERROR(INDEX(Txn[Key],MATCH(0,INDEX(COUNTIF($A$1:A25,Txn[Key])+(Txn[Key]=""),0),0)),"")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s="243" t="str">
        <f>IF($A26="","",IF(ABS(E26)&gt;0.000001,COUNT($N$1:N25)+1,""))</f>
        <v/>
      </c>
      <c r="O26" s="291" t="str">
        <f>IF($A26="","",SUMIFS(Transactions!$H$2:$H$1001,Transactions!$J$2:$J$1001,$A26,Transactions!$A$2:$A$1001,2)*$I26)</f>
        <v/>
      </c>
      <c r="P26" s="291" t="str">
        <f t="shared" si="7"/>
        <v/>
      </c>
      <c r="Q26" s="292" t="str">
        <f t="shared" si="8"/>
        <v/>
      </c>
    </row>
    <row r="27" spans="1:17" ht="15" customHeight="1" x14ac:dyDescent="0.2">
      <c r="A27" s="243" t="str">
        <f>IFERROR(INDEX(Txn[Key],MATCH(0,INDEX(COUNTIF($A$1:A26,Txn[Key])+(Txn[Key]=""),0),0)),"")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s="243" t="str">
        <f>IF($A27="","",IF(ABS(E27)&gt;0.000001,COUNT($N$1:N26)+1,""))</f>
        <v/>
      </c>
      <c r="O27" s="291" t="str">
        <f>IF($A27="","",SUMIFS(Transactions!$H$2:$H$1001,Transactions!$J$2:$J$1001,$A27,Transactions!$A$2:$A$1001,2)*$I27)</f>
        <v/>
      </c>
      <c r="P27" s="291" t="str">
        <f t="shared" si="7"/>
        <v/>
      </c>
      <c r="Q27" s="292" t="str">
        <f t="shared" si="8"/>
        <v/>
      </c>
    </row>
    <row r="28" spans="1:17" ht="15" customHeight="1" x14ac:dyDescent="0.2">
      <c r="A28" s="243" t="str">
        <f>IFERROR(INDEX(Txn[Key],MATCH(0,INDEX(COUNTIF($A$1:A27,Txn[Key])+(Txn[Key]=""),0),0)),"")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s="243" t="str">
        <f>IF($A28="","",IF(ABS(E28)&gt;0.000001,COUNT($N$1:N27)+1,""))</f>
        <v/>
      </c>
      <c r="O28" s="291" t="str">
        <f>IF($A28="","",SUMIFS(Transactions!$H$2:$H$1001,Transactions!$J$2:$J$1001,$A28,Transactions!$A$2:$A$1001,2)*$I28)</f>
        <v/>
      </c>
      <c r="P28" s="291" t="str">
        <f t="shared" si="7"/>
        <v/>
      </c>
      <c r="Q28" s="292" t="str">
        <f t="shared" si="8"/>
        <v/>
      </c>
    </row>
    <row r="29" spans="1:17" ht="15" customHeight="1" x14ac:dyDescent="0.2">
      <c r="A29" s="243" t="str">
        <f>IFERROR(INDEX(Txn[Key],MATCH(0,INDEX(COUNTIF($A$1:A28,Txn[Key])+(Txn[Key]=""),0),0)),"")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s="243" t="str">
        <f>IF($A29="","",IF(ABS(E29)&gt;0.000001,COUNT($N$1:N28)+1,""))</f>
        <v/>
      </c>
      <c r="O29" s="291" t="str">
        <f>IF($A29="","",SUMIFS(Transactions!$H$2:$H$1001,Transactions!$J$2:$J$1001,$A29,Transactions!$A$2:$A$1001,2)*$I29)</f>
        <v/>
      </c>
      <c r="P29" s="291" t="str">
        <f t="shared" si="7"/>
        <v/>
      </c>
      <c r="Q29" s="292" t="str">
        <f t="shared" si="8"/>
        <v/>
      </c>
    </row>
    <row r="30" spans="1:17" ht="15" customHeight="1" x14ac:dyDescent="0.2">
      <c r="A30" s="243" t="str">
        <f>IFERROR(INDEX(Txn[Key],MATCH(0,INDEX(COUNTIF($A$1:A29,Txn[Key])+(Txn[Key]=""),0),0)),"")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s="243" t="str">
        <f>IF($A30="","",IF(ABS(E30)&gt;0.000001,COUNT($N$1:N29)+1,""))</f>
        <v/>
      </c>
      <c r="O30" s="291" t="str">
        <f>IF($A30="","",SUMIFS(Transactions!$H$2:$H$1001,Transactions!$J$2:$J$1001,$A30,Transactions!$A$2:$A$1001,2)*$I30)</f>
        <v/>
      </c>
      <c r="P30" s="291" t="str">
        <f t="shared" si="7"/>
        <v/>
      </c>
      <c r="Q30" s="292" t="str">
        <f t="shared" si="8"/>
        <v/>
      </c>
    </row>
    <row r="31" spans="1:17" ht="15" customHeight="1" x14ac:dyDescent="0.2">
      <c r="A31" s="243" t="str">
        <f>IFERROR(INDEX(Txn[Key],MATCH(0,INDEX(COUNTIF($A$1:A30,Txn[Key])+(Txn[Key]=""),0),0)),"")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s="243" t="str">
        <f>IF($A31="","",IF(ABS(E31)&gt;0.000001,COUNT($N$1:N30)+1,""))</f>
        <v/>
      </c>
      <c r="O31" s="291" t="str">
        <f>IF($A31="","",SUMIFS(Transactions!$H$2:$H$1001,Transactions!$J$2:$J$1001,$A31,Transactions!$A$2:$A$1001,2)*$I31)</f>
        <v/>
      </c>
      <c r="P31" s="291" t="str">
        <f t="shared" si="7"/>
        <v/>
      </c>
      <c r="Q31" s="292" t="str">
        <f t="shared" si="8"/>
        <v/>
      </c>
    </row>
    <row r="32" spans="1:17" ht="15" customHeight="1" x14ac:dyDescent="0.2">
      <c r="A32" s="243" t="str">
        <f>IFERROR(INDEX(Txn[Key],MATCH(0,INDEX(COUNTIF($A$1:A31,Txn[Key])+(Txn[Key]=""),0),0)),"")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s="243" t="str">
        <f>IF($A32="","",IF(ABS(E32)&gt;0.000001,COUNT($N$1:N31)+1,""))</f>
        <v/>
      </c>
      <c r="O32" s="291" t="str">
        <f>IF($A32="","",SUMIFS(Transactions!$H$2:$H$1001,Transactions!$J$2:$J$1001,$A32,Transactions!$A$2:$A$1001,2)*$I32)</f>
        <v/>
      </c>
      <c r="P32" s="291" t="str">
        <f t="shared" si="7"/>
        <v/>
      </c>
      <c r="Q32" s="292" t="str">
        <f t="shared" si="8"/>
        <v/>
      </c>
    </row>
    <row r="33" spans="1:17" ht="15" customHeight="1" x14ac:dyDescent="0.2">
      <c r="A33" s="243" t="str">
        <f>IFERROR(INDEX(Txn[Key],MATCH(0,INDEX(COUNTIF($A$1:A32,Txn[Key])+(Txn[Key]=""),0),0)),"")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s="243" t="str">
        <f>IF($A33="","",IF(ABS(E33)&gt;0.000001,COUNT($N$1:N32)+1,""))</f>
        <v/>
      </c>
      <c r="O33" s="291" t="str">
        <f>IF($A33="","",SUMIFS(Transactions!$H$2:$H$1001,Transactions!$J$2:$J$1001,$A33,Transactions!$A$2:$A$1001,2)*$I33)</f>
        <v/>
      </c>
      <c r="P33" s="291" t="str">
        <f t="shared" si="7"/>
        <v/>
      </c>
      <c r="Q33" s="292" t="str">
        <f t="shared" si="8"/>
        <v/>
      </c>
    </row>
    <row r="34" spans="1:17" ht="15" customHeight="1" x14ac:dyDescent="0.2">
      <c r="A34" s="243" t="str">
        <f>IFERROR(INDEX(Txn[Key],MATCH(0,INDEX(COUNTIF($A$1:A33,Txn[Key])+(Txn[Key]=""),0),0)),"")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s="243" t="str">
        <f>IF($A34="","",IF(ABS(E34)&gt;0.000001,COUNT($N$1:N33)+1,""))</f>
        <v/>
      </c>
      <c r="O34" s="291" t="str">
        <f>IF($A34="","",SUMIFS(Transactions!$H$2:$H$1001,Transactions!$J$2:$J$1001,$A34,Transactions!$A$2:$A$1001,2)*$I34)</f>
        <v/>
      </c>
      <c r="P34" s="291" t="str">
        <f t="shared" si="7"/>
        <v/>
      </c>
      <c r="Q34" s="292" t="str">
        <f t="shared" si="8"/>
        <v/>
      </c>
    </row>
    <row r="35" spans="1:17" ht="15" customHeight="1" x14ac:dyDescent="0.2">
      <c r="A35" s="243" t="str">
        <f>IFERROR(INDEX(Txn[Key],MATCH(0,INDEX(COUNTIF($A$1:A34,Txn[Key])+(Txn[Key]=""),0),0)),"")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s="243" t="str">
        <f>IF($A35="","",IF(ABS(E35)&gt;0.000001,COUNT($N$1:N34)+1,""))</f>
        <v/>
      </c>
      <c r="O35" s="291" t="str">
        <f>IF($A35="","",SUMIFS(Transactions!$H$2:$H$1001,Transactions!$J$2:$J$1001,$A35,Transactions!$A$2:$A$1001,2)*$I35)</f>
        <v/>
      </c>
      <c r="P35" s="291" t="str">
        <f t="shared" si="7"/>
        <v/>
      </c>
      <c r="Q35" s="292" t="str">
        <f t="shared" si="8"/>
        <v/>
      </c>
    </row>
    <row r="36" spans="1:17" ht="15" customHeight="1" x14ac:dyDescent="0.2">
      <c r="A36" s="243" t="str">
        <f>IFERROR(INDEX(Txn[Key],MATCH(0,INDEX(COUNTIF($A$1:A35,Txn[Key])+(Txn[Key]=""),0),0)),"")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s="243" t="str">
        <f>IF($A36="","",IF(ABS(E36)&gt;0.000001,COUNT($N$1:N35)+1,""))</f>
        <v/>
      </c>
      <c r="O36" s="291" t="str">
        <f>IF($A36="","",SUMIFS(Transactions!$H$2:$H$1001,Transactions!$J$2:$J$1001,$A36,Transactions!$A$2:$A$1001,2)*$I36)</f>
        <v/>
      </c>
      <c r="P36" s="291" t="str">
        <f t="shared" si="7"/>
        <v/>
      </c>
      <c r="Q36" s="292" t="str">
        <f t="shared" si="8"/>
        <v/>
      </c>
    </row>
    <row r="37" spans="1:17" ht="15" customHeight="1" x14ac:dyDescent="0.2">
      <c r="A37" s="243" t="str">
        <f>IFERROR(INDEX(Txn[Key],MATCH(0,INDEX(COUNTIF($A$1:A36,Txn[Key])+(Txn[Key]=""),0),0)),"")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s="243" t="str">
        <f>IF($A37="","",IF(ABS(E37)&gt;0.000001,COUNT($N$1:N36)+1,""))</f>
        <v/>
      </c>
      <c r="O37" s="291" t="str">
        <f>IF($A37="","",SUMIFS(Transactions!$H$2:$H$1001,Transactions!$J$2:$J$1001,$A37,Transactions!$A$2:$A$1001,2)*$I37)</f>
        <v/>
      </c>
      <c r="P37" s="291" t="str">
        <f t="shared" si="7"/>
        <v/>
      </c>
      <c r="Q37" s="292" t="str">
        <f t="shared" si="8"/>
        <v/>
      </c>
    </row>
    <row r="38" spans="1:17" ht="15" customHeight="1" x14ac:dyDescent="0.2">
      <c r="A38" s="243" t="str">
        <f>IFERROR(INDEX(Txn[Key],MATCH(0,INDEX(COUNTIF($A$1:A37,Txn[Key])+(Txn[Key]=""),0),0)),"")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s="243" t="str">
        <f>IF($A38="","",IF(ABS(E38)&gt;0.000001,COUNT($N$1:N37)+1,""))</f>
        <v/>
      </c>
      <c r="O38" s="291" t="str">
        <f>IF($A38="","",SUMIFS(Transactions!$H$2:$H$1001,Transactions!$J$2:$J$1001,$A38,Transactions!$A$2:$A$1001,2)*$I38)</f>
        <v/>
      </c>
      <c r="P38" s="291" t="str">
        <f t="shared" si="7"/>
        <v/>
      </c>
      <c r="Q38" s="292" t="str">
        <f t="shared" si="8"/>
        <v/>
      </c>
    </row>
    <row r="39" spans="1:17" ht="15" customHeight="1" x14ac:dyDescent="0.2">
      <c r="A39" s="243" t="str">
        <f>IFERROR(INDEX(Txn[Key],MATCH(0,INDEX(COUNTIF($A$1:A38,Txn[Key])+(Txn[Key]=""),0),0)),"")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s="243" t="str">
        <f>IF($A39="","",IF(ABS(E39)&gt;0.000001,COUNT($N$1:N38)+1,""))</f>
        <v/>
      </c>
      <c r="O39" s="291" t="str">
        <f>IF($A39="","",SUMIFS(Transactions!$H$2:$H$1001,Transactions!$J$2:$J$1001,$A39,Transactions!$A$2:$A$1001,2)*$I39)</f>
        <v/>
      </c>
      <c r="P39" s="291" t="str">
        <f t="shared" si="7"/>
        <v/>
      </c>
      <c r="Q39" s="292" t="str">
        <f t="shared" si="8"/>
        <v/>
      </c>
    </row>
    <row r="40" spans="1:17" ht="15" customHeight="1" x14ac:dyDescent="0.2">
      <c r="A40" s="243" t="str">
        <f>IFERROR(INDEX(Txn[Key],MATCH(0,INDEX(COUNTIF($A$1:A39,Txn[Key])+(Txn[Key]=""),0),0)),"")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s="243" t="str">
        <f>IF($A40="","",IF(ABS(E40)&gt;0.000001,COUNT($N$1:N39)+1,""))</f>
        <v/>
      </c>
      <c r="O40" s="291" t="str">
        <f>IF($A40="","",SUMIFS(Transactions!$H$2:$H$1001,Transactions!$J$2:$J$1001,$A40,Transactions!$A$2:$A$1001,2)*$I40)</f>
        <v/>
      </c>
      <c r="P40" s="291" t="str">
        <f t="shared" si="7"/>
        <v/>
      </c>
      <c r="Q40" s="292" t="str">
        <f t="shared" si="8"/>
        <v/>
      </c>
    </row>
    <row r="41" spans="1:17" ht="15" customHeight="1" x14ac:dyDescent="0.2">
      <c r="A41" s="243" t="str">
        <f>IFERROR(INDEX(Txn[Key],MATCH(0,INDEX(COUNTIF($A$1:A40,Txn[Key])+(Txn[Key]=""),0),0)),"")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s="243" t="str">
        <f>IF($A41="","",IF(ABS(E41)&gt;0.000001,COUNT($N$1:N40)+1,""))</f>
        <v/>
      </c>
      <c r="O41" s="291" t="str">
        <f>IF($A41="","",SUMIFS(Transactions!$H$2:$H$1001,Transactions!$J$2:$J$1001,$A41,Transactions!$A$2:$A$1001,2)*$I41)</f>
        <v/>
      </c>
      <c r="P41" s="291" t="str">
        <f t="shared" si="7"/>
        <v/>
      </c>
      <c r="Q41" s="292" t="str">
        <f t="shared" si="8"/>
        <v/>
      </c>
    </row>
    <row r="42" spans="1:17" ht="15" customHeight="1" x14ac:dyDescent="0.2">
      <c r="A42" s="243" t="str">
        <f>IFERROR(INDEX(Txn[Key],MATCH(0,INDEX(COUNTIF($A$1:A41,Txn[Key])+(Txn[Key]=""),0),0)),"")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s="243" t="str">
        <f>IF($A42="","",IF(ABS(E42)&gt;0.000001,COUNT($N$1:N41)+1,""))</f>
        <v/>
      </c>
      <c r="O42" s="291" t="str">
        <f>IF($A42="","",SUMIFS(Transactions!$H$2:$H$1001,Transactions!$J$2:$J$1001,$A42,Transactions!$A$2:$A$1001,2)*$I42)</f>
        <v/>
      </c>
      <c r="P42" s="291" t="str">
        <f t="shared" si="7"/>
        <v/>
      </c>
      <c r="Q42" s="292" t="str">
        <f t="shared" si="8"/>
        <v/>
      </c>
    </row>
    <row r="43" spans="1:17" ht="15" customHeight="1" x14ac:dyDescent="0.2">
      <c r="A43" s="243" t="str">
        <f>IFERROR(INDEX(Txn[Key],MATCH(0,INDEX(COUNTIF($A$1:A42,Txn[Key])+(Txn[Key]=""),0),0)),"")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s="243" t="str">
        <f>IF($A43="","",IF(ABS(E43)&gt;0.000001,COUNT($N$1:N42)+1,""))</f>
        <v/>
      </c>
      <c r="O43" s="291" t="str">
        <f>IF($A43="","",SUMIFS(Transactions!$H$2:$H$1001,Transactions!$J$2:$J$1001,$A43,Transactions!$A$2:$A$1001,2)*$I43)</f>
        <v/>
      </c>
      <c r="P43" s="291" t="str">
        <f t="shared" si="7"/>
        <v/>
      </c>
      <c r="Q43" s="292" t="str">
        <f t="shared" si="8"/>
        <v/>
      </c>
    </row>
    <row r="44" spans="1:17" ht="15" customHeight="1" x14ac:dyDescent="0.2">
      <c r="A44" s="243" t="str">
        <f>IFERROR(INDEX(Txn[Key],MATCH(0,INDEX(COUNTIF($A$1:A43,Txn[Key])+(Txn[Key]=""),0),0)),"")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s="243" t="str">
        <f>IF($A44="","",IF(ABS(E44)&gt;0.000001,COUNT($N$1:N43)+1,""))</f>
        <v/>
      </c>
      <c r="O44" s="291" t="str">
        <f>IF($A44="","",SUMIFS(Transactions!$H$2:$H$1001,Transactions!$J$2:$J$1001,$A44,Transactions!$A$2:$A$1001,2)*$I44)</f>
        <v/>
      </c>
      <c r="P44" s="291" t="str">
        <f t="shared" si="7"/>
        <v/>
      </c>
      <c r="Q44" s="292" t="str">
        <f t="shared" si="8"/>
        <v/>
      </c>
    </row>
    <row r="45" spans="1:17" ht="15" customHeight="1" x14ac:dyDescent="0.2">
      <c r="A45" s="243" t="str">
        <f>IFERROR(INDEX(Txn[Key],MATCH(0,INDEX(COUNTIF($A$1:A44,Txn[Key])+(Txn[Key]=""),0),0)),"")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s="243" t="str">
        <f>IF($A45="","",IF(ABS(E45)&gt;0.000001,COUNT($N$1:N44)+1,""))</f>
        <v/>
      </c>
      <c r="O45" s="291" t="str">
        <f>IF($A45="","",SUMIFS(Transactions!$H$2:$H$1001,Transactions!$J$2:$J$1001,$A45,Transactions!$A$2:$A$1001,2)*$I45)</f>
        <v/>
      </c>
      <c r="P45" s="291" t="str">
        <f t="shared" si="7"/>
        <v/>
      </c>
      <c r="Q45" s="292" t="str">
        <f t="shared" si="8"/>
        <v/>
      </c>
    </row>
    <row r="46" spans="1:17" ht="15" customHeight="1" x14ac:dyDescent="0.2">
      <c r="A46" s="243" t="str">
        <f>IFERROR(INDEX(Txn[Key],MATCH(0,INDEX(COUNTIF($A$1:A45,Txn[Key])+(Txn[Key]=""),0),0)),"")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s="243" t="str">
        <f>IF($A46="","",IF(ABS(E46)&gt;0.000001,COUNT($N$1:N45)+1,""))</f>
        <v/>
      </c>
      <c r="O46" s="291" t="str">
        <f>IF($A46="","",SUMIFS(Transactions!$H$2:$H$1001,Transactions!$J$2:$J$1001,$A46,Transactions!$A$2:$A$1001,2)*$I46)</f>
        <v/>
      </c>
      <c r="P46" s="291" t="str">
        <f t="shared" si="7"/>
        <v/>
      </c>
      <c r="Q46" s="292" t="str">
        <f t="shared" si="8"/>
        <v/>
      </c>
    </row>
    <row r="47" spans="1:17" ht="15" customHeight="1" x14ac:dyDescent="0.2">
      <c r="A47" s="243" t="str">
        <f>IFERROR(INDEX(Txn[Key],MATCH(0,INDEX(COUNTIF($A$1:A46,Txn[Key])+(Txn[Key]=""),0),0)),"")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s="243" t="str">
        <f>IF($A47="","",IF(ABS(E47)&gt;0.000001,COUNT($N$1:N46)+1,""))</f>
        <v/>
      </c>
      <c r="O47" s="291" t="str">
        <f>IF($A47="","",SUMIFS(Transactions!$H$2:$H$1001,Transactions!$J$2:$J$1001,$A47,Transactions!$A$2:$A$1001,2)*$I47)</f>
        <v/>
      </c>
      <c r="P47" s="291" t="str">
        <f t="shared" si="7"/>
        <v/>
      </c>
      <c r="Q47" s="292" t="str">
        <f t="shared" si="8"/>
        <v/>
      </c>
    </row>
    <row r="48" spans="1:17" ht="15" customHeight="1" x14ac:dyDescent="0.2">
      <c r="A48" s="243" t="str">
        <f>IFERROR(INDEX(Txn[Key],MATCH(0,INDEX(COUNTIF($A$1:A47,Txn[Key])+(Txn[Key]=""),0),0)),"")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s="243" t="str">
        <f>IF($A48="","",IF(ABS(E48)&gt;0.000001,COUNT($N$1:N47)+1,""))</f>
        <v/>
      </c>
      <c r="O48" s="291" t="str">
        <f>IF($A48="","",SUMIFS(Transactions!$H$2:$H$1001,Transactions!$J$2:$J$1001,$A48,Transactions!$A$2:$A$1001,2)*$I48)</f>
        <v/>
      </c>
      <c r="P48" s="291" t="str">
        <f t="shared" si="7"/>
        <v/>
      </c>
      <c r="Q48" s="292" t="str">
        <f t="shared" si="8"/>
        <v/>
      </c>
    </row>
    <row r="49" spans="1:17" ht="15" customHeight="1" x14ac:dyDescent="0.2">
      <c r="A49" s="243" t="str">
        <f>IFERROR(INDEX(Txn[Key],MATCH(0,INDEX(COUNTIF($A$1:A48,Txn[Key])+(Txn[Key]=""),0),0)),"")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s="243" t="str">
        <f>IF($A49="","",IF(ABS(E49)&gt;0.000001,COUNT($N$1:N48)+1,""))</f>
        <v/>
      </c>
      <c r="O49" s="291" t="str">
        <f>IF($A49="","",SUMIFS(Transactions!$H$2:$H$1001,Transactions!$J$2:$J$1001,$A49,Transactions!$A$2:$A$1001,2)*$I49)</f>
        <v/>
      </c>
      <c r="P49" s="291" t="str">
        <f t="shared" si="7"/>
        <v/>
      </c>
      <c r="Q49" s="292" t="str">
        <f t="shared" si="8"/>
        <v/>
      </c>
    </row>
    <row r="50" spans="1:17" ht="15" customHeight="1" x14ac:dyDescent="0.2">
      <c r="A50" s="243" t="str">
        <f>IFERROR(INDEX(Txn[Key],MATCH(0,INDEX(COUNTIF($A$1:A49,Txn[Key])+(Txn[Key]=""),0),0)),"")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s="243" t="str">
        <f>IF($A50="","",IF(ABS(E50)&gt;0.000001,COUNT($N$1:N49)+1,""))</f>
        <v/>
      </c>
      <c r="O50" s="291" t="str">
        <f>IF($A50="","",SUMIFS(Transactions!$H$2:$H$1001,Transactions!$J$2:$J$1001,$A50,Transactions!$A$2:$A$1001,2)*$I50)</f>
        <v/>
      </c>
      <c r="P50" s="291" t="str">
        <f t="shared" si="7"/>
        <v/>
      </c>
      <c r="Q50" s="292" t="str">
        <f t="shared" si="8"/>
        <v/>
      </c>
    </row>
    <row r="51" spans="1:17" ht="15" customHeight="1" x14ac:dyDescent="0.2">
      <c r="A51" s="243" t="str">
        <f>IFERROR(INDEX(Txn[Key],MATCH(0,INDEX(COUNTIF($A$1:A50,Txn[Key])+(Txn[Key]=""),0),0)),"")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s="243" t="str">
        <f>IF($A51="","",IF(ABS(E51)&gt;0.000001,COUNT($N$1:N50)+1,""))</f>
        <v/>
      </c>
      <c r="O51" s="291" t="str">
        <f>IF($A51="","",SUMIFS(Transactions!$H$2:$H$1001,Transactions!$J$2:$J$1001,$A51,Transactions!$A$2:$A$1001,2)*$I51)</f>
        <v/>
      </c>
      <c r="P51" s="291" t="str">
        <f t="shared" si="7"/>
        <v/>
      </c>
      <c r="Q51" s="292" t="str">
        <f t="shared" si="8"/>
        <v/>
      </c>
    </row>
    <row r="52" spans="1:17" ht="15" customHeight="1" x14ac:dyDescent="0.2">
      <c r="A52" s="243" t="str">
        <f>IFERROR(INDEX(Txn[Key],MATCH(0,INDEX(COUNTIF($A$1:A51,Txn[Key])+(Txn[Key]=""),0),0)),"")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s="243" t="str">
        <f>IF($A52="","",IF(ABS(E52)&gt;0.000001,COUNT($N$1:N51)+1,""))</f>
        <v/>
      </c>
      <c r="O52" s="291" t="str">
        <f>IF($A52="","",SUMIFS(Transactions!$H$2:$H$1001,Transactions!$J$2:$J$1001,$A52,Transactions!$A$2:$A$1001,2)*$I52)</f>
        <v/>
      </c>
      <c r="P52" s="291" t="str">
        <f t="shared" si="7"/>
        <v/>
      </c>
      <c r="Q52" s="292" t="str">
        <f t="shared" si="8"/>
        <v/>
      </c>
    </row>
    <row r="53" spans="1:17" ht="15" customHeight="1" x14ac:dyDescent="0.2">
      <c r="A53" s="243" t="str">
        <f>IFERROR(INDEX(Txn[Key],MATCH(0,INDEX(COUNTIF($A$1:A52,Txn[Key])+(Txn[Key]=""),0),0)),"")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s="243" t="str">
        <f>IF($A53="","",IF(ABS(E53)&gt;0.000001,COUNT($N$1:N52)+1,""))</f>
        <v/>
      </c>
      <c r="O53" s="291" t="str">
        <f>IF($A53="","",SUMIFS(Transactions!$H$2:$H$1001,Transactions!$J$2:$J$1001,$A53,Transactions!$A$2:$A$1001,2)*$I53)</f>
        <v/>
      </c>
      <c r="P53" s="291" t="str">
        <f t="shared" si="7"/>
        <v/>
      </c>
      <c r="Q53" s="292" t="str">
        <f t="shared" si="8"/>
        <v/>
      </c>
    </row>
    <row r="54" spans="1:17" ht="15" customHeight="1" x14ac:dyDescent="0.2">
      <c r="A54" s="243" t="str">
        <f>IFERROR(INDEX(Txn[Key],MATCH(0,INDEX(COUNTIF($A$1:A53,Txn[Key])+(Txn[Key]=""),0),0)),"")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s="243" t="str">
        <f>IF($A54="","",IF(ABS(E54)&gt;0.000001,COUNT($N$1:N53)+1,""))</f>
        <v/>
      </c>
      <c r="O54" s="291" t="str">
        <f>IF($A54="","",SUMIFS(Transactions!$H$2:$H$1001,Transactions!$J$2:$J$1001,$A54,Transactions!$A$2:$A$1001,2)*$I54)</f>
        <v/>
      </c>
      <c r="P54" s="291" t="str">
        <f t="shared" si="7"/>
        <v/>
      </c>
      <c r="Q54" s="292" t="str">
        <f t="shared" si="8"/>
        <v/>
      </c>
    </row>
    <row r="55" spans="1:17" ht="15" customHeight="1" x14ac:dyDescent="0.2">
      <c r="A55" s="243" t="str">
        <f>IFERROR(INDEX(Txn[Key],MATCH(0,INDEX(COUNTIF($A$1:A54,Txn[Key])+(Txn[Key]=""),0),0)),"")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s="243" t="str">
        <f>IF($A55="","",IF(ABS(E55)&gt;0.000001,COUNT($N$1:N54)+1,""))</f>
        <v/>
      </c>
      <c r="O55" s="291" t="str">
        <f>IF($A55="","",SUMIFS(Transactions!$H$2:$H$1001,Transactions!$J$2:$J$1001,$A55,Transactions!$A$2:$A$1001,2)*$I55)</f>
        <v/>
      </c>
      <c r="P55" s="291" t="str">
        <f t="shared" si="7"/>
        <v/>
      </c>
      <c r="Q55" s="292" t="str">
        <f t="shared" si="8"/>
        <v/>
      </c>
    </row>
    <row r="56" spans="1:17" ht="15" customHeight="1" x14ac:dyDescent="0.2">
      <c r="A56" s="243" t="str">
        <f>IFERROR(INDEX(Txn[Key],MATCH(0,INDEX(COUNTIF($A$1:A55,Txn[Key])+(Txn[Key]=""),0),0)),"")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s="243" t="str">
        <f>IF($A56="","",IF(ABS(E56)&gt;0.000001,COUNT($N$1:N55)+1,""))</f>
        <v/>
      </c>
      <c r="O56" s="291" t="str">
        <f>IF($A56="","",SUMIFS(Transactions!$H$2:$H$1001,Transactions!$J$2:$J$1001,$A56,Transactions!$A$2:$A$1001,2)*$I56)</f>
        <v/>
      </c>
      <c r="P56" s="291" t="str">
        <f t="shared" si="7"/>
        <v/>
      </c>
      <c r="Q56" s="292" t="str">
        <f t="shared" si="8"/>
        <v/>
      </c>
    </row>
    <row r="57" spans="1:17" ht="15" customHeight="1" x14ac:dyDescent="0.2">
      <c r="A57" s="243" t="str">
        <f>IFERROR(INDEX(Txn[Key],MATCH(0,INDEX(COUNTIF($A$1:A56,Txn[Key])+(Txn[Key]=""),0),0)),"")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s="243" t="str">
        <f>IF($A57="","",IF(ABS(E57)&gt;0.000001,COUNT($N$1:N56)+1,""))</f>
        <v/>
      </c>
      <c r="O57" s="291" t="str">
        <f>IF($A57="","",SUMIFS(Transactions!$H$2:$H$1001,Transactions!$J$2:$J$1001,$A57,Transactions!$A$2:$A$1001,2)*$I57)</f>
        <v/>
      </c>
      <c r="P57" s="291" t="str">
        <f t="shared" si="7"/>
        <v/>
      </c>
      <c r="Q57" s="292" t="str">
        <f t="shared" si="8"/>
        <v/>
      </c>
    </row>
    <row r="58" spans="1:17" ht="15" customHeight="1" x14ac:dyDescent="0.2">
      <c r="A58" s="243" t="str">
        <f>IFERROR(INDEX(Txn[Key],MATCH(0,INDEX(COUNTIF($A$1:A57,Txn[Key])+(Txn[Key]=""),0),0)),"")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s="243" t="str">
        <f>IF($A58="","",IF(ABS(E58)&gt;0.000001,COUNT($N$1:N57)+1,""))</f>
        <v/>
      </c>
      <c r="O58" s="291" t="str">
        <f>IF($A58="","",SUMIFS(Transactions!$H$2:$H$1001,Transactions!$J$2:$J$1001,$A58,Transactions!$A$2:$A$1001,2)*$I58)</f>
        <v/>
      </c>
      <c r="P58" s="291" t="str">
        <f t="shared" si="7"/>
        <v/>
      </c>
      <c r="Q58" s="292" t="str">
        <f t="shared" si="8"/>
        <v/>
      </c>
    </row>
    <row r="59" spans="1:17" ht="15" customHeight="1" x14ac:dyDescent="0.2">
      <c r="A59" s="243" t="str">
        <f>IFERROR(INDEX(Txn[Key],MATCH(0,INDEX(COUNTIF($A$1:A58,Txn[Key])+(Txn[Key]=""),0),0)),"")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s="243" t="str">
        <f>IF($A59="","",IF(ABS(E59)&gt;0.000001,COUNT($N$1:N58)+1,""))</f>
        <v/>
      </c>
      <c r="O59" s="291" t="str">
        <f>IF($A59="","",SUMIFS(Transactions!$H$2:$H$1001,Transactions!$J$2:$J$1001,$A59,Transactions!$A$2:$A$1001,2)*$I59)</f>
        <v/>
      </c>
      <c r="P59" s="291" t="str">
        <f t="shared" si="7"/>
        <v/>
      </c>
      <c r="Q59" s="292" t="str">
        <f t="shared" si="8"/>
        <v/>
      </c>
    </row>
    <row r="60" spans="1:17" ht="15" customHeight="1" x14ac:dyDescent="0.2">
      <c r="A60" s="243" t="str">
        <f>IFERROR(INDEX(Txn[Key],MATCH(0,INDEX(COUNTIF($A$1:A59,Txn[Key])+(Txn[Key]=""),0),0)),"")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s="243" t="str">
        <f>IF($A60="","",IF(ABS(E60)&gt;0.000001,COUNT($N$1:N59)+1,""))</f>
        <v/>
      </c>
      <c r="O60" s="291" t="str">
        <f>IF($A60="","",SUMIFS(Transactions!$H$2:$H$1001,Transactions!$J$2:$J$1001,$A60,Transactions!$A$2:$A$1001,2)*$I60)</f>
        <v/>
      </c>
      <c r="P60" s="291" t="str">
        <f t="shared" si="7"/>
        <v/>
      </c>
      <c r="Q60" s="292" t="str">
        <f t="shared" si="8"/>
        <v/>
      </c>
    </row>
    <row r="61" spans="1:17" ht="15" customHeight="1" x14ac:dyDescent="0.2">
      <c r="A61" s="243" t="str">
        <f>IFERROR(INDEX(Txn[Key],MATCH(0,INDEX(COUNTIF($A$1:A60,Txn[Key])+(Txn[Key]=""),0),0)),"")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s="243" t="str">
        <f>IF($A61="","",IF(ABS(E61)&gt;0.000001,COUNT($N$1:N60)+1,""))</f>
        <v/>
      </c>
      <c r="O61" s="291" t="str">
        <f>IF($A61="","",SUMIFS(Transactions!$H$2:$H$1001,Transactions!$J$2:$J$1001,$A61,Transactions!$A$2:$A$1001,2)*$I61)</f>
        <v/>
      </c>
      <c r="P61" s="291" t="str">
        <f t="shared" si="7"/>
        <v/>
      </c>
      <c r="Q61" s="292" t="str">
        <f t="shared" si="8"/>
        <v/>
      </c>
    </row>
    <row r="62" spans="1:17" ht="15" customHeight="1" x14ac:dyDescent="0.2">
      <c r="A62" s="243" t="str">
        <f>IFERROR(INDEX(Txn[Key],MATCH(0,INDEX(COUNTIF($A$1:A61,Txn[Key])+(Txn[Key]=""),0),0)),"")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s="243" t="str">
        <f>IF($A62="","",IF(ABS(E62)&gt;0.000001,COUNT($N$1:N61)+1,""))</f>
        <v/>
      </c>
      <c r="O62" s="291" t="str">
        <f>IF($A62="","",SUMIFS(Transactions!$H$2:$H$1001,Transactions!$J$2:$J$1001,$A62,Transactions!$A$2:$A$1001,2)*$I62)</f>
        <v/>
      </c>
      <c r="P62" s="291" t="str">
        <f t="shared" si="7"/>
        <v/>
      </c>
      <c r="Q62" s="292" t="str">
        <f t="shared" si="8"/>
        <v/>
      </c>
    </row>
    <row r="63" spans="1:17" ht="15" customHeight="1" x14ac:dyDescent="0.2">
      <c r="A63" s="243" t="str">
        <f>IFERROR(INDEX(Txn[Key],MATCH(0,INDEX(COUNTIF($A$1:A62,Txn[Key])+(Txn[Key]=""),0),0)),"")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s="243" t="str">
        <f>IF($A63="","",IF(ABS(E63)&gt;0.000001,COUNT($N$1:N62)+1,""))</f>
        <v/>
      </c>
      <c r="O63" s="291" t="str">
        <f>IF($A63="","",SUMIFS(Transactions!$H$2:$H$1001,Transactions!$J$2:$J$1001,$A63,Transactions!$A$2:$A$1001,2)*$I63)</f>
        <v/>
      </c>
      <c r="P63" s="291" t="str">
        <f t="shared" si="7"/>
        <v/>
      </c>
      <c r="Q63" s="292" t="str">
        <f t="shared" si="8"/>
        <v/>
      </c>
    </row>
    <row r="64" spans="1:17" ht="15" customHeight="1" x14ac:dyDescent="0.2">
      <c r="A64" s="243" t="str">
        <f>IFERROR(INDEX(Txn[Key],MATCH(0,INDEX(COUNTIF($A$1:A63,Txn[Key])+(Txn[Key]=""),0),0)),"")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s="243" t="str">
        <f>IF($A64="","",IF(ABS(E64)&gt;0.000001,COUNT($N$1:N63)+1,""))</f>
        <v/>
      </c>
      <c r="O64" s="291" t="str">
        <f>IF($A64="","",SUMIFS(Transactions!$H$2:$H$1001,Transactions!$J$2:$J$1001,$A64,Transactions!$A$2:$A$1001,2)*$I64)</f>
        <v/>
      </c>
      <c r="P64" s="291" t="str">
        <f t="shared" si="7"/>
        <v/>
      </c>
      <c r="Q64" s="292" t="str">
        <f t="shared" si="8"/>
        <v/>
      </c>
    </row>
    <row r="65" spans="1:17" ht="15" customHeight="1" x14ac:dyDescent="0.2">
      <c r="A65" s="243" t="str">
        <f>IFERROR(INDEX(Txn[Key],MATCH(0,INDEX(COUNTIF($A$1:A64,Txn[Key])+(Txn[Key]=""),0),0)),"")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s="243" t="str">
        <f>IF($A65="","",IF(ABS(E65)&gt;0.000001,COUNT($N$1:N64)+1,""))</f>
        <v/>
      </c>
      <c r="O65" s="291" t="str">
        <f>IF($A65="","",SUMIFS(Transactions!$H$2:$H$1001,Transactions!$J$2:$J$1001,$A65,Transactions!$A$2:$A$1001,2)*$I65)</f>
        <v/>
      </c>
      <c r="P65" s="291" t="str">
        <f t="shared" si="7"/>
        <v/>
      </c>
      <c r="Q65" s="292" t="str">
        <f t="shared" si="8"/>
        <v/>
      </c>
    </row>
    <row r="66" spans="1:17" ht="15" customHeight="1" x14ac:dyDescent="0.2">
      <c r="A66" s="243" t="str">
        <f>IFERROR(INDEX(Txn[Key],MATCH(0,INDEX(COUNTIF($A$1:A65,Txn[Key])+(Txn[Key]=""),0),0)),"")</f>
        <v/>
      </c>
      <c r="B66" s="243" t="str">
        <f t="shared" ref="B66:B129" si="9">IF($A66="","",LEFT($A66,FIND(":",$A66)-1))</f>
        <v/>
      </c>
      <c r="C66" s="243" t="str">
        <f t="shared" ref="C66:C129" si="10">IF($A66="","",MID($A66,FIND(":",$A66)+1,FIND(":",$A66,FIND(":",$A66)+1)-FIND(":",$A66)-1))</f>
        <v/>
      </c>
      <c r="D66" s="243" t="str">
        <f t="shared" ref="D66:D129" si="11">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2">IF($A66="","",E66*H66)</f>
        <v/>
      </c>
      <c r="K66" s="287" t="str">
        <f t="shared" ref="K66:K129" si="13">IF($A66="","",J66+G66-F66)</f>
        <v/>
      </c>
      <c r="L66" s="287" t="str">
        <f t="shared" ref="L66:L129" si="14">IF($A66="","",K66*I66)</f>
        <v/>
      </c>
      <c r="M66" s="290" t="str">
        <f t="shared" ref="M66:M129" si="15">IF($A66="","",IFERROR(K66/F66,0))</f>
        <v/>
      </c>
      <c r="N66" s="243" t="str">
        <f>IF($A66="","",IF(ABS(E66)&gt;0.000001,COUNT($N$1:N65)+1,""))</f>
        <v/>
      </c>
      <c r="O66" s="291" t="str">
        <f>IF($A66="","",SUMIFS(Transactions!$H$2:$H$1001,Transactions!$J$2:$J$1001,$A66,Transactions!$A$2:$A$1001,2)*$I66)</f>
        <v/>
      </c>
      <c r="P66" s="291" t="str">
        <f t="shared" ref="P66:P129" si="16">IF($A66="","",$L66+$O66)</f>
        <v/>
      </c>
      <c r="Q66" s="292" t="str">
        <f t="shared" ref="Q66:Q129" si="17">IF($A66="","",IFERROR(($L66+$O66)/($F66*$I66),0))</f>
        <v/>
      </c>
    </row>
    <row r="67" spans="1:17" ht="15" customHeight="1" x14ac:dyDescent="0.2">
      <c r="A67" s="243" t="str">
        <f>IFERROR(INDEX(Txn[Key],MATCH(0,INDEX(COUNTIF($A$1:A66,Txn[Key])+(Txn[Key]=""),0),0)),"")</f>
        <v/>
      </c>
      <c r="B67" s="243" t="str">
        <f t="shared" si="9"/>
        <v/>
      </c>
      <c r="C67" s="243" t="str">
        <f t="shared" si="10"/>
        <v/>
      </c>
      <c r="D67" s="243" t="str">
        <f t="shared" si="11"/>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2"/>
        <v/>
      </c>
      <c r="K67" s="287" t="str">
        <f t="shared" si="13"/>
        <v/>
      </c>
      <c r="L67" s="287" t="str">
        <f t="shared" si="14"/>
        <v/>
      </c>
      <c r="M67" s="290" t="str">
        <f t="shared" si="15"/>
        <v/>
      </c>
      <c r="N67" s="243" t="str">
        <f>IF($A67="","",IF(ABS(E67)&gt;0.000001,COUNT($N$1:N66)+1,""))</f>
        <v/>
      </c>
      <c r="O67" s="291" t="str">
        <f>IF($A67="","",SUMIFS(Transactions!$H$2:$H$1001,Transactions!$J$2:$J$1001,$A67,Transactions!$A$2:$A$1001,2)*$I67)</f>
        <v/>
      </c>
      <c r="P67" s="291" t="str">
        <f t="shared" si="16"/>
        <v/>
      </c>
      <c r="Q67" s="292" t="str">
        <f t="shared" si="17"/>
        <v/>
      </c>
    </row>
    <row r="68" spans="1:17" ht="15" customHeight="1" x14ac:dyDescent="0.2">
      <c r="A68" s="243" t="str">
        <f>IFERROR(INDEX(Txn[Key],MATCH(0,INDEX(COUNTIF($A$1:A67,Txn[Key])+(Txn[Key]=""),0),0)),"")</f>
        <v/>
      </c>
      <c r="B68" s="243" t="str">
        <f t="shared" si="9"/>
        <v/>
      </c>
      <c r="C68" s="243" t="str">
        <f t="shared" si="10"/>
        <v/>
      </c>
      <c r="D68" s="243" t="str">
        <f t="shared" si="11"/>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2"/>
        <v/>
      </c>
      <c r="K68" s="287" t="str">
        <f t="shared" si="13"/>
        <v/>
      </c>
      <c r="L68" s="287" t="str">
        <f t="shared" si="14"/>
        <v/>
      </c>
      <c r="M68" s="290" t="str">
        <f t="shared" si="15"/>
        <v/>
      </c>
      <c r="N68" s="243" t="str">
        <f>IF($A68="","",IF(ABS(E68)&gt;0.000001,COUNT($N$1:N67)+1,""))</f>
        <v/>
      </c>
      <c r="O68" s="291" t="str">
        <f>IF($A68="","",SUMIFS(Transactions!$H$2:$H$1001,Transactions!$J$2:$J$1001,$A68,Transactions!$A$2:$A$1001,2)*$I68)</f>
        <v/>
      </c>
      <c r="P68" s="291" t="str">
        <f t="shared" si="16"/>
        <v/>
      </c>
      <c r="Q68" s="292" t="str">
        <f t="shared" si="17"/>
        <v/>
      </c>
    </row>
    <row r="69" spans="1:17" ht="15" customHeight="1" x14ac:dyDescent="0.2">
      <c r="A69" s="243" t="str">
        <f>IFERROR(INDEX(Txn[Key],MATCH(0,INDEX(COUNTIF($A$1:A68,Txn[Key])+(Txn[Key]=""),0),0)),"")</f>
        <v/>
      </c>
      <c r="B69" s="243" t="str">
        <f t="shared" si="9"/>
        <v/>
      </c>
      <c r="C69" s="243" t="str">
        <f t="shared" si="10"/>
        <v/>
      </c>
      <c r="D69" s="243" t="str">
        <f t="shared" si="11"/>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2"/>
        <v/>
      </c>
      <c r="K69" s="287" t="str">
        <f t="shared" si="13"/>
        <v/>
      </c>
      <c r="L69" s="287" t="str">
        <f t="shared" si="14"/>
        <v/>
      </c>
      <c r="M69" s="290" t="str">
        <f t="shared" si="15"/>
        <v/>
      </c>
      <c r="N69" s="243" t="str">
        <f>IF($A69="","",IF(ABS(E69)&gt;0.000001,COUNT($N$1:N68)+1,""))</f>
        <v/>
      </c>
      <c r="O69" s="291" t="str">
        <f>IF($A69="","",SUMIFS(Transactions!$H$2:$H$1001,Transactions!$J$2:$J$1001,$A69,Transactions!$A$2:$A$1001,2)*$I69)</f>
        <v/>
      </c>
      <c r="P69" s="291" t="str">
        <f t="shared" si="16"/>
        <v/>
      </c>
      <c r="Q69" s="292" t="str">
        <f t="shared" si="17"/>
        <v/>
      </c>
    </row>
    <row r="70" spans="1:17" ht="15" customHeight="1" x14ac:dyDescent="0.2">
      <c r="A70" s="243" t="str">
        <f>IFERROR(INDEX(Txn[Key],MATCH(0,INDEX(COUNTIF($A$1:A69,Txn[Key])+(Txn[Key]=""),0),0)),"")</f>
        <v/>
      </c>
      <c r="B70" s="243" t="str">
        <f t="shared" si="9"/>
        <v/>
      </c>
      <c r="C70" s="243" t="str">
        <f t="shared" si="10"/>
        <v/>
      </c>
      <c r="D70" s="243" t="str">
        <f t="shared" si="11"/>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2"/>
        <v/>
      </c>
      <c r="K70" s="287" t="str">
        <f t="shared" si="13"/>
        <v/>
      </c>
      <c r="L70" s="287" t="str">
        <f t="shared" si="14"/>
        <v/>
      </c>
      <c r="M70" s="290" t="str">
        <f t="shared" si="15"/>
        <v/>
      </c>
      <c r="N70" s="243" t="str">
        <f>IF($A70="","",IF(ABS(E70)&gt;0.000001,COUNT($N$1:N69)+1,""))</f>
        <v/>
      </c>
      <c r="O70" s="291" t="str">
        <f>IF($A70="","",SUMIFS(Transactions!$H$2:$H$1001,Transactions!$J$2:$J$1001,$A70,Transactions!$A$2:$A$1001,2)*$I70)</f>
        <v/>
      </c>
      <c r="P70" s="291" t="str">
        <f t="shared" si="16"/>
        <v/>
      </c>
      <c r="Q70" s="292" t="str">
        <f t="shared" si="17"/>
        <v/>
      </c>
    </row>
    <row r="71" spans="1:17" ht="15" customHeight="1" x14ac:dyDescent="0.2">
      <c r="A71" s="243" t="str">
        <f>IFERROR(INDEX(Txn[Key],MATCH(0,INDEX(COUNTIF($A$1:A70,Txn[Key])+(Txn[Key]=""),0),0)),"")</f>
        <v/>
      </c>
      <c r="B71" s="243" t="str">
        <f t="shared" si="9"/>
        <v/>
      </c>
      <c r="C71" s="243" t="str">
        <f t="shared" si="10"/>
        <v/>
      </c>
      <c r="D71" s="243" t="str">
        <f t="shared" si="11"/>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2"/>
        <v/>
      </c>
      <c r="K71" s="287" t="str">
        <f t="shared" si="13"/>
        <v/>
      </c>
      <c r="L71" s="287" t="str">
        <f t="shared" si="14"/>
        <v/>
      </c>
      <c r="M71" s="290" t="str">
        <f t="shared" si="15"/>
        <v/>
      </c>
      <c r="N71" s="243" t="str">
        <f>IF($A71="","",IF(ABS(E71)&gt;0.000001,COUNT($N$1:N70)+1,""))</f>
        <v/>
      </c>
      <c r="O71" s="291" t="str">
        <f>IF($A71="","",SUMIFS(Transactions!$H$2:$H$1001,Transactions!$J$2:$J$1001,$A71,Transactions!$A$2:$A$1001,2)*$I71)</f>
        <v/>
      </c>
      <c r="P71" s="291" t="str">
        <f t="shared" si="16"/>
        <v/>
      </c>
      <c r="Q71" s="292" t="str">
        <f t="shared" si="17"/>
        <v/>
      </c>
    </row>
    <row r="72" spans="1:17" ht="15" customHeight="1" x14ac:dyDescent="0.2">
      <c r="A72" s="243" t="str">
        <f>IFERROR(INDEX(Txn[Key],MATCH(0,INDEX(COUNTIF($A$1:A71,Txn[Key])+(Txn[Key]=""),0),0)),"")</f>
        <v/>
      </c>
      <c r="B72" s="243" t="str">
        <f t="shared" si="9"/>
        <v/>
      </c>
      <c r="C72" s="243" t="str">
        <f t="shared" si="10"/>
        <v/>
      </c>
      <c r="D72" s="243" t="str">
        <f t="shared" si="11"/>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2"/>
        <v/>
      </c>
      <c r="K72" s="287" t="str">
        <f t="shared" si="13"/>
        <v/>
      </c>
      <c r="L72" s="287" t="str">
        <f t="shared" si="14"/>
        <v/>
      </c>
      <c r="M72" s="290" t="str">
        <f t="shared" si="15"/>
        <v/>
      </c>
      <c r="N72" s="243" t="str">
        <f>IF($A72="","",IF(ABS(E72)&gt;0.000001,COUNT($N$1:N71)+1,""))</f>
        <v/>
      </c>
      <c r="O72" s="291" t="str">
        <f>IF($A72="","",SUMIFS(Transactions!$H$2:$H$1001,Transactions!$J$2:$J$1001,$A72,Transactions!$A$2:$A$1001,2)*$I72)</f>
        <v/>
      </c>
      <c r="P72" s="291" t="str">
        <f t="shared" si="16"/>
        <v/>
      </c>
      <c r="Q72" s="292" t="str">
        <f t="shared" si="17"/>
        <v/>
      </c>
    </row>
    <row r="73" spans="1:17" ht="15" customHeight="1" x14ac:dyDescent="0.2">
      <c r="A73" s="243" t="str">
        <f>IFERROR(INDEX(Txn[Key],MATCH(0,INDEX(COUNTIF($A$1:A72,Txn[Key])+(Txn[Key]=""),0),0)),"")</f>
        <v/>
      </c>
      <c r="B73" s="243" t="str">
        <f t="shared" si="9"/>
        <v/>
      </c>
      <c r="C73" s="243" t="str">
        <f t="shared" si="10"/>
        <v/>
      </c>
      <c r="D73" s="243" t="str">
        <f t="shared" si="11"/>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2"/>
        <v/>
      </c>
      <c r="K73" s="287" t="str">
        <f t="shared" si="13"/>
        <v/>
      </c>
      <c r="L73" s="287" t="str">
        <f t="shared" si="14"/>
        <v/>
      </c>
      <c r="M73" s="290" t="str">
        <f t="shared" si="15"/>
        <v/>
      </c>
      <c r="N73" s="243" t="str">
        <f>IF($A73="","",IF(ABS(E73)&gt;0.000001,COUNT($N$1:N72)+1,""))</f>
        <v/>
      </c>
      <c r="O73" s="291" t="str">
        <f>IF($A73="","",SUMIFS(Transactions!$H$2:$H$1001,Transactions!$J$2:$J$1001,$A73,Transactions!$A$2:$A$1001,2)*$I73)</f>
        <v/>
      </c>
      <c r="P73" s="291" t="str">
        <f t="shared" si="16"/>
        <v/>
      </c>
      <c r="Q73" s="292" t="str">
        <f t="shared" si="17"/>
        <v/>
      </c>
    </row>
    <row r="74" spans="1:17" ht="15" customHeight="1" x14ac:dyDescent="0.2">
      <c r="A74" s="243" t="str">
        <f>IFERROR(INDEX(Txn[Key],MATCH(0,INDEX(COUNTIF($A$1:A73,Txn[Key])+(Txn[Key]=""),0),0)),"")</f>
        <v/>
      </c>
      <c r="B74" s="243" t="str">
        <f t="shared" si="9"/>
        <v/>
      </c>
      <c r="C74" s="243" t="str">
        <f t="shared" si="10"/>
        <v/>
      </c>
      <c r="D74" s="243" t="str">
        <f t="shared" si="11"/>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2"/>
        <v/>
      </c>
      <c r="K74" s="287" t="str">
        <f t="shared" si="13"/>
        <v/>
      </c>
      <c r="L74" s="287" t="str">
        <f t="shared" si="14"/>
        <v/>
      </c>
      <c r="M74" s="290" t="str">
        <f t="shared" si="15"/>
        <v/>
      </c>
      <c r="N74" s="243" t="str">
        <f>IF($A74="","",IF(ABS(E74)&gt;0.000001,COUNT($N$1:N73)+1,""))</f>
        <v/>
      </c>
      <c r="O74" s="291" t="str">
        <f>IF($A74="","",SUMIFS(Transactions!$H$2:$H$1001,Transactions!$J$2:$J$1001,$A74,Transactions!$A$2:$A$1001,2)*$I74)</f>
        <v/>
      </c>
      <c r="P74" s="291" t="str">
        <f t="shared" si="16"/>
        <v/>
      </c>
      <c r="Q74" s="292" t="str">
        <f t="shared" si="17"/>
        <v/>
      </c>
    </row>
    <row r="75" spans="1:17" ht="15" customHeight="1" x14ac:dyDescent="0.2">
      <c r="A75" s="243" t="str">
        <f>IFERROR(INDEX(Txn[Key],MATCH(0,INDEX(COUNTIF($A$1:A74,Txn[Key])+(Txn[Key]=""),0),0)),"")</f>
        <v/>
      </c>
      <c r="B75" s="243" t="str">
        <f t="shared" si="9"/>
        <v/>
      </c>
      <c r="C75" s="243" t="str">
        <f t="shared" si="10"/>
        <v/>
      </c>
      <c r="D75" s="243" t="str">
        <f t="shared" si="11"/>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2"/>
        <v/>
      </c>
      <c r="K75" s="287" t="str">
        <f t="shared" si="13"/>
        <v/>
      </c>
      <c r="L75" s="287" t="str">
        <f t="shared" si="14"/>
        <v/>
      </c>
      <c r="M75" s="290" t="str">
        <f t="shared" si="15"/>
        <v/>
      </c>
      <c r="N75" s="243" t="str">
        <f>IF($A75="","",IF(ABS(E75)&gt;0.000001,COUNT($N$1:N74)+1,""))</f>
        <v/>
      </c>
      <c r="O75" s="291" t="str">
        <f>IF($A75="","",SUMIFS(Transactions!$H$2:$H$1001,Transactions!$J$2:$J$1001,$A75,Transactions!$A$2:$A$1001,2)*$I75)</f>
        <v/>
      </c>
      <c r="P75" s="291" t="str">
        <f t="shared" si="16"/>
        <v/>
      </c>
      <c r="Q75" s="292" t="str">
        <f t="shared" si="17"/>
        <v/>
      </c>
    </row>
    <row r="76" spans="1:17" ht="15" customHeight="1" x14ac:dyDescent="0.2">
      <c r="A76" s="243" t="str">
        <f>IFERROR(INDEX(Txn[Key],MATCH(0,INDEX(COUNTIF($A$1:A75,Txn[Key])+(Txn[Key]=""),0),0)),"")</f>
        <v/>
      </c>
      <c r="B76" s="243" t="str">
        <f t="shared" si="9"/>
        <v/>
      </c>
      <c r="C76" s="243" t="str">
        <f t="shared" si="10"/>
        <v/>
      </c>
      <c r="D76" s="243" t="str">
        <f t="shared" si="11"/>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2"/>
        <v/>
      </c>
      <c r="K76" s="287" t="str">
        <f t="shared" si="13"/>
        <v/>
      </c>
      <c r="L76" s="287" t="str">
        <f t="shared" si="14"/>
        <v/>
      </c>
      <c r="M76" s="290" t="str">
        <f t="shared" si="15"/>
        <v/>
      </c>
      <c r="N76" s="243" t="str">
        <f>IF($A76="","",IF(ABS(E76)&gt;0.000001,COUNT($N$1:N75)+1,""))</f>
        <v/>
      </c>
      <c r="O76" s="291" t="str">
        <f>IF($A76="","",SUMIFS(Transactions!$H$2:$H$1001,Transactions!$J$2:$J$1001,$A76,Transactions!$A$2:$A$1001,2)*$I76)</f>
        <v/>
      </c>
      <c r="P76" s="291" t="str">
        <f t="shared" si="16"/>
        <v/>
      </c>
      <c r="Q76" s="292" t="str">
        <f t="shared" si="17"/>
        <v/>
      </c>
    </row>
    <row r="77" spans="1:17" ht="15" customHeight="1" x14ac:dyDescent="0.2">
      <c r="A77" s="243" t="str">
        <f>IFERROR(INDEX(Txn[Key],MATCH(0,INDEX(COUNTIF($A$1:A76,Txn[Key])+(Txn[Key]=""),0),0)),"")</f>
        <v/>
      </c>
      <c r="B77" s="243" t="str">
        <f t="shared" si="9"/>
        <v/>
      </c>
      <c r="C77" s="243" t="str">
        <f t="shared" si="10"/>
        <v/>
      </c>
      <c r="D77" s="243" t="str">
        <f t="shared" si="11"/>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2"/>
        <v/>
      </c>
      <c r="K77" s="287" t="str">
        <f t="shared" si="13"/>
        <v/>
      </c>
      <c r="L77" s="287" t="str">
        <f t="shared" si="14"/>
        <v/>
      </c>
      <c r="M77" s="290" t="str">
        <f t="shared" si="15"/>
        <v/>
      </c>
      <c r="N77" s="243" t="str">
        <f>IF($A77="","",IF(ABS(E77)&gt;0.000001,COUNT($N$1:N76)+1,""))</f>
        <v/>
      </c>
      <c r="O77" s="291" t="str">
        <f>IF($A77="","",SUMIFS(Transactions!$H$2:$H$1001,Transactions!$J$2:$J$1001,$A77,Transactions!$A$2:$A$1001,2)*$I77)</f>
        <v/>
      </c>
      <c r="P77" s="291" t="str">
        <f t="shared" si="16"/>
        <v/>
      </c>
      <c r="Q77" s="292" t="str">
        <f t="shared" si="17"/>
        <v/>
      </c>
    </row>
    <row r="78" spans="1:17" ht="15" customHeight="1" x14ac:dyDescent="0.2">
      <c r="A78" s="243" t="str">
        <f>IFERROR(INDEX(Txn[Key],MATCH(0,INDEX(COUNTIF($A$1:A77,Txn[Key])+(Txn[Key]=""),0),0)),"")</f>
        <v/>
      </c>
      <c r="B78" s="243" t="str">
        <f t="shared" si="9"/>
        <v/>
      </c>
      <c r="C78" s="243" t="str">
        <f t="shared" si="10"/>
        <v/>
      </c>
      <c r="D78" s="243" t="str">
        <f t="shared" si="11"/>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2"/>
        <v/>
      </c>
      <c r="K78" s="287" t="str">
        <f t="shared" si="13"/>
        <v/>
      </c>
      <c r="L78" s="287" t="str">
        <f t="shared" si="14"/>
        <v/>
      </c>
      <c r="M78" s="290" t="str">
        <f t="shared" si="15"/>
        <v/>
      </c>
      <c r="N78" s="243" t="str">
        <f>IF($A78="","",IF(ABS(E78)&gt;0.000001,COUNT($N$1:N77)+1,""))</f>
        <v/>
      </c>
      <c r="O78" s="291" t="str">
        <f>IF($A78="","",SUMIFS(Transactions!$H$2:$H$1001,Transactions!$J$2:$J$1001,$A78,Transactions!$A$2:$A$1001,2)*$I78)</f>
        <v/>
      </c>
      <c r="P78" s="291" t="str">
        <f t="shared" si="16"/>
        <v/>
      </c>
      <c r="Q78" s="292" t="str">
        <f t="shared" si="17"/>
        <v/>
      </c>
    </row>
    <row r="79" spans="1:17" ht="15" customHeight="1" x14ac:dyDescent="0.2">
      <c r="A79" s="243" t="str">
        <f>IFERROR(INDEX(Txn[Key],MATCH(0,INDEX(COUNTIF($A$1:A78,Txn[Key])+(Txn[Key]=""),0),0)),"")</f>
        <v/>
      </c>
      <c r="B79" s="243" t="str">
        <f t="shared" si="9"/>
        <v/>
      </c>
      <c r="C79" s="243" t="str">
        <f t="shared" si="10"/>
        <v/>
      </c>
      <c r="D79" s="243" t="str">
        <f t="shared" si="11"/>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2"/>
        <v/>
      </c>
      <c r="K79" s="287" t="str">
        <f t="shared" si="13"/>
        <v/>
      </c>
      <c r="L79" s="287" t="str">
        <f t="shared" si="14"/>
        <v/>
      </c>
      <c r="M79" s="290" t="str">
        <f t="shared" si="15"/>
        <v/>
      </c>
      <c r="N79" s="243" t="str">
        <f>IF($A79="","",IF(ABS(E79)&gt;0.000001,COUNT($N$1:N78)+1,""))</f>
        <v/>
      </c>
      <c r="O79" s="291" t="str">
        <f>IF($A79="","",SUMIFS(Transactions!$H$2:$H$1001,Transactions!$J$2:$J$1001,$A79,Transactions!$A$2:$A$1001,2)*$I79)</f>
        <v/>
      </c>
      <c r="P79" s="291" t="str">
        <f t="shared" si="16"/>
        <v/>
      </c>
      <c r="Q79" s="292" t="str">
        <f t="shared" si="17"/>
        <v/>
      </c>
    </row>
    <row r="80" spans="1:17" ht="15" customHeight="1" x14ac:dyDescent="0.2">
      <c r="A80" s="243" t="str">
        <f>IFERROR(INDEX(Txn[Key],MATCH(0,INDEX(COUNTIF($A$1:A79,Txn[Key])+(Txn[Key]=""),0),0)),"")</f>
        <v/>
      </c>
      <c r="B80" s="243" t="str">
        <f t="shared" si="9"/>
        <v/>
      </c>
      <c r="C80" s="243" t="str">
        <f t="shared" si="10"/>
        <v/>
      </c>
      <c r="D80" s="243" t="str">
        <f t="shared" si="11"/>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2"/>
        <v/>
      </c>
      <c r="K80" s="287" t="str">
        <f t="shared" si="13"/>
        <v/>
      </c>
      <c r="L80" s="287" t="str">
        <f t="shared" si="14"/>
        <v/>
      </c>
      <c r="M80" s="290" t="str">
        <f t="shared" si="15"/>
        <v/>
      </c>
      <c r="N80" s="243" t="str">
        <f>IF($A80="","",IF(ABS(E80)&gt;0.000001,COUNT($N$1:N79)+1,""))</f>
        <v/>
      </c>
      <c r="O80" s="291" t="str">
        <f>IF($A80="","",SUMIFS(Transactions!$H$2:$H$1001,Transactions!$J$2:$J$1001,$A80,Transactions!$A$2:$A$1001,2)*$I80)</f>
        <v/>
      </c>
      <c r="P80" s="291" t="str">
        <f t="shared" si="16"/>
        <v/>
      </c>
      <c r="Q80" s="292" t="str">
        <f t="shared" si="17"/>
        <v/>
      </c>
    </row>
    <row r="81" spans="1:17" ht="15" customHeight="1" x14ac:dyDescent="0.2">
      <c r="A81" s="243" t="str">
        <f>IFERROR(INDEX(Txn[Key],MATCH(0,INDEX(COUNTIF($A$1:A80,Txn[Key])+(Txn[Key]=""),0),0)),"")</f>
        <v/>
      </c>
      <c r="B81" s="243" t="str">
        <f t="shared" si="9"/>
        <v/>
      </c>
      <c r="C81" s="243" t="str">
        <f t="shared" si="10"/>
        <v/>
      </c>
      <c r="D81" s="243" t="str">
        <f t="shared" si="11"/>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2"/>
        <v/>
      </c>
      <c r="K81" s="287" t="str">
        <f t="shared" si="13"/>
        <v/>
      </c>
      <c r="L81" s="287" t="str">
        <f t="shared" si="14"/>
        <v/>
      </c>
      <c r="M81" s="290" t="str">
        <f t="shared" si="15"/>
        <v/>
      </c>
      <c r="N81" s="243" t="str">
        <f>IF($A81="","",IF(ABS(E81)&gt;0.000001,COUNT($N$1:N80)+1,""))</f>
        <v/>
      </c>
      <c r="O81" s="291" t="str">
        <f>IF($A81="","",SUMIFS(Transactions!$H$2:$H$1001,Transactions!$J$2:$J$1001,$A81,Transactions!$A$2:$A$1001,2)*$I81)</f>
        <v/>
      </c>
      <c r="P81" s="291" t="str">
        <f t="shared" si="16"/>
        <v/>
      </c>
      <c r="Q81" s="292" t="str">
        <f t="shared" si="17"/>
        <v/>
      </c>
    </row>
    <row r="82" spans="1:17" ht="15" customHeight="1" x14ac:dyDescent="0.2">
      <c r="A82" s="243" t="str">
        <f>IFERROR(INDEX(Txn[Key],MATCH(0,INDEX(COUNTIF($A$1:A81,Txn[Key])+(Txn[Key]=""),0),0)),"")</f>
        <v/>
      </c>
      <c r="B82" s="243" t="str">
        <f t="shared" si="9"/>
        <v/>
      </c>
      <c r="C82" s="243" t="str">
        <f t="shared" si="10"/>
        <v/>
      </c>
      <c r="D82" s="243" t="str">
        <f t="shared" si="11"/>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2"/>
        <v/>
      </c>
      <c r="K82" s="287" t="str">
        <f t="shared" si="13"/>
        <v/>
      </c>
      <c r="L82" s="287" t="str">
        <f t="shared" si="14"/>
        <v/>
      </c>
      <c r="M82" s="290" t="str">
        <f t="shared" si="15"/>
        <v/>
      </c>
      <c r="N82" s="243" t="str">
        <f>IF($A82="","",IF(ABS(E82)&gt;0.000001,COUNT($N$1:N81)+1,""))</f>
        <v/>
      </c>
      <c r="O82" s="291" t="str">
        <f>IF($A82="","",SUMIFS(Transactions!$H$2:$H$1001,Transactions!$J$2:$J$1001,$A82,Transactions!$A$2:$A$1001,2)*$I82)</f>
        <v/>
      </c>
      <c r="P82" s="291" t="str">
        <f t="shared" si="16"/>
        <v/>
      </c>
      <c r="Q82" s="292" t="str">
        <f t="shared" si="17"/>
        <v/>
      </c>
    </row>
    <row r="83" spans="1:17" ht="15" customHeight="1" x14ac:dyDescent="0.2">
      <c r="A83" s="243" t="str">
        <f>IFERROR(INDEX(Txn[Key],MATCH(0,INDEX(COUNTIF($A$1:A82,Txn[Key])+(Txn[Key]=""),0),0)),"")</f>
        <v/>
      </c>
      <c r="B83" s="243" t="str">
        <f t="shared" si="9"/>
        <v/>
      </c>
      <c r="C83" s="243" t="str">
        <f t="shared" si="10"/>
        <v/>
      </c>
      <c r="D83" s="243" t="str">
        <f t="shared" si="11"/>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2"/>
        <v/>
      </c>
      <c r="K83" s="287" t="str">
        <f t="shared" si="13"/>
        <v/>
      </c>
      <c r="L83" s="287" t="str">
        <f t="shared" si="14"/>
        <v/>
      </c>
      <c r="M83" s="290" t="str">
        <f t="shared" si="15"/>
        <v/>
      </c>
      <c r="N83" s="243" t="str">
        <f>IF($A83="","",IF(ABS(E83)&gt;0.000001,COUNT($N$1:N82)+1,""))</f>
        <v/>
      </c>
      <c r="O83" s="291" t="str">
        <f>IF($A83="","",SUMIFS(Transactions!$H$2:$H$1001,Transactions!$J$2:$J$1001,$A83,Transactions!$A$2:$A$1001,2)*$I83)</f>
        <v/>
      </c>
      <c r="P83" s="291" t="str">
        <f t="shared" si="16"/>
        <v/>
      </c>
      <c r="Q83" s="292" t="str">
        <f t="shared" si="17"/>
        <v/>
      </c>
    </row>
    <row r="84" spans="1:17" ht="15" customHeight="1" x14ac:dyDescent="0.2">
      <c r="A84" s="243" t="str">
        <f>IFERROR(INDEX(Txn[Key],MATCH(0,INDEX(COUNTIF($A$1:A83,Txn[Key])+(Txn[Key]=""),0),0)),"")</f>
        <v/>
      </c>
      <c r="B84" s="243" t="str">
        <f t="shared" si="9"/>
        <v/>
      </c>
      <c r="C84" s="243" t="str">
        <f t="shared" si="10"/>
        <v/>
      </c>
      <c r="D84" s="243" t="str">
        <f t="shared" si="11"/>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2"/>
        <v/>
      </c>
      <c r="K84" s="287" t="str">
        <f t="shared" si="13"/>
        <v/>
      </c>
      <c r="L84" s="287" t="str">
        <f t="shared" si="14"/>
        <v/>
      </c>
      <c r="M84" s="290" t="str">
        <f t="shared" si="15"/>
        <v/>
      </c>
      <c r="N84" s="243" t="str">
        <f>IF($A84="","",IF(ABS(E84)&gt;0.000001,COUNT($N$1:N83)+1,""))</f>
        <v/>
      </c>
      <c r="O84" s="291" t="str">
        <f>IF($A84="","",SUMIFS(Transactions!$H$2:$H$1001,Transactions!$J$2:$J$1001,$A84,Transactions!$A$2:$A$1001,2)*$I84)</f>
        <v/>
      </c>
      <c r="P84" s="291" t="str">
        <f t="shared" si="16"/>
        <v/>
      </c>
      <c r="Q84" s="292" t="str">
        <f t="shared" si="17"/>
        <v/>
      </c>
    </row>
    <row r="85" spans="1:17" ht="15" customHeight="1" x14ac:dyDescent="0.2">
      <c r="A85" s="243" t="str">
        <f>IFERROR(INDEX(Txn[Key],MATCH(0,INDEX(COUNTIF($A$1:A84,Txn[Key])+(Txn[Key]=""),0),0)),"")</f>
        <v/>
      </c>
      <c r="B85" s="243" t="str">
        <f t="shared" si="9"/>
        <v/>
      </c>
      <c r="C85" s="243" t="str">
        <f t="shared" si="10"/>
        <v/>
      </c>
      <c r="D85" s="243" t="str">
        <f t="shared" si="11"/>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2"/>
        <v/>
      </c>
      <c r="K85" s="287" t="str">
        <f t="shared" si="13"/>
        <v/>
      </c>
      <c r="L85" s="287" t="str">
        <f t="shared" si="14"/>
        <v/>
      </c>
      <c r="M85" s="290" t="str">
        <f t="shared" si="15"/>
        <v/>
      </c>
      <c r="N85" s="243" t="str">
        <f>IF($A85="","",IF(ABS(E85)&gt;0.000001,COUNT($N$1:N84)+1,""))</f>
        <v/>
      </c>
      <c r="O85" s="291" t="str">
        <f>IF($A85="","",SUMIFS(Transactions!$H$2:$H$1001,Transactions!$J$2:$J$1001,$A85,Transactions!$A$2:$A$1001,2)*$I85)</f>
        <v/>
      </c>
      <c r="P85" s="291" t="str">
        <f t="shared" si="16"/>
        <v/>
      </c>
      <c r="Q85" s="292" t="str">
        <f t="shared" si="17"/>
        <v/>
      </c>
    </row>
    <row r="86" spans="1:17" ht="15" customHeight="1" x14ac:dyDescent="0.2">
      <c r="A86" s="243" t="str">
        <f>IFERROR(INDEX(Txn[Key],MATCH(0,INDEX(COUNTIF($A$1:A85,Txn[Key])+(Txn[Key]=""),0),0)),"")</f>
        <v/>
      </c>
      <c r="B86" s="243" t="str">
        <f t="shared" si="9"/>
        <v/>
      </c>
      <c r="C86" s="243" t="str">
        <f t="shared" si="10"/>
        <v/>
      </c>
      <c r="D86" s="243" t="str">
        <f t="shared" si="11"/>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2"/>
        <v/>
      </c>
      <c r="K86" s="287" t="str">
        <f t="shared" si="13"/>
        <v/>
      </c>
      <c r="L86" s="287" t="str">
        <f t="shared" si="14"/>
        <v/>
      </c>
      <c r="M86" s="290" t="str">
        <f t="shared" si="15"/>
        <v/>
      </c>
      <c r="N86" s="243" t="str">
        <f>IF($A86="","",IF(ABS(E86)&gt;0.000001,COUNT($N$1:N85)+1,""))</f>
        <v/>
      </c>
      <c r="O86" s="291" t="str">
        <f>IF($A86="","",SUMIFS(Transactions!$H$2:$H$1001,Transactions!$J$2:$J$1001,$A86,Transactions!$A$2:$A$1001,2)*$I86)</f>
        <v/>
      </c>
      <c r="P86" s="291" t="str">
        <f t="shared" si="16"/>
        <v/>
      </c>
      <c r="Q86" s="292" t="str">
        <f t="shared" si="17"/>
        <v/>
      </c>
    </row>
    <row r="87" spans="1:17" ht="15" customHeight="1" x14ac:dyDescent="0.2">
      <c r="A87" s="243" t="str">
        <f>IFERROR(INDEX(Txn[Key],MATCH(0,INDEX(COUNTIF($A$1:A86,Txn[Key])+(Txn[Key]=""),0),0)),"")</f>
        <v/>
      </c>
      <c r="B87" s="243" t="str">
        <f t="shared" si="9"/>
        <v/>
      </c>
      <c r="C87" s="243" t="str">
        <f t="shared" si="10"/>
        <v/>
      </c>
      <c r="D87" s="243" t="str">
        <f t="shared" si="11"/>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2"/>
        <v/>
      </c>
      <c r="K87" s="287" t="str">
        <f t="shared" si="13"/>
        <v/>
      </c>
      <c r="L87" s="287" t="str">
        <f t="shared" si="14"/>
        <v/>
      </c>
      <c r="M87" s="290" t="str">
        <f t="shared" si="15"/>
        <v/>
      </c>
      <c r="N87" s="243" t="str">
        <f>IF($A87="","",IF(ABS(E87)&gt;0.000001,COUNT($N$1:N86)+1,""))</f>
        <v/>
      </c>
      <c r="O87" s="291" t="str">
        <f>IF($A87="","",SUMIFS(Transactions!$H$2:$H$1001,Transactions!$J$2:$J$1001,$A87,Transactions!$A$2:$A$1001,2)*$I87)</f>
        <v/>
      </c>
      <c r="P87" s="291" t="str">
        <f t="shared" si="16"/>
        <v/>
      </c>
      <c r="Q87" s="292" t="str">
        <f t="shared" si="17"/>
        <v/>
      </c>
    </row>
    <row r="88" spans="1:17" ht="15" customHeight="1" x14ac:dyDescent="0.2">
      <c r="A88" s="243" t="str">
        <f>IFERROR(INDEX(Txn[Key],MATCH(0,INDEX(COUNTIF($A$1:A87,Txn[Key])+(Txn[Key]=""),0),0)),"")</f>
        <v/>
      </c>
      <c r="B88" s="243" t="str">
        <f t="shared" si="9"/>
        <v/>
      </c>
      <c r="C88" s="243" t="str">
        <f t="shared" si="10"/>
        <v/>
      </c>
      <c r="D88" s="243" t="str">
        <f t="shared" si="11"/>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2"/>
        <v/>
      </c>
      <c r="K88" s="287" t="str">
        <f t="shared" si="13"/>
        <v/>
      </c>
      <c r="L88" s="287" t="str">
        <f t="shared" si="14"/>
        <v/>
      </c>
      <c r="M88" s="290" t="str">
        <f t="shared" si="15"/>
        <v/>
      </c>
      <c r="N88" s="243" t="str">
        <f>IF($A88="","",IF(ABS(E88)&gt;0.000001,COUNT($N$1:N87)+1,""))</f>
        <v/>
      </c>
      <c r="O88" s="291" t="str">
        <f>IF($A88="","",SUMIFS(Transactions!$H$2:$H$1001,Transactions!$J$2:$J$1001,$A88,Transactions!$A$2:$A$1001,2)*$I88)</f>
        <v/>
      </c>
      <c r="P88" s="291" t="str">
        <f t="shared" si="16"/>
        <v/>
      </c>
      <c r="Q88" s="292" t="str">
        <f t="shared" si="17"/>
        <v/>
      </c>
    </row>
    <row r="89" spans="1:17" ht="15" customHeight="1" x14ac:dyDescent="0.2">
      <c r="A89" s="243" t="str">
        <f>IFERROR(INDEX(Txn[Key],MATCH(0,INDEX(COUNTIF($A$1:A88,Txn[Key])+(Txn[Key]=""),0),0)),"")</f>
        <v/>
      </c>
      <c r="B89" s="243" t="str">
        <f t="shared" si="9"/>
        <v/>
      </c>
      <c r="C89" s="243" t="str">
        <f t="shared" si="10"/>
        <v/>
      </c>
      <c r="D89" s="243" t="str">
        <f t="shared" si="11"/>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2"/>
        <v/>
      </c>
      <c r="K89" s="287" t="str">
        <f t="shared" si="13"/>
        <v/>
      </c>
      <c r="L89" s="287" t="str">
        <f t="shared" si="14"/>
        <v/>
      </c>
      <c r="M89" s="290" t="str">
        <f t="shared" si="15"/>
        <v/>
      </c>
      <c r="N89" s="243" t="str">
        <f>IF($A89="","",IF(ABS(E89)&gt;0.000001,COUNT($N$1:N88)+1,""))</f>
        <v/>
      </c>
      <c r="O89" s="291" t="str">
        <f>IF($A89="","",SUMIFS(Transactions!$H$2:$H$1001,Transactions!$J$2:$J$1001,$A89,Transactions!$A$2:$A$1001,2)*$I89)</f>
        <v/>
      </c>
      <c r="P89" s="291" t="str">
        <f t="shared" si="16"/>
        <v/>
      </c>
      <c r="Q89" s="292" t="str">
        <f t="shared" si="17"/>
        <v/>
      </c>
    </row>
    <row r="90" spans="1:17" ht="15" customHeight="1" x14ac:dyDescent="0.2">
      <c r="A90" s="243" t="str">
        <f>IFERROR(INDEX(Txn[Key],MATCH(0,INDEX(COUNTIF($A$1:A89,Txn[Key])+(Txn[Key]=""),0),0)),"")</f>
        <v/>
      </c>
      <c r="B90" s="243" t="str">
        <f t="shared" si="9"/>
        <v/>
      </c>
      <c r="C90" s="243" t="str">
        <f t="shared" si="10"/>
        <v/>
      </c>
      <c r="D90" s="243" t="str">
        <f t="shared" si="11"/>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2"/>
        <v/>
      </c>
      <c r="K90" s="287" t="str">
        <f t="shared" si="13"/>
        <v/>
      </c>
      <c r="L90" s="287" t="str">
        <f t="shared" si="14"/>
        <v/>
      </c>
      <c r="M90" s="290" t="str">
        <f t="shared" si="15"/>
        <v/>
      </c>
      <c r="N90" s="243" t="str">
        <f>IF($A90="","",IF(ABS(E90)&gt;0.000001,COUNT($N$1:N89)+1,""))</f>
        <v/>
      </c>
      <c r="O90" s="291" t="str">
        <f>IF($A90="","",SUMIFS(Transactions!$H$2:$H$1001,Transactions!$J$2:$J$1001,$A90,Transactions!$A$2:$A$1001,2)*$I90)</f>
        <v/>
      </c>
      <c r="P90" s="291" t="str">
        <f t="shared" si="16"/>
        <v/>
      </c>
      <c r="Q90" s="292" t="str">
        <f t="shared" si="17"/>
        <v/>
      </c>
    </row>
    <row r="91" spans="1:17" ht="15" customHeight="1" x14ac:dyDescent="0.2">
      <c r="A91" s="243" t="str">
        <f>IFERROR(INDEX(Txn[Key],MATCH(0,INDEX(COUNTIF($A$1:A90,Txn[Key])+(Txn[Key]=""),0),0)),"")</f>
        <v/>
      </c>
      <c r="B91" s="243" t="str">
        <f t="shared" si="9"/>
        <v/>
      </c>
      <c r="C91" s="243" t="str">
        <f t="shared" si="10"/>
        <v/>
      </c>
      <c r="D91" s="243" t="str">
        <f t="shared" si="11"/>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2"/>
        <v/>
      </c>
      <c r="K91" s="287" t="str">
        <f t="shared" si="13"/>
        <v/>
      </c>
      <c r="L91" s="287" t="str">
        <f t="shared" si="14"/>
        <v/>
      </c>
      <c r="M91" s="290" t="str">
        <f t="shared" si="15"/>
        <v/>
      </c>
      <c r="N91" s="243" t="str">
        <f>IF($A91="","",IF(ABS(E91)&gt;0.000001,COUNT($N$1:N90)+1,""))</f>
        <v/>
      </c>
      <c r="O91" s="291" t="str">
        <f>IF($A91="","",SUMIFS(Transactions!$H$2:$H$1001,Transactions!$J$2:$J$1001,$A91,Transactions!$A$2:$A$1001,2)*$I91)</f>
        <v/>
      </c>
      <c r="P91" s="291" t="str">
        <f t="shared" si="16"/>
        <v/>
      </c>
      <c r="Q91" s="292" t="str">
        <f t="shared" si="17"/>
        <v/>
      </c>
    </row>
    <row r="92" spans="1:17" ht="15" customHeight="1" x14ac:dyDescent="0.2">
      <c r="A92" s="243" t="str">
        <f>IFERROR(INDEX(Txn[Key],MATCH(0,INDEX(COUNTIF($A$1:A91,Txn[Key])+(Txn[Key]=""),0),0)),"")</f>
        <v/>
      </c>
      <c r="B92" s="243" t="str">
        <f t="shared" si="9"/>
        <v/>
      </c>
      <c r="C92" s="243" t="str">
        <f t="shared" si="10"/>
        <v/>
      </c>
      <c r="D92" s="243" t="str">
        <f t="shared" si="11"/>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2"/>
        <v/>
      </c>
      <c r="K92" s="287" t="str">
        <f t="shared" si="13"/>
        <v/>
      </c>
      <c r="L92" s="287" t="str">
        <f t="shared" si="14"/>
        <v/>
      </c>
      <c r="M92" s="290" t="str">
        <f t="shared" si="15"/>
        <v/>
      </c>
      <c r="N92" s="243" t="str">
        <f>IF($A92="","",IF(ABS(E92)&gt;0.000001,COUNT($N$1:N91)+1,""))</f>
        <v/>
      </c>
      <c r="O92" s="291" t="str">
        <f>IF($A92="","",SUMIFS(Transactions!$H$2:$H$1001,Transactions!$J$2:$J$1001,$A92,Transactions!$A$2:$A$1001,2)*$I92)</f>
        <v/>
      </c>
      <c r="P92" s="291" t="str">
        <f t="shared" si="16"/>
        <v/>
      </c>
      <c r="Q92" s="292" t="str">
        <f t="shared" si="17"/>
        <v/>
      </c>
    </row>
    <row r="93" spans="1:17" ht="15" customHeight="1" x14ac:dyDescent="0.2">
      <c r="A93" s="243" t="str">
        <f>IFERROR(INDEX(Txn[Key],MATCH(0,INDEX(COUNTIF($A$1:A92,Txn[Key])+(Txn[Key]=""),0),0)),"")</f>
        <v/>
      </c>
      <c r="B93" s="243" t="str">
        <f t="shared" si="9"/>
        <v/>
      </c>
      <c r="C93" s="243" t="str">
        <f t="shared" si="10"/>
        <v/>
      </c>
      <c r="D93" s="243" t="str">
        <f t="shared" si="11"/>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2"/>
        <v/>
      </c>
      <c r="K93" s="287" t="str">
        <f t="shared" si="13"/>
        <v/>
      </c>
      <c r="L93" s="287" t="str">
        <f t="shared" si="14"/>
        <v/>
      </c>
      <c r="M93" s="290" t="str">
        <f t="shared" si="15"/>
        <v/>
      </c>
      <c r="N93" s="243" t="str">
        <f>IF($A93="","",IF(ABS(E93)&gt;0.000001,COUNT($N$1:N92)+1,""))</f>
        <v/>
      </c>
      <c r="O93" s="291" t="str">
        <f>IF($A93="","",SUMIFS(Transactions!$H$2:$H$1001,Transactions!$J$2:$J$1001,$A93,Transactions!$A$2:$A$1001,2)*$I93)</f>
        <v/>
      </c>
      <c r="P93" s="291" t="str">
        <f t="shared" si="16"/>
        <v/>
      </c>
      <c r="Q93" s="292" t="str">
        <f t="shared" si="17"/>
        <v/>
      </c>
    </row>
    <row r="94" spans="1:17" ht="15" customHeight="1" x14ac:dyDescent="0.2">
      <c r="A94" s="243" t="str">
        <f>IFERROR(INDEX(Txn[Key],MATCH(0,INDEX(COUNTIF($A$1:A93,Txn[Key])+(Txn[Key]=""),0),0)),"")</f>
        <v/>
      </c>
      <c r="B94" s="243" t="str">
        <f t="shared" si="9"/>
        <v/>
      </c>
      <c r="C94" s="243" t="str">
        <f t="shared" si="10"/>
        <v/>
      </c>
      <c r="D94" s="243" t="str">
        <f t="shared" si="11"/>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2"/>
        <v/>
      </c>
      <c r="K94" s="287" t="str">
        <f t="shared" si="13"/>
        <v/>
      </c>
      <c r="L94" s="287" t="str">
        <f t="shared" si="14"/>
        <v/>
      </c>
      <c r="M94" s="290" t="str">
        <f t="shared" si="15"/>
        <v/>
      </c>
      <c r="N94" s="243" t="str">
        <f>IF($A94="","",IF(ABS(E94)&gt;0.000001,COUNT($N$1:N93)+1,""))</f>
        <v/>
      </c>
      <c r="O94" s="291" t="str">
        <f>IF($A94="","",SUMIFS(Transactions!$H$2:$H$1001,Transactions!$J$2:$J$1001,$A94,Transactions!$A$2:$A$1001,2)*$I94)</f>
        <v/>
      </c>
      <c r="P94" s="291" t="str">
        <f t="shared" si="16"/>
        <v/>
      </c>
      <c r="Q94" s="292" t="str">
        <f t="shared" si="17"/>
        <v/>
      </c>
    </row>
    <row r="95" spans="1:17" ht="15" customHeight="1" x14ac:dyDescent="0.2">
      <c r="A95" s="243" t="str">
        <f>IFERROR(INDEX(Txn[Key],MATCH(0,INDEX(COUNTIF($A$1:A94,Txn[Key])+(Txn[Key]=""),0),0)),"")</f>
        <v/>
      </c>
      <c r="B95" s="243" t="str">
        <f t="shared" si="9"/>
        <v/>
      </c>
      <c r="C95" s="243" t="str">
        <f t="shared" si="10"/>
        <v/>
      </c>
      <c r="D95" s="243" t="str">
        <f t="shared" si="11"/>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2"/>
        <v/>
      </c>
      <c r="K95" s="287" t="str">
        <f t="shared" si="13"/>
        <v/>
      </c>
      <c r="L95" s="287" t="str">
        <f t="shared" si="14"/>
        <v/>
      </c>
      <c r="M95" s="290" t="str">
        <f t="shared" si="15"/>
        <v/>
      </c>
      <c r="N95" s="243" t="str">
        <f>IF($A95="","",IF(ABS(E95)&gt;0.000001,COUNT($N$1:N94)+1,""))</f>
        <v/>
      </c>
      <c r="O95" s="291" t="str">
        <f>IF($A95="","",SUMIFS(Transactions!$H$2:$H$1001,Transactions!$J$2:$J$1001,$A95,Transactions!$A$2:$A$1001,2)*$I95)</f>
        <v/>
      </c>
      <c r="P95" s="291" t="str">
        <f t="shared" si="16"/>
        <v/>
      </c>
      <c r="Q95" s="292" t="str">
        <f t="shared" si="17"/>
        <v/>
      </c>
    </row>
    <row r="96" spans="1:17" ht="15" customHeight="1" x14ac:dyDescent="0.2">
      <c r="A96" s="243" t="str">
        <f>IFERROR(INDEX(Txn[Key],MATCH(0,INDEX(COUNTIF($A$1:A95,Txn[Key])+(Txn[Key]=""),0),0)),"")</f>
        <v/>
      </c>
      <c r="B96" s="243" t="str">
        <f t="shared" si="9"/>
        <v/>
      </c>
      <c r="C96" s="243" t="str">
        <f t="shared" si="10"/>
        <v/>
      </c>
      <c r="D96" s="243" t="str">
        <f t="shared" si="11"/>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2"/>
        <v/>
      </c>
      <c r="K96" s="287" t="str">
        <f t="shared" si="13"/>
        <v/>
      </c>
      <c r="L96" s="287" t="str">
        <f t="shared" si="14"/>
        <v/>
      </c>
      <c r="M96" s="290" t="str">
        <f t="shared" si="15"/>
        <v/>
      </c>
      <c r="N96" s="243" t="str">
        <f>IF($A96="","",IF(ABS(E96)&gt;0.000001,COUNT($N$1:N95)+1,""))</f>
        <v/>
      </c>
      <c r="O96" s="291" t="str">
        <f>IF($A96="","",SUMIFS(Transactions!$H$2:$H$1001,Transactions!$J$2:$J$1001,$A96,Transactions!$A$2:$A$1001,2)*$I96)</f>
        <v/>
      </c>
      <c r="P96" s="291" t="str">
        <f t="shared" si="16"/>
        <v/>
      </c>
      <c r="Q96" s="292" t="str">
        <f t="shared" si="17"/>
        <v/>
      </c>
    </row>
    <row r="97" spans="1:17" ht="15" customHeight="1" x14ac:dyDescent="0.2">
      <c r="A97" s="243" t="str">
        <f>IFERROR(INDEX(Txn[Key],MATCH(0,INDEX(COUNTIF($A$1:A96,Txn[Key])+(Txn[Key]=""),0),0)),"")</f>
        <v/>
      </c>
      <c r="B97" s="243" t="str">
        <f t="shared" si="9"/>
        <v/>
      </c>
      <c r="C97" s="243" t="str">
        <f t="shared" si="10"/>
        <v/>
      </c>
      <c r="D97" s="243" t="str">
        <f t="shared" si="11"/>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2"/>
        <v/>
      </c>
      <c r="K97" s="287" t="str">
        <f t="shared" si="13"/>
        <v/>
      </c>
      <c r="L97" s="287" t="str">
        <f t="shared" si="14"/>
        <v/>
      </c>
      <c r="M97" s="290" t="str">
        <f t="shared" si="15"/>
        <v/>
      </c>
      <c r="N97" s="243" t="str">
        <f>IF($A97="","",IF(ABS(E97)&gt;0.000001,COUNT($N$1:N96)+1,""))</f>
        <v/>
      </c>
      <c r="O97" s="291" t="str">
        <f>IF($A97="","",SUMIFS(Transactions!$H$2:$H$1001,Transactions!$J$2:$J$1001,$A97,Transactions!$A$2:$A$1001,2)*$I97)</f>
        <v/>
      </c>
      <c r="P97" s="291" t="str">
        <f t="shared" si="16"/>
        <v/>
      </c>
      <c r="Q97" s="292" t="str">
        <f t="shared" si="17"/>
        <v/>
      </c>
    </row>
    <row r="98" spans="1:17" ht="15" customHeight="1" x14ac:dyDescent="0.2">
      <c r="A98" s="243" t="str">
        <f>IFERROR(INDEX(Txn[Key],MATCH(0,INDEX(COUNTIF($A$1:A97,Txn[Key])+(Txn[Key]=""),0),0)),"")</f>
        <v/>
      </c>
      <c r="B98" s="243" t="str">
        <f t="shared" si="9"/>
        <v/>
      </c>
      <c r="C98" s="243" t="str">
        <f t="shared" si="10"/>
        <v/>
      </c>
      <c r="D98" s="243" t="str">
        <f t="shared" si="11"/>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2"/>
        <v/>
      </c>
      <c r="K98" s="287" t="str">
        <f t="shared" si="13"/>
        <v/>
      </c>
      <c r="L98" s="287" t="str">
        <f t="shared" si="14"/>
        <v/>
      </c>
      <c r="M98" s="290" t="str">
        <f t="shared" si="15"/>
        <v/>
      </c>
      <c r="N98" s="243" t="str">
        <f>IF($A98="","",IF(ABS(E98)&gt;0.000001,COUNT($N$1:N97)+1,""))</f>
        <v/>
      </c>
      <c r="O98" s="291" t="str">
        <f>IF($A98="","",SUMIFS(Transactions!$H$2:$H$1001,Transactions!$J$2:$J$1001,$A98,Transactions!$A$2:$A$1001,2)*$I98)</f>
        <v/>
      </c>
      <c r="P98" s="291" t="str">
        <f t="shared" si="16"/>
        <v/>
      </c>
      <c r="Q98" s="292" t="str">
        <f t="shared" si="17"/>
        <v/>
      </c>
    </row>
    <row r="99" spans="1:17" ht="15" customHeight="1" x14ac:dyDescent="0.2">
      <c r="A99" s="243" t="str">
        <f>IFERROR(INDEX(Txn[Key],MATCH(0,INDEX(COUNTIF($A$1:A98,Txn[Key])+(Txn[Key]=""),0),0)),"")</f>
        <v/>
      </c>
      <c r="B99" s="243" t="str">
        <f t="shared" si="9"/>
        <v/>
      </c>
      <c r="C99" s="243" t="str">
        <f t="shared" si="10"/>
        <v/>
      </c>
      <c r="D99" s="243" t="str">
        <f t="shared" si="11"/>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2"/>
        <v/>
      </c>
      <c r="K99" s="287" t="str">
        <f t="shared" si="13"/>
        <v/>
      </c>
      <c r="L99" s="287" t="str">
        <f t="shared" si="14"/>
        <v/>
      </c>
      <c r="M99" s="290" t="str">
        <f t="shared" si="15"/>
        <v/>
      </c>
      <c r="N99" s="243" t="str">
        <f>IF($A99="","",IF(ABS(E99)&gt;0.000001,COUNT($N$1:N98)+1,""))</f>
        <v/>
      </c>
      <c r="O99" s="291" t="str">
        <f>IF($A99="","",SUMIFS(Transactions!$H$2:$H$1001,Transactions!$J$2:$J$1001,$A99,Transactions!$A$2:$A$1001,2)*$I99)</f>
        <v/>
      </c>
      <c r="P99" s="291" t="str">
        <f t="shared" si="16"/>
        <v/>
      </c>
      <c r="Q99" s="292" t="str">
        <f t="shared" si="17"/>
        <v/>
      </c>
    </row>
    <row r="100" spans="1:17" ht="15" customHeight="1" x14ac:dyDescent="0.2">
      <c r="A100" s="243" t="str">
        <f>IFERROR(INDEX(Txn[Key],MATCH(0,INDEX(COUNTIF($A$1:A99,Txn[Key])+(Txn[Key]=""),0),0)),"")</f>
        <v/>
      </c>
      <c r="B100" s="243" t="str">
        <f t="shared" si="9"/>
        <v/>
      </c>
      <c r="C100" s="243" t="str">
        <f t="shared" si="10"/>
        <v/>
      </c>
      <c r="D100" s="243" t="str">
        <f t="shared" si="11"/>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2"/>
        <v/>
      </c>
      <c r="K100" s="287" t="str">
        <f t="shared" si="13"/>
        <v/>
      </c>
      <c r="L100" s="287" t="str">
        <f t="shared" si="14"/>
        <v/>
      </c>
      <c r="M100" s="290" t="str">
        <f t="shared" si="15"/>
        <v/>
      </c>
      <c r="N100" s="243" t="str">
        <f>IF($A100="","",IF(ABS(E100)&gt;0.000001,COUNT($N$1:N99)+1,""))</f>
        <v/>
      </c>
      <c r="O100" s="291" t="str">
        <f>IF($A100="","",SUMIFS(Transactions!$H$2:$H$1001,Transactions!$J$2:$J$1001,$A100,Transactions!$A$2:$A$1001,2)*$I100)</f>
        <v/>
      </c>
      <c r="P100" s="291" t="str">
        <f t="shared" si="16"/>
        <v/>
      </c>
      <c r="Q100" s="292" t="str">
        <f t="shared" si="17"/>
        <v/>
      </c>
    </row>
    <row r="101" spans="1:17" ht="15" customHeight="1" x14ac:dyDescent="0.2">
      <c r="A101" s="243" t="str">
        <f>IFERROR(INDEX(Txn[Key],MATCH(0,INDEX(COUNTIF($A$1:A100,Txn[Key])+(Txn[Key]=""),0),0)),"")</f>
        <v/>
      </c>
      <c r="B101" s="243" t="str">
        <f t="shared" si="9"/>
        <v/>
      </c>
      <c r="C101" s="243" t="str">
        <f t="shared" si="10"/>
        <v/>
      </c>
      <c r="D101" s="243" t="str">
        <f t="shared" si="11"/>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2"/>
        <v/>
      </c>
      <c r="K101" s="287" t="str">
        <f t="shared" si="13"/>
        <v/>
      </c>
      <c r="L101" s="287" t="str">
        <f t="shared" si="14"/>
        <v/>
      </c>
      <c r="M101" s="290" t="str">
        <f t="shared" si="15"/>
        <v/>
      </c>
      <c r="N101" s="243" t="str">
        <f>IF($A101="","",IF(ABS(E101)&gt;0.000001,COUNT($N$1:N100)+1,""))</f>
        <v/>
      </c>
      <c r="O101" s="291" t="str">
        <f>IF($A101="","",SUMIFS(Transactions!$H$2:$H$1001,Transactions!$J$2:$J$1001,$A101,Transactions!$A$2:$A$1001,2)*$I101)</f>
        <v/>
      </c>
      <c r="P101" s="291" t="str">
        <f t="shared" si="16"/>
        <v/>
      </c>
      <c r="Q101" s="292" t="str">
        <f t="shared" si="17"/>
        <v/>
      </c>
    </row>
    <row r="102" spans="1:17" ht="15" customHeight="1" x14ac:dyDescent="0.2">
      <c r="A102" s="243" t="str">
        <f>IFERROR(INDEX(Txn[Key],MATCH(0,INDEX(COUNTIF($A$1:A101,Txn[Key])+(Txn[Key]=""),0),0)),"")</f>
        <v/>
      </c>
      <c r="B102" s="243" t="str">
        <f t="shared" si="9"/>
        <v/>
      </c>
      <c r="C102" s="243" t="str">
        <f t="shared" si="10"/>
        <v/>
      </c>
      <c r="D102" s="243" t="str">
        <f t="shared" si="11"/>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2"/>
        <v/>
      </c>
      <c r="K102" s="287" t="str">
        <f t="shared" si="13"/>
        <v/>
      </c>
      <c r="L102" s="287" t="str">
        <f t="shared" si="14"/>
        <v/>
      </c>
      <c r="M102" s="290" t="str">
        <f t="shared" si="15"/>
        <v/>
      </c>
      <c r="N102" s="243" t="str">
        <f>IF($A102="","",IF(ABS(E102)&gt;0.000001,COUNT($N$1:N101)+1,""))</f>
        <v/>
      </c>
      <c r="O102" s="291" t="str">
        <f>IF($A102="","",SUMIFS(Transactions!$H$2:$H$1001,Transactions!$J$2:$J$1001,$A102,Transactions!$A$2:$A$1001,2)*$I102)</f>
        <v/>
      </c>
      <c r="P102" s="291" t="str">
        <f t="shared" si="16"/>
        <v/>
      </c>
      <c r="Q102" s="292" t="str">
        <f t="shared" si="17"/>
        <v/>
      </c>
    </row>
    <row r="103" spans="1:17" ht="15" customHeight="1" x14ac:dyDescent="0.2">
      <c r="A103" s="243" t="str">
        <f>IFERROR(INDEX(Txn[Key],MATCH(0,INDEX(COUNTIF($A$1:A102,Txn[Key])+(Txn[Key]=""),0),0)),"")</f>
        <v/>
      </c>
      <c r="B103" s="243" t="str">
        <f t="shared" si="9"/>
        <v/>
      </c>
      <c r="C103" s="243" t="str">
        <f t="shared" si="10"/>
        <v/>
      </c>
      <c r="D103" s="243" t="str">
        <f t="shared" si="11"/>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2"/>
        <v/>
      </c>
      <c r="K103" s="287" t="str">
        <f t="shared" si="13"/>
        <v/>
      </c>
      <c r="L103" s="287" t="str">
        <f t="shared" si="14"/>
        <v/>
      </c>
      <c r="M103" s="290" t="str">
        <f t="shared" si="15"/>
        <v/>
      </c>
      <c r="N103" s="243" t="str">
        <f>IF($A103="","",IF(ABS(E103)&gt;0.000001,COUNT($N$1:N102)+1,""))</f>
        <v/>
      </c>
      <c r="O103" s="291" t="str">
        <f>IF($A103="","",SUMIFS(Transactions!$H$2:$H$1001,Transactions!$J$2:$J$1001,$A103,Transactions!$A$2:$A$1001,2)*$I103)</f>
        <v/>
      </c>
      <c r="P103" s="291" t="str">
        <f t="shared" si="16"/>
        <v/>
      </c>
      <c r="Q103" s="292" t="str">
        <f t="shared" si="17"/>
        <v/>
      </c>
    </row>
    <row r="104" spans="1:17" ht="15" customHeight="1" x14ac:dyDescent="0.2">
      <c r="A104" s="243" t="str">
        <f>IFERROR(INDEX(Txn[Key],MATCH(0,INDEX(COUNTIF($A$1:A103,Txn[Key])+(Txn[Key]=""),0),0)),"")</f>
        <v/>
      </c>
      <c r="B104" s="243" t="str">
        <f t="shared" si="9"/>
        <v/>
      </c>
      <c r="C104" s="243" t="str">
        <f t="shared" si="10"/>
        <v/>
      </c>
      <c r="D104" s="243" t="str">
        <f t="shared" si="11"/>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2"/>
        <v/>
      </c>
      <c r="K104" s="287" t="str">
        <f t="shared" si="13"/>
        <v/>
      </c>
      <c r="L104" s="287" t="str">
        <f t="shared" si="14"/>
        <v/>
      </c>
      <c r="M104" s="290" t="str">
        <f t="shared" si="15"/>
        <v/>
      </c>
      <c r="N104" s="243" t="str">
        <f>IF($A104="","",IF(ABS(E104)&gt;0.000001,COUNT($N$1:N103)+1,""))</f>
        <v/>
      </c>
      <c r="O104" s="291" t="str">
        <f>IF($A104="","",SUMIFS(Transactions!$H$2:$H$1001,Transactions!$J$2:$J$1001,$A104,Transactions!$A$2:$A$1001,2)*$I104)</f>
        <v/>
      </c>
      <c r="P104" s="291" t="str">
        <f t="shared" si="16"/>
        <v/>
      </c>
      <c r="Q104" s="292" t="str">
        <f t="shared" si="17"/>
        <v/>
      </c>
    </row>
    <row r="105" spans="1:17" ht="15" customHeight="1" x14ac:dyDescent="0.2">
      <c r="A105" s="243" t="str">
        <f>IFERROR(INDEX(Txn[Key],MATCH(0,INDEX(COUNTIF($A$1:A104,Txn[Key])+(Txn[Key]=""),0),0)),"")</f>
        <v/>
      </c>
      <c r="B105" s="243" t="str">
        <f t="shared" si="9"/>
        <v/>
      </c>
      <c r="C105" s="243" t="str">
        <f t="shared" si="10"/>
        <v/>
      </c>
      <c r="D105" s="243" t="str">
        <f t="shared" si="11"/>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2"/>
        <v/>
      </c>
      <c r="K105" s="287" t="str">
        <f t="shared" si="13"/>
        <v/>
      </c>
      <c r="L105" s="287" t="str">
        <f t="shared" si="14"/>
        <v/>
      </c>
      <c r="M105" s="290" t="str">
        <f t="shared" si="15"/>
        <v/>
      </c>
      <c r="N105" s="243" t="str">
        <f>IF($A105="","",IF(ABS(E105)&gt;0.000001,COUNT($N$1:N104)+1,""))</f>
        <v/>
      </c>
      <c r="O105" s="291" t="str">
        <f>IF($A105="","",SUMIFS(Transactions!$H$2:$H$1001,Transactions!$J$2:$J$1001,$A105,Transactions!$A$2:$A$1001,2)*$I105)</f>
        <v/>
      </c>
      <c r="P105" s="291" t="str">
        <f t="shared" si="16"/>
        <v/>
      </c>
      <c r="Q105" s="292" t="str">
        <f t="shared" si="17"/>
        <v/>
      </c>
    </row>
    <row r="106" spans="1:17" ht="15" customHeight="1" x14ac:dyDescent="0.2">
      <c r="A106" s="243" t="str">
        <f>IFERROR(INDEX(Txn[Key],MATCH(0,INDEX(COUNTIF($A$1:A105,Txn[Key])+(Txn[Key]=""),0),0)),"")</f>
        <v/>
      </c>
      <c r="B106" s="243" t="str">
        <f t="shared" si="9"/>
        <v/>
      </c>
      <c r="C106" s="243" t="str">
        <f t="shared" si="10"/>
        <v/>
      </c>
      <c r="D106" s="243" t="str">
        <f t="shared" si="11"/>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2"/>
        <v/>
      </c>
      <c r="K106" s="287" t="str">
        <f t="shared" si="13"/>
        <v/>
      </c>
      <c r="L106" s="287" t="str">
        <f t="shared" si="14"/>
        <v/>
      </c>
      <c r="M106" s="290" t="str">
        <f t="shared" si="15"/>
        <v/>
      </c>
      <c r="N106" s="243" t="str">
        <f>IF($A106="","",IF(ABS(E106)&gt;0.000001,COUNT($N$1:N105)+1,""))</f>
        <v/>
      </c>
      <c r="O106" s="291" t="str">
        <f>IF($A106="","",SUMIFS(Transactions!$H$2:$H$1001,Transactions!$J$2:$J$1001,$A106,Transactions!$A$2:$A$1001,2)*$I106)</f>
        <v/>
      </c>
      <c r="P106" s="291" t="str">
        <f t="shared" si="16"/>
        <v/>
      </c>
      <c r="Q106" s="292" t="str">
        <f t="shared" si="17"/>
        <v/>
      </c>
    </row>
    <row r="107" spans="1:17" ht="15" customHeight="1" x14ac:dyDescent="0.2">
      <c r="A107" s="243" t="str">
        <f>IFERROR(INDEX(Txn[Key],MATCH(0,INDEX(COUNTIF($A$1:A106,Txn[Key])+(Txn[Key]=""),0),0)),"")</f>
        <v/>
      </c>
      <c r="B107" s="243" t="str">
        <f t="shared" si="9"/>
        <v/>
      </c>
      <c r="C107" s="243" t="str">
        <f t="shared" si="10"/>
        <v/>
      </c>
      <c r="D107" s="243" t="str">
        <f t="shared" si="11"/>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2"/>
        <v/>
      </c>
      <c r="K107" s="287" t="str">
        <f t="shared" si="13"/>
        <v/>
      </c>
      <c r="L107" s="287" t="str">
        <f t="shared" si="14"/>
        <v/>
      </c>
      <c r="M107" s="290" t="str">
        <f t="shared" si="15"/>
        <v/>
      </c>
      <c r="N107" s="243" t="str">
        <f>IF($A107="","",IF(ABS(E107)&gt;0.000001,COUNT($N$1:N106)+1,""))</f>
        <v/>
      </c>
      <c r="O107" s="291" t="str">
        <f>IF($A107="","",SUMIFS(Transactions!$H$2:$H$1001,Transactions!$J$2:$J$1001,$A107,Transactions!$A$2:$A$1001,2)*$I107)</f>
        <v/>
      </c>
      <c r="P107" s="291" t="str">
        <f t="shared" si="16"/>
        <v/>
      </c>
      <c r="Q107" s="292" t="str">
        <f t="shared" si="17"/>
        <v/>
      </c>
    </row>
    <row r="108" spans="1:17" ht="15" customHeight="1" x14ac:dyDescent="0.2">
      <c r="A108" s="243" t="str">
        <f>IFERROR(INDEX(Txn[Key],MATCH(0,INDEX(COUNTIF($A$1:A107,Txn[Key])+(Txn[Key]=""),0),0)),"")</f>
        <v/>
      </c>
      <c r="B108" s="243" t="str">
        <f t="shared" si="9"/>
        <v/>
      </c>
      <c r="C108" s="243" t="str">
        <f t="shared" si="10"/>
        <v/>
      </c>
      <c r="D108" s="243" t="str">
        <f t="shared" si="11"/>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2"/>
        <v/>
      </c>
      <c r="K108" s="287" t="str">
        <f t="shared" si="13"/>
        <v/>
      </c>
      <c r="L108" s="287" t="str">
        <f t="shared" si="14"/>
        <v/>
      </c>
      <c r="M108" s="290" t="str">
        <f t="shared" si="15"/>
        <v/>
      </c>
      <c r="N108" s="243" t="str">
        <f>IF($A108="","",IF(ABS(E108)&gt;0.000001,COUNT($N$1:N107)+1,""))</f>
        <v/>
      </c>
      <c r="O108" s="291" t="str">
        <f>IF($A108="","",SUMIFS(Transactions!$H$2:$H$1001,Transactions!$J$2:$J$1001,$A108,Transactions!$A$2:$A$1001,2)*$I108)</f>
        <v/>
      </c>
      <c r="P108" s="291" t="str">
        <f t="shared" si="16"/>
        <v/>
      </c>
      <c r="Q108" s="292" t="str">
        <f t="shared" si="17"/>
        <v/>
      </c>
    </row>
    <row r="109" spans="1:17" ht="15" customHeight="1" x14ac:dyDescent="0.2">
      <c r="A109" s="243" t="str">
        <f>IFERROR(INDEX(Txn[Key],MATCH(0,INDEX(COUNTIF($A$1:A108,Txn[Key])+(Txn[Key]=""),0),0)),"")</f>
        <v/>
      </c>
      <c r="B109" s="243" t="str">
        <f t="shared" si="9"/>
        <v/>
      </c>
      <c r="C109" s="243" t="str">
        <f t="shared" si="10"/>
        <v/>
      </c>
      <c r="D109" s="243" t="str">
        <f t="shared" si="11"/>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2"/>
        <v/>
      </c>
      <c r="K109" s="287" t="str">
        <f t="shared" si="13"/>
        <v/>
      </c>
      <c r="L109" s="287" t="str">
        <f t="shared" si="14"/>
        <v/>
      </c>
      <c r="M109" s="290" t="str">
        <f t="shared" si="15"/>
        <v/>
      </c>
      <c r="N109" s="243" t="str">
        <f>IF($A109="","",IF(ABS(E109)&gt;0.000001,COUNT($N$1:N108)+1,""))</f>
        <v/>
      </c>
      <c r="O109" s="291" t="str">
        <f>IF($A109="","",SUMIFS(Transactions!$H$2:$H$1001,Transactions!$J$2:$J$1001,$A109,Transactions!$A$2:$A$1001,2)*$I109)</f>
        <v/>
      </c>
      <c r="P109" s="291" t="str">
        <f t="shared" si="16"/>
        <v/>
      </c>
      <c r="Q109" s="292" t="str">
        <f t="shared" si="17"/>
        <v/>
      </c>
    </row>
    <row r="110" spans="1:17" ht="15" customHeight="1" x14ac:dyDescent="0.2">
      <c r="A110" s="243" t="str">
        <f>IFERROR(INDEX(Txn[Key],MATCH(0,INDEX(COUNTIF($A$1:A109,Txn[Key])+(Txn[Key]=""),0),0)),"")</f>
        <v/>
      </c>
      <c r="B110" s="243" t="str">
        <f t="shared" si="9"/>
        <v/>
      </c>
      <c r="C110" s="243" t="str">
        <f t="shared" si="10"/>
        <v/>
      </c>
      <c r="D110" s="243" t="str">
        <f t="shared" si="11"/>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2"/>
        <v/>
      </c>
      <c r="K110" s="287" t="str">
        <f t="shared" si="13"/>
        <v/>
      </c>
      <c r="L110" s="287" t="str">
        <f t="shared" si="14"/>
        <v/>
      </c>
      <c r="M110" s="290" t="str">
        <f t="shared" si="15"/>
        <v/>
      </c>
      <c r="N110" s="243" t="str">
        <f>IF($A110="","",IF(ABS(E110)&gt;0.000001,COUNT($N$1:N109)+1,""))</f>
        <v/>
      </c>
      <c r="O110" s="291" t="str">
        <f>IF($A110="","",SUMIFS(Transactions!$H$2:$H$1001,Transactions!$J$2:$J$1001,$A110,Transactions!$A$2:$A$1001,2)*$I110)</f>
        <v/>
      </c>
      <c r="P110" s="291" t="str">
        <f t="shared" si="16"/>
        <v/>
      </c>
      <c r="Q110" s="292" t="str">
        <f t="shared" si="17"/>
        <v/>
      </c>
    </row>
    <row r="111" spans="1:17" ht="15" customHeight="1" x14ac:dyDescent="0.2">
      <c r="A111" s="243" t="str">
        <f>IFERROR(INDEX(Txn[Key],MATCH(0,INDEX(COUNTIF($A$1:A110,Txn[Key])+(Txn[Key]=""),0),0)),"")</f>
        <v/>
      </c>
      <c r="B111" s="243" t="str">
        <f t="shared" si="9"/>
        <v/>
      </c>
      <c r="C111" s="243" t="str">
        <f t="shared" si="10"/>
        <v/>
      </c>
      <c r="D111" s="243" t="str">
        <f t="shared" si="11"/>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2"/>
        <v/>
      </c>
      <c r="K111" s="287" t="str">
        <f t="shared" si="13"/>
        <v/>
      </c>
      <c r="L111" s="287" t="str">
        <f t="shared" si="14"/>
        <v/>
      </c>
      <c r="M111" s="290" t="str">
        <f t="shared" si="15"/>
        <v/>
      </c>
      <c r="N111" s="243" t="str">
        <f>IF($A111="","",IF(ABS(E111)&gt;0.000001,COUNT($N$1:N110)+1,""))</f>
        <v/>
      </c>
      <c r="O111" s="291" t="str">
        <f>IF($A111="","",SUMIFS(Transactions!$H$2:$H$1001,Transactions!$J$2:$J$1001,$A111,Transactions!$A$2:$A$1001,2)*$I111)</f>
        <v/>
      </c>
      <c r="P111" s="291" t="str">
        <f t="shared" si="16"/>
        <v/>
      </c>
      <c r="Q111" s="292" t="str">
        <f t="shared" si="17"/>
        <v/>
      </c>
    </row>
    <row r="112" spans="1:17" ht="15" customHeight="1" x14ac:dyDescent="0.2">
      <c r="A112" s="243" t="str">
        <f>IFERROR(INDEX(Txn[Key],MATCH(0,INDEX(COUNTIF($A$1:A111,Txn[Key])+(Txn[Key]=""),0),0)),"")</f>
        <v/>
      </c>
      <c r="B112" s="243" t="str">
        <f t="shared" si="9"/>
        <v/>
      </c>
      <c r="C112" s="243" t="str">
        <f t="shared" si="10"/>
        <v/>
      </c>
      <c r="D112" s="243" t="str">
        <f t="shared" si="11"/>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2"/>
        <v/>
      </c>
      <c r="K112" s="287" t="str">
        <f t="shared" si="13"/>
        <v/>
      </c>
      <c r="L112" s="287" t="str">
        <f t="shared" si="14"/>
        <v/>
      </c>
      <c r="M112" s="290" t="str">
        <f t="shared" si="15"/>
        <v/>
      </c>
      <c r="N112" s="243" t="str">
        <f>IF($A112="","",IF(ABS(E112)&gt;0.000001,COUNT($N$1:N111)+1,""))</f>
        <v/>
      </c>
      <c r="O112" s="291" t="str">
        <f>IF($A112="","",SUMIFS(Transactions!$H$2:$H$1001,Transactions!$J$2:$J$1001,$A112,Transactions!$A$2:$A$1001,2)*$I112)</f>
        <v/>
      </c>
      <c r="P112" s="291" t="str">
        <f t="shared" si="16"/>
        <v/>
      </c>
      <c r="Q112" s="292" t="str">
        <f t="shared" si="17"/>
        <v/>
      </c>
    </row>
    <row r="113" spans="1:17" ht="15" customHeight="1" x14ac:dyDescent="0.2">
      <c r="A113" s="243" t="str">
        <f>IFERROR(INDEX(Txn[Key],MATCH(0,INDEX(COUNTIF($A$1:A112,Txn[Key])+(Txn[Key]=""),0),0)),"")</f>
        <v/>
      </c>
      <c r="B113" s="243" t="str">
        <f t="shared" si="9"/>
        <v/>
      </c>
      <c r="C113" s="243" t="str">
        <f t="shared" si="10"/>
        <v/>
      </c>
      <c r="D113" s="243" t="str">
        <f t="shared" si="11"/>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2"/>
        <v/>
      </c>
      <c r="K113" s="287" t="str">
        <f t="shared" si="13"/>
        <v/>
      </c>
      <c r="L113" s="287" t="str">
        <f t="shared" si="14"/>
        <v/>
      </c>
      <c r="M113" s="290" t="str">
        <f t="shared" si="15"/>
        <v/>
      </c>
      <c r="N113" s="243" t="str">
        <f>IF($A113="","",IF(ABS(E113)&gt;0.000001,COUNT($N$1:N112)+1,""))</f>
        <v/>
      </c>
      <c r="O113" s="291" t="str">
        <f>IF($A113="","",SUMIFS(Transactions!$H$2:$H$1001,Transactions!$J$2:$J$1001,$A113,Transactions!$A$2:$A$1001,2)*$I113)</f>
        <v/>
      </c>
      <c r="P113" s="291" t="str">
        <f t="shared" si="16"/>
        <v/>
      </c>
      <c r="Q113" s="292" t="str">
        <f t="shared" si="17"/>
        <v/>
      </c>
    </row>
    <row r="114" spans="1:17" ht="15" customHeight="1" x14ac:dyDescent="0.2">
      <c r="A114" s="243" t="str">
        <f>IFERROR(INDEX(Txn[Key],MATCH(0,INDEX(COUNTIF($A$1:A113,Txn[Key])+(Txn[Key]=""),0),0)),"")</f>
        <v/>
      </c>
      <c r="B114" s="243" t="str">
        <f t="shared" si="9"/>
        <v/>
      </c>
      <c r="C114" s="243" t="str">
        <f t="shared" si="10"/>
        <v/>
      </c>
      <c r="D114" s="243" t="str">
        <f t="shared" si="11"/>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2"/>
        <v/>
      </c>
      <c r="K114" s="287" t="str">
        <f t="shared" si="13"/>
        <v/>
      </c>
      <c r="L114" s="287" t="str">
        <f t="shared" si="14"/>
        <v/>
      </c>
      <c r="M114" s="290" t="str">
        <f t="shared" si="15"/>
        <v/>
      </c>
      <c r="N114" s="243" t="str">
        <f>IF($A114="","",IF(ABS(E114)&gt;0.000001,COUNT($N$1:N113)+1,""))</f>
        <v/>
      </c>
      <c r="O114" s="291" t="str">
        <f>IF($A114="","",SUMIFS(Transactions!$H$2:$H$1001,Transactions!$J$2:$J$1001,$A114,Transactions!$A$2:$A$1001,2)*$I114)</f>
        <v/>
      </c>
      <c r="P114" s="291" t="str">
        <f t="shared" si="16"/>
        <v/>
      </c>
      <c r="Q114" s="292" t="str">
        <f t="shared" si="17"/>
        <v/>
      </c>
    </row>
    <row r="115" spans="1:17" ht="15" customHeight="1" x14ac:dyDescent="0.2">
      <c r="A115" s="243" t="str">
        <f>IFERROR(INDEX(Txn[Key],MATCH(0,INDEX(COUNTIF($A$1:A114,Txn[Key])+(Txn[Key]=""),0),0)),"")</f>
        <v/>
      </c>
      <c r="B115" s="243" t="str">
        <f t="shared" si="9"/>
        <v/>
      </c>
      <c r="C115" s="243" t="str">
        <f t="shared" si="10"/>
        <v/>
      </c>
      <c r="D115" s="243" t="str">
        <f t="shared" si="11"/>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2"/>
        <v/>
      </c>
      <c r="K115" s="287" t="str">
        <f t="shared" si="13"/>
        <v/>
      </c>
      <c r="L115" s="287" t="str">
        <f t="shared" si="14"/>
        <v/>
      </c>
      <c r="M115" s="290" t="str">
        <f t="shared" si="15"/>
        <v/>
      </c>
      <c r="N115" s="243" t="str">
        <f>IF($A115="","",IF(ABS(E115)&gt;0.000001,COUNT($N$1:N114)+1,""))</f>
        <v/>
      </c>
      <c r="O115" s="291" t="str">
        <f>IF($A115="","",SUMIFS(Transactions!$H$2:$H$1001,Transactions!$J$2:$J$1001,$A115,Transactions!$A$2:$A$1001,2)*$I115)</f>
        <v/>
      </c>
      <c r="P115" s="291" t="str">
        <f t="shared" si="16"/>
        <v/>
      </c>
      <c r="Q115" s="292" t="str">
        <f t="shared" si="17"/>
        <v/>
      </c>
    </row>
    <row r="116" spans="1:17" ht="15" customHeight="1" x14ac:dyDescent="0.2">
      <c r="A116" s="243" t="str">
        <f>IFERROR(INDEX(Txn[Key],MATCH(0,INDEX(COUNTIF($A$1:A115,Txn[Key])+(Txn[Key]=""),0),0)),"")</f>
        <v/>
      </c>
      <c r="B116" s="243" t="str">
        <f t="shared" si="9"/>
        <v/>
      </c>
      <c r="C116" s="243" t="str">
        <f t="shared" si="10"/>
        <v/>
      </c>
      <c r="D116" s="243" t="str">
        <f t="shared" si="11"/>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2"/>
        <v/>
      </c>
      <c r="K116" s="287" t="str">
        <f t="shared" si="13"/>
        <v/>
      </c>
      <c r="L116" s="287" t="str">
        <f t="shared" si="14"/>
        <v/>
      </c>
      <c r="M116" s="290" t="str">
        <f t="shared" si="15"/>
        <v/>
      </c>
      <c r="N116" s="243" t="str">
        <f>IF($A116="","",IF(ABS(E116)&gt;0.000001,COUNT($N$1:N115)+1,""))</f>
        <v/>
      </c>
      <c r="O116" s="291" t="str">
        <f>IF($A116="","",SUMIFS(Transactions!$H$2:$H$1001,Transactions!$J$2:$J$1001,$A116,Transactions!$A$2:$A$1001,2)*$I116)</f>
        <v/>
      </c>
      <c r="P116" s="291" t="str">
        <f t="shared" si="16"/>
        <v/>
      </c>
      <c r="Q116" s="292" t="str">
        <f t="shared" si="17"/>
        <v/>
      </c>
    </row>
    <row r="117" spans="1:17" ht="15" customHeight="1" x14ac:dyDescent="0.2">
      <c r="A117" s="243" t="str">
        <f>IFERROR(INDEX(Txn[Key],MATCH(0,INDEX(COUNTIF($A$1:A116,Txn[Key])+(Txn[Key]=""),0),0)),"")</f>
        <v/>
      </c>
      <c r="B117" s="243" t="str">
        <f t="shared" si="9"/>
        <v/>
      </c>
      <c r="C117" s="243" t="str">
        <f t="shared" si="10"/>
        <v/>
      </c>
      <c r="D117" s="243" t="str">
        <f t="shared" si="11"/>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2"/>
        <v/>
      </c>
      <c r="K117" s="287" t="str">
        <f t="shared" si="13"/>
        <v/>
      </c>
      <c r="L117" s="287" t="str">
        <f t="shared" si="14"/>
        <v/>
      </c>
      <c r="M117" s="290" t="str">
        <f t="shared" si="15"/>
        <v/>
      </c>
      <c r="N117" s="243" t="str">
        <f>IF($A117="","",IF(ABS(E117)&gt;0.000001,COUNT($N$1:N116)+1,""))</f>
        <v/>
      </c>
      <c r="O117" s="291" t="str">
        <f>IF($A117="","",SUMIFS(Transactions!$H$2:$H$1001,Transactions!$J$2:$J$1001,$A117,Transactions!$A$2:$A$1001,2)*$I117)</f>
        <v/>
      </c>
      <c r="P117" s="291" t="str">
        <f t="shared" si="16"/>
        <v/>
      </c>
      <c r="Q117" s="292" t="str">
        <f t="shared" si="17"/>
        <v/>
      </c>
    </row>
    <row r="118" spans="1:17" ht="15" customHeight="1" x14ac:dyDescent="0.2">
      <c r="A118" s="243" t="str">
        <f>IFERROR(INDEX(Txn[Key],MATCH(0,INDEX(COUNTIF($A$1:A117,Txn[Key])+(Txn[Key]=""),0),0)),"")</f>
        <v/>
      </c>
      <c r="B118" s="243" t="str">
        <f t="shared" si="9"/>
        <v/>
      </c>
      <c r="C118" s="243" t="str">
        <f t="shared" si="10"/>
        <v/>
      </c>
      <c r="D118" s="243" t="str">
        <f t="shared" si="11"/>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2"/>
        <v/>
      </c>
      <c r="K118" s="287" t="str">
        <f t="shared" si="13"/>
        <v/>
      </c>
      <c r="L118" s="287" t="str">
        <f t="shared" si="14"/>
        <v/>
      </c>
      <c r="M118" s="290" t="str">
        <f t="shared" si="15"/>
        <v/>
      </c>
      <c r="N118" s="243" t="str">
        <f>IF($A118="","",IF(ABS(E118)&gt;0.000001,COUNT($N$1:N117)+1,""))</f>
        <v/>
      </c>
      <c r="O118" s="291" t="str">
        <f>IF($A118="","",SUMIFS(Transactions!$H$2:$H$1001,Transactions!$J$2:$J$1001,$A118,Transactions!$A$2:$A$1001,2)*$I118)</f>
        <v/>
      </c>
      <c r="P118" s="291" t="str">
        <f t="shared" si="16"/>
        <v/>
      </c>
      <c r="Q118" s="292" t="str">
        <f t="shared" si="17"/>
        <v/>
      </c>
    </row>
    <row r="119" spans="1:17" ht="15" customHeight="1" x14ac:dyDescent="0.2">
      <c r="A119" s="243" t="str">
        <f>IFERROR(INDEX(Txn[Key],MATCH(0,INDEX(COUNTIF($A$1:A118,Txn[Key])+(Txn[Key]=""),0),0)),"")</f>
        <v/>
      </c>
      <c r="B119" s="243" t="str">
        <f t="shared" si="9"/>
        <v/>
      </c>
      <c r="C119" s="243" t="str">
        <f t="shared" si="10"/>
        <v/>
      </c>
      <c r="D119" s="243" t="str">
        <f t="shared" si="11"/>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2"/>
        <v/>
      </c>
      <c r="K119" s="287" t="str">
        <f t="shared" si="13"/>
        <v/>
      </c>
      <c r="L119" s="287" t="str">
        <f t="shared" si="14"/>
        <v/>
      </c>
      <c r="M119" s="290" t="str">
        <f t="shared" si="15"/>
        <v/>
      </c>
      <c r="N119" s="243" t="str">
        <f>IF($A119="","",IF(ABS(E119)&gt;0.000001,COUNT($N$1:N118)+1,""))</f>
        <v/>
      </c>
      <c r="O119" s="291" t="str">
        <f>IF($A119="","",SUMIFS(Transactions!$H$2:$H$1001,Transactions!$J$2:$J$1001,$A119,Transactions!$A$2:$A$1001,2)*$I119)</f>
        <v/>
      </c>
      <c r="P119" s="291" t="str">
        <f t="shared" si="16"/>
        <v/>
      </c>
      <c r="Q119" s="292" t="str">
        <f t="shared" si="17"/>
        <v/>
      </c>
    </row>
    <row r="120" spans="1:17" ht="15" customHeight="1" x14ac:dyDescent="0.2">
      <c r="A120" s="243" t="str">
        <f>IFERROR(INDEX(Txn[Key],MATCH(0,INDEX(COUNTIF($A$1:A119,Txn[Key])+(Txn[Key]=""),0),0)),"")</f>
        <v/>
      </c>
      <c r="B120" s="243" t="str">
        <f t="shared" si="9"/>
        <v/>
      </c>
      <c r="C120" s="243" t="str">
        <f t="shared" si="10"/>
        <v/>
      </c>
      <c r="D120" s="243" t="str">
        <f t="shared" si="11"/>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2"/>
        <v/>
      </c>
      <c r="K120" s="287" t="str">
        <f t="shared" si="13"/>
        <v/>
      </c>
      <c r="L120" s="287" t="str">
        <f t="shared" si="14"/>
        <v/>
      </c>
      <c r="M120" s="290" t="str">
        <f t="shared" si="15"/>
        <v/>
      </c>
      <c r="N120" s="243" t="str">
        <f>IF($A120="","",IF(ABS(E120)&gt;0.000001,COUNT($N$1:N119)+1,""))</f>
        <v/>
      </c>
      <c r="O120" s="291" t="str">
        <f>IF($A120="","",SUMIFS(Transactions!$H$2:$H$1001,Transactions!$J$2:$J$1001,$A120,Transactions!$A$2:$A$1001,2)*$I120)</f>
        <v/>
      </c>
      <c r="P120" s="291" t="str">
        <f t="shared" si="16"/>
        <v/>
      </c>
      <c r="Q120" s="292" t="str">
        <f t="shared" si="17"/>
        <v/>
      </c>
    </row>
    <row r="121" spans="1:17" ht="15" customHeight="1" x14ac:dyDescent="0.2">
      <c r="A121" s="243" t="str">
        <f>IFERROR(INDEX(Txn[Key],MATCH(0,INDEX(COUNTIF($A$1:A120,Txn[Key])+(Txn[Key]=""),0),0)),"")</f>
        <v/>
      </c>
      <c r="B121" s="243" t="str">
        <f t="shared" si="9"/>
        <v/>
      </c>
      <c r="C121" s="243" t="str">
        <f t="shared" si="10"/>
        <v/>
      </c>
      <c r="D121" s="243" t="str">
        <f t="shared" si="11"/>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2"/>
        <v/>
      </c>
      <c r="K121" s="287" t="str">
        <f t="shared" si="13"/>
        <v/>
      </c>
      <c r="L121" s="287" t="str">
        <f t="shared" si="14"/>
        <v/>
      </c>
      <c r="M121" s="290" t="str">
        <f t="shared" si="15"/>
        <v/>
      </c>
      <c r="N121" s="243" t="str">
        <f>IF($A121="","",IF(ABS(E121)&gt;0.000001,COUNT($N$1:N120)+1,""))</f>
        <v/>
      </c>
      <c r="O121" s="291" t="str">
        <f>IF($A121="","",SUMIFS(Transactions!$H$2:$H$1001,Transactions!$J$2:$J$1001,$A121,Transactions!$A$2:$A$1001,2)*$I121)</f>
        <v/>
      </c>
      <c r="P121" s="291" t="str">
        <f t="shared" si="16"/>
        <v/>
      </c>
      <c r="Q121" s="292" t="str">
        <f t="shared" si="17"/>
        <v/>
      </c>
    </row>
    <row r="122" spans="1:17" ht="15" customHeight="1" x14ac:dyDescent="0.2">
      <c r="A122" s="243" t="str">
        <f>IFERROR(INDEX(Txn[Key],MATCH(0,INDEX(COUNTIF($A$1:A121,Txn[Key])+(Txn[Key]=""),0),0)),"")</f>
        <v/>
      </c>
      <c r="B122" s="243" t="str">
        <f t="shared" si="9"/>
        <v/>
      </c>
      <c r="C122" s="243" t="str">
        <f t="shared" si="10"/>
        <v/>
      </c>
      <c r="D122" s="243" t="str">
        <f t="shared" si="11"/>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2"/>
        <v/>
      </c>
      <c r="K122" s="287" t="str">
        <f t="shared" si="13"/>
        <v/>
      </c>
      <c r="L122" s="287" t="str">
        <f t="shared" si="14"/>
        <v/>
      </c>
      <c r="M122" s="290" t="str">
        <f t="shared" si="15"/>
        <v/>
      </c>
      <c r="N122" s="243" t="str">
        <f>IF($A122="","",IF(ABS(E122)&gt;0.000001,COUNT($N$1:N121)+1,""))</f>
        <v/>
      </c>
      <c r="O122" s="291" t="str">
        <f>IF($A122="","",SUMIFS(Transactions!$H$2:$H$1001,Transactions!$J$2:$J$1001,$A122,Transactions!$A$2:$A$1001,2)*$I122)</f>
        <v/>
      </c>
      <c r="P122" s="291" t="str">
        <f t="shared" si="16"/>
        <v/>
      </c>
      <c r="Q122" s="292" t="str">
        <f t="shared" si="17"/>
        <v/>
      </c>
    </row>
    <row r="123" spans="1:17" ht="15" customHeight="1" x14ac:dyDescent="0.2">
      <c r="A123" s="243" t="str">
        <f>IFERROR(INDEX(Txn[Key],MATCH(0,INDEX(COUNTIF($A$1:A122,Txn[Key])+(Txn[Key]=""),0),0)),"")</f>
        <v/>
      </c>
      <c r="B123" s="243" t="str">
        <f t="shared" si="9"/>
        <v/>
      </c>
      <c r="C123" s="243" t="str">
        <f t="shared" si="10"/>
        <v/>
      </c>
      <c r="D123" s="243" t="str">
        <f t="shared" si="11"/>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2"/>
        <v/>
      </c>
      <c r="K123" s="287" t="str">
        <f t="shared" si="13"/>
        <v/>
      </c>
      <c r="L123" s="287" t="str">
        <f t="shared" si="14"/>
        <v/>
      </c>
      <c r="M123" s="290" t="str">
        <f t="shared" si="15"/>
        <v/>
      </c>
      <c r="N123" s="243" t="str">
        <f>IF($A123="","",IF(ABS(E123)&gt;0.000001,COUNT($N$1:N122)+1,""))</f>
        <v/>
      </c>
      <c r="O123" s="291" t="str">
        <f>IF($A123="","",SUMIFS(Transactions!$H$2:$H$1001,Transactions!$J$2:$J$1001,$A123,Transactions!$A$2:$A$1001,2)*$I123)</f>
        <v/>
      </c>
      <c r="P123" s="291" t="str">
        <f t="shared" si="16"/>
        <v/>
      </c>
      <c r="Q123" s="292" t="str">
        <f t="shared" si="17"/>
        <v/>
      </c>
    </row>
    <row r="124" spans="1:17" ht="15" customHeight="1" x14ac:dyDescent="0.2">
      <c r="A124" s="243" t="str">
        <f>IFERROR(INDEX(Txn[Key],MATCH(0,INDEX(COUNTIF($A$1:A123,Txn[Key])+(Txn[Key]=""),0),0)),"")</f>
        <v/>
      </c>
      <c r="B124" s="243" t="str">
        <f t="shared" si="9"/>
        <v/>
      </c>
      <c r="C124" s="243" t="str">
        <f t="shared" si="10"/>
        <v/>
      </c>
      <c r="D124" s="243" t="str">
        <f t="shared" si="11"/>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2"/>
        <v/>
      </c>
      <c r="K124" s="287" t="str">
        <f t="shared" si="13"/>
        <v/>
      </c>
      <c r="L124" s="287" t="str">
        <f t="shared" si="14"/>
        <v/>
      </c>
      <c r="M124" s="290" t="str">
        <f t="shared" si="15"/>
        <v/>
      </c>
      <c r="N124" s="243" t="str">
        <f>IF($A124="","",IF(ABS(E124)&gt;0.000001,COUNT($N$1:N123)+1,""))</f>
        <v/>
      </c>
      <c r="O124" s="291" t="str">
        <f>IF($A124="","",SUMIFS(Transactions!$H$2:$H$1001,Transactions!$J$2:$J$1001,$A124,Transactions!$A$2:$A$1001,2)*$I124)</f>
        <v/>
      </c>
      <c r="P124" s="291" t="str">
        <f t="shared" si="16"/>
        <v/>
      </c>
      <c r="Q124" s="292" t="str">
        <f t="shared" si="17"/>
        <v/>
      </c>
    </row>
    <row r="125" spans="1:17" ht="15" customHeight="1" x14ac:dyDescent="0.2">
      <c r="A125" s="243" t="str">
        <f>IFERROR(INDEX(Txn[Key],MATCH(0,INDEX(COUNTIF($A$1:A124,Txn[Key])+(Txn[Key]=""),0),0)),"")</f>
        <v/>
      </c>
      <c r="B125" s="243" t="str">
        <f t="shared" si="9"/>
        <v/>
      </c>
      <c r="C125" s="243" t="str">
        <f t="shared" si="10"/>
        <v/>
      </c>
      <c r="D125" s="243" t="str">
        <f t="shared" si="11"/>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2"/>
        <v/>
      </c>
      <c r="K125" s="287" t="str">
        <f t="shared" si="13"/>
        <v/>
      </c>
      <c r="L125" s="287" t="str">
        <f t="shared" si="14"/>
        <v/>
      </c>
      <c r="M125" s="290" t="str">
        <f t="shared" si="15"/>
        <v/>
      </c>
      <c r="N125" s="243" t="str">
        <f>IF($A125="","",IF(ABS(E125)&gt;0.000001,COUNT($N$1:N124)+1,""))</f>
        <v/>
      </c>
      <c r="O125" s="291" t="str">
        <f>IF($A125="","",SUMIFS(Transactions!$H$2:$H$1001,Transactions!$J$2:$J$1001,$A125,Transactions!$A$2:$A$1001,2)*$I125)</f>
        <v/>
      </c>
      <c r="P125" s="291" t="str">
        <f t="shared" si="16"/>
        <v/>
      </c>
      <c r="Q125" s="292" t="str">
        <f t="shared" si="17"/>
        <v/>
      </c>
    </row>
    <row r="126" spans="1:17" ht="15" customHeight="1" x14ac:dyDescent="0.2">
      <c r="A126" s="243" t="str">
        <f>IFERROR(INDEX(Txn[Key],MATCH(0,INDEX(COUNTIF($A$1:A125,Txn[Key])+(Txn[Key]=""),0),0)),"")</f>
        <v/>
      </c>
      <c r="B126" s="243" t="str">
        <f t="shared" si="9"/>
        <v/>
      </c>
      <c r="C126" s="243" t="str">
        <f t="shared" si="10"/>
        <v/>
      </c>
      <c r="D126" s="243" t="str">
        <f t="shared" si="11"/>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2"/>
        <v/>
      </c>
      <c r="K126" s="287" t="str">
        <f t="shared" si="13"/>
        <v/>
      </c>
      <c r="L126" s="287" t="str">
        <f t="shared" si="14"/>
        <v/>
      </c>
      <c r="M126" s="290" t="str">
        <f t="shared" si="15"/>
        <v/>
      </c>
      <c r="N126" s="243" t="str">
        <f>IF($A126="","",IF(ABS(E126)&gt;0.000001,COUNT($N$1:N125)+1,""))</f>
        <v/>
      </c>
      <c r="O126" s="291" t="str">
        <f>IF($A126="","",SUMIFS(Transactions!$H$2:$H$1001,Transactions!$J$2:$J$1001,$A126,Transactions!$A$2:$A$1001,2)*$I126)</f>
        <v/>
      </c>
      <c r="P126" s="291" t="str">
        <f t="shared" si="16"/>
        <v/>
      </c>
      <c r="Q126" s="292" t="str">
        <f t="shared" si="17"/>
        <v/>
      </c>
    </row>
    <row r="127" spans="1:17" ht="15" customHeight="1" x14ac:dyDescent="0.2">
      <c r="A127" s="243" t="str">
        <f>IFERROR(INDEX(Txn[Key],MATCH(0,INDEX(COUNTIF($A$1:A126,Txn[Key])+(Txn[Key]=""),0),0)),"")</f>
        <v/>
      </c>
      <c r="B127" s="243" t="str">
        <f t="shared" si="9"/>
        <v/>
      </c>
      <c r="C127" s="243" t="str">
        <f t="shared" si="10"/>
        <v/>
      </c>
      <c r="D127" s="243" t="str">
        <f t="shared" si="11"/>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2"/>
        <v/>
      </c>
      <c r="K127" s="287" t="str">
        <f t="shared" si="13"/>
        <v/>
      </c>
      <c r="L127" s="287" t="str">
        <f t="shared" si="14"/>
        <v/>
      </c>
      <c r="M127" s="290" t="str">
        <f t="shared" si="15"/>
        <v/>
      </c>
      <c r="N127" s="243" t="str">
        <f>IF($A127="","",IF(ABS(E127)&gt;0.000001,COUNT($N$1:N126)+1,""))</f>
        <v/>
      </c>
      <c r="O127" s="291" t="str">
        <f>IF($A127="","",SUMIFS(Transactions!$H$2:$H$1001,Transactions!$J$2:$J$1001,$A127,Transactions!$A$2:$A$1001,2)*$I127)</f>
        <v/>
      </c>
      <c r="P127" s="291" t="str">
        <f t="shared" si="16"/>
        <v/>
      </c>
      <c r="Q127" s="292" t="str">
        <f t="shared" si="17"/>
        <v/>
      </c>
    </row>
    <row r="128" spans="1:17" ht="15" customHeight="1" x14ac:dyDescent="0.2">
      <c r="A128" s="243" t="str">
        <f>IFERROR(INDEX(Txn[Key],MATCH(0,INDEX(COUNTIF($A$1:A127,Txn[Key])+(Txn[Key]=""),0),0)),"")</f>
        <v/>
      </c>
      <c r="B128" s="243" t="str">
        <f t="shared" si="9"/>
        <v/>
      </c>
      <c r="C128" s="243" t="str">
        <f t="shared" si="10"/>
        <v/>
      </c>
      <c r="D128" s="243" t="str">
        <f t="shared" si="11"/>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2"/>
        <v/>
      </c>
      <c r="K128" s="287" t="str">
        <f t="shared" si="13"/>
        <v/>
      </c>
      <c r="L128" s="287" t="str">
        <f t="shared" si="14"/>
        <v/>
      </c>
      <c r="M128" s="290" t="str">
        <f t="shared" si="15"/>
        <v/>
      </c>
      <c r="N128" s="243" t="str">
        <f>IF($A128="","",IF(ABS(E128)&gt;0.000001,COUNT($N$1:N127)+1,""))</f>
        <v/>
      </c>
      <c r="O128" s="291" t="str">
        <f>IF($A128="","",SUMIFS(Transactions!$H$2:$H$1001,Transactions!$J$2:$J$1001,$A128,Transactions!$A$2:$A$1001,2)*$I128)</f>
        <v/>
      </c>
      <c r="P128" s="291" t="str">
        <f t="shared" si="16"/>
        <v/>
      </c>
      <c r="Q128" s="292" t="str">
        <f t="shared" si="17"/>
        <v/>
      </c>
    </row>
    <row r="129" spans="1:17" ht="15" customHeight="1" x14ac:dyDescent="0.2">
      <c r="A129" s="243" t="str">
        <f>IFERROR(INDEX(Txn[Key],MATCH(0,INDEX(COUNTIF($A$1:A128,Txn[Key])+(Txn[Key]=""),0),0)),"")</f>
        <v/>
      </c>
      <c r="B129" s="243" t="str">
        <f t="shared" si="9"/>
        <v/>
      </c>
      <c r="C129" s="243" t="str">
        <f t="shared" si="10"/>
        <v/>
      </c>
      <c r="D129" s="243" t="str">
        <f t="shared" si="11"/>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2"/>
        <v/>
      </c>
      <c r="K129" s="287" t="str">
        <f t="shared" si="13"/>
        <v/>
      </c>
      <c r="L129" s="287" t="str">
        <f t="shared" si="14"/>
        <v/>
      </c>
      <c r="M129" s="290" t="str">
        <f t="shared" si="15"/>
        <v/>
      </c>
      <c r="N129" s="243" t="str">
        <f>IF($A129="","",IF(ABS(E129)&gt;0.000001,COUNT($N$1:N128)+1,""))</f>
        <v/>
      </c>
      <c r="O129" s="291" t="str">
        <f>IF($A129="","",SUMIFS(Transactions!$H$2:$H$1001,Transactions!$J$2:$J$1001,$A129,Transactions!$A$2:$A$1001,2)*$I129)</f>
        <v/>
      </c>
      <c r="P129" s="291" t="str">
        <f t="shared" si="16"/>
        <v/>
      </c>
      <c r="Q129" s="292" t="str">
        <f t="shared" si="17"/>
        <v/>
      </c>
    </row>
    <row r="130" spans="1:17" ht="15" customHeight="1" x14ac:dyDescent="0.2">
      <c r="A130" s="243" t="str">
        <f>IFERROR(INDEX(Txn[Key],MATCH(0,INDEX(COUNTIF($A$1:A129,Txn[Key])+(Txn[Key]=""),0),0)),"")</f>
        <v/>
      </c>
      <c r="B130" s="243" t="str">
        <f t="shared" ref="B130:B193" si="18">IF($A130="","",LEFT($A130,FIND(":",$A130)-1))</f>
        <v/>
      </c>
      <c r="C130" s="243" t="str">
        <f t="shared" ref="C130:C193" si="19">IF($A130="","",MID($A130,FIND(":",$A130)+1,FIND(":",$A130,FIND(":",$A130)+1)-FIND(":",$A130)-1))</f>
        <v/>
      </c>
      <c r="D130" s="243" t="str">
        <f t="shared" ref="D130:D193" si="20">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1">IF($A130="","",E130*H130)</f>
        <v/>
      </c>
      <c r="K130" s="287" t="str">
        <f t="shared" ref="K130:K193" si="22">IF($A130="","",J130+G130-F130)</f>
        <v/>
      </c>
      <c r="L130" s="287" t="str">
        <f t="shared" ref="L130:L193" si="23">IF($A130="","",K130*I130)</f>
        <v/>
      </c>
      <c r="M130" s="290" t="str">
        <f t="shared" ref="M130:M193" si="24">IF($A130="","",IFERROR(K130/F130,0))</f>
        <v/>
      </c>
      <c r="N130" s="243" t="str">
        <f>IF($A130="","",IF(ABS(E130)&gt;0.000001,COUNT($N$1:N129)+1,""))</f>
        <v/>
      </c>
      <c r="O130" s="291" t="str">
        <f>IF($A130="","",SUMIFS(Transactions!$H$2:$H$1001,Transactions!$J$2:$J$1001,$A130,Transactions!$A$2:$A$1001,2)*$I130)</f>
        <v/>
      </c>
      <c r="P130" s="291" t="str">
        <f t="shared" ref="P130:P193" si="25">IF($A130="","",$L130+$O130)</f>
        <v/>
      </c>
      <c r="Q130" s="292" t="str">
        <f t="shared" ref="Q130:Q193" si="26">IF($A130="","",IFERROR(($L130+$O130)/($F130*$I130),0))</f>
        <v/>
      </c>
    </row>
    <row r="131" spans="1:17" ht="15" customHeight="1" x14ac:dyDescent="0.2">
      <c r="A131" s="243" t="str">
        <f>IFERROR(INDEX(Txn[Key],MATCH(0,INDEX(COUNTIF($A$1:A130,Txn[Key])+(Txn[Key]=""),0),0)),"")</f>
        <v/>
      </c>
      <c r="B131" s="243" t="str">
        <f t="shared" si="18"/>
        <v/>
      </c>
      <c r="C131" s="243" t="str">
        <f t="shared" si="19"/>
        <v/>
      </c>
      <c r="D131" s="243" t="str">
        <f t="shared" si="20"/>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1"/>
        <v/>
      </c>
      <c r="K131" s="287" t="str">
        <f t="shared" si="22"/>
        <v/>
      </c>
      <c r="L131" s="287" t="str">
        <f t="shared" si="23"/>
        <v/>
      </c>
      <c r="M131" s="290" t="str">
        <f t="shared" si="24"/>
        <v/>
      </c>
      <c r="N131" s="243" t="str">
        <f>IF($A131="","",IF(ABS(E131)&gt;0.000001,COUNT($N$1:N130)+1,""))</f>
        <v/>
      </c>
      <c r="O131" s="291" t="str">
        <f>IF($A131="","",SUMIFS(Transactions!$H$2:$H$1001,Transactions!$J$2:$J$1001,$A131,Transactions!$A$2:$A$1001,2)*$I131)</f>
        <v/>
      </c>
      <c r="P131" s="291" t="str">
        <f t="shared" si="25"/>
        <v/>
      </c>
      <c r="Q131" s="292" t="str">
        <f t="shared" si="26"/>
        <v/>
      </c>
    </row>
    <row r="132" spans="1:17" ht="15" customHeight="1" x14ac:dyDescent="0.2">
      <c r="A132" s="243" t="str">
        <f>IFERROR(INDEX(Txn[Key],MATCH(0,INDEX(COUNTIF($A$1:A131,Txn[Key])+(Txn[Key]=""),0),0)),"")</f>
        <v/>
      </c>
      <c r="B132" s="243" t="str">
        <f t="shared" si="18"/>
        <v/>
      </c>
      <c r="C132" s="243" t="str">
        <f t="shared" si="19"/>
        <v/>
      </c>
      <c r="D132" s="243" t="str">
        <f t="shared" si="20"/>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1"/>
        <v/>
      </c>
      <c r="K132" s="287" t="str">
        <f t="shared" si="22"/>
        <v/>
      </c>
      <c r="L132" s="287" t="str">
        <f t="shared" si="23"/>
        <v/>
      </c>
      <c r="M132" s="290" t="str">
        <f t="shared" si="24"/>
        <v/>
      </c>
      <c r="N132" s="243" t="str">
        <f>IF($A132="","",IF(ABS(E132)&gt;0.000001,COUNT($N$1:N131)+1,""))</f>
        <v/>
      </c>
      <c r="O132" s="291" t="str">
        <f>IF($A132="","",SUMIFS(Transactions!$H$2:$H$1001,Transactions!$J$2:$J$1001,$A132,Transactions!$A$2:$A$1001,2)*$I132)</f>
        <v/>
      </c>
      <c r="P132" s="291" t="str">
        <f t="shared" si="25"/>
        <v/>
      </c>
      <c r="Q132" s="292" t="str">
        <f t="shared" si="26"/>
        <v/>
      </c>
    </row>
    <row r="133" spans="1:17" ht="15" customHeight="1" x14ac:dyDescent="0.2">
      <c r="A133" s="243" t="str">
        <f>IFERROR(INDEX(Txn[Key],MATCH(0,INDEX(COUNTIF($A$1:A132,Txn[Key])+(Txn[Key]=""),0),0)),"")</f>
        <v/>
      </c>
      <c r="B133" s="243" t="str">
        <f t="shared" si="18"/>
        <v/>
      </c>
      <c r="C133" s="243" t="str">
        <f t="shared" si="19"/>
        <v/>
      </c>
      <c r="D133" s="243" t="str">
        <f t="shared" si="20"/>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1"/>
        <v/>
      </c>
      <c r="K133" s="287" t="str">
        <f t="shared" si="22"/>
        <v/>
      </c>
      <c r="L133" s="287" t="str">
        <f t="shared" si="23"/>
        <v/>
      </c>
      <c r="M133" s="290" t="str">
        <f t="shared" si="24"/>
        <v/>
      </c>
      <c r="N133" s="243" t="str">
        <f>IF($A133="","",IF(ABS(E133)&gt;0.000001,COUNT($N$1:N132)+1,""))</f>
        <v/>
      </c>
      <c r="O133" s="291" t="str">
        <f>IF($A133="","",SUMIFS(Transactions!$H$2:$H$1001,Transactions!$J$2:$J$1001,$A133,Transactions!$A$2:$A$1001,2)*$I133)</f>
        <v/>
      </c>
      <c r="P133" s="291" t="str">
        <f t="shared" si="25"/>
        <v/>
      </c>
      <c r="Q133" s="292" t="str">
        <f t="shared" si="26"/>
        <v/>
      </c>
    </row>
    <row r="134" spans="1:17" ht="15" customHeight="1" x14ac:dyDescent="0.2">
      <c r="A134" s="243" t="str">
        <f>IFERROR(INDEX(Txn[Key],MATCH(0,INDEX(COUNTIF($A$1:A133,Txn[Key])+(Txn[Key]=""),0),0)),"")</f>
        <v/>
      </c>
      <c r="B134" s="243" t="str">
        <f t="shared" si="18"/>
        <v/>
      </c>
      <c r="C134" s="243" t="str">
        <f t="shared" si="19"/>
        <v/>
      </c>
      <c r="D134" s="243" t="str">
        <f t="shared" si="20"/>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1"/>
        <v/>
      </c>
      <c r="K134" s="287" t="str">
        <f t="shared" si="22"/>
        <v/>
      </c>
      <c r="L134" s="287" t="str">
        <f t="shared" si="23"/>
        <v/>
      </c>
      <c r="M134" s="290" t="str">
        <f t="shared" si="24"/>
        <v/>
      </c>
      <c r="N134" s="243" t="str">
        <f>IF($A134="","",IF(ABS(E134)&gt;0.000001,COUNT($N$1:N133)+1,""))</f>
        <v/>
      </c>
      <c r="O134" s="291" t="str">
        <f>IF($A134="","",SUMIFS(Transactions!$H$2:$H$1001,Transactions!$J$2:$J$1001,$A134,Transactions!$A$2:$A$1001,2)*$I134)</f>
        <v/>
      </c>
      <c r="P134" s="291" t="str">
        <f t="shared" si="25"/>
        <v/>
      </c>
      <c r="Q134" s="292" t="str">
        <f t="shared" si="26"/>
        <v/>
      </c>
    </row>
    <row r="135" spans="1:17" ht="15" customHeight="1" x14ac:dyDescent="0.2">
      <c r="A135" s="243" t="str">
        <f>IFERROR(INDEX(Txn[Key],MATCH(0,INDEX(COUNTIF($A$1:A134,Txn[Key])+(Txn[Key]=""),0),0)),"")</f>
        <v/>
      </c>
      <c r="B135" s="243" t="str">
        <f t="shared" si="18"/>
        <v/>
      </c>
      <c r="C135" s="243" t="str">
        <f t="shared" si="19"/>
        <v/>
      </c>
      <c r="D135" s="243" t="str">
        <f t="shared" si="20"/>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1"/>
        <v/>
      </c>
      <c r="K135" s="287" t="str">
        <f t="shared" si="22"/>
        <v/>
      </c>
      <c r="L135" s="287" t="str">
        <f t="shared" si="23"/>
        <v/>
      </c>
      <c r="M135" s="290" t="str">
        <f t="shared" si="24"/>
        <v/>
      </c>
      <c r="N135" s="243" t="str">
        <f>IF($A135="","",IF(ABS(E135)&gt;0.000001,COUNT($N$1:N134)+1,""))</f>
        <v/>
      </c>
      <c r="O135" s="291" t="str">
        <f>IF($A135="","",SUMIFS(Transactions!$H$2:$H$1001,Transactions!$J$2:$J$1001,$A135,Transactions!$A$2:$A$1001,2)*$I135)</f>
        <v/>
      </c>
      <c r="P135" s="291" t="str">
        <f t="shared" si="25"/>
        <v/>
      </c>
      <c r="Q135" s="292" t="str">
        <f t="shared" si="26"/>
        <v/>
      </c>
    </row>
    <row r="136" spans="1:17" ht="15" customHeight="1" x14ac:dyDescent="0.2">
      <c r="A136" s="243" t="str">
        <f>IFERROR(INDEX(Txn[Key],MATCH(0,INDEX(COUNTIF($A$1:A135,Txn[Key])+(Txn[Key]=""),0),0)),"")</f>
        <v/>
      </c>
      <c r="B136" s="243" t="str">
        <f t="shared" si="18"/>
        <v/>
      </c>
      <c r="C136" s="243" t="str">
        <f t="shared" si="19"/>
        <v/>
      </c>
      <c r="D136" s="243" t="str">
        <f t="shared" si="20"/>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1"/>
        <v/>
      </c>
      <c r="K136" s="287" t="str">
        <f t="shared" si="22"/>
        <v/>
      </c>
      <c r="L136" s="287" t="str">
        <f t="shared" si="23"/>
        <v/>
      </c>
      <c r="M136" s="290" t="str">
        <f t="shared" si="24"/>
        <v/>
      </c>
      <c r="N136" s="243" t="str">
        <f>IF($A136="","",IF(ABS(E136)&gt;0.000001,COUNT($N$1:N135)+1,""))</f>
        <v/>
      </c>
      <c r="O136" s="291" t="str">
        <f>IF($A136="","",SUMIFS(Transactions!$H$2:$H$1001,Transactions!$J$2:$J$1001,$A136,Transactions!$A$2:$A$1001,2)*$I136)</f>
        <v/>
      </c>
      <c r="P136" s="291" t="str">
        <f t="shared" si="25"/>
        <v/>
      </c>
      <c r="Q136" s="292" t="str">
        <f t="shared" si="26"/>
        <v/>
      </c>
    </row>
    <row r="137" spans="1:17" ht="15" customHeight="1" x14ac:dyDescent="0.2">
      <c r="A137" s="243" t="str">
        <f>IFERROR(INDEX(Txn[Key],MATCH(0,INDEX(COUNTIF($A$1:A136,Txn[Key])+(Txn[Key]=""),0),0)),"")</f>
        <v/>
      </c>
      <c r="B137" s="243" t="str">
        <f t="shared" si="18"/>
        <v/>
      </c>
      <c r="C137" s="243" t="str">
        <f t="shared" si="19"/>
        <v/>
      </c>
      <c r="D137" s="243" t="str">
        <f t="shared" si="20"/>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1"/>
        <v/>
      </c>
      <c r="K137" s="287" t="str">
        <f t="shared" si="22"/>
        <v/>
      </c>
      <c r="L137" s="287" t="str">
        <f t="shared" si="23"/>
        <v/>
      </c>
      <c r="M137" s="290" t="str">
        <f t="shared" si="24"/>
        <v/>
      </c>
      <c r="N137" s="243" t="str">
        <f>IF($A137="","",IF(ABS(E137)&gt;0.000001,COUNT($N$1:N136)+1,""))</f>
        <v/>
      </c>
      <c r="O137" s="291" t="str">
        <f>IF($A137="","",SUMIFS(Transactions!$H$2:$H$1001,Transactions!$J$2:$J$1001,$A137,Transactions!$A$2:$A$1001,2)*$I137)</f>
        <v/>
      </c>
      <c r="P137" s="291" t="str">
        <f t="shared" si="25"/>
        <v/>
      </c>
      <c r="Q137" s="292" t="str">
        <f t="shared" si="26"/>
        <v/>
      </c>
    </row>
    <row r="138" spans="1:17" ht="15" customHeight="1" x14ac:dyDescent="0.2">
      <c r="A138" s="243" t="str">
        <f>IFERROR(INDEX(Txn[Key],MATCH(0,INDEX(COUNTIF($A$1:A137,Txn[Key])+(Txn[Key]=""),0),0)),"")</f>
        <v/>
      </c>
      <c r="B138" s="243" t="str">
        <f t="shared" si="18"/>
        <v/>
      </c>
      <c r="C138" s="243" t="str">
        <f t="shared" si="19"/>
        <v/>
      </c>
      <c r="D138" s="243" t="str">
        <f t="shared" si="20"/>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1"/>
        <v/>
      </c>
      <c r="K138" s="287" t="str">
        <f t="shared" si="22"/>
        <v/>
      </c>
      <c r="L138" s="287" t="str">
        <f t="shared" si="23"/>
        <v/>
      </c>
      <c r="M138" s="290" t="str">
        <f t="shared" si="24"/>
        <v/>
      </c>
      <c r="N138" s="243" t="str">
        <f>IF($A138="","",IF(ABS(E138)&gt;0.000001,COUNT($N$1:N137)+1,""))</f>
        <v/>
      </c>
      <c r="O138" s="291" t="str">
        <f>IF($A138="","",SUMIFS(Transactions!$H$2:$H$1001,Transactions!$J$2:$J$1001,$A138,Transactions!$A$2:$A$1001,2)*$I138)</f>
        <v/>
      </c>
      <c r="P138" s="291" t="str">
        <f t="shared" si="25"/>
        <v/>
      </c>
      <c r="Q138" s="292" t="str">
        <f t="shared" si="26"/>
        <v/>
      </c>
    </row>
    <row r="139" spans="1:17" ht="15" customHeight="1" x14ac:dyDescent="0.2">
      <c r="A139" s="243" t="str">
        <f>IFERROR(INDEX(Txn[Key],MATCH(0,INDEX(COUNTIF($A$1:A138,Txn[Key])+(Txn[Key]=""),0),0)),"")</f>
        <v/>
      </c>
      <c r="B139" s="243" t="str">
        <f t="shared" si="18"/>
        <v/>
      </c>
      <c r="C139" s="243" t="str">
        <f t="shared" si="19"/>
        <v/>
      </c>
      <c r="D139" s="243" t="str">
        <f t="shared" si="20"/>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1"/>
        <v/>
      </c>
      <c r="K139" s="287" t="str">
        <f t="shared" si="22"/>
        <v/>
      </c>
      <c r="L139" s="287" t="str">
        <f t="shared" si="23"/>
        <v/>
      </c>
      <c r="M139" s="290" t="str">
        <f t="shared" si="24"/>
        <v/>
      </c>
      <c r="N139" s="243" t="str">
        <f>IF($A139="","",IF(ABS(E139)&gt;0.000001,COUNT($N$1:N138)+1,""))</f>
        <v/>
      </c>
      <c r="O139" s="291" t="str">
        <f>IF($A139="","",SUMIFS(Transactions!$H$2:$H$1001,Transactions!$J$2:$J$1001,$A139,Transactions!$A$2:$A$1001,2)*$I139)</f>
        <v/>
      </c>
      <c r="P139" s="291" t="str">
        <f t="shared" si="25"/>
        <v/>
      </c>
      <c r="Q139" s="292" t="str">
        <f t="shared" si="26"/>
        <v/>
      </c>
    </row>
    <row r="140" spans="1:17" ht="15" customHeight="1" x14ac:dyDescent="0.2">
      <c r="A140" s="243" t="str">
        <f>IFERROR(INDEX(Txn[Key],MATCH(0,INDEX(COUNTIF($A$1:A139,Txn[Key])+(Txn[Key]=""),0),0)),"")</f>
        <v/>
      </c>
      <c r="B140" s="243" t="str">
        <f t="shared" si="18"/>
        <v/>
      </c>
      <c r="C140" s="243" t="str">
        <f t="shared" si="19"/>
        <v/>
      </c>
      <c r="D140" s="243" t="str">
        <f t="shared" si="20"/>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1"/>
        <v/>
      </c>
      <c r="K140" s="287" t="str">
        <f t="shared" si="22"/>
        <v/>
      </c>
      <c r="L140" s="287" t="str">
        <f t="shared" si="23"/>
        <v/>
      </c>
      <c r="M140" s="290" t="str">
        <f t="shared" si="24"/>
        <v/>
      </c>
      <c r="N140" s="243" t="str">
        <f>IF($A140="","",IF(ABS(E140)&gt;0.000001,COUNT($N$1:N139)+1,""))</f>
        <v/>
      </c>
      <c r="O140" s="291" t="str">
        <f>IF($A140="","",SUMIFS(Transactions!$H$2:$H$1001,Transactions!$J$2:$J$1001,$A140,Transactions!$A$2:$A$1001,2)*$I140)</f>
        <v/>
      </c>
      <c r="P140" s="291" t="str">
        <f t="shared" si="25"/>
        <v/>
      </c>
      <c r="Q140" s="292" t="str">
        <f t="shared" si="26"/>
        <v/>
      </c>
    </row>
    <row r="141" spans="1:17" ht="15" customHeight="1" x14ac:dyDescent="0.2">
      <c r="A141" s="243" t="str">
        <f>IFERROR(INDEX(Txn[Key],MATCH(0,INDEX(COUNTIF($A$1:A140,Txn[Key])+(Txn[Key]=""),0),0)),"")</f>
        <v/>
      </c>
      <c r="B141" s="243" t="str">
        <f t="shared" si="18"/>
        <v/>
      </c>
      <c r="C141" s="243" t="str">
        <f t="shared" si="19"/>
        <v/>
      </c>
      <c r="D141" s="243" t="str">
        <f t="shared" si="20"/>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1"/>
        <v/>
      </c>
      <c r="K141" s="287" t="str">
        <f t="shared" si="22"/>
        <v/>
      </c>
      <c r="L141" s="287" t="str">
        <f t="shared" si="23"/>
        <v/>
      </c>
      <c r="M141" s="290" t="str">
        <f t="shared" si="24"/>
        <v/>
      </c>
      <c r="N141" s="243" t="str">
        <f>IF($A141="","",IF(ABS(E141)&gt;0.000001,COUNT($N$1:N140)+1,""))</f>
        <v/>
      </c>
      <c r="O141" s="291" t="str">
        <f>IF($A141="","",SUMIFS(Transactions!$H$2:$H$1001,Transactions!$J$2:$J$1001,$A141,Transactions!$A$2:$A$1001,2)*$I141)</f>
        <v/>
      </c>
      <c r="P141" s="291" t="str">
        <f t="shared" si="25"/>
        <v/>
      </c>
      <c r="Q141" s="292" t="str">
        <f t="shared" si="26"/>
        <v/>
      </c>
    </row>
    <row r="142" spans="1:17" ht="15" customHeight="1" x14ac:dyDescent="0.2">
      <c r="A142" s="243" t="str">
        <f>IFERROR(INDEX(Txn[Key],MATCH(0,INDEX(COUNTIF($A$1:A141,Txn[Key])+(Txn[Key]=""),0),0)),"")</f>
        <v/>
      </c>
      <c r="B142" s="243" t="str">
        <f t="shared" si="18"/>
        <v/>
      </c>
      <c r="C142" s="243" t="str">
        <f t="shared" si="19"/>
        <v/>
      </c>
      <c r="D142" s="243" t="str">
        <f t="shared" si="20"/>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1"/>
        <v/>
      </c>
      <c r="K142" s="287" t="str">
        <f t="shared" si="22"/>
        <v/>
      </c>
      <c r="L142" s="287" t="str">
        <f t="shared" si="23"/>
        <v/>
      </c>
      <c r="M142" s="290" t="str">
        <f t="shared" si="24"/>
        <v/>
      </c>
      <c r="N142" s="243" t="str">
        <f>IF($A142="","",IF(ABS(E142)&gt;0.000001,COUNT($N$1:N141)+1,""))</f>
        <v/>
      </c>
      <c r="O142" s="291" t="str">
        <f>IF($A142="","",SUMIFS(Transactions!$H$2:$H$1001,Transactions!$J$2:$J$1001,$A142,Transactions!$A$2:$A$1001,2)*$I142)</f>
        <v/>
      </c>
      <c r="P142" s="291" t="str">
        <f t="shared" si="25"/>
        <v/>
      </c>
      <c r="Q142" s="292" t="str">
        <f t="shared" si="26"/>
        <v/>
      </c>
    </row>
    <row r="143" spans="1:17" ht="15" customHeight="1" x14ac:dyDescent="0.2">
      <c r="A143" s="243" t="str">
        <f>IFERROR(INDEX(Txn[Key],MATCH(0,INDEX(COUNTIF($A$1:A142,Txn[Key])+(Txn[Key]=""),0),0)),"")</f>
        <v/>
      </c>
      <c r="B143" s="243" t="str">
        <f t="shared" si="18"/>
        <v/>
      </c>
      <c r="C143" s="243" t="str">
        <f t="shared" si="19"/>
        <v/>
      </c>
      <c r="D143" s="243" t="str">
        <f t="shared" si="20"/>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1"/>
        <v/>
      </c>
      <c r="K143" s="287" t="str">
        <f t="shared" si="22"/>
        <v/>
      </c>
      <c r="L143" s="287" t="str">
        <f t="shared" si="23"/>
        <v/>
      </c>
      <c r="M143" s="290" t="str">
        <f t="shared" si="24"/>
        <v/>
      </c>
      <c r="N143" s="243" t="str">
        <f>IF($A143="","",IF(ABS(E143)&gt;0.000001,COUNT($N$1:N142)+1,""))</f>
        <v/>
      </c>
      <c r="O143" s="291" t="str">
        <f>IF($A143="","",SUMIFS(Transactions!$H$2:$H$1001,Transactions!$J$2:$J$1001,$A143,Transactions!$A$2:$A$1001,2)*$I143)</f>
        <v/>
      </c>
      <c r="P143" s="291" t="str">
        <f t="shared" si="25"/>
        <v/>
      </c>
      <c r="Q143" s="292" t="str">
        <f t="shared" si="26"/>
        <v/>
      </c>
    </row>
    <row r="144" spans="1:17" ht="15" customHeight="1" x14ac:dyDescent="0.2">
      <c r="A144" s="243" t="str">
        <f>IFERROR(INDEX(Txn[Key],MATCH(0,INDEX(COUNTIF($A$1:A143,Txn[Key])+(Txn[Key]=""),0),0)),"")</f>
        <v/>
      </c>
      <c r="B144" s="243" t="str">
        <f t="shared" si="18"/>
        <v/>
      </c>
      <c r="C144" s="243" t="str">
        <f t="shared" si="19"/>
        <v/>
      </c>
      <c r="D144" s="243" t="str">
        <f t="shared" si="20"/>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1"/>
        <v/>
      </c>
      <c r="K144" s="287" t="str">
        <f t="shared" si="22"/>
        <v/>
      </c>
      <c r="L144" s="287" t="str">
        <f t="shared" si="23"/>
        <v/>
      </c>
      <c r="M144" s="290" t="str">
        <f t="shared" si="24"/>
        <v/>
      </c>
      <c r="N144" s="243" t="str">
        <f>IF($A144="","",IF(ABS(E144)&gt;0.000001,COUNT($N$1:N143)+1,""))</f>
        <v/>
      </c>
      <c r="O144" s="291" t="str">
        <f>IF($A144="","",SUMIFS(Transactions!$H$2:$H$1001,Transactions!$J$2:$J$1001,$A144,Transactions!$A$2:$A$1001,2)*$I144)</f>
        <v/>
      </c>
      <c r="P144" s="291" t="str">
        <f t="shared" si="25"/>
        <v/>
      </c>
      <c r="Q144" s="292" t="str">
        <f t="shared" si="26"/>
        <v/>
      </c>
    </row>
    <row r="145" spans="1:17" ht="15" customHeight="1" x14ac:dyDescent="0.2">
      <c r="A145" s="243" t="str">
        <f>IFERROR(INDEX(Txn[Key],MATCH(0,INDEX(COUNTIF($A$1:A144,Txn[Key])+(Txn[Key]=""),0),0)),"")</f>
        <v/>
      </c>
      <c r="B145" s="243" t="str">
        <f t="shared" si="18"/>
        <v/>
      </c>
      <c r="C145" s="243" t="str">
        <f t="shared" si="19"/>
        <v/>
      </c>
      <c r="D145" s="243" t="str">
        <f t="shared" si="20"/>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1"/>
        <v/>
      </c>
      <c r="K145" s="287" t="str">
        <f t="shared" si="22"/>
        <v/>
      </c>
      <c r="L145" s="287" t="str">
        <f t="shared" si="23"/>
        <v/>
      </c>
      <c r="M145" s="290" t="str">
        <f t="shared" si="24"/>
        <v/>
      </c>
      <c r="N145" s="243" t="str">
        <f>IF($A145="","",IF(ABS(E145)&gt;0.000001,COUNT($N$1:N144)+1,""))</f>
        <v/>
      </c>
      <c r="O145" s="291" t="str">
        <f>IF($A145="","",SUMIFS(Transactions!$H$2:$H$1001,Transactions!$J$2:$J$1001,$A145,Transactions!$A$2:$A$1001,2)*$I145)</f>
        <v/>
      </c>
      <c r="P145" s="291" t="str">
        <f t="shared" si="25"/>
        <v/>
      </c>
      <c r="Q145" s="292" t="str">
        <f t="shared" si="26"/>
        <v/>
      </c>
    </row>
    <row r="146" spans="1:17" ht="15" customHeight="1" x14ac:dyDescent="0.2">
      <c r="A146" s="243" t="str">
        <f>IFERROR(INDEX(Txn[Key],MATCH(0,INDEX(COUNTIF($A$1:A145,Txn[Key])+(Txn[Key]=""),0),0)),"")</f>
        <v/>
      </c>
      <c r="B146" s="243" t="str">
        <f t="shared" si="18"/>
        <v/>
      </c>
      <c r="C146" s="243" t="str">
        <f t="shared" si="19"/>
        <v/>
      </c>
      <c r="D146" s="243" t="str">
        <f t="shared" si="20"/>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1"/>
        <v/>
      </c>
      <c r="K146" s="287" t="str">
        <f t="shared" si="22"/>
        <v/>
      </c>
      <c r="L146" s="287" t="str">
        <f t="shared" si="23"/>
        <v/>
      </c>
      <c r="M146" s="290" t="str">
        <f t="shared" si="24"/>
        <v/>
      </c>
      <c r="N146" s="243" t="str">
        <f>IF($A146="","",IF(ABS(E146)&gt;0.000001,COUNT($N$1:N145)+1,""))</f>
        <v/>
      </c>
      <c r="O146" s="291" t="str">
        <f>IF($A146="","",SUMIFS(Transactions!$H$2:$H$1001,Transactions!$J$2:$J$1001,$A146,Transactions!$A$2:$A$1001,2)*$I146)</f>
        <v/>
      </c>
      <c r="P146" s="291" t="str">
        <f t="shared" si="25"/>
        <v/>
      </c>
      <c r="Q146" s="292" t="str">
        <f t="shared" si="26"/>
        <v/>
      </c>
    </row>
    <row r="147" spans="1:17" ht="15" customHeight="1" x14ac:dyDescent="0.2">
      <c r="A147" s="243" t="str">
        <f>IFERROR(INDEX(Txn[Key],MATCH(0,INDEX(COUNTIF($A$1:A146,Txn[Key])+(Txn[Key]=""),0),0)),"")</f>
        <v/>
      </c>
      <c r="B147" s="243" t="str">
        <f t="shared" si="18"/>
        <v/>
      </c>
      <c r="C147" s="243" t="str">
        <f t="shared" si="19"/>
        <v/>
      </c>
      <c r="D147" s="243" t="str">
        <f t="shared" si="20"/>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1"/>
        <v/>
      </c>
      <c r="K147" s="287" t="str">
        <f t="shared" si="22"/>
        <v/>
      </c>
      <c r="L147" s="287" t="str">
        <f t="shared" si="23"/>
        <v/>
      </c>
      <c r="M147" s="290" t="str">
        <f t="shared" si="24"/>
        <v/>
      </c>
      <c r="N147" s="243" t="str">
        <f>IF($A147="","",IF(ABS(E147)&gt;0.000001,COUNT($N$1:N146)+1,""))</f>
        <v/>
      </c>
      <c r="O147" s="291" t="str">
        <f>IF($A147="","",SUMIFS(Transactions!$H$2:$H$1001,Transactions!$J$2:$J$1001,$A147,Transactions!$A$2:$A$1001,2)*$I147)</f>
        <v/>
      </c>
      <c r="P147" s="291" t="str">
        <f t="shared" si="25"/>
        <v/>
      </c>
      <c r="Q147" s="292" t="str">
        <f t="shared" si="26"/>
        <v/>
      </c>
    </row>
    <row r="148" spans="1:17" ht="15" customHeight="1" x14ac:dyDescent="0.2">
      <c r="A148" s="243" t="str">
        <f>IFERROR(INDEX(Txn[Key],MATCH(0,INDEX(COUNTIF($A$1:A147,Txn[Key])+(Txn[Key]=""),0),0)),"")</f>
        <v/>
      </c>
      <c r="B148" s="243" t="str">
        <f t="shared" si="18"/>
        <v/>
      </c>
      <c r="C148" s="243" t="str">
        <f t="shared" si="19"/>
        <v/>
      </c>
      <c r="D148" s="243" t="str">
        <f t="shared" si="20"/>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1"/>
        <v/>
      </c>
      <c r="K148" s="287" t="str">
        <f t="shared" si="22"/>
        <v/>
      </c>
      <c r="L148" s="287" t="str">
        <f t="shared" si="23"/>
        <v/>
      </c>
      <c r="M148" s="290" t="str">
        <f t="shared" si="24"/>
        <v/>
      </c>
      <c r="N148" s="243" t="str">
        <f>IF($A148="","",IF(ABS(E148)&gt;0.000001,COUNT($N$1:N147)+1,""))</f>
        <v/>
      </c>
      <c r="O148" s="291" t="str">
        <f>IF($A148="","",SUMIFS(Transactions!$H$2:$H$1001,Transactions!$J$2:$J$1001,$A148,Transactions!$A$2:$A$1001,2)*$I148)</f>
        <v/>
      </c>
      <c r="P148" s="291" t="str">
        <f t="shared" si="25"/>
        <v/>
      </c>
      <c r="Q148" s="292" t="str">
        <f t="shared" si="26"/>
        <v/>
      </c>
    </row>
    <row r="149" spans="1:17" ht="15" customHeight="1" x14ac:dyDescent="0.2">
      <c r="A149" s="243" t="str">
        <f>IFERROR(INDEX(Txn[Key],MATCH(0,INDEX(COUNTIF($A$1:A148,Txn[Key])+(Txn[Key]=""),0),0)),"")</f>
        <v/>
      </c>
      <c r="B149" s="243" t="str">
        <f t="shared" si="18"/>
        <v/>
      </c>
      <c r="C149" s="243" t="str">
        <f t="shared" si="19"/>
        <v/>
      </c>
      <c r="D149" s="243" t="str">
        <f t="shared" si="20"/>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1"/>
        <v/>
      </c>
      <c r="K149" s="287" t="str">
        <f t="shared" si="22"/>
        <v/>
      </c>
      <c r="L149" s="287" t="str">
        <f t="shared" si="23"/>
        <v/>
      </c>
      <c r="M149" s="290" t="str">
        <f t="shared" si="24"/>
        <v/>
      </c>
      <c r="N149" s="243" t="str">
        <f>IF($A149="","",IF(ABS(E149)&gt;0.000001,COUNT($N$1:N148)+1,""))</f>
        <v/>
      </c>
      <c r="O149" s="291" t="str">
        <f>IF($A149="","",SUMIFS(Transactions!$H$2:$H$1001,Transactions!$J$2:$J$1001,$A149,Transactions!$A$2:$A$1001,2)*$I149)</f>
        <v/>
      </c>
      <c r="P149" s="291" t="str">
        <f t="shared" si="25"/>
        <v/>
      </c>
      <c r="Q149" s="292" t="str">
        <f t="shared" si="26"/>
        <v/>
      </c>
    </row>
    <row r="150" spans="1:17" ht="15" customHeight="1" x14ac:dyDescent="0.2">
      <c r="A150" s="243" t="str">
        <f>IFERROR(INDEX(Txn[Key],MATCH(0,INDEX(COUNTIF($A$1:A149,Txn[Key])+(Txn[Key]=""),0),0)),"")</f>
        <v/>
      </c>
      <c r="B150" s="243" t="str">
        <f t="shared" si="18"/>
        <v/>
      </c>
      <c r="C150" s="243" t="str">
        <f t="shared" si="19"/>
        <v/>
      </c>
      <c r="D150" s="243" t="str">
        <f t="shared" si="20"/>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1"/>
        <v/>
      </c>
      <c r="K150" s="287" t="str">
        <f t="shared" si="22"/>
        <v/>
      </c>
      <c r="L150" s="287" t="str">
        <f t="shared" si="23"/>
        <v/>
      </c>
      <c r="M150" s="290" t="str">
        <f t="shared" si="24"/>
        <v/>
      </c>
      <c r="N150" s="243" t="str">
        <f>IF($A150="","",IF(ABS(E150)&gt;0.000001,COUNT($N$1:N149)+1,""))</f>
        <v/>
      </c>
      <c r="O150" s="291" t="str">
        <f>IF($A150="","",SUMIFS(Transactions!$H$2:$H$1001,Transactions!$J$2:$J$1001,$A150,Transactions!$A$2:$A$1001,2)*$I150)</f>
        <v/>
      </c>
      <c r="P150" s="291" t="str">
        <f t="shared" si="25"/>
        <v/>
      </c>
      <c r="Q150" s="292" t="str">
        <f t="shared" si="26"/>
        <v/>
      </c>
    </row>
    <row r="151" spans="1:17" ht="15" customHeight="1" x14ac:dyDescent="0.2">
      <c r="A151" s="243" t="str">
        <f>IFERROR(INDEX(Txn[Key],MATCH(0,INDEX(COUNTIF($A$1:A150,Txn[Key])+(Txn[Key]=""),0),0)),"")</f>
        <v/>
      </c>
      <c r="B151" s="243" t="str">
        <f t="shared" si="18"/>
        <v/>
      </c>
      <c r="C151" s="243" t="str">
        <f t="shared" si="19"/>
        <v/>
      </c>
      <c r="D151" s="243" t="str">
        <f t="shared" si="20"/>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1"/>
        <v/>
      </c>
      <c r="K151" s="287" t="str">
        <f t="shared" si="22"/>
        <v/>
      </c>
      <c r="L151" s="287" t="str">
        <f t="shared" si="23"/>
        <v/>
      </c>
      <c r="M151" s="290" t="str">
        <f t="shared" si="24"/>
        <v/>
      </c>
      <c r="N151" s="243" t="str">
        <f>IF($A151="","",IF(ABS(E151)&gt;0.000001,COUNT($N$1:N150)+1,""))</f>
        <v/>
      </c>
      <c r="O151" s="291" t="str">
        <f>IF($A151="","",SUMIFS(Transactions!$H$2:$H$1001,Transactions!$J$2:$J$1001,$A151,Transactions!$A$2:$A$1001,2)*$I151)</f>
        <v/>
      </c>
      <c r="P151" s="291" t="str">
        <f t="shared" si="25"/>
        <v/>
      </c>
      <c r="Q151" s="292" t="str">
        <f t="shared" si="26"/>
        <v/>
      </c>
    </row>
    <row r="152" spans="1:17" ht="15" customHeight="1" x14ac:dyDescent="0.2">
      <c r="A152" s="243" t="str">
        <f>IFERROR(INDEX(Txn[Key],MATCH(0,INDEX(COUNTIF($A$1:A151,Txn[Key])+(Txn[Key]=""),0),0)),"")</f>
        <v/>
      </c>
      <c r="B152" s="243" t="str">
        <f t="shared" si="18"/>
        <v/>
      </c>
      <c r="C152" s="243" t="str">
        <f t="shared" si="19"/>
        <v/>
      </c>
      <c r="D152" s="243" t="str">
        <f t="shared" si="20"/>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1"/>
        <v/>
      </c>
      <c r="K152" s="287" t="str">
        <f t="shared" si="22"/>
        <v/>
      </c>
      <c r="L152" s="287" t="str">
        <f t="shared" si="23"/>
        <v/>
      </c>
      <c r="M152" s="290" t="str">
        <f t="shared" si="24"/>
        <v/>
      </c>
      <c r="N152" s="243" t="str">
        <f>IF($A152="","",IF(ABS(E152)&gt;0.000001,COUNT($N$1:N151)+1,""))</f>
        <v/>
      </c>
      <c r="O152" s="291" t="str">
        <f>IF($A152="","",SUMIFS(Transactions!$H$2:$H$1001,Transactions!$J$2:$J$1001,$A152,Transactions!$A$2:$A$1001,2)*$I152)</f>
        <v/>
      </c>
      <c r="P152" s="291" t="str">
        <f t="shared" si="25"/>
        <v/>
      </c>
      <c r="Q152" s="292" t="str">
        <f t="shared" si="26"/>
        <v/>
      </c>
    </row>
    <row r="153" spans="1:17" ht="15" customHeight="1" x14ac:dyDescent="0.2">
      <c r="A153" s="243" t="str">
        <f>IFERROR(INDEX(Txn[Key],MATCH(0,INDEX(COUNTIF($A$1:A152,Txn[Key])+(Txn[Key]=""),0),0)),"")</f>
        <v/>
      </c>
      <c r="B153" s="243" t="str">
        <f t="shared" si="18"/>
        <v/>
      </c>
      <c r="C153" s="243" t="str">
        <f t="shared" si="19"/>
        <v/>
      </c>
      <c r="D153" s="243" t="str">
        <f t="shared" si="20"/>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1"/>
        <v/>
      </c>
      <c r="K153" s="287" t="str">
        <f t="shared" si="22"/>
        <v/>
      </c>
      <c r="L153" s="287" t="str">
        <f t="shared" si="23"/>
        <v/>
      </c>
      <c r="M153" s="290" t="str">
        <f t="shared" si="24"/>
        <v/>
      </c>
      <c r="N153" s="243" t="str">
        <f>IF($A153="","",IF(ABS(E153)&gt;0.000001,COUNT($N$1:N152)+1,""))</f>
        <v/>
      </c>
      <c r="O153" s="291" t="str">
        <f>IF($A153="","",SUMIFS(Transactions!$H$2:$H$1001,Transactions!$J$2:$J$1001,$A153,Transactions!$A$2:$A$1001,2)*$I153)</f>
        <v/>
      </c>
      <c r="P153" s="291" t="str">
        <f t="shared" si="25"/>
        <v/>
      </c>
      <c r="Q153" s="292" t="str">
        <f t="shared" si="26"/>
        <v/>
      </c>
    </row>
    <row r="154" spans="1:17" ht="15" customHeight="1" x14ac:dyDescent="0.2">
      <c r="A154" s="243" t="str">
        <f>IFERROR(INDEX(Txn[Key],MATCH(0,INDEX(COUNTIF($A$1:A153,Txn[Key])+(Txn[Key]=""),0),0)),"")</f>
        <v/>
      </c>
      <c r="B154" s="243" t="str">
        <f t="shared" si="18"/>
        <v/>
      </c>
      <c r="C154" s="243" t="str">
        <f t="shared" si="19"/>
        <v/>
      </c>
      <c r="D154" s="243" t="str">
        <f t="shared" si="20"/>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1"/>
        <v/>
      </c>
      <c r="K154" s="287" t="str">
        <f t="shared" si="22"/>
        <v/>
      </c>
      <c r="L154" s="287" t="str">
        <f t="shared" si="23"/>
        <v/>
      </c>
      <c r="M154" s="290" t="str">
        <f t="shared" si="24"/>
        <v/>
      </c>
      <c r="N154" s="243" t="str">
        <f>IF($A154="","",IF(ABS(E154)&gt;0.000001,COUNT($N$1:N153)+1,""))</f>
        <v/>
      </c>
      <c r="O154" s="291" t="str">
        <f>IF($A154="","",SUMIFS(Transactions!$H$2:$H$1001,Transactions!$J$2:$J$1001,$A154,Transactions!$A$2:$A$1001,2)*$I154)</f>
        <v/>
      </c>
      <c r="P154" s="291" t="str">
        <f t="shared" si="25"/>
        <v/>
      </c>
      <c r="Q154" s="292" t="str">
        <f t="shared" si="26"/>
        <v/>
      </c>
    </row>
    <row r="155" spans="1:17" ht="15" customHeight="1" x14ac:dyDescent="0.2">
      <c r="A155" s="243" t="str">
        <f>IFERROR(INDEX(Txn[Key],MATCH(0,INDEX(COUNTIF($A$1:A154,Txn[Key])+(Txn[Key]=""),0),0)),"")</f>
        <v/>
      </c>
      <c r="B155" s="243" t="str">
        <f t="shared" si="18"/>
        <v/>
      </c>
      <c r="C155" s="243" t="str">
        <f t="shared" si="19"/>
        <v/>
      </c>
      <c r="D155" s="243" t="str">
        <f t="shared" si="20"/>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1"/>
        <v/>
      </c>
      <c r="K155" s="287" t="str">
        <f t="shared" si="22"/>
        <v/>
      </c>
      <c r="L155" s="287" t="str">
        <f t="shared" si="23"/>
        <v/>
      </c>
      <c r="M155" s="290" t="str">
        <f t="shared" si="24"/>
        <v/>
      </c>
      <c r="N155" s="243" t="str">
        <f>IF($A155="","",IF(ABS(E155)&gt;0.000001,COUNT($N$1:N154)+1,""))</f>
        <v/>
      </c>
      <c r="O155" s="291" t="str">
        <f>IF($A155="","",SUMIFS(Transactions!$H$2:$H$1001,Transactions!$J$2:$J$1001,$A155,Transactions!$A$2:$A$1001,2)*$I155)</f>
        <v/>
      </c>
      <c r="P155" s="291" t="str">
        <f t="shared" si="25"/>
        <v/>
      </c>
      <c r="Q155" s="292" t="str">
        <f t="shared" si="26"/>
        <v/>
      </c>
    </row>
    <row r="156" spans="1:17" ht="15" customHeight="1" x14ac:dyDescent="0.2">
      <c r="A156" s="243" t="str">
        <f>IFERROR(INDEX(Txn[Key],MATCH(0,INDEX(COUNTIF($A$1:A155,Txn[Key])+(Txn[Key]=""),0),0)),"")</f>
        <v/>
      </c>
      <c r="B156" s="243" t="str">
        <f t="shared" si="18"/>
        <v/>
      </c>
      <c r="C156" s="243" t="str">
        <f t="shared" si="19"/>
        <v/>
      </c>
      <c r="D156" s="243" t="str">
        <f t="shared" si="20"/>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1"/>
        <v/>
      </c>
      <c r="K156" s="287" t="str">
        <f t="shared" si="22"/>
        <v/>
      </c>
      <c r="L156" s="287" t="str">
        <f t="shared" si="23"/>
        <v/>
      </c>
      <c r="M156" s="290" t="str">
        <f t="shared" si="24"/>
        <v/>
      </c>
      <c r="N156" s="243" t="str">
        <f>IF($A156="","",IF(ABS(E156)&gt;0.000001,COUNT($N$1:N155)+1,""))</f>
        <v/>
      </c>
      <c r="O156" s="291" t="str">
        <f>IF($A156="","",SUMIFS(Transactions!$H$2:$H$1001,Transactions!$J$2:$J$1001,$A156,Transactions!$A$2:$A$1001,2)*$I156)</f>
        <v/>
      </c>
      <c r="P156" s="291" t="str">
        <f t="shared" si="25"/>
        <v/>
      </c>
      <c r="Q156" s="292" t="str">
        <f t="shared" si="26"/>
        <v/>
      </c>
    </row>
    <row r="157" spans="1:17" ht="15" customHeight="1" x14ac:dyDescent="0.2">
      <c r="A157" s="243" t="str">
        <f>IFERROR(INDEX(Txn[Key],MATCH(0,INDEX(COUNTIF($A$1:A156,Txn[Key])+(Txn[Key]=""),0),0)),"")</f>
        <v/>
      </c>
      <c r="B157" s="243" t="str">
        <f t="shared" si="18"/>
        <v/>
      </c>
      <c r="C157" s="243" t="str">
        <f t="shared" si="19"/>
        <v/>
      </c>
      <c r="D157" s="243" t="str">
        <f t="shared" si="20"/>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1"/>
        <v/>
      </c>
      <c r="K157" s="287" t="str">
        <f t="shared" si="22"/>
        <v/>
      </c>
      <c r="L157" s="287" t="str">
        <f t="shared" si="23"/>
        <v/>
      </c>
      <c r="M157" s="290" t="str">
        <f t="shared" si="24"/>
        <v/>
      </c>
      <c r="N157" s="243" t="str">
        <f>IF($A157="","",IF(ABS(E157)&gt;0.000001,COUNT($N$1:N156)+1,""))</f>
        <v/>
      </c>
      <c r="O157" s="291" t="str">
        <f>IF($A157="","",SUMIFS(Transactions!$H$2:$H$1001,Transactions!$J$2:$J$1001,$A157,Transactions!$A$2:$A$1001,2)*$I157)</f>
        <v/>
      </c>
      <c r="P157" s="291" t="str">
        <f t="shared" si="25"/>
        <v/>
      </c>
      <c r="Q157" s="292" t="str">
        <f t="shared" si="26"/>
        <v/>
      </c>
    </row>
    <row r="158" spans="1:17" ht="15" customHeight="1" x14ac:dyDescent="0.2">
      <c r="A158" s="243" t="str">
        <f>IFERROR(INDEX(Txn[Key],MATCH(0,INDEX(COUNTIF($A$1:A157,Txn[Key])+(Txn[Key]=""),0),0)),"")</f>
        <v/>
      </c>
      <c r="B158" s="243" t="str">
        <f t="shared" si="18"/>
        <v/>
      </c>
      <c r="C158" s="243" t="str">
        <f t="shared" si="19"/>
        <v/>
      </c>
      <c r="D158" s="243" t="str">
        <f t="shared" si="20"/>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1"/>
        <v/>
      </c>
      <c r="K158" s="287" t="str">
        <f t="shared" si="22"/>
        <v/>
      </c>
      <c r="L158" s="287" t="str">
        <f t="shared" si="23"/>
        <v/>
      </c>
      <c r="M158" s="290" t="str">
        <f t="shared" si="24"/>
        <v/>
      </c>
      <c r="N158" s="243" t="str">
        <f>IF($A158="","",IF(ABS(E158)&gt;0.000001,COUNT($N$1:N157)+1,""))</f>
        <v/>
      </c>
      <c r="O158" s="291" t="str">
        <f>IF($A158="","",SUMIFS(Transactions!$H$2:$H$1001,Transactions!$J$2:$J$1001,$A158,Transactions!$A$2:$A$1001,2)*$I158)</f>
        <v/>
      </c>
      <c r="P158" s="291" t="str">
        <f t="shared" si="25"/>
        <v/>
      </c>
      <c r="Q158" s="292" t="str">
        <f t="shared" si="26"/>
        <v/>
      </c>
    </row>
    <row r="159" spans="1:17" ht="15" customHeight="1" x14ac:dyDescent="0.2">
      <c r="A159" s="243" t="str">
        <f>IFERROR(INDEX(Txn[Key],MATCH(0,INDEX(COUNTIF($A$1:A158,Txn[Key])+(Txn[Key]=""),0),0)),"")</f>
        <v/>
      </c>
      <c r="B159" s="243" t="str">
        <f t="shared" si="18"/>
        <v/>
      </c>
      <c r="C159" s="243" t="str">
        <f t="shared" si="19"/>
        <v/>
      </c>
      <c r="D159" s="243" t="str">
        <f t="shared" si="20"/>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1"/>
        <v/>
      </c>
      <c r="K159" s="287" t="str">
        <f t="shared" si="22"/>
        <v/>
      </c>
      <c r="L159" s="287" t="str">
        <f t="shared" si="23"/>
        <v/>
      </c>
      <c r="M159" s="290" t="str">
        <f t="shared" si="24"/>
        <v/>
      </c>
      <c r="N159" s="243" t="str">
        <f>IF($A159="","",IF(ABS(E159)&gt;0.000001,COUNT($N$1:N158)+1,""))</f>
        <v/>
      </c>
      <c r="O159" s="291" t="str">
        <f>IF($A159="","",SUMIFS(Transactions!$H$2:$H$1001,Transactions!$J$2:$J$1001,$A159,Transactions!$A$2:$A$1001,2)*$I159)</f>
        <v/>
      </c>
      <c r="P159" s="291" t="str">
        <f t="shared" si="25"/>
        <v/>
      </c>
      <c r="Q159" s="292" t="str">
        <f t="shared" si="26"/>
        <v/>
      </c>
    </row>
    <row r="160" spans="1:17" ht="15" customHeight="1" x14ac:dyDescent="0.2">
      <c r="A160" s="243" t="str">
        <f>IFERROR(INDEX(Txn[Key],MATCH(0,INDEX(COUNTIF($A$1:A159,Txn[Key])+(Txn[Key]=""),0),0)),"")</f>
        <v/>
      </c>
      <c r="B160" s="243" t="str">
        <f t="shared" si="18"/>
        <v/>
      </c>
      <c r="C160" s="243" t="str">
        <f t="shared" si="19"/>
        <v/>
      </c>
      <c r="D160" s="243" t="str">
        <f t="shared" si="20"/>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1"/>
        <v/>
      </c>
      <c r="K160" s="287" t="str">
        <f t="shared" si="22"/>
        <v/>
      </c>
      <c r="L160" s="287" t="str">
        <f t="shared" si="23"/>
        <v/>
      </c>
      <c r="M160" s="290" t="str">
        <f t="shared" si="24"/>
        <v/>
      </c>
      <c r="N160" s="243" t="str">
        <f>IF($A160="","",IF(ABS(E160)&gt;0.000001,COUNT($N$1:N159)+1,""))</f>
        <v/>
      </c>
      <c r="O160" s="291" t="str">
        <f>IF($A160="","",SUMIFS(Transactions!$H$2:$H$1001,Transactions!$J$2:$J$1001,$A160,Transactions!$A$2:$A$1001,2)*$I160)</f>
        <v/>
      </c>
      <c r="P160" s="291" t="str">
        <f t="shared" si="25"/>
        <v/>
      </c>
      <c r="Q160" s="292" t="str">
        <f t="shared" si="26"/>
        <v/>
      </c>
    </row>
    <row r="161" spans="1:17" ht="15" customHeight="1" x14ac:dyDescent="0.2">
      <c r="A161" s="243" t="str">
        <f>IFERROR(INDEX(Txn[Key],MATCH(0,INDEX(COUNTIF($A$1:A160,Txn[Key])+(Txn[Key]=""),0),0)),"")</f>
        <v/>
      </c>
      <c r="B161" s="243" t="str">
        <f t="shared" si="18"/>
        <v/>
      </c>
      <c r="C161" s="243" t="str">
        <f t="shared" si="19"/>
        <v/>
      </c>
      <c r="D161" s="243" t="str">
        <f t="shared" si="20"/>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1"/>
        <v/>
      </c>
      <c r="K161" s="287" t="str">
        <f t="shared" si="22"/>
        <v/>
      </c>
      <c r="L161" s="287" t="str">
        <f t="shared" si="23"/>
        <v/>
      </c>
      <c r="M161" s="290" t="str">
        <f t="shared" si="24"/>
        <v/>
      </c>
      <c r="N161" s="243" t="str">
        <f>IF($A161="","",IF(ABS(E161)&gt;0.000001,COUNT($N$1:N160)+1,""))</f>
        <v/>
      </c>
      <c r="O161" s="291" t="str">
        <f>IF($A161="","",SUMIFS(Transactions!$H$2:$H$1001,Transactions!$J$2:$J$1001,$A161,Transactions!$A$2:$A$1001,2)*$I161)</f>
        <v/>
      </c>
      <c r="P161" s="291" t="str">
        <f t="shared" si="25"/>
        <v/>
      </c>
      <c r="Q161" s="292" t="str">
        <f t="shared" si="26"/>
        <v/>
      </c>
    </row>
    <row r="162" spans="1:17" ht="15" customHeight="1" x14ac:dyDescent="0.2">
      <c r="A162" s="243" t="str">
        <f>IFERROR(INDEX(Txn[Key],MATCH(0,INDEX(COUNTIF($A$1:A161,Txn[Key])+(Txn[Key]=""),0),0)),"")</f>
        <v/>
      </c>
      <c r="B162" s="243" t="str">
        <f t="shared" si="18"/>
        <v/>
      </c>
      <c r="C162" s="243" t="str">
        <f t="shared" si="19"/>
        <v/>
      </c>
      <c r="D162" s="243" t="str">
        <f t="shared" si="20"/>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1"/>
        <v/>
      </c>
      <c r="K162" s="287" t="str">
        <f t="shared" si="22"/>
        <v/>
      </c>
      <c r="L162" s="287" t="str">
        <f t="shared" si="23"/>
        <v/>
      </c>
      <c r="M162" s="290" t="str">
        <f t="shared" si="24"/>
        <v/>
      </c>
      <c r="N162" s="243" t="str">
        <f>IF($A162="","",IF(ABS(E162)&gt;0.000001,COUNT($N$1:N161)+1,""))</f>
        <v/>
      </c>
      <c r="O162" s="291" t="str">
        <f>IF($A162="","",SUMIFS(Transactions!$H$2:$H$1001,Transactions!$J$2:$J$1001,$A162,Transactions!$A$2:$A$1001,2)*$I162)</f>
        <v/>
      </c>
      <c r="P162" s="291" t="str">
        <f t="shared" si="25"/>
        <v/>
      </c>
      <c r="Q162" s="292" t="str">
        <f t="shared" si="26"/>
        <v/>
      </c>
    </row>
    <row r="163" spans="1:17" ht="15" customHeight="1" x14ac:dyDescent="0.2">
      <c r="A163" s="243" t="str">
        <f>IFERROR(INDEX(Txn[Key],MATCH(0,INDEX(COUNTIF($A$1:A162,Txn[Key])+(Txn[Key]=""),0),0)),"")</f>
        <v/>
      </c>
      <c r="B163" s="243" t="str">
        <f t="shared" si="18"/>
        <v/>
      </c>
      <c r="C163" s="243" t="str">
        <f t="shared" si="19"/>
        <v/>
      </c>
      <c r="D163" s="243" t="str">
        <f t="shared" si="20"/>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1"/>
        <v/>
      </c>
      <c r="K163" s="287" t="str">
        <f t="shared" si="22"/>
        <v/>
      </c>
      <c r="L163" s="287" t="str">
        <f t="shared" si="23"/>
        <v/>
      </c>
      <c r="M163" s="290" t="str">
        <f t="shared" si="24"/>
        <v/>
      </c>
      <c r="N163" s="243" t="str">
        <f>IF($A163="","",IF(ABS(E163)&gt;0.000001,COUNT($N$1:N162)+1,""))</f>
        <v/>
      </c>
      <c r="O163" s="291" t="str">
        <f>IF($A163="","",SUMIFS(Transactions!$H$2:$H$1001,Transactions!$J$2:$J$1001,$A163,Transactions!$A$2:$A$1001,2)*$I163)</f>
        <v/>
      </c>
      <c r="P163" s="291" t="str">
        <f t="shared" si="25"/>
        <v/>
      </c>
      <c r="Q163" s="292" t="str">
        <f t="shared" si="26"/>
        <v/>
      </c>
    </row>
    <row r="164" spans="1:17" ht="15" customHeight="1" x14ac:dyDescent="0.2">
      <c r="A164" s="243" t="str">
        <f>IFERROR(INDEX(Txn[Key],MATCH(0,INDEX(COUNTIF($A$1:A163,Txn[Key])+(Txn[Key]=""),0),0)),"")</f>
        <v/>
      </c>
      <c r="B164" s="243" t="str">
        <f t="shared" si="18"/>
        <v/>
      </c>
      <c r="C164" s="243" t="str">
        <f t="shared" si="19"/>
        <v/>
      </c>
      <c r="D164" s="243" t="str">
        <f t="shared" si="20"/>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1"/>
        <v/>
      </c>
      <c r="K164" s="287" t="str">
        <f t="shared" si="22"/>
        <v/>
      </c>
      <c r="L164" s="287" t="str">
        <f t="shared" si="23"/>
        <v/>
      </c>
      <c r="M164" s="290" t="str">
        <f t="shared" si="24"/>
        <v/>
      </c>
      <c r="N164" s="243" t="str">
        <f>IF($A164="","",IF(ABS(E164)&gt;0.000001,COUNT($N$1:N163)+1,""))</f>
        <v/>
      </c>
      <c r="O164" s="291" t="str">
        <f>IF($A164="","",SUMIFS(Transactions!$H$2:$H$1001,Transactions!$J$2:$J$1001,$A164,Transactions!$A$2:$A$1001,2)*$I164)</f>
        <v/>
      </c>
      <c r="P164" s="291" t="str">
        <f t="shared" si="25"/>
        <v/>
      </c>
      <c r="Q164" s="292" t="str">
        <f t="shared" si="26"/>
        <v/>
      </c>
    </row>
    <row r="165" spans="1:17" ht="15" customHeight="1" x14ac:dyDescent="0.2">
      <c r="A165" s="243" t="str">
        <f>IFERROR(INDEX(Txn[Key],MATCH(0,INDEX(COUNTIF($A$1:A164,Txn[Key])+(Txn[Key]=""),0),0)),"")</f>
        <v/>
      </c>
      <c r="B165" s="243" t="str">
        <f t="shared" si="18"/>
        <v/>
      </c>
      <c r="C165" s="243" t="str">
        <f t="shared" si="19"/>
        <v/>
      </c>
      <c r="D165" s="243" t="str">
        <f t="shared" si="20"/>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1"/>
        <v/>
      </c>
      <c r="K165" s="287" t="str">
        <f t="shared" si="22"/>
        <v/>
      </c>
      <c r="L165" s="287" t="str">
        <f t="shared" si="23"/>
        <v/>
      </c>
      <c r="M165" s="290" t="str">
        <f t="shared" si="24"/>
        <v/>
      </c>
      <c r="N165" s="243" t="str">
        <f>IF($A165="","",IF(ABS(E165)&gt;0.000001,COUNT($N$1:N164)+1,""))</f>
        <v/>
      </c>
      <c r="O165" s="291" t="str">
        <f>IF($A165="","",SUMIFS(Transactions!$H$2:$H$1001,Transactions!$J$2:$J$1001,$A165,Transactions!$A$2:$A$1001,2)*$I165)</f>
        <v/>
      </c>
      <c r="P165" s="291" t="str">
        <f t="shared" si="25"/>
        <v/>
      </c>
      <c r="Q165" s="292" t="str">
        <f t="shared" si="26"/>
        <v/>
      </c>
    </row>
    <row r="166" spans="1:17" ht="15" customHeight="1" x14ac:dyDescent="0.2">
      <c r="A166" s="243" t="str">
        <f>IFERROR(INDEX(Txn[Key],MATCH(0,INDEX(COUNTIF($A$1:A165,Txn[Key])+(Txn[Key]=""),0),0)),"")</f>
        <v/>
      </c>
      <c r="B166" s="243" t="str">
        <f t="shared" si="18"/>
        <v/>
      </c>
      <c r="C166" s="243" t="str">
        <f t="shared" si="19"/>
        <v/>
      </c>
      <c r="D166" s="243" t="str">
        <f t="shared" si="20"/>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1"/>
        <v/>
      </c>
      <c r="K166" s="287" t="str">
        <f t="shared" si="22"/>
        <v/>
      </c>
      <c r="L166" s="287" t="str">
        <f t="shared" si="23"/>
        <v/>
      </c>
      <c r="M166" s="290" t="str">
        <f t="shared" si="24"/>
        <v/>
      </c>
      <c r="N166" s="243" t="str">
        <f>IF($A166="","",IF(ABS(E166)&gt;0.000001,COUNT($N$1:N165)+1,""))</f>
        <v/>
      </c>
      <c r="O166" s="291" t="str">
        <f>IF($A166="","",SUMIFS(Transactions!$H$2:$H$1001,Transactions!$J$2:$J$1001,$A166,Transactions!$A$2:$A$1001,2)*$I166)</f>
        <v/>
      </c>
      <c r="P166" s="291" t="str">
        <f t="shared" si="25"/>
        <v/>
      </c>
      <c r="Q166" s="292" t="str">
        <f t="shared" si="26"/>
        <v/>
      </c>
    </row>
    <row r="167" spans="1:17" ht="15" customHeight="1" x14ac:dyDescent="0.2">
      <c r="A167" s="243" t="str">
        <f>IFERROR(INDEX(Txn[Key],MATCH(0,INDEX(COUNTIF($A$1:A166,Txn[Key])+(Txn[Key]=""),0),0)),"")</f>
        <v/>
      </c>
      <c r="B167" s="243" t="str">
        <f t="shared" si="18"/>
        <v/>
      </c>
      <c r="C167" s="243" t="str">
        <f t="shared" si="19"/>
        <v/>
      </c>
      <c r="D167" s="243" t="str">
        <f t="shared" si="20"/>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1"/>
        <v/>
      </c>
      <c r="K167" s="287" t="str">
        <f t="shared" si="22"/>
        <v/>
      </c>
      <c r="L167" s="287" t="str">
        <f t="shared" si="23"/>
        <v/>
      </c>
      <c r="M167" s="290" t="str">
        <f t="shared" si="24"/>
        <v/>
      </c>
      <c r="N167" s="243" t="str">
        <f>IF($A167="","",IF(ABS(E167)&gt;0.000001,COUNT($N$1:N166)+1,""))</f>
        <v/>
      </c>
      <c r="O167" s="291" t="str">
        <f>IF($A167="","",SUMIFS(Transactions!$H$2:$H$1001,Transactions!$J$2:$J$1001,$A167,Transactions!$A$2:$A$1001,2)*$I167)</f>
        <v/>
      </c>
      <c r="P167" s="291" t="str">
        <f t="shared" si="25"/>
        <v/>
      </c>
      <c r="Q167" s="292" t="str">
        <f t="shared" si="26"/>
        <v/>
      </c>
    </row>
    <row r="168" spans="1:17" ht="15" customHeight="1" x14ac:dyDescent="0.2">
      <c r="A168" s="243" t="str">
        <f>IFERROR(INDEX(Txn[Key],MATCH(0,INDEX(COUNTIF($A$1:A167,Txn[Key])+(Txn[Key]=""),0),0)),"")</f>
        <v/>
      </c>
      <c r="B168" s="243" t="str">
        <f t="shared" si="18"/>
        <v/>
      </c>
      <c r="C168" s="243" t="str">
        <f t="shared" si="19"/>
        <v/>
      </c>
      <c r="D168" s="243" t="str">
        <f t="shared" si="20"/>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1"/>
        <v/>
      </c>
      <c r="K168" s="287" t="str">
        <f t="shared" si="22"/>
        <v/>
      </c>
      <c r="L168" s="287" t="str">
        <f t="shared" si="23"/>
        <v/>
      </c>
      <c r="M168" s="290" t="str">
        <f t="shared" si="24"/>
        <v/>
      </c>
      <c r="N168" s="243" t="str">
        <f>IF($A168="","",IF(ABS(E168)&gt;0.000001,COUNT($N$1:N167)+1,""))</f>
        <v/>
      </c>
      <c r="O168" s="291" t="str">
        <f>IF($A168="","",SUMIFS(Transactions!$H$2:$H$1001,Transactions!$J$2:$J$1001,$A168,Transactions!$A$2:$A$1001,2)*$I168)</f>
        <v/>
      </c>
      <c r="P168" s="291" t="str">
        <f t="shared" si="25"/>
        <v/>
      </c>
      <c r="Q168" s="292" t="str">
        <f t="shared" si="26"/>
        <v/>
      </c>
    </row>
    <row r="169" spans="1:17" ht="15" customHeight="1" x14ac:dyDescent="0.2">
      <c r="A169" s="243" t="str">
        <f>IFERROR(INDEX(Txn[Key],MATCH(0,INDEX(COUNTIF($A$1:A168,Txn[Key])+(Txn[Key]=""),0),0)),"")</f>
        <v/>
      </c>
      <c r="B169" s="243" t="str">
        <f t="shared" si="18"/>
        <v/>
      </c>
      <c r="C169" s="243" t="str">
        <f t="shared" si="19"/>
        <v/>
      </c>
      <c r="D169" s="243" t="str">
        <f t="shared" si="20"/>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1"/>
        <v/>
      </c>
      <c r="K169" s="287" t="str">
        <f t="shared" si="22"/>
        <v/>
      </c>
      <c r="L169" s="287" t="str">
        <f t="shared" si="23"/>
        <v/>
      </c>
      <c r="M169" s="290" t="str">
        <f t="shared" si="24"/>
        <v/>
      </c>
      <c r="N169" s="243" t="str">
        <f>IF($A169="","",IF(ABS(E169)&gt;0.000001,COUNT($N$1:N168)+1,""))</f>
        <v/>
      </c>
      <c r="O169" s="291" t="str">
        <f>IF($A169="","",SUMIFS(Transactions!$H$2:$H$1001,Transactions!$J$2:$J$1001,$A169,Transactions!$A$2:$A$1001,2)*$I169)</f>
        <v/>
      </c>
      <c r="P169" s="291" t="str">
        <f t="shared" si="25"/>
        <v/>
      </c>
      <c r="Q169" s="292" t="str">
        <f t="shared" si="26"/>
        <v/>
      </c>
    </row>
    <row r="170" spans="1:17" ht="15" customHeight="1" x14ac:dyDescent="0.2">
      <c r="A170" s="243" t="str">
        <f>IFERROR(INDEX(Txn[Key],MATCH(0,INDEX(COUNTIF($A$1:A169,Txn[Key])+(Txn[Key]=""),0),0)),"")</f>
        <v/>
      </c>
      <c r="B170" s="243" t="str">
        <f t="shared" si="18"/>
        <v/>
      </c>
      <c r="C170" s="243" t="str">
        <f t="shared" si="19"/>
        <v/>
      </c>
      <c r="D170" s="243" t="str">
        <f t="shared" si="20"/>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1"/>
        <v/>
      </c>
      <c r="K170" s="287" t="str">
        <f t="shared" si="22"/>
        <v/>
      </c>
      <c r="L170" s="287" t="str">
        <f t="shared" si="23"/>
        <v/>
      </c>
      <c r="M170" s="290" t="str">
        <f t="shared" si="24"/>
        <v/>
      </c>
      <c r="N170" s="243" t="str">
        <f>IF($A170="","",IF(ABS(E170)&gt;0.000001,COUNT($N$1:N169)+1,""))</f>
        <v/>
      </c>
      <c r="O170" s="291" t="str">
        <f>IF($A170="","",SUMIFS(Transactions!$H$2:$H$1001,Transactions!$J$2:$J$1001,$A170,Transactions!$A$2:$A$1001,2)*$I170)</f>
        <v/>
      </c>
      <c r="P170" s="291" t="str">
        <f t="shared" si="25"/>
        <v/>
      </c>
      <c r="Q170" s="292" t="str">
        <f t="shared" si="26"/>
        <v/>
      </c>
    </row>
    <row r="171" spans="1:17" ht="15" customHeight="1" x14ac:dyDescent="0.2">
      <c r="A171" s="243" t="str">
        <f>IFERROR(INDEX(Txn[Key],MATCH(0,INDEX(COUNTIF($A$1:A170,Txn[Key])+(Txn[Key]=""),0),0)),"")</f>
        <v/>
      </c>
      <c r="B171" s="243" t="str">
        <f t="shared" si="18"/>
        <v/>
      </c>
      <c r="C171" s="243" t="str">
        <f t="shared" si="19"/>
        <v/>
      </c>
      <c r="D171" s="243" t="str">
        <f t="shared" si="20"/>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1"/>
        <v/>
      </c>
      <c r="K171" s="287" t="str">
        <f t="shared" si="22"/>
        <v/>
      </c>
      <c r="L171" s="287" t="str">
        <f t="shared" si="23"/>
        <v/>
      </c>
      <c r="M171" s="290" t="str">
        <f t="shared" si="24"/>
        <v/>
      </c>
      <c r="N171" s="243" t="str">
        <f>IF($A171="","",IF(ABS(E171)&gt;0.000001,COUNT($N$1:N170)+1,""))</f>
        <v/>
      </c>
      <c r="O171" s="291" t="str">
        <f>IF($A171="","",SUMIFS(Transactions!$H$2:$H$1001,Transactions!$J$2:$J$1001,$A171,Transactions!$A$2:$A$1001,2)*$I171)</f>
        <v/>
      </c>
      <c r="P171" s="291" t="str">
        <f t="shared" si="25"/>
        <v/>
      </c>
      <c r="Q171" s="292" t="str">
        <f t="shared" si="26"/>
        <v/>
      </c>
    </row>
    <row r="172" spans="1:17" ht="15" customHeight="1" x14ac:dyDescent="0.2">
      <c r="A172" s="243" t="str">
        <f>IFERROR(INDEX(Txn[Key],MATCH(0,INDEX(COUNTIF($A$1:A171,Txn[Key])+(Txn[Key]=""),0),0)),"")</f>
        <v/>
      </c>
      <c r="B172" s="243" t="str">
        <f t="shared" si="18"/>
        <v/>
      </c>
      <c r="C172" s="243" t="str">
        <f t="shared" si="19"/>
        <v/>
      </c>
      <c r="D172" s="243" t="str">
        <f t="shared" si="20"/>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1"/>
        <v/>
      </c>
      <c r="K172" s="287" t="str">
        <f t="shared" si="22"/>
        <v/>
      </c>
      <c r="L172" s="287" t="str">
        <f t="shared" si="23"/>
        <v/>
      </c>
      <c r="M172" s="290" t="str">
        <f t="shared" si="24"/>
        <v/>
      </c>
      <c r="N172" s="243" t="str">
        <f>IF($A172="","",IF(ABS(E172)&gt;0.000001,COUNT($N$1:N171)+1,""))</f>
        <v/>
      </c>
      <c r="O172" s="291" t="str">
        <f>IF($A172="","",SUMIFS(Transactions!$H$2:$H$1001,Transactions!$J$2:$J$1001,$A172,Transactions!$A$2:$A$1001,2)*$I172)</f>
        <v/>
      </c>
      <c r="P172" s="291" t="str">
        <f t="shared" si="25"/>
        <v/>
      </c>
      <c r="Q172" s="292" t="str">
        <f t="shared" si="26"/>
        <v/>
      </c>
    </row>
    <row r="173" spans="1:17" ht="15" customHeight="1" x14ac:dyDescent="0.2">
      <c r="A173" s="243" t="str">
        <f>IFERROR(INDEX(Txn[Key],MATCH(0,INDEX(COUNTIF($A$1:A172,Txn[Key])+(Txn[Key]=""),0),0)),"")</f>
        <v/>
      </c>
      <c r="B173" s="243" t="str">
        <f t="shared" si="18"/>
        <v/>
      </c>
      <c r="C173" s="243" t="str">
        <f t="shared" si="19"/>
        <v/>
      </c>
      <c r="D173" s="243" t="str">
        <f t="shared" si="20"/>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1"/>
        <v/>
      </c>
      <c r="K173" s="287" t="str">
        <f t="shared" si="22"/>
        <v/>
      </c>
      <c r="L173" s="287" t="str">
        <f t="shared" si="23"/>
        <v/>
      </c>
      <c r="M173" s="290" t="str">
        <f t="shared" si="24"/>
        <v/>
      </c>
      <c r="N173" s="243" t="str">
        <f>IF($A173="","",IF(ABS(E173)&gt;0.000001,COUNT($N$1:N172)+1,""))</f>
        <v/>
      </c>
      <c r="O173" s="291" t="str">
        <f>IF($A173="","",SUMIFS(Transactions!$H$2:$H$1001,Transactions!$J$2:$J$1001,$A173,Transactions!$A$2:$A$1001,2)*$I173)</f>
        <v/>
      </c>
      <c r="P173" s="291" t="str">
        <f t="shared" si="25"/>
        <v/>
      </c>
      <c r="Q173" s="292" t="str">
        <f t="shared" si="26"/>
        <v/>
      </c>
    </row>
    <row r="174" spans="1:17" ht="15" customHeight="1" x14ac:dyDescent="0.2">
      <c r="A174" s="243" t="str">
        <f>IFERROR(INDEX(Txn[Key],MATCH(0,INDEX(COUNTIF($A$1:A173,Txn[Key])+(Txn[Key]=""),0),0)),"")</f>
        <v/>
      </c>
      <c r="B174" s="243" t="str">
        <f t="shared" si="18"/>
        <v/>
      </c>
      <c r="C174" s="243" t="str">
        <f t="shared" si="19"/>
        <v/>
      </c>
      <c r="D174" s="243" t="str">
        <f t="shared" si="20"/>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1"/>
        <v/>
      </c>
      <c r="K174" s="287" t="str">
        <f t="shared" si="22"/>
        <v/>
      </c>
      <c r="L174" s="287" t="str">
        <f t="shared" si="23"/>
        <v/>
      </c>
      <c r="M174" s="290" t="str">
        <f t="shared" si="24"/>
        <v/>
      </c>
      <c r="N174" s="243" t="str">
        <f>IF($A174="","",IF(ABS(E174)&gt;0.000001,COUNT($N$1:N173)+1,""))</f>
        <v/>
      </c>
      <c r="O174" s="291" t="str">
        <f>IF($A174="","",SUMIFS(Transactions!$H$2:$H$1001,Transactions!$J$2:$J$1001,$A174,Transactions!$A$2:$A$1001,2)*$I174)</f>
        <v/>
      </c>
      <c r="P174" s="291" t="str">
        <f t="shared" si="25"/>
        <v/>
      </c>
      <c r="Q174" s="292" t="str">
        <f t="shared" si="26"/>
        <v/>
      </c>
    </row>
    <row r="175" spans="1:17" ht="15" customHeight="1" x14ac:dyDescent="0.2">
      <c r="A175" s="243" t="str">
        <f>IFERROR(INDEX(Txn[Key],MATCH(0,INDEX(COUNTIF($A$1:A174,Txn[Key])+(Txn[Key]=""),0),0)),"")</f>
        <v/>
      </c>
      <c r="B175" s="243" t="str">
        <f t="shared" si="18"/>
        <v/>
      </c>
      <c r="C175" s="243" t="str">
        <f t="shared" si="19"/>
        <v/>
      </c>
      <c r="D175" s="243" t="str">
        <f t="shared" si="20"/>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1"/>
        <v/>
      </c>
      <c r="K175" s="287" t="str">
        <f t="shared" si="22"/>
        <v/>
      </c>
      <c r="L175" s="287" t="str">
        <f t="shared" si="23"/>
        <v/>
      </c>
      <c r="M175" s="290" t="str">
        <f t="shared" si="24"/>
        <v/>
      </c>
      <c r="N175" s="243" t="str">
        <f>IF($A175="","",IF(ABS(E175)&gt;0.000001,COUNT($N$1:N174)+1,""))</f>
        <v/>
      </c>
      <c r="O175" s="291" t="str">
        <f>IF($A175="","",SUMIFS(Transactions!$H$2:$H$1001,Transactions!$J$2:$J$1001,$A175,Transactions!$A$2:$A$1001,2)*$I175)</f>
        <v/>
      </c>
      <c r="P175" s="291" t="str">
        <f t="shared" si="25"/>
        <v/>
      </c>
      <c r="Q175" s="292" t="str">
        <f t="shared" si="26"/>
        <v/>
      </c>
    </row>
    <row r="176" spans="1:17" ht="15" customHeight="1" x14ac:dyDescent="0.2">
      <c r="A176" s="243" t="str">
        <f>IFERROR(INDEX(Txn[Key],MATCH(0,INDEX(COUNTIF($A$1:A175,Txn[Key])+(Txn[Key]=""),0),0)),"")</f>
        <v/>
      </c>
      <c r="B176" s="243" t="str">
        <f t="shared" si="18"/>
        <v/>
      </c>
      <c r="C176" s="243" t="str">
        <f t="shared" si="19"/>
        <v/>
      </c>
      <c r="D176" s="243" t="str">
        <f t="shared" si="20"/>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1"/>
        <v/>
      </c>
      <c r="K176" s="287" t="str">
        <f t="shared" si="22"/>
        <v/>
      </c>
      <c r="L176" s="287" t="str">
        <f t="shared" si="23"/>
        <v/>
      </c>
      <c r="M176" s="290" t="str">
        <f t="shared" si="24"/>
        <v/>
      </c>
      <c r="N176" s="243" t="str">
        <f>IF($A176="","",IF(ABS(E176)&gt;0.000001,COUNT($N$1:N175)+1,""))</f>
        <v/>
      </c>
      <c r="O176" s="291" t="str">
        <f>IF($A176="","",SUMIFS(Transactions!$H$2:$H$1001,Transactions!$J$2:$J$1001,$A176,Transactions!$A$2:$A$1001,2)*$I176)</f>
        <v/>
      </c>
      <c r="P176" s="291" t="str">
        <f t="shared" si="25"/>
        <v/>
      </c>
      <c r="Q176" s="292" t="str">
        <f t="shared" si="26"/>
        <v/>
      </c>
    </row>
    <row r="177" spans="1:17" ht="15" customHeight="1" x14ac:dyDescent="0.2">
      <c r="A177" s="243" t="str">
        <f>IFERROR(INDEX(Txn[Key],MATCH(0,INDEX(COUNTIF($A$1:A176,Txn[Key])+(Txn[Key]=""),0),0)),"")</f>
        <v/>
      </c>
      <c r="B177" s="243" t="str">
        <f t="shared" si="18"/>
        <v/>
      </c>
      <c r="C177" s="243" t="str">
        <f t="shared" si="19"/>
        <v/>
      </c>
      <c r="D177" s="243" t="str">
        <f t="shared" si="20"/>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1"/>
        <v/>
      </c>
      <c r="K177" s="287" t="str">
        <f t="shared" si="22"/>
        <v/>
      </c>
      <c r="L177" s="287" t="str">
        <f t="shared" si="23"/>
        <v/>
      </c>
      <c r="M177" s="290" t="str">
        <f t="shared" si="24"/>
        <v/>
      </c>
      <c r="N177" s="243" t="str">
        <f>IF($A177="","",IF(ABS(E177)&gt;0.000001,COUNT($N$1:N176)+1,""))</f>
        <v/>
      </c>
      <c r="O177" s="291" t="str">
        <f>IF($A177="","",SUMIFS(Transactions!$H$2:$H$1001,Transactions!$J$2:$J$1001,$A177,Transactions!$A$2:$A$1001,2)*$I177)</f>
        <v/>
      </c>
      <c r="P177" s="291" t="str">
        <f t="shared" si="25"/>
        <v/>
      </c>
      <c r="Q177" s="292" t="str">
        <f t="shared" si="26"/>
        <v/>
      </c>
    </row>
    <row r="178" spans="1:17" ht="15" customHeight="1" x14ac:dyDescent="0.2">
      <c r="A178" s="243" t="str">
        <f>IFERROR(INDEX(Txn[Key],MATCH(0,INDEX(COUNTIF($A$1:A177,Txn[Key])+(Txn[Key]=""),0),0)),"")</f>
        <v/>
      </c>
      <c r="B178" s="243" t="str">
        <f t="shared" si="18"/>
        <v/>
      </c>
      <c r="C178" s="243" t="str">
        <f t="shared" si="19"/>
        <v/>
      </c>
      <c r="D178" s="243" t="str">
        <f t="shared" si="20"/>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1"/>
        <v/>
      </c>
      <c r="K178" s="287" t="str">
        <f t="shared" si="22"/>
        <v/>
      </c>
      <c r="L178" s="287" t="str">
        <f t="shared" si="23"/>
        <v/>
      </c>
      <c r="M178" s="290" t="str">
        <f t="shared" si="24"/>
        <v/>
      </c>
      <c r="N178" s="243" t="str">
        <f>IF($A178="","",IF(ABS(E178)&gt;0.000001,COUNT($N$1:N177)+1,""))</f>
        <v/>
      </c>
      <c r="O178" s="291" t="str">
        <f>IF($A178="","",SUMIFS(Transactions!$H$2:$H$1001,Transactions!$J$2:$J$1001,$A178,Transactions!$A$2:$A$1001,2)*$I178)</f>
        <v/>
      </c>
      <c r="P178" s="291" t="str">
        <f t="shared" si="25"/>
        <v/>
      </c>
      <c r="Q178" s="292" t="str">
        <f t="shared" si="26"/>
        <v/>
      </c>
    </row>
    <row r="179" spans="1:17" ht="15" customHeight="1" x14ac:dyDescent="0.2">
      <c r="A179" s="243" t="str">
        <f>IFERROR(INDEX(Txn[Key],MATCH(0,INDEX(COUNTIF($A$1:A178,Txn[Key])+(Txn[Key]=""),0),0)),"")</f>
        <v/>
      </c>
      <c r="B179" s="243" t="str">
        <f t="shared" si="18"/>
        <v/>
      </c>
      <c r="C179" s="243" t="str">
        <f t="shared" si="19"/>
        <v/>
      </c>
      <c r="D179" s="243" t="str">
        <f t="shared" si="20"/>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1"/>
        <v/>
      </c>
      <c r="K179" s="287" t="str">
        <f t="shared" si="22"/>
        <v/>
      </c>
      <c r="L179" s="287" t="str">
        <f t="shared" si="23"/>
        <v/>
      </c>
      <c r="M179" s="290" t="str">
        <f t="shared" si="24"/>
        <v/>
      </c>
      <c r="N179" s="243" t="str">
        <f>IF($A179="","",IF(ABS(E179)&gt;0.000001,COUNT($N$1:N178)+1,""))</f>
        <v/>
      </c>
      <c r="O179" s="291" t="str">
        <f>IF($A179="","",SUMIFS(Transactions!$H$2:$H$1001,Transactions!$J$2:$J$1001,$A179,Transactions!$A$2:$A$1001,2)*$I179)</f>
        <v/>
      </c>
      <c r="P179" s="291" t="str">
        <f t="shared" si="25"/>
        <v/>
      </c>
      <c r="Q179" s="292" t="str">
        <f t="shared" si="26"/>
        <v/>
      </c>
    </row>
    <row r="180" spans="1:17" ht="15" customHeight="1" x14ac:dyDescent="0.2">
      <c r="A180" s="243" t="str">
        <f>IFERROR(INDEX(Txn[Key],MATCH(0,INDEX(COUNTIF($A$1:A179,Txn[Key])+(Txn[Key]=""),0),0)),"")</f>
        <v/>
      </c>
      <c r="B180" s="243" t="str">
        <f t="shared" si="18"/>
        <v/>
      </c>
      <c r="C180" s="243" t="str">
        <f t="shared" si="19"/>
        <v/>
      </c>
      <c r="D180" s="243" t="str">
        <f t="shared" si="20"/>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1"/>
        <v/>
      </c>
      <c r="K180" s="287" t="str">
        <f t="shared" si="22"/>
        <v/>
      </c>
      <c r="L180" s="287" t="str">
        <f t="shared" si="23"/>
        <v/>
      </c>
      <c r="M180" s="290" t="str">
        <f t="shared" si="24"/>
        <v/>
      </c>
      <c r="N180" s="243" t="str">
        <f>IF($A180="","",IF(ABS(E180)&gt;0.000001,COUNT($N$1:N179)+1,""))</f>
        <v/>
      </c>
      <c r="O180" s="291" t="str">
        <f>IF($A180="","",SUMIFS(Transactions!$H$2:$H$1001,Transactions!$J$2:$J$1001,$A180,Transactions!$A$2:$A$1001,2)*$I180)</f>
        <v/>
      </c>
      <c r="P180" s="291" t="str">
        <f t="shared" si="25"/>
        <v/>
      </c>
      <c r="Q180" s="292" t="str">
        <f t="shared" si="26"/>
        <v/>
      </c>
    </row>
    <row r="181" spans="1:17" ht="15" customHeight="1" x14ac:dyDescent="0.2">
      <c r="A181" s="243" t="str">
        <f>IFERROR(INDEX(Txn[Key],MATCH(0,INDEX(COUNTIF($A$1:A180,Txn[Key])+(Txn[Key]=""),0),0)),"")</f>
        <v/>
      </c>
      <c r="B181" s="243" t="str">
        <f t="shared" si="18"/>
        <v/>
      </c>
      <c r="C181" s="243" t="str">
        <f t="shared" si="19"/>
        <v/>
      </c>
      <c r="D181" s="243" t="str">
        <f t="shared" si="20"/>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1"/>
        <v/>
      </c>
      <c r="K181" s="287" t="str">
        <f t="shared" si="22"/>
        <v/>
      </c>
      <c r="L181" s="287" t="str">
        <f t="shared" si="23"/>
        <v/>
      </c>
      <c r="M181" s="290" t="str">
        <f t="shared" si="24"/>
        <v/>
      </c>
      <c r="N181" s="243" t="str">
        <f>IF($A181="","",IF(ABS(E181)&gt;0.000001,COUNT($N$1:N180)+1,""))</f>
        <v/>
      </c>
      <c r="O181" s="291" t="str">
        <f>IF($A181="","",SUMIFS(Transactions!$H$2:$H$1001,Transactions!$J$2:$J$1001,$A181,Transactions!$A$2:$A$1001,2)*$I181)</f>
        <v/>
      </c>
      <c r="P181" s="291" t="str">
        <f t="shared" si="25"/>
        <v/>
      </c>
      <c r="Q181" s="292" t="str">
        <f t="shared" si="26"/>
        <v/>
      </c>
    </row>
    <row r="182" spans="1:17" ht="15" customHeight="1" x14ac:dyDescent="0.2">
      <c r="A182" s="243" t="str">
        <f>IFERROR(INDEX(Txn[Key],MATCH(0,INDEX(COUNTIF($A$1:A181,Txn[Key])+(Txn[Key]=""),0),0)),"")</f>
        <v/>
      </c>
      <c r="B182" s="243" t="str">
        <f t="shared" si="18"/>
        <v/>
      </c>
      <c r="C182" s="243" t="str">
        <f t="shared" si="19"/>
        <v/>
      </c>
      <c r="D182" s="243" t="str">
        <f t="shared" si="20"/>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1"/>
        <v/>
      </c>
      <c r="K182" s="287" t="str">
        <f t="shared" si="22"/>
        <v/>
      </c>
      <c r="L182" s="287" t="str">
        <f t="shared" si="23"/>
        <v/>
      </c>
      <c r="M182" s="290" t="str">
        <f t="shared" si="24"/>
        <v/>
      </c>
      <c r="N182" s="243" t="str">
        <f>IF($A182="","",IF(ABS(E182)&gt;0.000001,COUNT($N$1:N181)+1,""))</f>
        <v/>
      </c>
      <c r="O182" s="291" t="str">
        <f>IF($A182="","",SUMIFS(Transactions!$H$2:$H$1001,Transactions!$J$2:$J$1001,$A182,Transactions!$A$2:$A$1001,2)*$I182)</f>
        <v/>
      </c>
      <c r="P182" s="291" t="str">
        <f t="shared" si="25"/>
        <v/>
      </c>
      <c r="Q182" s="292" t="str">
        <f t="shared" si="26"/>
        <v/>
      </c>
    </row>
    <row r="183" spans="1:17" ht="15" customHeight="1" x14ac:dyDescent="0.2">
      <c r="A183" s="243" t="str">
        <f>IFERROR(INDEX(Txn[Key],MATCH(0,INDEX(COUNTIF($A$1:A182,Txn[Key])+(Txn[Key]=""),0),0)),"")</f>
        <v/>
      </c>
      <c r="B183" s="243" t="str">
        <f t="shared" si="18"/>
        <v/>
      </c>
      <c r="C183" s="243" t="str">
        <f t="shared" si="19"/>
        <v/>
      </c>
      <c r="D183" s="243" t="str">
        <f t="shared" si="20"/>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1"/>
        <v/>
      </c>
      <c r="K183" s="287" t="str">
        <f t="shared" si="22"/>
        <v/>
      </c>
      <c r="L183" s="287" t="str">
        <f t="shared" si="23"/>
        <v/>
      </c>
      <c r="M183" s="290" t="str">
        <f t="shared" si="24"/>
        <v/>
      </c>
      <c r="N183" s="243" t="str">
        <f>IF($A183="","",IF(ABS(E183)&gt;0.000001,COUNT($N$1:N182)+1,""))</f>
        <v/>
      </c>
      <c r="O183" s="291" t="str">
        <f>IF($A183="","",SUMIFS(Transactions!$H$2:$H$1001,Transactions!$J$2:$J$1001,$A183,Transactions!$A$2:$A$1001,2)*$I183)</f>
        <v/>
      </c>
      <c r="P183" s="291" t="str">
        <f t="shared" si="25"/>
        <v/>
      </c>
      <c r="Q183" s="292" t="str">
        <f t="shared" si="26"/>
        <v/>
      </c>
    </row>
    <row r="184" spans="1:17" ht="15" customHeight="1" x14ac:dyDescent="0.2">
      <c r="A184" s="243" t="str">
        <f>IFERROR(INDEX(Txn[Key],MATCH(0,INDEX(COUNTIF($A$1:A183,Txn[Key])+(Txn[Key]=""),0),0)),"")</f>
        <v/>
      </c>
      <c r="B184" s="243" t="str">
        <f t="shared" si="18"/>
        <v/>
      </c>
      <c r="C184" s="243" t="str">
        <f t="shared" si="19"/>
        <v/>
      </c>
      <c r="D184" s="243" t="str">
        <f t="shared" si="20"/>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1"/>
        <v/>
      </c>
      <c r="K184" s="287" t="str">
        <f t="shared" si="22"/>
        <v/>
      </c>
      <c r="L184" s="287" t="str">
        <f t="shared" si="23"/>
        <v/>
      </c>
      <c r="M184" s="290" t="str">
        <f t="shared" si="24"/>
        <v/>
      </c>
      <c r="N184" s="243" t="str">
        <f>IF($A184="","",IF(ABS(E184)&gt;0.000001,COUNT($N$1:N183)+1,""))</f>
        <v/>
      </c>
      <c r="O184" s="291" t="str">
        <f>IF($A184="","",SUMIFS(Transactions!$H$2:$H$1001,Transactions!$J$2:$J$1001,$A184,Transactions!$A$2:$A$1001,2)*$I184)</f>
        <v/>
      </c>
      <c r="P184" s="291" t="str">
        <f t="shared" si="25"/>
        <v/>
      </c>
      <c r="Q184" s="292" t="str">
        <f t="shared" si="26"/>
        <v/>
      </c>
    </row>
    <row r="185" spans="1:17" ht="15" customHeight="1" x14ac:dyDescent="0.2">
      <c r="A185" s="243" t="str">
        <f>IFERROR(INDEX(Txn[Key],MATCH(0,INDEX(COUNTIF($A$1:A184,Txn[Key])+(Txn[Key]=""),0),0)),"")</f>
        <v/>
      </c>
      <c r="B185" s="243" t="str">
        <f t="shared" si="18"/>
        <v/>
      </c>
      <c r="C185" s="243" t="str">
        <f t="shared" si="19"/>
        <v/>
      </c>
      <c r="D185" s="243" t="str">
        <f t="shared" si="20"/>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1"/>
        <v/>
      </c>
      <c r="K185" s="287" t="str">
        <f t="shared" si="22"/>
        <v/>
      </c>
      <c r="L185" s="287" t="str">
        <f t="shared" si="23"/>
        <v/>
      </c>
      <c r="M185" s="290" t="str">
        <f t="shared" si="24"/>
        <v/>
      </c>
      <c r="N185" s="243" t="str">
        <f>IF($A185="","",IF(ABS(E185)&gt;0.000001,COUNT($N$1:N184)+1,""))</f>
        <v/>
      </c>
      <c r="O185" s="291" t="str">
        <f>IF($A185="","",SUMIFS(Transactions!$H$2:$H$1001,Transactions!$J$2:$J$1001,$A185,Transactions!$A$2:$A$1001,2)*$I185)</f>
        <v/>
      </c>
      <c r="P185" s="291" t="str">
        <f t="shared" si="25"/>
        <v/>
      </c>
      <c r="Q185" s="292" t="str">
        <f t="shared" si="26"/>
        <v/>
      </c>
    </row>
    <row r="186" spans="1:17" ht="15" customHeight="1" x14ac:dyDescent="0.2">
      <c r="A186" s="243" t="str">
        <f>IFERROR(INDEX(Txn[Key],MATCH(0,INDEX(COUNTIF($A$1:A185,Txn[Key])+(Txn[Key]=""),0),0)),"")</f>
        <v/>
      </c>
      <c r="B186" s="243" t="str">
        <f t="shared" si="18"/>
        <v/>
      </c>
      <c r="C186" s="243" t="str">
        <f t="shared" si="19"/>
        <v/>
      </c>
      <c r="D186" s="243" t="str">
        <f t="shared" si="20"/>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1"/>
        <v/>
      </c>
      <c r="K186" s="287" t="str">
        <f t="shared" si="22"/>
        <v/>
      </c>
      <c r="L186" s="287" t="str">
        <f t="shared" si="23"/>
        <v/>
      </c>
      <c r="M186" s="290" t="str">
        <f t="shared" si="24"/>
        <v/>
      </c>
      <c r="N186" s="243" t="str">
        <f>IF($A186="","",IF(ABS(E186)&gt;0.000001,COUNT($N$1:N185)+1,""))</f>
        <v/>
      </c>
      <c r="O186" s="291" t="str">
        <f>IF($A186="","",SUMIFS(Transactions!$H$2:$H$1001,Transactions!$J$2:$J$1001,$A186,Transactions!$A$2:$A$1001,2)*$I186)</f>
        <v/>
      </c>
      <c r="P186" s="291" t="str">
        <f t="shared" si="25"/>
        <v/>
      </c>
      <c r="Q186" s="292" t="str">
        <f t="shared" si="26"/>
        <v/>
      </c>
    </row>
    <row r="187" spans="1:17" ht="15" customHeight="1" x14ac:dyDescent="0.2">
      <c r="A187" s="243" t="str">
        <f>IFERROR(INDEX(Txn[Key],MATCH(0,INDEX(COUNTIF($A$1:A186,Txn[Key])+(Txn[Key]=""),0),0)),"")</f>
        <v/>
      </c>
      <c r="B187" s="243" t="str">
        <f t="shared" si="18"/>
        <v/>
      </c>
      <c r="C187" s="243" t="str">
        <f t="shared" si="19"/>
        <v/>
      </c>
      <c r="D187" s="243" t="str">
        <f t="shared" si="20"/>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1"/>
        <v/>
      </c>
      <c r="K187" s="287" t="str">
        <f t="shared" si="22"/>
        <v/>
      </c>
      <c r="L187" s="287" t="str">
        <f t="shared" si="23"/>
        <v/>
      </c>
      <c r="M187" s="290" t="str">
        <f t="shared" si="24"/>
        <v/>
      </c>
      <c r="N187" s="243" t="str">
        <f>IF($A187="","",IF(ABS(E187)&gt;0.000001,COUNT($N$1:N186)+1,""))</f>
        <v/>
      </c>
      <c r="O187" s="291" t="str">
        <f>IF($A187="","",SUMIFS(Transactions!$H$2:$H$1001,Transactions!$J$2:$J$1001,$A187,Transactions!$A$2:$A$1001,2)*$I187)</f>
        <v/>
      </c>
      <c r="P187" s="291" t="str">
        <f t="shared" si="25"/>
        <v/>
      </c>
      <c r="Q187" s="292" t="str">
        <f t="shared" si="26"/>
        <v/>
      </c>
    </row>
    <row r="188" spans="1:17" ht="15" customHeight="1" x14ac:dyDescent="0.2">
      <c r="A188" s="243" t="str">
        <f>IFERROR(INDEX(Txn[Key],MATCH(0,INDEX(COUNTIF($A$1:A187,Txn[Key])+(Txn[Key]=""),0),0)),"")</f>
        <v/>
      </c>
      <c r="B188" s="243" t="str">
        <f t="shared" si="18"/>
        <v/>
      </c>
      <c r="C188" s="243" t="str">
        <f t="shared" si="19"/>
        <v/>
      </c>
      <c r="D188" s="243" t="str">
        <f t="shared" si="20"/>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1"/>
        <v/>
      </c>
      <c r="K188" s="287" t="str">
        <f t="shared" si="22"/>
        <v/>
      </c>
      <c r="L188" s="287" t="str">
        <f t="shared" si="23"/>
        <v/>
      </c>
      <c r="M188" s="290" t="str">
        <f t="shared" si="24"/>
        <v/>
      </c>
      <c r="N188" s="243" t="str">
        <f>IF($A188="","",IF(ABS(E188)&gt;0.000001,COUNT($N$1:N187)+1,""))</f>
        <v/>
      </c>
      <c r="O188" s="291" t="str">
        <f>IF($A188="","",SUMIFS(Transactions!$H$2:$H$1001,Transactions!$J$2:$J$1001,$A188,Transactions!$A$2:$A$1001,2)*$I188)</f>
        <v/>
      </c>
      <c r="P188" s="291" t="str">
        <f t="shared" si="25"/>
        <v/>
      </c>
      <c r="Q188" s="292" t="str">
        <f t="shared" si="26"/>
        <v/>
      </c>
    </row>
    <row r="189" spans="1:17" ht="15" customHeight="1" x14ac:dyDescent="0.2">
      <c r="A189" s="243" t="str">
        <f>IFERROR(INDEX(Txn[Key],MATCH(0,INDEX(COUNTIF($A$1:A188,Txn[Key])+(Txn[Key]=""),0),0)),"")</f>
        <v/>
      </c>
      <c r="B189" s="243" t="str">
        <f t="shared" si="18"/>
        <v/>
      </c>
      <c r="C189" s="243" t="str">
        <f t="shared" si="19"/>
        <v/>
      </c>
      <c r="D189" s="243" t="str">
        <f t="shared" si="20"/>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1"/>
        <v/>
      </c>
      <c r="K189" s="287" t="str">
        <f t="shared" si="22"/>
        <v/>
      </c>
      <c r="L189" s="287" t="str">
        <f t="shared" si="23"/>
        <v/>
      </c>
      <c r="M189" s="290" t="str">
        <f t="shared" si="24"/>
        <v/>
      </c>
      <c r="N189" s="243" t="str">
        <f>IF($A189="","",IF(ABS(E189)&gt;0.000001,COUNT($N$1:N188)+1,""))</f>
        <v/>
      </c>
      <c r="O189" s="291" t="str">
        <f>IF($A189="","",SUMIFS(Transactions!$H$2:$H$1001,Transactions!$J$2:$J$1001,$A189,Transactions!$A$2:$A$1001,2)*$I189)</f>
        <v/>
      </c>
      <c r="P189" s="291" t="str">
        <f t="shared" si="25"/>
        <v/>
      </c>
      <c r="Q189" s="292" t="str">
        <f t="shared" si="26"/>
        <v/>
      </c>
    </row>
    <row r="190" spans="1:17" ht="15" customHeight="1" x14ac:dyDescent="0.2">
      <c r="A190" s="243" t="str">
        <f>IFERROR(INDEX(Txn[Key],MATCH(0,INDEX(COUNTIF($A$1:A189,Txn[Key])+(Txn[Key]=""),0),0)),"")</f>
        <v/>
      </c>
      <c r="B190" s="243" t="str">
        <f t="shared" si="18"/>
        <v/>
      </c>
      <c r="C190" s="243" t="str">
        <f t="shared" si="19"/>
        <v/>
      </c>
      <c r="D190" s="243" t="str">
        <f t="shared" si="20"/>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1"/>
        <v/>
      </c>
      <c r="K190" s="287" t="str">
        <f t="shared" si="22"/>
        <v/>
      </c>
      <c r="L190" s="287" t="str">
        <f t="shared" si="23"/>
        <v/>
      </c>
      <c r="M190" s="290" t="str">
        <f t="shared" si="24"/>
        <v/>
      </c>
      <c r="N190" s="243" t="str">
        <f>IF($A190="","",IF(ABS(E190)&gt;0.000001,COUNT($N$1:N189)+1,""))</f>
        <v/>
      </c>
      <c r="O190" s="291" t="str">
        <f>IF($A190="","",SUMIFS(Transactions!$H$2:$H$1001,Transactions!$J$2:$J$1001,$A190,Transactions!$A$2:$A$1001,2)*$I190)</f>
        <v/>
      </c>
      <c r="P190" s="291" t="str">
        <f t="shared" si="25"/>
        <v/>
      </c>
      <c r="Q190" s="292" t="str">
        <f t="shared" si="26"/>
        <v/>
      </c>
    </row>
    <row r="191" spans="1:17" ht="15" customHeight="1" x14ac:dyDescent="0.2">
      <c r="A191" s="243" t="str">
        <f>IFERROR(INDEX(Txn[Key],MATCH(0,INDEX(COUNTIF($A$1:A190,Txn[Key])+(Txn[Key]=""),0),0)),"")</f>
        <v/>
      </c>
      <c r="B191" s="243" t="str">
        <f t="shared" si="18"/>
        <v/>
      </c>
      <c r="C191" s="243" t="str">
        <f t="shared" si="19"/>
        <v/>
      </c>
      <c r="D191" s="243" t="str">
        <f t="shared" si="20"/>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1"/>
        <v/>
      </c>
      <c r="K191" s="287" t="str">
        <f t="shared" si="22"/>
        <v/>
      </c>
      <c r="L191" s="287" t="str">
        <f t="shared" si="23"/>
        <v/>
      </c>
      <c r="M191" s="290" t="str">
        <f t="shared" si="24"/>
        <v/>
      </c>
      <c r="N191" s="243" t="str">
        <f>IF($A191="","",IF(ABS(E191)&gt;0.000001,COUNT($N$1:N190)+1,""))</f>
        <v/>
      </c>
      <c r="O191" s="291" t="str">
        <f>IF($A191="","",SUMIFS(Transactions!$H$2:$H$1001,Transactions!$J$2:$J$1001,$A191,Transactions!$A$2:$A$1001,2)*$I191)</f>
        <v/>
      </c>
      <c r="P191" s="291" t="str">
        <f t="shared" si="25"/>
        <v/>
      </c>
      <c r="Q191" s="292" t="str">
        <f t="shared" si="26"/>
        <v/>
      </c>
    </row>
    <row r="192" spans="1:17" ht="15" customHeight="1" x14ac:dyDescent="0.2">
      <c r="A192" s="243" t="str">
        <f>IFERROR(INDEX(Txn[Key],MATCH(0,INDEX(COUNTIF($A$1:A191,Txn[Key])+(Txn[Key]=""),0),0)),"")</f>
        <v/>
      </c>
      <c r="B192" s="243" t="str">
        <f t="shared" si="18"/>
        <v/>
      </c>
      <c r="C192" s="243" t="str">
        <f t="shared" si="19"/>
        <v/>
      </c>
      <c r="D192" s="243" t="str">
        <f t="shared" si="20"/>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1"/>
        <v/>
      </c>
      <c r="K192" s="287" t="str">
        <f t="shared" si="22"/>
        <v/>
      </c>
      <c r="L192" s="287" t="str">
        <f t="shared" si="23"/>
        <v/>
      </c>
      <c r="M192" s="290" t="str">
        <f t="shared" si="24"/>
        <v/>
      </c>
      <c r="N192" s="243" t="str">
        <f>IF($A192="","",IF(ABS(E192)&gt;0.000001,COUNT($N$1:N191)+1,""))</f>
        <v/>
      </c>
      <c r="O192" s="291" t="str">
        <f>IF($A192="","",SUMIFS(Transactions!$H$2:$H$1001,Transactions!$J$2:$J$1001,$A192,Transactions!$A$2:$A$1001,2)*$I192)</f>
        <v/>
      </c>
      <c r="P192" s="291" t="str">
        <f t="shared" si="25"/>
        <v/>
      </c>
      <c r="Q192" s="292" t="str">
        <f t="shared" si="26"/>
        <v/>
      </c>
    </row>
    <row r="193" spans="1:17" ht="15" customHeight="1" x14ac:dyDescent="0.2">
      <c r="A193" s="243" t="str">
        <f>IFERROR(INDEX(Txn[Key],MATCH(0,INDEX(COUNTIF($A$1:A192,Txn[Key])+(Txn[Key]=""),0),0)),"")</f>
        <v/>
      </c>
      <c r="B193" s="243" t="str">
        <f t="shared" si="18"/>
        <v/>
      </c>
      <c r="C193" s="243" t="str">
        <f t="shared" si="19"/>
        <v/>
      </c>
      <c r="D193" s="243" t="str">
        <f t="shared" si="20"/>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1"/>
        <v/>
      </c>
      <c r="K193" s="287" t="str">
        <f t="shared" si="22"/>
        <v/>
      </c>
      <c r="L193" s="287" t="str">
        <f t="shared" si="23"/>
        <v/>
      </c>
      <c r="M193" s="290" t="str">
        <f t="shared" si="24"/>
        <v/>
      </c>
      <c r="N193" s="243" t="str">
        <f>IF($A193="","",IF(ABS(E193)&gt;0.000001,COUNT($N$1:N192)+1,""))</f>
        <v/>
      </c>
      <c r="O193" s="291" t="str">
        <f>IF($A193="","",SUMIFS(Transactions!$H$2:$H$1001,Transactions!$J$2:$J$1001,$A193,Transactions!$A$2:$A$1001,2)*$I193)</f>
        <v/>
      </c>
      <c r="P193" s="291" t="str">
        <f t="shared" si="25"/>
        <v/>
      </c>
      <c r="Q193" s="292" t="str">
        <f t="shared" si="26"/>
        <v/>
      </c>
    </row>
    <row r="194" spans="1:17" ht="15" customHeight="1" x14ac:dyDescent="0.2">
      <c r="A194" s="243" t="str">
        <f>IFERROR(INDEX(Txn[Key],MATCH(0,INDEX(COUNTIF($A$1:A193,Txn[Key])+(Txn[Key]=""),0),0)),"")</f>
        <v/>
      </c>
      <c r="B194" s="243" t="str">
        <f t="shared" ref="B194:B257" si="27">IF($A194="","",LEFT($A194,FIND(":",$A194)-1))</f>
        <v/>
      </c>
      <c r="C194" s="243" t="str">
        <f t="shared" ref="C194:C257" si="28">IF($A194="","",MID($A194,FIND(":",$A194)+1,FIND(":",$A194,FIND(":",$A194)+1)-FIND(":",$A194)-1))</f>
        <v/>
      </c>
      <c r="D194" s="243" t="str">
        <f t="shared" ref="D194:D257" si="29">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0">IF($A194="","",E194*H194)</f>
        <v/>
      </c>
      <c r="K194" s="287" t="str">
        <f t="shared" ref="K194:K257" si="31">IF($A194="","",J194+G194-F194)</f>
        <v/>
      </c>
      <c r="L194" s="287" t="str">
        <f t="shared" ref="L194:L257" si="32">IF($A194="","",K194*I194)</f>
        <v/>
      </c>
      <c r="M194" s="290" t="str">
        <f t="shared" ref="M194:M257" si="33">IF($A194="","",IFERROR(K194/F194,0))</f>
        <v/>
      </c>
      <c r="N194" s="243" t="str">
        <f>IF($A194="","",IF(ABS(E194)&gt;0.000001,COUNT($N$1:N193)+1,""))</f>
        <v/>
      </c>
      <c r="O194" s="291" t="str">
        <f>IF($A194="","",SUMIFS(Transactions!$H$2:$H$1001,Transactions!$J$2:$J$1001,$A194,Transactions!$A$2:$A$1001,2)*$I194)</f>
        <v/>
      </c>
      <c r="P194" s="291" t="str">
        <f t="shared" ref="P194:P257" si="34">IF($A194="","",$L194+$O194)</f>
        <v/>
      </c>
      <c r="Q194" s="292" t="str">
        <f t="shared" ref="Q194:Q257" si="35">IF($A194="","",IFERROR(($L194+$O194)/($F194*$I194),0))</f>
        <v/>
      </c>
    </row>
    <row r="195" spans="1:17" ht="15" customHeight="1" x14ac:dyDescent="0.2">
      <c r="A195" s="243" t="str">
        <f>IFERROR(INDEX(Txn[Key],MATCH(0,INDEX(COUNTIF($A$1:A194,Txn[Key])+(Txn[Key]=""),0),0)),"")</f>
        <v/>
      </c>
      <c r="B195" s="243" t="str">
        <f t="shared" si="27"/>
        <v/>
      </c>
      <c r="C195" s="243" t="str">
        <f t="shared" si="28"/>
        <v/>
      </c>
      <c r="D195" s="243" t="str">
        <f t="shared" si="29"/>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0"/>
        <v/>
      </c>
      <c r="K195" s="287" t="str">
        <f t="shared" si="31"/>
        <v/>
      </c>
      <c r="L195" s="287" t="str">
        <f t="shared" si="32"/>
        <v/>
      </c>
      <c r="M195" s="290" t="str">
        <f t="shared" si="33"/>
        <v/>
      </c>
      <c r="N195" s="243" t="str">
        <f>IF($A195="","",IF(ABS(E195)&gt;0.000001,COUNT($N$1:N194)+1,""))</f>
        <v/>
      </c>
      <c r="O195" s="291" t="str">
        <f>IF($A195="","",SUMIFS(Transactions!$H$2:$H$1001,Transactions!$J$2:$J$1001,$A195,Transactions!$A$2:$A$1001,2)*$I195)</f>
        <v/>
      </c>
      <c r="P195" s="291" t="str">
        <f t="shared" si="34"/>
        <v/>
      </c>
      <c r="Q195" s="292" t="str">
        <f t="shared" si="35"/>
        <v/>
      </c>
    </row>
    <row r="196" spans="1:17" ht="15" customHeight="1" x14ac:dyDescent="0.2">
      <c r="A196" s="243" t="str">
        <f>IFERROR(INDEX(Txn[Key],MATCH(0,INDEX(COUNTIF($A$1:A195,Txn[Key])+(Txn[Key]=""),0),0)),"")</f>
        <v/>
      </c>
      <c r="B196" s="243" t="str">
        <f t="shared" si="27"/>
        <v/>
      </c>
      <c r="C196" s="243" t="str">
        <f t="shared" si="28"/>
        <v/>
      </c>
      <c r="D196" s="243" t="str">
        <f t="shared" si="29"/>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0"/>
        <v/>
      </c>
      <c r="K196" s="287" t="str">
        <f t="shared" si="31"/>
        <v/>
      </c>
      <c r="L196" s="287" t="str">
        <f t="shared" si="32"/>
        <v/>
      </c>
      <c r="M196" s="290" t="str">
        <f t="shared" si="33"/>
        <v/>
      </c>
      <c r="N196" s="243" t="str">
        <f>IF($A196="","",IF(ABS(E196)&gt;0.000001,COUNT($N$1:N195)+1,""))</f>
        <v/>
      </c>
      <c r="O196" s="291" t="str">
        <f>IF($A196="","",SUMIFS(Transactions!$H$2:$H$1001,Transactions!$J$2:$J$1001,$A196,Transactions!$A$2:$A$1001,2)*$I196)</f>
        <v/>
      </c>
      <c r="P196" s="291" t="str">
        <f t="shared" si="34"/>
        <v/>
      </c>
      <c r="Q196" s="292" t="str">
        <f t="shared" si="35"/>
        <v/>
      </c>
    </row>
    <row r="197" spans="1:17" ht="15" customHeight="1" x14ac:dyDescent="0.2">
      <c r="A197" s="243" t="str">
        <f>IFERROR(INDEX(Txn[Key],MATCH(0,INDEX(COUNTIF($A$1:A196,Txn[Key])+(Txn[Key]=""),0),0)),"")</f>
        <v/>
      </c>
      <c r="B197" s="243" t="str">
        <f t="shared" si="27"/>
        <v/>
      </c>
      <c r="C197" s="243" t="str">
        <f t="shared" si="28"/>
        <v/>
      </c>
      <c r="D197" s="243" t="str">
        <f t="shared" si="29"/>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0"/>
        <v/>
      </c>
      <c r="K197" s="287" t="str">
        <f t="shared" si="31"/>
        <v/>
      </c>
      <c r="L197" s="287" t="str">
        <f t="shared" si="32"/>
        <v/>
      </c>
      <c r="M197" s="290" t="str">
        <f t="shared" si="33"/>
        <v/>
      </c>
      <c r="N197" s="243" t="str">
        <f>IF($A197="","",IF(ABS(E197)&gt;0.000001,COUNT($N$1:N196)+1,""))</f>
        <v/>
      </c>
      <c r="O197" s="291" t="str">
        <f>IF($A197="","",SUMIFS(Transactions!$H$2:$H$1001,Transactions!$J$2:$J$1001,$A197,Transactions!$A$2:$A$1001,2)*$I197)</f>
        <v/>
      </c>
      <c r="P197" s="291" t="str">
        <f t="shared" si="34"/>
        <v/>
      </c>
      <c r="Q197" s="292" t="str">
        <f t="shared" si="35"/>
        <v/>
      </c>
    </row>
    <row r="198" spans="1:17" ht="15" customHeight="1" x14ac:dyDescent="0.2">
      <c r="A198" s="243" t="str">
        <f>IFERROR(INDEX(Txn[Key],MATCH(0,INDEX(COUNTIF($A$1:A197,Txn[Key])+(Txn[Key]=""),0),0)),"")</f>
        <v/>
      </c>
      <c r="B198" s="243" t="str">
        <f t="shared" si="27"/>
        <v/>
      </c>
      <c r="C198" s="243" t="str">
        <f t="shared" si="28"/>
        <v/>
      </c>
      <c r="D198" s="243" t="str">
        <f t="shared" si="29"/>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0"/>
        <v/>
      </c>
      <c r="K198" s="287" t="str">
        <f t="shared" si="31"/>
        <v/>
      </c>
      <c r="L198" s="287" t="str">
        <f t="shared" si="32"/>
        <v/>
      </c>
      <c r="M198" s="290" t="str">
        <f t="shared" si="33"/>
        <v/>
      </c>
      <c r="N198" s="243" t="str">
        <f>IF($A198="","",IF(ABS(E198)&gt;0.000001,COUNT($N$1:N197)+1,""))</f>
        <v/>
      </c>
      <c r="O198" s="291" t="str">
        <f>IF($A198="","",SUMIFS(Transactions!$H$2:$H$1001,Transactions!$J$2:$J$1001,$A198,Transactions!$A$2:$A$1001,2)*$I198)</f>
        <v/>
      </c>
      <c r="P198" s="291" t="str">
        <f t="shared" si="34"/>
        <v/>
      </c>
      <c r="Q198" s="292" t="str">
        <f t="shared" si="35"/>
        <v/>
      </c>
    </row>
    <row r="199" spans="1:17" ht="15" customHeight="1" x14ac:dyDescent="0.2">
      <c r="A199" s="243" t="str">
        <f>IFERROR(INDEX(Txn[Key],MATCH(0,INDEX(COUNTIF($A$1:A198,Txn[Key])+(Txn[Key]=""),0),0)),"")</f>
        <v/>
      </c>
      <c r="B199" s="243" t="str">
        <f t="shared" si="27"/>
        <v/>
      </c>
      <c r="C199" s="243" t="str">
        <f t="shared" si="28"/>
        <v/>
      </c>
      <c r="D199" s="243" t="str">
        <f t="shared" si="29"/>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0"/>
        <v/>
      </c>
      <c r="K199" s="287" t="str">
        <f t="shared" si="31"/>
        <v/>
      </c>
      <c r="L199" s="287" t="str">
        <f t="shared" si="32"/>
        <v/>
      </c>
      <c r="M199" s="290" t="str">
        <f t="shared" si="33"/>
        <v/>
      </c>
      <c r="N199" s="243" t="str">
        <f>IF($A199="","",IF(ABS(E199)&gt;0.000001,COUNT($N$1:N198)+1,""))</f>
        <v/>
      </c>
      <c r="O199" s="291" t="str">
        <f>IF($A199="","",SUMIFS(Transactions!$H$2:$H$1001,Transactions!$J$2:$J$1001,$A199,Transactions!$A$2:$A$1001,2)*$I199)</f>
        <v/>
      </c>
      <c r="P199" s="291" t="str">
        <f t="shared" si="34"/>
        <v/>
      </c>
      <c r="Q199" s="292" t="str">
        <f t="shared" si="35"/>
        <v/>
      </c>
    </row>
    <row r="200" spans="1:17" ht="15" customHeight="1" x14ac:dyDescent="0.2">
      <c r="A200" s="243" t="str">
        <f>IFERROR(INDEX(Txn[Key],MATCH(0,INDEX(COUNTIF($A$1:A199,Txn[Key])+(Txn[Key]=""),0),0)),"")</f>
        <v/>
      </c>
      <c r="B200" s="243" t="str">
        <f t="shared" si="27"/>
        <v/>
      </c>
      <c r="C200" s="243" t="str">
        <f t="shared" si="28"/>
        <v/>
      </c>
      <c r="D200" s="243" t="str">
        <f t="shared" si="29"/>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0"/>
        <v/>
      </c>
      <c r="K200" s="287" t="str">
        <f t="shared" si="31"/>
        <v/>
      </c>
      <c r="L200" s="287" t="str">
        <f t="shared" si="32"/>
        <v/>
      </c>
      <c r="M200" s="290" t="str">
        <f t="shared" si="33"/>
        <v/>
      </c>
      <c r="N200" s="243" t="str">
        <f>IF($A200="","",IF(ABS(E200)&gt;0.000001,COUNT($N$1:N199)+1,""))</f>
        <v/>
      </c>
      <c r="O200" s="291" t="str">
        <f>IF($A200="","",SUMIFS(Transactions!$H$2:$H$1001,Transactions!$J$2:$J$1001,$A200,Transactions!$A$2:$A$1001,2)*$I200)</f>
        <v/>
      </c>
      <c r="P200" s="291" t="str">
        <f t="shared" si="34"/>
        <v/>
      </c>
      <c r="Q200" s="292" t="str">
        <f t="shared" si="35"/>
        <v/>
      </c>
    </row>
    <row r="201" spans="1:17" ht="15" customHeight="1" x14ac:dyDescent="0.2">
      <c r="A201" s="243" t="str">
        <f>IFERROR(INDEX(Txn[Key],MATCH(0,INDEX(COUNTIF($A$1:A200,Txn[Key])+(Txn[Key]=""),0),0)),"")</f>
        <v/>
      </c>
      <c r="B201" s="243" t="str">
        <f t="shared" si="27"/>
        <v/>
      </c>
      <c r="C201" s="243" t="str">
        <f t="shared" si="28"/>
        <v/>
      </c>
      <c r="D201" s="243" t="str">
        <f t="shared" si="29"/>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0"/>
        <v/>
      </c>
      <c r="K201" s="287" t="str">
        <f t="shared" si="31"/>
        <v/>
      </c>
      <c r="L201" s="287" t="str">
        <f t="shared" si="32"/>
        <v/>
      </c>
      <c r="M201" s="290" t="str">
        <f t="shared" si="33"/>
        <v/>
      </c>
      <c r="N201" s="243" t="str">
        <f>IF($A201="","",IF(ABS(E201)&gt;0.000001,COUNT($N$1:N200)+1,""))</f>
        <v/>
      </c>
      <c r="O201" s="291" t="str">
        <f>IF($A201="","",SUMIFS(Transactions!$H$2:$H$1001,Transactions!$J$2:$J$1001,$A201,Transactions!$A$2:$A$1001,2)*$I201)</f>
        <v/>
      </c>
      <c r="P201" s="291" t="str">
        <f t="shared" si="34"/>
        <v/>
      </c>
      <c r="Q201" s="292" t="str">
        <f t="shared" si="35"/>
        <v/>
      </c>
    </row>
    <row r="202" spans="1:17" ht="15" customHeight="1" x14ac:dyDescent="0.2">
      <c r="A202" s="243" t="str">
        <f>IFERROR(INDEX(Txn[Key],MATCH(0,INDEX(COUNTIF($A$1:A201,Txn[Key])+(Txn[Key]=""),0),0)),"")</f>
        <v/>
      </c>
      <c r="B202" s="243" t="str">
        <f t="shared" si="27"/>
        <v/>
      </c>
      <c r="C202" s="243" t="str">
        <f t="shared" si="28"/>
        <v/>
      </c>
      <c r="D202" s="243" t="str">
        <f t="shared" si="29"/>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0"/>
        <v/>
      </c>
      <c r="K202" s="287" t="str">
        <f t="shared" si="31"/>
        <v/>
      </c>
      <c r="L202" s="287" t="str">
        <f t="shared" si="32"/>
        <v/>
      </c>
      <c r="M202" s="290" t="str">
        <f t="shared" si="33"/>
        <v/>
      </c>
      <c r="N202" s="243" t="str">
        <f>IF($A202="","",IF(ABS(E202)&gt;0.000001,COUNT($N$1:N201)+1,""))</f>
        <v/>
      </c>
      <c r="O202" s="291" t="str">
        <f>IF($A202="","",SUMIFS(Transactions!$H$2:$H$1001,Transactions!$J$2:$J$1001,$A202,Transactions!$A$2:$A$1001,2)*$I202)</f>
        <v/>
      </c>
      <c r="P202" s="291" t="str">
        <f t="shared" si="34"/>
        <v/>
      </c>
      <c r="Q202" s="292" t="str">
        <f t="shared" si="35"/>
        <v/>
      </c>
    </row>
    <row r="203" spans="1:17" ht="15" customHeight="1" x14ac:dyDescent="0.2">
      <c r="A203" s="243" t="str">
        <f>IFERROR(INDEX(Txn[Key],MATCH(0,INDEX(COUNTIF($A$1:A202,Txn[Key])+(Txn[Key]=""),0),0)),"")</f>
        <v/>
      </c>
      <c r="B203" s="243" t="str">
        <f t="shared" si="27"/>
        <v/>
      </c>
      <c r="C203" s="243" t="str">
        <f t="shared" si="28"/>
        <v/>
      </c>
      <c r="D203" s="243" t="str">
        <f t="shared" si="29"/>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0"/>
        <v/>
      </c>
      <c r="K203" s="287" t="str">
        <f t="shared" si="31"/>
        <v/>
      </c>
      <c r="L203" s="287" t="str">
        <f t="shared" si="32"/>
        <v/>
      </c>
      <c r="M203" s="290" t="str">
        <f t="shared" si="33"/>
        <v/>
      </c>
      <c r="N203" s="243" t="str">
        <f>IF($A203="","",IF(ABS(E203)&gt;0.000001,COUNT($N$1:N202)+1,""))</f>
        <v/>
      </c>
      <c r="O203" s="291" t="str">
        <f>IF($A203="","",SUMIFS(Transactions!$H$2:$H$1001,Transactions!$J$2:$J$1001,$A203,Transactions!$A$2:$A$1001,2)*$I203)</f>
        <v/>
      </c>
      <c r="P203" s="291" t="str">
        <f t="shared" si="34"/>
        <v/>
      </c>
      <c r="Q203" s="292" t="str">
        <f t="shared" si="35"/>
        <v/>
      </c>
    </row>
    <row r="204" spans="1:17" ht="15" customHeight="1" x14ac:dyDescent="0.2">
      <c r="A204" s="243" t="str">
        <f>IFERROR(INDEX(Txn[Key],MATCH(0,INDEX(COUNTIF($A$1:A203,Txn[Key])+(Txn[Key]=""),0),0)),"")</f>
        <v/>
      </c>
      <c r="B204" s="243" t="str">
        <f t="shared" si="27"/>
        <v/>
      </c>
      <c r="C204" s="243" t="str">
        <f t="shared" si="28"/>
        <v/>
      </c>
      <c r="D204" s="243" t="str">
        <f t="shared" si="29"/>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0"/>
        <v/>
      </c>
      <c r="K204" s="287" t="str">
        <f t="shared" si="31"/>
        <v/>
      </c>
      <c r="L204" s="287" t="str">
        <f t="shared" si="32"/>
        <v/>
      </c>
      <c r="M204" s="290" t="str">
        <f t="shared" si="33"/>
        <v/>
      </c>
      <c r="N204" s="243" t="str">
        <f>IF($A204="","",IF(ABS(E204)&gt;0.000001,COUNT($N$1:N203)+1,""))</f>
        <v/>
      </c>
      <c r="O204" s="291" t="str">
        <f>IF($A204="","",SUMIFS(Transactions!$H$2:$H$1001,Transactions!$J$2:$J$1001,$A204,Transactions!$A$2:$A$1001,2)*$I204)</f>
        <v/>
      </c>
      <c r="P204" s="291" t="str">
        <f t="shared" si="34"/>
        <v/>
      </c>
      <c r="Q204" s="292" t="str">
        <f t="shared" si="35"/>
        <v/>
      </c>
    </row>
    <row r="205" spans="1:17" ht="15" customHeight="1" x14ac:dyDescent="0.2">
      <c r="A205" s="243" t="str">
        <f>IFERROR(INDEX(Txn[Key],MATCH(0,INDEX(COUNTIF($A$1:A204,Txn[Key])+(Txn[Key]=""),0),0)),"")</f>
        <v/>
      </c>
      <c r="B205" s="243" t="str">
        <f t="shared" si="27"/>
        <v/>
      </c>
      <c r="C205" s="243" t="str">
        <f t="shared" si="28"/>
        <v/>
      </c>
      <c r="D205" s="243" t="str">
        <f t="shared" si="29"/>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0"/>
        <v/>
      </c>
      <c r="K205" s="287" t="str">
        <f t="shared" si="31"/>
        <v/>
      </c>
      <c r="L205" s="287" t="str">
        <f t="shared" si="32"/>
        <v/>
      </c>
      <c r="M205" s="290" t="str">
        <f t="shared" si="33"/>
        <v/>
      </c>
      <c r="N205" s="243" t="str">
        <f>IF($A205="","",IF(ABS(E205)&gt;0.000001,COUNT($N$1:N204)+1,""))</f>
        <v/>
      </c>
      <c r="O205" s="291" t="str">
        <f>IF($A205="","",SUMIFS(Transactions!$H$2:$H$1001,Transactions!$J$2:$J$1001,$A205,Transactions!$A$2:$A$1001,2)*$I205)</f>
        <v/>
      </c>
      <c r="P205" s="291" t="str">
        <f t="shared" si="34"/>
        <v/>
      </c>
      <c r="Q205" s="292" t="str">
        <f t="shared" si="35"/>
        <v/>
      </c>
    </row>
    <row r="206" spans="1:17" ht="15" customHeight="1" x14ac:dyDescent="0.2">
      <c r="A206" s="243" t="str">
        <f>IFERROR(INDEX(Txn[Key],MATCH(0,INDEX(COUNTIF($A$1:A205,Txn[Key])+(Txn[Key]=""),0),0)),"")</f>
        <v/>
      </c>
      <c r="B206" s="243" t="str">
        <f t="shared" si="27"/>
        <v/>
      </c>
      <c r="C206" s="243" t="str">
        <f t="shared" si="28"/>
        <v/>
      </c>
      <c r="D206" s="243" t="str">
        <f t="shared" si="29"/>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0"/>
        <v/>
      </c>
      <c r="K206" s="287" t="str">
        <f t="shared" si="31"/>
        <v/>
      </c>
      <c r="L206" s="287" t="str">
        <f t="shared" si="32"/>
        <v/>
      </c>
      <c r="M206" s="290" t="str">
        <f t="shared" si="33"/>
        <v/>
      </c>
      <c r="N206" s="243" t="str">
        <f>IF($A206="","",IF(ABS(E206)&gt;0.000001,COUNT($N$1:N205)+1,""))</f>
        <v/>
      </c>
      <c r="O206" s="291" t="str">
        <f>IF($A206="","",SUMIFS(Transactions!$H$2:$H$1001,Transactions!$J$2:$J$1001,$A206,Transactions!$A$2:$A$1001,2)*$I206)</f>
        <v/>
      </c>
      <c r="P206" s="291" t="str">
        <f t="shared" si="34"/>
        <v/>
      </c>
      <c r="Q206" s="292" t="str">
        <f t="shared" si="35"/>
        <v/>
      </c>
    </row>
    <row r="207" spans="1:17" ht="15" customHeight="1" x14ac:dyDescent="0.2">
      <c r="A207" s="243" t="str">
        <f>IFERROR(INDEX(Txn[Key],MATCH(0,INDEX(COUNTIF($A$1:A206,Txn[Key])+(Txn[Key]=""),0),0)),"")</f>
        <v/>
      </c>
      <c r="B207" s="243" t="str">
        <f t="shared" si="27"/>
        <v/>
      </c>
      <c r="C207" s="243" t="str">
        <f t="shared" si="28"/>
        <v/>
      </c>
      <c r="D207" s="243" t="str">
        <f t="shared" si="29"/>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0"/>
        <v/>
      </c>
      <c r="K207" s="287" t="str">
        <f t="shared" si="31"/>
        <v/>
      </c>
      <c r="L207" s="287" t="str">
        <f t="shared" si="32"/>
        <v/>
      </c>
      <c r="M207" s="290" t="str">
        <f t="shared" si="33"/>
        <v/>
      </c>
      <c r="N207" s="243" t="str">
        <f>IF($A207="","",IF(ABS(E207)&gt;0.000001,COUNT($N$1:N206)+1,""))</f>
        <v/>
      </c>
      <c r="O207" s="291" t="str">
        <f>IF($A207="","",SUMIFS(Transactions!$H$2:$H$1001,Transactions!$J$2:$J$1001,$A207,Transactions!$A$2:$A$1001,2)*$I207)</f>
        <v/>
      </c>
      <c r="P207" s="291" t="str">
        <f t="shared" si="34"/>
        <v/>
      </c>
      <c r="Q207" s="292" t="str">
        <f t="shared" si="35"/>
        <v/>
      </c>
    </row>
    <row r="208" spans="1:17" ht="15" customHeight="1" x14ac:dyDescent="0.2">
      <c r="A208" s="243" t="str">
        <f>IFERROR(INDEX(Txn[Key],MATCH(0,INDEX(COUNTIF($A$1:A207,Txn[Key])+(Txn[Key]=""),0),0)),"")</f>
        <v/>
      </c>
      <c r="B208" s="243" t="str">
        <f t="shared" si="27"/>
        <v/>
      </c>
      <c r="C208" s="243" t="str">
        <f t="shared" si="28"/>
        <v/>
      </c>
      <c r="D208" s="243" t="str">
        <f t="shared" si="29"/>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0"/>
        <v/>
      </c>
      <c r="K208" s="287" t="str">
        <f t="shared" si="31"/>
        <v/>
      </c>
      <c r="L208" s="287" t="str">
        <f t="shared" si="32"/>
        <v/>
      </c>
      <c r="M208" s="290" t="str">
        <f t="shared" si="33"/>
        <v/>
      </c>
      <c r="N208" s="243" t="str">
        <f>IF($A208="","",IF(ABS(E208)&gt;0.000001,COUNT($N$1:N207)+1,""))</f>
        <v/>
      </c>
      <c r="O208" s="291" t="str">
        <f>IF($A208="","",SUMIFS(Transactions!$H$2:$H$1001,Transactions!$J$2:$J$1001,$A208,Transactions!$A$2:$A$1001,2)*$I208)</f>
        <v/>
      </c>
      <c r="P208" s="291" t="str">
        <f t="shared" si="34"/>
        <v/>
      </c>
      <c r="Q208" s="292" t="str">
        <f t="shared" si="35"/>
        <v/>
      </c>
    </row>
    <row r="209" spans="1:17" ht="15" customHeight="1" x14ac:dyDescent="0.2">
      <c r="A209" s="243" t="str">
        <f>IFERROR(INDEX(Txn[Key],MATCH(0,INDEX(COUNTIF($A$1:A208,Txn[Key])+(Txn[Key]=""),0),0)),"")</f>
        <v/>
      </c>
      <c r="B209" s="243" t="str">
        <f t="shared" si="27"/>
        <v/>
      </c>
      <c r="C209" s="243" t="str">
        <f t="shared" si="28"/>
        <v/>
      </c>
      <c r="D209" s="243" t="str">
        <f t="shared" si="29"/>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0"/>
        <v/>
      </c>
      <c r="K209" s="287" t="str">
        <f t="shared" si="31"/>
        <v/>
      </c>
      <c r="L209" s="287" t="str">
        <f t="shared" si="32"/>
        <v/>
      </c>
      <c r="M209" s="290" t="str">
        <f t="shared" si="33"/>
        <v/>
      </c>
      <c r="N209" s="243" t="str">
        <f>IF($A209="","",IF(ABS(E209)&gt;0.000001,COUNT($N$1:N208)+1,""))</f>
        <v/>
      </c>
      <c r="O209" s="291" t="str">
        <f>IF($A209="","",SUMIFS(Transactions!$H$2:$H$1001,Transactions!$J$2:$J$1001,$A209,Transactions!$A$2:$A$1001,2)*$I209)</f>
        <v/>
      </c>
      <c r="P209" s="291" t="str">
        <f t="shared" si="34"/>
        <v/>
      </c>
      <c r="Q209" s="292" t="str">
        <f t="shared" si="35"/>
        <v/>
      </c>
    </row>
    <row r="210" spans="1:17" ht="15" customHeight="1" x14ac:dyDescent="0.2">
      <c r="A210" s="243" t="str">
        <f>IFERROR(INDEX(Txn[Key],MATCH(0,INDEX(COUNTIF($A$1:A209,Txn[Key])+(Txn[Key]=""),0),0)),"")</f>
        <v/>
      </c>
      <c r="B210" s="243" t="str">
        <f t="shared" si="27"/>
        <v/>
      </c>
      <c r="C210" s="243" t="str">
        <f t="shared" si="28"/>
        <v/>
      </c>
      <c r="D210" s="243" t="str">
        <f t="shared" si="29"/>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0"/>
        <v/>
      </c>
      <c r="K210" s="287" t="str">
        <f t="shared" si="31"/>
        <v/>
      </c>
      <c r="L210" s="287" t="str">
        <f t="shared" si="32"/>
        <v/>
      </c>
      <c r="M210" s="290" t="str">
        <f t="shared" si="33"/>
        <v/>
      </c>
      <c r="N210" s="243" t="str">
        <f>IF($A210="","",IF(ABS(E210)&gt;0.000001,COUNT($N$1:N209)+1,""))</f>
        <v/>
      </c>
      <c r="O210" s="291" t="str">
        <f>IF($A210="","",SUMIFS(Transactions!$H$2:$H$1001,Transactions!$J$2:$J$1001,$A210,Transactions!$A$2:$A$1001,2)*$I210)</f>
        <v/>
      </c>
      <c r="P210" s="291" t="str">
        <f t="shared" si="34"/>
        <v/>
      </c>
      <c r="Q210" s="292" t="str">
        <f t="shared" si="35"/>
        <v/>
      </c>
    </row>
    <row r="211" spans="1:17" ht="15" customHeight="1" x14ac:dyDescent="0.2">
      <c r="A211" s="243" t="str">
        <f>IFERROR(INDEX(Txn[Key],MATCH(0,INDEX(COUNTIF($A$1:A210,Txn[Key])+(Txn[Key]=""),0),0)),"")</f>
        <v/>
      </c>
      <c r="B211" s="243" t="str">
        <f t="shared" si="27"/>
        <v/>
      </c>
      <c r="C211" s="243" t="str">
        <f t="shared" si="28"/>
        <v/>
      </c>
      <c r="D211" s="243" t="str">
        <f t="shared" si="29"/>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0"/>
        <v/>
      </c>
      <c r="K211" s="287" t="str">
        <f t="shared" si="31"/>
        <v/>
      </c>
      <c r="L211" s="287" t="str">
        <f t="shared" si="32"/>
        <v/>
      </c>
      <c r="M211" s="290" t="str">
        <f t="shared" si="33"/>
        <v/>
      </c>
      <c r="N211" s="243" t="str">
        <f>IF($A211="","",IF(ABS(E211)&gt;0.000001,COUNT($N$1:N210)+1,""))</f>
        <v/>
      </c>
      <c r="O211" s="291" t="str">
        <f>IF($A211="","",SUMIFS(Transactions!$H$2:$H$1001,Transactions!$J$2:$J$1001,$A211,Transactions!$A$2:$A$1001,2)*$I211)</f>
        <v/>
      </c>
      <c r="P211" s="291" t="str">
        <f t="shared" si="34"/>
        <v/>
      </c>
      <c r="Q211" s="292" t="str">
        <f t="shared" si="35"/>
        <v/>
      </c>
    </row>
    <row r="212" spans="1:17" ht="15" customHeight="1" x14ac:dyDescent="0.2">
      <c r="A212" s="243" t="str">
        <f>IFERROR(INDEX(Txn[Key],MATCH(0,INDEX(COUNTIF($A$1:A211,Txn[Key])+(Txn[Key]=""),0),0)),"")</f>
        <v/>
      </c>
      <c r="B212" s="243" t="str">
        <f t="shared" si="27"/>
        <v/>
      </c>
      <c r="C212" s="243" t="str">
        <f t="shared" si="28"/>
        <v/>
      </c>
      <c r="D212" s="243" t="str">
        <f t="shared" si="29"/>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0"/>
        <v/>
      </c>
      <c r="K212" s="287" t="str">
        <f t="shared" si="31"/>
        <v/>
      </c>
      <c r="L212" s="287" t="str">
        <f t="shared" si="32"/>
        <v/>
      </c>
      <c r="M212" s="290" t="str">
        <f t="shared" si="33"/>
        <v/>
      </c>
      <c r="N212" s="243" t="str">
        <f>IF($A212="","",IF(ABS(E212)&gt;0.000001,COUNT($N$1:N211)+1,""))</f>
        <v/>
      </c>
      <c r="O212" s="291" t="str">
        <f>IF($A212="","",SUMIFS(Transactions!$H$2:$H$1001,Transactions!$J$2:$J$1001,$A212,Transactions!$A$2:$A$1001,2)*$I212)</f>
        <v/>
      </c>
      <c r="P212" s="291" t="str">
        <f t="shared" si="34"/>
        <v/>
      </c>
      <c r="Q212" s="292" t="str">
        <f t="shared" si="35"/>
        <v/>
      </c>
    </row>
    <row r="213" spans="1:17" ht="15" customHeight="1" x14ac:dyDescent="0.2">
      <c r="A213" s="243" t="str">
        <f>IFERROR(INDEX(Txn[Key],MATCH(0,INDEX(COUNTIF($A$1:A212,Txn[Key])+(Txn[Key]=""),0),0)),"")</f>
        <v/>
      </c>
      <c r="B213" s="243" t="str">
        <f t="shared" si="27"/>
        <v/>
      </c>
      <c r="C213" s="243" t="str">
        <f t="shared" si="28"/>
        <v/>
      </c>
      <c r="D213" s="243" t="str">
        <f t="shared" si="29"/>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0"/>
        <v/>
      </c>
      <c r="K213" s="287" t="str">
        <f t="shared" si="31"/>
        <v/>
      </c>
      <c r="L213" s="287" t="str">
        <f t="shared" si="32"/>
        <v/>
      </c>
      <c r="M213" s="290" t="str">
        <f t="shared" si="33"/>
        <v/>
      </c>
      <c r="N213" s="243" t="str">
        <f>IF($A213="","",IF(ABS(E213)&gt;0.000001,COUNT($N$1:N212)+1,""))</f>
        <v/>
      </c>
      <c r="O213" s="291" t="str">
        <f>IF($A213="","",SUMIFS(Transactions!$H$2:$H$1001,Transactions!$J$2:$J$1001,$A213,Transactions!$A$2:$A$1001,2)*$I213)</f>
        <v/>
      </c>
      <c r="P213" s="291" t="str">
        <f t="shared" si="34"/>
        <v/>
      </c>
      <c r="Q213" s="292" t="str">
        <f t="shared" si="35"/>
        <v/>
      </c>
    </row>
    <row r="214" spans="1:17" ht="15" customHeight="1" x14ac:dyDescent="0.2">
      <c r="A214" s="243" t="str">
        <f>IFERROR(INDEX(Txn[Key],MATCH(0,INDEX(COUNTIF($A$1:A213,Txn[Key])+(Txn[Key]=""),0),0)),"")</f>
        <v/>
      </c>
      <c r="B214" s="243" t="str">
        <f t="shared" si="27"/>
        <v/>
      </c>
      <c r="C214" s="243" t="str">
        <f t="shared" si="28"/>
        <v/>
      </c>
      <c r="D214" s="243" t="str">
        <f t="shared" si="29"/>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0"/>
        <v/>
      </c>
      <c r="K214" s="287" t="str">
        <f t="shared" si="31"/>
        <v/>
      </c>
      <c r="L214" s="287" t="str">
        <f t="shared" si="32"/>
        <v/>
      </c>
      <c r="M214" s="290" t="str">
        <f t="shared" si="33"/>
        <v/>
      </c>
      <c r="N214" s="243" t="str">
        <f>IF($A214="","",IF(ABS(E214)&gt;0.000001,COUNT($N$1:N213)+1,""))</f>
        <v/>
      </c>
      <c r="O214" s="291" t="str">
        <f>IF($A214="","",SUMIFS(Transactions!$H$2:$H$1001,Transactions!$J$2:$J$1001,$A214,Transactions!$A$2:$A$1001,2)*$I214)</f>
        <v/>
      </c>
      <c r="P214" s="291" t="str">
        <f t="shared" si="34"/>
        <v/>
      </c>
      <c r="Q214" s="292" t="str">
        <f t="shared" si="35"/>
        <v/>
      </c>
    </row>
    <row r="215" spans="1:17" ht="15" customHeight="1" x14ac:dyDescent="0.2">
      <c r="A215" s="243" t="str">
        <f>IFERROR(INDEX(Txn[Key],MATCH(0,INDEX(COUNTIF($A$1:A214,Txn[Key])+(Txn[Key]=""),0),0)),"")</f>
        <v/>
      </c>
      <c r="B215" s="243" t="str">
        <f t="shared" si="27"/>
        <v/>
      </c>
      <c r="C215" s="243" t="str">
        <f t="shared" si="28"/>
        <v/>
      </c>
      <c r="D215" s="243" t="str">
        <f t="shared" si="29"/>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0"/>
        <v/>
      </c>
      <c r="K215" s="287" t="str">
        <f t="shared" si="31"/>
        <v/>
      </c>
      <c r="L215" s="287" t="str">
        <f t="shared" si="32"/>
        <v/>
      </c>
      <c r="M215" s="290" t="str">
        <f t="shared" si="33"/>
        <v/>
      </c>
      <c r="N215" s="243" t="str">
        <f>IF($A215="","",IF(ABS(E215)&gt;0.000001,COUNT($N$1:N214)+1,""))</f>
        <v/>
      </c>
      <c r="O215" s="291" t="str">
        <f>IF($A215="","",SUMIFS(Transactions!$H$2:$H$1001,Transactions!$J$2:$J$1001,$A215,Transactions!$A$2:$A$1001,2)*$I215)</f>
        <v/>
      </c>
      <c r="P215" s="291" t="str">
        <f t="shared" si="34"/>
        <v/>
      </c>
      <c r="Q215" s="292" t="str">
        <f t="shared" si="35"/>
        <v/>
      </c>
    </row>
    <row r="216" spans="1:17" ht="15" customHeight="1" x14ac:dyDescent="0.2">
      <c r="A216" s="243" t="str">
        <f>IFERROR(INDEX(Txn[Key],MATCH(0,INDEX(COUNTIF($A$1:A215,Txn[Key])+(Txn[Key]=""),0),0)),"")</f>
        <v/>
      </c>
      <c r="B216" s="243" t="str">
        <f t="shared" si="27"/>
        <v/>
      </c>
      <c r="C216" s="243" t="str">
        <f t="shared" si="28"/>
        <v/>
      </c>
      <c r="D216" s="243" t="str">
        <f t="shared" si="29"/>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0"/>
        <v/>
      </c>
      <c r="K216" s="287" t="str">
        <f t="shared" si="31"/>
        <v/>
      </c>
      <c r="L216" s="287" t="str">
        <f t="shared" si="32"/>
        <v/>
      </c>
      <c r="M216" s="290" t="str">
        <f t="shared" si="33"/>
        <v/>
      </c>
      <c r="N216" s="243" t="str">
        <f>IF($A216="","",IF(ABS(E216)&gt;0.000001,COUNT($N$1:N215)+1,""))</f>
        <v/>
      </c>
      <c r="O216" s="291" t="str">
        <f>IF($A216="","",SUMIFS(Transactions!$H$2:$H$1001,Transactions!$J$2:$J$1001,$A216,Transactions!$A$2:$A$1001,2)*$I216)</f>
        <v/>
      </c>
      <c r="P216" s="291" t="str">
        <f t="shared" si="34"/>
        <v/>
      </c>
      <c r="Q216" s="292" t="str">
        <f t="shared" si="35"/>
        <v/>
      </c>
    </row>
    <row r="217" spans="1:17" ht="15" customHeight="1" x14ac:dyDescent="0.2">
      <c r="A217" s="243" t="str">
        <f>IFERROR(INDEX(Txn[Key],MATCH(0,INDEX(COUNTIF($A$1:A216,Txn[Key])+(Txn[Key]=""),0),0)),"")</f>
        <v/>
      </c>
      <c r="B217" s="243" t="str">
        <f t="shared" si="27"/>
        <v/>
      </c>
      <c r="C217" s="243" t="str">
        <f t="shared" si="28"/>
        <v/>
      </c>
      <c r="D217" s="243" t="str">
        <f t="shared" si="29"/>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0"/>
        <v/>
      </c>
      <c r="K217" s="287" t="str">
        <f t="shared" si="31"/>
        <v/>
      </c>
      <c r="L217" s="287" t="str">
        <f t="shared" si="32"/>
        <v/>
      </c>
      <c r="M217" s="290" t="str">
        <f t="shared" si="33"/>
        <v/>
      </c>
      <c r="N217" s="243" t="str">
        <f>IF($A217="","",IF(ABS(E217)&gt;0.000001,COUNT($N$1:N216)+1,""))</f>
        <v/>
      </c>
      <c r="O217" s="291" t="str">
        <f>IF($A217="","",SUMIFS(Transactions!$H$2:$H$1001,Transactions!$J$2:$J$1001,$A217,Transactions!$A$2:$A$1001,2)*$I217)</f>
        <v/>
      </c>
      <c r="P217" s="291" t="str">
        <f t="shared" si="34"/>
        <v/>
      </c>
      <c r="Q217" s="292" t="str">
        <f t="shared" si="35"/>
        <v/>
      </c>
    </row>
    <row r="218" spans="1:17" ht="15" customHeight="1" x14ac:dyDescent="0.2">
      <c r="A218" s="243" t="str">
        <f>IFERROR(INDEX(Txn[Key],MATCH(0,INDEX(COUNTIF($A$1:A217,Txn[Key])+(Txn[Key]=""),0),0)),"")</f>
        <v/>
      </c>
      <c r="B218" s="243" t="str">
        <f t="shared" si="27"/>
        <v/>
      </c>
      <c r="C218" s="243" t="str">
        <f t="shared" si="28"/>
        <v/>
      </c>
      <c r="D218" s="243" t="str">
        <f t="shared" si="29"/>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0"/>
        <v/>
      </c>
      <c r="K218" s="287" t="str">
        <f t="shared" si="31"/>
        <v/>
      </c>
      <c r="L218" s="287" t="str">
        <f t="shared" si="32"/>
        <v/>
      </c>
      <c r="M218" s="290" t="str">
        <f t="shared" si="33"/>
        <v/>
      </c>
      <c r="N218" s="243" t="str">
        <f>IF($A218="","",IF(ABS(E218)&gt;0.000001,COUNT($N$1:N217)+1,""))</f>
        <v/>
      </c>
      <c r="O218" s="291" t="str">
        <f>IF($A218="","",SUMIFS(Transactions!$H$2:$H$1001,Transactions!$J$2:$J$1001,$A218,Transactions!$A$2:$A$1001,2)*$I218)</f>
        <v/>
      </c>
      <c r="P218" s="291" t="str">
        <f t="shared" si="34"/>
        <v/>
      </c>
      <c r="Q218" s="292" t="str">
        <f t="shared" si="35"/>
        <v/>
      </c>
    </row>
    <row r="219" spans="1:17" ht="15" customHeight="1" x14ac:dyDescent="0.2">
      <c r="A219" s="243" t="str">
        <f>IFERROR(INDEX(Txn[Key],MATCH(0,INDEX(COUNTIF($A$1:A218,Txn[Key])+(Txn[Key]=""),0),0)),"")</f>
        <v/>
      </c>
      <c r="B219" s="243" t="str">
        <f t="shared" si="27"/>
        <v/>
      </c>
      <c r="C219" s="243" t="str">
        <f t="shared" si="28"/>
        <v/>
      </c>
      <c r="D219" s="243" t="str">
        <f t="shared" si="29"/>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0"/>
        <v/>
      </c>
      <c r="K219" s="287" t="str">
        <f t="shared" si="31"/>
        <v/>
      </c>
      <c r="L219" s="287" t="str">
        <f t="shared" si="32"/>
        <v/>
      </c>
      <c r="M219" s="290" t="str">
        <f t="shared" si="33"/>
        <v/>
      </c>
      <c r="N219" s="243" t="str">
        <f>IF($A219="","",IF(ABS(E219)&gt;0.000001,COUNT($N$1:N218)+1,""))</f>
        <v/>
      </c>
      <c r="O219" s="291" t="str">
        <f>IF($A219="","",SUMIFS(Transactions!$H$2:$H$1001,Transactions!$J$2:$J$1001,$A219,Transactions!$A$2:$A$1001,2)*$I219)</f>
        <v/>
      </c>
      <c r="P219" s="291" t="str">
        <f t="shared" si="34"/>
        <v/>
      </c>
      <c r="Q219" s="292" t="str">
        <f t="shared" si="35"/>
        <v/>
      </c>
    </row>
    <row r="220" spans="1:17" ht="15" customHeight="1" x14ac:dyDescent="0.2">
      <c r="A220" s="243" t="str">
        <f>IFERROR(INDEX(Txn[Key],MATCH(0,INDEX(COUNTIF($A$1:A219,Txn[Key])+(Txn[Key]=""),0),0)),"")</f>
        <v/>
      </c>
      <c r="B220" s="243" t="str">
        <f t="shared" si="27"/>
        <v/>
      </c>
      <c r="C220" s="243" t="str">
        <f t="shared" si="28"/>
        <v/>
      </c>
      <c r="D220" s="243" t="str">
        <f t="shared" si="29"/>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0"/>
        <v/>
      </c>
      <c r="K220" s="287" t="str">
        <f t="shared" si="31"/>
        <v/>
      </c>
      <c r="L220" s="287" t="str">
        <f t="shared" si="32"/>
        <v/>
      </c>
      <c r="M220" s="290" t="str">
        <f t="shared" si="33"/>
        <v/>
      </c>
      <c r="N220" s="243" t="str">
        <f>IF($A220="","",IF(ABS(E220)&gt;0.000001,COUNT($N$1:N219)+1,""))</f>
        <v/>
      </c>
      <c r="O220" s="291" t="str">
        <f>IF($A220="","",SUMIFS(Transactions!$H$2:$H$1001,Transactions!$J$2:$J$1001,$A220,Transactions!$A$2:$A$1001,2)*$I220)</f>
        <v/>
      </c>
      <c r="P220" s="291" t="str">
        <f t="shared" si="34"/>
        <v/>
      </c>
      <c r="Q220" s="292" t="str">
        <f t="shared" si="35"/>
        <v/>
      </c>
    </row>
    <row r="221" spans="1:17" ht="15" customHeight="1" x14ac:dyDescent="0.2">
      <c r="A221" s="243" t="str">
        <f>IFERROR(INDEX(Txn[Key],MATCH(0,INDEX(COUNTIF($A$1:A220,Txn[Key])+(Txn[Key]=""),0),0)),"")</f>
        <v/>
      </c>
      <c r="B221" s="243" t="str">
        <f t="shared" si="27"/>
        <v/>
      </c>
      <c r="C221" s="243" t="str">
        <f t="shared" si="28"/>
        <v/>
      </c>
      <c r="D221" s="243" t="str">
        <f t="shared" si="29"/>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0"/>
        <v/>
      </c>
      <c r="K221" s="287" t="str">
        <f t="shared" si="31"/>
        <v/>
      </c>
      <c r="L221" s="287" t="str">
        <f t="shared" si="32"/>
        <v/>
      </c>
      <c r="M221" s="290" t="str">
        <f t="shared" si="33"/>
        <v/>
      </c>
      <c r="N221" s="243" t="str">
        <f>IF($A221="","",IF(ABS(E221)&gt;0.000001,COUNT($N$1:N220)+1,""))</f>
        <v/>
      </c>
      <c r="O221" s="291" t="str">
        <f>IF($A221="","",SUMIFS(Transactions!$H$2:$H$1001,Transactions!$J$2:$J$1001,$A221,Transactions!$A$2:$A$1001,2)*$I221)</f>
        <v/>
      </c>
      <c r="P221" s="291" t="str">
        <f t="shared" si="34"/>
        <v/>
      </c>
      <c r="Q221" s="292" t="str">
        <f t="shared" si="35"/>
        <v/>
      </c>
    </row>
    <row r="222" spans="1:17" ht="15" customHeight="1" x14ac:dyDescent="0.2">
      <c r="A222" s="243" t="str">
        <f>IFERROR(INDEX(Txn[Key],MATCH(0,INDEX(COUNTIF($A$1:A221,Txn[Key])+(Txn[Key]=""),0),0)),"")</f>
        <v/>
      </c>
      <c r="B222" s="243" t="str">
        <f t="shared" si="27"/>
        <v/>
      </c>
      <c r="C222" s="243" t="str">
        <f t="shared" si="28"/>
        <v/>
      </c>
      <c r="D222" s="243" t="str">
        <f t="shared" si="29"/>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0"/>
        <v/>
      </c>
      <c r="K222" s="287" t="str">
        <f t="shared" si="31"/>
        <v/>
      </c>
      <c r="L222" s="287" t="str">
        <f t="shared" si="32"/>
        <v/>
      </c>
      <c r="M222" s="290" t="str">
        <f t="shared" si="33"/>
        <v/>
      </c>
      <c r="N222" s="243" t="str">
        <f>IF($A222="","",IF(ABS(E222)&gt;0.000001,COUNT($N$1:N221)+1,""))</f>
        <v/>
      </c>
      <c r="O222" s="291" t="str">
        <f>IF($A222="","",SUMIFS(Transactions!$H$2:$H$1001,Transactions!$J$2:$J$1001,$A222,Transactions!$A$2:$A$1001,2)*$I222)</f>
        <v/>
      </c>
      <c r="P222" s="291" t="str">
        <f t="shared" si="34"/>
        <v/>
      </c>
      <c r="Q222" s="292" t="str">
        <f t="shared" si="35"/>
        <v/>
      </c>
    </row>
    <row r="223" spans="1:17" ht="15" customHeight="1" x14ac:dyDescent="0.2">
      <c r="A223" s="243" t="str">
        <f>IFERROR(INDEX(Txn[Key],MATCH(0,INDEX(COUNTIF($A$1:A222,Txn[Key])+(Txn[Key]=""),0),0)),"")</f>
        <v/>
      </c>
      <c r="B223" s="243" t="str">
        <f t="shared" si="27"/>
        <v/>
      </c>
      <c r="C223" s="243" t="str">
        <f t="shared" si="28"/>
        <v/>
      </c>
      <c r="D223" s="243" t="str">
        <f t="shared" si="29"/>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0"/>
        <v/>
      </c>
      <c r="K223" s="287" t="str">
        <f t="shared" si="31"/>
        <v/>
      </c>
      <c r="L223" s="287" t="str">
        <f t="shared" si="32"/>
        <v/>
      </c>
      <c r="M223" s="290" t="str">
        <f t="shared" si="33"/>
        <v/>
      </c>
      <c r="N223" s="243" t="str">
        <f>IF($A223="","",IF(ABS(E223)&gt;0.000001,COUNT($N$1:N222)+1,""))</f>
        <v/>
      </c>
      <c r="O223" s="291" t="str">
        <f>IF($A223="","",SUMIFS(Transactions!$H$2:$H$1001,Transactions!$J$2:$J$1001,$A223,Transactions!$A$2:$A$1001,2)*$I223)</f>
        <v/>
      </c>
      <c r="P223" s="291" t="str">
        <f t="shared" si="34"/>
        <v/>
      </c>
      <c r="Q223" s="292" t="str">
        <f t="shared" si="35"/>
        <v/>
      </c>
    </row>
    <row r="224" spans="1:17" ht="15" customHeight="1" x14ac:dyDescent="0.2">
      <c r="A224" s="243" t="str">
        <f>IFERROR(INDEX(Txn[Key],MATCH(0,INDEX(COUNTIF($A$1:A223,Txn[Key])+(Txn[Key]=""),0),0)),"")</f>
        <v/>
      </c>
      <c r="B224" s="243" t="str">
        <f t="shared" si="27"/>
        <v/>
      </c>
      <c r="C224" s="243" t="str">
        <f t="shared" si="28"/>
        <v/>
      </c>
      <c r="D224" s="243" t="str">
        <f t="shared" si="29"/>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0"/>
        <v/>
      </c>
      <c r="K224" s="287" t="str">
        <f t="shared" si="31"/>
        <v/>
      </c>
      <c r="L224" s="287" t="str">
        <f t="shared" si="32"/>
        <v/>
      </c>
      <c r="M224" s="290" t="str">
        <f t="shared" si="33"/>
        <v/>
      </c>
      <c r="N224" s="243" t="str">
        <f>IF($A224="","",IF(ABS(E224)&gt;0.000001,COUNT($N$1:N223)+1,""))</f>
        <v/>
      </c>
      <c r="O224" s="291" t="str">
        <f>IF($A224="","",SUMIFS(Transactions!$H$2:$H$1001,Transactions!$J$2:$J$1001,$A224,Transactions!$A$2:$A$1001,2)*$I224)</f>
        <v/>
      </c>
      <c r="P224" s="291" t="str">
        <f t="shared" si="34"/>
        <v/>
      </c>
      <c r="Q224" s="292" t="str">
        <f t="shared" si="35"/>
        <v/>
      </c>
    </row>
    <row r="225" spans="1:17" ht="15" customHeight="1" x14ac:dyDescent="0.2">
      <c r="A225" s="243" t="str">
        <f>IFERROR(INDEX(Txn[Key],MATCH(0,INDEX(COUNTIF($A$1:A224,Txn[Key])+(Txn[Key]=""),0),0)),"")</f>
        <v/>
      </c>
      <c r="B225" s="243" t="str">
        <f t="shared" si="27"/>
        <v/>
      </c>
      <c r="C225" s="243" t="str">
        <f t="shared" si="28"/>
        <v/>
      </c>
      <c r="D225" s="243" t="str">
        <f t="shared" si="29"/>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0"/>
        <v/>
      </c>
      <c r="K225" s="287" t="str">
        <f t="shared" si="31"/>
        <v/>
      </c>
      <c r="L225" s="287" t="str">
        <f t="shared" si="32"/>
        <v/>
      </c>
      <c r="M225" s="290" t="str">
        <f t="shared" si="33"/>
        <v/>
      </c>
      <c r="N225" s="243" t="str">
        <f>IF($A225="","",IF(ABS(E225)&gt;0.000001,COUNT($N$1:N224)+1,""))</f>
        <v/>
      </c>
      <c r="O225" s="291" t="str">
        <f>IF($A225="","",SUMIFS(Transactions!$H$2:$H$1001,Transactions!$J$2:$J$1001,$A225,Transactions!$A$2:$A$1001,2)*$I225)</f>
        <v/>
      </c>
      <c r="P225" s="291" t="str">
        <f t="shared" si="34"/>
        <v/>
      </c>
      <c r="Q225" s="292" t="str">
        <f t="shared" si="35"/>
        <v/>
      </c>
    </row>
    <row r="226" spans="1:17" ht="15" customHeight="1" x14ac:dyDescent="0.2">
      <c r="A226" s="243" t="str">
        <f>IFERROR(INDEX(Txn[Key],MATCH(0,INDEX(COUNTIF($A$1:A225,Txn[Key])+(Txn[Key]=""),0),0)),"")</f>
        <v/>
      </c>
      <c r="B226" s="243" t="str">
        <f t="shared" si="27"/>
        <v/>
      </c>
      <c r="C226" s="243" t="str">
        <f t="shared" si="28"/>
        <v/>
      </c>
      <c r="D226" s="243" t="str">
        <f t="shared" si="29"/>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0"/>
        <v/>
      </c>
      <c r="K226" s="287" t="str">
        <f t="shared" si="31"/>
        <v/>
      </c>
      <c r="L226" s="287" t="str">
        <f t="shared" si="32"/>
        <v/>
      </c>
      <c r="M226" s="290" t="str">
        <f t="shared" si="33"/>
        <v/>
      </c>
      <c r="N226" s="243" t="str">
        <f>IF($A226="","",IF(ABS(E226)&gt;0.000001,COUNT($N$1:N225)+1,""))</f>
        <v/>
      </c>
      <c r="O226" s="291" t="str">
        <f>IF($A226="","",SUMIFS(Transactions!$H$2:$H$1001,Transactions!$J$2:$J$1001,$A226,Transactions!$A$2:$A$1001,2)*$I226)</f>
        <v/>
      </c>
      <c r="P226" s="291" t="str">
        <f t="shared" si="34"/>
        <v/>
      </c>
      <c r="Q226" s="292" t="str">
        <f t="shared" si="35"/>
        <v/>
      </c>
    </row>
    <row r="227" spans="1:17" ht="15" customHeight="1" x14ac:dyDescent="0.2">
      <c r="A227" s="243" t="str">
        <f>IFERROR(INDEX(Txn[Key],MATCH(0,INDEX(COUNTIF($A$1:A226,Txn[Key])+(Txn[Key]=""),0),0)),"")</f>
        <v/>
      </c>
      <c r="B227" s="243" t="str">
        <f t="shared" si="27"/>
        <v/>
      </c>
      <c r="C227" s="243" t="str">
        <f t="shared" si="28"/>
        <v/>
      </c>
      <c r="D227" s="243" t="str">
        <f t="shared" si="29"/>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0"/>
        <v/>
      </c>
      <c r="K227" s="287" t="str">
        <f t="shared" si="31"/>
        <v/>
      </c>
      <c r="L227" s="287" t="str">
        <f t="shared" si="32"/>
        <v/>
      </c>
      <c r="M227" s="290" t="str">
        <f t="shared" si="33"/>
        <v/>
      </c>
      <c r="N227" s="243" t="str">
        <f>IF($A227="","",IF(ABS(E227)&gt;0.000001,COUNT($N$1:N226)+1,""))</f>
        <v/>
      </c>
      <c r="O227" s="291" t="str">
        <f>IF($A227="","",SUMIFS(Transactions!$H$2:$H$1001,Transactions!$J$2:$J$1001,$A227,Transactions!$A$2:$A$1001,2)*$I227)</f>
        <v/>
      </c>
      <c r="P227" s="291" t="str">
        <f t="shared" si="34"/>
        <v/>
      </c>
      <c r="Q227" s="292" t="str">
        <f t="shared" si="35"/>
        <v/>
      </c>
    </row>
    <row r="228" spans="1:17" ht="15" customHeight="1" x14ac:dyDescent="0.2">
      <c r="A228" s="243" t="str">
        <f>IFERROR(INDEX(Txn[Key],MATCH(0,INDEX(COUNTIF($A$1:A227,Txn[Key])+(Txn[Key]=""),0),0)),"")</f>
        <v/>
      </c>
      <c r="B228" s="243" t="str">
        <f t="shared" si="27"/>
        <v/>
      </c>
      <c r="C228" s="243" t="str">
        <f t="shared" si="28"/>
        <v/>
      </c>
      <c r="D228" s="243" t="str">
        <f t="shared" si="29"/>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0"/>
        <v/>
      </c>
      <c r="K228" s="287" t="str">
        <f t="shared" si="31"/>
        <v/>
      </c>
      <c r="L228" s="287" t="str">
        <f t="shared" si="32"/>
        <v/>
      </c>
      <c r="M228" s="290" t="str">
        <f t="shared" si="33"/>
        <v/>
      </c>
      <c r="N228" s="243" t="str">
        <f>IF($A228="","",IF(ABS(E228)&gt;0.000001,COUNT($N$1:N227)+1,""))</f>
        <v/>
      </c>
      <c r="O228" s="291" t="str">
        <f>IF($A228="","",SUMIFS(Transactions!$H$2:$H$1001,Transactions!$J$2:$J$1001,$A228,Transactions!$A$2:$A$1001,2)*$I228)</f>
        <v/>
      </c>
      <c r="P228" s="291" t="str">
        <f t="shared" si="34"/>
        <v/>
      </c>
      <c r="Q228" s="292" t="str">
        <f t="shared" si="35"/>
        <v/>
      </c>
    </row>
    <row r="229" spans="1:17" ht="15" customHeight="1" x14ac:dyDescent="0.2">
      <c r="A229" s="243" t="str">
        <f>IFERROR(INDEX(Txn[Key],MATCH(0,INDEX(COUNTIF($A$1:A228,Txn[Key])+(Txn[Key]=""),0),0)),"")</f>
        <v/>
      </c>
      <c r="B229" s="243" t="str">
        <f t="shared" si="27"/>
        <v/>
      </c>
      <c r="C229" s="243" t="str">
        <f t="shared" si="28"/>
        <v/>
      </c>
      <c r="D229" s="243" t="str">
        <f t="shared" si="29"/>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0"/>
        <v/>
      </c>
      <c r="K229" s="287" t="str">
        <f t="shared" si="31"/>
        <v/>
      </c>
      <c r="L229" s="287" t="str">
        <f t="shared" si="32"/>
        <v/>
      </c>
      <c r="M229" s="290" t="str">
        <f t="shared" si="33"/>
        <v/>
      </c>
      <c r="N229" s="243" t="str">
        <f>IF($A229="","",IF(ABS(E229)&gt;0.000001,COUNT($N$1:N228)+1,""))</f>
        <v/>
      </c>
      <c r="O229" s="291" t="str">
        <f>IF($A229="","",SUMIFS(Transactions!$H$2:$H$1001,Transactions!$J$2:$J$1001,$A229,Transactions!$A$2:$A$1001,2)*$I229)</f>
        <v/>
      </c>
      <c r="P229" s="291" t="str">
        <f t="shared" si="34"/>
        <v/>
      </c>
      <c r="Q229" s="292" t="str">
        <f t="shared" si="35"/>
        <v/>
      </c>
    </row>
    <row r="230" spans="1:17" ht="15" customHeight="1" x14ac:dyDescent="0.2">
      <c r="A230" s="243" t="str">
        <f>IFERROR(INDEX(Txn[Key],MATCH(0,INDEX(COUNTIF($A$1:A229,Txn[Key])+(Txn[Key]=""),0),0)),"")</f>
        <v/>
      </c>
      <c r="B230" s="243" t="str">
        <f t="shared" si="27"/>
        <v/>
      </c>
      <c r="C230" s="243" t="str">
        <f t="shared" si="28"/>
        <v/>
      </c>
      <c r="D230" s="243" t="str">
        <f t="shared" si="29"/>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0"/>
        <v/>
      </c>
      <c r="K230" s="287" t="str">
        <f t="shared" si="31"/>
        <v/>
      </c>
      <c r="L230" s="287" t="str">
        <f t="shared" si="32"/>
        <v/>
      </c>
      <c r="M230" s="290" t="str">
        <f t="shared" si="33"/>
        <v/>
      </c>
      <c r="N230" s="243" t="str">
        <f>IF($A230="","",IF(ABS(E230)&gt;0.000001,COUNT($N$1:N229)+1,""))</f>
        <v/>
      </c>
      <c r="O230" s="291" t="str">
        <f>IF($A230="","",SUMIFS(Transactions!$H$2:$H$1001,Transactions!$J$2:$J$1001,$A230,Transactions!$A$2:$A$1001,2)*$I230)</f>
        <v/>
      </c>
      <c r="P230" s="291" t="str">
        <f t="shared" si="34"/>
        <v/>
      </c>
      <c r="Q230" s="292" t="str">
        <f t="shared" si="35"/>
        <v/>
      </c>
    </row>
    <row r="231" spans="1:17" ht="15" customHeight="1" x14ac:dyDescent="0.2">
      <c r="A231" s="243" t="str">
        <f>IFERROR(INDEX(Txn[Key],MATCH(0,INDEX(COUNTIF($A$1:A230,Txn[Key])+(Txn[Key]=""),0),0)),"")</f>
        <v/>
      </c>
      <c r="B231" s="243" t="str">
        <f t="shared" si="27"/>
        <v/>
      </c>
      <c r="C231" s="243" t="str">
        <f t="shared" si="28"/>
        <v/>
      </c>
      <c r="D231" s="243" t="str">
        <f t="shared" si="29"/>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0"/>
        <v/>
      </c>
      <c r="K231" s="287" t="str">
        <f t="shared" si="31"/>
        <v/>
      </c>
      <c r="L231" s="287" t="str">
        <f t="shared" si="32"/>
        <v/>
      </c>
      <c r="M231" s="290" t="str">
        <f t="shared" si="33"/>
        <v/>
      </c>
      <c r="N231" s="243" t="str">
        <f>IF($A231="","",IF(ABS(E231)&gt;0.000001,COUNT($N$1:N230)+1,""))</f>
        <v/>
      </c>
      <c r="O231" s="291" t="str">
        <f>IF($A231="","",SUMIFS(Transactions!$H$2:$H$1001,Transactions!$J$2:$J$1001,$A231,Transactions!$A$2:$A$1001,2)*$I231)</f>
        <v/>
      </c>
      <c r="P231" s="291" t="str">
        <f t="shared" si="34"/>
        <v/>
      </c>
      <c r="Q231" s="292" t="str">
        <f t="shared" si="35"/>
        <v/>
      </c>
    </row>
    <row r="232" spans="1:17" ht="15" customHeight="1" x14ac:dyDescent="0.2">
      <c r="A232" s="243" t="str">
        <f>IFERROR(INDEX(Txn[Key],MATCH(0,INDEX(COUNTIF($A$1:A231,Txn[Key])+(Txn[Key]=""),0),0)),"")</f>
        <v/>
      </c>
      <c r="B232" s="243" t="str">
        <f t="shared" si="27"/>
        <v/>
      </c>
      <c r="C232" s="243" t="str">
        <f t="shared" si="28"/>
        <v/>
      </c>
      <c r="D232" s="243" t="str">
        <f t="shared" si="29"/>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0"/>
        <v/>
      </c>
      <c r="K232" s="287" t="str">
        <f t="shared" si="31"/>
        <v/>
      </c>
      <c r="L232" s="287" t="str">
        <f t="shared" si="32"/>
        <v/>
      </c>
      <c r="M232" s="290" t="str">
        <f t="shared" si="33"/>
        <v/>
      </c>
      <c r="N232" s="243" t="str">
        <f>IF($A232="","",IF(ABS(E232)&gt;0.000001,COUNT($N$1:N231)+1,""))</f>
        <v/>
      </c>
      <c r="O232" s="291" t="str">
        <f>IF($A232="","",SUMIFS(Transactions!$H$2:$H$1001,Transactions!$J$2:$J$1001,$A232,Transactions!$A$2:$A$1001,2)*$I232)</f>
        <v/>
      </c>
      <c r="P232" s="291" t="str">
        <f t="shared" si="34"/>
        <v/>
      </c>
      <c r="Q232" s="292" t="str">
        <f t="shared" si="35"/>
        <v/>
      </c>
    </row>
    <row r="233" spans="1:17" ht="15" customHeight="1" x14ac:dyDescent="0.2">
      <c r="A233" s="243" t="str">
        <f>IFERROR(INDEX(Txn[Key],MATCH(0,INDEX(COUNTIF($A$1:A232,Txn[Key])+(Txn[Key]=""),0),0)),"")</f>
        <v/>
      </c>
      <c r="B233" s="243" t="str">
        <f t="shared" si="27"/>
        <v/>
      </c>
      <c r="C233" s="243" t="str">
        <f t="shared" si="28"/>
        <v/>
      </c>
      <c r="D233" s="243" t="str">
        <f t="shared" si="29"/>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0"/>
        <v/>
      </c>
      <c r="K233" s="287" t="str">
        <f t="shared" si="31"/>
        <v/>
      </c>
      <c r="L233" s="287" t="str">
        <f t="shared" si="32"/>
        <v/>
      </c>
      <c r="M233" s="290" t="str">
        <f t="shared" si="33"/>
        <v/>
      </c>
      <c r="N233" s="243" t="str">
        <f>IF($A233="","",IF(ABS(E233)&gt;0.000001,COUNT($N$1:N232)+1,""))</f>
        <v/>
      </c>
      <c r="O233" s="291" t="str">
        <f>IF($A233="","",SUMIFS(Transactions!$H$2:$H$1001,Transactions!$J$2:$J$1001,$A233,Transactions!$A$2:$A$1001,2)*$I233)</f>
        <v/>
      </c>
      <c r="P233" s="291" t="str">
        <f t="shared" si="34"/>
        <v/>
      </c>
      <c r="Q233" s="292" t="str">
        <f t="shared" si="35"/>
        <v/>
      </c>
    </row>
    <row r="234" spans="1:17" ht="15" customHeight="1" x14ac:dyDescent="0.2">
      <c r="A234" s="243" t="str">
        <f>IFERROR(INDEX(Txn[Key],MATCH(0,INDEX(COUNTIF($A$1:A233,Txn[Key])+(Txn[Key]=""),0),0)),"")</f>
        <v/>
      </c>
      <c r="B234" s="243" t="str">
        <f t="shared" si="27"/>
        <v/>
      </c>
      <c r="C234" s="243" t="str">
        <f t="shared" si="28"/>
        <v/>
      </c>
      <c r="D234" s="243" t="str">
        <f t="shared" si="29"/>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0"/>
        <v/>
      </c>
      <c r="K234" s="287" t="str">
        <f t="shared" si="31"/>
        <v/>
      </c>
      <c r="L234" s="287" t="str">
        <f t="shared" si="32"/>
        <v/>
      </c>
      <c r="M234" s="290" t="str">
        <f t="shared" si="33"/>
        <v/>
      </c>
      <c r="N234" s="243" t="str">
        <f>IF($A234="","",IF(ABS(E234)&gt;0.000001,COUNT($N$1:N233)+1,""))</f>
        <v/>
      </c>
      <c r="O234" s="291" t="str">
        <f>IF($A234="","",SUMIFS(Transactions!$H$2:$H$1001,Transactions!$J$2:$J$1001,$A234,Transactions!$A$2:$A$1001,2)*$I234)</f>
        <v/>
      </c>
      <c r="P234" s="291" t="str">
        <f t="shared" si="34"/>
        <v/>
      </c>
      <c r="Q234" s="292" t="str">
        <f t="shared" si="35"/>
        <v/>
      </c>
    </row>
    <row r="235" spans="1:17" ht="15" customHeight="1" x14ac:dyDescent="0.2">
      <c r="A235" s="243" t="str">
        <f>IFERROR(INDEX(Txn[Key],MATCH(0,INDEX(COUNTIF($A$1:A234,Txn[Key])+(Txn[Key]=""),0),0)),"")</f>
        <v/>
      </c>
      <c r="B235" s="243" t="str">
        <f t="shared" si="27"/>
        <v/>
      </c>
      <c r="C235" s="243" t="str">
        <f t="shared" si="28"/>
        <v/>
      </c>
      <c r="D235" s="243" t="str">
        <f t="shared" si="29"/>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0"/>
        <v/>
      </c>
      <c r="K235" s="287" t="str">
        <f t="shared" si="31"/>
        <v/>
      </c>
      <c r="L235" s="287" t="str">
        <f t="shared" si="32"/>
        <v/>
      </c>
      <c r="M235" s="290" t="str">
        <f t="shared" si="33"/>
        <v/>
      </c>
      <c r="N235" s="243" t="str">
        <f>IF($A235="","",IF(ABS(E235)&gt;0.000001,COUNT($N$1:N234)+1,""))</f>
        <v/>
      </c>
      <c r="O235" s="291" t="str">
        <f>IF($A235="","",SUMIFS(Transactions!$H$2:$H$1001,Transactions!$J$2:$J$1001,$A235,Transactions!$A$2:$A$1001,2)*$I235)</f>
        <v/>
      </c>
      <c r="P235" s="291" t="str">
        <f t="shared" si="34"/>
        <v/>
      </c>
      <c r="Q235" s="292" t="str">
        <f t="shared" si="35"/>
        <v/>
      </c>
    </row>
    <row r="236" spans="1:17" ht="15" customHeight="1" x14ac:dyDescent="0.2">
      <c r="A236" s="243" t="str">
        <f>IFERROR(INDEX(Txn[Key],MATCH(0,INDEX(COUNTIF($A$1:A235,Txn[Key])+(Txn[Key]=""),0),0)),"")</f>
        <v/>
      </c>
      <c r="B236" s="243" t="str">
        <f t="shared" si="27"/>
        <v/>
      </c>
      <c r="C236" s="243" t="str">
        <f t="shared" si="28"/>
        <v/>
      </c>
      <c r="D236" s="243" t="str">
        <f t="shared" si="29"/>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0"/>
        <v/>
      </c>
      <c r="K236" s="287" t="str">
        <f t="shared" si="31"/>
        <v/>
      </c>
      <c r="L236" s="287" t="str">
        <f t="shared" si="32"/>
        <v/>
      </c>
      <c r="M236" s="290" t="str">
        <f t="shared" si="33"/>
        <v/>
      </c>
      <c r="N236" s="243" t="str">
        <f>IF($A236="","",IF(ABS(E236)&gt;0.000001,COUNT($N$1:N235)+1,""))</f>
        <v/>
      </c>
      <c r="O236" s="291" t="str">
        <f>IF($A236="","",SUMIFS(Transactions!$H$2:$H$1001,Transactions!$J$2:$J$1001,$A236,Transactions!$A$2:$A$1001,2)*$I236)</f>
        <v/>
      </c>
      <c r="P236" s="291" t="str">
        <f t="shared" si="34"/>
        <v/>
      </c>
      <c r="Q236" s="292" t="str">
        <f t="shared" si="35"/>
        <v/>
      </c>
    </row>
    <row r="237" spans="1:17" ht="15" customHeight="1" x14ac:dyDescent="0.2">
      <c r="A237" s="243" t="str">
        <f>IFERROR(INDEX(Txn[Key],MATCH(0,INDEX(COUNTIF($A$1:A236,Txn[Key])+(Txn[Key]=""),0),0)),"")</f>
        <v/>
      </c>
      <c r="B237" s="243" t="str">
        <f t="shared" si="27"/>
        <v/>
      </c>
      <c r="C237" s="243" t="str">
        <f t="shared" si="28"/>
        <v/>
      </c>
      <c r="D237" s="243" t="str">
        <f t="shared" si="29"/>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0"/>
        <v/>
      </c>
      <c r="K237" s="287" t="str">
        <f t="shared" si="31"/>
        <v/>
      </c>
      <c r="L237" s="287" t="str">
        <f t="shared" si="32"/>
        <v/>
      </c>
      <c r="M237" s="290" t="str">
        <f t="shared" si="33"/>
        <v/>
      </c>
      <c r="N237" s="243" t="str">
        <f>IF($A237="","",IF(ABS(E237)&gt;0.000001,COUNT($N$1:N236)+1,""))</f>
        <v/>
      </c>
      <c r="O237" s="291" t="str">
        <f>IF($A237="","",SUMIFS(Transactions!$H$2:$H$1001,Transactions!$J$2:$J$1001,$A237,Transactions!$A$2:$A$1001,2)*$I237)</f>
        <v/>
      </c>
      <c r="P237" s="291" t="str">
        <f t="shared" si="34"/>
        <v/>
      </c>
      <c r="Q237" s="292" t="str">
        <f t="shared" si="35"/>
        <v/>
      </c>
    </row>
    <row r="238" spans="1:17" ht="15" customHeight="1" x14ac:dyDescent="0.2">
      <c r="A238" s="243" t="str">
        <f>IFERROR(INDEX(Txn[Key],MATCH(0,INDEX(COUNTIF($A$1:A237,Txn[Key])+(Txn[Key]=""),0),0)),"")</f>
        <v/>
      </c>
      <c r="B238" s="243" t="str">
        <f t="shared" si="27"/>
        <v/>
      </c>
      <c r="C238" s="243" t="str">
        <f t="shared" si="28"/>
        <v/>
      </c>
      <c r="D238" s="243" t="str">
        <f t="shared" si="29"/>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0"/>
        <v/>
      </c>
      <c r="K238" s="287" t="str">
        <f t="shared" si="31"/>
        <v/>
      </c>
      <c r="L238" s="287" t="str">
        <f t="shared" si="32"/>
        <v/>
      </c>
      <c r="M238" s="290" t="str">
        <f t="shared" si="33"/>
        <v/>
      </c>
      <c r="N238" s="243" t="str">
        <f>IF($A238="","",IF(ABS(E238)&gt;0.000001,COUNT($N$1:N237)+1,""))</f>
        <v/>
      </c>
      <c r="O238" s="291" t="str">
        <f>IF($A238="","",SUMIFS(Transactions!$H$2:$H$1001,Transactions!$J$2:$J$1001,$A238,Transactions!$A$2:$A$1001,2)*$I238)</f>
        <v/>
      </c>
      <c r="P238" s="291" t="str">
        <f t="shared" si="34"/>
        <v/>
      </c>
      <c r="Q238" s="292" t="str">
        <f t="shared" si="35"/>
        <v/>
      </c>
    </row>
    <row r="239" spans="1:17" ht="15" customHeight="1" x14ac:dyDescent="0.2">
      <c r="A239" s="243" t="str">
        <f>IFERROR(INDEX(Txn[Key],MATCH(0,INDEX(COUNTIF($A$1:A238,Txn[Key])+(Txn[Key]=""),0),0)),"")</f>
        <v/>
      </c>
      <c r="B239" s="243" t="str">
        <f t="shared" si="27"/>
        <v/>
      </c>
      <c r="C239" s="243" t="str">
        <f t="shared" si="28"/>
        <v/>
      </c>
      <c r="D239" s="243" t="str">
        <f t="shared" si="29"/>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0"/>
        <v/>
      </c>
      <c r="K239" s="287" t="str">
        <f t="shared" si="31"/>
        <v/>
      </c>
      <c r="L239" s="287" t="str">
        <f t="shared" si="32"/>
        <v/>
      </c>
      <c r="M239" s="290" t="str">
        <f t="shared" si="33"/>
        <v/>
      </c>
      <c r="N239" s="243" t="str">
        <f>IF($A239="","",IF(ABS(E239)&gt;0.000001,COUNT($N$1:N238)+1,""))</f>
        <v/>
      </c>
      <c r="O239" s="291" t="str">
        <f>IF($A239="","",SUMIFS(Transactions!$H$2:$H$1001,Transactions!$J$2:$J$1001,$A239,Transactions!$A$2:$A$1001,2)*$I239)</f>
        <v/>
      </c>
      <c r="P239" s="291" t="str">
        <f t="shared" si="34"/>
        <v/>
      </c>
      <c r="Q239" s="292" t="str">
        <f t="shared" si="35"/>
        <v/>
      </c>
    </row>
    <row r="240" spans="1:17" ht="15" customHeight="1" x14ac:dyDescent="0.2">
      <c r="A240" s="243" t="str">
        <f>IFERROR(INDEX(Txn[Key],MATCH(0,INDEX(COUNTIF($A$1:A239,Txn[Key])+(Txn[Key]=""),0),0)),"")</f>
        <v/>
      </c>
      <c r="B240" s="243" t="str">
        <f t="shared" si="27"/>
        <v/>
      </c>
      <c r="C240" s="243" t="str">
        <f t="shared" si="28"/>
        <v/>
      </c>
      <c r="D240" s="243" t="str">
        <f t="shared" si="29"/>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0"/>
        <v/>
      </c>
      <c r="K240" s="287" t="str">
        <f t="shared" si="31"/>
        <v/>
      </c>
      <c r="L240" s="287" t="str">
        <f t="shared" si="32"/>
        <v/>
      </c>
      <c r="M240" s="290" t="str">
        <f t="shared" si="33"/>
        <v/>
      </c>
      <c r="N240" s="243" t="str">
        <f>IF($A240="","",IF(ABS(E240)&gt;0.000001,COUNT($N$1:N239)+1,""))</f>
        <v/>
      </c>
      <c r="O240" s="291" t="str">
        <f>IF($A240="","",SUMIFS(Transactions!$H$2:$H$1001,Transactions!$J$2:$J$1001,$A240,Transactions!$A$2:$A$1001,2)*$I240)</f>
        <v/>
      </c>
      <c r="P240" s="291" t="str">
        <f t="shared" si="34"/>
        <v/>
      </c>
      <c r="Q240" s="292" t="str">
        <f t="shared" si="35"/>
        <v/>
      </c>
    </row>
    <row r="241" spans="1:17" ht="15" customHeight="1" x14ac:dyDescent="0.2">
      <c r="A241" s="243" t="str">
        <f>IFERROR(INDEX(Txn[Key],MATCH(0,INDEX(COUNTIF($A$1:A240,Txn[Key])+(Txn[Key]=""),0),0)),"")</f>
        <v/>
      </c>
      <c r="B241" s="243" t="str">
        <f t="shared" si="27"/>
        <v/>
      </c>
      <c r="C241" s="243" t="str">
        <f t="shared" si="28"/>
        <v/>
      </c>
      <c r="D241" s="243" t="str">
        <f t="shared" si="29"/>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0"/>
        <v/>
      </c>
      <c r="K241" s="287" t="str">
        <f t="shared" si="31"/>
        <v/>
      </c>
      <c r="L241" s="287" t="str">
        <f t="shared" si="32"/>
        <v/>
      </c>
      <c r="M241" s="290" t="str">
        <f t="shared" si="33"/>
        <v/>
      </c>
      <c r="N241" s="243" t="str">
        <f>IF($A241="","",IF(ABS(E241)&gt;0.000001,COUNT($N$1:N240)+1,""))</f>
        <v/>
      </c>
      <c r="O241" s="291" t="str">
        <f>IF($A241="","",SUMIFS(Transactions!$H$2:$H$1001,Transactions!$J$2:$J$1001,$A241,Transactions!$A$2:$A$1001,2)*$I241)</f>
        <v/>
      </c>
      <c r="P241" s="291" t="str">
        <f t="shared" si="34"/>
        <v/>
      </c>
      <c r="Q241" s="292" t="str">
        <f t="shared" si="35"/>
        <v/>
      </c>
    </row>
    <row r="242" spans="1:17" ht="15" customHeight="1" x14ac:dyDescent="0.2">
      <c r="A242" s="243" t="str">
        <f>IFERROR(INDEX(Txn[Key],MATCH(0,INDEX(COUNTIF($A$1:A241,Txn[Key])+(Txn[Key]=""),0),0)),"")</f>
        <v/>
      </c>
      <c r="B242" s="243" t="str">
        <f t="shared" si="27"/>
        <v/>
      </c>
      <c r="C242" s="243" t="str">
        <f t="shared" si="28"/>
        <v/>
      </c>
      <c r="D242" s="243" t="str">
        <f t="shared" si="29"/>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0"/>
        <v/>
      </c>
      <c r="K242" s="287" t="str">
        <f t="shared" si="31"/>
        <v/>
      </c>
      <c r="L242" s="287" t="str">
        <f t="shared" si="32"/>
        <v/>
      </c>
      <c r="M242" s="290" t="str">
        <f t="shared" si="33"/>
        <v/>
      </c>
      <c r="N242" s="243" t="str">
        <f>IF($A242="","",IF(ABS(E242)&gt;0.000001,COUNT($N$1:N241)+1,""))</f>
        <v/>
      </c>
      <c r="O242" s="291" t="str">
        <f>IF($A242="","",SUMIFS(Transactions!$H$2:$H$1001,Transactions!$J$2:$J$1001,$A242,Transactions!$A$2:$A$1001,2)*$I242)</f>
        <v/>
      </c>
      <c r="P242" s="291" t="str">
        <f t="shared" si="34"/>
        <v/>
      </c>
      <c r="Q242" s="292" t="str">
        <f t="shared" si="35"/>
        <v/>
      </c>
    </row>
    <row r="243" spans="1:17" ht="15" customHeight="1" x14ac:dyDescent="0.2">
      <c r="A243" s="243" t="str">
        <f>IFERROR(INDEX(Txn[Key],MATCH(0,INDEX(COUNTIF($A$1:A242,Txn[Key])+(Txn[Key]=""),0),0)),"")</f>
        <v/>
      </c>
      <c r="B243" s="243" t="str">
        <f t="shared" si="27"/>
        <v/>
      </c>
      <c r="C243" s="243" t="str">
        <f t="shared" si="28"/>
        <v/>
      </c>
      <c r="D243" s="243" t="str">
        <f t="shared" si="29"/>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0"/>
        <v/>
      </c>
      <c r="K243" s="287" t="str">
        <f t="shared" si="31"/>
        <v/>
      </c>
      <c r="L243" s="287" t="str">
        <f t="shared" si="32"/>
        <v/>
      </c>
      <c r="M243" s="290" t="str">
        <f t="shared" si="33"/>
        <v/>
      </c>
      <c r="N243" s="243" t="str">
        <f>IF($A243="","",IF(ABS(E243)&gt;0.000001,COUNT($N$1:N242)+1,""))</f>
        <v/>
      </c>
      <c r="O243" s="291" t="str">
        <f>IF($A243="","",SUMIFS(Transactions!$H$2:$H$1001,Transactions!$J$2:$J$1001,$A243,Transactions!$A$2:$A$1001,2)*$I243)</f>
        <v/>
      </c>
      <c r="P243" s="291" t="str">
        <f t="shared" si="34"/>
        <v/>
      </c>
      <c r="Q243" s="292" t="str">
        <f t="shared" si="35"/>
        <v/>
      </c>
    </row>
    <row r="244" spans="1:17" ht="15" customHeight="1" x14ac:dyDescent="0.2">
      <c r="A244" s="243" t="str">
        <f>IFERROR(INDEX(Txn[Key],MATCH(0,INDEX(COUNTIF($A$1:A243,Txn[Key])+(Txn[Key]=""),0),0)),"")</f>
        <v/>
      </c>
      <c r="B244" s="243" t="str">
        <f t="shared" si="27"/>
        <v/>
      </c>
      <c r="C244" s="243" t="str">
        <f t="shared" si="28"/>
        <v/>
      </c>
      <c r="D244" s="243" t="str">
        <f t="shared" si="29"/>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0"/>
        <v/>
      </c>
      <c r="K244" s="287" t="str">
        <f t="shared" si="31"/>
        <v/>
      </c>
      <c r="L244" s="287" t="str">
        <f t="shared" si="32"/>
        <v/>
      </c>
      <c r="M244" s="290" t="str">
        <f t="shared" si="33"/>
        <v/>
      </c>
      <c r="N244" s="243" t="str">
        <f>IF($A244="","",IF(ABS(E244)&gt;0.000001,COUNT($N$1:N243)+1,""))</f>
        <v/>
      </c>
      <c r="O244" s="291" t="str">
        <f>IF($A244="","",SUMIFS(Transactions!$H$2:$H$1001,Transactions!$J$2:$J$1001,$A244,Transactions!$A$2:$A$1001,2)*$I244)</f>
        <v/>
      </c>
      <c r="P244" s="291" t="str">
        <f t="shared" si="34"/>
        <v/>
      </c>
      <c r="Q244" s="292" t="str">
        <f t="shared" si="35"/>
        <v/>
      </c>
    </row>
    <row r="245" spans="1:17" ht="15" customHeight="1" x14ac:dyDescent="0.2">
      <c r="A245" s="243" t="str">
        <f>IFERROR(INDEX(Txn[Key],MATCH(0,INDEX(COUNTIF($A$1:A244,Txn[Key])+(Txn[Key]=""),0),0)),"")</f>
        <v/>
      </c>
      <c r="B245" s="243" t="str">
        <f t="shared" si="27"/>
        <v/>
      </c>
      <c r="C245" s="243" t="str">
        <f t="shared" si="28"/>
        <v/>
      </c>
      <c r="D245" s="243" t="str">
        <f t="shared" si="29"/>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0"/>
        <v/>
      </c>
      <c r="K245" s="287" t="str">
        <f t="shared" si="31"/>
        <v/>
      </c>
      <c r="L245" s="287" t="str">
        <f t="shared" si="32"/>
        <v/>
      </c>
      <c r="M245" s="290" t="str">
        <f t="shared" si="33"/>
        <v/>
      </c>
      <c r="N245" s="243" t="str">
        <f>IF($A245="","",IF(ABS(E245)&gt;0.000001,COUNT($N$1:N244)+1,""))</f>
        <v/>
      </c>
      <c r="O245" s="291" t="str">
        <f>IF($A245="","",SUMIFS(Transactions!$H$2:$H$1001,Transactions!$J$2:$J$1001,$A245,Transactions!$A$2:$A$1001,2)*$I245)</f>
        <v/>
      </c>
      <c r="P245" s="291" t="str">
        <f t="shared" si="34"/>
        <v/>
      </c>
      <c r="Q245" s="292" t="str">
        <f t="shared" si="35"/>
        <v/>
      </c>
    </row>
    <row r="246" spans="1:17" ht="15" customHeight="1" x14ac:dyDescent="0.2">
      <c r="A246" s="243" t="str">
        <f>IFERROR(INDEX(Txn[Key],MATCH(0,INDEX(COUNTIF($A$1:A245,Txn[Key])+(Txn[Key]=""),0),0)),"")</f>
        <v/>
      </c>
      <c r="B246" s="243" t="str">
        <f t="shared" si="27"/>
        <v/>
      </c>
      <c r="C246" s="243" t="str">
        <f t="shared" si="28"/>
        <v/>
      </c>
      <c r="D246" s="243" t="str">
        <f t="shared" si="29"/>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0"/>
        <v/>
      </c>
      <c r="K246" s="287" t="str">
        <f t="shared" si="31"/>
        <v/>
      </c>
      <c r="L246" s="287" t="str">
        <f t="shared" si="32"/>
        <v/>
      </c>
      <c r="M246" s="290" t="str">
        <f t="shared" si="33"/>
        <v/>
      </c>
      <c r="N246" s="243" t="str">
        <f>IF($A246="","",IF(ABS(E246)&gt;0.000001,COUNT($N$1:N245)+1,""))</f>
        <v/>
      </c>
      <c r="O246" s="291" t="str">
        <f>IF($A246="","",SUMIFS(Transactions!$H$2:$H$1001,Transactions!$J$2:$J$1001,$A246,Transactions!$A$2:$A$1001,2)*$I246)</f>
        <v/>
      </c>
      <c r="P246" s="291" t="str">
        <f t="shared" si="34"/>
        <v/>
      </c>
      <c r="Q246" s="292" t="str">
        <f t="shared" si="35"/>
        <v/>
      </c>
    </row>
    <row r="247" spans="1:17" ht="15" customHeight="1" x14ac:dyDescent="0.2">
      <c r="A247" s="243" t="str">
        <f>IFERROR(INDEX(Txn[Key],MATCH(0,INDEX(COUNTIF($A$1:A246,Txn[Key])+(Txn[Key]=""),0),0)),"")</f>
        <v/>
      </c>
      <c r="B247" s="243" t="str">
        <f t="shared" si="27"/>
        <v/>
      </c>
      <c r="C247" s="243" t="str">
        <f t="shared" si="28"/>
        <v/>
      </c>
      <c r="D247" s="243" t="str">
        <f t="shared" si="29"/>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0"/>
        <v/>
      </c>
      <c r="K247" s="287" t="str">
        <f t="shared" si="31"/>
        <v/>
      </c>
      <c r="L247" s="287" t="str">
        <f t="shared" si="32"/>
        <v/>
      </c>
      <c r="M247" s="290" t="str">
        <f t="shared" si="33"/>
        <v/>
      </c>
      <c r="N247" s="243" t="str">
        <f>IF($A247="","",IF(ABS(E247)&gt;0.000001,COUNT($N$1:N246)+1,""))</f>
        <v/>
      </c>
      <c r="O247" s="291" t="str">
        <f>IF($A247="","",SUMIFS(Transactions!$H$2:$H$1001,Transactions!$J$2:$J$1001,$A247,Transactions!$A$2:$A$1001,2)*$I247)</f>
        <v/>
      </c>
      <c r="P247" s="291" t="str">
        <f t="shared" si="34"/>
        <v/>
      </c>
      <c r="Q247" s="292" t="str">
        <f t="shared" si="35"/>
        <v/>
      </c>
    </row>
    <row r="248" spans="1:17" ht="15" customHeight="1" x14ac:dyDescent="0.2">
      <c r="A248" s="243" t="str">
        <f>IFERROR(INDEX(Txn[Key],MATCH(0,INDEX(COUNTIF($A$1:A247,Txn[Key])+(Txn[Key]=""),0),0)),"")</f>
        <v/>
      </c>
      <c r="B248" s="243" t="str">
        <f t="shared" si="27"/>
        <v/>
      </c>
      <c r="C248" s="243" t="str">
        <f t="shared" si="28"/>
        <v/>
      </c>
      <c r="D248" s="243" t="str">
        <f t="shared" si="29"/>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0"/>
        <v/>
      </c>
      <c r="K248" s="287" t="str">
        <f t="shared" si="31"/>
        <v/>
      </c>
      <c r="L248" s="287" t="str">
        <f t="shared" si="32"/>
        <v/>
      </c>
      <c r="M248" s="290" t="str">
        <f t="shared" si="33"/>
        <v/>
      </c>
      <c r="N248" s="243" t="str">
        <f>IF($A248="","",IF(ABS(E248)&gt;0.000001,COUNT($N$1:N247)+1,""))</f>
        <v/>
      </c>
      <c r="O248" s="291" t="str">
        <f>IF($A248="","",SUMIFS(Transactions!$H$2:$H$1001,Transactions!$J$2:$J$1001,$A248,Transactions!$A$2:$A$1001,2)*$I248)</f>
        <v/>
      </c>
      <c r="P248" s="291" t="str">
        <f t="shared" si="34"/>
        <v/>
      </c>
      <c r="Q248" s="292" t="str">
        <f t="shared" si="35"/>
        <v/>
      </c>
    </row>
    <row r="249" spans="1:17" ht="15" customHeight="1" x14ac:dyDescent="0.2">
      <c r="A249" s="243" t="str">
        <f>IFERROR(INDEX(Txn[Key],MATCH(0,INDEX(COUNTIF($A$1:A248,Txn[Key])+(Txn[Key]=""),0),0)),"")</f>
        <v/>
      </c>
      <c r="B249" s="243" t="str">
        <f t="shared" si="27"/>
        <v/>
      </c>
      <c r="C249" s="243" t="str">
        <f t="shared" si="28"/>
        <v/>
      </c>
      <c r="D249" s="243" t="str">
        <f t="shared" si="29"/>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0"/>
        <v/>
      </c>
      <c r="K249" s="287" t="str">
        <f t="shared" si="31"/>
        <v/>
      </c>
      <c r="L249" s="287" t="str">
        <f t="shared" si="32"/>
        <v/>
      </c>
      <c r="M249" s="290" t="str">
        <f t="shared" si="33"/>
        <v/>
      </c>
      <c r="N249" s="243" t="str">
        <f>IF($A249="","",IF(ABS(E249)&gt;0.000001,COUNT($N$1:N248)+1,""))</f>
        <v/>
      </c>
      <c r="O249" s="291" t="str">
        <f>IF($A249="","",SUMIFS(Transactions!$H$2:$H$1001,Transactions!$J$2:$J$1001,$A249,Transactions!$A$2:$A$1001,2)*$I249)</f>
        <v/>
      </c>
      <c r="P249" s="291" t="str">
        <f t="shared" si="34"/>
        <v/>
      </c>
      <c r="Q249" s="292" t="str">
        <f t="shared" si="35"/>
        <v/>
      </c>
    </row>
    <row r="250" spans="1:17" ht="15" customHeight="1" x14ac:dyDescent="0.2">
      <c r="A250" s="243" t="str">
        <f>IFERROR(INDEX(Txn[Key],MATCH(0,INDEX(COUNTIF($A$1:A249,Txn[Key])+(Txn[Key]=""),0),0)),"")</f>
        <v/>
      </c>
      <c r="B250" s="243" t="str">
        <f t="shared" si="27"/>
        <v/>
      </c>
      <c r="C250" s="243" t="str">
        <f t="shared" si="28"/>
        <v/>
      </c>
      <c r="D250" s="243" t="str">
        <f t="shared" si="29"/>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0"/>
        <v/>
      </c>
      <c r="K250" s="287" t="str">
        <f t="shared" si="31"/>
        <v/>
      </c>
      <c r="L250" s="287" t="str">
        <f t="shared" si="32"/>
        <v/>
      </c>
      <c r="M250" s="290" t="str">
        <f t="shared" si="33"/>
        <v/>
      </c>
      <c r="N250" s="243" t="str">
        <f>IF($A250="","",IF(ABS(E250)&gt;0.000001,COUNT($N$1:N249)+1,""))</f>
        <v/>
      </c>
      <c r="O250" s="291" t="str">
        <f>IF($A250="","",SUMIFS(Transactions!$H$2:$H$1001,Transactions!$J$2:$J$1001,$A250,Transactions!$A$2:$A$1001,2)*$I250)</f>
        <v/>
      </c>
      <c r="P250" s="291" t="str">
        <f t="shared" si="34"/>
        <v/>
      </c>
      <c r="Q250" s="292" t="str">
        <f t="shared" si="35"/>
        <v/>
      </c>
    </row>
    <row r="251" spans="1:17" ht="15" customHeight="1" x14ac:dyDescent="0.2">
      <c r="A251" s="243" t="str">
        <f>IFERROR(INDEX(Txn[Key],MATCH(0,INDEX(COUNTIF($A$1:A250,Txn[Key])+(Txn[Key]=""),0),0)),"")</f>
        <v/>
      </c>
      <c r="B251" s="243" t="str">
        <f t="shared" si="27"/>
        <v/>
      </c>
      <c r="C251" s="243" t="str">
        <f t="shared" si="28"/>
        <v/>
      </c>
      <c r="D251" s="243" t="str">
        <f t="shared" si="29"/>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0"/>
        <v/>
      </c>
      <c r="K251" s="287" t="str">
        <f t="shared" si="31"/>
        <v/>
      </c>
      <c r="L251" s="287" t="str">
        <f t="shared" si="32"/>
        <v/>
      </c>
      <c r="M251" s="290" t="str">
        <f t="shared" si="33"/>
        <v/>
      </c>
      <c r="N251" s="243" t="str">
        <f>IF($A251="","",IF(ABS(E251)&gt;0.000001,COUNT($N$1:N250)+1,""))</f>
        <v/>
      </c>
      <c r="O251" s="291" t="str">
        <f>IF($A251="","",SUMIFS(Transactions!$H$2:$H$1001,Transactions!$J$2:$J$1001,$A251,Transactions!$A$2:$A$1001,2)*$I251)</f>
        <v/>
      </c>
      <c r="P251" s="291" t="str">
        <f t="shared" si="34"/>
        <v/>
      </c>
      <c r="Q251" s="292" t="str">
        <f t="shared" si="35"/>
        <v/>
      </c>
    </row>
    <row r="252" spans="1:17" ht="15" customHeight="1" x14ac:dyDescent="0.2">
      <c r="A252" s="243" t="str">
        <f>IFERROR(INDEX(Txn[Key],MATCH(0,INDEX(COUNTIF($A$1:A251,Txn[Key])+(Txn[Key]=""),0),0)),"")</f>
        <v/>
      </c>
      <c r="B252" s="243" t="str">
        <f t="shared" si="27"/>
        <v/>
      </c>
      <c r="C252" s="243" t="str">
        <f t="shared" si="28"/>
        <v/>
      </c>
      <c r="D252" s="243" t="str">
        <f t="shared" si="29"/>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0"/>
        <v/>
      </c>
      <c r="K252" s="287" t="str">
        <f t="shared" si="31"/>
        <v/>
      </c>
      <c r="L252" s="287" t="str">
        <f t="shared" si="32"/>
        <v/>
      </c>
      <c r="M252" s="290" t="str">
        <f t="shared" si="33"/>
        <v/>
      </c>
      <c r="N252" s="243" t="str">
        <f>IF($A252="","",IF(ABS(E252)&gt;0.000001,COUNT($N$1:N251)+1,""))</f>
        <v/>
      </c>
      <c r="O252" s="291" t="str">
        <f>IF($A252="","",SUMIFS(Transactions!$H$2:$H$1001,Transactions!$J$2:$J$1001,$A252,Transactions!$A$2:$A$1001,2)*$I252)</f>
        <v/>
      </c>
      <c r="P252" s="291" t="str">
        <f t="shared" si="34"/>
        <v/>
      </c>
      <c r="Q252" s="292" t="str">
        <f t="shared" si="35"/>
        <v/>
      </c>
    </row>
    <row r="253" spans="1:17" ht="15" customHeight="1" x14ac:dyDescent="0.2">
      <c r="A253" s="243" t="str">
        <f>IFERROR(INDEX(Txn[Key],MATCH(0,INDEX(COUNTIF($A$1:A252,Txn[Key])+(Txn[Key]=""),0),0)),"")</f>
        <v/>
      </c>
      <c r="B253" s="243" t="str">
        <f t="shared" si="27"/>
        <v/>
      </c>
      <c r="C253" s="243" t="str">
        <f t="shared" si="28"/>
        <v/>
      </c>
      <c r="D253" s="243" t="str">
        <f t="shared" si="29"/>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0"/>
        <v/>
      </c>
      <c r="K253" s="287" t="str">
        <f t="shared" si="31"/>
        <v/>
      </c>
      <c r="L253" s="287" t="str">
        <f t="shared" si="32"/>
        <v/>
      </c>
      <c r="M253" s="290" t="str">
        <f t="shared" si="33"/>
        <v/>
      </c>
      <c r="N253" s="243" t="str">
        <f>IF($A253="","",IF(ABS(E253)&gt;0.000001,COUNT($N$1:N252)+1,""))</f>
        <v/>
      </c>
      <c r="O253" s="291" t="str">
        <f>IF($A253="","",SUMIFS(Transactions!$H$2:$H$1001,Transactions!$J$2:$J$1001,$A253,Transactions!$A$2:$A$1001,2)*$I253)</f>
        <v/>
      </c>
      <c r="P253" s="291" t="str">
        <f t="shared" si="34"/>
        <v/>
      </c>
      <c r="Q253" s="292" t="str">
        <f t="shared" si="35"/>
        <v/>
      </c>
    </row>
    <row r="254" spans="1:17" ht="15" customHeight="1" x14ac:dyDescent="0.2">
      <c r="A254" s="243" t="str">
        <f>IFERROR(INDEX(Txn[Key],MATCH(0,INDEX(COUNTIF($A$1:A253,Txn[Key])+(Txn[Key]=""),0),0)),"")</f>
        <v/>
      </c>
      <c r="B254" s="243" t="str">
        <f t="shared" si="27"/>
        <v/>
      </c>
      <c r="C254" s="243" t="str">
        <f t="shared" si="28"/>
        <v/>
      </c>
      <c r="D254" s="243" t="str">
        <f t="shared" si="29"/>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0"/>
        <v/>
      </c>
      <c r="K254" s="287" t="str">
        <f t="shared" si="31"/>
        <v/>
      </c>
      <c r="L254" s="287" t="str">
        <f t="shared" si="32"/>
        <v/>
      </c>
      <c r="M254" s="290" t="str">
        <f t="shared" si="33"/>
        <v/>
      </c>
      <c r="N254" s="243" t="str">
        <f>IF($A254="","",IF(ABS(E254)&gt;0.000001,COUNT($N$1:N253)+1,""))</f>
        <v/>
      </c>
      <c r="O254" s="291" t="str">
        <f>IF($A254="","",SUMIFS(Transactions!$H$2:$H$1001,Transactions!$J$2:$J$1001,$A254,Transactions!$A$2:$A$1001,2)*$I254)</f>
        <v/>
      </c>
      <c r="P254" s="291" t="str">
        <f t="shared" si="34"/>
        <v/>
      </c>
      <c r="Q254" s="292" t="str">
        <f t="shared" si="35"/>
        <v/>
      </c>
    </row>
    <row r="255" spans="1:17" ht="15" customHeight="1" x14ac:dyDescent="0.2">
      <c r="A255" s="243" t="str">
        <f>IFERROR(INDEX(Txn[Key],MATCH(0,INDEX(COUNTIF($A$1:A254,Txn[Key])+(Txn[Key]=""),0),0)),"")</f>
        <v/>
      </c>
      <c r="B255" s="243" t="str">
        <f t="shared" si="27"/>
        <v/>
      </c>
      <c r="C255" s="243" t="str">
        <f t="shared" si="28"/>
        <v/>
      </c>
      <c r="D255" s="243" t="str">
        <f t="shared" si="29"/>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0"/>
        <v/>
      </c>
      <c r="K255" s="287" t="str">
        <f t="shared" si="31"/>
        <v/>
      </c>
      <c r="L255" s="287" t="str">
        <f t="shared" si="32"/>
        <v/>
      </c>
      <c r="M255" s="290" t="str">
        <f t="shared" si="33"/>
        <v/>
      </c>
      <c r="N255" s="243" t="str">
        <f>IF($A255="","",IF(ABS(E255)&gt;0.000001,COUNT($N$1:N254)+1,""))</f>
        <v/>
      </c>
      <c r="O255" s="291" t="str">
        <f>IF($A255="","",SUMIFS(Transactions!$H$2:$H$1001,Transactions!$J$2:$J$1001,$A255,Transactions!$A$2:$A$1001,2)*$I255)</f>
        <v/>
      </c>
      <c r="P255" s="291" t="str">
        <f t="shared" si="34"/>
        <v/>
      </c>
      <c r="Q255" s="292" t="str">
        <f t="shared" si="35"/>
        <v/>
      </c>
    </row>
    <row r="256" spans="1:17" ht="15" customHeight="1" x14ac:dyDescent="0.2">
      <c r="A256" s="243" t="str">
        <f>IFERROR(INDEX(Txn[Key],MATCH(0,INDEX(COUNTIF($A$1:A255,Txn[Key])+(Txn[Key]=""),0),0)),"")</f>
        <v/>
      </c>
      <c r="B256" s="243" t="str">
        <f t="shared" si="27"/>
        <v/>
      </c>
      <c r="C256" s="243" t="str">
        <f t="shared" si="28"/>
        <v/>
      </c>
      <c r="D256" s="243" t="str">
        <f t="shared" si="29"/>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0"/>
        <v/>
      </c>
      <c r="K256" s="287" t="str">
        <f t="shared" si="31"/>
        <v/>
      </c>
      <c r="L256" s="287" t="str">
        <f t="shared" si="32"/>
        <v/>
      </c>
      <c r="M256" s="290" t="str">
        <f t="shared" si="33"/>
        <v/>
      </c>
      <c r="N256" s="243" t="str">
        <f>IF($A256="","",IF(ABS(E256)&gt;0.000001,COUNT($N$1:N255)+1,""))</f>
        <v/>
      </c>
      <c r="O256" s="291" t="str">
        <f>IF($A256="","",SUMIFS(Transactions!$H$2:$H$1001,Transactions!$J$2:$J$1001,$A256,Transactions!$A$2:$A$1001,2)*$I256)</f>
        <v/>
      </c>
      <c r="P256" s="291" t="str">
        <f t="shared" si="34"/>
        <v/>
      </c>
      <c r="Q256" s="292" t="str">
        <f t="shared" si="35"/>
        <v/>
      </c>
    </row>
    <row r="257" spans="1:17" ht="15" customHeight="1" x14ac:dyDescent="0.2">
      <c r="A257" s="243" t="str">
        <f>IFERROR(INDEX(Txn[Key],MATCH(0,INDEX(COUNTIF($A$1:A256,Txn[Key])+(Txn[Key]=""),0),0)),"")</f>
        <v/>
      </c>
      <c r="B257" s="243" t="str">
        <f t="shared" si="27"/>
        <v/>
      </c>
      <c r="C257" s="243" t="str">
        <f t="shared" si="28"/>
        <v/>
      </c>
      <c r="D257" s="243" t="str">
        <f t="shared" si="29"/>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0"/>
        <v/>
      </c>
      <c r="K257" s="287" t="str">
        <f t="shared" si="31"/>
        <v/>
      </c>
      <c r="L257" s="287" t="str">
        <f t="shared" si="32"/>
        <v/>
      </c>
      <c r="M257" s="290" t="str">
        <f t="shared" si="33"/>
        <v/>
      </c>
      <c r="N257" s="243" t="str">
        <f>IF($A257="","",IF(ABS(E257)&gt;0.000001,COUNT($N$1:N256)+1,""))</f>
        <v/>
      </c>
      <c r="O257" s="291" t="str">
        <f>IF($A257="","",SUMIFS(Transactions!$H$2:$H$1001,Transactions!$J$2:$J$1001,$A257,Transactions!$A$2:$A$1001,2)*$I257)</f>
        <v/>
      </c>
      <c r="P257" s="291" t="str">
        <f t="shared" si="34"/>
        <v/>
      </c>
      <c r="Q257" s="292" t="str">
        <f t="shared" si="35"/>
        <v/>
      </c>
    </row>
    <row r="258" spans="1:17" ht="15" customHeight="1" x14ac:dyDescent="0.2">
      <c r="A258" s="243" t="str">
        <f>IFERROR(INDEX(Txn[Key],MATCH(0,INDEX(COUNTIF($A$1:A257,Txn[Key])+(Txn[Key]=""),0),0)),"")</f>
        <v/>
      </c>
      <c r="B258" s="243" t="str">
        <f t="shared" ref="B258:B321" si="36">IF($A258="","",LEFT($A258,FIND(":",$A258)-1))</f>
        <v/>
      </c>
      <c r="C258" s="243" t="str">
        <f t="shared" ref="C258:C321" si="37">IF($A258="","",MID($A258,FIND(":",$A258)+1,FIND(":",$A258,FIND(":",$A258)+1)-FIND(":",$A258)-1))</f>
        <v/>
      </c>
      <c r="D258" s="243" t="str">
        <f t="shared" ref="D258:D321" si="38">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39">IF($A258="","",E258*H258)</f>
        <v/>
      </c>
      <c r="K258" s="287" t="str">
        <f t="shared" ref="K258:K321" si="40">IF($A258="","",J258+G258-F258)</f>
        <v/>
      </c>
      <c r="L258" s="287" t="str">
        <f t="shared" ref="L258:L321" si="41">IF($A258="","",K258*I258)</f>
        <v/>
      </c>
      <c r="M258" s="290" t="str">
        <f t="shared" ref="M258:M321" si="42">IF($A258="","",IFERROR(K258/F258,0))</f>
        <v/>
      </c>
      <c r="N258" s="243" t="str">
        <f>IF($A258="","",IF(ABS(E258)&gt;0.000001,COUNT($N$1:N257)+1,""))</f>
        <v/>
      </c>
      <c r="O258" s="291" t="str">
        <f>IF($A258="","",SUMIFS(Transactions!$H$2:$H$1001,Transactions!$J$2:$J$1001,$A258,Transactions!$A$2:$A$1001,2)*$I258)</f>
        <v/>
      </c>
      <c r="P258" s="291" t="str">
        <f t="shared" ref="P258:P321" si="43">IF($A258="","",$L258+$O258)</f>
        <v/>
      </c>
      <c r="Q258" s="292" t="str">
        <f t="shared" ref="Q258:Q321" si="44">IF($A258="","",IFERROR(($L258+$O258)/($F258*$I258),0))</f>
        <v/>
      </c>
    </row>
    <row r="259" spans="1:17" ht="15" customHeight="1" x14ac:dyDescent="0.2">
      <c r="A259" s="243" t="str">
        <f>IFERROR(INDEX(Txn[Key],MATCH(0,INDEX(COUNTIF($A$1:A258,Txn[Key])+(Txn[Key]=""),0),0)),"")</f>
        <v/>
      </c>
      <c r="B259" s="243" t="str">
        <f t="shared" si="36"/>
        <v/>
      </c>
      <c r="C259" s="243" t="str">
        <f t="shared" si="37"/>
        <v/>
      </c>
      <c r="D259" s="243" t="str">
        <f t="shared" si="38"/>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39"/>
        <v/>
      </c>
      <c r="K259" s="287" t="str">
        <f t="shared" si="40"/>
        <v/>
      </c>
      <c r="L259" s="287" t="str">
        <f t="shared" si="41"/>
        <v/>
      </c>
      <c r="M259" s="290" t="str">
        <f t="shared" si="42"/>
        <v/>
      </c>
      <c r="N259" s="243" t="str">
        <f>IF($A259="","",IF(ABS(E259)&gt;0.000001,COUNT($N$1:N258)+1,""))</f>
        <v/>
      </c>
      <c r="O259" s="291" t="str">
        <f>IF($A259="","",SUMIFS(Transactions!$H$2:$H$1001,Transactions!$J$2:$J$1001,$A259,Transactions!$A$2:$A$1001,2)*$I259)</f>
        <v/>
      </c>
      <c r="P259" s="291" t="str">
        <f t="shared" si="43"/>
        <v/>
      </c>
      <c r="Q259" s="292" t="str">
        <f t="shared" si="44"/>
        <v/>
      </c>
    </row>
    <row r="260" spans="1:17" ht="15" customHeight="1" x14ac:dyDescent="0.2">
      <c r="A260" s="243" t="str">
        <f>IFERROR(INDEX(Txn[Key],MATCH(0,INDEX(COUNTIF($A$1:A259,Txn[Key])+(Txn[Key]=""),0),0)),"")</f>
        <v/>
      </c>
      <c r="B260" s="243" t="str">
        <f t="shared" si="36"/>
        <v/>
      </c>
      <c r="C260" s="243" t="str">
        <f t="shared" si="37"/>
        <v/>
      </c>
      <c r="D260" s="243" t="str">
        <f t="shared" si="38"/>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39"/>
        <v/>
      </c>
      <c r="K260" s="287" t="str">
        <f t="shared" si="40"/>
        <v/>
      </c>
      <c r="L260" s="287" t="str">
        <f t="shared" si="41"/>
        <v/>
      </c>
      <c r="M260" s="290" t="str">
        <f t="shared" si="42"/>
        <v/>
      </c>
      <c r="N260" s="243" t="str">
        <f>IF($A260="","",IF(ABS(E260)&gt;0.000001,COUNT($N$1:N259)+1,""))</f>
        <v/>
      </c>
      <c r="O260" s="291" t="str">
        <f>IF($A260="","",SUMIFS(Transactions!$H$2:$H$1001,Transactions!$J$2:$J$1001,$A260,Transactions!$A$2:$A$1001,2)*$I260)</f>
        <v/>
      </c>
      <c r="P260" s="291" t="str">
        <f t="shared" si="43"/>
        <v/>
      </c>
      <c r="Q260" s="292" t="str">
        <f t="shared" si="44"/>
        <v/>
      </c>
    </row>
    <row r="261" spans="1:17" ht="15" customHeight="1" x14ac:dyDescent="0.2">
      <c r="A261" s="243" t="str">
        <f>IFERROR(INDEX(Txn[Key],MATCH(0,INDEX(COUNTIF($A$1:A260,Txn[Key])+(Txn[Key]=""),0),0)),"")</f>
        <v/>
      </c>
      <c r="B261" s="243" t="str">
        <f t="shared" si="36"/>
        <v/>
      </c>
      <c r="C261" s="243" t="str">
        <f t="shared" si="37"/>
        <v/>
      </c>
      <c r="D261" s="243" t="str">
        <f t="shared" si="38"/>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39"/>
        <v/>
      </c>
      <c r="K261" s="287" t="str">
        <f t="shared" si="40"/>
        <v/>
      </c>
      <c r="L261" s="287" t="str">
        <f t="shared" si="41"/>
        <v/>
      </c>
      <c r="M261" s="290" t="str">
        <f t="shared" si="42"/>
        <v/>
      </c>
      <c r="N261" s="243" t="str">
        <f>IF($A261="","",IF(ABS(E261)&gt;0.000001,COUNT($N$1:N260)+1,""))</f>
        <v/>
      </c>
      <c r="O261" s="291" t="str">
        <f>IF($A261="","",SUMIFS(Transactions!$H$2:$H$1001,Transactions!$J$2:$J$1001,$A261,Transactions!$A$2:$A$1001,2)*$I261)</f>
        <v/>
      </c>
      <c r="P261" s="291" t="str">
        <f t="shared" si="43"/>
        <v/>
      </c>
      <c r="Q261" s="292" t="str">
        <f t="shared" si="44"/>
        <v/>
      </c>
    </row>
    <row r="262" spans="1:17" ht="15" customHeight="1" x14ac:dyDescent="0.2">
      <c r="A262" s="243" t="str">
        <f>IFERROR(INDEX(Txn[Key],MATCH(0,INDEX(COUNTIF($A$1:A261,Txn[Key])+(Txn[Key]=""),0),0)),"")</f>
        <v/>
      </c>
      <c r="B262" s="243" t="str">
        <f t="shared" si="36"/>
        <v/>
      </c>
      <c r="C262" s="243" t="str">
        <f t="shared" si="37"/>
        <v/>
      </c>
      <c r="D262" s="243" t="str">
        <f t="shared" si="38"/>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39"/>
        <v/>
      </c>
      <c r="K262" s="287" t="str">
        <f t="shared" si="40"/>
        <v/>
      </c>
      <c r="L262" s="287" t="str">
        <f t="shared" si="41"/>
        <v/>
      </c>
      <c r="M262" s="290" t="str">
        <f t="shared" si="42"/>
        <v/>
      </c>
      <c r="N262" s="243" t="str">
        <f>IF($A262="","",IF(ABS(E262)&gt;0.000001,COUNT($N$1:N261)+1,""))</f>
        <v/>
      </c>
      <c r="O262" s="291" t="str">
        <f>IF($A262="","",SUMIFS(Transactions!$H$2:$H$1001,Transactions!$J$2:$J$1001,$A262,Transactions!$A$2:$A$1001,2)*$I262)</f>
        <v/>
      </c>
      <c r="P262" s="291" t="str">
        <f t="shared" si="43"/>
        <v/>
      </c>
      <c r="Q262" s="292" t="str">
        <f t="shared" si="44"/>
        <v/>
      </c>
    </row>
    <row r="263" spans="1:17" ht="15" customHeight="1" x14ac:dyDescent="0.2">
      <c r="A263" s="243" t="str">
        <f>IFERROR(INDEX(Txn[Key],MATCH(0,INDEX(COUNTIF($A$1:A262,Txn[Key])+(Txn[Key]=""),0),0)),"")</f>
        <v/>
      </c>
      <c r="B263" s="243" t="str">
        <f t="shared" si="36"/>
        <v/>
      </c>
      <c r="C263" s="243" t="str">
        <f t="shared" si="37"/>
        <v/>
      </c>
      <c r="D263" s="243" t="str">
        <f t="shared" si="38"/>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39"/>
        <v/>
      </c>
      <c r="K263" s="287" t="str">
        <f t="shared" si="40"/>
        <v/>
      </c>
      <c r="L263" s="287" t="str">
        <f t="shared" si="41"/>
        <v/>
      </c>
      <c r="M263" s="290" t="str">
        <f t="shared" si="42"/>
        <v/>
      </c>
      <c r="N263" s="243" t="str">
        <f>IF($A263="","",IF(ABS(E263)&gt;0.000001,COUNT($N$1:N262)+1,""))</f>
        <v/>
      </c>
      <c r="O263" s="291" t="str">
        <f>IF($A263="","",SUMIFS(Transactions!$H$2:$H$1001,Transactions!$J$2:$J$1001,$A263,Transactions!$A$2:$A$1001,2)*$I263)</f>
        <v/>
      </c>
      <c r="P263" s="291" t="str">
        <f t="shared" si="43"/>
        <v/>
      </c>
      <c r="Q263" s="292" t="str">
        <f t="shared" si="44"/>
        <v/>
      </c>
    </row>
    <row r="264" spans="1:17" ht="15" customHeight="1" x14ac:dyDescent="0.2">
      <c r="A264" s="243" t="str">
        <f>IFERROR(INDEX(Txn[Key],MATCH(0,INDEX(COUNTIF($A$1:A263,Txn[Key])+(Txn[Key]=""),0),0)),"")</f>
        <v/>
      </c>
      <c r="B264" s="243" t="str">
        <f t="shared" si="36"/>
        <v/>
      </c>
      <c r="C264" s="243" t="str">
        <f t="shared" si="37"/>
        <v/>
      </c>
      <c r="D264" s="243" t="str">
        <f t="shared" si="38"/>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39"/>
        <v/>
      </c>
      <c r="K264" s="287" t="str">
        <f t="shared" si="40"/>
        <v/>
      </c>
      <c r="L264" s="287" t="str">
        <f t="shared" si="41"/>
        <v/>
      </c>
      <c r="M264" s="290" t="str">
        <f t="shared" si="42"/>
        <v/>
      </c>
      <c r="N264" s="243" t="str">
        <f>IF($A264="","",IF(ABS(E264)&gt;0.000001,COUNT($N$1:N263)+1,""))</f>
        <v/>
      </c>
      <c r="O264" s="291" t="str">
        <f>IF($A264="","",SUMIFS(Transactions!$H$2:$H$1001,Transactions!$J$2:$J$1001,$A264,Transactions!$A$2:$A$1001,2)*$I264)</f>
        <v/>
      </c>
      <c r="P264" s="291" t="str">
        <f t="shared" si="43"/>
        <v/>
      </c>
      <c r="Q264" s="292" t="str">
        <f t="shared" si="44"/>
        <v/>
      </c>
    </row>
    <row r="265" spans="1:17" ht="15" customHeight="1" x14ac:dyDescent="0.2">
      <c r="A265" s="243" t="str">
        <f>IFERROR(INDEX(Txn[Key],MATCH(0,INDEX(COUNTIF($A$1:A264,Txn[Key])+(Txn[Key]=""),0),0)),"")</f>
        <v/>
      </c>
      <c r="B265" s="243" t="str">
        <f t="shared" si="36"/>
        <v/>
      </c>
      <c r="C265" s="243" t="str">
        <f t="shared" si="37"/>
        <v/>
      </c>
      <c r="D265" s="243" t="str">
        <f t="shared" si="38"/>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39"/>
        <v/>
      </c>
      <c r="K265" s="287" t="str">
        <f t="shared" si="40"/>
        <v/>
      </c>
      <c r="L265" s="287" t="str">
        <f t="shared" si="41"/>
        <v/>
      </c>
      <c r="M265" s="290" t="str">
        <f t="shared" si="42"/>
        <v/>
      </c>
      <c r="N265" s="243" t="str">
        <f>IF($A265="","",IF(ABS(E265)&gt;0.000001,COUNT($N$1:N264)+1,""))</f>
        <v/>
      </c>
      <c r="O265" s="291" t="str">
        <f>IF($A265="","",SUMIFS(Transactions!$H$2:$H$1001,Transactions!$J$2:$J$1001,$A265,Transactions!$A$2:$A$1001,2)*$I265)</f>
        <v/>
      </c>
      <c r="P265" s="291" t="str">
        <f t="shared" si="43"/>
        <v/>
      </c>
      <c r="Q265" s="292" t="str">
        <f t="shared" si="44"/>
        <v/>
      </c>
    </row>
    <row r="266" spans="1:17" ht="15" customHeight="1" x14ac:dyDescent="0.2">
      <c r="A266" s="243" t="str">
        <f>IFERROR(INDEX(Txn[Key],MATCH(0,INDEX(COUNTIF($A$1:A265,Txn[Key])+(Txn[Key]=""),0),0)),"")</f>
        <v/>
      </c>
      <c r="B266" s="243" t="str">
        <f t="shared" si="36"/>
        <v/>
      </c>
      <c r="C266" s="243" t="str">
        <f t="shared" si="37"/>
        <v/>
      </c>
      <c r="D266" s="243" t="str">
        <f t="shared" si="38"/>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39"/>
        <v/>
      </c>
      <c r="K266" s="287" t="str">
        <f t="shared" si="40"/>
        <v/>
      </c>
      <c r="L266" s="287" t="str">
        <f t="shared" si="41"/>
        <v/>
      </c>
      <c r="M266" s="290" t="str">
        <f t="shared" si="42"/>
        <v/>
      </c>
      <c r="N266" s="243" t="str">
        <f>IF($A266="","",IF(ABS(E266)&gt;0.000001,COUNT($N$1:N265)+1,""))</f>
        <v/>
      </c>
      <c r="O266" s="291" t="str">
        <f>IF($A266="","",SUMIFS(Transactions!$H$2:$H$1001,Transactions!$J$2:$J$1001,$A266,Transactions!$A$2:$A$1001,2)*$I266)</f>
        <v/>
      </c>
      <c r="P266" s="291" t="str">
        <f t="shared" si="43"/>
        <v/>
      </c>
      <c r="Q266" s="292" t="str">
        <f t="shared" si="44"/>
        <v/>
      </c>
    </row>
    <row r="267" spans="1:17" ht="15" customHeight="1" x14ac:dyDescent="0.2">
      <c r="A267" s="243" t="str">
        <f>IFERROR(INDEX(Txn[Key],MATCH(0,INDEX(COUNTIF($A$1:A266,Txn[Key])+(Txn[Key]=""),0),0)),"")</f>
        <v/>
      </c>
      <c r="B267" s="243" t="str">
        <f t="shared" si="36"/>
        <v/>
      </c>
      <c r="C267" s="243" t="str">
        <f t="shared" si="37"/>
        <v/>
      </c>
      <c r="D267" s="243" t="str">
        <f t="shared" si="38"/>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39"/>
        <v/>
      </c>
      <c r="K267" s="287" t="str">
        <f t="shared" si="40"/>
        <v/>
      </c>
      <c r="L267" s="287" t="str">
        <f t="shared" si="41"/>
        <v/>
      </c>
      <c r="M267" s="290" t="str">
        <f t="shared" si="42"/>
        <v/>
      </c>
      <c r="N267" s="243" t="str">
        <f>IF($A267="","",IF(ABS(E267)&gt;0.000001,COUNT($N$1:N266)+1,""))</f>
        <v/>
      </c>
      <c r="O267" s="291" t="str">
        <f>IF($A267="","",SUMIFS(Transactions!$H$2:$H$1001,Transactions!$J$2:$J$1001,$A267,Transactions!$A$2:$A$1001,2)*$I267)</f>
        <v/>
      </c>
      <c r="P267" s="291" t="str">
        <f t="shared" si="43"/>
        <v/>
      </c>
      <c r="Q267" s="292" t="str">
        <f t="shared" si="44"/>
        <v/>
      </c>
    </row>
    <row r="268" spans="1:17" ht="15" customHeight="1" x14ac:dyDescent="0.2">
      <c r="A268" s="243" t="str">
        <f>IFERROR(INDEX(Txn[Key],MATCH(0,INDEX(COUNTIF($A$1:A267,Txn[Key])+(Txn[Key]=""),0),0)),"")</f>
        <v/>
      </c>
      <c r="B268" s="243" t="str">
        <f t="shared" si="36"/>
        <v/>
      </c>
      <c r="C268" s="243" t="str">
        <f t="shared" si="37"/>
        <v/>
      </c>
      <c r="D268" s="243" t="str">
        <f t="shared" si="38"/>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39"/>
        <v/>
      </c>
      <c r="K268" s="287" t="str">
        <f t="shared" si="40"/>
        <v/>
      </c>
      <c r="L268" s="287" t="str">
        <f t="shared" si="41"/>
        <v/>
      </c>
      <c r="M268" s="290" t="str">
        <f t="shared" si="42"/>
        <v/>
      </c>
      <c r="N268" s="243" t="str">
        <f>IF($A268="","",IF(ABS(E268)&gt;0.000001,COUNT($N$1:N267)+1,""))</f>
        <v/>
      </c>
      <c r="O268" s="291" t="str">
        <f>IF($A268="","",SUMIFS(Transactions!$H$2:$H$1001,Transactions!$J$2:$J$1001,$A268,Transactions!$A$2:$A$1001,2)*$I268)</f>
        <v/>
      </c>
      <c r="P268" s="291" t="str">
        <f t="shared" si="43"/>
        <v/>
      </c>
      <c r="Q268" s="292" t="str">
        <f t="shared" si="44"/>
        <v/>
      </c>
    </row>
    <row r="269" spans="1:17" ht="15" customHeight="1" x14ac:dyDescent="0.2">
      <c r="A269" s="243" t="str">
        <f>IFERROR(INDEX(Txn[Key],MATCH(0,INDEX(COUNTIF($A$1:A268,Txn[Key])+(Txn[Key]=""),0),0)),"")</f>
        <v/>
      </c>
      <c r="B269" s="243" t="str">
        <f t="shared" si="36"/>
        <v/>
      </c>
      <c r="C269" s="243" t="str">
        <f t="shared" si="37"/>
        <v/>
      </c>
      <c r="D269" s="243" t="str">
        <f t="shared" si="38"/>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39"/>
        <v/>
      </c>
      <c r="K269" s="287" t="str">
        <f t="shared" si="40"/>
        <v/>
      </c>
      <c r="L269" s="287" t="str">
        <f t="shared" si="41"/>
        <v/>
      </c>
      <c r="M269" s="290" t="str">
        <f t="shared" si="42"/>
        <v/>
      </c>
      <c r="N269" s="243" t="str">
        <f>IF($A269="","",IF(ABS(E269)&gt;0.000001,COUNT($N$1:N268)+1,""))</f>
        <v/>
      </c>
      <c r="O269" s="291" t="str">
        <f>IF($A269="","",SUMIFS(Transactions!$H$2:$H$1001,Transactions!$J$2:$J$1001,$A269,Transactions!$A$2:$A$1001,2)*$I269)</f>
        <v/>
      </c>
      <c r="P269" s="291" t="str">
        <f t="shared" si="43"/>
        <v/>
      </c>
      <c r="Q269" s="292" t="str">
        <f t="shared" si="44"/>
        <v/>
      </c>
    </row>
    <row r="270" spans="1:17" ht="15" customHeight="1" x14ac:dyDescent="0.2">
      <c r="A270" s="243" t="str">
        <f>IFERROR(INDEX(Txn[Key],MATCH(0,INDEX(COUNTIF($A$1:A269,Txn[Key])+(Txn[Key]=""),0),0)),"")</f>
        <v/>
      </c>
      <c r="B270" s="243" t="str">
        <f t="shared" si="36"/>
        <v/>
      </c>
      <c r="C270" s="243" t="str">
        <f t="shared" si="37"/>
        <v/>
      </c>
      <c r="D270" s="243" t="str">
        <f t="shared" si="38"/>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39"/>
        <v/>
      </c>
      <c r="K270" s="287" t="str">
        <f t="shared" si="40"/>
        <v/>
      </c>
      <c r="L270" s="287" t="str">
        <f t="shared" si="41"/>
        <v/>
      </c>
      <c r="M270" s="290" t="str">
        <f t="shared" si="42"/>
        <v/>
      </c>
      <c r="N270" s="243" t="str">
        <f>IF($A270="","",IF(ABS(E270)&gt;0.000001,COUNT($N$1:N269)+1,""))</f>
        <v/>
      </c>
      <c r="O270" s="291" t="str">
        <f>IF($A270="","",SUMIFS(Transactions!$H$2:$H$1001,Transactions!$J$2:$J$1001,$A270,Transactions!$A$2:$A$1001,2)*$I270)</f>
        <v/>
      </c>
      <c r="P270" s="291" t="str">
        <f t="shared" si="43"/>
        <v/>
      </c>
      <c r="Q270" s="292" t="str">
        <f t="shared" si="44"/>
        <v/>
      </c>
    </row>
    <row r="271" spans="1:17" ht="15" customHeight="1" x14ac:dyDescent="0.2">
      <c r="A271" s="243" t="str">
        <f>IFERROR(INDEX(Txn[Key],MATCH(0,INDEX(COUNTIF($A$1:A270,Txn[Key])+(Txn[Key]=""),0),0)),"")</f>
        <v/>
      </c>
      <c r="B271" s="243" t="str">
        <f t="shared" si="36"/>
        <v/>
      </c>
      <c r="C271" s="243" t="str">
        <f t="shared" si="37"/>
        <v/>
      </c>
      <c r="D271" s="243" t="str">
        <f t="shared" si="38"/>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39"/>
        <v/>
      </c>
      <c r="K271" s="287" t="str">
        <f t="shared" si="40"/>
        <v/>
      </c>
      <c r="L271" s="287" t="str">
        <f t="shared" si="41"/>
        <v/>
      </c>
      <c r="M271" s="290" t="str">
        <f t="shared" si="42"/>
        <v/>
      </c>
      <c r="N271" s="243" t="str">
        <f>IF($A271="","",IF(ABS(E271)&gt;0.000001,COUNT($N$1:N270)+1,""))</f>
        <v/>
      </c>
      <c r="O271" s="291" t="str">
        <f>IF($A271="","",SUMIFS(Transactions!$H$2:$H$1001,Transactions!$J$2:$J$1001,$A271,Transactions!$A$2:$A$1001,2)*$I271)</f>
        <v/>
      </c>
      <c r="P271" s="291" t="str">
        <f t="shared" si="43"/>
        <v/>
      </c>
      <c r="Q271" s="292" t="str">
        <f t="shared" si="44"/>
        <v/>
      </c>
    </row>
    <row r="272" spans="1:17" ht="15" customHeight="1" x14ac:dyDescent="0.2">
      <c r="A272" s="243" t="str">
        <f>IFERROR(INDEX(Txn[Key],MATCH(0,INDEX(COUNTIF($A$1:A271,Txn[Key])+(Txn[Key]=""),0),0)),"")</f>
        <v/>
      </c>
      <c r="B272" s="243" t="str">
        <f t="shared" si="36"/>
        <v/>
      </c>
      <c r="C272" s="243" t="str">
        <f t="shared" si="37"/>
        <v/>
      </c>
      <c r="D272" s="243" t="str">
        <f t="shared" si="38"/>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39"/>
        <v/>
      </c>
      <c r="K272" s="287" t="str">
        <f t="shared" si="40"/>
        <v/>
      </c>
      <c r="L272" s="287" t="str">
        <f t="shared" si="41"/>
        <v/>
      </c>
      <c r="M272" s="290" t="str">
        <f t="shared" si="42"/>
        <v/>
      </c>
      <c r="N272" s="243" t="str">
        <f>IF($A272="","",IF(ABS(E272)&gt;0.000001,COUNT($N$1:N271)+1,""))</f>
        <v/>
      </c>
      <c r="O272" s="291" t="str">
        <f>IF($A272="","",SUMIFS(Transactions!$H$2:$H$1001,Transactions!$J$2:$J$1001,$A272,Transactions!$A$2:$A$1001,2)*$I272)</f>
        <v/>
      </c>
      <c r="P272" s="291" t="str">
        <f t="shared" si="43"/>
        <v/>
      </c>
      <c r="Q272" s="292" t="str">
        <f t="shared" si="44"/>
        <v/>
      </c>
    </row>
    <row r="273" spans="1:17" ht="15" customHeight="1" x14ac:dyDescent="0.2">
      <c r="A273" s="243" t="str">
        <f>IFERROR(INDEX(Txn[Key],MATCH(0,INDEX(COUNTIF($A$1:A272,Txn[Key])+(Txn[Key]=""),0),0)),"")</f>
        <v/>
      </c>
      <c r="B273" s="243" t="str">
        <f t="shared" si="36"/>
        <v/>
      </c>
      <c r="C273" s="243" t="str">
        <f t="shared" si="37"/>
        <v/>
      </c>
      <c r="D273" s="243" t="str">
        <f t="shared" si="38"/>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39"/>
        <v/>
      </c>
      <c r="K273" s="287" t="str">
        <f t="shared" si="40"/>
        <v/>
      </c>
      <c r="L273" s="287" t="str">
        <f t="shared" si="41"/>
        <v/>
      </c>
      <c r="M273" s="290" t="str">
        <f t="shared" si="42"/>
        <v/>
      </c>
      <c r="N273" s="243" t="str">
        <f>IF($A273="","",IF(ABS(E273)&gt;0.000001,COUNT($N$1:N272)+1,""))</f>
        <v/>
      </c>
      <c r="O273" s="291" t="str">
        <f>IF($A273="","",SUMIFS(Transactions!$H$2:$H$1001,Transactions!$J$2:$J$1001,$A273,Transactions!$A$2:$A$1001,2)*$I273)</f>
        <v/>
      </c>
      <c r="P273" s="291" t="str">
        <f t="shared" si="43"/>
        <v/>
      </c>
      <c r="Q273" s="292" t="str">
        <f t="shared" si="44"/>
        <v/>
      </c>
    </row>
    <row r="274" spans="1:17" ht="15" customHeight="1" x14ac:dyDescent="0.2">
      <c r="A274" s="243" t="str">
        <f>IFERROR(INDEX(Txn[Key],MATCH(0,INDEX(COUNTIF($A$1:A273,Txn[Key])+(Txn[Key]=""),0),0)),"")</f>
        <v/>
      </c>
      <c r="B274" s="243" t="str">
        <f t="shared" si="36"/>
        <v/>
      </c>
      <c r="C274" s="243" t="str">
        <f t="shared" si="37"/>
        <v/>
      </c>
      <c r="D274" s="243" t="str">
        <f t="shared" si="38"/>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39"/>
        <v/>
      </c>
      <c r="K274" s="287" t="str">
        <f t="shared" si="40"/>
        <v/>
      </c>
      <c r="L274" s="287" t="str">
        <f t="shared" si="41"/>
        <v/>
      </c>
      <c r="M274" s="290" t="str">
        <f t="shared" si="42"/>
        <v/>
      </c>
      <c r="N274" s="243" t="str">
        <f>IF($A274="","",IF(ABS(E274)&gt;0.000001,COUNT($N$1:N273)+1,""))</f>
        <v/>
      </c>
      <c r="O274" s="291" t="str">
        <f>IF($A274="","",SUMIFS(Transactions!$H$2:$H$1001,Transactions!$J$2:$J$1001,$A274,Transactions!$A$2:$A$1001,2)*$I274)</f>
        <v/>
      </c>
      <c r="P274" s="291" t="str">
        <f t="shared" si="43"/>
        <v/>
      </c>
      <c r="Q274" s="292" t="str">
        <f t="shared" si="44"/>
        <v/>
      </c>
    </row>
    <row r="275" spans="1:17" ht="15" customHeight="1" x14ac:dyDescent="0.2">
      <c r="A275" s="243" t="str">
        <f>IFERROR(INDEX(Txn[Key],MATCH(0,INDEX(COUNTIF($A$1:A274,Txn[Key])+(Txn[Key]=""),0),0)),"")</f>
        <v/>
      </c>
      <c r="B275" s="243" t="str">
        <f t="shared" si="36"/>
        <v/>
      </c>
      <c r="C275" s="243" t="str">
        <f t="shared" si="37"/>
        <v/>
      </c>
      <c r="D275" s="243" t="str">
        <f t="shared" si="38"/>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39"/>
        <v/>
      </c>
      <c r="K275" s="287" t="str">
        <f t="shared" si="40"/>
        <v/>
      </c>
      <c r="L275" s="287" t="str">
        <f t="shared" si="41"/>
        <v/>
      </c>
      <c r="M275" s="290" t="str">
        <f t="shared" si="42"/>
        <v/>
      </c>
      <c r="N275" s="243" t="str">
        <f>IF($A275="","",IF(ABS(E275)&gt;0.000001,COUNT($N$1:N274)+1,""))</f>
        <v/>
      </c>
      <c r="O275" s="291" t="str">
        <f>IF($A275="","",SUMIFS(Transactions!$H$2:$H$1001,Transactions!$J$2:$J$1001,$A275,Transactions!$A$2:$A$1001,2)*$I275)</f>
        <v/>
      </c>
      <c r="P275" s="291" t="str">
        <f t="shared" si="43"/>
        <v/>
      </c>
      <c r="Q275" s="292" t="str">
        <f t="shared" si="44"/>
        <v/>
      </c>
    </row>
    <row r="276" spans="1:17" ht="15" customHeight="1" x14ac:dyDescent="0.2">
      <c r="A276" s="243" t="str">
        <f>IFERROR(INDEX(Txn[Key],MATCH(0,INDEX(COUNTIF($A$1:A275,Txn[Key])+(Txn[Key]=""),0),0)),"")</f>
        <v/>
      </c>
      <c r="B276" s="243" t="str">
        <f t="shared" si="36"/>
        <v/>
      </c>
      <c r="C276" s="243" t="str">
        <f t="shared" si="37"/>
        <v/>
      </c>
      <c r="D276" s="243" t="str">
        <f t="shared" si="38"/>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39"/>
        <v/>
      </c>
      <c r="K276" s="287" t="str">
        <f t="shared" si="40"/>
        <v/>
      </c>
      <c r="L276" s="287" t="str">
        <f t="shared" si="41"/>
        <v/>
      </c>
      <c r="M276" s="290" t="str">
        <f t="shared" si="42"/>
        <v/>
      </c>
      <c r="N276" s="243" t="str">
        <f>IF($A276="","",IF(ABS(E276)&gt;0.000001,COUNT($N$1:N275)+1,""))</f>
        <v/>
      </c>
      <c r="O276" s="291" t="str">
        <f>IF($A276="","",SUMIFS(Transactions!$H$2:$H$1001,Transactions!$J$2:$J$1001,$A276,Transactions!$A$2:$A$1001,2)*$I276)</f>
        <v/>
      </c>
      <c r="P276" s="291" t="str">
        <f t="shared" si="43"/>
        <v/>
      </c>
      <c r="Q276" s="292" t="str">
        <f t="shared" si="44"/>
        <v/>
      </c>
    </row>
    <row r="277" spans="1:17" ht="15" customHeight="1" x14ac:dyDescent="0.2">
      <c r="A277" s="243" t="str">
        <f>IFERROR(INDEX(Txn[Key],MATCH(0,INDEX(COUNTIF($A$1:A276,Txn[Key])+(Txn[Key]=""),0),0)),"")</f>
        <v/>
      </c>
      <c r="B277" s="243" t="str">
        <f t="shared" si="36"/>
        <v/>
      </c>
      <c r="C277" s="243" t="str">
        <f t="shared" si="37"/>
        <v/>
      </c>
      <c r="D277" s="243" t="str">
        <f t="shared" si="38"/>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39"/>
        <v/>
      </c>
      <c r="K277" s="287" t="str">
        <f t="shared" si="40"/>
        <v/>
      </c>
      <c r="L277" s="287" t="str">
        <f t="shared" si="41"/>
        <v/>
      </c>
      <c r="M277" s="290" t="str">
        <f t="shared" si="42"/>
        <v/>
      </c>
      <c r="N277" s="243" t="str">
        <f>IF($A277="","",IF(ABS(E277)&gt;0.000001,COUNT($N$1:N276)+1,""))</f>
        <v/>
      </c>
      <c r="O277" s="291" t="str">
        <f>IF($A277="","",SUMIFS(Transactions!$H$2:$H$1001,Transactions!$J$2:$J$1001,$A277,Transactions!$A$2:$A$1001,2)*$I277)</f>
        <v/>
      </c>
      <c r="P277" s="291" t="str">
        <f t="shared" si="43"/>
        <v/>
      </c>
      <c r="Q277" s="292" t="str">
        <f t="shared" si="44"/>
        <v/>
      </c>
    </row>
    <row r="278" spans="1:17" ht="15" customHeight="1" x14ac:dyDescent="0.2">
      <c r="A278" s="243" t="str">
        <f>IFERROR(INDEX(Txn[Key],MATCH(0,INDEX(COUNTIF($A$1:A277,Txn[Key])+(Txn[Key]=""),0),0)),"")</f>
        <v/>
      </c>
      <c r="B278" s="243" t="str">
        <f t="shared" si="36"/>
        <v/>
      </c>
      <c r="C278" s="243" t="str">
        <f t="shared" si="37"/>
        <v/>
      </c>
      <c r="D278" s="243" t="str">
        <f t="shared" si="38"/>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39"/>
        <v/>
      </c>
      <c r="K278" s="287" t="str">
        <f t="shared" si="40"/>
        <v/>
      </c>
      <c r="L278" s="287" t="str">
        <f t="shared" si="41"/>
        <v/>
      </c>
      <c r="M278" s="290" t="str">
        <f t="shared" si="42"/>
        <v/>
      </c>
      <c r="N278" s="243" t="str">
        <f>IF($A278="","",IF(ABS(E278)&gt;0.000001,COUNT($N$1:N277)+1,""))</f>
        <v/>
      </c>
      <c r="O278" s="291" t="str">
        <f>IF($A278="","",SUMIFS(Transactions!$H$2:$H$1001,Transactions!$J$2:$J$1001,$A278,Transactions!$A$2:$A$1001,2)*$I278)</f>
        <v/>
      </c>
      <c r="P278" s="291" t="str">
        <f t="shared" si="43"/>
        <v/>
      </c>
      <c r="Q278" s="292" t="str">
        <f t="shared" si="44"/>
        <v/>
      </c>
    </row>
    <row r="279" spans="1:17" ht="15" customHeight="1" x14ac:dyDescent="0.2">
      <c r="A279" s="243" t="str">
        <f>IFERROR(INDEX(Txn[Key],MATCH(0,INDEX(COUNTIF($A$1:A278,Txn[Key])+(Txn[Key]=""),0),0)),"")</f>
        <v/>
      </c>
      <c r="B279" s="243" t="str">
        <f t="shared" si="36"/>
        <v/>
      </c>
      <c r="C279" s="243" t="str">
        <f t="shared" si="37"/>
        <v/>
      </c>
      <c r="D279" s="243" t="str">
        <f t="shared" si="38"/>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39"/>
        <v/>
      </c>
      <c r="K279" s="287" t="str">
        <f t="shared" si="40"/>
        <v/>
      </c>
      <c r="L279" s="287" t="str">
        <f t="shared" si="41"/>
        <v/>
      </c>
      <c r="M279" s="290" t="str">
        <f t="shared" si="42"/>
        <v/>
      </c>
      <c r="N279" s="243" t="str">
        <f>IF($A279="","",IF(ABS(E279)&gt;0.000001,COUNT($N$1:N278)+1,""))</f>
        <v/>
      </c>
      <c r="O279" s="291" t="str">
        <f>IF($A279="","",SUMIFS(Transactions!$H$2:$H$1001,Transactions!$J$2:$J$1001,$A279,Transactions!$A$2:$A$1001,2)*$I279)</f>
        <v/>
      </c>
      <c r="P279" s="291" t="str">
        <f t="shared" si="43"/>
        <v/>
      </c>
      <c r="Q279" s="292" t="str">
        <f t="shared" si="44"/>
        <v/>
      </c>
    </row>
    <row r="280" spans="1:17" ht="15" customHeight="1" x14ac:dyDescent="0.2">
      <c r="A280" s="243" t="str">
        <f>IFERROR(INDEX(Txn[Key],MATCH(0,INDEX(COUNTIF($A$1:A279,Txn[Key])+(Txn[Key]=""),0),0)),"")</f>
        <v/>
      </c>
      <c r="B280" s="243" t="str">
        <f t="shared" si="36"/>
        <v/>
      </c>
      <c r="C280" s="243" t="str">
        <f t="shared" si="37"/>
        <v/>
      </c>
      <c r="D280" s="243" t="str">
        <f t="shared" si="38"/>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39"/>
        <v/>
      </c>
      <c r="K280" s="287" t="str">
        <f t="shared" si="40"/>
        <v/>
      </c>
      <c r="L280" s="287" t="str">
        <f t="shared" si="41"/>
        <v/>
      </c>
      <c r="M280" s="290" t="str">
        <f t="shared" si="42"/>
        <v/>
      </c>
      <c r="N280" s="243" t="str">
        <f>IF($A280="","",IF(ABS(E280)&gt;0.000001,COUNT($N$1:N279)+1,""))</f>
        <v/>
      </c>
      <c r="O280" s="291" t="str">
        <f>IF($A280="","",SUMIFS(Transactions!$H$2:$H$1001,Transactions!$J$2:$J$1001,$A280,Transactions!$A$2:$A$1001,2)*$I280)</f>
        <v/>
      </c>
      <c r="P280" s="291" t="str">
        <f t="shared" si="43"/>
        <v/>
      </c>
      <c r="Q280" s="292" t="str">
        <f t="shared" si="44"/>
        <v/>
      </c>
    </row>
    <row r="281" spans="1:17" ht="15" customHeight="1" x14ac:dyDescent="0.2">
      <c r="A281" s="243" t="str">
        <f>IFERROR(INDEX(Txn[Key],MATCH(0,INDEX(COUNTIF($A$1:A280,Txn[Key])+(Txn[Key]=""),0),0)),"")</f>
        <v/>
      </c>
      <c r="B281" s="243" t="str">
        <f t="shared" si="36"/>
        <v/>
      </c>
      <c r="C281" s="243" t="str">
        <f t="shared" si="37"/>
        <v/>
      </c>
      <c r="D281" s="243" t="str">
        <f t="shared" si="38"/>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39"/>
        <v/>
      </c>
      <c r="K281" s="287" t="str">
        <f t="shared" si="40"/>
        <v/>
      </c>
      <c r="L281" s="287" t="str">
        <f t="shared" si="41"/>
        <v/>
      </c>
      <c r="M281" s="290" t="str">
        <f t="shared" si="42"/>
        <v/>
      </c>
      <c r="N281" s="243" t="str">
        <f>IF($A281="","",IF(ABS(E281)&gt;0.000001,COUNT($N$1:N280)+1,""))</f>
        <v/>
      </c>
      <c r="O281" s="291" t="str">
        <f>IF($A281="","",SUMIFS(Transactions!$H$2:$H$1001,Transactions!$J$2:$J$1001,$A281,Transactions!$A$2:$A$1001,2)*$I281)</f>
        <v/>
      </c>
      <c r="P281" s="291" t="str">
        <f t="shared" si="43"/>
        <v/>
      </c>
      <c r="Q281" s="292" t="str">
        <f t="shared" si="44"/>
        <v/>
      </c>
    </row>
    <row r="282" spans="1:17" ht="15" customHeight="1" x14ac:dyDescent="0.2">
      <c r="A282" s="243" t="str">
        <f>IFERROR(INDEX(Txn[Key],MATCH(0,INDEX(COUNTIF($A$1:A281,Txn[Key])+(Txn[Key]=""),0),0)),"")</f>
        <v/>
      </c>
      <c r="B282" s="243" t="str">
        <f t="shared" si="36"/>
        <v/>
      </c>
      <c r="C282" s="243" t="str">
        <f t="shared" si="37"/>
        <v/>
      </c>
      <c r="D282" s="243" t="str">
        <f t="shared" si="38"/>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39"/>
        <v/>
      </c>
      <c r="K282" s="287" t="str">
        <f t="shared" si="40"/>
        <v/>
      </c>
      <c r="L282" s="287" t="str">
        <f t="shared" si="41"/>
        <v/>
      </c>
      <c r="M282" s="290" t="str">
        <f t="shared" si="42"/>
        <v/>
      </c>
      <c r="N282" s="243" t="str">
        <f>IF($A282="","",IF(ABS(E282)&gt;0.000001,COUNT($N$1:N281)+1,""))</f>
        <v/>
      </c>
      <c r="O282" s="291" t="str">
        <f>IF($A282="","",SUMIFS(Transactions!$H$2:$H$1001,Transactions!$J$2:$J$1001,$A282,Transactions!$A$2:$A$1001,2)*$I282)</f>
        <v/>
      </c>
      <c r="P282" s="291" t="str">
        <f t="shared" si="43"/>
        <v/>
      </c>
      <c r="Q282" s="292" t="str">
        <f t="shared" si="44"/>
        <v/>
      </c>
    </row>
    <row r="283" spans="1:17" ht="15" customHeight="1" x14ac:dyDescent="0.2">
      <c r="A283" s="243" t="str">
        <f>IFERROR(INDEX(Txn[Key],MATCH(0,INDEX(COUNTIF($A$1:A282,Txn[Key])+(Txn[Key]=""),0),0)),"")</f>
        <v/>
      </c>
      <c r="B283" s="243" t="str">
        <f t="shared" si="36"/>
        <v/>
      </c>
      <c r="C283" s="243" t="str">
        <f t="shared" si="37"/>
        <v/>
      </c>
      <c r="D283" s="243" t="str">
        <f t="shared" si="38"/>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39"/>
        <v/>
      </c>
      <c r="K283" s="287" t="str">
        <f t="shared" si="40"/>
        <v/>
      </c>
      <c r="L283" s="287" t="str">
        <f t="shared" si="41"/>
        <v/>
      </c>
      <c r="M283" s="290" t="str">
        <f t="shared" si="42"/>
        <v/>
      </c>
      <c r="N283" s="243" t="str">
        <f>IF($A283="","",IF(ABS(E283)&gt;0.000001,COUNT($N$1:N282)+1,""))</f>
        <v/>
      </c>
      <c r="O283" s="291" t="str">
        <f>IF($A283="","",SUMIFS(Transactions!$H$2:$H$1001,Transactions!$J$2:$J$1001,$A283,Transactions!$A$2:$A$1001,2)*$I283)</f>
        <v/>
      </c>
      <c r="P283" s="291" t="str">
        <f t="shared" si="43"/>
        <v/>
      </c>
      <c r="Q283" s="292" t="str">
        <f t="shared" si="44"/>
        <v/>
      </c>
    </row>
    <row r="284" spans="1:17" ht="15" customHeight="1" x14ac:dyDescent="0.2">
      <c r="A284" s="243" t="str">
        <f>IFERROR(INDEX(Txn[Key],MATCH(0,INDEX(COUNTIF($A$1:A283,Txn[Key])+(Txn[Key]=""),0),0)),"")</f>
        <v/>
      </c>
      <c r="B284" s="243" t="str">
        <f t="shared" si="36"/>
        <v/>
      </c>
      <c r="C284" s="243" t="str">
        <f t="shared" si="37"/>
        <v/>
      </c>
      <c r="D284" s="243" t="str">
        <f t="shared" si="38"/>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39"/>
        <v/>
      </c>
      <c r="K284" s="287" t="str">
        <f t="shared" si="40"/>
        <v/>
      </c>
      <c r="L284" s="287" t="str">
        <f t="shared" si="41"/>
        <v/>
      </c>
      <c r="M284" s="290" t="str">
        <f t="shared" si="42"/>
        <v/>
      </c>
      <c r="N284" s="243" t="str">
        <f>IF($A284="","",IF(ABS(E284)&gt;0.000001,COUNT($N$1:N283)+1,""))</f>
        <v/>
      </c>
      <c r="O284" s="291" t="str">
        <f>IF($A284="","",SUMIFS(Transactions!$H$2:$H$1001,Transactions!$J$2:$J$1001,$A284,Transactions!$A$2:$A$1001,2)*$I284)</f>
        <v/>
      </c>
      <c r="P284" s="291" t="str">
        <f t="shared" si="43"/>
        <v/>
      </c>
      <c r="Q284" s="292" t="str">
        <f t="shared" si="44"/>
        <v/>
      </c>
    </row>
    <row r="285" spans="1:17" ht="15" customHeight="1" x14ac:dyDescent="0.2">
      <c r="A285" s="243" t="str">
        <f>IFERROR(INDEX(Txn[Key],MATCH(0,INDEX(COUNTIF($A$1:A284,Txn[Key])+(Txn[Key]=""),0),0)),"")</f>
        <v/>
      </c>
      <c r="B285" s="243" t="str">
        <f t="shared" si="36"/>
        <v/>
      </c>
      <c r="C285" s="243" t="str">
        <f t="shared" si="37"/>
        <v/>
      </c>
      <c r="D285" s="243" t="str">
        <f t="shared" si="38"/>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39"/>
        <v/>
      </c>
      <c r="K285" s="287" t="str">
        <f t="shared" si="40"/>
        <v/>
      </c>
      <c r="L285" s="287" t="str">
        <f t="shared" si="41"/>
        <v/>
      </c>
      <c r="M285" s="290" t="str">
        <f t="shared" si="42"/>
        <v/>
      </c>
      <c r="N285" s="243" t="str">
        <f>IF($A285="","",IF(ABS(E285)&gt;0.000001,COUNT($N$1:N284)+1,""))</f>
        <v/>
      </c>
      <c r="O285" s="291" t="str">
        <f>IF($A285="","",SUMIFS(Transactions!$H$2:$H$1001,Transactions!$J$2:$J$1001,$A285,Transactions!$A$2:$A$1001,2)*$I285)</f>
        <v/>
      </c>
      <c r="P285" s="291" t="str">
        <f t="shared" si="43"/>
        <v/>
      </c>
      <c r="Q285" s="292" t="str">
        <f t="shared" si="44"/>
        <v/>
      </c>
    </row>
    <row r="286" spans="1:17" ht="15" customHeight="1" x14ac:dyDescent="0.2">
      <c r="A286" s="243" t="str">
        <f>IFERROR(INDEX(Txn[Key],MATCH(0,INDEX(COUNTIF($A$1:A285,Txn[Key])+(Txn[Key]=""),0),0)),"")</f>
        <v/>
      </c>
      <c r="B286" s="243" t="str">
        <f t="shared" si="36"/>
        <v/>
      </c>
      <c r="C286" s="243" t="str">
        <f t="shared" si="37"/>
        <v/>
      </c>
      <c r="D286" s="243" t="str">
        <f t="shared" si="38"/>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39"/>
        <v/>
      </c>
      <c r="K286" s="287" t="str">
        <f t="shared" si="40"/>
        <v/>
      </c>
      <c r="L286" s="287" t="str">
        <f t="shared" si="41"/>
        <v/>
      </c>
      <c r="M286" s="290" t="str">
        <f t="shared" si="42"/>
        <v/>
      </c>
      <c r="N286" s="243" t="str">
        <f>IF($A286="","",IF(ABS(E286)&gt;0.000001,COUNT($N$1:N285)+1,""))</f>
        <v/>
      </c>
      <c r="O286" s="291" t="str">
        <f>IF($A286="","",SUMIFS(Transactions!$H$2:$H$1001,Transactions!$J$2:$J$1001,$A286,Transactions!$A$2:$A$1001,2)*$I286)</f>
        <v/>
      </c>
      <c r="P286" s="291" t="str">
        <f t="shared" si="43"/>
        <v/>
      </c>
      <c r="Q286" s="292" t="str">
        <f t="shared" si="44"/>
        <v/>
      </c>
    </row>
    <row r="287" spans="1:17" ht="15" customHeight="1" x14ac:dyDescent="0.2">
      <c r="A287" s="243" t="str">
        <f>IFERROR(INDEX(Txn[Key],MATCH(0,INDEX(COUNTIF($A$1:A286,Txn[Key])+(Txn[Key]=""),0),0)),"")</f>
        <v/>
      </c>
      <c r="B287" s="243" t="str">
        <f t="shared" si="36"/>
        <v/>
      </c>
      <c r="C287" s="243" t="str">
        <f t="shared" si="37"/>
        <v/>
      </c>
      <c r="D287" s="243" t="str">
        <f t="shared" si="38"/>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39"/>
        <v/>
      </c>
      <c r="K287" s="287" t="str">
        <f t="shared" si="40"/>
        <v/>
      </c>
      <c r="L287" s="287" t="str">
        <f t="shared" si="41"/>
        <v/>
      </c>
      <c r="M287" s="290" t="str">
        <f t="shared" si="42"/>
        <v/>
      </c>
      <c r="N287" s="243" t="str">
        <f>IF($A287="","",IF(ABS(E287)&gt;0.000001,COUNT($N$1:N286)+1,""))</f>
        <v/>
      </c>
      <c r="O287" s="291" t="str">
        <f>IF($A287="","",SUMIFS(Transactions!$H$2:$H$1001,Transactions!$J$2:$J$1001,$A287,Transactions!$A$2:$A$1001,2)*$I287)</f>
        <v/>
      </c>
      <c r="P287" s="291" t="str">
        <f t="shared" si="43"/>
        <v/>
      </c>
      <c r="Q287" s="292" t="str">
        <f t="shared" si="44"/>
        <v/>
      </c>
    </row>
    <row r="288" spans="1:17" ht="15" customHeight="1" x14ac:dyDescent="0.2">
      <c r="A288" s="243" t="str">
        <f>IFERROR(INDEX(Txn[Key],MATCH(0,INDEX(COUNTIF($A$1:A287,Txn[Key])+(Txn[Key]=""),0),0)),"")</f>
        <v/>
      </c>
      <c r="B288" s="243" t="str">
        <f t="shared" si="36"/>
        <v/>
      </c>
      <c r="C288" s="243" t="str">
        <f t="shared" si="37"/>
        <v/>
      </c>
      <c r="D288" s="243" t="str">
        <f t="shared" si="38"/>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39"/>
        <v/>
      </c>
      <c r="K288" s="287" t="str">
        <f t="shared" si="40"/>
        <v/>
      </c>
      <c r="L288" s="287" t="str">
        <f t="shared" si="41"/>
        <v/>
      </c>
      <c r="M288" s="290" t="str">
        <f t="shared" si="42"/>
        <v/>
      </c>
      <c r="N288" s="243" t="str">
        <f>IF($A288="","",IF(ABS(E288)&gt;0.000001,COUNT($N$1:N287)+1,""))</f>
        <v/>
      </c>
      <c r="O288" s="291" t="str">
        <f>IF($A288="","",SUMIFS(Transactions!$H$2:$H$1001,Transactions!$J$2:$J$1001,$A288,Transactions!$A$2:$A$1001,2)*$I288)</f>
        <v/>
      </c>
      <c r="P288" s="291" t="str">
        <f t="shared" si="43"/>
        <v/>
      </c>
      <c r="Q288" s="292" t="str">
        <f t="shared" si="44"/>
        <v/>
      </c>
    </row>
    <row r="289" spans="1:17" ht="15" customHeight="1" x14ac:dyDescent="0.2">
      <c r="A289" s="243" t="str">
        <f>IFERROR(INDEX(Txn[Key],MATCH(0,INDEX(COUNTIF($A$1:A288,Txn[Key])+(Txn[Key]=""),0),0)),"")</f>
        <v/>
      </c>
      <c r="B289" s="243" t="str">
        <f t="shared" si="36"/>
        <v/>
      </c>
      <c r="C289" s="243" t="str">
        <f t="shared" si="37"/>
        <v/>
      </c>
      <c r="D289" s="243" t="str">
        <f t="shared" si="38"/>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39"/>
        <v/>
      </c>
      <c r="K289" s="287" t="str">
        <f t="shared" si="40"/>
        <v/>
      </c>
      <c r="L289" s="287" t="str">
        <f t="shared" si="41"/>
        <v/>
      </c>
      <c r="M289" s="290" t="str">
        <f t="shared" si="42"/>
        <v/>
      </c>
      <c r="N289" s="243" t="str">
        <f>IF($A289="","",IF(ABS(E289)&gt;0.000001,COUNT($N$1:N288)+1,""))</f>
        <v/>
      </c>
      <c r="O289" s="291" t="str">
        <f>IF($A289="","",SUMIFS(Transactions!$H$2:$H$1001,Transactions!$J$2:$J$1001,$A289,Transactions!$A$2:$A$1001,2)*$I289)</f>
        <v/>
      </c>
      <c r="P289" s="291" t="str">
        <f t="shared" si="43"/>
        <v/>
      </c>
      <c r="Q289" s="292" t="str">
        <f t="shared" si="44"/>
        <v/>
      </c>
    </row>
    <row r="290" spans="1:17" ht="15" customHeight="1" x14ac:dyDescent="0.2">
      <c r="A290" s="243" t="str">
        <f>IFERROR(INDEX(Txn[Key],MATCH(0,INDEX(COUNTIF($A$1:A289,Txn[Key])+(Txn[Key]=""),0),0)),"")</f>
        <v/>
      </c>
      <c r="B290" s="243" t="str">
        <f t="shared" si="36"/>
        <v/>
      </c>
      <c r="C290" s="243" t="str">
        <f t="shared" si="37"/>
        <v/>
      </c>
      <c r="D290" s="243" t="str">
        <f t="shared" si="38"/>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39"/>
        <v/>
      </c>
      <c r="K290" s="287" t="str">
        <f t="shared" si="40"/>
        <v/>
      </c>
      <c r="L290" s="287" t="str">
        <f t="shared" si="41"/>
        <v/>
      </c>
      <c r="M290" s="290" t="str">
        <f t="shared" si="42"/>
        <v/>
      </c>
      <c r="N290" s="243" t="str">
        <f>IF($A290="","",IF(ABS(E290)&gt;0.000001,COUNT($N$1:N289)+1,""))</f>
        <v/>
      </c>
      <c r="O290" s="291" t="str">
        <f>IF($A290="","",SUMIFS(Transactions!$H$2:$H$1001,Transactions!$J$2:$J$1001,$A290,Transactions!$A$2:$A$1001,2)*$I290)</f>
        <v/>
      </c>
      <c r="P290" s="291" t="str">
        <f t="shared" si="43"/>
        <v/>
      </c>
      <c r="Q290" s="292" t="str">
        <f t="shared" si="44"/>
        <v/>
      </c>
    </row>
    <row r="291" spans="1:17" ht="15" customHeight="1" x14ac:dyDescent="0.2">
      <c r="A291" s="243" t="str">
        <f>IFERROR(INDEX(Txn[Key],MATCH(0,INDEX(COUNTIF($A$1:A290,Txn[Key])+(Txn[Key]=""),0),0)),"")</f>
        <v/>
      </c>
      <c r="B291" s="243" t="str">
        <f t="shared" si="36"/>
        <v/>
      </c>
      <c r="C291" s="243" t="str">
        <f t="shared" si="37"/>
        <v/>
      </c>
      <c r="D291" s="243" t="str">
        <f t="shared" si="38"/>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39"/>
        <v/>
      </c>
      <c r="K291" s="287" t="str">
        <f t="shared" si="40"/>
        <v/>
      </c>
      <c r="L291" s="287" t="str">
        <f t="shared" si="41"/>
        <v/>
      </c>
      <c r="M291" s="290" t="str">
        <f t="shared" si="42"/>
        <v/>
      </c>
      <c r="N291" s="243" t="str">
        <f>IF($A291="","",IF(ABS(E291)&gt;0.000001,COUNT($N$1:N290)+1,""))</f>
        <v/>
      </c>
      <c r="O291" s="291" t="str">
        <f>IF($A291="","",SUMIFS(Transactions!$H$2:$H$1001,Transactions!$J$2:$J$1001,$A291,Transactions!$A$2:$A$1001,2)*$I291)</f>
        <v/>
      </c>
      <c r="P291" s="291" t="str">
        <f t="shared" si="43"/>
        <v/>
      </c>
      <c r="Q291" s="292" t="str">
        <f t="shared" si="44"/>
        <v/>
      </c>
    </row>
    <row r="292" spans="1:17" ht="15" customHeight="1" x14ac:dyDescent="0.2">
      <c r="A292" s="243" t="str">
        <f>IFERROR(INDEX(Txn[Key],MATCH(0,INDEX(COUNTIF($A$1:A291,Txn[Key])+(Txn[Key]=""),0),0)),"")</f>
        <v/>
      </c>
      <c r="B292" s="243" t="str">
        <f t="shared" si="36"/>
        <v/>
      </c>
      <c r="C292" s="243" t="str">
        <f t="shared" si="37"/>
        <v/>
      </c>
      <c r="D292" s="243" t="str">
        <f t="shared" si="38"/>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39"/>
        <v/>
      </c>
      <c r="K292" s="287" t="str">
        <f t="shared" si="40"/>
        <v/>
      </c>
      <c r="L292" s="287" t="str">
        <f t="shared" si="41"/>
        <v/>
      </c>
      <c r="M292" s="290" t="str">
        <f t="shared" si="42"/>
        <v/>
      </c>
      <c r="N292" s="243" t="str">
        <f>IF($A292="","",IF(ABS(E292)&gt;0.000001,COUNT($N$1:N291)+1,""))</f>
        <v/>
      </c>
      <c r="O292" s="291" t="str">
        <f>IF($A292="","",SUMIFS(Transactions!$H$2:$H$1001,Transactions!$J$2:$J$1001,$A292,Transactions!$A$2:$A$1001,2)*$I292)</f>
        <v/>
      </c>
      <c r="P292" s="291" t="str">
        <f t="shared" si="43"/>
        <v/>
      </c>
      <c r="Q292" s="292" t="str">
        <f t="shared" si="44"/>
        <v/>
      </c>
    </row>
    <row r="293" spans="1:17" ht="15" customHeight="1" x14ac:dyDescent="0.2">
      <c r="A293" s="243" t="str">
        <f>IFERROR(INDEX(Txn[Key],MATCH(0,INDEX(COUNTIF($A$1:A292,Txn[Key])+(Txn[Key]=""),0),0)),"")</f>
        <v/>
      </c>
      <c r="B293" s="243" t="str">
        <f t="shared" si="36"/>
        <v/>
      </c>
      <c r="C293" s="243" t="str">
        <f t="shared" si="37"/>
        <v/>
      </c>
      <c r="D293" s="243" t="str">
        <f t="shared" si="38"/>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39"/>
        <v/>
      </c>
      <c r="K293" s="287" t="str">
        <f t="shared" si="40"/>
        <v/>
      </c>
      <c r="L293" s="287" t="str">
        <f t="shared" si="41"/>
        <v/>
      </c>
      <c r="M293" s="290" t="str">
        <f t="shared" si="42"/>
        <v/>
      </c>
      <c r="N293" s="243" t="str">
        <f>IF($A293="","",IF(ABS(E293)&gt;0.000001,COUNT($N$1:N292)+1,""))</f>
        <v/>
      </c>
      <c r="O293" s="291" t="str">
        <f>IF($A293="","",SUMIFS(Transactions!$H$2:$H$1001,Transactions!$J$2:$J$1001,$A293,Transactions!$A$2:$A$1001,2)*$I293)</f>
        <v/>
      </c>
      <c r="P293" s="291" t="str">
        <f t="shared" si="43"/>
        <v/>
      </c>
      <c r="Q293" s="292" t="str">
        <f t="shared" si="44"/>
        <v/>
      </c>
    </row>
    <row r="294" spans="1:17" ht="15" customHeight="1" x14ac:dyDescent="0.2">
      <c r="A294" s="243" t="str">
        <f>IFERROR(INDEX(Txn[Key],MATCH(0,INDEX(COUNTIF($A$1:A293,Txn[Key])+(Txn[Key]=""),0),0)),"")</f>
        <v/>
      </c>
      <c r="B294" s="243" t="str">
        <f t="shared" si="36"/>
        <v/>
      </c>
      <c r="C294" s="243" t="str">
        <f t="shared" si="37"/>
        <v/>
      </c>
      <c r="D294" s="243" t="str">
        <f t="shared" si="38"/>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39"/>
        <v/>
      </c>
      <c r="K294" s="287" t="str">
        <f t="shared" si="40"/>
        <v/>
      </c>
      <c r="L294" s="287" t="str">
        <f t="shared" si="41"/>
        <v/>
      </c>
      <c r="M294" s="290" t="str">
        <f t="shared" si="42"/>
        <v/>
      </c>
      <c r="N294" s="243" t="str">
        <f>IF($A294="","",IF(ABS(E294)&gt;0.000001,COUNT($N$1:N293)+1,""))</f>
        <v/>
      </c>
      <c r="O294" s="291" t="str">
        <f>IF($A294="","",SUMIFS(Transactions!$H$2:$H$1001,Transactions!$J$2:$J$1001,$A294,Transactions!$A$2:$A$1001,2)*$I294)</f>
        <v/>
      </c>
      <c r="P294" s="291" t="str">
        <f t="shared" si="43"/>
        <v/>
      </c>
      <c r="Q294" s="292" t="str">
        <f t="shared" si="44"/>
        <v/>
      </c>
    </row>
    <row r="295" spans="1:17" ht="15" customHeight="1" x14ac:dyDescent="0.2">
      <c r="A295" s="243" t="str">
        <f>IFERROR(INDEX(Txn[Key],MATCH(0,INDEX(COUNTIF($A$1:A294,Txn[Key])+(Txn[Key]=""),0),0)),"")</f>
        <v/>
      </c>
      <c r="B295" s="243" t="str">
        <f t="shared" si="36"/>
        <v/>
      </c>
      <c r="C295" s="243" t="str">
        <f t="shared" si="37"/>
        <v/>
      </c>
      <c r="D295" s="243" t="str">
        <f t="shared" si="38"/>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39"/>
        <v/>
      </c>
      <c r="K295" s="287" t="str">
        <f t="shared" si="40"/>
        <v/>
      </c>
      <c r="L295" s="287" t="str">
        <f t="shared" si="41"/>
        <v/>
      </c>
      <c r="M295" s="290" t="str">
        <f t="shared" si="42"/>
        <v/>
      </c>
      <c r="N295" s="243" t="str">
        <f>IF($A295="","",IF(ABS(E295)&gt;0.000001,COUNT($N$1:N294)+1,""))</f>
        <v/>
      </c>
      <c r="O295" s="291" t="str">
        <f>IF($A295="","",SUMIFS(Transactions!$H$2:$H$1001,Transactions!$J$2:$J$1001,$A295,Transactions!$A$2:$A$1001,2)*$I295)</f>
        <v/>
      </c>
      <c r="P295" s="291" t="str">
        <f t="shared" si="43"/>
        <v/>
      </c>
      <c r="Q295" s="292" t="str">
        <f t="shared" si="44"/>
        <v/>
      </c>
    </row>
    <row r="296" spans="1:17" ht="15" customHeight="1" x14ac:dyDescent="0.2">
      <c r="A296" s="243" t="str">
        <f>IFERROR(INDEX(Txn[Key],MATCH(0,INDEX(COUNTIF($A$1:A295,Txn[Key])+(Txn[Key]=""),0),0)),"")</f>
        <v/>
      </c>
      <c r="B296" s="243" t="str">
        <f t="shared" si="36"/>
        <v/>
      </c>
      <c r="C296" s="243" t="str">
        <f t="shared" si="37"/>
        <v/>
      </c>
      <c r="D296" s="243" t="str">
        <f t="shared" si="38"/>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39"/>
        <v/>
      </c>
      <c r="K296" s="287" t="str">
        <f t="shared" si="40"/>
        <v/>
      </c>
      <c r="L296" s="287" t="str">
        <f t="shared" si="41"/>
        <v/>
      </c>
      <c r="M296" s="290" t="str">
        <f t="shared" si="42"/>
        <v/>
      </c>
      <c r="N296" s="243" t="str">
        <f>IF($A296="","",IF(ABS(E296)&gt;0.000001,COUNT($N$1:N295)+1,""))</f>
        <v/>
      </c>
      <c r="O296" s="291" t="str">
        <f>IF($A296="","",SUMIFS(Transactions!$H$2:$H$1001,Transactions!$J$2:$J$1001,$A296,Transactions!$A$2:$A$1001,2)*$I296)</f>
        <v/>
      </c>
      <c r="P296" s="291" t="str">
        <f t="shared" si="43"/>
        <v/>
      </c>
      <c r="Q296" s="292" t="str">
        <f t="shared" si="44"/>
        <v/>
      </c>
    </row>
    <row r="297" spans="1:17" ht="15" customHeight="1" x14ac:dyDescent="0.2">
      <c r="A297" s="243" t="str">
        <f>IFERROR(INDEX(Txn[Key],MATCH(0,INDEX(COUNTIF($A$1:A296,Txn[Key])+(Txn[Key]=""),0),0)),"")</f>
        <v/>
      </c>
      <c r="B297" s="243" t="str">
        <f t="shared" si="36"/>
        <v/>
      </c>
      <c r="C297" s="243" t="str">
        <f t="shared" si="37"/>
        <v/>
      </c>
      <c r="D297" s="243" t="str">
        <f t="shared" si="38"/>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39"/>
        <v/>
      </c>
      <c r="K297" s="287" t="str">
        <f t="shared" si="40"/>
        <v/>
      </c>
      <c r="L297" s="287" t="str">
        <f t="shared" si="41"/>
        <v/>
      </c>
      <c r="M297" s="290" t="str">
        <f t="shared" si="42"/>
        <v/>
      </c>
      <c r="N297" s="243" t="str">
        <f>IF($A297="","",IF(ABS(E297)&gt;0.000001,COUNT($N$1:N296)+1,""))</f>
        <v/>
      </c>
      <c r="O297" s="291" t="str">
        <f>IF($A297="","",SUMIFS(Transactions!$H$2:$H$1001,Transactions!$J$2:$J$1001,$A297,Transactions!$A$2:$A$1001,2)*$I297)</f>
        <v/>
      </c>
      <c r="P297" s="291" t="str">
        <f t="shared" si="43"/>
        <v/>
      </c>
      <c r="Q297" s="292" t="str">
        <f t="shared" si="44"/>
        <v/>
      </c>
    </row>
    <row r="298" spans="1:17" ht="15" customHeight="1" x14ac:dyDescent="0.2">
      <c r="A298" s="243" t="str">
        <f>IFERROR(INDEX(Txn[Key],MATCH(0,INDEX(COUNTIF($A$1:A297,Txn[Key])+(Txn[Key]=""),0),0)),"")</f>
        <v/>
      </c>
      <c r="B298" s="243" t="str">
        <f t="shared" si="36"/>
        <v/>
      </c>
      <c r="C298" s="243" t="str">
        <f t="shared" si="37"/>
        <v/>
      </c>
      <c r="D298" s="243" t="str">
        <f t="shared" si="38"/>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39"/>
        <v/>
      </c>
      <c r="K298" s="287" t="str">
        <f t="shared" si="40"/>
        <v/>
      </c>
      <c r="L298" s="287" t="str">
        <f t="shared" si="41"/>
        <v/>
      </c>
      <c r="M298" s="290" t="str">
        <f t="shared" si="42"/>
        <v/>
      </c>
      <c r="N298" s="243" t="str">
        <f>IF($A298="","",IF(ABS(E298)&gt;0.000001,COUNT($N$1:N297)+1,""))</f>
        <v/>
      </c>
      <c r="O298" s="291" t="str">
        <f>IF($A298="","",SUMIFS(Transactions!$H$2:$H$1001,Transactions!$J$2:$J$1001,$A298,Transactions!$A$2:$A$1001,2)*$I298)</f>
        <v/>
      </c>
      <c r="P298" s="291" t="str">
        <f t="shared" si="43"/>
        <v/>
      </c>
      <c r="Q298" s="292" t="str">
        <f t="shared" si="44"/>
        <v/>
      </c>
    </row>
    <row r="299" spans="1:17" ht="15" customHeight="1" x14ac:dyDescent="0.2">
      <c r="A299" s="243" t="str">
        <f>IFERROR(INDEX(Txn[Key],MATCH(0,INDEX(COUNTIF($A$1:A298,Txn[Key])+(Txn[Key]=""),0),0)),"")</f>
        <v/>
      </c>
      <c r="B299" s="243" t="str">
        <f t="shared" si="36"/>
        <v/>
      </c>
      <c r="C299" s="243" t="str">
        <f t="shared" si="37"/>
        <v/>
      </c>
      <c r="D299" s="243" t="str">
        <f t="shared" si="38"/>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39"/>
        <v/>
      </c>
      <c r="K299" s="287" t="str">
        <f t="shared" si="40"/>
        <v/>
      </c>
      <c r="L299" s="287" t="str">
        <f t="shared" si="41"/>
        <v/>
      </c>
      <c r="M299" s="290" t="str">
        <f t="shared" si="42"/>
        <v/>
      </c>
      <c r="N299" s="243" t="str">
        <f>IF($A299="","",IF(ABS(E299)&gt;0.000001,COUNT($N$1:N298)+1,""))</f>
        <v/>
      </c>
      <c r="O299" s="291" t="str">
        <f>IF($A299="","",SUMIFS(Transactions!$H$2:$H$1001,Transactions!$J$2:$J$1001,$A299,Transactions!$A$2:$A$1001,2)*$I299)</f>
        <v/>
      </c>
      <c r="P299" s="291" t="str">
        <f t="shared" si="43"/>
        <v/>
      </c>
      <c r="Q299" s="292" t="str">
        <f t="shared" si="44"/>
        <v/>
      </c>
    </row>
    <row r="300" spans="1:17" ht="15" customHeight="1" x14ac:dyDescent="0.2">
      <c r="A300" s="243" t="str">
        <f>IFERROR(INDEX(Txn[Key],MATCH(0,INDEX(COUNTIF($A$1:A299,Txn[Key])+(Txn[Key]=""),0),0)),"")</f>
        <v/>
      </c>
      <c r="B300" s="243" t="str">
        <f t="shared" si="36"/>
        <v/>
      </c>
      <c r="C300" s="243" t="str">
        <f t="shared" si="37"/>
        <v/>
      </c>
      <c r="D300" s="243" t="str">
        <f t="shared" si="38"/>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39"/>
        <v/>
      </c>
      <c r="K300" s="287" t="str">
        <f t="shared" si="40"/>
        <v/>
      </c>
      <c r="L300" s="287" t="str">
        <f t="shared" si="41"/>
        <v/>
      </c>
      <c r="M300" s="290" t="str">
        <f t="shared" si="42"/>
        <v/>
      </c>
      <c r="N300" s="243" t="str">
        <f>IF($A300="","",IF(ABS(E300)&gt;0.000001,COUNT($N$1:N299)+1,""))</f>
        <v/>
      </c>
      <c r="O300" s="291" t="str">
        <f>IF($A300="","",SUMIFS(Transactions!$H$2:$H$1001,Transactions!$J$2:$J$1001,$A300,Transactions!$A$2:$A$1001,2)*$I300)</f>
        <v/>
      </c>
      <c r="P300" s="291" t="str">
        <f t="shared" si="43"/>
        <v/>
      </c>
      <c r="Q300" s="292" t="str">
        <f t="shared" si="44"/>
        <v/>
      </c>
    </row>
    <row r="301" spans="1:17" ht="15" customHeight="1" x14ac:dyDescent="0.2">
      <c r="A301" s="243" t="str">
        <f>IFERROR(INDEX(Txn[Key],MATCH(0,INDEX(COUNTIF($A$1:A300,Txn[Key])+(Txn[Key]=""),0),0)),"")</f>
        <v/>
      </c>
      <c r="B301" s="243" t="str">
        <f t="shared" si="36"/>
        <v/>
      </c>
      <c r="C301" s="243" t="str">
        <f t="shared" si="37"/>
        <v/>
      </c>
      <c r="D301" s="243" t="str">
        <f t="shared" si="38"/>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39"/>
        <v/>
      </c>
      <c r="K301" s="287" t="str">
        <f t="shared" si="40"/>
        <v/>
      </c>
      <c r="L301" s="287" t="str">
        <f t="shared" si="41"/>
        <v/>
      </c>
      <c r="M301" s="290" t="str">
        <f t="shared" si="42"/>
        <v/>
      </c>
      <c r="N301" s="243" t="str">
        <f>IF($A301="","",IF(ABS(E301)&gt;0.000001,COUNT($N$1:N300)+1,""))</f>
        <v/>
      </c>
      <c r="O301" s="291" t="str">
        <f>IF($A301="","",SUMIFS(Transactions!$H$2:$H$1001,Transactions!$J$2:$J$1001,$A301,Transactions!$A$2:$A$1001,2)*$I301)</f>
        <v/>
      </c>
      <c r="P301" s="291" t="str">
        <f t="shared" si="43"/>
        <v/>
      </c>
      <c r="Q301" s="292" t="str">
        <f t="shared" si="44"/>
        <v/>
      </c>
    </row>
    <row r="302" spans="1:17" ht="15" customHeight="1" x14ac:dyDescent="0.2">
      <c r="A302" s="243" t="str">
        <f>IFERROR(INDEX(Txn[Key],MATCH(0,INDEX(COUNTIF($A$1:A301,Txn[Key])+(Txn[Key]=""),0),0)),"")</f>
        <v/>
      </c>
      <c r="B302" s="243" t="str">
        <f t="shared" si="36"/>
        <v/>
      </c>
      <c r="C302" s="243" t="str">
        <f t="shared" si="37"/>
        <v/>
      </c>
      <c r="D302" s="243" t="str">
        <f t="shared" si="38"/>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39"/>
        <v/>
      </c>
      <c r="K302" s="287" t="str">
        <f t="shared" si="40"/>
        <v/>
      </c>
      <c r="L302" s="287" t="str">
        <f t="shared" si="41"/>
        <v/>
      </c>
      <c r="M302" s="290" t="str">
        <f t="shared" si="42"/>
        <v/>
      </c>
      <c r="N302" s="243" t="str">
        <f>IF($A302="","",IF(ABS(E302)&gt;0.000001,COUNT($N$1:N301)+1,""))</f>
        <v/>
      </c>
      <c r="O302" s="291" t="str">
        <f>IF($A302="","",SUMIFS(Transactions!$H$2:$H$1001,Transactions!$J$2:$J$1001,$A302,Transactions!$A$2:$A$1001,2)*$I302)</f>
        <v/>
      </c>
      <c r="P302" s="291" t="str">
        <f t="shared" si="43"/>
        <v/>
      </c>
      <c r="Q302" s="292" t="str">
        <f t="shared" si="44"/>
        <v/>
      </c>
    </row>
    <row r="303" spans="1:17" ht="15" customHeight="1" x14ac:dyDescent="0.2">
      <c r="A303" s="243" t="str">
        <f>IFERROR(INDEX(Txn[Key],MATCH(0,INDEX(COUNTIF($A$1:A302,Txn[Key])+(Txn[Key]=""),0),0)),"")</f>
        <v/>
      </c>
      <c r="B303" s="243" t="str">
        <f t="shared" si="36"/>
        <v/>
      </c>
      <c r="C303" s="243" t="str">
        <f t="shared" si="37"/>
        <v/>
      </c>
      <c r="D303" s="243" t="str">
        <f t="shared" si="38"/>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39"/>
        <v/>
      </c>
      <c r="K303" s="287" t="str">
        <f t="shared" si="40"/>
        <v/>
      </c>
      <c r="L303" s="287" t="str">
        <f t="shared" si="41"/>
        <v/>
      </c>
      <c r="M303" s="290" t="str">
        <f t="shared" si="42"/>
        <v/>
      </c>
      <c r="N303" s="243" t="str">
        <f>IF($A303="","",IF(ABS(E303)&gt;0.000001,COUNT($N$1:N302)+1,""))</f>
        <v/>
      </c>
      <c r="O303" s="291" t="str">
        <f>IF($A303="","",SUMIFS(Transactions!$H$2:$H$1001,Transactions!$J$2:$J$1001,$A303,Transactions!$A$2:$A$1001,2)*$I303)</f>
        <v/>
      </c>
      <c r="P303" s="291" t="str">
        <f t="shared" si="43"/>
        <v/>
      </c>
      <c r="Q303" s="292" t="str">
        <f t="shared" si="44"/>
        <v/>
      </c>
    </row>
    <row r="304" spans="1:17" ht="15" customHeight="1" x14ac:dyDescent="0.2">
      <c r="A304" s="243" t="str">
        <f>IFERROR(INDEX(Txn[Key],MATCH(0,INDEX(COUNTIF($A$1:A303,Txn[Key])+(Txn[Key]=""),0),0)),"")</f>
        <v/>
      </c>
      <c r="B304" s="243" t="str">
        <f t="shared" si="36"/>
        <v/>
      </c>
      <c r="C304" s="243" t="str">
        <f t="shared" si="37"/>
        <v/>
      </c>
      <c r="D304" s="243" t="str">
        <f t="shared" si="38"/>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39"/>
        <v/>
      </c>
      <c r="K304" s="287" t="str">
        <f t="shared" si="40"/>
        <v/>
      </c>
      <c r="L304" s="287" t="str">
        <f t="shared" si="41"/>
        <v/>
      </c>
      <c r="M304" s="290" t="str">
        <f t="shared" si="42"/>
        <v/>
      </c>
      <c r="N304" s="243" t="str">
        <f>IF($A304="","",IF(ABS(E304)&gt;0.000001,COUNT($N$1:N303)+1,""))</f>
        <v/>
      </c>
      <c r="O304" s="291" t="str">
        <f>IF($A304="","",SUMIFS(Transactions!$H$2:$H$1001,Transactions!$J$2:$J$1001,$A304,Transactions!$A$2:$A$1001,2)*$I304)</f>
        <v/>
      </c>
      <c r="P304" s="291" t="str">
        <f t="shared" si="43"/>
        <v/>
      </c>
      <c r="Q304" s="292" t="str">
        <f t="shared" si="44"/>
        <v/>
      </c>
    </row>
    <row r="305" spans="1:17" ht="15" customHeight="1" x14ac:dyDescent="0.2">
      <c r="A305" s="243" t="str">
        <f>IFERROR(INDEX(Txn[Key],MATCH(0,INDEX(COUNTIF($A$1:A304,Txn[Key])+(Txn[Key]=""),0),0)),"")</f>
        <v/>
      </c>
      <c r="B305" s="243" t="str">
        <f t="shared" si="36"/>
        <v/>
      </c>
      <c r="C305" s="243" t="str">
        <f t="shared" si="37"/>
        <v/>
      </c>
      <c r="D305" s="243" t="str">
        <f t="shared" si="38"/>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39"/>
        <v/>
      </c>
      <c r="K305" s="287" t="str">
        <f t="shared" si="40"/>
        <v/>
      </c>
      <c r="L305" s="287" t="str">
        <f t="shared" si="41"/>
        <v/>
      </c>
      <c r="M305" s="290" t="str">
        <f t="shared" si="42"/>
        <v/>
      </c>
      <c r="N305" s="243" t="str">
        <f>IF($A305="","",IF(ABS(E305)&gt;0.000001,COUNT($N$1:N304)+1,""))</f>
        <v/>
      </c>
      <c r="O305" s="291" t="str">
        <f>IF($A305="","",SUMIFS(Transactions!$H$2:$H$1001,Transactions!$J$2:$J$1001,$A305,Transactions!$A$2:$A$1001,2)*$I305)</f>
        <v/>
      </c>
      <c r="P305" s="291" t="str">
        <f t="shared" si="43"/>
        <v/>
      </c>
      <c r="Q305" s="292" t="str">
        <f t="shared" si="44"/>
        <v/>
      </c>
    </row>
    <row r="306" spans="1:17" ht="15" customHeight="1" x14ac:dyDescent="0.2">
      <c r="A306" s="243" t="str">
        <f>IFERROR(INDEX(Txn[Key],MATCH(0,INDEX(COUNTIF($A$1:A305,Txn[Key])+(Txn[Key]=""),0),0)),"")</f>
        <v/>
      </c>
      <c r="B306" s="243" t="str">
        <f t="shared" si="36"/>
        <v/>
      </c>
      <c r="C306" s="243" t="str">
        <f t="shared" si="37"/>
        <v/>
      </c>
      <c r="D306" s="243" t="str">
        <f t="shared" si="38"/>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39"/>
        <v/>
      </c>
      <c r="K306" s="287" t="str">
        <f t="shared" si="40"/>
        <v/>
      </c>
      <c r="L306" s="287" t="str">
        <f t="shared" si="41"/>
        <v/>
      </c>
      <c r="M306" s="290" t="str">
        <f t="shared" si="42"/>
        <v/>
      </c>
      <c r="N306" s="243" t="str">
        <f>IF($A306="","",IF(ABS(E306)&gt;0.000001,COUNT($N$1:N305)+1,""))</f>
        <v/>
      </c>
      <c r="O306" s="291" t="str">
        <f>IF($A306="","",SUMIFS(Transactions!$H$2:$H$1001,Transactions!$J$2:$J$1001,$A306,Transactions!$A$2:$A$1001,2)*$I306)</f>
        <v/>
      </c>
      <c r="P306" s="291" t="str">
        <f t="shared" si="43"/>
        <v/>
      </c>
      <c r="Q306" s="292" t="str">
        <f t="shared" si="44"/>
        <v/>
      </c>
    </row>
    <row r="307" spans="1:17" ht="15" customHeight="1" x14ac:dyDescent="0.2">
      <c r="A307" s="243" t="str">
        <f>IFERROR(INDEX(Txn[Key],MATCH(0,INDEX(COUNTIF($A$1:A306,Txn[Key])+(Txn[Key]=""),0),0)),"")</f>
        <v/>
      </c>
      <c r="B307" s="243" t="str">
        <f t="shared" si="36"/>
        <v/>
      </c>
      <c r="C307" s="243" t="str">
        <f t="shared" si="37"/>
        <v/>
      </c>
      <c r="D307" s="243" t="str">
        <f t="shared" si="38"/>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39"/>
        <v/>
      </c>
      <c r="K307" s="287" t="str">
        <f t="shared" si="40"/>
        <v/>
      </c>
      <c r="L307" s="287" t="str">
        <f t="shared" si="41"/>
        <v/>
      </c>
      <c r="M307" s="290" t="str">
        <f t="shared" si="42"/>
        <v/>
      </c>
      <c r="N307" s="243" t="str">
        <f>IF($A307="","",IF(ABS(E307)&gt;0.000001,COUNT($N$1:N306)+1,""))</f>
        <v/>
      </c>
      <c r="O307" s="291" t="str">
        <f>IF($A307="","",SUMIFS(Transactions!$H$2:$H$1001,Transactions!$J$2:$J$1001,$A307,Transactions!$A$2:$A$1001,2)*$I307)</f>
        <v/>
      </c>
      <c r="P307" s="291" t="str">
        <f t="shared" si="43"/>
        <v/>
      </c>
      <c r="Q307" s="292" t="str">
        <f t="shared" si="44"/>
        <v/>
      </c>
    </row>
    <row r="308" spans="1:17" ht="15" customHeight="1" x14ac:dyDescent="0.2">
      <c r="A308" s="243" t="str">
        <f>IFERROR(INDEX(Txn[Key],MATCH(0,INDEX(COUNTIF($A$1:A307,Txn[Key])+(Txn[Key]=""),0),0)),"")</f>
        <v/>
      </c>
      <c r="B308" s="243" t="str">
        <f t="shared" si="36"/>
        <v/>
      </c>
      <c r="C308" s="243" t="str">
        <f t="shared" si="37"/>
        <v/>
      </c>
      <c r="D308" s="243" t="str">
        <f t="shared" si="38"/>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39"/>
        <v/>
      </c>
      <c r="K308" s="287" t="str">
        <f t="shared" si="40"/>
        <v/>
      </c>
      <c r="L308" s="287" t="str">
        <f t="shared" si="41"/>
        <v/>
      </c>
      <c r="M308" s="290" t="str">
        <f t="shared" si="42"/>
        <v/>
      </c>
      <c r="N308" s="243" t="str">
        <f>IF($A308="","",IF(ABS(E308)&gt;0.000001,COUNT($N$1:N307)+1,""))</f>
        <v/>
      </c>
      <c r="O308" s="291" t="str">
        <f>IF($A308="","",SUMIFS(Transactions!$H$2:$H$1001,Transactions!$J$2:$J$1001,$A308,Transactions!$A$2:$A$1001,2)*$I308)</f>
        <v/>
      </c>
      <c r="P308" s="291" t="str">
        <f t="shared" si="43"/>
        <v/>
      </c>
      <c r="Q308" s="292" t="str">
        <f t="shared" si="44"/>
        <v/>
      </c>
    </row>
    <row r="309" spans="1:17" ht="15" customHeight="1" x14ac:dyDescent="0.2">
      <c r="A309" s="243" t="str">
        <f>IFERROR(INDEX(Txn[Key],MATCH(0,INDEX(COUNTIF($A$1:A308,Txn[Key])+(Txn[Key]=""),0),0)),"")</f>
        <v/>
      </c>
      <c r="B309" s="243" t="str">
        <f t="shared" si="36"/>
        <v/>
      </c>
      <c r="C309" s="243" t="str">
        <f t="shared" si="37"/>
        <v/>
      </c>
      <c r="D309" s="243" t="str">
        <f t="shared" si="38"/>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39"/>
        <v/>
      </c>
      <c r="K309" s="287" t="str">
        <f t="shared" si="40"/>
        <v/>
      </c>
      <c r="L309" s="287" t="str">
        <f t="shared" si="41"/>
        <v/>
      </c>
      <c r="M309" s="290" t="str">
        <f t="shared" si="42"/>
        <v/>
      </c>
      <c r="N309" s="243" t="str">
        <f>IF($A309="","",IF(ABS(E309)&gt;0.000001,COUNT($N$1:N308)+1,""))</f>
        <v/>
      </c>
      <c r="O309" s="291" t="str">
        <f>IF($A309="","",SUMIFS(Transactions!$H$2:$H$1001,Transactions!$J$2:$J$1001,$A309,Transactions!$A$2:$A$1001,2)*$I309)</f>
        <v/>
      </c>
      <c r="P309" s="291" t="str">
        <f t="shared" si="43"/>
        <v/>
      </c>
      <c r="Q309" s="292" t="str">
        <f t="shared" si="44"/>
        <v/>
      </c>
    </row>
    <row r="310" spans="1:17" ht="15" customHeight="1" x14ac:dyDescent="0.2">
      <c r="A310" s="243" t="str">
        <f>IFERROR(INDEX(Txn[Key],MATCH(0,INDEX(COUNTIF($A$1:A309,Txn[Key])+(Txn[Key]=""),0),0)),"")</f>
        <v/>
      </c>
      <c r="B310" s="243" t="str">
        <f t="shared" si="36"/>
        <v/>
      </c>
      <c r="C310" s="243" t="str">
        <f t="shared" si="37"/>
        <v/>
      </c>
      <c r="D310" s="243" t="str">
        <f t="shared" si="38"/>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39"/>
        <v/>
      </c>
      <c r="K310" s="287" t="str">
        <f t="shared" si="40"/>
        <v/>
      </c>
      <c r="L310" s="287" t="str">
        <f t="shared" si="41"/>
        <v/>
      </c>
      <c r="M310" s="290" t="str">
        <f t="shared" si="42"/>
        <v/>
      </c>
      <c r="N310" s="243" t="str">
        <f>IF($A310="","",IF(ABS(E310)&gt;0.000001,COUNT($N$1:N309)+1,""))</f>
        <v/>
      </c>
      <c r="O310" s="291" t="str">
        <f>IF($A310="","",SUMIFS(Transactions!$H$2:$H$1001,Transactions!$J$2:$J$1001,$A310,Transactions!$A$2:$A$1001,2)*$I310)</f>
        <v/>
      </c>
      <c r="P310" s="291" t="str">
        <f t="shared" si="43"/>
        <v/>
      </c>
      <c r="Q310" s="292" t="str">
        <f t="shared" si="44"/>
        <v/>
      </c>
    </row>
    <row r="311" spans="1:17" ht="15" customHeight="1" x14ac:dyDescent="0.2">
      <c r="A311" s="243" t="str">
        <f>IFERROR(INDEX(Txn[Key],MATCH(0,INDEX(COUNTIF($A$1:A310,Txn[Key])+(Txn[Key]=""),0),0)),"")</f>
        <v/>
      </c>
      <c r="B311" s="243" t="str">
        <f t="shared" si="36"/>
        <v/>
      </c>
      <c r="C311" s="243" t="str">
        <f t="shared" si="37"/>
        <v/>
      </c>
      <c r="D311" s="243" t="str">
        <f t="shared" si="38"/>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39"/>
        <v/>
      </c>
      <c r="K311" s="287" t="str">
        <f t="shared" si="40"/>
        <v/>
      </c>
      <c r="L311" s="287" t="str">
        <f t="shared" si="41"/>
        <v/>
      </c>
      <c r="M311" s="290" t="str">
        <f t="shared" si="42"/>
        <v/>
      </c>
      <c r="N311" s="243" t="str">
        <f>IF($A311="","",IF(ABS(E311)&gt;0.000001,COUNT($N$1:N310)+1,""))</f>
        <v/>
      </c>
      <c r="O311" s="291" t="str">
        <f>IF($A311="","",SUMIFS(Transactions!$H$2:$H$1001,Transactions!$J$2:$J$1001,$A311,Transactions!$A$2:$A$1001,2)*$I311)</f>
        <v/>
      </c>
      <c r="P311" s="291" t="str">
        <f t="shared" si="43"/>
        <v/>
      </c>
      <c r="Q311" s="292" t="str">
        <f t="shared" si="44"/>
        <v/>
      </c>
    </row>
    <row r="312" spans="1:17" ht="15" customHeight="1" x14ac:dyDescent="0.2">
      <c r="A312" s="243" t="str">
        <f>IFERROR(INDEX(Txn[Key],MATCH(0,INDEX(COUNTIF($A$1:A311,Txn[Key])+(Txn[Key]=""),0),0)),"")</f>
        <v/>
      </c>
      <c r="B312" s="243" t="str">
        <f t="shared" si="36"/>
        <v/>
      </c>
      <c r="C312" s="243" t="str">
        <f t="shared" si="37"/>
        <v/>
      </c>
      <c r="D312" s="243" t="str">
        <f t="shared" si="38"/>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39"/>
        <v/>
      </c>
      <c r="K312" s="287" t="str">
        <f t="shared" si="40"/>
        <v/>
      </c>
      <c r="L312" s="287" t="str">
        <f t="shared" si="41"/>
        <v/>
      </c>
      <c r="M312" s="290" t="str">
        <f t="shared" si="42"/>
        <v/>
      </c>
      <c r="N312" s="243" t="str">
        <f>IF($A312="","",IF(ABS(E312)&gt;0.000001,COUNT($N$1:N311)+1,""))</f>
        <v/>
      </c>
      <c r="O312" s="291" t="str">
        <f>IF($A312="","",SUMIFS(Transactions!$H$2:$H$1001,Transactions!$J$2:$J$1001,$A312,Transactions!$A$2:$A$1001,2)*$I312)</f>
        <v/>
      </c>
      <c r="P312" s="291" t="str">
        <f t="shared" si="43"/>
        <v/>
      </c>
      <c r="Q312" s="292" t="str">
        <f t="shared" si="44"/>
        <v/>
      </c>
    </row>
    <row r="313" spans="1:17" ht="15" customHeight="1" x14ac:dyDescent="0.2">
      <c r="A313" s="243" t="str">
        <f>IFERROR(INDEX(Txn[Key],MATCH(0,INDEX(COUNTIF($A$1:A312,Txn[Key])+(Txn[Key]=""),0),0)),"")</f>
        <v/>
      </c>
      <c r="B313" s="243" t="str">
        <f t="shared" si="36"/>
        <v/>
      </c>
      <c r="C313" s="243" t="str">
        <f t="shared" si="37"/>
        <v/>
      </c>
      <c r="D313" s="243" t="str">
        <f t="shared" si="38"/>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39"/>
        <v/>
      </c>
      <c r="K313" s="287" t="str">
        <f t="shared" si="40"/>
        <v/>
      </c>
      <c r="L313" s="287" t="str">
        <f t="shared" si="41"/>
        <v/>
      </c>
      <c r="M313" s="290" t="str">
        <f t="shared" si="42"/>
        <v/>
      </c>
      <c r="N313" s="243" t="str">
        <f>IF($A313="","",IF(ABS(E313)&gt;0.000001,COUNT($N$1:N312)+1,""))</f>
        <v/>
      </c>
      <c r="O313" s="291" t="str">
        <f>IF($A313="","",SUMIFS(Transactions!$H$2:$H$1001,Transactions!$J$2:$J$1001,$A313,Transactions!$A$2:$A$1001,2)*$I313)</f>
        <v/>
      </c>
      <c r="P313" s="291" t="str">
        <f t="shared" si="43"/>
        <v/>
      </c>
      <c r="Q313" s="292" t="str">
        <f t="shared" si="44"/>
        <v/>
      </c>
    </row>
    <row r="314" spans="1:17" ht="15" customHeight="1" x14ac:dyDescent="0.2">
      <c r="A314" s="243" t="str">
        <f>IFERROR(INDEX(Txn[Key],MATCH(0,INDEX(COUNTIF($A$1:A313,Txn[Key])+(Txn[Key]=""),0),0)),"")</f>
        <v/>
      </c>
      <c r="B314" s="243" t="str">
        <f t="shared" si="36"/>
        <v/>
      </c>
      <c r="C314" s="243" t="str">
        <f t="shared" si="37"/>
        <v/>
      </c>
      <c r="D314" s="243" t="str">
        <f t="shared" si="38"/>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39"/>
        <v/>
      </c>
      <c r="K314" s="287" t="str">
        <f t="shared" si="40"/>
        <v/>
      </c>
      <c r="L314" s="287" t="str">
        <f t="shared" si="41"/>
        <v/>
      </c>
      <c r="M314" s="290" t="str">
        <f t="shared" si="42"/>
        <v/>
      </c>
      <c r="N314" s="243" t="str">
        <f>IF($A314="","",IF(ABS(E314)&gt;0.000001,COUNT($N$1:N313)+1,""))</f>
        <v/>
      </c>
      <c r="O314" s="291" t="str">
        <f>IF($A314="","",SUMIFS(Transactions!$H$2:$H$1001,Transactions!$J$2:$J$1001,$A314,Transactions!$A$2:$A$1001,2)*$I314)</f>
        <v/>
      </c>
      <c r="P314" s="291" t="str">
        <f t="shared" si="43"/>
        <v/>
      </c>
      <c r="Q314" s="292" t="str">
        <f t="shared" si="44"/>
        <v/>
      </c>
    </row>
    <row r="315" spans="1:17" ht="15" customHeight="1" x14ac:dyDescent="0.2">
      <c r="A315" s="243" t="str">
        <f>IFERROR(INDEX(Txn[Key],MATCH(0,INDEX(COUNTIF($A$1:A314,Txn[Key])+(Txn[Key]=""),0),0)),"")</f>
        <v/>
      </c>
      <c r="B315" s="243" t="str">
        <f t="shared" si="36"/>
        <v/>
      </c>
      <c r="C315" s="243" t="str">
        <f t="shared" si="37"/>
        <v/>
      </c>
      <c r="D315" s="243" t="str">
        <f t="shared" si="38"/>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39"/>
        <v/>
      </c>
      <c r="K315" s="287" t="str">
        <f t="shared" si="40"/>
        <v/>
      </c>
      <c r="L315" s="287" t="str">
        <f t="shared" si="41"/>
        <v/>
      </c>
      <c r="M315" s="290" t="str">
        <f t="shared" si="42"/>
        <v/>
      </c>
      <c r="N315" s="243" t="str">
        <f>IF($A315="","",IF(ABS(E315)&gt;0.000001,COUNT($N$1:N314)+1,""))</f>
        <v/>
      </c>
      <c r="O315" s="291" t="str">
        <f>IF($A315="","",SUMIFS(Transactions!$H$2:$H$1001,Transactions!$J$2:$J$1001,$A315,Transactions!$A$2:$A$1001,2)*$I315)</f>
        <v/>
      </c>
      <c r="P315" s="291" t="str">
        <f t="shared" si="43"/>
        <v/>
      </c>
      <c r="Q315" s="292" t="str">
        <f t="shared" si="44"/>
        <v/>
      </c>
    </row>
    <row r="316" spans="1:17" ht="15" customHeight="1" x14ac:dyDescent="0.2">
      <c r="A316" s="243" t="str">
        <f>IFERROR(INDEX(Txn[Key],MATCH(0,INDEX(COUNTIF($A$1:A315,Txn[Key])+(Txn[Key]=""),0),0)),"")</f>
        <v/>
      </c>
      <c r="B316" s="243" t="str">
        <f t="shared" si="36"/>
        <v/>
      </c>
      <c r="C316" s="243" t="str">
        <f t="shared" si="37"/>
        <v/>
      </c>
      <c r="D316" s="243" t="str">
        <f t="shared" si="38"/>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39"/>
        <v/>
      </c>
      <c r="K316" s="287" t="str">
        <f t="shared" si="40"/>
        <v/>
      </c>
      <c r="L316" s="287" t="str">
        <f t="shared" si="41"/>
        <v/>
      </c>
      <c r="M316" s="290" t="str">
        <f t="shared" si="42"/>
        <v/>
      </c>
      <c r="N316" s="243" t="str">
        <f>IF($A316="","",IF(ABS(E316)&gt;0.000001,COUNT($N$1:N315)+1,""))</f>
        <v/>
      </c>
      <c r="O316" s="291" t="str">
        <f>IF($A316="","",SUMIFS(Transactions!$H$2:$H$1001,Transactions!$J$2:$J$1001,$A316,Transactions!$A$2:$A$1001,2)*$I316)</f>
        <v/>
      </c>
      <c r="P316" s="291" t="str">
        <f t="shared" si="43"/>
        <v/>
      </c>
      <c r="Q316" s="292" t="str">
        <f t="shared" si="44"/>
        <v/>
      </c>
    </row>
    <row r="317" spans="1:17" ht="15" customHeight="1" x14ac:dyDescent="0.2">
      <c r="A317" s="243" t="str">
        <f>IFERROR(INDEX(Txn[Key],MATCH(0,INDEX(COUNTIF($A$1:A316,Txn[Key])+(Txn[Key]=""),0),0)),"")</f>
        <v/>
      </c>
      <c r="B317" s="243" t="str">
        <f t="shared" si="36"/>
        <v/>
      </c>
      <c r="C317" s="243" t="str">
        <f t="shared" si="37"/>
        <v/>
      </c>
      <c r="D317" s="243" t="str">
        <f t="shared" si="38"/>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39"/>
        <v/>
      </c>
      <c r="K317" s="287" t="str">
        <f t="shared" si="40"/>
        <v/>
      </c>
      <c r="L317" s="287" t="str">
        <f t="shared" si="41"/>
        <v/>
      </c>
      <c r="M317" s="290" t="str">
        <f t="shared" si="42"/>
        <v/>
      </c>
      <c r="N317" s="243" t="str">
        <f>IF($A317="","",IF(ABS(E317)&gt;0.000001,COUNT($N$1:N316)+1,""))</f>
        <v/>
      </c>
      <c r="O317" s="291" t="str">
        <f>IF($A317="","",SUMIFS(Transactions!$H$2:$H$1001,Transactions!$J$2:$J$1001,$A317,Transactions!$A$2:$A$1001,2)*$I317)</f>
        <v/>
      </c>
      <c r="P317" s="291" t="str">
        <f t="shared" si="43"/>
        <v/>
      </c>
      <c r="Q317" s="292" t="str">
        <f t="shared" si="44"/>
        <v/>
      </c>
    </row>
    <row r="318" spans="1:17" ht="15" customHeight="1" x14ac:dyDescent="0.2">
      <c r="A318" s="243" t="str">
        <f>IFERROR(INDEX(Txn[Key],MATCH(0,INDEX(COUNTIF($A$1:A317,Txn[Key])+(Txn[Key]=""),0),0)),"")</f>
        <v/>
      </c>
      <c r="B318" s="243" t="str">
        <f t="shared" si="36"/>
        <v/>
      </c>
      <c r="C318" s="243" t="str">
        <f t="shared" si="37"/>
        <v/>
      </c>
      <c r="D318" s="243" t="str">
        <f t="shared" si="38"/>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39"/>
        <v/>
      </c>
      <c r="K318" s="287" t="str">
        <f t="shared" si="40"/>
        <v/>
      </c>
      <c r="L318" s="287" t="str">
        <f t="shared" si="41"/>
        <v/>
      </c>
      <c r="M318" s="290" t="str">
        <f t="shared" si="42"/>
        <v/>
      </c>
      <c r="N318" s="243" t="str">
        <f>IF($A318="","",IF(ABS(E318)&gt;0.000001,COUNT($N$1:N317)+1,""))</f>
        <v/>
      </c>
      <c r="O318" s="291" t="str">
        <f>IF($A318="","",SUMIFS(Transactions!$H$2:$H$1001,Transactions!$J$2:$J$1001,$A318,Transactions!$A$2:$A$1001,2)*$I318)</f>
        <v/>
      </c>
      <c r="P318" s="291" t="str">
        <f t="shared" si="43"/>
        <v/>
      </c>
      <c r="Q318" s="292" t="str">
        <f t="shared" si="44"/>
        <v/>
      </c>
    </row>
    <row r="319" spans="1:17" ht="15" customHeight="1" x14ac:dyDescent="0.2">
      <c r="A319" s="243" t="str">
        <f>IFERROR(INDEX(Txn[Key],MATCH(0,INDEX(COUNTIF($A$1:A318,Txn[Key])+(Txn[Key]=""),0),0)),"")</f>
        <v/>
      </c>
      <c r="B319" s="243" t="str">
        <f t="shared" si="36"/>
        <v/>
      </c>
      <c r="C319" s="243" t="str">
        <f t="shared" si="37"/>
        <v/>
      </c>
      <c r="D319" s="243" t="str">
        <f t="shared" si="38"/>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39"/>
        <v/>
      </c>
      <c r="K319" s="287" t="str">
        <f t="shared" si="40"/>
        <v/>
      </c>
      <c r="L319" s="287" t="str">
        <f t="shared" si="41"/>
        <v/>
      </c>
      <c r="M319" s="290" t="str">
        <f t="shared" si="42"/>
        <v/>
      </c>
      <c r="N319" s="243" t="str">
        <f>IF($A319="","",IF(ABS(E319)&gt;0.000001,COUNT($N$1:N318)+1,""))</f>
        <v/>
      </c>
      <c r="O319" s="291" t="str">
        <f>IF($A319="","",SUMIFS(Transactions!$H$2:$H$1001,Transactions!$J$2:$J$1001,$A319,Transactions!$A$2:$A$1001,2)*$I319)</f>
        <v/>
      </c>
      <c r="P319" s="291" t="str">
        <f t="shared" si="43"/>
        <v/>
      </c>
      <c r="Q319" s="292" t="str">
        <f t="shared" si="44"/>
        <v/>
      </c>
    </row>
    <row r="320" spans="1:17" ht="15" customHeight="1" x14ac:dyDescent="0.2">
      <c r="A320" s="243" t="str">
        <f>IFERROR(INDEX(Txn[Key],MATCH(0,INDEX(COUNTIF($A$1:A319,Txn[Key])+(Txn[Key]=""),0),0)),"")</f>
        <v/>
      </c>
      <c r="B320" s="243" t="str">
        <f t="shared" si="36"/>
        <v/>
      </c>
      <c r="C320" s="243" t="str">
        <f t="shared" si="37"/>
        <v/>
      </c>
      <c r="D320" s="243" t="str">
        <f t="shared" si="38"/>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39"/>
        <v/>
      </c>
      <c r="K320" s="287" t="str">
        <f t="shared" si="40"/>
        <v/>
      </c>
      <c r="L320" s="287" t="str">
        <f t="shared" si="41"/>
        <v/>
      </c>
      <c r="M320" s="290" t="str">
        <f t="shared" si="42"/>
        <v/>
      </c>
      <c r="N320" s="243" t="str">
        <f>IF($A320="","",IF(ABS(E320)&gt;0.000001,COUNT($N$1:N319)+1,""))</f>
        <v/>
      </c>
      <c r="O320" s="291" t="str">
        <f>IF($A320="","",SUMIFS(Transactions!$H$2:$H$1001,Transactions!$J$2:$J$1001,$A320,Transactions!$A$2:$A$1001,2)*$I320)</f>
        <v/>
      </c>
      <c r="P320" s="291" t="str">
        <f t="shared" si="43"/>
        <v/>
      </c>
      <c r="Q320" s="292" t="str">
        <f t="shared" si="44"/>
        <v/>
      </c>
    </row>
    <row r="321" spans="1:17" ht="15" customHeight="1" x14ac:dyDescent="0.2">
      <c r="A321" s="243" t="str">
        <f>IFERROR(INDEX(Txn[Key],MATCH(0,INDEX(COUNTIF($A$1:A320,Txn[Key])+(Txn[Key]=""),0),0)),"")</f>
        <v/>
      </c>
      <c r="B321" s="243" t="str">
        <f t="shared" si="36"/>
        <v/>
      </c>
      <c r="C321" s="243" t="str">
        <f t="shared" si="37"/>
        <v/>
      </c>
      <c r="D321" s="243" t="str">
        <f t="shared" si="38"/>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39"/>
        <v/>
      </c>
      <c r="K321" s="287" t="str">
        <f t="shared" si="40"/>
        <v/>
      </c>
      <c r="L321" s="287" t="str">
        <f t="shared" si="41"/>
        <v/>
      </c>
      <c r="M321" s="290" t="str">
        <f t="shared" si="42"/>
        <v/>
      </c>
      <c r="N321" s="243" t="str">
        <f>IF($A321="","",IF(ABS(E321)&gt;0.000001,COUNT($N$1:N320)+1,""))</f>
        <v/>
      </c>
      <c r="O321" s="291" t="str">
        <f>IF($A321="","",SUMIFS(Transactions!$H$2:$H$1001,Transactions!$J$2:$J$1001,$A321,Transactions!$A$2:$A$1001,2)*$I321)</f>
        <v/>
      </c>
      <c r="P321" s="291" t="str">
        <f t="shared" si="43"/>
        <v/>
      </c>
      <c r="Q321" s="292" t="str">
        <f t="shared" si="44"/>
        <v/>
      </c>
    </row>
    <row r="322" spans="1:17" ht="15" customHeight="1" x14ac:dyDescent="0.2">
      <c r="A322" s="243" t="str">
        <f>IFERROR(INDEX(Txn[Key],MATCH(0,INDEX(COUNTIF($A$1:A321,Txn[Key])+(Txn[Key]=""),0),0)),"")</f>
        <v/>
      </c>
      <c r="B322" s="243" t="str">
        <f t="shared" ref="B322:B385" si="45">IF($A322="","",LEFT($A322,FIND(":",$A322)-1))</f>
        <v/>
      </c>
      <c r="C322" s="243" t="str">
        <f t="shared" ref="C322:C385" si="46">IF($A322="","",MID($A322,FIND(":",$A322)+1,FIND(":",$A322,FIND(":",$A322)+1)-FIND(":",$A322)-1))</f>
        <v/>
      </c>
      <c r="D322" s="243" t="str">
        <f t="shared" ref="D322:D385" si="47">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48">IF($A322="","",E322*H322)</f>
        <v/>
      </c>
      <c r="K322" s="287" t="str">
        <f t="shared" ref="K322:K385" si="49">IF($A322="","",J322+G322-F322)</f>
        <v/>
      </c>
      <c r="L322" s="287" t="str">
        <f t="shared" ref="L322:L385" si="50">IF($A322="","",K322*I322)</f>
        <v/>
      </c>
      <c r="M322" s="290" t="str">
        <f t="shared" ref="M322:M385" si="51">IF($A322="","",IFERROR(K322/F322,0))</f>
        <v/>
      </c>
      <c r="N322" s="243" t="str">
        <f>IF($A322="","",IF(ABS(E322)&gt;0.000001,COUNT($N$1:N321)+1,""))</f>
        <v/>
      </c>
      <c r="O322" s="291" t="str">
        <f>IF($A322="","",SUMIFS(Transactions!$H$2:$H$1001,Transactions!$J$2:$J$1001,$A322,Transactions!$A$2:$A$1001,2)*$I322)</f>
        <v/>
      </c>
      <c r="P322" s="291" t="str">
        <f t="shared" ref="P322:P385" si="52">IF($A322="","",$L322+$O322)</f>
        <v/>
      </c>
      <c r="Q322" s="292" t="str">
        <f t="shared" ref="Q322:Q385" si="53">IF($A322="","",IFERROR(($L322+$O322)/($F322*$I322),0))</f>
        <v/>
      </c>
    </row>
    <row r="323" spans="1:17" ht="15" customHeight="1" x14ac:dyDescent="0.2">
      <c r="A323" s="243" t="str">
        <f>IFERROR(INDEX(Txn[Key],MATCH(0,INDEX(COUNTIF($A$1:A322,Txn[Key])+(Txn[Key]=""),0),0)),"")</f>
        <v/>
      </c>
      <c r="B323" s="243" t="str">
        <f t="shared" si="45"/>
        <v/>
      </c>
      <c r="C323" s="243" t="str">
        <f t="shared" si="46"/>
        <v/>
      </c>
      <c r="D323" s="243" t="str">
        <f t="shared" si="47"/>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48"/>
        <v/>
      </c>
      <c r="K323" s="287" t="str">
        <f t="shared" si="49"/>
        <v/>
      </c>
      <c r="L323" s="287" t="str">
        <f t="shared" si="50"/>
        <v/>
      </c>
      <c r="M323" s="290" t="str">
        <f t="shared" si="51"/>
        <v/>
      </c>
      <c r="N323" s="243" t="str">
        <f>IF($A323="","",IF(ABS(E323)&gt;0.000001,COUNT($N$1:N322)+1,""))</f>
        <v/>
      </c>
      <c r="O323" s="291" t="str">
        <f>IF($A323="","",SUMIFS(Transactions!$H$2:$H$1001,Transactions!$J$2:$J$1001,$A323,Transactions!$A$2:$A$1001,2)*$I323)</f>
        <v/>
      </c>
      <c r="P323" s="291" t="str">
        <f t="shared" si="52"/>
        <v/>
      </c>
      <c r="Q323" s="292" t="str">
        <f t="shared" si="53"/>
        <v/>
      </c>
    </row>
    <row r="324" spans="1:17" ht="15" customHeight="1" x14ac:dyDescent="0.2">
      <c r="A324" s="243" t="str">
        <f>IFERROR(INDEX(Txn[Key],MATCH(0,INDEX(COUNTIF($A$1:A323,Txn[Key])+(Txn[Key]=""),0),0)),"")</f>
        <v/>
      </c>
      <c r="B324" s="243" t="str">
        <f t="shared" si="45"/>
        <v/>
      </c>
      <c r="C324" s="243" t="str">
        <f t="shared" si="46"/>
        <v/>
      </c>
      <c r="D324" s="243" t="str">
        <f t="shared" si="47"/>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48"/>
        <v/>
      </c>
      <c r="K324" s="287" t="str">
        <f t="shared" si="49"/>
        <v/>
      </c>
      <c r="L324" s="287" t="str">
        <f t="shared" si="50"/>
        <v/>
      </c>
      <c r="M324" s="290" t="str">
        <f t="shared" si="51"/>
        <v/>
      </c>
      <c r="N324" s="243" t="str">
        <f>IF($A324="","",IF(ABS(E324)&gt;0.000001,COUNT($N$1:N323)+1,""))</f>
        <v/>
      </c>
      <c r="O324" s="291" t="str">
        <f>IF($A324="","",SUMIFS(Transactions!$H$2:$H$1001,Transactions!$J$2:$J$1001,$A324,Transactions!$A$2:$A$1001,2)*$I324)</f>
        <v/>
      </c>
      <c r="P324" s="291" t="str">
        <f t="shared" si="52"/>
        <v/>
      </c>
      <c r="Q324" s="292" t="str">
        <f t="shared" si="53"/>
        <v/>
      </c>
    </row>
    <row r="325" spans="1:17" ht="15" customHeight="1" x14ac:dyDescent="0.2">
      <c r="A325" s="243" t="str">
        <f>IFERROR(INDEX(Txn[Key],MATCH(0,INDEX(COUNTIF($A$1:A324,Txn[Key])+(Txn[Key]=""),0),0)),"")</f>
        <v/>
      </c>
      <c r="B325" s="243" t="str">
        <f t="shared" si="45"/>
        <v/>
      </c>
      <c r="C325" s="243" t="str">
        <f t="shared" si="46"/>
        <v/>
      </c>
      <c r="D325" s="243" t="str">
        <f t="shared" si="47"/>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48"/>
        <v/>
      </c>
      <c r="K325" s="287" t="str">
        <f t="shared" si="49"/>
        <v/>
      </c>
      <c r="L325" s="287" t="str">
        <f t="shared" si="50"/>
        <v/>
      </c>
      <c r="M325" s="290" t="str">
        <f t="shared" si="51"/>
        <v/>
      </c>
      <c r="N325" s="243" t="str">
        <f>IF($A325="","",IF(ABS(E325)&gt;0.000001,COUNT($N$1:N324)+1,""))</f>
        <v/>
      </c>
      <c r="O325" s="291" t="str">
        <f>IF($A325="","",SUMIFS(Transactions!$H$2:$H$1001,Transactions!$J$2:$J$1001,$A325,Transactions!$A$2:$A$1001,2)*$I325)</f>
        <v/>
      </c>
      <c r="P325" s="291" t="str">
        <f t="shared" si="52"/>
        <v/>
      </c>
      <c r="Q325" s="292" t="str">
        <f t="shared" si="53"/>
        <v/>
      </c>
    </row>
    <row r="326" spans="1:17" ht="15" customHeight="1" x14ac:dyDescent="0.2">
      <c r="A326" s="243" t="str">
        <f>IFERROR(INDEX(Txn[Key],MATCH(0,INDEX(COUNTIF($A$1:A325,Txn[Key])+(Txn[Key]=""),0),0)),"")</f>
        <v/>
      </c>
      <c r="B326" s="243" t="str">
        <f t="shared" si="45"/>
        <v/>
      </c>
      <c r="C326" s="243" t="str">
        <f t="shared" si="46"/>
        <v/>
      </c>
      <c r="D326" s="243" t="str">
        <f t="shared" si="47"/>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48"/>
        <v/>
      </c>
      <c r="K326" s="287" t="str">
        <f t="shared" si="49"/>
        <v/>
      </c>
      <c r="L326" s="287" t="str">
        <f t="shared" si="50"/>
        <v/>
      </c>
      <c r="M326" s="290" t="str">
        <f t="shared" si="51"/>
        <v/>
      </c>
      <c r="N326" s="243" t="str">
        <f>IF($A326="","",IF(ABS(E326)&gt;0.000001,COUNT($N$1:N325)+1,""))</f>
        <v/>
      </c>
      <c r="O326" s="291" t="str">
        <f>IF($A326="","",SUMIFS(Transactions!$H$2:$H$1001,Transactions!$J$2:$J$1001,$A326,Transactions!$A$2:$A$1001,2)*$I326)</f>
        <v/>
      </c>
      <c r="P326" s="291" t="str">
        <f t="shared" si="52"/>
        <v/>
      </c>
      <c r="Q326" s="292" t="str">
        <f t="shared" si="53"/>
        <v/>
      </c>
    </row>
    <row r="327" spans="1:17" ht="15" customHeight="1" x14ac:dyDescent="0.2">
      <c r="A327" s="243" t="str">
        <f>IFERROR(INDEX(Txn[Key],MATCH(0,INDEX(COUNTIF($A$1:A326,Txn[Key])+(Txn[Key]=""),0),0)),"")</f>
        <v/>
      </c>
      <c r="B327" s="243" t="str">
        <f t="shared" si="45"/>
        <v/>
      </c>
      <c r="C327" s="243" t="str">
        <f t="shared" si="46"/>
        <v/>
      </c>
      <c r="D327" s="243" t="str">
        <f t="shared" si="47"/>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48"/>
        <v/>
      </c>
      <c r="K327" s="287" t="str">
        <f t="shared" si="49"/>
        <v/>
      </c>
      <c r="L327" s="287" t="str">
        <f t="shared" si="50"/>
        <v/>
      </c>
      <c r="M327" s="290" t="str">
        <f t="shared" si="51"/>
        <v/>
      </c>
      <c r="N327" s="243" t="str">
        <f>IF($A327="","",IF(ABS(E327)&gt;0.000001,COUNT($N$1:N326)+1,""))</f>
        <v/>
      </c>
      <c r="O327" s="291" t="str">
        <f>IF($A327="","",SUMIFS(Transactions!$H$2:$H$1001,Transactions!$J$2:$J$1001,$A327,Transactions!$A$2:$A$1001,2)*$I327)</f>
        <v/>
      </c>
      <c r="P327" s="291" t="str">
        <f t="shared" si="52"/>
        <v/>
      </c>
      <c r="Q327" s="292" t="str">
        <f t="shared" si="53"/>
        <v/>
      </c>
    </row>
    <row r="328" spans="1:17" ht="15" customHeight="1" x14ac:dyDescent="0.2">
      <c r="A328" s="243" t="str">
        <f>IFERROR(INDEX(Txn[Key],MATCH(0,INDEX(COUNTIF($A$1:A327,Txn[Key])+(Txn[Key]=""),0),0)),"")</f>
        <v/>
      </c>
      <c r="B328" s="243" t="str">
        <f t="shared" si="45"/>
        <v/>
      </c>
      <c r="C328" s="243" t="str">
        <f t="shared" si="46"/>
        <v/>
      </c>
      <c r="D328" s="243" t="str">
        <f t="shared" si="47"/>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48"/>
        <v/>
      </c>
      <c r="K328" s="287" t="str">
        <f t="shared" si="49"/>
        <v/>
      </c>
      <c r="L328" s="287" t="str">
        <f t="shared" si="50"/>
        <v/>
      </c>
      <c r="M328" s="290" t="str">
        <f t="shared" si="51"/>
        <v/>
      </c>
      <c r="N328" s="243" t="str">
        <f>IF($A328="","",IF(ABS(E328)&gt;0.000001,COUNT($N$1:N327)+1,""))</f>
        <v/>
      </c>
      <c r="O328" s="291" t="str">
        <f>IF($A328="","",SUMIFS(Transactions!$H$2:$H$1001,Transactions!$J$2:$J$1001,$A328,Transactions!$A$2:$A$1001,2)*$I328)</f>
        <v/>
      </c>
      <c r="P328" s="291" t="str">
        <f t="shared" si="52"/>
        <v/>
      </c>
      <c r="Q328" s="292" t="str">
        <f t="shared" si="53"/>
        <v/>
      </c>
    </row>
    <row r="329" spans="1:17" ht="15" customHeight="1" x14ac:dyDescent="0.2">
      <c r="A329" s="243" t="str">
        <f>IFERROR(INDEX(Txn[Key],MATCH(0,INDEX(COUNTIF($A$1:A328,Txn[Key])+(Txn[Key]=""),0),0)),"")</f>
        <v/>
      </c>
      <c r="B329" s="243" t="str">
        <f t="shared" si="45"/>
        <v/>
      </c>
      <c r="C329" s="243" t="str">
        <f t="shared" si="46"/>
        <v/>
      </c>
      <c r="D329" s="243" t="str">
        <f t="shared" si="47"/>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48"/>
        <v/>
      </c>
      <c r="K329" s="287" t="str">
        <f t="shared" si="49"/>
        <v/>
      </c>
      <c r="L329" s="287" t="str">
        <f t="shared" si="50"/>
        <v/>
      </c>
      <c r="M329" s="290" t="str">
        <f t="shared" si="51"/>
        <v/>
      </c>
      <c r="N329" s="243" t="str">
        <f>IF($A329="","",IF(ABS(E329)&gt;0.000001,COUNT($N$1:N328)+1,""))</f>
        <v/>
      </c>
      <c r="O329" s="291" t="str">
        <f>IF($A329="","",SUMIFS(Transactions!$H$2:$H$1001,Transactions!$J$2:$J$1001,$A329,Transactions!$A$2:$A$1001,2)*$I329)</f>
        <v/>
      </c>
      <c r="P329" s="291" t="str">
        <f t="shared" si="52"/>
        <v/>
      </c>
      <c r="Q329" s="292" t="str">
        <f t="shared" si="53"/>
        <v/>
      </c>
    </row>
    <row r="330" spans="1:17" ht="15" customHeight="1" x14ac:dyDescent="0.2">
      <c r="A330" s="243" t="str">
        <f>IFERROR(INDEX(Txn[Key],MATCH(0,INDEX(COUNTIF($A$1:A329,Txn[Key])+(Txn[Key]=""),0),0)),"")</f>
        <v/>
      </c>
      <c r="B330" s="243" t="str">
        <f t="shared" si="45"/>
        <v/>
      </c>
      <c r="C330" s="243" t="str">
        <f t="shared" si="46"/>
        <v/>
      </c>
      <c r="D330" s="243" t="str">
        <f t="shared" si="47"/>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48"/>
        <v/>
      </c>
      <c r="K330" s="287" t="str">
        <f t="shared" si="49"/>
        <v/>
      </c>
      <c r="L330" s="287" t="str">
        <f t="shared" si="50"/>
        <v/>
      </c>
      <c r="M330" s="290" t="str">
        <f t="shared" si="51"/>
        <v/>
      </c>
      <c r="N330" s="243" t="str">
        <f>IF($A330="","",IF(ABS(E330)&gt;0.000001,COUNT($N$1:N329)+1,""))</f>
        <v/>
      </c>
      <c r="O330" s="291" t="str">
        <f>IF($A330="","",SUMIFS(Transactions!$H$2:$H$1001,Transactions!$J$2:$J$1001,$A330,Transactions!$A$2:$A$1001,2)*$I330)</f>
        <v/>
      </c>
      <c r="P330" s="291" t="str">
        <f t="shared" si="52"/>
        <v/>
      </c>
      <c r="Q330" s="292" t="str">
        <f t="shared" si="53"/>
        <v/>
      </c>
    </row>
    <row r="331" spans="1:17" ht="15" customHeight="1" x14ac:dyDescent="0.2">
      <c r="A331" s="243" t="str">
        <f>IFERROR(INDEX(Txn[Key],MATCH(0,INDEX(COUNTIF($A$1:A330,Txn[Key])+(Txn[Key]=""),0),0)),"")</f>
        <v/>
      </c>
      <c r="B331" s="243" t="str">
        <f t="shared" si="45"/>
        <v/>
      </c>
      <c r="C331" s="243" t="str">
        <f t="shared" si="46"/>
        <v/>
      </c>
      <c r="D331" s="243" t="str">
        <f t="shared" si="47"/>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48"/>
        <v/>
      </c>
      <c r="K331" s="287" t="str">
        <f t="shared" si="49"/>
        <v/>
      </c>
      <c r="L331" s="287" t="str">
        <f t="shared" si="50"/>
        <v/>
      </c>
      <c r="M331" s="290" t="str">
        <f t="shared" si="51"/>
        <v/>
      </c>
      <c r="N331" s="243" t="str">
        <f>IF($A331="","",IF(ABS(E331)&gt;0.000001,COUNT($N$1:N330)+1,""))</f>
        <v/>
      </c>
      <c r="O331" s="291" t="str">
        <f>IF($A331="","",SUMIFS(Transactions!$H$2:$H$1001,Transactions!$J$2:$J$1001,$A331,Transactions!$A$2:$A$1001,2)*$I331)</f>
        <v/>
      </c>
      <c r="P331" s="291" t="str">
        <f t="shared" si="52"/>
        <v/>
      </c>
      <c r="Q331" s="292" t="str">
        <f t="shared" si="53"/>
        <v/>
      </c>
    </row>
    <row r="332" spans="1:17" ht="15" customHeight="1" x14ac:dyDescent="0.2">
      <c r="A332" s="243" t="str">
        <f>IFERROR(INDEX(Txn[Key],MATCH(0,INDEX(COUNTIF($A$1:A331,Txn[Key])+(Txn[Key]=""),0),0)),"")</f>
        <v/>
      </c>
      <c r="B332" s="243" t="str">
        <f t="shared" si="45"/>
        <v/>
      </c>
      <c r="C332" s="243" t="str">
        <f t="shared" si="46"/>
        <v/>
      </c>
      <c r="D332" s="243" t="str">
        <f t="shared" si="47"/>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48"/>
        <v/>
      </c>
      <c r="K332" s="287" t="str">
        <f t="shared" si="49"/>
        <v/>
      </c>
      <c r="L332" s="287" t="str">
        <f t="shared" si="50"/>
        <v/>
      </c>
      <c r="M332" s="290" t="str">
        <f t="shared" si="51"/>
        <v/>
      </c>
      <c r="N332" s="243" t="str">
        <f>IF($A332="","",IF(ABS(E332)&gt;0.000001,COUNT($N$1:N331)+1,""))</f>
        <v/>
      </c>
      <c r="O332" s="291" t="str">
        <f>IF($A332="","",SUMIFS(Transactions!$H$2:$H$1001,Transactions!$J$2:$J$1001,$A332,Transactions!$A$2:$A$1001,2)*$I332)</f>
        <v/>
      </c>
      <c r="P332" s="291" t="str">
        <f t="shared" si="52"/>
        <v/>
      </c>
      <c r="Q332" s="292" t="str">
        <f t="shared" si="53"/>
        <v/>
      </c>
    </row>
    <row r="333" spans="1:17" ht="15" customHeight="1" x14ac:dyDescent="0.2">
      <c r="A333" s="243" t="str">
        <f>IFERROR(INDEX(Txn[Key],MATCH(0,INDEX(COUNTIF($A$1:A332,Txn[Key])+(Txn[Key]=""),0),0)),"")</f>
        <v/>
      </c>
      <c r="B333" s="243" t="str">
        <f t="shared" si="45"/>
        <v/>
      </c>
      <c r="C333" s="243" t="str">
        <f t="shared" si="46"/>
        <v/>
      </c>
      <c r="D333" s="243" t="str">
        <f t="shared" si="47"/>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48"/>
        <v/>
      </c>
      <c r="K333" s="287" t="str">
        <f t="shared" si="49"/>
        <v/>
      </c>
      <c r="L333" s="287" t="str">
        <f t="shared" si="50"/>
        <v/>
      </c>
      <c r="M333" s="290" t="str">
        <f t="shared" si="51"/>
        <v/>
      </c>
      <c r="N333" s="243" t="str">
        <f>IF($A333="","",IF(ABS(E333)&gt;0.000001,COUNT($N$1:N332)+1,""))</f>
        <v/>
      </c>
      <c r="O333" s="291" t="str">
        <f>IF($A333="","",SUMIFS(Transactions!$H$2:$H$1001,Transactions!$J$2:$J$1001,$A333,Transactions!$A$2:$A$1001,2)*$I333)</f>
        <v/>
      </c>
      <c r="P333" s="291" t="str">
        <f t="shared" si="52"/>
        <v/>
      </c>
      <c r="Q333" s="292" t="str">
        <f t="shared" si="53"/>
        <v/>
      </c>
    </row>
    <row r="334" spans="1:17" ht="15" customHeight="1" x14ac:dyDescent="0.2">
      <c r="A334" s="243" t="str">
        <f>IFERROR(INDEX(Txn[Key],MATCH(0,INDEX(COUNTIF($A$1:A333,Txn[Key])+(Txn[Key]=""),0),0)),"")</f>
        <v/>
      </c>
      <c r="B334" s="243" t="str">
        <f t="shared" si="45"/>
        <v/>
      </c>
      <c r="C334" s="243" t="str">
        <f t="shared" si="46"/>
        <v/>
      </c>
      <c r="D334" s="243" t="str">
        <f t="shared" si="47"/>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48"/>
        <v/>
      </c>
      <c r="K334" s="287" t="str">
        <f t="shared" si="49"/>
        <v/>
      </c>
      <c r="L334" s="287" t="str">
        <f t="shared" si="50"/>
        <v/>
      </c>
      <c r="M334" s="290" t="str">
        <f t="shared" si="51"/>
        <v/>
      </c>
      <c r="N334" s="243" t="str">
        <f>IF($A334="","",IF(ABS(E334)&gt;0.000001,COUNT($N$1:N333)+1,""))</f>
        <v/>
      </c>
      <c r="O334" s="291" t="str">
        <f>IF($A334="","",SUMIFS(Transactions!$H$2:$H$1001,Transactions!$J$2:$J$1001,$A334,Transactions!$A$2:$A$1001,2)*$I334)</f>
        <v/>
      </c>
      <c r="P334" s="291" t="str">
        <f t="shared" si="52"/>
        <v/>
      </c>
      <c r="Q334" s="292" t="str">
        <f t="shared" si="53"/>
        <v/>
      </c>
    </row>
    <row r="335" spans="1:17" ht="15" customHeight="1" x14ac:dyDescent="0.2">
      <c r="A335" s="243" t="str">
        <f>IFERROR(INDEX(Txn[Key],MATCH(0,INDEX(COUNTIF($A$1:A334,Txn[Key])+(Txn[Key]=""),0),0)),"")</f>
        <v/>
      </c>
      <c r="B335" s="243" t="str">
        <f t="shared" si="45"/>
        <v/>
      </c>
      <c r="C335" s="243" t="str">
        <f t="shared" si="46"/>
        <v/>
      </c>
      <c r="D335" s="243" t="str">
        <f t="shared" si="47"/>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48"/>
        <v/>
      </c>
      <c r="K335" s="287" t="str">
        <f t="shared" si="49"/>
        <v/>
      </c>
      <c r="L335" s="287" t="str">
        <f t="shared" si="50"/>
        <v/>
      </c>
      <c r="M335" s="290" t="str">
        <f t="shared" si="51"/>
        <v/>
      </c>
      <c r="N335" s="243" t="str">
        <f>IF($A335="","",IF(ABS(E335)&gt;0.000001,COUNT($N$1:N334)+1,""))</f>
        <v/>
      </c>
      <c r="O335" s="291" t="str">
        <f>IF($A335="","",SUMIFS(Transactions!$H$2:$H$1001,Transactions!$J$2:$J$1001,$A335,Transactions!$A$2:$A$1001,2)*$I335)</f>
        <v/>
      </c>
      <c r="P335" s="291" t="str">
        <f t="shared" si="52"/>
        <v/>
      </c>
      <c r="Q335" s="292" t="str">
        <f t="shared" si="53"/>
        <v/>
      </c>
    </row>
    <row r="336" spans="1:17" ht="15" customHeight="1" x14ac:dyDescent="0.2">
      <c r="A336" s="243" t="str">
        <f>IFERROR(INDEX(Txn[Key],MATCH(0,INDEX(COUNTIF($A$1:A335,Txn[Key])+(Txn[Key]=""),0),0)),"")</f>
        <v/>
      </c>
      <c r="B336" s="243" t="str">
        <f t="shared" si="45"/>
        <v/>
      </c>
      <c r="C336" s="243" t="str">
        <f t="shared" si="46"/>
        <v/>
      </c>
      <c r="D336" s="243" t="str">
        <f t="shared" si="47"/>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48"/>
        <v/>
      </c>
      <c r="K336" s="287" t="str">
        <f t="shared" si="49"/>
        <v/>
      </c>
      <c r="L336" s="287" t="str">
        <f t="shared" si="50"/>
        <v/>
      </c>
      <c r="M336" s="290" t="str">
        <f t="shared" si="51"/>
        <v/>
      </c>
      <c r="N336" s="243" t="str">
        <f>IF($A336="","",IF(ABS(E336)&gt;0.000001,COUNT($N$1:N335)+1,""))</f>
        <v/>
      </c>
      <c r="O336" s="291" t="str">
        <f>IF($A336="","",SUMIFS(Transactions!$H$2:$H$1001,Transactions!$J$2:$J$1001,$A336,Transactions!$A$2:$A$1001,2)*$I336)</f>
        <v/>
      </c>
      <c r="P336" s="291" t="str">
        <f t="shared" si="52"/>
        <v/>
      </c>
      <c r="Q336" s="292" t="str">
        <f t="shared" si="53"/>
        <v/>
      </c>
    </row>
    <row r="337" spans="1:17" ht="15" customHeight="1" x14ac:dyDescent="0.2">
      <c r="A337" s="243" t="str">
        <f>IFERROR(INDEX(Txn[Key],MATCH(0,INDEX(COUNTIF($A$1:A336,Txn[Key])+(Txn[Key]=""),0),0)),"")</f>
        <v/>
      </c>
      <c r="B337" s="243" t="str">
        <f t="shared" si="45"/>
        <v/>
      </c>
      <c r="C337" s="243" t="str">
        <f t="shared" si="46"/>
        <v/>
      </c>
      <c r="D337" s="243" t="str">
        <f t="shared" si="47"/>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48"/>
        <v/>
      </c>
      <c r="K337" s="287" t="str">
        <f t="shared" si="49"/>
        <v/>
      </c>
      <c r="L337" s="287" t="str">
        <f t="shared" si="50"/>
        <v/>
      </c>
      <c r="M337" s="290" t="str">
        <f t="shared" si="51"/>
        <v/>
      </c>
      <c r="N337" s="243" t="str">
        <f>IF($A337="","",IF(ABS(E337)&gt;0.000001,COUNT($N$1:N336)+1,""))</f>
        <v/>
      </c>
      <c r="O337" s="291" t="str">
        <f>IF($A337="","",SUMIFS(Transactions!$H$2:$H$1001,Transactions!$J$2:$J$1001,$A337,Transactions!$A$2:$A$1001,2)*$I337)</f>
        <v/>
      </c>
      <c r="P337" s="291" t="str">
        <f t="shared" si="52"/>
        <v/>
      </c>
      <c r="Q337" s="292" t="str">
        <f t="shared" si="53"/>
        <v/>
      </c>
    </row>
    <row r="338" spans="1:17" ht="15" customHeight="1" x14ac:dyDescent="0.2">
      <c r="A338" s="243" t="str">
        <f>IFERROR(INDEX(Txn[Key],MATCH(0,INDEX(COUNTIF($A$1:A337,Txn[Key])+(Txn[Key]=""),0),0)),"")</f>
        <v/>
      </c>
      <c r="B338" s="243" t="str">
        <f t="shared" si="45"/>
        <v/>
      </c>
      <c r="C338" s="243" t="str">
        <f t="shared" si="46"/>
        <v/>
      </c>
      <c r="D338" s="243" t="str">
        <f t="shared" si="47"/>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48"/>
        <v/>
      </c>
      <c r="K338" s="287" t="str">
        <f t="shared" si="49"/>
        <v/>
      </c>
      <c r="L338" s="287" t="str">
        <f t="shared" si="50"/>
        <v/>
      </c>
      <c r="M338" s="290" t="str">
        <f t="shared" si="51"/>
        <v/>
      </c>
      <c r="N338" s="243" t="str">
        <f>IF($A338="","",IF(ABS(E338)&gt;0.000001,COUNT($N$1:N337)+1,""))</f>
        <v/>
      </c>
      <c r="O338" s="291" t="str">
        <f>IF($A338="","",SUMIFS(Transactions!$H$2:$H$1001,Transactions!$J$2:$J$1001,$A338,Transactions!$A$2:$A$1001,2)*$I338)</f>
        <v/>
      </c>
      <c r="P338" s="291" t="str">
        <f t="shared" si="52"/>
        <v/>
      </c>
      <c r="Q338" s="292" t="str">
        <f t="shared" si="53"/>
        <v/>
      </c>
    </row>
    <row r="339" spans="1:17" ht="15" customHeight="1" x14ac:dyDescent="0.2">
      <c r="A339" s="243" t="str">
        <f>IFERROR(INDEX(Txn[Key],MATCH(0,INDEX(COUNTIF($A$1:A338,Txn[Key])+(Txn[Key]=""),0),0)),"")</f>
        <v/>
      </c>
      <c r="B339" s="243" t="str">
        <f t="shared" si="45"/>
        <v/>
      </c>
      <c r="C339" s="243" t="str">
        <f t="shared" si="46"/>
        <v/>
      </c>
      <c r="D339" s="243" t="str">
        <f t="shared" si="47"/>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48"/>
        <v/>
      </c>
      <c r="K339" s="287" t="str">
        <f t="shared" si="49"/>
        <v/>
      </c>
      <c r="L339" s="287" t="str">
        <f t="shared" si="50"/>
        <v/>
      </c>
      <c r="M339" s="290" t="str">
        <f t="shared" si="51"/>
        <v/>
      </c>
      <c r="N339" s="243" t="str">
        <f>IF($A339="","",IF(ABS(E339)&gt;0.000001,COUNT($N$1:N338)+1,""))</f>
        <v/>
      </c>
      <c r="O339" s="291" t="str">
        <f>IF($A339="","",SUMIFS(Transactions!$H$2:$H$1001,Transactions!$J$2:$J$1001,$A339,Transactions!$A$2:$A$1001,2)*$I339)</f>
        <v/>
      </c>
      <c r="P339" s="291" t="str">
        <f t="shared" si="52"/>
        <v/>
      </c>
      <c r="Q339" s="292" t="str">
        <f t="shared" si="53"/>
        <v/>
      </c>
    </row>
    <row r="340" spans="1:17" ht="15" customHeight="1" x14ac:dyDescent="0.2">
      <c r="A340" s="243" t="str">
        <f>IFERROR(INDEX(Txn[Key],MATCH(0,INDEX(COUNTIF($A$1:A339,Txn[Key])+(Txn[Key]=""),0),0)),"")</f>
        <v/>
      </c>
      <c r="B340" s="243" t="str">
        <f t="shared" si="45"/>
        <v/>
      </c>
      <c r="C340" s="243" t="str">
        <f t="shared" si="46"/>
        <v/>
      </c>
      <c r="D340" s="243" t="str">
        <f t="shared" si="47"/>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48"/>
        <v/>
      </c>
      <c r="K340" s="287" t="str">
        <f t="shared" si="49"/>
        <v/>
      </c>
      <c r="L340" s="287" t="str">
        <f t="shared" si="50"/>
        <v/>
      </c>
      <c r="M340" s="290" t="str">
        <f t="shared" si="51"/>
        <v/>
      </c>
      <c r="N340" s="243" t="str">
        <f>IF($A340="","",IF(ABS(E340)&gt;0.000001,COUNT($N$1:N339)+1,""))</f>
        <v/>
      </c>
      <c r="O340" s="291" t="str">
        <f>IF($A340="","",SUMIFS(Transactions!$H$2:$H$1001,Transactions!$J$2:$J$1001,$A340,Transactions!$A$2:$A$1001,2)*$I340)</f>
        <v/>
      </c>
      <c r="P340" s="291" t="str">
        <f t="shared" si="52"/>
        <v/>
      </c>
      <c r="Q340" s="292" t="str">
        <f t="shared" si="53"/>
        <v/>
      </c>
    </row>
    <row r="341" spans="1:17" ht="15" customHeight="1" x14ac:dyDescent="0.2">
      <c r="A341" s="243" t="str">
        <f>IFERROR(INDEX(Txn[Key],MATCH(0,INDEX(COUNTIF($A$1:A340,Txn[Key])+(Txn[Key]=""),0),0)),"")</f>
        <v/>
      </c>
      <c r="B341" s="243" t="str">
        <f t="shared" si="45"/>
        <v/>
      </c>
      <c r="C341" s="243" t="str">
        <f t="shared" si="46"/>
        <v/>
      </c>
      <c r="D341" s="243" t="str">
        <f t="shared" si="47"/>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48"/>
        <v/>
      </c>
      <c r="K341" s="287" t="str">
        <f t="shared" si="49"/>
        <v/>
      </c>
      <c r="L341" s="287" t="str">
        <f t="shared" si="50"/>
        <v/>
      </c>
      <c r="M341" s="290" t="str">
        <f t="shared" si="51"/>
        <v/>
      </c>
      <c r="N341" s="243" t="str">
        <f>IF($A341="","",IF(ABS(E341)&gt;0.000001,COUNT($N$1:N340)+1,""))</f>
        <v/>
      </c>
      <c r="O341" s="291" t="str">
        <f>IF($A341="","",SUMIFS(Transactions!$H$2:$H$1001,Transactions!$J$2:$J$1001,$A341,Transactions!$A$2:$A$1001,2)*$I341)</f>
        <v/>
      </c>
      <c r="P341" s="291" t="str">
        <f t="shared" si="52"/>
        <v/>
      </c>
      <c r="Q341" s="292" t="str">
        <f t="shared" si="53"/>
        <v/>
      </c>
    </row>
    <row r="342" spans="1:17" ht="15" customHeight="1" x14ac:dyDescent="0.2">
      <c r="A342" s="243" t="str">
        <f>IFERROR(INDEX(Txn[Key],MATCH(0,INDEX(COUNTIF($A$1:A341,Txn[Key])+(Txn[Key]=""),0),0)),"")</f>
        <v/>
      </c>
      <c r="B342" s="243" t="str">
        <f t="shared" si="45"/>
        <v/>
      </c>
      <c r="C342" s="243" t="str">
        <f t="shared" si="46"/>
        <v/>
      </c>
      <c r="D342" s="243" t="str">
        <f t="shared" si="47"/>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48"/>
        <v/>
      </c>
      <c r="K342" s="287" t="str">
        <f t="shared" si="49"/>
        <v/>
      </c>
      <c r="L342" s="287" t="str">
        <f t="shared" si="50"/>
        <v/>
      </c>
      <c r="M342" s="290" t="str">
        <f t="shared" si="51"/>
        <v/>
      </c>
      <c r="N342" s="243" t="str">
        <f>IF($A342="","",IF(ABS(E342)&gt;0.000001,COUNT($N$1:N341)+1,""))</f>
        <v/>
      </c>
      <c r="O342" s="291" t="str">
        <f>IF($A342="","",SUMIFS(Transactions!$H$2:$H$1001,Transactions!$J$2:$J$1001,$A342,Transactions!$A$2:$A$1001,2)*$I342)</f>
        <v/>
      </c>
      <c r="P342" s="291" t="str">
        <f t="shared" si="52"/>
        <v/>
      </c>
      <c r="Q342" s="292" t="str">
        <f t="shared" si="53"/>
        <v/>
      </c>
    </row>
    <row r="343" spans="1:17" ht="15" customHeight="1" x14ac:dyDescent="0.2">
      <c r="A343" s="243" t="str">
        <f>IFERROR(INDEX(Txn[Key],MATCH(0,INDEX(COUNTIF($A$1:A342,Txn[Key])+(Txn[Key]=""),0),0)),"")</f>
        <v/>
      </c>
      <c r="B343" s="243" t="str">
        <f t="shared" si="45"/>
        <v/>
      </c>
      <c r="C343" s="243" t="str">
        <f t="shared" si="46"/>
        <v/>
      </c>
      <c r="D343" s="243" t="str">
        <f t="shared" si="47"/>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48"/>
        <v/>
      </c>
      <c r="K343" s="287" t="str">
        <f t="shared" si="49"/>
        <v/>
      </c>
      <c r="L343" s="287" t="str">
        <f t="shared" si="50"/>
        <v/>
      </c>
      <c r="M343" s="290" t="str">
        <f t="shared" si="51"/>
        <v/>
      </c>
      <c r="N343" s="243" t="str">
        <f>IF($A343="","",IF(ABS(E343)&gt;0.000001,COUNT($N$1:N342)+1,""))</f>
        <v/>
      </c>
      <c r="O343" s="291" t="str">
        <f>IF($A343="","",SUMIFS(Transactions!$H$2:$H$1001,Transactions!$J$2:$J$1001,$A343,Transactions!$A$2:$A$1001,2)*$I343)</f>
        <v/>
      </c>
      <c r="P343" s="291" t="str">
        <f t="shared" si="52"/>
        <v/>
      </c>
      <c r="Q343" s="292" t="str">
        <f t="shared" si="53"/>
        <v/>
      </c>
    </row>
    <row r="344" spans="1:17" ht="15" customHeight="1" x14ac:dyDescent="0.2">
      <c r="A344" s="243" t="str">
        <f>IFERROR(INDEX(Txn[Key],MATCH(0,INDEX(COUNTIF($A$1:A343,Txn[Key])+(Txn[Key]=""),0),0)),"")</f>
        <v/>
      </c>
      <c r="B344" s="243" t="str">
        <f t="shared" si="45"/>
        <v/>
      </c>
      <c r="C344" s="243" t="str">
        <f t="shared" si="46"/>
        <v/>
      </c>
      <c r="D344" s="243" t="str">
        <f t="shared" si="47"/>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48"/>
        <v/>
      </c>
      <c r="K344" s="287" t="str">
        <f t="shared" si="49"/>
        <v/>
      </c>
      <c r="L344" s="287" t="str">
        <f t="shared" si="50"/>
        <v/>
      </c>
      <c r="M344" s="290" t="str">
        <f t="shared" si="51"/>
        <v/>
      </c>
      <c r="N344" s="243" t="str">
        <f>IF($A344="","",IF(ABS(E344)&gt;0.000001,COUNT($N$1:N343)+1,""))</f>
        <v/>
      </c>
      <c r="O344" s="291" t="str">
        <f>IF($A344="","",SUMIFS(Transactions!$H$2:$H$1001,Transactions!$J$2:$J$1001,$A344,Transactions!$A$2:$A$1001,2)*$I344)</f>
        <v/>
      </c>
      <c r="P344" s="291" t="str">
        <f t="shared" si="52"/>
        <v/>
      </c>
      <c r="Q344" s="292" t="str">
        <f t="shared" si="53"/>
        <v/>
      </c>
    </row>
    <row r="345" spans="1:17" ht="15" customHeight="1" x14ac:dyDescent="0.2">
      <c r="A345" s="243" t="str">
        <f>IFERROR(INDEX(Txn[Key],MATCH(0,INDEX(COUNTIF($A$1:A344,Txn[Key])+(Txn[Key]=""),0),0)),"")</f>
        <v/>
      </c>
      <c r="B345" s="243" t="str">
        <f t="shared" si="45"/>
        <v/>
      </c>
      <c r="C345" s="243" t="str">
        <f t="shared" si="46"/>
        <v/>
      </c>
      <c r="D345" s="243" t="str">
        <f t="shared" si="47"/>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48"/>
        <v/>
      </c>
      <c r="K345" s="287" t="str">
        <f t="shared" si="49"/>
        <v/>
      </c>
      <c r="L345" s="287" t="str">
        <f t="shared" si="50"/>
        <v/>
      </c>
      <c r="M345" s="290" t="str">
        <f t="shared" si="51"/>
        <v/>
      </c>
      <c r="N345" s="243" t="str">
        <f>IF($A345="","",IF(ABS(E345)&gt;0.000001,COUNT($N$1:N344)+1,""))</f>
        <v/>
      </c>
      <c r="O345" s="291" t="str">
        <f>IF($A345="","",SUMIFS(Transactions!$H$2:$H$1001,Transactions!$J$2:$J$1001,$A345,Transactions!$A$2:$A$1001,2)*$I345)</f>
        <v/>
      </c>
      <c r="P345" s="291" t="str">
        <f t="shared" si="52"/>
        <v/>
      </c>
      <c r="Q345" s="292" t="str">
        <f t="shared" si="53"/>
        <v/>
      </c>
    </row>
    <row r="346" spans="1:17" ht="15" customHeight="1" x14ac:dyDescent="0.2">
      <c r="A346" s="243" t="str">
        <f>IFERROR(INDEX(Txn[Key],MATCH(0,INDEX(COUNTIF($A$1:A345,Txn[Key])+(Txn[Key]=""),0),0)),"")</f>
        <v/>
      </c>
      <c r="B346" s="243" t="str">
        <f t="shared" si="45"/>
        <v/>
      </c>
      <c r="C346" s="243" t="str">
        <f t="shared" si="46"/>
        <v/>
      </c>
      <c r="D346" s="243" t="str">
        <f t="shared" si="47"/>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48"/>
        <v/>
      </c>
      <c r="K346" s="287" t="str">
        <f t="shared" si="49"/>
        <v/>
      </c>
      <c r="L346" s="287" t="str">
        <f t="shared" si="50"/>
        <v/>
      </c>
      <c r="M346" s="290" t="str">
        <f t="shared" si="51"/>
        <v/>
      </c>
      <c r="N346" s="243" t="str">
        <f>IF($A346="","",IF(ABS(E346)&gt;0.000001,COUNT($N$1:N345)+1,""))</f>
        <v/>
      </c>
      <c r="O346" s="291" t="str">
        <f>IF($A346="","",SUMIFS(Transactions!$H$2:$H$1001,Transactions!$J$2:$J$1001,$A346,Transactions!$A$2:$A$1001,2)*$I346)</f>
        <v/>
      </c>
      <c r="P346" s="291" t="str">
        <f t="shared" si="52"/>
        <v/>
      </c>
      <c r="Q346" s="292" t="str">
        <f t="shared" si="53"/>
        <v/>
      </c>
    </row>
    <row r="347" spans="1:17" ht="15" customHeight="1" x14ac:dyDescent="0.2">
      <c r="A347" s="243" t="str">
        <f>IFERROR(INDEX(Txn[Key],MATCH(0,INDEX(COUNTIF($A$1:A346,Txn[Key])+(Txn[Key]=""),0),0)),"")</f>
        <v/>
      </c>
      <c r="B347" s="243" t="str">
        <f t="shared" si="45"/>
        <v/>
      </c>
      <c r="C347" s="243" t="str">
        <f t="shared" si="46"/>
        <v/>
      </c>
      <c r="D347" s="243" t="str">
        <f t="shared" si="47"/>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48"/>
        <v/>
      </c>
      <c r="K347" s="287" t="str">
        <f t="shared" si="49"/>
        <v/>
      </c>
      <c r="L347" s="287" t="str">
        <f t="shared" si="50"/>
        <v/>
      </c>
      <c r="M347" s="290" t="str">
        <f t="shared" si="51"/>
        <v/>
      </c>
      <c r="N347" s="243" t="str">
        <f>IF($A347="","",IF(ABS(E347)&gt;0.000001,COUNT($N$1:N346)+1,""))</f>
        <v/>
      </c>
      <c r="O347" s="291" t="str">
        <f>IF($A347="","",SUMIFS(Transactions!$H$2:$H$1001,Transactions!$J$2:$J$1001,$A347,Transactions!$A$2:$A$1001,2)*$I347)</f>
        <v/>
      </c>
      <c r="P347" s="291" t="str">
        <f t="shared" si="52"/>
        <v/>
      </c>
      <c r="Q347" s="292" t="str">
        <f t="shared" si="53"/>
        <v/>
      </c>
    </row>
    <row r="348" spans="1:17" ht="15" customHeight="1" x14ac:dyDescent="0.2">
      <c r="A348" s="243" t="str">
        <f>IFERROR(INDEX(Txn[Key],MATCH(0,INDEX(COUNTIF($A$1:A347,Txn[Key])+(Txn[Key]=""),0),0)),"")</f>
        <v/>
      </c>
      <c r="B348" s="243" t="str">
        <f t="shared" si="45"/>
        <v/>
      </c>
      <c r="C348" s="243" t="str">
        <f t="shared" si="46"/>
        <v/>
      </c>
      <c r="D348" s="243" t="str">
        <f t="shared" si="47"/>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48"/>
        <v/>
      </c>
      <c r="K348" s="287" t="str">
        <f t="shared" si="49"/>
        <v/>
      </c>
      <c r="L348" s="287" t="str">
        <f t="shared" si="50"/>
        <v/>
      </c>
      <c r="M348" s="290" t="str">
        <f t="shared" si="51"/>
        <v/>
      </c>
      <c r="N348" s="243" t="str">
        <f>IF($A348="","",IF(ABS(E348)&gt;0.000001,COUNT($N$1:N347)+1,""))</f>
        <v/>
      </c>
      <c r="O348" s="291" t="str">
        <f>IF($A348="","",SUMIFS(Transactions!$H$2:$H$1001,Transactions!$J$2:$J$1001,$A348,Transactions!$A$2:$A$1001,2)*$I348)</f>
        <v/>
      </c>
      <c r="P348" s="291" t="str">
        <f t="shared" si="52"/>
        <v/>
      </c>
      <c r="Q348" s="292" t="str">
        <f t="shared" si="53"/>
        <v/>
      </c>
    </row>
    <row r="349" spans="1:17" ht="15" customHeight="1" x14ac:dyDescent="0.2">
      <c r="A349" s="243" t="str">
        <f>IFERROR(INDEX(Txn[Key],MATCH(0,INDEX(COUNTIF($A$1:A348,Txn[Key])+(Txn[Key]=""),0),0)),"")</f>
        <v/>
      </c>
      <c r="B349" s="243" t="str">
        <f t="shared" si="45"/>
        <v/>
      </c>
      <c r="C349" s="243" t="str">
        <f t="shared" si="46"/>
        <v/>
      </c>
      <c r="D349" s="243" t="str">
        <f t="shared" si="47"/>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48"/>
        <v/>
      </c>
      <c r="K349" s="287" t="str">
        <f t="shared" si="49"/>
        <v/>
      </c>
      <c r="L349" s="287" t="str">
        <f t="shared" si="50"/>
        <v/>
      </c>
      <c r="M349" s="290" t="str">
        <f t="shared" si="51"/>
        <v/>
      </c>
      <c r="N349" s="243" t="str">
        <f>IF($A349="","",IF(ABS(E349)&gt;0.000001,COUNT($N$1:N348)+1,""))</f>
        <v/>
      </c>
      <c r="O349" s="291" t="str">
        <f>IF($A349="","",SUMIFS(Transactions!$H$2:$H$1001,Transactions!$J$2:$J$1001,$A349,Transactions!$A$2:$A$1001,2)*$I349)</f>
        <v/>
      </c>
      <c r="P349" s="291" t="str">
        <f t="shared" si="52"/>
        <v/>
      </c>
      <c r="Q349" s="292" t="str">
        <f t="shared" si="53"/>
        <v/>
      </c>
    </row>
    <row r="350" spans="1:17" ht="15" customHeight="1" x14ac:dyDescent="0.2">
      <c r="A350" s="243" t="str">
        <f>IFERROR(INDEX(Txn[Key],MATCH(0,INDEX(COUNTIF($A$1:A349,Txn[Key])+(Txn[Key]=""),0),0)),"")</f>
        <v/>
      </c>
      <c r="B350" s="243" t="str">
        <f t="shared" si="45"/>
        <v/>
      </c>
      <c r="C350" s="243" t="str">
        <f t="shared" si="46"/>
        <v/>
      </c>
      <c r="D350" s="243" t="str">
        <f t="shared" si="47"/>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48"/>
        <v/>
      </c>
      <c r="K350" s="287" t="str">
        <f t="shared" si="49"/>
        <v/>
      </c>
      <c r="L350" s="287" t="str">
        <f t="shared" si="50"/>
        <v/>
      </c>
      <c r="M350" s="290" t="str">
        <f t="shared" si="51"/>
        <v/>
      </c>
      <c r="N350" s="243" t="str">
        <f>IF($A350="","",IF(ABS(E350)&gt;0.000001,COUNT($N$1:N349)+1,""))</f>
        <v/>
      </c>
      <c r="O350" s="291" t="str">
        <f>IF($A350="","",SUMIFS(Transactions!$H$2:$H$1001,Transactions!$J$2:$J$1001,$A350,Transactions!$A$2:$A$1001,2)*$I350)</f>
        <v/>
      </c>
      <c r="P350" s="291" t="str">
        <f t="shared" si="52"/>
        <v/>
      </c>
      <c r="Q350" s="292" t="str">
        <f t="shared" si="53"/>
        <v/>
      </c>
    </row>
    <row r="351" spans="1:17" ht="15" customHeight="1" x14ac:dyDescent="0.2">
      <c r="A351" s="243" t="str">
        <f>IFERROR(INDEX(Txn[Key],MATCH(0,INDEX(COUNTIF($A$1:A350,Txn[Key])+(Txn[Key]=""),0),0)),"")</f>
        <v/>
      </c>
      <c r="B351" s="243" t="str">
        <f t="shared" si="45"/>
        <v/>
      </c>
      <c r="C351" s="243" t="str">
        <f t="shared" si="46"/>
        <v/>
      </c>
      <c r="D351" s="243" t="str">
        <f t="shared" si="47"/>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48"/>
        <v/>
      </c>
      <c r="K351" s="287" t="str">
        <f t="shared" si="49"/>
        <v/>
      </c>
      <c r="L351" s="287" t="str">
        <f t="shared" si="50"/>
        <v/>
      </c>
      <c r="M351" s="290" t="str">
        <f t="shared" si="51"/>
        <v/>
      </c>
      <c r="N351" s="243" t="str">
        <f>IF($A351="","",IF(ABS(E351)&gt;0.000001,COUNT($N$1:N350)+1,""))</f>
        <v/>
      </c>
      <c r="O351" s="291" t="str">
        <f>IF($A351="","",SUMIFS(Transactions!$H$2:$H$1001,Transactions!$J$2:$J$1001,$A351,Transactions!$A$2:$A$1001,2)*$I351)</f>
        <v/>
      </c>
      <c r="P351" s="291" t="str">
        <f t="shared" si="52"/>
        <v/>
      </c>
      <c r="Q351" s="292" t="str">
        <f t="shared" si="53"/>
        <v/>
      </c>
    </row>
    <row r="352" spans="1:17" ht="15" customHeight="1" x14ac:dyDescent="0.2">
      <c r="A352" s="243" t="str">
        <f>IFERROR(INDEX(Txn[Key],MATCH(0,INDEX(COUNTIF($A$1:A351,Txn[Key])+(Txn[Key]=""),0),0)),"")</f>
        <v/>
      </c>
      <c r="B352" s="243" t="str">
        <f t="shared" si="45"/>
        <v/>
      </c>
      <c r="C352" s="243" t="str">
        <f t="shared" si="46"/>
        <v/>
      </c>
      <c r="D352" s="243" t="str">
        <f t="shared" si="47"/>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48"/>
        <v/>
      </c>
      <c r="K352" s="287" t="str">
        <f t="shared" si="49"/>
        <v/>
      </c>
      <c r="L352" s="287" t="str">
        <f t="shared" si="50"/>
        <v/>
      </c>
      <c r="M352" s="290" t="str">
        <f t="shared" si="51"/>
        <v/>
      </c>
      <c r="N352" s="243" t="str">
        <f>IF($A352="","",IF(ABS(E352)&gt;0.000001,COUNT($N$1:N351)+1,""))</f>
        <v/>
      </c>
      <c r="O352" s="291" t="str">
        <f>IF($A352="","",SUMIFS(Transactions!$H$2:$H$1001,Transactions!$J$2:$J$1001,$A352,Transactions!$A$2:$A$1001,2)*$I352)</f>
        <v/>
      </c>
      <c r="P352" s="291" t="str">
        <f t="shared" si="52"/>
        <v/>
      </c>
      <c r="Q352" s="292" t="str">
        <f t="shared" si="53"/>
        <v/>
      </c>
    </row>
    <row r="353" spans="1:17" ht="15" customHeight="1" x14ac:dyDescent="0.2">
      <c r="A353" s="243" t="str">
        <f>IFERROR(INDEX(Txn[Key],MATCH(0,INDEX(COUNTIF($A$1:A352,Txn[Key])+(Txn[Key]=""),0),0)),"")</f>
        <v/>
      </c>
      <c r="B353" s="243" t="str">
        <f t="shared" si="45"/>
        <v/>
      </c>
      <c r="C353" s="243" t="str">
        <f t="shared" si="46"/>
        <v/>
      </c>
      <c r="D353" s="243" t="str">
        <f t="shared" si="47"/>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48"/>
        <v/>
      </c>
      <c r="K353" s="287" t="str">
        <f t="shared" si="49"/>
        <v/>
      </c>
      <c r="L353" s="287" t="str">
        <f t="shared" si="50"/>
        <v/>
      </c>
      <c r="M353" s="290" t="str">
        <f t="shared" si="51"/>
        <v/>
      </c>
      <c r="N353" s="243" t="str">
        <f>IF($A353="","",IF(ABS(E353)&gt;0.000001,COUNT($N$1:N352)+1,""))</f>
        <v/>
      </c>
      <c r="O353" s="291" t="str">
        <f>IF($A353="","",SUMIFS(Transactions!$H$2:$H$1001,Transactions!$J$2:$J$1001,$A353,Transactions!$A$2:$A$1001,2)*$I353)</f>
        <v/>
      </c>
      <c r="P353" s="291" t="str">
        <f t="shared" si="52"/>
        <v/>
      </c>
      <c r="Q353" s="292" t="str">
        <f t="shared" si="53"/>
        <v/>
      </c>
    </row>
    <row r="354" spans="1:17" ht="15" customHeight="1" x14ac:dyDescent="0.2">
      <c r="A354" s="243" t="str">
        <f>IFERROR(INDEX(Txn[Key],MATCH(0,INDEX(COUNTIF($A$1:A353,Txn[Key])+(Txn[Key]=""),0),0)),"")</f>
        <v/>
      </c>
      <c r="B354" s="243" t="str">
        <f t="shared" si="45"/>
        <v/>
      </c>
      <c r="C354" s="243" t="str">
        <f t="shared" si="46"/>
        <v/>
      </c>
      <c r="D354" s="243" t="str">
        <f t="shared" si="47"/>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48"/>
        <v/>
      </c>
      <c r="K354" s="287" t="str">
        <f t="shared" si="49"/>
        <v/>
      </c>
      <c r="L354" s="287" t="str">
        <f t="shared" si="50"/>
        <v/>
      </c>
      <c r="M354" s="290" t="str">
        <f t="shared" si="51"/>
        <v/>
      </c>
      <c r="N354" s="243" t="str">
        <f>IF($A354="","",IF(ABS(E354)&gt;0.000001,COUNT($N$1:N353)+1,""))</f>
        <v/>
      </c>
      <c r="O354" s="291" t="str">
        <f>IF($A354="","",SUMIFS(Transactions!$H$2:$H$1001,Transactions!$J$2:$J$1001,$A354,Transactions!$A$2:$A$1001,2)*$I354)</f>
        <v/>
      </c>
      <c r="P354" s="291" t="str">
        <f t="shared" si="52"/>
        <v/>
      </c>
      <c r="Q354" s="292" t="str">
        <f t="shared" si="53"/>
        <v/>
      </c>
    </row>
    <row r="355" spans="1:17" ht="15" customHeight="1" x14ac:dyDescent="0.2">
      <c r="A355" s="243" t="str">
        <f>IFERROR(INDEX(Txn[Key],MATCH(0,INDEX(COUNTIF($A$1:A354,Txn[Key])+(Txn[Key]=""),0),0)),"")</f>
        <v/>
      </c>
      <c r="B355" s="243" t="str">
        <f t="shared" si="45"/>
        <v/>
      </c>
      <c r="C355" s="243" t="str">
        <f t="shared" si="46"/>
        <v/>
      </c>
      <c r="D355" s="243" t="str">
        <f t="shared" si="47"/>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48"/>
        <v/>
      </c>
      <c r="K355" s="287" t="str">
        <f t="shared" si="49"/>
        <v/>
      </c>
      <c r="L355" s="287" t="str">
        <f t="shared" si="50"/>
        <v/>
      </c>
      <c r="M355" s="290" t="str">
        <f t="shared" si="51"/>
        <v/>
      </c>
      <c r="N355" s="243" t="str">
        <f>IF($A355="","",IF(ABS(E355)&gt;0.000001,COUNT($N$1:N354)+1,""))</f>
        <v/>
      </c>
      <c r="O355" s="291" t="str">
        <f>IF($A355="","",SUMIFS(Transactions!$H$2:$H$1001,Transactions!$J$2:$J$1001,$A355,Transactions!$A$2:$A$1001,2)*$I355)</f>
        <v/>
      </c>
      <c r="P355" s="291" t="str">
        <f t="shared" si="52"/>
        <v/>
      </c>
      <c r="Q355" s="292" t="str">
        <f t="shared" si="53"/>
        <v/>
      </c>
    </row>
    <row r="356" spans="1:17" ht="15" customHeight="1" x14ac:dyDescent="0.2">
      <c r="A356" s="243" t="str">
        <f>IFERROR(INDEX(Txn[Key],MATCH(0,INDEX(COUNTIF($A$1:A355,Txn[Key])+(Txn[Key]=""),0),0)),"")</f>
        <v/>
      </c>
      <c r="B356" s="243" t="str">
        <f t="shared" si="45"/>
        <v/>
      </c>
      <c r="C356" s="243" t="str">
        <f t="shared" si="46"/>
        <v/>
      </c>
      <c r="D356" s="243" t="str">
        <f t="shared" si="47"/>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48"/>
        <v/>
      </c>
      <c r="K356" s="287" t="str">
        <f t="shared" si="49"/>
        <v/>
      </c>
      <c r="L356" s="287" t="str">
        <f t="shared" si="50"/>
        <v/>
      </c>
      <c r="M356" s="290" t="str">
        <f t="shared" si="51"/>
        <v/>
      </c>
      <c r="N356" s="243" t="str">
        <f>IF($A356="","",IF(ABS(E356)&gt;0.000001,COUNT($N$1:N355)+1,""))</f>
        <v/>
      </c>
      <c r="O356" s="291" t="str">
        <f>IF($A356="","",SUMIFS(Transactions!$H$2:$H$1001,Transactions!$J$2:$J$1001,$A356,Transactions!$A$2:$A$1001,2)*$I356)</f>
        <v/>
      </c>
      <c r="P356" s="291" t="str">
        <f t="shared" si="52"/>
        <v/>
      </c>
      <c r="Q356" s="292" t="str">
        <f t="shared" si="53"/>
        <v/>
      </c>
    </row>
    <row r="357" spans="1:17" ht="15" customHeight="1" x14ac:dyDescent="0.2">
      <c r="A357" s="243" t="str">
        <f>IFERROR(INDEX(Txn[Key],MATCH(0,INDEX(COUNTIF($A$1:A356,Txn[Key])+(Txn[Key]=""),0),0)),"")</f>
        <v/>
      </c>
      <c r="B357" s="243" t="str">
        <f t="shared" si="45"/>
        <v/>
      </c>
      <c r="C357" s="243" t="str">
        <f t="shared" si="46"/>
        <v/>
      </c>
      <c r="D357" s="243" t="str">
        <f t="shared" si="47"/>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48"/>
        <v/>
      </c>
      <c r="K357" s="287" t="str">
        <f t="shared" si="49"/>
        <v/>
      </c>
      <c r="L357" s="287" t="str">
        <f t="shared" si="50"/>
        <v/>
      </c>
      <c r="M357" s="290" t="str">
        <f t="shared" si="51"/>
        <v/>
      </c>
      <c r="N357" s="243" t="str">
        <f>IF($A357="","",IF(ABS(E357)&gt;0.000001,COUNT($N$1:N356)+1,""))</f>
        <v/>
      </c>
      <c r="O357" s="291" t="str">
        <f>IF($A357="","",SUMIFS(Transactions!$H$2:$H$1001,Transactions!$J$2:$J$1001,$A357,Transactions!$A$2:$A$1001,2)*$I357)</f>
        <v/>
      </c>
      <c r="P357" s="291" t="str">
        <f t="shared" si="52"/>
        <v/>
      </c>
      <c r="Q357" s="292" t="str">
        <f t="shared" si="53"/>
        <v/>
      </c>
    </row>
    <row r="358" spans="1:17" ht="15" customHeight="1" x14ac:dyDescent="0.2">
      <c r="A358" s="243" t="str">
        <f>IFERROR(INDEX(Txn[Key],MATCH(0,INDEX(COUNTIF($A$1:A357,Txn[Key])+(Txn[Key]=""),0),0)),"")</f>
        <v/>
      </c>
      <c r="B358" s="243" t="str">
        <f t="shared" si="45"/>
        <v/>
      </c>
      <c r="C358" s="243" t="str">
        <f t="shared" si="46"/>
        <v/>
      </c>
      <c r="D358" s="243" t="str">
        <f t="shared" si="47"/>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48"/>
        <v/>
      </c>
      <c r="K358" s="287" t="str">
        <f t="shared" si="49"/>
        <v/>
      </c>
      <c r="L358" s="287" t="str">
        <f t="shared" si="50"/>
        <v/>
      </c>
      <c r="M358" s="290" t="str">
        <f t="shared" si="51"/>
        <v/>
      </c>
      <c r="N358" s="243" t="str">
        <f>IF($A358="","",IF(ABS(E358)&gt;0.000001,COUNT($N$1:N357)+1,""))</f>
        <v/>
      </c>
      <c r="O358" s="291" t="str">
        <f>IF($A358="","",SUMIFS(Transactions!$H$2:$H$1001,Transactions!$J$2:$J$1001,$A358,Transactions!$A$2:$A$1001,2)*$I358)</f>
        <v/>
      </c>
      <c r="P358" s="291" t="str">
        <f t="shared" si="52"/>
        <v/>
      </c>
      <c r="Q358" s="292" t="str">
        <f t="shared" si="53"/>
        <v/>
      </c>
    </row>
    <row r="359" spans="1:17" ht="15" customHeight="1" x14ac:dyDescent="0.2">
      <c r="A359" s="243" t="str">
        <f>IFERROR(INDEX(Txn[Key],MATCH(0,INDEX(COUNTIF($A$1:A358,Txn[Key])+(Txn[Key]=""),0),0)),"")</f>
        <v/>
      </c>
      <c r="B359" s="243" t="str">
        <f t="shared" si="45"/>
        <v/>
      </c>
      <c r="C359" s="243" t="str">
        <f t="shared" si="46"/>
        <v/>
      </c>
      <c r="D359" s="243" t="str">
        <f t="shared" si="47"/>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48"/>
        <v/>
      </c>
      <c r="K359" s="287" t="str">
        <f t="shared" si="49"/>
        <v/>
      </c>
      <c r="L359" s="287" t="str">
        <f t="shared" si="50"/>
        <v/>
      </c>
      <c r="M359" s="290" t="str">
        <f t="shared" si="51"/>
        <v/>
      </c>
      <c r="N359" s="243" t="str">
        <f>IF($A359="","",IF(ABS(E359)&gt;0.000001,COUNT($N$1:N358)+1,""))</f>
        <v/>
      </c>
      <c r="O359" s="291" t="str">
        <f>IF($A359="","",SUMIFS(Transactions!$H$2:$H$1001,Transactions!$J$2:$J$1001,$A359,Transactions!$A$2:$A$1001,2)*$I359)</f>
        <v/>
      </c>
      <c r="P359" s="291" t="str">
        <f t="shared" si="52"/>
        <v/>
      </c>
      <c r="Q359" s="292" t="str">
        <f t="shared" si="53"/>
        <v/>
      </c>
    </row>
    <row r="360" spans="1:17" ht="15" customHeight="1" x14ac:dyDescent="0.2">
      <c r="A360" s="243" t="str">
        <f>IFERROR(INDEX(Txn[Key],MATCH(0,INDEX(COUNTIF($A$1:A359,Txn[Key])+(Txn[Key]=""),0),0)),"")</f>
        <v/>
      </c>
      <c r="B360" s="243" t="str">
        <f t="shared" si="45"/>
        <v/>
      </c>
      <c r="C360" s="243" t="str">
        <f t="shared" si="46"/>
        <v/>
      </c>
      <c r="D360" s="243" t="str">
        <f t="shared" si="47"/>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48"/>
        <v/>
      </c>
      <c r="K360" s="287" t="str">
        <f t="shared" si="49"/>
        <v/>
      </c>
      <c r="L360" s="287" t="str">
        <f t="shared" si="50"/>
        <v/>
      </c>
      <c r="M360" s="290" t="str">
        <f t="shared" si="51"/>
        <v/>
      </c>
      <c r="N360" s="243" t="str">
        <f>IF($A360="","",IF(ABS(E360)&gt;0.000001,COUNT($N$1:N359)+1,""))</f>
        <v/>
      </c>
      <c r="O360" s="291" t="str">
        <f>IF($A360="","",SUMIFS(Transactions!$H$2:$H$1001,Transactions!$J$2:$J$1001,$A360,Transactions!$A$2:$A$1001,2)*$I360)</f>
        <v/>
      </c>
      <c r="P360" s="291" t="str">
        <f t="shared" si="52"/>
        <v/>
      </c>
      <c r="Q360" s="292" t="str">
        <f t="shared" si="53"/>
        <v/>
      </c>
    </row>
    <row r="361" spans="1:17" ht="15" customHeight="1" x14ac:dyDescent="0.2">
      <c r="A361" s="243" t="str">
        <f>IFERROR(INDEX(Txn[Key],MATCH(0,INDEX(COUNTIF($A$1:A360,Txn[Key])+(Txn[Key]=""),0),0)),"")</f>
        <v/>
      </c>
      <c r="B361" s="243" t="str">
        <f t="shared" si="45"/>
        <v/>
      </c>
      <c r="C361" s="243" t="str">
        <f t="shared" si="46"/>
        <v/>
      </c>
      <c r="D361" s="243" t="str">
        <f t="shared" si="47"/>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48"/>
        <v/>
      </c>
      <c r="K361" s="287" t="str">
        <f t="shared" si="49"/>
        <v/>
      </c>
      <c r="L361" s="287" t="str">
        <f t="shared" si="50"/>
        <v/>
      </c>
      <c r="M361" s="290" t="str">
        <f t="shared" si="51"/>
        <v/>
      </c>
      <c r="N361" s="243" t="str">
        <f>IF($A361="","",IF(ABS(E361)&gt;0.000001,COUNT($N$1:N360)+1,""))</f>
        <v/>
      </c>
      <c r="O361" s="291" t="str">
        <f>IF($A361="","",SUMIFS(Transactions!$H$2:$H$1001,Transactions!$J$2:$J$1001,$A361,Transactions!$A$2:$A$1001,2)*$I361)</f>
        <v/>
      </c>
      <c r="P361" s="291" t="str">
        <f t="shared" si="52"/>
        <v/>
      </c>
      <c r="Q361" s="292" t="str">
        <f t="shared" si="53"/>
        <v/>
      </c>
    </row>
    <row r="362" spans="1:17" ht="15" customHeight="1" x14ac:dyDescent="0.2">
      <c r="A362" s="243" t="str">
        <f>IFERROR(INDEX(Txn[Key],MATCH(0,INDEX(COUNTIF($A$1:A361,Txn[Key])+(Txn[Key]=""),0),0)),"")</f>
        <v/>
      </c>
      <c r="B362" s="243" t="str">
        <f t="shared" si="45"/>
        <v/>
      </c>
      <c r="C362" s="243" t="str">
        <f t="shared" si="46"/>
        <v/>
      </c>
      <c r="D362" s="243" t="str">
        <f t="shared" si="47"/>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48"/>
        <v/>
      </c>
      <c r="K362" s="287" t="str">
        <f t="shared" si="49"/>
        <v/>
      </c>
      <c r="L362" s="287" t="str">
        <f t="shared" si="50"/>
        <v/>
      </c>
      <c r="M362" s="290" t="str">
        <f t="shared" si="51"/>
        <v/>
      </c>
      <c r="N362" s="243" t="str">
        <f>IF($A362="","",IF(ABS(E362)&gt;0.000001,COUNT($N$1:N361)+1,""))</f>
        <v/>
      </c>
      <c r="O362" s="291" t="str">
        <f>IF($A362="","",SUMIFS(Transactions!$H$2:$H$1001,Transactions!$J$2:$J$1001,$A362,Transactions!$A$2:$A$1001,2)*$I362)</f>
        <v/>
      </c>
      <c r="P362" s="291" t="str">
        <f t="shared" si="52"/>
        <v/>
      </c>
      <c r="Q362" s="292" t="str">
        <f t="shared" si="53"/>
        <v/>
      </c>
    </row>
    <row r="363" spans="1:17" ht="15" customHeight="1" x14ac:dyDescent="0.2">
      <c r="A363" s="243" t="str">
        <f>IFERROR(INDEX(Txn[Key],MATCH(0,INDEX(COUNTIF($A$1:A362,Txn[Key])+(Txn[Key]=""),0),0)),"")</f>
        <v/>
      </c>
      <c r="B363" s="243" t="str">
        <f t="shared" si="45"/>
        <v/>
      </c>
      <c r="C363" s="243" t="str">
        <f t="shared" si="46"/>
        <v/>
      </c>
      <c r="D363" s="243" t="str">
        <f t="shared" si="47"/>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48"/>
        <v/>
      </c>
      <c r="K363" s="287" t="str">
        <f t="shared" si="49"/>
        <v/>
      </c>
      <c r="L363" s="287" t="str">
        <f t="shared" si="50"/>
        <v/>
      </c>
      <c r="M363" s="290" t="str">
        <f t="shared" si="51"/>
        <v/>
      </c>
      <c r="N363" s="243" t="str">
        <f>IF($A363="","",IF(ABS(E363)&gt;0.000001,COUNT($N$1:N362)+1,""))</f>
        <v/>
      </c>
      <c r="O363" s="291" t="str">
        <f>IF($A363="","",SUMIFS(Transactions!$H$2:$H$1001,Transactions!$J$2:$J$1001,$A363,Transactions!$A$2:$A$1001,2)*$I363)</f>
        <v/>
      </c>
      <c r="P363" s="291" t="str">
        <f t="shared" si="52"/>
        <v/>
      </c>
      <c r="Q363" s="292" t="str">
        <f t="shared" si="53"/>
        <v/>
      </c>
    </row>
    <row r="364" spans="1:17" ht="15" customHeight="1" x14ac:dyDescent="0.2">
      <c r="A364" s="243" t="str">
        <f>IFERROR(INDEX(Txn[Key],MATCH(0,INDEX(COUNTIF($A$1:A363,Txn[Key])+(Txn[Key]=""),0),0)),"")</f>
        <v/>
      </c>
      <c r="B364" s="243" t="str">
        <f t="shared" si="45"/>
        <v/>
      </c>
      <c r="C364" s="243" t="str">
        <f t="shared" si="46"/>
        <v/>
      </c>
      <c r="D364" s="243" t="str">
        <f t="shared" si="47"/>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48"/>
        <v/>
      </c>
      <c r="K364" s="287" t="str">
        <f t="shared" si="49"/>
        <v/>
      </c>
      <c r="L364" s="287" t="str">
        <f t="shared" si="50"/>
        <v/>
      </c>
      <c r="M364" s="290" t="str">
        <f t="shared" si="51"/>
        <v/>
      </c>
      <c r="N364" s="243" t="str">
        <f>IF($A364="","",IF(ABS(E364)&gt;0.000001,COUNT($N$1:N363)+1,""))</f>
        <v/>
      </c>
      <c r="O364" s="291" t="str">
        <f>IF($A364="","",SUMIFS(Transactions!$H$2:$H$1001,Transactions!$J$2:$J$1001,$A364,Transactions!$A$2:$A$1001,2)*$I364)</f>
        <v/>
      </c>
      <c r="P364" s="291" t="str">
        <f t="shared" si="52"/>
        <v/>
      </c>
      <c r="Q364" s="292" t="str">
        <f t="shared" si="53"/>
        <v/>
      </c>
    </row>
    <row r="365" spans="1:17" ht="15" customHeight="1" x14ac:dyDescent="0.2">
      <c r="A365" s="243" t="str">
        <f>IFERROR(INDEX(Txn[Key],MATCH(0,INDEX(COUNTIF($A$1:A364,Txn[Key])+(Txn[Key]=""),0),0)),"")</f>
        <v/>
      </c>
      <c r="B365" s="243" t="str">
        <f t="shared" si="45"/>
        <v/>
      </c>
      <c r="C365" s="243" t="str">
        <f t="shared" si="46"/>
        <v/>
      </c>
      <c r="D365" s="243" t="str">
        <f t="shared" si="47"/>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48"/>
        <v/>
      </c>
      <c r="K365" s="287" t="str">
        <f t="shared" si="49"/>
        <v/>
      </c>
      <c r="L365" s="287" t="str">
        <f t="shared" si="50"/>
        <v/>
      </c>
      <c r="M365" s="290" t="str">
        <f t="shared" si="51"/>
        <v/>
      </c>
      <c r="N365" s="243" t="str">
        <f>IF($A365="","",IF(ABS(E365)&gt;0.000001,COUNT($N$1:N364)+1,""))</f>
        <v/>
      </c>
      <c r="O365" s="291" t="str">
        <f>IF($A365="","",SUMIFS(Transactions!$H$2:$H$1001,Transactions!$J$2:$J$1001,$A365,Transactions!$A$2:$A$1001,2)*$I365)</f>
        <v/>
      </c>
      <c r="P365" s="291" t="str">
        <f t="shared" si="52"/>
        <v/>
      </c>
      <c r="Q365" s="292" t="str">
        <f t="shared" si="53"/>
        <v/>
      </c>
    </row>
    <row r="366" spans="1:17" ht="15" customHeight="1" x14ac:dyDescent="0.2">
      <c r="A366" s="243" t="str">
        <f>IFERROR(INDEX(Txn[Key],MATCH(0,INDEX(COUNTIF($A$1:A365,Txn[Key])+(Txn[Key]=""),0),0)),"")</f>
        <v/>
      </c>
      <c r="B366" s="243" t="str">
        <f t="shared" si="45"/>
        <v/>
      </c>
      <c r="C366" s="243" t="str">
        <f t="shared" si="46"/>
        <v/>
      </c>
      <c r="D366" s="243" t="str">
        <f t="shared" si="47"/>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48"/>
        <v/>
      </c>
      <c r="K366" s="287" t="str">
        <f t="shared" si="49"/>
        <v/>
      </c>
      <c r="L366" s="287" t="str">
        <f t="shared" si="50"/>
        <v/>
      </c>
      <c r="M366" s="290" t="str">
        <f t="shared" si="51"/>
        <v/>
      </c>
      <c r="N366" s="243" t="str">
        <f>IF($A366="","",IF(ABS(E366)&gt;0.000001,COUNT($N$1:N365)+1,""))</f>
        <v/>
      </c>
      <c r="O366" s="291" t="str">
        <f>IF($A366="","",SUMIFS(Transactions!$H$2:$H$1001,Transactions!$J$2:$J$1001,$A366,Transactions!$A$2:$A$1001,2)*$I366)</f>
        <v/>
      </c>
      <c r="P366" s="291" t="str">
        <f t="shared" si="52"/>
        <v/>
      </c>
      <c r="Q366" s="292" t="str">
        <f t="shared" si="53"/>
        <v/>
      </c>
    </row>
    <row r="367" spans="1:17" ht="15" customHeight="1" x14ac:dyDescent="0.2">
      <c r="A367" s="243" t="str">
        <f>IFERROR(INDEX(Txn[Key],MATCH(0,INDEX(COUNTIF($A$1:A366,Txn[Key])+(Txn[Key]=""),0),0)),"")</f>
        <v/>
      </c>
      <c r="B367" s="243" t="str">
        <f t="shared" si="45"/>
        <v/>
      </c>
      <c r="C367" s="243" t="str">
        <f t="shared" si="46"/>
        <v/>
      </c>
      <c r="D367" s="243" t="str">
        <f t="shared" si="47"/>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48"/>
        <v/>
      </c>
      <c r="K367" s="287" t="str">
        <f t="shared" si="49"/>
        <v/>
      </c>
      <c r="L367" s="287" t="str">
        <f t="shared" si="50"/>
        <v/>
      </c>
      <c r="M367" s="290" t="str">
        <f t="shared" si="51"/>
        <v/>
      </c>
      <c r="N367" s="243" t="str">
        <f>IF($A367="","",IF(ABS(E367)&gt;0.000001,COUNT($N$1:N366)+1,""))</f>
        <v/>
      </c>
      <c r="O367" s="291" t="str">
        <f>IF($A367="","",SUMIFS(Transactions!$H$2:$H$1001,Transactions!$J$2:$J$1001,$A367,Transactions!$A$2:$A$1001,2)*$I367)</f>
        <v/>
      </c>
      <c r="P367" s="291" t="str">
        <f t="shared" si="52"/>
        <v/>
      </c>
      <c r="Q367" s="292" t="str">
        <f t="shared" si="53"/>
        <v/>
      </c>
    </row>
    <row r="368" spans="1:17" ht="15" customHeight="1" x14ac:dyDescent="0.2">
      <c r="A368" s="243" t="str">
        <f>IFERROR(INDEX(Txn[Key],MATCH(0,INDEX(COUNTIF($A$1:A367,Txn[Key])+(Txn[Key]=""),0),0)),"")</f>
        <v/>
      </c>
      <c r="B368" s="243" t="str">
        <f t="shared" si="45"/>
        <v/>
      </c>
      <c r="C368" s="243" t="str">
        <f t="shared" si="46"/>
        <v/>
      </c>
      <c r="D368" s="243" t="str">
        <f t="shared" si="47"/>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48"/>
        <v/>
      </c>
      <c r="K368" s="287" t="str">
        <f t="shared" si="49"/>
        <v/>
      </c>
      <c r="L368" s="287" t="str">
        <f t="shared" si="50"/>
        <v/>
      </c>
      <c r="M368" s="290" t="str">
        <f t="shared" si="51"/>
        <v/>
      </c>
      <c r="N368" s="243" t="str">
        <f>IF($A368="","",IF(ABS(E368)&gt;0.000001,COUNT($N$1:N367)+1,""))</f>
        <v/>
      </c>
      <c r="O368" s="291" t="str">
        <f>IF($A368="","",SUMIFS(Transactions!$H$2:$H$1001,Transactions!$J$2:$J$1001,$A368,Transactions!$A$2:$A$1001,2)*$I368)</f>
        <v/>
      </c>
      <c r="P368" s="291" t="str">
        <f t="shared" si="52"/>
        <v/>
      </c>
      <c r="Q368" s="292" t="str">
        <f t="shared" si="53"/>
        <v/>
      </c>
    </row>
    <row r="369" spans="1:17" ht="15" customHeight="1" x14ac:dyDescent="0.2">
      <c r="A369" s="243" t="str">
        <f>IFERROR(INDEX(Txn[Key],MATCH(0,INDEX(COUNTIF($A$1:A368,Txn[Key])+(Txn[Key]=""),0),0)),"")</f>
        <v/>
      </c>
      <c r="B369" s="243" t="str">
        <f t="shared" si="45"/>
        <v/>
      </c>
      <c r="C369" s="243" t="str">
        <f t="shared" si="46"/>
        <v/>
      </c>
      <c r="D369" s="243" t="str">
        <f t="shared" si="47"/>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48"/>
        <v/>
      </c>
      <c r="K369" s="287" t="str">
        <f t="shared" si="49"/>
        <v/>
      </c>
      <c r="L369" s="287" t="str">
        <f t="shared" si="50"/>
        <v/>
      </c>
      <c r="M369" s="290" t="str">
        <f t="shared" si="51"/>
        <v/>
      </c>
      <c r="N369" s="243" t="str">
        <f>IF($A369="","",IF(ABS(E369)&gt;0.000001,COUNT($N$1:N368)+1,""))</f>
        <v/>
      </c>
      <c r="O369" s="291" t="str">
        <f>IF($A369="","",SUMIFS(Transactions!$H$2:$H$1001,Transactions!$J$2:$J$1001,$A369,Transactions!$A$2:$A$1001,2)*$I369)</f>
        <v/>
      </c>
      <c r="P369" s="291" t="str">
        <f t="shared" si="52"/>
        <v/>
      </c>
      <c r="Q369" s="292" t="str">
        <f t="shared" si="53"/>
        <v/>
      </c>
    </row>
    <row r="370" spans="1:17" ht="15" customHeight="1" x14ac:dyDescent="0.2">
      <c r="A370" s="243" t="str">
        <f>IFERROR(INDEX(Txn[Key],MATCH(0,INDEX(COUNTIF($A$1:A369,Txn[Key])+(Txn[Key]=""),0),0)),"")</f>
        <v/>
      </c>
      <c r="B370" s="243" t="str">
        <f t="shared" si="45"/>
        <v/>
      </c>
      <c r="C370" s="243" t="str">
        <f t="shared" si="46"/>
        <v/>
      </c>
      <c r="D370" s="243" t="str">
        <f t="shared" si="47"/>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48"/>
        <v/>
      </c>
      <c r="K370" s="287" t="str">
        <f t="shared" si="49"/>
        <v/>
      </c>
      <c r="L370" s="287" t="str">
        <f t="shared" si="50"/>
        <v/>
      </c>
      <c r="M370" s="290" t="str">
        <f t="shared" si="51"/>
        <v/>
      </c>
      <c r="N370" s="243" t="str">
        <f>IF($A370="","",IF(ABS(E370)&gt;0.000001,COUNT($N$1:N369)+1,""))</f>
        <v/>
      </c>
      <c r="O370" s="291" t="str">
        <f>IF($A370="","",SUMIFS(Transactions!$H$2:$H$1001,Transactions!$J$2:$J$1001,$A370,Transactions!$A$2:$A$1001,2)*$I370)</f>
        <v/>
      </c>
      <c r="P370" s="291" t="str">
        <f t="shared" si="52"/>
        <v/>
      </c>
      <c r="Q370" s="292" t="str">
        <f t="shared" si="53"/>
        <v/>
      </c>
    </row>
    <row r="371" spans="1:17" ht="15" customHeight="1" x14ac:dyDescent="0.2">
      <c r="A371" s="243" t="str">
        <f>IFERROR(INDEX(Txn[Key],MATCH(0,INDEX(COUNTIF($A$1:A370,Txn[Key])+(Txn[Key]=""),0),0)),"")</f>
        <v/>
      </c>
      <c r="B371" s="243" t="str">
        <f t="shared" si="45"/>
        <v/>
      </c>
      <c r="C371" s="243" t="str">
        <f t="shared" si="46"/>
        <v/>
      </c>
      <c r="D371" s="243" t="str">
        <f t="shared" si="47"/>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48"/>
        <v/>
      </c>
      <c r="K371" s="287" t="str">
        <f t="shared" si="49"/>
        <v/>
      </c>
      <c r="L371" s="287" t="str">
        <f t="shared" si="50"/>
        <v/>
      </c>
      <c r="M371" s="290" t="str">
        <f t="shared" si="51"/>
        <v/>
      </c>
      <c r="N371" s="243" t="str">
        <f>IF($A371="","",IF(ABS(E371)&gt;0.000001,COUNT($N$1:N370)+1,""))</f>
        <v/>
      </c>
      <c r="O371" s="291" t="str">
        <f>IF($A371="","",SUMIFS(Transactions!$H$2:$H$1001,Transactions!$J$2:$J$1001,$A371,Transactions!$A$2:$A$1001,2)*$I371)</f>
        <v/>
      </c>
      <c r="P371" s="291" t="str">
        <f t="shared" si="52"/>
        <v/>
      </c>
      <c r="Q371" s="292" t="str">
        <f t="shared" si="53"/>
        <v/>
      </c>
    </row>
    <row r="372" spans="1:17" ht="15" customHeight="1" x14ac:dyDescent="0.2">
      <c r="A372" s="243" t="str">
        <f>IFERROR(INDEX(Txn[Key],MATCH(0,INDEX(COUNTIF($A$1:A371,Txn[Key])+(Txn[Key]=""),0),0)),"")</f>
        <v/>
      </c>
      <c r="B372" s="243" t="str">
        <f t="shared" si="45"/>
        <v/>
      </c>
      <c r="C372" s="243" t="str">
        <f t="shared" si="46"/>
        <v/>
      </c>
      <c r="D372" s="243" t="str">
        <f t="shared" si="47"/>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48"/>
        <v/>
      </c>
      <c r="K372" s="287" t="str">
        <f t="shared" si="49"/>
        <v/>
      </c>
      <c r="L372" s="287" t="str">
        <f t="shared" si="50"/>
        <v/>
      </c>
      <c r="M372" s="290" t="str">
        <f t="shared" si="51"/>
        <v/>
      </c>
      <c r="N372" s="243" t="str">
        <f>IF($A372="","",IF(ABS(E372)&gt;0.000001,COUNT($N$1:N371)+1,""))</f>
        <v/>
      </c>
      <c r="O372" s="291" t="str">
        <f>IF($A372="","",SUMIFS(Transactions!$H$2:$H$1001,Transactions!$J$2:$J$1001,$A372,Transactions!$A$2:$A$1001,2)*$I372)</f>
        <v/>
      </c>
      <c r="P372" s="291" t="str">
        <f t="shared" si="52"/>
        <v/>
      </c>
      <c r="Q372" s="292" t="str">
        <f t="shared" si="53"/>
        <v/>
      </c>
    </row>
    <row r="373" spans="1:17" ht="15" customHeight="1" x14ac:dyDescent="0.2">
      <c r="A373" s="243" t="str">
        <f>IFERROR(INDEX(Txn[Key],MATCH(0,INDEX(COUNTIF($A$1:A372,Txn[Key])+(Txn[Key]=""),0),0)),"")</f>
        <v/>
      </c>
      <c r="B373" s="243" t="str">
        <f t="shared" si="45"/>
        <v/>
      </c>
      <c r="C373" s="243" t="str">
        <f t="shared" si="46"/>
        <v/>
      </c>
      <c r="D373" s="243" t="str">
        <f t="shared" si="47"/>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48"/>
        <v/>
      </c>
      <c r="K373" s="287" t="str">
        <f t="shared" si="49"/>
        <v/>
      </c>
      <c r="L373" s="287" t="str">
        <f t="shared" si="50"/>
        <v/>
      </c>
      <c r="M373" s="290" t="str">
        <f t="shared" si="51"/>
        <v/>
      </c>
      <c r="N373" s="243" t="str">
        <f>IF($A373="","",IF(ABS(E373)&gt;0.000001,COUNT($N$1:N372)+1,""))</f>
        <v/>
      </c>
      <c r="O373" s="291" t="str">
        <f>IF($A373="","",SUMIFS(Transactions!$H$2:$H$1001,Transactions!$J$2:$J$1001,$A373,Transactions!$A$2:$A$1001,2)*$I373)</f>
        <v/>
      </c>
      <c r="P373" s="291" t="str">
        <f t="shared" si="52"/>
        <v/>
      </c>
      <c r="Q373" s="292" t="str">
        <f t="shared" si="53"/>
        <v/>
      </c>
    </row>
    <row r="374" spans="1:17" ht="15" customHeight="1" x14ac:dyDescent="0.2">
      <c r="A374" s="243" t="str">
        <f>IFERROR(INDEX(Txn[Key],MATCH(0,INDEX(COUNTIF($A$1:A373,Txn[Key])+(Txn[Key]=""),0),0)),"")</f>
        <v/>
      </c>
      <c r="B374" s="243" t="str">
        <f t="shared" si="45"/>
        <v/>
      </c>
      <c r="C374" s="243" t="str">
        <f t="shared" si="46"/>
        <v/>
      </c>
      <c r="D374" s="243" t="str">
        <f t="shared" si="47"/>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48"/>
        <v/>
      </c>
      <c r="K374" s="287" t="str">
        <f t="shared" si="49"/>
        <v/>
      </c>
      <c r="L374" s="287" t="str">
        <f t="shared" si="50"/>
        <v/>
      </c>
      <c r="M374" s="290" t="str">
        <f t="shared" si="51"/>
        <v/>
      </c>
      <c r="N374" s="243" t="str">
        <f>IF($A374="","",IF(ABS(E374)&gt;0.000001,COUNT($N$1:N373)+1,""))</f>
        <v/>
      </c>
      <c r="O374" s="291" t="str">
        <f>IF($A374="","",SUMIFS(Transactions!$H$2:$H$1001,Transactions!$J$2:$J$1001,$A374,Transactions!$A$2:$A$1001,2)*$I374)</f>
        <v/>
      </c>
      <c r="P374" s="291" t="str">
        <f t="shared" si="52"/>
        <v/>
      </c>
      <c r="Q374" s="292" t="str">
        <f t="shared" si="53"/>
        <v/>
      </c>
    </row>
    <row r="375" spans="1:17" ht="15" customHeight="1" x14ac:dyDescent="0.2">
      <c r="A375" s="243" t="str">
        <f>IFERROR(INDEX(Txn[Key],MATCH(0,INDEX(COUNTIF($A$1:A374,Txn[Key])+(Txn[Key]=""),0),0)),"")</f>
        <v/>
      </c>
      <c r="B375" s="243" t="str">
        <f t="shared" si="45"/>
        <v/>
      </c>
      <c r="C375" s="243" t="str">
        <f t="shared" si="46"/>
        <v/>
      </c>
      <c r="D375" s="243" t="str">
        <f t="shared" si="47"/>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48"/>
        <v/>
      </c>
      <c r="K375" s="287" t="str">
        <f t="shared" si="49"/>
        <v/>
      </c>
      <c r="L375" s="287" t="str">
        <f t="shared" si="50"/>
        <v/>
      </c>
      <c r="M375" s="290" t="str">
        <f t="shared" si="51"/>
        <v/>
      </c>
      <c r="N375" s="243" t="str">
        <f>IF($A375="","",IF(ABS(E375)&gt;0.000001,COUNT($N$1:N374)+1,""))</f>
        <v/>
      </c>
      <c r="O375" s="291" t="str">
        <f>IF($A375="","",SUMIFS(Transactions!$H$2:$H$1001,Transactions!$J$2:$J$1001,$A375,Transactions!$A$2:$A$1001,2)*$I375)</f>
        <v/>
      </c>
      <c r="P375" s="291" t="str">
        <f t="shared" si="52"/>
        <v/>
      </c>
      <c r="Q375" s="292" t="str">
        <f t="shared" si="53"/>
        <v/>
      </c>
    </row>
    <row r="376" spans="1:17" ht="15" customHeight="1" x14ac:dyDescent="0.2">
      <c r="A376" s="243" t="str">
        <f>IFERROR(INDEX(Txn[Key],MATCH(0,INDEX(COUNTIF($A$1:A375,Txn[Key])+(Txn[Key]=""),0),0)),"")</f>
        <v/>
      </c>
      <c r="B376" s="243" t="str">
        <f t="shared" si="45"/>
        <v/>
      </c>
      <c r="C376" s="243" t="str">
        <f t="shared" si="46"/>
        <v/>
      </c>
      <c r="D376" s="243" t="str">
        <f t="shared" si="47"/>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48"/>
        <v/>
      </c>
      <c r="K376" s="287" t="str">
        <f t="shared" si="49"/>
        <v/>
      </c>
      <c r="L376" s="287" t="str">
        <f t="shared" si="50"/>
        <v/>
      </c>
      <c r="M376" s="290" t="str">
        <f t="shared" si="51"/>
        <v/>
      </c>
      <c r="N376" s="243" t="str">
        <f>IF($A376="","",IF(ABS(E376)&gt;0.000001,COUNT($N$1:N375)+1,""))</f>
        <v/>
      </c>
      <c r="O376" s="291" t="str">
        <f>IF($A376="","",SUMIFS(Transactions!$H$2:$H$1001,Transactions!$J$2:$J$1001,$A376,Transactions!$A$2:$A$1001,2)*$I376)</f>
        <v/>
      </c>
      <c r="P376" s="291" t="str">
        <f t="shared" si="52"/>
        <v/>
      </c>
      <c r="Q376" s="292" t="str">
        <f t="shared" si="53"/>
        <v/>
      </c>
    </row>
    <row r="377" spans="1:17" ht="15" customHeight="1" x14ac:dyDescent="0.2">
      <c r="A377" s="243" t="str">
        <f>IFERROR(INDEX(Txn[Key],MATCH(0,INDEX(COUNTIF($A$1:A376,Txn[Key])+(Txn[Key]=""),0),0)),"")</f>
        <v/>
      </c>
      <c r="B377" s="243" t="str">
        <f t="shared" si="45"/>
        <v/>
      </c>
      <c r="C377" s="243" t="str">
        <f t="shared" si="46"/>
        <v/>
      </c>
      <c r="D377" s="243" t="str">
        <f t="shared" si="47"/>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48"/>
        <v/>
      </c>
      <c r="K377" s="287" t="str">
        <f t="shared" si="49"/>
        <v/>
      </c>
      <c r="L377" s="287" t="str">
        <f t="shared" si="50"/>
        <v/>
      </c>
      <c r="M377" s="290" t="str">
        <f t="shared" si="51"/>
        <v/>
      </c>
      <c r="N377" s="243" t="str">
        <f>IF($A377="","",IF(ABS(E377)&gt;0.000001,COUNT($N$1:N376)+1,""))</f>
        <v/>
      </c>
      <c r="O377" s="291" t="str">
        <f>IF($A377="","",SUMIFS(Transactions!$H$2:$H$1001,Transactions!$J$2:$J$1001,$A377,Transactions!$A$2:$A$1001,2)*$I377)</f>
        <v/>
      </c>
      <c r="P377" s="291" t="str">
        <f t="shared" si="52"/>
        <v/>
      </c>
      <c r="Q377" s="292" t="str">
        <f t="shared" si="53"/>
        <v/>
      </c>
    </row>
    <row r="378" spans="1:17" ht="15" customHeight="1" x14ac:dyDescent="0.2">
      <c r="A378" s="243" t="str">
        <f>IFERROR(INDEX(Txn[Key],MATCH(0,INDEX(COUNTIF($A$1:A377,Txn[Key])+(Txn[Key]=""),0),0)),"")</f>
        <v/>
      </c>
      <c r="B378" s="243" t="str">
        <f t="shared" si="45"/>
        <v/>
      </c>
      <c r="C378" s="243" t="str">
        <f t="shared" si="46"/>
        <v/>
      </c>
      <c r="D378" s="243" t="str">
        <f t="shared" si="47"/>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48"/>
        <v/>
      </c>
      <c r="K378" s="287" t="str">
        <f t="shared" si="49"/>
        <v/>
      </c>
      <c r="L378" s="287" t="str">
        <f t="shared" si="50"/>
        <v/>
      </c>
      <c r="M378" s="290" t="str">
        <f t="shared" si="51"/>
        <v/>
      </c>
      <c r="N378" s="243" t="str">
        <f>IF($A378="","",IF(ABS(E378)&gt;0.000001,COUNT($N$1:N377)+1,""))</f>
        <v/>
      </c>
      <c r="O378" s="291" t="str">
        <f>IF($A378="","",SUMIFS(Transactions!$H$2:$H$1001,Transactions!$J$2:$J$1001,$A378,Transactions!$A$2:$A$1001,2)*$I378)</f>
        <v/>
      </c>
      <c r="P378" s="291" t="str">
        <f t="shared" si="52"/>
        <v/>
      </c>
      <c r="Q378" s="292" t="str">
        <f t="shared" si="53"/>
        <v/>
      </c>
    </row>
    <row r="379" spans="1:17" ht="15" customHeight="1" x14ac:dyDescent="0.2">
      <c r="A379" s="243" t="str">
        <f>IFERROR(INDEX(Txn[Key],MATCH(0,INDEX(COUNTIF($A$1:A378,Txn[Key])+(Txn[Key]=""),0),0)),"")</f>
        <v/>
      </c>
      <c r="B379" s="243" t="str">
        <f t="shared" si="45"/>
        <v/>
      </c>
      <c r="C379" s="243" t="str">
        <f t="shared" si="46"/>
        <v/>
      </c>
      <c r="D379" s="243" t="str">
        <f t="shared" si="47"/>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48"/>
        <v/>
      </c>
      <c r="K379" s="287" t="str">
        <f t="shared" si="49"/>
        <v/>
      </c>
      <c r="L379" s="287" t="str">
        <f t="shared" si="50"/>
        <v/>
      </c>
      <c r="M379" s="290" t="str">
        <f t="shared" si="51"/>
        <v/>
      </c>
      <c r="N379" s="243" t="str">
        <f>IF($A379="","",IF(ABS(E379)&gt;0.000001,COUNT($N$1:N378)+1,""))</f>
        <v/>
      </c>
      <c r="O379" s="291" t="str">
        <f>IF($A379="","",SUMIFS(Transactions!$H$2:$H$1001,Transactions!$J$2:$J$1001,$A379,Transactions!$A$2:$A$1001,2)*$I379)</f>
        <v/>
      </c>
      <c r="P379" s="291" t="str">
        <f t="shared" si="52"/>
        <v/>
      </c>
      <c r="Q379" s="292" t="str">
        <f t="shared" si="53"/>
        <v/>
      </c>
    </row>
    <row r="380" spans="1:17" ht="15" customHeight="1" x14ac:dyDescent="0.2">
      <c r="A380" s="243" t="str">
        <f>IFERROR(INDEX(Txn[Key],MATCH(0,INDEX(COUNTIF($A$1:A379,Txn[Key])+(Txn[Key]=""),0),0)),"")</f>
        <v/>
      </c>
      <c r="B380" s="243" t="str">
        <f t="shared" si="45"/>
        <v/>
      </c>
      <c r="C380" s="243" t="str">
        <f t="shared" si="46"/>
        <v/>
      </c>
      <c r="D380" s="243" t="str">
        <f t="shared" si="47"/>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48"/>
        <v/>
      </c>
      <c r="K380" s="287" t="str">
        <f t="shared" si="49"/>
        <v/>
      </c>
      <c r="L380" s="287" t="str">
        <f t="shared" si="50"/>
        <v/>
      </c>
      <c r="M380" s="290" t="str">
        <f t="shared" si="51"/>
        <v/>
      </c>
      <c r="N380" s="243" t="str">
        <f>IF($A380="","",IF(ABS(E380)&gt;0.000001,COUNT($N$1:N379)+1,""))</f>
        <v/>
      </c>
      <c r="O380" s="291" t="str">
        <f>IF($A380="","",SUMIFS(Transactions!$H$2:$H$1001,Transactions!$J$2:$J$1001,$A380,Transactions!$A$2:$A$1001,2)*$I380)</f>
        <v/>
      </c>
      <c r="P380" s="291" t="str">
        <f t="shared" si="52"/>
        <v/>
      </c>
      <c r="Q380" s="292" t="str">
        <f t="shared" si="53"/>
        <v/>
      </c>
    </row>
    <row r="381" spans="1:17" ht="15" customHeight="1" x14ac:dyDescent="0.2">
      <c r="A381" s="243" t="str">
        <f>IFERROR(INDEX(Txn[Key],MATCH(0,INDEX(COUNTIF($A$1:A380,Txn[Key])+(Txn[Key]=""),0),0)),"")</f>
        <v/>
      </c>
      <c r="B381" s="243" t="str">
        <f t="shared" si="45"/>
        <v/>
      </c>
      <c r="C381" s="243" t="str">
        <f t="shared" si="46"/>
        <v/>
      </c>
      <c r="D381" s="243" t="str">
        <f t="shared" si="47"/>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48"/>
        <v/>
      </c>
      <c r="K381" s="287" t="str">
        <f t="shared" si="49"/>
        <v/>
      </c>
      <c r="L381" s="287" t="str">
        <f t="shared" si="50"/>
        <v/>
      </c>
      <c r="M381" s="290" t="str">
        <f t="shared" si="51"/>
        <v/>
      </c>
      <c r="N381" s="243" t="str">
        <f>IF($A381="","",IF(ABS(E381)&gt;0.000001,COUNT($N$1:N380)+1,""))</f>
        <v/>
      </c>
      <c r="O381" s="291" t="str">
        <f>IF($A381="","",SUMIFS(Transactions!$H$2:$H$1001,Transactions!$J$2:$J$1001,$A381,Transactions!$A$2:$A$1001,2)*$I381)</f>
        <v/>
      </c>
      <c r="P381" s="291" t="str">
        <f t="shared" si="52"/>
        <v/>
      </c>
      <c r="Q381" s="292" t="str">
        <f t="shared" si="53"/>
        <v/>
      </c>
    </row>
    <row r="382" spans="1:17" ht="15" customHeight="1" x14ac:dyDescent="0.2">
      <c r="A382" s="243" t="str">
        <f>IFERROR(INDEX(Txn[Key],MATCH(0,INDEX(COUNTIF($A$1:A381,Txn[Key])+(Txn[Key]=""),0),0)),"")</f>
        <v/>
      </c>
      <c r="B382" s="243" t="str">
        <f t="shared" si="45"/>
        <v/>
      </c>
      <c r="C382" s="243" t="str">
        <f t="shared" si="46"/>
        <v/>
      </c>
      <c r="D382" s="243" t="str">
        <f t="shared" si="47"/>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48"/>
        <v/>
      </c>
      <c r="K382" s="287" t="str">
        <f t="shared" si="49"/>
        <v/>
      </c>
      <c r="L382" s="287" t="str">
        <f t="shared" si="50"/>
        <v/>
      </c>
      <c r="M382" s="290" t="str">
        <f t="shared" si="51"/>
        <v/>
      </c>
      <c r="N382" s="243" t="str">
        <f>IF($A382="","",IF(ABS(E382)&gt;0.000001,COUNT($N$1:N381)+1,""))</f>
        <v/>
      </c>
      <c r="O382" s="291" t="str">
        <f>IF($A382="","",SUMIFS(Transactions!$H$2:$H$1001,Transactions!$J$2:$J$1001,$A382,Transactions!$A$2:$A$1001,2)*$I382)</f>
        <v/>
      </c>
      <c r="P382" s="291" t="str">
        <f t="shared" si="52"/>
        <v/>
      </c>
      <c r="Q382" s="292" t="str">
        <f t="shared" si="53"/>
        <v/>
      </c>
    </row>
    <row r="383" spans="1:17" ht="15" customHeight="1" x14ac:dyDescent="0.2">
      <c r="A383" s="243" t="str">
        <f>IFERROR(INDEX(Txn[Key],MATCH(0,INDEX(COUNTIF($A$1:A382,Txn[Key])+(Txn[Key]=""),0),0)),"")</f>
        <v/>
      </c>
      <c r="B383" s="243" t="str">
        <f t="shared" si="45"/>
        <v/>
      </c>
      <c r="C383" s="243" t="str">
        <f t="shared" si="46"/>
        <v/>
      </c>
      <c r="D383" s="243" t="str">
        <f t="shared" si="47"/>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48"/>
        <v/>
      </c>
      <c r="K383" s="287" t="str">
        <f t="shared" si="49"/>
        <v/>
      </c>
      <c r="L383" s="287" t="str">
        <f t="shared" si="50"/>
        <v/>
      </c>
      <c r="M383" s="290" t="str">
        <f t="shared" si="51"/>
        <v/>
      </c>
      <c r="N383" s="243" t="str">
        <f>IF($A383="","",IF(ABS(E383)&gt;0.000001,COUNT($N$1:N382)+1,""))</f>
        <v/>
      </c>
      <c r="O383" s="291" t="str">
        <f>IF($A383="","",SUMIFS(Transactions!$H$2:$H$1001,Transactions!$J$2:$J$1001,$A383,Transactions!$A$2:$A$1001,2)*$I383)</f>
        <v/>
      </c>
      <c r="P383" s="291" t="str">
        <f t="shared" si="52"/>
        <v/>
      </c>
      <c r="Q383" s="292" t="str">
        <f t="shared" si="53"/>
        <v/>
      </c>
    </row>
    <row r="384" spans="1:17" ht="15" customHeight="1" x14ac:dyDescent="0.2">
      <c r="A384" s="243" t="str">
        <f>IFERROR(INDEX(Txn[Key],MATCH(0,INDEX(COUNTIF($A$1:A383,Txn[Key])+(Txn[Key]=""),0),0)),"")</f>
        <v/>
      </c>
      <c r="B384" s="243" t="str">
        <f t="shared" si="45"/>
        <v/>
      </c>
      <c r="C384" s="243" t="str">
        <f t="shared" si="46"/>
        <v/>
      </c>
      <c r="D384" s="243" t="str">
        <f t="shared" si="47"/>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48"/>
        <v/>
      </c>
      <c r="K384" s="287" t="str">
        <f t="shared" si="49"/>
        <v/>
      </c>
      <c r="L384" s="287" t="str">
        <f t="shared" si="50"/>
        <v/>
      </c>
      <c r="M384" s="290" t="str">
        <f t="shared" si="51"/>
        <v/>
      </c>
      <c r="N384" s="243" t="str">
        <f>IF($A384="","",IF(ABS(E384)&gt;0.000001,COUNT($N$1:N383)+1,""))</f>
        <v/>
      </c>
      <c r="O384" s="291" t="str">
        <f>IF($A384="","",SUMIFS(Transactions!$H$2:$H$1001,Transactions!$J$2:$J$1001,$A384,Transactions!$A$2:$A$1001,2)*$I384)</f>
        <v/>
      </c>
      <c r="P384" s="291" t="str">
        <f t="shared" si="52"/>
        <v/>
      </c>
      <c r="Q384" s="292" t="str">
        <f t="shared" si="53"/>
        <v/>
      </c>
    </row>
    <row r="385" spans="1:17" ht="15" customHeight="1" x14ac:dyDescent="0.2">
      <c r="A385" s="243" t="str">
        <f>IFERROR(INDEX(Txn[Key],MATCH(0,INDEX(COUNTIF($A$1:A384,Txn[Key])+(Txn[Key]=""),0),0)),"")</f>
        <v/>
      </c>
      <c r="B385" s="243" t="str">
        <f t="shared" si="45"/>
        <v/>
      </c>
      <c r="C385" s="243" t="str">
        <f t="shared" si="46"/>
        <v/>
      </c>
      <c r="D385" s="243" t="str">
        <f t="shared" si="47"/>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48"/>
        <v/>
      </c>
      <c r="K385" s="287" t="str">
        <f t="shared" si="49"/>
        <v/>
      </c>
      <c r="L385" s="287" t="str">
        <f t="shared" si="50"/>
        <v/>
      </c>
      <c r="M385" s="290" t="str">
        <f t="shared" si="51"/>
        <v/>
      </c>
      <c r="N385" s="243" t="str">
        <f>IF($A385="","",IF(ABS(E385)&gt;0.000001,COUNT($N$1:N384)+1,""))</f>
        <v/>
      </c>
      <c r="O385" s="291" t="str">
        <f>IF($A385="","",SUMIFS(Transactions!$H$2:$H$1001,Transactions!$J$2:$J$1001,$A385,Transactions!$A$2:$A$1001,2)*$I385)</f>
        <v/>
      </c>
      <c r="P385" s="291" t="str">
        <f t="shared" si="52"/>
        <v/>
      </c>
      <c r="Q385" s="292" t="str">
        <f t="shared" si="53"/>
        <v/>
      </c>
    </row>
    <row r="386" spans="1:17" ht="15" customHeight="1" x14ac:dyDescent="0.2">
      <c r="A386" s="243" t="str">
        <f>IFERROR(INDEX(Txn[Key],MATCH(0,INDEX(COUNTIF($A$1:A385,Txn[Key])+(Txn[Key]=""),0),0)),"")</f>
        <v/>
      </c>
      <c r="B386" s="243" t="str">
        <f t="shared" ref="B386:B449" si="54">IF($A386="","",LEFT($A386,FIND(":",$A386)-1))</f>
        <v/>
      </c>
      <c r="C386" s="243" t="str">
        <f t="shared" ref="C386:C449" si="55">IF($A386="","",MID($A386,FIND(":",$A386)+1,FIND(":",$A386,FIND(":",$A386)+1)-FIND(":",$A386)-1))</f>
        <v/>
      </c>
      <c r="D386" s="243" t="str">
        <f t="shared" ref="D386:D449" si="56">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57">IF($A386="","",E386*H386)</f>
        <v/>
      </c>
      <c r="K386" s="287" t="str">
        <f t="shared" ref="K386:K449" si="58">IF($A386="","",J386+G386-F386)</f>
        <v/>
      </c>
      <c r="L386" s="287" t="str">
        <f t="shared" ref="L386:L449" si="59">IF($A386="","",K386*I386)</f>
        <v/>
      </c>
      <c r="M386" s="290" t="str">
        <f t="shared" ref="M386:M449" si="60">IF($A386="","",IFERROR(K386/F386,0))</f>
        <v/>
      </c>
      <c r="N386" s="243" t="str">
        <f>IF($A386="","",IF(ABS(E386)&gt;0.000001,COUNT($N$1:N385)+1,""))</f>
        <v/>
      </c>
      <c r="O386" s="291" t="str">
        <f>IF($A386="","",SUMIFS(Transactions!$H$2:$H$1001,Transactions!$J$2:$J$1001,$A386,Transactions!$A$2:$A$1001,2)*$I386)</f>
        <v/>
      </c>
      <c r="P386" s="291" t="str">
        <f t="shared" ref="P386:P449" si="61">IF($A386="","",$L386+$O386)</f>
        <v/>
      </c>
      <c r="Q386" s="292" t="str">
        <f t="shared" ref="Q386:Q449" si="62">IF($A386="","",IFERROR(($L386+$O386)/($F386*$I386),0))</f>
        <v/>
      </c>
    </row>
    <row r="387" spans="1:17" ht="15" customHeight="1" x14ac:dyDescent="0.2">
      <c r="A387" s="243" t="str">
        <f>IFERROR(INDEX(Txn[Key],MATCH(0,INDEX(COUNTIF($A$1:A386,Txn[Key])+(Txn[Key]=""),0),0)),"")</f>
        <v/>
      </c>
      <c r="B387" s="243" t="str">
        <f t="shared" si="54"/>
        <v/>
      </c>
      <c r="C387" s="243" t="str">
        <f t="shared" si="55"/>
        <v/>
      </c>
      <c r="D387" s="243" t="str">
        <f t="shared" si="56"/>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57"/>
        <v/>
      </c>
      <c r="K387" s="287" t="str">
        <f t="shared" si="58"/>
        <v/>
      </c>
      <c r="L387" s="287" t="str">
        <f t="shared" si="59"/>
        <v/>
      </c>
      <c r="M387" s="290" t="str">
        <f t="shared" si="60"/>
        <v/>
      </c>
      <c r="N387" s="243" t="str">
        <f>IF($A387="","",IF(ABS(E387)&gt;0.000001,COUNT($N$1:N386)+1,""))</f>
        <v/>
      </c>
      <c r="O387" s="291" t="str">
        <f>IF($A387="","",SUMIFS(Transactions!$H$2:$H$1001,Transactions!$J$2:$J$1001,$A387,Transactions!$A$2:$A$1001,2)*$I387)</f>
        <v/>
      </c>
      <c r="P387" s="291" t="str">
        <f t="shared" si="61"/>
        <v/>
      </c>
      <c r="Q387" s="292" t="str">
        <f t="shared" si="62"/>
        <v/>
      </c>
    </row>
    <row r="388" spans="1:17" ht="15" customHeight="1" x14ac:dyDescent="0.2">
      <c r="A388" s="243" t="str">
        <f>IFERROR(INDEX(Txn[Key],MATCH(0,INDEX(COUNTIF($A$1:A387,Txn[Key])+(Txn[Key]=""),0),0)),"")</f>
        <v/>
      </c>
      <c r="B388" s="243" t="str">
        <f t="shared" si="54"/>
        <v/>
      </c>
      <c r="C388" s="243" t="str">
        <f t="shared" si="55"/>
        <v/>
      </c>
      <c r="D388" s="243" t="str">
        <f t="shared" si="56"/>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57"/>
        <v/>
      </c>
      <c r="K388" s="287" t="str">
        <f t="shared" si="58"/>
        <v/>
      </c>
      <c r="L388" s="287" t="str">
        <f t="shared" si="59"/>
        <v/>
      </c>
      <c r="M388" s="290" t="str">
        <f t="shared" si="60"/>
        <v/>
      </c>
      <c r="N388" s="243" t="str">
        <f>IF($A388="","",IF(ABS(E388)&gt;0.000001,COUNT($N$1:N387)+1,""))</f>
        <v/>
      </c>
      <c r="O388" s="291" t="str">
        <f>IF($A388="","",SUMIFS(Transactions!$H$2:$H$1001,Transactions!$J$2:$J$1001,$A388,Transactions!$A$2:$A$1001,2)*$I388)</f>
        <v/>
      </c>
      <c r="P388" s="291" t="str">
        <f t="shared" si="61"/>
        <v/>
      </c>
      <c r="Q388" s="292" t="str">
        <f t="shared" si="62"/>
        <v/>
      </c>
    </row>
    <row r="389" spans="1:17" ht="15" customHeight="1" x14ac:dyDescent="0.2">
      <c r="A389" s="243" t="str">
        <f>IFERROR(INDEX(Txn[Key],MATCH(0,INDEX(COUNTIF($A$1:A388,Txn[Key])+(Txn[Key]=""),0),0)),"")</f>
        <v/>
      </c>
      <c r="B389" s="243" t="str">
        <f t="shared" si="54"/>
        <v/>
      </c>
      <c r="C389" s="243" t="str">
        <f t="shared" si="55"/>
        <v/>
      </c>
      <c r="D389" s="243" t="str">
        <f t="shared" si="56"/>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57"/>
        <v/>
      </c>
      <c r="K389" s="287" t="str">
        <f t="shared" si="58"/>
        <v/>
      </c>
      <c r="L389" s="287" t="str">
        <f t="shared" si="59"/>
        <v/>
      </c>
      <c r="M389" s="290" t="str">
        <f t="shared" si="60"/>
        <v/>
      </c>
      <c r="N389" s="243" t="str">
        <f>IF($A389="","",IF(ABS(E389)&gt;0.000001,COUNT($N$1:N388)+1,""))</f>
        <v/>
      </c>
      <c r="O389" s="291" t="str">
        <f>IF($A389="","",SUMIFS(Transactions!$H$2:$H$1001,Transactions!$J$2:$J$1001,$A389,Transactions!$A$2:$A$1001,2)*$I389)</f>
        <v/>
      </c>
      <c r="P389" s="291" t="str">
        <f t="shared" si="61"/>
        <v/>
      </c>
      <c r="Q389" s="292" t="str">
        <f t="shared" si="62"/>
        <v/>
      </c>
    </row>
    <row r="390" spans="1:17" ht="15" customHeight="1" x14ac:dyDescent="0.2">
      <c r="A390" s="243" t="str">
        <f>IFERROR(INDEX(Txn[Key],MATCH(0,INDEX(COUNTIF($A$1:A389,Txn[Key])+(Txn[Key]=""),0),0)),"")</f>
        <v/>
      </c>
      <c r="B390" s="243" t="str">
        <f t="shared" si="54"/>
        <v/>
      </c>
      <c r="C390" s="243" t="str">
        <f t="shared" si="55"/>
        <v/>
      </c>
      <c r="D390" s="243" t="str">
        <f t="shared" si="56"/>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57"/>
        <v/>
      </c>
      <c r="K390" s="287" t="str">
        <f t="shared" si="58"/>
        <v/>
      </c>
      <c r="L390" s="287" t="str">
        <f t="shared" si="59"/>
        <v/>
      </c>
      <c r="M390" s="290" t="str">
        <f t="shared" si="60"/>
        <v/>
      </c>
      <c r="N390" s="243" t="str">
        <f>IF($A390="","",IF(ABS(E390)&gt;0.000001,COUNT($N$1:N389)+1,""))</f>
        <v/>
      </c>
      <c r="O390" s="291" t="str">
        <f>IF($A390="","",SUMIFS(Transactions!$H$2:$H$1001,Transactions!$J$2:$J$1001,$A390,Transactions!$A$2:$A$1001,2)*$I390)</f>
        <v/>
      </c>
      <c r="P390" s="291" t="str">
        <f t="shared" si="61"/>
        <v/>
      </c>
      <c r="Q390" s="292" t="str">
        <f t="shared" si="62"/>
        <v/>
      </c>
    </row>
    <row r="391" spans="1:17" ht="15" customHeight="1" x14ac:dyDescent="0.2">
      <c r="A391" s="243" t="str">
        <f>IFERROR(INDEX(Txn[Key],MATCH(0,INDEX(COUNTIF($A$1:A390,Txn[Key])+(Txn[Key]=""),0),0)),"")</f>
        <v/>
      </c>
      <c r="B391" s="243" t="str">
        <f t="shared" si="54"/>
        <v/>
      </c>
      <c r="C391" s="243" t="str">
        <f t="shared" si="55"/>
        <v/>
      </c>
      <c r="D391" s="243" t="str">
        <f t="shared" si="56"/>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57"/>
        <v/>
      </c>
      <c r="K391" s="287" t="str">
        <f t="shared" si="58"/>
        <v/>
      </c>
      <c r="L391" s="287" t="str">
        <f t="shared" si="59"/>
        <v/>
      </c>
      <c r="M391" s="290" t="str">
        <f t="shared" si="60"/>
        <v/>
      </c>
      <c r="N391" s="243" t="str">
        <f>IF($A391="","",IF(ABS(E391)&gt;0.000001,COUNT($N$1:N390)+1,""))</f>
        <v/>
      </c>
      <c r="O391" s="291" t="str">
        <f>IF($A391="","",SUMIFS(Transactions!$H$2:$H$1001,Transactions!$J$2:$J$1001,$A391,Transactions!$A$2:$A$1001,2)*$I391)</f>
        <v/>
      </c>
      <c r="P391" s="291" t="str">
        <f t="shared" si="61"/>
        <v/>
      </c>
      <c r="Q391" s="292" t="str">
        <f t="shared" si="62"/>
        <v/>
      </c>
    </row>
    <row r="392" spans="1:17" ht="15" customHeight="1" x14ac:dyDescent="0.2">
      <c r="A392" s="243" t="str">
        <f>IFERROR(INDEX(Txn[Key],MATCH(0,INDEX(COUNTIF($A$1:A391,Txn[Key])+(Txn[Key]=""),0),0)),"")</f>
        <v/>
      </c>
      <c r="B392" s="243" t="str">
        <f t="shared" si="54"/>
        <v/>
      </c>
      <c r="C392" s="243" t="str">
        <f t="shared" si="55"/>
        <v/>
      </c>
      <c r="D392" s="243" t="str">
        <f t="shared" si="56"/>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57"/>
        <v/>
      </c>
      <c r="K392" s="287" t="str">
        <f t="shared" si="58"/>
        <v/>
      </c>
      <c r="L392" s="287" t="str">
        <f t="shared" si="59"/>
        <v/>
      </c>
      <c r="M392" s="290" t="str">
        <f t="shared" si="60"/>
        <v/>
      </c>
      <c r="N392" s="243" t="str">
        <f>IF($A392="","",IF(ABS(E392)&gt;0.000001,COUNT($N$1:N391)+1,""))</f>
        <v/>
      </c>
      <c r="O392" s="291" t="str">
        <f>IF($A392="","",SUMIFS(Transactions!$H$2:$H$1001,Transactions!$J$2:$J$1001,$A392,Transactions!$A$2:$A$1001,2)*$I392)</f>
        <v/>
      </c>
      <c r="P392" s="291" t="str">
        <f t="shared" si="61"/>
        <v/>
      </c>
      <c r="Q392" s="292" t="str">
        <f t="shared" si="62"/>
        <v/>
      </c>
    </row>
    <row r="393" spans="1:17" ht="15" customHeight="1" x14ac:dyDescent="0.2">
      <c r="A393" s="243" t="str">
        <f>IFERROR(INDEX(Txn[Key],MATCH(0,INDEX(COUNTIF($A$1:A392,Txn[Key])+(Txn[Key]=""),0),0)),"")</f>
        <v/>
      </c>
      <c r="B393" s="243" t="str">
        <f t="shared" si="54"/>
        <v/>
      </c>
      <c r="C393" s="243" t="str">
        <f t="shared" si="55"/>
        <v/>
      </c>
      <c r="D393" s="243" t="str">
        <f t="shared" si="56"/>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57"/>
        <v/>
      </c>
      <c r="K393" s="287" t="str">
        <f t="shared" si="58"/>
        <v/>
      </c>
      <c r="L393" s="287" t="str">
        <f t="shared" si="59"/>
        <v/>
      </c>
      <c r="M393" s="290" t="str">
        <f t="shared" si="60"/>
        <v/>
      </c>
      <c r="N393" s="243" t="str">
        <f>IF($A393="","",IF(ABS(E393)&gt;0.000001,COUNT($N$1:N392)+1,""))</f>
        <v/>
      </c>
      <c r="O393" s="291" t="str">
        <f>IF($A393="","",SUMIFS(Transactions!$H$2:$H$1001,Transactions!$J$2:$J$1001,$A393,Transactions!$A$2:$A$1001,2)*$I393)</f>
        <v/>
      </c>
      <c r="P393" s="291" t="str">
        <f t="shared" si="61"/>
        <v/>
      </c>
      <c r="Q393" s="292" t="str">
        <f t="shared" si="62"/>
        <v/>
      </c>
    </row>
    <row r="394" spans="1:17" ht="15" customHeight="1" x14ac:dyDescent="0.2">
      <c r="A394" s="243" t="str">
        <f>IFERROR(INDEX(Txn[Key],MATCH(0,INDEX(COUNTIF($A$1:A393,Txn[Key])+(Txn[Key]=""),0),0)),"")</f>
        <v/>
      </c>
      <c r="B394" s="243" t="str">
        <f t="shared" si="54"/>
        <v/>
      </c>
      <c r="C394" s="243" t="str">
        <f t="shared" si="55"/>
        <v/>
      </c>
      <c r="D394" s="243" t="str">
        <f t="shared" si="56"/>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57"/>
        <v/>
      </c>
      <c r="K394" s="287" t="str">
        <f t="shared" si="58"/>
        <v/>
      </c>
      <c r="L394" s="287" t="str">
        <f t="shared" si="59"/>
        <v/>
      </c>
      <c r="M394" s="290" t="str">
        <f t="shared" si="60"/>
        <v/>
      </c>
      <c r="N394" s="243" t="str">
        <f>IF($A394="","",IF(ABS(E394)&gt;0.000001,COUNT($N$1:N393)+1,""))</f>
        <v/>
      </c>
      <c r="O394" s="291" t="str">
        <f>IF($A394="","",SUMIFS(Transactions!$H$2:$H$1001,Transactions!$J$2:$J$1001,$A394,Transactions!$A$2:$A$1001,2)*$I394)</f>
        <v/>
      </c>
      <c r="P394" s="291" t="str">
        <f t="shared" si="61"/>
        <v/>
      </c>
      <c r="Q394" s="292" t="str">
        <f t="shared" si="62"/>
        <v/>
      </c>
    </row>
    <row r="395" spans="1:17" ht="15" customHeight="1" x14ac:dyDescent="0.2">
      <c r="A395" s="243" t="str">
        <f>IFERROR(INDEX(Txn[Key],MATCH(0,INDEX(COUNTIF($A$1:A394,Txn[Key])+(Txn[Key]=""),0),0)),"")</f>
        <v/>
      </c>
      <c r="B395" s="243" t="str">
        <f t="shared" si="54"/>
        <v/>
      </c>
      <c r="C395" s="243" t="str">
        <f t="shared" si="55"/>
        <v/>
      </c>
      <c r="D395" s="243" t="str">
        <f t="shared" si="56"/>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57"/>
        <v/>
      </c>
      <c r="K395" s="287" t="str">
        <f t="shared" si="58"/>
        <v/>
      </c>
      <c r="L395" s="287" t="str">
        <f t="shared" si="59"/>
        <v/>
      </c>
      <c r="M395" s="290" t="str">
        <f t="shared" si="60"/>
        <v/>
      </c>
      <c r="N395" s="243" t="str">
        <f>IF($A395="","",IF(ABS(E395)&gt;0.000001,COUNT($N$1:N394)+1,""))</f>
        <v/>
      </c>
      <c r="O395" s="291" t="str">
        <f>IF($A395="","",SUMIFS(Transactions!$H$2:$H$1001,Transactions!$J$2:$J$1001,$A395,Transactions!$A$2:$A$1001,2)*$I395)</f>
        <v/>
      </c>
      <c r="P395" s="291" t="str">
        <f t="shared" si="61"/>
        <v/>
      </c>
      <c r="Q395" s="292" t="str">
        <f t="shared" si="62"/>
        <v/>
      </c>
    </row>
    <row r="396" spans="1:17" ht="15" customHeight="1" x14ac:dyDescent="0.2">
      <c r="A396" s="243" t="str">
        <f>IFERROR(INDEX(Txn[Key],MATCH(0,INDEX(COUNTIF($A$1:A395,Txn[Key])+(Txn[Key]=""),0),0)),"")</f>
        <v/>
      </c>
      <c r="B396" s="243" t="str">
        <f t="shared" si="54"/>
        <v/>
      </c>
      <c r="C396" s="243" t="str">
        <f t="shared" si="55"/>
        <v/>
      </c>
      <c r="D396" s="243" t="str">
        <f t="shared" si="56"/>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57"/>
        <v/>
      </c>
      <c r="K396" s="287" t="str">
        <f t="shared" si="58"/>
        <v/>
      </c>
      <c r="L396" s="287" t="str">
        <f t="shared" si="59"/>
        <v/>
      </c>
      <c r="M396" s="290" t="str">
        <f t="shared" si="60"/>
        <v/>
      </c>
      <c r="N396" s="243" t="str">
        <f>IF($A396="","",IF(ABS(E396)&gt;0.000001,COUNT($N$1:N395)+1,""))</f>
        <v/>
      </c>
      <c r="O396" s="291" t="str">
        <f>IF($A396="","",SUMIFS(Transactions!$H$2:$H$1001,Transactions!$J$2:$J$1001,$A396,Transactions!$A$2:$A$1001,2)*$I396)</f>
        <v/>
      </c>
      <c r="P396" s="291" t="str">
        <f t="shared" si="61"/>
        <v/>
      </c>
      <c r="Q396" s="292" t="str">
        <f t="shared" si="62"/>
        <v/>
      </c>
    </row>
    <row r="397" spans="1:17" ht="15" customHeight="1" x14ac:dyDescent="0.2">
      <c r="A397" s="243" t="str">
        <f>IFERROR(INDEX(Txn[Key],MATCH(0,INDEX(COUNTIF($A$1:A396,Txn[Key])+(Txn[Key]=""),0),0)),"")</f>
        <v/>
      </c>
      <c r="B397" s="243" t="str">
        <f t="shared" si="54"/>
        <v/>
      </c>
      <c r="C397" s="243" t="str">
        <f t="shared" si="55"/>
        <v/>
      </c>
      <c r="D397" s="243" t="str">
        <f t="shared" si="56"/>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57"/>
        <v/>
      </c>
      <c r="K397" s="287" t="str">
        <f t="shared" si="58"/>
        <v/>
      </c>
      <c r="L397" s="287" t="str">
        <f t="shared" si="59"/>
        <v/>
      </c>
      <c r="M397" s="290" t="str">
        <f t="shared" si="60"/>
        <v/>
      </c>
      <c r="N397" s="243" t="str">
        <f>IF($A397="","",IF(ABS(E397)&gt;0.000001,COUNT($N$1:N396)+1,""))</f>
        <v/>
      </c>
      <c r="O397" s="291" t="str">
        <f>IF($A397="","",SUMIFS(Transactions!$H$2:$H$1001,Transactions!$J$2:$J$1001,$A397,Transactions!$A$2:$A$1001,2)*$I397)</f>
        <v/>
      </c>
      <c r="P397" s="291" t="str">
        <f t="shared" si="61"/>
        <v/>
      </c>
      <c r="Q397" s="292" t="str">
        <f t="shared" si="62"/>
        <v/>
      </c>
    </row>
    <row r="398" spans="1:17" ht="15" customHeight="1" x14ac:dyDescent="0.2">
      <c r="A398" s="243" t="str">
        <f>IFERROR(INDEX(Txn[Key],MATCH(0,INDEX(COUNTIF($A$1:A397,Txn[Key])+(Txn[Key]=""),0),0)),"")</f>
        <v/>
      </c>
      <c r="B398" s="243" t="str">
        <f t="shared" si="54"/>
        <v/>
      </c>
      <c r="C398" s="243" t="str">
        <f t="shared" si="55"/>
        <v/>
      </c>
      <c r="D398" s="243" t="str">
        <f t="shared" si="56"/>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57"/>
        <v/>
      </c>
      <c r="K398" s="287" t="str">
        <f t="shared" si="58"/>
        <v/>
      </c>
      <c r="L398" s="287" t="str">
        <f t="shared" si="59"/>
        <v/>
      </c>
      <c r="M398" s="290" t="str">
        <f t="shared" si="60"/>
        <v/>
      </c>
      <c r="N398" s="243" t="str">
        <f>IF($A398="","",IF(ABS(E398)&gt;0.000001,COUNT($N$1:N397)+1,""))</f>
        <v/>
      </c>
      <c r="O398" s="291" t="str">
        <f>IF($A398="","",SUMIFS(Transactions!$H$2:$H$1001,Transactions!$J$2:$J$1001,$A398,Transactions!$A$2:$A$1001,2)*$I398)</f>
        <v/>
      </c>
      <c r="P398" s="291" t="str">
        <f t="shared" si="61"/>
        <v/>
      </c>
      <c r="Q398" s="292" t="str">
        <f t="shared" si="62"/>
        <v/>
      </c>
    </row>
    <row r="399" spans="1:17" ht="15" customHeight="1" x14ac:dyDescent="0.2">
      <c r="A399" s="243" t="str">
        <f>IFERROR(INDEX(Txn[Key],MATCH(0,INDEX(COUNTIF($A$1:A398,Txn[Key])+(Txn[Key]=""),0),0)),"")</f>
        <v/>
      </c>
      <c r="B399" s="243" t="str">
        <f t="shared" si="54"/>
        <v/>
      </c>
      <c r="C399" s="243" t="str">
        <f t="shared" si="55"/>
        <v/>
      </c>
      <c r="D399" s="243" t="str">
        <f t="shared" si="56"/>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57"/>
        <v/>
      </c>
      <c r="K399" s="287" t="str">
        <f t="shared" si="58"/>
        <v/>
      </c>
      <c r="L399" s="287" t="str">
        <f t="shared" si="59"/>
        <v/>
      </c>
      <c r="M399" s="290" t="str">
        <f t="shared" si="60"/>
        <v/>
      </c>
      <c r="N399" s="243" t="str">
        <f>IF($A399="","",IF(ABS(E399)&gt;0.000001,COUNT($N$1:N398)+1,""))</f>
        <v/>
      </c>
      <c r="O399" s="291" t="str">
        <f>IF($A399="","",SUMIFS(Transactions!$H$2:$H$1001,Transactions!$J$2:$J$1001,$A399,Transactions!$A$2:$A$1001,2)*$I399)</f>
        <v/>
      </c>
      <c r="P399" s="291" t="str">
        <f t="shared" si="61"/>
        <v/>
      </c>
      <c r="Q399" s="292" t="str">
        <f t="shared" si="62"/>
        <v/>
      </c>
    </row>
    <row r="400" spans="1:17" ht="15" customHeight="1" x14ac:dyDescent="0.2">
      <c r="A400" s="243" t="str">
        <f>IFERROR(INDEX(Txn[Key],MATCH(0,INDEX(COUNTIF($A$1:A399,Txn[Key])+(Txn[Key]=""),0),0)),"")</f>
        <v/>
      </c>
      <c r="B400" s="243" t="str">
        <f t="shared" si="54"/>
        <v/>
      </c>
      <c r="C400" s="243" t="str">
        <f t="shared" si="55"/>
        <v/>
      </c>
      <c r="D400" s="243" t="str">
        <f t="shared" si="56"/>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57"/>
        <v/>
      </c>
      <c r="K400" s="287" t="str">
        <f t="shared" si="58"/>
        <v/>
      </c>
      <c r="L400" s="287" t="str">
        <f t="shared" si="59"/>
        <v/>
      </c>
      <c r="M400" s="290" t="str">
        <f t="shared" si="60"/>
        <v/>
      </c>
      <c r="N400" s="243" t="str">
        <f>IF($A400="","",IF(ABS(E400)&gt;0.000001,COUNT($N$1:N399)+1,""))</f>
        <v/>
      </c>
      <c r="O400" s="291" t="str">
        <f>IF($A400="","",SUMIFS(Transactions!$H$2:$H$1001,Transactions!$J$2:$J$1001,$A400,Transactions!$A$2:$A$1001,2)*$I400)</f>
        <v/>
      </c>
      <c r="P400" s="291" t="str">
        <f t="shared" si="61"/>
        <v/>
      </c>
      <c r="Q400" s="292" t="str">
        <f t="shared" si="62"/>
        <v/>
      </c>
    </row>
    <row r="401" spans="1:17" ht="15" customHeight="1" x14ac:dyDescent="0.2">
      <c r="A401" s="243" t="str">
        <f>IFERROR(INDEX(Txn[Key],MATCH(0,INDEX(COUNTIF($A$1:A400,Txn[Key])+(Txn[Key]=""),0),0)),"")</f>
        <v/>
      </c>
      <c r="B401" s="243" t="str">
        <f t="shared" si="54"/>
        <v/>
      </c>
      <c r="C401" s="243" t="str">
        <f t="shared" si="55"/>
        <v/>
      </c>
      <c r="D401" s="243" t="str">
        <f t="shared" si="56"/>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57"/>
        <v/>
      </c>
      <c r="K401" s="287" t="str">
        <f t="shared" si="58"/>
        <v/>
      </c>
      <c r="L401" s="287" t="str">
        <f t="shared" si="59"/>
        <v/>
      </c>
      <c r="M401" s="290" t="str">
        <f t="shared" si="60"/>
        <v/>
      </c>
      <c r="N401" s="243" t="str">
        <f>IF($A401="","",IF(ABS(E401)&gt;0.000001,COUNT($N$1:N400)+1,""))</f>
        <v/>
      </c>
      <c r="O401" s="291" t="str">
        <f>IF($A401="","",SUMIFS(Transactions!$H$2:$H$1001,Transactions!$J$2:$J$1001,$A401,Transactions!$A$2:$A$1001,2)*$I401)</f>
        <v/>
      </c>
      <c r="P401" s="291" t="str">
        <f t="shared" si="61"/>
        <v/>
      </c>
      <c r="Q401" s="292" t="str">
        <f t="shared" si="62"/>
        <v/>
      </c>
    </row>
    <row r="402" spans="1:17" ht="15" customHeight="1" x14ac:dyDescent="0.2">
      <c r="A402" s="243" t="str">
        <f>IFERROR(INDEX(Txn[Key],MATCH(0,INDEX(COUNTIF($A$1:A401,Txn[Key])+(Txn[Key]=""),0),0)),"")</f>
        <v/>
      </c>
      <c r="B402" s="243" t="str">
        <f t="shared" si="54"/>
        <v/>
      </c>
      <c r="C402" s="243" t="str">
        <f t="shared" si="55"/>
        <v/>
      </c>
      <c r="D402" s="243" t="str">
        <f t="shared" si="56"/>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57"/>
        <v/>
      </c>
      <c r="K402" s="287" t="str">
        <f t="shared" si="58"/>
        <v/>
      </c>
      <c r="L402" s="287" t="str">
        <f t="shared" si="59"/>
        <v/>
      </c>
      <c r="M402" s="290" t="str">
        <f t="shared" si="60"/>
        <v/>
      </c>
      <c r="N402" s="243" t="str">
        <f>IF($A402="","",IF(ABS(E402)&gt;0.000001,COUNT($N$1:N401)+1,""))</f>
        <v/>
      </c>
      <c r="O402" s="291" t="str">
        <f>IF($A402="","",SUMIFS(Transactions!$H$2:$H$1001,Transactions!$J$2:$J$1001,$A402,Transactions!$A$2:$A$1001,2)*$I402)</f>
        <v/>
      </c>
      <c r="P402" s="291" t="str">
        <f t="shared" si="61"/>
        <v/>
      </c>
      <c r="Q402" s="292" t="str">
        <f t="shared" si="62"/>
        <v/>
      </c>
    </row>
    <row r="403" spans="1:17" ht="15" customHeight="1" x14ac:dyDescent="0.2">
      <c r="A403" s="243" t="str">
        <f>IFERROR(INDEX(Txn[Key],MATCH(0,INDEX(COUNTIF($A$1:A402,Txn[Key])+(Txn[Key]=""),0),0)),"")</f>
        <v/>
      </c>
      <c r="B403" s="243" t="str">
        <f t="shared" si="54"/>
        <v/>
      </c>
      <c r="C403" s="243" t="str">
        <f t="shared" si="55"/>
        <v/>
      </c>
      <c r="D403" s="243" t="str">
        <f t="shared" si="56"/>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57"/>
        <v/>
      </c>
      <c r="K403" s="287" t="str">
        <f t="shared" si="58"/>
        <v/>
      </c>
      <c r="L403" s="287" t="str">
        <f t="shared" si="59"/>
        <v/>
      </c>
      <c r="M403" s="290" t="str">
        <f t="shared" si="60"/>
        <v/>
      </c>
      <c r="N403" s="243" t="str">
        <f>IF($A403="","",IF(ABS(E403)&gt;0.000001,COUNT($N$1:N402)+1,""))</f>
        <v/>
      </c>
      <c r="O403" s="291" t="str">
        <f>IF($A403="","",SUMIFS(Transactions!$H$2:$H$1001,Transactions!$J$2:$J$1001,$A403,Transactions!$A$2:$A$1001,2)*$I403)</f>
        <v/>
      </c>
      <c r="P403" s="291" t="str">
        <f t="shared" si="61"/>
        <v/>
      </c>
      <c r="Q403" s="292" t="str">
        <f t="shared" si="62"/>
        <v/>
      </c>
    </row>
    <row r="404" spans="1:17" ht="15" customHeight="1" x14ac:dyDescent="0.2">
      <c r="A404" s="243" t="str">
        <f>IFERROR(INDEX(Txn[Key],MATCH(0,INDEX(COUNTIF($A$1:A403,Txn[Key])+(Txn[Key]=""),0),0)),"")</f>
        <v/>
      </c>
      <c r="B404" s="243" t="str">
        <f t="shared" si="54"/>
        <v/>
      </c>
      <c r="C404" s="243" t="str">
        <f t="shared" si="55"/>
        <v/>
      </c>
      <c r="D404" s="243" t="str">
        <f t="shared" si="56"/>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57"/>
        <v/>
      </c>
      <c r="K404" s="287" t="str">
        <f t="shared" si="58"/>
        <v/>
      </c>
      <c r="L404" s="287" t="str">
        <f t="shared" si="59"/>
        <v/>
      </c>
      <c r="M404" s="290" t="str">
        <f t="shared" si="60"/>
        <v/>
      </c>
      <c r="N404" s="243" t="str">
        <f>IF($A404="","",IF(ABS(E404)&gt;0.000001,COUNT($N$1:N403)+1,""))</f>
        <v/>
      </c>
      <c r="O404" s="291" t="str">
        <f>IF($A404="","",SUMIFS(Transactions!$H$2:$H$1001,Transactions!$J$2:$J$1001,$A404,Transactions!$A$2:$A$1001,2)*$I404)</f>
        <v/>
      </c>
      <c r="P404" s="291" t="str">
        <f t="shared" si="61"/>
        <v/>
      </c>
      <c r="Q404" s="292" t="str">
        <f t="shared" si="62"/>
        <v/>
      </c>
    </row>
    <row r="405" spans="1:17" ht="15" customHeight="1" x14ac:dyDescent="0.2">
      <c r="A405" s="243" t="str">
        <f>IFERROR(INDEX(Txn[Key],MATCH(0,INDEX(COUNTIF($A$1:A404,Txn[Key])+(Txn[Key]=""),0),0)),"")</f>
        <v/>
      </c>
      <c r="B405" s="243" t="str">
        <f t="shared" si="54"/>
        <v/>
      </c>
      <c r="C405" s="243" t="str">
        <f t="shared" si="55"/>
        <v/>
      </c>
      <c r="D405" s="243" t="str">
        <f t="shared" si="56"/>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57"/>
        <v/>
      </c>
      <c r="K405" s="287" t="str">
        <f t="shared" si="58"/>
        <v/>
      </c>
      <c r="L405" s="287" t="str">
        <f t="shared" si="59"/>
        <v/>
      </c>
      <c r="M405" s="290" t="str">
        <f t="shared" si="60"/>
        <v/>
      </c>
      <c r="N405" s="243" t="str">
        <f>IF($A405="","",IF(ABS(E405)&gt;0.000001,COUNT($N$1:N404)+1,""))</f>
        <v/>
      </c>
      <c r="O405" s="291" t="str">
        <f>IF($A405="","",SUMIFS(Transactions!$H$2:$H$1001,Transactions!$J$2:$J$1001,$A405,Transactions!$A$2:$A$1001,2)*$I405)</f>
        <v/>
      </c>
      <c r="P405" s="291" t="str">
        <f t="shared" si="61"/>
        <v/>
      </c>
      <c r="Q405" s="292" t="str">
        <f t="shared" si="62"/>
        <v/>
      </c>
    </row>
    <row r="406" spans="1:17" ht="15" customHeight="1" x14ac:dyDescent="0.2">
      <c r="A406" s="243" t="str">
        <f>IFERROR(INDEX(Txn[Key],MATCH(0,INDEX(COUNTIF($A$1:A405,Txn[Key])+(Txn[Key]=""),0),0)),"")</f>
        <v/>
      </c>
      <c r="B406" s="243" t="str">
        <f t="shared" si="54"/>
        <v/>
      </c>
      <c r="C406" s="243" t="str">
        <f t="shared" si="55"/>
        <v/>
      </c>
      <c r="D406" s="243" t="str">
        <f t="shared" si="56"/>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57"/>
        <v/>
      </c>
      <c r="K406" s="287" t="str">
        <f t="shared" si="58"/>
        <v/>
      </c>
      <c r="L406" s="287" t="str">
        <f t="shared" si="59"/>
        <v/>
      </c>
      <c r="M406" s="290" t="str">
        <f t="shared" si="60"/>
        <v/>
      </c>
      <c r="N406" s="243" t="str">
        <f>IF($A406="","",IF(ABS(E406)&gt;0.000001,COUNT($N$1:N405)+1,""))</f>
        <v/>
      </c>
      <c r="O406" s="291" t="str">
        <f>IF($A406="","",SUMIFS(Transactions!$H$2:$H$1001,Transactions!$J$2:$J$1001,$A406,Transactions!$A$2:$A$1001,2)*$I406)</f>
        <v/>
      </c>
      <c r="P406" s="291" t="str">
        <f t="shared" si="61"/>
        <v/>
      </c>
      <c r="Q406" s="292" t="str">
        <f t="shared" si="62"/>
        <v/>
      </c>
    </row>
    <row r="407" spans="1:17" ht="15" customHeight="1" x14ac:dyDescent="0.2">
      <c r="A407" s="243" t="str">
        <f>IFERROR(INDEX(Txn[Key],MATCH(0,INDEX(COUNTIF($A$1:A406,Txn[Key])+(Txn[Key]=""),0),0)),"")</f>
        <v/>
      </c>
      <c r="B407" s="243" t="str">
        <f t="shared" si="54"/>
        <v/>
      </c>
      <c r="C407" s="243" t="str">
        <f t="shared" si="55"/>
        <v/>
      </c>
      <c r="D407" s="243" t="str">
        <f t="shared" si="56"/>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57"/>
        <v/>
      </c>
      <c r="K407" s="287" t="str">
        <f t="shared" si="58"/>
        <v/>
      </c>
      <c r="L407" s="287" t="str">
        <f t="shared" si="59"/>
        <v/>
      </c>
      <c r="M407" s="290" t="str">
        <f t="shared" si="60"/>
        <v/>
      </c>
      <c r="N407" s="243" t="str">
        <f>IF($A407="","",IF(ABS(E407)&gt;0.000001,COUNT($N$1:N406)+1,""))</f>
        <v/>
      </c>
      <c r="O407" s="291" t="str">
        <f>IF($A407="","",SUMIFS(Transactions!$H$2:$H$1001,Transactions!$J$2:$J$1001,$A407,Transactions!$A$2:$A$1001,2)*$I407)</f>
        <v/>
      </c>
      <c r="P407" s="291" t="str">
        <f t="shared" si="61"/>
        <v/>
      </c>
      <c r="Q407" s="292" t="str">
        <f t="shared" si="62"/>
        <v/>
      </c>
    </row>
    <row r="408" spans="1:17" ht="15" customHeight="1" x14ac:dyDescent="0.2">
      <c r="A408" s="243" t="str">
        <f>IFERROR(INDEX(Txn[Key],MATCH(0,INDEX(COUNTIF($A$1:A407,Txn[Key])+(Txn[Key]=""),0),0)),"")</f>
        <v/>
      </c>
      <c r="B408" s="243" t="str">
        <f t="shared" si="54"/>
        <v/>
      </c>
      <c r="C408" s="243" t="str">
        <f t="shared" si="55"/>
        <v/>
      </c>
      <c r="D408" s="243" t="str">
        <f t="shared" si="56"/>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57"/>
        <v/>
      </c>
      <c r="K408" s="287" t="str">
        <f t="shared" si="58"/>
        <v/>
      </c>
      <c r="L408" s="287" t="str">
        <f t="shared" si="59"/>
        <v/>
      </c>
      <c r="M408" s="290" t="str">
        <f t="shared" si="60"/>
        <v/>
      </c>
      <c r="N408" s="243" t="str">
        <f>IF($A408="","",IF(ABS(E408)&gt;0.000001,COUNT($N$1:N407)+1,""))</f>
        <v/>
      </c>
      <c r="O408" s="291" t="str">
        <f>IF($A408="","",SUMIFS(Transactions!$H$2:$H$1001,Transactions!$J$2:$J$1001,$A408,Transactions!$A$2:$A$1001,2)*$I408)</f>
        <v/>
      </c>
      <c r="P408" s="291" t="str">
        <f t="shared" si="61"/>
        <v/>
      </c>
      <c r="Q408" s="292" t="str">
        <f t="shared" si="62"/>
        <v/>
      </c>
    </row>
    <row r="409" spans="1:17" ht="15" customHeight="1" x14ac:dyDescent="0.2">
      <c r="A409" s="243" t="str">
        <f>IFERROR(INDEX(Txn[Key],MATCH(0,INDEX(COUNTIF($A$1:A408,Txn[Key])+(Txn[Key]=""),0),0)),"")</f>
        <v/>
      </c>
      <c r="B409" s="243" t="str">
        <f t="shared" si="54"/>
        <v/>
      </c>
      <c r="C409" s="243" t="str">
        <f t="shared" si="55"/>
        <v/>
      </c>
      <c r="D409" s="243" t="str">
        <f t="shared" si="56"/>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57"/>
        <v/>
      </c>
      <c r="K409" s="287" t="str">
        <f t="shared" si="58"/>
        <v/>
      </c>
      <c r="L409" s="287" t="str">
        <f t="shared" si="59"/>
        <v/>
      </c>
      <c r="M409" s="290" t="str">
        <f t="shared" si="60"/>
        <v/>
      </c>
      <c r="N409" s="243" t="str">
        <f>IF($A409="","",IF(ABS(E409)&gt;0.000001,COUNT($N$1:N408)+1,""))</f>
        <v/>
      </c>
      <c r="O409" s="291" t="str">
        <f>IF($A409="","",SUMIFS(Transactions!$H$2:$H$1001,Transactions!$J$2:$J$1001,$A409,Transactions!$A$2:$A$1001,2)*$I409)</f>
        <v/>
      </c>
      <c r="P409" s="291" t="str">
        <f t="shared" si="61"/>
        <v/>
      </c>
      <c r="Q409" s="292" t="str">
        <f t="shared" si="62"/>
        <v/>
      </c>
    </row>
    <row r="410" spans="1:17" ht="15" customHeight="1" x14ac:dyDescent="0.2">
      <c r="A410" s="243" t="str">
        <f>IFERROR(INDEX(Txn[Key],MATCH(0,INDEX(COUNTIF($A$1:A409,Txn[Key])+(Txn[Key]=""),0),0)),"")</f>
        <v/>
      </c>
      <c r="B410" s="243" t="str">
        <f t="shared" si="54"/>
        <v/>
      </c>
      <c r="C410" s="243" t="str">
        <f t="shared" si="55"/>
        <v/>
      </c>
      <c r="D410" s="243" t="str">
        <f t="shared" si="56"/>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57"/>
        <v/>
      </c>
      <c r="K410" s="287" t="str">
        <f t="shared" si="58"/>
        <v/>
      </c>
      <c r="L410" s="287" t="str">
        <f t="shared" si="59"/>
        <v/>
      </c>
      <c r="M410" s="290" t="str">
        <f t="shared" si="60"/>
        <v/>
      </c>
      <c r="N410" s="243" t="str">
        <f>IF($A410="","",IF(ABS(E410)&gt;0.000001,COUNT($N$1:N409)+1,""))</f>
        <v/>
      </c>
      <c r="O410" s="291" t="str">
        <f>IF($A410="","",SUMIFS(Transactions!$H$2:$H$1001,Transactions!$J$2:$J$1001,$A410,Transactions!$A$2:$A$1001,2)*$I410)</f>
        <v/>
      </c>
      <c r="P410" s="291" t="str">
        <f t="shared" si="61"/>
        <v/>
      </c>
      <c r="Q410" s="292" t="str">
        <f t="shared" si="62"/>
        <v/>
      </c>
    </row>
    <row r="411" spans="1:17" ht="15" customHeight="1" x14ac:dyDescent="0.2">
      <c r="A411" s="243" t="str">
        <f>IFERROR(INDEX(Txn[Key],MATCH(0,INDEX(COUNTIF($A$1:A410,Txn[Key])+(Txn[Key]=""),0),0)),"")</f>
        <v/>
      </c>
      <c r="B411" s="243" t="str">
        <f t="shared" si="54"/>
        <v/>
      </c>
      <c r="C411" s="243" t="str">
        <f t="shared" si="55"/>
        <v/>
      </c>
      <c r="D411" s="243" t="str">
        <f t="shared" si="56"/>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57"/>
        <v/>
      </c>
      <c r="K411" s="287" t="str">
        <f t="shared" si="58"/>
        <v/>
      </c>
      <c r="L411" s="287" t="str">
        <f t="shared" si="59"/>
        <v/>
      </c>
      <c r="M411" s="290" t="str">
        <f t="shared" si="60"/>
        <v/>
      </c>
      <c r="N411" s="243" t="str">
        <f>IF($A411="","",IF(ABS(E411)&gt;0.000001,COUNT($N$1:N410)+1,""))</f>
        <v/>
      </c>
      <c r="O411" s="291" t="str">
        <f>IF($A411="","",SUMIFS(Transactions!$H$2:$H$1001,Transactions!$J$2:$J$1001,$A411,Transactions!$A$2:$A$1001,2)*$I411)</f>
        <v/>
      </c>
      <c r="P411" s="291" t="str">
        <f t="shared" si="61"/>
        <v/>
      </c>
      <c r="Q411" s="292" t="str">
        <f t="shared" si="62"/>
        <v/>
      </c>
    </row>
    <row r="412" spans="1:17" ht="15" customHeight="1" x14ac:dyDescent="0.2">
      <c r="A412" s="243" t="str">
        <f>IFERROR(INDEX(Txn[Key],MATCH(0,INDEX(COUNTIF($A$1:A411,Txn[Key])+(Txn[Key]=""),0),0)),"")</f>
        <v/>
      </c>
      <c r="B412" s="243" t="str">
        <f t="shared" si="54"/>
        <v/>
      </c>
      <c r="C412" s="243" t="str">
        <f t="shared" si="55"/>
        <v/>
      </c>
      <c r="D412" s="243" t="str">
        <f t="shared" si="56"/>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57"/>
        <v/>
      </c>
      <c r="K412" s="287" t="str">
        <f t="shared" si="58"/>
        <v/>
      </c>
      <c r="L412" s="287" t="str">
        <f t="shared" si="59"/>
        <v/>
      </c>
      <c r="M412" s="290" t="str">
        <f t="shared" si="60"/>
        <v/>
      </c>
      <c r="N412" s="243" t="str">
        <f>IF($A412="","",IF(ABS(E412)&gt;0.000001,COUNT($N$1:N411)+1,""))</f>
        <v/>
      </c>
      <c r="O412" s="291" t="str">
        <f>IF($A412="","",SUMIFS(Transactions!$H$2:$H$1001,Transactions!$J$2:$J$1001,$A412,Transactions!$A$2:$A$1001,2)*$I412)</f>
        <v/>
      </c>
      <c r="P412" s="291" t="str">
        <f t="shared" si="61"/>
        <v/>
      </c>
      <c r="Q412" s="292" t="str">
        <f t="shared" si="62"/>
        <v/>
      </c>
    </row>
    <row r="413" spans="1:17" ht="15" customHeight="1" x14ac:dyDescent="0.2">
      <c r="A413" s="243" t="str">
        <f>IFERROR(INDEX(Txn[Key],MATCH(0,INDEX(COUNTIF($A$1:A412,Txn[Key])+(Txn[Key]=""),0),0)),"")</f>
        <v/>
      </c>
      <c r="B413" s="243" t="str">
        <f t="shared" si="54"/>
        <v/>
      </c>
      <c r="C413" s="243" t="str">
        <f t="shared" si="55"/>
        <v/>
      </c>
      <c r="D413" s="243" t="str">
        <f t="shared" si="56"/>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57"/>
        <v/>
      </c>
      <c r="K413" s="287" t="str">
        <f t="shared" si="58"/>
        <v/>
      </c>
      <c r="L413" s="287" t="str">
        <f t="shared" si="59"/>
        <v/>
      </c>
      <c r="M413" s="290" t="str">
        <f t="shared" si="60"/>
        <v/>
      </c>
      <c r="N413" s="243" t="str">
        <f>IF($A413="","",IF(ABS(E413)&gt;0.000001,COUNT($N$1:N412)+1,""))</f>
        <v/>
      </c>
      <c r="O413" s="291" t="str">
        <f>IF($A413="","",SUMIFS(Transactions!$H$2:$H$1001,Transactions!$J$2:$J$1001,$A413,Transactions!$A$2:$A$1001,2)*$I413)</f>
        <v/>
      </c>
      <c r="P413" s="291" t="str">
        <f t="shared" si="61"/>
        <v/>
      </c>
      <c r="Q413" s="292" t="str">
        <f t="shared" si="62"/>
        <v/>
      </c>
    </row>
    <row r="414" spans="1:17" ht="15" customHeight="1" x14ac:dyDescent="0.2">
      <c r="A414" s="243" t="str">
        <f>IFERROR(INDEX(Txn[Key],MATCH(0,INDEX(COUNTIF($A$1:A413,Txn[Key])+(Txn[Key]=""),0),0)),"")</f>
        <v/>
      </c>
      <c r="B414" s="243" t="str">
        <f t="shared" si="54"/>
        <v/>
      </c>
      <c r="C414" s="243" t="str">
        <f t="shared" si="55"/>
        <v/>
      </c>
      <c r="D414" s="243" t="str">
        <f t="shared" si="56"/>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57"/>
        <v/>
      </c>
      <c r="K414" s="287" t="str">
        <f t="shared" si="58"/>
        <v/>
      </c>
      <c r="L414" s="287" t="str">
        <f t="shared" si="59"/>
        <v/>
      </c>
      <c r="M414" s="290" t="str">
        <f t="shared" si="60"/>
        <v/>
      </c>
      <c r="N414" s="243" t="str">
        <f>IF($A414="","",IF(ABS(E414)&gt;0.000001,COUNT($N$1:N413)+1,""))</f>
        <v/>
      </c>
      <c r="O414" s="291" t="str">
        <f>IF($A414="","",SUMIFS(Transactions!$H$2:$H$1001,Transactions!$J$2:$J$1001,$A414,Transactions!$A$2:$A$1001,2)*$I414)</f>
        <v/>
      </c>
      <c r="P414" s="291" t="str">
        <f t="shared" si="61"/>
        <v/>
      </c>
      <c r="Q414" s="292" t="str">
        <f t="shared" si="62"/>
        <v/>
      </c>
    </row>
    <row r="415" spans="1:17" ht="15" customHeight="1" x14ac:dyDescent="0.2">
      <c r="A415" s="243" t="str">
        <f>IFERROR(INDEX(Txn[Key],MATCH(0,INDEX(COUNTIF($A$1:A414,Txn[Key])+(Txn[Key]=""),0),0)),"")</f>
        <v/>
      </c>
      <c r="B415" s="243" t="str">
        <f t="shared" si="54"/>
        <v/>
      </c>
      <c r="C415" s="243" t="str">
        <f t="shared" si="55"/>
        <v/>
      </c>
      <c r="D415" s="243" t="str">
        <f t="shared" si="56"/>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57"/>
        <v/>
      </c>
      <c r="K415" s="287" t="str">
        <f t="shared" si="58"/>
        <v/>
      </c>
      <c r="L415" s="287" t="str">
        <f t="shared" si="59"/>
        <v/>
      </c>
      <c r="M415" s="290" t="str">
        <f t="shared" si="60"/>
        <v/>
      </c>
      <c r="N415" s="243" t="str">
        <f>IF($A415="","",IF(ABS(E415)&gt;0.000001,COUNT($N$1:N414)+1,""))</f>
        <v/>
      </c>
      <c r="O415" s="291" t="str">
        <f>IF($A415="","",SUMIFS(Transactions!$H$2:$H$1001,Transactions!$J$2:$J$1001,$A415,Transactions!$A$2:$A$1001,2)*$I415)</f>
        <v/>
      </c>
      <c r="P415" s="291" t="str">
        <f t="shared" si="61"/>
        <v/>
      </c>
      <c r="Q415" s="292" t="str">
        <f t="shared" si="62"/>
        <v/>
      </c>
    </row>
    <row r="416" spans="1:17" ht="15" customHeight="1" x14ac:dyDescent="0.2">
      <c r="A416" s="243" t="str">
        <f>IFERROR(INDEX(Txn[Key],MATCH(0,INDEX(COUNTIF($A$1:A415,Txn[Key])+(Txn[Key]=""),0),0)),"")</f>
        <v/>
      </c>
      <c r="B416" s="243" t="str">
        <f t="shared" si="54"/>
        <v/>
      </c>
      <c r="C416" s="243" t="str">
        <f t="shared" si="55"/>
        <v/>
      </c>
      <c r="D416" s="243" t="str">
        <f t="shared" si="56"/>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57"/>
        <v/>
      </c>
      <c r="K416" s="287" t="str">
        <f t="shared" si="58"/>
        <v/>
      </c>
      <c r="L416" s="287" t="str">
        <f t="shared" si="59"/>
        <v/>
      </c>
      <c r="M416" s="290" t="str">
        <f t="shared" si="60"/>
        <v/>
      </c>
      <c r="N416" s="243" t="str">
        <f>IF($A416="","",IF(ABS(E416)&gt;0.000001,COUNT($N$1:N415)+1,""))</f>
        <v/>
      </c>
      <c r="O416" s="291" t="str">
        <f>IF($A416="","",SUMIFS(Transactions!$H$2:$H$1001,Transactions!$J$2:$J$1001,$A416,Transactions!$A$2:$A$1001,2)*$I416)</f>
        <v/>
      </c>
      <c r="P416" s="291" t="str">
        <f t="shared" si="61"/>
        <v/>
      </c>
      <c r="Q416" s="292" t="str">
        <f t="shared" si="62"/>
        <v/>
      </c>
    </row>
    <row r="417" spans="1:17" ht="15" customHeight="1" x14ac:dyDescent="0.2">
      <c r="A417" s="243" t="str">
        <f>IFERROR(INDEX(Txn[Key],MATCH(0,INDEX(COUNTIF($A$1:A416,Txn[Key])+(Txn[Key]=""),0),0)),"")</f>
        <v/>
      </c>
      <c r="B417" s="243" t="str">
        <f t="shared" si="54"/>
        <v/>
      </c>
      <c r="C417" s="243" t="str">
        <f t="shared" si="55"/>
        <v/>
      </c>
      <c r="D417" s="243" t="str">
        <f t="shared" si="56"/>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57"/>
        <v/>
      </c>
      <c r="K417" s="287" t="str">
        <f t="shared" si="58"/>
        <v/>
      </c>
      <c r="L417" s="287" t="str">
        <f t="shared" si="59"/>
        <v/>
      </c>
      <c r="M417" s="290" t="str">
        <f t="shared" si="60"/>
        <v/>
      </c>
      <c r="N417" s="243" t="str">
        <f>IF($A417="","",IF(ABS(E417)&gt;0.000001,COUNT($N$1:N416)+1,""))</f>
        <v/>
      </c>
      <c r="O417" s="291" t="str">
        <f>IF($A417="","",SUMIFS(Transactions!$H$2:$H$1001,Transactions!$J$2:$J$1001,$A417,Transactions!$A$2:$A$1001,2)*$I417)</f>
        <v/>
      </c>
      <c r="P417" s="291" t="str">
        <f t="shared" si="61"/>
        <v/>
      </c>
      <c r="Q417" s="292" t="str">
        <f t="shared" si="62"/>
        <v/>
      </c>
    </row>
    <row r="418" spans="1:17" ht="15" customHeight="1" x14ac:dyDescent="0.2">
      <c r="A418" s="243" t="str">
        <f>IFERROR(INDEX(Txn[Key],MATCH(0,INDEX(COUNTIF($A$1:A417,Txn[Key])+(Txn[Key]=""),0),0)),"")</f>
        <v/>
      </c>
      <c r="B418" s="243" t="str">
        <f t="shared" si="54"/>
        <v/>
      </c>
      <c r="C418" s="243" t="str">
        <f t="shared" si="55"/>
        <v/>
      </c>
      <c r="D418" s="243" t="str">
        <f t="shared" si="56"/>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57"/>
        <v/>
      </c>
      <c r="K418" s="287" t="str">
        <f t="shared" si="58"/>
        <v/>
      </c>
      <c r="L418" s="287" t="str">
        <f t="shared" si="59"/>
        <v/>
      </c>
      <c r="M418" s="290" t="str">
        <f t="shared" si="60"/>
        <v/>
      </c>
      <c r="N418" s="243" t="str">
        <f>IF($A418="","",IF(ABS(E418)&gt;0.000001,COUNT($N$1:N417)+1,""))</f>
        <v/>
      </c>
      <c r="O418" s="291" t="str">
        <f>IF($A418="","",SUMIFS(Transactions!$H$2:$H$1001,Transactions!$J$2:$J$1001,$A418,Transactions!$A$2:$A$1001,2)*$I418)</f>
        <v/>
      </c>
      <c r="P418" s="291" t="str">
        <f t="shared" si="61"/>
        <v/>
      </c>
      <c r="Q418" s="292" t="str">
        <f t="shared" si="62"/>
        <v/>
      </c>
    </row>
    <row r="419" spans="1:17" ht="15" customHeight="1" x14ac:dyDescent="0.2">
      <c r="A419" s="243" t="str">
        <f>IFERROR(INDEX(Txn[Key],MATCH(0,INDEX(COUNTIF($A$1:A418,Txn[Key])+(Txn[Key]=""),0),0)),"")</f>
        <v/>
      </c>
      <c r="B419" s="243" t="str">
        <f t="shared" si="54"/>
        <v/>
      </c>
      <c r="C419" s="243" t="str">
        <f t="shared" si="55"/>
        <v/>
      </c>
      <c r="D419" s="243" t="str">
        <f t="shared" si="56"/>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57"/>
        <v/>
      </c>
      <c r="K419" s="287" t="str">
        <f t="shared" si="58"/>
        <v/>
      </c>
      <c r="L419" s="287" t="str">
        <f t="shared" si="59"/>
        <v/>
      </c>
      <c r="M419" s="290" t="str">
        <f t="shared" si="60"/>
        <v/>
      </c>
      <c r="N419" s="243" t="str">
        <f>IF($A419="","",IF(ABS(E419)&gt;0.000001,COUNT($N$1:N418)+1,""))</f>
        <v/>
      </c>
      <c r="O419" s="291" t="str">
        <f>IF($A419="","",SUMIFS(Transactions!$H$2:$H$1001,Transactions!$J$2:$J$1001,$A419,Transactions!$A$2:$A$1001,2)*$I419)</f>
        <v/>
      </c>
      <c r="P419" s="291" t="str">
        <f t="shared" si="61"/>
        <v/>
      </c>
      <c r="Q419" s="292" t="str">
        <f t="shared" si="62"/>
        <v/>
      </c>
    </row>
    <row r="420" spans="1:17" ht="15" customHeight="1" x14ac:dyDescent="0.2">
      <c r="A420" s="243" t="str">
        <f>IFERROR(INDEX(Txn[Key],MATCH(0,INDEX(COUNTIF($A$1:A419,Txn[Key])+(Txn[Key]=""),0),0)),"")</f>
        <v/>
      </c>
      <c r="B420" s="243" t="str">
        <f t="shared" si="54"/>
        <v/>
      </c>
      <c r="C420" s="243" t="str">
        <f t="shared" si="55"/>
        <v/>
      </c>
      <c r="D420" s="243" t="str">
        <f t="shared" si="56"/>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57"/>
        <v/>
      </c>
      <c r="K420" s="287" t="str">
        <f t="shared" si="58"/>
        <v/>
      </c>
      <c r="L420" s="287" t="str">
        <f t="shared" si="59"/>
        <v/>
      </c>
      <c r="M420" s="290" t="str">
        <f t="shared" si="60"/>
        <v/>
      </c>
      <c r="N420" s="243" t="str">
        <f>IF($A420="","",IF(ABS(E420)&gt;0.000001,COUNT($N$1:N419)+1,""))</f>
        <v/>
      </c>
      <c r="O420" s="291" t="str">
        <f>IF($A420="","",SUMIFS(Transactions!$H$2:$H$1001,Transactions!$J$2:$J$1001,$A420,Transactions!$A$2:$A$1001,2)*$I420)</f>
        <v/>
      </c>
      <c r="P420" s="291" t="str">
        <f t="shared" si="61"/>
        <v/>
      </c>
      <c r="Q420" s="292" t="str">
        <f t="shared" si="62"/>
        <v/>
      </c>
    </row>
    <row r="421" spans="1:17" ht="15" customHeight="1" x14ac:dyDescent="0.2">
      <c r="A421" s="243" t="str">
        <f>IFERROR(INDEX(Txn[Key],MATCH(0,INDEX(COUNTIF($A$1:A420,Txn[Key])+(Txn[Key]=""),0),0)),"")</f>
        <v/>
      </c>
      <c r="B421" s="243" t="str">
        <f t="shared" si="54"/>
        <v/>
      </c>
      <c r="C421" s="243" t="str">
        <f t="shared" si="55"/>
        <v/>
      </c>
      <c r="D421" s="243" t="str">
        <f t="shared" si="56"/>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57"/>
        <v/>
      </c>
      <c r="K421" s="287" t="str">
        <f t="shared" si="58"/>
        <v/>
      </c>
      <c r="L421" s="287" t="str">
        <f t="shared" si="59"/>
        <v/>
      </c>
      <c r="M421" s="290" t="str">
        <f t="shared" si="60"/>
        <v/>
      </c>
      <c r="N421" s="243" t="str">
        <f>IF($A421="","",IF(ABS(E421)&gt;0.000001,COUNT($N$1:N420)+1,""))</f>
        <v/>
      </c>
      <c r="O421" s="291" t="str">
        <f>IF($A421="","",SUMIFS(Transactions!$H$2:$H$1001,Transactions!$J$2:$J$1001,$A421,Transactions!$A$2:$A$1001,2)*$I421)</f>
        <v/>
      </c>
      <c r="P421" s="291" t="str">
        <f t="shared" si="61"/>
        <v/>
      </c>
      <c r="Q421" s="292" t="str">
        <f t="shared" si="62"/>
        <v/>
      </c>
    </row>
    <row r="422" spans="1:17" ht="15" customHeight="1" x14ac:dyDescent="0.2">
      <c r="A422" s="243" t="str">
        <f>IFERROR(INDEX(Txn[Key],MATCH(0,INDEX(COUNTIF($A$1:A421,Txn[Key])+(Txn[Key]=""),0),0)),"")</f>
        <v/>
      </c>
      <c r="B422" s="243" t="str">
        <f t="shared" si="54"/>
        <v/>
      </c>
      <c r="C422" s="243" t="str">
        <f t="shared" si="55"/>
        <v/>
      </c>
      <c r="D422" s="243" t="str">
        <f t="shared" si="56"/>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57"/>
        <v/>
      </c>
      <c r="K422" s="287" t="str">
        <f t="shared" si="58"/>
        <v/>
      </c>
      <c r="L422" s="287" t="str">
        <f t="shared" si="59"/>
        <v/>
      </c>
      <c r="M422" s="290" t="str">
        <f t="shared" si="60"/>
        <v/>
      </c>
      <c r="N422" s="243" t="str">
        <f>IF($A422="","",IF(ABS(E422)&gt;0.000001,COUNT($N$1:N421)+1,""))</f>
        <v/>
      </c>
      <c r="O422" s="291" t="str">
        <f>IF($A422="","",SUMIFS(Transactions!$H$2:$H$1001,Transactions!$J$2:$J$1001,$A422,Transactions!$A$2:$A$1001,2)*$I422)</f>
        <v/>
      </c>
      <c r="P422" s="291" t="str">
        <f t="shared" si="61"/>
        <v/>
      </c>
      <c r="Q422" s="292" t="str">
        <f t="shared" si="62"/>
        <v/>
      </c>
    </row>
    <row r="423" spans="1:17" ht="15" customHeight="1" x14ac:dyDescent="0.2">
      <c r="A423" s="243" t="str">
        <f>IFERROR(INDEX(Txn[Key],MATCH(0,INDEX(COUNTIF($A$1:A422,Txn[Key])+(Txn[Key]=""),0),0)),"")</f>
        <v/>
      </c>
      <c r="B423" s="243" t="str">
        <f t="shared" si="54"/>
        <v/>
      </c>
      <c r="C423" s="243" t="str">
        <f t="shared" si="55"/>
        <v/>
      </c>
      <c r="D423" s="243" t="str">
        <f t="shared" si="56"/>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57"/>
        <v/>
      </c>
      <c r="K423" s="287" t="str">
        <f t="shared" si="58"/>
        <v/>
      </c>
      <c r="L423" s="287" t="str">
        <f t="shared" si="59"/>
        <v/>
      </c>
      <c r="M423" s="290" t="str">
        <f t="shared" si="60"/>
        <v/>
      </c>
      <c r="N423" s="243" t="str">
        <f>IF($A423="","",IF(ABS(E423)&gt;0.000001,COUNT($N$1:N422)+1,""))</f>
        <v/>
      </c>
      <c r="O423" s="291" t="str">
        <f>IF($A423="","",SUMIFS(Transactions!$H$2:$H$1001,Transactions!$J$2:$J$1001,$A423,Transactions!$A$2:$A$1001,2)*$I423)</f>
        <v/>
      </c>
      <c r="P423" s="291" t="str">
        <f t="shared" si="61"/>
        <v/>
      </c>
      <c r="Q423" s="292" t="str">
        <f t="shared" si="62"/>
        <v/>
      </c>
    </row>
    <row r="424" spans="1:17" ht="15" customHeight="1" x14ac:dyDescent="0.2">
      <c r="A424" s="243" t="str">
        <f>IFERROR(INDEX(Txn[Key],MATCH(0,INDEX(COUNTIF($A$1:A423,Txn[Key])+(Txn[Key]=""),0),0)),"")</f>
        <v/>
      </c>
      <c r="B424" s="243" t="str">
        <f t="shared" si="54"/>
        <v/>
      </c>
      <c r="C424" s="243" t="str">
        <f t="shared" si="55"/>
        <v/>
      </c>
      <c r="D424" s="243" t="str">
        <f t="shared" si="56"/>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57"/>
        <v/>
      </c>
      <c r="K424" s="287" t="str">
        <f t="shared" si="58"/>
        <v/>
      </c>
      <c r="L424" s="287" t="str">
        <f t="shared" si="59"/>
        <v/>
      </c>
      <c r="M424" s="290" t="str">
        <f t="shared" si="60"/>
        <v/>
      </c>
      <c r="N424" s="243" t="str">
        <f>IF($A424="","",IF(ABS(E424)&gt;0.000001,COUNT($N$1:N423)+1,""))</f>
        <v/>
      </c>
      <c r="O424" s="291" t="str">
        <f>IF($A424="","",SUMIFS(Transactions!$H$2:$H$1001,Transactions!$J$2:$J$1001,$A424,Transactions!$A$2:$A$1001,2)*$I424)</f>
        <v/>
      </c>
      <c r="P424" s="291" t="str">
        <f t="shared" si="61"/>
        <v/>
      </c>
      <c r="Q424" s="292" t="str">
        <f t="shared" si="62"/>
        <v/>
      </c>
    </row>
    <row r="425" spans="1:17" ht="15" customHeight="1" x14ac:dyDescent="0.2">
      <c r="A425" s="243" t="str">
        <f>IFERROR(INDEX(Txn[Key],MATCH(0,INDEX(COUNTIF($A$1:A424,Txn[Key])+(Txn[Key]=""),0),0)),"")</f>
        <v/>
      </c>
      <c r="B425" s="243" t="str">
        <f t="shared" si="54"/>
        <v/>
      </c>
      <c r="C425" s="243" t="str">
        <f t="shared" si="55"/>
        <v/>
      </c>
      <c r="D425" s="243" t="str">
        <f t="shared" si="56"/>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57"/>
        <v/>
      </c>
      <c r="K425" s="287" t="str">
        <f t="shared" si="58"/>
        <v/>
      </c>
      <c r="L425" s="287" t="str">
        <f t="shared" si="59"/>
        <v/>
      </c>
      <c r="M425" s="290" t="str">
        <f t="shared" si="60"/>
        <v/>
      </c>
      <c r="N425" s="243" t="str">
        <f>IF($A425="","",IF(ABS(E425)&gt;0.000001,COUNT($N$1:N424)+1,""))</f>
        <v/>
      </c>
      <c r="O425" s="291" t="str">
        <f>IF($A425="","",SUMIFS(Transactions!$H$2:$H$1001,Transactions!$J$2:$J$1001,$A425,Transactions!$A$2:$A$1001,2)*$I425)</f>
        <v/>
      </c>
      <c r="P425" s="291" t="str">
        <f t="shared" si="61"/>
        <v/>
      </c>
      <c r="Q425" s="292" t="str">
        <f t="shared" si="62"/>
        <v/>
      </c>
    </row>
    <row r="426" spans="1:17" ht="15" customHeight="1" x14ac:dyDescent="0.2">
      <c r="A426" s="243" t="str">
        <f>IFERROR(INDEX(Txn[Key],MATCH(0,INDEX(COUNTIF($A$1:A425,Txn[Key])+(Txn[Key]=""),0),0)),"")</f>
        <v/>
      </c>
      <c r="B426" s="243" t="str">
        <f t="shared" si="54"/>
        <v/>
      </c>
      <c r="C426" s="243" t="str">
        <f t="shared" si="55"/>
        <v/>
      </c>
      <c r="D426" s="243" t="str">
        <f t="shared" si="56"/>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57"/>
        <v/>
      </c>
      <c r="K426" s="287" t="str">
        <f t="shared" si="58"/>
        <v/>
      </c>
      <c r="L426" s="287" t="str">
        <f t="shared" si="59"/>
        <v/>
      </c>
      <c r="M426" s="290" t="str">
        <f t="shared" si="60"/>
        <v/>
      </c>
      <c r="N426" s="243" t="str">
        <f>IF($A426="","",IF(ABS(E426)&gt;0.000001,COUNT($N$1:N425)+1,""))</f>
        <v/>
      </c>
      <c r="O426" s="291" t="str">
        <f>IF($A426="","",SUMIFS(Transactions!$H$2:$H$1001,Transactions!$J$2:$J$1001,$A426,Transactions!$A$2:$A$1001,2)*$I426)</f>
        <v/>
      </c>
      <c r="P426" s="291" t="str">
        <f t="shared" si="61"/>
        <v/>
      </c>
      <c r="Q426" s="292" t="str">
        <f t="shared" si="62"/>
        <v/>
      </c>
    </row>
    <row r="427" spans="1:17" ht="15" customHeight="1" x14ac:dyDescent="0.2">
      <c r="A427" s="243" t="str">
        <f>IFERROR(INDEX(Txn[Key],MATCH(0,INDEX(COUNTIF($A$1:A426,Txn[Key])+(Txn[Key]=""),0),0)),"")</f>
        <v/>
      </c>
      <c r="B427" s="243" t="str">
        <f t="shared" si="54"/>
        <v/>
      </c>
      <c r="C427" s="243" t="str">
        <f t="shared" si="55"/>
        <v/>
      </c>
      <c r="D427" s="243" t="str">
        <f t="shared" si="56"/>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57"/>
        <v/>
      </c>
      <c r="K427" s="287" t="str">
        <f t="shared" si="58"/>
        <v/>
      </c>
      <c r="L427" s="287" t="str">
        <f t="shared" si="59"/>
        <v/>
      </c>
      <c r="M427" s="290" t="str">
        <f t="shared" si="60"/>
        <v/>
      </c>
      <c r="N427" s="243" t="str">
        <f>IF($A427="","",IF(ABS(E427)&gt;0.000001,COUNT($N$1:N426)+1,""))</f>
        <v/>
      </c>
      <c r="O427" s="291" t="str">
        <f>IF($A427="","",SUMIFS(Transactions!$H$2:$H$1001,Transactions!$J$2:$J$1001,$A427,Transactions!$A$2:$A$1001,2)*$I427)</f>
        <v/>
      </c>
      <c r="P427" s="291" t="str">
        <f t="shared" si="61"/>
        <v/>
      </c>
      <c r="Q427" s="292" t="str">
        <f t="shared" si="62"/>
        <v/>
      </c>
    </row>
    <row r="428" spans="1:17" ht="15" customHeight="1" x14ac:dyDescent="0.2">
      <c r="A428" s="243" t="str">
        <f>IFERROR(INDEX(Txn[Key],MATCH(0,INDEX(COUNTIF($A$1:A427,Txn[Key])+(Txn[Key]=""),0),0)),"")</f>
        <v/>
      </c>
      <c r="B428" s="243" t="str">
        <f t="shared" si="54"/>
        <v/>
      </c>
      <c r="C428" s="243" t="str">
        <f t="shared" si="55"/>
        <v/>
      </c>
      <c r="D428" s="243" t="str">
        <f t="shared" si="56"/>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57"/>
        <v/>
      </c>
      <c r="K428" s="287" t="str">
        <f t="shared" si="58"/>
        <v/>
      </c>
      <c r="L428" s="287" t="str">
        <f t="shared" si="59"/>
        <v/>
      </c>
      <c r="M428" s="290" t="str">
        <f t="shared" si="60"/>
        <v/>
      </c>
      <c r="N428" s="243" t="str">
        <f>IF($A428="","",IF(ABS(E428)&gt;0.000001,COUNT($N$1:N427)+1,""))</f>
        <v/>
      </c>
      <c r="O428" s="291" t="str">
        <f>IF($A428="","",SUMIFS(Transactions!$H$2:$H$1001,Transactions!$J$2:$J$1001,$A428,Transactions!$A$2:$A$1001,2)*$I428)</f>
        <v/>
      </c>
      <c r="P428" s="291" t="str">
        <f t="shared" si="61"/>
        <v/>
      </c>
      <c r="Q428" s="292" t="str">
        <f t="shared" si="62"/>
        <v/>
      </c>
    </row>
    <row r="429" spans="1:17" ht="15" customHeight="1" x14ac:dyDescent="0.2">
      <c r="A429" s="243" t="str">
        <f>IFERROR(INDEX(Txn[Key],MATCH(0,INDEX(COUNTIF($A$1:A428,Txn[Key])+(Txn[Key]=""),0),0)),"")</f>
        <v/>
      </c>
      <c r="B429" s="243" t="str">
        <f t="shared" si="54"/>
        <v/>
      </c>
      <c r="C429" s="243" t="str">
        <f t="shared" si="55"/>
        <v/>
      </c>
      <c r="D429" s="243" t="str">
        <f t="shared" si="56"/>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57"/>
        <v/>
      </c>
      <c r="K429" s="287" t="str">
        <f t="shared" si="58"/>
        <v/>
      </c>
      <c r="L429" s="287" t="str">
        <f t="shared" si="59"/>
        <v/>
      </c>
      <c r="M429" s="290" t="str">
        <f t="shared" si="60"/>
        <v/>
      </c>
      <c r="N429" s="243" t="str">
        <f>IF($A429="","",IF(ABS(E429)&gt;0.000001,COUNT($N$1:N428)+1,""))</f>
        <v/>
      </c>
      <c r="O429" s="291" t="str">
        <f>IF($A429="","",SUMIFS(Transactions!$H$2:$H$1001,Transactions!$J$2:$J$1001,$A429,Transactions!$A$2:$A$1001,2)*$I429)</f>
        <v/>
      </c>
      <c r="P429" s="291" t="str">
        <f t="shared" si="61"/>
        <v/>
      </c>
      <c r="Q429" s="292" t="str">
        <f t="shared" si="62"/>
        <v/>
      </c>
    </row>
    <row r="430" spans="1:17" ht="15" customHeight="1" x14ac:dyDescent="0.2">
      <c r="A430" s="243" t="str">
        <f>IFERROR(INDEX(Txn[Key],MATCH(0,INDEX(COUNTIF($A$1:A429,Txn[Key])+(Txn[Key]=""),0),0)),"")</f>
        <v/>
      </c>
      <c r="B430" s="243" t="str">
        <f t="shared" si="54"/>
        <v/>
      </c>
      <c r="C430" s="243" t="str">
        <f t="shared" si="55"/>
        <v/>
      </c>
      <c r="D430" s="243" t="str">
        <f t="shared" si="56"/>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57"/>
        <v/>
      </c>
      <c r="K430" s="287" t="str">
        <f t="shared" si="58"/>
        <v/>
      </c>
      <c r="L430" s="287" t="str">
        <f t="shared" si="59"/>
        <v/>
      </c>
      <c r="M430" s="290" t="str">
        <f t="shared" si="60"/>
        <v/>
      </c>
      <c r="N430" s="243" t="str">
        <f>IF($A430="","",IF(ABS(E430)&gt;0.000001,COUNT($N$1:N429)+1,""))</f>
        <v/>
      </c>
      <c r="O430" s="291" t="str">
        <f>IF($A430="","",SUMIFS(Transactions!$H$2:$H$1001,Transactions!$J$2:$J$1001,$A430,Transactions!$A$2:$A$1001,2)*$I430)</f>
        <v/>
      </c>
      <c r="P430" s="291" t="str">
        <f t="shared" si="61"/>
        <v/>
      </c>
      <c r="Q430" s="292" t="str">
        <f t="shared" si="62"/>
        <v/>
      </c>
    </row>
    <row r="431" spans="1:17" ht="15" customHeight="1" x14ac:dyDescent="0.2">
      <c r="A431" s="243" t="str">
        <f>IFERROR(INDEX(Txn[Key],MATCH(0,INDEX(COUNTIF($A$1:A430,Txn[Key])+(Txn[Key]=""),0),0)),"")</f>
        <v/>
      </c>
      <c r="B431" s="243" t="str">
        <f t="shared" si="54"/>
        <v/>
      </c>
      <c r="C431" s="243" t="str">
        <f t="shared" si="55"/>
        <v/>
      </c>
      <c r="D431" s="243" t="str">
        <f t="shared" si="56"/>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57"/>
        <v/>
      </c>
      <c r="K431" s="287" t="str">
        <f t="shared" si="58"/>
        <v/>
      </c>
      <c r="L431" s="287" t="str">
        <f t="shared" si="59"/>
        <v/>
      </c>
      <c r="M431" s="290" t="str">
        <f t="shared" si="60"/>
        <v/>
      </c>
      <c r="N431" s="243" t="str">
        <f>IF($A431="","",IF(ABS(E431)&gt;0.000001,COUNT($N$1:N430)+1,""))</f>
        <v/>
      </c>
      <c r="O431" s="291" t="str">
        <f>IF($A431="","",SUMIFS(Transactions!$H$2:$H$1001,Transactions!$J$2:$J$1001,$A431,Transactions!$A$2:$A$1001,2)*$I431)</f>
        <v/>
      </c>
      <c r="P431" s="291" t="str">
        <f t="shared" si="61"/>
        <v/>
      </c>
      <c r="Q431" s="292" t="str">
        <f t="shared" si="62"/>
        <v/>
      </c>
    </row>
    <row r="432" spans="1:17" ht="15" customHeight="1" x14ac:dyDescent="0.2">
      <c r="A432" s="243" t="str">
        <f>IFERROR(INDEX(Txn[Key],MATCH(0,INDEX(COUNTIF($A$1:A431,Txn[Key])+(Txn[Key]=""),0),0)),"")</f>
        <v/>
      </c>
      <c r="B432" s="243" t="str">
        <f t="shared" si="54"/>
        <v/>
      </c>
      <c r="C432" s="243" t="str">
        <f t="shared" si="55"/>
        <v/>
      </c>
      <c r="D432" s="243" t="str">
        <f t="shared" si="56"/>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57"/>
        <v/>
      </c>
      <c r="K432" s="287" t="str">
        <f t="shared" si="58"/>
        <v/>
      </c>
      <c r="L432" s="287" t="str">
        <f t="shared" si="59"/>
        <v/>
      </c>
      <c r="M432" s="290" t="str">
        <f t="shared" si="60"/>
        <v/>
      </c>
      <c r="N432" s="243" t="str">
        <f>IF($A432="","",IF(ABS(E432)&gt;0.000001,COUNT($N$1:N431)+1,""))</f>
        <v/>
      </c>
      <c r="O432" s="291" t="str">
        <f>IF($A432="","",SUMIFS(Transactions!$H$2:$H$1001,Transactions!$J$2:$J$1001,$A432,Transactions!$A$2:$A$1001,2)*$I432)</f>
        <v/>
      </c>
      <c r="P432" s="291" t="str">
        <f t="shared" si="61"/>
        <v/>
      </c>
      <c r="Q432" s="292" t="str">
        <f t="shared" si="62"/>
        <v/>
      </c>
    </row>
    <row r="433" spans="1:17" ht="15" customHeight="1" x14ac:dyDescent="0.2">
      <c r="A433" s="243" t="str">
        <f>IFERROR(INDEX(Txn[Key],MATCH(0,INDEX(COUNTIF($A$1:A432,Txn[Key])+(Txn[Key]=""),0),0)),"")</f>
        <v/>
      </c>
      <c r="B433" s="243" t="str">
        <f t="shared" si="54"/>
        <v/>
      </c>
      <c r="C433" s="243" t="str">
        <f t="shared" si="55"/>
        <v/>
      </c>
      <c r="D433" s="243" t="str">
        <f t="shared" si="56"/>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57"/>
        <v/>
      </c>
      <c r="K433" s="287" t="str">
        <f t="shared" si="58"/>
        <v/>
      </c>
      <c r="L433" s="287" t="str">
        <f t="shared" si="59"/>
        <v/>
      </c>
      <c r="M433" s="290" t="str">
        <f t="shared" si="60"/>
        <v/>
      </c>
      <c r="N433" s="243" t="str">
        <f>IF($A433="","",IF(ABS(E433)&gt;0.000001,COUNT($N$1:N432)+1,""))</f>
        <v/>
      </c>
      <c r="O433" s="291" t="str">
        <f>IF($A433="","",SUMIFS(Transactions!$H$2:$H$1001,Transactions!$J$2:$J$1001,$A433,Transactions!$A$2:$A$1001,2)*$I433)</f>
        <v/>
      </c>
      <c r="P433" s="291" t="str">
        <f t="shared" si="61"/>
        <v/>
      </c>
      <c r="Q433" s="292" t="str">
        <f t="shared" si="62"/>
        <v/>
      </c>
    </row>
    <row r="434" spans="1:17" ht="15" customHeight="1" x14ac:dyDescent="0.2">
      <c r="A434" s="243" t="str">
        <f>IFERROR(INDEX(Txn[Key],MATCH(0,INDEX(COUNTIF($A$1:A433,Txn[Key])+(Txn[Key]=""),0),0)),"")</f>
        <v/>
      </c>
      <c r="B434" s="243" t="str">
        <f t="shared" si="54"/>
        <v/>
      </c>
      <c r="C434" s="243" t="str">
        <f t="shared" si="55"/>
        <v/>
      </c>
      <c r="D434" s="243" t="str">
        <f t="shared" si="56"/>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57"/>
        <v/>
      </c>
      <c r="K434" s="287" t="str">
        <f t="shared" si="58"/>
        <v/>
      </c>
      <c r="L434" s="287" t="str">
        <f t="shared" si="59"/>
        <v/>
      </c>
      <c r="M434" s="290" t="str">
        <f t="shared" si="60"/>
        <v/>
      </c>
      <c r="N434" s="243" t="str">
        <f>IF($A434="","",IF(ABS(E434)&gt;0.000001,COUNT($N$1:N433)+1,""))</f>
        <v/>
      </c>
      <c r="O434" s="291" t="str">
        <f>IF($A434="","",SUMIFS(Transactions!$H$2:$H$1001,Transactions!$J$2:$J$1001,$A434,Transactions!$A$2:$A$1001,2)*$I434)</f>
        <v/>
      </c>
      <c r="P434" s="291" t="str">
        <f t="shared" si="61"/>
        <v/>
      </c>
      <c r="Q434" s="292" t="str">
        <f t="shared" si="62"/>
        <v/>
      </c>
    </row>
    <row r="435" spans="1:17" ht="15" customHeight="1" x14ac:dyDescent="0.2">
      <c r="A435" s="243" t="str">
        <f>IFERROR(INDEX(Txn[Key],MATCH(0,INDEX(COUNTIF($A$1:A434,Txn[Key])+(Txn[Key]=""),0),0)),"")</f>
        <v/>
      </c>
      <c r="B435" s="243" t="str">
        <f t="shared" si="54"/>
        <v/>
      </c>
      <c r="C435" s="243" t="str">
        <f t="shared" si="55"/>
        <v/>
      </c>
      <c r="D435" s="243" t="str">
        <f t="shared" si="56"/>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57"/>
        <v/>
      </c>
      <c r="K435" s="287" t="str">
        <f t="shared" si="58"/>
        <v/>
      </c>
      <c r="L435" s="287" t="str">
        <f t="shared" si="59"/>
        <v/>
      </c>
      <c r="M435" s="290" t="str">
        <f t="shared" si="60"/>
        <v/>
      </c>
      <c r="N435" s="243" t="str">
        <f>IF($A435="","",IF(ABS(E435)&gt;0.000001,COUNT($N$1:N434)+1,""))</f>
        <v/>
      </c>
      <c r="O435" s="291" t="str">
        <f>IF($A435="","",SUMIFS(Transactions!$H$2:$H$1001,Transactions!$J$2:$J$1001,$A435,Transactions!$A$2:$A$1001,2)*$I435)</f>
        <v/>
      </c>
      <c r="P435" s="291" t="str">
        <f t="shared" si="61"/>
        <v/>
      </c>
      <c r="Q435" s="292" t="str">
        <f t="shared" si="62"/>
        <v/>
      </c>
    </row>
    <row r="436" spans="1:17" ht="15" customHeight="1" x14ac:dyDescent="0.2">
      <c r="A436" s="243" t="str">
        <f>IFERROR(INDEX(Txn[Key],MATCH(0,INDEX(COUNTIF($A$1:A435,Txn[Key])+(Txn[Key]=""),0),0)),"")</f>
        <v/>
      </c>
      <c r="B436" s="243" t="str">
        <f t="shared" si="54"/>
        <v/>
      </c>
      <c r="C436" s="243" t="str">
        <f t="shared" si="55"/>
        <v/>
      </c>
      <c r="D436" s="243" t="str">
        <f t="shared" si="56"/>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57"/>
        <v/>
      </c>
      <c r="K436" s="287" t="str">
        <f t="shared" si="58"/>
        <v/>
      </c>
      <c r="L436" s="287" t="str">
        <f t="shared" si="59"/>
        <v/>
      </c>
      <c r="M436" s="290" t="str">
        <f t="shared" si="60"/>
        <v/>
      </c>
      <c r="N436" s="243" t="str">
        <f>IF($A436="","",IF(ABS(E436)&gt;0.000001,COUNT($N$1:N435)+1,""))</f>
        <v/>
      </c>
      <c r="O436" s="291" t="str">
        <f>IF($A436="","",SUMIFS(Transactions!$H$2:$H$1001,Transactions!$J$2:$J$1001,$A436,Transactions!$A$2:$A$1001,2)*$I436)</f>
        <v/>
      </c>
      <c r="P436" s="291" t="str">
        <f t="shared" si="61"/>
        <v/>
      </c>
      <c r="Q436" s="292" t="str">
        <f t="shared" si="62"/>
        <v/>
      </c>
    </row>
    <row r="437" spans="1:17" ht="15" customHeight="1" x14ac:dyDescent="0.2">
      <c r="A437" s="243" t="str">
        <f>IFERROR(INDEX(Txn[Key],MATCH(0,INDEX(COUNTIF($A$1:A436,Txn[Key])+(Txn[Key]=""),0),0)),"")</f>
        <v/>
      </c>
      <c r="B437" s="243" t="str">
        <f t="shared" si="54"/>
        <v/>
      </c>
      <c r="C437" s="243" t="str">
        <f t="shared" si="55"/>
        <v/>
      </c>
      <c r="D437" s="243" t="str">
        <f t="shared" si="56"/>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57"/>
        <v/>
      </c>
      <c r="K437" s="287" t="str">
        <f t="shared" si="58"/>
        <v/>
      </c>
      <c r="L437" s="287" t="str">
        <f t="shared" si="59"/>
        <v/>
      </c>
      <c r="M437" s="290" t="str">
        <f t="shared" si="60"/>
        <v/>
      </c>
      <c r="N437" s="243" t="str">
        <f>IF($A437="","",IF(ABS(E437)&gt;0.000001,COUNT($N$1:N436)+1,""))</f>
        <v/>
      </c>
      <c r="O437" s="291" t="str">
        <f>IF($A437="","",SUMIFS(Transactions!$H$2:$H$1001,Transactions!$J$2:$J$1001,$A437,Transactions!$A$2:$A$1001,2)*$I437)</f>
        <v/>
      </c>
      <c r="P437" s="291" t="str">
        <f t="shared" si="61"/>
        <v/>
      </c>
      <c r="Q437" s="292" t="str">
        <f t="shared" si="62"/>
        <v/>
      </c>
    </row>
    <row r="438" spans="1:17" ht="15" customHeight="1" x14ac:dyDescent="0.2">
      <c r="A438" s="243" t="str">
        <f>IFERROR(INDEX(Txn[Key],MATCH(0,INDEX(COUNTIF($A$1:A437,Txn[Key])+(Txn[Key]=""),0),0)),"")</f>
        <v/>
      </c>
      <c r="B438" s="243" t="str">
        <f t="shared" si="54"/>
        <v/>
      </c>
      <c r="C438" s="243" t="str">
        <f t="shared" si="55"/>
        <v/>
      </c>
      <c r="D438" s="243" t="str">
        <f t="shared" si="56"/>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57"/>
        <v/>
      </c>
      <c r="K438" s="287" t="str">
        <f t="shared" si="58"/>
        <v/>
      </c>
      <c r="L438" s="287" t="str">
        <f t="shared" si="59"/>
        <v/>
      </c>
      <c r="M438" s="290" t="str">
        <f t="shared" si="60"/>
        <v/>
      </c>
      <c r="N438" s="243" t="str">
        <f>IF($A438="","",IF(ABS(E438)&gt;0.000001,COUNT($N$1:N437)+1,""))</f>
        <v/>
      </c>
      <c r="O438" s="291" t="str">
        <f>IF($A438="","",SUMIFS(Transactions!$H$2:$H$1001,Transactions!$J$2:$J$1001,$A438,Transactions!$A$2:$A$1001,2)*$I438)</f>
        <v/>
      </c>
      <c r="P438" s="291" t="str">
        <f t="shared" si="61"/>
        <v/>
      </c>
      <c r="Q438" s="292" t="str">
        <f t="shared" si="62"/>
        <v/>
      </c>
    </row>
    <row r="439" spans="1:17" ht="15" customHeight="1" x14ac:dyDescent="0.2">
      <c r="A439" s="243" t="str">
        <f>IFERROR(INDEX(Txn[Key],MATCH(0,INDEX(COUNTIF($A$1:A438,Txn[Key])+(Txn[Key]=""),0),0)),"")</f>
        <v/>
      </c>
      <c r="B439" s="243" t="str">
        <f t="shared" si="54"/>
        <v/>
      </c>
      <c r="C439" s="243" t="str">
        <f t="shared" si="55"/>
        <v/>
      </c>
      <c r="D439" s="243" t="str">
        <f t="shared" si="56"/>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57"/>
        <v/>
      </c>
      <c r="K439" s="287" t="str">
        <f t="shared" si="58"/>
        <v/>
      </c>
      <c r="L439" s="287" t="str">
        <f t="shared" si="59"/>
        <v/>
      </c>
      <c r="M439" s="290" t="str">
        <f t="shared" si="60"/>
        <v/>
      </c>
      <c r="N439" s="243" t="str">
        <f>IF($A439="","",IF(ABS(E439)&gt;0.000001,COUNT($N$1:N438)+1,""))</f>
        <v/>
      </c>
      <c r="O439" s="291" t="str">
        <f>IF($A439="","",SUMIFS(Transactions!$H$2:$H$1001,Transactions!$J$2:$J$1001,$A439,Transactions!$A$2:$A$1001,2)*$I439)</f>
        <v/>
      </c>
      <c r="P439" s="291" t="str">
        <f t="shared" si="61"/>
        <v/>
      </c>
      <c r="Q439" s="292" t="str">
        <f t="shared" si="62"/>
        <v/>
      </c>
    </row>
    <row r="440" spans="1:17" ht="15" customHeight="1" x14ac:dyDescent="0.2">
      <c r="A440" s="243" t="str">
        <f>IFERROR(INDEX(Txn[Key],MATCH(0,INDEX(COUNTIF($A$1:A439,Txn[Key])+(Txn[Key]=""),0),0)),"")</f>
        <v/>
      </c>
      <c r="B440" s="243" t="str">
        <f t="shared" si="54"/>
        <v/>
      </c>
      <c r="C440" s="243" t="str">
        <f t="shared" si="55"/>
        <v/>
      </c>
      <c r="D440" s="243" t="str">
        <f t="shared" si="56"/>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57"/>
        <v/>
      </c>
      <c r="K440" s="287" t="str">
        <f t="shared" si="58"/>
        <v/>
      </c>
      <c r="L440" s="287" t="str">
        <f t="shared" si="59"/>
        <v/>
      </c>
      <c r="M440" s="290" t="str">
        <f t="shared" si="60"/>
        <v/>
      </c>
      <c r="N440" s="243" t="str">
        <f>IF($A440="","",IF(ABS(E440)&gt;0.000001,COUNT($N$1:N439)+1,""))</f>
        <v/>
      </c>
      <c r="O440" s="291" t="str">
        <f>IF($A440="","",SUMIFS(Transactions!$H$2:$H$1001,Transactions!$J$2:$J$1001,$A440,Transactions!$A$2:$A$1001,2)*$I440)</f>
        <v/>
      </c>
      <c r="P440" s="291" t="str">
        <f t="shared" si="61"/>
        <v/>
      </c>
      <c r="Q440" s="292" t="str">
        <f t="shared" si="62"/>
        <v/>
      </c>
    </row>
    <row r="441" spans="1:17" ht="15" customHeight="1" x14ac:dyDescent="0.2">
      <c r="A441" s="243" t="str">
        <f>IFERROR(INDEX(Txn[Key],MATCH(0,INDEX(COUNTIF($A$1:A440,Txn[Key])+(Txn[Key]=""),0),0)),"")</f>
        <v/>
      </c>
      <c r="B441" s="243" t="str">
        <f t="shared" si="54"/>
        <v/>
      </c>
      <c r="C441" s="243" t="str">
        <f t="shared" si="55"/>
        <v/>
      </c>
      <c r="D441" s="243" t="str">
        <f t="shared" si="56"/>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57"/>
        <v/>
      </c>
      <c r="K441" s="287" t="str">
        <f t="shared" si="58"/>
        <v/>
      </c>
      <c r="L441" s="287" t="str">
        <f t="shared" si="59"/>
        <v/>
      </c>
      <c r="M441" s="290" t="str">
        <f t="shared" si="60"/>
        <v/>
      </c>
      <c r="N441" s="243" t="str">
        <f>IF($A441="","",IF(ABS(E441)&gt;0.000001,COUNT($N$1:N440)+1,""))</f>
        <v/>
      </c>
      <c r="O441" s="291" t="str">
        <f>IF($A441="","",SUMIFS(Transactions!$H$2:$H$1001,Transactions!$J$2:$J$1001,$A441,Transactions!$A$2:$A$1001,2)*$I441)</f>
        <v/>
      </c>
      <c r="P441" s="291" t="str">
        <f t="shared" si="61"/>
        <v/>
      </c>
      <c r="Q441" s="292" t="str">
        <f t="shared" si="62"/>
        <v/>
      </c>
    </row>
    <row r="442" spans="1:17" ht="15" customHeight="1" x14ac:dyDescent="0.2">
      <c r="A442" s="243" t="str">
        <f>IFERROR(INDEX(Txn[Key],MATCH(0,INDEX(COUNTIF($A$1:A441,Txn[Key])+(Txn[Key]=""),0),0)),"")</f>
        <v/>
      </c>
      <c r="B442" s="243" t="str">
        <f t="shared" si="54"/>
        <v/>
      </c>
      <c r="C442" s="243" t="str">
        <f t="shared" si="55"/>
        <v/>
      </c>
      <c r="D442" s="243" t="str">
        <f t="shared" si="56"/>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57"/>
        <v/>
      </c>
      <c r="K442" s="287" t="str">
        <f t="shared" si="58"/>
        <v/>
      </c>
      <c r="L442" s="287" t="str">
        <f t="shared" si="59"/>
        <v/>
      </c>
      <c r="M442" s="290" t="str">
        <f t="shared" si="60"/>
        <v/>
      </c>
      <c r="N442" s="243" t="str">
        <f>IF($A442="","",IF(ABS(E442)&gt;0.000001,COUNT($N$1:N441)+1,""))</f>
        <v/>
      </c>
      <c r="O442" s="291" t="str">
        <f>IF($A442="","",SUMIFS(Transactions!$H$2:$H$1001,Transactions!$J$2:$J$1001,$A442,Transactions!$A$2:$A$1001,2)*$I442)</f>
        <v/>
      </c>
      <c r="P442" s="291" t="str">
        <f t="shared" si="61"/>
        <v/>
      </c>
      <c r="Q442" s="292" t="str">
        <f t="shared" si="62"/>
        <v/>
      </c>
    </row>
    <row r="443" spans="1:17" ht="15" customHeight="1" x14ac:dyDescent="0.2">
      <c r="A443" s="243" t="str">
        <f>IFERROR(INDEX(Txn[Key],MATCH(0,INDEX(COUNTIF($A$1:A442,Txn[Key])+(Txn[Key]=""),0),0)),"")</f>
        <v/>
      </c>
      <c r="B443" s="243" t="str">
        <f t="shared" si="54"/>
        <v/>
      </c>
      <c r="C443" s="243" t="str">
        <f t="shared" si="55"/>
        <v/>
      </c>
      <c r="D443" s="243" t="str">
        <f t="shared" si="56"/>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57"/>
        <v/>
      </c>
      <c r="K443" s="287" t="str">
        <f t="shared" si="58"/>
        <v/>
      </c>
      <c r="L443" s="287" t="str">
        <f t="shared" si="59"/>
        <v/>
      </c>
      <c r="M443" s="290" t="str">
        <f t="shared" si="60"/>
        <v/>
      </c>
      <c r="N443" s="243" t="str">
        <f>IF($A443="","",IF(ABS(E443)&gt;0.000001,COUNT($N$1:N442)+1,""))</f>
        <v/>
      </c>
      <c r="O443" s="291" t="str">
        <f>IF($A443="","",SUMIFS(Transactions!$H$2:$H$1001,Transactions!$J$2:$J$1001,$A443,Transactions!$A$2:$A$1001,2)*$I443)</f>
        <v/>
      </c>
      <c r="P443" s="291" t="str">
        <f t="shared" si="61"/>
        <v/>
      </c>
      <c r="Q443" s="292" t="str">
        <f t="shared" si="62"/>
        <v/>
      </c>
    </row>
    <row r="444" spans="1:17" ht="15" customHeight="1" x14ac:dyDescent="0.2">
      <c r="A444" s="243" t="str">
        <f>IFERROR(INDEX(Txn[Key],MATCH(0,INDEX(COUNTIF($A$1:A443,Txn[Key])+(Txn[Key]=""),0),0)),"")</f>
        <v/>
      </c>
      <c r="B444" s="243" t="str">
        <f t="shared" si="54"/>
        <v/>
      </c>
      <c r="C444" s="243" t="str">
        <f t="shared" si="55"/>
        <v/>
      </c>
      <c r="D444" s="243" t="str">
        <f t="shared" si="56"/>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57"/>
        <v/>
      </c>
      <c r="K444" s="287" t="str">
        <f t="shared" si="58"/>
        <v/>
      </c>
      <c r="L444" s="287" t="str">
        <f t="shared" si="59"/>
        <v/>
      </c>
      <c r="M444" s="290" t="str">
        <f t="shared" si="60"/>
        <v/>
      </c>
      <c r="N444" s="243" t="str">
        <f>IF($A444="","",IF(ABS(E444)&gt;0.000001,COUNT($N$1:N443)+1,""))</f>
        <v/>
      </c>
      <c r="O444" s="291" t="str">
        <f>IF($A444="","",SUMIFS(Transactions!$H$2:$H$1001,Transactions!$J$2:$J$1001,$A444,Transactions!$A$2:$A$1001,2)*$I444)</f>
        <v/>
      </c>
      <c r="P444" s="291" t="str">
        <f t="shared" si="61"/>
        <v/>
      </c>
      <c r="Q444" s="292" t="str">
        <f t="shared" si="62"/>
        <v/>
      </c>
    </row>
    <row r="445" spans="1:17" ht="15" customHeight="1" x14ac:dyDescent="0.2">
      <c r="A445" s="243" t="str">
        <f>IFERROR(INDEX(Txn[Key],MATCH(0,INDEX(COUNTIF($A$1:A444,Txn[Key])+(Txn[Key]=""),0),0)),"")</f>
        <v/>
      </c>
      <c r="B445" s="243" t="str">
        <f t="shared" si="54"/>
        <v/>
      </c>
      <c r="C445" s="243" t="str">
        <f t="shared" si="55"/>
        <v/>
      </c>
      <c r="D445" s="243" t="str">
        <f t="shared" si="56"/>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57"/>
        <v/>
      </c>
      <c r="K445" s="287" t="str">
        <f t="shared" si="58"/>
        <v/>
      </c>
      <c r="L445" s="287" t="str">
        <f t="shared" si="59"/>
        <v/>
      </c>
      <c r="M445" s="290" t="str">
        <f t="shared" si="60"/>
        <v/>
      </c>
      <c r="N445" s="243" t="str">
        <f>IF($A445="","",IF(ABS(E445)&gt;0.000001,COUNT($N$1:N444)+1,""))</f>
        <v/>
      </c>
      <c r="O445" s="291" t="str">
        <f>IF($A445="","",SUMIFS(Transactions!$H$2:$H$1001,Transactions!$J$2:$J$1001,$A445,Transactions!$A$2:$A$1001,2)*$I445)</f>
        <v/>
      </c>
      <c r="P445" s="291" t="str">
        <f t="shared" si="61"/>
        <v/>
      </c>
      <c r="Q445" s="292" t="str">
        <f t="shared" si="62"/>
        <v/>
      </c>
    </row>
    <row r="446" spans="1:17" ht="15" customHeight="1" x14ac:dyDescent="0.2">
      <c r="A446" s="243" t="str">
        <f>IFERROR(INDEX(Txn[Key],MATCH(0,INDEX(COUNTIF($A$1:A445,Txn[Key])+(Txn[Key]=""),0),0)),"")</f>
        <v/>
      </c>
      <c r="B446" s="243" t="str">
        <f t="shared" si="54"/>
        <v/>
      </c>
      <c r="C446" s="243" t="str">
        <f t="shared" si="55"/>
        <v/>
      </c>
      <c r="D446" s="243" t="str">
        <f t="shared" si="56"/>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57"/>
        <v/>
      </c>
      <c r="K446" s="287" t="str">
        <f t="shared" si="58"/>
        <v/>
      </c>
      <c r="L446" s="287" t="str">
        <f t="shared" si="59"/>
        <v/>
      </c>
      <c r="M446" s="290" t="str">
        <f t="shared" si="60"/>
        <v/>
      </c>
      <c r="N446" s="243" t="str">
        <f>IF($A446="","",IF(ABS(E446)&gt;0.000001,COUNT($N$1:N445)+1,""))</f>
        <v/>
      </c>
      <c r="O446" s="291" t="str">
        <f>IF($A446="","",SUMIFS(Transactions!$H$2:$H$1001,Transactions!$J$2:$J$1001,$A446,Transactions!$A$2:$A$1001,2)*$I446)</f>
        <v/>
      </c>
      <c r="P446" s="291" t="str">
        <f t="shared" si="61"/>
        <v/>
      </c>
      <c r="Q446" s="292" t="str">
        <f t="shared" si="62"/>
        <v/>
      </c>
    </row>
    <row r="447" spans="1:17" ht="15" customHeight="1" x14ac:dyDescent="0.2">
      <c r="A447" s="243" t="str">
        <f>IFERROR(INDEX(Txn[Key],MATCH(0,INDEX(COUNTIF($A$1:A446,Txn[Key])+(Txn[Key]=""),0),0)),"")</f>
        <v/>
      </c>
      <c r="B447" s="243" t="str">
        <f t="shared" si="54"/>
        <v/>
      </c>
      <c r="C447" s="243" t="str">
        <f t="shared" si="55"/>
        <v/>
      </c>
      <c r="D447" s="243" t="str">
        <f t="shared" si="56"/>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57"/>
        <v/>
      </c>
      <c r="K447" s="287" t="str">
        <f t="shared" si="58"/>
        <v/>
      </c>
      <c r="L447" s="287" t="str">
        <f t="shared" si="59"/>
        <v/>
      </c>
      <c r="M447" s="290" t="str">
        <f t="shared" si="60"/>
        <v/>
      </c>
      <c r="N447" s="243" t="str">
        <f>IF($A447="","",IF(ABS(E447)&gt;0.000001,COUNT($N$1:N446)+1,""))</f>
        <v/>
      </c>
      <c r="O447" s="291" t="str">
        <f>IF($A447="","",SUMIFS(Transactions!$H$2:$H$1001,Transactions!$J$2:$J$1001,$A447,Transactions!$A$2:$A$1001,2)*$I447)</f>
        <v/>
      </c>
      <c r="P447" s="291" t="str">
        <f t="shared" si="61"/>
        <v/>
      </c>
      <c r="Q447" s="292" t="str">
        <f t="shared" si="62"/>
        <v/>
      </c>
    </row>
    <row r="448" spans="1:17" ht="15" customHeight="1" x14ac:dyDescent="0.2">
      <c r="A448" s="243" t="str">
        <f>IFERROR(INDEX(Txn[Key],MATCH(0,INDEX(COUNTIF($A$1:A447,Txn[Key])+(Txn[Key]=""),0),0)),"")</f>
        <v/>
      </c>
      <c r="B448" s="243" t="str">
        <f t="shared" si="54"/>
        <v/>
      </c>
      <c r="C448" s="243" t="str">
        <f t="shared" si="55"/>
        <v/>
      </c>
      <c r="D448" s="243" t="str">
        <f t="shared" si="56"/>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57"/>
        <v/>
      </c>
      <c r="K448" s="287" t="str">
        <f t="shared" si="58"/>
        <v/>
      </c>
      <c r="L448" s="287" t="str">
        <f t="shared" si="59"/>
        <v/>
      </c>
      <c r="M448" s="290" t="str">
        <f t="shared" si="60"/>
        <v/>
      </c>
      <c r="N448" s="243" t="str">
        <f>IF($A448="","",IF(ABS(E448)&gt;0.000001,COUNT($N$1:N447)+1,""))</f>
        <v/>
      </c>
      <c r="O448" s="291" t="str">
        <f>IF($A448="","",SUMIFS(Transactions!$H$2:$H$1001,Transactions!$J$2:$J$1001,$A448,Transactions!$A$2:$A$1001,2)*$I448)</f>
        <v/>
      </c>
      <c r="P448" s="291" t="str">
        <f t="shared" si="61"/>
        <v/>
      </c>
      <c r="Q448" s="292" t="str">
        <f t="shared" si="62"/>
        <v/>
      </c>
    </row>
    <row r="449" spans="1:17" ht="15" customHeight="1" x14ac:dyDescent="0.2">
      <c r="A449" s="243" t="str">
        <f>IFERROR(INDEX(Txn[Key],MATCH(0,INDEX(COUNTIF($A$1:A448,Txn[Key])+(Txn[Key]=""),0),0)),"")</f>
        <v/>
      </c>
      <c r="B449" s="243" t="str">
        <f t="shared" si="54"/>
        <v/>
      </c>
      <c r="C449" s="243" t="str">
        <f t="shared" si="55"/>
        <v/>
      </c>
      <c r="D449" s="243" t="str">
        <f t="shared" si="56"/>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57"/>
        <v/>
      </c>
      <c r="K449" s="287" t="str">
        <f t="shared" si="58"/>
        <v/>
      </c>
      <c r="L449" s="287" t="str">
        <f t="shared" si="59"/>
        <v/>
      </c>
      <c r="M449" s="290" t="str">
        <f t="shared" si="60"/>
        <v/>
      </c>
      <c r="N449" s="243" t="str">
        <f>IF($A449="","",IF(ABS(E449)&gt;0.000001,COUNT($N$1:N448)+1,""))</f>
        <v/>
      </c>
      <c r="O449" s="291" t="str">
        <f>IF($A449="","",SUMIFS(Transactions!$H$2:$H$1001,Transactions!$J$2:$J$1001,$A449,Transactions!$A$2:$A$1001,2)*$I449)</f>
        <v/>
      </c>
      <c r="P449" s="291" t="str">
        <f t="shared" si="61"/>
        <v/>
      </c>
      <c r="Q449" s="292" t="str">
        <f t="shared" si="62"/>
        <v/>
      </c>
    </row>
    <row r="450" spans="1:17" ht="15" customHeight="1" x14ac:dyDescent="0.2">
      <c r="A450" s="243" t="str">
        <f>IFERROR(INDEX(Txn[Key],MATCH(0,INDEX(COUNTIF($A$1:A449,Txn[Key])+(Txn[Key]=""),0),0)),"")</f>
        <v/>
      </c>
      <c r="B450" s="243" t="str">
        <f t="shared" ref="B450:B513" si="63">IF($A450="","",LEFT($A450,FIND(":",$A450)-1))</f>
        <v/>
      </c>
      <c r="C450" s="243" t="str">
        <f t="shared" ref="C450:C513" si="64">IF($A450="","",MID($A450,FIND(":",$A450)+1,FIND(":",$A450,FIND(":",$A450)+1)-FIND(":",$A450)-1))</f>
        <v/>
      </c>
      <c r="D450" s="243" t="str">
        <f t="shared" ref="D450:D513" si="65">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66">IF($A450="","",E450*H450)</f>
        <v/>
      </c>
      <c r="K450" s="287" t="str">
        <f t="shared" ref="K450:K513" si="67">IF($A450="","",J450+G450-F450)</f>
        <v/>
      </c>
      <c r="L450" s="287" t="str">
        <f t="shared" ref="L450:L513" si="68">IF($A450="","",K450*I450)</f>
        <v/>
      </c>
      <c r="M450" s="290" t="str">
        <f t="shared" ref="M450:M513" si="69">IF($A450="","",IFERROR(K450/F450,0))</f>
        <v/>
      </c>
      <c r="N450" s="243" t="str">
        <f>IF($A450="","",IF(ABS(E450)&gt;0.000001,COUNT($N$1:N449)+1,""))</f>
        <v/>
      </c>
      <c r="O450" s="291" t="str">
        <f>IF($A450="","",SUMIFS(Transactions!$H$2:$H$1001,Transactions!$J$2:$J$1001,$A450,Transactions!$A$2:$A$1001,2)*$I450)</f>
        <v/>
      </c>
      <c r="P450" s="291" t="str">
        <f t="shared" ref="P450:P513" si="70">IF($A450="","",$L450+$O450)</f>
        <v/>
      </c>
      <c r="Q450" s="292" t="str">
        <f t="shared" ref="Q450:Q513" si="71">IF($A450="","",IFERROR(($L450+$O450)/($F450*$I450),0))</f>
        <v/>
      </c>
    </row>
    <row r="451" spans="1:17" ht="15" customHeight="1" x14ac:dyDescent="0.2">
      <c r="A451" s="243" t="str">
        <f>IFERROR(INDEX(Txn[Key],MATCH(0,INDEX(COUNTIF($A$1:A450,Txn[Key])+(Txn[Key]=""),0),0)),"")</f>
        <v/>
      </c>
      <c r="B451" s="243" t="str">
        <f t="shared" si="63"/>
        <v/>
      </c>
      <c r="C451" s="243" t="str">
        <f t="shared" si="64"/>
        <v/>
      </c>
      <c r="D451" s="243" t="str">
        <f t="shared" si="65"/>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66"/>
        <v/>
      </c>
      <c r="K451" s="287" t="str">
        <f t="shared" si="67"/>
        <v/>
      </c>
      <c r="L451" s="287" t="str">
        <f t="shared" si="68"/>
        <v/>
      </c>
      <c r="M451" s="290" t="str">
        <f t="shared" si="69"/>
        <v/>
      </c>
      <c r="N451" s="243" t="str">
        <f>IF($A451="","",IF(ABS(E451)&gt;0.000001,COUNT($N$1:N450)+1,""))</f>
        <v/>
      </c>
      <c r="O451" s="291" t="str">
        <f>IF($A451="","",SUMIFS(Transactions!$H$2:$H$1001,Transactions!$J$2:$J$1001,$A451,Transactions!$A$2:$A$1001,2)*$I451)</f>
        <v/>
      </c>
      <c r="P451" s="291" t="str">
        <f t="shared" si="70"/>
        <v/>
      </c>
      <c r="Q451" s="292" t="str">
        <f t="shared" si="71"/>
        <v/>
      </c>
    </row>
    <row r="452" spans="1:17" ht="15" customHeight="1" x14ac:dyDescent="0.2">
      <c r="A452" s="243" t="str">
        <f>IFERROR(INDEX(Txn[Key],MATCH(0,INDEX(COUNTIF($A$1:A451,Txn[Key])+(Txn[Key]=""),0),0)),"")</f>
        <v/>
      </c>
      <c r="B452" s="243" t="str">
        <f t="shared" si="63"/>
        <v/>
      </c>
      <c r="C452" s="243" t="str">
        <f t="shared" si="64"/>
        <v/>
      </c>
      <c r="D452" s="243" t="str">
        <f t="shared" si="65"/>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66"/>
        <v/>
      </c>
      <c r="K452" s="287" t="str">
        <f t="shared" si="67"/>
        <v/>
      </c>
      <c r="L452" s="287" t="str">
        <f t="shared" si="68"/>
        <v/>
      </c>
      <c r="M452" s="290" t="str">
        <f t="shared" si="69"/>
        <v/>
      </c>
      <c r="N452" s="243" t="str">
        <f>IF($A452="","",IF(ABS(E452)&gt;0.000001,COUNT($N$1:N451)+1,""))</f>
        <v/>
      </c>
      <c r="O452" s="291" t="str">
        <f>IF($A452="","",SUMIFS(Transactions!$H$2:$H$1001,Transactions!$J$2:$J$1001,$A452,Transactions!$A$2:$A$1001,2)*$I452)</f>
        <v/>
      </c>
      <c r="P452" s="291" t="str">
        <f t="shared" si="70"/>
        <v/>
      </c>
      <c r="Q452" s="292" t="str">
        <f t="shared" si="71"/>
        <v/>
      </c>
    </row>
    <row r="453" spans="1:17" ht="15" customHeight="1" x14ac:dyDescent="0.2">
      <c r="A453" s="243" t="str">
        <f>IFERROR(INDEX(Txn[Key],MATCH(0,INDEX(COUNTIF($A$1:A452,Txn[Key])+(Txn[Key]=""),0),0)),"")</f>
        <v/>
      </c>
      <c r="B453" s="243" t="str">
        <f t="shared" si="63"/>
        <v/>
      </c>
      <c r="C453" s="243" t="str">
        <f t="shared" si="64"/>
        <v/>
      </c>
      <c r="D453" s="243" t="str">
        <f t="shared" si="65"/>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66"/>
        <v/>
      </c>
      <c r="K453" s="287" t="str">
        <f t="shared" si="67"/>
        <v/>
      </c>
      <c r="L453" s="287" t="str">
        <f t="shared" si="68"/>
        <v/>
      </c>
      <c r="M453" s="290" t="str">
        <f t="shared" si="69"/>
        <v/>
      </c>
      <c r="N453" s="243" t="str">
        <f>IF($A453="","",IF(ABS(E453)&gt;0.000001,COUNT($N$1:N452)+1,""))</f>
        <v/>
      </c>
      <c r="O453" s="291" t="str">
        <f>IF($A453="","",SUMIFS(Transactions!$H$2:$H$1001,Transactions!$J$2:$J$1001,$A453,Transactions!$A$2:$A$1001,2)*$I453)</f>
        <v/>
      </c>
      <c r="P453" s="291" t="str">
        <f t="shared" si="70"/>
        <v/>
      </c>
      <c r="Q453" s="292" t="str">
        <f t="shared" si="71"/>
        <v/>
      </c>
    </row>
    <row r="454" spans="1:17" ht="15" customHeight="1" x14ac:dyDescent="0.2">
      <c r="A454" s="243" t="str">
        <f>IFERROR(INDEX(Txn[Key],MATCH(0,INDEX(COUNTIF($A$1:A453,Txn[Key])+(Txn[Key]=""),0),0)),"")</f>
        <v/>
      </c>
      <c r="B454" s="243" t="str">
        <f t="shared" si="63"/>
        <v/>
      </c>
      <c r="C454" s="243" t="str">
        <f t="shared" si="64"/>
        <v/>
      </c>
      <c r="D454" s="243" t="str">
        <f t="shared" si="65"/>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66"/>
        <v/>
      </c>
      <c r="K454" s="287" t="str">
        <f t="shared" si="67"/>
        <v/>
      </c>
      <c r="L454" s="287" t="str">
        <f t="shared" si="68"/>
        <v/>
      </c>
      <c r="M454" s="290" t="str">
        <f t="shared" si="69"/>
        <v/>
      </c>
      <c r="N454" s="243" t="str">
        <f>IF($A454="","",IF(ABS(E454)&gt;0.000001,COUNT($N$1:N453)+1,""))</f>
        <v/>
      </c>
      <c r="O454" s="291" t="str">
        <f>IF($A454="","",SUMIFS(Transactions!$H$2:$H$1001,Transactions!$J$2:$J$1001,$A454,Transactions!$A$2:$A$1001,2)*$I454)</f>
        <v/>
      </c>
      <c r="P454" s="291" t="str">
        <f t="shared" si="70"/>
        <v/>
      </c>
      <c r="Q454" s="292" t="str">
        <f t="shared" si="71"/>
        <v/>
      </c>
    </row>
    <row r="455" spans="1:17" ht="15" customHeight="1" x14ac:dyDescent="0.2">
      <c r="A455" s="243" t="str">
        <f>IFERROR(INDEX(Txn[Key],MATCH(0,INDEX(COUNTIF($A$1:A454,Txn[Key])+(Txn[Key]=""),0),0)),"")</f>
        <v/>
      </c>
      <c r="B455" s="243" t="str">
        <f t="shared" si="63"/>
        <v/>
      </c>
      <c r="C455" s="243" t="str">
        <f t="shared" si="64"/>
        <v/>
      </c>
      <c r="D455" s="243" t="str">
        <f t="shared" si="65"/>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66"/>
        <v/>
      </c>
      <c r="K455" s="287" t="str">
        <f t="shared" si="67"/>
        <v/>
      </c>
      <c r="L455" s="287" t="str">
        <f t="shared" si="68"/>
        <v/>
      </c>
      <c r="M455" s="290" t="str">
        <f t="shared" si="69"/>
        <v/>
      </c>
      <c r="N455" s="243" t="str">
        <f>IF($A455="","",IF(ABS(E455)&gt;0.000001,COUNT($N$1:N454)+1,""))</f>
        <v/>
      </c>
      <c r="O455" s="291" t="str">
        <f>IF($A455="","",SUMIFS(Transactions!$H$2:$H$1001,Transactions!$J$2:$J$1001,$A455,Transactions!$A$2:$A$1001,2)*$I455)</f>
        <v/>
      </c>
      <c r="P455" s="291" t="str">
        <f t="shared" si="70"/>
        <v/>
      </c>
      <c r="Q455" s="292" t="str">
        <f t="shared" si="71"/>
        <v/>
      </c>
    </row>
    <row r="456" spans="1:17" ht="15" customHeight="1" x14ac:dyDescent="0.2">
      <c r="A456" s="243" t="str">
        <f>IFERROR(INDEX(Txn[Key],MATCH(0,INDEX(COUNTIF($A$1:A455,Txn[Key])+(Txn[Key]=""),0),0)),"")</f>
        <v/>
      </c>
      <c r="B456" s="243" t="str">
        <f t="shared" si="63"/>
        <v/>
      </c>
      <c r="C456" s="243" t="str">
        <f t="shared" si="64"/>
        <v/>
      </c>
      <c r="D456" s="243" t="str">
        <f t="shared" si="65"/>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66"/>
        <v/>
      </c>
      <c r="K456" s="287" t="str">
        <f t="shared" si="67"/>
        <v/>
      </c>
      <c r="L456" s="287" t="str">
        <f t="shared" si="68"/>
        <v/>
      </c>
      <c r="M456" s="290" t="str">
        <f t="shared" si="69"/>
        <v/>
      </c>
      <c r="N456" s="243" t="str">
        <f>IF($A456="","",IF(ABS(E456)&gt;0.000001,COUNT($N$1:N455)+1,""))</f>
        <v/>
      </c>
      <c r="O456" s="291" t="str">
        <f>IF($A456="","",SUMIFS(Transactions!$H$2:$H$1001,Transactions!$J$2:$J$1001,$A456,Transactions!$A$2:$A$1001,2)*$I456)</f>
        <v/>
      </c>
      <c r="P456" s="291" t="str">
        <f t="shared" si="70"/>
        <v/>
      </c>
      <c r="Q456" s="292" t="str">
        <f t="shared" si="71"/>
        <v/>
      </c>
    </row>
    <row r="457" spans="1:17" ht="15" customHeight="1" x14ac:dyDescent="0.2">
      <c r="A457" s="243" t="str">
        <f>IFERROR(INDEX(Txn[Key],MATCH(0,INDEX(COUNTIF($A$1:A456,Txn[Key])+(Txn[Key]=""),0),0)),"")</f>
        <v/>
      </c>
      <c r="B457" s="243" t="str">
        <f t="shared" si="63"/>
        <v/>
      </c>
      <c r="C457" s="243" t="str">
        <f t="shared" si="64"/>
        <v/>
      </c>
      <c r="D457" s="243" t="str">
        <f t="shared" si="65"/>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66"/>
        <v/>
      </c>
      <c r="K457" s="287" t="str">
        <f t="shared" si="67"/>
        <v/>
      </c>
      <c r="L457" s="287" t="str">
        <f t="shared" si="68"/>
        <v/>
      </c>
      <c r="M457" s="290" t="str">
        <f t="shared" si="69"/>
        <v/>
      </c>
      <c r="N457" s="243" t="str">
        <f>IF($A457="","",IF(ABS(E457)&gt;0.000001,COUNT($N$1:N456)+1,""))</f>
        <v/>
      </c>
      <c r="O457" s="291" t="str">
        <f>IF($A457="","",SUMIFS(Transactions!$H$2:$H$1001,Transactions!$J$2:$J$1001,$A457,Transactions!$A$2:$A$1001,2)*$I457)</f>
        <v/>
      </c>
      <c r="P457" s="291" t="str">
        <f t="shared" si="70"/>
        <v/>
      </c>
      <c r="Q457" s="292" t="str">
        <f t="shared" si="71"/>
        <v/>
      </c>
    </row>
    <row r="458" spans="1:17" ht="15" customHeight="1" x14ac:dyDescent="0.2">
      <c r="A458" s="243" t="str">
        <f>IFERROR(INDEX(Txn[Key],MATCH(0,INDEX(COUNTIF($A$1:A457,Txn[Key])+(Txn[Key]=""),0),0)),"")</f>
        <v/>
      </c>
      <c r="B458" s="243" t="str">
        <f t="shared" si="63"/>
        <v/>
      </c>
      <c r="C458" s="243" t="str">
        <f t="shared" si="64"/>
        <v/>
      </c>
      <c r="D458" s="243" t="str">
        <f t="shared" si="65"/>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66"/>
        <v/>
      </c>
      <c r="K458" s="287" t="str">
        <f t="shared" si="67"/>
        <v/>
      </c>
      <c r="L458" s="287" t="str">
        <f t="shared" si="68"/>
        <v/>
      </c>
      <c r="M458" s="290" t="str">
        <f t="shared" si="69"/>
        <v/>
      </c>
      <c r="N458" s="243" t="str">
        <f>IF($A458="","",IF(ABS(E458)&gt;0.000001,COUNT($N$1:N457)+1,""))</f>
        <v/>
      </c>
      <c r="O458" s="291" t="str">
        <f>IF($A458="","",SUMIFS(Transactions!$H$2:$H$1001,Transactions!$J$2:$J$1001,$A458,Transactions!$A$2:$A$1001,2)*$I458)</f>
        <v/>
      </c>
      <c r="P458" s="291" t="str">
        <f t="shared" si="70"/>
        <v/>
      </c>
      <c r="Q458" s="292" t="str">
        <f t="shared" si="71"/>
        <v/>
      </c>
    </row>
    <row r="459" spans="1:17" ht="15" customHeight="1" x14ac:dyDescent="0.2">
      <c r="A459" s="243" t="str">
        <f>IFERROR(INDEX(Txn[Key],MATCH(0,INDEX(COUNTIF($A$1:A458,Txn[Key])+(Txn[Key]=""),0),0)),"")</f>
        <v/>
      </c>
      <c r="B459" s="243" t="str">
        <f t="shared" si="63"/>
        <v/>
      </c>
      <c r="C459" s="243" t="str">
        <f t="shared" si="64"/>
        <v/>
      </c>
      <c r="D459" s="243" t="str">
        <f t="shared" si="65"/>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66"/>
        <v/>
      </c>
      <c r="K459" s="287" t="str">
        <f t="shared" si="67"/>
        <v/>
      </c>
      <c r="L459" s="287" t="str">
        <f t="shared" si="68"/>
        <v/>
      </c>
      <c r="M459" s="290" t="str">
        <f t="shared" si="69"/>
        <v/>
      </c>
      <c r="N459" s="243" t="str">
        <f>IF($A459="","",IF(ABS(E459)&gt;0.000001,COUNT($N$1:N458)+1,""))</f>
        <v/>
      </c>
      <c r="O459" s="291" t="str">
        <f>IF($A459="","",SUMIFS(Transactions!$H$2:$H$1001,Transactions!$J$2:$J$1001,$A459,Transactions!$A$2:$A$1001,2)*$I459)</f>
        <v/>
      </c>
      <c r="P459" s="291" t="str">
        <f t="shared" si="70"/>
        <v/>
      </c>
      <c r="Q459" s="292" t="str">
        <f t="shared" si="71"/>
        <v/>
      </c>
    </row>
    <row r="460" spans="1:17" ht="15" customHeight="1" x14ac:dyDescent="0.2">
      <c r="A460" s="243" t="str">
        <f>IFERROR(INDEX(Txn[Key],MATCH(0,INDEX(COUNTIF($A$1:A459,Txn[Key])+(Txn[Key]=""),0),0)),"")</f>
        <v/>
      </c>
      <c r="B460" s="243" t="str">
        <f t="shared" si="63"/>
        <v/>
      </c>
      <c r="C460" s="243" t="str">
        <f t="shared" si="64"/>
        <v/>
      </c>
      <c r="D460" s="243" t="str">
        <f t="shared" si="65"/>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66"/>
        <v/>
      </c>
      <c r="K460" s="287" t="str">
        <f t="shared" si="67"/>
        <v/>
      </c>
      <c r="L460" s="287" t="str">
        <f t="shared" si="68"/>
        <v/>
      </c>
      <c r="M460" s="290" t="str">
        <f t="shared" si="69"/>
        <v/>
      </c>
      <c r="N460" s="243" t="str">
        <f>IF($A460="","",IF(ABS(E460)&gt;0.000001,COUNT($N$1:N459)+1,""))</f>
        <v/>
      </c>
      <c r="O460" s="291" t="str">
        <f>IF($A460="","",SUMIFS(Transactions!$H$2:$H$1001,Transactions!$J$2:$J$1001,$A460,Transactions!$A$2:$A$1001,2)*$I460)</f>
        <v/>
      </c>
      <c r="P460" s="291" t="str">
        <f t="shared" si="70"/>
        <v/>
      </c>
      <c r="Q460" s="292" t="str">
        <f t="shared" si="71"/>
        <v/>
      </c>
    </row>
    <row r="461" spans="1:17" ht="15" customHeight="1" x14ac:dyDescent="0.2">
      <c r="A461" s="243" t="str">
        <f>IFERROR(INDEX(Txn[Key],MATCH(0,INDEX(COUNTIF($A$1:A460,Txn[Key])+(Txn[Key]=""),0),0)),"")</f>
        <v/>
      </c>
      <c r="B461" s="243" t="str">
        <f t="shared" si="63"/>
        <v/>
      </c>
      <c r="C461" s="243" t="str">
        <f t="shared" si="64"/>
        <v/>
      </c>
      <c r="D461" s="243" t="str">
        <f t="shared" si="65"/>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66"/>
        <v/>
      </c>
      <c r="K461" s="287" t="str">
        <f t="shared" si="67"/>
        <v/>
      </c>
      <c r="L461" s="287" t="str">
        <f t="shared" si="68"/>
        <v/>
      </c>
      <c r="M461" s="290" t="str">
        <f t="shared" si="69"/>
        <v/>
      </c>
      <c r="N461" s="243" t="str">
        <f>IF($A461="","",IF(ABS(E461)&gt;0.000001,COUNT($N$1:N460)+1,""))</f>
        <v/>
      </c>
      <c r="O461" s="291" t="str">
        <f>IF($A461="","",SUMIFS(Transactions!$H$2:$H$1001,Transactions!$J$2:$J$1001,$A461,Transactions!$A$2:$A$1001,2)*$I461)</f>
        <v/>
      </c>
      <c r="P461" s="291" t="str">
        <f t="shared" si="70"/>
        <v/>
      </c>
      <c r="Q461" s="292" t="str">
        <f t="shared" si="71"/>
        <v/>
      </c>
    </row>
    <row r="462" spans="1:17" ht="15" customHeight="1" x14ac:dyDescent="0.2">
      <c r="A462" s="243" t="str">
        <f>IFERROR(INDEX(Txn[Key],MATCH(0,INDEX(COUNTIF($A$1:A461,Txn[Key])+(Txn[Key]=""),0),0)),"")</f>
        <v/>
      </c>
      <c r="B462" s="243" t="str">
        <f t="shared" si="63"/>
        <v/>
      </c>
      <c r="C462" s="243" t="str">
        <f t="shared" si="64"/>
        <v/>
      </c>
      <c r="D462" s="243" t="str">
        <f t="shared" si="65"/>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66"/>
        <v/>
      </c>
      <c r="K462" s="287" t="str">
        <f t="shared" si="67"/>
        <v/>
      </c>
      <c r="L462" s="287" t="str">
        <f t="shared" si="68"/>
        <v/>
      </c>
      <c r="M462" s="290" t="str">
        <f t="shared" si="69"/>
        <v/>
      </c>
      <c r="N462" s="243" t="str">
        <f>IF($A462="","",IF(ABS(E462)&gt;0.000001,COUNT($N$1:N461)+1,""))</f>
        <v/>
      </c>
      <c r="O462" s="291" t="str">
        <f>IF($A462="","",SUMIFS(Transactions!$H$2:$H$1001,Transactions!$J$2:$J$1001,$A462,Transactions!$A$2:$A$1001,2)*$I462)</f>
        <v/>
      </c>
      <c r="P462" s="291" t="str">
        <f t="shared" si="70"/>
        <v/>
      </c>
      <c r="Q462" s="292" t="str">
        <f t="shared" si="71"/>
        <v/>
      </c>
    </row>
    <row r="463" spans="1:17" ht="15" customHeight="1" x14ac:dyDescent="0.2">
      <c r="A463" s="243" t="str">
        <f>IFERROR(INDEX(Txn[Key],MATCH(0,INDEX(COUNTIF($A$1:A462,Txn[Key])+(Txn[Key]=""),0),0)),"")</f>
        <v/>
      </c>
      <c r="B463" s="243" t="str">
        <f t="shared" si="63"/>
        <v/>
      </c>
      <c r="C463" s="243" t="str">
        <f t="shared" si="64"/>
        <v/>
      </c>
      <c r="D463" s="243" t="str">
        <f t="shared" si="65"/>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66"/>
        <v/>
      </c>
      <c r="K463" s="287" t="str">
        <f t="shared" si="67"/>
        <v/>
      </c>
      <c r="L463" s="287" t="str">
        <f t="shared" si="68"/>
        <v/>
      </c>
      <c r="M463" s="290" t="str">
        <f t="shared" si="69"/>
        <v/>
      </c>
      <c r="N463" s="243" t="str">
        <f>IF($A463="","",IF(ABS(E463)&gt;0.000001,COUNT($N$1:N462)+1,""))</f>
        <v/>
      </c>
      <c r="O463" s="291" t="str">
        <f>IF($A463="","",SUMIFS(Transactions!$H$2:$H$1001,Transactions!$J$2:$J$1001,$A463,Transactions!$A$2:$A$1001,2)*$I463)</f>
        <v/>
      </c>
      <c r="P463" s="291" t="str">
        <f t="shared" si="70"/>
        <v/>
      </c>
      <c r="Q463" s="292" t="str">
        <f t="shared" si="71"/>
        <v/>
      </c>
    </row>
    <row r="464" spans="1:17" ht="15" customHeight="1" x14ac:dyDescent="0.2">
      <c r="A464" s="243" t="str">
        <f>IFERROR(INDEX(Txn[Key],MATCH(0,INDEX(COUNTIF($A$1:A463,Txn[Key])+(Txn[Key]=""),0),0)),"")</f>
        <v/>
      </c>
      <c r="B464" s="243" t="str">
        <f t="shared" si="63"/>
        <v/>
      </c>
      <c r="C464" s="243" t="str">
        <f t="shared" si="64"/>
        <v/>
      </c>
      <c r="D464" s="243" t="str">
        <f t="shared" si="65"/>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66"/>
        <v/>
      </c>
      <c r="K464" s="287" t="str">
        <f t="shared" si="67"/>
        <v/>
      </c>
      <c r="L464" s="287" t="str">
        <f t="shared" si="68"/>
        <v/>
      </c>
      <c r="M464" s="290" t="str">
        <f t="shared" si="69"/>
        <v/>
      </c>
      <c r="N464" s="243" t="str">
        <f>IF($A464="","",IF(ABS(E464)&gt;0.000001,COUNT($N$1:N463)+1,""))</f>
        <v/>
      </c>
      <c r="O464" s="291" t="str">
        <f>IF($A464="","",SUMIFS(Transactions!$H$2:$H$1001,Transactions!$J$2:$J$1001,$A464,Transactions!$A$2:$A$1001,2)*$I464)</f>
        <v/>
      </c>
      <c r="P464" s="291" t="str">
        <f t="shared" si="70"/>
        <v/>
      </c>
      <c r="Q464" s="292" t="str">
        <f t="shared" si="71"/>
        <v/>
      </c>
    </row>
    <row r="465" spans="1:17" ht="15" customHeight="1" x14ac:dyDescent="0.2">
      <c r="A465" s="243" t="str">
        <f>IFERROR(INDEX(Txn[Key],MATCH(0,INDEX(COUNTIF($A$1:A464,Txn[Key])+(Txn[Key]=""),0),0)),"")</f>
        <v/>
      </c>
      <c r="B465" s="243" t="str">
        <f t="shared" si="63"/>
        <v/>
      </c>
      <c r="C465" s="243" t="str">
        <f t="shared" si="64"/>
        <v/>
      </c>
      <c r="D465" s="243" t="str">
        <f t="shared" si="65"/>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66"/>
        <v/>
      </c>
      <c r="K465" s="287" t="str">
        <f t="shared" si="67"/>
        <v/>
      </c>
      <c r="L465" s="287" t="str">
        <f t="shared" si="68"/>
        <v/>
      </c>
      <c r="M465" s="290" t="str">
        <f t="shared" si="69"/>
        <v/>
      </c>
      <c r="N465" s="243" t="str">
        <f>IF($A465="","",IF(ABS(E465)&gt;0.000001,COUNT($N$1:N464)+1,""))</f>
        <v/>
      </c>
      <c r="O465" s="291" t="str">
        <f>IF($A465="","",SUMIFS(Transactions!$H$2:$H$1001,Transactions!$J$2:$J$1001,$A465,Transactions!$A$2:$A$1001,2)*$I465)</f>
        <v/>
      </c>
      <c r="P465" s="291" t="str">
        <f t="shared" si="70"/>
        <v/>
      </c>
      <c r="Q465" s="292" t="str">
        <f t="shared" si="71"/>
        <v/>
      </c>
    </row>
    <row r="466" spans="1:17" ht="15" customHeight="1" x14ac:dyDescent="0.2">
      <c r="A466" s="243" t="str">
        <f>IFERROR(INDEX(Txn[Key],MATCH(0,INDEX(COUNTIF($A$1:A465,Txn[Key])+(Txn[Key]=""),0),0)),"")</f>
        <v/>
      </c>
      <c r="B466" s="243" t="str">
        <f t="shared" si="63"/>
        <v/>
      </c>
      <c r="C466" s="243" t="str">
        <f t="shared" si="64"/>
        <v/>
      </c>
      <c r="D466" s="243" t="str">
        <f t="shared" si="65"/>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66"/>
        <v/>
      </c>
      <c r="K466" s="287" t="str">
        <f t="shared" si="67"/>
        <v/>
      </c>
      <c r="L466" s="287" t="str">
        <f t="shared" si="68"/>
        <v/>
      </c>
      <c r="M466" s="290" t="str">
        <f t="shared" si="69"/>
        <v/>
      </c>
      <c r="N466" s="243" t="str">
        <f>IF($A466="","",IF(ABS(E466)&gt;0.000001,COUNT($N$1:N465)+1,""))</f>
        <v/>
      </c>
      <c r="O466" s="291" t="str">
        <f>IF($A466="","",SUMIFS(Transactions!$H$2:$H$1001,Transactions!$J$2:$J$1001,$A466,Transactions!$A$2:$A$1001,2)*$I466)</f>
        <v/>
      </c>
      <c r="P466" s="291" t="str">
        <f t="shared" si="70"/>
        <v/>
      </c>
      <c r="Q466" s="292" t="str">
        <f t="shared" si="71"/>
        <v/>
      </c>
    </row>
    <row r="467" spans="1:17" ht="15" customHeight="1" x14ac:dyDescent="0.2">
      <c r="A467" s="243" t="str">
        <f>IFERROR(INDEX(Txn[Key],MATCH(0,INDEX(COUNTIF($A$1:A466,Txn[Key])+(Txn[Key]=""),0),0)),"")</f>
        <v/>
      </c>
      <c r="B467" s="243" t="str">
        <f t="shared" si="63"/>
        <v/>
      </c>
      <c r="C467" s="243" t="str">
        <f t="shared" si="64"/>
        <v/>
      </c>
      <c r="D467" s="243" t="str">
        <f t="shared" si="65"/>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66"/>
        <v/>
      </c>
      <c r="K467" s="287" t="str">
        <f t="shared" si="67"/>
        <v/>
      </c>
      <c r="L467" s="287" t="str">
        <f t="shared" si="68"/>
        <v/>
      </c>
      <c r="M467" s="290" t="str">
        <f t="shared" si="69"/>
        <v/>
      </c>
      <c r="N467" s="243" t="str">
        <f>IF($A467="","",IF(ABS(E467)&gt;0.000001,COUNT($N$1:N466)+1,""))</f>
        <v/>
      </c>
      <c r="O467" s="291" t="str">
        <f>IF($A467="","",SUMIFS(Transactions!$H$2:$H$1001,Transactions!$J$2:$J$1001,$A467,Transactions!$A$2:$A$1001,2)*$I467)</f>
        <v/>
      </c>
      <c r="P467" s="291" t="str">
        <f t="shared" si="70"/>
        <v/>
      </c>
      <c r="Q467" s="292" t="str">
        <f t="shared" si="71"/>
        <v/>
      </c>
    </row>
    <row r="468" spans="1:17" ht="15" customHeight="1" x14ac:dyDescent="0.2">
      <c r="A468" s="243" t="str">
        <f>IFERROR(INDEX(Txn[Key],MATCH(0,INDEX(COUNTIF($A$1:A467,Txn[Key])+(Txn[Key]=""),0),0)),"")</f>
        <v/>
      </c>
      <c r="B468" s="243" t="str">
        <f t="shared" si="63"/>
        <v/>
      </c>
      <c r="C468" s="243" t="str">
        <f t="shared" si="64"/>
        <v/>
      </c>
      <c r="D468" s="243" t="str">
        <f t="shared" si="65"/>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66"/>
        <v/>
      </c>
      <c r="K468" s="287" t="str">
        <f t="shared" si="67"/>
        <v/>
      </c>
      <c r="L468" s="287" t="str">
        <f t="shared" si="68"/>
        <v/>
      </c>
      <c r="M468" s="290" t="str">
        <f t="shared" si="69"/>
        <v/>
      </c>
      <c r="N468" s="243" t="str">
        <f>IF($A468="","",IF(ABS(E468)&gt;0.000001,COUNT($N$1:N467)+1,""))</f>
        <v/>
      </c>
      <c r="O468" s="291" t="str">
        <f>IF($A468="","",SUMIFS(Transactions!$H$2:$H$1001,Transactions!$J$2:$J$1001,$A468,Transactions!$A$2:$A$1001,2)*$I468)</f>
        <v/>
      </c>
      <c r="P468" s="291" t="str">
        <f t="shared" si="70"/>
        <v/>
      </c>
      <c r="Q468" s="292" t="str">
        <f t="shared" si="71"/>
        <v/>
      </c>
    </row>
    <row r="469" spans="1:17" ht="15" customHeight="1" x14ac:dyDescent="0.2">
      <c r="A469" s="243" t="str">
        <f>IFERROR(INDEX(Txn[Key],MATCH(0,INDEX(COUNTIF($A$1:A468,Txn[Key])+(Txn[Key]=""),0),0)),"")</f>
        <v/>
      </c>
      <c r="B469" s="243" t="str">
        <f t="shared" si="63"/>
        <v/>
      </c>
      <c r="C469" s="243" t="str">
        <f t="shared" si="64"/>
        <v/>
      </c>
      <c r="D469" s="243" t="str">
        <f t="shared" si="65"/>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66"/>
        <v/>
      </c>
      <c r="K469" s="287" t="str">
        <f t="shared" si="67"/>
        <v/>
      </c>
      <c r="L469" s="287" t="str">
        <f t="shared" si="68"/>
        <v/>
      </c>
      <c r="M469" s="290" t="str">
        <f t="shared" si="69"/>
        <v/>
      </c>
      <c r="N469" s="243" t="str">
        <f>IF($A469="","",IF(ABS(E469)&gt;0.000001,COUNT($N$1:N468)+1,""))</f>
        <v/>
      </c>
      <c r="O469" s="291" t="str">
        <f>IF($A469="","",SUMIFS(Transactions!$H$2:$H$1001,Transactions!$J$2:$J$1001,$A469,Transactions!$A$2:$A$1001,2)*$I469)</f>
        <v/>
      </c>
      <c r="P469" s="291" t="str">
        <f t="shared" si="70"/>
        <v/>
      </c>
      <c r="Q469" s="292" t="str">
        <f t="shared" si="71"/>
        <v/>
      </c>
    </row>
    <row r="470" spans="1:17" ht="15" customHeight="1" x14ac:dyDescent="0.2">
      <c r="A470" s="243" t="str">
        <f>IFERROR(INDEX(Txn[Key],MATCH(0,INDEX(COUNTIF($A$1:A469,Txn[Key])+(Txn[Key]=""),0),0)),"")</f>
        <v/>
      </c>
      <c r="B470" s="243" t="str">
        <f t="shared" si="63"/>
        <v/>
      </c>
      <c r="C470" s="243" t="str">
        <f t="shared" si="64"/>
        <v/>
      </c>
      <c r="D470" s="243" t="str">
        <f t="shared" si="65"/>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66"/>
        <v/>
      </c>
      <c r="K470" s="287" t="str">
        <f t="shared" si="67"/>
        <v/>
      </c>
      <c r="L470" s="287" t="str">
        <f t="shared" si="68"/>
        <v/>
      </c>
      <c r="M470" s="290" t="str">
        <f t="shared" si="69"/>
        <v/>
      </c>
      <c r="N470" s="243" t="str">
        <f>IF($A470="","",IF(ABS(E470)&gt;0.000001,COUNT($N$1:N469)+1,""))</f>
        <v/>
      </c>
      <c r="O470" s="291" t="str">
        <f>IF($A470="","",SUMIFS(Transactions!$H$2:$H$1001,Transactions!$J$2:$J$1001,$A470,Transactions!$A$2:$A$1001,2)*$I470)</f>
        <v/>
      </c>
      <c r="P470" s="291" t="str">
        <f t="shared" si="70"/>
        <v/>
      </c>
      <c r="Q470" s="292" t="str">
        <f t="shared" si="71"/>
        <v/>
      </c>
    </row>
    <row r="471" spans="1:17" ht="15" customHeight="1" x14ac:dyDescent="0.2">
      <c r="A471" s="243" t="str">
        <f>IFERROR(INDEX(Txn[Key],MATCH(0,INDEX(COUNTIF($A$1:A470,Txn[Key])+(Txn[Key]=""),0),0)),"")</f>
        <v/>
      </c>
      <c r="B471" s="243" t="str">
        <f t="shared" si="63"/>
        <v/>
      </c>
      <c r="C471" s="243" t="str">
        <f t="shared" si="64"/>
        <v/>
      </c>
      <c r="D471" s="243" t="str">
        <f t="shared" si="65"/>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66"/>
        <v/>
      </c>
      <c r="K471" s="287" t="str">
        <f t="shared" si="67"/>
        <v/>
      </c>
      <c r="L471" s="287" t="str">
        <f t="shared" si="68"/>
        <v/>
      </c>
      <c r="M471" s="290" t="str">
        <f t="shared" si="69"/>
        <v/>
      </c>
      <c r="N471" s="243" t="str">
        <f>IF($A471="","",IF(ABS(E471)&gt;0.000001,COUNT($N$1:N470)+1,""))</f>
        <v/>
      </c>
      <c r="O471" s="291" t="str">
        <f>IF($A471="","",SUMIFS(Transactions!$H$2:$H$1001,Transactions!$J$2:$J$1001,$A471,Transactions!$A$2:$A$1001,2)*$I471)</f>
        <v/>
      </c>
      <c r="P471" s="291" t="str">
        <f t="shared" si="70"/>
        <v/>
      </c>
      <c r="Q471" s="292" t="str">
        <f t="shared" si="71"/>
        <v/>
      </c>
    </row>
    <row r="472" spans="1:17" ht="15" customHeight="1" x14ac:dyDescent="0.2">
      <c r="A472" s="243" t="str">
        <f>IFERROR(INDEX(Txn[Key],MATCH(0,INDEX(COUNTIF($A$1:A471,Txn[Key])+(Txn[Key]=""),0),0)),"")</f>
        <v/>
      </c>
      <c r="B472" s="243" t="str">
        <f t="shared" si="63"/>
        <v/>
      </c>
      <c r="C472" s="243" t="str">
        <f t="shared" si="64"/>
        <v/>
      </c>
      <c r="D472" s="243" t="str">
        <f t="shared" si="65"/>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66"/>
        <v/>
      </c>
      <c r="K472" s="287" t="str">
        <f t="shared" si="67"/>
        <v/>
      </c>
      <c r="L472" s="287" t="str">
        <f t="shared" si="68"/>
        <v/>
      </c>
      <c r="M472" s="290" t="str">
        <f t="shared" si="69"/>
        <v/>
      </c>
      <c r="N472" s="243" t="str">
        <f>IF($A472="","",IF(ABS(E472)&gt;0.000001,COUNT($N$1:N471)+1,""))</f>
        <v/>
      </c>
      <c r="O472" s="291" t="str">
        <f>IF($A472="","",SUMIFS(Transactions!$H$2:$H$1001,Transactions!$J$2:$J$1001,$A472,Transactions!$A$2:$A$1001,2)*$I472)</f>
        <v/>
      </c>
      <c r="P472" s="291" t="str">
        <f t="shared" si="70"/>
        <v/>
      </c>
      <c r="Q472" s="292" t="str">
        <f t="shared" si="71"/>
        <v/>
      </c>
    </row>
    <row r="473" spans="1:17" ht="15" customHeight="1" x14ac:dyDescent="0.2">
      <c r="A473" s="243" t="str">
        <f>IFERROR(INDEX(Txn[Key],MATCH(0,INDEX(COUNTIF($A$1:A472,Txn[Key])+(Txn[Key]=""),0),0)),"")</f>
        <v/>
      </c>
      <c r="B473" s="243" t="str">
        <f t="shared" si="63"/>
        <v/>
      </c>
      <c r="C473" s="243" t="str">
        <f t="shared" si="64"/>
        <v/>
      </c>
      <c r="D473" s="243" t="str">
        <f t="shared" si="65"/>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66"/>
        <v/>
      </c>
      <c r="K473" s="287" t="str">
        <f t="shared" si="67"/>
        <v/>
      </c>
      <c r="L473" s="287" t="str">
        <f t="shared" si="68"/>
        <v/>
      </c>
      <c r="M473" s="290" t="str">
        <f t="shared" si="69"/>
        <v/>
      </c>
      <c r="N473" s="243" t="str">
        <f>IF($A473="","",IF(ABS(E473)&gt;0.000001,COUNT($N$1:N472)+1,""))</f>
        <v/>
      </c>
      <c r="O473" s="291" t="str">
        <f>IF($A473="","",SUMIFS(Transactions!$H$2:$H$1001,Transactions!$J$2:$J$1001,$A473,Transactions!$A$2:$A$1001,2)*$I473)</f>
        <v/>
      </c>
      <c r="P473" s="291" t="str">
        <f t="shared" si="70"/>
        <v/>
      </c>
      <c r="Q473" s="292" t="str">
        <f t="shared" si="71"/>
        <v/>
      </c>
    </row>
    <row r="474" spans="1:17" ht="15" customHeight="1" x14ac:dyDescent="0.2">
      <c r="A474" s="243" t="str">
        <f>IFERROR(INDEX(Txn[Key],MATCH(0,INDEX(COUNTIF($A$1:A473,Txn[Key])+(Txn[Key]=""),0),0)),"")</f>
        <v/>
      </c>
      <c r="B474" s="243" t="str">
        <f t="shared" si="63"/>
        <v/>
      </c>
      <c r="C474" s="243" t="str">
        <f t="shared" si="64"/>
        <v/>
      </c>
      <c r="D474" s="243" t="str">
        <f t="shared" si="65"/>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66"/>
        <v/>
      </c>
      <c r="K474" s="287" t="str">
        <f t="shared" si="67"/>
        <v/>
      </c>
      <c r="L474" s="287" t="str">
        <f t="shared" si="68"/>
        <v/>
      </c>
      <c r="M474" s="290" t="str">
        <f t="shared" si="69"/>
        <v/>
      </c>
      <c r="N474" s="243" t="str">
        <f>IF($A474="","",IF(ABS(E474)&gt;0.000001,COUNT($N$1:N473)+1,""))</f>
        <v/>
      </c>
      <c r="O474" s="291" t="str">
        <f>IF($A474="","",SUMIFS(Transactions!$H$2:$H$1001,Transactions!$J$2:$J$1001,$A474,Transactions!$A$2:$A$1001,2)*$I474)</f>
        <v/>
      </c>
      <c r="P474" s="291" t="str">
        <f t="shared" si="70"/>
        <v/>
      </c>
      <c r="Q474" s="292" t="str">
        <f t="shared" si="71"/>
        <v/>
      </c>
    </row>
    <row r="475" spans="1:17" ht="15" customHeight="1" x14ac:dyDescent="0.2">
      <c r="A475" s="243" t="str">
        <f>IFERROR(INDEX(Txn[Key],MATCH(0,INDEX(COUNTIF($A$1:A474,Txn[Key])+(Txn[Key]=""),0),0)),"")</f>
        <v/>
      </c>
      <c r="B475" s="243" t="str">
        <f t="shared" si="63"/>
        <v/>
      </c>
      <c r="C475" s="243" t="str">
        <f t="shared" si="64"/>
        <v/>
      </c>
      <c r="D475" s="243" t="str">
        <f t="shared" si="65"/>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66"/>
        <v/>
      </c>
      <c r="K475" s="287" t="str">
        <f t="shared" si="67"/>
        <v/>
      </c>
      <c r="L475" s="287" t="str">
        <f t="shared" si="68"/>
        <v/>
      </c>
      <c r="M475" s="290" t="str">
        <f t="shared" si="69"/>
        <v/>
      </c>
      <c r="N475" s="243" t="str">
        <f>IF($A475="","",IF(ABS(E475)&gt;0.000001,COUNT($N$1:N474)+1,""))</f>
        <v/>
      </c>
      <c r="O475" s="291" t="str">
        <f>IF($A475="","",SUMIFS(Transactions!$H$2:$H$1001,Transactions!$J$2:$J$1001,$A475,Transactions!$A$2:$A$1001,2)*$I475)</f>
        <v/>
      </c>
      <c r="P475" s="291" t="str">
        <f t="shared" si="70"/>
        <v/>
      </c>
      <c r="Q475" s="292" t="str">
        <f t="shared" si="71"/>
        <v/>
      </c>
    </row>
    <row r="476" spans="1:17" ht="15" customHeight="1" x14ac:dyDescent="0.2">
      <c r="A476" s="243" t="str">
        <f>IFERROR(INDEX(Txn[Key],MATCH(0,INDEX(COUNTIF($A$1:A475,Txn[Key])+(Txn[Key]=""),0),0)),"")</f>
        <v/>
      </c>
      <c r="B476" s="243" t="str">
        <f t="shared" si="63"/>
        <v/>
      </c>
      <c r="C476" s="243" t="str">
        <f t="shared" si="64"/>
        <v/>
      </c>
      <c r="D476" s="243" t="str">
        <f t="shared" si="65"/>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66"/>
        <v/>
      </c>
      <c r="K476" s="287" t="str">
        <f t="shared" si="67"/>
        <v/>
      </c>
      <c r="L476" s="287" t="str">
        <f t="shared" si="68"/>
        <v/>
      </c>
      <c r="M476" s="290" t="str">
        <f t="shared" si="69"/>
        <v/>
      </c>
      <c r="N476" s="243" t="str">
        <f>IF($A476="","",IF(ABS(E476)&gt;0.000001,COUNT($N$1:N475)+1,""))</f>
        <v/>
      </c>
      <c r="O476" s="291" t="str">
        <f>IF($A476="","",SUMIFS(Transactions!$H$2:$H$1001,Transactions!$J$2:$J$1001,$A476,Transactions!$A$2:$A$1001,2)*$I476)</f>
        <v/>
      </c>
      <c r="P476" s="291" t="str">
        <f t="shared" si="70"/>
        <v/>
      </c>
      <c r="Q476" s="292" t="str">
        <f t="shared" si="71"/>
        <v/>
      </c>
    </row>
    <row r="477" spans="1:17" ht="15" customHeight="1" x14ac:dyDescent="0.2">
      <c r="A477" s="243" t="str">
        <f>IFERROR(INDEX(Txn[Key],MATCH(0,INDEX(COUNTIF($A$1:A476,Txn[Key])+(Txn[Key]=""),0),0)),"")</f>
        <v/>
      </c>
      <c r="B477" s="243" t="str">
        <f t="shared" si="63"/>
        <v/>
      </c>
      <c r="C477" s="243" t="str">
        <f t="shared" si="64"/>
        <v/>
      </c>
      <c r="D477" s="243" t="str">
        <f t="shared" si="65"/>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66"/>
        <v/>
      </c>
      <c r="K477" s="287" t="str">
        <f t="shared" si="67"/>
        <v/>
      </c>
      <c r="L477" s="287" t="str">
        <f t="shared" si="68"/>
        <v/>
      </c>
      <c r="M477" s="290" t="str">
        <f t="shared" si="69"/>
        <v/>
      </c>
      <c r="N477" s="243" t="str">
        <f>IF($A477="","",IF(ABS(E477)&gt;0.000001,COUNT($N$1:N476)+1,""))</f>
        <v/>
      </c>
      <c r="O477" s="291" t="str">
        <f>IF($A477="","",SUMIFS(Transactions!$H$2:$H$1001,Transactions!$J$2:$J$1001,$A477,Transactions!$A$2:$A$1001,2)*$I477)</f>
        <v/>
      </c>
      <c r="P477" s="291" t="str">
        <f t="shared" si="70"/>
        <v/>
      </c>
      <c r="Q477" s="292" t="str">
        <f t="shared" si="71"/>
        <v/>
      </c>
    </row>
    <row r="478" spans="1:17" ht="15" customHeight="1" x14ac:dyDescent="0.2">
      <c r="A478" s="243" t="str">
        <f>IFERROR(INDEX(Txn[Key],MATCH(0,INDEX(COUNTIF($A$1:A477,Txn[Key])+(Txn[Key]=""),0),0)),"")</f>
        <v/>
      </c>
      <c r="B478" s="243" t="str">
        <f t="shared" si="63"/>
        <v/>
      </c>
      <c r="C478" s="243" t="str">
        <f t="shared" si="64"/>
        <v/>
      </c>
      <c r="D478" s="243" t="str">
        <f t="shared" si="65"/>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66"/>
        <v/>
      </c>
      <c r="K478" s="287" t="str">
        <f t="shared" si="67"/>
        <v/>
      </c>
      <c r="L478" s="287" t="str">
        <f t="shared" si="68"/>
        <v/>
      </c>
      <c r="M478" s="290" t="str">
        <f t="shared" si="69"/>
        <v/>
      </c>
      <c r="N478" s="243" t="str">
        <f>IF($A478="","",IF(ABS(E478)&gt;0.000001,COUNT($N$1:N477)+1,""))</f>
        <v/>
      </c>
      <c r="O478" s="291" t="str">
        <f>IF($A478="","",SUMIFS(Transactions!$H$2:$H$1001,Transactions!$J$2:$J$1001,$A478,Transactions!$A$2:$A$1001,2)*$I478)</f>
        <v/>
      </c>
      <c r="P478" s="291" t="str">
        <f t="shared" si="70"/>
        <v/>
      </c>
      <c r="Q478" s="292" t="str">
        <f t="shared" si="71"/>
        <v/>
      </c>
    </row>
    <row r="479" spans="1:17" ht="15" customHeight="1" x14ac:dyDescent="0.2">
      <c r="A479" s="243" t="str">
        <f>IFERROR(INDEX(Txn[Key],MATCH(0,INDEX(COUNTIF($A$1:A478,Txn[Key])+(Txn[Key]=""),0),0)),"")</f>
        <v/>
      </c>
      <c r="B479" s="243" t="str">
        <f t="shared" si="63"/>
        <v/>
      </c>
      <c r="C479" s="243" t="str">
        <f t="shared" si="64"/>
        <v/>
      </c>
      <c r="D479" s="243" t="str">
        <f t="shared" si="65"/>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66"/>
        <v/>
      </c>
      <c r="K479" s="287" t="str">
        <f t="shared" si="67"/>
        <v/>
      </c>
      <c r="L479" s="287" t="str">
        <f t="shared" si="68"/>
        <v/>
      </c>
      <c r="M479" s="290" t="str">
        <f t="shared" si="69"/>
        <v/>
      </c>
      <c r="N479" s="243" t="str">
        <f>IF($A479="","",IF(ABS(E479)&gt;0.000001,COUNT($N$1:N478)+1,""))</f>
        <v/>
      </c>
      <c r="O479" s="291" t="str">
        <f>IF($A479="","",SUMIFS(Transactions!$H$2:$H$1001,Transactions!$J$2:$J$1001,$A479,Transactions!$A$2:$A$1001,2)*$I479)</f>
        <v/>
      </c>
      <c r="P479" s="291" t="str">
        <f t="shared" si="70"/>
        <v/>
      </c>
      <c r="Q479" s="292" t="str">
        <f t="shared" si="71"/>
        <v/>
      </c>
    </row>
    <row r="480" spans="1:17" ht="15" customHeight="1" x14ac:dyDescent="0.2">
      <c r="A480" s="243" t="str">
        <f>IFERROR(INDEX(Txn[Key],MATCH(0,INDEX(COUNTIF($A$1:A479,Txn[Key])+(Txn[Key]=""),0),0)),"")</f>
        <v/>
      </c>
      <c r="B480" s="243" t="str">
        <f t="shared" si="63"/>
        <v/>
      </c>
      <c r="C480" s="243" t="str">
        <f t="shared" si="64"/>
        <v/>
      </c>
      <c r="D480" s="243" t="str">
        <f t="shared" si="65"/>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66"/>
        <v/>
      </c>
      <c r="K480" s="287" t="str">
        <f t="shared" si="67"/>
        <v/>
      </c>
      <c r="L480" s="287" t="str">
        <f t="shared" si="68"/>
        <v/>
      </c>
      <c r="M480" s="290" t="str">
        <f t="shared" si="69"/>
        <v/>
      </c>
      <c r="N480" s="243" t="str">
        <f>IF($A480="","",IF(ABS(E480)&gt;0.000001,COUNT($N$1:N479)+1,""))</f>
        <v/>
      </c>
      <c r="O480" s="291" t="str">
        <f>IF($A480="","",SUMIFS(Transactions!$H$2:$H$1001,Transactions!$J$2:$J$1001,$A480,Transactions!$A$2:$A$1001,2)*$I480)</f>
        <v/>
      </c>
      <c r="P480" s="291" t="str">
        <f t="shared" si="70"/>
        <v/>
      </c>
      <c r="Q480" s="292" t="str">
        <f t="shared" si="71"/>
        <v/>
      </c>
    </row>
    <row r="481" spans="1:17" ht="15" customHeight="1" x14ac:dyDescent="0.2">
      <c r="A481" s="243" t="str">
        <f>IFERROR(INDEX(Txn[Key],MATCH(0,INDEX(COUNTIF($A$1:A480,Txn[Key])+(Txn[Key]=""),0),0)),"")</f>
        <v/>
      </c>
      <c r="B481" s="243" t="str">
        <f t="shared" si="63"/>
        <v/>
      </c>
      <c r="C481" s="243" t="str">
        <f t="shared" si="64"/>
        <v/>
      </c>
      <c r="D481" s="243" t="str">
        <f t="shared" si="65"/>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66"/>
        <v/>
      </c>
      <c r="K481" s="287" t="str">
        <f t="shared" si="67"/>
        <v/>
      </c>
      <c r="L481" s="287" t="str">
        <f t="shared" si="68"/>
        <v/>
      </c>
      <c r="M481" s="290" t="str">
        <f t="shared" si="69"/>
        <v/>
      </c>
      <c r="N481" s="243" t="str">
        <f>IF($A481="","",IF(ABS(E481)&gt;0.000001,COUNT($N$1:N480)+1,""))</f>
        <v/>
      </c>
      <c r="O481" s="291" t="str">
        <f>IF($A481="","",SUMIFS(Transactions!$H$2:$H$1001,Transactions!$J$2:$J$1001,$A481,Transactions!$A$2:$A$1001,2)*$I481)</f>
        <v/>
      </c>
      <c r="P481" s="291" t="str">
        <f t="shared" si="70"/>
        <v/>
      </c>
      <c r="Q481" s="292" t="str">
        <f t="shared" si="71"/>
        <v/>
      </c>
    </row>
    <row r="482" spans="1:17" ht="15" customHeight="1" x14ac:dyDescent="0.2">
      <c r="A482" s="243" t="str">
        <f>IFERROR(INDEX(Txn[Key],MATCH(0,INDEX(COUNTIF($A$1:A481,Txn[Key])+(Txn[Key]=""),0),0)),"")</f>
        <v/>
      </c>
      <c r="B482" s="243" t="str">
        <f t="shared" si="63"/>
        <v/>
      </c>
      <c r="C482" s="243" t="str">
        <f t="shared" si="64"/>
        <v/>
      </c>
      <c r="D482" s="243" t="str">
        <f t="shared" si="65"/>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66"/>
        <v/>
      </c>
      <c r="K482" s="287" t="str">
        <f t="shared" si="67"/>
        <v/>
      </c>
      <c r="L482" s="287" t="str">
        <f t="shared" si="68"/>
        <v/>
      </c>
      <c r="M482" s="290" t="str">
        <f t="shared" si="69"/>
        <v/>
      </c>
      <c r="N482" s="243" t="str">
        <f>IF($A482="","",IF(ABS(E482)&gt;0.000001,COUNT($N$1:N481)+1,""))</f>
        <v/>
      </c>
      <c r="O482" s="291" t="str">
        <f>IF($A482="","",SUMIFS(Transactions!$H$2:$H$1001,Transactions!$J$2:$J$1001,$A482,Transactions!$A$2:$A$1001,2)*$I482)</f>
        <v/>
      </c>
      <c r="P482" s="291" t="str">
        <f t="shared" si="70"/>
        <v/>
      </c>
      <c r="Q482" s="292" t="str">
        <f t="shared" si="71"/>
        <v/>
      </c>
    </row>
    <row r="483" spans="1:17" ht="15" customHeight="1" x14ac:dyDescent="0.2">
      <c r="A483" s="243" t="str">
        <f>IFERROR(INDEX(Txn[Key],MATCH(0,INDEX(COUNTIF($A$1:A482,Txn[Key])+(Txn[Key]=""),0),0)),"")</f>
        <v/>
      </c>
      <c r="B483" s="243" t="str">
        <f t="shared" si="63"/>
        <v/>
      </c>
      <c r="C483" s="243" t="str">
        <f t="shared" si="64"/>
        <v/>
      </c>
      <c r="D483" s="243" t="str">
        <f t="shared" si="65"/>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66"/>
        <v/>
      </c>
      <c r="K483" s="287" t="str">
        <f t="shared" si="67"/>
        <v/>
      </c>
      <c r="L483" s="287" t="str">
        <f t="shared" si="68"/>
        <v/>
      </c>
      <c r="M483" s="290" t="str">
        <f t="shared" si="69"/>
        <v/>
      </c>
      <c r="N483" s="243" t="str">
        <f>IF($A483="","",IF(ABS(E483)&gt;0.000001,COUNT($N$1:N482)+1,""))</f>
        <v/>
      </c>
      <c r="O483" s="291" t="str">
        <f>IF($A483="","",SUMIFS(Transactions!$H$2:$H$1001,Transactions!$J$2:$J$1001,$A483,Transactions!$A$2:$A$1001,2)*$I483)</f>
        <v/>
      </c>
      <c r="P483" s="291" t="str">
        <f t="shared" si="70"/>
        <v/>
      </c>
      <c r="Q483" s="292" t="str">
        <f t="shared" si="71"/>
        <v/>
      </c>
    </row>
    <row r="484" spans="1:17" ht="15" customHeight="1" x14ac:dyDescent="0.2">
      <c r="A484" s="243" t="str">
        <f>IFERROR(INDEX(Txn[Key],MATCH(0,INDEX(COUNTIF($A$1:A483,Txn[Key])+(Txn[Key]=""),0),0)),"")</f>
        <v/>
      </c>
      <c r="B484" s="243" t="str">
        <f t="shared" si="63"/>
        <v/>
      </c>
      <c r="C484" s="243" t="str">
        <f t="shared" si="64"/>
        <v/>
      </c>
      <c r="D484" s="243" t="str">
        <f t="shared" si="65"/>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66"/>
        <v/>
      </c>
      <c r="K484" s="287" t="str">
        <f t="shared" si="67"/>
        <v/>
      </c>
      <c r="L484" s="287" t="str">
        <f t="shared" si="68"/>
        <v/>
      </c>
      <c r="M484" s="290" t="str">
        <f t="shared" si="69"/>
        <v/>
      </c>
      <c r="N484" s="243" t="str">
        <f>IF($A484="","",IF(ABS(E484)&gt;0.000001,COUNT($N$1:N483)+1,""))</f>
        <v/>
      </c>
      <c r="O484" s="291" t="str">
        <f>IF($A484="","",SUMIFS(Transactions!$H$2:$H$1001,Transactions!$J$2:$J$1001,$A484,Transactions!$A$2:$A$1001,2)*$I484)</f>
        <v/>
      </c>
      <c r="P484" s="291" t="str">
        <f t="shared" si="70"/>
        <v/>
      </c>
      <c r="Q484" s="292" t="str">
        <f t="shared" si="71"/>
        <v/>
      </c>
    </row>
    <row r="485" spans="1:17" ht="15" customHeight="1" x14ac:dyDescent="0.2">
      <c r="A485" s="243" t="str">
        <f>IFERROR(INDEX(Txn[Key],MATCH(0,INDEX(COUNTIF($A$1:A484,Txn[Key])+(Txn[Key]=""),0),0)),"")</f>
        <v/>
      </c>
      <c r="B485" s="243" t="str">
        <f t="shared" si="63"/>
        <v/>
      </c>
      <c r="C485" s="243" t="str">
        <f t="shared" si="64"/>
        <v/>
      </c>
      <c r="D485" s="243" t="str">
        <f t="shared" si="65"/>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66"/>
        <v/>
      </c>
      <c r="K485" s="287" t="str">
        <f t="shared" si="67"/>
        <v/>
      </c>
      <c r="L485" s="287" t="str">
        <f t="shared" si="68"/>
        <v/>
      </c>
      <c r="M485" s="290" t="str">
        <f t="shared" si="69"/>
        <v/>
      </c>
      <c r="N485" s="243" t="str">
        <f>IF($A485="","",IF(ABS(E485)&gt;0.000001,COUNT($N$1:N484)+1,""))</f>
        <v/>
      </c>
      <c r="O485" s="291" t="str">
        <f>IF($A485="","",SUMIFS(Transactions!$H$2:$H$1001,Transactions!$J$2:$J$1001,$A485,Transactions!$A$2:$A$1001,2)*$I485)</f>
        <v/>
      </c>
      <c r="P485" s="291" t="str">
        <f t="shared" si="70"/>
        <v/>
      </c>
      <c r="Q485" s="292" t="str">
        <f t="shared" si="71"/>
        <v/>
      </c>
    </row>
    <row r="486" spans="1:17" ht="15" customHeight="1" x14ac:dyDescent="0.2">
      <c r="A486" s="243" t="str">
        <f>IFERROR(INDEX(Txn[Key],MATCH(0,INDEX(COUNTIF($A$1:A485,Txn[Key])+(Txn[Key]=""),0),0)),"")</f>
        <v/>
      </c>
      <c r="B486" s="243" t="str">
        <f t="shared" si="63"/>
        <v/>
      </c>
      <c r="C486" s="243" t="str">
        <f t="shared" si="64"/>
        <v/>
      </c>
      <c r="D486" s="243" t="str">
        <f t="shared" si="65"/>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66"/>
        <v/>
      </c>
      <c r="K486" s="287" t="str">
        <f t="shared" si="67"/>
        <v/>
      </c>
      <c r="L486" s="287" t="str">
        <f t="shared" si="68"/>
        <v/>
      </c>
      <c r="M486" s="290" t="str">
        <f t="shared" si="69"/>
        <v/>
      </c>
      <c r="N486" s="243" t="str">
        <f>IF($A486="","",IF(ABS(E486)&gt;0.000001,COUNT($N$1:N485)+1,""))</f>
        <v/>
      </c>
      <c r="O486" s="291" t="str">
        <f>IF($A486="","",SUMIFS(Transactions!$H$2:$H$1001,Transactions!$J$2:$J$1001,$A486,Transactions!$A$2:$A$1001,2)*$I486)</f>
        <v/>
      </c>
      <c r="P486" s="291" t="str">
        <f t="shared" si="70"/>
        <v/>
      </c>
      <c r="Q486" s="292" t="str">
        <f t="shared" si="71"/>
        <v/>
      </c>
    </row>
    <row r="487" spans="1:17" ht="15" customHeight="1" x14ac:dyDescent="0.2">
      <c r="A487" s="243" t="str">
        <f>IFERROR(INDEX(Txn[Key],MATCH(0,INDEX(COUNTIF($A$1:A486,Txn[Key])+(Txn[Key]=""),0),0)),"")</f>
        <v/>
      </c>
      <c r="B487" s="243" t="str">
        <f t="shared" si="63"/>
        <v/>
      </c>
      <c r="C487" s="243" t="str">
        <f t="shared" si="64"/>
        <v/>
      </c>
      <c r="D487" s="243" t="str">
        <f t="shared" si="65"/>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66"/>
        <v/>
      </c>
      <c r="K487" s="287" t="str">
        <f t="shared" si="67"/>
        <v/>
      </c>
      <c r="L487" s="287" t="str">
        <f t="shared" si="68"/>
        <v/>
      </c>
      <c r="M487" s="290" t="str">
        <f t="shared" si="69"/>
        <v/>
      </c>
      <c r="N487" s="243" t="str">
        <f>IF($A487="","",IF(ABS(E487)&gt;0.000001,COUNT($N$1:N486)+1,""))</f>
        <v/>
      </c>
      <c r="O487" s="291" t="str">
        <f>IF($A487="","",SUMIFS(Transactions!$H$2:$H$1001,Transactions!$J$2:$J$1001,$A487,Transactions!$A$2:$A$1001,2)*$I487)</f>
        <v/>
      </c>
      <c r="P487" s="291" t="str">
        <f t="shared" si="70"/>
        <v/>
      </c>
      <c r="Q487" s="292" t="str">
        <f t="shared" si="71"/>
        <v/>
      </c>
    </row>
    <row r="488" spans="1:17" ht="15" customHeight="1" x14ac:dyDescent="0.2">
      <c r="A488" s="243" t="str">
        <f>IFERROR(INDEX(Txn[Key],MATCH(0,INDEX(COUNTIF($A$1:A487,Txn[Key])+(Txn[Key]=""),0),0)),"")</f>
        <v/>
      </c>
      <c r="B488" s="243" t="str">
        <f t="shared" si="63"/>
        <v/>
      </c>
      <c r="C488" s="243" t="str">
        <f t="shared" si="64"/>
        <v/>
      </c>
      <c r="D488" s="243" t="str">
        <f t="shared" si="65"/>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66"/>
        <v/>
      </c>
      <c r="K488" s="287" t="str">
        <f t="shared" si="67"/>
        <v/>
      </c>
      <c r="L488" s="287" t="str">
        <f t="shared" si="68"/>
        <v/>
      </c>
      <c r="M488" s="290" t="str">
        <f t="shared" si="69"/>
        <v/>
      </c>
      <c r="N488" s="243" t="str">
        <f>IF($A488="","",IF(ABS(E488)&gt;0.000001,COUNT($N$1:N487)+1,""))</f>
        <v/>
      </c>
      <c r="O488" s="291" t="str">
        <f>IF($A488="","",SUMIFS(Transactions!$H$2:$H$1001,Transactions!$J$2:$J$1001,$A488,Transactions!$A$2:$A$1001,2)*$I488)</f>
        <v/>
      </c>
      <c r="P488" s="291" t="str">
        <f t="shared" si="70"/>
        <v/>
      </c>
      <c r="Q488" s="292" t="str">
        <f t="shared" si="71"/>
        <v/>
      </c>
    </row>
    <row r="489" spans="1:17" ht="15" customHeight="1" x14ac:dyDescent="0.2">
      <c r="A489" s="243" t="str">
        <f>IFERROR(INDEX(Txn[Key],MATCH(0,INDEX(COUNTIF($A$1:A488,Txn[Key])+(Txn[Key]=""),0),0)),"")</f>
        <v/>
      </c>
      <c r="B489" s="243" t="str">
        <f t="shared" si="63"/>
        <v/>
      </c>
      <c r="C489" s="243" t="str">
        <f t="shared" si="64"/>
        <v/>
      </c>
      <c r="D489" s="243" t="str">
        <f t="shared" si="65"/>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66"/>
        <v/>
      </c>
      <c r="K489" s="287" t="str">
        <f t="shared" si="67"/>
        <v/>
      </c>
      <c r="L489" s="287" t="str">
        <f t="shared" si="68"/>
        <v/>
      </c>
      <c r="M489" s="290" t="str">
        <f t="shared" si="69"/>
        <v/>
      </c>
      <c r="N489" s="243" t="str">
        <f>IF($A489="","",IF(ABS(E489)&gt;0.000001,COUNT($N$1:N488)+1,""))</f>
        <v/>
      </c>
      <c r="O489" s="291" t="str">
        <f>IF($A489="","",SUMIFS(Transactions!$H$2:$H$1001,Transactions!$J$2:$J$1001,$A489,Transactions!$A$2:$A$1001,2)*$I489)</f>
        <v/>
      </c>
      <c r="P489" s="291" t="str">
        <f t="shared" si="70"/>
        <v/>
      </c>
      <c r="Q489" s="292" t="str">
        <f t="shared" si="71"/>
        <v/>
      </c>
    </row>
    <row r="490" spans="1:17" ht="15" customHeight="1" x14ac:dyDescent="0.2">
      <c r="A490" s="243" t="str">
        <f>IFERROR(INDEX(Txn[Key],MATCH(0,INDEX(COUNTIF($A$1:A489,Txn[Key])+(Txn[Key]=""),0),0)),"")</f>
        <v/>
      </c>
      <c r="B490" s="243" t="str">
        <f t="shared" si="63"/>
        <v/>
      </c>
      <c r="C490" s="243" t="str">
        <f t="shared" si="64"/>
        <v/>
      </c>
      <c r="D490" s="243" t="str">
        <f t="shared" si="65"/>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66"/>
        <v/>
      </c>
      <c r="K490" s="287" t="str">
        <f t="shared" si="67"/>
        <v/>
      </c>
      <c r="L490" s="287" t="str">
        <f t="shared" si="68"/>
        <v/>
      </c>
      <c r="M490" s="290" t="str">
        <f t="shared" si="69"/>
        <v/>
      </c>
      <c r="N490" s="243" t="str">
        <f>IF($A490="","",IF(ABS(E490)&gt;0.000001,COUNT($N$1:N489)+1,""))</f>
        <v/>
      </c>
      <c r="O490" s="291" t="str">
        <f>IF($A490="","",SUMIFS(Transactions!$H$2:$H$1001,Transactions!$J$2:$J$1001,$A490,Transactions!$A$2:$A$1001,2)*$I490)</f>
        <v/>
      </c>
      <c r="P490" s="291" t="str">
        <f t="shared" si="70"/>
        <v/>
      </c>
      <c r="Q490" s="292" t="str">
        <f t="shared" si="71"/>
        <v/>
      </c>
    </row>
    <row r="491" spans="1:17" ht="15" customHeight="1" x14ac:dyDescent="0.2">
      <c r="A491" s="243" t="str">
        <f>IFERROR(INDEX(Txn[Key],MATCH(0,INDEX(COUNTIF($A$1:A490,Txn[Key])+(Txn[Key]=""),0),0)),"")</f>
        <v/>
      </c>
      <c r="B491" s="243" t="str">
        <f t="shared" si="63"/>
        <v/>
      </c>
      <c r="C491" s="243" t="str">
        <f t="shared" si="64"/>
        <v/>
      </c>
      <c r="D491" s="243" t="str">
        <f t="shared" si="65"/>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66"/>
        <v/>
      </c>
      <c r="K491" s="287" t="str">
        <f t="shared" si="67"/>
        <v/>
      </c>
      <c r="L491" s="287" t="str">
        <f t="shared" si="68"/>
        <v/>
      </c>
      <c r="M491" s="290" t="str">
        <f t="shared" si="69"/>
        <v/>
      </c>
      <c r="N491" s="243" t="str">
        <f>IF($A491="","",IF(ABS(E491)&gt;0.000001,COUNT($N$1:N490)+1,""))</f>
        <v/>
      </c>
      <c r="O491" s="291" t="str">
        <f>IF($A491="","",SUMIFS(Transactions!$H$2:$H$1001,Transactions!$J$2:$J$1001,$A491,Transactions!$A$2:$A$1001,2)*$I491)</f>
        <v/>
      </c>
      <c r="P491" s="291" t="str">
        <f t="shared" si="70"/>
        <v/>
      </c>
      <c r="Q491" s="292" t="str">
        <f t="shared" si="71"/>
        <v/>
      </c>
    </row>
    <row r="492" spans="1:17" ht="15" customHeight="1" x14ac:dyDescent="0.2">
      <c r="A492" s="243" t="str">
        <f>IFERROR(INDEX(Txn[Key],MATCH(0,INDEX(COUNTIF($A$1:A491,Txn[Key])+(Txn[Key]=""),0),0)),"")</f>
        <v/>
      </c>
      <c r="B492" s="243" t="str">
        <f t="shared" si="63"/>
        <v/>
      </c>
      <c r="C492" s="243" t="str">
        <f t="shared" si="64"/>
        <v/>
      </c>
      <c r="D492" s="243" t="str">
        <f t="shared" si="65"/>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66"/>
        <v/>
      </c>
      <c r="K492" s="287" t="str">
        <f t="shared" si="67"/>
        <v/>
      </c>
      <c r="L492" s="287" t="str">
        <f t="shared" si="68"/>
        <v/>
      </c>
      <c r="M492" s="290" t="str">
        <f t="shared" si="69"/>
        <v/>
      </c>
      <c r="N492" s="243" t="str">
        <f>IF($A492="","",IF(ABS(E492)&gt;0.000001,COUNT($N$1:N491)+1,""))</f>
        <v/>
      </c>
      <c r="O492" s="291" t="str">
        <f>IF($A492="","",SUMIFS(Transactions!$H$2:$H$1001,Transactions!$J$2:$J$1001,$A492,Transactions!$A$2:$A$1001,2)*$I492)</f>
        <v/>
      </c>
      <c r="P492" s="291" t="str">
        <f t="shared" si="70"/>
        <v/>
      </c>
      <c r="Q492" s="292" t="str">
        <f t="shared" si="71"/>
        <v/>
      </c>
    </row>
    <row r="493" spans="1:17" ht="15" customHeight="1" x14ac:dyDescent="0.2">
      <c r="A493" s="243" t="str">
        <f>IFERROR(INDEX(Txn[Key],MATCH(0,INDEX(COUNTIF($A$1:A492,Txn[Key])+(Txn[Key]=""),0),0)),"")</f>
        <v/>
      </c>
      <c r="B493" s="243" t="str">
        <f t="shared" si="63"/>
        <v/>
      </c>
      <c r="C493" s="243" t="str">
        <f t="shared" si="64"/>
        <v/>
      </c>
      <c r="D493" s="243" t="str">
        <f t="shared" si="65"/>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66"/>
        <v/>
      </c>
      <c r="K493" s="287" t="str">
        <f t="shared" si="67"/>
        <v/>
      </c>
      <c r="L493" s="287" t="str">
        <f t="shared" si="68"/>
        <v/>
      </c>
      <c r="M493" s="290" t="str">
        <f t="shared" si="69"/>
        <v/>
      </c>
      <c r="N493" s="243" t="str">
        <f>IF($A493="","",IF(ABS(E493)&gt;0.000001,COUNT($N$1:N492)+1,""))</f>
        <v/>
      </c>
      <c r="O493" s="291" t="str">
        <f>IF($A493="","",SUMIFS(Transactions!$H$2:$H$1001,Transactions!$J$2:$J$1001,$A493,Transactions!$A$2:$A$1001,2)*$I493)</f>
        <v/>
      </c>
      <c r="P493" s="291" t="str">
        <f t="shared" si="70"/>
        <v/>
      </c>
      <c r="Q493" s="292" t="str">
        <f t="shared" si="71"/>
        <v/>
      </c>
    </row>
    <row r="494" spans="1:17" ht="15" customHeight="1" x14ac:dyDescent="0.2">
      <c r="A494" s="243" t="str">
        <f>IFERROR(INDEX(Txn[Key],MATCH(0,INDEX(COUNTIF($A$1:A493,Txn[Key])+(Txn[Key]=""),0),0)),"")</f>
        <v/>
      </c>
      <c r="B494" s="243" t="str">
        <f t="shared" si="63"/>
        <v/>
      </c>
      <c r="C494" s="243" t="str">
        <f t="shared" si="64"/>
        <v/>
      </c>
      <c r="D494" s="243" t="str">
        <f t="shared" si="65"/>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66"/>
        <v/>
      </c>
      <c r="K494" s="287" t="str">
        <f t="shared" si="67"/>
        <v/>
      </c>
      <c r="L494" s="287" t="str">
        <f t="shared" si="68"/>
        <v/>
      </c>
      <c r="M494" s="290" t="str">
        <f t="shared" si="69"/>
        <v/>
      </c>
      <c r="N494" s="243" t="str">
        <f>IF($A494="","",IF(ABS(E494)&gt;0.000001,COUNT($N$1:N493)+1,""))</f>
        <v/>
      </c>
      <c r="O494" s="291" t="str">
        <f>IF($A494="","",SUMIFS(Transactions!$H$2:$H$1001,Transactions!$J$2:$J$1001,$A494,Transactions!$A$2:$A$1001,2)*$I494)</f>
        <v/>
      </c>
      <c r="P494" s="291" t="str">
        <f t="shared" si="70"/>
        <v/>
      </c>
      <c r="Q494" s="292" t="str">
        <f t="shared" si="71"/>
        <v/>
      </c>
    </row>
    <row r="495" spans="1:17" ht="15" customHeight="1" x14ac:dyDescent="0.2">
      <c r="A495" s="243" t="str">
        <f>IFERROR(INDEX(Txn[Key],MATCH(0,INDEX(COUNTIF($A$1:A494,Txn[Key])+(Txn[Key]=""),0),0)),"")</f>
        <v/>
      </c>
      <c r="B495" s="243" t="str">
        <f t="shared" si="63"/>
        <v/>
      </c>
      <c r="C495" s="243" t="str">
        <f t="shared" si="64"/>
        <v/>
      </c>
      <c r="D495" s="243" t="str">
        <f t="shared" si="65"/>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66"/>
        <v/>
      </c>
      <c r="K495" s="287" t="str">
        <f t="shared" si="67"/>
        <v/>
      </c>
      <c r="L495" s="287" t="str">
        <f t="shared" si="68"/>
        <v/>
      </c>
      <c r="M495" s="290" t="str">
        <f t="shared" si="69"/>
        <v/>
      </c>
      <c r="N495" s="243" t="str">
        <f>IF($A495="","",IF(ABS(E495)&gt;0.000001,COUNT($N$1:N494)+1,""))</f>
        <v/>
      </c>
      <c r="O495" s="291" t="str">
        <f>IF($A495="","",SUMIFS(Transactions!$H$2:$H$1001,Transactions!$J$2:$J$1001,$A495,Transactions!$A$2:$A$1001,2)*$I495)</f>
        <v/>
      </c>
      <c r="P495" s="291" t="str">
        <f t="shared" si="70"/>
        <v/>
      </c>
      <c r="Q495" s="292" t="str">
        <f t="shared" si="71"/>
        <v/>
      </c>
    </row>
    <row r="496" spans="1:17" ht="15" customHeight="1" x14ac:dyDescent="0.2">
      <c r="A496" s="243" t="str">
        <f>IFERROR(INDEX(Txn[Key],MATCH(0,INDEX(COUNTIF($A$1:A495,Txn[Key])+(Txn[Key]=""),0),0)),"")</f>
        <v/>
      </c>
      <c r="B496" s="243" t="str">
        <f t="shared" si="63"/>
        <v/>
      </c>
      <c r="C496" s="243" t="str">
        <f t="shared" si="64"/>
        <v/>
      </c>
      <c r="D496" s="243" t="str">
        <f t="shared" si="65"/>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66"/>
        <v/>
      </c>
      <c r="K496" s="287" t="str">
        <f t="shared" si="67"/>
        <v/>
      </c>
      <c r="L496" s="287" t="str">
        <f t="shared" si="68"/>
        <v/>
      </c>
      <c r="M496" s="290" t="str">
        <f t="shared" si="69"/>
        <v/>
      </c>
      <c r="N496" s="243" t="str">
        <f>IF($A496="","",IF(ABS(E496)&gt;0.000001,COUNT($N$1:N495)+1,""))</f>
        <v/>
      </c>
      <c r="O496" s="291" t="str">
        <f>IF($A496="","",SUMIFS(Transactions!$H$2:$H$1001,Transactions!$J$2:$J$1001,$A496,Transactions!$A$2:$A$1001,2)*$I496)</f>
        <v/>
      </c>
      <c r="P496" s="291" t="str">
        <f t="shared" si="70"/>
        <v/>
      </c>
      <c r="Q496" s="292" t="str">
        <f t="shared" si="71"/>
        <v/>
      </c>
    </row>
    <row r="497" spans="1:17" ht="15" customHeight="1" x14ac:dyDescent="0.2">
      <c r="A497" s="243" t="str">
        <f>IFERROR(INDEX(Txn[Key],MATCH(0,INDEX(COUNTIF($A$1:A496,Txn[Key])+(Txn[Key]=""),0),0)),"")</f>
        <v/>
      </c>
      <c r="B497" s="243" t="str">
        <f t="shared" si="63"/>
        <v/>
      </c>
      <c r="C497" s="243" t="str">
        <f t="shared" si="64"/>
        <v/>
      </c>
      <c r="D497" s="243" t="str">
        <f t="shared" si="65"/>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66"/>
        <v/>
      </c>
      <c r="K497" s="287" t="str">
        <f t="shared" si="67"/>
        <v/>
      </c>
      <c r="L497" s="287" t="str">
        <f t="shared" si="68"/>
        <v/>
      </c>
      <c r="M497" s="290" t="str">
        <f t="shared" si="69"/>
        <v/>
      </c>
      <c r="N497" s="243" t="str">
        <f>IF($A497="","",IF(ABS(E497)&gt;0.000001,COUNT($N$1:N496)+1,""))</f>
        <v/>
      </c>
      <c r="O497" s="291" t="str">
        <f>IF($A497="","",SUMIFS(Transactions!$H$2:$H$1001,Transactions!$J$2:$J$1001,$A497,Transactions!$A$2:$A$1001,2)*$I497)</f>
        <v/>
      </c>
      <c r="P497" s="291" t="str">
        <f t="shared" si="70"/>
        <v/>
      </c>
      <c r="Q497" s="292" t="str">
        <f t="shared" si="71"/>
        <v/>
      </c>
    </row>
    <row r="498" spans="1:17" ht="15" customHeight="1" x14ac:dyDescent="0.2">
      <c r="A498" s="243" t="str">
        <f>IFERROR(INDEX(Txn[Key],MATCH(0,INDEX(COUNTIF($A$1:A497,Txn[Key])+(Txn[Key]=""),0),0)),"")</f>
        <v/>
      </c>
      <c r="B498" s="243" t="str">
        <f t="shared" si="63"/>
        <v/>
      </c>
      <c r="C498" s="243" t="str">
        <f t="shared" si="64"/>
        <v/>
      </c>
      <c r="D498" s="243" t="str">
        <f t="shared" si="65"/>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66"/>
        <v/>
      </c>
      <c r="K498" s="287" t="str">
        <f t="shared" si="67"/>
        <v/>
      </c>
      <c r="L498" s="287" t="str">
        <f t="shared" si="68"/>
        <v/>
      </c>
      <c r="M498" s="290" t="str">
        <f t="shared" si="69"/>
        <v/>
      </c>
      <c r="N498" s="243" t="str">
        <f>IF($A498="","",IF(ABS(E498)&gt;0.000001,COUNT($N$1:N497)+1,""))</f>
        <v/>
      </c>
      <c r="O498" s="291" t="str">
        <f>IF($A498="","",SUMIFS(Transactions!$H$2:$H$1001,Transactions!$J$2:$J$1001,$A498,Transactions!$A$2:$A$1001,2)*$I498)</f>
        <v/>
      </c>
      <c r="P498" s="291" t="str">
        <f t="shared" si="70"/>
        <v/>
      </c>
      <c r="Q498" s="292" t="str">
        <f t="shared" si="71"/>
        <v/>
      </c>
    </row>
    <row r="499" spans="1:17" ht="15" customHeight="1" x14ac:dyDescent="0.2">
      <c r="A499" s="243" t="str">
        <f>IFERROR(INDEX(Txn[Key],MATCH(0,INDEX(COUNTIF($A$1:A498,Txn[Key])+(Txn[Key]=""),0),0)),"")</f>
        <v/>
      </c>
      <c r="B499" s="243" t="str">
        <f t="shared" si="63"/>
        <v/>
      </c>
      <c r="C499" s="243" t="str">
        <f t="shared" si="64"/>
        <v/>
      </c>
      <c r="D499" s="243" t="str">
        <f t="shared" si="65"/>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66"/>
        <v/>
      </c>
      <c r="K499" s="287" t="str">
        <f t="shared" si="67"/>
        <v/>
      </c>
      <c r="L499" s="287" t="str">
        <f t="shared" si="68"/>
        <v/>
      </c>
      <c r="M499" s="290" t="str">
        <f t="shared" si="69"/>
        <v/>
      </c>
      <c r="N499" s="243" t="str">
        <f>IF($A499="","",IF(ABS(E499)&gt;0.000001,COUNT($N$1:N498)+1,""))</f>
        <v/>
      </c>
      <c r="O499" s="291" t="str">
        <f>IF($A499="","",SUMIFS(Transactions!$H$2:$H$1001,Transactions!$J$2:$J$1001,$A499,Transactions!$A$2:$A$1001,2)*$I499)</f>
        <v/>
      </c>
      <c r="P499" s="291" t="str">
        <f t="shared" si="70"/>
        <v/>
      </c>
      <c r="Q499" s="292" t="str">
        <f t="shared" si="71"/>
        <v/>
      </c>
    </row>
    <row r="500" spans="1:17" ht="15" customHeight="1" x14ac:dyDescent="0.2">
      <c r="A500" s="243" t="str">
        <f>IFERROR(INDEX(Txn[Key],MATCH(0,INDEX(COUNTIF($A$1:A499,Txn[Key])+(Txn[Key]=""),0),0)),"")</f>
        <v/>
      </c>
      <c r="B500" s="243" t="str">
        <f t="shared" si="63"/>
        <v/>
      </c>
      <c r="C500" s="243" t="str">
        <f t="shared" si="64"/>
        <v/>
      </c>
      <c r="D500" s="243" t="str">
        <f t="shared" si="65"/>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66"/>
        <v/>
      </c>
      <c r="K500" s="287" t="str">
        <f t="shared" si="67"/>
        <v/>
      </c>
      <c r="L500" s="287" t="str">
        <f t="shared" si="68"/>
        <v/>
      </c>
      <c r="M500" s="290" t="str">
        <f t="shared" si="69"/>
        <v/>
      </c>
      <c r="N500" s="243" t="str">
        <f>IF($A500="","",IF(ABS(E500)&gt;0.000001,COUNT($N$1:N499)+1,""))</f>
        <v/>
      </c>
      <c r="O500" s="291" t="str">
        <f>IF($A500="","",SUMIFS(Transactions!$H$2:$H$1001,Transactions!$J$2:$J$1001,$A500,Transactions!$A$2:$A$1001,2)*$I500)</f>
        <v/>
      </c>
      <c r="P500" s="291" t="str">
        <f t="shared" si="70"/>
        <v/>
      </c>
      <c r="Q500" s="292" t="str">
        <f t="shared" si="71"/>
        <v/>
      </c>
    </row>
    <row r="501" spans="1:17" ht="15" customHeight="1" x14ac:dyDescent="0.2">
      <c r="A501" s="243" t="str">
        <f>IFERROR(INDEX(Txn[Key],MATCH(0,INDEX(COUNTIF($A$1:A500,Txn[Key])+(Txn[Key]=""),0),0)),"")</f>
        <v/>
      </c>
      <c r="B501" s="243" t="str">
        <f t="shared" si="63"/>
        <v/>
      </c>
      <c r="C501" s="243" t="str">
        <f t="shared" si="64"/>
        <v/>
      </c>
      <c r="D501" s="243" t="str">
        <f t="shared" si="65"/>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66"/>
        <v/>
      </c>
      <c r="K501" s="287" t="str">
        <f t="shared" si="67"/>
        <v/>
      </c>
      <c r="L501" s="287" t="str">
        <f t="shared" si="68"/>
        <v/>
      </c>
      <c r="M501" s="290" t="str">
        <f t="shared" si="69"/>
        <v/>
      </c>
      <c r="N501" s="243" t="str">
        <f>IF($A501="","",IF(ABS(E501)&gt;0.000001,COUNT($N$1:N500)+1,""))</f>
        <v/>
      </c>
      <c r="O501" s="291" t="str">
        <f>IF($A501="","",SUMIFS(Transactions!$H$2:$H$1001,Transactions!$J$2:$J$1001,$A501,Transactions!$A$2:$A$1001,2)*$I501)</f>
        <v/>
      </c>
      <c r="P501" s="291" t="str">
        <f t="shared" si="70"/>
        <v/>
      </c>
      <c r="Q501" s="292" t="str">
        <f t="shared" si="71"/>
        <v/>
      </c>
    </row>
    <row r="502" spans="1:17" ht="15" customHeight="1" x14ac:dyDescent="0.2">
      <c r="A502" s="243" t="str">
        <f>IFERROR(INDEX(Txn[Key],MATCH(0,INDEX(COUNTIF($A$1:A501,Txn[Key])+(Txn[Key]=""),0),0)),"")</f>
        <v/>
      </c>
      <c r="B502" s="243" t="str">
        <f t="shared" si="63"/>
        <v/>
      </c>
      <c r="C502" s="243" t="str">
        <f t="shared" si="64"/>
        <v/>
      </c>
      <c r="D502" s="243" t="str">
        <f t="shared" si="65"/>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66"/>
        <v/>
      </c>
      <c r="K502" s="287" t="str">
        <f t="shared" si="67"/>
        <v/>
      </c>
      <c r="L502" s="287" t="str">
        <f t="shared" si="68"/>
        <v/>
      </c>
      <c r="M502" s="290" t="str">
        <f t="shared" si="69"/>
        <v/>
      </c>
      <c r="N502" s="243" t="str">
        <f>IF($A502="","",IF(ABS(E502)&gt;0.000001,COUNT($N$1:N501)+1,""))</f>
        <v/>
      </c>
      <c r="O502" s="291" t="str">
        <f>IF($A502="","",SUMIFS(Transactions!$H$2:$H$1001,Transactions!$J$2:$J$1001,$A502,Transactions!$A$2:$A$1001,2)*$I502)</f>
        <v/>
      </c>
      <c r="P502" s="291" t="str">
        <f t="shared" si="70"/>
        <v/>
      </c>
      <c r="Q502" s="292" t="str">
        <f t="shared" si="71"/>
        <v/>
      </c>
    </row>
    <row r="503" spans="1:17" ht="15" customHeight="1" x14ac:dyDescent="0.2">
      <c r="A503" s="243" t="str">
        <f>IFERROR(INDEX(Txn[Key],MATCH(0,INDEX(COUNTIF($A$1:A502,Txn[Key])+(Txn[Key]=""),0),0)),"")</f>
        <v/>
      </c>
      <c r="B503" s="243" t="str">
        <f t="shared" si="63"/>
        <v/>
      </c>
      <c r="C503" s="243" t="str">
        <f t="shared" si="64"/>
        <v/>
      </c>
      <c r="D503" s="243" t="str">
        <f t="shared" si="65"/>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66"/>
        <v/>
      </c>
      <c r="K503" s="287" t="str">
        <f t="shared" si="67"/>
        <v/>
      </c>
      <c r="L503" s="287" t="str">
        <f t="shared" si="68"/>
        <v/>
      </c>
      <c r="M503" s="290" t="str">
        <f t="shared" si="69"/>
        <v/>
      </c>
      <c r="N503" s="243" t="str">
        <f>IF($A503="","",IF(ABS(E503)&gt;0.000001,COUNT($N$1:N502)+1,""))</f>
        <v/>
      </c>
      <c r="O503" s="291" t="str">
        <f>IF($A503="","",SUMIFS(Transactions!$H$2:$H$1001,Transactions!$J$2:$J$1001,$A503,Transactions!$A$2:$A$1001,2)*$I503)</f>
        <v/>
      </c>
      <c r="P503" s="291" t="str">
        <f t="shared" si="70"/>
        <v/>
      </c>
      <c r="Q503" s="292" t="str">
        <f t="shared" si="71"/>
        <v/>
      </c>
    </row>
    <row r="504" spans="1:17" ht="15" customHeight="1" x14ac:dyDescent="0.2">
      <c r="A504" s="243" t="str">
        <f>IFERROR(INDEX(Txn[Key],MATCH(0,INDEX(COUNTIF($A$1:A503,Txn[Key])+(Txn[Key]=""),0),0)),"")</f>
        <v/>
      </c>
      <c r="B504" s="243" t="str">
        <f t="shared" si="63"/>
        <v/>
      </c>
      <c r="C504" s="243" t="str">
        <f t="shared" si="64"/>
        <v/>
      </c>
      <c r="D504" s="243" t="str">
        <f t="shared" si="65"/>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66"/>
        <v/>
      </c>
      <c r="K504" s="287" t="str">
        <f t="shared" si="67"/>
        <v/>
      </c>
      <c r="L504" s="287" t="str">
        <f t="shared" si="68"/>
        <v/>
      </c>
      <c r="M504" s="290" t="str">
        <f t="shared" si="69"/>
        <v/>
      </c>
      <c r="N504" s="243" t="str">
        <f>IF($A504="","",IF(ABS(E504)&gt;0.000001,COUNT($N$1:N503)+1,""))</f>
        <v/>
      </c>
      <c r="O504" s="291" t="str">
        <f>IF($A504="","",SUMIFS(Transactions!$H$2:$H$1001,Transactions!$J$2:$J$1001,$A504,Transactions!$A$2:$A$1001,2)*$I504)</f>
        <v/>
      </c>
      <c r="P504" s="291" t="str">
        <f t="shared" si="70"/>
        <v/>
      </c>
      <c r="Q504" s="292" t="str">
        <f t="shared" si="71"/>
        <v/>
      </c>
    </row>
    <row r="505" spans="1:17" ht="15" customHeight="1" x14ac:dyDescent="0.2">
      <c r="A505" s="243" t="str">
        <f>IFERROR(INDEX(Txn[Key],MATCH(0,INDEX(COUNTIF($A$1:A504,Txn[Key])+(Txn[Key]=""),0),0)),"")</f>
        <v/>
      </c>
      <c r="B505" s="243" t="str">
        <f t="shared" si="63"/>
        <v/>
      </c>
      <c r="C505" s="243" t="str">
        <f t="shared" si="64"/>
        <v/>
      </c>
      <c r="D505" s="243" t="str">
        <f t="shared" si="65"/>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66"/>
        <v/>
      </c>
      <c r="K505" s="287" t="str">
        <f t="shared" si="67"/>
        <v/>
      </c>
      <c r="L505" s="287" t="str">
        <f t="shared" si="68"/>
        <v/>
      </c>
      <c r="M505" s="290" t="str">
        <f t="shared" si="69"/>
        <v/>
      </c>
      <c r="N505" s="243" t="str">
        <f>IF($A505="","",IF(ABS(E505)&gt;0.000001,COUNT($N$1:N504)+1,""))</f>
        <v/>
      </c>
      <c r="O505" s="291" t="str">
        <f>IF($A505="","",SUMIFS(Transactions!$H$2:$H$1001,Transactions!$J$2:$J$1001,$A505,Transactions!$A$2:$A$1001,2)*$I505)</f>
        <v/>
      </c>
      <c r="P505" s="291" t="str">
        <f t="shared" si="70"/>
        <v/>
      </c>
      <c r="Q505" s="292" t="str">
        <f t="shared" si="71"/>
        <v/>
      </c>
    </row>
    <row r="506" spans="1:17" ht="15" customHeight="1" x14ac:dyDescent="0.2">
      <c r="A506" s="243" t="str">
        <f>IFERROR(INDEX(Txn[Key],MATCH(0,INDEX(COUNTIF($A$1:A505,Txn[Key])+(Txn[Key]=""),0),0)),"")</f>
        <v/>
      </c>
      <c r="B506" s="243" t="str">
        <f t="shared" si="63"/>
        <v/>
      </c>
      <c r="C506" s="243" t="str">
        <f t="shared" si="64"/>
        <v/>
      </c>
      <c r="D506" s="243" t="str">
        <f t="shared" si="65"/>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66"/>
        <v/>
      </c>
      <c r="K506" s="287" t="str">
        <f t="shared" si="67"/>
        <v/>
      </c>
      <c r="L506" s="287" t="str">
        <f t="shared" si="68"/>
        <v/>
      </c>
      <c r="M506" s="290" t="str">
        <f t="shared" si="69"/>
        <v/>
      </c>
      <c r="N506" s="243" t="str">
        <f>IF($A506="","",IF(ABS(E506)&gt;0.000001,COUNT($N$1:N505)+1,""))</f>
        <v/>
      </c>
      <c r="O506" s="291" t="str">
        <f>IF($A506="","",SUMIFS(Transactions!$H$2:$H$1001,Transactions!$J$2:$J$1001,$A506,Transactions!$A$2:$A$1001,2)*$I506)</f>
        <v/>
      </c>
      <c r="P506" s="291" t="str">
        <f t="shared" si="70"/>
        <v/>
      </c>
      <c r="Q506" s="292" t="str">
        <f t="shared" si="71"/>
        <v/>
      </c>
    </row>
    <row r="507" spans="1:17" ht="15" customHeight="1" x14ac:dyDescent="0.2">
      <c r="A507" s="243" t="str">
        <f>IFERROR(INDEX(Txn[Key],MATCH(0,INDEX(COUNTIF($A$1:A506,Txn[Key])+(Txn[Key]=""),0),0)),"")</f>
        <v/>
      </c>
      <c r="B507" s="243" t="str">
        <f t="shared" si="63"/>
        <v/>
      </c>
      <c r="C507" s="243" t="str">
        <f t="shared" si="64"/>
        <v/>
      </c>
      <c r="D507" s="243" t="str">
        <f t="shared" si="65"/>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66"/>
        <v/>
      </c>
      <c r="K507" s="287" t="str">
        <f t="shared" si="67"/>
        <v/>
      </c>
      <c r="L507" s="287" t="str">
        <f t="shared" si="68"/>
        <v/>
      </c>
      <c r="M507" s="290" t="str">
        <f t="shared" si="69"/>
        <v/>
      </c>
      <c r="N507" s="243" t="str">
        <f>IF($A507="","",IF(ABS(E507)&gt;0.000001,COUNT($N$1:N506)+1,""))</f>
        <v/>
      </c>
      <c r="O507" s="291" t="str">
        <f>IF($A507="","",SUMIFS(Transactions!$H$2:$H$1001,Transactions!$J$2:$J$1001,$A507,Transactions!$A$2:$A$1001,2)*$I507)</f>
        <v/>
      </c>
      <c r="P507" s="291" t="str">
        <f t="shared" si="70"/>
        <v/>
      </c>
      <c r="Q507" s="292" t="str">
        <f t="shared" si="71"/>
        <v/>
      </c>
    </row>
    <row r="508" spans="1:17" ht="15" customHeight="1" x14ac:dyDescent="0.2">
      <c r="A508" s="243" t="str">
        <f>IFERROR(INDEX(Txn[Key],MATCH(0,INDEX(COUNTIF($A$1:A507,Txn[Key])+(Txn[Key]=""),0),0)),"")</f>
        <v/>
      </c>
      <c r="B508" s="243" t="str">
        <f t="shared" si="63"/>
        <v/>
      </c>
      <c r="C508" s="243" t="str">
        <f t="shared" si="64"/>
        <v/>
      </c>
      <c r="D508" s="243" t="str">
        <f t="shared" si="65"/>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66"/>
        <v/>
      </c>
      <c r="K508" s="287" t="str">
        <f t="shared" si="67"/>
        <v/>
      </c>
      <c r="L508" s="287" t="str">
        <f t="shared" si="68"/>
        <v/>
      </c>
      <c r="M508" s="290" t="str">
        <f t="shared" si="69"/>
        <v/>
      </c>
      <c r="N508" s="243" t="str">
        <f>IF($A508="","",IF(ABS(E508)&gt;0.000001,COUNT($N$1:N507)+1,""))</f>
        <v/>
      </c>
      <c r="O508" s="291" t="str">
        <f>IF($A508="","",SUMIFS(Transactions!$H$2:$H$1001,Transactions!$J$2:$J$1001,$A508,Transactions!$A$2:$A$1001,2)*$I508)</f>
        <v/>
      </c>
      <c r="P508" s="291" t="str">
        <f t="shared" si="70"/>
        <v/>
      </c>
      <c r="Q508" s="292" t="str">
        <f t="shared" si="71"/>
        <v/>
      </c>
    </row>
    <row r="509" spans="1:17" ht="15" customHeight="1" x14ac:dyDescent="0.2">
      <c r="A509" s="243" t="str">
        <f>IFERROR(INDEX(Txn[Key],MATCH(0,INDEX(COUNTIF($A$1:A508,Txn[Key])+(Txn[Key]=""),0),0)),"")</f>
        <v/>
      </c>
      <c r="B509" s="243" t="str">
        <f t="shared" si="63"/>
        <v/>
      </c>
      <c r="C509" s="243" t="str">
        <f t="shared" si="64"/>
        <v/>
      </c>
      <c r="D509" s="243" t="str">
        <f t="shared" si="65"/>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66"/>
        <v/>
      </c>
      <c r="K509" s="287" t="str">
        <f t="shared" si="67"/>
        <v/>
      </c>
      <c r="L509" s="287" t="str">
        <f t="shared" si="68"/>
        <v/>
      </c>
      <c r="M509" s="290" t="str">
        <f t="shared" si="69"/>
        <v/>
      </c>
      <c r="N509" s="243" t="str">
        <f>IF($A509="","",IF(ABS(E509)&gt;0.000001,COUNT($N$1:N508)+1,""))</f>
        <v/>
      </c>
      <c r="O509" s="291" t="str">
        <f>IF($A509="","",SUMIFS(Transactions!$H$2:$H$1001,Transactions!$J$2:$J$1001,$A509,Transactions!$A$2:$A$1001,2)*$I509)</f>
        <v/>
      </c>
      <c r="P509" s="291" t="str">
        <f t="shared" si="70"/>
        <v/>
      </c>
      <c r="Q509" s="292" t="str">
        <f t="shared" si="71"/>
        <v/>
      </c>
    </row>
    <row r="510" spans="1:17" ht="15" customHeight="1" x14ac:dyDescent="0.2">
      <c r="A510" s="243" t="str">
        <f>IFERROR(INDEX(Txn[Key],MATCH(0,INDEX(COUNTIF($A$1:A509,Txn[Key])+(Txn[Key]=""),0),0)),"")</f>
        <v/>
      </c>
      <c r="B510" s="243" t="str">
        <f t="shared" si="63"/>
        <v/>
      </c>
      <c r="C510" s="243" t="str">
        <f t="shared" si="64"/>
        <v/>
      </c>
      <c r="D510" s="243" t="str">
        <f t="shared" si="65"/>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66"/>
        <v/>
      </c>
      <c r="K510" s="287" t="str">
        <f t="shared" si="67"/>
        <v/>
      </c>
      <c r="L510" s="287" t="str">
        <f t="shared" si="68"/>
        <v/>
      </c>
      <c r="M510" s="290" t="str">
        <f t="shared" si="69"/>
        <v/>
      </c>
      <c r="N510" s="243" t="str">
        <f>IF($A510="","",IF(ABS(E510)&gt;0.000001,COUNT($N$1:N509)+1,""))</f>
        <v/>
      </c>
      <c r="O510" s="291" t="str">
        <f>IF($A510="","",SUMIFS(Transactions!$H$2:$H$1001,Transactions!$J$2:$J$1001,$A510,Transactions!$A$2:$A$1001,2)*$I510)</f>
        <v/>
      </c>
      <c r="P510" s="291" t="str">
        <f t="shared" si="70"/>
        <v/>
      </c>
      <c r="Q510" s="292" t="str">
        <f t="shared" si="71"/>
        <v/>
      </c>
    </row>
    <row r="511" spans="1:17" ht="15" customHeight="1" x14ac:dyDescent="0.2">
      <c r="A511" s="243" t="str">
        <f>IFERROR(INDEX(Txn[Key],MATCH(0,INDEX(COUNTIF($A$1:A510,Txn[Key])+(Txn[Key]=""),0),0)),"")</f>
        <v/>
      </c>
      <c r="B511" s="243" t="str">
        <f t="shared" si="63"/>
        <v/>
      </c>
      <c r="C511" s="243" t="str">
        <f t="shared" si="64"/>
        <v/>
      </c>
      <c r="D511" s="243" t="str">
        <f t="shared" si="65"/>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66"/>
        <v/>
      </c>
      <c r="K511" s="287" t="str">
        <f t="shared" si="67"/>
        <v/>
      </c>
      <c r="L511" s="287" t="str">
        <f t="shared" si="68"/>
        <v/>
      </c>
      <c r="M511" s="290" t="str">
        <f t="shared" si="69"/>
        <v/>
      </c>
      <c r="N511" s="243" t="str">
        <f>IF($A511="","",IF(ABS(E511)&gt;0.000001,COUNT($N$1:N510)+1,""))</f>
        <v/>
      </c>
      <c r="O511" s="291" t="str">
        <f>IF($A511="","",SUMIFS(Transactions!$H$2:$H$1001,Transactions!$J$2:$J$1001,$A511,Transactions!$A$2:$A$1001,2)*$I511)</f>
        <v/>
      </c>
      <c r="P511" s="291" t="str">
        <f t="shared" si="70"/>
        <v/>
      </c>
      <c r="Q511" s="292" t="str">
        <f t="shared" si="71"/>
        <v/>
      </c>
    </row>
    <row r="512" spans="1:17" ht="15" customHeight="1" x14ac:dyDescent="0.2">
      <c r="A512" s="243" t="str">
        <f>IFERROR(INDEX(Txn[Key],MATCH(0,INDEX(COUNTIF($A$1:A511,Txn[Key])+(Txn[Key]=""),0),0)),"")</f>
        <v/>
      </c>
      <c r="B512" s="243" t="str">
        <f t="shared" si="63"/>
        <v/>
      </c>
      <c r="C512" s="243" t="str">
        <f t="shared" si="64"/>
        <v/>
      </c>
      <c r="D512" s="243" t="str">
        <f t="shared" si="65"/>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66"/>
        <v/>
      </c>
      <c r="K512" s="287" t="str">
        <f t="shared" si="67"/>
        <v/>
      </c>
      <c r="L512" s="287" t="str">
        <f t="shared" si="68"/>
        <v/>
      </c>
      <c r="M512" s="290" t="str">
        <f t="shared" si="69"/>
        <v/>
      </c>
      <c r="N512" s="243" t="str">
        <f>IF($A512="","",IF(ABS(E512)&gt;0.000001,COUNT($N$1:N511)+1,""))</f>
        <v/>
      </c>
      <c r="O512" s="291" t="str">
        <f>IF($A512="","",SUMIFS(Transactions!$H$2:$H$1001,Transactions!$J$2:$J$1001,$A512,Transactions!$A$2:$A$1001,2)*$I512)</f>
        <v/>
      </c>
      <c r="P512" s="291" t="str">
        <f t="shared" si="70"/>
        <v/>
      </c>
      <c r="Q512" s="292" t="str">
        <f t="shared" si="71"/>
        <v/>
      </c>
    </row>
    <row r="513" spans="1:17" ht="15" customHeight="1" x14ac:dyDescent="0.2">
      <c r="A513" s="243" t="str">
        <f>IFERROR(INDEX(Txn[Key],MATCH(0,INDEX(COUNTIF($A$1:A512,Txn[Key])+(Txn[Key]=""),0),0)),"")</f>
        <v/>
      </c>
      <c r="B513" s="243" t="str">
        <f t="shared" si="63"/>
        <v/>
      </c>
      <c r="C513" s="243" t="str">
        <f t="shared" si="64"/>
        <v/>
      </c>
      <c r="D513" s="243" t="str">
        <f t="shared" si="65"/>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66"/>
        <v/>
      </c>
      <c r="K513" s="287" t="str">
        <f t="shared" si="67"/>
        <v/>
      </c>
      <c r="L513" s="287" t="str">
        <f t="shared" si="68"/>
        <v/>
      </c>
      <c r="M513" s="290" t="str">
        <f t="shared" si="69"/>
        <v/>
      </c>
      <c r="N513" s="243" t="str">
        <f>IF($A513="","",IF(ABS(E513)&gt;0.000001,COUNT($N$1:N512)+1,""))</f>
        <v/>
      </c>
      <c r="O513" s="291" t="str">
        <f>IF($A513="","",SUMIFS(Transactions!$H$2:$H$1001,Transactions!$J$2:$J$1001,$A513,Transactions!$A$2:$A$1001,2)*$I513)</f>
        <v/>
      </c>
      <c r="P513" s="291" t="str">
        <f t="shared" si="70"/>
        <v/>
      </c>
      <c r="Q513" s="292" t="str">
        <f t="shared" si="71"/>
        <v/>
      </c>
    </row>
    <row r="514" spans="1:17" ht="15" customHeight="1" x14ac:dyDescent="0.2">
      <c r="A514" s="243" t="str">
        <f>IFERROR(INDEX(Txn[Key],MATCH(0,INDEX(COUNTIF($A$1:A513,Txn[Key])+(Txn[Key]=""),0),0)),"")</f>
        <v/>
      </c>
      <c r="B514" s="243" t="str">
        <f t="shared" ref="B514:B577" si="72">IF($A514="","",LEFT($A514,FIND(":",$A514)-1))</f>
        <v/>
      </c>
      <c r="C514" s="243" t="str">
        <f t="shared" ref="C514:C577" si="73">IF($A514="","",MID($A514,FIND(":",$A514)+1,FIND(":",$A514,FIND(":",$A514)+1)-FIND(":",$A514)-1))</f>
        <v/>
      </c>
      <c r="D514" s="243" t="str">
        <f t="shared" ref="D514:D577" si="74">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75">IF($A514="","",E514*H514)</f>
        <v/>
      </c>
      <c r="K514" s="287" t="str">
        <f t="shared" ref="K514:K577" si="76">IF($A514="","",J514+G514-F514)</f>
        <v/>
      </c>
      <c r="L514" s="287" t="str">
        <f t="shared" ref="L514:L577" si="77">IF($A514="","",K514*I514)</f>
        <v/>
      </c>
      <c r="M514" s="290" t="str">
        <f t="shared" ref="M514:M577" si="78">IF($A514="","",IFERROR(K514/F514,0))</f>
        <v/>
      </c>
      <c r="N514" s="243" t="str">
        <f>IF($A514="","",IF(ABS(E514)&gt;0.000001,COUNT($N$1:N513)+1,""))</f>
        <v/>
      </c>
      <c r="O514" s="291" t="str">
        <f>IF($A514="","",SUMIFS(Transactions!$H$2:$H$1001,Transactions!$J$2:$J$1001,$A514,Transactions!$A$2:$A$1001,2)*$I514)</f>
        <v/>
      </c>
      <c r="P514" s="291" t="str">
        <f t="shared" ref="P514:P577" si="79">IF($A514="","",$L514+$O514)</f>
        <v/>
      </c>
      <c r="Q514" s="292" t="str">
        <f t="shared" ref="Q514:Q577" si="80">IF($A514="","",IFERROR(($L514+$O514)/($F514*$I514),0))</f>
        <v/>
      </c>
    </row>
    <row r="515" spans="1:17" ht="15" customHeight="1" x14ac:dyDescent="0.2">
      <c r="A515" s="243" t="str">
        <f>IFERROR(INDEX(Txn[Key],MATCH(0,INDEX(COUNTIF($A$1:A514,Txn[Key])+(Txn[Key]=""),0),0)),"")</f>
        <v/>
      </c>
      <c r="B515" s="243" t="str">
        <f t="shared" si="72"/>
        <v/>
      </c>
      <c r="C515" s="243" t="str">
        <f t="shared" si="73"/>
        <v/>
      </c>
      <c r="D515" s="243" t="str">
        <f t="shared" si="74"/>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75"/>
        <v/>
      </c>
      <c r="K515" s="287" t="str">
        <f t="shared" si="76"/>
        <v/>
      </c>
      <c r="L515" s="287" t="str">
        <f t="shared" si="77"/>
        <v/>
      </c>
      <c r="M515" s="290" t="str">
        <f t="shared" si="78"/>
        <v/>
      </c>
      <c r="N515" s="243" t="str">
        <f>IF($A515="","",IF(ABS(E515)&gt;0.000001,COUNT($N$1:N514)+1,""))</f>
        <v/>
      </c>
      <c r="O515" s="291" t="str">
        <f>IF($A515="","",SUMIFS(Transactions!$H$2:$H$1001,Transactions!$J$2:$J$1001,$A515,Transactions!$A$2:$A$1001,2)*$I515)</f>
        <v/>
      </c>
      <c r="P515" s="291" t="str">
        <f t="shared" si="79"/>
        <v/>
      </c>
      <c r="Q515" s="292" t="str">
        <f t="shared" si="80"/>
        <v/>
      </c>
    </row>
    <row r="516" spans="1:17" ht="15" customHeight="1" x14ac:dyDescent="0.2">
      <c r="A516" s="243" t="str">
        <f>IFERROR(INDEX(Txn[Key],MATCH(0,INDEX(COUNTIF($A$1:A515,Txn[Key])+(Txn[Key]=""),0),0)),"")</f>
        <v/>
      </c>
      <c r="B516" s="243" t="str">
        <f t="shared" si="72"/>
        <v/>
      </c>
      <c r="C516" s="243" t="str">
        <f t="shared" si="73"/>
        <v/>
      </c>
      <c r="D516" s="243" t="str">
        <f t="shared" si="74"/>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75"/>
        <v/>
      </c>
      <c r="K516" s="287" t="str">
        <f t="shared" si="76"/>
        <v/>
      </c>
      <c r="L516" s="287" t="str">
        <f t="shared" si="77"/>
        <v/>
      </c>
      <c r="M516" s="290" t="str">
        <f t="shared" si="78"/>
        <v/>
      </c>
      <c r="N516" s="243" t="str">
        <f>IF($A516="","",IF(ABS(E516)&gt;0.000001,COUNT($N$1:N515)+1,""))</f>
        <v/>
      </c>
      <c r="O516" s="291" t="str">
        <f>IF($A516="","",SUMIFS(Transactions!$H$2:$H$1001,Transactions!$J$2:$J$1001,$A516,Transactions!$A$2:$A$1001,2)*$I516)</f>
        <v/>
      </c>
      <c r="P516" s="291" t="str">
        <f t="shared" si="79"/>
        <v/>
      </c>
      <c r="Q516" s="292" t="str">
        <f t="shared" si="80"/>
        <v/>
      </c>
    </row>
    <row r="517" spans="1:17" ht="15" customHeight="1" x14ac:dyDescent="0.2">
      <c r="A517" s="243" t="str">
        <f>IFERROR(INDEX(Txn[Key],MATCH(0,INDEX(COUNTIF($A$1:A516,Txn[Key])+(Txn[Key]=""),0),0)),"")</f>
        <v/>
      </c>
      <c r="B517" s="243" t="str">
        <f t="shared" si="72"/>
        <v/>
      </c>
      <c r="C517" s="243" t="str">
        <f t="shared" si="73"/>
        <v/>
      </c>
      <c r="D517" s="243" t="str">
        <f t="shared" si="74"/>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75"/>
        <v/>
      </c>
      <c r="K517" s="287" t="str">
        <f t="shared" si="76"/>
        <v/>
      </c>
      <c r="L517" s="287" t="str">
        <f t="shared" si="77"/>
        <v/>
      </c>
      <c r="M517" s="290" t="str">
        <f t="shared" si="78"/>
        <v/>
      </c>
      <c r="N517" s="243" t="str">
        <f>IF($A517="","",IF(ABS(E517)&gt;0.000001,COUNT($N$1:N516)+1,""))</f>
        <v/>
      </c>
      <c r="O517" s="291" t="str">
        <f>IF($A517="","",SUMIFS(Transactions!$H$2:$H$1001,Transactions!$J$2:$J$1001,$A517,Transactions!$A$2:$A$1001,2)*$I517)</f>
        <v/>
      </c>
      <c r="P517" s="291" t="str">
        <f t="shared" si="79"/>
        <v/>
      </c>
      <c r="Q517" s="292" t="str">
        <f t="shared" si="80"/>
        <v/>
      </c>
    </row>
    <row r="518" spans="1:17" ht="15" customHeight="1" x14ac:dyDescent="0.2">
      <c r="A518" s="243" t="str">
        <f>IFERROR(INDEX(Txn[Key],MATCH(0,INDEX(COUNTIF($A$1:A517,Txn[Key])+(Txn[Key]=""),0),0)),"")</f>
        <v/>
      </c>
      <c r="B518" s="243" t="str">
        <f t="shared" si="72"/>
        <v/>
      </c>
      <c r="C518" s="243" t="str">
        <f t="shared" si="73"/>
        <v/>
      </c>
      <c r="D518" s="243" t="str">
        <f t="shared" si="74"/>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75"/>
        <v/>
      </c>
      <c r="K518" s="287" t="str">
        <f t="shared" si="76"/>
        <v/>
      </c>
      <c r="L518" s="287" t="str">
        <f t="shared" si="77"/>
        <v/>
      </c>
      <c r="M518" s="290" t="str">
        <f t="shared" si="78"/>
        <v/>
      </c>
      <c r="N518" s="243" t="str">
        <f>IF($A518="","",IF(ABS(E518)&gt;0.000001,COUNT($N$1:N517)+1,""))</f>
        <v/>
      </c>
      <c r="O518" s="291" t="str">
        <f>IF($A518="","",SUMIFS(Transactions!$H$2:$H$1001,Transactions!$J$2:$J$1001,$A518,Transactions!$A$2:$A$1001,2)*$I518)</f>
        <v/>
      </c>
      <c r="P518" s="291" t="str">
        <f t="shared" si="79"/>
        <v/>
      </c>
      <c r="Q518" s="292" t="str">
        <f t="shared" si="80"/>
        <v/>
      </c>
    </row>
    <row r="519" spans="1:17" ht="15" customHeight="1" x14ac:dyDescent="0.2">
      <c r="A519" s="243" t="str">
        <f>IFERROR(INDEX(Txn[Key],MATCH(0,INDEX(COUNTIF($A$1:A518,Txn[Key])+(Txn[Key]=""),0),0)),"")</f>
        <v/>
      </c>
      <c r="B519" s="243" t="str">
        <f t="shared" si="72"/>
        <v/>
      </c>
      <c r="C519" s="243" t="str">
        <f t="shared" si="73"/>
        <v/>
      </c>
      <c r="D519" s="243" t="str">
        <f t="shared" si="74"/>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75"/>
        <v/>
      </c>
      <c r="K519" s="287" t="str">
        <f t="shared" si="76"/>
        <v/>
      </c>
      <c r="L519" s="287" t="str">
        <f t="shared" si="77"/>
        <v/>
      </c>
      <c r="M519" s="290" t="str">
        <f t="shared" si="78"/>
        <v/>
      </c>
      <c r="N519" s="243" t="str">
        <f>IF($A519="","",IF(ABS(E519)&gt;0.000001,COUNT($N$1:N518)+1,""))</f>
        <v/>
      </c>
      <c r="O519" s="291" t="str">
        <f>IF($A519="","",SUMIFS(Transactions!$H$2:$H$1001,Transactions!$J$2:$J$1001,$A519,Transactions!$A$2:$A$1001,2)*$I519)</f>
        <v/>
      </c>
      <c r="P519" s="291" t="str">
        <f t="shared" si="79"/>
        <v/>
      </c>
      <c r="Q519" s="292" t="str">
        <f t="shared" si="80"/>
        <v/>
      </c>
    </row>
    <row r="520" spans="1:17" ht="15" customHeight="1" x14ac:dyDescent="0.2">
      <c r="A520" s="243" t="str">
        <f>IFERROR(INDEX(Txn[Key],MATCH(0,INDEX(COUNTIF($A$1:A519,Txn[Key])+(Txn[Key]=""),0),0)),"")</f>
        <v/>
      </c>
      <c r="B520" s="243" t="str">
        <f t="shared" si="72"/>
        <v/>
      </c>
      <c r="C520" s="243" t="str">
        <f t="shared" si="73"/>
        <v/>
      </c>
      <c r="D520" s="243" t="str">
        <f t="shared" si="74"/>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75"/>
        <v/>
      </c>
      <c r="K520" s="287" t="str">
        <f t="shared" si="76"/>
        <v/>
      </c>
      <c r="L520" s="287" t="str">
        <f t="shared" si="77"/>
        <v/>
      </c>
      <c r="M520" s="290" t="str">
        <f t="shared" si="78"/>
        <v/>
      </c>
      <c r="N520" s="243" t="str">
        <f>IF($A520="","",IF(ABS(E520)&gt;0.000001,COUNT($N$1:N519)+1,""))</f>
        <v/>
      </c>
      <c r="O520" s="291" t="str">
        <f>IF($A520="","",SUMIFS(Transactions!$H$2:$H$1001,Transactions!$J$2:$J$1001,$A520,Transactions!$A$2:$A$1001,2)*$I520)</f>
        <v/>
      </c>
      <c r="P520" s="291" t="str">
        <f t="shared" si="79"/>
        <v/>
      </c>
      <c r="Q520" s="292" t="str">
        <f t="shared" si="80"/>
        <v/>
      </c>
    </row>
    <row r="521" spans="1:17" ht="15" customHeight="1" x14ac:dyDescent="0.2">
      <c r="A521" s="243" t="str">
        <f>IFERROR(INDEX(Txn[Key],MATCH(0,INDEX(COUNTIF($A$1:A520,Txn[Key])+(Txn[Key]=""),0),0)),"")</f>
        <v/>
      </c>
      <c r="B521" s="243" t="str">
        <f t="shared" si="72"/>
        <v/>
      </c>
      <c r="C521" s="243" t="str">
        <f t="shared" si="73"/>
        <v/>
      </c>
      <c r="D521" s="243" t="str">
        <f t="shared" si="74"/>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75"/>
        <v/>
      </c>
      <c r="K521" s="287" t="str">
        <f t="shared" si="76"/>
        <v/>
      </c>
      <c r="L521" s="287" t="str">
        <f t="shared" si="77"/>
        <v/>
      </c>
      <c r="M521" s="290" t="str">
        <f t="shared" si="78"/>
        <v/>
      </c>
      <c r="N521" s="243" t="str">
        <f>IF($A521="","",IF(ABS(E521)&gt;0.000001,COUNT($N$1:N520)+1,""))</f>
        <v/>
      </c>
      <c r="O521" s="291" t="str">
        <f>IF($A521="","",SUMIFS(Transactions!$H$2:$H$1001,Transactions!$J$2:$J$1001,$A521,Transactions!$A$2:$A$1001,2)*$I521)</f>
        <v/>
      </c>
      <c r="P521" s="291" t="str">
        <f t="shared" si="79"/>
        <v/>
      </c>
      <c r="Q521" s="292" t="str">
        <f t="shared" si="80"/>
        <v/>
      </c>
    </row>
    <row r="522" spans="1:17" ht="15" customHeight="1" x14ac:dyDescent="0.2">
      <c r="A522" s="243" t="str">
        <f>IFERROR(INDEX(Txn[Key],MATCH(0,INDEX(COUNTIF($A$1:A521,Txn[Key])+(Txn[Key]=""),0),0)),"")</f>
        <v/>
      </c>
      <c r="B522" s="243" t="str">
        <f t="shared" si="72"/>
        <v/>
      </c>
      <c r="C522" s="243" t="str">
        <f t="shared" si="73"/>
        <v/>
      </c>
      <c r="D522" s="243" t="str">
        <f t="shared" si="74"/>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75"/>
        <v/>
      </c>
      <c r="K522" s="287" t="str">
        <f t="shared" si="76"/>
        <v/>
      </c>
      <c r="L522" s="287" t="str">
        <f t="shared" si="77"/>
        <v/>
      </c>
      <c r="M522" s="290" t="str">
        <f t="shared" si="78"/>
        <v/>
      </c>
      <c r="N522" s="243" t="str">
        <f>IF($A522="","",IF(ABS(E522)&gt;0.000001,COUNT($N$1:N521)+1,""))</f>
        <v/>
      </c>
      <c r="O522" s="291" t="str">
        <f>IF($A522="","",SUMIFS(Transactions!$H$2:$H$1001,Transactions!$J$2:$J$1001,$A522,Transactions!$A$2:$A$1001,2)*$I522)</f>
        <v/>
      </c>
      <c r="P522" s="291" t="str">
        <f t="shared" si="79"/>
        <v/>
      </c>
      <c r="Q522" s="292" t="str">
        <f t="shared" si="80"/>
        <v/>
      </c>
    </row>
    <row r="523" spans="1:17" ht="15" customHeight="1" x14ac:dyDescent="0.2">
      <c r="A523" s="243" t="str">
        <f>IFERROR(INDEX(Txn[Key],MATCH(0,INDEX(COUNTIF($A$1:A522,Txn[Key])+(Txn[Key]=""),0),0)),"")</f>
        <v/>
      </c>
      <c r="B523" s="243" t="str">
        <f t="shared" si="72"/>
        <v/>
      </c>
      <c r="C523" s="243" t="str">
        <f t="shared" si="73"/>
        <v/>
      </c>
      <c r="D523" s="243" t="str">
        <f t="shared" si="74"/>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75"/>
        <v/>
      </c>
      <c r="K523" s="287" t="str">
        <f t="shared" si="76"/>
        <v/>
      </c>
      <c r="L523" s="287" t="str">
        <f t="shared" si="77"/>
        <v/>
      </c>
      <c r="M523" s="290" t="str">
        <f t="shared" si="78"/>
        <v/>
      </c>
      <c r="N523" s="243" t="str">
        <f>IF($A523="","",IF(ABS(E523)&gt;0.000001,COUNT($N$1:N522)+1,""))</f>
        <v/>
      </c>
      <c r="O523" s="291" t="str">
        <f>IF($A523="","",SUMIFS(Transactions!$H$2:$H$1001,Transactions!$J$2:$J$1001,$A523,Transactions!$A$2:$A$1001,2)*$I523)</f>
        <v/>
      </c>
      <c r="P523" s="291" t="str">
        <f t="shared" si="79"/>
        <v/>
      </c>
      <c r="Q523" s="292" t="str">
        <f t="shared" si="80"/>
        <v/>
      </c>
    </row>
    <row r="524" spans="1:17" ht="15" customHeight="1" x14ac:dyDescent="0.2">
      <c r="A524" s="243" t="str">
        <f>IFERROR(INDEX(Txn[Key],MATCH(0,INDEX(COUNTIF($A$1:A523,Txn[Key])+(Txn[Key]=""),0),0)),"")</f>
        <v/>
      </c>
      <c r="B524" s="243" t="str">
        <f t="shared" si="72"/>
        <v/>
      </c>
      <c r="C524" s="243" t="str">
        <f t="shared" si="73"/>
        <v/>
      </c>
      <c r="D524" s="243" t="str">
        <f t="shared" si="74"/>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75"/>
        <v/>
      </c>
      <c r="K524" s="287" t="str">
        <f t="shared" si="76"/>
        <v/>
      </c>
      <c r="L524" s="287" t="str">
        <f t="shared" si="77"/>
        <v/>
      </c>
      <c r="M524" s="290" t="str">
        <f t="shared" si="78"/>
        <v/>
      </c>
      <c r="N524" s="243" t="str">
        <f>IF($A524="","",IF(ABS(E524)&gt;0.000001,COUNT($N$1:N523)+1,""))</f>
        <v/>
      </c>
      <c r="O524" s="291" t="str">
        <f>IF($A524="","",SUMIFS(Transactions!$H$2:$H$1001,Transactions!$J$2:$J$1001,$A524,Transactions!$A$2:$A$1001,2)*$I524)</f>
        <v/>
      </c>
      <c r="P524" s="291" t="str">
        <f t="shared" si="79"/>
        <v/>
      </c>
      <c r="Q524" s="292" t="str">
        <f t="shared" si="80"/>
        <v/>
      </c>
    </row>
    <row r="525" spans="1:17" ht="15" customHeight="1" x14ac:dyDescent="0.2">
      <c r="A525" s="243" t="str">
        <f>IFERROR(INDEX(Txn[Key],MATCH(0,INDEX(COUNTIF($A$1:A524,Txn[Key])+(Txn[Key]=""),0),0)),"")</f>
        <v/>
      </c>
      <c r="B525" s="243" t="str">
        <f t="shared" si="72"/>
        <v/>
      </c>
      <c r="C525" s="243" t="str">
        <f t="shared" si="73"/>
        <v/>
      </c>
      <c r="D525" s="243" t="str">
        <f t="shared" si="74"/>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75"/>
        <v/>
      </c>
      <c r="K525" s="287" t="str">
        <f t="shared" si="76"/>
        <v/>
      </c>
      <c r="L525" s="287" t="str">
        <f t="shared" si="77"/>
        <v/>
      </c>
      <c r="M525" s="290" t="str">
        <f t="shared" si="78"/>
        <v/>
      </c>
      <c r="N525" s="243" t="str">
        <f>IF($A525="","",IF(ABS(E525)&gt;0.000001,COUNT($N$1:N524)+1,""))</f>
        <v/>
      </c>
      <c r="O525" s="291" t="str">
        <f>IF($A525="","",SUMIFS(Transactions!$H$2:$H$1001,Transactions!$J$2:$J$1001,$A525,Transactions!$A$2:$A$1001,2)*$I525)</f>
        <v/>
      </c>
      <c r="P525" s="291" t="str">
        <f t="shared" si="79"/>
        <v/>
      </c>
      <c r="Q525" s="292" t="str">
        <f t="shared" si="80"/>
        <v/>
      </c>
    </row>
    <row r="526" spans="1:17" ht="15" customHeight="1" x14ac:dyDescent="0.2">
      <c r="A526" s="243" t="str">
        <f>IFERROR(INDEX(Txn[Key],MATCH(0,INDEX(COUNTIF($A$1:A525,Txn[Key])+(Txn[Key]=""),0),0)),"")</f>
        <v/>
      </c>
      <c r="B526" s="243" t="str">
        <f t="shared" si="72"/>
        <v/>
      </c>
      <c r="C526" s="243" t="str">
        <f t="shared" si="73"/>
        <v/>
      </c>
      <c r="D526" s="243" t="str">
        <f t="shared" si="74"/>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75"/>
        <v/>
      </c>
      <c r="K526" s="287" t="str">
        <f t="shared" si="76"/>
        <v/>
      </c>
      <c r="L526" s="287" t="str">
        <f t="shared" si="77"/>
        <v/>
      </c>
      <c r="M526" s="290" t="str">
        <f t="shared" si="78"/>
        <v/>
      </c>
      <c r="N526" s="243" t="str">
        <f>IF($A526="","",IF(ABS(E526)&gt;0.000001,COUNT($N$1:N525)+1,""))</f>
        <v/>
      </c>
      <c r="O526" s="291" t="str">
        <f>IF($A526="","",SUMIFS(Transactions!$H$2:$H$1001,Transactions!$J$2:$J$1001,$A526,Transactions!$A$2:$A$1001,2)*$I526)</f>
        <v/>
      </c>
      <c r="P526" s="291" t="str">
        <f t="shared" si="79"/>
        <v/>
      </c>
      <c r="Q526" s="292" t="str">
        <f t="shared" si="80"/>
        <v/>
      </c>
    </row>
    <row r="527" spans="1:17" ht="15" customHeight="1" x14ac:dyDescent="0.2">
      <c r="A527" s="243" t="str">
        <f>IFERROR(INDEX(Txn[Key],MATCH(0,INDEX(COUNTIF($A$1:A526,Txn[Key])+(Txn[Key]=""),0),0)),"")</f>
        <v/>
      </c>
      <c r="B527" s="243" t="str">
        <f t="shared" si="72"/>
        <v/>
      </c>
      <c r="C527" s="243" t="str">
        <f t="shared" si="73"/>
        <v/>
      </c>
      <c r="D527" s="243" t="str">
        <f t="shared" si="74"/>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75"/>
        <v/>
      </c>
      <c r="K527" s="287" t="str">
        <f t="shared" si="76"/>
        <v/>
      </c>
      <c r="L527" s="287" t="str">
        <f t="shared" si="77"/>
        <v/>
      </c>
      <c r="M527" s="290" t="str">
        <f t="shared" si="78"/>
        <v/>
      </c>
      <c r="N527" s="243" t="str">
        <f>IF($A527="","",IF(ABS(E527)&gt;0.000001,COUNT($N$1:N526)+1,""))</f>
        <v/>
      </c>
      <c r="O527" s="291" t="str">
        <f>IF($A527="","",SUMIFS(Transactions!$H$2:$H$1001,Transactions!$J$2:$J$1001,$A527,Transactions!$A$2:$A$1001,2)*$I527)</f>
        <v/>
      </c>
      <c r="P527" s="291" t="str">
        <f t="shared" si="79"/>
        <v/>
      </c>
      <c r="Q527" s="292" t="str">
        <f t="shared" si="80"/>
        <v/>
      </c>
    </row>
    <row r="528" spans="1:17" ht="15" customHeight="1" x14ac:dyDescent="0.2">
      <c r="A528" s="243" t="str">
        <f>IFERROR(INDEX(Txn[Key],MATCH(0,INDEX(COUNTIF($A$1:A527,Txn[Key])+(Txn[Key]=""),0),0)),"")</f>
        <v/>
      </c>
      <c r="B528" s="243" t="str">
        <f t="shared" si="72"/>
        <v/>
      </c>
      <c r="C528" s="243" t="str">
        <f t="shared" si="73"/>
        <v/>
      </c>
      <c r="D528" s="243" t="str">
        <f t="shared" si="74"/>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75"/>
        <v/>
      </c>
      <c r="K528" s="287" t="str">
        <f t="shared" si="76"/>
        <v/>
      </c>
      <c r="L528" s="287" t="str">
        <f t="shared" si="77"/>
        <v/>
      </c>
      <c r="M528" s="290" t="str">
        <f t="shared" si="78"/>
        <v/>
      </c>
      <c r="N528" s="243" t="str">
        <f>IF($A528="","",IF(ABS(E528)&gt;0.000001,COUNT($N$1:N527)+1,""))</f>
        <v/>
      </c>
      <c r="O528" s="291" t="str">
        <f>IF($A528="","",SUMIFS(Transactions!$H$2:$H$1001,Transactions!$J$2:$J$1001,$A528,Transactions!$A$2:$A$1001,2)*$I528)</f>
        <v/>
      </c>
      <c r="P528" s="291" t="str">
        <f t="shared" si="79"/>
        <v/>
      </c>
      <c r="Q528" s="292" t="str">
        <f t="shared" si="80"/>
        <v/>
      </c>
    </row>
    <row r="529" spans="1:17" ht="15" customHeight="1" x14ac:dyDescent="0.2">
      <c r="A529" s="243" t="str">
        <f>IFERROR(INDEX(Txn[Key],MATCH(0,INDEX(COUNTIF($A$1:A528,Txn[Key])+(Txn[Key]=""),0),0)),"")</f>
        <v/>
      </c>
      <c r="B529" s="243" t="str">
        <f t="shared" si="72"/>
        <v/>
      </c>
      <c r="C529" s="243" t="str">
        <f t="shared" si="73"/>
        <v/>
      </c>
      <c r="D529" s="243" t="str">
        <f t="shared" si="74"/>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75"/>
        <v/>
      </c>
      <c r="K529" s="287" t="str">
        <f t="shared" si="76"/>
        <v/>
      </c>
      <c r="L529" s="287" t="str">
        <f t="shared" si="77"/>
        <v/>
      </c>
      <c r="M529" s="290" t="str">
        <f t="shared" si="78"/>
        <v/>
      </c>
      <c r="N529" s="243" t="str">
        <f>IF($A529="","",IF(ABS(E529)&gt;0.000001,COUNT($N$1:N528)+1,""))</f>
        <v/>
      </c>
      <c r="O529" s="291" t="str">
        <f>IF($A529="","",SUMIFS(Transactions!$H$2:$H$1001,Transactions!$J$2:$J$1001,$A529,Transactions!$A$2:$A$1001,2)*$I529)</f>
        <v/>
      </c>
      <c r="P529" s="291" t="str">
        <f t="shared" si="79"/>
        <v/>
      </c>
      <c r="Q529" s="292" t="str">
        <f t="shared" si="80"/>
        <v/>
      </c>
    </row>
    <row r="530" spans="1:17" ht="15" customHeight="1" x14ac:dyDescent="0.2">
      <c r="A530" s="243" t="str">
        <f>IFERROR(INDEX(Txn[Key],MATCH(0,INDEX(COUNTIF($A$1:A529,Txn[Key])+(Txn[Key]=""),0),0)),"")</f>
        <v/>
      </c>
      <c r="B530" s="243" t="str">
        <f t="shared" si="72"/>
        <v/>
      </c>
      <c r="C530" s="243" t="str">
        <f t="shared" si="73"/>
        <v/>
      </c>
      <c r="D530" s="243" t="str">
        <f t="shared" si="74"/>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75"/>
        <v/>
      </c>
      <c r="K530" s="287" t="str">
        <f t="shared" si="76"/>
        <v/>
      </c>
      <c r="L530" s="287" t="str">
        <f t="shared" si="77"/>
        <v/>
      </c>
      <c r="M530" s="290" t="str">
        <f t="shared" si="78"/>
        <v/>
      </c>
      <c r="N530" s="243" t="str">
        <f>IF($A530="","",IF(ABS(E530)&gt;0.000001,COUNT($N$1:N529)+1,""))</f>
        <v/>
      </c>
      <c r="O530" s="291" t="str">
        <f>IF($A530="","",SUMIFS(Transactions!$H$2:$H$1001,Transactions!$J$2:$J$1001,$A530,Transactions!$A$2:$A$1001,2)*$I530)</f>
        <v/>
      </c>
      <c r="P530" s="291" t="str">
        <f t="shared" si="79"/>
        <v/>
      </c>
      <c r="Q530" s="292" t="str">
        <f t="shared" si="80"/>
        <v/>
      </c>
    </row>
    <row r="531" spans="1:17" ht="15" customHeight="1" x14ac:dyDescent="0.2">
      <c r="A531" s="243" t="str">
        <f>IFERROR(INDEX(Txn[Key],MATCH(0,INDEX(COUNTIF($A$1:A530,Txn[Key])+(Txn[Key]=""),0),0)),"")</f>
        <v/>
      </c>
      <c r="B531" s="243" t="str">
        <f t="shared" si="72"/>
        <v/>
      </c>
      <c r="C531" s="243" t="str">
        <f t="shared" si="73"/>
        <v/>
      </c>
      <c r="D531" s="243" t="str">
        <f t="shared" si="74"/>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75"/>
        <v/>
      </c>
      <c r="K531" s="287" t="str">
        <f t="shared" si="76"/>
        <v/>
      </c>
      <c r="L531" s="287" t="str">
        <f t="shared" si="77"/>
        <v/>
      </c>
      <c r="M531" s="290" t="str">
        <f t="shared" si="78"/>
        <v/>
      </c>
      <c r="N531" s="243" t="str">
        <f>IF($A531="","",IF(ABS(E531)&gt;0.000001,COUNT($N$1:N530)+1,""))</f>
        <v/>
      </c>
      <c r="O531" s="291" t="str">
        <f>IF($A531="","",SUMIFS(Transactions!$H$2:$H$1001,Transactions!$J$2:$J$1001,$A531,Transactions!$A$2:$A$1001,2)*$I531)</f>
        <v/>
      </c>
      <c r="P531" s="291" t="str">
        <f t="shared" si="79"/>
        <v/>
      </c>
      <c r="Q531" s="292" t="str">
        <f t="shared" si="80"/>
        <v/>
      </c>
    </row>
    <row r="532" spans="1:17" ht="15" customHeight="1" x14ac:dyDescent="0.2">
      <c r="A532" s="243" t="str">
        <f>IFERROR(INDEX(Txn[Key],MATCH(0,INDEX(COUNTIF($A$1:A531,Txn[Key])+(Txn[Key]=""),0),0)),"")</f>
        <v/>
      </c>
      <c r="B532" s="243" t="str">
        <f t="shared" si="72"/>
        <v/>
      </c>
      <c r="C532" s="243" t="str">
        <f t="shared" si="73"/>
        <v/>
      </c>
      <c r="D532" s="243" t="str">
        <f t="shared" si="74"/>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75"/>
        <v/>
      </c>
      <c r="K532" s="287" t="str">
        <f t="shared" si="76"/>
        <v/>
      </c>
      <c r="L532" s="287" t="str">
        <f t="shared" si="77"/>
        <v/>
      </c>
      <c r="M532" s="290" t="str">
        <f t="shared" si="78"/>
        <v/>
      </c>
      <c r="N532" s="243" t="str">
        <f>IF($A532="","",IF(ABS(E532)&gt;0.000001,COUNT($N$1:N531)+1,""))</f>
        <v/>
      </c>
      <c r="O532" s="291" t="str">
        <f>IF($A532="","",SUMIFS(Transactions!$H$2:$H$1001,Transactions!$J$2:$J$1001,$A532,Transactions!$A$2:$A$1001,2)*$I532)</f>
        <v/>
      </c>
      <c r="P532" s="291" t="str">
        <f t="shared" si="79"/>
        <v/>
      </c>
      <c r="Q532" s="292" t="str">
        <f t="shared" si="80"/>
        <v/>
      </c>
    </row>
    <row r="533" spans="1:17" ht="15" customHeight="1" x14ac:dyDescent="0.2">
      <c r="A533" s="243" t="str">
        <f>IFERROR(INDEX(Txn[Key],MATCH(0,INDEX(COUNTIF($A$1:A532,Txn[Key])+(Txn[Key]=""),0),0)),"")</f>
        <v/>
      </c>
      <c r="B533" s="243" t="str">
        <f t="shared" si="72"/>
        <v/>
      </c>
      <c r="C533" s="243" t="str">
        <f t="shared" si="73"/>
        <v/>
      </c>
      <c r="D533" s="243" t="str">
        <f t="shared" si="74"/>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75"/>
        <v/>
      </c>
      <c r="K533" s="287" t="str">
        <f t="shared" si="76"/>
        <v/>
      </c>
      <c r="L533" s="287" t="str">
        <f t="shared" si="77"/>
        <v/>
      </c>
      <c r="M533" s="290" t="str">
        <f t="shared" si="78"/>
        <v/>
      </c>
      <c r="N533" s="243" t="str">
        <f>IF($A533="","",IF(ABS(E533)&gt;0.000001,COUNT($N$1:N532)+1,""))</f>
        <v/>
      </c>
      <c r="O533" s="291" t="str">
        <f>IF($A533="","",SUMIFS(Transactions!$H$2:$H$1001,Transactions!$J$2:$J$1001,$A533,Transactions!$A$2:$A$1001,2)*$I533)</f>
        <v/>
      </c>
      <c r="P533" s="291" t="str">
        <f t="shared" si="79"/>
        <v/>
      </c>
      <c r="Q533" s="292" t="str">
        <f t="shared" si="80"/>
        <v/>
      </c>
    </row>
    <row r="534" spans="1:17" ht="15" customHeight="1" x14ac:dyDescent="0.2">
      <c r="A534" s="243" t="str">
        <f>IFERROR(INDEX(Txn[Key],MATCH(0,INDEX(COUNTIF($A$1:A533,Txn[Key])+(Txn[Key]=""),0),0)),"")</f>
        <v/>
      </c>
      <c r="B534" s="243" t="str">
        <f t="shared" si="72"/>
        <v/>
      </c>
      <c r="C534" s="243" t="str">
        <f t="shared" si="73"/>
        <v/>
      </c>
      <c r="D534" s="243" t="str">
        <f t="shared" si="74"/>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75"/>
        <v/>
      </c>
      <c r="K534" s="287" t="str">
        <f t="shared" si="76"/>
        <v/>
      </c>
      <c r="L534" s="287" t="str">
        <f t="shared" si="77"/>
        <v/>
      </c>
      <c r="M534" s="290" t="str">
        <f t="shared" si="78"/>
        <v/>
      </c>
      <c r="N534" s="243" t="str">
        <f>IF($A534="","",IF(ABS(E534)&gt;0.000001,COUNT($N$1:N533)+1,""))</f>
        <v/>
      </c>
      <c r="O534" s="291" t="str">
        <f>IF($A534="","",SUMIFS(Transactions!$H$2:$H$1001,Transactions!$J$2:$J$1001,$A534,Transactions!$A$2:$A$1001,2)*$I534)</f>
        <v/>
      </c>
      <c r="P534" s="291" t="str">
        <f t="shared" si="79"/>
        <v/>
      </c>
      <c r="Q534" s="292" t="str">
        <f t="shared" si="80"/>
        <v/>
      </c>
    </row>
    <row r="535" spans="1:17" ht="15" customHeight="1" x14ac:dyDescent="0.2">
      <c r="A535" s="243" t="str">
        <f>IFERROR(INDEX(Txn[Key],MATCH(0,INDEX(COUNTIF($A$1:A534,Txn[Key])+(Txn[Key]=""),0),0)),"")</f>
        <v/>
      </c>
      <c r="B535" s="243" t="str">
        <f t="shared" si="72"/>
        <v/>
      </c>
      <c r="C535" s="243" t="str">
        <f t="shared" si="73"/>
        <v/>
      </c>
      <c r="D535" s="243" t="str">
        <f t="shared" si="74"/>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75"/>
        <v/>
      </c>
      <c r="K535" s="287" t="str">
        <f t="shared" si="76"/>
        <v/>
      </c>
      <c r="L535" s="287" t="str">
        <f t="shared" si="77"/>
        <v/>
      </c>
      <c r="M535" s="290" t="str">
        <f t="shared" si="78"/>
        <v/>
      </c>
      <c r="N535" s="243" t="str">
        <f>IF($A535="","",IF(ABS(E535)&gt;0.000001,COUNT($N$1:N534)+1,""))</f>
        <v/>
      </c>
      <c r="O535" s="291" t="str">
        <f>IF($A535="","",SUMIFS(Transactions!$H$2:$H$1001,Transactions!$J$2:$J$1001,$A535,Transactions!$A$2:$A$1001,2)*$I535)</f>
        <v/>
      </c>
      <c r="P535" s="291" t="str">
        <f t="shared" si="79"/>
        <v/>
      </c>
      <c r="Q535" s="292" t="str">
        <f t="shared" si="80"/>
        <v/>
      </c>
    </row>
    <row r="536" spans="1:17" ht="15" customHeight="1" x14ac:dyDescent="0.2">
      <c r="A536" s="243" t="str">
        <f>IFERROR(INDEX(Txn[Key],MATCH(0,INDEX(COUNTIF($A$1:A535,Txn[Key])+(Txn[Key]=""),0),0)),"")</f>
        <v/>
      </c>
      <c r="B536" s="243" t="str">
        <f t="shared" si="72"/>
        <v/>
      </c>
      <c r="C536" s="243" t="str">
        <f t="shared" si="73"/>
        <v/>
      </c>
      <c r="D536" s="243" t="str">
        <f t="shared" si="74"/>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75"/>
        <v/>
      </c>
      <c r="K536" s="287" t="str">
        <f t="shared" si="76"/>
        <v/>
      </c>
      <c r="L536" s="287" t="str">
        <f t="shared" si="77"/>
        <v/>
      </c>
      <c r="M536" s="290" t="str">
        <f t="shared" si="78"/>
        <v/>
      </c>
      <c r="N536" s="243" t="str">
        <f>IF($A536="","",IF(ABS(E536)&gt;0.000001,COUNT($N$1:N535)+1,""))</f>
        <v/>
      </c>
      <c r="O536" s="291" t="str">
        <f>IF($A536="","",SUMIFS(Transactions!$H$2:$H$1001,Transactions!$J$2:$J$1001,$A536,Transactions!$A$2:$A$1001,2)*$I536)</f>
        <v/>
      </c>
      <c r="P536" s="291" t="str">
        <f t="shared" si="79"/>
        <v/>
      </c>
      <c r="Q536" s="292" t="str">
        <f t="shared" si="80"/>
        <v/>
      </c>
    </row>
    <row r="537" spans="1:17" ht="15" customHeight="1" x14ac:dyDescent="0.2">
      <c r="A537" s="243" t="str">
        <f>IFERROR(INDEX(Txn[Key],MATCH(0,INDEX(COUNTIF($A$1:A536,Txn[Key])+(Txn[Key]=""),0),0)),"")</f>
        <v/>
      </c>
      <c r="B537" s="243" t="str">
        <f t="shared" si="72"/>
        <v/>
      </c>
      <c r="C537" s="243" t="str">
        <f t="shared" si="73"/>
        <v/>
      </c>
      <c r="D537" s="243" t="str">
        <f t="shared" si="74"/>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75"/>
        <v/>
      </c>
      <c r="K537" s="287" t="str">
        <f t="shared" si="76"/>
        <v/>
      </c>
      <c r="L537" s="287" t="str">
        <f t="shared" si="77"/>
        <v/>
      </c>
      <c r="M537" s="290" t="str">
        <f t="shared" si="78"/>
        <v/>
      </c>
      <c r="N537" s="243" t="str">
        <f>IF($A537="","",IF(ABS(E537)&gt;0.000001,COUNT($N$1:N536)+1,""))</f>
        <v/>
      </c>
      <c r="O537" s="291" t="str">
        <f>IF($A537="","",SUMIFS(Transactions!$H$2:$H$1001,Transactions!$J$2:$J$1001,$A537,Transactions!$A$2:$A$1001,2)*$I537)</f>
        <v/>
      </c>
      <c r="P537" s="291" t="str">
        <f t="shared" si="79"/>
        <v/>
      </c>
      <c r="Q537" s="292" t="str">
        <f t="shared" si="80"/>
        <v/>
      </c>
    </row>
    <row r="538" spans="1:17" ht="15" customHeight="1" x14ac:dyDescent="0.2">
      <c r="A538" s="243" t="str">
        <f>IFERROR(INDEX(Txn[Key],MATCH(0,INDEX(COUNTIF($A$1:A537,Txn[Key])+(Txn[Key]=""),0),0)),"")</f>
        <v/>
      </c>
      <c r="B538" s="243" t="str">
        <f t="shared" si="72"/>
        <v/>
      </c>
      <c r="C538" s="243" t="str">
        <f t="shared" si="73"/>
        <v/>
      </c>
      <c r="D538" s="243" t="str">
        <f t="shared" si="74"/>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75"/>
        <v/>
      </c>
      <c r="K538" s="287" t="str">
        <f t="shared" si="76"/>
        <v/>
      </c>
      <c r="L538" s="287" t="str">
        <f t="shared" si="77"/>
        <v/>
      </c>
      <c r="M538" s="290" t="str">
        <f t="shared" si="78"/>
        <v/>
      </c>
      <c r="N538" s="243" t="str">
        <f>IF($A538="","",IF(ABS(E538)&gt;0.000001,COUNT($N$1:N537)+1,""))</f>
        <v/>
      </c>
      <c r="O538" s="291" t="str">
        <f>IF($A538="","",SUMIFS(Transactions!$H$2:$H$1001,Transactions!$J$2:$J$1001,$A538,Transactions!$A$2:$A$1001,2)*$I538)</f>
        <v/>
      </c>
      <c r="P538" s="291" t="str">
        <f t="shared" si="79"/>
        <v/>
      </c>
      <c r="Q538" s="292" t="str">
        <f t="shared" si="80"/>
        <v/>
      </c>
    </row>
    <row r="539" spans="1:17" ht="15" customHeight="1" x14ac:dyDescent="0.2">
      <c r="A539" s="243" t="str">
        <f>IFERROR(INDEX(Txn[Key],MATCH(0,INDEX(COUNTIF($A$1:A538,Txn[Key])+(Txn[Key]=""),0),0)),"")</f>
        <v/>
      </c>
      <c r="B539" s="243" t="str">
        <f t="shared" si="72"/>
        <v/>
      </c>
      <c r="C539" s="243" t="str">
        <f t="shared" si="73"/>
        <v/>
      </c>
      <c r="D539" s="243" t="str">
        <f t="shared" si="74"/>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75"/>
        <v/>
      </c>
      <c r="K539" s="287" t="str">
        <f t="shared" si="76"/>
        <v/>
      </c>
      <c r="L539" s="287" t="str">
        <f t="shared" si="77"/>
        <v/>
      </c>
      <c r="M539" s="290" t="str">
        <f t="shared" si="78"/>
        <v/>
      </c>
      <c r="N539" s="243" t="str">
        <f>IF($A539="","",IF(ABS(E539)&gt;0.000001,COUNT($N$1:N538)+1,""))</f>
        <v/>
      </c>
      <c r="O539" s="291" t="str">
        <f>IF($A539="","",SUMIFS(Transactions!$H$2:$H$1001,Transactions!$J$2:$J$1001,$A539,Transactions!$A$2:$A$1001,2)*$I539)</f>
        <v/>
      </c>
      <c r="P539" s="291" t="str">
        <f t="shared" si="79"/>
        <v/>
      </c>
      <c r="Q539" s="292" t="str">
        <f t="shared" si="80"/>
        <v/>
      </c>
    </row>
    <row r="540" spans="1:17" ht="15" customHeight="1" x14ac:dyDescent="0.2">
      <c r="A540" s="243" t="str">
        <f>IFERROR(INDEX(Txn[Key],MATCH(0,INDEX(COUNTIF($A$1:A539,Txn[Key])+(Txn[Key]=""),0),0)),"")</f>
        <v/>
      </c>
      <c r="B540" s="243" t="str">
        <f t="shared" si="72"/>
        <v/>
      </c>
      <c r="C540" s="243" t="str">
        <f t="shared" si="73"/>
        <v/>
      </c>
      <c r="D540" s="243" t="str">
        <f t="shared" si="74"/>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75"/>
        <v/>
      </c>
      <c r="K540" s="287" t="str">
        <f t="shared" si="76"/>
        <v/>
      </c>
      <c r="L540" s="287" t="str">
        <f t="shared" si="77"/>
        <v/>
      </c>
      <c r="M540" s="290" t="str">
        <f t="shared" si="78"/>
        <v/>
      </c>
      <c r="N540" s="243" t="str">
        <f>IF($A540="","",IF(ABS(E540)&gt;0.000001,COUNT($N$1:N539)+1,""))</f>
        <v/>
      </c>
      <c r="O540" s="291" t="str">
        <f>IF($A540="","",SUMIFS(Transactions!$H$2:$H$1001,Transactions!$J$2:$J$1001,$A540,Transactions!$A$2:$A$1001,2)*$I540)</f>
        <v/>
      </c>
      <c r="P540" s="291" t="str">
        <f t="shared" si="79"/>
        <v/>
      </c>
      <c r="Q540" s="292" t="str">
        <f t="shared" si="80"/>
        <v/>
      </c>
    </row>
    <row r="541" spans="1:17" ht="15" customHeight="1" x14ac:dyDescent="0.2">
      <c r="A541" s="243" t="str">
        <f>IFERROR(INDEX(Txn[Key],MATCH(0,INDEX(COUNTIF($A$1:A540,Txn[Key])+(Txn[Key]=""),0),0)),"")</f>
        <v/>
      </c>
      <c r="B541" s="243" t="str">
        <f t="shared" si="72"/>
        <v/>
      </c>
      <c r="C541" s="243" t="str">
        <f t="shared" si="73"/>
        <v/>
      </c>
      <c r="D541" s="243" t="str">
        <f t="shared" si="74"/>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75"/>
        <v/>
      </c>
      <c r="K541" s="287" t="str">
        <f t="shared" si="76"/>
        <v/>
      </c>
      <c r="L541" s="287" t="str">
        <f t="shared" si="77"/>
        <v/>
      </c>
      <c r="M541" s="290" t="str">
        <f t="shared" si="78"/>
        <v/>
      </c>
      <c r="N541" s="243" t="str">
        <f>IF($A541="","",IF(ABS(E541)&gt;0.000001,COUNT($N$1:N540)+1,""))</f>
        <v/>
      </c>
      <c r="O541" s="291" t="str">
        <f>IF($A541="","",SUMIFS(Transactions!$H$2:$H$1001,Transactions!$J$2:$J$1001,$A541,Transactions!$A$2:$A$1001,2)*$I541)</f>
        <v/>
      </c>
      <c r="P541" s="291" t="str">
        <f t="shared" si="79"/>
        <v/>
      </c>
      <c r="Q541" s="292" t="str">
        <f t="shared" si="80"/>
        <v/>
      </c>
    </row>
    <row r="542" spans="1:17" ht="15" customHeight="1" x14ac:dyDescent="0.2">
      <c r="A542" s="243" t="str">
        <f>IFERROR(INDEX(Txn[Key],MATCH(0,INDEX(COUNTIF($A$1:A541,Txn[Key])+(Txn[Key]=""),0),0)),"")</f>
        <v/>
      </c>
      <c r="B542" s="243" t="str">
        <f t="shared" si="72"/>
        <v/>
      </c>
      <c r="C542" s="243" t="str">
        <f t="shared" si="73"/>
        <v/>
      </c>
      <c r="D542" s="243" t="str">
        <f t="shared" si="74"/>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75"/>
        <v/>
      </c>
      <c r="K542" s="287" t="str">
        <f t="shared" si="76"/>
        <v/>
      </c>
      <c r="L542" s="287" t="str">
        <f t="shared" si="77"/>
        <v/>
      </c>
      <c r="M542" s="290" t="str">
        <f t="shared" si="78"/>
        <v/>
      </c>
      <c r="N542" s="243" t="str">
        <f>IF($A542="","",IF(ABS(E542)&gt;0.000001,COUNT($N$1:N541)+1,""))</f>
        <v/>
      </c>
      <c r="O542" s="291" t="str">
        <f>IF($A542="","",SUMIFS(Transactions!$H$2:$H$1001,Transactions!$J$2:$J$1001,$A542,Transactions!$A$2:$A$1001,2)*$I542)</f>
        <v/>
      </c>
      <c r="P542" s="291" t="str">
        <f t="shared" si="79"/>
        <v/>
      </c>
      <c r="Q542" s="292" t="str">
        <f t="shared" si="80"/>
        <v/>
      </c>
    </row>
    <row r="543" spans="1:17" ht="15" customHeight="1" x14ac:dyDescent="0.2">
      <c r="A543" s="243" t="str">
        <f>IFERROR(INDEX(Txn[Key],MATCH(0,INDEX(COUNTIF($A$1:A542,Txn[Key])+(Txn[Key]=""),0),0)),"")</f>
        <v/>
      </c>
      <c r="B543" s="243" t="str">
        <f t="shared" si="72"/>
        <v/>
      </c>
      <c r="C543" s="243" t="str">
        <f t="shared" si="73"/>
        <v/>
      </c>
      <c r="D543" s="243" t="str">
        <f t="shared" si="74"/>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75"/>
        <v/>
      </c>
      <c r="K543" s="287" t="str">
        <f t="shared" si="76"/>
        <v/>
      </c>
      <c r="L543" s="287" t="str">
        <f t="shared" si="77"/>
        <v/>
      </c>
      <c r="M543" s="290" t="str">
        <f t="shared" si="78"/>
        <v/>
      </c>
      <c r="N543" s="243" t="str">
        <f>IF($A543="","",IF(ABS(E543)&gt;0.000001,COUNT($N$1:N542)+1,""))</f>
        <v/>
      </c>
      <c r="O543" s="291" t="str">
        <f>IF($A543="","",SUMIFS(Transactions!$H$2:$H$1001,Transactions!$J$2:$J$1001,$A543,Transactions!$A$2:$A$1001,2)*$I543)</f>
        <v/>
      </c>
      <c r="P543" s="291" t="str">
        <f t="shared" si="79"/>
        <v/>
      </c>
      <c r="Q543" s="292" t="str">
        <f t="shared" si="80"/>
        <v/>
      </c>
    </row>
    <row r="544" spans="1:17" ht="15" customHeight="1" x14ac:dyDescent="0.2">
      <c r="A544" s="243" t="str">
        <f>IFERROR(INDEX(Txn[Key],MATCH(0,INDEX(COUNTIF($A$1:A543,Txn[Key])+(Txn[Key]=""),0),0)),"")</f>
        <v/>
      </c>
      <c r="B544" s="243" t="str">
        <f t="shared" si="72"/>
        <v/>
      </c>
      <c r="C544" s="243" t="str">
        <f t="shared" si="73"/>
        <v/>
      </c>
      <c r="D544" s="243" t="str">
        <f t="shared" si="74"/>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75"/>
        <v/>
      </c>
      <c r="K544" s="287" t="str">
        <f t="shared" si="76"/>
        <v/>
      </c>
      <c r="L544" s="287" t="str">
        <f t="shared" si="77"/>
        <v/>
      </c>
      <c r="M544" s="290" t="str">
        <f t="shared" si="78"/>
        <v/>
      </c>
      <c r="N544" s="243" t="str">
        <f>IF($A544="","",IF(ABS(E544)&gt;0.000001,COUNT($N$1:N543)+1,""))</f>
        <v/>
      </c>
      <c r="O544" s="291" t="str">
        <f>IF($A544="","",SUMIFS(Transactions!$H$2:$H$1001,Transactions!$J$2:$J$1001,$A544,Transactions!$A$2:$A$1001,2)*$I544)</f>
        <v/>
      </c>
      <c r="P544" s="291" t="str">
        <f t="shared" si="79"/>
        <v/>
      </c>
      <c r="Q544" s="292" t="str">
        <f t="shared" si="80"/>
        <v/>
      </c>
    </row>
    <row r="545" spans="1:17" ht="15" customHeight="1" x14ac:dyDescent="0.2">
      <c r="A545" s="243" t="str">
        <f>IFERROR(INDEX(Txn[Key],MATCH(0,INDEX(COUNTIF($A$1:A544,Txn[Key])+(Txn[Key]=""),0),0)),"")</f>
        <v/>
      </c>
      <c r="B545" s="243" t="str">
        <f t="shared" si="72"/>
        <v/>
      </c>
      <c r="C545" s="243" t="str">
        <f t="shared" si="73"/>
        <v/>
      </c>
      <c r="D545" s="243" t="str">
        <f t="shared" si="74"/>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75"/>
        <v/>
      </c>
      <c r="K545" s="287" t="str">
        <f t="shared" si="76"/>
        <v/>
      </c>
      <c r="L545" s="287" t="str">
        <f t="shared" si="77"/>
        <v/>
      </c>
      <c r="M545" s="290" t="str">
        <f t="shared" si="78"/>
        <v/>
      </c>
      <c r="N545" s="243" t="str">
        <f>IF($A545="","",IF(ABS(E545)&gt;0.000001,COUNT($N$1:N544)+1,""))</f>
        <v/>
      </c>
      <c r="O545" s="291" t="str">
        <f>IF($A545="","",SUMIFS(Transactions!$H$2:$H$1001,Transactions!$J$2:$J$1001,$A545,Transactions!$A$2:$A$1001,2)*$I545)</f>
        <v/>
      </c>
      <c r="P545" s="291" t="str">
        <f t="shared" si="79"/>
        <v/>
      </c>
      <c r="Q545" s="292" t="str">
        <f t="shared" si="80"/>
        <v/>
      </c>
    </row>
    <row r="546" spans="1:17" ht="15" customHeight="1" x14ac:dyDescent="0.2">
      <c r="A546" s="243" t="str">
        <f>IFERROR(INDEX(Txn[Key],MATCH(0,INDEX(COUNTIF($A$1:A545,Txn[Key])+(Txn[Key]=""),0),0)),"")</f>
        <v/>
      </c>
      <c r="B546" s="243" t="str">
        <f t="shared" si="72"/>
        <v/>
      </c>
      <c r="C546" s="243" t="str">
        <f t="shared" si="73"/>
        <v/>
      </c>
      <c r="D546" s="243" t="str">
        <f t="shared" si="74"/>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75"/>
        <v/>
      </c>
      <c r="K546" s="287" t="str">
        <f t="shared" si="76"/>
        <v/>
      </c>
      <c r="L546" s="287" t="str">
        <f t="shared" si="77"/>
        <v/>
      </c>
      <c r="M546" s="290" t="str">
        <f t="shared" si="78"/>
        <v/>
      </c>
      <c r="N546" s="243" t="str">
        <f>IF($A546="","",IF(ABS(E546)&gt;0.000001,COUNT($N$1:N545)+1,""))</f>
        <v/>
      </c>
      <c r="O546" s="291" t="str">
        <f>IF($A546="","",SUMIFS(Transactions!$H$2:$H$1001,Transactions!$J$2:$J$1001,$A546,Transactions!$A$2:$A$1001,2)*$I546)</f>
        <v/>
      </c>
      <c r="P546" s="291" t="str">
        <f t="shared" si="79"/>
        <v/>
      </c>
      <c r="Q546" s="292" t="str">
        <f t="shared" si="80"/>
        <v/>
      </c>
    </row>
    <row r="547" spans="1:17" ht="15" customHeight="1" x14ac:dyDescent="0.2">
      <c r="A547" s="243" t="str">
        <f>IFERROR(INDEX(Txn[Key],MATCH(0,INDEX(COUNTIF($A$1:A546,Txn[Key])+(Txn[Key]=""),0),0)),"")</f>
        <v/>
      </c>
      <c r="B547" s="243" t="str">
        <f t="shared" si="72"/>
        <v/>
      </c>
      <c r="C547" s="243" t="str">
        <f t="shared" si="73"/>
        <v/>
      </c>
      <c r="D547" s="243" t="str">
        <f t="shared" si="74"/>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75"/>
        <v/>
      </c>
      <c r="K547" s="287" t="str">
        <f t="shared" si="76"/>
        <v/>
      </c>
      <c r="L547" s="287" t="str">
        <f t="shared" si="77"/>
        <v/>
      </c>
      <c r="M547" s="290" t="str">
        <f t="shared" si="78"/>
        <v/>
      </c>
      <c r="N547" s="243" t="str">
        <f>IF($A547="","",IF(ABS(E547)&gt;0.000001,COUNT($N$1:N546)+1,""))</f>
        <v/>
      </c>
      <c r="O547" s="291" t="str">
        <f>IF($A547="","",SUMIFS(Transactions!$H$2:$H$1001,Transactions!$J$2:$J$1001,$A547,Transactions!$A$2:$A$1001,2)*$I547)</f>
        <v/>
      </c>
      <c r="P547" s="291" t="str">
        <f t="shared" si="79"/>
        <v/>
      </c>
      <c r="Q547" s="292" t="str">
        <f t="shared" si="80"/>
        <v/>
      </c>
    </row>
    <row r="548" spans="1:17" ht="15" customHeight="1" x14ac:dyDescent="0.2">
      <c r="A548" s="243" t="str">
        <f>IFERROR(INDEX(Txn[Key],MATCH(0,INDEX(COUNTIF($A$1:A547,Txn[Key])+(Txn[Key]=""),0),0)),"")</f>
        <v/>
      </c>
      <c r="B548" s="243" t="str">
        <f t="shared" si="72"/>
        <v/>
      </c>
      <c r="C548" s="243" t="str">
        <f t="shared" si="73"/>
        <v/>
      </c>
      <c r="D548" s="243" t="str">
        <f t="shared" si="74"/>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75"/>
        <v/>
      </c>
      <c r="K548" s="287" t="str">
        <f t="shared" si="76"/>
        <v/>
      </c>
      <c r="L548" s="287" t="str">
        <f t="shared" si="77"/>
        <v/>
      </c>
      <c r="M548" s="290" t="str">
        <f t="shared" si="78"/>
        <v/>
      </c>
      <c r="N548" s="243" t="str">
        <f>IF($A548="","",IF(ABS(E548)&gt;0.000001,COUNT($N$1:N547)+1,""))</f>
        <v/>
      </c>
      <c r="O548" s="291" t="str">
        <f>IF($A548="","",SUMIFS(Transactions!$H$2:$H$1001,Transactions!$J$2:$J$1001,$A548,Transactions!$A$2:$A$1001,2)*$I548)</f>
        <v/>
      </c>
      <c r="P548" s="291" t="str">
        <f t="shared" si="79"/>
        <v/>
      </c>
      <c r="Q548" s="292" t="str">
        <f t="shared" si="80"/>
        <v/>
      </c>
    </row>
    <row r="549" spans="1:17" ht="15" customHeight="1" x14ac:dyDescent="0.2">
      <c r="A549" s="243" t="str">
        <f>IFERROR(INDEX(Txn[Key],MATCH(0,INDEX(COUNTIF($A$1:A548,Txn[Key])+(Txn[Key]=""),0),0)),"")</f>
        <v/>
      </c>
      <c r="B549" s="243" t="str">
        <f t="shared" si="72"/>
        <v/>
      </c>
      <c r="C549" s="243" t="str">
        <f t="shared" si="73"/>
        <v/>
      </c>
      <c r="D549" s="243" t="str">
        <f t="shared" si="74"/>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75"/>
        <v/>
      </c>
      <c r="K549" s="287" t="str">
        <f t="shared" si="76"/>
        <v/>
      </c>
      <c r="L549" s="287" t="str">
        <f t="shared" si="77"/>
        <v/>
      </c>
      <c r="M549" s="290" t="str">
        <f t="shared" si="78"/>
        <v/>
      </c>
      <c r="N549" s="243" t="str">
        <f>IF($A549="","",IF(ABS(E549)&gt;0.000001,COUNT($N$1:N548)+1,""))</f>
        <v/>
      </c>
      <c r="O549" s="291" t="str">
        <f>IF($A549="","",SUMIFS(Transactions!$H$2:$H$1001,Transactions!$J$2:$J$1001,$A549,Transactions!$A$2:$A$1001,2)*$I549)</f>
        <v/>
      </c>
      <c r="P549" s="291" t="str">
        <f t="shared" si="79"/>
        <v/>
      </c>
      <c r="Q549" s="292" t="str">
        <f t="shared" si="80"/>
        <v/>
      </c>
    </row>
    <row r="550" spans="1:17" ht="15" customHeight="1" x14ac:dyDescent="0.2">
      <c r="A550" s="243" t="str">
        <f>IFERROR(INDEX(Txn[Key],MATCH(0,INDEX(COUNTIF($A$1:A549,Txn[Key])+(Txn[Key]=""),0),0)),"")</f>
        <v/>
      </c>
      <c r="B550" s="243" t="str">
        <f t="shared" si="72"/>
        <v/>
      </c>
      <c r="C550" s="243" t="str">
        <f t="shared" si="73"/>
        <v/>
      </c>
      <c r="D550" s="243" t="str">
        <f t="shared" si="74"/>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75"/>
        <v/>
      </c>
      <c r="K550" s="287" t="str">
        <f t="shared" si="76"/>
        <v/>
      </c>
      <c r="L550" s="287" t="str">
        <f t="shared" si="77"/>
        <v/>
      </c>
      <c r="M550" s="290" t="str">
        <f t="shared" si="78"/>
        <v/>
      </c>
      <c r="N550" s="243" t="str">
        <f>IF($A550="","",IF(ABS(E550)&gt;0.000001,COUNT($N$1:N549)+1,""))</f>
        <v/>
      </c>
      <c r="O550" s="291" t="str">
        <f>IF($A550="","",SUMIFS(Transactions!$H$2:$H$1001,Transactions!$J$2:$J$1001,$A550,Transactions!$A$2:$A$1001,2)*$I550)</f>
        <v/>
      </c>
      <c r="P550" s="291" t="str">
        <f t="shared" si="79"/>
        <v/>
      </c>
      <c r="Q550" s="292" t="str">
        <f t="shared" si="80"/>
        <v/>
      </c>
    </row>
    <row r="551" spans="1:17" ht="15" customHeight="1" x14ac:dyDescent="0.2">
      <c r="A551" s="243" t="str">
        <f>IFERROR(INDEX(Txn[Key],MATCH(0,INDEX(COUNTIF($A$1:A550,Txn[Key])+(Txn[Key]=""),0),0)),"")</f>
        <v/>
      </c>
      <c r="B551" s="243" t="str">
        <f t="shared" si="72"/>
        <v/>
      </c>
      <c r="C551" s="243" t="str">
        <f t="shared" si="73"/>
        <v/>
      </c>
      <c r="D551" s="243" t="str">
        <f t="shared" si="74"/>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75"/>
        <v/>
      </c>
      <c r="K551" s="287" t="str">
        <f t="shared" si="76"/>
        <v/>
      </c>
      <c r="L551" s="287" t="str">
        <f t="shared" si="77"/>
        <v/>
      </c>
      <c r="M551" s="290" t="str">
        <f t="shared" si="78"/>
        <v/>
      </c>
      <c r="N551" s="243" t="str">
        <f>IF($A551="","",IF(ABS(E551)&gt;0.000001,COUNT($N$1:N550)+1,""))</f>
        <v/>
      </c>
      <c r="O551" s="291" t="str">
        <f>IF($A551="","",SUMIFS(Transactions!$H$2:$H$1001,Transactions!$J$2:$J$1001,$A551,Transactions!$A$2:$A$1001,2)*$I551)</f>
        <v/>
      </c>
      <c r="P551" s="291" t="str">
        <f t="shared" si="79"/>
        <v/>
      </c>
      <c r="Q551" s="292" t="str">
        <f t="shared" si="80"/>
        <v/>
      </c>
    </row>
    <row r="552" spans="1:17" ht="15" customHeight="1" x14ac:dyDescent="0.2">
      <c r="A552" s="243" t="str">
        <f>IFERROR(INDEX(Txn[Key],MATCH(0,INDEX(COUNTIF($A$1:A551,Txn[Key])+(Txn[Key]=""),0),0)),"")</f>
        <v/>
      </c>
      <c r="B552" s="243" t="str">
        <f t="shared" si="72"/>
        <v/>
      </c>
      <c r="C552" s="243" t="str">
        <f t="shared" si="73"/>
        <v/>
      </c>
      <c r="D552" s="243" t="str">
        <f t="shared" si="74"/>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75"/>
        <v/>
      </c>
      <c r="K552" s="287" t="str">
        <f t="shared" si="76"/>
        <v/>
      </c>
      <c r="L552" s="287" t="str">
        <f t="shared" si="77"/>
        <v/>
      </c>
      <c r="M552" s="290" t="str">
        <f t="shared" si="78"/>
        <v/>
      </c>
      <c r="N552" s="243" t="str">
        <f>IF($A552="","",IF(ABS(E552)&gt;0.000001,COUNT($N$1:N551)+1,""))</f>
        <v/>
      </c>
      <c r="O552" s="291" t="str">
        <f>IF($A552="","",SUMIFS(Transactions!$H$2:$H$1001,Transactions!$J$2:$J$1001,$A552,Transactions!$A$2:$A$1001,2)*$I552)</f>
        <v/>
      </c>
      <c r="P552" s="291" t="str">
        <f t="shared" si="79"/>
        <v/>
      </c>
      <c r="Q552" s="292" t="str">
        <f t="shared" si="80"/>
        <v/>
      </c>
    </row>
    <row r="553" spans="1:17" ht="15" customHeight="1" x14ac:dyDescent="0.2">
      <c r="A553" s="243" t="str">
        <f>IFERROR(INDEX(Txn[Key],MATCH(0,INDEX(COUNTIF($A$1:A552,Txn[Key])+(Txn[Key]=""),0),0)),"")</f>
        <v/>
      </c>
      <c r="B553" s="243" t="str">
        <f t="shared" si="72"/>
        <v/>
      </c>
      <c r="C553" s="243" t="str">
        <f t="shared" si="73"/>
        <v/>
      </c>
      <c r="D553" s="243" t="str">
        <f t="shared" si="74"/>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75"/>
        <v/>
      </c>
      <c r="K553" s="287" t="str">
        <f t="shared" si="76"/>
        <v/>
      </c>
      <c r="L553" s="287" t="str">
        <f t="shared" si="77"/>
        <v/>
      </c>
      <c r="M553" s="290" t="str">
        <f t="shared" si="78"/>
        <v/>
      </c>
      <c r="N553" s="243" t="str">
        <f>IF($A553="","",IF(ABS(E553)&gt;0.000001,COUNT($N$1:N552)+1,""))</f>
        <v/>
      </c>
      <c r="O553" s="291" t="str">
        <f>IF($A553="","",SUMIFS(Transactions!$H$2:$H$1001,Transactions!$J$2:$J$1001,$A553,Transactions!$A$2:$A$1001,2)*$I553)</f>
        <v/>
      </c>
      <c r="P553" s="291" t="str">
        <f t="shared" si="79"/>
        <v/>
      </c>
      <c r="Q553" s="292" t="str">
        <f t="shared" si="80"/>
        <v/>
      </c>
    </row>
    <row r="554" spans="1:17" ht="15" customHeight="1" x14ac:dyDescent="0.2">
      <c r="A554" s="243" t="str">
        <f>IFERROR(INDEX(Txn[Key],MATCH(0,INDEX(COUNTIF($A$1:A553,Txn[Key])+(Txn[Key]=""),0),0)),"")</f>
        <v/>
      </c>
      <c r="B554" s="243" t="str">
        <f t="shared" si="72"/>
        <v/>
      </c>
      <c r="C554" s="243" t="str">
        <f t="shared" si="73"/>
        <v/>
      </c>
      <c r="D554" s="243" t="str">
        <f t="shared" si="74"/>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75"/>
        <v/>
      </c>
      <c r="K554" s="287" t="str">
        <f t="shared" si="76"/>
        <v/>
      </c>
      <c r="L554" s="287" t="str">
        <f t="shared" si="77"/>
        <v/>
      </c>
      <c r="M554" s="290" t="str">
        <f t="shared" si="78"/>
        <v/>
      </c>
      <c r="N554" s="243" t="str">
        <f>IF($A554="","",IF(ABS(E554)&gt;0.000001,COUNT($N$1:N553)+1,""))</f>
        <v/>
      </c>
      <c r="O554" s="291" t="str">
        <f>IF($A554="","",SUMIFS(Transactions!$H$2:$H$1001,Transactions!$J$2:$J$1001,$A554,Transactions!$A$2:$A$1001,2)*$I554)</f>
        <v/>
      </c>
      <c r="P554" s="291" t="str">
        <f t="shared" si="79"/>
        <v/>
      </c>
      <c r="Q554" s="292" t="str">
        <f t="shared" si="80"/>
        <v/>
      </c>
    </row>
    <row r="555" spans="1:17" ht="15" customHeight="1" x14ac:dyDescent="0.2">
      <c r="A555" s="243" t="str">
        <f>IFERROR(INDEX(Txn[Key],MATCH(0,INDEX(COUNTIF($A$1:A554,Txn[Key])+(Txn[Key]=""),0),0)),"")</f>
        <v/>
      </c>
      <c r="B555" s="243" t="str">
        <f t="shared" si="72"/>
        <v/>
      </c>
      <c r="C555" s="243" t="str">
        <f t="shared" si="73"/>
        <v/>
      </c>
      <c r="D555" s="243" t="str">
        <f t="shared" si="74"/>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75"/>
        <v/>
      </c>
      <c r="K555" s="287" t="str">
        <f t="shared" si="76"/>
        <v/>
      </c>
      <c r="L555" s="287" t="str">
        <f t="shared" si="77"/>
        <v/>
      </c>
      <c r="M555" s="290" t="str">
        <f t="shared" si="78"/>
        <v/>
      </c>
      <c r="N555" s="243" t="str">
        <f>IF($A555="","",IF(ABS(E555)&gt;0.000001,COUNT($N$1:N554)+1,""))</f>
        <v/>
      </c>
      <c r="O555" s="291" t="str">
        <f>IF($A555="","",SUMIFS(Transactions!$H$2:$H$1001,Transactions!$J$2:$J$1001,$A555,Transactions!$A$2:$A$1001,2)*$I555)</f>
        <v/>
      </c>
      <c r="P555" s="291" t="str">
        <f t="shared" si="79"/>
        <v/>
      </c>
      <c r="Q555" s="292" t="str">
        <f t="shared" si="80"/>
        <v/>
      </c>
    </row>
    <row r="556" spans="1:17" ht="15" customHeight="1" x14ac:dyDescent="0.2">
      <c r="A556" s="243" t="str">
        <f>IFERROR(INDEX(Txn[Key],MATCH(0,INDEX(COUNTIF($A$1:A555,Txn[Key])+(Txn[Key]=""),0),0)),"")</f>
        <v/>
      </c>
      <c r="B556" s="243" t="str">
        <f t="shared" si="72"/>
        <v/>
      </c>
      <c r="C556" s="243" t="str">
        <f t="shared" si="73"/>
        <v/>
      </c>
      <c r="D556" s="243" t="str">
        <f t="shared" si="74"/>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75"/>
        <v/>
      </c>
      <c r="K556" s="287" t="str">
        <f t="shared" si="76"/>
        <v/>
      </c>
      <c r="L556" s="287" t="str">
        <f t="shared" si="77"/>
        <v/>
      </c>
      <c r="M556" s="290" t="str">
        <f t="shared" si="78"/>
        <v/>
      </c>
      <c r="N556" s="243" t="str">
        <f>IF($A556="","",IF(ABS(E556)&gt;0.000001,COUNT($N$1:N555)+1,""))</f>
        <v/>
      </c>
      <c r="O556" s="291" t="str">
        <f>IF($A556="","",SUMIFS(Transactions!$H$2:$H$1001,Transactions!$J$2:$J$1001,$A556,Transactions!$A$2:$A$1001,2)*$I556)</f>
        <v/>
      </c>
      <c r="P556" s="291" t="str">
        <f t="shared" si="79"/>
        <v/>
      </c>
      <c r="Q556" s="292" t="str">
        <f t="shared" si="80"/>
        <v/>
      </c>
    </row>
    <row r="557" spans="1:17" ht="15" customHeight="1" x14ac:dyDescent="0.2">
      <c r="A557" s="243" t="str">
        <f>IFERROR(INDEX(Txn[Key],MATCH(0,INDEX(COUNTIF($A$1:A556,Txn[Key])+(Txn[Key]=""),0),0)),"")</f>
        <v/>
      </c>
      <c r="B557" s="243" t="str">
        <f t="shared" si="72"/>
        <v/>
      </c>
      <c r="C557" s="243" t="str">
        <f t="shared" si="73"/>
        <v/>
      </c>
      <c r="D557" s="243" t="str">
        <f t="shared" si="74"/>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75"/>
        <v/>
      </c>
      <c r="K557" s="287" t="str">
        <f t="shared" si="76"/>
        <v/>
      </c>
      <c r="L557" s="287" t="str">
        <f t="shared" si="77"/>
        <v/>
      </c>
      <c r="M557" s="290" t="str">
        <f t="shared" si="78"/>
        <v/>
      </c>
      <c r="N557" s="243" t="str">
        <f>IF($A557="","",IF(ABS(E557)&gt;0.000001,COUNT($N$1:N556)+1,""))</f>
        <v/>
      </c>
      <c r="O557" s="291" t="str">
        <f>IF($A557="","",SUMIFS(Transactions!$H$2:$H$1001,Transactions!$J$2:$J$1001,$A557,Transactions!$A$2:$A$1001,2)*$I557)</f>
        <v/>
      </c>
      <c r="P557" s="291" t="str">
        <f t="shared" si="79"/>
        <v/>
      </c>
      <c r="Q557" s="292" t="str">
        <f t="shared" si="80"/>
        <v/>
      </c>
    </row>
    <row r="558" spans="1:17" ht="15" customHeight="1" x14ac:dyDescent="0.2">
      <c r="A558" s="243" t="str">
        <f>IFERROR(INDEX(Txn[Key],MATCH(0,INDEX(COUNTIF($A$1:A557,Txn[Key])+(Txn[Key]=""),0),0)),"")</f>
        <v/>
      </c>
      <c r="B558" s="243" t="str">
        <f t="shared" si="72"/>
        <v/>
      </c>
      <c r="C558" s="243" t="str">
        <f t="shared" si="73"/>
        <v/>
      </c>
      <c r="D558" s="243" t="str">
        <f t="shared" si="74"/>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75"/>
        <v/>
      </c>
      <c r="K558" s="287" t="str">
        <f t="shared" si="76"/>
        <v/>
      </c>
      <c r="L558" s="287" t="str">
        <f t="shared" si="77"/>
        <v/>
      </c>
      <c r="M558" s="290" t="str">
        <f t="shared" si="78"/>
        <v/>
      </c>
      <c r="N558" s="243" t="str">
        <f>IF($A558="","",IF(ABS(E558)&gt;0.000001,COUNT($N$1:N557)+1,""))</f>
        <v/>
      </c>
      <c r="O558" s="291" t="str">
        <f>IF($A558="","",SUMIFS(Transactions!$H$2:$H$1001,Transactions!$J$2:$J$1001,$A558,Transactions!$A$2:$A$1001,2)*$I558)</f>
        <v/>
      </c>
      <c r="P558" s="291" t="str">
        <f t="shared" si="79"/>
        <v/>
      </c>
      <c r="Q558" s="292" t="str">
        <f t="shared" si="80"/>
        <v/>
      </c>
    </row>
    <row r="559" spans="1:17" ht="15" customHeight="1" x14ac:dyDescent="0.2">
      <c r="A559" s="243" t="str">
        <f>IFERROR(INDEX(Txn[Key],MATCH(0,INDEX(COUNTIF($A$1:A558,Txn[Key])+(Txn[Key]=""),0),0)),"")</f>
        <v/>
      </c>
      <c r="B559" s="243" t="str">
        <f t="shared" si="72"/>
        <v/>
      </c>
      <c r="C559" s="243" t="str">
        <f t="shared" si="73"/>
        <v/>
      </c>
      <c r="D559" s="243" t="str">
        <f t="shared" si="74"/>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75"/>
        <v/>
      </c>
      <c r="K559" s="287" t="str">
        <f t="shared" si="76"/>
        <v/>
      </c>
      <c r="L559" s="287" t="str">
        <f t="shared" si="77"/>
        <v/>
      </c>
      <c r="M559" s="290" t="str">
        <f t="shared" si="78"/>
        <v/>
      </c>
      <c r="N559" s="243" t="str">
        <f>IF($A559="","",IF(ABS(E559)&gt;0.000001,COUNT($N$1:N558)+1,""))</f>
        <v/>
      </c>
      <c r="O559" s="291" t="str">
        <f>IF($A559="","",SUMIFS(Transactions!$H$2:$H$1001,Transactions!$J$2:$J$1001,$A559,Transactions!$A$2:$A$1001,2)*$I559)</f>
        <v/>
      </c>
      <c r="P559" s="291" t="str">
        <f t="shared" si="79"/>
        <v/>
      </c>
      <c r="Q559" s="292" t="str">
        <f t="shared" si="80"/>
        <v/>
      </c>
    </row>
    <row r="560" spans="1:17" ht="15" customHeight="1" x14ac:dyDescent="0.2">
      <c r="A560" s="243" t="str">
        <f>IFERROR(INDEX(Txn[Key],MATCH(0,INDEX(COUNTIF($A$1:A559,Txn[Key])+(Txn[Key]=""),0),0)),"")</f>
        <v/>
      </c>
      <c r="B560" s="243" t="str">
        <f t="shared" si="72"/>
        <v/>
      </c>
      <c r="C560" s="243" t="str">
        <f t="shared" si="73"/>
        <v/>
      </c>
      <c r="D560" s="243" t="str">
        <f t="shared" si="74"/>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75"/>
        <v/>
      </c>
      <c r="K560" s="287" t="str">
        <f t="shared" si="76"/>
        <v/>
      </c>
      <c r="L560" s="287" t="str">
        <f t="shared" si="77"/>
        <v/>
      </c>
      <c r="M560" s="290" t="str">
        <f t="shared" si="78"/>
        <v/>
      </c>
      <c r="N560" s="243" t="str">
        <f>IF($A560="","",IF(ABS(E560)&gt;0.000001,COUNT($N$1:N559)+1,""))</f>
        <v/>
      </c>
      <c r="O560" s="291" t="str">
        <f>IF($A560="","",SUMIFS(Transactions!$H$2:$H$1001,Transactions!$J$2:$J$1001,$A560,Transactions!$A$2:$A$1001,2)*$I560)</f>
        <v/>
      </c>
      <c r="P560" s="291" t="str">
        <f t="shared" si="79"/>
        <v/>
      </c>
      <c r="Q560" s="292" t="str">
        <f t="shared" si="80"/>
        <v/>
      </c>
    </row>
    <row r="561" spans="1:17" ht="15" customHeight="1" x14ac:dyDescent="0.2">
      <c r="A561" s="243" t="str">
        <f>IFERROR(INDEX(Txn[Key],MATCH(0,INDEX(COUNTIF($A$1:A560,Txn[Key])+(Txn[Key]=""),0),0)),"")</f>
        <v/>
      </c>
      <c r="B561" s="243" t="str">
        <f t="shared" si="72"/>
        <v/>
      </c>
      <c r="C561" s="243" t="str">
        <f t="shared" si="73"/>
        <v/>
      </c>
      <c r="D561" s="243" t="str">
        <f t="shared" si="74"/>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75"/>
        <v/>
      </c>
      <c r="K561" s="287" t="str">
        <f t="shared" si="76"/>
        <v/>
      </c>
      <c r="L561" s="287" t="str">
        <f t="shared" si="77"/>
        <v/>
      </c>
      <c r="M561" s="290" t="str">
        <f t="shared" si="78"/>
        <v/>
      </c>
      <c r="N561" s="243" t="str">
        <f>IF($A561="","",IF(ABS(E561)&gt;0.000001,COUNT($N$1:N560)+1,""))</f>
        <v/>
      </c>
      <c r="O561" s="291" t="str">
        <f>IF($A561="","",SUMIFS(Transactions!$H$2:$H$1001,Transactions!$J$2:$J$1001,$A561,Transactions!$A$2:$A$1001,2)*$I561)</f>
        <v/>
      </c>
      <c r="P561" s="291" t="str">
        <f t="shared" si="79"/>
        <v/>
      </c>
      <c r="Q561" s="292" t="str">
        <f t="shared" si="80"/>
        <v/>
      </c>
    </row>
    <row r="562" spans="1:17" ht="15" customHeight="1" x14ac:dyDescent="0.2">
      <c r="A562" s="243" t="str">
        <f>IFERROR(INDEX(Txn[Key],MATCH(0,INDEX(COUNTIF($A$1:A561,Txn[Key])+(Txn[Key]=""),0),0)),"")</f>
        <v/>
      </c>
      <c r="B562" s="243" t="str">
        <f t="shared" si="72"/>
        <v/>
      </c>
      <c r="C562" s="243" t="str">
        <f t="shared" si="73"/>
        <v/>
      </c>
      <c r="D562" s="243" t="str">
        <f t="shared" si="74"/>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75"/>
        <v/>
      </c>
      <c r="K562" s="287" t="str">
        <f t="shared" si="76"/>
        <v/>
      </c>
      <c r="L562" s="287" t="str">
        <f t="shared" si="77"/>
        <v/>
      </c>
      <c r="M562" s="290" t="str">
        <f t="shared" si="78"/>
        <v/>
      </c>
      <c r="N562" s="243" t="str">
        <f>IF($A562="","",IF(ABS(E562)&gt;0.000001,COUNT($N$1:N561)+1,""))</f>
        <v/>
      </c>
      <c r="O562" s="291" t="str">
        <f>IF($A562="","",SUMIFS(Transactions!$H$2:$H$1001,Transactions!$J$2:$J$1001,$A562,Transactions!$A$2:$A$1001,2)*$I562)</f>
        <v/>
      </c>
      <c r="P562" s="291" t="str">
        <f t="shared" si="79"/>
        <v/>
      </c>
      <c r="Q562" s="292" t="str">
        <f t="shared" si="80"/>
        <v/>
      </c>
    </row>
    <row r="563" spans="1:17" ht="15" customHeight="1" x14ac:dyDescent="0.2">
      <c r="A563" s="243" t="str">
        <f>IFERROR(INDEX(Txn[Key],MATCH(0,INDEX(COUNTIF($A$1:A562,Txn[Key])+(Txn[Key]=""),0),0)),"")</f>
        <v/>
      </c>
      <c r="B563" s="243" t="str">
        <f t="shared" si="72"/>
        <v/>
      </c>
      <c r="C563" s="243" t="str">
        <f t="shared" si="73"/>
        <v/>
      </c>
      <c r="D563" s="243" t="str">
        <f t="shared" si="74"/>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75"/>
        <v/>
      </c>
      <c r="K563" s="287" t="str">
        <f t="shared" si="76"/>
        <v/>
      </c>
      <c r="L563" s="287" t="str">
        <f t="shared" si="77"/>
        <v/>
      </c>
      <c r="M563" s="290" t="str">
        <f t="shared" si="78"/>
        <v/>
      </c>
      <c r="N563" s="243" t="str">
        <f>IF($A563="","",IF(ABS(E563)&gt;0.000001,COUNT($N$1:N562)+1,""))</f>
        <v/>
      </c>
      <c r="O563" s="291" t="str">
        <f>IF($A563="","",SUMIFS(Transactions!$H$2:$H$1001,Transactions!$J$2:$J$1001,$A563,Transactions!$A$2:$A$1001,2)*$I563)</f>
        <v/>
      </c>
      <c r="P563" s="291" t="str">
        <f t="shared" si="79"/>
        <v/>
      </c>
      <c r="Q563" s="292" t="str">
        <f t="shared" si="80"/>
        <v/>
      </c>
    </row>
    <row r="564" spans="1:17" ht="15" customHeight="1" x14ac:dyDescent="0.2">
      <c r="A564" s="243" t="str">
        <f>IFERROR(INDEX(Txn[Key],MATCH(0,INDEX(COUNTIF($A$1:A563,Txn[Key])+(Txn[Key]=""),0),0)),"")</f>
        <v/>
      </c>
      <c r="B564" s="243" t="str">
        <f t="shared" si="72"/>
        <v/>
      </c>
      <c r="C564" s="243" t="str">
        <f t="shared" si="73"/>
        <v/>
      </c>
      <c r="D564" s="243" t="str">
        <f t="shared" si="74"/>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75"/>
        <v/>
      </c>
      <c r="K564" s="287" t="str">
        <f t="shared" si="76"/>
        <v/>
      </c>
      <c r="L564" s="287" t="str">
        <f t="shared" si="77"/>
        <v/>
      </c>
      <c r="M564" s="290" t="str">
        <f t="shared" si="78"/>
        <v/>
      </c>
      <c r="N564" s="243" t="str">
        <f>IF($A564="","",IF(ABS(E564)&gt;0.000001,COUNT($N$1:N563)+1,""))</f>
        <v/>
      </c>
      <c r="O564" s="291" t="str">
        <f>IF($A564="","",SUMIFS(Transactions!$H$2:$H$1001,Transactions!$J$2:$J$1001,$A564,Transactions!$A$2:$A$1001,2)*$I564)</f>
        <v/>
      </c>
      <c r="P564" s="291" t="str">
        <f t="shared" si="79"/>
        <v/>
      </c>
      <c r="Q564" s="292" t="str">
        <f t="shared" si="80"/>
        <v/>
      </c>
    </row>
    <row r="565" spans="1:17" ht="15" customHeight="1" x14ac:dyDescent="0.2">
      <c r="A565" s="243" t="str">
        <f>IFERROR(INDEX(Txn[Key],MATCH(0,INDEX(COUNTIF($A$1:A564,Txn[Key])+(Txn[Key]=""),0),0)),"")</f>
        <v/>
      </c>
      <c r="B565" s="243" t="str">
        <f t="shared" si="72"/>
        <v/>
      </c>
      <c r="C565" s="243" t="str">
        <f t="shared" si="73"/>
        <v/>
      </c>
      <c r="D565" s="243" t="str">
        <f t="shared" si="74"/>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75"/>
        <v/>
      </c>
      <c r="K565" s="287" t="str">
        <f t="shared" si="76"/>
        <v/>
      </c>
      <c r="L565" s="287" t="str">
        <f t="shared" si="77"/>
        <v/>
      </c>
      <c r="M565" s="290" t="str">
        <f t="shared" si="78"/>
        <v/>
      </c>
      <c r="N565" s="243" t="str">
        <f>IF($A565="","",IF(ABS(E565)&gt;0.000001,COUNT($N$1:N564)+1,""))</f>
        <v/>
      </c>
      <c r="O565" s="291" t="str">
        <f>IF($A565="","",SUMIFS(Transactions!$H$2:$H$1001,Transactions!$J$2:$J$1001,$A565,Transactions!$A$2:$A$1001,2)*$I565)</f>
        <v/>
      </c>
      <c r="P565" s="291" t="str">
        <f t="shared" si="79"/>
        <v/>
      </c>
      <c r="Q565" s="292" t="str">
        <f t="shared" si="80"/>
        <v/>
      </c>
    </row>
    <row r="566" spans="1:17" ht="15" customHeight="1" x14ac:dyDescent="0.2">
      <c r="A566" s="243" t="str">
        <f>IFERROR(INDEX(Txn[Key],MATCH(0,INDEX(COUNTIF($A$1:A565,Txn[Key])+(Txn[Key]=""),0),0)),"")</f>
        <v/>
      </c>
      <c r="B566" s="243" t="str">
        <f t="shared" si="72"/>
        <v/>
      </c>
      <c r="C566" s="243" t="str">
        <f t="shared" si="73"/>
        <v/>
      </c>
      <c r="D566" s="243" t="str">
        <f t="shared" si="74"/>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75"/>
        <v/>
      </c>
      <c r="K566" s="287" t="str">
        <f t="shared" si="76"/>
        <v/>
      </c>
      <c r="L566" s="287" t="str">
        <f t="shared" si="77"/>
        <v/>
      </c>
      <c r="M566" s="290" t="str">
        <f t="shared" si="78"/>
        <v/>
      </c>
      <c r="N566" s="243" t="str">
        <f>IF($A566="","",IF(ABS(E566)&gt;0.000001,COUNT($N$1:N565)+1,""))</f>
        <v/>
      </c>
      <c r="O566" s="291" t="str">
        <f>IF($A566="","",SUMIFS(Transactions!$H$2:$H$1001,Transactions!$J$2:$J$1001,$A566,Transactions!$A$2:$A$1001,2)*$I566)</f>
        <v/>
      </c>
      <c r="P566" s="291" t="str">
        <f t="shared" si="79"/>
        <v/>
      </c>
      <c r="Q566" s="292" t="str">
        <f t="shared" si="80"/>
        <v/>
      </c>
    </row>
    <row r="567" spans="1:17" ht="15" customHeight="1" x14ac:dyDescent="0.2">
      <c r="A567" s="243" t="str">
        <f>IFERROR(INDEX(Txn[Key],MATCH(0,INDEX(COUNTIF($A$1:A566,Txn[Key])+(Txn[Key]=""),0),0)),"")</f>
        <v/>
      </c>
      <c r="B567" s="243" t="str">
        <f t="shared" si="72"/>
        <v/>
      </c>
      <c r="C567" s="243" t="str">
        <f t="shared" si="73"/>
        <v/>
      </c>
      <c r="D567" s="243" t="str">
        <f t="shared" si="74"/>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75"/>
        <v/>
      </c>
      <c r="K567" s="287" t="str">
        <f t="shared" si="76"/>
        <v/>
      </c>
      <c r="L567" s="287" t="str">
        <f t="shared" si="77"/>
        <v/>
      </c>
      <c r="M567" s="290" t="str">
        <f t="shared" si="78"/>
        <v/>
      </c>
      <c r="N567" s="243" t="str">
        <f>IF($A567="","",IF(ABS(E567)&gt;0.000001,COUNT($N$1:N566)+1,""))</f>
        <v/>
      </c>
      <c r="O567" s="291" t="str">
        <f>IF($A567="","",SUMIFS(Transactions!$H$2:$H$1001,Transactions!$J$2:$J$1001,$A567,Transactions!$A$2:$A$1001,2)*$I567)</f>
        <v/>
      </c>
      <c r="P567" s="291" t="str">
        <f t="shared" si="79"/>
        <v/>
      </c>
      <c r="Q567" s="292" t="str">
        <f t="shared" si="80"/>
        <v/>
      </c>
    </row>
    <row r="568" spans="1:17" ht="15" customHeight="1" x14ac:dyDescent="0.2">
      <c r="A568" s="243" t="str">
        <f>IFERROR(INDEX(Txn[Key],MATCH(0,INDEX(COUNTIF($A$1:A567,Txn[Key])+(Txn[Key]=""),0),0)),"")</f>
        <v/>
      </c>
      <c r="B568" s="243" t="str">
        <f t="shared" si="72"/>
        <v/>
      </c>
      <c r="C568" s="243" t="str">
        <f t="shared" si="73"/>
        <v/>
      </c>
      <c r="D568" s="243" t="str">
        <f t="shared" si="74"/>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75"/>
        <v/>
      </c>
      <c r="K568" s="287" t="str">
        <f t="shared" si="76"/>
        <v/>
      </c>
      <c r="L568" s="287" t="str">
        <f t="shared" si="77"/>
        <v/>
      </c>
      <c r="M568" s="290" t="str">
        <f t="shared" si="78"/>
        <v/>
      </c>
      <c r="N568" s="243" t="str">
        <f>IF($A568="","",IF(ABS(E568)&gt;0.000001,COUNT($N$1:N567)+1,""))</f>
        <v/>
      </c>
      <c r="O568" s="291" t="str">
        <f>IF($A568="","",SUMIFS(Transactions!$H$2:$H$1001,Transactions!$J$2:$J$1001,$A568,Transactions!$A$2:$A$1001,2)*$I568)</f>
        <v/>
      </c>
      <c r="P568" s="291" t="str">
        <f t="shared" si="79"/>
        <v/>
      </c>
      <c r="Q568" s="292" t="str">
        <f t="shared" si="80"/>
        <v/>
      </c>
    </row>
    <row r="569" spans="1:17" ht="15" customHeight="1" x14ac:dyDescent="0.2">
      <c r="A569" s="243" t="str">
        <f>IFERROR(INDEX(Txn[Key],MATCH(0,INDEX(COUNTIF($A$1:A568,Txn[Key])+(Txn[Key]=""),0),0)),"")</f>
        <v/>
      </c>
      <c r="B569" s="243" t="str">
        <f t="shared" si="72"/>
        <v/>
      </c>
      <c r="C569" s="243" t="str">
        <f t="shared" si="73"/>
        <v/>
      </c>
      <c r="D569" s="243" t="str">
        <f t="shared" si="74"/>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75"/>
        <v/>
      </c>
      <c r="K569" s="287" t="str">
        <f t="shared" si="76"/>
        <v/>
      </c>
      <c r="L569" s="287" t="str">
        <f t="shared" si="77"/>
        <v/>
      </c>
      <c r="M569" s="290" t="str">
        <f t="shared" si="78"/>
        <v/>
      </c>
      <c r="N569" s="243" t="str">
        <f>IF($A569="","",IF(ABS(E569)&gt;0.000001,COUNT($N$1:N568)+1,""))</f>
        <v/>
      </c>
      <c r="O569" s="291" t="str">
        <f>IF($A569="","",SUMIFS(Transactions!$H$2:$H$1001,Transactions!$J$2:$J$1001,$A569,Transactions!$A$2:$A$1001,2)*$I569)</f>
        <v/>
      </c>
      <c r="P569" s="291" t="str">
        <f t="shared" si="79"/>
        <v/>
      </c>
      <c r="Q569" s="292" t="str">
        <f t="shared" si="80"/>
        <v/>
      </c>
    </row>
    <row r="570" spans="1:17" ht="15" customHeight="1" x14ac:dyDescent="0.2">
      <c r="A570" s="243" t="str">
        <f>IFERROR(INDEX(Txn[Key],MATCH(0,INDEX(COUNTIF($A$1:A569,Txn[Key])+(Txn[Key]=""),0),0)),"")</f>
        <v/>
      </c>
      <c r="B570" s="243" t="str">
        <f t="shared" si="72"/>
        <v/>
      </c>
      <c r="C570" s="243" t="str">
        <f t="shared" si="73"/>
        <v/>
      </c>
      <c r="D570" s="243" t="str">
        <f t="shared" si="74"/>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75"/>
        <v/>
      </c>
      <c r="K570" s="287" t="str">
        <f t="shared" si="76"/>
        <v/>
      </c>
      <c r="L570" s="287" t="str">
        <f t="shared" si="77"/>
        <v/>
      </c>
      <c r="M570" s="290" t="str">
        <f t="shared" si="78"/>
        <v/>
      </c>
      <c r="N570" s="243" t="str">
        <f>IF($A570="","",IF(ABS(E570)&gt;0.000001,COUNT($N$1:N569)+1,""))</f>
        <v/>
      </c>
      <c r="O570" s="291" t="str">
        <f>IF($A570="","",SUMIFS(Transactions!$H$2:$H$1001,Transactions!$J$2:$J$1001,$A570,Transactions!$A$2:$A$1001,2)*$I570)</f>
        <v/>
      </c>
      <c r="P570" s="291" t="str">
        <f t="shared" si="79"/>
        <v/>
      </c>
      <c r="Q570" s="292" t="str">
        <f t="shared" si="80"/>
        <v/>
      </c>
    </row>
    <row r="571" spans="1:17" ht="15" customHeight="1" x14ac:dyDescent="0.2">
      <c r="A571" s="243" t="str">
        <f>IFERROR(INDEX(Txn[Key],MATCH(0,INDEX(COUNTIF($A$1:A570,Txn[Key])+(Txn[Key]=""),0),0)),"")</f>
        <v/>
      </c>
      <c r="B571" s="243" t="str">
        <f t="shared" si="72"/>
        <v/>
      </c>
      <c r="C571" s="243" t="str">
        <f t="shared" si="73"/>
        <v/>
      </c>
      <c r="D571" s="243" t="str">
        <f t="shared" si="74"/>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75"/>
        <v/>
      </c>
      <c r="K571" s="287" t="str">
        <f t="shared" si="76"/>
        <v/>
      </c>
      <c r="L571" s="287" t="str">
        <f t="shared" si="77"/>
        <v/>
      </c>
      <c r="M571" s="290" t="str">
        <f t="shared" si="78"/>
        <v/>
      </c>
      <c r="N571" s="243" t="str">
        <f>IF($A571="","",IF(ABS(E571)&gt;0.000001,COUNT($N$1:N570)+1,""))</f>
        <v/>
      </c>
      <c r="O571" s="291" t="str">
        <f>IF($A571="","",SUMIFS(Transactions!$H$2:$H$1001,Transactions!$J$2:$J$1001,$A571,Transactions!$A$2:$A$1001,2)*$I571)</f>
        <v/>
      </c>
      <c r="P571" s="291" t="str">
        <f t="shared" si="79"/>
        <v/>
      </c>
      <c r="Q571" s="292" t="str">
        <f t="shared" si="80"/>
        <v/>
      </c>
    </row>
    <row r="572" spans="1:17" ht="15" customHeight="1" x14ac:dyDescent="0.2">
      <c r="A572" s="243" t="str">
        <f>IFERROR(INDEX(Txn[Key],MATCH(0,INDEX(COUNTIF($A$1:A571,Txn[Key])+(Txn[Key]=""),0),0)),"")</f>
        <v/>
      </c>
      <c r="B572" s="243" t="str">
        <f t="shared" si="72"/>
        <v/>
      </c>
      <c r="C572" s="243" t="str">
        <f t="shared" si="73"/>
        <v/>
      </c>
      <c r="D572" s="243" t="str">
        <f t="shared" si="74"/>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75"/>
        <v/>
      </c>
      <c r="K572" s="287" t="str">
        <f t="shared" si="76"/>
        <v/>
      </c>
      <c r="L572" s="287" t="str">
        <f t="shared" si="77"/>
        <v/>
      </c>
      <c r="M572" s="290" t="str">
        <f t="shared" si="78"/>
        <v/>
      </c>
      <c r="N572" s="243" t="str">
        <f>IF($A572="","",IF(ABS(E572)&gt;0.000001,COUNT($N$1:N571)+1,""))</f>
        <v/>
      </c>
      <c r="O572" s="291" t="str">
        <f>IF($A572="","",SUMIFS(Transactions!$H$2:$H$1001,Transactions!$J$2:$J$1001,$A572,Transactions!$A$2:$A$1001,2)*$I572)</f>
        <v/>
      </c>
      <c r="P572" s="291" t="str">
        <f t="shared" si="79"/>
        <v/>
      </c>
      <c r="Q572" s="292" t="str">
        <f t="shared" si="80"/>
        <v/>
      </c>
    </row>
    <row r="573" spans="1:17" ht="15" customHeight="1" x14ac:dyDescent="0.2">
      <c r="A573" s="243" t="str">
        <f>IFERROR(INDEX(Txn[Key],MATCH(0,INDEX(COUNTIF($A$1:A572,Txn[Key])+(Txn[Key]=""),0),0)),"")</f>
        <v/>
      </c>
      <c r="B573" s="243" t="str">
        <f t="shared" si="72"/>
        <v/>
      </c>
      <c r="C573" s="243" t="str">
        <f t="shared" si="73"/>
        <v/>
      </c>
      <c r="D573" s="243" t="str">
        <f t="shared" si="74"/>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75"/>
        <v/>
      </c>
      <c r="K573" s="287" t="str">
        <f t="shared" si="76"/>
        <v/>
      </c>
      <c r="L573" s="287" t="str">
        <f t="shared" si="77"/>
        <v/>
      </c>
      <c r="M573" s="290" t="str">
        <f t="shared" si="78"/>
        <v/>
      </c>
      <c r="N573" s="243" t="str">
        <f>IF($A573="","",IF(ABS(E573)&gt;0.000001,COUNT($N$1:N572)+1,""))</f>
        <v/>
      </c>
      <c r="O573" s="291" t="str">
        <f>IF($A573="","",SUMIFS(Transactions!$H$2:$H$1001,Transactions!$J$2:$J$1001,$A573,Transactions!$A$2:$A$1001,2)*$I573)</f>
        <v/>
      </c>
      <c r="P573" s="291" t="str">
        <f t="shared" si="79"/>
        <v/>
      </c>
      <c r="Q573" s="292" t="str">
        <f t="shared" si="80"/>
        <v/>
      </c>
    </row>
    <row r="574" spans="1:17" ht="15" customHeight="1" x14ac:dyDescent="0.2">
      <c r="A574" s="243" t="str">
        <f>IFERROR(INDEX(Txn[Key],MATCH(0,INDEX(COUNTIF($A$1:A573,Txn[Key])+(Txn[Key]=""),0),0)),"")</f>
        <v/>
      </c>
      <c r="B574" s="243" t="str">
        <f t="shared" si="72"/>
        <v/>
      </c>
      <c r="C574" s="243" t="str">
        <f t="shared" si="73"/>
        <v/>
      </c>
      <c r="D574" s="243" t="str">
        <f t="shared" si="74"/>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75"/>
        <v/>
      </c>
      <c r="K574" s="287" t="str">
        <f t="shared" si="76"/>
        <v/>
      </c>
      <c r="L574" s="287" t="str">
        <f t="shared" si="77"/>
        <v/>
      </c>
      <c r="M574" s="290" t="str">
        <f t="shared" si="78"/>
        <v/>
      </c>
      <c r="N574" s="243" t="str">
        <f>IF($A574="","",IF(ABS(E574)&gt;0.000001,COUNT($N$1:N573)+1,""))</f>
        <v/>
      </c>
      <c r="O574" s="291" t="str">
        <f>IF($A574="","",SUMIFS(Transactions!$H$2:$H$1001,Transactions!$J$2:$J$1001,$A574,Transactions!$A$2:$A$1001,2)*$I574)</f>
        <v/>
      </c>
      <c r="P574" s="291" t="str">
        <f t="shared" si="79"/>
        <v/>
      </c>
      <c r="Q574" s="292" t="str">
        <f t="shared" si="80"/>
        <v/>
      </c>
    </row>
    <row r="575" spans="1:17" ht="15" customHeight="1" x14ac:dyDescent="0.2">
      <c r="A575" s="243" t="str">
        <f>IFERROR(INDEX(Txn[Key],MATCH(0,INDEX(COUNTIF($A$1:A574,Txn[Key])+(Txn[Key]=""),0),0)),"")</f>
        <v/>
      </c>
      <c r="B575" s="243" t="str">
        <f t="shared" si="72"/>
        <v/>
      </c>
      <c r="C575" s="243" t="str">
        <f t="shared" si="73"/>
        <v/>
      </c>
      <c r="D575" s="243" t="str">
        <f t="shared" si="74"/>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75"/>
        <v/>
      </c>
      <c r="K575" s="287" t="str">
        <f t="shared" si="76"/>
        <v/>
      </c>
      <c r="L575" s="287" t="str">
        <f t="shared" si="77"/>
        <v/>
      </c>
      <c r="M575" s="290" t="str">
        <f t="shared" si="78"/>
        <v/>
      </c>
      <c r="N575" s="243" t="str">
        <f>IF($A575="","",IF(ABS(E575)&gt;0.000001,COUNT($N$1:N574)+1,""))</f>
        <v/>
      </c>
      <c r="O575" s="291" t="str">
        <f>IF($A575="","",SUMIFS(Transactions!$H$2:$H$1001,Transactions!$J$2:$J$1001,$A575,Transactions!$A$2:$A$1001,2)*$I575)</f>
        <v/>
      </c>
      <c r="P575" s="291" t="str">
        <f t="shared" si="79"/>
        <v/>
      </c>
      <c r="Q575" s="292" t="str">
        <f t="shared" si="80"/>
        <v/>
      </c>
    </row>
    <row r="576" spans="1:17" ht="15" customHeight="1" x14ac:dyDescent="0.2">
      <c r="A576" s="243" t="str">
        <f>IFERROR(INDEX(Txn[Key],MATCH(0,INDEX(COUNTIF($A$1:A575,Txn[Key])+(Txn[Key]=""),0),0)),"")</f>
        <v/>
      </c>
      <c r="B576" s="243" t="str">
        <f t="shared" si="72"/>
        <v/>
      </c>
      <c r="C576" s="243" t="str">
        <f t="shared" si="73"/>
        <v/>
      </c>
      <c r="D576" s="243" t="str">
        <f t="shared" si="74"/>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75"/>
        <v/>
      </c>
      <c r="K576" s="287" t="str">
        <f t="shared" si="76"/>
        <v/>
      </c>
      <c r="L576" s="287" t="str">
        <f t="shared" si="77"/>
        <v/>
      </c>
      <c r="M576" s="290" t="str">
        <f t="shared" si="78"/>
        <v/>
      </c>
      <c r="N576" s="243" t="str">
        <f>IF($A576="","",IF(ABS(E576)&gt;0.000001,COUNT($N$1:N575)+1,""))</f>
        <v/>
      </c>
      <c r="O576" s="291" t="str">
        <f>IF($A576="","",SUMIFS(Transactions!$H$2:$H$1001,Transactions!$J$2:$J$1001,$A576,Transactions!$A$2:$A$1001,2)*$I576)</f>
        <v/>
      </c>
      <c r="P576" s="291" t="str">
        <f t="shared" si="79"/>
        <v/>
      </c>
      <c r="Q576" s="292" t="str">
        <f t="shared" si="80"/>
        <v/>
      </c>
    </row>
    <row r="577" spans="1:17" ht="15" customHeight="1" x14ac:dyDescent="0.2">
      <c r="A577" s="243" t="str">
        <f>IFERROR(INDEX(Txn[Key],MATCH(0,INDEX(COUNTIF($A$1:A576,Txn[Key])+(Txn[Key]=""),0),0)),"")</f>
        <v/>
      </c>
      <c r="B577" s="243" t="str">
        <f t="shared" si="72"/>
        <v/>
      </c>
      <c r="C577" s="243" t="str">
        <f t="shared" si="73"/>
        <v/>
      </c>
      <c r="D577" s="243" t="str">
        <f t="shared" si="74"/>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75"/>
        <v/>
      </c>
      <c r="K577" s="287" t="str">
        <f t="shared" si="76"/>
        <v/>
      </c>
      <c r="L577" s="287" t="str">
        <f t="shared" si="77"/>
        <v/>
      </c>
      <c r="M577" s="290" t="str">
        <f t="shared" si="78"/>
        <v/>
      </c>
      <c r="N577" s="243" t="str">
        <f>IF($A577="","",IF(ABS(E577)&gt;0.000001,COUNT($N$1:N576)+1,""))</f>
        <v/>
      </c>
      <c r="O577" s="291" t="str">
        <f>IF($A577="","",SUMIFS(Transactions!$H$2:$H$1001,Transactions!$J$2:$J$1001,$A577,Transactions!$A$2:$A$1001,2)*$I577)</f>
        <v/>
      </c>
      <c r="P577" s="291" t="str">
        <f t="shared" si="79"/>
        <v/>
      </c>
      <c r="Q577" s="292" t="str">
        <f t="shared" si="80"/>
        <v/>
      </c>
    </row>
    <row r="578" spans="1:17" ht="15" customHeight="1" x14ac:dyDescent="0.2">
      <c r="A578" s="243" t="str">
        <f>IFERROR(INDEX(Txn[Key],MATCH(0,INDEX(COUNTIF($A$1:A577,Txn[Key])+(Txn[Key]=""),0),0)),"")</f>
        <v/>
      </c>
      <c r="B578" s="243" t="str">
        <f t="shared" ref="B578:B641" si="81">IF($A578="","",LEFT($A578,FIND(":",$A578)-1))</f>
        <v/>
      </c>
      <c r="C578" s="243" t="str">
        <f t="shared" ref="C578:C641" si="82">IF($A578="","",MID($A578,FIND(":",$A578)+1,FIND(":",$A578,FIND(":",$A578)+1)-FIND(":",$A578)-1))</f>
        <v/>
      </c>
      <c r="D578" s="243" t="str">
        <f t="shared" ref="D578:D641" si="83">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4">IF($A578="","",E578*H578)</f>
        <v/>
      </c>
      <c r="K578" s="287" t="str">
        <f t="shared" ref="K578:K641" si="85">IF($A578="","",J578+G578-F578)</f>
        <v/>
      </c>
      <c r="L578" s="287" t="str">
        <f t="shared" ref="L578:L641" si="86">IF($A578="","",K578*I578)</f>
        <v/>
      </c>
      <c r="M578" s="290" t="str">
        <f t="shared" ref="M578:M641" si="87">IF($A578="","",IFERROR(K578/F578,0))</f>
        <v/>
      </c>
      <c r="N578" s="243" t="str">
        <f>IF($A578="","",IF(ABS(E578)&gt;0.000001,COUNT($N$1:N577)+1,""))</f>
        <v/>
      </c>
      <c r="O578" s="291" t="str">
        <f>IF($A578="","",SUMIFS(Transactions!$H$2:$H$1001,Transactions!$J$2:$J$1001,$A578,Transactions!$A$2:$A$1001,2)*$I578)</f>
        <v/>
      </c>
      <c r="P578" s="291" t="str">
        <f t="shared" ref="P578:P641" si="88">IF($A578="","",$L578+$O578)</f>
        <v/>
      </c>
      <c r="Q578" s="292" t="str">
        <f t="shared" ref="Q578:Q641" si="89">IF($A578="","",IFERROR(($L578+$O578)/($F578*$I578),0))</f>
        <v/>
      </c>
    </row>
    <row r="579" spans="1:17" ht="15" customHeight="1" x14ac:dyDescent="0.2">
      <c r="A579" s="243" t="str">
        <f>IFERROR(INDEX(Txn[Key],MATCH(0,INDEX(COUNTIF($A$1:A578,Txn[Key])+(Txn[Key]=""),0),0)),"")</f>
        <v/>
      </c>
      <c r="B579" s="243" t="str">
        <f t="shared" si="81"/>
        <v/>
      </c>
      <c r="C579" s="243" t="str">
        <f t="shared" si="82"/>
        <v/>
      </c>
      <c r="D579" s="243" t="str">
        <f t="shared" si="83"/>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4"/>
        <v/>
      </c>
      <c r="K579" s="287" t="str">
        <f t="shared" si="85"/>
        <v/>
      </c>
      <c r="L579" s="287" t="str">
        <f t="shared" si="86"/>
        <v/>
      </c>
      <c r="M579" s="290" t="str">
        <f t="shared" si="87"/>
        <v/>
      </c>
      <c r="N579" s="243" t="str">
        <f>IF($A579="","",IF(ABS(E579)&gt;0.000001,COUNT($N$1:N578)+1,""))</f>
        <v/>
      </c>
      <c r="O579" s="291" t="str">
        <f>IF($A579="","",SUMIFS(Transactions!$H$2:$H$1001,Transactions!$J$2:$J$1001,$A579,Transactions!$A$2:$A$1001,2)*$I579)</f>
        <v/>
      </c>
      <c r="P579" s="291" t="str">
        <f t="shared" si="88"/>
        <v/>
      </c>
      <c r="Q579" s="292" t="str">
        <f t="shared" si="89"/>
        <v/>
      </c>
    </row>
    <row r="580" spans="1:17" ht="15" customHeight="1" x14ac:dyDescent="0.2">
      <c r="A580" s="243" t="str">
        <f>IFERROR(INDEX(Txn[Key],MATCH(0,INDEX(COUNTIF($A$1:A579,Txn[Key])+(Txn[Key]=""),0),0)),"")</f>
        <v/>
      </c>
      <c r="B580" s="243" t="str">
        <f t="shared" si="81"/>
        <v/>
      </c>
      <c r="C580" s="243" t="str">
        <f t="shared" si="82"/>
        <v/>
      </c>
      <c r="D580" s="243" t="str">
        <f t="shared" si="83"/>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4"/>
        <v/>
      </c>
      <c r="K580" s="287" t="str">
        <f t="shared" si="85"/>
        <v/>
      </c>
      <c r="L580" s="287" t="str">
        <f t="shared" si="86"/>
        <v/>
      </c>
      <c r="M580" s="290" t="str">
        <f t="shared" si="87"/>
        <v/>
      </c>
      <c r="N580" s="243" t="str">
        <f>IF($A580="","",IF(ABS(E580)&gt;0.000001,COUNT($N$1:N579)+1,""))</f>
        <v/>
      </c>
      <c r="O580" s="291" t="str">
        <f>IF($A580="","",SUMIFS(Transactions!$H$2:$H$1001,Transactions!$J$2:$J$1001,$A580,Transactions!$A$2:$A$1001,2)*$I580)</f>
        <v/>
      </c>
      <c r="P580" s="291" t="str">
        <f t="shared" si="88"/>
        <v/>
      </c>
      <c r="Q580" s="292" t="str">
        <f t="shared" si="89"/>
        <v/>
      </c>
    </row>
    <row r="581" spans="1:17" ht="15" customHeight="1" x14ac:dyDescent="0.2">
      <c r="A581" s="243" t="str">
        <f>IFERROR(INDEX(Txn[Key],MATCH(0,INDEX(COUNTIF($A$1:A580,Txn[Key])+(Txn[Key]=""),0),0)),"")</f>
        <v/>
      </c>
      <c r="B581" s="243" t="str">
        <f t="shared" si="81"/>
        <v/>
      </c>
      <c r="C581" s="243" t="str">
        <f t="shared" si="82"/>
        <v/>
      </c>
      <c r="D581" s="243" t="str">
        <f t="shared" si="83"/>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4"/>
        <v/>
      </c>
      <c r="K581" s="287" t="str">
        <f t="shared" si="85"/>
        <v/>
      </c>
      <c r="L581" s="287" t="str">
        <f t="shared" si="86"/>
        <v/>
      </c>
      <c r="M581" s="290" t="str">
        <f t="shared" si="87"/>
        <v/>
      </c>
      <c r="N581" s="243" t="str">
        <f>IF($A581="","",IF(ABS(E581)&gt;0.000001,COUNT($N$1:N580)+1,""))</f>
        <v/>
      </c>
      <c r="O581" s="291" t="str">
        <f>IF($A581="","",SUMIFS(Transactions!$H$2:$H$1001,Transactions!$J$2:$J$1001,$A581,Transactions!$A$2:$A$1001,2)*$I581)</f>
        <v/>
      </c>
      <c r="P581" s="291" t="str">
        <f t="shared" si="88"/>
        <v/>
      </c>
      <c r="Q581" s="292" t="str">
        <f t="shared" si="89"/>
        <v/>
      </c>
    </row>
    <row r="582" spans="1:17" ht="15" customHeight="1" x14ac:dyDescent="0.2">
      <c r="A582" s="243" t="str">
        <f>IFERROR(INDEX(Txn[Key],MATCH(0,INDEX(COUNTIF($A$1:A581,Txn[Key])+(Txn[Key]=""),0),0)),"")</f>
        <v/>
      </c>
      <c r="B582" s="243" t="str">
        <f t="shared" si="81"/>
        <v/>
      </c>
      <c r="C582" s="243" t="str">
        <f t="shared" si="82"/>
        <v/>
      </c>
      <c r="D582" s="243" t="str">
        <f t="shared" si="83"/>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4"/>
        <v/>
      </c>
      <c r="K582" s="287" t="str">
        <f t="shared" si="85"/>
        <v/>
      </c>
      <c r="L582" s="287" t="str">
        <f t="shared" si="86"/>
        <v/>
      </c>
      <c r="M582" s="290" t="str">
        <f t="shared" si="87"/>
        <v/>
      </c>
      <c r="N582" s="243" t="str">
        <f>IF($A582="","",IF(ABS(E582)&gt;0.000001,COUNT($N$1:N581)+1,""))</f>
        <v/>
      </c>
      <c r="O582" s="291" t="str">
        <f>IF($A582="","",SUMIFS(Transactions!$H$2:$H$1001,Transactions!$J$2:$J$1001,$A582,Transactions!$A$2:$A$1001,2)*$I582)</f>
        <v/>
      </c>
      <c r="P582" s="291" t="str">
        <f t="shared" si="88"/>
        <v/>
      </c>
      <c r="Q582" s="292" t="str">
        <f t="shared" si="89"/>
        <v/>
      </c>
    </row>
    <row r="583" spans="1:17" ht="15" customHeight="1" x14ac:dyDescent="0.2">
      <c r="A583" s="243" t="str">
        <f>IFERROR(INDEX(Txn[Key],MATCH(0,INDEX(COUNTIF($A$1:A582,Txn[Key])+(Txn[Key]=""),0),0)),"")</f>
        <v/>
      </c>
      <c r="B583" s="243" t="str">
        <f t="shared" si="81"/>
        <v/>
      </c>
      <c r="C583" s="243" t="str">
        <f t="shared" si="82"/>
        <v/>
      </c>
      <c r="D583" s="243" t="str">
        <f t="shared" si="83"/>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4"/>
        <v/>
      </c>
      <c r="K583" s="287" t="str">
        <f t="shared" si="85"/>
        <v/>
      </c>
      <c r="L583" s="287" t="str">
        <f t="shared" si="86"/>
        <v/>
      </c>
      <c r="M583" s="290" t="str">
        <f t="shared" si="87"/>
        <v/>
      </c>
      <c r="N583" s="243" t="str">
        <f>IF($A583="","",IF(ABS(E583)&gt;0.000001,COUNT($N$1:N582)+1,""))</f>
        <v/>
      </c>
      <c r="O583" s="291" t="str">
        <f>IF($A583="","",SUMIFS(Transactions!$H$2:$H$1001,Transactions!$J$2:$J$1001,$A583,Transactions!$A$2:$A$1001,2)*$I583)</f>
        <v/>
      </c>
      <c r="P583" s="291" t="str">
        <f t="shared" si="88"/>
        <v/>
      </c>
      <c r="Q583" s="292" t="str">
        <f t="shared" si="89"/>
        <v/>
      </c>
    </row>
    <row r="584" spans="1:17" ht="15" customHeight="1" x14ac:dyDescent="0.2">
      <c r="A584" s="243" t="str">
        <f>IFERROR(INDEX(Txn[Key],MATCH(0,INDEX(COUNTIF($A$1:A583,Txn[Key])+(Txn[Key]=""),0),0)),"")</f>
        <v/>
      </c>
      <c r="B584" s="243" t="str">
        <f t="shared" si="81"/>
        <v/>
      </c>
      <c r="C584" s="243" t="str">
        <f t="shared" si="82"/>
        <v/>
      </c>
      <c r="D584" s="243" t="str">
        <f t="shared" si="83"/>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4"/>
        <v/>
      </c>
      <c r="K584" s="287" t="str">
        <f t="shared" si="85"/>
        <v/>
      </c>
      <c r="L584" s="287" t="str">
        <f t="shared" si="86"/>
        <v/>
      </c>
      <c r="M584" s="290" t="str">
        <f t="shared" si="87"/>
        <v/>
      </c>
      <c r="N584" s="243" t="str">
        <f>IF($A584="","",IF(ABS(E584)&gt;0.000001,COUNT($N$1:N583)+1,""))</f>
        <v/>
      </c>
      <c r="O584" s="291" t="str">
        <f>IF($A584="","",SUMIFS(Transactions!$H$2:$H$1001,Transactions!$J$2:$J$1001,$A584,Transactions!$A$2:$A$1001,2)*$I584)</f>
        <v/>
      </c>
      <c r="P584" s="291" t="str">
        <f t="shared" si="88"/>
        <v/>
      </c>
      <c r="Q584" s="292" t="str">
        <f t="shared" si="89"/>
        <v/>
      </c>
    </row>
    <row r="585" spans="1:17" ht="15" customHeight="1" x14ac:dyDescent="0.2">
      <c r="A585" s="243" t="str">
        <f>IFERROR(INDEX(Txn[Key],MATCH(0,INDEX(COUNTIF($A$1:A584,Txn[Key])+(Txn[Key]=""),0),0)),"")</f>
        <v/>
      </c>
      <c r="B585" s="243" t="str">
        <f t="shared" si="81"/>
        <v/>
      </c>
      <c r="C585" s="243" t="str">
        <f t="shared" si="82"/>
        <v/>
      </c>
      <c r="D585" s="243" t="str">
        <f t="shared" si="83"/>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4"/>
        <v/>
      </c>
      <c r="K585" s="287" t="str">
        <f t="shared" si="85"/>
        <v/>
      </c>
      <c r="L585" s="287" t="str">
        <f t="shared" si="86"/>
        <v/>
      </c>
      <c r="M585" s="290" t="str">
        <f t="shared" si="87"/>
        <v/>
      </c>
      <c r="N585" s="243" t="str">
        <f>IF($A585="","",IF(ABS(E585)&gt;0.000001,COUNT($N$1:N584)+1,""))</f>
        <v/>
      </c>
      <c r="O585" s="291" t="str">
        <f>IF($A585="","",SUMIFS(Transactions!$H$2:$H$1001,Transactions!$J$2:$J$1001,$A585,Transactions!$A$2:$A$1001,2)*$I585)</f>
        <v/>
      </c>
      <c r="P585" s="291" t="str">
        <f t="shared" si="88"/>
        <v/>
      </c>
      <c r="Q585" s="292" t="str">
        <f t="shared" si="89"/>
        <v/>
      </c>
    </row>
    <row r="586" spans="1:17" ht="15" customHeight="1" x14ac:dyDescent="0.2">
      <c r="A586" s="243" t="str">
        <f>IFERROR(INDEX(Txn[Key],MATCH(0,INDEX(COUNTIF($A$1:A585,Txn[Key])+(Txn[Key]=""),0),0)),"")</f>
        <v/>
      </c>
      <c r="B586" s="243" t="str">
        <f t="shared" si="81"/>
        <v/>
      </c>
      <c r="C586" s="243" t="str">
        <f t="shared" si="82"/>
        <v/>
      </c>
      <c r="D586" s="243" t="str">
        <f t="shared" si="83"/>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4"/>
        <v/>
      </c>
      <c r="K586" s="287" t="str">
        <f t="shared" si="85"/>
        <v/>
      </c>
      <c r="L586" s="287" t="str">
        <f t="shared" si="86"/>
        <v/>
      </c>
      <c r="M586" s="290" t="str">
        <f t="shared" si="87"/>
        <v/>
      </c>
      <c r="N586" s="243" t="str">
        <f>IF($A586="","",IF(ABS(E586)&gt;0.000001,COUNT($N$1:N585)+1,""))</f>
        <v/>
      </c>
      <c r="O586" s="291" t="str">
        <f>IF($A586="","",SUMIFS(Transactions!$H$2:$H$1001,Transactions!$J$2:$J$1001,$A586,Transactions!$A$2:$A$1001,2)*$I586)</f>
        <v/>
      </c>
      <c r="P586" s="291" t="str">
        <f t="shared" si="88"/>
        <v/>
      </c>
      <c r="Q586" s="292" t="str">
        <f t="shared" si="89"/>
        <v/>
      </c>
    </row>
    <row r="587" spans="1:17" ht="15" customHeight="1" x14ac:dyDescent="0.2">
      <c r="A587" s="243" t="str">
        <f>IFERROR(INDEX(Txn[Key],MATCH(0,INDEX(COUNTIF($A$1:A586,Txn[Key])+(Txn[Key]=""),0),0)),"")</f>
        <v/>
      </c>
      <c r="B587" s="243" t="str">
        <f t="shared" si="81"/>
        <v/>
      </c>
      <c r="C587" s="243" t="str">
        <f t="shared" si="82"/>
        <v/>
      </c>
      <c r="D587" s="243" t="str">
        <f t="shared" si="83"/>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4"/>
        <v/>
      </c>
      <c r="K587" s="287" t="str">
        <f t="shared" si="85"/>
        <v/>
      </c>
      <c r="L587" s="287" t="str">
        <f t="shared" si="86"/>
        <v/>
      </c>
      <c r="M587" s="290" t="str">
        <f t="shared" si="87"/>
        <v/>
      </c>
      <c r="N587" s="243" t="str">
        <f>IF($A587="","",IF(ABS(E587)&gt;0.000001,COUNT($N$1:N586)+1,""))</f>
        <v/>
      </c>
      <c r="O587" s="291" t="str">
        <f>IF($A587="","",SUMIFS(Transactions!$H$2:$H$1001,Transactions!$J$2:$J$1001,$A587,Transactions!$A$2:$A$1001,2)*$I587)</f>
        <v/>
      </c>
      <c r="P587" s="291" t="str">
        <f t="shared" si="88"/>
        <v/>
      </c>
      <c r="Q587" s="292" t="str">
        <f t="shared" si="89"/>
        <v/>
      </c>
    </row>
    <row r="588" spans="1:17" ht="15" customHeight="1" x14ac:dyDescent="0.2">
      <c r="A588" s="243" t="str">
        <f>IFERROR(INDEX(Txn[Key],MATCH(0,INDEX(COUNTIF($A$1:A587,Txn[Key])+(Txn[Key]=""),0),0)),"")</f>
        <v/>
      </c>
      <c r="B588" s="243" t="str">
        <f t="shared" si="81"/>
        <v/>
      </c>
      <c r="C588" s="243" t="str">
        <f t="shared" si="82"/>
        <v/>
      </c>
      <c r="D588" s="243" t="str">
        <f t="shared" si="83"/>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4"/>
        <v/>
      </c>
      <c r="K588" s="287" t="str">
        <f t="shared" si="85"/>
        <v/>
      </c>
      <c r="L588" s="287" t="str">
        <f t="shared" si="86"/>
        <v/>
      </c>
      <c r="M588" s="290" t="str">
        <f t="shared" si="87"/>
        <v/>
      </c>
      <c r="N588" s="243" t="str">
        <f>IF($A588="","",IF(ABS(E588)&gt;0.000001,COUNT($N$1:N587)+1,""))</f>
        <v/>
      </c>
      <c r="O588" s="291" t="str">
        <f>IF($A588="","",SUMIFS(Transactions!$H$2:$H$1001,Transactions!$J$2:$J$1001,$A588,Transactions!$A$2:$A$1001,2)*$I588)</f>
        <v/>
      </c>
      <c r="P588" s="291" t="str">
        <f t="shared" si="88"/>
        <v/>
      </c>
      <c r="Q588" s="292" t="str">
        <f t="shared" si="89"/>
        <v/>
      </c>
    </row>
    <row r="589" spans="1:17" ht="15" customHeight="1" x14ac:dyDescent="0.2">
      <c r="A589" s="243" t="str">
        <f>IFERROR(INDEX(Txn[Key],MATCH(0,INDEX(COUNTIF($A$1:A588,Txn[Key])+(Txn[Key]=""),0),0)),"")</f>
        <v/>
      </c>
      <c r="B589" s="243" t="str">
        <f t="shared" si="81"/>
        <v/>
      </c>
      <c r="C589" s="243" t="str">
        <f t="shared" si="82"/>
        <v/>
      </c>
      <c r="D589" s="243" t="str">
        <f t="shared" si="83"/>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4"/>
        <v/>
      </c>
      <c r="K589" s="287" t="str">
        <f t="shared" si="85"/>
        <v/>
      </c>
      <c r="L589" s="287" t="str">
        <f t="shared" si="86"/>
        <v/>
      </c>
      <c r="M589" s="290" t="str">
        <f t="shared" si="87"/>
        <v/>
      </c>
      <c r="N589" s="243" t="str">
        <f>IF($A589="","",IF(ABS(E589)&gt;0.000001,COUNT($N$1:N588)+1,""))</f>
        <v/>
      </c>
      <c r="O589" s="291" t="str">
        <f>IF($A589="","",SUMIFS(Transactions!$H$2:$H$1001,Transactions!$J$2:$J$1001,$A589,Transactions!$A$2:$A$1001,2)*$I589)</f>
        <v/>
      </c>
      <c r="P589" s="291" t="str">
        <f t="shared" si="88"/>
        <v/>
      </c>
      <c r="Q589" s="292" t="str">
        <f t="shared" si="89"/>
        <v/>
      </c>
    </row>
    <row r="590" spans="1:17" ht="15" customHeight="1" x14ac:dyDescent="0.2">
      <c r="A590" s="243" t="str">
        <f>IFERROR(INDEX(Txn[Key],MATCH(0,INDEX(COUNTIF($A$1:A589,Txn[Key])+(Txn[Key]=""),0),0)),"")</f>
        <v/>
      </c>
      <c r="B590" s="243" t="str">
        <f t="shared" si="81"/>
        <v/>
      </c>
      <c r="C590" s="243" t="str">
        <f t="shared" si="82"/>
        <v/>
      </c>
      <c r="D590" s="243" t="str">
        <f t="shared" si="83"/>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4"/>
        <v/>
      </c>
      <c r="K590" s="287" t="str">
        <f t="shared" si="85"/>
        <v/>
      </c>
      <c r="L590" s="287" t="str">
        <f t="shared" si="86"/>
        <v/>
      </c>
      <c r="M590" s="290" t="str">
        <f t="shared" si="87"/>
        <v/>
      </c>
      <c r="N590" s="243" t="str">
        <f>IF($A590="","",IF(ABS(E590)&gt;0.000001,COUNT($N$1:N589)+1,""))</f>
        <v/>
      </c>
      <c r="O590" s="291" t="str">
        <f>IF($A590="","",SUMIFS(Transactions!$H$2:$H$1001,Transactions!$J$2:$J$1001,$A590,Transactions!$A$2:$A$1001,2)*$I590)</f>
        <v/>
      </c>
      <c r="P590" s="291" t="str">
        <f t="shared" si="88"/>
        <v/>
      </c>
      <c r="Q590" s="292" t="str">
        <f t="shared" si="89"/>
        <v/>
      </c>
    </row>
    <row r="591" spans="1:17" ht="15" customHeight="1" x14ac:dyDescent="0.2">
      <c r="A591" s="243" t="str">
        <f>IFERROR(INDEX(Txn[Key],MATCH(0,INDEX(COUNTIF($A$1:A590,Txn[Key])+(Txn[Key]=""),0),0)),"")</f>
        <v/>
      </c>
      <c r="B591" s="243" t="str">
        <f t="shared" si="81"/>
        <v/>
      </c>
      <c r="C591" s="243" t="str">
        <f t="shared" si="82"/>
        <v/>
      </c>
      <c r="D591" s="243" t="str">
        <f t="shared" si="83"/>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4"/>
        <v/>
      </c>
      <c r="K591" s="287" t="str">
        <f t="shared" si="85"/>
        <v/>
      </c>
      <c r="L591" s="287" t="str">
        <f t="shared" si="86"/>
        <v/>
      </c>
      <c r="M591" s="290" t="str">
        <f t="shared" si="87"/>
        <v/>
      </c>
      <c r="N591" s="243" t="str">
        <f>IF($A591="","",IF(ABS(E591)&gt;0.000001,COUNT($N$1:N590)+1,""))</f>
        <v/>
      </c>
      <c r="O591" s="291" t="str">
        <f>IF($A591="","",SUMIFS(Transactions!$H$2:$H$1001,Transactions!$J$2:$J$1001,$A591,Transactions!$A$2:$A$1001,2)*$I591)</f>
        <v/>
      </c>
      <c r="P591" s="291" t="str">
        <f t="shared" si="88"/>
        <v/>
      </c>
      <c r="Q591" s="292" t="str">
        <f t="shared" si="89"/>
        <v/>
      </c>
    </row>
    <row r="592" spans="1:17" ht="15" customHeight="1" x14ac:dyDescent="0.2">
      <c r="A592" s="243" t="str">
        <f>IFERROR(INDEX(Txn[Key],MATCH(0,INDEX(COUNTIF($A$1:A591,Txn[Key])+(Txn[Key]=""),0),0)),"")</f>
        <v/>
      </c>
      <c r="B592" s="243" t="str">
        <f t="shared" si="81"/>
        <v/>
      </c>
      <c r="C592" s="243" t="str">
        <f t="shared" si="82"/>
        <v/>
      </c>
      <c r="D592" s="243" t="str">
        <f t="shared" si="83"/>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4"/>
        <v/>
      </c>
      <c r="K592" s="287" t="str">
        <f t="shared" si="85"/>
        <v/>
      </c>
      <c r="L592" s="287" t="str">
        <f t="shared" si="86"/>
        <v/>
      </c>
      <c r="M592" s="290" t="str">
        <f t="shared" si="87"/>
        <v/>
      </c>
      <c r="N592" s="243" t="str">
        <f>IF($A592="","",IF(ABS(E592)&gt;0.000001,COUNT($N$1:N591)+1,""))</f>
        <v/>
      </c>
      <c r="O592" s="291" t="str">
        <f>IF($A592="","",SUMIFS(Transactions!$H$2:$H$1001,Transactions!$J$2:$J$1001,$A592,Transactions!$A$2:$A$1001,2)*$I592)</f>
        <v/>
      </c>
      <c r="P592" s="291" t="str">
        <f t="shared" si="88"/>
        <v/>
      </c>
      <c r="Q592" s="292" t="str">
        <f t="shared" si="89"/>
        <v/>
      </c>
    </row>
    <row r="593" spans="1:17" ht="15" customHeight="1" x14ac:dyDescent="0.2">
      <c r="A593" s="243" t="str">
        <f>IFERROR(INDEX(Txn[Key],MATCH(0,INDEX(COUNTIF($A$1:A592,Txn[Key])+(Txn[Key]=""),0),0)),"")</f>
        <v/>
      </c>
      <c r="B593" s="243" t="str">
        <f t="shared" si="81"/>
        <v/>
      </c>
      <c r="C593" s="243" t="str">
        <f t="shared" si="82"/>
        <v/>
      </c>
      <c r="D593" s="243" t="str">
        <f t="shared" si="83"/>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4"/>
        <v/>
      </c>
      <c r="K593" s="287" t="str">
        <f t="shared" si="85"/>
        <v/>
      </c>
      <c r="L593" s="287" t="str">
        <f t="shared" si="86"/>
        <v/>
      </c>
      <c r="M593" s="290" t="str">
        <f t="shared" si="87"/>
        <v/>
      </c>
      <c r="N593" s="243" t="str">
        <f>IF($A593="","",IF(ABS(E593)&gt;0.000001,COUNT($N$1:N592)+1,""))</f>
        <v/>
      </c>
      <c r="O593" s="291" t="str">
        <f>IF($A593="","",SUMIFS(Transactions!$H$2:$H$1001,Transactions!$J$2:$J$1001,$A593,Transactions!$A$2:$A$1001,2)*$I593)</f>
        <v/>
      </c>
      <c r="P593" s="291" t="str">
        <f t="shared" si="88"/>
        <v/>
      </c>
      <c r="Q593" s="292" t="str">
        <f t="shared" si="89"/>
        <v/>
      </c>
    </row>
    <row r="594" spans="1:17" ht="15" customHeight="1" x14ac:dyDescent="0.2">
      <c r="A594" s="243" t="str">
        <f>IFERROR(INDEX(Txn[Key],MATCH(0,INDEX(COUNTIF($A$1:A593,Txn[Key])+(Txn[Key]=""),0),0)),"")</f>
        <v/>
      </c>
      <c r="B594" s="243" t="str">
        <f t="shared" si="81"/>
        <v/>
      </c>
      <c r="C594" s="243" t="str">
        <f t="shared" si="82"/>
        <v/>
      </c>
      <c r="D594" s="243" t="str">
        <f t="shared" si="83"/>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4"/>
        <v/>
      </c>
      <c r="K594" s="287" t="str">
        <f t="shared" si="85"/>
        <v/>
      </c>
      <c r="L594" s="287" t="str">
        <f t="shared" si="86"/>
        <v/>
      </c>
      <c r="M594" s="290" t="str">
        <f t="shared" si="87"/>
        <v/>
      </c>
      <c r="N594" s="243" t="str">
        <f>IF($A594="","",IF(ABS(E594)&gt;0.000001,COUNT($N$1:N593)+1,""))</f>
        <v/>
      </c>
      <c r="O594" s="291" t="str">
        <f>IF($A594="","",SUMIFS(Transactions!$H$2:$H$1001,Transactions!$J$2:$J$1001,$A594,Transactions!$A$2:$A$1001,2)*$I594)</f>
        <v/>
      </c>
      <c r="P594" s="291" t="str">
        <f t="shared" si="88"/>
        <v/>
      </c>
      <c r="Q594" s="292" t="str">
        <f t="shared" si="89"/>
        <v/>
      </c>
    </row>
    <row r="595" spans="1:17" ht="15" customHeight="1" x14ac:dyDescent="0.2">
      <c r="A595" s="243" t="str">
        <f>IFERROR(INDEX(Txn[Key],MATCH(0,INDEX(COUNTIF($A$1:A594,Txn[Key])+(Txn[Key]=""),0),0)),"")</f>
        <v/>
      </c>
      <c r="B595" s="243" t="str">
        <f t="shared" si="81"/>
        <v/>
      </c>
      <c r="C595" s="243" t="str">
        <f t="shared" si="82"/>
        <v/>
      </c>
      <c r="D595" s="243" t="str">
        <f t="shared" si="83"/>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4"/>
        <v/>
      </c>
      <c r="K595" s="287" t="str">
        <f t="shared" si="85"/>
        <v/>
      </c>
      <c r="L595" s="287" t="str">
        <f t="shared" si="86"/>
        <v/>
      </c>
      <c r="M595" s="290" t="str">
        <f t="shared" si="87"/>
        <v/>
      </c>
      <c r="N595" s="243" t="str">
        <f>IF($A595="","",IF(ABS(E595)&gt;0.000001,COUNT($N$1:N594)+1,""))</f>
        <v/>
      </c>
      <c r="O595" s="291" t="str">
        <f>IF($A595="","",SUMIFS(Transactions!$H$2:$H$1001,Transactions!$J$2:$J$1001,$A595,Transactions!$A$2:$A$1001,2)*$I595)</f>
        <v/>
      </c>
      <c r="P595" s="291" t="str">
        <f t="shared" si="88"/>
        <v/>
      </c>
      <c r="Q595" s="292" t="str">
        <f t="shared" si="89"/>
        <v/>
      </c>
    </row>
    <row r="596" spans="1:17" ht="15" customHeight="1" x14ac:dyDescent="0.2">
      <c r="A596" s="243" t="str">
        <f>IFERROR(INDEX(Txn[Key],MATCH(0,INDEX(COUNTIF($A$1:A595,Txn[Key])+(Txn[Key]=""),0),0)),"")</f>
        <v/>
      </c>
      <c r="B596" s="243" t="str">
        <f t="shared" si="81"/>
        <v/>
      </c>
      <c r="C596" s="243" t="str">
        <f t="shared" si="82"/>
        <v/>
      </c>
      <c r="D596" s="243" t="str">
        <f t="shared" si="83"/>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4"/>
        <v/>
      </c>
      <c r="K596" s="287" t="str">
        <f t="shared" si="85"/>
        <v/>
      </c>
      <c r="L596" s="287" t="str">
        <f t="shared" si="86"/>
        <v/>
      </c>
      <c r="M596" s="290" t="str">
        <f t="shared" si="87"/>
        <v/>
      </c>
      <c r="N596" s="243" t="str">
        <f>IF($A596="","",IF(ABS(E596)&gt;0.000001,COUNT($N$1:N595)+1,""))</f>
        <v/>
      </c>
      <c r="O596" s="291" t="str">
        <f>IF($A596="","",SUMIFS(Transactions!$H$2:$H$1001,Transactions!$J$2:$J$1001,$A596,Transactions!$A$2:$A$1001,2)*$I596)</f>
        <v/>
      </c>
      <c r="P596" s="291" t="str">
        <f t="shared" si="88"/>
        <v/>
      </c>
      <c r="Q596" s="292" t="str">
        <f t="shared" si="89"/>
        <v/>
      </c>
    </row>
    <row r="597" spans="1:17" ht="15" customHeight="1" x14ac:dyDescent="0.2">
      <c r="A597" s="243" t="str">
        <f>IFERROR(INDEX(Txn[Key],MATCH(0,INDEX(COUNTIF($A$1:A596,Txn[Key])+(Txn[Key]=""),0),0)),"")</f>
        <v/>
      </c>
      <c r="B597" s="243" t="str">
        <f t="shared" si="81"/>
        <v/>
      </c>
      <c r="C597" s="243" t="str">
        <f t="shared" si="82"/>
        <v/>
      </c>
      <c r="D597" s="243" t="str">
        <f t="shared" si="83"/>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4"/>
        <v/>
      </c>
      <c r="K597" s="287" t="str">
        <f t="shared" si="85"/>
        <v/>
      </c>
      <c r="L597" s="287" t="str">
        <f t="shared" si="86"/>
        <v/>
      </c>
      <c r="M597" s="290" t="str">
        <f t="shared" si="87"/>
        <v/>
      </c>
      <c r="N597" s="243" t="str">
        <f>IF($A597="","",IF(ABS(E597)&gt;0.000001,COUNT($N$1:N596)+1,""))</f>
        <v/>
      </c>
      <c r="O597" s="291" t="str">
        <f>IF($A597="","",SUMIFS(Transactions!$H$2:$H$1001,Transactions!$J$2:$J$1001,$A597,Transactions!$A$2:$A$1001,2)*$I597)</f>
        <v/>
      </c>
      <c r="P597" s="291" t="str">
        <f t="shared" si="88"/>
        <v/>
      </c>
      <c r="Q597" s="292" t="str">
        <f t="shared" si="89"/>
        <v/>
      </c>
    </row>
    <row r="598" spans="1:17" ht="15" customHeight="1" x14ac:dyDescent="0.2">
      <c r="A598" s="243" t="str">
        <f>IFERROR(INDEX(Txn[Key],MATCH(0,INDEX(COUNTIF($A$1:A597,Txn[Key])+(Txn[Key]=""),0),0)),"")</f>
        <v/>
      </c>
      <c r="B598" s="243" t="str">
        <f t="shared" si="81"/>
        <v/>
      </c>
      <c r="C598" s="243" t="str">
        <f t="shared" si="82"/>
        <v/>
      </c>
      <c r="D598" s="243" t="str">
        <f t="shared" si="83"/>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4"/>
        <v/>
      </c>
      <c r="K598" s="287" t="str">
        <f t="shared" si="85"/>
        <v/>
      </c>
      <c r="L598" s="287" t="str">
        <f t="shared" si="86"/>
        <v/>
      </c>
      <c r="M598" s="290" t="str">
        <f t="shared" si="87"/>
        <v/>
      </c>
      <c r="N598" s="243" t="str">
        <f>IF($A598="","",IF(ABS(E598)&gt;0.000001,COUNT($N$1:N597)+1,""))</f>
        <v/>
      </c>
      <c r="O598" s="291" t="str">
        <f>IF($A598="","",SUMIFS(Transactions!$H$2:$H$1001,Transactions!$J$2:$J$1001,$A598,Transactions!$A$2:$A$1001,2)*$I598)</f>
        <v/>
      </c>
      <c r="P598" s="291" t="str">
        <f t="shared" si="88"/>
        <v/>
      </c>
      <c r="Q598" s="292" t="str">
        <f t="shared" si="89"/>
        <v/>
      </c>
    </row>
    <row r="599" spans="1:17" ht="15" customHeight="1" x14ac:dyDescent="0.2">
      <c r="A599" s="243" t="str">
        <f>IFERROR(INDEX(Txn[Key],MATCH(0,INDEX(COUNTIF($A$1:A598,Txn[Key])+(Txn[Key]=""),0),0)),"")</f>
        <v/>
      </c>
      <c r="B599" s="243" t="str">
        <f t="shared" si="81"/>
        <v/>
      </c>
      <c r="C599" s="243" t="str">
        <f t="shared" si="82"/>
        <v/>
      </c>
      <c r="D599" s="243" t="str">
        <f t="shared" si="83"/>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4"/>
        <v/>
      </c>
      <c r="K599" s="287" t="str">
        <f t="shared" si="85"/>
        <v/>
      </c>
      <c r="L599" s="287" t="str">
        <f t="shared" si="86"/>
        <v/>
      </c>
      <c r="M599" s="290" t="str">
        <f t="shared" si="87"/>
        <v/>
      </c>
      <c r="N599" s="243" t="str">
        <f>IF($A599="","",IF(ABS(E599)&gt;0.000001,COUNT($N$1:N598)+1,""))</f>
        <v/>
      </c>
      <c r="O599" s="291" t="str">
        <f>IF($A599="","",SUMIFS(Transactions!$H$2:$H$1001,Transactions!$J$2:$J$1001,$A599,Transactions!$A$2:$A$1001,2)*$I599)</f>
        <v/>
      </c>
      <c r="P599" s="291" t="str">
        <f t="shared" si="88"/>
        <v/>
      </c>
      <c r="Q599" s="292" t="str">
        <f t="shared" si="89"/>
        <v/>
      </c>
    </row>
    <row r="600" spans="1:17" ht="15" customHeight="1" x14ac:dyDescent="0.2">
      <c r="A600" s="243" t="str">
        <f>IFERROR(INDEX(Txn[Key],MATCH(0,INDEX(COUNTIF($A$1:A599,Txn[Key])+(Txn[Key]=""),0),0)),"")</f>
        <v/>
      </c>
      <c r="B600" s="243" t="str">
        <f t="shared" si="81"/>
        <v/>
      </c>
      <c r="C600" s="243" t="str">
        <f t="shared" si="82"/>
        <v/>
      </c>
      <c r="D600" s="243" t="str">
        <f t="shared" si="83"/>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4"/>
        <v/>
      </c>
      <c r="K600" s="287" t="str">
        <f t="shared" si="85"/>
        <v/>
      </c>
      <c r="L600" s="287" t="str">
        <f t="shared" si="86"/>
        <v/>
      </c>
      <c r="M600" s="290" t="str">
        <f t="shared" si="87"/>
        <v/>
      </c>
      <c r="N600" s="243" t="str">
        <f>IF($A600="","",IF(ABS(E600)&gt;0.000001,COUNT($N$1:N599)+1,""))</f>
        <v/>
      </c>
      <c r="O600" s="291" t="str">
        <f>IF($A600="","",SUMIFS(Transactions!$H$2:$H$1001,Transactions!$J$2:$J$1001,$A600,Transactions!$A$2:$A$1001,2)*$I600)</f>
        <v/>
      </c>
      <c r="P600" s="291" t="str">
        <f t="shared" si="88"/>
        <v/>
      </c>
      <c r="Q600" s="292" t="str">
        <f t="shared" si="89"/>
        <v/>
      </c>
    </row>
    <row r="601" spans="1:17" ht="15" customHeight="1" x14ac:dyDescent="0.2">
      <c r="A601" s="243" t="str">
        <f>IFERROR(INDEX(Txn[Key],MATCH(0,INDEX(COUNTIF($A$1:A600,Txn[Key])+(Txn[Key]=""),0),0)),"")</f>
        <v/>
      </c>
      <c r="B601" s="243" t="str">
        <f t="shared" si="81"/>
        <v/>
      </c>
      <c r="C601" s="243" t="str">
        <f t="shared" si="82"/>
        <v/>
      </c>
      <c r="D601" s="243" t="str">
        <f t="shared" si="83"/>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4"/>
        <v/>
      </c>
      <c r="K601" s="287" t="str">
        <f t="shared" si="85"/>
        <v/>
      </c>
      <c r="L601" s="287" t="str">
        <f t="shared" si="86"/>
        <v/>
      </c>
      <c r="M601" s="290" t="str">
        <f t="shared" si="87"/>
        <v/>
      </c>
      <c r="N601" s="243" t="str">
        <f>IF($A601="","",IF(ABS(E601)&gt;0.000001,COUNT($N$1:N600)+1,""))</f>
        <v/>
      </c>
      <c r="O601" s="291" t="str">
        <f>IF($A601="","",SUMIFS(Transactions!$H$2:$H$1001,Transactions!$J$2:$J$1001,$A601,Transactions!$A$2:$A$1001,2)*$I601)</f>
        <v/>
      </c>
      <c r="P601" s="291" t="str">
        <f t="shared" si="88"/>
        <v/>
      </c>
      <c r="Q601" s="292" t="str">
        <f t="shared" si="89"/>
        <v/>
      </c>
    </row>
    <row r="602" spans="1:17" ht="15" customHeight="1" x14ac:dyDescent="0.2">
      <c r="A602" s="243" t="str">
        <f>IFERROR(INDEX(Txn[Key],MATCH(0,INDEX(COUNTIF($A$1:A601,Txn[Key])+(Txn[Key]=""),0),0)),"")</f>
        <v/>
      </c>
      <c r="B602" s="243" t="str">
        <f t="shared" si="81"/>
        <v/>
      </c>
      <c r="C602" s="243" t="str">
        <f t="shared" si="82"/>
        <v/>
      </c>
      <c r="D602" s="243" t="str">
        <f t="shared" si="83"/>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4"/>
        <v/>
      </c>
      <c r="K602" s="287" t="str">
        <f t="shared" si="85"/>
        <v/>
      </c>
      <c r="L602" s="287" t="str">
        <f t="shared" si="86"/>
        <v/>
      </c>
      <c r="M602" s="290" t="str">
        <f t="shared" si="87"/>
        <v/>
      </c>
      <c r="N602" s="243" t="str">
        <f>IF($A602="","",IF(ABS(E602)&gt;0.000001,COUNT($N$1:N601)+1,""))</f>
        <v/>
      </c>
      <c r="O602" s="291" t="str">
        <f>IF($A602="","",SUMIFS(Transactions!$H$2:$H$1001,Transactions!$J$2:$J$1001,$A602,Transactions!$A$2:$A$1001,2)*$I602)</f>
        <v/>
      </c>
      <c r="P602" s="291" t="str">
        <f t="shared" si="88"/>
        <v/>
      </c>
      <c r="Q602" s="292" t="str">
        <f t="shared" si="89"/>
        <v/>
      </c>
    </row>
    <row r="603" spans="1:17" ht="15" customHeight="1" x14ac:dyDescent="0.2">
      <c r="A603" s="243" t="str">
        <f>IFERROR(INDEX(Txn[Key],MATCH(0,INDEX(COUNTIF($A$1:A602,Txn[Key])+(Txn[Key]=""),0),0)),"")</f>
        <v/>
      </c>
      <c r="B603" s="243" t="str">
        <f t="shared" si="81"/>
        <v/>
      </c>
      <c r="C603" s="243" t="str">
        <f t="shared" si="82"/>
        <v/>
      </c>
      <c r="D603" s="243" t="str">
        <f t="shared" si="83"/>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4"/>
        <v/>
      </c>
      <c r="K603" s="287" t="str">
        <f t="shared" si="85"/>
        <v/>
      </c>
      <c r="L603" s="287" t="str">
        <f t="shared" si="86"/>
        <v/>
      </c>
      <c r="M603" s="290" t="str">
        <f t="shared" si="87"/>
        <v/>
      </c>
      <c r="N603" s="243" t="str">
        <f>IF($A603="","",IF(ABS(E603)&gt;0.000001,COUNT($N$1:N602)+1,""))</f>
        <v/>
      </c>
      <c r="O603" s="291" t="str">
        <f>IF($A603="","",SUMIFS(Transactions!$H$2:$H$1001,Transactions!$J$2:$J$1001,$A603,Transactions!$A$2:$A$1001,2)*$I603)</f>
        <v/>
      </c>
      <c r="P603" s="291" t="str">
        <f t="shared" si="88"/>
        <v/>
      </c>
      <c r="Q603" s="292" t="str">
        <f t="shared" si="89"/>
        <v/>
      </c>
    </row>
    <row r="604" spans="1:17" ht="15" customHeight="1" x14ac:dyDescent="0.2">
      <c r="A604" s="243" t="str">
        <f>IFERROR(INDEX(Txn[Key],MATCH(0,INDEX(COUNTIF($A$1:A603,Txn[Key])+(Txn[Key]=""),0),0)),"")</f>
        <v/>
      </c>
      <c r="B604" s="243" t="str">
        <f t="shared" si="81"/>
        <v/>
      </c>
      <c r="C604" s="243" t="str">
        <f t="shared" si="82"/>
        <v/>
      </c>
      <c r="D604" s="243" t="str">
        <f t="shared" si="83"/>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4"/>
        <v/>
      </c>
      <c r="K604" s="287" t="str">
        <f t="shared" si="85"/>
        <v/>
      </c>
      <c r="L604" s="287" t="str">
        <f t="shared" si="86"/>
        <v/>
      </c>
      <c r="M604" s="290" t="str">
        <f t="shared" si="87"/>
        <v/>
      </c>
      <c r="N604" s="243" t="str">
        <f>IF($A604="","",IF(ABS(E604)&gt;0.000001,COUNT($N$1:N603)+1,""))</f>
        <v/>
      </c>
      <c r="O604" s="291" t="str">
        <f>IF($A604="","",SUMIFS(Transactions!$H$2:$H$1001,Transactions!$J$2:$J$1001,$A604,Transactions!$A$2:$A$1001,2)*$I604)</f>
        <v/>
      </c>
      <c r="P604" s="291" t="str">
        <f t="shared" si="88"/>
        <v/>
      </c>
      <c r="Q604" s="292" t="str">
        <f t="shared" si="89"/>
        <v/>
      </c>
    </row>
    <row r="605" spans="1:17" ht="15" customHeight="1" x14ac:dyDescent="0.2">
      <c r="A605" s="243" t="str">
        <f>IFERROR(INDEX(Txn[Key],MATCH(0,INDEX(COUNTIF($A$1:A604,Txn[Key])+(Txn[Key]=""),0),0)),"")</f>
        <v/>
      </c>
      <c r="B605" s="243" t="str">
        <f t="shared" si="81"/>
        <v/>
      </c>
      <c r="C605" s="243" t="str">
        <f t="shared" si="82"/>
        <v/>
      </c>
      <c r="D605" s="243" t="str">
        <f t="shared" si="83"/>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4"/>
        <v/>
      </c>
      <c r="K605" s="287" t="str">
        <f t="shared" si="85"/>
        <v/>
      </c>
      <c r="L605" s="287" t="str">
        <f t="shared" si="86"/>
        <v/>
      </c>
      <c r="M605" s="290" t="str">
        <f t="shared" si="87"/>
        <v/>
      </c>
      <c r="N605" s="243" t="str">
        <f>IF($A605="","",IF(ABS(E605)&gt;0.000001,COUNT($N$1:N604)+1,""))</f>
        <v/>
      </c>
      <c r="O605" s="291" t="str">
        <f>IF($A605="","",SUMIFS(Transactions!$H$2:$H$1001,Transactions!$J$2:$J$1001,$A605,Transactions!$A$2:$A$1001,2)*$I605)</f>
        <v/>
      </c>
      <c r="P605" s="291" t="str">
        <f t="shared" si="88"/>
        <v/>
      </c>
      <c r="Q605" s="292" t="str">
        <f t="shared" si="89"/>
        <v/>
      </c>
    </row>
    <row r="606" spans="1:17" ht="15" customHeight="1" x14ac:dyDescent="0.2">
      <c r="A606" s="243" t="str">
        <f>IFERROR(INDEX(Txn[Key],MATCH(0,INDEX(COUNTIF($A$1:A605,Txn[Key])+(Txn[Key]=""),0),0)),"")</f>
        <v/>
      </c>
      <c r="B606" s="243" t="str">
        <f t="shared" si="81"/>
        <v/>
      </c>
      <c r="C606" s="243" t="str">
        <f t="shared" si="82"/>
        <v/>
      </c>
      <c r="D606" s="243" t="str">
        <f t="shared" si="83"/>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4"/>
        <v/>
      </c>
      <c r="K606" s="287" t="str">
        <f t="shared" si="85"/>
        <v/>
      </c>
      <c r="L606" s="287" t="str">
        <f t="shared" si="86"/>
        <v/>
      </c>
      <c r="M606" s="290" t="str">
        <f t="shared" si="87"/>
        <v/>
      </c>
      <c r="N606" s="243" t="str">
        <f>IF($A606="","",IF(ABS(E606)&gt;0.000001,COUNT($N$1:N605)+1,""))</f>
        <v/>
      </c>
      <c r="O606" s="291" t="str">
        <f>IF($A606="","",SUMIFS(Transactions!$H$2:$H$1001,Transactions!$J$2:$J$1001,$A606,Transactions!$A$2:$A$1001,2)*$I606)</f>
        <v/>
      </c>
      <c r="P606" s="291" t="str">
        <f t="shared" si="88"/>
        <v/>
      </c>
      <c r="Q606" s="292" t="str">
        <f t="shared" si="89"/>
        <v/>
      </c>
    </row>
    <row r="607" spans="1:17" ht="15" customHeight="1" x14ac:dyDescent="0.2">
      <c r="A607" s="243" t="str">
        <f>IFERROR(INDEX(Txn[Key],MATCH(0,INDEX(COUNTIF($A$1:A606,Txn[Key])+(Txn[Key]=""),0),0)),"")</f>
        <v/>
      </c>
      <c r="B607" s="243" t="str">
        <f t="shared" si="81"/>
        <v/>
      </c>
      <c r="C607" s="243" t="str">
        <f t="shared" si="82"/>
        <v/>
      </c>
      <c r="D607" s="243" t="str">
        <f t="shared" si="83"/>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4"/>
        <v/>
      </c>
      <c r="K607" s="287" t="str">
        <f t="shared" si="85"/>
        <v/>
      </c>
      <c r="L607" s="287" t="str">
        <f t="shared" si="86"/>
        <v/>
      </c>
      <c r="M607" s="290" t="str">
        <f t="shared" si="87"/>
        <v/>
      </c>
      <c r="N607" s="243" t="str">
        <f>IF($A607="","",IF(ABS(E607)&gt;0.000001,COUNT($N$1:N606)+1,""))</f>
        <v/>
      </c>
      <c r="O607" s="291" t="str">
        <f>IF($A607="","",SUMIFS(Transactions!$H$2:$H$1001,Transactions!$J$2:$J$1001,$A607,Transactions!$A$2:$A$1001,2)*$I607)</f>
        <v/>
      </c>
      <c r="P607" s="291" t="str">
        <f t="shared" si="88"/>
        <v/>
      </c>
      <c r="Q607" s="292" t="str">
        <f t="shared" si="89"/>
        <v/>
      </c>
    </row>
    <row r="608" spans="1:17" ht="15" customHeight="1" x14ac:dyDescent="0.2">
      <c r="A608" s="243" t="str">
        <f>IFERROR(INDEX(Txn[Key],MATCH(0,INDEX(COUNTIF($A$1:A607,Txn[Key])+(Txn[Key]=""),0),0)),"")</f>
        <v/>
      </c>
      <c r="B608" s="243" t="str">
        <f t="shared" si="81"/>
        <v/>
      </c>
      <c r="C608" s="243" t="str">
        <f t="shared" si="82"/>
        <v/>
      </c>
      <c r="D608" s="243" t="str">
        <f t="shared" si="83"/>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4"/>
        <v/>
      </c>
      <c r="K608" s="287" t="str">
        <f t="shared" si="85"/>
        <v/>
      </c>
      <c r="L608" s="287" t="str">
        <f t="shared" si="86"/>
        <v/>
      </c>
      <c r="M608" s="290" t="str">
        <f t="shared" si="87"/>
        <v/>
      </c>
      <c r="N608" s="243" t="str">
        <f>IF($A608="","",IF(ABS(E608)&gt;0.000001,COUNT($N$1:N607)+1,""))</f>
        <v/>
      </c>
      <c r="O608" s="291" t="str">
        <f>IF($A608="","",SUMIFS(Transactions!$H$2:$H$1001,Transactions!$J$2:$J$1001,$A608,Transactions!$A$2:$A$1001,2)*$I608)</f>
        <v/>
      </c>
      <c r="P608" s="291" t="str">
        <f t="shared" si="88"/>
        <v/>
      </c>
      <c r="Q608" s="292" t="str">
        <f t="shared" si="89"/>
        <v/>
      </c>
    </row>
    <row r="609" spans="1:17" ht="15" customHeight="1" x14ac:dyDescent="0.2">
      <c r="A609" s="243" t="str">
        <f>IFERROR(INDEX(Txn[Key],MATCH(0,INDEX(COUNTIF($A$1:A608,Txn[Key])+(Txn[Key]=""),0),0)),"")</f>
        <v/>
      </c>
      <c r="B609" s="243" t="str">
        <f t="shared" si="81"/>
        <v/>
      </c>
      <c r="C609" s="243" t="str">
        <f t="shared" si="82"/>
        <v/>
      </c>
      <c r="D609" s="243" t="str">
        <f t="shared" si="83"/>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4"/>
        <v/>
      </c>
      <c r="K609" s="287" t="str">
        <f t="shared" si="85"/>
        <v/>
      </c>
      <c r="L609" s="287" t="str">
        <f t="shared" si="86"/>
        <v/>
      </c>
      <c r="M609" s="290" t="str">
        <f t="shared" si="87"/>
        <v/>
      </c>
      <c r="N609" s="243" t="str">
        <f>IF($A609="","",IF(ABS(E609)&gt;0.000001,COUNT($N$1:N608)+1,""))</f>
        <v/>
      </c>
      <c r="O609" s="291" t="str">
        <f>IF($A609="","",SUMIFS(Transactions!$H$2:$H$1001,Transactions!$J$2:$J$1001,$A609,Transactions!$A$2:$A$1001,2)*$I609)</f>
        <v/>
      </c>
      <c r="P609" s="291" t="str">
        <f t="shared" si="88"/>
        <v/>
      </c>
      <c r="Q609" s="292" t="str">
        <f t="shared" si="89"/>
        <v/>
      </c>
    </row>
    <row r="610" spans="1:17" ht="15" customHeight="1" x14ac:dyDescent="0.2">
      <c r="A610" s="243" t="str">
        <f>IFERROR(INDEX(Txn[Key],MATCH(0,INDEX(COUNTIF($A$1:A609,Txn[Key])+(Txn[Key]=""),0),0)),"")</f>
        <v/>
      </c>
      <c r="B610" s="243" t="str">
        <f t="shared" si="81"/>
        <v/>
      </c>
      <c r="C610" s="243" t="str">
        <f t="shared" si="82"/>
        <v/>
      </c>
      <c r="D610" s="243" t="str">
        <f t="shared" si="83"/>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4"/>
        <v/>
      </c>
      <c r="K610" s="287" t="str">
        <f t="shared" si="85"/>
        <v/>
      </c>
      <c r="L610" s="287" t="str">
        <f t="shared" si="86"/>
        <v/>
      </c>
      <c r="M610" s="290" t="str">
        <f t="shared" si="87"/>
        <v/>
      </c>
      <c r="N610" s="243" t="str">
        <f>IF($A610="","",IF(ABS(E610)&gt;0.000001,COUNT($N$1:N609)+1,""))</f>
        <v/>
      </c>
      <c r="O610" s="291" t="str">
        <f>IF($A610="","",SUMIFS(Transactions!$H$2:$H$1001,Transactions!$J$2:$J$1001,$A610,Transactions!$A$2:$A$1001,2)*$I610)</f>
        <v/>
      </c>
      <c r="P610" s="291" t="str">
        <f t="shared" si="88"/>
        <v/>
      </c>
      <c r="Q610" s="292" t="str">
        <f t="shared" si="89"/>
        <v/>
      </c>
    </row>
    <row r="611" spans="1:17" ht="15" customHeight="1" x14ac:dyDescent="0.2">
      <c r="A611" s="243" t="str">
        <f>IFERROR(INDEX(Txn[Key],MATCH(0,INDEX(COUNTIF($A$1:A610,Txn[Key])+(Txn[Key]=""),0),0)),"")</f>
        <v/>
      </c>
      <c r="B611" s="243" t="str">
        <f t="shared" si="81"/>
        <v/>
      </c>
      <c r="C611" s="243" t="str">
        <f t="shared" si="82"/>
        <v/>
      </c>
      <c r="D611" s="243" t="str">
        <f t="shared" si="83"/>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4"/>
        <v/>
      </c>
      <c r="K611" s="287" t="str">
        <f t="shared" si="85"/>
        <v/>
      </c>
      <c r="L611" s="287" t="str">
        <f t="shared" si="86"/>
        <v/>
      </c>
      <c r="M611" s="290" t="str">
        <f t="shared" si="87"/>
        <v/>
      </c>
      <c r="N611" s="243" t="str">
        <f>IF($A611="","",IF(ABS(E611)&gt;0.000001,COUNT($N$1:N610)+1,""))</f>
        <v/>
      </c>
      <c r="O611" s="291" t="str">
        <f>IF($A611="","",SUMIFS(Transactions!$H$2:$H$1001,Transactions!$J$2:$J$1001,$A611,Transactions!$A$2:$A$1001,2)*$I611)</f>
        <v/>
      </c>
      <c r="P611" s="291" t="str">
        <f t="shared" si="88"/>
        <v/>
      </c>
      <c r="Q611" s="292" t="str">
        <f t="shared" si="89"/>
        <v/>
      </c>
    </row>
    <row r="612" spans="1:17" ht="15" customHeight="1" x14ac:dyDescent="0.2">
      <c r="A612" s="243" t="str">
        <f>IFERROR(INDEX(Txn[Key],MATCH(0,INDEX(COUNTIF($A$1:A611,Txn[Key])+(Txn[Key]=""),0),0)),"")</f>
        <v/>
      </c>
      <c r="B612" s="243" t="str">
        <f t="shared" si="81"/>
        <v/>
      </c>
      <c r="C612" s="243" t="str">
        <f t="shared" si="82"/>
        <v/>
      </c>
      <c r="D612" s="243" t="str">
        <f t="shared" si="83"/>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4"/>
        <v/>
      </c>
      <c r="K612" s="287" t="str">
        <f t="shared" si="85"/>
        <v/>
      </c>
      <c r="L612" s="287" t="str">
        <f t="shared" si="86"/>
        <v/>
      </c>
      <c r="M612" s="290" t="str">
        <f t="shared" si="87"/>
        <v/>
      </c>
      <c r="N612" s="243" t="str">
        <f>IF($A612="","",IF(ABS(E612)&gt;0.000001,COUNT($N$1:N611)+1,""))</f>
        <v/>
      </c>
      <c r="O612" s="291" t="str">
        <f>IF($A612="","",SUMIFS(Transactions!$H$2:$H$1001,Transactions!$J$2:$J$1001,$A612,Transactions!$A$2:$A$1001,2)*$I612)</f>
        <v/>
      </c>
      <c r="P612" s="291" t="str">
        <f t="shared" si="88"/>
        <v/>
      </c>
      <c r="Q612" s="292" t="str">
        <f t="shared" si="89"/>
        <v/>
      </c>
    </row>
    <row r="613" spans="1:17" ht="15" customHeight="1" x14ac:dyDescent="0.2">
      <c r="A613" s="243" t="str">
        <f>IFERROR(INDEX(Txn[Key],MATCH(0,INDEX(COUNTIF($A$1:A612,Txn[Key])+(Txn[Key]=""),0),0)),"")</f>
        <v/>
      </c>
      <c r="B613" s="243" t="str">
        <f t="shared" si="81"/>
        <v/>
      </c>
      <c r="C613" s="243" t="str">
        <f t="shared" si="82"/>
        <v/>
      </c>
      <c r="D613" s="243" t="str">
        <f t="shared" si="83"/>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4"/>
        <v/>
      </c>
      <c r="K613" s="287" t="str">
        <f t="shared" si="85"/>
        <v/>
      </c>
      <c r="L613" s="287" t="str">
        <f t="shared" si="86"/>
        <v/>
      </c>
      <c r="M613" s="290" t="str">
        <f t="shared" si="87"/>
        <v/>
      </c>
      <c r="N613" s="243" t="str">
        <f>IF($A613="","",IF(ABS(E613)&gt;0.000001,COUNT($N$1:N612)+1,""))</f>
        <v/>
      </c>
      <c r="O613" s="291" t="str">
        <f>IF($A613="","",SUMIFS(Transactions!$H$2:$H$1001,Transactions!$J$2:$J$1001,$A613,Transactions!$A$2:$A$1001,2)*$I613)</f>
        <v/>
      </c>
      <c r="P613" s="291" t="str">
        <f t="shared" si="88"/>
        <v/>
      </c>
      <c r="Q613" s="292" t="str">
        <f t="shared" si="89"/>
        <v/>
      </c>
    </row>
    <row r="614" spans="1:17" ht="15" customHeight="1" x14ac:dyDescent="0.2">
      <c r="A614" s="243" t="str">
        <f>IFERROR(INDEX(Txn[Key],MATCH(0,INDEX(COUNTIF($A$1:A613,Txn[Key])+(Txn[Key]=""),0),0)),"")</f>
        <v/>
      </c>
      <c r="B614" s="243" t="str">
        <f t="shared" si="81"/>
        <v/>
      </c>
      <c r="C614" s="243" t="str">
        <f t="shared" si="82"/>
        <v/>
      </c>
      <c r="D614" s="243" t="str">
        <f t="shared" si="83"/>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4"/>
        <v/>
      </c>
      <c r="K614" s="287" t="str">
        <f t="shared" si="85"/>
        <v/>
      </c>
      <c r="L614" s="287" t="str">
        <f t="shared" si="86"/>
        <v/>
      </c>
      <c r="M614" s="290" t="str">
        <f t="shared" si="87"/>
        <v/>
      </c>
      <c r="N614" s="243" t="str">
        <f>IF($A614="","",IF(ABS(E614)&gt;0.000001,COUNT($N$1:N613)+1,""))</f>
        <v/>
      </c>
      <c r="O614" s="291" t="str">
        <f>IF($A614="","",SUMIFS(Transactions!$H$2:$H$1001,Transactions!$J$2:$J$1001,$A614,Transactions!$A$2:$A$1001,2)*$I614)</f>
        <v/>
      </c>
      <c r="P614" s="291" t="str">
        <f t="shared" si="88"/>
        <v/>
      </c>
      <c r="Q614" s="292" t="str">
        <f t="shared" si="89"/>
        <v/>
      </c>
    </row>
    <row r="615" spans="1:17" ht="15" customHeight="1" x14ac:dyDescent="0.2">
      <c r="A615" s="243" t="str">
        <f>IFERROR(INDEX(Txn[Key],MATCH(0,INDEX(COUNTIF($A$1:A614,Txn[Key])+(Txn[Key]=""),0),0)),"")</f>
        <v/>
      </c>
      <c r="B615" s="243" t="str">
        <f t="shared" si="81"/>
        <v/>
      </c>
      <c r="C615" s="243" t="str">
        <f t="shared" si="82"/>
        <v/>
      </c>
      <c r="D615" s="243" t="str">
        <f t="shared" si="83"/>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4"/>
        <v/>
      </c>
      <c r="K615" s="287" t="str">
        <f t="shared" si="85"/>
        <v/>
      </c>
      <c r="L615" s="287" t="str">
        <f t="shared" si="86"/>
        <v/>
      </c>
      <c r="M615" s="290" t="str">
        <f t="shared" si="87"/>
        <v/>
      </c>
      <c r="N615" s="243" t="str">
        <f>IF($A615="","",IF(ABS(E615)&gt;0.000001,COUNT($N$1:N614)+1,""))</f>
        <v/>
      </c>
      <c r="O615" s="291" t="str">
        <f>IF($A615="","",SUMIFS(Transactions!$H$2:$H$1001,Transactions!$J$2:$J$1001,$A615,Transactions!$A$2:$A$1001,2)*$I615)</f>
        <v/>
      </c>
      <c r="P615" s="291" t="str">
        <f t="shared" si="88"/>
        <v/>
      </c>
      <c r="Q615" s="292" t="str">
        <f t="shared" si="89"/>
        <v/>
      </c>
    </row>
    <row r="616" spans="1:17" ht="15" customHeight="1" x14ac:dyDescent="0.2">
      <c r="A616" s="243" t="str">
        <f>IFERROR(INDEX(Txn[Key],MATCH(0,INDEX(COUNTIF($A$1:A615,Txn[Key])+(Txn[Key]=""),0),0)),"")</f>
        <v/>
      </c>
      <c r="B616" s="243" t="str">
        <f t="shared" si="81"/>
        <v/>
      </c>
      <c r="C616" s="243" t="str">
        <f t="shared" si="82"/>
        <v/>
      </c>
      <c r="D616" s="243" t="str">
        <f t="shared" si="83"/>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4"/>
        <v/>
      </c>
      <c r="K616" s="287" t="str">
        <f t="shared" si="85"/>
        <v/>
      </c>
      <c r="L616" s="287" t="str">
        <f t="shared" si="86"/>
        <v/>
      </c>
      <c r="M616" s="290" t="str">
        <f t="shared" si="87"/>
        <v/>
      </c>
      <c r="N616" s="243" t="str">
        <f>IF($A616="","",IF(ABS(E616)&gt;0.000001,COUNT($N$1:N615)+1,""))</f>
        <v/>
      </c>
      <c r="O616" s="291" t="str">
        <f>IF($A616="","",SUMIFS(Transactions!$H$2:$H$1001,Transactions!$J$2:$J$1001,$A616,Transactions!$A$2:$A$1001,2)*$I616)</f>
        <v/>
      </c>
      <c r="P616" s="291" t="str">
        <f t="shared" si="88"/>
        <v/>
      </c>
      <c r="Q616" s="292" t="str">
        <f t="shared" si="89"/>
        <v/>
      </c>
    </row>
    <row r="617" spans="1:17" ht="15" customHeight="1" x14ac:dyDescent="0.2">
      <c r="A617" s="243" t="str">
        <f>IFERROR(INDEX(Txn[Key],MATCH(0,INDEX(COUNTIF($A$1:A616,Txn[Key])+(Txn[Key]=""),0),0)),"")</f>
        <v/>
      </c>
      <c r="B617" s="243" t="str">
        <f t="shared" si="81"/>
        <v/>
      </c>
      <c r="C617" s="243" t="str">
        <f t="shared" si="82"/>
        <v/>
      </c>
      <c r="D617" s="243" t="str">
        <f t="shared" si="83"/>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4"/>
        <v/>
      </c>
      <c r="K617" s="287" t="str">
        <f t="shared" si="85"/>
        <v/>
      </c>
      <c r="L617" s="287" t="str">
        <f t="shared" si="86"/>
        <v/>
      </c>
      <c r="M617" s="290" t="str">
        <f t="shared" si="87"/>
        <v/>
      </c>
      <c r="N617" s="243" t="str">
        <f>IF($A617="","",IF(ABS(E617)&gt;0.000001,COUNT($N$1:N616)+1,""))</f>
        <v/>
      </c>
      <c r="O617" s="291" t="str">
        <f>IF($A617="","",SUMIFS(Transactions!$H$2:$H$1001,Transactions!$J$2:$J$1001,$A617,Transactions!$A$2:$A$1001,2)*$I617)</f>
        <v/>
      </c>
      <c r="P617" s="291" t="str">
        <f t="shared" si="88"/>
        <v/>
      </c>
      <c r="Q617" s="292" t="str">
        <f t="shared" si="89"/>
        <v/>
      </c>
    </row>
    <row r="618" spans="1:17" ht="15" customHeight="1" x14ac:dyDescent="0.2">
      <c r="A618" s="243" t="str">
        <f>IFERROR(INDEX(Txn[Key],MATCH(0,INDEX(COUNTIF($A$1:A617,Txn[Key])+(Txn[Key]=""),0),0)),"")</f>
        <v/>
      </c>
      <c r="B618" s="243" t="str">
        <f t="shared" si="81"/>
        <v/>
      </c>
      <c r="C618" s="243" t="str">
        <f t="shared" si="82"/>
        <v/>
      </c>
      <c r="D618" s="243" t="str">
        <f t="shared" si="83"/>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4"/>
        <v/>
      </c>
      <c r="K618" s="287" t="str">
        <f t="shared" si="85"/>
        <v/>
      </c>
      <c r="L618" s="287" t="str">
        <f t="shared" si="86"/>
        <v/>
      </c>
      <c r="M618" s="290" t="str">
        <f t="shared" si="87"/>
        <v/>
      </c>
      <c r="N618" s="243" t="str">
        <f>IF($A618="","",IF(ABS(E618)&gt;0.000001,COUNT($N$1:N617)+1,""))</f>
        <v/>
      </c>
      <c r="O618" s="291" t="str">
        <f>IF($A618="","",SUMIFS(Transactions!$H$2:$H$1001,Transactions!$J$2:$J$1001,$A618,Transactions!$A$2:$A$1001,2)*$I618)</f>
        <v/>
      </c>
      <c r="P618" s="291" t="str">
        <f t="shared" si="88"/>
        <v/>
      </c>
      <c r="Q618" s="292" t="str">
        <f t="shared" si="89"/>
        <v/>
      </c>
    </row>
    <row r="619" spans="1:17" ht="15" customHeight="1" x14ac:dyDescent="0.2">
      <c r="A619" s="243" t="str">
        <f>IFERROR(INDEX(Txn[Key],MATCH(0,INDEX(COUNTIF($A$1:A618,Txn[Key])+(Txn[Key]=""),0),0)),"")</f>
        <v/>
      </c>
      <c r="B619" s="243" t="str">
        <f t="shared" si="81"/>
        <v/>
      </c>
      <c r="C619" s="243" t="str">
        <f t="shared" si="82"/>
        <v/>
      </c>
      <c r="D619" s="243" t="str">
        <f t="shared" si="83"/>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4"/>
        <v/>
      </c>
      <c r="K619" s="287" t="str">
        <f t="shared" si="85"/>
        <v/>
      </c>
      <c r="L619" s="287" t="str">
        <f t="shared" si="86"/>
        <v/>
      </c>
      <c r="M619" s="290" t="str">
        <f t="shared" si="87"/>
        <v/>
      </c>
      <c r="N619" s="243" t="str">
        <f>IF($A619="","",IF(ABS(E619)&gt;0.000001,COUNT($N$1:N618)+1,""))</f>
        <v/>
      </c>
      <c r="O619" s="291" t="str">
        <f>IF($A619="","",SUMIFS(Transactions!$H$2:$H$1001,Transactions!$J$2:$J$1001,$A619,Transactions!$A$2:$A$1001,2)*$I619)</f>
        <v/>
      </c>
      <c r="P619" s="291" t="str">
        <f t="shared" si="88"/>
        <v/>
      </c>
      <c r="Q619" s="292" t="str">
        <f t="shared" si="89"/>
        <v/>
      </c>
    </row>
    <row r="620" spans="1:17" ht="15" customHeight="1" x14ac:dyDescent="0.2">
      <c r="A620" s="243" t="str">
        <f>IFERROR(INDEX(Txn[Key],MATCH(0,INDEX(COUNTIF($A$1:A619,Txn[Key])+(Txn[Key]=""),0),0)),"")</f>
        <v/>
      </c>
      <c r="B620" s="243" t="str">
        <f t="shared" si="81"/>
        <v/>
      </c>
      <c r="C620" s="243" t="str">
        <f t="shared" si="82"/>
        <v/>
      </c>
      <c r="D620" s="243" t="str">
        <f t="shared" si="83"/>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4"/>
        <v/>
      </c>
      <c r="K620" s="287" t="str">
        <f t="shared" si="85"/>
        <v/>
      </c>
      <c r="L620" s="287" t="str">
        <f t="shared" si="86"/>
        <v/>
      </c>
      <c r="M620" s="290" t="str">
        <f t="shared" si="87"/>
        <v/>
      </c>
      <c r="N620" s="243" t="str">
        <f>IF($A620="","",IF(ABS(E620)&gt;0.000001,COUNT($N$1:N619)+1,""))</f>
        <v/>
      </c>
      <c r="O620" s="291" t="str">
        <f>IF($A620="","",SUMIFS(Transactions!$H$2:$H$1001,Transactions!$J$2:$J$1001,$A620,Transactions!$A$2:$A$1001,2)*$I620)</f>
        <v/>
      </c>
      <c r="P620" s="291" t="str">
        <f t="shared" si="88"/>
        <v/>
      </c>
      <c r="Q620" s="292" t="str">
        <f t="shared" si="89"/>
        <v/>
      </c>
    </row>
    <row r="621" spans="1:17" ht="15" customHeight="1" x14ac:dyDescent="0.2">
      <c r="A621" s="243" t="str">
        <f>IFERROR(INDEX(Txn[Key],MATCH(0,INDEX(COUNTIF($A$1:A620,Txn[Key])+(Txn[Key]=""),0),0)),"")</f>
        <v/>
      </c>
      <c r="B621" s="243" t="str">
        <f t="shared" si="81"/>
        <v/>
      </c>
      <c r="C621" s="243" t="str">
        <f t="shared" si="82"/>
        <v/>
      </c>
      <c r="D621" s="243" t="str">
        <f t="shared" si="83"/>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4"/>
        <v/>
      </c>
      <c r="K621" s="287" t="str">
        <f t="shared" si="85"/>
        <v/>
      </c>
      <c r="L621" s="287" t="str">
        <f t="shared" si="86"/>
        <v/>
      </c>
      <c r="M621" s="290" t="str">
        <f t="shared" si="87"/>
        <v/>
      </c>
      <c r="N621" s="243" t="str">
        <f>IF($A621="","",IF(ABS(E621)&gt;0.000001,COUNT($N$1:N620)+1,""))</f>
        <v/>
      </c>
      <c r="O621" s="291" t="str">
        <f>IF($A621="","",SUMIFS(Transactions!$H$2:$H$1001,Transactions!$J$2:$J$1001,$A621,Transactions!$A$2:$A$1001,2)*$I621)</f>
        <v/>
      </c>
      <c r="P621" s="291" t="str">
        <f t="shared" si="88"/>
        <v/>
      </c>
      <c r="Q621" s="292" t="str">
        <f t="shared" si="89"/>
        <v/>
      </c>
    </row>
    <row r="622" spans="1:17" ht="15" customHeight="1" x14ac:dyDescent="0.2">
      <c r="A622" s="243" t="str">
        <f>IFERROR(INDEX(Txn[Key],MATCH(0,INDEX(COUNTIF($A$1:A621,Txn[Key])+(Txn[Key]=""),0),0)),"")</f>
        <v/>
      </c>
      <c r="B622" s="243" t="str">
        <f t="shared" si="81"/>
        <v/>
      </c>
      <c r="C622" s="243" t="str">
        <f t="shared" si="82"/>
        <v/>
      </c>
      <c r="D622" s="243" t="str">
        <f t="shared" si="83"/>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4"/>
        <v/>
      </c>
      <c r="K622" s="287" t="str">
        <f t="shared" si="85"/>
        <v/>
      </c>
      <c r="L622" s="287" t="str">
        <f t="shared" si="86"/>
        <v/>
      </c>
      <c r="M622" s="290" t="str">
        <f t="shared" si="87"/>
        <v/>
      </c>
      <c r="N622" s="243" t="str">
        <f>IF($A622="","",IF(ABS(E622)&gt;0.000001,COUNT($N$1:N621)+1,""))</f>
        <v/>
      </c>
      <c r="O622" s="291" t="str">
        <f>IF($A622="","",SUMIFS(Transactions!$H$2:$H$1001,Transactions!$J$2:$J$1001,$A622,Transactions!$A$2:$A$1001,2)*$I622)</f>
        <v/>
      </c>
      <c r="P622" s="291" t="str">
        <f t="shared" si="88"/>
        <v/>
      </c>
      <c r="Q622" s="292" t="str">
        <f t="shared" si="89"/>
        <v/>
      </c>
    </row>
    <row r="623" spans="1:17" ht="15" customHeight="1" x14ac:dyDescent="0.2">
      <c r="A623" s="243" t="str">
        <f>IFERROR(INDEX(Txn[Key],MATCH(0,INDEX(COUNTIF($A$1:A622,Txn[Key])+(Txn[Key]=""),0),0)),"")</f>
        <v/>
      </c>
      <c r="B623" s="243" t="str">
        <f t="shared" si="81"/>
        <v/>
      </c>
      <c r="C623" s="243" t="str">
        <f t="shared" si="82"/>
        <v/>
      </c>
      <c r="D623" s="243" t="str">
        <f t="shared" si="83"/>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4"/>
        <v/>
      </c>
      <c r="K623" s="287" t="str">
        <f t="shared" si="85"/>
        <v/>
      </c>
      <c r="L623" s="287" t="str">
        <f t="shared" si="86"/>
        <v/>
      </c>
      <c r="M623" s="290" t="str">
        <f t="shared" si="87"/>
        <v/>
      </c>
      <c r="N623" s="243" t="str">
        <f>IF($A623="","",IF(ABS(E623)&gt;0.000001,COUNT($N$1:N622)+1,""))</f>
        <v/>
      </c>
      <c r="O623" s="291" t="str">
        <f>IF($A623="","",SUMIFS(Transactions!$H$2:$H$1001,Transactions!$J$2:$J$1001,$A623,Transactions!$A$2:$A$1001,2)*$I623)</f>
        <v/>
      </c>
      <c r="P623" s="291" t="str">
        <f t="shared" si="88"/>
        <v/>
      </c>
      <c r="Q623" s="292" t="str">
        <f t="shared" si="89"/>
        <v/>
      </c>
    </row>
    <row r="624" spans="1:17" ht="15" customHeight="1" x14ac:dyDescent="0.2">
      <c r="A624" s="243" t="str">
        <f>IFERROR(INDEX(Txn[Key],MATCH(0,INDEX(COUNTIF($A$1:A623,Txn[Key])+(Txn[Key]=""),0),0)),"")</f>
        <v/>
      </c>
      <c r="B624" s="243" t="str">
        <f t="shared" si="81"/>
        <v/>
      </c>
      <c r="C624" s="243" t="str">
        <f t="shared" si="82"/>
        <v/>
      </c>
      <c r="D624" s="243" t="str">
        <f t="shared" si="83"/>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4"/>
        <v/>
      </c>
      <c r="K624" s="287" t="str">
        <f t="shared" si="85"/>
        <v/>
      </c>
      <c r="L624" s="287" t="str">
        <f t="shared" si="86"/>
        <v/>
      </c>
      <c r="M624" s="290" t="str">
        <f t="shared" si="87"/>
        <v/>
      </c>
      <c r="N624" s="243" t="str">
        <f>IF($A624="","",IF(ABS(E624)&gt;0.000001,COUNT($N$1:N623)+1,""))</f>
        <v/>
      </c>
      <c r="O624" s="291" t="str">
        <f>IF($A624="","",SUMIFS(Transactions!$H$2:$H$1001,Transactions!$J$2:$J$1001,$A624,Transactions!$A$2:$A$1001,2)*$I624)</f>
        <v/>
      </c>
      <c r="P624" s="291" t="str">
        <f t="shared" si="88"/>
        <v/>
      </c>
      <c r="Q624" s="292" t="str">
        <f t="shared" si="89"/>
        <v/>
      </c>
    </row>
    <row r="625" spans="1:17" ht="15" customHeight="1" x14ac:dyDescent="0.2">
      <c r="A625" s="243" t="str">
        <f>IFERROR(INDEX(Txn[Key],MATCH(0,INDEX(COUNTIF($A$1:A624,Txn[Key])+(Txn[Key]=""),0),0)),"")</f>
        <v/>
      </c>
      <c r="B625" s="243" t="str">
        <f t="shared" si="81"/>
        <v/>
      </c>
      <c r="C625" s="243" t="str">
        <f t="shared" si="82"/>
        <v/>
      </c>
      <c r="D625" s="243" t="str">
        <f t="shared" si="83"/>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4"/>
        <v/>
      </c>
      <c r="K625" s="287" t="str">
        <f t="shared" si="85"/>
        <v/>
      </c>
      <c r="L625" s="287" t="str">
        <f t="shared" si="86"/>
        <v/>
      </c>
      <c r="M625" s="290" t="str">
        <f t="shared" si="87"/>
        <v/>
      </c>
      <c r="N625" s="243" t="str">
        <f>IF($A625="","",IF(ABS(E625)&gt;0.000001,COUNT($N$1:N624)+1,""))</f>
        <v/>
      </c>
      <c r="O625" s="291" t="str">
        <f>IF($A625="","",SUMIFS(Transactions!$H$2:$H$1001,Transactions!$J$2:$J$1001,$A625,Transactions!$A$2:$A$1001,2)*$I625)</f>
        <v/>
      </c>
      <c r="P625" s="291" t="str">
        <f t="shared" si="88"/>
        <v/>
      </c>
      <c r="Q625" s="292" t="str">
        <f t="shared" si="89"/>
        <v/>
      </c>
    </row>
    <row r="626" spans="1:17" ht="15" customHeight="1" x14ac:dyDescent="0.2">
      <c r="A626" s="243" t="str">
        <f>IFERROR(INDEX(Txn[Key],MATCH(0,INDEX(COUNTIF($A$1:A625,Txn[Key])+(Txn[Key]=""),0),0)),"")</f>
        <v/>
      </c>
      <c r="B626" s="243" t="str">
        <f t="shared" si="81"/>
        <v/>
      </c>
      <c r="C626" s="243" t="str">
        <f t="shared" si="82"/>
        <v/>
      </c>
      <c r="D626" s="243" t="str">
        <f t="shared" si="83"/>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4"/>
        <v/>
      </c>
      <c r="K626" s="287" t="str">
        <f t="shared" si="85"/>
        <v/>
      </c>
      <c r="L626" s="287" t="str">
        <f t="shared" si="86"/>
        <v/>
      </c>
      <c r="M626" s="290" t="str">
        <f t="shared" si="87"/>
        <v/>
      </c>
      <c r="N626" s="243" t="str">
        <f>IF($A626="","",IF(ABS(E626)&gt;0.000001,COUNT($N$1:N625)+1,""))</f>
        <v/>
      </c>
      <c r="O626" s="291" t="str">
        <f>IF($A626="","",SUMIFS(Transactions!$H$2:$H$1001,Transactions!$J$2:$J$1001,$A626,Transactions!$A$2:$A$1001,2)*$I626)</f>
        <v/>
      </c>
      <c r="P626" s="291" t="str">
        <f t="shared" si="88"/>
        <v/>
      </c>
      <c r="Q626" s="292" t="str">
        <f t="shared" si="89"/>
        <v/>
      </c>
    </row>
    <row r="627" spans="1:17" ht="15" customHeight="1" x14ac:dyDescent="0.2">
      <c r="A627" s="243" t="str">
        <f>IFERROR(INDEX(Txn[Key],MATCH(0,INDEX(COUNTIF($A$1:A626,Txn[Key])+(Txn[Key]=""),0),0)),"")</f>
        <v/>
      </c>
      <c r="B627" s="243" t="str">
        <f t="shared" si="81"/>
        <v/>
      </c>
      <c r="C627" s="243" t="str">
        <f t="shared" si="82"/>
        <v/>
      </c>
      <c r="D627" s="243" t="str">
        <f t="shared" si="83"/>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4"/>
        <v/>
      </c>
      <c r="K627" s="287" t="str">
        <f t="shared" si="85"/>
        <v/>
      </c>
      <c r="L627" s="287" t="str">
        <f t="shared" si="86"/>
        <v/>
      </c>
      <c r="M627" s="290" t="str">
        <f t="shared" si="87"/>
        <v/>
      </c>
      <c r="N627" s="243" t="str">
        <f>IF($A627="","",IF(ABS(E627)&gt;0.000001,COUNT($N$1:N626)+1,""))</f>
        <v/>
      </c>
      <c r="O627" s="291" t="str">
        <f>IF($A627="","",SUMIFS(Transactions!$H$2:$H$1001,Transactions!$J$2:$J$1001,$A627,Transactions!$A$2:$A$1001,2)*$I627)</f>
        <v/>
      </c>
      <c r="P627" s="291" t="str">
        <f t="shared" si="88"/>
        <v/>
      </c>
      <c r="Q627" s="292" t="str">
        <f t="shared" si="89"/>
        <v/>
      </c>
    </row>
    <row r="628" spans="1:17" ht="15" customHeight="1" x14ac:dyDescent="0.2">
      <c r="A628" s="243" t="str">
        <f>IFERROR(INDEX(Txn[Key],MATCH(0,INDEX(COUNTIF($A$1:A627,Txn[Key])+(Txn[Key]=""),0),0)),"")</f>
        <v/>
      </c>
      <c r="B628" s="243" t="str">
        <f t="shared" si="81"/>
        <v/>
      </c>
      <c r="C628" s="243" t="str">
        <f t="shared" si="82"/>
        <v/>
      </c>
      <c r="D628" s="243" t="str">
        <f t="shared" si="83"/>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4"/>
        <v/>
      </c>
      <c r="K628" s="287" t="str">
        <f t="shared" si="85"/>
        <v/>
      </c>
      <c r="L628" s="287" t="str">
        <f t="shared" si="86"/>
        <v/>
      </c>
      <c r="M628" s="290" t="str">
        <f t="shared" si="87"/>
        <v/>
      </c>
      <c r="N628" s="243" t="str">
        <f>IF($A628="","",IF(ABS(E628)&gt;0.000001,COUNT($N$1:N627)+1,""))</f>
        <v/>
      </c>
      <c r="O628" s="291" t="str">
        <f>IF($A628="","",SUMIFS(Transactions!$H$2:$H$1001,Transactions!$J$2:$J$1001,$A628,Transactions!$A$2:$A$1001,2)*$I628)</f>
        <v/>
      </c>
      <c r="P628" s="291" t="str">
        <f t="shared" si="88"/>
        <v/>
      </c>
      <c r="Q628" s="292" t="str">
        <f t="shared" si="89"/>
        <v/>
      </c>
    </row>
    <row r="629" spans="1:17" ht="15" customHeight="1" x14ac:dyDescent="0.2">
      <c r="A629" s="243" t="str">
        <f>IFERROR(INDEX(Txn[Key],MATCH(0,INDEX(COUNTIF($A$1:A628,Txn[Key])+(Txn[Key]=""),0),0)),"")</f>
        <v/>
      </c>
      <c r="B629" s="243" t="str">
        <f t="shared" si="81"/>
        <v/>
      </c>
      <c r="C629" s="243" t="str">
        <f t="shared" si="82"/>
        <v/>
      </c>
      <c r="D629" s="243" t="str">
        <f t="shared" si="83"/>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4"/>
        <v/>
      </c>
      <c r="K629" s="287" t="str">
        <f t="shared" si="85"/>
        <v/>
      </c>
      <c r="L629" s="287" t="str">
        <f t="shared" si="86"/>
        <v/>
      </c>
      <c r="M629" s="290" t="str">
        <f t="shared" si="87"/>
        <v/>
      </c>
      <c r="N629" s="243" t="str">
        <f>IF($A629="","",IF(ABS(E629)&gt;0.000001,COUNT($N$1:N628)+1,""))</f>
        <v/>
      </c>
      <c r="O629" s="291" t="str">
        <f>IF($A629="","",SUMIFS(Transactions!$H$2:$H$1001,Transactions!$J$2:$J$1001,$A629,Transactions!$A$2:$A$1001,2)*$I629)</f>
        <v/>
      </c>
      <c r="P629" s="291" t="str">
        <f t="shared" si="88"/>
        <v/>
      </c>
      <c r="Q629" s="292" t="str">
        <f t="shared" si="89"/>
        <v/>
      </c>
    </row>
    <row r="630" spans="1:17" ht="15" customHeight="1" x14ac:dyDescent="0.2">
      <c r="A630" s="243" t="str">
        <f>IFERROR(INDEX(Txn[Key],MATCH(0,INDEX(COUNTIF($A$1:A629,Txn[Key])+(Txn[Key]=""),0),0)),"")</f>
        <v/>
      </c>
      <c r="B630" s="243" t="str">
        <f t="shared" si="81"/>
        <v/>
      </c>
      <c r="C630" s="243" t="str">
        <f t="shared" si="82"/>
        <v/>
      </c>
      <c r="D630" s="243" t="str">
        <f t="shared" si="83"/>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4"/>
        <v/>
      </c>
      <c r="K630" s="287" t="str">
        <f t="shared" si="85"/>
        <v/>
      </c>
      <c r="L630" s="287" t="str">
        <f t="shared" si="86"/>
        <v/>
      </c>
      <c r="M630" s="290" t="str">
        <f t="shared" si="87"/>
        <v/>
      </c>
      <c r="N630" s="243" t="str">
        <f>IF($A630="","",IF(ABS(E630)&gt;0.000001,COUNT($N$1:N629)+1,""))</f>
        <v/>
      </c>
      <c r="O630" s="291" t="str">
        <f>IF($A630="","",SUMIFS(Transactions!$H$2:$H$1001,Transactions!$J$2:$J$1001,$A630,Transactions!$A$2:$A$1001,2)*$I630)</f>
        <v/>
      </c>
      <c r="P630" s="291" t="str">
        <f t="shared" si="88"/>
        <v/>
      </c>
      <c r="Q630" s="292" t="str">
        <f t="shared" si="89"/>
        <v/>
      </c>
    </row>
    <row r="631" spans="1:17" ht="15" customHeight="1" x14ac:dyDescent="0.2">
      <c r="A631" s="243" t="str">
        <f>IFERROR(INDEX(Txn[Key],MATCH(0,INDEX(COUNTIF($A$1:A630,Txn[Key])+(Txn[Key]=""),0),0)),"")</f>
        <v/>
      </c>
      <c r="B631" s="243" t="str">
        <f t="shared" si="81"/>
        <v/>
      </c>
      <c r="C631" s="243" t="str">
        <f t="shared" si="82"/>
        <v/>
      </c>
      <c r="D631" s="243" t="str">
        <f t="shared" si="83"/>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4"/>
        <v/>
      </c>
      <c r="K631" s="287" t="str">
        <f t="shared" si="85"/>
        <v/>
      </c>
      <c r="L631" s="287" t="str">
        <f t="shared" si="86"/>
        <v/>
      </c>
      <c r="M631" s="290" t="str">
        <f t="shared" si="87"/>
        <v/>
      </c>
      <c r="N631" s="243" t="str">
        <f>IF($A631="","",IF(ABS(E631)&gt;0.000001,COUNT($N$1:N630)+1,""))</f>
        <v/>
      </c>
      <c r="O631" s="291" t="str">
        <f>IF($A631="","",SUMIFS(Transactions!$H$2:$H$1001,Transactions!$J$2:$J$1001,$A631,Transactions!$A$2:$A$1001,2)*$I631)</f>
        <v/>
      </c>
      <c r="P631" s="291" t="str">
        <f t="shared" si="88"/>
        <v/>
      </c>
      <c r="Q631" s="292" t="str">
        <f t="shared" si="89"/>
        <v/>
      </c>
    </row>
    <row r="632" spans="1:17" ht="15" customHeight="1" x14ac:dyDescent="0.2">
      <c r="A632" s="243" t="str">
        <f>IFERROR(INDEX(Txn[Key],MATCH(0,INDEX(COUNTIF($A$1:A631,Txn[Key])+(Txn[Key]=""),0),0)),"")</f>
        <v/>
      </c>
      <c r="B632" s="243" t="str">
        <f t="shared" si="81"/>
        <v/>
      </c>
      <c r="C632" s="243" t="str">
        <f t="shared" si="82"/>
        <v/>
      </c>
      <c r="D632" s="243" t="str">
        <f t="shared" si="83"/>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4"/>
        <v/>
      </c>
      <c r="K632" s="287" t="str">
        <f t="shared" si="85"/>
        <v/>
      </c>
      <c r="L632" s="287" t="str">
        <f t="shared" si="86"/>
        <v/>
      </c>
      <c r="M632" s="290" t="str">
        <f t="shared" si="87"/>
        <v/>
      </c>
      <c r="N632" s="243" t="str">
        <f>IF($A632="","",IF(ABS(E632)&gt;0.000001,COUNT($N$1:N631)+1,""))</f>
        <v/>
      </c>
      <c r="O632" s="291" t="str">
        <f>IF($A632="","",SUMIFS(Transactions!$H$2:$H$1001,Transactions!$J$2:$J$1001,$A632,Transactions!$A$2:$A$1001,2)*$I632)</f>
        <v/>
      </c>
      <c r="P632" s="291" t="str">
        <f t="shared" si="88"/>
        <v/>
      </c>
      <c r="Q632" s="292" t="str">
        <f t="shared" si="89"/>
        <v/>
      </c>
    </row>
    <row r="633" spans="1:17" ht="15" customHeight="1" x14ac:dyDescent="0.2">
      <c r="A633" s="243" t="str">
        <f>IFERROR(INDEX(Txn[Key],MATCH(0,INDEX(COUNTIF($A$1:A632,Txn[Key])+(Txn[Key]=""),0),0)),"")</f>
        <v/>
      </c>
      <c r="B633" s="243" t="str">
        <f t="shared" si="81"/>
        <v/>
      </c>
      <c r="C633" s="243" t="str">
        <f t="shared" si="82"/>
        <v/>
      </c>
      <c r="D633" s="243" t="str">
        <f t="shared" si="83"/>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4"/>
        <v/>
      </c>
      <c r="K633" s="287" t="str">
        <f t="shared" si="85"/>
        <v/>
      </c>
      <c r="L633" s="287" t="str">
        <f t="shared" si="86"/>
        <v/>
      </c>
      <c r="M633" s="290" t="str">
        <f t="shared" si="87"/>
        <v/>
      </c>
      <c r="N633" s="243" t="str">
        <f>IF($A633="","",IF(ABS(E633)&gt;0.000001,COUNT($N$1:N632)+1,""))</f>
        <v/>
      </c>
      <c r="O633" s="291" t="str">
        <f>IF($A633="","",SUMIFS(Transactions!$H$2:$H$1001,Transactions!$J$2:$J$1001,$A633,Transactions!$A$2:$A$1001,2)*$I633)</f>
        <v/>
      </c>
      <c r="P633" s="291" t="str">
        <f t="shared" si="88"/>
        <v/>
      </c>
      <c r="Q633" s="292" t="str">
        <f t="shared" si="89"/>
        <v/>
      </c>
    </row>
    <row r="634" spans="1:17" ht="15" customHeight="1" x14ac:dyDescent="0.2">
      <c r="A634" s="243" t="str">
        <f>IFERROR(INDEX(Txn[Key],MATCH(0,INDEX(COUNTIF($A$1:A633,Txn[Key])+(Txn[Key]=""),0),0)),"")</f>
        <v/>
      </c>
      <c r="B634" s="243" t="str">
        <f t="shared" si="81"/>
        <v/>
      </c>
      <c r="C634" s="243" t="str">
        <f t="shared" si="82"/>
        <v/>
      </c>
      <c r="D634" s="243" t="str">
        <f t="shared" si="83"/>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4"/>
        <v/>
      </c>
      <c r="K634" s="287" t="str">
        <f t="shared" si="85"/>
        <v/>
      </c>
      <c r="L634" s="287" t="str">
        <f t="shared" si="86"/>
        <v/>
      </c>
      <c r="M634" s="290" t="str">
        <f t="shared" si="87"/>
        <v/>
      </c>
      <c r="N634" s="243" t="str">
        <f>IF($A634="","",IF(ABS(E634)&gt;0.000001,COUNT($N$1:N633)+1,""))</f>
        <v/>
      </c>
      <c r="O634" s="291" t="str">
        <f>IF($A634="","",SUMIFS(Transactions!$H$2:$H$1001,Transactions!$J$2:$J$1001,$A634,Transactions!$A$2:$A$1001,2)*$I634)</f>
        <v/>
      </c>
      <c r="P634" s="291" t="str">
        <f t="shared" si="88"/>
        <v/>
      </c>
      <c r="Q634" s="292" t="str">
        <f t="shared" si="89"/>
        <v/>
      </c>
    </row>
    <row r="635" spans="1:17" ht="15" customHeight="1" x14ac:dyDescent="0.2">
      <c r="A635" s="243" t="str">
        <f>IFERROR(INDEX(Txn[Key],MATCH(0,INDEX(COUNTIF($A$1:A634,Txn[Key])+(Txn[Key]=""),0),0)),"")</f>
        <v/>
      </c>
      <c r="B635" s="243" t="str">
        <f t="shared" si="81"/>
        <v/>
      </c>
      <c r="C635" s="243" t="str">
        <f t="shared" si="82"/>
        <v/>
      </c>
      <c r="D635" s="243" t="str">
        <f t="shared" si="83"/>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4"/>
        <v/>
      </c>
      <c r="K635" s="287" t="str">
        <f t="shared" si="85"/>
        <v/>
      </c>
      <c r="L635" s="287" t="str">
        <f t="shared" si="86"/>
        <v/>
      </c>
      <c r="M635" s="290" t="str">
        <f t="shared" si="87"/>
        <v/>
      </c>
      <c r="N635" s="243" t="str">
        <f>IF($A635="","",IF(ABS(E635)&gt;0.000001,COUNT($N$1:N634)+1,""))</f>
        <v/>
      </c>
      <c r="O635" s="291" t="str">
        <f>IF($A635="","",SUMIFS(Transactions!$H$2:$H$1001,Transactions!$J$2:$J$1001,$A635,Transactions!$A$2:$A$1001,2)*$I635)</f>
        <v/>
      </c>
      <c r="P635" s="291" t="str">
        <f t="shared" si="88"/>
        <v/>
      </c>
      <c r="Q635" s="292" t="str">
        <f t="shared" si="89"/>
        <v/>
      </c>
    </row>
    <row r="636" spans="1:17" ht="15" customHeight="1" x14ac:dyDescent="0.2">
      <c r="A636" s="243" t="str">
        <f>IFERROR(INDEX(Txn[Key],MATCH(0,INDEX(COUNTIF($A$1:A635,Txn[Key])+(Txn[Key]=""),0),0)),"")</f>
        <v/>
      </c>
      <c r="B636" s="243" t="str">
        <f t="shared" si="81"/>
        <v/>
      </c>
      <c r="C636" s="243" t="str">
        <f t="shared" si="82"/>
        <v/>
      </c>
      <c r="D636" s="243" t="str">
        <f t="shared" si="83"/>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4"/>
        <v/>
      </c>
      <c r="K636" s="287" t="str">
        <f t="shared" si="85"/>
        <v/>
      </c>
      <c r="L636" s="287" t="str">
        <f t="shared" si="86"/>
        <v/>
      </c>
      <c r="M636" s="290" t="str">
        <f t="shared" si="87"/>
        <v/>
      </c>
      <c r="N636" s="243" t="str">
        <f>IF($A636="","",IF(ABS(E636)&gt;0.000001,COUNT($N$1:N635)+1,""))</f>
        <v/>
      </c>
      <c r="O636" s="291" t="str">
        <f>IF($A636="","",SUMIFS(Transactions!$H$2:$H$1001,Transactions!$J$2:$J$1001,$A636,Transactions!$A$2:$A$1001,2)*$I636)</f>
        <v/>
      </c>
      <c r="P636" s="291" t="str">
        <f t="shared" si="88"/>
        <v/>
      </c>
      <c r="Q636" s="292" t="str">
        <f t="shared" si="89"/>
        <v/>
      </c>
    </row>
    <row r="637" spans="1:17" ht="15" customHeight="1" x14ac:dyDescent="0.2">
      <c r="A637" s="243" t="str">
        <f>IFERROR(INDEX(Txn[Key],MATCH(0,INDEX(COUNTIF($A$1:A636,Txn[Key])+(Txn[Key]=""),0),0)),"")</f>
        <v/>
      </c>
      <c r="B637" s="243" t="str">
        <f t="shared" si="81"/>
        <v/>
      </c>
      <c r="C637" s="243" t="str">
        <f t="shared" si="82"/>
        <v/>
      </c>
      <c r="D637" s="243" t="str">
        <f t="shared" si="83"/>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4"/>
        <v/>
      </c>
      <c r="K637" s="287" t="str">
        <f t="shared" si="85"/>
        <v/>
      </c>
      <c r="L637" s="287" t="str">
        <f t="shared" si="86"/>
        <v/>
      </c>
      <c r="M637" s="290" t="str">
        <f t="shared" si="87"/>
        <v/>
      </c>
      <c r="N637" s="243" t="str">
        <f>IF($A637="","",IF(ABS(E637)&gt;0.000001,COUNT($N$1:N636)+1,""))</f>
        <v/>
      </c>
      <c r="O637" s="291" t="str">
        <f>IF($A637="","",SUMIFS(Transactions!$H$2:$H$1001,Transactions!$J$2:$J$1001,$A637,Transactions!$A$2:$A$1001,2)*$I637)</f>
        <v/>
      </c>
      <c r="P637" s="291" t="str">
        <f t="shared" si="88"/>
        <v/>
      </c>
      <c r="Q637" s="292" t="str">
        <f t="shared" si="89"/>
        <v/>
      </c>
    </row>
    <row r="638" spans="1:17" ht="15" customHeight="1" x14ac:dyDescent="0.2">
      <c r="A638" s="243" t="str">
        <f>IFERROR(INDEX(Txn[Key],MATCH(0,INDEX(COUNTIF($A$1:A637,Txn[Key])+(Txn[Key]=""),0),0)),"")</f>
        <v/>
      </c>
      <c r="B638" s="243" t="str">
        <f t="shared" si="81"/>
        <v/>
      </c>
      <c r="C638" s="243" t="str">
        <f t="shared" si="82"/>
        <v/>
      </c>
      <c r="D638" s="243" t="str">
        <f t="shared" si="83"/>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4"/>
        <v/>
      </c>
      <c r="K638" s="287" t="str">
        <f t="shared" si="85"/>
        <v/>
      </c>
      <c r="L638" s="287" t="str">
        <f t="shared" si="86"/>
        <v/>
      </c>
      <c r="M638" s="290" t="str">
        <f t="shared" si="87"/>
        <v/>
      </c>
      <c r="N638" s="243" t="str">
        <f>IF($A638="","",IF(ABS(E638)&gt;0.000001,COUNT($N$1:N637)+1,""))</f>
        <v/>
      </c>
      <c r="O638" s="291" t="str">
        <f>IF($A638="","",SUMIFS(Transactions!$H$2:$H$1001,Transactions!$J$2:$J$1001,$A638,Transactions!$A$2:$A$1001,2)*$I638)</f>
        <v/>
      </c>
      <c r="P638" s="291" t="str">
        <f t="shared" si="88"/>
        <v/>
      </c>
      <c r="Q638" s="292" t="str">
        <f t="shared" si="89"/>
        <v/>
      </c>
    </row>
    <row r="639" spans="1:17" ht="15" customHeight="1" x14ac:dyDescent="0.2">
      <c r="A639" s="243" t="str">
        <f>IFERROR(INDEX(Txn[Key],MATCH(0,INDEX(COUNTIF($A$1:A638,Txn[Key])+(Txn[Key]=""),0),0)),"")</f>
        <v/>
      </c>
      <c r="B639" s="243" t="str">
        <f t="shared" si="81"/>
        <v/>
      </c>
      <c r="C639" s="243" t="str">
        <f t="shared" si="82"/>
        <v/>
      </c>
      <c r="D639" s="243" t="str">
        <f t="shared" si="83"/>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4"/>
        <v/>
      </c>
      <c r="K639" s="287" t="str">
        <f t="shared" si="85"/>
        <v/>
      </c>
      <c r="L639" s="287" t="str">
        <f t="shared" si="86"/>
        <v/>
      </c>
      <c r="M639" s="290" t="str">
        <f t="shared" si="87"/>
        <v/>
      </c>
      <c r="N639" s="243" t="str">
        <f>IF($A639="","",IF(ABS(E639)&gt;0.000001,COUNT($N$1:N638)+1,""))</f>
        <v/>
      </c>
      <c r="O639" s="291" t="str">
        <f>IF($A639="","",SUMIFS(Transactions!$H$2:$H$1001,Transactions!$J$2:$J$1001,$A639,Transactions!$A$2:$A$1001,2)*$I639)</f>
        <v/>
      </c>
      <c r="P639" s="291" t="str">
        <f t="shared" si="88"/>
        <v/>
      </c>
      <c r="Q639" s="292" t="str">
        <f t="shared" si="89"/>
        <v/>
      </c>
    </row>
    <row r="640" spans="1:17" ht="15" customHeight="1" x14ac:dyDescent="0.2">
      <c r="A640" s="243" t="str">
        <f>IFERROR(INDEX(Txn[Key],MATCH(0,INDEX(COUNTIF($A$1:A639,Txn[Key])+(Txn[Key]=""),0),0)),"")</f>
        <v/>
      </c>
      <c r="B640" s="243" t="str">
        <f t="shared" si="81"/>
        <v/>
      </c>
      <c r="C640" s="243" t="str">
        <f t="shared" si="82"/>
        <v/>
      </c>
      <c r="D640" s="243" t="str">
        <f t="shared" si="83"/>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4"/>
        <v/>
      </c>
      <c r="K640" s="287" t="str">
        <f t="shared" si="85"/>
        <v/>
      </c>
      <c r="L640" s="287" t="str">
        <f t="shared" si="86"/>
        <v/>
      </c>
      <c r="M640" s="290" t="str">
        <f t="shared" si="87"/>
        <v/>
      </c>
      <c r="N640" s="243" t="str">
        <f>IF($A640="","",IF(ABS(E640)&gt;0.000001,COUNT($N$1:N639)+1,""))</f>
        <v/>
      </c>
      <c r="O640" s="291" t="str">
        <f>IF($A640="","",SUMIFS(Transactions!$H$2:$H$1001,Transactions!$J$2:$J$1001,$A640,Transactions!$A$2:$A$1001,2)*$I640)</f>
        <v/>
      </c>
      <c r="P640" s="291" t="str">
        <f t="shared" si="88"/>
        <v/>
      </c>
      <c r="Q640" s="292" t="str">
        <f t="shared" si="89"/>
        <v/>
      </c>
    </row>
    <row r="641" spans="1:17" ht="15" customHeight="1" x14ac:dyDescent="0.2">
      <c r="A641" s="243" t="str">
        <f>IFERROR(INDEX(Txn[Key],MATCH(0,INDEX(COUNTIF($A$1:A640,Txn[Key])+(Txn[Key]=""),0),0)),"")</f>
        <v/>
      </c>
      <c r="B641" s="243" t="str">
        <f t="shared" si="81"/>
        <v/>
      </c>
      <c r="C641" s="243" t="str">
        <f t="shared" si="82"/>
        <v/>
      </c>
      <c r="D641" s="243" t="str">
        <f t="shared" si="83"/>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4"/>
        <v/>
      </c>
      <c r="K641" s="287" t="str">
        <f t="shared" si="85"/>
        <v/>
      </c>
      <c r="L641" s="287" t="str">
        <f t="shared" si="86"/>
        <v/>
      </c>
      <c r="M641" s="290" t="str">
        <f t="shared" si="87"/>
        <v/>
      </c>
      <c r="N641" s="243" t="str">
        <f>IF($A641="","",IF(ABS(E641)&gt;0.000001,COUNT($N$1:N640)+1,""))</f>
        <v/>
      </c>
      <c r="O641" s="291" t="str">
        <f>IF($A641="","",SUMIFS(Transactions!$H$2:$H$1001,Transactions!$J$2:$J$1001,$A641,Transactions!$A$2:$A$1001,2)*$I641)</f>
        <v/>
      </c>
      <c r="P641" s="291" t="str">
        <f t="shared" si="88"/>
        <v/>
      </c>
      <c r="Q641" s="292" t="str">
        <f t="shared" si="89"/>
        <v/>
      </c>
    </row>
    <row r="642" spans="1:17" ht="15" customHeight="1" x14ac:dyDescent="0.2">
      <c r="A642" s="243" t="str">
        <f>IFERROR(INDEX(Txn[Key],MATCH(0,INDEX(COUNTIF($A$1:A641,Txn[Key])+(Txn[Key]=""),0),0)),"")</f>
        <v/>
      </c>
      <c r="B642" s="243" t="str">
        <f t="shared" ref="B642:B705" si="90">IF($A642="","",LEFT($A642,FIND(":",$A642)-1))</f>
        <v/>
      </c>
      <c r="C642" s="243" t="str">
        <f t="shared" ref="C642:C705" si="91">IF($A642="","",MID($A642,FIND(":",$A642)+1,FIND(":",$A642,FIND(":",$A642)+1)-FIND(":",$A642)-1))</f>
        <v/>
      </c>
      <c r="D642" s="243" t="str">
        <f t="shared" ref="D642:D705" si="92">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3">IF($A642="","",E642*H642)</f>
        <v/>
      </c>
      <c r="K642" s="287" t="str">
        <f t="shared" ref="K642:K705" si="94">IF($A642="","",J642+G642-F642)</f>
        <v/>
      </c>
      <c r="L642" s="287" t="str">
        <f t="shared" ref="L642:L705" si="95">IF($A642="","",K642*I642)</f>
        <v/>
      </c>
      <c r="M642" s="290" t="str">
        <f t="shared" ref="M642:M705" si="96">IF($A642="","",IFERROR(K642/F642,0))</f>
        <v/>
      </c>
      <c r="N642" s="243" t="str">
        <f>IF($A642="","",IF(ABS(E642)&gt;0.000001,COUNT($N$1:N641)+1,""))</f>
        <v/>
      </c>
      <c r="O642" s="291" t="str">
        <f>IF($A642="","",SUMIFS(Transactions!$H$2:$H$1001,Transactions!$J$2:$J$1001,$A642,Transactions!$A$2:$A$1001,2)*$I642)</f>
        <v/>
      </c>
      <c r="P642" s="291" t="str">
        <f t="shared" ref="P642:P705" si="97">IF($A642="","",$L642+$O642)</f>
        <v/>
      </c>
      <c r="Q642" s="292" t="str">
        <f t="shared" ref="Q642:Q705" si="98">IF($A642="","",IFERROR(($L642+$O642)/($F642*$I642),0))</f>
        <v/>
      </c>
    </row>
    <row r="643" spans="1:17" ht="15" customHeight="1" x14ac:dyDescent="0.2">
      <c r="A643" s="243" t="str">
        <f>IFERROR(INDEX(Txn[Key],MATCH(0,INDEX(COUNTIF($A$1:A642,Txn[Key])+(Txn[Key]=""),0),0)),"")</f>
        <v/>
      </c>
      <c r="B643" s="243" t="str">
        <f t="shared" si="90"/>
        <v/>
      </c>
      <c r="C643" s="243" t="str">
        <f t="shared" si="91"/>
        <v/>
      </c>
      <c r="D643" s="243" t="str">
        <f t="shared" si="92"/>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3"/>
        <v/>
      </c>
      <c r="K643" s="287" t="str">
        <f t="shared" si="94"/>
        <v/>
      </c>
      <c r="L643" s="287" t="str">
        <f t="shared" si="95"/>
        <v/>
      </c>
      <c r="M643" s="290" t="str">
        <f t="shared" si="96"/>
        <v/>
      </c>
      <c r="N643" s="243" t="str">
        <f>IF($A643="","",IF(ABS(E643)&gt;0.000001,COUNT($N$1:N642)+1,""))</f>
        <v/>
      </c>
      <c r="O643" s="291" t="str">
        <f>IF($A643="","",SUMIFS(Transactions!$H$2:$H$1001,Transactions!$J$2:$J$1001,$A643,Transactions!$A$2:$A$1001,2)*$I643)</f>
        <v/>
      </c>
      <c r="P643" s="291" t="str">
        <f t="shared" si="97"/>
        <v/>
      </c>
      <c r="Q643" s="292" t="str">
        <f t="shared" si="98"/>
        <v/>
      </c>
    </row>
    <row r="644" spans="1:17" ht="15" customHeight="1" x14ac:dyDescent="0.2">
      <c r="A644" s="243" t="str">
        <f>IFERROR(INDEX(Txn[Key],MATCH(0,INDEX(COUNTIF($A$1:A643,Txn[Key])+(Txn[Key]=""),0),0)),"")</f>
        <v/>
      </c>
      <c r="B644" s="243" t="str">
        <f t="shared" si="90"/>
        <v/>
      </c>
      <c r="C644" s="243" t="str">
        <f t="shared" si="91"/>
        <v/>
      </c>
      <c r="D644" s="243" t="str">
        <f t="shared" si="92"/>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3"/>
        <v/>
      </c>
      <c r="K644" s="287" t="str">
        <f t="shared" si="94"/>
        <v/>
      </c>
      <c r="L644" s="287" t="str">
        <f t="shared" si="95"/>
        <v/>
      </c>
      <c r="M644" s="290" t="str">
        <f t="shared" si="96"/>
        <v/>
      </c>
      <c r="N644" s="243" t="str">
        <f>IF($A644="","",IF(ABS(E644)&gt;0.000001,COUNT($N$1:N643)+1,""))</f>
        <v/>
      </c>
      <c r="O644" s="291" t="str">
        <f>IF($A644="","",SUMIFS(Transactions!$H$2:$H$1001,Transactions!$J$2:$J$1001,$A644,Transactions!$A$2:$A$1001,2)*$I644)</f>
        <v/>
      </c>
      <c r="P644" s="291" t="str">
        <f t="shared" si="97"/>
        <v/>
      </c>
      <c r="Q644" s="292" t="str">
        <f t="shared" si="98"/>
        <v/>
      </c>
    </row>
    <row r="645" spans="1:17" ht="15" customHeight="1" x14ac:dyDescent="0.2">
      <c r="A645" s="243" t="str">
        <f>IFERROR(INDEX(Txn[Key],MATCH(0,INDEX(COUNTIF($A$1:A644,Txn[Key])+(Txn[Key]=""),0),0)),"")</f>
        <v/>
      </c>
      <c r="B645" s="243" t="str">
        <f t="shared" si="90"/>
        <v/>
      </c>
      <c r="C645" s="243" t="str">
        <f t="shared" si="91"/>
        <v/>
      </c>
      <c r="D645" s="243" t="str">
        <f t="shared" si="92"/>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3"/>
        <v/>
      </c>
      <c r="K645" s="287" t="str">
        <f t="shared" si="94"/>
        <v/>
      </c>
      <c r="L645" s="287" t="str">
        <f t="shared" si="95"/>
        <v/>
      </c>
      <c r="M645" s="290" t="str">
        <f t="shared" si="96"/>
        <v/>
      </c>
      <c r="N645" s="243" t="str">
        <f>IF($A645="","",IF(ABS(E645)&gt;0.000001,COUNT($N$1:N644)+1,""))</f>
        <v/>
      </c>
      <c r="O645" s="291" t="str">
        <f>IF($A645="","",SUMIFS(Transactions!$H$2:$H$1001,Transactions!$J$2:$J$1001,$A645,Transactions!$A$2:$A$1001,2)*$I645)</f>
        <v/>
      </c>
      <c r="P645" s="291" t="str">
        <f t="shared" si="97"/>
        <v/>
      </c>
      <c r="Q645" s="292" t="str">
        <f t="shared" si="98"/>
        <v/>
      </c>
    </row>
    <row r="646" spans="1:17" ht="15" customHeight="1" x14ac:dyDescent="0.2">
      <c r="A646" s="243" t="str">
        <f>IFERROR(INDEX(Txn[Key],MATCH(0,INDEX(COUNTIF($A$1:A645,Txn[Key])+(Txn[Key]=""),0),0)),"")</f>
        <v/>
      </c>
      <c r="B646" s="243" t="str">
        <f t="shared" si="90"/>
        <v/>
      </c>
      <c r="C646" s="243" t="str">
        <f t="shared" si="91"/>
        <v/>
      </c>
      <c r="D646" s="243" t="str">
        <f t="shared" si="92"/>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3"/>
        <v/>
      </c>
      <c r="K646" s="287" t="str">
        <f t="shared" si="94"/>
        <v/>
      </c>
      <c r="L646" s="287" t="str">
        <f t="shared" si="95"/>
        <v/>
      </c>
      <c r="M646" s="290" t="str">
        <f t="shared" si="96"/>
        <v/>
      </c>
      <c r="N646" s="243" t="str">
        <f>IF($A646="","",IF(ABS(E646)&gt;0.000001,COUNT($N$1:N645)+1,""))</f>
        <v/>
      </c>
      <c r="O646" s="291" t="str">
        <f>IF($A646="","",SUMIFS(Transactions!$H$2:$H$1001,Transactions!$J$2:$J$1001,$A646,Transactions!$A$2:$A$1001,2)*$I646)</f>
        <v/>
      </c>
      <c r="P646" s="291" t="str">
        <f t="shared" si="97"/>
        <v/>
      </c>
      <c r="Q646" s="292" t="str">
        <f t="shared" si="98"/>
        <v/>
      </c>
    </row>
    <row r="647" spans="1:17" ht="15" customHeight="1" x14ac:dyDescent="0.2">
      <c r="A647" s="243" t="str">
        <f>IFERROR(INDEX(Txn[Key],MATCH(0,INDEX(COUNTIF($A$1:A646,Txn[Key])+(Txn[Key]=""),0),0)),"")</f>
        <v/>
      </c>
      <c r="B647" s="243" t="str">
        <f t="shared" si="90"/>
        <v/>
      </c>
      <c r="C647" s="243" t="str">
        <f t="shared" si="91"/>
        <v/>
      </c>
      <c r="D647" s="243" t="str">
        <f t="shared" si="92"/>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3"/>
        <v/>
      </c>
      <c r="K647" s="287" t="str">
        <f t="shared" si="94"/>
        <v/>
      </c>
      <c r="L647" s="287" t="str">
        <f t="shared" si="95"/>
        <v/>
      </c>
      <c r="M647" s="290" t="str">
        <f t="shared" si="96"/>
        <v/>
      </c>
      <c r="N647" s="243" t="str">
        <f>IF($A647="","",IF(ABS(E647)&gt;0.000001,COUNT($N$1:N646)+1,""))</f>
        <v/>
      </c>
      <c r="O647" s="291" t="str">
        <f>IF($A647="","",SUMIFS(Transactions!$H$2:$H$1001,Transactions!$J$2:$J$1001,$A647,Transactions!$A$2:$A$1001,2)*$I647)</f>
        <v/>
      </c>
      <c r="P647" s="291" t="str">
        <f t="shared" si="97"/>
        <v/>
      </c>
      <c r="Q647" s="292" t="str">
        <f t="shared" si="98"/>
        <v/>
      </c>
    </row>
    <row r="648" spans="1:17" ht="15" customHeight="1" x14ac:dyDescent="0.2">
      <c r="A648" s="243" t="str">
        <f>IFERROR(INDEX(Txn[Key],MATCH(0,INDEX(COUNTIF($A$1:A647,Txn[Key])+(Txn[Key]=""),0),0)),"")</f>
        <v/>
      </c>
      <c r="B648" s="243" t="str">
        <f t="shared" si="90"/>
        <v/>
      </c>
      <c r="C648" s="243" t="str">
        <f t="shared" si="91"/>
        <v/>
      </c>
      <c r="D648" s="243" t="str">
        <f t="shared" si="92"/>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3"/>
        <v/>
      </c>
      <c r="K648" s="287" t="str">
        <f t="shared" si="94"/>
        <v/>
      </c>
      <c r="L648" s="287" t="str">
        <f t="shared" si="95"/>
        <v/>
      </c>
      <c r="M648" s="290" t="str">
        <f t="shared" si="96"/>
        <v/>
      </c>
      <c r="N648" s="243" t="str">
        <f>IF($A648="","",IF(ABS(E648)&gt;0.000001,COUNT($N$1:N647)+1,""))</f>
        <v/>
      </c>
      <c r="O648" s="291" t="str">
        <f>IF($A648="","",SUMIFS(Transactions!$H$2:$H$1001,Transactions!$J$2:$J$1001,$A648,Transactions!$A$2:$A$1001,2)*$I648)</f>
        <v/>
      </c>
      <c r="P648" s="291" t="str">
        <f t="shared" si="97"/>
        <v/>
      </c>
      <c r="Q648" s="292" t="str">
        <f t="shared" si="98"/>
        <v/>
      </c>
    </row>
    <row r="649" spans="1:17" ht="15" customHeight="1" x14ac:dyDescent="0.2">
      <c r="A649" s="243" t="str">
        <f>IFERROR(INDEX(Txn[Key],MATCH(0,INDEX(COUNTIF($A$1:A648,Txn[Key])+(Txn[Key]=""),0),0)),"")</f>
        <v/>
      </c>
      <c r="B649" s="243" t="str">
        <f t="shared" si="90"/>
        <v/>
      </c>
      <c r="C649" s="243" t="str">
        <f t="shared" si="91"/>
        <v/>
      </c>
      <c r="D649" s="243" t="str">
        <f t="shared" si="92"/>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3"/>
        <v/>
      </c>
      <c r="K649" s="287" t="str">
        <f t="shared" si="94"/>
        <v/>
      </c>
      <c r="L649" s="287" t="str">
        <f t="shared" si="95"/>
        <v/>
      </c>
      <c r="M649" s="290" t="str">
        <f t="shared" si="96"/>
        <v/>
      </c>
      <c r="N649" s="243" t="str">
        <f>IF($A649="","",IF(ABS(E649)&gt;0.000001,COUNT($N$1:N648)+1,""))</f>
        <v/>
      </c>
      <c r="O649" s="291" t="str">
        <f>IF($A649="","",SUMIFS(Transactions!$H$2:$H$1001,Transactions!$J$2:$J$1001,$A649,Transactions!$A$2:$A$1001,2)*$I649)</f>
        <v/>
      </c>
      <c r="P649" s="291" t="str">
        <f t="shared" si="97"/>
        <v/>
      </c>
      <c r="Q649" s="292" t="str">
        <f t="shared" si="98"/>
        <v/>
      </c>
    </row>
    <row r="650" spans="1:17" ht="15" customHeight="1" x14ac:dyDescent="0.2">
      <c r="A650" s="243" t="str">
        <f>IFERROR(INDEX(Txn[Key],MATCH(0,INDEX(COUNTIF($A$1:A649,Txn[Key])+(Txn[Key]=""),0),0)),"")</f>
        <v/>
      </c>
      <c r="B650" s="243" t="str">
        <f t="shared" si="90"/>
        <v/>
      </c>
      <c r="C650" s="243" t="str">
        <f t="shared" si="91"/>
        <v/>
      </c>
      <c r="D650" s="243" t="str">
        <f t="shared" si="92"/>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3"/>
        <v/>
      </c>
      <c r="K650" s="287" t="str">
        <f t="shared" si="94"/>
        <v/>
      </c>
      <c r="L650" s="287" t="str">
        <f t="shared" si="95"/>
        <v/>
      </c>
      <c r="M650" s="290" t="str">
        <f t="shared" si="96"/>
        <v/>
      </c>
      <c r="N650" s="243" t="str">
        <f>IF($A650="","",IF(ABS(E650)&gt;0.000001,COUNT($N$1:N649)+1,""))</f>
        <v/>
      </c>
      <c r="O650" s="291" t="str">
        <f>IF($A650="","",SUMIFS(Transactions!$H$2:$H$1001,Transactions!$J$2:$J$1001,$A650,Transactions!$A$2:$A$1001,2)*$I650)</f>
        <v/>
      </c>
      <c r="P650" s="291" t="str">
        <f t="shared" si="97"/>
        <v/>
      </c>
      <c r="Q650" s="292" t="str">
        <f t="shared" si="98"/>
        <v/>
      </c>
    </row>
    <row r="651" spans="1:17" ht="15" customHeight="1" x14ac:dyDescent="0.2">
      <c r="A651" s="243" t="str">
        <f>IFERROR(INDEX(Txn[Key],MATCH(0,INDEX(COUNTIF($A$1:A650,Txn[Key])+(Txn[Key]=""),0),0)),"")</f>
        <v/>
      </c>
      <c r="B651" s="243" t="str">
        <f t="shared" si="90"/>
        <v/>
      </c>
      <c r="C651" s="243" t="str">
        <f t="shared" si="91"/>
        <v/>
      </c>
      <c r="D651" s="243" t="str">
        <f t="shared" si="92"/>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3"/>
        <v/>
      </c>
      <c r="K651" s="287" t="str">
        <f t="shared" si="94"/>
        <v/>
      </c>
      <c r="L651" s="287" t="str">
        <f t="shared" si="95"/>
        <v/>
      </c>
      <c r="M651" s="290" t="str">
        <f t="shared" si="96"/>
        <v/>
      </c>
      <c r="N651" s="243" t="str">
        <f>IF($A651="","",IF(ABS(E651)&gt;0.000001,COUNT($N$1:N650)+1,""))</f>
        <v/>
      </c>
      <c r="O651" s="291" t="str">
        <f>IF($A651="","",SUMIFS(Transactions!$H$2:$H$1001,Transactions!$J$2:$J$1001,$A651,Transactions!$A$2:$A$1001,2)*$I651)</f>
        <v/>
      </c>
      <c r="P651" s="291" t="str">
        <f t="shared" si="97"/>
        <v/>
      </c>
      <c r="Q651" s="292" t="str">
        <f t="shared" si="98"/>
        <v/>
      </c>
    </row>
    <row r="652" spans="1:17" ht="15" customHeight="1" x14ac:dyDescent="0.2">
      <c r="A652" s="243" t="str">
        <f>IFERROR(INDEX(Txn[Key],MATCH(0,INDEX(COUNTIF($A$1:A651,Txn[Key])+(Txn[Key]=""),0),0)),"")</f>
        <v/>
      </c>
      <c r="B652" s="243" t="str">
        <f t="shared" si="90"/>
        <v/>
      </c>
      <c r="C652" s="243" t="str">
        <f t="shared" si="91"/>
        <v/>
      </c>
      <c r="D652" s="243" t="str">
        <f t="shared" si="92"/>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3"/>
        <v/>
      </c>
      <c r="K652" s="287" t="str">
        <f t="shared" si="94"/>
        <v/>
      </c>
      <c r="L652" s="287" t="str">
        <f t="shared" si="95"/>
        <v/>
      </c>
      <c r="M652" s="290" t="str">
        <f t="shared" si="96"/>
        <v/>
      </c>
      <c r="N652" s="243" t="str">
        <f>IF($A652="","",IF(ABS(E652)&gt;0.000001,COUNT($N$1:N651)+1,""))</f>
        <v/>
      </c>
      <c r="O652" s="291" t="str">
        <f>IF($A652="","",SUMIFS(Transactions!$H$2:$H$1001,Transactions!$J$2:$J$1001,$A652,Transactions!$A$2:$A$1001,2)*$I652)</f>
        <v/>
      </c>
      <c r="P652" s="291" t="str">
        <f t="shared" si="97"/>
        <v/>
      </c>
      <c r="Q652" s="292" t="str">
        <f t="shared" si="98"/>
        <v/>
      </c>
    </row>
    <row r="653" spans="1:17" ht="15" customHeight="1" x14ac:dyDescent="0.2">
      <c r="A653" s="243" t="str">
        <f>IFERROR(INDEX(Txn[Key],MATCH(0,INDEX(COUNTIF($A$1:A652,Txn[Key])+(Txn[Key]=""),0),0)),"")</f>
        <v/>
      </c>
      <c r="B653" s="243" t="str">
        <f t="shared" si="90"/>
        <v/>
      </c>
      <c r="C653" s="243" t="str">
        <f t="shared" si="91"/>
        <v/>
      </c>
      <c r="D653" s="243" t="str">
        <f t="shared" si="92"/>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3"/>
        <v/>
      </c>
      <c r="K653" s="287" t="str">
        <f t="shared" si="94"/>
        <v/>
      </c>
      <c r="L653" s="287" t="str">
        <f t="shared" si="95"/>
        <v/>
      </c>
      <c r="M653" s="290" t="str">
        <f t="shared" si="96"/>
        <v/>
      </c>
      <c r="N653" s="243" t="str">
        <f>IF($A653="","",IF(ABS(E653)&gt;0.000001,COUNT($N$1:N652)+1,""))</f>
        <v/>
      </c>
      <c r="O653" s="291" t="str">
        <f>IF($A653="","",SUMIFS(Transactions!$H$2:$H$1001,Transactions!$J$2:$J$1001,$A653,Transactions!$A$2:$A$1001,2)*$I653)</f>
        <v/>
      </c>
      <c r="P653" s="291" t="str">
        <f t="shared" si="97"/>
        <v/>
      </c>
      <c r="Q653" s="292" t="str">
        <f t="shared" si="98"/>
        <v/>
      </c>
    </row>
    <row r="654" spans="1:17" ht="15" customHeight="1" x14ac:dyDescent="0.2">
      <c r="A654" s="243" t="str">
        <f>IFERROR(INDEX(Txn[Key],MATCH(0,INDEX(COUNTIF($A$1:A653,Txn[Key])+(Txn[Key]=""),0),0)),"")</f>
        <v/>
      </c>
      <c r="B654" s="243" t="str">
        <f t="shared" si="90"/>
        <v/>
      </c>
      <c r="C654" s="243" t="str">
        <f t="shared" si="91"/>
        <v/>
      </c>
      <c r="D654" s="243" t="str">
        <f t="shared" si="92"/>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3"/>
        <v/>
      </c>
      <c r="K654" s="287" t="str">
        <f t="shared" si="94"/>
        <v/>
      </c>
      <c r="L654" s="287" t="str">
        <f t="shared" si="95"/>
        <v/>
      </c>
      <c r="M654" s="290" t="str">
        <f t="shared" si="96"/>
        <v/>
      </c>
      <c r="N654" s="243" t="str">
        <f>IF($A654="","",IF(ABS(E654)&gt;0.000001,COUNT($N$1:N653)+1,""))</f>
        <v/>
      </c>
      <c r="O654" s="291" t="str">
        <f>IF($A654="","",SUMIFS(Transactions!$H$2:$H$1001,Transactions!$J$2:$J$1001,$A654,Transactions!$A$2:$A$1001,2)*$I654)</f>
        <v/>
      </c>
      <c r="P654" s="291" t="str">
        <f t="shared" si="97"/>
        <v/>
      </c>
      <c r="Q654" s="292" t="str">
        <f t="shared" si="98"/>
        <v/>
      </c>
    </row>
    <row r="655" spans="1:17" ht="15" customHeight="1" x14ac:dyDescent="0.2">
      <c r="A655" s="243" t="str">
        <f>IFERROR(INDEX(Txn[Key],MATCH(0,INDEX(COUNTIF($A$1:A654,Txn[Key])+(Txn[Key]=""),0),0)),"")</f>
        <v/>
      </c>
      <c r="B655" s="243" t="str">
        <f t="shared" si="90"/>
        <v/>
      </c>
      <c r="C655" s="243" t="str">
        <f t="shared" si="91"/>
        <v/>
      </c>
      <c r="D655" s="243" t="str">
        <f t="shared" si="92"/>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3"/>
        <v/>
      </c>
      <c r="K655" s="287" t="str">
        <f t="shared" si="94"/>
        <v/>
      </c>
      <c r="L655" s="287" t="str">
        <f t="shared" si="95"/>
        <v/>
      </c>
      <c r="M655" s="290" t="str">
        <f t="shared" si="96"/>
        <v/>
      </c>
      <c r="N655" s="243" t="str">
        <f>IF($A655="","",IF(ABS(E655)&gt;0.000001,COUNT($N$1:N654)+1,""))</f>
        <v/>
      </c>
      <c r="O655" s="291" t="str">
        <f>IF($A655="","",SUMIFS(Transactions!$H$2:$H$1001,Transactions!$J$2:$J$1001,$A655,Transactions!$A$2:$A$1001,2)*$I655)</f>
        <v/>
      </c>
      <c r="P655" s="291" t="str">
        <f t="shared" si="97"/>
        <v/>
      </c>
      <c r="Q655" s="292" t="str">
        <f t="shared" si="98"/>
        <v/>
      </c>
    </row>
    <row r="656" spans="1:17" ht="15" customHeight="1" x14ac:dyDescent="0.2">
      <c r="A656" s="243" t="str">
        <f>IFERROR(INDEX(Txn[Key],MATCH(0,INDEX(COUNTIF($A$1:A655,Txn[Key])+(Txn[Key]=""),0),0)),"")</f>
        <v/>
      </c>
      <c r="B656" s="243" t="str">
        <f t="shared" si="90"/>
        <v/>
      </c>
      <c r="C656" s="243" t="str">
        <f t="shared" si="91"/>
        <v/>
      </c>
      <c r="D656" s="243" t="str">
        <f t="shared" si="92"/>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3"/>
        <v/>
      </c>
      <c r="K656" s="287" t="str">
        <f t="shared" si="94"/>
        <v/>
      </c>
      <c r="L656" s="287" t="str">
        <f t="shared" si="95"/>
        <v/>
      </c>
      <c r="M656" s="290" t="str">
        <f t="shared" si="96"/>
        <v/>
      </c>
      <c r="N656" s="243" t="str">
        <f>IF($A656="","",IF(ABS(E656)&gt;0.000001,COUNT($N$1:N655)+1,""))</f>
        <v/>
      </c>
      <c r="O656" s="291" t="str">
        <f>IF($A656="","",SUMIFS(Transactions!$H$2:$H$1001,Transactions!$J$2:$J$1001,$A656,Transactions!$A$2:$A$1001,2)*$I656)</f>
        <v/>
      </c>
      <c r="P656" s="291" t="str">
        <f t="shared" si="97"/>
        <v/>
      </c>
      <c r="Q656" s="292" t="str">
        <f t="shared" si="98"/>
        <v/>
      </c>
    </row>
    <row r="657" spans="1:17" ht="15" customHeight="1" x14ac:dyDescent="0.2">
      <c r="A657" s="243" t="str">
        <f>IFERROR(INDEX(Txn[Key],MATCH(0,INDEX(COUNTIF($A$1:A656,Txn[Key])+(Txn[Key]=""),0),0)),"")</f>
        <v/>
      </c>
      <c r="B657" s="243" t="str">
        <f t="shared" si="90"/>
        <v/>
      </c>
      <c r="C657" s="243" t="str">
        <f t="shared" si="91"/>
        <v/>
      </c>
      <c r="D657" s="243" t="str">
        <f t="shared" si="92"/>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3"/>
        <v/>
      </c>
      <c r="K657" s="287" t="str">
        <f t="shared" si="94"/>
        <v/>
      </c>
      <c r="L657" s="287" t="str">
        <f t="shared" si="95"/>
        <v/>
      </c>
      <c r="M657" s="290" t="str">
        <f t="shared" si="96"/>
        <v/>
      </c>
      <c r="N657" s="243" t="str">
        <f>IF($A657="","",IF(ABS(E657)&gt;0.000001,COUNT($N$1:N656)+1,""))</f>
        <v/>
      </c>
      <c r="O657" s="291" t="str">
        <f>IF($A657="","",SUMIFS(Transactions!$H$2:$H$1001,Transactions!$J$2:$J$1001,$A657,Transactions!$A$2:$A$1001,2)*$I657)</f>
        <v/>
      </c>
      <c r="P657" s="291" t="str">
        <f t="shared" si="97"/>
        <v/>
      </c>
      <c r="Q657" s="292" t="str">
        <f t="shared" si="98"/>
        <v/>
      </c>
    </row>
    <row r="658" spans="1:17" ht="15" customHeight="1" x14ac:dyDescent="0.2">
      <c r="A658" s="243" t="str">
        <f>IFERROR(INDEX(Txn[Key],MATCH(0,INDEX(COUNTIF($A$1:A657,Txn[Key])+(Txn[Key]=""),0),0)),"")</f>
        <v/>
      </c>
      <c r="B658" s="243" t="str">
        <f t="shared" si="90"/>
        <v/>
      </c>
      <c r="C658" s="243" t="str">
        <f t="shared" si="91"/>
        <v/>
      </c>
      <c r="D658" s="243" t="str">
        <f t="shared" si="92"/>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3"/>
        <v/>
      </c>
      <c r="K658" s="287" t="str">
        <f t="shared" si="94"/>
        <v/>
      </c>
      <c r="L658" s="287" t="str">
        <f t="shared" si="95"/>
        <v/>
      </c>
      <c r="M658" s="290" t="str">
        <f t="shared" si="96"/>
        <v/>
      </c>
      <c r="N658" s="243" t="str">
        <f>IF($A658="","",IF(ABS(E658)&gt;0.000001,COUNT($N$1:N657)+1,""))</f>
        <v/>
      </c>
      <c r="O658" s="291" t="str">
        <f>IF($A658="","",SUMIFS(Transactions!$H$2:$H$1001,Transactions!$J$2:$J$1001,$A658,Transactions!$A$2:$A$1001,2)*$I658)</f>
        <v/>
      </c>
      <c r="P658" s="291" t="str">
        <f t="shared" si="97"/>
        <v/>
      </c>
      <c r="Q658" s="292" t="str">
        <f t="shared" si="98"/>
        <v/>
      </c>
    </row>
    <row r="659" spans="1:17" ht="15" customHeight="1" x14ac:dyDescent="0.2">
      <c r="A659" s="243" t="str">
        <f>IFERROR(INDEX(Txn[Key],MATCH(0,INDEX(COUNTIF($A$1:A658,Txn[Key])+(Txn[Key]=""),0),0)),"")</f>
        <v/>
      </c>
      <c r="B659" s="243" t="str">
        <f t="shared" si="90"/>
        <v/>
      </c>
      <c r="C659" s="243" t="str">
        <f t="shared" si="91"/>
        <v/>
      </c>
      <c r="D659" s="243" t="str">
        <f t="shared" si="92"/>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3"/>
        <v/>
      </c>
      <c r="K659" s="287" t="str">
        <f t="shared" si="94"/>
        <v/>
      </c>
      <c r="L659" s="287" t="str">
        <f t="shared" si="95"/>
        <v/>
      </c>
      <c r="M659" s="290" t="str">
        <f t="shared" si="96"/>
        <v/>
      </c>
      <c r="N659" s="243" t="str">
        <f>IF($A659="","",IF(ABS(E659)&gt;0.000001,COUNT($N$1:N658)+1,""))</f>
        <v/>
      </c>
      <c r="O659" s="291" t="str">
        <f>IF($A659="","",SUMIFS(Transactions!$H$2:$H$1001,Transactions!$J$2:$J$1001,$A659,Transactions!$A$2:$A$1001,2)*$I659)</f>
        <v/>
      </c>
      <c r="P659" s="291" t="str">
        <f t="shared" si="97"/>
        <v/>
      </c>
      <c r="Q659" s="292" t="str">
        <f t="shared" si="98"/>
        <v/>
      </c>
    </row>
    <row r="660" spans="1:17" ht="15" customHeight="1" x14ac:dyDescent="0.2">
      <c r="A660" s="243" t="str">
        <f>IFERROR(INDEX(Txn[Key],MATCH(0,INDEX(COUNTIF($A$1:A659,Txn[Key])+(Txn[Key]=""),0),0)),"")</f>
        <v/>
      </c>
      <c r="B660" s="243" t="str">
        <f t="shared" si="90"/>
        <v/>
      </c>
      <c r="C660" s="243" t="str">
        <f t="shared" si="91"/>
        <v/>
      </c>
      <c r="D660" s="243" t="str">
        <f t="shared" si="92"/>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3"/>
        <v/>
      </c>
      <c r="K660" s="287" t="str">
        <f t="shared" si="94"/>
        <v/>
      </c>
      <c r="L660" s="287" t="str">
        <f t="shared" si="95"/>
        <v/>
      </c>
      <c r="M660" s="290" t="str">
        <f t="shared" si="96"/>
        <v/>
      </c>
      <c r="N660" s="243" t="str">
        <f>IF($A660="","",IF(ABS(E660)&gt;0.000001,COUNT($N$1:N659)+1,""))</f>
        <v/>
      </c>
      <c r="O660" s="291" t="str">
        <f>IF($A660="","",SUMIFS(Transactions!$H$2:$H$1001,Transactions!$J$2:$J$1001,$A660,Transactions!$A$2:$A$1001,2)*$I660)</f>
        <v/>
      </c>
      <c r="P660" s="291" t="str">
        <f t="shared" si="97"/>
        <v/>
      </c>
      <c r="Q660" s="292" t="str">
        <f t="shared" si="98"/>
        <v/>
      </c>
    </row>
    <row r="661" spans="1:17" ht="15" customHeight="1" x14ac:dyDescent="0.2">
      <c r="A661" s="243" t="str">
        <f>IFERROR(INDEX(Txn[Key],MATCH(0,INDEX(COUNTIF($A$1:A660,Txn[Key])+(Txn[Key]=""),0),0)),"")</f>
        <v/>
      </c>
      <c r="B661" s="243" t="str">
        <f t="shared" si="90"/>
        <v/>
      </c>
      <c r="C661" s="243" t="str">
        <f t="shared" si="91"/>
        <v/>
      </c>
      <c r="D661" s="243" t="str">
        <f t="shared" si="92"/>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3"/>
        <v/>
      </c>
      <c r="K661" s="287" t="str">
        <f t="shared" si="94"/>
        <v/>
      </c>
      <c r="L661" s="287" t="str">
        <f t="shared" si="95"/>
        <v/>
      </c>
      <c r="M661" s="290" t="str">
        <f t="shared" si="96"/>
        <v/>
      </c>
      <c r="N661" s="243" t="str">
        <f>IF($A661="","",IF(ABS(E661)&gt;0.000001,COUNT($N$1:N660)+1,""))</f>
        <v/>
      </c>
      <c r="O661" s="291" t="str">
        <f>IF($A661="","",SUMIFS(Transactions!$H$2:$H$1001,Transactions!$J$2:$J$1001,$A661,Transactions!$A$2:$A$1001,2)*$I661)</f>
        <v/>
      </c>
      <c r="P661" s="291" t="str">
        <f t="shared" si="97"/>
        <v/>
      </c>
      <c r="Q661" s="292" t="str">
        <f t="shared" si="98"/>
        <v/>
      </c>
    </row>
    <row r="662" spans="1:17" ht="15" customHeight="1" x14ac:dyDescent="0.2">
      <c r="A662" s="243" t="str">
        <f>IFERROR(INDEX(Txn[Key],MATCH(0,INDEX(COUNTIF($A$1:A661,Txn[Key])+(Txn[Key]=""),0),0)),"")</f>
        <v/>
      </c>
      <c r="B662" s="243" t="str">
        <f t="shared" si="90"/>
        <v/>
      </c>
      <c r="C662" s="243" t="str">
        <f t="shared" si="91"/>
        <v/>
      </c>
      <c r="D662" s="243" t="str">
        <f t="shared" si="92"/>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3"/>
        <v/>
      </c>
      <c r="K662" s="287" t="str">
        <f t="shared" si="94"/>
        <v/>
      </c>
      <c r="L662" s="287" t="str">
        <f t="shared" si="95"/>
        <v/>
      </c>
      <c r="M662" s="290" t="str">
        <f t="shared" si="96"/>
        <v/>
      </c>
      <c r="N662" s="243" t="str">
        <f>IF($A662="","",IF(ABS(E662)&gt;0.000001,COUNT($N$1:N661)+1,""))</f>
        <v/>
      </c>
      <c r="O662" s="291" t="str">
        <f>IF($A662="","",SUMIFS(Transactions!$H$2:$H$1001,Transactions!$J$2:$J$1001,$A662,Transactions!$A$2:$A$1001,2)*$I662)</f>
        <v/>
      </c>
      <c r="P662" s="291" t="str">
        <f t="shared" si="97"/>
        <v/>
      </c>
      <c r="Q662" s="292" t="str">
        <f t="shared" si="98"/>
        <v/>
      </c>
    </row>
    <row r="663" spans="1:17" ht="15" customHeight="1" x14ac:dyDescent="0.2">
      <c r="A663" s="243" t="str">
        <f>IFERROR(INDEX(Txn[Key],MATCH(0,INDEX(COUNTIF($A$1:A662,Txn[Key])+(Txn[Key]=""),0),0)),"")</f>
        <v/>
      </c>
      <c r="B663" s="243" t="str">
        <f t="shared" si="90"/>
        <v/>
      </c>
      <c r="C663" s="243" t="str">
        <f t="shared" si="91"/>
        <v/>
      </c>
      <c r="D663" s="243" t="str">
        <f t="shared" si="92"/>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3"/>
        <v/>
      </c>
      <c r="K663" s="287" t="str">
        <f t="shared" si="94"/>
        <v/>
      </c>
      <c r="L663" s="287" t="str">
        <f t="shared" si="95"/>
        <v/>
      </c>
      <c r="M663" s="290" t="str">
        <f t="shared" si="96"/>
        <v/>
      </c>
      <c r="N663" s="243" t="str">
        <f>IF($A663="","",IF(ABS(E663)&gt;0.000001,COUNT($N$1:N662)+1,""))</f>
        <v/>
      </c>
      <c r="O663" s="291" t="str">
        <f>IF($A663="","",SUMIFS(Transactions!$H$2:$H$1001,Transactions!$J$2:$J$1001,$A663,Transactions!$A$2:$A$1001,2)*$I663)</f>
        <v/>
      </c>
      <c r="P663" s="291" t="str">
        <f t="shared" si="97"/>
        <v/>
      </c>
      <c r="Q663" s="292" t="str">
        <f t="shared" si="98"/>
        <v/>
      </c>
    </row>
    <row r="664" spans="1:17" ht="15" customHeight="1" x14ac:dyDescent="0.2">
      <c r="A664" s="243" t="str">
        <f>IFERROR(INDEX(Txn[Key],MATCH(0,INDEX(COUNTIF($A$1:A663,Txn[Key])+(Txn[Key]=""),0),0)),"")</f>
        <v/>
      </c>
      <c r="B664" s="243" t="str">
        <f t="shared" si="90"/>
        <v/>
      </c>
      <c r="C664" s="243" t="str">
        <f t="shared" si="91"/>
        <v/>
      </c>
      <c r="D664" s="243" t="str">
        <f t="shared" si="92"/>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3"/>
        <v/>
      </c>
      <c r="K664" s="287" t="str">
        <f t="shared" si="94"/>
        <v/>
      </c>
      <c r="L664" s="287" t="str">
        <f t="shared" si="95"/>
        <v/>
      </c>
      <c r="M664" s="290" t="str">
        <f t="shared" si="96"/>
        <v/>
      </c>
      <c r="N664" s="243" t="str">
        <f>IF($A664="","",IF(ABS(E664)&gt;0.000001,COUNT($N$1:N663)+1,""))</f>
        <v/>
      </c>
      <c r="O664" s="291" t="str">
        <f>IF($A664="","",SUMIFS(Transactions!$H$2:$H$1001,Transactions!$J$2:$J$1001,$A664,Transactions!$A$2:$A$1001,2)*$I664)</f>
        <v/>
      </c>
      <c r="P664" s="291" t="str">
        <f t="shared" si="97"/>
        <v/>
      </c>
      <c r="Q664" s="292" t="str">
        <f t="shared" si="98"/>
        <v/>
      </c>
    </row>
    <row r="665" spans="1:17" ht="15" customHeight="1" x14ac:dyDescent="0.2">
      <c r="A665" s="243" t="str">
        <f>IFERROR(INDEX(Txn[Key],MATCH(0,INDEX(COUNTIF($A$1:A664,Txn[Key])+(Txn[Key]=""),0),0)),"")</f>
        <v/>
      </c>
      <c r="B665" s="243" t="str">
        <f t="shared" si="90"/>
        <v/>
      </c>
      <c r="C665" s="243" t="str">
        <f t="shared" si="91"/>
        <v/>
      </c>
      <c r="D665" s="243" t="str">
        <f t="shared" si="92"/>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3"/>
        <v/>
      </c>
      <c r="K665" s="287" t="str">
        <f t="shared" si="94"/>
        <v/>
      </c>
      <c r="L665" s="287" t="str">
        <f t="shared" si="95"/>
        <v/>
      </c>
      <c r="M665" s="290" t="str">
        <f t="shared" si="96"/>
        <v/>
      </c>
      <c r="N665" s="243" t="str">
        <f>IF($A665="","",IF(ABS(E665)&gt;0.000001,COUNT($N$1:N664)+1,""))</f>
        <v/>
      </c>
      <c r="O665" s="291" t="str">
        <f>IF($A665="","",SUMIFS(Transactions!$H$2:$H$1001,Transactions!$J$2:$J$1001,$A665,Transactions!$A$2:$A$1001,2)*$I665)</f>
        <v/>
      </c>
      <c r="P665" s="291" t="str">
        <f t="shared" si="97"/>
        <v/>
      </c>
      <c r="Q665" s="292" t="str">
        <f t="shared" si="98"/>
        <v/>
      </c>
    </row>
    <row r="666" spans="1:17" ht="15" customHeight="1" x14ac:dyDescent="0.2">
      <c r="A666" s="243" t="str">
        <f>IFERROR(INDEX(Txn[Key],MATCH(0,INDEX(COUNTIF($A$1:A665,Txn[Key])+(Txn[Key]=""),0),0)),"")</f>
        <v/>
      </c>
      <c r="B666" s="243" t="str">
        <f t="shared" si="90"/>
        <v/>
      </c>
      <c r="C666" s="243" t="str">
        <f t="shared" si="91"/>
        <v/>
      </c>
      <c r="D666" s="243" t="str">
        <f t="shared" si="92"/>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3"/>
        <v/>
      </c>
      <c r="K666" s="287" t="str">
        <f t="shared" si="94"/>
        <v/>
      </c>
      <c r="L666" s="287" t="str">
        <f t="shared" si="95"/>
        <v/>
      </c>
      <c r="M666" s="290" t="str">
        <f t="shared" si="96"/>
        <v/>
      </c>
      <c r="N666" s="243" t="str">
        <f>IF($A666="","",IF(ABS(E666)&gt;0.000001,COUNT($N$1:N665)+1,""))</f>
        <v/>
      </c>
      <c r="O666" s="291" t="str">
        <f>IF($A666="","",SUMIFS(Transactions!$H$2:$H$1001,Transactions!$J$2:$J$1001,$A666,Transactions!$A$2:$A$1001,2)*$I666)</f>
        <v/>
      </c>
      <c r="P666" s="291" t="str">
        <f t="shared" si="97"/>
        <v/>
      </c>
      <c r="Q666" s="292" t="str">
        <f t="shared" si="98"/>
        <v/>
      </c>
    </row>
    <row r="667" spans="1:17" ht="15" customHeight="1" x14ac:dyDescent="0.2">
      <c r="A667" s="243" t="str">
        <f>IFERROR(INDEX(Txn[Key],MATCH(0,INDEX(COUNTIF($A$1:A666,Txn[Key])+(Txn[Key]=""),0),0)),"")</f>
        <v/>
      </c>
      <c r="B667" s="243" t="str">
        <f t="shared" si="90"/>
        <v/>
      </c>
      <c r="C667" s="243" t="str">
        <f t="shared" si="91"/>
        <v/>
      </c>
      <c r="D667" s="243" t="str">
        <f t="shared" si="92"/>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3"/>
        <v/>
      </c>
      <c r="K667" s="287" t="str">
        <f t="shared" si="94"/>
        <v/>
      </c>
      <c r="L667" s="287" t="str">
        <f t="shared" si="95"/>
        <v/>
      </c>
      <c r="M667" s="290" t="str">
        <f t="shared" si="96"/>
        <v/>
      </c>
      <c r="N667" s="243" t="str">
        <f>IF($A667="","",IF(ABS(E667)&gt;0.000001,COUNT($N$1:N666)+1,""))</f>
        <v/>
      </c>
      <c r="O667" s="291" t="str">
        <f>IF($A667="","",SUMIFS(Transactions!$H$2:$H$1001,Transactions!$J$2:$J$1001,$A667,Transactions!$A$2:$A$1001,2)*$I667)</f>
        <v/>
      </c>
      <c r="P667" s="291" t="str">
        <f t="shared" si="97"/>
        <v/>
      </c>
      <c r="Q667" s="292" t="str">
        <f t="shared" si="98"/>
        <v/>
      </c>
    </row>
    <row r="668" spans="1:17" ht="15" customHeight="1" x14ac:dyDescent="0.2">
      <c r="A668" s="243" t="str">
        <f>IFERROR(INDEX(Txn[Key],MATCH(0,INDEX(COUNTIF($A$1:A667,Txn[Key])+(Txn[Key]=""),0),0)),"")</f>
        <v/>
      </c>
      <c r="B668" s="243" t="str">
        <f t="shared" si="90"/>
        <v/>
      </c>
      <c r="C668" s="243" t="str">
        <f t="shared" si="91"/>
        <v/>
      </c>
      <c r="D668" s="243" t="str">
        <f t="shared" si="92"/>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3"/>
        <v/>
      </c>
      <c r="K668" s="287" t="str">
        <f t="shared" si="94"/>
        <v/>
      </c>
      <c r="L668" s="287" t="str">
        <f t="shared" si="95"/>
        <v/>
      </c>
      <c r="M668" s="290" t="str">
        <f t="shared" si="96"/>
        <v/>
      </c>
      <c r="N668" s="243" t="str">
        <f>IF($A668="","",IF(ABS(E668)&gt;0.000001,COUNT($N$1:N667)+1,""))</f>
        <v/>
      </c>
      <c r="O668" s="291" t="str">
        <f>IF($A668="","",SUMIFS(Transactions!$H$2:$H$1001,Transactions!$J$2:$J$1001,$A668,Transactions!$A$2:$A$1001,2)*$I668)</f>
        <v/>
      </c>
      <c r="P668" s="291" t="str">
        <f t="shared" si="97"/>
        <v/>
      </c>
      <c r="Q668" s="292" t="str">
        <f t="shared" si="98"/>
        <v/>
      </c>
    </row>
    <row r="669" spans="1:17" ht="15" customHeight="1" x14ac:dyDescent="0.2">
      <c r="A669" s="243" t="str">
        <f>IFERROR(INDEX(Txn[Key],MATCH(0,INDEX(COUNTIF($A$1:A668,Txn[Key])+(Txn[Key]=""),0),0)),"")</f>
        <v/>
      </c>
      <c r="B669" s="243" t="str">
        <f t="shared" si="90"/>
        <v/>
      </c>
      <c r="C669" s="243" t="str">
        <f t="shared" si="91"/>
        <v/>
      </c>
      <c r="D669" s="243" t="str">
        <f t="shared" si="92"/>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3"/>
        <v/>
      </c>
      <c r="K669" s="287" t="str">
        <f t="shared" si="94"/>
        <v/>
      </c>
      <c r="L669" s="287" t="str">
        <f t="shared" si="95"/>
        <v/>
      </c>
      <c r="M669" s="290" t="str">
        <f t="shared" si="96"/>
        <v/>
      </c>
      <c r="N669" s="243" t="str">
        <f>IF($A669="","",IF(ABS(E669)&gt;0.000001,COUNT($N$1:N668)+1,""))</f>
        <v/>
      </c>
      <c r="O669" s="291" t="str">
        <f>IF($A669="","",SUMIFS(Transactions!$H$2:$H$1001,Transactions!$J$2:$J$1001,$A669,Transactions!$A$2:$A$1001,2)*$I669)</f>
        <v/>
      </c>
      <c r="P669" s="291" t="str">
        <f t="shared" si="97"/>
        <v/>
      </c>
      <c r="Q669" s="292" t="str">
        <f t="shared" si="98"/>
        <v/>
      </c>
    </row>
    <row r="670" spans="1:17" ht="15" customHeight="1" x14ac:dyDescent="0.2">
      <c r="A670" s="243" t="str">
        <f>IFERROR(INDEX(Txn[Key],MATCH(0,INDEX(COUNTIF($A$1:A669,Txn[Key])+(Txn[Key]=""),0),0)),"")</f>
        <v/>
      </c>
      <c r="B670" s="243" t="str">
        <f t="shared" si="90"/>
        <v/>
      </c>
      <c r="C670" s="243" t="str">
        <f t="shared" si="91"/>
        <v/>
      </c>
      <c r="D670" s="243" t="str">
        <f t="shared" si="92"/>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3"/>
        <v/>
      </c>
      <c r="K670" s="287" t="str">
        <f t="shared" si="94"/>
        <v/>
      </c>
      <c r="L670" s="287" t="str">
        <f t="shared" si="95"/>
        <v/>
      </c>
      <c r="M670" s="290" t="str">
        <f t="shared" si="96"/>
        <v/>
      </c>
      <c r="N670" s="243" t="str">
        <f>IF($A670="","",IF(ABS(E670)&gt;0.000001,COUNT($N$1:N669)+1,""))</f>
        <v/>
      </c>
      <c r="O670" s="291" t="str">
        <f>IF($A670="","",SUMIFS(Transactions!$H$2:$H$1001,Transactions!$J$2:$J$1001,$A670,Transactions!$A$2:$A$1001,2)*$I670)</f>
        <v/>
      </c>
      <c r="P670" s="291" t="str">
        <f t="shared" si="97"/>
        <v/>
      </c>
      <c r="Q670" s="292" t="str">
        <f t="shared" si="98"/>
        <v/>
      </c>
    </row>
    <row r="671" spans="1:17" ht="15" customHeight="1" x14ac:dyDescent="0.2">
      <c r="A671" s="243" t="str">
        <f>IFERROR(INDEX(Txn[Key],MATCH(0,INDEX(COUNTIF($A$1:A670,Txn[Key])+(Txn[Key]=""),0),0)),"")</f>
        <v/>
      </c>
      <c r="B671" s="243" t="str">
        <f t="shared" si="90"/>
        <v/>
      </c>
      <c r="C671" s="243" t="str">
        <f t="shared" si="91"/>
        <v/>
      </c>
      <c r="D671" s="243" t="str">
        <f t="shared" si="92"/>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3"/>
        <v/>
      </c>
      <c r="K671" s="287" t="str">
        <f t="shared" si="94"/>
        <v/>
      </c>
      <c r="L671" s="287" t="str">
        <f t="shared" si="95"/>
        <v/>
      </c>
      <c r="M671" s="290" t="str">
        <f t="shared" si="96"/>
        <v/>
      </c>
      <c r="N671" s="243" t="str">
        <f>IF($A671="","",IF(ABS(E671)&gt;0.000001,COUNT($N$1:N670)+1,""))</f>
        <v/>
      </c>
      <c r="O671" s="291" t="str">
        <f>IF($A671="","",SUMIFS(Transactions!$H$2:$H$1001,Transactions!$J$2:$J$1001,$A671,Transactions!$A$2:$A$1001,2)*$I671)</f>
        <v/>
      </c>
      <c r="P671" s="291" t="str">
        <f t="shared" si="97"/>
        <v/>
      </c>
      <c r="Q671" s="292" t="str">
        <f t="shared" si="98"/>
        <v/>
      </c>
    </row>
    <row r="672" spans="1:17" ht="15" customHeight="1" x14ac:dyDescent="0.2">
      <c r="A672" s="243" t="str">
        <f>IFERROR(INDEX(Txn[Key],MATCH(0,INDEX(COUNTIF($A$1:A671,Txn[Key])+(Txn[Key]=""),0),0)),"")</f>
        <v/>
      </c>
      <c r="B672" s="243" t="str">
        <f t="shared" si="90"/>
        <v/>
      </c>
      <c r="C672" s="243" t="str">
        <f t="shared" si="91"/>
        <v/>
      </c>
      <c r="D672" s="243" t="str">
        <f t="shared" si="92"/>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3"/>
        <v/>
      </c>
      <c r="K672" s="287" t="str">
        <f t="shared" si="94"/>
        <v/>
      </c>
      <c r="L672" s="287" t="str">
        <f t="shared" si="95"/>
        <v/>
      </c>
      <c r="M672" s="290" t="str">
        <f t="shared" si="96"/>
        <v/>
      </c>
      <c r="N672" s="243" t="str">
        <f>IF($A672="","",IF(ABS(E672)&gt;0.000001,COUNT($N$1:N671)+1,""))</f>
        <v/>
      </c>
      <c r="O672" s="291" t="str">
        <f>IF($A672="","",SUMIFS(Transactions!$H$2:$H$1001,Transactions!$J$2:$J$1001,$A672,Transactions!$A$2:$A$1001,2)*$I672)</f>
        <v/>
      </c>
      <c r="P672" s="291" t="str">
        <f t="shared" si="97"/>
        <v/>
      </c>
      <c r="Q672" s="292" t="str">
        <f t="shared" si="98"/>
        <v/>
      </c>
    </row>
    <row r="673" spans="1:17" ht="15" customHeight="1" x14ac:dyDescent="0.2">
      <c r="A673" s="243" t="str">
        <f>IFERROR(INDEX(Txn[Key],MATCH(0,INDEX(COUNTIF($A$1:A672,Txn[Key])+(Txn[Key]=""),0),0)),"")</f>
        <v/>
      </c>
      <c r="B673" s="243" t="str">
        <f t="shared" si="90"/>
        <v/>
      </c>
      <c r="C673" s="243" t="str">
        <f t="shared" si="91"/>
        <v/>
      </c>
      <c r="D673" s="243" t="str">
        <f t="shared" si="92"/>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3"/>
        <v/>
      </c>
      <c r="K673" s="287" t="str">
        <f t="shared" si="94"/>
        <v/>
      </c>
      <c r="L673" s="287" t="str">
        <f t="shared" si="95"/>
        <v/>
      </c>
      <c r="M673" s="290" t="str">
        <f t="shared" si="96"/>
        <v/>
      </c>
      <c r="N673" s="243" t="str">
        <f>IF($A673="","",IF(ABS(E673)&gt;0.000001,COUNT($N$1:N672)+1,""))</f>
        <v/>
      </c>
      <c r="O673" s="291" t="str">
        <f>IF($A673="","",SUMIFS(Transactions!$H$2:$H$1001,Transactions!$J$2:$J$1001,$A673,Transactions!$A$2:$A$1001,2)*$I673)</f>
        <v/>
      </c>
      <c r="P673" s="291" t="str">
        <f t="shared" si="97"/>
        <v/>
      </c>
      <c r="Q673" s="292" t="str">
        <f t="shared" si="98"/>
        <v/>
      </c>
    </row>
    <row r="674" spans="1:17" ht="15" customHeight="1" x14ac:dyDescent="0.2">
      <c r="A674" s="243" t="str">
        <f>IFERROR(INDEX(Txn[Key],MATCH(0,INDEX(COUNTIF($A$1:A673,Txn[Key])+(Txn[Key]=""),0),0)),"")</f>
        <v/>
      </c>
      <c r="B674" s="243" t="str">
        <f t="shared" si="90"/>
        <v/>
      </c>
      <c r="C674" s="243" t="str">
        <f t="shared" si="91"/>
        <v/>
      </c>
      <c r="D674" s="243" t="str">
        <f t="shared" si="92"/>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3"/>
        <v/>
      </c>
      <c r="K674" s="287" t="str">
        <f t="shared" si="94"/>
        <v/>
      </c>
      <c r="L674" s="287" t="str">
        <f t="shared" si="95"/>
        <v/>
      </c>
      <c r="M674" s="290" t="str">
        <f t="shared" si="96"/>
        <v/>
      </c>
      <c r="N674" s="243" t="str">
        <f>IF($A674="","",IF(ABS(E674)&gt;0.000001,COUNT($N$1:N673)+1,""))</f>
        <v/>
      </c>
      <c r="O674" s="291" t="str">
        <f>IF($A674="","",SUMIFS(Transactions!$H$2:$H$1001,Transactions!$J$2:$J$1001,$A674,Transactions!$A$2:$A$1001,2)*$I674)</f>
        <v/>
      </c>
      <c r="P674" s="291" t="str">
        <f t="shared" si="97"/>
        <v/>
      </c>
      <c r="Q674" s="292" t="str">
        <f t="shared" si="98"/>
        <v/>
      </c>
    </row>
    <row r="675" spans="1:17" ht="15" customHeight="1" x14ac:dyDescent="0.2">
      <c r="A675" s="243" t="str">
        <f>IFERROR(INDEX(Txn[Key],MATCH(0,INDEX(COUNTIF($A$1:A674,Txn[Key])+(Txn[Key]=""),0),0)),"")</f>
        <v/>
      </c>
      <c r="B675" s="243" t="str">
        <f t="shared" si="90"/>
        <v/>
      </c>
      <c r="C675" s="243" t="str">
        <f t="shared" si="91"/>
        <v/>
      </c>
      <c r="D675" s="243" t="str">
        <f t="shared" si="92"/>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3"/>
        <v/>
      </c>
      <c r="K675" s="287" t="str">
        <f t="shared" si="94"/>
        <v/>
      </c>
      <c r="L675" s="287" t="str">
        <f t="shared" si="95"/>
        <v/>
      </c>
      <c r="M675" s="290" t="str">
        <f t="shared" si="96"/>
        <v/>
      </c>
      <c r="N675" s="243" t="str">
        <f>IF($A675="","",IF(ABS(E675)&gt;0.000001,COUNT($N$1:N674)+1,""))</f>
        <v/>
      </c>
      <c r="O675" s="291" t="str">
        <f>IF($A675="","",SUMIFS(Transactions!$H$2:$H$1001,Transactions!$J$2:$J$1001,$A675,Transactions!$A$2:$A$1001,2)*$I675)</f>
        <v/>
      </c>
      <c r="P675" s="291" t="str">
        <f t="shared" si="97"/>
        <v/>
      </c>
      <c r="Q675" s="292" t="str">
        <f t="shared" si="98"/>
        <v/>
      </c>
    </row>
    <row r="676" spans="1:17" ht="15" customHeight="1" x14ac:dyDescent="0.2">
      <c r="A676" s="243" t="str">
        <f>IFERROR(INDEX(Txn[Key],MATCH(0,INDEX(COUNTIF($A$1:A675,Txn[Key])+(Txn[Key]=""),0),0)),"")</f>
        <v/>
      </c>
      <c r="B676" s="243" t="str">
        <f t="shared" si="90"/>
        <v/>
      </c>
      <c r="C676" s="243" t="str">
        <f t="shared" si="91"/>
        <v/>
      </c>
      <c r="D676" s="243" t="str">
        <f t="shared" si="92"/>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3"/>
        <v/>
      </c>
      <c r="K676" s="287" t="str">
        <f t="shared" si="94"/>
        <v/>
      </c>
      <c r="L676" s="287" t="str">
        <f t="shared" si="95"/>
        <v/>
      </c>
      <c r="M676" s="290" t="str">
        <f t="shared" si="96"/>
        <v/>
      </c>
      <c r="N676" s="243" t="str">
        <f>IF($A676="","",IF(ABS(E676)&gt;0.000001,COUNT($N$1:N675)+1,""))</f>
        <v/>
      </c>
      <c r="O676" s="291" t="str">
        <f>IF($A676="","",SUMIFS(Transactions!$H$2:$H$1001,Transactions!$J$2:$J$1001,$A676,Transactions!$A$2:$A$1001,2)*$I676)</f>
        <v/>
      </c>
      <c r="P676" s="291" t="str">
        <f t="shared" si="97"/>
        <v/>
      </c>
      <c r="Q676" s="292" t="str">
        <f t="shared" si="98"/>
        <v/>
      </c>
    </row>
    <row r="677" spans="1:17" ht="15" customHeight="1" x14ac:dyDescent="0.2">
      <c r="A677" s="243" t="str">
        <f>IFERROR(INDEX(Txn[Key],MATCH(0,INDEX(COUNTIF($A$1:A676,Txn[Key])+(Txn[Key]=""),0),0)),"")</f>
        <v/>
      </c>
      <c r="B677" s="243" t="str">
        <f t="shared" si="90"/>
        <v/>
      </c>
      <c r="C677" s="243" t="str">
        <f t="shared" si="91"/>
        <v/>
      </c>
      <c r="D677" s="243" t="str">
        <f t="shared" si="92"/>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3"/>
        <v/>
      </c>
      <c r="K677" s="287" t="str">
        <f t="shared" si="94"/>
        <v/>
      </c>
      <c r="L677" s="287" t="str">
        <f t="shared" si="95"/>
        <v/>
      </c>
      <c r="M677" s="290" t="str">
        <f t="shared" si="96"/>
        <v/>
      </c>
      <c r="N677" s="243" t="str">
        <f>IF($A677="","",IF(ABS(E677)&gt;0.000001,COUNT($N$1:N676)+1,""))</f>
        <v/>
      </c>
      <c r="O677" s="291" t="str">
        <f>IF($A677="","",SUMIFS(Transactions!$H$2:$H$1001,Transactions!$J$2:$J$1001,$A677,Transactions!$A$2:$A$1001,2)*$I677)</f>
        <v/>
      </c>
      <c r="P677" s="291" t="str">
        <f t="shared" si="97"/>
        <v/>
      </c>
      <c r="Q677" s="292" t="str">
        <f t="shared" si="98"/>
        <v/>
      </c>
    </row>
    <row r="678" spans="1:17" ht="15" customHeight="1" x14ac:dyDescent="0.2">
      <c r="A678" s="243" t="str">
        <f>IFERROR(INDEX(Txn[Key],MATCH(0,INDEX(COUNTIF($A$1:A677,Txn[Key])+(Txn[Key]=""),0),0)),"")</f>
        <v/>
      </c>
      <c r="B678" s="243" t="str">
        <f t="shared" si="90"/>
        <v/>
      </c>
      <c r="C678" s="243" t="str">
        <f t="shared" si="91"/>
        <v/>
      </c>
      <c r="D678" s="243" t="str">
        <f t="shared" si="92"/>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3"/>
        <v/>
      </c>
      <c r="K678" s="287" t="str">
        <f t="shared" si="94"/>
        <v/>
      </c>
      <c r="L678" s="287" t="str">
        <f t="shared" si="95"/>
        <v/>
      </c>
      <c r="M678" s="290" t="str">
        <f t="shared" si="96"/>
        <v/>
      </c>
      <c r="N678" s="243" t="str">
        <f>IF($A678="","",IF(ABS(E678)&gt;0.000001,COUNT($N$1:N677)+1,""))</f>
        <v/>
      </c>
      <c r="O678" s="291" t="str">
        <f>IF($A678="","",SUMIFS(Transactions!$H$2:$H$1001,Transactions!$J$2:$J$1001,$A678,Transactions!$A$2:$A$1001,2)*$I678)</f>
        <v/>
      </c>
      <c r="P678" s="291" t="str">
        <f t="shared" si="97"/>
        <v/>
      </c>
      <c r="Q678" s="292" t="str">
        <f t="shared" si="98"/>
        <v/>
      </c>
    </row>
    <row r="679" spans="1:17" ht="15" customHeight="1" x14ac:dyDescent="0.2">
      <c r="A679" s="243" t="str">
        <f>IFERROR(INDEX(Txn[Key],MATCH(0,INDEX(COUNTIF($A$1:A678,Txn[Key])+(Txn[Key]=""),0),0)),"")</f>
        <v/>
      </c>
      <c r="B679" s="243" t="str">
        <f t="shared" si="90"/>
        <v/>
      </c>
      <c r="C679" s="243" t="str">
        <f t="shared" si="91"/>
        <v/>
      </c>
      <c r="D679" s="243" t="str">
        <f t="shared" si="92"/>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3"/>
        <v/>
      </c>
      <c r="K679" s="287" t="str">
        <f t="shared" si="94"/>
        <v/>
      </c>
      <c r="L679" s="287" t="str">
        <f t="shared" si="95"/>
        <v/>
      </c>
      <c r="M679" s="290" t="str">
        <f t="shared" si="96"/>
        <v/>
      </c>
      <c r="N679" s="243" t="str">
        <f>IF($A679="","",IF(ABS(E679)&gt;0.000001,COUNT($N$1:N678)+1,""))</f>
        <v/>
      </c>
      <c r="O679" s="291" t="str">
        <f>IF($A679="","",SUMIFS(Transactions!$H$2:$H$1001,Transactions!$J$2:$J$1001,$A679,Transactions!$A$2:$A$1001,2)*$I679)</f>
        <v/>
      </c>
      <c r="P679" s="291" t="str">
        <f t="shared" si="97"/>
        <v/>
      </c>
      <c r="Q679" s="292" t="str">
        <f t="shared" si="98"/>
        <v/>
      </c>
    </row>
    <row r="680" spans="1:17" ht="15" customHeight="1" x14ac:dyDescent="0.2">
      <c r="A680" s="243" t="str">
        <f>IFERROR(INDEX(Txn[Key],MATCH(0,INDEX(COUNTIF($A$1:A679,Txn[Key])+(Txn[Key]=""),0),0)),"")</f>
        <v/>
      </c>
      <c r="B680" s="243" t="str">
        <f t="shared" si="90"/>
        <v/>
      </c>
      <c r="C680" s="243" t="str">
        <f t="shared" si="91"/>
        <v/>
      </c>
      <c r="D680" s="243" t="str">
        <f t="shared" si="92"/>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3"/>
        <v/>
      </c>
      <c r="K680" s="287" t="str">
        <f t="shared" si="94"/>
        <v/>
      </c>
      <c r="L680" s="287" t="str">
        <f t="shared" si="95"/>
        <v/>
      </c>
      <c r="M680" s="290" t="str">
        <f t="shared" si="96"/>
        <v/>
      </c>
      <c r="N680" s="243" t="str">
        <f>IF($A680="","",IF(ABS(E680)&gt;0.000001,COUNT($N$1:N679)+1,""))</f>
        <v/>
      </c>
      <c r="O680" s="291" t="str">
        <f>IF($A680="","",SUMIFS(Transactions!$H$2:$H$1001,Transactions!$J$2:$J$1001,$A680,Transactions!$A$2:$A$1001,2)*$I680)</f>
        <v/>
      </c>
      <c r="P680" s="291" t="str">
        <f t="shared" si="97"/>
        <v/>
      </c>
      <c r="Q680" s="292" t="str">
        <f t="shared" si="98"/>
        <v/>
      </c>
    </row>
    <row r="681" spans="1:17" ht="15" customHeight="1" x14ac:dyDescent="0.2">
      <c r="A681" s="243" t="str">
        <f>IFERROR(INDEX(Txn[Key],MATCH(0,INDEX(COUNTIF($A$1:A680,Txn[Key])+(Txn[Key]=""),0),0)),"")</f>
        <v/>
      </c>
      <c r="B681" s="243" t="str">
        <f t="shared" si="90"/>
        <v/>
      </c>
      <c r="C681" s="243" t="str">
        <f t="shared" si="91"/>
        <v/>
      </c>
      <c r="D681" s="243" t="str">
        <f t="shared" si="92"/>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3"/>
        <v/>
      </c>
      <c r="K681" s="287" t="str">
        <f t="shared" si="94"/>
        <v/>
      </c>
      <c r="L681" s="287" t="str">
        <f t="shared" si="95"/>
        <v/>
      </c>
      <c r="M681" s="290" t="str">
        <f t="shared" si="96"/>
        <v/>
      </c>
      <c r="N681" s="243" t="str">
        <f>IF($A681="","",IF(ABS(E681)&gt;0.000001,COUNT($N$1:N680)+1,""))</f>
        <v/>
      </c>
      <c r="O681" s="291" t="str">
        <f>IF($A681="","",SUMIFS(Transactions!$H$2:$H$1001,Transactions!$J$2:$J$1001,$A681,Transactions!$A$2:$A$1001,2)*$I681)</f>
        <v/>
      </c>
      <c r="P681" s="291" t="str">
        <f t="shared" si="97"/>
        <v/>
      </c>
      <c r="Q681" s="292" t="str">
        <f t="shared" si="98"/>
        <v/>
      </c>
    </row>
    <row r="682" spans="1:17" ht="15" customHeight="1" x14ac:dyDescent="0.2">
      <c r="A682" s="243" t="str">
        <f>IFERROR(INDEX(Txn[Key],MATCH(0,INDEX(COUNTIF($A$1:A681,Txn[Key])+(Txn[Key]=""),0),0)),"")</f>
        <v/>
      </c>
      <c r="B682" s="243" t="str">
        <f t="shared" si="90"/>
        <v/>
      </c>
      <c r="C682" s="243" t="str">
        <f t="shared" si="91"/>
        <v/>
      </c>
      <c r="D682" s="243" t="str">
        <f t="shared" si="92"/>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3"/>
        <v/>
      </c>
      <c r="K682" s="287" t="str">
        <f t="shared" si="94"/>
        <v/>
      </c>
      <c r="L682" s="287" t="str">
        <f t="shared" si="95"/>
        <v/>
      </c>
      <c r="M682" s="290" t="str">
        <f t="shared" si="96"/>
        <v/>
      </c>
      <c r="N682" s="243" t="str">
        <f>IF($A682="","",IF(ABS(E682)&gt;0.000001,COUNT($N$1:N681)+1,""))</f>
        <v/>
      </c>
      <c r="O682" s="291" t="str">
        <f>IF($A682="","",SUMIFS(Transactions!$H$2:$H$1001,Transactions!$J$2:$J$1001,$A682,Transactions!$A$2:$A$1001,2)*$I682)</f>
        <v/>
      </c>
      <c r="P682" s="291" t="str">
        <f t="shared" si="97"/>
        <v/>
      </c>
      <c r="Q682" s="292" t="str">
        <f t="shared" si="98"/>
        <v/>
      </c>
    </row>
    <row r="683" spans="1:17" ht="15" customHeight="1" x14ac:dyDescent="0.2">
      <c r="A683" s="243" t="str">
        <f>IFERROR(INDEX(Txn[Key],MATCH(0,INDEX(COUNTIF($A$1:A682,Txn[Key])+(Txn[Key]=""),0),0)),"")</f>
        <v/>
      </c>
      <c r="B683" s="243" t="str">
        <f t="shared" si="90"/>
        <v/>
      </c>
      <c r="C683" s="243" t="str">
        <f t="shared" si="91"/>
        <v/>
      </c>
      <c r="D683" s="243" t="str">
        <f t="shared" si="92"/>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3"/>
        <v/>
      </c>
      <c r="K683" s="287" t="str">
        <f t="shared" si="94"/>
        <v/>
      </c>
      <c r="L683" s="287" t="str">
        <f t="shared" si="95"/>
        <v/>
      </c>
      <c r="M683" s="290" t="str">
        <f t="shared" si="96"/>
        <v/>
      </c>
      <c r="N683" s="243" t="str">
        <f>IF($A683="","",IF(ABS(E683)&gt;0.000001,COUNT($N$1:N682)+1,""))</f>
        <v/>
      </c>
      <c r="O683" s="291" t="str">
        <f>IF($A683="","",SUMIFS(Transactions!$H$2:$H$1001,Transactions!$J$2:$J$1001,$A683,Transactions!$A$2:$A$1001,2)*$I683)</f>
        <v/>
      </c>
      <c r="P683" s="291" t="str">
        <f t="shared" si="97"/>
        <v/>
      </c>
      <c r="Q683" s="292" t="str">
        <f t="shared" si="98"/>
        <v/>
      </c>
    </row>
    <row r="684" spans="1:17" ht="15" customHeight="1" x14ac:dyDescent="0.2">
      <c r="A684" s="243" t="str">
        <f>IFERROR(INDEX(Txn[Key],MATCH(0,INDEX(COUNTIF($A$1:A683,Txn[Key])+(Txn[Key]=""),0),0)),"")</f>
        <v/>
      </c>
      <c r="B684" s="243" t="str">
        <f t="shared" si="90"/>
        <v/>
      </c>
      <c r="C684" s="243" t="str">
        <f t="shared" si="91"/>
        <v/>
      </c>
      <c r="D684" s="243" t="str">
        <f t="shared" si="92"/>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3"/>
        <v/>
      </c>
      <c r="K684" s="287" t="str">
        <f t="shared" si="94"/>
        <v/>
      </c>
      <c r="L684" s="287" t="str">
        <f t="shared" si="95"/>
        <v/>
      </c>
      <c r="M684" s="290" t="str">
        <f t="shared" si="96"/>
        <v/>
      </c>
      <c r="N684" s="243" t="str">
        <f>IF($A684="","",IF(ABS(E684)&gt;0.000001,COUNT($N$1:N683)+1,""))</f>
        <v/>
      </c>
      <c r="O684" s="291" t="str">
        <f>IF($A684="","",SUMIFS(Transactions!$H$2:$H$1001,Transactions!$J$2:$J$1001,$A684,Transactions!$A$2:$A$1001,2)*$I684)</f>
        <v/>
      </c>
      <c r="P684" s="291" t="str">
        <f t="shared" si="97"/>
        <v/>
      </c>
      <c r="Q684" s="292" t="str">
        <f t="shared" si="98"/>
        <v/>
      </c>
    </row>
    <row r="685" spans="1:17" ht="15" customHeight="1" x14ac:dyDescent="0.2">
      <c r="A685" s="243" t="str">
        <f>IFERROR(INDEX(Txn[Key],MATCH(0,INDEX(COUNTIF($A$1:A684,Txn[Key])+(Txn[Key]=""),0),0)),"")</f>
        <v/>
      </c>
      <c r="B685" s="243" t="str">
        <f t="shared" si="90"/>
        <v/>
      </c>
      <c r="C685" s="243" t="str">
        <f t="shared" si="91"/>
        <v/>
      </c>
      <c r="D685" s="243" t="str">
        <f t="shared" si="92"/>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3"/>
        <v/>
      </c>
      <c r="K685" s="287" t="str">
        <f t="shared" si="94"/>
        <v/>
      </c>
      <c r="L685" s="287" t="str">
        <f t="shared" si="95"/>
        <v/>
      </c>
      <c r="M685" s="290" t="str">
        <f t="shared" si="96"/>
        <v/>
      </c>
      <c r="N685" s="243" t="str">
        <f>IF($A685="","",IF(ABS(E685)&gt;0.000001,COUNT($N$1:N684)+1,""))</f>
        <v/>
      </c>
      <c r="O685" s="291" t="str">
        <f>IF($A685="","",SUMIFS(Transactions!$H$2:$H$1001,Transactions!$J$2:$J$1001,$A685,Transactions!$A$2:$A$1001,2)*$I685)</f>
        <v/>
      </c>
      <c r="P685" s="291" t="str">
        <f t="shared" si="97"/>
        <v/>
      </c>
      <c r="Q685" s="292" t="str">
        <f t="shared" si="98"/>
        <v/>
      </c>
    </row>
    <row r="686" spans="1:17" ht="15" customHeight="1" x14ac:dyDescent="0.2">
      <c r="A686" s="243" t="str">
        <f>IFERROR(INDEX(Txn[Key],MATCH(0,INDEX(COUNTIF($A$1:A685,Txn[Key])+(Txn[Key]=""),0),0)),"")</f>
        <v/>
      </c>
      <c r="B686" s="243" t="str">
        <f t="shared" si="90"/>
        <v/>
      </c>
      <c r="C686" s="243" t="str">
        <f t="shared" si="91"/>
        <v/>
      </c>
      <c r="D686" s="243" t="str">
        <f t="shared" si="92"/>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3"/>
        <v/>
      </c>
      <c r="K686" s="287" t="str">
        <f t="shared" si="94"/>
        <v/>
      </c>
      <c r="L686" s="287" t="str">
        <f t="shared" si="95"/>
        <v/>
      </c>
      <c r="M686" s="290" t="str">
        <f t="shared" si="96"/>
        <v/>
      </c>
      <c r="N686" s="243" t="str">
        <f>IF($A686="","",IF(ABS(E686)&gt;0.000001,COUNT($N$1:N685)+1,""))</f>
        <v/>
      </c>
      <c r="O686" s="291" t="str">
        <f>IF($A686="","",SUMIFS(Transactions!$H$2:$H$1001,Transactions!$J$2:$J$1001,$A686,Transactions!$A$2:$A$1001,2)*$I686)</f>
        <v/>
      </c>
      <c r="P686" s="291" t="str">
        <f t="shared" si="97"/>
        <v/>
      </c>
      <c r="Q686" s="292" t="str">
        <f t="shared" si="98"/>
        <v/>
      </c>
    </row>
    <row r="687" spans="1:17" ht="15" customHeight="1" x14ac:dyDescent="0.2">
      <c r="A687" s="243" t="str">
        <f>IFERROR(INDEX(Txn[Key],MATCH(0,INDEX(COUNTIF($A$1:A686,Txn[Key])+(Txn[Key]=""),0),0)),"")</f>
        <v/>
      </c>
      <c r="B687" s="243" t="str">
        <f t="shared" si="90"/>
        <v/>
      </c>
      <c r="C687" s="243" t="str">
        <f t="shared" si="91"/>
        <v/>
      </c>
      <c r="D687" s="243" t="str">
        <f t="shared" si="92"/>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3"/>
        <v/>
      </c>
      <c r="K687" s="287" t="str">
        <f t="shared" si="94"/>
        <v/>
      </c>
      <c r="L687" s="287" t="str">
        <f t="shared" si="95"/>
        <v/>
      </c>
      <c r="M687" s="290" t="str">
        <f t="shared" si="96"/>
        <v/>
      </c>
      <c r="N687" s="243" t="str">
        <f>IF($A687="","",IF(ABS(E687)&gt;0.000001,COUNT($N$1:N686)+1,""))</f>
        <v/>
      </c>
      <c r="O687" s="291" t="str">
        <f>IF($A687="","",SUMIFS(Transactions!$H$2:$H$1001,Transactions!$J$2:$J$1001,$A687,Transactions!$A$2:$A$1001,2)*$I687)</f>
        <v/>
      </c>
      <c r="P687" s="291" t="str">
        <f t="shared" si="97"/>
        <v/>
      </c>
      <c r="Q687" s="292" t="str">
        <f t="shared" si="98"/>
        <v/>
      </c>
    </row>
    <row r="688" spans="1:17" ht="15" customHeight="1" x14ac:dyDescent="0.2">
      <c r="A688" s="243" t="str">
        <f>IFERROR(INDEX(Txn[Key],MATCH(0,INDEX(COUNTIF($A$1:A687,Txn[Key])+(Txn[Key]=""),0),0)),"")</f>
        <v/>
      </c>
      <c r="B688" s="243" t="str">
        <f t="shared" si="90"/>
        <v/>
      </c>
      <c r="C688" s="243" t="str">
        <f t="shared" si="91"/>
        <v/>
      </c>
      <c r="D688" s="243" t="str">
        <f t="shared" si="92"/>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3"/>
        <v/>
      </c>
      <c r="K688" s="287" t="str">
        <f t="shared" si="94"/>
        <v/>
      </c>
      <c r="L688" s="287" t="str">
        <f t="shared" si="95"/>
        <v/>
      </c>
      <c r="M688" s="290" t="str">
        <f t="shared" si="96"/>
        <v/>
      </c>
      <c r="N688" s="243" t="str">
        <f>IF($A688="","",IF(ABS(E688)&gt;0.000001,COUNT($N$1:N687)+1,""))</f>
        <v/>
      </c>
      <c r="O688" s="291" t="str">
        <f>IF($A688="","",SUMIFS(Transactions!$H$2:$H$1001,Transactions!$J$2:$J$1001,$A688,Transactions!$A$2:$A$1001,2)*$I688)</f>
        <v/>
      </c>
      <c r="P688" s="291" t="str">
        <f t="shared" si="97"/>
        <v/>
      </c>
      <c r="Q688" s="292" t="str">
        <f t="shared" si="98"/>
        <v/>
      </c>
    </row>
    <row r="689" spans="1:17" ht="15" customHeight="1" x14ac:dyDescent="0.2">
      <c r="A689" s="243" t="str">
        <f>IFERROR(INDEX(Txn[Key],MATCH(0,INDEX(COUNTIF($A$1:A688,Txn[Key])+(Txn[Key]=""),0),0)),"")</f>
        <v/>
      </c>
      <c r="B689" s="243" t="str">
        <f t="shared" si="90"/>
        <v/>
      </c>
      <c r="C689" s="243" t="str">
        <f t="shared" si="91"/>
        <v/>
      </c>
      <c r="D689" s="243" t="str">
        <f t="shared" si="92"/>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3"/>
        <v/>
      </c>
      <c r="K689" s="287" t="str">
        <f t="shared" si="94"/>
        <v/>
      </c>
      <c r="L689" s="287" t="str">
        <f t="shared" si="95"/>
        <v/>
      </c>
      <c r="M689" s="290" t="str">
        <f t="shared" si="96"/>
        <v/>
      </c>
      <c r="N689" s="243" t="str">
        <f>IF($A689="","",IF(ABS(E689)&gt;0.000001,COUNT($N$1:N688)+1,""))</f>
        <v/>
      </c>
      <c r="O689" s="291" t="str">
        <f>IF($A689="","",SUMIFS(Transactions!$H$2:$H$1001,Transactions!$J$2:$J$1001,$A689,Transactions!$A$2:$A$1001,2)*$I689)</f>
        <v/>
      </c>
      <c r="P689" s="291" t="str">
        <f t="shared" si="97"/>
        <v/>
      </c>
      <c r="Q689" s="292" t="str">
        <f t="shared" si="98"/>
        <v/>
      </c>
    </row>
    <row r="690" spans="1:17" ht="15" customHeight="1" x14ac:dyDescent="0.2">
      <c r="A690" s="243" t="str">
        <f>IFERROR(INDEX(Txn[Key],MATCH(0,INDEX(COUNTIF($A$1:A689,Txn[Key])+(Txn[Key]=""),0),0)),"")</f>
        <v/>
      </c>
      <c r="B690" s="243" t="str">
        <f t="shared" si="90"/>
        <v/>
      </c>
      <c r="C690" s="243" t="str">
        <f t="shared" si="91"/>
        <v/>
      </c>
      <c r="D690" s="243" t="str">
        <f t="shared" si="92"/>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3"/>
        <v/>
      </c>
      <c r="K690" s="287" t="str">
        <f t="shared" si="94"/>
        <v/>
      </c>
      <c r="L690" s="287" t="str">
        <f t="shared" si="95"/>
        <v/>
      </c>
      <c r="M690" s="290" t="str">
        <f t="shared" si="96"/>
        <v/>
      </c>
      <c r="N690" s="243" t="str">
        <f>IF($A690="","",IF(ABS(E690)&gt;0.000001,COUNT($N$1:N689)+1,""))</f>
        <v/>
      </c>
      <c r="O690" s="291" t="str">
        <f>IF($A690="","",SUMIFS(Transactions!$H$2:$H$1001,Transactions!$J$2:$J$1001,$A690,Transactions!$A$2:$A$1001,2)*$I690)</f>
        <v/>
      </c>
      <c r="P690" s="291" t="str">
        <f t="shared" si="97"/>
        <v/>
      </c>
      <c r="Q690" s="292" t="str">
        <f t="shared" si="98"/>
        <v/>
      </c>
    </row>
    <row r="691" spans="1:17" ht="15" customHeight="1" x14ac:dyDescent="0.2">
      <c r="A691" s="243" t="str">
        <f>IFERROR(INDEX(Txn[Key],MATCH(0,INDEX(COUNTIF($A$1:A690,Txn[Key])+(Txn[Key]=""),0),0)),"")</f>
        <v/>
      </c>
      <c r="B691" s="243" t="str">
        <f t="shared" si="90"/>
        <v/>
      </c>
      <c r="C691" s="243" t="str">
        <f t="shared" si="91"/>
        <v/>
      </c>
      <c r="D691" s="243" t="str">
        <f t="shared" si="92"/>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3"/>
        <v/>
      </c>
      <c r="K691" s="287" t="str">
        <f t="shared" si="94"/>
        <v/>
      </c>
      <c r="L691" s="287" t="str">
        <f t="shared" si="95"/>
        <v/>
      </c>
      <c r="M691" s="290" t="str">
        <f t="shared" si="96"/>
        <v/>
      </c>
      <c r="N691" s="243" t="str">
        <f>IF($A691="","",IF(ABS(E691)&gt;0.000001,COUNT($N$1:N690)+1,""))</f>
        <v/>
      </c>
      <c r="O691" s="291" t="str">
        <f>IF($A691="","",SUMIFS(Transactions!$H$2:$H$1001,Transactions!$J$2:$J$1001,$A691,Transactions!$A$2:$A$1001,2)*$I691)</f>
        <v/>
      </c>
      <c r="P691" s="291" t="str">
        <f t="shared" si="97"/>
        <v/>
      </c>
      <c r="Q691" s="292" t="str">
        <f t="shared" si="98"/>
        <v/>
      </c>
    </row>
    <row r="692" spans="1:17" ht="15" customHeight="1" x14ac:dyDescent="0.2">
      <c r="A692" s="243" t="str">
        <f>IFERROR(INDEX(Txn[Key],MATCH(0,INDEX(COUNTIF($A$1:A691,Txn[Key])+(Txn[Key]=""),0),0)),"")</f>
        <v/>
      </c>
      <c r="B692" s="243" t="str">
        <f t="shared" si="90"/>
        <v/>
      </c>
      <c r="C692" s="243" t="str">
        <f t="shared" si="91"/>
        <v/>
      </c>
      <c r="D692" s="243" t="str">
        <f t="shared" si="92"/>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3"/>
        <v/>
      </c>
      <c r="K692" s="287" t="str">
        <f t="shared" si="94"/>
        <v/>
      </c>
      <c r="L692" s="287" t="str">
        <f t="shared" si="95"/>
        <v/>
      </c>
      <c r="M692" s="290" t="str">
        <f t="shared" si="96"/>
        <v/>
      </c>
      <c r="N692" s="243" t="str">
        <f>IF($A692="","",IF(ABS(E692)&gt;0.000001,COUNT($N$1:N691)+1,""))</f>
        <v/>
      </c>
      <c r="O692" s="291" t="str">
        <f>IF($A692="","",SUMIFS(Transactions!$H$2:$H$1001,Transactions!$J$2:$J$1001,$A692,Transactions!$A$2:$A$1001,2)*$I692)</f>
        <v/>
      </c>
      <c r="P692" s="291" t="str">
        <f t="shared" si="97"/>
        <v/>
      </c>
      <c r="Q692" s="292" t="str">
        <f t="shared" si="98"/>
        <v/>
      </c>
    </row>
    <row r="693" spans="1:17" ht="15" customHeight="1" x14ac:dyDescent="0.2">
      <c r="A693" s="243" t="str">
        <f>IFERROR(INDEX(Txn[Key],MATCH(0,INDEX(COUNTIF($A$1:A692,Txn[Key])+(Txn[Key]=""),0),0)),"")</f>
        <v/>
      </c>
      <c r="B693" s="243" t="str">
        <f t="shared" si="90"/>
        <v/>
      </c>
      <c r="C693" s="243" t="str">
        <f t="shared" si="91"/>
        <v/>
      </c>
      <c r="D693" s="243" t="str">
        <f t="shared" si="92"/>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3"/>
        <v/>
      </c>
      <c r="K693" s="287" t="str">
        <f t="shared" si="94"/>
        <v/>
      </c>
      <c r="L693" s="287" t="str">
        <f t="shared" si="95"/>
        <v/>
      </c>
      <c r="M693" s="290" t="str">
        <f t="shared" si="96"/>
        <v/>
      </c>
      <c r="N693" s="243" t="str">
        <f>IF($A693="","",IF(ABS(E693)&gt;0.000001,COUNT($N$1:N692)+1,""))</f>
        <v/>
      </c>
      <c r="O693" s="291" t="str">
        <f>IF($A693="","",SUMIFS(Transactions!$H$2:$H$1001,Transactions!$J$2:$J$1001,$A693,Transactions!$A$2:$A$1001,2)*$I693)</f>
        <v/>
      </c>
      <c r="P693" s="291" t="str">
        <f t="shared" si="97"/>
        <v/>
      </c>
      <c r="Q693" s="292" t="str">
        <f t="shared" si="98"/>
        <v/>
      </c>
    </row>
    <row r="694" spans="1:17" ht="15" customHeight="1" x14ac:dyDescent="0.2">
      <c r="A694" s="243" t="str">
        <f>IFERROR(INDEX(Txn[Key],MATCH(0,INDEX(COUNTIF($A$1:A693,Txn[Key])+(Txn[Key]=""),0),0)),"")</f>
        <v/>
      </c>
      <c r="B694" s="243" t="str">
        <f t="shared" si="90"/>
        <v/>
      </c>
      <c r="C694" s="243" t="str">
        <f t="shared" si="91"/>
        <v/>
      </c>
      <c r="D694" s="243" t="str">
        <f t="shared" si="92"/>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3"/>
        <v/>
      </c>
      <c r="K694" s="287" t="str">
        <f t="shared" si="94"/>
        <v/>
      </c>
      <c r="L694" s="287" t="str">
        <f t="shared" si="95"/>
        <v/>
      </c>
      <c r="M694" s="290" t="str">
        <f t="shared" si="96"/>
        <v/>
      </c>
      <c r="N694" s="243" t="str">
        <f>IF($A694="","",IF(ABS(E694)&gt;0.000001,COUNT($N$1:N693)+1,""))</f>
        <v/>
      </c>
      <c r="O694" s="291" t="str">
        <f>IF($A694="","",SUMIFS(Transactions!$H$2:$H$1001,Transactions!$J$2:$J$1001,$A694,Transactions!$A$2:$A$1001,2)*$I694)</f>
        <v/>
      </c>
      <c r="P694" s="291" t="str">
        <f t="shared" si="97"/>
        <v/>
      </c>
      <c r="Q694" s="292" t="str">
        <f t="shared" si="98"/>
        <v/>
      </c>
    </row>
    <row r="695" spans="1:17" ht="15" customHeight="1" x14ac:dyDescent="0.2">
      <c r="A695" s="243" t="str">
        <f>IFERROR(INDEX(Txn[Key],MATCH(0,INDEX(COUNTIF($A$1:A694,Txn[Key])+(Txn[Key]=""),0),0)),"")</f>
        <v/>
      </c>
      <c r="B695" s="243" t="str">
        <f t="shared" si="90"/>
        <v/>
      </c>
      <c r="C695" s="243" t="str">
        <f t="shared" si="91"/>
        <v/>
      </c>
      <c r="D695" s="243" t="str">
        <f t="shared" si="92"/>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3"/>
        <v/>
      </c>
      <c r="K695" s="287" t="str">
        <f t="shared" si="94"/>
        <v/>
      </c>
      <c r="L695" s="287" t="str">
        <f t="shared" si="95"/>
        <v/>
      </c>
      <c r="M695" s="290" t="str">
        <f t="shared" si="96"/>
        <v/>
      </c>
      <c r="N695" s="243" t="str">
        <f>IF($A695="","",IF(ABS(E695)&gt;0.000001,COUNT($N$1:N694)+1,""))</f>
        <v/>
      </c>
      <c r="O695" s="291" t="str">
        <f>IF($A695="","",SUMIFS(Transactions!$H$2:$H$1001,Transactions!$J$2:$J$1001,$A695,Transactions!$A$2:$A$1001,2)*$I695)</f>
        <v/>
      </c>
      <c r="P695" s="291" t="str">
        <f t="shared" si="97"/>
        <v/>
      </c>
      <c r="Q695" s="292" t="str">
        <f t="shared" si="98"/>
        <v/>
      </c>
    </row>
    <row r="696" spans="1:17" ht="15" customHeight="1" x14ac:dyDescent="0.2">
      <c r="A696" s="243" t="str">
        <f>IFERROR(INDEX(Txn[Key],MATCH(0,INDEX(COUNTIF($A$1:A695,Txn[Key])+(Txn[Key]=""),0),0)),"")</f>
        <v/>
      </c>
      <c r="B696" s="243" t="str">
        <f t="shared" si="90"/>
        <v/>
      </c>
      <c r="C696" s="243" t="str">
        <f t="shared" si="91"/>
        <v/>
      </c>
      <c r="D696" s="243" t="str">
        <f t="shared" si="92"/>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3"/>
        <v/>
      </c>
      <c r="K696" s="287" t="str">
        <f t="shared" si="94"/>
        <v/>
      </c>
      <c r="L696" s="287" t="str">
        <f t="shared" si="95"/>
        <v/>
      </c>
      <c r="M696" s="290" t="str">
        <f t="shared" si="96"/>
        <v/>
      </c>
      <c r="N696" s="243" t="str">
        <f>IF($A696="","",IF(ABS(E696)&gt;0.000001,COUNT($N$1:N695)+1,""))</f>
        <v/>
      </c>
      <c r="O696" s="291" t="str">
        <f>IF($A696="","",SUMIFS(Transactions!$H$2:$H$1001,Transactions!$J$2:$J$1001,$A696,Transactions!$A$2:$A$1001,2)*$I696)</f>
        <v/>
      </c>
      <c r="P696" s="291" t="str">
        <f t="shared" si="97"/>
        <v/>
      </c>
      <c r="Q696" s="292" t="str">
        <f t="shared" si="98"/>
        <v/>
      </c>
    </row>
    <row r="697" spans="1:17" ht="15" customHeight="1" x14ac:dyDescent="0.2">
      <c r="A697" s="243" t="str">
        <f>IFERROR(INDEX(Txn[Key],MATCH(0,INDEX(COUNTIF($A$1:A696,Txn[Key])+(Txn[Key]=""),0),0)),"")</f>
        <v/>
      </c>
      <c r="B697" s="243" t="str">
        <f t="shared" si="90"/>
        <v/>
      </c>
      <c r="C697" s="243" t="str">
        <f t="shared" si="91"/>
        <v/>
      </c>
      <c r="D697" s="243" t="str">
        <f t="shared" si="92"/>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3"/>
        <v/>
      </c>
      <c r="K697" s="287" t="str">
        <f t="shared" si="94"/>
        <v/>
      </c>
      <c r="L697" s="287" t="str">
        <f t="shared" si="95"/>
        <v/>
      </c>
      <c r="M697" s="290" t="str">
        <f t="shared" si="96"/>
        <v/>
      </c>
      <c r="N697" s="243" t="str">
        <f>IF($A697="","",IF(ABS(E697)&gt;0.000001,COUNT($N$1:N696)+1,""))</f>
        <v/>
      </c>
      <c r="O697" s="291" t="str">
        <f>IF($A697="","",SUMIFS(Transactions!$H$2:$H$1001,Transactions!$J$2:$J$1001,$A697,Transactions!$A$2:$A$1001,2)*$I697)</f>
        <v/>
      </c>
      <c r="P697" s="291" t="str">
        <f t="shared" si="97"/>
        <v/>
      </c>
      <c r="Q697" s="292" t="str">
        <f t="shared" si="98"/>
        <v/>
      </c>
    </row>
    <row r="698" spans="1:17" ht="15" customHeight="1" x14ac:dyDescent="0.2">
      <c r="A698" s="243" t="str">
        <f>IFERROR(INDEX(Txn[Key],MATCH(0,INDEX(COUNTIF($A$1:A697,Txn[Key])+(Txn[Key]=""),0),0)),"")</f>
        <v/>
      </c>
      <c r="B698" s="243" t="str">
        <f t="shared" si="90"/>
        <v/>
      </c>
      <c r="C698" s="243" t="str">
        <f t="shared" si="91"/>
        <v/>
      </c>
      <c r="D698" s="243" t="str">
        <f t="shared" si="92"/>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3"/>
        <v/>
      </c>
      <c r="K698" s="287" t="str">
        <f t="shared" si="94"/>
        <v/>
      </c>
      <c r="L698" s="287" t="str">
        <f t="shared" si="95"/>
        <v/>
      </c>
      <c r="M698" s="290" t="str">
        <f t="shared" si="96"/>
        <v/>
      </c>
      <c r="N698" s="243" t="str">
        <f>IF($A698="","",IF(ABS(E698)&gt;0.000001,COUNT($N$1:N697)+1,""))</f>
        <v/>
      </c>
      <c r="O698" s="291" t="str">
        <f>IF($A698="","",SUMIFS(Transactions!$H$2:$H$1001,Transactions!$J$2:$J$1001,$A698,Transactions!$A$2:$A$1001,2)*$I698)</f>
        <v/>
      </c>
      <c r="P698" s="291" t="str">
        <f t="shared" si="97"/>
        <v/>
      </c>
      <c r="Q698" s="292" t="str">
        <f t="shared" si="98"/>
        <v/>
      </c>
    </row>
    <row r="699" spans="1:17" ht="15" customHeight="1" x14ac:dyDescent="0.2">
      <c r="A699" s="243" t="str">
        <f>IFERROR(INDEX(Txn[Key],MATCH(0,INDEX(COUNTIF($A$1:A698,Txn[Key])+(Txn[Key]=""),0),0)),"")</f>
        <v/>
      </c>
      <c r="B699" s="243" t="str">
        <f t="shared" si="90"/>
        <v/>
      </c>
      <c r="C699" s="243" t="str">
        <f t="shared" si="91"/>
        <v/>
      </c>
      <c r="D699" s="243" t="str">
        <f t="shared" si="92"/>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3"/>
        <v/>
      </c>
      <c r="K699" s="287" t="str">
        <f t="shared" si="94"/>
        <v/>
      </c>
      <c r="L699" s="287" t="str">
        <f t="shared" si="95"/>
        <v/>
      </c>
      <c r="M699" s="290" t="str">
        <f t="shared" si="96"/>
        <v/>
      </c>
      <c r="N699" s="243" t="str">
        <f>IF($A699="","",IF(ABS(E699)&gt;0.000001,COUNT($N$1:N698)+1,""))</f>
        <v/>
      </c>
      <c r="O699" s="291" t="str">
        <f>IF($A699="","",SUMIFS(Transactions!$H$2:$H$1001,Transactions!$J$2:$J$1001,$A699,Transactions!$A$2:$A$1001,2)*$I699)</f>
        <v/>
      </c>
      <c r="P699" s="291" t="str">
        <f t="shared" si="97"/>
        <v/>
      </c>
      <c r="Q699" s="292" t="str">
        <f t="shared" si="98"/>
        <v/>
      </c>
    </row>
    <row r="700" spans="1:17" ht="15" customHeight="1" x14ac:dyDescent="0.2">
      <c r="A700" s="243" t="str">
        <f>IFERROR(INDEX(Txn[Key],MATCH(0,INDEX(COUNTIF($A$1:A699,Txn[Key])+(Txn[Key]=""),0),0)),"")</f>
        <v/>
      </c>
      <c r="B700" s="243" t="str">
        <f t="shared" si="90"/>
        <v/>
      </c>
      <c r="C700" s="243" t="str">
        <f t="shared" si="91"/>
        <v/>
      </c>
      <c r="D700" s="243" t="str">
        <f t="shared" si="92"/>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3"/>
        <v/>
      </c>
      <c r="K700" s="287" t="str">
        <f t="shared" si="94"/>
        <v/>
      </c>
      <c r="L700" s="287" t="str">
        <f t="shared" si="95"/>
        <v/>
      </c>
      <c r="M700" s="290" t="str">
        <f t="shared" si="96"/>
        <v/>
      </c>
      <c r="N700" s="243" t="str">
        <f>IF($A700="","",IF(ABS(E700)&gt;0.000001,COUNT($N$1:N699)+1,""))</f>
        <v/>
      </c>
      <c r="O700" s="291" t="str">
        <f>IF($A700="","",SUMIFS(Transactions!$H$2:$H$1001,Transactions!$J$2:$J$1001,$A700,Transactions!$A$2:$A$1001,2)*$I700)</f>
        <v/>
      </c>
      <c r="P700" s="291" t="str">
        <f t="shared" si="97"/>
        <v/>
      </c>
      <c r="Q700" s="292" t="str">
        <f t="shared" si="98"/>
        <v/>
      </c>
    </row>
    <row r="701" spans="1:17" ht="15" customHeight="1" x14ac:dyDescent="0.2">
      <c r="A701" s="243" t="str">
        <f>IFERROR(INDEX(Txn[Key],MATCH(0,INDEX(COUNTIF($A$1:A700,Txn[Key])+(Txn[Key]=""),0),0)),"")</f>
        <v/>
      </c>
      <c r="B701" s="243" t="str">
        <f t="shared" si="90"/>
        <v/>
      </c>
      <c r="C701" s="243" t="str">
        <f t="shared" si="91"/>
        <v/>
      </c>
      <c r="D701" s="243" t="str">
        <f t="shared" si="92"/>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3"/>
        <v/>
      </c>
      <c r="K701" s="287" t="str">
        <f t="shared" si="94"/>
        <v/>
      </c>
      <c r="L701" s="287" t="str">
        <f t="shared" si="95"/>
        <v/>
      </c>
      <c r="M701" s="290" t="str">
        <f t="shared" si="96"/>
        <v/>
      </c>
      <c r="N701" s="243" t="str">
        <f>IF($A701="","",IF(ABS(E701)&gt;0.000001,COUNT($N$1:N700)+1,""))</f>
        <v/>
      </c>
      <c r="O701" s="291" t="str">
        <f>IF($A701="","",SUMIFS(Transactions!$H$2:$H$1001,Transactions!$J$2:$J$1001,$A701,Transactions!$A$2:$A$1001,2)*$I701)</f>
        <v/>
      </c>
      <c r="P701" s="291" t="str">
        <f t="shared" si="97"/>
        <v/>
      </c>
      <c r="Q701" s="292" t="str">
        <f t="shared" si="98"/>
        <v/>
      </c>
    </row>
    <row r="702" spans="1:17" ht="15" customHeight="1" x14ac:dyDescent="0.2">
      <c r="A702" s="243" t="str">
        <f>IFERROR(INDEX(Txn[Key],MATCH(0,INDEX(COUNTIF($A$1:A701,Txn[Key])+(Txn[Key]=""),0),0)),"")</f>
        <v/>
      </c>
      <c r="B702" s="243" t="str">
        <f t="shared" si="90"/>
        <v/>
      </c>
      <c r="C702" s="243" t="str">
        <f t="shared" si="91"/>
        <v/>
      </c>
      <c r="D702" s="243" t="str">
        <f t="shared" si="92"/>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3"/>
        <v/>
      </c>
      <c r="K702" s="287" t="str">
        <f t="shared" si="94"/>
        <v/>
      </c>
      <c r="L702" s="287" t="str">
        <f t="shared" si="95"/>
        <v/>
      </c>
      <c r="M702" s="290" t="str">
        <f t="shared" si="96"/>
        <v/>
      </c>
      <c r="N702" s="243" t="str">
        <f>IF($A702="","",IF(ABS(E702)&gt;0.000001,COUNT($N$1:N701)+1,""))</f>
        <v/>
      </c>
      <c r="O702" s="291" t="str">
        <f>IF($A702="","",SUMIFS(Transactions!$H$2:$H$1001,Transactions!$J$2:$J$1001,$A702,Transactions!$A$2:$A$1001,2)*$I702)</f>
        <v/>
      </c>
      <c r="P702" s="291" t="str">
        <f t="shared" si="97"/>
        <v/>
      </c>
      <c r="Q702" s="292" t="str">
        <f t="shared" si="98"/>
        <v/>
      </c>
    </row>
    <row r="703" spans="1:17" ht="15" customHeight="1" x14ac:dyDescent="0.2">
      <c r="A703" s="243" t="str">
        <f>IFERROR(INDEX(Txn[Key],MATCH(0,INDEX(COUNTIF($A$1:A702,Txn[Key])+(Txn[Key]=""),0),0)),"")</f>
        <v/>
      </c>
      <c r="B703" s="243" t="str">
        <f t="shared" si="90"/>
        <v/>
      </c>
      <c r="C703" s="243" t="str">
        <f t="shared" si="91"/>
        <v/>
      </c>
      <c r="D703" s="243" t="str">
        <f t="shared" si="92"/>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3"/>
        <v/>
      </c>
      <c r="K703" s="287" t="str">
        <f t="shared" si="94"/>
        <v/>
      </c>
      <c r="L703" s="287" t="str">
        <f t="shared" si="95"/>
        <v/>
      </c>
      <c r="M703" s="290" t="str">
        <f t="shared" si="96"/>
        <v/>
      </c>
      <c r="N703" s="243" t="str">
        <f>IF($A703="","",IF(ABS(E703)&gt;0.000001,COUNT($N$1:N702)+1,""))</f>
        <v/>
      </c>
      <c r="O703" s="291" t="str">
        <f>IF($A703="","",SUMIFS(Transactions!$H$2:$H$1001,Transactions!$J$2:$J$1001,$A703,Transactions!$A$2:$A$1001,2)*$I703)</f>
        <v/>
      </c>
      <c r="P703" s="291" t="str">
        <f t="shared" si="97"/>
        <v/>
      </c>
      <c r="Q703" s="292" t="str">
        <f t="shared" si="98"/>
        <v/>
      </c>
    </row>
    <row r="704" spans="1:17" ht="15" customHeight="1" x14ac:dyDescent="0.2">
      <c r="A704" s="243" t="str">
        <f>IFERROR(INDEX(Txn[Key],MATCH(0,INDEX(COUNTIF($A$1:A703,Txn[Key])+(Txn[Key]=""),0),0)),"")</f>
        <v/>
      </c>
      <c r="B704" s="243" t="str">
        <f t="shared" si="90"/>
        <v/>
      </c>
      <c r="C704" s="243" t="str">
        <f t="shared" si="91"/>
        <v/>
      </c>
      <c r="D704" s="243" t="str">
        <f t="shared" si="92"/>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3"/>
        <v/>
      </c>
      <c r="K704" s="287" t="str">
        <f t="shared" si="94"/>
        <v/>
      </c>
      <c r="L704" s="287" t="str">
        <f t="shared" si="95"/>
        <v/>
      </c>
      <c r="M704" s="290" t="str">
        <f t="shared" si="96"/>
        <v/>
      </c>
      <c r="N704" s="243" t="str">
        <f>IF($A704="","",IF(ABS(E704)&gt;0.000001,COUNT($N$1:N703)+1,""))</f>
        <v/>
      </c>
      <c r="O704" s="291" t="str">
        <f>IF($A704="","",SUMIFS(Transactions!$H$2:$H$1001,Transactions!$J$2:$J$1001,$A704,Transactions!$A$2:$A$1001,2)*$I704)</f>
        <v/>
      </c>
      <c r="P704" s="291" t="str">
        <f t="shared" si="97"/>
        <v/>
      </c>
      <c r="Q704" s="292" t="str">
        <f t="shared" si="98"/>
        <v/>
      </c>
    </row>
    <row r="705" spans="1:17" ht="15" customHeight="1" x14ac:dyDescent="0.2">
      <c r="A705" s="243" t="str">
        <f>IFERROR(INDEX(Txn[Key],MATCH(0,INDEX(COUNTIF($A$1:A704,Txn[Key])+(Txn[Key]=""),0),0)),"")</f>
        <v/>
      </c>
      <c r="B705" s="243" t="str">
        <f t="shared" si="90"/>
        <v/>
      </c>
      <c r="C705" s="243" t="str">
        <f t="shared" si="91"/>
        <v/>
      </c>
      <c r="D705" s="243" t="str">
        <f t="shared" si="92"/>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3"/>
        <v/>
      </c>
      <c r="K705" s="287" t="str">
        <f t="shared" si="94"/>
        <v/>
      </c>
      <c r="L705" s="287" t="str">
        <f t="shared" si="95"/>
        <v/>
      </c>
      <c r="M705" s="290" t="str">
        <f t="shared" si="96"/>
        <v/>
      </c>
      <c r="N705" s="243" t="str">
        <f>IF($A705="","",IF(ABS(E705)&gt;0.000001,COUNT($N$1:N704)+1,""))</f>
        <v/>
      </c>
      <c r="O705" s="291" t="str">
        <f>IF($A705="","",SUMIFS(Transactions!$H$2:$H$1001,Transactions!$J$2:$J$1001,$A705,Transactions!$A$2:$A$1001,2)*$I705)</f>
        <v/>
      </c>
      <c r="P705" s="291" t="str">
        <f t="shared" si="97"/>
        <v/>
      </c>
      <c r="Q705" s="292" t="str">
        <f t="shared" si="98"/>
        <v/>
      </c>
    </row>
    <row r="706" spans="1:17" ht="15" customHeight="1" x14ac:dyDescent="0.2">
      <c r="A706" s="243" t="str">
        <f>IFERROR(INDEX(Txn[Key],MATCH(0,INDEX(COUNTIF($A$1:A705,Txn[Key])+(Txn[Key]=""),0),0)),"")</f>
        <v/>
      </c>
      <c r="B706" s="243" t="str">
        <f t="shared" ref="B706:B769" si="99">IF($A706="","",LEFT($A706,FIND(":",$A706)-1))</f>
        <v/>
      </c>
      <c r="C706" s="243" t="str">
        <f t="shared" ref="C706:C769" si="100">IF($A706="","",MID($A706,FIND(":",$A706)+1,FIND(":",$A706,FIND(":",$A706)+1)-FIND(":",$A706)-1))</f>
        <v/>
      </c>
      <c r="D706" s="243" t="str">
        <f t="shared" ref="D706:D769" si="101">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2">IF($A706="","",E706*H706)</f>
        <v/>
      </c>
      <c r="K706" s="287" t="str">
        <f t="shared" ref="K706:K769" si="103">IF($A706="","",J706+G706-F706)</f>
        <v/>
      </c>
      <c r="L706" s="287" t="str">
        <f t="shared" ref="L706:L769" si="104">IF($A706="","",K706*I706)</f>
        <v/>
      </c>
      <c r="M706" s="290" t="str">
        <f t="shared" ref="M706:M769" si="105">IF($A706="","",IFERROR(K706/F706,0))</f>
        <v/>
      </c>
      <c r="N706" s="243" t="str">
        <f>IF($A706="","",IF(ABS(E706)&gt;0.000001,COUNT($N$1:N705)+1,""))</f>
        <v/>
      </c>
      <c r="O706" s="291" t="str">
        <f>IF($A706="","",SUMIFS(Transactions!$H$2:$H$1001,Transactions!$J$2:$J$1001,$A706,Transactions!$A$2:$A$1001,2)*$I706)</f>
        <v/>
      </c>
      <c r="P706" s="291" t="str">
        <f t="shared" ref="P706:P769" si="106">IF($A706="","",$L706+$O706)</f>
        <v/>
      </c>
      <c r="Q706" s="292" t="str">
        <f t="shared" ref="Q706:Q769" si="107">IF($A706="","",IFERROR(($L706+$O706)/($F706*$I706),0))</f>
        <v/>
      </c>
    </row>
    <row r="707" spans="1:17" ht="15" customHeight="1" x14ac:dyDescent="0.2">
      <c r="A707" s="243" t="str">
        <f>IFERROR(INDEX(Txn[Key],MATCH(0,INDEX(COUNTIF($A$1:A706,Txn[Key])+(Txn[Key]=""),0),0)),"")</f>
        <v/>
      </c>
      <c r="B707" s="243" t="str">
        <f t="shared" si="99"/>
        <v/>
      </c>
      <c r="C707" s="243" t="str">
        <f t="shared" si="100"/>
        <v/>
      </c>
      <c r="D707" s="243" t="str">
        <f t="shared" si="101"/>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2"/>
        <v/>
      </c>
      <c r="K707" s="287" t="str">
        <f t="shared" si="103"/>
        <v/>
      </c>
      <c r="L707" s="287" t="str">
        <f t="shared" si="104"/>
        <v/>
      </c>
      <c r="M707" s="290" t="str">
        <f t="shared" si="105"/>
        <v/>
      </c>
      <c r="N707" s="243" t="str">
        <f>IF($A707="","",IF(ABS(E707)&gt;0.000001,COUNT($N$1:N706)+1,""))</f>
        <v/>
      </c>
      <c r="O707" s="291" t="str">
        <f>IF($A707="","",SUMIFS(Transactions!$H$2:$H$1001,Transactions!$J$2:$J$1001,$A707,Transactions!$A$2:$A$1001,2)*$I707)</f>
        <v/>
      </c>
      <c r="P707" s="291" t="str">
        <f t="shared" si="106"/>
        <v/>
      </c>
      <c r="Q707" s="292" t="str">
        <f t="shared" si="107"/>
        <v/>
      </c>
    </row>
    <row r="708" spans="1:17" ht="15" customHeight="1" x14ac:dyDescent="0.2">
      <c r="A708" s="243" t="str">
        <f>IFERROR(INDEX(Txn[Key],MATCH(0,INDEX(COUNTIF($A$1:A707,Txn[Key])+(Txn[Key]=""),0),0)),"")</f>
        <v/>
      </c>
      <c r="B708" s="243" t="str">
        <f t="shared" si="99"/>
        <v/>
      </c>
      <c r="C708" s="243" t="str">
        <f t="shared" si="100"/>
        <v/>
      </c>
      <c r="D708" s="243" t="str">
        <f t="shared" si="101"/>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2"/>
        <v/>
      </c>
      <c r="K708" s="287" t="str">
        <f t="shared" si="103"/>
        <v/>
      </c>
      <c r="L708" s="287" t="str">
        <f t="shared" si="104"/>
        <v/>
      </c>
      <c r="M708" s="290" t="str">
        <f t="shared" si="105"/>
        <v/>
      </c>
      <c r="N708" s="243" t="str">
        <f>IF($A708="","",IF(ABS(E708)&gt;0.000001,COUNT($N$1:N707)+1,""))</f>
        <v/>
      </c>
      <c r="O708" s="291" t="str">
        <f>IF($A708="","",SUMIFS(Transactions!$H$2:$H$1001,Transactions!$J$2:$J$1001,$A708,Transactions!$A$2:$A$1001,2)*$I708)</f>
        <v/>
      </c>
      <c r="P708" s="291" t="str">
        <f t="shared" si="106"/>
        <v/>
      </c>
      <c r="Q708" s="292" t="str">
        <f t="shared" si="107"/>
        <v/>
      </c>
    </row>
    <row r="709" spans="1:17" ht="15" customHeight="1" x14ac:dyDescent="0.2">
      <c r="A709" s="243" t="str">
        <f>IFERROR(INDEX(Txn[Key],MATCH(0,INDEX(COUNTIF($A$1:A708,Txn[Key])+(Txn[Key]=""),0),0)),"")</f>
        <v/>
      </c>
      <c r="B709" s="243" t="str">
        <f t="shared" si="99"/>
        <v/>
      </c>
      <c r="C709" s="243" t="str">
        <f t="shared" si="100"/>
        <v/>
      </c>
      <c r="D709" s="243" t="str">
        <f t="shared" si="101"/>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2"/>
        <v/>
      </c>
      <c r="K709" s="287" t="str">
        <f t="shared" si="103"/>
        <v/>
      </c>
      <c r="L709" s="287" t="str">
        <f t="shared" si="104"/>
        <v/>
      </c>
      <c r="M709" s="290" t="str">
        <f t="shared" si="105"/>
        <v/>
      </c>
      <c r="N709" s="243" t="str">
        <f>IF($A709="","",IF(ABS(E709)&gt;0.000001,COUNT($N$1:N708)+1,""))</f>
        <v/>
      </c>
      <c r="O709" s="291" t="str">
        <f>IF($A709="","",SUMIFS(Transactions!$H$2:$H$1001,Transactions!$J$2:$J$1001,$A709,Transactions!$A$2:$A$1001,2)*$I709)</f>
        <v/>
      </c>
      <c r="P709" s="291" t="str">
        <f t="shared" si="106"/>
        <v/>
      </c>
      <c r="Q709" s="292" t="str">
        <f t="shared" si="107"/>
        <v/>
      </c>
    </row>
    <row r="710" spans="1:17" ht="15" customHeight="1" x14ac:dyDescent="0.2">
      <c r="A710" s="243" t="str">
        <f>IFERROR(INDEX(Txn[Key],MATCH(0,INDEX(COUNTIF($A$1:A709,Txn[Key])+(Txn[Key]=""),0),0)),"")</f>
        <v/>
      </c>
      <c r="B710" s="243" t="str">
        <f t="shared" si="99"/>
        <v/>
      </c>
      <c r="C710" s="243" t="str">
        <f t="shared" si="100"/>
        <v/>
      </c>
      <c r="D710" s="243" t="str">
        <f t="shared" si="101"/>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2"/>
        <v/>
      </c>
      <c r="K710" s="287" t="str">
        <f t="shared" si="103"/>
        <v/>
      </c>
      <c r="L710" s="287" t="str">
        <f t="shared" si="104"/>
        <v/>
      </c>
      <c r="M710" s="290" t="str">
        <f t="shared" si="105"/>
        <v/>
      </c>
      <c r="N710" s="243" t="str">
        <f>IF($A710="","",IF(ABS(E710)&gt;0.000001,COUNT($N$1:N709)+1,""))</f>
        <v/>
      </c>
      <c r="O710" s="291" t="str">
        <f>IF($A710="","",SUMIFS(Transactions!$H$2:$H$1001,Transactions!$J$2:$J$1001,$A710,Transactions!$A$2:$A$1001,2)*$I710)</f>
        <v/>
      </c>
      <c r="P710" s="291" t="str">
        <f t="shared" si="106"/>
        <v/>
      </c>
      <c r="Q710" s="292" t="str">
        <f t="shared" si="107"/>
        <v/>
      </c>
    </row>
    <row r="711" spans="1:17" ht="15" customHeight="1" x14ac:dyDescent="0.2">
      <c r="A711" s="243" t="str">
        <f>IFERROR(INDEX(Txn[Key],MATCH(0,INDEX(COUNTIF($A$1:A710,Txn[Key])+(Txn[Key]=""),0),0)),"")</f>
        <v/>
      </c>
      <c r="B711" s="243" t="str">
        <f t="shared" si="99"/>
        <v/>
      </c>
      <c r="C711" s="243" t="str">
        <f t="shared" si="100"/>
        <v/>
      </c>
      <c r="D711" s="243" t="str">
        <f t="shared" si="101"/>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2"/>
        <v/>
      </c>
      <c r="K711" s="287" t="str">
        <f t="shared" si="103"/>
        <v/>
      </c>
      <c r="L711" s="287" t="str">
        <f t="shared" si="104"/>
        <v/>
      </c>
      <c r="M711" s="290" t="str">
        <f t="shared" si="105"/>
        <v/>
      </c>
      <c r="N711" s="243" t="str">
        <f>IF($A711="","",IF(ABS(E711)&gt;0.000001,COUNT($N$1:N710)+1,""))</f>
        <v/>
      </c>
      <c r="O711" s="291" t="str">
        <f>IF($A711="","",SUMIFS(Transactions!$H$2:$H$1001,Transactions!$J$2:$J$1001,$A711,Transactions!$A$2:$A$1001,2)*$I711)</f>
        <v/>
      </c>
      <c r="P711" s="291" t="str">
        <f t="shared" si="106"/>
        <v/>
      </c>
      <c r="Q711" s="292" t="str">
        <f t="shared" si="107"/>
        <v/>
      </c>
    </row>
    <row r="712" spans="1:17" ht="15" customHeight="1" x14ac:dyDescent="0.2">
      <c r="A712" s="243" t="str">
        <f>IFERROR(INDEX(Txn[Key],MATCH(0,INDEX(COUNTIF($A$1:A711,Txn[Key])+(Txn[Key]=""),0),0)),"")</f>
        <v/>
      </c>
      <c r="B712" s="243" t="str">
        <f t="shared" si="99"/>
        <v/>
      </c>
      <c r="C712" s="243" t="str">
        <f t="shared" si="100"/>
        <v/>
      </c>
      <c r="D712" s="243" t="str">
        <f t="shared" si="101"/>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2"/>
        <v/>
      </c>
      <c r="K712" s="287" t="str">
        <f t="shared" si="103"/>
        <v/>
      </c>
      <c r="L712" s="287" t="str">
        <f t="shared" si="104"/>
        <v/>
      </c>
      <c r="M712" s="290" t="str">
        <f t="shared" si="105"/>
        <v/>
      </c>
      <c r="N712" s="243" t="str">
        <f>IF($A712="","",IF(ABS(E712)&gt;0.000001,COUNT($N$1:N711)+1,""))</f>
        <v/>
      </c>
      <c r="O712" s="291" t="str">
        <f>IF($A712="","",SUMIFS(Transactions!$H$2:$H$1001,Transactions!$J$2:$J$1001,$A712,Transactions!$A$2:$A$1001,2)*$I712)</f>
        <v/>
      </c>
      <c r="P712" s="291" t="str">
        <f t="shared" si="106"/>
        <v/>
      </c>
      <c r="Q712" s="292" t="str">
        <f t="shared" si="107"/>
        <v/>
      </c>
    </row>
    <row r="713" spans="1:17" ht="15" customHeight="1" x14ac:dyDescent="0.2">
      <c r="A713" s="243" t="str">
        <f>IFERROR(INDEX(Txn[Key],MATCH(0,INDEX(COUNTIF($A$1:A712,Txn[Key])+(Txn[Key]=""),0),0)),"")</f>
        <v/>
      </c>
      <c r="B713" s="243" t="str">
        <f t="shared" si="99"/>
        <v/>
      </c>
      <c r="C713" s="243" t="str">
        <f t="shared" si="100"/>
        <v/>
      </c>
      <c r="D713" s="243" t="str">
        <f t="shared" si="101"/>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2"/>
        <v/>
      </c>
      <c r="K713" s="287" t="str">
        <f t="shared" si="103"/>
        <v/>
      </c>
      <c r="L713" s="287" t="str">
        <f t="shared" si="104"/>
        <v/>
      </c>
      <c r="M713" s="290" t="str">
        <f t="shared" si="105"/>
        <v/>
      </c>
      <c r="N713" s="243" t="str">
        <f>IF($A713="","",IF(ABS(E713)&gt;0.000001,COUNT($N$1:N712)+1,""))</f>
        <v/>
      </c>
      <c r="O713" s="291" t="str">
        <f>IF($A713="","",SUMIFS(Transactions!$H$2:$H$1001,Transactions!$J$2:$J$1001,$A713,Transactions!$A$2:$A$1001,2)*$I713)</f>
        <v/>
      </c>
      <c r="P713" s="291" t="str">
        <f t="shared" si="106"/>
        <v/>
      </c>
      <c r="Q713" s="292" t="str">
        <f t="shared" si="107"/>
        <v/>
      </c>
    </row>
    <row r="714" spans="1:17" ht="15" customHeight="1" x14ac:dyDescent="0.2">
      <c r="A714" s="243" t="str">
        <f>IFERROR(INDEX(Txn[Key],MATCH(0,INDEX(COUNTIF($A$1:A713,Txn[Key])+(Txn[Key]=""),0),0)),"")</f>
        <v/>
      </c>
      <c r="B714" s="243" t="str">
        <f t="shared" si="99"/>
        <v/>
      </c>
      <c r="C714" s="243" t="str">
        <f t="shared" si="100"/>
        <v/>
      </c>
      <c r="D714" s="243" t="str">
        <f t="shared" si="101"/>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2"/>
        <v/>
      </c>
      <c r="K714" s="287" t="str">
        <f t="shared" si="103"/>
        <v/>
      </c>
      <c r="L714" s="287" t="str">
        <f t="shared" si="104"/>
        <v/>
      </c>
      <c r="M714" s="290" t="str">
        <f t="shared" si="105"/>
        <v/>
      </c>
      <c r="N714" s="243" t="str">
        <f>IF($A714="","",IF(ABS(E714)&gt;0.000001,COUNT($N$1:N713)+1,""))</f>
        <v/>
      </c>
      <c r="O714" s="291" t="str">
        <f>IF($A714="","",SUMIFS(Transactions!$H$2:$H$1001,Transactions!$J$2:$J$1001,$A714,Transactions!$A$2:$A$1001,2)*$I714)</f>
        <v/>
      </c>
      <c r="P714" s="291" t="str">
        <f t="shared" si="106"/>
        <v/>
      </c>
      <c r="Q714" s="292" t="str">
        <f t="shared" si="107"/>
        <v/>
      </c>
    </row>
    <row r="715" spans="1:17" ht="15" customHeight="1" x14ac:dyDescent="0.2">
      <c r="A715" s="243" t="str">
        <f>IFERROR(INDEX(Txn[Key],MATCH(0,INDEX(COUNTIF($A$1:A714,Txn[Key])+(Txn[Key]=""),0),0)),"")</f>
        <v/>
      </c>
      <c r="B715" s="243" t="str">
        <f t="shared" si="99"/>
        <v/>
      </c>
      <c r="C715" s="243" t="str">
        <f t="shared" si="100"/>
        <v/>
      </c>
      <c r="D715" s="243" t="str">
        <f t="shared" si="101"/>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2"/>
        <v/>
      </c>
      <c r="K715" s="287" t="str">
        <f t="shared" si="103"/>
        <v/>
      </c>
      <c r="L715" s="287" t="str">
        <f t="shared" si="104"/>
        <v/>
      </c>
      <c r="M715" s="290" t="str">
        <f t="shared" si="105"/>
        <v/>
      </c>
      <c r="N715" s="243" t="str">
        <f>IF($A715="","",IF(ABS(E715)&gt;0.000001,COUNT($N$1:N714)+1,""))</f>
        <v/>
      </c>
      <c r="O715" s="291" t="str">
        <f>IF($A715="","",SUMIFS(Transactions!$H$2:$H$1001,Transactions!$J$2:$J$1001,$A715,Transactions!$A$2:$A$1001,2)*$I715)</f>
        <v/>
      </c>
      <c r="P715" s="291" t="str">
        <f t="shared" si="106"/>
        <v/>
      </c>
      <c r="Q715" s="292" t="str">
        <f t="shared" si="107"/>
        <v/>
      </c>
    </row>
    <row r="716" spans="1:17" ht="15" customHeight="1" x14ac:dyDescent="0.2">
      <c r="A716" s="243" t="str">
        <f>IFERROR(INDEX(Txn[Key],MATCH(0,INDEX(COUNTIF($A$1:A715,Txn[Key])+(Txn[Key]=""),0),0)),"")</f>
        <v/>
      </c>
      <c r="B716" s="243" t="str">
        <f t="shared" si="99"/>
        <v/>
      </c>
      <c r="C716" s="243" t="str">
        <f t="shared" si="100"/>
        <v/>
      </c>
      <c r="D716" s="243" t="str">
        <f t="shared" si="101"/>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2"/>
        <v/>
      </c>
      <c r="K716" s="287" t="str">
        <f t="shared" si="103"/>
        <v/>
      </c>
      <c r="L716" s="287" t="str">
        <f t="shared" si="104"/>
        <v/>
      </c>
      <c r="M716" s="290" t="str">
        <f t="shared" si="105"/>
        <v/>
      </c>
      <c r="N716" s="243" t="str">
        <f>IF($A716="","",IF(ABS(E716)&gt;0.000001,COUNT($N$1:N715)+1,""))</f>
        <v/>
      </c>
      <c r="O716" s="291" t="str">
        <f>IF($A716="","",SUMIFS(Transactions!$H$2:$H$1001,Transactions!$J$2:$J$1001,$A716,Transactions!$A$2:$A$1001,2)*$I716)</f>
        <v/>
      </c>
      <c r="P716" s="291" t="str">
        <f t="shared" si="106"/>
        <v/>
      </c>
      <c r="Q716" s="292" t="str">
        <f t="shared" si="107"/>
        <v/>
      </c>
    </row>
    <row r="717" spans="1:17" ht="15" customHeight="1" x14ac:dyDescent="0.2">
      <c r="A717" s="243" t="str">
        <f>IFERROR(INDEX(Txn[Key],MATCH(0,INDEX(COUNTIF($A$1:A716,Txn[Key])+(Txn[Key]=""),0),0)),"")</f>
        <v/>
      </c>
      <c r="B717" s="243" t="str">
        <f t="shared" si="99"/>
        <v/>
      </c>
      <c r="C717" s="243" t="str">
        <f t="shared" si="100"/>
        <v/>
      </c>
      <c r="D717" s="243" t="str">
        <f t="shared" si="101"/>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2"/>
        <v/>
      </c>
      <c r="K717" s="287" t="str">
        <f t="shared" si="103"/>
        <v/>
      </c>
      <c r="L717" s="287" t="str">
        <f t="shared" si="104"/>
        <v/>
      </c>
      <c r="M717" s="290" t="str">
        <f t="shared" si="105"/>
        <v/>
      </c>
      <c r="N717" s="243" t="str">
        <f>IF($A717="","",IF(ABS(E717)&gt;0.000001,COUNT($N$1:N716)+1,""))</f>
        <v/>
      </c>
      <c r="O717" s="291" t="str">
        <f>IF($A717="","",SUMIFS(Transactions!$H$2:$H$1001,Transactions!$J$2:$J$1001,$A717,Transactions!$A$2:$A$1001,2)*$I717)</f>
        <v/>
      </c>
      <c r="P717" s="291" t="str">
        <f t="shared" si="106"/>
        <v/>
      </c>
      <c r="Q717" s="292" t="str">
        <f t="shared" si="107"/>
        <v/>
      </c>
    </row>
    <row r="718" spans="1:17" ht="15" customHeight="1" x14ac:dyDescent="0.2">
      <c r="A718" s="243" t="str">
        <f>IFERROR(INDEX(Txn[Key],MATCH(0,INDEX(COUNTIF($A$1:A717,Txn[Key])+(Txn[Key]=""),0),0)),"")</f>
        <v/>
      </c>
      <c r="B718" s="243" t="str">
        <f t="shared" si="99"/>
        <v/>
      </c>
      <c r="C718" s="243" t="str">
        <f t="shared" si="100"/>
        <v/>
      </c>
      <c r="D718" s="243" t="str">
        <f t="shared" si="101"/>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2"/>
        <v/>
      </c>
      <c r="K718" s="287" t="str">
        <f t="shared" si="103"/>
        <v/>
      </c>
      <c r="L718" s="287" t="str">
        <f t="shared" si="104"/>
        <v/>
      </c>
      <c r="M718" s="290" t="str">
        <f t="shared" si="105"/>
        <v/>
      </c>
      <c r="N718" s="243" t="str">
        <f>IF($A718="","",IF(ABS(E718)&gt;0.000001,COUNT($N$1:N717)+1,""))</f>
        <v/>
      </c>
      <c r="O718" s="291" t="str">
        <f>IF($A718="","",SUMIFS(Transactions!$H$2:$H$1001,Transactions!$J$2:$J$1001,$A718,Transactions!$A$2:$A$1001,2)*$I718)</f>
        <v/>
      </c>
      <c r="P718" s="291" t="str">
        <f t="shared" si="106"/>
        <v/>
      </c>
      <c r="Q718" s="292" t="str">
        <f t="shared" si="107"/>
        <v/>
      </c>
    </row>
    <row r="719" spans="1:17" ht="15" customHeight="1" x14ac:dyDescent="0.2">
      <c r="A719" s="243" t="str">
        <f>IFERROR(INDEX(Txn[Key],MATCH(0,INDEX(COUNTIF($A$1:A718,Txn[Key])+(Txn[Key]=""),0),0)),"")</f>
        <v/>
      </c>
      <c r="B719" s="243" t="str">
        <f t="shared" si="99"/>
        <v/>
      </c>
      <c r="C719" s="243" t="str">
        <f t="shared" si="100"/>
        <v/>
      </c>
      <c r="D719" s="243" t="str">
        <f t="shared" si="101"/>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2"/>
        <v/>
      </c>
      <c r="K719" s="287" t="str">
        <f t="shared" si="103"/>
        <v/>
      </c>
      <c r="L719" s="287" t="str">
        <f t="shared" si="104"/>
        <v/>
      </c>
      <c r="M719" s="290" t="str">
        <f t="shared" si="105"/>
        <v/>
      </c>
      <c r="N719" s="243" t="str">
        <f>IF($A719="","",IF(ABS(E719)&gt;0.000001,COUNT($N$1:N718)+1,""))</f>
        <v/>
      </c>
      <c r="O719" s="291" t="str">
        <f>IF($A719="","",SUMIFS(Transactions!$H$2:$H$1001,Transactions!$J$2:$J$1001,$A719,Transactions!$A$2:$A$1001,2)*$I719)</f>
        <v/>
      </c>
      <c r="P719" s="291" t="str">
        <f t="shared" si="106"/>
        <v/>
      </c>
      <c r="Q719" s="292" t="str">
        <f t="shared" si="107"/>
        <v/>
      </c>
    </row>
    <row r="720" spans="1:17" ht="15" customHeight="1" x14ac:dyDescent="0.2">
      <c r="A720" s="243" t="str">
        <f>IFERROR(INDEX(Txn[Key],MATCH(0,INDEX(COUNTIF($A$1:A719,Txn[Key])+(Txn[Key]=""),0),0)),"")</f>
        <v/>
      </c>
      <c r="B720" s="243" t="str">
        <f t="shared" si="99"/>
        <v/>
      </c>
      <c r="C720" s="243" t="str">
        <f t="shared" si="100"/>
        <v/>
      </c>
      <c r="D720" s="243" t="str">
        <f t="shared" si="101"/>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2"/>
        <v/>
      </c>
      <c r="K720" s="287" t="str">
        <f t="shared" si="103"/>
        <v/>
      </c>
      <c r="L720" s="287" t="str">
        <f t="shared" si="104"/>
        <v/>
      </c>
      <c r="M720" s="290" t="str">
        <f t="shared" si="105"/>
        <v/>
      </c>
      <c r="N720" s="243" t="str">
        <f>IF($A720="","",IF(ABS(E720)&gt;0.000001,COUNT($N$1:N719)+1,""))</f>
        <v/>
      </c>
      <c r="O720" s="291" t="str">
        <f>IF($A720="","",SUMIFS(Transactions!$H$2:$H$1001,Transactions!$J$2:$J$1001,$A720,Transactions!$A$2:$A$1001,2)*$I720)</f>
        <v/>
      </c>
      <c r="P720" s="291" t="str">
        <f t="shared" si="106"/>
        <v/>
      </c>
      <c r="Q720" s="292" t="str">
        <f t="shared" si="107"/>
        <v/>
      </c>
    </row>
    <row r="721" spans="1:17" ht="15" customHeight="1" x14ac:dyDescent="0.2">
      <c r="A721" s="243" t="str">
        <f>IFERROR(INDEX(Txn[Key],MATCH(0,INDEX(COUNTIF($A$1:A720,Txn[Key])+(Txn[Key]=""),0),0)),"")</f>
        <v/>
      </c>
      <c r="B721" s="243" t="str">
        <f t="shared" si="99"/>
        <v/>
      </c>
      <c r="C721" s="243" t="str">
        <f t="shared" si="100"/>
        <v/>
      </c>
      <c r="D721" s="243" t="str">
        <f t="shared" si="101"/>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2"/>
        <v/>
      </c>
      <c r="K721" s="287" t="str">
        <f t="shared" si="103"/>
        <v/>
      </c>
      <c r="L721" s="287" t="str">
        <f t="shared" si="104"/>
        <v/>
      </c>
      <c r="M721" s="290" t="str">
        <f t="shared" si="105"/>
        <v/>
      </c>
      <c r="N721" s="243" t="str">
        <f>IF($A721="","",IF(ABS(E721)&gt;0.000001,COUNT($N$1:N720)+1,""))</f>
        <v/>
      </c>
      <c r="O721" s="291" t="str">
        <f>IF($A721="","",SUMIFS(Transactions!$H$2:$H$1001,Transactions!$J$2:$J$1001,$A721,Transactions!$A$2:$A$1001,2)*$I721)</f>
        <v/>
      </c>
      <c r="P721" s="291" t="str">
        <f t="shared" si="106"/>
        <v/>
      </c>
      <c r="Q721" s="292" t="str">
        <f t="shared" si="107"/>
        <v/>
      </c>
    </row>
    <row r="722" spans="1:17" ht="15" customHeight="1" x14ac:dyDescent="0.2">
      <c r="A722" s="243" t="str">
        <f>IFERROR(INDEX(Txn[Key],MATCH(0,INDEX(COUNTIF($A$1:A721,Txn[Key])+(Txn[Key]=""),0),0)),"")</f>
        <v/>
      </c>
      <c r="B722" s="243" t="str">
        <f t="shared" si="99"/>
        <v/>
      </c>
      <c r="C722" s="243" t="str">
        <f t="shared" si="100"/>
        <v/>
      </c>
      <c r="D722" s="243" t="str">
        <f t="shared" si="101"/>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2"/>
        <v/>
      </c>
      <c r="K722" s="287" t="str">
        <f t="shared" si="103"/>
        <v/>
      </c>
      <c r="L722" s="287" t="str">
        <f t="shared" si="104"/>
        <v/>
      </c>
      <c r="M722" s="290" t="str">
        <f t="shared" si="105"/>
        <v/>
      </c>
      <c r="N722" s="243" t="str">
        <f>IF($A722="","",IF(ABS(E722)&gt;0.000001,COUNT($N$1:N721)+1,""))</f>
        <v/>
      </c>
      <c r="O722" s="291" t="str">
        <f>IF($A722="","",SUMIFS(Transactions!$H$2:$H$1001,Transactions!$J$2:$J$1001,$A722,Transactions!$A$2:$A$1001,2)*$I722)</f>
        <v/>
      </c>
      <c r="P722" s="291" t="str">
        <f t="shared" si="106"/>
        <v/>
      </c>
      <c r="Q722" s="292" t="str">
        <f t="shared" si="107"/>
        <v/>
      </c>
    </row>
    <row r="723" spans="1:17" ht="15" customHeight="1" x14ac:dyDescent="0.2">
      <c r="A723" s="243" t="str">
        <f>IFERROR(INDEX(Txn[Key],MATCH(0,INDEX(COUNTIF($A$1:A722,Txn[Key])+(Txn[Key]=""),0),0)),"")</f>
        <v/>
      </c>
      <c r="B723" s="243" t="str">
        <f t="shared" si="99"/>
        <v/>
      </c>
      <c r="C723" s="243" t="str">
        <f t="shared" si="100"/>
        <v/>
      </c>
      <c r="D723" s="243" t="str">
        <f t="shared" si="101"/>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2"/>
        <v/>
      </c>
      <c r="K723" s="287" t="str">
        <f t="shared" si="103"/>
        <v/>
      </c>
      <c r="L723" s="287" t="str">
        <f t="shared" si="104"/>
        <v/>
      </c>
      <c r="M723" s="290" t="str">
        <f t="shared" si="105"/>
        <v/>
      </c>
      <c r="N723" s="243" t="str">
        <f>IF($A723="","",IF(ABS(E723)&gt;0.000001,COUNT($N$1:N722)+1,""))</f>
        <v/>
      </c>
      <c r="O723" s="291" t="str">
        <f>IF($A723="","",SUMIFS(Transactions!$H$2:$H$1001,Transactions!$J$2:$J$1001,$A723,Transactions!$A$2:$A$1001,2)*$I723)</f>
        <v/>
      </c>
      <c r="P723" s="291" t="str">
        <f t="shared" si="106"/>
        <v/>
      </c>
      <c r="Q723" s="292" t="str">
        <f t="shared" si="107"/>
        <v/>
      </c>
    </row>
    <row r="724" spans="1:17" ht="15" customHeight="1" x14ac:dyDescent="0.2">
      <c r="A724" s="243" t="str">
        <f>IFERROR(INDEX(Txn[Key],MATCH(0,INDEX(COUNTIF($A$1:A723,Txn[Key])+(Txn[Key]=""),0),0)),"")</f>
        <v/>
      </c>
      <c r="B724" s="243" t="str">
        <f t="shared" si="99"/>
        <v/>
      </c>
      <c r="C724" s="243" t="str">
        <f t="shared" si="100"/>
        <v/>
      </c>
      <c r="D724" s="243" t="str">
        <f t="shared" si="101"/>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2"/>
        <v/>
      </c>
      <c r="K724" s="287" t="str">
        <f t="shared" si="103"/>
        <v/>
      </c>
      <c r="L724" s="287" t="str">
        <f t="shared" si="104"/>
        <v/>
      </c>
      <c r="M724" s="290" t="str">
        <f t="shared" si="105"/>
        <v/>
      </c>
      <c r="N724" s="243" t="str">
        <f>IF($A724="","",IF(ABS(E724)&gt;0.000001,COUNT($N$1:N723)+1,""))</f>
        <v/>
      </c>
      <c r="O724" s="291" t="str">
        <f>IF($A724="","",SUMIFS(Transactions!$H$2:$H$1001,Transactions!$J$2:$J$1001,$A724,Transactions!$A$2:$A$1001,2)*$I724)</f>
        <v/>
      </c>
      <c r="P724" s="291" t="str">
        <f t="shared" si="106"/>
        <v/>
      </c>
      <c r="Q724" s="292" t="str">
        <f t="shared" si="107"/>
        <v/>
      </c>
    </row>
    <row r="725" spans="1:17" ht="15" customHeight="1" x14ac:dyDescent="0.2">
      <c r="A725" s="243" t="str">
        <f>IFERROR(INDEX(Txn[Key],MATCH(0,INDEX(COUNTIF($A$1:A724,Txn[Key])+(Txn[Key]=""),0),0)),"")</f>
        <v/>
      </c>
      <c r="B725" s="243" t="str">
        <f t="shared" si="99"/>
        <v/>
      </c>
      <c r="C725" s="243" t="str">
        <f t="shared" si="100"/>
        <v/>
      </c>
      <c r="D725" s="243" t="str">
        <f t="shared" si="101"/>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2"/>
        <v/>
      </c>
      <c r="K725" s="287" t="str">
        <f t="shared" si="103"/>
        <v/>
      </c>
      <c r="L725" s="287" t="str">
        <f t="shared" si="104"/>
        <v/>
      </c>
      <c r="M725" s="290" t="str">
        <f t="shared" si="105"/>
        <v/>
      </c>
      <c r="N725" s="243" t="str">
        <f>IF($A725="","",IF(ABS(E725)&gt;0.000001,COUNT($N$1:N724)+1,""))</f>
        <v/>
      </c>
      <c r="O725" s="291" t="str">
        <f>IF($A725="","",SUMIFS(Transactions!$H$2:$H$1001,Transactions!$J$2:$J$1001,$A725,Transactions!$A$2:$A$1001,2)*$I725)</f>
        <v/>
      </c>
      <c r="P725" s="291" t="str">
        <f t="shared" si="106"/>
        <v/>
      </c>
      <c r="Q725" s="292" t="str">
        <f t="shared" si="107"/>
        <v/>
      </c>
    </row>
    <row r="726" spans="1:17" ht="15" customHeight="1" x14ac:dyDescent="0.2">
      <c r="A726" s="243" t="str">
        <f>IFERROR(INDEX(Txn[Key],MATCH(0,INDEX(COUNTIF($A$1:A725,Txn[Key])+(Txn[Key]=""),0),0)),"")</f>
        <v/>
      </c>
      <c r="B726" s="243" t="str">
        <f t="shared" si="99"/>
        <v/>
      </c>
      <c r="C726" s="243" t="str">
        <f t="shared" si="100"/>
        <v/>
      </c>
      <c r="D726" s="243" t="str">
        <f t="shared" si="101"/>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2"/>
        <v/>
      </c>
      <c r="K726" s="287" t="str">
        <f t="shared" si="103"/>
        <v/>
      </c>
      <c r="L726" s="287" t="str">
        <f t="shared" si="104"/>
        <v/>
      </c>
      <c r="M726" s="290" t="str">
        <f t="shared" si="105"/>
        <v/>
      </c>
      <c r="N726" s="243" t="str">
        <f>IF($A726="","",IF(ABS(E726)&gt;0.000001,COUNT($N$1:N725)+1,""))</f>
        <v/>
      </c>
      <c r="O726" s="291" t="str">
        <f>IF($A726="","",SUMIFS(Transactions!$H$2:$H$1001,Transactions!$J$2:$J$1001,$A726,Transactions!$A$2:$A$1001,2)*$I726)</f>
        <v/>
      </c>
      <c r="P726" s="291" t="str">
        <f t="shared" si="106"/>
        <v/>
      </c>
      <c r="Q726" s="292" t="str">
        <f t="shared" si="107"/>
        <v/>
      </c>
    </row>
    <row r="727" spans="1:17" ht="15" customHeight="1" x14ac:dyDescent="0.2">
      <c r="A727" s="243" t="str">
        <f>IFERROR(INDEX(Txn[Key],MATCH(0,INDEX(COUNTIF($A$1:A726,Txn[Key])+(Txn[Key]=""),0),0)),"")</f>
        <v/>
      </c>
      <c r="B727" s="243" t="str">
        <f t="shared" si="99"/>
        <v/>
      </c>
      <c r="C727" s="243" t="str">
        <f t="shared" si="100"/>
        <v/>
      </c>
      <c r="D727" s="243" t="str">
        <f t="shared" si="101"/>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2"/>
        <v/>
      </c>
      <c r="K727" s="287" t="str">
        <f t="shared" si="103"/>
        <v/>
      </c>
      <c r="L727" s="287" t="str">
        <f t="shared" si="104"/>
        <v/>
      </c>
      <c r="M727" s="290" t="str">
        <f t="shared" si="105"/>
        <v/>
      </c>
      <c r="N727" s="243" t="str">
        <f>IF($A727="","",IF(ABS(E727)&gt;0.000001,COUNT($N$1:N726)+1,""))</f>
        <v/>
      </c>
      <c r="O727" s="291" t="str">
        <f>IF($A727="","",SUMIFS(Transactions!$H$2:$H$1001,Transactions!$J$2:$J$1001,$A727,Transactions!$A$2:$A$1001,2)*$I727)</f>
        <v/>
      </c>
      <c r="P727" s="291" t="str">
        <f t="shared" si="106"/>
        <v/>
      </c>
      <c r="Q727" s="292" t="str">
        <f t="shared" si="107"/>
        <v/>
      </c>
    </row>
    <row r="728" spans="1:17" ht="15" customHeight="1" x14ac:dyDescent="0.2">
      <c r="A728" s="243" t="str">
        <f>IFERROR(INDEX(Txn[Key],MATCH(0,INDEX(COUNTIF($A$1:A727,Txn[Key])+(Txn[Key]=""),0),0)),"")</f>
        <v/>
      </c>
      <c r="B728" s="243" t="str">
        <f t="shared" si="99"/>
        <v/>
      </c>
      <c r="C728" s="243" t="str">
        <f t="shared" si="100"/>
        <v/>
      </c>
      <c r="D728" s="243" t="str">
        <f t="shared" si="101"/>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2"/>
        <v/>
      </c>
      <c r="K728" s="287" t="str">
        <f t="shared" si="103"/>
        <v/>
      </c>
      <c r="L728" s="287" t="str">
        <f t="shared" si="104"/>
        <v/>
      </c>
      <c r="M728" s="290" t="str">
        <f t="shared" si="105"/>
        <v/>
      </c>
      <c r="N728" s="243" t="str">
        <f>IF($A728="","",IF(ABS(E728)&gt;0.000001,COUNT($N$1:N727)+1,""))</f>
        <v/>
      </c>
      <c r="O728" s="291" t="str">
        <f>IF($A728="","",SUMIFS(Transactions!$H$2:$H$1001,Transactions!$J$2:$J$1001,$A728,Transactions!$A$2:$A$1001,2)*$I728)</f>
        <v/>
      </c>
      <c r="P728" s="291" t="str">
        <f t="shared" si="106"/>
        <v/>
      </c>
      <c r="Q728" s="292" t="str">
        <f t="shared" si="107"/>
        <v/>
      </c>
    </row>
    <row r="729" spans="1:17" ht="15" customHeight="1" x14ac:dyDescent="0.2">
      <c r="A729" s="243" t="str">
        <f>IFERROR(INDEX(Txn[Key],MATCH(0,INDEX(COUNTIF($A$1:A728,Txn[Key])+(Txn[Key]=""),0),0)),"")</f>
        <v/>
      </c>
      <c r="B729" s="243" t="str">
        <f t="shared" si="99"/>
        <v/>
      </c>
      <c r="C729" s="243" t="str">
        <f t="shared" si="100"/>
        <v/>
      </c>
      <c r="D729" s="243" t="str">
        <f t="shared" si="101"/>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2"/>
        <v/>
      </c>
      <c r="K729" s="287" t="str">
        <f t="shared" si="103"/>
        <v/>
      </c>
      <c r="L729" s="287" t="str">
        <f t="shared" si="104"/>
        <v/>
      </c>
      <c r="M729" s="290" t="str">
        <f t="shared" si="105"/>
        <v/>
      </c>
      <c r="N729" s="243" t="str">
        <f>IF($A729="","",IF(ABS(E729)&gt;0.000001,COUNT($N$1:N728)+1,""))</f>
        <v/>
      </c>
      <c r="O729" s="291" t="str">
        <f>IF($A729="","",SUMIFS(Transactions!$H$2:$H$1001,Transactions!$J$2:$J$1001,$A729,Transactions!$A$2:$A$1001,2)*$I729)</f>
        <v/>
      </c>
      <c r="P729" s="291" t="str">
        <f t="shared" si="106"/>
        <v/>
      </c>
      <c r="Q729" s="292" t="str">
        <f t="shared" si="107"/>
        <v/>
      </c>
    </row>
    <row r="730" spans="1:17" ht="15" customHeight="1" x14ac:dyDescent="0.2">
      <c r="A730" s="243" t="str">
        <f>IFERROR(INDEX(Txn[Key],MATCH(0,INDEX(COUNTIF($A$1:A729,Txn[Key])+(Txn[Key]=""),0),0)),"")</f>
        <v/>
      </c>
      <c r="B730" s="243" t="str">
        <f t="shared" si="99"/>
        <v/>
      </c>
      <c r="C730" s="243" t="str">
        <f t="shared" si="100"/>
        <v/>
      </c>
      <c r="D730" s="243" t="str">
        <f t="shared" si="101"/>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2"/>
        <v/>
      </c>
      <c r="K730" s="287" t="str">
        <f t="shared" si="103"/>
        <v/>
      </c>
      <c r="L730" s="287" t="str">
        <f t="shared" si="104"/>
        <v/>
      </c>
      <c r="M730" s="290" t="str">
        <f t="shared" si="105"/>
        <v/>
      </c>
      <c r="N730" s="243" t="str">
        <f>IF($A730="","",IF(ABS(E730)&gt;0.000001,COUNT($N$1:N729)+1,""))</f>
        <v/>
      </c>
      <c r="O730" s="291" t="str">
        <f>IF($A730="","",SUMIFS(Transactions!$H$2:$H$1001,Transactions!$J$2:$J$1001,$A730,Transactions!$A$2:$A$1001,2)*$I730)</f>
        <v/>
      </c>
      <c r="P730" s="291" t="str">
        <f t="shared" si="106"/>
        <v/>
      </c>
      <c r="Q730" s="292" t="str">
        <f t="shared" si="107"/>
        <v/>
      </c>
    </row>
    <row r="731" spans="1:17" ht="15" customHeight="1" x14ac:dyDescent="0.2">
      <c r="A731" s="243" t="str">
        <f>IFERROR(INDEX(Txn[Key],MATCH(0,INDEX(COUNTIF($A$1:A730,Txn[Key])+(Txn[Key]=""),0),0)),"")</f>
        <v/>
      </c>
      <c r="B731" s="243" t="str">
        <f t="shared" si="99"/>
        <v/>
      </c>
      <c r="C731" s="243" t="str">
        <f t="shared" si="100"/>
        <v/>
      </c>
      <c r="D731" s="243" t="str">
        <f t="shared" si="101"/>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2"/>
        <v/>
      </c>
      <c r="K731" s="287" t="str">
        <f t="shared" si="103"/>
        <v/>
      </c>
      <c r="L731" s="287" t="str">
        <f t="shared" si="104"/>
        <v/>
      </c>
      <c r="M731" s="290" t="str">
        <f t="shared" si="105"/>
        <v/>
      </c>
      <c r="N731" s="243" t="str">
        <f>IF($A731="","",IF(ABS(E731)&gt;0.000001,COUNT($N$1:N730)+1,""))</f>
        <v/>
      </c>
      <c r="O731" s="291" t="str">
        <f>IF($A731="","",SUMIFS(Transactions!$H$2:$H$1001,Transactions!$J$2:$J$1001,$A731,Transactions!$A$2:$A$1001,2)*$I731)</f>
        <v/>
      </c>
      <c r="P731" s="291" t="str">
        <f t="shared" si="106"/>
        <v/>
      </c>
      <c r="Q731" s="292" t="str">
        <f t="shared" si="107"/>
        <v/>
      </c>
    </row>
    <row r="732" spans="1:17" ht="15" customHeight="1" x14ac:dyDescent="0.2">
      <c r="A732" s="243" t="str">
        <f>IFERROR(INDEX(Txn[Key],MATCH(0,INDEX(COUNTIF($A$1:A731,Txn[Key])+(Txn[Key]=""),0),0)),"")</f>
        <v/>
      </c>
      <c r="B732" s="243" t="str">
        <f t="shared" si="99"/>
        <v/>
      </c>
      <c r="C732" s="243" t="str">
        <f t="shared" si="100"/>
        <v/>
      </c>
      <c r="D732" s="243" t="str">
        <f t="shared" si="101"/>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2"/>
        <v/>
      </c>
      <c r="K732" s="287" t="str">
        <f t="shared" si="103"/>
        <v/>
      </c>
      <c r="L732" s="287" t="str">
        <f t="shared" si="104"/>
        <v/>
      </c>
      <c r="M732" s="290" t="str">
        <f t="shared" si="105"/>
        <v/>
      </c>
      <c r="N732" s="243" t="str">
        <f>IF($A732="","",IF(ABS(E732)&gt;0.000001,COUNT($N$1:N731)+1,""))</f>
        <v/>
      </c>
      <c r="O732" s="291" t="str">
        <f>IF($A732="","",SUMIFS(Transactions!$H$2:$H$1001,Transactions!$J$2:$J$1001,$A732,Transactions!$A$2:$A$1001,2)*$I732)</f>
        <v/>
      </c>
      <c r="P732" s="291" t="str">
        <f t="shared" si="106"/>
        <v/>
      </c>
      <c r="Q732" s="292" t="str">
        <f t="shared" si="107"/>
        <v/>
      </c>
    </row>
    <row r="733" spans="1:17" ht="15" customHeight="1" x14ac:dyDescent="0.2">
      <c r="A733" s="243" t="str">
        <f>IFERROR(INDEX(Txn[Key],MATCH(0,INDEX(COUNTIF($A$1:A732,Txn[Key])+(Txn[Key]=""),0),0)),"")</f>
        <v/>
      </c>
      <c r="B733" s="243" t="str">
        <f t="shared" si="99"/>
        <v/>
      </c>
      <c r="C733" s="243" t="str">
        <f t="shared" si="100"/>
        <v/>
      </c>
      <c r="D733" s="243" t="str">
        <f t="shared" si="101"/>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2"/>
        <v/>
      </c>
      <c r="K733" s="287" t="str">
        <f t="shared" si="103"/>
        <v/>
      </c>
      <c r="L733" s="287" t="str">
        <f t="shared" si="104"/>
        <v/>
      </c>
      <c r="M733" s="290" t="str">
        <f t="shared" si="105"/>
        <v/>
      </c>
      <c r="N733" s="243" t="str">
        <f>IF($A733="","",IF(ABS(E733)&gt;0.000001,COUNT($N$1:N732)+1,""))</f>
        <v/>
      </c>
      <c r="O733" s="291" t="str">
        <f>IF($A733="","",SUMIFS(Transactions!$H$2:$H$1001,Transactions!$J$2:$J$1001,$A733,Transactions!$A$2:$A$1001,2)*$I733)</f>
        <v/>
      </c>
      <c r="P733" s="291" t="str">
        <f t="shared" si="106"/>
        <v/>
      </c>
      <c r="Q733" s="292" t="str">
        <f t="shared" si="107"/>
        <v/>
      </c>
    </row>
    <row r="734" spans="1:17" ht="15" customHeight="1" x14ac:dyDescent="0.2">
      <c r="A734" s="243" t="str">
        <f>IFERROR(INDEX(Txn[Key],MATCH(0,INDEX(COUNTIF($A$1:A733,Txn[Key])+(Txn[Key]=""),0),0)),"")</f>
        <v/>
      </c>
      <c r="B734" s="243" t="str">
        <f t="shared" si="99"/>
        <v/>
      </c>
      <c r="C734" s="243" t="str">
        <f t="shared" si="100"/>
        <v/>
      </c>
      <c r="D734" s="243" t="str">
        <f t="shared" si="101"/>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2"/>
        <v/>
      </c>
      <c r="K734" s="287" t="str">
        <f t="shared" si="103"/>
        <v/>
      </c>
      <c r="L734" s="287" t="str">
        <f t="shared" si="104"/>
        <v/>
      </c>
      <c r="M734" s="290" t="str">
        <f t="shared" si="105"/>
        <v/>
      </c>
      <c r="N734" s="243" t="str">
        <f>IF($A734="","",IF(ABS(E734)&gt;0.000001,COUNT($N$1:N733)+1,""))</f>
        <v/>
      </c>
      <c r="O734" s="291" t="str">
        <f>IF($A734="","",SUMIFS(Transactions!$H$2:$H$1001,Transactions!$J$2:$J$1001,$A734,Transactions!$A$2:$A$1001,2)*$I734)</f>
        <v/>
      </c>
      <c r="P734" s="291" t="str">
        <f t="shared" si="106"/>
        <v/>
      </c>
      <c r="Q734" s="292" t="str">
        <f t="shared" si="107"/>
        <v/>
      </c>
    </row>
    <row r="735" spans="1:17" ht="15" customHeight="1" x14ac:dyDescent="0.2">
      <c r="A735" s="243" t="str">
        <f>IFERROR(INDEX(Txn[Key],MATCH(0,INDEX(COUNTIF($A$1:A734,Txn[Key])+(Txn[Key]=""),0),0)),"")</f>
        <v/>
      </c>
      <c r="B735" s="243" t="str">
        <f t="shared" si="99"/>
        <v/>
      </c>
      <c r="C735" s="243" t="str">
        <f t="shared" si="100"/>
        <v/>
      </c>
      <c r="D735" s="243" t="str">
        <f t="shared" si="101"/>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2"/>
        <v/>
      </c>
      <c r="K735" s="287" t="str">
        <f t="shared" si="103"/>
        <v/>
      </c>
      <c r="L735" s="287" t="str">
        <f t="shared" si="104"/>
        <v/>
      </c>
      <c r="M735" s="290" t="str">
        <f t="shared" si="105"/>
        <v/>
      </c>
      <c r="N735" s="243" t="str">
        <f>IF($A735="","",IF(ABS(E735)&gt;0.000001,COUNT($N$1:N734)+1,""))</f>
        <v/>
      </c>
      <c r="O735" s="291" t="str">
        <f>IF($A735="","",SUMIFS(Transactions!$H$2:$H$1001,Transactions!$J$2:$J$1001,$A735,Transactions!$A$2:$A$1001,2)*$I735)</f>
        <v/>
      </c>
      <c r="P735" s="291" t="str">
        <f t="shared" si="106"/>
        <v/>
      </c>
      <c r="Q735" s="292" t="str">
        <f t="shared" si="107"/>
        <v/>
      </c>
    </row>
    <row r="736" spans="1:17" ht="15" customHeight="1" x14ac:dyDescent="0.2">
      <c r="A736" s="243" t="str">
        <f>IFERROR(INDEX(Txn[Key],MATCH(0,INDEX(COUNTIF($A$1:A735,Txn[Key])+(Txn[Key]=""),0),0)),"")</f>
        <v/>
      </c>
      <c r="B736" s="243" t="str">
        <f t="shared" si="99"/>
        <v/>
      </c>
      <c r="C736" s="243" t="str">
        <f t="shared" si="100"/>
        <v/>
      </c>
      <c r="D736" s="243" t="str">
        <f t="shared" si="101"/>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2"/>
        <v/>
      </c>
      <c r="K736" s="287" t="str">
        <f t="shared" si="103"/>
        <v/>
      </c>
      <c r="L736" s="287" t="str">
        <f t="shared" si="104"/>
        <v/>
      </c>
      <c r="M736" s="290" t="str">
        <f t="shared" si="105"/>
        <v/>
      </c>
      <c r="N736" s="243" t="str">
        <f>IF($A736="","",IF(ABS(E736)&gt;0.000001,COUNT($N$1:N735)+1,""))</f>
        <v/>
      </c>
      <c r="O736" s="291" t="str">
        <f>IF($A736="","",SUMIFS(Transactions!$H$2:$H$1001,Transactions!$J$2:$J$1001,$A736,Transactions!$A$2:$A$1001,2)*$I736)</f>
        <v/>
      </c>
      <c r="P736" s="291" t="str">
        <f t="shared" si="106"/>
        <v/>
      </c>
      <c r="Q736" s="292" t="str">
        <f t="shared" si="107"/>
        <v/>
      </c>
    </row>
    <row r="737" spans="1:17" ht="15" customHeight="1" x14ac:dyDescent="0.2">
      <c r="A737" s="243" t="str">
        <f>IFERROR(INDEX(Txn[Key],MATCH(0,INDEX(COUNTIF($A$1:A736,Txn[Key])+(Txn[Key]=""),0),0)),"")</f>
        <v/>
      </c>
      <c r="B737" s="243" t="str">
        <f t="shared" si="99"/>
        <v/>
      </c>
      <c r="C737" s="243" t="str">
        <f t="shared" si="100"/>
        <v/>
      </c>
      <c r="D737" s="243" t="str">
        <f t="shared" si="101"/>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2"/>
        <v/>
      </c>
      <c r="K737" s="287" t="str">
        <f t="shared" si="103"/>
        <v/>
      </c>
      <c r="L737" s="287" t="str">
        <f t="shared" si="104"/>
        <v/>
      </c>
      <c r="M737" s="290" t="str">
        <f t="shared" si="105"/>
        <v/>
      </c>
      <c r="N737" s="243" t="str">
        <f>IF($A737="","",IF(ABS(E737)&gt;0.000001,COUNT($N$1:N736)+1,""))</f>
        <v/>
      </c>
      <c r="O737" s="291" t="str">
        <f>IF($A737="","",SUMIFS(Transactions!$H$2:$H$1001,Transactions!$J$2:$J$1001,$A737,Transactions!$A$2:$A$1001,2)*$I737)</f>
        <v/>
      </c>
      <c r="P737" s="291" t="str">
        <f t="shared" si="106"/>
        <v/>
      </c>
      <c r="Q737" s="292" t="str">
        <f t="shared" si="107"/>
        <v/>
      </c>
    </row>
    <row r="738" spans="1:17" ht="15" customHeight="1" x14ac:dyDescent="0.2">
      <c r="A738" s="243" t="str">
        <f>IFERROR(INDEX(Txn[Key],MATCH(0,INDEX(COUNTIF($A$1:A737,Txn[Key])+(Txn[Key]=""),0),0)),"")</f>
        <v/>
      </c>
      <c r="B738" s="243" t="str">
        <f t="shared" si="99"/>
        <v/>
      </c>
      <c r="C738" s="243" t="str">
        <f t="shared" si="100"/>
        <v/>
      </c>
      <c r="D738" s="243" t="str">
        <f t="shared" si="101"/>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2"/>
        <v/>
      </c>
      <c r="K738" s="287" t="str">
        <f t="shared" si="103"/>
        <v/>
      </c>
      <c r="L738" s="287" t="str">
        <f t="shared" si="104"/>
        <v/>
      </c>
      <c r="M738" s="290" t="str">
        <f t="shared" si="105"/>
        <v/>
      </c>
      <c r="N738" s="243" t="str">
        <f>IF($A738="","",IF(ABS(E738)&gt;0.000001,COUNT($N$1:N737)+1,""))</f>
        <v/>
      </c>
      <c r="O738" s="291" t="str">
        <f>IF($A738="","",SUMIFS(Transactions!$H$2:$H$1001,Transactions!$J$2:$J$1001,$A738,Transactions!$A$2:$A$1001,2)*$I738)</f>
        <v/>
      </c>
      <c r="P738" s="291" t="str">
        <f t="shared" si="106"/>
        <v/>
      </c>
      <c r="Q738" s="292" t="str">
        <f t="shared" si="107"/>
        <v/>
      </c>
    </row>
    <row r="739" spans="1:17" ht="15" customHeight="1" x14ac:dyDescent="0.2">
      <c r="A739" s="243" t="str">
        <f>IFERROR(INDEX(Txn[Key],MATCH(0,INDEX(COUNTIF($A$1:A738,Txn[Key])+(Txn[Key]=""),0),0)),"")</f>
        <v/>
      </c>
      <c r="B739" s="243" t="str">
        <f t="shared" si="99"/>
        <v/>
      </c>
      <c r="C739" s="243" t="str">
        <f t="shared" si="100"/>
        <v/>
      </c>
      <c r="D739" s="243" t="str">
        <f t="shared" si="101"/>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2"/>
        <v/>
      </c>
      <c r="K739" s="287" t="str">
        <f t="shared" si="103"/>
        <v/>
      </c>
      <c r="L739" s="287" t="str">
        <f t="shared" si="104"/>
        <v/>
      </c>
      <c r="M739" s="290" t="str">
        <f t="shared" si="105"/>
        <v/>
      </c>
      <c r="N739" s="243" t="str">
        <f>IF($A739="","",IF(ABS(E739)&gt;0.000001,COUNT($N$1:N738)+1,""))</f>
        <v/>
      </c>
      <c r="O739" s="291" t="str">
        <f>IF($A739="","",SUMIFS(Transactions!$H$2:$H$1001,Transactions!$J$2:$J$1001,$A739,Transactions!$A$2:$A$1001,2)*$I739)</f>
        <v/>
      </c>
      <c r="P739" s="291" t="str">
        <f t="shared" si="106"/>
        <v/>
      </c>
      <c r="Q739" s="292" t="str">
        <f t="shared" si="107"/>
        <v/>
      </c>
    </row>
    <row r="740" spans="1:17" ht="15" customHeight="1" x14ac:dyDescent="0.2">
      <c r="A740" s="243" t="str">
        <f>IFERROR(INDEX(Txn[Key],MATCH(0,INDEX(COUNTIF($A$1:A739,Txn[Key])+(Txn[Key]=""),0),0)),"")</f>
        <v/>
      </c>
      <c r="B740" s="243" t="str">
        <f t="shared" si="99"/>
        <v/>
      </c>
      <c r="C740" s="243" t="str">
        <f t="shared" si="100"/>
        <v/>
      </c>
      <c r="D740" s="243" t="str">
        <f t="shared" si="101"/>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2"/>
        <v/>
      </c>
      <c r="K740" s="287" t="str">
        <f t="shared" si="103"/>
        <v/>
      </c>
      <c r="L740" s="287" t="str">
        <f t="shared" si="104"/>
        <v/>
      </c>
      <c r="M740" s="290" t="str">
        <f t="shared" si="105"/>
        <v/>
      </c>
      <c r="N740" s="243" t="str">
        <f>IF($A740="","",IF(ABS(E740)&gt;0.000001,COUNT($N$1:N739)+1,""))</f>
        <v/>
      </c>
      <c r="O740" s="291" t="str">
        <f>IF($A740="","",SUMIFS(Transactions!$H$2:$H$1001,Transactions!$J$2:$J$1001,$A740,Transactions!$A$2:$A$1001,2)*$I740)</f>
        <v/>
      </c>
      <c r="P740" s="291" t="str">
        <f t="shared" si="106"/>
        <v/>
      </c>
      <c r="Q740" s="292" t="str">
        <f t="shared" si="107"/>
        <v/>
      </c>
    </row>
    <row r="741" spans="1:17" ht="15" customHeight="1" x14ac:dyDescent="0.2">
      <c r="A741" s="243" t="str">
        <f>IFERROR(INDEX(Txn[Key],MATCH(0,INDEX(COUNTIF($A$1:A740,Txn[Key])+(Txn[Key]=""),0),0)),"")</f>
        <v/>
      </c>
      <c r="B741" s="243" t="str">
        <f t="shared" si="99"/>
        <v/>
      </c>
      <c r="C741" s="243" t="str">
        <f t="shared" si="100"/>
        <v/>
      </c>
      <c r="D741" s="243" t="str">
        <f t="shared" si="101"/>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2"/>
        <v/>
      </c>
      <c r="K741" s="287" t="str">
        <f t="shared" si="103"/>
        <v/>
      </c>
      <c r="L741" s="287" t="str">
        <f t="shared" si="104"/>
        <v/>
      </c>
      <c r="M741" s="290" t="str">
        <f t="shared" si="105"/>
        <v/>
      </c>
      <c r="N741" s="243" t="str">
        <f>IF($A741="","",IF(ABS(E741)&gt;0.000001,COUNT($N$1:N740)+1,""))</f>
        <v/>
      </c>
      <c r="O741" s="291" t="str">
        <f>IF($A741="","",SUMIFS(Transactions!$H$2:$H$1001,Transactions!$J$2:$J$1001,$A741,Transactions!$A$2:$A$1001,2)*$I741)</f>
        <v/>
      </c>
      <c r="P741" s="291" t="str">
        <f t="shared" si="106"/>
        <v/>
      </c>
      <c r="Q741" s="292" t="str">
        <f t="shared" si="107"/>
        <v/>
      </c>
    </row>
    <row r="742" spans="1:17" ht="15" customHeight="1" x14ac:dyDescent="0.2">
      <c r="A742" s="243" t="str">
        <f>IFERROR(INDEX(Txn[Key],MATCH(0,INDEX(COUNTIF($A$1:A741,Txn[Key])+(Txn[Key]=""),0),0)),"")</f>
        <v/>
      </c>
      <c r="B742" s="243" t="str">
        <f t="shared" si="99"/>
        <v/>
      </c>
      <c r="C742" s="243" t="str">
        <f t="shared" si="100"/>
        <v/>
      </c>
      <c r="D742" s="243" t="str">
        <f t="shared" si="101"/>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2"/>
        <v/>
      </c>
      <c r="K742" s="287" t="str">
        <f t="shared" si="103"/>
        <v/>
      </c>
      <c r="L742" s="287" t="str">
        <f t="shared" si="104"/>
        <v/>
      </c>
      <c r="M742" s="290" t="str">
        <f t="shared" si="105"/>
        <v/>
      </c>
      <c r="N742" s="243" t="str">
        <f>IF($A742="","",IF(ABS(E742)&gt;0.000001,COUNT($N$1:N741)+1,""))</f>
        <v/>
      </c>
      <c r="O742" s="291" t="str">
        <f>IF($A742="","",SUMIFS(Transactions!$H$2:$H$1001,Transactions!$J$2:$J$1001,$A742,Transactions!$A$2:$A$1001,2)*$I742)</f>
        <v/>
      </c>
      <c r="P742" s="291" t="str">
        <f t="shared" si="106"/>
        <v/>
      </c>
      <c r="Q742" s="292" t="str">
        <f t="shared" si="107"/>
        <v/>
      </c>
    </row>
    <row r="743" spans="1:17" ht="15" customHeight="1" x14ac:dyDescent="0.2">
      <c r="A743" s="243" t="str">
        <f>IFERROR(INDEX(Txn[Key],MATCH(0,INDEX(COUNTIF($A$1:A742,Txn[Key])+(Txn[Key]=""),0),0)),"")</f>
        <v/>
      </c>
      <c r="B743" s="243" t="str">
        <f t="shared" si="99"/>
        <v/>
      </c>
      <c r="C743" s="243" t="str">
        <f t="shared" si="100"/>
        <v/>
      </c>
      <c r="D743" s="243" t="str">
        <f t="shared" si="101"/>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2"/>
        <v/>
      </c>
      <c r="K743" s="287" t="str">
        <f t="shared" si="103"/>
        <v/>
      </c>
      <c r="L743" s="287" t="str">
        <f t="shared" si="104"/>
        <v/>
      </c>
      <c r="M743" s="290" t="str">
        <f t="shared" si="105"/>
        <v/>
      </c>
      <c r="N743" s="243" t="str">
        <f>IF($A743="","",IF(ABS(E743)&gt;0.000001,COUNT($N$1:N742)+1,""))</f>
        <v/>
      </c>
      <c r="O743" s="291" t="str">
        <f>IF($A743="","",SUMIFS(Transactions!$H$2:$H$1001,Transactions!$J$2:$J$1001,$A743,Transactions!$A$2:$A$1001,2)*$I743)</f>
        <v/>
      </c>
      <c r="P743" s="291" t="str">
        <f t="shared" si="106"/>
        <v/>
      </c>
      <c r="Q743" s="292" t="str">
        <f t="shared" si="107"/>
        <v/>
      </c>
    </row>
    <row r="744" spans="1:17" ht="15" customHeight="1" x14ac:dyDescent="0.2">
      <c r="A744" s="243" t="str">
        <f>IFERROR(INDEX(Txn[Key],MATCH(0,INDEX(COUNTIF($A$1:A743,Txn[Key])+(Txn[Key]=""),0),0)),"")</f>
        <v/>
      </c>
      <c r="B744" s="243" t="str">
        <f t="shared" si="99"/>
        <v/>
      </c>
      <c r="C744" s="243" t="str">
        <f t="shared" si="100"/>
        <v/>
      </c>
      <c r="D744" s="243" t="str">
        <f t="shared" si="101"/>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2"/>
        <v/>
      </c>
      <c r="K744" s="287" t="str">
        <f t="shared" si="103"/>
        <v/>
      </c>
      <c r="L744" s="287" t="str">
        <f t="shared" si="104"/>
        <v/>
      </c>
      <c r="M744" s="290" t="str">
        <f t="shared" si="105"/>
        <v/>
      </c>
      <c r="N744" s="243" t="str">
        <f>IF($A744="","",IF(ABS(E744)&gt;0.000001,COUNT($N$1:N743)+1,""))</f>
        <v/>
      </c>
      <c r="O744" s="291" t="str">
        <f>IF($A744="","",SUMIFS(Transactions!$H$2:$H$1001,Transactions!$J$2:$J$1001,$A744,Transactions!$A$2:$A$1001,2)*$I744)</f>
        <v/>
      </c>
      <c r="P744" s="291" t="str">
        <f t="shared" si="106"/>
        <v/>
      </c>
      <c r="Q744" s="292" t="str">
        <f t="shared" si="107"/>
        <v/>
      </c>
    </row>
    <row r="745" spans="1:17" ht="15" customHeight="1" x14ac:dyDescent="0.2">
      <c r="A745" s="243" t="str">
        <f>IFERROR(INDEX(Txn[Key],MATCH(0,INDEX(COUNTIF($A$1:A744,Txn[Key])+(Txn[Key]=""),0),0)),"")</f>
        <v/>
      </c>
      <c r="B745" s="243" t="str">
        <f t="shared" si="99"/>
        <v/>
      </c>
      <c r="C745" s="243" t="str">
        <f t="shared" si="100"/>
        <v/>
      </c>
      <c r="D745" s="243" t="str">
        <f t="shared" si="101"/>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2"/>
        <v/>
      </c>
      <c r="K745" s="287" t="str">
        <f t="shared" si="103"/>
        <v/>
      </c>
      <c r="L745" s="287" t="str">
        <f t="shared" si="104"/>
        <v/>
      </c>
      <c r="M745" s="290" t="str">
        <f t="shared" si="105"/>
        <v/>
      </c>
      <c r="N745" s="243" t="str">
        <f>IF($A745="","",IF(ABS(E745)&gt;0.000001,COUNT($N$1:N744)+1,""))</f>
        <v/>
      </c>
      <c r="O745" s="291" t="str">
        <f>IF($A745="","",SUMIFS(Transactions!$H$2:$H$1001,Transactions!$J$2:$J$1001,$A745,Transactions!$A$2:$A$1001,2)*$I745)</f>
        <v/>
      </c>
      <c r="P745" s="291" t="str">
        <f t="shared" si="106"/>
        <v/>
      </c>
      <c r="Q745" s="292" t="str">
        <f t="shared" si="107"/>
        <v/>
      </c>
    </row>
    <row r="746" spans="1:17" ht="15" customHeight="1" x14ac:dyDescent="0.2">
      <c r="A746" s="243" t="str">
        <f>IFERROR(INDEX(Txn[Key],MATCH(0,INDEX(COUNTIF($A$1:A745,Txn[Key])+(Txn[Key]=""),0),0)),"")</f>
        <v/>
      </c>
      <c r="B746" s="243" t="str">
        <f t="shared" si="99"/>
        <v/>
      </c>
      <c r="C746" s="243" t="str">
        <f t="shared" si="100"/>
        <v/>
      </c>
      <c r="D746" s="243" t="str">
        <f t="shared" si="101"/>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2"/>
        <v/>
      </c>
      <c r="K746" s="287" t="str">
        <f t="shared" si="103"/>
        <v/>
      </c>
      <c r="L746" s="287" t="str">
        <f t="shared" si="104"/>
        <v/>
      </c>
      <c r="M746" s="290" t="str">
        <f t="shared" si="105"/>
        <v/>
      </c>
      <c r="N746" s="243" t="str">
        <f>IF($A746="","",IF(ABS(E746)&gt;0.000001,COUNT($N$1:N745)+1,""))</f>
        <v/>
      </c>
      <c r="O746" s="291" t="str">
        <f>IF($A746="","",SUMIFS(Transactions!$H$2:$H$1001,Transactions!$J$2:$J$1001,$A746,Transactions!$A$2:$A$1001,2)*$I746)</f>
        <v/>
      </c>
      <c r="P746" s="291" t="str">
        <f t="shared" si="106"/>
        <v/>
      </c>
      <c r="Q746" s="292" t="str">
        <f t="shared" si="107"/>
        <v/>
      </c>
    </row>
    <row r="747" spans="1:17" ht="15" customHeight="1" x14ac:dyDescent="0.2">
      <c r="A747" s="243" t="str">
        <f>IFERROR(INDEX(Txn[Key],MATCH(0,INDEX(COUNTIF($A$1:A746,Txn[Key])+(Txn[Key]=""),0),0)),"")</f>
        <v/>
      </c>
      <c r="B747" s="243" t="str">
        <f t="shared" si="99"/>
        <v/>
      </c>
      <c r="C747" s="243" t="str">
        <f t="shared" si="100"/>
        <v/>
      </c>
      <c r="D747" s="243" t="str">
        <f t="shared" si="101"/>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2"/>
        <v/>
      </c>
      <c r="K747" s="287" t="str">
        <f t="shared" si="103"/>
        <v/>
      </c>
      <c r="L747" s="287" t="str">
        <f t="shared" si="104"/>
        <v/>
      </c>
      <c r="M747" s="290" t="str">
        <f t="shared" si="105"/>
        <v/>
      </c>
      <c r="N747" s="243" t="str">
        <f>IF($A747="","",IF(ABS(E747)&gt;0.000001,COUNT($N$1:N746)+1,""))</f>
        <v/>
      </c>
      <c r="O747" s="291" t="str">
        <f>IF($A747="","",SUMIFS(Transactions!$H$2:$H$1001,Transactions!$J$2:$J$1001,$A747,Transactions!$A$2:$A$1001,2)*$I747)</f>
        <v/>
      </c>
      <c r="P747" s="291" t="str">
        <f t="shared" si="106"/>
        <v/>
      </c>
      <c r="Q747" s="292" t="str">
        <f t="shared" si="107"/>
        <v/>
      </c>
    </row>
    <row r="748" spans="1:17" ht="15" customHeight="1" x14ac:dyDescent="0.2">
      <c r="A748" s="243" t="str">
        <f>IFERROR(INDEX(Txn[Key],MATCH(0,INDEX(COUNTIF($A$1:A747,Txn[Key])+(Txn[Key]=""),0),0)),"")</f>
        <v/>
      </c>
      <c r="B748" s="243" t="str">
        <f t="shared" si="99"/>
        <v/>
      </c>
      <c r="C748" s="243" t="str">
        <f t="shared" si="100"/>
        <v/>
      </c>
      <c r="D748" s="243" t="str">
        <f t="shared" si="101"/>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2"/>
        <v/>
      </c>
      <c r="K748" s="287" t="str">
        <f t="shared" si="103"/>
        <v/>
      </c>
      <c r="L748" s="287" t="str">
        <f t="shared" si="104"/>
        <v/>
      </c>
      <c r="M748" s="290" t="str">
        <f t="shared" si="105"/>
        <v/>
      </c>
      <c r="N748" s="243" t="str">
        <f>IF($A748="","",IF(ABS(E748)&gt;0.000001,COUNT($N$1:N747)+1,""))</f>
        <v/>
      </c>
      <c r="O748" s="291" t="str">
        <f>IF($A748="","",SUMIFS(Transactions!$H$2:$H$1001,Transactions!$J$2:$J$1001,$A748,Transactions!$A$2:$A$1001,2)*$I748)</f>
        <v/>
      </c>
      <c r="P748" s="291" t="str">
        <f t="shared" si="106"/>
        <v/>
      </c>
      <c r="Q748" s="292" t="str">
        <f t="shared" si="107"/>
        <v/>
      </c>
    </row>
    <row r="749" spans="1:17" ht="15" customHeight="1" x14ac:dyDescent="0.2">
      <c r="A749" s="243" t="str">
        <f>IFERROR(INDEX(Txn[Key],MATCH(0,INDEX(COUNTIF($A$1:A748,Txn[Key])+(Txn[Key]=""),0),0)),"")</f>
        <v/>
      </c>
      <c r="B749" s="243" t="str">
        <f t="shared" si="99"/>
        <v/>
      </c>
      <c r="C749" s="243" t="str">
        <f t="shared" si="100"/>
        <v/>
      </c>
      <c r="D749" s="243" t="str">
        <f t="shared" si="101"/>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2"/>
        <v/>
      </c>
      <c r="K749" s="287" t="str">
        <f t="shared" si="103"/>
        <v/>
      </c>
      <c r="L749" s="287" t="str">
        <f t="shared" si="104"/>
        <v/>
      </c>
      <c r="M749" s="290" t="str">
        <f t="shared" si="105"/>
        <v/>
      </c>
      <c r="N749" s="243" t="str">
        <f>IF($A749="","",IF(ABS(E749)&gt;0.000001,COUNT($N$1:N748)+1,""))</f>
        <v/>
      </c>
      <c r="O749" s="291" t="str">
        <f>IF($A749="","",SUMIFS(Transactions!$H$2:$H$1001,Transactions!$J$2:$J$1001,$A749,Transactions!$A$2:$A$1001,2)*$I749)</f>
        <v/>
      </c>
      <c r="P749" s="291" t="str">
        <f t="shared" si="106"/>
        <v/>
      </c>
      <c r="Q749" s="292" t="str">
        <f t="shared" si="107"/>
        <v/>
      </c>
    </row>
    <row r="750" spans="1:17" ht="15" customHeight="1" x14ac:dyDescent="0.2">
      <c r="A750" s="243" t="str">
        <f>IFERROR(INDEX(Txn[Key],MATCH(0,INDEX(COUNTIF($A$1:A749,Txn[Key])+(Txn[Key]=""),0),0)),"")</f>
        <v/>
      </c>
      <c r="B750" s="243" t="str">
        <f t="shared" si="99"/>
        <v/>
      </c>
      <c r="C750" s="243" t="str">
        <f t="shared" si="100"/>
        <v/>
      </c>
      <c r="D750" s="243" t="str">
        <f t="shared" si="101"/>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2"/>
        <v/>
      </c>
      <c r="K750" s="287" t="str">
        <f t="shared" si="103"/>
        <v/>
      </c>
      <c r="L750" s="287" t="str">
        <f t="shared" si="104"/>
        <v/>
      </c>
      <c r="M750" s="290" t="str">
        <f t="shared" si="105"/>
        <v/>
      </c>
      <c r="N750" s="243" t="str">
        <f>IF($A750="","",IF(ABS(E750)&gt;0.000001,COUNT($N$1:N749)+1,""))</f>
        <v/>
      </c>
      <c r="O750" s="291" t="str">
        <f>IF($A750="","",SUMIFS(Transactions!$H$2:$H$1001,Transactions!$J$2:$J$1001,$A750,Transactions!$A$2:$A$1001,2)*$I750)</f>
        <v/>
      </c>
      <c r="P750" s="291" t="str">
        <f t="shared" si="106"/>
        <v/>
      </c>
      <c r="Q750" s="292" t="str">
        <f t="shared" si="107"/>
        <v/>
      </c>
    </row>
    <row r="751" spans="1:17" ht="15" customHeight="1" x14ac:dyDescent="0.2">
      <c r="A751" s="243" t="str">
        <f>IFERROR(INDEX(Txn[Key],MATCH(0,INDEX(COUNTIF($A$1:A750,Txn[Key])+(Txn[Key]=""),0),0)),"")</f>
        <v/>
      </c>
      <c r="B751" s="243" t="str">
        <f t="shared" si="99"/>
        <v/>
      </c>
      <c r="C751" s="243" t="str">
        <f t="shared" si="100"/>
        <v/>
      </c>
      <c r="D751" s="243" t="str">
        <f t="shared" si="101"/>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2"/>
        <v/>
      </c>
      <c r="K751" s="287" t="str">
        <f t="shared" si="103"/>
        <v/>
      </c>
      <c r="L751" s="287" t="str">
        <f t="shared" si="104"/>
        <v/>
      </c>
      <c r="M751" s="290" t="str">
        <f t="shared" si="105"/>
        <v/>
      </c>
      <c r="N751" s="243" t="str">
        <f>IF($A751="","",IF(ABS(E751)&gt;0.000001,COUNT($N$1:N750)+1,""))</f>
        <v/>
      </c>
      <c r="O751" s="291" t="str">
        <f>IF($A751="","",SUMIFS(Transactions!$H$2:$H$1001,Transactions!$J$2:$J$1001,$A751,Transactions!$A$2:$A$1001,2)*$I751)</f>
        <v/>
      </c>
      <c r="P751" s="291" t="str">
        <f t="shared" si="106"/>
        <v/>
      </c>
      <c r="Q751" s="292" t="str">
        <f t="shared" si="107"/>
        <v/>
      </c>
    </row>
    <row r="752" spans="1:17" ht="15" customHeight="1" x14ac:dyDescent="0.2">
      <c r="A752" s="243" t="str">
        <f>IFERROR(INDEX(Txn[Key],MATCH(0,INDEX(COUNTIF($A$1:A751,Txn[Key])+(Txn[Key]=""),0),0)),"")</f>
        <v/>
      </c>
      <c r="B752" s="243" t="str">
        <f t="shared" si="99"/>
        <v/>
      </c>
      <c r="C752" s="243" t="str">
        <f t="shared" si="100"/>
        <v/>
      </c>
      <c r="D752" s="243" t="str">
        <f t="shared" si="101"/>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2"/>
        <v/>
      </c>
      <c r="K752" s="287" t="str">
        <f t="shared" si="103"/>
        <v/>
      </c>
      <c r="L752" s="287" t="str">
        <f t="shared" si="104"/>
        <v/>
      </c>
      <c r="M752" s="290" t="str">
        <f t="shared" si="105"/>
        <v/>
      </c>
      <c r="N752" s="243" t="str">
        <f>IF($A752="","",IF(ABS(E752)&gt;0.000001,COUNT($N$1:N751)+1,""))</f>
        <v/>
      </c>
      <c r="O752" s="291" t="str">
        <f>IF($A752="","",SUMIFS(Transactions!$H$2:$H$1001,Transactions!$J$2:$J$1001,$A752,Transactions!$A$2:$A$1001,2)*$I752)</f>
        <v/>
      </c>
      <c r="P752" s="291" t="str">
        <f t="shared" si="106"/>
        <v/>
      </c>
      <c r="Q752" s="292" t="str">
        <f t="shared" si="107"/>
        <v/>
      </c>
    </row>
    <row r="753" spans="1:17" ht="15" customHeight="1" x14ac:dyDescent="0.2">
      <c r="A753" s="243" t="str">
        <f>IFERROR(INDEX(Txn[Key],MATCH(0,INDEX(COUNTIF($A$1:A752,Txn[Key])+(Txn[Key]=""),0),0)),"")</f>
        <v/>
      </c>
      <c r="B753" s="243" t="str">
        <f t="shared" si="99"/>
        <v/>
      </c>
      <c r="C753" s="243" t="str">
        <f t="shared" si="100"/>
        <v/>
      </c>
      <c r="D753" s="243" t="str">
        <f t="shared" si="101"/>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2"/>
        <v/>
      </c>
      <c r="K753" s="287" t="str">
        <f t="shared" si="103"/>
        <v/>
      </c>
      <c r="L753" s="287" t="str">
        <f t="shared" si="104"/>
        <v/>
      </c>
      <c r="M753" s="290" t="str">
        <f t="shared" si="105"/>
        <v/>
      </c>
      <c r="N753" s="243" t="str">
        <f>IF($A753="","",IF(ABS(E753)&gt;0.000001,COUNT($N$1:N752)+1,""))</f>
        <v/>
      </c>
      <c r="O753" s="291" t="str">
        <f>IF($A753="","",SUMIFS(Transactions!$H$2:$H$1001,Transactions!$J$2:$J$1001,$A753,Transactions!$A$2:$A$1001,2)*$I753)</f>
        <v/>
      </c>
      <c r="P753" s="291" t="str">
        <f t="shared" si="106"/>
        <v/>
      </c>
      <c r="Q753" s="292" t="str">
        <f t="shared" si="107"/>
        <v/>
      </c>
    </row>
    <row r="754" spans="1:17" ht="15" customHeight="1" x14ac:dyDescent="0.2">
      <c r="A754" s="243" t="str">
        <f>IFERROR(INDEX(Txn[Key],MATCH(0,INDEX(COUNTIF($A$1:A753,Txn[Key])+(Txn[Key]=""),0),0)),"")</f>
        <v/>
      </c>
      <c r="B754" s="243" t="str">
        <f t="shared" si="99"/>
        <v/>
      </c>
      <c r="C754" s="243" t="str">
        <f t="shared" si="100"/>
        <v/>
      </c>
      <c r="D754" s="243" t="str">
        <f t="shared" si="101"/>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2"/>
        <v/>
      </c>
      <c r="K754" s="287" t="str">
        <f t="shared" si="103"/>
        <v/>
      </c>
      <c r="L754" s="287" t="str">
        <f t="shared" si="104"/>
        <v/>
      </c>
      <c r="M754" s="290" t="str">
        <f t="shared" si="105"/>
        <v/>
      </c>
      <c r="N754" s="243" t="str">
        <f>IF($A754="","",IF(ABS(E754)&gt;0.000001,COUNT($N$1:N753)+1,""))</f>
        <v/>
      </c>
      <c r="O754" s="291" t="str">
        <f>IF($A754="","",SUMIFS(Transactions!$H$2:$H$1001,Transactions!$J$2:$J$1001,$A754,Transactions!$A$2:$A$1001,2)*$I754)</f>
        <v/>
      </c>
      <c r="P754" s="291" t="str">
        <f t="shared" si="106"/>
        <v/>
      </c>
      <c r="Q754" s="292" t="str">
        <f t="shared" si="107"/>
        <v/>
      </c>
    </row>
    <row r="755" spans="1:17" ht="15" customHeight="1" x14ac:dyDescent="0.2">
      <c r="A755" s="243" t="str">
        <f>IFERROR(INDEX(Txn[Key],MATCH(0,INDEX(COUNTIF($A$1:A754,Txn[Key])+(Txn[Key]=""),0),0)),"")</f>
        <v/>
      </c>
      <c r="B755" s="243" t="str">
        <f t="shared" si="99"/>
        <v/>
      </c>
      <c r="C755" s="243" t="str">
        <f t="shared" si="100"/>
        <v/>
      </c>
      <c r="D755" s="243" t="str">
        <f t="shared" si="101"/>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2"/>
        <v/>
      </c>
      <c r="K755" s="287" t="str">
        <f t="shared" si="103"/>
        <v/>
      </c>
      <c r="L755" s="287" t="str">
        <f t="shared" si="104"/>
        <v/>
      </c>
      <c r="M755" s="290" t="str">
        <f t="shared" si="105"/>
        <v/>
      </c>
      <c r="N755" s="243" t="str">
        <f>IF($A755="","",IF(ABS(E755)&gt;0.000001,COUNT($N$1:N754)+1,""))</f>
        <v/>
      </c>
      <c r="O755" s="291" t="str">
        <f>IF($A755="","",SUMIFS(Transactions!$H$2:$H$1001,Transactions!$J$2:$J$1001,$A755,Transactions!$A$2:$A$1001,2)*$I755)</f>
        <v/>
      </c>
      <c r="P755" s="291" t="str">
        <f t="shared" si="106"/>
        <v/>
      </c>
      <c r="Q755" s="292" t="str">
        <f t="shared" si="107"/>
        <v/>
      </c>
    </row>
    <row r="756" spans="1:17" ht="15" customHeight="1" x14ac:dyDescent="0.2">
      <c r="A756" s="243" t="str">
        <f>IFERROR(INDEX(Txn[Key],MATCH(0,INDEX(COUNTIF($A$1:A755,Txn[Key])+(Txn[Key]=""),0),0)),"")</f>
        <v/>
      </c>
      <c r="B756" s="243" t="str">
        <f t="shared" si="99"/>
        <v/>
      </c>
      <c r="C756" s="243" t="str">
        <f t="shared" si="100"/>
        <v/>
      </c>
      <c r="D756" s="243" t="str">
        <f t="shared" si="101"/>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2"/>
        <v/>
      </c>
      <c r="K756" s="287" t="str">
        <f t="shared" si="103"/>
        <v/>
      </c>
      <c r="L756" s="287" t="str">
        <f t="shared" si="104"/>
        <v/>
      </c>
      <c r="M756" s="290" t="str">
        <f t="shared" si="105"/>
        <v/>
      </c>
      <c r="N756" s="243" t="str">
        <f>IF($A756="","",IF(ABS(E756)&gt;0.000001,COUNT($N$1:N755)+1,""))</f>
        <v/>
      </c>
      <c r="O756" s="291" t="str">
        <f>IF($A756="","",SUMIFS(Transactions!$H$2:$H$1001,Transactions!$J$2:$J$1001,$A756,Transactions!$A$2:$A$1001,2)*$I756)</f>
        <v/>
      </c>
      <c r="P756" s="291" t="str">
        <f t="shared" si="106"/>
        <v/>
      </c>
      <c r="Q756" s="292" t="str">
        <f t="shared" si="107"/>
        <v/>
      </c>
    </row>
    <row r="757" spans="1:17" ht="15" customHeight="1" x14ac:dyDescent="0.2">
      <c r="A757" s="243" t="str">
        <f>IFERROR(INDEX(Txn[Key],MATCH(0,INDEX(COUNTIF($A$1:A756,Txn[Key])+(Txn[Key]=""),0),0)),"")</f>
        <v/>
      </c>
      <c r="B757" s="243" t="str">
        <f t="shared" si="99"/>
        <v/>
      </c>
      <c r="C757" s="243" t="str">
        <f t="shared" si="100"/>
        <v/>
      </c>
      <c r="D757" s="243" t="str">
        <f t="shared" si="101"/>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2"/>
        <v/>
      </c>
      <c r="K757" s="287" t="str">
        <f t="shared" si="103"/>
        <v/>
      </c>
      <c r="L757" s="287" t="str">
        <f t="shared" si="104"/>
        <v/>
      </c>
      <c r="M757" s="290" t="str">
        <f t="shared" si="105"/>
        <v/>
      </c>
      <c r="N757" s="243" t="str">
        <f>IF($A757="","",IF(ABS(E757)&gt;0.000001,COUNT($N$1:N756)+1,""))</f>
        <v/>
      </c>
      <c r="O757" s="291" t="str">
        <f>IF($A757="","",SUMIFS(Transactions!$H$2:$H$1001,Transactions!$J$2:$J$1001,$A757,Transactions!$A$2:$A$1001,2)*$I757)</f>
        <v/>
      </c>
      <c r="P757" s="291" t="str">
        <f t="shared" si="106"/>
        <v/>
      </c>
      <c r="Q757" s="292" t="str">
        <f t="shared" si="107"/>
        <v/>
      </c>
    </row>
    <row r="758" spans="1:17" ht="15" customHeight="1" x14ac:dyDescent="0.2">
      <c r="A758" s="243" t="str">
        <f>IFERROR(INDEX(Txn[Key],MATCH(0,INDEX(COUNTIF($A$1:A757,Txn[Key])+(Txn[Key]=""),0),0)),"")</f>
        <v/>
      </c>
      <c r="B758" s="243" t="str">
        <f t="shared" si="99"/>
        <v/>
      </c>
      <c r="C758" s="243" t="str">
        <f t="shared" si="100"/>
        <v/>
      </c>
      <c r="D758" s="243" t="str">
        <f t="shared" si="101"/>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2"/>
        <v/>
      </c>
      <c r="K758" s="287" t="str">
        <f t="shared" si="103"/>
        <v/>
      </c>
      <c r="L758" s="287" t="str">
        <f t="shared" si="104"/>
        <v/>
      </c>
      <c r="M758" s="290" t="str">
        <f t="shared" si="105"/>
        <v/>
      </c>
      <c r="N758" s="243" t="str">
        <f>IF($A758="","",IF(ABS(E758)&gt;0.000001,COUNT($N$1:N757)+1,""))</f>
        <v/>
      </c>
      <c r="O758" s="291" t="str">
        <f>IF($A758="","",SUMIFS(Transactions!$H$2:$H$1001,Transactions!$J$2:$J$1001,$A758,Transactions!$A$2:$A$1001,2)*$I758)</f>
        <v/>
      </c>
      <c r="P758" s="291" t="str">
        <f t="shared" si="106"/>
        <v/>
      </c>
      <c r="Q758" s="292" t="str">
        <f t="shared" si="107"/>
        <v/>
      </c>
    </row>
    <row r="759" spans="1:17" ht="15" customHeight="1" x14ac:dyDescent="0.2">
      <c r="A759" s="243" t="str">
        <f>IFERROR(INDEX(Txn[Key],MATCH(0,INDEX(COUNTIF($A$1:A758,Txn[Key])+(Txn[Key]=""),0),0)),"")</f>
        <v/>
      </c>
      <c r="B759" s="243" t="str">
        <f t="shared" si="99"/>
        <v/>
      </c>
      <c r="C759" s="243" t="str">
        <f t="shared" si="100"/>
        <v/>
      </c>
      <c r="D759" s="243" t="str">
        <f t="shared" si="101"/>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2"/>
        <v/>
      </c>
      <c r="K759" s="287" t="str">
        <f t="shared" si="103"/>
        <v/>
      </c>
      <c r="L759" s="287" t="str">
        <f t="shared" si="104"/>
        <v/>
      </c>
      <c r="M759" s="290" t="str">
        <f t="shared" si="105"/>
        <v/>
      </c>
      <c r="N759" s="243" t="str">
        <f>IF($A759="","",IF(ABS(E759)&gt;0.000001,COUNT($N$1:N758)+1,""))</f>
        <v/>
      </c>
      <c r="O759" s="291" t="str">
        <f>IF($A759="","",SUMIFS(Transactions!$H$2:$H$1001,Transactions!$J$2:$J$1001,$A759,Transactions!$A$2:$A$1001,2)*$I759)</f>
        <v/>
      </c>
      <c r="P759" s="291" t="str">
        <f t="shared" si="106"/>
        <v/>
      </c>
      <c r="Q759" s="292" t="str">
        <f t="shared" si="107"/>
        <v/>
      </c>
    </row>
    <row r="760" spans="1:17" ht="15" customHeight="1" x14ac:dyDescent="0.2">
      <c r="A760" s="243" t="str">
        <f>IFERROR(INDEX(Txn[Key],MATCH(0,INDEX(COUNTIF($A$1:A759,Txn[Key])+(Txn[Key]=""),0),0)),"")</f>
        <v/>
      </c>
      <c r="B760" s="243" t="str">
        <f t="shared" si="99"/>
        <v/>
      </c>
      <c r="C760" s="243" t="str">
        <f t="shared" si="100"/>
        <v/>
      </c>
      <c r="D760" s="243" t="str">
        <f t="shared" si="101"/>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2"/>
        <v/>
      </c>
      <c r="K760" s="287" t="str">
        <f t="shared" si="103"/>
        <v/>
      </c>
      <c r="L760" s="287" t="str">
        <f t="shared" si="104"/>
        <v/>
      </c>
      <c r="M760" s="290" t="str">
        <f t="shared" si="105"/>
        <v/>
      </c>
      <c r="N760" s="243" t="str">
        <f>IF($A760="","",IF(ABS(E760)&gt;0.000001,COUNT($N$1:N759)+1,""))</f>
        <v/>
      </c>
      <c r="O760" s="291" t="str">
        <f>IF($A760="","",SUMIFS(Transactions!$H$2:$H$1001,Transactions!$J$2:$J$1001,$A760,Transactions!$A$2:$A$1001,2)*$I760)</f>
        <v/>
      </c>
      <c r="P760" s="291" t="str">
        <f t="shared" si="106"/>
        <v/>
      </c>
      <c r="Q760" s="292" t="str">
        <f t="shared" si="107"/>
        <v/>
      </c>
    </row>
    <row r="761" spans="1:17" ht="15" customHeight="1" x14ac:dyDescent="0.2">
      <c r="A761" s="243" t="str">
        <f>IFERROR(INDEX(Txn[Key],MATCH(0,INDEX(COUNTIF($A$1:A760,Txn[Key])+(Txn[Key]=""),0),0)),"")</f>
        <v/>
      </c>
      <c r="B761" s="243" t="str">
        <f t="shared" si="99"/>
        <v/>
      </c>
      <c r="C761" s="243" t="str">
        <f t="shared" si="100"/>
        <v/>
      </c>
      <c r="D761" s="243" t="str">
        <f t="shared" si="101"/>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2"/>
        <v/>
      </c>
      <c r="K761" s="287" t="str">
        <f t="shared" si="103"/>
        <v/>
      </c>
      <c r="L761" s="287" t="str">
        <f t="shared" si="104"/>
        <v/>
      </c>
      <c r="M761" s="290" t="str">
        <f t="shared" si="105"/>
        <v/>
      </c>
      <c r="N761" s="243" t="str">
        <f>IF($A761="","",IF(ABS(E761)&gt;0.000001,COUNT($N$1:N760)+1,""))</f>
        <v/>
      </c>
      <c r="O761" s="291" t="str">
        <f>IF($A761="","",SUMIFS(Transactions!$H$2:$H$1001,Transactions!$J$2:$J$1001,$A761,Transactions!$A$2:$A$1001,2)*$I761)</f>
        <v/>
      </c>
      <c r="P761" s="291" t="str">
        <f t="shared" si="106"/>
        <v/>
      </c>
      <c r="Q761" s="292" t="str">
        <f t="shared" si="107"/>
        <v/>
      </c>
    </row>
    <row r="762" spans="1:17" ht="15" customHeight="1" x14ac:dyDescent="0.2">
      <c r="A762" s="243" t="str">
        <f>IFERROR(INDEX(Txn[Key],MATCH(0,INDEX(COUNTIF($A$1:A761,Txn[Key])+(Txn[Key]=""),0),0)),"")</f>
        <v/>
      </c>
      <c r="B762" s="243" t="str">
        <f t="shared" si="99"/>
        <v/>
      </c>
      <c r="C762" s="243" t="str">
        <f t="shared" si="100"/>
        <v/>
      </c>
      <c r="D762" s="243" t="str">
        <f t="shared" si="101"/>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2"/>
        <v/>
      </c>
      <c r="K762" s="287" t="str">
        <f t="shared" si="103"/>
        <v/>
      </c>
      <c r="L762" s="287" t="str">
        <f t="shared" si="104"/>
        <v/>
      </c>
      <c r="M762" s="290" t="str">
        <f t="shared" si="105"/>
        <v/>
      </c>
      <c r="N762" s="243" t="str">
        <f>IF($A762="","",IF(ABS(E762)&gt;0.000001,COUNT($N$1:N761)+1,""))</f>
        <v/>
      </c>
      <c r="O762" s="291" t="str">
        <f>IF($A762="","",SUMIFS(Transactions!$H$2:$H$1001,Transactions!$J$2:$J$1001,$A762,Transactions!$A$2:$A$1001,2)*$I762)</f>
        <v/>
      </c>
      <c r="P762" s="291" t="str">
        <f t="shared" si="106"/>
        <v/>
      </c>
      <c r="Q762" s="292" t="str">
        <f t="shared" si="107"/>
        <v/>
      </c>
    </row>
    <row r="763" spans="1:17" ht="15" customHeight="1" x14ac:dyDescent="0.2">
      <c r="A763" s="243" t="str">
        <f>IFERROR(INDEX(Txn[Key],MATCH(0,INDEX(COUNTIF($A$1:A762,Txn[Key])+(Txn[Key]=""),0),0)),"")</f>
        <v/>
      </c>
      <c r="B763" s="243" t="str">
        <f t="shared" si="99"/>
        <v/>
      </c>
      <c r="C763" s="243" t="str">
        <f t="shared" si="100"/>
        <v/>
      </c>
      <c r="D763" s="243" t="str">
        <f t="shared" si="101"/>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2"/>
        <v/>
      </c>
      <c r="K763" s="287" t="str">
        <f t="shared" si="103"/>
        <v/>
      </c>
      <c r="L763" s="287" t="str">
        <f t="shared" si="104"/>
        <v/>
      </c>
      <c r="M763" s="290" t="str">
        <f t="shared" si="105"/>
        <v/>
      </c>
      <c r="N763" s="243" t="str">
        <f>IF($A763="","",IF(ABS(E763)&gt;0.000001,COUNT($N$1:N762)+1,""))</f>
        <v/>
      </c>
      <c r="O763" s="291" t="str">
        <f>IF($A763="","",SUMIFS(Transactions!$H$2:$H$1001,Transactions!$J$2:$J$1001,$A763,Transactions!$A$2:$A$1001,2)*$I763)</f>
        <v/>
      </c>
      <c r="P763" s="291" t="str">
        <f t="shared" si="106"/>
        <v/>
      </c>
      <c r="Q763" s="292" t="str">
        <f t="shared" si="107"/>
        <v/>
      </c>
    </row>
    <row r="764" spans="1:17" ht="15" customHeight="1" x14ac:dyDescent="0.2">
      <c r="A764" s="243" t="str">
        <f>IFERROR(INDEX(Txn[Key],MATCH(0,INDEX(COUNTIF($A$1:A763,Txn[Key])+(Txn[Key]=""),0),0)),"")</f>
        <v/>
      </c>
      <c r="B764" s="243" t="str">
        <f t="shared" si="99"/>
        <v/>
      </c>
      <c r="C764" s="243" t="str">
        <f t="shared" si="100"/>
        <v/>
      </c>
      <c r="D764" s="243" t="str">
        <f t="shared" si="101"/>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2"/>
        <v/>
      </c>
      <c r="K764" s="287" t="str">
        <f t="shared" si="103"/>
        <v/>
      </c>
      <c r="L764" s="287" t="str">
        <f t="shared" si="104"/>
        <v/>
      </c>
      <c r="M764" s="290" t="str">
        <f t="shared" si="105"/>
        <v/>
      </c>
      <c r="N764" s="243" t="str">
        <f>IF($A764="","",IF(ABS(E764)&gt;0.000001,COUNT($N$1:N763)+1,""))</f>
        <v/>
      </c>
      <c r="O764" s="291" t="str">
        <f>IF($A764="","",SUMIFS(Transactions!$H$2:$H$1001,Transactions!$J$2:$J$1001,$A764,Transactions!$A$2:$A$1001,2)*$I764)</f>
        <v/>
      </c>
      <c r="P764" s="291" t="str">
        <f t="shared" si="106"/>
        <v/>
      </c>
      <c r="Q764" s="292" t="str">
        <f t="shared" si="107"/>
        <v/>
      </c>
    </row>
    <row r="765" spans="1:17" ht="15" customHeight="1" x14ac:dyDescent="0.2">
      <c r="A765" s="243" t="str">
        <f>IFERROR(INDEX(Txn[Key],MATCH(0,INDEX(COUNTIF($A$1:A764,Txn[Key])+(Txn[Key]=""),0),0)),"")</f>
        <v/>
      </c>
      <c r="B765" s="243" t="str">
        <f t="shared" si="99"/>
        <v/>
      </c>
      <c r="C765" s="243" t="str">
        <f t="shared" si="100"/>
        <v/>
      </c>
      <c r="D765" s="243" t="str">
        <f t="shared" si="101"/>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2"/>
        <v/>
      </c>
      <c r="K765" s="287" t="str">
        <f t="shared" si="103"/>
        <v/>
      </c>
      <c r="L765" s="287" t="str">
        <f t="shared" si="104"/>
        <v/>
      </c>
      <c r="M765" s="290" t="str">
        <f t="shared" si="105"/>
        <v/>
      </c>
      <c r="N765" s="243" t="str">
        <f>IF($A765="","",IF(ABS(E765)&gt;0.000001,COUNT($N$1:N764)+1,""))</f>
        <v/>
      </c>
      <c r="O765" s="291" t="str">
        <f>IF($A765="","",SUMIFS(Transactions!$H$2:$H$1001,Transactions!$J$2:$J$1001,$A765,Transactions!$A$2:$A$1001,2)*$I765)</f>
        <v/>
      </c>
      <c r="P765" s="291" t="str">
        <f t="shared" si="106"/>
        <v/>
      </c>
      <c r="Q765" s="292" t="str">
        <f t="shared" si="107"/>
        <v/>
      </c>
    </row>
    <row r="766" spans="1:17" ht="15" customHeight="1" x14ac:dyDescent="0.2">
      <c r="A766" s="243" t="str">
        <f>IFERROR(INDEX(Txn[Key],MATCH(0,INDEX(COUNTIF($A$1:A765,Txn[Key])+(Txn[Key]=""),0),0)),"")</f>
        <v/>
      </c>
      <c r="B766" s="243" t="str">
        <f t="shared" si="99"/>
        <v/>
      </c>
      <c r="C766" s="243" t="str">
        <f t="shared" si="100"/>
        <v/>
      </c>
      <c r="D766" s="243" t="str">
        <f t="shared" si="101"/>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2"/>
        <v/>
      </c>
      <c r="K766" s="287" t="str">
        <f t="shared" si="103"/>
        <v/>
      </c>
      <c r="L766" s="287" t="str">
        <f t="shared" si="104"/>
        <v/>
      </c>
      <c r="M766" s="290" t="str">
        <f t="shared" si="105"/>
        <v/>
      </c>
      <c r="N766" s="243" t="str">
        <f>IF($A766="","",IF(ABS(E766)&gt;0.000001,COUNT($N$1:N765)+1,""))</f>
        <v/>
      </c>
      <c r="O766" s="291" t="str">
        <f>IF($A766="","",SUMIFS(Transactions!$H$2:$H$1001,Transactions!$J$2:$J$1001,$A766,Transactions!$A$2:$A$1001,2)*$I766)</f>
        <v/>
      </c>
      <c r="P766" s="291" t="str">
        <f t="shared" si="106"/>
        <v/>
      </c>
      <c r="Q766" s="292" t="str">
        <f t="shared" si="107"/>
        <v/>
      </c>
    </row>
    <row r="767" spans="1:17" ht="15" customHeight="1" x14ac:dyDescent="0.2">
      <c r="A767" s="243" t="str">
        <f>IFERROR(INDEX(Txn[Key],MATCH(0,INDEX(COUNTIF($A$1:A766,Txn[Key])+(Txn[Key]=""),0),0)),"")</f>
        <v/>
      </c>
      <c r="B767" s="243" t="str">
        <f t="shared" si="99"/>
        <v/>
      </c>
      <c r="C767" s="243" t="str">
        <f t="shared" si="100"/>
        <v/>
      </c>
      <c r="D767" s="243" t="str">
        <f t="shared" si="101"/>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2"/>
        <v/>
      </c>
      <c r="K767" s="287" t="str">
        <f t="shared" si="103"/>
        <v/>
      </c>
      <c r="L767" s="287" t="str">
        <f t="shared" si="104"/>
        <v/>
      </c>
      <c r="M767" s="290" t="str">
        <f t="shared" si="105"/>
        <v/>
      </c>
      <c r="N767" s="243" t="str">
        <f>IF($A767="","",IF(ABS(E767)&gt;0.000001,COUNT($N$1:N766)+1,""))</f>
        <v/>
      </c>
      <c r="O767" s="291" t="str">
        <f>IF($A767="","",SUMIFS(Transactions!$H$2:$H$1001,Transactions!$J$2:$J$1001,$A767,Transactions!$A$2:$A$1001,2)*$I767)</f>
        <v/>
      </c>
      <c r="P767" s="291" t="str">
        <f t="shared" si="106"/>
        <v/>
      </c>
      <c r="Q767" s="292" t="str">
        <f t="shared" si="107"/>
        <v/>
      </c>
    </row>
    <row r="768" spans="1:17" ht="15" customHeight="1" x14ac:dyDescent="0.2">
      <c r="A768" s="243" t="str">
        <f>IFERROR(INDEX(Txn[Key],MATCH(0,INDEX(COUNTIF($A$1:A767,Txn[Key])+(Txn[Key]=""),0),0)),"")</f>
        <v/>
      </c>
      <c r="B768" s="243" t="str">
        <f t="shared" si="99"/>
        <v/>
      </c>
      <c r="C768" s="243" t="str">
        <f t="shared" si="100"/>
        <v/>
      </c>
      <c r="D768" s="243" t="str">
        <f t="shared" si="101"/>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2"/>
        <v/>
      </c>
      <c r="K768" s="287" t="str">
        <f t="shared" si="103"/>
        <v/>
      </c>
      <c r="L768" s="287" t="str">
        <f t="shared" si="104"/>
        <v/>
      </c>
      <c r="M768" s="290" t="str">
        <f t="shared" si="105"/>
        <v/>
      </c>
      <c r="N768" s="243" t="str">
        <f>IF($A768="","",IF(ABS(E768)&gt;0.000001,COUNT($N$1:N767)+1,""))</f>
        <v/>
      </c>
      <c r="O768" s="291" t="str">
        <f>IF($A768="","",SUMIFS(Transactions!$H$2:$H$1001,Transactions!$J$2:$J$1001,$A768,Transactions!$A$2:$A$1001,2)*$I768)</f>
        <v/>
      </c>
      <c r="P768" s="291" t="str">
        <f t="shared" si="106"/>
        <v/>
      </c>
      <c r="Q768" s="292" t="str">
        <f t="shared" si="107"/>
        <v/>
      </c>
    </row>
    <row r="769" spans="1:17" ht="15" customHeight="1" x14ac:dyDescent="0.2">
      <c r="A769" s="243" t="str">
        <f>IFERROR(INDEX(Txn[Key],MATCH(0,INDEX(COUNTIF($A$1:A768,Txn[Key])+(Txn[Key]=""),0),0)),"")</f>
        <v/>
      </c>
      <c r="B769" s="243" t="str">
        <f t="shared" si="99"/>
        <v/>
      </c>
      <c r="C769" s="243" t="str">
        <f t="shared" si="100"/>
        <v/>
      </c>
      <c r="D769" s="243" t="str">
        <f t="shared" si="101"/>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2"/>
        <v/>
      </c>
      <c r="K769" s="287" t="str">
        <f t="shared" si="103"/>
        <v/>
      </c>
      <c r="L769" s="287" t="str">
        <f t="shared" si="104"/>
        <v/>
      </c>
      <c r="M769" s="290" t="str">
        <f t="shared" si="105"/>
        <v/>
      </c>
      <c r="N769" s="243" t="str">
        <f>IF($A769="","",IF(ABS(E769)&gt;0.000001,COUNT($N$1:N768)+1,""))</f>
        <v/>
      </c>
      <c r="O769" s="291" t="str">
        <f>IF($A769="","",SUMIFS(Transactions!$H$2:$H$1001,Transactions!$J$2:$J$1001,$A769,Transactions!$A$2:$A$1001,2)*$I769)</f>
        <v/>
      </c>
      <c r="P769" s="291" t="str">
        <f t="shared" si="106"/>
        <v/>
      </c>
      <c r="Q769" s="292" t="str">
        <f t="shared" si="107"/>
        <v/>
      </c>
    </row>
    <row r="770" spans="1:17" ht="15" customHeight="1" x14ac:dyDescent="0.2">
      <c r="A770" s="243" t="str">
        <f>IFERROR(INDEX(Txn[Key],MATCH(0,INDEX(COUNTIF($A$1:A769,Txn[Key])+(Txn[Key]=""),0),0)),"")</f>
        <v/>
      </c>
      <c r="B770" s="243" t="str">
        <f t="shared" ref="B770:B833" si="108">IF($A770="","",LEFT($A770,FIND(":",$A770)-1))</f>
        <v/>
      </c>
      <c r="C770" s="243" t="str">
        <f t="shared" ref="C770:C833" si="109">IF($A770="","",MID($A770,FIND(":",$A770)+1,FIND(":",$A770,FIND(":",$A770)+1)-FIND(":",$A770)-1))</f>
        <v/>
      </c>
      <c r="D770" s="243" t="str">
        <f t="shared" ref="D770:D833" si="110">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1">IF($A770="","",E770*H770)</f>
        <v/>
      </c>
      <c r="K770" s="287" t="str">
        <f t="shared" ref="K770:K833" si="112">IF($A770="","",J770+G770-F770)</f>
        <v/>
      </c>
      <c r="L770" s="287" t="str">
        <f t="shared" ref="L770:L833" si="113">IF($A770="","",K770*I770)</f>
        <v/>
      </c>
      <c r="M770" s="290" t="str">
        <f t="shared" ref="M770:M833" si="114">IF($A770="","",IFERROR(K770/F770,0))</f>
        <v/>
      </c>
      <c r="N770" s="243" t="str">
        <f>IF($A770="","",IF(ABS(E770)&gt;0.000001,COUNT($N$1:N769)+1,""))</f>
        <v/>
      </c>
      <c r="O770" s="291" t="str">
        <f>IF($A770="","",SUMIFS(Transactions!$H$2:$H$1001,Transactions!$J$2:$J$1001,$A770,Transactions!$A$2:$A$1001,2)*$I770)</f>
        <v/>
      </c>
      <c r="P770" s="291" t="str">
        <f t="shared" ref="P770:P833" si="115">IF($A770="","",$L770+$O770)</f>
        <v/>
      </c>
      <c r="Q770" s="292" t="str">
        <f t="shared" ref="Q770:Q833" si="116">IF($A770="","",IFERROR(($L770+$O770)/($F770*$I770),0))</f>
        <v/>
      </c>
    </row>
    <row r="771" spans="1:17" ht="15" customHeight="1" x14ac:dyDescent="0.2">
      <c r="A771" s="243" t="str">
        <f>IFERROR(INDEX(Txn[Key],MATCH(0,INDEX(COUNTIF($A$1:A770,Txn[Key])+(Txn[Key]=""),0),0)),"")</f>
        <v/>
      </c>
      <c r="B771" s="243" t="str">
        <f t="shared" si="108"/>
        <v/>
      </c>
      <c r="C771" s="243" t="str">
        <f t="shared" si="109"/>
        <v/>
      </c>
      <c r="D771" s="243" t="str">
        <f t="shared" si="110"/>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1"/>
        <v/>
      </c>
      <c r="K771" s="287" t="str">
        <f t="shared" si="112"/>
        <v/>
      </c>
      <c r="L771" s="287" t="str">
        <f t="shared" si="113"/>
        <v/>
      </c>
      <c r="M771" s="290" t="str">
        <f t="shared" si="114"/>
        <v/>
      </c>
      <c r="N771" s="243" t="str">
        <f>IF($A771="","",IF(ABS(E771)&gt;0.000001,COUNT($N$1:N770)+1,""))</f>
        <v/>
      </c>
      <c r="O771" s="291" t="str">
        <f>IF($A771="","",SUMIFS(Transactions!$H$2:$H$1001,Transactions!$J$2:$J$1001,$A771,Transactions!$A$2:$A$1001,2)*$I771)</f>
        <v/>
      </c>
      <c r="P771" s="291" t="str">
        <f t="shared" si="115"/>
        <v/>
      </c>
      <c r="Q771" s="292" t="str">
        <f t="shared" si="116"/>
        <v/>
      </c>
    </row>
    <row r="772" spans="1:17" ht="15" customHeight="1" x14ac:dyDescent="0.2">
      <c r="A772" s="243" t="str">
        <f>IFERROR(INDEX(Txn[Key],MATCH(0,INDEX(COUNTIF($A$1:A771,Txn[Key])+(Txn[Key]=""),0),0)),"")</f>
        <v/>
      </c>
      <c r="B772" s="243" t="str">
        <f t="shared" si="108"/>
        <v/>
      </c>
      <c r="C772" s="243" t="str">
        <f t="shared" si="109"/>
        <v/>
      </c>
      <c r="D772" s="243" t="str">
        <f t="shared" si="110"/>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1"/>
        <v/>
      </c>
      <c r="K772" s="287" t="str">
        <f t="shared" si="112"/>
        <v/>
      </c>
      <c r="L772" s="287" t="str">
        <f t="shared" si="113"/>
        <v/>
      </c>
      <c r="M772" s="290" t="str">
        <f t="shared" si="114"/>
        <v/>
      </c>
      <c r="N772" s="243" t="str">
        <f>IF($A772="","",IF(ABS(E772)&gt;0.000001,COUNT($N$1:N771)+1,""))</f>
        <v/>
      </c>
      <c r="O772" s="291" t="str">
        <f>IF($A772="","",SUMIFS(Transactions!$H$2:$H$1001,Transactions!$J$2:$J$1001,$A772,Transactions!$A$2:$A$1001,2)*$I772)</f>
        <v/>
      </c>
      <c r="P772" s="291" t="str">
        <f t="shared" si="115"/>
        <v/>
      </c>
      <c r="Q772" s="292" t="str">
        <f t="shared" si="116"/>
        <v/>
      </c>
    </row>
    <row r="773" spans="1:17" ht="15" customHeight="1" x14ac:dyDescent="0.2">
      <c r="A773" s="243" t="str">
        <f>IFERROR(INDEX(Txn[Key],MATCH(0,INDEX(COUNTIF($A$1:A772,Txn[Key])+(Txn[Key]=""),0),0)),"")</f>
        <v/>
      </c>
      <c r="B773" s="243" t="str">
        <f t="shared" si="108"/>
        <v/>
      </c>
      <c r="C773" s="243" t="str">
        <f t="shared" si="109"/>
        <v/>
      </c>
      <c r="D773" s="243" t="str">
        <f t="shared" si="110"/>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1"/>
        <v/>
      </c>
      <c r="K773" s="287" t="str">
        <f t="shared" si="112"/>
        <v/>
      </c>
      <c r="L773" s="287" t="str">
        <f t="shared" si="113"/>
        <v/>
      </c>
      <c r="M773" s="290" t="str">
        <f t="shared" si="114"/>
        <v/>
      </c>
      <c r="N773" s="243" t="str">
        <f>IF($A773="","",IF(ABS(E773)&gt;0.000001,COUNT($N$1:N772)+1,""))</f>
        <v/>
      </c>
      <c r="O773" s="291" t="str">
        <f>IF($A773="","",SUMIFS(Transactions!$H$2:$H$1001,Transactions!$J$2:$J$1001,$A773,Transactions!$A$2:$A$1001,2)*$I773)</f>
        <v/>
      </c>
      <c r="P773" s="291" t="str">
        <f t="shared" si="115"/>
        <v/>
      </c>
      <c r="Q773" s="292" t="str">
        <f t="shared" si="116"/>
        <v/>
      </c>
    </row>
    <row r="774" spans="1:17" ht="15" customHeight="1" x14ac:dyDescent="0.2">
      <c r="A774" s="243" t="str">
        <f>IFERROR(INDEX(Txn[Key],MATCH(0,INDEX(COUNTIF($A$1:A773,Txn[Key])+(Txn[Key]=""),0),0)),"")</f>
        <v/>
      </c>
      <c r="B774" s="243" t="str">
        <f t="shared" si="108"/>
        <v/>
      </c>
      <c r="C774" s="243" t="str">
        <f t="shared" si="109"/>
        <v/>
      </c>
      <c r="D774" s="243" t="str">
        <f t="shared" si="110"/>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1"/>
        <v/>
      </c>
      <c r="K774" s="287" t="str">
        <f t="shared" si="112"/>
        <v/>
      </c>
      <c r="L774" s="287" t="str">
        <f t="shared" si="113"/>
        <v/>
      </c>
      <c r="M774" s="290" t="str">
        <f t="shared" si="114"/>
        <v/>
      </c>
      <c r="N774" s="243" t="str">
        <f>IF($A774="","",IF(ABS(E774)&gt;0.000001,COUNT($N$1:N773)+1,""))</f>
        <v/>
      </c>
      <c r="O774" s="291" t="str">
        <f>IF($A774="","",SUMIFS(Transactions!$H$2:$H$1001,Transactions!$J$2:$J$1001,$A774,Transactions!$A$2:$A$1001,2)*$I774)</f>
        <v/>
      </c>
      <c r="P774" s="291" t="str">
        <f t="shared" si="115"/>
        <v/>
      </c>
      <c r="Q774" s="292" t="str">
        <f t="shared" si="116"/>
        <v/>
      </c>
    </row>
    <row r="775" spans="1:17" ht="15" customHeight="1" x14ac:dyDescent="0.2">
      <c r="A775" s="243" t="str">
        <f>IFERROR(INDEX(Txn[Key],MATCH(0,INDEX(COUNTIF($A$1:A774,Txn[Key])+(Txn[Key]=""),0),0)),"")</f>
        <v/>
      </c>
      <c r="B775" s="243" t="str">
        <f t="shared" si="108"/>
        <v/>
      </c>
      <c r="C775" s="243" t="str">
        <f t="shared" si="109"/>
        <v/>
      </c>
      <c r="D775" s="243" t="str">
        <f t="shared" si="110"/>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1"/>
        <v/>
      </c>
      <c r="K775" s="287" t="str">
        <f t="shared" si="112"/>
        <v/>
      </c>
      <c r="L775" s="287" t="str">
        <f t="shared" si="113"/>
        <v/>
      </c>
      <c r="M775" s="290" t="str">
        <f t="shared" si="114"/>
        <v/>
      </c>
      <c r="N775" s="243" t="str">
        <f>IF($A775="","",IF(ABS(E775)&gt;0.000001,COUNT($N$1:N774)+1,""))</f>
        <v/>
      </c>
      <c r="O775" s="291" t="str">
        <f>IF($A775="","",SUMIFS(Transactions!$H$2:$H$1001,Transactions!$J$2:$J$1001,$A775,Transactions!$A$2:$A$1001,2)*$I775)</f>
        <v/>
      </c>
      <c r="P775" s="291" t="str">
        <f t="shared" si="115"/>
        <v/>
      </c>
      <c r="Q775" s="292" t="str">
        <f t="shared" si="116"/>
        <v/>
      </c>
    </row>
    <row r="776" spans="1:17" ht="15" customHeight="1" x14ac:dyDescent="0.2">
      <c r="A776" s="243" t="str">
        <f>IFERROR(INDEX(Txn[Key],MATCH(0,INDEX(COUNTIF($A$1:A775,Txn[Key])+(Txn[Key]=""),0),0)),"")</f>
        <v/>
      </c>
      <c r="B776" s="243" t="str">
        <f t="shared" si="108"/>
        <v/>
      </c>
      <c r="C776" s="243" t="str">
        <f t="shared" si="109"/>
        <v/>
      </c>
      <c r="D776" s="243" t="str">
        <f t="shared" si="110"/>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1"/>
        <v/>
      </c>
      <c r="K776" s="287" t="str">
        <f t="shared" si="112"/>
        <v/>
      </c>
      <c r="L776" s="287" t="str">
        <f t="shared" si="113"/>
        <v/>
      </c>
      <c r="M776" s="290" t="str">
        <f t="shared" si="114"/>
        <v/>
      </c>
      <c r="N776" s="243" t="str">
        <f>IF($A776="","",IF(ABS(E776)&gt;0.000001,COUNT($N$1:N775)+1,""))</f>
        <v/>
      </c>
      <c r="O776" s="291" t="str">
        <f>IF($A776="","",SUMIFS(Transactions!$H$2:$H$1001,Transactions!$J$2:$J$1001,$A776,Transactions!$A$2:$A$1001,2)*$I776)</f>
        <v/>
      </c>
      <c r="P776" s="291" t="str">
        <f t="shared" si="115"/>
        <v/>
      </c>
      <c r="Q776" s="292" t="str">
        <f t="shared" si="116"/>
        <v/>
      </c>
    </row>
    <row r="777" spans="1:17" ht="15" customHeight="1" x14ac:dyDescent="0.2">
      <c r="A777" s="243" t="str">
        <f>IFERROR(INDEX(Txn[Key],MATCH(0,INDEX(COUNTIF($A$1:A776,Txn[Key])+(Txn[Key]=""),0),0)),"")</f>
        <v/>
      </c>
      <c r="B777" s="243" t="str">
        <f t="shared" si="108"/>
        <v/>
      </c>
      <c r="C777" s="243" t="str">
        <f t="shared" si="109"/>
        <v/>
      </c>
      <c r="D777" s="243" t="str">
        <f t="shared" si="110"/>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1"/>
        <v/>
      </c>
      <c r="K777" s="287" t="str">
        <f t="shared" si="112"/>
        <v/>
      </c>
      <c r="L777" s="287" t="str">
        <f t="shared" si="113"/>
        <v/>
      </c>
      <c r="M777" s="290" t="str">
        <f t="shared" si="114"/>
        <v/>
      </c>
      <c r="N777" s="243" t="str">
        <f>IF($A777="","",IF(ABS(E777)&gt;0.000001,COUNT($N$1:N776)+1,""))</f>
        <v/>
      </c>
      <c r="O777" s="291" t="str">
        <f>IF($A777="","",SUMIFS(Transactions!$H$2:$H$1001,Transactions!$J$2:$J$1001,$A777,Transactions!$A$2:$A$1001,2)*$I777)</f>
        <v/>
      </c>
      <c r="P777" s="291" t="str">
        <f t="shared" si="115"/>
        <v/>
      </c>
      <c r="Q777" s="292" t="str">
        <f t="shared" si="116"/>
        <v/>
      </c>
    </row>
    <row r="778" spans="1:17" ht="15" customHeight="1" x14ac:dyDescent="0.2">
      <c r="A778" s="243" t="str">
        <f>IFERROR(INDEX(Txn[Key],MATCH(0,INDEX(COUNTIF($A$1:A777,Txn[Key])+(Txn[Key]=""),0),0)),"")</f>
        <v/>
      </c>
      <c r="B778" s="243" t="str">
        <f t="shared" si="108"/>
        <v/>
      </c>
      <c r="C778" s="243" t="str">
        <f t="shared" si="109"/>
        <v/>
      </c>
      <c r="D778" s="243" t="str">
        <f t="shared" si="110"/>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1"/>
        <v/>
      </c>
      <c r="K778" s="287" t="str">
        <f t="shared" si="112"/>
        <v/>
      </c>
      <c r="L778" s="287" t="str">
        <f t="shared" si="113"/>
        <v/>
      </c>
      <c r="M778" s="290" t="str">
        <f t="shared" si="114"/>
        <v/>
      </c>
      <c r="N778" s="243" t="str">
        <f>IF($A778="","",IF(ABS(E778)&gt;0.000001,COUNT($N$1:N777)+1,""))</f>
        <v/>
      </c>
      <c r="O778" s="291" t="str">
        <f>IF($A778="","",SUMIFS(Transactions!$H$2:$H$1001,Transactions!$J$2:$J$1001,$A778,Transactions!$A$2:$A$1001,2)*$I778)</f>
        <v/>
      </c>
      <c r="P778" s="291" t="str">
        <f t="shared" si="115"/>
        <v/>
      </c>
      <c r="Q778" s="292" t="str">
        <f t="shared" si="116"/>
        <v/>
      </c>
    </row>
    <row r="779" spans="1:17" ht="15" customHeight="1" x14ac:dyDescent="0.2">
      <c r="A779" s="243" t="str">
        <f>IFERROR(INDEX(Txn[Key],MATCH(0,INDEX(COUNTIF($A$1:A778,Txn[Key])+(Txn[Key]=""),0),0)),"")</f>
        <v/>
      </c>
      <c r="B779" s="243" t="str">
        <f t="shared" si="108"/>
        <v/>
      </c>
      <c r="C779" s="243" t="str">
        <f t="shared" si="109"/>
        <v/>
      </c>
      <c r="D779" s="243" t="str">
        <f t="shared" si="110"/>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1"/>
        <v/>
      </c>
      <c r="K779" s="287" t="str">
        <f t="shared" si="112"/>
        <v/>
      </c>
      <c r="L779" s="287" t="str">
        <f t="shared" si="113"/>
        <v/>
      </c>
      <c r="M779" s="290" t="str">
        <f t="shared" si="114"/>
        <v/>
      </c>
      <c r="N779" s="243" t="str">
        <f>IF($A779="","",IF(ABS(E779)&gt;0.000001,COUNT($N$1:N778)+1,""))</f>
        <v/>
      </c>
      <c r="O779" s="291" t="str">
        <f>IF($A779="","",SUMIFS(Transactions!$H$2:$H$1001,Transactions!$J$2:$J$1001,$A779,Transactions!$A$2:$A$1001,2)*$I779)</f>
        <v/>
      </c>
      <c r="P779" s="291" t="str">
        <f t="shared" si="115"/>
        <v/>
      </c>
      <c r="Q779" s="292" t="str">
        <f t="shared" si="116"/>
        <v/>
      </c>
    </row>
    <row r="780" spans="1:17" ht="15" customHeight="1" x14ac:dyDescent="0.2">
      <c r="A780" s="243" t="str">
        <f>IFERROR(INDEX(Txn[Key],MATCH(0,INDEX(COUNTIF($A$1:A779,Txn[Key])+(Txn[Key]=""),0),0)),"")</f>
        <v/>
      </c>
      <c r="B780" s="243" t="str">
        <f t="shared" si="108"/>
        <v/>
      </c>
      <c r="C780" s="243" t="str">
        <f t="shared" si="109"/>
        <v/>
      </c>
      <c r="D780" s="243" t="str">
        <f t="shared" si="110"/>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1"/>
        <v/>
      </c>
      <c r="K780" s="287" t="str">
        <f t="shared" si="112"/>
        <v/>
      </c>
      <c r="L780" s="287" t="str">
        <f t="shared" si="113"/>
        <v/>
      </c>
      <c r="M780" s="290" t="str">
        <f t="shared" si="114"/>
        <v/>
      </c>
      <c r="N780" s="243" t="str">
        <f>IF($A780="","",IF(ABS(E780)&gt;0.000001,COUNT($N$1:N779)+1,""))</f>
        <v/>
      </c>
      <c r="O780" s="291" t="str">
        <f>IF($A780="","",SUMIFS(Transactions!$H$2:$H$1001,Transactions!$J$2:$J$1001,$A780,Transactions!$A$2:$A$1001,2)*$I780)</f>
        <v/>
      </c>
      <c r="P780" s="291" t="str">
        <f t="shared" si="115"/>
        <v/>
      </c>
      <c r="Q780" s="292" t="str">
        <f t="shared" si="116"/>
        <v/>
      </c>
    </row>
    <row r="781" spans="1:17" ht="15" customHeight="1" x14ac:dyDescent="0.2">
      <c r="A781" s="243" t="str">
        <f>IFERROR(INDEX(Txn[Key],MATCH(0,INDEX(COUNTIF($A$1:A780,Txn[Key])+(Txn[Key]=""),0),0)),"")</f>
        <v/>
      </c>
      <c r="B781" s="243" t="str">
        <f t="shared" si="108"/>
        <v/>
      </c>
      <c r="C781" s="243" t="str">
        <f t="shared" si="109"/>
        <v/>
      </c>
      <c r="D781" s="243" t="str">
        <f t="shared" si="110"/>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1"/>
        <v/>
      </c>
      <c r="K781" s="287" t="str">
        <f t="shared" si="112"/>
        <v/>
      </c>
      <c r="L781" s="287" t="str">
        <f t="shared" si="113"/>
        <v/>
      </c>
      <c r="M781" s="290" t="str">
        <f t="shared" si="114"/>
        <v/>
      </c>
      <c r="N781" s="243" t="str">
        <f>IF($A781="","",IF(ABS(E781)&gt;0.000001,COUNT($N$1:N780)+1,""))</f>
        <v/>
      </c>
      <c r="O781" s="291" t="str">
        <f>IF($A781="","",SUMIFS(Transactions!$H$2:$H$1001,Transactions!$J$2:$J$1001,$A781,Transactions!$A$2:$A$1001,2)*$I781)</f>
        <v/>
      </c>
      <c r="P781" s="291" t="str">
        <f t="shared" si="115"/>
        <v/>
      </c>
      <c r="Q781" s="292" t="str">
        <f t="shared" si="116"/>
        <v/>
      </c>
    </row>
    <row r="782" spans="1:17" ht="15" customHeight="1" x14ac:dyDescent="0.2">
      <c r="A782" s="243" t="str">
        <f>IFERROR(INDEX(Txn[Key],MATCH(0,INDEX(COUNTIF($A$1:A781,Txn[Key])+(Txn[Key]=""),0),0)),"")</f>
        <v/>
      </c>
      <c r="B782" s="243" t="str">
        <f t="shared" si="108"/>
        <v/>
      </c>
      <c r="C782" s="243" t="str">
        <f t="shared" si="109"/>
        <v/>
      </c>
      <c r="D782" s="243" t="str">
        <f t="shared" si="110"/>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1"/>
        <v/>
      </c>
      <c r="K782" s="287" t="str">
        <f t="shared" si="112"/>
        <v/>
      </c>
      <c r="L782" s="287" t="str">
        <f t="shared" si="113"/>
        <v/>
      </c>
      <c r="M782" s="290" t="str">
        <f t="shared" si="114"/>
        <v/>
      </c>
      <c r="N782" s="243" t="str">
        <f>IF($A782="","",IF(ABS(E782)&gt;0.000001,COUNT($N$1:N781)+1,""))</f>
        <v/>
      </c>
      <c r="O782" s="291" t="str">
        <f>IF($A782="","",SUMIFS(Transactions!$H$2:$H$1001,Transactions!$J$2:$J$1001,$A782,Transactions!$A$2:$A$1001,2)*$I782)</f>
        <v/>
      </c>
      <c r="P782" s="291" t="str">
        <f t="shared" si="115"/>
        <v/>
      </c>
      <c r="Q782" s="292" t="str">
        <f t="shared" si="116"/>
        <v/>
      </c>
    </row>
    <row r="783" spans="1:17" ht="15" customHeight="1" x14ac:dyDescent="0.2">
      <c r="A783" s="243" t="str">
        <f>IFERROR(INDEX(Txn[Key],MATCH(0,INDEX(COUNTIF($A$1:A782,Txn[Key])+(Txn[Key]=""),0),0)),"")</f>
        <v/>
      </c>
      <c r="B783" s="243" t="str">
        <f t="shared" si="108"/>
        <v/>
      </c>
      <c r="C783" s="243" t="str">
        <f t="shared" si="109"/>
        <v/>
      </c>
      <c r="D783" s="243" t="str">
        <f t="shared" si="110"/>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1"/>
        <v/>
      </c>
      <c r="K783" s="287" t="str">
        <f t="shared" si="112"/>
        <v/>
      </c>
      <c r="L783" s="287" t="str">
        <f t="shared" si="113"/>
        <v/>
      </c>
      <c r="M783" s="290" t="str">
        <f t="shared" si="114"/>
        <v/>
      </c>
      <c r="N783" s="243" t="str">
        <f>IF($A783="","",IF(ABS(E783)&gt;0.000001,COUNT($N$1:N782)+1,""))</f>
        <v/>
      </c>
      <c r="O783" s="291" t="str">
        <f>IF($A783="","",SUMIFS(Transactions!$H$2:$H$1001,Transactions!$J$2:$J$1001,$A783,Transactions!$A$2:$A$1001,2)*$I783)</f>
        <v/>
      </c>
      <c r="P783" s="291" t="str">
        <f t="shared" si="115"/>
        <v/>
      </c>
      <c r="Q783" s="292" t="str">
        <f t="shared" si="116"/>
        <v/>
      </c>
    </row>
    <row r="784" spans="1:17" ht="15" customHeight="1" x14ac:dyDescent="0.2">
      <c r="A784" s="243" t="str">
        <f>IFERROR(INDEX(Txn[Key],MATCH(0,INDEX(COUNTIF($A$1:A783,Txn[Key])+(Txn[Key]=""),0),0)),"")</f>
        <v/>
      </c>
      <c r="B784" s="243" t="str">
        <f t="shared" si="108"/>
        <v/>
      </c>
      <c r="C784" s="243" t="str">
        <f t="shared" si="109"/>
        <v/>
      </c>
      <c r="D784" s="243" t="str">
        <f t="shared" si="110"/>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1"/>
        <v/>
      </c>
      <c r="K784" s="287" t="str">
        <f t="shared" si="112"/>
        <v/>
      </c>
      <c r="L784" s="287" t="str">
        <f t="shared" si="113"/>
        <v/>
      </c>
      <c r="M784" s="290" t="str">
        <f t="shared" si="114"/>
        <v/>
      </c>
      <c r="N784" s="243" t="str">
        <f>IF($A784="","",IF(ABS(E784)&gt;0.000001,COUNT($N$1:N783)+1,""))</f>
        <v/>
      </c>
      <c r="O784" s="291" t="str">
        <f>IF($A784="","",SUMIFS(Transactions!$H$2:$H$1001,Transactions!$J$2:$J$1001,$A784,Transactions!$A$2:$A$1001,2)*$I784)</f>
        <v/>
      </c>
      <c r="P784" s="291" t="str">
        <f t="shared" si="115"/>
        <v/>
      </c>
      <c r="Q784" s="292" t="str">
        <f t="shared" si="116"/>
        <v/>
      </c>
    </row>
    <row r="785" spans="1:17" ht="15" customHeight="1" x14ac:dyDescent="0.2">
      <c r="A785" s="243" t="str">
        <f>IFERROR(INDEX(Txn[Key],MATCH(0,INDEX(COUNTIF($A$1:A784,Txn[Key])+(Txn[Key]=""),0),0)),"")</f>
        <v/>
      </c>
      <c r="B785" s="243" t="str">
        <f t="shared" si="108"/>
        <v/>
      </c>
      <c r="C785" s="243" t="str">
        <f t="shared" si="109"/>
        <v/>
      </c>
      <c r="D785" s="243" t="str">
        <f t="shared" si="110"/>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1"/>
        <v/>
      </c>
      <c r="K785" s="287" t="str">
        <f t="shared" si="112"/>
        <v/>
      </c>
      <c r="L785" s="287" t="str">
        <f t="shared" si="113"/>
        <v/>
      </c>
      <c r="M785" s="290" t="str">
        <f t="shared" si="114"/>
        <v/>
      </c>
      <c r="N785" s="243" t="str">
        <f>IF($A785="","",IF(ABS(E785)&gt;0.000001,COUNT($N$1:N784)+1,""))</f>
        <v/>
      </c>
      <c r="O785" s="291" t="str">
        <f>IF($A785="","",SUMIFS(Transactions!$H$2:$H$1001,Transactions!$J$2:$J$1001,$A785,Transactions!$A$2:$A$1001,2)*$I785)</f>
        <v/>
      </c>
      <c r="P785" s="291" t="str">
        <f t="shared" si="115"/>
        <v/>
      </c>
      <c r="Q785" s="292" t="str">
        <f t="shared" si="116"/>
        <v/>
      </c>
    </row>
    <row r="786" spans="1:17" ht="15" customHeight="1" x14ac:dyDescent="0.2">
      <c r="A786" s="243" t="str">
        <f>IFERROR(INDEX(Txn[Key],MATCH(0,INDEX(COUNTIF($A$1:A785,Txn[Key])+(Txn[Key]=""),0),0)),"")</f>
        <v/>
      </c>
      <c r="B786" s="243" t="str">
        <f t="shared" si="108"/>
        <v/>
      </c>
      <c r="C786" s="243" t="str">
        <f t="shared" si="109"/>
        <v/>
      </c>
      <c r="D786" s="243" t="str">
        <f t="shared" si="110"/>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1"/>
        <v/>
      </c>
      <c r="K786" s="287" t="str">
        <f t="shared" si="112"/>
        <v/>
      </c>
      <c r="L786" s="287" t="str">
        <f t="shared" si="113"/>
        <v/>
      </c>
      <c r="M786" s="290" t="str">
        <f t="shared" si="114"/>
        <v/>
      </c>
      <c r="N786" s="243" t="str">
        <f>IF($A786="","",IF(ABS(E786)&gt;0.000001,COUNT($N$1:N785)+1,""))</f>
        <v/>
      </c>
      <c r="O786" s="291" t="str">
        <f>IF($A786="","",SUMIFS(Transactions!$H$2:$H$1001,Transactions!$J$2:$J$1001,$A786,Transactions!$A$2:$A$1001,2)*$I786)</f>
        <v/>
      </c>
      <c r="P786" s="291" t="str">
        <f t="shared" si="115"/>
        <v/>
      </c>
      <c r="Q786" s="292" t="str">
        <f t="shared" si="116"/>
        <v/>
      </c>
    </row>
    <row r="787" spans="1:17" ht="15" customHeight="1" x14ac:dyDescent="0.2">
      <c r="A787" s="243" t="str">
        <f>IFERROR(INDEX(Txn[Key],MATCH(0,INDEX(COUNTIF($A$1:A786,Txn[Key])+(Txn[Key]=""),0),0)),"")</f>
        <v/>
      </c>
      <c r="B787" s="243" t="str">
        <f t="shared" si="108"/>
        <v/>
      </c>
      <c r="C787" s="243" t="str">
        <f t="shared" si="109"/>
        <v/>
      </c>
      <c r="D787" s="243" t="str">
        <f t="shared" si="110"/>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1"/>
        <v/>
      </c>
      <c r="K787" s="287" t="str">
        <f t="shared" si="112"/>
        <v/>
      </c>
      <c r="L787" s="287" t="str">
        <f t="shared" si="113"/>
        <v/>
      </c>
      <c r="M787" s="290" t="str">
        <f t="shared" si="114"/>
        <v/>
      </c>
      <c r="N787" s="243" t="str">
        <f>IF($A787="","",IF(ABS(E787)&gt;0.000001,COUNT($N$1:N786)+1,""))</f>
        <v/>
      </c>
      <c r="O787" s="291" t="str">
        <f>IF($A787="","",SUMIFS(Transactions!$H$2:$H$1001,Transactions!$J$2:$J$1001,$A787,Transactions!$A$2:$A$1001,2)*$I787)</f>
        <v/>
      </c>
      <c r="P787" s="291" t="str">
        <f t="shared" si="115"/>
        <v/>
      </c>
      <c r="Q787" s="292" t="str">
        <f t="shared" si="116"/>
        <v/>
      </c>
    </row>
    <row r="788" spans="1:17" ht="15" customHeight="1" x14ac:dyDescent="0.2">
      <c r="A788" s="243" t="str">
        <f>IFERROR(INDEX(Txn[Key],MATCH(0,INDEX(COUNTIF($A$1:A787,Txn[Key])+(Txn[Key]=""),0),0)),"")</f>
        <v/>
      </c>
      <c r="B788" s="243" t="str">
        <f t="shared" si="108"/>
        <v/>
      </c>
      <c r="C788" s="243" t="str">
        <f t="shared" si="109"/>
        <v/>
      </c>
      <c r="D788" s="243" t="str">
        <f t="shared" si="110"/>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1"/>
        <v/>
      </c>
      <c r="K788" s="287" t="str">
        <f t="shared" si="112"/>
        <v/>
      </c>
      <c r="L788" s="287" t="str">
        <f t="shared" si="113"/>
        <v/>
      </c>
      <c r="M788" s="290" t="str">
        <f t="shared" si="114"/>
        <v/>
      </c>
      <c r="N788" s="243" t="str">
        <f>IF($A788="","",IF(ABS(E788)&gt;0.000001,COUNT($N$1:N787)+1,""))</f>
        <v/>
      </c>
      <c r="O788" s="291" t="str">
        <f>IF($A788="","",SUMIFS(Transactions!$H$2:$H$1001,Transactions!$J$2:$J$1001,$A788,Transactions!$A$2:$A$1001,2)*$I788)</f>
        <v/>
      </c>
      <c r="P788" s="291" t="str">
        <f t="shared" si="115"/>
        <v/>
      </c>
      <c r="Q788" s="292" t="str">
        <f t="shared" si="116"/>
        <v/>
      </c>
    </row>
    <row r="789" spans="1:17" ht="15" customHeight="1" x14ac:dyDescent="0.2">
      <c r="A789" s="243" t="str">
        <f>IFERROR(INDEX(Txn[Key],MATCH(0,INDEX(COUNTIF($A$1:A788,Txn[Key])+(Txn[Key]=""),0),0)),"")</f>
        <v/>
      </c>
      <c r="B789" s="243" t="str">
        <f t="shared" si="108"/>
        <v/>
      </c>
      <c r="C789" s="243" t="str">
        <f t="shared" si="109"/>
        <v/>
      </c>
      <c r="D789" s="243" t="str">
        <f t="shared" si="110"/>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1"/>
        <v/>
      </c>
      <c r="K789" s="287" t="str">
        <f t="shared" si="112"/>
        <v/>
      </c>
      <c r="L789" s="287" t="str">
        <f t="shared" si="113"/>
        <v/>
      </c>
      <c r="M789" s="290" t="str">
        <f t="shared" si="114"/>
        <v/>
      </c>
      <c r="N789" s="243" t="str">
        <f>IF($A789="","",IF(ABS(E789)&gt;0.000001,COUNT($N$1:N788)+1,""))</f>
        <v/>
      </c>
      <c r="O789" s="291" t="str">
        <f>IF($A789="","",SUMIFS(Transactions!$H$2:$H$1001,Transactions!$J$2:$J$1001,$A789,Transactions!$A$2:$A$1001,2)*$I789)</f>
        <v/>
      </c>
      <c r="P789" s="291" t="str">
        <f t="shared" si="115"/>
        <v/>
      </c>
      <c r="Q789" s="292" t="str">
        <f t="shared" si="116"/>
        <v/>
      </c>
    </row>
    <row r="790" spans="1:17" ht="15" customHeight="1" x14ac:dyDescent="0.2">
      <c r="A790" s="243" t="str">
        <f>IFERROR(INDEX(Txn[Key],MATCH(0,INDEX(COUNTIF($A$1:A789,Txn[Key])+(Txn[Key]=""),0),0)),"")</f>
        <v/>
      </c>
      <c r="B790" s="243" t="str">
        <f t="shared" si="108"/>
        <v/>
      </c>
      <c r="C790" s="243" t="str">
        <f t="shared" si="109"/>
        <v/>
      </c>
      <c r="D790" s="243" t="str">
        <f t="shared" si="110"/>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1"/>
        <v/>
      </c>
      <c r="K790" s="287" t="str">
        <f t="shared" si="112"/>
        <v/>
      </c>
      <c r="L790" s="287" t="str">
        <f t="shared" si="113"/>
        <v/>
      </c>
      <c r="M790" s="290" t="str">
        <f t="shared" si="114"/>
        <v/>
      </c>
      <c r="N790" s="243" t="str">
        <f>IF($A790="","",IF(ABS(E790)&gt;0.000001,COUNT($N$1:N789)+1,""))</f>
        <v/>
      </c>
      <c r="O790" s="291" t="str">
        <f>IF($A790="","",SUMIFS(Transactions!$H$2:$H$1001,Transactions!$J$2:$J$1001,$A790,Transactions!$A$2:$A$1001,2)*$I790)</f>
        <v/>
      </c>
      <c r="P790" s="291" t="str">
        <f t="shared" si="115"/>
        <v/>
      </c>
      <c r="Q790" s="292" t="str">
        <f t="shared" si="116"/>
        <v/>
      </c>
    </row>
    <row r="791" spans="1:17" ht="15" customHeight="1" x14ac:dyDescent="0.2">
      <c r="A791" s="243" t="str">
        <f>IFERROR(INDEX(Txn[Key],MATCH(0,INDEX(COUNTIF($A$1:A790,Txn[Key])+(Txn[Key]=""),0),0)),"")</f>
        <v/>
      </c>
      <c r="B791" s="243" t="str">
        <f t="shared" si="108"/>
        <v/>
      </c>
      <c r="C791" s="243" t="str">
        <f t="shared" si="109"/>
        <v/>
      </c>
      <c r="D791" s="243" t="str">
        <f t="shared" si="110"/>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1"/>
        <v/>
      </c>
      <c r="K791" s="287" t="str">
        <f t="shared" si="112"/>
        <v/>
      </c>
      <c r="L791" s="287" t="str">
        <f t="shared" si="113"/>
        <v/>
      </c>
      <c r="M791" s="290" t="str">
        <f t="shared" si="114"/>
        <v/>
      </c>
      <c r="N791" s="243" t="str">
        <f>IF($A791="","",IF(ABS(E791)&gt;0.000001,COUNT($N$1:N790)+1,""))</f>
        <v/>
      </c>
      <c r="O791" s="291" t="str">
        <f>IF($A791="","",SUMIFS(Transactions!$H$2:$H$1001,Transactions!$J$2:$J$1001,$A791,Transactions!$A$2:$A$1001,2)*$I791)</f>
        <v/>
      </c>
      <c r="P791" s="291" t="str">
        <f t="shared" si="115"/>
        <v/>
      </c>
      <c r="Q791" s="292" t="str">
        <f t="shared" si="116"/>
        <v/>
      </c>
    </row>
    <row r="792" spans="1:17" ht="15" customHeight="1" x14ac:dyDescent="0.2">
      <c r="A792" s="243" t="str">
        <f>IFERROR(INDEX(Txn[Key],MATCH(0,INDEX(COUNTIF($A$1:A791,Txn[Key])+(Txn[Key]=""),0),0)),"")</f>
        <v/>
      </c>
      <c r="B792" s="243" t="str">
        <f t="shared" si="108"/>
        <v/>
      </c>
      <c r="C792" s="243" t="str">
        <f t="shared" si="109"/>
        <v/>
      </c>
      <c r="D792" s="243" t="str">
        <f t="shared" si="110"/>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1"/>
        <v/>
      </c>
      <c r="K792" s="287" t="str">
        <f t="shared" si="112"/>
        <v/>
      </c>
      <c r="L792" s="287" t="str">
        <f t="shared" si="113"/>
        <v/>
      </c>
      <c r="M792" s="290" t="str">
        <f t="shared" si="114"/>
        <v/>
      </c>
      <c r="N792" s="243" t="str">
        <f>IF($A792="","",IF(ABS(E792)&gt;0.000001,COUNT($N$1:N791)+1,""))</f>
        <v/>
      </c>
      <c r="O792" s="291" t="str">
        <f>IF($A792="","",SUMIFS(Transactions!$H$2:$H$1001,Transactions!$J$2:$J$1001,$A792,Transactions!$A$2:$A$1001,2)*$I792)</f>
        <v/>
      </c>
      <c r="P792" s="291" t="str">
        <f t="shared" si="115"/>
        <v/>
      </c>
      <c r="Q792" s="292" t="str">
        <f t="shared" si="116"/>
        <v/>
      </c>
    </row>
    <row r="793" spans="1:17" ht="15" customHeight="1" x14ac:dyDescent="0.2">
      <c r="A793" s="243" t="str">
        <f>IFERROR(INDEX(Txn[Key],MATCH(0,INDEX(COUNTIF($A$1:A792,Txn[Key])+(Txn[Key]=""),0),0)),"")</f>
        <v/>
      </c>
      <c r="B793" s="243" t="str">
        <f t="shared" si="108"/>
        <v/>
      </c>
      <c r="C793" s="243" t="str">
        <f t="shared" si="109"/>
        <v/>
      </c>
      <c r="D793" s="243" t="str">
        <f t="shared" si="110"/>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1"/>
        <v/>
      </c>
      <c r="K793" s="287" t="str">
        <f t="shared" si="112"/>
        <v/>
      </c>
      <c r="L793" s="287" t="str">
        <f t="shared" si="113"/>
        <v/>
      </c>
      <c r="M793" s="290" t="str">
        <f t="shared" si="114"/>
        <v/>
      </c>
      <c r="N793" s="243" t="str">
        <f>IF($A793="","",IF(ABS(E793)&gt;0.000001,COUNT($N$1:N792)+1,""))</f>
        <v/>
      </c>
      <c r="O793" s="291" t="str">
        <f>IF($A793="","",SUMIFS(Transactions!$H$2:$H$1001,Transactions!$J$2:$J$1001,$A793,Transactions!$A$2:$A$1001,2)*$I793)</f>
        <v/>
      </c>
      <c r="P793" s="291" t="str">
        <f t="shared" si="115"/>
        <v/>
      </c>
      <c r="Q793" s="292" t="str">
        <f t="shared" si="116"/>
        <v/>
      </c>
    </row>
    <row r="794" spans="1:17" ht="15" customHeight="1" x14ac:dyDescent="0.2">
      <c r="A794" s="243" t="str">
        <f>IFERROR(INDEX(Txn[Key],MATCH(0,INDEX(COUNTIF($A$1:A793,Txn[Key])+(Txn[Key]=""),0),0)),"")</f>
        <v/>
      </c>
      <c r="B794" s="243" t="str">
        <f t="shared" si="108"/>
        <v/>
      </c>
      <c r="C794" s="243" t="str">
        <f t="shared" si="109"/>
        <v/>
      </c>
      <c r="D794" s="243" t="str">
        <f t="shared" si="110"/>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1"/>
        <v/>
      </c>
      <c r="K794" s="287" t="str">
        <f t="shared" si="112"/>
        <v/>
      </c>
      <c r="L794" s="287" t="str">
        <f t="shared" si="113"/>
        <v/>
      </c>
      <c r="M794" s="290" t="str">
        <f t="shared" si="114"/>
        <v/>
      </c>
      <c r="N794" s="243" t="str">
        <f>IF($A794="","",IF(ABS(E794)&gt;0.000001,COUNT($N$1:N793)+1,""))</f>
        <v/>
      </c>
      <c r="O794" s="291" t="str">
        <f>IF($A794="","",SUMIFS(Transactions!$H$2:$H$1001,Transactions!$J$2:$J$1001,$A794,Transactions!$A$2:$A$1001,2)*$I794)</f>
        <v/>
      </c>
      <c r="P794" s="291" t="str">
        <f t="shared" si="115"/>
        <v/>
      </c>
      <c r="Q794" s="292" t="str">
        <f t="shared" si="116"/>
        <v/>
      </c>
    </row>
    <row r="795" spans="1:17" ht="15" customHeight="1" x14ac:dyDescent="0.2">
      <c r="A795" s="243" t="str">
        <f>IFERROR(INDEX(Txn[Key],MATCH(0,INDEX(COUNTIF($A$1:A794,Txn[Key])+(Txn[Key]=""),0),0)),"")</f>
        <v/>
      </c>
      <c r="B795" s="243" t="str">
        <f t="shared" si="108"/>
        <v/>
      </c>
      <c r="C795" s="243" t="str">
        <f t="shared" si="109"/>
        <v/>
      </c>
      <c r="D795" s="243" t="str">
        <f t="shared" si="110"/>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1"/>
        <v/>
      </c>
      <c r="K795" s="287" t="str">
        <f t="shared" si="112"/>
        <v/>
      </c>
      <c r="L795" s="287" t="str">
        <f t="shared" si="113"/>
        <v/>
      </c>
      <c r="M795" s="290" t="str">
        <f t="shared" si="114"/>
        <v/>
      </c>
      <c r="N795" s="243" t="str">
        <f>IF($A795="","",IF(ABS(E795)&gt;0.000001,COUNT($N$1:N794)+1,""))</f>
        <v/>
      </c>
      <c r="O795" s="291" t="str">
        <f>IF($A795="","",SUMIFS(Transactions!$H$2:$H$1001,Transactions!$J$2:$J$1001,$A795,Transactions!$A$2:$A$1001,2)*$I795)</f>
        <v/>
      </c>
      <c r="P795" s="291" t="str">
        <f t="shared" si="115"/>
        <v/>
      </c>
      <c r="Q795" s="292" t="str">
        <f t="shared" si="116"/>
        <v/>
      </c>
    </row>
    <row r="796" spans="1:17" ht="15" customHeight="1" x14ac:dyDescent="0.2">
      <c r="A796" s="243" t="str">
        <f>IFERROR(INDEX(Txn[Key],MATCH(0,INDEX(COUNTIF($A$1:A795,Txn[Key])+(Txn[Key]=""),0),0)),"")</f>
        <v/>
      </c>
      <c r="B796" s="243" t="str">
        <f t="shared" si="108"/>
        <v/>
      </c>
      <c r="C796" s="243" t="str">
        <f t="shared" si="109"/>
        <v/>
      </c>
      <c r="D796" s="243" t="str">
        <f t="shared" si="110"/>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1"/>
        <v/>
      </c>
      <c r="K796" s="287" t="str">
        <f t="shared" si="112"/>
        <v/>
      </c>
      <c r="L796" s="287" t="str">
        <f t="shared" si="113"/>
        <v/>
      </c>
      <c r="M796" s="290" t="str">
        <f t="shared" si="114"/>
        <v/>
      </c>
      <c r="N796" s="243" t="str">
        <f>IF($A796="","",IF(ABS(E796)&gt;0.000001,COUNT($N$1:N795)+1,""))</f>
        <v/>
      </c>
      <c r="O796" s="291" t="str">
        <f>IF($A796="","",SUMIFS(Transactions!$H$2:$H$1001,Transactions!$J$2:$J$1001,$A796,Transactions!$A$2:$A$1001,2)*$I796)</f>
        <v/>
      </c>
      <c r="P796" s="291" t="str">
        <f t="shared" si="115"/>
        <v/>
      </c>
      <c r="Q796" s="292" t="str">
        <f t="shared" si="116"/>
        <v/>
      </c>
    </row>
    <row r="797" spans="1:17" ht="15" customHeight="1" x14ac:dyDescent="0.2">
      <c r="A797" s="243" t="str">
        <f>IFERROR(INDEX(Txn[Key],MATCH(0,INDEX(COUNTIF($A$1:A796,Txn[Key])+(Txn[Key]=""),0),0)),"")</f>
        <v/>
      </c>
      <c r="B797" s="243" t="str">
        <f t="shared" si="108"/>
        <v/>
      </c>
      <c r="C797" s="243" t="str">
        <f t="shared" si="109"/>
        <v/>
      </c>
      <c r="D797" s="243" t="str">
        <f t="shared" si="110"/>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1"/>
        <v/>
      </c>
      <c r="K797" s="287" t="str">
        <f t="shared" si="112"/>
        <v/>
      </c>
      <c r="L797" s="287" t="str">
        <f t="shared" si="113"/>
        <v/>
      </c>
      <c r="M797" s="290" t="str">
        <f t="shared" si="114"/>
        <v/>
      </c>
      <c r="N797" s="243" t="str">
        <f>IF($A797="","",IF(ABS(E797)&gt;0.000001,COUNT($N$1:N796)+1,""))</f>
        <v/>
      </c>
      <c r="O797" s="291" t="str">
        <f>IF($A797="","",SUMIFS(Transactions!$H$2:$H$1001,Transactions!$J$2:$J$1001,$A797,Transactions!$A$2:$A$1001,2)*$I797)</f>
        <v/>
      </c>
      <c r="P797" s="291" t="str">
        <f t="shared" si="115"/>
        <v/>
      </c>
      <c r="Q797" s="292" t="str">
        <f t="shared" si="116"/>
        <v/>
      </c>
    </row>
    <row r="798" spans="1:17" ht="15" customHeight="1" x14ac:dyDescent="0.2">
      <c r="A798" s="243" t="str">
        <f>IFERROR(INDEX(Txn[Key],MATCH(0,INDEX(COUNTIF($A$1:A797,Txn[Key])+(Txn[Key]=""),0),0)),"")</f>
        <v/>
      </c>
      <c r="B798" s="243" t="str">
        <f t="shared" si="108"/>
        <v/>
      </c>
      <c r="C798" s="243" t="str">
        <f t="shared" si="109"/>
        <v/>
      </c>
      <c r="D798" s="243" t="str">
        <f t="shared" si="110"/>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1"/>
        <v/>
      </c>
      <c r="K798" s="287" t="str">
        <f t="shared" si="112"/>
        <v/>
      </c>
      <c r="L798" s="287" t="str">
        <f t="shared" si="113"/>
        <v/>
      </c>
      <c r="M798" s="290" t="str">
        <f t="shared" si="114"/>
        <v/>
      </c>
      <c r="N798" s="243" t="str">
        <f>IF($A798="","",IF(ABS(E798)&gt;0.000001,COUNT($N$1:N797)+1,""))</f>
        <v/>
      </c>
      <c r="O798" s="291" t="str">
        <f>IF($A798="","",SUMIFS(Transactions!$H$2:$H$1001,Transactions!$J$2:$J$1001,$A798,Transactions!$A$2:$A$1001,2)*$I798)</f>
        <v/>
      </c>
      <c r="P798" s="291" t="str">
        <f t="shared" si="115"/>
        <v/>
      </c>
      <c r="Q798" s="292" t="str">
        <f t="shared" si="116"/>
        <v/>
      </c>
    </row>
    <row r="799" spans="1:17" ht="15" customHeight="1" x14ac:dyDescent="0.2">
      <c r="A799" s="243" t="str">
        <f>IFERROR(INDEX(Txn[Key],MATCH(0,INDEX(COUNTIF($A$1:A798,Txn[Key])+(Txn[Key]=""),0),0)),"")</f>
        <v/>
      </c>
      <c r="B799" s="243" t="str">
        <f t="shared" si="108"/>
        <v/>
      </c>
      <c r="C799" s="243" t="str">
        <f t="shared" si="109"/>
        <v/>
      </c>
      <c r="D799" s="243" t="str">
        <f t="shared" si="110"/>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1"/>
        <v/>
      </c>
      <c r="K799" s="287" t="str">
        <f t="shared" si="112"/>
        <v/>
      </c>
      <c r="L799" s="287" t="str">
        <f t="shared" si="113"/>
        <v/>
      </c>
      <c r="M799" s="290" t="str">
        <f t="shared" si="114"/>
        <v/>
      </c>
      <c r="N799" s="243" t="str">
        <f>IF($A799="","",IF(ABS(E799)&gt;0.000001,COUNT($N$1:N798)+1,""))</f>
        <v/>
      </c>
      <c r="O799" s="291" t="str">
        <f>IF($A799="","",SUMIFS(Transactions!$H$2:$H$1001,Transactions!$J$2:$J$1001,$A799,Transactions!$A$2:$A$1001,2)*$I799)</f>
        <v/>
      </c>
      <c r="P799" s="291" t="str">
        <f t="shared" si="115"/>
        <v/>
      </c>
      <c r="Q799" s="292" t="str">
        <f t="shared" si="116"/>
        <v/>
      </c>
    </row>
    <row r="800" spans="1:17" ht="15" customHeight="1" x14ac:dyDescent="0.2">
      <c r="A800" s="243" t="str">
        <f>IFERROR(INDEX(Txn[Key],MATCH(0,INDEX(COUNTIF($A$1:A799,Txn[Key])+(Txn[Key]=""),0),0)),"")</f>
        <v/>
      </c>
      <c r="B800" s="243" t="str">
        <f t="shared" si="108"/>
        <v/>
      </c>
      <c r="C800" s="243" t="str">
        <f t="shared" si="109"/>
        <v/>
      </c>
      <c r="D800" s="243" t="str">
        <f t="shared" si="110"/>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1"/>
        <v/>
      </c>
      <c r="K800" s="287" t="str">
        <f t="shared" si="112"/>
        <v/>
      </c>
      <c r="L800" s="287" t="str">
        <f t="shared" si="113"/>
        <v/>
      </c>
      <c r="M800" s="290" t="str">
        <f t="shared" si="114"/>
        <v/>
      </c>
      <c r="N800" s="243" t="str">
        <f>IF($A800="","",IF(ABS(E800)&gt;0.000001,COUNT($N$1:N799)+1,""))</f>
        <v/>
      </c>
      <c r="O800" s="291" t="str">
        <f>IF($A800="","",SUMIFS(Transactions!$H$2:$H$1001,Transactions!$J$2:$J$1001,$A800,Transactions!$A$2:$A$1001,2)*$I800)</f>
        <v/>
      </c>
      <c r="P800" s="291" t="str">
        <f t="shared" si="115"/>
        <v/>
      </c>
      <c r="Q800" s="292" t="str">
        <f t="shared" si="116"/>
        <v/>
      </c>
    </row>
    <row r="801" spans="1:17" ht="15" customHeight="1" x14ac:dyDescent="0.2">
      <c r="A801" s="243" t="str">
        <f>IFERROR(INDEX(Txn[Key],MATCH(0,INDEX(COUNTIF($A$1:A800,Txn[Key])+(Txn[Key]=""),0),0)),"")</f>
        <v/>
      </c>
      <c r="B801" s="243" t="str">
        <f t="shared" si="108"/>
        <v/>
      </c>
      <c r="C801" s="243" t="str">
        <f t="shared" si="109"/>
        <v/>
      </c>
      <c r="D801" s="243" t="str">
        <f t="shared" si="110"/>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1"/>
        <v/>
      </c>
      <c r="K801" s="287" t="str">
        <f t="shared" si="112"/>
        <v/>
      </c>
      <c r="L801" s="287" t="str">
        <f t="shared" si="113"/>
        <v/>
      </c>
      <c r="M801" s="290" t="str">
        <f t="shared" si="114"/>
        <v/>
      </c>
      <c r="N801" s="243" t="str">
        <f>IF($A801="","",IF(ABS(E801)&gt;0.000001,COUNT($N$1:N800)+1,""))</f>
        <v/>
      </c>
      <c r="O801" s="291" t="str">
        <f>IF($A801="","",SUMIFS(Transactions!$H$2:$H$1001,Transactions!$J$2:$J$1001,$A801,Transactions!$A$2:$A$1001,2)*$I801)</f>
        <v/>
      </c>
      <c r="P801" s="291" t="str">
        <f t="shared" si="115"/>
        <v/>
      </c>
      <c r="Q801" s="292" t="str">
        <f t="shared" si="116"/>
        <v/>
      </c>
    </row>
    <row r="802" spans="1:17" ht="15" customHeight="1" x14ac:dyDescent="0.2">
      <c r="A802" s="243" t="str">
        <f>IFERROR(INDEX(Txn[Key],MATCH(0,INDEX(COUNTIF($A$1:A801,Txn[Key])+(Txn[Key]=""),0),0)),"")</f>
        <v/>
      </c>
      <c r="B802" s="243" t="str">
        <f t="shared" si="108"/>
        <v/>
      </c>
      <c r="C802" s="243" t="str">
        <f t="shared" si="109"/>
        <v/>
      </c>
      <c r="D802" s="243" t="str">
        <f t="shared" si="110"/>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1"/>
        <v/>
      </c>
      <c r="K802" s="287" t="str">
        <f t="shared" si="112"/>
        <v/>
      </c>
      <c r="L802" s="287" t="str">
        <f t="shared" si="113"/>
        <v/>
      </c>
      <c r="M802" s="290" t="str">
        <f t="shared" si="114"/>
        <v/>
      </c>
      <c r="N802" s="243" t="str">
        <f>IF($A802="","",IF(ABS(E802)&gt;0.000001,COUNT($N$1:N801)+1,""))</f>
        <v/>
      </c>
      <c r="O802" s="291" t="str">
        <f>IF($A802="","",SUMIFS(Transactions!$H$2:$H$1001,Transactions!$J$2:$J$1001,$A802,Transactions!$A$2:$A$1001,2)*$I802)</f>
        <v/>
      </c>
      <c r="P802" s="291" t="str">
        <f t="shared" si="115"/>
        <v/>
      </c>
      <c r="Q802" s="292" t="str">
        <f t="shared" si="116"/>
        <v/>
      </c>
    </row>
    <row r="803" spans="1:17" ht="15" customHeight="1" x14ac:dyDescent="0.2">
      <c r="A803" s="243" t="str">
        <f>IFERROR(INDEX(Txn[Key],MATCH(0,INDEX(COUNTIF($A$1:A802,Txn[Key])+(Txn[Key]=""),0),0)),"")</f>
        <v/>
      </c>
      <c r="B803" s="243" t="str">
        <f t="shared" si="108"/>
        <v/>
      </c>
      <c r="C803" s="243" t="str">
        <f t="shared" si="109"/>
        <v/>
      </c>
      <c r="D803" s="243" t="str">
        <f t="shared" si="110"/>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1"/>
        <v/>
      </c>
      <c r="K803" s="287" t="str">
        <f t="shared" si="112"/>
        <v/>
      </c>
      <c r="L803" s="287" t="str">
        <f t="shared" si="113"/>
        <v/>
      </c>
      <c r="M803" s="290" t="str">
        <f t="shared" si="114"/>
        <v/>
      </c>
      <c r="N803" s="243" t="str">
        <f>IF($A803="","",IF(ABS(E803)&gt;0.000001,COUNT($N$1:N802)+1,""))</f>
        <v/>
      </c>
      <c r="O803" s="291" t="str">
        <f>IF($A803="","",SUMIFS(Transactions!$H$2:$H$1001,Transactions!$J$2:$J$1001,$A803,Transactions!$A$2:$A$1001,2)*$I803)</f>
        <v/>
      </c>
      <c r="P803" s="291" t="str">
        <f t="shared" si="115"/>
        <v/>
      </c>
      <c r="Q803" s="292" t="str">
        <f t="shared" si="116"/>
        <v/>
      </c>
    </row>
    <row r="804" spans="1:17" ht="15" customHeight="1" x14ac:dyDescent="0.2">
      <c r="A804" s="243" t="str">
        <f>IFERROR(INDEX(Txn[Key],MATCH(0,INDEX(COUNTIF($A$1:A803,Txn[Key])+(Txn[Key]=""),0),0)),"")</f>
        <v/>
      </c>
      <c r="B804" s="243" t="str">
        <f t="shared" si="108"/>
        <v/>
      </c>
      <c r="C804" s="243" t="str">
        <f t="shared" si="109"/>
        <v/>
      </c>
      <c r="D804" s="243" t="str">
        <f t="shared" si="110"/>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1"/>
        <v/>
      </c>
      <c r="K804" s="287" t="str">
        <f t="shared" si="112"/>
        <v/>
      </c>
      <c r="L804" s="287" t="str">
        <f t="shared" si="113"/>
        <v/>
      </c>
      <c r="M804" s="290" t="str">
        <f t="shared" si="114"/>
        <v/>
      </c>
      <c r="N804" s="243" t="str">
        <f>IF($A804="","",IF(ABS(E804)&gt;0.000001,COUNT($N$1:N803)+1,""))</f>
        <v/>
      </c>
      <c r="O804" s="291" t="str">
        <f>IF($A804="","",SUMIFS(Transactions!$H$2:$H$1001,Transactions!$J$2:$J$1001,$A804,Transactions!$A$2:$A$1001,2)*$I804)</f>
        <v/>
      </c>
      <c r="P804" s="291" t="str">
        <f t="shared" si="115"/>
        <v/>
      </c>
      <c r="Q804" s="292" t="str">
        <f t="shared" si="116"/>
        <v/>
      </c>
    </row>
    <row r="805" spans="1:17" ht="15" customHeight="1" x14ac:dyDescent="0.2">
      <c r="A805" s="243" t="str">
        <f>IFERROR(INDEX(Txn[Key],MATCH(0,INDEX(COUNTIF($A$1:A804,Txn[Key])+(Txn[Key]=""),0),0)),"")</f>
        <v/>
      </c>
      <c r="B805" s="243" t="str">
        <f t="shared" si="108"/>
        <v/>
      </c>
      <c r="C805" s="243" t="str">
        <f t="shared" si="109"/>
        <v/>
      </c>
      <c r="D805" s="243" t="str">
        <f t="shared" si="110"/>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1"/>
        <v/>
      </c>
      <c r="K805" s="287" t="str">
        <f t="shared" si="112"/>
        <v/>
      </c>
      <c r="L805" s="287" t="str">
        <f t="shared" si="113"/>
        <v/>
      </c>
      <c r="M805" s="290" t="str">
        <f t="shared" si="114"/>
        <v/>
      </c>
      <c r="N805" s="243" t="str">
        <f>IF($A805="","",IF(ABS(E805)&gt;0.000001,COUNT($N$1:N804)+1,""))</f>
        <v/>
      </c>
      <c r="O805" s="291" t="str">
        <f>IF($A805="","",SUMIFS(Transactions!$H$2:$H$1001,Transactions!$J$2:$J$1001,$A805,Transactions!$A$2:$A$1001,2)*$I805)</f>
        <v/>
      </c>
      <c r="P805" s="291" t="str">
        <f t="shared" si="115"/>
        <v/>
      </c>
      <c r="Q805" s="292" t="str">
        <f t="shared" si="116"/>
        <v/>
      </c>
    </row>
    <row r="806" spans="1:17" ht="15" customHeight="1" x14ac:dyDescent="0.2">
      <c r="A806" s="243" t="str">
        <f>IFERROR(INDEX(Txn[Key],MATCH(0,INDEX(COUNTIF($A$1:A805,Txn[Key])+(Txn[Key]=""),0),0)),"")</f>
        <v/>
      </c>
      <c r="B806" s="243" t="str">
        <f t="shared" si="108"/>
        <v/>
      </c>
      <c r="C806" s="243" t="str">
        <f t="shared" si="109"/>
        <v/>
      </c>
      <c r="D806" s="243" t="str">
        <f t="shared" si="110"/>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1"/>
        <v/>
      </c>
      <c r="K806" s="287" t="str">
        <f t="shared" si="112"/>
        <v/>
      </c>
      <c r="L806" s="287" t="str">
        <f t="shared" si="113"/>
        <v/>
      </c>
      <c r="M806" s="290" t="str">
        <f t="shared" si="114"/>
        <v/>
      </c>
      <c r="N806" s="243" t="str">
        <f>IF($A806="","",IF(ABS(E806)&gt;0.000001,COUNT($N$1:N805)+1,""))</f>
        <v/>
      </c>
      <c r="O806" s="291" t="str">
        <f>IF($A806="","",SUMIFS(Transactions!$H$2:$H$1001,Transactions!$J$2:$J$1001,$A806,Transactions!$A$2:$A$1001,2)*$I806)</f>
        <v/>
      </c>
      <c r="P806" s="291" t="str">
        <f t="shared" si="115"/>
        <v/>
      </c>
      <c r="Q806" s="292" t="str">
        <f t="shared" si="116"/>
        <v/>
      </c>
    </row>
    <row r="807" spans="1:17" ht="15" customHeight="1" x14ac:dyDescent="0.2">
      <c r="A807" s="243" t="str">
        <f>IFERROR(INDEX(Txn[Key],MATCH(0,INDEX(COUNTIF($A$1:A806,Txn[Key])+(Txn[Key]=""),0),0)),"")</f>
        <v/>
      </c>
      <c r="B807" s="243" t="str">
        <f t="shared" si="108"/>
        <v/>
      </c>
      <c r="C807" s="243" t="str">
        <f t="shared" si="109"/>
        <v/>
      </c>
      <c r="D807" s="243" t="str">
        <f t="shared" si="110"/>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1"/>
        <v/>
      </c>
      <c r="K807" s="287" t="str">
        <f t="shared" si="112"/>
        <v/>
      </c>
      <c r="L807" s="287" t="str">
        <f t="shared" si="113"/>
        <v/>
      </c>
      <c r="M807" s="290" t="str">
        <f t="shared" si="114"/>
        <v/>
      </c>
      <c r="N807" s="243" t="str">
        <f>IF($A807="","",IF(ABS(E807)&gt;0.000001,COUNT($N$1:N806)+1,""))</f>
        <v/>
      </c>
      <c r="O807" s="291" t="str">
        <f>IF($A807="","",SUMIFS(Transactions!$H$2:$H$1001,Transactions!$J$2:$J$1001,$A807,Transactions!$A$2:$A$1001,2)*$I807)</f>
        <v/>
      </c>
      <c r="P807" s="291" t="str">
        <f t="shared" si="115"/>
        <v/>
      </c>
      <c r="Q807" s="292" t="str">
        <f t="shared" si="116"/>
        <v/>
      </c>
    </row>
    <row r="808" spans="1:17" ht="15" customHeight="1" x14ac:dyDescent="0.2">
      <c r="A808" s="243" t="str">
        <f>IFERROR(INDEX(Txn[Key],MATCH(0,INDEX(COUNTIF($A$1:A807,Txn[Key])+(Txn[Key]=""),0),0)),"")</f>
        <v/>
      </c>
      <c r="B808" s="243" t="str">
        <f t="shared" si="108"/>
        <v/>
      </c>
      <c r="C808" s="243" t="str">
        <f t="shared" si="109"/>
        <v/>
      </c>
      <c r="D808" s="243" t="str">
        <f t="shared" si="110"/>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1"/>
        <v/>
      </c>
      <c r="K808" s="287" t="str">
        <f t="shared" si="112"/>
        <v/>
      </c>
      <c r="L808" s="287" t="str">
        <f t="shared" si="113"/>
        <v/>
      </c>
      <c r="M808" s="290" t="str">
        <f t="shared" si="114"/>
        <v/>
      </c>
      <c r="N808" s="243" t="str">
        <f>IF($A808="","",IF(ABS(E808)&gt;0.000001,COUNT($N$1:N807)+1,""))</f>
        <v/>
      </c>
      <c r="O808" s="291" t="str">
        <f>IF($A808="","",SUMIFS(Transactions!$H$2:$H$1001,Transactions!$J$2:$J$1001,$A808,Transactions!$A$2:$A$1001,2)*$I808)</f>
        <v/>
      </c>
      <c r="P808" s="291" t="str">
        <f t="shared" si="115"/>
        <v/>
      </c>
      <c r="Q808" s="292" t="str">
        <f t="shared" si="116"/>
        <v/>
      </c>
    </row>
    <row r="809" spans="1:17" ht="15" customHeight="1" x14ac:dyDescent="0.2">
      <c r="A809" s="243" t="str">
        <f>IFERROR(INDEX(Txn[Key],MATCH(0,INDEX(COUNTIF($A$1:A808,Txn[Key])+(Txn[Key]=""),0),0)),"")</f>
        <v/>
      </c>
      <c r="B809" s="243" t="str">
        <f t="shared" si="108"/>
        <v/>
      </c>
      <c r="C809" s="243" t="str">
        <f t="shared" si="109"/>
        <v/>
      </c>
      <c r="D809" s="243" t="str">
        <f t="shared" si="110"/>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1"/>
        <v/>
      </c>
      <c r="K809" s="287" t="str">
        <f t="shared" si="112"/>
        <v/>
      </c>
      <c r="L809" s="287" t="str">
        <f t="shared" si="113"/>
        <v/>
      </c>
      <c r="M809" s="290" t="str">
        <f t="shared" si="114"/>
        <v/>
      </c>
      <c r="N809" s="243" t="str">
        <f>IF($A809="","",IF(ABS(E809)&gt;0.000001,COUNT($N$1:N808)+1,""))</f>
        <v/>
      </c>
      <c r="O809" s="291" t="str">
        <f>IF($A809="","",SUMIFS(Transactions!$H$2:$H$1001,Transactions!$J$2:$J$1001,$A809,Transactions!$A$2:$A$1001,2)*$I809)</f>
        <v/>
      </c>
      <c r="P809" s="291" t="str">
        <f t="shared" si="115"/>
        <v/>
      </c>
      <c r="Q809" s="292" t="str">
        <f t="shared" si="116"/>
        <v/>
      </c>
    </row>
    <row r="810" spans="1:17" ht="15" customHeight="1" x14ac:dyDescent="0.2">
      <c r="A810" s="243" t="str">
        <f>IFERROR(INDEX(Txn[Key],MATCH(0,INDEX(COUNTIF($A$1:A809,Txn[Key])+(Txn[Key]=""),0),0)),"")</f>
        <v/>
      </c>
      <c r="B810" s="243" t="str">
        <f t="shared" si="108"/>
        <v/>
      </c>
      <c r="C810" s="243" t="str">
        <f t="shared" si="109"/>
        <v/>
      </c>
      <c r="D810" s="243" t="str">
        <f t="shared" si="110"/>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1"/>
        <v/>
      </c>
      <c r="K810" s="287" t="str">
        <f t="shared" si="112"/>
        <v/>
      </c>
      <c r="L810" s="287" t="str">
        <f t="shared" si="113"/>
        <v/>
      </c>
      <c r="M810" s="290" t="str">
        <f t="shared" si="114"/>
        <v/>
      </c>
      <c r="N810" s="243" t="str">
        <f>IF($A810="","",IF(ABS(E810)&gt;0.000001,COUNT($N$1:N809)+1,""))</f>
        <v/>
      </c>
      <c r="O810" s="291" t="str">
        <f>IF($A810="","",SUMIFS(Transactions!$H$2:$H$1001,Transactions!$J$2:$J$1001,$A810,Transactions!$A$2:$A$1001,2)*$I810)</f>
        <v/>
      </c>
      <c r="P810" s="291" t="str">
        <f t="shared" si="115"/>
        <v/>
      </c>
      <c r="Q810" s="292" t="str">
        <f t="shared" si="116"/>
        <v/>
      </c>
    </row>
    <row r="811" spans="1:17" ht="15" customHeight="1" x14ac:dyDescent="0.2">
      <c r="A811" s="243" t="str">
        <f>IFERROR(INDEX(Txn[Key],MATCH(0,INDEX(COUNTIF($A$1:A810,Txn[Key])+(Txn[Key]=""),0),0)),"")</f>
        <v/>
      </c>
      <c r="B811" s="243" t="str">
        <f t="shared" si="108"/>
        <v/>
      </c>
      <c r="C811" s="243" t="str">
        <f t="shared" si="109"/>
        <v/>
      </c>
      <c r="D811" s="243" t="str">
        <f t="shared" si="110"/>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1"/>
        <v/>
      </c>
      <c r="K811" s="287" t="str">
        <f t="shared" si="112"/>
        <v/>
      </c>
      <c r="L811" s="287" t="str">
        <f t="shared" si="113"/>
        <v/>
      </c>
      <c r="M811" s="290" t="str">
        <f t="shared" si="114"/>
        <v/>
      </c>
      <c r="N811" s="243" t="str">
        <f>IF($A811="","",IF(ABS(E811)&gt;0.000001,COUNT($N$1:N810)+1,""))</f>
        <v/>
      </c>
      <c r="O811" s="291" t="str">
        <f>IF($A811="","",SUMIFS(Transactions!$H$2:$H$1001,Transactions!$J$2:$J$1001,$A811,Transactions!$A$2:$A$1001,2)*$I811)</f>
        <v/>
      </c>
      <c r="P811" s="291" t="str">
        <f t="shared" si="115"/>
        <v/>
      </c>
      <c r="Q811" s="292" t="str">
        <f t="shared" si="116"/>
        <v/>
      </c>
    </row>
    <row r="812" spans="1:17" ht="15" customHeight="1" x14ac:dyDescent="0.2">
      <c r="A812" s="243" t="str">
        <f>IFERROR(INDEX(Txn[Key],MATCH(0,INDEX(COUNTIF($A$1:A811,Txn[Key])+(Txn[Key]=""),0),0)),"")</f>
        <v/>
      </c>
      <c r="B812" s="243" t="str">
        <f t="shared" si="108"/>
        <v/>
      </c>
      <c r="C812" s="243" t="str">
        <f t="shared" si="109"/>
        <v/>
      </c>
      <c r="D812" s="243" t="str">
        <f t="shared" si="110"/>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1"/>
        <v/>
      </c>
      <c r="K812" s="287" t="str">
        <f t="shared" si="112"/>
        <v/>
      </c>
      <c r="L812" s="287" t="str">
        <f t="shared" si="113"/>
        <v/>
      </c>
      <c r="M812" s="290" t="str">
        <f t="shared" si="114"/>
        <v/>
      </c>
      <c r="N812" s="243" t="str">
        <f>IF($A812="","",IF(ABS(E812)&gt;0.000001,COUNT($N$1:N811)+1,""))</f>
        <v/>
      </c>
      <c r="O812" s="291" t="str">
        <f>IF($A812="","",SUMIFS(Transactions!$H$2:$H$1001,Transactions!$J$2:$J$1001,$A812,Transactions!$A$2:$A$1001,2)*$I812)</f>
        <v/>
      </c>
      <c r="P812" s="291" t="str">
        <f t="shared" si="115"/>
        <v/>
      </c>
      <c r="Q812" s="292" t="str">
        <f t="shared" si="116"/>
        <v/>
      </c>
    </row>
    <row r="813" spans="1:17" ht="15" customHeight="1" x14ac:dyDescent="0.2">
      <c r="A813" s="243" t="str">
        <f>IFERROR(INDEX(Txn[Key],MATCH(0,INDEX(COUNTIF($A$1:A812,Txn[Key])+(Txn[Key]=""),0),0)),"")</f>
        <v/>
      </c>
      <c r="B813" s="243" t="str">
        <f t="shared" si="108"/>
        <v/>
      </c>
      <c r="C813" s="243" t="str">
        <f t="shared" si="109"/>
        <v/>
      </c>
      <c r="D813" s="243" t="str">
        <f t="shared" si="110"/>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1"/>
        <v/>
      </c>
      <c r="K813" s="287" t="str">
        <f t="shared" si="112"/>
        <v/>
      </c>
      <c r="L813" s="287" t="str">
        <f t="shared" si="113"/>
        <v/>
      </c>
      <c r="M813" s="290" t="str">
        <f t="shared" si="114"/>
        <v/>
      </c>
      <c r="N813" s="243" t="str">
        <f>IF($A813="","",IF(ABS(E813)&gt;0.000001,COUNT($N$1:N812)+1,""))</f>
        <v/>
      </c>
      <c r="O813" s="291" t="str">
        <f>IF($A813="","",SUMIFS(Transactions!$H$2:$H$1001,Transactions!$J$2:$J$1001,$A813,Transactions!$A$2:$A$1001,2)*$I813)</f>
        <v/>
      </c>
      <c r="P813" s="291" t="str">
        <f t="shared" si="115"/>
        <v/>
      </c>
      <c r="Q813" s="292" t="str">
        <f t="shared" si="116"/>
        <v/>
      </c>
    </row>
    <row r="814" spans="1:17" ht="15" customHeight="1" x14ac:dyDescent="0.2">
      <c r="A814" s="243" t="str">
        <f>IFERROR(INDEX(Txn[Key],MATCH(0,INDEX(COUNTIF($A$1:A813,Txn[Key])+(Txn[Key]=""),0),0)),"")</f>
        <v/>
      </c>
      <c r="B814" s="243" t="str">
        <f t="shared" si="108"/>
        <v/>
      </c>
      <c r="C814" s="243" t="str">
        <f t="shared" si="109"/>
        <v/>
      </c>
      <c r="D814" s="243" t="str">
        <f t="shared" si="110"/>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1"/>
        <v/>
      </c>
      <c r="K814" s="287" t="str">
        <f t="shared" si="112"/>
        <v/>
      </c>
      <c r="L814" s="287" t="str">
        <f t="shared" si="113"/>
        <v/>
      </c>
      <c r="M814" s="290" t="str">
        <f t="shared" si="114"/>
        <v/>
      </c>
      <c r="N814" s="243" t="str">
        <f>IF($A814="","",IF(ABS(E814)&gt;0.000001,COUNT($N$1:N813)+1,""))</f>
        <v/>
      </c>
      <c r="O814" s="291" t="str">
        <f>IF($A814="","",SUMIFS(Transactions!$H$2:$H$1001,Transactions!$J$2:$J$1001,$A814,Transactions!$A$2:$A$1001,2)*$I814)</f>
        <v/>
      </c>
      <c r="P814" s="291" t="str">
        <f t="shared" si="115"/>
        <v/>
      </c>
      <c r="Q814" s="292" t="str">
        <f t="shared" si="116"/>
        <v/>
      </c>
    </row>
    <row r="815" spans="1:17" ht="15" customHeight="1" x14ac:dyDescent="0.2">
      <c r="A815" s="243" t="str">
        <f>IFERROR(INDEX(Txn[Key],MATCH(0,INDEX(COUNTIF($A$1:A814,Txn[Key])+(Txn[Key]=""),0),0)),"")</f>
        <v/>
      </c>
      <c r="B815" s="243" t="str">
        <f t="shared" si="108"/>
        <v/>
      </c>
      <c r="C815" s="243" t="str">
        <f t="shared" si="109"/>
        <v/>
      </c>
      <c r="D815" s="243" t="str">
        <f t="shared" si="110"/>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1"/>
        <v/>
      </c>
      <c r="K815" s="287" t="str">
        <f t="shared" si="112"/>
        <v/>
      </c>
      <c r="L815" s="287" t="str">
        <f t="shared" si="113"/>
        <v/>
      </c>
      <c r="M815" s="290" t="str">
        <f t="shared" si="114"/>
        <v/>
      </c>
      <c r="N815" s="243" t="str">
        <f>IF($A815="","",IF(ABS(E815)&gt;0.000001,COUNT($N$1:N814)+1,""))</f>
        <v/>
      </c>
      <c r="O815" s="291" t="str">
        <f>IF($A815="","",SUMIFS(Transactions!$H$2:$H$1001,Transactions!$J$2:$J$1001,$A815,Transactions!$A$2:$A$1001,2)*$I815)</f>
        <v/>
      </c>
      <c r="P815" s="291" t="str">
        <f t="shared" si="115"/>
        <v/>
      </c>
      <c r="Q815" s="292" t="str">
        <f t="shared" si="116"/>
        <v/>
      </c>
    </row>
    <row r="816" spans="1:17" ht="15" customHeight="1" x14ac:dyDescent="0.2">
      <c r="A816" s="243" t="str">
        <f>IFERROR(INDEX(Txn[Key],MATCH(0,INDEX(COUNTIF($A$1:A815,Txn[Key])+(Txn[Key]=""),0),0)),"")</f>
        <v/>
      </c>
      <c r="B816" s="243" t="str">
        <f t="shared" si="108"/>
        <v/>
      </c>
      <c r="C816" s="243" t="str">
        <f t="shared" si="109"/>
        <v/>
      </c>
      <c r="D816" s="243" t="str">
        <f t="shared" si="110"/>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1"/>
        <v/>
      </c>
      <c r="K816" s="287" t="str">
        <f t="shared" si="112"/>
        <v/>
      </c>
      <c r="L816" s="287" t="str">
        <f t="shared" si="113"/>
        <v/>
      </c>
      <c r="M816" s="290" t="str">
        <f t="shared" si="114"/>
        <v/>
      </c>
      <c r="N816" s="243" t="str">
        <f>IF($A816="","",IF(ABS(E816)&gt;0.000001,COUNT($N$1:N815)+1,""))</f>
        <v/>
      </c>
      <c r="O816" s="291" t="str">
        <f>IF($A816="","",SUMIFS(Transactions!$H$2:$H$1001,Transactions!$J$2:$J$1001,$A816,Transactions!$A$2:$A$1001,2)*$I816)</f>
        <v/>
      </c>
      <c r="P816" s="291" t="str">
        <f t="shared" si="115"/>
        <v/>
      </c>
      <c r="Q816" s="292" t="str">
        <f t="shared" si="116"/>
        <v/>
      </c>
    </row>
    <row r="817" spans="1:17" ht="15" customHeight="1" x14ac:dyDescent="0.2">
      <c r="A817" s="243" t="str">
        <f>IFERROR(INDEX(Txn[Key],MATCH(0,INDEX(COUNTIF($A$1:A816,Txn[Key])+(Txn[Key]=""),0),0)),"")</f>
        <v/>
      </c>
      <c r="B817" s="243" t="str">
        <f t="shared" si="108"/>
        <v/>
      </c>
      <c r="C817" s="243" t="str">
        <f t="shared" si="109"/>
        <v/>
      </c>
      <c r="D817" s="243" t="str">
        <f t="shared" si="110"/>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1"/>
        <v/>
      </c>
      <c r="K817" s="287" t="str">
        <f t="shared" si="112"/>
        <v/>
      </c>
      <c r="L817" s="287" t="str">
        <f t="shared" si="113"/>
        <v/>
      </c>
      <c r="M817" s="290" t="str">
        <f t="shared" si="114"/>
        <v/>
      </c>
      <c r="N817" s="243" t="str">
        <f>IF($A817="","",IF(ABS(E817)&gt;0.000001,COUNT($N$1:N816)+1,""))</f>
        <v/>
      </c>
      <c r="O817" s="291" t="str">
        <f>IF($A817="","",SUMIFS(Transactions!$H$2:$H$1001,Transactions!$J$2:$J$1001,$A817,Transactions!$A$2:$A$1001,2)*$I817)</f>
        <v/>
      </c>
      <c r="P817" s="291" t="str">
        <f t="shared" si="115"/>
        <v/>
      </c>
      <c r="Q817" s="292" t="str">
        <f t="shared" si="116"/>
        <v/>
      </c>
    </row>
    <row r="818" spans="1:17" ht="15" customHeight="1" x14ac:dyDescent="0.2">
      <c r="A818" s="243" t="str">
        <f>IFERROR(INDEX(Txn[Key],MATCH(0,INDEX(COUNTIF($A$1:A817,Txn[Key])+(Txn[Key]=""),0),0)),"")</f>
        <v/>
      </c>
      <c r="B818" s="243" t="str">
        <f t="shared" si="108"/>
        <v/>
      </c>
      <c r="C818" s="243" t="str">
        <f t="shared" si="109"/>
        <v/>
      </c>
      <c r="D818" s="243" t="str">
        <f t="shared" si="110"/>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1"/>
        <v/>
      </c>
      <c r="K818" s="287" t="str">
        <f t="shared" si="112"/>
        <v/>
      </c>
      <c r="L818" s="287" t="str">
        <f t="shared" si="113"/>
        <v/>
      </c>
      <c r="M818" s="290" t="str">
        <f t="shared" si="114"/>
        <v/>
      </c>
      <c r="N818" s="243" t="str">
        <f>IF($A818="","",IF(ABS(E818)&gt;0.000001,COUNT($N$1:N817)+1,""))</f>
        <v/>
      </c>
      <c r="O818" s="291" t="str">
        <f>IF($A818="","",SUMIFS(Transactions!$H$2:$H$1001,Transactions!$J$2:$J$1001,$A818,Transactions!$A$2:$A$1001,2)*$I818)</f>
        <v/>
      </c>
      <c r="P818" s="291" t="str">
        <f t="shared" si="115"/>
        <v/>
      </c>
      <c r="Q818" s="292" t="str">
        <f t="shared" si="116"/>
        <v/>
      </c>
    </row>
    <row r="819" spans="1:17" ht="15" customHeight="1" x14ac:dyDescent="0.2">
      <c r="A819" s="243" t="str">
        <f>IFERROR(INDEX(Txn[Key],MATCH(0,INDEX(COUNTIF($A$1:A818,Txn[Key])+(Txn[Key]=""),0),0)),"")</f>
        <v/>
      </c>
      <c r="B819" s="243" t="str">
        <f t="shared" si="108"/>
        <v/>
      </c>
      <c r="C819" s="243" t="str">
        <f t="shared" si="109"/>
        <v/>
      </c>
      <c r="D819" s="243" t="str">
        <f t="shared" si="110"/>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1"/>
        <v/>
      </c>
      <c r="K819" s="287" t="str">
        <f t="shared" si="112"/>
        <v/>
      </c>
      <c r="L819" s="287" t="str">
        <f t="shared" si="113"/>
        <v/>
      </c>
      <c r="M819" s="290" t="str">
        <f t="shared" si="114"/>
        <v/>
      </c>
      <c r="N819" s="243" t="str">
        <f>IF($A819="","",IF(ABS(E819)&gt;0.000001,COUNT($N$1:N818)+1,""))</f>
        <v/>
      </c>
      <c r="O819" s="291" t="str">
        <f>IF($A819="","",SUMIFS(Transactions!$H$2:$H$1001,Transactions!$J$2:$J$1001,$A819,Transactions!$A$2:$A$1001,2)*$I819)</f>
        <v/>
      </c>
      <c r="P819" s="291" t="str">
        <f t="shared" si="115"/>
        <v/>
      </c>
      <c r="Q819" s="292" t="str">
        <f t="shared" si="116"/>
        <v/>
      </c>
    </row>
    <row r="820" spans="1:17" ht="15" customHeight="1" x14ac:dyDescent="0.2">
      <c r="A820" s="243" t="str">
        <f>IFERROR(INDEX(Txn[Key],MATCH(0,INDEX(COUNTIF($A$1:A819,Txn[Key])+(Txn[Key]=""),0),0)),"")</f>
        <v/>
      </c>
      <c r="B820" s="243" t="str">
        <f t="shared" si="108"/>
        <v/>
      </c>
      <c r="C820" s="243" t="str">
        <f t="shared" si="109"/>
        <v/>
      </c>
      <c r="D820" s="243" t="str">
        <f t="shared" si="110"/>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1"/>
        <v/>
      </c>
      <c r="K820" s="287" t="str">
        <f t="shared" si="112"/>
        <v/>
      </c>
      <c r="L820" s="287" t="str">
        <f t="shared" si="113"/>
        <v/>
      </c>
      <c r="M820" s="290" t="str">
        <f t="shared" si="114"/>
        <v/>
      </c>
      <c r="N820" s="243" t="str">
        <f>IF($A820="","",IF(ABS(E820)&gt;0.000001,COUNT($N$1:N819)+1,""))</f>
        <v/>
      </c>
      <c r="O820" s="291" t="str">
        <f>IF($A820="","",SUMIFS(Transactions!$H$2:$H$1001,Transactions!$J$2:$J$1001,$A820,Transactions!$A$2:$A$1001,2)*$I820)</f>
        <v/>
      </c>
      <c r="P820" s="291" t="str">
        <f t="shared" si="115"/>
        <v/>
      </c>
      <c r="Q820" s="292" t="str">
        <f t="shared" si="116"/>
        <v/>
      </c>
    </row>
    <row r="821" spans="1:17" ht="15" customHeight="1" x14ac:dyDescent="0.2">
      <c r="A821" s="243" t="str">
        <f>IFERROR(INDEX(Txn[Key],MATCH(0,INDEX(COUNTIF($A$1:A820,Txn[Key])+(Txn[Key]=""),0),0)),"")</f>
        <v/>
      </c>
      <c r="B821" s="243" t="str">
        <f t="shared" si="108"/>
        <v/>
      </c>
      <c r="C821" s="243" t="str">
        <f t="shared" si="109"/>
        <v/>
      </c>
      <c r="D821" s="243" t="str">
        <f t="shared" si="110"/>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1"/>
        <v/>
      </c>
      <c r="K821" s="287" t="str">
        <f t="shared" si="112"/>
        <v/>
      </c>
      <c r="L821" s="287" t="str">
        <f t="shared" si="113"/>
        <v/>
      </c>
      <c r="M821" s="290" t="str">
        <f t="shared" si="114"/>
        <v/>
      </c>
      <c r="N821" s="243" t="str">
        <f>IF($A821="","",IF(ABS(E821)&gt;0.000001,COUNT($N$1:N820)+1,""))</f>
        <v/>
      </c>
      <c r="O821" s="291" t="str">
        <f>IF($A821="","",SUMIFS(Transactions!$H$2:$H$1001,Transactions!$J$2:$J$1001,$A821,Transactions!$A$2:$A$1001,2)*$I821)</f>
        <v/>
      </c>
      <c r="P821" s="291" t="str">
        <f t="shared" si="115"/>
        <v/>
      </c>
      <c r="Q821" s="292" t="str">
        <f t="shared" si="116"/>
        <v/>
      </c>
    </row>
    <row r="822" spans="1:17" ht="15" customHeight="1" x14ac:dyDescent="0.2">
      <c r="A822" s="243" t="str">
        <f>IFERROR(INDEX(Txn[Key],MATCH(0,INDEX(COUNTIF($A$1:A821,Txn[Key])+(Txn[Key]=""),0),0)),"")</f>
        <v/>
      </c>
      <c r="B822" s="243" t="str">
        <f t="shared" si="108"/>
        <v/>
      </c>
      <c r="C822" s="243" t="str">
        <f t="shared" si="109"/>
        <v/>
      </c>
      <c r="D822" s="243" t="str">
        <f t="shared" si="110"/>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1"/>
        <v/>
      </c>
      <c r="K822" s="287" t="str">
        <f t="shared" si="112"/>
        <v/>
      </c>
      <c r="L822" s="287" t="str">
        <f t="shared" si="113"/>
        <v/>
      </c>
      <c r="M822" s="290" t="str">
        <f t="shared" si="114"/>
        <v/>
      </c>
      <c r="N822" s="243" t="str">
        <f>IF($A822="","",IF(ABS(E822)&gt;0.000001,COUNT($N$1:N821)+1,""))</f>
        <v/>
      </c>
      <c r="O822" s="291" t="str">
        <f>IF($A822="","",SUMIFS(Transactions!$H$2:$H$1001,Transactions!$J$2:$J$1001,$A822,Transactions!$A$2:$A$1001,2)*$I822)</f>
        <v/>
      </c>
      <c r="P822" s="291" t="str">
        <f t="shared" si="115"/>
        <v/>
      </c>
      <c r="Q822" s="292" t="str">
        <f t="shared" si="116"/>
        <v/>
      </c>
    </row>
    <row r="823" spans="1:17" ht="15" customHeight="1" x14ac:dyDescent="0.2">
      <c r="A823" s="243" t="str">
        <f>IFERROR(INDEX(Txn[Key],MATCH(0,INDEX(COUNTIF($A$1:A822,Txn[Key])+(Txn[Key]=""),0),0)),"")</f>
        <v/>
      </c>
      <c r="B823" s="243" t="str">
        <f t="shared" si="108"/>
        <v/>
      </c>
      <c r="C823" s="243" t="str">
        <f t="shared" si="109"/>
        <v/>
      </c>
      <c r="D823" s="243" t="str">
        <f t="shared" si="110"/>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1"/>
        <v/>
      </c>
      <c r="K823" s="287" t="str">
        <f t="shared" si="112"/>
        <v/>
      </c>
      <c r="L823" s="287" t="str">
        <f t="shared" si="113"/>
        <v/>
      </c>
      <c r="M823" s="290" t="str">
        <f t="shared" si="114"/>
        <v/>
      </c>
      <c r="N823" s="243" t="str">
        <f>IF($A823="","",IF(ABS(E823)&gt;0.000001,COUNT($N$1:N822)+1,""))</f>
        <v/>
      </c>
      <c r="O823" s="291" t="str">
        <f>IF($A823="","",SUMIFS(Transactions!$H$2:$H$1001,Transactions!$J$2:$J$1001,$A823,Transactions!$A$2:$A$1001,2)*$I823)</f>
        <v/>
      </c>
      <c r="P823" s="291" t="str">
        <f t="shared" si="115"/>
        <v/>
      </c>
      <c r="Q823" s="292" t="str">
        <f t="shared" si="116"/>
        <v/>
      </c>
    </row>
    <row r="824" spans="1:17" ht="15" customHeight="1" x14ac:dyDescent="0.2">
      <c r="A824" s="243" t="str">
        <f>IFERROR(INDEX(Txn[Key],MATCH(0,INDEX(COUNTIF($A$1:A823,Txn[Key])+(Txn[Key]=""),0),0)),"")</f>
        <v/>
      </c>
      <c r="B824" s="243" t="str">
        <f t="shared" si="108"/>
        <v/>
      </c>
      <c r="C824" s="243" t="str">
        <f t="shared" si="109"/>
        <v/>
      </c>
      <c r="D824" s="243" t="str">
        <f t="shared" si="110"/>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1"/>
        <v/>
      </c>
      <c r="K824" s="287" t="str">
        <f t="shared" si="112"/>
        <v/>
      </c>
      <c r="L824" s="287" t="str">
        <f t="shared" si="113"/>
        <v/>
      </c>
      <c r="M824" s="290" t="str">
        <f t="shared" si="114"/>
        <v/>
      </c>
      <c r="N824" s="243" t="str">
        <f>IF($A824="","",IF(ABS(E824)&gt;0.000001,COUNT($N$1:N823)+1,""))</f>
        <v/>
      </c>
      <c r="O824" s="291" t="str">
        <f>IF($A824="","",SUMIFS(Transactions!$H$2:$H$1001,Transactions!$J$2:$J$1001,$A824,Transactions!$A$2:$A$1001,2)*$I824)</f>
        <v/>
      </c>
      <c r="P824" s="291" t="str">
        <f t="shared" si="115"/>
        <v/>
      </c>
      <c r="Q824" s="292" t="str">
        <f t="shared" si="116"/>
        <v/>
      </c>
    </row>
    <row r="825" spans="1:17" ht="15" customHeight="1" x14ac:dyDescent="0.2">
      <c r="A825" s="243" t="str">
        <f>IFERROR(INDEX(Txn[Key],MATCH(0,INDEX(COUNTIF($A$1:A824,Txn[Key])+(Txn[Key]=""),0),0)),"")</f>
        <v/>
      </c>
      <c r="B825" s="243" t="str">
        <f t="shared" si="108"/>
        <v/>
      </c>
      <c r="C825" s="243" t="str">
        <f t="shared" si="109"/>
        <v/>
      </c>
      <c r="D825" s="243" t="str">
        <f t="shared" si="110"/>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1"/>
        <v/>
      </c>
      <c r="K825" s="287" t="str">
        <f t="shared" si="112"/>
        <v/>
      </c>
      <c r="L825" s="287" t="str">
        <f t="shared" si="113"/>
        <v/>
      </c>
      <c r="M825" s="290" t="str">
        <f t="shared" si="114"/>
        <v/>
      </c>
      <c r="N825" s="243" t="str">
        <f>IF($A825="","",IF(ABS(E825)&gt;0.000001,COUNT($N$1:N824)+1,""))</f>
        <v/>
      </c>
      <c r="O825" s="291" t="str">
        <f>IF($A825="","",SUMIFS(Transactions!$H$2:$H$1001,Transactions!$J$2:$J$1001,$A825,Transactions!$A$2:$A$1001,2)*$I825)</f>
        <v/>
      </c>
      <c r="P825" s="291" t="str">
        <f t="shared" si="115"/>
        <v/>
      </c>
      <c r="Q825" s="292" t="str">
        <f t="shared" si="116"/>
        <v/>
      </c>
    </row>
    <row r="826" spans="1:17" ht="15" customHeight="1" x14ac:dyDescent="0.2">
      <c r="A826" s="243" t="str">
        <f>IFERROR(INDEX(Txn[Key],MATCH(0,INDEX(COUNTIF($A$1:A825,Txn[Key])+(Txn[Key]=""),0),0)),"")</f>
        <v/>
      </c>
      <c r="B826" s="243" t="str">
        <f t="shared" si="108"/>
        <v/>
      </c>
      <c r="C826" s="243" t="str">
        <f t="shared" si="109"/>
        <v/>
      </c>
      <c r="D826" s="243" t="str">
        <f t="shared" si="110"/>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1"/>
        <v/>
      </c>
      <c r="K826" s="287" t="str">
        <f t="shared" si="112"/>
        <v/>
      </c>
      <c r="L826" s="287" t="str">
        <f t="shared" si="113"/>
        <v/>
      </c>
      <c r="M826" s="290" t="str">
        <f t="shared" si="114"/>
        <v/>
      </c>
      <c r="N826" s="243" t="str">
        <f>IF($A826="","",IF(ABS(E826)&gt;0.000001,COUNT($N$1:N825)+1,""))</f>
        <v/>
      </c>
      <c r="O826" s="291" t="str">
        <f>IF($A826="","",SUMIFS(Transactions!$H$2:$H$1001,Transactions!$J$2:$J$1001,$A826,Transactions!$A$2:$A$1001,2)*$I826)</f>
        <v/>
      </c>
      <c r="P826" s="291" t="str">
        <f t="shared" si="115"/>
        <v/>
      </c>
      <c r="Q826" s="292" t="str">
        <f t="shared" si="116"/>
        <v/>
      </c>
    </row>
    <row r="827" spans="1:17" ht="15" customHeight="1" x14ac:dyDescent="0.2">
      <c r="A827" s="243" t="str">
        <f>IFERROR(INDEX(Txn[Key],MATCH(0,INDEX(COUNTIF($A$1:A826,Txn[Key])+(Txn[Key]=""),0),0)),"")</f>
        <v/>
      </c>
      <c r="B827" s="243" t="str">
        <f t="shared" si="108"/>
        <v/>
      </c>
      <c r="C827" s="243" t="str">
        <f t="shared" si="109"/>
        <v/>
      </c>
      <c r="D827" s="243" t="str">
        <f t="shared" si="110"/>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1"/>
        <v/>
      </c>
      <c r="K827" s="287" t="str">
        <f t="shared" si="112"/>
        <v/>
      </c>
      <c r="L827" s="287" t="str">
        <f t="shared" si="113"/>
        <v/>
      </c>
      <c r="M827" s="290" t="str">
        <f t="shared" si="114"/>
        <v/>
      </c>
      <c r="N827" s="243" t="str">
        <f>IF($A827="","",IF(ABS(E827)&gt;0.000001,COUNT($N$1:N826)+1,""))</f>
        <v/>
      </c>
      <c r="O827" s="291" t="str">
        <f>IF($A827="","",SUMIFS(Transactions!$H$2:$H$1001,Transactions!$J$2:$J$1001,$A827,Transactions!$A$2:$A$1001,2)*$I827)</f>
        <v/>
      </c>
      <c r="P827" s="291" t="str">
        <f t="shared" si="115"/>
        <v/>
      </c>
      <c r="Q827" s="292" t="str">
        <f t="shared" si="116"/>
        <v/>
      </c>
    </row>
    <row r="828" spans="1:17" ht="15" customHeight="1" x14ac:dyDescent="0.2">
      <c r="A828" s="243" t="str">
        <f>IFERROR(INDEX(Txn[Key],MATCH(0,INDEX(COUNTIF($A$1:A827,Txn[Key])+(Txn[Key]=""),0),0)),"")</f>
        <v/>
      </c>
      <c r="B828" s="243" t="str">
        <f t="shared" si="108"/>
        <v/>
      </c>
      <c r="C828" s="243" t="str">
        <f t="shared" si="109"/>
        <v/>
      </c>
      <c r="D828" s="243" t="str">
        <f t="shared" si="110"/>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1"/>
        <v/>
      </c>
      <c r="K828" s="287" t="str">
        <f t="shared" si="112"/>
        <v/>
      </c>
      <c r="L828" s="287" t="str">
        <f t="shared" si="113"/>
        <v/>
      </c>
      <c r="M828" s="290" t="str">
        <f t="shared" si="114"/>
        <v/>
      </c>
      <c r="N828" s="243" t="str">
        <f>IF($A828="","",IF(ABS(E828)&gt;0.000001,COUNT($N$1:N827)+1,""))</f>
        <v/>
      </c>
      <c r="O828" s="291" t="str">
        <f>IF($A828="","",SUMIFS(Transactions!$H$2:$H$1001,Transactions!$J$2:$J$1001,$A828,Transactions!$A$2:$A$1001,2)*$I828)</f>
        <v/>
      </c>
      <c r="P828" s="291" t="str">
        <f t="shared" si="115"/>
        <v/>
      </c>
      <c r="Q828" s="292" t="str">
        <f t="shared" si="116"/>
        <v/>
      </c>
    </row>
    <row r="829" spans="1:17" ht="15" customHeight="1" x14ac:dyDescent="0.2">
      <c r="A829" s="243" t="str">
        <f>IFERROR(INDEX(Txn[Key],MATCH(0,INDEX(COUNTIF($A$1:A828,Txn[Key])+(Txn[Key]=""),0),0)),"")</f>
        <v/>
      </c>
      <c r="B829" s="243" t="str">
        <f t="shared" si="108"/>
        <v/>
      </c>
      <c r="C829" s="243" t="str">
        <f t="shared" si="109"/>
        <v/>
      </c>
      <c r="D829" s="243" t="str">
        <f t="shared" si="110"/>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1"/>
        <v/>
      </c>
      <c r="K829" s="287" t="str">
        <f t="shared" si="112"/>
        <v/>
      </c>
      <c r="L829" s="287" t="str">
        <f t="shared" si="113"/>
        <v/>
      </c>
      <c r="M829" s="290" t="str">
        <f t="shared" si="114"/>
        <v/>
      </c>
      <c r="N829" s="243" t="str">
        <f>IF($A829="","",IF(ABS(E829)&gt;0.000001,COUNT($N$1:N828)+1,""))</f>
        <v/>
      </c>
      <c r="O829" s="291" t="str">
        <f>IF($A829="","",SUMIFS(Transactions!$H$2:$H$1001,Transactions!$J$2:$J$1001,$A829,Transactions!$A$2:$A$1001,2)*$I829)</f>
        <v/>
      </c>
      <c r="P829" s="291" t="str">
        <f t="shared" si="115"/>
        <v/>
      </c>
      <c r="Q829" s="292" t="str">
        <f t="shared" si="116"/>
        <v/>
      </c>
    </row>
    <row r="830" spans="1:17" ht="15" customHeight="1" x14ac:dyDescent="0.2">
      <c r="A830" s="243" t="str">
        <f>IFERROR(INDEX(Txn[Key],MATCH(0,INDEX(COUNTIF($A$1:A829,Txn[Key])+(Txn[Key]=""),0),0)),"")</f>
        <v/>
      </c>
      <c r="B830" s="243" t="str">
        <f t="shared" si="108"/>
        <v/>
      </c>
      <c r="C830" s="243" t="str">
        <f t="shared" si="109"/>
        <v/>
      </c>
      <c r="D830" s="243" t="str">
        <f t="shared" si="110"/>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1"/>
        <v/>
      </c>
      <c r="K830" s="287" t="str">
        <f t="shared" si="112"/>
        <v/>
      </c>
      <c r="L830" s="287" t="str">
        <f t="shared" si="113"/>
        <v/>
      </c>
      <c r="M830" s="290" t="str">
        <f t="shared" si="114"/>
        <v/>
      </c>
      <c r="N830" s="243" t="str">
        <f>IF($A830="","",IF(ABS(E830)&gt;0.000001,COUNT($N$1:N829)+1,""))</f>
        <v/>
      </c>
      <c r="O830" s="291" t="str">
        <f>IF($A830="","",SUMIFS(Transactions!$H$2:$H$1001,Transactions!$J$2:$J$1001,$A830,Transactions!$A$2:$A$1001,2)*$I830)</f>
        <v/>
      </c>
      <c r="P830" s="291" t="str">
        <f t="shared" si="115"/>
        <v/>
      </c>
      <c r="Q830" s="292" t="str">
        <f t="shared" si="116"/>
        <v/>
      </c>
    </row>
    <row r="831" spans="1:17" ht="15" customHeight="1" x14ac:dyDescent="0.2">
      <c r="A831" s="243" t="str">
        <f>IFERROR(INDEX(Txn[Key],MATCH(0,INDEX(COUNTIF($A$1:A830,Txn[Key])+(Txn[Key]=""),0),0)),"")</f>
        <v/>
      </c>
      <c r="B831" s="243" t="str">
        <f t="shared" si="108"/>
        <v/>
      </c>
      <c r="C831" s="243" t="str">
        <f t="shared" si="109"/>
        <v/>
      </c>
      <c r="D831" s="243" t="str">
        <f t="shared" si="110"/>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1"/>
        <v/>
      </c>
      <c r="K831" s="287" t="str">
        <f t="shared" si="112"/>
        <v/>
      </c>
      <c r="L831" s="287" t="str">
        <f t="shared" si="113"/>
        <v/>
      </c>
      <c r="M831" s="290" t="str">
        <f t="shared" si="114"/>
        <v/>
      </c>
      <c r="N831" s="243" t="str">
        <f>IF($A831="","",IF(ABS(E831)&gt;0.000001,COUNT($N$1:N830)+1,""))</f>
        <v/>
      </c>
      <c r="O831" s="291" t="str">
        <f>IF($A831="","",SUMIFS(Transactions!$H$2:$H$1001,Transactions!$J$2:$J$1001,$A831,Transactions!$A$2:$A$1001,2)*$I831)</f>
        <v/>
      </c>
      <c r="P831" s="291" t="str">
        <f t="shared" si="115"/>
        <v/>
      </c>
      <c r="Q831" s="292" t="str">
        <f t="shared" si="116"/>
        <v/>
      </c>
    </row>
    <row r="832" spans="1:17" ht="15" customHeight="1" x14ac:dyDescent="0.2">
      <c r="A832" s="243" t="str">
        <f>IFERROR(INDEX(Txn[Key],MATCH(0,INDEX(COUNTIF($A$1:A831,Txn[Key])+(Txn[Key]=""),0),0)),"")</f>
        <v/>
      </c>
      <c r="B832" s="243" t="str">
        <f t="shared" si="108"/>
        <v/>
      </c>
      <c r="C832" s="243" t="str">
        <f t="shared" si="109"/>
        <v/>
      </c>
      <c r="D832" s="243" t="str">
        <f t="shared" si="110"/>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1"/>
        <v/>
      </c>
      <c r="K832" s="287" t="str">
        <f t="shared" si="112"/>
        <v/>
      </c>
      <c r="L832" s="287" t="str">
        <f t="shared" si="113"/>
        <v/>
      </c>
      <c r="M832" s="290" t="str">
        <f t="shared" si="114"/>
        <v/>
      </c>
      <c r="N832" s="243" t="str">
        <f>IF($A832="","",IF(ABS(E832)&gt;0.000001,COUNT($N$1:N831)+1,""))</f>
        <v/>
      </c>
      <c r="O832" s="291" t="str">
        <f>IF($A832="","",SUMIFS(Transactions!$H$2:$H$1001,Transactions!$J$2:$J$1001,$A832,Transactions!$A$2:$A$1001,2)*$I832)</f>
        <v/>
      </c>
      <c r="P832" s="291" t="str">
        <f t="shared" si="115"/>
        <v/>
      </c>
      <c r="Q832" s="292" t="str">
        <f t="shared" si="116"/>
        <v/>
      </c>
    </row>
    <row r="833" spans="1:17" ht="15" customHeight="1" x14ac:dyDescent="0.2">
      <c r="A833" s="243" t="str">
        <f>IFERROR(INDEX(Txn[Key],MATCH(0,INDEX(COUNTIF($A$1:A832,Txn[Key])+(Txn[Key]=""),0),0)),"")</f>
        <v/>
      </c>
      <c r="B833" s="243" t="str">
        <f t="shared" si="108"/>
        <v/>
      </c>
      <c r="C833" s="243" t="str">
        <f t="shared" si="109"/>
        <v/>
      </c>
      <c r="D833" s="243" t="str">
        <f t="shared" si="110"/>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1"/>
        <v/>
      </c>
      <c r="K833" s="287" t="str">
        <f t="shared" si="112"/>
        <v/>
      </c>
      <c r="L833" s="287" t="str">
        <f t="shared" si="113"/>
        <v/>
      </c>
      <c r="M833" s="290" t="str">
        <f t="shared" si="114"/>
        <v/>
      </c>
      <c r="N833" s="243" t="str">
        <f>IF($A833="","",IF(ABS(E833)&gt;0.000001,COUNT($N$1:N832)+1,""))</f>
        <v/>
      </c>
      <c r="O833" s="291" t="str">
        <f>IF($A833="","",SUMIFS(Transactions!$H$2:$H$1001,Transactions!$J$2:$J$1001,$A833,Transactions!$A$2:$A$1001,2)*$I833)</f>
        <v/>
      </c>
      <c r="P833" s="291" t="str">
        <f t="shared" si="115"/>
        <v/>
      </c>
      <c r="Q833" s="292" t="str">
        <f t="shared" si="116"/>
        <v/>
      </c>
    </row>
    <row r="834" spans="1:17" ht="15" customHeight="1" x14ac:dyDescent="0.2">
      <c r="A834" s="243" t="str">
        <f>IFERROR(INDEX(Txn[Key],MATCH(0,INDEX(COUNTIF($A$1:A833,Txn[Key])+(Txn[Key]=""),0),0)),"")</f>
        <v/>
      </c>
      <c r="B834" s="243" t="str">
        <f t="shared" ref="B834:B897" si="117">IF($A834="","",LEFT($A834,FIND(":",$A834)-1))</f>
        <v/>
      </c>
      <c r="C834" s="243" t="str">
        <f t="shared" ref="C834:C897" si="118">IF($A834="","",MID($A834,FIND(":",$A834)+1,FIND(":",$A834,FIND(":",$A834)+1)-FIND(":",$A834)-1))</f>
        <v/>
      </c>
      <c r="D834" s="243" t="str">
        <f t="shared" ref="D834:D897" si="119">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0">IF($A834="","",E834*H834)</f>
        <v/>
      </c>
      <c r="K834" s="287" t="str">
        <f t="shared" ref="K834:K897" si="121">IF($A834="","",J834+G834-F834)</f>
        <v/>
      </c>
      <c r="L834" s="287" t="str">
        <f t="shared" ref="L834:L897" si="122">IF($A834="","",K834*I834)</f>
        <v/>
      </c>
      <c r="M834" s="290" t="str">
        <f t="shared" ref="M834:M897" si="123">IF($A834="","",IFERROR(K834/F834,0))</f>
        <v/>
      </c>
      <c r="N834" s="243" t="str">
        <f>IF($A834="","",IF(ABS(E834)&gt;0.000001,COUNT($N$1:N833)+1,""))</f>
        <v/>
      </c>
      <c r="O834" s="291" t="str">
        <f>IF($A834="","",SUMIFS(Transactions!$H$2:$H$1001,Transactions!$J$2:$J$1001,$A834,Transactions!$A$2:$A$1001,2)*$I834)</f>
        <v/>
      </c>
      <c r="P834" s="291" t="str">
        <f t="shared" ref="P834:P897" si="124">IF($A834="","",$L834+$O834)</f>
        <v/>
      </c>
      <c r="Q834" s="292" t="str">
        <f t="shared" ref="Q834:Q897" si="125">IF($A834="","",IFERROR(($L834+$O834)/($F834*$I834),0))</f>
        <v/>
      </c>
    </row>
    <row r="835" spans="1:17" ht="15" customHeight="1" x14ac:dyDescent="0.2">
      <c r="A835" s="243" t="str">
        <f>IFERROR(INDEX(Txn[Key],MATCH(0,INDEX(COUNTIF($A$1:A834,Txn[Key])+(Txn[Key]=""),0),0)),"")</f>
        <v/>
      </c>
      <c r="B835" s="243" t="str">
        <f t="shared" si="117"/>
        <v/>
      </c>
      <c r="C835" s="243" t="str">
        <f t="shared" si="118"/>
        <v/>
      </c>
      <c r="D835" s="243" t="str">
        <f t="shared" si="119"/>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0"/>
        <v/>
      </c>
      <c r="K835" s="287" t="str">
        <f t="shared" si="121"/>
        <v/>
      </c>
      <c r="L835" s="287" t="str">
        <f t="shared" si="122"/>
        <v/>
      </c>
      <c r="M835" s="290" t="str">
        <f t="shared" si="123"/>
        <v/>
      </c>
      <c r="N835" s="243" t="str">
        <f>IF($A835="","",IF(ABS(E835)&gt;0.000001,COUNT($N$1:N834)+1,""))</f>
        <v/>
      </c>
      <c r="O835" s="291" t="str">
        <f>IF($A835="","",SUMIFS(Transactions!$H$2:$H$1001,Transactions!$J$2:$J$1001,$A835,Transactions!$A$2:$A$1001,2)*$I835)</f>
        <v/>
      </c>
      <c r="P835" s="291" t="str">
        <f t="shared" si="124"/>
        <v/>
      </c>
      <c r="Q835" s="292" t="str">
        <f t="shared" si="125"/>
        <v/>
      </c>
    </row>
    <row r="836" spans="1:17" ht="15" customHeight="1" x14ac:dyDescent="0.2">
      <c r="A836" s="243" t="str">
        <f>IFERROR(INDEX(Txn[Key],MATCH(0,INDEX(COUNTIF($A$1:A835,Txn[Key])+(Txn[Key]=""),0),0)),"")</f>
        <v/>
      </c>
      <c r="B836" s="243" t="str">
        <f t="shared" si="117"/>
        <v/>
      </c>
      <c r="C836" s="243" t="str">
        <f t="shared" si="118"/>
        <v/>
      </c>
      <c r="D836" s="243" t="str">
        <f t="shared" si="119"/>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0"/>
        <v/>
      </c>
      <c r="K836" s="287" t="str">
        <f t="shared" si="121"/>
        <v/>
      </c>
      <c r="L836" s="287" t="str">
        <f t="shared" si="122"/>
        <v/>
      </c>
      <c r="M836" s="290" t="str">
        <f t="shared" si="123"/>
        <v/>
      </c>
      <c r="N836" s="243" t="str">
        <f>IF($A836="","",IF(ABS(E836)&gt;0.000001,COUNT($N$1:N835)+1,""))</f>
        <v/>
      </c>
      <c r="O836" s="291" t="str">
        <f>IF($A836="","",SUMIFS(Transactions!$H$2:$H$1001,Transactions!$J$2:$J$1001,$A836,Transactions!$A$2:$A$1001,2)*$I836)</f>
        <v/>
      </c>
      <c r="P836" s="291" t="str">
        <f t="shared" si="124"/>
        <v/>
      </c>
      <c r="Q836" s="292" t="str">
        <f t="shared" si="125"/>
        <v/>
      </c>
    </row>
    <row r="837" spans="1:17" ht="15" customHeight="1" x14ac:dyDescent="0.2">
      <c r="A837" s="243" t="str">
        <f>IFERROR(INDEX(Txn[Key],MATCH(0,INDEX(COUNTIF($A$1:A836,Txn[Key])+(Txn[Key]=""),0),0)),"")</f>
        <v/>
      </c>
      <c r="B837" s="243" t="str">
        <f t="shared" si="117"/>
        <v/>
      </c>
      <c r="C837" s="243" t="str">
        <f t="shared" si="118"/>
        <v/>
      </c>
      <c r="D837" s="243" t="str">
        <f t="shared" si="119"/>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0"/>
        <v/>
      </c>
      <c r="K837" s="287" t="str">
        <f t="shared" si="121"/>
        <v/>
      </c>
      <c r="L837" s="287" t="str">
        <f t="shared" si="122"/>
        <v/>
      </c>
      <c r="M837" s="290" t="str">
        <f t="shared" si="123"/>
        <v/>
      </c>
      <c r="N837" s="243" t="str">
        <f>IF($A837="","",IF(ABS(E837)&gt;0.000001,COUNT($N$1:N836)+1,""))</f>
        <v/>
      </c>
      <c r="O837" s="291" t="str">
        <f>IF($A837="","",SUMIFS(Transactions!$H$2:$H$1001,Transactions!$J$2:$J$1001,$A837,Transactions!$A$2:$A$1001,2)*$I837)</f>
        <v/>
      </c>
      <c r="P837" s="291" t="str">
        <f t="shared" si="124"/>
        <v/>
      </c>
      <c r="Q837" s="292" t="str">
        <f t="shared" si="125"/>
        <v/>
      </c>
    </row>
    <row r="838" spans="1:17" ht="15" customHeight="1" x14ac:dyDescent="0.2">
      <c r="A838" s="243" t="str">
        <f>IFERROR(INDEX(Txn[Key],MATCH(0,INDEX(COUNTIF($A$1:A837,Txn[Key])+(Txn[Key]=""),0),0)),"")</f>
        <v/>
      </c>
      <c r="B838" s="243" t="str">
        <f t="shared" si="117"/>
        <v/>
      </c>
      <c r="C838" s="243" t="str">
        <f t="shared" si="118"/>
        <v/>
      </c>
      <c r="D838" s="243" t="str">
        <f t="shared" si="119"/>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0"/>
        <v/>
      </c>
      <c r="K838" s="287" t="str">
        <f t="shared" si="121"/>
        <v/>
      </c>
      <c r="L838" s="287" t="str">
        <f t="shared" si="122"/>
        <v/>
      </c>
      <c r="M838" s="290" t="str">
        <f t="shared" si="123"/>
        <v/>
      </c>
      <c r="N838" s="243" t="str">
        <f>IF($A838="","",IF(ABS(E838)&gt;0.000001,COUNT($N$1:N837)+1,""))</f>
        <v/>
      </c>
      <c r="O838" s="291" t="str">
        <f>IF($A838="","",SUMIFS(Transactions!$H$2:$H$1001,Transactions!$J$2:$J$1001,$A838,Transactions!$A$2:$A$1001,2)*$I838)</f>
        <v/>
      </c>
      <c r="P838" s="291" t="str">
        <f t="shared" si="124"/>
        <v/>
      </c>
      <c r="Q838" s="292" t="str">
        <f t="shared" si="125"/>
        <v/>
      </c>
    </row>
    <row r="839" spans="1:17" ht="15" customHeight="1" x14ac:dyDescent="0.2">
      <c r="A839" s="243" t="str">
        <f>IFERROR(INDEX(Txn[Key],MATCH(0,INDEX(COUNTIF($A$1:A838,Txn[Key])+(Txn[Key]=""),0),0)),"")</f>
        <v/>
      </c>
      <c r="B839" s="243" t="str">
        <f t="shared" si="117"/>
        <v/>
      </c>
      <c r="C839" s="243" t="str">
        <f t="shared" si="118"/>
        <v/>
      </c>
      <c r="D839" s="243" t="str">
        <f t="shared" si="119"/>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0"/>
        <v/>
      </c>
      <c r="K839" s="287" t="str">
        <f t="shared" si="121"/>
        <v/>
      </c>
      <c r="L839" s="287" t="str">
        <f t="shared" si="122"/>
        <v/>
      </c>
      <c r="M839" s="290" t="str">
        <f t="shared" si="123"/>
        <v/>
      </c>
      <c r="N839" s="243" t="str">
        <f>IF($A839="","",IF(ABS(E839)&gt;0.000001,COUNT($N$1:N838)+1,""))</f>
        <v/>
      </c>
      <c r="O839" s="291" t="str">
        <f>IF($A839="","",SUMIFS(Transactions!$H$2:$H$1001,Transactions!$J$2:$J$1001,$A839,Transactions!$A$2:$A$1001,2)*$I839)</f>
        <v/>
      </c>
      <c r="P839" s="291" t="str">
        <f t="shared" si="124"/>
        <v/>
      </c>
      <c r="Q839" s="292" t="str">
        <f t="shared" si="125"/>
        <v/>
      </c>
    </row>
    <row r="840" spans="1:17" ht="15" customHeight="1" x14ac:dyDescent="0.2">
      <c r="A840" s="243" t="str">
        <f>IFERROR(INDEX(Txn[Key],MATCH(0,INDEX(COUNTIF($A$1:A839,Txn[Key])+(Txn[Key]=""),0),0)),"")</f>
        <v/>
      </c>
      <c r="B840" s="243" t="str">
        <f t="shared" si="117"/>
        <v/>
      </c>
      <c r="C840" s="243" t="str">
        <f t="shared" si="118"/>
        <v/>
      </c>
      <c r="D840" s="243" t="str">
        <f t="shared" si="119"/>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0"/>
        <v/>
      </c>
      <c r="K840" s="287" t="str">
        <f t="shared" si="121"/>
        <v/>
      </c>
      <c r="L840" s="287" t="str">
        <f t="shared" si="122"/>
        <v/>
      </c>
      <c r="M840" s="290" t="str">
        <f t="shared" si="123"/>
        <v/>
      </c>
      <c r="N840" s="243" t="str">
        <f>IF($A840="","",IF(ABS(E840)&gt;0.000001,COUNT($N$1:N839)+1,""))</f>
        <v/>
      </c>
      <c r="O840" s="291" t="str">
        <f>IF($A840="","",SUMIFS(Transactions!$H$2:$H$1001,Transactions!$J$2:$J$1001,$A840,Transactions!$A$2:$A$1001,2)*$I840)</f>
        <v/>
      </c>
      <c r="P840" s="291" t="str">
        <f t="shared" si="124"/>
        <v/>
      </c>
      <c r="Q840" s="292" t="str">
        <f t="shared" si="125"/>
        <v/>
      </c>
    </row>
    <row r="841" spans="1:17" ht="15" customHeight="1" x14ac:dyDescent="0.2">
      <c r="A841" s="243" t="str">
        <f>IFERROR(INDEX(Txn[Key],MATCH(0,INDEX(COUNTIF($A$1:A840,Txn[Key])+(Txn[Key]=""),0),0)),"")</f>
        <v/>
      </c>
      <c r="B841" s="243" t="str">
        <f t="shared" si="117"/>
        <v/>
      </c>
      <c r="C841" s="243" t="str">
        <f t="shared" si="118"/>
        <v/>
      </c>
      <c r="D841" s="243" t="str">
        <f t="shared" si="119"/>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0"/>
        <v/>
      </c>
      <c r="K841" s="287" t="str">
        <f t="shared" si="121"/>
        <v/>
      </c>
      <c r="L841" s="287" t="str">
        <f t="shared" si="122"/>
        <v/>
      </c>
      <c r="M841" s="290" t="str">
        <f t="shared" si="123"/>
        <v/>
      </c>
      <c r="N841" s="243" t="str">
        <f>IF($A841="","",IF(ABS(E841)&gt;0.000001,COUNT($N$1:N840)+1,""))</f>
        <v/>
      </c>
      <c r="O841" s="291" t="str">
        <f>IF($A841="","",SUMIFS(Transactions!$H$2:$H$1001,Transactions!$J$2:$J$1001,$A841,Transactions!$A$2:$A$1001,2)*$I841)</f>
        <v/>
      </c>
      <c r="P841" s="291" t="str">
        <f t="shared" si="124"/>
        <v/>
      </c>
      <c r="Q841" s="292" t="str">
        <f t="shared" si="125"/>
        <v/>
      </c>
    </row>
    <row r="842" spans="1:17" ht="15" customHeight="1" x14ac:dyDescent="0.2">
      <c r="A842" s="243" t="str">
        <f>IFERROR(INDEX(Txn[Key],MATCH(0,INDEX(COUNTIF($A$1:A841,Txn[Key])+(Txn[Key]=""),0),0)),"")</f>
        <v/>
      </c>
      <c r="B842" s="243" t="str">
        <f t="shared" si="117"/>
        <v/>
      </c>
      <c r="C842" s="243" t="str">
        <f t="shared" si="118"/>
        <v/>
      </c>
      <c r="D842" s="243" t="str">
        <f t="shared" si="119"/>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0"/>
        <v/>
      </c>
      <c r="K842" s="287" t="str">
        <f t="shared" si="121"/>
        <v/>
      </c>
      <c r="L842" s="287" t="str">
        <f t="shared" si="122"/>
        <v/>
      </c>
      <c r="M842" s="290" t="str">
        <f t="shared" si="123"/>
        <v/>
      </c>
      <c r="N842" s="243" t="str">
        <f>IF($A842="","",IF(ABS(E842)&gt;0.000001,COUNT($N$1:N841)+1,""))</f>
        <v/>
      </c>
      <c r="O842" s="291" t="str">
        <f>IF($A842="","",SUMIFS(Transactions!$H$2:$H$1001,Transactions!$J$2:$J$1001,$A842,Transactions!$A$2:$A$1001,2)*$I842)</f>
        <v/>
      </c>
      <c r="P842" s="291" t="str">
        <f t="shared" si="124"/>
        <v/>
      </c>
      <c r="Q842" s="292" t="str">
        <f t="shared" si="125"/>
        <v/>
      </c>
    </row>
    <row r="843" spans="1:17" ht="15" customHeight="1" x14ac:dyDescent="0.2">
      <c r="A843" s="243" t="str">
        <f>IFERROR(INDEX(Txn[Key],MATCH(0,INDEX(COUNTIF($A$1:A842,Txn[Key])+(Txn[Key]=""),0),0)),"")</f>
        <v/>
      </c>
      <c r="B843" s="243" t="str">
        <f t="shared" si="117"/>
        <v/>
      </c>
      <c r="C843" s="243" t="str">
        <f t="shared" si="118"/>
        <v/>
      </c>
      <c r="D843" s="243" t="str">
        <f t="shared" si="119"/>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0"/>
        <v/>
      </c>
      <c r="K843" s="287" t="str">
        <f t="shared" si="121"/>
        <v/>
      </c>
      <c r="L843" s="287" t="str">
        <f t="shared" si="122"/>
        <v/>
      </c>
      <c r="M843" s="290" t="str">
        <f t="shared" si="123"/>
        <v/>
      </c>
      <c r="N843" s="243" t="str">
        <f>IF($A843="","",IF(ABS(E843)&gt;0.000001,COUNT($N$1:N842)+1,""))</f>
        <v/>
      </c>
      <c r="O843" s="291" t="str">
        <f>IF($A843="","",SUMIFS(Transactions!$H$2:$H$1001,Transactions!$J$2:$J$1001,$A843,Transactions!$A$2:$A$1001,2)*$I843)</f>
        <v/>
      </c>
      <c r="P843" s="291" t="str">
        <f t="shared" si="124"/>
        <v/>
      </c>
      <c r="Q843" s="292" t="str">
        <f t="shared" si="125"/>
        <v/>
      </c>
    </row>
    <row r="844" spans="1:17" ht="15" customHeight="1" x14ac:dyDescent="0.2">
      <c r="A844" s="243" t="str">
        <f>IFERROR(INDEX(Txn[Key],MATCH(0,INDEX(COUNTIF($A$1:A843,Txn[Key])+(Txn[Key]=""),0),0)),"")</f>
        <v/>
      </c>
      <c r="B844" s="243" t="str">
        <f t="shared" si="117"/>
        <v/>
      </c>
      <c r="C844" s="243" t="str">
        <f t="shared" si="118"/>
        <v/>
      </c>
      <c r="D844" s="243" t="str">
        <f t="shared" si="119"/>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0"/>
        <v/>
      </c>
      <c r="K844" s="287" t="str">
        <f t="shared" si="121"/>
        <v/>
      </c>
      <c r="L844" s="287" t="str">
        <f t="shared" si="122"/>
        <v/>
      </c>
      <c r="M844" s="290" t="str">
        <f t="shared" si="123"/>
        <v/>
      </c>
      <c r="N844" s="243" t="str">
        <f>IF($A844="","",IF(ABS(E844)&gt;0.000001,COUNT($N$1:N843)+1,""))</f>
        <v/>
      </c>
      <c r="O844" s="291" t="str">
        <f>IF($A844="","",SUMIFS(Transactions!$H$2:$H$1001,Transactions!$J$2:$J$1001,$A844,Transactions!$A$2:$A$1001,2)*$I844)</f>
        <v/>
      </c>
      <c r="P844" s="291" t="str">
        <f t="shared" si="124"/>
        <v/>
      </c>
      <c r="Q844" s="292" t="str">
        <f t="shared" si="125"/>
        <v/>
      </c>
    </row>
    <row r="845" spans="1:17" ht="15" customHeight="1" x14ac:dyDescent="0.2">
      <c r="A845" s="243" t="str">
        <f>IFERROR(INDEX(Txn[Key],MATCH(0,INDEX(COUNTIF($A$1:A844,Txn[Key])+(Txn[Key]=""),0),0)),"")</f>
        <v/>
      </c>
      <c r="B845" s="243" t="str">
        <f t="shared" si="117"/>
        <v/>
      </c>
      <c r="C845" s="243" t="str">
        <f t="shared" si="118"/>
        <v/>
      </c>
      <c r="D845" s="243" t="str">
        <f t="shared" si="119"/>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0"/>
        <v/>
      </c>
      <c r="K845" s="287" t="str">
        <f t="shared" si="121"/>
        <v/>
      </c>
      <c r="L845" s="287" t="str">
        <f t="shared" si="122"/>
        <v/>
      </c>
      <c r="M845" s="290" t="str">
        <f t="shared" si="123"/>
        <v/>
      </c>
      <c r="N845" s="243" t="str">
        <f>IF($A845="","",IF(ABS(E845)&gt;0.000001,COUNT($N$1:N844)+1,""))</f>
        <v/>
      </c>
      <c r="O845" s="291" t="str">
        <f>IF($A845="","",SUMIFS(Transactions!$H$2:$H$1001,Transactions!$J$2:$J$1001,$A845,Transactions!$A$2:$A$1001,2)*$I845)</f>
        <v/>
      </c>
      <c r="P845" s="291" t="str">
        <f t="shared" si="124"/>
        <v/>
      </c>
      <c r="Q845" s="292" t="str">
        <f t="shared" si="125"/>
        <v/>
      </c>
    </row>
    <row r="846" spans="1:17" ht="15" customHeight="1" x14ac:dyDescent="0.2">
      <c r="A846" s="243" t="str">
        <f>IFERROR(INDEX(Txn[Key],MATCH(0,INDEX(COUNTIF($A$1:A845,Txn[Key])+(Txn[Key]=""),0),0)),"")</f>
        <v/>
      </c>
      <c r="B846" s="243" t="str">
        <f t="shared" si="117"/>
        <v/>
      </c>
      <c r="C846" s="243" t="str">
        <f t="shared" si="118"/>
        <v/>
      </c>
      <c r="D846" s="243" t="str">
        <f t="shared" si="119"/>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0"/>
        <v/>
      </c>
      <c r="K846" s="287" t="str">
        <f t="shared" si="121"/>
        <v/>
      </c>
      <c r="L846" s="287" t="str">
        <f t="shared" si="122"/>
        <v/>
      </c>
      <c r="M846" s="290" t="str">
        <f t="shared" si="123"/>
        <v/>
      </c>
      <c r="N846" s="243" t="str">
        <f>IF($A846="","",IF(ABS(E846)&gt;0.000001,COUNT($N$1:N845)+1,""))</f>
        <v/>
      </c>
      <c r="O846" s="291" t="str">
        <f>IF($A846="","",SUMIFS(Transactions!$H$2:$H$1001,Transactions!$J$2:$J$1001,$A846,Transactions!$A$2:$A$1001,2)*$I846)</f>
        <v/>
      </c>
      <c r="P846" s="291" t="str">
        <f t="shared" si="124"/>
        <v/>
      </c>
      <c r="Q846" s="292" t="str">
        <f t="shared" si="125"/>
        <v/>
      </c>
    </row>
    <row r="847" spans="1:17" ht="15" customHeight="1" x14ac:dyDescent="0.2">
      <c r="A847" s="243" t="str">
        <f>IFERROR(INDEX(Txn[Key],MATCH(0,INDEX(COUNTIF($A$1:A846,Txn[Key])+(Txn[Key]=""),0),0)),"")</f>
        <v/>
      </c>
      <c r="B847" s="243" t="str">
        <f t="shared" si="117"/>
        <v/>
      </c>
      <c r="C847" s="243" t="str">
        <f t="shared" si="118"/>
        <v/>
      </c>
      <c r="D847" s="243" t="str">
        <f t="shared" si="119"/>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0"/>
        <v/>
      </c>
      <c r="K847" s="287" t="str">
        <f t="shared" si="121"/>
        <v/>
      </c>
      <c r="L847" s="287" t="str">
        <f t="shared" si="122"/>
        <v/>
      </c>
      <c r="M847" s="290" t="str">
        <f t="shared" si="123"/>
        <v/>
      </c>
      <c r="N847" s="243" t="str">
        <f>IF($A847="","",IF(ABS(E847)&gt;0.000001,COUNT($N$1:N846)+1,""))</f>
        <v/>
      </c>
      <c r="O847" s="291" t="str">
        <f>IF($A847="","",SUMIFS(Transactions!$H$2:$H$1001,Transactions!$J$2:$J$1001,$A847,Transactions!$A$2:$A$1001,2)*$I847)</f>
        <v/>
      </c>
      <c r="P847" s="291" t="str">
        <f t="shared" si="124"/>
        <v/>
      </c>
      <c r="Q847" s="292" t="str">
        <f t="shared" si="125"/>
        <v/>
      </c>
    </row>
    <row r="848" spans="1:17" ht="15" customHeight="1" x14ac:dyDescent="0.2">
      <c r="A848" s="243" t="str">
        <f>IFERROR(INDEX(Txn[Key],MATCH(0,INDEX(COUNTIF($A$1:A847,Txn[Key])+(Txn[Key]=""),0),0)),"")</f>
        <v/>
      </c>
      <c r="B848" s="243" t="str">
        <f t="shared" si="117"/>
        <v/>
      </c>
      <c r="C848" s="243" t="str">
        <f t="shared" si="118"/>
        <v/>
      </c>
      <c r="D848" s="243" t="str">
        <f t="shared" si="119"/>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0"/>
        <v/>
      </c>
      <c r="K848" s="287" t="str">
        <f t="shared" si="121"/>
        <v/>
      </c>
      <c r="L848" s="287" t="str">
        <f t="shared" si="122"/>
        <v/>
      </c>
      <c r="M848" s="290" t="str">
        <f t="shared" si="123"/>
        <v/>
      </c>
      <c r="N848" s="243" t="str">
        <f>IF($A848="","",IF(ABS(E848)&gt;0.000001,COUNT($N$1:N847)+1,""))</f>
        <v/>
      </c>
      <c r="O848" s="291" t="str">
        <f>IF($A848="","",SUMIFS(Transactions!$H$2:$H$1001,Transactions!$J$2:$J$1001,$A848,Transactions!$A$2:$A$1001,2)*$I848)</f>
        <v/>
      </c>
      <c r="P848" s="291" t="str">
        <f t="shared" si="124"/>
        <v/>
      </c>
      <c r="Q848" s="292" t="str">
        <f t="shared" si="125"/>
        <v/>
      </c>
    </row>
    <row r="849" spans="1:17" ht="15" customHeight="1" x14ac:dyDescent="0.2">
      <c r="A849" s="243" t="str">
        <f>IFERROR(INDEX(Txn[Key],MATCH(0,INDEX(COUNTIF($A$1:A848,Txn[Key])+(Txn[Key]=""),0),0)),"")</f>
        <v/>
      </c>
      <c r="B849" s="243" t="str">
        <f t="shared" si="117"/>
        <v/>
      </c>
      <c r="C849" s="243" t="str">
        <f t="shared" si="118"/>
        <v/>
      </c>
      <c r="D849" s="243" t="str">
        <f t="shared" si="119"/>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0"/>
        <v/>
      </c>
      <c r="K849" s="287" t="str">
        <f t="shared" si="121"/>
        <v/>
      </c>
      <c r="L849" s="287" t="str">
        <f t="shared" si="122"/>
        <v/>
      </c>
      <c r="M849" s="290" t="str">
        <f t="shared" si="123"/>
        <v/>
      </c>
      <c r="N849" s="243" t="str">
        <f>IF($A849="","",IF(ABS(E849)&gt;0.000001,COUNT($N$1:N848)+1,""))</f>
        <v/>
      </c>
      <c r="O849" s="291" t="str">
        <f>IF($A849="","",SUMIFS(Transactions!$H$2:$H$1001,Transactions!$J$2:$J$1001,$A849,Transactions!$A$2:$A$1001,2)*$I849)</f>
        <v/>
      </c>
      <c r="P849" s="291" t="str">
        <f t="shared" si="124"/>
        <v/>
      </c>
      <c r="Q849" s="292" t="str">
        <f t="shared" si="125"/>
        <v/>
      </c>
    </row>
    <row r="850" spans="1:17" ht="15" customHeight="1" x14ac:dyDescent="0.2">
      <c r="A850" s="243" t="str">
        <f>IFERROR(INDEX(Txn[Key],MATCH(0,INDEX(COUNTIF($A$1:A849,Txn[Key])+(Txn[Key]=""),0),0)),"")</f>
        <v/>
      </c>
      <c r="B850" s="243" t="str">
        <f t="shared" si="117"/>
        <v/>
      </c>
      <c r="C850" s="243" t="str">
        <f t="shared" si="118"/>
        <v/>
      </c>
      <c r="D850" s="243" t="str">
        <f t="shared" si="119"/>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0"/>
        <v/>
      </c>
      <c r="K850" s="287" t="str">
        <f t="shared" si="121"/>
        <v/>
      </c>
      <c r="L850" s="287" t="str">
        <f t="shared" si="122"/>
        <v/>
      </c>
      <c r="M850" s="290" t="str">
        <f t="shared" si="123"/>
        <v/>
      </c>
      <c r="N850" s="243" t="str">
        <f>IF($A850="","",IF(ABS(E850)&gt;0.000001,COUNT($N$1:N849)+1,""))</f>
        <v/>
      </c>
      <c r="O850" s="291" t="str">
        <f>IF($A850="","",SUMIFS(Transactions!$H$2:$H$1001,Transactions!$J$2:$J$1001,$A850,Transactions!$A$2:$A$1001,2)*$I850)</f>
        <v/>
      </c>
      <c r="P850" s="291" t="str">
        <f t="shared" si="124"/>
        <v/>
      </c>
      <c r="Q850" s="292" t="str">
        <f t="shared" si="125"/>
        <v/>
      </c>
    </row>
    <row r="851" spans="1:17" ht="15" customHeight="1" x14ac:dyDescent="0.2">
      <c r="A851" s="243" t="str">
        <f>IFERROR(INDEX(Txn[Key],MATCH(0,INDEX(COUNTIF($A$1:A850,Txn[Key])+(Txn[Key]=""),0),0)),"")</f>
        <v/>
      </c>
      <c r="B851" s="243" t="str">
        <f t="shared" si="117"/>
        <v/>
      </c>
      <c r="C851" s="243" t="str">
        <f t="shared" si="118"/>
        <v/>
      </c>
      <c r="D851" s="243" t="str">
        <f t="shared" si="119"/>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0"/>
        <v/>
      </c>
      <c r="K851" s="287" t="str">
        <f t="shared" si="121"/>
        <v/>
      </c>
      <c r="L851" s="287" t="str">
        <f t="shared" si="122"/>
        <v/>
      </c>
      <c r="M851" s="290" t="str">
        <f t="shared" si="123"/>
        <v/>
      </c>
      <c r="N851" s="243" t="str">
        <f>IF($A851="","",IF(ABS(E851)&gt;0.000001,COUNT($N$1:N850)+1,""))</f>
        <v/>
      </c>
      <c r="O851" s="291" t="str">
        <f>IF($A851="","",SUMIFS(Transactions!$H$2:$H$1001,Transactions!$J$2:$J$1001,$A851,Transactions!$A$2:$A$1001,2)*$I851)</f>
        <v/>
      </c>
      <c r="P851" s="291" t="str">
        <f t="shared" si="124"/>
        <v/>
      </c>
      <c r="Q851" s="292" t="str">
        <f t="shared" si="125"/>
        <v/>
      </c>
    </row>
    <row r="852" spans="1:17" ht="15" customHeight="1" x14ac:dyDescent="0.2">
      <c r="A852" s="243" t="str">
        <f>IFERROR(INDEX(Txn[Key],MATCH(0,INDEX(COUNTIF($A$1:A851,Txn[Key])+(Txn[Key]=""),0),0)),"")</f>
        <v/>
      </c>
      <c r="B852" s="243" t="str">
        <f t="shared" si="117"/>
        <v/>
      </c>
      <c r="C852" s="243" t="str">
        <f t="shared" si="118"/>
        <v/>
      </c>
      <c r="D852" s="243" t="str">
        <f t="shared" si="119"/>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0"/>
        <v/>
      </c>
      <c r="K852" s="287" t="str">
        <f t="shared" si="121"/>
        <v/>
      </c>
      <c r="L852" s="287" t="str">
        <f t="shared" si="122"/>
        <v/>
      </c>
      <c r="M852" s="290" t="str">
        <f t="shared" si="123"/>
        <v/>
      </c>
      <c r="N852" s="243" t="str">
        <f>IF($A852="","",IF(ABS(E852)&gt;0.000001,COUNT($N$1:N851)+1,""))</f>
        <v/>
      </c>
      <c r="O852" s="291" t="str">
        <f>IF($A852="","",SUMIFS(Transactions!$H$2:$H$1001,Transactions!$J$2:$J$1001,$A852,Transactions!$A$2:$A$1001,2)*$I852)</f>
        <v/>
      </c>
      <c r="P852" s="291" t="str">
        <f t="shared" si="124"/>
        <v/>
      </c>
      <c r="Q852" s="292" t="str">
        <f t="shared" si="125"/>
        <v/>
      </c>
    </row>
    <row r="853" spans="1:17" ht="15" customHeight="1" x14ac:dyDescent="0.2">
      <c r="A853" s="243" t="str">
        <f>IFERROR(INDEX(Txn[Key],MATCH(0,INDEX(COUNTIF($A$1:A852,Txn[Key])+(Txn[Key]=""),0),0)),"")</f>
        <v/>
      </c>
      <c r="B853" s="243" t="str">
        <f t="shared" si="117"/>
        <v/>
      </c>
      <c r="C853" s="243" t="str">
        <f t="shared" si="118"/>
        <v/>
      </c>
      <c r="D853" s="243" t="str">
        <f t="shared" si="119"/>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0"/>
        <v/>
      </c>
      <c r="K853" s="287" t="str">
        <f t="shared" si="121"/>
        <v/>
      </c>
      <c r="L853" s="287" t="str">
        <f t="shared" si="122"/>
        <v/>
      </c>
      <c r="M853" s="290" t="str">
        <f t="shared" si="123"/>
        <v/>
      </c>
      <c r="N853" s="243" t="str">
        <f>IF($A853="","",IF(ABS(E853)&gt;0.000001,COUNT($N$1:N852)+1,""))</f>
        <v/>
      </c>
      <c r="O853" s="291" t="str">
        <f>IF($A853="","",SUMIFS(Transactions!$H$2:$H$1001,Transactions!$J$2:$J$1001,$A853,Transactions!$A$2:$A$1001,2)*$I853)</f>
        <v/>
      </c>
      <c r="P853" s="291" t="str">
        <f t="shared" si="124"/>
        <v/>
      </c>
      <c r="Q853" s="292" t="str">
        <f t="shared" si="125"/>
        <v/>
      </c>
    </row>
    <row r="854" spans="1:17" ht="15" customHeight="1" x14ac:dyDescent="0.2">
      <c r="A854" s="243" t="str">
        <f>IFERROR(INDEX(Txn[Key],MATCH(0,INDEX(COUNTIF($A$1:A853,Txn[Key])+(Txn[Key]=""),0),0)),"")</f>
        <v/>
      </c>
      <c r="B854" s="243" t="str">
        <f t="shared" si="117"/>
        <v/>
      </c>
      <c r="C854" s="243" t="str">
        <f t="shared" si="118"/>
        <v/>
      </c>
      <c r="D854" s="243" t="str">
        <f t="shared" si="119"/>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0"/>
        <v/>
      </c>
      <c r="K854" s="287" t="str">
        <f t="shared" si="121"/>
        <v/>
      </c>
      <c r="L854" s="287" t="str">
        <f t="shared" si="122"/>
        <v/>
      </c>
      <c r="M854" s="290" t="str">
        <f t="shared" si="123"/>
        <v/>
      </c>
      <c r="N854" s="243" t="str">
        <f>IF($A854="","",IF(ABS(E854)&gt;0.000001,COUNT($N$1:N853)+1,""))</f>
        <v/>
      </c>
      <c r="O854" s="291" t="str">
        <f>IF($A854="","",SUMIFS(Transactions!$H$2:$H$1001,Transactions!$J$2:$J$1001,$A854,Transactions!$A$2:$A$1001,2)*$I854)</f>
        <v/>
      </c>
      <c r="P854" s="291" t="str">
        <f t="shared" si="124"/>
        <v/>
      </c>
      <c r="Q854" s="292" t="str">
        <f t="shared" si="125"/>
        <v/>
      </c>
    </row>
    <row r="855" spans="1:17" ht="15" customHeight="1" x14ac:dyDescent="0.2">
      <c r="A855" s="243" t="str">
        <f>IFERROR(INDEX(Txn[Key],MATCH(0,INDEX(COUNTIF($A$1:A854,Txn[Key])+(Txn[Key]=""),0),0)),"")</f>
        <v/>
      </c>
      <c r="B855" s="243" t="str">
        <f t="shared" si="117"/>
        <v/>
      </c>
      <c r="C855" s="243" t="str">
        <f t="shared" si="118"/>
        <v/>
      </c>
      <c r="D855" s="243" t="str">
        <f t="shared" si="119"/>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0"/>
        <v/>
      </c>
      <c r="K855" s="287" t="str">
        <f t="shared" si="121"/>
        <v/>
      </c>
      <c r="L855" s="287" t="str">
        <f t="shared" si="122"/>
        <v/>
      </c>
      <c r="M855" s="290" t="str">
        <f t="shared" si="123"/>
        <v/>
      </c>
      <c r="N855" s="243" t="str">
        <f>IF($A855="","",IF(ABS(E855)&gt;0.000001,COUNT($N$1:N854)+1,""))</f>
        <v/>
      </c>
      <c r="O855" s="291" t="str">
        <f>IF($A855="","",SUMIFS(Transactions!$H$2:$H$1001,Transactions!$J$2:$J$1001,$A855,Transactions!$A$2:$A$1001,2)*$I855)</f>
        <v/>
      </c>
      <c r="P855" s="291" t="str">
        <f t="shared" si="124"/>
        <v/>
      </c>
      <c r="Q855" s="292" t="str">
        <f t="shared" si="125"/>
        <v/>
      </c>
    </row>
    <row r="856" spans="1:17" ht="15" customHeight="1" x14ac:dyDescent="0.2">
      <c r="A856" s="243" t="str">
        <f>IFERROR(INDEX(Txn[Key],MATCH(0,INDEX(COUNTIF($A$1:A855,Txn[Key])+(Txn[Key]=""),0),0)),"")</f>
        <v/>
      </c>
      <c r="B856" s="243" t="str">
        <f t="shared" si="117"/>
        <v/>
      </c>
      <c r="C856" s="243" t="str">
        <f t="shared" si="118"/>
        <v/>
      </c>
      <c r="D856" s="243" t="str">
        <f t="shared" si="119"/>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0"/>
        <v/>
      </c>
      <c r="K856" s="287" t="str">
        <f t="shared" si="121"/>
        <v/>
      </c>
      <c r="L856" s="287" t="str">
        <f t="shared" si="122"/>
        <v/>
      </c>
      <c r="M856" s="290" t="str">
        <f t="shared" si="123"/>
        <v/>
      </c>
      <c r="N856" s="243" t="str">
        <f>IF($A856="","",IF(ABS(E856)&gt;0.000001,COUNT($N$1:N855)+1,""))</f>
        <v/>
      </c>
      <c r="O856" s="291" t="str">
        <f>IF($A856="","",SUMIFS(Transactions!$H$2:$H$1001,Transactions!$J$2:$J$1001,$A856,Transactions!$A$2:$A$1001,2)*$I856)</f>
        <v/>
      </c>
      <c r="P856" s="291" t="str">
        <f t="shared" si="124"/>
        <v/>
      </c>
      <c r="Q856" s="292" t="str">
        <f t="shared" si="125"/>
        <v/>
      </c>
    </row>
    <row r="857" spans="1:17" ht="15" customHeight="1" x14ac:dyDescent="0.2">
      <c r="A857" s="243" t="str">
        <f>IFERROR(INDEX(Txn[Key],MATCH(0,INDEX(COUNTIF($A$1:A856,Txn[Key])+(Txn[Key]=""),0),0)),"")</f>
        <v/>
      </c>
      <c r="B857" s="243" t="str">
        <f t="shared" si="117"/>
        <v/>
      </c>
      <c r="C857" s="243" t="str">
        <f t="shared" si="118"/>
        <v/>
      </c>
      <c r="D857" s="243" t="str">
        <f t="shared" si="119"/>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0"/>
        <v/>
      </c>
      <c r="K857" s="287" t="str">
        <f t="shared" si="121"/>
        <v/>
      </c>
      <c r="L857" s="287" t="str">
        <f t="shared" si="122"/>
        <v/>
      </c>
      <c r="M857" s="290" t="str">
        <f t="shared" si="123"/>
        <v/>
      </c>
      <c r="N857" s="243" t="str">
        <f>IF($A857="","",IF(ABS(E857)&gt;0.000001,COUNT($N$1:N856)+1,""))</f>
        <v/>
      </c>
      <c r="O857" s="291" t="str">
        <f>IF($A857="","",SUMIFS(Transactions!$H$2:$H$1001,Transactions!$J$2:$J$1001,$A857,Transactions!$A$2:$A$1001,2)*$I857)</f>
        <v/>
      </c>
      <c r="P857" s="291" t="str">
        <f t="shared" si="124"/>
        <v/>
      </c>
      <c r="Q857" s="292" t="str">
        <f t="shared" si="125"/>
        <v/>
      </c>
    </row>
    <row r="858" spans="1:17" ht="15" customHeight="1" x14ac:dyDescent="0.2">
      <c r="A858" s="243" t="str">
        <f>IFERROR(INDEX(Txn[Key],MATCH(0,INDEX(COUNTIF($A$1:A857,Txn[Key])+(Txn[Key]=""),0),0)),"")</f>
        <v/>
      </c>
      <c r="B858" s="243" t="str">
        <f t="shared" si="117"/>
        <v/>
      </c>
      <c r="C858" s="243" t="str">
        <f t="shared" si="118"/>
        <v/>
      </c>
      <c r="D858" s="243" t="str">
        <f t="shared" si="119"/>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0"/>
        <v/>
      </c>
      <c r="K858" s="287" t="str">
        <f t="shared" si="121"/>
        <v/>
      </c>
      <c r="L858" s="287" t="str">
        <f t="shared" si="122"/>
        <v/>
      </c>
      <c r="M858" s="290" t="str">
        <f t="shared" si="123"/>
        <v/>
      </c>
      <c r="N858" s="243" t="str">
        <f>IF($A858="","",IF(ABS(E858)&gt;0.000001,COUNT($N$1:N857)+1,""))</f>
        <v/>
      </c>
      <c r="O858" s="291" t="str">
        <f>IF($A858="","",SUMIFS(Transactions!$H$2:$H$1001,Transactions!$J$2:$J$1001,$A858,Transactions!$A$2:$A$1001,2)*$I858)</f>
        <v/>
      </c>
      <c r="P858" s="291" t="str">
        <f t="shared" si="124"/>
        <v/>
      </c>
      <c r="Q858" s="292" t="str">
        <f t="shared" si="125"/>
        <v/>
      </c>
    </row>
    <row r="859" spans="1:17" ht="15" customHeight="1" x14ac:dyDescent="0.2">
      <c r="A859" s="243" t="str">
        <f>IFERROR(INDEX(Txn[Key],MATCH(0,INDEX(COUNTIF($A$1:A858,Txn[Key])+(Txn[Key]=""),0),0)),"")</f>
        <v/>
      </c>
      <c r="B859" s="243" t="str">
        <f t="shared" si="117"/>
        <v/>
      </c>
      <c r="C859" s="243" t="str">
        <f t="shared" si="118"/>
        <v/>
      </c>
      <c r="D859" s="243" t="str">
        <f t="shared" si="119"/>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0"/>
        <v/>
      </c>
      <c r="K859" s="287" t="str">
        <f t="shared" si="121"/>
        <v/>
      </c>
      <c r="L859" s="287" t="str">
        <f t="shared" si="122"/>
        <v/>
      </c>
      <c r="M859" s="290" t="str">
        <f t="shared" si="123"/>
        <v/>
      </c>
      <c r="N859" s="243" t="str">
        <f>IF($A859="","",IF(ABS(E859)&gt;0.000001,COUNT($N$1:N858)+1,""))</f>
        <v/>
      </c>
      <c r="O859" s="291" t="str">
        <f>IF($A859="","",SUMIFS(Transactions!$H$2:$H$1001,Transactions!$J$2:$J$1001,$A859,Transactions!$A$2:$A$1001,2)*$I859)</f>
        <v/>
      </c>
      <c r="P859" s="291" t="str">
        <f t="shared" si="124"/>
        <v/>
      </c>
      <c r="Q859" s="292" t="str">
        <f t="shared" si="125"/>
        <v/>
      </c>
    </row>
    <row r="860" spans="1:17" ht="15" customHeight="1" x14ac:dyDescent="0.2">
      <c r="A860" s="243" t="str">
        <f>IFERROR(INDEX(Txn[Key],MATCH(0,INDEX(COUNTIF($A$1:A859,Txn[Key])+(Txn[Key]=""),0),0)),"")</f>
        <v/>
      </c>
      <c r="B860" s="243" t="str">
        <f t="shared" si="117"/>
        <v/>
      </c>
      <c r="C860" s="243" t="str">
        <f t="shared" si="118"/>
        <v/>
      </c>
      <c r="D860" s="243" t="str">
        <f t="shared" si="119"/>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0"/>
        <v/>
      </c>
      <c r="K860" s="287" t="str">
        <f t="shared" si="121"/>
        <v/>
      </c>
      <c r="L860" s="287" t="str">
        <f t="shared" si="122"/>
        <v/>
      </c>
      <c r="M860" s="290" t="str">
        <f t="shared" si="123"/>
        <v/>
      </c>
      <c r="N860" s="243" t="str">
        <f>IF($A860="","",IF(ABS(E860)&gt;0.000001,COUNT($N$1:N859)+1,""))</f>
        <v/>
      </c>
      <c r="O860" s="291" t="str">
        <f>IF($A860="","",SUMIFS(Transactions!$H$2:$H$1001,Transactions!$J$2:$J$1001,$A860,Transactions!$A$2:$A$1001,2)*$I860)</f>
        <v/>
      </c>
      <c r="P860" s="291" t="str">
        <f t="shared" si="124"/>
        <v/>
      </c>
      <c r="Q860" s="292" t="str">
        <f t="shared" si="125"/>
        <v/>
      </c>
    </row>
    <row r="861" spans="1:17" ht="15" customHeight="1" x14ac:dyDescent="0.2">
      <c r="A861" s="243" t="str">
        <f>IFERROR(INDEX(Txn[Key],MATCH(0,INDEX(COUNTIF($A$1:A860,Txn[Key])+(Txn[Key]=""),0),0)),"")</f>
        <v/>
      </c>
      <c r="B861" s="243" t="str">
        <f t="shared" si="117"/>
        <v/>
      </c>
      <c r="C861" s="243" t="str">
        <f t="shared" si="118"/>
        <v/>
      </c>
      <c r="D861" s="243" t="str">
        <f t="shared" si="119"/>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0"/>
        <v/>
      </c>
      <c r="K861" s="287" t="str">
        <f t="shared" si="121"/>
        <v/>
      </c>
      <c r="L861" s="287" t="str">
        <f t="shared" si="122"/>
        <v/>
      </c>
      <c r="M861" s="290" t="str">
        <f t="shared" si="123"/>
        <v/>
      </c>
      <c r="N861" s="243" t="str">
        <f>IF($A861="","",IF(ABS(E861)&gt;0.000001,COUNT($N$1:N860)+1,""))</f>
        <v/>
      </c>
      <c r="O861" s="291" t="str">
        <f>IF($A861="","",SUMIFS(Transactions!$H$2:$H$1001,Transactions!$J$2:$J$1001,$A861,Transactions!$A$2:$A$1001,2)*$I861)</f>
        <v/>
      </c>
      <c r="P861" s="291" t="str">
        <f t="shared" si="124"/>
        <v/>
      </c>
      <c r="Q861" s="292" t="str">
        <f t="shared" si="125"/>
        <v/>
      </c>
    </row>
    <row r="862" spans="1:17" ht="15" customHeight="1" x14ac:dyDescent="0.2">
      <c r="A862" s="243" t="str">
        <f>IFERROR(INDEX(Txn[Key],MATCH(0,INDEX(COUNTIF($A$1:A861,Txn[Key])+(Txn[Key]=""),0),0)),"")</f>
        <v/>
      </c>
      <c r="B862" s="243" t="str">
        <f t="shared" si="117"/>
        <v/>
      </c>
      <c r="C862" s="243" t="str">
        <f t="shared" si="118"/>
        <v/>
      </c>
      <c r="D862" s="243" t="str">
        <f t="shared" si="119"/>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0"/>
        <v/>
      </c>
      <c r="K862" s="287" t="str">
        <f t="shared" si="121"/>
        <v/>
      </c>
      <c r="L862" s="287" t="str">
        <f t="shared" si="122"/>
        <v/>
      </c>
      <c r="M862" s="290" t="str">
        <f t="shared" si="123"/>
        <v/>
      </c>
      <c r="N862" s="243" t="str">
        <f>IF($A862="","",IF(ABS(E862)&gt;0.000001,COUNT($N$1:N861)+1,""))</f>
        <v/>
      </c>
      <c r="O862" s="291" t="str">
        <f>IF($A862="","",SUMIFS(Transactions!$H$2:$H$1001,Transactions!$J$2:$J$1001,$A862,Transactions!$A$2:$A$1001,2)*$I862)</f>
        <v/>
      </c>
      <c r="P862" s="291" t="str">
        <f t="shared" si="124"/>
        <v/>
      </c>
      <c r="Q862" s="292" t="str">
        <f t="shared" si="125"/>
        <v/>
      </c>
    </row>
    <row r="863" spans="1:17" ht="15" customHeight="1" x14ac:dyDescent="0.2">
      <c r="A863" s="243" t="str">
        <f>IFERROR(INDEX(Txn[Key],MATCH(0,INDEX(COUNTIF($A$1:A862,Txn[Key])+(Txn[Key]=""),0),0)),"")</f>
        <v/>
      </c>
      <c r="B863" s="243" t="str">
        <f t="shared" si="117"/>
        <v/>
      </c>
      <c r="C863" s="243" t="str">
        <f t="shared" si="118"/>
        <v/>
      </c>
      <c r="D863" s="243" t="str">
        <f t="shared" si="119"/>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0"/>
        <v/>
      </c>
      <c r="K863" s="287" t="str">
        <f t="shared" si="121"/>
        <v/>
      </c>
      <c r="L863" s="287" t="str">
        <f t="shared" si="122"/>
        <v/>
      </c>
      <c r="M863" s="290" t="str">
        <f t="shared" si="123"/>
        <v/>
      </c>
      <c r="N863" s="243" t="str">
        <f>IF($A863="","",IF(ABS(E863)&gt;0.000001,COUNT($N$1:N862)+1,""))</f>
        <v/>
      </c>
      <c r="O863" s="291" t="str">
        <f>IF($A863="","",SUMIFS(Transactions!$H$2:$H$1001,Transactions!$J$2:$J$1001,$A863,Transactions!$A$2:$A$1001,2)*$I863)</f>
        <v/>
      </c>
      <c r="P863" s="291" t="str">
        <f t="shared" si="124"/>
        <v/>
      </c>
      <c r="Q863" s="292" t="str">
        <f t="shared" si="125"/>
        <v/>
      </c>
    </row>
    <row r="864" spans="1:17" ht="15" customHeight="1" x14ac:dyDescent="0.2">
      <c r="A864" s="243" t="str">
        <f>IFERROR(INDEX(Txn[Key],MATCH(0,INDEX(COUNTIF($A$1:A863,Txn[Key])+(Txn[Key]=""),0),0)),"")</f>
        <v/>
      </c>
      <c r="B864" s="243" t="str">
        <f t="shared" si="117"/>
        <v/>
      </c>
      <c r="C864" s="243" t="str">
        <f t="shared" si="118"/>
        <v/>
      </c>
      <c r="D864" s="243" t="str">
        <f t="shared" si="119"/>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0"/>
        <v/>
      </c>
      <c r="K864" s="287" t="str">
        <f t="shared" si="121"/>
        <v/>
      </c>
      <c r="L864" s="287" t="str">
        <f t="shared" si="122"/>
        <v/>
      </c>
      <c r="M864" s="290" t="str">
        <f t="shared" si="123"/>
        <v/>
      </c>
      <c r="N864" s="243" t="str">
        <f>IF($A864="","",IF(ABS(E864)&gt;0.000001,COUNT($N$1:N863)+1,""))</f>
        <v/>
      </c>
      <c r="O864" s="291" t="str">
        <f>IF($A864="","",SUMIFS(Transactions!$H$2:$H$1001,Transactions!$J$2:$J$1001,$A864,Transactions!$A$2:$A$1001,2)*$I864)</f>
        <v/>
      </c>
      <c r="P864" s="291" t="str">
        <f t="shared" si="124"/>
        <v/>
      </c>
      <c r="Q864" s="292" t="str">
        <f t="shared" si="125"/>
        <v/>
      </c>
    </row>
    <row r="865" spans="1:17" ht="15" customHeight="1" x14ac:dyDescent="0.2">
      <c r="A865" s="243" t="str">
        <f>IFERROR(INDEX(Txn[Key],MATCH(0,INDEX(COUNTIF($A$1:A864,Txn[Key])+(Txn[Key]=""),0),0)),"")</f>
        <v/>
      </c>
      <c r="B865" s="243" t="str">
        <f t="shared" si="117"/>
        <v/>
      </c>
      <c r="C865" s="243" t="str">
        <f t="shared" si="118"/>
        <v/>
      </c>
      <c r="D865" s="243" t="str">
        <f t="shared" si="119"/>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0"/>
        <v/>
      </c>
      <c r="K865" s="287" t="str">
        <f t="shared" si="121"/>
        <v/>
      </c>
      <c r="L865" s="287" t="str">
        <f t="shared" si="122"/>
        <v/>
      </c>
      <c r="M865" s="290" t="str">
        <f t="shared" si="123"/>
        <v/>
      </c>
      <c r="N865" s="243" t="str">
        <f>IF($A865="","",IF(ABS(E865)&gt;0.000001,COUNT($N$1:N864)+1,""))</f>
        <v/>
      </c>
      <c r="O865" s="291" t="str">
        <f>IF($A865="","",SUMIFS(Transactions!$H$2:$H$1001,Transactions!$J$2:$J$1001,$A865,Transactions!$A$2:$A$1001,2)*$I865)</f>
        <v/>
      </c>
      <c r="P865" s="291" t="str">
        <f t="shared" si="124"/>
        <v/>
      </c>
      <c r="Q865" s="292" t="str">
        <f t="shared" si="125"/>
        <v/>
      </c>
    </row>
    <row r="866" spans="1:17" ht="15" customHeight="1" x14ac:dyDescent="0.2">
      <c r="A866" s="243" t="str">
        <f>IFERROR(INDEX(Txn[Key],MATCH(0,INDEX(COUNTIF($A$1:A865,Txn[Key])+(Txn[Key]=""),0),0)),"")</f>
        <v/>
      </c>
      <c r="B866" s="243" t="str">
        <f t="shared" si="117"/>
        <v/>
      </c>
      <c r="C866" s="243" t="str">
        <f t="shared" si="118"/>
        <v/>
      </c>
      <c r="D866" s="243" t="str">
        <f t="shared" si="119"/>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0"/>
        <v/>
      </c>
      <c r="K866" s="287" t="str">
        <f t="shared" si="121"/>
        <v/>
      </c>
      <c r="L866" s="287" t="str">
        <f t="shared" si="122"/>
        <v/>
      </c>
      <c r="M866" s="290" t="str">
        <f t="shared" si="123"/>
        <v/>
      </c>
      <c r="N866" s="243" t="str">
        <f>IF($A866="","",IF(ABS(E866)&gt;0.000001,COUNT($N$1:N865)+1,""))</f>
        <v/>
      </c>
      <c r="O866" s="291" t="str">
        <f>IF($A866="","",SUMIFS(Transactions!$H$2:$H$1001,Transactions!$J$2:$J$1001,$A866,Transactions!$A$2:$A$1001,2)*$I866)</f>
        <v/>
      </c>
      <c r="P866" s="291" t="str">
        <f t="shared" si="124"/>
        <v/>
      </c>
      <c r="Q866" s="292" t="str">
        <f t="shared" si="125"/>
        <v/>
      </c>
    </row>
    <row r="867" spans="1:17" ht="15" customHeight="1" x14ac:dyDescent="0.2">
      <c r="A867" s="243" t="str">
        <f>IFERROR(INDEX(Txn[Key],MATCH(0,INDEX(COUNTIF($A$1:A866,Txn[Key])+(Txn[Key]=""),0),0)),"")</f>
        <v/>
      </c>
      <c r="B867" s="243" t="str">
        <f t="shared" si="117"/>
        <v/>
      </c>
      <c r="C867" s="243" t="str">
        <f t="shared" si="118"/>
        <v/>
      </c>
      <c r="D867" s="243" t="str">
        <f t="shared" si="119"/>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0"/>
        <v/>
      </c>
      <c r="K867" s="287" t="str">
        <f t="shared" si="121"/>
        <v/>
      </c>
      <c r="L867" s="287" t="str">
        <f t="shared" si="122"/>
        <v/>
      </c>
      <c r="M867" s="290" t="str">
        <f t="shared" si="123"/>
        <v/>
      </c>
      <c r="N867" s="243" t="str">
        <f>IF($A867="","",IF(ABS(E867)&gt;0.000001,COUNT($N$1:N866)+1,""))</f>
        <v/>
      </c>
      <c r="O867" s="291" t="str">
        <f>IF($A867="","",SUMIFS(Transactions!$H$2:$H$1001,Transactions!$J$2:$J$1001,$A867,Transactions!$A$2:$A$1001,2)*$I867)</f>
        <v/>
      </c>
      <c r="P867" s="291" t="str">
        <f t="shared" si="124"/>
        <v/>
      </c>
      <c r="Q867" s="292" t="str">
        <f t="shared" si="125"/>
        <v/>
      </c>
    </row>
    <row r="868" spans="1:17" ht="15" customHeight="1" x14ac:dyDescent="0.2">
      <c r="A868" s="243" t="str">
        <f>IFERROR(INDEX(Txn[Key],MATCH(0,INDEX(COUNTIF($A$1:A867,Txn[Key])+(Txn[Key]=""),0),0)),"")</f>
        <v/>
      </c>
      <c r="B868" s="243" t="str">
        <f t="shared" si="117"/>
        <v/>
      </c>
      <c r="C868" s="243" t="str">
        <f t="shared" si="118"/>
        <v/>
      </c>
      <c r="D868" s="243" t="str">
        <f t="shared" si="119"/>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0"/>
        <v/>
      </c>
      <c r="K868" s="287" t="str">
        <f t="shared" si="121"/>
        <v/>
      </c>
      <c r="L868" s="287" t="str">
        <f t="shared" si="122"/>
        <v/>
      </c>
      <c r="M868" s="290" t="str">
        <f t="shared" si="123"/>
        <v/>
      </c>
      <c r="N868" s="243" t="str">
        <f>IF($A868="","",IF(ABS(E868)&gt;0.000001,COUNT($N$1:N867)+1,""))</f>
        <v/>
      </c>
      <c r="O868" s="291" t="str">
        <f>IF($A868="","",SUMIFS(Transactions!$H$2:$H$1001,Transactions!$J$2:$J$1001,$A868,Transactions!$A$2:$A$1001,2)*$I868)</f>
        <v/>
      </c>
      <c r="P868" s="291" t="str">
        <f t="shared" si="124"/>
        <v/>
      </c>
      <c r="Q868" s="292" t="str">
        <f t="shared" si="125"/>
        <v/>
      </c>
    </row>
    <row r="869" spans="1:17" ht="15" customHeight="1" x14ac:dyDescent="0.2">
      <c r="A869" s="243" t="str">
        <f>IFERROR(INDEX(Txn[Key],MATCH(0,INDEX(COUNTIF($A$1:A868,Txn[Key])+(Txn[Key]=""),0),0)),"")</f>
        <v/>
      </c>
      <c r="B869" s="243" t="str">
        <f t="shared" si="117"/>
        <v/>
      </c>
      <c r="C869" s="243" t="str">
        <f t="shared" si="118"/>
        <v/>
      </c>
      <c r="D869" s="243" t="str">
        <f t="shared" si="119"/>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0"/>
        <v/>
      </c>
      <c r="K869" s="287" t="str">
        <f t="shared" si="121"/>
        <v/>
      </c>
      <c r="L869" s="287" t="str">
        <f t="shared" si="122"/>
        <v/>
      </c>
      <c r="M869" s="290" t="str">
        <f t="shared" si="123"/>
        <v/>
      </c>
      <c r="N869" s="243" t="str">
        <f>IF($A869="","",IF(ABS(E869)&gt;0.000001,COUNT($N$1:N868)+1,""))</f>
        <v/>
      </c>
      <c r="O869" s="291" t="str">
        <f>IF($A869="","",SUMIFS(Transactions!$H$2:$H$1001,Transactions!$J$2:$J$1001,$A869,Transactions!$A$2:$A$1001,2)*$I869)</f>
        <v/>
      </c>
      <c r="P869" s="291" t="str">
        <f t="shared" si="124"/>
        <v/>
      </c>
      <c r="Q869" s="292" t="str">
        <f t="shared" si="125"/>
        <v/>
      </c>
    </row>
    <row r="870" spans="1:17" ht="15" customHeight="1" x14ac:dyDescent="0.2">
      <c r="A870" s="243" t="str">
        <f>IFERROR(INDEX(Txn[Key],MATCH(0,INDEX(COUNTIF($A$1:A869,Txn[Key])+(Txn[Key]=""),0),0)),"")</f>
        <v/>
      </c>
      <c r="B870" s="243" t="str">
        <f t="shared" si="117"/>
        <v/>
      </c>
      <c r="C870" s="243" t="str">
        <f t="shared" si="118"/>
        <v/>
      </c>
      <c r="D870" s="243" t="str">
        <f t="shared" si="119"/>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0"/>
        <v/>
      </c>
      <c r="K870" s="287" t="str">
        <f t="shared" si="121"/>
        <v/>
      </c>
      <c r="L870" s="287" t="str">
        <f t="shared" si="122"/>
        <v/>
      </c>
      <c r="M870" s="290" t="str">
        <f t="shared" si="123"/>
        <v/>
      </c>
      <c r="N870" s="243" t="str">
        <f>IF($A870="","",IF(ABS(E870)&gt;0.000001,COUNT($N$1:N869)+1,""))</f>
        <v/>
      </c>
      <c r="O870" s="291" t="str">
        <f>IF($A870="","",SUMIFS(Transactions!$H$2:$H$1001,Transactions!$J$2:$J$1001,$A870,Transactions!$A$2:$A$1001,2)*$I870)</f>
        <v/>
      </c>
      <c r="P870" s="291" t="str">
        <f t="shared" si="124"/>
        <v/>
      </c>
      <c r="Q870" s="292" t="str">
        <f t="shared" si="125"/>
        <v/>
      </c>
    </row>
    <row r="871" spans="1:17" ht="15" customHeight="1" x14ac:dyDescent="0.2">
      <c r="A871" s="243" t="str">
        <f>IFERROR(INDEX(Txn[Key],MATCH(0,INDEX(COUNTIF($A$1:A870,Txn[Key])+(Txn[Key]=""),0),0)),"")</f>
        <v/>
      </c>
      <c r="B871" s="243" t="str">
        <f t="shared" si="117"/>
        <v/>
      </c>
      <c r="C871" s="243" t="str">
        <f t="shared" si="118"/>
        <v/>
      </c>
      <c r="D871" s="243" t="str">
        <f t="shared" si="119"/>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0"/>
        <v/>
      </c>
      <c r="K871" s="287" t="str">
        <f t="shared" si="121"/>
        <v/>
      </c>
      <c r="L871" s="287" t="str">
        <f t="shared" si="122"/>
        <v/>
      </c>
      <c r="M871" s="290" t="str">
        <f t="shared" si="123"/>
        <v/>
      </c>
      <c r="N871" s="243" t="str">
        <f>IF($A871="","",IF(ABS(E871)&gt;0.000001,COUNT($N$1:N870)+1,""))</f>
        <v/>
      </c>
      <c r="O871" s="291" t="str">
        <f>IF($A871="","",SUMIFS(Transactions!$H$2:$H$1001,Transactions!$J$2:$J$1001,$A871,Transactions!$A$2:$A$1001,2)*$I871)</f>
        <v/>
      </c>
      <c r="P871" s="291" t="str">
        <f t="shared" si="124"/>
        <v/>
      </c>
      <c r="Q871" s="292" t="str">
        <f t="shared" si="125"/>
        <v/>
      </c>
    </row>
    <row r="872" spans="1:17" ht="15" customHeight="1" x14ac:dyDescent="0.2">
      <c r="A872" s="243" t="str">
        <f>IFERROR(INDEX(Txn[Key],MATCH(0,INDEX(COUNTIF($A$1:A871,Txn[Key])+(Txn[Key]=""),0),0)),"")</f>
        <v/>
      </c>
      <c r="B872" s="243" t="str">
        <f t="shared" si="117"/>
        <v/>
      </c>
      <c r="C872" s="243" t="str">
        <f t="shared" si="118"/>
        <v/>
      </c>
      <c r="D872" s="243" t="str">
        <f t="shared" si="119"/>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0"/>
        <v/>
      </c>
      <c r="K872" s="287" t="str">
        <f t="shared" si="121"/>
        <v/>
      </c>
      <c r="L872" s="287" t="str">
        <f t="shared" si="122"/>
        <v/>
      </c>
      <c r="M872" s="290" t="str">
        <f t="shared" si="123"/>
        <v/>
      </c>
      <c r="N872" s="243" t="str">
        <f>IF($A872="","",IF(ABS(E872)&gt;0.000001,COUNT($N$1:N871)+1,""))</f>
        <v/>
      </c>
      <c r="O872" s="291" t="str">
        <f>IF($A872="","",SUMIFS(Transactions!$H$2:$H$1001,Transactions!$J$2:$J$1001,$A872,Transactions!$A$2:$A$1001,2)*$I872)</f>
        <v/>
      </c>
      <c r="P872" s="291" t="str">
        <f t="shared" si="124"/>
        <v/>
      </c>
      <c r="Q872" s="292" t="str">
        <f t="shared" si="125"/>
        <v/>
      </c>
    </row>
    <row r="873" spans="1:17" ht="15" customHeight="1" x14ac:dyDescent="0.2">
      <c r="A873" s="243" t="str">
        <f>IFERROR(INDEX(Txn[Key],MATCH(0,INDEX(COUNTIF($A$1:A872,Txn[Key])+(Txn[Key]=""),0),0)),"")</f>
        <v/>
      </c>
      <c r="B873" s="243" t="str">
        <f t="shared" si="117"/>
        <v/>
      </c>
      <c r="C873" s="243" t="str">
        <f t="shared" si="118"/>
        <v/>
      </c>
      <c r="D873" s="243" t="str">
        <f t="shared" si="119"/>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0"/>
        <v/>
      </c>
      <c r="K873" s="287" t="str">
        <f t="shared" si="121"/>
        <v/>
      </c>
      <c r="L873" s="287" t="str">
        <f t="shared" si="122"/>
        <v/>
      </c>
      <c r="M873" s="290" t="str">
        <f t="shared" si="123"/>
        <v/>
      </c>
      <c r="N873" s="243" t="str">
        <f>IF($A873="","",IF(ABS(E873)&gt;0.000001,COUNT($N$1:N872)+1,""))</f>
        <v/>
      </c>
      <c r="O873" s="291" t="str">
        <f>IF($A873="","",SUMIFS(Transactions!$H$2:$H$1001,Transactions!$J$2:$J$1001,$A873,Transactions!$A$2:$A$1001,2)*$I873)</f>
        <v/>
      </c>
      <c r="P873" s="291" t="str">
        <f t="shared" si="124"/>
        <v/>
      </c>
      <c r="Q873" s="292" t="str">
        <f t="shared" si="125"/>
        <v/>
      </c>
    </row>
    <row r="874" spans="1:17" ht="15" customHeight="1" x14ac:dyDescent="0.2">
      <c r="A874" s="243" t="str">
        <f>IFERROR(INDEX(Txn[Key],MATCH(0,INDEX(COUNTIF($A$1:A873,Txn[Key])+(Txn[Key]=""),0),0)),"")</f>
        <v/>
      </c>
      <c r="B874" s="243" t="str">
        <f t="shared" si="117"/>
        <v/>
      </c>
      <c r="C874" s="243" t="str">
        <f t="shared" si="118"/>
        <v/>
      </c>
      <c r="D874" s="243" t="str">
        <f t="shared" si="119"/>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0"/>
        <v/>
      </c>
      <c r="K874" s="287" t="str">
        <f t="shared" si="121"/>
        <v/>
      </c>
      <c r="L874" s="287" t="str">
        <f t="shared" si="122"/>
        <v/>
      </c>
      <c r="M874" s="290" t="str">
        <f t="shared" si="123"/>
        <v/>
      </c>
      <c r="N874" s="243" t="str">
        <f>IF($A874="","",IF(ABS(E874)&gt;0.000001,COUNT($N$1:N873)+1,""))</f>
        <v/>
      </c>
      <c r="O874" s="291" t="str">
        <f>IF($A874="","",SUMIFS(Transactions!$H$2:$H$1001,Transactions!$J$2:$J$1001,$A874,Transactions!$A$2:$A$1001,2)*$I874)</f>
        <v/>
      </c>
      <c r="P874" s="291" t="str">
        <f t="shared" si="124"/>
        <v/>
      </c>
      <c r="Q874" s="292" t="str">
        <f t="shared" si="125"/>
        <v/>
      </c>
    </row>
    <row r="875" spans="1:17" ht="15" customHeight="1" x14ac:dyDescent="0.2">
      <c r="A875" s="243" t="str">
        <f>IFERROR(INDEX(Txn[Key],MATCH(0,INDEX(COUNTIF($A$1:A874,Txn[Key])+(Txn[Key]=""),0),0)),"")</f>
        <v/>
      </c>
      <c r="B875" s="243" t="str">
        <f t="shared" si="117"/>
        <v/>
      </c>
      <c r="C875" s="243" t="str">
        <f t="shared" si="118"/>
        <v/>
      </c>
      <c r="D875" s="243" t="str">
        <f t="shared" si="119"/>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0"/>
        <v/>
      </c>
      <c r="K875" s="287" t="str">
        <f t="shared" si="121"/>
        <v/>
      </c>
      <c r="L875" s="287" t="str">
        <f t="shared" si="122"/>
        <v/>
      </c>
      <c r="M875" s="290" t="str">
        <f t="shared" si="123"/>
        <v/>
      </c>
      <c r="N875" s="243" t="str">
        <f>IF($A875="","",IF(ABS(E875)&gt;0.000001,COUNT($N$1:N874)+1,""))</f>
        <v/>
      </c>
      <c r="O875" s="291" t="str">
        <f>IF($A875="","",SUMIFS(Transactions!$H$2:$H$1001,Transactions!$J$2:$J$1001,$A875,Transactions!$A$2:$A$1001,2)*$I875)</f>
        <v/>
      </c>
      <c r="P875" s="291" t="str">
        <f t="shared" si="124"/>
        <v/>
      </c>
      <c r="Q875" s="292" t="str">
        <f t="shared" si="125"/>
        <v/>
      </c>
    </row>
    <row r="876" spans="1:17" ht="15" customHeight="1" x14ac:dyDescent="0.2">
      <c r="A876" s="243" t="str">
        <f>IFERROR(INDEX(Txn[Key],MATCH(0,INDEX(COUNTIF($A$1:A875,Txn[Key])+(Txn[Key]=""),0),0)),"")</f>
        <v/>
      </c>
      <c r="B876" s="243" t="str">
        <f t="shared" si="117"/>
        <v/>
      </c>
      <c r="C876" s="243" t="str">
        <f t="shared" si="118"/>
        <v/>
      </c>
      <c r="D876" s="243" t="str">
        <f t="shared" si="119"/>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0"/>
        <v/>
      </c>
      <c r="K876" s="287" t="str">
        <f t="shared" si="121"/>
        <v/>
      </c>
      <c r="L876" s="287" t="str">
        <f t="shared" si="122"/>
        <v/>
      </c>
      <c r="M876" s="290" t="str">
        <f t="shared" si="123"/>
        <v/>
      </c>
      <c r="N876" s="243" t="str">
        <f>IF($A876="","",IF(ABS(E876)&gt;0.000001,COUNT($N$1:N875)+1,""))</f>
        <v/>
      </c>
      <c r="O876" s="291" t="str">
        <f>IF($A876="","",SUMIFS(Transactions!$H$2:$H$1001,Transactions!$J$2:$J$1001,$A876,Transactions!$A$2:$A$1001,2)*$I876)</f>
        <v/>
      </c>
      <c r="P876" s="291" t="str">
        <f t="shared" si="124"/>
        <v/>
      </c>
      <c r="Q876" s="292" t="str">
        <f t="shared" si="125"/>
        <v/>
      </c>
    </row>
    <row r="877" spans="1:17" ht="15" customHeight="1" x14ac:dyDescent="0.2">
      <c r="A877" s="243" t="str">
        <f>IFERROR(INDEX(Txn[Key],MATCH(0,INDEX(COUNTIF($A$1:A876,Txn[Key])+(Txn[Key]=""),0),0)),"")</f>
        <v/>
      </c>
      <c r="B877" s="243" t="str">
        <f t="shared" si="117"/>
        <v/>
      </c>
      <c r="C877" s="243" t="str">
        <f t="shared" si="118"/>
        <v/>
      </c>
      <c r="D877" s="243" t="str">
        <f t="shared" si="119"/>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0"/>
        <v/>
      </c>
      <c r="K877" s="287" t="str">
        <f t="shared" si="121"/>
        <v/>
      </c>
      <c r="L877" s="287" t="str">
        <f t="shared" si="122"/>
        <v/>
      </c>
      <c r="M877" s="290" t="str">
        <f t="shared" si="123"/>
        <v/>
      </c>
      <c r="N877" s="243" t="str">
        <f>IF($A877="","",IF(ABS(E877)&gt;0.000001,COUNT($N$1:N876)+1,""))</f>
        <v/>
      </c>
      <c r="O877" s="291" t="str">
        <f>IF($A877="","",SUMIFS(Transactions!$H$2:$H$1001,Transactions!$J$2:$J$1001,$A877,Transactions!$A$2:$A$1001,2)*$I877)</f>
        <v/>
      </c>
      <c r="P877" s="291" t="str">
        <f t="shared" si="124"/>
        <v/>
      </c>
      <c r="Q877" s="292" t="str">
        <f t="shared" si="125"/>
        <v/>
      </c>
    </row>
    <row r="878" spans="1:17" ht="15" customHeight="1" x14ac:dyDescent="0.2">
      <c r="A878" s="243" t="str">
        <f>IFERROR(INDEX(Txn[Key],MATCH(0,INDEX(COUNTIF($A$1:A877,Txn[Key])+(Txn[Key]=""),0),0)),"")</f>
        <v/>
      </c>
      <c r="B878" s="243" t="str">
        <f t="shared" si="117"/>
        <v/>
      </c>
      <c r="C878" s="243" t="str">
        <f t="shared" si="118"/>
        <v/>
      </c>
      <c r="D878" s="243" t="str">
        <f t="shared" si="119"/>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0"/>
        <v/>
      </c>
      <c r="K878" s="287" t="str">
        <f t="shared" si="121"/>
        <v/>
      </c>
      <c r="L878" s="287" t="str">
        <f t="shared" si="122"/>
        <v/>
      </c>
      <c r="M878" s="290" t="str">
        <f t="shared" si="123"/>
        <v/>
      </c>
      <c r="N878" s="243" t="str">
        <f>IF($A878="","",IF(ABS(E878)&gt;0.000001,COUNT($N$1:N877)+1,""))</f>
        <v/>
      </c>
      <c r="O878" s="291" t="str">
        <f>IF($A878="","",SUMIFS(Transactions!$H$2:$H$1001,Transactions!$J$2:$J$1001,$A878,Transactions!$A$2:$A$1001,2)*$I878)</f>
        <v/>
      </c>
      <c r="P878" s="291" t="str">
        <f t="shared" si="124"/>
        <v/>
      </c>
      <c r="Q878" s="292" t="str">
        <f t="shared" si="125"/>
        <v/>
      </c>
    </row>
    <row r="879" spans="1:17" ht="15" customHeight="1" x14ac:dyDescent="0.2">
      <c r="A879" s="243" t="str">
        <f>IFERROR(INDEX(Txn[Key],MATCH(0,INDEX(COUNTIF($A$1:A878,Txn[Key])+(Txn[Key]=""),0),0)),"")</f>
        <v/>
      </c>
      <c r="B879" s="243" t="str">
        <f t="shared" si="117"/>
        <v/>
      </c>
      <c r="C879" s="243" t="str">
        <f t="shared" si="118"/>
        <v/>
      </c>
      <c r="D879" s="243" t="str">
        <f t="shared" si="119"/>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0"/>
        <v/>
      </c>
      <c r="K879" s="287" t="str">
        <f t="shared" si="121"/>
        <v/>
      </c>
      <c r="L879" s="287" t="str">
        <f t="shared" si="122"/>
        <v/>
      </c>
      <c r="M879" s="290" t="str">
        <f t="shared" si="123"/>
        <v/>
      </c>
      <c r="N879" s="243" t="str">
        <f>IF($A879="","",IF(ABS(E879)&gt;0.000001,COUNT($N$1:N878)+1,""))</f>
        <v/>
      </c>
      <c r="O879" s="291" t="str">
        <f>IF($A879="","",SUMIFS(Transactions!$H$2:$H$1001,Transactions!$J$2:$J$1001,$A879,Transactions!$A$2:$A$1001,2)*$I879)</f>
        <v/>
      </c>
      <c r="P879" s="291" t="str">
        <f t="shared" si="124"/>
        <v/>
      </c>
      <c r="Q879" s="292" t="str">
        <f t="shared" si="125"/>
        <v/>
      </c>
    </row>
    <row r="880" spans="1:17" ht="15" customHeight="1" x14ac:dyDescent="0.2">
      <c r="A880" s="243" t="str">
        <f>IFERROR(INDEX(Txn[Key],MATCH(0,INDEX(COUNTIF($A$1:A879,Txn[Key])+(Txn[Key]=""),0),0)),"")</f>
        <v/>
      </c>
      <c r="B880" s="243" t="str">
        <f t="shared" si="117"/>
        <v/>
      </c>
      <c r="C880" s="243" t="str">
        <f t="shared" si="118"/>
        <v/>
      </c>
      <c r="D880" s="243" t="str">
        <f t="shared" si="119"/>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0"/>
        <v/>
      </c>
      <c r="K880" s="287" t="str">
        <f t="shared" si="121"/>
        <v/>
      </c>
      <c r="L880" s="287" t="str">
        <f t="shared" si="122"/>
        <v/>
      </c>
      <c r="M880" s="290" t="str">
        <f t="shared" si="123"/>
        <v/>
      </c>
      <c r="N880" s="243" t="str">
        <f>IF($A880="","",IF(ABS(E880)&gt;0.000001,COUNT($N$1:N879)+1,""))</f>
        <v/>
      </c>
      <c r="O880" s="291" t="str">
        <f>IF($A880="","",SUMIFS(Transactions!$H$2:$H$1001,Transactions!$J$2:$J$1001,$A880,Transactions!$A$2:$A$1001,2)*$I880)</f>
        <v/>
      </c>
      <c r="P880" s="291" t="str">
        <f t="shared" si="124"/>
        <v/>
      </c>
      <c r="Q880" s="292" t="str">
        <f t="shared" si="125"/>
        <v/>
      </c>
    </row>
    <row r="881" spans="1:17" ht="15" customHeight="1" x14ac:dyDescent="0.2">
      <c r="A881" s="243" t="str">
        <f>IFERROR(INDEX(Txn[Key],MATCH(0,INDEX(COUNTIF($A$1:A880,Txn[Key])+(Txn[Key]=""),0),0)),"")</f>
        <v/>
      </c>
      <c r="B881" s="243" t="str">
        <f t="shared" si="117"/>
        <v/>
      </c>
      <c r="C881" s="243" t="str">
        <f t="shared" si="118"/>
        <v/>
      </c>
      <c r="D881" s="243" t="str">
        <f t="shared" si="119"/>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0"/>
        <v/>
      </c>
      <c r="K881" s="287" t="str">
        <f t="shared" si="121"/>
        <v/>
      </c>
      <c r="L881" s="287" t="str">
        <f t="shared" si="122"/>
        <v/>
      </c>
      <c r="M881" s="290" t="str">
        <f t="shared" si="123"/>
        <v/>
      </c>
      <c r="N881" s="243" t="str">
        <f>IF($A881="","",IF(ABS(E881)&gt;0.000001,COUNT($N$1:N880)+1,""))</f>
        <v/>
      </c>
      <c r="O881" s="291" t="str">
        <f>IF($A881="","",SUMIFS(Transactions!$H$2:$H$1001,Transactions!$J$2:$J$1001,$A881,Transactions!$A$2:$A$1001,2)*$I881)</f>
        <v/>
      </c>
      <c r="P881" s="291" t="str">
        <f t="shared" si="124"/>
        <v/>
      </c>
      <c r="Q881" s="292" t="str">
        <f t="shared" si="125"/>
        <v/>
      </c>
    </row>
    <row r="882" spans="1:17" ht="15" customHeight="1" x14ac:dyDescent="0.2">
      <c r="A882" s="243" t="str">
        <f>IFERROR(INDEX(Txn[Key],MATCH(0,INDEX(COUNTIF($A$1:A881,Txn[Key])+(Txn[Key]=""),0),0)),"")</f>
        <v/>
      </c>
      <c r="B882" s="243" t="str">
        <f t="shared" si="117"/>
        <v/>
      </c>
      <c r="C882" s="243" t="str">
        <f t="shared" si="118"/>
        <v/>
      </c>
      <c r="D882" s="243" t="str">
        <f t="shared" si="119"/>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0"/>
        <v/>
      </c>
      <c r="K882" s="287" t="str">
        <f t="shared" si="121"/>
        <v/>
      </c>
      <c r="L882" s="287" t="str">
        <f t="shared" si="122"/>
        <v/>
      </c>
      <c r="M882" s="290" t="str">
        <f t="shared" si="123"/>
        <v/>
      </c>
      <c r="N882" s="243" t="str">
        <f>IF($A882="","",IF(ABS(E882)&gt;0.000001,COUNT($N$1:N881)+1,""))</f>
        <v/>
      </c>
      <c r="O882" s="291" t="str">
        <f>IF($A882="","",SUMIFS(Transactions!$H$2:$H$1001,Transactions!$J$2:$J$1001,$A882,Transactions!$A$2:$A$1001,2)*$I882)</f>
        <v/>
      </c>
      <c r="P882" s="291" t="str">
        <f t="shared" si="124"/>
        <v/>
      </c>
      <c r="Q882" s="292" t="str">
        <f t="shared" si="125"/>
        <v/>
      </c>
    </row>
    <row r="883" spans="1:17" ht="15" customHeight="1" x14ac:dyDescent="0.2">
      <c r="A883" s="243" t="str">
        <f>IFERROR(INDEX(Txn[Key],MATCH(0,INDEX(COUNTIF($A$1:A882,Txn[Key])+(Txn[Key]=""),0),0)),"")</f>
        <v/>
      </c>
      <c r="B883" s="243" t="str">
        <f t="shared" si="117"/>
        <v/>
      </c>
      <c r="C883" s="243" t="str">
        <f t="shared" si="118"/>
        <v/>
      </c>
      <c r="D883" s="243" t="str">
        <f t="shared" si="119"/>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0"/>
        <v/>
      </c>
      <c r="K883" s="287" t="str">
        <f t="shared" si="121"/>
        <v/>
      </c>
      <c r="L883" s="287" t="str">
        <f t="shared" si="122"/>
        <v/>
      </c>
      <c r="M883" s="290" t="str">
        <f t="shared" si="123"/>
        <v/>
      </c>
      <c r="N883" s="243" t="str">
        <f>IF($A883="","",IF(ABS(E883)&gt;0.000001,COUNT($N$1:N882)+1,""))</f>
        <v/>
      </c>
      <c r="O883" s="291" t="str">
        <f>IF($A883="","",SUMIFS(Transactions!$H$2:$H$1001,Transactions!$J$2:$J$1001,$A883,Transactions!$A$2:$A$1001,2)*$I883)</f>
        <v/>
      </c>
      <c r="P883" s="291" t="str">
        <f t="shared" si="124"/>
        <v/>
      </c>
      <c r="Q883" s="292" t="str">
        <f t="shared" si="125"/>
        <v/>
      </c>
    </row>
    <row r="884" spans="1:17" ht="15" customHeight="1" x14ac:dyDescent="0.2">
      <c r="A884" s="243" t="str">
        <f>IFERROR(INDEX(Txn[Key],MATCH(0,INDEX(COUNTIF($A$1:A883,Txn[Key])+(Txn[Key]=""),0),0)),"")</f>
        <v/>
      </c>
      <c r="B884" s="243" t="str">
        <f t="shared" si="117"/>
        <v/>
      </c>
      <c r="C884" s="243" t="str">
        <f t="shared" si="118"/>
        <v/>
      </c>
      <c r="D884" s="243" t="str">
        <f t="shared" si="119"/>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0"/>
        <v/>
      </c>
      <c r="K884" s="287" t="str">
        <f t="shared" si="121"/>
        <v/>
      </c>
      <c r="L884" s="287" t="str">
        <f t="shared" si="122"/>
        <v/>
      </c>
      <c r="M884" s="290" t="str">
        <f t="shared" si="123"/>
        <v/>
      </c>
      <c r="N884" s="243" t="str">
        <f>IF($A884="","",IF(ABS(E884)&gt;0.000001,COUNT($N$1:N883)+1,""))</f>
        <v/>
      </c>
      <c r="O884" s="291" t="str">
        <f>IF($A884="","",SUMIFS(Transactions!$H$2:$H$1001,Transactions!$J$2:$J$1001,$A884,Transactions!$A$2:$A$1001,2)*$I884)</f>
        <v/>
      </c>
      <c r="P884" s="291" t="str">
        <f t="shared" si="124"/>
        <v/>
      </c>
      <c r="Q884" s="292" t="str">
        <f t="shared" si="125"/>
        <v/>
      </c>
    </row>
    <row r="885" spans="1:17" ht="15" customHeight="1" x14ac:dyDescent="0.2">
      <c r="A885" s="243" t="str">
        <f>IFERROR(INDEX(Txn[Key],MATCH(0,INDEX(COUNTIF($A$1:A884,Txn[Key])+(Txn[Key]=""),0),0)),"")</f>
        <v/>
      </c>
      <c r="B885" s="243" t="str">
        <f t="shared" si="117"/>
        <v/>
      </c>
      <c r="C885" s="243" t="str">
        <f t="shared" si="118"/>
        <v/>
      </c>
      <c r="D885" s="243" t="str">
        <f t="shared" si="119"/>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0"/>
        <v/>
      </c>
      <c r="K885" s="287" t="str">
        <f t="shared" si="121"/>
        <v/>
      </c>
      <c r="L885" s="287" t="str">
        <f t="shared" si="122"/>
        <v/>
      </c>
      <c r="M885" s="290" t="str">
        <f t="shared" si="123"/>
        <v/>
      </c>
      <c r="N885" s="243" t="str">
        <f>IF($A885="","",IF(ABS(E885)&gt;0.000001,COUNT($N$1:N884)+1,""))</f>
        <v/>
      </c>
      <c r="O885" s="291" t="str">
        <f>IF($A885="","",SUMIFS(Transactions!$H$2:$H$1001,Transactions!$J$2:$J$1001,$A885,Transactions!$A$2:$A$1001,2)*$I885)</f>
        <v/>
      </c>
      <c r="P885" s="291" t="str">
        <f t="shared" si="124"/>
        <v/>
      </c>
      <c r="Q885" s="292" t="str">
        <f t="shared" si="125"/>
        <v/>
      </c>
    </row>
    <row r="886" spans="1:17" ht="15" customHeight="1" x14ac:dyDescent="0.2">
      <c r="A886" s="243" t="str">
        <f>IFERROR(INDEX(Txn[Key],MATCH(0,INDEX(COUNTIF($A$1:A885,Txn[Key])+(Txn[Key]=""),0),0)),"")</f>
        <v/>
      </c>
      <c r="B886" s="243" t="str">
        <f t="shared" si="117"/>
        <v/>
      </c>
      <c r="C886" s="243" t="str">
        <f t="shared" si="118"/>
        <v/>
      </c>
      <c r="D886" s="243" t="str">
        <f t="shared" si="119"/>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0"/>
        <v/>
      </c>
      <c r="K886" s="287" t="str">
        <f t="shared" si="121"/>
        <v/>
      </c>
      <c r="L886" s="287" t="str">
        <f t="shared" si="122"/>
        <v/>
      </c>
      <c r="M886" s="290" t="str">
        <f t="shared" si="123"/>
        <v/>
      </c>
      <c r="N886" s="243" t="str">
        <f>IF($A886="","",IF(ABS(E886)&gt;0.000001,COUNT($N$1:N885)+1,""))</f>
        <v/>
      </c>
      <c r="O886" s="291" t="str">
        <f>IF($A886="","",SUMIFS(Transactions!$H$2:$H$1001,Transactions!$J$2:$J$1001,$A886,Transactions!$A$2:$A$1001,2)*$I886)</f>
        <v/>
      </c>
      <c r="P886" s="291" t="str">
        <f t="shared" si="124"/>
        <v/>
      </c>
      <c r="Q886" s="292" t="str">
        <f t="shared" si="125"/>
        <v/>
      </c>
    </row>
    <row r="887" spans="1:17" ht="15" customHeight="1" x14ac:dyDescent="0.2">
      <c r="A887" s="243" t="str">
        <f>IFERROR(INDEX(Txn[Key],MATCH(0,INDEX(COUNTIF($A$1:A886,Txn[Key])+(Txn[Key]=""),0),0)),"")</f>
        <v/>
      </c>
      <c r="B887" s="243" t="str">
        <f t="shared" si="117"/>
        <v/>
      </c>
      <c r="C887" s="243" t="str">
        <f t="shared" si="118"/>
        <v/>
      </c>
      <c r="D887" s="243" t="str">
        <f t="shared" si="119"/>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0"/>
        <v/>
      </c>
      <c r="K887" s="287" t="str">
        <f t="shared" si="121"/>
        <v/>
      </c>
      <c r="L887" s="287" t="str">
        <f t="shared" si="122"/>
        <v/>
      </c>
      <c r="M887" s="290" t="str">
        <f t="shared" si="123"/>
        <v/>
      </c>
      <c r="N887" s="243" t="str">
        <f>IF($A887="","",IF(ABS(E887)&gt;0.000001,COUNT($N$1:N886)+1,""))</f>
        <v/>
      </c>
      <c r="O887" s="291" t="str">
        <f>IF($A887="","",SUMIFS(Transactions!$H$2:$H$1001,Transactions!$J$2:$J$1001,$A887,Transactions!$A$2:$A$1001,2)*$I887)</f>
        <v/>
      </c>
      <c r="P887" s="291" t="str">
        <f t="shared" si="124"/>
        <v/>
      </c>
      <c r="Q887" s="292" t="str">
        <f t="shared" si="125"/>
        <v/>
      </c>
    </row>
    <row r="888" spans="1:17" ht="15" customHeight="1" x14ac:dyDescent="0.2">
      <c r="A888" s="243" t="str">
        <f>IFERROR(INDEX(Txn[Key],MATCH(0,INDEX(COUNTIF($A$1:A887,Txn[Key])+(Txn[Key]=""),0),0)),"")</f>
        <v/>
      </c>
      <c r="B888" s="243" t="str">
        <f t="shared" si="117"/>
        <v/>
      </c>
      <c r="C888" s="243" t="str">
        <f t="shared" si="118"/>
        <v/>
      </c>
      <c r="D888" s="243" t="str">
        <f t="shared" si="119"/>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0"/>
        <v/>
      </c>
      <c r="K888" s="287" t="str">
        <f t="shared" si="121"/>
        <v/>
      </c>
      <c r="L888" s="287" t="str">
        <f t="shared" si="122"/>
        <v/>
      </c>
      <c r="M888" s="290" t="str">
        <f t="shared" si="123"/>
        <v/>
      </c>
      <c r="N888" s="243" t="str">
        <f>IF($A888="","",IF(ABS(E888)&gt;0.000001,COUNT($N$1:N887)+1,""))</f>
        <v/>
      </c>
      <c r="O888" s="291" t="str">
        <f>IF($A888="","",SUMIFS(Transactions!$H$2:$H$1001,Transactions!$J$2:$J$1001,$A888,Transactions!$A$2:$A$1001,2)*$I888)</f>
        <v/>
      </c>
      <c r="P888" s="291" t="str">
        <f t="shared" si="124"/>
        <v/>
      </c>
      <c r="Q888" s="292" t="str">
        <f t="shared" si="125"/>
        <v/>
      </c>
    </row>
    <row r="889" spans="1:17" ht="15" customHeight="1" x14ac:dyDescent="0.2">
      <c r="A889" s="243" t="str">
        <f>IFERROR(INDEX(Txn[Key],MATCH(0,INDEX(COUNTIF($A$1:A888,Txn[Key])+(Txn[Key]=""),0),0)),"")</f>
        <v/>
      </c>
      <c r="B889" s="243" t="str">
        <f t="shared" si="117"/>
        <v/>
      </c>
      <c r="C889" s="243" t="str">
        <f t="shared" si="118"/>
        <v/>
      </c>
      <c r="D889" s="243" t="str">
        <f t="shared" si="119"/>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0"/>
        <v/>
      </c>
      <c r="K889" s="287" t="str">
        <f t="shared" si="121"/>
        <v/>
      </c>
      <c r="L889" s="287" t="str">
        <f t="shared" si="122"/>
        <v/>
      </c>
      <c r="M889" s="290" t="str">
        <f t="shared" si="123"/>
        <v/>
      </c>
      <c r="N889" s="243" t="str">
        <f>IF($A889="","",IF(ABS(E889)&gt;0.000001,COUNT($N$1:N888)+1,""))</f>
        <v/>
      </c>
      <c r="O889" s="291" t="str">
        <f>IF($A889="","",SUMIFS(Transactions!$H$2:$H$1001,Transactions!$J$2:$J$1001,$A889,Transactions!$A$2:$A$1001,2)*$I889)</f>
        <v/>
      </c>
      <c r="P889" s="291" t="str">
        <f t="shared" si="124"/>
        <v/>
      </c>
      <c r="Q889" s="292" t="str">
        <f t="shared" si="125"/>
        <v/>
      </c>
    </row>
    <row r="890" spans="1:17" ht="15" customHeight="1" x14ac:dyDescent="0.2">
      <c r="A890" s="243" t="str">
        <f>IFERROR(INDEX(Txn[Key],MATCH(0,INDEX(COUNTIF($A$1:A889,Txn[Key])+(Txn[Key]=""),0),0)),"")</f>
        <v/>
      </c>
      <c r="B890" s="243" t="str">
        <f t="shared" si="117"/>
        <v/>
      </c>
      <c r="C890" s="243" t="str">
        <f t="shared" si="118"/>
        <v/>
      </c>
      <c r="D890" s="243" t="str">
        <f t="shared" si="119"/>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0"/>
        <v/>
      </c>
      <c r="K890" s="287" t="str">
        <f t="shared" si="121"/>
        <v/>
      </c>
      <c r="L890" s="287" t="str">
        <f t="shared" si="122"/>
        <v/>
      </c>
      <c r="M890" s="290" t="str">
        <f t="shared" si="123"/>
        <v/>
      </c>
      <c r="N890" s="243" t="str">
        <f>IF($A890="","",IF(ABS(E890)&gt;0.000001,COUNT($N$1:N889)+1,""))</f>
        <v/>
      </c>
      <c r="O890" s="291" t="str">
        <f>IF($A890="","",SUMIFS(Transactions!$H$2:$H$1001,Transactions!$J$2:$J$1001,$A890,Transactions!$A$2:$A$1001,2)*$I890)</f>
        <v/>
      </c>
      <c r="P890" s="291" t="str">
        <f t="shared" si="124"/>
        <v/>
      </c>
      <c r="Q890" s="292" t="str">
        <f t="shared" si="125"/>
        <v/>
      </c>
    </row>
    <row r="891" spans="1:17" ht="15" customHeight="1" x14ac:dyDescent="0.2">
      <c r="A891" s="243" t="str">
        <f>IFERROR(INDEX(Txn[Key],MATCH(0,INDEX(COUNTIF($A$1:A890,Txn[Key])+(Txn[Key]=""),0),0)),"")</f>
        <v/>
      </c>
      <c r="B891" s="243" t="str">
        <f t="shared" si="117"/>
        <v/>
      </c>
      <c r="C891" s="243" t="str">
        <f t="shared" si="118"/>
        <v/>
      </c>
      <c r="D891" s="243" t="str">
        <f t="shared" si="119"/>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0"/>
        <v/>
      </c>
      <c r="K891" s="287" t="str">
        <f t="shared" si="121"/>
        <v/>
      </c>
      <c r="L891" s="287" t="str">
        <f t="shared" si="122"/>
        <v/>
      </c>
      <c r="M891" s="290" t="str">
        <f t="shared" si="123"/>
        <v/>
      </c>
      <c r="N891" s="243" t="str">
        <f>IF($A891="","",IF(ABS(E891)&gt;0.000001,COUNT($N$1:N890)+1,""))</f>
        <v/>
      </c>
      <c r="O891" s="291" t="str">
        <f>IF($A891="","",SUMIFS(Transactions!$H$2:$H$1001,Transactions!$J$2:$J$1001,$A891,Transactions!$A$2:$A$1001,2)*$I891)</f>
        <v/>
      </c>
      <c r="P891" s="291" t="str">
        <f t="shared" si="124"/>
        <v/>
      </c>
      <c r="Q891" s="292" t="str">
        <f t="shared" si="125"/>
        <v/>
      </c>
    </row>
    <row r="892" spans="1:17" ht="15" customHeight="1" x14ac:dyDescent="0.2">
      <c r="A892" s="243" t="str">
        <f>IFERROR(INDEX(Txn[Key],MATCH(0,INDEX(COUNTIF($A$1:A891,Txn[Key])+(Txn[Key]=""),0),0)),"")</f>
        <v/>
      </c>
      <c r="B892" s="243" t="str">
        <f t="shared" si="117"/>
        <v/>
      </c>
      <c r="C892" s="243" t="str">
        <f t="shared" si="118"/>
        <v/>
      </c>
      <c r="D892" s="243" t="str">
        <f t="shared" si="119"/>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0"/>
        <v/>
      </c>
      <c r="K892" s="287" t="str">
        <f t="shared" si="121"/>
        <v/>
      </c>
      <c r="L892" s="287" t="str">
        <f t="shared" si="122"/>
        <v/>
      </c>
      <c r="M892" s="290" t="str">
        <f t="shared" si="123"/>
        <v/>
      </c>
      <c r="N892" s="243" t="str">
        <f>IF($A892="","",IF(ABS(E892)&gt;0.000001,COUNT($N$1:N891)+1,""))</f>
        <v/>
      </c>
      <c r="O892" s="291" t="str">
        <f>IF($A892="","",SUMIFS(Transactions!$H$2:$H$1001,Transactions!$J$2:$J$1001,$A892,Transactions!$A$2:$A$1001,2)*$I892)</f>
        <v/>
      </c>
      <c r="P892" s="291" t="str">
        <f t="shared" si="124"/>
        <v/>
      </c>
      <c r="Q892" s="292" t="str">
        <f t="shared" si="125"/>
        <v/>
      </c>
    </row>
    <row r="893" spans="1:17" ht="15" customHeight="1" x14ac:dyDescent="0.2">
      <c r="A893" s="243" t="str">
        <f>IFERROR(INDEX(Txn[Key],MATCH(0,INDEX(COUNTIF($A$1:A892,Txn[Key])+(Txn[Key]=""),0),0)),"")</f>
        <v/>
      </c>
      <c r="B893" s="243" t="str">
        <f t="shared" si="117"/>
        <v/>
      </c>
      <c r="C893" s="243" t="str">
        <f t="shared" si="118"/>
        <v/>
      </c>
      <c r="D893" s="243" t="str">
        <f t="shared" si="119"/>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0"/>
        <v/>
      </c>
      <c r="K893" s="287" t="str">
        <f t="shared" si="121"/>
        <v/>
      </c>
      <c r="L893" s="287" t="str">
        <f t="shared" si="122"/>
        <v/>
      </c>
      <c r="M893" s="290" t="str">
        <f t="shared" si="123"/>
        <v/>
      </c>
      <c r="N893" s="243" t="str">
        <f>IF($A893="","",IF(ABS(E893)&gt;0.000001,COUNT($N$1:N892)+1,""))</f>
        <v/>
      </c>
      <c r="O893" s="291" t="str">
        <f>IF($A893="","",SUMIFS(Transactions!$H$2:$H$1001,Transactions!$J$2:$J$1001,$A893,Transactions!$A$2:$A$1001,2)*$I893)</f>
        <v/>
      </c>
      <c r="P893" s="291" t="str">
        <f t="shared" si="124"/>
        <v/>
      </c>
      <c r="Q893" s="292" t="str">
        <f t="shared" si="125"/>
        <v/>
      </c>
    </row>
    <row r="894" spans="1:17" ht="15" customHeight="1" x14ac:dyDescent="0.2">
      <c r="A894" s="243" t="str">
        <f>IFERROR(INDEX(Txn[Key],MATCH(0,INDEX(COUNTIF($A$1:A893,Txn[Key])+(Txn[Key]=""),0),0)),"")</f>
        <v/>
      </c>
      <c r="B894" s="243" t="str">
        <f t="shared" si="117"/>
        <v/>
      </c>
      <c r="C894" s="243" t="str">
        <f t="shared" si="118"/>
        <v/>
      </c>
      <c r="D894" s="243" t="str">
        <f t="shared" si="119"/>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0"/>
        <v/>
      </c>
      <c r="K894" s="287" t="str">
        <f t="shared" si="121"/>
        <v/>
      </c>
      <c r="L894" s="287" t="str">
        <f t="shared" si="122"/>
        <v/>
      </c>
      <c r="M894" s="290" t="str">
        <f t="shared" si="123"/>
        <v/>
      </c>
      <c r="N894" s="243" t="str">
        <f>IF($A894="","",IF(ABS(E894)&gt;0.000001,COUNT($N$1:N893)+1,""))</f>
        <v/>
      </c>
      <c r="O894" s="291" t="str">
        <f>IF($A894="","",SUMIFS(Transactions!$H$2:$H$1001,Transactions!$J$2:$J$1001,$A894,Transactions!$A$2:$A$1001,2)*$I894)</f>
        <v/>
      </c>
      <c r="P894" s="291" t="str">
        <f t="shared" si="124"/>
        <v/>
      </c>
      <c r="Q894" s="292" t="str">
        <f t="shared" si="125"/>
        <v/>
      </c>
    </row>
    <row r="895" spans="1:17" ht="15" customHeight="1" x14ac:dyDescent="0.2">
      <c r="A895" s="243" t="str">
        <f>IFERROR(INDEX(Txn[Key],MATCH(0,INDEX(COUNTIF($A$1:A894,Txn[Key])+(Txn[Key]=""),0),0)),"")</f>
        <v/>
      </c>
      <c r="B895" s="243" t="str">
        <f t="shared" si="117"/>
        <v/>
      </c>
      <c r="C895" s="243" t="str">
        <f t="shared" si="118"/>
        <v/>
      </c>
      <c r="D895" s="243" t="str">
        <f t="shared" si="119"/>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0"/>
        <v/>
      </c>
      <c r="K895" s="287" t="str">
        <f t="shared" si="121"/>
        <v/>
      </c>
      <c r="L895" s="287" t="str">
        <f t="shared" si="122"/>
        <v/>
      </c>
      <c r="M895" s="290" t="str">
        <f t="shared" si="123"/>
        <v/>
      </c>
      <c r="N895" s="243" t="str">
        <f>IF($A895="","",IF(ABS(E895)&gt;0.000001,COUNT($N$1:N894)+1,""))</f>
        <v/>
      </c>
      <c r="O895" s="291" t="str">
        <f>IF($A895="","",SUMIFS(Transactions!$H$2:$H$1001,Transactions!$J$2:$J$1001,$A895,Transactions!$A$2:$A$1001,2)*$I895)</f>
        <v/>
      </c>
      <c r="P895" s="291" t="str">
        <f t="shared" si="124"/>
        <v/>
      </c>
      <c r="Q895" s="292" t="str">
        <f t="shared" si="125"/>
        <v/>
      </c>
    </row>
    <row r="896" spans="1:17" ht="15" customHeight="1" x14ac:dyDescent="0.2">
      <c r="A896" s="243" t="str">
        <f>IFERROR(INDEX(Txn[Key],MATCH(0,INDEX(COUNTIF($A$1:A895,Txn[Key])+(Txn[Key]=""),0),0)),"")</f>
        <v/>
      </c>
      <c r="B896" s="243" t="str">
        <f t="shared" si="117"/>
        <v/>
      </c>
      <c r="C896" s="243" t="str">
        <f t="shared" si="118"/>
        <v/>
      </c>
      <c r="D896" s="243" t="str">
        <f t="shared" si="119"/>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0"/>
        <v/>
      </c>
      <c r="K896" s="287" t="str">
        <f t="shared" si="121"/>
        <v/>
      </c>
      <c r="L896" s="287" t="str">
        <f t="shared" si="122"/>
        <v/>
      </c>
      <c r="M896" s="290" t="str">
        <f t="shared" si="123"/>
        <v/>
      </c>
      <c r="N896" s="243" t="str">
        <f>IF($A896="","",IF(ABS(E896)&gt;0.000001,COUNT($N$1:N895)+1,""))</f>
        <v/>
      </c>
      <c r="O896" s="291" t="str">
        <f>IF($A896="","",SUMIFS(Transactions!$H$2:$H$1001,Transactions!$J$2:$J$1001,$A896,Transactions!$A$2:$A$1001,2)*$I896)</f>
        <v/>
      </c>
      <c r="P896" s="291" t="str">
        <f t="shared" si="124"/>
        <v/>
      </c>
      <c r="Q896" s="292" t="str">
        <f t="shared" si="125"/>
        <v/>
      </c>
    </row>
    <row r="897" spans="1:17" ht="15" customHeight="1" x14ac:dyDescent="0.2">
      <c r="A897" s="243" t="str">
        <f>IFERROR(INDEX(Txn[Key],MATCH(0,INDEX(COUNTIF($A$1:A896,Txn[Key])+(Txn[Key]=""),0),0)),"")</f>
        <v/>
      </c>
      <c r="B897" s="243" t="str">
        <f t="shared" si="117"/>
        <v/>
      </c>
      <c r="C897" s="243" t="str">
        <f t="shared" si="118"/>
        <v/>
      </c>
      <c r="D897" s="243" t="str">
        <f t="shared" si="119"/>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0"/>
        <v/>
      </c>
      <c r="K897" s="287" t="str">
        <f t="shared" si="121"/>
        <v/>
      </c>
      <c r="L897" s="287" t="str">
        <f t="shared" si="122"/>
        <v/>
      </c>
      <c r="M897" s="290" t="str">
        <f t="shared" si="123"/>
        <v/>
      </c>
      <c r="N897" s="243" t="str">
        <f>IF($A897="","",IF(ABS(E897)&gt;0.000001,COUNT($N$1:N896)+1,""))</f>
        <v/>
      </c>
      <c r="O897" s="291" t="str">
        <f>IF($A897="","",SUMIFS(Transactions!$H$2:$H$1001,Transactions!$J$2:$J$1001,$A897,Transactions!$A$2:$A$1001,2)*$I897)</f>
        <v/>
      </c>
      <c r="P897" s="291" t="str">
        <f t="shared" si="124"/>
        <v/>
      </c>
      <c r="Q897" s="292" t="str">
        <f t="shared" si="125"/>
        <v/>
      </c>
    </row>
    <row r="898" spans="1:17" ht="15" customHeight="1" x14ac:dyDescent="0.2">
      <c r="A898" s="243" t="str">
        <f>IFERROR(INDEX(Txn[Key],MATCH(0,INDEX(COUNTIF($A$1:A897,Txn[Key])+(Txn[Key]=""),0),0)),"")</f>
        <v/>
      </c>
      <c r="B898" s="243" t="str">
        <f t="shared" ref="B898:B961" si="126">IF($A898="","",LEFT($A898,FIND(":",$A898)-1))</f>
        <v/>
      </c>
      <c r="C898" s="243" t="str">
        <f t="shared" ref="C898:C961" si="127">IF($A898="","",MID($A898,FIND(":",$A898)+1,FIND(":",$A898,FIND(":",$A898)+1)-FIND(":",$A898)-1))</f>
        <v/>
      </c>
      <c r="D898" s="243" t="str">
        <f t="shared" ref="D898:D961" si="128">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29">IF($A898="","",E898*H898)</f>
        <v/>
      </c>
      <c r="K898" s="287" t="str">
        <f t="shared" ref="K898:K961" si="130">IF($A898="","",J898+G898-F898)</f>
        <v/>
      </c>
      <c r="L898" s="287" t="str">
        <f t="shared" ref="L898:L961" si="131">IF($A898="","",K898*I898)</f>
        <v/>
      </c>
      <c r="M898" s="290" t="str">
        <f t="shared" ref="M898:M961" si="132">IF($A898="","",IFERROR(K898/F898,0))</f>
        <v/>
      </c>
      <c r="N898" s="243" t="str">
        <f>IF($A898="","",IF(ABS(E898)&gt;0.000001,COUNT($N$1:N897)+1,""))</f>
        <v/>
      </c>
      <c r="O898" s="291" t="str">
        <f>IF($A898="","",SUMIFS(Transactions!$H$2:$H$1001,Transactions!$J$2:$J$1001,$A898,Transactions!$A$2:$A$1001,2)*$I898)</f>
        <v/>
      </c>
      <c r="P898" s="291" t="str">
        <f t="shared" ref="P898:P961" si="133">IF($A898="","",$L898+$O898)</f>
        <v/>
      </c>
      <c r="Q898" s="292" t="str">
        <f t="shared" ref="Q898:Q961" si="134">IF($A898="","",IFERROR(($L898+$O898)/($F898*$I898),0))</f>
        <v/>
      </c>
    </row>
    <row r="899" spans="1:17" ht="15" customHeight="1" x14ac:dyDescent="0.2">
      <c r="A899" s="243" t="str">
        <f>IFERROR(INDEX(Txn[Key],MATCH(0,INDEX(COUNTIF($A$1:A898,Txn[Key])+(Txn[Key]=""),0),0)),"")</f>
        <v/>
      </c>
      <c r="B899" s="243" t="str">
        <f t="shared" si="126"/>
        <v/>
      </c>
      <c r="C899" s="243" t="str">
        <f t="shared" si="127"/>
        <v/>
      </c>
      <c r="D899" s="243" t="str">
        <f t="shared" si="128"/>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29"/>
        <v/>
      </c>
      <c r="K899" s="287" t="str">
        <f t="shared" si="130"/>
        <v/>
      </c>
      <c r="L899" s="287" t="str">
        <f t="shared" si="131"/>
        <v/>
      </c>
      <c r="M899" s="290" t="str">
        <f t="shared" si="132"/>
        <v/>
      </c>
      <c r="N899" s="243" t="str">
        <f>IF($A899="","",IF(ABS(E899)&gt;0.000001,COUNT($N$1:N898)+1,""))</f>
        <v/>
      </c>
      <c r="O899" s="291" t="str">
        <f>IF($A899="","",SUMIFS(Transactions!$H$2:$H$1001,Transactions!$J$2:$J$1001,$A899,Transactions!$A$2:$A$1001,2)*$I899)</f>
        <v/>
      </c>
      <c r="P899" s="291" t="str">
        <f t="shared" si="133"/>
        <v/>
      </c>
      <c r="Q899" s="292" t="str">
        <f t="shared" si="134"/>
        <v/>
      </c>
    </row>
    <row r="900" spans="1:17" ht="15" customHeight="1" x14ac:dyDescent="0.2">
      <c r="A900" s="243" t="str">
        <f>IFERROR(INDEX(Txn[Key],MATCH(0,INDEX(COUNTIF($A$1:A899,Txn[Key])+(Txn[Key]=""),0),0)),"")</f>
        <v/>
      </c>
      <c r="B900" s="243" t="str">
        <f t="shared" si="126"/>
        <v/>
      </c>
      <c r="C900" s="243" t="str">
        <f t="shared" si="127"/>
        <v/>
      </c>
      <c r="D900" s="243" t="str">
        <f t="shared" si="128"/>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29"/>
        <v/>
      </c>
      <c r="K900" s="287" t="str">
        <f t="shared" si="130"/>
        <v/>
      </c>
      <c r="L900" s="287" t="str">
        <f t="shared" si="131"/>
        <v/>
      </c>
      <c r="M900" s="290" t="str">
        <f t="shared" si="132"/>
        <v/>
      </c>
      <c r="N900" s="243" t="str">
        <f>IF($A900="","",IF(ABS(E900)&gt;0.000001,COUNT($N$1:N899)+1,""))</f>
        <v/>
      </c>
      <c r="O900" s="291" t="str">
        <f>IF($A900="","",SUMIFS(Transactions!$H$2:$H$1001,Transactions!$J$2:$J$1001,$A900,Transactions!$A$2:$A$1001,2)*$I900)</f>
        <v/>
      </c>
      <c r="P900" s="291" t="str">
        <f t="shared" si="133"/>
        <v/>
      </c>
      <c r="Q900" s="292" t="str">
        <f t="shared" si="134"/>
        <v/>
      </c>
    </row>
    <row r="901" spans="1:17" ht="15" customHeight="1" x14ac:dyDescent="0.2">
      <c r="A901" s="243" t="str">
        <f>IFERROR(INDEX(Txn[Key],MATCH(0,INDEX(COUNTIF($A$1:A900,Txn[Key])+(Txn[Key]=""),0),0)),"")</f>
        <v/>
      </c>
      <c r="B901" s="243" t="str">
        <f t="shared" si="126"/>
        <v/>
      </c>
      <c r="C901" s="243" t="str">
        <f t="shared" si="127"/>
        <v/>
      </c>
      <c r="D901" s="243" t="str">
        <f t="shared" si="128"/>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29"/>
        <v/>
      </c>
      <c r="K901" s="287" t="str">
        <f t="shared" si="130"/>
        <v/>
      </c>
      <c r="L901" s="287" t="str">
        <f t="shared" si="131"/>
        <v/>
      </c>
      <c r="M901" s="290" t="str">
        <f t="shared" si="132"/>
        <v/>
      </c>
      <c r="N901" s="243" t="str">
        <f>IF($A901="","",IF(ABS(E901)&gt;0.000001,COUNT($N$1:N900)+1,""))</f>
        <v/>
      </c>
      <c r="O901" s="291" t="str">
        <f>IF($A901="","",SUMIFS(Transactions!$H$2:$H$1001,Transactions!$J$2:$J$1001,$A901,Transactions!$A$2:$A$1001,2)*$I901)</f>
        <v/>
      </c>
      <c r="P901" s="291" t="str">
        <f t="shared" si="133"/>
        <v/>
      </c>
      <c r="Q901" s="292" t="str">
        <f t="shared" si="134"/>
        <v/>
      </c>
    </row>
    <row r="902" spans="1:17" ht="15" customHeight="1" x14ac:dyDescent="0.2">
      <c r="A902" s="243" t="str">
        <f>IFERROR(INDEX(Txn[Key],MATCH(0,INDEX(COUNTIF($A$1:A901,Txn[Key])+(Txn[Key]=""),0),0)),"")</f>
        <v/>
      </c>
      <c r="B902" s="243" t="str">
        <f t="shared" si="126"/>
        <v/>
      </c>
      <c r="C902" s="243" t="str">
        <f t="shared" si="127"/>
        <v/>
      </c>
      <c r="D902" s="243" t="str">
        <f t="shared" si="128"/>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29"/>
        <v/>
      </c>
      <c r="K902" s="287" t="str">
        <f t="shared" si="130"/>
        <v/>
      </c>
      <c r="L902" s="287" t="str">
        <f t="shared" si="131"/>
        <v/>
      </c>
      <c r="M902" s="290" t="str">
        <f t="shared" si="132"/>
        <v/>
      </c>
      <c r="N902" s="243" t="str">
        <f>IF($A902="","",IF(ABS(E902)&gt;0.000001,COUNT($N$1:N901)+1,""))</f>
        <v/>
      </c>
      <c r="O902" s="291" t="str">
        <f>IF($A902="","",SUMIFS(Transactions!$H$2:$H$1001,Transactions!$J$2:$J$1001,$A902,Transactions!$A$2:$A$1001,2)*$I902)</f>
        <v/>
      </c>
      <c r="P902" s="291" t="str">
        <f t="shared" si="133"/>
        <v/>
      </c>
      <c r="Q902" s="292" t="str">
        <f t="shared" si="134"/>
        <v/>
      </c>
    </row>
    <row r="903" spans="1:17" ht="15" customHeight="1" x14ac:dyDescent="0.2">
      <c r="A903" s="243" t="str">
        <f>IFERROR(INDEX(Txn[Key],MATCH(0,INDEX(COUNTIF($A$1:A902,Txn[Key])+(Txn[Key]=""),0),0)),"")</f>
        <v/>
      </c>
      <c r="B903" s="243" t="str">
        <f t="shared" si="126"/>
        <v/>
      </c>
      <c r="C903" s="243" t="str">
        <f t="shared" si="127"/>
        <v/>
      </c>
      <c r="D903" s="243" t="str">
        <f t="shared" si="128"/>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29"/>
        <v/>
      </c>
      <c r="K903" s="287" t="str">
        <f t="shared" si="130"/>
        <v/>
      </c>
      <c r="L903" s="287" t="str">
        <f t="shared" si="131"/>
        <v/>
      </c>
      <c r="M903" s="290" t="str">
        <f t="shared" si="132"/>
        <v/>
      </c>
      <c r="N903" s="243" t="str">
        <f>IF($A903="","",IF(ABS(E903)&gt;0.000001,COUNT($N$1:N902)+1,""))</f>
        <v/>
      </c>
      <c r="O903" s="291" t="str">
        <f>IF($A903="","",SUMIFS(Transactions!$H$2:$H$1001,Transactions!$J$2:$J$1001,$A903,Transactions!$A$2:$A$1001,2)*$I903)</f>
        <v/>
      </c>
      <c r="P903" s="291" t="str">
        <f t="shared" si="133"/>
        <v/>
      </c>
      <c r="Q903" s="292" t="str">
        <f t="shared" si="134"/>
        <v/>
      </c>
    </row>
    <row r="904" spans="1:17" ht="15" customHeight="1" x14ac:dyDescent="0.2">
      <c r="A904" s="243" t="str">
        <f>IFERROR(INDEX(Txn[Key],MATCH(0,INDEX(COUNTIF($A$1:A903,Txn[Key])+(Txn[Key]=""),0),0)),"")</f>
        <v/>
      </c>
      <c r="B904" s="243" t="str">
        <f t="shared" si="126"/>
        <v/>
      </c>
      <c r="C904" s="243" t="str">
        <f t="shared" si="127"/>
        <v/>
      </c>
      <c r="D904" s="243" t="str">
        <f t="shared" si="128"/>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29"/>
        <v/>
      </c>
      <c r="K904" s="287" t="str">
        <f t="shared" si="130"/>
        <v/>
      </c>
      <c r="L904" s="287" t="str">
        <f t="shared" si="131"/>
        <v/>
      </c>
      <c r="M904" s="290" t="str">
        <f t="shared" si="132"/>
        <v/>
      </c>
      <c r="N904" s="243" t="str">
        <f>IF($A904="","",IF(ABS(E904)&gt;0.000001,COUNT($N$1:N903)+1,""))</f>
        <v/>
      </c>
      <c r="O904" s="291" t="str">
        <f>IF($A904="","",SUMIFS(Transactions!$H$2:$H$1001,Transactions!$J$2:$J$1001,$A904,Transactions!$A$2:$A$1001,2)*$I904)</f>
        <v/>
      </c>
      <c r="P904" s="291" t="str">
        <f t="shared" si="133"/>
        <v/>
      </c>
      <c r="Q904" s="292" t="str">
        <f t="shared" si="134"/>
        <v/>
      </c>
    </row>
    <row r="905" spans="1:17" ht="15" customHeight="1" x14ac:dyDescent="0.2">
      <c r="A905" s="243" t="str">
        <f>IFERROR(INDEX(Txn[Key],MATCH(0,INDEX(COUNTIF($A$1:A904,Txn[Key])+(Txn[Key]=""),0),0)),"")</f>
        <v/>
      </c>
      <c r="B905" s="243" t="str">
        <f t="shared" si="126"/>
        <v/>
      </c>
      <c r="C905" s="243" t="str">
        <f t="shared" si="127"/>
        <v/>
      </c>
      <c r="D905" s="243" t="str">
        <f t="shared" si="128"/>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29"/>
        <v/>
      </c>
      <c r="K905" s="287" t="str">
        <f t="shared" si="130"/>
        <v/>
      </c>
      <c r="L905" s="287" t="str">
        <f t="shared" si="131"/>
        <v/>
      </c>
      <c r="M905" s="290" t="str">
        <f t="shared" si="132"/>
        <v/>
      </c>
      <c r="N905" s="243" t="str">
        <f>IF($A905="","",IF(ABS(E905)&gt;0.000001,COUNT($N$1:N904)+1,""))</f>
        <v/>
      </c>
      <c r="O905" s="291" t="str">
        <f>IF($A905="","",SUMIFS(Transactions!$H$2:$H$1001,Transactions!$J$2:$J$1001,$A905,Transactions!$A$2:$A$1001,2)*$I905)</f>
        <v/>
      </c>
      <c r="P905" s="291" t="str">
        <f t="shared" si="133"/>
        <v/>
      </c>
      <c r="Q905" s="292" t="str">
        <f t="shared" si="134"/>
        <v/>
      </c>
    </row>
    <row r="906" spans="1:17" ht="15" customHeight="1" x14ac:dyDescent="0.2">
      <c r="A906" s="243" t="str">
        <f>IFERROR(INDEX(Txn[Key],MATCH(0,INDEX(COUNTIF($A$1:A905,Txn[Key])+(Txn[Key]=""),0),0)),"")</f>
        <v/>
      </c>
      <c r="B906" s="243" t="str">
        <f t="shared" si="126"/>
        <v/>
      </c>
      <c r="C906" s="243" t="str">
        <f t="shared" si="127"/>
        <v/>
      </c>
      <c r="D906" s="243" t="str">
        <f t="shared" si="128"/>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29"/>
        <v/>
      </c>
      <c r="K906" s="287" t="str">
        <f t="shared" si="130"/>
        <v/>
      </c>
      <c r="L906" s="287" t="str">
        <f t="shared" si="131"/>
        <v/>
      </c>
      <c r="M906" s="290" t="str">
        <f t="shared" si="132"/>
        <v/>
      </c>
      <c r="N906" s="243" t="str">
        <f>IF($A906="","",IF(ABS(E906)&gt;0.000001,COUNT($N$1:N905)+1,""))</f>
        <v/>
      </c>
      <c r="O906" s="291" t="str">
        <f>IF($A906="","",SUMIFS(Transactions!$H$2:$H$1001,Transactions!$J$2:$J$1001,$A906,Transactions!$A$2:$A$1001,2)*$I906)</f>
        <v/>
      </c>
      <c r="P906" s="291" t="str">
        <f t="shared" si="133"/>
        <v/>
      </c>
      <c r="Q906" s="292" t="str">
        <f t="shared" si="134"/>
        <v/>
      </c>
    </row>
    <row r="907" spans="1:17" ht="15" customHeight="1" x14ac:dyDescent="0.2">
      <c r="A907" s="243" t="str">
        <f>IFERROR(INDEX(Txn[Key],MATCH(0,INDEX(COUNTIF($A$1:A906,Txn[Key])+(Txn[Key]=""),0),0)),"")</f>
        <v/>
      </c>
      <c r="B907" s="243" t="str">
        <f t="shared" si="126"/>
        <v/>
      </c>
      <c r="C907" s="243" t="str">
        <f t="shared" si="127"/>
        <v/>
      </c>
      <c r="D907" s="243" t="str">
        <f t="shared" si="128"/>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29"/>
        <v/>
      </c>
      <c r="K907" s="287" t="str">
        <f t="shared" si="130"/>
        <v/>
      </c>
      <c r="L907" s="287" t="str">
        <f t="shared" si="131"/>
        <v/>
      </c>
      <c r="M907" s="290" t="str">
        <f t="shared" si="132"/>
        <v/>
      </c>
      <c r="N907" s="243" t="str">
        <f>IF($A907="","",IF(ABS(E907)&gt;0.000001,COUNT($N$1:N906)+1,""))</f>
        <v/>
      </c>
      <c r="O907" s="291" t="str">
        <f>IF($A907="","",SUMIFS(Transactions!$H$2:$H$1001,Transactions!$J$2:$J$1001,$A907,Transactions!$A$2:$A$1001,2)*$I907)</f>
        <v/>
      </c>
      <c r="P907" s="291" t="str">
        <f t="shared" si="133"/>
        <v/>
      </c>
      <c r="Q907" s="292" t="str">
        <f t="shared" si="134"/>
        <v/>
      </c>
    </row>
    <row r="908" spans="1:17" ht="15" customHeight="1" x14ac:dyDescent="0.2">
      <c r="A908" s="243" t="str">
        <f>IFERROR(INDEX(Txn[Key],MATCH(0,INDEX(COUNTIF($A$1:A907,Txn[Key])+(Txn[Key]=""),0),0)),"")</f>
        <v/>
      </c>
      <c r="B908" s="243" t="str">
        <f t="shared" si="126"/>
        <v/>
      </c>
      <c r="C908" s="243" t="str">
        <f t="shared" si="127"/>
        <v/>
      </c>
      <c r="D908" s="243" t="str">
        <f t="shared" si="128"/>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29"/>
        <v/>
      </c>
      <c r="K908" s="287" t="str">
        <f t="shared" si="130"/>
        <v/>
      </c>
      <c r="L908" s="287" t="str">
        <f t="shared" si="131"/>
        <v/>
      </c>
      <c r="M908" s="290" t="str">
        <f t="shared" si="132"/>
        <v/>
      </c>
      <c r="N908" s="243" t="str">
        <f>IF($A908="","",IF(ABS(E908)&gt;0.000001,COUNT($N$1:N907)+1,""))</f>
        <v/>
      </c>
      <c r="O908" s="291" t="str">
        <f>IF($A908="","",SUMIFS(Transactions!$H$2:$H$1001,Transactions!$J$2:$J$1001,$A908,Transactions!$A$2:$A$1001,2)*$I908)</f>
        <v/>
      </c>
      <c r="P908" s="291" t="str">
        <f t="shared" si="133"/>
        <v/>
      </c>
      <c r="Q908" s="292" t="str">
        <f t="shared" si="134"/>
        <v/>
      </c>
    </row>
    <row r="909" spans="1:17" ht="15" customHeight="1" x14ac:dyDescent="0.2">
      <c r="A909" s="243" t="str">
        <f>IFERROR(INDEX(Txn[Key],MATCH(0,INDEX(COUNTIF($A$1:A908,Txn[Key])+(Txn[Key]=""),0),0)),"")</f>
        <v/>
      </c>
      <c r="B909" s="243" t="str">
        <f t="shared" si="126"/>
        <v/>
      </c>
      <c r="C909" s="243" t="str">
        <f t="shared" si="127"/>
        <v/>
      </c>
      <c r="D909" s="243" t="str">
        <f t="shared" si="128"/>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29"/>
        <v/>
      </c>
      <c r="K909" s="287" t="str">
        <f t="shared" si="130"/>
        <v/>
      </c>
      <c r="L909" s="287" t="str">
        <f t="shared" si="131"/>
        <v/>
      </c>
      <c r="M909" s="290" t="str">
        <f t="shared" si="132"/>
        <v/>
      </c>
      <c r="N909" s="243" t="str">
        <f>IF($A909="","",IF(ABS(E909)&gt;0.000001,COUNT($N$1:N908)+1,""))</f>
        <v/>
      </c>
      <c r="O909" s="291" t="str">
        <f>IF($A909="","",SUMIFS(Transactions!$H$2:$H$1001,Transactions!$J$2:$J$1001,$A909,Transactions!$A$2:$A$1001,2)*$I909)</f>
        <v/>
      </c>
      <c r="P909" s="291" t="str">
        <f t="shared" si="133"/>
        <v/>
      </c>
      <c r="Q909" s="292" t="str">
        <f t="shared" si="134"/>
        <v/>
      </c>
    </row>
    <row r="910" spans="1:17" ht="15" customHeight="1" x14ac:dyDescent="0.2">
      <c r="A910" s="243" t="str">
        <f>IFERROR(INDEX(Txn[Key],MATCH(0,INDEX(COUNTIF($A$1:A909,Txn[Key])+(Txn[Key]=""),0),0)),"")</f>
        <v/>
      </c>
      <c r="B910" s="243" t="str">
        <f t="shared" si="126"/>
        <v/>
      </c>
      <c r="C910" s="243" t="str">
        <f t="shared" si="127"/>
        <v/>
      </c>
      <c r="D910" s="243" t="str">
        <f t="shared" si="128"/>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29"/>
        <v/>
      </c>
      <c r="K910" s="287" t="str">
        <f t="shared" si="130"/>
        <v/>
      </c>
      <c r="L910" s="287" t="str">
        <f t="shared" si="131"/>
        <v/>
      </c>
      <c r="M910" s="290" t="str">
        <f t="shared" si="132"/>
        <v/>
      </c>
      <c r="N910" s="243" t="str">
        <f>IF($A910="","",IF(ABS(E910)&gt;0.000001,COUNT($N$1:N909)+1,""))</f>
        <v/>
      </c>
      <c r="O910" s="291" t="str">
        <f>IF($A910="","",SUMIFS(Transactions!$H$2:$H$1001,Transactions!$J$2:$J$1001,$A910,Transactions!$A$2:$A$1001,2)*$I910)</f>
        <v/>
      </c>
      <c r="P910" s="291" t="str">
        <f t="shared" si="133"/>
        <v/>
      </c>
      <c r="Q910" s="292" t="str">
        <f t="shared" si="134"/>
        <v/>
      </c>
    </row>
    <row r="911" spans="1:17" ht="15" customHeight="1" x14ac:dyDescent="0.2">
      <c r="A911" s="243" t="str">
        <f>IFERROR(INDEX(Txn[Key],MATCH(0,INDEX(COUNTIF($A$1:A910,Txn[Key])+(Txn[Key]=""),0),0)),"")</f>
        <v/>
      </c>
      <c r="B911" s="243" t="str">
        <f t="shared" si="126"/>
        <v/>
      </c>
      <c r="C911" s="243" t="str">
        <f t="shared" si="127"/>
        <v/>
      </c>
      <c r="D911" s="243" t="str">
        <f t="shared" si="128"/>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29"/>
        <v/>
      </c>
      <c r="K911" s="287" t="str">
        <f t="shared" si="130"/>
        <v/>
      </c>
      <c r="L911" s="287" t="str">
        <f t="shared" si="131"/>
        <v/>
      </c>
      <c r="M911" s="290" t="str">
        <f t="shared" si="132"/>
        <v/>
      </c>
      <c r="N911" s="243" t="str">
        <f>IF($A911="","",IF(ABS(E911)&gt;0.000001,COUNT($N$1:N910)+1,""))</f>
        <v/>
      </c>
      <c r="O911" s="291" t="str">
        <f>IF($A911="","",SUMIFS(Transactions!$H$2:$H$1001,Transactions!$J$2:$J$1001,$A911,Transactions!$A$2:$A$1001,2)*$I911)</f>
        <v/>
      </c>
      <c r="P911" s="291" t="str">
        <f t="shared" si="133"/>
        <v/>
      </c>
      <c r="Q911" s="292" t="str">
        <f t="shared" si="134"/>
        <v/>
      </c>
    </row>
    <row r="912" spans="1:17" ht="15" customHeight="1" x14ac:dyDescent="0.2">
      <c r="A912" s="243" t="str">
        <f>IFERROR(INDEX(Txn[Key],MATCH(0,INDEX(COUNTIF($A$1:A911,Txn[Key])+(Txn[Key]=""),0),0)),"")</f>
        <v/>
      </c>
      <c r="B912" s="243" t="str">
        <f t="shared" si="126"/>
        <v/>
      </c>
      <c r="C912" s="243" t="str">
        <f t="shared" si="127"/>
        <v/>
      </c>
      <c r="D912" s="243" t="str">
        <f t="shared" si="128"/>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29"/>
        <v/>
      </c>
      <c r="K912" s="287" t="str">
        <f t="shared" si="130"/>
        <v/>
      </c>
      <c r="L912" s="287" t="str">
        <f t="shared" si="131"/>
        <v/>
      </c>
      <c r="M912" s="290" t="str">
        <f t="shared" si="132"/>
        <v/>
      </c>
      <c r="N912" s="243" t="str">
        <f>IF($A912="","",IF(ABS(E912)&gt;0.000001,COUNT($N$1:N911)+1,""))</f>
        <v/>
      </c>
      <c r="O912" s="291" t="str">
        <f>IF($A912="","",SUMIFS(Transactions!$H$2:$H$1001,Transactions!$J$2:$J$1001,$A912,Transactions!$A$2:$A$1001,2)*$I912)</f>
        <v/>
      </c>
      <c r="P912" s="291" t="str">
        <f t="shared" si="133"/>
        <v/>
      </c>
      <c r="Q912" s="292" t="str">
        <f t="shared" si="134"/>
        <v/>
      </c>
    </row>
    <row r="913" spans="1:17" ht="15" customHeight="1" x14ac:dyDescent="0.2">
      <c r="A913" s="243" t="str">
        <f>IFERROR(INDEX(Txn[Key],MATCH(0,INDEX(COUNTIF($A$1:A912,Txn[Key])+(Txn[Key]=""),0),0)),"")</f>
        <v/>
      </c>
      <c r="B913" s="243" t="str">
        <f t="shared" si="126"/>
        <v/>
      </c>
      <c r="C913" s="243" t="str">
        <f t="shared" si="127"/>
        <v/>
      </c>
      <c r="D913" s="243" t="str">
        <f t="shared" si="128"/>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29"/>
        <v/>
      </c>
      <c r="K913" s="287" t="str">
        <f t="shared" si="130"/>
        <v/>
      </c>
      <c r="L913" s="287" t="str">
        <f t="shared" si="131"/>
        <v/>
      </c>
      <c r="M913" s="290" t="str">
        <f t="shared" si="132"/>
        <v/>
      </c>
      <c r="N913" s="243" t="str">
        <f>IF($A913="","",IF(ABS(E913)&gt;0.000001,COUNT($N$1:N912)+1,""))</f>
        <v/>
      </c>
      <c r="O913" s="291" t="str">
        <f>IF($A913="","",SUMIFS(Transactions!$H$2:$H$1001,Transactions!$J$2:$J$1001,$A913,Transactions!$A$2:$A$1001,2)*$I913)</f>
        <v/>
      </c>
      <c r="P913" s="291" t="str">
        <f t="shared" si="133"/>
        <v/>
      </c>
      <c r="Q913" s="292" t="str">
        <f t="shared" si="134"/>
        <v/>
      </c>
    </row>
    <row r="914" spans="1:17" ht="15" customHeight="1" x14ac:dyDescent="0.2">
      <c r="A914" s="243" t="str">
        <f>IFERROR(INDEX(Txn[Key],MATCH(0,INDEX(COUNTIF($A$1:A913,Txn[Key])+(Txn[Key]=""),0),0)),"")</f>
        <v/>
      </c>
      <c r="B914" s="243" t="str">
        <f t="shared" si="126"/>
        <v/>
      </c>
      <c r="C914" s="243" t="str">
        <f t="shared" si="127"/>
        <v/>
      </c>
      <c r="D914" s="243" t="str">
        <f t="shared" si="128"/>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29"/>
        <v/>
      </c>
      <c r="K914" s="287" t="str">
        <f t="shared" si="130"/>
        <v/>
      </c>
      <c r="L914" s="287" t="str">
        <f t="shared" si="131"/>
        <v/>
      </c>
      <c r="M914" s="290" t="str">
        <f t="shared" si="132"/>
        <v/>
      </c>
      <c r="N914" s="243" t="str">
        <f>IF($A914="","",IF(ABS(E914)&gt;0.000001,COUNT($N$1:N913)+1,""))</f>
        <v/>
      </c>
      <c r="O914" s="291" t="str">
        <f>IF($A914="","",SUMIFS(Transactions!$H$2:$H$1001,Transactions!$J$2:$J$1001,$A914,Transactions!$A$2:$A$1001,2)*$I914)</f>
        <v/>
      </c>
      <c r="P914" s="291" t="str">
        <f t="shared" si="133"/>
        <v/>
      </c>
      <c r="Q914" s="292" t="str">
        <f t="shared" si="134"/>
        <v/>
      </c>
    </row>
    <row r="915" spans="1:17" ht="15" customHeight="1" x14ac:dyDescent="0.2">
      <c r="A915" s="243" t="str">
        <f>IFERROR(INDEX(Txn[Key],MATCH(0,INDEX(COUNTIF($A$1:A914,Txn[Key])+(Txn[Key]=""),0),0)),"")</f>
        <v/>
      </c>
      <c r="B915" s="243" t="str">
        <f t="shared" si="126"/>
        <v/>
      </c>
      <c r="C915" s="243" t="str">
        <f t="shared" si="127"/>
        <v/>
      </c>
      <c r="D915" s="243" t="str">
        <f t="shared" si="128"/>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29"/>
        <v/>
      </c>
      <c r="K915" s="287" t="str">
        <f t="shared" si="130"/>
        <v/>
      </c>
      <c r="L915" s="287" t="str">
        <f t="shared" si="131"/>
        <v/>
      </c>
      <c r="M915" s="290" t="str">
        <f t="shared" si="132"/>
        <v/>
      </c>
      <c r="N915" s="243" t="str">
        <f>IF($A915="","",IF(ABS(E915)&gt;0.000001,COUNT($N$1:N914)+1,""))</f>
        <v/>
      </c>
      <c r="O915" s="291" t="str">
        <f>IF($A915="","",SUMIFS(Transactions!$H$2:$H$1001,Transactions!$J$2:$J$1001,$A915,Transactions!$A$2:$A$1001,2)*$I915)</f>
        <v/>
      </c>
      <c r="P915" s="291" t="str">
        <f t="shared" si="133"/>
        <v/>
      </c>
      <c r="Q915" s="292" t="str">
        <f t="shared" si="134"/>
        <v/>
      </c>
    </row>
    <row r="916" spans="1:17" ht="15" customHeight="1" x14ac:dyDescent="0.2">
      <c r="A916" s="243" t="str">
        <f>IFERROR(INDEX(Txn[Key],MATCH(0,INDEX(COUNTIF($A$1:A915,Txn[Key])+(Txn[Key]=""),0),0)),"")</f>
        <v/>
      </c>
      <c r="B916" s="243" t="str">
        <f t="shared" si="126"/>
        <v/>
      </c>
      <c r="C916" s="243" t="str">
        <f t="shared" si="127"/>
        <v/>
      </c>
      <c r="D916" s="243" t="str">
        <f t="shared" si="128"/>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29"/>
        <v/>
      </c>
      <c r="K916" s="287" t="str">
        <f t="shared" si="130"/>
        <v/>
      </c>
      <c r="L916" s="287" t="str">
        <f t="shared" si="131"/>
        <v/>
      </c>
      <c r="M916" s="290" t="str">
        <f t="shared" si="132"/>
        <v/>
      </c>
      <c r="N916" s="243" t="str">
        <f>IF($A916="","",IF(ABS(E916)&gt;0.000001,COUNT($N$1:N915)+1,""))</f>
        <v/>
      </c>
      <c r="O916" s="291" t="str">
        <f>IF($A916="","",SUMIFS(Transactions!$H$2:$H$1001,Transactions!$J$2:$J$1001,$A916,Transactions!$A$2:$A$1001,2)*$I916)</f>
        <v/>
      </c>
      <c r="P916" s="291" t="str">
        <f t="shared" si="133"/>
        <v/>
      </c>
      <c r="Q916" s="292" t="str">
        <f t="shared" si="134"/>
        <v/>
      </c>
    </row>
    <row r="917" spans="1:17" ht="15" customHeight="1" x14ac:dyDescent="0.2">
      <c r="A917" s="243" t="str">
        <f>IFERROR(INDEX(Txn[Key],MATCH(0,INDEX(COUNTIF($A$1:A916,Txn[Key])+(Txn[Key]=""),0),0)),"")</f>
        <v/>
      </c>
      <c r="B917" s="243" t="str">
        <f t="shared" si="126"/>
        <v/>
      </c>
      <c r="C917" s="243" t="str">
        <f t="shared" si="127"/>
        <v/>
      </c>
      <c r="D917" s="243" t="str">
        <f t="shared" si="128"/>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29"/>
        <v/>
      </c>
      <c r="K917" s="287" t="str">
        <f t="shared" si="130"/>
        <v/>
      </c>
      <c r="L917" s="287" t="str">
        <f t="shared" si="131"/>
        <v/>
      </c>
      <c r="M917" s="290" t="str">
        <f t="shared" si="132"/>
        <v/>
      </c>
      <c r="N917" s="243" t="str">
        <f>IF($A917="","",IF(ABS(E917)&gt;0.000001,COUNT($N$1:N916)+1,""))</f>
        <v/>
      </c>
      <c r="O917" s="291" t="str">
        <f>IF($A917="","",SUMIFS(Transactions!$H$2:$H$1001,Transactions!$J$2:$J$1001,$A917,Transactions!$A$2:$A$1001,2)*$I917)</f>
        <v/>
      </c>
      <c r="P917" s="291" t="str">
        <f t="shared" si="133"/>
        <v/>
      </c>
      <c r="Q917" s="292" t="str">
        <f t="shared" si="134"/>
        <v/>
      </c>
    </row>
    <row r="918" spans="1:17" ht="15" customHeight="1" x14ac:dyDescent="0.2">
      <c r="A918" s="243" t="str">
        <f>IFERROR(INDEX(Txn[Key],MATCH(0,INDEX(COUNTIF($A$1:A917,Txn[Key])+(Txn[Key]=""),0),0)),"")</f>
        <v/>
      </c>
      <c r="B918" s="243" t="str">
        <f t="shared" si="126"/>
        <v/>
      </c>
      <c r="C918" s="243" t="str">
        <f t="shared" si="127"/>
        <v/>
      </c>
      <c r="D918" s="243" t="str">
        <f t="shared" si="128"/>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29"/>
        <v/>
      </c>
      <c r="K918" s="287" t="str">
        <f t="shared" si="130"/>
        <v/>
      </c>
      <c r="L918" s="287" t="str">
        <f t="shared" si="131"/>
        <v/>
      </c>
      <c r="M918" s="290" t="str">
        <f t="shared" si="132"/>
        <v/>
      </c>
      <c r="N918" s="243" t="str">
        <f>IF($A918="","",IF(ABS(E918)&gt;0.000001,COUNT($N$1:N917)+1,""))</f>
        <v/>
      </c>
      <c r="O918" s="291" t="str">
        <f>IF($A918="","",SUMIFS(Transactions!$H$2:$H$1001,Transactions!$J$2:$J$1001,$A918,Transactions!$A$2:$A$1001,2)*$I918)</f>
        <v/>
      </c>
      <c r="P918" s="291" t="str">
        <f t="shared" si="133"/>
        <v/>
      </c>
      <c r="Q918" s="292" t="str">
        <f t="shared" si="134"/>
        <v/>
      </c>
    </row>
    <row r="919" spans="1:17" ht="15" customHeight="1" x14ac:dyDescent="0.2">
      <c r="A919" s="243" t="str">
        <f>IFERROR(INDEX(Txn[Key],MATCH(0,INDEX(COUNTIF($A$1:A918,Txn[Key])+(Txn[Key]=""),0),0)),"")</f>
        <v/>
      </c>
      <c r="B919" s="243" t="str">
        <f t="shared" si="126"/>
        <v/>
      </c>
      <c r="C919" s="243" t="str">
        <f t="shared" si="127"/>
        <v/>
      </c>
      <c r="D919" s="243" t="str">
        <f t="shared" si="128"/>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29"/>
        <v/>
      </c>
      <c r="K919" s="287" t="str">
        <f t="shared" si="130"/>
        <v/>
      </c>
      <c r="L919" s="287" t="str">
        <f t="shared" si="131"/>
        <v/>
      </c>
      <c r="M919" s="290" t="str">
        <f t="shared" si="132"/>
        <v/>
      </c>
      <c r="N919" s="243" t="str">
        <f>IF($A919="","",IF(ABS(E919)&gt;0.000001,COUNT($N$1:N918)+1,""))</f>
        <v/>
      </c>
      <c r="O919" s="291" t="str">
        <f>IF($A919="","",SUMIFS(Transactions!$H$2:$H$1001,Transactions!$J$2:$J$1001,$A919,Transactions!$A$2:$A$1001,2)*$I919)</f>
        <v/>
      </c>
      <c r="P919" s="291" t="str">
        <f t="shared" si="133"/>
        <v/>
      </c>
      <c r="Q919" s="292" t="str">
        <f t="shared" si="134"/>
        <v/>
      </c>
    </row>
    <row r="920" spans="1:17" ht="15" customHeight="1" x14ac:dyDescent="0.2">
      <c r="A920" s="243" t="str">
        <f>IFERROR(INDEX(Txn[Key],MATCH(0,INDEX(COUNTIF($A$1:A919,Txn[Key])+(Txn[Key]=""),0),0)),"")</f>
        <v/>
      </c>
      <c r="B920" s="243" t="str">
        <f t="shared" si="126"/>
        <v/>
      </c>
      <c r="C920" s="243" t="str">
        <f t="shared" si="127"/>
        <v/>
      </c>
      <c r="D920" s="243" t="str">
        <f t="shared" si="128"/>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29"/>
        <v/>
      </c>
      <c r="K920" s="287" t="str">
        <f t="shared" si="130"/>
        <v/>
      </c>
      <c r="L920" s="287" t="str">
        <f t="shared" si="131"/>
        <v/>
      </c>
      <c r="M920" s="290" t="str">
        <f t="shared" si="132"/>
        <v/>
      </c>
      <c r="N920" s="243" t="str">
        <f>IF($A920="","",IF(ABS(E920)&gt;0.000001,COUNT($N$1:N919)+1,""))</f>
        <v/>
      </c>
      <c r="O920" s="291" t="str">
        <f>IF($A920="","",SUMIFS(Transactions!$H$2:$H$1001,Transactions!$J$2:$J$1001,$A920,Transactions!$A$2:$A$1001,2)*$I920)</f>
        <v/>
      </c>
      <c r="P920" s="291" t="str">
        <f t="shared" si="133"/>
        <v/>
      </c>
      <c r="Q920" s="292" t="str">
        <f t="shared" si="134"/>
        <v/>
      </c>
    </row>
    <row r="921" spans="1:17" ht="15" customHeight="1" x14ac:dyDescent="0.2">
      <c r="A921" s="243" t="str">
        <f>IFERROR(INDEX(Txn[Key],MATCH(0,INDEX(COUNTIF($A$1:A920,Txn[Key])+(Txn[Key]=""),0),0)),"")</f>
        <v/>
      </c>
      <c r="B921" s="243" t="str">
        <f t="shared" si="126"/>
        <v/>
      </c>
      <c r="C921" s="243" t="str">
        <f t="shared" si="127"/>
        <v/>
      </c>
      <c r="D921" s="243" t="str">
        <f t="shared" si="128"/>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29"/>
        <v/>
      </c>
      <c r="K921" s="287" t="str">
        <f t="shared" si="130"/>
        <v/>
      </c>
      <c r="L921" s="287" t="str">
        <f t="shared" si="131"/>
        <v/>
      </c>
      <c r="M921" s="290" t="str">
        <f t="shared" si="132"/>
        <v/>
      </c>
      <c r="N921" s="243" t="str">
        <f>IF($A921="","",IF(ABS(E921)&gt;0.000001,COUNT($N$1:N920)+1,""))</f>
        <v/>
      </c>
      <c r="O921" s="291" t="str">
        <f>IF($A921="","",SUMIFS(Transactions!$H$2:$H$1001,Transactions!$J$2:$J$1001,$A921,Transactions!$A$2:$A$1001,2)*$I921)</f>
        <v/>
      </c>
      <c r="P921" s="291" t="str">
        <f t="shared" si="133"/>
        <v/>
      </c>
      <c r="Q921" s="292" t="str">
        <f t="shared" si="134"/>
        <v/>
      </c>
    </row>
    <row r="922" spans="1:17" ht="15" customHeight="1" x14ac:dyDescent="0.2">
      <c r="A922" s="243" t="str">
        <f>IFERROR(INDEX(Txn[Key],MATCH(0,INDEX(COUNTIF($A$1:A921,Txn[Key])+(Txn[Key]=""),0),0)),"")</f>
        <v/>
      </c>
      <c r="B922" s="243" t="str">
        <f t="shared" si="126"/>
        <v/>
      </c>
      <c r="C922" s="243" t="str">
        <f t="shared" si="127"/>
        <v/>
      </c>
      <c r="D922" s="243" t="str">
        <f t="shared" si="128"/>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29"/>
        <v/>
      </c>
      <c r="K922" s="287" t="str">
        <f t="shared" si="130"/>
        <v/>
      </c>
      <c r="L922" s="287" t="str">
        <f t="shared" si="131"/>
        <v/>
      </c>
      <c r="M922" s="290" t="str">
        <f t="shared" si="132"/>
        <v/>
      </c>
      <c r="N922" s="243" t="str">
        <f>IF($A922="","",IF(ABS(E922)&gt;0.000001,COUNT($N$1:N921)+1,""))</f>
        <v/>
      </c>
      <c r="O922" s="291" t="str">
        <f>IF($A922="","",SUMIFS(Transactions!$H$2:$H$1001,Transactions!$J$2:$J$1001,$A922,Transactions!$A$2:$A$1001,2)*$I922)</f>
        <v/>
      </c>
      <c r="P922" s="291" t="str">
        <f t="shared" si="133"/>
        <v/>
      </c>
      <c r="Q922" s="292" t="str">
        <f t="shared" si="134"/>
        <v/>
      </c>
    </row>
    <row r="923" spans="1:17" ht="15" customHeight="1" x14ac:dyDescent="0.2">
      <c r="A923" s="243" t="str">
        <f>IFERROR(INDEX(Txn[Key],MATCH(0,INDEX(COUNTIF($A$1:A922,Txn[Key])+(Txn[Key]=""),0),0)),"")</f>
        <v/>
      </c>
      <c r="B923" s="243" t="str">
        <f t="shared" si="126"/>
        <v/>
      </c>
      <c r="C923" s="243" t="str">
        <f t="shared" si="127"/>
        <v/>
      </c>
      <c r="D923" s="243" t="str">
        <f t="shared" si="128"/>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29"/>
        <v/>
      </c>
      <c r="K923" s="287" t="str">
        <f t="shared" si="130"/>
        <v/>
      </c>
      <c r="L923" s="287" t="str">
        <f t="shared" si="131"/>
        <v/>
      </c>
      <c r="M923" s="290" t="str">
        <f t="shared" si="132"/>
        <v/>
      </c>
      <c r="N923" s="243" t="str">
        <f>IF($A923="","",IF(ABS(E923)&gt;0.000001,COUNT($N$1:N922)+1,""))</f>
        <v/>
      </c>
      <c r="O923" s="291" t="str">
        <f>IF($A923="","",SUMIFS(Transactions!$H$2:$H$1001,Transactions!$J$2:$J$1001,$A923,Transactions!$A$2:$A$1001,2)*$I923)</f>
        <v/>
      </c>
      <c r="P923" s="291" t="str">
        <f t="shared" si="133"/>
        <v/>
      </c>
      <c r="Q923" s="292" t="str">
        <f t="shared" si="134"/>
        <v/>
      </c>
    </row>
    <row r="924" spans="1:17" ht="15" customHeight="1" x14ac:dyDescent="0.2">
      <c r="A924" s="243" t="str">
        <f>IFERROR(INDEX(Txn[Key],MATCH(0,INDEX(COUNTIF($A$1:A923,Txn[Key])+(Txn[Key]=""),0),0)),"")</f>
        <v/>
      </c>
      <c r="B924" s="243" t="str">
        <f t="shared" si="126"/>
        <v/>
      </c>
      <c r="C924" s="243" t="str">
        <f t="shared" si="127"/>
        <v/>
      </c>
      <c r="D924" s="243" t="str">
        <f t="shared" si="128"/>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29"/>
        <v/>
      </c>
      <c r="K924" s="287" t="str">
        <f t="shared" si="130"/>
        <v/>
      </c>
      <c r="L924" s="287" t="str">
        <f t="shared" si="131"/>
        <v/>
      </c>
      <c r="M924" s="290" t="str">
        <f t="shared" si="132"/>
        <v/>
      </c>
      <c r="N924" s="243" t="str">
        <f>IF($A924="","",IF(ABS(E924)&gt;0.000001,COUNT($N$1:N923)+1,""))</f>
        <v/>
      </c>
      <c r="O924" s="291" t="str">
        <f>IF($A924="","",SUMIFS(Transactions!$H$2:$H$1001,Transactions!$J$2:$J$1001,$A924,Transactions!$A$2:$A$1001,2)*$I924)</f>
        <v/>
      </c>
      <c r="P924" s="291" t="str">
        <f t="shared" si="133"/>
        <v/>
      </c>
      <c r="Q924" s="292" t="str">
        <f t="shared" si="134"/>
        <v/>
      </c>
    </row>
    <row r="925" spans="1:17" ht="15" customHeight="1" x14ac:dyDescent="0.2">
      <c r="A925" s="243" t="str">
        <f>IFERROR(INDEX(Txn[Key],MATCH(0,INDEX(COUNTIF($A$1:A924,Txn[Key])+(Txn[Key]=""),0),0)),"")</f>
        <v/>
      </c>
      <c r="B925" s="243" t="str">
        <f t="shared" si="126"/>
        <v/>
      </c>
      <c r="C925" s="243" t="str">
        <f t="shared" si="127"/>
        <v/>
      </c>
      <c r="D925" s="243" t="str">
        <f t="shared" si="128"/>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29"/>
        <v/>
      </c>
      <c r="K925" s="287" t="str">
        <f t="shared" si="130"/>
        <v/>
      </c>
      <c r="L925" s="287" t="str">
        <f t="shared" si="131"/>
        <v/>
      </c>
      <c r="M925" s="290" t="str">
        <f t="shared" si="132"/>
        <v/>
      </c>
      <c r="N925" s="243" t="str">
        <f>IF($A925="","",IF(ABS(E925)&gt;0.000001,COUNT($N$1:N924)+1,""))</f>
        <v/>
      </c>
      <c r="O925" s="291" t="str">
        <f>IF($A925="","",SUMIFS(Transactions!$H$2:$H$1001,Transactions!$J$2:$J$1001,$A925,Transactions!$A$2:$A$1001,2)*$I925)</f>
        <v/>
      </c>
      <c r="P925" s="291" t="str">
        <f t="shared" si="133"/>
        <v/>
      </c>
      <c r="Q925" s="292" t="str">
        <f t="shared" si="134"/>
        <v/>
      </c>
    </row>
    <row r="926" spans="1:17" ht="15" customHeight="1" x14ac:dyDescent="0.2">
      <c r="A926" s="243" t="str">
        <f>IFERROR(INDEX(Txn[Key],MATCH(0,INDEX(COUNTIF($A$1:A925,Txn[Key])+(Txn[Key]=""),0),0)),"")</f>
        <v/>
      </c>
      <c r="B926" s="243" t="str">
        <f t="shared" si="126"/>
        <v/>
      </c>
      <c r="C926" s="243" t="str">
        <f t="shared" si="127"/>
        <v/>
      </c>
      <c r="D926" s="243" t="str">
        <f t="shared" si="128"/>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29"/>
        <v/>
      </c>
      <c r="K926" s="287" t="str">
        <f t="shared" si="130"/>
        <v/>
      </c>
      <c r="L926" s="287" t="str">
        <f t="shared" si="131"/>
        <v/>
      </c>
      <c r="M926" s="290" t="str">
        <f t="shared" si="132"/>
        <v/>
      </c>
      <c r="N926" s="243" t="str">
        <f>IF($A926="","",IF(ABS(E926)&gt;0.000001,COUNT($N$1:N925)+1,""))</f>
        <v/>
      </c>
      <c r="O926" s="291" t="str">
        <f>IF($A926="","",SUMIFS(Transactions!$H$2:$H$1001,Transactions!$J$2:$J$1001,$A926,Transactions!$A$2:$A$1001,2)*$I926)</f>
        <v/>
      </c>
      <c r="P926" s="291" t="str">
        <f t="shared" si="133"/>
        <v/>
      </c>
      <c r="Q926" s="292" t="str">
        <f t="shared" si="134"/>
        <v/>
      </c>
    </row>
    <row r="927" spans="1:17" ht="15" customHeight="1" x14ac:dyDescent="0.2">
      <c r="A927" s="243" t="str">
        <f>IFERROR(INDEX(Txn[Key],MATCH(0,INDEX(COUNTIF($A$1:A926,Txn[Key])+(Txn[Key]=""),0),0)),"")</f>
        <v/>
      </c>
      <c r="B927" s="243" t="str">
        <f t="shared" si="126"/>
        <v/>
      </c>
      <c r="C927" s="243" t="str">
        <f t="shared" si="127"/>
        <v/>
      </c>
      <c r="D927" s="243" t="str">
        <f t="shared" si="128"/>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29"/>
        <v/>
      </c>
      <c r="K927" s="287" t="str">
        <f t="shared" si="130"/>
        <v/>
      </c>
      <c r="L927" s="287" t="str">
        <f t="shared" si="131"/>
        <v/>
      </c>
      <c r="M927" s="290" t="str">
        <f t="shared" si="132"/>
        <v/>
      </c>
      <c r="N927" s="243" t="str">
        <f>IF($A927="","",IF(ABS(E927)&gt;0.000001,COUNT($N$1:N926)+1,""))</f>
        <v/>
      </c>
      <c r="O927" s="291" t="str">
        <f>IF($A927="","",SUMIFS(Transactions!$H$2:$H$1001,Transactions!$J$2:$J$1001,$A927,Transactions!$A$2:$A$1001,2)*$I927)</f>
        <v/>
      </c>
      <c r="P927" s="291" t="str">
        <f t="shared" si="133"/>
        <v/>
      </c>
      <c r="Q927" s="292" t="str">
        <f t="shared" si="134"/>
        <v/>
      </c>
    </row>
    <row r="928" spans="1:17" ht="15" customHeight="1" x14ac:dyDescent="0.2">
      <c r="A928" s="243" t="str">
        <f>IFERROR(INDEX(Txn[Key],MATCH(0,INDEX(COUNTIF($A$1:A927,Txn[Key])+(Txn[Key]=""),0),0)),"")</f>
        <v/>
      </c>
      <c r="B928" s="243" t="str">
        <f t="shared" si="126"/>
        <v/>
      </c>
      <c r="C928" s="243" t="str">
        <f t="shared" si="127"/>
        <v/>
      </c>
      <c r="D928" s="243" t="str">
        <f t="shared" si="128"/>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29"/>
        <v/>
      </c>
      <c r="K928" s="287" t="str">
        <f t="shared" si="130"/>
        <v/>
      </c>
      <c r="L928" s="287" t="str">
        <f t="shared" si="131"/>
        <v/>
      </c>
      <c r="M928" s="290" t="str">
        <f t="shared" si="132"/>
        <v/>
      </c>
      <c r="N928" s="243" t="str">
        <f>IF($A928="","",IF(ABS(E928)&gt;0.000001,COUNT($N$1:N927)+1,""))</f>
        <v/>
      </c>
      <c r="O928" s="291" t="str">
        <f>IF($A928="","",SUMIFS(Transactions!$H$2:$H$1001,Transactions!$J$2:$J$1001,$A928,Transactions!$A$2:$A$1001,2)*$I928)</f>
        <v/>
      </c>
      <c r="P928" s="291" t="str">
        <f t="shared" si="133"/>
        <v/>
      </c>
      <c r="Q928" s="292" t="str">
        <f t="shared" si="134"/>
        <v/>
      </c>
    </row>
    <row r="929" spans="1:17" ht="15" customHeight="1" x14ac:dyDescent="0.2">
      <c r="A929" s="243" t="str">
        <f>IFERROR(INDEX(Txn[Key],MATCH(0,INDEX(COUNTIF($A$1:A928,Txn[Key])+(Txn[Key]=""),0),0)),"")</f>
        <v/>
      </c>
      <c r="B929" s="243" t="str">
        <f t="shared" si="126"/>
        <v/>
      </c>
      <c r="C929" s="243" t="str">
        <f t="shared" si="127"/>
        <v/>
      </c>
      <c r="D929" s="243" t="str">
        <f t="shared" si="128"/>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29"/>
        <v/>
      </c>
      <c r="K929" s="287" t="str">
        <f t="shared" si="130"/>
        <v/>
      </c>
      <c r="L929" s="287" t="str">
        <f t="shared" si="131"/>
        <v/>
      </c>
      <c r="M929" s="290" t="str">
        <f t="shared" si="132"/>
        <v/>
      </c>
      <c r="N929" s="243" t="str">
        <f>IF($A929="","",IF(ABS(E929)&gt;0.000001,COUNT($N$1:N928)+1,""))</f>
        <v/>
      </c>
      <c r="O929" s="291" t="str">
        <f>IF($A929="","",SUMIFS(Transactions!$H$2:$H$1001,Transactions!$J$2:$J$1001,$A929,Transactions!$A$2:$A$1001,2)*$I929)</f>
        <v/>
      </c>
      <c r="P929" s="291" t="str">
        <f t="shared" si="133"/>
        <v/>
      </c>
      <c r="Q929" s="292" t="str">
        <f t="shared" si="134"/>
        <v/>
      </c>
    </row>
    <row r="930" spans="1:17" ht="15" customHeight="1" x14ac:dyDescent="0.2">
      <c r="A930" s="243" t="str">
        <f>IFERROR(INDEX(Txn[Key],MATCH(0,INDEX(COUNTIF($A$1:A929,Txn[Key])+(Txn[Key]=""),0),0)),"")</f>
        <v/>
      </c>
      <c r="B930" s="243" t="str">
        <f t="shared" si="126"/>
        <v/>
      </c>
      <c r="C930" s="243" t="str">
        <f t="shared" si="127"/>
        <v/>
      </c>
      <c r="D930" s="243" t="str">
        <f t="shared" si="128"/>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29"/>
        <v/>
      </c>
      <c r="K930" s="287" t="str">
        <f t="shared" si="130"/>
        <v/>
      </c>
      <c r="L930" s="287" t="str">
        <f t="shared" si="131"/>
        <v/>
      </c>
      <c r="M930" s="290" t="str">
        <f t="shared" si="132"/>
        <v/>
      </c>
      <c r="N930" s="243" t="str">
        <f>IF($A930="","",IF(ABS(E930)&gt;0.000001,COUNT($N$1:N929)+1,""))</f>
        <v/>
      </c>
      <c r="O930" s="291" t="str">
        <f>IF($A930="","",SUMIFS(Transactions!$H$2:$H$1001,Transactions!$J$2:$J$1001,$A930,Transactions!$A$2:$A$1001,2)*$I930)</f>
        <v/>
      </c>
      <c r="P930" s="291" t="str">
        <f t="shared" si="133"/>
        <v/>
      </c>
      <c r="Q930" s="292" t="str">
        <f t="shared" si="134"/>
        <v/>
      </c>
    </row>
    <row r="931" spans="1:17" ht="15" customHeight="1" x14ac:dyDescent="0.2">
      <c r="A931" s="243" t="str">
        <f>IFERROR(INDEX(Txn[Key],MATCH(0,INDEX(COUNTIF($A$1:A930,Txn[Key])+(Txn[Key]=""),0),0)),"")</f>
        <v/>
      </c>
      <c r="B931" s="243" t="str">
        <f t="shared" si="126"/>
        <v/>
      </c>
      <c r="C931" s="243" t="str">
        <f t="shared" si="127"/>
        <v/>
      </c>
      <c r="D931" s="243" t="str">
        <f t="shared" si="128"/>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29"/>
        <v/>
      </c>
      <c r="K931" s="287" t="str">
        <f t="shared" si="130"/>
        <v/>
      </c>
      <c r="L931" s="287" t="str">
        <f t="shared" si="131"/>
        <v/>
      </c>
      <c r="M931" s="290" t="str">
        <f t="shared" si="132"/>
        <v/>
      </c>
      <c r="N931" s="243" t="str">
        <f>IF($A931="","",IF(ABS(E931)&gt;0.000001,COUNT($N$1:N930)+1,""))</f>
        <v/>
      </c>
      <c r="O931" s="291" t="str">
        <f>IF($A931="","",SUMIFS(Transactions!$H$2:$H$1001,Transactions!$J$2:$J$1001,$A931,Transactions!$A$2:$A$1001,2)*$I931)</f>
        <v/>
      </c>
      <c r="P931" s="291" t="str">
        <f t="shared" si="133"/>
        <v/>
      </c>
      <c r="Q931" s="292" t="str">
        <f t="shared" si="134"/>
        <v/>
      </c>
    </row>
    <row r="932" spans="1:17" ht="15" customHeight="1" x14ac:dyDescent="0.2">
      <c r="A932" s="243" t="str">
        <f>IFERROR(INDEX(Txn[Key],MATCH(0,INDEX(COUNTIF($A$1:A931,Txn[Key])+(Txn[Key]=""),0),0)),"")</f>
        <v/>
      </c>
      <c r="B932" s="243" t="str">
        <f t="shared" si="126"/>
        <v/>
      </c>
      <c r="C932" s="243" t="str">
        <f t="shared" si="127"/>
        <v/>
      </c>
      <c r="D932" s="243" t="str">
        <f t="shared" si="128"/>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29"/>
        <v/>
      </c>
      <c r="K932" s="287" t="str">
        <f t="shared" si="130"/>
        <v/>
      </c>
      <c r="L932" s="287" t="str">
        <f t="shared" si="131"/>
        <v/>
      </c>
      <c r="M932" s="290" t="str">
        <f t="shared" si="132"/>
        <v/>
      </c>
      <c r="N932" s="243" t="str">
        <f>IF($A932="","",IF(ABS(E932)&gt;0.000001,COUNT($N$1:N931)+1,""))</f>
        <v/>
      </c>
      <c r="O932" s="291" t="str">
        <f>IF($A932="","",SUMIFS(Transactions!$H$2:$H$1001,Transactions!$J$2:$J$1001,$A932,Transactions!$A$2:$A$1001,2)*$I932)</f>
        <v/>
      </c>
      <c r="P932" s="291" t="str">
        <f t="shared" si="133"/>
        <v/>
      </c>
      <c r="Q932" s="292" t="str">
        <f t="shared" si="134"/>
        <v/>
      </c>
    </row>
    <row r="933" spans="1:17" ht="15" customHeight="1" x14ac:dyDescent="0.2">
      <c r="A933" s="243" t="str">
        <f>IFERROR(INDEX(Txn[Key],MATCH(0,INDEX(COUNTIF($A$1:A932,Txn[Key])+(Txn[Key]=""),0),0)),"")</f>
        <v/>
      </c>
      <c r="B933" s="243" t="str">
        <f t="shared" si="126"/>
        <v/>
      </c>
      <c r="C933" s="243" t="str">
        <f t="shared" si="127"/>
        <v/>
      </c>
      <c r="D933" s="243" t="str">
        <f t="shared" si="128"/>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29"/>
        <v/>
      </c>
      <c r="K933" s="287" t="str">
        <f t="shared" si="130"/>
        <v/>
      </c>
      <c r="L933" s="287" t="str">
        <f t="shared" si="131"/>
        <v/>
      </c>
      <c r="M933" s="290" t="str">
        <f t="shared" si="132"/>
        <v/>
      </c>
      <c r="N933" s="243" t="str">
        <f>IF($A933="","",IF(ABS(E933)&gt;0.000001,COUNT($N$1:N932)+1,""))</f>
        <v/>
      </c>
      <c r="O933" s="291" t="str">
        <f>IF($A933="","",SUMIFS(Transactions!$H$2:$H$1001,Transactions!$J$2:$J$1001,$A933,Transactions!$A$2:$A$1001,2)*$I933)</f>
        <v/>
      </c>
      <c r="P933" s="291" t="str">
        <f t="shared" si="133"/>
        <v/>
      </c>
      <c r="Q933" s="292" t="str">
        <f t="shared" si="134"/>
        <v/>
      </c>
    </row>
    <row r="934" spans="1:17" ht="15" customHeight="1" x14ac:dyDescent="0.2">
      <c r="A934" s="243" t="str">
        <f>IFERROR(INDEX(Txn[Key],MATCH(0,INDEX(COUNTIF($A$1:A933,Txn[Key])+(Txn[Key]=""),0),0)),"")</f>
        <v/>
      </c>
      <c r="B934" s="243" t="str">
        <f t="shared" si="126"/>
        <v/>
      </c>
      <c r="C934" s="243" t="str">
        <f t="shared" si="127"/>
        <v/>
      </c>
      <c r="D934" s="243" t="str">
        <f t="shared" si="128"/>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29"/>
        <v/>
      </c>
      <c r="K934" s="287" t="str">
        <f t="shared" si="130"/>
        <v/>
      </c>
      <c r="L934" s="287" t="str">
        <f t="shared" si="131"/>
        <v/>
      </c>
      <c r="M934" s="290" t="str">
        <f t="shared" si="132"/>
        <v/>
      </c>
      <c r="N934" s="243" t="str">
        <f>IF($A934="","",IF(ABS(E934)&gt;0.000001,COUNT($N$1:N933)+1,""))</f>
        <v/>
      </c>
      <c r="O934" s="291" t="str">
        <f>IF($A934="","",SUMIFS(Transactions!$H$2:$H$1001,Transactions!$J$2:$J$1001,$A934,Transactions!$A$2:$A$1001,2)*$I934)</f>
        <v/>
      </c>
      <c r="P934" s="291" t="str">
        <f t="shared" si="133"/>
        <v/>
      </c>
      <c r="Q934" s="292" t="str">
        <f t="shared" si="134"/>
        <v/>
      </c>
    </row>
    <row r="935" spans="1:17" ht="15" customHeight="1" x14ac:dyDescent="0.2">
      <c r="A935" s="243" t="str">
        <f>IFERROR(INDEX(Txn[Key],MATCH(0,INDEX(COUNTIF($A$1:A934,Txn[Key])+(Txn[Key]=""),0),0)),"")</f>
        <v/>
      </c>
      <c r="B935" s="243" t="str">
        <f t="shared" si="126"/>
        <v/>
      </c>
      <c r="C935" s="243" t="str">
        <f t="shared" si="127"/>
        <v/>
      </c>
      <c r="D935" s="243" t="str">
        <f t="shared" si="128"/>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29"/>
        <v/>
      </c>
      <c r="K935" s="287" t="str">
        <f t="shared" si="130"/>
        <v/>
      </c>
      <c r="L935" s="287" t="str">
        <f t="shared" si="131"/>
        <v/>
      </c>
      <c r="M935" s="290" t="str">
        <f t="shared" si="132"/>
        <v/>
      </c>
      <c r="N935" s="243" t="str">
        <f>IF($A935="","",IF(ABS(E935)&gt;0.000001,COUNT($N$1:N934)+1,""))</f>
        <v/>
      </c>
      <c r="O935" s="291" t="str">
        <f>IF($A935="","",SUMIFS(Transactions!$H$2:$H$1001,Transactions!$J$2:$J$1001,$A935,Transactions!$A$2:$A$1001,2)*$I935)</f>
        <v/>
      </c>
      <c r="P935" s="291" t="str">
        <f t="shared" si="133"/>
        <v/>
      </c>
      <c r="Q935" s="292" t="str">
        <f t="shared" si="134"/>
        <v/>
      </c>
    </row>
    <row r="936" spans="1:17" ht="15" customHeight="1" x14ac:dyDescent="0.2">
      <c r="A936" s="243" t="str">
        <f>IFERROR(INDEX(Txn[Key],MATCH(0,INDEX(COUNTIF($A$1:A935,Txn[Key])+(Txn[Key]=""),0),0)),"")</f>
        <v/>
      </c>
      <c r="B936" s="243" t="str">
        <f t="shared" si="126"/>
        <v/>
      </c>
      <c r="C936" s="243" t="str">
        <f t="shared" si="127"/>
        <v/>
      </c>
      <c r="D936" s="243" t="str">
        <f t="shared" si="128"/>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29"/>
        <v/>
      </c>
      <c r="K936" s="287" t="str">
        <f t="shared" si="130"/>
        <v/>
      </c>
      <c r="L936" s="287" t="str">
        <f t="shared" si="131"/>
        <v/>
      </c>
      <c r="M936" s="290" t="str">
        <f t="shared" si="132"/>
        <v/>
      </c>
      <c r="N936" s="243" t="str">
        <f>IF($A936="","",IF(ABS(E936)&gt;0.000001,COUNT($N$1:N935)+1,""))</f>
        <v/>
      </c>
      <c r="O936" s="291" t="str">
        <f>IF($A936="","",SUMIFS(Transactions!$H$2:$H$1001,Transactions!$J$2:$J$1001,$A936,Transactions!$A$2:$A$1001,2)*$I936)</f>
        <v/>
      </c>
      <c r="P936" s="291" t="str">
        <f t="shared" si="133"/>
        <v/>
      </c>
      <c r="Q936" s="292" t="str">
        <f t="shared" si="134"/>
        <v/>
      </c>
    </row>
    <row r="937" spans="1:17" ht="15" customHeight="1" x14ac:dyDescent="0.2">
      <c r="A937" s="243" t="str">
        <f>IFERROR(INDEX(Txn[Key],MATCH(0,INDEX(COUNTIF($A$1:A936,Txn[Key])+(Txn[Key]=""),0),0)),"")</f>
        <v/>
      </c>
      <c r="B937" s="243" t="str">
        <f t="shared" si="126"/>
        <v/>
      </c>
      <c r="C937" s="243" t="str">
        <f t="shared" si="127"/>
        <v/>
      </c>
      <c r="D937" s="243" t="str">
        <f t="shared" si="128"/>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29"/>
        <v/>
      </c>
      <c r="K937" s="287" t="str">
        <f t="shared" si="130"/>
        <v/>
      </c>
      <c r="L937" s="287" t="str">
        <f t="shared" si="131"/>
        <v/>
      </c>
      <c r="M937" s="290" t="str">
        <f t="shared" si="132"/>
        <v/>
      </c>
      <c r="N937" s="243" t="str">
        <f>IF($A937="","",IF(ABS(E937)&gt;0.000001,COUNT($N$1:N936)+1,""))</f>
        <v/>
      </c>
      <c r="O937" s="291" t="str">
        <f>IF($A937="","",SUMIFS(Transactions!$H$2:$H$1001,Transactions!$J$2:$J$1001,$A937,Transactions!$A$2:$A$1001,2)*$I937)</f>
        <v/>
      </c>
      <c r="P937" s="291" t="str">
        <f t="shared" si="133"/>
        <v/>
      </c>
      <c r="Q937" s="292" t="str">
        <f t="shared" si="134"/>
        <v/>
      </c>
    </row>
    <row r="938" spans="1:17" ht="15" customHeight="1" x14ac:dyDescent="0.2">
      <c r="A938" s="243" t="str">
        <f>IFERROR(INDEX(Txn[Key],MATCH(0,INDEX(COUNTIF($A$1:A937,Txn[Key])+(Txn[Key]=""),0),0)),"")</f>
        <v/>
      </c>
      <c r="B938" s="243" t="str">
        <f t="shared" si="126"/>
        <v/>
      </c>
      <c r="C938" s="243" t="str">
        <f t="shared" si="127"/>
        <v/>
      </c>
      <c r="D938" s="243" t="str">
        <f t="shared" si="128"/>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29"/>
        <v/>
      </c>
      <c r="K938" s="287" t="str">
        <f t="shared" si="130"/>
        <v/>
      </c>
      <c r="L938" s="287" t="str">
        <f t="shared" si="131"/>
        <v/>
      </c>
      <c r="M938" s="290" t="str">
        <f t="shared" si="132"/>
        <v/>
      </c>
      <c r="N938" s="243" t="str">
        <f>IF($A938="","",IF(ABS(E938)&gt;0.000001,COUNT($N$1:N937)+1,""))</f>
        <v/>
      </c>
      <c r="O938" s="291" t="str">
        <f>IF($A938="","",SUMIFS(Transactions!$H$2:$H$1001,Transactions!$J$2:$J$1001,$A938,Transactions!$A$2:$A$1001,2)*$I938)</f>
        <v/>
      </c>
      <c r="P938" s="291" t="str">
        <f t="shared" si="133"/>
        <v/>
      </c>
      <c r="Q938" s="292" t="str">
        <f t="shared" si="134"/>
        <v/>
      </c>
    </row>
    <row r="939" spans="1:17" ht="15" customHeight="1" x14ac:dyDescent="0.2">
      <c r="A939" s="243" t="str">
        <f>IFERROR(INDEX(Txn[Key],MATCH(0,INDEX(COUNTIF($A$1:A938,Txn[Key])+(Txn[Key]=""),0),0)),"")</f>
        <v/>
      </c>
      <c r="B939" s="243" t="str">
        <f t="shared" si="126"/>
        <v/>
      </c>
      <c r="C939" s="243" t="str">
        <f t="shared" si="127"/>
        <v/>
      </c>
      <c r="D939" s="243" t="str">
        <f t="shared" si="128"/>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29"/>
        <v/>
      </c>
      <c r="K939" s="287" t="str">
        <f t="shared" si="130"/>
        <v/>
      </c>
      <c r="L939" s="287" t="str">
        <f t="shared" si="131"/>
        <v/>
      </c>
      <c r="M939" s="290" t="str">
        <f t="shared" si="132"/>
        <v/>
      </c>
      <c r="N939" s="243" t="str">
        <f>IF($A939="","",IF(ABS(E939)&gt;0.000001,COUNT($N$1:N938)+1,""))</f>
        <v/>
      </c>
      <c r="O939" s="291" t="str">
        <f>IF($A939="","",SUMIFS(Transactions!$H$2:$H$1001,Transactions!$J$2:$J$1001,$A939,Transactions!$A$2:$A$1001,2)*$I939)</f>
        <v/>
      </c>
      <c r="P939" s="291" t="str">
        <f t="shared" si="133"/>
        <v/>
      </c>
      <c r="Q939" s="292" t="str">
        <f t="shared" si="134"/>
        <v/>
      </c>
    </row>
    <row r="940" spans="1:17" ht="15" customHeight="1" x14ac:dyDescent="0.2">
      <c r="A940" s="243" t="str">
        <f>IFERROR(INDEX(Txn[Key],MATCH(0,INDEX(COUNTIF($A$1:A939,Txn[Key])+(Txn[Key]=""),0),0)),"")</f>
        <v/>
      </c>
      <c r="B940" s="243" t="str">
        <f t="shared" si="126"/>
        <v/>
      </c>
      <c r="C940" s="243" t="str">
        <f t="shared" si="127"/>
        <v/>
      </c>
      <c r="D940" s="243" t="str">
        <f t="shared" si="128"/>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29"/>
        <v/>
      </c>
      <c r="K940" s="287" t="str">
        <f t="shared" si="130"/>
        <v/>
      </c>
      <c r="L940" s="287" t="str">
        <f t="shared" si="131"/>
        <v/>
      </c>
      <c r="M940" s="290" t="str">
        <f t="shared" si="132"/>
        <v/>
      </c>
      <c r="N940" s="243" t="str">
        <f>IF($A940="","",IF(ABS(E940)&gt;0.000001,COUNT($N$1:N939)+1,""))</f>
        <v/>
      </c>
      <c r="O940" s="291" t="str">
        <f>IF($A940="","",SUMIFS(Transactions!$H$2:$H$1001,Transactions!$J$2:$J$1001,$A940,Transactions!$A$2:$A$1001,2)*$I940)</f>
        <v/>
      </c>
      <c r="P940" s="291" t="str">
        <f t="shared" si="133"/>
        <v/>
      </c>
      <c r="Q940" s="292" t="str">
        <f t="shared" si="134"/>
        <v/>
      </c>
    </row>
    <row r="941" spans="1:17" ht="15" customHeight="1" x14ac:dyDescent="0.2">
      <c r="A941" s="243" t="str">
        <f>IFERROR(INDEX(Txn[Key],MATCH(0,INDEX(COUNTIF($A$1:A940,Txn[Key])+(Txn[Key]=""),0),0)),"")</f>
        <v/>
      </c>
      <c r="B941" s="243" t="str">
        <f t="shared" si="126"/>
        <v/>
      </c>
      <c r="C941" s="243" t="str">
        <f t="shared" si="127"/>
        <v/>
      </c>
      <c r="D941" s="243" t="str">
        <f t="shared" si="128"/>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29"/>
        <v/>
      </c>
      <c r="K941" s="287" t="str">
        <f t="shared" si="130"/>
        <v/>
      </c>
      <c r="L941" s="287" t="str">
        <f t="shared" si="131"/>
        <v/>
      </c>
      <c r="M941" s="290" t="str">
        <f t="shared" si="132"/>
        <v/>
      </c>
      <c r="N941" s="243" t="str">
        <f>IF($A941="","",IF(ABS(E941)&gt;0.000001,COUNT($N$1:N940)+1,""))</f>
        <v/>
      </c>
      <c r="O941" s="291" t="str">
        <f>IF($A941="","",SUMIFS(Transactions!$H$2:$H$1001,Transactions!$J$2:$J$1001,$A941,Transactions!$A$2:$A$1001,2)*$I941)</f>
        <v/>
      </c>
      <c r="P941" s="291" t="str">
        <f t="shared" si="133"/>
        <v/>
      </c>
      <c r="Q941" s="292" t="str">
        <f t="shared" si="134"/>
        <v/>
      </c>
    </row>
    <row r="942" spans="1:17" ht="15" customHeight="1" x14ac:dyDescent="0.2">
      <c r="A942" s="243" t="str">
        <f>IFERROR(INDEX(Txn[Key],MATCH(0,INDEX(COUNTIF($A$1:A941,Txn[Key])+(Txn[Key]=""),0),0)),"")</f>
        <v/>
      </c>
      <c r="B942" s="243" t="str">
        <f t="shared" si="126"/>
        <v/>
      </c>
      <c r="C942" s="243" t="str">
        <f t="shared" si="127"/>
        <v/>
      </c>
      <c r="D942" s="243" t="str">
        <f t="shared" si="128"/>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29"/>
        <v/>
      </c>
      <c r="K942" s="287" t="str">
        <f t="shared" si="130"/>
        <v/>
      </c>
      <c r="L942" s="287" t="str">
        <f t="shared" si="131"/>
        <v/>
      </c>
      <c r="M942" s="290" t="str">
        <f t="shared" si="132"/>
        <v/>
      </c>
      <c r="N942" s="243" t="str">
        <f>IF($A942="","",IF(ABS(E942)&gt;0.000001,COUNT($N$1:N941)+1,""))</f>
        <v/>
      </c>
      <c r="O942" s="291" t="str">
        <f>IF($A942="","",SUMIFS(Transactions!$H$2:$H$1001,Transactions!$J$2:$J$1001,$A942,Transactions!$A$2:$A$1001,2)*$I942)</f>
        <v/>
      </c>
      <c r="P942" s="291" t="str">
        <f t="shared" si="133"/>
        <v/>
      </c>
      <c r="Q942" s="292" t="str">
        <f t="shared" si="134"/>
        <v/>
      </c>
    </row>
    <row r="943" spans="1:17" ht="15" customHeight="1" x14ac:dyDescent="0.2">
      <c r="A943" s="243" t="str">
        <f>IFERROR(INDEX(Txn[Key],MATCH(0,INDEX(COUNTIF($A$1:A942,Txn[Key])+(Txn[Key]=""),0),0)),"")</f>
        <v/>
      </c>
      <c r="B943" s="243" t="str">
        <f t="shared" si="126"/>
        <v/>
      </c>
      <c r="C943" s="243" t="str">
        <f t="shared" si="127"/>
        <v/>
      </c>
      <c r="D943" s="243" t="str">
        <f t="shared" si="128"/>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29"/>
        <v/>
      </c>
      <c r="K943" s="287" t="str">
        <f t="shared" si="130"/>
        <v/>
      </c>
      <c r="L943" s="287" t="str">
        <f t="shared" si="131"/>
        <v/>
      </c>
      <c r="M943" s="290" t="str">
        <f t="shared" si="132"/>
        <v/>
      </c>
      <c r="N943" s="243" t="str">
        <f>IF($A943="","",IF(ABS(E943)&gt;0.000001,COUNT($N$1:N942)+1,""))</f>
        <v/>
      </c>
      <c r="O943" s="291" t="str">
        <f>IF($A943="","",SUMIFS(Transactions!$H$2:$H$1001,Transactions!$J$2:$J$1001,$A943,Transactions!$A$2:$A$1001,2)*$I943)</f>
        <v/>
      </c>
      <c r="P943" s="291" t="str">
        <f t="shared" si="133"/>
        <v/>
      </c>
      <c r="Q943" s="292" t="str">
        <f t="shared" si="134"/>
        <v/>
      </c>
    </row>
    <row r="944" spans="1:17" ht="15" customHeight="1" x14ac:dyDescent="0.2">
      <c r="A944" s="243" t="str">
        <f>IFERROR(INDEX(Txn[Key],MATCH(0,INDEX(COUNTIF($A$1:A943,Txn[Key])+(Txn[Key]=""),0),0)),"")</f>
        <v/>
      </c>
      <c r="B944" s="243" t="str">
        <f t="shared" si="126"/>
        <v/>
      </c>
      <c r="C944" s="243" t="str">
        <f t="shared" si="127"/>
        <v/>
      </c>
      <c r="D944" s="243" t="str">
        <f t="shared" si="128"/>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29"/>
        <v/>
      </c>
      <c r="K944" s="287" t="str">
        <f t="shared" si="130"/>
        <v/>
      </c>
      <c r="L944" s="287" t="str">
        <f t="shared" si="131"/>
        <v/>
      </c>
      <c r="M944" s="290" t="str">
        <f t="shared" si="132"/>
        <v/>
      </c>
      <c r="N944" s="243" t="str">
        <f>IF($A944="","",IF(ABS(E944)&gt;0.000001,COUNT($N$1:N943)+1,""))</f>
        <v/>
      </c>
      <c r="O944" s="291" t="str">
        <f>IF($A944="","",SUMIFS(Transactions!$H$2:$H$1001,Transactions!$J$2:$J$1001,$A944,Transactions!$A$2:$A$1001,2)*$I944)</f>
        <v/>
      </c>
      <c r="P944" s="291" t="str">
        <f t="shared" si="133"/>
        <v/>
      </c>
      <c r="Q944" s="292" t="str">
        <f t="shared" si="134"/>
        <v/>
      </c>
    </row>
    <row r="945" spans="1:17" ht="15" customHeight="1" x14ac:dyDescent="0.2">
      <c r="A945" s="243" t="str">
        <f>IFERROR(INDEX(Txn[Key],MATCH(0,INDEX(COUNTIF($A$1:A944,Txn[Key])+(Txn[Key]=""),0),0)),"")</f>
        <v/>
      </c>
      <c r="B945" s="243" t="str">
        <f t="shared" si="126"/>
        <v/>
      </c>
      <c r="C945" s="243" t="str">
        <f t="shared" si="127"/>
        <v/>
      </c>
      <c r="D945" s="243" t="str">
        <f t="shared" si="128"/>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29"/>
        <v/>
      </c>
      <c r="K945" s="287" t="str">
        <f t="shared" si="130"/>
        <v/>
      </c>
      <c r="L945" s="287" t="str">
        <f t="shared" si="131"/>
        <v/>
      </c>
      <c r="M945" s="290" t="str">
        <f t="shared" si="132"/>
        <v/>
      </c>
      <c r="N945" s="243" t="str">
        <f>IF($A945="","",IF(ABS(E945)&gt;0.000001,COUNT($N$1:N944)+1,""))</f>
        <v/>
      </c>
      <c r="O945" s="291" t="str">
        <f>IF($A945="","",SUMIFS(Transactions!$H$2:$H$1001,Transactions!$J$2:$J$1001,$A945,Transactions!$A$2:$A$1001,2)*$I945)</f>
        <v/>
      </c>
      <c r="P945" s="291" t="str">
        <f t="shared" si="133"/>
        <v/>
      </c>
      <c r="Q945" s="292" t="str">
        <f t="shared" si="134"/>
        <v/>
      </c>
    </row>
    <row r="946" spans="1:17" ht="15" customHeight="1" x14ac:dyDescent="0.2">
      <c r="A946" s="243" t="str">
        <f>IFERROR(INDEX(Txn[Key],MATCH(0,INDEX(COUNTIF($A$1:A945,Txn[Key])+(Txn[Key]=""),0),0)),"")</f>
        <v/>
      </c>
      <c r="B946" s="243" t="str">
        <f t="shared" si="126"/>
        <v/>
      </c>
      <c r="C946" s="243" t="str">
        <f t="shared" si="127"/>
        <v/>
      </c>
      <c r="D946" s="243" t="str">
        <f t="shared" si="128"/>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29"/>
        <v/>
      </c>
      <c r="K946" s="287" t="str">
        <f t="shared" si="130"/>
        <v/>
      </c>
      <c r="L946" s="287" t="str">
        <f t="shared" si="131"/>
        <v/>
      </c>
      <c r="M946" s="290" t="str">
        <f t="shared" si="132"/>
        <v/>
      </c>
      <c r="N946" s="243" t="str">
        <f>IF($A946="","",IF(ABS(E946)&gt;0.000001,COUNT($N$1:N945)+1,""))</f>
        <v/>
      </c>
      <c r="O946" s="291" t="str">
        <f>IF($A946="","",SUMIFS(Transactions!$H$2:$H$1001,Transactions!$J$2:$J$1001,$A946,Transactions!$A$2:$A$1001,2)*$I946)</f>
        <v/>
      </c>
      <c r="P946" s="291" t="str">
        <f t="shared" si="133"/>
        <v/>
      </c>
      <c r="Q946" s="292" t="str">
        <f t="shared" si="134"/>
        <v/>
      </c>
    </row>
    <row r="947" spans="1:17" ht="15" customHeight="1" x14ac:dyDescent="0.2">
      <c r="A947" s="243" t="str">
        <f>IFERROR(INDEX(Txn[Key],MATCH(0,INDEX(COUNTIF($A$1:A946,Txn[Key])+(Txn[Key]=""),0),0)),"")</f>
        <v/>
      </c>
      <c r="B947" s="243" t="str">
        <f t="shared" si="126"/>
        <v/>
      </c>
      <c r="C947" s="243" t="str">
        <f t="shared" si="127"/>
        <v/>
      </c>
      <c r="D947" s="243" t="str">
        <f t="shared" si="128"/>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29"/>
        <v/>
      </c>
      <c r="K947" s="287" t="str">
        <f t="shared" si="130"/>
        <v/>
      </c>
      <c r="L947" s="287" t="str">
        <f t="shared" si="131"/>
        <v/>
      </c>
      <c r="M947" s="290" t="str">
        <f t="shared" si="132"/>
        <v/>
      </c>
      <c r="N947" s="243" t="str">
        <f>IF($A947="","",IF(ABS(E947)&gt;0.000001,COUNT($N$1:N946)+1,""))</f>
        <v/>
      </c>
      <c r="O947" s="291" t="str">
        <f>IF($A947="","",SUMIFS(Transactions!$H$2:$H$1001,Transactions!$J$2:$J$1001,$A947,Transactions!$A$2:$A$1001,2)*$I947)</f>
        <v/>
      </c>
      <c r="P947" s="291" t="str">
        <f t="shared" si="133"/>
        <v/>
      </c>
      <c r="Q947" s="292" t="str">
        <f t="shared" si="134"/>
        <v/>
      </c>
    </row>
    <row r="948" spans="1:17" ht="15" customHeight="1" x14ac:dyDescent="0.2">
      <c r="A948" s="243" t="str">
        <f>IFERROR(INDEX(Txn[Key],MATCH(0,INDEX(COUNTIF($A$1:A947,Txn[Key])+(Txn[Key]=""),0),0)),"")</f>
        <v/>
      </c>
      <c r="B948" s="243" t="str">
        <f t="shared" si="126"/>
        <v/>
      </c>
      <c r="C948" s="243" t="str">
        <f t="shared" si="127"/>
        <v/>
      </c>
      <c r="D948" s="243" t="str">
        <f t="shared" si="128"/>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29"/>
        <v/>
      </c>
      <c r="K948" s="287" t="str">
        <f t="shared" si="130"/>
        <v/>
      </c>
      <c r="L948" s="287" t="str">
        <f t="shared" si="131"/>
        <v/>
      </c>
      <c r="M948" s="290" t="str">
        <f t="shared" si="132"/>
        <v/>
      </c>
      <c r="N948" s="243" t="str">
        <f>IF($A948="","",IF(ABS(E948)&gt;0.000001,COUNT($N$1:N947)+1,""))</f>
        <v/>
      </c>
      <c r="O948" s="291" t="str">
        <f>IF($A948="","",SUMIFS(Transactions!$H$2:$H$1001,Transactions!$J$2:$J$1001,$A948,Transactions!$A$2:$A$1001,2)*$I948)</f>
        <v/>
      </c>
      <c r="P948" s="291" t="str">
        <f t="shared" si="133"/>
        <v/>
      </c>
      <c r="Q948" s="292" t="str">
        <f t="shared" si="134"/>
        <v/>
      </c>
    </row>
    <row r="949" spans="1:17" ht="15" customHeight="1" x14ac:dyDescent="0.2">
      <c r="A949" s="243" t="str">
        <f>IFERROR(INDEX(Txn[Key],MATCH(0,INDEX(COUNTIF($A$1:A948,Txn[Key])+(Txn[Key]=""),0),0)),"")</f>
        <v/>
      </c>
      <c r="B949" s="243" t="str">
        <f t="shared" si="126"/>
        <v/>
      </c>
      <c r="C949" s="243" t="str">
        <f t="shared" si="127"/>
        <v/>
      </c>
      <c r="D949" s="243" t="str">
        <f t="shared" si="128"/>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29"/>
        <v/>
      </c>
      <c r="K949" s="287" t="str">
        <f t="shared" si="130"/>
        <v/>
      </c>
      <c r="L949" s="287" t="str">
        <f t="shared" si="131"/>
        <v/>
      </c>
      <c r="M949" s="290" t="str">
        <f t="shared" si="132"/>
        <v/>
      </c>
      <c r="N949" s="243" t="str">
        <f>IF($A949="","",IF(ABS(E949)&gt;0.000001,COUNT($N$1:N948)+1,""))</f>
        <v/>
      </c>
      <c r="O949" s="291" t="str">
        <f>IF($A949="","",SUMIFS(Transactions!$H$2:$H$1001,Transactions!$J$2:$J$1001,$A949,Transactions!$A$2:$A$1001,2)*$I949)</f>
        <v/>
      </c>
      <c r="P949" s="291" t="str">
        <f t="shared" si="133"/>
        <v/>
      </c>
      <c r="Q949" s="292" t="str">
        <f t="shared" si="134"/>
        <v/>
      </c>
    </row>
    <row r="950" spans="1:17" ht="15" customHeight="1" x14ac:dyDescent="0.2">
      <c r="A950" s="243" t="str">
        <f>IFERROR(INDEX(Txn[Key],MATCH(0,INDEX(COUNTIF($A$1:A949,Txn[Key])+(Txn[Key]=""),0),0)),"")</f>
        <v/>
      </c>
      <c r="B950" s="243" t="str">
        <f t="shared" si="126"/>
        <v/>
      </c>
      <c r="C950" s="243" t="str">
        <f t="shared" si="127"/>
        <v/>
      </c>
      <c r="D950" s="243" t="str">
        <f t="shared" si="128"/>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29"/>
        <v/>
      </c>
      <c r="K950" s="287" t="str">
        <f t="shared" si="130"/>
        <v/>
      </c>
      <c r="L950" s="287" t="str">
        <f t="shared" si="131"/>
        <v/>
      </c>
      <c r="M950" s="290" t="str">
        <f t="shared" si="132"/>
        <v/>
      </c>
      <c r="N950" s="243" t="str">
        <f>IF($A950="","",IF(ABS(E950)&gt;0.000001,COUNT($N$1:N949)+1,""))</f>
        <v/>
      </c>
      <c r="O950" s="291" t="str">
        <f>IF($A950="","",SUMIFS(Transactions!$H$2:$H$1001,Transactions!$J$2:$J$1001,$A950,Transactions!$A$2:$A$1001,2)*$I950)</f>
        <v/>
      </c>
      <c r="P950" s="291" t="str">
        <f t="shared" si="133"/>
        <v/>
      </c>
      <c r="Q950" s="292" t="str">
        <f t="shared" si="134"/>
        <v/>
      </c>
    </row>
    <row r="951" spans="1:17" ht="15" customHeight="1" x14ac:dyDescent="0.2">
      <c r="A951" s="243" t="str">
        <f>IFERROR(INDEX(Txn[Key],MATCH(0,INDEX(COUNTIF($A$1:A950,Txn[Key])+(Txn[Key]=""),0),0)),"")</f>
        <v/>
      </c>
      <c r="B951" s="243" t="str">
        <f t="shared" si="126"/>
        <v/>
      </c>
      <c r="C951" s="243" t="str">
        <f t="shared" si="127"/>
        <v/>
      </c>
      <c r="D951" s="243" t="str">
        <f t="shared" si="128"/>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29"/>
        <v/>
      </c>
      <c r="K951" s="287" t="str">
        <f t="shared" si="130"/>
        <v/>
      </c>
      <c r="L951" s="287" t="str">
        <f t="shared" si="131"/>
        <v/>
      </c>
      <c r="M951" s="290" t="str">
        <f t="shared" si="132"/>
        <v/>
      </c>
      <c r="N951" s="243" t="str">
        <f>IF($A951="","",IF(ABS(E951)&gt;0.000001,COUNT($N$1:N950)+1,""))</f>
        <v/>
      </c>
      <c r="O951" s="291" t="str">
        <f>IF($A951="","",SUMIFS(Transactions!$H$2:$H$1001,Transactions!$J$2:$J$1001,$A951,Transactions!$A$2:$A$1001,2)*$I951)</f>
        <v/>
      </c>
      <c r="P951" s="291" t="str">
        <f t="shared" si="133"/>
        <v/>
      </c>
      <c r="Q951" s="292" t="str">
        <f t="shared" si="134"/>
        <v/>
      </c>
    </row>
    <row r="952" spans="1:17" ht="15" customHeight="1" x14ac:dyDescent="0.2">
      <c r="A952" s="243" t="str">
        <f>IFERROR(INDEX(Txn[Key],MATCH(0,INDEX(COUNTIF($A$1:A951,Txn[Key])+(Txn[Key]=""),0),0)),"")</f>
        <v/>
      </c>
      <c r="B952" s="243" t="str">
        <f t="shared" si="126"/>
        <v/>
      </c>
      <c r="C952" s="243" t="str">
        <f t="shared" si="127"/>
        <v/>
      </c>
      <c r="D952" s="243" t="str">
        <f t="shared" si="128"/>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29"/>
        <v/>
      </c>
      <c r="K952" s="287" t="str">
        <f t="shared" si="130"/>
        <v/>
      </c>
      <c r="L952" s="287" t="str">
        <f t="shared" si="131"/>
        <v/>
      </c>
      <c r="M952" s="290" t="str">
        <f t="shared" si="132"/>
        <v/>
      </c>
      <c r="N952" s="243" t="str">
        <f>IF($A952="","",IF(ABS(E952)&gt;0.000001,COUNT($N$1:N951)+1,""))</f>
        <v/>
      </c>
      <c r="O952" s="291" t="str">
        <f>IF($A952="","",SUMIFS(Transactions!$H$2:$H$1001,Transactions!$J$2:$J$1001,$A952,Transactions!$A$2:$A$1001,2)*$I952)</f>
        <v/>
      </c>
      <c r="P952" s="291" t="str">
        <f t="shared" si="133"/>
        <v/>
      </c>
      <c r="Q952" s="292" t="str">
        <f t="shared" si="134"/>
        <v/>
      </c>
    </row>
    <row r="953" spans="1:17" ht="15" customHeight="1" x14ac:dyDescent="0.2">
      <c r="A953" s="243" t="str">
        <f>IFERROR(INDEX(Txn[Key],MATCH(0,INDEX(COUNTIF($A$1:A952,Txn[Key])+(Txn[Key]=""),0),0)),"")</f>
        <v/>
      </c>
      <c r="B953" s="243" t="str">
        <f t="shared" si="126"/>
        <v/>
      </c>
      <c r="C953" s="243" t="str">
        <f t="shared" si="127"/>
        <v/>
      </c>
      <c r="D953" s="243" t="str">
        <f t="shared" si="128"/>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29"/>
        <v/>
      </c>
      <c r="K953" s="287" t="str">
        <f t="shared" si="130"/>
        <v/>
      </c>
      <c r="L953" s="287" t="str">
        <f t="shared" si="131"/>
        <v/>
      </c>
      <c r="M953" s="290" t="str">
        <f t="shared" si="132"/>
        <v/>
      </c>
      <c r="N953" s="243" t="str">
        <f>IF($A953="","",IF(ABS(E953)&gt;0.000001,COUNT($N$1:N952)+1,""))</f>
        <v/>
      </c>
      <c r="O953" s="291" t="str">
        <f>IF($A953="","",SUMIFS(Transactions!$H$2:$H$1001,Transactions!$J$2:$J$1001,$A953,Transactions!$A$2:$A$1001,2)*$I953)</f>
        <v/>
      </c>
      <c r="P953" s="291" t="str">
        <f t="shared" si="133"/>
        <v/>
      </c>
      <c r="Q953" s="292" t="str">
        <f t="shared" si="134"/>
        <v/>
      </c>
    </row>
    <row r="954" spans="1:17" ht="15" customHeight="1" x14ac:dyDescent="0.2">
      <c r="A954" s="243" t="str">
        <f>IFERROR(INDEX(Txn[Key],MATCH(0,INDEX(COUNTIF($A$1:A953,Txn[Key])+(Txn[Key]=""),0),0)),"")</f>
        <v/>
      </c>
      <c r="B954" s="243" t="str">
        <f t="shared" si="126"/>
        <v/>
      </c>
      <c r="C954" s="243" t="str">
        <f t="shared" si="127"/>
        <v/>
      </c>
      <c r="D954" s="243" t="str">
        <f t="shared" si="128"/>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29"/>
        <v/>
      </c>
      <c r="K954" s="287" t="str">
        <f t="shared" si="130"/>
        <v/>
      </c>
      <c r="L954" s="287" t="str">
        <f t="shared" si="131"/>
        <v/>
      </c>
      <c r="M954" s="290" t="str">
        <f t="shared" si="132"/>
        <v/>
      </c>
      <c r="N954" s="243" t="str">
        <f>IF($A954="","",IF(ABS(E954)&gt;0.000001,COUNT($N$1:N953)+1,""))</f>
        <v/>
      </c>
      <c r="O954" s="291" t="str">
        <f>IF($A954="","",SUMIFS(Transactions!$H$2:$H$1001,Transactions!$J$2:$J$1001,$A954,Transactions!$A$2:$A$1001,2)*$I954)</f>
        <v/>
      </c>
      <c r="P954" s="291" t="str">
        <f t="shared" si="133"/>
        <v/>
      </c>
      <c r="Q954" s="292" t="str">
        <f t="shared" si="134"/>
        <v/>
      </c>
    </row>
    <row r="955" spans="1:17" ht="15" customHeight="1" x14ac:dyDescent="0.2">
      <c r="A955" s="243" t="str">
        <f>IFERROR(INDEX(Txn[Key],MATCH(0,INDEX(COUNTIF($A$1:A954,Txn[Key])+(Txn[Key]=""),0),0)),"")</f>
        <v/>
      </c>
      <c r="B955" s="243" t="str">
        <f t="shared" si="126"/>
        <v/>
      </c>
      <c r="C955" s="243" t="str">
        <f t="shared" si="127"/>
        <v/>
      </c>
      <c r="D955" s="243" t="str">
        <f t="shared" si="128"/>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29"/>
        <v/>
      </c>
      <c r="K955" s="287" t="str">
        <f t="shared" si="130"/>
        <v/>
      </c>
      <c r="L955" s="287" t="str">
        <f t="shared" si="131"/>
        <v/>
      </c>
      <c r="M955" s="290" t="str">
        <f t="shared" si="132"/>
        <v/>
      </c>
      <c r="N955" s="243" t="str">
        <f>IF($A955="","",IF(ABS(E955)&gt;0.000001,COUNT($N$1:N954)+1,""))</f>
        <v/>
      </c>
      <c r="O955" s="291" t="str">
        <f>IF($A955="","",SUMIFS(Transactions!$H$2:$H$1001,Transactions!$J$2:$J$1001,$A955,Transactions!$A$2:$A$1001,2)*$I955)</f>
        <v/>
      </c>
      <c r="P955" s="291" t="str">
        <f t="shared" si="133"/>
        <v/>
      </c>
      <c r="Q955" s="292" t="str">
        <f t="shared" si="134"/>
        <v/>
      </c>
    </row>
    <row r="956" spans="1:17" ht="15" customHeight="1" x14ac:dyDescent="0.2">
      <c r="A956" s="243" t="str">
        <f>IFERROR(INDEX(Txn[Key],MATCH(0,INDEX(COUNTIF($A$1:A955,Txn[Key])+(Txn[Key]=""),0),0)),"")</f>
        <v/>
      </c>
      <c r="B956" s="243" t="str">
        <f t="shared" si="126"/>
        <v/>
      </c>
      <c r="C956" s="243" t="str">
        <f t="shared" si="127"/>
        <v/>
      </c>
      <c r="D956" s="243" t="str">
        <f t="shared" si="128"/>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29"/>
        <v/>
      </c>
      <c r="K956" s="287" t="str">
        <f t="shared" si="130"/>
        <v/>
      </c>
      <c r="L956" s="287" t="str">
        <f t="shared" si="131"/>
        <v/>
      </c>
      <c r="M956" s="290" t="str">
        <f t="shared" si="132"/>
        <v/>
      </c>
      <c r="N956" s="243" t="str">
        <f>IF($A956="","",IF(ABS(E956)&gt;0.000001,COUNT($N$1:N955)+1,""))</f>
        <v/>
      </c>
      <c r="O956" s="291" t="str">
        <f>IF($A956="","",SUMIFS(Transactions!$H$2:$H$1001,Transactions!$J$2:$J$1001,$A956,Transactions!$A$2:$A$1001,2)*$I956)</f>
        <v/>
      </c>
      <c r="P956" s="291" t="str">
        <f t="shared" si="133"/>
        <v/>
      </c>
      <c r="Q956" s="292" t="str">
        <f t="shared" si="134"/>
        <v/>
      </c>
    </row>
    <row r="957" spans="1:17" ht="15" customHeight="1" x14ac:dyDescent="0.2">
      <c r="A957" s="243" t="str">
        <f>IFERROR(INDEX(Txn[Key],MATCH(0,INDEX(COUNTIF($A$1:A956,Txn[Key])+(Txn[Key]=""),0),0)),"")</f>
        <v/>
      </c>
      <c r="B957" s="243" t="str">
        <f t="shared" si="126"/>
        <v/>
      </c>
      <c r="C957" s="243" t="str">
        <f t="shared" si="127"/>
        <v/>
      </c>
      <c r="D957" s="243" t="str">
        <f t="shared" si="128"/>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29"/>
        <v/>
      </c>
      <c r="K957" s="287" t="str">
        <f t="shared" si="130"/>
        <v/>
      </c>
      <c r="L957" s="287" t="str">
        <f t="shared" si="131"/>
        <v/>
      </c>
      <c r="M957" s="290" t="str">
        <f t="shared" si="132"/>
        <v/>
      </c>
      <c r="N957" s="243" t="str">
        <f>IF($A957="","",IF(ABS(E957)&gt;0.000001,COUNT($N$1:N956)+1,""))</f>
        <v/>
      </c>
      <c r="O957" s="291" t="str">
        <f>IF($A957="","",SUMIFS(Transactions!$H$2:$H$1001,Transactions!$J$2:$J$1001,$A957,Transactions!$A$2:$A$1001,2)*$I957)</f>
        <v/>
      </c>
      <c r="P957" s="291" t="str">
        <f t="shared" si="133"/>
        <v/>
      </c>
      <c r="Q957" s="292" t="str">
        <f t="shared" si="134"/>
        <v/>
      </c>
    </row>
    <row r="958" spans="1:17" ht="15" customHeight="1" x14ac:dyDescent="0.2">
      <c r="A958" s="243" t="str">
        <f>IFERROR(INDEX(Txn[Key],MATCH(0,INDEX(COUNTIF($A$1:A957,Txn[Key])+(Txn[Key]=""),0),0)),"")</f>
        <v/>
      </c>
      <c r="B958" s="243" t="str">
        <f t="shared" si="126"/>
        <v/>
      </c>
      <c r="C958" s="243" t="str">
        <f t="shared" si="127"/>
        <v/>
      </c>
      <c r="D958" s="243" t="str">
        <f t="shared" si="128"/>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29"/>
        <v/>
      </c>
      <c r="K958" s="287" t="str">
        <f t="shared" si="130"/>
        <v/>
      </c>
      <c r="L958" s="287" t="str">
        <f t="shared" si="131"/>
        <v/>
      </c>
      <c r="M958" s="290" t="str">
        <f t="shared" si="132"/>
        <v/>
      </c>
      <c r="N958" s="243" t="str">
        <f>IF($A958="","",IF(ABS(E958)&gt;0.000001,COUNT($N$1:N957)+1,""))</f>
        <v/>
      </c>
      <c r="O958" s="291" t="str">
        <f>IF($A958="","",SUMIFS(Transactions!$H$2:$H$1001,Transactions!$J$2:$J$1001,$A958,Transactions!$A$2:$A$1001,2)*$I958)</f>
        <v/>
      </c>
      <c r="P958" s="291" t="str">
        <f t="shared" si="133"/>
        <v/>
      </c>
      <c r="Q958" s="292" t="str">
        <f t="shared" si="134"/>
        <v/>
      </c>
    </row>
    <row r="959" spans="1:17" ht="15" customHeight="1" x14ac:dyDescent="0.2">
      <c r="A959" s="243" t="str">
        <f>IFERROR(INDEX(Txn[Key],MATCH(0,INDEX(COUNTIF($A$1:A958,Txn[Key])+(Txn[Key]=""),0),0)),"")</f>
        <v/>
      </c>
      <c r="B959" s="243" t="str">
        <f t="shared" si="126"/>
        <v/>
      </c>
      <c r="C959" s="243" t="str">
        <f t="shared" si="127"/>
        <v/>
      </c>
      <c r="D959" s="243" t="str">
        <f t="shared" si="128"/>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29"/>
        <v/>
      </c>
      <c r="K959" s="287" t="str">
        <f t="shared" si="130"/>
        <v/>
      </c>
      <c r="L959" s="287" t="str">
        <f t="shared" si="131"/>
        <v/>
      </c>
      <c r="M959" s="290" t="str">
        <f t="shared" si="132"/>
        <v/>
      </c>
      <c r="N959" s="243" t="str">
        <f>IF($A959="","",IF(ABS(E959)&gt;0.000001,COUNT($N$1:N958)+1,""))</f>
        <v/>
      </c>
      <c r="O959" s="291" t="str">
        <f>IF($A959="","",SUMIFS(Transactions!$H$2:$H$1001,Transactions!$J$2:$J$1001,$A959,Transactions!$A$2:$A$1001,2)*$I959)</f>
        <v/>
      </c>
      <c r="P959" s="291" t="str">
        <f t="shared" si="133"/>
        <v/>
      </c>
      <c r="Q959" s="292" t="str">
        <f t="shared" si="134"/>
        <v/>
      </c>
    </row>
    <row r="960" spans="1:17" ht="15" customHeight="1" x14ac:dyDescent="0.2">
      <c r="A960" s="243" t="str">
        <f>IFERROR(INDEX(Txn[Key],MATCH(0,INDEX(COUNTIF($A$1:A959,Txn[Key])+(Txn[Key]=""),0),0)),"")</f>
        <v/>
      </c>
      <c r="B960" s="243" t="str">
        <f t="shared" si="126"/>
        <v/>
      </c>
      <c r="C960" s="243" t="str">
        <f t="shared" si="127"/>
        <v/>
      </c>
      <c r="D960" s="243" t="str">
        <f t="shared" si="128"/>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29"/>
        <v/>
      </c>
      <c r="K960" s="287" t="str">
        <f t="shared" si="130"/>
        <v/>
      </c>
      <c r="L960" s="287" t="str">
        <f t="shared" si="131"/>
        <v/>
      </c>
      <c r="M960" s="290" t="str">
        <f t="shared" si="132"/>
        <v/>
      </c>
      <c r="N960" s="243" t="str">
        <f>IF($A960="","",IF(ABS(E960)&gt;0.000001,COUNT($N$1:N959)+1,""))</f>
        <v/>
      </c>
      <c r="O960" s="291" t="str">
        <f>IF($A960="","",SUMIFS(Transactions!$H$2:$H$1001,Transactions!$J$2:$J$1001,$A960,Transactions!$A$2:$A$1001,2)*$I960)</f>
        <v/>
      </c>
      <c r="P960" s="291" t="str">
        <f t="shared" si="133"/>
        <v/>
      </c>
      <c r="Q960" s="292" t="str">
        <f t="shared" si="134"/>
        <v/>
      </c>
    </row>
    <row r="961" spans="1:17" ht="15" customHeight="1" x14ac:dyDescent="0.2">
      <c r="A961" s="243" t="str">
        <f>IFERROR(INDEX(Txn[Key],MATCH(0,INDEX(COUNTIF($A$1:A960,Txn[Key])+(Txn[Key]=""),0),0)),"")</f>
        <v/>
      </c>
      <c r="B961" s="243" t="str">
        <f t="shared" si="126"/>
        <v/>
      </c>
      <c r="C961" s="243" t="str">
        <f t="shared" si="127"/>
        <v/>
      </c>
      <c r="D961" s="243" t="str">
        <f t="shared" si="128"/>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29"/>
        <v/>
      </c>
      <c r="K961" s="287" t="str">
        <f t="shared" si="130"/>
        <v/>
      </c>
      <c r="L961" s="287" t="str">
        <f t="shared" si="131"/>
        <v/>
      </c>
      <c r="M961" s="290" t="str">
        <f t="shared" si="132"/>
        <v/>
      </c>
      <c r="N961" s="243" t="str">
        <f>IF($A961="","",IF(ABS(E961)&gt;0.000001,COUNT($N$1:N960)+1,""))</f>
        <v/>
      </c>
      <c r="O961" s="291" t="str">
        <f>IF($A961="","",SUMIFS(Transactions!$H$2:$H$1001,Transactions!$J$2:$J$1001,$A961,Transactions!$A$2:$A$1001,2)*$I961)</f>
        <v/>
      </c>
      <c r="P961" s="291" t="str">
        <f t="shared" si="133"/>
        <v/>
      </c>
      <c r="Q961" s="292" t="str">
        <f t="shared" si="134"/>
        <v/>
      </c>
    </row>
    <row r="962" spans="1:17" ht="15" customHeight="1" x14ac:dyDescent="0.2">
      <c r="A962" s="243" t="str">
        <f>IFERROR(INDEX(Txn[Key],MATCH(0,INDEX(COUNTIF($A$1:A961,Txn[Key])+(Txn[Key]=""),0),0)),"")</f>
        <v/>
      </c>
      <c r="B962" s="243" t="str">
        <f t="shared" ref="B962:B1001" si="135">IF($A962="","",LEFT($A962,FIND(":",$A962)-1))</f>
        <v/>
      </c>
      <c r="C962" s="243" t="str">
        <f t="shared" ref="C962:C1001" si="136">IF($A962="","",MID($A962,FIND(":",$A962)+1,FIND(":",$A962,FIND(":",$A962)+1)-FIND(":",$A962)-1))</f>
        <v/>
      </c>
      <c r="D962" s="243" t="str">
        <f t="shared" ref="D962:D1001" si="137">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38">IF($A962="","",E962*H962)</f>
        <v/>
      </c>
      <c r="K962" s="287" t="str">
        <f t="shared" ref="K962:K1025" si="139">IF($A962="","",J962+G962-F962)</f>
        <v/>
      </c>
      <c r="L962" s="287" t="str">
        <f t="shared" ref="L962:L1025" si="140">IF($A962="","",K962*I962)</f>
        <v/>
      </c>
      <c r="M962" s="290" t="str">
        <f t="shared" ref="M962:M1001" si="141">IF($A962="","",IFERROR(K962/F962,0))</f>
        <v/>
      </c>
      <c r="N962" s="243" t="str">
        <f>IF($A962="","",IF(ABS(E962)&gt;0.000001,COUNT($N$1:N961)+1,""))</f>
        <v/>
      </c>
      <c r="O962" s="291" t="str">
        <f>IF($A962="","",SUMIFS(Transactions!$H$2:$H$1001,Transactions!$J$2:$J$1001,$A962,Transactions!$A$2:$A$1001,2)*$I962)</f>
        <v/>
      </c>
      <c r="P962" s="291" t="str">
        <f t="shared" ref="P962:P1001" si="142">IF($A962="","",$L962+$O962)</f>
        <v/>
      </c>
      <c r="Q962" s="292" t="str">
        <f t="shared" ref="Q962:Q1001" si="143">IF($A962="","",IFERROR(($L962+$O962)/($F962*$I962),0))</f>
        <v/>
      </c>
    </row>
    <row r="963" spans="1:17" ht="15" customHeight="1" x14ac:dyDescent="0.2">
      <c r="A963" s="243" t="str">
        <f>IFERROR(INDEX(Txn[Key],MATCH(0,INDEX(COUNTIF($A$1:A962,Txn[Key])+(Txn[Key]=""),0),0)),"")</f>
        <v/>
      </c>
      <c r="B963" s="243" t="str">
        <f t="shared" si="135"/>
        <v/>
      </c>
      <c r="C963" s="243" t="str">
        <f t="shared" si="136"/>
        <v/>
      </c>
      <c r="D963" s="243" t="str">
        <f t="shared" si="137"/>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38"/>
        <v/>
      </c>
      <c r="K963" s="287" t="str">
        <f t="shared" si="139"/>
        <v/>
      </c>
      <c r="L963" s="287" t="str">
        <f t="shared" si="140"/>
        <v/>
      </c>
      <c r="M963" s="290" t="str">
        <f t="shared" si="141"/>
        <v/>
      </c>
      <c r="N963" s="243" t="str">
        <f>IF($A963="","",IF(ABS(E963)&gt;0.000001,COUNT($N$1:N962)+1,""))</f>
        <v/>
      </c>
      <c r="O963" s="291" t="str">
        <f>IF($A963="","",SUMIFS(Transactions!$H$2:$H$1001,Transactions!$J$2:$J$1001,$A963,Transactions!$A$2:$A$1001,2)*$I963)</f>
        <v/>
      </c>
      <c r="P963" s="291" t="str">
        <f t="shared" si="142"/>
        <v/>
      </c>
      <c r="Q963" s="292" t="str">
        <f t="shared" si="143"/>
        <v/>
      </c>
    </row>
    <row r="964" spans="1:17" ht="15" customHeight="1" x14ac:dyDescent="0.2">
      <c r="A964" s="243" t="str">
        <f>IFERROR(INDEX(Txn[Key],MATCH(0,INDEX(COUNTIF($A$1:A963,Txn[Key])+(Txn[Key]=""),0),0)),"")</f>
        <v/>
      </c>
      <c r="B964" s="243" t="str">
        <f t="shared" si="135"/>
        <v/>
      </c>
      <c r="C964" s="243" t="str">
        <f t="shared" si="136"/>
        <v/>
      </c>
      <c r="D964" s="243" t="str">
        <f t="shared" si="137"/>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38"/>
        <v/>
      </c>
      <c r="K964" s="287" t="str">
        <f t="shared" si="139"/>
        <v/>
      </c>
      <c r="L964" s="287" t="str">
        <f t="shared" si="140"/>
        <v/>
      </c>
      <c r="M964" s="290" t="str">
        <f t="shared" si="141"/>
        <v/>
      </c>
      <c r="N964" s="243" t="str">
        <f>IF($A964="","",IF(ABS(E964)&gt;0.000001,COUNT($N$1:N963)+1,""))</f>
        <v/>
      </c>
      <c r="O964" s="291" t="str">
        <f>IF($A964="","",SUMIFS(Transactions!$H$2:$H$1001,Transactions!$J$2:$J$1001,$A964,Transactions!$A$2:$A$1001,2)*$I964)</f>
        <v/>
      </c>
      <c r="P964" s="291" t="str">
        <f t="shared" si="142"/>
        <v/>
      </c>
      <c r="Q964" s="292" t="str">
        <f t="shared" si="143"/>
        <v/>
      </c>
    </row>
    <row r="965" spans="1:17" ht="15" customHeight="1" x14ac:dyDescent="0.2">
      <c r="A965" s="243" t="str">
        <f>IFERROR(INDEX(Txn[Key],MATCH(0,INDEX(COUNTIF($A$1:A964,Txn[Key])+(Txn[Key]=""),0),0)),"")</f>
        <v/>
      </c>
      <c r="B965" s="243" t="str">
        <f t="shared" si="135"/>
        <v/>
      </c>
      <c r="C965" s="243" t="str">
        <f t="shared" si="136"/>
        <v/>
      </c>
      <c r="D965" s="243" t="str">
        <f t="shared" si="137"/>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38"/>
        <v/>
      </c>
      <c r="K965" s="287" t="str">
        <f t="shared" si="139"/>
        <v/>
      </c>
      <c r="L965" s="287" t="str">
        <f t="shared" si="140"/>
        <v/>
      </c>
      <c r="M965" s="290" t="str">
        <f t="shared" si="141"/>
        <v/>
      </c>
      <c r="N965" s="243" t="str">
        <f>IF($A965="","",IF(ABS(E965)&gt;0.000001,COUNT($N$1:N964)+1,""))</f>
        <v/>
      </c>
      <c r="O965" s="291" t="str">
        <f>IF($A965="","",SUMIFS(Transactions!$H$2:$H$1001,Transactions!$J$2:$J$1001,$A965,Transactions!$A$2:$A$1001,2)*$I965)</f>
        <v/>
      </c>
      <c r="P965" s="291" t="str">
        <f t="shared" si="142"/>
        <v/>
      </c>
      <c r="Q965" s="292" t="str">
        <f t="shared" si="143"/>
        <v/>
      </c>
    </row>
    <row r="966" spans="1:17" ht="15" customHeight="1" x14ac:dyDescent="0.2">
      <c r="A966" s="243" t="str">
        <f>IFERROR(INDEX(Txn[Key],MATCH(0,INDEX(COUNTIF($A$1:A965,Txn[Key])+(Txn[Key]=""),0),0)),"")</f>
        <v/>
      </c>
      <c r="B966" s="243" t="str">
        <f t="shared" si="135"/>
        <v/>
      </c>
      <c r="C966" s="243" t="str">
        <f t="shared" si="136"/>
        <v/>
      </c>
      <c r="D966" s="243" t="str">
        <f t="shared" si="137"/>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38"/>
        <v/>
      </c>
      <c r="K966" s="287" t="str">
        <f t="shared" si="139"/>
        <v/>
      </c>
      <c r="L966" s="287" t="str">
        <f t="shared" si="140"/>
        <v/>
      </c>
      <c r="M966" s="290" t="str">
        <f t="shared" si="141"/>
        <v/>
      </c>
      <c r="N966" s="243" t="str">
        <f>IF($A966="","",IF(ABS(E966)&gt;0.000001,COUNT($N$1:N965)+1,""))</f>
        <v/>
      </c>
      <c r="O966" s="291" t="str">
        <f>IF($A966="","",SUMIFS(Transactions!$H$2:$H$1001,Transactions!$J$2:$J$1001,$A966,Transactions!$A$2:$A$1001,2)*$I966)</f>
        <v/>
      </c>
      <c r="P966" s="291" t="str">
        <f t="shared" si="142"/>
        <v/>
      </c>
      <c r="Q966" s="292" t="str">
        <f t="shared" si="143"/>
        <v/>
      </c>
    </row>
    <row r="967" spans="1:17" ht="15" customHeight="1" x14ac:dyDescent="0.2">
      <c r="A967" s="243" t="str">
        <f>IFERROR(INDEX(Txn[Key],MATCH(0,INDEX(COUNTIF($A$1:A966,Txn[Key])+(Txn[Key]=""),0),0)),"")</f>
        <v/>
      </c>
      <c r="B967" s="243" t="str">
        <f t="shared" si="135"/>
        <v/>
      </c>
      <c r="C967" s="243" t="str">
        <f t="shared" si="136"/>
        <v/>
      </c>
      <c r="D967" s="243" t="str">
        <f t="shared" si="137"/>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38"/>
        <v/>
      </c>
      <c r="K967" s="287" t="str">
        <f t="shared" si="139"/>
        <v/>
      </c>
      <c r="L967" s="287" t="str">
        <f t="shared" si="140"/>
        <v/>
      </c>
      <c r="M967" s="290" t="str">
        <f t="shared" si="141"/>
        <v/>
      </c>
      <c r="N967" s="243" t="str">
        <f>IF($A967="","",IF(ABS(E967)&gt;0.000001,COUNT($N$1:N966)+1,""))</f>
        <v/>
      </c>
      <c r="O967" s="291" t="str">
        <f>IF($A967="","",SUMIFS(Transactions!$H$2:$H$1001,Transactions!$J$2:$J$1001,$A967,Transactions!$A$2:$A$1001,2)*$I967)</f>
        <v/>
      </c>
      <c r="P967" s="291" t="str">
        <f t="shared" si="142"/>
        <v/>
      </c>
      <c r="Q967" s="292" t="str">
        <f t="shared" si="143"/>
        <v/>
      </c>
    </row>
    <row r="968" spans="1:17" ht="15" customHeight="1" x14ac:dyDescent="0.2">
      <c r="A968" s="243" t="str">
        <f>IFERROR(INDEX(Txn[Key],MATCH(0,INDEX(COUNTIF($A$1:A967,Txn[Key])+(Txn[Key]=""),0),0)),"")</f>
        <v/>
      </c>
      <c r="B968" s="243" t="str">
        <f t="shared" si="135"/>
        <v/>
      </c>
      <c r="C968" s="243" t="str">
        <f t="shared" si="136"/>
        <v/>
      </c>
      <c r="D968" s="243" t="str">
        <f t="shared" si="137"/>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38"/>
        <v/>
      </c>
      <c r="K968" s="287" t="str">
        <f t="shared" si="139"/>
        <v/>
      </c>
      <c r="L968" s="287" t="str">
        <f t="shared" si="140"/>
        <v/>
      </c>
      <c r="M968" s="290" t="str">
        <f t="shared" si="141"/>
        <v/>
      </c>
      <c r="N968" s="243" t="str">
        <f>IF($A968="","",IF(ABS(E968)&gt;0.000001,COUNT($N$1:N967)+1,""))</f>
        <v/>
      </c>
      <c r="O968" s="291" t="str">
        <f>IF($A968="","",SUMIFS(Transactions!$H$2:$H$1001,Transactions!$J$2:$J$1001,$A968,Transactions!$A$2:$A$1001,2)*$I968)</f>
        <v/>
      </c>
      <c r="P968" s="291" t="str">
        <f t="shared" si="142"/>
        <v/>
      </c>
      <c r="Q968" s="292" t="str">
        <f t="shared" si="143"/>
        <v/>
      </c>
    </row>
    <row r="969" spans="1:17" ht="15" customHeight="1" x14ac:dyDescent="0.2">
      <c r="A969" s="243" t="str">
        <f>IFERROR(INDEX(Txn[Key],MATCH(0,INDEX(COUNTIF($A$1:A968,Txn[Key])+(Txn[Key]=""),0),0)),"")</f>
        <v/>
      </c>
      <c r="B969" s="243" t="str">
        <f t="shared" si="135"/>
        <v/>
      </c>
      <c r="C969" s="243" t="str">
        <f t="shared" si="136"/>
        <v/>
      </c>
      <c r="D969" s="243" t="str">
        <f t="shared" si="137"/>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38"/>
        <v/>
      </c>
      <c r="K969" s="287" t="str">
        <f t="shared" si="139"/>
        <v/>
      </c>
      <c r="L969" s="287" t="str">
        <f t="shared" si="140"/>
        <v/>
      </c>
      <c r="M969" s="290" t="str">
        <f t="shared" si="141"/>
        <v/>
      </c>
      <c r="N969" s="243" t="str">
        <f>IF($A969="","",IF(ABS(E969)&gt;0.000001,COUNT($N$1:N968)+1,""))</f>
        <v/>
      </c>
      <c r="O969" s="291" t="str">
        <f>IF($A969="","",SUMIFS(Transactions!$H$2:$H$1001,Transactions!$J$2:$J$1001,$A969,Transactions!$A$2:$A$1001,2)*$I969)</f>
        <v/>
      </c>
      <c r="P969" s="291" t="str">
        <f t="shared" si="142"/>
        <v/>
      </c>
      <c r="Q969" s="292" t="str">
        <f t="shared" si="143"/>
        <v/>
      </c>
    </row>
    <row r="970" spans="1:17" ht="15" customHeight="1" x14ac:dyDescent="0.2">
      <c r="A970" s="243" t="str">
        <f>IFERROR(INDEX(Txn[Key],MATCH(0,INDEX(COUNTIF($A$1:A969,Txn[Key])+(Txn[Key]=""),0),0)),"")</f>
        <v/>
      </c>
      <c r="B970" s="243" t="str">
        <f t="shared" si="135"/>
        <v/>
      </c>
      <c r="C970" s="243" t="str">
        <f t="shared" si="136"/>
        <v/>
      </c>
      <c r="D970" s="243" t="str">
        <f t="shared" si="137"/>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38"/>
        <v/>
      </c>
      <c r="K970" s="287" t="str">
        <f t="shared" si="139"/>
        <v/>
      </c>
      <c r="L970" s="287" t="str">
        <f t="shared" si="140"/>
        <v/>
      </c>
      <c r="M970" s="290" t="str">
        <f t="shared" si="141"/>
        <v/>
      </c>
      <c r="N970" s="243" t="str">
        <f>IF($A970="","",IF(ABS(E970)&gt;0.000001,COUNT($N$1:N969)+1,""))</f>
        <v/>
      </c>
      <c r="O970" s="291" t="str">
        <f>IF($A970="","",SUMIFS(Transactions!$H$2:$H$1001,Transactions!$J$2:$J$1001,$A970,Transactions!$A$2:$A$1001,2)*$I970)</f>
        <v/>
      </c>
      <c r="P970" s="291" t="str">
        <f t="shared" si="142"/>
        <v/>
      </c>
      <c r="Q970" s="292" t="str">
        <f t="shared" si="143"/>
        <v/>
      </c>
    </row>
    <row r="971" spans="1:17" ht="15" customHeight="1" x14ac:dyDescent="0.2">
      <c r="A971" s="243" t="str">
        <f>IFERROR(INDEX(Txn[Key],MATCH(0,INDEX(COUNTIF($A$1:A970,Txn[Key])+(Txn[Key]=""),0),0)),"")</f>
        <v/>
      </c>
      <c r="B971" s="243" t="str">
        <f t="shared" si="135"/>
        <v/>
      </c>
      <c r="C971" s="243" t="str">
        <f t="shared" si="136"/>
        <v/>
      </c>
      <c r="D971" s="243" t="str">
        <f t="shared" si="137"/>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38"/>
        <v/>
      </c>
      <c r="K971" s="287" t="str">
        <f t="shared" si="139"/>
        <v/>
      </c>
      <c r="L971" s="287" t="str">
        <f t="shared" si="140"/>
        <v/>
      </c>
      <c r="M971" s="290" t="str">
        <f t="shared" si="141"/>
        <v/>
      </c>
      <c r="N971" s="243" t="str">
        <f>IF($A971="","",IF(ABS(E971)&gt;0.000001,COUNT($N$1:N970)+1,""))</f>
        <v/>
      </c>
      <c r="O971" s="291" t="str">
        <f>IF($A971="","",SUMIFS(Transactions!$H$2:$H$1001,Transactions!$J$2:$J$1001,$A971,Transactions!$A$2:$A$1001,2)*$I971)</f>
        <v/>
      </c>
      <c r="P971" s="291" t="str">
        <f t="shared" si="142"/>
        <v/>
      </c>
      <c r="Q971" s="292" t="str">
        <f t="shared" si="143"/>
        <v/>
      </c>
    </row>
    <row r="972" spans="1:17" ht="15" customHeight="1" x14ac:dyDescent="0.2">
      <c r="A972" s="243" t="str">
        <f>IFERROR(INDEX(Txn[Key],MATCH(0,INDEX(COUNTIF($A$1:A971,Txn[Key])+(Txn[Key]=""),0),0)),"")</f>
        <v/>
      </c>
      <c r="B972" s="243" t="str">
        <f t="shared" si="135"/>
        <v/>
      </c>
      <c r="C972" s="243" t="str">
        <f t="shared" si="136"/>
        <v/>
      </c>
      <c r="D972" s="243" t="str">
        <f t="shared" si="137"/>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38"/>
        <v/>
      </c>
      <c r="K972" s="287" t="str">
        <f t="shared" si="139"/>
        <v/>
      </c>
      <c r="L972" s="287" t="str">
        <f t="shared" si="140"/>
        <v/>
      </c>
      <c r="M972" s="290" t="str">
        <f t="shared" si="141"/>
        <v/>
      </c>
      <c r="N972" s="243" t="str">
        <f>IF($A972="","",IF(ABS(E972)&gt;0.000001,COUNT($N$1:N971)+1,""))</f>
        <v/>
      </c>
      <c r="O972" s="291" t="str">
        <f>IF($A972="","",SUMIFS(Transactions!$H$2:$H$1001,Transactions!$J$2:$J$1001,$A972,Transactions!$A$2:$A$1001,2)*$I972)</f>
        <v/>
      </c>
      <c r="P972" s="291" t="str">
        <f t="shared" si="142"/>
        <v/>
      </c>
      <c r="Q972" s="292" t="str">
        <f t="shared" si="143"/>
        <v/>
      </c>
    </row>
    <row r="973" spans="1:17" ht="15" customHeight="1" x14ac:dyDescent="0.2">
      <c r="A973" s="243" t="str">
        <f>IFERROR(INDEX(Txn[Key],MATCH(0,INDEX(COUNTIF($A$1:A972,Txn[Key])+(Txn[Key]=""),0),0)),"")</f>
        <v/>
      </c>
      <c r="B973" s="243" t="str">
        <f t="shared" si="135"/>
        <v/>
      </c>
      <c r="C973" s="243" t="str">
        <f t="shared" si="136"/>
        <v/>
      </c>
      <c r="D973" s="243" t="str">
        <f t="shared" si="137"/>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38"/>
        <v/>
      </c>
      <c r="K973" s="287" t="str">
        <f t="shared" si="139"/>
        <v/>
      </c>
      <c r="L973" s="287" t="str">
        <f t="shared" si="140"/>
        <v/>
      </c>
      <c r="M973" s="290" t="str">
        <f t="shared" si="141"/>
        <v/>
      </c>
      <c r="N973" s="243" t="str">
        <f>IF($A973="","",IF(ABS(E973)&gt;0.000001,COUNT($N$1:N972)+1,""))</f>
        <v/>
      </c>
      <c r="O973" s="291" t="str">
        <f>IF($A973="","",SUMIFS(Transactions!$H$2:$H$1001,Transactions!$J$2:$J$1001,$A973,Transactions!$A$2:$A$1001,2)*$I973)</f>
        <v/>
      </c>
      <c r="P973" s="291" t="str">
        <f t="shared" si="142"/>
        <v/>
      </c>
      <c r="Q973" s="292" t="str">
        <f t="shared" si="143"/>
        <v/>
      </c>
    </row>
    <row r="974" spans="1:17" ht="15" customHeight="1" x14ac:dyDescent="0.2">
      <c r="A974" s="243" t="str">
        <f>IFERROR(INDEX(Txn[Key],MATCH(0,INDEX(COUNTIF($A$1:A973,Txn[Key])+(Txn[Key]=""),0),0)),"")</f>
        <v/>
      </c>
      <c r="B974" s="243" t="str">
        <f t="shared" si="135"/>
        <v/>
      </c>
      <c r="C974" s="243" t="str">
        <f t="shared" si="136"/>
        <v/>
      </c>
      <c r="D974" s="243" t="str">
        <f t="shared" si="137"/>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38"/>
        <v/>
      </c>
      <c r="K974" s="287" t="str">
        <f t="shared" si="139"/>
        <v/>
      </c>
      <c r="L974" s="287" t="str">
        <f t="shared" si="140"/>
        <v/>
      </c>
      <c r="M974" s="290" t="str">
        <f t="shared" si="141"/>
        <v/>
      </c>
      <c r="N974" s="243" t="str">
        <f>IF($A974="","",IF(ABS(E974)&gt;0.000001,COUNT($N$1:N973)+1,""))</f>
        <v/>
      </c>
      <c r="O974" s="291" t="str">
        <f>IF($A974="","",SUMIFS(Transactions!$H$2:$H$1001,Transactions!$J$2:$J$1001,$A974,Transactions!$A$2:$A$1001,2)*$I974)</f>
        <v/>
      </c>
      <c r="P974" s="291" t="str">
        <f t="shared" si="142"/>
        <v/>
      </c>
      <c r="Q974" s="292" t="str">
        <f t="shared" si="143"/>
        <v/>
      </c>
    </row>
    <row r="975" spans="1:17" ht="15" customHeight="1" x14ac:dyDescent="0.2">
      <c r="A975" s="243" t="str">
        <f>IFERROR(INDEX(Txn[Key],MATCH(0,INDEX(COUNTIF($A$1:A974,Txn[Key])+(Txn[Key]=""),0),0)),"")</f>
        <v/>
      </c>
      <c r="B975" s="243" t="str">
        <f t="shared" si="135"/>
        <v/>
      </c>
      <c r="C975" s="243" t="str">
        <f t="shared" si="136"/>
        <v/>
      </c>
      <c r="D975" s="243" t="str">
        <f t="shared" si="137"/>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38"/>
        <v/>
      </c>
      <c r="K975" s="287" t="str">
        <f t="shared" si="139"/>
        <v/>
      </c>
      <c r="L975" s="287" t="str">
        <f t="shared" si="140"/>
        <v/>
      </c>
      <c r="M975" s="290" t="str">
        <f t="shared" si="141"/>
        <v/>
      </c>
      <c r="N975" s="243" t="str">
        <f>IF($A975="","",IF(ABS(E975)&gt;0.000001,COUNT($N$1:N974)+1,""))</f>
        <v/>
      </c>
      <c r="O975" s="291" t="str">
        <f>IF($A975="","",SUMIFS(Transactions!$H$2:$H$1001,Transactions!$J$2:$J$1001,$A975,Transactions!$A$2:$A$1001,2)*$I975)</f>
        <v/>
      </c>
      <c r="P975" s="291" t="str">
        <f t="shared" si="142"/>
        <v/>
      </c>
      <c r="Q975" s="292" t="str">
        <f t="shared" si="143"/>
        <v/>
      </c>
    </row>
    <row r="976" spans="1:17" ht="15" customHeight="1" x14ac:dyDescent="0.2">
      <c r="A976" s="243" t="str">
        <f>IFERROR(INDEX(Txn[Key],MATCH(0,INDEX(COUNTIF($A$1:A975,Txn[Key])+(Txn[Key]=""),0),0)),"")</f>
        <v/>
      </c>
      <c r="B976" s="243" t="str">
        <f t="shared" si="135"/>
        <v/>
      </c>
      <c r="C976" s="243" t="str">
        <f t="shared" si="136"/>
        <v/>
      </c>
      <c r="D976" s="243" t="str">
        <f t="shared" si="137"/>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38"/>
        <v/>
      </c>
      <c r="K976" s="287" t="str">
        <f t="shared" si="139"/>
        <v/>
      </c>
      <c r="L976" s="287" t="str">
        <f t="shared" si="140"/>
        <v/>
      </c>
      <c r="M976" s="290" t="str">
        <f t="shared" si="141"/>
        <v/>
      </c>
      <c r="N976" s="243" t="str">
        <f>IF($A976="","",IF(ABS(E976)&gt;0.000001,COUNT($N$1:N975)+1,""))</f>
        <v/>
      </c>
      <c r="O976" s="291" t="str">
        <f>IF($A976="","",SUMIFS(Transactions!$H$2:$H$1001,Transactions!$J$2:$J$1001,$A976,Transactions!$A$2:$A$1001,2)*$I976)</f>
        <v/>
      </c>
      <c r="P976" s="291" t="str">
        <f t="shared" si="142"/>
        <v/>
      </c>
      <c r="Q976" s="292" t="str">
        <f t="shared" si="143"/>
        <v/>
      </c>
    </row>
    <row r="977" spans="1:17" ht="15" customHeight="1" x14ac:dyDescent="0.2">
      <c r="A977" s="243" t="str">
        <f>IFERROR(INDEX(Txn[Key],MATCH(0,INDEX(COUNTIF($A$1:A976,Txn[Key])+(Txn[Key]=""),0),0)),"")</f>
        <v/>
      </c>
      <c r="B977" s="243" t="str">
        <f t="shared" si="135"/>
        <v/>
      </c>
      <c r="C977" s="243" t="str">
        <f t="shared" si="136"/>
        <v/>
      </c>
      <c r="D977" s="243" t="str">
        <f t="shared" si="137"/>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38"/>
        <v/>
      </c>
      <c r="K977" s="287" t="str">
        <f t="shared" si="139"/>
        <v/>
      </c>
      <c r="L977" s="287" t="str">
        <f t="shared" si="140"/>
        <v/>
      </c>
      <c r="M977" s="290" t="str">
        <f t="shared" si="141"/>
        <v/>
      </c>
      <c r="N977" s="243" t="str">
        <f>IF($A977="","",IF(ABS(E977)&gt;0.000001,COUNT($N$1:N976)+1,""))</f>
        <v/>
      </c>
      <c r="O977" s="291" t="str">
        <f>IF($A977="","",SUMIFS(Transactions!$H$2:$H$1001,Transactions!$J$2:$J$1001,$A977,Transactions!$A$2:$A$1001,2)*$I977)</f>
        <v/>
      </c>
      <c r="P977" s="291" t="str">
        <f t="shared" si="142"/>
        <v/>
      </c>
      <c r="Q977" s="292" t="str">
        <f t="shared" si="143"/>
        <v/>
      </c>
    </row>
    <row r="978" spans="1:17" ht="15" customHeight="1" x14ac:dyDescent="0.2">
      <c r="A978" s="243" t="str">
        <f>IFERROR(INDEX(Txn[Key],MATCH(0,INDEX(COUNTIF($A$1:A977,Txn[Key])+(Txn[Key]=""),0),0)),"")</f>
        <v/>
      </c>
      <c r="B978" s="243" t="str">
        <f t="shared" si="135"/>
        <v/>
      </c>
      <c r="C978" s="243" t="str">
        <f t="shared" si="136"/>
        <v/>
      </c>
      <c r="D978" s="243" t="str">
        <f t="shared" si="137"/>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38"/>
        <v/>
      </c>
      <c r="K978" s="287" t="str">
        <f t="shared" si="139"/>
        <v/>
      </c>
      <c r="L978" s="287" t="str">
        <f t="shared" si="140"/>
        <v/>
      </c>
      <c r="M978" s="290" t="str">
        <f t="shared" si="141"/>
        <v/>
      </c>
      <c r="N978" s="243" t="str">
        <f>IF($A978="","",IF(ABS(E978)&gt;0.000001,COUNT($N$1:N977)+1,""))</f>
        <v/>
      </c>
      <c r="O978" s="291" t="str">
        <f>IF($A978="","",SUMIFS(Transactions!$H$2:$H$1001,Transactions!$J$2:$J$1001,$A978,Transactions!$A$2:$A$1001,2)*$I978)</f>
        <v/>
      </c>
      <c r="P978" s="291" t="str">
        <f t="shared" si="142"/>
        <v/>
      </c>
      <c r="Q978" s="292" t="str">
        <f t="shared" si="143"/>
        <v/>
      </c>
    </row>
    <row r="979" spans="1:17" ht="15" customHeight="1" x14ac:dyDescent="0.2">
      <c r="A979" s="243" t="str">
        <f>IFERROR(INDEX(Txn[Key],MATCH(0,INDEX(COUNTIF($A$1:A978,Txn[Key])+(Txn[Key]=""),0),0)),"")</f>
        <v/>
      </c>
      <c r="B979" s="243" t="str">
        <f t="shared" si="135"/>
        <v/>
      </c>
      <c r="C979" s="243" t="str">
        <f t="shared" si="136"/>
        <v/>
      </c>
      <c r="D979" s="243" t="str">
        <f t="shared" si="137"/>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38"/>
        <v/>
      </c>
      <c r="K979" s="287" t="str">
        <f t="shared" si="139"/>
        <v/>
      </c>
      <c r="L979" s="287" t="str">
        <f t="shared" si="140"/>
        <v/>
      </c>
      <c r="M979" s="290" t="str">
        <f t="shared" si="141"/>
        <v/>
      </c>
      <c r="N979" s="243" t="str">
        <f>IF($A979="","",IF(ABS(E979)&gt;0.000001,COUNT($N$1:N978)+1,""))</f>
        <v/>
      </c>
      <c r="O979" s="291" t="str">
        <f>IF($A979="","",SUMIFS(Transactions!$H$2:$H$1001,Transactions!$J$2:$J$1001,$A979,Transactions!$A$2:$A$1001,2)*$I979)</f>
        <v/>
      </c>
      <c r="P979" s="291" t="str">
        <f t="shared" si="142"/>
        <v/>
      </c>
      <c r="Q979" s="292" t="str">
        <f t="shared" si="143"/>
        <v/>
      </c>
    </row>
    <row r="980" spans="1:17" ht="15" customHeight="1" x14ac:dyDescent="0.2">
      <c r="A980" s="243" t="str">
        <f>IFERROR(INDEX(Txn[Key],MATCH(0,INDEX(COUNTIF($A$1:A979,Txn[Key])+(Txn[Key]=""),0),0)),"")</f>
        <v/>
      </c>
      <c r="B980" s="243" t="str">
        <f t="shared" si="135"/>
        <v/>
      </c>
      <c r="C980" s="243" t="str">
        <f t="shared" si="136"/>
        <v/>
      </c>
      <c r="D980" s="243" t="str">
        <f t="shared" si="137"/>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38"/>
        <v/>
      </c>
      <c r="K980" s="287" t="str">
        <f t="shared" si="139"/>
        <v/>
      </c>
      <c r="L980" s="287" t="str">
        <f t="shared" si="140"/>
        <v/>
      </c>
      <c r="M980" s="290" t="str">
        <f t="shared" si="141"/>
        <v/>
      </c>
      <c r="N980" s="243" t="str">
        <f>IF($A980="","",IF(ABS(E980)&gt;0.000001,COUNT($N$1:N979)+1,""))</f>
        <v/>
      </c>
      <c r="O980" s="291" t="str">
        <f>IF($A980="","",SUMIFS(Transactions!$H$2:$H$1001,Transactions!$J$2:$J$1001,$A980,Transactions!$A$2:$A$1001,2)*$I980)</f>
        <v/>
      </c>
      <c r="P980" s="291" t="str">
        <f t="shared" si="142"/>
        <v/>
      </c>
      <c r="Q980" s="292" t="str">
        <f t="shared" si="143"/>
        <v/>
      </c>
    </row>
    <row r="981" spans="1:17" ht="15" customHeight="1" x14ac:dyDescent="0.2">
      <c r="A981" s="243" t="str">
        <f>IFERROR(INDEX(Txn[Key],MATCH(0,INDEX(COUNTIF($A$1:A980,Txn[Key])+(Txn[Key]=""),0),0)),"")</f>
        <v/>
      </c>
      <c r="B981" s="243" t="str">
        <f t="shared" si="135"/>
        <v/>
      </c>
      <c r="C981" s="243" t="str">
        <f t="shared" si="136"/>
        <v/>
      </c>
      <c r="D981" s="243" t="str">
        <f t="shared" si="137"/>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38"/>
        <v/>
      </c>
      <c r="K981" s="287" t="str">
        <f t="shared" si="139"/>
        <v/>
      </c>
      <c r="L981" s="287" t="str">
        <f t="shared" si="140"/>
        <v/>
      </c>
      <c r="M981" s="290" t="str">
        <f t="shared" si="141"/>
        <v/>
      </c>
      <c r="N981" s="243" t="str">
        <f>IF($A981="","",IF(ABS(E981)&gt;0.000001,COUNT($N$1:N980)+1,""))</f>
        <v/>
      </c>
      <c r="O981" s="291" t="str">
        <f>IF($A981="","",SUMIFS(Transactions!$H$2:$H$1001,Transactions!$J$2:$J$1001,$A981,Transactions!$A$2:$A$1001,2)*$I981)</f>
        <v/>
      </c>
      <c r="P981" s="291" t="str">
        <f t="shared" si="142"/>
        <v/>
      </c>
      <c r="Q981" s="292" t="str">
        <f t="shared" si="143"/>
        <v/>
      </c>
    </row>
    <row r="982" spans="1:17" ht="15" customHeight="1" x14ac:dyDescent="0.2">
      <c r="A982" s="243" t="str">
        <f>IFERROR(INDEX(Txn[Key],MATCH(0,INDEX(COUNTIF($A$1:A981,Txn[Key])+(Txn[Key]=""),0),0)),"")</f>
        <v/>
      </c>
      <c r="B982" s="243" t="str">
        <f t="shared" si="135"/>
        <v/>
      </c>
      <c r="C982" s="243" t="str">
        <f t="shared" si="136"/>
        <v/>
      </c>
      <c r="D982" s="243" t="str">
        <f t="shared" si="137"/>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38"/>
        <v/>
      </c>
      <c r="K982" s="287" t="str">
        <f t="shared" si="139"/>
        <v/>
      </c>
      <c r="L982" s="287" t="str">
        <f t="shared" si="140"/>
        <v/>
      </c>
      <c r="M982" s="290" t="str">
        <f t="shared" si="141"/>
        <v/>
      </c>
      <c r="N982" s="243" t="str">
        <f>IF($A982="","",IF(ABS(E982)&gt;0.000001,COUNT($N$1:N981)+1,""))</f>
        <v/>
      </c>
      <c r="O982" s="291" t="str">
        <f>IF($A982="","",SUMIFS(Transactions!$H$2:$H$1001,Transactions!$J$2:$J$1001,$A982,Transactions!$A$2:$A$1001,2)*$I982)</f>
        <v/>
      </c>
      <c r="P982" s="291" t="str">
        <f t="shared" si="142"/>
        <v/>
      </c>
      <c r="Q982" s="292" t="str">
        <f t="shared" si="143"/>
        <v/>
      </c>
    </row>
    <row r="983" spans="1:17" ht="15" customHeight="1" x14ac:dyDescent="0.2">
      <c r="A983" s="243" t="str">
        <f>IFERROR(INDEX(Txn[Key],MATCH(0,INDEX(COUNTIF($A$1:A982,Txn[Key])+(Txn[Key]=""),0),0)),"")</f>
        <v/>
      </c>
      <c r="B983" s="243" t="str">
        <f t="shared" si="135"/>
        <v/>
      </c>
      <c r="C983" s="243" t="str">
        <f t="shared" si="136"/>
        <v/>
      </c>
      <c r="D983" s="243" t="str">
        <f t="shared" si="137"/>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38"/>
        <v/>
      </c>
      <c r="K983" s="287" t="str">
        <f t="shared" si="139"/>
        <v/>
      </c>
      <c r="L983" s="287" t="str">
        <f t="shared" si="140"/>
        <v/>
      </c>
      <c r="M983" s="290" t="str">
        <f t="shared" si="141"/>
        <v/>
      </c>
      <c r="N983" s="243" t="str">
        <f>IF($A983="","",IF(ABS(E983)&gt;0.000001,COUNT($N$1:N982)+1,""))</f>
        <v/>
      </c>
      <c r="O983" s="291" t="str">
        <f>IF($A983="","",SUMIFS(Transactions!$H$2:$H$1001,Transactions!$J$2:$J$1001,$A983,Transactions!$A$2:$A$1001,2)*$I983)</f>
        <v/>
      </c>
      <c r="P983" s="291" t="str">
        <f t="shared" si="142"/>
        <v/>
      </c>
      <c r="Q983" s="292" t="str">
        <f t="shared" si="143"/>
        <v/>
      </c>
    </row>
    <row r="984" spans="1:17" ht="15" customHeight="1" x14ac:dyDescent="0.2">
      <c r="A984" s="243" t="str">
        <f>IFERROR(INDEX(Txn[Key],MATCH(0,INDEX(COUNTIF($A$1:A983,Txn[Key])+(Txn[Key]=""),0),0)),"")</f>
        <v/>
      </c>
      <c r="B984" s="243" t="str">
        <f t="shared" si="135"/>
        <v/>
      </c>
      <c r="C984" s="243" t="str">
        <f t="shared" si="136"/>
        <v/>
      </c>
      <c r="D984" s="243" t="str">
        <f t="shared" si="137"/>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38"/>
        <v/>
      </c>
      <c r="K984" s="287" t="str">
        <f t="shared" si="139"/>
        <v/>
      </c>
      <c r="L984" s="287" t="str">
        <f t="shared" si="140"/>
        <v/>
      </c>
      <c r="M984" s="290" t="str">
        <f t="shared" si="141"/>
        <v/>
      </c>
      <c r="N984" s="243" t="str">
        <f>IF($A984="","",IF(ABS(E984)&gt;0.000001,COUNT($N$1:N983)+1,""))</f>
        <v/>
      </c>
      <c r="O984" s="291" t="str">
        <f>IF($A984="","",SUMIFS(Transactions!$H$2:$H$1001,Transactions!$J$2:$J$1001,$A984,Transactions!$A$2:$A$1001,2)*$I984)</f>
        <v/>
      </c>
      <c r="P984" s="291" t="str">
        <f t="shared" si="142"/>
        <v/>
      </c>
      <c r="Q984" s="292" t="str">
        <f t="shared" si="143"/>
        <v/>
      </c>
    </row>
    <row r="985" spans="1:17" ht="15" customHeight="1" x14ac:dyDescent="0.2">
      <c r="A985" s="243" t="str">
        <f>IFERROR(INDEX(Txn[Key],MATCH(0,INDEX(COUNTIF($A$1:A984,Txn[Key])+(Txn[Key]=""),0),0)),"")</f>
        <v/>
      </c>
      <c r="B985" s="243" t="str">
        <f t="shared" si="135"/>
        <v/>
      </c>
      <c r="C985" s="243" t="str">
        <f t="shared" si="136"/>
        <v/>
      </c>
      <c r="D985" s="243" t="str">
        <f t="shared" si="137"/>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38"/>
        <v/>
      </c>
      <c r="K985" s="287" t="str">
        <f t="shared" si="139"/>
        <v/>
      </c>
      <c r="L985" s="287" t="str">
        <f t="shared" si="140"/>
        <v/>
      </c>
      <c r="M985" s="290" t="str">
        <f t="shared" si="141"/>
        <v/>
      </c>
      <c r="N985" s="243" t="str">
        <f>IF($A985="","",IF(ABS(E985)&gt;0.000001,COUNT($N$1:N984)+1,""))</f>
        <v/>
      </c>
      <c r="O985" s="291" t="str">
        <f>IF($A985="","",SUMIFS(Transactions!$H$2:$H$1001,Transactions!$J$2:$J$1001,$A985,Transactions!$A$2:$A$1001,2)*$I985)</f>
        <v/>
      </c>
      <c r="P985" s="291" t="str">
        <f t="shared" si="142"/>
        <v/>
      </c>
      <c r="Q985" s="292" t="str">
        <f t="shared" si="143"/>
        <v/>
      </c>
    </row>
    <row r="986" spans="1:17" ht="15" customHeight="1" x14ac:dyDescent="0.2">
      <c r="A986" s="243" t="str">
        <f>IFERROR(INDEX(Txn[Key],MATCH(0,INDEX(COUNTIF($A$1:A985,Txn[Key])+(Txn[Key]=""),0),0)),"")</f>
        <v/>
      </c>
      <c r="B986" s="243" t="str">
        <f t="shared" si="135"/>
        <v/>
      </c>
      <c r="C986" s="243" t="str">
        <f t="shared" si="136"/>
        <v/>
      </c>
      <c r="D986" s="243" t="str">
        <f t="shared" si="137"/>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38"/>
        <v/>
      </c>
      <c r="K986" s="287" t="str">
        <f t="shared" si="139"/>
        <v/>
      </c>
      <c r="L986" s="287" t="str">
        <f t="shared" si="140"/>
        <v/>
      </c>
      <c r="M986" s="290" t="str">
        <f t="shared" si="141"/>
        <v/>
      </c>
      <c r="N986" s="243" t="str">
        <f>IF($A986="","",IF(ABS(E986)&gt;0.000001,COUNT($N$1:N985)+1,""))</f>
        <v/>
      </c>
      <c r="O986" s="291" t="str">
        <f>IF($A986="","",SUMIFS(Transactions!$H$2:$H$1001,Transactions!$J$2:$J$1001,$A986,Transactions!$A$2:$A$1001,2)*$I986)</f>
        <v/>
      </c>
      <c r="P986" s="291" t="str">
        <f t="shared" si="142"/>
        <v/>
      </c>
      <c r="Q986" s="292" t="str">
        <f t="shared" si="143"/>
        <v/>
      </c>
    </row>
    <row r="987" spans="1:17" ht="15" customHeight="1" x14ac:dyDescent="0.2">
      <c r="A987" s="243" t="str">
        <f>IFERROR(INDEX(Txn[Key],MATCH(0,INDEX(COUNTIF($A$1:A986,Txn[Key])+(Txn[Key]=""),0),0)),"")</f>
        <v/>
      </c>
      <c r="B987" s="243" t="str">
        <f t="shared" si="135"/>
        <v/>
      </c>
      <c r="C987" s="243" t="str">
        <f t="shared" si="136"/>
        <v/>
      </c>
      <c r="D987" s="243" t="str">
        <f t="shared" si="137"/>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38"/>
        <v/>
      </c>
      <c r="K987" s="287" t="str">
        <f t="shared" si="139"/>
        <v/>
      </c>
      <c r="L987" s="287" t="str">
        <f t="shared" si="140"/>
        <v/>
      </c>
      <c r="M987" s="290" t="str">
        <f t="shared" si="141"/>
        <v/>
      </c>
      <c r="N987" s="243" t="str">
        <f>IF($A987="","",IF(ABS(E987)&gt;0.000001,COUNT($N$1:N986)+1,""))</f>
        <v/>
      </c>
      <c r="O987" s="291" t="str">
        <f>IF($A987="","",SUMIFS(Transactions!$H$2:$H$1001,Transactions!$J$2:$J$1001,$A987,Transactions!$A$2:$A$1001,2)*$I987)</f>
        <v/>
      </c>
      <c r="P987" s="291" t="str">
        <f t="shared" si="142"/>
        <v/>
      </c>
      <c r="Q987" s="292" t="str">
        <f t="shared" si="143"/>
        <v/>
      </c>
    </row>
    <row r="988" spans="1:17" ht="15" customHeight="1" x14ac:dyDescent="0.2">
      <c r="A988" s="243" t="str">
        <f>IFERROR(INDEX(Txn[Key],MATCH(0,INDEX(COUNTIF($A$1:A987,Txn[Key])+(Txn[Key]=""),0),0)),"")</f>
        <v/>
      </c>
      <c r="B988" s="243" t="str">
        <f t="shared" si="135"/>
        <v/>
      </c>
      <c r="C988" s="243" t="str">
        <f t="shared" si="136"/>
        <v/>
      </c>
      <c r="D988" s="243" t="str">
        <f t="shared" si="137"/>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38"/>
        <v/>
      </c>
      <c r="K988" s="287" t="str">
        <f t="shared" si="139"/>
        <v/>
      </c>
      <c r="L988" s="287" t="str">
        <f t="shared" si="140"/>
        <v/>
      </c>
      <c r="M988" s="290" t="str">
        <f t="shared" si="141"/>
        <v/>
      </c>
      <c r="N988" s="243" t="str">
        <f>IF($A988="","",IF(ABS(E988)&gt;0.000001,COUNT($N$1:N987)+1,""))</f>
        <v/>
      </c>
      <c r="O988" s="291" t="str">
        <f>IF($A988="","",SUMIFS(Transactions!$H$2:$H$1001,Transactions!$J$2:$J$1001,$A988,Transactions!$A$2:$A$1001,2)*$I988)</f>
        <v/>
      </c>
      <c r="P988" s="291" t="str">
        <f t="shared" si="142"/>
        <v/>
      </c>
      <c r="Q988" s="292" t="str">
        <f t="shared" si="143"/>
        <v/>
      </c>
    </row>
    <row r="989" spans="1:17" ht="15" customHeight="1" x14ac:dyDescent="0.2">
      <c r="A989" s="243" t="str">
        <f>IFERROR(INDEX(Txn[Key],MATCH(0,INDEX(COUNTIF($A$1:A988,Txn[Key])+(Txn[Key]=""),0),0)),"")</f>
        <v/>
      </c>
      <c r="B989" s="243" t="str">
        <f t="shared" si="135"/>
        <v/>
      </c>
      <c r="C989" s="243" t="str">
        <f t="shared" si="136"/>
        <v/>
      </c>
      <c r="D989" s="243" t="str">
        <f t="shared" si="137"/>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38"/>
        <v/>
      </c>
      <c r="K989" s="287" t="str">
        <f t="shared" si="139"/>
        <v/>
      </c>
      <c r="L989" s="287" t="str">
        <f t="shared" si="140"/>
        <v/>
      </c>
      <c r="M989" s="290" t="str">
        <f t="shared" si="141"/>
        <v/>
      </c>
      <c r="N989" s="243" t="str">
        <f>IF($A989="","",IF(ABS(E989)&gt;0.000001,COUNT($N$1:N988)+1,""))</f>
        <v/>
      </c>
      <c r="O989" s="291" t="str">
        <f>IF($A989="","",SUMIFS(Transactions!$H$2:$H$1001,Transactions!$J$2:$J$1001,$A989,Transactions!$A$2:$A$1001,2)*$I989)</f>
        <v/>
      </c>
      <c r="P989" s="291" t="str">
        <f t="shared" si="142"/>
        <v/>
      </c>
      <c r="Q989" s="292" t="str">
        <f t="shared" si="143"/>
        <v/>
      </c>
    </row>
    <row r="990" spans="1:17" ht="15" customHeight="1" x14ac:dyDescent="0.2">
      <c r="A990" s="243" t="str">
        <f>IFERROR(INDEX(Txn[Key],MATCH(0,INDEX(COUNTIF($A$1:A989,Txn[Key])+(Txn[Key]=""),0),0)),"")</f>
        <v/>
      </c>
      <c r="B990" s="243" t="str">
        <f t="shared" si="135"/>
        <v/>
      </c>
      <c r="C990" s="243" t="str">
        <f t="shared" si="136"/>
        <v/>
      </c>
      <c r="D990" s="243" t="str">
        <f t="shared" si="137"/>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38"/>
        <v/>
      </c>
      <c r="K990" s="287" t="str">
        <f t="shared" si="139"/>
        <v/>
      </c>
      <c r="L990" s="287" t="str">
        <f t="shared" si="140"/>
        <v/>
      </c>
      <c r="M990" s="290" t="str">
        <f t="shared" si="141"/>
        <v/>
      </c>
      <c r="N990" s="243" t="str">
        <f>IF($A990="","",IF(ABS(E990)&gt;0.000001,COUNT($N$1:N989)+1,""))</f>
        <v/>
      </c>
      <c r="O990" s="291" t="str">
        <f>IF($A990="","",SUMIFS(Transactions!$H$2:$H$1001,Transactions!$J$2:$J$1001,$A990,Transactions!$A$2:$A$1001,2)*$I990)</f>
        <v/>
      </c>
      <c r="P990" s="291" t="str">
        <f t="shared" si="142"/>
        <v/>
      </c>
      <c r="Q990" s="292" t="str">
        <f t="shared" si="143"/>
        <v/>
      </c>
    </row>
    <row r="991" spans="1:17" ht="15" customHeight="1" x14ac:dyDescent="0.2">
      <c r="A991" s="243" t="str">
        <f>IFERROR(INDEX(Txn[Key],MATCH(0,INDEX(COUNTIF($A$1:A990,Txn[Key])+(Txn[Key]=""),0),0)),"")</f>
        <v/>
      </c>
      <c r="B991" s="243" t="str">
        <f t="shared" si="135"/>
        <v/>
      </c>
      <c r="C991" s="243" t="str">
        <f t="shared" si="136"/>
        <v/>
      </c>
      <c r="D991" s="243" t="str">
        <f t="shared" si="137"/>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38"/>
        <v/>
      </c>
      <c r="K991" s="287" t="str">
        <f t="shared" si="139"/>
        <v/>
      </c>
      <c r="L991" s="287" t="str">
        <f t="shared" si="140"/>
        <v/>
      </c>
      <c r="M991" s="290" t="str">
        <f t="shared" si="141"/>
        <v/>
      </c>
      <c r="N991" s="243" t="str">
        <f>IF($A991="","",IF(ABS(E991)&gt;0.000001,COUNT($N$1:N990)+1,""))</f>
        <v/>
      </c>
      <c r="O991" s="291" t="str">
        <f>IF($A991="","",SUMIFS(Transactions!$H$2:$H$1001,Transactions!$J$2:$J$1001,$A991,Transactions!$A$2:$A$1001,2)*$I991)</f>
        <v/>
      </c>
      <c r="P991" s="291" t="str">
        <f t="shared" si="142"/>
        <v/>
      </c>
      <c r="Q991" s="292" t="str">
        <f t="shared" si="143"/>
        <v/>
      </c>
    </row>
    <row r="992" spans="1:17" ht="15" customHeight="1" x14ac:dyDescent="0.2">
      <c r="A992" s="243" t="str">
        <f>IFERROR(INDEX(Txn[Key],MATCH(0,INDEX(COUNTIF($A$1:A991,Txn[Key])+(Txn[Key]=""),0),0)),"")</f>
        <v/>
      </c>
      <c r="B992" s="243" t="str">
        <f t="shared" si="135"/>
        <v/>
      </c>
      <c r="C992" s="243" t="str">
        <f t="shared" si="136"/>
        <v/>
      </c>
      <c r="D992" s="243" t="str">
        <f t="shared" si="137"/>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38"/>
        <v/>
      </c>
      <c r="K992" s="287" t="str">
        <f t="shared" si="139"/>
        <v/>
      </c>
      <c r="L992" s="287" t="str">
        <f t="shared" si="140"/>
        <v/>
      </c>
      <c r="M992" s="290" t="str">
        <f t="shared" si="141"/>
        <v/>
      </c>
      <c r="N992" s="243" t="str">
        <f>IF($A992="","",IF(ABS(E992)&gt;0.000001,COUNT($N$1:N991)+1,""))</f>
        <v/>
      </c>
      <c r="O992" s="291" t="str">
        <f>IF($A992="","",SUMIFS(Transactions!$H$2:$H$1001,Transactions!$J$2:$J$1001,$A992,Transactions!$A$2:$A$1001,2)*$I992)</f>
        <v/>
      </c>
      <c r="P992" s="291" t="str">
        <f t="shared" si="142"/>
        <v/>
      </c>
      <c r="Q992" s="292" t="str">
        <f t="shared" si="143"/>
        <v/>
      </c>
    </row>
    <row r="993" spans="1:17" ht="15" customHeight="1" x14ac:dyDescent="0.2">
      <c r="A993" s="243" t="str">
        <f>IFERROR(INDEX(Txn[Key],MATCH(0,INDEX(COUNTIF($A$1:A992,Txn[Key])+(Txn[Key]=""),0),0)),"")</f>
        <v/>
      </c>
      <c r="B993" s="243" t="str">
        <f t="shared" si="135"/>
        <v/>
      </c>
      <c r="C993" s="243" t="str">
        <f t="shared" si="136"/>
        <v/>
      </c>
      <c r="D993" s="243" t="str">
        <f t="shared" si="137"/>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38"/>
        <v/>
      </c>
      <c r="K993" s="287" t="str">
        <f t="shared" si="139"/>
        <v/>
      </c>
      <c r="L993" s="287" t="str">
        <f t="shared" si="140"/>
        <v/>
      </c>
      <c r="M993" s="290" t="str">
        <f t="shared" si="141"/>
        <v/>
      </c>
      <c r="N993" s="243" t="str">
        <f>IF($A993="","",IF(ABS(E993)&gt;0.000001,COUNT($N$1:N992)+1,""))</f>
        <v/>
      </c>
      <c r="O993" s="291" t="str">
        <f>IF($A993="","",SUMIFS(Transactions!$H$2:$H$1001,Transactions!$J$2:$J$1001,$A993,Transactions!$A$2:$A$1001,2)*$I993)</f>
        <v/>
      </c>
      <c r="P993" s="291" t="str">
        <f t="shared" si="142"/>
        <v/>
      </c>
      <c r="Q993" s="292" t="str">
        <f t="shared" si="143"/>
        <v/>
      </c>
    </row>
    <row r="994" spans="1:17" ht="15" customHeight="1" x14ac:dyDescent="0.2">
      <c r="A994" s="243" t="str">
        <f>IFERROR(INDEX(Txn[Key],MATCH(0,INDEX(COUNTIF($A$1:A993,Txn[Key])+(Txn[Key]=""),0),0)),"")</f>
        <v/>
      </c>
      <c r="B994" s="243" t="str">
        <f t="shared" si="135"/>
        <v/>
      </c>
      <c r="C994" s="243" t="str">
        <f t="shared" si="136"/>
        <v/>
      </c>
      <c r="D994" s="243" t="str">
        <f t="shared" si="137"/>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38"/>
        <v/>
      </c>
      <c r="K994" s="287" t="str">
        <f t="shared" si="139"/>
        <v/>
      </c>
      <c r="L994" s="287" t="str">
        <f t="shared" si="140"/>
        <v/>
      </c>
      <c r="M994" s="290" t="str">
        <f t="shared" si="141"/>
        <v/>
      </c>
      <c r="N994" s="243" t="str">
        <f>IF($A994="","",IF(ABS(E994)&gt;0.000001,COUNT($N$1:N993)+1,""))</f>
        <v/>
      </c>
      <c r="O994" s="291" t="str">
        <f>IF($A994="","",SUMIFS(Transactions!$H$2:$H$1001,Transactions!$J$2:$J$1001,$A994,Transactions!$A$2:$A$1001,2)*$I994)</f>
        <v/>
      </c>
      <c r="P994" s="291" t="str">
        <f t="shared" si="142"/>
        <v/>
      </c>
      <c r="Q994" s="292" t="str">
        <f t="shared" si="143"/>
        <v/>
      </c>
    </row>
    <row r="995" spans="1:17" ht="15" customHeight="1" x14ac:dyDescent="0.2">
      <c r="A995" s="243" t="str">
        <f>IFERROR(INDEX(Txn[Key],MATCH(0,INDEX(COUNTIF($A$1:A994,Txn[Key])+(Txn[Key]=""),0),0)),"")</f>
        <v/>
      </c>
      <c r="B995" s="243" t="str">
        <f t="shared" si="135"/>
        <v/>
      </c>
      <c r="C995" s="243" t="str">
        <f t="shared" si="136"/>
        <v/>
      </c>
      <c r="D995" s="243" t="str">
        <f t="shared" si="137"/>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38"/>
        <v/>
      </c>
      <c r="K995" s="287" t="str">
        <f t="shared" si="139"/>
        <v/>
      </c>
      <c r="L995" s="287" t="str">
        <f t="shared" si="140"/>
        <v/>
      </c>
      <c r="M995" s="290" t="str">
        <f t="shared" si="141"/>
        <v/>
      </c>
      <c r="N995" s="243" t="str">
        <f>IF($A995="","",IF(ABS(E995)&gt;0.000001,COUNT($N$1:N994)+1,""))</f>
        <v/>
      </c>
      <c r="O995" s="291" t="str">
        <f>IF($A995="","",SUMIFS(Transactions!$H$2:$H$1001,Transactions!$J$2:$J$1001,$A995,Transactions!$A$2:$A$1001,2)*$I995)</f>
        <v/>
      </c>
      <c r="P995" s="291" t="str">
        <f t="shared" si="142"/>
        <v/>
      </c>
      <c r="Q995" s="292" t="str">
        <f t="shared" si="143"/>
        <v/>
      </c>
    </row>
    <row r="996" spans="1:17" ht="15" customHeight="1" x14ac:dyDescent="0.2">
      <c r="A996" s="243" t="str">
        <f>IFERROR(INDEX(Txn[Key],MATCH(0,INDEX(COUNTIF($A$1:A995,Txn[Key])+(Txn[Key]=""),0),0)),"")</f>
        <v/>
      </c>
      <c r="B996" s="243" t="str">
        <f t="shared" si="135"/>
        <v/>
      </c>
      <c r="C996" s="243" t="str">
        <f t="shared" si="136"/>
        <v/>
      </c>
      <c r="D996" s="243" t="str">
        <f t="shared" si="137"/>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38"/>
        <v/>
      </c>
      <c r="K996" s="287" t="str">
        <f t="shared" si="139"/>
        <v/>
      </c>
      <c r="L996" s="287" t="str">
        <f t="shared" si="140"/>
        <v/>
      </c>
      <c r="M996" s="290" t="str">
        <f t="shared" si="141"/>
        <v/>
      </c>
      <c r="N996" s="243" t="str">
        <f>IF($A996="","",IF(ABS(E996)&gt;0.000001,COUNT($N$1:N995)+1,""))</f>
        <v/>
      </c>
      <c r="O996" s="291" t="str">
        <f>IF($A996="","",SUMIFS(Transactions!$H$2:$H$1001,Transactions!$J$2:$J$1001,$A996,Transactions!$A$2:$A$1001,2)*$I996)</f>
        <v/>
      </c>
      <c r="P996" s="291" t="str">
        <f t="shared" si="142"/>
        <v/>
      </c>
      <c r="Q996" s="292" t="str">
        <f t="shared" si="143"/>
        <v/>
      </c>
    </row>
    <row r="997" spans="1:17" ht="15" customHeight="1" x14ac:dyDescent="0.2">
      <c r="A997" s="243" t="str">
        <f>IFERROR(INDEX(Txn[Key],MATCH(0,INDEX(COUNTIF($A$1:A996,Txn[Key])+(Txn[Key]=""),0),0)),"")</f>
        <v/>
      </c>
      <c r="B997" s="243" t="str">
        <f t="shared" si="135"/>
        <v/>
      </c>
      <c r="C997" s="243" t="str">
        <f t="shared" si="136"/>
        <v/>
      </c>
      <c r="D997" s="243" t="str">
        <f t="shared" si="137"/>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38"/>
        <v/>
      </c>
      <c r="K997" s="287" t="str">
        <f t="shared" si="139"/>
        <v/>
      </c>
      <c r="L997" s="287" t="str">
        <f t="shared" si="140"/>
        <v/>
      </c>
      <c r="M997" s="290" t="str">
        <f t="shared" si="141"/>
        <v/>
      </c>
      <c r="N997" s="243" t="str">
        <f>IF($A997="","",IF(ABS(E997)&gt;0.000001,COUNT($N$1:N996)+1,""))</f>
        <v/>
      </c>
      <c r="O997" s="291" t="str">
        <f>IF($A997="","",SUMIFS(Transactions!$H$2:$H$1001,Transactions!$J$2:$J$1001,$A997,Transactions!$A$2:$A$1001,2)*$I997)</f>
        <v/>
      </c>
      <c r="P997" s="291" t="str">
        <f t="shared" si="142"/>
        <v/>
      </c>
      <c r="Q997" s="292" t="str">
        <f t="shared" si="143"/>
        <v/>
      </c>
    </row>
    <row r="998" spans="1:17" ht="15" customHeight="1" x14ac:dyDescent="0.2">
      <c r="A998" s="243" t="str">
        <f>IFERROR(INDEX(Txn[Key],MATCH(0,INDEX(COUNTIF($A$1:A997,Txn[Key])+(Txn[Key]=""),0),0)),"")</f>
        <v/>
      </c>
      <c r="B998" s="243" t="str">
        <f t="shared" si="135"/>
        <v/>
      </c>
      <c r="C998" s="243" t="str">
        <f t="shared" si="136"/>
        <v/>
      </c>
      <c r="D998" s="243" t="str">
        <f t="shared" si="137"/>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38"/>
        <v/>
      </c>
      <c r="K998" s="287" t="str">
        <f t="shared" si="139"/>
        <v/>
      </c>
      <c r="L998" s="287" t="str">
        <f t="shared" si="140"/>
        <v/>
      </c>
      <c r="M998" s="290" t="str">
        <f t="shared" si="141"/>
        <v/>
      </c>
      <c r="N998" s="243" t="str">
        <f>IF($A998="","",IF(ABS(E998)&gt;0.000001,COUNT($N$1:N997)+1,""))</f>
        <v/>
      </c>
      <c r="O998" s="291" t="str">
        <f>IF($A998="","",SUMIFS(Transactions!$H$2:$H$1001,Transactions!$J$2:$J$1001,$A998,Transactions!$A$2:$A$1001,2)*$I998)</f>
        <v/>
      </c>
      <c r="P998" s="291" t="str">
        <f t="shared" si="142"/>
        <v/>
      </c>
      <c r="Q998" s="292" t="str">
        <f t="shared" si="143"/>
        <v/>
      </c>
    </row>
    <row r="999" spans="1:17" ht="15" customHeight="1" x14ac:dyDescent="0.2">
      <c r="A999" s="243" t="str">
        <f>IFERROR(INDEX(Txn[Key],MATCH(0,INDEX(COUNTIF($A$1:A998,Txn[Key])+(Txn[Key]=""),0),0)),"")</f>
        <v/>
      </c>
      <c r="B999" s="243" t="str">
        <f t="shared" si="135"/>
        <v/>
      </c>
      <c r="C999" s="243" t="str">
        <f t="shared" si="136"/>
        <v/>
      </c>
      <c r="D999" s="243" t="str">
        <f t="shared" si="137"/>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38"/>
        <v/>
      </c>
      <c r="K999" s="287" t="str">
        <f t="shared" si="139"/>
        <v/>
      </c>
      <c r="L999" s="287" t="str">
        <f t="shared" si="140"/>
        <v/>
      </c>
      <c r="M999" s="290" t="str">
        <f t="shared" si="141"/>
        <v/>
      </c>
      <c r="N999" s="243" t="str">
        <f>IF($A999="","",IF(ABS(E999)&gt;0.000001,COUNT($N$1:N998)+1,""))</f>
        <v/>
      </c>
      <c r="O999" s="291" t="str">
        <f>IF($A999="","",SUMIFS(Transactions!$H$2:$H$1001,Transactions!$J$2:$J$1001,$A999,Transactions!$A$2:$A$1001,2)*$I999)</f>
        <v/>
      </c>
      <c r="P999" s="291" t="str">
        <f t="shared" si="142"/>
        <v/>
      </c>
      <c r="Q999" s="292" t="str">
        <f t="shared" si="143"/>
        <v/>
      </c>
    </row>
    <row r="1000" spans="1:17" ht="15" customHeight="1" x14ac:dyDescent="0.2">
      <c r="A1000" s="243" t="str">
        <f>IFERROR(INDEX(Txn[Key],MATCH(0,INDEX(COUNTIF($A$1:A999,Txn[Key])+(Txn[Key]=""),0),0)),"")</f>
        <v/>
      </c>
      <c r="B1000" s="243" t="str">
        <f t="shared" si="135"/>
        <v/>
      </c>
      <c r="C1000" s="243" t="str">
        <f t="shared" si="136"/>
        <v/>
      </c>
      <c r="D1000" s="243" t="str">
        <f t="shared" si="137"/>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38"/>
        <v/>
      </c>
      <c r="K1000" s="287" t="str">
        <f t="shared" si="139"/>
        <v/>
      </c>
      <c r="L1000" s="287" t="str">
        <f t="shared" si="140"/>
        <v/>
      </c>
      <c r="M1000" s="290" t="str">
        <f t="shared" si="141"/>
        <v/>
      </c>
      <c r="N1000" s="243" t="str">
        <f>IF($A1000="","",IF(ABS(E1000)&gt;0.000001,COUNT($N$1:N999)+1,""))</f>
        <v/>
      </c>
      <c r="O1000" s="291" t="str">
        <f>IF($A1000="","",SUMIFS(Transactions!$H$2:$H$1001,Transactions!$J$2:$J$1001,$A1000,Transactions!$A$2:$A$1001,2)*$I1000)</f>
        <v/>
      </c>
      <c r="P1000" s="291" t="str">
        <f t="shared" si="142"/>
        <v/>
      </c>
      <c r="Q1000" s="292" t="str">
        <f t="shared" si="143"/>
        <v/>
      </c>
    </row>
    <row r="1001" spans="1:17" ht="15" customHeight="1" x14ac:dyDescent="0.2">
      <c r="A1001" s="243" t="str">
        <f>IFERROR(INDEX(Txn[Key],MATCH(0,INDEX(COUNTIF($A$1:A1000,Txn[Key])+(Txn[Key]=""),0),0)),"")</f>
        <v/>
      </c>
      <c r="B1001" s="243" t="str">
        <f t="shared" si="135"/>
        <v/>
      </c>
      <c r="C1001" s="243" t="str">
        <f t="shared" si="136"/>
        <v/>
      </c>
      <c r="D1001" s="243" t="str">
        <f t="shared" si="137"/>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38"/>
        <v/>
      </c>
      <c r="K1001" s="287" t="str">
        <f t="shared" si="139"/>
        <v/>
      </c>
      <c r="L1001" s="287" t="str">
        <f t="shared" si="140"/>
        <v/>
      </c>
      <c r="M1001" s="290" t="str">
        <f t="shared" si="141"/>
        <v/>
      </c>
      <c r="N1001" s="243" t="str">
        <f>IF($A1001="","",IF(ABS(E1001)&gt;0.000001,COUNT($N$1:N1000)+1,""))</f>
        <v/>
      </c>
      <c r="O1001" s="291" t="str">
        <f>IF($A1001="","",SUMIFS(Transactions!$H$2:$H$1001,Transactions!$J$2:$J$1001,$A1001,Transactions!$A$2:$A$1001,2)*$I1001)</f>
        <v/>
      </c>
      <c r="P1001" s="291" t="str">
        <f t="shared" si="142"/>
        <v/>
      </c>
      <c r="Q1001" s="292"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8" t="s">
        <v>532</v>
      </c>
    </row>
    <row r="2" spans="1:7" ht="15" customHeight="1" x14ac:dyDescent="0.15">
      <c r="A2" s="38" t="s">
        <v>533</v>
      </c>
    </row>
    <row r="3" spans="1:7" ht="15" customHeight="1" x14ac:dyDescent="0.15">
      <c r="A3" s="113" t="s">
        <v>534</v>
      </c>
      <c r="B3" s="115">
        <f ca="1">IFERROR(XIRR($F$10:$F$10010,$B$10:$B$10010,0.1),"n/a")</f>
        <v>7.5773295760154721E-2</v>
      </c>
    </row>
    <row r="4" spans="1:7" ht="15" customHeight="1" x14ac:dyDescent="0.15">
      <c r="A4" s="113" t="s">
        <v>488</v>
      </c>
      <c r="B4" s="130">
        <f>SUM(Txn[Dividend SGD])</f>
      </c>
    </row>
    <row r="5" spans="1:7" ht="15" customHeight="1" x14ac:dyDescent="0.15">
      <c r="A5" s="113" t="s">
        <v>535</v>
      </c>
      <c r="B5" s="130">
        <f>'Stock Dashboard'!$B$5</f>
        <v>177864.44309718916</v>
      </c>
    </row>
    <row r="9" spans="1:7" ht="15" customHeight="1" x14ac:dyDescent="0.15">
      <c r="A9" s="113" t="s">
        <v>395</v>
      </c>
      <c r="B9" s="113" t="s">
        <v>206</v>
      </c>
      <c r="C9" s="113" t="s">
        <v>536</v>
      </c>
      <c r="D9" s="113" t="s">
        <v>537</v>
      </c>
      <c r="E9" s="113" t="s">
        <v>424</v>
      </c>
      <c r="F9" s="113" t="s">
        <v>538</v>
      </c>
      <c r="G9" s="113" t="s">
        <v>539</v>
      </c>
    </row>
    <row r="10" spans="1:7" ht="15" customHeight="1" x14ac:dyDescent="0.15">
      <c r="A10">
        <f>IF(INDEX(Transactions!$J:$J,ROW()-8)="","",INDEX(Transactions!$J:$J,ROW()-8))</f>
      </c>
      <c r="B10" s="297">
        <f>IF($A10="",TODAY(),INDEX(Transactions!$G:$G,ROW()-8))</f>
      </c>
      <c r="C10" s="298">
        <f>IF($A10="","",INDEX(Transactions!$A:$A,ROW()-8))</f>
      </c>
      <c r="D10" s="30">
        <f>IF($A10="",0,INDEX(Transactions!$H:$H,ROW()-8))</f>
      </c>
      <c r="E10" s="299">
        <f>IF($A10="",1,INDEX(Transactions!$N:$N,ROW()-8))</f>
        <v>1</v>
      </c>
      <c r="F10" s="30">
        <f>IF($A10="",0,INDEX(Transactions!$O:$O,ROW()-8))</f>
      </c>
      <c r="G10" s="30">
        <f>IF($A10="",0,INDEX(Transactions!$P:$P,ROW()-8))</f>
      </c>
    </row>
    <row r="11" spans="1:7" ht="15" customHeight="1" x14ac:dyDescent="0.15">
      <c r="A11">
        <f>IF(INDEX(Transactions!$J:$J,ROW()-8)="","",INDEX(Transactions!$J:$J,ROW()-8))</f>
      </c>
      <c r="B11" s="297">
        <f>IF($A11="",TODAY(),INDEX(Transactions!$G:$G,ROW()-8))</f>
      </c>
      <c r="C11" s="298">
        <f>IF($A11="","",INDEX(Transactions!$A:$A,ROW()-8))</f>
      </c>
      <c r="D11" s="30">
        <f>IF($A11="",0,INDEX(Transactions!$H:$H,ROW()-8))</f>
      </c>
      <c r="E11" s="299">
        <f>IF($A11="",1,INDEX(Transactions!$N:$N,ROW()-8))</f>
        <v>1</v>
      </c>
      <c r="F11" s="30">
        <f>IF($A11="",0,INDEX(Transactions!$O:$O,ROW()-8))</f>
      </c>
      <c r="G11" s="30">
        <f>IF($A11="",0,INDEX(Transactions!$P:$P,ROW()-8))</f>
      </c>
    </row>
    <row r="12" spans="1:7" ht="15" customHeight="1" x14ac:dyDescent="0.15">
      <c r="A12">
        <f>IF(INDEX(Transactions!$J:$J,ROW()-8)="","",INDEX(Transactions!$J:$J,ROW()-8))</f>
      </c>
      <c r="B12" s="297">
        <f>IF($A12="",TODAY(),INDEX(Transactions!$G:$G,ROW()-8))</f>
      </c>
      <c r="C12" s="298">
        <f>IF($A12="","",INDEX(Transactions!$A:$A,ROW()-8))</f>
      </c>
      <c r="D12" s="30">
        <f>IF($A12="",0,INDEX(Transactions!$H:$H,ROW()-8))</f>
      </c>
      <c r="E12" s="299">
        <f>IF($A12="",1,INDEX(Transactions!$N:$N,ROW()-8))</f>
        <v>1.2928081084924601</v>
      </c>
      <c r="F12" s="30">
        <f>IF($A12="",0,INDEX(Transactions!$O:$O,ROW()-8))</f>
      </c>
      <c r="G12" s="30">
        <f>IF($A12="",0,INDEX(Transactions!$P:$P,ROW()-8))</f>
      </c>
    </row>
    <row r="13" spans="1:7" ht="15" customHeight="1" x14ac:dyDescent="0.15">
      <c r="A13">
        <f>IF(INDEX(Transactions!$J:$J,ROW()-8)="","",INDEX(Transactions!$J:$J,ROW()-8))</f>
      </c>
      <c r="B13" s="297">
        <f>IF($A13="",TODAY(),INDEX(Transactions!$G:$G,ROW()-8))</f>
      </c>
      <c r="C13" s="298">
        <f>IF($A13="","",INDEX(Transactions!$A:$A,ROW()-8))</f>
      </c>
      <c r="D13" s="30">
        <f>IF($A13="",0,INDEX(Transactions!$H:$H,ROW()-8))</f>
      </c>
      <c r="E13" s="299">
        <f>IF($A13="",1,INDEX(Transactions!$N:$N,ROW()-8))</f>
        <v>1</v>
      </c>
      <c r="F13" s="30">
        <f>IF($A13="",0,INDEX(Transactions!$O:$O,ROW()-8))</f>
      </c>
      <c r="G13" s="30">
        <f>IF($A13="",0,INDEX(Transactions!$P:$P,ROW()-8))</f>
      </c>
    </row>
    <row r="14" spans="1:7" ht="15" customHeight="1" x14ac:dyDescent="0.15">
      <c r="A14">
        <f>IF(INDEX(Transactions!$J:$J,ROW()-8)="","",INDEX(Transactions!$J:$J,ROW()-8))</f>
      </c>
      <c r="B14" s="297">
        <f>IF($A14="",TODAY(),INDEX(Transactions!$G:$G,ROW()-8))</f>
      </c>
      <c r="C14" s="298">
        <f>IF($A14="","",INDEX(Transactions!$A:$A,ROW()-8))</f>
      </c>
      <c r="D14" s="30">
        <f>IF($A14="",0,INDEX(Transactions!$H:$H,ROW()-8))</f>
      </c>
      <c r="E14" s="299">
        <f>IF($A14="",1,INDEX(Transactions!$N:$N,ROW()-8))</f>
        <v>1.2928081084924601</v>
      </c>
      <c r="F14" s="30">
        <f>IF($A14="",0,INDEX(Transactions!$O:$O,ROW()-8))</f>
      </c>
      <c r="G14" s="30">
        <f>IF($A14="",0,INDEX(Transactions!$P:$P,ROW()-8))</f>
      </c>
    </row>
    <row r="15" spans="1:7" ht="15" customHeight="1" x14ac:dyDescent="0.15">
      <c r="A15">
        <f>IF(INDEX(Transactions!$J:$J,ROW()-8)="","",INDEX(Transactions!$J:$J,ROW()-8))</f>
      </c>
      <c r="B15" s="297">
        <f>IF($A15="",TODAY(),INDEX(Transactions!$G:$G,ROW()-8))</f>
      </c>
      <c r="C15" s="298">
        <f>IF($A15="","",INDEX(Transactions!$A:$A,ROW()-8))</f>
      </c>
      <c r="D15" s="30">
        <f>IF($A15="",0,INDEX(Transactions!$H:$H,ROW()-8))</f>
      </c>
      <c r="E15" s="299">
        <f>IF($A15="",1,INDEX(Transactions!$N:$N,ROW()-8))</f>
        <v>0.16489949375855401</v>
      </c>
      <c r="F15" s="30">
        <f>IF($A15="",0,INDEX(Transactions!$O:$O,ROW()-8))</f>
      </c>
      <c r="G15" s="30">
        <f>IF($A15="",0,INDEX(Transactions!$P:$P,ROW()-8))</f>
      </c>
    </row>
    <row r="16" spans="1:7" ht="15" customHeight="1" x14ac:dyDescent="0.15">
      <c r="A16">
        <f>IF(INDEX(Transactions!$J:$J,ROW()-8)="","",INDEX(Transactions!$J:$J,ROW()-8))</f>
      </c>
      <c r="B16" s="297">
        <f>IF($A16="",TODAY(),INDEX(Transactions!$G:$G,ROW()-8))</f>
      </c>
      <c r="C16" s="298">
        <f>IF($A16="","",INDEX(Transactions!$A:$A,ROW()-8))</f>
      </c>
      <c r="D16" s="30">
        <f>IF($A16="",0,INDEX(Transactions!$H:$H,ROW()-8))</f>
      </c>
      <c r="E16" s="299">
        <f>IF($A16="",1,INDEX(Transactions!$N:$N,ROW()-8))</f>
        <v>1.2928081084924601</v>
      </c>
      <c r="F16" s="30">
        <f>IF($A16="",0,INDEX(Transactions!$O:$O,ROW()-8))</f>
      </c>
      <c r="G16" s="30">
        <f>IF($A16="",0,INDEX(Transactions!$P:$P,ROW()-8))</f>
      </c>
    </row>
    <row r="17" spans="1:7" ht="15" customHeight="1" x14ac:dyDescent="0.15">
      <c r="A17">
        <f>IF(INDEX(Transactions!$J:$J,ROW()-8)="","",INDEX(Transactions!$J:$J,ROW()-8))</f>
      </c>
      <c r="B17" s="297">
        <f>IF($A17="",TODAY(),INDEX(Transactions!$G:$G,ROW()-8))</f>
      </c>
      <c r="C17" s="298">
        <f>IF($A17="","",INDEX(Transactions!$A:$A,ROW()-8))</f>
      </c>
      <c r="D17" s="30">
        <f>IF($A17="",0,INDEX(Transactions!$H:$H,ROW()-8))</f>
      </c>
      <c r="E17" s="299">
        <f>IF($A17="",1,INDEX(Transactions!$N:$N,ROW()-8))</f>
        <v>1</v>
      </c>
      <c r="F17" s="30">
        <f>IF($A17="",0,INDEX(Transactions!$O:$O,ROW()-8))</f>
      </c>
      <c r="G17" s="30">
        <f>IF($A17="",0,INDEX(Transactions!$P:$P,ROW()-8))</f>
      </c>
    </row>
    <row r="18" spans="1:7" ht="15" customHeight="1" x14ac:dyDescent="0.15">
      <c r="A18">
        <f>IF(INDEX(Transactions!$J:$J,ROW()-8)="","",INDEX(Transactions!$J:$J,ROW()-8))</f>
      </c>
      <c r="B18" s="297">
        <f>IF($A18="",TODAY(),INDEX(Transactions!$G:$G,ROW()-8))</f>
      </c>
      <c r="C18" s="298">
        <f>IF($A18="","",INDEX(Transactions!$A:$A,ROW()-8))</f>
      </c>
      <c r="D18" s="30">
        <f>IF($A18="",0,INDEX(Transactions!$H:$H,ROW()-8))</f>
      </c>
      <c r="E18" s="299">
        <f>IF($A18="",1,INDEX(Transactions!$N:$N,ROW()-8))</f>
        <v>1</v>
      </c>
      <c r="F18" s="30">
        <f>IF($A18="",0,INDEX(Transactions!$O:$O,ROW()-8))</f>
      </c>
      <c r="G18" s="30">
        <f>IF($A18="",0,INDEX(Transactions!$P:$P,ROW()-8))</f>
      </c>
    </row>
    <row r="19" spans="1:7" ht="15" customHeight="1" x14ac:dyDescent="0.15">
      <c r="A19">
        <f>IF(INDEX(Transactions!$J:$J,ROW()-8)="","",INDEX(Transactions!$J:$J,ROW()-8))</f>
      </c>
      <c r="B19" s="297">
        <f>IF($A19="",TODAY(),INDEX(Transactions!$G:$G,ROW()-8))</f>
      </c>
      <c r="C19" s="298">
        <f>IF($A19="","",INDEX(Transactions!$A:$A,ROW()-8))</f>
      </c>
      <c r="D19" s="30">
        <f>IF($A19="",0,INDEX(Transactions!$H:$H,ROW()-8))</f>
      </c>
      <c r="E19" s="299">
        <f>IF($A19="",1,INDEX(Transactions!$N:$N,ROW()-8))</f>
        <v>1</v>
      </c>
      <c r="F19" s="30">
        <f>IF($A19="",0,INDEX(Transactions!$O:$O,ROW()-8))</f>
      </c>
      <c r="G19" s="30">
        <f>IF($A19="",0,INDEX(Transactions!$P:$P,ROW()-8))</f>
      </c>
    </row>
    <row r="20" spans="1:7" ht="15" customHeight="1" x14ac:dyDescent="0.15">
      <c r="A20">
        <f>IF(INDEX(Transactions!$J:$J,ROW()-8)="","",INDEX(Transactions!$J:$J,ROW()-8))</f>
      </c>
      <c r="B20" s="297">
        <f>IF($A20="",TODAY(),INDEX(Transactions!$G:$G,ROW()-8))</f>
      </c>
      <c r="C20" s="298">
        <f>IF($A20="","",INDEX(Transactions!$A:$A,ROW()-8))</f>
      </c>
      <c r="D20" s="30">
        <f>IF($A20="",0,INDEX(Transactions!$H:$H,ROW()-8))</f>
      </c>
      <c r="E20" s="299">
        <f>IF($A20="",1,INDEX(Transactions!$N:$N,ROW()-8))</f>
        <v>1.2928081084924601</v>
      </c>
      <c r="F20" s="30">
        <f>IF($A20="",0,INDEX(Transactions!$O:$O,ROW()-8))</f>
      </c>
      <c r="G20" s="30">
        <f>IF($A20="",0,INDEX(Transactions!$P:$P,ROW()-8))</f>
      </c>
    </row>
    <row r="21" spans="1:7" ht="15" customHeight="1" x14ac:dyDescent="0.15">
      <c r="A21">
        <f>IF(INDEX(Transactions!$J:$J,ROW()-8)="","",INDEX(Transactions!$J:$J,ROW()-8))</f>
      </c>
      <c r="B21" s="297">
        <f>IF($A21="",TODAY(),INDEX(Transactions!$G:$G,ROW()-8))</f>
      </c>
      <c r="C21" s="298">
        <f>IF($A21="","",INDEX(Transactions!$A:$A,ROW()-8))</f>
      </c>
      <c r="D21" s="30">
        <f>IF($A21="",0,INDEX(Transactions!$H:$H,ROW()-8))</f>
      </c>
      <c r="E21" s="299">
        <f>IF($A21="",1,INDEX(Transactions!$N:$N,ROW()-8))</f>
        <v>1</v>
      </c>
      <c r="F21" s="30">
        <f>IF($A21="",0,INDEX(Transactions!$O:$O,ROW()-8))</f>
      </c>
      <c r="G21" s="30">
        <f>IF($A21="",0,INDEX(Transactions!$P:$P,ROW()-8))</f>
      </c>
    </row>
    <row r="22" spans="1:7" ht="15" customHeight="1" x14ac:dyDescent="0.15">
      <c r="A22">
        <f>IF(INDEX(Transactions!$J:$J,ROW()-8)="","",INDEX(Transactions!$J:$J,ROW()-8))</f>
      </c>
      <c r="B22" s="297">
        <f>IF($A22="",TODAY(),INDEX(Transactions!$G:$G,ROW()-8))</f>
      </c>
      <c r="C22" s="298">
        <f>IF($A22="","",INDEX(Transactions!$A:$A,ROW()-8))</f>
      </c>
      <c r="D22" s="30">
        <f>IF($A22="",0,INDEX(Transactions!$H:$H,ROW()-8))</f>
      </c>
      <c r="E22" s="299">
        <f>IF($A22="",1,INDEX(Transactions!$N:$N,ROW()-8))</f>
        <v>1.2928081084924601</v>
      </c>
      <c r="F22" s="30">
        <f>IF($A22="",0,INDEX(Transactions!$O:$O,ROW()-8))</f>
      </c>
      <c r="G22" s="30">
        <f>IF($A22="",0,INDEX(Transactions!$P:$P,ROW()-8))</f>
      </c>
    </row>
    <row r="23" spans="1:7" ht="15" customHeight="1" x14ac:dyDescent="0.15">
      <c r="A23">
        <f>IF(INDEX(Transactions!$J:$J,ROW()-8)="","",INDEX(Transactions!$J:$J,ROW()-8))</f>
      </c>
      <c r="B23" s="297">
        <f>IF($A23="",TODAY(),INDEX(Transactions!$G:$G,ROW()-8))</f>
      </c>
      <c r="C23" s="298">
        <f>IF($A23="","",INDEX(Transactions!$A:$A,ROW()-8))</f>
      </c>
      <c r="D23" s="30">
        <f>IF($A23="",0,INDEX(Transactions!$H:$H,ROW()-8))</f>
      </c>
      <c r="E23" s="299">
        <f>IF($A23="",1,INDEX(Transactions!$N:$N,ROW()-8))</f>
        <v>1.2928081084924601</v>
      </c>
      <c r="F23" s="30">
        <f>IF($A23="",0,INDEX(Transactions!$O:$O,ROW()-8))</f>
      </c>
      <c r="G23" s="30">
        <f>IF($A23="",0,INDEX(Transactions!$P:$P,ROW()-8))</f>
      </c>
    </row>
    <row r="24" spans="1:7" ht="15" customHeight="1" x14ac:dyDescent="0.15">
      <c r="A24">
        <f>IF(INDEX(Transactions!$J:$J,ROW()-8)="","",INDEX(Transactions!$J:$J,ROW()-8))</f>
      </c>
      <c r="B24" s="297">
        <f>IF($A24="",TODAY(),INDEX(Transactions!$G:$G,ROW()-8))</f>
      </c>
      <c r="C24" s="298">
        <f>IF($A24="","",INDEX(Transactions!$A:$A,ROW()-8))</f>
      </c>
      <c r="D24" s="30">
        <f>IF($A24="",0,INDEX(Transactions!$H:$H,ROW()-8))</f>
      </c>
      <c r="E24" s="299">
        <f>IF($A24="",1,INDEX(Transactions!$N:$N,ROW()-8))</f>
        <v>1</v>
      </c>
      <c r="F24" s="30">
        <f>IF($A24="",0,INDEX(Transactions!$O:$O,ROW()-8))</f>
      </c>
      <c r="G24" s="30">
        <f>IF($A24="",0,INDEX(Transactions!$P:$P,ROW()-8))</f>
      </c>
    </row>
    <row r="25" spans="1:7" ht="15" customHeight="1" x14ac:dyDescent="0.15">
      <c r="A25">
        <f>IF(INDEX(Transactions!$J:$J,ROW()-8)="","",INDEX(Transactions!$J:$J,ROW()-8))</f>
      </c>
      <c r="B25" s="297">
        <f>IF($A25="",TODAY(),INDEX(Transactions!$G:$G,ROW()-8))</f>
      </c>
      <c r="C25" s="298">
        <f>IF($A25="","",INDEX(Transactions!$A:$A,ROW()-8))</f>
      </c>
      <c r="D25" s="30">
        <f>IF($A25="",0,INDEX(Transactions!$H:$H,ROW()-8))</f>
      </c>
      <c r="E25" s="300">
        <f>IF($A25="",1,INDEX(Transactions!$N:$N,ROW()-8))</f>
        <v>1.2928081084924601</v>
      </c>
      <c r="F25" s="30">
        <f>IF($A25="",0,INDEX(Transactions!$O:$O,ROW()-8))</f>
      </c>
      <c r="G25" s="30">
        <f>IF($A25="",0,INDEX(Transactions!$P:$P,ROW()-8))</f>
      </c>
    </row>
    <row r="26" spans="1:7" ht="15" customHeight="1" x14ac:dyDescent="0.15">
      <c r="A26">
        <f>IF(INDEX(Transactions!$J:$J,ROW()-8)="","",INDEX(Transactions!$J:$J,ROW()-8))</f>
      </c>
      <c r="B26" s="297">
        <f>IF($A26="",TODAY(),INDEX(Transactions!$G:$G,ROW()-8))</f>
      </c>
      <c r="C26" s="298">
        <f>IF($A26="","",INDEX(Transactions!$A:$A,ROW()-8))</f>
      </c>
      <c r="D26" s="30">
        <f>IF($A26="",0,INDEX(Transactions!$H:$H,ROW()-8))</f>
      </c>
      <c r="E26" s="300">
        <f>IF($A26="",1,INDEX(Transactions!$N:$N,ROW()-8))</f>
        <v>1</v>
      </c>
      <c r="F26" s="30">
        <f>IF($A26="",0,INDEX(Transactions!$O:$O,ROW()-8))</f>
      </c>
      <c r="G26" s="30">
        <f>IF($A26="",0,INDEX(Transactions!$P:$P,ROW()-8))</f>
      </c>
    </row>
    <row r="27" spans="1:7" ht="15" customHeight="1" x14ac:dyDescent="0.15">
      <c r="A27">
        <f>IF(INDEX(Transactions!$J:$J,ROW()-8)="","",INDEX(Transactions!$J:$J,ROW()-8))</f>
      </c>
      <c r="B27" s="297">
        <f>IF($A27="",TODAY(),INDEX(Transactions!$G:$G,ROW()-8))</f>
      </c>
      <c r="C27" s="298">
        <f>IF($A27="","",INDEX(Transactions!$A:$A,ROW()-8))</f>
      </c>
      <c r="D27" s="30">
        <f>IF($A27="",0,INDEX(Transactions!$H:$H,ROW()-8))</f>
      </c>
      <c r="E27" s="299">
        <f>IF($A27="",1,INDEX(Transactions!$N:$N,ROW()-8))</f>
        <v>1</v>
      </c>
      <c r="F27" s="30">
        <f>IF($A27="",0,INDEX(Transactions!$O:$O,ROW()-8))</f>
      </c>
      <c r="G27" s="30">
        <f>IF($A27="",0,INDEX(Transactions!$P:$P,ROW()-8))</f>
      </c>
    </row>
    <row r="28" spans="1:7" ht="15" customHeight="1" x14ac:dyDescent="0.15">
      <c r="A28">
        <f>IF(INDEX(Transactions!$J:$J,ROW()-8)="","",INDEX(Transactions!$J:$J,ROW()-8))</f>
      </c>
      <c r="B28" s="297">
        <f>IF($A28="",TODAY(),INDEX(Transactions!$G:$G,ROW()-8))</f>
      </c>
      <c r="C28" s="298">
        <f>IF($A28="","",INDEX(Transactions!$A:$A,ROW()-8))</f>
      </c>
      <c r="D28" s="30">
        <f>IF($A28="",0,INDEX(Transactions!$H:$H,ROW()-8))</f>
      </c>
      <c r="E28" s="299">
        <f>IF($A28="",1,INDEX(Transactions!$N:$N,ROW()-8))</f>
        <v>1</v>
      </c>
      <c r="F28" s="30">
        <f>IF($A28="",0,INDEX(Transactions!$O:$O,ROW()-8))</f>
      </c>
      <c r="G28" s="30">
        <f>IF($A28="",0,INDEX(Transactions!$P:$P,ROW()-8))</f>
      </c>
    </row>
    <row r="29" spans="1:7" ht="15" customHeight="1" x14ac:dyDescent="0.15">
      <c r="A29">
        <f>IF(INDEX(Transactions!$J:$J,ROW()-8)="","",INDEX(Transactions!$J:$J,ROW()-8))</f>
      </c>
      <c r="B29" s="297">
        <f>IF($A29="",TODAY(),INDEX(Transactions!$G:$G,ROW()-8))</f>
      </c>
      <c r="C29" s="298">
        <f>IF($A29="","",INDEX(Transactions!$A:$A,ROW()-8))</f>
      </c>
      <c r="D29" s="30">
        <f>IF($A29="",0,INDEX(Transactions!$H:$H,ROW()-8))</f>
      </c>
      <c r="E29" s="299">
        <f>IF($A29="",1,INDEX(Transactions!$N:$N,ROW()-8))</f>
        <v>1</v>
      </c>
      <c r="F29" s="30">
        <f>IF($A29="",0,INDEX(Transactions!$O:$O,ROW()-8))</f>
      </c>
      <c r="G29" s="30">
        <f>IF($A29="",0,INDEX(Transactions!$P:$P,ROW()-8))</f>
      </c>
    </row>
    <row r="30" spans="1:7" ht="15" customHeight="1" x14ac:dyDescent="0.15">
      <c r="A30">
        <f>IF(INDEX(Transactions!$J:$J,ROW()-8)="","",INDEX(Transactions!$J:$J,ROW()-8))</f>
      </c>
      <c r="B30" s="297">
        <f>IF($A30="",TODAY(),INDEX(Transactions!$G:$G,ROW()-8))</f>
      </c>
      <c r="C30" s="298">
        <f>IF($A30="","",INDEX(Transactions!$A:$A,ROW()-8))</f>
      </c>
      <c r="D30" s="30">
        <f>IF($A30="",0,INDEX(Transactions!$H:$H,ROW()-8))</f>
      </c>
      <c r="E30" s="299">
        <f>IF($A30="",1,INDEX(Transactions!$N:$N,ROW()-8))</f>
        <v>1</v>
      </c>
      <c r="F30" s="30">
        <f>IF($A30="",0,INDEX(Transactions!$O:$O,ROW()-8))</f>
      </c>
      <c r="G30" s="30">
        <f>IF($A30="",0,INDEX(Transactions!$P:$P,ROW()-8))</f>
      </c>
    </row>
    <row r="31" spans="1:7" ht="15" customHeight="1" x14ac:dyDescent="0.15">
      <c r="A31">
        <f>IF(INDEX(Transactions!$J:$J,ROW()-8)="","",INDEX(Transactions!$J:$J,ROW()-8))</f>
      </c>
      <c r="B31" s="297">
        <f>IF($A31="",TODAY(),INDEX(Transactions!$G:$G,ROW()-8))</f>
      </c>
      <c r="C31" s="298">
        <f>IF($A31="","",INDEX(Transactions!$A:$A,ROW()-8))</f>
      </c>
      <c r="D31" s="30">
        <f>IF($A31="",0,INDEX(Transactions!$H:$H,ROW()-8))</f>
      </c>
      <c r="E31" s="299">
        <f>IF($A31="",1,INDEX(Transactions!$N:$N,ROW()-8))</f>
        <v>1</v>
      </c>
      <c r="F31" s="30">
        <f>IF($A31="",0,INDEX(Transactions!$O:$O,ROW()-8))</f>
      </c>
      <c r="G31" s="30">
        <f>IF($A31="",0,INDEX(Transactions!$P:$P,ROW()-8))</f>
      </c>
    </row>
    <row r="32" spans="1:7" ht="15" customHeight="1" x14ac:dyDescent="0.15">
      <c r="A32">
        <f>IF(INDEX(Transactions!$J:$J,ROW()-8)="","",INDEX(Transactions!$J:$J,ROW()-8))</f>
      </c>
      <c r="B32" s="297">
        <f>IF($A32="",TODAY(),INDEX(Transactions!$G:$G,ROW()-8))</f>
      </c>
      <c r="C32" s="298">
        <f>IF($A32="","",INDEX(Transactions!$A:$A,ROW()-8))</f>
      </c>
      <c r="D32" s="30">
        <f>IF($A32="",0,INDEX(Transactions!$H:$H,ROW()-8))</f>
      </c>
      <c r="E32" s="299">
        <f>IF($A32="",1,INDEX(Transactions!$N:$N,ROW()-8))</f>
        <v>1</v>
      </c>
      <c r="F32" s="30">
        <f>IF($A32="",0,INDEX(Transactions!$O:$O,ROW()-8))</f>
      </c>
      <c r="G32" s="30">
        <f>IF($A32="",0,INDEX(Transactions!$P:$P,ROW()-8))</f>
      </c>
    </row>
    <row r="33" spans="1:7" ht="15" customHeight="1" x14ac:dyDescent="0.15">
      <c r="A33">
        <f>IF(INDEX(Transactions!$J:$J,ROW()-8)="","",INDEX(Transactions!$J:$J,ROW()-8))</f>
      </c>
      <c r="B33" s="297">
        <f>IF($A33="",TODAY(),INDEX(Transactions!$G:$G,ROW()-8))</f>
      </c>
      <c r="C33" s="298">
        <f>IF($A33="","",INDEX(Transactions!$A:$A,ROW()-8))</f>
      </c>
      <c r="D33" s="30">
        <f>IF($A33="",0,INDEX(Transactions!$H:$H,ROW()-8))</f>
      </c>
      <c r="E33" s="300">
        <f>IF($A33="",1,INDEX(Transactions!$N:$N,ROW()-8))</f>
        <v>1</v>
      </c>
      <c r="F33" s="30">
        <f>IF($A33="",0,INDEX(Transactions!$O:$O,ROW()-8))</f>
      </c>
      <c r="G33" s="30">
        <f>IF($A33="",0,INDEX(Transactions!$P:$P,ROW()-8))</f>
      </c>
    </row>
    <row r="34" spans="1:7" ht="15" customHeight="1" x14ac:dyDescent="0.15">
      <c r="A34">
        <f>IF(INDEX(Transactions!$J:$J,ROW()-8)="","",INDEX(Transactions!$J:$J,ROW()-8))</f>
      </c>
      <c r="B34" s="297">
        <f>IF($A34="",TODAY(),INDEX(Transactions!$G:$G,ROW()-8))</f>
      </c>
      <c r="C34" s="298">
        <f>IF($A34="","",INDEX(Transactions!$A:$A,ROW()-8))</f>
      </c>
      <c r="D34" s="30">
        <f>IF($A34="",0,INDEX(Transactions!$H:$H,ROW()-8))</f>
      </c>
      <c r="E34" s="299">
        <f>IF($A34="",1,INDEX(Transactions!$N:$N,ROW()-8))</f>
        <v>1</v>
      </c>
      <c r="F34" s="30">
        <f>IF($A34="",0,INDEX(Transactions!$O:$O,ROW()-8))</f>
      </c>
      <c r="G34" s="30">
        <f>IF($A34="",0,INDEX(Transactions!$P:$P,ROW()-8))</f>
      </c>
    </row>
    <row r="35" spans="1:7" ht="15" customHeight="1" x14ac:dyDescent="0.15">
      <c r="A35">
        <f>IF(INDEX(Transactions!$J:$J,ROW()-8)="","",INDEX(Transactions!$J:$J,ROW()-8))</f>
      </c>
      <c r="B35" s="297">
        <f>IF($A35="",TODAY(),INDEX(Transactions!$G:$G,ROW()-8))</f>
      </c>
      <c r="C35" s="298">
        <f>IF($A35="","",INDEX(Transactions!$A:$A,ROW()-8))</f>
      </c>
      <c r="D35" s="30">
        <f>IF($A35="",0,INDEX(Transactions!$H:$H,ROW()-8))</f>
      </c>
      <c r="E35" s="299">
        <f>IF($A35="",1,INDEX(Transactions!$N:$N,ROW()-8))</f>
        <v>1</v>
      </c>
      <c r="F35" s="30">
        <f>IF($A35="",0,INDEX(Transactions!$O:$O,ROW()-8))</f>
      </c>
      <c r="G35" s="30">
        <f>IF($A35="",0,INDEX(Transactions!$P:$P,ROW()-8))</f>
      </c>
    </row>
    <row r="36" spans="1:7" ht="15" customHeight="1" x14ac:dyDescent="0.15">
      <c r="A36">
        <f>IF(INDEX(Transactions!$J:$J,ROW()-8)="","",INDEX(Transactions!$J:$J,ROW()-8))</f>
      </c>
      <c r="B36" s="297">
        <f>IF($A36="",TODAY(),INDEX(Transactions!$G:$G,ROW()-8))</f>
      </c>
      <c r="C36" s="298">
        <f>IF($A36="","",INDEX(Transactions!$A:$A,ROW()-8))</f>
      </c>
      <c r="D36" s="30">
        <f>IF($A36="",0,INDEX(Transactions!$H:$H,ROW()-8))</f>
      </c>
      <c r="E36" s="299">
        <f>IF($A36="",1,INDEX(Transactions!$N:$N,ROW()-8))</f>
        <v>1</v>
      </c>
      <c r="F36" s="30">
        <f>IF($A36="",0,INDEX(Transactions!$O:$O,ROW()-8))</f>
      </c>
      <c r="G36" s="30">
        <f>IF($A36="",0,INDEX(Transactions!$P:$P,ROW()-8))</f>
      </c>
    </row>
    <row r="37" spans="1:7" ht="15" customHeight="1" x14ac:dyDescent="0.15">
      <c r="A37">
        <f>IF(INDEX(Transactions!$J:$J,ROW()-8)="","",INDEX(Transactions!$J:$J,ROW()-8))</f>
      </c>
      <c r="B37" s="297">
        <f>IF($A37="",TODAY(),INDEX(Transactions!$G:$G,ROW()-8))</f>
      </c>
      <c r="C37" s="298">
        <f>IF($A37="","",INDEX(Transactions!$A:$A,ROW()-8))</f>
      </c>
      <c r="D37" s="30">
        <f>IF($A37="",0,INDEX(Transactions!$H:$H,ROW()-8))</f>
      </c>
      <c r="E37" s="300">
        <f>IF($A37="",1,INDEX(Transactions!$N:$N,ROW()-8))</f>
        <v>1</v>
      </c>
      <c r="F37" s="30">
        <f>IF($A37="",0,INDEX(Transactions!$O:$O,ROW()-8))</f>
      </c>
      <c r="G37" s="30">
        <f>IF($A37="",0,INDEX(Transactions!$P:$P,ROW()-8))</f>
      </c>
    </row>
    <row r="38" spans="1:7" ht="15" customHeight="1" x14ac:dyDescent="0.15">
      <c r="A38">
        <f>IF(INDEX(Transactions!$J:$J,ROW()-8)="","",INDEX(Transactions!$J:$J,ROW()-8))</f>
      </c>
      <c r="B38" s="297">
        <f>IF($A38="",TODAY(),INDEX(Transactions!$G:$G,ROW()-8))</f>
      </c>
      <c r="C38" s="298">
        <f>IF($A38="","",INDEX(Transactions!$A:$A,ROW()-8))</f>
      </c>
      <c r="D38" s="30">
        <f>IF($A38="",0,INDEX(Transactions!$H:$H,ROW()-8))</f>
      </c>
      <c r="E38" s="300">
        <f>IF($A38="",1,INDEX(Transactions!$N:$N,ROW()-8))</f>
        <v>1</v>
      </c>
      <c r="F38" s="30">
        <f>IF($A38="",0,INDEX(Transactions!$O:$O,ROW()-8))</f>
      </c>
      <c r="G38" s="30">
        <f>IF($A38="",0,INDEX(Transactions!$P:$P,ROW()-8))</f>
      </c>
    </row>
    <row r="39" spans="1:7" ht="15" customHeight="1" x14ac:dyDescent="0.15">
      <c r="A39">
        <f>IF(INDEX(Transactions!$J:$J,ROW()-8)="","",INDEX(Transactions!$J:$J,ROW()-8))</f>
      </c>
      <c r="B39" s="297">
        <f>IF($A39="",TODAY(),INDEX(Transactions!$G:$G,ROW()-8))</f>
      </c>
      <c r="C39" s="298">
        <f>IF($A39="","",INDEX(Transactions!$A:$A,ROW()-8))</f>
      </c>
      <c r="D39" s="30">
        <f>IF($A39="",0,INDEX(Transactions!$H:$H,ROW()-8))</f>
      </c>
      <c r="E39" s="299">
        <f>IF($A39="",1,INDEX(Transactions!$N:$N,ROW()-8))</f>
        <v>1</v>
      </c>
      <c r="F39" s="30">
        <f>IF($A39="",0,INDEX(Transactions!$O:$O,ROW()-8))</f>
      </c>
      <c r="G39" s="30">
        <f>IF($A39="",0,INDEX(Transactions!$P:$P,ROW()-8))</f>
      </c>
    </row>
    <row r="40" spans="1:7" ht="15" customHeight="1" x14ac:dyDescent="0.15">
      <c r="A40">
        <f>IF(INDEX(Transactions!$J:$J,ROW()-8)="","",INDEX(Transactions!$J:$J,ROW()-8))</f>
      </c>
      <c r="B40" s="297">
        <f>IF($A40="",TODAY(),INDEX(Transactions!$G:$G,ROW()-8))</f>
      </c>
      <c r="C40" s="298">
        <f>IF($A40="","",INDEX(Transactions!$A:$A,ROW()-8))</f>
      </c>
      <c r="D40" s="30">
        <f>IF($A40="",0,INDEX(Transactions!$H:$H,ROW()-8))</f>
      </c>
      <c r="E40" s="300">
        <f>IF($A40="",1,INDEX(Transactions!$N:$N,ROW()-8))</f>
        <v>1</v>
      </c>
      <c r="F40" s="30">
        <f>IF($A40="",0,INDEX(Transactions!$O:$O,ROW()-8))</f>
      </c>
      <c r="G40" s="30">
        <f>IF($A40="",0,INDEX(Transactions!$P:$P,ROW()-8))</f>
      </c>
    </row>
    <row r="41" spans="1:7" ht="15" customHeight="1" x14ac:dyDescent="0.15">
      <c r="A41">
        <f>IF(INDEX(Transactions!$J:$J,ROW()-8)="","",INDEX(Transactions!$J:$J,ROW()-8))</f>
      </c>
      <c r="B41" s="297">
        <f>IF($A41="",TODAY(),INDEX(Transactions!$G:$G,ROW()-8))</f>
      </c>
      <c r="C41" s="298">
        <f>IF($A41="","",INDEX(Transactions!$A:$A,ROW()-8))</f>
      </c>
      <c r="D41" s="30">
        <f>IF($A41="",0,INDEX(Transactions!$H:$H,ROW()-8))</f>
      </c>
      <c r="E41" s="299">
        <f>IF($A41="",1,INDEX(Transactions!$N:$N,ROW()-8))</f>
        <v>1</v>
      </c>
      <c r="F41" s="30">
        <f>IF($A41="",0,INDEX(Transactions!$O:$O,ROW()-8))</f>
      </c>
      <c r="G41" s="30">
        <f>IF($A41="",0,INDEX(Transactions!$P:$P,ROW()-8))</f>
      </c>
    </row>
    <row r="42" spans="1:7" ht="15" customHeight="1" x14ac:dyDescent="0.15">
      <c r="A42">
        <f>IF(INDEX(Transactions!$J:$J,ROW()-8)="","",INDEX(Transactions!$J:$J,ROW()-8))</f>
      </c>
      <c r="B42" s="297">
        <f>IF($A42="",TODAY(),INDEX(Transactions!$G:$G,ROW()-8))</f>
      </c>
      <c r="C42" s="298">
        <f>IF($A42="","",INDEX(Transactions!$A:$A,ROW()-8))</f>
      </c>
      <c r="D42" s="30">
        <f>IF($A42="",0,INDEX(Transactions!$H:$H,ROW()-8))</f>
      </c>
      <c r="E42" s="299">
        <f>IF($A42="",1,INDEX(Transactions!$N:$N,ROW()-8))</f>
        <v>1</v>
      </c>
      <c r="F42" s="30">
        <f>IF($A42="",0,INDEX(Transactions!$O:$O,ROW()-8))</f>
      </c>
      <c r="G42" s="30">
        <f>IF($A42="",0,INDEX(Transactions!$P:$P,ROW()-8))</f>
      </c>
    </row>
    <row r="43" spans="1:7" ht="15" customHeight="1" x14ac:dyDescent="0.15">
      <c r="A43">
        <f>IF(INDEX(Transactions!$J:$J,ROW()-8)="","",INDEX(Transactions!$J:$J,ROW()-8))</f>
      </c>
      <c r="B43" s="297">
        <f>IF($A43="",TODAY(),INDEX(Transactions!$G:$G,ROW()-8))</f>
      </c>
      <c r="C43" s="298">
        <f>IF($A43="","",INDEX(Transactions!$A:$A,ROW()-8))</f>
      </c>
      <c r="D43" s="30">
        <f>IF($A43="",0,INDEX(Transactions!$H:$H,ROW()-8))</f>
      </c>
      <c r="E43" s="300">
        <f>IF($A43="",1,INDEX(Transactions!$N:$N,ROW()-8))</f>
        <v>1</v>
      </c>
      <c r="F43" s="30">
        <f>IF($A43="",0,INDEX(Transactions!$O:$O,ROW()-8))</f>
      </c>
      <c r="G43" s="30">
        <f>IF($A43="",0,INDEX(Transactions!$P:$P,ROW()-8))</f>
      </c>
    </row>
    <row r="44" spans="1:7" ht="15" customHeight="1" x14ac:dyDescent="0.15">
      <c r="A44">
        <f>IF(INDEX(Transactions!$J:$J,ROW()-8)="","",INDEX(Transactions!$J:$J,ROW()-8))</f>
      </c>
      <c r="B44" s="297">
        <f>IF($A44="",TODAY(),INDEX(Transactions!$G:$G,ROW()-8))</f>
      </c>
      <c r="C44" s="298">
        <f>IF($A44="","",INDEX(Transactions!$A:$A,ROW()-8))</f>
      </c>
      <c r="D44" s="30">
        <f>IF($A44="",0,INDEX(Transactions!$H:$H,ROW()-8))</f>
      </c>
      <c r="E44" s="300">
        <f>IF($A44="",1,INDEX(Transactions!$N:$N,ROW()-8))</f>
        <v>1</v>
      </c>
      <c r="F44" s="30">
        <f>IF($A44="",0,INDEX(Transactions!$O:$O,ROW()-8))</f>
      </c>
      <c r="G44" s="30">
        <f>IF($A44="",0,INDEX(Transactions!$P:$P,ROW()-8))</f>
      </c>
    </row>
    <row r="45" spans="1:7" ht="15" customHeight="1" x14ac:dyDescent="0.15">
      <c r="A45">
        <f>IF(INDEX(Transactions!$J:$J,ROW()-8)="","",INDEX(Transactions!$J:$J,ROW()-8))</f>
      </c>
      <c r="B45" s="297">
        <f>IF($A45="",TODAY(),INDEX(Transactions!$G:$G,ROW()-8))</f>
      </c>
      <c r="C45" s="298">
        <f>IF($A45="","",INDEX(Transactions!$A:$A,ROW()-8))</f>
      </c>
      <c r="D45" s="30">
        <f>IF($A45="",0,INDEX(Transactions!$H:$H,ROW()-8))</f>
      </c>
      <c r="E45" s="299">
        <f>IF($A45="",1,INDEX(Transactions!$N:$N,ROW()-8))</f>
        <v>1</v>
      </c>
      <c r="F45" s="30">
        <f>IF($A45="",0,INDEX(Transactions!$O:$O,ROW()-8))</f>
      </c>
      <c r="G45" s="30">
        <f>IF($A45="",0,INDEX(Transactions!$P:$P,ROW()-8))</f>
      </c>
    </row>
    <row r="46" spans="1:7" ht="15" customHeight="1" x14ac:dyDescent="0.15">
      <c r="A46">
        <f>IF(INDEX(Transactions!$J:$J,ROW()-8)="","",INDEX(Transactions!$J:$J,ROW()-8))</f>
      </c>
      <c r="B46" s="297">
        <f>IF($A46="",TODAY(),INDEX(Transactions!$G:$G,ROW()-8))</f>
      </c>
      <c r="C46" s="298">
        <f>IF($A46="","",INDEX(Transactions!$A:$A,ROW()-8))</f>
      </c>
      <c r="D46" s="30">
        <f>IF($A46="",0,INDEX(Transactions!$H:$H,ROW()-8))</f>
      </c>
      <c r="E46" s="300">
        <f>IF($A46="",1,INDEX(Transactions!$N:$N,ROW()-8))</f>
        <v>1</v>
      </c>
      <c r="F46" s="30">
        <f>IF($A46="",0,INDEX(Transactions!$O:$O,ROW()-8))</f>
      </c>
      <c r="G46" s="30">
        <f>IF($A46="",0,INDEX(Transactions!$P:$P,ROW()-8))</f>
      </c>
    </row>
    <row r="47" spans="1:7" ht="15" customHeight="1" x14ac:dyDescent="0.15">
      <c r="A47">
        <f>IF(INDEX(Transactions!$J:$J,ROW()-8)="","",INDEX(Transactions!$J:$J,ROW()-8))</f>
      </c>
      <c r="B47" s="297">
        <f>IF($A47="",TODAY(),INDEX(Transactions!$G:$G,ROW()-8))</f>
      </c>
      <c r="C47" s="298">
        <f>IF($A47="","",INDEX(Transactions!$A:$A,ROW()-8))</f>
      </c>
      <c r="D47" s="30">
        <f>IF($A47="",0,INDEX(Transactions!$H:$H,ROW()-8))</f>
      </c>
      <c r="E47" s="299">
        <f>IF($A47="",1,INDEX(Transactions!$N:$N,ROW()-8))</f>
        <v>1</v>
      </c>
      <c r="F47" s="30">
        <f>IF($A47="",0,INDEX(Transactions!$O:$O,ROW()-8))</f>
      </c>
      <c r="G47" s="30">
        <f>IF($A47="",0,INDEX(Transactions!$P:$P,ROW()-8))</f>
      </c>
    </row>
    <row r="48" spans="1:7" ht="15" customHeight="1" x14ac:dyDescent="0.15">
      <c r="A48">
        <f>IF(INDEX(Transactions!$J:$J,ROW()-8)="","",INDEX(Transactions!$J:$J,ROW()-8))</f>
      </c>
      <c r="B48" s="297">
        <f>IF($A48="",TODAY(),INDEX(Transactions!$G:$G,ROW()-8))</f>
      </c>
      <c r="C48" s="298">
        <f>IF($A48="","",INDEX(Transactions!$A:$A,ROW()-8))</f>
      </c>
      <c r="D48" s="30">
        <f>IF($A48="",0,INDEX(Transactions!$H:$H,ROW()-8))</f>
      </c>
      <c r="E48" s="300">
        <f>IF($A48="",1,INDEX(Transactions!$N:$N,ROW()-8))</f>
        <v>1</v>
      </c>
      <c r="F48" s="30">
        <f>IF($A48="",0,INDEX(Transactions!$O:$O,ROW()-8))</f>
      </c>
      <c r="G48" s="30">
        <f>IF($A48="",0,INDEX(Transactions!$P:$P,ROW()-8))</f>
      </c>
    </row>
    <row r="49" spans="1:7" ht="15" customHeight="1" x14ac:dyDescent="0.15">
      <c r="A49">
        <f>IF(INDEX(Transactions!$J:$J,ROW()-8)="","",INDEX(Transactions!$J:$J,ROW()-8))</f>
      </c>
      <c r="B49" s="297">
        <f>IF($A49="",TODAY(),INDEX(Transactions!$G:$G,ROW()-8))</f>
      </c>
      <c r="C49" s="298">
        <f>IF($A49="","",INDEX(Transactions!$A:$A,ROW()-8))</f>
      </c>
      <c r="D49" s="30">
        <f>IF($A49="",0,INDEX(Transactions!$H:$H,ROW()-8))</f>
      </c>
      <c r="E49" s="299">
        <f>IF($A49="",1,INDEX(Transactions!$N:$N,ROW()-8))</f>
        <v>1</v>
      </c>
      <c r="F49" s="30">
        <f>IF($A49="",0,INDEX(Transactions!$O:$O,ROW()-8))</f>
      </c>
      <c r="G49" s="30">
        <f>IF($A49="",0,INDEX(Transactions!$P:$P,ROW()-8))</f>
      </c>
    </row>
    <row r="50" spans="1:7" ht="15" customHeight="1" x14ac:dyDescent="0.15">
      <c r="A50">
        <f>IF(INDEX(Transactions!$J:$J,ROW()-8)="","",INDEX(Transactions!$J:$J,ROW()-8))</f>
      </c>
      <c r="B50" s="297">
        <f>IF($A50="",TODAY(),INDEX(Transactions!$G:$G,ROW()-8))</f>
      </c>
      <c r="C50" s="298">
        <f>IF($A50="","",INDEX(Transactions!$A:$A,ROW()-8))</f>
      </c>
      <c r="D50" s="30">
        <f>IF($A50="",0,INDEX(Transactions!$H:$H,ROW()-8))</f>
      </c>
      <c r="E50" s="299">
        <f>IF($A50="",1,INDEX(Transactions!$N:$N,ROW()-8))</f>
        <v>1</v>
      </c>
      <c r="F50" s="30">
        <f>IF($A50="",0,INDEX(Transactions!$O:$O,ROW()-8))</f>
      </c>
      <c r="G50" s="30">
        <f>IF($A50="",0,INDEX(Transactions!$P:$P,ROW()-8))</f>
      </c>
    </row>
    <row r="51" spans="1:7" ht="15" customHeight="1" x14ac:dyDescent="0.15">
      <c r="A51">
        <f>IF(INDEX(Transactions!$J:$J,ROW()-8)="","",INDEX(Transactions!$J:$J,ROW()-8))</f>
      </c>
      <c r="B51" s="297">
        <f>IF($A51="",TODAY(),INDEX(Transactions!$G:$G,ROW()-8))</f>
      </c>
      <c r="C51" s="298">
        <f>IF($A51="","",INDEX(Transactions!$A:$A,ROW()-8))</f>
      </c>
      <c r="D51" s="30">
        <f>IF($A51="",0,INDEX(Transactions!$H:$H,ROW()-8))</f>
      </c>
      <c r="E51" s="299">
        <f>IF($A51="",1,INDEX(Transactions!$N:$N,ROW()-8))</f>
        <v>1</v>
      </c>
      <c r="F51" s="30">
        <f>IF($A51="",0,INDEX(Transactions!$O:$O,ROW()-8))</f>
      </c>
      <c r="G51" s="30">
        <f>IF($A51="",0,INDEX(Transactions!$P:$P,ROW()-8))</f>
      </c>
    </row>
    <row r="52" spans="1:7" ht="15" customHeight="1" x14ac:dyDescent="0.15">
      <c r="A52">
        <f>IF(INDEX(Transactions!$J:$J,ROW()-8)="","",INDEX(Transactions!$J:$J,ROW()-8))</f>
      </c>
      <c r="B52" s="297">
        <f>IF($A52="",TODAY(),INDEX(Transactions!$G:$G,ROW()-8))</f>
      </c>
      <c r="C52" s="298">
        <f>IF($A52="","",INDEX(Transactions!$A:$A,ROW()-8))</f>
      </c>
      <c r="D52" s="30">
        <f>IF($A52="",0,INDEX(Transactions!$H:$H,ROW()-8))</f>
      </c>
      <c r="E52" s="299">
        <f>IF($A52="",1,INDEX(Transactions!$N:$N,ROW()-8))</f>
        <v>1</v>
      </c>
      <c r="F52" s="30">
        <f>IF($A52="",0,INDEX(Transactions!$O:$O,ROW()-8))</f>
      </c>
      <c r="G52" s="30">
        <f>IF($A52="",0,INDEX(Transactions!$P:$P,ROW()-8))</f>
      </c>
    </row>
    <row r="53" spans="1:7" ht="15" customHeight="1" x14ac:dyDescent="0.15">
      <c r="A53">
        <f>IF(INDEX(Transactions!$J:$J,ROW()-8)="","",INDEX(Transactions!$J:$J,ROW()-8))</f>
      </c>
      <c r="B53" s="297">
        <f>IF($A53="",TODAY(),INDEX(Transactions!$G:$G,ROW()-8))</f>
      </c>
      <c r="C53" s="298">
        <f>IF($A53="","",INDEX(Transactions!$A:$A,ROW()-8))</f>
      </c>
      <c r="D53" s="30">
        <f>IF($A53="",0,INDEX(Transactions!$H:$H,ROW()-8))</f>
      </c>
      <c r="E53" s="300">
        <f>IF($A53="",1,INDEX(Transactions!$N:$N,ROW()-8))</f>
        <v>1</v>
      </c>
      <c r="F53" s="30">
        <f>IF($A53="",0,INDEX(Transactions!$O:$O,ROW()-8))</f>
      </c>
      <c r="G53" s="30">
        <f>IF($A53="",0,INDEX(Transactions!$P:$P,ROW()-8))</f>
      </c>
    </row>
    <row r="54" spans="1:7" ht="15" customHeight="1" x14ac:dyDescent="0.15">
      <c r="A54">
        <f>IF(INDEX(Transactions!$J:$J,ROW()-8)="","",INDEX(Transactions!$J:$J,ROW()-8))</f>
      </c>
      <c r="B54" s="297">
        <f>IF($A54="",TODAY(),INDEX(Transactions!$G:$G,ROW()-8))</f>
      </c>
      <c r="C54" s="298">
        <f>IF($A54="","",INDEX(Transactions!$A:$A,ROW()-8))</f>
      </c>
      <c r="D54" s="30">
        <f>IF($A54="",0,INDEX(Transactions!$H:$H,ROW()-8))</f>
      </c>
      <c r="E54" s="300">
        <f>IF($A54="",1,INDEX(Transactions!$N:$N,ROW()-8))</f>
        <v>1</v>
      </c>
      <c r="F54" s="30">
        <f>IF($A54="",0,INDEX(Transactions!$O:$O,ROW()-8))</f>
      </c>
      <c r="G54" s="30">
        <f>IF($A54="",0,INDEX(Transactions!$P:$P,ROW()-8))</f>
      </c>
    </row>
    <row r="55" spans="1:7" ht="15" customHeight="1" x14ac:dyDescent="0.15">
      <c r="A55">
        <f>IF(INDEX(Transactions!$J:$J,ROW()-8)="","",INDEX(Transactions!$J:$J,ROW()-8))</f>
      </c>
      <c r="B55" s="297">
        <f>IF($A55="",TODAY(),INDEX(Transactions!$G:$G,ROW()-8))</f>
      </c>
      <c r="C55" s="298">
        <f>IF($A55="","",INDEX(Transactions!$A:$A,ROW()-8))</f>
      </c>
      <c r="D55" s="30">
        <f>IF($A55="",0,INDEX(Transactions!$H:$H,ROW()-8))</f>
      </c>
      <c r="E55" s="299">
        <f>IF($A55="",1,INDEX(Transactions!$N:$N,ROW()-8))</f>
        <v>1</v>
      </c>
      <c r="F55" s="30">
        <f>IF($A55="",0,INDEX(Transactions!$O:$O,ROW()-8))</f>
      </c>
      <c r="G55" s="30">
        <f>IF($A55="",0,INDEX(Transactions!$P:$P,ROW()-8))</f>
      </c>
    </row>
    <row r="56" spans="1:7" ht="15" customHeight="1" x14ac:dyDescent="0.15">
      <c r="A56">
        <f>IF(INDEX(Transactions!$J:$J,ROW()-8)="","",INDEX(Transactions!$J:$J,ROW()-8))</f>
      </c>
      <c r="B56" s="297">
        <f>IF($A56="",TODAY(),INDEX(Transactions!$G:$G,ROW()-8))</f>
      </c>
      <c r="C56" s="298">
        <f>IF($A56="","",INDEX(Transactions!$A:$A,ROW()-8))</f>
      </c>
      <c r="D56" s="30">
        <f>IF($A56="",0,INDEX(Transactions!$H:$H,ROW()-8))</f>
      </c>
      <c r="E56" s="300">
        <f>IF($A56="",1,INDEX(Transactions!$N:$N,ROW()-8))</f>
        <v>1</v>
      </c>
      <c r="F56" s="30">
        <f>IF($A56="",0,INDEX(Transactions!$O:$O,ROW()-8))</f>
      </c>
      <c r="G56" s="30">
        <f>IF($A56="",0,INDEX(Transactions!$P:$P,ROW()-8))</f>
      </c>
    </row>
    <row r="57" spans="1:7" ht="15" customHeight="1" x14ac:dyDescent="0.15">
      <c r="A57">
        <f>IF(INDEX(Transactions!$J:$J,ROW()-8)="","",INDEX(Transactions!$J:$J,ROW()-8))</f>
      </c>
      <c r="B57" s="297">
        <f>IF($A57="",TODAY(),INDEX(Transactions!$G:$G,ROW()-8))</f>
      </c>
      <c r="C57" s="298">
        <f>IF($A57="","",INDEX(Transactions!$A:$A,ROW()-8))</f>
      </c>
      <c r="D57" s="30">
        <f>IF($A57="",0,INDEX(Transactions!$H:$H,ROW()-8))</f>
      </c>
      <c r="E57" s="299">
        <f>IF($A57="",1,INDEX(Transactions!$N:$N,ROW()-8))</f>
        <v>1</v>
      </c>
      <c r="F57" s="30">
        <f>IF($A57="",0,INDEX(Transactions!$O:$O,ROW()-8))</f>
      </c>
      <c r="G57" s="30">
        <f>IF($A57="",0,INDEX(Transactions!$P:$P,ROW()-8))</f>
      </c>
    </row>
    <row r="58" spans="1:7" ht="15" customHeight="1" x14ac:dyDescent="0.15">
      <c r="A58">
        <f>IF(INDEX(Transactions!$J:$J,ROW()-8)="","",INDEX(Transactions!$J:$J,ROW()-8))</f>
      </c>
      <c r="B58" s="297">
        <f>IF($A58="",TODAY(),INDEX(Transactions!$G:$G,ROW()-8))</f>
      </c>
      <c r="C58" s="298">
        <f>IF($A58="","",INDEX(Transactions!$A:$A,ROW()-8))</f>
      </c>
      <c r="D58" s="30">
        <f>IF($A58="",0,INDEX(Transactions!$H:$H,ROW()-8))</f>
      </c>
      <c r="E58" s="300">
        <f>IF($A58="",1,INDEX(Transactions!$N:$N,ROW()-8))</f>
        <v>1</v>
      </c>
      <c r="F58" s="30">
        <f>IF($A58="",0,INDEX(Transactions!$O:$O,ROW()-8))</f>
      </c>
      <c r="G58" s="30">
        <f>IF($A58="",0,INDEX(Transactions!$P:$P,ROW()-8))</f>
      </c>
    </row>
    <row r="59" spans="1:7" ht="15" customHeight="1" x14ac:dyDescent="0.15">
      <c r="A59">
        <f>IF(INDEX(Transactions!$J:$J,ROW()-8)="","",INDEX(Transactions!$J:$J,ROW()-8))</f>
      </c>
      <c r="B59" s="297">
        <f>IF($A59="",TODAY(),INDEX(Transactions!$G:$G,ROW()-8))</f>
      </c>
      <c r="C59" s="298">
        <f>IF($A59="","",INDEX(Transactions!$A:$A,ROW()-8))</f>
      </c>
      <c r="D59" s="30">
        <f>IF($A59="",0,INDEX(Transactions!$H:$H,ROW()-8))</f>
      </c>
      <c r="E59" s="300">
        <f>IF($A59="",1,INDEX(Transactions!$N:$N,ROW()-8))</f>
        <v>1</v>
      </c>
      <c r="F59" s="30">
        <f>IF($A59="",0,INDEX(Transactions!$O:$O,ROW()-8))</f>
      </c>
      <c r="G59" s="30">
        <f>IF($A59="",0,INDEX(Transactions!$P:$P,ROW()-8))</f>
      </c>
    </row>
    <row r="60" spans="1:7" ht="15" customHeight="1" x14ac:dyDescent="0.15">
      <c r="A60">
        <f>IF(INDEX(Transactions!$J:$J,ROW()-8)="","",INDEX(Transactions!$J:$J,ROW()-8))</f>
      </c>
      <c r="B60" s="297">
        <f>IF($A60="",TODAY(),INDEX(Transactions!$G:$G,ROW()-8))</f>
      </c>
      <c r="C60" s="298">
        <f>IF($A60="","",INDEX(Transactions!$A:$A,ROW()-8))</f>
      </c>
      <c r="D60" s="30">
        <f>IF($A60="",0,INDEX(Transactions!$H:$H,ROW()-8))</f>
      </c>
      <c r="E60" s="300">
        <f>IF($A60="",1,INDEX(Transactions!$N:$N,ROW()-8))</f>
        <v>1</v>
      </c>
      <c r="F60" s="30">
        <f>IF($A60="",0,INDEX(Transactions!$O:$O,ROW()-8))</f>
      </c>
      <c r="G60" s="30">
        <f>IF($A60="",0,INDEX(Transactions!$P:$P,ROW()-8))</f>
      </c>
    </row>
    <row r="61" spans="1:7" ht="15" customHeight="1" x14ac:dyDescent="0.15">
      <c r="A61">
        <f>IF(INDEX(Transactions!$J:$J,ROW()-8)="","",INDEX(Transactions!$J:$J,ROW()-8))</f>
      </c>
      <c r="B61" s="297">
        <f>IF($A61="",TODAY(),INDEX(Transactions!$G:$G,ROW()-8))</f>
      </c>
      <c r="C61" s="298">
        <f>IF($A61="","",INDEX(Transactions!$A:$A,ROW()-8))</f>
      </c>
      <c r="D61" s="30">
        <f>IF($A61="",0,INDEX(Transactions!$H:$H,ROW()-8))</f>
      </c>
      <c r="E61" s="300">
        <f>IF($A61="",1,INDEX(Transactions!$N:$N,ROW()-8))</f>
        <v>1</v>
      </c>
      <c r="F61" s="30">
        <f>IF($A61="",0,INDEX(Transactions!$O:$O,ROW()-8))</f>
      </c>
      <c r="G61" s="30">
        <f>IF($A61="",0,INDEX(Transactions!$P:$P,ROW()-8))</f>
      </c>
    </row>
    <row r="62" spans="1:7" ht="15" customHeight="1" x14ac:dyDescent="0.15">
      <c r="A62">
        <f>IF(INDEX(Transactions!$J:$J,ROW()-8)="","",INDEX(Transactions!$J:$J,ROW()-8))</f>
      </c>
      <c r="B62" s="297">
        <f>IF($A62="",TODAY(),INDEX(Transactions!$G:$G,ROW()-8))</f>
      </c>
      <c r="C62" s="298">
        <f>IF($A62="","",INDEX(Transactions!$A:$A,ROW()-8))</f>
      </c>
      <c r="D62" s="30">
        <f>IF($A62="",0,INDEX(Transactions!$H:$H,ROW()-8))</f>
      </c>
      <c r="E62" s="300">
        <f>IF($A62="",1,INDEX(Transactions!$N:$N,ROW()-8))</f>
        <v>1</v>
      </c>
      <c r="F62" s="30">
        <f>IF($A62="",0,INDEX(Transactions!$O:$O,ROW()-8))</f>
      </c>
      <c r="G62" s="30">
        <f>IF($A62="",0,INDEX(Transactions!$P:$P,ROW()-8))</f>
      </c>
    </row>
    <row r="63" spans="1:7" ht="15" customHeight="1" x14ac:dyDescent="0.15">
      <c r="A63">
        <f>IF(INDEX(Transactions!$J:$J,ROW()-8)="","",INDEX(Transactions!$J:$J,ROW()-8))</f>
      </c>
      <c r="B63" s="297">
        <f>IF($A63="",TODAY(),INDEX(Transactions!$G:$G,ROW()-8))</f>
      </c>
      <c r="C63" s="298">
        <f>IF($A63="","",INDEX(Transactions!$A:$A,ROW()-8))</f>
      </c>
      <c r="D63" s="30">
        <f>IF($A63="",0,INDEX(Transactions!$H:$H,ROW()-8))</f>
      </c>
      <c r="E63" s="300">
        <f>IF($A63="",1,INDEX(Transactions!$N:$N,ROW()-8))</f>
        <v>1</v>
      </c>
      <c r="F63" s="30">
        <f>IF($A63="",0,INDEX(Transactions!$O:$O,ROW()-8))</f>
      </c>
      <c r="G63" s="30">
        <f>IF($A63="",0,INDEX(Transactions!$P:$P,ROW()-8))</f>
      </c>
    </row>
    <row r="64" spans="1:7" ht="15" customHeight="1" x14ac:dyDescent="0.15">
      <c r="A64">
        <f>IF(INDEX(Transactions!$J:$J,ROW()-8)="","",INDEX(Transactions!$J:$J,ROW()-8))</f>
      </c>
      <c r="B64" s="297">
        <f>IF($A64="",TODAY(),INDEX(Transactions!$G:$G,ROW()-8))</f>
      </c>
      <c r="C64" s="298">
        <f>IF($A64="","",INDEX(Transactions!$A:$A,ROW()-8))</f>
      </c>
      <c r="D64" s="30">
        <f>IF($A64="",0,INDEX(Transactions!$H:$H,ROW()-8))</f>
      </c>
      <c r="E64" s="299">
        <f>IF($A64="",1,INDEX(Transactions!$N:$N,ROW()-8))</f>
        <v>1</v>
      </c>
      <c r="F64" s="30">
        <f>IF($A64="",0,INDEX(Transactions!$O:$O,ROW()-8))</f>
      </c>
      <c r="G64" s="30">
        <f>IF($A64="",0,INDEX(Transactions!$P:$P,ROW()-8))</f>
      </c>
    </row>
    <row r="65" spans="1:7" ht="15" customHeight="1" x14ac:dyDescent="0.15">
      <c r="A65">
        <f>IF(INDEX(Transactions!$J:$J,ROW()-8)="","",INDEX(Transactions!$J:$J,ROW()-8))</f>
      </c>
      <c r="B65" s="297">
        <f>IF($A65="",TODAY(),INDEX(Transactions!$G:$G,ROW()-8))</f>
      </c>
      <c r="C65" s="298">
        <f>IF($A65="","",INDEX(Transactions!$A:$A,ROW()-8))</f>
      </c>
      <c r="D65" s="30">
        <f>IF($A65="",0,INDEX(Transactions!$H:$H,ROW()-8))</f>
      </c>
      <c r="E65" s="299">
        <f>IF($A65="",1,INDEX(Transactions!$N:$N,ROW()-8))</f>
        <v>1</v>
      </c>
      <c r="F65" s="30">
        <f>IF($A65="",0,INDEX(Transactions!$O:$O,ROW()-8))</f>
      </c>
      <c r="G65" s="30">
        <f>IF($A65="",0,INDEX(Transactions!$P:$P,ROW()-8))</f>
      </c>
    </row>
    <row r="66" spans="1:7" ht="15" customHeight="1" x14ac:dyDescent="0.15">
      <c r="A66">
        <f>IF(INDEX(Transactions!$J:$J,ROW()-8)="","",INDEX(Transactions!$J:$J,ROW()-8))</f>
      </c>
      <c r="B66" s="297">
        <f>IF($A66="",TODAY(),INDEX(Transactions!$G:$G,ROW()-8))</f>
      </c>
      <c r="C66" s="298">
        <f>IF($A66="","",INDEX(Transactions!$A:$A,ROW()-8))</f>
      </c>
      <c r="D66" s="30">
        <f>IF($A66="",0,INDEX(Transactions!$H:$H,ROW()-8))</f>
      </c>
      <c r="E66" s="300">
        <f>IF($A66="",1,INDEX(Transactions!$N:$N,ROW()-8))</f>
        <v>1</v>
      </c>
      <c r="F66" s="30">
        <f>IF($A66="",0,INDEX(Transactions!$O:$O,ROW()-8))</f>
      </c>
      <c r="G66" s="30">
        <f>IF($A66="",0,INDEX(Transactions!$P:$P,ROW()-8))</f>
      </c>
    </row>
    <row r="67" spans="1:7" ht="15" customHeight="1" x14ac:dyDescent="0.15">
      <c r="A67">
        <f>IF(INDEX(Transactions!$J:$J,ROW()-8)="","",INDEX(Transactions!$J:$J,ROW()-8))</f>
      </c>
      <c r="B67" s="297">
        <f>IF($A67="",TODAY(),INDEX(Transactions!$G:$G,ROW()-8))</f>
      </c>
      <c r="C67" s="298">
        <f>IF($A67="","",INDEX(Transactions!$A:$A,ROW()-8))</f>
      </c>
      <c r="D67" s="30">
        <f>IF($A67="",0,INDEX(Transactions!$H:$H,ROW()-8))</f>
      </c>
      <c r="E67" s="299">
        <f>IF($A67="",1,INDEX(Transactions!$N:$N,ROW()-8))</f>
        <v>1</v>
      </c>
      <c r="F67" s="30">
        <f>IF($A67="",0,INDEX(Transactions!$O:$O,ROW()-8))</f>
      </c>
      <c r="G67" s="30">
        <f>IF($A67="",0,INDEX(Transactions!$P:$P,ROW()-8))</f>
      </c>
    </row>
    <row r="68" spans="1:7" ht="15" customHeight="1" x14ac:dyDescent="0.15">
      <c r="A68">
        <f>IF(INDEX(Transactions!$J:$J,ROW()-8)="","",INDEX(Transactions!$J:$J,ROW()-8))</f>
      </c>
      <c r="B68" s="297">
        <f>IF($A68="",TODAY(),INDEX(Transactions!$G:$G,ROW()-8))</f>
      </c>
      <c r="C68" s="298">
        <f>IF($A68="","",INDEX(Transactions!$A:$A,ROW()-8))</f>
      </c>
      <c r="D68" s="30">
        <f>IF($A68="",0,INDEX(Transactions!$H:$H,ROW()-8))</f>
      </c>
      <c r="E68" s="300">
        <f>IF($A68="",1,INDEX(Transactions!$N:$N,ROW()-8))</f>
        <v>1</v>
      </c>
      <c r="F68" s="30">
        <f>IF($A68="",0,INDEX(Transactions!$O:$O,ROW()-8))</f>
      </c>
      <c r="G68" s="30">
        <f>IF($A68="",0,INDEX(Transactions!$P:$P,ROW()-8))</f>
      </c>
    </row>
    <row r="69" spans="1:7" ht="15" customHeight="1" x14ac:dyDescent="0.15">
      <c r="A69">
        <f>IF(INDEX(Transactions!$J:$J,ROW()-8)="","",INDEX(Transactions!$J:$J,ROW()-8))</f>
      </c>
      <c r="B69" s="297">
        <f>IF($A69="",TODAY(),INDEX(Transactions!$G:$G,ROW()-8))</f>
      </c>
      <c r="C69" s="298">
        <f>IF($A69="","",INDEX(Transactions!$A:$A,ROW()-8))</f>
      </c>
      <c r="D69" s="30">
        <f>IF($A69="",0,INDEX(Transactions!$H:$H,ROW()-8))</f>
      </c>
      <c r="E69" s="300">
        <f>IF($A69="",1,INDEX(Transactions!$N:$N,ROW()-8))</f>
        <v>1</v>
      </c>
      <c r="F69" s="30">
        <f>IF($A69="",0,INDEX(Transactions!$O:$O,ROW()-8))</f>
      </c>
      <c r="G69" s="30">
        <f>IF($A69="",0,INDEX(Transactions!$P:$P,ROW()-8))</f>
      </c>
    </row>
    <row r="70" spans="1:7" ht="15" customHeight="1" x14ac:dyDescent="0.15">
      <c r="A70">
        <f>IF(INDEX(Transactions!$J:$J,ROW()-8)="","",INDEX(Transactions!$J:$J,ROW()-8))</f>
      </c>
      <c r="B70" s="297">
        <f>IF($A70="",TODAY(),INDEX(Transactions!$G:$G,ROW()-8))</f>
      </c>
      <c r="C70" s="298">
        <f>IF($A70="","",INDEX(Transactions!$A:$A,ROW()-8))</f>
      </c>
      <c r="D70" s="30">
        <f>IF($A70="",0,INDEX(Transactions!$H:$H,ROW()-8))</f>
      </c>
      <c r="E70" s="300">
        <f>IF($A70="",1,INDEX(Transactions!$N:$N,ROW()-8))</f>
        <v>1</v>
      </c>
      <c r="F70" s="30">
        <f>IF($A70="",0,INDEX(Transactions!$O:$O,ROW()-8))</f>
      </c>
      <c r="G70" s="30">
        <f>IF($A70="",0,INDEX(Transactions!$P:$P,ROW()-8))</f>
      </c>
    </row>
    <row r="71" spans="1:7" ht="15" customHeight="1" x14ac:dyDescent="0.15">
      <c r="A71">
        <f>IF(INDEX(Transactions!$J:$J,ROW()-8)="","",INDEX(Transactions!$J:$J,ROW()-8))</f>
      </c>
      <c r="B71" s="297">
        <f>IF($A71="",TODAY(),INDEX(Transactions!$G:$G,ROW()-8))</f>
      </c>
      <c r="C71" s="298">
        <f>IF($A71="","",INDEX(Transactions!$A:$A,ROW()-8))</f>
      </c>
      <c r="D71" s="30">
        <f>IF($A71="",0,INDEX(Transactions!$H:$H,ROW()-8))</f>
      </c>
      <c r="E71" s="299">
        <f>IF($A71="",1,INDEX(Transactions!$N:$N,ROW()-8))</f>
        <v>1</v>
      </c>
      <c r="F71" s="30">
        <f>IF($A71="",0,INDEX(Transactions!$O:$O,ROW()-8))</f>
      </c>
      <c r="G71" s="30">
        <f>IF($A71="",0,INDEX(Transactions!$P:$P,ROW()-8))</f>
      </c>
    </row>
    <row r="72" spans="1:7" ht="15" customHeight="1" x14ac:dyDescent="0.15">
      <c r="A72">
        <f>IF(INDEX(Transactions!$J:$J,ROW()-8)="","",INDEX(Transactions!$J:$J,ROW()-8))</f>
      </c>
      <c r="B72" s="297">
        <f>IF($A72="",TODAY(),INDEX(Transactions!$G:$G,ROW()-8))</f>
      </c>
      <c r="C72" s="298">
        <f>IF($A72="","",INDEX(Transactions!$A:$A,ROW()-8))</f>
      </c>
      <c r="D72" s="30">
        <f>IF($A72="",0,INDEX(Transactions!$H:$H,ROW()-8))</f>
      </c>
      <c r="E72" s="299">
        <f>IF($A72="",1,INDEX(Transactions!$N:$N,ROW()-8))</f>
        <v>1</v>
      </c>
      <c r="F72" s="30">
        <f>IF($A72="",0,INDEX(Transactions!$O:$O,ROW()-8))</f>
      </c>
      <c r="G72" s="30">
        <f>IF($A72="",0,INDEX(Transactions!$P:$P,ROW()-8))</f>
      </c>
    </row>
    <row r="73" spans="1:7" ht="15" customHeight="1" x14ac:dyDescent="0.15">
      <c r="A73">
        <f>IF(INDEX(Transactions!$J:$J,ROW()-8)="","",INDEX(Transactions!$J:$J,ROW()-8))</f>
      </c>
      <c r="B73" s="297">
        <f>IF($A73="",TODAY(),INDEX(Transactions!$G:$G,ROW()-8))</f>
      </c>
      <c r="C73" s="298">
        <f>IF($A73="","",INDEX(Transactions!$A:$A,ROW()-8))</f>
      </c>
      <c r="D73" s="30">
        <f>IF($A73="",0,INDEX(Transactions!$H:$H,ROW()-8))</f>
      </c>
      <c r="E73" s="299">
        <f>IF($A73="",1,INDEX(Transactions!$N:$N,ROW()-8))</f>
        <v>1</v>
      </c>
      <c r="F73" s="30">
        <f>IF($A73="",0,INDEX(Transactions!$O:$O,ROW()-8))</f>
      </c>
      <c r="G73" s="30">
        <f>IF($A73="",0,INDEX(Transactions!$P:$P,ROW()-8))</f>
      </c>
    </row>
    <row r="74" spans="1:7" ht="15" customHeight="1" x14ac:dyDescent="0.15">
      <c r="A74">
        <f>IF(INDEX(Transactions!$J:$J,ROW()-8)="","",INDEX(Transactions!$J:$J,ROW()-8))</f>
      </c>
      <c r="B74" s="297">
        <f>IF($A74="",TODAY(),INDEX(Transactions!$G:$G,ROW()-8))</f>
      </c>
      <c r="C74" s="298">
        <f>IF($A74="","",INDEX(Transactions!$A:$A,ROW()-8))</f>
      </c>
      <c r="D74" s="30">
        <f>IF($A74="",0,INDEX(Transactions!$H:$H,ROW()-8))</f>
      </c>
      <c r="E74" s="299">
        <f>IF($A74="",1,INDEX(Transactions!$N:$N,ROW()-8))</f>
        <v>1</v>
      </c>
      <c r="F74" s="30">
        <f>IF($A74="",0,INDEX(Transactions!$O:$O,ROW()-8))</f>
      </c>
      <c r="G74" s="30">
        <f>IF($A74="",0,INDEX(Transactions!$P:$P,ROW()-8))</f>
      </c>
    </row>
    <row r="75" spans="1:7" ht="15" customHeight="1" x14ac:dyDescent="0.15">
      <c r="A75">
        <f>IF(INDEX(Transactions!$J:$J,ROW()-8)="","",INDEX(Transactions!$J:$J,ROW()-8))</f>
      </c>
      <c r="B75" s="297">
        <f>IF($A75="",TODAY(),INDEX(Transactions!$G:$G,ROW()-8))</f>
      </c>
      <c r="C75" s="298">
        <f>IF($A75="","",INDEX(Transactions!$A:$A,ROW()-8))</f>
      </c>
      <c r="D75" s="30">
        <f>IF($A75="",0,INDEX(Transactions!$H:$H,ROW()-8))</f>
      </c>
      <c r="E75" s="299">
        <f>IF($A75="",1,INDEX(Transactions!$N:$N,ROW()-8))</f>
        <v>1</v>
      </c>
      <c r="F75" s="30">
        <f>IF($A75="",0,INDEX(Transactions!$O:$O,ROW()-8))</f>
      </c>
      <c r="G75" s="30">
        <f>IF($A75="",0,INDEX(Transactions!$P:$P,ROW()-8))</f>
      </c>
    </row>
    <row r="76" spans="1:7" ht="15" customHeight="1" x14ac:dyDescent="0.15">
      <c r="A76">
        <f>IF(INDEX(Transactions!$J:$J,ROW()-8)="","",INDEX(Transactions!$J:$J,ROW()-8))</f>
      </c>
      <c r="B76" s="297">
        <f>IF($A76="",TODAY(),INDEX(Transactions!$G:$G,ROW()-8))</f>
      </c>
      <c r="C76" s="298">
        <f>IF($A76="","",INDEX(Transactions!$A:$A,ROW()-8))</f>
      </c>
      <c r="D76" s="30">
        <f>IF($A76="",0,INDEX(Transactions!$H:$H,ROW()-8))</f>
      </c>
      <c r="E76" s="299">
        <f>IF($A76="",1,INDEX(Transactions!$N:$N,ROW()-8))</f>
        <v>1</v>
      </c>
      <c r="F76" s="30">
        <f>IF($A76="",0,INDEX(Transactions!$O:$O,ROW()-8))</f>
      </c>
      <c r="G76" s="30">
        <f>IF($A76="",0,INDEX(Transactions!$P:$P,ROW()-8))</f>
      </c>
    </row>
    <row r="77" spans="1:7" ht="15" customHeight="1" x14ac:dyDescent="0.15">
      <c r="A77">
        <f>IF(INDEX(Transactions!$J:$J,ROW()-8)="","",INDEX(Transactions!$J:$J,ROW()-8))</f>
      </c>
      <c r="B77" s="297">
        <f>IF($A77="",TODAY(),INDEX(Transactions!$G:$G,ROW()-8))</f>
      </c>
      <c r="C77" s="298">
        <f>IF($A77="","",INDEX(Transactions!$A:$A,ROW()-8))</f>
      </c>
      <c r="D77" s="30">
        <f>IF($A77="",0,INDEX(Transactions!$H:$H,ROW()-8))</f>
      </c>
      <c r="E77" s="299">
        <f>IF($A77="",1,INDEX(Transactions!$N:$N,ROW()-8))</f>
        <v>1</v>
      </c>
      <c r="F77" s="30">
        <f>IF($A77="",0,INDEX(Transactions!$O:$O,ROW()-8))</f>
      </c>
      <c r="G77" s="30">
        <f>IF($A77="",0,INDEX(Transactions!$P:$P,ROW()-8))</f>
      </c>
    </row>
    <row r="78" spans="1:7" ht="15" customHeight="1" x14ac:dyDescent="0.15">
      <c r="A78">
        <f>IF(INDEX(Transactions!$J:$J,ROW()-8)="","",INDEX(Transactions!$J:$J,ROW()-8))</f>
      </c>
      <c r="B78" s="297">
        <f>IF($A78="",TODAY(),INDEX(Transactions!$G:$G,ROW()-8))</f>
      </c>
      <c r="C78" s="298">
        <f>IF($A78="","",INDEX(Transactions!$A:$A,ROW()-8))</f>
      </c>
      <c r="D78" s="30">
        <f>IF($A78="",0,INDEX(Transactions!$H:$H,ROW()-8))</f>
      </c>
      <c r="E78" s="299">
        <f>IF($A78="",1,INDEX(Transactions!$N:$N,ROW()-8))</f>
        <v>1</v>
      </c>
      <c r="F78" s="30">
        <f>IF($A78="",0,INDEX(Transactions!$O:$O,ROW()-8))</f>
      </c>
      <c r="G78" s="30">
        <f>IF($A78="",0,INDEX(Transactions!$P:$P,ROW()-8))</f>
      </c>
    </row>
    <row r="79" spans="1:7" ht="15" customHeight="1" x14ac:dyDescent="0.15">
      <c r="A79">
        <f>IF(INDEX(Transactions!$J:$J,ROW()-8)="","",INDEX(Transactions!$J:$J,ROW()-8))</f>
      </c>
      <c r="B79" s="297">
        <f>IF($A79="",TODAY(),INDEX(Transactions!$G:$G,ROW()-8))</f>
      </c>
      <c r="C79" s="298">
        <f>IF($A79="","",INDEX(Transactions!$A:$A,ROW()-8))</f>
      </c>
      <c r="D79" s="30">
        <f>IF($A79="",0,INDEX(Transactions!$H:$H,ROW()-8))</f>
      </c>
      <c r="E79" s="299">
        <f>IF($A79="",1,INDEX(Transactions!$N:$N,ROW()-8))</f>
        <v>1</v>
      </c>
      <c r="F79" s="30">
        <f>IF($A79="",0,INDEX(Transactions!$O:$O,ROW()-8))</f>
      </c>
      <c r="G79" s="30">
        <f>IF($A79="",0,INDEX(Transactions!$P:$P,ROW()-8))</f>
      </c>
    </row>
    <row r="80" spans="1:7" ht="15" customHeight="1" x14ac:dyDescent="0.15">
      <c r="A80">
        <f>IF(INDEX(Transactions!$J:$J,ROW()-8)="","",INDEX(Transactions!$J:$J,ROW()-8))</f>
      </c>
      <c r="B80" s="297">
        <f>IF($A80="",TODAY(),INDEX(Transactions!$G:$G,ROW()-8))</f>
      </c>
      <c r="C80" s="298">
        <f>IF($A80="","",INDEX(Transactions!$A:$A,ROW()-8))</f>
      </c>
      <c r="D80" s="30">
        <f>IF($A80="",0,INDEX(Transactions!$H:$H,ROW()-8))</f>
      </c>
      <c r="E80" s="299">
        <f>IF($A80="",1,INDEX(Transactions!$N:$N,ROW()-8))</f>
        <v>1</v>
      </c>
      <c r="F80" s="30">
        <f>IF($A80="",0,INDEX(Transactions!$O:$O,ROW()-8))</f>
      </c>
      <c r="G80" s="30">
        <f>IF($A80="",0,INDEX(Transactions!$P:$P,ROW()-8))</f>
      </c>
    </row>
    <row r="81" spans="1:7" ht="15" customHeight="1" x14ac:dyDescent="0.15">
      <c r="A81">
        <f>IF(INDEX(Transactions!$J:$J,ROW()-8)="","",INDEX(Transactions!$J:$J,ROW()-8))</f>
      </c>
      <c r="B81" s="297">
        <f>IF($A81="",TODAY(),INDEX(Transactions!$G:$G,ROW()-8))</f>
      </c>
      <c r="C81" s="298">
        <f>IF($A81="","",INDEX(Transactions!$A:$A,ROW()-8))</f>
      </c>
      <c r="D81" s="30">
        <f>IF($A81="",0,INDEX(Transactions!$H:$H,ROW()-8))</f>
      </c>
      <c r="E81" s="299">
        <f>IF($A81="",1,INDEX(Transactions!$N:$N,ROW()-8))</f>
        <v>1</v>
      </c>
      <c r="F81" s="30">
        <f>IF($A81="",0,INDEX(Transactions!$O:$O,ROW()-8))</f>
      </c>
      <c r="G81" s="30">
        <f>IF($A81="",0,INDEX(Transactions!$P:$P,ROW()-8))</f>
      </c>
    </row>
    <row r="82" spans="1:7" ht="15" customHeight="1" x14ac:dyDescent="0.15">
      <c r="A82">
        <f>IF(INDEX(Transactions!$J:$J,ROW()-8)="","",INDEX(Transactions!$J:$J,ROW()-8))</f>
      </c>
      <c r="B82" s="297">
        <f>IF($A82="",TODAY(),INDEX(Transactions!$G:$G,ROW()-8))</f>
      </c>
      <c r="C82" s="298">
        <f>IF($A82="","",INDEX(Transactions!$A:$A,ROW()-8))</f>
      </c>
      <c r="D82" s="30">
        <f>IF($A82="",0,INDEX(Transactions!$H:$H,ROW()-8))</f>
      </c>
      <c r="E82" s="299">
        <f>IF($A82="",1,INDEX(Transactions!$N:$N,ROW()-8))</f>
        <v>1</v>
      </c>
      <c r="F82" s="30">
        <f>IF($A82="",0,INDEX(Transactions!$O:$O,ROW()-8))</f>
      </c>
      <c r="G82" s="30">
        <f>IF($A82="",0,INDEX(Transactions!$P:$P,ROW()-8))</f>
      </c>
    </row>
    <row r="83" spans="1:7" ht="15" customHeight="1" x14ac:dyDescent="0.15">
      <c r="A83">
        <f>IF(INDEX(Transactions!$J:$J,ROW()-8)="","",INDEX(Transactions!$J:$J,ROW()-8))</f>
      </c>
      <c r="B83" s="297">
        <f>IF($A83="",TODAY(),INDEX(Transactions!$G:$G,ROW()-8))</f>
      </c>
      <c r="C83" s="298">
        <f>IF($A83="","",INDEX(Transactions!$A:$A,ROW()-8))</f>
      </c>
      <c r="D83" s="30">
        <f>IF($A83="",0,INDEX(Transactions!$H:$H,ROW()-8))</f>
      </c>
      <c r="E83" s="299">
        <f>IF($A83="",1,INDEX(Transactions!$N:$N,ROW()-8))</f>
        <v>1</v>
      </c>
      <c r="F83" s="30">
        <f>IF($A83="",0,INDEX(Transactions!$O:$O,ROW()-8))</f>
      </c>
      <c r="G83" s="30">
        <f>IF($A83="",0,INDEX(Transactions!$P:$P,ROW()-8))</f>
      </c>
    </row>
    <row r="84" spans="1:7" ht="15" customHeight="1" x14ac:dyDescent="0.15">
      <c r="A84">
        <f>IF(INDEX(Transactions!$J:$J,ROW()-8)="","",INDEX(Transactions!$J:$J,ROW()-8))</f>
      </c>
      <c r="B84" s="297">
        <f>IF($A84="",TODAY(),INDEX(Transactions!$G:$G,ROW()-8))</f>
      </c>
      <c r="C84" s="298">
        <f>IF($A84="","",INDEX(Transactions!$A:$A,ROW()-8))</f>
      </c>
      <c r="D84" s="30">
        <f>IF($A84="",0,INDEX(Transactions!$H:$H,ROW()-8))</f>
      </c>
      <c r="E84" s="299">
        <f>IF($A84="",1,INDEX(Transactions!$N:$N,ROW()-8))</f>
        <v>1</v>
      </c>
      <c r="F84" s="30">
        <f>IF($A84="",0,INDEX(Transactions!$O:$O,ROW()-8))</f>
      </c>
      <c r="G84" s="30">
        <f>IF($A84="",0,INDEX(Transactions!$P:$P,ROW()-8))</f>
      </c>
    </row>
    <row r="85" spans="1:7" ht="15" customHeight="1" x14ac:dyDescent="0.15">
      <c r="A85">
        <f>IF(INDEX(Transactions!$J:$J,ROW()-8)="","",INDEX(Transactions!$J:$J,ROW()-8))</f>
      </c>
      <c r="B85" s="297">
        <f>IF($A85="",TODAY(),INDEX(Transactions!$G:$G,ROW()-8))</f>
      </c>
      <c r="C85" s="298">
        <f>IF($A85="","",INDEX(Transactions!$A:$A,ROW()-8))</f>
      </c>
      <c r="D85" s="30">
        <f>IF($A85="",0,INDEX(Transactions!$H:$H,ROW()-8))</f>
      </c>
      <c r="E85" s="299">
        <f>IF($A85="",1,INDEX(Transactions!$N:$N,ROW()-8))</f>
        <v>1</v>
      </c>
      <c r="F85" s="30">
        <f>IF($A85="",0,INDEX(Transactions!$O:$O,ROW()-8))</f>
      </c>
      <c r="G85" s="30">
        <f>IF($A85="",0,INDEX(Transactions!$P:$P,ROW()-8))</f>
      </c>
    </row>
    <row r="86" spans="1:7" ht="15" customHeight="1" x14ac:dyDescent="0.15">
      <c r="A86">
        <f>IF(INDEX(Transactions!$J:$J,ROW()-8)="","",INDEX(Transactions!$J:$J,ROW()-8))</f>
      </c>
      <c r="B86" s="297">
        <f>IF($A86="",TODAY(),INDEX(Transactions!$G:$G,ROW()-8))</f>
      </c>
      <c r="C86" s="298">
        <f>IF($A86="","",INDEX(Transactions!$A:$A,ROW()-8))</f>
      </c>
      <c r="D86" s="30">
        <f>IF($A86="",0,INDEX(Transactions!$H:$H,ROW()-8))</f>
      </c>
      <c r="E86" s="300">
        <f>IF($A86="",1,INDEX(Transactions!$N:$N,ROW()-8))</f>
        <v>1</v>
      </c>
      <c r="F86" s="30">
        <f>IF($A86="",0,INDEX(Transactions!$O:$O,ROW()-8))</f>
      </c>
      <c r="G86" s="30">
        <f>IF($A86="",0,INDEX(Transactions!$P:$P,ROW()-8))</f>
      </c>
    </row>
    <row r="87" spans="1:7" ht="15" customHeight="1" x14ac:dyDescent="0.15">
      <c r="A87">
        <f>IF(INDEX(Transactions!$J:$J,ROW()-8)="","",INDEX(Transactions!$J:$J,ROW()-8))</f>
      </c>
      <c r="B87" s="297">
        <f>IF($A87="",TODAY(),INDEX(Transactions!$G:$G,ROW()-8))</f>
      </c>
      <c r="C87" s="298">
        <f>IF($A87="","",INDEX(Transactions!$A:$A,ROW()-8))</f>
      </c>
      <c r="D87" s="30">
        <f>IF($A87="",0,INDEX(Transactions!$H:$H,ROW()-8))</f>
      </c>
      <c r="E87" s="300">
        <f>IF($A87="",1,INDEX(Transactions!$N:$N,ROW()-8))</f>
        <v>1</v>
      </c>
      <c r="F87" s="30">
        <f>IF($A87="",0,INDEX(Transactions!$O:$O,ROW()-8))</f>
      </c>
      <c r="G87" s="30">
        <f>IF($A87="",0,INDEX(Transactions!$P:$P,ROW()-8))</f>
      </c>
    </row>
    <row r="88" spans="1:7" ht="15" customHeight="1" x14ac:dyDescent="0.15">
      <c r="A88">
        <f>IF(INDEX(Transactions!$J:$J,ROW()-8)="","",INDEX(Transactions!$J:$J,ROW()-8))</f>
      </c>
      <c r="B88" s="297">
        <f>IF($A88="",TODAY(),INDEX(Transactions!$G:$G,ROW()-8))</f>
      </c>
      <c r="C88" s="298">
        <f>IF($A88="","",INDEX(Transactions!$A:$A,ROW()-8))</f>
      </c>
      <c r="D88" s="30">
        <f>IF($A88="",0,INDEX(Transactions!$H:$H,ROW()-8))</f>
      </c>
      <c r="E88" s="299">
        <f>IF($A88="",1,INDEX(Transactions!$N:$N,ROW()-8))</f>
        <v>1</v>
      </c>
      <c r="F88" s="30">
        <f>IF($A88="",0,INDEX(Transactions!$O:$O,ROW()-8))</f>
      </c>
      <c r="G88" s="30">
        <f>IF($A88="",0,INDEX(Transactions!$P:$P,ROW()-8))</f>
      </c>
    </row>
    <row r="89" spans="1:7" ht="15" customHeight="1" x14ac:dyDescent="0.15">
      <c r="A89">
        <f>IF(INDEX(Transactions!$J:$J,ROW()-8)="","",INDEX(Transactions!$J:$J,ROW()-8))</f>
      </c>
      <c r="B89" s="297">
        <f>IF($A89="",TODAY(),INDEX(Transactions!$G:$G,ROW()-8))</f>
      </c>
      <c r="C89" s="298">
        <f>IF($A89="","",INDEX(Transactions!$A:$A,ROW()-8))</f>
      </c>
      <c r="D89" s="30">
        <f>IF($A89="",0,INDEX(Transactions!$H:$H,ROW()-8))</f>
      </c>
      <c r="E89" s="300">
        <f>IF($A89="",1,INDEX(Transactions!$N:$N,ROW()-8))</f>
        <v>1</v>
      </c>
      <c r="F89" s="30">
        <f>IF($A89="",0,INDEX(Transactions!$O:$O,ROW()-8))</f>
      </c>
      <c r="G89" s="30">
        <f>IF($A89="",0,INDEX(Transactions!$P:$P,ROW()-8))</f>
      </c>
    </row>
    <row r="90" spans="1:7" ht="15" customHeight="1" x14ac:dyDescent="0.15">
      <c r="A90">
        <f>IF(INDEX(Transactions!$J:$J,ROW()-8)="","",INDEX(Transactions!$J:$J,ROW()-8))</f>
      </c>
      <c r="B90" s="297">
        <f>IF($A90="",TODAY(),INDEX(Transactions!$G:$G,ROW()-8))</f>
      </c>
      <c r="C90" s="298">
        <f>IF($A90="","",INDEX(Transactions!$A:$A,ROW()-8))</f>
      </c>
      <c r="D90" s="30">
        <f>IF($A90="",0,INDEX(Transactions!$H:$H,ROW()-8))</f>
      </c>
      <c r="E90" s="299">
        <f>IF($A90="",1,INDEX(Transactions!$N:$N,ROW()-8))</f>
        <v>1</v>
      </c>
      <c r="F90" s="30">
        <f>IF($A90="",0,INDEX(Transactions!$O:$O,ROW()-8))</f>
      </c>
      <c r="G90" s="30">
        <f>IF($A90="",0,INDEX(Transactions!$P:$P,ROW()-8))</f>
      </c>
    </row>
    <row r="91" spans="1:7" ht="15" customHeight="1" x14ac:dyDescent="0.15">
      <c r="A91">
        <f>IF(INDEX(Transactions!$J:$J,ROW()-8)="","",INDEX(Transactions!$J:$J,ROW()-8))</f>
      </c>
      <c r="B91" s="297">
        <f>IF($A91="",TODAY(),INDEX(Transactions!$G:$G,ROW()-8))</f>
      </c>
      <c r="C91" s="298">
        <f>IF($A91="","",INDEX(Transactions!$A:$A,ROW()-8))</f>
      </c>
      <c r="D91" s="30">
        <f>IF($A91="",0,INDEX(Transactions!$H:$H,ROW()-8))</f>
      </c>
      <c r="E91" s="299">
        <f>IF($A91="",1,INDEX(Transactions!$N:$N,ROW()-8))</f>
        <v>1</v>
      </c>
      <c r="F91" s="30">
        <f>IF($A91="",0,INDEX(Transactions!$O:$O,ROW()-8))</f>
      </c>
      <c r="G91" s="30">
        <f>IF($A91="",0,INDEX(Transactions!$P:$P,ROW()-8))</f>
      </c>
    </row>
    <row r="92" spans="1:7" ht="15" customHeight="1" x14ac:dyDescent="0.15">
      <c r="A92">
        <f>IF(INDEX(Transactions!$J:$J,ROW()-8)="","",INDEX(Transactions!$J:$J,ROW()-8))</f>
      </c>
      <c r="B92" s="297">
        <f>IF($A92="",TODAY(),INDEX(Transactions!$G:$G,ROW()-8))</f>
      </c>
      <c r="C92" s="298">
        <f>IF($A92="","",INDEX(Transactions!$A:$A,ROW()-8))</f>
      </c>
      <c r="D92" s="30">
        <f>IF($A92="",0,INDEX(Transactions!$H:$H,ROW()-8))</f>
      </c>
      <c r="E92" s="299">
        <f>IF($A92="",1,INDEX(Transactions!$N:$N,ROW()-8))</f>
        <v>1</v>
      </c>
      <c r="F92" s="30">
        <f>IF($A92="",0,INDEX(Transactions!$O:$O,ROW()-8))</f>
      </c>
      <c r="G92" s="30">
        <f>IF($A92="",0,INDEX(Transactions!$P:$P,ROW()-8))</f>
      </c>
    </row>
    <row r="93" spans="1:7" ht="15" customHeight="1" x14ac:dyDescent="0.15">
      <c r="A93">
        <f>IF(INDEX(Transactions!$J:$J,ROW()-8)="","",INDEX(Transactions!$J:$J,ROW()-8))</f>
      </c>
      <c r="B93" s="297">
        <f>IF($A93="",TODAY(),INDEX(Transactions!$G:$G,ROW()-8))</f>
      </c>
      <c r="C93" s="298">
        <f>IF($A93="","",INDEX(Transactions!$A:$A,ROW()-8))</f>
      </c>
      <c r="D93" s="30">
        <f>IF($A93="",0,INDEX(Transactions!$H:$H,ROW()-8))</f>
      </c>
      <c r="E93" s="300">
        <f>IF($A93="",1,INDEX(Transactions!$N:$N,ROW()-8))</f>
        <v>1</v>
      </c>
      <c r="F93" s="30">
        <f>IF($A93="",0,INDEX(Transactions!$O:$O,ROW()-8))</f>
      </c>
      <c r="G93" s="30">
        <f>IF($A93="",0,INDEX(Transactions!$P:$P,ROW()-8))</f>
      </c>
    </row>
    <row r="94" spans="1:7" ht="15" customHeight="1" x14ac:dyDescent="0.15">
      <c r="A94">
        <f>IF(INDEX(Transactions!$J:$J,ROW()-8)="","",INDEX(Transactions!$J:$J,ROW()-8))</f>
      </c>
      <c r="B94" s="297">
        <f>IF($A94="",TODAY(),INDEX(Transactions!$G:$G,ROW()-8))</f>
      </c>
      <c r="C94" s="298">
        <f>IF($A94="","",INDEX(Transactions!$A:$A,ROW()-8))</f>
      </c>
      <c r="D94" s="30">
        <f>IF($A94="",0,INDEX(Transactions!$H:$H,ROW()-8))</f>
      </c>
      <c r="E94" s="300">
        <f>IF($A94="",1,INDEX(Transactions!$N:$N,ROW()-8))</f>
        <v>1</v>
      </c>
      <c r="F94" s="30">
        <f>IF($A94="",0,INDEX(Transactions!$O:$O,ROW()-8))</f>
      </c>
      <c r="G94" s="30">
        <f>IF($A94="",0,INDEX(Transactions!$P:$P,ROW()-8))</f>
      </c>
    </row>
    <row r="95" spans="1:7" ht="15" customHeight="1" x14ac:dyDescent="0.15">
      <c r="A95">
        <f>IF(INDEX(Transactions!$J:$J,ROW()-8)="","",INDEX(Transactions!$J:$J,ROW()-8))</f>
      </c>
      <c r="B95" s="297">
        <f>IF($A95="",TODAY(),INDEX(Transactions!$G:$G,ROW()-8))</f>
      </c>
      <c r="C95" s="298">
        <f>IF($A95="","",INDEX(Transactions!$A:$A,ROW()-8))</f>
      </c>
      <c r="D95" s="30">
        <f>IF($A95="",0,INDEX(Transactions!$H:$H,ROW()-8))</f>
      </c>
      <c r="E95" s="299">
        <f>IF($A95="",1,INDEX(Transactions!$N:$N,ROW()-8))</f>
        <v>1</v>
      </c>
      <c r="F95" s="30">
        <f>IF($A95="",0,INDEX(Transactions!$O:$O,ROW()-8))</f>
      </c>
      <c r="G95" s="30">
        <f>IF($A95="",0,INDEX(Transactions!$P:$P,ROW()-8))</f>
      </c>
    </row>
    <row r="96" spans="1:7" ht="15" customHeight="1" x14ac:dyDescent="0.15">
      <c r="A96">
        <f>IF(INDEX(Transactions!$J:$J,ROW()-8)="","",INDEX(Transactions!$J:$J,ROW()-8))</f>
      </c>
      <c r="B96" s="297">
        <f>IF($A96="",TODAY(),INDEX(Transactions!$G:$G,ROW()-8))</f>
      </c>
      <c r="C96" s="298">
        <f>IF($A96="","",INDEX(Transactions!$A:$A,ROW()-8))</f>
      </c>
      <c r="D96" s="30">
        <f>IF($A96="",0,INDEX(Transactions!$H:$H,ROW()-8))</f>
      </c>
      <c r="E96" s="299">
        <f>IF($A96="",1,INDEX(Transactions!$N:$N,ROW()-8))</f>
        <v>1</v>
      </c>
      <c r="F96" s="30">
        <f>IF($A96="",0,INDEX(Transactions!$O:$O,ROW()-8))</f>
      </c>
      <c r="G96" s="30">
        <f>IF($A96="",0,INDEX(Transactions!$P:$P,ROW()-8))</f>
      </c>
    </row>
    <row r="97" spans="1:7" ht="15" customHeight="1" x14ac:dyDescent="0.15">
      <c r="A97">
        <f>IF(INDEX(Transactions!$J:$J,ROW()-8)="","",INDEX(Transactions!$J:$J,ROW()-8))</f>
      </c>
      <c r="B97" s="297">
        <f>IF($A97="",TODAY(),INDEX(Transactions!$G:$G,ROW()-8))</f>
      </c>
      <c r="C97" s="298">
        <f>IF($A97="","",INDEX(Transactions!$A:$A,ROW()-8))</f>
      </c>
      <c r="D97" s="30">
        <f>IF($A97="",0,INDEX(Transactions!$H:$H,ROW()-8))</f>
      </c>
      <c r="E97" s="299">
        <f>IF($A97="",1,INDEX(Transactions!$N:$N,ROW()-8))</f>
        <v>1</v>
      </c>
      <c r="F97" s="30">
        <f>IF($A97="",0,INDEX(Transactions!$O:$O,ROW()-8))</f>
      </c>
      <c r="G97" s="30">
        <f>IF($A97="",0,INDEX(Transactions!$P:$P,ROW()-8))</f>
      </c>
    </row>
    <row r="98" spans="1:7" ht="15" customHeight="1" x14ac:dyDescent="0.15">
      <c r="A98">
        <f>IF(INDEX(Transactions!$J:$J,ROW()-8)="","",INDEX(Transactions!$J:$J,ROW()-8))</f>
      </c>
      <c r="B98" s="297">
        <f>IF($A98="",TODAY(),INDEX(Transactions!$G:$G,ROW()-8))</f>
      </c>
      <c r="C98" s="298">
        <f>IF($A98="","",INDEX(Transactions!$A:$A,ROW()-8))</f>
      </c>
      <c r="D98" s="30">
        <f>IF($A98="",0,INDEX(Transactions!$H:$H,ROW()-8))</f>
      </c>
      <c r="E98" s="299">
        <f>IF($A98="",1,INDEX(Transactions!$N:$N,ROW()-8))</f>
        <v>1</v>
      </c>
      <c r="F98" s="30">
        <f>IF($A98="",0,INDEX(Transactions!$O:$O,ROW()-8))</f>
      </c>
      <c r="G98" s="30">
        <f>IF($A98="",0,INDEX(Transactions!$P:$P,ROW()-8))</f>
      </c>
    </row>
    <row r="99" spans="1:7" ht="15" customHeight="1" x14ac:dyDescent="0.15">
      <c r="A99">
        <f>IF(INDEX(Transactions!$J:$J,ROW()-8)="","",INDEX(Transactions!$J:$J,ROW()-8))</f>
      </c>
      <c r="B99" s="297">
        <f>IF($A99="",TODAY(),INDEX(Transactions!$G:$G,ROW()-8))</f>
      </c>
      <c r="C99" s="298">
        <f>IF($A99="","",INDEX(Transactions!$A:$A,ROW()-8))</f>
      </c>
      <c r="D99" s="30">
        <f>IF($A99="",0,INDEX(Transactions!$H:$H,ROW()-8))</f>
      </c>
      <c r="E99" s="299">
        <f>IF($A99="",1,INDEX(Transactions!$N:$N,ROW()-8))</f>
        <v>1</v>
      </c>
      <c r="F99" s="30">
        <f>IF($A99="",0,INDEX(Transactions!$O:$O,ROW()-8))</f>
      </c>
      <c r="G99" s="30">
        <f>IF($A99="",0,INDEX(Transactions!$P:$P,ROW()-8))</f>
      </c>
    </row>
    <row r="100" spans="1:7" ht="15" customHeight="1" x14ac:dyDescent="0.15">
      <c r="A100">
        <f>IF(INDEX(Transactions!$J:$J,ROW()-8)="","",INDEX(Transactions!$J:$J,ROW()-8))</f>
      </c>
      <c r="B100" s="297">
        <f>IF($A100="",TODAY(),INDEX(Transactions!$G:$G,ROW()-8))</f>
      </c>
      <c r="C100" s="298">
        <f>IF($A100="","",INDEX(Transactions!$A:$A,ROW()-8))</f>
      </c>
      <c r="D100" s="30">
        <f>IF($A100="",0,INDEX(Transactions!$H:$H,ROW()-8))</f>
      </c>
      <c r="E100" s="299">
        <f>IF($A100="",1,INDEX(Transactions!$N:$N,ROW()-8))</f>
        <v>1</v>
      </c>
      <c r="F100" s="30">
        <f>IF($A100="",0,INDEX(Transactions!$O:$O,ROW()-8))</f>
      </c>
      <c r="G100" s="30">
        <f>IF($A100="",0,INDEX(Transactions!$P:$P,ROW()-8))</f>
      </c>
    </row>
    <row r="101" spans="1:7" ht="15" customHeight="1" x14ac:dyDescent="0.15">
      <c r="A101">
        <f>IF(INDEX(Transactions!$J:$J,ROW()-8)="","",INDEX(Transactions!$J:$J,ROW()-8))</f>
      </c>
      <c r="B101" s="297">
        <f>IF($A101="",TODAY(),INDEX(Transactions!$G:$G,ROW()-8))</f>
      </c>
      <c r="C101" s="298">
        <f>IF($A101="","",INDEX(Transactions!$A:$A,ROW()-8))</f>
      </c>
      <c r="D101" s="30">
        <f>IF($A101="",0,INDEX(Transactions!$H:$H,ROW()-8))</f>
      </c>
      <c r="E101" s="299">
        <f>IF($A101="",1,INDEX(Transactions!$N:$N,ROW()-8))</f>
        <v>1</v>
      </c>
      <c r="F101" s="30">
        <f>IF($A101="",0,INDEX(Transactions!$O:$O,ROW()-8))</f>
      </c>
      <c r="G101" s="30">
        <f>IF($A101="",0,INDEX(Transactions!$P:$P,ROW()-8))</f>
      </c>
    </row>
    <row r="102" spans="1:7" ht="15" customHeight="1" x14ac:dyDescent="0.15">
      <c r="A102">
        <f>IF(INDEX(Transactions!$J:$J,ROW()-8)="","",INDEX(Transactions!$J:$J,ROW()-8))</f>
      </c>
      <c r="B102" s="297">
        <f>IF($A102="",TODAY(),INDEX(Transactions!$G:$G,ROW()-8))</f>
      </c>
      <c r="C102" s="298">
        <f>IF($A102="","",INDEX(Transactions!$A:$A,ROW()-8))</f>
      </c>
      <c r="D102" s="30">
        <f>IF($A102="",0,INDEX(Transactions!$H:$H,ROW()-8))</f>
      </c>
      <c r="E102" s="299">
        <f>IF($A102="",1,INDEX(Transactions!$N:$N,ROW()-8))</f>
        <v>1</v>
      </c>
      <c r="F102" s="30">
        <f>IF($A102="",0,INDEX(Transactions!$O:$O,ROW()-8))</f>
      </c>
      <c r="G102" s="30">
        <f>IF($A102="",0,INDEX(Transactions!$P:$P,ROW()-8))</f>
      </c>
    </row>
    <row r="103" spans="1:7" ht="15" customHeight="1" x14ac:dyDescent="0.15">
      <c r="A103">
        <f>IF(INDEX(Transactions!$J:$J,ROW()-8)="","",INDEX(Transactions!$J:$J,ROW()-8))</f>
      </c>
      <c r="B103" s="297">
        <f>IF($A103="",TODAY(),INDEX(Transactions!$G:$G,ROW()-8))</f>
      </c>
      <c r="C103" s="298">
        <f>IF($A103="","",INDEX(Transactions!$A:$A,ROW()-8))</f>
      </c>
      <c r="D103" s="30">
        <f>IF($A103="",0,INDEX(Transactions!$H:$H,ROW()-8))</f>
      </c>
      <c r="E103" s="299">
        <f>IF($A103="",1,INDEX(Transactions!$N:$N,ROW()-8))</f>
        <v>1</v>
      </c>
      <c r="F103" s="30">
        <f>IF($A103="",0,INDEX(Transactions!$O:$O,ROW()-8))</f>
      </c>
      <c r="G103" s="30">
        <f>IF($A103="",0,INDEX(Transactions!$P:$P,ROW()-8))</f>
      </c>
    </row>
    <row r="104" spans="1:7" ht="15" customHeight="1" x14ac:dyDescent="0.15">
      <c r="A104">
        <f>IF(INDEX(Transactions!$J:$J,ROW()-8)="","",INDEX(Transactions!$J:$J,ROW()-8))</f>
      </c>
      <c r="B104" s="297">
        <f>IF($A104="",TODAY(),INDEX(Transactions!$G:$G,ROW()-8))</f>
      </c>
      <c r="C104" s="298">
        <f>IF($A104="","",INDEX(Transactions!$A:$A,ROW()-8))</f>
      </c>
      <c r="D104" s="30">
        <f>IF($A104="",0,INDEX(Transactions!$H:$H,ROW()-8))</f>
      </c>
      <c r="E104" s="299">
        <f>IF($A104="",1,INDEX(Transactions!$N:$N,ROW()-8))</f>
        <v>1</v>
      </c>
      <c r="F104" s="30">
        <f>IF($A104="",0,INDEX(Transactions!$O:$O,ROW()-8))</f>
      </c>
      <c r="G104" s="30">
        <f>IF($A104="",0,INDEX(Transactions!$P:$P,ROW()-8))</f>
      </c>
    </row>
    <row r="105" spans="1:7" ht="15" customHeight="1" x14ac:dyDescent="0.15">
      <c r="A105">
        <f>IF(INDEX(Transactions!$J:$J,ROW()-8)="","",INDEX(Transactions!$J:$J,ROW()-8))</f>
      </c>
      <c r="B105" s="297">
        <f>IF($A105="",TODAY(),INDEX(Transactions!$G:$G,ROW()-8))</f>
      </c>
      <c r="C105" s="298">
        <f>IF($A105="","",INDEX(Transactions!$A:$A,ROW()-8))</f>
      </c>
      <c r="D105" s="30">
        <f>IF($A105="",0,INDEX(Transactions!$H:$H,ROW()-8))</f>
      </c>
      <c r="E105" s="299">
        <f>IF($A105="",1,INDEX(Transactions!$N:$N,ROW()-8))</f>
        <v>1</v>
      </c>
      <c r="F105" s="30">
        <f>IF($A105="",0,INDEX(Transactions!$O:$O,ROW()-8))</f>
      </c>
      <c r="G105" s="30">
        <f>IF($A105="",0,INDEX(Transactions!$P:$P,ROW()-8))</f>
      </c>
    </row>
    <row r="106" spans="1:7" ht="15" customHeight="1" x14ac:dyDescent="0.15">
      <c r="A106">
        <f>IF(INDEX(Transactions!$J:$J,ROW()-8)="","",INDEX(Transactions!$J:$J,ROW()-8))</f>
      </c>
      <c r="B106" s="297">
        <f>IF($A106="",TODAY(),INDEX(Transactions!$G:$G,ROW()-8))</f>
      </c>
      <c r="C106" s="298">
        <f>IF($A106="","",INDEX(Transactions!$A:$A,ROW()-8))</f>
      </c>
      <c r="D106" s="30">
        <f>IF($A106="",0,INDEX(Transactions!$H:$H,ROW()-8))</f>
      </c>
      <c r="E106" s="299">
        <f>IF($A106="",1,INDEX(Transactions!$N:$N,ROW()-8))</f>
        <v>1</v>
      </c>
      <c r="F106" s="30">
        <f>IF($A106="",0,INDEX(Transactions!$O:$O,ROW()-8))</f>
      </c>
      <c r="G106" s="30">
        <f>IF($A106="",0,INDEX(Transactions!$P:$P,ROW()-8))</f>
      </c>
    </row>
    <row r="107" spans="1:7" ht="15" customHeight="1" x14ac:dyDescent="0.15">
      <c r="A107">
        <f>IF(INDEX(Transactions!$J:$J,ROW()-8)="","",INDEX(Transactions!$J:$J,ROW()-8))</f>
      </c>
      <c r="B107" s="297">
        <f>IF($A107="",TODAY(),INDEX(Transactions!$G:$G,ROW()-8))</f>
      </c>
      <c r="C107" s="298">
        <f>IF($A107="","",INDEX(Transactions!$A:$A,ROW()-8))</f>
      </c>
      <c r="D107" s="30">
        <f>IF($A107="",0,INDEX(Transactions!$H:$H,ROW()-8))</f>
      </c>
      <c r="E107" s="299">
        <f>IF($A107="",1,INDEX(Transactions!$N:$N,ROW()-8))</f>
        <v>1</v>
      </c>
      <c r="F107" s="30">
        <f>IF($A107="",0,INDEX(Transactions!$O:$O,ROW()-8))</f>
      </c>
      <c r="G107" s="30">
        <f>IF($A107="",0,INDEX(Transactions!$P:$P,ROW()-8))</f>
      </c>
    </row>
    <row r="108" spans="1:7" ht="15" customHeight="1" x14ac:dyDescent="0.15">
      <c r="A108">
        <f>IF(INDEX(Transactions!$J:$J,ROW()-8)="","",INDEX(Transactions!$J:$J,ROW()-8))</f>
      </c>
      <c r="B108" s="297">
        <f>IF($A108="",TODAY(),INDEX(Transactions!$G:$G,ROW()-8))</f>
      </c>
      <c r="C108" s="298">
        <f>IF($A108="","",INDEX(Transactions!$A:$A,ROW()-8))</f>
      </c>
      <c r="D108" s="30">
        <f>IF($A108="",0,INDEX(Transactions!$H:$H,ROW()-8))</f>
      </c>
      <c r="E108" s="299">
        <f>IF($A108="",1,INDEX(Transactions!$N:$N,ROW()-8))</f>
        <v>1</v>
      </c>
      <c r="F108" s="30">
        <f>IF($A108="",0,INDEX(Transactions!$O:$O,ROW()-8))</f>
      </c>
      <c r="G108" s="30">
        <f>IF($A108="",0,INDEX(Transactions!$P:$P,ROW()-8))</f>
      </c>
    </row>
    <row r="109" spans="1:7" ht="15" customHeight="1" x14ac:dyDescent="0.15">
      <c r="A109">
        <f>IF(INDEX(Transactions!$J:$J,ROW()-8)="","",INDEX(Transactions!$J:$J,ROW()-8))</f>
      </c>
      <c r="B109" s="297">
        <f>IF($A109="",TODAY(),INDEX(Transactions!$G:$G,ROW()-8))</f>
      </c>
      <c r="C109" s="298">
        <f>IF($A109="","",INDEX(Transactions!$A:$A,ROW()-8))</f>
      </c>
      <c r="D109" s="30">
        <f>IF($A109="",0,INDEX(Transactions!$H:$H,ROW()-8))</f>
      </c>
      <c r="E109" s="300">
        <f>IF($A109="",1,INDEX(Transactions!$N:$N,ROW()-8))</f>
        <v>1</v>
      </c>
      <c r="F109" s="30">
        <f>IF($A109="",0,INDEX(Transactions!$O:$O,ROW()-8))</f>
      </c>
      <c r="G109" s="30">
        <f>IF($A109="",0,INDEX(Transactions!$P:$P,ROW()-8))</f>
      </c>
    </row>
    <row r="110" spans="1:7" ht="15" customHeight="1" x14ac:dyDescent="0.15">
      <c r="A110">
        <f>IF(INDEX(Transactions!$J:$J,ROW()-8)="","",INDEX(Transactions!$J:$J,ROW()-8))</f>
      </c>
      <c r="B110" s="297">
        <f>IF($A110="",TODAY(),INDEX(Transactions!$G:$G,ROW()-8))</f>
      </c>
      <c r="C110" s="298">
        <f>IF($A110="","",INDEX(Transactions!$A:$A,ROW()-8))</f>
      </c>
      <c r="D110" s="30">
        <f>IF($A110="",0,INDEX(Transactions!$H:$H,ROW()-8))</f>
      </c>
      <c r="E110" s="300">
        <f>IF($A110="",1,INDEX(Transactions!$N:$N,ROW()-8))</f>
        <v>1</v>
      </c>
      <c r="F110" s="30">
        <f>IF($A110="",0,INDEX(Transactions!$O:$O,ROW()-8))</f>
      </c>
      <c r="G110" s="30">
        <f>IF($A110="",0,INDEX(Transactions!$P:$P,ROW()-8))</f>
      </c>
    </row>
    <row r="111" spans="1:7" ht="15" customHeight="1" x14ac:dyDescent="0.15">
      <c r="A111">
        <f>IF(INDEX(Transactions!$J:$J,ROW()-8)="","",INDEX(Transactions!$J:$J,ROW()-8))</f>
      </c>
      <c r="B111" s="297">
        <f>IF($A111="",TODAY(),INDEX(Transactions!$G:$G,ROW()-8))</f>
      </c>
      <c r="C111" s="298">
        <f>IF($A111="","",INDEX(Transactions!$A:$A,ROW()-8))</f>
      </c>
      <c r="D111" s="30">
        <f>IF($A111="",0,INDEX(Transactions!$H:$H,ROW()-8))</f>
      </c>
      <c r="E111" s="300">
        <f>IF($A111="",1,INDEX(Transactions!$N:$N,ROW()-8))</f>
        <v>1</v>
      </c>
      <c r="F111" s="30">
        <f>IF($A111="",0,INDEX(Transactions!$O:$O,ROW()-8))</f>
      </c>
      <c r="G111" s="30">
        <f>IF($A111="",0,INDEX(Transactions!$P:$P,ROW()-8))</f>
      </c>
    </row>
    <row r="112" spans="1:7" ht="15" customHeight="1" x14ac:dyDescent="0.15">
      <c r="A112">
        <f>IF(INDEX(Transactions!$J:$J,ROW()-8)="","",INDEX(Transactions!$J:$J,ROW()-8))</f>
      </c>
      <c r="B112" s="297">
        <f>IF($A112="",TODAY(),INDEX(Transactions!$G:$G,ROW()-8))</f>
      </c>
      <c r="C112" s="298">
        <f>IF($A112="","",INDEX(Transactions!$A:$A,ROW()-8))</f>
      </c>
      <c r="D112" s="30">
        <f>IF($A112="",0,INDEX(Transactions!$H:$H,ROW()-8))</f>
      </c>
      <c r="E112" s="300">
        <f>IF($A112="",1,INDEX(Transactions!$N:$N,ROW()-8))</f>
        <v>1</v>
      </c>
      <c r="F112" s="30">
        <f>IF($A112="",0,INDEX(Transactions!$O:$O,ROW()-8))</f>
      </c>
      <c r="G112" s="30">
        <f>IF($A112="",0,INDEX(Transactions!$P:$P,ROW()-8))</f>
      </c>
    </row>
    <row r="113" spans="1:7" ht="15" customHeight="1" x14ac:dyDescent="0.15">
      <c r="A113">
        <f>IF(INDEX(Transactions!$J:$J,ROW()-8)="","",INDEX(Transactions!$J:$J,ROW()-8))</f>
      </c>
      <c r="B113" s="297">
        <f>IF($A113="",TODAY(),INDEX(Transactions!$G:$G,ROW()-8))</f>
      </c>
      <c r="C113" s="298">
        <f>IF($A113="","",INDEX(Transactions!$A:$A,ROW()-8))</f>
      </c>
      <c r="D113" s="30">
        <f>IF($A113="",0,INDEX(Transactions!$H:$H,ROW()-8))</f>
      </c>
      <c r="E113" s="300">
        <f>IF($A113="",1,INDEX(Transactions!$N:$N,ROW()-8))</f>
        <v>1</v>
      </c>
      <c r="F113" s="30">
        <f>IF($A113="",0,INDEX(Transactions!$O:$O,ROW()-8))</f>
      </c>
      <c r="G113" s="30">
        <f>IF($A113="",0,INDEX(Transactions!$P:$P,ROW()-8))</f>
      </c>
    </row>
    <row r="114" spans="1:7" ht="15" customHeight="1" x14ac:dyDescent="0.15">
      <c r="A114">
        <f>IF(INDEX(Transactions!$J:$J,ROW()-8)="","",INDEX(Transactions!$J:$J,ROW()-8))</f>
      </c>
      <c r="B114" s="297">
        <f>IF($A114="",TODAY(),INDEX(Transactions!$G:$G,ROW()-8))</f>
      </c>
      <c r="C114" s="298">
        <f>IF($A114="","",INDEX(Transactions!$A:$A,ROW()-8))</f>
      </c>
      <c r="D114" s="30">
        <f>IF($A114="",0,INDEX(Transactions!$H:$H,ROW()-8))</f>
      </c>
      <c r="E114" s="299">
        <f>IF($A114="",1,INDEX(Transactions!$N:$N,ROW()-8))</f>
        <v>1</v>
      </c>
      <c r="F114" s="30">
        <f>IF($A114="",0,INDEX(Transactions!$O:$O,ROW()-8))</f>
      </c>
      <c r="G114" s="30">
        <f>IF($A114="",0,INDEX(Transactions!$P:$P,ROW()-8))</f>
      </c>
    </row>
    <row r="115" spans="1:7" ht="15" customHeight="1" x14ac:dyDescent="0.15">
      <c r="A115">
        <f>IF(INDEX(Transactions!$J:$J,ROW()-8)="","",INDEX(Transactions!$J:$J,ROW()-8))</f>
      </c>
      <c r="B115" s="297">
        <f>IF($A115="",TODAY(),INDEX(Transactions!$G:$G,ROW()-8))</f>
      </c>
      <c r="C115" s="298">
        <f>IF($A115="","",INDEX(Transactions!$A:$A,ROW()-8))</f>
      </c>
      <c r="D115" s="30">
        <f>IF($A115="",0,INDEX(Transactions!$H:$H,ROW()-8))</f>
      </c>
      <c r="E115" s="300">
        <f>IF($A115="",1,INDEX(Transactions!$N:$N,ROW()-8))</f>
        <v>1</v>
      </c>
      <c r="F115" s="30">
        <f>IF($A115="",0,INDEX(Transactions!$O:$O,ROW()-8))</f>
      </c>
      <c r="G115" s="30">
        <f>IF($A115="",0,INDEX(Transactions!$P:$P,ROW()-8))</f>
      </c>
    </row>
    <row r="116" spans="1:7" ht="15" customHeight="1" x14ac:dyDescent="0.15">
      <c r="A116">
        <f>IF(INDEX(Transactions!$J:$J,ROW()-8)="","",INDEX(Transactions!$J:$J,ROW()-8))</f>
      </c>
      <c r="B116" s="297">
        <f>IF($A116="",TODAY(),INDEX(Transactions!$G:$G,ROW()-8))</f>
      </c>
      <c r="C116" s="298">
        <f>IF($A116="","",INDEX(Transactions!$A:$A,ROW()-8))</f>
      </c>
      <c r="D116" s="30">
        <f>IF($A116="",0,INDEX(Transactions!$H:$H,ROW()-8))</f>
      </c>
      <c r="E116" s="300">
        <f>IF($A116="",1,INDEX(Transactions!$N:$N,ROW()-8))</f>
        <v>1</v>
      </c>
      <c r="F116" s="30">
        <f>IF($A116="",0,INDEX(Transactions!$O:$O,ROW()-8))</f>
      </c>
      <c r="G116" s="30">
        <f>IF($A116="",0,INDEX(Transactions!$P:$P,ROW()-8))</f>
      </c>
    </row>
    <row r="117" spans="1:7" ht="15" customHeight="1" x14ac:dyDescent="0.15">
      <c r="A117">
        <f>IF(INDEX(Transactions!$J:$J,ROW()-8)="","",INDEX(Transactions!$J:$J,ROW()-8))</f>
      </c>
      <c r="B117" s="297">
        <f>IF($A117="",TODAY(),INDEX(Transactions!$G:$G,ROW()-8))</f>
      </c>
      <c r="C117" s="298">
        <f>IF($A117="","",INDEX(Transactions!$A:$A,ROW()-8))</f>
      </c>
      <c r="D117" s="30">
        <f>IF($A117="",0,INDEX(Transactions!$H:$H,ROW()-8))</f>
      </c>
      <c r="E117" s="300">
        <f>IF($A117="",1,INDEX(Transactions!$N:$N,ROW()-8))</f>
        <v>1</v>
      </c>
      <c r="F117" s="30">
        <f>IF($A117="",0,INDEX(Transactions!$O:$O,ROW()-8))</f>
      </c>
      <c r="G117" s="30">
        <f>IF($A117="",0,INDEX(Transactions!$P:$P,ROW()-8))</f>
      </c>
    </row>
    <row r="118" spans="1:7" ht="15" customHeight="1" x14ac:dyDescent="0.15">
      <c r="A118">
        <f>IF(INDEX(Transactions!$J:$J,ROW()-8)="","",INDEX(Transactions!$J:$J,ROW()-8))</f>
      </c>
      <c r="B118" s="297">
        <f>IF($A118="",TODAY(),INDEX(Transactions!$G:$G,ROW()-8))</f>
      </c>
      <c r="C118" s="298">
        <f>IF($A118="","",INDEX(Transactions!$A:$A,ROW()-8))</f>
      </c>
      <c r="D118" s="30">
        <f>IF($A118="",0,INDEX(Transactions!$H:$H,ROW()-8))</f>
      </c>
      <c r="E118" s="299">
        <f>IF($A118="",1,INDEX(Transactions!$N:$N,ROW()-8))</f>
        <v>1</v>
      </c>
      <c r="F118" s="30">
        <f>IF($A118="",0,INDEX(Transactions!$O:$O,ROW()-8))</f>
      </c>
      <c r="G118" s="30">
        <f>IF($A118="",0,INDEX(Transactions!$P:$P,ROW()-8))</f>
      </c>
    </row>
    <row r="119" spans="1:7" ht="15" customHeight="1" x14ac:dyDescent="0.15">
      <c r="A119">
        <f>IF(INDEX(Transactions!$J:$J,ROW()-8)="","",INDEX(Transactions!$J:$J,ROW()-8))</f>
      </c>
      <c r="B119" s="297">
        <f>IF($A119="",TODAY(),INDEX(Transactions!$G:$G,ROW()-8))</f>
      </c>
      <c r="C119" s="298">
        <f>IF($A119="","",INDEX(Transactions!$A:$A,ROW()-8))</f>
      </c>
      <c r="D119" s="30">
        <f>IF($A119="",0,INDEX(Transactions!$H:$H,ROW()-8))</f>
      </c>
      <c r="E119" s="300">
        <f>IF($A119="",1,INDEX(Transactions!$N:$N,ROW()-8))</f>
        <v>1</v>
      </c>
      <c r="F119" s="30">
        <f>IF($A119="",0,INDEX(Transactions!$O:$O,ROW()-8))</f>
      </c>
      <c r="G119" s="30">
        <f>IF($A119="",0,INDEX(Transactions!$P:$P,ROW()-8))</f>
      </c>
    </row>
    <row r="120" spans="1:7" ht="15" customHeight="1" x14ac:dyDescent="0.15">
      <c r="A120">
        <f>IF(INDEX(Transactions!$J:$J,ROW()-8)="","",INDEX(Transactions!$J:$J,ROW()-8))</f>
      </c>
      <c r="B120" s="297">
        <f>IF($A120="",TODAY(),INDEX(Transactions!$G:$G,ROW()-8))</f>
      </c>
      <c r="C120" s="298">
        <f>IF($A120="","",INDEX(Transactions!$A:$A,ROW()-8))</f>
      </c>
      <c r="D120" s="30">
        <f>IF($A120="",0,INDEX(Transactions!$H:$H,ROW()-8))</f>
      </c>
      <c r="E120" s="299">
        <f>IF($A120="",1,INDEX(Transactions!$N:$N,ROW()-8))</f>
        <v>1</v>
      </c>
      <c r="F120" s="30">
        <f>IF($A120="",0,INDEX(Transactions!$O:$O,ROW()-8))</f>
      </c>
      <c r="G120" s="30">
        <f>IF($A120="",0,INDEX(Transactions!$P:$P,ROW()-8))</f>
      </c>
    </row>
    <row r="121" spans="1:7" ht="15" customHeight="1" x14ac:dyDescent="0.15">
      <c r="A121">
        <f>IF(INDEX(Transactions!$J:$J,ROW()-8)="","",INDEX(Transactions!$J:$J,ROW()-8))</f>
      </c>
      <c r="B121" s="297">
        <f>IF($A121="",TODAY(),INDEX(Transactions!$G:$G,ROW()-8))</f>
      </c>
      <c r="C121" s="298">
        <f>IF($A121="","",INDEX(Transactions!$A:$A,ROW()-8))</f>
      </c>
      <c r="D121" s="30">
        <f>IF($A121="",0,INDEX(Transactions!$H:$H,ROW()-8))</f>
      </c>
      <c r="E121" s="300">
        <f>IF($A121="",1,INDEX(Transactions!$N:$N,ROW()-8))</f>
        <v>1</v>
      </c>
      <c r="F121" s="30">
        <f>IF($A121="",0,INDEX(Transactions!$O:$O,ROW()-8))</f>
      </c>
      <c r="G121" s="30">
        <f>IF($A121="",0,INDEX(Transactions!$P:$P,ROW()-8))</f>
      </c>
    </row>
    <row r="122" spans="1:7" ht="15" customHeight="1" x14ac:dyDescent="0.15">
      <c r="A122">
        <f>IF(INDEX(Transactions!$J:$J,ROW()-8)="","",INDEX(Transactions!$J:$J,ROW()-8))</f>
      </c>
      <c r="B122" s="297">
        <f>IF($A122="",TODAY(),INDEX(Transactions!$G:$G,ROW()-8))</f>
      </c>
      <c r="C122" s="298">
        <f>IF($A122="","",INDEX(Transactions!$A:$A,ROW()-8))</f>
      </c>
      <c r="D122" s="30">
        <f>IF($A122="",0,INDEX(Transactions!$H:$H,ROW()-8))</f>
      </c>
      <c r="E122" s="300">
        <f>IF($A122="",1,INDEX(Transactions!$N:$N,ROW()-8))</f>
        <v>1</v>
      </c>
      <c r="F122" s="30">
        <f>IF($A122="",0,INDEX(Transactions!$O:$O,ROW()-8))</f>
      </c>
      <c r="G122" s="30">
        <f>IF($A122="",0,INDEX(Transactions!$P:$P,ROW()-8))</f>
      </c>
    </row>
    <row r="123" spans="1:7" ht="15" customHeight="1" x14ac:dyDescent="0.15">
      <c r="A123">
        <f>IF(INDEX(Transactions!$J:$J,ROW()-8)="","",INDEX(Transactions!$J:$J,ROW()-8))</f>
      </c>
      <c r="B123" s="297">
        <f>IF($A123="",TODAY(),INDEX(Transactions!$G:$G,ROW()-8))</f>
      </c>
      <c r="C123" s="298">
        <f>IF($A123="","",INDEX(Transactions!$A:$A,ROW()-8))</f>
      </c>
      <c r="D123" s="30">
        <f>IF($A123="",0,INDEX(Transactions!$H:$H,ROW()-8))</f>
      </c>
      <c r="E123" s="299">
        <f>IF($A123="",1,INDEX(Transactions!$N:$N,ROW()-8))</f>
        <v>1</v>
      </c>
      <c r="F123" s="30">
        <f>IF($A123="",0,INDEX(Transactions!$O:$O,ROW()-8))</f>
      </c>
      <c r="G123" s="30">
        <f>IF($A123="",0,INDEX(Transactions!$P:$P,ROW()-8))</f>
      </c>
    </row>
    <row r="124" spans="1:7" ht="15" customHeight="1" x14ac:dyDescent="0.15">
      <c r="A124">
        <f>IF(INDEX(Transactions!$J:$J,ROW()-8)="","",INDEX(Transactions!$J:$J,ROW()-8))</f>
      </c>
      <c r="B124" s="297">
        <f>IF($A124="",TODAY(),INDEX(Transactions!$G:$G,ROW()-8))</f>
      </c>
      <c r="C124" s="298">
        <f>IF($A124="","",INDEX(Transactions!$A:$A,ROW()-8))</f>
      </c>
      <c r="D124" s="30">
        <f>IF($A124="",0,INDEX(Transactions!$H:$H,ROW()-8))</f>
      </c>
      <c r="E124" s="300">
        <f>IF($A124="",1,INDEX(Transactions!$N:$N,ROW()-8))</f>
        <v>1</v>
      </c>
      <c r="F124" s="30">
        <f>IF($A124="",0,INDEX(Transactions!$O:$O,ROW()-8))</f>
      </c>
      <c r="G124" s="30">
        <f>IF($A124="",0,INDEX(Transactions!$P:$P,ROW()-8))</f>
      </c>
    </row>
    <row r="125" spans="1:7" ht="15" customHeight="1" x14ac:dyDescent="0.15">
      <c r="A125">
        <f>IF(INDEX(Transactions!$J:$J,ROW()-8)="","",INDEX(Transactions!$J:$J,ROW()-8))</f>
      </c>
      <c r="B125" s="297">
        <f>IF($A125="",TODAY(),INDEX(Transactions!$G:$G,ROW()-8))</f>
      </c>
      <c r="C125" s="298">
        <f>IF($A125="","",INDEX(Transactions!$A:$A,ROW()-8))</f>
      </c>
      <c r="D125" s="30">
        <f>IF($A125="",0,INDEX(Transactions!$H:$H,ROW()-8))</f>
      </c>
      <c r="E125" s="300">
        <f>IF($A125="",1,INDEX(Transactions!$N:$N,ROW()-8))</f>
        <v>1</v>
      </c>
      <c r="F125" s="30">
        <f>IF($A125="",0,INDEX(Transactions!$O:$O,ROW()-8))</f>
      </c>
      <c r="G125" s="30">
        <f>IF($A125="",0,INDEX(Transactions!$P:$P,ROW()-8))</f>
      </c>
    </row>
    <row r="126" spans="1:7" ht="15" customHeight="1" x14ac:dyDescent="0.15">
      <c r="A126">
        <f>IF(INDEX(Transactions!$J:$J,ROW()-8)="","",INDEX(Transactions!$J:$J,ROW()-8))</f>
      </c>
      <c r="B126" s="297">
        <f>IF($A126="",TODAY(),INDEX(Transactions!$G:$G,ROW()-8))</f>
      </c>
      <c r="C126" s="298">
        <f>IF($A126="","",INDEX(Transactions!$A:$A,ROW()-8))</f>
      </c>
      <c r="D126" s="30">
        <f>IF($A126="",0,INDEX(Transactions!$H:$H,ROW()-8))</f>
      </c>
      <c r="E126" s="300">
        <f>IF($A126="",1,INDEX(Transactions!$N:$N,ROW()-8))</f>
        <v>1</v>
      </c>
      <c r="F126" s="30">
        <f>IF($A126="",0,INDEX(Transactions!$O:$O,ROW()-8))</f>
      </c>
      <c r="G126" s="30">
        <f>IF($A126="",0,INDEX(Transactions!$P:$P,ROW()-8))</f>
      </c>
    </row>
    <row r="127" spans="1:7" ht="15" customHeight="1" x14ac:dyDescent="0.15">
      <c r="A127">
        <f>IF(INDEX(Transactions!$J:$J,ROW()-8)="","",INDEX(Transactions!$J:$J,ROW()-8))</f>
      </c>
      <c r="B127" s="297">
        <f>IF($A127="",TODAY(),INDEX(Transactions!$G:$G,ROW()-8))</f>
      </c>
      <c r="C127" s="298">
        <f>IF($A127="","",INDEX(Transactions!$A:$A,ROW()-8))</f>
      </c>
      <c r="D127" s="30">
        <f>IF($A127="",0,INDEX(Transactions!$H:$H,ROW()-8))</f>
      </c>
      <c r="E127" s="299">
        <f>IF($A127="",1,INDEX(Transactions!$N:$N,ROW()-8))</f>
        <v>1</v>
      </c>
      <c r="F127" s="30">
        <f>IF($A127="",0,INDEX(Transactions!$O:$O,ROW()-8))</f>
      </c>
      <c r="G127" s="30">
        <f>IF($A127="",0,INDEX(Transactions!$P:$P,ROW()-8))</f>
      </c>
    </row>
    <row r="128" spans="1:7" ht="15" customHeight="1" x14ac:dyDescent="0.15">
      <c r="A128">
        <f>IF(INDEX(Transactions!$J:$J,ROW()-8)="","",INDEX(Transactions!$J:$J,ROW()-8))</f>
      </c>
      <c r="B128" s="297">
        <f>IF($A128="",TODAY(),INDEX(Transactions!$G:$G,ROW()-8))</f>
      </c>
      <c r="C128" s="298">
        <f>IF($A128="","",INDEX(Transactions!$A:$A,ROW()-8))</f>
      </c>
      <c r="D128" s="30">
        <f>IF($A128="",0,INDEX(Transactions!$H:$H,ROW()-8))</f>
      </c>
      <c r="E128" s="300">
        <f>IF($A128="",1,INDEX(Transactions!$N:$N,ROW()-8))</f>
        <v>1</v>
      </c>
      <c r="F128" s="30">
        <f>IF($A128="",0,INDEX(Transactions!$O:$O,ROW()-8))</f>
      </c>
      <c r="G128" s="30">
        <f>IF($A128="",0,INDEX(Transactions!$P:$P,ROW()-8))</f>
      </c>
    </row>
    <row r="129" spans="1:7" ht="15" customHeight="1" x14ac:dyDescent="0.15">
      <c r="A129">
        <f>IF(INDEX(Transactions!$J:$J,ROW()-8)="","",INDEX(Transactions!$J:$J,ROW()-8))</f>
      </c>
      <c r="B129" s="297">
        <f>IF($A129="",TODAY(),INDEX(Transactions!$G:$G,ROW()-8))</f>
      </c>
      <c r="C129" s="298">
        <f>IF($A129="","",INDEX(Transactions!$A:$A,ROW()-8))</f>
      </c>
      <c r="D129" s="30">
        <f>IF($A129="",0,INDEX(Transactions!$H:$H,ROW()-8))</f>
      </c>
      <c r="E129" s="300">
        <f>IF($A129="",1,INDEX(Transactions!$N:$N,ROW()-8))</f>
        <v>1</v>
      </c>
      <c r="F129" s="30">
        <f>IF($A129="",0,INDEX(Transactions!$O:$O,ROW()-8))</f>
      </c>
      <c r="G129" s="30">
        <f>IF($A129="",0,INDEX(Transactions!$P:$P,ROW()-8))</f>
      </c>
    </row>
    <row r="130" spans="1:7" ht="15" customHeight="1" x14ac:dyDescent="0.15">
      <c r="A130">
        <f>IF(INDEX(Transactions!$J:$J,ROW()-8)="","",INDEX(Transactions!$J:$J,ROW()-8))</f>
      </c>
      <c r="B130" s="297">
        <f>IF($A130="",TODAY(),INDEX(Transactions!$G:$G,ROW()-8))</f>
      </c>
      <c r="C130" s="298">
        <f>IF($A130="","",INDEX(Transactions!$A:$A,ROW()-8))</f>
      </c>
      <c r="D130" s="30">
        <f>IF($A130="",0,INDEX(Transactions!$H:$H,ROW()-8))</f>
      </c>
      <c r="E130" s="299">
        <f>IF($A130="",1,INDEX(Transactions!$N:$N,ROW()-8))</f>
        <v>1</v>
      </c>
      <c r="F130" s="30">
        <f>IF($A130="",0,INDEX(Transactions!$O:$O,ROW()-8))</f>
      </c>
      <c r="G130" s="30">
        <f>IF($A130="",0,INDEX(Transactions!$P:$P,ROW()-8))</f>
      </c>
    </row>
    <row r="131" spans="1:7" ht="15" customHeight="1" x14ac:dyDescent="0.15">
      <c r="A131">
        <f>IF(INDEX(Transactions!$J:$J,ROW()-8)="","",INDEX(Transactions!$J:$J,ROW()-8))</f>
      </c>
      <c r="B131" s="297">
        <f>IF($A131="",TODAY(),INDEX(Transactions!$G:$G,ROW()-8))</f>
      </c>
      <c r="C131" s="298">
        <f>IF($A131="","",INDEX(Transactions!$A:$A,ROW()-8))</f>
      </c>
      <c r="D131" s="30">
        <f>IF($A131="",0,INDEX(Transactions!$H:$H,ROW()-8))</f>
      </c>
      <c r="E131" s="300">
        <f>IF($A131="",1,INDEX(Transactions!$N:$N,ROW()-8))</f>
        <v>1</v>
      </c>
      <c r="F131" s="30">
        <f>IF($A131="",0,INDEX(Transactions!$O:$O,ROW()-8))</f>
      </c>
      <c r="G131" s="30">
        <f>IF($A131="",0,INDEX(Transactions!$P:$P,ROW()-8))</f>
      </c>
    </row>
    <row r="132" spans="1:7" ht="15" customHeight="1" x14ac:dyDescent="0.15">
      <c r="A132">
        <f>IF(INDEX(Transactions!$J:$J,ROW()-8)="","",INDEX(Transactions!$J:$J,ROW()-8))</f>
      </c>
      <c r="B132" s="297">
        <f>IF($A132="",TODAY(),INDEX(Transactions!$G:$G,ROW()-8))</f>
      </c>
      <c r="C132" s="298">
        <f>IF($A132="","",INDEX(Transactions!$A:$A,ROW()-8))</f>
      </c>
      <c r="D132" s="30">
        <f>IF($A132="",0,INDEX(Transactions!$H:$H,ROW()-8))</f>
      </c>
      <c r="E132" s="300">
        <f>IF($A132="",1,INDEX(Transactions!$N:$N,ROW()-8))</f>
        <v>1</v>
      </c>
      <c r="F132" s="30">
        <f>IF($A132="",0,INDEX(Transactions!$O:$O,ROW()-8))</f>
      </c>
      <c r="G132" s="30">
        <f>IF($A132="",0,INDEX(Transactions!$P:$P,ROW()-8))</f>
      </c>
    </row>
    <row r="133" spans="1:7" ht="15" customHeight="1" x14ac:dyDescent="0.15">
      <c r="A133">
        <f>IF(INDEX(Transactions!$J:$J,ROW()-8)="","",INDEX(Transactions!$J:$J,ROW()-8))</f>
      </c>
      <c r="B133" s="297">
        <f>IF($A133="",TODAY(),INDEX(Transactions!$G:$G,ROW()-8))</f>
      </c>
      <c r="C133" s="298">
        <f>IF($A133="","",INDEX(Transactions!$A:$A,ROW()-8))</f>
      </c>
      <c r="D133" s="30">
        <f>IF($A133="",0,INDEX(Transactions!$H:$H,ROW()-8))</f>
      </c>
      <c r="E133" s="300">
        <f>IF($A133="",1,INDEX(Transactions!$N:$N,ROW()-8))</f>
        <v>1</v>
      </c>
      <c r="F133" s="30">
        <f>IF($A133="",0,INDEX(Transactions!$O:$O,ROW()-8))</f>
      </c>
      <c r="G133" s="30">
        <f>IF($A133="",0,INDEX(Transactions!$P:$P,ROW()-8))</f>
      </c>
    </row>
    <row r="134" spans="1:7" ht="15" customHeight="1" x14ac:dyDescent="0.15">
      <c r="A134">
        <f>IF(INDEX(Transactions!$J:$J,ROW()-8)="","",INDEX(Transactions!$J:$J,ROW()-8))</f>
      </c>
      <c r="B134" s="297">
        <f>IF($A134="",TODAY(),INDEX(Transactions!$G:$G,ROW()-8))</f>
      </c>
      <c r="C134" s="298">
        <f>IF($A134="","",INDEX(Transactions!$A:$A,ROW()-8))</f>
      </c>
      <c r="D134" s="30">
        <f>IF($A134="",0,INDEX(Transactions!$H:$H,ROW()-8))</f>
      </c>
      <c r="E134" s="300">
        <f>IF($A134="",1,INDEX(Transactions!$N:$N,ROW()-8))</f>
        <v>1</v>
      </c>
      <c r="F134" s="30">
        <f>IF($A134="",0,INDEX(Transactions!$O:$O,ROW()-8))</f>
      </c>
      <c r="G134" s="30">
        <f>IF($A134="",0,INDEX(Transactions!$P:$P,ROW()-8))</f>
      </c>
    </row>
    <row r="135" spans="1:7" ht="15" customHeight="1" x14ac:dyDescent="0.15">
      <c r="A135">
        <f>IF(INDEX(Transactions!$J:$J,ROW()-8)="","",INDEX(Transactions!$J:$J,ROW()-8))</f>
      </c>
      <c r="B135" s="297">
        <f>IF($A135="",TODAY(),INDEX(Transactions!$G:$G,ROW()-8))</f>
      </c>
      <c r="C135" s="298">
        <f>IF($A135="","",INDEX(Transactions!$A:$A,ROW()-8))</f>
      </c>
      <c r="D135" s="30">
        <f>IF($A135="",0,INDEX(Transactions!$H:$H,ROW()-8))</f>
      </c>
      <c r="E135" s="300">
        <f>IF($A135="",1,INDEX(Transactions!$N:$N,ROW()-8))</f>
        <v>1</v>
      </c>
      <c r="F135" s="30">
        <f>IF($A135="",0,INDEX(Transactions!$O:$O,ROW()-8))</f>
      </c>
      <c r="G135" s="30">
        <f>IF($A135="",0,INDEX(Transactions!$P:$P,ROW()-8))</f>
      </c>
    </row>
    <row r="136" spans="1:7" ht="15" customHeight="1" x14ac:dyDescent="0.15">
      <c r="A136">
        <f>IF(INDEX(Transactions!$J:$J,ROW()-8)="","",INDEX(Transactions!$J:$J,ROW()-8))</f>
      </c>
      <c r="B136" s="297">
        <f>IF($A136="",TODAY(),INDEX(Transactions!$G:$G,ROW()-8))</f>
      </c>
      <c r="C136" s="298">
        <f>IF($A136="","",INDEX(Transactions!$A:$A,ROW()-8))</f>
      </c>
      <c r="D136" s="30">
        <f>IF($A136="",0,INDEX(Transactions!$H:$H,ROW()-8))</f>
      </c>
      <c r="E136" s="300">
        <f>IF($A136="",1,INDEX(Transactions!$N:$N,ROW()-8))</f>
        <v>1</v>
      </c>
      <c r="F136" s="30">
        <f>IF($A136="",0,INDEX(Transactions!$O:$O,ROW()-8))</f>
      </c>
      <c r="G136" s="30">
        <f>IF($A136="",0,INDEX(Transactions!$P:$P,ROW()-8))</f>
      </c>
    </row>
    <row r="137" spans="1:7" ht="15" customHeight="1" x14ac:dyDescent="0.15">
      <c r="A137">
        <f>IF(INDEX(Transactions!$J:$J,ROW()-8)="","",INDEX(Transactions!$J:$J,ROW()-8))</f>
      </c>
      <c r="B137" s="297">
        <f>IF($A137="",TODAY(),INDEX(Transactions!$G:$G,ROW()-8))</f>
      </c>
      <c r="C137" s="298">
        <f>IF($A137="","",INDEX(Transactions!$A:$A,ROW()-8))</f>
      </c>
      <c r="D137" s="30">
        <f>IF($A137="",0,INDEX(Transactions!$H:$H,ROW()-8))</f>
      </c>
      <c r="E137" s="300">
        <f>IF($A137="",1,INDEX(Transactions!$N:$N,ROW()-8))</f>
        <v>1</v>
      </c>
      <c r="F137" s="30">
        <f>IF($A137="",0,INDEX(Transactions!$O:$O,ROW()-8))</f>
      </c>
      <c r="G137" s="30">
        <f>IF($A137="",0,INDEX(Transactions!$P:$P,ROW()-8))</f>
      </c>
    </row>
    <row r="138" spans="1:7" ht="15" customHeight="1" x14ac:dyDescent="0.15">
      <c r="A138">
        <f>IF(INDEX(Transactions!$J:$J,ROW()-8)="","",INDEX(Transactions!$J:$J,ROW()-8))</f>
      </c>
      <c r="B138" s="297">
        <f>IF($A138="",TODAY(),INDEX(Transactions!$G:$G,ROW()-8))</f>
      </c>
      <c r="C138" s="298">
        <f>IF($A138="","",INDEX(Transactions!$A:$A,ROW()-8))</f>
      </c>
      <c r="D138" s="30">
        <f>IF($A138="",0,INDEX(Transactions!$H:$H,ROW()-8))</f>
      </c>
      <c r="E138" s="300">
        <f>IF($A138="",1,INDEX(Transactions!$N:$N,ROW()-8))</f>
        <v>1</v>
      </c>
      <c r="F138" s="30">
        <f>IF($A138="",0,INDEX(Transactions!$O:$O,ROW()-8))</f>
      </c>
      <c r="G138" s="30">
        <f>IF($A138="",0,INDEX(Transactions!$P:$P,ROW()-8))</f>
      </c>
    </row>
    <row r="139" spans="1:7" ht="15" customHeight="1" x14ac:dyDescent="0.15">
      <c r="A139">
        <f>IF(INDEX(Transactions!$J:$J,ROW()-8)="","",INDEX(Transactions!$J:$J,ROW()-8))</f>
      </c>
      <c r="B139" s="297">
        <f>IF($A139="",TODAY(),INDEX(Transactions!$G:$G,ROW()-8))</f>
      </c>
      <c r="C139" s="298">
        <f>IF($A139="","",INDEX(Transactions!$A:$A,ROW()-8))</f>
      </c>
      <c r="D139" s="30">
        <f>IF($A139="",0,INDEX(Transactions!$H:$H,ROW()-8))</f>
      </c>
      <c r="E139" s="300">
        <f>IF($A139="",1,INDEX(Transactions!$N:$N,ROW()-8))</f>
        <v>1</v>
      </c>
      <c r="F139" s="30">
        <f>IF($A139="",0,INDEX(Transactions!$O:$O,ROW()-8))</f>
      </c>
      <c r="G139" s="30">
        <f>IF($A139="",0,INDEX(Transactions!$P:$P,ROW()-8))</f>
      </c>
    </row>
    <row r="140" spans="1:7" ht="15" customHeight="1" x14ac:dyDescent="0.15">
      <c r="A140">
        <f>IF(INDEX(Transactions!$J:$J,ROW()-8)="","",INDEX(Transactions!$J:$J,ROW()-8))</f>
      </c>
      <c r="B140" s="297">
        <f>IF($A140="",TODAY(),INDEX(Transactions!$G:$G,ROW()-8))</f>
      </c>
      <c r="C140" s="298">
        <f>IF($A140="","",INDEX(Transactions!$A:$A,ROW()-8))</f>
      </c>
      <c r="D140" s="30">
        <f>IF($A140="",0,INDEX(Transactions!$H:$H,ROW()-8))</f>
      </c>
      <c r="E140" s="299">
        <f>IF($A140="",1,INDEX(Transactions!$N:$N,ROW()-8))</f>
        <v>1</v>
      </c>
      <c r="F140" s="30">
        <f>IF($A140="",0,INDEX(Transactions!$O:$O,ROW()-8))</f>
      </c>
      <c r="G140" s="30">
        <f>IF($A140="",0,INDEX(Transactions!$P:$P,ROW()-8))</f>
      </c>
    </row>
    <row r="141" spans="1:7" ht="15" customHeight="1" x14ac:dyDescent="0.15">
      <c r="A141">
        <f>IF(INDEX(Transactions!$J:$J,ROW()-8)="","",INDEX(Transactions!$J:$J,ROW()-8))</f>
      </c>
      <c r="B141" s="297">
        <f>IF($A141="",TODAY(),INDEX(Transactions!$G:$G,ROW()-8))</f>
      </c>
      <c r="C141" s="298">
        <f>IF($A141="","",INDEX(Transactions!$A:$A,ROW()-8))</f>
      </c>
      <c r="D141" s="30">
        <f>IF($A141="",0,INDEX(Transactions!$H:$H,ROW()-8))</f>
      </c>
      <c r="E141" s="299">
        <f>IF($A141="",1,INDEX(Transactions!$N:$N,ROW()-8))</f>
        <v>1</v>
      </c>
      <c r="F141" s="30">
        <f>IF($A141="",0,INDEX(Transactions!$O:$O,ROW()-8))</f>
      </c>
      <c r="G141" s="30">
        <f>IF($A141="",0,INDEX(Transactions!$P:$P,ROW()-8))</f>
      </c>
    </row>
    <row r="142" spans="1:7" ht="15" customHeight="1" x14ac:dyDescent="0.15">
      <c r="A142">
        <f>IF(INDEX(Transactions!$J:$J,ROW()-8)="","",INDEX(Transactions!$J:$J,ROW()-8))</f>
      </c>
      <c r="B142" s="297">
        <f>IF($A142="",TODAY(),INDEX(Transactions!$G:$G,ROW()-8))</f>
      </c>
      <c r="C142" s="298">
        <f>IF($A142="","",INDEX(Transactions!$A:$A,ROW()-8))</f>
      </c>
      <c r="D142" s="30">
        <f>IF($A142="",0,INDEX(Transactions!$H:$H,ROW()-8))</f>
      </c>
      <c r="E142" s="300">
        <f>IF($A142="",1,INDEX(Transactions!$N:$N,ROW()-8))</f>
        <v>1</v>
      </c>
      <c r="F142" s="30">
        <f>IF($A142="",0,INDEX(Transactions!$O:$O,ROW()-8))</f>
      </c>
      <c r="G142" s="30">
        <f>IF($A142="",0,INDEX(Transactions!$P:$P,ROW()-8))</f>
      </c>
    </row>
    <row r="143" spans="1:7" ht="15" customHeight="1" x14ac:dyDescent="0.15">
      <c r="A143">
        <f>IF(INDEX(Transactions!$J:$J,ROW()-8)="","",INDEX(Transactions!$J:$J,ROW()-8))</f>
      </c>
      <c r="B143" s="297">
        <f>IF($A143="",TODAY(),INDEX(Transactions!$G:$G,ROW()-8))</f>
      </c>
      <c r="C143" s="298">
        <f>IF($A143="","",INDEX(Transactions!$A:$A,ROW()-8))</f>
      </c>
      <c r="D143" s="30">
        <f>IF($A143="",0,INDEX(Transactions!$H:$H,ROW()-8))</f>
      </c>
      <c r="E143" s="299">
        <f>IF($A143="",1,INDEX(Transactions!$N:$N,ROW()-8))</f>
        <v>1</v>
      </c>
      <c r="F143" s="30">
        <f>IF($A143="",0,INDEX(Transactions!$O:$O,ROW()-8))</f>
      </c>
      <c r="G143" s="30">
        <f>IF($A143="",0,INDEX(Transactions!$P:$P,ROW()-8))</f>
      </c>
    </row>
    <row r="144" spans="1:7" ht="15" customHeight="1" x14ac:dyDescent="0.15">
      <c r="A144">
        <f>IF(INDEX(Transactions!$J:$J,ROW()-8)="","",INDEX(Transactions!$J:$J,ROW()-8))</f>
      </c>
      <c r="B144" s="297">
        <f>IF($A144="",TODAY(),INDEX(Transactions!$G:$G,ROW()-8))</f>
      </c>
      <c r="C144" s="298">
        <f>IF($A144="","",INDEX(Transactions!$A:$A,ROW()-8))</f>
      </c>
      <c r="D144" s="30">
        <f>IF($A144="",0,INDEX(Transactions!$H:$H,ROW()-8))</f>
      </c>
      <c r="E144" s="299">
        <f>IF($A144="",1,INDEX(Transactions!$N:$N,ROW()-8))</f>
        <v>1</v>
      </c>
      <c r="F144" s="30">
        <f>IF($A144="",0,INDEX(Transactions!$O:$O,ROW()-8))</f>
      </c>
      <c r="G144" s="30">
        <f>IF($A144="",0,INDEX(Transactions!$P:$P,ROW()-8))</f>
      </c>
    </row>
    <row r="145" spans="1:7" ht="15" customHeight="1" x14ac:dyDescent="0.15">
      <c r="A145">
        <f>IF(INDEX(Transactions!$J:$J,ROW()-8)="","",INDEX(Transactions!$J:$J,ROW()-8))</f>
      </c>
      <c r="B145" s="297">
        <f>IF($A145="",TODAY(),INDEX(Transactions!$G:$G,ROW()-8))</f>
      </c>
      <c r="C145" s="298">
        <f>IF($A145="","",INDEX(Transactions!$A:$A,ROW()-8))</f>
      </c>
      <c r="D145" s="30">
        <f>IF($A145="",0,INDEX(Transactions!$H:$H,ROW()-8))</f>
      </c>
      <c r="E145" s="299">
        <f>IF($A145="",1,INDEX(Transactions!$N:$N,ROW()-8))</f>
        <v>1</v>
      </c>
      <c r="F145" s="30">
        <f>IF($A145="",0,INDEX(Transactions!$O:$O,ROW()-8))</f>
      </c>
      <c r="G145" s="30">
        <f>IF($A145="",0,INDEX(Transactions!$P:$P,ROW()-8))</f>
      </c>
    </row>
    <row r="146" spans="1:7" ht="15" customHeight="1" x14ac:dyDescent="0.15">
      <c r="A146">
        <f>IF(INDEX(Transactions!$J:$J,ROW()-8)="","",INDEX(Transactions!$J:$J,ROW()-8))</f>
      </c>
      <c r="B146" s="297">
        <f>IF($A146="",TODAY(),INDEX(Transactions!$G:$G,ROW()-8))</f>
      </c>
      <c r="C146" s="298">
        <f>IF($A146="","",INDEX(Transactions!$A:$A,ROW()-8))</f>
      </c>
      <c r="D146" s="30">
        <f>IF($A146="",0,INDEX(Transactions!$H:$H,ROW()-8))</f>
      </c>
      <c r="E146" s="300">
        <f>IF($A146="",1,INDEX(Transactions!$N:$N,ROW()-8))</f>
        <v>1</v>
      </c>
      <c r="F146" s="30">
        <f>IF($A146="",0,INDEX(Transactions!$O:$O,ROW()-8))</f>
      </c>
      <c r="G146" s="30">
        <f>IF($A146="",0,INDEX(Transactions!$P:$P,ROW()-8))</f>
      </c>
    </row>
    <row r="147" spans="1:7" ht="15" customHeight="1" x14ac:dyDescent="0.15">
      <c r="A147">
        <f>IF(INDEX(Transactions!$J:$J,ROW()-8)="","",INDEX(Transactions!$J:$J,ROW()-8))</f>
      </c>
      <c r="B147" s="297">
        <f>IF($A147="",TODAY(),INDEX(Transactions!$G:$G,ROW()-8))</f>
      </c>
      <c r="C147" s="298">
        <f>IF($A147="","",INDEX(Transactions!$A:$A,ROW()-8))</f>
      </c>
      <c r="D147" s="30">
        <f>IF($A147="",0,INDEX(Transactions!$H:$H,ROW()-8))</f>
      </c>
      <c r="E147" s="300">
        <f>IF($A147="",1,INDEX(Transactions!$N:$N,ROW()-8))</f>
        <v>1</v>
      </c>
      <c r="F147" s="30">
        <f>IF($A147="",0,INDEX(Transactions!$O:$O,ROW()-8))</f>
      </c>
      <c r="G147" s="30">
        <f>IF($A147="",0,INDEX(Transactions!$P:$P,ROW()-8))</f>
      </c>
    </row>
    <row r="148" spans="1:7" ht="15" customHeight="1" x14ac:dyDescent="0.15">
      <c r="A148">
        <f>IF(INDEX(Transactions!$J:$J,ROW()-8)="","",INDEX(Transactions!$J:$J,ROW()-8))</f>
      </c>
      <c r="B148" s="297">
        <f>IF($A148="",TODAY(),INDEX(Transactions!$G:$G,ROW()-8))</f>
      </c>
      <c r="C148" s="298">
        <f>IF($A148="","",INDEX(Transactions!$A:$A,ROW()-8))</f>
      </c>
      <c r="D148" s="30">
        <f>IF($A148="",0,INDEX(Transactions!$H:$H,ROW()-8))</f>
      </c>
      <c r="E148" s="300">
        <f>IF($A148="",1,INDEX(Transactions!$N:$N,ROW()-8))</f>
        <v>1</v>
      </c>
      <c r="F148" s="30">
        <f>IF($A148="",0,INDEX(Transactions!$O:$O,ROW()-8))</f>
      </c>
      <c r="G148" s="30">
        <f>IF($A148="",0,INDEX(Transactions!$P:$P,ROW()-8))</f>
      </c>
    </row>
    <row r="149" spans="1:7" ht="15" customHeight="1" x14ac:dyDescent="0.15">
      <c r="A149">
        <f>IF(INDEX(Transactions!$J:$J,ROW()-8)="","",INDEX(Transactions!$J:$J,ROW()-8))</f>
      </c>
      <c r="B149" s="297">
        <f>IF($A149="",TODAY(),INDEX(Transactions!$G:$G,ROW()-8))</f>
      </c>
      <c r="C149" s="298">
        <f>IF($A149="","",INDEX(Transactions!$A:$A,ROW()-8))</f>
      </c>
      <c r="D149" s="30">
        <f>IF($A149="",0,INDEX(Transactions!$H:$H,ROW()-8))</f>
      </c>
      <c r="E149" s="300">
        <f>IF($A149="",1,INDEX(Transactions!$N:$N,ROW()-8))</f>
        <v>1</v>
      </c>
      <c r="F149" s="30">
        <f>IF($A149="",0,INDEX(Transactions!$O:$O,ROW()-8))</f>
      </c>
      <c r="G149" s="30">
        <f>IF($A149="",0,INDEX(Transactions!$P:$P,ROW()-8))</f>
      </c>
    </row>
    <row r="150" spans="1:7" ht="15" customHeight="1" x14ac:dyDescent="0.15">
      <c r="A150">
        <f>IF(INDEX(Transactions!$J:$J,ROW()-8)="","",INDEX(Transactions!$J:$J,ROW()-8))</f>
      </c>
      <c r="B150" s="297">
        <f>IF($A150="",TODAY(),INDEX(Transactions!$G:$G,ROW()-8))</f>
      </c>
      <c r="C150" s="298">
        <f>IF($A150="","",INDEX(Transactions!$A:$A,ROW()-8))</f>
      </c>
      <c r="D150" s="30">
        <f>IF($A150="",0,INDEX(Transactions!$H:$H,ROW()-8))</f>
      </c>
      <c r="E150" s="300">
        <f>IF($A150="",1,INDEX(Transactions!$N:$N,ROW()-8))</f>
        <v>1</v>
      </c>
      <c r="F150" s="30">
        <f>IF($A150="",0,INDEX(Transactions!$O:$O,ROW()-8))</f>
      </c>
      <c r="G150" s="30">
        <f>IF($A150="",0,INDEX(Transactions!$P:$P,ROW()-8))</f>
      </c>
    </row>
    <row r="151" spans="1:7" ht="15" customHeight="1" x14ac:dyDescent="0.15">
      <c r="A151">
        <f>IF(INDEX(Transactions!$J:$J,ROW()-8)="","",INDEX(Transactions!$J:$J,ROW()-8))</f>
      </c>
      <c r="B151" s="297">
        <f>IF($A151="",TODAY(),INDEX(Transactions!$G:$G,ROW()-8))</f>
      </c>
      <c r="C151" s="298">
        <f>IF($A151="","",INDEX(Transactions!$A:$A,ROW()-8))</f>
      </c>
      <c r="D151" s="30">
        <f>IF($A151="",0,INDEX(Transactions!$H:$H,ROW()-8))</f>
      </c>
      <c r="E151" s="300">
        <f>IF($A151="",1,INDEX(Transactions!$N:$N,ROW()-8))</f>
        <v>1</v>
      </c>
      <c r="F151" s="30">
        <f>IF($A151="",0,INDEX(Transactions!$O:$O,ROW()-8))</f>
      </c>
      <c r="G151" s="30">
        <f>IF($A151="",0,INDEX(Transactions!$P:$P,ROW()-8))</f>
      </c>
    </row>
    <row r="152" spans="1:7" ht="15" customHeight="1" x14ac:dyDescent="0.15">
      <c r="A152">
        <f>IF(INDEX(Transactions!$J:$J,ROW()-8)="","",INDEX(Transactions!$J:$J,ROW()-8))</f>
      </c>
      <c r="B152" s="297">
        <f>IF($A152="",TODAY(),INDEX(Transactions!$G:$G,ROW()-8))</f>
      </c>
      <c r="C152" s="298">
        <f>IF($A152="","",INDEX(Transactions!$A:$A,ROW()-8))</f>
      </c>
      <c r="D152" s="30">
        <f>IF($A152="",0,INDEX(Transactions!$H:$H,ROW()-8))</f>
      </c>
      <c r="E152" s="300">
        <f>IF($A152="",1,INDEX(Transactions!$N:$N,ROW()-8))</f>
        <v>1</v>
      </c>
      <c r="F152" s="30">
        <f>IF($A152="",0,INDEX(Transactions!$O:$O,ROW()-8))</f>
      </c>
      <c r="G152" s="30">
        <f>IF($A152="",0,INDEX(Transactions!$P:$P,ROW()-8))</f>
      </c>
    </row>
    <row r="153" spans="1:7" ht="15" customHeight="1" x14ac:dyDescent="0.15">
      <c r="A153">
        <f>IF(INDEX(Transactions!$J:$J,ROW()-8)="","",INDEX(Transactions!$J:$J,ROW()-8))</f>
      </c>
      <c r="B153" s="297">
        <f>IF($A153="",TODAY(),INDEX(Transactions!$G:$G,ROW()-8))</f>
      </c>
      <c r="C153" s="298">
        <f>IF($A153="","",INDEX(Transactions!$A:$A,ROW()-8))</f>
      </c>
      <c r="D153" s="30">
        <f>IF($A153="",0,INDEX(Transactions!$H:$H,ROW()-8))</f>
      </c>
      <c r="E153" s="299">
        <f>IF($A153="",1,INDEX(Transactions!$N:$N,ROW()-8))</f>
        <v>1</v>
      </c>
      <c r="F153" s="30">
        <f>IF($A153="",0,INDEX(Transactions!$O:$O,ROW()-8))</f>
      </c>
      <c r="G153" s="30">
        <f>IF($A153="",0,INDEX(Transactions!$P:$P,ROW()-8))</f>
      </c>
    </row>
    <row r="154" spans="1:7" ht="15" customHeight="1" x14ac:dyDescent="0.15">
      <c r="A154">
        <f>IF(INDEX(Transactions!$J:$J,ROW()-8)="","",INDEX(Transactions!$J:$J,ROW()-8))</f>
      </c>
      <c r="B154" s="297">
        <f>IF($A154="",TODAY(),INDEX(Transactions!$G:$G,ROW()-8))</f>
      </c>
      <c r="C154" s="298">
        <f>IF($A154="","",INDEX(Transactions!$A:$A,ROW()-8))</f>
      </c>
      <c r="D154" s="30">
        <f>IF($A154="",0,INDEX(Transactions!$H:$H,ROW()-8))</f>
      </c>
      <c r="E154" s="300">
        <f>IF($A154="",1,INDEX(Transactions!$N:$N,ROW()-8))</f>
        <v>1</v>
      </c>
      <c r="F154" s="30">
        <f>IF($A154="",0,INDEX(Transactions!$O:$O,ROW()-8))</f>
      </c>
      <c r="G154" s="30">
        <f>IF($A154="",0,INDEX(Transactions!$P:$P,ROW()-8))</f>
      </c>
    </row>
    <row r="155" spans="1:7" ht="15" customHeight="1" x14ac:dyDescent="0.15">
      <c r="A155">
        <f>IF(INDEX(Transactions!$J:$J,ROW()-8)="","",INDEX(Transactions!$J:$J,ROW()-8))</f>
      </c>
      <c r="B155" s="297">
        <f>IF($A155="",TODAY(),INDEX(Transactions!$G:$G,ROW()-8))</f>
      </c>
      <c r="C155" s="298">
        <f>IF($A155="","",INDEX(Transactions!$A:$A,ROW()-8))</f>
      </c>
      <c r="D155" s="30">
        <f>IF($A155="",0,INDEX(Transactions!$H:$H,ROW()-8))</f>
      </c>
      <c r="E155" s="299">
        <f>IF($A155="",1,INDEX(Transactions!$N:$N,ROW()-8))</f>
        <v>1</v>
      </c>
      <c r="F155" s="30">
        <f>IF($A155="",0,INDEX(Transactions!$O:$O,ROW()-8))</f>
      </c>
      <c r="G155" s="30">
        <f>IF($A155="",0,INDEX(Transactions!$P:$P,ROW()-8))</f>
      </c>
    </row>
    <row r="156" spans="1:7" ht="15" customHeight="1" x14ac:dyDescent="0.15">
      <c r="A156">
        <f>IF(INDEX(Transactions!$J:$J,ROW()-8)="","",INDEX(Transactions!$J:$J,ROW()-8))</f>
      </c>
      <c r="B156" s="297">
        <f>IF($A156="",TODAY(),INDEX(Transactions!$G:$G,ROW()-8))</f>
      </c>
      <c r="C156" s="298">
        <f>IF($A156="","",INDEX(Transactions!$A:$A,ROW()-8))</f>
      </c>
      <c r="D156" s="30">
        <f>IF($A156="",0,INDEX(Transactions!$H:$H,ROW()-8))</f>
      </c>
      <c r="E156" s="299">
        <f>IF($A156="",1,INDEX(Transactions!$N:$N,ROW()-8))</f>
        <v>1</v>
      </c>
      <c r="F156" s="30">
        <f>IF($A156="",0,INDEX(Transactions!$O:$O,ROW()-8))</f>
      </c>
      <c r="G156" s="30">
        <f>IF($A156="",0,INDEX(Transactions!$P:$P,ROW()-8))</f>
      </c>
    </row>
    <row r="157" spans="1:7" ht="15" customHeight="1" x14ac:dyDescent="0.15">
      <c r="A157">
        <f>IF(INDEX(Transactions!$J:$J,ROW()-8)="","",INDEX(Transactions!$J:$J,ROW()-8))</f>
      </c>
      <c r="B157" s="297">
        <f>IF($A157="",TODAY(),INDEX(Transactions!$G:$G,ROW()-8))</f>
      </c>
      <c r="C157" s="298">
        <f>IF($A157="","",INDEX(Transactions!$A:$A,ROW()-8))</f>
      </c>
      <c r="D157" s="30">
        <f>IF($A157="",0,INDEX(Transactions!$H:$H,ROW()-8))</f>
      </c>
      <c r="E157" s="299">
        <f>IF($A157="",1,INDEX(Transactions!$N:$N,ROW()-8))</f>
        <v>1</v>
      </c>
      <c r="F157" s="30">
        <f>IF($A157="",0,INDEX(Transactions!$O:$O,ROW()-8))</f>
      </c>
      <c r="G157" s="30">
        <f>IF($A157="",0,INDEX(Transactions!$P:$P,ROW()-8))</f>
      </c>
    </row>
    <row r="158" spans="1:7" ht="15" customHeight="1" x14ac:dyDescent="0.15">
      <c r="A158">
        <f>IF(INDEX(Transactions!$J:$J,ROW()-8)="","",INDEX(Transactions!$J:$J,ROW()-8))</f>
      </c>
      <c r="B158" s="297">
        <f>IF($A158="",TODAY(),INDEX(Transactions!$G:$G,ROW()-8))</f>
      </c>
      <c r="C158" s="298">
        <f>IF($A158="","",INDEX(Transactions!$A:$A,ROW()-8))</f>
      </c>
      <c r="D158" s="30">
        <f>IF($A158="",0,INDEX(Transactions!$H:$H,ROW()-8))</f>
      </c>
      <c r="E158" s="299">
        <f>IF($A158="",1,INDEX(Transactions!$N:$N,ROW()-8))</f>
        <v>1</v>
      </c>
      <c r="F158" s="30">
        <f>IF($A158="",0,INDEX(Transactions!$O:$O,ROW()-8))</f>
      </c>
      <c r="G158" s="30">
        <f>IF($A158="",0,INDEX(Transactions!$P:$P,ROW()-8))</f>
      </c>
    </row>
    <row r="159" spans="1:7" ht="15" customHeight="1" x14ac:dyDescent="0.15">
      <c r="A159">
        <f>IF(INDEX(Transactions!$J:$J,ROW()-8)="","",INDEX(Transactions!$J:$J,ROW()-8))</f>
      </c>
      <c r="B159" s="297">
        <f>IF($A159="",TODAY(),INDEX(Transactions!$G:$G,ROW()-8))</f>
      </c>
      <c r="C159" s="298">
        <f>IF($A159="","",INDEX(Transactions!$A:$A,ROW()-8))</f>
      </c>
      <c r="D159" s="30">
        <f>IF($A159="",0,INDEX(Transactions!$H:$H,ROW()-8))</f>
      </c>
      <c r="E159" s="299">
        <f>IF($A159="",1,INDEX(Transactions!$N:$N,ROW()-8))</f>
        <v>1</v>
      </c>
      <c r="F159" s="30">
        <f>IF($A159="",0,INDEX(Transactions!$O:$O,ROW()-8))</f>
      </c>
      <c r="G159" s="30">
        <f>IF($A159="",0,INDEX(Transactions!$P:$P,ROW()-8))</f>
      </c>
    </row>
    <row r="160" spans="1:7" ht="15" customHeight="1" x14ac:dyDescent="0.15">
      <c r="A160">
        <f>IF(INDEX(Transactions!$J:$J,ROW()-8)="","",INDEX(Transactions!$J:$J,ROW()-8))</f>
      </c>
      <c r="B160" s="297">
        <f>IF($A160="",TODAY(),INDEX(Transactions!$G:$G,ROW()-8))</f>
      </c>
      <c r="C160" s="298">
        <f>IF($A160="","",INDEX(Transactions!$A:$A,ROW()-8))</f>
      </c>
      <c r="D160" s="30">
        <f>IF($A160="",0,INDEX(Transactions!$H:$H,ROW()-8))</f>
      </c>
      <c r="E160" s="299">
        <f>IF($A160="",1,INDEX(Transactions!$N:$N,ROW()-8))</f>
        <v>1</v>
      </c>
      <c r="F160" s="30">
        <f>IF($A160="",0,INDEX(Transactions!$O:$O,ROW()-8))</f>
      </c>
      <c r="G160" s="30">
        <f>IF($A160="",0,INDEX(Transactions!$P:$P,ROW()-8))</f>
      </c>
    </row>
    <row r="161" spans="1:7" ht="15" customHeight="1" x14ac:dyDescent="0.15">
      <c r="A161">
        <f>IF(INDEX(Transactions!$J:$J,ROW()-8)="","",INDEX(Transactions!$J:$J,ROW()-8))</f>
      </c>
      <c r="B161" s="297">
        <f>IF($A161="",TODAY(),INDEX(Transactions!$G:$G,ROW()-8))</f>
      </c>
      <c r="C161" s="298">
        <f>IF($A161="","",INDEX(Transactions!$A:$A,ROW()-8))</f>
      </c>
      <c r="D161" s="30">
        <f>IF($A161="",0,INDEX(Transactions!$H:$H,ROW()-8))</f>
      </c>
      <c r="E161" s="300">
        <f>IF($A161="",1,INDEX(Transactions!$N:$N,ROW()-8))</f>
        <v>1</v>
      </c>
      <c r="F161" s="30">
        <f>IF($A161="",0,INDEX(Transactions!$O:$O,ROW()-8))</f>
      </c>
      <c r="G161" s="30">
        <f>IF($A161="",0,INDEX(Transactions!$P:$P,ROW()-8))</f>
      </c>
    </row>
    <row r="162" spans="1:7" ht="15" customHeight="1" x14ac:dyDescent="0.15">
      <c r="A162">
        <f>IF(INDEX(Transactions!$J:$J,ROW()-8)="","",INDEX(Transactions!$J:$J,ROW()-8))</f>
      </c>
      <c r="B162" s="297">
        <f>IF($A162="",TODAY(),INDEX(Transactions!$G:$G,ROW()-8))</f>
      </c>
      <c r="C162" s="298">
        <f>IF($A162="","",INDEX(Transactions!$A:$A,ROW()-8))</f>
      </c>
      <c r="D162" s="30">
        <f>IF($A162="",0,INDEX(Transactions!$H:$H,ROW()-8))</f>
      </c>
      <c r="E162" s="300">
        <f>IF($A162="",1,INDEX(Transactions!$N:$N,ROW()-8))</f>
        <v>1</v>
      </c>
      <c r="F162" s="30">
        <f>IF($A162="",0,INDEX(Transactions!$O:$O,ROW()-8))</f>
      </c>
      <c r="G162" s="30">
        <f>IF($A162="",0,INDEX(Transactions!$P:$P,ROW()-8))</f>
      </c>
    </row>
    <row r="163" spans="1:7" ht="15" customHeight="1" x14ac:dyDescent="0.15">
      <c r="A163">
        <f>IF(INDEX(Transactions!$J:$J,ROW()-8)="","",INDEX(Transactions!$J:$J,ROW()-8))</f>
      </c>
      <c r="B163" s="297">
        <f>IF($A163="",TODAY(),INDEX(Transactions!$G:$G,ROW()-8))</f>
      </c>
      <c r="C163" s="298">
        <f>IF($A163="","",INDEX(Transactions!$A:$A,ROW()-8))</f>
      </c>
      <c r="D163" s="30">
        <f>IF($A163="",0,INDEX(Transactions!$H:$H,ROW()-8))</f>
      </c>
      <c r="E163" s="300">
        <f>IF($A163="",1,INDEX(Transactions!$N:$N,ROW()-8))</f>
        <v>1</v>
      </c>
      <c r="F163" s="30">
        <f>IF($A163="",0,INDEX(Transactions!$O:$O,ROW()-8))</f>
      </c>
      <c r="G163" s="30">
        <f>IF($A163="",0,INDEX(Transactions!$P:$P,ROW()-8))</f>
      </c>
    </row>
    <row r="164" spans="1:7" ht="15" customHeight="1" x14ac:dyDescent="0.15">
      <c r="A164">
        <f>IF(INDEX(Transactions!$J:$J,ROW()-8)="","",INDEX(Transactions!$J:$J,ROW()-8))</f>
      </c>
      <c r="B164" s="297">
        <f>IF($A164="",TODAY(),INDEX(Transactions!$G:$G,ROW()-8))</f>
      </c>
      <c r="C164" s="298">
        <f>IF($A164="","",INDEX(Transactions!$A:$A,ROW()-8))</f>
      </c>
      <c r="D164" s="30">
        <f>IF($A164="",0,INDEX(Transactions!$H:$H,ROW()-8))</f>
      </c>
      <c r="E164" s="300">
        <f>IF($A164="",1,INDEX(Transactions!$N:$N,ROW()-8))</f>
        <v>1</v>
      </c>
      <c r="F164" s="30">
        <f>IF($A164="",0,INDEX(Transactions!$O:$O,ROW()-8))</f>
      </c>
      <c r="G164" s="30">
        <f>IF($A164="",0,INDEX(Transactions!$P:$P,ROW()-8))</f>
      </c>
    </row>
    <row r="165" spans="1:7" ht="15" customHeight="1" x14ac:dyDescent="0.15">
      <c r="A165">
        <f>IF(INDEX(Transactions!$J:$J,ROW()-8)="","",INDEX(Transactions!$J:$J,ROW()-8))</f>
      </c>
      <c r="B165" s="297">
        <f>IF($A165="",TODAY(),INDEX(Transactions!$G:$G,ROW()-8))</f>
      </c>
      <c r="C165" s="298">
        <f>IF($A165="","",INDEX(Transactions!$A:$A,ROW()-8))</f>
      </c>
      <c r="D165" s="30">
        <f>IF($A165="",0,INDEX(Transactions!$H:$H,ROW()-8))</f>
      </c>
      <c r="E165" s="300">
        <f>IF($A165="",1,INDEX(Transactions!$N:$N,ROW()-8))</f>
        <v>1</v>
      </c>
      <c r="F165" s="30">
        <f>IF($A165="",0,INDEX(Transactions!$O:$O,ROW()-8))</f>
      </c>
      <c r="G165" s="30">
        <f>IF($A165="",0,INDEX(Transactions!$P:$P,ROW()-8))</f>
      </c>
    </row>
    <row r="166" spans="1:7" ht="15" customHeight="1" x14ac:dyDescent="0.15">
      <c r="A166">
        <f>IF(INDEX(Transactions!$J:$J,ROW()-8)="","",INDEX(Transactions!$J:$J,ROW()-8))</f>
      </c>
      <c r="B166" s="297">
        <f>IF($A166="",TODAY(),INDEX(Transactions!$G:$G,ROW()-8))</f>
      </c>
      <c r="C166" s="298">
        <f>IF($A166="","",INDEX(Transactions!$A:$A,ROW()-8))</f>
      </c>
      <c r="D166" s="30">
        <f>IF($A166="",0,INDEX(Transactions!$H:$H,ROW()-8))</f>
      </c>
      <c r="E166" s="300">
        <f>IF($A166="",1,INDEX(Transactions!$N:$N,ROW()-8))</f>
        <v>1</v>
      </c>
      <c r="F166" s="30">
        <f>IF($A166="",0,INDEX(Transactions!$O:$O,ROW()-8))</f>
      </c>
      <c r="G166" s="30">
        <f>IF($A166="",0,INDEX(Transactions!$P:$P,ROW()-8))</f>
      </c>
    </row>
    <row r="167" spans="1:7" ht="15" customHeight="1" x14ac:dyDescent="0.15">
      <c r="A167">
        <f>IF(INDEX(Transactions!$J:$J,ROW()-8)="","",INDEX(Transactions!$J:$J,ROW()-8))</f>
      </c>
      <c r="B167" s="297">
        <f>IF($A167="",TODAY(),INDEX(Transactions!$G:$G,ROW()-8))</f>
      </c>
      <c r="C167" s="298">
        <f>IF($A167="","",INDEX(Transactions!$A:$A,ROW()-8))</f>
      </c>
      <c r="D167" s="30">
        <f>IF($A167="",0,INDEX(Transactions!$H:$H,ROW()-8))</f>
      </c>
      <c r="E167" s="300">
        <f>IF($A167="",1,INDEX(Transactions!$N:$N,ROW()-8))</f>
        <v>1</v>
      </c>
      <c r="F167" s="30">
        <f>IF($A167="",0,INDEX(Transactions!$O:$O,ROW()-8))</f>
      </c>
      <c r="G167" s="30">
        <f>IF($A167="",0,INDEX(Transactions!$P:$P,ROW()-8))</f>
      </c>
    </row>
    <row r="168" spans="1:7" ht="15" customHeight="1" x14ac:dyDescent="0.15">
      <c r="A168">
        <f>IF(INDEX(Transactions!$J:$J,ROW()-8)="","",INDEX(Transactions!$J:$J,ROW()-8))</f>
      </c>
      <c r="B168" s="297">
        <f>IF($A168="",TODAY(),INDEX(Transactions!$G:$G,ROW()-8))</f>
      </c>
      <c r="C168" s="298">
        <f>IF($A168="","",INDEX(Transactions!$A:$A,ROW()-8))</f>
      </c>
      <c r="D168" s="30">
        <f>IF($A168="",0,INDEX(Transactions!$H:$H,ROW()-8))</f>
      </c>
      <c r="E168" s="300">
        <f>IF($A168="",1,INDEX(Transactions!$N:$N,ROW()-8))</f>
        <v>1</v>
      </c>
      <c r="F168" s="30">
        <f>IF($A168="",0,INDEX(Transactions!$O:$O,ROW()-8))</f>
      </c>
      <c r="G168" s="30">
        <f>IF($A168="",0,INDEX(Transactions!$P:$P,ROW()-8))</f>
      </c>
    </row>
    <row r="169" spans="1:7" ht="15" customHeight="1" x14ac:dyDescent="0.15">
      <c r="A169">
        <f>IF(INDEX(Transactions!$J:$J,ROW()-8)="","",INDEX(Transactions!$J:$J,ROW()-8))</f>
      </c>
      <c r="B169" s="297">
        <f>IF($A169="",TODAY(),INDEX(Transactions!$G:$G,ROW()-8))</f>
      </c>
      <c r="C169" s="298">
        <f>IF($A169="","",INDEX(Transactions!$A:$A,ROW()-8))</f>
      </c>
      <c r="D169" s="30">
        <f>IF($A169="",0,INDEX(Transactions!$H:$H,ROW()-8))</f>
      </c>
      <c r="E169" s="300">
        <f>IF($A169="",1,INDEX(Transactions!$N:$N,ROW()-8))</f>
        <v>1</v>
      </c>
      <c r="F169" s="30">
        <f>IF($A169="",0,INDEX(Transactions!$O:$O,ROW()-8))</f>
      </c>
      <c r="G169" s="30">
        <f>IF($A169="",0,INDEX(Transactions!$P:$P,ROW()-8))</f>
      </c>
    </row>
    <row r="170" spans="1:7" ht="15" customHeight="1" x14ac:dyDescent="0.15">
      <c r="A170">
        <f>IF(INDEX(Transactions!$J:$J,ROW()-8)="","",INDEX(Transactions!$J:$J,ROW()-8))</f>
      </c>
      <c r="B170" s="297">
        <f>IF($A170="",TODAY(),INDEX(Transactions!$G:$G,ROW()-8))</f>
      </c>
      <c r="C170" s="298">
        <f>IF($A170="","",INDEX(Transactions!$A:$A,ROW()-8))</f>
      </c>
      <c r="D170" s="30">
        <f>IF($A170="",0,INDEX(Transactions!$H:$H,ROW()-8))</f>
      </c>
      <c r="E170" s="300">
        <f>IF($A170="",1,INDEX(Transactions!$N:$N,ROW()-8))</f>
        <v>1</v>
      </c>
      <c r="F170" s="30">
        <f>IF($A170="",0,INDEX(Transactions!$O:$O,ROW()-8))</f>
      </c>
      <c r="G170" s="30">
        <f>IF($A170="",0,INDEX(Transactions!$P:$P,ROW()-8))</f>
      </c>
    </row>
    <row r="171" spans="1:7" ht="15" customHeight="1" x14ac:dyDescent="0.15">
      <c r="A171">
        <f>IF(INDEX(Transactions!$J:$J,ROW()-8)="","",INDEX(Transactions!$J:$J,ROW()-8))</f>
      </c>
      <c r="B171" s="297">
        <f>IF($A171="",TODAY(),INDEX(Transactions!$G:$G,ROW()-8))</f>
      </c>
      <c r="C171" s="298">
        <f>IF($A171="","",INDEX(Transactions!$A:$A,ROW()-8))</f>
      </c>
      <c r="D171" s="30">
        <f>IF($A171="",0,INDEX(Transactions!$H:$H,ROW()-8))</f>
      </c>
      <c r="E171" s="299">
        <f>IF($A171="",1,INDEX(Transactions!$N:$N,ROW()-8))</f>
        <v>1</v>
      </c>
      <c r="F171" s="30">
        <f>IF($A171="",0,INDEX(Transactions!$O:$O,ROW()-8))</f>
      </c>
      <c r="G171" s="30">
        <f>IF($A171="",0,INDEX(Transactions!$P:$P,ROW()-8))</f>
      </c>
    </row>
    <row r="172" spans="1:7" ht="15" customHeight="1" x14ac:dyDescent="0.15">
      <c r="A172">
        <f>IF(INDEX(Transactions!$J:$J,ROW()-8)="","",INDEX(Transactions!$J:$J,ROW()-8))</f>
      </c>
      <c r="B172" s="297">
        <f>IF($A172="",TODAY(),INDEX(Transactions!$G:$G,ROW()-8))</f>
      </c>
      <c r="C172" s="298">
        <f>IF($A172="","",INDEX(Transactions!$A:$A,ROW()-8))</f>
      </c>
      <c r="D172" s="30">
        <f>IF($A172="",0,INDEX(Transactions!$H:$H,ROW()-8))</f>
      </c>
      <c r="E172" s="299">
        <f>IF($A172="",1,INDEX(Transactions!$N:$N,ROW()-8))</f>
        <v>1</v>
      </c>
      <c r="F172" s="30">
        <f>IF($A172="",0,INDEX(Transactions!$O:$O,ROW()-8))</f>
      </c>
      <c r="G172" s="30">
        <f>IF($A172="",0,INDEX(Transactions!$P:$P,ROW()-8))</f>
      </c>
    </row>
    <row r="173" spans="1:7" ht="15" customHeight="1" x14ac:dyDescent="0.15">
      <c r="A173">
        <f>IF(INDEX(Transactions!$J:$J,ROW()-8)="","",INDEX(Transactions!$J:$J,ROW()-8))</f>
      </c>
      <c r="B173" s="297">
        <f>IF($A173="",TODAY(),INDEX(Transactions!$G:$G,ROW()-8))</f>
      </c>
      <c r="C173" s="298">
        <f>IF($A173="","",INDEX(Transactions!$A:$A,ROW()-8))</f>
      </c>
      <c r="D173" s="30">
        <f>IF($A173="",0,INDEX(Transactions!$H:$H,ROW()-8))</f>
      </c>
      <c r="E173" s="299">
        <f>IF($A173="",1,INDEX(Transactions!$N:$N,ROW()-8))</f>
        <v>1</v>
      </c>
      <c r="F173" s="30">
        <f>IF($A173="",0,INDEX(Transactions!$O:$O,ROW()-8))</f>
      </c>
      <c r="G173" s="30">
        <f>IF($A173="",0,INDEX(Transactions!$P:$P,ROW()-8))</f>
      </c>
    </row>
    <row r="174" spans="1:7" ht="15" customHeight="1" x14ac:dyDescent="0.15">
      <c r="A174">
        <f>IF(INDEX(Transactions!$J:$J,ROW()-8)="","",INDEX(Transactions!$J:$J,ROW()-8))</f>
      </c>
      <c r="B174" s="297">
        <f>IF($A174="",TODAY(),INDEX(Transactions!$G:$G,ROW()-8))</f>
      </c>
      <c r="C174" s="298">
        <f>IF($A174="","",INDEX(Transactions!$A:$A,ROW()-8))</f>
      </c>
      <c r="D174" s="30">
        <f>IF($A174="",0,INDEX(Transactions!$H:$H,ROW()-8))</f>
      </c>
      <c r="E174" s="300">
        <f>IF($A174="",1,INDEX(Transactions!$N:$N,ROW()-8))</f>
        <v>1</v>
      </c>
      <c r="F174" s="30">
        <f>IF($A174="",0,INDEX(Transactions!$O:$O,ROW()-8))</f>
      </c>
      <c r="G174" s="30">
        <f>IF($A174="",0,INDEX(Transactions!$P:$P,ROW()-8))</f>
      </c>
    </row>
    <row r="175" spans="1:7" ht="15" customHeight="1" x14ac:dyDescent="0.15">
      <c r="A175">
        <f>IF(INDEX(Transactions!$J:$J,ROW()-8)="","",INDEX(Transactions!$J:$J,ROW()-8))</f>
      </c>
      <c r="B175" s="297">
        <f>IF($A175="",TODAY(),INDEX(Transactions!$G:$G,ROW()-8))</f>
      </c>
      <c r="C175" s="298">
        <f>IF($A175="","",INDEX(Transactions!$A:$A,ROW()-8))</f>
      </c>
      <c r="D175" s="30">
        <f>IF($A175="",0,INDEX(Transactions!$H:$H,ROW()-8))</f>
      </c>
      <c r="E175" s="300">
        <f>IF($A175="",1,INDEX(Transactions!$N:$N,ROW()-8))</f>
        <v>1</v>
      </c>
      <c r="F175" s="30">
        <f>IF($A175="",0,INDEX(Transactions!$O:$O,ROW()-8))</f>
      </c>
      <c r="G175" s="30">
        <f>IF($A175="",0,INDEX(Transactions!$P:$P,ROW()-8))</f>
      </c>
    </row>
    <row r="176" spans="1:7" ht="15" customHeight="1" x14ac:dyDescent="0.15">
      <c r="A176">
        <f>IF(INDEX(Transactions!$J:$J,ROW()-8)="","",INDEX(Transactions!$J:$J,ROW()-8))</f>
      </c>
      <c r="B176" s="297">
        <f>IF($A176="",TODAY(),INDEX(Transactions!$G:$G,ROW()-8))</f>
      </c>
      <c r="C176" s="298">
        <f>IF($A176="","",INDEX(Transactions!$A:$A,ROW()-8))</f>
      </c>
      <c r="D176" s="30">
        <f>IF($A176="",0,INDEX(Transactions!$H:$H,ROW()-8))</f>
      </c>
      <c r="E176" s="300">
        <f>IF($A176="",1,INDEX(Transactions!$N:$N,ROW()-8))</f>
        <v>1</v>
      </c>
      <c r="F176" s="30">
        <f>IF($A176="",0,INDEX(Transactions!$O:$O,ROW()-8))</f>
      </c>
      <c r="G176" s="30">
        <f>IF($A176="",0,INDEX(Transactions!$P:$P,ROW()-8))</f>
      </c>
    </row>
    <row r="177" spans="1:7" ht="15" customHeight="1" x14ac:dyDescent="0.15">
      <c r="A177">
        <f>IF(INDEX(Transactions!$J:$J,ROW()-8)="","",INDEX(Transactions!$J:$J,ROW()-8))</f>
      </c>
      <c r="B177" s="297">
        <f>IF($A177="",TODAY(),INDEX(Transactions!$G:$G,ROW()-8))</f>
      </c>
      <c r="C177" s="298">
        <f>IF($A177="","",INDEX(Transactions!$A:$A,ROW()-8))</f>
      </c>
      <c r="D177" s="30">
        <f>IF($A177="",0,INDEX(Transactions!$H:$H,ROW()-8))</f>
      </c>
      <c r="E177" s="300">
        <f>IF($A177="",1,INDEX(Transactions!$N:$N,ROW()-8))</f>
        <v>1</v>
      </c>
      <c r="F177" s="30">
        <f>IF($A177="",0,INDEX(Transactions!$O:$O,ROW()-8))</f>
      </c>
      <c r="G177" s="30">
        <f>IF($A177="",0,INDEX(Transactions!$P:$P,ROW()-8))</f>
      </c>
    </row>
    <row r="178" spans="1:7" ht="15" customHeight="1" x14ac:dyDescent="0.15">
      <c r="A178">
        <f>IF(INDEX(Transactions!$J:$J,ROW()-8)="","",INDEX(Transactions!$J:$J,ROW()-8))</f>
      </c>
      <c r="B178" s="297">
        <f>IF($A178="",TODAY(),INDEX(Transactions!$G:$G,ROW()-8))</f>
      </c>
      <c r="C178" s="298">
        <f>IF($A178="","",INDEX(Transactions!$A:$A,ROW()-8))</f>
      </c>
      <c r="D178" s="30">
        <f>IF($A178="",0,INDEX(Transactions!$H:$H,ROW()-8))</f>
      </c>
      <c r="E178" s="300">
        <f>IF($A178="",1,INDEX(Transactions!$N:$N,ROW()-8))</f>
        <v>1</v>
      </c>
      <c r="F178" s="30">
        <f>IF($A178="",0,INDEX(Transactions!$O:$O,ROW()-8))</f>
      </c>
      <c r="G178" s="30">
        <f>IF($A178="",0,INDEX(Transactions!$P:$P,ROW()-8))</f>
      </c>
    </row>
    <row r="179" spans="1:7" ht="15" customHeight="1" x14ac:dyDescent="0.15">
      <c r="A179">
        <f>IF(INDEX(Transactions!$J:$J,ROW()-8)="","",INDEX(Transactions!$J:$J,ROW()-8))</f>
      </c>
      <c r="B179" s="297">
        <f>IF($A179="",TODAY(),INDEX(Transactions!$G:$G,ROW()-8))</f>
      </c>
      <c r="C179" s="298">
        <f>IF($A179="","",INDEX(Transactions!$A:$A,ROW()-8))</f>
      </c>
      <c r="D179" s="30">
        <f>IF($A179="",0,INDEX(Transactions!$H:$H,ROW()-8))</f>
      </c>
      <c r="E179" s="300">
        <f>IF($A179="",1,INDEX(Transactions!$N:$N,ROW()-8))</f>
        <v>1</v>
      </c>
      <c r="F179" s="30">
        <f>IF($A179="",0,INDEX(Transactions!$O:$O,ROW()-8))</f>
      </c>
      <c r="G179" s="30">
        <f>IF($A179="",0,INDEX(Transactions!$P:$P,ROW()-8))</f>
      </c>
    </row>
    <row r="180" spans="1:7" ht="15" customHeight="1" x14ac:dyDescent="0.15">
      <c r="A180">
        <f>IF(INDEX(Transactions!$J:$J,ROW()-8)="","",INDEX(Transactions!$J:$J,ROW()-8))</f>
      </c>
      <c r="B180" s="297">
        <f>IF($A180="",TODAY(),INDEX(Transactions!$G:$G,ROW()-8))</f>
      </c>
      <c r="C180" s="298">
        <f>IF($A180="","",INDEX(Transactions!$A:$A,ROW()-8))</f>
      </c>
      <c r="D180" s="30">
        <f>IF($A180="",0,INDEX(Transactions!$H:$H,ROW()-8))</f>
      </c>
      <c r="E180" s="299">
        <f>IF($A180="",1,INDEX(Transactions!$N:$N,ROW()-8))</f>
        <v>1</v>
      </c>
      <c r="F180" s="30">
        <f>IF($A180="",0,INDEX(Transactions!$O:$O,ROW()-8))</f>
      </c>
      <c r="G180" s="30">
        <f>IF($A180="",0,INDEX(Transactions!$P:$P,ROW()-8))</f>
      </c>
    </row>
    <row r="181" spans="1:7" ht="15" customHeight="1" x14ac:dyDescent="0.15">
      <c r="A181">
        <f>IF(INDEX(Transactions!$J:$J,ROW()-8)="","",INDEX(Transactions!$J:$J,ROW()-8))</f>
      </c>
      <c r="B181" s="297">
        <f>IF($A181="",TODAY(),INDEX(Transactions!$G:$G,ROW()-8))</f>
      </c>
      <c r="C181" s="298">
        <f>IF($A181="","",INDEX(Transactions!$A:$A,ROW()-8))</f>
      </c>
      <c r="D181" s="30">
        <f>IF($A181="",0,INDEX(Transactions!$H:$H,ROW()-8))</f>
      </c>
      <c r="E181" s="300">
        <f>IF($A181="",1,INDEX(Transactions!$N:$N,ROW()-8))</f>
        <v>1</v>
      </c>
      <c r="F181" s="30">
        <f>IF($A181="",0,INDEX(Transactions!$O:$O,ROW()-8))</f>
      </c>
      <c r="G181" s="30">
        <f>IF($A181="",0,INDEX(Transactions!$P:$P,ROW()-8))</f>
      </c>
    </row>
    <row r="182" spans="1:7" ht="15" customHeight="1" x14ac:dyDescent="0.15">
      <c r="A182">
        <f>IF(INDEX(Transactions!$J:$J,ROW()-8)="","",INDEX(Transactions!$J:$J,ROW()-8))</f>
      </c>
      <c r="B182" s="297">
        <f>IF($A182="",TODAY(),INDEX(Transactions!$G:$G,ROW()-8))</f>
      </c>
      <c r="C182" s="298">
        <f>IF($A182="","",INDEX(Transactions!$A:$A,ROW()-8))</f>
      </c>
      <c r="D182" s="30">
        <f>IF($A182="",0,INDEX(Transactions!$H:$H,ROW()-8))</f>
      </c>
      <c r="E182" s="300">
        <f>IF($A182="",1,INDEX(Transactions!$N:$N,ROW()-8))</f>
        <v>1</v>
      </c>
      <c r="F182" s="30">
        <f>IF($A182="",0,INDEX(Transactions!$O:$O,ROW()-8))</f>
      </c>
      <c r="G182" s="30">
        <f>IF($A182="",0,INDEX(Transactions!$P:$P,ROW()-8))</f>
      </c>
    </row>
    <row r="183" spans="1:7" ht="15" customHeight="1" x14ac:dyDescent="0.15">
      <c r="A183">
        <f>IF(INDEX(Transactions!$J:$J,ROW()-8)="","",INDEX(Transactions!$J:$J,ROW()-8))</f>
      </c>
      <c r="B183" s="297">
        <f>IF($A183="",TODAY(),INDEX(Transactions!$G:$G,ROW()-8))</f>
      </c>
      <c r="C183" s="298">
        <f>IF($A183="","",INDEX(Transactions!$A:$A,ROW()-8))</f>
      </c>
      <c r="D183" s="30">
        <f>IF($A183="",0,INDEX(Transactions!$H:$H,ROW()-8))</f>
      </c>
      <c r="E183" s="300">
        <f>IF($A183="",1,INDEX(Transactions!$N:$N,ROW()-8))</f>
        <v>1</v>
      </c>
      <c r="F183" s="30">
        <f>IF($A183="",0,INDEX(Transactions!$O:$O,ROW()-8))</f>
      </c>
      <c r="G183" s="30">
        <f>IF($A183="",0,INDEX(Transactions!$P:$P,ROW()-8))</f>
      </c>
    </row>
    <row r="184" spans="1:7" ht="15" customHeight="1" x14ac:dyDescent="0.15">
      <c r="A184">
        <f>IF(INDEX(Transactions!$J:$J,ROW()-8)="","",INDEX(Transactions!$J:$J,ROW()-8))</f>
      </c>
      <c r="B184" s="297">
        <f>IF($A184="",TODAY(),INDEX(Transactions!$G:$G,ROW()-8))</f>
      </c>
      <c r="C184" s="298">
        <f>IF($A184="","",INDEX(Transactions!$A:$A,ROW()-8))</f>
      </c>
      <c r="D184" s="30">
        <f>IF($A184="",0,INDEX(Transactions!$H:$H,ROW()-8))</f>
      </c>
      <c r="E184" s="299">
        <f>IF($A184="",1,INDEX(Transactions!$N:$N,ROW()-8))</f>
        <v>1</v>
      </c>
      <c r="F184" s="30">
        <f>IF($A184="",0,INDEX(Transactions!$O:$O,ROW()-8))</f>
      </c>
      <c r="G184" s="30">
        <f>IF($A184="",0,INDEX(Transactions!$P:$P,ROW()-8))</f>
      </c>
    </row>
    <row r="185" spans="1:7" ht="15" customHeight="1" x14ac:dyDescent="0.15">
      <c r="A185">
        <f>IF(INDEX(Transactions!$J:$J,ROW()-8)="","",INDEX(Transactions!$J:$J,ROW()-8))</f>
      </c>
      <c r="B185" s="297">
        <f>IF($A185="",TODAY(),INDEX(Transactions!$G:$G,ROW()-8))</f>
      </c>
      <c r="C185" s="298">
        <f>IF($A185="","",INDEX(Transactions!$A:$A,ROW()-8))</f>
      </c>
      <c r="D185" s="30">
        <f>IF($A185="",0,INDEX(Transactions!$H:$H,ROW()-8))</f>
      </c>
      <c r="E185" s="299">
        <f>IF($A185="",1,INDEX(Transactions!$N:$N,ROW()-8))</f>
        <v>1</v>
      </c>
      <c r="F185" s="30">
        <f>IF($A185="",0,INDEX(Transactions!$O:$O,ROW()-8))</f>
      </c>
      <c r="G185" s="30">
        <f>IF($A185="",0,INDEX(Transactions!$P:$P,ROW()-8))</f>
      </c>
    </row>
    <row r="186" spans="1:7" ht="15" customHeight="1" x14ac:dyDescent="0.15">
      <c r="A186">
        <f>IF(INDEX(Transactions!$J:$J,ROW()-8)="","",INDEX(Transactions!$J:$J,ROW()-8))</f>
      </c>
      <c r="B186" s="297">
        <f>IF($A186="",TODAY(),INDEX(Transactions!$G:$G,ROW()-8))</f>
      </c>
      <c r="C186" s="298">
        <f>IF($A186="","",INDEX(Transactions!$A:$A,ROW()-8))</f>
      </c>
      <c r="D186" s="30">
        <f>IF($A186="",0,INDEX(Transactions!$H:$H,ROW()-8))</f>
      </c>
      <c r="E186" s="299">
        <f>IF($A186="",1,INDEX(Transactions!$N:$N,ROW()-8))</f>
        <v>1</v>
      </c>
      <c r="F186" s="30">
        <f>IF($A186="",0,INDEX(Transactions!$O:$O,ROW()-8))</f>
      </c>
      <c r="G186" s="30">
        <f>IF($A186="",0,INDEX(Transactions!$P:$P,ROW()-8))</f>
      </c>
    </row>
    <row r="187" spans="1:7" ht="15" customHeight="1" x14ac:dyDescent="0.15">
      <c r="A187">
        <f>IF(INDEX(Transactions!$J:$J,ROW()-8)="","",INDEX(Transactions!$J:$J,ROW()-8))</f>
      </c>
      <c r="B187" s="297">
        <f>IF($A187="",TODAY(),INDEX(Transactions!$G:$G,ROW()-8))</f>
      </c>
      <c r="C187" s="298">
        <f>IF($A187="","",INDEX(Transactions!$A:$A,ROW()-8))</f>
      </c>
      <c r="D187" s="30">
        <f>IF($A187="",0,INDEX(Transactions!$H:$H,ROW()-8))</f>
      </c>
      <c r="E187" s="299">
        <f>IF($A187="",1,INDEX(Transactions!$N:$N,ROW()-8))</f>
        <v>1</v>
      </c>
      <c r="F187" s="30">
        <f>IF($A187="",0,INDEX(Transactions!$O:$O,ROW()-8))</f>
      </c>
      <c r="G187" s="30">
        <f>IF($A187="",0,INDEX(Transactions!$P:$P,ROW()-8))</f>
      </c>
    </row>
    <row r="188" spans="1:7" ht="15" customHeight="1" x14ac:dyDescent="0.15">
      <c r="A188">
        <f>IF(INDEX(Transactions!$J:$J,ROW()-8)="","",INDEX(Transactions!$J:$J,ROW()-8))</f>
      </c>
      <c r="B188" s="297">
        <f>IF($A188="",TODAY(),INDEX(Transactions!$G:$G,ROW()-8))</f>
      </c>
      <c r="C188" s="298">
        <f>IF($A188="","",INDEX(Transactions!$A:$A,ROW()-8))</f>
      </c>
      <c r="D188" s="30">
        <f>IF($A188="",0,INDEX(Transactions!$H:$H,ROW()-8))</f>
      </c>
      <c r="E188" s="299">
        <f>IF($A188="",1,INDEX(Transactions!$N:$N,ROW()-8))</f>
        <v>1</v>
      </c>
      <c r="F188" s="30">
        <f>IF($A188="",0,INDEX(Transactions!$O:$O,ROW()-8))</f>
      </c>
      <c r="G188" s="30">
        <f>IF($A188="",0,INDEX(Transactions!$P:$P,ROW()-8))</f>
      </c>
    </row>
    <row r="189" spans="1:7" ht="15" customHeight="1" x14ac:dyDescent="0.15">
      <c r="A189">
        <f>IF(INDEX(Transactions!$J:$J,ROW()-8)="","",INDEX(Transactions!$J:$J,ROW()-8))</f>
      </c>
      <c r="B189" s="297">
        <f>IF($A189="",TODAY(),INDEX(Transactions!$G:$G,ROW()-8))</f>
      </c>
      <c r="C189" s="298">
        <f>IF($A189="","",INDEX(Transactions!$A:$A,ROW()-8))</f>
      </c>
      <c r="D189" s="30">
        <f>IF($A189="",0,INDEX(Transactions!$H:$H,ROW()-8))</f>
      </c>
      <c r="E189" s="299">
        <f>IF($A189="",1,INDEX(Transactions!$N:$N,ROW()-8))</f>
        <v>1</v>
      </c>
      <c r="F189" s="30">
        <f>IF($A189="",0,INDEX(Transactions!$O:$O,ROW()-8))</f>
      </c>
      <c r="G189" s="30">
        <f>IF($A189="",0,INDEX(Transactions!$P:$P,ROW()-8))</f>
      </c>
    </row>
    <row r="190" spans="1:7" ht="15" customHeight="1" x14ac:dyDescent="0.15">
      <c r="A190">
        <f>IF(INDEX(Transactions!$J:$J,ROW()-8)="","",INDEX(Transactions!$J:$J,ROW()-8))</f>
      </c>
      <c r="B190" s="297">
        <f>IF($A190="",TODAY(),INDEX(Transactions!$G:$G,ROW()-8))</f>
      </c>
      <c r="C190" s="298">
        <f>IF($A190="","",INDEX(Transactions!$A:$A,ROW()-8))</f>
      </c>
      <c r="D190" s="30">
        <f>IF($A190="",0,INDEX(Transactions!$H:$H,ROW()-8))</f>
      </c>
      <c r="E190" s="300">
        <f>IF($A190="",1,INDEX(Transactions!$N:$N,ROW()-8))</f>
        <v>1</v>
      </c>
      <c r="F190" s="30">
        <f>IF($A190="",0,INDEX(Transactions!$O:$O,ROW()-8))</f>
      </c>
      <c r="G190" s="30">
        <f>IF($A190="",0,INDEX(Transactions!$P:$P,ROW()-8))</f>
      </c>
    </row>
    <row r="191" spans="1:7" ht="15" customHeight="1" x14ac:dyDescent="0.15">
      <c r="A191">
        <f>IF(INDEX(Transactions!$J:$J,ROW()-8)="","",INDEX(Transactions!$J:$J,ROW()-8))</f>
      </c>
      <c r="B191" s="297">
        <f>IF($A191="",TODAY(),INDEX(Transactions!$G:$G,ROW()-8))</f>
      </c>
      <c r="C191" s="298">
        <f>IF($A191="","",INDEX(Transactions!$A:$A,ROW()-8))</f>
      </c>
      <c r="D191" s="30">
        <f>IF($A191="",0,INDEX(Transactions!$H:$H,ROW()-8))</f>
      </c>
      <c r="E191" s="300">
        <f>IF($A191="",1,INDEX(Transactions!$N:$N,ROW()-8))</f>
        <v>1</v>
      </c>
      <c r="F191" s="30">
        <f>IF($A191="",0,INDEX(Transactions!$O:$O,ROW()-8))</f>
      </c>
      <c r="G191" s="30">
        <f>IF($A191="",0,INDEX(Transactions!$P:$P,ROW()-8))</f>
      </c>
    </row>
    <row r="192" spans="1:7" ht="15" customHeight="1" x14ac:dyDescent="0.15">
      <c r="A192">
        <f>IF(INDEX(Transactions!$J:$J,ROW()-8)="","",INDEX(Transactions!$J:$J,ROW()-8))</f>
      </c>
      <c r="B192" s="297">
        <f>IF($A192="",TODAY(),INDEX(Transactions!$G:$G,ROW()-8))</f>
      </c>
      <c r="C192" s="298">
        <f>IF($A192="","",INDEX(Transactions!$A:$A,ROW()-8))</f>
      </c>
      <c r="D192" s="30">
        <f>IF($A192="",0,INDEX(Transactions!$H:$H,ROW()-8))</f>
      </c>
      <c r="E192" s="299">
        <f>IF($A192="",1,INDEX(Transactions!$N:$N,ROW()-8))</f>
        <v>1</v>
      </c>
      <c r="F192" s="30">
        <f>IF($A192="",0,INDEX(Transactions!$O:$O,ROW()-8))</f>
      </c>
      <c r="G192" s="30">
        <f>IF($A192="",0,INDEX(Transactions!$P:$P,ROW()-8))</f>
      </c>
    </row>
    <row r="193" spans="1:7" ht="15" customHeight="1" x14ac:dyDescent="0.15">
      <c r="A193">
        <f>IF(INDEX(Transactions!$J:$J,ROW()-8)="","",INDEX(Transactions!$J:$J,ROW()-8))</f>
      </c>
      <c r="B193" s="297">
        <f>IF($A193="",TODAY(),INDEX(Transactions!$G:$G,ROW()-8))</f>
      </c>
      <c r="C193" s="298">
        <f>IF($A193="","",INDEX(Transactions!$A:$A,ROW()-8))</f>
      </c>
      <c r="D193" s="30">
        <f>IF($A193="",0,INDEX(Transactions!$H:$H,ROW()-8))</f>
      </c>
      <c r="E193" s="300">
        <f>IF($A193="",1,INDEX(Transactions!$N:$N,ROW()-8))</f>
        <v>1</v>
      </c>
      <c r="F193" s="30">
        <f>IF($A193="",0,INDEX(Transactions!$O:$O,ROW()-8))</f>
      </c>
      <c r="G193" s="30">
        <f>IF($A193="",0,INDEX(Transactions!$P:$P,ROW()-8))</f>
      </c>
    </row>
    <row r="194" spans="1:7" ht="15" customHeight="1" x14ac:dyDescent="0.15">
      <c r="A194">
        <f>IF(INDEX(Transactions!$J:$J,ROW()-8)="","",INDEX(Transactions!$J:$J,ROW()-8))</f>
      </c>
      <c r="B194" s="297">
        <f>IF($A194="",TODAY(),INDEX(Transactions!$G:$G,ROW()-8))</f>
      </c>
      <c r="C194" s="298">
        <f>IF($A194="","",INDEX(Transactions!$A:$A,ROW()-8))</f>
      </c>
      <c r="D194" s="30">
        <f>IF($A194="",0,INDEX(Transactions!$H:$H,ROW()-8))</f>
      </c>
      <c r="E194" s="300">
        <f>IF($A194="",1,INDEX(Transactions!$N:$N,ROW()-8))</f>
        <v>1</v>
      </c>
      <c r="F194" s="30">
        <f>IF($A194="",0,INDEX(Transactions!$O:$O,ROW()-8))</f>
      </c>
      <c r="G194" s="30">
        <f>IF($A194="",0,INDEX(Transactions!$P:$P,ROW()-8))</f>
      </c>
    </row>
    <row r="195" spans="1:7" ht="15" customHeight="1" x14ac:dyDescent="0.15">
      <c r="A195">
        <f>IF(INDEX(Transactions!$J:$J,ROW()-8)="","",INDEX(Transactions!$J:$J,ROW()-8))</f>
      </c>
      <c r="B195" s="297">
        <f>IF($A195="",TODAY(),INDEX(Transactions!$G:$G,ROW()-8))</f>
      </c>
      <c r="C195" s="298">
        <f>IF($A195="","",INDEX(Transactions!$A:$A,ROW()-8))</f>
      </c>
      <c r="D195" s="30">
        <f>IF($A195="",0,INDEX(Transactions!$H:$H,ROW()-8))</f>
      </c>
      <c r="E195" s="300">
        <f>IF($A195="",1,INDEX(Transactions!$N:$N,ROW()-8))</f>
        <v>1</v>
      </c>
      <c r="F195" s="30">
        <f>IF($A195="",0,INDEX(Transactions!$O:$O,ROW()-8))</f>
      </c>
      <c r="G195" s="30">
        <f>IF($A195="",0,INDEX(Transactions!$P:$P,ROW()-8))</f>
      </c>
    </row>
    <row r="196" spans="1:7" ht="15" customHeight="1" x14ac:dyDescent="0.15">
      <c r="A196">
        <f>IF(INDEX(Transactions!$J:$J,ROW()-8)="","",INDEX(Transactions!$J:$J,ROW()-8))</f>
      </c>
      <c r="B196" s="297">
        <f>IF($A196="",TODAY(),INDEX(Transactions!$G:$G,ROW()-8))</f>
      </c>
      <c r="C196" s="298">
        <f>IF($A196="","",INDEX(Transactions!$A:$A,ROW()-8))</f>
      </c>
      <c r="D196" s="30">
        <f>IF($A196="",0,INDEX(Transactions!$H:$H,ROW()-8))</f>
      </c>
      <c r="E196" s="299">
        <f>IF($A196="",1,INDEX(Transactions!$N:$N,ROW()-8))</f>
        <v>1</v>
      </c>
      <c r="F196" s="30">
        <f>IF($A196="",0,INDEX(Transactions!$O:$O,ROW()-8))</f>
      </c>
      <c r="G196" s="30">
        <f>IF($A196="",0,INDEX(Transactions!$P:$P,ROW()-8))</f>
      </c>
    </row>
    <row r="197" spans="1:7" ht="15" customHeight="1" x14ac:dyDescent="0.15">
      <c r="A197">
        <f>IF(INDEX(Transactions!$J:$J,ROW()-8)="","",INDEX(Transactions!$J:$J,ROW()-8))</f>
      </c>
      <c r="B197" s="297">
        <f>IF($A197="",TODAY(),INDEX(Transactions!$G:$G,ROW()-8))</f>
      </c>
      <c r="C197" s="298">
        <f>IF($A197="","",INDEX(Transactions!$A:$A,ROW()-8))</f>
      </c>
      <c r="D197" s="30">
        <f>IF($A197="",0,INDEX(Transactions!$H:$H,ROW()-8))</f>
      </c>
      <c r="E197" s="300">
        <f>IF($A197="",1,INDEX(Transactions!$N:$N,ROW()-8))</f>
        <v>1</v>
      </c>
      <c r="F197" s="30">
        <f>IF($A197="",0,INDEX(Transactions!$O:$O,ROW()-8))</f>
      </c>
      <c r="G197" s="30">
        <f>IF($A197="",0,INDEX(Transactions!$P:$P,ROW()-8))</f>
      </c>
    </row>
    <row r="198" spans="1:7" ht="15" customHeight="1" x14ac:dyDescent="0.15">
      <c r="A198">
        <f>IF(INDEX(Transactions!$J:$J,ROW()-8)="","",INDEX(Transactions!$J:$J,ROW()-8))</f>
      </c>
      <c r="B198" s="297">
        <f>IF($A198="",TODAY(),INDEX(Transactions!$G:$G,ROW()-8))</f>
      </c>
      <c r="C198" s="298">
        <f>IF($A198="","",INDEX(Transactions!$A:$A,ROW()-8))</f>
      </c>
      <c r="D198" s="30">
        <f>IF($A198="",0,INDEX(Transactions!$H:$H,ROW()-8))</f>
      </c>
      <c r="E198" s="300">
        <f>IF($A198="",1,INDEX(Transactions!$N:$N,ROW()-8))</f>
        <v>1</v>
      </c>
      <c r="F198" s="30">
        <f>IF($A198="",0,INDEX(Transactions!$O:$O,ROW()-8))</f>
      </c>
      <c r="G198" s="30">
        <f>IF($A198="",0,INDEX(Transactions!$P:$P,ROW()-8))</f>
      </c>
    </row>
    <row r="199" spans="1:7" ht="15" customHeight="1" x14ac:dyDescent="0.15">
      <c r="A199">
        <f>IF(INDEX(Transactions!$J:$J,ROW()-8)="","",INDEX(Transactions!$J:$J,ROW()-8))</f>
      </c>
      <c r="B199" s="297">
        <f>IF($A199="",TODAY(),INDEX(Transactions!$G:$G,ROW()-8))</f>
      </c>
      <c r="C199" s="298">
        <f>IF($A199="","",INDEX(Transactions!$A:$A,ROW()-8))</f>
      </c>
      <c r="D199" s="30">
        <f>IF($A199="",0,INDEX(Transactions!$H:$H,ROW()-8))</f>
      </c>
      <c r="E199" s="300">
        <f>IF($A199="",1,INDEX(Transactions!$N:$N,ROW()-8))</f>
        <v>1</v>
      </c>
      <c r="F199" s="30">
        <f>IF($A199="",0,INDEX(Transactions!$O:$O,ROW()-8))</f>
      </c>
      <c r="G199" s="30">
        <f>IF($A199="",0,INDEX(Transactions!$P:$P,ROW()-8))</f>
      </c>
    </row>
    <row r="200" spans="1:7" ht="15" customHeight="1" x14ac:dyDescent="0.15">
      <c r="A200">
        <f>IF(INDEX(Transactions!$J:$J,ROW()-8)="","",INDEX(Transactions!$J:$J,ROW()-8))</f>
      </c>
      <c r="B200" s="297">
        <f>IF($A200="",TODAY(),INDEX(Transactions!$G:$G,ROW()-8))</f>
      </c>
      <c r="C200" s="298">
        <f>IF($A200="","",INDEX(Transactions!$A:$A,ROW()-8))</f>
      </c>
      <c r="D200" s="30">
        <f>IF($A200="",0,INDEX(Transactions!$H:$H,ROW()-8))</f>
      </c>
      <c r="E200" s="299">
        <f>IF($A200="",1,INDEX(Transactions!$N:$N,ROW()-8))</f>
        <v>1</v>
      </c>
      <c r="F200" s="30">
        <f>IF($A200="",0,INDEX(Transactions!$O:$O,ROW()-8))</f>
      </c>
      <c r="G200" s="30">
        <f>IF($A200="",0,INDEX(Transactions!$P:$P,ROW()-8))</f>
      </c>
    </row>
    <row r="201" spans="1:7" ht="15" customHeight="1" x14ac:dyDescent="0.15">
      <c r="A201">
        <f>IF(INDEX(Transactions!$J:$J,ROW()-8)="","",INDEX(Transactions!$J:$J,ROW()-8))</f>
      </c>
      <c r="B201" s="297">
        <f>IF($A201="",TODAY(),INDEX(Transactions!$G:$G,ROW()-8))</f>
      </c>
      <c r="C201" s="298">
        <f>IF($A201="","",INDEX(Transactions!$A:$A,ROW()-8))</f>
      </c>
      <c r="D201" s="30">
        <f>IF($A201="",0,INDEX(Transactions!$H:$H,ROW()-8))</f>
      </c>
      <c r="E201" s="300">
        <f>IF($A201="",1,INDEX(Transactions!$N:$N,ROW()-8))</f>
        <v>1</v>
      </c>
      <c r="F201" s="30">
        <f>IF($A201="",0,INDEX(Transactions!$O:$O,ROW()-8))</f>
      </c>
      <c r="G201" s="30">
        <f>IF($A201="",0,INDEX(Transactions!$P:$P,ROW()-8))</f>
      </c>
    </row>
    <row r="202" spans="1:7" ht="15" customHeight="1" x14ac:dyDescent="0.15">
      <c r="A202">
        <f>IF(INDEX(Transactions!$J:$J,ROW()-8)="","",INDEX(Transactions!$J:$J,ROW()-8))</f>
      </c>
      <c r="B202" s="297">
        <f>IF($A202="",TODAY(),INDEX(Transactions!$G:$G,ROW()-8))</f>
      </c>
      <c r="C202" s="298">
        <f>IF($A202="","",INDEX(Transactions!$A:$A,ROW()-8))</f>
      </c>
      <c r="D202" s="30">
        <f>IF($A202="",0,INDEX(Transactions!$H:$H,ROW()-8))</f>
      </c>
      <c r="E202" s="300">
        <f>IF($A202="",1,INDEX(Transactions!$N:$N,ROW()-8))</f>
        <v>1</v>
      </c>
      <c r="F202" s="30">
        <f>IF($A202="",0,INDEX(Transactions!$O:$O,ROW()-8))</f>
      </c>
      <c r="G202" s="30">
        <f>IF($A202="",0,INDEX(Transactions!$P:$P,ROW()-8))</f>
      </c>
    </row>
    <row r="203" spans="1:7" ht="15" customHeight="1" x14ac:dyDescent="0.15">
      <c r="A203">
        <f>IF(INDEX(Transactions!$J:$J,ROW()-8)="","",INDEX(Transactions!$J:$J,ROW()-8))</f>
      </c>
      <c r="B203" s="297">
        <f>IF($A203="",TODAY(),INDEX(Transactions!$G:$G,ROW()-8))</f>
      </c>
      <c r="C203" s="298">
        <f>IF($A203="","",INDEX(Transactions!$A:$A,ROW()-8))</f>
      </c>
      <c r="D203" s="30">
        <f>IF($A203="",0,INDEX(Transactions!$H:$H,ROW()-8))</f>
      </c>
      <c r="E203" s="300">
        <f>IF($A203="",1,INDEX(Transactions!$N:$N,ROW()-8))</f>
        <v>1</v>
      </c>
      <c r="F203" s="30">
        <f>IF($A203="",0,INDEX(Transactions!$O:$O,ROW()-8))</f>
      </c>
      <c r="G203" s="30">
        <f>IF($A203="",0,INDEX(Transactions!$P:$P,ROW()-8))</f>
      </c>
    </row>
    <row r="204" spans="1:7" ht="15" customHeight="1" x14ac:dyDescent="0.15">
      <c r="A204">
        <f>IF(INDEX(Transactions!$J:$J,ROW()-8)="","",INDEX(Transactions!$J:$J,ROW()-8))</f>
      </c>
      <c r="B204" s="297">
        <f>IF($A204="",TODAY(),INDEX(Transactions!$G:$G,ROW()-8))</f>
      </c>
      <c r="C204" s="298">
        <f>IF($A204="","",INDEX(Transactions!$A:$A,ROW()-8))</f>
      </c>
      <c r="D204" s="30">
        <f>IF($A204="",0,INDEX(Transactions!$H:$H,ROW()-8))</f>
      </c>
      <c r="E204" s="300">
        <f>IF($A204="",1,INDEX(Transactions!$N:$N,ROW()-8))</f>
        <v>1</v>
      </c>
      <c r="F204" s="30">
        <f>IF($A204="",0,INDEX(Transactions!$O:$O,ROW()-8))</f>
      </c>
      <c r="G204" s="30">
        <f>IF($A204="",0,INDEX(Transactions!$P:$P,ROW()-8))</f>
      </c>
    </row>
    <row r="205" spans="1:7" ht="15" customHeight="1" x14ac:dyDescent="0.15">
      <c r="A205">
        <f>IF(INDEX(Transactions!$J:$J,ROW()-8)="","",INDEX(Transactions!$J:$J,ROW()-8))</f>
      </c>
      <c r="B205" s="297">
        <f>IF($A205="",TODAY(),INDEX(Transactions!$G:$G,ROW()-8))</f>
      </c>
      <c r="C205" s="298">
        <f>IF($A205="","",INDEX(Transactions!$A:$A,ROW()-8))</f>
      </c>
      <c r="D205" s="30">
        <f>IF($A205="",0,INDEX(Transactions!$H:$H,ROW()-8))</f>
      </c>
      <c r="E205" s="300">
        <f>IF($A205="",1,INDEX(Transactions!$N:$N,ROW()-8))</f>
        <v>1</v>
      </c>
      <c r="F205" s="30">
        <f>IF($A205="",0,INDEX(Transactions!$O:$O,ROW()-8))</f>
      </c>
      <c r="G205" s="30">
        <f>IF($A205="",0,INDEX(Transactions!$P:$P,ROW()-8))</f>
      </c>
    </row>
    <row r="206" spans="1:7" ht="15" customHeight="1" x14ac:dyDescent="0.15">
      <c r="A206">
        <f>IF(INDEX(Transactions!$J:$J,ROW()-8)="","",INDEX(Transactions!$J:$J,ROW()-8))</f>
      </c>
      <c r="B206" s="297">
        <f>IF($A206="",TODAY(),INDEX(Transactions!$G:$G,ROW()-8))</f>
      </c>
      <c r="C206" s="298">
        <f>IF($A206="","",INDEX(Transactions!$A:$A,ROW()-8))</f>
      </c>
      <c r="D206" s="30">
        <f>IF($A206="",0,INDEX(Transactions!$H:$H,ROW()-8))</f>
      </c>
      <c r="E206" s="300">
        <f>IF($A206="",1,INDEX(Transactions!$N:$N,ROW()-8))</f>
        <v>1</v>
      </c>
      <c r="F206" s="30">
        <f>IF($A206="",0,INDEX(Transactions!$O:$O,ROW()-8))</f>
      </c>
      <c r="G206" s="30">
        <f>IF($A206="",0,INDEX(Transactions!$P:$P,ROW()-8))</f>
      </c>
    </row>
    <row r="207" spans="1:7" ht="15" customHeight="1" x14ac:dyDescent="0.15">
      <c r="A207">
        <f>IF(INDEX(Transactions!$J:$J,ROW()-8)="","",INDEX(Transactions!$J:$J,ROW()-8))</f>
      </c>
      <c r="B207" s="297">
        <f>IF($A207="",TODAY(),INDEX(Transactions!$G:$G,ROW()-8))</f>
      </c>
      <c r="C207" s="298">
        <f>IF($A207="","",INDEX(Transactions!$A:$A,ROW()-8))</f>
      </c>
      <c r="D207" s="30">
        <f>IF($A207="",0,INDEX(Transactions!$H:$H,ROW()-8))</f>
      </c>
      <c r="E207" s="299">
        <f>IF($A207="",1,INDEX(Transactions!$N:$N,ROW()-8))</f>
        <v>1</v>
      </c>
      <c r="F207" s="30">
        <f>IF($A207="",0,INDEX(Transactions!$O:$O,ROW()-8))</f>
      </c>
      <c r="G207" s="30">
        <f>IF($A207="",0,INDEX(Transactions!$P:$P,ROW()-8))</f>
      </c>
    </row>
    <row r="208" spans="1:7" ht="15" customHeight="1" x14ac:dyDescent="0.15">
      <c r="A208">
        <f>IF(INDEX(Transactions!$J:$J,ROW()-8)="","",INDEX(Transactions!$J:$J,ROW()-8))</f>
      </c>
      <c r="B208" s="297">
        <f>IF($A208="",TODAY(),INDEX(Transactions!$G:$G,ROW()-8))</f>
      </c>
      <c r="C208" s="298">
        <f>IF($A208="","",INDEX(Transactions!$A:$A,ROW()-8))</f>
      </c>
      <c r="D208" s="30">
        <f>IF($A208="",0,INDEX(Transactions!$H:$H,ROW()-8))</f>
      </c>
      <c r="E208" s="300">
        <f>IF($A208="",1,INDEX(Transactions!$N:$N,ROW()-8))</f>
        <v>1</v>
      </c>
      <c r="F208" s="30">
        <f>IF($A208="",0,INDEX(Transactions!$O:$O,ROW()-8))</f>
      </c>
      <c r="G208" s="30">
        <f>IF($A208="",0,INDEX(Transactions!$P:$P,ROW()-8))</f>
      </c>
    </row>
    <row r="209" spans="1:7" ht="15" customHeight="1" x14ac:dyDescent="0.15">
      <c r="A209">
        <f>IF(INDEX(Transactions!$J:$J,ROW()-8)="","",INDEX(Transactions!$J:$J,ROW()-8))</f>
      </c>
      <c r="B209" s="297">
        <f>IF($A209="",TODAY(),INDEX(Transactions!$G:$G,ROW()-8))</f>
      </c>
      <c r="C209" s="298">
        <f>IF($A209="","",INDEX(Transactions!$A:$A,ROW()-8))</f>
      </c>
      <c r="D209" s="30">
        <f>IF($A209="",0,INDEX(Transactions!$H:$H,ROW()-8))</f>
      </c>
      <c r="E209" s="299">
        <f>IF($A209="",1,INDEX(Transactions!$N:$N,ROW()-8))</f>
        <v>1</v>
      </c>
      <c r="F209" s="30">
        <f>IF($A209="",0,INDEX(Transactions!$O:$O,ROW()-8))</f>
      </c>
      <c r="G209" s="30">
        <f>IF($A209="",0,INDEX(Transactions!$P:$P,ROW()-8))</f>
      </c>
    </row>
    <row r="210" spans="1:7" ht="15" customHeight="1" x14ac:dyDescent="0.15">
      <c r="A210">
        <f>IF(INDEX(Transactions!$J:$J,ROW()-8)="","",INDEX(Transactions!$J:$J,ROW()-8))</f>
      </c>
      <c r="B210" s="297">
        <f>IF($A210="",TODAY(),INDEX(Transactions!$G:$G,ROW()-8))</f>
      </c>
      <c r="C210" s="298">
        <f>IF($A210="","",INDEX(Transactions!$A:$A,ROW()-8))</f>
      </c>
      <c r="D210" s="30">
        <f>IF($A210="",0,INDEX(Transactions!$H:$H,ROW()-8))</f>
      </c>
      <c r="E210" s="299">
        <f>IF($A210="",1,INDEX(Transactions!$N:$N,ROW()-8))</f>
        <v>1</v>
      </c>
      <c r="F210" s="30">
        <f>IF($A210="",0,INDEX(Transactions!$O:$O,ROW()-8))</f>
      </c>
      <c r="G210" s="30">
        <f>IF($A210="",0,INDEX(Transactions!$P:$P,ROW()-8))</f>
      </c>
    </row>
    <row r="211" spans="1:7" ht="15" customHeight="1" x14ac:dyDescent="0.15">
      <c r="A211">
        <f>IF(INDEX(Transactions!$J:$J,ROW()-8)="","",INDEX(Transactions!$J:$J,ROW()-8))</f>
      </c>
      <c r="B211" s="297">
        <f>IF($A211="",TODAY(),INDEX(Transactions!$G:$G,ROW()-8))</f>
      </c>
      <c r="C211" s="298">
        <f>IF($A211="","",INDEX(Transactions!$A:$A,ROW()-8))</f>
      </c>
      <c r="D211" s="30">
        <f>IF($A211="",0,INDEX(Transactions!$H:$H,ROW()-8))</f>
      </c>
      <c r="E211" s="300">
        <f>IF($A211="",1,INDEX(Transactions!$N:$N,ROW()-8))</f>
        <v>1</v>
      </c>
      <c r="F211" s="30">
        <f>IF($A211="",0,INDEX(Transactions!$O:$O,ROW()-8))</f>
      </c>
      <c r="G211" s="30">
        <f>IF($A211="",0,INDEX(Transactions!$P:$P,ROW()-8))</f>
      </c>
    </row>
    <row r="212" spans="1:7" ht="15" customHeight="1" x14ac:dyDescent="0.15">
      <c r="A212">
        <f>IF(INDEX(Transactions!$J:$J,ROW()-8)="","",INDEX(Transactions!$J:$J,ROW()-8))</f>
      </c>
      <c r="B212" s="297">
        <f>IF($A212="",TODAY(),INDEX(Transactions!$G:$G,ROW()-8))</f>
      </c>
      <c r="C212" s="298">
        <f>IF($A212="","",INDEX(Transactions!$A:$A,ROW()-8))</f>
      </c>
      <c r="D212" s="30">
        <f>IF($A212="",0,INDEX(Transactions!$H:$H,ROW()-8))</f>
      </c>
      <c r="E212" s="299">
        <f>IF($A212="",1,INDEX(Transactions!$N:$N,ROW()-8))</f>
        <v>1</v>
      </c>
      <c r="F212" s="30">
        <f>IF($A212="",0,INDEX(Transactions!$O:$O,ROW()-8))</f>
      </c>
      <c r="G212" s="30">
        <f>IF($A212="",0,INDEX(Transactions!$P:$P,ROW()-8))</f>
      </c>
    </row>
    <row r="213" spans="1:7" ht="15" customHeight="1" x14ac:dyDescent="0.15">
      <c r="A213">
        <f>IF(INDEX(Transactions!$J:$J,ROW()-8)="","",INDEX(Transactions!$J:$J,ROW()-8))</f>
      </c>
      <c r="B213" s="297">
        <f>IF($A213="",TODAY(),INDEX(Transactions!$G:$G,ROW()-8))</f>
      </c>
      <c r="C213" s="298">
        <f>IF($A213="","",INDEX(Transactions!$A:$A,ROW()-8))</f>
      </c>
      <c r="D213" s="30">
        <f>IF($A213="",0,INDEX(Transactions!$H:$H,ROW()-8))</f>
      </c>
      <c r="E213" s="300">
        <f>IF($A213="",1,INDEX(Transactions!$N:$N,ROW()-8))</f>
        <v>1</v>
      </c>
      <c r="F213" s="30">
        <f>IF($A213="",0,INDEX(Transactions!$O:$O,ROW()-8))</f>
      </c>
      <c r="G213" s="30">
        <f>IF($A213="",0,INDEX(Transactions!$P:$P,ROW()-8))</f>
      </c>
    </row>
    <row r="214" spans="1:7" ht="15" customHeight="1" x14ac:dyDescent="0.15">
      <c r="A214">
        <f>IF(INDEX(Transactions!$J:$J,ROW()-8)="","",INDEX(Transactions!$J:$J,ROW()-8))</f>
      </c>
      <c r="B214" s="297">
        <f>IF($A214="",TODAY(),INDEX(Transactions!$G:$G,ROW()-8))</f>
      </c>
      <c r="C214" s="298">
        <f>IF($A214="","",INDEX(Transactions!$A:$A,ROW()-8))</f>
      </c>
      <c r="D214" s="30">
        <f>IF($A214="",0,INDEX(Transactions!$H:$H,ROW()-8))</f>
      </c>
      <c r="E214" s="300">
        <f>IF($A214="",1,INDEX(Transactions!$N:$N,ROW()-8))</f>
        <v>1</v>
      </c>
      <c r="F214" s="30">
        <f>IF($A214="",0,INDEX(Transactions!$O:$O,ROW()-8))</f>
      </c>
      <c r="G214" s="30">
        <f>IF($A214="",0,INDEX(Transactions!$P:$P,ROW()-8))</f>
      </c>
    </row>
    <row r="215" spans="1:7" ht="15" customHeight="1" x14ac:dyDescent="0.15">
      <c r="A215">
        <f>IF(INDEX(Transactions!$J:$J,ROW()-8)="","",INDEX(Transactions!$J:$J,ROW()-8))</f>
      </c>
      <c r="B215" s="297">
        <f>IF($A215="",TODAY(),INDEX(Transactions!$G:$G,ROW()-8))</f>
      </c>
      <c r="C215" s="298">
        <f>IF($A215="","",INDEX(Transactions!$A:$A,ROW()-8))</f>
      </c>
      <c r="D215" s="30">
        <f>IF($A215="",0,INDEX(Transactions!$H:$H,ROW()-8))</f>
      </c>
      <c r="E215" s="300">
        <f>IF($A215="",1,INDEX(Transactions!$N:$N,ROW()-8))</f>
        <v>1</v>
      </c>
      <c r="F215" s="30">
        <f>IF($A215="",0,INDEX(Transactions!$O:$O,ROW()-8))</f>
      </c>
      <c r="G215" s="30">
        <f>IF($A215="",0,INDEX(Transactions!$P:$P,ROW()-8))</f>
      </c>
    </row>
    <row r="216" spans="1:7" ht="15" customHeight="1" x14ac:dyDescent="0.15">
      <c r="A216">
        <f>IF(INDEX(Transactions!$J:$J,ROW()-8)="","",INDEX(Transactions!$J:$J,ROW()-8))</f>
      </c>
      <c r="B216" s="297">
        <f>IF($A216="",TODAY(),INDEX(Transactions!$G:$G,ROW()-8))</f>
      </c>
      <c r="C216" s="298">
        <f>IF($A216="","",INDEX(Transactions!$A:$A,ROW()-8))</f>
      </c>
      <c r="D216" s="30">
        <f>IF($A216="",0,INDEX(Transactions!$H:$H,ROW()-8))</f>
      </c>
      <c r="E216" s="300">
        <f>IF($A216="",1,INDEX(Transactions!$N:$N,ROW()-8))</f>
        <v>1</v>
      </c>
      <c r="F216" s="30">
        <f>IF($A216="",0,INDEX(Transactions!$O:$O,ROW()-8))</f>
      </c>
      <c r="G216" s="30">
        <f>IF($A216="",0,INDEX(Transactions!$P:$P,ROW()-8))</f>
      </c>
    </row>
    <row r="217" spans="1:7" ht="15" customHeight="1" x14ac:dyDescent="0.15">
      <c r="A217">
        <f>IF(INDEX(Transactions!$J:$J,ROW()-8)="","",INDEX(Transactions!$J:$J,ROW()-8))</f>
      </c>
      <c r="B217" s="297">
        <f>IF($A217="",TODAY(),INDEX(Transactions!$G:$G,ROW()-8))</f>
      </c>
      <c r="C217" s="298">
        <f>IF($A217="","",INDEX(Transactions!$A:$A,ROW()-8))</f>
      </c>
      <c r="D217" s="30">
        <f>IF($A217="",0,INDEX(Transactions!$H:$H,ROW()-8))</f>
      </c>
      <c r="E217" s="300">
        <f>IF($A217="",1,INDEX(Transactions!$N:$N,ROW()-8))</f>
        <v>1</v>
      </c>
      <c r="F217" s="30">
        <f>IF($A217="",0,INDEX(Transactions!$O:$O,ROW()-8))</f>
      </c>
      <c r="G217" s="30">
        <f>IF($A217="",0,INDEX(Transactions!$P:$P,ROW()-8))</f>
      </c>
    </row>
    <row r="218" spans="1:7" ht="15" customHeight="1" x14ac:dyDescent="0.15">
      <c r="A218">
        <f>IF(INDEX(Transactions!$J:$J,ROW()-8)="","",INDEX(Transactions!$J:$J,ROW()-8))</f>
      </c>
      <c r="B218" s="297">
        <f>IF($A218="",TODAY(),INDEX(Transactions!$G:$G,ROW()-8))</f>
      </c>
      <c r="C218" s="298">
        <f>IF($A218="","",INDEX(Transactions!$A:$A,ROW()-8))</f>
      </c>
      <c r="D218" s="30">
        <f>IF($A218="",0,INDEX(Transactions!$H:$H,ROW()-8))</f>
      </c>
      <c r="E218" s="300">
        <f>IF($A218="",1,INDEX(Transactions!$N:$N,ROW()-8))</f>
        <v>1</v>
      </c>
      <c r="F218" s="30">
        <f>IF($A218="",0,INDEX(Transactions!$O:$O,ROW()-8))</f>
      </c>
      <c r="G218" s="30">
        <f>IF($A218="",0,INDEX(Transactions!$P:$P,ROW()-8))</f>
      </c>
    </row>
    <row r="219" spans="1:7" ht="15" customHeight="1" x14ac:dyDescent="0.15">
      <c r="A219">
        <f>IF(INDEX(Transactions!$J:$J,ROW()-8)="","",INDEX(Transactions!$J:$J,ROW()-8))</f>
      </c>
      <c r="B219" s="297">
        <f>IF($A219="",TODAY(),INDEX(Transactions!$G:$G,ROW()-8))</f>
      </c>
      <c r="C219" s="298">
        <f>IF($A219="","",INDEX(Transactions!$A:$A,ROW()-8))</f>
      </c>
      <c r="D219" s="30">
        <f>IF($A219="",0,INDEX(Transactions!$H:$H,ROW()-8))</f>
      </c>
      <c r="E219" s="300">
        <f>IF($A219="",1,INDEX(Transactions!$N:$N,ROW()-8))</f>
        <v>1</v>
      </c>
      <c r="F219" s="30">
        <f>IF($A219="",0,INDEX(Transactions!$O:$O,ROW()-8))</f>
      </c>
      <c r="G219" s="30">
        <f>IF($A219="",0,INDEX(Transactions!$P:$P,ROW()-8))</f>
      </c>
    </row>
    <row r="220" spans="1:7" ht="15" customHeight="1" x14ac:dyDescent="0.15">
      <c r="A220">
        <f>IF(INDEX(Transactions!$J:$J,ROW()-8)="","",INDEX(Transactions!$J:$J,ROW()-8))</f>
      </c>
      <c r="B220" s="297">
        <f>IF($A220="",TODAY(),INDEX(Transactions!$G:$G,ROW()-8))</f>
      </c>
      <c r="C220" s="298">
        <f>IF($A220="","",INDEX(Transactions!$A:$A,ROW()-8))</f>
      </c>
      <c r="D220" s="30">
        <f>IF($A220="",0,INDEX(Transactions!$H:$H,ROW()-8))</f>
      </c>
      <c r="E220" s="299">
        <f>IF($A220="",1,INDEX(Transactions!$N:$N,ROW()-8))</f>
        <v>1</v>
      </c>
      <c r="F220" s="30">
        <f>IF($A220="",0,INDEX(Transactions!$O:$O,ROW()-8))</f>
      </c>
      <c r="G220" s="30">
        <f>IF($A220="",0,INDEX(Transactions!$P:$P,ROW()-8))</f>
      </c>
    </row>
    <row r="221" spans="1:7" ht="15" customHeight="1" x14ac:dyDescent="0.15">
      <c r="A221">
        <f>IF(INDEX(Transactions!$J:$J,ROW()-8)="","",INDEX(Transactions!$J:$J,ROW()-8))</f>
      </c>
      <c r="B221" s="297">
        <f>IF($A221="",TODAY(),INDEX(Transactions!$G:$G,ROW()-8))</f>
      </c>
      <c r="C221" s="298">
        <f>IF($A221="","",INDEX(Transactions!$A:$A,ROW()-8))</f>
      </c>
      <c r="D221" s="30">
        <f>IF($A221="",0,INDEX(Transactions!$H:$H,ROW()-8))</f>
      </c>
      <c r="E221" s="299">
        <f>IF($A221="",1,INDEX(Transactions!$N:$N,ROW()-8))</f>
        <v>1</v>
      </c>
      <c r="F221" s="30">
        <f>IF($A221="",0,INDEX(Transactions!$O:$O,ROW()-8))</f>
      </c>
      <c r="G221" s="30">
        <f>IF($A221="",0,INDEX(Transactions!$P:$P,ROW()-8))</f>
      </c>
    </row>
    <row r="222" spans="1:7" ht="15" customHeight="1" x14ac:dyDescent="0.15">
      <c r="A222">
        <f>IF(INDEX(Transactions!$J:$J,ROW()-8)="","",INDEX(Transactions!$J:$J,ROW()-8))</f>
      </c>
      <c r="B222" s="297">
        <f>IF($A222="",TODAY(),INDEX(Transactions!$G:$G,ROW()-8))</f>
      </c>
      <c r="C222" s="298">
        <f>IF($A222="","",INDEX(Transactions!$A:$A,ROW()-8))</f>
      </c>
      <c r="D222" s="30">
        <f>IF($A222="",0,INDEX(Transactions!$H:$H,ROW()-8))</f>
      </c>
      <c r="E222" s="300">
        <f>IF($A222="",1,INDEX(Transactions!$N:$N,ROW()-8))</f>
        <v>1</v>
      </c>
      <c r="F222" s="30">
        <f>IF($A222="",0,INDEX(Transactions!$O:$O,ROW()-8))</f>
      </c>
      <c r="G222" s="30">
        <f>IF($A222="",0,INDEX(Transactions!$P:$P,ROW()-8))</f>
      </c>
    </row>
    <row r="223" spans="1:7" ht="15" customHeight="1" x14ac:dyDescent="0.15">
      <c r="A223">
        <f>IF(INDEX(Transactions!$J:$J,ROW()-8)="","",INDEX(Transactions!$J:$J,ROW()-8))</f>
      </c>
      <c r="B223" s="297">
        <f>IF($A223="",TODAY(),INDEX(Transactions!$G:$G,ROW()-8))</f>
      </c>
      <c r="C223" s="298">
        <f>IF($A223="","",INDEX(Transactions!$A:$A,ROW()-8))</f>
      </c>
      <c r="D223" s="30">
        <f>IF($A223="",0,INDEX(Transactions!$H:$H,ROW()-8))</f>
      </c>
      <c r="E223" s="300">
        <f>IF($A223="",1,INDEX(Transactions!$N:$N,ROW()-8))</f>
        <v>1</v>
      </c>
      <c r="F223" s="30">
        <f>IF($A223="",0,INDEX(Transactions!$O:$O,ROW()-8))</f>
      </c>
      <c r="G223" s="30">
        <f>IF($A223="",0,INDEX(Transactions!$P:$P,ROW()-8))</f>
      </c>
    </row>
    <row r="224" spans="1:7" ht="15" customHeight="1" x14ac:dyDescent="0.15">
      <c r="A224">
        <f>IF(INDEX(Transactions!$J:$J,ROW()-8)="","",INDEX(Transactions!$J:$J,ROW()-8))</f>
      </c>
      <c r="B224" s="297">
        <f>IF($A224="",TODAY(),INDEX(Transactions!$G:$G,ROW()-8))</f>
      </c>
      <c r="C224" s="298">
        <f>IF($A224="","",INDEX(Transactions!$A:$A,ROW()-8))</f>
      </c>
      <c r="D224" s="30">
        <f>IF($A224="",0,INDEX(Transactions!$H:$H,ROW()-8))</f>
      </c>
      <c r="E224" s="299">
        <f>IF($A224="",1,INDEX(Transactions!$N:$N,ROW()-8))</f>
        <v>1</v>
      </c>
      <c r="F224" s="30">
        <f>IF($A224="",0,INDEX(Transactions!$O:$O,ROW()-8))</f>
      </c>
      <c r="G224" s="30">
        <f>IF($A224="",0,INDEX(Transactions!$P:$P,ROW()-8))</f>
      </c>
    </row>
    <row r="225" spans="1:7" ht="15" customHeight="1" x14ac:dyDescent="0.15">
      <c r="A225">
        <f>IF(INDEX(Transactions!$J:$J,ROW()-8)="","",INDEX(Transactions!$J:$J,ROW()-8))</f>
      </c>
      <c r="B225" s="297">
        <f>IF($A225="",TODAY(),INDEX(Transactions!$G:$G,ROW()-8))</f>
      </c>
      <c r="C225" s="298">
        <f>IF($A225="","",INDEX(Transactions!$A:$A,ROW()-8))</f>
      </c>
      <c r="D225" s="30">
        <f>IF($A225="",0,INDEX(Transactions!$H:$H,ROW()-8))</f>
      </c>
      <c r="E225" s="300">
        <f>IF($A225="",1,INDEX(Transactions!$N:$N,ROW()-8))</f>
        <v>1</v>
      </c>
      <c r="F225" s="30">
        <f>IF($A225="",0,INDEX(Transactions!$O:$O,ROW()-8))</f>
      </c>
      <c r="G225" s="30">
        <f>IF($A225="",0,INDEX(Transactions!$P:$P,ROW()-8))</f>
      </c>
    </row>
    <row r="226" spans="1:7" ht="15" customHeight="1" x14ac:dyDescent="0.15">
      <c r="A226">
        <f>IF(INDEX(Transactions!$J:$J,ROW()-8)="","",INDEX(Transactions!$J:$J,ROW()-8))</f>
      </c>
      <c r="B226" s="297">
        <f>IF($A226="",TODAY(),INDEX(Transactions!$G:$G,ROW()-8))</f>
      </c>
      <c r="C226" s="298">
        <f>IF($A226="","",INDEX(Transactions!$A:$A,ROW()-8))</f>
      </c>
      <c r="D226" s="30">
        <f>IF($A226="",0,INDEX(Transactions!$H:$H,ROW()-8))</f>
      </c>
      <c r="E226" s="300">
        <f>IF($A226="",1,INDEX(Transactions!$N:$N,ROW()-8))</f>
        <v>1</v>
      </c>
      <c r="F226" s="30">
        <f>IF($A226="",0,INDEX(Transactions!$O:$O,ROW()-8))</f>
      </c>
      <c r="G226" s="30">
        <f>IF($A226="",0,INDEX(Transactions!$P:$P,ROW()-8))</f>
      </c>
    </row>
    <row r="227" spans="1:7" ht="15" customHeight="1" x14ac:dyDescent="0.15">
      <c r="A227">
        <f>IF(INDEX(Transactions!$J:$J,ROW()-8)="","",INDEX(Transactions!$J:$J,ROW()-8))</f>
      </c>
      <c r="B227" s="297">
        <f>IF($A227="",TODAY(),INDEX(Transactions!$G:$G,ROW()-8))</f>
      </c>
      <c r="C227" s="298">
        <f>IF($A227="","",INDEX(Transactions!$A:$A,ROW()-8))</f>
      </c>
      <c r="D227" s="30">
        <f>IF($A227="",0,INDEX(Transactions!$H:$H,ROW()-8))</f>
      </c>
      <c r="E227" s="300">
        <f>IF($A227="",1,INDEX(Transactions!$N:$N,ROW()-8))</f>
        <v>1</v>
      </c>
      <c r="F227" s="30">
        <f>IF($A227="",0,INDEX(Transactions!$O:$O,ROW()-8))</f>
      </c>
      <c r="G227" s="30">
        <f>IF($A227="",0,INDEX(Transactions!$P:$P,ROW()-8))</f>
      </c>
    </row>
    <row r="228" spans="1:7" ht="15" customHeight="1" x14ac:dyDescent="0.15">
      <c r="A228">
        <f>IF(INDEX(Transactions!$J:$J,ROW()-8)="","",INDEX(Transactions!$J:$J,ROW()-8))</f>
      </c>
      <c r="B228" s="297">
        <f>IF($A228="",TODAY(),INDEX(Transactions!$G:$G,ROW()-8))</f>
      </c>
      <c r="C228" s="298">
        <f>IF($A228="","",INDEX(Transactions!$A:$A,ROW()-8))</f>
      </c>
      <c r="D228" s="30">
        <f>IF($A228="",0,INDEX(Transactions!$H:$H,ROW()-8))</f>
      </c>
      <c r="E228" s="300">
        <f>IF($A228="",1,INDEX(Transactions!$N:$N,ROW()-8))</f>
        <v>1</v>
      </c>
      <c r="F228" s="30">
        <f>IF($A228="",0,INDEX(Transactions!$O:$O,ROW()-8))</f>
      </c>
      <c r="G228" s="30">
        <f>IF($A228="",0,INDEX(Transactions!$P:$P,ROW()-8))</f>
      </c>
    </row>
    <row r="229" spans="1:7" ht="15" customHeight="1" x14ac:dyDescent="0.15">
      <c r="A229">
        <f>IF(INDEX(Transactions!$J:$J,ROW()-8)="","",INDEX(Transactions!$J:$J,ROW()-8))</f>
      </c>
      <c r="B229" s="297">
        <f>IF($A229="",TODAY(),INDEX(Transactions!$G:$G,ROW()-8))</f>
      </c>
      <c r="C229" s="298">
        <f>IF($A229="","",INDEX(Transactions!$A:$A,ROW()-8))</f>
      </c>
      <c r="D229" s="30">
        <f>IF($A229="",0,INDEX(Transactions!$H:$H,ROW()-8))</f>
      </c>
      <c r="E229" s="300">
        <f>IF($A229="",1,INDEX(Transactions!$N:$N,ROW()-8))</f>
        <v>1</v>
      </c>
      <c r="F229" s="30">
        <f>IF($A229="",0,INDEX(Transactions!$O:$O,ROW()-8))</f>
      </c>
      <c r="G229" s="30">
        <f>IF($A229="",0,INDEX(Transactions!$P:$P,ROW()-8))</f>
      </c>
    </row>
    <row r="230" spans="1:7" ht="15" customHeight="1" x14ac:dyDescent="0.15">
      <c r="A230">
        <f>IF(INDEX(Transactions!$J:$J,ROW()-8)="","",INDEX(Transactions!$J:$J,ROW()-8))</f>
      </c>
      <c r="B230" s="297">
        <f>IF($A230="",TODAY(),INDEX(Transactions!$G:$G,ROW()-8))</f>
      </c>
      <c r="C230" s="298">
        <f>IF($A230="","",INDEX(Transactions!$A:$A,ROW()-8))</f>
      </c>
      <c r="D230" s="30">
        <f>IF($A230="",0,INDEX(Transactions!$H:$H,ROW()-8))</f>
      </c>
      <c r="E230" s="300">
        <f>IF($A230="",1,INDEX(Transactions!$N:$N,ROW()-8))</f>
        <v>1</v>
      </c>
      <c r="F230" s="30">
        <f>IF($A230="",0,INDEX(Transactions!$O:$O,ROW()-8))</f>
      </c>
      <c r="G230" s="30">
        <f>IF($A230="",0,INDEX(Transactions!$P:$P,ROW()-8))</f>
      </c>
    </row>
    <row r="231" spans="1:7" ht="15" customHeight="1" x14ac:dyDescent="0.15">
      <c r="A231">
        <f>IF(INDEX(Transactions!$J:$J,ROW()-8)="","",INDEX(Transactions!$J:$J,ROW()-8))</f>
      </c>
      <c r="B231" s="297">
        <f>IF($A231="",TODAY(),INDEX(Transactions!$G:$G,ROW()-8))</f>
      </c>
      <c r="C231" s="298">
        <f>IF($A231="","",INDEX(Transactions!$A:$A,ROW()-8))</f>
      </c>
      <c r="D231" s="30">
        <f>IF($A231="",0,INDEX(Transactions!$H:$H,ROW()-8))</f>
      </c>
      <c r="E231" s="300">
        <f>IF($A231="",1,INDEX(Transactions!$N:$N,ROW()-8))</f>
        <v>1</v>
      </c>
      <c r="F231" s="30">
        <f>IF($A231="",0,INDEX(Transactions!$O:$O,ROW()-8))</f>
      </c>
      <c r="G231" s="30">
        <f>IF($A231="",0,INDEX(Transactions!$P:$P,ROW()-8))</f>
      </c>
    </row>
    <row r="232" spans="1:7" ht="15" customHeight="1" x14ac:dyDescent="0.15">
      <c r="A232">
        <f>IF(INDEX(Transactions!$J:$J,ROW()-8)="","",INDEX(Transactions!$J:$J,ROW()-8))</f>
      </c>
      <c r="B232" s="297">
        <f>IF($A232="",TODAY(),INDEX(Transactions!$G:$G,ROW()-8))</f>
      </c>
      <c r="C232" s="298">
        <f>IF($A232="","",INDEX(Transactions!$A:$A,ROW()-8))</f>
      </c>
      <c r="D232" s="30">
        <f>IF($A232="",0,INDEX(Transactions!$H:$H,ROW()-8))</f>
      </c>
      <c r="E232" s="300">
        <f>IF($A232="",1,INDEX(Transactions!$N:$N,ROW()-8))</f>
        <v>1</v>
      </c>
      <c r="F232" s="30">
        <f>IF($A232="",0,INDEX(Transactions!$O:$O,ROW()-8))</f>
      </c>
      <c r="G232" s="30">
        <f>IF($A232="",0,INDEX(Transactions!$P:$P,ROW()-8))</f>
      </c>
    </row>
    <row r="233" spans="1:7" ht="15" customHeight="1" x14ac:dyDescent="0.15">
      <c r="A233">
        <f>IF(INDEX(Transactions!$J:$J,ROW()-8)="","",INDEX(Transactions!$J:$J,ROW()-8))</f>
      </c>
      <c r="B233" s="297">
        <f>IF($A233="",TODAY(),INDEX(Transactions!$G:$G,ROW()-8))</f>
      </c>
      <c r="C233" s="298">
        <f>IF($A233="","",INDEX(Transactions!$A:$A,ROW()-8))</f>
      </c>
      <c r="D233" s="30">
        <f>IF($A233="",0,INDEX(Transactions!$H:$H,ROW()-8))</f>
      </c>
      <c r="E233" s="300">
        <f>IF($A233="",1,INDEX(Transactions!$N:$N,ROW()-8))</f>
        <v>1</v>
      </c>
      <c r="F233" s="30">
        <f>IF($A233="",0,INDEX(Transactions!$O:$O,ROW()-8))</f>
      </c>
      <c r="G233" s="30">
        <f>IF($A233="",0,INDEX(Transactions!$P:$P,ROW()-8))</f>
      </c>
    </row>
    <row r="234" spans="1:7" ht="15" customHeight="1" x14ac:dyDescent="0.15">
      <c r="A234">
        <f>IF(INDEX(Transactions!$J:$J,ROW()-8)="","",INDEX(Transactions!$J:$J,ROW()-8))</f>
      </c>
      <c r="B234" s="297">
        <f>IF($A234="",TODAY(),INDEX(Transactions!$G:$G,ROW()-8))</f>
      </c>
      <c r="C234" s="298">
        <f>IF($A234="","",INDEX(Transactions!$A:$A,ROW()-8))</f>
      </c>
      <c r="D234" s="30">
        <f>IF($A234="",0,INDEX(Transactions!$H:$H,ROW()-8))</f>
      </c>
      <c r="E234" s="300">
        <f>IF($A234="",1,INDEX(Transactions!$N:$N,ROW()-8))</f>
        <v>1</v>
      </c>
      <c r="F234" s="30">
        <f>IF($A234="",0,INDEX(Transactions!$O:$O,ROW()-8))</f>
      </c>
      <c r="G234" s="30">
        <f>IF($A234="",0,INDEX(Transactions!$P:$P,ROW()-8))</f>
      </c>
    </row>
    <row r="235" spans="1:7" ht="15" customHeight="1" x14ac:dyDescent="0.15">
      <c r="A235">
        <f>IF(INDEX(Transactions!$J:$J,ROW()-8)="","",INDEX(Transactions!$J:$J,ROW()-8))</f>
      </c>
      <c r="B235" s="297">
        <f>IF($A235="",TODAY(),INDEX(Transactions!$G:$G,ROW()-8))</f>
      </c>
      <c r="C235" s="298">
        <f>IF($A235="","",INDEX(Transactions!$A:$A,ROW()-8))</f>
      </c>
      <c r="D235" s="30">
        <f>IF($A235="",0,INDEX(Transactions!$H:$H,ROW()-8))</f>
      </c>
      <c r="E235" s="300">
        <f>IF($A235="",1,INDEX(Transactions!$N:$N,ROW()-8))</f>
        <v>1</v>
      </c>
      <c r="F235" s="30">
        <f>IF($A235="",0,INDEX(Transactions!$O:$O,ROW()-8))</f>
      </c>
      <c r="G235" s="30">
        <f>IF($A235="",0,INDEX(Transactions!$P:$P,ROW()-8))</f>
      </c>
    </row>
    <row r="236" spans="1:7" ht="15" customHeight="1" x14ac:dyDescent="0.15">
      <c r="A236">
        <f>IF(INDEX(Transactions!$J:$J,ROW()-8)="","",INDEX(Transactions!$J:$J,ROW()-8))</f>
      </c>
      <c r="B236" s="297">
        <f>IF($A236="",TODAY(),INDEX(Transactions!$G:$G,ROW()-8))</f>
      </c>
      <c r="C236" s="298">
        <f>IF($A236="","",INDEX(Transactions!$A:$A,ROW()-8))</f>
      </c>
      <c r="D236" s="30">
        <f>IF($A236="",0,INDEX(Transactions!$H:$H,ROW()-8))</f>
      </c>
      <c r="E236" s="300">
        <f>IF($A236="",1,INDEX(Transactions!$N:$N,ROW()-8))</f>
        <v>1</v>
      </c>
      <c r="F236" s="30">
        <f>IF($A236="",0,INDEX(Transactions!$O:$O,ROW()-8))</f>
      </c>
      <c r="G236" s="30">
        <f>IF($A236="",0,INDEX(Transactions!$P:$P,ROW()-8))</f>
      </c>
    </row>
    <row r="237" spans="1:7" ht="15" customHeight="1" x14ac:dyDescent="0.15">
      <c r="A237">
        <f>IF(INDEX(Transactions!$J:$J,ROW()-8)="","",INDEX(Transactions!$J:$J,ROW()-8))</f>
      </c>
      <c r="B237" s="297">
        <f>IF($A237="",TODAY(),INDEX(Transactions!$G:$G,ROW()-8))</f>
      </c>
      <c r="C237" s="298">
        <f>IF($A237="","",INDEX(Transactions!$A:$A,ROW()-8))</f>
      </c>
      <c r="D237" s="30">
        <f>IF($A237="",0,INDEX(Transactions!$H:$H,ROW()-8))</f>
      </c>
      <c r="E237" s="300">
        <f>IF($A237="",1,INDEX(Transactions!$N:$N,ROW()-8))</f>
        <v>1</v>
      </c>
      <c r="F237" s="30">
        <f>IF($A237="",0,INDEX(Transactions!$O:$O,ROW()-8))</f>
      </c>
      <c r="G237" s="30">
        <f>IF($A237="",0,INDEX(Transactions!$P:$P,ROW()-8))</f>
      </c>
    </row>
    <row r="238" spans="1:7" ht="15" customHeight="1" x14ac:dyDescent="0.15">
      <c r="A238">
        <f>IF(INDEX(Transactions!$J:$J,ROW()-8)="","",INDEX(Transactions!$J:$J,ROW()-8))</f>
      </c>
      <c r="B238" s="297">
        <f>IF($A238="",TODAY(),INDEX(Transactions!$G:$G,ROW()-8))</f>
      </c>
      <c r="C238" s="298">
        <f>IF($A238="","",INDEX(Transactions!$A:$A,ROW()-8))</f>
      </c>
      <c r="D238" s="30">
        <f>IF($A238="",0,INDEX(Transactions!$H:$H,ROW()-8))</f>
      </c>
      <c r="E238" s="300">
        <f>IF($A238="",1,INDEX(Transactions!$N:$N,ROW()-8))</f>
        <v>1</v>
      </c>
      <c r="F238" s="30">
        <f>IF($A238="",0,INDEX(Transactions!$O:$O,ROW()-8))</f>
      </c>
      <c r="G238" s="30">
        <f>IF($A238="",0,INDEX(Transactions!$P:$P,ROW()-8))</f>
      </c>
    </row>
    <row r="239" spans="1:7" ht="15" customHeight="1" x14ac:dyDescent="0.15">
      <c r="A239">
        <f>IF(INDEX(Transactions!$J:$J,ROW()-8)="","",INDEX(Transactions!$J:$J,ROW()-8))</f>
      </c>
      <c r="B239" s="297">
        <f>IF($A239="",TODAY(),INDEX(Transactions!$G:$G,ROW()-8))</f>
      </c>
      <c r="C239" s="298">
        <f>IF($A239="","",INDEX(Transactions!$A:$A,ROW()-8))</f>
      </c>
      <c r="D239" s="30">
        <f>IF($A239="",0,INDEX(Transactions!$H:$H,ROW()-8))</f>
      </c>
      <c r="E239" s="300">
        <f>IF($A239="",1,INDEX(Transactions!$N:$N,ROW()-8))</f>
        <v>1</v>
      </c>
      <c r="F239" s="30">
        <f>IF($A239="",0,INDEX(Transactions!$O:$O,ROW()-8))</f>
      </c>
      <c r="G239" s="30">
        <f>IF($A239="",0,INDEX(Transactions!$P:$P,ROW()-8))</f>
      </c>
    </row>
    <row r="240" spans="1:7" ht="15" customHeight="1" x14ac:dyDescent="0.15">
      <c r="A240">
        <f>IF(INDEX(Transactions!$J:$J,ROW()-8)="","",INDEX(Transactions!$J:$J,ROW()-8))</f>
      </c>
      <c r="B240" s="297">
        <f>IF($A240="",TODAY(),INDEX(Transactions!$G:$G,ROW()-8))</f>
      </c>
      <c r="C240" s="298">
        <f>IF($A240="","",INDEX(Transactions!$A:$A,ROW()-8))</f>
      </c>
      <c r="D240" s="30">
        <f>IF($A240="",0,INDEX(Transactions!$H:$H,ROW()-8))</f>
      </c>
      <c r="E240" s="300">
        <f>IF($A240="",1,INDEX(Transactions!$N:$N,ROW()-8))</f>
        <v>1</v>
      </c>
      <c r="F240" s="30">
        <f>IF($A240="",0,INDEX(Transactions!$O:$O,ROW()-8))</f>
      </c>
      <c r="G240" s="30">
        <f>IF($A240="",0,INDEX(Transactions!$P:$P,ROW()-8))</f>
      </c>
    </row>
    <row r="241" spans="1:7" ht="15" customHeight="1" x14ac:dyDescent="0.15">
      <c r="A241">
        <f>IF(INDEX(Transactions!$J:$J,ROW()-8)="","",INDEX(Transactions!$J:$J,ROW()-8))</f>
      </c>
      <c r="B241" s="297">
        <f>IF($A241="",TODAY(),INDEX(Transactions!$G:$G,ROW()-8))</f>
      </c>
      <c r="C241" s="298">
        <f>IF($A241="","",INDEX(Transactions!$A:$A,ROW()-8))</f>
      </c>
      <c r="D241" s="30">
        <f>IF($A241="",0,INDEX(Transactions!$H:$H,ROW()-8))</f>
      </c>
      <c r="E241" s="300">
        <f>IF($A241="",1,INDEX(Transactions!$N:$N,ROW()-8))</f>
        <v>1</v>
      </c>
      <c r="F241" s="30">
        <f>IF($A241="",0,INDEX(Transactions!$O:$O,ROW()-8))</f>
      </c>
      <c r="G241" s="30">
        <f>IF($A241="",0,INDEX(Transactions!$P:$P,ROW()-8))</f>
      </c>
    </row>
    <row r="242" spans="1:7" ht="15" customHeight="1" x14ac:dyDescent="0.15">
      <c r="A242">
        <f>IF(INDEX(Transactions!$J:$J,ROW()-8)="","",INDEX(Transactions!$J:$J,ROW()-8))</f>
      </c>
      <c r="B242" s="297">
        <f>IF($A242="",TODAY(),INDEX(Transactions!$G:$G,ROW()-8))</f>
      </c>
      <c r="C242" s="298">
        <f>IF($A242="","",INDEX(Transactions!$A:$A,ROW()-8))</f>
      </c>
      <c r="D242" s="30">
        <f>IF($A242="",0,INDEX(Transactions!$H:$H,ROW()-8))</f>
      </c>
      <c r="E242" s="300">
        <f>IF($A242="",1,INDEX(Transactions!$N:$N,ROW()-8))</f>
        <v>1</v>
      </c>
      <c r="F242" s="30">
        <f>IF($A242="",0,INDEX(Transactions!$O:$O,ROW()-8))</f>
      </c>
      <c r="G242" s="30">
        <f>IF($A242="",0,INDEX(Transactions!$P:$P,ROW()-8))</f>
      </c>
    </row>
    <row r="243" spans="1:7" ht="15" customHeight="1" x14ac:dyDescent="0.15">
      <c r="A243">
        <f>IF(INDEX(Transactions!$J:$J,ROW()-8)="","",INDEX(Transactions!$J:$J,ROW()-8))</f>
      </c>
      <c r="B243" s="297">
        <f>IF($A243="",TODAY(),INDEX(Transactions!$G:$G,ROW()-8))</f>
      </c>
      <c r="C243" s="298">
        <f>IF($A243="","",INDEX(Transactions!$A:$A,ROW()-8))</f>
      </c>
      <c r="D243" s="30">
        <f>IF($A243="",0,INDEX(Transactions!$H:$H,ROW()-8))</f>
      </c>
      <c r="E243" s="300">
        <f>IF($A243="",1,INDEX(Transactions!$N:$N,ROW()-8))</f>
        <v>1</v>
      </c>
      <c r="F243" s="30">
        <f>IF($A243="",0,INDEX(Transactions!$O:$O,ROW()-8))</f>
      </c>
      <c r="G243" s="30">
        <f>IF($A243="",0,INDEX(Transactions!$P:$P,ROW()-8))</f>
      </c>
    </row>
    <row r="244" spans="1:7" ht="15" customHeight="1" x14ac:dyDescent="0.15">
      <c r="A244">
        <f>IF(INDEX(Transactions!$J:$J,ROW()-8)="","",INDEX(Transactions!$J:$J,ROW()-8))</f>
      </c>
      <c r="B244" s="297">
        <f>IF($A244="",TODAY(),INDEX(Transactions!$G:$G,ROW()-8))</f>
      </c>
      <c r="C244" s="298">
        <f>IF($A244="","",INDEX(Transactions!$A:$A,ROW()-8))</f>
      </c>
      <c r="D244" s="30">
        <f>IF($A244="",0,INDEX(Transactions!$H:$H,ROW()-8))</f>
      </c>
      <c r="E244" s="300">
        <f>IF($A244="",1,INDEX(Transactions!$N:$N,ROW()-8))</f>
        <v>1</v>
      </c>
      <c r="F244" s="30">
        <f>IF($A244="",0,INDEX(Transactions!$O:$O,ROW()-8))</f>
      </c>
      <c r="G244" s="30">
        <f>IF($A244="",0,INDEX(Transactions!$P:$P,ROW()-8))</f>
      </c>
    </row>
    <row r="245" spans="1:7" ht="15" customHeight="1" x14ac:dyDescent="0.15">
      <c r="A245">
        <f>IF(INDEX(Transactions!$J:$J,ROW()-8)="","",INDEX(Transactions!$J:$J,ROW()-8))</f>
      </c>
      <c r="B245" s="297">
        <f>IF($A245="",TODAY(),INDEX(Transactions!$G:$G,ROW()-8))</f>
      </c>
      <c r="C245" s="298">
        <f>IF($A245="","",INDEX(Transactions!$A:$A,ROW()-8))</f>
      </c>
      <c r="D245" s="30">
        <f>IF($A245="",0,INDEX(Transactions!$H:$H,ROW()-8))</f>
      </c>
      <c r="E245" s="300">
        <f>IF($A245="",1,INDEX(Transactions!$N:$N,ROW()-8))</f>
        <v>1</v>
      </c>
      <c r="F245" s="30">
        <f>IF($A245="",0,INDEX(Transactions!$O:$O,ROW()-8))</f>
      </c>
      <c r="G245" s="30">
        <f>IF($A245="",0,INDEX(Transactions!$P:$P,ROW()-8))</f>
      </c>
    </row>
    <row r="246" spans="1:7" ht="15" customHeight="1" x14ac:dyDescent="0.15">
      <c r="A246">
        <f>IF(INDEX(Transactions!$J:$J,ROW()-8)="","",INDEX(Transactions!$J:$J,ROW()-8))</f>
      </c>
      <c r="B246" s="297">
        <f>IF($A246="",TODAY(),INDEX(Transactions!$G:$G,ROW()-8))</f>
      </c>
      <c r="C246" s="298">
        <f>IF($A246="","",INDEX(Transactions!$A:$A,ROW()-8))</f>
      </c>
      <c r="D246" s="30">
        <f>IF($A246="",0,INDEX(Transactions!$H:$H,ROW()-8))</f>
      </c>
      <c r="E246" s="300">
        <f>IF($A246="",1,INDEX(Transactions!$N:$N,ROW()-8))</f>
        <v>1</v>
      </c>
      <c r="F246" s="30">
        <f>IF($A246="",0,INDEX(Transactions!$O:$O,ROW()-8))</f>
      </c>
      <c r="G246" s="30">
        <f>IF($A246="",0,INDEX(Transactions!$P:$P,ROW()-8))</f>
      </c>
    </row>
    <row r="247" spans="1:7" ht="15" customHeight="1" x14ac:dyDescent="0.15">
      <c r="A247">
        <f>IF(INDEX(Transactions!$J:$J,ROW()-8)="","",INDEX(Transactions!$J:$J,ROW()-8))</f>
      </c>
      <c r="B247" s="297">
        <f>IF($A247="",TODAY(),INDEX(Transactions!$G:$G,ROW()-8))</f>
      </c>
      <c r="C247" s="298">
        <f>IF($A247="","",INDEX(Transactions!$A:$A,ROW()-8))</f>
      </c>
      <c r="D247" s="30">
        <f>IF($A247="",0,INDEX(Transactions!$H:$H,ROW()-8))</f>
      </c>
      <c r="E247" s="300">
        <f>IF($A247="",1,INDEX(Transactions!$N:$N,ROW()-8))</f>
        <v>1</v>
      </c>
      <c r="F247" s="30">
        <f>IF($A247="",0,INDEX(Transactions!$O:$O,ROW()-8))</f>
      </c>
      <c r="G247" s="30">
        <f>IF($A247="",0,INDEX(Transactions!$P:$P,ROW()-8))</f>
      </c>
    </row>
    <row r="248" spans="1:7" ht="15" customHeight="1" x14ac:dyDescent="0.15">
      <c r="A248">
        <f>IF(INDEX(Transactions!$J:$J,ROW()-8)="","",INDEX(Transactions!$J:$J,ROW()-8))</f>
      </c>
      <c r="B248" s="297">
        <f>IF($A248="",TODAY(),INDEX(Transactions!$G:$G,ROW()-8))</f>
      </c>
      <c r="C248" s="298">
        <f>IF($A248="","",INDEX(Transactions!$A:$A,ROW()-8))</f>
      </c>
      <c r="D248" s="30">
        <f>IF($A248="",0,INDEX(Transactions!$H:$H,ROW()-8))</f>
      </c>
      <c r="E248" s="300">
        <f>IF($A248="",1,INDEX(Transactions!$N:$N,ROW()-8))</f>
        <v>1</v>
      </c>
      <c r="F248" s="30">
        <f>IF($A248="",0,INDEX(Transactions!$O:$O,ROW()-8))</f>
      </c>
      <c r="G248" s="30">
        <f>IF($A248="",0,INDEX(Transactions!$P:$P,ROW()-8))</f>
      </c>
    </row>
    <row r="249" spans="1:7" ht="15" customHeight="1" x14ac:dyDescent="0.15">
      <c r="A249">
        <f>IF(INDEX(Transactions!$J:$J,ROW()-8)="","",INDEX(Transactions!$J:$J,ROW()-8))</f>
      </c>
      <c r="B249" s="297">
        <f>IF($A249="",TODAY(),INDEX(Transactions!$G:$G,ROW()-8))</f>
      </c>
      <c r="C249" s="298">
        <f>IF($A249="","",INDEX(Transactions!$A:$A,ROW()-8))</f>
      </c>
      <c r="D249" s="30">
        <f>IF($A249="",0,INDEX(Transactions!$H:$H,ROW()-8))</f>
      </c>
      <c r="E249" s="300">
        <f>IF($A249="",1,INDEX(Transactions!$N:$N,ROW()-8))</f>
        <v>1</v>
      </c>
      <c r="F249" s="30">
        <f>IF($A249="",0,INDEX(Transactions!$O:$O,ROW()-8))</f>
      </c>
      <c r="G249" s="30">
        <f>IF($A249="",0,INDEX(Transactions!$P:$P,ROW()-8))</f>
      </c>
    </row>
    <row r="250" spans="1:7" ht="15" customHeight="1" x14ac:dyDescent="0.15">
      <c r="A250">
        <f>IF(INDEX(Transactions!$J:$J,ROW()-8)="","",INDEX(Transactions!$J:$J,ROW()-8))</f>
      </c>
      <c r="B250" s="297">
        <f>IF($A250="",TODAY(),INDEX(Transactions!$G:$G,ROW()-8))</f>
      </c>
      <c r="C250" s="298">
        <f>IF($A250="","",INDEX(Transactions!$A:$A,ROW()-8))</f>
      </c>
      <c r="D250" s="30">
        <f>IF($A250="",0,INDEX(Transactions!$H:$H,ROW()-8))</f>
      </c>
      <c r="E250" s="300">
        <f>IF($A250="",1,INDEX(Transactions!$N:$N,ROW()-8))</f>
        <v>1</v>
      </c>
      <c r="F250" s="30">
        <f>IF($A250="",0,INDEX(Transactions!$O:$O,ROW()-8))</f>
      </c>
      <c r="G250" s="30">
        <f>IF($A250="",0,INDEX(Transactions!$P:$P,ROW()-8))</f>
      </c>
    </row>
    <row r="251" spans="1:7" ht="15" customHeight="1" x14ac:dyDescent="0.15">
      <c r="A251">
        <f>IF(INDEX(Transactions!$J:$J,ROW()-8)="","",INDEX(Transactions!$J:$J,ROW()-8))</f>
      </c>
      <c r="B251" s="297">
        <f>IF($A251="",TODAY(),INDEX(Transactions!$G:$G,ROW()-8))</f>
      </c>
      <c r="C251" s="298">
        <f>IF($A251="","",INDEX(Transactions!$A:$A,ROW()-8))</f>
      </c>
      <c r="D251" s="30">
        <f>IF($A251="",0,INDEX(Transactions!$H:$H,ROW()-8))</f>
      </c>
      <c r="E251" s="300">
        <f>IF($A251="",1,INDEX(Transactions!$N:$N,ROW()-8))</f>
        <v>1</v>
      </c>
      <c r="F251" s="30">
        <f>IF($A251="",0,INDEX(Transactions!$O:$O,ROW()-8))</f>
      </c>
      <c r="G251" s="30">
        <f>IF($A251="",0,INDEX(Transactions!$P:$P,ROW()-8))</f>
      </c>
    </row>
    <row r="252" spans="1:7" ht="15" customHeight="1" x14ac:dyDescent="0.15">
      <c r="A252">
        <f>IF(INDEX(Transactions!$J:$J,ROW()-8)="","",INDEX(Transactions!$J:$J,ROW()-8))</f>
      </c>
      <c r="B252" s="297">
        <f>IF($A252="",TODAY(),INDEX(Transactions!$G:$G,ROW()-8))</f>
      </c>
      <c r="C252" s="298">
        <f>IF($A252="","",INDEX(Transactions!$A:$A,ROW()-8))</f>
      </c>
      <c r="D252" s="30">
        <f>IF($A252="",0,INDEX(Transactions!$H:$H,ROW()-8))</f>
      </c>
      <c r="E252" s="300">
        <f>IF($A252="",1,INDEX(Transactions!$N:$N,ROW()-8))</f>
        <v>1</v>
      </c>
      <c r="F252" s="30">
        <f>IF($A252="",0,INDEX(Transactions!$O:$O,ROW()-8))</f>
      </c>
      <c r="G252" s="30">
        <f>IF($A252="",0,INDEX(Transactions!$P:$P,ROW()-8))</f>
      </c>
    </row>
    <row r="253" spans="1:7" ht="15" customHeight="1" x14ac:dyDescent="0.15">
      <c r="A253">
        <f>IF(INDEX(Transactions!$J:$J,ROW()-8)="","",INDEX(Transactions!$J:$J,ROW()-8))</f>
      </c>
      <c r="B253" s="297">
        <f>IF($A253="",TODAY(),INDEX(Transactions!$G:$G,ROW()-8))</f>
      </c>
      <c r="C253" s="298">
        <f>IF($A253="","",INDEX(Transactions!$A:$A,ROW()-8))</f>
      </c>
      <c r="D253" s="30">
        <f>IF($A253="",0,INDEX(Transactions!$H:$H,ROW()-8))</f>
      </c>
      <c r="E253" s="300">
        <f>IF($A253="",1,INDEX(Transactions!$N:$N,ROW()-8))</f>
        <v>1</v>
      </c>
      <c r="F253" s="30">
        <f>IF($A253="",0,INDEX(Transactions!$O:$O,ROW()-8))</f>
      </c>
      <c r="G253" s="30">
        <f>IF($A253="",0,INDEX(Transactions!$P:$P,ROW()-8))</f>
      </c>
    </row>
    <row r="254" spans="1:7" ht="15" customHeight="1" x14ac:dyDescent="0.15">
      <c r="A254">
        <f>IF(INDEX(Transactions!$J:$J,ROW()-8)="","",INDEX(Transactions!$J:$J,ROW()-8))</f>
      </c>
      <c r="B254" s="297">
        <f>IF($A254="",TODAY(),INDEX(Transactions!$G:$G,ROW()-8))</f>
      </c>
      <c r="C254" s="298">
        <f>IF($A254="","",INDEX(Transactions!$A:$A,ROW()-8))</f>
      </c>
      <c r="D254" s="30">
        <f>IF($A254="",0,INDEX(Transactions!$H:$H,ROW()-8))</f>
      </c>
      <c r="E254" s="300">
        <f>IF($A254="",1,INDEX(Transactions!$N:$N,ROW()-8))</f>
        <v>1</v>
      </c>
      <c r="F254" s="30">
        <f>IF($A254="",0,INDEX(Transactions!$O:$O,ROW()-8))</f>
      </c>
      <c r="G254" s="30">
        <f>IF($A254="",0,INDEX(Transactions!$P:$P,ROW()-8))</f>
      </c>
    </row>
    <row r="255" spans="1:7" ht="15" customHeight="1" x14ac:dyDescent="0.15">
      <c r="A255">
        <f>IF(INDEX(Transactions!$J:$J,ROW()-8)="","",INDEX(Transactions!$J:$J,ROW()-8))</f>
      </c>
      <c r="B255" s="297">
        <f>IF($A255="",TODAY(),INDEX(Transactions!$G:$G,ROW()-8))</f>
      </c>
      <c r="C255" s="298">
        <f>IF($A255="","",INDEX(Transactions!$A:$A,ROW()-8))</f>
      </c>
      <c r="D255" s="30">
        <f>IF($A255="",0,INDEX(Transactions!$H:$H,ROW()-8))</f>
      </c>
      <c r="E255" s="300">
        <f>IF($A255="",1,INDEX(Transactions!$N:$N,ROW()-8))</f>
        <v>1</v>
      </c>
      <c r="F255" s="30">
        <f>IF($A255="",0,INDEX(Transactions!$O:$O,ROW()-8))</f>
      </c>
      <c r="G255" s="30">
        <f>IF($A255="",0,INDEX(Transactions!$P:$P,ROW()-8))</f>
      </c>
    </row>
    <row r="256" spans="1:7" ht="15" customHeight="1" x14ac:dyDescent="0.15">
      <c r="A256">
        <f>IF(INDEX(Transactions!$J:$J,ROW()-8)="","",INDEX(Transactions!$J:$J,ROW()-8))</f>
      </c>
      <c r="B256" s="297">
        <f>IF($A256="",TODAY(),INDEX(Transactions!$G:$G,ROW()-8))</f>
      </c>
      <c r="C256" s="298">
        <f>IF($A256="","",INDEX(Transactions!$A:$A,ROW()-8))</f>
      </c>
      <c r="D256" s="30">
        <f>IF($A256="",0,INDEX(Transactions!$H:$H,ROW()-8))</f>
      </c>
      <c r="E256" s="300">
        <f>IF($A256="",1,INDEX(Transactions!$N:$N,ROW()-8))</f>
        <v>1</v>
      </c>
      <c r="F256" s="30">
        <f>IF($A256="",0,INDEX(Transactions!$O:$O,ROW()-8))</f>
      </c>
      <c r="G256" s="30">
        <f>IF($A256="",0,INDEX(Transactions!$P:$P,ROW()-8))</f>
      </c>
    </row>
    <row r="257" spans="1:7" ht="15" customHeight="1" x14ac:dyDescent="0.15">
      <c r="A257">
        <f>IF(INDEX(Transactions!$J:$J,ROW()-8)="","",INDEX(Transactions!$J:$J,ROW()-8))</f>
      </c>
      <c r="B257" s="297">
        <f>IF($A257="",TODAY(),INDEX(Transactions!$G:$G,ROW()-8))</f>
      </c>
      <c r="C257" s="298">
        <f>IF($A257="","",INDEX(Transactions!$A:$A,ROW()-8))</f>
      </c>
      <c r="D257" s="30">
        <f>IF($A257="",0,INDEX(Transactions!$H:$H,ROW()-8))</f>
      </c>
      <c r="E257" s="300">
        <f>IF($A257="",1,INDEX(Transactions!$N:$N,ROW()-8))</f>
        <v>1</v>
      </c>
      <c r="F257" s="30">
        <f>IF($A257="",0,INDEX(Transactions!$O:$O,ROW()-8))</f>
      </c>
      <c r="G257" s="30">
        <f>IF($A257="",0,INDEX(Transactions!$P:$P,ROW()-8))</f>
      </c>
    </row>
    <row r="258" spans="1:7" ht="15" customHeight="1" x14ac:dyDescent="0.15">
      <c r="A258">
        <f>IF(INDEX(Transactions!$J:$J,ROW()-8)="","",INDEX(Transactions!$J:$J,ROW()-8))</f>
      </c>
      <c r="B258" s="297">
        <f>IF($A258="",TODAY(),INDEX(Transactions!$G:$G,ROW()-8))</f>
      </c>
      <c r="C258" s="298">
        <f>IF($A258="","",INDEX(Transactions!$A:$A,ROW()-8))</f>
      </c>
      <c r="D258" s="30">
        <f>IF($A258="",0,INDEX(Transactions!$H:$H,ROW()-8))</f>
      </c>
      <c r="E258" s="300">
        <f>IF($A258="",1,INDEX(Transactions!$N:$N,ROW()-8))</f>
        <v>1</v>
      </c>
      <c r="F258" s="30">
        <f>IF($A258="",0,INDEX(Transactions!$O:$O,ROW()-8))</f>
      </c>
      <c r="G258" s="30">
        <f>IF($A258="",0,INDEX(Transactions!$P:$P,ROW()-8))</f>
      </c>
    </row>
    <row r="259" spans="1:7" ht="15" customHeight="1" x14ac:dyDescent="0.15">
      <c r="A259">
        <f>IF(INDEX(Transactions!$J:$J,ROW()-8)="","",INDEX(Transactions!$J:$J,ROW()-8))</f>
      </c>
      <c r="B259" s="297">
        <f>IF($A259="",TODAY(),INDEX(Transactions!$G:$G,ROW()-8))</f>
      </c>
      <c r="C259" s="298">
        <f>IF($A259="","",INDEX(Transactions!$A:$A,ROW()-8))</f>
      </c>
      <c r="D259" s="30">
        <f>IF($A259="",0,INDEX(Transactions!$H:$H,ROW()-8))</f>
      </c>
      <c r="E259" s="300">
        <f>IF($A259="",1,INDEX(Transactions!$N:$N,ROW()-8))</f>
        <v>1</v>
      </c>
      <c r="F259" s="30">
        <f>IF($A259="",0,INDEX(Transactions!$O:$O,ROW()-8))</f>
      </c>
      <c r="G259" s="30">
        <f>IF($A259="",0,INDEX(Transactions!$P:$P,ROW()-8))</f>
      </c>
    </row>
    <row r="260" spans="1:7" ht="15" customHeight="1" x14ac:dyDescent="0.15">
      <c r="A260">
        <f>IF(INDEX(Transactions!$J:$J,ROW()-8)="","",INDEX(Transactions!$J:$J,ROW()-8))</f>
      </c>
      <c r="B260" s="297">
        <f>IF($A260="",TODAY(),INDEX(Transactions!$G:$G,ROW()-8))</f>
      </c>
      <c r="C260" s="298">
        <f>IF($A260="","",INDEX(Transactions!$A:$A,ROW()-8))</f>
      </c>
      <c r="D260" s="30">
        <f>IF($A260="",0,INDEX(Transactions!$H:$H,ROW()-8))</f>
      </c>
      <c r="E260" s="300">
        <f>IF($A260="",1,INDEX(Transactions!$N:$N,ROW()-8))</f>
        <v>1</v>
      </c>
      <c r="F260" s="30">
        <f>IF($A260="",0,INDEX(Transactions!$O:$O,ROW()-8))</f>
      </c>
      <c r="G260" s="30">
        <f>IF($A260="",0,INDEX(Transactions!$P:$P,ROW()-8))</f>
      </c>
    </row>
    <row r="261" spans="1:7" ht="15" customHeight="1" x14ac:dyDescent="0.15">
      <c r="A261">
        <f>IF(INDEX(Transactions!$J:$J,ROW()-8)="","",INDEX(Transactions!$J:$J,ROW()-8))</f>
      </c>
      <c r="B261" s="297">
        <f>IF($A261="",TODAY(),INDEX(Transactions!$G:$G,ROW()-8))</f>
      </c>
      <c r="C261" s="298">
        <f>IF($A261="","",INDEX(Transactions!$A:$A,ROW()-8))</f>
      </c>
      <c r="D261" s="30">
        <f>IF($A261="",0,INDEX(Transactions!$H:$H,ROW()-8))</f>
      </c>
      <c r="E261" s="300">
        <f>IF($A261="",1,INDEX(Transactions!$N:$N,ROW()-8))</f>
        <v>1</v>
      </c>
      <c r="F261" s="30">
        <f>IF($A261="",0,INDEX(Transactions!$O:$O,ROW()-8))</f>
      </c>
      <c r="G261" s="30">
        <f>IF($A261="",0,INDEX(Transactions!$P:$P,ROW()-8))</f>
      </c>
    </row>
    <row r="262" spans="1:7" ht="15" customHeight="1" x14ac:dyDescent="0.15">
      <c r="A262">
        <f>IF(INDEX(Transactions!$J:$J,ROW()-8)="","",INDEX(Transactions!$J:$J,ROW()-8))</f>
      </c>
      <c r="B262" s="297">
        <f>IF($A262="",TODAY(),INDEX(Transactions!$G:$G,ROW()-8))</f>
      </c>
      <c r="C262" s="298">
        <f>IF($A262="","",INDEX(Transactions!$A:$A,ROW()-8))</f>
      </c>
      <c r="D262" s="30">
        <f>IF($A262="",0,INDEX(Transactions!$H:$H,ROW()-8))</f>
      </c>
      <c r="E262" s="300">
        <f>IF($A262="",1,INDEX(Transactions!$N:$N,ROW()-8))</f>
        <v>1</v>
      </c>
      <c r="F262" s="30">
        <f>IF($A262="",0,INDEX(Transactions!$O:$O,ROW()-8))</f>
      </c>
      <c r="G262" s="30">
        <f>IF($A262="",0,INDEX(Transactions!$P:$P,ROW()-8))</f>
      </c>
    </row>
    <row r="263" spans="1:7" ht="15" customHeight="1" x14ac:dyDescent="0.15">
      <c r="A263">
        <f>IF(INDEX(Transactions!$J:$J,ROW()-8)="","",INDEX(Transactions!$J:$J,ROW()-8))</f>
      </c>
      <c r="B263" s="297">
        <f>IF($A263="",TODAY(),INDEX(Transactions!$G:$G,ROW()-8))</f>
      </c>
      <c r="C263" s="298">
        <f>IF($A263="","",INDEX(Transactions!$A:$A,ROW()-8))</f>
      </c>
      <c r="D263" s="30">
        <f>IF($A263="",0,INDEX(Transactions!$H:$H,ROW()-8))</f>
      </c>
      <c r="E263" s="300">
        <f>IF($A263="",1,INDEX(Transactions!$N:$N,ROW()-8))</f>
        <v>1</v>
      </c>
      <c r="F263" s="30">
        <f>IF($A263="",0,INDEX(Transactions!$O:$O,ROW()-8))</f>
      </c>
      <c r="G263" s="30">
        <f>IF($A263="",0,INDEX(Transactions!$P:$P,ROW()-8))</f>
      </c>
    </row>
    <row r="264" spans="1:7" ht="15" customHeight="1" x14ac:dyDescent="0.15">
      <c r="A264">
        <f>IF(INDEX(Transactions!$J:$J,ROW()-8)="","",INDEX(Transactions!$J:$J,ROW()-8))</f>
      </c>
      <c r="B264" s="297">
        <f>IF($A264="",TODAY(),INDEX(Transactions!$G:$G,ROW()-8))</f>
      </c>
      <c r="C264" s="298">
        <f>IF($A264="","",INDEX(Transactions!$A:$A,ROW()-8))</f>
      </c>
      <c r="D264" s="30">
        <f>IF($A264="",0,INDEX(Transactions!$H:$H,ROW()-8))</f>
      </c>
      <c r="E264" s="300">
        <f>IF($A264="",1,INDEX(Transactions!$N:$N,ROW()-8))</f>
        <v>1</v>
      </c>
      <c r="F264" s="30">
        <f>IF($A264="",0,INDEX(Transactions!$O:$O,ROW()-8))</f>
      </c>
      <c r="G264" s="30">
        <f>IF($A264="",0,INDEX(Transactions!$P:$P,ROW()-8))</f>
      </c>
    </row>
    <row r="265" spans="1:7" ht="15" customHeight="1" x14ac:dyDescent="0.15">
      <c r="A265">
        <f>IF(INDEX(Transactions!$J:$J,ROW()-8)="","",INDEX(Transactions!$J:$J,ROW()-8))</f>
      </c>
      <c r="B265" s="297">
        <f>IF($A265="",TODAY(),INDEX(Transactions!$G:$G,ROW()-8))</f>
      </c>
      <c r="C265" s="298">
        <f>IF($A265="","",INDEX(Transactions!$A:$A,ROW()-8))</f>
      </c>
      <c r="D265" s="30">
        <f>IF($A265="",0,INDEX(Transactions!$H:$H,ROW()-8))</f>
      </c>
      <c r="E265" s="300">
        <f>IF($A265="",1,INDEX(Transactions!$N:$N,ROW()-8))</f>
        <v>1</v>
      </c>
      <c r="F265" s="30">
        <f>IF($A265="",0,INDEX(Transactions!$O:$O,ROW()-8))</f>
      </c>
      <c r="G265" s="30">
        <f>IF($A265="",0,INDEX(Transactions!$P:$P,ROW()-8))</f>
      </c>
    </row>
    <row r="266" spans="1:7" ht="15" customHeight="1" x14ac:dyDescent="0.15">
      <c r="A266">
        <f>IF(INDEX(Transactions!$J:$J,ROW()-8)="","",INDEX(Transactions!$J:$J,ROW()-8))</f>
      </c>
      <c r="B266" s="297">
        <f>IF($A266="",TODAY(),INDEX(Transactions!$G:$G,ROW()-8))</f>
      </c>
      <c r="C266" s="298">
        <f>IF($A266="","",INDEX(Transactions!$A:$A,ROW()-8))</f>
      </c>
      <c r="D266" s="30">
        <f>IF($A266="",0,INDEX(Transactions!$H:$H,ROW()-8))</f>
      </c>
      <c r="E266" s="300">
        <f>IF($A266="",1,INDEX(Transactions!$N:$N,ROW()-8))</f>
        <v>1</v>
      </c>
      <c r="F266" s="30">
        <f>IF($A266="",0,INDEX(Transactions!$O:$O,ROW()-8))</f>
      </c>
      <c r="G266" s="30">
        <f>IF($A266="",0,INDEX(Transactions!$P:$P,ROW()-8))</f>
      </c>
    </row>
    <row r="267" spans="1:7" ht="15" customHeight="1" x14ac:dyDescent="0.15">
      <c r="A267">
        <f>IF(INDEX(Transactions!$J:$J,ROW()-8)="","",INDEX(Transactions!$J:$J,ROW()-8))</f>
      </c>
      <c r="B267" s="297">
        <f>IF($A267="",TODAY(),INDEX(Transactions!$G:$G,ROW()-8))</f>
      </c>
      <c r="C267" s="298">
        <f>IF($A267="","",INDEX(Transactions!$A:$A,ROW()-8))</f>
      </c>
      <c r="D267" s="30">
        <f>IF($A267="",0,INDEX(Transactions!$H:$H,ROW()-8))</f>
      </c>
      <c r="E267" s="300">
        <f>IF($A267="",1,INDEX(Transactions!$N:$N,ROW()-8))</f>
        <v>1</v>
      </c>
      <c r="F267" s="30">
        <f>IF($A267="",0,INDEX(Transactions!$O:$O,ROW()-8))</f>
      </c>
      <c r="G267" s="30">
        <f>IF($A267="",0,INDEX(Transactions!$P:$P,ROW()-8))</f>
      </c>
    </row>
    <row r="268" spans="1:7" ht="15" customHeight="1" x14ac:dyDescent="0.15">
      <c r="A268">
        <f>IF(INDEX(Transactions!$J:$J,ROW()-8)="","",INDEX(Transactions!$J:$J,ROW()-8))</f>
      </c>
      <c r="B268" s="297">
        <f>IF($A268="",TODAY(),INDEX(Transactions!$G:$G,ROW()-8))</f>
      </c>
      <c r="C268" s="298">
        <f>IF($A268="","",INDEX(Transactions!$A:$A,ROW()-8))</f>
      </c>
      <c r="D268" s="30">
        <f>IF($A268="",0,INDEX(Transactions!$H:$H,ROW()-8))</f>
      </c>
      <c r="E268" s="300">
        <f>IF($A268="",1,INDEX(Transactions!$N:$N,ROW()-8))</f>
        <v>1</v>
      </c>
      <c r="F268" s="30">
        <f>IF($A268="",0,INDEX(Transactions!$O:$O,ROW()-8))</f>
      </c>
      <c r="G268" s="30">
        <f>IF($A268="",0,INDEX(Transactions!$P:$P,ROW()-8))</f>
      </c>
    </row>
    <row r="269" spans="1:7" ht="15" customHeight="1" x14ac:dyDescent="0.15">
      <c r="A269">
        <f>IF(INDEX(Transactions!$J:$J,ROW()-8)="","",INDEX(Transactions!$J:$J,ROW()-8))</f>
      </c>
      <c r="B269" s="297">
        <f>IF($A269="",TODAY(),INDEX(Transactions!$G:$G,ROW()-8))</f>
      </c>
      <c r="C269" s="298">
        <f>IF($A269="","",INDEX(Transactions!$A:$A,ROW()-8))</f>
      </c>
      <c r="D269" s="30">
        <f>IF($A269="",0,INDEX(Transactions!$H:$H,ROW()-8))</f>
      </c>
      <c r="E269" s="300">
        <f>IF($A269="",1,INDEX(Transactions!$N:$N,ROW()-8))</f>
        <v>1</v>
      </c>
      <c r="F269" s="30">
        <f>IF($A269="",0,INDEX(Transactions!$O:$O,ROW()-8))</f>
      </c>
      <c r="G269" s="30">
        <f>IF($A269="",0,INDEX(Transactions!$P:$P,ROW()-8))</f>
      </c>
    </row>
    <row r="270" spans="1:7" ht="15" customHeight="1" x14ac:dyDescent="0.15">
      <c r="A270">
        <f>IF(INDEX(Transactions!$J:$J,ROW()-8)="","",INDEX(Transactions!$J:$J,ROW()-8))</f>
      </c>
      <c r="B270" s="297">
        <f>IF($A270="",TODAY(),INDEX(Transactions!$G:$G,ROW()-8))</f>
      </c>
      <c r="C270" s="298">
        <f>IF($A270="","",INDEX(Transactions!$A:$A,ROW()-8))</f>
      </c>
      <c r="D270" s="30">
        <f>IF($A270="",0,INDEX(Transactions!$H:$H,ROW()-8))</f>
      </c>
      <c r="E270" s="300">
        <f>IF($A270="",1,INDEX(Transactions!$N:$N,ROW()-8))</f>
        <v>1</v>
      </c>
      <c r="F270" s="30">
        <f>IF($A270="",0,INDEX(Transactions!$O:$O,ROW()-8))</f>
      </c>
      <c r="G270" s="30">
        <f>IF($A270="",0,INDEX(Transactions!$P:$P,ROW()-8))</f>
      </c>
    </row>
    <row r="271" spans="1:7" ht="15" customHeight="1" x14ac:dyDescent="0.15">
      <c r="A271">
        <f>IF(INDEX(Transactions!$J:$J,ROW()-8)="","",INDEX(Transactions!$J:$J,ROW()-8))</f>
      </c>
      <c r="B271" s="297">
        <f>IF($A271="",TODAY(),INDEX(Transactions!$G:$G,ROW()-8))</f>
      </c>
      <c r="C271" s="298">
        <f>IF($A271="","",INDEX(Transactions!$A:$A,ROW()-8))</f>
      </c>
      <c r="D271" s="30">
        <f>IF($A271="",0,INDEX(Transactions!$H:$H,ROW()-8))</f>
      </c>
      <c r="E271" s="300">
        <f>IF($A271="",1,INDEX(Transactions!$N:$N,ROW()-8))</f>
        <v>1</v>
      </c>
      <c r="F271" s="30">
        <f>IF($A271="",0,INDEX(Transactions!$O:$O,ROW()-8))</f>
      </c>
      <c r="G271" s="30">
        <f>IF($A271="",0,INDEX(Transactions!$P:$P,ROW()-8))</f>
      </c>
    </row>
    <row r="272" spans="1:7" ht="15" customHeight="1" x14ac:dyDescent="0.15">
      <c r="A272">
        <f>IF(INDEX(Transactions!$J:$J,ROW()-8)="","",INDEX(Transactions!$J:$J,ROW()-8))</f>
      </c>
      <c r="B272" s="297">
        <f>IF($A272="",TODAY(),INDEX(Transactions!$G:$G,ROW()-8))</f>
      </c>
      <c r="C272" s="298">
        <f>IF($A272="","",INDEX(Transactions!$A:$A,ROW()-8))</f>
      </c>
      <c r="D272" s="30">
        <f>IF($A272="",0,INDEX(Transactions!$H:$H,ROW()-8))</f>
      </c>
      <c r="E272" s="300">
        <f>IF($A272="",1,INDEX(Transactions!$N:$N,ROW()-8))</f>
        <v>1</v>
      </c>
      <c r="F272" s="30">
        <f>IF($A272="",0,INDEX(Transactions!$O:$O,ROW()-8))</f>
      </c>
      <c r="G272" s="30">
        <f>IF($A272="",0,INDEX(Transactions!$P:$P,ROW()-8))</f>
      </c>
    </row>
    <row r="273" spans="1:7" ht="15" customHeight="1" x14ac:dyDescent="0.15">
      <c r="A273">
        <f>IF(INDEX(Transactions!$J:$J,ROW()-8)="","",INDEX(Transactions!$J:$J,ROW()-8))</f>
      </c>
      <c r="B273" s="297">
        <f>IF($A273="",TODAY(),INDEX(Transactions!$G:$G,ROW()-8))</f>
      </c>
      <c r="C273" s="298">
        <f>IF($A273="","",INDEX(Transactions!$A:$A,ROW()-8))</f>
      </c>
      <c r="D273" s="30">
        <f>IF($A273="",0,INDEX(Transactions!$H:$H,ROW()-8))</f>
      </c>
      <c r="E273" s="300">
        <f>IF($A273="",1,INDEX(Transactions!$N:$N,ROW()-8))</f>
        <v>1</v>
      </c>
      <c r="F273" s="30">
        <f>IF($A273="",0,INDEX(Transactions!$O:$O,ROW()-8))</f>
      </c>
      <c r="G273" s="30">
        <f>IF($A273="",0,INDEX(Transactions!$P:$P,ROW()-8))</f>
      </c>
    </row>
    <row r="274" spans="1:7" ht="15" customHeight="1" x14ac:dyDescent="0.15">
      <c r="A274">
        <f>IF(INDEX(Transactions!$J:$J,ROW()-8)="","",INDEX(Transactions!$J:$J,ROW()-8))</f>
      </c>
      <c r="B274" s="297">
        <f>IF($A274="",TODAY(),INDEX(Transactions!$G:$G,ROW()-8))</f>
      </c>
      <c r="C274" s="298">
        <f>IF($A274="","",INDEX(Transactions!$A:$A,ROW()-8))</f>
      </c>
      <c r="D274" s="30">
        <f>IF($A274="",0,INDEX(Transactions!$H:$H,ROW()-8))</f>
      </c>
      <c r="E274" s="300">
        <f>IF($A274="",1,INDEX(Transactions!$N:$N,ROW()-8))</f>
        <v>1</v>
      </c>
      <c r="F274" s="30">
        <f>IF($A274="",0,INDEX(Transactions!$O:$O,ROW()-8))</f>
      </c>
      <c r="G274" s="30">
        <f>IF($A274="",0,INDEX(Transactions!$P:$P,ROW()-8))</f>
      </c>
    </row>
    <row r="275" spans="1:7" ht="15" customHeight="1" x14ac:dyDescent="0.15">
      <c r="A275">
        <f>IF(INDEX(Transactions!$J:$J,ROW()-8)="","",INDEX(Transactions!$J:$J,ROW()-8))</f>
      </c>
      <c r="B275" s="297">
        <f>IF($A275="",TODAY(),INDEX(Transactions!$G:$G,ROW()-8))</f>
      </c>
      <c r="C275" s="298">
        <f>IF($A275="","",INDEX(Transactions!$A:$A,ROW()-8))</f>
      </c>
      <c r="D275" s="30">
        <f>IF($A275="",0,INDEX(Transactions!$H:$H,ROW()-8))</f>
      </c>
      <c r="E275" s="300">
        <f>IF($A275="",1,INDEX(Transactions!$N:$N,ROW()-8))</f>
        <v>1</v>
      </c>
      <c r="F275" s="30">
        <f>IF($A275="",0,INDEX(Transactions!$O:$O,ROW()-8))</f>
      </c>
      <c r="G275" s="30">
        <f>IF($A275="",0,INDEX(Transactions!$P:$P,ROW()-8))</f>
      </c>
    </row>
    <row r="276" spans="1:7" ht="15" customHeight="1" x14ac:dyDescent="0.15">
      <c r="A276">
        <f>IF(INDEX(Transactions!$J:$J,ROW()-8)="","",INDEX(Transactions!$J:$J,ROW()-8))</f>
      </c>
      <c r="B276" s="297">
        <f>IF($A276="",TODAY(),INDEX(Transactions!$G:$G,ROW()-8))</f>
      </c>
      <c r="C276" s="298">
        <f>IF($A276="","",INDEX(Transactions!$A:$A,ROW()-8))</f>
      </c>
      <c r="D276" s="30">
        <f>IF($A276="",0,INDEX(Transactions!$H:$H,ROW()-8))</f>
      </c>
      <c r="E276" s="300">
        <f>IF($A276="",1,INDEX(Transactions!$N:$N,ROW()-8))</f>
        <v>1</v>
      </c>
      <c r="F276" s="30">
        <f>IF($A276="",0,INDEX(Transactions!$O:$O,ROW()-8))</f>
      </c>
      <c r="G276" s="30">
        <f>IF($A276="",0,INDEX(Transactions!$P:$P,ROW()-8))</f>
      </c>
    </row>
    <row r="277" spans="1:7" ht="15" customHeight="1" x14ac:dyDescent="0.15">
      <c r="A277">
        <f>IF(INDEX(Transactions!$J:$J,ROW()-8)="","",INDEX(Transactions!$J:$J,ROW()-8))</f>
      </c>
      <c r="B277" s="297">
        <f>IF($A277="",TODAY(),INDEX(Transactions!$G:$G,ROW()-8))</f>
      </c>
      <c r="C277" s="298">
        <f>IF($A277="","",INDEX(Transactions!$A:$A,ROW()-8))</f>
      </c>
      <c r="D277" s="30">
        <f>IF($A277="",0,INDEX(Transactions!$H:$H,ROW()-8))</f>
      </c>
      <c r="E277" s="300">
        <f>IF($A277="",1,INDEX(Transactions!$N:$N,ROW()-8))</f>
        <v>1</v>
      </c>
      <c r="F277" s="30">
        <f>IF($A277="",0,INDEX(Transactions!$O:$O,ROW()-8))</f>
      </c>
      <c r="G277" s="30">
        <f>IF($A277="",0,INDEX(Transactions!$P:$P,ROW()-8))</f>
      </c>
    </row>
    <row r="278" spans="1:7" ht="15" customHeight="1" x14ac:dyDescent="0.15">
      <c r="A278">
        <f>IF(INDEX(Transactions!$J:$J,ROW()-8)="","",INDEX(Transactions!$J:$J,ROW()-8))</f>
      </c>
      <c r="B278" s="297">
        <f>IF($A278="",TODAY(),INDEX(Transactions!$G:$G,ROW()-8))</f>
      </c>
      <c r="C278" s="298">
        <f>IF($A278="","",INDEX(Transactions!$A:$A,ROW()-8))</f>
      </c>
      <c r="D278" s="30">
        <f>IF($A278="",0,INDEX(Transactions!$H:$H,ROW()-8))</f>
      </c>
      <c r="E278" s="300">
        <f>IF($A278="",1,INDEX(Transactions!$N:$N,ROW()-8))</f>
        <v>1</v>
      </c>
      <c r="F278" s="30">
        <f>IF($A278="",0,INDEX(Transactions!$O:$O,ROW()-8))</f>
      </c>
      <c r="G278" s="30">
        <f>IF($A278="",0,INDEX(Transactions!$P:$P,ROW()-8))</f>
      </c>
    </row>
    <row r="279" spans="1:7" ht="15" customHeight="1" x14ac:dyDescent="0.15">
      <c r="A279">
        <f>IF(INDEX(Transactions!$J:$J,ROW()-8)="","",INDEX(Transactions!$J:$J,ROW()-8))</f>
      </c>
      <c r="B279" s="297">
        <f>IF($A279="",TODAY(),INDEX(Transactions!$G:$G,ROW()-8))</f>
      </c>
      <c r="C279" s="298">
        <f>IF($A279="","",INDEX(Transactions!$A:$A,ROW()-8))</f>
      </c>
      <c r="D279" s="30">
        <f>IF($A279="",0,INDEX(Transactions!$H:$H,ROW()-8))</f>
      </c>
      <c r="E279" s="300">
        <f>IF($A279="",1,INDEX(Transactions!$N:$N,ROW()-8))</f>
        <v>1</v>
      </c>
      <c r="F279" s="30">
        <f>IF($A279="",0,INDEX(Transactions!$O:$O,ROW()-8))</f>
      </c>
      <c r="G279" s="30">
        <f>IF($A279="",0,INDEX(Transactions!$P:$P,ROW()-8))</f>
      </c>
    </row>
    <row r="280" spans="1:7" ht="15" customHeight="1" x14ac:dyDescent="0.15">
      <c r="A280">
        <f>IF(INDEX(Transactions!$J:$J,ROW()-8)="","",INDEX(Transactions!$J:$J,ROW()-8))</f>
      </c>
      <c r="B280" s="297">
        <f>IF($A280="",TODAY(),INDEX(Transactions!$G:$G,ROW()-8))</f>
      </c>
      <c r="C280" s="298">
        <f>IF($A280="","",INDEX(Transactions!$A:$A,ROW()-8))</f>
      </c>
      <c r="D280" s="30">
        <f>IF($A280="",0,INDEX(Transactions!$H:$H,ROW()-8))</f>
      </c>
      <c r="E280" s="300">
        <f>IF($A280="",1,INDEX(Transactions!$N:$N,ROW()-8))</f>
        <v>1</v>
      </c>
      <c r="F280" s="30">
        <f>IF($A280="",0,INDEX(Transactions!$O:$O,ROW()-8))</f>
      </c>
      <c r="G280" s="30">
        <f>IF($A280="",0,INDEX(Transactions!$P:$P,ROW()-8))</f>
      </c>
    </row>
    <row r="281" spans="1:7" ht="15" customHeight="1" x14ac:dyDescent="0.15">
      <c r="A281">
        <f>IF(INDEX(Transactions!$J:$J,ROW()-8)="","",INDEX(Transactions!$J:$J,ROW()-8))</f>
      </c>
      <c r="B281" s="297">
        <f>IF($A281="",TODAY(),INDEX(Transactions!$G:$G,ROW()-8))</f>
      </c>
      <c r="C281" s="298">
        <f>IF($A281="","",INDEX(Transactions!$A:$A,ROW()-8))</f>
      </c>
      <c r="D281" s="30">
        <f>IF($A281="",0,INDEX(Transactions!$H:$H,ROW()-8))</f>
      </c>
      <c r="E281" s="300">
        <f>IF($A281="",1,INDEX(Transactions!$N:$N,ROW()-8))</f>
        <v>1</v>
      </c>
      <c r="F281" s="30">
        <f>IF($A281="",0,INDEX(Transactions!$O:$O,ROW()-8))</f>
      </c>
      <c r="G281" s="30">
        <f>IF($A281="",0,INDEX(Transactions!$P:$P,ROW()-8))</f>
      </c>
    </row>
    <row r="282" spans="1:7" ht="15" customHeight="1" x14ac:dyDescent="0.15">
      <c r="A282">
        <f>IF(INDEX(Transactions!$J:$J,ROW()-8)="","",INDEX(Transactions!$J:$J,ROW()-8))</f>
      </c>
      <c r="B282" s="297">
        <f>IF($A282="",TODAY(),INDEX(Transactions!$G:$G,ROW()-8))</f>
      </c>
      <c r="C282" s="298">
        <f>IF($A282="","",INDEX(Transactions!$A:$A,ROW()-8))</f>
      </c>
      <c r="D282" s="30">
        <f>IF($A282="",0,INDEX(Transactions!$H:$H,ROW()-8))</f>
      </c>
      <c r="E282" s="300">
        <f>IF($A282="",1,INDEX(Transactions!$N:$N,ROW()-8))</f>
        <v>1</v>
      </c>
      <c r="F282" s="30">
        <f>IF($A282="",0,INDEX(Transactions!$O:$O,ROW()-8))</f>
      </c>
      <c r="G282" s="30">
        <f>IF($A282="",0,INDEX(Transactions!$P:$P,ROW()-8))</f>
      </c>
    </row>
    <row r="283" spans="1:7" ht="15" customHeight="1" x14ac:dyDescent="0.15">
      <c r="A283">
        <f>IF(INDEX(Transactions!$J:$J,ROW()-8)="","",INDEX(Transactions!$J:$J,ROW()-8))</f>
      </c>
      <c r="B283" s="297">
        <f>IF($A283="",TODAY(),INDEX(Transactions!$G:$G,ROW()-8))</f>
      </c>
      <c r="C283" s="298">
        <f>IF($A283="","",INDEX(Transactions!$A:$A,ROW()-8))</f>
      </c>
      <c r="D283" s="30">
        <f>IF($A283="",0,INDEX(Transactions!$H:$H,ROW()-8))</f>
      </c>
      <c r="E283" s="300">
        <f>IF($A283="",1,INDEX(Transactions!$N:$N,ROW()-8))</f>
        <v>1</v>
      </c>
      <c r="F283" s="30">
        <f>IF($A283="",0,INDEX(Transactions!$O:$O,ROW()-8))</f>
      </c>
      <c r="G283" s="30">
        <f>IF($A283="",0,INDEX(Transactions!$P:$P,ROW()-8))</f>
      </c>
    </row>
    <row r="284" spans="1:7" ht="15" customHeight="1" x14ac:dyDescent="0.15">
      <c r="A284">
        <f>IF(INDEX(Transactions!$J:$J,ROW()-8)="","",INDEX(Transactions!$J:$J,ROW()-8))</f>
      </c>
      <c r="B284" s="297">
        <f>IF($A284="",TODAY(),INDEX(Transactions!$G:$G,ROW()-8))</f>
      </c>
      <c r="C284" s="298">
        <f>IF($A284="","",INDEX(Transactions!$A:$A,ROW()-8))</f>
      </c>
      <c r="D284" s="30">
        <f>IF($A284="",0,INDEX(Transactions!$H:$H,ROW()-8))</f>
      </c>
      <c r="E284" s="300">
        <f>IF($A284="",1,INDEX(Transactions!$N:$N,ROW()-8))</f>
        <v>1</v>
      </c>
      <c r="F284" s="30">
        <f>IF($A284="",0,INDEX(Transactions!$O:$O,ROW()-8))</f>
      </c>
      <c r="G284" s="30">
        <f>IF($A284="",0,INDEX(Transactions!$P:$P,ROW()-8))</f>
      </c>
    </row>
    <row r="285" spans="1:7" ht="15" customHeight="1" x14ac:dyDescent="0.15">
      <c r="A285">
        <f>IF(INDEX(Transactions!$J:$J,ROW()-8)="","",INDEX(Transactions!$J:$J,ROW()-8))</f>
      </c>
      <c r="B285" s="297">
        <f>IF($A285="",TODAY(),INDEX(Transactions!$G:$G,ROW()-8))</f>
      </c>
      <c r="C285" s="298">
        <f>IF($A285="","",INDEX(Transactions!$A:$A,ROW()-8))</f>
      </c>
      <c r="D285" s="30">
        <f>IF($A285="",0,INDEX(Transactions!$H:$H,ROW()-8))</f>
      </c>
      <c r="E285" s="300">
        <f>IF($A285="",1,INDEX(Transactions!$N:$N,ROW()-8))</f>
        <v>1</v>
      </c>
      <c r="F285" s="30">
        <f>IF($A285="",0,INDEX(Transactions!$O:$O,ROW()-8))</f>
      </c>
      <c r="G285" s="30">
        <f>IF($A285="",0,INDEX(Transactions!$P:$P,ROW()-8))</f>
      </c>
    </row>
    <row r="286" spans="1:7" ht="15" customHeight="1" x14ac:dyDescent="0.15">
      <c r="A286">
        <f>IF(INDEX(Transactions!$J:$J,ROW()-8)="","",INDEX(Transactions!$J:$J,ROW()-8))</f>
      </c>
      <c r="B286" s="297">
        <f>IF($A286="",TODAY(),INDEX(Transactions!$G:$G,ROW()-8))</f>
      </c>
      <c r="C286" s="298">
        <f>IF($A286="","",INDEX(Transactions!$A:$A,ROW()-8))</f>
      </c>
      <c r="D286" s="30">
        <f>IF($A286="",0,INDEX(Transactions!$H:$H,ROW()-8))</f>
      </c>
      <c r="E286" s="300">
        <f>IF($A286="",1,INDEX(Transactions!$N:$N,ROW()-8))</f>
        <v>1</v>
      </c>
      <c r="F286" s="30">
        <f>IF($A286="",0,INDEX(Transactions!$O:$O,ROW()-8))</f>
      </c>
      <c r="G286" s="30">
        <f>IF($A286="",0,INDEX(Transactions!$P:$P,ROW()-8))</f>
      </c>
    </row>
    <row r="287" spans="1:7" ht="15" customHeight="1" x14ac:dyDescent="0.15">
      <c r="A287">
        <f>IF(INDEX(Transactions!$J:$J,ROW()-8)="","",INDEX(Transactions!$J:$J,ROW()-8))</f>
      </c>
      <c r="B287" s="297">
        <f>IF($A287="",TODAY(),INDEX(Transactions!$G:$G,ROW()-8))</f>
      </c>
      <c r="C287" s="298">
        <f>IF($A287="","",INDEX(Transactions!$A:$A,ROW()-8))</f>
      </c>
      <c r="D287" s="30">
        <f>IF($A287="",0,INDEX(Transactions!$H:$H,ROW()-8))</f>
      </c>
      <c r="E287" s="300">
        <f>IF($A287="",1,INDEX(Transactions!$N:$N,ROW()-8))</f>
        <v>1</v>
      </c>
      <c r="F287" s="30">
        <f>IF($A287="",0,INDEX(Transactions!$O:$O,ROW()-8))</f>
      </c>
      <c r="G287" s="30">
        <f>IF($A287="",0,INDEX(Transactions!$P:$P,ROW()-8))</f>
      </c>
    </row>
    <row r="288" spans="1:7" ht="15" customHeight="1" x14ac:dyDescent="0.15">
      <c r="A288">
        <f>IF(INDEX(Transactions!$J:$J,ROW()-8)="","",INDEX(Transactions!$J:$J,ROW()-8))</f>
      </c>
      <c r="B288" s="297">
        <f>IF($A288="",TODAY(),INDEX(Transactions!$G:$G,ROW()-8))</f>
      </c>
      <c r="C288" s="298">
        <f>IF($A288="","",INDEX(Transactions!$A:$A,ROW()-8))</f>
      </c>
      <c r="D288" s="30">
        <f>IF($A288="",0,INDEX(Transactions!$H:$H,ROW()-8))</f>
      </c>
      <c r="E288" s="300">
        <f>IF($A288="",1,INDEX(Transactions!$N:$N,ROW()-8))</f>
        <v>1</v>
      </c>
      <c r="F288" s="30">
        <f>IF($A288="",0,INDEX(Transactions!$O:$O,ROW()-8))</f>
      </c>
      <c r="G288" s="30">
        <f>IF($A288="",0,INDEX(Transactions!$P:$P,ROW()-8))</f>
      </c>
    </row>
    <row r="289" spans="1:7" ht="15" customHeight="1" x14ac:dyDescent="0.15">
      <c r="A289">
        <f>IF(INDEX(Transactions!$J:$J,ROW()-8)="","",INDEX(Transactions!$J:$J,ROW()-8))</f>
      </c>
      <c r="B289" s="297">
        <f>IF($A289="",TODAY(),INDEX(Transactions!$G:$G,ROW()-8))</f>
      </c>
      <c r="C289" s="298">
        <f>IF($A289="","",INDEX(Transactions!$A:$A,ROW()-8))</f>
      </c>
      <c r="D289" s="30">
        <f>IF($A289="",0,INDEX(Transactions!$H:$H,ROW()-8))</f>
      </c>
      <c r="E289" s="300">
        <f>IF($A289="",1,INDEX(Transactions!$N:$N,ROW()-8))</f>
        <v>1</v>
      </c>
      <c r="F289" s="30">
        <f>IF($A289="",0,INDEX(Transactions!$O:$O,ROW()-8))</f>
      </c>
      <c r="G289" s="30">
        <f>IF($A289="",0,INDEX(Transactions!$P:$P,ROW()-8))</f>
      </c>
    </row>
    <row r="290" spans="1:7" ht="15" customHeight="1" x14ac:dyDescent="0.15">
      <c r="A290">
        <f>IF(INDEX(Transactions!$J:$J,ROW()-8)="","",INDEX(Transactions!$J:$J,ROW()-8))</f>
      </c>
      <c r="B290" s="297">
        <f>IF($A290="",TODAY(),INDEX(Transactions!$G:$G,ROW()-8))</f>
      </c>
      <c r="C290" s="298">
        <f>IF($A290="","",INDEX(Transactions!$A:$A,ROW()-8))</f>
      </c>
      <c r="D290" s="30">
        <f>IF($A290="",0,INDEX(Transactions!$H:$H,ROW()-8))</f>
      </c>
      <c r="E290" s="300">
        <f>IF($A290="",1,INDEX(Transactions!$N:$N,ROW()-8))</f>
        <v>1</v>
      </c>
      <c r="F290" s="30">
        <f>IF($A290="",0,INDEX(Transactions!$O:$O,ROW()-8))</f>
      </c>
      <c r="G290" s="30">
        <f>IF($A290="",0,INDEX(Transactions!$P:$P,ROW()-8))</f>
      </c>
    </row>
    <row r="291" spans="1:7" ht="15" customHeight="1" x14ac:dyDescent="0.15">
      <c r="A291">
        <f>IF(INDEX(Transactions!$J:$J,ROW()-8)="","",INDEX(Transactions!$J:$J,ROW()-8))</f>
      </c>
      <c r="B291" s="297">
        <f>IF($A291="",TODAY(),INDEX(Transactions!$G:$G,ROW()-8))</f>
      </c>
      <c r="C291" s="298">
        <f>IF($A291="","",INDEX(Transactions!$A:$A,ROW()-8))</f>
      </c>
      <c r="D291" s="30">
        <f>IF($A291="",0,INDEX(Transactions!$H:$H,ROW()-8))</f>
      </c>
      <c r="E291" s="299">
        <f>IF($A291="",1,INDEX(Transactions!$N:$N,ROW()-8))</f>
        <v>1</v>
      </c>
      <c r="F291" s="30">
        <f>IF($A291="",0,INDEX(Transactions!$O:$O,ROW()-8))</f>
      </c>
      <c r="G291" s="30">
        <f>IF($A291="",0,INDEX(Transactions!$P:$P,ROW()-8))</f>
      </c>
    </row>
    <row r="292" spans="1:7" ht="15" customHeight="1" x14ac:dyDescent="0.15">
      <c r="A292">
        <f>IF(INDEX(Transactions!$J:$J,ROW()-8)="","",INDEX(Transactions!$J:$J,ROW()-8))</f>
      </c>
      <c r="B292" s="297">
        <f>IF($A292="",TODAY(),INDEX(Transactions!$G:$G,ROW()-8))</f>
      </c>
      <c r="C292" s="298">
        <f>IF($A292="","",INDEX(Transactions!$A:$A,ROW()-8))</f>
      </c>
      <c r="D292" s="30">
        <f>IF($A292="",0,INDEX(Transactions!$H:$H,ROW()-8))</f>
      </c>
      <c r="E292" s="299">
        <f>IF($A292="",1,INDEX(Transactions!$N:$N,ROW()-8))</f>
        <v>1</v>
      </c>
      <c r="F292" s="30">
        <f>IF($A292="",0,INDEX(Transactions!$O:$O,ROW()-8))</f>
      </c>
      <c r="G292" s="30">
        <f>IF($A292="",0,INDEX(Transactions!$P:$P,ROW()-8))</f>
      </c>
    </row>
    <row r="293" spans="1:7" ht="15" customHeight="1" x14ac:dyDescent="0.15">
      <c r="A293">
        <f>IF(INDEX(Transactions!$J:$J,ROW()-8)="","",INDEX(Transactions!$J:$J,ROW()-8))</f>
      </c>
      <c r="B293" s="297">
        <f>IF($A293="",TODAY(),INDEX(Transactions!$G:$G,ROW()-8))</f>
      </c>
      <c r="C293" s="298">
        <f>IF($A293="","",INDEX(Transactions!$A:$A,ROW()-8))</f>
      </c>
      <c r="D293" s="30">
        <f>IF($A293="",0,INDEX(Transactions!$H:$H,ROW()-8))</f>
      </c>
      <c r="E293" s="300">
        <f>IF($A293="",1,INDEX(Transactions!$N:$N,ROW()-8))</f>
        <v>1</v>
      </c>
      <c r="F293" s="30">
        <f>IF($A293="",0,INDEX(Transactions!$O:$O,ROW()-8))</f>
      </c>
      <c r="G293" s="30">
        <f>IF($A293="",0,INDEX(Transactions!$P:$P,ROW()-8))</f>
      </c>
    </row>
    <row r="294" spans="1:7" ht="15" customHeight="1" x14ac:dyDescent="0.15">
      <c r="A294">
        <f>IF(INDEX(Transactions!$J:$J,ROW()-8)="","",INDEX(Transactions!$J:$J,ROW()-8))</f>
      </c>
      <c r="B294" s="297">
        <f>IF($A294="",TODAY(),INDEX(Transactions!$G:$G,ROW()-8))</f>
      </c>
      <c r="C294">
        <f>IF($A294="","",INDEX(Transactions!$A:$A,ROW()-8))</f>
      </c>
      <c r="D294" s="30">
        <f>IF($A294="",0,INDEX(Transactions!$H:$H,ROW()-8))</f>
      </c>
      <c r="E294">
        <f>IF($A294="",1,INDEX(Transactions!$N:$N,ROW()-8))</f>
        <v>1</v>
      </c>
      <c r="F294" s="30">
        <f>IF($A294="",0,INDEX(Transactions!$O:$O,ROW()-8))</f>
      </c>
      <c r="G294" s="30">
        <f>IF($A294="",0,INDEX(Transactions!$P:$P,ROW()-8))</f>
      </c>
    </row>
    <row r="295" spans="1:7" ht="15" customHeight="1" x14ac:dyDescent="0.15">
      <c r="A295">
        <f>IF(INDEX(Transactions!$J:$J,ROW()-8)="","",INDEX(Transactions!$J:$J,ROW()-8))</f>
      </c>
      <c r="B295" s="297">
        <f>IF($A295="",TODAY(),INDEX(Transactions!$G:$G,ROW()-8))</f>
      </c>
      <c r="C295">
        <f>IF($A295="","",INDEX(Transactions!$A:$A,ROW()-8))</f>
      </c>
      <c r="D295" s="30">
        <f>IF($A295="",0,INDEX(Transactions!$H:$H,ROW()-8))</f>
      </c>
      <c r="E295">
        <f>IF($A295="",1,INDEX(Transactions!$N:$N,ROW()-8))</f>
        <v>1</v>
      </c>
      <c r="F295" s="30">
        <f>IF($A295="",0,INDEX(Transactions!$O:$O,ROW()-8))</f>
      </c>
      <c r="G295" s="30">
        <f>IF($A295="",0,INDEX(Transactions!$P:$P,ROW()-8))</f>
      </c>
    </row>
    <row r="296" spans="1:7" ht="15" customHeight="1" x14ac:dyDescent="0.15">
      <c r="A296">
        <f>IF(INDEX(Transactions!$J:$J,ROW()-8)="","",INDEX(Transactions!$J:$J,ROW()-8))</f>
      </c>
      <c r="B296" s="297">
        <f>IF($A296="",TODAY(),INDEX(Transactions!$G:$G,ROW()-8))</f>
      </c>
      <c r="C296">
        <f>IF($A296="","",INDEX(Transactions!$A:$A,ROW()-8))</f>
      </c>
      <c r="D296" s="30">
        <f>IF($A296="",0,INDEX(Transactions!$H:$H,ROW()-8))</f>
      </c>
      <c r="E296">
        <f>IF($A296="",1,INDEX(Transactions!$N:$N,ROW()-8))</f>
        <v>1</v>
      </c>
      <c r="F296" s="30">
        <f>IF($A296="",0,INDEX(Transactions!$O:$O,ROW()-8))</f>
      </c>
      <c r="G296" s="30">
        <f>IF($A296="",0,INDEX(Transactions!$P:$P,ROW()-8))</f>
      </c>
    </row>
    <row r="297" spans="1:7" ht="15" customHeight="1" x14ac:dyDescent="0.15">
      <c r="A297">
        <f>IF(INDEX(Transactions!$J:$J,ROW()-8)="","",INDEX(Transactions!$J:$J,ROW()-8))</f>
      </c>
      <c r="B297" s="297">
        <f>IF($A297="",TODAY(),INDEX(Transactions!$G:$G,ROW()-8))</f>
      </c>
      <c r="C297">
        <f>IF($A297="","",INDEX(Transactions!$A:$A,ROW()-8))</f>
      </c>
      <c r="D297" s="30">
        <f>IF($A297="",0,INDEX(Transactions!$H:$H,ROW()-8))</f>
      </c>
      <c r="E297">
        <f>IF($A297="",1,INDEX(Transactions!$N:$N,ROW()-8))</f>
        <v>1</v>
      </c>
      <c r="F297" s="30">
        <f>IF($A297="",0,INDEX(Transactions!$O:$O,ROW()-8))</f>
      </c>
      <c r="G297" s="30">
        <f>IF($A297="",0,INDEX(Transactions!$P:$P,ROW()-8))</f>
      </c>
    </row>
    <row r="298" spans="1:7" ht="15" customHeight="1" x14ac:dyDescent="0.15">
      <c r="A298">
        <f>IF(INDEX(Transactions!$J:$J,ROW()-8)="","",INDEX(Transactions!$J:$J,ROW()-8))</f>
      </c>
      <c r="B298" s="297">
        <f>IF($A298="",TODAY(),INDEX(Transactions!$G:$G,ROW()-8))</f>
      </c>
      <c r="C298">
        <f>IF($A298="","",INDEX(Transactions!$A:$A,ROW()-8))</f>
      </c>
      <c r="D298" s="30">
        <f>IF($A298="",0,INDEX(Transactions!$H:$H,ROW()-8))</f>
      </c>
      <c r="E298">
        <f>IF($A298="",1,INDEX(Transactions!$N:$N,ROW()-8))</f>
        <v>1</v>
      </c>
      <c r="F298" s="30">
        <f>IF($A298="",0,INDEX(Transactions!$O:$O,ROW()-8))</f>
      </c>
      <c r="G298" s="30">
        <f>IF($A298="",0,INDEX(Transactions!$P:$P,ROW()-8))</f>
      </c>
    </row>
    <row r="299" spans="1:7" ht="15" customHeight="1" x14ac:dyDescent="0.15">
      <c r="A299">
        <f>IF(INDEX(Transactions!$J:$J,ROW()-8)="","",INDEX(Transactions!$J:$J,ROW()-8))</f>
      </c>
      <c r="B299" s="297">
        <f>IF($A299="",TODAY(),INDEX(Transactions!$G:$G,ROW()-8))</f>
      </c>
      <c r="C299">
        <f>IF($A299="","",INDEX(Transactions!$A:$A,ROW()-8))</f>
      </c>
      <c r="D299" s="30">
        <f>IF($A299="",0,INDEX(Transactions!$H:$H,ROW()-8))</f>
      </c>
      <c r="E299">
        <f>IF($A299="",1,INDEX(Transactions!$N:$N,ROW()-8))</f>
        <v>1</v>
      </c>
      <c r="F299" s="30">
        <f>IF($A299="",0,INDEX(Transactions!$O:$O,ROW()-8))</f>
      </c>
      <c r="G299" s="30">
        <f>IF($A299="",0,INDEX(Transactions!$P:$P,ROW()-8))</f>
      </c>
    </row>
    <row r="300" spans="1:7" ht="15" customHeight="1" x14ac:dyDescent="0.15">
      <c r="A300">
        <f>IF(INDEX(Transactions!$J:$J,ROW()-8)="","",INDEX(Transactions!$J:$J,ROW()-8))</f>
      </c>
      <c r="B300" s="297">
        <f>IF($A300="",TODAY(),INDEX(Transactions!$G:$G,ROW()-8))</f>
      </c>
      <c r="C300">
        <f>IF($A300="","",INDEX(Transactions!$A:$A,ROW()-8))</f>
      </c>
      <c r="D300" s="30">
        <f>IF($A300="",0,INDEX(Transactions!$H:$H,ROW()-8))</f>
      </c>
      <c r="E300">
        <f>IF($A300="",1,INDEX(Transactions!$N:$N,ROW()-8))</f>
        <v>1</v>
      </c>
      <c r="F300" s="30">
        <f>IF($A300="",0,INDEX(Transactions!$O:$O,ROW()-8))</f>
      </c>
      <c r="G300" s="30">
        <f>IF($A300="",0,INDEX(Transactions!$P:$P,ROW()-8))</f>
      </c>
    </row>
    <row r="301" spans="1:7" ht="15" customHeight="1" x14ac:dyDescent="0.15">
      <c r="A301">
        <f>IF(INDEX(Transactions!$J:$J,ROW()-8)="","",INDEX(Transactions!$J:$J,ROW()-8))</f>
      </c>
      <c r="B301" s="297">
        <f>IF($A301="",TODAY(),INDEX(Transactions!$G:$G,ROW()-8))</f>
      </c>
      <c r="C301">
        <f>IF($A301="","",INDEX(Transactions!$A:$A,ROW()-8))</f>
      </c>
      <c r="D301" s="30">
        <f>IF($A301="",0,INDEX(Transactions!$H:$H,ROW()-8))</f>
      </c>
      <c r="E301">
        <f>IF($A301="",1,INDEX(Transactions!$N:$N,ROW()-8))</f>
        <v>1</v>
      </c>
      <c r="F301" s="30">
        <f>IF($A301="",0,INDEX(Transactions!$O:$O,ROW()-8))</f>
      </c>
      <c r="G301" s="30">
        <f>IF($A301="",0,INDEX(Transactions!$P:$P,ROW()-8))</f>
      </c>
    </row>
    <row r="302" spans="1:7" ht="15" customHeight="1" x14ac:dyDescent="0.15">
      <c r="A302">
        <f>IF(INDEX(Transactions!$J:$J,ROW()-8)="","",INDEX(Transactions!$J:$J,ROW()-8))</f>
      </c>
      <c r="B302" s="297">
        <f>IF($A302="",TODAY(),INDEX(Transactions!$G:$G,ROW()-8))</f>
      </c>
      <c r="C302">
        <f>IF($A302="","",INDEX(Transactions!$A:$A,ROW()-8))</f>
      </c>
      <c r="D302" s="30">
        <f>IF($A302="",0,INDEX(Transactions!$H:$H,ROW()-8))</f>
      </c>
      <c r="E302">
        <f>IF($A302="",1,INDEX(Transactions!$N:$N,ROW()-8))</f>
        <v>1</v>
      </c>
      <c r="F302" s="30">
        <f>IF($A302="",0,INDEX(Transactions!$O:$O,ROW()-8))</f>
      </c>
      <c r="G302" s="30">
        <f>IF($A302="",0,INDEX(Transactions!$P:$P,ROW()-8))</f>
      </c>
    </row>
    <row r="303" spans="1:7" ht="15" customHeight="1" x14ac:dyDescent="0.15">
      <c r="A303">
        <f>IF(INDEX(Transactions!$J:$J,ROW()-8)="","",INDEX(Transactions!$J:$J,ROW()-8))</f>
      </c>
      <c r="B303" s="297">
        <f>IF($A303="",TODAY(),INDEX(Transactions!$G:$G,ROW()-8))</f>
      </c>
      <c r="C303">
        <f>IF($A303="","",INDEX(Transactions!$A:$A,ROW()-8))</f>
      </c>
      <c r="D303" s="30">
        <f>IF($A303="",0,INDEX(Transactions!$H:$H,ROW()-8))</f>
      </c>
      <c r="E303">
        <f>IF($A303="",1,INDEX(Transactions!$N:$N,ROW()-8))</f>
        <v>1</v>
      </c>
      <c r="F303" s="30">
        <f>IF($A303="",0,INDEX(Transactions!$O:$O,ROW()-8))</f>
      </c>
      <c r="G303" s="30">
        <f>IF($A303="",0,INDEX(Transactions!$P:$P,ROW()-8))</f>
      </c>
    </row>
    <row r="304" spans="1:7" ht="15" customHeight="1" x14ac:dyDescent="0.15">
      <c r="A304">
        <f>IF(INDEX(Transactions!$J:$J,ROW()-8)="","",INDEX(Transactions!$J:$J,ROW()-8))</f>
      </c>
      <c r="B304" s="297">
        <f>IF($A304="",TODAY(),INDEX(Transactions!$G:$G,ROW()-8))</f>
      </c>
      <c r="C304">
        <f>IF($A304="","",INDEX(Transactions!$A:$A,ROW()-8))</f>
      </c>
      <c r="D304" s="30">
        <f>IF($A304="",0,INDEX(Transactions!$H:$H,ROW()-8))</f>
      </c>
      <c r="E304">
        <f>IF($A304="",1,INDEX(Transactions!$N:$N,ROW()-8))</f>
        <v>1</v>
      </c>
      <c r="F304" s="30">
        <f>IF($A304="",0,INDEX(Transactions!$O:$O,ROW()-8))</f>
      </c>
      <c r="G304" s="30">
        <f>IF($A304="",0,INDEX(Transactions!$P:$P,ROW()-8))</f>
      </c>
    </row>
    <row r="305" spans="1:7" ht="15" customHeight="1" x14ac:dyDescent="0.15">
      <c r="A305">
        <f>IF(INDEX(Transactions!$J:$J,ROW()-8)="","",INDEX(Transactions!$J:$J,ROW()-8))</f>
      </c>
      <c r="B305" s="297">
        <f>IF($A305="",TODAY(),INDEX(Transactions!$G:$G,ROW()-8))</f>
      </c>
      <c r="C305">
        <f>IF($A305="","",INDEX(Transactions!$A:$A,ROW()-8))</f>
      </c>
      <c r="D305" s="30">
        <f>IF($A305="",0,INDEX(Transactions!$H:$H,ROW()-8))</f>
      </c>
      <c r="E305">
        <f>IF($A305="",1,INDEX(Transactions!$N:$N,ROW()-8))</f>
        <v>1</v>
      </c>
      <c r="F305" s="30">
        <f>IF($A305="",0,INDEX(Transactions!$O:$O,ROW()-8))</f>
      </c>
      <c r="G305" s="30">
        <f>IF($A305="",0,INDEX(Transactions!$P:$P,ROW()-8))</f>
      </c>
    </row>
    <row r="306" spans="1:7" ht="15" customHeight="1" x14ac:dyDescent="0.15">
      <c r="A306">
        <f>IF(INDEX(Transactions!$J:$J,ROW()-8)="","",INDEX(Transactions!$J:$J,ROW()-8))</f>
      </c>
      <c r="B306" s="297">
        <f>IF($A306="",TODAY(),INDEX(Transactions!$G:$G,ROW()-8))</f>
      </c>
      <c r="C306">
        <f>IF($A306="","",INDEX(Transactions!$A:$A,ROW()-8))</f>
      </c>
      <c r="D306" s="30">
        <f>IF($A306="",0,INDEX(Transactions!$H:$H,ROW()-8))</f>
      </c>
      <c r="E306">
        <f>IF($A306="",1,INDEX(Transactions!$N:$N,ROW()-8))</f>
        <v>1</v>
      </c>
      <c r="F306" s="30">
        <f>IF($A306="",0,INDEX(Transactions!$O:$O,ROW()-8))</f>
      </c>
      <c r="G306" s="30">
        <f>IF($A306="",0,INDEX(Transactions!$P:$P,ROW()-8))</f>
      </c>
    </row>
    <row r="307" spans="1:7" ht="15" customHeight="1" x14ac:dyDescent="0.15">
      <c r="A307">
        <f>IF(INDEX(Transactions!$J:$J,ROW()-8)="","",INDEX(Transactions!$J:$J,ROW()-8))</f>
      </c>
      <c r="B307" s="297">
        <f>IF($A307="",TODAY(),INDEX(Transactions!$G:$G,ROW()-8))</f>
      </c>
      <c r="C307">
        <f>IF($A307="","",INDEX(Transactions!$A:$A,ROW()-8))</f>
      </c>
      <c r="D307" s="30">
        <f>IF($A307="",0,INDEX(Transactions!$H:$H,ROW()-8))</f>
      </c>
      <c r="E307">
        <f>IF($A307="",1,INDEX(Transactions!$N:$N,ROW()-8))</f>
        <v>1</v>
      </c>
      <c r="F307" s="30">
        <f>IF($A307="",0,INDEX(Transactions!$O:$O,ROW()-8))</f>
      </c>
      <c r="G307" s="30">
        <f>IF($A307="",0,INDEX(Transactions!$P:$P,ROW()-8))</f>
      </c>
    </row>
    <row r="308" spans="1:7" ht="15" customHeight="1" x14ac:dyDescent="0.15">
      <c r="A308">
        <f>IF(INDEX(Transactions!$J:$J,ROW()-8)="","",INDEX(Transactions!$J:$J,ROW()-8))</f>
      </c>
      <c r="B308" s="297">
        <f>IF($A308="",TODAY(),INDEX(Transactions!$G:$G,ROW()-8))</f>
      </c>
      <c r="C308">
        <f>IF($A308="","",INDEX(Transactions!$A:$A,ROW()-8))</f>
      </c>
      <c r="D308" s="30">
        <f>IF($A308="",0,INDEX(Transactions!$H:$H,ROW()-8))</f>
      </c>
      <c r="E308">
        <f>IF($A308="",1,INDEX(Transactions!$N:$N,ROW()-8))</f>
        <v>1</v>
      </c>
      <c r="F308" s="30">
        <f>IF($A308="",0,INDEX(Transactions!$O:$O,ROW()-8))</f>
      </c>
      <c r="G308" s="30">
        <f>IF($A308="",0,INDEX(Transactions!$P:$P,ROW()-8))</f>
      </c>
    </row>
    <row r="309" spans="1:7" ht="15" customHeight="1" x14ac:dyDescent="0.15">
      <c r="A309">
        <f>IF(INDEX(Transactions!$J:$J,ROW()-8)="","",INDEX(Transactions!$J:$J,ROW()-8))</f>
      </c>
      <c r="B309" s="297">
        <f>IF($A309="",TODAY(),INDEX(Transactions!$G:$G,ROW()-8))</f>
      </c>
      <c r="C309">
        <f>IF($A309="","",INDEX(Transactions!$A:$A,ROW()-8))</f>
      </c>
      <c r="D309" s="30">
        <f>IF($A309="",0,INDEX(Transactions!$H:$H,ROW()-8))</f>
      </c>
      <c r="E309">
        <f>IF($A309="",1,INDEX(Transactions!$N:$N,ROW()-8))</f>
        <v>1</v>
      </c>
      <c r="F309" s="30">
        <f>IF($A309="",0,INDEX(Transactions!$O:$O,ROW()-8))</f>
      </c>
      <c r="G309" s="30">
        <f>IF($A309="",0,INDEX(Transactions!$P:$P,ROW()-8))</f>
      </c>
    </row>
    <row r="310" spans="1:7" ht="15" customHeight="1" x14ac:dyDescent="0.15">
      <c r="A310">
        <f>IF(INDEX(Transactions!$J:$J,ROW()-8)="","",INDEX(Transactions!$J:$J,ROW()-8))</f>
      </c>
      <c r="B310" s="297">
        <f>IF($A310="",TODAY(),INDEX(Transactions!$G:$G,ROW()-8))</f>
      </c>
      <c r="C310">
        <f>IF($A310="","",INDEX(Transactions!$A:$A,ROW()-8))</f>
      </c>
      <c r="D310" s="30">
        <f>IF($A310="",0,INDEX(Transactions!$H:$H,ROW()-8))</f>
      </c>
      <c r="E310">
        <f>IF($A310="",1,INDEX(Transactions!$N:$N,ROW()-8))</f>
        <v>1</v>
      </c>
      <c r="F310" s="30">
        <f>IF($A310="",0,INDEX(Transactions!$O:$O,ROW()-8))</f>
      </c>
      <c r="G310" s="30">
        <f>IF($A310="",0,INDEX(Transactions!$P:$P,ROW()-8))</f>
      </c>
    </row>
    <row r="311" spans="1:7" ht="15" customHeight="1" x14ac:dyDescent="0.15">
      <c r="A311">
        <f>IF(INDEX(Transactions!$J:$J,ROW()-8)="","",INDEX(Transactions!$J:$J,ROW()-8))</f>
      </c>
      <c r="B311" s="297">
        <f>IF($A311="",TODAY(),INDEX(Transactions!$G:$G,ROW()-8))</f>
      </c>
      <c r="C311">
        <f>IF($A311="","",INDEX(Transactions!$A:$A,ROW()-8))</f>
      </c>
      <c r="D311" s="30">
        <f>IF($A311="",0,INDEX(Transactions!$H:$H,ROW()-8))</f>
      </c>
      <c r="E311">
        <f>IF($A311="",1,INDEX(Transactions!$N:$N,ROW()-8))</f>
        <v>1</v>
      </c>
      <c r="F311" s="30">
        <f>IF($A311="",0,INDEX(Transactions!$O:$O,ROW()-8))</f>
      </c>
      <c r="G311" s="30">
        <f>IF($A311="",0,INDEX(Transactions!$P:$P,ROW()-8))</f>
      </c>
    </row>
    <row r="312" spans="1:7" ht="15" customHeight="1" x14ac:dyDescent="0.15">
      <c r="A312">
        <f>IF(INDEX(Transactions!$J:$J,ROW()-8)="","",INDEX(Transactions!$J:$J,ROW()-8))</f>
      </c>
      <c r="B312" s="297">
        <f>IF($A312="",TODAY(),INDEX(Transactions!$G:$G,ROW()-8))</f>
      </c>
      <c r="C312">
        <f>IF($A312="","",INDEX(Transactions!$A:$A,ROW()-8))</f>
      </c>
      <c r="D312" s="30">
        <f>IF($A312="",0,INDEX(Transactions!$H:$H,ROW()-8))</f>
      </c>
      <c r="E312">
        <f>IF($A312="",1,INDEX(Transactions!$N:$N,ROW()-8))</f>
        <v>1</v>
      </c>
      <c r="F312" s="30">
        <f>IF($A312="",0,INDEX(Transactions!$O:$O,ROW()-8))</f>
      </c>
      <c r="G312" s="30">
        <f>IF($A312="",0,INDEX(Transactions!$P:$P,ROW()-8))</f>
      </c>
    </row>
    <row r="313" spans="1:7" ht="15" customHeight="1" x14ac:dyDescent="0.15">
      <c r="A313">
        <f>IF(INDEX(Transactions!$J:$J,ROW()-8)="","",INDEX(Transactions!$J:$J,ROW()-8))</f>
      </c>
      <c r="B313" s="297">
        <f>IF($A313="",TODAY(),INDEX(Transactions!$G:$G,ROW()-8))</f>
      </c>
      <c r="C313">
        <f>IF($A313="","",INDEX(Transactions!$A:$A,ROW()-8))</f>
      </c>
      <c r="D313" s="30">
        <f>IF($A313="",0,INDEX(Transactions!$H:$H,ROW()-8))</f>
      </c>
      <c r="E313">
        <f>IF($A313="",1,INDEX(Transactions!$N:$N,ROW()-8))</f>
        <v>1</v>
      </c>
      <c r="F313" s="30">
        <f>IF($A313="",0,INDEX(Transactions!$O:$O,ROW()-8))</f>
      </c>
      <c r="G313" s="30">
        <f>IF($A313="",0,INDEX(Transactions!$P:$P,ROW()-8))</f>
      </c>
    </row>
    <row r="314" spans="1:7" ht="15" customHeight="1" x14ac:dyDescent="0.15">
      <c r="A314">
        <f>IF(INDEX(Transactions!$J:$J,ROW()-8)="","",INDEX(Transactions!$J:$J,ROW()-8))</f>
      </c>
      <c r="B314" s="297">
        <f>IF($A314="",TODAY(),INDEX(Transactions!$G:$G,ROW()-8))</f>
      </c>
      <c r="C314">
        <f>IF($A314="","",INDEX(Transactions!$A:$A,ROW()-8))</f>
      </c>
      <c r="D314" s="30">
        <f>IF($A314="",0,INDEX(Transactions!$H:$H,ROW()-8))</f>
      </c>
      <c r="E314">
        <f>IF($A314="",1,INDEX(Transactions!$N:$N,ROW()-8))</f>
        <v>1</v>
      </c>
      <c r="F314" s="30">
        <f>IF($A314="",0,INDEX(Transactions!$O:$O,ROW()-8))</f>
      </c>
      <c r="G314" s="30">
        <f>IF($A314="",0,INDEX(Transactions!$P:$P,ROW()-8))</f>
      </c>
    </row>
    <row r="315" spans="1:7" ht="15" customHeight="1" x14ac:dyDescent="0.15">
      <c r="A315">
        <f>IF(INDEX(Transactions!$J:$J,ROW()-8)="","",INDEX(Transactions!$J:$J,ROW()-8))</f>
      </c>
      <c r="B315" s="297">
        <f>IF($A315="",TODAY(),INDEX(Transactions!$G:$G,ROW()-8))</f>
      </c>
      <c r="C315">
        <f>IF($A315="","",INDEX(Transactions!$A:$A,ROW()-8))</f>
      </c>
      <c r="D315" s="30">
        <f>IF($A315="",0,INDEX(Transactions!$H:$H,ROW()-8))</f>
      </c>
      <c r="E315">
        <f>IF($A315="",1,INDEX(Transactions!$N:$N,ROW()-8))</f>
        <v>1</v>
      </c>
      <c r="F315" s="30">
        <f>IF($A315="",0,INDEX(Transactions!$O:$O,ROW()-8))</f>
      </c>
      <c r="G315" s="30">
        <f>IF($A315="",0,INDEX(Transactions!$P:$P,ROW()-8))</f>
      </c>
    </row>
    <row r="316" spans="1:7" ht="15" customHeight="1" x14ac:dyDescent="0.15">
      <c r="A316">
        <f>IF(INDEX(Transactions!$J:$J,ROW()-8)="","",INDEX(Transactions!$J:$J,ROW()-8))</f>
      </c>
      <c r="B316" s="297">
        <f>IF($A316="",TODAY(),INDEX(Transactions!$G:$G,ROW()-8))</f>
      </c>
      <c r="C316">
        <f>IF($A316="","",INDEX(Transactions!$A:$A,ROW()-8))</f>
      </c>
      <c r="D316" s="30">
        <f>IF($A316="",0,INDEX(Transactions!$H:$H,ROW()-8))</f>
      </c>
      <c r="E316">
        <f>IF($A316="",1,INDEX(Transactions!$N:$N,ROW()-8))</f>
        <v>1</v>
      </c>
      <c r="F316" s="30">
        <f>IF($A316="",0,INDEX(Transactions!$O:$O,ROW()-8))</f>
      </c>
      <c r="G316" s="30">
        <f>IF($A316="",0,INDEX(Transactions!$P:$P,ROW()-8))</f>
      </c>
    </row>
    <row r="317" spans="1:7" ht="15" customHeight="1" x14ac:dyDescent="0.15">
      <c r="A317">
        <f>IF(INDEX(Transactions!$J:$J,ROW()-8)="","",INDEX(Transactions!$J:$J,ROW()-8))</f>
      </c>
      <c r="B317" s="297">
        <f>IF($A317="",TODAY(),INDEX(Transactions!$G:$G,ROW()-8))</f>
      </c>
      <c r="C317">
        <f>IF($A317="","",INDEX(Transactions!$A:$A,ROW()-8))</f>
      </c>
      <c r="D317" s="30">
        <f>IF($A317="",0,INDEX(Transactions!$H:$H,ROW()-8))</f>
      </c>
      <c r="E317">
        <f>IF($A317="",1,INDEX(Transactions!$N:$N,ROW()-8))</f>
        <v>1</v>
      </c>
      <c r="F317" s="30">
        <f>IF($A317="",0,INDEX(Transactions!$O:$O,ROW()-8))</f>
      </c>
      <c r="G317" s="30">
        <f>IF($A317="",0,INDEX(Transactions!$P:$P,ROW()-8))</f>
      </c>
    </row>
    <row r="318" spans="1:7" ht="15" customHeight="1" x14ac:dyDescent="0.15">
      <c r="A318">
        <f>IF(INDEX(Transactions!$J:$J,ROW()-8)="","",INDEX(Transactions!$J:$J,ROW()-8))</f>
      </c>
      <c r="B318" s="297">
        <f>IF($A318="",TODAY(),INDEX(Transactions!$G:$G,ROW()-8))</f>
      </c>
      <c r="C318">
        <f>IF($A318="","",INDEX(Transactions!$A:$A,ROW()-8))</f>
      </c>
      <c r="D318" s="30">
        <f>IF($A318="",0,INDEX(Transactions!$H:$H,ROW()-8))</f>
      </c>
      <c r="E318">
        <f>IF($A318="",1,INDEX(Transactions!$N:$N,ROW()-8))</f>
        <v>1</v>
      </c>
      <c r="F318" s="30">
        <f>IF($A318="",0,INDEX(Transactions!$O:$O,ROW()-8))</f>
      </c>
      <c r="G318" s="30">
        <f>IF($A318="",0,INDEX(Transactions!$P:$P,ROW()-8))</f>
      </c>
    </row>
    <row r="319" spans="1:7" ht="15" customHeight="1" x14ac:dyDescent="0.15">
      <c r="A319">
        <f>IF(INDEX(Transactions!$J:$J,ROW()-8)="","",INDEX(Transactions!$J:$J,ROW()-8))</f>
      </c>
      <c r="B319" s="297">
        <f>IF($A319="",TODAY(),INDEX(Transactions!$G:$G,ROW()-8))</f>
      </c>
      <c r="C319">
        <f>IF($A319="","",INDEX(Transactions!$A:$A,ROW()-8))</f>
      </c>
      <c r="D319" s="30">
        <f>IF($A319="",0,INDEX(Transactions!$H:$H,ROW()-8))</f>
      </c>
      <c r="E319">
        <f>IF($A319="",1,INDEX(Transactions!$N:$N,ROW()-8))</f>
        <v>1</v>
      </c>
      <c r="F319" s="30">
        <f>IF($A319="",0,INDEX(Transactions!$O:$O,ROW()-8))</f>
      </c>
      <c r="G319" s="30">
        <f>IF($A319="",0,INDEX(Transactions!$P:$P,ROW()-8))</f>
      </c>
    </row>
    <row r="320" spans="1:7" ht="15" customHeight="1" x14ac:dyDescent="0.15">
      <c r="A320">
        <f>IF(INDEX(Transactions!$J:$J,ROW()-8)="","",INDEX(Transactions!$J:$J,ROW()-8))</f>
      </c>
      <c r="B320" s="297">
        <f>IF($A320="",TODAY(),INDEX(Transactions!$G:$G,ROW()-8))</f>
      </c>
      <c r="C320">
        <f>IF($A320="","",INDEX(Transactions!$A:$A,ROW()-8))</f>
      </c>
      <c r="D320" s="30">
        <f>IF($A320="",0,INDEX(Transactions!$H:$H,ROW()-8))</f>
      </c>
      <c r="E320">
        <f>IF($A320="",1,INDEX(Transactions!$N:$N,ROW()-8))</f>
        <v>1</v>
      </c>
      <c r="F320" s="30">
        <f>IF($A320="",0,INDEX(Transactions!$O:$O,ROW()-8))</f>
      </c>
      <c r="G320" s="30">
        <f>IF($A320="",0,INDEX(Transactions!$P:$P,ROW()-8))</f>
      </c>
    </row>
    <row r="321" spans="1:7" ht="15" customHeight="1" x14ac:dyDescent="0.15">
      <c r="A321">
        <f>IF(INDEX(Transactions!$J:$J,ROW()-8)="","",INDEX(Transactions!$J:$J,ROW()-8))</f>
      </c>
      <c r="B321" s="297">
        <f>IF($A321="",TODAY(),INDEX(Transactions!$G:$G,ROW()-8))</f>
      </c>
      <c r="C321">
        <f>IF($A321="","",INDEX(Transactions!$A:$A,ROW()-8))</f>
      </c>
      <c r="D321" s="30">
        <f>IF($A321="",0,INDEX(Transactions!$H:$H,ROW()-8))</f>
      </c>
      <c r="E321">
        <f>IF($A321="",1,INDEX(Transactions!$N:$N,ROW()-8))</f>
        <v>1</v>
      </c>
      <c r="F321" s="30">
        <f>IF($A321="",0,INDEX(Transactions!$O:$O,ROW()-8))</f>
      </c>
      <c r="G321" s="30">
        <f>IF($A321="",0,INDEX(Transactions!$P:$P,ROW()-8))</f>
      </c>
    </row>
    <row r="322" spans="1:7" ht="15" customHeight="1" x14ac:dyDescent="0.15">
      <c r="A322">
        <f>IF(INDEX(Transactions!$J:$J,ROW()-8)="","",INDEX(Transactions!$J:$J,ROW()-8))</f>
      </c>
      <c r="B322" s="297">
        <f>IF($A322="",TODAY(),INDEX(Transactions!$G:$G,ROW()-8))</f>
      </c>
      <c r="C322">
        <f>IF($A322="","",INDEX(Transactions!$A:$A,ROW()-8))</f>
      </c>
      <c r="D322" s="30">
        <f>IF($A322="",0,INDEX(Transactions!$H:$H,ROW()-8))</f>
      </c>
      <c r="E322">
        <f>IF($A322="",1,INDEX(Transactions!$N:$N,ROW()-8))</f>
        <v>1</v>
      </c>
      <c r="F322" s="30">
        <f>IF($A322="",0,INDEX(Transactions!$O:$O,ROW()-8))</f>
      </c>
      <c r="G322" s="30">
        <f>IF($A322="",0,INDEX(Transactions!$P:$P,ROW()-8))</f>
      </c>
    </row>
    <row r="323" spans="1:7" ht="15" customHeight="1" x14ac:dyDescent="0.15">
      <c r="A323">
        <f>IF(INDEX(Transactions!$J:$J,ROW()-8)="","",INDEX(Transactions!$J:$J,ROW()-8))</f>
      </c>
      <c r="B323" s="297">
        <f>IF($A323="",TODAY(),INDEX(Transactions!$G:$G,ROW()-8))</f>
      </c>
      <c r="C323">
        <f>IF($A323="","",INDEX(Transactions!$A:$A,ROW()-8))</f>
      </c>
      <c r="D323" s="30">
        <f>IF($A323="",0,INDEX(Transactions!$H:$H,ROW()-8))</f>
      </c>
      <c r="E323">
        <f>IF($A323="",1,INDEX(Transactions!$N:$N,ROW()-8))</f>
        <v>1</v>
      </c>
      <c r="F323" s="30">
        <f>IF($A323="",0,INDEX(Transactions!$O:$O,ROW()-8))</f>
      </c>
      <c r="G323" s="30">
        <f>IF($A323="",0,INDEX(Transactions!$P:$P,ROW()-8))</f>
      </c>
    </row>
    <row r="324" spans="1:7" ht="15" customHeight="1" x14ac:dyDescent="0.15">
      <c r="A324">
        <f>IF(INDEX(Transactions!$J:$J,ROW()-8)="","",INDEX(Transactions!$J:$J,ROW()-8))</f>
      </c>
      <c r="B324" s="297">
        <f>IF($A324="",TODAY(),INDEX(Transactions!$G:$G,ROW()-8))</f>
      </c>
      <c r="C324">
        <f>IF($A324="","",INDEX(Transactions!$A:$A,ROW()-8))</f>
      </c>
      <c r="D324" s="30">
        <f>IF($A324="",0,INDEX(Transactions!$H:$H,ROW()-8))</f>
      </c>
      <c r="E324">
        <f>IF($A324="",1,INDEX(Transactions!$N:$N,ROW()-8))</f>
        <v>1</v>
      </c>
      <c r="F324" s="30">
        <f>IF($A324="",0,INDEX(Transactions!$O:$O,ROW()-8))</f>
      </c>
      <c r="G324" s="30">
        <f>IF($A324="",0,INDEX(Transactions!$P:$P,ROW()-8))</f>
      </c>
    </row>
    <row r="325" spans="1:7" ht="15" customHeight="1" x14ac:dyDescent="0.15">
      <c r="A325">
        <f>IF(INDEX(Transactions!$J:$J,ROW()-8)="","",INDEX(Transactions!$J:$J,ROW()-8))</f>
      </c>
      <c r="B325" s="297">
        <f>IF($A325="",TODAY(),INDEX(Transactions!$G:$G,ROW()-8))</f>
      </c>
      <c r="C325">
        <f>IF($A325="","",INDEX(Transactions!$A:$A,ROW()-8))</f>
      </c>
      <c r="D325" s="30">
        <f>IF($A325="",0,INDEX(Transactions!$H:$H,ROW()-8))</f>
      </c>
      <c r="E325">
        <f>IF($A325="",1,INDEX(Transactions!$N:$N,ROW()-8))</f>
        <v>1</v>
      </c>
      <c r="F325" s="30">
        <f>IF($A325="",0,INDEX(Transactions!$O:$O,ROW()-8))</f>
      </c>
      <c r="G325" s="30">
        <f>IF($A325="",0,INDEX(Transactions!$P:$P,ROW()-8))</f>
      </c>
    </row>
    <row r="326" spans="1:7" ht="15" customHeight="1" x14ac:dyDescent="0.15">
      <c r="A326">
        <f>IF(INDEX(Transactions!$J:$J,ROW()-8)="","",INDEX(Transactions!$J:$J,ROW()-8))</f>
      </c>
      <c r="B326" s="297">
        <f>IF($A326="",TODAY(),INDEX(Transactions!$G:$G,ROW()-8))</f>
      </c>
      <c r="C326">
        <f>IF($A326="","",INDEX(Transactions!$A:$A,ROW()-8))</f>
      </c>
      <c r="D326" s="30">
        <f>IF($A326="",0,INDEX(Transactions!$H:$H,ROW()-8))</f>
      </c>
      <c r="E326">
        <f>IF($A326="",1,INDEX(Transactions!$N:$N,ROW()-8))</f>
        <v>1</v>
      </c>
      <c r="F326" s="30">
        <f>IF($A326="",0,INDEX(Transactions!$O:$O,ROW()-8))</f>
      </c>
      <c r="G326" s="30">
        <f>IF($A326="",0,INDEX(Transactions!$P:$P,ROW()-8))</f>
      </c>
    </row>
    <row r="327" spans="1:7" ht="15" customHeight="1" x14ac:dyDescent="0.15">
      <c r="A327">
        <f>IF(INDEX(Transactions!$J:$J,ROW()-8)="","",INDEX(Transactions!$J:$J,ROW()-8))</f>
      </c>
      <c r="B327" s="297">
        <f>IF($A327="",TODAY(),INDEX(Transactions!$G:$G,ROW()-8))</f>
      </c>
      <c r="C327">
        <f>IF($A327="","",INDEX(Transactions!$A:$A,ROW()-8))</f>
      </c>
      <c r="D327" s="30">
        <f>IF($A327="",0,INDEX(Transactions!$H:$H,ROW()-8))</f>
      </c>
      <c r="E327">
        <f>IF($A327="",1,INDEX(Transactions!$N:$N,ROW()-8))</f>
        <v>1</v>
      </c>
      <c r="F327" s="30">
        <f>IF($A327="",0,INDEX(Transactions!$O:$O,ROW()-8))</f>
      </c>
      <c r="G327" s="30">
        <f>IF($A327="",0,INDEX(Transactions!$P:$P,ROW()-8))</f>
      </c>
    </row>
    <row r="328" spans="1:7" ht="15" customHeight="1" x14ac:dyDescent="0.15">
      <c r="A328">
        <f>IF(INDEX(Transactions!$J:$J,ROW()-8)="","",INDEX(Transactions!$J:$J,ROW()-8))</f>
      </c>
      <c r="B328" s="297">
        <f>IF($A328="",TODAY(),INDEX(Transactions!$G:$G,ROW()-8))</f>
      </c>
      <c r="C328">
        <f>IF($A328="","",INDEX(Transactions!$A:$A,ROW()-8))</f>
      </c>
      <c r="D328" s="30">
        <f>IF($A328="",0,INDEX(Transactions!$H:$H,ROW()-8))</f>
      </c>
      <c r="E328">
        <f>IF($A328="",1,INDEX(Transactions!$N:$N,ROW()-8))</f>
        <v>1</v>
      </c>
      <c r="F328" s="30">
        <f>IF($A328="",0,INDEX(Transactions!$O:$O,ROW()-8))</f>
      </c>
      <c r="G328" s="30">
        <f>IF($A328="",0,INDEX(Transactions!$P:$P,ROW()-8))</f>
      </c>
    </row>
    <row r="329" spans="1:7" ht="15" customHeight="1" x14ac:dyDescent="0.15">
      <c r="A329">
        <f>IF(INDEX(Transactions!$J:$J,ROW()-8)="","",INDEX(Transactions!$J:$J,ROW()-8))</f>
      </c>
      <c r="B329" s="297">
        <f>IF($A329="",TODAY(),INDEX(Transactions!$G:$G,ROW()-8))</f>
      </c>
      <c r="C329">
        <f>IF($A329="","",INDEX(Transactions!$A:$A,ROW()-8))</f>
      </c>
      <c r="D329" s="30">
        <f>IF($A329="",0,INDEX(Transactions!$H:$H,ROW()-8))</f>
      </c>
      <c r="E329">
        <f>IF($A329="",1,INDEX(Transactions!$N:$N,ROW()-8))</f>
        <v>1</v>
      </c>
      <c r="F329" s="30">
        <f>IF($A329="",0,INDEX(Transactions!$O:$O,ROW()-8))</f>
      </c>
      <c r="G329" s="30">
        <f>IF($A329="",0,INDEX(Transactions!$P:$P,ROW()-8))</f>
      </c>
    </row>
    <row r="330" spans="1:7" ht="15" customHeight="1" x14ac:dyDescent="0.15">
      <c r="A330">
        <f>IF(INDEX(Transactions!$J:$J,ROW()-8)="","",INDEX(Transactions!$J:$J,ROW()-8))</f>
      </c>
      <c r="B330" s="297">
        <f>IF($A330="",TODAY(),INDEX(Transactions!$G:$G,ROW()-8))</f>
      </c>
      <c r="C330">
        <f>IF($A330="","",INDEX(Transactions!$A:$A,ROW()-8))</f>
      </c>
      <c r="D330" s="30">
        <f>IF($A330="",0,INDEX(Transactions!$H:$H,ROW()-8))</f>
      </c>
      <c r="E330">
        <f>IF($A330="",1,INDEX(Transactions!$N:$N,ROW()-8))</f>
        <v>1</v>
      </c>
      <c r="F330" s="30">
        <f>IF($A330="",0,INDEX(Transactions!$O:$O,ROW()-8))</f>
      </c>
      <c r="G330" s="30">
        <f>IF($A330="",0,INDEX(Transactions!$P:$P,ROW()-8))</f>
      </c>
    </row>
    <row r="331" spans="1:7" ht="15" customHeight="1" x14ac:dyDescent="0.15">
      <c r="A331">
        <f>IF(INDEX(Transactions!$J:$J,ROW()-8)="","",INDEX(Transactions!$J:$J,ROW()-8))</f>
      </c>
      <c r="B331" s="297">
        <f>IF($A331="",TODAY(),INDEX(Transactions!$G:$G,ROW()-8))</f>
      </c>
      <c r="C331">
        <f>IF($A331="","",INDEX(Transactions!$A:$A,ROW()-8))</f>
      </c>
      <c r="D331" s="30">
        <f>IF($A331="",0,INDEX(Transactions!$H:$H,ROW()-8))</f>
      </c>
      <c r="E331">
        <f>IF($A331="",1,INDEX(Transactions!$N:$N,ROW()-8))</f>
        <v>1</v>
      </c>
      <c r="F331" s="30">
        <f>IF($A331="",0,INDEX(Transactions!$O:$O,ROW()-8))</f>
      </c>
      <c r="G331" s="30">
        <f>IF($A331="",0,INDEX(Transactions!$P:$P,ROW()-8))</f>
      </c>
    </row>
    <row r="332" spans="1:7" ht="15" customHeight="1" x14ac:dyDescent="0.15">
      <c r="A332">
        <f>IF(INDEX(Transactions!$J:$J,ROW()-8)="","",INDEX(Transactions!$J:$J,ROW()-8))</f>
      </c>
      <c r="B332" s="297">
        <f>IF($A332="",TODAY(),INDEX(Transactions!$G:$G,ROW()-8))</f>
      </c>
      <c r="C332">
        <f>IF($A332="","",INDEX(Transactions!$A:$A,ROW()-8))</f>
      </c>
      <c r="D332" s="30">
        <f>IF($A332="",0,INDEX(Transactions!$H:$H,ROW()-8))</f>
      </c>
      <c r="E332">
        <f>IF($A332="",1,INDEX(Transactions!$N:$N,ROW()-8))</f>
        <v>1</v>
      </c>
      <c r="F332" s="30">
        <f>IF($A332="",0,INDEX(Transactions!$O:$O,ROW()-8))</f>
      </c>
      <c r="G332" s="30">
        <f>IF($A332="",0,INDEX(Transactions!$P:$P,ROW()-8))</f>
      </c>
    </row>
    <row r="333" spans="1:7" ht="15" customHeight="1" x14ac:dyDescent="0.15">
      <c r="A333">
        <f>IF(INDEX(Transactions!$J:$J,ROW()-8)="","",INDEX(Transactions!$J:$J,ROW()-8))</f>
      </c>
      <c r="B333" s="297">
        <f>IF($A333="",TODAY(),INDEX(Transactions!$G:$G,ROW()-8))</f>
      </c>
      <c r="C333">
        <f>IF($A333="","",INDEX(Transactions!$A:$A,ROW()-8))</f>
      </c>
      <c r="D333" s="30">
        <f>IF($A333="",0,INDEX(Transactions!$H:$H,ROW()-8))</f>
      </c>
      <c r="E333">
        <f>IF($A333="",1,INDEX(Transactions!$N:$N,ROW()-8))</f>
        <v>1</v>
      </c>
      <c r="F333" s="30">
        <f>IF($A333="",0,INDEX(Transactions!$O:$O,ROW()-8))</f>
      </c>
      <c r="G333" s="30">
        <f>IF($A333="",0,INDEX(Transactions!$P:$P,ROW()-8))</f>
      </c>
    </row>
    <row r="334" spans="1:7" ht="15" customHeight="1" x14ac:dyDescent="0.15">
      <c r="A334">
        <f>IF(INDEX(Transactions!$J:$J,ROW()-8)="","",INDEX(Transactions!$J:$J,ROW()-8))</f>
      </c>
      <c r="B334" s="297">
        <f>IF($A334="",TODAY(),INDEX(Transactions!$G:$G,ROW()-8))</f>
      </c>
      <c r="C334">
        <f>IF($A334="","",INDEX(Transactions!$A:$A,ROW()-8))</f>
      </c>
      <c r="D334" s="30">
        <f>IF($A334="",0,INDEX(Transactions!$H:$H,ROW()-8))</f>
      </c>
      <c r="E334">
        <f>IF($A334="",1,INDEX(Transactions!$N:$N,ROW()-8))</f>
        <v>1</v>
      </c>
      <c r="F334" s="30">
        <f>IF($A334="",0,INDEX(Transactions!$O:$O,ROW()-8))</f>
      </c>
      <c r="G334" s="30">
        <f>IF($A334="",0,INDEX(Transactions!$P:$P,ROW()-8))</f>
      </c>
    </row>
    <row r="335" spans="1:7" ht="15" customHeight="1" x14ac:dyDescent="0.15">
      <c r="A335">
        <f>IF(INDEX(Transactions!$J:$J,ROW()-8)="","",INDEX(Transactions!$J:$J,ROW()-8))</f>
      </c>
      <c r="B335" s="297">
        <f>IF($A335="",TODAY(),INDEX(Transactions!$G:$G,ROW()-8))</f>
      </c>
      <c r="C335">
        <f>IF($A335="","",INDEX(Transactions!$A:$A,ROW()-8))</f>
      </c>
      <c r="D335" s="30">
        <f>IF($A335="",0,INDEX(Transactions!$H:$H,ROW()-8))</f>
      </c>
      <c r="E335">
        <f>IF($A335="",1,INDEX(Transactions!$N:$N,ROW()-8))</f>
        <v>1</v>
      </c>
      <c r="F335" s="30">
        <f>IF($A335="",0,INDEX(Transactions!$O:$O,ROW()-8))</f>
      </c>
      <c r="G335" s="30">
        <f>IF($A335="",0,INDEX(Transactions!$P:$P,ROW()-8))</f>
      </c>
    </row>
    <row r="336" spans="1:7" ht="15" customHeight="1" x14ac:dyDescent="0.15">
      <c r="A336">
        <f>IF(INDEX(Transactions!$J:$J,ROW()-8)="","",INDEX(Transactions!$J:$J,ROW()-8))</f>
      </c>
      <c r="B336" s="297">
        <f>IF($A336="",TODAY(),INDEX(Transactions!$G:$G,ROW()-8))</f>
      </c>
      <c r="C336">
        <f>IF($A336="","",INDEX(Transactions!$A:$A,ROW()-8))</f>
      </c>
      <c r="D336" s="30">
        <f>IF($A336="",0,INDEX(Transactions!$H:$H,ROW()-8))</f>
      </c>
      <c r="E336">
        <f>IF($A336="",1,INDEX(Transactions!$N:$N,ROW()-8))</f>
        <v>1</v>
      </c>
      <c r="F336" s="30">
        <f>IF($A336="",0,INDEX(Transactions!$O:$O,ROW()-8))</f>
      </c>
      <c r="G336" s="30">
        <f>IF($A336="",0,INDEX(Transactions!$P:$P,ROW()-8))</f>
      </c>
    </row>
    <row r="337" spans="1:7" ht="15" customHeight="1" x14ac:dyDescent="0.15">
      <c r="A337">
        <f>IF(INDEX(Transactions!$J:$J,ROW()-8)="","",INDEX(Transactions!$J:$J,ROW()-8))</f>
      </c>
      <c r="B337" s="297">
        <f>IF($A337="",TODAY(),INDEX(Transactions!$G:$G,ROW()-8))</f>
      </c>
      <c r="C337">
        <f>IF($A337="","",INDEX(Transactions!$A:$A,ROW()-8))</f>
      </c>
      <c r="D337" s="30">
        <f>IF($A337="",0,INDEX(Transactions!$H:$H,ROW()-8))</f>
      </c>
      <c r="E337">
        <f>IF($A337="",1,INDEX(Transactions!$N:$N,ROW()-8))</f>
        <v>1</v>
      </c>
      <c r="F337" s="30">
        <f>IF($A337="",0,INDEX(Transactions!$O:$O,ROW()-8))</f>
      </c>
      <c r="G337" s="30">
        <f>IF($A337="",0,INDEX(Transactions!$P:$P,ROW()-8))</f>
      </c>
    </row>
    <row r="338" spans="1:7" ht="15" customHeight="1" x14ac:dyDescent="0.15">
      <c r="A338">
        <f>IF(INDEX(Transactions!$J:$J,ROW()-8)="","",INDEX(Transactions!$J:$J,ROW()-8))</f>
      </c>
      <c r="B338" s="297">
        <f>IF($A338="",TODAY(),INDEX(Transactions!$G:$G,ROW()-8))</f>
      </c>
      <c r="C338">
        <f>IF($A338="","",INDEX(Transactions!$A:$A,ROW()-8))</f>
      </c>
      <c r="D338" s="30">
        <f>IF($A338="",0,INDEX(Transactions!$H:$H,ROW()-8))</f>
      </c>
      <c r="E338">
        <f>IF($A338="",1,INDEX(Transactions!$N:$N,ROW()-8))</f>
        <v>1</v>
      </c>
      <c r="F338" s="30">
        <f>IF($A338="",0,INDEX(Transactions!$O:$O,ROW()-8))</f>
      </c>
      <c r="G338" s="30">
        <f>IF($A338="",0,INDEX(Transactions!$P:$P,ROW()-8))</f>
      </c>
    </row>
    <row r="339" spans="1:7" ht="15" customHeight="1" x14ac:dyDescent="0.15">
      <c r="A339">
        <f>IF(INDEX(Transactions!$J:$J,ROW()-8)="","",INDEX(Transactions!$J:$J,ROW()-8))</f>
      </c>
      <c r="B339" s="297">
        <f>IF($A339="",TODAY(),INDEX(Transactions!$G:$G,ROW()-8))</f>
      </c>
      <c r="C339">
        <f>IF($A339="","",INDEX(Transactions!$A:$A,ROW()-8))</f>
      </c>
      <c r="D339" s="30">
        <f>IF($A339="",0,INDEX(Transactions!$H:$H,ROW()-8))</f>
      </c>
      <c r="E339">
        <f>IF($A339="",1,INDEX(Transactions!$N:$N,ROW()-8))</f>
        <v>1</v>
      </c>
      <c r="F339" s="30">
        <f>IF($A339="",0,INDEX(Transactions!$O:$O,ROW()-8))</f>
      </c>
      <c r="G339" s="30">
        <f>IF($A339="",0,INDEX(Transactions!$P:$P,ROW()-8))</f>
      </c>
    </row>
    <row r="340" spans="1:7" ht="15" customHeight="1" x14ac:dyDescent="0.15">
      <c r="A340">
        <f>IF(INDEX(Transactions!$J:$J,ROW()-8)="","",INDEX(Transactions!$J:$J,ROW()-8))</f>
      </c>
      <c r="B340" s="297">
        <f>IF($A340="",TODAY(),INDEX(Transactions!$G:$G,ROW()-8))</f>
      </c>
      <c r="C340">
        <f>IF($A340="","",INDEX(Transactions!$A:$A,ROW()-8))</f>
      </c>
      <c r="D340" s="30">
        <f>IF($A340="",0,INDEX(Transactions!$H:$H,ROW()-8))</f>
      </c>
      <c r="E340">
        <f>IF($A340="",1,INDEX(Transactions!$N:$N,ROW()-8))</f>
        <v>1</v>
      </c>
      <c r="F340" s="30">
        <f>IF($A340="",0,INDEX(Transactions!$O:$O,ROW()-8))</f>
      </c>
      <c r="G340" s="30">
        <f>IF($A340="",0,INDEX(Transactions!$P:$P,ROW()-8))</f>
      </c>
    </row>
    <row r="341" spans="1:7" ht="15" customHeight="1" x14ac:dyDescent="0.15">
      <c r="A341">
        <f>IF(INDEX(Transactions!$J:$J,ROW()-8)="","",INDEX(Transactions!$J:$J,ROW()-8))</f>
      </c>
      <c r="B341" s="297">
        <f>IF($A341="",TODAY(),INDEX(Transactions!$G:$G,ROW()-8))</f>
      </c>
      <c r="C341">
        <f>IF($A341="","",INDEX(Transactions!$A:$A,ROW()-8))</f>
      </c>
      <c r="D341" s="30">
        <f>IF($A341="",0,INDEX(Transactions!$H:$H,ROW()-8))</f>
      </c>
      <c r="E341">
        <f>IF($A341="",1,INDEX(Transactions!$N:$N,ROW()-8))</f>
        <v>1</v>
      </c>
      <c r="F341" s="30">
        <f>IF($A341="",0,INDEX(Transactions!$O:$O,ROW()-8))</f>
      </c>
      <c r="G341" s="30">
        <f>IF($A341="",0,INDEX(Transactions!$P:$P,ROW()-8))</f>
      </c>
    </row>
    <row r="342" spans="1:7" ht="15" customHeight="1" x14ac:dyDescent="0.15">
      <c r="A342">
        <f>IF(INDEX(Transactions!$J:$J,ROW()-8)="","",INDEX(Transactions!$J:$J,ROW()-8))</f>
      </c>
      <c r="B342" s="297">
        <f>IF($A342="",TODAY(),INDEX(Transactions!$G:$G,ROW()-8))</f>
      </c>
      <c r="C342">
        <f>IF($A342="","",INDEX(Transactions!$A:$A,ROW()-8))</f>
      </c>
      <c r="D342" s="30">
        <f>IF($A342="",0,INDEX(Transactions!$H:$H,ROW()-8))</f>
      </c>
      <c r="E342">
        <f>IF($A342="",1,INDEX(Transactions!$N:$N,ROW()-8))</f>
        <v>1</v>
      </c>
      <c r="F342" s="30">
        <f>IF($A342="",0,INDEX(Transactions!$O:$O,ROW()-8))</f>
      </c>
      <c r="G342" s="30">
        <f>IF($A342="",0,INDEX(Transactions!$P:$P,ROW()-8))</f>
      </c>
    </row>
    <row r="343" spans="1:7" ht="15" customHeight="1" x14ac:dyDescent="0.15">
      <c r="A343">
        <f>IF(INDEX(Transactions!$J:$J,ROW()-8)="","",INDEX(Transactions!$J:$J,ROW()-8))</f>
      </c>
      <c r="B343" s="297">
        <f>IF($A343="",TODAY(),INDEX(Transactions!$G:$G,ROW()-8))</f>
      </c>
      <c r="C343">
        <f>IF($A343="","",INDEX(Transactions!$A:$A,ROW()-8))</f>
      </c>
      <c r="D343" s="30">
        <f>IF($A343="",0,INDEX(Transactions!$H:$H,ROW()-8))</f>
      </c>
      <c r="E343">
        <f>IF($A343="",1,INDEX(Transactions!$N:$N,ROW()-8))</f>
        <v>1</v>
      </c>
      <c r="F343" s="30">
        <f>IF($A343="",0,INDEX(Transactions!$O:$O,ROW()-8))</f>
      </c>
      <c r="G343" s="30">
        <f>IF($A343="",0,INDEX(Transactions!$P:$P,ROW()-8))</f>
      </c>
    </row>
    <row r="344" spans="1:7" ht="15" customHeight="1" x14ac:dyDescent="0.15">
      <c r="A344">
        <f>IF(INDEX(Transactions!$J:$J,ROW()-8)="","",INDEX(Transactions!$J:$J,ROW()-8))</f>
      </c>
      <c r="B344" s="297">
        <f>IF($A344="",TODAY(),INDEX(Transactions!$G:$G,ROW()-8))</f>
      </c>
      <c r="C344">
        <f>IF($A344="","",INDEX(Transactions!$A:$A,ROW()-8))</f>
      </c>
      <c r="D344" s="30">
        <f>IF($A344="",0,INDEX(Transactions!$H:$H,ROW()-8))</f>
      </c>
      <c r="E344">
        <f>IF($A344="",1,INDEX(Transactions!$N:$N,ROW()-8))</f>
        <v>1</v>
      </c>
      <c r="F344" s="30">
        <f>IF($A344="",0,INDEX(Transactions!$O:$O,ROW()-8))</f>
      </c>
      <c r="G344" s="30">
        <f>IF($A344="",0,INDEX(Transactions!$P:$P,ROW()-8))</f>
      </c>
    </row>
    <row r="345" spans="1:7" ht="15" customHeight="1" x14ac:dyDescent="0.15">
      <c r="A345">
        <f>IF(INDEX(Transactions!$J:$J,ROW()-8)="","",INDEX(Transactions!$J:$J,ROW()-8))</f>
      </c>
      <c r="B345" s="297">
        <f>IF($A345="",TODAY(),INDEX(Transactions!$G:$G,ROW()-8))</f>
      </c>
      <c r="C345">
        <f>IF($A345="","",INDEX(Transactions!$A:$A,ROW()-8))</f>
      </c>
      <c r="D345" s="30">
        <f>IF($A345="",0,INDEX(Transactions!$H:$H,ROW()-8))</f>
      </c>
      <c r="E345">
        <f>IF($A345="",1,INDEX(Transactions!$N:$N,ROW()-8))</f>
        <v>1</v>
      </c>
      <c r="F345" s="30">
        <f>IF($A345="",0,INDEX(Transactions!$O:$O,ROW()-8))</f>
      </c>
      <c r="G345" s="30">
        <f>IF($A345="",0,INDEX(Transactions!$P:$P,ROW()-8))</f>
      </c>
    </row>
    <row r="346" spans="1:7" ht="15" customHeight="1" x14ac:dyDescent="0.15">
      <c r="A346">
        <f>IF(INDEX(Transactions!$J:$J,ROW()-8)="","",INDEX(Transactions!$J:$J,ROW()-8))</f>
      </c>
      <c r="B346" s="297">
        <f>IF($A346="",TODAY(),INDEX(Transactions!$G:$G,ROW()-8))</f>
      </c>
      <c r="C346">
        <f>IF($A346="","",INDEX(Transactions!$A:$A,ROW()-8))</f>
      </c>
      <c r="D346" s="30">
        <f>IF($A346="",0,INDEX(Transactions!$H:$H,ROW()-8))</f>
      </c>
      <c r="E346">
        <f>IF($A346="",1,INDEX(Transactions!$N:$N,ROW()-8))</f>
        <v>1</v>
      </c>
      <c r="F346" s="30">
        <f>IF($A346="",0,INDEX(Transactions!$O:$O,ROW()-8))</f>
      </c>
      <c r="G346" s="30">
        <f>IF($A346="",0,INDEX(Transactions!$P:$P,ROW()-8))</f>
      </c>
    </row>
    <row r="347" spans="1:7" ht="15" customHeight="1" x14ac:dyDescent="0.15">
      <c r="A347">
        <f>IF(INDEX(Transactions!$J:$J,ROW()-8)="","",INDEX(Transactions!$J:$J,ROW()-8))</f>
      </c>
      <c r="B347" s="297">
        <f>IF($A347="",TODAY(),INDEX(Transactions!$G:$G,ROW()-8))</f>
      </c>
      <c r="C347">
        <f>IF($A347="","",INDEX(Transactions!$A:$A,ROW()-8))</f>
      </c>
      <c r="D347" s="30">
        <f>IF($A347="",0,INDEX(Transactions!$H:$H,ROW()-8))</f>
      </c>
      <c r="E347">
        <f>IF($A347="",1,INDEX(Transactions!$N:$N,ROW()-8))</f>
        <v>1</v>
      </c>
      <c r="F347" s="30">
        <f>IF($A347="",0,INDEX(Transactions!$O:$O,ROW()-8))</f>
      </c>
      <c r="G347" s="30">
        <f>IF($A347="",0,INDEX(Transactions!$P:$P,ROW()-8))</f>
      </c>
    </row>
    <row r="348" spans="1:7" ht="15" customHeight="1" x14ac:dyDescent="0.15">
      <c r="A348">
        <f>IF(INDEX(Transactions!$J:$J,ROW()-8)="","",INDEX(Transactions!$J:$J,ROW()-8))</f>
      </c>
      <c r="B348" s="297">
        <f>IF($A348="",TODAY(),INDEX(Transactions!$G:$G,ROW()-8))</f>
      </c>
      <c r="C348">
        <f>IF($A348="","",INDEX(Transactions!$A:$A,ROW()-8))</f>
      </c>
      <c r="D348" s="30">
        <f>IF($A348="",0,INDEX(Transactions!$H:$H,ROW()-8))</f>
      </c>
      <c r="E348">
        <f>IF($A348="",1,INDEX(Transactions!$N:$N,ROW()-8))</f>
        <v>1</v>
      </c>
      <c r="F348" s="30">
        <f>IF($A348="",0,INDEX(Transactions!$O:$O,ROW()-8))</f>
      </c>
      <c r="G348" s="30">
        <f>IF($A348="",0,INDEX(Transactions!$P:$P,ROW()-8))</f>
      </c>
    </row>
    <row r="349" spans="1:7" ht="15" customHeight="1" x14ac:dyDescent="0.15">
      <c r="A349">
        <f>IF(INDEX(Transactions!$J:$J,ROW()-8)="","",INDEX(Transactions!$J:$J,ROW()-8))</f>
      </c>
      <c r="B349" s="297">
        <f>IF($A349="",TODAY(),INDEX(Transactions!$G:$G,ROW()-8))</f>
      </c>
      <c r="C349">
        <f>IF($A349="","",INDEX(Transactions!$A:$A,ROW()-8))</f>
      </c>
      <c r="D349" s="30">
        <f>IF($A349="",0,INDEX(Transactions!$H:$H,ROW()-8))</f>
      </c>
      <c r="E349">
        <f>IF($A349="",1,INDEX(Transactions!$N:$N,ROW()-8))</f>
        <v>1</v>
      </c>
      <c r="F349" s="30">
        <f>IF($A349="",0,INDEX(Transactions!$O:$O,ROW()-8))</f>
      </c>
      <c r="G349" s="30">
        <f>IF($A349="",0,INDEX(Transactions!$P:$P,ROW()-8))</f>
      </c>
    </row>
    <row r="350" spans="1:7" ht="15" customHeight="1" x14ac:dyDescent="0.15">
      <c r="A350">
        <f>IF(INDEX(Transactions!$J:$J,ROW()-8)="","",INDEX(Transactions!$J:$J,ROW()-8))</f>
      </c>
      <c r="B350" s="297">
        <f>IF($A350="",TODAY(),INDEX(Transactions!$G:$G,ROW()-8))</f>
      </c>
      <c r="C350">
        <f>IF($A350="","",INDEX(Transactions!$A:$A,ROW()-8))</f>
      </c>
      <c r="D350" s="30">
        <f>IF($A350="",0,INDEX(Transactions!$H:$H,ROW()-8))</f>
      </c>
      <c r="E350">
        <f>IF($A350="",1,INDEX(Transactions!$N:$N,ROW()-8))</f>
        <v>1</v>
      </c>
      <c r="F350" s="30">
        <f>IF($A350="",0,INDEX(Transactions!$O:$O,ROW()-8))</f>
      </c>
      <c r="G350" s="30">
        <f>IF($A350="",0,INDEX(Transactions!$P:$P,ROW()-8))</f>
      </c>
    </row>
    <row r="351" spans="1:7" ht="15" customHeight="1" x14ac:dyDescent="0.15">
      <c r="A351">
        <f>IF(INDEX(Transactions!$J:$J,ROW()-8)="","",INDEX(Transactions!$J:$J,ROW()-8))</f>
      </c>
      <c r="B351" s="297">
        <f>IF($A351="",TODAY(),INDEX(Transactions!$G:$G,ROW()-8))</f>
      </c>
      <c r="C351">
        <f>IF($A351="","",INDEX(Transactions!$A:$A,ROW()-8))</f>
      </c>
      <c r="D351" s="30">
        <f>IF($A351="",0,INDEX(Transactions!$H:$H,ROW()-8))</f>
      </c>
      <c r="E351">
        <f>IF($A351="",1,INDEX(Transactions!$N:$N,ROW()-8))</f>
        <v>1</v>
      </c>
      <c r="F351" s="30">
        <f>IF($A351="",0,INDEX(Transactions!$O:$O,ROW()-8))</f>
      </c>
      <c r="G351" s="30">
        <f>IF($A351="",0,INDEX(Transactions!$P:$P,ROW()-8))</f>
      </c>
    </row>
    <row r="352" spans="1:7" ht="15" customHeight="1" x14ac:dyDescent="0.15">
      <c r="A352">
        <f>IF(INDEX(Transactions!$J:$J,ROW()-8)="","",INDEX(Transactions!$J:$J,ROW()-8))</f>
      </c>
      <c r="B352" s="297">
        <f>IF($A352="",TODAY(),INDEX(Transactions!$G:$G,ROW()-8))</f>
      </c>
      <c r="C352">
        <f>IF($A352="","",INDEX(Transactions!$A:$A,ROW()-8))</f>
      </c>
      <c r="D352" s="30">
        <f>IF($A352="",0,INDEX(Transactions!$H:$H,ROW()-8))</f>
      </c>
      <c r="E352">
        <f>IF($A352="",1,INDEX(Transactions!$N:$N,ROW()-8))</f>
        <v>1</v>
      </c>
      <c r="F352" s="30">
        <f>IF($A352="",0,INDEX(Transactions!$O:$O,ROW()-8))</f>
      </c>
      <c r="G352" s="30">
        <f>IF($A352="",0,INDEX(Transactions!$P:$P,ROW()-8))</f>
      </c>
    </row>
    <row r="353" spans="1:7" ht="15" customHeight="1" x14ac:dyDescent="0.15">
      <c r="A353">
        <f>IF(INDEX(Transactions!$J:$J,ROW()-8)="","",INDEX(Transactions!$J:$J,ROW()-8))</f>
      </c>
      <c r="B353" s="297">
        <f>IF($A353="",TODAY(),INDEX(Transactions!$G:$G,ROW()-8))</f>
      </c>
      <c r="C353">
        <f>IF($A353="","",INDEX(Transactions!$A:$A,ROW()-8))</f>
      </c>
      <c r="D353" s="30">
        <f>IF($A353="",0,INDEX(Transactions!$H:$H,ROW()-8))</f>
      </c>
      <c r="E353">
        <f>IF($A353="",1,INDEX(Transactions!$N:$N,ROW()-8))</f>
        <v>1</v>
      </c>
      <c r="F353" s="30">
        <f>IF($A353="",0,INDEX(Transactions!$O:$O,ROW()-8))</f>
      </c>
      <c r="G353" s="30">
        <f>IF($A353="",0,INDEX(Transactions!$P:$P,ROW()-8))</f>
      </c>
    </row>
    <row r="354" spans="1:7" ht="15" customHeight="1" x14ac:dyDescent="0.15">
      <c r="A354">
        <f>IF(INDEX(Transactions!$J:$J,ROW()-8)="","",INDEX(Transactions!$J:$J,ROW()-8))</f>
      </c>
      <c r="B354" s="297">
        <f>IF($A354="",TODAY(),INDEX(Transactions!$G:$G,ROW()-8))</f>
      </c>
      <c r="C354">
        <f>IF($A354="","",INDEX(Transactions!$A:$A,ROW()-8))</f>
      </c>
      <c r="D354" s="30">
        <f>IF($A354="",0,INDEX(Transactions!$H:$H,ROW()-8))</f>
      </c>
      <c r="E354">
        <f>IF($A354="",1,INDEX(Transactions!$N:$N,ROW()-8))</f>
        <v>1</v>
      </c>
      <c r="F354" s="30">
        <f>IF($A354="",0,INDEX(Transactions!$O:$O,ROW()-8))</f>
      </c>
      <c r="G354" s="30">
        <f>IF($A354="",0,INDEX(Transactions!$P:$P,ROW()-8))</f>
      </c>
    </row>
    <row r="355" spans="1:7" ht="15" customHeight="1" x14ac:dyDescent="0.15">
      <c r="A355">
        <f>IF(INDEX(Transactions!$J:$J,ROW()-8)="","",INDEX(Transactions!$J:$J,ROW()-8))</f>
      </c>
      <c r="B355" s="297">
        <f>IF($A355="",TODAY(),INDEX(Transactions!$G:$G,ROW()-8))</f>
      </c>
      <c r="C355">
        <f>IF($A355="","",INDEX(Transactions!$A:$A,ROW()-8))</f>
      </c>
      <c r="D355" s="30">
        <f>IF($A355="",0,INDEX(Transactions!$H:$H,ROW()-8))</f>
      </c>
      <c r="E355">
        <f>IF($A355="",1,INDEX(Transactions!$N:$N,ROW()-8))</f>
        <v>1</v>
      </c>
      <c r="F355" s="30">
        <f>IF($A355="",0,INDEX(Transactions!$O:$O,ROW()-8))</f>
      </c>
      <c r="G355" s="30">
        <f>IF($A355="",0,INDEX(Transactions!$P:$P,ROW()-8))</f>
      </c>
    </row>
    <row r="356" spans="1:7" ht="15" customHeight="1" x14ac:dyDescent="0.15">
      <c r="A356">
        <f>IF(INDEX(Transactions!$J:$J,ROW()-8)="","",INDEX(Transactions!$J:$J,ROW()-8))</f>
      </c>
      <c r="B356" s="297">
        <f>IF($A356="",TODAY(),INDEX(Transactions!$G:$G,ROW()-8))</f>
      </c>
      <c r="C356">
        <f>IF($A356="","",INDEX(Transactions!$A:$A,ROW()-8))</f>
      </c>
      <c r="D356" s="30">
        <f>IF($A356="",0,INDEX(Transactions!$H:$H,ROW()-8))</f>
      </c>
      <c r="E356">
        <f>IF($A356="",1,INDEX(Transactions!$N:$N,ROW()-8))</f>
        <v>1</v>
      </c>
      <c r="F356" s="30">
        <f>IF($A356="",0,INDEX(Transactions!$O:$O,ROW()-8))</f>
      </c>
      <c r="G356" s="30">
        <f>IF($A356="",0,INDEX(Transactions!$P:$P,ROW()-8))</f>
      </c>
    </row>
    <row r="357" spans="1:7" ht="15" customHeight="1" x14ac:dyDescent="0.15">
      <c r="A357">
        <f>IF(INDEX(Transactions!$J:$J,ROW()-8)="","",INDEX(Transactions!$J:$J,ROW()-8))</f>
      </c>
      <c r="B357" s="297">
        <f>IF($A357="",TODAY(),INDEX(Transactions!$G:$G,ROW()-8))</f>
      </c>
      <c r="C357">
        <f>IF($A357="","",INDEX(Transactions!$A:$A,ROW()-8))</f>
      </c>
      <c r="D357" s="30">
        <f>IF($A357="",0,INDEX(Transactions!$H:$H,ROW()-8))</f>
      </c>
      <c r="E357">
        <f>IF($A357="",1,INDEX(Transactions!$N:$N,ROW()-8))</f>
        <v>1</v>
      </c>
      <c r="F357" s="30">
        <f>IF($A357="",0,INDEX(Transactions!$O:$O,ROW()-8))</f>
      </c>
      <c r="G357" s="30">
        <f>IF($A357="",0,INDEX(Transactions!$P:$P,ROW()-8))</f>
      </c>
    </row>
    <row r="358" spans="1:7" ht="15" customHeight="1" x14ac:dyDescent="0.15">
      <c r="A358">
        <f>IF(INDEX(Transactions!$J:$J,ROW()-8)="","",INDEX(Transactions!$J:$J,ROW()-8))</f>
      </c>
      <c r="B358" s="297">
        <f>IF($A358="",TODAY(),INDEX(Transactions!$G:$G,ROW()-8))</f>
      </c>
      <c r="C358">
        <f>IF($A358="","",INDEX(Transactions!$A:$A,ROW()-8))</f>
      </c>
      <c r="D358" s="30">
        <f>IF($A358="",0,INDEX(Transactions!$H:$H,ROW()-8))</f>
      </c>
      <c r="E358">
        <f>IF($A358="",1,INDEX(Transactions!$N:$N,ROW()-8))</f>
        <v>1</v>
      </c>
      <c r="F358" s="30">
        <f>IF($A358="",0,INDEX(Transactions!$O:$O,ROW()-8))</f>
      </c>
      <c r="G358" s="30">
        <f>IF($A358="",0,INDEX(Transactions!$P:$P,ROW()-8))</f>
      </c>
    </row>
    <row r="359" spans="1:7" ht="15" customHeight="1" x14ac:dyDescent="0.15">
      <c r="A359">
        <f>IF(INDEX(Transactions!$J:$J,ROW()-8)="","",INDEX(Transactions!$J:$J,ROW()-8))</f>
      </c>
      <c r="B359" s="297">
        <f>IF($A359="",TODAY(),INDEX(Transactions!$G:$G,ROW()-8))</f>
      </c>
      <c r="C359">
        <f>IF($A359="","",INDEX(Transactions!$A:$A,ROW()-8))</f>
      </c>
      <c r="D359" s="30">
        <f>IF($A359="",0,INDEX(Transactions!$H:$H,ROW()-8))</f>
      </c>
      <c r="E359">
        <f>IF($A359="",1,INDEX(Transactions!$N:$N,ROW()-8))</f>
        <v>1</v>
      </c>
      <c r="F359" s="30">
        <f>IF($A359="",0,INDEX(Transactions!$O:$O,ROW()-8))</f>
      </c>
      <c r="G359" s="30">
        <f>IF($A359="",0,INDEX(Transactions!$P:$P,ROW()-8))</f>
      </c>
    </row>
    <row r="360" spans="1:7" ht="15" customHeight="1" x14ac:dyDescent="0.15">
      <c r="A360">
        <f>IF(INDEX(Transactions!$J:$J,ROW()-8)="","",INDEX(Transactions!$J:$J,ROW()-8))</f>
      </c>
      <c r="B360" s="297">
        <f>IF($A360="",TODAY(),INDEX(Transactions!$G:$G,ROW()-8))</f>
      </c>
      <c r="C360">
        <f>IF($A360="","",INDEX(Transactions!$A:$A,ROW()-8))</f>
      </c>
      <c r="D360" s="30">
        <f>IF($A360="",0,INDEX(Transactions!$H:$H,ROW()-8))</f>
      </c>
      <c r="E360">
        <f>IF($A360="",1,INDEX(Transactions!$N:$N,ROW()-8))</f>
        <v>1</v>
      </c>
      <c r="F360" s="30">
        <f>IF($A360="",0,INDEX(Transactions!$O:$O,ROW()-8))</f>
      </c>
      <c r="G360" s="30">
        <f>IF($A360="",0,INDEX(Transactions!$P:$P,ROW()-8))</f>
      </c>
    </row>
    <row r="361" spans="1:7" ht="15" customHeight="1" x14ac:dyDescent="0.15">
      <c r="A361">
        <f>IF(INDEX(Transactions!$J:$J,ROW()-8)="","",INDEX(Transactions!$J:$J,ROW()-8))</f>
      </c>
      <c r="B361" s="297">
        <f>IF($A361="",TODAY(),INDEX(Transactions!$G:$G,ROW()-8))</f>
      </c>
      <c r="C361">
        <f>IF($A361="","",INDEX(Transactions!$A:$A,ROW()-8))</f>
      </c>
      <c r="D361" s="30">
        <f>IF($A361="",0,INDEX(Transactions!$H:$H,ROW()-8))</f>
      </c>
      <c r="E361">
        <f>IF($A361="",1,INDEX(Transactions!$N:$N,ROW()-8))</f>
        <v>1</v>
      </c>
      <c r="F361" s="30">
        <f>IF($A361="",0,INDEX(Transactions!$O:$O,ROW()-8))</f>
      </c>
      <c r="G361" s="30">
        <f>IF($A361="",0,INDEX(Transactions!$P:$P,ROW()-8))</f>
      </c>
    </row>
    <row r="362" spans="1:7" ht="15" customHeight="1" x14ac:dyDescent="0.15">
      <c r="A362">
        <f>IF(INDEX(Transactions!$J:$J,ROW()-8)="","",INDEX(Transactions!$J:$J,ROW()-8))</f>
      </c>
      <c r="B362" s="297">
        <f>IF($A362="",TODAY(),INDEX(Transactions!$G:$G,ROW()-8))</f>
      </c>
      <c r="C362">
        <f>IF($A362="","",INDEX(Transactions!$A:$A,ROW()-8))</f>
      </c>
      <c r="D362" s="30">
        <f>IF($A362="",0,INDEX(Transactions!$H:$H,ROW()-8))</f>
      </c>
      <c r="E362">
        <f>IF($A362="",1,INDEX(Transactions!$N:$N,ROW()-8))</f>
        <v>1</v>
      </c>
      <c r="F362" s="30">
        <f>IF($A362="",0,INDEX(Transactions!$O:$O,ROW()-8))</f>
      </c>
      <c r="G362" s="30">
        <f>IF($A362="",0,INDEX(Transactions!$P:$P,ROW()-8))</f>
      </c>
    </row>
    <row r="363" spans="1:7" ht="15" customHeight="1" x14ac:dyDescent="0.15">
      <c r="A363">
        <f>IF(INDEX(Transactions!$J:$J,ROW()-8)="","",INDEX(Transactions!$J:$J,ROW()-8))</f>
      </c>
      <c r="B363" s="297">
        <f>IF($A363="",TODAY(),INDEX(Transactions!$G:$G,ROW()-8))</f>
      </c>
      <c r="C363">
        <f>IF($A363="","",INDEX(Transactions!$A:$A,ROW()-8))</f>
      </c>
      <c r="D363" s="30">
        <f>IF($A363="",0,INDEX(Transactions!$H:$H,ROW()-8))</f>
      </c>
      <c r="E363">
        <f>IF($A363="",1,INDEX(Transactions!$N:$N,ROW()-8))</f>
        <v>1</v>
      </c>
      <c r="F363" s="30">
        <f>IF($A363="",0,INDEX(Transactions!$O:$O,ROW()-8))</f>
      </c>
      <c r="G363" s="30">
        <f>IF($A363="",0,INDEX(Transactions!$P:$P,ROW()-8))</f>
      </c>
    </row>
    <row r="364" spans="1:7" ht="15" customHeight="1" x14ac:dyDescent="0.15">
      <c r="A364">
        <f>IF(INDEX(Transactions!$J:$J,ROW()-8)="","",INDEX(Transactions!$J:$J,ROW()-8))</f>
      </c>
      <c r="B364" s="297">
        <f>IF($A364="",TODAY(),INDEX(Transactions!$G:$G,ROW()-8))</f>
      </c>
      <c r="C364">
        <f>IF($A364="","",INDEX(Transactions!$A:$A,ROW()-8))</f>
      </c>
      <c r="D364" s="30">
        <f>IF($A364="",0,INDEX(Transactions!$H:$H,ROW()-8))</f>
      </c>
      <c r="E364">
        <f>IF($A364="",1,INDEX(Transactions!$N:$N,ROW()-8))</f>
        <v>1</v>
      </c>
      <c r="F364" s="30">
        <f>IF($A364="",0,INDEX(Transactions!$O:$O,ROW()-8))</f>
      </c>
      <c r="G364" s="30">
        <f>IF($A364="",0,INDEX(Transactions!$P:$P,ROW()-8))</f>
      </c>
    </row>
    <row r="365" spans="1:7" ht="15" customHeight="1" x14ac:dyDescent="0.15">
      <c r="A365">
        <f>IF(INDEX(Transactions!$J:$J,ROW()-8)="","",INDEX(Transactions!$J:$J,ROW()-8))</f>
      </c>
      <c r="B365" s="297">
        <f>IF($A365="",TODAY(),INDEX(Transactions!$G:$G,ROW()-8))</f>
      </c>
      <c r="C365">
        <f>IF($A365="","",INDEX(Transactions!$A:$A,ROW()-8))</f>
      </c>
      <c r="D365" s="30">
        <f>IF($A365="",0,INDEX(Transactions!$H:$H,ROW()-8))</f>
      </c>
      <c r="E365">
        <f>IF($A365="",1,INDEX(Transactions!$N:$N,ROW()-8))</f>
        <v>1</v>
      </c>
      <c r="F365" s="30">
        <f>IF($A365="",0,INDEX(Transactions!$O:$O,ROW()-8))</f>
      </c>
      <c r="G365" s="30">
        <f>IF($A365="",0,INDEX(Transactions!$P:$P,ROW()-8))</f>
      </c>
    </row>
    <row r="366" spans="1:7" ht="15" customHeight="1" x14ac:dyDescent="0.15">
      <c r="A366">
        <f>IF(INDEX(Transactions!$J:$J,ROW()-8)="","",INDEX(Transactions!$J:$J,ROW()-8))</f>
      </c>
      <c r="B366" s="297">
        <f>IF($A366="",TODAY(),INDEX(Transactions!$G:$G,ROW()-8))</f>
      </c>
      <c r="C366">
        <f>IF($A366="","",INDEX(Transactions!$A:$A,ROW()-8))</f>
      </c>
      <c r="D366" s="30">
        <f>IF($A366="",0,INDEX(Transactions!$H:$H,ROW()-8))</f>
      </c>
      <c r="E366">
        <f>IF($A366="",1,INDEX(Transactions!$N:$N,ROW()-8))</f>
        <v>1</v>
      </c>
      <c r="F366" s="30">
        <f>IF($A366="",0,INDEX(Transactions!$O:$O,ROW()-8))</f>
      </c>
      <c r="G366" s="30">
        <f>IF($A366="",0,INDEX(Transactions!$P:$P,ROW()-8))</f>
      </c>
    </row>
    <row r="367" spans="1:7" ht="15" customHeight="1" x14ac:dyDescent="0.15">
      <c r="A367">
        <f>IF(INDEX(Transactions!$J:$J,ROW()-8)="","",INDEX(Transactions!$J:$J,ROW()-8))</f>
      </c>
      <c r="B367" s="297">
        <f>IF($A367="",TODAY(),INDEX(Transactions!$G:$G,ROW()-8))</f>
      </c>
      <c r="C367">
        <f>IF($A367="","",INDEX(Transactions!$A:$A,ROW()-8))</f>
      </c>
      <c r="D367" s="30">
        <f>IF($A367="",0,INDEX(Transactions!$H:$H,ROW()-8))</f>
      </c>
      <c r="E367">
        <f>IF($A367="",1,INDEX(Transactions!$N:$N,ROW()-8))</f>
        <v>1</v>
      </c>
      <c r="F367" s="30">
        <f>IF($A367="",0,INDEX(Transactions!$O:$O,ROW()-8))</f>
      </c>
      <c r="G367" s="30">
        <f>IF($A367="",0,INDEX(Transactions!$P:$P,ROW()-8))</f>
      </c>
    </row>
    <row r="368" spans="1:7" ht="15" customHeight="1" x14ac:dyDescent="0.15">
      <c r="A368">
        <f>IF(INDEX(Transactions!$J:$J,ROW()-8)="","",INDEX(Transactions!$J:$J,ROW()-8))</f>
      </c>
      <c r="B368" s="297">
        <f>IF($A368="",TODAY(),INDEX(Transactions!$G:$G,ROW()-8))</f>
      </c>
      <c r="C368">
        <f>IF($A368="","",INDEX(Transactions!$A:$A,ROW()-8))</f>
      </c>
      <c r="D368" s="30">
        <f>IF($A368="",0,INDEX(Transactions!$H:$H,ROW()-8))</f>
      </c>
      <c r="E368">
        <f>IF($A368="",1,INDEX(Transactions!$N:$N,ROW()-8))</f>
        <v>1</v>
      </c>
      <c r="F368" s="30">
        <f>IF($A368="",0,INDEX(Transactions!$O:$O,ROW()-8))</f>
      </c>
      <c r="G368" s="30">
        <f>IF($A368="",0,INDEX(Transactions!$P:$P,ROW()-8))</f>
      </c>
    </row>
    <row r="369" spans="1:7" ht="15" customHeight="1" x14ac:dyDescent="0.15">
      <c r="A369">
        <f>IF(INDEX(Transactions!$J:$J,ROW()-8)="","",INDEX(Transactions!$J:$J,ROW()-8))</f>
      </c>
      <c r="B369" s="297">
        <f>IF($A369="",TODAY(),INDEX(Transactions!$G:$G,ROW()-8))</f>
      </c>
      <c r="C369">
        <f>IF($A369="","",INDEX(Transactions!$A:$A,ROW()-8))</f>
      </c>
      <c r="D369" s="30">
        <f>IF($A369="",0,INDEX(Transactions!$H:$H,ROW()-8))</f>
      </c>
      <c r="E369">
        <f>IF($A369="",1,INDEX(Transactions!$N:$N,ROW()-8))</f>
        <v>1</v>
      </c>
      <c r="F369" s="30">
        <f>IF($A369="",0,INDEX(Transactions!$O:$O,ROW()-8))</f>
      </c>
      <c r="G369" s="30">
        <f>IF($A369="",0,INDEX(Transactions!$P:$P,ROW()-8))</f>
      </c>
    </row>
    <row r="370" spans="1:7" ht="15" customHeight="1" x14ac:dyDescent="0.15">
      <c r="A370">
        <f>IF(INDEX(Transactions!$J:$J,ROW()-8)="","",INDEX(Transactions!$J:$J,ROW()-8))</f>
      </c>
      <c r="B370" s="297">
        <f>IF($A370="",TODAY(),INDEX(Transactions!$G:$G,ROW()-8))</f>
      </c>
      <c r="C370">
        <f>IF($A370="","",INDEX(Transactions!$A:$A,ROW()-8))</f>
      </c>
      <c r="D370" s="30">
        <f>IF($A370="",0,INDEX(Transactions!$H:$H,ROW()-8))</f>
      </c>
      <c r="E370">
        <f>IF($A370="",1,INDEX(Transactions!$N:$N,ROW()-8))</f>
        <v>1</v>
      </c>
      <c r="F370" s="30">
        <f>IF($A370="",0,INDEX(Transactions!$O:$O,ROW()-8))</f>
      </c>
      <c r="G370" s="30">
        <f>IF($A370="",0,INDEX(Transactions!$P:$P,ROW()-8))</f>
      </c>
    </row>
    <row r="371" spans="1:7" ht="15" customHeight="1" x14ac:dyDescent="0.15">
      <c r="A371">
        <f>IF(INDEX(Transactions!$J:$J,ROW()-8)="","",INDEX(Transactions!$J:$J,ROW()-8))</f>
      </c>
      <c r="B371" s="297">
        <f>IF($A371="",TODAY(),INDEX(Transactions!$G:$G,ROW()-8))</f>
      </c>
      <c r="C371">
        <f>IF($A371="","",INDEX(Transactions!$A:$A,ROW()-8))</f>
      </c>
      <c r="D371" s="30">
        <f>IF($A371="",0,INDEX(Transactions!$H:$H,ROW()-8))</f>
      </c>
      <c r="E371">
        <f>IF($A371="",1,INDEX(Transactions!$N:$N,ROW()-8))</f>
        <v>1</v>
      </c>
      <c r="F371" s="30">
        <f>IF($A371="",0,INDEX(Transactions!$O:$O,ROW()-8))</f>
      </c>
      <c r="G371" s="30">
        <f>IF($A371="",0,INDEX(Transactions!$P:$P,ROW()-8))</f>
      </c>
    </row>
    <row r="372" spans="1:7" ht="15" customHeight="1" x14ac:dyDescent="0.15">
      <c r="A372">
        <f>IF(INDEX(Transactions!$J:$J,ROW()-8)="","",INDEX(Transactions!$J:$J,ROW()-8))</f>
      </c>
      <c r="B372" s="297">
        <f>IF($A372="",TODAY(),INDEX(Transactions!$G:$G,ROW()-8))</f>
      </c>
      <c r="C372">
        <f>IF($A372="","",INDEX(Transactions!$A:$A,ROW()-8))</f>
      </c>
      <c r="D372" s="30">
        <f>IF($A372="",0,INDEX(Transactions!$H:$H,ROW()-8))</f>
      </c>
      <c r="E372">
        <f>IF($A372="",1,INDEX(Transactions!$N:$N,ROW()-8))</f>
        <v>1</v>
      </c>
      <c r="F372" s="30">
        <f>IF($A372="",0,INDEX(Transactions!$O:$O,ROW()-8))</f>
      </c>
      <c r="G372" s="30">
        <f>IF($A372="",0,INDEX(Transactions!$P:$P,ROW()-8))</f>
      </c>
    </row>
    <row r="373" spans="1:7" ht="15" customHeight="1" x14ac:dyDescent="0.15">
      <c r="A373">
        <f>IF(INDEX(Transactions!$J:$J,ROW()-8)="","",INDEX(Transactions!$J:$J,ROW()-8))</f>
      </c>
      <c r="B373" s="297">
        <f>IF($A373="",TODAY(),INDEX(Transactions!$G:$G,ROW()-8))</f>
      </c>
      <c r="C373">
        <f>IF($A373="","",INDEX(Transactions!$A:$A,ROW()-8))</f>
      </c>
      <c r="D373" s="30">
        <f>IF($A373="",0,INDEX(Transactions!$H:$H,ROW()-8))</f>
      </c>
      <c r="E373">
        <f>IF($A373="",1,INDEX(Transactions!$N:$N,ROW()-8))</f>
        <v>1</v>
      </c>
      <c r="F373" s="30">
        <f>IF($A373="",0,INDEX(Transactions!$O:$O,ROW()-8))</f>
      </c>
      <c r="G373" s="30">
        <f>IF($A373="",0,INDEX(Transactions!$P:$P,ROW()-8))</f>
      </c>
    </row>
    <row r="374" spans="1:7" ht="15" customHeight="1" x14ac:dyDescent="0.15">
      <c r="A374">
        <f>IF(INDEX(Transactions!$J:$J,ROW()-8)="","",INDEX(Transactions!$J:$J,ROW()-8))</f>
      </c>
      <c r="B374" s="297">
        <f>IF($A374="",TODAY(),INDEX(Transactions!$G:$G,ROW()-8))</f>
      </c>
      <c r="C374">
        <f>IF($A374="","",INDEX(Transactions!$A:$A,ROW()-8))</f>
      </c>
      <c r="D374" s="30">
        <f>IF($A374="",0,INDEX(Transactions!$H:$H,ROW()-8))</f>
      </c>
      <c r="E374">
        <f>IF($A374="",1,INDEX(Transactions!$N:$N,ROW()-8))</f>
        <v>1</v>
      </c>
      <c r="F374" s="30">
        <f>IF($A374="",0,INDEX(Transactions!$O:$O,ROW()-8))</f>
      </c>
      <c r="G374" s="30">
        <f>IF($A374="",0,INDEX(Transactions!$P:$P,ROW()-8))</f>
      </c>
    </row>
    <row r="375" spans="1:7" ht="15" customHeight="1" x14ac:dyDescent="0.15">
      <c r="A375">
        <f>IF(INDEX(Transactions!$J:$J,ROW()-8)="","",INDEX(Transactions!$J:$J,ROW()-8))</f>
      </c>
      <c r="B375" s="297">
        <f>IF($A375="",TODAY(),INDEX(Transactions!$G:$G,ROW()-8))</f>
      </c>
      <c r="C375">
        <f>IF($A375="","",INDEX(Transactions!$A:$A,ROW()-8))</f>
      </c>
      <c r="D375" s="30">
        <f>IF($A375="",0,INDEX(Transactions!$H:$H,ROW()-8))</f>
      </c>
      <c r="E375">
        <f>IF($A375="",1,INDEX(Transactions!$N:$N,ROW()-8))</f>
        <v>1</v>
      </c>
      <c r="F375" s="30">
        <f>IF($A375="",0,INDEX(Transactions!$O:$O,ROW()-8))</f>
      </c>
      <c r="G375" s="30">
        <f>IF($A375="",0,INDEX(Transactions!$P:$P,ROW()-8))</f>
      </c>
    </row>
    <row r="376" spans="1:7" ht="15" customHeight="1" x14ac:dyDescent="0.15">
      <c r="A376">
        <f>IF(INDEX(Transactions!$J:$J,ROW()-8)="","",INDEX(Transactions!$J:$J,ROW()-8))</f>
      </c>
      <c r="B376" s="297">
        <f>IF($A376="",TODAY(),INDEX(Transactions!$G:$G,ROW()-8))</f>
      </c>
      <c r="C376">
        <f>IF($A376="","",INDEX(Transactions!$A:$A,ROW()-8))</f>
      </c>
      <c r="D376" s="30">
        <f>IF($A376="",0,INDEX(Transactions!$H:$H,ROW()-8))</f>
      </c>
      <c r="E376">
        <f>IF($A376="",1,INDEX(Transactions!$N:$N,ROW()-8))</f>
        <v>1</v>
      </c>
      <c r="F376" s="30">
        <f>IF($A376="",0,INDEX(Transactions!$O:$O,ROW()-8))</f>
      </c>
      <c r="G376" s="30">
        <f>IF($A376="",0,INDEX(Transactions!$P:$P,ROW()-8))</f>
      </c>
    </row>
    <row r="377" spans="1:7" ht="15" customHeight="1" x14ac:dyDescent="0.15">
      <c r="A377">
        <f>IF(INDEX(Transactions!$J:$J,ROW()-8)="","",INDEX(Transactions!$J:$J,ROW()-8))</f>
      </c>
      <c r="B377" s="297">
        <f>IF($A377="",TODAY(),INDEX(Transactions!$G:$G,ROW()-8))</f>
      </c>
      <c r="C377">
        <f>IF($A377="","",INDEX(Transactions!$A:$A,ROW()-8))</f>
      </c>
      <c r="D377" s="30">
        <f>IF($A377="",0,INDEX(Transactions!$H:$H,ROW()-8))</f>
      </c>
      <c r="E377">
        <f>IF($A377="",1,INDEX(Transactions!$N:$N,ROW()-8))</f>
        <v>1</v>
      </c>
      <c r="F377" s="30">
        <f>IF($A377="",0,INDEX(Transactions!$O:$O,ROW()-8))</f>
      </c>
      <c r="G377" s="30">
        <f>IF($A377="",0,INDEX(Transactions!$P:$P,ROW()-8))</f>
      </c>
    </row>
    <row r="378" spans="1:7" ht="15" customHeight="1" x14ac:dyDescent="0.15">
      <c r="A378">
        <f>IF(INDEX(Transactions!$J:$J,ROW()-8)="","",INDEX(Transactions!$J:$J,ROW()-8))</f>
      </c>
      <c r="B378" s="297">
        <f>IF($A378="",TODAY(),INDEX(Transactions!$G:$G,ROW()-8))</f>
      </c>
      <c r="C378">
        <f>IF($A378="","",INDEX(Transactions!$A:$A,ROW()-8))</f>
      </c>
      <c r="D378" s="30">
        <f>IF($A378="",0,INDEX(Transactions!$H:$H,ROW()-8))</f>
      </c>
      <c r="E378">
        <f>IF($A378="",1,INDEX(Transactions!$N:$N,ROW()-8))</f>
        <v>1</v>
      </c>
      <c r="F378" s="30">
        <f>IF($A378="",0,INDEX(Transactions!$O:$O,ROW()-8))</f>
      </c>
      <c r="G378" s="30">
        <f>IF($A378="",0,INDEX(Transactions!$P:$P,ROW()-8))</f>
      </c>
    </row>
    <row r="379" spans="1:7" ht="15" customHeight="1" x14ac:dyDescent="0.15">
      <c r="A379">
        <f>IF(INDEX(Transactions!$J:$J,ROW()-8)="","",INDEX(Transactions!$J:$J,ROW()-8))</f>
      </c>
      <c r="B379" s="297">
        <f>IF($A379="",TODAY(),INDEX(Transactions!$G:$G,ROW()-8))</f>
      </c>
      <c r="C379">
        <f>IF($A379="","",INDEX(Transactions!$A:$A,ROW()-8))</f>
      </c>
      <c r="D379" s="30">
        <f>IF($A379="",0,INDEX(Transactions!$H:$H,ROW()-8))</f>
      </c>
      <c r="E379">
        <f>IF($A379="",1,INDEX(Transactions!$N:$N,ROW()-8))</f>
        <v>1</v>
      </c>
      <c r="F379" s="30">
        <f>IF($A379="",0,INDEX(Transactions!$O:$O,ROW()-8))</f>
      </c>
      <c r="G379" s="30">
        <f>IF($A379="",0,INDEX(Transactions!$P:$P,ROW()-8))</f>
      </c>
    </row>
    <row r="380" spans="1:7" ht="15" customHeight="1" x14ac:dyDescent="0.15">
      <c r="A380">
        <f>IF(INDEX(Transactions!$J:$J,ROW()-8)="","",INDEX(Transactions!$J:$J,ROW()-8))</f>
      </c>
      <c r="B380" s="297">
        <f>IF($A380="",TODAY(),INDEX(Transactions!$G:$G,ROW()-8))</f>
      </c>
      <c r="C380">
        <f>IF($A380="","",INDEX(Transactions!$A:$A,ROW()-8))</f>
      </c>
      <c r="D380" s="30">
        <f>IF($A380="",0,INDEX(Transactions!$H:$H,ROW()-8))</f>
      </c>
      <c r="E380">
        <f>IF($A380="",1,INDEX(Transactions!$N:$N,ROW()-8))</f>
        <v>1</v>
      </c>
      <c r="F380" s="30">
        <f>IF($A380="",0,INDEX(Transactions!$O:$O,ROW()-8))</f>
      </c>
      <c r="G380" s="30">
        <f>IF($A380="",0,INDEX(Transactions!$P:$P,ROW()-8))</f>
      </c>
    </row>
    <row r="381" spans="1:7" ht="15" customHeight="1" x14ac:dyDescent="0.15">
      <c r="A381">
        <f>IF(INDEX(Transactions!$J:$J,ROW()-8)="","",INDEX(Transactions!$J:$J,ROW()-8))</f>
      </c>
      <c r="B381" s="297">
        <f>IF($A381="",TODAY(),INDEX(Transactions!$G:$G,ROW()-8))</f>
      </c>
      <c r="C381">
        <f>IF($A381="","",INDEX(Transactions!$A:$A,ROW()-8))</f>
      </c>
      <c r="D381" s="30">
        <f>IF($A381="",0,INDEX(Transactions!$H:$H,ROW()-8))</f>
      </c>
      <c r="E381">
        <f>IF($A381="",1,INDEX(Transactions!$N:$N,ROW()-8))</f>
        <v>1</v>
      </c>
      <c r="F381" s="30">
        <f>IF($A381="",0,INDEX(Transactions!$O:$O,ROW()-8))</f>
      </c>
      <c r="G381" s="30">
        <f>IF($A381="",0,INDEX(Transactions!$P:$P,ROW()-8))</f>
      </c>
    </row>
    <row r="382" spans="1:7" ht="15" customHeight="1" x14ac:dyDescent="0.15">
      <c r="A382">
        <f>IF(INDEX(Transactions!$J:$J,ROW()-8)="","",INDEX(Transactions!$J:$J,ROW()-8))</f>
      </c>
      <c r="B382" s="297">
        <f>IF($A382="",TODAY(),INDEX(Transactions!$G:$G,ROW()-8))</f>
      </c>
      <c r="C382">
        <f>IF($A382="","",INDEX(Transactions!$A:$A,ROW()-8))</f>
      </c>
      <c r="D382" s="30">
        <f>IF($A382="",0,INDEX(Transactions!$H:$H,ROW()-8))</f>
      </c>
      <c r="E382">
        <f>IF($A382="",1,INDEX(Transactions!$N:$N,ROW()-8))</f>
        <v>1</v>
      </c>
      <c r="F382" s="30">
        <f>IF($A382="",0,INDEX(Transactions!$O:$O,ROW()-8))</f>
      </c>
      <c r="G382" s="30">
        <f>IF($A382="",0,INDEX(Transactions!$P:$P,ROW()-8))</f>
      </c>
    </row>
    <row r="383" spans="1:7" ht="15" customHeight="1" x14ac:dyDescent="0.15">
      <c r="A383">
        <f>IF(INDEX(Transactions!$J:$J,ROW()-8)="","",INDEX(Transactions!$J:$J,ROW()-8))</f>
      </c>
      <c r="B383" s="297">
        <f>IF($A383="",TODAY(),INDEX(Transactions!$G:$G,ROW()-8))</f>
      </c>
      <c r="C383">
        <f>IF($A383="","",INDEX(Transactions!$A:$A,ROW()-8))</f>
      </c>
      <c r="D383" s="30">
        <f>IF($A383="",0,INDEX(Transactions!$H:$H,ROW()-8))</f>
      </c>
      <c r="E383">
        <f>IF($A383="",1,INDEX(Transactions!$N:$N,ROW()-8))</f>
        <v>1</v>
      </c>
      <c r="F383" s="30">
        <f>IF($A383="",0,INDEX(Transactions!$O:$O,ROW()-8))</f>
      </c>
      <c r="G383" s="30">
        <f>IF($A383="",0,INDEX(Transactions!$P:$P,ROW()-8))</f>
      </c>
    </row>
    <row r="384" spans="1:7" ht="15" customHeight="1" x14ac:dyDescent="0.15">
      <c r="A384">
        <f>IF(INDEX(Transactions!$J:$J,ROW()-8)="","",INDEX(Transactions!$J:$J,ROW()-8))</f>
      </c>
      <c r="B384" s="297">
        <f>IF($A384="",TODAY(),INDEX(Transactions!$G:$G,ROW()-8))</f>
      </c>
      <c r="C384">
        <f>IF($A384="","",INDEX(Transactions!$A:$A,ROW()-8))</f>
      </c>
      <c r="D384" s="30">
        <f>IF($A384="",0,INDEX(Transactions!$H:$H,ROW()-8))</f>
      </c>
      <c r="E384">
        <f>IF($A384="",1,INDEX(Transactions!$N:$N,ROW()-8))</f>
        <v>1</v>
      </c>
      <c r="F384" s="30">
        <f>IF($A384="",0,INDEX(Transactions!$O:$O,ROW()-8))</f>
      </c>
      <c r="G384" s="30">
        <f>IF($A384="",0,INDEX(Transactions!$P:$P,ROW()-8))</f>
      </c>
    </row>
    <row r="385" spans="1:7" ht="15" customHeight="1" x14ac:dyDescent="0.15">
      <c r="A385">
        <f>IF(INDEX(Transactions!$J:$J,ROW()-8)="","",INDEX(Transactions!$J:$J,ROW()-8))</f>
      </c>
      <c r="B385" s="297">
        <f>IF($A385="",TODAY(),INDEX(Transactions!$G:$G,ROW()-8))</f>
      </c>
      <c r="C385">
        <f>IF($A385="","",INDEX(Transactions!$A:$A,ROW()-8))</f>
      </c>
      <c r="D385" s="30">
        <f>IF($A385="",0,INDEX(Transactions!$H:$H,ROW()-8))</f>
      </c>
      <c r="E385">
        <f>IF($A385="",1,INDEX(Transactions!$N:$N,ROW()-8))</f>
        <v>1</v>
      </c>
      <c r="F385" s="30">
        <f>IF($A385="",0,INDEX(Transactions!$O:$O,ROW()-8))</f>
      </c>
      <c r="G385" s="30">
        <f>IF($A385="",0,INDEX(Transactions!$P:$P,ROW()-8))</f>
      </c>
    </row>
    <row r="386" spans="1:7" ht="15" customHeight="1" x14ac:dyDescent="0.15">
      <c r="A386">
        <f>IF(INDEX(Transactions!$J:$J,ROW()-8)="","",INDEX(Transactions!$J:$J,ROW()-8))</f>
      </c>
      <c r="B386" s="297">
        <f>IF($A386="",TODAY(),INDEX(Transactions!$G:$G,ROW()-8))</f>
      </c>
      <c r="C386">
        <f>IF($A386="","",INDEX(Transactions!$A:$A,ROW()-8))</f>
      </c>
      <c r="D386" s="30">
        <f>IF($A386="",0,INDEX(Transactions!$H:$H,ROW()-8))</f>
      </c>
      <c r="E386">
        <f>IF($A386="",1,INDEX(Transactions!$N:$N,ROW()-8))</f>
        <v>1</v>
      </c>
      <c r="F386" s="30">
        <f>IF($A386="",0,INDEX(Transactions!$O:$O,ROW()-8))</f>
      </c>
      <c r="G386" s="30">
        <f>IF($A386="",0,INDEX(Transactions!$P:$P,ROW()-8))</f>
      </c>
    </row>
    <row r="387" spans="1:7" ht="15" customHeight="1" x14ac:dyDescent="0.15">
      <c r="A387">
        <f>IF(INDEX(Transactions!$J:$J,ROW()-8)="","",INDEX(Transactions!$J:$J,ROW()-8))</f>
      </c>
      <c r="B387" s="297">
        <f>IF($A387="",TODAY(),INDEX(Transactions!$G:$G,ROW()-8))</f>
      </c>
      <c r="C387">
        <f>IF($A387="","",INDEX(Transactions!$A:$A,ROW()-8))</f>
      </c>
      <c r="D387" s="30">
        <f>IF($A387="",0,INDEX(Transactions!$H:$H,ROW()-8))</f>
      </c>
      <c r="E387">
        <f>IF($A387="",1,INDEX(Transactions!$N:$N,ROW()-8))</f>
        <v>1</v>
      </c>
      <c r="F387" s="30">
        <f>IF($A387="",0,INDEX(Transactions!$O:$O,ROW()-8))</f>
      </c>
      <c r="G387" s="30">
        <f>IF($A387="",0,INDEX(Transactions!$P:$P,ROW()-8))</f>
      </c>
    </row>
    <row r="388" spans="1:7" ht="15" customHeight="1" x14ac:dyDescent="0.15">
      <c r="A388">
        <f>IF(INDEX(Transactions!$J:$J,ROW()-8)="","",INDEX(Transactions!$J:$J,ROW()-8))</f>
      </c>
      <c r="B388" s="297">
        <f>IF($A388="",TODAY(),INDEX(Transactions!$G:$G,ROW()-8))</f>
      </c>
      <c r="C388">
        <f>IF($A388="","",INDEX(Transactions!$A:$A,ROW()-8))</f>
      </c>
      <c r="D388" s="30">
        <f>IF($A388="",0,INDEX(Transactions!$H:$H,ROW()-8))</f>
      </c>
      <c r="E388">
        <f>IF($A388="",1,INDEX(Transactions!$N:$N,ROW()-8))</f>
        <v>1</v>
      </c>
      <c r="F388" s="30">
        <f>IF($A388="",0,INDEX(Transactions!$O:$O,ROW()-8))</f>
      </c>
      <c r="G388" s="30">
        <f>IF($A388="",0,INDEX(Transactions!$P:$P,ROW()-8))</f>
      </c>
    </row>
    <row r="389" spans="1:7" ht="15" customHeight="1" x14ac:dyDescent="0.15">
      <c r="A389">
        <f>IF(INDEX(Transactions!$J:$J,ROW()-8)="","",INDEX(Transactions!$J:$J,ROW()-8))</f>
      </c>
      <c r="B389" s="297">
        <f>IF($A389="",TODAY(),INDEX(Transactions!$G:$G,ROW()-8))</f>
      </c>
      <c r="C389">
        <f>IF($A389="","",INDEX(Transactions!$A:$A,ROW()-8))</f>
      </c>
      <c r="D389" s="30">
        <f>IF($A389="",0,INDEX(Transactions!$H:$H,ROW()-8))</f>
      </c>
      <c r="E389">
        <f>IF($A389="",1,INDEX(Transactions!$N:$N,ROW()-8))</f>
        <v>1</v>
      </c>
      <c r="F389" s="30">
        <f>IF($A389="",0,INDEX(Transactions!$O:$O,ROW()-8))</f>
      </c>
      <c r="G389" s="30">
        <f>IF($A389="",0,INDEX(Transactions!$P:$P,ROW()-8))</f>
      </c>
    </row>
    <row r="390" spans="1:7" ht="15" customHeight="1" x14ac:dyDescent="0.15">
      <c r="A390">
        <f>IF(INDEX(Transactions!$J:$J,ROW()-8)="","",INDEX(Transactions!$J:$J,ROW()-8))</f>
      </c>
      <c r="B390" s="297">
        <f>IF($A390="",TODAY(),INDEX(Transactions!$G:$G,ROW()-8))</f>
      </c>
      <c r="C390">
        <f>IF($A390="","",INDEX(Transactions!$A:$A,ROW()-8))</f>
      </c>
      <c r="D390" s="30">
        <f>IF($A390="",0,INDEX(Transactions!$H:$H,ROW()-8))</f>
      </c>
      <c r="E390">
        <f>IF($A390="",1,INDEX(Transactions!$N:$N,ROW()-8))</f>
        <v>1</v>
      </c>
      <c r="F390" s="30">
        <f>IF($A390="",0,INDEX(Transactions!$O:$O,ROW()-8))</f>
      </c>
      <c r="G390" s="30">
        <f>IF($A390="",0,INDEX(Transactions!$P:$P,ROW()-8))</f>
      </c>
    </row>
    <row r="391" spans="1:7" ht="15" customHeight="1" x14ac:dyDescent="0.15">
      <c r="A391">
        <f>IF(INDEX(Transactions!$J:$J,ROW()-8)="","",INDEX(Transactions!$J:$J,ROW()-8))</f>
      </c>
      <c r="B391" s="297">
        <f>IF($A391="",TODAY(),INDEX(Transactions!$G:$G,ROW()-8))</f>
      </c>
      <c r="C391">
        <f>IF($A391="","",INDEX(Transactions!$A:$A,ROW()-8))</f>
      </c>
      <c r="D391" s="30">
        <f>IF($A391="",0,INDEX(Transactions!$H:$H,ROW()-8))</f>
      </c>
      <c r="E391">
        <f>IF($A391="",1,INDEX(Transactions!$N:$N,ROW()-8))</f>
        <v>1</v>
      </c>
      <c r="F391" s="30">
        <f>IF($A391="",0,INDEX(Transactions!$O:$O,ROW()-8))</f>
      </c>
      <c r="G391" s="30">
        <f>IF($A391="",0,INDEX(Transactions!$P:$P,ROW()-8))</f>
      </c>
    </row>
    <row r="392" spans="1:7" ht="15" customHeight="1" x14ac:dyDescent="0.15">
      <c r="A392">
        <f>IF(INDEX(Transactions!$J:$J,ROW()-8)="","",INDEX(Transactions!$J:$J,ROW()-8))</f>
      </c>
      <c r="B392" s="297">
        <f>IF($A392="",TODAY(),INDEX(Transactions!$G:$G,ROW()-8))</f>
      </c>
      <c r="C392">
        <f>IF($A392="","",INDEX(Transactions!$A:$A,ROW()-8))</f>
      </c>
      <c r="D392" s="30">
        <f>IF($A392="",0,INDEX(Transactions!$H:$H,ROW()-8))</f>
      </c>
      <c r="E392">
        <f>IF($A392="",1,INDEX(Transactions!$N:$N,ROW()-8))</f>
        <v>1</v>
      </c>
      <c r="F392" s="30">
        <f>IF($A392="",0,INDEX(Transactions!$O:$O,ROW()-8))</f>
      </c>
      <c r="G392" s="30">
        <f>IF($A392="",0,INDEX(Transactions!$P:$P,ROW()-8))</f>
      </c>
    </row>
    <row r="393" spans="1:7" ht="15" customHeight="1" x14ac:dyDescent="0.15">
      <c r="A393">
        <f>IF(INDEX(Transactions!$J:$J,ROW()-8)="","",INDEX(Transactions!$J:$J,ROW()-8))</f>
      </c>
      <c r="B393" s="297">
        <f>IF($A393="",TODAY(),INDEX(Transactions!$G:$G,ROW()-8))</f>
      </c>
      <c r="C393">
        <f>IF($A393="","",INDEX(Transactions!$A:$A,ROW()-8))</f>
      </c>
      <c r="D393" s="30">
        <f>IF($A393="",0,INDEX(Transactions!$H:$H,ROW()-8))</f>
      </c>
      <c r="E393">
        <f>IF($A393="",1,INDEX(Transactions!$N:$N,ROW()-8))</f>
        <v>1</v>
      </c>
      <c r="F393" s="30">
        <f>IF($A393="",0,INDEX(Transactions!$O:$O,ROW()-8))</f>
      </c>
      <c r="G393" s="30">
        <f>IF($A393="",0,INDEX(Transactions!$P:$P,ROW()-8))</f>
      </c>
    </row>
    <row r="394" spans="1:7" ht="15" customHeight="1" x14ac:dyDescent="0.15">
      <c r="A394">
        <f>IF(INDEX(Transactions!$J:$J,ROW()-8)="","",INDEX(Transactions!$J:$J,ROW()-8))</f>
      </c>
      <c r="B394" s="297">
        <f>IF($A394="",TODAY(),INDEX(Transactions!$G:$G,ROW()-8))</f>
      </c>
      <c r="C394">
        <f>IF($A394="","",INDEX(Transactions!$A:$A,ROW()-8))</f>
      </c>
      <c r="D394" s="30">
        <f>IF($A394="",0,INDEX(Transactions!$H:$H,ROW()-8))</f>
      </c>
      <c r="E394">
        <f>IF($A394="",1,INDEX(Transactions!$N:$N,ROW()-8))</f>
        <v>1</v>
      </c>
      <c r="F394" s="30">
        <f>IF($A394="",0,INDEX(Transactions!$O:$O,ROW()-8))</f>
      </c>
      <c r="G394" s="30">
        <f>IF($A394="",0,INDEX(Transactions!$P:$P,ROW()-8))</f>
      </c>
    </row>
    <row r="395" spans="1:7" ht="15" customHeight="1" x14ac:dyDescent="0.15">
      <c r="A395">
        <f>IF(INDEX(Transactions!$J:$J,ROW()-8)="","",INDEX(Transactions!$J:$J,ROW()-8))</f>
      </c>
      <c r="B395" s="297">
        <f>IF($A395="",TODAY(),INDEX(Transactions!$G:$G,ROW()-8))</f>
      </c>
      <c r="C395">
        <f>IF($A395="","",INDEX(Transactions!$A:$A,ROW()-8))</f>
      </c>
      <c r="D395" s="30">
        <f>IF($A395="",0,INDEX(Transactions!$H:$H,ROW()-8))</f>
      </c>
      <c r="E395">
        <f>IF($A395="",1,INDEX(Transactions!$N:$N,ROW()-8))</f>
        <v>1</v>
      </c>
      <c r="F395" s="30">
        <f>IF($A395="",0,INDEX(Transactions!$O:$O,ROW()-8))</f>
      </c>
      <c r="G395" s="30">
        <f>IF($A395="",0,INDEX(Transactions!$P:$P,ROW()-8))</f>
      </c>
    </row>
    <row r="396" spans="1:7" ht="15" customHeight="1" x14ac:dyDescent="0.15">
      <c r="A396">
        <f>IF(INDEX(Transactions!$J:$J,ROW()-8)="","",INDEX(Transactions!$J:$J,ROW()-8))</f>
      </c>
      <c r="B396" s="297">
        <f>IF($A396="",TODAY(),INDEX(Transactions!$G:$G,ROW()-8))</f>
      </c>
      <c r="C396">
        <f>IF($A396="","",INDEX(Transactions!$A:$A,ROW()-8))</f>
      </c>
      <c r="D396" s="30">
        <f>IF($A396="",0,INDEX(Transactions!$H:$H,ROW()-8))</f>
      </c>
      <c r="E396">
        <f>IF($A396="",1,INDEX(Transactions!$N:$N,ROW()-8))</f>
        <v>1</v>
      </c>
      <c r="F396" s="30">
        <f>IF($A396="",0,INDEX(Transactions!$O:$O,ROW()-8))</f>
      </c>
      <c r="G396" s="30">
        <f>IF($A396="",0,INDEX(Transactions!$P:$P,ROW()-8))</f>
      </c>
    </row>
    <row r="397" spans="1:7" ht="15" customHeight="1" x14ac:dyDescent="0.15">
      <c r="A397">
        <f>IF(INDEX(Transactions!$J:$J,ROW()-8)="","",INDEX(Transactions!$J:$J,ROW()-8))</f>
      </c>
      <c r="B397" s="297">
        <f>IF($A397="",TODAY(),INDEX(Transactions!$G:$G,ROW()-8))</f>
      </c>
      <c r="C397">
        <f>IF($A397="","",INDEX(Transactions!$A:$A,ROW()-8))</f>
      </c>
      <c r="D397" s="30">
        <f>IF($A397="",0,INDEX(Transactions!$H:$H,ROW()-8))</f>
      </c>
      <c r="E397">
        <f>IF($A397="",1,INDEX(Transactions!$N:$N,ROW()-8))</f>
        <v>1</v>
      </c>
      <c r="F397" s="30">
        <f>IF($A397="",0,INDEX(Transactions!$O:$O,ROW()-8))</f>
      </c>
      <c r="G397" s="30">
        <f>IF($A397="",0,INDEX(Transactions!$P:$P,ROW()-8))</f>
      </c>
    </row>
    <row r="398" spans="1:7" ht="15" customHeight="1" x14ac:dyDescent="0.15">
      <c r="A398">
        <f>IF(INDEX(Transactions!$J:$J,ROW()-8)="","",INDEX(Transactions!$J:$J,ROW()-8))</f>
      </c>
      <c r="B398" s="297">
        <f>IF($A398="",TODAY(),INDEX(Transactions!$G:$G,ROW()-8))</f>
      </c>
      <c r="C398">
        <f>IF($A398="","",INDEX(Transactions!$A:$A,ROW()-8))</f>
      </c>
      <c r="D398" s="30">
        <f>IF($A398="",0,INDEX(Transactions!$H:$H,ROW()-8))</f>
      </c>
      <c r="E398">
        <f>IF($A398="",1,INDEX(Transactions!$N:$N,ROW()-8))</f>
        <v>1</v>
      </c>
      <c r="F398" s="30">
        <f>IF($A398="",0,INDEX(Transactions!$O:$O,ROW()-8))</f>
      </c>
      <c r="G398" s="30">
        <f>IF($A398="",0,INDEX(Transactions!$P:$P,ROW()-8))</f>
      </c>
    </row>
    <row r="399" spans="1:7" ht="15" customHeight="1" x14ac:dyDescent="0.15">
      <c r="A399">
        <f>IF(INDEX(Transactions!$J:$J,ROW()-8)="","",INDEX(Transactions!$J:$J,ROW()-8))</f>
      </c>
      <c r="B399" s="297">
        <f>IF($A399="",TODAY(),INDEX(Transactions!$G:$G,ROW()-8))</f>
      </c>
      <c r="C399">
        <f>IF($A399="","",INDEX(Transactions!$A:$A,ROW()-8))</f>
      </c>
      <c r="D399" s="30">
        <f>IF($A399="",0,INDEX(Transactions!$H:$H,ROW()-8))</f>
      </c>
      <c r="E399">
        <f>IF($A399="",1,INDEX(Transactions!$N:$N,ROW()-8))</f>
        <v>1</v>
      </c>
      <c r="F399" s="30">
        <f>IF($A399="",0,INDEX(Transactions!$O:$O,ROW()-8))</f>
      </c>
      <c r="G399" s="30">
        <f>IF($A399="",0,INDEX(Transactions!$P:$P,ROW()-8))</f>
      </c>
    </row>
    <row r="400" spans="1:7" ht="15" customHeight="1" x14ac:dyDescent="0.15">
      <c r="A400">
        <f>IF(INDEX(Transactions!$J:$J,ROW()-8)="","",INDEX(Transactions!$J:$J,ROW()-8))</f>
      </c>
      <c r="B400" s="297">
        <f>IF($A400="",TODAY(),INDEX(Transactions!$G:$G,ROW()-8))</f>
      </c>
      <c r="C400">
        <f>IF($A400="","",INDEX(Transactions!$A:$A,ROW()-8))</f>
      </c>
      <c r="D400" s="30">
        <f>IF($A400="",0,INDEX(Transactions!$H:$H,ROW()-8))</f>
      </c>
      <c r="E400">
        <f>IF($A400="",1,INDEX(Transactions!$N:$N,ROW()-8))</f>
        <v>1</v>
      </c>
      <c r="F400" s="30">
        <f>IF($A400="",0,INDEX(Transactions!$O:$O,ROW()-8))</f>
      </c>
      <c r="G400" s="30">
        <f>IF($A400="",0,INDEX(Transactions!$P:$P,ROW()-8))</f>
      </c>
    </row>
    <row r="401" spans="1:7" ht="15" customHeight="1" x14ac:dyDescent="0.15">
      <c r="A401">
        <f>IF(INDEX(Transactions!$J:$J,ROW()-8)="","",INDEX(Transactions!$J:$J,ROW()-8))</f>
      </c>
      <c r="B401" s="297">
        <f>IF($A401="",TODAY(),INDEX(Transactions!$G:$G,ROW()-8))</f>
      </c>
      <c r="C401">
        <f>IF($A401="","",INDEX(Transactions!$A:$A,ROW()-8))</f>
      </c>
      <c r="D401" s="30">
        <f>IF($A401="",0,INDEX(Transactions!$H:$H,ROW()-8))</f>
      </c>
      <c r="E401">
        <f>IF($A401="",1,INDEX(Transactions!$N:$N,ROW()-8))</f>
        <v>1</v>
      </c>
      <c r="F401" s="30">
        <f>IF($A401="",0,INDEX(Transactions!$O:$O,ROW()-8))</f>
      </c>
      <c r="G401" s="30">
        <f>IF($A401="",0,INDEX(Transactions!$P:$P,ROW()-8))</f>
      </c>
    </row>
    <row r="402" spans="1:7" ht="15" customHeight="1" x14ac:dyDescent="0.15">
      <c r="A402">
        <f>IF(INDEX(Transactions!$J:$J,ROW()-8)="","",INDEX(Transactions!$J:$J,ROW()-8))</f>
      </c>
      <c r="B402" s="297">
        <f>IF($A402="",TODAY(),INDEX(Transactions!$G:$G,ROW()-8))</f>
      </c>
      <c r="C402">
        <f>IF($A402="","",INDEX(Transactions!$A:$A,ROW()-8))</f>
      </c>
      <c r="D402" s="30">
        <f>IF($A402="",0,INDEX(Transactions!$H:$H,ROW()-8))</f>
      </c>
      <c r="E402">
        <f>IF($A402="",1,INDEX(Transactions!$N:$N,ROW()-8))</f>
        <v>1</v>
      </c>
      <c r="F402" s="30">
        <f>IF($A402="",0,INDEX(Transactions!$O:$O,ROW()-8))</f>
      </c>
      <c r="G402" s="30">
        <f>IF($A402="",0,INDEX(Transactions!$P:$P,ROW()-8))</f>
      </c>
    </row>
    <row r="403" spans="1:7" ht="15" customHeight="1" x14ac:dyDescent="0.15">
      <c r="A403">
        <f>IF(INDEX(Transactions!$J:$J,ROW()-8)="","",INDEX(Transactions!$J:$J,ROW()-8))</f>
      </c>
      <c r="B403" s="297">
        <f>IF($A403="",TODAY(),INDEX(Transactions!$G:$G,ROW()-8))</f>
      </c>
      <c r="C403">
        <f>IF($A403="","",INDEX(Transactions!$A:$A,ROW()-8))</f>
      </c>
      <c r="D403" s="30">
        <f>IF($A403="",0,INDEX(Transactions!$H:$H,ROW()-8))</f>
      </c>
      <c r="E403">
        <f>IF($A403="",1,INDEX(Transactions!$N:$N,ROW()-8))</f>
        <v>1</v>
      </c>
      <c r="F403" s="30">
        <f>IF($A403="",0,INDEX(Transactions!$O:$O,ROW()-8))</f>
      </c>
      <c r="G403" s="30">
        <f>IF($A403="",0,INDEX(Transactions!$P:$P,ROW()-8))</f>
      </c>
    </row>
    <row r="404" spans="1:7" ht="15" customHeight="1" x14ac:dyDescent="0.15">
      <c r="A404">
        <f>IF(INDEX(Transactions!$J:$J,ROW()-8)="","",INDEX(Transactions!$J:$J,ROW()-8))</f>
      </c>
      <c r="B404" s="297">
        <f>IF($A404="",TODAY(),INDEX(Transactions!$G:$G,ROW()-8))</f>
      </c>
      <c r="C404">
        <f>IF($A404="","",INDEX(Transactions!$A:$A,ROW()-8))</f>
      </c>
      <c r="D404" s="30">
        <f>IF($A404="",0,INDEX(Transactions!$H:$H,ROW()-8))</f>
      </c>
      <c r="E404">
        <f>IF($A404="",1,INDEX(Transactions!$N:$N,ROW()-8))</f>
        <v>1</v>
      </c>
      <c r="F404" s="30">
        <f>IF($A404="",0,INDEX(Transactions!$O:$O,ROW()-8))</f>
      </c>
      <c r="G404" s="30">
        <f>IF($A404="",0,INDEX(Transactions!$P:$P,ROW()-8))</f>
      </c>
    </row>
    <row r="405" spans="1:7" ht="15" customHeight="1" x14ac:dyDescent="0.15">
      <c r="A405">
        <f>IF(INDEX(Transactions!$J:$J,ROW()-8)="","",INDEX(Transactions!$J:$J,ROW()-8))</f>
      </c>
      <c r="B405" s="297">
        <f>IF($A405="",TODAY(),INDEX(Transactions!$G:$G,ROW()-8))</f>
      </c>
      <c r="C405">
        <f>IF($A405="","",INDEX(Transactions!$A:$A,ROW()-8))</f>
      </c>
      <c r="D405" s="30">
        <f>IF($A405="",0,INDEX(Transactions!$H:$H,ROW()-8))</f>
      </c>
      <c r="E405">
        <f>IF($A405="",1,INDEX(Transactions!$N:$N,ROW()-8))</f>
        <v>1</v>
      </c>
      <c r="F405" s="30">
        <f>IF($A405="",0,INDEX(Transactions!$O:$O,ROW()-8))</f>
      </c>
      <c r="G405" s="30">
        <f>IF($A405="",0,INDEX(Transactions!$P:$P,ROW()-8))</f>
      </c>
    </row>
    <row r="406" spans="1:7" ht="15" customHeight="1" x14ac:dyDescent="0.15">
      <c r="A406">
        <f>IF(INDEX(Transactions!$J:$J,ROW()-8)="","",INDEX(Transactions!$J:$J,ROW()-8))</f>
      </c>
      <c r="B406" s="297">
        <f>IF($A406="",TODAY(),INDEX(Transactions!$G:$G,ROW()-8))</f>
      </c>
      <c r="C406">
        <f>IF($A406="","",INDEX(Transactions!$A:$A,ROW()-8))</f>
      </c>
      <c r="D406" s="30">
        <f>IF($A406="",0,INDEX(Transactions!$H:$H,ROW()-8))</f>
      </c>
      <c r="E406">
        <f>IF($A406="",1,INDEX(Transactions!$N:$N,ROW()-8))</f>
        <v>1</v>
      </c>
      <c r="F406" s="30">
        <f>IF($A406="",0,INDEX(Transactions!$O:$O,ROW()-8))</f>
      </c>
      <c r="G406" s="30">
        <f>IF($A406="",0,INDEX(Transactions!$P:$P,ROW()-8))</f>
      </c>
    </row>
    <row r="407" spans="1:7" ht="15" customHeight="1" x14ac:dyDescent="0.15">
      <c r="A407">
        <f>IF(INDEX(Transactions!$J:$J,ROW()-8)="","",INDEX(Transactions!$J:$J,ROW()-8))</f>
      </c>
      <c r="B407" s="297">
        <f>IF($A407="",TODAY(),INDEX(Transactions!$G:$G,ROW()-8))</f>
      </c>
      <c r="C407">
        <f>IF($A407="","",INDEX(Transactions!$A:$A,ROW()-8))</f>
      </c>
      <c r="D407" s="30">
        <f>IF($A407="",0,INDEX(Transactions!$H:$H,ROW()-8))</f>
      </c>
      <c r="E407">
        <f>IF($A407="",1,INDEX(Transactions!$N:$N,ROW()-8))</f>
        <v>1</v>
      </c>
      <c r="F407" s="30">
        <f>IF($A407="",0,INDEX(Transactions!$O:$O,ROW()-8))</f>
      </c>
      <c r="G407" s="30">
        <f>IF($A407="",0,INDEX(Transactions!$P:$P,ROW()-8))</f>
      </c>
    </row>
    <row r="408" spans="1:7" ht="15" customHeight="1" x14ac:dyDescent="0.15">
      <c r="A408">
        <f>IF(INDEX(Transactions!$J:$J,ROW()-8)="","",INDEX(Transactions!$J:$J,ROW()-8))</f>
      </c>
      <c r="B408" s="297">
        <f>IF($A408="",TODAY(),INDEX(Transactions!$G:$G,ROW()-8))</f>
      </c>
      <c r="C408">
        <f>IF($A408="","",INDEX(Transactions!$A:$A,ROW()-8))</f>
      </c>
      <c r="D408" s="30">
        <f>IF($A408="",0,INDEX(Transactions!$H:$H,ROW()-8))</f>
      </c>
      <c r="E408">
        <f>IF($A408="",1,INDEX(Transactions!$N:$N,ROW()-8))</f>
        <v>1</v>
      </c>
      <c r="F408" s="30">
        <f>IF($A408="",0,INDEX(Transactions!$O:$O,ROW()-8))</f>
      </c>
      <c r="G408" s="30">
        <f>IF($A408="",0,INDEX(Transactions!$P:$P,ROW()-8))</f>
      </c>
    </row>
    <row r="409" spans="1:7" ht="15" customHeight="1" x14ac:dyDescent="0.15">
      <c r="A409">
        <f>IF(INDEX(Transactions!$J:$J,ROW()-8)="","",INDEX(Transactions!$J:$J,ROW()-8))</f>
      </c>
      <c r="B409" s="297">
        <f>IF($A409="",TODAY(),INDEX(Transactions!$G:$G,ROW()-8))</f>
      </c>
      <c r="C409">
        <f>IF($A409="","",INDEX(Transactions!$A:$A,ROW()-8))</f>
      </c>
      <c r="D409" s="30">
        <f>IF($A409="",0,INDEX(Transactions!$H:$H,ROW()-8))</f>
      </c>
      <c r="E409">
        <f>IF($A409="",1,INDEX(Transactions!$N:$N,ROW()-8))</f>
        <v>1</v>
      </c>
      <c r="F409" s="30">
        <f>IF($A409="",0,INDEX(Transactions!$O:$O,ROW()-8))</f>
      </c>
      <c r="G409" s="30">
        <f>IF($A409="",0,INDEX(Transactions!$P:$P,ROW()-8))</f>
      </c>
    </row>
    <row r="410" spans="1:7" ht="15" customHeight="1" x14ac:dyDescent="0.15">
      <c r="A410">
        <f>IF(INDEX(Transactions!$J:$J,ROW()-8)="","",INDEX(Transactions!$J:$J,ROW()-8))</f>
      </c>
      <c r="B410" s="297">
        <f>IF($A410="",TODAY(),INDEX(Transactions!$G:$G,ROW()-8))</f>
      </c>
      <c r="C410">
        <f>IF($A410="","",INDEX(Transactions!$A:$A,ROW()-8))</f>
      </c>
      <c r="D410" s="30">
        <f>IF($A410="",0,INDEX(Transactions!$H:$H,ROW()-8))</f>
      </c>
      <c r="E410">
        <f>IF($A410="",1,INDEX(Transactions!$N:$N,ROW()-8))</f>
        <v>1</v>
      </c>
      <c r="F410" s="30">
        <f>IF($A410="",0,INDEX(Transactions!$O:$O,ROW()-8))</f>
      </c>
      <c r="G410" s="30">
        <f>IF($A410="",0,INDEX(Transactions!$P:$P,ROW()-8))</f>
      </c>
    </row>
    <row r="411" spans="1:7" ht="15" customHeight="1" x14ac:dyDescent="0.15">
      <c r="A411">
        <f>IF(INDEX(Transactions!$J:$J,ROW()-8)="","",INDEX(Transactions!$J:$J,ROW()-8))</f>
      </c>
      <c r="B411" s="297">
        <f>IF($A411="",TODAY(),INDEX(Transactions!$G:$G,ROW()-8))</f>
      </c>
      <c r="C411">
        <f>IF($A411="","",INDEX(Transactions!$A:$A,ROW()-8))</f>
      </c>
      <c r="D411" s="30">
        <f>IF($A411="",0,INDEX(Transactions!$H:$H,ROW()-8))</f>
      </c>
      <c r="E411">
        <f>IF($A411="",1,INDEX(Transactions!$N:$N,ROW()-8))</f>
        <v>1</v>
      </c>
      <c r="F411" s="30">
        <f>IF($A411="",0,INDEX(Transactions!$O:$O,ROW()-8))</f>
      </c>
      <c r="G411" s="30">
        <f>IF($A411="",0,INDEX(Transactions!$P:$P,ROW()-8))</f>
      </c>
    </row>
    <row r="412" spans="1:7" ht="15" customHeight="1" x14ac:dyDescent="0.15">
      <c r="A412">
        <f>IF(INDEX(Transactions!$J:$J,ROW()-8)="","",INDEX(Transactions!$J:$J,ROW()-8))</f>
      </c>
      <c r="B412" s="297">
        <f>IF($A412="",TODAY(),INDEX(Transactions!$G:$G,ROW()-8))</f>
      </c>
      <c r="C412">
        <f>IF($A412="","",INDEX(Transactions!$A:$A,ROW()-8))</f>
      </c>
      <c r="D412" s="30">
        <f>IF($A412="",0,INDEX(Transactions!$H:$H,ROW()-8))</f>
      </c>
      <c r="E412">
        <f>IF($A412="",1,INDEX(Transactions!$N:$N,ROW()-8))</f>
        <v>1</v>
      </c>
      <c r="F412" s="30">
        <f>IF($A412="",0,INDEX(Transactions!$O:$O,ROW()-8))</f>
      </c>
      <c r="G412" s="30">
        <f>IF($A412="",0,INDEX(Transactions!$P:$P,ROW()-8))</f>
      </c>
    </row>
    <row r="413" spans="1:7" ht="15" customHeight="1" x14ac:dyDescent="0.15">
      <c r="A413">
        <f>IF(INDEX(Transactions!$J:$J,ROW()-8)="","",INDEX(Transactions!$J:$J,ROW()-8))</f>
      </c>
      <c r="B413" s="297">
        <f>IF($A413="",TODAY(),INDEX(Transactions!$G:$G,ROW()-8))</f>
      </c>
      <c r="C413">
        <f>IF($A413="","",INDEX(Transactions!$A:$A,ROW()-8))</f>
      </c>
      <c r="D413" s="30">
        <f>IF($A413="",0,INDEX(Transactions!$H:$H,ROW()-8))</f>
      </c>
      <c r="E413">
        <f>IF($A413="",1,INDEX(Transactions!$N:$N,ROW()-8))</f>
        <v>1</v>
      </c>
      <c r="F413" s="30">
        <f>IF($A413="",0,INDEX(Transactions!$O:$O,ROW()-8))</f>
      </c>
      <c r="G413" s="30">
        <f>IF($A413="",0,INDEX(Transactions!$P:$P,ROW()-8))</f>
      </c>
    </row>
    <row r="414" spans="1:7" ht="15" customHeight="1" x14ac:dyDescent="0.15">
      <c r="A414">
        <f>IF(INDEX(Transactions!$J:$J,ROW()-8)="","",INDEX(Transactions!$J:$J,ROW()-8))</f>
      </c>
      <c r="B414" s="297">
        <f>IF($A414="",TODAY(),INDEX(Transactions!$G:$G,ROW()-8))</f>
      </c>
      <c r="C414">
        <f>IF($A414="","",INDEX(Transactions!$A:$A,ROW()-8))</f>
      </c>
      <c r="D414" s="30">
        <f>IF($A414="",0,INDEX(Transactions!$H:$H,ROW()-8))</f>
      </c>
      <c r="E414">
        <f>IF($A414="",1,INDEX(Transactions!$N:$N,ROW()-8))</f>
        <v>1</v>
      </c>
      <c r="F414" s="30">
        <f>IF($A414="",0,INDEX(Transactions!$O:$O,ROW()-8))</f>
      </c>
      <c r="G414" s="30">
        <f>IF($A414="",0,INDEX(Transactions!$P:$P,ROW()-8))</f>
      </c>
    </row>
    <row r="415" spans="1:7" ht="15" customHeight="1" x14ac:dyDescent="0.15">
      <c r="A415">
        <f>IF(INDEX(Transactions!$J:$J,ROW()-8)="","",INDEX(Transactions!$J:$J,ROW()-8))</f>
      </c>
      <c r="B415" s="297">
        <f>IF($A415="",TODAY(),INDEX(Transactions!$G:$G,ROW()-8))</f>
      </c>
      <c r="C415">
        <f>IF($A415="","",INDEX(Transactions!$A:$A,ROW()-8))</f>
      </c>
      <c r="D415" s="30">
        <f>IF($A415="",0,INDEX(Transactions!$H:$H,ROW()-8))</f>
      </c>
      <c r="E415">
        <f>IF($A415="",1,INDEX(Transactions!$N:$N,ROW()-8))</f>
        <v>1</v>
      </c>
      <c r="F415" s="30">
        <f>IF($A415="",0,INDEX(Transactions!$O:$O,ROW()-8))</f>
      </c>
      <c r="G415" s="30">
        <f>IF($A415="",0,INDEX(Transactions!$P:$P,ROW()-8))</f>
      </c>
    </row>
    <row r="416" spans="1:7" ht="15" customHeight="1" x14ac:dyDescent="0.15">
      <c r="A416">
        <f>IF(INDEX(Transactions!$J:$J,ROW()-8)="","",INDEX(Transactions!$J:$J,ROW()-8))</f>
      </c>
      <c r="B416" s="297">
        <f>IF($A416="",TODAY(),INDEX(Transactions!$G:$G,ROW()-8))</f>
      </c>
      <c r="C416">
        <f>IF($A416="","",INDEX(Transactions!$A:$A,ROW()-8))</f>
      </c>
      <c r="D416" s="30">
        <f>IF($A416="",0,INDEX(Transactions!$H:$H,ROW()-8))</f>
      </c>
      <c r="E416">
        <f>IF($A416="",1,INDEX(Transactions!$N:$N,ROW()-8))</f>
        <v>1</v>
      </c>
      <c r="F416" s="30">
        <f>IF($A416="",0,INDEX(Transactions!$O:$O,ROW()-8))</f>
      </c>
      <c r="G416" s="30">
        <f>IF($A416="",0,INDEX(Transactions!$P:$P,ROW()-8))</f>
      </c>
    </row>
    <row r="417" spans="1:7" ht="15" customHeight="1" x14ac:dyDescent="0.15">
      <c r="A417">
        <f>IF(INDEX(Transactions!$J:$J,ROW()-8)="","",INDEX(Transactions!$J:$J,ROW()-8))</f>
      </c>
      <c r="B417" s="297">
        <f>IF($A417="",TODAY(),INDEX(Transactions!$G:$G,ROW()-8))</f>
      </c>
      <c r="C417">
        <f>IF($A417="","",INDEX(Transactions!$A:$A,ROW()-8))</f>
      </c>
      <c r="D417" s="30">
        <f>IF($A417="",0,INDEX(Transactions!$H:$H,ROW()-8))</f>
      </c>
      <c r="E417">
        <f>IF($A417="",1,INDEX(Transactions!$N:$N,ROW()-8))</f>
        <v>1</v>
      </c>
      <c r="F417" s="30">
        <f>IF($A417="",0,INDEX(Transactions!$O:$O,ROW()-8))</f>
      </c>
      <c r="G417" s="30">
        <f>IF($A417="",0,INDEX(Transactions!$P:$P,ROW()-8))</f>
      </c>
    </row>
    <row r="418" spans="1:7" ht="15" customHeight="1" x14ac:dyDescent="0.15">
      <c r="A418">
        <f>IF(INDEX(Transactions!$J:$J,ROW()-8)="","",INDEX(Transactions!$J:$J,ROW()-8))</f>
      </c>
      <c r="B418" s="297">
        <f>IF($A418="",TODAY(),INDEX(Transactions!$G:$G,ROW()-8))</f>
      </c>
      <c r="C418">
        <f>IF($A418="","",INDEX(Transactions!$A:$A,ROW()-8))</f>
      </c>
      <c r="D418" s="30">
        <f>IF($A418="",0,INDEX(Transactions!$H:$H,ROW()-8))</f>
      </c>
      <c r="E418">
        <f>IF($A418="",1,INDEX(Transactions!$N:$N,ROW()-8))</f>
        <v>1</v>
      </c>
      <c r="F418" s="30">
        <f>IF($A418="",0,INDEX(Transactions!$O:$O,ROW()-8))</f>
      </c>
      <c r="G418" s="30">
        <f>IF($A418="",0,INDEX(Transactions!$P:$P,ROW()-8))</f>
      </c>
    </row>
    <row r="419" spans="1:7" ht="15" customHeight="1" x14ac:dyDescent="0.15">
      <c r="A419">
        <f>IF(INDEX(Transactions!$J:$J,ROW()-8)="","",INDEX(Transactions!$J:$J,ROW()-8))</f>
      </c>
      <c r="B419" s="297">
        <f>IF($A419="",TODAY(),INDEX(Transactions!$G:$G,ROW()-8))</f>
      </c>
      <c r="C419">
        <f>IF($A419="","",INDEX(Transactions!$A:$A,ROW()-8))</f>
      </c>
      <c r="D419" s="30">
        <f>IF($A419="",0,INDEX(Transactions!$H:$H,ROW()-8))</f>
      </c>
      <c r="E419">
        <f>IF($A419="",1,INDEX(Transactions!$N:$N,ROW()-8))</f>
        <v>1</v>
      </c>
      <c r="F419" s="30">
        <f>IF($A419="",0,INDEX(Transactions!$O:$O,ROW()-8))</f>
      </c>
      <c r="G419" s="30">
        <f>IF($A419="",0,INDEX(Transactions!$P:$P,ROW()-8))</f>
      </c>
    </row>
    <row r="420" spans="1:7" ht="15" customHeight="1" x14ac:dyDescent="0.15">
      <c r="A420">
        <f>IF(INDEX(Transactions!$J:$J,ROW()-8)="","",INDEX(Transactions!$J:$J,ROW()-8))</f>
      </c>
      <c r="B420" s="297">
        <f>IF($A420="",TODAY(),INDEX(Transactions!$G:$G,ROW()-8))</f>
      </c>
      <c r="C420">
        <f>IF($A420="","",INDEX(Transactions!$A:$A,ROW()-8))</f>
      </c>
      <c r="D420" s="30">
        <f>IF($A420="",0,INDEX(Transactions!$H:$H,ROW()-8))</f>
      </c>
      <c r="E420">
        <f>IF($A420="",1,INDEX(Transactions!$N:$N,ROW()-8))</f>
        <v>1</v>
      </c>
      <c r="F420" s="30">
        <f>IF($A420="",0,INDEX(Transactions!$O:$O,ROW()-8))</f>
      </c>
      <c r="G420" s="30">
        <f>IF($A420="",0,INDEX(Transactions!$P:$P,ROW()-8))</f>
      </c>
    </row>
    <row r="421" spans="1:7" ht="15" customHeight="1" x14ac:dyDescent="0.15">
      <c r="A421">
        <f>IF(INDEX(Transactions!$J:$J,ROW()-8)="","",INDEX(Transactions!$J:$J,ROW()-8))</f>
      </c>
      <c r="B421" s="297">
        <f>IF($A421="",TODAY(),INDEX(Transactions!$G:$G,ROW()-8))</f>
      </c>
      <c r="C421">
        <f>IF($A421="","",INDEX(Transactions!$A:$A,ROW()-8))</f>
      </c>
      <c r="D421" s="30">
        <f>IF($A421="",0,INDEX(Transactions!$H:$H,ROW()-8))</f>
      </c>
      <c r="E421">
        <f>IF($A421="",1,INDEX(Transactions!$N:$N,ROW()-8))</f>
        <v>1</v>
      </c>
      <c r="F421" s="30">
        <f>IF($A421="",0,INDEX(Transactions!$O:$O,ROW()-8))</f>
      </c>
      <c r="G421" s="30">
        <f>IF($A421="",0,INDEX(Transactions!$P:$P,ROW()-8))</f>
      </c>
    </row>
    <row r="422" spans="1:7" ht="15" customHeight="1" x14ac:dyDescent="0.15">
      <c r="A422">
        <f>IF(INDEX(Transactions!$J:$J,ROW()-8)="","",INDEX(Transactions!$J:$J,ROW()-8))</f>
      </c>
      <c r="B422" s="297">
        <f>IF($A422="",TODAY(),INDEX(Transactions!$G:$G,ROW()-8))</f>
      </c>
      <c r="C422">
        <f>IF($A422="","",INDEX(Transactions!$A:$A,ROW()-8))</f>
      </c>
      <c r="D422" s="30">
        <f>IF($A422="",0,INDEX(Transactions!$H:$H,ROW()-8))</f>
      </c>
      <c r="E422">
        <f>IF($A422="",1,INDEX(Transactions!$N:$N,ROW()-8))</f>
        <v>1</v>
      </c>
      <c r="F422" s="30">
        <f>IF($A422="",0,INDEX(Transactions!$O:$O,ROW()-8))</f>
      </c>
      <c r="G422" s="30">
        <f>IF($A422="",0,INDEX(Transactions!$P:$P,ROW()-8))</f>
      </c>
    </row>
    <row r="423" spans="1:7" ht="15" customHeight="1" x14ac:dyDescent="0.15">
      <c r="A423">
        <f>IF(INDEX(Transactions!$J:$J,ROW()-8)="","",INDEX(Transactions!$J:$J,ROW()-8))</f>
      </c>
      <c r="B423" s="297">
        <f>IF($A423="",TODAY(),INDEX(Transactions!$G:$G,ROW()-8))</f>
      </c>
      <c r="C423">
        <f>IF($A423="","",INDEX(Transactions!$A:$A,ROW()-8))</f>
      </c>
      <c r="D423" s="30">
        <f>IF($A423="",0,INDEX(Transactions!$H:$H,ROW()-8))</f>
      </c>
      <c r="E423">
        <f>IF($A423="",1,INDEX(Transactions!$N:$N,ROW()-8))</f>
        <v>1</v>
      </c>
      <c r="F423" s="30">
        <f>IF($A423="",0,INDEX(Transactions!$O:$O,ROW()-8))</f>
      </c>
      <c r="G423" s="30">
        <f>IF($A423="",0,INDEX(Transactions!$P:$P,ROW()-8))</f>
      </c>
    </row>
    <row r="424" spans="1:7" ht="15" customHeight="1" x14ac:dyDescent="0.15">
      <c r="A424">
        <f>IF(INDEX(Transactions!$J:$J,ROW()-8)="","",INDEX(Transactions!$J:$J,ROW()-8))</f>
      </c>
      <c r="B424" s="297">
        <f>IF($A424="",TODAY(),INDEX(Transactions!$G:$G,ROW()-8))</f>
      </c>
      <c r="C424">
        <f>IF($A424="","",INDEX(Transactions!$A:$A,ROW()-8))</f>
      </c>
      <c r="D424" s="30">
        <f>IF($A424="",0,INDEX(Transactions!$H:$H,ROW()-8))</f>
      </c>
      <c r="E424">
        <f>IF($A424="",1,INDEX(Transactions!$N:$N,ROW()-8))</f>
        <v>1</v>
      </c>
      <c r="F424" s="30">
        <f>IF($A424="",0,INDEX(Transactions!$O:$O,ROW()-8))</f>
      </c>
      <c r="G424" s="30">
        <f>IF($A424="",0,INDEX(Transactions!$P:$P,ROW()-8))</f>
      </c>
    </row>
    <row r="425" spans="1:7" ht="15" customHeight="1" x14ac:dyDescent="0.15">
      <c r="A425">
        <f>IF(INDEX(Transactions!$J:$J,ROW()-8)="","",INDEX(Transactions!$J:$J,ROW()-8))</f>
      </c>
      <c r="B425" s="297">
        <f>IF($A425="",TODAY(),INDEX(Transactions!$G:$G,ROW()-8))</f>
      </c>
      <c r="C425">
        <f>IF($A425="","",INDEX(Transactions!$A:$A,ROW()-8))</f>
      </c>
      <c r="D425" s="30">
        <f>IF($A425="",0,INDEX(Transactions!$H:$H,ROW()-8))</f>
      </c>
      <c r="E425">
        <f>IF($A425="",1,INDEX(Transactions!$N:$N,ROW()-8))</f>
        <v>1</v>
      </c>
      <c r="F425" s="30">
        <f>IF($A425="",0,INDEX(Transactions!$O:$O,ROW()-8))</f>
      </c>
      <c r="G425" s="30">
        <f>IF($A425="",0,INDEX(Transactions!$P:$P,ROW()-8))</f>
      </c>
    </row>
    <row r="426" spans="1:7" ht="15" customHeight="1" x14ac:dyDescent="0.15">
      <c r="A426">
        <f>IF(INDEX(Transactions!$J:$J,ROW()-8)="","",INDEX(Transactions!$J:$J,ROW()-8))</f>
      </c>
      <c r="B426" s="297">
        <f>IF($A426="",TODAY(),INDEX(Transactions!$G:$G,ROW()-8))</f>
      </c>
      <c r="C426">
        <f>IF($A426="","",INDEX(Transactions!$A:$A,ROW()-8))</f>
      </c>
      <c r="D426" s="30">
        <f>IF($A426="",0,INDEX(Transactions!$H:$H,ROW()-8))</f>
      </c>
      <c r="E426">
        <f>IF($A426="",1,INDEX(Transactions!$N:$N,ROW()-8))</f>
        <v>1</v>
      </c>
      <c r="F426" s="30">
        <f>IF($A426="",0,INDEX(Transactions!$O:$O,ROW()-8))</f>
      </c>
      <c r="G426" s="30">
        <f>IF($A426="",0,INDEX(Transactions!$P:$P,ROW()-8))</f>
      </c>
    </row>
    <row r="427" spans="1:7" ht="15" customHeight="1" x14ac:dyDescent="0.15">
      <c r="A427">
        <f>IF(INDEX(Transactions!$J:$J,ROW()-8)="","",INDEX(Transactions!$J:$J,ROW()-8))</f>
      </c>
      <c r="B427" s="297">
        <f>IF($A427="",TODAY(),INDEX(Transactions!$G:$G,ROW()-8))</f>
      </c>
      <c r="C427">
        <f>IF($A427="","",INDEX(Transactions!$A:$A,ROW()-8))</f>
      </c>
      <c r="D427" s="30">
        <f>IF($A427="",0,INDEX(Transactions!$H:$H,ROW()-8))</f>
      </c>
      <c r="E427">
        <f>IF($A427="",1,INDEX(Transactions!$N:$N,ROW()-8))</f>
        <v>1</v>
      </c>
      <c r="F427" s="30">
        <f>IF($A427="",0,INDEX(Transactions!$O:$O,ROW()-8))</f>
      </c>
      <c r="G427" s="30">
        <f>IF($A427="",0,INDEX(Transactions!$P:$P,ROW()-8))</f>
      </c>
    </row>
    <row r="428" spans="1:7" ht="15" customHeight="1" x14ac:dyDescent="0.15">
      <c r="A428">
        <f>IF(INDEX(Transactions!$J:$J,ROW()-8)="","",INDEX(Transactions!$J:$J,ROW()-8))</f>
      </c>
      <c r="B428" s="297">
        <f>IF($A428="",TODAY(),INDEX(Transactions!$G:$G,ROW()-8))</f>
      </c>
      <c r="C428">
        <f>IF($A428="","",INDEX(Transactions!$A:$A,ROW()-8))</f>
      </c>
      <c r="D428" s="30">
        <f>IF($A428="",0,INDEX(Transactions!$H:$H,ROW()-8))</f>
      </c>
      <c r="E428">
        <f>IF($A428="",1,INDEX(Transactions!$N:$N,ROW()-8))</f>
        <v>1</v>
      </c>
      <c r="F428" s="30">
        <f>IF($A428="",0,INDEX(Transactions!$O:$O,ROW()-8))</f>
      </c>
      <c r="G428" s="30">
        <f>IF($A428="",0,INDEX(Transactions!$P:$P,ROW()-8))</f>
      </c>
    </row>
    <row r="429" spans="1:7" ht="15" customHeight="1" x14ac:dyDescent="0.15">
      <c r="A429">
        <f>IF(INDEX(Transactions!$J:$J,ROW()-8)="","",INDEX(Transactions!$J:$J,ROW()-8))</f>
      </c>
      <c r="B429" s="297">
        <f>IF($A429="",TODAY(),INDEX(Transactions!$G:$G,ROW()-8))</f>
      </c>
      <c r="C429">
        <f>IF($A429="","",INDEX(Transactions!$A:$A,ROW()-8))</f>
      </c>
      <c r="D429" s="30">
        <f>IF($A429="",0,INDEX(Transactions!$H:$H,ROW()-8))</f>
      </c>
      <c r="E429">
        <f>IF($A429="",1,INDEX(Transactions!$N:$N,ROW()-8))</f>
        <v>1</v>
      </c>
      <c r="F429" s="30">
        <f>IF($A429="",0,INDEX(Transactions!$O:$O,ROW()-8))</f>
      </c>
      <c r="G429" s="30">
        <f>IF($A429="",0,INDEX(Transactions!$P:$P,ROW()-8))</f>
      </c>
    </row>
    <row r="430" spans="1:7" ht="15" customHeight="1" x14ac:dyDescent="0.15">
      <c r="A430">
        <f>IF(INDEX(Transactions!$J:$J,ROW()-8)="","",INDEX(Transactions!$J:$J,ROW()-8))</f>
      </c>
      <c r="B430" s="297">
        <f>IF($A430="",TODAY(),INDEX(Transactions!$G:$G,ROW()-8))</f>
      </c>
      <c r="C430">
        <f>IF($A430="","",INDEX(Transactions!$A:$A,ROW()-8))</f>
      </c>
      <c r="D430" s="30">
        <f>IF($A430="",0,INDEX(Transactions!$H:$H,ROW()-8))</f>
      </c>
      <c r="E430">
        <f>IF($A430="",1,INDEX(Transactions!$N:$N,ROW()-8))</f>
        <v>1</v>
      </c>
      <c r="F430" s="30">
        <f>IF($A430="",0,INDEX(Transactions!$O:$O,ROW()-8))</f>
      </c>
      <c r="G430" s="30">
        <f>IF($A430="",0,INDEX(Transactions!$P:$P,ROW()-8))</f>
      </c>
    </row>
    <row r="431" spans="1:7" ht="15" customHeight="1" x14ac:dyDescent="0.15">
      <c r="A431">
        <f>IF(INDEX(Transactions!$J:$J,ROW()-8)="","",INDEX(Transactions!$J:$J,ROW()-8))</f>
      </c>
      <c r="B431" s="297">
        <f>IF($A431="",TODAY(),INDEX(Transactions!$G:$G,ROW()-8))</f>
      </c>
      <c r="C431">
        <f>IF($A431="","",INDEX(Transactions!$A:$A,ROW()-8))</f>
      </c>
      <c r="D431" s="30">
        <f>IF($A431="",0,INDEX(Transactions!$H:$H,ROW()-8))</f>
      </c>
      <c r="E431">
        <f>IF($A431="",1,INDEX(Transactions!$N:$N,ROW()-8))</f>
        <v>1</v>
      </c>
      <c r="F431" s="30">
        <f>IF($A431="",0,INDEX(Transactions!$O:$O,ROW()-8))</f>
      </c>
      <c r="G431" s="30">
        <f>IF($A431="",0,INDEX(Transactions!$P:$P,ROW()-8))</f>
      </c>
    </row>
    <row r="432" spans="1:7" ht="15" customHeight="1" x14ac:dyDescent="0.15">
      <c r="A432">
        <f>IF(INDEX(Transactions!$J:$J,ROW()-8)="","",INDEX(Transactions!$J:$J,ROW()-8))</f>
      </c>
      <c r="B432" s="297">
        <f>IF($A432="",TODAY(),INDEX(Transactions!$G:$G,ROW()-8))</f>
      </c>
      <c r="C432">
        <f>IF($A432="","",INDEX(Transactions!$A:$A,ROW()-8))</f>
      </c>
      <c r="D432" s="30">
        <f>IF($A432="",0,INDEX(Transactions!$H:$H,ROW()-8))</f>
      </c>
      <c r="E432">
        <f>IF($A432="",1,INDEX(Transactions!$N:$N,ROW()-8))</f>
        <v>1</v>
      </c>
      <c r="F432" s="30">
        <f>IF($A432="",0,INDEX(Transactions!$O:$O,ROW()-8))</f>
      </c>
      <c r="G432" s="30">
        <f>IF($A432="",0,INDEX(Transactions!$P:$P,ROW()-8))</f>
      </c>
    </row>
    <row r="433" spans="1:7" ht="15" customHeight="1" x14ac:dyDescent="0.15">
      <c r="A433">
        <f>IF(INDEX(Transactions!$J:$J,ROW()-8)="","",INDEX(Transactions!$J:$J,ROW()-8))</f>
      </c>
      <c r="B433" s="297">
        <f>IF($A433="",TODAY(),INDEX(Transactions!$G:$G,ROW()-8))</f>
      </c>
      <c r="C433">
        <f>IF($A433="","",INDEX(Transactions!$A:$A,ROW()-8))</f>
      </c>
      <c r="D433" s="30">
        <f>IF($A433="",0,INDEX(Transactions!$H:$H,ROW()-8))</f>
      </c>
      <c r="E433">
        <f>IF($A433="",1,INDEX(Transactions!$N:$N,ROW()-8))</f>
        <v>1</v>
      </c>
      <c r="F433" s="30">
        <f>IF($A433="",0,INDEX(Transactions!$O:$O,ROW()-8))</f>
      </c>
      <c r="G433" s="30">
        <f>IF($A433="",0,INDEX(Transactions!$P:$P,ROW()-8))</f>
      </c>
    </row>
    <row r="434" spans="1:7" ht="15" customHeight="1" x14ac:dyDescent="0.15">
      <c r="A434">
        <f>IF(INDEX(Transactions!$J:$J,ROW()-8)="","",INDEX(Transactions!$J:$J,ROW()-8))</f>
      </c>
      <c r="B434" s="297">
        <f>IF($A434="",TODAY(),INDEX(Transactions!$G:$G,ROW()-8))</f>
      </c>
      <c r="C434">
        <f>IF($A434="","",INDEX(Transactions!$A:$A,ROW()-8))</f>
      </c>
      <c r="D434" s="30">
        <f>IF($A434="",0,INDEX(Transactions!$H:$H,ROW()-8))</f>
      </c>
      <c r="E434">
        <f>IF($A434="",1,INDEX(Transactions!$N:$N,ROW()-8))</f>
        <v>1</v>
      </c>
      <c r="F434" s="30">
        <f>IF($A434="",0,INDEX(Transactions!$O:$O,ROW()-8))</f>
      </c>
      <c r="G434" s="30">
        <f>IF($A434="",0,INDEX(Transactions!$P:$P,ROW()-8))</f>
      </c>
    </row>
    <row r="435" spans="1:7" ht="15" customHeight="1" x14ac:dyDescent="0.15">
      <c r="A435">
        <f>IF(INDEX(Transactions!$J:$J,ROW()-8)="","",INDEX(Transactions!$J:$J,ROW()-8))</f>
      </c>
      <c r="B435" s="297">
        <f>IF($A435="",TODAY(),INDEX(Transactions!$G:$G,ROW()-8))</f>
      </c>
      <c r="C435">
        <f>IF($A435="","",INDEX(Transactions!$A:$A,ROW()-8))</f>
      </c>
      <c r="D435" s="30">
        <f>IF($A435="",0,INDEX(Transactions!$H:$H,ROW()-8))</f>
      </c>
      <c r="E435">
        <f>IF($A435="",1,INDEX(Transactions!$N:$N,ROW()-8))</f>
        <v>1</v>
      </c>
      <c r="F435" s="30">
        <f>IF($A435="",0,INDEX(Transactions!$O:$O,ROW()-8))</f>
      </c>
      <c r="G435" s="30">
        <f>IF($A435="",0,INDEX(Transactions!$P:$P,ROW()-8))</f>
      </c>
    </row>
    <row r="436" spans="1:7" ht="15" customHeight="1" x14ac:dyDescent="0.15">
      <c r="A436">
        <f>IF(INDEX(Transactions!$J:$J,ROW()-8)="","",INDEX(Transactions!$J:$J,ROW()-8))</f>
      </c>
      <c r="B436" s="297">
        <f>IF($A436="",TODAY(),INDEX(Transactions!$G:$G,ROW()-8))</f>
      </c>
      <c r="C436">
        <f>IF($A436="","",INDEX(Transactions!$A:$A,ROW()-8))</f>
      </c>
      <c r="D436" s="30">
        <f>IF($A436="",0,INDEX(Transactions!$H:$H,ROW()-8))</f>
      </c>
      <c r="E436">
        <f>IF($A436="",1,INDEX(Transactions!$N:$N,ROW()-8))</f>
        <v>1</v>
      </c>
      <c r="F436" s="30">
        <f>IF($A436="",0,INDEX(Transactions!$O:$O,ROW()-8))</f>
      </c>
      <c r="G436" s="30">
        <f>IF($A436="",0,INDEX(Transactions!$P:$P,ROW()-8))</f>
      </c>
    </row>
    <row r="437" spans="1:7" ht="15" customHeight="1" x14ac:dyDescent="0.15">
      <c r="A437">
        <f>IF(INDEX(Transactions!$J:$J,ROW()-8)="","",INDEX(Transactions!$J:$J,ROW()-8))</f>
      </c>
      <c r="B437" s="297">
        <f>IF($A437="",TODAY(),INDEX(Transactions!$G:$G,ROW()-8))</f>
      </c>
      <c r="C437">
        <f>IF($A437="","",INDEX(Transactions!$A:$A,ROW()-8))</f>
      </c>
      <c r="D437" s="30">
        <f>IF($A437="",0,INDEX(Transactions!$H:$H,ROW()-8))</f>
      </c>
      <c r="E437">
        <f>IF($A437="",1,INDEX(Transactions!$N:$N,ROW()-8))</f>
        <v>1</v>
      </c>
      <c r="F437" s="30">
        <f>IF($A437="",0,INDEX(Transactions!$O:$O,ROW()-8))</f>
      </c>
      <c r="G437" s="30">
        <f>IF($A437="",0,INDEX(Transactions!$P:$P,ROW()-8))</f>
      </c>
    </row>
    <row r="438" spans="1:7" ht="15" customHeight="1" x14ac:dyDescent="0.15">
      <c r="A438">
        <f>IF(INDEX(Transactions!$J:$J,ROW()-8)="","",INDEX(Transactions!$J:$J,ROW()-8))</f>
      </c>
      <c r="B438" s="297">
        <f>IF($A438="",TODAY(),INDEX(Transactions!$G:$G,ROW()-8))</f>
      </c>
      <c r="C438">
        <f>IF($A438="","",INDEX(Transactions!$A:$A,ROW()-8))</f>
      </c>
      <c r="D438" s="30">
        <f>IF($A438="",0,INDEX(Transactions!$H:$H,ROW()-8))</f>
      </c>
      <c r="E438">
        <f>IF($A438="",1,INDEX(Transactions!$N:$N,ROW()-8))</f>
        <v>1</v>
      </c>
      <c r="F438" s="30">
        <f>IF($A438="",0,INDEX(Transactions!$O:$O,ROW()-8))</f>
      </c>
      <c r="G438" s="30">
        <f>IF($A438="",0,INDEX(Transactions!$P:$P,ROW()-8))</f>
      </c>
    </row>
    <row r="439" spans="1:7" ht="15" customHeight="1" x14ac:dyDescent="0.15">
      <c r="A439">
        <f>IF(INDEX(Transactions!$J:$J,ROW()-8)="","",INDEX(Transactions!$J:$J,ROW()-8))</f>
      </c>
      <c r="B439" s="297">
        <f>IF($A439="",TODAY(),INDEX(Transactions!$G:$G,ROW()-8))</f>
      </c>
      <c r="C439">
        <f>IF($A439="","",INDEX(Transactions!$A:$A,ROW()-8))</f>
      </c>
      <c r="D439" s="30">
        <f>IF($A439="",0,INDEX(Transactions!$H:$H,ROW()-8))</f>
      </c>
      <c r="E439">
        <f>IF($A439="",1,INDEX(Transactions!$N:$N,ROW()-8))</f>
        <v>1</v>
      </c>
      <c r="F439" s="30">
        <f>IF($A439="",0,INDEX(Transactions!$O:$O,ROW()-8))</f>
      </c>
      <c r="G439" s="30">
        <f>IF($A439="",0,INDEX(Transactions!$P:$P,ROW()-8))</f>
      </c>
    </row>
    <row r="440" spans="1:7" ht="15" customHeight="1" x14ac:dyDescent="0.15">
      <c r="A440">
        <f>IF(INDEX(Transactions!$J:$J,ROW()-8)="","",INDEX(Transactions!$J:$J,ROW()-8))</f>
      </c>
      <c r="B440" s="297">
        <f>IF($A440="",TODAY(),INDEX(Transactions!$G:$G,ROW()-8))</f>
      </c>
      <c r="C440">
        <f>IF($A440="","",INDEX(Transactions!$A:$A,ROW()-8))</f>
      </c>
      <c r="D440" s="30">
        <f>IF($A440="",0,INDEX(Transactions!$H:$H,ROW()-8))</f>
      </c>
      <c r="E440">
        <f>IF($A440="",1,INDEX(Transactions!$N:$N,ROW()-8))</f>
        <v>1</v>
      </c>
      <c r="F440" s="30">
        <f>IF($A440="",0,INDEX(Transactions!$O:$O,ROW()-8))</f>
      </c>
      <c r="G440" s="30">
        <f>IF($A440="",0,INDEX(Transactions!$P:$P,ROW()-8))</f>
      </c>
    </row>
    <row r="441" spans="1:7" ht="15" customHeight="1" x14ac:dyDescent="0.15">
      <c r="A441">
        <f>IF(INDEX(Transactions!$J:$J,ROW()-8)="","",INDEX(Transactions!$J:$J,ROW()-8))</f>
      </c>
      <c r="B441" s="297">
        <f>IF($A441="",TODAY(),INDEX(Transactions!$G:$G,ROW()-8))</f>
      </c>
      <c r="C441">
        <f>IF($A441="","",INDEX(Transactions!$A:$A,ROW()-8))</f>
      </c>
      <c r="D441" s="30">
        <f>IF($A441="",0,INDEX(Transactions!$H:$H,ROW()-8))</f>
      </c>
      <c r="E441">
        <f>IF($A441="",1,INDEX(Transactions!$N:$N,ROW()-8))</f>
        <v>1</v>
      </c>
      <c r="F441" s="30">
        <f>IF($A441="",0,INDEX(Transactions!$O:$O,ROW()-8))</f>
      </c>
      <c r="G441" s="30">
        <f>IF($A441="",0,INDEX(Transactions!$P:$P,ROW()-8))</f>
      </c>
    </row>
    <row r="442" spans="1:7" ht="15" customHeight="1" x14ac:dyDescent="0.15">
      <c r="A442">
        <f>IF(INDEX(Transactions!$J:$J,ROW()-8)="","",INDEX(Transactions!$J:$J,ROW()-8))</f>
      </c>
      <c r="B442" s="297">
        <f>IF($A442="",TODAY(),INDEX(Transactions!$G:$G,ROW()-8))</f>
      </c>
      <c r="C442">
        <f>IF($A442="","",INDEX(Transactions!$A:$A,ROW()-8))</f>
      </c>
      <c r="D442" s="30">
        <f>IF($A442="",0,INDEX(Transactions!$H:$H,ROW()-8))</f>
      </c>
      <c r="E442">
        <f>IF($A442="",1,INDEX(Transactions!$N:$N,ROW()-8))</f>
        <v>1</v>
      </c>
      <c r="F442" s="30">
        <f>IF($A442="",0,INDEX(Transactions!$O:$O,ROW()-8))</f>
      </c>
      <c r="G442" s="30">
        <f>IF($A442="",0,INDEX(Transactions!$P:$P,ROW()-8))</f>
      </c>
    </row>
    <row r="443" spans="1:7" ht="15" customHeight="1" x14ac:dyDescent="0.15">
      <c r="A443">
        <f>IF(INDEX(Transactions!$J:$J,ROW()-8)="","",INDEX(Transactions!$J:$J,ROW()-8))</f>
      </c>
      <c r="B443" s="297">
        <f>IF($A443="",TODAY(),INDEX(Transactions!$G:$G,ROW()-8))</f>
      </c>
      <c r="C443">
        <f>IF($A443="","",INDEX(Transactions!$A:$A,ROW()-8))</f>
      </c>
      <c r="D443" s="30">
        <f>IF($A443="",0,INDEX(Transactions!$H:$H,ROW()-8))</f>
      </c>
      <c r="E443">
        <f>IF($A443="",1,INDEX(Transactions!$N:$N,ROW()-8))</f>
        <v>1</v>
      </c>
      <c r="F443" s="30">
        <f>IF($A443="",0,INDEX(Transactions!$O:$O,ROW()-8))</f>
      </c>
      <c r="G443" s="30">
        <f>IF($A443="",0,INDEX(Transactions!$P:$P,ROW()-8))</f>
      </c>
    </row>
    <row r="444" spans="1:7" ht="15" customHeight="1" x14ac:dyDescent="0.15">
      <c r="A444">
        <f>IF(INDEX(Transactions!$J:$J,ROW()-8)="","",INDEX(Transactions!$J:$J,ROW()-8))</f>
      </c>
      <c r="B444" s="297">
        <f>IF($A444="",TODAY(),INDEX(Transactions!$G:$G,ROW()-8))</f>
      </c>
      <c r="C444">
        <f>IF($A444="","",INDEX(Transactions!$A:$A,ROW()-8))</f>
      </c>
      <c r="D444" s="30">
        <f>IF($A444="",0,INDEX(Transactions!$H:$H,ROW()-8))</f>
      </c>
      <c r="E444">
        <f>IF($A444="",1,INDEX(Transactions!$N:$N,ROW()-8))</f>
        <v>1</v>
      </c>
      <c r="F444" s="30">
        <f>IF($A444="",0,INDEX(Transactions!$O:$O,ROW()-8))</f>
      </c>
      <c r="G444" s="30">
        <f>IF($A444="",0,INDEX(Transactions!$P:$P,ROW()-8))</f>
      </c>
    </row>
    <row r="445" spans="1:7" ht="15" customHeight="1" x14ac:dyDescent="0.15">
      <c r="A445">
        <f>IF(INDEX(Transactions!$J:$J,ROW()-8)="","",INDEX(Transactions!$J:$J,ROW()-8))</f>
      </c>
      <c r="B445" s="297">
        <f>IF($A445="",TODAY(),INDEX(Transactions!$G:$G,ROW()-8))</f>
      </c>
      <c r="C445">
        <f>IF($A445="","",INDEX(Transactions!$A:$A,ROW()-8))</f>
      </c>
      <c r="D445" s="30">
        <f>IF($A445="",0,INDEX(Transactions!$H:$H,ROW()-8))</f>
      </c>
      <c r="E445">
        <f>IF($A445="",1,INDEX(Transactions!$N:$N,ROW()-8))</f>
        <v>1</v>
      </c>
      <c r="F445" s="30">
        <f>IF($A445="",0,INDEX(Transactions!$O:$O,ROW()-8))</f>
      </c>
      <c r="G445" s="30">
        <f>IF($A445="",0,INDEX(Transactions!$P:$P,ROW()-8))</f>
      </c>
    </row>
    <row r="446" spans="1:7" ht="15" customHeight="1" x14ac:dyDescent="0.15">
      <c r="A446">
        <f>IF(INDEX(Transactions!$J:$J,ROW()-8)="","",INDEX(Transactions!$J:$J,ROW()-8))</f>
      </c>
      <c r="B446" s="297">
        <f>IF($A446="",TODAY(),INDEX(Transactions!$G:$G,ROW()-8))</f>
      </c>
      <c r="C446">
        <f>IF($A446="","",INDEX(Transactions!$A:$A,ROW()-8))</f>
      </c>
      <c r="D446" s="30">
        <f>IF($A446="",0,INDEX(Transactions!$H:$H,ROW()-8))</f>
      </c>
      <c r="E446">
        <f>IF($A446="",1,INDEX(Transactions!$N:$N,ROW()-8))</f>
        <v>1</v>
      </c>
      <c r="F446" s="30">
        <f>IF($A446="",0,INDEX(Transactions!$O:$O,ROW()-8))</f>
      </c>
      <c r="G446" s="30">
        <f>IF($A446="",0,INDEX(Transactions!$P:$P,ROW()-8))</f>
      </c>
    </row>
    <row r="447" spans="1:7" ht="15" customHeight="1" x14ac:dyDescent="0.15">
      <c r="A447">
        <f>IF(INDEX(Transactions!$J:$J,ROW()-8)="","",INDEX(Transactions!$J:$J,ROW()-8))</f>
      </c>
      <c r="B447" s="297">
        <f>IF($A447="",TODAY(),INDEX(Transactions!$G:$G,ROW()-8))</f>
      </c>
      <c r="C447">
        <f>IF($A447="","",INDEX(Transactions!$A:$A,ROW()-8))</f>
      </c>
      <c r="D447" s="30">
        <f>IF($A447="",0,INDEX(Transactions!$H:$H,ROW()-8))</f>
      </c>
      <c r="E447">
        <f>IF($A447="",1,INDEX(Transactions!$N:$N,ROW()-8))</f>
        <v>1</v>
      </c>
      <c r="F447" s="30">
        <f>IF($A447="",0,INDEX(Transactions!$O:$O,ROW()-8))</f>
      </c>
      <c r="G447" s="30">
        <f>IF($A447="",0,INDEX(Transactions!$P:$P,ROW()-8))</f>
      </c>
    </row>
    <row r="448" spans="1:7" ht="15" customHeight="1" x14ac:dyDescent="0.15">
      <c r="A448">
        <f>IF(INDEX(Transactions!$J:$J,ROW()-8)="","",INDEX(Transactions!$J:$J,ROW()-8))</f>
      </c>
      <c r="B448" s="297">
        <f>IF($A448="",TODAY(),INDEX(Transactions!$G:$G,ROW()-8))</f>
      </c>
      <c r="C448">
        <f>IF($A448="","",INDEX(Transactions!$A:$A,ROW()-8))</f>
      </c>
      <c r="D448" s="30">
        <f>IF($A448="",0,INDEX(Transactions!$H:$H,ROW()-8))</f>
      </c>
      <c r="E448">
        <f>IF($A448="",1,INDEX(Transactions!$N:$N,ROW()-8))</f>
        <v>1</v>
      </c>
      <c r="F448" s="30">
        <f>IF($A448="",0,INDEX(Transactions!$O:$O,ROW()-8))</f>
      </c>
      <c r="G448" s="30">
        <f>IF($A448="",0,INDEX(Transactions!$P:$P,ROW()-8))</f>
      </c>
    </row>
    <row r="449" spans="1:7" ht="15" customHeight="1" x14ac:dyDescent="0.15">
      <c r="A449">
        <f>IF(INDEX(Transactions!$J:$J,ROW()-8)="","",INDEX(Transactions!$J:$J,ROW()-8))</f>
      </c>
      <c r="B449" s="297">
        <f>IF($A449="",TODAY(),INDEX(Transactions!$G:$G,ROW()-8))</f>
      </c>
      <c r="C449">
        <f>IF($A449="","",INDEX(Transactions!$A:$A,ROW()-8))</f>
      </c>
      <c r="D449" s="30">
        <f>IF($A449="",0,INDEX(Transactions!$H:$H,ROW()-8))</f>
      </c>
      <c r="E449">
        <f>IF($A449="",1,INDEX(Transactions!$N:$N,ROW()-8))</f>
        <v>1</v>
      </c>
      <c r="F449" s="30">
        <f>IF($A449="",0,INDEX(Transactions!$O:$O,ROW()-8))</f>
      </c>
      <c r="G449" s="30">
        <f>IF($A449="",0,INDEX(Transactions!$P:$P,ROW()-8))</f>
      </c>
    </row>
    <row r="450" spans="1:7" ht="15" customHeight="1" x14ac:dyDescent="0.15">
      <c r="A450">
        <f>IF(INDEX(Transactions!$J:$J,ROW()-8)="","",INDEX(Transactions!$J:$J,ROW()-8))</f>
      </c>
      <c r="B450" s="297">
        <f>IF($A450="",TODAY(),INDEX(Transactions!$G:$G,ROW()-8))</f>
      </c>
      <c r="C450">
        <f>IF($A450="","",INDEX(Transactions!$A:$A,ROW()-8))</f>
      </c>
      <c r="D450" s="30">
        <f>IF($A450="",0,INDEX(Transactions!$H:$H,ROW()-8))</f>
      </c>
      <c r="E450">
        <f>IF($A450="",1,INDEX(Transactions!$N:$N,ROW()-8))</f>
        <v>1</v>
      </c>
      <c r="F450" s="30">
        <f>IF($A450="",0,INDEX(Transactions!$O:$O,ROW()-8))</f>
      </c>
      <c r="G450" s="30">
        <f>IF($A450="",0,INDEX(Transactions!$P:$P,ROW()-8))</f>
      </c>
    </row>
    <row r="451" spans="1:7" ht="15" customHeight="1" x14ac:dyDescent="0.15">
      <c r="A451">
        <f>IF(INDEX(Transactions!$J:$J,ROW()-8)="","",INDEX(Transactions!$J:$J,ROW()-8))</f>
      </c>
      <c r="B451" s="297">
        <f>IF($A451="",TODAY(),INDEX(Transactions!$G:$G,ROW()-8))</f>
      </c>
      <c r="C451">
        <f>IF($A451="","",INDEX(Transactions!$A:$A,ROW()-8))</f>
      </c>
      <c r="D451" s="30">
        <f>IF($A451="",0,INDEX(Transactions!$H:$H,ROW()-8))</f>
      </c>
      <c r="E451">
        <f>IF($A451="",1,INDEX(Transactions!$N:$N,ROW()-8))</f>
        <v>1</v>
      </c>
      <c r="F451" s="30">
        <f>IF($A451="",0,INDEX(Transactions!$O:$O,ROW()-8))</f>
      </c>
      <c r="G451" s="30">
        <f>IF($A451="",0,INDEX(Transactions!$P:$P,ROW()-8))</f>
      </c>
    </row>
    <row r="452" spans="1:7" ht="15" customHeight="1" x14ac:dyDescent="0.15">
      <c r="A452">
        <f>IF(INDEX(Transactions!$J:$J,ROW()-8)="","",INDEX(Transactions!$J:$J,ROW()-8))</f>
      </c>
      <c r="B452" s="297">
        <f>IF($A452="",TODAY(),INDEX(Transactions!$G:$G,ROW()-8))</f>
      </c>
      <c r="C452">
        <f>IF($A452="","",INDEX(Transactions!$A:$A,ROW()-8))</f>
      </c>
      <c r="D452" s="30">
        <f>IF($A452="",0,INDEX(Transactions!$H:$H,ROW()-8))</f>
      </c>
      <c r="E452">
        <f>IF($A452="",1,INDEX(Transactions!$N:$N,ROW()-8))</f>
        <v>1</v>
      </c>
      <c r="F452" s="30">
        <f>IF($A452="",0,INDEX(Transactions!$O:$O,ROW()-8))</f>
      </c>
      <c r="G452" s="30">
        <f>IF($A452="",0,INDEX(Transactions!$P:$P,ROW()-8))</f>
      </c>
    </row>
    <row r="453" spans="1:7" ht="15" customHeight="1" x14ac:dyDescent="0.15">
      <c r="A453">
        <f>IF(INDEX(Transactions!$J:$J,ROW()-8)="","",INDEX(Transactions!$J:$J,ROW()-8))</f>
      </c>
      <c r="B453" s="297">
        <f>IF($A453="",TODAY(),INDEX(Transactions!$G:$G,ROW()-8))</f>
      </c>
      <c r="C453">
        <f>IF($A453="","",INDEX(Transactions!$A:$A,ROW()-8))</f>
      </c>
      <c r="D453" s="30">
        <f>IF($A453="",0,INDEX(Transactions!$H:$H,ROW()-8))</f>
      </c>
      <c r="E453">
        <f>IF($A453="",1,INDEX(Transactions!$N:$N,ROW()-8))</f>
        <v>1</v>
      </c>
      <c r="F453" s="30">
        <f>IF($A453="",0,INDEX(Transactions!$O:$O,ROW()-8))</f>
      </c>
      <c r="G453" s="30">
        <f>IF($A453="",0,INDEX(Transactions!$P:$P,ROW()-8))</f>
      </c>
    </row>
    <row r="454" spans="1:7" ht="15" customHeight="1" x14ac:dyDescent="0.15">
      <c r="A454">
        <f>IF(INDEX(Transactions!$J:$J,ROW()-8)="","",INDEX(Transactions!$J:$J,ROW()-8))</f>
      </c>
      <c r="B454" s="297">
        <f>IF($A454="",TODAY(),INDEX(Transactions!$G:$G,ROW()-8))</f>
      </c>
      <c r="C454">
        <f>IF($A454="","",INDEX(Transactions!$A:$A,ROW()-8))</f>
      </c>
      <c r="D454" s="30">
        <f>IF($A454="",0,INDEX(Transactions!$H:$H,ROW()-8))</f>
      </c>
      <c r="E454">
        <f>IF($A454="",1,INDEX(Transactions!$N:$N,ROW()-8))</f>
        <v>1</v>
      </c>
      <c r="F454" s="30">
        <f>IF($A454="",0,INDEX(Transactions!$O:$O,ROW()-8))</f>
      </c>
      <c r="G454" s="30">
        <f>IF($A454="",0,INDEX(Transactions!$P:$P,ROW()-8))</f>
      </c>
    </row>
    <row r="455" spans="1:7" ht="15" customHeight="1" x14ac:dyDescent="0.15">
      <c r="A455">
        <f>IF(INDEX(Transactions!$J:$J,ROW()-8)="","",INDEX(Transactions!$J:$J,ROW()-8))</f>
      </c>
      <c r="B455" s="297">
        <f>IF($A455="",TODAY(),INDEX(Transactions!$G:$G,ROW()-8))</f>
      </c>
      <c r="C455">
        <f>IF($A455="","",INDEX(Transactions!$A:$A,ROW()-8))</f>
      </c>
      <c r="D455" s="30">
        <f>IF($A455="",0,INDEX(Transactions!$H:$H,ROW()-8))</f>
      </c>
      <c r="E455">
        <f>IF($A455="",1,INDEX(Transactions!$N:$N,ROW()-8))</f>
        <v>1</v>
      </c>
      <c r="F455" s="30">
        <f>IF($A455="",0,INDEX(Transactions!$O:$O,ROW()-8))</f>
      </c>
      <c r="G455" s="30">
        <f>IF($A455="",0,INDEX(Transactions!$P:$P,ROW()-8))</f>
      </c>
    </row>
    <row r="456" spans="1:7" ht="15" customHeight="1" x14ac:dyDescent="0.15">
      <c r="A456">
        <f>IF(INDEX(Transactions!$J:$J,ROW()-8)="","",INDEX(Transactions!$J:$J,ROW()-8))</f>
      </c>
      <c r="B456" s="297">
        <f>IF($A456="",TODAY(),INDEX(Transactions!$G:$G,ROW()-8))</f>
      </c>
      <c r="C456">
        <f>IF($A456="","",INDEX(Transactions!$A:$A,ROW()-8))</f>
      </c>
      <c r="D456" s="30">
        <f>IF($A456="",0,INDEX(Transactions!$H:$H,ROW()-8))</f>
      </c>
      <c r="E456">
        <f>IF($A456="",1,INDEX(Transactions!$N:$N,ROW()-8))</f>
        <v>1</v>
      </c>
      <c r="F456" s="30">
        <f>IF($A456="",0,INDEX(Transactions!$O:$O,ROW()-8))</f>
      </c>
      <c r="G456" s="30">
        <f>IF($A456="",0,INDEX(Transactions!$P:$P,ROW()-8))</f>
      </c>
    </row>
    <row r="457" spans="1:7" ht="15" customHeight="1" x14ac:dyDescent="0.15">
      <c r="A457">
        <f>IF(INDEX(Transactions!$J:$J,ROW()-8)="","",INDEX(Transactions!$J:$J,ROW()-8))</f>
      </c>
      <c r="B457" s="297">
        <f>IF($A457="",TODAY(),INDEX(Transactions!$G:$G,ROW()-8))</f>
      </c>
      <c r="C457">
        <f>IF($A457="","",INDEX(Transactions!$A:$A,ROW()-8))</f>
      </c>
      <c r="D457" s="30">
        <f>IF($A457="",0,INDEX(Transactions!$H:$H,ROW()-8))</f>
      </c>
      <c r="E457">
        <f>IF($A457="",1,INDEX(Transactions!$N:$N,ROW()-8))</f>
        <v>1</v>
      </c>
      <c r="F457" s="30">
        <f>IF($A457="",0,INDEX(Transactions!$O:$O,ROW()-8))</f>
      </c>
      <c r="G457" s="30">
        <f>IF($A457="",0,INDEX(Transactions!$P:$P,ROW()-8))</f>
      </c>
    </row>
    <row r="458" spans="1:7" ht="15" customHeight="1" x14ac:dyDescent="0.15">
      <c r="A458">
        <f>IF(INDEX(Transactions!$J:$J,ROW()-8)="","",INDEX(Transactions!$J:$J,ROW()-8))</f>
      </c>
      <c r="B458" s="297">
        <f>IF($A458="",TODAY(),INDEX(Transactions!$G:$G,ROW()-8))</f>
      </c>
      <c r="C458">
        <f>IF($A458="","",INDEX(Transactions!$A:$A,ROW()-8))</f>
      </c>
      <c r="D458" s="30">
        <f>IF($A458="",0,INDEX(Transactions!$H:$H,ROW()-8))</f>
      </c>
      <c r="E458">
        <f>IF($A458="",1,INDEX(Transactions!$N:$N,ROW()-8))</f>
        <v>1</v>
      </c>
      <c r="F458" s="30">
        <f>IF($A458="",0,INDEX(Transactions!$O:$O,ROW()-8))</f>
      </c>
      <c r="G458" s="30">
        <f>IF($A458="",0,INDEX(Transactions!$P:$P,ROW()-8))</f>
      </c>
    </row>
    <row r="459" spans="1:7" ht="15" customHeight="1" x14ac:dyDescent="0.15">
      <c r="A459">
        <f>IF(INDEX(Transactions!$J:$J,ROW()-8)="","",INDEX(Transactions!$J:$J,ROW()-8))</f>
      </c>
      <c r="B459" s="297">
        <f>IF($A459="",TODAY(),INDEX(Transactions!$G:$G,ROW()-8))</f>
      </c>
      <c r="C459">
        <f>IF($A459="","",INDEX(Transactions!$A:$A,ROW()-8))</f>
      </c>
      <c r="D459" s="30">
        <f>IF($A459="",0,INDEX(Transactions!$H:$H,ROW()-8))</f>
      </c>
      <c r="E459">
        <f>IF($A459="",1,INDEX(Transactions!$N:$N,ROW()-8))</f>
        <v>1</v>
      </c>
      <c r="F459" s="30">
        <f>IF($A459="",0,INDEX(Transactions!$O:$O,ROW()-8))</f>
      </c>
      <c r="G459" s="30">
        <f>IF($A459="",0,INDEX(Transactions!$P:$P,ROW()-8))</f>
      </c>
    </row>
    <row r="460" spans="1:7" ht="15" customHeight="1" x14ac:dyDescent="0.15">
      <c r="A460">
        <f>IF(INDEX(Transactions!$J:$J,ROW()-8)="","",INDEX(Transactions!$J:$J,ROW()-8))</f>
      </c>
      <c r="B460" s="297">
        <f>IF($A460="",TODAY(),INDEX(Transactions!$G:$G,ROW()-8))</f>
      </c>
      <c r="C460">
        <f>IF($A460="","",INDEX(Transactions!$A:$A,ROW()-8))</f>
      </c>
      <c r="D460" s="30">
        <f>IF($A460="",0,INDEX(Transactions!$H:$H,ROW()-8))</f>
      </c>
      <c r="E460">
        <f>IF($A460="",1,INDEX(Transactions!$N:$N,ROW()-8))</f>
        <v>1</v>
      </c>
      <c r="F460" s="30">
        <f>IF($A460="",0,INDEX(Transactions!$O:$O,ROW()-8))</f>
      </c>
      <c r="G460" s="30">
        <f>IF($A460="",0,INDEX(Transactions!$P:$P,ROW()-8))</f>
      </c>
    </row>
    <row r="461" spans="1:7" ht="15" customHeight="1" x14ac:dyDescent="0.15">
      <c r="A461">
        <f>IF(INDEX(Transactions!$J:$J,ROW()-8)="","",INDEX(Transactions!$J:$J,ROW()-8))</f>
      </c>
      <c r="B461" s="297">
        <f>IF($A461="",TODAY(),INDEX(Transactions!$G:$G,ROW()-8))</f>
      </c>
      <c r="C461">
        <f>IF($A461="","",INDEX(Transactions!$A:$A,ROW()-8))</f>
      </c>
      <c r="D461" s="30">
        <f>IF($A461="",0,INDEX(Transactions!$H:$H,ROW()-8))</f>
      </c>
      <c r="E461">
        <f>IF($A461="",1,INDEX(Transactions!$N:$N,ROW()-8))</f>
        <v>1</v>
      </c>
      <c r="F461" s="30">
        <f>IF($A461="",0,INDEX(Transactions!$O:$O,ROW()-8))</f>
      </c>
      <c r="G461" s="30">
        <f>IF($A461="",0,INDEX(Transactions!$P:$P,ROW()-8))</f>
      </c>
    </row>
    <row r="462" spans="1:7" ht="15" customHeight="1" x14ac:dyDescent="0.15">
      <c r="A462">
        <f>IF(INDEX(Transactions!$J:$J,ROW()-8)="","",INDEX(Transactions!$J:$J,ROW()-8))</f>
      </c>
      <c r="B462" s="297">
        <f>IF($A462="",TODAY(),INDEX(Transactions!$G:$G,ROW()-8))</f>
      </c>
      <c r="C462">
        <f>IF($A462="","",INDEX(Transactions!$A:$A,ROW()-8))</f>
      </c>
      <c r="D462" s="30">
        <f>IF($A462="",0,INDEX(Transactions!$H:$H,ROW()-8))</f>
      </c>
      <c r="E462">
        <f>IF($A462="",1,INDEX(Transactions!$N:$N,ROW()-8))</f>
        <v>1</v>
      </c>
      <c r="F462" s="30">
        <f>IF($A462="",0,INDEX(Transactions!$O:$O,ROW()-8))</f>
      </c>
      <c r="G462" s="30">
        <f>IF($A462="",0,INDEX(Transactions!$P:$P,ROW()-8))</f>
      </c>
    </row>
    <row r="463" spans="1:7" ht="15" customHeight="1" x14ac:dyDescent="0.15">
      <c r="A463">
        <f>IF(INDEX(Transactions!$J:$J,ROW()-8)="","",INDEX(Transactions!$J:$J,ROW()-8))</f>
      </c>
      <c r="B463" s="297">
        <f>IF($A463="",TODAY(),INDEX(Transactions!$G:$G,ROW()-8))</f>
      </c>
      <c r="C463">
        <f>IF($A463="","",INDEX(Transactions!$A:$A,ROW()-8))</f>
      </c>
      <c r="D463" s="30">
        <f>IF($A463="",0,INDEX(Transactions!$H:$H,ROW()-8))</f>
      </c>
      <c r="E463">
        <f>IF($A463="",1,INDEX(Transactions!$N:$N,ROW()-8))</f>
        <v>1</v>
      </c>
      <c r="F463" s="30">
        <f>IF($A463="",0,INDEX(Transactions!$O:$O,ROW()-8))</f>
      </c>
      <c r="G463" s="30">
        <f>IF($A463="",0,INDEX(Transactions!$P:$P,ROW()-8))</f>
      </c>
    </row>
    <row r="464" spans="1:7" ht="15" customHeight="1" x14ac:dyDescent="0.15">
      <c r="A464">
        <f>IF(INDEX(Transactions!$J:$J,ROW()-8)="","",INDEX(Transactions!$J:$J,ROW()-8))</f>
      </c>
      <c r="B464" s="297">
        <f>IF($A464="",TODAY(),INDEX(Transactions!$G:$G,ROW()-8))</f>
      </c>
      <c r="C464">
        <f>IF($A464="","",INDEX(Transactions!$A:$A,ROW()-8))</f>
      </c>
      <c r="D464" s="30">
        <f>IF($A464="",0,INDEX(Transactions!$H:$H,ROW()-8))</f>
      </c>
      <c r="E464">
        <f>IF($A464="",1,INDEX(Transactions!$N:$N,ROW()-8))</f>
        <v>1</v>
      </c>
      <c r="F464" s="30">
        <f>IF($A464="",0,INDEX(Transactions!$O:$O,ROW()-8))</f>
      </c>
      <c r="G464" s="30">
        <f>IF($A464="",0,INDEX(Transactions!$P:$P,ROW()-8))</f>
      </c>
    </row>
    <row r="465" spans="1:7" ht="15" customHeight="1" x14ac:dyDescent="0.15">
      <c r="A465">
        <f>IF(INDEX(Transactions!$J:$J,ROW()-8)="","",INDEX(Transactions!$J:$J,ROW()-8))</f>
      </c>
      <c r="B465" s="297">
        <f>IF($A465="",TODAY(),INDEX(Transactions!$G:$G,ROW()-8))</f>
      </c>
      <c r="C465">
        <f>IF($A465="","",INDEX(Transactions!$A:$A,ROW()-8))</f>
      </c>
      <c r="D465" s="30">
        <f>IF($A465="",0,INDEX(Transactions!$H:$H,ROW()-8))</f>
      </c>
      <c r="E465">
        <f>IF($A465="",1,INDEX(Transactions!$N:$N,ROW()-8))</f>
        <v>1</v>
      </c>
      <c r="F465" s="30">
        <f>IF($A465="",0,INDEX(Transactions!$O:$O,ROW()-8))</f>
      </c>
      <c r="G465" s="30">
        <f>IF($A465="",0,INDEX(Transactions!$P:$P,ROW()-8))</f>
      </c>
    </row>
    <row r="466" spans="1:7" ht="15" customHeight="1" x14ac:dyDescent="0.15">
      <c r="A466">
        <f>IF(INDEX(Transactions!$J:$J,ROW()-8)="","",INDEX(Transactions!$J:$J,ROW()-8))</f>
      </c>
      <c r="B466" s="297">
        <f>IF($A466="",TODAY(),INDEX(Transactions!$G:$G,ROW()-8))</f>
      </c>
      <c r="C466">
        <f>IF($A466="","",INDEX(Transactions!$A:$A,ROW()-8))</f>
      </c>
      <c r="D466" s="30">
        <f>IF($A466="",0,INDEX(Transactions!$H:$H,ROW()-8))</f>
      </c>
      <c r="E466">
        <f>IF($A466="",1,INDEX(Transactions!$N:$N,ROW()-8))</f>
        <v>1</v>
      </c>
      <c r="F466" s="30">
        <f>IF($A466="",0,INDEX(Transactions!$O:$O,ROW()-8))</f>
      </c>
      <c r="G466" s="30">
        <f>IF($A466="",0,INDEX(Transactions!$P:$P,ROW()-8))</f>
      </c>
    </row>
    <row r="467" spans="1:7" ht="15" customHeight="1" x14ac:dyDescent="0.15">
      <c r="A467">
        <f>IF(INDEX(Transactions!$J:$J,ROW()-8)="","",INDEX(Transactions!$J:$J,ROW()-8))</f>
      </c>
      <c r="B467" s="297">
        <f>IF($A467="",TODAY(),INDEX(Transactions!$G:$G,ROW()-8))</f>
      </c>
      <c r="C467">
        <f>IF($A467="","",INDEX(Transactions!$A:$A,ROW()-8))</f>
      </c>
      <c r="D467" s="30">
        <f>IF($A467="",0,INDEX(Transactions!$H:$H,ROW()-8))</f>
      </c>
      <c r="E467">
        <f>IF($A467="",1,INDEX(Transactions!$N:$N,ROW()-8))</f>
        <v>1</v>
      </c>
      <c r="F467" s="30">
        <f>IF($A467="",0,INDEX(Transactions!$O:$O,ROW()-8))</f>
      </c>
      <c r="G467" s="30">
        <f>IF($A467="",0,INDEX(Transactions!$P:$P,ROW()-8))</f>
      </c>
    </row>
    <row r="468" spans="1:7" ht="15" customHeight="1" x14ac:dyDescent="0.15">
      <c r="A468">
        <f>IF(INDEX(Transactions!$J:$J,ROW()-8)="","",INDEX(Transactions!$J:$J,ROW()-8))</f>
      </c>
      <c r="B468" s="297">
        <f>IF($A468="",TODAY(),INDEX(Transactions!$G:$G,ROW()-8))</f>
      </c>
      <c r="C468">
        <f>IF($A468="","",INDEX(Transactions!$A:$A,ROW()-8))</f>
      </c>
      <c r="D468" s="30">
        <f>IF($A468="",0,INDEX(Transactions!$H:$H,ROW()-8))</f>
      </c>
      <c r="E468">
        <f>IF($A468="",1,INDEX(Transactions!$N:$N,ROW()-8))</f>
        <v>1</v>
      </c>
      <c r="F468" s="30">
        <f>IF($A468="",0,INDEX(Transactions!$O:$O,ROW()-8))</f>
      </c>
      <c r="G468" s="30">
        <f>IF($A468="",0,INDEX(Transactions!$P:$P,ROW()-8))</f>
      </c>
    </row>
    <row r="469" spans="1:7" ht="15" customHeight="1" x14ac:dyDescent="0.15">
      <c r="A469">
        <f>IF(INDEX(Transactions!$J:$J,ROW()-8)="","",INDEX(Transactions!$J:$J,ROW()-8))</f>
      </c>
      <c r="B469" s="297">
        <f>IF($A469="",TODAY(),INDEX(Transactions!$G:$G,ROW()-8))</f>
      </c>
      <c r="C469">
        <f>IF($A469="","",INDEX(Transactions!$A:$A,ROW()-8))</f>
      </c>
      <c r="D469" s="30">
        <f>IF($A469="",0,INDEX(Transactions!$H:$H,ROW()-8))</f>
      </c>
      <c r="E469">
        <f>IF($A469="",1,INDEX(Transactions!$N:$N,ROW()-8))</f>
        <v>1</v>
      </c>
      <c r="F469" s="30">
        <f>IF($A469="",0,INDEX(Transactions!$O:$O,ROW()-8))</f>
      </c>
      <c r="G469" s="30">
        <f>IF($A469="",0,INDEX(Transactions!$P:$P,ROW()-8))</f>
      </c>
    </row>
    <row r="470" spans="1:7" ht="15" customHeight="1" x14ac:dyDescent="0.15">
      <c r="A470">
        <f>IF(INDEX(Transactions!$J:$J,ROW()-8)="","",INDEX(Transactions!$J:$J,ROW()-8))</f>
      </c>
      <c r="B470" s="297">
        <f>IF($A470="",TODAY(),INDEX(Transactions!$G:$G,ROW()-8))</f>
      </c>
      <c r="C470">
        <f>IF($A470="","",INDEX(Transactions!$A:$A,ROW()-8))</f>
      </c>
      <c r="D470" s="30">
        <f>IF($A470="",0,INDEX(Transactions!$H:$H,ROW()-8))</f>
      </c>
      <c r="E470">
        <f>IF($A470="",1,INDEX(Transactions!$N:$N,ROW()-8))</f>
        <v>1</v>
      </c>
      <c r="F470" s="30">
        <f>IF($A470="",0,INDEX(Transactions!$O:$O,ROW()-8))</f>
      </c>
      <c r="G470" s="30">
        <f>IF($A470="",0,INDEX(Transactions!$P:$P,ROW()-8))</f>
      </c>
    </row>
    <row r="471" spans="1:7" ht="15" customHeight="1" x14ac:dyDescent="0.15">
      <c r="A471">
        <f>IF(INDEX(Transactions!$J:$J,ROW()-8)="","",INDEX(Transactions!$J:$J,ROW()-8))</f>
      </c>
      <c r="B471" s="297">
        <f>IF($A471="",TODAY(),INDEX(Transactions!$G:$G,ROW()-8))</f>
      </c>
      <c r="C471">
        <f>IF($A471="","",INDEX(Transactions!$A:$A,ROW()-8))</f>
      </c>
      <c r="D471" s="30">
        <f>IF($A471="",0,INDEX(Transactions!$H:$H,ROW()-8))</f>
      </c>
      <c r="E471">
        <f>IF($A471="",1,INDEX(Transactions!$N:$N,ROW()-8))</f>
        <v>1</v>
      </c>
      <c r="F471" s="30">
        <f>IF($A471="",0,INDEX(Transactions!$O:$O,ROW()-8))</f>
      </c>
      <c r="G471" s="30">
        <f>IF($A471="",0,INDEX(Transactions!$P:$P,ROW()-8))</f>
      </c>
    </row>
    <row r="472" spans="1:7" ht="15" customHeight="1" x14ac:dyDescent="0.15">
      <c r="A472">
        <f>IF(INDEX(Transactions!$J:$J,ROW()-8)="","",INDEX(Transactions!$J:$J,ROW()-8))</f>
      </c>
      <c r="B472" s="297">
        <f>IF($A472="",TODAY(),INDEX(Transactions!$G:$G,ROW()-8))</f>
      </c>
      <c r="C472">
        <f>IF($A472="","",INDEX(Transactions!$A:$A,ROW()-8))</f>
      </c>
      <c r="D472" s="30">
        <f>IF($A472="",0,INDEX(Transactions!$H:$H,ROW()-8))</f>
      </c>
      <c r="E472">
        <f>IF($A472="",1,INDEX(Transactions!$N:$N,ROW()-8))</f>
        <v>1</v>
      </c>
      <c r="F472" s="30">
        <f>IF($A472="",0,INDEX(Transactions!$O:$O,ROW()-8))</f>
      </c>
      <c r="G472" s="30">
        <f>IF($A472="",0,INDEX(Transactions!$P:$P,ROW()-8))</f>
      </c>
    </row>
    <row r="473" spans="1:7" ht="15" customHeight="1" x14ac:dyDescent="0.15">
      <c r="A473">
        <f>IF(INDEX(Transactions!$J:$J,ROW()-8)="","",INDEX(Transactions!$J:$J,ROW()-8))</f>
      </c>
      <c r="B473" s="297">
        <f>IF($A473="",TODAY(),INDEX(Transactions!$G:$G,ROW()-8))</f>
      </c>
      <c r="C473">
        <f>IF($A473="","",INDEX(Transactions!$A:$A,ROW()-8))</f>
      </c>
      <c r="D473" s="30">
        <f>IF($A473="",0,INDEX(Transactions!$H:$H,ROW()-8))</f>
      </c>
      <c r="E473">
        <f>IF($A473="",1,INDEX(Transactions!$N:$N,ROW()-8))</f>
        <v>1</v>
      </c>
      <c r="F473" s="30">
        <f>IF($A473="",0,INDEX(Transactions!$O:$O,ROW()-8))</f>
      </c>
      <c r="G473" s="30">
        <f>IF($A473="",0,INDEX(Transactions!$P:$P,ROW()-8))</f>
      </c>
    </row>
    <row r="474" spans="1:7" ht="15" customHeight="1" x14ac:dyDescent="0.15">
      <c r="A474">
        <f>IF(INDEX(Transactions!$J:$J,ROW()-8)="","",INDEX(Transactions!$J:$J,ROW()-8))</f>
      </c>
      <c r="B474" s="297">
        <f>IF($A474="",TODAY(),INDEX(Transactions!$G:$G,ROW()-8))</f>
      </c>
      <c r="C474">
        <f>IF($A474="","",INDEX(Transactions!$A:$A,ROW()-8))</f>
      </c>
      <c r="D474" s="30">
        <f>IF($A474="",0,INDEX(Transactions!$H:$H,ROW()-8))</f>
      </c>
      <c r="E474">
        <f>IF($A474="",1,INDEX(Transactions!$N:$N,ROW()-8))</f>
        <v>1</v>
      </c>
      <c r="F474" s="30">
        <f>IF($A474="",0,INDEX(Transactions!$O:$O,ROW()-8))</f>
      </c>
      <c r="G474" s="30">
        <f>IF($A474="",0,INDEX(Transactions!$P:$P,ROW()-8))</f>
      </c>
    </row>
    <row r="475" spans="1:7" ht="15" customHeight="1" x14ac:dyDescent="0.15">
      <c r="A475">
        <f>IF(INDEX(Transactions!$J:$J,ROW()-8)="","",INDEX(Transactions!$J:$J,ROW()-8))</f>
      </c>
      <c r="B475" s="297">
        <f>IF($A475="",TODAY(),INDEX(Transactions!$G:$G,ROW()-8))</f>
      </c>
      <c r="C475">
        <f>IF($A475="","",INDEX(Transactions!$A:$A,ROW()-8))</f>
      </c>
      <c r="D475" s="30">
        <f>IF($A475="",0,INDEX(Transactions!$H:$H,ROW()-8))</f>
      </c>
      <c r="E475">
        <f>IF($A475="",1,INDEX(Transactions!$N:$N,ROW()-8))</f>
        <v>1</v>
      </c>
      <c r="F475" s="30">
        <f>IF($A475="",0,INDEX(Transactions!$O:$O,ROW()-8))</f>
      </c>
      <c r="G475" s="30">
        <f>IF($A475="",0,INDEX(Transactions!$P:$P,ROW()-8))</f>
      </c>
    </row>
    <row r="476" spans="1:7" ht="15" customHeight="1" x14ac:dyDescent="0.15">
      <c r="A476">
        <f>IF(INDEX(Transactions!$J:$J,ROW()-8)="","",INDEX(Transactions!$J:$J,ROW()-8))</f>
      </c>
      <c r="B476" s="297">
        <f>IF($A476="",TODAY(),INDEX(Transactions!$G:$G,ROW()-8))</f>
      </c>
      <c r="C476">
        <f>IF($A476="","",INDEX(Transactions!$A:$A,ROW()-8))</f>
      </c>
      <c r="D476" s="30">
        <f>IF($A476="",0,INDEX(Transactions!$H:$H,ROW()-8))</f>
      </c>
      <c r="E476">
        <f>IF($A476="",1,INDEX(Transactions!$N:$N,ROW()-8))</f>
        <v>1</v>
      </c>
      <c r="F476" s="30">
        <f>IF($A476="",0,INDEX(Transactions!$O:$O,ROW()-8))</f>
      </c>
      <c r="G476" s="30">
        <f>IF($A476="",0,INDEX(Transactions!$P:$P,ROW()-8))</f>
      </c>
    </row>
    <row r="477" spans="1:7" ht="15" customHeight="1" x14ac:dyDescent="0.15">
      <c r="A477">
        <f>IF(INDEX(Transactions!$J:$J,ROW()-8)="","",INDEX(Transactions!$J:$J,ROW()-8))</f>
      </c>
      <c r="B477" s="297">
        <f>IF($A477="",TODAY(),INDEX(Transactions!$G:$G,ROW()-8))</f>
      </c>
      <c r="C477">
        <f>IF($A477="","",INDEX(Transactions!$A:$A,ROW()-8))</f>
      </c>
      <c r="D477" s="30">
        <f>IF($A477="",0,INDEX(Transactions!$H:$H,ROW()-8))</f>
      </c>
      <c r="E477">
        <f>IF($A477="",1,INDEX(Transactions!$N:$N,ROW()-8))</f>
        <v>1</v>
      </c>
      <c r="F477" s="30">
        <f>IF($A477="",0,INDEX(Transactions!$O:$O,ROW()-8))</f>
      </c>
      <c r="G477" s="30">
        <f>IF($A477="",0,INDEX(Transactions!$P:$P,ROW()-8))</f>
      </c>
    </row>
    <row r="478" spans="1:7" ht="15" customHeight="1" x14ac:dyDescent="0.15">
      <c r="A478">
        <f>IF(INDEX(Transactions!$J:$J,ROW()-8)="","",INDEX(Transactions!$J:$J,ROW()-8))</f>
      </c>
      <c r="B478" s="297">
        <f>IF($A478="",TODAY(),INDEX(Transactions!$G:$G,ROW()-8))</f>
      </c>
      <c r="C478">
        <f>IF($A478="","",INDEX(Transactions!$A:$A,ROW()-8))</f>
      </c>
      <c r="D478" s="30">
        <f>IF($A478="",0,INDEX(Transactions!$H:$H,ROW()-8))</f>
      </c>
      <c r="E478">
        <f>IF($A478="",1,INDEX(Transactions!$N:$N,ROW()-8))</f>
        <v>1</v>
      </c>
      <c r="F478" s="30">
        <f>IF($A478="",0,INDEX(Transactions!$O:$O,ROW()-8))</f>
      </c>
      <c r="G478" s="30">
        <f>IF($A478="",0,INDEX(Transactions!$P:$P,ROW()-8))</f>
      </c>
    </row>
    <row r="479" spans="1:7" ht="15" customHeight="1" x14ac:dyDescent="0.15">
      <c r="A479">
        <f>IF(INDEX(Transactions!$J:$J,ROW()-8)="","",INDEX(Transactions!$J:$J,ROW()-8))</f>
      </c>
      <c r="B479" s="297">
        <f>IF($A479="",TODAY(),INDEX(Transactions!$G:$G,ROW()-8))</f>
      </c>
      <c r="C479">
        <f>IF($A479="","",INDEX(Transactions!$A:$A,ROW()-8))</f>
      </c>
      <c r="D479" s="30">
        <f>IF($A479="",0,INDEX(Transactions!$H:$H,ROW()-8))</f>
      </c>
      <c r="E479">
        <f>IF($A479="",1,INDEX(Transactions!$N:$N,ROW()-8))</f>
        <v>1</v>
      </c>
      <c r="F479" s="30">
        <f>IF($A479="",0,INDEX(Transactions!$O:$O,ROW()-8))</f>
      </c>
      <c r="G479" s="30">
        <f>IF($A479="",0,INDEX(Transactions!$P:$P,ROW()-8))</f>
      </c>
    </row>
    <row r="480" spans="1:7" ht="15" customHeight="1" x14ac:dyDescent="0.15">
      <c r="A480">
        <f>IF(INDEX(Transactions!$J:$J,ROW()-8)="","",INDEX(Transactions!$J:$J,ROW()-8))</f>
      </c>
      <c r="B480" s="297">
        <f>IF($A480="",TODAY(),INDEX(Transactions!$G:$G,ROW()-8))</f>
      </c>
      <c r="C480">
        <f>IF($A480="","",INDEX(Transactions!$A:$A,ROW()-8))</f>
      </c>
      <c r="D480" s="30">
        <f>IF($A480="",0,INDEX(Transactions!$H:$H,ROW()-8))</f>
      </c>
      <c r="E480">
        <f>IF($A480="",1,INDEX(Transactions!$N:$N,ROW()-8))</f>
        <v>1</v>
      </c>
      <c r="F480" s="30">
        <f>IF($A480="",0,INDEX(Transactions!$O:$O,ROW()-8))</f>
      </c>
      <c r="G480" s="30">
        <f>IF($A480="",0,INDEX(Transactions!$P:$P,ROW()-8))</f>
      </c>
    </row>
    <row r="481" spans="1:7" ht="15" customHeight="1" x14ac:dyDescent="0.15">
      <c r="A481">
        <f>IF(INDEX(Transactions!$J:$J,ROW()-8)="","",INDEX(Transactions!$J:$J,ROW()-8))</f>
      </c>
      <c r="B481" s="297">
        <f>IF($A481="",TODAY(),INDEX(Transactions!$G:$G,ROW()-8))</f>
      </c>
      <c r="C481">
        <f>IF($A481="","",INDEX(Transactions!$A:$A,ROW()-8))</f>
      </c>
      <c r="D481" s="30">
        <f>IF($A481="",0,INDEX(Transactions!$H:$H,ROW()-8))</f>
      </c>
      <c r="E481">
        <f>IF($A481="",1,INDEX(Transactions!$N:$N,ROW()-8))</f>
        <v>1</v>
      </c>
      <c r="F481" s="30">
        <f>IF($A481="",0,INDEX(Transactions!$O:$O,ROW()-8))</f>
      </c>
      <c r="G481" s="30">
        <f>IF($A481="",0,INDEX(Transactions!$P:$P,ROW()-8))</f>
      </c>
    </row>
    <row r="482" spans="1:7" ht="15" customHeight="1" x14ac:dyDescent="0.15">
      <c r="A482">
        <f>IF(INDEX(Transactions!$J:$J,ROW()-8)="","",INDEX(Transactions!$J:$J,ROW()-8))</f>
      </c>
      <c r="B482" s="297">
        <f>IF($A482="",TODAY(),INDEX(Transactions!$G:$G,ROW()-8))</f>
      </c>
      <c r="C482">
        <f>IF($A482="","",INDEX(Transactions!$A:$A,ROW()-8))</f>
      </c>
      <c r="D482" s="30">
        <f>IF($A482="",0,INDEX(Transactions!$H:$H,ROW()-8))</f>
      </c>
      <c r="E482">
        <f>IF($A482="",1,INDEX(Transactions!$N:$N,ROW()-8))</f>
        <v>1</v>
      </c>
      <c r="F482" s="30">
        <f>IF($A482="",0,INDEX(Transactions!$O:$O,ROW()-8))</f>
      </c>
      <c r="G482" s="30">
        <f>IF($A482="",0,INDEX(Transactions!$P:$P,ROW()-8))</f>
      </c>
    </row>
    <row r="483" spans="1:7" ht="15" customHeight="1" x14ac:dyDescent="0.15">
      <c r="A483">
        <f>IF(INDEX(Transactions!$J:$J,ROW()-8)="","",INDEX(Transactions!$J:$J,ROW()-8))</f>
      </c>
      <c r="B483" s="297">
        <f>IF($A483="",TODAY(),INDEX(Transactions!$G:$G,ROW()-8))</f>
      </c>
      <c r="C483">
        <f>IF($A483="","",INDEX(Transactions!$A:$A,ROW()-8))</f>
      </c>
      <c r="D483" s="30">
        <f>IF($A483="",0,INDEX(Transactions!$H:$H,ROW()-8))</f>
      </c>
      <c r="E483">
        <f>IF($A483="",1,INDEX(Transactions!$N:$N,ROW()-8))</f>
        <v>1</v>
      </c>
      <c r="F483" s="30">
        <f>IF($A483="",0,INDEX(Transactions!$O:$O,ROW()-8))</f>
      </c>
      <c r="G483" s="30">
        <f>IF($A483="",0,INDEX(Transactions!$P:$P,ROW()-8))</f>
      </c>
    </row>
    <row r="484" spans="1:7" ht="15" customHeight="1" x14ac:dyDescent="0.15">
      <c r="A484">
        <f>IF(INDEX(Transactions!$J:$J,ROW()-8)="","",INDEX(Transactions!$J:$J,ROW()-8))</f>
      </c>
      <c r="B484" s="297">
        <f>IF($A484="",TODAY(),INDEX(Transactions!$G:$G,ROW()-8))</f>
      </c>
      <c r="C484">
        <f>IF($A484="","",INDEX(Transactions!$A:$A,ROW()-8))</f>
      </c>
      <c r="D484" s="30">
        <f>IF($A484="",0,INDEX(Transactions!$H:$H,ROW()-8))</f>
      </c>
      <c r="E484">
        <f>IF($A484="",1,INDEX(Transactions!$N:$N,ROW()-8))</f>
        <v>1</v>
      </c>
      <c r="F484" s="30">
        <f>IF($A484="",0,INDEX(Transactions!$O:$O,ROW()-8))</f>
      </c>
      <c r="G484" s="30">
        <f>IF($A484="",0,INDEX(Transactions!$P:$P,ROW()-8))</f>
      </c>
    </row>
    <row r="485" spans="1:7" ht="15" customHeight="1" x14ac:dyDescent="0.15">
      <c r="A485">
        <f>IF(INDEX(Transactions!$J:$J,ROW()-8)="","",INDEX(Transactions!$J:$J,ROW()-8))</f>
      </c>
      <c r="B485" s="297">
        <f>IF($A485="",TODAY(),INDEX(Transactions!$G:$G,ROW()-8))</f>
      </c>
      <c r="C485">
        <f>IF($A485="","",INDEX(Transactions!$A:$A,ROW()-8))</f>
      </c>
      <c r="D485" s="30">
        <f>IF($A485="",0,INDEX(Transactions!$H:$H,ROW()-8))</f>
      </c>
      <c r="E485">
        <f>IF($A485="",1,INDEX(Transactions!$N:$N,ROW()-8))</f>
        <v>1</v>
      </c>
      <c r="F485" s="30">
        <f>IF($A485="",0,INDEX(Transactions!$O:$O,ROW()-8))</f>
      </c>
      <c r="G485" s="30">
        <f>IF($A485="",0,INDEX(Transactions!$P:$P,ROW()-8))</f>
      </c>
    </row>
    <row r="486" spans="1:7" ht="15" customHeight="1" x14ac:dyDescent="0.15">
      <c r="A486">
        <f>IF(INDEX(Transactions!$J:$J,ROW()-8)="","",INDEX(Transactions!$J:$J,ROW()-8))</f>
      </c>
      <c r="B486" s="297">
        <f>IF($A486="",TODAY(),INDEX(Transactions!$G:$G,ROW()-8))</f>
      </c>
      <c r="C486">
        <f>IF($A486="","",INDEX(Transactions!$A:$A,ROW()-8))</f>
      </c>
      <c r="D486" s="30">
        <f>IF($A486="",0,INDEX(Transactions!$H:$H,ROW()-8))</f>
      </c>
      <c r="E486">
        <f>IF($A486="",1,INDEX(Transactions!$N:$N,ROW()-8))</f>
        <v>1</v>
      </c>
      <c r="F486" s="30">
        <f>IF($A486="",0,INDEX(Transactions!$O:$O,ROW()-8))</f>
      </c>
      <c r="G486" s="30">
        <f>IF($A486="",0,INDEX(Transactions!$P:$P,ROW()-8))</f>
      </c>
    </row>
    <row r="487" spans="1:7" ht="15" customHeight="1" x14ac:dyDescent="0.15">
      <c r="A487">
        <f>IF(INDEX(Transactions!$J:$J,ROW()-8)="","",INDEX(Transactions!$J:$J,ROW()-8))</f>
      </c>
      <c r="B487" s="297">
        <f>IF($A487="",TODAY(),INDEX(Transactions!$G:$G,ROW()-8))</f>
      </c>
      <c r="C487">
        <f>IF($A487="","",INDEX(Transactions!$A:$A,ROW()-8))</f>
      </c>
      <c r="D487" s="30">
        <f>IF($A487="",0,INDEX(Transactions!$H:$H,ROW()-8))</f>
      </c>
      <c r="E487">
        <f>IF($A487="",1,INDEX(Transactions!$N:$N,ROW()-8))</f>
        <v>1</v>
      </c>
      <c r="F487" s="30">
        <f>IF($A487="",0,INDEX(Transactions!$O:$O,ROW()-8))</f>
      </c>
      <c r="G487" s="30">
        <f>IF($A487="",0,INDEX(Transactions!$P:$P,ROW()-8))</f>
      </c>
    </row>
    <row r="488" spans="1:7" ht="15" customHeight="1" x14ac:dyDescent="0.15">
      <c r="A488">
        <f>IF(INDEX(Transactions!$J:$J,ROW()-8)="","",INDEX(Transactions!$J:$J,ROW()-8))</f>
      </c>
      <c r="B488" s="297">
        <f>IF($A488="",TODAY(),INDEX(Transactions!$G:$G,ROW()-8))</f>
      </c>
      <c r="C488">
        <f>IF($A488="","",INDEX(Transactions!$A:$A,ROW()-8))</f>
      </c>
      <c r="D488" s="30">
        <f>IF($A488="",0,INDEX(Transactions!$H:$H,ROW()-8))</f>
      </c>
      <c r="E488">
        <f>IF($A488="",1,INDEX(Transactions!$N:$N,ROW()-8))</f>
        <v>1</v>
      </c>
      <c r="F488" s="30">
        <f>IF($A488="",0,INDEX(Transactions!$O:$O,ROW()-8))</f>
      </c>
      <c r="G488" s="30">
        <f>IF($A488="",0,INDEX(Transactions!$P:$P,ROW()-8))</f>
      </c>
    </row>
    <row r="489" spans="1:7" ht="15" customHeight="1" x14ac:dyDescent="0.15">
      <c r="A489">
        <f>IF(INDEX(Transactions!$J:$J,ROW()-8)="","",INDEX(Transactions!$J:$J,ROW()-8))</f>
      </c>
      <c r="B489" s="297">
        <f>IF($A489="",TODAY(),INDEX(Transactions!$G:$G,ROW()-8))</f>
      </c>
      <c r="C489">
        <f>IF($A489="","",INDEX(Transactions!$A:$A,ROW()-8))</f>
      </c>
      <c r="D489" s="30">
        <f>IF($A489="",0,INDEX(Transactions!$H:$H,ROW()-8))</f>
      </c>
      <c r="E489">
        <f>IF($A489="",1,INDEX(Transactions!$N:$N,ROW()-8))</f>
        <v>1</v>
      </c>
      <c r="F489" s="30">
        <f>IF($A489="",0,INDEX(Transactions!$O:$O,ROW()-8))</f>
      </c>
      <c r="G489" s="30">
        <f>IF($A489="",0,INDEX(Transactions!$P:$P,ROW()-8))</f>
      </c>
    </row>
    <row r="490" spans="1:7" ht="15" customHeight="1" x14ac:dyDescent="0.15">
      <c r="A490">
        <f>IF(INDEX(Transactions!$J:$J,ROW()-8)="","",INDEX(Transactions!$J:$J,ROW()-8))</f>
      </c>
      <c r="B490" s="297">
        <f>IF($A490="",TODAY(),INDEX(Transactions!$G:$G,ROW()-8))</f>
      </c>
      <c r="C490">
        <f>IF($A490="","",INDEX(Transactions!$A:$A,ROW()-8))</f>
      </c>
      <c r="D490" s="30">
        <f>IF($A490="",0,INDEX(Transactions!$H:$H,ROW()-8))</f>
      </c>
      <c r="E490">
        <f>IF($A490="",1,INDEX(Transactions!$N:$N,ROW()-8))</f>
        <v>1</v>
      </c>
      <c r="F490" s="30">
        <f>IF($A490="",0,INDEX(Transactions!$O:$O,ROW()-8))</f>
      </c>
      <c r="G490" s="30">
        <f>IF($A490="",0,INDEX(Transactions!$P:$P,ROW()-8))</f>
      </c>
    </row>
    <row r="491" spans="1:7" ht="15" customHeight="1" x14ac:dyDescent="0.15">
      <c r="A491">
        <f>IF(INDEX(Transactions!$J:$J,ROW()-8)="","",INDEX(Transactions!$J:$J,ROW()-8))</f>
      </c>
      <c r="B491" s="297">
        <f>IF($A491="",TODAY(),INDEX(Transactions!$G:$G,ROW()-8))</f>
      </c>
      <c r="C491">
        <f>IF($A491="","",INDEX(Transactions!$A:$A,ROW()-8))</f>
      </c>
      <c r="D491" s="30">
        <f>IF($A491="",0,INDEX(Transactions!$H:$H,ROW()-8))</f>
      </c>
      <c r="E491">
        <f>IF($A491="",1,INDEX(Transactions!$N:$N,ROW()-8))</f>
        <v>1</v>
      </c>
      <c r="F491" s="30">
        <f>IF($A491="",0,INDEX(Transactions!$O:$O,ROW()-8))</f>
      </c>
      <c r="G491" s="30">
        <f>IF($A491="",0,INDEX(Transactions!$P:$P,ROW()-8))</f>
      </c>
    </row>
    <row r="492" spans="1:7" ht="15" customHeight="1" x14ac:dyDescent="0.15">
      <c r="A492">
        <f>IF(INDEX(Transactions!$J:$J,ROW()-8)="","",INDEX(Transactions!$J:$J,ROW()-8))</f>
      </c>
      <c r="B492" s="297">
        <f>IF($A492="",TODAY(),INDEX(Transactions!$G:$G,ROW()-8))</f>
      </c>
      <c r="C492">
        <f>IF($A492="","",INDEX(Transactions!$A:$A,ROW()-8))</f>
      </c>
      <c r="D492" s="30">
        <f>IF($A492="",0,INDEX(Transactions!$H:$H,ROW()-8))</f>
      </c>
      <c r="E492">
        <f>IF($A492="",1,INDEX(Transactions!$N:$N,ROW()-8))</f>
        <v>1</v>
      </c>
      <c r="F492" s="30">
        <f>IF($A492="",0,INDEX(Transactions!$O:$O,ROW()-8))</f>
      </c>
      <c r="G492" s="30">
        <f>IF($A492="",0,INDEX(Transactions!$P:$P,ROW()-8))</f>
      </c>
    </row>
    <row r="493" spans="1:7" ht="15" customHeight="1" x14ac:dyDescent="0.15">
      <c r="A493">
        <f>IF(INDEX(Transactions!$J:$J,ROW()-8)="","",INDEX(Transactions!$J:$J,ROW()-8))</f>
      </c>
      <c r="B493" s="297">
        <f>IF($A493="",TODAY(),INDEX(Transactions!$G:$G,ROW()-8))</f>
      </c>
      <c r="C493">
        <f>IF($A493="","",INDEX(Transactions!$A:$A,ROW()-8))</f>
      </c>
      <c r="D493" s="30">
        <f>IF($A493="",0,INDEX(Transactions!$H:$H,ROW()-8))</f>
      </c>
      <c r="E493">
        <f>IF($A493="",1,INDEX(Transactions!$N:$N,ROW()-8))</f>
        <v>1</v>
      </c>
      <c r="F493" s="30">
        <f>IF($A493="",0,INDEX(Transactions!$O:$O,ROW()-8))</f>
      </c>
      <c r="G493" s="30">
        <f>IF($A493="",0,INDEX(Transactions!$P:$P,ROW()-8))</f>
      </c>
    </row>
    <row r="494" spans="1:7" ht="15" customHeight="1" x14ac:dyDescent="0.15">
      <c r="A494">
        <f>IF(INDEX(Transactions!$J:$J,ROW()-8)="","",INDEX(Transactions!$J:$J,ROW()-8))</f>
      </c>
      <c r="B494" s="297">
        <f>IF($A494="",TODAY(),INDEX(Transactions!$G:$G,ROW()-8))</f>
      </c>
      <c r="C494">
        <f>IF($A494="","",INDEX(Transactions!$A:$A,ROW()-8))</f>
      </c>
      <c r="D494" s="30">
        <f>IF($A494="",0,INDEX(Transactions!$H:$H,ROW()-8))</f>
      </c>
      <c r="E494">
        <f>IF($A494="",1,INDEX(Transactions!$N:$N,ROW()-8))</f>
        <v>1</v>
      </c>
      <c r="F494" s="30">
        <f>IF($A494="",0,INDEX(Transactions!$O:$O,ROW()-8))</f>
      </c>
      <c r="G494" s="30">
        <f>IF($A494="",0,INDEX(Transactions!$P:$P,ROW()-8))</f>
      </c>
    </row>
    <row r="495" spans="1:7" ht="15" customHeight="1" x14ac:dyDescent="0.15">
      <c r="A495">
        <f>IF(INDEX(Transactions!$J:$J,ROW()-8)="","",INDEX(Transactions!$J:$J,ROW()-8))</f>
      </c>
      <c r="B495" s="297">
        <f>IF($A495="",TODAY(),INDEX(Transactions!$G:$G,ROW()-8))</f>
      </c>
      <c r="C495">
        <f>IF($A495="","",INDEX(Transactions!$A:$A,ROW()-8))</f>
      </c>
      <c r="D495" s="30">
        <f>IF($A495="",0,INDEX(Transactions!$H:$H,ROW()-8))</f>
      </c>
      <c r="E495">
        <f>IF($A495="",1,INDEX(Transactions!$N:$N,ROW()-8))</f>
        <v>1</v>
      </c>
      <c r="F495" s="30">
        <f>IF($A495="",0,INDEX(Transactions!$O:$O,ROW()-8))</f>
      </c>
      <c r="G495" s="30">
        <f>IF($A495="",0,INDEX(Transactions!$P:$P,ROW()-8))</f>
      </c>
    </row>
    <row r="496" spans="1:7" ht="15" customHeight="1" x14ac:dyDescent="0.15">
      <c r="A496">
        <f>IF(INDEX(Transactions!$J:$J,ROW()-8)="","",INDEX(Transactions!$J:$J,ROW()-8))</f>
      </c>
      <c r="B496" s="297">
        <f>IF($A496="",TODAY(),INDEX(Transactions!$G:$G,ROW()-8))</f>
      </c>
      <c r="C496">
        <f>IF($A496="","",INDEX(Transactions!$A:$A,ROW()-8))</f>
      </c>
      <c r="D496" s="30">
        <f>IF($A496="",0,INDEX(Transactions!$H:$H,ROW()-8))</f>
      </c>
      <c r="E496">
        <f>IF($A496="",1,INDEX(Transactions!$N:$N,ROW()-8))</f>
        <v>1</v>
      </c>
      <c r="F496" s="30">
        <f>IF($A496="",0,INDEX(Transactions!$O:$O,ROW()-8))</f>
      </c>
      <c r="G496" s="30">
        <f>IF($A496="",0,INDEX(Transactions!$P:$P,ROW()-8))</f>
      </c>
    </row>
    <row r="497" spans="1:7" ht="15" customHeight="1" x14ac:dyDescent="0.15">
      <c r="A497">
        <f>IF(INDEX(Transactions!$J:$J,ROW()-8)="","",INDEX(Transactions!$J:$J,ROW()-8))</f>
      </c>
      <c r="B497" s="297">
        <f>IF($A497="",TODAY(),INDEX(Transactions!$G:$G,ROW()-8))</f>
      </c>
      <c r="C497">
        <f>IF($A497="","",INDEX(Transactions!$A:$A,ROW()-8))</f>
      </c>
      <c r="D497" s="30">
        <f>IF($A497="",0,INDEX(Transactions!$H:$H,ROW()-8))</f>
      </c>
      <c r="E497">
        <f>IF($A497="",1,INDEX(Transactions!$N:$N,ROW()-8))</f>
        <v>1</v>
      </c>
      <c r="F497" s="30">
        <f>IF($A497="",0,INDEX(Transactions!$O:$O,ROW()-8))</f>
      </c>
      <c r="G497" s="30">
        <f>IF($A497="",0,INDEX(Transactions!$P:$P,ROW()-8))</f>
      </c>
    </row>
    <row r="498" spans="1:7" ht="15" customHeight="1" x14ac:dyDescent="0.15">
      <c r="A498">
        <f>IF(INDEX(Transactions!$J:$J,ROW()-8)="","",INDEX(Transactions!$J:$J,ROW()-8))</f>
      </c>
      <c r="B498" s="297">
        <f>IF($A498="",TODAY(),INDEX(Transactions!$G:$G,ROW()-8))</f>
      </c>
      <c r="C498">
        <f>IF($A498="","",INDEX(Transactions!$A:$A,ROW()-8))</f>
      </c>
      <c r="D498" s="30">
        <f>IF($A498="",0,INDEX(Transactions!$H:$H,ROW()-8))</f>
      </c>
      <c r="E498">
        <f>IF($A498="",1,INDEX(Transactions!$N:$N,ROW()-8))</f>
        <v>1</v>
      </c>
      <c r="F498" s="30">
        <f>IF($A498="",0,INDEX(Transactions!$O:$O,ROW()-8))</f>
      </c>
      <c r="G498" s="30">
        <f>IF($A498="",0,INDEX(Transactions!$P:$P,ROW()-8))</f>
      </c>
    </row>
    <row r="499" spans="1:7" ht="15" customHeight="1" x14ac:dyDescent="0.15">
      <c r="A499">
        <f>IF(INDEX(Transactions!$J:$J,ROW()-8)="","",INDEX(Transactions!$J:$J,ROW()-8))</f>
      </c>
      <c r="B499" s="297">
        <f>IF($A499="",TODAY(),INDEX(Transactions!$G:$G,ROW()-8))</f>
      </c>
      <c r="C499">
        <f>IF($A499="","",INDEX(Transactions!$A:$A,ROW()-8))</f>
      </c>
      <c r="D499" s="30">
        <f>IF($A499="",0,INDEX(Transactions!$H:$H,ROW()-8))</f>
      </c>
      <c r="E499">
        <f>IF($A499="",1,INDEX(Transactions!$N:$N,ROW()-8))</f>
        <v>1</v>
      </c>
      <c r="F499" s="30">
        <f>IF($A499="",0,INDEX(Transactions!$O:$O,ROW()-8))</f>
      </c>
      <c r="G499" s="30">
        <f>IF($A499="",0,INDEX(Transactions!$P:$P,ROW()-8))</f>
      </c>
    </row>
    <row r="500" spans="1:7" ht="15" customHeight="1" x14ac:dyDescent="0.15">
      <c r="A500">
        <f>IF(INDEX(Transactions!$J:$J,ROW()-8)="","",INDEX(Transactions!$J:$J,ROW()-8))</f>
      </c>
      <c r="B500" s="297">
        <f>IF($A500="",TODAY(),INDEX(Transactions!$G:$G,ROW()-8))</f>
      </c>
      <c r="C500">
        <f>IF($A500="","",INDEX(Transactions!$A:$A,ROW()-8))</f>
      </c>
      <c r="D500" s="30">
        <f>IF($A500="",0,INDEX(Transactions!$H:$H,ROW()-8))</f>
      </c>
      <c r="E500">
        <f>IF($A500="",1,INDEX(Transactions!$N:$N,ROW()-8))</f>
        <v>1</v>
      </c>
      <c r="F500" s="30">
        <f>IF($A500="",0,INDEX(Transactions!$O:$O,ROW()-8))</f>
      </c>
      <c r="G500" s="30">
        <f>IF($A500="",0,INDEX(Transactions!$P:$P,ROW()-8))</f>
      </c>
    </row>
    <row r="501" spans="1:7" ht="15" customHeight="1" x14ac:dyDescent="0.15">
      <c r="A501">
        <f>IF(INDEX(Transactions!$J:$J,ROW()-8)="","",INDEX(Transactions!$J:$J,ROW()-8))</f>
      </c>
      <c r="B501" s="297">
        <f>IF($A501="",TODAY(),INDEX(Transactions!$G:$G,ROW()-8))</f>
      </c>
      <c r="C501">
        <f>IF($A501="","",INDEX(Transactions!$A:$A,ROW()-8))</f>
      </c>
      <c r="D501" s="30">
        <f>IF($A501="",0,INDEX(Transactions!$H:$H,ROW()-8))</f>
      </c>
      <c r="E501">
        <f>IF($A501="",1,INDEX(Transactions!$N:$N,ROW()-8))</f>
        <v>1</v>
      </c>
      <c r="F501" s="30">
        <f>IF($A501="",0,INDEX(Transactions!$O:$O,ROW()-8))</f>
      </c>
      <c r="G501" s="30">
        <f>IF($A501="",0,INDEX(Transactions!$P:$P,ROW()-8))</f>
      </c>
    </row>
    <row r="502" spans="1:7" ht="15" customHeight="1" x14ac:dyDescent="0.15">
      <c r="A502">
        <f>IF(INDEX(Transactions!$J:$J,ROW()-8)="","",INDEX(Transactions!$J:$J,ROW()-8))</f>
      </c>
      <c r="B502" s="297">
        <f>IF($A502="",TODAY(),INDEX(Transactions!$G:$G,ROW()-8))</f>
      </c>
      <c r="C502">
        <f>IF($A502="","",INDEX(Transactions!$A:$A,ROW()-8))</f>
      </c>
      <c r="D502" s="30">
        <f>IF($A502="",0,INDEX(Transactions!$H:$H,ROW()-8))</f>
      </c>
      <c r="E502">
        <f>IF($A502="",1,INDEX(Transactions!$N:$N,ROW()-8))</f>
        <v>1</v>
      </c>
      <c r="F502" s="30">
        <f>IF($A502="",0,INDEX(Transactions!$O:$O,ROW()-8))</f>
      </c>
      <c r="G502" s="30">
        <f>IF($A502="",0,INDEX(Transactions!$P:$P,ROW()-8))</f>
      </c>
    </row>
    <row r="503" spans="1:7" ht="15" customHeight="1" x14ac:dyDescent="0.15">
      <c r="A503">
        <f>IF(INDEX(Transactions!$J:$J,ROW()-8)="","",INDEX(Transactions!$J:$J,ROW()-8))</f>
      </c>
      <c r="B503" s="297">
        <f>IF($A503="",TODAY(),INDEX(Transactions!$G:$G,ROW()-8))</f>
      </c>
      <c r="C503">
        <f>IF($A503="","",INDEX(Transactions!$A:$A,ROW()-8))</f>
      </c>
      <c r="D503" s="30">
        <f>IF($A503="",0,INDEX(Transactions!$H:$H,ROW()-8))</f>
      </c>
      <c r="E503">
        <f>IF($A503="",1,INDEX(Transactions!$N:$N,ROW()-8))</f>
        <v>1</v>
      </c>
      <c r="F503" s="30">
        <f>IF($A503="",0,INDEX(Transactions!$O:$O,ROW()-8))</f>
      </c>
      <c r="G503" s="30">
        <f>IF($A503="",0,INDEX(Transactions!$P:$P,ROW()-8))</f>
      </c>
    </row>
    <row r="504" spans="1:7" ht="15" customHeight="1" x14ac:dyDescent="0.15">
      <c r="A504">
        <f>IF(INDEX(Transactions!$J:$J,ROW()-8)="","",INDEX(Transactions!$J:$J,ROW()-8))</f>
      </c>
      <c r="B504" s="297">
        <f>IF($A504="",TODAY(),INDEX(Transactions!$G:$G,ROW()-8))</f>
      </c>
      <c r="C504">
        <f>IF($A504="","",INDEX(Transactions!$A:$A,ROW()-8))</f>
      </c>
      <c r="D504" s="30">
        <f>IF($A504="",0,INDEX(Transactions!$H:$H,ROW()-8))</f>
      </c>
      <c r="E504">
        <f>IF($A504="",1,INDEX(Transactions!$N:$N,ROW()-8))</f>
        <v>1</v>
      </c>
      <c r="F504" s="30">
        <f>IF($A504="",0,INDEX(Transactions!$O:$O,ROW()-8))</f>
      </c>
      <c r="G504" s="30">
        <f>IF($A504="",0,INDEX(Transactions!$P:$P,ROW()-8))</f>
      </c>
    </row>
    <row r="505" spans="1:7" ht="15" customHeight="1" x14ac:dyDescent="0.15">
      <c r="A505">
        <f>IF(INDEX(Transactions!$J:$J,ROW()-8)="","",INDEX(Transactions!$J:$J,ROW()-8))</f>
      </c>
      <c r="B505" s="297">
        <f>IF($A505="",TODAY(),INDEX(Transactions!$G:$G,ROW()-8))</f>
      </c>
      <c r="C505">
        <f>IF($A505="","",INDEX(Transactions!$A:$A,ROW()-8))</f>
      </c>
      <c r="D505" s="30">
        <f>IF($A505="",0,INDEX(Transactions!$H:$H,ROW()-8))</f>
      </c>
      <c r="E505">
        <f>IF($A505="",1,INDEX(Transactions!$N:$N,ROW()-8))</f>
        <v>1</v>
      </c>
      <c r="F505" s="30">
        <f>IF($A505="",0,INDEX(Transactions!$O:$O,ROW()-8))</f>
      </c>
      <c r="G505" s="30">
        <f>IF($A505="",0,INDEX(Transactions!$P:$P,ROW()-8))</f>
      </c>
    </row>
    <row r="506" spans="1:7" ht="15" customHeight="1" x14ac:dyDescent="0.15">
      <c r="A506">
        <f>IF(INDEX(Transactions!$J:$J,ROW()-8)="","",INDEX(Transactions!$J:$J,ROW()-8))</f>
      </c>
      <c r="B506" s="297">
        <f>IF($A506="",TODAY(),INDEX(Transactions!$G:$G,ROW()-8))</f>
      </c>
      <c r="C506">
        <f>IF($A506="","",INDEX(Transactions!$A:$A,ROW()-8))</f>
      </c>
      <c r="D506" s="30">
        <f>IF($A506="",0,INDEX(Transactions!$H:$H,ROW()-8))</f>
      </c>
      <c r="E506">
        <f>IF($A506="",1,INDEX(Transactions!$N:$N,ROW()-8))</f>
        <v>1</v>
      </c>
      <c r="F506" s="30">
        <f>IF($A506="",0,INDEX(Transactions!$O:$O,ROW()-8))</f>
      </c>
      <c r="G506" s="30">
        <f>IF($A506="",0,INDEX(Transactions!$P:$P,ROW()-8))</f>
      </c>
    </row>
    <row r="507" spans="1:7" ht="15" customHeight="1" x14ac:dyDescent="0.15">
      <c r="A507">
        <f>IF(INDEX(Transactions!$J:$J,ROW()-8)="","",INDEX(Transactions!$J:$J,ROW()-8))</f>
      </c>
      <c r="B507" s="297">
        <f>IF($A507="",TODAY(),INDEX(Transactions!$G:$G,ROW()-8))</f>
      </c>
      <c r="C507">
        <f>IF($A507="","",INDEX(Transactions!$A:$A,ROW()-8))</f>
      </c>
      <c r="D507" s="30">
        <f>IF($A507="",0,INDEX(Transactions!$H:$H,ROW()-8))</f>
      </c>
      <c r="E507">
        <f>IF($A507="",1,INDEX(Transactions!$N:$N,ROW()-8))</f>
        <v>1</v>
      </c>
      <c r="F507" s="30">
        <f>IF($A507="",0,INDEX(Transactions!$O:$O,ROW()-8))</f>
      </c>
      <c r="G507" s="30">
        <f>IF($A507="",0,INDEX(Transactions!$P:$P,ROW()-8))</f>
      </c>
    </row>
    <row r="508" spans="1:7" ht="15" customHeight="1" x14ac:dyDescent="0.15">
      <c r="A508">
        <f>IF(INDEX(Transactions!$J:$J,ROW()-8)="","",INDEX(Transactions!$J:$J,ROW()-8))</f>
      </c>
      <c r="B508" s="297">
        <f>IF($A508="",TODAY(),INDEX(Transactions!$G:$G,ROW()-8))</f>
      </c>
      <c r="C508">
        <f>IF($A508="","",INDEX(Transactions!$A:$A,ROW()-8))</f>
      </c>
      <c r="D508" s="30">
        <f>IF($A508="",0,INDEX(Transactions!$H:$H,ROW()-8))</f>
      </c>
      <c r="E508">
        <f>IF($A508="",1,INDEX(Transactions!$N:$N,ROW()-8))</f>
        <v>1</v>
      </c>
      <c r="F508" s="30">
        <f>IF($A508="",0,INDEX(Transactions!$O:$O,ROW()-8))</f>
      </c>
      <c r="G508" s="30">
        <f>IF($A508="",0,INDEX(Transactions!$P:$P,ROW()-8))</f>
      </c>
    </row>
    <row r="509" spans="1:7" ht="15" customHeight="1" x14ac:dyDescent="0.15">
      <c r="A509">
        <f>IF(INDEX(Transactions!$J:$J,ROW()-8)="","",INDEX(Transactions!$J:$J,ROW()-8))</f>
      </c>
      <c r="B509" s="297">
        <f>IF($A509="",TODAY(),INDEX(Transactions!$G:$G,ROW()-8))</f>
      </c>
      <c r="C509">
        <f>IF($A509="","",INDEX(Transactions!$A:$A,ROW()-8))</f>
      </c>
      <c r="D509" s="30">
        <f>IF($A509="",0,INDEX(Transactions!$H:$H,ROW()-8))</f>
      </c>
      <c r="E509">
        <f>IF($A509="",1,INDEX(Transactions!$N:$N,ROW()-8))</f>
        <v>1</v>
      </c>
      <c r="F509" s="30">
        <f>IF($A509="",0,INDEX(Transactions!$O:$O,ROW()-8))</f>
      </c>
      <c r="G509" s="30">
        <f>IF($A509="",0,INDEX(Transactions!$P:$P,ROW()-8))</f>
      </c>
    </row>
    <row r="510" spans="1:7" ht="15" customHeight="1" x14ac:dyDescent="0.15">
      <c r="A510">
        <f>IF(INDEX(Transactions!$J:$J,ROW()-8)="","",INDEX(Transactions!$J:$J,ROW()-8))</f>
      </c>
      <c r="B510" s="297">
        <f>IF($A510="",TODAY(),INDEX(Transactions!$G:$G,ROW()-8))</f>
      </c>
      <c r="C510">
        <f>IF($A510="","",INDEX(Transactions!$A:$A,ROW()-8))</f>
      </c>
      <c r="D510" s="30">
        <f>IF($A510="",0,INDEX(Transactions!$H:$H,ROW()-8))</f>
      </c>
      <c r="E510">
        <f>IF($A510="",1,INDEX(Transactions!$N:$N,ROW()-8))</f>
        <v>1</v>
      </c>
      <c r="F510" s="30">
        <f>IF($A510="",0,INDEX(Transactions!$O:$O,ROW()-8))</f>
      </c>
      <c r="G510" s="30">
        <f>IF($A510="",0,INDEX(Transactions!$P:$P,ROW()-8))</f>
      </c>
    </row>
    <row r="511" spans="1:7" ht="15" customHeight="1" x14ac:dyDescent="0.15">
      <c r="A511">
        <f>IF(INDEX(Transactions!$J:$J,ROW()-8)="","",INDEX(Transactions!$J:$J,ROW()-8))</f>
      </c>
      <c r="B511" s="297">
        <f>IF($A511="",TODAY(),INDEX(Transactions!$G:$G,ROW()-8))</f>
      </c>
      <c r="C511">
        <f>IF($A511="","",INDEX(Transactions!$A:$A,ROW()-8))</f>
      </c>
      <c r="D511" s="30">
        <f>IF($A511="",0,INDEX(Transactions!$H:$H,ROW()-8))</f>
      </c>
      <c r="E511">
        <f>IF($A511="",1,INDEX(Transactions!$N:$N,ROW()-8))</f>
        <v>1</v>
      </c>
      <c r="F511" s="30">
        <f>IF($A511="",0,INDEX(Transactions!$O:$O,ROW()-8))</f>
      </c>
      <c r="G511" s="30">
        <f>IF($A511="",0,INDEX(Transactions!$P:$P,ROW()-8))</f>
      </c>
    </row>
    <row r="512" spans="1:7" ht="15" customHeight="1" x14ac:dyDescent="0.15">
      <c r="A512">
        <f>IF(INDEX(Transactions!$J:$J,ROW()-8)="","",INDEX(Transactions!$J:$J,ROW()-8))</f>
      </c>
      <c r="B512" s="297">
        <f>IF($A512="",TODAY(),INDEX(Transactions!$G:$G,ROW()-8))</f>
      </c>
      <c r="C512">
        <f>IF($A512="","",INDEX(Transactions!$A:$A,ROW()-8))</f>
      </c>
      <c r="D512" s="30">
        <f>IF($A512="",0,INDEX(Transactions!$H:$H,ROW()-8))</f>
      </c>
      <c r="E512">
        <f>IF($A512="",1,INDEX(Transactions!$N:$N,ROW()-8))</f>
        <v>1</v>
      </c>
      <c r="F512" s="30">
        <f>IF($A512="",0,INDEX(Transactions!$O:$O,ROW()-8))</f>
      </c>
      <c r="G512" s="30">
        <f>IF($A512="",0,INDEX(Transactions!$P:$P,ROW()-8))</f>
      </c>
    </row>
    <row r="513" spans="1:7" ht="15" customHeight="1" x14ac:dyDescent="0.15">
      <c r="A513">
        <f>IF(INDEX(Transactions!$J:$J,ROW()-8)="","",INDEX(Transactions!$J:$J,ROW()-8))</f>
      </c>
      <c r="B513" s="297">
        <f>IF($A513="",TODAY(),INDEX(Transactions!$G:$G,ROW()-8))</f>
      </c>
      <c r="C513">
        <f>IF($A513="","",INDEX(Transactions!$A:$A,ROW()-8))</f>
      </c>
      <c r="D513" s="30">
        <f>IF($A513="",0,INDEX(Transactions!$H:$H,ROW()-8))</f>
      </c>
      <c r="E513">
        <f>IF($A513="",1,INDEX(Transactions!$N:$N,ROW()-8))</f>
        <v>1</v>
      </c>
      <c r="F513" s="30">
        <f>IF($A513="",0,INDEX(Transactions!$O:$O,ROW()-8))</f>
      </c>
      <c r="G513" s="30">
        <f>IF($A513="",0,INDEX(Transactions!$P:$P,ROW()-8))</f>
      </c>
    </row>
    <row r="514" spans="1:7" ht="15" customHeight="1" x14ac:dyDescent="0.15">
      <c r="A514">
        <f>IF(INDEX(Transactions!$J:$J,ROW()-8)="","",INDEX(Transactions!$J:$J,ROW()-8))</f>
      </c>
      <c r="B514" s="297">
        <f>IF($A514="",TODAY(),INDEX(Transactions!$G:$G,ROW()-8))</f>
      </c>
      <c r="C514">
        <f>IF($A514="","",INDEX(Transactions!$A:$A,ROW()-8))</f>
      </c>
      <c r="D514" s="30">
        <f>IF($A514="",0,INDEX(Transactions!$H:$H,ROW()-8))</f>
      </c>
      <c r="E514">
        <f>IF($A514="",1,INDEX(Transactions!$N:$N,ROW()-8))</f>
        <v>1</v>
      </c>
      <c r="F514" s="30">
        <f>IF($A514="",0,INDEX(Transactions!$O:$O,ROW()-8))</f>
      </c>
      <c r="G514" s="30">
        <f>IF($A514="",0,INDEX(Transactions!$P:$P,ROW()-8))</f>
      </c>
    </row>
    <row r="515" spans="1:7" ht="15" customHeight="1" x14ac:dyDescent="0.15">
      <c r="A515">
        <f>IF(INDEX(Transactions!$J:$J,ROW()-8)="","",INDEX(Transactions!$J:$J,ROW()-8))</f>
      </c>
      <c r="B515" s="297">
        <f>IF($A515="",TODAY(),INDEX(Transactions!$G:$G,ROW()-8))</f>
      </c>
      <c r="C515">
        <f>IF($A515="","",INDEX(Transactions!$A:$A,ROW()-8))</f>
      </c>
      <c r="D515" s="30">
        <f>IF($A515="",0,INDEX(Transactions!$H:$H,ROW()-8))</f>
      </c>
      <c r="E515">
        <f>IF($A515="",1,INDEX(Transactions!$N:$N,ROW()-8))</f>
        <v>1</v>
      </c>
      <c r="F515" s="30">
        <f>IF($A515="",0,INDEX(Transactions!$O:$O,ROW()-8))</f>
      </c>
      <c r="G515" s="30">
        <f>IF($A515="",0,INDEX(Transactions!$P:$P,ROW()-8))</f>
      </c>
    </row>
    <row r="516" spans="1:7" ht="15" customHeight="1" x14ac:dyDescent="0.15">
      <c r="A516">
        <f>IF(INDEX(Transactions!$J:$J,ROW()-8)="","",INDEX(Transactions!$J:$J,ROW()-8))</f>
      </c>
      <c r="B516" s="297">
        <f>IF($A516="",TODAY(),INDEX(Transactions!$G:$G,ROW()-8))</f>
      </c>
      <c r="C516">
        <f>IF($A516="","",INDEX(Transactions!$A:$A,ROW()-8))</f>
      </c>
      <c r="D516" s="30">
        <f>IF($A516="",0,INDEX(Transactions!$H:$H,ROW()-8))</f>
      </c>
      <c r="E516">
        <f>IF($A516="",1,INDEX(Transactions!$N:$N,ROW()-8))</f>
        <v>1</v>
      </c>
      <c r="F516" s="30">
        <f>IF($A516="",0,INDEX(Transactions!$O:$O,ROW()-8))</f>
      </c>
      <c r="G516" s="30">
        <f>IF($A516="",0,INDEX(Transactions!$P:$P,ROW()-8))</f>
      </c>
    </row>
    <row r="517" spans="1:7" ht="15" customHeight="1" x14ac:dyDescent="0.15">
      <c r="A517">
        <f>IF(INDEX(Transactions!$J:$J,ROW()-8)="","",INDEX(Transactions!$J:$J,ROW()-8))</f>
      </c>
      <c r="B517" s="297">
        <f>IF($A517="",TODAY(),INDEX(Transactions!$G:$G,ROW()-8))</f>
      </c>
      <c r="C517">
        <f>IF($A517="","",INDEX(Transactions!$A:$A,ROW()-8))</f>
      </c>
      <c r="D517" s="30">
        <f>IF($A517="",0,INDEX(Transactions!$H:$H,ROW()-8))</f>
      </c>
      <c r="E517">
        <f>IF($A517="",1,INDEX(Transactions!$N:$N,ROW()-8))</f>
        <v>1</v>
      </c>
      <c r="F517" s="30">
        <f>IF($A517="",0,INDEX(Transactions!$O:$O,ROW()-8))</f>
      </c>
      <c r="G517" s="30">
        <f>IF($A517="",0,INDEX(Transactions!$P:$P,ROW()-8))</f>
      </c>
    </row>
    <row r="518" spans="1:7" ht="15" customHeight="1" x14ac:dyDescent="0.15">
      <c r="A518">
        <f>IF(INDEX(Transactions!$J:$J,ROW()-8)="","",INDEX(Transactions!$J:$J,ROW()-8))</f>
      </c>
      <c r="B518" s="297">
        <f>IF($A518="",TODAY(),INDEX(Transactions!$G:$G,ROW()-8))</f>
      </c>
      <c r="C518">
        <f>IF($A518="","",INDEX(Transactions!$A:$A,ROW()-8))</f>
      </c>
      <c r="D518" s="30">
        <f>IF($A518="",0,INDEX(Transactions!$H:$H,ROW()-8))</f>
      </c>
      <c r="E518">
        <f>IF($A518="",1,INDEX(Transactions!$N:$N,ROW()-8))</f>
        <v>1</v>
      </c>
      <c r="F518" s="30">
        <f>IF($A518="",0,INDEX(Transactions!$O:$O,ROW()-8))</f>
      </c>
      <c r="G518" s="30">
        <f>IF($A518="",0,INDEX(Transactions!$P:$P,ROW()-8))</f>
      </c>
    </row>
    <row r="519" spans="1:7" ht="15" customHeight="1" x14ac:dyDescent="0.15">
      <c r="A519">
        <f>IF(INDEX(Transactions!$J:$J,ROW()-8)="","",INDEX(Transactions!$J:$J,ROW()-8))</f>
      </c>
      <c r="B519" s="297">
        <f>IF($A519="",TODAY(),INDEX(Transactions!$G:$G,ROW()-8))</f>
      </c>
      <c r="C519">
        <f>IF($A519="","",INDEX(Transactions!$A:$A,ROW()-8))</f>
      </c>
      <c r="D519" s="30">
        <f>IF($A519="",0,INDEX(Transactions!$H:$H,ROW()-8))</f>
      </c>
      <c r="E519">
        <f>IF($A519="",1,INDEX(Transactions!$N:$N,ROW()-8))</f>
        <v>1</v>
      </c>
      <c r="F519" s="30">
        <f>IF($A519="",0,INDEX(Transactions!$O:$O,ROW()-8))</f>
      </c>
      <c r="G519" s="30">
        <f>IF($A519="",0,INDEX(Transactions!$P:$P,ROW()-8))</f>
      </c>
    </row>
    <row r="520" spans="1:7" ht="15" customHeight="1" x14ac:dyDescent="0.15">
      <c r="A520">
        <f>IF(INDEX(Transactions!$J:$J,ROW()-8)="","",INDEX(Transactions!$J:$J,ROW()-8))</f>
      </c>
      <c r="B520" s="297">
        <f>IF($A520="",TODAY(),INDEX(Transactions!$G:$G,ROW()-8))</f>
      </c>
      <c r="C520">
        <f>IF($A520="","",INDEX(Transactions!$A:$A,ROW()-8))</f>
      </c>
      <c r="D520" s="30">
        <f>IF($A520="",0,INDEX(Transactions!$H:$H,ROW()-8))</f>
      </c>
      <c r="E520">
        <f>IF($A520="",1,INDEX(Transactions!$N:$N,ROW()-8))</f>
        <v>1</v>
      </c>
      <c r="F520" s="30">
        <f>IF($A520="",0,INDEX(Transactions!$O:$O,ROW()-8))</f>
      </c>
      <c r="G520" s="30">
        <f>IF($A520="",0,INDEX(Transactions!$P:$P,ROW()-8))</f>
      </c>
    </row>
    <row r="521" spans="1:7" ht="15" customHeight="1" x14ac:dyDescent="0.15">
      <c r="A521">
        <f>IF(INDEX(Transactions!$J:$J,ROW()-8)="","",INDEX(Transactions!$J:$J,ROW()-8))</f>
      </c>
      <c r="B521" s="297">
        <f>IF($A521="",TODAY(),INDEX(Transactions!$G:$G,ROW()-8))</f>
      </c>
      <c r="C521">
        <f>IF($A521="","",INDEX(Transactions!$A:$A,ROW()-8))</f>
      </c>
      <c r="D521" s="30">
        <f>IF($A521="",0,INDEX(Transactions!$H:$H,ROW()-8))</f>
      </c>
      <c r="E521">
        <f>IF($A521="",1,INDEX(Transactions!$N:$N,ROW()-8))</f>
        <v>1</v>
      </c>
      <c r="F521" s="30">
        <f>IF($A521="",0,INDEX(Transactions!$O:$O,ROW()-8))</f>
      </c>
      <c r="G521" s="30">
        <f>IF($A521="",0,INDEX(Transactions!$P:$P,ROW()-8))</f>
      </c>
    </row>
    <row r="522" spans="1:7" ht="15" customHeight="1" x14ac:dyDescent="0.15">
      <c r="A522">
        <f>IF(INDEX(Transactions!$J:$J,ROW()-8)="","",INDEX(Transactions!$J:$J,ROW()-8))</f>
      </c>
      <c r="B522" s="297">
        <f>IF($A522="",TODAY(),INDEX(Transactions!$G:$G,ROW()-8))</f>
      </c>
      <c r="C522">
        <f>IF($A522="","",INDEX(Transactions!$A:$A,ROW()-8))</f>
      </c>
      <c r="D522" s="30">
        <f>IF($A522="",0,INDEX(Transactions!$H:$H,ROW()-8))</f>
      </c>
      <c r="E522">
        <f>IF($A522="",1,INDEX(Transactions!$N:$N,ROW()-8))</f>
        <v>1</v>
      </c>
      <c r="F522" s="30">
        <f>IF($A522="",0,INDEX(Transactions!$O:$O,ROW()-8))</f>
      </c>
      <c r="G522" s="30">
        <f>IF($A522="",0,INDEX(Transactions!$P:$P,ROW()-8))</f>
      </c>
    </row>
    <row r="523" spans="1:7" ht="15" customHeight="1" x14ac:dyDescent="0.15">
      <c r="A523">
        <f>IF(INDEX(Transactions!$J:$J,ROW()-8)="","",INDEX(Transactions!$J:$J,ROW()-8))</f>
      </c>
      <c r="B523" s="297">
        <f>IF($A523="",TODAY(),INDEX(Transactions!$G:$G,ROW()-8))</f>
      </c>
      <c r="C523">
        <f>IF($A523="","",INDEX(Transactions!$A:$A,ROW()-8))</f>
      </c>
      <c r="D523" s="30">
        <f>IF($A523="",0,INDEX(Transactions!$H:$H,ROW()-8))</f>
      </c>
      <c r="E523">
        <f>IF($A523="",1,INDEX(Transactions!$N:$N,ROW()-8))</f>
        <v>1</v>
      </c>
      <c r="F523" s="30">
        <f>IF($A523="",0,INDEX(Transactions!$O:$O,ROW()-8))</f>
      </c>
      <c r="G523" s="30">
        <f>IF($A523="",0,INDEX(Transactions!$P:$P,ROW()-8))</f>
      </c>
    </row>
    <row r="524" spans="1:7" ht="15" customHeight="1" x14ac:dyDescent="0.15">
      <c r="A524">
        <f>IF(INDEX(Transactions!$J:$J,ROW()-8)="","",INDEX(Transactions!$J:$J,ROW()-8))</f>
      </c>
      <c r="B524" s="297">
        <f>IF($A524="",TODAY(),INDEX(Transactions!$G:$G,ROW()-8))</f>
      </c>
      <c r="C524">
        <f>IF($A524="","",INDEX(Transactions!$A:$A,ROW()-8))</f>
      </c>
      <c r="D524" s="30">
        <f>IF($A524="",0,INDEX(Transactions!$H:$H,ROW()-8))</f>
      </c>
      <c r="E524">
        <f>IF($A524="",1,INDEX(Transactions!$N:$N,ROW()-8))</f>
        <v>1</v>
      </c>
      <c r="F524" s="30">
        <f>IF($A524="",0,INDEX(Transactions!$O:$O,ROW()-8))</f>
      </c>
      <c r="G524" s="30">
        <f>IF($A524="",0,INDEX(Transactions!$P:$P,ROW()-8))</f>
      </c>
    </row>
    <row r="525" spans="1:7" ht="15" customHeight="1" x14ac:dyDescent="0.15">
      <c r="A525">
        <f>IF(INDEX(Transactions!$J:$J,ROW()-8)="","",INDEX(Transactions!$J:$J,ROW()-8))</f>
      </c>
      <c r="B525" s="297">
        <f>IF($A525="",TODAY(),INDEX(Transactions!$G:$G,ROW()-8))</f>
      </c>
      <c r="C525">
        <f>IF($A525="","",INDEX(Transactions!$A:$A,ROW()-8))</f>
      </c>
      <c r="D525" s="30">
        <f>IF($A525="",0,INDEX(Transactions!$H:$H,ROW()-8))</f>
      </c>
      <c r="E525">
        <f>IF($A525="",1,INDEX(Transactions!$N:$N,ROW()-8))</f>
        <v>1</v>
      </c>
      <c r="F525" s="30">
        <f>IF($A525="",0,INDEX(Transactions!$O:$O,ROW()-8))</f>
      </c>
      <c r="G525" s="30">
        <f>IF($A525="",0,INDEX(Transactions!$P:$P,ROW()-8))</f>
      </c>
    </row>
    <row r="526" spans="1:7" ht="15" customHeight="1" x14ac:dyDescent="0.15">
      <c r="A526">
        <f>IF(INDEX(Transactions!$J:$J,ROW()-8)="","",INDEX(Transactions!$J:$J,ROW()-8))</f>
      </c>
      <c r="B526" s="297">
        <f>IF($A526="",TODAY(),INDEX(Transactions!$G:$G,ROW()-8))</f>
      </c>
      <c r="C526">
        <f>IF($A526="","",INDEX(Transactions!$A:$A,ROW()-8))</f>
      </c>
      <c r="D526" s="30">
        <f>IF($A526="",0,INDEX(Transactions!$H:$H,ROW()-8))</f>
      </c>
      <c r="E526">
        <f>IF($A526="",1,INDEX(Transactions!$N:$N,ROW()-8))</f>
        <v>1</v>
      </c>
      <c r="F526" s="30">
        <f>IF($A526="",0,INDEX(Transactions!$O:$O,ROW()-8))</f>
      </c>
      <c r="G526" s="30">
        <f>IF($A526="",0,INDEX(Transactions!$P:$P,ROW()-8))</f>
      </c>
    </row>
    <row r="527" spans="1:7" ht="15" customHeight="1" x14ac:dyDescent="0.15">
      <c r="A527">
        <f>IF(INDEX(Transactions!$J:$J,ROW()-8)="","",INDEX(Transactions!$J:$J,ROW()-8))</f>
      </c>
      <c r="B527" s="297">
        <f>IF($A527="",TODAY(),INDEX(Transactions!$G:$G,ROW()-8))</f>
      </c>
      <c r="C527">
        <f>IF($A527="","",INDEX(Transactions!$A:$A,ROW()-8))</f>
      </c>
      <c r="D527" s="30">
        <f>IF($A527="",0,INDEX(Transactions!$H:$H,ROW()-8))</f>
      </c>
      <c r="E527">
        <f>IF($A527="",1,INDEX(Transactions!$N:$N,ROW()-8))</f>
        <v>1</v>
      </c>
      <c r="F527" s="30">
        <f>IF($A527="",0,INDEX(Transactions!$O:$O,ROW()-8))</f>
      </c>
      <c r="G527" s="30">
        <f>IF($A527="",0,INDEX(Transactions!$P:$P,ROW()-8))</f>
      </c>
    </row>
    <row r="528" spans="1:7" ht="15" customHeight="1" x14ac:dyDescent="0.15">
      <c r="A528">
        <f>IF(INDEX(Transactions!$J:$J,ROW()-8)="","",INDEX(Transactions!$J:$J,ROW()-8))</f>
      </c>
      <c r="B528" s="297">
        <f>IF($A528="",TODAY(),INDEX(Transactions!$G:$G,ROW()-8))</f>
      </c>
      <c r="C528">
        <f>IF($A528="","",INDEX(Transactions!$A:$A,ROW()-8))</f>
      </c>
      <c r="D528" s="30">
        <f>IF($A528="",0,INDEX(Transactions!$H:$H,ROW()-8))</f>
      </c>
      <c r="E528">
        <f>IF($A528="",1,INDEX(Transactions!$N:$N,ROW()-8))</f>
        <v>1</v>
      </c>
      <c r="F528" s="30">
        <f>IF($A528="",0,INDEX(Transactions!$O:$O,ROW()-8))</f>
      </c>
      <c r="G528" s="30">
        <f>IF($A528="",0,INDEX(Transactions!$P:$P,ROW()-8))</f>
      </c>
    </row>
    <row r="529" spans="1:7" ht="15" customHeight="1" x14ac:dyDescent="0.15">
      <c r="A529">
        <f>IF(INDEX(Transactions!$J:$J,ROW()-8)="","",INDEX(Transactions!$J:$J,ROW()-8))</f>
      </c>
      <c r="B529" s="297">
        <f>IF($A529="",TODAY(),INDEX(Transactions!$G:$G,ROW()-8))</f>
      </c>
      <c r="C529">
        <f>IF($A529="","",INDEX(Transactions!$A:$A,ROW()-8))</f>
      </c>
      <c r="D529" s="30">
        <f>IF($A529="",0,INDEX(Transactions!$H:$H,ROW()-8))</f>
      </c>
      <c r="E529">
        <f>IF($A529="",1,INDEX(Transactions!$N:$N,ROW()-8))</f>
        <v>1</v>
      </c>
      <c r="F529" s="30">
        <f>IF($A529="",0,INDEX(Transactions!$O:$O,ROW()-8))</f>
      </c>
      <c r="G529" s="30">
        <f>IF($A529="",0,INDEX(Transactions!$P:$P,ROW()-8))</f>
      </c>
    </row>
    <row r="530" spans="1:7" ht="15" customHeight="1" x14ac:dyDescent="0.15">
      <c r="A530">
        <f>IF(INDEX(Transactions!$J:$J,ROW()-8)="","",INDEX(Transactions!$J:$J,ROW()-8))</f>
      </c>
      <c r="B530" s="297">
        <f>IF($A530="",TODAY(),INDEX(Transactions!$G:$G,ROW()-8))</f>
      </c>
      <c r="C530">
        <f>IF($A530="","",INDEX(Transactions!$A:$A,ROW()-8))</f>
      </c>
      <c r="D530" s="30">
        <f>IF($A530="",0,INDEX(Transactions!$H:$H,ROW()-8))</f>
      </c>
      <c r="E530">
        <f>IF($A530="",1,INDEX(Transactions!$N:$N,ROW()-8))</f>
        <v>1</v>
      </c>
      <c r="F530" s="30">
        <f>IF($A530="",0,INDEX(Transactions!$O:$O,ROW()-8))</f>
      </c>
      <c r="G530" s="30">
        <f>IF($A530="",0,INDEX(Transactions!$P:$P,ROW()-8))</f>
      </c>
    </row>
    <row r="531" spans="1:7" ht="15" customHeight="1" x14ac:dyDescent="0.15">
      <c r="A531">
        <f>IF(INDEX(Transactions!$J:$J,ROW()-8)="","",INDEX(Transactions!$J:$J,ROW()-8))</f>
      </c>
      <c r="B531" s="297">
        <f>IF($A531="",TODAY(),INDEX(Transactions!$G:$G,ROW()-8))</f>
      </c>
      <c r="C531">
        <f>IF($A531="","",INDEX(Transactions!$A:$A,ROW()-8))</f>
      </c>
      <c r="D531" s="30">
        <f>IF($A531="",0,INDEX(Transactions!$H:$H,ROW()-8))</f>
      </c>
      <c r="E531">
        <f>IF($A531="",1,INDEX(Transactions!$N:$N,ROW()-8))</f>
        <v>1</v>
      </c>
      <c r="F531" s="30">
        <f>IF($A531="",0,INDEX(Transactions!$O:$O,ROW()-8))</f>
      </c>
      <c r="G531" s="30">
        <f>IF($A531="",0,INDEX(Transactions!$P:$P,ROW()-8))</f>
      </c>
    </row>
    <row r="532" spans="1:7" ht="15" customHeight="1" x14ac:dyDescent="0.15">
      <c r="A532">
        <f>IF(INDEX(Transactions!$J:$J,ROW()-8)="","",INDEX(Transactions!$J:$J,ROW()-8))</f>
      </c>
      <c r="B532" s="297">
        <f>IF($A532="",TODAY(),INDEX(Transactions!$G:$G,ROW()-8))</f>
      </c>
      <c r="C532">
        <f>IF($A532="","",INDEX(Transactions!$A:$A,ROW()-8))</f>
      </c>
      <c r="D532" s="30">
        <f>IF($A532="",0,INDEX(Transactions!$H:$H,ROW()-8))</f>
      </c>
      <c r="E532">
        <f>IF($A532="",1,INDEX(Transactions!$N:$N,ROW()-8))</f>
        <v>1</v>
      </c>
      <c r="F532" s="30">
        <f>IF($A532="",0,INDEX(Transactions!$O:$O,ROW()-8))</f>
      </c>
      <c r="G532" s="30">
        <f>IF($A532="",0,INDEX(Transactions!$P:$P,ROW()-8))</f>
      </c>
    </row>
    <row r="533" spans="1:7" ht="15" customHeight="1" x14ac:dyDescent="0.15">
      <c r="A533">
        <f>IF(INDEX(Transactions!$J:$J,ROW()-8)="","",INDEX(Transactions!$J:$J,ROW()-8))</f>
      </c>
      <c r="B533" s="297">
        <f>IF($A533="",TODAY(),INDEX(Transactions!$G:$G,ROW()-8))</f>
      </c>
      <c r="C533">
        <f>IF($A533="","",INDEX(Transactions!$A:$A,ROW()-8))</f>
      </c>
      <c r="D533" s="30">
        <f>IF($A533="",0,INDEX(Transactions!$H:$H,ROW()-8))</f>
      </c>
      <c r="E533">
        <f>IF($A533="",1,INDEX(Transactions!$N:$N,ROW()-8))</f>
        <v>1</v>
      </c>
      <c r="F533" s="30">
        <f>IF($A533="",0,INDEX(Transactions!$O:$O,ROW()-8))</f>
      </c>
      <c r="G533" s="30">
        <f>IF($A533="",0,INDEX(Transactions!$P:$P,ROW()-8))</f>
      </c>
    </row>
    <row r="534" spans="1:7" ht="15" customHeight="1" x14ac:dyDescent="0.15">
      <c r="A534">
        <f>IF(INDEX(Transactions!$J:$J,ROW()-8)="","",INDEX(Transactions!$J:$J,ROW()-8))</f>
      </c>
      <c r="B534" s="297">
        <f>IF($A534="",TODAY(),INDEX(Transactions!$G:$G,ROW()-8))</f>
      </c>
      <c r="C534">
        <f>IF($A534="","",INDEX(Transactions!$A:$A,ROW()-8))</f>
      </c>
      <c r="D534" s="30">
        <f>IF($A534="",0,INDEX(Transactions!$H:$H,ROW()-8))</f>
      </c>
      <c r="E534">
        <f>IF($A534="",1,INDEX(Transactions!$N:$N,ROW()-8))</f>
        <v>1</v>
      </c>
      <c r="F534" s="30">
        <f>IF($A534="",0,INDEX(Transactions!$O:$O,ROW()-8))</f>
      </c>
      <c r="G534" s="30">
        <f>IF($A534="",0,INDEX(Transactions!$P:$P,ROW()-8))</f>
      </c>
    </row>
    <row r="535" spans="1:7" ht="15" customHeight="1" x14ac:dyDescent="0.15">
      <c r="A535">
        <f>IF(INDEX(Transactions!$J:$J,ROW()-8)="","",INDEX(Transactions!$J:$J,ROW()-8))</f>
      </c>
      <c r="B535" s="297">
        <f>IF($A535="",TODAY(),INDEX(Transactions!$G:$G,ROW()-8))</f>
      </c>
      <c r="C535">
        <f>IF($A535="","",INDEX(Transactions!$A:$A,ROW()-8))</f>
      </c>
      <c r="D535" s="30">
        <f>IF($A535="",0,INDEX(Transactions!$H:$H,ROW()-8))</f>
      </c>
      <c r="E535">
        <f>IF($A535="",1,INDEX(Transactions!$N:$N,ROW()-8))</f>
        <v>1</v>
      </c>
      <c r="F535" s="30">
        <f>IF($A535="",0,INDEX(Transactions!$O:$O,ROW()-8))</f>
      </c>
      <c r="G535" s="30">
        <f>IF($A535="",0,INDEX(Transactions!$P:$P,ROW()-8))</f>
      </c>
    </row>
    <row r="536" spans="1:7" ht="15" customHeight="1" x14ac:dyDescent="0.15">
      <c r="A536">
        <f>IF(INDEX(Transactions!$J:$J,ROW()-8)="","",INDEX(Transactions!$J:$J,ROW()-8))</f>
      </c>
      <c r="B536" s="297">
        <f>IF($A536="",TODAY(),INDEX(Transactions!$G:$G,ROW()-8))</f>
      </c>
      <c r="C536">
        <f>IF($A536="","",INDEX(Transactions!$A:$A,ROW()-8))</f>
      </c>
      <c r="D536" s="30">
        <f>IF($A536="",0,INDEX(Transactions!$H:$H,ROW()-8))</f>
      </c>
      <c r="E536">
        <f>IF($A536="",1,INDEX(Transactions!$N:$N,ROW()-8))</f>
        <v>1</v>
      </c>
      <c r="F536" s="30">
        <f>IF($A536="",0,INDEX(Transactions!$O:$O,ROW()-8))</f>
      </c>
      <c r="G536" s="30">
        <f>IF($A536="",0,INDEX(Transactions!$P:$P,ROW()-8))</f>
      </c>
    </row>
    <row r="537" spans="1:7" ht="15" customHeight="1" x14ac:dyDescent="0.15">
      <c r="A537">
        <f>IF(INDEX(Transactions!$J:$J,ROW()-8)="","",INDEX(Transactions!$J:$J,ROW()-8))</f>
      </c>
      <c r="B537" s="297">
        <f>IF($A537="",TODAY(),INDEX(Transactions!$G:$G,ROW()-8))</f>
      </c>
      <c r="C537">
        <f>IF($A537="","",INDEX(Transactions!$A:$A,ROW()-8))</f>
      </c>
      <c r="D537" s="30">
        <f>IF($A537="",0,INDEX(Transactions!$H:$H,ROW()-8))</f>
      </c>
      <c r="E537">
        <f>IF($A537="",1,INDEX(Transactions!$N:$N,ROW()-8))</f>
        <v>1</v>
      </c>
      <c r="F537" s="30">
        <f>IF($A537="",0,INDEX(Transactions!$O:$O,ROW()-8))</f>
      </c>
      <c r="G537" s="30">
        <f>IF($A537="",0,INDEX(Transactions!$P:$P,ROW()-8))</f>
      </c>
    </row>
    <row r="538" spans="1:7" ht="15" customHeight="1" x14ac:dyDescent="0.15">
      <c r="A538">
        <f>IF(INDEX(Transactions!$J:$J,ROW()-8)="","",INDEX(Transactions!$J:$J,ROW()-8))</f>
      </c>
      <c r="B538" s="297">
        <f>IF($A538="",TODAY(),INDEX(Transactions!$G:$G,ROW()-8))</f>
      </c>
      <c r="C538">
        <f>IF($A538="","",INDEX(Transactions!$A:$A,ROW()-8))</f>
      </c>
      <c r="D538" s="30">
        <f>IF($A538="",0,INDEX(Transactions!$H:$H,ROW()-8))</f>
      </c>
      <c r="E538">
        <f>IF($A538="",1,INDEX(Transactions!$N:$N,ROW()-8))</f>
        <v>1</v>
      </c>
      <c r="F538" s="30">
        <f>IF($A538="",0,INDEX(Transactions!$O:$O,ROW()-8))</f>
      </c>
      <c r="G538" s="30">
        <f>IF($A538="",0,INDEX(Transactions!$P:$P,ROW()-8))</f>
      </c>
    </row>
    <row r="539" spans="1:7" ht="15" customHeight="1" x14ac:dyDescent="0.15">
      <c r="A539">
        <f>IF(INDEX(Transactions!$J:$J,ROW()-8)="","",INDEX(Transactions!$J:$J,ROW()-8))</f>
      </c>
      <c r="B539" s="297">
        <f>IF($A539="",TODAY(),INDEX(Transactions!$G:$G,ROW()-8))</f>
      </c>
      <c r="C539">
        <f>IF($A539="","",INDEX(Transactions!$A:$A,ROW()-8))</f>
      </c>
      <c r="D539" s="30">
        <f>IF($A539="",0,INDEX(Transactions!$H:$H,ROW()-8))</f>
      </c>
      <c r="E539">
        <f>IF($A539="",1,INDEX(Transactions!$N:$N,ROW()-8))</f>
        <v>1</v>
      </c>
      <c r="F539" s="30">
        <f>IF($A539="",0,INDEX(Transactions!$O:$O,ROW()-8))</f>
      </c>
      <c r="G539" s="30">
        <f>IF($A539="",0,INDEX(Transactions!$P:$P,ROW()-8))</f>
      </c>
    </row>
    <row r="540" spans="1:7" ht="15" customHeight="1" x14ac:dyDescent="0.15">
      <c r="A540">
        <f>IF(INDEX(Transactions!$J:$J,ROW()-8)="","",INDEX(Transactions!$J:$J,ROW()-8))</f>
      </c>
      <c r="B540" s="297">
        <f>IF($A540="",TODAY(),INDEX(Transactions!$G:$G,ROW()-8))</f>
      </c>
      <c r="C540">
        <f>IF($A540="","",INDEX(Transactions!$A:$A,ROW()-8))</f>
      </c>
      <c r="D540" s="30">
        <f>IF($A540="",0,INDEX(Transactions!$H:$H,ROW()-8))</f>
      </c>
      <c r="E540">
        <f>IF($A540="",1,INDEX(Transactions!$N:$N,ROW()-8))</f>
        <v>1</v>
      </c>
      <c r="F540" s="30">
        <f>IF($A540="",0,INDEX(Transactions!$O:$O,ROW()-8))</f>
      </c>
      <c r="G540" s="30">
        <f>IF($A540="",0,INDEX(Transactions!$P:$P,ROW()-8))</f>
      </c>
    </row>
    <row r="541" spans="1:7" ht="15" customHeight="1" x14ac:dyDescent="0.15">
      <c r="A541">
        <f>IF(INDEX(Transactions!$J:$J,ROW()-8)="","",INDEX(Transactions!$J:$J,ROW()-8))</f>
      </c>
      <c r="B541" s="297">
        <f>IF($A541="",TODAY(),INDEX(Transactions!$G:$G,ROW()-8))</f>
      </c>
      <c r="C541">
        <f>IF($A541="","",INDEX(Transactions!$A:$A,ROW()-8))</f>
      </c>
      <c r="D541" s="30">
        <f>IF($A541="",0,INDEX(Transactions!$H:$H,ROW()-8))</f>
      </c>
      <c r="E541">
        <f>IF($A541="",1,INDEX(Transactions!$N:$N,ROW()-8))</f>
        <v>1</v>
      </c>
      <c r="F541" s="30">
        <f>IF($A541="",0,INDEX(Transactions!$O:$O,ROW()-8))</f>
      </c>
      <c r="G541" s="30">
        <f>IF($A541="",0,INDEX(Transactions!$P:$P,ROW()-8))</f>
      </c>
    </row>
    <row r="542" spans="1:7" ht="15" customHeight="1" x14ac:dyDescent="0.15">
      <c r="A542">
        <f>IF(INDEX(Transactions!$J:$J,ROW()-8)="","",INDEX(Transactions!$J:$J,ROW()-8))</f>
      </c>
      <c r="B542" s="297">
        <f>IF($A542="",TODAY(),INDEX(Transactions!$G:$G,ROW()-8))</f>
      </c>
      <c r="C542">
        <f>IF($A542="","",INDEX(Transactions!$A:$A,ROW()-8))</f>
      </c>
      <c r="D542" s="30">
        <f>IF($A542="",0,INDEX(Transactions!$H:$H,ROW()-8))</f>
      </c>
      <c r="E542">
        <f>IF($A542="",1,INDEX(Transactions!$N:$N,ROW()-8))</f>
        <v>1</v>
      </c>
      <c r="F542" s="30">
        <f>IF($A542="",0,INDEX(Transactions!$O:$O,ROW()-8))</f>
      </c>
      <c r="G542" s="30">
        <f>IF($A542="",0,INDEX(Transactions!$P:$P,ROW()-8))</f>
      </c>
    </row>
    <row r="543" spans="1:7" ht="15" customHeight="1" x14ac:dyDescent="0.15">
      <c r="A543">
        <f>IF(INDEX(Transactions!$J:$J,ROW()-8)="","",INDEX(Transactions!$J:$J,ROW()-8))</f>
      </c>
      <c r="B543" s="297">
        <f>IF($A543="",TODAY(),INDEX(Transactions!$G:$G,ROW()-8))</f>
      </c>
      <c r="C543">
        <f>IF($A543="","",INDEX(Transactions!$A:$A,ROW()-8))</f>
      </c>
      <c r="D543" s="30">
        <f>IF($A543="",0,INDEX(Transactions!$H:$H,ROW()-8))</f>
      </c>
      <c r="E543">
        <f>IF($A543="",1,INDEX(Transactions!$N:$N,ROW()-8))</f>
        <v>1</v>
      </c>
      <c r="F543" s="30">
        <f>IF($A543="",0,INDEX(Transactions!$O:$O,ROW()-8))</f>
      </c>
      <c r="G543" s="30">
        <f>IF($A543="",0,INDEX(Transactions!$P:$P,ROW()-8))</f>
      </c>
    </row>
    <row r="544" spans="1:7" ht="15" customHeight="1" x14ac:dyDescent="0.15">
      <c r="A544">
        <f>IF(INDEX(Transactions!$J:$J,ROW()-8)="","",INDEX(Transactions!$J:$J,ROW()-8))</f>
      </c>
      <c r="B544" s="297">
        <f>IF($A544="",TODAY(),INDEX(Transactions!$G:$G,ROW()-8))</f>
      </c>
      <c r="C544">
        <f>IF($A544="","",INDEX(Transactions!$A:$A,ROW()-8))</f>
      </c>
      <c r="D544" s="30">
        <f>IF($A544="",0,INDEX(Transactions!$H:$H,ROW()-8))</f>
      </c>
      <c r="E544">
        <f>IF($A544="",1,INDEX(Transactions!$N:$N,ROW()-8))</f>
        <v>1</v>
      </c>
      <c r="F544" s="30">
        <f>IF($A544="",0,INDEX(Transactions!$O:$O,ROW()-8))</f>
      </c>
      <c r="G544" s="30">
        <f>IF($A544="",0,INDEX(Transactions!$P:$P,ROW()-8))</f>
      </c>
    </row>
    <row r="545" spans="1:7" ht="15" customHeight="1" x14ac:dyDescent="0.15">
      <c r="A545">
        <f>IF(INDEX(Transactions!$J:$J,ROW()-8)="","",INDEX(Transactions!$J:$J,ROW()-8))</f>
      </c>
      <c r="B545" s="297">
        <f>IF($A545="",TODAY(),INDEX(Transactions!$G:$G,ROW()-8))</f>
      </c>
      <c r="C545">
        <f>IF($A545="","",INDEX(Transactions!$A:$A,ROW()-8))</f>
      </c>
      <c r="D545" s="30">
        <f>IF($A545="",0,INDEX(Transactions!$H:$H,ROW()-8))</f>
      </c>
      <c r="E545">
        <f>IF($A545="",1,INDEX(Transactions!$N:$N,ROW()-8))</f>
        <v>1</v>
      </c>
      <c r="F545" s="30">
        <f>IF($A545="",0,INDEX(Transactions!$O:$O,ROW()-8))</f>
      </c>
      <c r="G545" s="30">
        <f>IF($A545="",0,INDEX(Transactions!$P:$P,ROW()-8))</f>
      </c>
    </row>
    <row r="546" spans="1:7" ht="15" customHeight="1" x14ac:dyDescent="0.15">
      <c r="A546">
        <f>IF(INDEX(Transactions!$J:$J,ROW()-8)="","",INDEX(Transactions!$J:$J,ROW()-8))</f>
      </c>
      <c r="B546" s="297">
        <f>IF($A546="",TODAY(),INDEX(Transactions!$G:$G,ROW()-8))</f>
      </c>
      <c r="C546">
        <f>IF($A546="","",INDEX(Transactions!$A:$A,ROW()-8))</f>
      </c>
      <c r="D546" s="30">
        <f>IF($A546="",0,INDEX(Transactions!$H:$H,ROW()-8))</f>
      </c>
      <c r="E546">
        <f>IF($A546="",1,INDEX(Transactions!$N:$N,ROW()-8))</f>
        <v>1</v>
      </c>
      <c r="F546" s="30">
        <f>IF($A546="",0,INDEX(Transactions!$O:$O,ROW()-8))</f>
      </c>
      <c r="G546" s="30">
        <f>IF($A546="",0,INDEX(Transactions!$P:$P,ROW()-8))</f>
      </c>
    </row>
    <row r="547" spans="1:7" ht="15" customHeight="1" x14ac:dyDescent="0.15">
      <c r="A547">
        <f>IF(INDEX(Transactions!$J:$J,ROW()-8)="","",INDEX(Transactions!$J:$J,ROW()-8))</f>
      </c>
      <c r="B547" s="297">
        <f>IF($A547="",TODAY(),INDEX(Transactions!$G:$G,ROW()-8))</f>
      </c>
      <c r="C547">
        <f>IF($A547="","",INDEX(Transactions!$A:$A,ROW()-8))</f>
      </c>
      <c r="D547" s="30">
        <f>IF($A547="",0,INDEX(Transactions!$H:$H,ROW()-8))</f>
      </c>
      <c r="E547">
        <f>IF($A547="",1,INDEX(Transactions!$N:$N,ROW()-8))</f>
        <v>1</v>
      </c>
      <c r="F547" s="30">
        <f>IF($A547="",0,INDEX(Transactions!$O:$O,ROW()-8))</f>
      </c>
      <c r="G547" s="30">
        <f>IF($A547="",0,INDEX(Transactions!$P:$P,ROW()-8))</f>
      </c>
    </row>
    <row r="548" spans="1:7" ht="15" customHeight="1" x14ac:dyDescent="0.15">
      <c r="A548">
        <f>IF(INDEX(Transactions!$J:$J,ROW()-8)="","",INDEX(Transactions!$J:$J,ROW()-8))</f>
      </c>
      <c r="B548" s="297">
        <f>IF($A548="",TODAY(),INDEX(Transactions!$G:$G,ROW()-8))</f>
      </c>
      <c r="C548">
        <f>IF($A548="","",INDEX(Transactions!$A:$A,ROW()-8))</f>
      </c>
      <c r="D548" s="30">
        <f>IF($A548="",0,INDEX(Transactions!$H:$H,ROW()-8))</f>
      </c>
      <c r="E548">
        <f>IF($A548="",1,INDEX(Transactions!$N:$N,ROW()-8))</f>
        <v>1</v>
      </c>
      <c r="F548" s="30">
        <f>IF($A548="",0,INDEX(Transactions!$O:$O,ROW()-8))</f>
      </c>
      <c r="G548" s="30">
        <f>IF($A548="",0,INDEX(Transactions!$P:$P,ROW()-8))</f>
      </c>
    </row>
    <row r="549" spans="1:7" ht="15" customHeight="1" x14ac:dyDescent="0.15">
      <c r="A549">
        <f>IF(INDEX(Transactions!$J:$J,ROW()-8)="","",INDEX(Transactions!$J:$J,ROW()-8))</f>
      </c>
      <c r="B549" s="297">
        <f>IF($A549="",TODAY(),INDEX(Transactions!$G:$G,ROW()-8))</f>
      </c>
      <c r="C549">
        <f>IF($A549="","",INDEX(Transactions!$A:$A,ROW()-8))</f>
      </c>
      <c r="D549" s="30">
        <f>IF($A549="",0,INDEX(Transactions!$H:$H,ROW()-8))</f>
      </c>
      <c r="E549">
        <f>IF($A549="",1,INDEX(Transactions!$N:$N,ROW()-8))</f>
        <v>1</v>
      </c>
      <c r="F549" s="30">
        <f>IF($A549="",0,INDEX(Transactions!$O:$O,ROW()-8))</f>
      </c>
      <c r="G549" s="30">
        <f>IF($A549="",0,INDEX(Transactions!$P:$P,ROW()-8))</f>
      </c>
    </row>
    <row r="550" spans="1:7" ht="15" customHeight="1" x14ac:dyDescent="0.15">
      <c r="A550">
        <f>IF(INDEX(Transactions!$J:$J,ROW()-8)="","",INDEX(Transactions!$J:$J,ROW()-8))</f>
      </c>
      <c r="B550" s="297">
        <f>IF($A550="",TODAY(),INDEX(Transactions!$G:$G,ROW()-8))</f>
      </c>
      <c r="C550">
        <f>IF($A550="","",INDEX(Transactions!$A:$A,ROW()-8))</f>
      </c>
      <c r="D550" s="30">
        <f>IF($A550="",0,INDEX(Transactions!$H:$H,ROW()-8))</f>
      </c>
      <c r="E550">
        <f>IF($A550="",1,INDEX(Transactions!$N:$N,ROW()-8))</f>
        <v>1</v>
      </c>
      <c r="F550" s="30">
        <f>IF($A550="",0,INDEX(Transactions!$O:$O,ROW()-8))</f>
      </c>
      <c r="G550" s="30">
        <f>IF($A550="",0,INDEX(Transactions!$P:$P,ROW()-8))</f>
      </c>
    </row>
    <row r="551" spans="1:7" ht="15" customHeight="1" x14ac:dyDescent="0.15">
      <c r="A551">
        <f>IF(INDEX(Transactions!$J:$J,ROW()-8)="","",INDEX(Transactions!$J:$J,ROW()-8))</f>
      </c>
      <c r="B551" s="297">
        <f>IF($A551="",TODAY(),INDEX(Transactions!$G:$G,ROW()-8))</f>
      </c>
      <c r="C551">
        <f>IF($A551="","",INDEX(Transactions!$A:$A,ROW()-8))</f>
      </c>
      <c r="D551" s="30">
        <f>IF($A551="",0,INDEX(Transactions!$H:$H,ROW()-8))</f>
      </c>
      <c r="E551">
        <f>IF($A551="",1,INDEX(Transactions!$N:$N,ROW()-8))</f>
        <v>1</v>
      </c>
      <c r="F551" s="30">
        <f>IF($A551="",0,INDEX(Transactions!$O:$O,ROW()-8))</f>
      </c>
      <c r="G551" s="30">
        <f>IF($A551="",0,INDEX(Transactions!$P:$P,ROW()-8))</f>
      </c>
    </row>
    <row r="552" spans="1:7" ht="15" customHeight="1" x14ac:dyDescent="0.15">
      <c r="A552">
        <f>IF(INDEX(Transactions!$J:$J,ROW()-8)="","",INDEX(Transactions!$J:$J,ROW()-8))</f>
      </c>
      <c r="B552" s="297">
        <f>IF($A552="",TODAY(),INDEX(Transactions!$G:$G,ROW()-8))</f>
      </c>
      <c r="C552">
        <f>IF($A552="","",INDEX(Transactions!$A:$A,ROW()-8))</f>
      </c>
      <c r="D552" s="30">
        <f>IF($A552="",0,INDEX(Transactions!$H:$H,ROW()-8))</f>
      </c>
      <c r="E552">
        <f>IF($A552="",1,INDEX(Transactions!$N:$N,ROW()-8))</f>
        <v>1</v>
      </c>
      <c r="F552" s="30">
        <f>IF($A552="",0,INDEX(Transactions!$O:$O,ROW()-8))</f>
      </c>
      <c r="G552" s="30">
        <f>IF($A552="",0,INDEX(Transactions!$P:$P,ROW()-8))</f>
      </c>
    </row>
    <row r="553" spans="1:7" ht="15" customHeight="1" x14ac:dyDescent="0.15">
      <c r="A553">
        <f>IF(INDEX(Transactions!$J:$J,ROW()-8)="","",INDEX(Transactions!$J:$J,ROW()-8))</f>
      </c>
      <c r="B553" s="297">
        <f>IF($A553="",TODAY(),INDEX(Transactions!$G:$G,ROW()-8))</f>
      </c>
      <c r="C553">
        <f>IF($A553="","",INDEX(Transactions!$A:$A,ROW()-8))</f>
      </c>
      <c r="D553" s="30">
        <f>IF($A553="",0,INDEX(Transactions!$H:$H,ROW()-8))</f>
      </c>
      <c r="E553">
        <f>IF($A553="",1,INDEX(Transactions!$N:$N,ROW()-8))</f>
        <v>1</v>
      </c>
      <c r="F553" s="30">
        <f>IF($A553="",0,INDEX(Transactions!$O:$O,ROW()-8))</f>
      </c>
      <c r="G553" s="30">
        <f>IF($A553="",0,INDEX(Transactions!$P:$P,ROW()-8))</f>
      </c>
    </row>
    <row r="554" spans="1:7" ht="15" customHeight="1" x14ac:dyDescent="0.15">
      <c r="A554">
        <f>IF(INDEX(Transactions!$J:$J,ROW()-8)="","",INDEX(Transactions!$J:$J,ROW()-8))</f>
      </c>
      <c r="B554" s="297">
        <f>IF($A554="",TODAY(),INDEX(Transactions!$G:$G,ROW()-8))</f>
      </c>
      <c r="C554">
        <f>IF($A554="","",INDEX(Transactions!$A:$A,ROW()-8))</f>
      </c>
      <c r="D554" s="30">
        <f>IF($A554="",0,INDEX(Transactions!$H:$H,ROW()-8))</f>
      </c>
      <c r="E554">
        <f>IF($A554="",1,INDEX(Transactions!$N:$N,ROW()-8))</f>
        <v>1</v>
      </c>
      <c r="F554" s="30">
        <f>IF($A554="",0,INDEX(Transactions!$O:$O,ROW()-8))</f>
      </c>
      <c r="G554" s="30">
        <f>IF($A554="",0,INDEX(Transactions!$P:$P,ROW()-8))</f>
      </c>
    </row>
    <row r="555" spans="1:7" ht="15" customHeight="1" x14ac:dyDescent="0.15">
      <c r="A555">
        <f>IF(INDEX(Transactions!$J:$J,ROW()-8)="","",INDEX(Transactions!$J:$J,ROW()-8))</f>
      </c>
      <c r="B555" s="297">
        <f>IF($A555="",TODAY(),INDEX(Transactions!$G:$G,ROW()-8))</f>
      </c>
      <c r="C555">
        <f>IF($A555="","",INDEX(Transactions!$A:$A,ROW()-8))</f>
      </c>
      <c r="D555" s="30">
        <f>IF($A555="",0,INDEX(Transactions!$H:$H,ROW()-8))</f>
      </c>
      <c r="E555">
        <f>IF($A555="",1,INDEX(Transactions!$N:$N,ROW()-8))</f>
        <v>1</v>
      </c>
      <c r="F555" s="30">
        <f>IF($A555="",0,INDEX(Transactions!$O:$O,ROW()-8))</f>
      </c>
      <c r="G555" s="30">
        <f>IF($A555="",0,INDEX(Transactions!$P:$P,ROW()-8))</f>
      </c>
    </row>
    <row r="556" spans="1:7" ht="15" customHeight="1" x14ac:dyDescent="0.15">
      <c r="A556">
        <f>IF(INDEX(Transactions!$J:$J,ROW()-8)="","",INDEX(Transactions!$J:$J,ROW()-8))</f>
      </c>
      <c r="B556" s="297">
        <f>IF($A556="",TODAY(),INDEX(Transactions!$G:$G,ROW()-8))</f>
      </c>
      <c r="C556">
        <f>IF($A556="","",INDEX(Transactions!$A:$A,ROW()-8))</f>
      </c>
      <c r="D556" s="30">
        <f>IF($A556="",0,INDEX(Transactions!$H:$H,ROW()-8))</f>
      </c>
      <c r="E556">
        <f>IF($A556="",1,INDEX(Transactions!$N:$N,ROW()-8))</f>
        <v>1</v>
      </c>
      <c r="F556" s="30">
        <f>IF($A556="",0,INDEX(Transactions!$O:$O,ROW()-8))</f>
      </c>
      <c r="G556" s="30">
        <f>IF($A556="",0,INDEX(Transactions!$P:$P,ROW()-8))</f>
      </c>
    </row>
    <row r="557" spans="1:7" ht="15" customHeight="1" x14ac:dyDescent="0.15">
      <c r="A557">
        <f>IF(INDEX(Transactions!$J:$J,ROW()-8)="","",INDEX(Transactions!$J:$J,ROW()-8))</f>
      </c>
      <c r="B557" s="297">
        <f>IF($A557="",TODAY(),INDEX(Transactions!$G:$G,ROW()-8))</f>
      </c>
      <c r="C557">
        <f>IF($A557="","",INDEX(Transactions!$A:$A,ROW()-8))</f>
      </c>
      <c r="D557" s="30">
        <f>IF($A557="",0,INDEX(Transactions!$H:$H,ROW()-8))</f>
      </c>
      <c r="E557">
        <f>IF($A557="",1,INDEX(Transactions!$N:$N,ROW()-8))</f>
        <v>1</v>
      </c>
      <c r="F557" s="30">
        <f>IF($A557="",0,INDEX(Transactions!$O:$O,ROW()-8))</f>
      </c>
      <c r="G557" s="30">
        <f>IF($A557="",0,INDEX(Transactions!$P:$P,ROW()-8))</f>
      </c>
    </row>
    <row r="558" spans="1:7" ht="15" customHeight="1" x14ac:dyDescent="0.15">
      <c r="A558">
        <f>IF(INDEX(Transactions!$J:$J,ROW()-8)="","",INDEX(Transactions!$J:$J,ROW()-8))</f>
      </c>
      <c r="B558" s="297">
        <f>IF($A558="",TODAY(),INDEX(Transactions!$G:$G,ROW()-8))</f>
      </c>
      <c r="C558">
        <f>IF($A558="","",INDEX(Transactions!$A:$A,ROW()-8))</f>
      </c>
      <c r="D558" s="30">
        <f>IF($A558="",0,INDEX(Transactions!$H:$H,ROW()-8))</f>
      </c>
      <c r="E558">
        <f>IF($A558="",1,INDEX(Transactions!$N:$N,ROW()-8))</f>
        <v>1</v>
      </c>
      <c r="F558" s="30">
        <f>IF($A558="",0,INDEX(Transactions!$O:$O,ROW()-8))</f>
      </c>
      <c r="G558" s="30">
        <f>IF($A558="",0,INDEX(Transactions!$P:$P,ROW()-8))</f>
      </c>
    </row>
    <row r="559" spans="1:7" ht="15" customHeight="1" x14ac:dyDescent="0.15">
      <c r="A559">
        <f>IF(INDEX(Transactions!$J:$J,ROW()-8)="","",INDEX(Transactions!$J:$J,ROW()-8))</f>
      </c>
      <c r="B559" s="297">
        <f>IF($A559="",TODAY(),INDEX(Transactions!$G:$G,ROW()-8))</f>
      </c>
      <c r="C559">
        <f>IF($A559="","",INDEX(Transactions!$A:$A,ROW()-8))</f>
      </c>
      <c r="D559" s="30">
        <f>IF($A559="",0,INDEX(Transactions!$H:$H,ROW()-8))</f>
      </c>
      <c r="E559">
        <f>IF($A559="",1,INDEX(Transactions!$N:$N,ROW()-8))</f>
        <v>1</v>
      </c>
      <c r="F559" s="30">
        <f>IF($A559="",0,INDEX(Transactions!$O:$O,ROW()-8))</f>
      </c>
      <c r="G559" s="30">
        <f>IF($A559="",0,INDEX(Transactions!$P:$P,ROW()-8))</f>
      </c>
    </row>
    <row r="560" spans="1:7" ht="15" customHeight="1" x14ac:dyDescent="0.15">
      <c r="A560">
        <f>IF(INDEX(Transactions!$J:$J,ROW()-8)="","",INDEX(Transactions!$J:$J,ROW()-8))</f>
      </c>
      <c r="B560" s="297">
        <f>IF($A560="",TODAY(),INDEX(Transactions!$G:$G,ROW()-8))</f>
      </c>
      <c r="C560">
        <f>IF($A560="","",INDEX(Transactions!$A:$A,ROW()-8))</f>
      </c>
      <c r="D560" s="30">
        <f>IF($A560="",0,INDEX(Transactions!$H:$H,ROW()-8))</f>
      </c>
      <c r="E560">
        <f>IF($A560="",1,INDEX(Transactions!$N:$N,ROW()-8))</f>
        <v>1</v>
      </c>
      <c r="F560" s="30">
        <f>IF($A560="",0,INDEX(Transactions!$O:$O,ROW()-8))</f>
      </c>
      <c r="G560" s="30">
        <f>IF($A560="",0,INDEX(Transactions!$P:$P,ROW()-8))</f>
      </c>
    </row>
    <row r="561" spans="1:7" ht="15" customHeight="1" x14ac:dyDescent="0.15">
      <c r="A561">
        <f>IF(INDEX(Transactions!$J:$J,ROW()-8)="","",INDEX(Transactions!$J:$J,ROW()-8))</f>
      </c>
      <c r="B561" s="297">
        <f>IF($A561="",TODAY(),INDEX(Transactions!$G:$G,ROW()-8))</f>
      </c>
      <c r="C561">
        <f>IF($A561="","",INDEX(Transactions!$A:$A,ROW()-8))</f>
      </c>
      <c r="D561" s="30">
        <f>IF($A561="",0,INDEX(Transactions!$H:$H,ROW()-8))</f>
      </c>
      <c r="E561">
        <f>IF($A561="",1,INDEX(Transactions!$N:$N,ROW()-8))</f>
        <v>1</v>
      </c>
      <c r="F561" s="30">
        <f>IF($A561="",0,INDEX(Transactions!$O:$O,ROW()-8))</f>
      </c>
      <c r="G561" s="30">
        <f>IF($A561="",0,INDEX(Transactions!$P:$P,ROW()-8))</f>
      </c>
    </row>
    <row r="562" spans="1:7" ht="15" customHeight="1" x14ac:dyDescent="0.15">
      <c r="A562">
        <f>IF(INDEX(Transactions!$J:$J,ROW()-8)="","",INDEX(Transactions!$J:$J,ROW()-8))</f>
      </c>
      <c r="B562" s="297">
        <f>IF($A562="",TODAY(),INDEX(Transactions!$G:$G,ROW()-8))</f>
      </c>
      <c r="C562">
        <f>IF($A562="","",INDEX(Transactions!$A:$A,ROW()-8))</f>
      </c>
      <c r="D562" s="30">
        <f>IF($A562="",0,INDEX(Transactions!$H:$H,ROW()-8))</f>
      </c>
      <c r="E562">
        <f>IF($A562="",1,INDEX(Transactions!$N:$N,ROW()-8))</f>
        <v>1</v>
      </c>
      <c r="F562" s="30">
        <f>IF($A562="",0,INDEX(Transactions!$O:$O,ROW()-8))</f>
      </c>
      <c r="G562" s="30">
        <f>IF($A562="",0,INDEX(Transactions!$P:$P,ROW()-8))</f>
      </c>
    </row>
    <row r="563" spans="1:7" ht="15" customHeight="1" x14ac:dyDescent="0.15">
      <c r="A563">
        <f>IF(INDEX(Transactions!$J:$J,ROW()-8)="","",INDEX(Transactions!$J:$J,ROW()-8))</f>
      </c>
      <c r="B563" s="297">
        <f>IF($A563="",TODAY(),INDEX(Transactions!$G:$G,ROW()-8))</f>
      </c>
      <c r="C563">
        <f>IF($A563="","",INDEX(Transactions!$A:$A,ROW()-8))</f>
      </c>
      <c r="D563" s="30">
        <f>IF($A563="",0,INDEX(Transactions!$H:$H,ROW()-8))</f>
      </c>
      <c r="E563">
        <f>IF($A563="",1,INDEX(Transactions!$N:$N,ROW()-8))</f>
        <v>1</v>
      </c>
      <c r="F563" s="30">
        <f>IF($A563="",0,INDEX(Transactions!$O:$O,ROW()-8))</f>
      </c>
      <c r="G563" s="30">
        <f>IF($A563="",0,INDEX(Transactions!$P:$P,ROW()-8))</f>
      </c>
    </row>
    <row r="564" spans="1:7" ht="15" customHeight="1" x14ac:dyDescent="0.15">
      <c r="A564">
        <f>IF(INDEX(Transactions!$J:$J,ROW()-8)="","",INDEX(Transactions!$J:$J,ROW()-8))</f>
      </c>
      <c r="B564" s="297">
        <f>IF($A564="",TODAY(),INDEX(Transactions!$G:$G,ROW()-8))</f>
      </c>
      <c r="C564">
        <f>IF($A564="","",INDEX(Transactions!$A:$A,ROW()-8))</f>
      </c>
      <c r="D564" s="30">
        <f>IF($A564="",0,INDEX(Transactions!$H:$H,ROW()-8))</f>
      </c>
      <c r="E564">
        <f>IF($A564="",1,INDEX(Transactions!$N:$N,ROW()-8))</f>
        <v>1</v>
      </c>
      <c r="F564" s="30">
        <f>IF($A564="",0,INDEX(Transactions!$O:$O,ROW()-8))</f>
      </c>
      <c r="G564" s="30">
        <f>IF($A564="",0,INDEX(Transactions!$P:$P,ROW()-8))</f>
      </c>
    </row>
    <row r="565" spans="1:7" ht="15" customHeight="1" x14ac:dyDescent="0.15">
      <c r="A565">
        <f>IF(INDEX(Transactions!$J:$J,ROW()-8)="","",INDEX(Transactions!$J:$J,ROW()-8))</f>
      </c>
      <c r="B565" s="297">
        <f>IF($A565="",TODAY(),INDEX(Transactions!$G:$G,ROW()-8))</f>
      </c>
      <c r="C565">
        <f>IF($A565="","",INDEX(Transactions!$A:$A,ROW()-8))</f>
      </c>
      <c r="D565" s="30">
        <f>IF($A565="",0,INDEX(Transactions!$H:$H,ROW()-8))</f>
      </c>
      <c r="E565">
        <f>IF($A565="",1,INDEX(Transactions!$N:$N,ROW()-8))</f>
        <v>1</v>
      </c>
      <c r="F565" s="30">
        <f>IF($A565="",0,INDEX(Transactions!$O:$O,ROW()-8))</f>
      </c>
      <c r="G565" s="30">
        <f>IF($A565="",0,INDEX(Transactions!$P:$P,ROW()-8))</f>
      </c>
    </row>
    <row r="566" spans="1:7" ht="15" customHeight="1" x14ac:dyDescent="0.15">
      <c r="A566">
        <f>IF(INDEX(Transactions!$J:$J,ROW()-8)="","",INDEX(Transactions!$J:$J,ROW()-8))</f>
      </c>
      <c r="B566" s="297">
        <f>IF($A566="",TODAY(),INDEX(Transactions!$G:$G,ROW()-8))</f>
      </c>
      <c r="C566">
        <f>IF($A566="","",INDEX(Transactions!$A:$A,ROW()-8))</f>
      </c>
      <c r="D566" s="30">
        <f>IF($A566="",0,INDEX(Transactions!$H:$H,ROW()-8))</f>
      </c>
      <c r="E566">
        <f>IF($A566="",1,INDEX(Transactions!$N:$N,ROW()-8))</f>
        <v>1</v>
      </c>
      <c r="F566" s="30">
        <f>IF($A566="",0,INDEX(Transactions!$O:$O,ROW()-8))</f>
      </c>
      <c r="G566" s="30">
        <f>IF($A566="",0,INDEX(Transactions!$P:$P,ROW()-8))</f>
      </c>
    </row>
    <row r="567" spans="1:7" ht="15" customHeight="1" x14ac:dyDescent="0.15">
      <c r="A567">
        <f>IF(INDEX(Transactions!$J:$J,ROW()-8)="","",INDEX(Transactions!$J:$J,ROW()-8))</f>
      </c>
      <c r="B567" s="297">
        <f>IF($A567="",TODAY(),INDEX(Transactions!$G:$G,ROW()-8))</f>
      </c>
      <c r="C567">
        <f>IF($A567="","",INDEX(Transactions!$A:$A,ROW()-8))</f>
      </c>
      <c r="D567" s="30">
        <f>IF($A567="",0,INDEX(Transactions!$H:$H,ROW()-8))</f>
      </c>
      <c r="E567">
        <f>IF($A567="",1,INDEX(Transactions!$N:$N,ROW()-8))</f>
        <v>1</v>
      </c>
      <c r="F567" s="30">
        <f>IF($A567="",0,INDEX(Transactions!$O:$O,ROW()-8))</f>
      </c>
      <c r="G567" s="30">
        <f>IF($A567="",0,INDEX(Transactions!$P:$P,ROW()-8))</f>
      </c>
    </row>
    <row r="568" spans="1:7" ht="15" customHeight="1" x14ac:dyDescent="0.15">
      <c r="A568">
        <f>IF(INDEX(Transactions!$J:$J,ROW()-8)="","",INDEX(Transactions!$J:$J,ROW()-8))</f>
      </c>
      <c r="B568" s="297">
        <f>IF($A568="",TODAY(),INDEX(Transactions!$G:$G,ROW()-8))</f>
      </c>
      <c r="C568">
        <f>IF($A568="","",INDEX(Transactions!$A:$A,ROW()-8))</f>
      </c>
      <c r="D568" s="30">
        <f>IF($A568="",0,INDEX(Transactions!$H:$H,ROW()-8))</f>
      </c>
      <c r="E568">
        <f>IF($A568="",1,INDEX(Transactions!$N:$N,ROW()-8))</f>
        <v>1</v>
      </c>
      <c r="F568" s="30">
        <f>IF($A568="",0,INDEX(Transactions!$O:$O,ROW()-8))</f>
      </c>
      <c r="G568" s="30">
        <f>IF($A568="",0,INDEX(Transactions!$P:$P,ROW()-8))</f>
      </c>
    </row>
    <row r="569" spans="1:7" ht="15" customHeight="1" x14ac:dyDescent="0.15">
      <c r="A569">
        <f>IF(INDEX(Transactions!$J:$J,ROW()-8)="","",INDEX(Transactions!$J:$J,ROW()-8))</f>
      </c>
      <c r="B569" s="297">
        <f>IF($A569="",TODAY(),INDEX(Transactions!$G:$G,ROW()-8))</f>
      </c>
      <c r="C569">
        <f>IF($A569="","",INDEX(Transactions!$A:$A,ROW()-8))</f>
      </c>
      <c r="D569" s="30">
        <f>IF($A569="",0,INDEX(Transactions!$H:$H,ROW()-8))</f>
      </c>
      <c r="E569">
        <f>IF($A569="",1,INDEX(Transactions!$N:$N,ROW()-8))</f>
        <v>1</v>
      </c>
      <c r="F569" s="30">
        <f>IF($A569="",0,INDEX(Transactions!$O:$O,ROW()-8))</f>
      </c>
      <c r="G569" s="30">
        <f>IF($A569="",0,INDEX(Transactions!$P:$P,ROW()-8))</f>
      </c>
    </row>
    <row r="570" spans="1:7" ht="15" customHeight="1" x14ac:dyDescent="0.15">
      <c r="A570">
        <f>IF(INDEX(Transactions!$J:$J,ROW()-8)="","",INDEX(Transactions!$J:$J,ROW()-8))</f>
      </c>
      <c r="B570" s="297">
        <f>IF($A570="",TODAY(),INDEX(Transactions!$G:$G,ROW()-8))</f>
      </c>
      <c r="C570">
        <f>IF($A570="","",INDEX(Transactions!$A:$A,ROW()-8))</f>
      </c>
      <c r="D570" s="30">
        <f>IF($A570="",0,INDEX(Transactions!$H:$H,ROW()-8))</f>
      </c>
      <c r="E570">
        <f>IF($A570="",1,INDEX(Transactions!$N:$N,ROW()-8))</f>
        <v>1</v>
      </c>
      <c r="F570" s="30">
        <f>IF($A570="",0,INDEX(Transactions!$O:$O,ROW()-8))</f>
      </c>
      <c r="G570" s="30">
        <f>IF($A570="",0,INDEX(Transactions!$P:$P,ROW()-8))</f>
      </c>
    </row>
    <row r="571" spans="1:7" ht="15" customHeight="1" x14ac:dyDescent="0.15">
      <c r="A571">
        <f>IF(INDEX(Transactions!$J:$J,ROW()-8)="","",INDEX(Transactions!$J:$J,ROW()-8))</f>
      </c>
      <c r="B571" s="297">
        <f>IF($A571="",TODAY(),INDEX(Transactions!$G:$G,ROW()-8))</f>
      </c>
      <c r="C571">
        <f>IF($A571="","",INDEX(Transactions!$A:$A,ROW()-8))</f>
      </c>
      <c r="D571" s="30">
        <f>IF($A571="",0,INDEX(Transactions!$H:$H,ROW()-8))</f>
      </c>
      <c r="E571">
        <f>IF($A571="",1,INDEX(Transactions!$N:$N,ROW()-8))</f>
        <v>1</v>
      </c>
      <c r="F571" s="30">
        <f>IF($A571="",0,INDEX(Transactions!$O:$O,ROW()-8))</f>
      </c>
      <c r="G571" s="30">
        <f>IF($A571="",0,INDEX(Transactions!$P:$P,ROW()-8))</f>
      </c>
    </row>
    <row r="572" spans="1:7" ht="15" customHeight="1" x14ac:dyDescent="0.15">
      <c r="A572">
        <f>IF(INDEX(Transactions!$J:$J,ROW()-8)="","",INDEX(Transactions!$J:$J,ROW()-8))</f>
      </c>
      <c r="B572" s="297">
        <f>IF($A572="",TODAY(),INDEX(Transactions!$G:$G,ROW()-8))</f>
      </c>
      <c r="C572">
        <f>IF($A572="","",INDEX(Transactions!$A:$A,ROW()-8))</f>
      </c>
      <c r="D572" s="30">
        <f>IF($A572="",0,INDEX(Transactions!$H:$H,ROW()-8))</f>
      </c>
      <c r="E572">
        <f>IF($A572="",1,INDEX(Transactions!$N:$N,ROW()-8))</f>
        <v>1</v>
      </c>
      <c r="F572" s="30">
        <f>IF($A572="",0,INDEX(Transactions!$O:$O,ROW()-8))</f>
      </c>
      <c r="G572" s="30">
        <f>IF($A572="",0,INDEX(Transactions!$P:$P,ROW()-8))</f>
      </c>
    </row>
    <row r="573" spans="1:7" ht="15" customHeight="1" x14ac:dyDescent="0.15">
      <c r="A573">
        <f>IF(INDEX(Transactions!$J:$J,ROW()-8)="","",INDEX(Transactions!$J:$J,ROW()-8))</f>
      </c>
      <c r="B573" s="297">
        <f>IF($A573="",TODAY(),INDEX(Transactions!$G:$G,ROW()-8))</f>
      </c>
      <c r="C573">
        <f>IF($A573="","",INDEX(Transactions!$A:$A,ROW()-8))</f>
      </c>
      <c r="D573" s="30">
        <f>IF($A573="",0,INDEX(Transactions!$H:$H,ROW()-8))</f>
      </c>
      <c r="E573">
        <f>IF($A573="",1,INDEX(Transactions!$N:$N,ROW()-8))</f>
        <v>1</v>
      </c>
      <c r="F573" s="30">
        <f>IF($A573="",0,INDEX(Transactions!$O:$O,ROW()-8))</f>
      </c>
      <c r="G573" s="30">
        <f>IF($A573="",0,INDEX(Transactions!$P:$P,ROW()-8))</f>
      </c>
    </row>
    <row r="574" spans="1:7" ht="15" customHeight="1" x14ac:dyDescent="0.15">
      <c r="A574">
        <f>IF(INDEX(Transactions!$J:$J,ROW()-8)="","",INDEX(Transactions!$J:$J,ROW()-8))</f>
      </c>
      <c r="B574" s="297">
        <f>IF($A574="",TODAY(),INDEX(Transactions!$G:$G,ROW()-8))</f>
      </c>
      <c r="C574">
        <f>IF($A574="","",INDEX(Transactions!$A:$A,ROW()-8))</f>
      </c>
      <c r="D574" s="30">
        <f>IF($A574="",0,INDEX(Transactions!$H:$H,ROW()-8))</f>
      </c>
      <c r="E574">
        <f>IF($A574="",1,INDEX(Transactions!$N:$N,ROW()-8))</f>
        <v>1</v>
      </c>
      <c r="F574" s="30">
        <f>IF($A574="",0,INDEX(Transactions!$O:$O,ROW()-8))</f>
      </c>
      <c r="G574" s="30">
        <f>IF($A574="",0,INDEX(Transactions!$P:$P,ROW()-8))</f>
      </c>
    </row>
    <row r="575" spans="1:7" ht="15" customHeight="1" x14ac:dyDescent="0.15">
      <c r="A575">
        <f>IF(INDEX(Transactions!$J:$J,ROW()-8)="","",INDEX(Transactions!$J:$J,ROW()-8))</f>
      </c>
      <c r="B575" s="297">
        <f>IF($A575="",TODAY(),INDEX(Transactions!$G:$G,ROW()-8))</f>
      </c>
      <c r="C575">
        <f>IF($A575="","",INDEX(Transactions!$A:$A,ROW()-8))</f>
      </c>
      <c r="D575" s="30">
        <f>IF($A575="",0,INDEX(Transactions!$H:$H,ROW()-8))</f>
      </c>
      <c r="E575">
        <f>IF($A575="",1,INDEX(Transactions!$N:$N,ROW()-8))</f>
        <v>1</v>
      </c>
      <c r="F575" s="30">
        <f>IF($A575="",0,INDEX(Transactions!$O:$O,ROW()-8))</f>
      </c>
      <c r="G575" s="30">
        <f>IF($A575="",0,INDEX(Transactions!$P:$P,ROW()-8))</f>
      </c>
    </row>
    <row r="576" spans="1:7" ht="15" customHeight="1" x14ac:dyDescent="0.15">
      <c r="A576">
        <f>IF(INDEX(Transactions!$J:$J,ROW()-8)="","",INDEX(Transactions!$J:$J,ROW()-8))</f>
      </c>
      <c r="B576" s="297">
        <f>IF($A576="",TODAY(),INDEX(Transactions!$G:$G,ROW()-8))</f>
      </c>
      <c r="C576">
        <f>IF($A576="","",INDEX(Transactions!$A:$A,ROW()-8))</f>
      </c>
      <c r="D576" s="30">
        <f>IF($A576="",0,INDEX(Transactions!$H:$H,ROW()-8))</f>
      </c>
      <c r="E576">
        <f>IF($A576="",1,INDEX(Transactions!$N:$N,ROW()-8))</f>
        <v>1</v>
      </c>
      <c r="F576" s="30">
        <f>IF($A576="",0,INDEX(Transactions!$O:$O,ROW()-8))</f>
      </c>
      <c r="G576" s="30">
        <f>IF($A576="",0,INDEX(Transactions!$P:$P,ROW()-8))</f>
      </c>
    </row>
    <row r="577" spans="1:7" ht="15" customHeight="1" x14ac:dyDescent="0.15">
      <c r="A577">
        <f>IF(INDEX(Transactions!$J:$J,ROW()-8)="","",INDEX(Transactions!$J:$J,ROW()-8))</f>
      </c>
      <c r="B577" s="297">
        <f>IF($A577="",TODAY(),INDEX(Transactions!$G:$G,ROW()-8))</f>
      </c>
      <c r="C577">
        <f>IF($A577="","",INDEX(Transactions!$A:$A,ROW()-8))</f>
      </c>
      <c r="D577" s="30">
        <f>IF($A577="",0,INDEX(Transactions!$H:$H,ROW()-8))</f>
      </c>
      <c r="E577">
        <f>IF($A577="",1,INDEX(Transactions!$N:$N,ROW()-8))</f>
        <v>1</v>
      </c>
      <c r="F577" s="30">
        <f>IF($A577="",0,INDEX(Transactions!$O:$O,ROW()-8))</f>
      </c>
      <c r="G577" s="30">
        <f>IF($A577="",0,INDEX(Transactions!$P:$P,ROW()-8))</f>
      </c>
    </row>
    <row r="578" spans="1:7" ht="15" customHeight="1" x14ac:dyDescent="0.15">
      <c r="A578">
        <f>IF(INDEX(Transactions!$J:$J,ROW()-8)="","",INDEX(Transactions!$J:$J,ROW()-8))</f>
      </c>
      <c r="B578" s="297">
        <f>IF($A578="",TODAY(),INDEX(Transactions!$G:$G,ROW()-8))</f>
      </c>
      <c r="C578">
        <f>IF($A578="","",INDEX(Transactions!$A:$A,ROW()-8))</f>
      </c>
      <c r="D578" s="30">
        <f>IF($A578="",0,INDEX(Transactions!$H:$H,ROW()-8))</f>
      </c>
      <c r="E578">
        <f>IF($A578="",1,INDEX(Transactions!$N:$N,ROW()-8))</f>
        <v>1</v>
      </c>
      <c r="F578" s="30">
        <f>IF($A578="",0,INDEX(Transactions!$O:$O,ROW()-8))</f>
      </c>
      <c r="G578" s="30">
        <f>IF($A578="",0,INDEX(Transactions!$P:$P,ROW()-8))</f>
      </c>
    </row>
    <row r="579" spans="1:7" ht="15" customHeight="1" x14ac:dyDescent="0.15">
      <c r="A579">
        <f>IF(INDEX(Transactions!$J:$J,ROW()-8)="","",INDEX(Transactions!$J:$J,ROW()-8))</f>
      </c>
      <c r="B579" s="297">
        <f>IF($A579="",TODAY(),INDEX(Transactions!$G:$G,ROW()-8))</f>
      </c>
      <c r="C579">
        <f>IF($A579="","",INDEX(Transactions!$A:$A,ROW()-8))</f>
      </c>
      <c r="D579" s="30">
        <f>IF($A579="",0,INDEX(Transactions!$H:$H,ROW()-8))</f>
      </c>
      <c r="E579">
        <f>IF($A579="",1,INDEX(Transactions!$N:$N,ROW()-8))</f>
        <v>1</v>
      </c>
      <c r="F579" s="30">
        <f>IF($A579="",0,INDEX(Transactions!$O:$O,ROW()-8))</f>
      </c>
      <c r="G579" s="30">
        <f>IF($A579="",0,INDEX(Transactions!$P:$P,ROW()-8))</f>
      </c>
    </row>
    <row r="580" spans="1:7" ht="15" customHeight="1" x14ac:dyDescent="0.15">
      <c r="A580">
        <f>IF(INDEX(Transactions!$J:$J,ROW()-8)="","",INDEX(Transactions!$J:$J,ROW()-8))</f>
      </c>
      <c r="B580" s="297">
        <f>IF($A580="",TODAY(),INDEX(Transactions!$G:$G,ROW()-8))</f>
      </c>
      <c r="C580">
        <f>IF($A580="","",INDEX(Transactions!$A:$A,ROW()-8))</f>
      </c>
      <c r="D580" s="30">
        <f>IF($A580="",0,INDEX(Transactions!$H:$H,ROW()-8))</f>
      </c>
      <c r="E580">
        <f>IF($A580="",1,INDEX(Transactions!$N:$N,ROW()-8))</f>
        <v>1</v>
      </c>
      <c r="F580" s="30">
        <f>IF($A580="",0,INDEX(Transactions!$O:$O,ROW()-8))</f>
      </c>
      <c r="G580" s="30">
        <f>IF($A580="",0,INDEX(Transactions!$P:$P,ROW()-8))</f>
      </c>
    </row>
    <row r="581" spans="1:7" ht="15" customHeight="1" x14ac:dyDescent="0.15">
      <c r="A581">
        <f>IF(INDEX(Transactions!$J:$J,ROW()-8)="","",INDEX(Transactions!$J:$J,ROW()-8))</f>
      </c>
      <c r="B581" s="297">
        <f>IF($A581="",TODAY(),INDEX(Transactions!$G:$G,ROW()-8))</f>
      </c>
      <c r="C581">
        <f>IF($A581="","",INDEX(Transactions!$A:$A,ROW()-8))</f>
      </c>
      <c r="D581" s="30">
        <f>IF($A581="",0,INDEX(Transactions!$H:$H,ROW()-8))</f>
      </c>
      <c r="E581">
        <f>IF($A581="",1,INDEX(Transactions!$N:$N,ROW()-8))</f>
        <v>1</v>
      </c>
      <c r="F581" s="30">
        <f>IF($A581="",0,INDEX(Transactions!$O:$O,ROW()-8))</f>
      </c>
      <c r="G581" s="30">
        <f>IF($A581="",0,INDEX(Transactions!$P:$P,ROW()-8))</f>
      </c>
    </row>
    <row r="582" spans="1:7" ht="15" customHeight="1" x14ac:dyDescent="0.15">
      <c r="A582">
        <f>IF(INDEX(Transactions!$J:$J,ROW()-8)="","",INDEX(Transactions!$J:$J,ROW()-8))</f>
      </c>
      <c r="B582" s="297">
        <f>IF($A582="",TODAY(),INDEX(Transactions!$G:$G,ROW()-8))</f>
      </c>
      <c r="C582">
        <f>IF($A582="","",INDEX(Transactions!$A:$A,ROW()-8))</f>
      </c>
      <c r="D582" s="30">
        <f>IF($A582="",0,INDEX(Transactions!$H:$H,ROW()-8))</f>
      </c>
      <c r="E582">
        <f>IF($A582="",1,INDEX(Transactions!$N:$N,ROW()-8))</f>
        <v>1</v>
      </c>
      <c r="F582" s="30">
        <f>IF($A582="",0,INDEX(Transactions!$O:$O,ROW()-8))</f>
      </c>
      <c r="G582" s="30">
        <f>IF($A582="",0,INDEX(Transactions!$P:$P,ROW()-8))</f>
      </c>
    </row>
    <row r="583" spans="1:7" ht="15" customHeight="1" x14ac:dyDescent="0.15">
      <c r="A583">
        <f>IF(INDEX(Transactions!$J:$J,ROW()-8)="","",INDEX(Transactions!$J:$J,ROW()-8))</f>
      </c>
      <c r="B583" s="297">
        <f>IF($A583="",TODAY(),INDEX(Transactions!$G:$G,ROW()-8))</f>
      </c>
      <c r="C583">
        <f>IF($A583="","",INDEX(Transactions!$A:$A,ROW()-8))</f>
      </c>
      <c r="D583" s="30">
        <f>IF($A583="",0,INDEX(Transactions!$H:$H,ROW()-8))</f>
      </c>
      <c r="E583">
        <f>IF($A583="",1,INDEX(Transactions!$N:$N,ROW()-8))</f>
        <v>1</v>
      </c>
      <c r="F583" s="30">
        <f>IF($A583="",0,INDEX(Transactions!$O:$O,ROW()-8))</f>
      </c>
      <c r="G583" s="30">
        <f>IF($A583="",0,INDEX(Transactions!$P:$P,ROW()-8))</f>
      </c>
    </row>
    <row r="584" spans="1:7" ht="15" customHeight="1" x14ac:dyDescent="0.15">
      <c r="A584">
        <f>IF(INDEX(Transactions!$J:$J,ROW()-8)="","",INDEX(Transactions!$J:$J,ROW()-8))</f>
      </c>
      <c r="B584" s="297">
        <f>IF($A584="",TODAY(),INDEX(Transactions!$G:$G,ROW()-8))</f>
      </c>
      <c r="C584">
        <f>IF($A584="","",INDEX(Transactions!$A:$A,ROW()-8))</f>
      </c>
      <c r="D584" s="30">
        <f>IF($A584="",0,INDEX(Transactions!$H:$H,ROW()-8))</f>
      </c>
      <c r="E584">
        <f>IF($A584="",1,INDEX(Transactions!$N:$N,ROW()-8))</f>
        <v>1</v>
      </c>
      <c r="F584" s="30">
        <f>IF($A584="",0,INDEX(Transactions!$O:$O,ROW()-8))</f>
      </c>
      <c r="G584" s="30">
        <f>IF($A584="",0,INDEX(Transactions!$P:$P,ROW()-8))</f>
      </c>
    </row>
    <row r="585" spans="1:7" ht="15" customHeight="1" x14ac:dyDescent="0.15">
      <c r="A585">
        <f>IF(INDEX(Transactions!$J:$J,ROW()-8)="","",INDEX(Transactions!$J:$J,ROW()-8))</f>
      </c>
      <c r="B585" s="297">
        <f>IF($A585="",TODAY(),INDEX(Transactions!$G:$G,ROW()-8))</f>
      </c>
      <c r="C585">
        <f>IF($A585="","",INDEX(Transactions!$A:$A,ROW()-8))</f>
      </c>
      <c r="D585" s="30">
        <f>IF($A585="",0,INDEX(Transactions!$H:$H,ROW()-8))</f>
      </c>
      <c r="E585">
        <f>IF($A585="",1,INDEX(Transactions!$N:$N,ROW()-8))</f>
        <v>1</v>
      </c>
      <c r="F585" s="30">
        <f>IF($A585="",0,INDEX(Transactions!$O:$O,ROW()-8))</f>
      </c>
      <c r="G585" s="30">
        <f>IF($A585="",0,INDEX(Transactions!$P:$P,ROW()-8))</f>
      </c>
    </row>
    <row r="586" spans="1:7" ht="15" customHeight="1" x14ac:dyDescent="0.15">
      <c r="A586">
        <f>IF(INDEX(Transactions!$J:$J,ROW()-8)="","",INDEX(Transactions!$J:$J,ROW()-8))</f>
      </c>
      <c r="B586" s="297">
        <f>IF($A586="",TODAY(),INDEX(Transactions!$G:$G,ROW()-8))</f>
      </c>
      <c r="C586">
        <f>IF($A586="","",INDEX(Transactions!$A:$A,ROW()-8))</f>
      </c>
      <c r="D586" s="30">
        <f>IF($A586="",0,INDEX(Transactions!$H:$H,ROW()-8))</f>
      </c>
      <c r="E586">
        <f>IF($A586="",1,INDEX(Transactions!$N:$N,ROW()-8))</f>
        <v>1</v>
      </c>
      <c r="F586" s="30">
        <f>IF($A586="",0,INDEX(Transactions!$O:$O,ROW()-8))</f>
      </c>
      <c r="G586" s="30">
        <f>IF($A586="",0,INDEX(Transactions!$P:$P,ROW()-8))</f>
      </c>
    </row>
    <row r="587" spans="1:7" ht="15" customHeight="1" x14ac:dyDescent="0.15">
      <c r="A587">
        <f>IF(INDEX(Transactions!$J:$J,ROW()-8)="","",INDEX(Transactions!$J:$J,ROW()-8))</f>
      </c>
      <c r="B587" s="297">
        <f>IF($A587="",TODAY(),INDEX(Transactions!$G:$G,ROW()-8))</f>
      </c>
      <c r="C587">
        <f>IF($A587="","",INDEX(Transactions!$A:$A,ROW()-8))</f>
      </c>
      <c r="D587" s="30">
        <f>IF($A587="",0,INDEX(Transactions!$H:$H,ROW()-8))</f>
      </c>
      <c r="E587">
        <f>IF($A587="",1,INDEX(Transactions!$N:$N,ROW()-8))</f>
        <v>1</v>
      </c>
      <c r="F587" s="30">
        <f>IF($A587="",0,INDEX(Transactions!$O:$O,ROW()-8))</f>
      </c>
      <c r="G587" s="30">
        <f>IF($A587="",0,INDEX(Transactions!$P:$P,ROW()-8))</f>
      </c>
    </row>
    <row r="588" spans="1:7" ht="15" customHeight="1" x14ac:dyDescent="0.15">
      <c r="A588">
        <f>IF(INDEX(Transactions!$J:$J,ROW()-8)="","",INDEX(Transactions!$J:$J,ROW()-8))</f>
      </c>
      <c r="B588" s="297">
        <f>IF($A588="",TODAY(),INDEX(Transactions!$G:$G,ROW()-8))</f>
      </c>
      <c r="C588">
        <f>IF($A588="","",INDEX(Transactions!$A:$A,ROW()-8))</f>
      </c>
      <c r="D588" s="30">
        <f>IF($A588="",0,INDEX(Transactions!$H:$H,ROW()-8))</f>
      </c>
      <c r="E588">
        <f>IF($A588="",1,INDEX(Transactions!$N:$N,ROW()-8))</f>
        <v>1</v>
      </c>
      <c r="F588" s="30">
        <f>IF($A588="",0,INDEX(Transactions!$O:$O,ROW()-8))</f>
      </c>
      <c r="G588" s="30">
        <f>IF($A588="",0,INDEX(Transactions!$P:$P,ROW()-8))</f>
      </c>
    </row>
    <row r="589" spans="1:7" ht="15" customHeight="1" x14ac:dyDescent="0.15">
      <c r="A589">
        <f>IF(INDEX(Transactions!$J:$J,ROW()-8)="","",INDEX(Transactions!$J:$J,ROW()-8))</f>
      </c>
      <c r="B589" s="297">
        <f>IF($A589="",TODAY(),INDEX(Transactions!$G:$G,ROW()-8))</f>
      </c>
      <c r="C589">
        <f>IF($A589="","",INDEX(Transactions!$A:$A,ROW()-8))</f>
      </c>
      <c r="D589" s="30">
        <f>IF($A589="",0,INDEX(Transactions!$H:$H,ROW()-8))</f>
      </c>
      <c r="E589">
        <f>IF($A589="",1,INDEX(Transactions!$N:$N,ROW()-8))</f>
        <v>1</v>
      </c>
      <c r="F589" s="30">
        <f>IF($A589="",0,INDEX(Transactions!$O:$O,ROW()-8))</f>
      </c>
      <c r="G589" s="30">
        <f>IF($A589="",0,INDEX(Transactions!$P:$P,ROW()-8))</f>
      </c>
    </row>
    <row r="590" spans="1:7" ht="15" customHeight="1" x14ac:dyDescent="0.15">
      <c r="A590">
        <f>IF(INDEX(Transactions!$J:$J,ROW()-8)="","",INDEX(Transactions!$J:$J,ROW()-8))</f>
      </c>
      <c r="B590" s="297">
        <f>IF($A590="",TODAY(),INDEX(Transactions!$G:$G,ROW()-8))</f>
      </c>
      <c r="C590">
        <f>IF($A590="","",INDEX(Transactions!$A:$A,ROW()-8))</f>
      </c>
      <c r="D590" s="30">
        <f>IF($A590="",0,INDEX(Transactions!$H:$H,ROW()-8))</f>
      </c>
      <c r="E590">
        <f>IF($A590="",1,INDEX(Transactions!$N:$N,ROW()-8))</f>
        <v>1</v>
      </c>
      <c r="F590" s="30">
        <f>IF($A590="",0,INDEX(Transactions!$O:$O,ROW()-8))</f>
      </c>
      <c r="G590" s="30">
        <f>IF($A590="",0,INDEX(Transactions!$P:$P,ROW()-8))</f>
      </c>
    </row>
    <row r="591" spans="1:7" ht="15" customHeight="1" x14ac:dyDescent="0.15">
      <c r="A591">
        <f>IF(INDEX(Transactions!$J:$J,ROW()-8)="","",INDEX(Transactions!$J:$J,ROW()-8))</f>
      </c>
      <c r="B591" s="297">
        <f>IF($A591="",TODAY(),INDEX(Transactions!$G:$G,ROW()-8))</f>
      </c>
      <c r="C591">
        <f>IF($A591="","",INDEX(Transactions!$A:$A,ROW()-8))</f>
      </c>
      <c r="D591" s="30">
        <f>IF($A591="",0,INDEX(Transactions!$H:$H,ROW()-8))</f>
      </c>
      <c r="E591">
        <f>IF($A591="",1,INDEX(Transactions!$N:$N,ROW()-8))</f>
        <v>1</v>
      </c>
      <c r="F591" s="30">
        <f>IF($A591="",0,INDEX(Transactions!$O:$O,ROW()-8))</f>
      </c>
      <c r="G591" s="30">
        <f>IF($A591="",0,INDEX(Transactions!$P:$P,ROW()-8))</f>
      </c>
    </row>
    <row r="592" spans="1:7" ht="15" customHeight="1" x14ac:dyDescent="0.15">
      <c r="A592">
        <f>IF(INDEX(Transactions!$J:$J,ROW()-8)="","",INDEX(Transactions!$J:$J,ROW()-8))</f>
      </c>
      <c r="B592" s="297">
        <f>IF($A592="",TODAY(),INDEX(Transactions!$G:$G,ROW()-8))</f>
      </c>
      <c r="C592">
        <f>IF($A592="","",INDEX(Transactions!$A:$A,ROW()-8))</f>
      </c>
      <c r="D592" s="30">
        <f>IF($A592="",0,INDEX(Transactions!$H:$H,ROW()-8))</f>
      </c>
      <c r="E592">
        <f>IF($A592="",1,INDEX(Transactions!$N:$N,ROW()-8))</f>
        <v>1</v>
      </c>
      <c r="F592" s="30">
        <f>IF($A592="",0,INDEX(Transactions!$O:$O,ROW()-8))</f>
      </c>
      <c r="G592" s="30">
        <f>IF($A592="",0,INDEX(Transactions!$P:$P,ROW()-8))</f>
      </c>
    </row>
    <row r="593" spans="1:7" ht="15" customHeight="1" x14ac:dyDescent="0.15">
      <c r="A593">
        <f>IF(INDEX(Transactions!$J:$J,ROW()-8)="","",INDEX(Transactions!$J:$J,ROW()-8))</f>
      </c>
      <c r="B593" s="297">
        <f>IF($A593="",TODAY(),INDEX(Transactions!$G:$G,ROW()-8))</f>
      </c>
      <c r="C593">
        <f>IF($A593="","",INDEX(Transactions!$A:$A,ROW()-8))</f>
      </c>
      <c r="D593" s="30">
        <f>IF($A593="",0,INDEX(Transactions!$H:$H,ROW()-8))</f>
      </c>
      <c r="E593">
        <f>IF($A593="",1,INDEX(Transactions!$N:$N,ROW()-8))</f>
        <v>1</v>
      </c>
      <c r="F593" s="30">
        <f>IF($A593="",0,INDEX(Transactions!$O:$O,ROW()-8))</f>
      </c>
      <c r="G593" s="30">
        <f>IF($A593="",0,INDEX(Transactions!$P:$P,ROW()-8))</f>
      </c>
    </row>
    <row r="594" spans="1:7" ht="15" customHeight="1" x14ac:dyDescent="0.15">
      <c r="A594">
        <f>IF(INDEX(Transactions!$J:$J,ROW()-8)="","",INDEX(Transactions!$J:$J,ROW()-8))</f>
      </c>
      <c r="B594" s="297">
        <f>IF($A594="",TODAY(),INDEX(Transactions!$G:$G,ROW()-8))</f>
      </c>
      <c r="C594">
        <f>IF($A594="","",INDEX(Transactions!$A:$A,ROW()-8))</f>
      </c>
      <c r="D594" s="30">
        <f>IF($A594="",0,INDEX(Transactions!$H:$H,ROW()-8))</f>
      </c>
      <c r="E594">
        <f>IF($A594="",1,INDEX(Transactions!$N:$N,ROW()-8))</f>
        <v>1</v>
      </c>
      <c r="F594" s="30">
        <f>IF($A594="",0,INDEX(Transactions!$O:$O,ROW()-8))</f>
      </c>
      <c r="G594" s="30">
        <f>IF($A594="",0,INDEX(Transactions!$P:$P,ROW()-8))</f>
      </c>
    </row>
    <row r="595" spans="1:7" ht="15" customHeight="1" x14ac:dyDescent="0.15">
      <c r="A595">
        <f>IF(INDEX(Transactions!$J:$J,ROW()-8)="","",INDEX(Transactions!$J:$J,ROW()-8))</f>
      </c>
      <c r="B595" s="297">
        <f>IF($A595="",TODAY(),INDEX(Transactions!$G:$G,ROW()-8))</f>
      </c>
      <c r="C595">
        <f>IF($A595="","",INDEX(Transactions!$A:$A,ROW()-8))</f>
      </c>
      <c r="D595" s="30">
        <f>IF($A595="",0,INDEX(Transactions!$H:$H,ROW()-8))</f>
      </c>
      <c r="E595">
        <f>IF($A595="",1,INDEX(Transactions!$N:$N,ROW()-8))</f>
        <v>1</v>
      </c>
      <c r="F595" s="30">
        <f>IF($A595="",0,INDEX(Transactions!$O:$O,ROW()-8))</f>
      </c>
      <c r="G595" s="30">
        <f>IF($A595="",0,INDEX(Transactions!$P:$P,ROW()-8))</f>
      </c>
    </row>
    <row r="596" spans="1:7" ht="15" customHeight="1" x14ac:dyDescent="0.15">
      <c r="A596">
        <f>IF(INDEX(Transactions!$J:$J,ROW()-8)="","",INDEX(Transactions!$J:$J,ROW()-8))</f>
      </c>
      <c r="B596" s="297">
        <f>IF($A596="",TODAY(),INDEX(Transactions!$G:$G,ROW()-8))</f>
      </c>
      <c r="C596">
        <f>IF($A596="","",INDEX(Transactions!$A:$A,ROW()-8))</f>
      </c>
      <c r="D596" s="30">
        <f>IF($A596="",0,INDEX(Transactions!$H:$H,ROW()-8))</f>
      </c>
      <c r="E596">
        <f>IF($A596="",1,INDEX(Transactions!$N:$N,ROW()-8))</f>
        <v>1</v>
      </c>
      <c r="F596" s="30">
        <f>IF($A596="",0,INDEX(Transactions!$O:$O,ROW()-8))</f>
      </c>
      <c r="G596" s="30">
        <f>IF($A596="",0,INDEX(Transactions!$P:$P,ROW()-8))</f>
      </c>
    </row>
    <row r="597" spans="1:7" ht="15" customHeight="1" x14ac:dyDescent="0.15">
      <c r="A597">
        <f>IF(INDEX(Transactions!$J:$J,ROW()-8)="","",INDEX(Transactions!$J:$J,ROW()-8))</f>
      </c>
      <c r="B597" s="297">
        <f>IF($A597="",TODAY(),INDEX(Transactions!$G:$G,ROW()-8))</f>
      </c>
      <c r="C597">
        <f>IF($A597="","",INDEX(Transactions!$A:$A,ROW()-8))</f>
      </c>
      <c r="D597" s="30">
        <f>IF($A597="",0,INDEX(Transactions!$H:$H,ROW()-8))</f>
      </c>
      <c r="E597">
        <f>IF($A597="",1,INDEX(Transactions!$N:$N,ROW()-8))</f>
        <v>1</v>
      </c>
      <c r="F597" s="30">
        <f>IF($A597="",0,INDEX(Transactions!$O:$O,ROW()-8))</f>
      </c>
      <c r="G597" s="30">
        <f>IF($A597="",0,INDEX(Transactions!$P:$P,ROW()-8))</f>
      </c>
    </row>
    <row r="598" spans="1:7" ht="15" customHeight="1" x14ac:dyDescent="0.15">
      <c r="A598">
        <f>IF(INDEX(Transactions!$J:$J,ROW()-8)="","",INDEX(Transactions!$J:$J,ROW()-8))</f>
      </c>
      <c r="B598" s="297">
        <f>IF($A598="",TODAY(),INDEX(Transactions!$G:$G,ROW()-8))</f>
      </c>
      <c r="C598">
        <f>IF($A598="","",INDEX(Transactions!$A:$A,ROW()-8))</f>
      </c>
      <c r="D598" s="30">
        <f>IF($A598="",0,INDEX(Transactions!$H:$H,ROW()-8))</f>
      </c>
      <c r="E598">
        <f>IF($A598="",1,INDEX(Transactions!$N:$N,ROW()-8))</f>
        <v>1</v>
      </c>
      <c r="F598" s="30">
        <f>IF($A598="",0,INDEX(Transactions!$O:$O,ROW()-8))</f>
      </c>
      <c r="G598" s="30">
        <f>IF($A598="",0,INDEX(Transactions!$P:$P,ROW()-8))</f>
      </c>
    </row>
    <row r="599" spans="1:7" ht="15" customHeight="1" x14ac:dyDescent="0.15">
      <c r="A599">
        <f>IF(INDEX(Transactions!$J:$J,ROW()-8)="","",INDEX(Transactions!$J:$J,ROW()-8))</f>
      </c>
      <c r="B599" s="297">
        <f>IF($A599="",TODAY(),INDEX(Transactions!$G:$G,ROW()-8))</f>
      </c>
      <c r="C599">
        <f>IF($A599="","",INDEX(Transactions!$A:$A,ROW()-8))</f>
      </c>
      <c r="D599" s="30">
        <f>IF($A599="",0,INDEX(Transactions!$H:$H,ROW()-8))</f>
      </c>
      <c r="E599">
        <f>IF($A599="",1,INDEX(Transactions!$N:$N,ROW()-8))</f>
        <v>1</v>
      </c>
      <c r="F599" s="30">
        <f>IF($A599="",0,INDEX(Transactions!$O:$O,ROW()-8))</f>
      </c>
      <c r="G599" s="30">
        <f>IF($A599="",0,INDEX(Transactions!$P:$P,ROW()-8))</f>
      </c>
    </row>
    <row r="600" spans="1:7" ht="15" customHeight="1" x14ac:dyDescent="0.15">
      <c r="A600">
        <f>IF(INDEX(Transactions!$J:$J,ROW()-8)="","",INDEX(Transactions!$J:$J,ROW()-8))</f>
      </c>
      <c r="B600" s="297">
        <f>IF($A600="",TODAY(),INDEX(Transactions!$G:$G,ROW()-8))</f>
      </c>
      <c r="C600">
        <f>IF($A600="","",INDEX(Transactions!$A:$A,ROW()-8))</f>
      </c>
      <c r="D600" s="30">
        <f>IF($A600="",0,INDEX(Transactions!$H:$H,ROW()-8))</f>
      </c>
      <c r="E600">
        <f>IF($A600="",1,INDEX(Transactions!$N:$N,ROW()-8))</f>
        <v>1</v>
      </c>
      <c r="F600" s="30">
        <f>IF($A600="",0,INDEX(Transactions!$O:$O,ROW()-8))</f>
      </c>
      <c r="G600" s="30">
        <f>IF($A600="",0,INDEX(Transactions!$P:$P,ROW()-8))</f>
      </c>
    </row>
    <row r="601" spans="1:7" ht="15" customHeight="1" x14ac:dyDescent="0.15">
      <c r="A601">
        <f>IF(INDEX(Transactions!$J:$J,ROW()-8)="","",INDEX(Transactions!$J:$J,ROW()-8))</f>
      </c>
      <c r="B601" s="297">
        <f>IF($A601="",TODAY(),INDEX(Transactions!$G:$G,ROW()-8))</f>
      </c>
      <c r="C601">
        <f>IF($A601="","",INDEX(Transactions!$A:$A,ROW()-8))</f>
      </c>
      <c r="D601" s="30">
        <f>IF($A601="",0,INDEX(Transactions!$H:$H,ROW()-8))</f>
      </c>
      <c r="E601">
        <f>IF($A601="",1,INDEX(Transactions!$N:$N,ROW()-8))</f>
        <v>1</v>
      </c>
      <c r="F601" s="30">
        <f>IF($A601="",0,INDEX(Transactions!$O:$O,ROW()-8))</f>
      </c>
      <c r="G601" s="30">
        <f>IF($A601="",0,INDEX(Transactions!$P:$P,ROW()-8))</f>
      </c>
    </row>
    <row r="602" spans="1:7" ht="15" customHeight="1" x14ac:dyDescent="0.15">
      <c r="A602">
        <f>IF(INDEX(Transactions!$J:$J,ROW()-8)="","",INDEX(Transactions!$J:$J,ROW()-8))</f>
      </c>
      <c r="B602" s="297">
        <f>IF($A602="",TODAY(),INDEX(Transactions!$G:$G,ROW()-8))</f>
      </c>
      <c r="C602">
        <f>IF($A602="","",INDEX(Transactions!$A:$A,ROW()-8))</f>
      </c>
      <c r="D602" s="30">
        <f>IF($A602="",0,INDEX(Transactions!$H:$H,ROW()-8))</f>
      </c>
      <c r="E602">
        <f>IF($A602="",1,INDEX(Transactions!$N:$N,ROW()-8))</f>
        <v>1</v>
      </c>
      <c r="F602" s="30">
        <f>IF($A602="",0,INDEX(Transactions!$O:$O,ROW()-8))</f>
      </c>
      <c r="G602" s="30">
        <f>IF($A602="",0,INDEX(Transactions!$P:$P,ROW()-8))</f>
      </c>
    </row>
    <row r="603" spans="1:7" ht="15" customHeight="1" x14ac:dyDescent="0.15">
      <c r="A603">
        <f>IF(INDEX(Transactions!$J:$J,ROW()-8)="","",INDEX(Transactions!$J:$J,ROW()-8))</f>
      </c>
      <c r="B603" s="297">
        <f>IF($A603="",TODAY(),INDEX(Transactions!$G:$G,ROW()-8))</f>
      </c>
      <c r="C603">
        <f>IF($A603="","",INDEX(Transactions!$A:$A,ROW()-8))</f>
      </c>
      <c r="D603" s="30">
        <f>IF($A603="",0,INDEX(Transactions!$H:$H,ROW()-8))</f>
      </c>
      <c r="E603">
        <f>IF($A603="",1,INDEX(Transactions!$N:$N,ROW()-8))</f>
        <v>1</v>
      </c>
      <c r="F603" s="30">
        <f>IF($A603="",0,INDEX(Transactions!$O:$O,ROW()-8))</f>
      </c>
      <c r="G603" s="30">
        <f>IF($A603="",0,INDEX(Transactions!$P:$P,ROW()-8))</f>
      </c>
    </row>
    <row r="604" spans="1:7" ht="15" customHeight="1" x14ac:dyDescent="0.15">
      <c r="A604">
        <f>IF(INDEX(Transactions!$J:$J,ROW()-8)="","",INDEX(Transactions!$J:$J,ROW()-8))</f>
      </c>
      <c r="B604" s="297">
        <f>IF($A604="",TODAY(),INDEX(Transactions!$G:$G,ROW()-8))</f>
      </c>
      <c r="C604">
        <f>IF($A604="","",INDEX(Transactions!$A:$A,ROW()-8))</f>
      </c>
      <c r="D604" s="30">
        <f>IF($A604="",0,INDEX(Transactions!$H:$H,ROW()-8))</f>
      </c>
      <c r="E604">
        <f>IF($A604="",1,INDEX(Transactions!$N:$N,ROW()-8))</f>
        <v>1</v>
      </c>
      <c r="F604" s="30">
        <f>IF($A604="",0,INDEX(Transactions!$O:$O,ROW()-8))</f>
      </c>
      <c r="G604" s="30">
        <f>IF($A604="",0,INDEX(Transactions!$P:$P,ROW()-8))</f>
      </c>
    </row>
    <row r="605" spans="1:7" ht="15" customHeight="1" x14ac:dyDescent="0.15">
      <c r="A605">
        <f>IF(INDEX(Transactions!$J:$J,ROW()-8)="","",INDEX(Transactions!$J:$J,ROW()-8))</f>
      </c>
      <c r="B605" s="297">
        <f>IF($A605="",TODAY(),INDEX(Transactions!$G:$G,ROW()-8))</f>
      </c>
      <c r="C605">
        <f>IF($A605="","",INDEX(Transactions!$A:$A,ROW()-8))</f>
      </c>
      <c r="D605" s="30">
        <f>IF($A605="",0,INDEX(Transactions!$H:$H,ROW()-8))</f>
      </c>
      <c r="E605">
        <f>IF($A605="",1,INDEX(Transactions!$N:$N,ROW()-8))</f>
        <v>1</v>
      </c>
      <c r="F605" s="30">
        <f>IF($A605="",0,INDEX(Transactions!$O:$O,ROW()-8))</f>
      </c>
      <c r="G605" s="30">
        <f>IF($A605="",0,INDEX(Transactions!$P:$P,ROW()-8))</f>
      </c>
    </row>
    <row r="606" spans="1:7" ht="15" customHeight="1" x14ac:dyDescent="0.15">
      <c r="A606">
        <f>IF(INDEX(Transactions!$J:$J,ROW()-8)="","",INDEX(Transactions!$J:$J,ROW()-8))</f>
      </c>
      <c r="B606" s="297">
        <f>IF($A606="",TODAY(),INDEX(Transactions!$G:$G,ROW()-8))</f>
      </c>
      <c r="C606">
        <f>IF($A606="","",INDEX(Transactions!$A:$A,ROW()-8))</f>
      </c>
      <c r="D606" s="30">
        <f>IF($A606="",0,INDEX(Transactions!$H:$H,ROW()-8))</f>
      </c>
      <c r="E606">
        <f>IF($A606="",1,INDEX(Transactions!$N:$N,ROW()-8))</f>
        <v>1</v>
      </c>
      <c r="F606" s="30">
        <f>IF($A606="",0,INDEX(Transactions!$O:$O,ROW()-8))</f>
      </c>
      <c r="G606" s="30">
        <f>IF($A606="",0,INDEX(Transactions!$P:$P,ROW()-8))</f>
      </c>
    </row>
    <row r="607" spans="1:7" ht="15" customHeight="1" x14ac:dyDescent="0.15">
      <c r="A607">
        <f>IF(INDEX(Transactions!$J:$J,ROW()-8)="","",INDEX(Transactions!$J:$J,ROW()-8))</f>
      </c>
      <c r="B607" s="297">
        <f>IF($A607="",TODAY(),INDEX(Transactions!$G:$G,ROW()-8))</f>
      </c>
      <c r="C607">
        <f>IF($A607="","",INDEX(Transactions!$A:$A,ROW()-8))</f>
      </c>
      <c r="D607" s="30">
        <f>IF($A607="",0,INDEX(Transactions!$H:$H,ROW()-8))</f>
      </c>
      <c r="E607">
        <f>IF($A607="",1,INDEX(Transactions!$N:$N,ROW()-8))</f>
        <v>1</v>
      </c>
      <c r="F607" s="30">
        <f>IF($A607="",0,INDEX(Transactions!$O:$O,ROW()-8))</f>
      </c>
      <c r="G607" s="30">
        <f>IF($A607="",0,INDEX(Transactions!$P:$P,ROW()-8))</f>
      </c>
    </row>
    <row r="608" spans="1:7" ht="15" customHeight="1" x14ac:dyDescent="0.15">
      <c r="A608">
        <f>IF(INDEX(Transactions!$J:$J,ROW()-8)="","",INDEX(Transactions!$J:$J,ROW()-8))</f>
      </c>
      <c r="B608" s="297">
        <f>IF($A608="",TODAY(),INDEX(Transactions!$G:$G,ROW()-8))</f>
      </c>
      <c r="C608">
        <f>IF($A608="","",INDEX(Transactions!$A:$A,ROW()-8))</f>
      </c>
      <c r="D608" s="30">
        <f>IF($A608="",0,INDEX(Transactions!$H:$H,ROW()-8))</f>
      </c>
      <c r="E608">
        <f>IF($A608="",1,INDEX(Transactions!$N:$N,ROW()-8))</f>
        <v>1</v>
      </c>
      <c r="F608" s="30">
        <f>IF($A608="",0,INDEX(Transactions!$O:$O,ROW()-8))</f>
      </c>
      <c r="G608" s="30">
        <f>IF($A608="",0,INDEX(Transactions!$P:$P,ROW()-8))</f>
      </c>
    </row>
    <row r="609" spans="1:7" ht="15" customHeight="1" x14ac:dyDescent="0.15">
      <c r="A609">
        <f>IF(INDEX(Transactions!$J:$J,ROW()-8)="","",INDEX(Transactions!$J:$J,ROW()-8))</f>
      </c>
      <c r="B609" s="297">
        <f>IF($A609="",TODAY(),INDEX(Transactions!$G:$G,ROW()-8))</f>
      </c>
      <c r="C609">
        <f>IF($A609="","",INDEX(Transactions!$A:$A,ROW()-8))</f>
      </c>
      <c r="D609" s="30">
        <f>IF($A609="",0,INDEX(Transactions!$H:$H,ROW()-8))</f>
      </c>
      <c r="E609">
        <f>IF($A609="",1,INDEX(Transactions!$N:$N,ROW()-8))</f>
        <v>1</v>
      </c>
      <c r="F609" s="30">
        <f>IF($A609="",0,INDEX(Transactions!$O:$O,ROW()-8))</f>
      </c>
      <c r="G609" s="30">
        <f>IF($A609="",0,INDEX(Transactions!$P:$P,ROW()-8))</f>
      </c>
    </row>
    <row r="610" spans="1:7" ht="15" customHeight="1" x14ac:dyDescent="0.15">
      <c r="A610">
        <f>IF(INDEX(Transactions!$J:$J,ROW()-8)="","",INDEX(Transactions!$J:$J,ROW()-8))</f>
      </c>
      <c r="B610" s="297">
        <f>IF($A610="",TODAY(),INDEX(Transactions!$G:$G,ROW()-8))</f>
      </c>
      <c r="C610">
        <f>IF($A610="","",INDEX(Transactions!$A:$A,ROW()-8))</f>
      </c>
      <c r="D610" s="30">
        <f>IF($A610="",0,INDEX(Transactions!$H:$H,ROW()-8))</f>
      </c>
      <c r="E610">
        <f>IF($A610="",1,INDEX(Transactions!$N:$N,ROW()-8))</f>
        <v>1</v>
      </c>
      <c r="F610" s="30">
        <f>IF($A610="",0,INDEX(Transactions!$O:$O,ROW()-8))</f>
      </c>
      <c r="G610" s="30">
        <f>IF($A610="",0,INDEX(Transactions!$P:$P,ROW()-8))</f>
      </c>
    </row>
    <row r="611" spans="1:7" ht="15" customHeight="1" x14ac:dyDescent="0.15">
      <c r="A611">
        <f>IF(INDEX(Transactions!$J:$J,ROW()-8)="","",INDEX(Transactions!$J:$J,ROW()-8))</f>
      </c>
      <c r="B611" s="297">
        <f>IF($A611="",TODAY(),INDEX(Transactions!$G:$G,ROW()-8))</f>
      </c>
      <c r="C611">
        <f>IF($A611="","",INDEX(Transactions!$A:$A,ROW()-8))</f>
      </c>
      <c r="D611" s="30">
        <f>IF($A611="",0,INDEX(Transactions!$H:$H,ROW()-8))</f>
      </c>
      <c r="E611">
        <f>IF($A611="",1,INDEX(Transactions!$N:$N,ROW()-8))</f>
        <v>1</v>
      </c>
      <c r="F611" s="30">
        <f>IF($A611="",0,INDEX(Transactions!$O:$O,ROW()-8))</f>
      </c>
      <c r="G611" s="30">
        <f>IF($A611="",0,INDEX(Transactions!$P:$P,ROW()-8))</f>
      </c>
    </row>
    <row r="612" spans="1:7" ht="15" customHeight="1" x14ac:dyDescent="0.15">
      <c r="A612">
        <f>IF(INDEX(Transactions!$J:$J,ROW()-8)="","",INDEX(Transactions!$J:$J,ROW()-8))</f>
      </c>
      <c r="B612" s="297">
        <f>IF($A612="",TODAY(),INDEX(Transactions!$G:$G,ROW()-8))</f>
      </c>
      <c r="C612">
        <f>IF($A612="","",INDEX(Transactions!$A:$A,ROW()-8))</f>
      </c>
      <c r="D612" s="30">
        <f>IF($A612="",0,INDEX(Transactions!$H:$H,ROW()-8))</f>
      </c>
      <c r="E612">
        <f>IF($A612="",1,INDEX(Transactions!$N:$N,ROW()-8))</f>
        <v>1</v>
      </c>
      <c r="F612" s="30">
        <f>IF($A612="",0,INDEX(Transactions!$O:$O,ROW()-8))</f>
      </c>
      <c r="G612" s="30">
        <f>IF($A612="",0,INDEX(Transactions!$P:$P,ROW()-8))</f>
      </c>
    </row>
    <row r="613" spans="1:7" ht="15" customHeight="1" x14ac:dyDescent="0.15">
      <c r="A613">
        <f>IF(INDEX(Transactions!$J:$J,ROW()-8)="","",INDEX(Transactions!$J:$J,ROW()-8))</f>
      </c>
      <c r="B613" s="297">
        <f>IF($A613="",TODAY(),INDEX(Transactions!$G:$G,ROW()-8))</f>
      </c>
      <c r="C613">
        <f>IF($A613="","",INDEX(Transactions!$A:$A,ROW()-8))</f>
      </c>
      <c r="D613" s="30">
        <f>IF($A613="",0,INDEX(Transactions!$H:$H,ROW()-8))</f>
      </c>
      <c r="E613">
        <f>IF($A613="",1,INDEX(Transactions!$N:$N,ROW()-8))</f>
        <v>1</v>
      </c>
      <c r="F613" s="30">
        <f>IF($A613="",0,INDEX(Transactions!$O:$O,ROW()-8))</f>
      </c>
      <c r="G613" s="30">
        <f>IF($A613="",0,INDEX(Transactions!$P:$P,ROW()-8))</f>
      </c>
    </row>
    <row r="614" spans="1:7" ht="15" customHeight="1" x14ac:dyDescent="0.15">
      <c r="A614">
        <f>IF(INDEX(Transactions!$J:$J,ROW()-8)="","",INDEX(Transactions!$J:$J,ROW()-8))</f>
      </c>
      <c r="B614" s="297">
        <f>IF($A614="",TODAY(),INDEX(Transactions!$G:$G,ROW()-8))</f>
      </c>
      <c r="C614">
        <f>IF($A614="","",INDEX(Transactions!$A:$A,ROW()-8))</f>
      </c>
      <c r="D614" s="30">
        <f>IF($A614="",0,INDEX(Transactions!$H:$H,ROW()-8))</f>
      </c>
      <c r="E614">
        <f>IF($A614="",1,INDEX(Transactions!$N:$N,ROW()-8))</f>
        <v>1</v>
      </c>
      <c r="F614" s="30">
        <f>IF($A614="",0,INDEX(Transactions!$O:$O,ROW()-8))</f>
      </c>
      <c r="G614" s="30">
        <f>IF($A614="",0,INDEX(Transactions!$P:$P,ROW()-8))</f>
      </c>
    </row>
    <row r="615" spans="1:7" ht="15" customHeight="1" x14ac:dyDescent="0.15">
      <c r="A615">
        <f>IF(INDEX(Transactions!$J:$J,ROW()-8)="","",INDEX(Transactions!$J:$J,ROW()-8))</f>
      </c>
      <c r="B615" s="297">
        <f>IF($A615="",TODAY(),INDEX(Transactions!$G:$G,ROW()-8))</f>
      </c>
      <c r="C615">
        <f>IF($A615="","",INDEX(Transactions!$A:$A,ROW()-8))</f>
      </c>
      <c r="D615" s="30">
        <f>IF($A615="",0,INDEX(Transactions!$H:$H,ROW()-8))</f>
      </c>
      <c r="E615">
        <f>IF($A615="",1,INDEX(Transactions!$N:$N,ROW()-8))</f>
        <v>1</v>
      </c>
      <c r="F615" s="30">
        <f>IF($A615="",0,INDEX(Transactions!$O:$O,ROW()-8))</f>
      </c>
      <c r="G615" s="30">
        <f>IF($A615="",0,INDEX(Transactions!$P:$P,ROW()-8))</f>
      </c>
    </row>
    <row r="616" spans="1:7" ht="15" customHeight="1" x14ac:dyDescent="0.15">
      <c r="A616">
        <f>IF(INDEX(Transactions!$J:$J,ROW()-8)="","",INDEX(Transactions!$J:$J,ROW()-8))</f>
      </c>
      <c r="B616" s="297">
        <f>IF($A616="",TODAY(),INDEX(Transactions!$G:$G,ROW()-8))</f>
      </c>
      <c r="C616">
        <f>IF($A616="","",INDEX(Transactions!$A:$A,ROW()-8))</f>
      </c>
      <c r="D616" s="30">
        <f>IF($A616="",0,INDEX(Transactions!$H:$H,ROW()-8))</f>
      </c>
      <c r="E616">
        <f>IF($A616="",1,INDEX(Transactions!$N:$N,ROW()-8))</f>
        <v>1</v>
      </c>
      <c r="F616" s="30">
        <f>IF($A616="",0,INDEX(Transactions!$O:$O,ROW()-8))</f>
      </c>
      <c r="G616" s="30">
        <f>IF($A616="",0,INDEX(Transactions!$P:$P,ROW()-8))</f>
      </c>
    </row>
    <row r="617" spans="1:7" ht="15" customHeight="1" x14ac:dyDescent="0.15">
      <c r="A617">
        <f>IF(INDEX(Transactions!$J:$J,ROW()-8)="","",INDEX(Transactions!$J:$J,ROW()-8))</f>
      </c>
      <c r="B617" s="297">
        <f>IF($A617="",TODAY(),INDEX(Transactions!$G:$G,ROW()-8))</f>
      </c>
      <c r="C617">
        <f>IF($A617="","",INDEX(Transactions!$A:$A,ROW()-8))</f>
      </c>
      <c r="D617" s="30">
        <f>IF($A617="",0,INDEX(Transactions!$H:$H,ROW()-8))</f>
      </c>
      <c r="E617">
        <f>IF($A617="",1,INDEX(Transactions!$N:$N,ROW()-8))</f>
        <v>1</v>
      </c>
      <c r="F617" s="30">
        <f>IF($A617="",0,INDEX(Transactions!$O:$O,ROW()-8))</f>
      </c>
      <c r="G617" s="30">
        <f>IF($A617="",0,INDEX(Transactions!$P:$P,ROW()-8))</f>
      </c>
    </row>
    <row r="618" spans="1:7" ht="15" customHeight="1" x14ac:dyDescent="0.15">
      <c r="A618">
        <f>IF(INDEX(Transactions!$J:$J,ROW()-8)="","",INDEX(Transactions!$J:$J,ROW()-8))</f>
      </c>
      <c r="B618" s="297">
        <f>IF($A618="",TODAY(),INDEX(Transactions!$G:$G,ROW()-8))</f>
      </c>
      <c r="C618">
        <f>IF($A618="","",INDEX(Transactions!$A:$A,ROW()-8))</f>
      </c>
      <c r="D618" s="30">
        <f>IF($A618="",0,INDEX(Transactions!$H:$H,ROW()-8))</f>
      </c>
      <c r="E618">
        <f>IF($A618="",1,INDEX(Transactions!$N:$N,ROW()-8))</f>
        <v>1</v>
      </c>
      <c r="F618" s="30">
        <f>IF($A618="",0,INDEX(Transactions!$O:$O,ROW()-8))</f>
      </c>
      <c r="G618" s="30">
        <f>IF($A618="",0,INDEX(Transactions!$P:$P,ROW()-8))</f>
      </c>
    </row>
    <row r="619" spans="1:7" ht="15" customHeight="1" x14ac:dyDescent="0.15">
      <c r="A619">
        <f>IF(INDEX(Transactions!$J:$J,ROW()-8)="","",INDEX(Transactions!$J:$J,ROW()-8))</f>
      </c>
      <c r="B619" s="297">
        <f>IF($A619="",TODAY(),INDEX(Transactions!$G:$G,ROW()-8))</f>
      </c>
      <c r="C619">
        <f>IF($A619="","",INDEX(Transactions!$A:$A,ROW()-8))</f>
      </c>
      <c r="D619" s="30">
        <f>IF($A619="",0,INDEX(Transactions!$H:$H,ROW()-8))</f>
      </c>
      <c r="E619">
        <f>IF($A619="",1,INDEX(Transactions!$N:$N,ROW()-8))</f>
        <v>1</v>
      </c>
      <c r="F619" s="30">
        <f>IF($A619="",0,INDEX(Transactions!$O:$O,ROW()-8))</f>
      </c>
      <c r="G619" s="30">
        <f>IF($A619="",0,INDEX(Transactions!$P:$P,ROW()-8))</f>
      </c>
    </row>
    <row r="620" spans="1:7" ht="15" customHeight="1" x14ac:dyDescent="0.15">
      <c r="A620">
        <f>IF(INDEX(Transactions!$J:$J,ROW()-8)="","",INDEX(Transactions!$J:$J,ROW()-8))</f>
      </c>
      <c r="B620" s="297">
        <f>IF($A620="",TODAY(),INDEX(Transactions!$G:$G,ROW()-8))</f>
      </c>
      <c r="C620">
        <f>IF($A620="","",INDEX(Transactions!$A:$A,ROW()-8))</f>
      </c>
      <c r="D620" s="30">
        <f>IF($A620="",0,INDEX(Transactions!$H:$H,ROW()-8))</f>
      </c>
      <c r="E620">
        <f>IF($A620="",1,INDEX(Transactions!$N:$N,ROW()-8))</f>
        <v>1</v>
      </c>
      <c r="F620" s="30">
        <f>IF($A620="",0,INDEX(Transactions!$O:$O,ROW()-8))</f>
      </c>
      <c r="G620" s="30">
        <f>IF($A620="",0,INDEX(Transactions!$P:$P,ROW()-8))</f>
      </c>
    </row>
    <row r="621" spans="1:7" ht="15" customHeight="1" x14ac:dyDescent="0.15">
      <c r="A621">
        <f>IF(INDEX(Transactions!$J:$J,ROW()-8)="","",INDEX(Transactions!$J:$J,ROW()-8))</f>
      </c>
      <c r="B621" s="297">
        <f>IF($A621="",TODAY(),INDEX(Transactions!$G:$G,ROW()-8))</f>
      </c>
      <c r="C621">
        <f>IF($A621="","",INDEX(Transactions!$A:$A,ROW()-8))</f>
      </c>
      <c r="D621" s="30">
        <f>IF($A621="",0,INDEX(Transactions!$H:$H,ROW()-8))</f>
      </c>
      <c r="E621">
        <f>IF($A621="",1,INDEX(Transactions!$N:$N,ROW()-8))</f>
        <v>1</v>
      </c>
      <c r="F621" s="30">
        <f>IF($A621="",0,INDEX(Transactions!$O:$O,ROW()-8))</f>
      </c>
      <c r="G621" s="30">
        <f>IF($A621="",0,INDEX(Transactions!$P:$P,ROW()-8))</f>
      </c>
    </row>
    <row r="622" spans="1:7" ht="15" customHeight="1" x14ac:dyDescent="0.15">
      <c r="A622">
        <f>IF(INDEX(Transactions!$J:$J,ROW()-8)="","",INDEX(Transactions!$J:$J,ROW()-8))</f>
      </c>
      <c r="B622" s="297">
        <f>IF($A622="",TODAY(),INDEX(Transactions!$G:$G,ROW()-8))</f>
      </c>
      <c r="C622">
        <f>IF($A622="","",INDEX(Transactions!$A:$A,ROW()-8))</f>
      </c>
      <c r="D622" s="30">
        <f>IF($A622="",0,INDEX(Transactions!$H:$H,ROW()-8))</f>
      </c>
      <c r="E622">
        <f>IF($A622="",1,INDEX(Transactions!$N:$N,ROW()-8))</f>
        <v>1</v>
      </c>
      <c r="F622" s="30">
        <f>IF($A622="",0,INDEX(Transactions!$O:$O,ROW()-8))</f>
      </c>
      <c r="G622" s="30">
        <f>IF($A622="",0,INDEX(Transactions!$P:$P,ROW()-8))</f>
      </c>
    </row>
    <row r="623" spans="1:7" ht="15" customHeight="1" x14ac:dyDescent="0.15">
      <c r="A623">
        <f>IF(INDEX(Transactions!$J:$J,ROW()-8)="","",INDEX(Transactions!$J:$J,ROW()-8))</f>
      </c>
      <c r="B623" s="297">
        <f>IF($A623="",TODAY(),INDEX(Transactions!$G:$G,ROW()-8))</f>
      </c>
      <c r="C623">
        <f>IF($A623="","",INDEX(Transactions!$A:$A,ROW()-8))</f>
      </c>
      <c r="D623" s="30">
        <f>IF($A623="",0,INDEX(Transactions!$H:$H,ROW()-8))</f>
      </c>
      <c r="E623">
        <f>IF($A623="",1,INDEX(Transactions!$N:$N,ROW()-8))</f>
        <v>1</v>
      </c>
      <c r="F623" s="30">
        <f>IF($A623="",0,INDEX(Transactions!$O:$O,ROW()-8))</f>
      </c>
      <c r="G623" s="30">
        <f>IF($A623="",0,INDEX(Transactions!$P:$P,ROW()-8))</f>
      </c>
    </row>
    <row r="624" spans="1:7" ht="15" customHeight="1" x14ac:dyDescent="0.15">
      <c r="A624">
        <f>IF(INDEX(Transactions!$J:$J,ROW()-8)="","",INDEX(Transactions!$J:$J,ROW()-8))</f>
      </c>
      <c r="B624" s="297">
        <f>IF($A624="",TODAY(),INDEX(Transactions!$G:$G,ROW()-8))</f>
      </c>
      <c r="C624">
        <f>IF($A624="","",INDEX(Transactions!$A:$A,ROW()-8))</f>
      </c>
      <c r="D624" s="30">
        <f>IF($A624="",0,INDEX(Transactions!$H:$H,ROW()-8))</f>
      </c>
      <c r="E624">
        <f>IF($A624="",1,INDEX(Transactions!$N:$N,ROW()-8))</f>
        <v>1</v>
      </c>
      <c r="F624" s="30">
        <f>IF($A624="",0,INDEX(Transactions!$O:$O,ROW()-8))</f>
      </c>
      <c r="G624" s="30">
        <f>IF($A624="",0,INDEX(Transactions!$P:$P,ROW()-8))</f>
      </c>
    </row>
    <row r="625" spans="1:7" ht="15" customHeight="1" x14ac:dyDescent="0.15">
      <c r="A625">
        <f>IF(INDEX(Transactions!$J:$J,ROW()-8)="","",INDEX(Transactions!$J:$J,ROW()-8))</f>
      </c>
      <c r="B625" s="297">
        <f>IF($A625="",TODAY(),INDEX(Transactions!$G:$G,ROW()-8))</f>
      </c>
      <c r="C625">
        <f>IF($A625="","",INDEX(Transactions!$A:$A,ROW()-8))</f>
      </c>
      <c r="D625" s="30">
        <f>IF($A625="",0,INDEX(Transactions!$H:$H,ROW()-8))</f>
      </c>
      <c r="E625">
        <f>IF($A625="",1,INDEX(Transactions!$N:$N,ROW()-8))</f>
        <v>1</v>
      </c>
      <c r="F625" s="30">
        <f>IF($A625="",0,INDEX(Transactions!$O:$O,ROW()-8))</f>
      </c>
      <c r="G625" s="30">
        <f>IF($A625="",0,INDEX(Transactions!$P:$P,ROW()-8))</f>
      </c>
    </row>
    <row r="626" spans="1:7" ht="15" customHeight="1" x14ac:dyDescent="0.15">
      <c r="A626">
        <f>IF(INDEX(Transactions!$J:$J,ROW()-8)="","",INDEX(Transactions!$J:$J,ROW()-8))</f>
      </c>
      <c r="B626" s="297">
        <f>IF($A626="",TODAY(),INDEX(Transactions!$G:$G,ROW()-8))</f>
      </c>
      <c r="C626">
        <f>IF($A626="","",INDEX(Transactions!$A:$A,ROW()-8))</f>
      </c>
      <c r="D626" s="30">
        <f>IF($A626="",0,INDEX(Transactions!$H:$H,ROW()-8))</f>
      </c>
      <c r="E626">
        <f>IF($A626="",1,INDEX(Transactions!$N:$N,ROW()-8))</f>
        <v>1</v>
      </c>
      <c r="F626" s="30">
        <f>IF($A626="",0,INDEX(Transactions!$O:$O,ROW()-8))</f>
      </c>
      <c r="G626" s="30">
        <f>IF($A626="",0,INDEX(Transactions!$P:$P,ROW()-8))</f>
      </c>
    </row>
    <row r="627" spans="1:7" ht="15" customHeight="1" x14ac:dyDescent="0.15">
      <c r="A627">
        <f>IF(INDEX(Transactions!$J:$J,ROW()-8)="","",INDEX(Transactions!$J:$J,ROW()-8))</f>
      </c>
      <c r="B627" s="297">
        <f>IF($A627="",TODAY(),INDEX(Transactions!$G:$G,ROW()-8))</f>
      </c>
      <c r="C627">
        <f>IF($A627="","",INDEX(Transactions!$A:$A,ROW()-8))</f>
      </c>
      <c r="D627" s="30">
        <f>IF($A627="",0,INDEX(Transactions!$H:$H,ROW()-8))</f>
      </c>
      <c r="E627">
        <f>IF($A627="",1,INDEX(Transactions!$N:$N,ROW()-8))</f>
        <v>1</v>
      </c>
      <c r="F627" s="30">
        <f>IF($A627="",0,INDEX(Transactions!$O:$O,ROW()-8))</f>
      </c>
      <c r="G627" s="30">
        <f>IF($A627="",0,INDEX(Transactions!$P:$P,ROW()-8))</f>
      </c>
    </row>
    <row r="628" spans="1:7" ht="15" customHeight="1" x14ac:dyDescent="0.15">
      <c r="A628">
        <f>IF(INDEX(Transactions!$J:$J,ROW()-8)="","",INDEX(Transactions!$J:$J,ROW()-8))</f>
      </c>
      <c r="B628" s="297">
        <f>IF($A628="",TODAY(),INDEX(Transactions!$G:$G,ROW()-8))</f>
      </c>
      <c r="C628">
        <f>IF($A628="","",INDEX(Transactions!$A:$A,ROW()-8))</f>
      </c>
      <c r="D628" s="30">
        <f>IF($A628="",0,INDEX(Transactions!$H:$H,ROW()-8))</f>
      </c>
      <c r="E628">
        <f>IF($A628="",1,INDEX(Transactions!$N:$N,ROW()-8))</f>
        <v>1</v>
      </c>
      <c r="F628" s="30">
        <f>IF($A628="",0,INDEX(Transactions!$O:$O,ROW()-8))</f>
      </c>
      <c r="G628" s="30">
        <f>IF($A628="",0,INDEX(Transactions!$P:$P,ROW()-8))</f>
      </c>
    </row>
    <row r="629" spans="1:7" ht="15" customHeight="1" x14ac:dyDescent="0.15">
      <c r="A629">
        <f>IF(INDEX(Transactions!$J:$J,ROW()-8)="","",INDEX(Transactions!$J:$J,ROW()-8))</f>
      </c>
      <c r="B629" s="297">
        <f>IF($A629="",TODAY(),INDEX(Transactions!$G:$G,ROW()-8))</f>
      </c>
      <c r="C629">
        <f>IF($A629="","",INDEX(Transactions!$A:$A,ROW()-8))</f>
      </c>
      <c r="D629" s="30">
        <f>IF($A629="",0,INDEX(Transactions!$H:$H,ROW()-8))</f>
      </c>
      <c r="E629">
        <f>IF($A629="",1,INDEX(Transactions!$N:$N,ROW()-8))</f>
        <v>1</v>
      </c>
      <c r="F629" s="30">
        <f>IF($A629="",0,INDEX(Transactions!$O:$O,ROW()-8))</f>
      </c>
      <c r="G629" s="30">
        <f>IF($A629="",0,INDEX(Transactions!$P:$P,ROW()-8))</f>
      </c>
    </row>
    <row r="630" spans="1:7" ht="15" customHeight="1" x14ac:dyDescent="0.15">
      <c r="A630">
        <f>IF(INDEX(Transactions!$J:$J,ROW()-8)="","",INDEX(Transactions!$J:$J,ROW()-8))</f>
      </c>
      <c r="B630" s="297">
        <f>IF($A630="",TODAY(),INDEX(Transactions!$G:$G,ROW()-8))</f>
      </c>
      <c r="C630">
        <f>IF($A630="","",INDEX(Transactions!$A:$A,ROW()-8))</f>
      </c>
      <c r="D630" s="30">
        <f>IF($A630="",0,INDEX(Transactions!$H:$H,ROW()-8))</f>
      </c>
      <c r="E630">
        <f>IF($A630="",1,INDEX(Transactions!$N:$N,ROW()-8))</f>
        <v>1</v>
      </c>
      <c r="F630" s="30">
        <f>IF($A630="",0,INDEX(Transactions!$O:$O,ROW()-8))</f>
      </c>
      <c r="G630" s="30">
        <f>IF($A630="",0,INDEX(Transactions!$P:$P,ROW()-8))</f>
      </c>
    </row>
    <row r="631" spans="1:7" ht="15" customHeight="1" x14ac:dyDescent="0.15">
      <c r="A631">
        <f>IF(INDEX(Transactions!$J:$J,ROW()-8)="","",INDEX(Transactions!$J:$J,ROW()-8))</f>
      </c>
      <c r="B631" s="297">
        <f>IF($A631="",TODAY(),INDEX(Transactions!$G:$G,ROW()-8))</f>
      </c>
      <c r="C631">
        <f>IF($A631="","",INDEX(Transactions!$A:$A,ROW()-8))</f>
      </c>
      <c r="D631" s="30">
        <f>IF($A631="",0,INDEX(Transactions!$H:$H,ROW()-8))</f>
      </c>
      <c r="E631">
        <f>IF($A631="",1,INDEX(Transactions!$N:$N,ROW()-8))</f>
        <v>1</v>
      </c>
      <c r="F631" s="30">
        <f>IF($A631="",0,INDEX(Transactions!$O:$O,ROW()-8))</f>
      </c>
      <c r="G631" s="30">
        <f>IF($A631="",0,INDEX(Transactions!$P:$P,ROW()-8))</f>
      </c>
    </row>
    <row r="632" spans="1:7" ht="15" customHeight="1" x14ac:dyDescent="0.15">
      <c r="A632">
        <f>IF(INDEX(Transactions!$J:$J,ROW()-8)="","",INDEX(Transactions!$J:$J,ROW()-8))</f>
      </c>
      <c r="B632" s="297">
        <f>IF($A632="",TODAY(),INDEX(Transactions!$G:$G,ROW()-8))</f>
      </c>
      <c r="C632">
        <f>IF($A632="","",INDEX(Transactions!$A:$A,ROW()-8))</f>
      </c>
      <c r="D632" s="30">
        <f>IF($A632="",0,INDEX(Transactions!$H:$H,ROW()-8))</f>
      </c>
      <c r="E632">
        <f>IF($A632="",1,INDEX(Transactions!$N:$N,ROW()-8))</f>
        <v>1</v>
      </c>
      <c r="F632" s="30">
        <f>IF($A632="",0,INDEX(Transactions!$O:$O,ROW()-8))</f>
      </c>
      <c r="G632" s="30">
        <f>IF($A632="",0,INDEX(Transactions!$P:$P,ROW()-8))</f>
      </c>
    </row>
    <row r="633" spans="1:7" ht="15" customHeight="1" x14ac:dyDescent="0.15">
      <c r="A633">
        <f>IF(INDEX(Transactions!$J:$J,ROW()-8)="","",INDEX(Transactions!$J:$J,ROW()-8))</f>
      </c>
      <c r="B633" s="297">
        <f>IF($A633="",TODAY(),INDEX(Transactions!$G:$G,ROW()-8))</f>
      </c>
      <c r="C633">
        <f>IF($A633="","",INDEX(Transactions!$A:$A,ROW()-8))</f>
      </c>
      <c r="D633" s="30">
        <f>IF($A633="",0,INDEX(Transactions!$H:$H,ROW()-8))</f>
      </c>
      <c r="E633">
        <f>IF($A633="",1,INDEX(Transactions!$N:$N,ROW()-8))</f>
        <v>1</v>
      </c>
      <c r="F633" s="30">
        <f>IF($A633="",0,INDEX(Transactions!$O:$O,ROW()-8))</f>
      </c>
      <c r="G633" s="30">
        <f>IF($A633="",0,INDEX(Transactions!$P:$P,ROW()-8))</f>
      </c>
    </row>
    <row r="634" spans="1:7" ht="15" customHeight="1" x14ac:dyDescent="0.15">
      <c r="A634">
        <f>IF(INDEX(Transactions!$J:$J,ROW()-8)="","",INDEX(Transactions!$J:$J,ROW()-8))</f>
      </c>
      <c r="B634" s="297">
        <f>IF($A634="",TODAY(),INDEX(Transactions!$G:$G,ROW()-8))</f>
      </c>
      <c r="C634">
        <f>IF($A634="","",INDEX(Transactions!$A:$A,ROW()-8))</f>
      </c>
      <c r="D634" s="30">
        <f>IF($A634="",0,INDEX(Transactions!$H:$H,ROW()-8))</f>
      </c>
      <c r="E634">
        <f>IF($A634="",1,INDEX(Transactions!$N:$N,ROW()-8))</f>
        <v>1</v>
      </c>
      <c r="F634" s="30">
        <f>IF($A634="",0,INDEX(Transactions!$O:$O,ROW()-8))</f>
      </c>
      <c r="G634" s="30">
        <f>IF($A634="",0,INDEX(Transactions!$P:$P,ROW()-8))</f>
      </c>
    </row>
    <row r="635" spans="1:7" ht="15" customHeight="1" x14ac:dyDescent="0.15">
      <c r="A635">
        <f>IF(INDEX(Transactions!$J:$J,ROW()-8)="","",INDEX(Transactions!$J:$J,ROW()-8))</f>
      </c>
      <c r="B635" s="297">
        <f>IF($A635="",TODAY(),INDEX(Transactions!$G:$G,ROW()-8))</f>
      </c>
      <c r="C635">
        <f>IF($A635="","",INDEX(Transactions!$A:$A,ROW()-8))</f>
      </c>
      <c r="D635" s="30">
        <f>IF($A635="",0,INDEX(Transactions!$H:$H,ROW()-8))</f>
      </c>
      <c r="E635">
        <f>IF($A635="",1,INDEX(Transactions!$N:$N,ROW()-8))</f>
        <v>1</v>
      </c>
      <c r="F635" s="30">
        <f>IF($A635="",0,INDEX(Transactions!$O:$O,ROW()-8))</f>
      </c>
      <c r="G635" s="30">
        <f>IF($A635="",0,INDEX(Transactions!$P:$P,ROW()-8))</f>
      </c>
    </row>
    <row r="636" spans="1:7" ht="15" customHeight="1" x14ac:dyDescent="0.15">
      <c r="A636">
        <f>IF(INDEX(Transactions!$J:$J,ROW()-8)="","",INDEX(Transactions!$J:$J,ROW()-8))</f>
      </c>
      <c r="B636" s="297">
        <f>IF($A636="",TODAY(),INDEX(Transactions!$G:$G,ROW()-8))</f>
      </c>
      <c r="C636">
        <f>IF($A636="","",INDEX(Transactions!$A:$A,ROW()-8))</f>
      </c>
      <c r="D636" s="30">
        <f>IF($A636="",0,INDEX(Transactions!$H:$H,ROW()-8))</f>
      </c>
      <c r="E636">
        <f>IF($A636="",1,INDEX(Transactions!$N:$N,ROW()-8))</f>
        <v>1</v>
      </c>
      <c r="F636" s="30">
        <f>IF($A636="",0,INDEX(Transactions!$O:$O,ROW()-8))</f>
      </c>
      <c r="G636" s="30">
        <f>IF($A636="",0,INDEX(Transactions!$P:$P,ROW()-8))</f>
      </c>
    </row>
    <row r="637" spans="1:7" ht="15" customHeight="1" x14ac:dyDescent="0.15">
      <c r="A637">
        <f>IF(INDEX(Transactions!$J:$J,ROW()-8)="","",INDEX(Transactions!$J:$J,ROW()-8))</f>
      </c>
      <c r="B637" s="297">
        <f>IF($A637="",TODAY(),INDEX(Transactions!$G:$G,ROW()-8))</f>
      </c>
      <c r="C637">
        <f>IF($A637="","",INDEX(Transactions!$A:$A,ROW()-8))</f>
      </c>
      <c r="D637" s="30">
        <f>IF($A637="",0,INDEX(Transactions!$H:$H,ROW()-8))</f>
      </c>
      <c r="E637">
        <f>IF($A637="",1,INDEX(Transactions!$N:$N,ROW()-8))</f>
        <v>1</v>
      </c>
      <c r="F637" s="30">
        <f>IF($A637="",0,INDEX(Transactions!$O:$O,ROW()-8))</f>
      </c>
      <c r="G637" s="30">
        <f>IF($A637="",0,INDEX(Transactions!$P:$P,ROW()-8))</f>
      </c>
    </row>
    <row r="638" spans="1:7" ht="15" customHeight="1" x14ac:dyDescent="0.15">
      <c r="A638">
        <f>IF(INDEX(Transactions!$J:$J,ROW()-8)="","",INDEX(Transactions!$J:$J,ROW()-8))</f>
      </c>
      <c r="B638" s="297">
        <f>IF($A638="",TODAY(),INDEX(Transactions!$G:$G,ROW()-8))</f>
      </c>
      <c r="C638">
        <f>IF($A638="","",INDEX(Transactions!$A:$A,ROW()-8))</f>
      </c>
      <c r="D638" s="30">
        <f>IF($A638="",0,INDEX(Transactions!$H:$H,ROW()-8))</f>
      </c>
      <c r="E638">
        <f>IF($A638="",1,INDEX(Transactions!$N:$N,ROW()-8))</f>
        <v>1</v>
      </c>
      <c r="F638" s="30">
        <f>IF($A638="",0,INDEX(Transactions!$O:$O,ROW()-8))</f>
      </c>
      <c r="G638" s="30">
        <f>IF($A638="",0,INDEX(Transactions!$P:$P,ROW()-8))</f>
      </c>
    </row>
    <row r="639" spans="1:7" ht="15" customHeight="1" x14ac:dyDescent="0.15">
      <c r="A639">
        <f>IF(INDEX(Transactions!$J:$J,ROW()-8)="","",INDEX(Transactions!$J:$J,ROW()-8))</f>
      </c>
      <c r="B639" s="297">
        <f>IF($A639="",TODAY(),INDEX(Transactions!$G:$G,ROW()-8))</f>
      </c>
      <c r="C639">
        <f>IF($A639="","",INDEX(Transactions!$A:$A,ROW()-8))</f>
      </c>
      <c r="D639" s="30">
        <f>IF($A639="",0,INDEX(Transactions!$H:$H,ROW()-8))</f>
      </c>
      <c r="E639">
        <f>IF($A639="",1,INDEX(Transactions!$N:$N,ROW()-8))</f>
        <v>1</v>
      </c>
      <c r="F639" s="30">
        <f>IF($A639="",0,INDEX(Transactions!$O:$O,ROW()-8))</f>
      </c>
      <c r="G639" s="30">
        <f>IF($A639="",0,INDEX(Transactions!$P:$P,ROW()-8))</f>
      </c>
    </row>
    <row r="640" spans="1:7" ht="15" customHeight="1" x14ac:dyDescent="0.15">
      <c r="A640">
        <f>IF(INDEX(Transactions!$J:$J,ROW()-8)="","",INDEX(Transactions!$J:$J,ROW()-8))</f>
      </c>
      <c r="B640" s="297">
        <f>IF($A640="",TODAY(),INDEX(Transactions!$G:$G,ROW()-8))</f>
      </c>
      <c r="C640">
        <f>IF($A640="","",INDEX(Transactions!$A:$A,ROW()-8))</f>
      </c>
      <c r="D640" s="30">
        <f>IF($A640="",0,INDEX(Transactions!$H:$H,ROW()-8))</f>
      </c>
      <c r="E640">
        <f>IF($A640="",1,INDEX(Transactions!$N:$N,ROW()-8))</f>
        <v>1</v>
      </c>
      <c r="F640" s="30">
        <f>IF($A640="",0,INDEX(Transactions!$O:$O,ROW()-8))</f>
      </c>
      <c r="G640" s="30">
        <f>IF($A640="",0,INDEX(Transactions!$P:$P,ROW()-8))</f>
      </c>
    </row>
    <row r="641" spans="1:7" ht="15" customHeight="1" x14ac:dyDescent="0.15">
      <c r="A641">
        <f>IF(INDEX(Transactions!$J:$J,ROW()-8)="","",INDEX(Transactions!$J:$J,ROW()-8))</f>
      </c>
      <c r="B641" s="297">
        <f>IF($A641="",TODAY(),INDEX(Transactions!$G:$G,ROW()-8))</f>
      </c>
      <c r="C641">
        <f>IF($A641="","",INDEX(Transactions!$A:$A,ROW()-8))</f>
      </c>
      <c r="D641" s="30">
        <f>IF($A641="",0,INDEX(Transactions!$H:$H,ROW()-8))</f>
      </c>
      <c r="E641">
        <f>IF($A641="",1,INDEX(Transactions!$N:$N,ROW()-8))</f>
        <v>1</v>
      </c>
      <c r="F641" s="30">
        <f>IF($A641="",0,INDEX(Transactions!$O:$O,ROW()-8))</f>
      </c>
      <c r="G641" s="30">
        <f>IF($A641="",0,INDEX(Transactions!$P:$P,ROW()-8))</f>
      </c>
    </row>
    <row r="642" spans="1:7" ht="15" customHeight="1" x14ac:dyDescent="0.15">
      <c r="A642">
        <f>IF(INDEX(Transactions!$J:$J,ROW()-8)="","",INDEX(Transactions!$J:$J,ROW()-8))</f>
      </c>
      <c r="B642" s="297">
        <f>IF($A642="",TODAY(),INDEX(Transactions!$G:$G,ROW()-8))</f>
      </c>
      <c r="C642">
        <f>IF($A642="","",INDEX(Transactions!$A:$A,ROW()-8))</f>
      </c>
      <c r="D642" s="30">
        <f>IF($A642="",0,INDEX(Transactions!$H:$H,ROW()-8))</f>
      </c>
      <c r="E642">
        <f>IF($A642="",1,INDEX(Transactions!$N:$N,ROW()-8))</f>
        <v>1</v>
      </c>
      <c r="F642" s="30">
        <f>IF($A642="",0,INDEX(Transactions!$O:$O,ROW()-8))</f>
      </c>
      <c r="G642" s="30">
        <f>IF($A642="",0,INDEX(Transactions!$P:$P,ROW()-8))</f>
      </c>
    </row>
    <row r="643" spans="1:7" ht="15" customHeight="1" x14ac:dyDescent="0.15">
      <c r="A643">
        <f>IF(INDEX(Transactions!$J:$J,ROW()-8)="","",INDEX(Transactions!$J:$J,ROW()-8))</f>
      </c>
      <c r="B643" s="297">
        <f>IF($A643="",TODAY(),INDEX(Transactions!$G:$G,ROW()-8))</f>
      </c>
      <c r="C643">
        <f>IF($A643="","",INDEX(Transactions!$A:$A,ROW()-8))</f>
      </c>
      <c r="D643" s="30">
        <f>IF($A643="",0,INDEX(Transactions!$H:$H,ROW()-8))</f>
      </c>
      <c r="E643">
        <f>IF($A643="",1,INDEX(Transactions!$N:$N,ROW()-8))</f>
        <v>1</v>
      </c>
      <c r="F643" s="30">
        <f>IF($A643="",0,INDEX(Transactions!$O:$O,ROW()-8))</f>
      </c>
      <c r="G643" s="30">
        <f>IF($A643="",0,INDEX(Transactions!$P:$P,ROW()-8))</f>
      </c>
    </row>
    <row r="644" spans="1:7" ht="15" customHeight="1" x14ac:dyDescent="0.15">
      <c r="A644">
        <f>IF(INDEX(Transactions!$J:$J,ROW()-8)="","",INDEX(Transactions!$J:$J,ROW()-8))</f>
      </c>
      <c r="B644" s="297">
        <f>IF($A644="",TODAY(),INDEX(Transactions!$G:$G,ROW()-8))</f>
      </c>
      <c r="C644">
        <f>IF($A644="","",INDEX(Transactions!$A:$A,ROW()-8))</f>
      </c>
      <c r="D644" s="30">
        <f>IF($A644="",0,INDEX(Transactions!$H:$H,ROW()-8))</f>
      </c>
      <c r="E644">
        <f>IF($A644="",1,INDEX(Transactions!$N:$N,ROW()-8))</f>
        <v>1</v>
      </c>
      <c r="F644" s="30">
        <f>IF($A644="",0,INDEX(Transactions!$O:$O,ROW()-8))</f>
      </c>
      <c r="G644" s="30">
        <f>IF($A644="",0,INDEX(Transactions!$P:$P,ROW()-8))</f>
      </c>
    </row>
    <row r="645" spans="1:7" ht="15" customHeight="1" x14ac:dyDescent="0.15">
      <c r="A645">
        <f>IF(INDEX(Transactions!$J:$J,ROW()-8)="","",INDEX(Transactions!$J:$J,ROW()-8))</f>
      </c>
      <c r="B645" s="297">
        <f>IF($A645="",TODAY(),INDEX(Transactions!$G:$G,ROW()-8))</f>
      </c>
      <c r="C645">
        <f>IF($A645="","",INDEX(Transactions!$A:$A,ROW()-8))</f>
      </c>
      <c r="D645" s="30">
        <f>IF($A645="",0,INDEX(Transactions!$H:$H,ROW()-8))</f>
      </c>
      <c r="E645">
        <f>IF($A645="",1,INDEX(Transactions!$N:$N,ROW()-8))</f>
        <v>1</v>
      </c>
      <c r="F645" s="30">
        <f>IF($A645="",0,INDEX(Transactions!$O:$O,ROW()-8))</f>
      </c>
      <c r="G645" s="30">
        <f>IF($A645="",0,INDEX(Transactions!$P:$P,ROW()-8))</f>
      </c>
    </row>
    <row r="646" spans="1:7" ht="15" customHeight="1" x14ac:dyDescent="0.15">
      <c r="A646">
        <f>IF(INDEX(Transactions!$J:$J,ROW()-8)="","",INDEX(Transactions!$J:$J,ROW()-8))</f>
      </c>
      <c r="B646" s="297">
        <f>IF($A646="",TODAY(),INDEX(Transactions!$G:$G,ROW()-8))</f>
      </c>
      <c r="C646">
        <f>IF($A646="","",INDEX(Transactions!$A:$A,ROW()-8))</f>
      </c>
      <c r="D646" s="30">
        <f>IF($A646="",0,INDEX(Transactions!$H:$H,ROW()-8))</f>
      </c>
      <c r="E646">
        <f>IF($A646="",1,INDEX(Transactions!$N:$N,ROW()-8))</f>
        <v>1</v>
      </c>
      <c r="F646" s="30">
        <f>IF($A646="",0,INDEX(Transactions!$O:$O,ROW()-8))</f>
      </c>
      <c r="G646" s="30">
        <f>IF($A646="",0,INDEX(Transactions!$P:$P,ROW()-8))</f>
      </c>
    </row>
    <row r="647" spans="1:7" ht="15" customHeight="1" x14ac:dyDescent="0.15">
      <c r="A647">
        <f>IF(INDEX(Transactions!$J:$J,ROW()-8)="","",INDEX(Transactions!$J:$J,ROW()-8))</f>
      </c>
      <c r="B647" s="297">
        <f>IF($A647="",TODAY(),INDEX(Transactions!$G:$G,ROW()-8))</f>
      </c>
      <c r="C647">
        <f>IF($A647="","",INDEX(Transactions!$A:$A,ROW()-8))</f>
      </c>
      <c r="D647" s="30">
        <f>IF($A647="",0,INDEX(Transactions!$H:$H,ROW()-8))</f>
      </c>
      <c r="E647">
        <f>IF($A647="",1,INDEX(Transactions!$N:$N,ROW()-8))</f>
        <v>1</v>
      </c>
      <c r="F647" s="30">
        <f>IF($A647="",0,INDEX(Transactions!$O:$O,ROW()-8))</f>
      </c>
      <c r="G647" s="30">
        <f>IF($A647="",0,INDEX(Transactions!$P:$P,ROW()-8))</f>
      </c>
    </row>
    <row r="648" spans="1:7" ht="15" customHeight="1" x14ac:dyDescent="0.15">
      <c r="A648">
        <f>IF(INDEX(Transactions!$J:$J,ROW()-8)="","",INDEX(Transactions!$J:$J,ROW()-8))</f>
      </c>
      <c r="B648" s="297">
        <f>IF($A648="",TODAY(),INDEX(Transactions!$G:$G,ROW()-8))</f>
      </c>
      <c r="C648">
        <f>IF($A648="","",INDEX(Transactions!$A:$A,ROW()-8))</f>
      </c>
      <c r="D648" s="30">
        <f>IF($A648="",0,INDEX(Transactions!$H:$H,ROW()-8))</f>
      </c>
      <c r="E648">
        <f>IF($A648="",1,INDEX(Transactions!$N:$N,ROW()-8))</f>
        <v>1</v>
      </c>
      <c r="F648" s="30">
        <f>IF($A648="",0,INDEX(Transactions!$O:$O,ROW()-8))</f>
      </c>
      <c r="G648" s="30">
        <f>IF($A648="",0,INDEX(Transactions!$P:$P,ROW()-8))</f>
      </c>
    </row>
    <row r="649" spans="1:7" ht="15" customHeight="1" x14ac:dyDescent="0.15">
      <c r="A649">
        <f>IF(INDEX(Transactions!$J:$J,ROW()-8)="","",INDEX(Transactions!$J:$J,ROW()-8))</f>
      </c>
      <c r="B649" s="297">
        <f>IF($A649="",TODAY(),INDEX(Transactions!$G:$G,ROW()-8))</f>
      </c>
      <c r="C649">
        <f>IF($A649="","",INDEX(Transactions!$A:$A,ROW()-8))</f>
      </c>
      <c r="D649" s="30">
        <f>IF($A649="",0,INDEX(Transactions!$H:$H,ROW()-8))</f>
      </c>
      <c r="E649">
        <f>IF($A649="",1,INDEX(Transactions!$N:$N,ROW()-8))</f>
        <v>1</v>
      </c>
      <c r="F649" s="30">
        <f>IF($A649="",0,INDEX(Transactions!$O:$O,ROW()-8))</f>
      </c>
      <c r="G649" s="30">
        <f>IF($A649="",0,INDEX(Transactions!$P:$P,ROW()-8))</f>
      </c>
    </row>
    <row r="650" spans="1:7" ht="15" customHeight="1" x14ac:dyDescent="0.15">
      <c r="A650">
        <f>IF(INDEX(Transactions!$J:$J,ROW()-8)="","",INDEX(Transactions!$J:$J,ROW()-8))</f>
      </c>
      <c r="B650" s="297">
        <f>IF($A650="",TODAY(),INDEX(Transactions!$G:$G,ROW()-8))</f>
      </c>
      <c r="C650">
        <f>IF($A650="","",INDEX(Transactions!$A:$A,ROW()-8))</f>
      </c>
      <c r="D650" s="30">
        <f>IF($A650="",0,INDEX(Transactions!$H:$H,ROW()-8))</f>
      </c>
      <c r="E650">
        <f>IF($A650="",1,INDEX(Transactions!$N:$N,ROW()-8))</f>
        <v>1</v>
      </c>
      <c r="F650" s="30">
        <f>IF($A650="",0,INDEX(Transactions!$O:$O,ROW()-8))</f>
      </c>
      <c r="G650" s="30">
        <f>IF($A650="",0,INDEX(Transactions!$P:$P,ROW()-8))</f>
      </c>
    </row>
    <row r="651" spans="1:7" ht="15" customHeight="1" x14ac:dyDescent="0.15">
      <c r="A651">
        <f>IF(INDEX(Transactions!$J:$J,ROW()-8)="","",INDEX(Transactions!$J:$J,ROW()-8))</f>
      </c>
      <c r="B651" s="297">
        <f>IF($A651="",TODAY(),INDEX(Transactions!$G:$G,ROW()-8))</f>
      </c>
      <c r="C651">
        <f>IF($A651="","",INDEX(Transactions!$A:$A,ROW()-8))</f>
      </c>
      <c r="D651" s="30">
        <f>IF($A651="",0,INDEX(Transactions!$H:$H,ROW()-8))</f>
      </c>
      <c r="E651">
        <f>IF($A651="",1,INDEX(Transactions!$N:$N,ROW()-8))</f>
        <v>1</v>
      </c>
      <c r="F651" s="30">
        <f>IF($A651="",0,INDEX(Transactions!$O:$O,ROW()-8))</f>
      </c>
      <c r="G651" s="30">
        <f>IF($A651="",0,INDEX(Transactions!$P:$P,ROW()-8))</f>
      </c>
    </row>
    <row r="652" spans="1:7" ht="15" customHeight="1" x14ac:dyDescent="0.15">
      <c r="A652">
        <f>IF(INDEX(Transactions!$J:$J,ROW()-8)="","",INDEX(Transactions!$J:$J,ROW()-8))</f>
      </c>
      <c r="B652" s="297">
        <f>IF($A652="",TODAY(),INDEX(Transactions!$G:$G,ROW()-8))</f>
      </c>
      <c r="C652">
        <f>IF($A652="","",INDEX(Transactions!$A:$A,ROW()-8))</f>
      </c>
      <c r="D652" s="30">
        <f>IF($A652="",0,INDEX(Transactions!$H:$H,ROW()-8))</f>
      </c>
      <c r="E652">
        <f>IF($A652="",1,INDEX(Transactions!$N:$N,ROW()-8))</f>
        <v>1</v>
      </c>
      <c r="F652" s="30">
        <f>IF($A652="",0,INDEX(Transactions!$O:$O,ROW()-8))</f>
      </c>
      <c r="G652" s="30">
        <f>IF($A652="",0,INDEX(Transactions!$P:$P,ROW()-8))</f>
      </c>
    </row>
    <row r="653" spans="1:7" ht="15" customHeight="1" x14ac:dyDescent="0.15">
      <c r="A653">
        <f>IF(INDEX(Transactions!$J:$J,ROW()-8)="","",INDEX(Transactions!$J:$J,ROW()-8))</f>
      </c>
      <c r="B653" s="297">
        <f>IF($A653="",TODAY(),INDEX(Transactions!$G:$G,ROW()-8))</f>
      </c>
      <c r="C653">
        <f>IF($A653="","",INDEX(Transactions!$A:$A,ROW()-8))</f>
      </c>
      <c r="D653" s="30">
        <f>IF($A653="",0,INDEX(Transactions!$H:$H,ROW()-8))</f>
      </c>
      <c r="E653">
        <f>IF($A653="",1,INDEX(Transactions!$N:$N,ROW()-8))</f>
        <v>1</v>
      </c>
      <c r="F653" s="30">
        <f>IF($A653="",0,INDEX(Transactions!$O:$O,ROW()-8))</f>
      </c>
      <c r="G653" s="30">
        <f>IF($A653="",0,INDEX(Transactions!$P:$P,ROW()-8))</f>
      </c>
    </row>
    <row r="654" spans="1:7" ht="15" customHeight="1" x14ac:dyDescent="0.15">
      <c r="A654">
        <f>IF(INDEX(Transactions!$J:$J,ROW()-8)="","",INDEX(Transactions!$J:$J,ROW()-8))</f>
      </c>
      <c r="B654" s="297">
        <f>IF($A654="",TODAY(),INDEX(Transactions!$G:$G,ROW()-8))</f>
      </c>
      <c r="C654">
        <f>IF($A654="","",INDEX(Transactions!$A:$A,ROW()-8))</f>
      </c>
      <c r="D654" s="30">
        <f>IF($A654="",0,INDEX(Transactions!$H:$H,ROW()-8))</f>
      </c>
      <c r="E654">
        <f>IF($A654="",1,INDEX(Transactions!$N:$N,ROW()-8))</f>
        <v>1</v>
      </c>
      <c r="F654" s="30">
        <f>IF($A654="",0,INDEX(Transactions!$O:$O,ROW()-8))</f>
      </c>
      <c r="G654" s="30">
        <f>IF($A654="",0,INDEX(Transactions!$P:$P,ROW()-8))</f>
      </c>
    </row>
    <row r="655" spans="1:7" ht="15" customHeight="1" x14ac:dyDescent="0.15">
      <c r="A655">
        <f>IF(INDEX(Transactions!$J:$J,ROW()-8)="","",INDEX(Transactions!$J:$J,ROW()-8))</f>
      </c>
      <c r="B655" s="297">
        <f>IF($A655="",TODAY(),INDEX(Transactions!$G:$G,ROW()-8))</f>
      </c>
      <c r="C655">
        <f>IF($A655="","",INDEX(Transactions!$A:$A,ROW()-8))</f>
      </c>
      <c r="D655" s="30">
        <f>IF($A655="",0,INDEX(Transactions!$H:$H,ROW()-8))</f>
      </c>
      <c r="E655">
        <f>IF($A655="",1,INDEX(Transactions!$N:$N,ROW()-8))</f>
        <v>1</v>
      </c>
      <c r="F655" s="30">
        <f>IF($A655="",0,INDEX(Transactions!$O:$O,ROW()-8))</f>
      </c>
      <c r="G655" s="30">
        <f>IF($A655="",0,INDEX(Transactions!$P:$P,ROW()-8))</f>
      </c>
    </row>
    <row r="656" spans="1:7" ht="15" customHeight="1" x14ac:dyDescent="0.15">
      <c r="A656">
        <f>IF(INDEX(Transactions!$J:$J,ROW()-8)="","",INDEX(Transactions!$J:$J,ROW()-8))</f>
      </c>
      <c r="B656" s="297">
        <f>IF($A656="",TODAY(),INDEX(Transactions!$G:$G,ROW()-8))</f>
      </c>
      <c r="C656">
        <f>IF($A656="","",INDEX(Transactions!$A:$A,ROW()-8))</f>
      </c>
      <c r="D656" s="30">
        <f>IF($A656="",0,INDEX(Transactions!$H:$H,ROW()-8))</f>
      </c>
      <c r="E656">
        <f>IF($A656="",1,INDEX(Transactions!$N:$N,ROW()-8))</f>
        <v>1</v>
      </c>
      <c r="F656" s="30">
        <f>IF($A656="",0,INDEX(Transactions!$O:$O,ROW()-8))</f>
      </c>
      <c r="G656" s="30">
        <f>IF($A656="",0,INDEX(Transactions!$P:$P,ROW()-8))</f>
      </c>
    </row>
    <row r="657" spans="1:7" ht="15" customHeight="1" x14ac:dyDescent="0.15">
      <c r="A657">
        <f>IF(INDEX(Transactions!$J:$J,ROW()-8)="","",INDEX(Transactions!$J:$J,ROW()-8))</f>
      </c>
      <c r="B657" s="297">
        <f>IF($A657="",TODAY(),INDEX(Transactions!$G:$G,ROW()-8))</f>
      </c>
      <c r="C657">
        <f>IF($A657="","",INDEX(Transactions!$A:$A,ROW()-8))</f>
      </c>
      <c r="D657" s="30">
        <f>IF($A657="",0,INDEX(Transactions!$H:$H,ROW()-8))</f>
      </c>
      <c r="E657">
        <f>IF($A657="",1,INDEX(Transactions!$N:$N,ROW()-8))</f>
        <v>1</v>
      </c>
      <c r="F657" s="30">
        <f>IF($A657="",0,INDEX(Transactions!$O:$O,ROW()-8))</f>
      </c>
      <c r="G657" s="30">
        <f>IF($A657="",0,INDEX(Transactions!$P:$P,ROW()-8))</f>
      </c>
    </row>
    <row r="658" spans="1:7" ht="15" customHeight="1" x14ac:dyDescent="0.15">
      <c r="A658">
        <f>IF(INDEX(Transactions!$J:$J,ROW()-8)="","",INDEX(Transactions!$J:$J,ROW()-8))</f>
      </c>
      <c r="B658" s="297">
        <f>IF($A658="",TODAY(),INDEX(Transactions!$G:$G,ROW()-8))</f>
      </c>
      <c r="C658">
        <f>IF($A658="","",INDEX(Transactions!$A:$A,ROW()-8))</f>
      </c>
      <c r="D658" s="30">
        <f>IF($A658="",0,INDEX(Transactions!$H:$H,ROW()-8))</f>
      </c>
      <c r="E658">
        <f>IF($A658="",1,INDEX(Transactions!$N:$N,ROW()-8))</f>
        <v>1</v>
      </c>
      <c r="F658" s="30">
        <f>IF($A658="",0,INDEX(Transactions!$O:$O,ROW()-8))</f>
      </c>
      <c r="G658" s="30">
        <f>IF($A658="",0,INDEX(Transactions!$P:$P,ROW()-8))</f>
      </c>
    </row>
    <row r="659" spans="1:7" ht="15" customHeight="1" x14ac:dyDescent="0.15">
      <c r="A659">
        <f>IF(INDEX(Transactions!$J:$J,ROW()-8)="","",INDEX(Transactions!$J:$J,ROW()-8))</f>
      </c>
      <c r="B659" s="297">
        <f>IF($A659="",TODAY(),INDEX(Transactions!$G:$G,ROW()-8))</f>
      </c>
      <c r="C659">
        <f>IF($A659="","",INDEX(Transactions!$A:$A,ROW()-8))</f>
      </c>
      <c r="D659" s="30">
        <f>IF($A659="",0,INDEX(Transactions!$H:$H,ROW()-8))</f>
      </c>
      <c r="E659">
        <f>IF($A659="",1,INDEX(Transactions!$N:$N,ROW()-8))</f>
        <v>1</v>
      </c>
      <c r="F659" s="30">
        <f>IF($A659="",0,INDEX(Transactions!$O:$O,ROW()-8))</f>
      </c>
      <c r="G659" s="30">
        <f>IF($A659="",0,INDEX(Transactions!$P:$P,ROW()-8))</f>
      </c>
    </row>
    <row r="660" spans="1:7" ht="15" customHeight="1" x14ac:dyDescent="0.15">
      <c r="A660">
        <f>IF(INDEX(Transactions!$J:$J,ROW()-8)="","",INDEX(Transactions!$J:$J,ROW()-8))</f>
      </c>
      <c r="B660" s="297">
        <f>IF($A660="",TODAY(),INDEX(Transactions!$G:$G,ROW()-8))</f>
      </c>
      <c r="C660">
        <f>IF($A660="","",INDEX(Transactions!$A:$A,ROW()-8))</f>
      </c>
      <c r="D660" s="30">
        <f>IF($A660="",0,INDEX(Transactions!$H:$H,ROW()-8))</f>
      </c>
      <c r="E660">
        <f>IF($A660="",1,INDEX(Transactions!$N:$N,ROW()-8))</f>
        <v>1</v>
      </c>
      <c r="F660" s="30">
        <f>IF($A660="",0,INDEX(Transactions!$O:$O,ROW()-8))</f>
      </c>
      <c r="G660" s="30">
        <f>IF($A660="",0,INDEX(Transactions!$P:$P,ROW()-8))</f>
      </c>
    </row>
    <row r="661" spans="1:7" ht="15" customHeight="1" x14ac:dyDescent="0.15">
      <c r="A661">
        <f>IF(INDEX(Transactions!$J:$J,ROW()-8)="","",INDEX(Transactions!$J:$J,ROW()-8))</f>
      </c>
      <c r="B661" s="297">
        <f>IF($A661="",TODAY(),INDEX(Transactions!$G:$G,ROW()-8))</f>
      </c>
      <c r="C661">
        <f>IF($A661="","",INDEX(Transactions!$A:$A,ROW()-8))</f>
      </c>
      <c r="D661" s="30">
        <f>IF($A661="",0,INDEX(Transactions!$H:$H,ROW()-8))</f>
      </c>
      <c r="E661">
        <f>IF($A661="",1,INDEX(Transactions!$N:$N,ROW()-8))</f>
        <v>1</v>
      </c>
      <c r="F661" s="30">
        <f>IF($A661="",0,INDEX(Transactions!$O:$O,ROW()-8))</f>
      </c>
      <c r="G661" s="30">
        <f>IF($A661="",0,INDEX(Transactions!$P:$P,ROW()-8))</f>
      </c>
    </row>
    <row r="662" spans="1:7" ht="15" customHeight="1" x14ac:dyDescent="0.15">
      <c r="A662">
        <f>IF(INDEX(Transactions!$J:$J,ROW()-8)="","",INDEX(Transactions!$J:$J,ROW()-8))</f>
      </c>
      <c r="B662" s="297">
        <f>IF($A662="",TODAY(),INDEX(Transactions!$G:$G,ROW()-8))</f>
      </c>
      <c r="C662">
        <f>IF($A662="","",INDEX(Transactions!$A:$A,ROW()-8))</f>
      </c>
      <c r="D662" s="30">
        <f>IF($A662="",0,INDEX(Transactions!$H:$H,ROW()-8))</f>
      </c>
      <c r="E662">
        <f>IF($A662="",1,INDEX(Transactions!$N:$N,ROW()-8))</f>
        <v>1</v>
      </c>
      <c r="F662" s="30">
        <f>IF($A662="",0,INDEX(Transactions!$O:$O,ROW()-8))</f>
      </c>
      <c r="G662" s="30">
        <f>IF($A662="",0,INDEX(Transactions!$P:$P,ROW()-8))</f>
      </c>
    </row>
    <row r="663" spans="1:7" ht="15" customHeight="1" x14ac:dyDescent="0.15">
      <c r="A663">
        <f>IF(INDEX(Transactions!$J:$J,ROW()-8)="","",INDEX(Transactions!$J:$J,ROW()-8))</f>
      </c>
      <c r="B663" s="297">
        <f>IF($A663="",TODAY(),INDEX(Transactions!$G:$G,ROW()-8))</f>
      </c>
      <c r="C663">
        <f>IF($A663="","",INDEX(Transactions!$A:$A,ROW()-8))</f>
      </c>
      <c r="D663" s="30">
        <f>IF($A663="",0,INDEX(Transactions!$H:$H,ROW()-8))</f>
      </c>
      <c r="E663">
        <f>IF($A663="",1,INDEX(Transactions!$N:$N,ROW()-8))</f>
        <v>1</v>
      </c>
      <c r="F663" s="30">
        <f>IF($A663="",0,INDEX(Transactions!$O:$O,ROW()-8))</f>
      </c>
      <c r="G663" s="30">
        <f>IF($A663="",0,INDEX(Transactions!$P:$P,ROW()-8))</f>
      </c>
    </row>
    <row r="664" spans="1:7" ht="15" customHeight="1" x14ac:dyDescent="0.15">
      <c r="A664">
        <f>IF(INDEX(Transactions!$J:$J,ROW()-8)="","",INDEX(Transactions!$J:$J,ROW()-8))</f>
      </c>
      <c r="B664" s="297">
        <f>IF($A664="",TODAY(),INDEX(Transactions!$G:$G,ROW()-8))</f>
      </c>
      <c r="C664">
        <f>IF($A664="","",INDEX(Transactions!$A:$A,ROW()-8))</f>
      </c>
      <c r="D664" s="30">
        <f>IF($A664="",0,INDEX(Transactions!$H:$H,ROW()-8))</f>
      </c>
      <c r="E664">
        <f>IF($A664="",1,INDEX(Transactions!$N:$N,ROW()-8))</f>
        <v>1</v>
      </c>
      <c r="F664" s="30">
        <f>IF($A664="",0,INDEX(Transactions!$O:$O,ROW()-8))</f>
      </c>
      <c r="G664" s="30">
        <f>IF($A664="",0,INDEX(Transactions!$P:$P,ROW()-8))</f>
      </c>
    </row>
    <row r="665" spans="1:7" ht="15" customHeight="1" x14ac:dyDescent="0.15">
      <c r="A665">
        <f>IF(INDEX(Transactions!$J:$J,ROW()-8)="","",INDEX(Transactions!$J:$J,ROW()-8))</f>
      </c>
      <c r="B665" s="297">
        <f>IF($A665="",TODAY(),INDEX(Transactions!$G:$G,ROW()-8))</f>
      </c>
      <c r="C665">
        <f>IF($A665="","",INDEX(Transactions!$A:$A,ROW()-8))</f>
      </c>
      <c r="D665" s="30">
        <f>IF($A665="",0,INDEX(Transactions!$H:$H,ROW()-8))</f>
      </c>
      <c r="E665">
        <f>IF($A665="",1,INDEX(Transactions!$N:$N,ROW()-8))</f>
        <v>1</v>
      </c>
      <c r="F665" s="30">
        <f>IF($A665="",0,INDEX(Transactions!$O:$O,ROW()-8))</f>
      </c>
      <c r="G665" s="30">
        <f>IF($A665="",0,INDEX(Transactions!$P:$P,ROW()-8))</f>
      </c>
    </row>
    <row r="666" spans="1:7" ht="15" customHeight="1" x14ac:dyDescent="0.15">
      <c r="A666">
        <f>IF(INDEX(Transactions!$J:$J,ROW()-8)="","",INDEX(Transactions!$J:$J,ROW()-8))</f>
      </c>
      <c r="B666" s="297">
        <f>IF($A666="",TODAY(),INDEX(Transactions!$G:$G,ROW()-8))</f>
      </c>
      <c r="C666">
        <f>IF($A666="","",INDEX(Transactions!$A:$A,ROW()-8))</f>
      </c>
      <c r="D666" s="30">
        <f>IF($A666="",0,INDEX(Transactions!$H:$H,ROW()-8))</f>
      </c>
      <c r="E666">
        <f>IF($A666="",1,INDEX(Transactions!$N:$N,ROW()-8))</f>
        <v>1</v>
      </c>
      <c r="F666" s="30">
        <f>IF($A666="",0,INDEX(Transactions!$O:$O,ROW()-8))</f>
      </c>
      <c r="G666" s="30">
        <f>IF($A666="",0,INDEX(Transactions!$P:$P,ROW()-8))</f>
      </c>
    </row>
    <row r="667" spans="1:7" ht="15" customHeight="1" x14ac:dyDescent="0.15">
      <c r="A667">
        <f>IF(INDEX(Transactions!$J:$J,ROW()-8)="","",INDEX(Transactions!$J:$J,ROW()-8))</f>
      </c>
      <c r="B667" s="297">
        <f>IF($A667="",TODAY(),INDEX(Transactions!$G:$G,ROW()-8))</f>
      </c>
      <c r="C667">
        <f>IF($A667="","",INDEX(Transactions!$A:$A,ROW()-8))</f>
      </c>
      <c r="D667" s="30">
        <f>IF($A667="",0,INDEX(Transactions!$H:$H,ROW()-8))</f>
      </c>
      <c r="E667">
        <f>IF($A667="",1,INDEX(Transactions!$N:$N,ROW()-8))</f>
        <v>1</v>
      </c>
      <c r="F667" s="30">
        <f>IF($A667="",0,INDEX(Transactions!$O:$O,ROW()-8))</f>
      </c>
      <c r="G667" s="30">
        <f>IF($A667="",0,INDEX(Transactions!$P:$P,ROW()-8))</f>
      </c>
    </row>
    <row r="668" spans="1:7" ht="15" customHeight="1" x14ac:dyDescent="0.15">
      <c r="A668">
        <f>IF(INDEX(Transactions!$J:$J,ROW()-8)="","",INDEX(Transactions!$J:$J,ROW()-8))</f>
      </c>
      <c r="B668" s="297">
        <f>IF($A668="",TODAY(),INDEX(Transactions!$G:$G,ROW()-8))</f>
      </c>
      <c r="C668">
        <f>IF($A668="","",INDEX(Transactions!$A:$A,ROW()-8))</f>
      </c>
      <c r="D668" s="30">
        <f>IF($A668="",0,INDEX(Transactions!$H:$H,ROW()-8))</f>
      </c>
      <c r="E668">
        <f>IF($A668="",1,INDEX(Transactions!$N:$N,ROW()-8))</f>
        <v>1</v>
      </c>
      <c r="F668" s="30">
        <f>IF($A668="",0,INDEX(Transactions!$O:$O,ROW()-8))</f>
      </c>
      <c r="G668" s="30">
        <f>IF($A668="",0,INDEX(Transactions!$P:$P,ROW()-8))</f>
      </c>
    </row>
    <row r="669" spans="1:7" ht="15" customHeight="1" x14ac:dyDescent="0.15">
      <c r="A669">
        <f>IF(INDEX(Transactions!$J:$J,ROW()-8)="","",INDEX(Transactions!$J:$J,ROW()-8))</f>
      </c>
      <c r="B669" s="297">
        <f>IF($A669="",TODAY(),INDEX(Transactions!$G:$G,ROW()-8))</f>
      </c>
      <c r="C669">
        <f>IF($A669="","",INDEX(Transactions!$A:$A,ROW()-8))</f>
      </c>
      <c r="D669" s="30">
        <f>IF($A669="",0,INDEX(Transactions!$H:$H,ROW()-8))</f>
      </c>
      <c r="E669">
        <f>IF($A669="",1,INDEX(Transactions!$N:$N,ROW()-8))</f>
        <v>1</v>
      </c>
      <c r="F669" s="30">
        <f>IF($A669="",0,INDEX(Transactions!$O:$O,ROW()-8))</f>
      </c>
      <c r="G669" s="30">
        <f>IF($A669="",0,INDEX(Transactions!$P:$P,ROW()-8))</f>
      </c>
    </row>
    <row r="670" spans="1:7" ht="15" customHeight="1" x14ac:dyDescent="0.15">
      <c r="A670">
        <f>IF(INDEX(Transactions!$J:$J,ROW()-8)="","",INDEX(Transactions!$J:$J,ROW()-8))</f>
      </c>
      <c r="B670" s="297">
        <f>IF($A670="",TODAY(),INDEX(Transactions!$G:$G,ROW()-8))</f>
      </c>
      <c r="C670">
        <f>IF($A670="","",INDEX(Transactions!$A:$A,ROW()-8))</f>
      </c>
      <c r="D670" s="30">
        <f>IF($A670="",0,INDEX(Transactions!$H:$H,ROW()-8))</f>
      </c>
      <c r="E670">
        <f>IF($A670="",1,INDEX(Transactions!$N:$N,ROW()-8))</f>
        <v>1</v>
      </c>
      <c r="F670" s="30">
        <f>IF($A670="",0,INDEX(Transactions!$O:$O,ROW()-8))</f>
      </c>
      <c r="G670" s="30">
        <f>IF($A670="",0,INDEX(Transactions!$P:$P,ROW()-8))</f>
      </c>
    </row>
    <row r="671" spans="1:7" ht="15" customHeight="1" x14ac:dyDescent="0.15">
      <c r="A671">
        <f>IF(INDEX(Transactions!$J:$J,ROW()-8)="","",INDEX(Transactions!$J:$J,ROW()-8))</f>
      </c>
      <c r="B671" s="297">
        <f>IF($A671="",TODAY(),INDEX(Transactions!$G:$G,ROW()-8))</f>
      </c>
      <c r="C671">
        <f>IF($A671="","",INDEX(Transactions!$A:$A,ROW()-8))</f>
      </c>
      <c r="D671" s="30">
        <f>IF($A671="",0,INDEX(Transactions!$H:$H,ROW()-8))</f>
      </c>
      <c r="E671">
        <f>IF($A671="",1,INDEX(Transactions!$N:$N,ROW()-8))</f>
        <v>1</v>
      </c>
      <c r="F671" s="30">
        <f>IF($A671="",0,INDEX(Transactions!$O:$O,ROW()-8))</f>
      </c>
      <c r="G671" s="30">
        <f>IF($A671="",0,INDEX(Transactions!$P:$P,ROW()-8))</f>
      </c>
    </row>
    <row r="672" spans="1:7" ht="15" customHeight="1" x14ac:dyDescent="0.15">
      <c r="A672">
        <f>IF(INDEX(Transactions!$J:$J,ROW()-8)="","",INDEX(Transactions!$J:$J,ROW()-8))</f>
      </c>
      <c r="B672" s="297">
        <f>IF($A672="",TODAY(),INDEX(Transactions!$G:$G,ROW()-8))</f>
      </c>
      <c r="C672">
        <f>IF($A672="","",INDEX(Transactions!$A:$A,ROW()-8))</f>
      </c>
      <c r="D672" s="30">
        <f>IF($A672="",0,INDEX(Transactions!$H:$H,ROW()-8))</f>
      </c>
      <c r="E672">
        <f>IF($A672="",1,INDEX(Transactions!$N:$N,ROW()-8))</f>
        <v>1</v>
      </c>
      <c r="F672" s="30">
        <f>IF($A672="",0,INDEX(Transactions!$O:$O,ROW()-8))</f>
      </c>
      <c r="G672" s="30">
        <f>IF($A672="",0,INDEX(Transactions!$P:$P,ROW()-8))</f>
      </c>
    </row>
    <row r="673" spans="1:7" ht="15" customHeight="1" x14ac:dyDescent="0.15">
      <c r="A673">
        <f>IF(INDEX(Transactions!$J:$J,ROW()-8)="","",INDEX(Transactions!$J:$J,ROW()-8))</f>
      </c>
      <c r="B673" s="297">
        <f>IF($A673="",TODAY(),INDEX(Transactions!$G:$G,ROW()-8))</f>
      </c>
      <c r="C673">
        <f>IF($A673="","",INDEX(Transactions!$A:$A,ROW()-8))</f>
      </c>
      <c r="D673" s="30">
        <f>IF($A673="",0,INDEX(Transactions!$H:$H,ROW()-8))</f>
      </c>
      <c r="E673">
        <f>IF($A673="",1,INDEX(Transactions!$N:$N,ROW()-8))</f>
        <v>1</v>
      </c>
      <c r="F673" s="30">
        <f>IF($A673="",0,INDEX(Transactions!$O:$O,ROW()-8))</f>
      </c>
      <c r="G673" s="30">
        <f>IF($A673="",0,INDEX(Transactions!$P:$P,ROW()-8))</f>
      </c>
    </row>
    <row r="674" spans="1:7" ht="15" customHeight="1" x14ac:dyDescent="0.15">
      <c r="A674">
        <f>IF(INDEX(Transactions!$J:$J,ROW()-8)="","",INDEX(Transactions!$J:$J,ROW()-8))</f>
      </c>
      <c r="B674" s="297">
        <f>IF($A674="",TODAY(),INDEX(Transactions!$G:$G,ROW()-8))</f>
      </c>
      <c r="C674">
        <f>IF($A674="","",INDEX(Transactions!$A:$A,ROW()-8))</f>
      </c>
      <c r="D674" s="30">
        <f>IF($A674="",0,INDEX(Transactions!$H:$H,ROW()-8))</f>
      </c>
      <c r="E674">
        <f>IF($A674="",1,INDEX(Transactions!$N:$N,ROW()-8))</f>
        <v>1</v>
      </c>
      <c r="F674" s="30">
        <f>IF($A674="",0,INDEX(Transactions!$O:$O,ROW()-8))</f>
      </c>
      <c r="G674" s="30">
        <f>IF($A674="",0,INDEX(Transactions!$P:$P,ROW()-8))</f>
      </c>
    </row>
    <row r="675" spans="1:7" ht="15" customHeight="1" x14ac:dyDescent="0.15">
      <c r="A675">
        <f>IF(INDEX(Transactions!$J:$J,ROW()-8)="","",INDEX(Transactions!$J:$J,ROW()-8))</f>
      </c>
      <c r="B675" s="297">
        <f>IF($A675="",TODAY(),INDEX(Transactions!$G:$G,ROW()-8))</f>
      </c>
      <c r="C675">
        <f>IF($A675="","",INDEX(Transactions!$A:$A,ROW()-8))</f>
      </c>
      <c r="D675" s="30">
        <f>IF($A675="",0,INDEX(Transactions!$H:$H,ROW()-8))</f>
      </c>
      <c r="E675">
        <f>IF($A675="",1,INDEX(Transactions!$N:$N,ROW()-8))</f>
        <v>1</v>
      </c>
      <c r="F675" s="30">
        <f>IF($A675="",0,INDEX(Transactions!$O:$O,ROW()-8))</f>
      </c>
      <c r="G675" s="30">
        <f>IF($A675="",0,INDEX(Transactions!$P:$P,ROW()-8))</f>
      </c>
    </row>
    <row r="676" spans="1:7" ht="15" customHeight="1" x14ac:dyDescent="0.15">
      <c r="A676">
        <f>IF(INDEX(Transactions!$J:$J,ROW()-8)="","",INDEX(Transactions!$J:$J,ROW()-8))</f>
      </c>
      <c r="B676" s="297">
        <f>IF($A676="",TODAY(),INDEX(Transactions!$G:$G,ROW()-8))</f>
      </c>
      <c r="C676">
        <f>IF($A676="","",INDEX(Transactions!$A:$A,ROW()-8))</f>
      </c>
      <c r="D676" s="30">
        <f>IF($A676="",0,INDEX(Transactions!$H:$H,ROW()-8))</f>
      </c>
      <c r="E676">
        <f>IF($A676="",1,INDEX(Transactions!$N:$N,ROW()-8))</f>
        <v>1</v>
      </c>
      <c r="F676" s="30">
        <f>IF($A676="",0,INDEX(Transactions!$O:$O,ROW()-8))</f>
      </c>
      <c r="G676" s="30">
        <f>IF($A676="",0,INDEX(Transactions!$P:$P,ROW()-8))</f>
      </c>
    </row>
    <row r="677" spans="1:7" ht="15" customHeight="1" x14ac:dyDescent="0.15">
      <c r="A677">
        <f>IF(INDEX(Transactions!$J:$J,ROW()-8)="","",INDEX(Transactions!$J:$J,ROW()-8))</f>
      </c>
      <c r="B677" s="297">
        <f>IF($A677="",TODAY(),INDEX(Transactions!$G:$G,ROW()-8))</f>
      </c>
      <c r="C677">
        <f>IF($A677="","",INDEX(Transactions!$A:$A,ROW()-8))</f>
      </c>
      <c r="D677" s="30">
        <f>IF($A677="",0,INDEX(Transactions!$H:$H,ROW()-8))</f>
      </c>
      <c r="E677">
        <f>IF($A677="",1,INDEX(Transactions!$N:$N,ROW()-8))</f>
        <v>1</v>
      </c>
      <c r="F677" s="30">
        <f>IF($A677="",0,INDEX(Transactions!$O:$O,ROW()-8))</f>
      </c>
      <c r="G677" s="30">
        <f>IF($A677="",0,INDEX(Transactions!$P:$P,ROW()-8))</f>
      </c>
    </row>
    <row r="678" spans="1:7" ht="15" customHeight="1" x14ac:dyDescent="0.15">
      <c r="A678">
        <f>IF(INDEX(Transactions!$J:$J,ROW()-8)="","",INDEX(Transactions!$J:$J,ROW()-8))</f>
      </c>
      <c r="B678" s="297">
        <f>IF($A678="",TODAY(),INDEX(Transactions!$G:$G,ROW()-8))</f>
      </c>
      <c r="C678">
        <f>IF($A678="","",INDEX(Transactions!$A:$A,ROW()-8))</f>
      </c>
      <c r="D678" s="30">
        <f>IF($A678="",0,INDEX(Transactions!$H:$H,ROW()-8))</f>
      </c>
      <c r="E678">
        <f>IF($A678="",1,INDEX(Transactions!$N:$N,ROW()-8))</f>
        <v>1</v>
      </c>
      <c r="F678" s="30">
        <f>IF($A678="",0,INDEX(Transactions!$O:$O,ROW()-8))</f>
      </c>
      <c r="G678" s="30">
        <f>IF($A678="",0,INDEX(Transactions!$P:$P,ROW()-8))</f>
      </c>
    </row>
    <row r="679" spans="1:7" ht="15" customHeight="1" x14ac:dyDescent="0.15">
      <c r="A679">
        <f>IF(INDEX(Transactions!$J:$J,ROW()-8)="","",INDEX(Transactions!$J:$J,ROW()-8))</f>
      </c>
      <c r="B679" s="297">
        <f>IF($A679="",TODAY(),INDEX(Transactions!$G:$G,ROW()-8))</f>
      </c>
      <c r="C679">
        <f>IF($A679="","",INDEX(Transactions!$A:$A,ROW()-8))</f>
      </c>
      <c r="D679" s="30">
        <f>IF($A679="",0,INDEX(Transactions!$H:$H,ROW()-8))</f>
      </c>
      <c r="E679">
        <f>IF($A679="",1,INDEX(Transactions!$N:$N,ROW()-8))</f>
        <v>1</v>
      </c>
      <c r="F679" s="30">
        <f>IF($A679="",0,INDEX(Transactions!$O:$O,ROW()-8))</f>
      </c>
      <c r="G679" s="30">
        <f>IF($A679="",0,INDEX(Transactions!$P:$P,ROW()-8))</f>
      </c>
    </row>
    <row r="680" spans="1:7" ht="15" customHeight="1" x14ac:dyDescent="0.15">
      <c r="A680">
        <f>IF(INDEX(Transactions!$J:$J,ROW()-8)="","",INDEX(Transactions!$J:$J,ROW()-8))</f>
      </c>
      <c r="B680" s="297">
        <f>IF($A680="",TODAY(),INDEX(Transactions!$G:$G,ROW()-8))</f>
      </c>
      <c r="C680">
        <f>IF($A680="","",INDEX(Transactions!$A:$A,ROW()-8))</f>
      </c>
      <c r="D680" s="30">
        <f>IF($A680="",0,INDEX(Transactions!$H:$H,ROW()-8))</f>
      </c>
      <c r="E680">
        <f>IF($A680="",1,INDEX(Transactions!$N:$N,ROW()-8))</f>
        <v>1</v>
      </c>
      <c r="F680" s="30">
        <f>IF($A680="",0,INDEX(Transactions!$O:$O,ROW()-8))</f>
      </c>
      <c r="G680" s="30">
        <f>IF($A680="",0,INDEX(Transactions!$P:$P,ROW()-8))</f>
      </c>
    </row>
    <row r="681" spans="1:7" ht="15" customHeight="1" x14ac:dyDescent="0.15">
      <c r="A681">
        <f>IF(INDEX(Transactions!$J:$J,ROW()-8)="","",INDEX(Transactions!$J:$J,ROW()-8))</f>
      </c>
      <c r="B681" s="297">
        <f>IF($A681="",TODAY(),INDEX(Transactions!$G:$G,ROW()-8))</f>
      </c>
      <c r="C681">
        <f>IF($A681="","",INDEX(Transactions!$A:$A,ROW()-8))</f>
      </c>
      <c r="D681" s="30">
        <f>IF($A681="",0,INDEX(Transactions!$H:$H,ROW()-8))</f>
      </c>
      <c r="E681">
        <f>IF($A681="",1,INDEX(Transactions!$N:$N,ROW()-8))</f>
        <v>1</v>
      </c>
      <c r="F681" s="30">
        <f>IF($A681="",0,INDEX(Transactions!$O:$O,ROW()-8))</f>
      </c>
      <c r="G681" s="30">
        <f>IF($A681="",0,INDEX(Transactions!$P:$P,ROW()-8))</f>
      </c>
    </row>
    <row r="682" spans="1:7" ht="15" customHeight="1" x14ac:dyDescent="0.15">
      <c r="A682">
        <f>IF(INDEX(Transactions!$J:$J,ROW()-8)="","",INDEX(Transactions!$J:$J,ROW()-8))</f>
      </c>
      <c r="B682" s="297">
        <f>IF($A682="",TODAY(),INDEX(Transactions!$G:$G,ROW()-8))</f>
      </c>
      <c r="C682">
        <f>IF($A682="","",INDEX(Transactions!$A:$A,ROW()-8))</f>
      </c>
      <c r="D682" s="30">
        <f>IF($A682="",0,INDEX(Transactions!$H:$H,ROW()-8))</f>
      </c>
      <c r="E682">
        <f>IF($A682="",1,INDEX(Transactions!$N:$N,ROW()-8))</f>
        <v>1</v>
      </c>
      <c r="F682" s="30">
        <f>IF($A682="",0,INDEX(Transactions!$O:$O,ROW()-8))</f>
      </c>
      <c r="G682" s="30">
        <f>IF($A682="",0,INDEX(Transactions!$P:$P,ROW()-8))</f>
      </c>
    </row>
    <row r="683" spans="1:7" ht="15" customHeight="1" x14ac:dyDescent="0.15">
      <c r="A683">
        <f>IF(INDEX(Transactions!$J:$J,ROW()-8)="","",INDEX(Transactions!$J:$J,ROW()-8))</f>
      </c>
      <c r="B683" s="297">
        <f>IF($A683="",TODAY(),INDEX(Transactions!$G:$G,ROW()-8))</f>
      </c>
      <c r="C683">
        <f>IF($A683="","",INDEX(Transactions!$A:$A,ROW()-8))</f>
      </c>
      <c r="D683" s="30">
        <f>IF($A683="",0,INDEX(Transactions!$H:$H,ROW()-8))</f>
      </c>
      <c r="E683">
        <f>IF($A683="",1,INDEX(Transactions!$N:$N,ROW()-8))</f>
        <v>1</v>
      </c>
      <c r="F683" s="30">
        <f>IF($A683="",0,INDEX(Transactions!$O:$O,ROW()-8))</f>
      </c>
      <c r="G683" s="30">
        <f>IF($A683="",0,INDEX(Transactions!$P:$P,ROW()-8))</f>
      </c>
    </row>
    <row r="684" spans="1:7" ht="15" customHeight="1" x14ac:dyDescent="0.15">
      <c r="A684">
        <f>IF(INDEX(Transactions!$J:$J,ROW()-8)="","",INDEX(Transactions!$J:$J,ROW()-8))</f>
      </c>
      <c r="B684" s="297">
        <f>IF($A684="",TODAY(),INDEX(Transactions!$G:$G,ROW()-8))</f>
      </c>
      <c r="C684">
        <f>IF($A684="","",INDEX(Transactions!$A:$A,ROW()-8))</f>
      </c>
      <c r="D684" s="30">
        <f>IF($A684="",0,INDEX(Transactions!$H:$H,ROW()-8))</f>
      </c>
      <c r="E684">
        <f>IF($A684="",1,INDEX(Transactions!$N:$N,ROW()-8))</f>
        <v>1</v>
      </c>
      <c r="F684" s="30">
        <f>IF($A684="",0,INDEX(Transactions!$O:$O,ROW()-8))</f>
      </c>
      <c r="G684" s="30">
        <f>IF($A684="",0,INDEX(Transactions!$P:$P,ROW()-8))</f>
      </c>
    </row>
    <row r="685" spans="1:7" ht="15" customHeight="1" x14ac:dyDescent="0.15">
      <c r="A685">
        <f>IF(INDEX(Transactions!$J:$J,ROW()-8)="","",INDEX(Transactions!$J:$J,ROW()-8))</f>
      </c>
      <c r="B685" s="297">
        <f>IF($A685="",TODAY(),INDEX(Transactions!$G:$G,ROW()-8))</f>
      </c>
      <c r="C685">
        <f>IF($A685="","",INDEX(Transactions!$A:$A,ROW()-8))</f>
      </c>
      <c r="D685" s="30">
        <f>IF($A685="",0,INDEX(Transactions!$H:$H,ROW()-8))</f>
      </c>
      <c r="E685">
        <f>IF($A685="",1,INDEX(Transactions!$N:$N,ROW()-8))</f>
        <v>1</v>
      </c>
      <c r="F685" s="30">
        <f>IF($A685="",0,INDEX(Transactions!$O:$O,ROW()-8))</f>
      </c>
      <c r="G685" s="30">
        <f>IF($A685="",0,INDEX(Transactions!$P:$P,ROW()-8))</f>
      </c>
    </row>
    <row r="686" spans="1:7" ht="15" customHeight="1" x14ac:dyDescent="0.15">
      <c r="A686">
        <f>IF(INDEX(Transactions!$J:$J,ROW()-8)="","",INDEX(Transactions!$J:$J,ROW()-8))</f>
      </c>
      <c r="B686" s="297">
        <f>IF($A686="",TODAY(),INDEX(Transactions!$G:$G,ROW()-8))</f>
      </c>
      <c r="C686">
        <f>IF($A686="","",INDEX(Transactions!$A:$A,ROW()-8))</f>
      </c>
      <c r="D686" s="30">
        <f>IF($A686="",0,INDEX(Transactions!$H:$H,ROW()-8))</f>
      </c>
      <c r="E686">
        <f>IF($A686="",1,INDEX(Transactions!$N:$N,ROW()-8))</f>
        <v>1</v>
      </c>
      <c r="F686" s="30">
        <f>IF($A686="",0,INDEX(Transactions!$O:$O,ROW()-8))</f>
      </c>
      <c r="G686" s="30">
        <f>IF($A686="",0,INDEX(Transactions!$P:$P,ROW()-8))</f>
      </c>
    </row>
    <row r="687" spans="1:7" ht="15" customHeight="1" x14ac:dyDescent="0.15">
      <c r="A687">
        <f>IF(INDEX(Transactions!$J:$J,ROW()-8)="","",INDEX(Transactions!$J:$J,ROW()-8))</f>
      </c>
      <c r="B687" s="297">
        <f>IF($A687="",TODAY(),INDEX(Transactions!$G:$G,ROW()-8))</f>
      </c>
      <c r="C687">
        <f>IF($A687="","",INDEX(Transactions!$A:$A,ROW()-8))</f>
      </c>
      <c r="D687" s="30">
        <f>IF($A687="",0,INDEX(Transactions!$H:$H,ROW()-8))</f>
      </c>
      <c r="E687">
        <f>IF($A687="",1,INDEX(Transactions!$N:$N,ROW()-8))</f>
        <v>1</v>
      </c>
      <c r="F687" s="30">
        <f>IF($A687="",0,INDEX(Transactions!$O:$O,ROW()-8))</f>
      </c>
      <c r="G687" s="30">
        <f>IF($A687="",0,INDEX(Transactions!$P:$P,ROW()-8))</f>
      </c>
    </row>
    <row r="688" spans="1:7" ht="15" customHeight="1" x14ac:dyDescent="0.15">
      <c r="A688">
        <f>IF(INDEX(Transactions!$J:$J,ROW()-8)="","",INDEX(Transactions!$J:$J,ROW()-8))</f>
      </c>
      <c r="B688" s="297">
        <f>IF($A688="",TODAY(),INDEX(Transactions!$G:$G,ROW()-8))</f>
      </c>
      <c r="C688">
        <f>IF($A688="","",INDEX(Transactions!$A:$A,ROW()-8))</f>
      </c>
      <c r="D688" s="30">
        <f>IF($A688="",0,INDEX(Transactions!$H:$H,ROW()-8))</f>
      </c>
      <c r="E688">
        <f>IF($A688="",1,INDEX(Transactions!$N:$N,ROW()-8))</f>
        <v>1</v>
      </c>
      <c r="F688" s="30">
        <f>IF($A688="",0,INDEX(Transactions!$O:$O,ROW()-8))</f>
      </c>
      <c r="G688" s="30">
        <f>IF($A688="",0,INDEX(Transactions!$P:$P,ROW()-8))</f>
      </c>
    </row>
    <row r="689" spans="1:7" ht="15" customHeight="1" x14ac:dyDescent="0.15">
      <c r="A689">
        <f>IF(INDEX(Transactions!$J:$J,ROW()-8)="","",INDEX(Transactions!$J:$J,ROW()-8))</f>
      </c>
      <c r="B689" s="297">
        <f>IF($A689="",TODAY(),INDEX(Transactions!$G:$G,ROW()-8))</f>
      </c>
      <c r="C689">
        <f>IF($A689="","",INDEX(Transactions!$A:$A,ROW()-8))</f>
      </c>
      <c r="D689" s="30">
        <f>IF($A689="",0,INDEX(Transactions!$H:$H,ROW()-8))</f>
      </c>
      <c r="E689">
        <f>IF($A689="",1,INDEX(Transactions!$N:$N,ROW()-8))</f>
        <v>1</v>
      </c>
      <c r="F689" s="30">
        <f>IF($A689="",0,INDEX(Transactions!$O:$O,ROW()-8))</f>
      </c>
      <c r="G689" s="30">
        <f>IF($A689="",0,INDEX(Transactions!$P:$P,ROW()-8))</f>
      </c>
    </row>
    <row r="690" spans="1:7" ht="15" customHeight="1" x14ac:dyDescent="0.15">
      <c r="A690">
        <f>IF(INDEX(Transactions!$J:$J,ROW()-8)="","",INDEX(Transactions!$J:$J,ROW()-8))</f>
      </c>
      <c r="B690" s="297">
        <f>IF($A690="",TODAY(),INDEX(Transactions!$G:$G,ROW()-8))</f>
      </c>
      <c r="C690">
        <f>IF($A690="","",INDEX(Transactions!$A:$A,ROW()-8))</f>
      </c>
      <c r="D690" s="30">
        <f>IF($A690="",0,INDEX(Transactions!$H:$H,ROW()-8))</f>
      </c>
      <c r="E690">
        <f>IF($A690="",1,INDEX(Transactions!$N:$N,ROW()-8))</f>
        <v>1</v>
      </c>
      <c r="F690" s="30">
        <f>IF($A690="",0,INDEX(Transactions!$O:$O,ROW()-8))</f>
      </c>
      <c r="G690" s="30">
        <f>IF($A690="",0,INDEX(Transactions!$P:$P,ROW()-8))</f>
      </c>
    </row>
    <row r="691" spans="1:7" ht="15" customHeight="1" x14ac:dyDescent="0.15">
      <c r="A691">
        <f>IF(INDEX(Transactions!$J:$J,ROW()-8)="","",INDEX(Transactions!$J:$J,ROW()-8))</f>
      </c>
      <c r="B691" s="297">
        <f>IF($A691="",TODAY(),INDEX(Transactions!$G:$G,ROW()-8))</f>
      </c>
      <c r="C691">
        <f>IF($A691="","",INDEX(Transactions!$A:$A,ROW()-8))</f>
      </c>
      <c r="D691" s="30">
        <f>IF($A691="",0,INDEX(Transactions!$H:$H,ROW()-8))</f>
      </c>
      <c r="E691">
        <f>IF($A691="",1,INDEX(Transactions!$N:$N,ROW()-8))</f>
        <v>1</v>
      </c>
      <c r="F691" s="30">
        <f>IF($A691="",0,INDEX(Transactions!$O:$O,ROW()-8))</f>
      </c>
      <c r="G691" s="30">
        <f>IF($A691="",0,INDEX(Transactions!$P:$P,ROW()-8))</f>
      </c>
    </row>
    <row r="692" spans="1:7" ht="15" customHeight="1" x14ac:dyDescent="0.15">
      <c r="A692">
        <f>IF(INDEX(Transactions!$J:$J,ROW()-8)="","",INDEX(Transactions!$J:$J,ROW()-8))</f>
      </c>
      <c r="B692" s="297">
        <f>IF($A692="",TODAY(),INDEX(Transactions!$G:$G,ROW()-8))</f>
      </c>
      <c r="C692">
        <f>IF($A692="","",INDEX(Transactions!$A:$A,ROW()-8))</f>
      </c>
      <c r="D692" s="30">
        <f>IF($A692="",0,INDEX(Transactions!$H:$H,ROW()-8))</f>
      </c>
      <c r="E692">
        <f>IF($A692="",1,INDEX(Transactions!$N:$N,ROW()-8))</f>
        <v>1</v>
      </c>
      <c r="F692" s="30">
        <f>IF($A692="",0,INDEX(Transactions!$O:$O,ROW()-8))</f>
      </c>
      <c r="G692" s="30">
        <f>IF($A692="",0,INDEX(Transactions!$P:$P,ROW()-8))</f>
      </c>
    </row>
    <row r="693" spans="1:7" ht="15" customHeight="1" x14ac:dyDescent="0.15">
      <c r="A693">
        <f>IF(INDEX(Transactions!$J:$J,ROW()-8)="","",INDEX(Transactions!$J:$J,ROW()-8))</f>
      </c>
      <c r="B693" s="297">
        <f>IF($A693="",TODAY(),INDEX(Transactions!$G:$G,ROW()-8))</f>
      </c>
      <c r="C693">
        <f>IF($A693="","",INDEX(Transactions!$A:$A,ROW()-8))</f>
      </c>
      <c r="D693" s="30">
        <f>IF($A693="",0,INDEX(Transactions!$H:$H,ROW()-8))</f>
      </c>
      <c r="E693">
        <f>IF($A693="",1,INDEX(Transactions!$N:$N,ROW()-8))</f>
        <v>1</v>
      </c>
      <c r="F693" s="30">
        <f>IF($A693="",0,INDEX(Transactions!$O:$O,ROW()-8))</f>
      </c>
      <c r="G693" s="30">
        <f>IF($A693="",0,INDEX(Transactions!$P:$P,ROW()-8))</f>
      </c>
    </row>
    <row r="694" spans="1:7" ht="15" customHeight="1" x14ac:dyDescent="0.15">
      <c r="A694">
        <f>IF(INDEX(Transactions!$J:$J,ROW()-8)="","",INDEX(Transactions!$J:$J,ROW()-8))</f>
      </c>
      <c r="B694" s="297">
        <f>IF($A694="",TODAY(),INDEX(Transactions!$G:$G,ROW()-8))</f>
      </c>
      <c r="C694">
        <f>IF($A694="","",INDEX(Transactions!$A:$A,ROW()-8))</f>
      </c>
      <c r="D694" s="30">
        <f>IF($A694="",0,INDEX(Transactions!$H:$H,ROW()-8))</f>
      </c>
      <c r="E694">
        <f>IF($A694="",1,INDEX(Transactions!$N:$N,ROW()-8))</f>
        <v>1</v>
      </c>
      <c r="F694" s="30">
        <f>IF($A694="",0,INDEX(Transactions!$O:$O,ROW()-8))</f>
      </c>
      <c r="G694" s="30">
        <f>IF($A694="",0,INDEX(Transactions!$P:$P,ROW()-8))</f>
      </c>
    </row>
    <row r="695" spans="1:7" ht="15" customHeight="1" x14ac:dyDescent="0.15">
      <c r="A695">
        <f>IF(INDEX(Transactions!$J:$J,ROW()-8)="","",INDEX(Transactions!$J:$J,ROW()-8))</f>
      </c>
      <c r="B695" s="297">
        <f>IF($A695="",TODAY(),INDEX(Transactions!$G:$G,ROW()-8))</f>
      </c>
      <c r="C695">
        <f>IF($A695="","",INDEX(Transactions!$A:$A,ROW()-8))</f>
      </c>
      <c r="D695" s="30">
        <f>IF($A695="",0,INDEX(Transactions!$H:$H,ROW()-8))</f>
      </c>
      <c r="E695">
        <f>IF($A695="",1,INDEX(Transactions!$N:$N,ROW()-8))</f>
        <v>1</v>
      </c>
      <c r="F695" s="30">
        <f>IF($A695="",0,INDEX(Transactions!$O:$O,ROW()-8))</f>
      </c>
      <c r="G695" s="30">
        <f>IF($A695="",0,INDEX(Transactions!$P:$P,ROW()-8))</f>
      </c>
    </row>
    <row r="696" spans="1:7" ht="15" customHeight="1" x14ac:dyDescent="0.15">
      <c r="A696">
        <f>IF(INDEX(Transactions!$J:$J,ROW()-8)="","",INDEX(Transactions!$J:$J,ROW()-8))</f>
      </c>
      <c r="B696" s="297">
        <f>IF($A696="",TODAY(),INDEX(Transactions!$G:$G,ROW()-8))</f>
      </c>
      <c r="C696">
        <f>IF($A696="","",INDEX(Transactions!$A:$A,ROW()-8))</f>
      </c>
      <c r="D696" s="30">
        <f>IF($A696="",0,INDEX(Transactions!$H:$H,ROW()-8))</f>
      </c>
      <c r="E696">
        <f>IF($A696="",1,INDEX(Transactions!$N:$N,ROW()-8))</f>
        <v>1</v>
      </c>
      <c r="F696" s="30">
        <f>IF($A696="",0,INDEX(Transactions!$O:$O,ROW()-8))</f>
      </c>
      <c r="G696" s="30">
        <f>IF($A696="",0,INDEX(Transactions!$P:$P,ROW()-8))</f>
      </c>
    </row>
    <row r="697" spans="1:7" ht="15" customHeight="1" x14ac:dyDescent="0.15">
      <c r="A697">
        <f>IF(INDEX(Transactions!$J:$J,ROW()-8)="","",INDEX(Transactions!$J:$J,ROW()-8))</f>
      </c>
      <c r="B697" s="297">
        <f>IF($A697="",TODAY(),INDEX(Transactions!$G:$G,ROW()-8))</f>
      </c>
      <c r="C697">
        <f>IF($A697="","",INDEX(Transactions!$A:$A,ROW()-8))</f>
      </c>
      <c r="D697" s="30">
        <f>IF($A697="",0,INDEX(Transactions!$H:$H,ROW()-8))</f>
      </c>
      <c r="E697">
        <f>IF($A697="",1,INDEX(Transactions!$N:$N,ROW()-8))</f>
        <v>1</v>
      </c>
      <c r="F697" s="30">
        <f>IF($A697="",0,INDEX(Transactions!$O:$O,ROW()-8))</f>
      </c>
      <c r="G697" s="30">
        <f>IF($A697="",0,INDEX(Transactions!$P:$P,ROW()-8))</f>
      </c>
    </row>
    <row r="698" spans="1:7" ht="15" customHeight="1" x14ac:dyDescent="0.15">
      <c r="A698">
        <f>IF(INDEX(Transactions!$J:$J,ROW()-8)="","",INDEX(Transactions!$J:$J,ROW()-8))</f>
      </c>
      <c r="B698" s="297">
        <f>IF($A698="",TODAY(),INDEX(Transactions!$G:$G,ROW()-8))</f>
      </c>
      <c r="C698">
        <f>IF($A698="","",INDEX(Transactions!$A:$A,ROW()-8))</f>
      </c>
      <c r="D698" s="30">
        <f>IF($A698="",0,INDEX(Transactions!$H:$H,ROW()-8))</f>
      </c>
      <c r="E698">
        <f>IF($A698="",1,INDEX(Transactions!$N:$N,ROW()-8))</f>
        <v>1</v>
      </c>
      <c r="F698" s="30">
        <f>IF($A698="",0,INDEX(Transactions!$O:$O,ROW()-8))</f>
      </c>
      <c r="G698" s="30">
        <f>IF($A698="",0,INDEX(Transactions!$P:$P,ROW()-8))</f>
      </c>
    </row>
    <row r="699" spans="1:7" ht="15" customHeight="1" x14ac:dyDescent="0.15">
      <c r="A699">
        <f>IF(INDEX(Transactions!$J:$J,ROW()-8)="","",INDEX(Transactions!$J:$J,ROW()-8))</f>
      </c>
      <c r="B699" s="297">
        <f>IF($A699="",TODAY(),INDEX(Transactions!$G:$G,ROW()-8))</f>
      </c>
      <c r="C699">
        <f>IF($A699="","",INDEX(Transactions!$A:$A,ROW()-8))</f>
      </c>
      <c r="D699" s="30">
        <f>IF($A699="",0,INDEX(Transactions!$H:$H,ROW()-8))</f>
      </c>
      <c r="E699">
        <f>IF($A699="",1,INDEX(Transactions!$N:$N,ROW()-8))</f>
        <v>1</v>
      </c>
      <c r="F699" s="30">
        <f>IF($A699="",0,INDEX(Transactions!$O:$O,ROW()-8))</f>
      </c>
      <c r="G699" s="30">
        <f>IF($A699="",0,INDEX(Transactions!$P:$P,ROW()-8))</f>
      </c>
    </row>
    <row r="700" spans="1:7" ht="15" customHeight="1" x14ac:dyDescent="0.15">
      <c r="A700">
        <f>IF(INDEX(Transactions!$J:$J,ROW()-8)="","",INDEX(Transactions!$J:$J,ROW()-8))</f>
      </c>
      <c r="B700" s="297">
        <f>IF($A700="",TODAY(),INDEX(Transactions!$G:$G,ROW()-8))</f>
      </c>
      <c r="C700">
        <f>IF($A700="","",INDEX(Transactions!$A:$A,ROW()-8))</f>
      </c>
      <c r="D700" s="30">
        <f>IF($A700="",0,INDEX(Transactions!$H:$H,ROW()-8))</f>
      </c>
      <c r="E700">
        <f>IF($A700="",1,INDEX(Transactions!$N:$N,ROW()-8))</f>
        <v>1</v>
      </c>
      <c r="F700" s="30">
        <f>IF($A700="",0,INDEX(Transactions!$O:$O,ROW()-8))</f>
      </c>
      <c r="G700" s="30">
        <f>IF($A700="",0,INDEX(Transactions!$P:$P,ROW()-8))</f>
      </c>
    </row>
    <row r="701" spans="1:7" ht="15" customHeight="1" x14ac:dyDescent="0.15">
      <c r="A701">
        <f>IF(INDEX(Transactions!$J:$J,ROW()-8)="","",INDEX(Transactions!$J:$J,ROW()-8))</f>
      </c>
      <c r="B701" s="297">
        <f>IF($A701="",TODAY(),INDEX(Transactions!$G:$G,ROW()-8))</f>
      </c>
      <c r="C701">
        <f>IF($A701="","",INDEX(Transactions!$A:$A,ROW()-8))</f>
      </c>
      <c r="D701" s="30">
        <f>IF($A701="",0,INDEX(Transactions!$H:$H,ROW()-8))</f>
      </c>
      <c r="E701">
        <f>IF($A701="",1,INDEX(Transactions!$N:$N,ROW()-8))</f>
        <v>1</v>
      </c>
      <c r="F701" s="30">
        <f>IF($A701="",0,INDEX(Transactions!$O:$O,ROW()-8))</f>
      </c>
      <c r="G701" s="30">
        <f>IF($A701="",0,INDEX(Transactions!$P:$P,ROW()-8))</f>
      </c>
    </row>
    <row r="702" spans="1:7" ht="15" customHeight="1" x14ac:dyDescent="0.15">
      <c r="A702">
        <f>IF(INDEX(Transactions!$J:$J,ROW()-8)="","",INDEX(Transactions!$J:$J,ROW()-8))</f>
      </c>
      <c r="B702" s="297">
        <f>IF($A702="",TODAY(),INDEX(Transactions!$G:$G,ROW()-8))</f>
      </c>
      <c r="C702">
        <f>IF($A702="","",INDEX(Transactions!$A:$A,ROW()-8))</f>
      </c>
      <c r="D702" s="30">
        <f>IF($A702="",0,INDEX(Transactions!$H:$H,ROW()-8))</f>
      </c>
      <c r="E702">
        <f>IF($A702="",1,INDEX(Transactions!$N:$N,ROW()-8))</f>
        <v>1</v>
      </c>
      <c r="F702" s="30">
        <f>IF($A702="",0,INDEX(Transactions!$O:$O,ROW()-8))</f>
      </c>
      <c r="G702" s="30">
        <f>IF($A702="",0,INDEX(Transactions!$P:$P,ROW()-8))</f>
      </c>
    </row>
    <row r="703" spans="1:7" ht="15" customHeight="1" x14ac:dyDescent="0.15">
      <c r="A703">
        <f>IF(INDEX(Transactions!$J:$J,ROW()-8)="","",INDEX(Transactions!$J:$J,ROW()-8))</f>
      </c>
      <c r="B703" s="297">
        <f>IF($A703="",TODAY(),INDEX(Transactions!$G:$G,ROW()-8))</f>
      </c>
      <c r="C703">
        <f>IF($A703="","",INDEX(Transactions!$A:$A,ROW()-8))</f>
      </c>
      <c r="D703" s="30">
        <f>IF($A703="",0,INDEX(Transactions!$H:$H,ROW()-8))</f>
      </c>
      <c r="E703">
        <f>IF($A703="",1,INDEX(Transactions!$N:$N,ROW()-8))</f>
        <v>1</v>
      </c>
      <c r="F703" s="30">
        <f>IF($A703="",0,INDEX(Transactions!$O:$O,ROW()-8))</f>
      </c>
      <c r="G703" s="30">
        <f>IF($A703="",0,INDEX(Transactions!$P:$P,ROW()-8))</f>
      </c>
    </row>
    <row r="704" spans="1:7" ht="15" customHeight="1" x14ac:dyDescent="0.15">
      <c r="A704">
        <f>IF(INDEX(Transactions!$J:$J,ROW()-8)="","",INDEX(Transactions!$J:$J,ROW()-8))</f>
      </c>
      <c r="B704" s="297">
        <f>IF($A704="",TODAY(),INDEX(Transactions!$G:$G,ROW()-8))</f>
      </c>
      <c r="C704">
        <f>IF($A704="","",INDEX(Transactions!$A:$A,ROW()-8))</f>
      </c>
      <c r="D704" s="30">
        <f>IF($A704="",0,INDEX(Transactions!$H:$H,ROW()-8))</f>
      </c>
      <c r="E704">
        <f>IF($A704="",1,INDEX(Transactions!$N:$N,ROW()-8))</f>
        <v>1</v>
      </c>
      <c r="F704" s="30">
        <f>IF($A704="",0,INDEX(Transactions!$O:$O,ROW()-8))</f>
      </c>
      <c r="G704" s="30">
        <f>IF($A704="",0,INDEX(Transactions!$P:$P,ROW()-8))</f>
      </c>
    </row>
    <row r="705" spans="1:7" ht="15" customHeight="1" x14ac:dyDescent="0.15">
      <c r="A705">
        <f>IF(INDEX(Transactions!$J:$J,ROW()-8)="","",INDEX(Transactions!$J:$J,ROW()-8))</f>
      </c>
      <c r="B705" s="297">
        <f>IF($A705="",TODAY(),INDEX(Transactions!$G:$G,ROW()-8))</f>
      </c>
      <c r="C705">
        <f>IF($A705="","",INDEX(Transactions!$A:$A,ROW()-8))</f>
      </c>
      <c r="D705" s="30">
        <f>IF($A705="",0,INDEX(Transactions!$H:$H,ROW()-8))</f>
      </c>
      <c r="E705">
        <f>IF($A705="",1,INDEX(Transactions!$N:$N,ROW()-8))</f>
        <v>1</v>
      </c>
      <c r="F705" s="30">
        <f>IF($A705="",0,INDEX(Transactions!$O:$O,ROW()-8))</f>
      </c>
      <c r="G705" s="30">
        <f>IF($A705="",0,INDEX(Transactions!$P:$P,ROW()-8))</f>
      </c>
    </row>
    <row r="706" spans="1:7" ht="15" customHeight="1" x14ac:dyDescent="0.15">
      <c r="A706">
        <f>IF(INDEX(Transactions!$J:$J,ROW()-8)="","",INDEX(Transactions!$J:$J,ROW()-8))</f>
      </c>
      <c r="B706" s="297">
        <f>IF($A706="",TODAY(),INDEX(Transactions!$G:$G,ROW()-8))</f>
      </c>
      <c r="C706">
        <f>IF($A706="","",INDEX(Transactions!$A:$A,ROW()-8))</f>
      </c>
      <c r="D706" s="30">
        <f>IF($A706="",0,INDEX(Transactions!$H:$H,ROW()-8))</f>
      </c>
      <c r="E706">
        <f>IF($A706="",1,INDEX(Transactions!$N:$N,ROW()-8))</f>
        <v>1</v>
      </c>
      <c r="F706" s="30">
        <f>IF($A706="",0,INDEX(Transactions!$O:$O,ROW()-8))</f>
      </c>
      <c r="G706" s="30">
        <f>IF($A706="",0,INDEX(Transactions!$P:$P,ROW()-8))</f>
      </c>
    </row>
    <row r="707" spans="1:7" ht="15" customHeight="1" x14ac:dyDescent="0.15">
      <c r="A707">
        <f>IF(INDEX(Transactions!$J:$J,ROW()-8)="","",INDEX(Transactions!$J:$J,ROW()-8))</f>
      </c>
      <c r="B707" s="297">
        <f>IF($A707="",TODAY(),INDEX(Transactions!$G:$G,ROW()-8))</f>
      </c>
      <c r="C707">
        <f>IF($A707="","",INDEX(Transactions!$A:$A,ROW()-8))</f>
      </c>
      <c r="D707" s="30">
        <f>IF($A707="",0,INDEX(Transactions!$H:$H,ROW()-8))</f>
      </c>
      <c r="E707">
        <f>IF($A707="",1,INDEX(Transactions!$N:$N,ROW()-8))</f>
        <v>1</v>
      </c>
      <c r="F707" s="30">
        <f>IF($A707="",0,INDEX(Transactions!$O:$O,ROW()-8))</f>
      </c>
      <c r="G707" s="30">
        <f>IF($A707="",0,INDEX(Transactions!$P:$P,ROW()-8))</f>
      </c>
    </row>
    <row r="708" spans="1:7" ht="15" customHeight="1" x14ac:dyDescent="0.15">
      <c r="A708">
        <f>IF(INDEX(Transactions!$J:$J,ROW()-8)="","",INDEX(Transactions!$J:$J,ROW()-8))</f>
      </c>
      <c r="B708" s="297">
        <f>IF($A708="",TODAY(),INDEX(Transactions!$G:$G,ROW()-8))</f>
      </c>
      <c r="C708">
        <f>IF($A708="","",INDEX(Transactions!$A:$A,ROW()-8))</f>
      </c>
      <c r="D708" s="30">
        <f>IF($A708="",0,INDEX(Transactions!$H:$H,ROW()-8))</f>
      </c>
      <c r="E708">
        <f>IF($A708="",1,INDEX(Transactions!$N:$N,ROW()-8))</f>
        <v>1</v>
      </c>
      <c r="F708" s="30">
        <f>IF($A708="",0,INDEX(Transactions!$O:$O,ROW()-8))</f>
      </c>
      <c r="G708" s="30">
        <f>IF($A708="",0,INDEX(Transactions!$P:$P,ROW()-8))</f>
      </c>
    </row>
    <row r="709" spans="1:7" ht="15" customHeight="1" x14ac:dyDescent="0.15">
      <c r="A709">
        <f>IF(INDEX(Transactions!$J:$J,ROW()-8)="","",INDEX(Transactions!$J:$J,ROW()-8))</f>
      </c>
      <c r="B709" s="297">
        <f>IF($A709="",TODAY(),INDEX(Transactions!$G:$G,ROW()-8))</f>
      </c>
      <c r="C709">
        <f>IF($A709="","",INDEX(Transactions!$A:$A,ROW()-8))</f>
      </c>
      <c r="D709" s="30">
        <f>IF($A709="",0,INDEX(Transactions!$H:$H,ROW()-8))</f>
      </c>
      <c r="E709">
        <f>IF($A709="",1,INDEX(Transactions!$N:$N,ROW()-8))</f>
        <v>1</v>
      </c>
      <c r="F709" s="30">
        <f>IF($A709="",0,INDEX(Transactions!$O:$O,ROW()-8))</f>
      </c>
      <c r="G709" s="30">
        <f>IF($A709="",0,INDEX(Transactions!$P:$P,ROW()-8))</f>
      </c>
    </row>
    <row r="710" spans="1:7" ht="15" customHeight="1" x14ac:dyDescent="0.15">
      <c r="A710">
        <f>IF(INDEX(Transactions!$J:$J,ROW()-8)="","",INDEX(Transactions!$J:$J,ROW()-8))</f>
      </c>
      <c r="B710" s="297">
        <f>IF($A710="",TODAY(),INDEX(Transactions!$G:$G,ROW()-8))</f>
      </c>
      <c r="C710">
        <f>IF($A710="","",INDEX(Transactions!$A:$A,ROW()-8))</f>
      </c>
      <c r="D710" s="30">
        <f>IF($A710="",0,INDEX(Transactions!$H:$H,ROW()-8))</f>
      </c>
      <c r="E710">
        <f>IF($A710="",1,INDEX(Transactions!$N:$N,ROW()-8))</f>
        <v>1</v>
      </c>
      <c r="F710" s="30">
        <f>IF($A710="",0,INDEX(Transactions!$O:$O,ROW()-8))</f>
      </c>
      <c r="G710" s="30">
        <f>IF($A710="",0,INDEX(Transactions!$P:$P,ROW()-8))</f>
      </c>
    </row>
    <row r="711" spans="1:7" ht="15" customHeight="1" x14ac:dyDescent="0.15">
      <c r="A711">
        <f>IF(INDEX(Transactions!$J:$J,ROW()-8)="","",INDEX(Transactions!$J:$J,ROW()-8))</f>
      </c>
      <c r="B711" s="297">
        <f>IF($A711="",TODAY(),INDEX(Transactions!$G:$G,ROW()-8))</f>
      </c>
      <c r="C711">
        <f>IF($A711="","",INDEX(Transactions!$A:$A,ROW()-8))</f>
      </c>
      <c r="D711" s="30">
        <f>IF($A711="",0,INDEX(Transactions!$H:$H,ROW()-8))</f>
      </c>
      <c r="E711">
        <f>IF($A711="",1,INDEX(Transactions!$N:$N,ROW()-8))</f>
        <v>1</v>
      </c>
      <c r="F711" s="30">
        <f>IF($A711="",0,INDEX(Transactions!$O:$O,ROW()-8))</f>
      </c>
      <c r="G711" s="30">
        <f>IF($A711="",0,INDEX(Transactions!$P:$P,ROW()-8))</f>
      </c>
    </row>
    <row r="712" spans="1:7" ht="15" customHeight="1" x14ac:dyDescent="0.15">
      <c r="A712">
        <f>IF(INDEX(Transactions!$J:$J,ROW()-8)="","",INDEX(Transactions!$J:$J,ROW()-8))</f>
      </c>
      <c r="B712" s="297">
        <f>IF($A712="",TODAY(),INDEX(Transactions!$G:$G,ROW()-8))</f>
      </c>
      <c r="C712">
        <f>IF($A712="","",INDEX(Transactions!$A:$A,ROW()-8))</f>
      </c>
      <c r="D712" s="30">
        <f>IF($A712="",0,INDEX(Transactions!$H:$H,ROW()-8))</f>
      </c>
      <c r="E712">
        <f>IF($A712="",1,INDEX(Transactions!$N:$N,ROW()-8))</f>
        <v>1</v>
      </c>
      <c r="F712" s="30">
        <f>IF($A712="",0,INDEX(Transactions!$O:$O,ROW()-8))</f>
      </c>
      <c r="G712" s="30">
        <f>IF($A712="",0,INDEX(Transactions!$P:$P,ROW()-8))</f>
      </c>
    </row>
    <row r="713" spans="1:7" ht="15" customHeight="1" x14ac:dyDescent="0.15">
      <c r="A713">
        <f>IF(INDEX(Transactions!$J:$J,ROW()-8)="","",INDEX(Transactions!$J:$J,ROW()-8))</f>
      </c>
      <c r="B713" s="297">
        <f>IF($A713="",TODAY(),INDEX(Transactions!$G:$G,ROW()-8))</f>
      </c>
      <c r="C713">
        <f>IF($A713="","",INDEX(Transactions!$A:$A,ROW()-8))</f>
      </c>
      <c r="D713" s="30">
        <f>IF($A713="",0,INDEX(Transactions!$H:$H,ROW()-8))</f>
      </c>
      <c r="E713">
        <f>IF($A713="",1,INDEX(Transactions!$N:$N,ROW()-8))</f>
        <v>1</v>
      </c>
      <c r="F713" s="30">
        <f>IF($A713="",0,INDEX(Transactions!$O:$O,ROW()-8))</f>
      </c>
      <c r="G713" s="30">
        <f>IF($A713="",0,INDEX(Transactions!$P:$P,ROW()-8))</f>
      </c>
    </row>
    <row r="714" spans="1:7" ht="15" customHeight="1" x14ac:dyDescent="0.15">
      <c r="A714">
        <f>IF(INDEX(Transactions!$J:$J,ROW()-8)="","",INDEX(Transactions!$J:$J,ROW()-8))</f>
      </c>
      <c r="B714" s="297">
        <f>IF($A714="",TODAY(),INDEX(Transactions!$G:$G,ROW()-8))</f>
      </c>
      <c r="C714">
        <f>IF($A714="","",INDEX(Transactions!$A:$A,ROW()-8))</f>
      </c>
      <c r="D714" s="30">
        <f>IF($A714="",0,INDEX(Transactions!$H:$H,ROW()-8))</f>
      </c>
      <c r="E714">
        <f>IF($A714="",1,INDEX(Transactions!$N:$N,ROW()-8))</f>
        <v>1</v>
      </c>
      <c r="F714" s="30">
        <f>IF($A714="",0,INDEX(Transactions!$O:$O,ROW()-8))</f>
      </c>
      <c r="G714" s="30">
        <f>IF($A714="",0,INDEX(Transactions!$P:$P,ROW()-8))</f>
      </c>
    </row>
    <row r="715" spans="1:7" ht="15" customHeight="1" x14ac:dyDescent="0.15">
      <c r="A715">
        <f>IF(INDEX(Transactions!$J:$J,ROW()-8)="","",INDEX(Transactions!$J:$J,ROW()-8))</f>
      </c>
      <c r="B715" s="297">
        <f>IF($A715="",TODAY(),INDEX(Transactions!$G:$G,ROW()-8))</f>
      </c>
      <c r="C715">
        <f>IF($A715="","",INDEX(Transactions!$A:$A,ROW()-8))</f>
      </c>
      <c r="D715" s="30">
        <f>IF($A715="",0,INDEX(Transactions!$H:$H,ROW()-8))</f>
      </c>
      <c r="E715">
        <f>IF($A715="",1,INDEX(Transactions!$N:$N,ROW()-8))</f>
        <v>1</v>
      </c>
      <c r="F715" s="30">
        <f>IF($A715="",0,INDEX(Transactions!$O:$O,ROW()-8))</f>
      </c>
      <c r="G715" s="30">
        <f>IF($A715="",0,INDEX(Transactions!$P:$P,ROW()-8))</f>
      </c>
    </row>
    <row r="716" spans="1:7" ht="15" customHeight="1" x14ac:dyDescent="0.15">
      <c r="A716">
        <f>IF(INDEX(Transactions!$J:$J,ROW()-8)="","",INDEX(Transactions!$J:$J,ROW()-8))</f>
      </c>
      <c r="B716" s="297">
        <f>IF($A716="",TODAY(),INDEX(Transactions!$G:$G,ROW()-8))</f>
      </c>
      <c r="C716">
        <f>IF($A716="","",INDEX(Transactions!$A:$A,ROW()-8))</f>
      </c>
      <c r="D716" s="30">
        <f>IF($A716="",0,INDEX(Transactions!$H:$H,ROW()-8))</f>
      </c>
      <c r="E716">
        <f>IF($A716="",1,INDEX(Transactions!$N:$N,ROW()-8))</f>
        <v>1</v>
      </c>
      <c r="F716" s="30">
        <f>IF($A716="",0,INDEX(Transactions!$O:$O,ROW()-8))</f>
      </c>
      <c r="G716" s="30">
        <f>IF($A716="",0,INDEX(Transactions!$P:$P,ROW()-8))</f>
      </c>
    </row>
    <row r="717" spans="1:7" ht="15" customHeight="1" x14ac:dyDescent="0.15">
      <c r="A717">
        <f>IF(INDEX(Transactions!$J:$J,ROW()-8)="","",INDEX(Transactions!$J:$J,ROW()-8))</f>
      </c>
      <c r="B717" s="297">
        <f>IF($A717="",TODAY(),INDEX(Transactions!$G:$G,ROW()-8))</f>
      </c>
      <c r="C717">
        <f>IF($A717="","",INDEX(Transactions!$A:$A,ROW()-8))</f>
      </c>
      <c r="D717" s="30">
        <f>IF($A717="",0,INDEX(Transactions!$H:$H,ROW()-8))</f>
      </c>
      <c r="E717">
        <f>IF($A717="",1,INDEX(Transactions!$N:$N,ROW()-8))</f>
        <v>1</v>
      </c>
      <c r="F717" s="30">
        <f>IF($A717="",0,INDEX(Transactions!$O:$O,ROW()-8))</f>
      </c>
      <c r="G717" s="30">
        <f>IF($A717="",0,INDEX(Transactions!$P:$P,ROW()-8))</f>
      </c>
    </row>
    <row r="718" spans="1:7" ht="15" customHeight="1" x14ac:dyDescent="0.15">
      <c r="A718">
        <f>IF(INDEX(Transactions!$J:$J,ROW()-8)="","",INDEX(Transactions!$J:$J,ROW()-8))</f>
      </c>
      <c r="B718" s="297">
        <f>IF($A718="",TODAY(),INDEX(Transactions!$G:$G,ROW()-8))</f>
      </c>
      <c r="C718">
        <f>IF($A718="","",INDEX(Transactions!$A:$A,ROW()-8))</f>
      </c>
      <c r="D718" s="30">
        <f>IF($A718="",0,INDEX(Transactions!$H:$H,ROW()-8))</f>
      </c>
      <c r="E718">
        <f>IF($A718="",1,INDEX(Transactions!$N:$N,ROW()-8))</f>
        <v>1</v>
      </c>
      <c r="F718" s="30">
        <f>IF($A718="",0,INDEX(Transactions!$O:$O,ROW()-8))</f>
      </c>
      <c r="G718" s="30">
        <f>IF($A718="",0,INDEX(Transactions!$P:$P,ROW()-8))</f>
      </c>
    </row>
    <row r="719" spans="1:7" ht="15" customHeight="1" x14ac:dyDescent="0.15">
      <c r="A719">
        <f>IF(INDEX(Transactions!$J:$J,ROW()-8)="","",INDEX(Transactions!$J:$J,ROW()-8))</f>
      </c>
      <c r="B719" s="297">
        <f>IF($A719="",TODAY(),INDEX(Transactions!$G:$G,ROW()-8))</f>
      </c>
      <c r="C719">
        <f>IF($A719="","",INDEX(Transactions!$A:$A,ROW()-8))</f>
      </c>
      <c r="D719" s="30">
        <f>IF($A719="",0,INDEX(Transactions!$H:$H,ROW()-8))</f>
      </c>
      <c r="E719">
        <f>IF($A719="",1,INDEX(Transactions!$N:$N,ROW()-8))</f>
        <v>1</v>
      </c>
      <c r="F719" s="30">
        <f>IF($A719="",0,INDEX(Transactions!$O:$O,ROW()-8))</f>
      </c>
      <c r="G719" s="30">
        <f>IF($A719="",0,INDEX(Transactions!$P:$P,ROW()-8))</f>
      </c>
    </row>
    <row r="720" spans="1:7" ht="15" customHeight="1" x14ac:dyDescent="0.15">
      <c r="A720">
        <f>IF(INDEX(Transactions!$J:$J,ROW()-8)="","",INDEX(Transactions!$J:$J,ROW()-8))</f>
      </c>
      <c r="B720" s="297">
        <f>IF($A720="",TODAY(),INDEX(Transactions!$G:$G,ROW()-8))</f>
      </c>
      <c r="C720">
        <f>IF($A720="","",INDEX(Transactions!$A:$A,ROW()-8))</f>
      </c>
      <c r="D720" s="30">
        <f>IF($A720="",0,INDEX(Transactions!$H:$H,ROW()-8))</f>
      </c>
      <c r="E720">
        <f>IF($A720="",1,INDEX(Transactions!$N:$N,ROW()-8))</f>
        <v>1</v>
      </c>
      <c r="F720" s="30">
        <f>IF($A720="",0,INDEX(Transactions!$O:$O,ROW()-8))</f>
      </c>
      <c r="G720" s="30">
        <f>IF($A720="",0,INDEX(Transactions!$P:$P,ROW()-8))</f>
      </c>
    </row>
    <row r="721" spans="1:7" ht="15" customHeight="1" x14ac:dyDescent="0.15">
      <c r="A721">
        <f>IF(INDEX(Transactions!$J:$J,ROW()-8)="","",INDEX(Transactions!$J:$J,ROW()-8))</f>
      </c>
      <c r="B721" s="297">
        <f>IF($A721="",TODAY(),INDEX(Transactions!$G:$G,ROW()-8))</f>
      </c>
      <c r="C721">
        <f>IF($A721="","",INDEX(Transactions!$A:$A,ROW()-8))</f>
      </c>
      <c r="D721" s="30">
        <f>IF($A721="",0,INDEX(Transactions!$H:$H,ROW()-8))</f>
      </c>
      <c r="E721">
        <f>IF($A721="",1,INDEX(Transactions!$N:$N,ROW()-8))</f>
        <v>1</v>
      </c>
      <c r="F721" s="30">
        <f>IF($A721="",0,INDEX(Transactions!$O:$O,ROW()-8))</f>
      </c>
      <c r="G721" s="30">
        <f>IF($A721="",0,INDEX(Transactions!$P:$P,ROW()-8))</f>
      </c>
    </row>
    <row r="722" spans="1:7" ht="15" customHeight="1" x14ac:dyDescent="0.15">
      <c r="A722">
        <f>IF(INDEX(Transactions!$J:$J,ROW()-8)="","",INDEX(Transactions!$J:$J,ROW()-8))</f>
      </c>
      <c r="B722" s="297">
        <f>IF($A722="",TODAY(),INDEX(Transactions!$G:$G,ROW()-8))</f>
      </c>
      <c r="C722">
        <f>IF($A722="","",INDEX(Transactions!$A:$A,ROW()-8))</f>
      </c>
      <c r="D722" s="30">
        <f>IF($A722="",0,INDEX(Transactions!$H:$H,ROW()-8))</f>
      </c>
      <c r="E722">
        <f>IF($A722="",1,INDEX(Transactions!$N:$N,ROW()-8))</f>
        <v>1</v>
      </c>
      <c r="F722" s="30">
        <f>IF($A722="",0,INDEX(Transactions!$O:$O,ROW()-8))</f>
      </c>
      <c r="G722" s="30">
        <f>IF($A722="",0,INDEX(Transactions!$P:$P,ROW()-8))</f>
      </c>
    </row>
    <row r="723" spans="1:7" ht="15" customHeight="1" x14ac:dyDescent="0.15">
      <c r="A723">
        <f>IF(INDEX(Transactions!$J:$J,ROW()-8)="","",INDEX(Transactions!$J:$J,ROW()-8))</f>
      </c>
      <c r="B723" s="297">
        <f>IF($A723="",TODAY(),INDEX(Transactions!$G:$G,ROW()-8))</f>
      </c>
      <c r="C723">
        <f>IF($A723="","",INDEX(Transactions!$A:$A,ROW()-8))</f>
      </c>
      <c r="D723" s="30">
        <f>IF($A723="",0,INDEX(Transactions!$H:$H,ROW()-8))</f>
      </c>
      <c r="E723">
        <f>IF($A723="",1,INDEX(Transactions!$N:$N,ROW()-8))</f>
        <v>1</v>
      </c>
      <c r="F723" s="30">
        <f>IF($A723="",0,INDEX(Transactions!$O:$O,ROW()-8))</f>
      </c>
      <c r="G723" s="30">
        <f>IF($A723="",0,INDEX(Transactions!$P:$P,ROW()-8))</f>
      </c>
    </row>
    <row r="724" spans="1:7" ht="15" customHeight="1" x14ac:dyDescent="0.15">
      <c r="A724">
        <f>IF(INDEX(Transactions!$J:$J,ROW()-8)="","",INDEX(Transactions!$J:$J,ROW()-8))</f>
      </c>
      <c r="B724" s="297">
        <f>IF($A724="",TODAY(),INDEX(Transactions!$G:$G,ROW()-8))</f>
      </c>
      <c r="C724">
        <f>IF($A724="","",INDEX(Transactions!$A:$A,ROW()-8))</f>
      </c>
      <c r="D724" s="30">
        <f>IF($A724="",0,INDEX(Transactions!$H:$H,ROW()-8))</f>
      </c>
      <c r="E724">
        <f>IF($A724="",1,INDEX(Transactions!$N:$N,ROW()-8))</f>
        <v>1</v>
      </c>
      <c r="F724" s="30">
        <f>IF($A724="",0,INDEX(Transactions!$O:$O,ROW()-8))</f>
      </c>
      <c r="G724" s="30">
        <f>IF($A724="",0,INDEX(Transactions!$P:$P,ROW()-8))</f>
      </c>
    </row>
    <row r="725" spans="1:7" ht="15" customHeight="1" x14ac:dyDescent="0.15">
      <c r="A725">
        <f>IF(INDEX(Transactions!$J:$J,ROW()-8)="","",INDEX(Transactions!$J:$J,ROW()-8))</f>
      </c>
      <c r="B725" s="297">
        <f>IF($A725="",TODAY(),INDEX(Transactions!$G:$G,ROW()-8))</f>
      </c>
      <c r="C725">
        <f>IF($A725="","",INDEX(Transactions!$A:$A,ROW()-8))</f>
      </c>
      <c r="D725" s="30">
        <f>IF($A725="",0,INDEX(Transactions!$H:$H,ROW()-8))</f>
      </c>
      <c r="E725">
        <f>IF($A725="",1,INDEX(Transactions!$N:$N,ROW()-8))</f>
        <v>1</v>
      </c>
      <c r="F725" s="30">
        <f>IF($A725="",0,INDEX(Transactions!$O:$O,ROW()-8))</f>
      </c>
      <c r="G725" s="30">
        <f>IF($A725="",0,INDEX(Transactions!$P:$P,ROW()-8))</f>
      </c>
    </row>
    <row r="726" spans="1:7" ht="15" customHeight="1" x14ac:dyDescent="0.15">
      <c r="A726">
        <f>IF(INDEX(Transactions!$J:$J,ROW()-8)="","",INDEX(Transactions!$J:$J,ROW()-8))</f>
      </c>
      <c r="B726" s="297">
        <f>IF($A726="",TODAY(),INDEX(Transactions!$G:$G,ROW()-8))</f>
      </c>
      <c r="C726">
        <f>IF($A726="","",INDEX(Transactions!$A:$A,ROW()-8))</f>
      </c>
      <c r="D726" s="30">
        <f>IF($A726="",0,INDEX(Transactions!$H:$H,ROW()-8))</f>
      </c>
      <c r="E726">
        <f>IF($A726="",1,INDEX(Transactions!$N:$N,ROW()-8))</f>
        <v>1</v>
      </c>
      <c r="F726" s="30">
        <f>IF($A726="",0,INDEX(Transactions!$O:$O,ROW()-8))</f>
      </c>
      <c r="G726" s="30">
        <f>IF($A726="",0,INDEX(Transactions!$P:$P,ROW()-8))</f>
      </c>
    </row>
    <row r="727" spans="1:7" ht="15" customHeight="1" x14ac:dyDescent="0.15">
      <c r="A727">
        <f>IF(INDEX(Transactions!$J:$J,ROW()-8)="","",INDEX(Transactions!$J:$J,ROW()-8))</f>
      </c>
      <c r="B727" s="297">
        <f>IF($A727="",TODAY(),INDEX(Transactions!$G:$G,ROW()-8))</f>
      </c>
      <c r="C727">
        <f>IF($A727="","",INDEX(Transactions!$A:$A,ROW()-8))</f>
      </c>
      <c r="D727" s="30">
        <f>IF($A727="",0,INDEX(Transactions!$H:$H,ROW()-8))</f>
      </c>
      <c r="E727">
        <f>IF($A727="",1,INDEX(Transactions!$N:$N,ROW()-8))</f>
        <v>1</v>
      </c>
      <c r="F727" s="30">
        <f>IF($A727="",0,INDEX(Transactions!$O:$O,ROW()-8))</f>
      </c>
      <c r="G727" s="30">
        <f>IF($A727="",0,INDEX(Transactions!$P:$P,ROW()-8))</f>
      </c>
    </row>
    <row r="728" spans="1:7" ht="15" customHeight="1" x14ac:dyDescent="0.15">
      <c r="A728">
        <f>IF(INDEX(Transactions!$J:$J,ROW()-8)="","",INDEX(Transactions!$J:$J,ROW()-8))</f>
      </c>
      <c r="B728" s="297">
        <f>IF($A728="",TODAY(),INDEX(Transactions!$G:$G,ROW()-8))</f>
      </c>
      <c r="C728">
        <f>IF($A728="","",INDEX(Transactions!$A:$A,ROW()-8))</f>
      </c>
      <c r="D728" s="30">
        <f>IF($A728="",0,INDEX(Transactions!$H:$H,ROW()-8))</f>
      </c>
      <c r="E728">
        <f>IF($A728="",1,INDEX(Transactions!$N:$N,ROW()-8))</f>
        <v>1</v>
      </c>
      <c r="F728" s="30">
        <f>IF($A728="",0,INDEX(Transactions!$O:$O,ROW()-8))</f>
      </c>
      <c r="G728" s="30">
        <f>IF($A728="",0,INDEX(Transactions!$P:$P,ROW()-8))</f>
      </c>
    </row>
    <row r="729" spans="1:7" ht="15" customHeight="1" x14ac:dyDescent="0.15">
      <c r="A729">
        <f>IF(INDEX(Transactions!$J:$J,ROW()-8)="","",INDEX(Transactions!$J:$J,ROW()-8))</f>
      </c>
      <c r="B729" s="297">
        <f>IF($A729="",TODAY(),INDEX(Transactions!$G:$G,ROW()-8))</f>
      </c>
      <c r="C729">
        <f>IF($A729="","",INDEX(Transactions!$A:$A,ROW()-8))</f>
      </c>
      <c r="D729" s="30">
        <f>IF($A729="",0,INDEX(Transactions!$H:$H,ROW()-8))</f>
      </c>
      <c r="E729">
        <f>IF($A729="",1,INDEX(Transactions!$N:$N,ROW()-8))</f>
        <v>1</v>
      </c>
      <c r="F729" s="30">
        <f>IF($A729="",0,INDEX(Transactions!$O:$O,ROW()-8))</f>
      </c>
      <c r="G729" s="30">
        <f>IF($A729="",0,INDEX(Transactions!$P:$P,ROW()-8))</f>
      </c>
    </row>
    <row r="730" spans="1:7" ht="15" customHeight="1" x14ac:dyDescent="0.15">
      <c r="A730">
        <f>IF(INDEX(Transactions!$J:$J,ROW()-8)="","",INDEX(Transactions!$J:$J,ROW()-8))</f>
      </c>
      <c r="B730" s="297">
        <f>IF($A730="",TODAY(),INDEX(Transactions!$G:$G,ROW()-8))</f>
      </c>
      <c r="C730">
        <f>IF($A730="","",INDEX(Transactions!$A:$A,ROW()-8))</f>
      </c>
      <c r="D730" s="30">
        <f>IF($A730="",0,INDEX(Transactions!$H:$H,ROW()-8))</f>
      </c>
      <c r="E730">
        <f>IF($A730="",1,INDEX(Transactions!$N:$N,ROW()-8))</f>
        <v>1</v>
      </c>
      <c r="F730" s="30">
        <f>IF($A730="",0,INDEX(Transactions!$O:$O,ROW()-8))</f>
      </c>
      <c r="G730" s="30">
        <f>IF($A730="",0,INDEX(Transactions!$P:$P,ROW()-8))</f>
      </c>
    </row>
    <row r="731" spans="1:7" ht="15" customHeight="1" x14ac:dyDescent="0.15">
      <c r="A731">
        <f>IF(INDEX(Transactions!$J:$J,ROW()-8)="","",INDEX(Transactions!$J:$J,ROW()-8))</f>
      </c>
      <c r="B731" s="297">
        <f>IF($A731="",TODAY(),INDEX(Transactions!$G:$G,ROW()-8))</f>
      </c>
      <c r="C731">
        <f>IF($A731="","",INDEX(Transactions!$A:$A,ROW()-8))</f>
      </c>
      <c r="D731" s="30">
        <f>IF($A731="",0,INDEX(Transactions!$H:$H,ROW()-8))</f>
      </c>
      <c r="E731">
        <f>IF($A731="",1,INDEX(Transactions!$N:$N,ROW()-8))</f>
        <v>1</v>
      </c>
      <c r="F731" s="30">
        <f>IF($A731="",0,INDEX(Transactions!$O:$O,ROW()-8))</f>
      </c>
      <c r="G731" s="30">
        <f>IF($A731="",0,INDEX(Transactions!$P:$P,ROW()-8))</f>
      </c>
    </row>
    <row r="732" spans="1:7" ht="15" customHeight="1" x14ac:dyDescent="0.15">
      <c r="A732">
        <f>IF(INDEX(Transactions!$J:$J,ROW()-8)="","",INDEX(Transactions!$J:$J,ROW()-8))</f>
      </c>
      <c r="B732" s="297">
        <f>IF($A732="",TODAY(),INDEX(Transactions!$G:$G,ROW()-8))</f>
      </c>
      <c r="C732">
        <f>IF($A732="","",INDEX(Transactions!$A:$A,ROW()-8))</f>
      </c>
      <c r="D732" s="30">
        <f>IF($A732="",0,INDEX(Transactions!$H:$H,ROW()-8))</f>
      </c>
      <c r="E732">
        <f>IF($A732="",1,INDEX(Transactions!$N:$N,ROW()-8))</f>
        <v>1</v>
      </c>
      <c r="F732" s="30">
        <f>IF($A732="",0,INDEX(Transactions!$O:$O,ROW()-8))</f>
      </c>
      <c r="G732" s="30">
        <f>IF($A732="",0,INDEX(Transactions!$P:$P,ROW()-8))</f>
      </c>
    </row>
    <row r="733" spans="1:7" ht="15" customHeight="1" x14ac:dyDescent="0.15">
      <c r="A733">
        <f>IF(INDEX(Transactions!$J:$J,ROW()-8)="","",INDEX(Transactions!$J:$J,ROW()-8))</f>
      </c>
      <c r="B733" s="297">
        <f>IF($A733="",TODAY(),INDEX(Transactions!$G:$G,ROW()-8))</f>
      </c>
      <c r="C733">
        <f>IF($A733="","",INDEX(Transactions!$A:$A,ROW()-8))</f>
      </c>
      <c r="D733" s="30">
        <f>IF($A733="",0,INDEX(Transactions!$H:$H,ROW()-8))</f>
      </c>
      <c r="E733">
        <f>IF($A733="",1,INDEX(Transactions!$N:$N,ROW()-8))</f>
        <v>1</v>
      </c>
      <c r="F733" s="30">
        <f>IF($A733="",0,INDEX(Transactions!$O:$O,ROW()-8))</f>
      </c>
      <c r="G733" s="30">
        <f>IF($A733="",0,INDEX(Transactions!$P:$P,ROW()-8))</f>
      </c>
    </row>
    <row r="734" spans="1:7" ht="15" customHeight="1" x14ac:dyDescent="0.15">
      <c r="A734">
        <f>IF(INDEX(Transactions!$J:$J,ROW()-8)="","",INDEX(Transactions!$J:$J,ROW()-8))</f>
      </c>
      <c r="B734" s="297">
        <f>IF($A734="",TODAY(),INDEX(Transactions!$G:$G,ROW()-8))</f>
      </c>
      <c r="C734">
        <f>IF($A734="","",INDEX(Transactions!$A:$A,ROW()-8))</f>
      </c>
      <c r="D734" s="30">
        <f>IF($A734="",0,INDEX(Transactions!$H:$H,ROW()-8))</f>
      </c>
      <c r="E734">
        <f>IF($A734="",1,INDEX(Transactions!$N:$N,ROW()-8))</f>
        <v>1</v>
      </c>
      <c r="F734" s="30">
        <f>IF($A734="",0,INDEX(Transactions!$O:$O,ROW()-8))</f>
      </c>
      <c r="G734" s="30">
        <f>IF($A734="",0,INDEX(Transactions!$P:$P,ROW()-8))</f>
      </c>
    </row>
    <row r="735" spans="1:7" ht="15" customHeight="1" x14ac:dyDescent="0.15">
      <c r="A735">
        <f>IF(INDEX(Transactions!$J:$J,ROW()-8)="","",INDEX(Transactions!$J:$J,ROW()-8))</f>
      </c>
      <c r="B735" s="297">
        <f>IF($A735="",TODAY(),INDEX(Transactions!$G:$G,ROW()-8))</f>
      </c>
      <c r="C735">
        <f>IF($A735="","",INDEX(Transactions!$A:$A,ROW()-8))</f>
      </c>
      <c r="D735" s="30">
        <f>IF($A735="",0,INDEX(Transactions!$H:$H,ROW()-8))</f>
      </c>
      <c r="E735">
        <f>IF($A735="",1,INDEX(Transactions!$N:$N,ROW()-8))</f>
        <v>1</v>
      </c>
      <c r="F735" s="30">
        <f>IF($A735="",0,INDEX(Transactions!$O:$O,ROW()-8))</f>
      </c>
      <c r="G735" s="30">
        <f>IF($A735="",0,INDEX(Transactions!$P:$P,ROW()-8))</f>
      </c>
    </row>
    <row r="736" spans="1:7" ht="15" customHeight="1" x14ac:dyDescent="0.15">
      <c r="A736">
        <f>IF(INDEX(Transactions!$J:$J,ROW()-8)="","",INDEX(Transactions!$J:$J,ROW()-8))</f>
      </c>
      <c r="B736" s="297">
        <f>IF($A736="",TODAY(),INDEX(Transactions!$G:$G,ROW()-8))</f>
      </c>
      <c r="C736">
        <f>IF($A736="","",INDEX(Transactions!$A:$A,ROW()-8))</f>
      </c>
      <c r="D736" s="30">
        <f>IF($A736="",0,INDEX(Transactions!$H:$H,ROW()-8))</f>
      </c>
      <c r="E736">
        <f>IF($A736="",1,INDEX(Transactions!$N:$N,ROW()-8))</f>
        <v>1</v>
      </c>
      <c r="F736" s="30">
        <f>IF($A736="",0,INDEX(Transactions!$O:$O,ROW()-8))</f>
      </c>
      <c r="G736" s="30">
        <f>IF($A736="",0,INDEX(Transactions!$P:$P,ROW()-8))</f>
      </c>
    </row>
    <row r="737" spans="1:7" ht="15" customHeight="1" x14ac:dyDescent="0.15">
      <c r="A737">
        <f>IF(INDEX(Transactions!$J:$J,ROW()-8)="","",INDEX(Transactions!$J:$J,ROW()-8))</f>
      </c>
      <c r="B737" s="297">
        <f>IF($A737="",TODAY(),INDEX(Transactions!$G:$G,ROW()-8))</f>
      </c>
      <c r="C737">
        <f>IF($A737="","",INDEX(Transactions!$A:$A,ROW()-8))</f>
      </c>
      <c r="D737" s="30">
        <f>IF($A737="",0,INDEX(Transactions!$H:$H,ROW()-8))</f>
      </c>
      <c r="E737">
        <f>IF($A737="",1,INDEX(Transactions!$N:$N,ROW()-8))</f>
        <v>1</v>
      </c>
      <c r="F737" s="30">
        <f>IF($A737="",0,INDEX(Transactions!$O:$O,ROW()-8))</f>
      </c>
      <c r="G737" s="30">
        <f>IF($A737="",0,INDEX(Transactions!$P:$P,ROW()-8))</f>
      </c>
    </row>
    <row r="738" spans="1:7" ht="15" customHeight="1" x14ac:dyDescent="0.15">
      <c r="A738">
        <f>IF(INDEX(Transactions!$J:$J,ROW()-8)="","",INDEX(Transactions!$J:$J,ROW()-8))</f>
      </c>
      <c r="B738" s="297">
        <f>IF($A738="",TODAY(),INDEX(Transactions!$G:$G,ROW()-8))</f>
      </c>
      <c r="C738">
        <f>IF($A738="","",INDEX(Transactions!$A:$A,ROW()-8))</f>
      </c>
      <c r="D738" s="30">
        <f>IF($A738="",0,INDEX(Transactions!$H:$H,ROW()-8))</f>
      </c>
      <c r="E738">
        <f>IF($A738="",1,INDEX(Transactions!$N:$N,ROW()-8))</f>
        <v>1</v>
      </c>
      <c r="F738" s="30">
        <f>IF($A738="",0,INDEX(Transactions!$O:$O,ROW()-8))</f>
      </c>
      <c r="G738" s="30">
        <f>IF($A738="",0,INDEX(Transactions!$P:$P,ROW()-8))</f>
      </c>
    </row>
    <row r="739" spans="1:7" ht="15" customHeight="1" x14ac:dyDescent="0.15">
      <c r="A739">
        <f>IF(INDEX(Transactions!$J:$J,ROW()-8)="","",INDEX(Transactions!$J:$J,ROW()-8))</f>
      </c>
      <c r="B739" s="297">
        <f>IF($A739="",TODAY(),INDEX(Transactions!$G:$G,ROW()-8))</f>
      </c>
      <c r="C739">
        <f>IF($A739="","",INDEX(Transactions!$A:$A,ROW()-8))</f>
      </c>
      <c r="D739" s="30">
        <f>IF($A739="",0,INDEX(Transactions!$H:$H,ROW()-8))</f>
      </c>
      <c r="E739">
        <f>IF($A739="",1,INDEX(Transactions!$N:$N,ROW()-8))</f>
        <v>1</v>
      </c>
      <c r="F739" s="30">
        <f>IF($A739="",0,INDEX(Transactions!$O:$O,ROW()-8))</f>
      </c>
      <c r="G739" s="30">
        <f>IF($A739="",0,INDEX(Transactions!$P:$P,ROW()-8))</f>
      </c>
    </row>
    <row r="740" spans="1:7" ht="15" customHeight="1" x14ac:dyDescent="0.15">
      <c r="A740">
        <f>IF(INDEX(Transactions!$J:$J,ROW()-8)="","",INDEX(Transactions!$J:$J,ROW()-8))</f>
      </c>
      <c r="B740" s="297">
        <f>IF($A740="",TODAY(),INDEX(Transactions!$G:$G,ROW()-8))</f>
      </c>
      <c r="C740">
        <f>IF($A740="","",INDEX(Transactions!$A:$A,ROW()-8))</f>
      </c>
      <c r="D740" s="30">
        <f>IF($A740="",0,INDEX(Transactions!$H:$H,ROW()-8))</f>
      </c>
      <c r="E740">
        <f>IF($A740="",1,INDEX(Transactions!$N:$N,ROW()-8))</f>
        <v>1</v>
      </c>
      <c r="F740" s="30">
        <f>IF($A740="",0,INDEX(Transactions!$O:$O,ROW()-8))</f>
      </c>
      <c r="G740" s="30">
        <f>IF($A740="",0,INDEX(Transactions!$P:$P,ROW()-8))</f>
      </c>
    </row>
    <row r="741" spans="1:7" ht="15" customHeight="1" x14ac:dyDescent="0.15">
      <c r="A741">
        <f>IF(INDEX(Transactions!$J:$J,ROW()-8)="","",INDEX(Transactions!$J:$J,ROW()-8))</f>
      </c>
      <c r="B741" s="297">
        <f>IF($A741="",TODAY(),INDEX(Transactions!$G:$G,ROW()-8))</f>
      </c>
      <c r="C741">
        <f>IF($A741="","",INDEX(Transactions!$A:$A,ROW()-8))</f>
      </c>
      <c r="D741" s="30">
        <f>IF($A741="",0,INDEX(Transactions!$H:$H,ROW()-8))</f>
      </c>
      <c r="E741">
        <f>IF($A741="",1,INDEX(Transactions!$N:$N,ROW()-8))</f>
        <v>1</v>
      </c>
      <c r="F741" s="30">
        <f>IF($A741="",0,INDEX(Transactions!$O:$O,ROW()-8))</f>
      </c>
      <c r="G741" s="30">
        <f>IF($A741="",0,INDEX(Transactions!$P:$P,ROW()-8))</f>
      </c>
    </row>
    <row r="742" spans="1:7" ht="15" customHeight="1" x14ac:dyDescent="0.15">
      <c r="A742">
        <f>IF(INDEX(Transactions!$J:$J,ROW()-8)="","",INDEX(Transactions!$J:$J,ROW()-8))</f>
      </c>
      <c r="B742" s="297">
        <f>IF($A742="",TODAY(),INDEX(Transactions!$G:$G,ROW()-8))</f>
      </c>
      <c r="C742">
        <f>IF($A742="","",INDEX(Transactions!$A:$A,ROW()-8))</f>
      </c>
      <c r="D742" s="30">
        <f>IF($A742="",0,INDEX(Transactions!$H:$H,ROW()-8))</f>
      </c>
      <c r="E742">
        <f>IF($A742="",1,INDEX(Transactions!$N:$N,ROW()-8))</f>
        <v>1</v>
      </c>
      <c r="F742" s="30">
        <f>IF($A742="",0,INDEX(Transactions!$O:$O,ROW()-8))</f>
      </c>
      <c r="G742" s="30">
        <f>IF($A742="",0,INDEX(Transactions!$P:$P,ROW()-8))</f>
      </c>
    </row>
    <row r="743" spans="1:7" ht="15" customHeight="1" x14ac:dyDescent="0.15">
      <c r="A743">
        <f>IF(INDEX(Transactions!$J:$J,ROW()-8)="","",INDEX(Transactions!$J:$J,ROW()-8))</f>
      </c>
      <c r="B743" s="297">
        <f>IF($A743="",TODAY(),INDEX(Transactions!$G:$G,ROW()-8))</f>
      </c>
      <c r="C743">
        <f>IF($A743="","",INDEX(Transactions!$A:$A,ROW()-8))</f>
      </c>
      <c r="D743" s="30">
        <f>IF($A743="",0,INDEX(Transactions!$H:$H,ROW()-8))</f>
      </c>
      <c r="E743">
        <f>IF($A743="",1,INDEX(Transactions!$N:$N,ROW()-8))</f>
        <v>1</v>
      </c>
      <c r="F743" s="30">
        <f>IF($A743="",0,INDEX(Transactions!$O:$O,ROW()-8))</f>
      </c>
      <c r="G743" s="30">
        <f>IF($A743="",0,INDEX(Transactions!$P:$P,ROW()-8))</f>
      </c>
    </row>
    <row r="744" spans="1:7" ht="15" customHeight="1" x14ac:dyDescent="0.15">
      <c r="A744">
        <f>IF(INDEX(Transactions!$J:$J,ROW()-8)="","",INDEX(Transactions!$J:$J,ROW()-8))</f>
      </c>
      <c r="B744" s="297">
        <f>IF($A744="",TODAY(),INDEX(Transactions!$G:$G,ROW()-8))</f>
      </c>
      <c r="C744">
        <f>IF($A744="","",INDEX(Transactions!$A:$A,ROW()-8))</f>
      </c>
      <c r="D744" s="30">
        <f>IF($A744="",0,INDEX(Transactions!$H:$H,ROW()-8))</f>
      </c>
      <c r="E744">
        <f>IF($A744="",1,INDEX(Transactions!$N:$N,ROW()-8))</f>
        <v>1</v>
      </c>
      <c r="F744" s="30">
        <f>IF($A744="",0,INDEX(Transactions!$O:$O,ROW()-8))</f>
      </c>
      <c r="G744" s="30">
        <f>IF($A744="",0,INDEX(Transactions!$P:$P,ROW()-8))</f>
      </c>
    </row>
    <row r="745" spans="1:7" ht="15" customHeight="1" x14ac:dyDescent="0.15">
      <c r="A745">
        <f>IF(INDEX(Transactions!$J:$J,ROW()-8)="","",INDEX(Transactions!$J:$J,ROW()-8))</f>
      </c>
      <c r="B745" s="297">
        <f>IF($A745="",TODAY(),INDEX(Transactions!$G:$G,ROW()-8))</f>
      </c>
      <c r="C745">
        <f>IF($A745="","",INDEX(Transactions!$A:$A,ROW()-8))</f>
      </c>
      <c r="D745" s="30">
        <f>IF($A745="",0,INDEX(Transactions!$H:$H,ROW()-8))</f>
      </c>
      <c r="E745">
        <f>IF($A745="",1,INDEX(Transactions!$N:$N,ROW()-8))</f>
        <v>1</v>
      </c>
      <c r="F745" s="30">
        <f>IF($A745="",0,INDEX(Transactions!$O:$O,ROW()-8))</f>
      </c>
      <c r="G745" s="30">
        <f>IF($A745="",0,INDEX(Transactions!$P:$P,ROW()-8))</f>
      </c>
    </row>
    <row r="746" spans="1:7" ht="15" customHeight="1" x14ac:dyDescent="0.15">
      <c r="A746">
        <f>IF(INDEX(Transactions!$J:$J,ROW()-8)="","",INDEX(Transactions!$J:$J,ROW()-8))</f>
      </c>
      <c r="B746" s="297">
        <f>IF($A746="",TODAY(),INDEX(Transactions!$G:$G,ROW()-8))</f>
      </c>
      <c r="C746">
        <f>IF($A746="","",INDEX(Transactions!$A:$A,ROW()-8))</f>
      </c>
      <c r="D746" s="30">
        <f>IF($A746="",0,INDEX(Transactions!$H:$H,ROW()-8))</f>
      </c>
      <c r="E746">
        <f>IF($A746="",1,INDEX(Transactions!$N:$N,ROW()-8))</f>
        <v>1</v>
      </c>
      <c r="F746" s="30">
        <f>IF($A746="",0,INDEX(Transactions!$O:$O,ROW()-8))</f>
      </c>
      <c r="G746" s="30">
        <f>IF($A746="",0,INDEX(Transactions!$P:$P,ROW()-8))</f>
      </c>
    </row>
    <row r="747" spans="1:7" ht="15" customHeight="1" x14ac:dyDescent="0.15">
      <c r="A747">
        <f>IF(INDEX(Transactions!$J:$J,ROW()-8)="","",INDEX(Transactions!$J:$J,ROW()-8))</f>
      </c>
      <c r="B747" s="297">
        <f>IF($A747="",TODAY(),INDEX(Transactions!$G:$G,ROW()-8))</f>
      </c>
      <c r="C747">
        <f>IF($A747="","",INDEX(Transactions!$A:$A,ROW()-8))</f>
      </c>
      <c r="D747" s="30">
        <f>IF($A747="",0,INDEX(Transactions!$H:$H,ROW()-8))</f>
      </c>
      <c r="E747">
        <f>IF($A747="",1,INDEX(Transactions!$N:$N,ROW()-8))</f>
        <v>1</v>
      </c>
      <c r="F747" s="30">
        <f>IF($A747="",0,INDEX(Transactions!$O:$O,ROW()-8))</f>
      </c>
      <c r="G747" s="30">
        <f>IF($A747="",0,INDEX(Transactions!$P:$P,ROW()-8))</f>
      </c>
    </row>
    <row r="748" spans="1:7" ht="15" customHeight="1" x14ac:dyDescent="0.15">
      <c r="A748">
        <f>IF(INDEX(Transactions!$J:$J,ROW()-8)="","",INDEX(Transactions!$J:$J,ROW()-8))</f>
      </c>
      <c r="B748" s="297">
        <f>IF($A748="",TODAY(),INDEX(Transactions!$G:$G,ROW()-8))</f>
      </c>
      <c r="C748">
        <f>IF($A748="","",INDEX(Transactions!$A:$A,ROW()-8))</f>
      </c>
      <c r="D748" s="30">
        <f>IF($A748="",0,INDEX(Transactions!$H:$H,ROW()-8))</f>
      </c>
      <c r="E748">
        <f>IF($A748="",1,INDEX(Transactions!$N:$N,ROW()-8))</f>
        <v>1</v>
      </c>
      <c r="F748" s="30">
        <f>IF($A748="",0,INDEX(Transactions!$O:$O,ROW()-8))</f>
      </c>
      <c r="G748" s="30">
        <f>IF($A748="",0,INDEX(Transactions!$P:$P,ROW()-8))</f>
      </c>
    </row>
    <row r="749" spans="1:7" ht="15" customHeight="1" x14ac:dyDescent="0.15">
      <c r="A749">
        <f>IF(INDEX(Transactions!$J:$J,ROW()-8)="","",INDEX(Transactions!$J:$J,ROW()-8))</f>
      </c>
      <c r="B749" s="297">
        <f>IF($A749="",TODAY(),INDEX(Transactions!$G:$G,ROW()-8))</f>
      </c>
      <c r="C749">
        <f>IF($A749="","",INDEX(Transactions!$A:$A,ROW()-8))</f>
      </c>
      <c r="D749" s="30">
        <f>IF($A749="",0,INDEX(Transactions!$H:$H,ROW()-8))</f>
      </c>
      <c r="E749">
        <f>IF($A749="",1,INDEX(Transactions!$N:$N,ROW()-8))</f>
        <v>1</v>
      </c>
      <c r="F749" s="30">
        <f>IF($A749="",0,INDEX(Transactions!$O:$O,ROW()-8))</f>
      </c>
      <c r="G749" s="30">
        <f>IF($A749="",0,INDEX(Transactions!$P:$P,ROW()-8))</f>
      </c>
    </row>
    <row r="750" spans="1:7" ht="15" customHeight="1" x14ac:dyDescent="0.15">
      <c r="A750">
        <f>IF(INDEX(Transactions!$J:$J,ROW()-8)="","",INDEX(Transactions!$J:$J,ROW()-8))</f>
      </c>
      <c r="B750" s="297">
        <f>IF($A750="",TODAY(),INDEX(Transactions!$G:$G,ROW()-8))</f>
      </c>
      <c r="C750">
        <f>IF($A750="","",INDEX(Transactions!$A:$A,ROW()-8))</f>
      </c>
      <c r="D750" s="30">
        <f>IF($A750="",0,INDEX(Transactions!$H:$H,ROW()-8))</f>
      </c>
      <c r="E750">
        <f>IF($A750="",1,INDEX(Transactions!$N:$N,ROW()-8))</f>
        <v>1</v>
      </c>
      <c r="F750" s="30">
        <f>IF($A750="",0,INDEX(Transactions!$O:$O,ROW()-8))</f>
      </c>
      <c r="G750" s="30">
        <f>IF($A750="",0,INDEX(Transactions!$P:$P,ROW()-8))</f>
      </c>
    </row>
    <row r="751" spans="1:7" ht="15" customHeight="1" x14ac:dyDescent="0.15">
      <c r="A751">
        <f>IF(INDEX(Transactions!$J:$J,ROW()-8)="","",INDEX(Transactions!$J:$J,ROW()-8))</f>
      </c>
      <c r="B751" s="297">
        <f>IF($A751="",TODAY(),INDEX(Transactions!$G:$G,ROW()-8))</f>
      </c>
      <c r="C751">
        <f>IF($A751="","",INDEX(Transactions!$A:$A,ROW()-8))</f>
      </c>
      <c r="D751" s="30">
        <f>IF($A751="",0,INDEX(Transactions!$H:$H,ROW()-8))</f>
      </c>
      <c r="E751">
        <f>IF($A751="",1,INDEX(Transactions!$N:$N,ROW()-8))</f>
        <v>1</v>
      </c>
      <c r="F751" s="30">
        <f>IF($A751="",0,INDEX(Transactions!$O:$O,ROW()-8))</f>
      </c>
      <c r="G751" s="30">
        <f>IF($A751="",0,INDEX(Transactions!$P:$P,ROW()-8))</f>
      </c>
    </row>
    <row r="752" spans="1:7" ht="15" customHeight="1" x14ac:dyDescent="0.15">
      <c r="A752">
        <f>IF(INDEX(Transactions!$J:$J,ROW()-8)="","",INDEX(Transactions!$J:$J,ROW()-8))</f>
      </c>
      <c r="B752" s="297">
        <f>IF($A752="",TODAY(),INDEX(Transactions!$G:$G,ROW()-8))</f>
      </c>
      <c r="C752">
        <f>IF($A752="","",INDEX(Transactions!$A:$A,ROW()-8))</f>
      </c>
      <c r="D752" s="30">
        <f>IF($A752="",0,INDEX(Transactions!$H:$H,ROW()-8))</f>
      </c>
      <c r="E752">
        <f>IF($A752="",1,INDEX(Transactions!$N:$N,ROW()-8))</f>
        <v>1</v>
      </c>
      <c r="F752" s="30">
        <f>IF($A752="",0,INDEX(Transactions!$O:$O,ROW()-8))</f>
      </c>
      <c r="G752" s="30">
        <f>IF($A752="",0,INDEX(Transactions!$P:$P,ROW()-8))</f>
      </c>
    </row>
    <row r="753" spans="1:7" ht="15" customHeight="1" x14ac:dyDescent="0.15">
      <c r="A753">
        <f>IF(INDEX(Transactions!$J:$J,ROW()-8)="","",INDEX(Transactions!$J:$J,ROW()-8))</f>
      </c>
      <c r="B753" s="297">
        <f>IF($A753="",TODAY(),INDEX(Transactions!$G:$G,ROW()-8))</f>
      </c>
      <c r="C753">
        <f>IF($A753="","",INDEX(Transactions!$A:$A,ROW()-8))</f>
      </c>
      <c r="D753" s="30">
        <f>IF($A753="",0,INDEX(Transactions!$H:$H,ROW()-8))</f>
      </c>
      <c r="E753">
        <f>IF($A753="",1,INDEX(Transactions!$N:$N,ROW()-8))</f>
        <v>1</v>
      </c>
      <c r="F753" s="30">
        <f>IF($A753="",0,INDEX(Transactions!$O:$O,ROW()-8))</f>
      </c>
      <c r="G753" s="30">
        <f>IF($A753="",0,INDEX(Transactions!$P:$P,ROW()-8))</f>
      </c>
    </row>
    <row r="754" spans="1:7" ht="15" customHeight="1" x14ac:dyDescent="0.15">
      <c r="A754">
        <f>IF(INDEX(Transactions!$J:$J,ROW()-8)="","",INDEX(Transactions!$J:$J,ROW()-8))</f>
      </c>
      <c r="B754" s="297">
        <f>IF($A754="",TODAY(),INDEX(Transactions!$G:$G,ROW()-8))</f>
      </c>
      <c r="C754">
        <f>IF($A754="","",INDEX(Transactions!$A:$A,ROW()-8))</f>
      </c>
      <c r="D754" s="30">
        <f>IF($A754="",0,INDEX(Transactions!$H:$H,ROW()-8))</f>
      </c>
      <c r="E754">
        <f>IF($A754="",1,INDEX(Transactions!$N:$N,ROW()-8))</f>
        <v>1</v>
      </c>
      <c r="F754" s="30">
        <f>IF($A754="",0,INDEX(Transactions!$O:$O,ROW()-8))</f>
      </c>
      <c r="G754" s="30">
        <f>IF($A754="",0,INDEX(Transactions!$P:$P,ROW()-8))</f>
      </c>
    </row>
    <row r="755" spans="1:7" ht="15" customHeight="1" x14ac:dyDescent="0.15">
      <c r="A755">
        <f>IF(INDEX(Transactions!$J:$J,ROW()-8)="","",INDEX(Transactions!$J:$J,ROW()-8))</f>
      </c>
      <c r="B755" s="297">
        <f>IF($A755="",TODAY(),INDEX(Transactions!$G:$G,ROW()-8))</f>
      </c>
      <c r="C755">
        <f>IF($A755="","",INDEX(Transactions!$A:$A,ROW()-8))</f>
      </c>
      <c r="D755" s="30">
        <f>IF($A755="",0,INDEX(Transactions!$H:$H,ROW()-8))</f>
      </c>
      <c r="E755">
        <f>IF($A755="",1,INDEX(Transactions!$N:$N,ROW()-8))</f>
        <v>1</v>
      </c>
      <c r="F755" s="30">
        <f>IF($A755="",0,INDEX(Transactions!$O:$O,ROW()-8))</f>
      </c>
      <c r="G755" s="30">
        <f>IF($A755="",0,INDEX(Transactions!$P:$P,ROW()-8))</f>
      </c>
    </row>
    <row r="756" spans="1:7" ht="15" customHeight="1" x14ac:dyDescent="0.15">
      <c r="A756">
        <f>IF(INDEX(Transactions!$J:$J,ROW()-8)="","",INDEX(Transactions!$J:$J,ROW()-8))</f>
      </c>
      <c r="B756" s="297">
        <f>IF($A756="",TODAY(),INDEX(Transactions!$G:$G,ROW()-8))</f>
      </c>
      <c r="C756">
        <f>IF($A756="","",INDEX(Transactions!$A:$A,ROW()-8))</f>
      </c>
      <c r="D756" s="30">
        <f>IF($A756="",0,INDEX(Transactions!$H:$H,ROW()-8))</f>
      </c>
      <c r="E756">
        <f>IF($A756="",1,INDEX(Transactions!$N:$N,ROW()-8))</f>
        <v>1</v>
      </c>
      <c r="F756" s="30">
        <f>IF($A756="",0,INDEX(Transactions!$O:$O,ROW()-8))</f>
      </c>
      <c r="G756" s="30">
        <f>IF($A756="",0,INDEX(Transactions!$P:$P,ROW()-8))</f>
      </c>
    </row>
    <row r="757" spans="1:7" ht="15" customHeight="1" x14ac:dyDescent="0.15">
      <c r="A757">
        <f>IF(INDEX(Transactions!$J:$J,ROW()-8)="","",INDEX(Transactions!$J:$J,ROW()-8))</f>
      </c>
      <c r="B757" s="297">
        <f>IF($A757="",TODAY(),INDEX(Transactions!$G:$G,ROW()-8))</f>
      </c>
      <c r="C757">
        <f>IF($A757="","",INDEX(Transactions!$A:$A,ROW()-8))</f>
      </c>
      <c r="D757" s="30">
        <f>IF($A757="",0,INDEX(Transactions!$H:$H,ROW()-8))</f>
      </c>
      <c r="E757">
        <f>IF($A757="",1,INDEX(Transactions!$N:$N,ROW()-8))</f>
        <v>1</v>
      </c>
      <c r="F757" s="30">
        <f>IF($A757="",0,INDEX(Transactions!$O:$O,ROW()-8))</f>
      </c>
      <c r="G757" s="30">
        <f>IF($A757="",0,INDEX(Transactions!$P:$P,ROW()-8))</f>
      </c>
    </row>
    <row r="758" spans="1:7" ht="15" customHeight="1" x14ac:dyDescent="0.15">
      <c r="A758">
        <f>IF(INDEX(Transactions!$J:$J,ROW()-8)="","",INDEX(Transactions!$J:$J,ROW()-8))</f>
      </c>
      <c r="B758" s="297">
        <f>IF($A758="",TODAY(),INDEX(Transactions!$G:$G,ROW()-8))</f>
      </c>
      <c r="C758">
        <f>IF($A758="","",INDEX(Transactions!$A:$A,ROW()-8))</f>
      </c>
      <c r="D758" s="30">
        <f>IF($A758="",0,INDEX(Transactions!$H:$H,ROW()-8))</f>
      </c>
      <c r="E758">
        <f>IF($A758="",1,INDEX(Transactions!$N:$N,ROW()-8))</f>
        <v>1</v>
      </c>
      <c r="F758" s="30">
        <f>IF($A758="",0,INDEX(Transactions!$O:$O,ROW()-8))</f>
      </c>
      <c r="G758" s="30">
        <f>IF($A758="",0,INDEX(Transactions!$P:$P,ROW()-8))</f>
      </c>
    </row>
    <row r="759" spans="1:7" ht="15" customHeight="1" x14ac:dyDescent="0.15">
      <c r="A759">
        <f>IF(INDEX(Transactions!$J:$J,ROW()-8)="","",INDEX(Transactions!$J:$J,ROW()-8))</f>
      </c>
      <c r="B759" s="297">
        <f>IF($A759="",TODAY(),INDEX(Transactions!$G:$G,ROW()-8))</f>
      </c>
      <c r="C759">
        <f>IF($A759="","",INDEX(Transactions!$A:$A,ROW()-8))</f>
      </c>
      <c r="D759" s="30">
        <f>IF($A759="",0,INDEX(Transactions!$H:$H,ROW()-8))</f>
      </c>
      <c r="E759">
        <f>IF($A759="",1,INDEX(Transactions!$N:$N,ROW()-8))</f>
        <v>1</v>
      </c>
      <c r="F759" s="30">
        <f>IF($A759="",0,INDEX(Transactions!$O:$O,ROW()-8))</f>
      </c>
      <c r="G759" s="30">
        <f>IF($A759="",0,INDEX(Transactions!$P:$P,ROW()-8))</f>
      </c>
    </row>
    <row r="760" spans="1:7" ht="15" customHeight="1" x14ac:dyDescent="0.15">
      <c r="A760">
        <f>IF(INDEX(Transactions!$J:$J,ROW()-8)="","",INDEX(Transactions!$J:$J,ROW()-8))</f>
      </c>
      <c r="B760" s="297">
        <f>IF($A760="",TODAY(),INDEX(Transactions!$G:$G,ROW()-8))</f>
      </c>
      <c r="C760">
        <f>IF($A760="","",INDEX(Transactions!$A:$A,ROW()-8))</f>
      </c>
      <c r="D760" s="30">
        <f>IF($A760="",0,INDEX(Transactions!$H:$H,ROW()-8))</f>
      </c>
      <c r="E760">
        <f>IF($A760="",1,INDEX(Transactions!$N:$N,ROW()-8))</f>
        <v>1</v>
      </c>
      <c r="F760" s="30">
        <f>IF($A760="",0,INDEX(Transactions!$O:$O,ROW()-8))</f>
      </c>
      <c r="G760" s="30">
        <f>IF($A760="",0,INDEX(Transactions!$P:$P,ROW()-8))</f>
      </c>
    </row>
    <row r="761" spans="1:7" ht="15" customHeight="1" x14ac:dyDescent="0.15">
      <c r="A761">
        <f>IF(INDEX(Transactions!$J:$J,ROW()-8)="","",INDEX(Transactions!$J:$J,ROW()-8))</f>
      </c>
      <c r="B761" s="297">
        <f>IF($A761="",TODAY(),INDEX(Transactions!$G:$G,ROW()-8))</f>
      </c>
      <c r="C761">
        <f>IF($A761="","",INDEX(Transactions!$A:$A,ROW()-8))</f>
      </c>
      <c r="D761" s="30">
        <f>IF($A761="",0,INDEX(Transactions!$H:$H,ROW()-8))</f>
      </c>
      <c r="E761">
        <f>IF($A761="",1,INDEX(Transactions!$N:$N,ROW()-8))</f>
        <v>1</v>
      </c>
      <c r="F761" s="30">
        <f>IF($A761="",0,INDEX(Transactions!$O:$O,ROW()-8))</f>
      </c>
      <c r="G761" s="30">
        <f>IF($A761="",0,INDEX(Transactions!$P:$P,ROW()-8))</f>
      </c>
    </row>
    <row r="762" spans="1:7" ht="15" customHeight="1" x14ac:dyDescent="0.15">
      <c r="A762">
        <f>IF(INDEX(Transactions!$J:$J,ROW()-8)="","",INDEX(Transactions!$J:$J,ROW()-8))</f>
      </c>
      <c r="B762" s="297">
        <f>IF($A762="",TODAY(),INDEX(Transactions!$G:$G,ROW()-8))</f>
      </c>
      <c r="C762">
        <f>IF($A762="","",INDEX(Transactions!$A:$A,ROW()-8))</f>
      </c>
      <c r="D762" s="30">
        <f>IF($A762="",0,INDEX(Transactions!$H:$H,ROW()-8))</f>
      </c>
      <c r="E762">
        <f>IF($A762="",1,INDEX(Transactions!$N:$N,ROW()-8))</f>
        <v>1</v>
      </c>
      <c r="F762" s="30">
        <f>IF($A762="",0,INDEX(Transactions!$O:$O,ROW()-8))</f>
      </c>
      <c r="G762" s="30">
        <f>IF($A762="",0,INDEX(Transactions!$P:$P,ROW()-8))</f>
      </c>
    </row>
    <row r="763" spans="1:7" ht="15" customHeight="1" x14ac:dyDescent="0.15">
      <c r="A763">
        <f>IF(INDEX(Transactions!$J:$J,ROW()-8)="","",INDEX(Transactions!$J:$J,ROW()-8))</f>
      </c>
      <c r="B763" s="297">
        <f>IF($A763="",TODAY(),INDEX(Transactions!$G:$G,ROW()-8))</f>
      </c>
      <c r="C763">
        <f>IF($A763="","",INDEX(Transactions!$A:$A,ROW()-8))</f>
      </c>
      <c r="D763" s="30">
        <f>IF($A763="",0,INDEX(Transactions!$H:$H,ROW()-8))</f>
      </c>
      <c r="E763">
        <f>IF($A763="",1,INDEX(Transactions!$N:$N,ROW()-8))</f>
        <v>1</v>
      </c>
      <c r="F763" s="30">
        <f>IF($A763="",0,INDEX(Transactions!$O:$O,ROW()-8))</f>
      </c>
      <c r="G763" s="30">
        <f>IF($A763="",0,INDEX(Transactions!$P:$P,ROW()-8))</f>
      </c>
    </row>
    <row r="764" spans="1:7" ht="15" customHeight="1" x14ac:dyDescent="0.15">
      <c r="A764">
        <f>IF(INDEX(Transactions!$J:$J,ROW()-8)="","",INDEX(Transactions!$J:$J,ROW()-8))</f>
      </c>
      <c r="B764" s="297">
        <f>IF($A764="",TODAY(),INDEX(Transactions!$G:$G,ROW()-8))</f>
      </c>
      <c r="C764">
        <f>IF($A764="","",INDEX(Transactions!$A:$A,ROW()-8))</f>
      </c>
      <c r="D764" s="30">
        <f>IF($A764="",0,INDEX(Transactions!$H:$H,ROW()-8))</f>
      </c>
      <c r="E764">
        <f>IF($A764="",1,INDEX(Transactions!$N:$N,ROW()-8))</f>
        <v>1</v>
      </c>
      <c r="F764" s="30">
        <f>IF($A764="",0,INDEX(Transactions!$O:$O,ROW()-8))</f>
      </c>
      <c r="G764" s="30">
        <f>IF($A764="",0,INDEX(Transactions!$P:$P,ROW()-8))</f>
      </c>
    </row>
    <row r="765" spans="1:7" ht="15" customHeight="1" x14ac:dyDescent="0.15">
      <c r="A765">
        <f>IF(INDEX(Transactions!$J:$J,ROW()-8)="","",INDEX(Transactions!$J:$J,ROW()-8))</f>
      </c>
      <c r="B765" s="297">
        <f>IF($A765="",TODAY(),INDEX(Transactions!$G:$G,ROW()-8))</f>
      </c>
      <c r="C765">
        <f>IF($A765="","",INDEX(Transactions!$A:$A,ROW()-8))</f>
      </c>
      <c r="D765" s="30">
        <f>IF($A765="",0,INDEX(Transactions!$H:$H,ROW()-8))</f>
      </c>
      <c r="E765">
        <f>IF($A765="",1,INDEX(Transactions!$N:$N,ROW()-8))</f>
        <v>1</v>
      </c>
      <c r="F765" s="30">
        <f>IF($A765="",0,INDEX(Transactions!$O:$O,ROW()-8))</f>
      </c>
      <c r="G765" s="30">
        <f>IF($A765="",0,INDEX(Transactions!$P:$P,ROW()-8))</f>
      </c>
    </row>
    <row r="766" spans="1:7" ht="15" customHeight="1" x14ac:dyDescent="0.15">
      <c r="A766">
        <f>IF(INDEX(Transactions!$J:$J,ROW()-8)="","",INDEX(Transactions!$J:$J,ROW()-8))</f>
      </c>
      <c r="B766" s="297">
        <f>IF($A766="",TODAY(),INDEX(Transactions!$G:$G,ROW()-8))</f>
      </c>
      <c r="C766">
        <f>IF($A766="","",INDEX(Transactions!$A:$A,ROW()-8))</f>
      </c>
      <c r="D766" s="30">
        <f>IF($A766="",0,INDEX(Transactions!$H:$H,ROW()-8))</f>
      </c>
      <c r="E766">
        <f>IF($A766="",1,INDEX(Transactions!$N:$N,ROW()-8))</f>
        <v>1</v>
      </c>
      <c r="F766" s="30">
        <f>IF($A766="",0,INDEX(Transactions!$O:$O,ROW()-8))</f>
      </c>
      <c r="G766" s="30">
        <f>IF($A766="",0,INDEX(Transactions!$P:$P,ROW()-8))</f>
      </c>
    </row>
    <row r="767" spans="1:7" ht="15" customHeight="1" x14ac:dyDescent="0.15">
      <c r="A767">
        <f>IF(INDEX(Transactions!$J:$J,ROW()-8)="","",INDEX(Transactions!$J:$J,ROW()-8))</f>
      </c>
      <c r="B767" s="297">
        <f>IF($A767="",TODAY(),INDEX(Transactions!$G:$G,ROW()-8))</f>
      </c>
      <c r="C767">
        <f>IF($A767="","",INDEX(Transactions!$A:$A,ROW()-8))</f>
      </c>
      <c r="D767" s="30">
        <f>IF($A767="",0,INDEX(Transactions!$H:$H,ROW()-8))</f>
      </c>
      <c r="E767">
        <f>IF($A767="",1,INDEX(Transactions!$N:$N,ROW()-8))</f>
        <v>1</v>
      </c>
      <c r="F767" s="30">
        <f>IF($A767="",0,INDEX(Transactions!$O:$O,ROW()-8))</f>
      </c>
      <c r="G767" s="30">
        <f>IF($A767="",0,INDEX(Transactions!$P:$P,ROW()-8))</f>
      </c>
    </row>
    <row r="768" spans="1:7" ht="15" customHeight="1" x14ac:dyDescent="0.15">
      <c r="A768">
        <f>IF(INDEX(Transactions!$J:$J,ROW()-8)="","",INDEX(Transactions!$J:$J,ROW()-8))</f>
      </c>
      <c r="B768" s="297">
        <f>IF($A768="",TODAY(),INDEX(Transactions!$G:$G,ROW()-8))</f>
      </c>
      <c r="C768">
        <f>IF($A768="","",INDEX(Transactions!$A:$A,ROW()-8))</f>
      </c>
      <c r="D768" s="30">
        <f>IF($A768="",0,INDEX(Transactions!$H:$H,ROW()-8))</f>
      </c>
      <c r="E768">
        <f>IF($A768="",1,INDEX(Transactions!$N:$N,ROW()-8))</f>
        <v>1</v>
      </c>
      <c r="F768" s="30">
        <f>IF($A768="",0,INDEX(Transactions!$O:$O,ROW()-8))</f>
      </c>
      <c r="G768" s="30">
        <f>IF($A768="",0,INDEX(Transactions!$P:$P,ROW()-8))</f>
      </c>
    </row>
    <row r="769" spans="1:7" ht="15" customHeight="1" x14ac:dyDescent="0.15">
      <c r="A769">
        <f>IF(INDEX(Transactions!$J:$J,ROW()-8)="","",INDEX(Transactions!$J:$J,ROW()-8))</f>
      </c>
      <c r="B769" s="297">
        <f>IF($A769="",TODAY(),INDEX(Transactions!$G:$G,ROW()-8))</f>
      </c>
      <c r="C769">
        <f>IF($A769="","",INDEX(Transactions!$A:$A,ROW()-8))</f>
      </c>
      <c r="D769" s="30">
        <f>IF($A769="",0,INDEX(Transactions!$H:$H,ROW()-8))</f>
      </c>
      <c r="E769">
        <f>IF($A769="",1,INDEX(Transactions!$N:$N,ROW()-8))</f>
        <v>1</v>
      </c>
      <c r="F769" s="30">
        <f>IF($A769="",0,INDEX(Transactions!$O:$O,ROW()-8))</f>
      </c>
      <c r="G769" s="30">
        <f>IF($A769="",0,INDEX(Transactions!$P:$P,ROW()-8))</f>
      </c>
    </row>
    <row r="770" spans="1:7" ht="15" customHeight="1" x14ac:dyDescent="0.15">
      <c r="A770">
        <f>IF(INDEX(Transactions!$J:$J,ROW()-8)="","",INDEX(Transactions!$J:$J,ROW()-8))</f>
      </c>
      <c r="B770" s="297">
        <f>IF($A770="",TODAY(),INDEX(Transactions!$G:$G,ROW()-8))</f>
      </c>
      <c r="C770">
        <f>IF($A770="","",INDEX(Transactions!$A:$A,ROW()-8))</f>
      </c>
      <c r="D770" s="30">
        <f>IF($A770="",0,INDEX(Transactions!$H:$H,ROW()-8))</f>
      </c>
      <c r="E770">
        <f>IF($A770="",1,INDEX(Transactions!$N:$N,ROW()-8))</f>
        <v>1</v>
      </c>
      <c r="F770" s="30">
        <f>IF($A770="",0,INDEX(Transactions!$O:$O,ROW()-8))</f>
      </c>
      <c r="G770" s="30">
        <f>IF($A770="",0,INDEX(Transactions!$P:$P,ROW()-8))</f>
      </c>
    </row>
    <row r="771" spans="1:7" ht="15" customHeight="1" x14ac:dyDescent="0.15">
      <c r="A771">
        <f>IF(INDEX(Transactions!$J:$J,ROW()-8)="","",INDEX(Transactions!$J:$J,ROW()-8))</f>
      </c>
      <c r="B771" s="297">
        <f>IF($A771="",TODAY(),INDEX(Transactions!$G:$G,ROW()-8))</f>
      </c>
      <c r="C771">
        <f>IF($A771="","",INDEX(Transactions!$A:$A,ROW()-8))</f>
      </c>
      <c r="D771" s="30">
        <f>IF($A771="",0,INDEX(Transactions!$H:$H,ROW()-8))</f>
      </c>
      <c r="E771">
        <f>IF($A771="",1,INDEX(Transactions!$N:$N,ROW()-8))</f>
        <v>1</v>
      </c>
      <c r="F771" s="30">
        <f>IF($A771="",0,INDEX(Transactions!$O:$O,ROW()-8))</f>
      </c>
      <c r="G771" s="30">
        <f>IF($A771="",0,INDEX(Transactions!$P:$P,ROW()-8))</f>
      </c>
    </row>
    <row r="772" spans="1:7" ht="15" customHeight="1" x14ac:dyDescent="0.15">
      <c r="A772">
        <f>IF(INDEX(Transactions!$J:$J,ROW()-8)="","",INDEX(Transactions!$J:$J,ROW()-8))</f>
      </c>
      <c r="B772" s="297">
        <f>IF($A772="",TODAY(),INDEX(Transactions!$G:$G,ROW()-8))</f>
      </c>
      <c r="C772">
        <f>IF($A772="","",INDEX(Transactions!$A:$A,ROW()-8))</f>
      </c>
      <c r="D772" s="30">
        <f>IF($A772="",0,INDEX(Transactions!$H:$H,ROW()-8))</f>
      </c>
      <c r="E772">
        <f>IF($A772="",1,INDEX(Transactions!$N:$N,ROW()-8))</f>
        <v>1</v>
      </c>
      <c r="F772" s="30">
        <f>IF($A772="",0,INDEX(Transactions!$O:$O,ROW()-8))</f>
      </c>
      <c r="G772" s="30">
        <f>IF($A772="",0,INDEX(Transactions!$P:$P,ROW()-8))</f>
      </c>
    </row>
    <row r="773" spans="1:7" ht="15" customHeight="1" x14ac:dyDescent="0.15">
      <c r="A773">
        <f>IF(INDEX(Transactions!$J:$J,ROW()-8)="","",INDEX(Transactions!$J:$J,ROW()-8))</f>
      </c>
      <c r="B773" s="297">
        <f>IF($A773="",TODAY(),INDEX(Transactions!$G:$G,ROW()-8))</f>
      </c>
      <c r="C773">
        <f>IF($A773="","",INDEX(Transactions!$A:$A,ROW()-8))</f>
      </c>
      <c r="D773" s="30">
        <f>IF($A773="",0,INDEX(Transactions!$H:$H,ROW()-8))</f>
      </c>
      <c r="E773">
        <f>IF($A773="",1,INDEX(Transactions!$N:$N,ROW()-8))</f>
        <v>1</v>
      </c>
      <c r="F773" s="30">
        <f>IF($A773="",0,INDEX(Transactions!$O:$O,ROW()-8))</f>
      </c>
      <c r="G773" s="30">
        <f>IF($A773="",0,INDEX(Transactions!$P:$P,ROW()-8))</f>
      </c>
    </row>
    <row r="774" spans="1:7" ht="15" customHeight="1" x14ac:dyDescent="0.15">
      <c r="A774">
        <f>IF(INDEX(Transactions!$J:$J,ROW()-8)="","",INDEX(Transactions!$J:$J,ROW()-8))</f>
      </c>
      <c r="B774" s="297">
        <f>IF($A774="",TODAY(),INDEX(Transactions!$G:$G,ROW()-8))</f>
      </c>
      <c r="C774">
        <f>IF($A774="","",INDEX(Transactions!$A:$A,ROW()-8))</f>
      </c>
      <c r="D774" s="30">
        <f>IF($A774="",0,INDEX(Transactions!$H:$H,ROW()-8))</f>
      </c>
      <c r="E774">
        <f>IF($A774="",1,INDEX(Transactions!$N:$N,ROW()-8))</f>
        <v>1</v>
      </c>
      <c r="F774" s="30">
        <f>IF($A774="",0,INDEX(Transactions!$O:$O,ROW()-8))</f>
      </c>
      <c r="G774" s="30">
        <f>IF($A774="",0,INDEX(Transactions!$P:$P,ROW()-8))</f>
      </c>
    </row>
    <row r="775" spans="1:7" ht="15" customHeight="1" x14ac:dyDescent="0.15">
      <c r="A775">
        <f>IF(INDEX(Transactions!$J:$J,ROW()-8)="","",INDEX(Transactions!$J:$J,ROW()-8))</f>
      </c>
      <c r="B775" s="297">
        <f>IF($A775="",TODAY(),INDEX(Transactions!$G:$G,ROW()-8))</f>
      </c>
      <c r="C775">
        <f>IF($A775="","",INDEX(Transactions!$A:$A,ROW()-8))</f>
      </c>
      <c r="D775" s="30">
        <f>IF($A775="",0,INDEX(Transactions!$H:$H,ROW()-8))</f>
      </c>
      <c r="E775">
        <f>IF($A775="",1,INDEX(Transactions!$N:$N,ROW()-8))</f>
        <v>1</v>
      </c>
      <c r="F775" s="30">
        <f>IF($A775="",0,INDEX(Transactions!$O:$O,ROW()-8))</f>
      </c>
      <c r="G775" s="30">
        <f>IF($A775="",0,INDEX(Transactions!$P:$P,ROW()-8))</f>
      </c>
    </row>
    <row r="776" spans="1:7" ht="15" customHeight="1" x14ac:dyDescent="0.15">
      <c r="A776">
        <f>IF(INDEX(Transactions!$J:$J,ROW()-8)="","",INDEX(Transactions!$J:$J,ROW()-8))</f>
      </c>
      <c r="B776" s="297">
        <f>IF($A776="",TODAY(),INDEX(Transactions!$G:$G,ROW()-8))</f>
      </c>
      <c r="C776">
        <f>IF($A776="","",INDEX(Transactions!$A:$A,ROW()-8))</f>
      </c>
      <c r="D776" s="30">
        <f>IF($A776="",0,INDEX(Transactions!$H:$H,ROW()-8))</f>
      </c>
      <c r="E776">
        <f>IF($A776="",1,INDEX(Transactions!$N:$N,ROW()-8))</f>
        <v>1</v>
      </c>
      <c r="F776" s="30">
        <f>IF($A776="",0,INDEX(Transactions!$O:$O,ROW()-8))</f>
      </c>
      <c r="G776" s="30">
        <f>IF($A776="",0,INDEX(Transactions!$P:$P,ROW()-8))</f>
      </c>
    </row>
    <row r="777" spans="1:7" ht="15" customHeight="1" x14ac:dyDescent="0.15">
      <c r="A777">
        <f>IF(INDEX(Transactions!$J:$J,ROW()-8)="","",INDEX(Transactions!$J:$J,ROW()-8))</f>
      </c>
      <c r="B777" s="297">
        <f>IF($A777="",TODAY(),INDEX(Transactions!$G:$G,ROW()-8))</f>
      </c>
      <c r="C777">
        <f>IF($A777="","",INDEX(Transactions!$A:$A,ROW()-8))</f>
      </c>
      <c r="D777" s="30">
        <f>IF($A777="",0,INDEX(Transactions!$H:$H,ROW()-8))</f>
      </c>
      <c r="E777">
        <f>IF($A777="",1,INDEX(Transactions!$N:$N,ROW()-8))</f>
        <v>1</v>
      </c>
      <c r="F777" s="30">
        <f>IF($A777="",0,INDEX(Transactions!$O:$O,ROW()-8))</f>
      </c>
      <c r="G777" s="30">
        <f>IF($A777="",0,INDEX(Transactions!$P:$P,ROW()-8))</f>
      </c>
    </row>
    <row r="778" spans="1:7" ht="15" customHeight="1" x14ac:dyDescent="0.15">
      <c r="A778">
        <f>IF(INDEX(Transactions!$J:$J,ROW()-8)="","",INDEX(Transactions!$J:$J,ROW()-8))</f>
      </c>
      <c r="B778" s="297">
        <f>IF($A778="",TODAY(),INDEX(Transactions!$G:$G,ROW()-8))</f>
      </c>
      <c r="C778">
        <f>IF($A778="","",INDEX(Transactions!$A:$A,ROW()-8))</f>
      </c>
      <c r="D778" s="30">
        <f>IF($A778="",0,INDEX(Transactions!$H:$H,ROW()-8))</f>
      </c>
      <c r="E778">
        <f>IF($A778="",1,INDEX(Transactions!$N:$N,ROW()-8))</f>
        <v>1</v>
      </c>
      <c r="F778" s="30">
        <f>IF($A778="",0,INDEX(Transactions!$O:$O,ROW()-8))</f>
      </c>
      <c r="G778" s="30">
        <f>IF($A778="",0,INDEX(Transactions!$P:$P,ROW()-8))</f>
      </c>
    </row>
    <row r="779" spans="1:7" ht="15" customHeight="1" x14ac:dyDescent="0.15">
      <c r="A779">
        <f>IF(INDEX(Transactions!$J:$J,ROW()-8)="","",INDEX(Transactions!$J:$J,ROW()-8))</f>
      </c>
      <c r="B779" s="297">
        <f>IF($A779="",TODAY(),INDEX(Transactions!$G:$G,ROW()-8))</f>
      </c>
      <c r="C779">
        <f>IF($A779="","",INDEX(Transactions!$A:$A,ROW()-8))</f>
      </c>
      <c r="D779" s="30">
        <f>IF($A779="",0,INDEX(Transactions!$H:$H,ROW()-8))</f>
      </c>
      <c r="E779">
        <f>IF($A779="",1,INDEX(Transactions!$N:$N,ROW()-8))</f>
        <v>1</v>
      </c>
      <c r="F779" s="30">
        <f>IF($A779="",0,INDEX(Transactions!$O:$O,ROW()-8))</f>
      </c>
      <c r="G779" s="30">
        <f>IF($A779="",0,INDEX(Transactions!$P:$P,ROW()-8))</f>
      </c>
    </row>
    <row r="780" spans="1:7" ht="15" customHeight="1" x14ac:dyDescent="0.15">
      <c r="A780">
        <f>IF(INDEX(Transactions!$J:$J,ROW()-8)="","",INDEX(Transactions!$J:$J,ROW()-8))</f>
      </c>
      <c r="B780" s="297">
        <f>IF($A780="",TODAY(),INDEX(Transactions!$G:$G,ROW()-8))</f>
      </c>
      <c r="C780">
        <f>IF($A780="","",INDEX(Transactions!$A:$A,ROW()-8))</f>
      </c>
      <c r="D780" s="30">
        <f>IF($A780="",0,INDEX(Transactions!$H:$H,ROW()-8))</f>
      </c>
      <c r="E780">
        <f>IF($A780="",1,INDEX(Transactions!$N:$N,ROW()-8))</f>
        <v>1</v>
      </c>
      <c r="F780" s="30">
        <f>IF($A780="",0,INDEX(Transactions!$O:$O,ROW()-8))</f>
      </c>
      <c r="G780" s="30">
        <f>IF($A780="",0,INDEX(Transactions!$P:$P,ROW()-8))</f>
      </c>
    </row>
    <row r="781" spans="1:7" ht="15" customHeight="1" x14ac:dyDescent="0.15">
      <c r="A781">
        <f>IF(INDEX(Transactions!$J:$J,ROW()-8)="","",INDEX(Transactions!$J:$J,ROW()-8))</f>
      </c>
      <c r="B781" s="297">
        <f>IF($A781="",TODAY(),INDEX(Transactions!$G:$G,ROW()-8))</f>
      </c>
      <c r="C781">
        <f>IF($A781="","",INDEX(Transactions!$A:$A,ROW()-8))</f>
      </c>
      <c r="D781" s="30">
        <f>IF($A781="",0,INDEX(Transactions!$H:$H,ROW()-8))</f>
      </c>
      <c r="E781">
        <f>IF($A781="",1,INDEX(Transactions!$N:$N,ROW()-8))</f>
        <v>1</v>
      </c>
      <c r="F781" s="30">
        <f>IF($A781="",0,INDEX(Transactions!$O:$O,ROW()-8))</f>
      </c>
      <c r="G781" s="30">
        <f>IF($A781="",0,INDEX(Transactions!$P:$P,ROW()-8))</f>
      </c>
    </row>
    <row r="782" spans="1:7" ht="15" customHeight="1" x14ac:dyDescent="0.15">
      <c r="A782">
        <f>IF(INDEX(Transactions!$J:$J,ROW()-8)="","",INDEX(Transactions!$J:$J,ROW()-8))</f>
      </c>
      <c r="B782" s="297">
        <f>IF($A782="",TODAY(),INDEX(Transactions!$G:$G,ROW()-8))</f>
      </c>
      <c r="C782">
        <f>IF($A782="","",INDEX(Transactions!$A:$A,ROW()-8))</f>
      </c>
      <c r="D782" s="30">
        <f>IF($A782="",0,INDEX(Transactions!$H:$H,ROW()-8))</f>
      </c>
      <c r="E782">
        <f>IF($A782="",1,INDEX(Transactions!$N:$N,ROW()-8))</f>
        <v>1</v>
      </c>
      <c r="F782" s="30">
        <f>IF($A782="",0,INDEX(Transactions!$O:$O,ROW()-8))</f>
      </c>
      <c r="G782" s="30">
        <f>IF($A782="",0,INDEX(Transactions!$P:$P,ROW()-8))</f>
      </c>
    </row>
    <row r="783" spans="1:7" ht="15" customHeight="1" x14ac:dyDescent="0.15">
      <c r="A783">
        <f>IF(INDEX(Transactions!$J:$J,ROW()-8)="","",INDEX(Transactions!$J:$J,ROW()-8))</f>
      </c>
      <c r="B783" s="297">
        <f>IF($A783="",TODAY(),INDEX(Transactions!$G:$G,ROW()-8))</f>
      </c>
      <c r="C783">
        <f>IF($A783="","",INDEX(Transactions!$A:$A,ROW()-8))</f>
      </c>
      <c r="D783" s="30">
        <f>IF($A783="",0,INDEX(Transactions!$H:$H,ROW()-8))</f>
      </c>
      <c r="E783">
        <f>IF($A783="",1,INDEX(Transactions!$N:$N,ROW()-8))</f>
        <v>1</v>
      </c>
      <c r="F783" s="30">
        <f>IF($A783="",0,INDEX(Transactions!$O:$O,ROW()-8))</f>
      </c>
      <c r="G783" s="30">
        <f>IF($A783="",0,INDEX(Transactions!$P:$P,ROW()-8))</f>
      </c>
    </row>
    <row r="784" spans="1:7" ht="15" customHeight="1" x14ac:dyDescent="0.15">
      <c r="A784">
        <f>IF(INDEX(Transactions!$J:$J,ROW()-8)="","",INDEX(Transactions!$J:$J,ROW()-8))</f>
      </c>
      <c r="B784" s="297">
        <f>IF($A784="",TODAY(),INDEX(Transactions!$G:$G,ROW()-8))</f>
      </c>
      <c r="C784">
        <f>IF($A784="","",INDEX(Transactions!$A:$A,ROW()-8))</f>
      </c>
      <c r="D784" s="30">
        <f>IF($A784="",0,INDEX(Transactions!$H:$H,ROW()-8))</f>
      </c>
      <c r="E784">
        <f>IF($A784="",1,INDEX(Transactions!$N:$N,ROW()-8))</f>
        <v>1</v>
      </c>
      <c r="F784" s="30">
        <f>IF($A784="",0,INDEX(Transactions!$O:$O,ROW()-8))</f>
      </c>
      <c r="G784" s="30">
        <f>IF($A784="",0,INDEX(Transactions!$P:$P,ROW()-8))</f>
      </c>
    </row>
    <row r="785" spans="1:7" ht="15" customHeight="1" x14ac:dyDescent="0.15">
      <c r="A785">
        <f>IF(INDEX(Transactions!$J:$J,ROW()-8)="","",INDEX(Transactions!$J:$J,ROW()-8))</f>
      </c>
      <c r="B785" s="297">
        <f>IF($A785="",TODAY(),INDEX(Transactions!$G:$G,ROW()-8))</f>
      </c>
      <c r="C785">
        <f>IF($A785="","",INDEX(Transactions!$A:$A,ROW()-8))</f>
      </c>
      <c r="D785" s="30">
        <f>IF($A785="",0,INDEX(Transactions!$H:$H,ROW()-8))</f>
      </c>
      <c r="E785">
        <f>IF($A785="",1,INDEX(Transactions!$N:$N,ROW()-8))</f>
        <v>1</v>
      </c>
      <c r="F785" s="30">
        <f>IF($A785="",0,INDEX(Transactions!$O:$O,ROW()-8))</f>
      </c>
      <c r="G785" s="30">
        <f>IF($A785="",0,INDEX(Transactions!$P:$P,ROW()-8))</f>
      </c>
    </row>
    <row r="786" spans="1:7" ht="15" customHeight="1" x14ac:dyDescent="0.15">
      <c r="A786">
        <f>IF(INDEX(Transactions!$J:$J,ROW()-8)="","",INDEX(Transactions!$J:$J,ROW()-8))</f>
      </c>
      <c r="B786" s="297">
        <f>IF($A786="",TODAY(),INDEX(Transactions!$G:$G,ROW()-8))</f>
      </c>
      <c r="C786">
        <f>IF($A786="","",INDEX(Transactions!$A:$A,ROW()-8))</f>
      </c>
      <c r="D786" s="30">
        <f>IF($A786="",0,INDEX(Transactions!$H:$H,ROW()-8))</f>
      </c>
      <c r="E786">
        <f>IF($A786="",1,INDEX(Transactions!$N:$N,ROW()-8))</f>
        <v>1</v>
      </c>
      <c r="F786" s="30">
        <f>IF($A786="",0,INDEX(Transactions!$O:$O,ROW()-8))</f>
      </c>
      <c r="G786" s="30">
        <f>IF($A786="",0,INDEX(Transactions!$P:$P,ROW()-8))</f>
      </c>
    </row>
    <row r="787" spans="1:7" ht="15" customHeight="1" x14ac:dyDescent="0.15">
      <c r="A787">
        <f>IF(INDEX(Transactions!$J:$J,ROW()-8)="","",INDEX(Transactions!$J:$J,ROW()-8))</f>
      </c>
      <c r="B787" s="297">
        <f>IF($A787="",TODAY(),INDEX(Transactions!$G:$G,ROW()-8))</f>
      </c>
      <c r="C787">
        <f>IF($A787="","",INDEX(Transactions!$A:$A,ROW()-8))</f>
      </c>
      <c r="D787" s="30">
        <f>IF($A787="",0,INDEX(Transactions!$H:$H,ROW()-8))</f>
      </c>
      <c r="E787">
        <f>IF($A787="",1,INDEX(Transactions!$N:$N,ROW()-8))</f>
        <v>1</v>
      </c>
      <c r="F787" s="30">
        <f>IF($A787="",0,INDEX(Transactions!$O:$O,ROW()-8))</f>
      </c>
      <c r="G787" s="30">
        <f>IF($A787="",0,INDEX(Transactions!$P:$P,ROW()-8))</f>
      </c>
    </row>
    <row r="788" spans="1:7" ht="15" customHeight="1" x14ac:dyDescent="0.15">
      <c r="A788">
        <f>IF(INDEX(Transactions!$J:$J,ROW()-8)="","",INDEX(Transactions!$J:$J,ROW()-8))</f>
      </c>
      <c r="B788" s="297">
        <f>IF($A788="",TODAY(),INDEX(Transactions!$G:$G,ROW()-8))</f>
      </c>
      <c r="C788">
        <f>IF($A788="","",INDEX(Transactions!$A:$A,ROW()-8))</f>
      </c>
      <c r="D788" s="30">
        <f>IF($A788="",0,INDEX(Transactions!$H:$H,ROW()-8))</f>
      </c>
      <c r="E788">
        <f>IF($A788="",1,INDEX(Transactions!$N:$N,ROW()-8))</f>
        <v>1</v>
      </c>
      <c r="F788" s="30">
        <f>IF($A788="",0,INDEX(Transactions!$O:$O,ROW()-8))</f>
      </c>
      <c r="G788" s="30">
        <f>IF($A788="",0,INDEX(Transactions!$P:$P,ROW()-8))</f>
      </c>
    </row>
    <row r="789" spans="1:7" ht="15" customHeight="1" x14ac:dyDescent="0.15">
      <c r="A789">
        <f>IF(INDEX(Transactions!$J:$J,ROW()-8)="","",INDEX(Transactions!$J:$J,ROW()-8))</f>
      </c>
      <c r="B789" s="297">
        <f>IF($A789="",TODAY(),INDEX(Transactions!$G:$G,ROW()-8))</f>
      </c>
      <c r="C789">
        <f>IF($A789="","",INDEX(Transactions!$A:$A,ROW()-8))</f>
      </c>
      <c r="D789" s="30">
        <f>IF($A789="",0,INDEX(Transactions!$H:$H,ROW()-8))</f>
      </c>
      <c r="E789">
        <f>IF($A789="",1,INDEX(Transactions!$N:$N,ROW()-8))</f>
        <v>1</v>
      </c>
      <c r="F789" s="30">
        <f>IF($A789="",0,INDEX(Transactions!$O:$O,ROW()-8))</f>
      </c>
      <c r="G789" s="30">
        <f>IF($A789="",0,INDEX(Transactions!$P:$P,ROW()-8))</f>
      </c>
    </row>
    <row r="790" spans="1:7" ht="15" customHeight="1" x14ac:dyDescent="0.15">
      <c r="A790">
        <f>IF(INDEX(Transactions!$J:$J,ROW()-8)="","",INDEX(Transactions!$J:$J,ROW()-8))</f>
      </c>
      <c r="B790" s="297">
        <f>IF($A790="",TODAY(),INDEX(Transactions!$G:$G,ROW()-8))</f>
      </c>
      <c r="C790">
        <f>IF($A790="","",INDEX(Transactions!$A:$A,ROW()-8))</f>
      </c>
      <c r="D790" s="30">
        <f>IF($A790="",0,INDEX(Transactions!$H:$H,ROW()-8))</f>
      </c>
      <c r="E790">
        <f>IF($A790="",1,INDEX(Transactions!$N:$N,ROW()-8))</f>
        <v>1</v>
      </c>
      <c r="F790" s="30">
        <f>IF($A790="",0,INDEX(Transactions!$O:$O,ROW()-8))</f>
      </c>
      <c r="G790" s="30">
        <f>IF($A790="",0,INDEX(Transactions!$P:$P,ROW()-8))</f>
      </c>
    </row>
    <row r="791" spans="1:7" ht="15" customHeight="1" x14ac:dyDescent="0.15">
      <c r="A791">
        <f>IF(INDEX(Transactions!$J:$J,ROW()-8)="","",INDEX(Transactions!$J:$J,ROW()-8))</f>
      </c>
      <c r="B791" s="297">
        <f>IF($A791="",TODAY(),INDEX(Transactions!$G:$G,ROW()-8))</f>
      </c>
      <c r="C791">
        <f>IF($A791="","",INDEX(Transactions!$A:$A,ROW()-8))</f>
      </c>
      <c r="D791" s="30">
        <f>IF($A791="",0,INDEX(Transactions!$H:$H,ROW()-8))</f>
      </c>
      <c r="E791">
        <f>IF($A791="",1,INDEX(Transactions!$N:$N,ROW()-8))</f>
        <v>1</v>
      </c>
      <c r="F791" s="30">
        <f>IF($A791="",0,INDEX(Transactions!$O:$O,ROW()-8))</f>
      </c>
      <c r="G791" s="30">
        <f>IF($A791="",0,INDEX(Transactions!$P:$P,ROW()-8))</f>
      </c>
    </row>
    <row r="792" spans="1:7" ht="15" customHeight="1" x14ac:dyDescent="0.15">
      <c r="A792">
        <f>IF(INDEX(Transactions!$J:$J,ROW()-8)="","",INDEX(Transactions!$J:$J,ROW()-8))</f>
      </c>
      <c r="B792" s="297">
        <f>IF($A792="",TODAY(),INDEX(Transactions!$G:$G,ROW()-8))</f>
      </c>
      <c r="C792">
        <f>IF($A792="","",INDEX(Transactions!$A:$A,ROW()-8))</f>
      </c>
      <c r="D792" s="30">
        <f>IF($A792="",0,INDEX(Transactions!$H:$H,ROW()-8))</f>
      </c>
      <c r="E792">
        <f>IF($A792="",1,INDEX(Transactions!$N:$N,ROW()-8))</f>
        <v>1</v>
      </c>
      <c r="F792" s="30">
        <f>IF($A792="",0,INDEX(Transactions!$O:$O,ROW()-8))</f>
      </c>
      <c r="G792" s="30">
        <f>IF($A792="",0,INDEX(Transactions!$P:$P,ROW()-8))</f>
      </c>
    </row>
    <row r="793" spans="1:7" ht="15" customHeight="1" x14ac:dyDescent="0.15">
      <c r="A793">
        <f>IF(INDEX(Transactions!$J:$J,ROW()-8)="","",INDEX(Transactions!$J:$J,ROW()-8))</f>
      </c>
      <c r="B793" s="297">
        <f>IF($A793="",TODAY(),INDEX(Transactions!$G:$G,ROW()-8))</f>
      </c>
      <c r="C793">
        <f>IF($A793="","",INDEX(Transactions!$A:$A,ROW()-8))</f>
      </c>
      <c r="D793" s="30">
        <f>IF($A793="",0,INDEX(Transactions!$H:$H,ROW()-8))</f>
      </c>
      <c r="E793">
        <f>IF($A793="",1,INDEX(Transactions!$N:$N,ROW()-8))</f>
        <v>1</v>
      </c>
      <c r="F793" s="30">
        <f>IF($A793="",0,INDEX(Transactions!$O:$O,ROW()-8))</f>
      </c>
      <c r="G793" s="30">
        <f>IF($A793="",0,INDEX(Transactions!$P:$P,ROW()-8))</f>
      </c>
    </row>
    <row r="794" spans="1:7" ht="15" customHeight="1" x14ac:dyDescent="0.15">
      <c r="A794">
        <f>IF(INDEX(Transactions!$J:$J,ROW()-8)="","",INDEX(Transactions!$J:$J,ROW()-8))</f>
      </c>
      <c r="B794" s="297">
        <f>IF($A794="",TODAY(),INDEX(Transactions!$G:$G,ROW()-8))</f>
      </c>
      <c r="C794">
        <f>IF($A794="","",INDEX(Transactions!$A:$A,ROW()-8))</f>
      </c>
      <c r="D794" s="30">
        <f>IF($A794="",0,INDEX(Transactions!$H:$H,ROW()-8))</f>
      </c>
      <c r="E794">
        <f>IF($A794="",1,INDEX(Transactions!$N:$N,ROW()-8))</f>
        <v>1</v>
      </c>
      <c r="F794" s="30">
        <f>IF($A794="",0,INDEX(Transactions!$O:$O,ROW()-8))</f>
      </c>
      <c r="G794" s="30">
        <f>IF($A794="",0,INDEX(Transactions!$P:$P,ROW()-8))</f>
      </c>
    </row>
    <row r="795" spans="1:7" ht="15" customHeight="1" x14ac:dyDescent="0.15">
      <c r="A795">
        <f>IF(INDEX(Transactions!$J:$J,ROW()-8)="","",INDEX(Transactions!$J:$J,ROW()-8))</f>
      </c>
      <c r="B795" s="297">
        <f>IF($A795="",TODAY(),INDEX(Transactions!$G:$G,ROW()-8))</f>
      </c>
      <c r="C795">
        <f>IF($A795="","",INDEX(Transactions!$A:$A,ROW()-8))</f>
      </c>
      <c r="D795" s="30">
        <f>IF($A795="",0,INDEX(Transactions!$H:$H,ROW()-8))</f>
      </c>
      <c r="E795">
        <f>IF($A795="",1,INDEX(Transactions!$N:$N,ROW()-8))</f>
        <v>1</v>
      </c>
      <c r="F795" s="30">
        <f>IF($A795="",0,INDEX(Transactions!$O:$O,ROW()-8))</f>
      </c>
      <c r="G795" s="30">
        <f>IF($A795="",0,INDEX(Transactions!$P:$P,ROW()-8))</f>
      </c>
    </row>
    <row r="796" spans="1:7" ht="15" customHeight="1" x14ac:dyDescent="0.15">
      <c r="A796">
        <f>IF(INDEX(Transactions!$J:$J,ROW()-8)="","",INDEX(Transactions!$J:$J,ROW()-8))</f>
      </c>
      <c r="B796" s="297">
        <f>IF($A796="",TODAY(),INDEX(Transactions!$G:$G,ROW()-8))</f>
      </c>
      <c r="C796">
        <f>IF($A796="","",INDEX(Transactions!$A:$A,ROW()-8))</f>
      </c>
      <c r="D796" s="30">
        <f>IF($A796="",0,INDEX(Transactions!$H:$H,ROW()-8))</f>
      </c>
      <c r="E796">
        <f>IF($A796="",1,INDEX(Transactions!$N:$N,ROW()-8))</f>
        <v>1</v>
      </c>
      <c r="F796" s="30">
        <f>IF($A796="",0,INDEX(Transactions!$O:$O,ROW()-8))</f>
      </c>
      <c r="G796" s="30">
        <f>IF($A796="",0,INDEX(Transactions!$P:$P,ROW()-8))</f>
      </c>
    </row>
    <row r="797" spans="1:7" ht="15" customHeight="1" x14ac:dyDescent="0.15">
      <c r="A797">
        <f>IF(INDEX(Transactions!$J:$J,ROW()-8)="","",INDEX(Transactions!$J:$J,ROW()-8))</f>
      </c>
      <c r="B797" s="297">
        <f>IF($A797="",TODAY(),INDEX(Transactions!$G:$G,ROW()-8))</f>
      </c>
      <c r="C797">
        <f>IF($A797="","",INDEX(Transactions!$A:$A,ROW()-8))</f>
      </c>
      <c r="D797" s="30">
        <f>IF($A797="",0,INDEX(Transactions!$H:$H,ROW()-8))</f>
      </c>
      <c r="E797">
        <f>IF($A797="",1,INDEX(Transactions!$N:$N,ROW()-8))</f>
        <v>1</v>
      </c>
      <c r="F797" s="30">
        <f>IF($A797="",0,INDEX(Transactions!$O:$O,ROW()-8))</f>
      </c>
      <c r="G797" s="30">
        <f>IF($A797="",0,INDEX(Transactions!$P:$P,ROW()-8))</f>
      </c>
    </row>
    <row r="798" spans="1:7" ht="15" customHeight="1" x14ac:dyDescent="0.15">
      <c r="A798">
        <f>IF(INDEX(Transactions!$J:$J,ROW()-8)="","",INDEX(Transactions!$J:$J,ROW()-8))</f>
      </c>
      <c r="B798" s="297">
        <f>IF($A798="",TODAY(),INDEX(Transactions!$G:$G,ROW()-8))</f>
      </c>
      <c r="C798">
        <f>IF($A798="","",INDEX(Transactions!$A:$A,ROW()-8))</f>
      </c>
      <c r="D798" s="30">
        <f>IF($A798="",0,INDEX(Transactions!$H:$H,ROW()-8))</f>
      </c>
      <c r="E798">
        <f>IF($A798="",1,INDEX(Transactions!$N:$N,ROW()-8))</f>
        <v>1</v>
      </c>
      <c r="F798" s="30">
        <f>IF($A798="",0,INDEX(Transactions!$O:$O,ROW()-8))</f>
      </c>
      <c r="G798" s="30">
        <f>IF($A798="",0,INDEX(Transactions!$P:$P,ROW()-8))</f>
      </c>
    </row>
    <row r="799" spans="1:7" ht="15" customHeight="1" x14ac:dyDescent="0.15">
      <c r="A799">
        <f>IF(INDEX(Transactions!$J:$J,ROW()-8)="","",INDEX(Transactions!$J:$J,ROW()-8))</f>
      </c>
      <c r="B799" s="297">
        <f>IF($A799="",TODAY(),INDEX(Transactions!$G:$G,ROW()-8))</f>
      </c>
      <c r="C799">
        <f>IF($A799="","",INDEX(Transactions!$A:$A,ROW()-8))</f>
      </c>
      <c r="D799" s="30">
        <f>IF($A799="",0,INDEX(Transactions!$H:$H,ROW()-8))</f>
      </c>
      <c r="E799">
        <f>IF($A799="",1,INDEX(Transactions!$N:$N,ROW()-8))</f>
        <v>1</v>
      </c>
      <c r="F799" s="30">
        <f>IF($A799="",0,INDEX(Transactions!$O:$O,ROW()-8))</f>
      </c>
      <c r="G799" s="30">
        <f>IF($A799="",0,INDEX(Transactions!$P:$P,ROW()-8))</f>
      </c>
    </row>
    <row r="800" spans="1:7" ht="15" customHeight="1" x14ac:dyDescent="0.15">
      <c r="A800">
        <f>IF(INDEX(Transactions!$J:$J,ROW()-8)="","",INDEX(Transactions!$J:$J,ROW()-8))</f>
      </c>
      <c r="B800" s="297">
        <f>IF($A800="",TODAY(),INDEX(Transactions!$G:$G,ROW()-8))</f>
      </c>
      <c r="C800">
        <f>IF($A800="","",INDEX(Transactions!$A:$A,ROW()-8))</f>
      </c>
      <c r="D800" s="30">
        <f>IF($A800="",0,INDEX(Transactions!$H:$H,ROW()-8))</f>
      </c>
      <c r="E800">
        <f>IF($A800="",1,INDEX(Transactions!$N:$N,ROW()-8))</f>
        <v>1</v>
      </c>
      <c r="F800" s="30">
        <f>IF($A800="",0,INDEX(Transactions!$O:$O,ROW()-8))</f>
      </c>
      <c r="G800" s="30">
        <f>IF($A800="",0,INDEX(Transactions!$P:$P,ROW()-8))</f>
      </c>
    </row>
    <row r="801" spans="1:7" ht="15" customHeight="1" x14ac:dyDescent="0.15">
      <c r="A801">
        <f>IF(INDEX(Transactions!$J:$J,ROW()-8)="","",INDEX(Transactions!$J:$J,ROW()-8))</f>
      </c>
      <c r="B801" s="297">
        <f>IF($A801="",TODAY(),INDEX(Transactions!$G:$G,ROW()-8))</f>
      </c>
      <c r="C801">
        <f>IF($A801="","",INDEX(Transactions!$A:$A,ROW()-8))</f>
      </c>
      <c r="D801" s="30">
        <f>IF($A801="",0,INDEX(Transactions!$H:$H,ROW()-8))</f>
      </c>
      <c r="E801">
        <f>IF($A801="",1,INDEX(Transactions!$N:$N,ROW()-8))</f>
        <v>1</v>
      </c>
      <c r="F801" s="30">
        <f>IF($A801="",0,INDEX(Transactions!$O:$O,ROW()-8))</f>
      </c>
      <c r="G801" s="30">
        <f>IF($A801="",0,INDEX(Transactions!$P:$P,ROW()-8))</f>
      </c>
    </row>
    <row r="802" spans="1:7" ht="15" customHeight="1" x14ac:dyDescent="0.15">
      <c r="A802">
        <f>IF(INDEX(Transactions!$J:$J,ROW()-8)="","",INDEX(Transactions!$J:$J,ROW()-8))</f>
      </c>
      <c r="B802" s="297">
        <f>IF($A802="",TODAY(),INDEX(Transactions!$G:$G,ROW()-8))</f>
      </c>
      <c r="C802">
        <f>IF($A802="","",INDEX(Transactions!$A:$A,ROW()-8))</f>
      </c>
      <c r="D802" s="30">
        <f>IF($A802="",0,INDEX(Transactions!$H:$H,ROW()-8))</f>
      </c>
      <c r="E802">
        <f>IF($A802="",1,INDEX(Transactions!$N:$N,ROW()-8))</f>
        <v>1</v>
      </c>
      <c r="F802" s="30">
        <f>IF($A802="",0,INDEX(Transactions!$O:$O,ROW()-8))</f>
      </c>
      <c r="G802" s="30">
        <f>IF($A802="",0,INDEX(Transactions!$P:$P,ROW()-8))</f>
      </c>
    </row>
    <row r="803" spans="1:7" ht="15" customHeight="1" x14ac:dyDescent="0.15">
      <c r="A803">
        <f>IF(INDEX(Transactions!$J:$J,ROW()-8)="","",INDEX(Transactions!$J:$J,ROW()-8))</f>
      </c>
      <c r="B803" s="297">
        <f>IF($A803="",TODAY(),INDEX(Transactions!$G:$G,ROW()-8))</f>
      </c>
      <c r="C803">
        <f>IF($A803="","",INDEX(Transactions!$A:$A,ROW()-8))</f>
      </c>
      <c r="D803" s="30">
        <f>IF($A803="",0,INDEX(Transactions!$H:$H,ROW()-8))</f>
      </c>
      <c r="E803">
        <f>IF($A803="",1,INDEX(Transactions!$N:$N,ROW()-8))</f>
        <v>1</v>
      </c>
      <c r="F803" s="30">
        <f>IF($A803="",0,INDEX(Transactions!$O:$O,ROW()-8))</f>
      </c>
      <c r="G803" s="30">
        <f>IF($A803="",0,INDEX(Transactions!$P:$P,ROW()-8))</f>
      </c>
    </row>
    <row r="804" spans="1:7" ht="15" customHeight="1" x14ac:dyDescent="0.15">
      <c r="A804">
        <f>IF(INDEX(Transactions!$J:$J,ROW()-8)="","",INDEX(Transactions!$J:$J,ROW()-8))</f>
      </c>
      <c r="B804" s="297">
        <f>IF($A804="",TODAY(),INDEX(Transactions!$G:$G,ROW()-8))</f>
      </c>
      <c r="C804">
        <f>IF($A804="","",INDEX(Transactions!$A:$A,ROW()-8))</f>
      </c>
      <c r="D804" s="30">
        <f>IF($A804="",0,INDEX(Transactions!$H:$H,ROW()-8))</f>
      </c>
      <c r="E804">
        <f>IF($A804="",1,INDEX(Transactions!$N:$N,ROW()-8))</f>
        <v>1</v>
      </c>
      <c r="F804" s="30">
        <f>IF($A804="",0,INDEX(Transactions!$O:$O,ROW()-8))</f>
      </c>
      <c r="G804" s="30">
        <f>IF($A804="",0,INDEX(Transactions!$P:$P,ROW()-8))</f>
      </c>
    </row>
    <row r="805" spans="1:7" ht="15" customHeight="1" x14ac:dyDescent="0.15">
      <c r="A805">
        <f>IF(INDEX(Transactions!$J:$J,ROW()-8)="","",INDEX(Transactions!$J:$J,ROW()-8))</f>
      </c>
      <c r="B805" s="297">
        <f>IF($A805="",TODAY(),INDEX(Transactions!$G:$G,ROW()-8))</f>
      </c>
      <c r="C805">
        <f>IF($A805="","",INDEX(Transactions!$A:$A,ROW()-8))</f>
      </c>
      <c r="D805" s="30">
        <f>IF($A805="",0,INDEX(Transactions!$H:$H,ROW()-8))</f>
      </c>
      <c r="E805">
        <f>IF($A805="",1,INDEX(Transactions!$N:$N,ROW()-8))</f>
        <v>1</v>
      </c>
      <c r="F805" s="30">
        <f>IF($A805="",0,INDEX(Transactions!$O:$O,ROW()-8))</f>
      </c>
      <c r="G805" s="30">
        <f>IF($A805="",0,INDEX(Transactions!$P:$P,ROW()-8))</f>
      </c>
    </row>
    <row r="806" spans="1:7" ht="15" customHeight="1" x14ac:dyDescent="0.15">
      <c r="A806">
        <f>IF(INDEX(Transactions!$J:$J,ROW()-8)="","",INDEX(Transactions!$J:$J,ROW()-8))</f>
      </c>
      <c r="B806" s="297">
        <f>IF($A806="",TODAY(),INDEX(Transactions!$G:$G,ROW()-8))</f>
      </c>
      <c r="C806">
        <f>IF($A806="","",INDEX(Transactions!$A:$A,ROW()-8))</f>
      </c>
      <c r="D806" s="30">
        <f>IF($A806="",0,INDEX(Transactions!$H:$H,ROW()-8))</f>
      </c>
      <c r="E806">
        <f>IF($A806="",1,INDEX(Transactions!$N:$N,ROW()-8))</f>
        <v>1</v>
      </c>
      <c r="F806" s="30">
        <f>IF($A806="",0,INDEX(Transactions!$O:$O,ROW()-8))</f>
      </c>
      <c r="G806" s="30">
        <f>IF($A806="",0,INDEX(Transactions!$P:$P,ROW()-8))</f>
      </c>
    </row>
    <row r="807" spans="1:7" ht="15" customHeight="1" x14ac:dyDescent="0.15">
      <c r="A807">
        <f>IF(INDEX(Transactions!$J:$J,ROW()-8)="","",INDEX(Transactions!$J:$J,ROW()-8))</f>
      </c>
      <c r="B807" s="297">
        <f>IF($A807="",TODAY(),INDEX(Transactions!$G:$G,ROW()-8))</f>
      </c>
      <c r="C807">
        <f>IF($A807="","",INDEX(Transactions!$A:$A,ROW()-8))</f>
      </c>
      <c r="D807" s="30">
        <f>IF($A807="",0,INDEX(Transactions!$H:$H,ROW()-8))</f>
      </c>
      <c r="E807">
        <f>IF($A807="",1,INDEX(Transactions!$N:$N,ROW()-8))</f>
        <v>1</v>
      </c>
      <c r="F807" s="30">
        <f>IF($A807="",0,INDEX(Transactions!$O:$O,ROW()-8))</f>
      </c>
      <c r="G807" s="30">
        <f>IF($A807="",0,INDEX(Transactions!$P:$P,ROW()-8))</f>
      </c>
    </row>
    <row r="808" spans="1:7" ht="15" customHeight="1" x14ac:dyDescent="0.15">
      <c r="A808">
        <f>IF(INDEX(Transactions!$J:$J,ROW()-8)="","",INDEX(Transactions!$J:$J,ROW()-8))</f>
      </c>
      <c r="B808" s="297">
        <f>IF($A808="",TODAY(),INDEX(Transactions!$G:$G,ROW()-8))</f>
      </c>
      <c r="C808">
        <f>IF($A808="","",INDEX(Transactions!$A:$A,ROW()-8))</f>
      </c>
      <c r="D808" s="30">
        <f>IF($A808="",0,INDEX(Transactions!$H:$H,ROW()-8))</f>
      </c>
      <c r="E808">
        <f>IF($A808="",1,INDEX(Transactions!$N:$N,ROW()-8))</f>
        <v>1</v>
      </c>
      <c r="F808" s="30">
        <f>IF($A808="",0,INDEX(Transactions!$O:$O,ROW()-8))</f>
      </c>
      <c r="G808" s="30">
        <f>IF($A808="",0,INDEX(Transactions!$P:$P,ROW()-8))</f>
      </c>
    </row>
    <row r="809" spans="1:7" ht="15" customHeight="1" x14ac:dyDescent="0.15">
      <c r="A809">
        <f>IF(INDEX(Transactions!$J:$J,ROW()-8)="","",INDEX(Transactions!$J:$J,ROW()-8))</f>
      </c>
      <c r="B809" s="297">
        <f>IF($A809="",TODAY(),INDEX(Transactions!$G:$G,ROW()-8))</f>
      </c>
      <c r="C809">
        <f>IF($A809="","",INDEX(Transactions!$A:$A,ROW()-8))</f>
      </c>
      <c r="D809" s="30">
        <f>IF($A809="",0,INDEX(Transactions!$H:$H,ROW()-8))</f>
      </c>
      <c r="E809">
        <f>IF($A809="",1,INDEX(Transactions!$N:$N,ROW()-8))</f>
        <v>1</v>
      </c>
      <c r="F809" s="30">
        <f>IF($A809="",0,INDEX(Transactions!$O:$O,ROW()-8))</f>
      </c>
      <c r="G809" s="30">
        <f>IF($A809="",0,INDEX(Transactions!$P:$P,ROW()-8))</f>
      </c>
    </row>
    <row r="810" spans="1:7" ht="15" customHeight="1" x14ac:dyDescent="0.15">
      <c r="A810">
        <f>IF(INDEX(Transactions!$J:$J,ROW()-8)="","",INDEX(Transactions!$J:$J,ROW()-8))</f>
      </c>
      <c r="B810" s="297">
        <f>IF($A810="",TODAY(),INDEX(Transactions!$G:$G,ROW()-8))</f>
      </c>
      <c r="C810">
        <f>IF($A810="","",INDEX(Transactions!$A:$A,ROW()-8))</f>
      </c>
      <c r="D810" s="30">
        <f>IF($A810="",0,INDEX(Transactions!$H:$H,ROW()-8))</f>
      </c>
      <c r="E810">
        <f>IF($A810="",1,INDEX(Transactions!$N:$N,ROW()-8))</f>
        <v>1</v>
      </c>
      <c r="F810" s="30">
        <f>IF($A810="",0,INDEX(Transactions!$O:$O,ROW()-8))</f>
      </c>
      <c r="G810" s="30">
        <f>IF($A810="",0,INDEX(Transactions!$P:$P,ROW()-8))</f>
      </c>
    </row>
    <row r="811" spans="1:7" ht="15" customHeight="1" x14ac:dyDescent="0.15">
      <c r="A811">
        <f>IF(INDEX(Transactions!$J:$J,ROW()-8)="","",INDEX(Transactions!$J:$J,ROW()-8))</f>
      </c>
      <c r="B811" s="297">
        <f>IF($A811="",TODAY(),INDEX(Transactions!$G:$G,ROW()-8))</f>
      </c>
      <c r="C811">
        <f>IF($A811="","",INDEX(Transactions!$A:$A,ROW()-8))</f>
      </c>
      <c r="D811" s="30">
        <f>IF($A811="",0,INDEX(Transactions!$H:$H,ROW()-8))</f>
      </c>
      <c r="E811">
        <f>IF($A811="",1,INDEX(Transactions!$N:$N,ROW()-8))</f>
        <v>1</v>
      </c>
      <c r="F811" s="30">
        <f>IF($A811="",0,INDEX(Transactions!$O:$O,ROW()-8))</f>
      </c>
      <c r="G811" s="30">
        <f>IF($A811="",0,INDEX(Transactions!$P:$P,ROW()-8))</f>
      </c>
    </row>
    <row r="812" spans="1:7" ht="15" customHeight="1" x14ac:dyDescent="0.15">
      <c r="A812">
        <f>IF(INDEX(Transactions!$J:$J,ROW()-8)="","",INDEX(Transactions!$J:$J,ROW()-8))</f>
      </c>
      <c r="B812" s="297">
        <f>IF($A812="",TODAY(),INDEX(Transactions!$G:$G,ROW()-8))</f>
      </c>
      <c r="C812">
        <f>IF($A812="","",INDEX(Transactions!$A:$A,ROW()-8))</f>
      </c>
      <c r="D812" s="30">
        <f>IF($A812="",0,INDEX(Transactions!$H:$H,ROW()-8))</f>
      </c>
      <c r="E812">
        <f>IF($A812="",1,INDEX(Transactions!$N:$N,ROW()-8))</f>
        <v>1</v>
      </c>
      <c r="F812" s="30">
        <f>IF($A812="",0,INDEX(Transactions!$O:$O,ROW()-8))</f>
      </c>
      <c r="G812" s="30">
        <f>IF($A812="",0,INDEX(Transactions!$P:$P,ROW()-8))</f>
      </c>
    </row>
    <row r="813" spans="1:7" ht="15" customHeight="1" x14ac:dyDescent="0.15">
      <c r="A813">
        <f>IF(INDEX(Transactions!$J:$J,ROW()-8)="","",INDEX(Transactions!$J:$J,ROW()-8))</f>
      </c>
      <c r="B813" s="297">
        <f>IF($A813="",TODAY(),INDEX(Transactions!$G:$G,ROW()-8))</f>
      </c>
      <c r="C813">
        <f>IF($A813="","",INDEX(Transactions!$A:$A,ROW()-8))</f>
      </c>
      <c r="D813" s="30">
        <f>IF($A813="",0,INDEX(Transactions!$H:$H,ROW()-8))</f>
      </c>
      <c r="E813">
        <f>IF($A813="",1,INDEX(Transactions!$N:$N,ROW()-8))</f>
        <v>1</v>
      </c>
      <c r="F813" s="30">
        <f>IF($A813="",0,INDEX(Transactions!$O:$O,ROW()-8))</f>
      </c>
      <c r="G813" s="30">
        <f>IF($A813="",0,INDEX(Transactions!$P:$P,ROW()-8))</f>
      </c>
    </row>
    <row r="814" spans="1:7" ht="15" customHeight="1" x14ac:dyDescent="0.15">
      <c r="A814">
        <f>IF(INDEX(Transactions!$J:$J,ROW()-8)="","",INDEX(Transactions!$J:$J,ROW()-8))</f>
      </c>
      <c r="B814" s="297">
        <f>IF($A814="",TODAY(),INDEX(Transactions!$G:$G,ROW()-8))</f>
      </c>
      <c r="C814">
        <f>IF($A814="","",INDEX(Transactions!$A:$A,ROW()-8))</f>
      </c>
      <c r="D814" s="30">
        <f>IF($A814="",0,INDEX(Transactions!$H:$H,ROW()-8))</f>
      </c>
      <c r="E814">
        <f>IF($A814="",1,INDEX(Transactions!$N:$N,ROW()-8))</f>
        <v>1</v>
      </c>
      <c r="F814" s="30">
        <f>IF($A814="",0,INDEX(Transactions!$O:$O,ROW()-8))</f>
      </c>
      <c r="G814" s="30">
        <f>IF($A814="",0,INDEX(Transactions!$P:$P,ROW()-8))</f>
      </c>
    </row>
    <row r="815" spans="1:7" ht="15" customHeight="1" x14ac:dyDescent="0.15">
      <c r="A815">
        <f>IF(INDEX(Transactions!$J:$J,ROW()-8)="","",INDEX(Transactions!$J:$J,ROW()-8))</f>
      </c>
      <c r="B815" s="297">
        <f>IF($A815="",TODAY(),INDEX(Transactions!$G:$G,ROW()-8))</f>
      </c>
      <c r="C815">
        <f>IF($A815="","",INDEX(Transactions!$A:$A,ROW()-8))</f>
      </c>
      <c r="D815" s="30">
        <f>IF($A815="",0,INDEX(Transactions!$H:$H,ROW()-8))</f>
      </c>
      <c r="E815">
        <f>IF($A815="",1,INDEX(Transactions!$N:$N,ROW()-8))</f>
        <v>1</v>
      </c>
      <c r="F815" s="30">
        <f>IF($A815="",0,INDEX(Transactions!$O:$O,ROW()-8))</f>
      </c>
      <c r="G815" s="30">
        <f>IF($A815="",0,INDEX(Transactions!$P:$P,ROW()-8))</f>
      </c>
    </row>
    <row r="816" spans="1:7" ht="15" customHeight="1" x14ac:dyDescent="0.15">
      <c r="A816">
        <f>IF(INDEX(Transactions!$J:$J,ROW()-8)="","",INDEX(Transactions!$J:$J,ROW()-8))</f>
      </c>
      <c r="B816" s="297">
        <f>IF($A816="",TODAY(),INDEX(Transactions!$G:$G,ROW()-8))</f>
      </c>
      <c r="C816">
        <f>IF($A816="","",INDEX(Transactions!$A:$A,ROW()-8))</f>
      </c>
      <c r="D816" s="30">
        <f>IF($A816="",0,INDEX(Transactions!$H:$H,ROW()-8))</f>
      </c>
      <c r="E816">
        <f>IF($A816="",1,INDEX(Transactions!$N:$N,ROW()-8))</f>
        <v>1</v>
      </c>
      <c r="F816" s="30">
        <f>IF($A816="",0,INDEX(Transactions!$O:$O,ROW()-8))</f>
      </c>
      <c r="G816" s="30">
        <f>IF($A816="",0,INDEX(Transactions!$P:$P,ROW()-8))</f>
      </c>
    </row>
    <row r="817" spans="1:7" ht="15" customHeight="1" x14ac:dyDescent="0.15">
      <c r="A817">
        <f>IF(INDEX(Transactions!$J:$J,ROW()-8)="","",INDEX(Transactions!$J:$J,ROW()-8))</f>
      </c>
      <c r="B817" s="297">
        <f>IF($A817="",TODAY(),INDEX(Transactions!$G:$G,ROW()-8))</f>
      </c>
      <c r="C817">
        <f>IF($A817="","",INDEX(Transactions!$A:$A,ROW()-8))</f>
      </c>
      <c r="D817" s="30">
        <f>IF($A817="",0,INDEX(Transactions!$H:$H,ROW()-8))</f>
      </c>
      <c r="E817">
        <f>IF($A817="",1,INDEX(Transactions!$N:$N,ROW()-8))</f>
        <v>1</v>
      </c>
      <c r="F817" s="30">
        <f>IF($A817="",0,INDEX(Transactions!$O:$O,ROW()-8))</f>
      </c>
      <c r="G817" s="30">
        <f>IF($A817="",0,INDEX(Transactions!$P:$P,ROW()-8))</f>
      </c>
    </row>
    <row r="818" spans="1:7" ht="15" customHeight="1" x14ac:dyDescent="0.15">
      <c r="A818">
        <f>IF(INDEX(Transactions!$J:$J,ROW()-8)="","",INDEX(Transactions!$J:$J,ROW()-8))</f>
      </c>
      <c r="B818" s="297">
        <f>IF($A818="",TODAY(),INDEX(Transactions!$G:$G,ROW()-8))</f>
      </c>
      <c r="C818">
        <f>IF($A818="","",INDEX(Transactions!$A:$A,ROW()-8))</f>
      </c>
      <c r="D818" s="30">
        <f>IF($A818="",0,INDEX(Transactions!$H:$H,ROW()-8))</f>
      </c>
      <c r="E818">
        <f>IF($A818="",1,INDEX(Transactions!$N:$N,ROW()-8))</f>
        <v>1</v>
      </c>
      <c r="F818" s="30">
        <f>IF($A818="",0,INDEX(Transactions!$O:$O,ROW()-8))</f>
      </c>
      <c r="G818" s="30">
        <f>IF($A818="",0,INDEX(Transactions!$P:$P,ROW()-8))</f>
      </c>
    </row>
    <row r="819" spans="1:7" ht="15" customHeight="1" x14ac:dyDescent="0.15">
      <c r="A819">
        <f>IF(INDEX(Transactions!$J:$J,ROW()-8)="","",INDEX(Transactions!$J:$J,ROW()-8))</f>
      </c>
      <c r="B819" s="297">
        <f>IF($A819="",TODAY(),INDEX(Transactions!$G:$G,ROW()-8))</f>
      </c>
      <c r="C819">
        <f>IF($A819="","",INDEX(Transactions!$A:$A,ROW()-8))</f>
      </c>
      <c r="D819" s="30">
        <f>IF($A819="",0,INDEX(Transactions!$H:$H,ROW()-8))</f>
      </c>
      <c r="E819">
        <f>IF($A819="",1,INDEX(Transactions!$N:$N,ROW()-8))</f>
        <v>1</v>
      </c>
      <c r="F819" s="30">
        <f>IF($A819="",0,INDEX(Transactions!$O:$O,ROW()-8))</f>
      </c>
      <c r="G819" s="30">
        <f>IF($A819="",0,INDEX(Transactions!$P:$P,ROW()-8))</f>
      </c>
    </row>
    <row r="820" spans="1:7" ht="15" customHeight="1" x14ac:dyDescent="0.15">
      <c r="A820">
        <f>IF(INDEX(Transactions!$J:$J,ROW()-8)="","",INDEX(Transactions!$J:$J,ROW()-8))</f>
      </c>
      <c r="B820" s="297">
        <f>IF($A820="",TODAY(),INDEX(Transactions!$G:$G,ROW()-8))</f>
      </c>
      <c r="C820">
        <f>IF($A820="","",INDEX(Transactions!$A:$A,ROW()-8))</f>
      </c>
      <c r="D820" s="30">
        <f>IF($A820="",0,INDEX(Transactions!$H:$H,ROW()-8))</f>
      </c>
      <c r="E820">
        <f>IF($A820="",1,INDEX(Transactions!$N:$N,ROW()-8))</f>
        <v>1</v>
      </c>
      <c r="F820" s="30">
        <f>IF($A820="",0,INDEX(Transactions!$O:$O,ROW()-8))</f>
      </c>
      <c r="G820" s="30">
        <f>IF($A820="",0,INDEX(Transactions!$P:$P,ROW()-8))</f>
      </c>
    </row>
    <row r="821" spans="1:7" ht="15" customHeight="1" x14ac:dyDescent="0.15">
      <c r="A821">
        <f>IF(INDEX(Transactions!$J:$J,ROW()-8)="","",INDEX(Transactions!$J:$J,ROW()-8))</f>
      </c>
      <c r="B821" s="297">
        <f>IF($A821="",TODAY(),INDEX(Transactions!$G:$G,ROW()-8))</f>
      </c>
      <c r="C821">
        <f>IF($A821="","",INDEX(Transactions!$A:$A,ROW()-8))</f>
      </c>
      <c r="D821" s="30">
        <f>IF($A821="",0,INDEX(Transactions!$H:$H,ROW()-8))</f>
      </c>
      <c r="E821">
        <f>IF($A821="",1,INDEX(Transactions!$N:$N,ROW()-8))</f>
        <v>1</v>
      </c>
      <c r="F821" s="30">
        <f>IF($A821="",0,INDEX(Transactions!$O:$O,ROW()-8))</f>
      </c>
      <c r="G821" s="30">
        <f>IF($A821="",0,INDEX(Transactions!$P:$P,ROW()-8))</f>
      </c>
    </row>
    <row r="822" spans="1:7" ht="15" customHeight="1" x14ac:dyDescent="0.15">
      <c r="A822">
        <f>IF(INDEX(Transactions!$J:$J,ROW()-8)="","",INDEX(Transactions!$J:$J,ROW()-8))</f>
      </c>
      <c r="B822" s="297">
        <f>IF($A822="",TODAY(),INDEX(Transactions!$G:$G,ROW()-8))</f>
      </c>
      <c r="C822">
        <f>IF($A822="","",INDEX(Transactions!$A:$A,ROW()-8))</f>
      </c>
      <c r="D822" s="30">
        <f>IF($A822="",0,INDEX(Transactions!$H:$H,ROW()-8))</f>
      </c>
      <c r="E822">
        <f>IF($A822="",1,INDEX(Transactions!$N:$N,ROW()-8))</f>
        <v>1</v>
      </c>
      <c r="F822" s="30">
        <f>IF($A822="",0,INDEX(Transactions!$O:$O,ROW()-8))</f>
      </c>
      <c r="G822" s="30">
        <f>IF($A822="",0,INDEX(Transactions!$P:$P,ROW()-8))</f>
      </c>
    </row>
    <row r="823" spans="1:7" ht="15" customHeight="1" x14ac:dyDescent="0.15">
      <c r="A823">
        <f>IF(INDEX(Transactions!$J:$J,ROW()-8)="","",INDEX(Transactions!$J:$J,ROW()-8))</f>
      </c>
      <c r="B823" s="297">
        <f>IF($A823="",TODAY(),INDEX(Transactions!$G:$G,ROW()-8))</f>
      </c>
      <c r="C823">
        <f>IF($A823="","",INDEX(Transactions!$A:$A,ROW()-8))</f>
      </c>
      <c r="D823" s="30">
        <f>IF($A823="",0,INDEX(Transactions!$H:$H,ROW()-8))</f>
      </c>
      <c r="E823">
        <f>IF($A823="",1,INDEX(Transactions!$N:$N,ROW()-8))</f>
        <v>1</v>
      </c>
      <c r="F823" s="30">
        <f>IF($A823="",0,INDEX(Transactions!$O:$O,ROW()-8))</f>
      </c>
      <c r="G823" s="30">
        <f>IF($A823="",0,INDEX(Transactions!$P:$P,ROW()-8))</f>
      </c>
    </row>
    <row r="824" spans="1:7" ht="15" customHeight="1" x14ac:dyDescent="0.15">
      <c r="A824">
        <f>IF(INDEX(Transactions!$J:$J,ROW()-8)="","",INDEX(Transactions!$J:$J,ROW()-8))</f>
      </c>
      <c r="B824" s="297">
        <f>IF($A824="",TODAY(),INDEX(Transactions!$G:$G,ROW()-8))</f>
      </c>
      <c r="C824">
        <f>IF($A824="","",INDEX(Transactions!$A:$A,ROW()-8))</f>
      </c>
      <c r="D824" s="30">
        <f>IF($A824="",0,INDEX(Transactions!$H:$H,ROW()-8))</f>
      </c>
      <c r="E824">
        <f>IF($A824="",1,INDEX(Transactions!$N:$N,ROW()-8))</f>
        <v>1</v>
      </c>
      <c r="F824" s="30">
        <f>IF($A824="",0,INDEX(Transactions!$O:$O,ROW()-8))</f>
      </c>
      <c r="G824" s="30">
        <f>IF($A824="",0,INDEX(Transactions!$P:$P,ROW()-8))</f>
      </c>
    </row>
    <row r="825" spans="1:7" ht="15" customHeight="1" x14ac:dyDescent="0.15">
      <c r="A825">
        <f>IF(INDEX(Transactions!$J:$J,ROW()-8)="","",INDEX(Transactions!$J:$J,ROW()-8))</f>
      </c>
      <c r="B825" s="297">
        <f>IF($A825="",TODAY(),INDEX(Transactions!$G:$G,ROW()-8))</f>
      </c>
      <c r="C825">
        <f>IF($A825="","",INDEX(Transactions!$A:$A,ROW()-8))</f>
      </c>
      <c r="D825" s="30">
        <f>IF($A825="",0,INDEX(Transactions!$H:$H,ROW()-8))</f>
      </c>
      <c r="E825">
        <f>IF($A825="",1,INDEX(Transactions!$N:$N,ROW()-8))</f>
        <v>1</v>
      </c>
      <c r="F825" s="30">
        <f>IF($A825="",0,INDEX(Transactions!$O:$O,ROW()-8))</f>
      </c>
      <c r="G825" s="30">
        <f>IF($A825="",0,INDEX(Transactions!$P:$P,ROW()-8))</f>
      </c>
    </row>
    <row r="826" spans="1:7" ht="15" customHeight="1" x14ac:dyDescent="0.15">
      <c r="A826">
        <f>IF(INDEX(Transactions!$J:$J,ROW()-8)="","",INDEX(Transactions!$J:$J,ROW()-8))</f>
      </c>
      <c r="B826" s="297">
        <f>IF($A826="",TODAY(),INDEX(Transactions!$G:$G,ROW()-8))</f>
      </c>
      <c r="C826">
        <f>IF($A826="","",INDEX(Transactions!$A:$A,ROW()-8))</f>
      </c>
      <c r="D826" s="30">
        <f>IF($A826="",0,INDEX(Transactions!$H:$H,ROW()-8))</f>
      </c>
      <c r="E826">
        <f>IF($A826="",1,INDEX(Transactions!$N:$N,ROW()-8))</f>
        <v>1</v>
      </c>
      <c r="F826" s="30">
        <f>IF($A826="",0,INDEX(Transactions!$O:$O,ROW()-8))</f>
      </c>
      <c r="G826" s="30">
        <f>IF($A826="",0,INDEX(Transactions!$P:$P,ROW()-8))</f>
      </c>
    </row>
    <row r="827" spans="1:7" ht="15" customHeight="1" x14ac:dyDescent="0.15">
      <c r="A827">
        <f>IF(INDEX(Transactions!$J:$J,ROW()-8)="","",INDEX(Transactions!$J:$J,ROW()-8))</f>
      </c>
      <c r="B827" s="297">
        <f>IF($A827="",TODAY(),INDEX(Transactions!$G:$G,ROW()-8))</f>
      </c>
      <c r="C827">
        <f>IF($A827="","",INDEX(Transactions!$A:$A,ROW()-8))</f>
      </c>
      <c r="D827" s="30">
        <f>IF($A827="",0,INDEX(Transactions!$H:$H,ROW()-8))</f>
      </c>
      <c r="E827">
        <f>IF($A827="",1,INDEX(Transactions!$N:$N,ROW()-8))</f>
        <v>1</v>
      </c>
      <c r="F827" s="30">
        <f>IF($A827="",0,INDEX(Transactions!$O:$O,ROW()-8))</f>
      </c>
      <c r="G827" s="30">
        <f>IF($A827="",0,INDEX(Transactions!$P:$P,ROW()-8))</f>
      </c>
    </row>
    <row r="828" spans="1:7" ht="15" customHeight="1" x14ac:dyDescent="0.15">
      <c r="A828">
        <f>IF(INDEX(Transactions!$J:$J,ROW()-8)="","",INDEX(Transactions!$J:$J,ROW()-8))</f>
      </c>
      <c r="B828" s="297">
        <f>IF($A828="",TODAY(),INDEX(Transactions!$G:$G,ROW()-8))</f>
      </c>
      <c r="C828">
        <f>IF($A828="","",INDEX(Transactions!$A:$A,ROW()-8))</f>
      </c>
      <c r="D828" s="30">
        <f>IF($A828="",0,INDEX(Transactions!$H:$H,ROW()-8))</f>
      </c>
      <c r="E828">
        <f>IF($A828="",1,INDEX(Transactions!$N:$N,ROW()-8))</f>
        <v>1</v>
      </c>
      <c r="F828" s="30">
        <f>IF($A828="",0,INDEX(Transactions!$O:$O,ROW()-8))</f>
      </c>
      <c r="G828" s="30">
        <f>IF($A828="",0,INDEX(Transactions!$P:$P,ROW()-8))</f>
      </c>
    </row>
    <row r="829" spans="1:7" ht="15" customHeight="1" x14ac:dyDescent="0.15">
      <c r="A829">
        <f>IF(INDEX(Transactions!$J:$J,ROW()-8)="","",INDEX(Transactions!$J:$J,ROW()-8))</f>
      </c>
      <c r="B829" s="297">
        <f>IF($A829="",TODAY(),INDEX(Transactions!$G:$G,ROW()-8))</f>
      </c>
      <c r="C829">
        <f>IF($A829="","",INDEX(Transactions!$A:$A,ROW()-8))</f>
      </c>
      <c r="D829" s="30">
        <f>IF($A829="",0,INDEX(Transactions!$H:$H,ROW()-8))</f>
      </c>
      <c r="E829">
        <f>IF($A829="",1,INDEX(Transactions!$N:$N,ROW()-8))</f>
        <v>1</v>
      </c>
      <c r="F829" s="30">
        <f>IF($A829="",0,INDEX(Transactions!$O:$O,ROW()-8))</f>
      </c>
      <c r="G829" s="30">
        <f>IF($A829="",0,INDEX(Transactions!$P:$P,ROW()-8))</f>
      </c>
    </row>
    <row r="830" spans="1:7" ht="15" customHeight="1" x14ac:dyDescent="0.15">
      <c r="A830">
        <f>IF(INDEX(Transactions!$J:$J,ROW()-8)="","",INDEX(Transactions!$J:$J,ROW()-8))</f>
      </c>
      <c r="B830" s="297">
        <f>IF($A830="",TODAY(),INDEX(Transactions!$G:$G,ROW()-8))</f>
      </c>
      <c r="C830">
        <f>IF($A830="","",INDEX(Transactions!$A:$A,ROW()-8))</f>
      </c>
      <c r="D830" s="30">
        <f>IF($A830="",0,INDEX(Transactions!$H:$H,ROW()-8))</f>
      </c>
      <c r="E830">
        <f>IF($A830="",1,INDEX(Transactions!$N:$N,ROW()-8))</f>
        <v>1</v>
      </c>
      <c r="F830" s="30">
        <f>IF($A830="",0,INDEX(Transactions!$O:$O,ROW()-8))</f>
      </c>
      <c r="G830" s="30">
        <f>IF($A830="",0,INDEX(Transactions!$P:$P,ROW()-8))</f>
      </c>
    </row>
    <row r="831" spans="1:7" ht="15" customHeight="1" x14ac:dyDescent="0.15">
      <c r="A831">
        <f>IF(INDEX(Transactions!$J:$J,ROW()-8)="","",INDEX(Transactions!$J:$J,ROW()-8))</f>
      </c>
      <c r="B831" s="297">
        <f>IF($A831="",TODAY(),INDEX(Transactions!$G:$G,ROW()-8))</f>
      </c>
      <c r="C831">
        <f>IF($A831="","",INDEX(Transactions!$A:$A,ROW()-8))</f>
      </c>
      <c r="D831" s="30">
        <f>IF($A831="",0,INDEX(Transactions!$H:$H,ROW()-8))</f>
      </c>
      <c r="E831">
        <f>IF($A831="",1,INDEX(Transactions!$N:$N,ROW()-8))</f>
        <v>1</v>
      </c>
      <c r="F831" s="30">
        <f>IF($A831="",0,INDEX(Transactions!$O:$O,ROW()-8))</f>
      </c>
      <c r="G831" s="30">
        <f>IF($A831="",0,INDEX(Transactions!$P:$P,ROW()-8))</f>
      </c>
    </row>
    <row r="832" spans="1:7" ht="15" customHeight="1" x14ac:dyDescent="0.15">
      <c r="A832">
        <f>IF(INDEX(Transactions!$J:$J,ROW()-8)="","",INDEX(Transactions!$J:$J,ROW()-8))</f>
      </c>
      <c r="B832" s="297">
        <f>IF($A832="",TODAY(),INDEX(Transactions!$G:$G,ROW()-8))</f>
      </c>
      <c r="C832">
        <f>IF($A832="","",INDEX(Transactions!$A:$A,ROW()-8))</f>
      </c>
      <c r="D832" s="30">
        <f>IF($A832="",0,INDEX(Transactions!$H:$H,ROW()-8))</f>
      </c>
      <c r="E832">
        <f>IF($A832="",1,INDEX(Transactions!$N:$N,ROW()-8))</f>
        <v>1</v>
      </c>
      <c r="F832" s="30">
        <f>IF($A832="",0,INDEX(Transactions!$O:$O,ROW()-8))</f>
      </c>
      <c r="G832" s="30">
        <f>IF($A832="",0,INDEX(Transactions!$P:$P,ROW()-8))</f>
      </c>
    </row>
    <row r="833" spans="1:7" ht="15" customHeight="1" x14ac:dyDescent="0.15">
      <c r="A833">
        <f>IF(INDEX(Transactions!$J:$J,ROW()-8)="","",INDEX(Transactions!$J:$J,ROW()-8))</f>
      </c>
      <c r="B833" s="297">
        <f>IF($A833="",TODAY(),INDEX(Transactions!$G:$G,ROW()-8))</f>
      </c>
      <c r="C833">
        <f>IF($A833="","",INDEX(Transactions!$A:$A,ROW()-8))</f>
      </c>
      <c r="D833" s="30">
        <f>IF($A833="",0,INDEX(Transactions!$H:$H,ROW()-8))</f>
      </c>
      <c r="E833">
        <f>IF($A833="",1,INDEX(Transactions!$N:$N,ROW()-8))</f>
        <v>1</v>
      </c>
      <c r="F833" s="30">
        <f>IF($A833="",0,INDEX(Transactions!$O:$O,ROW()-8))</f>
      </c>
      <c r="G833" s="30">
        <f>IF($A833="",0,INDEX(Transactions!$P:$P,ROW()-8))</f>
      </c>
    </row>
    <row r="834" spans="1:7" ht="15" customHeight="1" x14ac:dyDescent="0.15">
      <c r="A834">
        <f>IF(INDEX(Transactions!$J:$J,ROW()-8)="","",INDEX(Transactions!$J:$J,ROW()-8))</f>
      </c>
      <c r="B834" s="297">
        <f>IF($A834="",TODAY(),INDEX(Transactions!$G:$G,ROW()-8))</f>
      </c>
      <c r="C834">
        <f>IF($A834="","",INDEX(Transactions!$A:$A,ROW()-8))</f>
      </c>
      <c r="D834" s="30">
        <f>IF($A834="",0,INDEX(Transactions!$H:$H,ROW()-8))</f>
      </c>
      <c r="E834">
        <f>IF($A834="",1,INDEX(Transactions!$N:$N,ROW()-8))</f>
        <v>1</v>
      </c>
      <c r="F834" s="30">
        <f>IF($A834="",0,INDEX(Transactions!$O:$O,ROW()-8))</f>
      </c>
      <c r="G834" s="30">
        <f>IF($A834="",0,INDEX(Transactions!$P:$P,ROW()-8))</f>
      </c>
    </row>
    <row r="835" spans="1:7" ht="15" customHeight="1" x14ac:dyDescent="0.15">
      <c r="A835">
        <f>IF(INDEX(Transactions!$J:$J,ROW()-8)="","",INDEX(Transactions!$J:$J,ROW()-8))</f>
      </c>
      <c r="B835" s="297">
        <f>IF($A835="",TODAY(),INDEX(Transactions!$G:$G,ROW()-8))</f>
      </c>
      <c r="C835">
        <f>IF($A835="","",INDEX(Transactions!$A:$A,ROW()-8))</f>
      </c>
      <c r="D835" s="30">
        <f>IF($A835="",0,INDEX(Transactions!$H:$H,ROW()-8))</f>
      </c>
      <c r="E835">
        <f>IF($A835="",1,INDEX(Transactions!$N:$N,ROW()-8))</f>
        <v>1</v>
      </c>
      <c r="F835" s="30">
        <f>IF($A835="",0,INDEX(Transactions!$O:$O,ROW()-8))</f>
      </c>
      <c r="G835" s="30">
        <f>IF($A835="",0,INDEX(Transactions!$P:$P,ROW()-8))</f>
      </c>
    </row>
    <row r="836" spans="1:7" ht="15" customHeight="1" x14ac:dyDescent="0.15">
      <c r="A836">
        <f>IF(INDEX(Transactions!$J:$J,ROW()-8)="","",INDEX(Transactions!$J:$J,ROW()-8))</f>
      </c>
      <c r="B836" s="297">
        <f>IF($A836="",TODAY(),INDEX(Transactions!$G:$G,ROW()-8))</f>
      </c>
      <c r="C836">
        <f>IF($A836="","",INDEX(Transactions!$A:$A,ROW()-8))</f>
      </c>
      <c r="D836" s="30">
        <f>IF($A836="",0,INDEX(Transactions!$H:$H,ROW()-8))</f>
      </c>
      <c r="E836">
        <f>IF($A836="",1,INDEX(Transactions!$N:$N,ROW()-8))</f>
        <v>1</v>
      </c>
      <c r="F836" s="30">
        <f>IF($A836="",0,INDEX(Transactions!$O:$O,ROW()-8))</f>
      </c>
      <c r="G836" s="30">
        <f>IF($A836="",0,INDEX(Transactions!$P:$P,ROW()-8))</f>
      </c>
    </row>
    <row r="837" spans="1:7" ht="15" customHeight="1" x14ac:dyDescent="0.15">
      <c r="A837">
        <f>IF(INDEX(Transactions!$J:$J,ROW()-8)="","",INDEX(Transactions!$J:$J,ROW()-8))</f>
      </c>
      <c r="B837" s="297">
        <f>IF($A837="",TODAY(),INDEX(Transactions!$G:$G,ROW()-8))</f>
      </c>
      <c r="C837">
        <f>IF($A837="","",INDEX(Transactions!$A:$A,ROW()-8))</f>
      </c>
      <c r="D837" s="30">
        <f>IF($A837="",0,INDEX(Transactions!$H:$H,ROW()-8))</f>
      </c>
      <c r="E837">
        <f>IF($A837="",1,INDEX(Transactions!$N:$N,ROW()-8))</f>
        <v>1</v>
      </c>
      <c r="F837" s="30">
        <f>IF($A837="",0,INDEX(Transactions!$O:$O,ROW()-8))</f>
      </c>
      <c r="G837" s="30">
        <f>IF($A837="",0,INDEX(Transactions!$P:$P,ROW()-8))</f>
      </c>
    </row>
    <row r="838" spans="1:7" ht="15" customHeight="1" x14ac:dyDescent="0.15">
      <c r="A838">
        <f>IF(INDEX(Transactions!$J:$J,ROW()-8)="","",INDEX(Transactions!$J:$J,ROW()-8))</f>
      </c>
      <c r="B838" s="297">
        <f>IF($A838="",TODAY(),INDEX(Transactions!$G:$G,ROW()-8))</f>
      </c>
      <c r="C838">
        <f>IF($A838="","",INDEX(Transactions!$A:$A,ROW()-8))</f>
      </c>
      <c r="D838" s="30">
        <f>IF($A838="",0,INDEX(Transactions!$H:$H,ROW()-8))</f>
      </c>
      <c r="E838">
        <f>IF($A838="",1,INDEX(Transactions!$N:$N,ROW()-8))</f>
        <v>1</v>
      </c>
      <c r="F838" s="30">
        <f>IF($A838="",0,INDEX(Transactions!$O:$O,ROW()-8))</f>
      </c>
      <c r="G838" s="30">
        <f>IF($A838="",0,INDEX(Transactions!$P:$P,ROW()-8))</f>
      </c>
    </row>
    <row r="839" spans="1:7" ht="15" customHeight="1" x14ac:dyDescent="0.15">
      <c r="A839">
        <f>IF(INDEX(Transactions!$J:$J,ROW()-8)="","",INDEX(Transactions!$J:$J,ROW()-8))</f>
      </c>
      <c r="B839" s="297">
        <f>IF($A839="",TODAY(),INDEX(Transactions!$G:$G,ROW()-8))</f>
      </c>
      <c r="C839">
        <f>IF($A839="","",INDEX(Transactions!$A:$A,ROW()-8))</f>
      </c>
      <c r="D839" s="30">
        <f>IF($A839="",0,INDEX(Transactions!$H:$H,ROW()-8))</f>
      </c>
      <c r="E839">
        <f>IF($A839="",1,INDEX(Transactions!$N:$N,ROW()-8))</f>
        <v>1</v>
      </c>
      <c r="F839" s="30">
        <f>IF($A839="",0,INDEX(Transactions!$O:$O,ROW()-8))</f>
      </c>
      <c r="G839" s="30">
        <f>IF($A839="",0,INDEX(Transactions!$P:$P,ROW()-8))</f>
      </c>
    </row>
    <row r="840" spans="1:7" ht="15" customHeight="1" x14ac:dyDescent="0.15">
      <c r="A840">
        <f>IF(INDEX(Transactions!$J:$J,ROW()-8)="","",INDEX(Transactions!$J:$J,ROW()-8))</f>
      </c>
      <c r="B840" s="297">
        <f>IF($A840="",TODAY(),INDEX(Transactions!$G:$G,ROW()-8))</f>
      </c>
      <c r="C840">
        <f>IF($A840="","",INDEX(Transactions!$A:$A,ROW()-8))</f>
      </c>
      <c r="D840" s="30">
        <f>IF($A840="",0,INDEX(Transactions!$H:$H,ROW()-8))</f>
      </c>
      <c r="E840">
        <f>IF($A840="",1,INDEX(Transactions!$N:$N,ROW()-8))</f>
        <v>1</v>
      </c>
      <c r="F840" s="30">
        <f>IF($A840="",0,INDEX(Transactions!$O:$O,ROW()-8))</f>
      </c>
      <c r="G840" s="30">
        <f>IF($A840="",0,INDEX(Transactions!$P:$P,ROW()-8))</f>
      </c>
    </row>
    <row r="841" spans="1:7" ht="15" customHeight="1" x14ac:dyDescent="0.15">
      <c r="A841">
        <f>IF(INDEX(Transactions!$J:$J,ROW()-8)="","",INDEX(Transactions!$J:$J,ROW()-8))</f>
      </c>
      <c r="B841" s="297">
        <f>IF($A841="",TODAY(),INDEX(Transactions!$G:$G,ROW()-8))</f>
      </c>
      <c r="C841">
        <f>IF($A841="","",INDEX(Transactions!$A:$A,ROW()-8))</f>
      </c>
      <c r="D841" s="30">
        <f>IF($A841="",0,INDEX(Transactions!$H:$H,ROW()-8))</f>
      </c>
      <c r="E841">
        <f>IF($A841="",1,INDEX(Transactions!$N:$N,ROW()-8))</f>
        <v>1</v>
      </c>
      <c r="F841" s="30">
        <f>IF($A841="",0,INDEX(Transactions!$O:$O,ROW()-8))</f>
      </c>
      <c r="G841" s="30">
        <f>IF($A841="",0,INDEX(Transactions!$P:$P,ROW()-8))</f>
      </c>
    </row>
    <row r="842" spans="1:7" ht="15" customHeight="1" x14ac:dyDescent="0.15">
      <c r="A842">
        <f>IF(INDEX(Transactions!$J:$J,ROW()-8)="","",INDEX(Transactions!$J:$J,ROW()-8))</f>
      </c>
      <c r="B842" s="297">
        <f>IF($A842="",TODAY(),INDEX(Transactions!$G:$G,ROW()-8))</f>
      </c>
      <c r="C842">
        <f>IF($A842="","",INDEX(Transactions!$A:$A,ROW()-8))</f>
      </c>
      <c r="D842" s="30">
        <f>IF($A842="",0,INDEX(Transactions!$H:$H,ROW()-8))</f>
      </c>
      <c r="E842">
        <f>IF($A842="",1,INDEX(Transactions!$N:$N,ROW()-8))</f>
        <v>1</v>
      </c>
      <c r="F842" s="30">
        <f>IF($A842="",0,INDEX(Transactions!$O:$O,ROW()-8))</f>
      </c>
      <c r="G842" s="30">
        <f>IF($A842="",0,INDEX(Transactions!$P:$P,ROW()-8))</f>
      </c>
    </row>
    <row r="843" spans="1:7" ht="15" customHeight="1" x14ac:dyDescent="0.15">
      <c r="A843">
        <f>IF(INDEX(Transactions!$J:$J,ROW()-8)="","",INDEX(Transactions!$J:$J,ROW()-8))</f>
      </c>
      <c r="B843" s="297">
        <f>IF($A843="",TODAY(),INDEX(Transactions!$G:$G,ROW()-8))</f>
      </c>
      <c r="C843">
        <f>IF($A843="","",INDEX(Transactions!$A:$A,ROW()-8))</f>
      </c>
      <c r="D843" s="30">
        <f>IF($A843="",0,INDEX(Transactions!$H:$H,ROW()-8))</f>
      </c>
      <c r="E843">
        <f>IF($A843="",1,INDEX(Transactions!$N:$N,ROW()-8))</f>
        <v>1</v>
      </c>
      <c r="F843" s="30">
        <f>IF($A843="",0,INDEX(Transactions!$O:$O,ROW()-8))</f>
      </c>
      <c r="G843" s="30">
        <f>IF($A843="",0,INDEX(Transactions!$P:$P,ROW()-8))</f>
      </c>
    </row>
    <row r="844" spans="1:7" ht="15" customHeight="1" x14ac:dyDescent="0.15">
      <c r="A844">
        <f>IF(INDEX(Transactions!$J:$J,ROW()-8)="","",INDEX(Transactions!$J:$J,ROW()-8))</f>
      </c>
      <c r="B844" s="297">
        <f>IF($A844="",TODAY(),INDEX(Transactions!$G:$G,ROW()-8))</f>
      </c>
      <c r="C844">
        <f>IF($A844="","",INDEX(Transactions!$A:$A,ROW()-8))</f>
      </c>
      <c r="D844" s="30">
        <f>IF($A844="",0,INDEX(Transactions!$H:$H,ROW()-8))</f>
      </c>
      <c r="E844">
        <f>IF($A844="",1,INDEX(Transactions!$N:$N,ROW()-8))</f>
        <v>1</v>
      </c>
      <c r="F844" s="30">
        <f>IF($A844="",0,INDEX(Transactions!$O:$O,ROW()-8))</f>
      </c>
      <c r="G844" s="30">
        <f>IF($A844="",0,INDEX(Transactions!$P:$P,ROW()-8))</f>
      </c>
    </row>
    <row r="845" spans="1:7" ht="15" customHeight="1" x14ac:dyDescent="0.15">
      <c r="A845">
        <f>IF(INDEX(Transactions!$J:$J,ROW()-8)="","",INDEX(Transactions!$J:$J,ROW()-8))</f>
      </c>
      <c r="B845" s="297">
        <f>IF($A845="",TODAY(),INDEX(Transactions!$G:$G,ROW()-8))</f>
      </c>
      <c r="C845">
        <f>IF($A845="","",INDEX(Transactions!$A:$A,ROW()-8))</f>
      </c>
      <c r="D845" s="30">
        <f>IF($A845="",0,INDEX(Transactions!$H:$H,ROW()-8))</f>
      </c>
      <c r="E845">
        <f>IF($A845="",1,INDEX(Transactions!$N:$N,ROW()-8))</f>
        <v>1</v>
      </c>
      <c r="F845" s="30">
        <f>IF($A845="",0,INDEX(Transactions!$O:$O,ROW()-8))</f>
      </c>
      <c r="G845" s="30">
        <f>IF($A845="",0,INDEX(Transactions!$P:$P,ROW()-8))</f>
      </c>
    </row>
    <row r="846" spans="1:7" ht="15" customHeight="1" x14ac:dyDescent="0.15">
      <c r="A846">
        <f>IF(INDEX(Transactions!$J:$J,ROW()-8)="","",INDEX(Transactions!$J:$J,ROW()-8))</f>
      </c>
      <c r="B846" s="297">
        <f>IF($A846="",TODAY(),INDEX(Transactions!$G:$G,ROW()-8))</f>
      </c>
      <c r="C846">
        <f>IF($A846="","",INDEX(Transactions!$A:$A,ROW()-8))</f>
      </c>
      <c r="D846" s="30">
        <f>IF($A846="",0,INDEX(Transactions!$H:$H,ROW()-8))</f>
      </c>
      <c r="E846">
        <f>IF($A846="",1,INDEX(Transactions!$N:$N,ROW()-8))</f>
        <v>1</v>
      </c>
      <c r="F846" s="30">
        <f>IF($A846="",0,INDEX(Transactions!$O:$O,ROW()-8))</f>
      </c>
      <c r="G846" s="30">
        <f>IF($A846="",0,INDEX(Transactions!$P:$P,ROW()-8))</f>
      </c>
    </row>
    <row r="847" spans="1:7" ht="15" customHeight="1" x14ac:dyDescent="0.15">
      <c r="A847">
        <f>IF(INDEX(Transactions!$J:$J,ROW()-8)="","",INDEX(Transactions!$J:$J,ROW()-8))</f>
      </c>
      <c r="B847" s="297">
        <f>IF($A847="",TODAY(),INDEX(Transactions!$G:$G,ROW()-8))</f>
      </c>
      <c r="C847">
        <f>IF($A847="","",INDEX(Transactions!$A:$A,ROW()-8))</f>
      </c>
      <c r="D847" s="30">
        <f>IF($A847="",0,INDEX(Transactions!$H:$H,ROW()-8))</f>
      </c>
      <c r="E847">
        <f>IF($A847="",1,INDEX(Transactions!$N:$N,ROW()-8))</f>
        <v>1</v>
      </c>
      <c r="F847" s="30">
        <f>IF($A847="",0,INDEX(Transactions!$O:$O,ROW()-8))</f>
      </c>
      <c r="G847" s="30">
        <f>IF($A847="",0,INDEX(Transactions!$P:$P,ROW()-8))</f>
      </c>
    </row>
    <row r="848" spans="1:7" ht="15" customHeight="1" x14ac:dyDescent="0.15">
      <c r="A848">
        <f>IF(INDEX(Transactions!$J:$J,ROW()-8)="","",INDEX(Transactions!$J:$J,ROW()-8))</f>
      </c>
      <c r="B848" s="297">
        <f>IF($A848="",TODAY(),INDEX(Transactions!$G:$G,ROW()-8))</f>
      </c>
      <c r="C848">
        <f>IF($A848="","",INDEX(Transactions!$A:$A,ROW()-8))</f>
      </c>
      <c r="D848" s="30">
        <f>IF($A848="",0,INDEX(Transactions!$H:$H,ROW()-8))</f>
      </c>
      <c r="E848">
        <f>IF($A848="",1,INDEX(Transactions!$N:$N,ROW()-8))</f>
        <v>1</v>
      </c>
      <c r="F848" s="30">
        <f>IF($A848="",0,INDEX(Transactions!$O:$O,ROW()-8))</f>
      </c>
      <c r="G848" s="30">
        <f>IF($A848="",0,INDEX(Transactions!$P:$P,ROW()-8))</f>
      </c>
    </row>
    <row r="849" spans="1:7" ht="15" customHeight="1" x14ac:dyDescent="0.15">
      <c r="A849">
        <f>IF(INDEX(Transactions!$J:$J,ROW()-8)="","",INDEX(Transactions!$J:$J,ROW()-8))</f>
      </c>
      <c r="B849" s="297">
        <f>IF($A849="",TODAY(),INDEX(Transactions!$G:$G,ROW()-8))</f>
      </c>
      <c r="C849">
        <f>IF($A849="","",INDEX(Transactions!$A:$A,ROW()-8))</f>
      </c>
      <c r="D849" s="30">
        <f>IF($A849="",0,INDEX(Transactions!$H:$H,ROW()-8))</f>
      </c>
      <c r="E849">
        <f>IF($A849="",1,INDEX(Transactions!$N:$N,ROW()-8))</f>
        <v>1</v>
      </c>
      <c r="F849" s="30">
        <f>IF($A849="",0,INDEX(Transactions!$O:$O,ROW()-8))</f>
      </c>
      <c r="G849" s="30">
        <f>IF($A849="",0,INDEX(Transactions!$P:$P,ROW()-8))</f>
      </c>
    </row>
    <row r="850" spans="1:7" ht="15" customHeight="1" x14ac:dyDescent="0.15">
      <c r="A850">
        <f>IF(INDEX(Transactions!$J:$J,ROW()-8)="","",INDEX(Transactions!$J:$J,ROW()-8))</f>
      </c>
      <c r="B850" s="297">
        <f>IF($A850="",TODAY(),INDEX(Transactions!$G:$G,ROW()-8))</f>
      </c>
      <c r="C850">
        <f>IF($A850="","",INDEX(Transactions!$A:$A,ROW()-8))</f>
      </c>
      <c r="D850" s="30">
        <f>IF($A850="",0,INDEX(Transactions!$H:$H,ROW()-8))</f>
      </c>
      <c r="E850">
        <f>IF($A850="",1,INDEX(Transactions!$N:$N,ROW()-8))</f>
        <v>1</v>
      </c>
      <c r="F850" s="30">
        <f>IF($A850="",0,INDEX(Transactions!$O:$O,ROW()-8))</f>
      </c>
      <c r="G850" s="30">
        <f>IF($A850="",0,INDEX(Transactions!$P:$P,ROW()-8))</f>
      </c>
    </row>
    <row r="851" spans="1:7" ht="15" customHeight="1" x14ac:dyDescent="0.15">
      <c r="A851">
        <f>IF(INDEX(Transactions!$J:$J,ROW()-8)="","",INDEX(Transactions!$J:$J,ROW()-8))</f>
      </c>
      <c r="B851" s="297">
        <f>IF($A851="",TODAY(),INDEX(Transactions!$G:$G,ROW()-8))</f>
      </c>
      <c r="C851">
        <f>IF($A851="","",INDEX(Transactions!$A:$A,ROW()-8))</f>
      </c>
      <c r="D851" s="30">
        <f>IF($A851="",0,INDEX(Transactions!$H:$H,ROW()-8))</f>
      </c>
      <c r="E851">
        <f>IF($A851="",1,INDEX(Transactions!$N:$N,ROW()-8))</f>
        <v>1</v>
      </c>
      <c r="F851" s="30">
        <f>IF($A851="",0,INDEX(Transactions!$O:$O,ROW()-8))</f>
      </c>
      <c r="G851" s="30">
        <f>IF($A851="",0,INDEX(Transactions!$P:$P,ROW()-8))</f>
      </c>
    </row>
    <row r="852" spans="1:7" ht="15" customHeight="1" x14ac:dyDescent="0.15">
      <c r="A852">
        <f>IF(INDEX(Transactions!$J:$J,ROW()-8)="","",INDEX(Transactions!$J:$J,ROW()-8))</f>
      </c>
      <c r="B852" s="297">
        <f>IF($A852="",TODAY(),INDEX(Transactions!$G:$G,ROW()-8))</f>
      </c>
      <c r="C852">
        <f>IF($A852="","",INDEX(Transactions!$A:$A,ROW()-8))</f>
      </c>
      <c r="D852" s="30">
        <f>IF($A852="",0,INDEX(Transactions!$H:$H,ROW()-8))</f>
      </c>
      <c r="E852">
        <f>IF($A852="",1,INDEX(Transactions!$N:$N,ROW()-8))</f>
        <v>1</v>
      </c>
      <c r="F852" s="30">
        <f>IF($A852="",0,INDEX(Transactions!$O:$O,ROW()-8))</f>
      </c>
      <c r="G852" s="30">
        <f>IF($A852="",0,INDEX(Transactions!$P:$P,ROW()-8))</f>
      </c>
    </row>
    <row r="853" spans="1:7" ht="15" customHeight="1" x14ac:dyDescent="0.15">
      <c r="A853">
        <f>IF(INDEX(Transactions!$J:$J,ROW()-8)="","",INDEX(Transactions!$J:$J,ROW()-8))</f>
      </c>
      <c r="B853" s="297">
        <f>IF($A853="",TODAY(),INDEX(Transactions!$G:$G,ROW()-8))</f>
      </c>
      <c r="C853">
        <f>IF($A853="","",INDEX(Transactions!$A:$A,ROW()-8))</f>
      </c>
      <c r="D853" s="30">
        <f>IF($A853="",0,INDEX(Transactions!$H:$H,ROW()-8))</f>
      </c>
      <c r="E853">
        <f>IF($A853="",1,INDEX(Transactions!$N:$N,ROW()-8))</f>
        <v>1</v>
      </c>
      <c r="F853" s="30">
        <f>IF($A853="",0,INDEX(Transactions!$O:$O,ROW()-8))</f>
      </c>
      <c r="G853" s="30">
        <f>IF($A853="",0,INDEX(Transactions!$P:$P,ROW()-8))</f>
      </c>
    </row>
    <row r="854" spans="1:7" ht="15" customHeight="1" x14ac:dyDescent="0.15">
      <c r="A854">
        <f>IF(INDEX(Transactions!$J:$J,ROW()-8)="","",INDEX(Transactions!$J:$J,ROW()-8))</f>
      </c>
      <c r="B854" s="297">
        <f>IF($A854="",TODAY(),INDEX(Transactions!$G:$G,ROW()-8))</f>
      </c>
      <c r="C854">
        <f>IF($A854="","",INDEX(Transactions!$A:$A,ROW()-8))</f>
      </c>
      <c r="D854" s="30">
        <f>IF($A854="",0,INDEX(Transactions!$H:$H,ROW()-8))</f>
      </c>
      <c r="E854">
        <f>IF($A854="",1,INDEX(Transactions!$N:$N,ROW()-8))</f>
        <v>1</v>
      </c>
      <c r="F854" s="30">
        <f>IF($A854="",0,INDEX(Transactions!$O:$O,ROW()-8))</f>
      </c>
      <c r="G854" s="30">
        <f>IF($A854="",0,INDEX(Transactions!$P:$P,ROW()-8))</f>
      </c>
    </row>
    <row r="855" spans="1:7" ht="15" customHeight="1" x14ac:dyDescent="0.15">
      <c r="A855">
        <f>IF(INDEX(Transactions!$J:$J,ROW()-8)="","",INDEX(Transactions!$J:$J,ROW()-8))</f>
      </c>
      <c r="B855" s="297">
        <f>IF($A855="",TODAY(),INDEX(Transactions!$G:$G,ROW()-8))</f>
      </c>
      <c r="C855">
        <f>IF($A855="","",INDEX(Transactions!$A:$A,ROW()-8))</f>
      </c>
      <c r="D855" s="30">
        <f>IF($A855="",0,INDEX(Transactions!$H:$H,ROW()-8))</f>
      </c>
      <c r="E855">
        <f>IF($A855="",1,INDEX(Transactions!$N:$N,ROW()-8))</f>
        <v>1</v>
      </c>
      <c r="F855" s="30">
        <f>IF($A855="",0,INDEX(Transactions!$O:$O,ROW()-8))</f>
      </c>
      <c r="G855" s="30">
        <f>IF($A855="",0,INDEX(Transactions!$P:$P,ROW()-8))</f>
      </c>
    </row>
    <row r="856" spans="1:7" ht="15" customHeight="1" x14ac:dyDescent="0.15">
      <c r="A856">
        <f>IF(INDEX(Transactions!$J:$J,ROW()-8)="","",INDEX(Transactions!$J:$J,ROW()-8))</f>
      </c>
      <c r="B856" s="297">
        <f>IF($A856="",TODAY(),INDEX(Transactions!$G:$G,ROW()-8))</f>
      </c>
      <c r="C856">
        <f>IF($A856="","",INDEX(Transactions!$A:$A,ROW()-8))</f>
      </c>
      <c r="D856" s="30">
        <f>IF($A856="",0,INDEX(Transactions!$H:$H,ROW()-8))</f>
      </c>
      <c r="E856">
        <f>IF($A856="",1,INDEX(Transactions!$N:$N,ROW()-8))</f>
        <v>1</v>
      </c>
      <c r="F856" s="30">
        <f>IF($A856="",0,INDEX(Transactions!$O:$O,ROW()-8))</f>
      </c>
      <c r="G856" s="30">
        <f>IF($A856="",0,INDEX(Transactions!$P:$P,ROW()-8))</f>
      </c>
    </row>
    <row r="857" spans="1:7" ht="15" customHeight="1" x14ac:dyDescent="0.15">
      <c r="A857">
        <f>IF(INDEX(Transactions!$J:$J,ROW()-8)="","",INDEX(Transactions!$J:$J,ROW()-8))</f>
      </c>
      <c r="B857" s="297">
        <f>IF($A857="",TODAY(),INDEX(Transactions!$G:$G,ROW()-8))</f>
      </c>
      <c r="C857">
        <f>IF($A857="","",INDEX(Transactions!$A:$A,ROW()-8))</f>
      </c>
      <c r="D857" s="30">
        <f>IF($A857="",0,INDEX(Transactions!$H:$H,ROW()-8))</f>
      </c>
      <c r="E857">
        <f>IF($A857="",1,INDEX(Transactions!$N:$N,ROW()-8))</f>
        <v>1</v>
      </c>
      <c r="F857" s="30">
        <f>IF($A857="",0,INDEX(Transactions!$O:$O,ROW()-8))</f>
      </c>
      <c r="G857" s="30">
        <f>IF($A857="",0,INDEX(Transactions!$P:$P,ROW()-8))</f>
      </c>
    </row>
    <row r="858" spans="1:7" ht="15" customHeight="1" x14ac:dyDescent="0.15">
      <c r="A858">
        <f>IF(INDEX(Transactions!$J:$J,ROW()-8)="","",INDEX(Transactions!$J:$J,ROW()-8))</f>
      </c>
      <c r="B858" s="297">
        <f>IF($A858="",TODAY(),INDEX(Transactions!$G:$G,ROW()-8))</f>
      </c>
      <c r="C858">
        <f>IF($A858="","",INDEX(Transactions!$A:$A,ROW()-8))</f>
      </c>
      <c r="D858" s="30">
        <f>IF($A858="",0,INDEX(Transactions!$H:$H,ROW()-8))</f>
      </c>
      <c r="E858">
        <f>IF($A858="",1,INDEX(Transactions!$N:$N,ROW()-8))</f>
        <v>1</v>
      </c>
      <c r="F858" s="30">
        <f>IF($A858="",0,INDEX(Transactions!$O:$O,ROW()-8))</f>
      </c>
      <c r="G858" s="30">
        <f>IF($A858="",0,INDEX(Transactions!$P:$P,ROW()-8))</f>
      </c>
    </row>
    <row r="859" spans="1:7" ht="15" customHeight="1" x14ac:dyDescent="0.15">
      <c r="A859">
        <f>IF(INDEX(Transactions!$J:$J,ROW()-8)="","",INDEX(Transactions!$J:$J,ROW()-8))</f>
      </c>
      <c r="B859" s="297">
        <f>IF($A859="",TODAY(),INDEX(Transactions!$G:$G,ROW()-8))</f>
      </c>
      <c r="C859">
        <f>IF($A859="","",INDEX(Transactions!$A:$A,ROW()-8))</f>
      </c>
      <c r="D859" s="30">
        <f>IF($A859="",0,INDEX(Transactions!$H:$H,ROW()-8))</f>
      </c>
      <c r="E859">
        <f>IF($A859="",1,INDEX(Transactions!$N:$N,ROW()-8))</f>
        <v>1</v>
      </c>
      <c r="F859" s="30">
        <f>IF($A859="",0,INDEX(Transactions!$O:$O,ROW()-8))</f>
      </c>
      <c r="G859" s="30">
        <f>IF($A859="",0,INDEX(Transactions!$P:$P,ROW()-8))</f>
      </c>
    </row>
    <row r="860" spans="1:7" ht="15" customHeight="1" x14ac:dyDescent="0.15">
      <c r="A860">
        <f>IF(INDEX(Transactions!$J:$J,ROW()-8)="","",INDEX(Transactions!$J:$J,ROW()-8))</f>
      </c>
      <c r="B860" s="297">
        <f>IF($A860="",TODAY(),INDEX(Transactions!$G:$G,ROW()-8))</f>
      </c>
      <c r="C860">
        <f>IF($A860="","",INDEX(Transactions!$A:$A,ROW()-8))</f>
      </c>
      <c r="D860" s="30">
        <f>IF($A860="",0,INDEX(Transactions!$H:$H,ROW()-8))</f>
      </c>
      <c r="E860">
        <f>IF($A860="",1,INDEX(Transactions!$N:$N,ROW()-8))</f>
        <v>1</v>
      </c>
      <c r="F860" s="30">
        <f>IF($A860="",0,INDEX(Transactions!$O:$O,ROW()-8))</f>
      </c>
      <c r="G860" s="30">
        <f>IF($A860="",0,INDEX(Transactions!$P:$P,ROW()-8))</f>
      </c>
    </row>
    <row r="861" spans="1:7" ht="15" customHeight="1" x14ac:dyDescent="0.15">
      <c r="A861">
        <f>IF(INDEX(Transactions!$J:$J,ROW()-8)="","",INDEX(Transactions!$J:$J,ROW()-8))</f>
      </c>
      <c r="B861" s="297">
        <f>IF($A861="",TODAY(),INDEX(Transactions!$G:$G,ROW()-8))</f>
      </c>
      <c r="C861">
        <f>IF($A861="","",INDEX(Transactions!$A:$A,ROW()-8))</f>
      </c>
      <c r="D861" s="30">
        <f>IF($A861="",0,INDEX(Transactions!$H:$H,ROW()-8))</f>
      </c>
      <c r="E861">
        <f>IF($A861="",1,INDEX(Transactions!$N:$N,ROW()-8))</f>
        <v>1</v>
      </c>
      <c r="F861" s="30">
        <f>IF($A861="",0,INDEX(Transactions!$O:$O,ROW()-8))</f>
      </c>
      <c r="G861" s="30">
        <f>IF($A861="",0,INDEX(Transactions!$P:$P,ROW()-8))</f>
      </c>
    </row>
    <row r="862" spans="1:7" ht="15" customHeight="1" x14ac:dyDescent="0.15">
      <c r="A862">
        <f>IF(INDEX(Transactions!$J:$J,ROW()-8)="","",INDEX(Transactions!$J:$J,ROW()-8))</f>
      </c>
      <c r="B862" s="297">
        <f>IF($A862="",TODAY(),INDEX(Transactions!$G:$G,ROW()-8))</f>
      </c>
      <c r="C862">
        <f>IF($A862="","",INDEX(Transactions!$A:$A,ROW()-8))</f>
      </c>
      <c r="D862" s="30">
        <f>IF($A862="",0,INDEX(Transactions!$H:$H,ROW()-8))</f>
      </c>
      <c r="E862">
        <f>IF($A862="",1,INDEX(Transactions!$N:$N,ROW()-8))</f>
        <v>1</v>
      </c>
      <c r="F862" s="30">
        <f>IF($A862="",0,INDEX(Transactions!$O:$O,ROW()-8))</f>
      </c>
      <c r="G862" s="30">
        <f>IF($A862="",0,INDEX(Transactions!$P:$P,ROW()-8))</f>
      </c>
    </row>
    <row r="863" spans="1:7" ht="15" customHeight="1" x14ac:dyDescent="0.15">
      <c r="A863">
        <f>IF(INDEX(Transactions!$J:$J,ROW()-8)="","",INDEX(Transactions!$J:$J,ROW()-8))</f>
      </c>
      <c r="B863" s="297">
        <f>IF($A863="",TODAY(),INDEX(Transactions!$G:$G,ROW()-8))</f>
      </c>
      <c r="C863">
        <f>IF($A863="","",INDEX(Transactions!$A:$A,ROW()-8))</f>
      </c>
      <c r="D863" s="30">
        <f>IF($A863="",0,INDEX(Transactions!$H:$H,ROW()-8))</f>
      </c>
      <c r="E863">
        <f>IF($A863="",1,INDEX(Transactions!$N:$N,ROW()-8))</f>
        <v>1</v>
      </c>
      <c r="F863" s="30">
        <f>IF($A863="",0,INDEX(Transactions!$O:$O,ROW()-8))</f>
      </c>
      <c r="G863" s="30">
        <f>IF($A863="",0,INDEX(Transactions!$P:$P,ROW()-8))</f>
      </c>
    </row>
    <row r="864" spans="1:7" ht="15" customHeight="1" x14ac:dyDescent="0.15">
      <c r="A864">
        <f>IF(INDEX(Transactions!$J:$J,ROW()-8)="","",INDEX(Transactions!$J:$J,ROW()-8))</f>
      </c>
      <c r="B864" s="297">
        <f>IF($A864="",TODAY(),INDEX(Transactions!$G:$G,ROW()-8))</f>
      </c>
      <c r="C864">
        <f>IF($A864="","",INDEX(Transactions!$A:$A,ROW()-8))</f>
      </c>
      <c r="D864" s="30">
        <f>IF($A864="",0,INDEX(Transactions!$H:$H,ROW()-8))</f>
      </c>
      <c r="E864">
        <f>IF($A864="",1,INDEX(Transactions!$N:$N,ROW()-8))</f>
        <v>1</v>
      </c>
      <c r="F864" s="30">
        <f>IF($A864="",0,INDEX(Transactions!$O:$O,ROW()-8))</f>
      </c>
      <c r="G864" s="30">
        <f>IF($A864="",0,INDEX(Transactions!$P:$P,ROW()-8))</f>
      </c>
    </row>
    <row r="865" spans="1:7" ht="15" customHeight="1" x14ac:dyDescent="0.15">
      <c r="A865">
        <f>IF(INDEX(Transactions!$J:$J,ROW()-8)="","",INDEX(Transactions!$J:$J,ROW()-8))</f>
      </c>
      <c r="B865" s="297">
        <f>IF($A865="",TODAY(),INDEX(Transactions!$G:$G,ROW()-8))</f>
      </c>
      <c r="C865">
        <f>IF($A865="","",INDEX(Transactions!$A:$A,ROW()-8))</f>
      </c>
      <c r="D865" s="30">
        <f>IF($A865="",0,INDEX(Transactions!$H:$H,ROW()-8))</f>
      </c>
      <c r="E865">
        <f>IF($A865="",1,INDEX(Transactions!$N:$N,ROW()-8))</f>
        <v>1</v>
      </c>
      <c r="F865" s="30">
        <f>IF($A865="",0,INDEX(Transactions!$O:$O,ROW()-8))</f>
      </c>
      <c r="G865" s="30">
        <f>IF($A865="",0,INDEX(Transactions!$P:$P,ROW()-8))</f>
      </c>
    </row>
    <row r="866" spans="1:7" ht="15" customHeight="1" x14ac:dyDescent="0.15">
      <c r="A866">
        <f>IF(INDEX(Transactions!$J:$J,ROW()-8)="","",INDEX(Transactions!$J:$J,ROW()-8))</f>
      </c>
      <c r="B866" s="297">
        <f>IF($A866="",TODAY(),INDEX(Transactions!$G:$G,ROW()-8))</f>
      </c>
      <c r="C866">
        <f>IF($A866="","",INDEX(Transactions!$A:$A,ROW()-8))</f>
      </c>
      <c r="D866" s="30">
        <f>IF($A866="",0,INDEX(Transactions!$H:$H,ROW()-8))</f>
      </c>
      <c r="E866">
        <f>IF($A866="",1,INDEX(Transactions!$N:$N,ROW()-8))</f>
        <v>1</v>
      </c>
      <c r="F866" s="30">
        <f>IF($A866="",0,INDEX(Transactions!$O:$O,ROW()-8))</f>
      </c>
      <c r="G866" s="30">
        <f>IF($A866="",0,INDEX(Transactions!$P:$P,ROW()-8))</f>
      </c>
    </row>
    <row r="867" spans="1:7" ht="15" customHeight="1" x14ac:dyDescent="0.15">
      <c r="A867">
        <f>IF(INDEX(Transactions!$J:$J,ROW()-8)="","",INDEX(Transactions!$J:$J,ROW()-8))</f>
      </c>
      <c r="B867" s="297">
        <f>IF($A867="",TODAY(),INDEX(Transactions!$G:$G,ROW()-8))</f>
      </c>
      <c r="C867">
        <f>IF($A867="","",INDEX(Transactions!$A:$A,ROW()-8))</f>
      </c>
      <c r="D867" s="30">
        <f>IF($A867="",0,INDEX(Transactions!$H:$H,ROW()-8))</f>
      </c>
      <c r="E867">
        <f>IF($A867="",1,INDEX(Transactions!$N:$N,ROW()-8))</f>
        <v>1</v>
      </c>
      <c r="F867" s="30">
        <f>IF($A867="",0,INDEX(Transactions!$O:$O,ROW()-8))</f>
      </c>
      <c r="G867" s="30">
        <f>IF($A867="",0,INDEX(Transactions!$P:$P,ROW()-8))</f>
      </c>
    </row>
    <row r="868" spans="1:7" ht="15" customHeight="1" x14ac:dyDescent="0.15">
      <c r="A868">
        <f>IF(INDEX(Transactions!$J:$J,ROW()-8)="","",INDEX(Transactions!$J:$J,ROW()-8))</f>
      </c>
      <c r="B868" s="297">
        <f>IF($A868="",TODAY(),INDEX(Transactions!$G:$G,ROW()-8))</f>
      </c>
      <c r="C868">
        <f>IF($A868="","",INDEX(Transactions!$A:$A,ROW()-8))</f>
      </c>
      <c r="D868" s="30">
        <f>IF($A868="",0,INDEX(Transactions!$H:$H,ROW()-8))</f>
      </c>
      <c r="E868">
        <f>IF($A868="",1,INDEX(Transactions!$N:$N,ROW()-8))</f>
        <v>1</v>
      </c>
      <c r="F868" s="30">
        <f>IF($A868="",0,INDEX(Transactions!$O:$O,ROW()-8))</f>
      </c>
      <c r="G868" s="30">
        <f>IF($A868="",0,INDEX(Transactions!$P:$P,ROW()-8))</f>
      </c>
    </row>
    <row r="869" spans="1:7" ht="15" customHeight="1" x14ac:dyDescent="0.15">
      <c r="A869">
        <f>IF(INDEX(Transactions!$J:$J,ROW()-8)="","",INDEX(Transactions!$J:$J,ROW()-8))</f>
      </c>
      <c r="B869" s="297">
        <f>IF($A869="",TODAY(),INDEX(Transactions!$G:$G,ROW()-8))</f>
      </c>
      <c r="C869">
        <f>IF($A869="","",INDEX(Transactions!$A:$A,ROW()-8))</f>
      </c>
      <c r="D869" s="30">
        <f>IF($A869="",0,INDEX(Transactions!$H:$H,ROW()-8))</f>
      </c>
      <c r="E869">
        <f>IF($A869="",1,INDEX(Transactions!$N:$N,ROW()-8))</f>
        <v>1</v>
      </c>
      <c r="F869" s="30">
        <f>IF($A869="",0,INDEX(Transactions!$O:$O,ROW()-8))</f>
      </c>
      <c r="G869" s="30">
        <f>IF($A869="",0,INDEX(Transactions!$P:$P,ROW()-8))</f>
      </c>
    </row>
    <row r="870" spans="1:7" ht="15" customHeight="1" x14ac:dyDescent="0.15">
      <c r="A870">
        <f>IF(INDEX(Transactions!$J:$J,ROW()-8)="","",INDEX(Transactions!$J:$J,ROW()-8))</f>
      </c>
      <c r="B870" s="297">
        <f>IF($A870="",TODAY(),INDEX(Transactions!$G:$G,ROW()-8))</f>
      </c>
      <c r="C870">
        <f>IF($A870="","",INDEX(Transactions!$A:$A,ROW()-8))</f>
      </c>
      <c r="D870" s="30">
        <f>IF($A870="",0,INDEX(Transactions!$H:$H,ROW()-8))</f>
      </c>
      <c r="E870">
        <f>IF($A870="",1,INDEX(Transactions!$N:$N,ROW()-8))</f>
        <v>1</v>
      </c>
      <c r="F870" s="30">
        <f>IF($A870="",0,INDEX(Transactions!$O:$O,ROW()-8))</f>
      </c>
      <c r="G870" s="30">
        <f>IF($A870="",0,INDEX(Transactions!$P:$P,ROW()-8))</f>
      </c>
    </row>
    <row r="871" spans="1:7" ht="15" customHeight="1" x14ac:dyDescent="0.15">
      <c r="A871">
        <f>IF(INDEX(Transactions!$J:$J,ROW()-8)="","",INDEX(Transactions!$J:$J,ROW()-8))</f>
      </c>
      <c r="B871" s="297">
        <f>IF($A871="",TODAY(),INDEX(Transactions!$G:$G,ROW()-8))</f>
      </c>
      <c r="C871">
        <f>IF($A871="","",INDEX(Transactions!$A:$A,ROW()-8))</f>
      </c>
      <c r="D871" s="30">
        <f>IF($A871="",0,INDEX(Transactions!$H:$H,ROW()-8))</f>
      </c>
      <c r="E871">
        <f>IF($A871="",1,INDEX(Transactions!$N:$N,ROW()-8))</f>
        <v>1</v>
      </c>
      <c r="F871" s="30">
        <f>IF($A871="",0,INDEX(Transactions!$O:$O,ROW()-8))</f>
      </c>
      <c r="G871" s="30">
        <f>IF($A871="",0,INDEX(Transactions!$P:$P,ROW()-8))</f>
      </c>
    </row>
    <row r="872" spans="1:7" ht="15" customHeight="1" x14ac:dyDescent="0.15">
      <c r="A872">
        <f>IF(INDEX(Transactions!$J:$J,ROW()-8)="","",INDEX(Transactions!$J:$J,ROW()-8))</f>
      </c>
      <c r="B872" s="297">
        <f>IF($A872="",TODAY(),INDEX(Transactions!$G:$G,ROW()-8))</f>
      </c>
      <c r="C872">
        <f>IF($A872="","",INDEX(Transactions!$A:$A,ROW()-8))</f>
      </c>
      <c r="D872" s="30">
        <f>IF($A872="",0,INDEX(Transactions!$H:$H,ROW()-8))</f>
      </c>
      <c r="E872">
        <f>IF($A872="",1,INDEX(Transactions!$N:$N,ROW()-8))</f>
        <v>1</v>
      </c>
      <c r="F872" s="30">
        <f>IF($A872="",0,INDEX(Transactions!$O:$O,ROW()-8))</f>
      </c>
      <c r="G872" s="30">
        <f>IF($A872="",0,INDEX(Transactions!$P:$P,ROW()-8))</f>
      </c>
    </row>
    <row r="873" spans="1:7" ht="15" customHeight="1" x14ac:dyDescent="0.15">
      <c r="A873">
        <f>IF(INDEX(Transactions!$J:$J,ROW()-8)="","",INDEX(Transactions!$J:$J,ROW()-8))</f>
      </c>
      <c r="B873" s="297">
        <f>IF($A873="",TODAY(),INDEX(Transactions!$G:$G,ROW()-8))</f>
      </c>
      <c r="C873">
        <f>IF($A873="","",INDEX(Transactions!$A:$A,ROW()-8))</f>
      </c>
      <c r="D873" s="30">
        <f>IF($A873="",0,INDEX(Transactions!$H:$H,ROW()-8))</f>
      </c>
      <c r="E873">
        <f>IF($A873="",1,INDEX(Transactions!$N:$N,ROW()-8))</f>
        <v>1</v>
      </c>
      <c r="F873" s="30">
        <f>IF($A873="",0,INDEX(Transactions!$O:$O,ROW()-8))</f>
      </c>
      <c r="G873" s="30">
        <f>IF($A873="",0,INDEX(Transactions!$P:$P,ROW()-8))</f>
      </c>
    </row>
    <row r="874" spans="1:7" ht="15" customHeight="1" x14ac:dyDescent="0.15">
      <c r="A874">
        <f>IF(INDEX(Transactions!$J:$J,ROW()-8)="","",INDEX(Transactions!$J:$J,ROW()-8))</f>
      </c>
      <c r="B874" s="297">
        <f>IF($A874="",TODAY(),INDEX(Transactions!$G:$G,ROW()-8))</f>
      </c>
      <c r="C874">
        <f>IF($A874="","",INDEX(Transactions!$A:$A,ROW()-8))</f>
      </c>
      <c r="D874" s="30">
        <f>IF($A874="",0,INDEX(Transactions!$H:$H,ROW()-8))</f>
      </c>
      <c r="E874">
        <f>IF($A874="",1,INDEX(Transactions!$N:$N,ROW()-8))</f>
        <v>1</v>
      </c>
      <c r="F874" s="30">
        <f>IF($A874="",0,INDEX(Transactions!$O:$O,ROW()-8))</f>
      </c>
      <c r="G874" s="30">
        <f>IF($A874="",0,INDEX(Transactions!$P:$P,ROW()-8))</f>
      </c>
    </row>
    <row r="875" spans="1:7" ht="15" customHeight="1" x14ac:dyDescent="0.15">
      <c r="A875">
        <f>IF(INDEX(Transactions!$J:$J,ROW()-8)="","",INDEX(Transactions!$J:$J,ROW()-8))</f>
      </c>
      <c r="B875" s="297">
        <f>IF($A875="",TODAY(),INDEX(Transactions!$G:$G,ROW()-8))</f>
      </c>
      <c r="C875">
        <f>IF($A875="","",INDEX(Transactions!$A:$A,ROW()-8))</f>
      </c>
      <c r="D875" s="30">
        <f>IF($A875="",0,INDEX(Transactions!$H:$H,ROW()-8))</f>
      </c>
      <c r="E875">
        <f>IF($A875="",1,INDEX(Transactions!$N:$N,ROW()-8))</f>
        <v>1</v>
      </c>
      <c r="F875" s="30">
        <f>IF($A875="",0,INDEX(Transactions!$O:$O,ROW()-8))</f>
      </c>
      <c r="G875" s="30">
        <f>IF($A875="",0,INDEX(Transactions!$P:$P,ROW()-8))</f>
      </c>
    </row>
    <row r="876" spans="1:7" ht="15" customHeight="1" x14ac:dyDescent="0.15">
      <c r="A876">
        <f>IF(INDEX(Transactions!$J:$J,ROW()-8)="","",INDEX(Transactions!$J:$J,ROW()-8))</f>
      </c>
      <c r="B876" s="297">
        <f>IF($A876="",TODAY(),INDEX(Transactions!$G:$G,ROW()-8))</f>
      </c>
      <c r="C876">
        <f>IF($A876="","",INDEX(Transactions!$A:$A,ROW()-8))</f>
      </c>
      <c r="D876" s="30">
        <f>IF($A876="",0,INDEX(Transactions!$H:$H,ROW()-8))</f>
      </c>
      <c r="E876">
        <f>IF($A876="",1,INDEX(Transactions!$N:$N,ROW()-8))</f>
        <v>1</v>
      </c>
      <c r="F876" s="30">
        <f>IF($A876="",0,INDEX(Transactions!$O:$O,ROW()-8))</f>
      </c>
      <c r="G876" s="30">
        <f>IF($A876="",0,INDEX(Transactions!$P:$P,ROW()-8))</f>
      </c>
    </row>
    <row r="877" spans="1:7" ht="15" customHeight="1" x14ac:dyDescent="0.15">
      <c r="A877">
        <f>IF(INDEX(Transactions!$J:$J,ROW()-8)="","",INDEX(Transactions!$J:$J,ROW()-8))</f>
      </c>
      <c r="B877" s="297">
        <f>IF($A877="",TODAY(),INDEX(Transactions!$G:$G,ROW()-8))</f>
      </c>
      <c r="C877">
        <f>IF($A877="","",INDEX(Transactions!$A:$A,ROW()-8))</f>
      </c>
      <c r="D877" s="30">
        <f>IF($A877="",0,INDEX(Transactions!$H:$H,ROW()-8))</f>
      </c>
      <c r="E877">
        <f>IF($A877="",1,INDEX(Transactions!$N:$N,ROW()-8))</f>
        <v>1</v>
      </c>
      <c r="F877" s="30">
        <f>IF($A877="",0,INDEX(Transactions!$O:$O,ROW()-8))</f>
      </c>
      <c r="G877" s="30">
        <f>IF($A877="",0,INDEX(Transactions!$P:$P,ROW()-8))</f>
      </c>
    </row>
    <row r="878" spans="1:7" ht="15" customHeight="1" x14ac:dyDescent="0.15">
      <c r="A878">
        <f>IF(INDEX(Transactions!$J:$J,ROW()-8)="","",INDEX(Transactions!$J:$J,ROW()-8))</f>
      </c>
      <c r="B878" s="297">
        <f>IF($A878="",TODAY(),INDEX(Transactions!$G:$G,ROW()-8))</f>
      </c>
      <c r="C878">
        <f>IF($A878="","",INDEX(Transactions!$A:$A,ROW()-8))</f>
      </c>
      <c r="D878" s="30">
        <f>IF($A878="",0,INDEX(Transactions!$H:$H,ROW()-8))</f>
      </c>
      <c r="E878">
        <f>IF($A878="",1,INDEX(Transactions!$N:$N,ROW()-8))</f>
        <v>1</v>
      </c>
      <c r="F878" s="30">
        <f>IF($A878="",0,INDEX(Transactions!$O:$O,ROW()-8))</f>
      </c>
      <c r="G878" s="30">
        <f>IF($A878="",0,INDEX(Transactions!$P:$P,ROW()-8))</f>
      </c>
    </row>
    <row r="879" spans="1:7" ht="15" customHeight="1" x14ac:dyDescent="0.15">
      <c r="A879">
        <f>IF(INDEX(Transactions!$J:$J,ROW()-8)="","",INDEX(Transactions!$J:$J,ROW()-8))</f>
      </c>
      <c r="B879" s="297">
        <f>IF($A879="",TODAY(),INDEX(Transactions!$G:$G,ROW()-8))</f>
      </c>
      <c r="C879">
        <f>IF($A879="","",INDEX(Transactions!$A:$A,ROW()-8))</f>
      </c>
      <c r="D879" s="30">
        <f>IF($A879="",0,INDEX(Transactions!$H:$H,ROW()-8))</f>
      </c>
      <c r="E879">
        <f>IF($A879="",1,INDEX(Transactions!$N:$N,ROW()-8))</f>
        <v>1</v>
      </c>
      <c r="F879" s="30">
        <f>IF($A879="",0,INDEX(Transactions!$O:$O,ROW()-8))</f>
      </c>
      <c r="G879" s="30">
        <f>IF($A879="",0,INDEX(Transactions!$P:$P,ROW()-8))</f>
      </c>
    </row>
    <row r="880" spans="1:7" ht="15" customHeight="1" x14ac:dyDescent="0.15">
      <c r="A880">
        <f>IF(INDEX(Transactions!$J:$J,ROW()-8)="","",INDEX(Transactions!$J:$J,ROW()-8))</f>
      </c>
      <c r="B880" s="297">
        <f>IF($A880="",TODAY(),INDEX(Transactions!$G:$G,ROW()-8))</f>
      </c>
      <c r="C880">
        <f>IF($A880="","",INDEX(Transactions!$A:$A,ROW()-8))</f>
      </c>
      <c r="D880" s="30">
        <f>IF($A880="",0,INDEX(Transactions!$H:$H,ROW()-8))</f>
      </c>
      <c r="E880">
        <f>IF($A880="",1,INDEX(Transactions!$N:$N,ROW()-8))</f>
        <v>1</v>
      </c>
      <c r="F880" s="30">
        <f>IF($A880="",0,INDEX(Transactions!$O:$O,ROW()-8))</f>
      </c>
      <c r="G880" s="30">
        <f>IF($A880="",0,INDEX(Transactions!$P:$P,ROW()-8))</f>
      </c>
    </row>
    <row r="881" spans="1:7" ht="15" customHeight="1" x14ac:dyDescent="0.15">
      <c r="A881">
        <f>IF(INDEX(Transactions!$J:$J,ROW()-8)="","",INDEX(Transactions!$J:$J,ROW()-8))</f>
      </c>
      <c r="B881" s="297">
        <f>IF($A881="",TODAY(),INDEX(Transactions!$G:$G,ROW()-8))</f>
      </c>
      <c r="C881">
        <f>IF($A881="","",INDEX(Transactions!$A:$A,ROW()-8))</f>
      </c>
      <c r="D881" s="30">
        <f>IF($A881="",0,INDEX(Transactions!$H:$H,ROW()-8))</f>
      </c>
      <c r="E881">
        <f>IF($A881="",1,INDEX(Transactions!$N:$N,ROW()-8))</f>
        <v>1</v>
      </c>
      <c r="F881" s="30">
        <f>IF($A881="",0,INDEX(Transactions!$O:$O,ROW()-8))</f>
      </c>
      <c r="G881" s="30">
        <f>IF($A881="",0,INDEX(Transactions!$P:$P,ROW()-8))</f>
      </c>
    </row>
    <row r="882" spans="1:7" ht="15" customHeight="1" x14ac:dyDescent="0.15">
      <c r="A882">
        <f>IF(INDEX(Transactions!$J:$J,ROW()-8)="","",INDEX(Transactions!$J:$J,ROW()-8))</f>
      </c>
      <c r="B882" s="297">
        <f>IF($A882="",TODAY(),INDEX(Transactions!$G:$G,ROW()-8))</f>
      </c>
      <c r="C882">
        <f>IF($A882="","",INDEX(Transactions!$A:$A,ROW()-8))</f>
      </c>
      <c r="D882" s="30">
        <f>IF($A882="",0,INDEX(Transactions!$H:$H,ROW()-8))</f>
      </c>
      <c r="E882">
        <f>IF($A882="",1,INDEX(Transactions!$N:$N,ROW()-8))</f>
        <v>1</v>
      </c>
      <c r="F882" s="30">
        <f>IF($A882="",0,INDEX(Transactions!$O:$O,ROW()-8))</f>
      </c>
      <c r="G882" s="30">
        <f>IF($A882="",0,INDEX(Transactions!$P:$P,ROW()-8))</f>
      </c>
    </row>
    <row r="883" spans="1:7" ht="15" customHeight="1" x14ac:dyDescent="0.15">
      <c r="A883">
        <f>IF(INDEX(Transactions!$J:$J,ROW()-8)="","",INDEX(Transactions!$J:$J,ROW()-8))</f>
      </c>
      <c r="B883" s="297">
        <f>IF($A883="",TODAY(),INDEX(Transactions!$G:$G,ROW()-8))</f>
      </c>
      <c r="C883">
        <f>IF($A883="","",INDEX(Transactions!$A:$A,ROW()-8))</f>
      </c>
      <c r="D883" s="30">
        <f>IF($A883="",0,INDEX(Transactions!$H:$H,ROW()-8))</f>
      </c>
      <c r="E883">
        <f>IF($A883="",1,INDEX(Transactions!$N:$N,ROW()-8))</f>
        <v>1</v>
      </c>
      <c r="F883" s="30">
        <f>IF($A883="",0,INDEX(Transactions!$O:$O,ROW()-8))</f>
      </c>
      <c r="G883" s="30">
        <f>IF($A883="",0,INDEX(Transactions!$P:$P,ROW()-8))</f>
      </c>
    </row>
    <row r="884" spans="1:7" ht="15" customHeight="1" x14ac:dyDescent="0.15">
      <c r="A884">
        <f>IF(INDEX(Transactions!$J:$J,ROW()-8)="","",INDEX(Transactions!$J:$J,ROW()-8))</f>
      </c>
      <c r="B884" s="297">
        <f>IF($A884="",TODAY(),INDEX(Transactions!$G:$G,ROW()-8))</f>
      </c>
      <c r="C884">
        <f>IF($A884="","",INDEX(Transactions!$A:$A,ROW()-8))</f>
      </c>
      <c r="D884" s="30">
        <f>IF($A884="",0,INDEX(Transactions!$H:$H,ROW()-8))</f>
      </c>
      <c r="E884">
        <f>IF($A884="",1,INDEX(Transactions!$N:$N,ROW()-8))</f>
        <v>1</v>
      </c>
      <c r="F884" s="30">
        <f>IF($A884="",0,INDEX(Transactions!$O:$O,ROW()-8))</f>
      </c>
      <c r="G884" s="30">
        <f>IF($A884="",0,INDEX(Transactions!$P:$P,ROW()-8))</f>
      </c>
    </row>
    <row r="885" spans="1:7" ht="15" customHeight="1" x14ac:dyDescent="0.15">
      <c r="A885">
        <f>IF(INDEX(Transactions!$J:$J,ROW()-8)="","",INDEX(Transactions!$J:$J,ROW()-8))</f>
      </c>
      <c r="B885" s="297">
        <f>IF($A885="",TODAY(),INDEX(Transactions!$G:$G,ROW()-8))</f>
      </c>
      <c r="C885">
        <f>IF($A885="","",INDEX(Transactions!$A:$A,ROW()-8))</f>
      </c>
      <c r="D885" s="30">
        <f>IF($A885="",0,INDEX(Transactions!$H:$H,ROW()-8))</f>
      </c>
      <c r="E885">
        <f>IF($A885="",1,INDEX(Transactions!$N:$N,ROW()-8))</f>
        <v>1</v>
      </c>
      <c r="F885" s="30">
        <f>IF($A885="",0,INDEX(Transactions!$O:$O,ROW()-8))</f>
      </c>
      <c r="G885" s="30">
        <f>IF($A885="",0,INDEX(Transactions!$P:$P,ROW()-8))</f>
      </c>
    </row>
    <row r="886" spans="1:7" ht="15" customHeight="1" x14ac:dyDescent="0.15">
      <c r="A886">
        <f>IF(INDEX(Transactions!$J:$J,ROW()-8)="","",INDEX(Transactions!$J:$J,ROW()-8))</f>
      </c>
      <c r="B886" s="297">
        <f>IF($A886="",TODAY(),INDEX(Transactions!$G:$G,ROW()-8))</f>
      </c>
      <c r="C886">
        <f>IF($A886="","",INDEX(Transactions!$A:$A,ROW()-8))</f>
      </c>
      <c r="D886" s="30">
        <f>IF($A886="",0,INDEX(Transactions!$H:$H,ROW()-8))</f>
      </c>
      <c r="E886">
        <f>IF($A886="",1,INDEX(Transactions!$N:$N,ROW()-8))</f>
        <v>1</v>
      </c>
      <c r="F886" s="30">
        <f>IF($A886="",0,INDEX(Transactions!$O:$O,ROW()-8))</f>
      </c>
      <c r="G886" s="30">
        <f>IF($A886="",0,INDEX(Transactions!$P:$P,ROW()-8))</f>
      </c>
    </row>
    <row r="887" spans="1:7" ht="15" customHeight="1" x14ac:dyDescent="0.15">
      <c r="A887">
        <f>IF(INDEX(Transactions!$J:$J,ROW()-8)="","",INDEX(Transactions!$J:$J,ROW()-8))</f>
      </c>
      <c r="B887" s="297">
        <f>IF($A887="",TODAY(),INDEX(Transactions!$G:$G,ROW()-8))</f>
      </c>
      <c r="C887">
        <f>IF($A887="","",INDEX(Transactions!$A:$A,ROW()-8))</f>
      </c>
      <c r="D887" s="30">
        <f>IF($A887="",0,INDEX(Transactions!$H:$H,ROW()-8))</f>
      </c>
      <c r="E887">
        <f>IF($A887="",1,INDEX(Transactions!$N:$N,ROW()-8))</f>
        <v>1</v>
      </c>
      <c r="F887" s="30">
        <f>IF($A887="",0,INDEX(Transactions!$O:$O,ROW()-8))</f>
      </c>
      <c r="G887" s="30">
        <f>IF($A887="",0,INDEX(Transactions!$P:$P,ROW()-8))</f>
      </c>
    </row>
    <row r="888" spans="1:7" ht="15" customHeight="1" x14ac:dyDescent="0.15">
      <c r="A888">
        <f>IF(INDEX(Transactions!$J:$J,ROW()-8)="","",INDEX(Transactions!$J:$J,ROW()-8))</f>
      </c>
      <c r="B888" s="297">
        <f>IF($A888="",TODAY(),INDEX(Transactions!$G:$G,ROW()-8))</f>
      </c>
      <c r="C888">
        <f>IF($A888="","",INDEX(Transactions!$A:$A,ROW()-8))</f>
      </c>
      <c r="D888" s="30">
        <f>IF($A888="",0,INDEX(Transactions!$H:$H,ROW()-8))</f>
      </c>
      <c r="E888">
        <f>IF($A888="",1,INDEX(Transactions!$N:$N,ROW()-8))</f>
        <v>1</v>
      </c>
      <c r="F888" s="30">
        <f>IF($A888="",0,INDEX(Transactions!$O:$O,ROW()-8))</f>
      </c>
      <c r="G888" s="30">
        <f>IF($A888="",0,INDEX(Transactions!$P:$P,ROW()-8))</f>
      </c>
    </row>
    <row r="889" spans="1:7" ht="15" customHeight="1" x14ac:dyDescent="0.15">
      <c r="A889">
        <f>IF(INDEX(Transactions!$J:$J,ROW()-8)="","",INDEX(Transactions!$J:$J,ROW()-8))</f>
      </c>
      <c r="B889" s="297">
        <f>IF($A889="",TODAY(),INDEX(Transactions!$G:$G,ROW()-8))</f>
      </c>
      <c r="C889">
        <f>IF($A889="","",INDEX(Transactions!$A:$A,ROW()-8))</f>
      </c>
      <c r="D889" s="30">
        <f>IF($A889="",0,INDEX(Transactions!$H:$H,ROW()-8))</f>
      </c>
      <c r="E889">
        <f>IF($A889="",1,INDEX(Transactions!$N:$N,ROW()-8))</f>
        <v>1</v>
      </c>
      <c r="F889" s="30">
        <f>IF($A889="",0,INDEX(Transactions!$O:$O,ROW()-8))</f>
      </c>
      <c r="G889" s="30">
        <f>IF($A889="",0,INDEX(Transactions!$P:$P,ROW()-8))</f>
      </c>
    </row>
    <row r="890" spans="1:7" ht="15" customHeight="1" x14ac:dyDescent="0.15">
      <c r="A890">
        <f>IF(INDEX(Transactions!$J:$J,ROW()-8)="","",INDEX(Transactions!$J:$J,ROW()-8))</f>
      </c>
      <c r="B890" s="297">
        <f>IF($A890="",TODAY(),INDEX(Transactions!$G:$G,ROW()-8))</f>
      </c>
      <c r="C890">
        <f>IF($A890="","",INDEX(Transactions!$A:$A,ROW()-8))</f>
      </c>
      <c r="D890" s="30">
        <f>IF($A890="",0,INDEX(Transactions!$H:$H,ROW()-8))</f>
      </c>
      <c r="E890">
        <f>IF($A890="",1,INDEX(Transactions!$N:$N,ROW()-8))</f>
        <v>1</v>
      </c>
      <c r="F890" s="30">
        <f>IF($A890="",0,INDEX(Transactions!$O:$O,ROW()-8))</f>
      </c>
      <c r="G890" s="30">
        <f>IF($A890="",0,INDEX(Transactions!$P:$P,ROW()-8))</f>
      </c>
    </row>
    <row r="891" spans="1:7" ht="15" customHeight="1" x14ac:dyDescent="0.15">
      <c r="A891">
        <f>IF(INDEX(Transactions!$J:$J,ROW()-8)="","",INDEX(Transactions!$J:$J,ROW()-8))</f>
      </c>
      <c r="B891" s="297">
        <f>IF($A891="",TODAY(),INDEX(Transactions!$G:$G,ROW()-8))</f>
      </c>
      <c r="C891">
        <f>IF($A891="","",INDEX(Transactions!$A:$A,ROW()-8))</f>
      </c>
      <c r="D891" s="30">
        <f>IF($A891="",0,INDEX(Transactions!$H:$H,ROW()-8))</f>
      </c>
      <c r="E891">
        <f>IF($A891="",1,INDEX(Transactions!$N:$N,ROW()-8))</f>
        <v>1</v>
      </c>
      <c r="F891" s="30">
        <f>IF($A891="",0,INDEX(Transactions!$O:$O,ROW()-8))</f>
      </c>
      <c r="G891" s="30">
        <f>IF($A891="",0,INDEX(Transactions!$P:$P,ROW()-8))</f>
      </c>
    </row>
    <row r="892" spans="1:7" ht="15" customHeight="1" x14ac:dyDescent="0.15">
      <c r="A892">
        <f>IF(INDEX(Transactions!$J:$J,ROW()-8)="","",INDEX(Transactions!$J:$J,ROW()-8))</f>
      </c>
      <c r="B892" s="297">
        <f>IF($A892="",TODAY(),INDEX(Transactions!$G:$G,ROW()-8))</f>
      </c>
      <c r="C892">
        <f>IF($A892="","",INDEX(Transactions!$A:$A,ROW()-8))</f>
      </c>
      <c r="D892" s="30">
        <f>IF($A892="",0,INDEX(Transactions!$H:$H,ROW()-8))</f>
      </c>
      <c r="E892">
        <f>IF($A892="",1,INDEX(Transactions!$N:$N,ROW()-8))</f>
        <v>1</v>
      </c>
      <c r="F892" s="30">
        <f>IF($A892="",0,INDEX(Transactions!$O:$O,ROW()-8))</f>
      </c>
      <c r="G892" s="30">
        <f>IF($A892="",0,INDEX(Transactions!$P:$P,ROW()-8))</f>
      </c>
    </row>
    <row r="893" spans="1:7" ht="15" customHeight="1" x14ac:dyDescent="0.15">
      <c r="A893">
        <f>IF(INDEX(Transactions!$J:$J,ROW()-8)="","",INDEX(Transactions!$J:$J,ROW()-8))</f>
      </c>
      <c r="B893" s="297">
        <f>IF($A893="",TODAY(),INDEX(Transactions!$G:$G,ROW()-8))</f>
      </c>
      <c r="C893">
        <f>IF($A893="","",INDEX(Transactions!$A:$A,ROW()-8))</f>
      </c>
      <c r="D893" s="30">
        <f>IF($A893="",0,INDEX(Transactions!$H:$H,ROW()-8))</f>
      </c>
      <c r="E893">
        <f>IF($A893="",1,INDEX(Transactions!$N:$N,ROW()-8))</f>
        <v>1</v>
      </c>
      <c r="F893" s="30">
        <f>IF($A893="",0,INDEX(Transactions!$O:$O,ROW()-8))</f>
      </c>
      <c r="G893" s="30">
        <f>IF($A893="",0,INDEX(Transactions!$P:$P,ROW()-8))</f>
      </c>
    </row>
    <row r="894" spans="1:7" ht="15" customHeight="1" x14ac:dyDescent="0.15">
      <c r="A894">
        <f>IF(INDEX(Transactions!$J:$J,ROW()-8)="","",INDEX(Transactions!$J:$J,ROW()-8))</f>
      </c>
      <c r="B894" s="297">
        <f>IF($A894="",TODAY(),INDEX(Transactions!$G:$G,ROW()-8))</f>
      </c>
      <c r="C894">
        <f>IF($A894="","",INDEX(Transactions!$A:$A,ROW()-8))</f>
      </c>
      <c r="D894" s="30">
        <f>IF($A894="",0,INDEX(Transactions!$H:$H,ROW()-8))</f>
      </c>
      <c r="E894">
        <f>IF($A894="",1,INDEX(Transactions!$N:$N,ROW()-8))</f>
        <v>1</v>
      </c>
      <c r="F894" s="30">
        <f>IF($A894="",0,INDEX(Transactions!$O:$O,ROW()-8))</f>
      </c>
      <c r="G894" s="30">
        <f>IF($A894="",0,INDEX(Transactions!$P:$P,ROW()-8))</f>
      </c>
    </row>
    <row r="895" spans="1:7" ht="15" customHeight="1" x14ac:dyDescent="0.15">
      <c r="A895">
        <f>IF(INDEX(Transactions!$J:$J,ROW()-8)="","",INDEX(Transactions!$J:$J,ROW()-8))</f>
      </c>
      <c r="B895" s="297">
        <f>IF($A895="",TODAY(),INDEX(Transactions!$G:$G,ROW()-8))</f>
      </c>
      <c r="C895">
        <f>IF($A895="","",INDEX(Transactions!$A:$A,ROW()-8))</f>
      </c>
      <c r="D895" s="30">
        <f>IF($A895="",0,INDEX(Transactions!$H:$H,ROW()-8))</f>
      </c>
      <c r="E895">
        <f>IF($A895="",1,INDEX(Transactions!$N:$N,ROW()-8))</f>
        <v>1</v>
      </c>
      <c r="F895" s="30">
        <f>IF($A895="",0,INDEX(Transactions!$O:$O,ROW()-8))</f>
      </c>
      <c r="G895" s="30">
        <f>IF($A895="",0,INDEX(Transactions!$P:$P,ROW()-8))</f>
      </c>
    </row>
    <row r="896" spans="1:7" ht="15" customHeight="1" x14ac:dyDescent="0.15">
      <c r="A896">
        <f>IF(INDEX(Transactions!$J:$J,ROW()-8)="","",INDEX(Transactions!$J:$J,ROW()-8))</f>
      </c>
      <c r="B896" s="297">
        <f>IF($A896="",TODAY(),INDEX(Transactions!$G:$G,ROW()-8))</f>
      </c>
      <c r="C896">
        <f>IF($A896="","",INDEX(Transactions!$A:$A,ROW()-8))</f>
      </c>
      <c r="D896" s="30">
        <f>IF($A896="",0,INDEX(Transactions!$H:$H,ROW()-8))</f>
      </c>
      <c r="E896">
        <f>IF($A896="",1,INDEX(Transactions!$N:$N,ROW()-8))</f>
        <v>1</v>
      </c>
      <c r="F896" s="30">
        <f>IF($A896="",0,INDEX(Transactions!$O:$O,ROW()-8))</f>
      </c>
      <c r="G896" s="30">
        <f>IF($A896="",0,INDEX(Transactions!$P:$P,ROW()-8))</f>
      </c>
    </row>
    <row r="897" spans="1:7" ht="15" customHeight="1" x14ac:dyDescent="0.15">
      <c r="A897">
        <f>IF(INDEX(Transactions!$J:$J,ROW()-8)="","",INDEX(Transactions!$J:$J,ROW()-8))</f>
      </c>
      <c r="B897" s="297">
        <f>IF($A897="",TODAY(),INDEX(Transactions!$G:$G,ROW()-8))</f>
      </c>
      <c r="C897">
        <f>IF($A897="","",INDEX(Transactions!$A:$A,ROW()-8))</f>
      </c>
      <c r="D897" s="30">
        <f>IF($A897="",0,INDEX(Transactions!$H:$H,ROW()-8))</f>
      </c>
      <c r="E897">
        <f>IF($A897="",1,INDEX(Transactions!$N:$N,ROW()-8))</f>
        <v>1</v>
      </c>
      <c r="F897" s="30">
        <f>IF($A897="",0,INDEX(Transactions!$O:$O,ROW()-8))</f>
      </c>
      <c r="G897" s="30">
        <f>IF($A897="",0,INDEX(Transactions!$P:$P,ROW()-8))</f>
      </c>
    </row>
    <row r="898" spans="1:7" ht="15" customHeight="1" x14ac:dyDescent="0.15">
      <c r="A898">
        <f>IF(INDEX(Transactions!$J:$J,ROW()-8)="","",INDEX(Transactions!$J:$J,ROW()-8))</f>
      </c>
      <c r="B898" s="297">
        <f>IF($A898="",TODAY(),INDEX(Transactions!$G:$G,ROW()-8))</f>
      </c>
      <c r="C898">
        <f>IF($A898="","",INDEX(Transactions!$A:$A,ROW()-8))</f>
      </c>
      <c r="D898" s="30">
        <f>IF($A898="",0,INDEX(Transactions!$H:$H,ROW()-8))</f>
      </c>
      <c r="E898">
        <f>IF($A898="",1,INDEX(Transactions!$N:$N,ROW()-8))</f>
        <v>1</v>
      </c>
      <c r="F898" s="30">
        <f>IF($A898="",0,INDEX(Transactions!$O:$O,ROW()-8))</f>
      </c>
      <c r="G898" s="30">
        <f>IF($A898="",0,INDEX(Transactions!$P:$P,ROW()-8))</f>
      </c>
    </row>
    <row r="899" spans="1:7" ht="15" customHeight="1" x14ac:dyDescent="0.15">
      <c r="A899">
        <f>IF(INDEX(Transactions!$J:$J,ROW()-8)="","",INDEX(Transactions!$J:$J,ROW()-8))</f>
      </c>
      <c r="B899" s="297">
        <f>IF($A899="",TODAY(),INDEX(Transactions!$G:$G,ROW()-8))</f>
      </c>
      <c r="C899">
        <f>IF($A899="","",INDEX(Transactions!$A:$A,ROW()-8))</f>
      </c>
      <c r="D899" s="30">
        <f>IF($A899="",0,INDEX(Transactions!$H:$H,ROW()-8))</f>
      </c>
      <c r="E899">
        <f>IF($A899="",1,INDEX(Transactions!$N:$N,ROW()-8))</f>
        <v>1</v>
      </c>
      <c r="F899" s="30">
        <f>IF($A899="",0,INDEX(Transactions!$O:$O,ROW()-8))</f>
      </c>
      <c r="G899" s="30">
        <f>IF($A899="",0,INDEX(Transactions!$P:$P,ROW()-8))</f>
      </c>
    </row>
    <row r="900" spans="1:7" ht="15" customHeight="1" x14ac:dyDescent="0.15">
      <c r="A900">
        <f>IF(INDEX(Transactions!$J:$J,ROW()-8)="","",INDEX(Transactions!$J:$J,ROW()-8))</f>
      </c>
      <c r="B900" s="297">
        <f>IF($A900="",TODAY(),INDEX(Transactions!$G:$G,ROW()-8))</f>
      </c>
      <c r="C900">
        <f>IF($A900="","",INDEX(Transactions!$A:$A,ROW()-8))</f>
      </c>
      <c r="D900" s="30">
        <f>IF($A900="",0,INDEX(Transactions!$H:$H,ROW()-8))</f>
      </c>
      <c r="E900">
        <f>IF($A900="",1,INDEX(Transactions!$N:$N,ROW()-8))</f>
        <v>1</v>
      </c>
      <c r="F900" s="30">
        <f>IF($A900="",0,INDEX(Transactions!$O:$O,ROW()-8))</f>
      </c>
      <c r="G900" s="30">
        <f>IF($A900="",0,INDEX(Transactions!$P:$P,ROW()-8))</f>
      </c>
    </row>
    <row r="901" spans="1:7" ht="15" customHeight="1" x14ac:dyDescent="0.15">
      <c r="A901">
        <f>IF(INDEX(Transactions!$J:$J,ROW()-8)="","",INDEX(Transactions!$J:$J,ROW()-8))</f>
      </c>
      <c r="B901" s="297">
        <f>IF($A901="",TODAY(),INDEX(Transactions!$G:$G,ROW()-8))</f>
      </c>
      <c r="C901">
        <f>IF($A901="","",INDEX(Transactions!$A:$A,ROW()-8))</f>
      </c>
      <c r="D901" s="30">
        <f>IF($A901="",0,INDEX(Transactions!$H:$H,ROW()-8))</f>
      </c>
      <c r="E901">
        <f>IF($A901="",1,INDEX(Transactions!$N:$N,ROW()-8))</f>
        <v>1</v>
      </c>
      <c r="F901" s="30">
        <f>IF($A901="",0,INDEX(Transactions!$O:$O,ROW()-8))</f>
      </c>
      <c r="G901" s="30">
        <f>IF($A901="",0,INDEX(Transactions!$P:$P,ROW()-8))</f>
      </c>
    </row>
    <row r="902" spans="1:7" ht="15" customHeight="1" x14ac:dyDescent="0.15">
      <c r="A902">
        <f>IF(INDEX(Transactions!$J:$J,ROW()-8)="","",INDEX(Transactions!$J:$J,ROW()-8))</f>
      </c>
      <c r="B902" s="297">
        <f>IF($A902="",TODAY(),INDEX(Transactions!$G:$G,ROW()-8))</f>
      </c>
      <c r="C902">
        <f>IF($A902="","",INDEX(Transactions!$A:$A,ROW()-8))</f>
      </c>
      <c r="D902" s="30">
        <f>IF($A902="",0,INDEX(Transactions!$H:$H,ROW()-8))</f>
      </c>
      <c r="E902">
        <f>IF($A902="",1,INDEX(Transactions!$N:$N,ROW()-8))</f>
        <v>1</v>
      </c>
      <c r="F902" s="30">
        <f>IF($A902="",0,INDEX(Transactions!$O:$O,ROW()-8))</f>
      </c>
      <c r="G902" s="30">
        <f>IF($A902="",0,INDEX(Transactions!$P:$P,ROW()-8))</f>
      </c>
    </row>
    <row r="903" spans="1:7" ht="15" customHeight="1" x14ac:dyDescent="0.15">
      <c r="A903">
        <f>IF(INDEX(Transactions!$J:$J,ROW()-8)="","",INDEX(Transactions!$J:$J,ROW()-8))</f>
      </c>
      <c r="B903" s="297">
        <f>IF($A903="",TODAY(),INDEX(Transactions!$G:$G,ROW()-8))</f>
      </c>
      <c r="C903">
        <f>IF($A903="","",INDEX(Transactions!$A:$A,ROW()-8))</f>
      </c>
      <c r="D903" s="30">
        <f>IF($A903="",0,INDEX(Transactions!$H:$H,ROW()-8))</f>
      </c>
      <c r="E903">
        <f>IF($A903="",1,INDEX(Transactions!$N:$N,ROW()-8))</f>
        <v>1</v>
      </c>
      <c r="F903" s="30">
        <f>IF($A903="",0,INDEX(Transactions!$O:$O,ROW()-8))</f>
      </c>
      <c r="G903" s="30">
        <f>IF($A903="",0,INDEX(Transactions!$P:$P,ROW()-8))</f>
      </c>
    </row>
    <row r="904" spans="1:7" ht="15" customHeight="1" x14ac:dyDescent="0.15">
      <c r="A904">
        <f>IF(INDEX(Transactions!$J:$J,ROW()-8)="","",INDEX(Transactions!$J:$J,ROW()-8))</f>
      </c>
      <c r="B904" s="297">
        <f>IF($A904="",TODAY(),INDEX(Transactions!$G:$G,ROW()-8))</f>
      </c>
      <c r="C904">
        <f>IF($A904="","",INDEX(Transactions!$A:$A,ROW()-8))</f>
      </c>
      <c r="D904" s="30">
        <f>IF($A904="",0,INDEX(Transactions!$H:$H,ROW()-8))</f>
      </c>
      <c r="E904">
        <f>IF($A904="",1,INDEX(Transactions!$N:$N,ROW()-8))</f>
        <v>1</v>
      </c>
      <c r="F904" s="30">
        <f>IF($A904="",0,INDEX(Transactions!$O:$O,ROW()-8))</f>
      </c>
      <c r="G904" s="30">
        <f>IF($A904="",0,INDEX(Transactions!$P:$P,ROW()-8))</f>
      </c>
    </row>
    <row r="905" spans="1:7" ht="15" customHeight="1" x14ac:dyDescent="0.15">
      <c r="A905">
        <f>IF(INDEX(Transactions!$J:$J,ROW()-8)="","",INDEX(Transactions!$J:$J,ROW()-8))</f>
      </c>
      <c r="B905" s="297">
        <f>IF($A905="",TODAY(),INDEX(Transactions!$G:$G,ROW()-8))</f>
      </c>
      <c r="C905">
        <f>IF($A905="","",INDEX(Transactions!$A:$A,ROW()-8))</f>
      </c>
      <c r="D905" s="30">
        <f>IF($A905="",0,INDEX(Transactions!$H:$H,ROW()-8))</f>
      </c>
      <c r="E905">
        <f>IF($A905="",1,INDEX(Transactions!$N:$N,ROW()-8))</f>
        <v>1</v>
      </c>
      <c r="F905" s="30">
        <f>IF($A905="",0,INDEX(Transactions!$O:$O,ROW()-8))</f>
      </c>
      <c r="G905" s="30">
        <f>IF($A905="",0,INDEX(Transactions!$P:$P,ROW()-8))</f>
      </c>
    </row>
    <row r="906" spans="1:7" ht="15" customHeight="1" x14ac:dyDescent="0.15">
      <c r="A906">
        <f>IF(INDEX(Transactions!$J:$J,ROW()-8)="","",INDEX(Transactions!$J:$J,ROW()-8))</f>
      </c>
      <c r="B906" s="297">
        <f>IF($A906="",TODAY(),INDEX(Transactions!$G:$G,ROW()-8))</f>
      </c>
      <c r="C906">
        <f>IF($A906="","",INDEX(Transactions!$A:$A,ROW()-8))</f>
      </c>
      <c r="D906" s="30">
        <f>IF($A906="",0,INDEX(Transactions!$H:$H,ROW()-8))</f>
      </c>
      <c r="E906">
        <f>IF($A906="",1,INDEX(Transactions!$N:$N,ROW()-8))</f>
        <v>1</v>
      </c>
      <c r="F906" s="30">
        <f>IF($A906="",0,INDEX(Transactions!$O:$O,ROW()-8))</f>
      </c>
      <c r="G906" s="30">
        <f>IF($A906="",0,INDEX(Transactions!$P:$P,ROW()-8))</f>
      </c>
    </row>
    <row r="907" spans="1:7" ht="15" customHeight="1" x14ac:dyDescent="0.15">
      <c r="A907">
        <f>IF(INDEX(Transactions!$J:$J,ROW()-8)="","",INDEX(Transactions!$J:$J,ROW()-8))</f>
      </c>
      <c r="B907" s="297">
        <f>IF($A907="",TODAY(),INDEX(Transactions!$G:$G,ROW()-8))</f>
      </c>
      <c r="C907">
        <f>IF($A907="","",INDEX(Transactions!$A:$A,ROW()-8))</f>
      </c>
      <c r="D907" s="30">
        <f>IF($A907="",0,INDEX(Transactions!$H:$H,ROW()-8))</f>
      </c>
      <c r="E907">
        <f>IF($A907="",1,INDEX(Transactions!$N:$N,ROW()-8))</f>
        <v>1</v>
      </c>
      <c r="F907" s="30">
        <f>IF($A907="",0,INDEX(Transactions!$O:$O,ROW()-8))</f>
      </c>
      <c r="G907" s="30">
        <f>IF($A907="",0,INDEX(Transactions!$P:$P,ROW()-8))</f>
      </c>
    </row>
    <row r="908" spans="1:7" ht="15" customHeight="1" x14ac:dyDescent="0.15">
      <c r="A908">
        <f>IF(INDEX(Transactions!$J:$J,ROW()-8)="","",INDEX(Transactions!$J:$J,ROW()-8))</f>
      </c>
      <c r="B908" s="297">
        <f>IF($A908="",TODAY(),INDEX(Transactions!$G:$G,ROW()-8))</f>
      </c>
      <c r="C908">
        <f>IF($A908="","",INDEX(Transactions!$A:$A,ROW()-8))</f>
      </c>
      <c r="D908" s="30">
        <f>IF($A908="",0,INDEX(Transactions!$H:$H,ROW()-8))</f>
      </c>
      <c r="E908">
        <f>IF($A908="",1,INDEX(Transactions!$N:$N,ROW()-8))</f>
        <v>1</v>
      </c>
      <c r="F908" s="30">
        <f>IF($A908="",0,INDEX(Transactions!$O:$O,ROW()-8))</f>
      </c>
      <c r="G908" s="30">
        <f>IF($A908="",0,INDEX(Transactions!$P:$P,ROW()-8))</f>
      </c>
    </row>
    <row r="909" spans="1:7" ht="15" customHeight="1" x14ac:dyDescent="0.15">
      <c r="A909">
        <f>IF(INDEX(Transactions!$J:$J,ROW()-8)="","",INDEX(Transactions!$J:$J,ROW()-8))</f>
      </c>
      <c r="B909" s="297">
        <f>IF($A909="",TODAY(),INDEX(Transactions!$G:$G,ROW()-8))</f>
      </c>
      <c r="C909">
        <f>IF($A909="","",INDEX(Transactions!$A:$A,ROW()-8))</f>
      </c>
      <c r="D909" s="30">
        <f>IF($A909="",0,INDEX(Transactions!$H:$H,ROW()-8))</f>
      </c>
      <c r="E909">
        <f>IF($A909="",1,INDEX(Transactions!$N:$N,ROW()-8))</f>
        <v>1</v>
      </c>
      <c r="F909" s="30">
        <f>IF($A909="",0,INDEX(Transactions!$O:$O,ROW()-8))</f>
      </c>
      <c r="G909" s="30">
        <f>IF($A909="",0,INDEX(Transactions!$P:$P,ROW()-8))</f>
      </c>
    </row>
    <row r="910" spans="1:7" ht="15" customHeight="1" x14ac:dyDescent="0.15">
      <c r="A910">
        <f>IF(INDEX(Transactions!$J:$J,ROW()-8)="","",INDEX(Transactions!$J:$J,ROW()-8))</f>
      </c>
      <c r="B910" s="297">
        <f>IF($A910="",TODAY(),INDEX(Transactions!$G:$G,ROW()-8))</f>
      </c>
      <c r="C910">
        <f>IF($A910="","",INDEX(Transactions!$A:$A,ROW()-8))</f>
      </c>
      <c r="D910" s="30">
        <f>IF($A910="",0,INDEX(Transactions!$H:$H,ROW()-8))</f>
      </c>
      <c r="E910">
        <f>IF($A910="",1,INDEX(Transactions!$N:$N,ROW()-8))</f>
        <v>1</v>
      </c>
      <c r="F910" s="30">
        <f>IF($A910="",0,INDEX(Transactions!$O:$O,ROW()-8))</f>
      </c>
      <c r="G910" s="30">
        <f>IF($A910="",0,INDEX(Transactions!$P:$P,ROW()-8))</f>
      </c>
    </row>
    <row r="911" spans="1:7" ht="15" customHeight="1" x14ac:dyDescent="0.15">
      <c r="A911">
        <f>IF(INDEX(Transactions!$J:$J,ROW()-8)="","",INDEX(Transactions!$J:$J,ROW()-8))</f>
      </c>
      <c r="B911" s="297">
        <f>IF($A911="",TODAY(),INDEX(Transactions!$G:$G,ROW()-8))</f>
      </c>
      <c r="C911">
        <f>IF($A911="","",INDEX(Transactions!$A:$A,ROW()-8))</f>
      </c>
      <c r="D911" s="30">
        <f>IF($A911="",0,INDEX(Transactions!$H:$H,ROW()-8))</f>
      </c>
      <c r="E911">
        <f>IF($A911="",1,INDEX(Transactions!$N:$N,ROW()-8))</f>
        <v>1</v>
      </c>
      <c r="F911" s="30">
        <f>IF($A911="",0,INDEX(Transactions!$O:$O,ROW()-8))</f>
      </c>
      <c r="G911" s="30">
        <f>IF($A911="",0,INDEX(Transactions!$P:$P,ROW()-8))</f>
      </c>
    </row>
    <row r="912" spans="1:7" ht="15" customHeight="1" x14ac:dyDescent="0.15">
      <c r="A912">
        <f>IF(INDEX(Transactions!$J:$J,ROW()-8)="","",INDEX(Transactions!$J:$J,ROW()-8))</f>
      </c>
      <c r="B912" s="297">
        <f>IF($A912="",TODAY(),INDEX(Transactions!$G:$G,ROW()-8))</f>
      </c>
      <c r="C912">
        <f>IF($A912="","",INDEX(Transactions!$A:$A,ROW()-8))</f>
      </c>
      <c r="D912" s="30">
        <f>IF($A912="",0,INDEX(Transactions!$H:$H,ROW()-8))</f>
      </c>
      <c r="E912">
        <f>IF($A912="",1,INDEX(Transactions!$N:$N,ROW()-8))</f>
        <v>1</v>
      </c>
      <c r="F912" s="30">
        <f>IF($A912="",0,INDEX(Transactions!$O:$O,ROW()-8))</f>
      </c>
      <c r="G912" s="30">
        <f>IF($A912="",0,INDEX(Transactions!$P:$P,ROW()-8))</f>
      </c>
    </row>
    <row r="913" spans="1:7" ht="15" customHeight="1" x14ac:dyDescent="0.15">
      <c r="A913">
        <f>IF(INDEX(Transactions!$J:$J,ROW()-8)="","",INDEX(Transactions!$J:$J,ROW()-8))</f>
      </c>
      <c r="B913" s="297">
        <f>IF($A913="",TODAY(),INDEX(Transactions!$G:$G,ROW()-8))</f>
      </c>
      <c r="C913">
        <f>IF($A913="","",INDEX(Transactions!$A:$A,ROW()-8))</f>
      </c>
      <c r="D913" s="30">
        <f>IF($A913="",0,INDEX(Transactions!$H:$H,ROW()-8))</f>
      </c>
      <c r="E913">
        <f>IF($A913="",1,INDEX(Transactions!$N:$N,ROW()-8))</f>
        <v>1</v>
      </c>
      <c r="F913" s="30">
        <f>IF($A913="",0,INDEX(Transactions!$O:$O,ROW()-8))</f>
      </c>
      <c r="G913" s="30">
        <f>IF($A913="",0,INDEX(Transactions!$P:$P,ROW()-8))</f>
      </c>
    </row>
    <row r="914" spans="1:7" ht="15" customHeight="1" x14ac:dyDescent="0.15">
      <c r="A914">
        <f>IF(INDEX(Transactions!$J:$J,ROW()-8)="","",INDEX(Transactions!$J:$J,ROW()-8))</f>
      </c>
      <c r="B914" s="297">
        <f>IF($A914="",TODAY(),INDEX(Transactions!$G:$G,ROW()-8))</f>
      </c>
      <c r="C914">
        <f>IF($A914="","",INDEX(Transactions!$A:$A,ROW()-8))</f>
      </c>
      <c r="D914" s="30">
        <f>IF($A914="",0,INDEX(Transactions!$H:$H,ROW()-8))</f>
      </c>
      <c r="E914">
        <f>IF($A914="",1,INDEX(Transactions!$N:$N,ROW()-8))</f>
        <v>1</v>
      </c>
      <c r="F914" s="30">
        <f>IF($A914="",0,INDEX(Transactions!$O:$O,ROW()-8))</f>
      </c>
      <c r="G914" s="30">
        <f>IF($A914="",0,INDEX(Transactions!$P:$P,ROW()-8))</f>
      </c>
    </row>
    <row r="915" spans="1:7" ht="15" customHeight="1" x14ac:dyDescent="0.15">
      <c r="A915">
        <f>IF(INDEX(Transactions!$J:$J,ROW()-8)="","",INDEX(Transactions!$J:$J,ROW()-8))</f>
      </c>
      <c r="B915" s="297">
        <f>IF($A915="",TODAY(),INDEX(Transactions!$G:$G,ROW()-8))</f>
      </c>
      <c r="C915">
        <f>IF($A915="","",INDEX(Transactions!$A:$A,ROW()-8))</f>
      </c>
      <c r="D915" s="30">
        <f>IF($A915="",0,INDEX(Transactions!$H:$H,ROW()-8))</f>
      </c>
      <c r="E915">
        <f>IF($A915="",1,INDEX(Transactions!$N:$N,ROW()-8))</f>
        <v>1</v>
      </c>
      <c r="F915" s="30">
        <f>IF($A915="",0,INDEX(Transactions!$O:$O,ROW()-8))</f>
      </c>
      <c r="G915" s="30">
        <f>IF($A915="",0,INDEX(Transactions!$P:$P,ROW()-8))</f>
      </c>
    </row>
    <row r="916" spans="1:7" ht="15" customHeight="1" x14ac:dyDescent="0.15">
      <c r="A916">
        <f>IF(INDEX(Transactions!$J:$J,ROW()-8)="","",INDEX(Transactions!$J:$J,ROW()-8))</f>
      </c>
      <c r="B916" s="297">
        <f>IF($A916="",TODAY(),INDEX(Transactions!$G:$G,ROW()-8))</f>
      </c>
      <c r="C916">
        <f>IF($A916="","",INDEX(Transactions!$A:$A,ROW()-8))</f>
      </c>
      <c r="D916" s="30">
        <f>IF($A916="",0,INDEX(Transactions!$H:$H,ROW()-8))</f>
      </c>
      <c r="E916">
        <f>IF($A916="",1,INDEX(Transactions!$N:$N,ROW()-8))</f>
        <v>1</v>
      </c>
      <c r="F916" s="30">
        <f>IF($A916="",0,INDEX(Transactions!$O:$O,ROW()-8))</f>
      </c>
      <c r="G916" s="30">
        <f>IF($A916="",0,INDEX(Transactions!$P:$P,ROW()-8))</f>
      </c>
    </row>
    <row r="917" spans="1:7" ht="15" customHeight="1" x14ac:dyDescent="0.15">
      <c r="A917">
        <f>IF(INDEX(Transactions!$J:$J,ROW()-8)="","",INDEX(Transactions!$J:$J,ROW()-8))</f>
      </c>
      <c r="B917" s="297">
        <f>IF($A917="",TODAY(),INDEX(Transactions!$G:$G,ROW()-8))</f>
      </c>
      <c r="C917">
        <f>IF($A917="","",INDEX(Transactions!$A:$A,ROW()-8))</f>
      </c>
      <c r="D917" s="30">
        <f>IF($A917="",0,INDEX(Transactions!$H:$H,ROW()-8))</f>
      </c>
      <c r="E917">
        <f>IF($A917="",1,INDEX(Transactions!$N:$N,ROW()-8))</f>
        <v>1</v>
      </c>
      <c r="F917" s="30">
        <f>IF($A917="",0,INDEX(Transactions!$O:$O,ROW()-8))</f>
      </c>
      <c r="G917" s="30">
        <f>IF($A917="",0,INDEX(Transactions!$P:$P,ROW()-8))</f>
      </c>
    </row>
    <row r="918" spans="1:7" ht="15" customHeight="1" x14ac:dyDescent="0.15">
      <c r="A918">
        <f>IF(INDEX(Transactions!$J:$J,ROW()-8)="","",INDEX(Transactions!$J:$J,ROW()-8))</f>
      </c>
      <c r="B918" s="297">
        <f>IF($A918="",TODAY(),INDEX(Transactions!$G:$G,ROW()-8))</f>
      </c>
      <c r="C918">
        <f>IF($A918="","",INDEX(Transactions!$A:$A,ROW()-8))</f>
      </c>
      <c r="D918" s="30">
        <f>IF($A918="",0,INDEX(Transactions!$H:$H,ROW()-8))</f>
      </c>
      <c r="E918">
        <f>IF($A918="",1,INDEX(Transactions!$N:$N,ROW()-8))</f>
        <v>1</v>
      </c>
      <c r="F918" s="30">
        <f>IF($A918="",0,INDEX(Transactions!$O:$O,ROW()-8))</f>
      </c>
      <c r="G918" s="30">
        <f>IF($A918="",0,INDEX(Transactions!$P:$P,ROW()-8))</f>
      </c>
    </row>
    <row r="919" spans="1:7" ht="15" customHeight="1" x14ac:dyDescent="0.15">
      <c r="A919">
        <f>IF(INDEX(Transactions!$J:$J,ROW()-8)="","",INDEX(Transactions!$J:$J,ROW()-8))</f>
      </c>
      <c r="B919" s="297">
        <f>IF($A919="",TODAY(),INDEX(Transactions!$G:$G,ROW()-8))</f>
      </c>
      <c r="C919">
        <f>IF($A919="","",INDEX(Transactions!$A:$A,ROW()-8))</f>
      </c>
      <c r="D919" s="30">
        <f>IF($A919="",0,INDEX(Transactions!$H:$H,ROW()-8))</f>
      </c>
      <c r="E919">
        <f>IF($A919="",1,INDEX(Transactions!$N:$N,ROW()-8))</f>
        <v>1</v>
      </c>
      <c r="F919" s="30">
        <f>IF($A919="",0,INDEX(Transactions!$O:$O,ROW()-8))</f>
      </c>
      <c r="G919" s="30">
        <f>IF($A919="",0,INDEX(Transactions!$P:$P,ROW()-8))</f>
      </c>
    </row>
    <row r="920" spans="1:7" ht="15" customHeight="1" x14ac:dyDescent="0.15">
      <c r="A920">
        <f>IF(INDEX(Transactions!$J:$J,ROW()-8)="","",INDEX(Transactions!$J:$J,ROW()-8))</f>
      </c>
      <c r="B920" s="297">
        <f>IF($A920="",TODAY(),INDEX(Transactions!$G:$G,ROW()-8))</f>
      </c>
      <c r="C920">
        <f>IF($A920="","",INDEX(Transactions!$A:$A,ROW()-8))</f>
      </c>
      <c r="D920" s="30">
        <f>IF($A920="",0,INDEX(Transactions!$H:$H,ROW()-8))</f>
      </c>
      <c r="E920">
        <f>IF($A920="",1,INDEX(Transactions!$N:$N,ROW()-8))</f>
        <v>1</v>
      </c>
      <c r="F920" s="30">
        <f>IF($A920="",0,INDEX(Transactions!$O:$O,ROW()-8))</f>
      </c>
      <c r="G920" s="30">
        <f>IF($A920="",0,INDEX(Transactions!$P:$P,ROW()-8))</f>
      </c>
    </row>
    <row r="921" spans="1:7" ht="15" customHeight="1" x14ac:dyDescent="0.15">
      <c r="A921">
        <f>IF(INDEX(Transactions!$J:$J,ROW()-8)="","",INDEX(Transactions!$J:$J,ROW()-8))</f>
      </c>
      <c r="B921" s="297">
        <f>IF($A921="",TODAY(),INDEX(Transactions!$G:$G,ROW()-8))</f>
      </c>
      <c r="C921">
        <f>IF($A921="","",INDEX(Transactions!$A:$A,ROW()-8))</f>
      </c>
      <c r="D921" s="30">
        <f>IF($A921="",0,INDEX(Transactions!$H:$H,ROW()-8))</f>
      </c>
      <c r="E921">
        <f>IF($A921="",1,INDEX(Transactions!$N:$N,ROW()-8))</f>
        <v>1</v>
      </c>
      <c r="F921" s="30">
        <f>IF($A921="",0,INDEX(Transactions!$O:$O,ROW()-8))</f>
      </c>
      <c r="G921" s="30">
        <f>IF($A921="",0,INDEX(Transactions!$P:$P,ROW()-8))</f>
      </c>
    </row>
    <row r="922" spans="1:7" ht="15" customHeight="1" x14ac:dyDescent="0.15">
      <c r="A922">
        <f>IF(INDEX(Transactions!$J:$J,ROW()-8)="","",INDEX(Transactions!$J:$J,ROW()-8))</f>
      </c>
      <c r="B922" s="297">
        <f>IF($A922="",TODAY(),INDEX(Transactions!$G:$G,ROW()-8))</f>
      </c>
      <c r="C922">
        <f>IF($A922="","",INDEX(Transactions!$A:$A,ROW()-8))</f>
      </c>
      <c r="D922" s="30">
        <f>IF($A922="",0,INDEX(Transactions!$H:$H,ROW()-8))</f>
      </c>
      <c r="E922">
        <f>IF($A922="",1,INDEX(Transactions!$N:$N,ROW()-8))</f>
        <v>1</v>
      </c>
      <c r="F922" s="30">
        <f>IF($A922="",0,INDEX(Transactions!$O:$O,ROW()-8))</f>
      </c>
      <c r="G922" s="30">
        <f>IF($A922="",0,INDEX(Transactions!$P:$P,ROW()-8))</f>
      </c>
    </row>
    <row r="923" spans="1:7" ht="15" customHeight="1" x14ac:dyDescent="0.15">
      <c r="A923">
        <f>IF(INDEX(Transactions!$J:$J,ROW()-8)="","",INDEX(Transactions!$J:$J,ROW()-8))</f>
      </c>
      <c r="B923" s="297">
        <f>IF($A923="",TODAY(),INDEX(Transactions!$G:$G,ROW()-8))</f>
      </c>
      <c r="C923">
        <f>IF($A923="","",INDEX(Transactions!$A:$A,ROW()-8))</f>
      </c>
      <c r="D923" s="30">
        <f>IF($A923="",0,INDEX(Transactions!$H:$H,ROW()-8))</f>
      </c>
      <c r="E923">
        <f>IF($A923="",1,INDEX(Transactions!$N:$N,ROW()-8))</f>
        <v>1</v>
      </c>
      <c r="F923" s="30">
        <f>IF($A923="",0,INDEX(Transactions!$O:$O,ROW()-8))</f>
      </c>
      <c r="G923" s="30">
        <f>IF($A923="",0,INDEX(Transactions!$P:$P,ROW()-8))</f>
      </c>
    </row>
    <row r="924" spans="1:7" ht="15" customHeight="1" x14ac:dyDescent="0.15">
      <c r="A924">
        <f>IF(INDEX(Transactions!$J:$J,ROW()-8)="","",INDEX(Transactions!$J:$J,ROW()-8))</f>
      </c>
      <c r="B924" s="297">
        <f>IF($A924="",TODAY(),INDEX(Transactions!$G:$G,ROW()-8))</f>
      </c>
      <c r="C924">
        <f>IF($A924="","",INDEX(Transactions!$A:$A,ROW()-8))</f>
      </c>
      <c r="D924" s="30">
        <f>IF($A924="",0,INDEX(Transactions!$H:$H,ROW()-8))</f>
      </c>
      <c r="E924">
        <f>IF($A924="",1,INDEX(Transactions!$N:$N,ROW()-8))</f>
        <v>1</v>
      </c>
      <c r="F924" s="30">
        <f>IF($A924="",0,INDEX(Transactions!$O:$O,ROW()-8))</f>
      </c>
      <c r="G924" s="30">
        <f>IF($A924="",0,INDEX(Transactions!$P:$P,ROW()-8))</f>
      </c>
    </row>
    <row r="925" spans="1:7" ht="15" customHeight="1" x14ac:dyDescent="0.15">
      <c r="A925">
        <f>IF(INDEX(Transactions!$J:$J,ROW()-8)="","",INDEX(Transactions!$J:$J,ROW()-8))</f>
      </c>
      <c r="B925" s="297">
        <f>IF($A925="",TODAY(),INDEX(Transactions!$G:$G,ROW()-8))</f>
      </c>
      <c r="C925">
        <f>IF($A925="","",INDEX(Transactions!$A:$A,ROW()-8))</f>
      </c>
      <c r="D925" s="30">
        <f>IF($A925="",0,INDEX(Transactions!$H:$H,ROW()-8))</f>
      </c>
      <c r="E925">
        <f>IF($A925="",1,INDEX(Transactions!$N:$N,ROW()-8))</f>
        <v>1</v>
      </c>
      <c r="F925" s="30">
        <f>IF($A925="",0,INDEX(Transactions!$O:$O,ROW()-8))</f>
      </c>
      <c r="G925" s="30">
        <f>IF($A925="",0,INDEX(Transactions!$P:$P,ROW()-8))</f>
      </c>
    </row>
    <row r="926" spans="1:7" ht="15" customHeight="1" x14ac:dyDescent="0.15">
      <c r="A926">
        <f>IF(INDEX(Transactions!$J:$J,ROW()-8)="","",INDEX(Transactions!$J:$J,ROW()-8))</f>
      </c>
      <c r="B926" s="297">
        <f>IF($A926="",TODAY(),INDEX(Transactions!$G:$G,ROW()-8))</f>
      </c>
      <c r="C926">
        <f>IF($A926="","",INDEX(Transactions!$A:$A,ROW()-8))</f>
      </c>
      <c r="D926" s="30">
        <f>IF($A926="",0,INDEX(Transactions!$H:$H,ROW()-8))</f>
      </c>
      <c r="E926">
        <f>IF($A926="",1,INDEX(Transactions!$N:$N,ROW()-8))</f>
        <v>1</v>
      </c>
      <c r="F926" s="30">
        <f>IF($A926="",0,INDEX(Transactions!$O:$O,ROW()-8))</f>
      </c>
      <c r="G926" s="30">
        <f>IF($A926="",0,INDEX(Transactions!$P:$P,ROW()-8))</f>
      </c>
    </row>
    <row r="927" spans="1:7" ht="15" customHeight="1" x14ac:dyDescent="0.15">
      <c r="A927">
        <f>IF(INDEX(Transactions!$J:$J,ROW()-8)="","",INDEX(Transactions!$J:$J,ROW()-8))</f>
      </c>
      <c r="B927" s="297">
        <f>IF($A927="",TODAY(),INDEX(Transactions!$G:$G,ROW()-8))</f>
      </c>
      <c r="C927">
        <f>IF($A927="","",INDEX(Transactions!$A:$A,ROW()-8))</f>
      </c>
      <c r="D927" s="30">
        <f>IF($A927="",0,INDEX(Transactions!$H:$H,ROW()-8))</f>
      </c>
      <c r="E927">
        <f>IF($A927="",1,INDEX(Transactions!$N:$N,ROW()-8))</f>
        <v>1</v>
      </c>
      <c r="F927" s="30">
        <f>IF($A927="",0,INDEX(Transactions!$O:$O,ROW()-8))</f>
      </c>
      <c r="G927" s="30">
        <f>IF($A927="",0,INDEX(Transactions!$P:$P,ROW()-8))</f>
      </c>
    </row>
    <row r="928" spans="1:7" ht="15" customHeight="1" x14ac:dyDescent="0.15">
      <c r="A928">
        <f>IF(INDEX(Transactions!$J:$J,ROW()-8)="","",INDEX(Transactions!$J:$J,ROW()-8))</f>
      </c>
      <c r="B928" s="297">
        <f>IF($A928="",TODAY(),INDEX(Transactions!$G:$G,ROW()-8))</f>
      </c>
      <c r="C928">
        <f>IF($A928="","",INDEX(Transactions!$A:$A,ROW()-8))</f>
      </c>
      <c r="D928" s="30">
        <f>IF($A928="",0,INDEX(Transactions!$H:$H,ROW()-8))</f>
      </c>
      <c r="E928">
        <f>IF($A928="",1,INDEX(Transactions!$N:$N,ROW()-8))</f>
        <v>1</v>
      </c>
      <c r="F928" s="30">
        <f>IF($A928="",0,INDEX(Transactions!$O:$O,ROW()-8))</f>
      </c>
      <c r="G928" s="30">
        <f>IF($A928="",0,INDEX(Transactions!$P:$P,ROW()-8))</f>
      </c>
    </row>
    <row r="929" spans="1:7" ht="15" customHeight="1" x14ac:dyDescent="0.15">
      <c r="A929">
        <f>IF(INDEX(Transactions!$J:$J,ROW()-8)="","",INDEX(Transactions!$J:$J,ROW()-8))</f>
      </c>
      <c r="B929" s="297">
        <f>IF($A929="",TODAY(),INDEX(Transactions!$G:$G,ROW()-8))</f>
      </c>
      <c r="C929">
        <f>IF($A929="","",INDEX(Transactions!$A:$A,ROW()-8))</f>
      </c>
      <c r="D929" s="30">
        <f>IF($A929="",0,INDEX(Transactions!$H:$H,ROW()-8))</f>
      </c>
      <c r="E929">
        <f>IF($A929="",1,INDEX(Transactions!$N:$N,ROW()-8))</f>
        <v>1</v>
      </c>
      <c r="F929" s="30">
        <f>IF($A929="",0,INDEX(Transactions!$O:$O,ROW()-8))</f>
      </c>
      <c r="G929" s="30">
        <f>IF($A929="",0,INDEX(Transactions!$P:$P,ROW()-8))</f>
      </c>
    </row>
    <row r="930" spans="1:7" ht="15" customHeight="1" x14ac:dyDescent="0.15">
      <c r="A930">
        <f>IF(INDEX(Transactions!$J:$J,ROW()-8)="","",INDEX(Transactions!$J:$J,ROW()-8))</f>
      </c>
      <c r="B930" s="297">
        <f>IF($A930="",TODAY(),INDEX(Transactions!$G:$G,ROW()-8))</f>
      </c>
      <c r="C930">
        <f>IF($A930="","",INDEX(Transactions!$A:$A,ROW()-8))</f>
      </c>
      <c r="D930" s="30">
        <f>IF($A930="",0,INDEX(Transactions!$H:$H,ROW()-8))</f>
      </c>
      <c r="E930">
        <f>IF($A930="",1,INDEX(Transactions!$N:$N,ROW()-8))</f>
        <v>1</v>
      </c>
      <c r="F930" s="30">
        <f>IF($A930="",0,INDEX(Transactions!$O:$O,ROW()-8))</f>
      </c>
      <c r="G930" s="30">
        <f>IF($A930="",0,INDEX(Transactions!$P:$P,ROW()-8))</f>
      </c>
    </row>
    <row r="931" spans="1:7" ht="15" customHeight="1" x14ac:dyDescent="0.15">
      <c r="A931">
        <f>IF(INDEX(Transactions!$J:$J,ROW()-8)="","",INDEX(Transactions!$J:$J,ROW()-8))</f>
      </c>
      <c r="B931" s="297">
        <f>IF($A931="",TODAY(),INDEX(Transactions!$G:$G,ROW()-8))</f>
      </c>
      <c r="C931">
        <f>IF($A931="","",INDEX(Transactions!$A:$A,ROW()-8))</f>
      </c>
      <c r="D931" s="30">
        <f>IF($A931="",0,INDEX(Transactions!$H:$H,ROW()-8))</f>
      </c>
      <c r="E931">
        <f>IF($A931="",1,INDEX(Transactions!$N:$N,ROW()-8))</f>
        <v>1</v>
      </c>
      <c r="F931" s="30">
        <f>IF($A931="",0,INDEX(Transactions!$O:$O,ROW()-8))</f>
      </c>
      <c r="G931" s="30">
        <f>IF($A931="",0,INDEX(Transactions!$P:$P,ROW()-8))</f>
      </c>
    </row>
    <row r="932" spans="1:7" ht="15" customHeight="1" x14ac:dyDescent="0.15">
      <c r="A932">
        <f>IF(INDEX(Transactions!$J:$J,ROW()-8)="","",INDEX(Transactions!$J:$J,ROW()-8))</f>
      </c>
      <c r="B932" s="297">
        <f>IF($A932="",TODAY(),INDEX(Transactions!$G:$G,ROW()-8))</f>
      </c>
      <c r="C932">
        <f>IF($A932="","",INDEX(Transactions!$A:$A,ROW()-8))</f>
      </c>
      <c r="D932" s="30">
        <f>IF($A932="",0,INDEX(Transactions!$H:$H,ROW()-8))</f>
      </c>
      <c r="E932">
        <f>IF($A932="",1,INDEX(Transactions!$N:$N,ROW()-8))</f>
        <v>1</v>
      </c>
      <c r="F932" s="30">
        <f>IF($A932="",0,INDEX(Transactions!$O:$O,ROW()-8))</f>
      </c>
      <c r="G932" s="30">
        <f>IF($A932="",0,INDEX(Transactions!$P:$P,ROW()-8))</f>
      </c>
    </row>
    <row r="933" spans="1:7" ht="15" customHeight="1" x14ac:dyDescent="0.15">
      <c r="A933">
        <f>IF(INDEX(Transactions!$J:$J,ROW()-8)="","",INDEX(Transactions!$J:$J,ROW()-8))</f>
      </c>
      <c r="B933" s="297">
        <f>IF($A933="",TODAY(),INDEX(Transactions!$G:$G,ROW()-8))</f>
      </c>
      <c r="C933">
        <f>IF($A933="","",INDEX(Transactions!$A:$A,ROW()-8))</f>
      </c>
      <c r="D933" s="30">
        <f>IF($A933="",0,INDEX(Transactions!$H:$H,ROW()-8))</f>
      </c>
      <c r="E933">
        <f>IF($A933="",1,INDEX(Transactions!$N:$N,ROW()-8))</f>
        <v>1</v>
      </c>
      <c r="F933" s="30">
        <f>IF($A933="",0,INDEX(Transactions!$O:$O,ROW()-8))</f>
      </c>
      <c r="G933" s="30">
        <f>IF($A933="",0,INDEX(Transactions!$P:$P,ROW()-8))</f>
      </c>
    </row>
    <row r="934" spans="1:7" ht="15" customHeight="1" x14ac:dyDescent="0.15">
      <c r="A934">
        <f>IF(INDEX(Transactions!$J:$J,ROW()-8)="","",INDEX(Transactions!$J:$J,ROW()-8))</f>
      </c>
      <c r="B934" s="297">
        <f>IF($A934="",TODAY(),INDEX(Transactions!$G:$G,ROW()-8))</f>
      </c>
      <c r="C934">
        <f>IF($A934="","",INDEX(Transactions!$A:$A,ROW()-8))</f>
      </c>
      <c r="D934" s="30">
        <f>IF($A934="",0,INDEX(Transactions!$H:$H,ROW()-8))</f>
      </c>
      <c r="E934">
        <f>IF($A934="",1,INDEX(Transactions!$N:$N,ROW()-8))</f>
        <v>1</v>
      </c>
      <c r="F934" s="30">
        <f>IF($A934="",0,INDEX(Transactions!$O:$O,ROW()-8))</f>
      </c>
      <c r="G934" s="30">
        <f>IF($A934="",0,INDEX(Transactions!$P:$P,ROW()-8))</f>
      </c>
    </row>
    <row r="935" spans="1:7" ht="15" customHeight="1" x14ac:dyDescent="0.15">
      <c r="A935">
        <f>IF(INDEX(Transactions!$J:$J,ROW()-8)="","",INDEX(Transactions!$J:$J,ROW()-8))</f>
      </c>
      <c r="B935" s="297">
        <f>IF($A935="",TODAY(),INDEX(Transactions!$G:$G,ROW()-8))</f>
      </c>
      <c r="C935">
        <f>IF($A935="","",INDEX(Transactions!$A:$A,ROW()-8))</f>
      </c>
      <c r="D935" s="30">
        <f>IF($A935="",0,INDEX(Transactions!$H:$H,ROW()-8))</f>
      </c>
      <c r="E935">
        <f>IF($A935="",1,INDEX(Transactions!$N:$N,ROW()-8))</f>
        <v>1</v>
      </c>
      <c r="F935" s="30">
        <f>IF($A935="",0,INDEX(Transactions!$O:$O,ROW()-8))</f>
      </c>
      <c r="G935" s="30">
        <f>IF($A935="",0,INDEX(Transactions!$P:$P,ROW()-8))</f>
      </c>
    </row>
    <row r="936" spans="1:7" ht="15" customHeight="1" x14ac:dyDescent="0.15">
      <c r="A936">
        <f>IF(INDEX(Transactions!$J:$J,ROW()-8)="","",INDEX(Transactions!$J:$J,ROW()-8))</f>
      </c>
      <c r="B936" s="297">
        <f>IF($A936="",TODAY(),INDEX(Transactions!$G:$G,ROW()-8))</f>
      </c>
      <c r="C936">
        <f>IF($A936="","",INDEX(Transactions!$A:$A,ROW()-8))</f>
      </c>
      <c r="D936" s="30">
        <f>IF($A936="",0,INDEX(Transactions!$H:$H,ROW()-8))</f>
      </c>
      <c r="E936">
        <f>IF($A936="",1,INDEX(Transactions!$N:$N,ROW()-8))</f>
        <v>1</v>
      </c>
      <c r="F936" s="30">
        <f>IF($A936="",0,INDEX(Transactions!$O:$O,ROW()-8))</f>
      </c>
      <c r="G936" s="30">
        <f>IF($A936="",0,INDEX(Transactions!$P:$P,ROW()-8))</f>
      </c>
    </row>
    <row r="937" spans="1:7" ht="15" customHeight="1" x14ac:dyDescent="0.15">
      <c r="A937">
        <f>IF(INDEX(Transactions!$J:$J,ROW()-8)="","",INDEX(Transactions!$J:$J,ROW()-8))</f>
      </c>
      <c r="B937" s="297">
        <f>IF($A937="",TODAY(),INDEX(Transactions!$G:$G,ROW()-8))</f>
      </c>
      <c r="C937">
        <f>IF($A937="","",INDEX(Transactions!$A:$A,ROW()-8))</f>
      </c>
      <c r="D937" s="30">
        <f>IF($A937="",0,INDEX(Transactions!$H:$H,ROW()-8))</f>
      </c>
      <c r="E937">
        <f>IF($A937="",1,INDEX(Transactions!$N:$N,ROW()-8))</f>
        <v>1</v>
      </c>
      <c r="F937" s="30">
        <f>IF($A937="",0,INDEX(Transactions!$O:$O,ROW()-8))</f>
      </c>
      <c r="G937" s="30">
        <f>IF($A937="",0,INDEX(Transactions!$P:$P,ROW()-8))</f>
      </c>
    </row>
    <row r="938" spans="1:7" ht="15" customHeight="1" x14ac:dyDescent="0.15">
      <c r="A938">
        <f>IF(INDEX(Transactions!$J:$J,ROW()-8)="","",INDEX(Transactions!$J:$J,ROW()-8))</f>
      </c>
      <c r="B938" s="297">
        <f>IF($A938="",TODAY(),INDEX(Transactions!$G:$G,ROW()-8))</f>
      </c>
      <c r="C938">
        <f>IF($A938="","",INDEX(Transactions!$A:$A,ROW()-8))</f>
      </c>
      <c r="D938" s="30">
        <f>IF($A938="",0,INDEX(Transactions!$H:$H,ROW()-8))</f>
      </c>
      <c r="E938">
        <f>IF($A938="",1,INDEX(Transactions!$N:$N,ROW()-8))</f>
        <v>1</v>
      </c>
      <c r="F938" s="30">
        <f>IF($A938="",0,INDEX(Transactions!$O:$O,ROW()-8))</f>
      </c>
      <c r="G938" s="30">
        <f>IF($A938="",0,INDEX(Transactions!$P:$P,ROW()-8))</f>
      </c>
    </row>
    <row r="939" spans="1:7" ht="15" customHeight="1" x14ac:dyDescent="0.15">
      <c r="A939">
        <f>IF(INDEX(Transactions!$J:$J,ROW()-8)="","",INDEX(Transactions!$J:$J,ROW()-8))</f>
      </c>
      <c r="B939" s="297">
        <f>IF($A939="",TODAY(),INDEX(Transactions!$G:$G,ROW()-8))</f>
      </c>
      <c r="C939">
        <f>IF($A939="","",INDEX(Transactions!$A:$A,ROW()-8))</f>
      </c>
      <c r="D939" s="30">
        <f>IF($A939="",0,INDEX(Transactions!$H:$H,ROW()-8))</f>
      </c>
      <c r="E939">
        <f>IF($A939="",1,INDEX(Transactions!$N:$N,ROW()-8))</f>
        <v>1</v>
      </c>
      <c r="F939" s="30">
        <f>IF($A939="",0,INDEX(Transactions!$O:$O,ROW()-8))</f>
      </c>
      <c r="G939" s="30">
        <f>IF($A939="",0,INDEX(Transactions!$P:$P,ROW()-8))</f>
      </c>
    </row>
    <row r="940" spans="1:7" ht="15" customHeight="1" x14ac:dyDescent="0.15">
      <c r="A940">
        <f>IF(INDEX(Transactions!$J:$J,ROW()-8)="","",INDEX(Transactions!$J:$J,ROW()-8))</f>
      </c>
      <c r="B940" s="297">
        <f>IF($A940="",TODAY(),INDEX(Transactions!$G:$G,ROW()-8))</f>
      </c>
      <c r="C940">
        <f>IF($A940="","",INDEX(Transactions!$A:$A,ROW()-8))</f>
      </c>
      <c r="D940" s="30">
        <f>IF($A940="",0,INDEX(Transactions!$H:$H,ROW()-8))</f>
      </c>
      <c r="E940">
        <f>IF($A940="",1,INDEX(Transactions!$N:$N,ROW()-8))</f>
        <v>1</v>
      </c>
      <c r="F940" s="30">
        <f>IF($A940="",0,INDEX(Transactions!$O:$O,ROW()-8))</f>
      </c>
      <c r="G940" s="30">
        <f>IF($A940="",0,INDEX(Transactions!$P:$P,ROW()-8))</f>
      </c>
    </row>
    <row r="941" spans="1:7" ht="15" customHeight="1" x14ac:dyDescent="0.15">
      <c r="A941">
        <f>IF(INDEX(Transactions!$J:$J,ROW()-8)="","",INDEX(Transactions!$J:$J,ROW()-8))</f>
      </c>
      <c r="B941" s="297">
        <f>IF($A941="",TODAY(),INDEX(Transactions!$G:$G,ROW()-8))</f>
      </c>
      <c r="C941">
        <f>IF($A941="","",INDEX(Transactions!$A:$A,ROW()-8))</f>
      </c>
      <c r="D941" s="30">
        <f>IF($A941="",0,INDEX(Transactions!$H:$H,ROW()-8))</f>
      </c>
      <c r="E941">
        <f>IF($A941="",1,INDEX(Transactions!$N:$N,ROW()-8))</f>
        <v>1</v>
      </c>
      <c r="F941" s="30">
        <f>IF($A941="",0,INDEX(Transactions!$O:$O,ROW()-8))</f>
      </c>
      <c r="G941" s="30">
        <f>IF($A941="",0,INDEX(Transactions!$P:$P,ROW()-8))</f>
      </c>
    </row>
    <row r="942" spans="1:7" ht="15" customHeight="1" x14ac:dyDescent="0.15">
      <c r="A942">
        <f>IF(INDEX(Transactions!$J:$J,ROW()-8)="","",INDEX(Transactions!$J:$J,ROW()-8))</f>
      </c>
      <c r="B942" s="297">
        <f>IF($A942="",TODAY(),INDEX(Transactions!$G:$G,ROW()-8))</f>
      </c>
      <c r="C942">
        <f>IF($A942="","",INDEX(Transactions!$A:$A,ROW()-8))</f>
      </c>
      <c r="D942" s="30">
        <f>IF($A942="",0,INDEX(Transactions!$H:$H,ROW()-8))</f>
      </c>
      <c r="E942">
        <f>IF($A942="",1,INDEX(Transactions!$N:$N,ROW()-8))</f>
        <v>1</v>
      </c>
      <c r="F942" s="30">
        <f>IF($A942="",0,INDEX(Transactions!$O:$O,ROW()-8))</f>
      </c>
      <c r="G942" s="30">
        <f>IF($A942="",0,INDEX(Transactions!$P:$P,ROW()-8))</f>
      </c>
    </row>
    <row r="943" spans="1:7" ht="15" customHeight="1" x14ac:dyDescent="0.15">
      <c r="A943">
        <f>IF(INDEX(Transactions!$J:$J,ROW()-8)="","",INDEX(Transactions!$J:$J,ROW()-8))</f>
      </c>
      <c r="B943" s="297">
        <f>IF($A943="",TODAY(),INDEX(Transactions!$G:$G,ROW()-8))</f>
      </c>
      <c r="C943">
        <f>IF($A943="","",INDEX(Transactions!$A:$A,ROW()-8))</f>
      </c>
      <c r="D943" s="30">
        <f>IF($A943="",0,INDEX(Transactions!$H:$H,ROW()-8))</f>
      </c>
      <c r="E943">
        <f>IF($A943="",1,INDEX(Transactions!$N:$N,ROW()-8))</f>
        <v>1</v>
      </c>
      <c r="F943" s="30">
        <f>IF($A943="",0,INDEX(Transactions!$O:$O,ROW()-8))</f>
      </c>
      <c r="G943" s="30">
        <f>IF($A943="",0,INDEX(Transactions!$P:$P,ROW()-8))</f>
      </c>
    </row>
    <row r="944" spans="1:7" ht="15" customHeight="1" x14ac:dyDescent="0.15">
      <c r="A944">
        <f>IF(INDEX(Transactions!$J:$J,ROW()-8)="","",INDEX(Transactions!$J:$J,ROW()-8))</f>
      </c>
      <c r="B944" s="297">
        <f>IF($A944="",TODAY(),INDEX(Transactions!$G:$G,ROW()-8))</f>
      </c>
      <c r="C944">
        <f>IF($A944="","",INDEX(Transactions!$A:$A,ROW()-8))</f>
      </c>
      <c r="D944" s="30">
        <f>IF($A944="",0,INDEX(Transactions!$H:$H,ROW()-8))</f>
      </c>
      <c r="E944">
        <f>IF($A944="",1,INDEX(Transactions!$N:$N,ROW()-8))</f>
        <v>1</v>
      </c>
      <c r="F944" s="30">
        <f>IF($A944="",0,INDEX(Transactions!$O:$O,ROW()-8))</f>
      </c>
      <c r="G944" s="30">
        <f>IF($A944="",0,INDEX(Transactions!$P:$P,ROW()-8))</f>
      </c>
    </row>
    <row r="945" spans="1:7" ht="15" customHeight="1" x14ac:dyDescent="0.15">
      <c r="A945">
        <f>IF(INDEX(Transactions!$J:$J,ROW()-8)="","",INDEX(Transactions!$J:$J,ROW()-8))</f>
      </c>
      <c r="B945" s="297">
        <f>IF($A945="",TODAY(),INDEX(Transactions!$G:$G,ROW()-8))</f>
      </c>
      <c r="C945">
        <f>IF($A945="","",INDEX(Transactions!$A:$A,ROW()-8))</f>
      </c>
      <c r="D945" s="30">
        <f>IF($A945="",0,INDEX(Transactions!$H:$H,ROW()-8))</f>
      </c>
      <c r="E945">
        <f>IF($A945="",1,INDEX(Transactions!$N:$N,ROW()-8))</f>
        <v>1</v>
      </c>
      <c r="F945" s="30">
        <f>IF($A945="",0,INDEX(Transactions!$O:$O,ROW()-8))</f>
      </c>
      <c r="G945" s="30">
        <f>IF($A945="",0,INDEX(Transactions!$P:$P,ROW()-8))</f>
      </c>
    </row>
    <row r="946" spans="1:7" ht="15" customHeight="1" x14ac:dyDescent="0.15">
      <c r="A946">
        <f>IF(INDEX(Transactions!$J:$J,ROW()-8)="","",INDEX(Transactions!$J:$J,ROW()-8))</f>
      </c>
      <c r="B946" s="297">
        <f>IF($A946="",TODAY(),INDEX(Transactions!$G:$G,ROW()-8))</f>
      </c>
      <c r="C946">
        <f>IF($A946="","",INDEX(Transactions!$A:$A,ROW()-8))</f>
      </c>
      <c r="D946" s="30">
        <f>IF($A946="",0,INDEX(Transactions!$H:$H,ROW()-8))</f>
      </c>
      <c r="E946">
        <f>IF($A946="",1,INDEX(Transactions!$N:$N,ROW()-8))</f>
        <v>1</v>
      </c>
      <c r="F946" s="30">
        <f>IF($A946="",0,INDEX(Transactions!$O:$O,ROW()-8))</f>
      </c>
      <c r="G946" s="30">
        <f>IF($A946="",0,INDEX(Transactions!$P:$P,ROW()-8))</f>
      </c>
    </row>
    <row r="947" spans="1:7" ht="15" customHeight="1" x14ac:dyDescent="0.15">
      <c r="A947">
        <f>IF(INDEX(Transactions!$J:$J,ROW()-8)="","",INDEX(Transactions!$J:$J,ROW()-8))</f>
      </c>
      <c r="B947" s="297">
        <f>IF($A947="",TODAY(),INDEX(Transactions!$G:$G,ROW()-8))</f>
      </c>
      <c r="C947">
        <f>IF($A947="","",INDEX(Transactions!$A:$A,ROW()-8))</f>
      </c>
      <c r="D947" s="30">
        <f>IF($A947="",0,INDEX(Transactions!$H:$H,ROW()-8))</f>
      </c>
      <c r="E947">
        <f>IF($A947="",1,INDEX(Transactions!$N:$N,ROW()-8))</f>
        <v>1</v>
      </c>
      <c r="F947" s="30">
        <f>IF($A947="",0,INDEX(Transactions!$O:$O,ROW()-8))</f>
      </c>
      <c r="G947" s="30">
        <f>IF($A947="",0,INDEX(Transactions!$P:$P,ROW()-8))</f>
      </c>
    </row>
    <row r="948" spans="1:7" ht="15" customHeight="1" x14ac:dyDescent="0.15">
      <c r="A948">
        <f>IF(INDEX(Transactions!$J:$J,ROW()-8)="","",INDEX(Transactions!$J:$J,ROW()-8))</f>
      </c>
      <c r="B948" s="297">
        <f>IF($A948="",TODAY(),INDEX(Transactions!$G:$G,ROW()-8))</f>
      </c>
      <c r="C948">
        <f>IF($A948="","",INDEX(Transactions!$A:$A,ROW()-8))</f>
      </c>
      <c r="D948" s="30">
        <f>IF($A948="",0,INDEX(Transactions!$H:$H,ROW()-8))</f>
      </c>
      <c r="E948">
        <f>IF($A948="",1,INDEX(Transactions!$N:$N,ROW()-8))</f>
        <v>1</v>
      </c>
      <c r="F948" s="30">
        <f>IF($A948="",0,INDEX(Transactions!$O:$O,ROW()-8))</f>
      </c>
      <c r="G948" s="30">
        <f>IF($A948="",0,INDEX(Transactions!$P:$P,ROW()-8))</f>
      </c>
    </row>
    <row r="949" spans="1:7" ht="15" customHeight="1" x14ac:dyDescent="0.15">
      <c r="A949">
        <f>IF(INDEX(Transactions!$J:$J,ROW()-8)="","",INDEX(Transactions!$J:$J,ROW()-8))</f>
      </c>
      <c r="B949" s="297">
        <f>IF($A949="",TODAY(),INDEX(Transactions!$G:$G,ROW()-8))</f>
      </c>
      <c r="C949">
        <f>IF($A949="","",INDEX(Transactions!$A:$A,ROW()-8))</f>
      </c>
      <c r="D949" s="30">
        <f>IF($A949="",0,INDEX(Transactions!$H:$H,ROW()-8))</f>
      </c>
      <c r="E949">
        <f>IF($A949="",1,INDEX(Transactions!$N:$N,ROW()-8))</f>
        <v>1</v>
      </c>
      <c r="F949" s="30">
        <f>IF($A949="",0,INDEX(Transactions!$O:$O,ROW()-8))</f>
      </c>
      <c r="G949" s="30">
        <f>IF($A949="",0,INDEX(Transactions!$P:$P,ROW()-8))</f>
      </c>
    </row>
    <row r="950" spans="1:7" ht="15" customHeight="1" x14ac:dyDescent="0.15">
      <c r="A950">
        <f>IF(INDEX(Transactions!$J:$J,ROW()-8)="","",INDEX(Transactions!$J:$J,ROW()-8))</f>
      </c>
      <c r="B950" s="297">
        <f>IF($A950="",TODAY(),INDEX(Transactions!$G:$G,ROW()-8))</f>
      </c>
      <c r="C950">
        <f>IF($A950="","",INDEX(Transactions!$A:$A,ROW()-8))</f>
      </c>
      <c r="D950" s="30">
        <f>IF($A950="",0,INDEX(Transactions!$H:$H,ROW()-8))</f>
      </c>
      <c r="E950">
        <f>IF($A950="",1,INDEX(Transactions!$N:$N,ROW()-8))</f>
        <v>1</v>
      </c>
      <c r="F950" s="30">
        <f>IF($A950="",0,INDEX(Transactions!$O:$O,ROW()-8))</f>
      </c>
      <c r="G950" s="30">
        <f>IF($A950="",0,INDEX(Transactions!$P:$P,ROW()-8))</f>
      </c>
    </row>
    <row r="951" spans="1:7" ht="15" customHeight="1" x14ac:dyDescent="0.15">
      <c r="A951">
        <f>IF(INDEX(Transactions!$J:$J,ROW()-8)="","",INDEX(Transactions!$J:$J,ROW()-8))</f>
      </c>
      <c r="B951" s="297">
        <f>IF($A951="",TODAY(),INDEX(Transactions!$G:$G,ROW()-8))</f>
      </c>
      <c r="C951">
        <f>IF($A951="","",INDEX(Transactions!$A:$A,ROW()-8))</f>
      </c>
      <c r="D951" s="30">
        <f>IF($A951="",0,INDEX(Transactions!$H:$H,ROW()-8))</f>
      </c>
      <c r="E951">
        <f>IF($A951="",1,INDEX(Transactions!$N:$N,ROW()-8))</f>
        <v>1</v>
      </c>
      <c r="F951" s="30">
        <f>IF($A951="",0,INDEX(Transactions!$O:$O,ROW()-8))</f>
      </c>
      <c r="G951" s="30">
        <f>IF($A951="",0,INDEX(Transactions!$P:$P,ROW()-8))</f>
      </c>
    </row>
    <row r="952" spans="1:7" ht="15" customHeight="1" x14ac:dyDescent="0.15">
      <c r="A952">
        <f>IF(INDEX(Transactions!$J:$J,ROW()-8)="","",INDEX(Transactions!$J:$J,ROW()-8))</f>
      </c>
      <c r="B952" s="297">
        <f>IF($A952="",TODAY(),INDEX(Transactions!$G:$G,ROW()-8))</f>
      </c>
      <c r="C952">
        <f>IF($A952="","",INDEX(Transactions!$A:$A,ROW()-8))</f>
      </c>
      <c r="D952" s="30">
        <f>IF($A952="",0,INDEX(Transactions!$H:$H,ROW()-8))</f>
      </c>
      <c r="E952">
        <f>IF($A952="",1,INDEX(Transactions!$N:$N,ROW()-8))</f>
        <v>1</v>
      </c>
      <c r="F952" s="30">
        <f>IF($A952="",0,INDEX(Transactions!$O:$O,ROW()-8))</f>
      </c>
      <c r="G952" s="30">
        <f>IF($A952="",0,INDEX(Transactions!$P:$P,ROW()-8))</f>
      </c>
    </row>
    <row r="953" spans="1:7" ht="15" customHeight="1" x14ac:dyDescent="0.15">
      <c r="A953">
        <f>IF(INDEX(Transactions!$J:$J,ROW()-8)="","",INDEX(Transactions!$J:$J,ROW()-8))</f>
      </c>
      <c r="B953" s="297">
        <f>IF($A953="",TODAY(),INDEX(Transactions!$G:$G,ROW()-8))</f>
      </c>
      <c r="C953">
        <f>IF($A953="","",INDEX(Transactions!$A:$A,ROW()-8))</f>
      </c>
      <c r="D953" s="30">
        <f>IF($A953="",0,INDEX(Transactions!$H:$H,ROW()-8))</f>
      </c>
      <c r="E953">
        <f>IF($A953="",1,INDEX(Transactions!$N:$N,ROW()-8))</f>
        <v>1</v>
      </c>
      <c r="F953" s="30">
        <f>IF($A953="",0,INDEX(Transactions!$O:$O,ROW()-8))</f>
      </c>
      <c r="G953" s="30">
        <f>IF($A953="",0,INDEX(Transactions!$P:$P,ROW()-8))</f>
      </c>
    </row>
    <row r="954" spans="1:7" ht="15" customHeight="1" x14ac:dyDescent="0.15">
      <c r="A954">
        <f>IF(INDEX(Transactions!$J:$J,ROW()-8)="","",INDEX(Transactions!$J:$J,ROW()-8))</f>
      </c>
      <c r="B954" s="297">
        <f>IF($A954="",TODAY(),INDEX(Transactions!$G:$G,ROW()-8))</f>
      </c>
      <c r="C954">
        <f>IF($A954="","",INDEX(Transactions!$A:$A,ROW()-8))</f>
      </c>
      <c r="D954" s="30">
        <f>IF($A954="",0,INDEX(Transactions!$H:$H,ROW()-8))</f>
      </c>
      <c r="E954">
        <f>IF($A954="",1,INDEX(Transactions!$N:$N,ROW()-8))</f>
        <v>1</v>
      </c>
      <c r="F954" s="30">
        <f>IF($A954="",0,INDEX(Transactions!$O:$O,ROW()-8))</f>
      </c>
      <c r="G954" s="30">
        <f>IF($A954="",0,INDEX(Transactions!$P:$P,ROW()-8))</f>
      </c>
    </row>
    <row r="955" spans="1:7" ht="15" customHeight="1" x14ac:dyDescent="0.15">
      <c r="A955">
        <f>IF(INDEX(Transactions!$J:$J,ROW()-8)="","",INDEX(Transactions!$J:$J,ROW()-8))</f>
      </c>
      <c r="B955" s="297">
        <f>IF($A955="",TODAY(),INDEX(Transactions!$G:$G,ROW()-8))</f>
      </c>
      <c r="C955">
        <f>IF($A955="","",INDEX(Transactions!$A:$A,ROW()-8))</f>
      </c>
      <c r="D955" s="30">
        <f>IF($A955="",0,INDEX(Transactions!$H:$H,ROW()-8))</f>
      </c>
      <c r="E955">
        <f>IF($A955="",1,INDEX(Transactions!$N:$N,ROW()-8))</f>
        <v>1</v>
      </c>
      <c r="F955" s="30">
        <f>IF($A955="",0,INDEX(Transactions!$O:$O,ROW()-8))</f>
      </c>
      <c r="G955" s="30">
        <f>IF($A955="",0,INDEX(Transactions!$P:$P,ROW()-8))</f>
      </c>
    </row>
    <row r="956" spans="1:7" ht="15" customHeight="1" x14ac:dyDescent="0.15">
      <c r="A956">
        <f>IF(INDEX(Transactions!$J:$J,ROW()-8)="","",INDEX(Transactions!$J:$J,ROW()-8))</f>
      </c>
      <c r="B956" s="297">
        <f>IF($A956="",TODAY(),INDEX(Transactions!$G:$G,ROW()-8))</f>
      </c>
      <c r="C956">
        <f>IF($A956="","",INDEX(Transactions!$A:$A,ROW()-8))</f>
      </c>
      <c r="D956" s="30">
        <f>IF($A956="",0,INDEX(Transactions!$H:$H,ROW()-8))</f>
      </c>
      <c r="E956">
        <f>IF($A956="",1,INDEX(Transactions!$N:$N,ROW()-8))</f>
        <v>1</v>
      </c>
      <c r="F956" s="30">
        <f>IF($A956="",0,INDEX(Transactions!$O:$O,ROW()-8))</f>
      </c>
      <c r="G956" s="30">
        <f>IF($A956="",0,INDEX(Transactions!$P:$P,ROW()-8))</f>
      </c>
    </row>
    <row r="957" spans="1:7" ht="15" customHeight="1" x14ac:dyDescent="0.15">
      <c r="A957">
        <f>IF(INDEX(Transactions!$J:$J,ROW()-8)="","",INDEX(Transactions!$J:$J,ROW()-8))</f>
      </c>
      <c r="B957" s="297">
        <f>IF($A957="",TODAY(),INDEX(Transactions!$G:$G,ROW()-8))</f>
      </c>
      <c r="C957">
        <f>IF($A957="","",INDEX(Transactions!$A:$A,ROW()-8))</f>
      </c>
      <c r="D957" s="30">
        <f>IF($A957="",0,INDEX(Transactions!$H:$H,ROW()-8))</f>
      </c>
      <c r="E957">
        <f>IF($A957="",1,INDEX(Transactions!$N:$N,ROW()-8))</f>
        <v>1</v>
      </c>
      <c r="F957" s="30">
        <f>IF($A957="",0,INDEX(Transactions!$O:$O,ROW()-8))</f>
      </c>
      <c r="G957" s="30">
        <f>IF($A957="",0,INDEX(Transactions!$P:$P,ROW()-8))</f>
      </c>
    </row>
    <row r="958" spans="1:7" ht="15" customHeight="1" x14ac:dyDescent="0.15">
      <c r="A958">
        <f>IF(INDEX(Transactions!$J:$J,ROW()-8)="","",INDEX(Transactions!$J:$J,ROW()-8))</f>
      </c>
      <c r="B958" s="297">
        <f>IF($A958="",TODAY(),INDEX(Transactions!$G:$G,ROW()-8))</f>
      </c>
      <c r="C958">
        <f>IF($A958="","",INDEX(Transactions!$A:$A,ROW()-8))</f>
      </c>
      <c r="D958" s="30">
        <f>IF($A958="",0,INDEX(Transactions!$H:$H,ROW()-8))</f>
      </c>
      <c r="E958">
        <f>IF($A958="",1,INDEX(Transactions!$N:$N,ROW()-8))</f>
        <v>1</v>
      </c>
      <c r="F958" s="30">
        <f>IF($A958="",0,INDEX(Transactions!$O:$O,ROW()-8))</f>
      </c>
      <c r="G958" s="30">
        <f>IF($A958="",0,INDEX(Transactions!$P:$P,ROW()-8))</f>
      </c>
    </row>
    <row r="959" spans="1:7" ht="15" customHeight="1" x14ac:dyDescent="0.15">
      <c r="A959">
        <f>IF(INDEX(Transactions!$J:$J,ROW()-8)="","",INDEX(Transactions!$J:$J,ROW()-8))</f>
      </c>
      <c r="B959" s="297">
        <f>IF($A959="",TODAY(),INDEX(Transactions!$G:$G,ROW()-8))</f>
      </c>
      <c r="C959">
        <f>IF($A959="","",INDEX(Transactions!$A:$A,ROW()-8))</f>
      </c>
      <c r="D959" s="30">
        <f>IF($A959="",0,INDEX(Transactions!$H:$H,ROW()-8))</f>
      </c>
      <c r="E959">
        <f>IF($A959="",1,INDEX(Transactions!$N:$N,ROW()-8))</f>
        <v>1</v>
      </c>
      <c r="F959" s="30">
        <f>IF($A959="",0,INDEX(Transactions!$O:$O,ROW()-8))</f>
      </c>
      <c r="G959" s="30">
        <f>IF($A959="",0,INDEX(Transactions!$P:$P,ROW()-8))</f>
      </c>
    </row>
    <row r="960" spans="1:7" ht="15" customHeight="1" x14ac:dyDescent="0.15">
      <c r="A960">
        <f>IF(INDEX(Transactions!$J:$J,ROW()-8)="","",INDEX(Transactions!$J:$J,ROW()-8))</f>
      </c>
      <c r="B960" s="297">
        <f>IF($A960="",TODAY(),INDEX(Transactions!$G:$G,ROW()-8))</f>
      </c>
      <c r="C960">
        <f>IF($A960="","",INDEX(Transactions!$A:$A,ROW()-8))</f>
      </c>
      <c r="D960" s="30">
        <f>IF($A960="",0,INDEX(Transactions!$H:$H,ROW()-8))</f>
      </c>
      <c r="E960">
        <f>IF($A960="",1,INDEX(Transactions!$N:$N,ROW()-8))</f>
        <v>1</v>
      </c>
      <c r="F960" s="30">
        <f>IF($A960="",0,INDEX(Transactions!$O:$O,ROW()-8))</f>
      </c>
      <c r="G960" s="30">
        <f>IF($A960="",0,INDEX(Transactions!$P:$P,ROW()-8))</f>
      </c>
    </row>
    <row r="961" spans="1:7" ht="15" customHeight="1" x14ac:dyDescent="0.15">
      <c r="A961">
        <f>IF(INDEX(Transactions!$J:$J,ROW()-8)="","",INDEX(Transactions!$J:$J,ROW()-8))</f>
      </c>
      <c r="B961" s="297">
        <f>IF($A961="",TODAY(),INDEX(Transactions!$G:$G,ROW()-8))</f>
      </c>
      <c r="C961">
        <f>IF($A961="","",INDEX(Transactions!$A:$A,ROW()-8))</f>
      </c>
      <c r="D961" s="30">
        <f>IF($A961="",0,INDEX(Transactions!$H:$H,ROW()-8))</f>
      </c>
      <c r="E961">
        <f>IF($A961="",1,INDEX(Transactions!$N:$N,ROW()-8))</f>
        <v>1</v>
      </c>
      <c r="F961" s="30">
        <f>IF($A961="",0,INDEX(Transactions!$O:$O,ROW()-8))</f>
      </c>
      <c r="G961" s="30">
        <f>IF($A961="",0,INDEX(Transactions!$P:$P,ROW()-8))</f>
      </c>
    </row>
    <row r="962" spans="1:7" ht="15" customHeight="1" x14ac:dyDescent="0.15">
      <c r="A962">
        <f>IF(INDEX(Transactions!$J:$J,ROW()-8)="","",INDEX(Transactions!$J:$J,ROW()-8))</f>
      </c>
      <c r="B962" s="297">
        <f>IF($A962="",TODAY(),INDEX(Transactions!$G:$G,ROW()-8))</f>
      </c>
      <c r="C962">
        <f>IF($A962="","",INDEX(Transactions!$A:$A,ROW()-8))</f>
      </c>
      <c r="D962" s="30">
        <f>IF($A962="",0,INDEX(Transactions!$H:$H,ROW()-8))</f>
      </c>
      <c r="E962">
        <f>IF($A962="",1,INDEX(Transactions!$N:$N,ROW()-8))</f>
        <v>1</v>
      </c>
      <c r="F962" s="30">
        <f>IF($A962="",0,INDEX(Transactions!$O:$O,ROW()-8))</f>
      </c>
      <c r="G962" s="30">
        <f>IF($A962="",0,INDEX(Transactions!$P:$P,ROW()-8))</f>
      </c>
    </row>
    <row r="963" spans="1:7" ht="15" customHeight="1" x14ac:dyDescent="0.15">
      <c r="A963">
        <f>IF(INDEX(Transactions!$J:$J,ROW()-8)="","",INDEX(Transactions!$J:$J,ROW()-8))</f>
      </c>
      <c r="B963" s="297">
        <f>IF($A963="",TODAY(),INDEX(Transactions!$G:$G,ROW()-8))</f>
      </c>
      <c r="C963">
        <f>IF($A963="","",INDEX(Transactions!$A:$A,ROW()-8))</f>
      </c>
      <c r="D963" s="30">
        <f>IF($A963="",0,INDEX(Transactions!$H:$H,ROW()-8))</f>
      </c>
      <c r="E963">
        <f>IF($A963="",1,INDEX(Transactions!$N:$N,ROW()-8))</f>
        <v>1</v>
      </c>
      <c r="F963" s="30">
        <f>IF($A963="",0,INDEX(Transactions!$O:$O,ROW()-8))</f>
      </c>
      <c r="G963" s="30">
        <f>IF($A963="",0,INDEX(Transactions!$P:$P,ROW()-8))</f>
      </c>
    </row>
    <row r="964" spans="1:7" ht="15" customHeight="1" x14ac:dyDescent="0.15">
      <c r="A964">
        <f>IF(INDEX(Transactions!$J:$J,ROW()-8)="","",INDEX(Transactions!$J:$J,ROW()-8))</f>
      </c>
      <c r="B964" s="297">
        <f>IF($A964="",TODAY(),INDEX(Transactions!$G:$G,ROW()-8))</f>
      </c>
      <c r="C964">
        <f>IF($A964="","",INDEX(Transactions!$A:$A,ROW()-8))</f>
      </c>
      <c r="D964" s="30">
        <f>IF($A964="",0,INDEX(Transactions!$H:$H,ROW()-8))</f>
      </c>
      <c r="E964">
        <f>IF($A964="",1,INDEX(Transactions!$N:$N,ROW()-8))</f>
        <v>1</v>
      </c>
      <c r="F964" s="30">
        <f>IF($A964="",0,INDEX(Transactions!$O:$O,ROW()-8))</f>
      </c>
      <c r="G964" s="30">
        <f>IF($A964="",0,INDEX(Transactions!$P:$P,ROW()-8))</f>
      </c>
    </row>
    <row r="965" spans="1:7" ht="15" customHeight="1" x14ac:dyDescent="0.15">
      <c r="A965">
        <f>IF(INDEX(Transactions!$J:$J,ROW()-8)="","",INDEX(Transactions!$J:$J,ROW()-8))</f>
      </c>
      <c r="B965" s="297">
        <f>IF($A965="",TODAY(),INDEX(Transactions!$G:$G,ROW()-8))</f>
      </c>
      <c r="C965">
        <f>IF($A965="","",INDEX(Transactions!$A:$A,ROW()-8))</f>
      </c>
      <c r="D965" s="30">
        <f>IF($A965="",0,INDEX(Transactions!$H:$H,ROW()-8))</f>
      </c>
      <c r="E965">
        <f>IF($A965="",1,INDEX(Transactions!$N:$N,ROW()-8))</f>
        <v>1</v>
      </c>
      <c r="F965" s="30">
        <f>IF($A965="",0,INDEX(Transactions!$O:$O,ROW()-8))</f>
      </c>
      <c r="G965" s="30">
        <f>IF($A965="",0,INDEX(Transactions!$P:$P,ROW()-8))</f>
      </c>
    </row>
    <row r="966" spans="1:7" ht="15" customHeight="1" x14ac:dyDescent="0.15">
      <c r="A966">
        <f>IF(INDEX(Transactions!$J:$J,ROW()-8)="","",INDEX(Transactions!$J:$J,ROW()-8))</f>
      </c>
      <c r="B966" s="297">
        <f>IF($A966="",TODAY(),INDEX(Transactions!$G:$G,ROW()-8))</f>
      </c>
      <c r="C966">
        <f>IF($A966="","",INDEX(Transactions!$A:$A,ROW()-8))</f>
      </c>
      <c r="D966" s="30">
        <f>IF($A966="",0,INDEX(Transactions!$H:$H,ROW()-8))</f>
      </c>
      <c r="E966">
        <f>IF($A966="",1,INDEX(Transactions!$N:$N,ROW()-8))</f>
        <v>1</v>
      </c>
      <c r="F966" s="30">
        <f>IF($A966="",0,INDEX(Transactions!$O:$O,ROW()-8))</f>
      </c>
      <c r="G966" s="30">
        <f>IF($A966="",0,INDEX(Transactions!$P:$P,ROW()-8))</f>
      </c>
    </row>
    <row r="967" spans="1:7" ht="15" customHeight="1" x14ac:dyDescent="0.15">
      <c r="A967">
        <f>IF(INDEX(Transactions!$J:$J,ROW()-8)="","",INDEX(Transactions!$J:$J,ROW()-8))</f>
      </c>
      <c r="B967" s="297">
        <f>IF($A967="",TODAY(),INDEX(Transactions!$G:$G,ROW()-8))</f>
      </c>
      <c r="C967">
        <f>IF($A967="","",INDEX(Transactions!$A:$A,ROW()-8))</f>
      </c>
      <c r="D967" s="30">
        <f>IF($A967="",0,INDEX(Transactions!$H:$H,ROW()-8))</f>
      </c>
      <c r="E967">
        <f>IF($A967="",1,INDEX(Transactions!$N:$N,ROW()-8))</f>
        <v>1</v>
      </c>
      <c r="F967" s="30">
        <f>IF($A967="",0,INDEX(Transactions!$O:$O,ROW()-8))</f>
      </c>
      <c r="G967" s="30">
        <f>IF($A967="",0,INDEX(Transactions!$P:$P,ROW()-8))</f>
      </c>
    </row>
    <row r="968" spans="1:7" ht="15" customHeight="1" x14ac:dyDescent="0.15">
      <c r="A968">
        <f>IF(INDEX(Transactions!$J:$J,ROW()-8)="","",INDEX(Transactions!$J:$J,ROW()-8))</f>
      </c>
      <c r="B968" s="297">
        <f>IF($A968="",TODAY(),INDEX(Transactions!$G:$G,ROW()-8))</f>
      </c>
      <c r="C968">
        <f>IF($A968="","",INDEX(Transactions!$A:$A,ROW()-8))</f>
      </c>
      <c r="D968" s="30">
        <f>IF($A968="",0,INDEX(Transactions!$H:$H,ROW()-8))</f>
      </c>
      <c r="E968">
        <f>IF($A968="",1,INDEX(Transactions!$N:$N,ROW()-8))</f>
        <v>1</v>
      </c>
      <c r="F968" s="30">
        <f>IF($A968="",0,INDEX(Transactions!$O:$O,ROW()-8))</f>
      </c>
      <c r="G968" s="30">
        <f>IF($A968="",0,INDEX(Transactions!$P:$P,ROW()-8))</f>
      </c>
    </row>
    <row r="969" spans="1:7" ht="15" customHeight="1" x14ac:dyDescent="0.15">
      <c r="A969">
        <f>IF(INDEX(Transactions!$J:$J,ROW()-8)="","",INDEX(Transactions!$J:$J,ROW()-8))</f>
      </c>
      <c r="B969" s="297">
        <f>IF($A969="",TODAY(),INDEX(Transactions!$G:$G,ROW()-8))</f>
      </c>
      <c r="C969">
        <f>IF($A969="","",INDEX(Transactions!$A:$A,ROW()-8))</f>
      </c>
      <c r="D969" s="30">
        <f>IF($A969="",0,INDEX(Transactions!$H:$H,ROW()-8))</f>
      </c>
      <c r="E969">
        <f>IF($A969="",1,INDEX(Transactions!$N:$N,ROW()-8))</f>
        <v>1</v>
      </c>
      <c r="F969" s="30">
        <f>IF($A969="",0,INDEX(Transactions!$O:$O,ROW()-8))</f>
      </c>
      <c r="G969" s="30">
        <f>IF($A969="",0,INDEX(Transactions!$P:$P,ROW()-8))</f>
      </c>
    </row>
    <row r="970" spans="1:7" ht="15" customHeight="1" x14ac:dyDescent="0.15">
      <c r="A970">
        <f>IF(INDEX(Transactions!$J:$J,ROW()-8)="","",INDEX(Transactions!$J:$J,ROW()-8))</f>
      </c>
      <c r="B970" s="297">
        <f>IF($A970="",TODAY(),INDEX(Transactions!$G:$G,ROW()-8))</f>
      </c>
      <c r="C970">
        <f>IF($A970="","",INDEX(Transactions!$A:$A,ROW()-8))</f>
      </c>
      <c r="D970" s="30">
        <f>IF($A970="",0,INDEX(Transactions!$H:$H,ROW()-8))</f>
      </c>
      <c r="E970">
        <f>IF($A970="",1,INDEX(Transactions!$N:$N,ROW()-8))</f>
        <v>1</v>
      </c>
      <c r="F970" s="30">
        <f>IF($A970="",0,INDEX(Transactions!$O:$O,ROW()-8))</f>
      </c>
      <c r="G970" s="30">
        <f>IF($A970="",0,INDEX(Transactions!$P:$P,ROW()-8))</f>
      </c>
    </row>
    <row r="971" spans="1:7" ht="15" customHeight="1" x14ac:dyDescent="0.15">
      <c r="A971">
        <f>IF(INDEX(Transactions!$J:$J,ROW()-8)="","",INDEX(Transactions!$J:$J,ROW()-8))</f>
      </c>
      <c r="B971" s="297">
        <f>IF($A971="",TODAY(),INDEX(Transactions!$G:$G,ROW()-8))</f>
      </c>
      <c r="C971">
        <f>IF($A971="","",INDEX(Transactions!$A:$A,ROW()-8))</f>
      </c>
      <c r="D971" s="30">
        <f>IF($A971="",0,INDEX(Transactions!$H:$H,ROW()-8))</f>
      </c>
      <c r="E971">
        <f>IF($A971="",1,INDEX(Transactions!$N:$N,ROW()-8))</f>
        <v>1</v>
      </c>
      <c r="F971" s="30">
        <f>IF($A971="",0,INDEX(Transactions!$O:$O,ROW()-8))</f>
      </c>
      <c r="G971" s="30">
        <f>IF($A971="",0,INDEX(Transactions!$P:$P,ROW()-8))</f>
      </c>
    </row>
    <row r="972" spans="1:7" ht="15" customHeight="1" x14ac:dyDescent="0.15">
      <c r="A972">
        <f>IF(INDEX(Transactions!$J:$J,ROW()-8)="","",INDEX(Transactions!$J:$J,ROW()-8))</f>
      </c>
      <c r="B972" s="297">
        <f>IF($A972="",TODAY(),INDEX(Transactions!$G:$G,ROW()-8))</f>
      </c>
      <c r="C972">
        <f>IF($A972="","",INDEX(Transactions!$A:$A,ROW()-8))</f>
      </c>
      <c r="D972" s="30">
        <f>IF($A972="",0,INDEX(Transactions!$H:$H,ROW()-8))</f>
      </c>
      <c r="E972">
        <f>IF($A972="",1,INDEX(Transactions!$N:$N,ROW()-8))</f>
        <v>1</v>
      </c>
      <c r="F972" s="30">
        <f>IF($A972="",0,INDEX(Transactions!$O:$O,ROW()-8))</f>
      </c>
      <c r="G972" s="30">
        <f>IF($A972="",0,INDEX(Transactions!$P:$P,ROW()-8))</f>
      </c>
    </row>
    <row r="973" spans="1:7" ht="15" customHeight="1" x14ac:dyDescent="0.15">
      <c r="A973">
        <f>IF(INDEX(Transactions!$J:$J,ROW()-8)="","",INDEX(Transactions!$J:$J,ROW()-8))</f>
      </c>
      <c r="B973" s="297">
        <f>IF($A973="",TODAY(),INDEX(Transactions!$G:$G,ROW()-8))</f>
      </c>
      <c r="C973">
        <f>IF($A973="","",INDEX(Transactions!$A:$A,ROW()-8))</f>
      </c>
      <c r="D973" s="30">
        <f>IF($A973="",0,INDEX(Transactions!$H:$H,ROW()-8))</f>
      </c>
      <c r="E973">
        <f>IF($A973="",1,INDEX(Transactions!$N:$N,ROW()-8))</f>
        <v>1</v>
      </c>
      <c r="F973" s="30">
        <f>IF($A973="",0,INDEX(Transactions!$O:$O,ROW()-8))</f>
      </c>
      <c r="G973" s="30">
        <f>IF($A973="",0,INDEX(Transactions!$P:$P,ROW()-8))</f>
      </c>
    </row>
    <row r="974" spans="1:7" ht="15" customHeight="1" x14ac:dyDescent="0.15">
      <c r="A974">
        <f>IF(INDEX(Transactions!$J:$J,ROW()-8)="","",INDEX(Transactions!$J:$J,ROW()-8))</f>
      </c>
      <c r="B974" s="297">
        <f>IF($A974="",TODAY(),INDEX(Transactions!$G:$G,ROW()-8))</f>
      </c>
      <c r="C974">
        <f>IF($A974="","",INDEX(Transactions!$A:$A,ROW()-8))</f>
      </c>
      <c r="D974" s="30">
        <f>IF($A974="",0,INDEX(Transactions!$H:$H,ROW()-8))</f>
      </c>
      <c r="E974">
        <f>IF($A974="",1,INDEX(Transactions!$N:$N,ROW()-8))</f>
        <v>1</v>
      </c>
      <c r="F974" s="30">
        <f>IF($A974="",0,INDEX(Transactions!$O:$O,ROW()-8))</f>
      </c>
      <c r="G974" s="30">
        <f>IF($A974="",0,INDEX(Transactions!$P:$P,ROW()-8))</f>
      </c>
    </row>
    <row r="975" spans="1:7" ht="15" customHeight="1" x14ac:dyDescent="0.15">
      <c r="A975">
        <f>IF(INDEX(Transactions!$J:$J,ROW()-8)="","",INDEX(Transactions!$J:$J,ROW()-8))</f>
      </c>
      <c r="B975" s="297">
        <f>IF($A975="",TODAY(),INDEX(Transactions!$G:$G,ROW()-8))</f>
      </c>
      <c r="C975">
        <f>IF($A975="","",INDEX(Transactions!$A:$A,ROW()-8))</f>
      </c>
      <c r="D975" s="30">
        <f>IF($A975="",0,INDEX(Transactions!$H:$H,ROW()-8))</f>
      </c>
      <c r="E975">
        <f>IF($A975="",1,INDEX(Transactions!$N:$N,ROW()-8))</f>
        <v>1</v>
      </c>
      <c r="F975" s="30">
        <f>IF($A975="",0,INDEX(Transactions!$O:$O,ROW()-8))</f>
      </c>
      <c r="G975" s="30">
        <f>IF($A975="",0,INDEX(Transactions!$P:$P,ROW()-8))</f>
      </c>
    </row>
    <row r="976" spans="1:7" ht="15" customHeight="1" x14ac:dyDescent="0.15">
      <c r="A976">
        <f>IF(INDEX(Transactions!$J:$J,ROW()-8)="","",INDEX(Transactions!$J:$J,ROW()-8))</f>
      </c>
      <c r="B976" s="297">
        <f>IF($A976="",TODAY(),INDEX(Transactions!$G:$G,ROW()-8))</f>
      </c>
      <c r="C976">
        <f>IF($A976="","",INDEX(Transactions!$A:$A,ROW()-8))</f>
      </c>
      <c r="D976" s="30">
        <f>IF($A976="",0,INDEX(Transactions!$H:$H,ROW()-8))</f>
      </c>
      <c r="E976">
        <f>IF($A976="",1,INDEX(Transactions!$N:$N,ROW()-8))</f>
        <v>1</v>
      </c>
      <c r="F976" s="30">
        <f>IF($A976="",0,INDEX(Transactions!$O:$O,ROW()-8))</f>
      </c>
      <c r="G976" s="30">
        <f>IF($A976="",0,INDEX(Transactions!$P:$P,ROW()-8))</f>
      </c>
    </row>
    <row r="977" spans="1:7" ht="15" customHeight="1" x14ac:dyDescent="0.15">
      <c r="A977">
        <f>IF(INDEX(Transactions!$J:$J,ROW()-8)="","",INDEX(Transactions!$J:$J,ROW()-8))</f>
      </c>
      <c r="B977" s="297">
        <f>IF($A977="",TODAY(),INDEX(Transactions!$G:$G,ROW()-8))</f>
      </c>
      <c r="C977">
        <f>IF($A977="","",INDEX(Transactions!$A:$A,ROW()-8))</f>
      </c>
      <c r="D977" s="30">
        <f>IF($A977="",0,INDEX(Transactions!$H:$H,ROW()-8))</f>
      </c>
      <c r="E977">
        <f>IF($A977="",1,INDEX(Transactions!$N:$N,ROW()-8))</f>
        <v>1</v>
      </c>
      <c r="F977" s="30">
        <f>IF($A977="",0,INDEX(Transactions!$O:$O,ROW()-8))</f>
      </c>
      <c r="G977" s="30">
        <f>IF($A977="",0,INDEX(Transactions!$P:$P,ROW()-8))</f>
      </c>
    </row>
    <row r="978" spans="1:7" ht="15" customHeight="1" x14ac:dyDescent="0.15">
      <c r="A978">
        <f>IF(INDEX(Transactions!$J:$J,ROW()-8)="","",INDEX(Transactions!$J:$J,ROW()-8))</f>
      </c>
      <c r="B978" s="297">
        <f>IF($A978="",TODAY(),INDEX(Transactions!$G:$G,ROW()-8))</f>
      </c>
      <c r="C978">
        <f>IF($A978="","",INDEX(Transactions!$A:$A,ROW()-8))</f>
      </c>
      <c r="D978" s="30">
        <f>IF($A978="",0,INDEX(Transactions!$H:$H,ROW()-8))</f>
      </c>
      <c r="E978">
        <f>IF($A978="",1,INDEX(Transactions!$N:$N,ROW()-8))</f>
        <v>1</v>
      </c>
      <c r="F978" s="30">
        <f>IF($A978="",0,INDEX(Transactions!$O:$O,ROW()-8))</f>
      </c>
      <c r="G978" s="30">
        <f>IF($A978="",0,INDEX(Transactions!$P:$P,ROW()-8))</f>
      </c>
    </row>
    <row r="979" spans="1:7" ht="15" customHeight="1" x14ac:dyDescent="0.15">
      <c r="A979">
        <f>IF(INDEX(Transactions!$J:$J,ROW()-8)="","",INDEX(Transactions!$J:$J,ROW()-8))</f>
      </c>
      <c r="B979" s="297">
        <f>IF($A979="",TODAY(),INDEX(Transactions!$G:$G,ROW()-8))</f>
      </c>
      <c r="C979">
        <f>IF($A979="","",INDEX(Transactions!$A:$A,ROW()-8))</f>
      </c>
      <c r="D979" s="30">
        <f>IF($A979="",0,INDEX(Transactions!$H:$H,ROW()-8))</f>
      </c>
      <c r="E979">
        <f>IF($A979="",1,INDEX(Transactions!$N:$N,ROW()-8))</f>
        <v>1</v>
      </c>
      <c r="F979" s="30">
        <f>IF($A979="",0,INDEX(Transactions!$O:$O,ROW()-8))</f>
      </c>
      <c r="G979" s="30">
        <f>IF($A979="",0,INDEX(Transactions!$P:$P,ROW()-8))</f>
      </c>
    </row>
    <row r="980" spans="1:7" ht="15" customHeight="1" x14ac:dyDescent="0.15">
      <c r="A980">
        <f>IF(INDEX(Transactions!$J:$J,ROW()-8)="","",INDEX(Transactions!$J:$J,ROW()-8))</f>
      </c>
      <c r="B980" s="297">
        <f>IF($A980="",TODAY(),INDEX(Transactions!$G:$G,ROW()-8))</f>
      </c>
      <c r="C980">
        <f>IF($A980="","",INDEX(Transactions!$A:$A,ROW()-8))</f>
      </c>
      <c r="D980" s="30">
        <f>IF($A980="",0,INDEX(Transactions!$H:$H,ROW()-8))</f>
      </c>
      <c r="E980">
        <f>IF($A980="",1,INDEX(Transactions!$N:$N,ROW()-8))</f>
        <v>1</v>
      </c>
      <c r="F980" s="30">
        <f>IF($A980="",0,INDEX(Transactions!$O:$O,ROW()-8))</f>
      </c>
      <c r="G980" s="30">
        <f>IF($A980="",0,INDEX(Transactions!$P:$P,ROW()-8))</f>
      </c>
    </row>
    <row r="981" spans="1:7" ht="15" customHeight="1" x14ac:dyDescent="0.15">
      <c r="A981">
        <f>IF(INDEX(Transactions!$J:$J,ROW()-8)="","",INDEX(Transactions!$J:$J,ROW()-8))</f>
      </c>
      <c r="B981" s="297">
        <f>IF($A981="",TODAY(),INDEX(Transactions!$G:$G,ROW()-8))</f>
      </c>
      <c r="C981">
        <f>IF($A981="","",INDEX(Transactions!$A:$A,ROW()-8))</f>
      </c>
      <c r="D981" s="30">
        <f>IF($A981="",0,INDEX(Transactions!$H:$H,ROW()-8))</f>
      </c>
      <c r="E981">
        <f>IF($A981="",1,INDEX(Transactions!$N:$N,ROW()-8))</f>
        <v>1</v>
      </c>
      <c r="F981" s="30">
        <f>IF($A981="",0,INDEX(Transactions!$O:$O,ROW()-8))</f>
      </c>
      <c r="G981" s="30">
        <f>IF($A981="",0,INDEX(Transactions!$P:$P,ROW()-8))</f>
      </c>
    </row>
    <row r="982" spans="1:7" ht="15" customHeight="1" x14ac:dyDescent="0.15">
      <c r="A982">
        <f>IF(INDEX(Transactions!$J:$J,ROW()-8)="","",INDEX(Transactions!$J:$J,ROW()-8))</f>
      </c>
      <c r="B982" s="297">
        <f>IF($A982="",TODAY(),INDEX(Transactions!$G:$G,ROW()-8))</f>
      </c>
      <c r="C982">
        <f>IF($A982="","",INDEX(Transactions!$A:$A,ROW()-8))</f>
      </c>
      <c r="D982" s="30">
        <f>IF($A982="",0,INDEX(Transactions!$H:$H,ROW()-8))</f>
      </c>
      <c r="E982">
        <f>IF($A982="",1,INDEX(Transactions!$N:$N,ROW()-8))</f>
        <v>1</v>
      </c>
      <c r="F982" s="30">
        <f>IF($A982="",0,INDEX(Transactions!$O:$O,ROW()-8))</f>
      </c>
      <c r="G982" s="30">
        <f>IF($A982="",0,INDEX(Transactions!$P:$P,ROW()-8))</f>
      </c>
    </row>
    <row r="983" spans="1:7" ht="15" customHeight="1" x14ac:dyDescent="0.15">
      <c r="A983">
        <f>IF(INDEX(Transactions!$J:$J,ROW()-8)="","",INDEX(Transactions!$J:$J,ROW()-8))</f>
      </c>
      <c r="B983" s="297">
        <f>IF($A983="",TODAY(),INDEX(Transactions!$G:$G,ROW()-8))</f>
      </c>
      <c r="C983">
        <f>IF($A983="","",INDEX(Transactions!$A:$A,ROW()-8))</f>
      </c>
      <c r="D983" s="30">
        <f>IF($A983="",0,INDEX(Transactions!$H:$H,ROW()-8))</f>
      </c>
      <c r="E983">
        <f>IF($A983="",1,INDEX(Transactions!$N:$N,ROW()-8))</f>
        <v>1</v>
      </c>
      <c r="F983" s="30">
        <f>IF($A983="",0,INDEX(Transactions!$O:$O,ROW()-8))</f>
      </c>
      <c r="G983" s="30">
        <f>IF($A983="",0,INDEX(Transactions!$P:$P,ROW()-8))</f>
      </c>
    </row>
    <row r="984" spans="1:7" ht="15" customHeight="1" x14ac:dyDescent="0.15">
      <c r="A984">
        <f>IF(INDEX(Transactions!$J:$J,ROW()-8)="","",INDEX(Transactions!$J:$J,ROW()-8))</f>
      </c>
      <c r="B984" s="297">
        <f>IF($A984="",TODAY(),INDEX(Transactions!$G:$G,ROW()-8))</f>
      </c>
      <c r="C984">
        <f>IF($A984="","",INDEX(Transactions!$A:$A,ROW()-8))</f>
      </c>
      <c r="D984" s="30">
        <f>IF($A984="",0,INDEX(Transactions!$H:$H,ROW()-8))</f>
      </c>
      <c r="E984">
        <f>IF($A984="",1,INDEX(Transactions!$N:$N,ROW()-8))</f>
        <v>1</v>
      </c>
      <c r="F984" s="30">
        <f>IF($A984="",0,INDEX(Transactions!$O:$O,ROW()-8))</f>
      </c>
      <c r="G984" s="30">
        <f>IF($A984="",0,INDEX(Transactions!$P:$P,ROW()-8))</f>
      </c>
    </row>
    <row r="985" spans="1:7" ht="15" customHeight="1" x14ac:dyDescent="0.15">
      <c r="A985">
        <f>IF(INDEX(Transactions!$J:$J,ROW()-8)="","",INDEX(Transactions!$J:$J,ROW()-8))</f>
      </c>
      <c r="B985" s="297">
        <f>IF($A985="",TODAY(),INDEX(Transactions!$G:$G,ROW()-8))</f>
      </c>
      <c r="C985">
        <f>IF($A985="","",INDEX(Transactions!$A:$A,ROW()-8))</f>
      </c>
      <c r="D985" s="30">
        <f>IF($A985="",0,INDEX(Transactions!$H:$H,ROW()-8))</f>
      </c>
      <c r="E985">
        <f>IF($A985="",1,INDEX(Transactions!$N:$N,ROW()-8))</f>
        <v>1</v>
      </c>
      <c r="F985" s="30">
        <f>IF($A985="",0,INDEX(Transactions!$O:$O,ROW()-8))</f>
      </c>
      <c r="G985" s="30">
        <f>IF($A985="",0,INDEX(Transactions!$P:$P,ROW()-8))</f>
      </c>
    </row>
    <row r="986" spans="1:7" ht="15" customHeight="1" x14ac:dyDescent="0.15">
      <c r="A986">
        <f>IF(INDEX(Transactions!$J:$J,ROW()-8)="","",INDEX(Transactions!$J:$J,ROW()-8))</f>
      </c>
      <c r="B986" s="297">
        <f>IF($A986="",TODAY(),INDEX(Transactions!$G:$G,ROW()-8))</f>
      </c>
      <c r="C986">
        <f>IF($A986="","",INDEX(Transactions!$A:$A,ROW()-8))</f>
      </c>
      <c r="D986" s="30">
        <f>IF($A986="",0,INDEX(Transactions!$H:$H,ROW()-8))</f>
      </c>
      <c r="E986">
        <f>IF($A986="",1,INDEX(Transactions!$N:$N,ROW()-8))</f>
        <v>1</v>
      </c>
      <c r="F986" s="30">
        <f>IF($A986="",0,INDEX(Transactions!$O:$O,ROW()-8))</f>
      </c>
      <c r="G986" s="30">
        <f>IF($A986="",0,INDEX(Transactions!$P:$P,ROW()-8))</f>
      </c>
    </row>
    <row r="987" spans="1:7" ht="15" customHeight="1" x14ac:dyDescent="0.15">
      <c r="A987">
        <f>IF(INDEX(Transactions!$J:$J,ROW()-8)="","",INDEX(Transactions!$J:$J,ROW()-8))</f>
      </c>
      <c r="B987" s="297">
        <f>IF($A987="",TODAY(),INDEX(Transactions!$G:$G,ROW()-8))</f>
      </c>
      <c r="C987">
        <f>IF($A987="","",INDEX(Transactions!$A:$A,ROW()-8))</f>
      </c>
      <c r="D987" s="30">
        <f>IF($A987="",0,INDEX(Transactions!$H:$H,ROW()-8))</f>
      </c>
      <c r="E987">
        <f>IF($A987="",1,INDEX(Transactions!$N:$N,ROW()-8))</f>
        <v>1</v>
      </c>
      <c r="F987" s="30">
        <f>IF($A987="",0,INDEX(Transactions!$O:$O,ROW()-8))</f>
      </c>
      <c r="G987" s="30">
        <f>IF($A987="",0,INDEX(Transactions!$P:$P,ROW()-8))</f>
      </c>
    </row>
    <row r="988" spans="1:7" ht="15" customHeight="1" x14ac:dyDescent="0.15">
      <c r="A988">
        <f>IF(INDEX(Transactions!$J:$J,ROW()-8)="","",INDEX(Transactions!$J:$J,ROW()-8))</f>
      </c>
      <c r="B988" s="297">
        <f>IF($A988="",TODAY(),INDEX(Transactions!$G:$G,ROW()-8))</f>
      </c>
      <c r="C988">
        <f>IF($A988="","",INDEX(Transactions!$A:$A,ROW()-8))</f>
      </c>
      <c r="D988" s="30">
        <f>IF($A988="",0,INDEX(Transactions!$H:$H,ROW()-8))</f>
      </c>
      <c r="E988">
        <f>IF($A988="",1,INDEX(Transactions!$N:$N,ROW()-8))</f>
        <v>1</v>
      </c>
      <c r="F988" s="30">
        <f>IF($A988="",0,INDEX(Transactions!$O:$O,ROW()-8))</f>
      </c>
      <c r="G988" s="30">
        <f>IF($A988="",0,INDEX(Transactions!$P:$P,ROW()-8))</f>
      </c>
    </row>
    <row r="989" spans="1:7" ht="15" customHeight="1" x14ac:dyDescent="0.15">
      <c r="A989">
        <f>IF(INDEX(Transactions!$J:$J,ROW()-8)="","",INDEX(Transactions!$J:$J,ROW()-8))</f>
      </c>
      <c r="B989" s="297">
        <f>IF($A989="",TODAY(),INDEX(Transactions!$G:$G,ROW()-8))</f>
      </c>
      <c r="C989">
        <f>IF($A989="","",INDEX(Transactions!$A:$A,ROW()-8))</f>
      </c>
      <c r="D989" s="30">
        <f>IF($A989="",0,INDEX(Transactions!$H:$H,ROW()-8))</f>
      </c>
      <c r="E989">
        <f>IF($A989="",1,INDEX(Transactions!$N:$N,ROW()-8))</f>
        <v>1</v>
      </c>
      <c r="F989" s="30">
        <f>IF($A989="",0,INDEX(Transactions!$O:$O,ROW()-8))</f>
      </c>
      <c r="G989" s="30">
        <f>IF($A989="",0,INDEX(Transactions!$P:$P,ROW()-8))</f>
      </c>
    </row>
    <row r="990" spans="1:7" ht="15" customHeight="1" x14ac:dyDescent="0.15">
      <c r="A990">
        <f>IF(INDEX(Transactions!$J:$J,ROW()-8)="","",INDEX(Transactions!$J:$J,ROW()-8))</f>
      </c>
      <c r="B990" s="297">
        <f>IF($A990="",TODAY(),INDEX(Transactions!$G:$G,ROW()-8))</f>
      </c>
      <c r="C990">
        <f>IF($A990="","",INDEX(Transactions!$A:$A,ROW()-8))</f>
      </c>
      <c r="D990" s="30">
        <f>IF($A990="",0,INDEX(Transactions!$H:$H,ROW()-8))</f>
      </c>
      <c r="E990">
        <f>IF($A990="",1,INDEX(Transactions!$N:$N,ROW()-8))</f>
        <v>1</v>
      </c>
      <c r="F990" s="30">
        <f>IF($A990="",0,INDEX(Transactions!$O:$O,ROW()-8))</f>
      </c>
      <c r="G990" s="30">
        <f>IF($A990="",0,INDEX(Transactions!$P:$P,ROW()-8))</f>
      </c>
    </row>
    <row r="991" spans="1:7" ht="15" customHeight="1" x14ac:dyDescent="0.15">
      <c r="A991">
        <f>IF(INDEX(Transactions!$J:$J,ROW()-8)="","",INDEX(Transactions!$J:$J,ROW()-8))</f>
      </c>
      <c r="B991" s="297">
        <f>IF($A991="",TODAY(),INDEX(Transactions!$G:$G,ROW()-8))</f>
      </c>
      <c r="C991">
        <f>IF($A991="","",INDEX(Transactions!$A:$A,ROW()-8))</f>
      </c>
      <c r="D991" s="30">
        <f>IF($A991="",0,INDEX(Transactions!$H:$H,ROW()-8))</f>
      </c>
      <c r="E991">
        <f>IF($A991="",1,INDEX(Transactions!$N:$N,ROW()-8))</f>
        <v>1</v>
      </c>
      <c r="F991" s="30">
        <f>IF($A991="",0,INDEX(Transactions!$O:$O,ROW()-8))</f>
      </c>
      <c r="G991" s="30">
        <f>IF($A991="",0,INDEX(Transactions!$P:$P,ROW()-8))</f>
      </c>
    </row>
    <row r="992" spans="1:7" ht="15" customHeight="1" x14ac:dyDescent="0.15">
      <c r="A992">
        <f>IF(INDEX(Transactions!$J:$J,ROW()-8)="","",INDEX(Transactions!$J:$J,ROW()-8))</f>
      </c>
      <c r="B992" s="297">
        <f>IF($A992="",TODAY(),INDEX(Transactions!$G:$G,ROW()-8))</f>
      </c>
      <c r="C992">
        <f>IF($A992="","",INDEX(Transactions!$A:$A,ROW()-8))</f>
      </c>
      <c r="D992" s="30">
        <f>IF($A992="",0,INDEX(Transactions!$H:$H,ROW()-8))</f>
      </c>
      <c r="E992">
        <f>IF($A992="",1,INDEX(Transactions!$N:$N,ROW()-8))</f>
        <v>1</v>
      </c>
      <c r="F992" s="30">
        <f>IF($A992="",0,INDEX(Transactions!$O:$O,ROW()-8))</f>
      </c>
      <c r="G992" s="30">
        <f>IF($A992="",0,INDEX(Transactions!$P:$P,ROW()-8))</f>
      </c>
    </row>
    <row r="993" spans="1:7" ht="15" customHeight="1" x14ac:dyDescent="0.15">
      <c r="A993">
        <f>IF(INDEX(Transactions!$J:$J,ROW()-8)="","",INDEX(Transactions!$J:$J,ROW()-8))</f>
      </c>
      <c r="B993" s="297">
        <f>IF($A993="",TODAY(),INDEX(Transactions!$G:$G,ROW()-8))</f>
      </c>
      <c r="C993">
        <f>IF($A993="","",INDEX(Transactions!$A:$A,ROW()-8))</f>
      </c>
      <c r="D993" s="30">
        <f>IF($A993="",0,INDEX(Transactions!$H:$H,ROW()-8))</f>
      </c>
      <c r="E993">
        <f>IF($A993="",1,INDEX(Transactions!$N:$N,ROW()-8))</f>
        <v>1</v>
      </c>
      <c r="F993" s="30">
        <f>IF($A993="",0,INDEX(Transactions!$O:$O,ROW()-8))</f>
      </c>
      <c r="G993" s="30">
        <f>IF($A993="",0,INDEX(Transactions!$P:$P,ROW()-8))</f>
      </c>
    </row>
    <row r="994" spans="1:7" ht="15" customHeight="1" x14ac:dyDescent="0.15">
      <c r="A994">
        <f>IF(INDEX(Transactions!$J:$J,ROW()-8)="","",INDEX(Transactions!$J:$J,ROW()-8))</f>
      </c>
      <c r="B994" s="297">
        <f>IF($A994="",TODAY(),INDEX(Transactions!$G:$G,ROW()-8))</f>
      </c>
      <c r="C994">
        <f>IF($A994="","",INDEX(Transactions!$A:$A,ROW()-8))</f>
      </c>
      <c r="D994" s="30">
        <f>IF($A994="",0,INDEX(Transactions!$H:$H,ROW()-8))</f>
      </c>
      <c r="E994">
        <f>IF($A994="",1,INDEX(Transactions!$N:$N,ROW()-8))</f>
        <v>1</v>
      </c>
      <c r="F994" s="30">
        <f>IF($A994="",0,INDEX(Transactions!$O:$O,ROW()-8))</f>
      </c>
      <c r="G994" s="30">
        <f>IF($A994="",0,INDEX(Transactions!$P:$P,ROW()-8))</f>
      </c>
    </row>
    <row r="995" spans="1:7" ht="15" customHeight="1" x14ac:dyDescent="0.15">
      <c r="A995">
        <f>IF(INDEX(Transactions!$J:$J,ROW()-8)="","",INDEX(Transactions!$J:$J,ROW()-8))</f>
      </c>
      <c r="B995" s="297">
        <f>IF($A995="",TODAY(),INDEX(Transactions!$G:$G,ROW()-8))</f>
      </c>
      <c r="C995">
        <f>IF($A995="","",INDEX(Transactions!$A:$A,ROW()-8))</f>
      </c>
      <c r="D995" s="30">
        <f>IF($A995="",0,INDEX(Transactions!$H:$H,ROW()-8))</f>
      </c>
      <c r="E995">
        <f>IF($A995="",1,INDEX(Transactions!$N:$N,ROW()-8))</f>
        <v>1</v>
      </c>
      <c r="F995" s="30">
        <f>IF($A995="",0,INDEX(Transactions!$O:$O,ROW()-8))</f>
      </c>
      <c r="G995" s="30">
        <f>IF($A995="",0,INDEX(Transactions!$P:$P,ROW()-8))</f>
      </c>
    </row>
    <row r="996" spans="1:7" ht="15" customHeight="1" x14ac:dyDescent="0.15">
      <c r="A996">
        <f>IF(INDEX(Transactions!$J:$J,ROW()-8)="","",INDEX(Transactions!$J:$J,ROW()-8))</f>
      </c>
      <c r="B996" s="297">
        <f>IF($A996="",TODAY(),INDEX(Transactions!$G:$G,ROW()-8))</f>
      </c>
      <c r="C996">
        <f>IF($A996="","",INDEX(Transactions!$A:$A,ROW()-8))</f>
      </c>
      <c r="D996" s="30">
        <f>IF($A996="",0,INDEX(Transactions!$H:$H,ROW()-8))</f>
      </c>
      <c r="E996">
        <f>IF($A996="",1,INDEX(Transactions!$N:$N,ROW()-8))</f>
        <v>1</v>
      </c>
      <c r="F996" s="30">
        <f>IF($A996="",0,INDEX(Transactions!$O:$O,ROW()-8))</f>
      </c>
      <c r="G996" s="30">
        <f>IF($A996="",0,INDEX(Transactions!$P:$P,ROW()-8))</f>
      </c>
    </row>
    <row r="997" spans="1:7" ht="15" customHeight="1" x14ac:dyDescent="0.15">
      <c r="A997">
        <f>IF(INDEX(Transactions!$J:$J,ROW()-8)="","",INDEX(Transactions!$J:$J,ROW()-8))</f>
      </c>
      <c r="B997" s="297">
        <f>IF($A997="",TODAY(),INDEX(Transactions!$G:$G,ROW()-8))</f>
      </c>
      <c r="C997">
        <f>IF($A997="","",INDEX(Transactions!$A:$A,ROW()-8))</f>
      </c>
      <c r="D997" s="30">
        <f>IF($A997="",0,INDEX(Transactions!$H:$H,ROW()-8))</f>
      </c>
      <c r="E997">
        <f>IF($A997="",1,INDEX(Transactions!$N:$N,ROW()-8))</f>
        <v>1</v>
      </c>
      <c r="F997" s="30">
        <f>IF($A997="",0,INDEX(Transactions!$O:$O,ROW()-8))</f>
      </c>
      <c r="G997" s="30">
        <f>IF($A997="",0,INDEX(Transactions!$P:$P,ROW()-8))</f>
      </c>
    </row>
    <row r="998" spans="1:7" ht="15" customHeight="1" x14ac:dyDescent="0.15">
      <c r="A998">
        <f>IF(INDEX(Transactions!$J:$J,ROW()-8)="","",INDEX(Transactions!$J:$J,ROW()-8))</f>
      </c>
      <c r="B998" s="297">
        <f>IF($A998="",TODAY(),INDEX(Transactions!$G:$G,ROW()-8))</f>
      </c>
      <c r="C998">
        <f>IF($A998="","",INDEX(Transactions!$A:$A,ROW()-8))</f>
      </c>
      <c r="D998" s="30">
        <f>IF($A998="",0,INDEX(Transactions!$H:$H,ROW()-8))</f>
      </c>
      <c r="E998">
        <f>IF($A998="",1,INDEX(Transactions!$N:$N,ROW()-8))</f>
        <v>1</v>
      </c>
      <c r="F998" s="30">
        <f>IF($A998="",0,INDEX(Transactions!$O:$O,ROW()-8))</f>
      </c>
      <c r="G998" s="30">
        <f>IF($A998="",0,INDEX(Transactions!$P:$P,ROW()-8))</f>
      </c>
    </row>
    <row r="999" spans="1:7" ht="15" customHeight="1" x14ac:dyDescent="0.15">
      <c r="A999">
        <f>IF(INDEX(Transactions!$J:$J,ROW()-8)="","",INDEX(Transactions!$J:$J,ROW()-8))</f>
      </c>
      <c r="B999" s="297">
        <f>IF($A999="",TODAY(),INDEX(Transactions!$G:$G,ROW()-8))</f>
      </c>
      <c r="C999">
        <f>IF($A999="","",INDEX(Transactions!$A:$A,ROW()-8))</f>
      </c>
      <c r="D999" s="30">
        <f>IF($A999="",0,INDEX(Transactions!$H:$H,ROW()-8))</f>
      </c>
      <c r="E999">
        <f>IF($A999="",1,INDEX(Transactions!$N:$N,ROW()-8))</f>
        <v>1</v>
      </c>
      <c r="F999" s="30">
        <f>IF($A999="",0,INDEX(Transactions!$O:$O,ROW()-8))</f>
      </c>
      <c r="G999" s="30">
        <f>IF($A999="",0,INDEX(Transactions!$P:$P,ROW()-8))</f>
      </c>
    </row>
    <row r="1000" spans="1:7" ht="15" customHeight="1" x14ac:dyDescent="0.15">
      <c r="A1000">
        <f>IF(INDEX(Transactions!$J:$J,ROW()-8)="","",INDEX(Transactions!$J:$J,ROW()-8))</f>
      </c>
      <c r="B1000" s="297">
        <f>IF($A1000="",TODAY(),INDEX(Transactions!$G:$G,ROW()-8))</f>
      </c>
      <c r="C1000">
        <f>IF($A1000="","",INDEX(Transactions!$A:$A,ROW()-8))</f>
      </c>
      <c r="D1000" s="30">
        <f>IF($A1000="",0,INDEX(Transactions!$H:$H,ROW()-8))</f>
      </c>
      <c r="E1000">
        <f>IF($A1000="",1,INDEX(Transactions!$N:$N,ROW()-8))</f>
        <v>1</v>
      </c>
      <c r="F1000" s="30">
        <f>IF($A1000="",0,INDEX(Transactions!$O:$O,ROW()-8))</f>
      </c>
      <c r="G1000" s="30">
        <f>IF($A1000="",0,INDEX(Transactions!$P:$P,ROW()-8))</f>
      </c>
    </row>
    <row r="1001" spans="1:7" ht="15" customHeight="1" x14ac:dyDescent="0.15">
      <c r="A1001">
        <f>IF(INDEX(Transactions!$J:$J,ROW()-8)="","",INDEX(Transactions!$J:$J,ROW()-8))</f>
      </c>
      <c r="B1001" s="297">
        <f>IF($A1001="",TODAY(),INDEX(Transactions!$G:$G,ROW()-8))</f>
      </c>
      <c r="C1001">
        <f>IF($A1001="","",INDEX(Transactions!$A:$A,ROW()-8))</f>
      </c>
      <c r="D1001" s="30">
        <f>IF($A1001="",0,INDEX(Transactions!$H:$H,ROW()-8))</f>
      </c>
      <c r="E1001">
        <f>IF($A1001="",1,INDEX(Transactions!$N:$N,ROW()-8))</f>
        <v>1</v>
      </c>
      <c r="F1001" s="30">
        <f>IF($A1001="",0,INDEX(Transactions!$O:$O,ROW()-8))</f>
      </c>
      <c r="G1001" s="30">
        <f>IF($A1001="",0,INDEX(Transactions!$P:$P,ROW()-8))</f>
      </c>
    </row>
    <row r="1002" spans="1:7" ht="15" customHeight="1" x14ac:dyDescent="0.15">
      <c r="A1002">
        <f>IF(INDEX(Transactions!$J:$J,ROW()-8)="","",INDEX(Transactions!$J:$J,ROW()-8))</f>
      </c>
      <c r="B1002" s="297">
        <f>IF($A1002="",TODAY(),INDEX(Transactions!$G:$G,ROW()-8))</f>
      </c>
      <c r="C1002">
        <f>IF($A1002="","",INDEX(Transactions!$A:$A,ROW()-8))</f>
      </c>
      <c r="D1002" s="30">
        <f>IF($A1002="",0,INDEX(Transactions!$H:$H,ROW()-8))</f>
      </c>
      <c r="E1002">
        <f>IF($A1002="",1,INDEX(Transactions!$N:$N,ROW()-8))</f>
        <v>1</v>
      </c>
      <c r="F1002" s="30">
        <f>IF($A1002="",0,INDEX(Transactions!$O:$O,ROW()-8))</f>
      </c>
      <c r="G1002" s="30">
        <f>IF($A1002="",0,INDEX(Transactions!$P:$P,ROW()-8))</f>
      </c>
    </row>
    <row r="1003" spans="1:7" ht="15" customHeight="1" x14ac:dyDescent="0.15">
      <c r="A1003">
        <f>IF(INDEX(Transactions!$J:$J,ROW()-8)="","",INDEX(Transactions!$J:$J,ROW()-8))</f>
      </c>
      <c r="B1003" s="297">
        <f>IF($A1003="",TODAY(),INDEX(Transactions!$G:$G,ROW()-8))</f>
      </c>
      <c r="C1003">
        <f>IF($A1003="","",INDEX(Transactions!$A:$A,ROW()-8))</f>
      </c>
      <c r="D1003" s="30">
        <f>IF($A1003="",0,INDEX(Transactions!$H:$H,ROW()-8))</f>
      </c>
      <c r="E1003">
        <f>IF($A1003="",1,INDEX(Transactions!$N:$N,ROW()-8))</f>
        <v>1</v>
      </c>
      <c r="F1003" s="30">
        <f>IF($A1003="",0,INDEX(Transactions!$O:$O,ROW()-8))</f>
      </c>
      <c r="G1003" s="30">
        <f>IF($A1003="",0,INDEX(Transactions!$P:$P,ROW()-8))</f>
      </c>
    </row>
    <row r="1004" spans="1:7" ht="15" customHeight="1" x14ac:dyDescent="0.15">
      <c r="A1004">
        <f>IF(INDEX(Transactions!$J:$J,ROW()-8)="","",INDEX(Transactions!$J:$J,ROW()-8))</f>
      </c>
      <c r="B1004" s="297">
        <f>IF($A1004="",TODAY(),INDEX(Transactions!$G:$G,ROW()-8))</f>
      </c>
      <c r="C1004">
        <f>IF($A1004="","",INDEX(Transactions!$A:$A,ROW()-8))</f>
      </c>
      <c r="D1004" s="30">
        <f>IF($A1004="",0,INDEX(Transactions!$H:$H,ROW()-8))</f>
      </c>
      <c r="E1004">
        <f>IF($A1004="",1,INDEX(Transactions!$N:$N,ROW()-8))</f>
        <v>1</v>
      </c>
      <c r="F1004" s="30">
        <f>IF($A1004="",0,INDEX(Transactions!$O:$O,ROW()-8))</f>
      </c>
      <c r="G1004" s="30">
        <f>IF($A1004="",0,INDEX(Transactions!$P:$P,ROW()-8))</f>
      </c>
    </row>
    <row r="1005" spans="1:7" ht="15" customHeight="1" x14ac:dyDescent="0.15">
      <c r="A1005">
        <f>IF(INDEX(Transactions!$J:$J,ROW()-8)="","",INDEX(Transactions!$J:$J,ROW()-8))</f>
      </c>
      <c r="B1005" s="297">
        <f>IF($A1005="",TODAY(),INDEX(Transactions!$G:$G,ROW()-8))</f>
      </c>
      <c r="C1005">
        <f>IF($A1005="","",INDEX(Transactions!$A:$A,ROW()-8))</f>
      </c>
      <c r="D1005" s="30">
        <f>IF($A1005="",0,INDEX(Transactions!$H:$H,ROW()-8))</f>
      </c>
      <c r="E1005">
        <f>IF($A1005="",1,INDEX(Transactions!$N:$N,ROW()-8))</f>
        <v>1</v>
      </c>
      <c r="F1005" s="30">
        <f>IF($A1005="",0,INDEX(Transactions!$O:$O,ROW()-8))</f>
      </c>
      <c r="G1005" s="30">
        <f>IF($A1005="",0,INDEX(Transactions!$P:$P,ROW()-8))</f>
      </c>
    </row>
    <row r="1006" spans="1:7" ht="15" customHeight="1" x14ac:dyDescent="0.15">
      <c r="A1006">
        <f>IF(INDEX(Transactions!$J:$J,ROW()-8)="","",INDEX(Transactions!$J:$J,ROW()-8))</f>
      </c>
      <c r="B1006" s="297">
        <f>IF($A1006="",TODAY(),INDEX(Transactions!$G:$G,ROW()-8))</f>
      </c>
      <c r="C1006">
        <f>IF($A1006="","",INDEX(Transactions!$A:$A,ROW()-8))</f>
      </c>
      <c r="D1006" s="30">
        <f>IF($A1006="",0,INDEX(Transactions!$H:$H,ROW()-8))</f>
      </c>
      <c r="E1006">
        <f>IF($A1006="",1,INDEX(Transactions!$N:$N,ROW()-8))</f>
        <v>1</v>
      </c>
      <c r="F1006" s="30">
        <f>IF($A1006="",0,INDEX(Transactions!$O:$O,ROW()-8))</f>
      </c>
      <c r="G1006" s="30">
        <f>IF($A1006="",0,INDEX(Transactions!$P:$P,ROW()-8))</f>
      </c>
    </row>
    <row r="1007" spans="1:7" ht="15" customHeight="1" x14ac:dyDescent="0.15">
      <c r="A1007">
        <f>IF(INDEX(Transactions!$J:$J,ROW()-8)="","",INDEX(Transactions!$J:$J,ROW()-8))</f>
      </c>
      <c r="B1007" s="297">
        <f>IF($A1007="",TODAY(),INDEX(Transactions!$G:$G,ROW()-8))</f>
      </c>
      <c r="C1007">
        <f>IF($A1007="","",INDEX(Transactions!$A:$A,ROW()-8))</f>
      </c>
      <c r="D1007" s="30">
        <f>IF($A1007="",0,INDEX(Transactions!$H:$H,ROW()-8))</f>
      </c>
      <c r="E1007">
        <f>IF($A1007="",1,INDEX(Transactions!$N:$N,ROW()-8))</f>
        <v>1</v>
      </c>
      <c r="F1007" s="30">
        <f>IF($A1007="",0,INDEX(Transactions!$O:$O,ROW()-8))</f>
      </c>
      <c r="G1007" s="30">
        <f>IF($A1007="",0,INDEX(Transactions!$P:$P,ROW()-8))</f>
      </c>
    </row>
    <row r="1008" spans="1:7" ht="15" customHeight="1" x14ac:dyDescent="0.15">
      <c r="A1008">
        <f>IF(INDEX(Transactions!$J:$J,ROW()-8)="","",INDEX(Transactions!$J:$J,ROW()-8))</f>
      </c>
      <c r="B1008" s="297">
        <f>IF($A1008="",TODAY(),INDEX(Transactions!$G:$G,ROW()-8))</f>
      </c>
      <c r="C1008">
        <f>IF($A1008="","",INDEX(Transactions!$A:$A,ROW()-8))</f>
      </c>
      <c r="D1008" s="30">
        <f>IF($A1008="",0,INDEX(Transactions!$H:$H,ROW()-8))</f>
      </c>
      <c r="E1008">
        <f>IF($A1008="",1,INDEX(Transactions!$N:$N,ROW()-8))</f>
        <v>1</v>
      </c>
      <c r="F1008" s="30">
        <f>IF($A1008="",0,INDEX(Transactions!$O:$O,ROW()-8))</f>
      </c>
      <c r="G1008" s="30">
        <f>IF($A1008="",0,INDEX(Transactions!$P:$P,ROW()-8))</f>
      </c>
    </row>
    <row r="1009" spans="1:7" ht="15" customHeight="1" x14ac:dyDescent="0.15">
      <c r="A1009">
        <f>IF(INDEX(Transactions!$J:$J,ROW()-8)="","",INDEX(Transactions!$J:$J,ROW()-8))</f>
      </c>
      <c r="B1009" s="297">
        <f>IF($A1009="",TODAY(),INDEX(Transactions!$G:$G,ROW()-8))</f>
      </c>
      <c r="C1009">
        <f>IF($A1009="","",INDEX(Transactions!$A:$A,ROW()-8))</f>
      </c>
      <c r="D1009" s="30">
        <f>IF($A1009="",0,INDEX(Transactions!$H:$H,ROW()-8))</f>
      </c>
      <c r="E1009">
        <f>IF($A1009="",1,INDEX(Transactions!$N:$N,ROW()-8))</f>
        <v>1</v>
      </c>
      <c r="F1009" s="30">
        <f>IF($A1009="",0,INDEX(Transactions!$O:$O,ROW()-8))</f>
      </c>
      <c r="G1009" s="30">
        <f>IF($A1009="",0,INDEX(Transactions!$P:$P,ROW()-8))</f>
      </c>
    </row>
    <row r="1010" spans="1:7">
      <c r="B1010">
        <f>IF(INDEX(Transactions!$J:$J,ROW()-8)="",TODAY(),INDEX(Transactions!$G:$G,ROW()-8))</f>
      </c>
      <c r="F1010">
        <f>IF(INDEX(Transactions!$J:$J,ROW()-8)="",0,INDEX(Transactions!$O:$O,ROW()-8))</f>
      </c>
    </row>
    <row r="1011" spans="1:7">
      <c r="B1011">
        <f>IF(INDEX(Transactions!$J:$J,ROW()-8)="",TODAY(),INDEX(Transactions!$G:$G,ROW()-8))</f>
      </c>
      <c r="F1011">
        <f>IF(INDEX(Transactions!$J:$J,ROW()-8)="",0,INDEX(Transactions!$O:$O,ROW()-8))</f>
      </c>
    </row>
    <row r="1012" spans="1:7">
      <c r="B1012">
        <f>IF(INDEX(Transactions!$J:$J,ROW()-8)="",TODAY(),INDEX(Transactions!$G:$G,ROW()-8))</f>
      </c>
      <c r="F1012">
        <f>IF(INDEX(Transactions!$J:$J,ROW()-8)="",0,INDEX(Transactions!$O:$O,ROW()-8))</f>
      </c>
    </row>
    <row r="1013" spans="1:7">
      <c r="B1013">
        <f>IF(INDEX(Transactions!$J:$J,ROW()-8)="",TODAY(),INDEX(Transactions!$G:$G,ROW()-8))</f>
      </c>
      <c r="F1013">
        <f>IF(INDEX(Transactions!$J:$J,ROW()-8)="",0,INDEX(Transactions!$O:$O,ROW()-8))</f>
      </c>
    </row>
    <row r="1014" spans="1:7">
      <c r="B1014">
        <f>IF(INDEX(Transactions!$J:$J,ROW()-8)="",TODAY(),INDEX(Transactions!$G:$G,ROW()-8))</f>
      </c>
      <c r="F1014">
        <f>IF(INDEX(Transactions!$J:$J,ROW()-8)="",0,INDEX(Transactions!$O:$O,ROW()-8))</f>
      </c>
    </row>
    <row r="1015" spans="1:7">
      <c r="B1015">
        <f>IF(INDEX(Transactions!$J:$J,ROW()-8)="",TODAY(),INDEX(Transactions!$G:$G,ROW()-8))</f>
      </c>
      <c r="F1015">
        <f>IF(INDEX(Transactions!$J:$J,ROW()-8)="",0,INDEX(Transactions!$O:$O,ROW()-8))</f>
      </c>
    </row>
    <row r="1016" spans="1:7">
      <c r="B1016">
        <f>IF(INDEX(Transactions!$J:$J,ROW()-8)="",TODAY(),INDEX(Transactions!$G:$G,ROW()-8))</f>
      </c>
      <c r="F1016">
        <f>IF(INDEX(Transactions!$J:$J,ROW()-8)="",0,INDEX(Transactions!$O:$O,ROW()-8))</f>
      </c>
    </row>
    <row r="1017" spans="1:7">
      <c r="B1017">
        <f>IF(INDEX(Transactions!$J:$J,ROW()-8)="",TODAY(),INDEX(Transactions!$G:$G,ROW()-8))</f>
      </c>
      <c r="F1017">
        <f>IF(INDEX(Transactions!$J:$J,ROW()-8)="",0,INDEX(Transactions!$O:$O,ROW()-8))</f>
      </c>
    </row>
    <row r="1018" spans="1:7">
      <c r="B1018">
        <f>IF(INDEX(Transactions!$J:$J,ROW()-8)="",TODAY(),INDEX(Transactions!$G:$G,ROW()-8))</f>
      </c>
      <c r="F1018">
        <f>IF(INDEX(Transactions!$J:$J,ROW()-8)="",0,INDEX(Transactions!$O:$O,ROW()-8))</f>
      </c>
    </row>
    <row r="1019" spans="1:7">
      <c r="B1019">
        <f>IF(INDEX(Transactions!$J:$J,ROW()-8)="",TODAY(),INDEX(Transactions!$G:$G,ROW()-8))</f>
      </c>
      <c r="F1019">
        <f>IF(INDEX(Transactions!$J:$J,ROW()-8)="",0,INDEX(Transactions!$O:$O,ROW()-8))</f>
      </c>
    </row>
    <row r="1020" spans="1:7">
      <c r="B1020">
        <f>IF(INDEX(Transactions!$J:$J,ROW()-8)="",TODAY(),INDEX(Transactions!$G:$G,ROW()-8))</f>
      </c>
      <c r="F1020">
        <f>IF(INDEX(Transactions!$J:$J,ROW()-8)="",0,INDEX(Transactions!$O:$O,ROW()-8))</f>
      </c>
    </row>
    <row r="1021" spans="1:7">
      <c r="B1021">
        <f>IF(INDEX(Transactions!$J:$J,ROW()-8)="",TODAY(),INDEX(Transactions!$G:$G,ROW()-8))</f>
      </c>
      <c r="F1021">
        <f>IF(INDEX(Transactions!$J:$J,ROW()-8)="",0,INDEX(Transactions!$O:$O,ROW()-8))</f>
      </c>
    </row>
    <row r="1022" spans="1:7">
      <c r="B1022">
        <f>IF(INDEX(Transactions!$J:$J,ROW()-8)="",TODAY(),INDEX(Transactions!$G:$G,ROW()-8))</f>
      </c>
      <c r="F1022">
        <f>IF(INDEX(Transactions!$J:$J,ROW()-8)="",0,INDEX(Transactions!$O:$O,ROW()-8))</f>
      </c>
    </row>
    <row r="1023" spans="1:7">
      <c r="B1023">
        <f>IF(INDEX(Transactions!$J:$J,ROW()-8)="",TODAY(),INDEX(Transactions!$G:$G,ROW()-8))</f>
      </c>
      <c r="F1023">
        <f>IF(INDEX(Transactions!$J:$J,ROW()-8)="",0,INDEX(Transactions!$O:$O,ROW()-8))</f>
      </c>
    </row>
    <row r="1024" spans="1:7">
      <c r="B1024">
        <f>IF(INDEX(Transactions!$J:$J,ROW()-8)="",TODAY(),INDEX(Transactions!$G:$G,ROW()-8))</f>
      </c>
      <c r="F1024">
        <f>IF(INDEX(Transactions!$J:$J,ROW()-8)="",0,INDEX(Transactions!$O:$O,ROW()-8))</f>
      </c>
    </row>
    <row r="1025" spans="1:7">
      <c r="B1025">
        <f>IF(INDEX(Transactions!$J:$J,ROW()-8)="",TODAY(),INDEX(Transactions!$G:$G,ROW()-8))</f>
      </c>
      <c r="F1025">
        <f>IF(INDEX(Transactions!$J:$J,ROW()-8)="",0,INDEX(Transactions!$O:$O,ROW()-8))</f>
      </c>
    </row>
    <row r="1026" spans="1:7">
      <c r="B1026">
        <f>IF(INDEX(Transactions!$J:$J,ROW()-8)="",TODAY(),INDEX(Transactions!$G:$G,ROW()-8))</f>
      </c>
      <c r="F1026">
        <f>IF(INDEX(Transactions!$J:$J,ROW()-8)="",0,INDEX(Transactions!$O:$O,ROW()-8))</f>
      </c>
    </row>
    <row r="1027" spans="1:7">
      <c r="B1027">
        <f>IF(INDEX(Transactions!$J:$J,ROW()-8)="",TODAY(),INDEX(Transactions!$G:$G,ROW()-8))</f>
      </c>
      <c r="F1027">
        <f>IF(INDEX(Transactions!$J:$J,ROW()-8)="",0,INDEX(Transactions!$O:$O,ROW()-8))</f>
      </c>
    </row>
    <row r="1028" spans="1:7">
      <c r="B1028">
        <f>IF(INDEX(Transactions!$J:$J,ROW()-8)="",TODAY(),INDEX(Transactions!$G:$G,ROW()-8))</f>
      </c>
      <c r="F1028">
        <f>IF(INDEX(Transactions!$J:$J,ROW()-8)="",0,INDEX(Transactions!$O:$O,ROW()-8))</f>
      </c>
    </row>
    <row r="1029" spans="1:7">
      <c r="B1029">
        <f>IF(INDEX(Transactions!$J:$J,ROW()-8)="",TODAY(),INDEX(Transactions!$G:$G,ROW()-8))</f>
      </c>
      <c r="F1029">
        <f>IF(INDEX(Transactions!$J:$J,ROW()-8)="",0,INDEX(Transactions!$O:$O,ROW()-8))</f>
      </c>
    </row>
    <row r="1030" spans="1:7">
      <c r="B1030">
        <f>IF(INDEX(Transactions!$J:$J,ROW()-8)="",TODAY(),INDEX(Transactions!$G:$G,ROW()-8))</f>
      </c>
      <c r="F1030">
        <f>IF(INDEX(Transactions!$J:$J,ROW()-8)="",0,INDEX(Transactions!$O:$O,ROW()-8))</f>
      </c>
    </row>
    <row r="1031" spans="1:7">
      <c r="B1031">
        <f>IF(INDEX(Transactions!$J:$J,ROW()-8)="",TODAY(),INDEX(Transactions!$G:$G,ROW()-8))</f>
      </c>
      <c r="F1031">
        <f>IF(INDEX(Transactions!$J:$J,ROW()-8)="",0,INDEX(Transactions!$O:$O,ROW()-8))</f>
      </c>
    </row>
    <row r="1032" spans="1:7">
      <c r="B1032">
        <f>IF(INDEX(Transactions!$J:$J,ROW()-8)="",TODAY(),INDEX(Transactions!$G:$G,ROW()-8))</f>
      </c>
      <c r="F1032">
        <f>IF(INDEX(Transactions!$J:$J,ROW()-8)="",0,INDEX(Transactions!$O:$O,ROW()-8))</f>
      </c>
    </row>
    <row r="1033" spans="1:7">
      <c r="B1033">
        <f>IF(INDEX(Transactions!$J:$J,ROW()-8)="",TODAY(),INDEX(Transactions!$G:$G,ROW()-8))</f>
      </c>
      <c r="F1033">
        <f>IF(INDEX(Transactions!$J:$J,ROW()-8)="",0,INDEX(Transactions!$O:$O,ROW()-8))</f>
      </c>
    </row>
    <row r="1034" spans="1:7">
      <c r="B1034">
        <f>IF(INDEX(Transactions!$J:$J,ROW()-8)="",TODAY(),INDEX(Transactions!$G:$G,ROW()-8))</f>
      </c>
      <c r="F1034">
        <f>IF(INDEX(Transactions!$J:$J,ROW()-8)="",0,INDEX(Transactions!$O:$O,ROW()-8))</f>
      </c>
    </row>
    <row r="1035" spans="1:7">
      <c r="B1035">
        <f>IF(INDEX(Transactions!$J:$J,ROW()-8)="",TODAY(),INDEX(Transactions!$G:$G,ROW()-8))</f>
      </c>
      <c r="F1035">
        <f>IF(INDEX(Transactions!$J:$J,ROW()-8)="",0,INDEX(Transactions!$O:$O,ROW()-8))</f>
      </c>
    </row>
    <row r="1036" spans="1:7">
      <c r="B1036">
        <f>IF(INDEX(Transactions!$J:$J,ROW()-8)="",TODAY(),INDEX(Transactions!$G:$G,ROW()-8))</f>
      </c>
      <c r="F1036">
        <f>IF(INDEX(Transactions!$J:$J,ROW()-8)="",0,INDEX(Transactions!$O:$O,ROW()-8))</f>
      </c>
    </row>
    <row r="1037" spans="1:7">
      <c r="B1037">
        <f>IF(INDEX(Transactions!$J:$J,ROW()-8)="",TODAY(),INDEX(Transactions!$G:$G,ROW()-8))</f>
      </c>
      <c r="F1037">
        <f>IF(INDEX(Transactions!$J:$J,ROW()-8)="",0,INDEX(Transactions!$O:$O,ROW()-8))</f>
      </c>
    </row>
    <row r="1038" spans="1:7">
      <c r="B1038">
        <f>IF(INDEX(Transactions!$J:$J,ROW()-8)="",TODAY(),INDEX(Transactions!$G:$G,ROW()-8))</f>
      </c>
      <c r="F1038">
        <f>IF(INDEX(Transactions!$J:$J,ROW()-8)="",0,INDEX(Transactions!$O:$O,ROW()-8))</f>
      </c>
    </row>
    <row r="1039" spans="1:7">
      <c r="B1039">
        <f>IF(INDEX(Transactions!$J:$J,ROW()-8)="",TODAY(),INDEX(Transactions!$G:$G,ROW()-8))</f>
      </c>
      <c r="F1039">
        <f>IF(INDEX(Transactions!$J:$J,ROW()-8)="",0,INDEX(Transactions!$O:$O,ROW()-8))</f>
      </c>
    </row>
    <row r="1040" spans="1:7">
      <c r="B1040">
        <f>IF(INDEX(Transactions!$J:$J,ROW()-8)="",TODAY(),INDEX(Transactions!$G:$G,ROW()-8))</f>
      </c>
      <c r="F1040">
        <f>IF(INDEX(Transactions!$J:$J,ROW()-8)="",0,INDEX(Transactions!$O:$O,ROW()-8))</f>
      </c>
    </row>
    <row r="1041" spans="1:7">
      <c r="B1041">
        <f>IF(INDEX(Transactions!$J:$J,ROW()-8)="",TODAY(),INDEX(Transactions!$G:$G,ROW()-8))</f>
      </c>
      <c r="F1041">
        <f>IF(INDEX(Transactions!$J:$J,ROW()-8)="",0,INDEX(Transactions!$O:$O,ROW()-8))</f>
      </c>
    </row>
    <row r="1042" spans="1:7">
      <c r="B1042">
        <f>IF(INDEX(Transactions!$J:$J,ROW()-8)="",TODAY(),INDEX(Transactions!$G:$G,ROW()-8))</f>
      </c>
      <c r="F1042">
        <f>IF(INDEX(Transactions!$J:$J,ROW()-8)="",0,INDEX(Transactions!$O:$O,ROW()-8))</f>
      </c>
    </row>
    <row r="1043" spans="1:7">
      <c r="B1043">
        <f>IF(INDEX(Transactions!$J:$J,ROW()-8)="",TODAY(),INDEX(Transactions!$G:$G,ROW()-8))</f>
      </c>
      <c r="F1043">
        <f>IF(INDEX(Transactions!$J:$J,ROW()-8)="",0,INDEX(Transactions!$O:$O,ROW()-8))</f>
      </c>
    </row>
    <row r="1044" spans="1:7">
      <c r="B1044">
        <f>IF(INDEX(Transactions!$J:$J,ROW()-8)="",TODAY(),INDEX(Transactions!$G:$G,ROW()-8))</f>
      </c>
      <c r="F1044">
        <f>IF(INDEX(Transactions!$J:$J,ROW()-8)="",0,INDEX(Transactions!$O:$O,ROW()-8))</f>
      </c>
    </row>
    <row r="1045" spans="1:7">
      <c r="B1045">
        <f>IF(INDEX(Transactions!$J:$J,ROW()-8)="",TODAY(),INDEX(Transactions!$G:$G,ROW()-8))</f>
      </c>
      <c r="F1045">
        <f>IF(INDEX(Transactions!$J:$J,ROW()-8)="",0,INDEX(Transactions!$O:$O,ROW()-8))</f>
      </c>
    </row>
    <row r="1046" spans="1:7">
      <c r="B1046">
        <f>IF(INDEX(Transactions!$J:$J,ROW()-8)="",TODAY(),INDEX(Transactions!$G:$G,ROW()-8))</f>
      </c>
      <c r="F1046">
        <f>IF(INDEX(Transactions!$J:$J,ROW()-8)="",0,INDEX(Transactions!$O:$O,ROW()-8))</f>
      </c>
    </row>
    <row r="1047" spans="1:7">
      <c r="B1047">
        <f>IF(INDEX(Transactions!$J:$J,ROW()-8)="",TODAY(),INDEX(Transactions!$G:$G,ROW()-8))</f>
      </c>
      <c r="F1047">
        <f>IF(INDEX(Transactions!$J:$J,ROW()-8)="",0,INDEX(Transactions!$O:$O,ROW()-8))</f>
      </c>
    </row>
    <row r="1048" spans="1:7">
      <c r="B1048">
        <f>IF(INDEX(Transactions!$J:$J,ROW()-8)="",TODAY(),INDEX(Transactions!$G:$G,ROW()-8))</f>
      </c>
      <c r="F1048">
        <f>IF(INDEX(Transactions!$J:$J,ROW()-8)="",0,INDEX(Transactions!$O:$O,ROW()-8))</f>
      </c>
    </row>
    <row r="1049" spans="1:7">
      <c r="B1049">
        <f>IF(INDEX(Transactions!$J:$J,ROW()-8)="",TODAY(),INDEX(Transactions!$G:$G,ROW()-8))</f>
      </c>
      <c r="F1049">
        <f>IF(INDEX(Transactions!$J:$J,ROW()-8)="",0,INDEX(Transactions!$O:$O,ROW()-8))</f>
      </c>
    </row>
    <row r="1050" spans="1:7">
      <c r="B1050">
        <f>IF(INDEX(Transactions!$J:$J,ROW()-8)="",TODAY(),INDEX(Transactions!$G:$G,ROW()-8))</f>
      </c>
      <c r="F1050">
        <f>IF(INDEX(Transactions!$J:$J,ROW()-8)="",0,INDEX(Transactions!$O:$O,ROW()-8))</f>
      </c>
    </row>
    <row r="1051" spans="1:7">
      <c r="B1051">
        <f>IF(INDEX(Transactions!$J:$J,ROW()-8)="",TODAY(),INDEX(Transactions!$G:$G,ROW()-8))</f>
      </c>
      <c r="F1051">
        <f>IF(INDEX(Transactions!$J:$J,ROW()-8)="",0,INDEX(Transactions!$O:$O,ROW()-8))</f>
      </c>
    </row>
    <row r="1052" spans="1:7">
      <c r="B1052">
        <f>IF(INDEX(Transactions!$J:$J,ROW()-8)="",TODAY(),INDEX(Transactions!$G:$G,ROW()-8))</f>
      </c>
      <c r="F1052">
        <f>IF(INDEX(Transactions!$J:$J,ROW()-8)="",0,INDEX(Transactions!$O:$O,ROW()-8))</f>
      </c>
    </row>
    <row r="1053" spans="1:7">
      <c r="B1053">
        <f>IF(INDEX(Transactions!$J:$J,ROW()-8)="",TODAY(),INDEX(Transactions!$G:$G,ROW()-8))</f>
      </c>
      <c r="F1053">
        <f>IF(INDEX(Transactions!$J:$J,ROW()-8)="",0,INDEX(Transactions!$O:$O,ROW()-8))</f>
      </c>
    </row>
    <row r="1054" spans="1:7">
      <c r="B1054">
        <f>IF(INDEX(Transactions!$J:$J,ROW()-8)="",TODAY(),INDEX(Transactions!$G:$G,ROW()-8))</f>
      </c>
      <c r="F1054">
        <f>IF(INDEX(Transactions!$J:$J,ROW()-8)="",0,INDEX(Transactions!$O:$O,ROW()-8))</f>
      </c>
    </row>
    <row r="1055" spans="1:7">
      <c r="B1055">
        <f>IF(INDEX(Transactions!$J:$J,ROW()-8)="",TODAY(),INDEX(Transactions!$G:$G,ROW()-8))</f>
      </c>
      <c r="F1055">
        <f>IF(INDEX(Transactions!$J:$J,ROW()-8)="",0,INDEX(Transactions!$O:$O,ROW()-8))</f>
      </c>
    </row>
    <row r="1056" spans="1:7">
      <c r="B1056">
        <f>IF(INDEX(Transactions!$J:$J,ROW()-8)="",TODAY(),INDEX(Transactions!$G:$G,ROW()-8))</f>
      </c>
      <c r="F1056">
        <f>IF(INDEX(Transactions!$J:$J,ROW()-8)="",0,INDEX(Transactions!$O:$O,ROW()-8))</f>
      </c>
    </row>
    <row r="1057" spans="1:7">
      <c r="B1057">
        <f>IF(INDEX(Transactions!$J:$J,ROW()-8)="",TODAY(),INDEX(Transactions!$G:$G,ROW()-8))</f>
      </c>
      <c r="F1057">
        <f>IF(INDEX(Transactions!$J:$J,ROW()-8)="",0,INDEX(Transactions!$O:$O,ROW()-8))</f>
      </c>
    </row>
    <row r="1058" spans="1:7">
      <c r="B1058">
        <f>IF(INDEX(Transactions!$J:$J,ROW()-8)="",TODAY(),INDEX(Transactions!$G:$G,ROW()-8))</f>
      </c>
      <c r="F1058">
        <f>IF(INDEX(Transactions!$J:$J,ROW()-8)="",0,INDEX(Transactions!$O:$O,ROW()-8))</f>
      </c>
    </row>
    <row r="1059" spans="1:7">
      <c r="B1059">
        <f>IF(INDEX(Transactions!$J:$J,ROW()-8)="",TODAY(),INDEX(Transactions!$G:$G,ROW()-8))</f>
      </c>
      <c r="F1059">
        <f>IF(INDEX(Transactions!$J:$J,ROW()-8)="",0,INDEX(Transactions!$O:$O,ROW()-8))</f>
      </c>
    </row>
    <row r="1060" spans="1:7">
      <c r="B1060">
        <f>IF(INDEX(Transactions!$J:$J,ROW()-8)="",TODAY(),INDEX(Transactions!$G:$G,ROW()-8))</f>
      </c>
      <c r="F1060">
        <f>IF(INDEX(Transactions!$J:$J,ROW()-8)="",0,INDEX(Transactions!$O:$O,ROW()-8))</f>
      </c>
    </row>
    <row r="1061" spans="1:7">
      <c r="B1061">
        <f>IF(INDEX(Transactions!$J:$J,ROW()-8)="",TODAY(),INDEX(Transactions!$G:$G,ROW()-8))</f>
      </c>
      <c r="F1061">
        <f>IF(INDEX(Transactions!$J:$J,ROW()-8)="",0,INDEX(Transactions!$O:$O,ROW()-8))</f>
      </c>
    </row>
    <row r="1062" spans="1:7">
      <c r="B1062">
        <f>IF(INDEX(Transactions!$J:$J,ROW()-8)="",TODAY(),INDEX(Transactions!$G:$G,ROW()-8))</f>
      </c>
      <c r="F1062">
        <f>IF(INDEX(Transactions!$J:$J,ROW()-8)="",0,INDEX(Transactions!$O:$O,ROW()-8))</f>
      </c>
    </row>
    <row r="1063" spans="1:7">
      <c r="B1063">
        <f>IF(INDEX(Transactions!$J:$J,ROW()-8)="",TODAY(),INDEX(Transactions!$G:$G,ROW()-8))</f>
      </c>
      <c r="F1063">
        <f>IF(INDEX(Transactions!$J:$J,ROW()-8)="",0,INDEX(Transactions!$O:$O,ROW()-8))</f>
      </c>
    </row>
    <row r="1064" spans="1:7">
      <c r="B1064">
        <f>IF(INDEX(Transactions!$J:$J,ROW()-8)="",TODAY(),INDEX(Transactions!$G:$G,ROW()-8))</f>
      </c>
      <c r="F1064">
        <f>IF(INDEX(Transactions!$J:$J,ROW()-8)="",0,INDEX(Transactions!$O:$O,ROW()-8))</f>
      </c>
    </row>
    <row r="1065" spans="1:7">
      <c r="B1065">
        <f>IF(INDEX(Transactions!$J:$J,ROW()-8)="",TODAY(),INDEX(Transactions!$G:$G,ROW()-8))</f>
      </c>
      <c r="F1065">
        <f>IF(INDEX(Transactions!$J:$J,ROW()-8)="",0,INDEX(Transactions!$O:$O,ROW()-8))</f>
      </c>
    </row>
    <row r="1066" spans="1:7">
      <c r="B1066">
        <f>IF(INDEX(Transactions!$J:$J,ROW()-8)="",TODAY(),INDEX(Transactions!$G:$G,ROW()-8))</f>
      </c>
      <c r="F1066">
        <f>IF(INDEX(Transactions!$J:$J,ROW()-8)="",0,INDEX(Transactions!$O:$O,ROW()-8))</f>
      </c>
    </row>
    <row r="1067" spans="1:7">
      <c r="B1067">
        <f>IF(INDEX(Transactions!$J:$J,ROW()-8)="",TODAY(),INDEX(Transactions!$G:$G,ROW()-8))</f>
      </c>
      <c r="F1067">
        <f>IF(INDEX(Transactions!$J:$J,ROW()-8)="",0,INDEX(Transactions!$O:$O,ROW()-8))</f>
      </c>
    </row>
    <row r="1068" spans="1:7">
      <c r="B1068">
        <f>IF(INDEX(Transactions!$J:$J,ROW()-8)="",TODAY(),INDEX(Transactions!$G:$G,ROW()-8))</f>
      </c>
      <c r="F1068">
        <f>IF(INDEX(Transactions!$J:$J,ROW()-8)="",0,INDEX(Transactions!$O:$O,ROW()-8))</f>
      </c>
    </row>
    <row r="1069" spans="1:7">
      <c r="B1069">
        <f>IF(INDEX(Transactions!$J:$J,ROW()-8)="",TODAY(),INDEX(Transactions!$G:$G,ROW()-8))</f>
      </c>
      <c r="F1069">
        <f>IF(INDEX(Transactions!$J:$J,ROW()-8)="",0,INDEX(Transactions!$O:$O,ROW()-8))</f>
      </c>
    </row>
    <row r="1070" spans="1:7">
      <c r="B1070">
        <f>IF(INDEX(Transactions!$J:$J,ROW()-8)="",TODAY(),INDEX(Transactions!$G:$G,ROW()-8))</f>
      </c>
      <c r="F1070">
        <f>IF(INDEX(Transactions!$J:$J,ROW()-8)="",0,INDEX(Transactions!$O:$O,ROW()-8))</f>
      </c>
    </row>
    <row r="1071" spans="1:7">
      <c r="B1071">
        <f>IF(INDEX(Transactions!$J:$J,ROW()-8)="",TODAY(),INDEX(Transactions!$G:$G,ROW()-8))</f>
      </c>
      <c r="F1071">
        <f>IF(INDEX(Transactions!$J:$J,ROW()-8)="",0,INDEX(Transactions!$O:$O,ROW()-8))</f>
      </c>
    </row>
    <row r="1072" spans="1:7">
      <c r="B1072">
        <f>IF(INDEX(Transactions!$J:$J,ROW()-8)="",TODAY(),INDEX(Transactions!$G:$G,ROW()-8))</f>
      </c>
      <c r="F1072">
        <f>IF(INDEX(Transactions!$J:$J,ROW()-8)="",0,INDEX(Transactions!$O:$O,ROW()-8))</f>
      </c>
    </row>
    <row r="1073" spans="1:7">
      <c r="B1073">
        <f>IF(INDEX(Transactions!$J:$J,ROW()-8)="",TODAY(),INDEX(Transactions!$G:$G,ROW()-8))</f>
      </c>
      <c r="F1073">
        <f>IF(INDEX(Transactions!$J:$J,ROW()-8)="",0,INDEX(Transactions!$O:$O,ROW()-8))</f>
      </c>
    </row>
    <row r="1074" spans="1:7">
      <c r="B1074">
        <f>IF(INDEX(Transactions!$J:$J,ROW()-8)="",TODAY(),INDEX(Transactions!$G:$G,ROW()-8))</f>
      </c>
      <c r="F1074">
        <f>IF(INDEX(Transactions!$J:$J,ROW()-8)="",0,INDEX(Transactions!$O:$O,ROW()-8))</f>
      </c>
    </row>
    <row r="1075" spans="1:7">
      <c r="B1075">
        <f>IF(INDEX(Transactions!$J:$J,ROW()-8)="",TODAY(),INDEX(Transactions!$G:$G,ROW()-8))</f>
      </c>
      <c r="F1075">
        <f>IF(INDEX(Transactions!$J:$J,ROW()-8)="",0,INDEX(Transactions!$O:$O,ROW()-8))</f>
      </c>
    </row>
    <row r="1076" spans="1:7">
      <c r="B1076">
        <f>IF(INDEX(Transactions!$J:$J,ROW()-8)="",TODAY(),INDEX(Transactions!$G:$G,ROW()-8))</f>
      </c>
      <c r="F1076">
        <f>IF(INDEX(Transactions!$J:$J,ROW()-8)="",0,INDEX(Transactions!$O:$O,ROW()-8))</f>
      </c>
    </row>
    <row r="1077" spans="1:7">
      <c r="B1077">
        <f>IF(INDEX(Transactions!$J:$J,ROW()-8)="",TODAY(),INDEX(Transactions!$G:$G,ROW()-8))</f>
      </c>
      <c r="F1077">
        <f>IF(INDEX(Transactions!$J:$J,ROW()-8)="",0,INDEX(Transactions!$O:$O,ROW()-8))</f>
      </c>
    </row>
    <row r="1078" spans="1:7">
      <c r="B1078">
        <f>IF(INDEX(Transactions!$J:$J,ROW()-8)="",TODAY(),INDEX(Transactions!$G:$G,ROW()-8))</f>
      </c>
      <c r="F1078">
        <f>IF(INDEX(Transactions!$J:$J,ROW()-8)="",0,INDEX(Transactions!$O:$O,ROW()-8))</f>
      </c>
    </row>
    <row r="1079" spans="1:7">
      <c r="B1079">
        <f>IF(INDEX(Transactions!$J:$J,ROW()-8)="",TODAY(),INDEX(Transactions!$G:$G,ROW()-8))</f>
      </c>
      <c r="F1079">
        <f>IF(INDEX(Transactions!$J:$J,ROW()-8)="",0,INDEX(Transactions!$O:$O,ROW()-8))</f>
      </c>
    </row>
    <row r="1080" spans="1:7">
      <c r="B1080">
        <f>IF(INDEX(Transactions!$J:$J,ROW()-8)="",TODAY(),INDEX(Transactions!$G:$G,ROW()-8))</f>
      </c>
      <c r="F1080">
        <f>IF(INDEX(Transactions!$J:$J,ROW()-8)="",0,INDEX(Transactions!$O:$O,ROW()-8))</f>
      </c>
    </row>
    <row r="1081" spans="1:7">
      <c r="B1081">
        <f>IF(INDEX(Transactions!$J:$J,ROW()-8)="",TODAY(),INDEX(Transactions!$G:$G,ROW()-8))</f>
      </c>
      <c r="F1081">
        <f>IF(INDEX(Transactions!$J:$J,ROW()-8)="",0,INDEX(Transactions!$O:$O,ROW()-8))</f>
      </c>
    </row>
    <row r="1082" spans="1:7">
      <c r="B1082">
        <f>IF(INDEX(Transactions!$J:$J,ROW()-8)="",TODAY(),INDEX(Transactions!$G:$G,ROW()-8))</f>
      </c>
      <c r="F1082">
        <f>IF(INDEX(Transactions!$J:$J,ROW()-8)="",0,INDEX(Transactions!$O:$O,ROW()-8))</f>
      </c>
    </row>
    <row r="1083" spans="1:7">
      <c r="B1083">
        <f>IF(INDEX(Transactions!$J:$J,ROW()-8)="",TODAY(),INDEX(Transactions!$G:$G,ROW()-8))</f>
      </c>
      <c r="F1083">
        <f>IF(INDEX(Transactions!$J:$J,ROW()-8)="",0,INDEX(Transactions!$O:$O,ROW()-8))</f>
      </c>
    </row>
    <row r="1084" spans="1:7">
      <c r="B1084">
        <f>IF(INDEX(Transactions!$J:$J,ROW()-8)="",TODAY(),INDEX(Transactions!$G:$G,ROW()-8))</f>
      </c>
      <c r="F1084">
        <f>IF(INDEX(Transactions!$J:$J,ROW()-8)="",0,INDEX(Transactions!$O:$O,ROW()-8))</f>
      </c>
    </row>
    <row r="1085" spans="1:7">
      <c r="B1085">
        <f>IF(INDEX(Transactions!$J:$J,ROW()-8)="",TODAY(),INDEX(Transactions!$G:$G,ROW()-8))</f>
      </c>
      <c r="F1085">
        <f>IF(INDEX(Transactions!$J:$J,ROW()-8)="",0,INDEX(Transactions!$O:$O,ROW()-8))</f>
      </c>
    </row>
    <row r="1086" spans="1:7">
      <c r="B1086">
        <f>IF(INDEX(Transactions!$J:$J,ROW()-8)="",TODAY(),INDEX(Transactions!$G:$G,ROW()-8))</f>
      </c>
      <c r="F1086">
        <f>IF(INDEX(Transactions!$J:$J,ROW()-8)="",0,INDEX(Transactions!$O:$O,ROW()-8))</f>
      </c>
    </row>
    <row r="1087" spans="1:7">
      <c r="B1087">
        <f>IF(INDEX(Transactions!$J:$J,ROW()-8)="",TODAY(),INDEX(Transactions!$G:$G,ROW()-8))</f>
      </c>
      <c r="F1087">
        <f>IF(INDEX(Transactions!$J:$J,ROW()-8)="",0,INDEX(Transactions!$O:$O,ROW()-8))</f>
      </c>
    </row>
    <row r="1088" spans="1:7">
      <c r="B1088">
        <f>IF(INDEX(Transactions!$J:$J,ROW()-8)="",TODAY(),INDEX(Transactions!$G:$G,ROW()-8))</f>
      </c>
      <c r="F1088">
        <f>IF(INDEX(Transactions!$J:$J,ROW()-8)="",0,INDEX(Transactions!$O:$O,ROW()-8))</f>
      </c>
    </row>
    <row r="1089" spans="1:7">
      <c r="B1089">
        <f>IF(INDEX(Transactions!$J:$J,ROW()-8)="",TODAY(),INDEX(Transactions!$G:$G,ROW()-8))</f>
      </c>
      <c r="F1089">
        <f>IF(INDEX(Transactions!$J:$J,ROW()-8)="",0,INDEX(Transactions!$O:$O,ROW()-8))</f>
      </c>
    </row>
    <row r="1090" spans="1:7">
      <c r="B1090">
        <f>IF(INDEX(Transactions!$J:$J,ROW()-8)="",TODAY(),INDEX(Transactions!$G:$G,ROW()-8))</f>
      </c>
      <c r="F1090">
        <f>IF(INDEX(Transactions!$J:$J,ROW()-8)="",0,INDEX(Transactions!$O:$O,ROW()-8))</f>
      </c>
    </row>
    <row r="1091" spans="1:7">
      <c r="B1091">
        <f>IF(INDEX(Transactions!$J:$J,ROW()-8)="",TODAY(),INDEX(Transactions!$G:$G,ROW()-8))</f>
      </c>
      <c r="F1091">
        <f>IF(INDEX(Transactions!$J:$J,ROW()-8)="",0,INDEX(Transactions!$O:$O,ROW()-8))</f>
      </c>
    </row>
    <row r="1092" spans="1:7">
      <c r="B1092">
        <f>IF(INDEX(Transactions!$J:$J,ROW()-8)="",TODAY(),INDEX(Transactions!$G:$G,ROW()-8))</f>
      </c>
      <c r="F1092">
        <f>IF(INDEX(Transactions!$J:$J,ROW()-8)="",0,INDEX(Transactions!$O:$O,ROW()-8))</f>
      </c>
    </row>
    <row r="1093" spans="1:7">
      <c r="B1093">
        <f>IF(INDEX(Transactions!$J:$J,ROW()-8)="",TODAY(),INDEX(Transactions!$G:$G,ROW()-8))</f>
      </c>
      <c r="F1093">
        <f>IF(INDEX(Transactions!$J:$J,ROW()-8)="",0,INDEX(Transactions!$O:$O,ROW()-8))</f>
      </c>
    </row>
    <row r="1094" spans="1:7">
      <c r="B1094">
        <f>IF(INDEX(Transactions!$J:$J,ROW()-8)="",TODAY(),INDEX(Transactions!$G:$G,ROW()-8))</f>
      </c>
      <c r="F1094">
        <f>IF(INDEX(Transactions!$J:$J,ROW()-8)="",0,INDEX(Transactions!$O:$O,ROW()-8))</f>
      </c>
    </row>
    <row r="1095" spans="1:7">
      <c r="B1095">
        <f>IF(INDEX(Transactions!$J:$J,ROW()-8)="",TODAY(),INDEX(Transactions!$G:$G,ROW()-8))</f>
      </c>
      <c r="F1095">
        <f>IF(INDEX(Transactions!$J:$J,ROW()-8)="",0,INDEX(Transactions!$O:$O,ROW()-8))</f>
      </c>
    </row>
    <row r="1096" spans="1:7">
      <c r="B1096">
        <f>IF(INDEX(Transactions!$J:$J,ROW()-8)="",TODAY(),INDEX(Transactions!$G:$G,ROW()-8))</f>
      </c>
      <c r="F1096">
        <f>IF(INDEX(Transactions!$J:$J,ROW()-8)="",0,INDEX(Transactions!$O:$O,ROW()-8))</f>
      </c>
    </row>
    <row r="1097" spans="1:7">
      <c r="B1097">
        <f>IF(INDEX(Transactions!$J:$J,ROW()-8)="",TODAY(),INDEX(Transactions!$G:$G,ROW()-8))</f>
      </c>
      <c r="F1097">
        <f>IF(INDEX(Transactions!$J:$J,ROW()-8)="",0,INDEX(Transactions!$O:$O,ROW()-8))</f>
      </c>
    </row>
    <row r="1098" spans="1:7">
      <c r="B1098">
        <f>IF(INDEX(Transactions!$J:$J,ROW()-8)="",TODAY(),INDEX(Transactions!$G:$G,ROW()-8))</f>
      </c>
      <c r="F1098">
        <f>IF(INDEX(Transactions!$J:$J,ROW()-8)="",0,INDEX(Transactions!$O:$O,ROW()-8))</f>
      </c>
    </row>
    <row r="1099" spans="1:7">
      <c r="B1099">
        <f>IF(INDEX(Transactions!$J:$J,ROW()-8)="",TODAY(),INDEX(Transactions!$G:$G,ROW()-8))</f>
      </c>
      <c r="F1099">
        <f>IF(INDEX(Transactions!$J:$J,ROW()-8)="",0,INDEX(Transactions!$O:$O,ROW()-8))</f>
      </c>
    </row>
    <row r="1100" spans="1:7">
      <c r="B1100">
        <f>IF(INDEX(Transactions!$J:$J,ROW()-8)="",TODAY(),INDEX(Transactions!$G:$G,ROW()-8))</f>
      </c>
      <c r="F1100">
        <f>IF(INDEX(Transactions!$J:$J,ROW()-8)="",0,INDEX(Transactions!$O:$O,ROW()-8))</f>
      </c>
    </row>
    <row r="1101" spans="1:7">
      <c r="B1101">
        <f>IF(INDEX(Transactions!$J:$J,ROW()-8)="",TODAY(),INDEX(Transactions!$G:$G,ROW()-8))</f>
      </c>
      <c r="F1101">
        <f>IF(INDEX(Transactions!$J:$J,ROW()-8)="",0,INDEX(Transactions!$O:$O,ROW()-8))</f>
      </c>
    </row>
    <row r="1102" spans="1:7">
      <c r="B1102">
        <f>IF(INDEX(Transactions!$J:$J,ROW()-8)="",TODAY(),INDEX(Transactions!$G:$G,ROW()-8))</f>
      </c>
      <c r="F1102">
        <f>IF(INDEX(Transactions!$J:$J,ROW()-8)="",0,INDEX(Transactions!$O:$O,ROW()-8))</f>
      </c>
    </row>
    <row r="1103" spans="1:7">
      <c r="B1103">
        <f>IF(INDEX(Transactions!$J:$J,ROW()-8)="",TODAY(),INDEX(Transactions!$G:$G,ROW()-8))</f>
      </c>
      <c r="F1103">
        <f>IF(INDEX(Transactions!$J:$J,ROW()-8)="",0,INDEX(Transactions!$O:$O,ROW()-8))</f>
      </c>
    </row>
    <row r="1104" spans="1:7">
      <c r="B1104">
        <f>IF(INDEX(Transactions!$J:$J,ROW()-8)="",TODAY(),INDEX(Transactions!$G:$G,ROW()-8))</f>
      </c>
      <c r="F1104">
        <f>IF(INDEX(Transactions!$J:$J,ROW()-8)="",0,INDEX(Transactions!$O:$O,ROW()-8))</f>
      </c>
    </row>
    <row r="1105" spans="1:7">
      <c r="B1105">
        <f>IF(INDEX(Transactions!$J:$J,ROW()-8)="",TODAY(),INDEX(Transactions!$G:$G,ROW()-8))</f>
      </c>
      <c r="F1105">
        <f>IF(INDEX(Transactions!$J:$J,ROW()-8)="",0,INDEX(Transactions!$O:$O,ROW()-8))</f>
      </c>
    </row>
    <row r="1106" spans="1:7">
      <c r="B1106">
        <f>IF(INDEX(Transactions!$J:$J,ROW()-8)="",TODAY(),INDEX(Transactions!$G:$G,ROW()-8))</f>
      </c>
      <c r="F1106">
        <f>IF(INDEX(Transactions!$J:$J,ROW()-8)="",0,INDEX(Transactions!$O:$O,ROW()-8))</f>
      </c>
    </row>
    <row r="1107" spans="1:7">
      <c r="B1107">
        <f>IF(INDEX(Transactions!$J:$J,ROW()-8)="",TODAY(),INDEX(Transactions!$G:$G,ROW()-8))</f>
      </c>
      <c r="F1107">
        <f>IF(INDEX(Transactions!$J:$J,ROW()-8)="",0,INDEX(Transactions!$O:$O,ROW()-8))</f>
      </c>
    </row>
    <row r="1108" spans="1:7">
      <c r="B1108">
        <f>IF(INDEX(Transactions!$J:$J,ROW()-8)="",TODAY(),INDEX(Transactions!$G:$G,ROW()-8))</f>
      </c>
      <c r="F1108">
        <f>IF(INDEX(Transactions!$J:$J,ROW()-8)="",0,INDEX(Transactions!$O:$O,ROW()-8))</f>
      </c>
    </row>
    <row r="1109" spans="1:7">
      <c r="B1109">
        <f>IF(INDEX(Transactions!$J:$J,ROW()-8)="",TODAY(),INDEX(Transactions!$G:$G,ROW()-8))</f>
      </c>
      <c r="F1109">
        <f>IF(INDEX(Transactions!$J:$J,ROW()-8)="",0,INDEX(Transactions!$O:$O,ROW()-8))</f>
      </c>
    </row>
    <row r="1110" spans="1:7">
      <c r="B1110">
        <f>IF(INDEX(Transactions!$J:$J,ROW()-8)="",TODAY(),INDEX(Transactions!$G:$G,ROW()-8))</f>
      </c>
      <c r="F1110">
        <f>IF(INDEX(Transactions!$J:$J,ROW()-8)="",0,INDEX(Transactions!$O:$O,ROW()-8))</f>
      </c>
    </row>
    <row r="1111" spans="1:7">
      <c r="B1111">
        <f>IF(INDEX(Transactions!$J:$J,ROW()-8)="",TODAY(),INDEX(Transactions!$G:$G,ROW()-8))</f>
      </c>
      <c r="F1111">
        <f>IF(INDEX(Transactions!$J:$J,ROW()-8)="",0,INDEX(Transactions!$O:$O,ROW()-8))</f>
      </c>
    </row>
    <row r="1112" spans="1:7">
      <c r="B1112">
        <f>IF(INDEX(Transactions!$J:$J,ROW()-8)="",TODAY(),INDEX(Transactions!$G:$G,ROW()-8))</f>
      </c>
      <c r="F1112">
        <f>IF(INDEX(Transactions!$J:$J,ROW()-8)="",0,INDEX(Transactions!$O:$O,ROW()-8))</f>
      </c>
    </row>
    <row r="1113" spans="1:7">
      <c r="B1113">
        <f>IF(INDEX(Transactions!$J:$J,ROW()-8)="",TODAY(),INDEX(Transactions!$G:$G,ROW()-8))</f>
      </c>
      <c r="F1113">
        <f>IF(INDEX(Transactions!$J:$J,ROW()-8)="",0,INDEX(Transactions!$O:$O,ROW()-8))</f>
      </c>
    </row>
    <row r="1114" spans="1:7">
      <c r="B1114">
        <f>IF(INDEX(Transactions!$J:$J,ROW()-8)="",TODAY(),INDEX(Transactions!$G:$G,ROW()-8))</f>
      </c>
      <c r="F1114">
        <f>IF(INDEX(Transactions!$J:$J,ROW()-8)="",0,INDEX(Transactions!$O:$O,ROW()-8))</f>
      </c>
    </row>
    <row r="1115" spans="1:7">
      <c r="B1115">
        <f>IF(INDEX(Transactions!$J:$J,ROW()-8)="",TODAY(),INDEX(Transactions!$G:$G,ROW()-8))</f>
      </c>
      <c r="F1115">
        <f>IF(INDEX(Transactions!$J:$J,ROW()-8)="",0,INDEX(Transactions!$O:$O,ROW()-8))</f>
      </c>
    </row>
    <row r="1116" spans="1:7">
      <c r="B1116">
        <f>IF(INDEX(Transactions!$J:$J,ROW()-8)="",TODAY(),INDEX(Transactions!$G:$G,ROW()-8))</f>
      </c>
      <c r="F1116">
        <f>IF(INDEX(Transactions!$J:$J,ROW()-8)="",0,INDEX(Transactions!$O:$O,ROW()-8))</f>
      </c>
    </row>
    <row r="1117" spans="1:7">
      <c r="B1117">
        <f>IF(INDEX(Transactions!$J:$J,ROW()-8)="",TODAY(),INDEX(Transactions!$G:$G,ROW()-8))</f>
      </c>
      <c r="F1117">
        <f>IF(INDEX(Transactions!$J:$J,ROW()-8)="",0,INDEX(Transactions!$O:$O,ROW()-8))</f>
      </c>
    </row>
    <row r="1118" spans="1:7">
      <c r="B1118">
        <f>IF(INDEX(Transactions!$J:$J,ROW()-8)="",TODAY(),INDEX(Transactions!$G:$G,ROW()-8))</f>
      </c>
      <c r="F1118">
        <f>IF(INDEX(Transactions!$J:$J,ROW()-8)="",0,INDEX(Transactions!$O:$O,ROW()-8))</f>
      </c>
    </row>
    <row r="1119" spans="1:7">
      <c r="B1119">
        <f>IF(INDEX(Transactions!$J:$J,ROW()-8)="",TODAY(),INDEX(Transactions!$G:$G,ROW()-8))</f>
      </c>
      <c r="F1119">
        <f>IF(INDEX(Transactions!$J:$J,ROW()-8)="",0,INDEX(Transactions!$O:$O,ROW()-8))</f>
      </c>
    </row>
    <row r="1120" spans="1:7">
      <c r="B1120">
        <f>IF(INDEX(Transactions!$J:$J,ROW()-8)="",TODAY(),INDEX(Transactions!$G:$G,ROW()-8))</f>
      </c>
      <c r="F1120">
        <f>IF(INDEX(Transactions!$J:$J,ROW()-8)="",0,INDEX(Transactions!$O:$O,ROW()-8))</f>
      </c>
    </row>
    <row r="1121" spans="1:7">
      <c r="B1121">
        <f>IF(INDEX(Transactions!$J:$J,ROW()-8)="",TODAY(),INDEX(Transactions!$G:$G,ROW()-8))</f>
      </c>
      <c r="F1121">
        <f>IF(INDEX(Transactions!$J:$J,ROW()-8)="",0,INDEX(Transactions!$O:$O,ROW()-8))</f>
      </c>
    </row>
    <row r="1122" spans="1:7">
      <c r="B1122">
        <f>IF(INDEX(Transactions!$J:$J,ROW()-8)="",TODAY(),INDEX(Transactions!$G:$G,ROW()-8))</f>
      </c>
      <c r="F1122">
        <f>IF(INDEX(Transactions!$J:$J,ROW()-8)="",0,INDEX(Transactions!$O:$O,ROW()-8))</f>
      </c>
    </row>
    <row r="1123" spans="1:7">
      <c r="B1123">
        <f>IF(INDEX(Transactions!$J:$J,ROW()-8)="",TODAY(),INDEX(Transactions!$G:$G,ROW()-8))</f>
      </c>
      <c r="F1123">
        <f>IF(INDEX(Transactions!$J:$J,ROW()-8)="",0,INDEX(Transactions!$O:$O,ROW()-8))</f>
      </c>
    </row>
    <row r="1124" spans="1:7">
      <c r="B1124">
        <f>IF(INDEX(Transactions!$J:$J,ROW()-8)="",TODAY(),INDEX(Transactions!$G:$G,ROW()-8))</f>
      </c>
      <c r="F1124">
        <f>IF(INDEX(Transactions!$J:$J,ROW()-8)="",0,INDEX(Transactions!$O:$O,ROW()-8))</f>
      </c>
    </row>
    <row r="1125" spans="1:7">
      <c r="B1125">
        <f>IF(INDEX(Transactions!$J:$J,ROW()-8)="",TODAY(),INDEX(Transactions!$G:$G,ROW()-8))</f>
      </c>
      <c r="F1125">
        <f>IF(INDEX(Transactions!$J:$J,ROW()-8)="",0,INDEX(Transactions!$O:$O,ROW()-8))</f>
      </c>
    </row>
    <row r="1126" spans="1:7">
      <c r="B1126">
        <f>IF(INDEX(Transactions!$J:$J,ROW()-8)="",TODAY(),INDEX(Transactions!$G:$G,ROW()-8))</f>
      </c>
      <c r="F1126">
        <f>IF(INDEX(Transactions!$J:$J,ROW()-8)="",0,INDEX(Transactions!$O:$O,ROW()-8))</f>
      </c>
    </row>
    <row r="1127" spans="1:7">
      <c r="B1127">
        <f>IF(INDEX(Transactions!$J:$J,ROW()-8)="",TODAY(),INDEX(Transactions!$G:$G,ROW()-8))</f>
      </c>
      <c r="F1127">
        <f>IF(INDEX(Transactions!$J:$J,ROW()-8)="",0,INDEX(Transactions!$O:$O,ROW()-8))</f>
      </c>
    </row>
    <row r="1128" spans="1:7">
      <c r="B1128">
        <f>IF(INDEX(Transactions!$J:$J,ROW()-8)="",TODAY(),INDEX(Transactions!$G:$G,ROW()-8))</f>
      </c>
      <c r="F1128">
        <f>IF(INDEX(Transactions!$J:$J,ROW()-8)="",0,INDEX(Transactions!$O:$O,ROW()-8))</f>
      </c>
    </row>
    <row r="1129" spans="1:7">
      <c r="B1129">
        <f>IF(INDEX(Transactions!$J:$J,ROW()-8)="",TODAY(),INDEX(Transactions!$G:$G,ROW()-8))</f>
      </c>
      <c r="F1129">
        <f>IF(INDEX(Transactions!$J:$J,ROW()-8)="",0,INDEX(Transactions!$O:$O,ROW()-8))</f>
      </c>
    </row>
    <row r="1130" spans="1:7">
      <c r="B1130">
        <f>IF(INDEX(Transactions!$J:$J,ROW()-8)="",TODAY(),INDEX(Transactions!$G:$G,ROW()-8))</f>
      </c>
      <c r="F1130">
        <f>IF(INDEX(Transactions!$J:$J,ROW()-8)="",0,INDEX(Transactions!$O:$O,ROW()-8))</f>
      </c>
    </row>
    <row r="1131" spans="1:7">
      <c r="B1131">
        <f>IF(INDEX(Transactions!$J:$J,ROW()-8)="",TODAY(),INDEX(Transactions!$G:$G,ROW()-8))</f>
      </c>
      <c r="F1131">
        <f>IF(INDEX(Transactions!$J:$J,ROW()-8)="",0,INDEX(Transactions!$O:$O,ROW()-8))</f>
      </c>
    </row>
    <row r="1132" spans="1:7">
      <c r="B1132">
        <f>IF(INDEX(Transactions!$J:$J,ROW()-8)="",TODAY(),INDEX(Transactions!$G:$G,ROW()-8))</f>
      </c>
      <c r="F1132">
        <f>IF(INDEX(Transactions!$J:$J,ROW()-8)="",0,INDEX(Transactions!$O:$O,ROW()-8))</f>
      </c>
    </row>
    <row r="1133" spans="1:7">
      <c r="B1133">
        <f>IF(INDEX(Transactions!$J:$J,ROW()-8)="",TODAY(),INDEX(Transactions!$G:$G,ROW()-8))</f>
      </c>
      <c r="F1133">
        <f>IF(INDEX(Transactions!$J:$J,ROW()-8)="",0,INDEX(Transactions!$O:$O,ROW()-8))</f>
      </c>
    </row>
    <row r="1134" spans="1:7">
      <c r="B1134">
        <f>IF(INDEX(Transactions!$J:$J,ROW()-8)="",TODAY(),INDEX(Transactions!$G:$G,ROW()-8))</f>
      </c>
      <c r="F1134">
        <f>IF(INDEX(Transactions!$J:$J,ROW()-8)="",0,INDEX(Transactions!$O:$O,ROW()-8))</f>
      </c>
    </row>
    <row r="1135" spans="1:7">
      <c r="B1135">
        <f>IF(INDEX(Transactions!$J:$J,ROW()-8)="",TODAY(),INDEX(Transactions!$G:$G,ROW()-8))</f>
      </c>
      <c r="F1135">
        <f>IF(INDEX(Transactions!$J:$J,ROW()-8)="",0,INDEX(Transactions!$O:$O,ROW()-8))</f>
      </c>
    </row>
    <row r="1136" spans="1:7">
      <c r="B1136">
        <f>IF(INDEX(Transactions!$J:$J,ROW()-8)="",TODAY(),INDEX(Transactions!$G:$G,ROW()-8))</f>
      </c>
      <c r="F1136">
        <f>IF(INDEX(Transactions!$J:$J,ROW()-8)="",0,INDEX(Transactions!$O:$O,ROW()-8))</f>
      </c>
    </row>
    <row r="1137" spans="1:7">
      <c r="B1137">
        <f>IF(INDEX(Transactions!$J:$J,ROW()-8)="",TODAY(),INDEX(Transactions!$G:$G,ROW()-8))</f>
      </c>
      <c r="F1137">
        <f>IF(INDEX(Transactions!$J:$J,ROW()-8)="",0,INDEX(Transactions!$O:$O,ROW()-8))</f>
      </c>
    </row>
    <row r="1138" spans="1:7">
      <c r="B1138">
        <f>IF(INDEX(Transactions!$J:$J,ROW()-8)="",TODAY(),INDEX(Transactions!$G:$G,ROW()-8))</f>
      </c>
      <c r="F1138">
        <f>IF(INDEX(Transactions!$J:$J,ROW()-8)="",0,INDEX(Transactions!$O:$O,ROW()-8))</f>
      </c>
    </row>
    <row r="1139" spans="1:7">
      <c r="B1139">
        <f>IF(INDEX(Transactions!$J:$J,ROW()-8)="",TODAY(),INDEX(Transactions!$G:$G,ROW()-8))</f>
      </c>
      <c r="F1139">
        <f>IF(INDEX(Transactions!$J:$J,ROW()-8)="",0,INDEX(Transactions!$O:$O,ROW()-8))</f>
      </c>
    </row>
    <row r="1140" spans="1:7">
      <c r="B1140">
        <f>IF(INDEX(Transactions!$J:$J,ROW()-8)="",TODAY(),INDEX(Transactions!$G:$G,ROW()-8))</f>
      </c>
      <c r="F1140">
        <f>IF(INDEX(Transactions!$J:$J,ROW()-8)="",0,INDEX(Transactions!$O:$O,ROW()-8))</f>
      </c>
    </row>
    <row r="1141" spans="1:7">
      <c r="B1141">
        <f>IF(INDEX(Transactions!$J:$J,ROW()-8)="",TODAY(),INDEX(Transactions!$G:$G,ROW()-8))</f>
      </c>
      <c r="F1141">
        <f>IF(INDEX(Transactions!$J:$J,ROW()-8)="",0,INDEX(Transactions!$O:$O,ROW()-8))</f>
      </c>
    </row>
    <row r="1142" spans="1:7">
      <c r="B1142">
        <f>IF(INDEX(Transactions!$J:$J,ROW()-8)="",TODAY(),INDEX(Transactions!$G:$G,ROW()-8))</f>
      </c>
      <c r="F1142">
        <f>IF(INDEX(Transactions!$J:$J,ROW()-8)="",0,INDEX(Transactions!$O:$O,ROW()-8))</f>
      </c>
    </row>
    <row r="1143" spans="1:7">
      <c r="B1143">
        <f>IF(INDEX(Transactions!$J:$J,ROW()-8)="",TODAY(),INDEX(Transactions!$G:$G,ROW()-8))</f>
      </c>
      <c r="F1143">
        <f>IF(INDEX(Transactions!$J:$J,ROW()-8)="",0,INDEX(Transactions!$O:$O,ROW()-8))</f>
      </c>
    </row>
    <row r="1144" spans="1:7">
      <c r="B1144">
        <f>IF(INDEX(Transactions!$J:$J,ROW()-8)="",TODAY(),INDEX(Transactions!$G:$G,ROW()-8))</f>
      </c>
      <c r="F1144">
        <f>IF(INDEX(Transactions!$J:$J,ROW()-8)="",0,INDEX(Transactions!$O:$O,ROW()-8))</f>
      </c>
    </row>
    <row r="1145" spans="1:7">
      <c r="B1145">
        <f>IF(INDEX(Transactions!$J:$J,ROW()-8)="",TODAY(),INDEX(Transactions!$G:$G,ROW()-8))</f>
      </c>
      <c r="F1145">
        <f>IF(INDEX(Transactions!$J:$J,ROW()-8)="",0,INDEX(Transactions!$O:$O,ROW()-8))</f>
      </c>
    </row>
    <row r="1146" spans="1:7">
      <c r="B1146">
        <f>IF(INDEX(Transactions!$J:$J,ROW()-8)="",TODAY(),INDEX(Transactions!$G:$G,ROW()-8))</f>
      </c>
      <c r="F1146">
        <f>IF(INDEX(Transactions!$J:$J,ROW()-8)="",0,INDEX(Transactions!$O:$O,ROW()-8))</f>
      </c>
    </row>
    <row r="1147" spans="1:7">
      <c r="B1147">
        <f>IF(INDEX(Transactions!$J:$J,ROW()-8)="",TODAY(),INDEX(Transactions!$G:$G,ROW()-8))</f>
      </c>
      <c r="F1147">
        <f>IF(INDEX(Transactions!$J:$J,ROW()-8)="",0,INDEX(Transactions!$O:$O,ROW()-8))</f>
      </c>
    </row>
    <row r="1148" spans="1:7">
      <c r="B1148">
        <f>IF(INDEX(Transactions!$J:$J,ROW()-8)="",TODAY(),INDEX(Transactions!$G:$G,ROW()-8))</f>
      </c>
      <c r="F1148">
        <f>IF(INDEX(Transactions!$J:$J,ROW()-8)="",0,INDEX(Transactions!$O:$O,ROW()-8))</f>
      </c>
    </row>
    <row r="1149" spans="1:7">
      <c r="B1149">
        <f>IF(INDEX(Transactions!$J:$J,ROW()-8)="",TODAY(),INDEX(Transactions!$G:$G,ROW()-8))</f>
      </c>
      <c r="F1149">
        <f>IF(INDEX(Transactions!$J:$J,ROW()-8)="",0,INDEX(Transactions!$O:$O,ROW()-8))</f>
      </c>
    </row>
    <row r="1150" spans="1:7">
      <c r="B1150">
        <f>IF(INDEX(Transactions!$J:$J,ROW()-8)="",TODAY(),INDEX(Transactions!$G:$G,ROW()-8))</f>
      </c>
      <c r="F1150">
        <f>IF(INDEX(Transactions!$J:$J,ROW()-8)="",0,INDEX(Transactions!$O:$O,ROW()-8))</f>
      </c>
    </row>
    <row r="1151" spans="1:7">
      <c r="B1151">
        <f>IF(INDEX(Transactions!$J:$J,ROW()-8)="",TODAY(),INDEX(Transactions!$G:$G,ROW()-8))</f>
      </c>
      <c r="F1151">
        <f>IF(INDEX(Transactions!$J:$J,ROW()-8)="",0,INDEX(Transactions!$O:$O,ROW()-8))</f>
      </c>
    </row>
    <row r="1152" spans="1:7">
      <c r="B1152">
        <f>IF(INDEX(Transactions!$J:$J,ROW()-8)="",TODAY(),INDEX(Transactions!$G:$G,ROW()-8))</f>
      </c>
      <c r="F1152">
        <f>IF(INDEX(Transactions!$J:$J,ROW()-8)="",0,INDEX(Transactions!$O:$O,ROW()-8))</f>
      </c>
    </row>
    <row r="1153" spans="1:7">
      <c r="B1153">
        <f>IF(INDEX(Transactions!$J:$J,ROW()-8)="",TODAY(),INDEX(Transactions!$G:$G,ROW()-8))</f>
      </c>
      <c r="F1153">
        <f>IF(INDEX(Transactions!$J:$J,ROW()-8)="",0,INDEX(Transactions!$O:$O,ROW()-8))</f>
      </c>
    </row>
    <row r="1154" spans="1:7">
      <c r="B1154">
        <f>IF(INDEX(Transactions!$J:$J,ROW()-8)="",TODAY(),INDEX(Transactions!$G:$G,ROW()-8))</f>
      </c>
      <c r="F1154">
        <f>IF(INDEX(Transactions!$J:$J,ROW()-8)="",0,INDEX(Transactions!$O:$O,ROW()-8))</f>
      </c>
    </row>
    <row r="1155" spans="1:7">
      <c r="B1155">
        <f>IF(INDEX(Transactions!$J:$J,ROW()-8)="",TODAY(),INDEX(Transactions!$G:$G,ROW()-8))</f>
      </c>
      <c r="F1155">
        <f>IF(INDEX(Transactions!$J:$J,ROW()-8)="",0,INDEX(Transactions!$O:$O,ROW()-8))</f>
      </c>
    </row>
    <row r="1156" spans="1:7">
      <c r="B1156">
        <f>IF(INDEX(Transactions!$J:$J,ROW()-8)="",TODAY(),INDEX(Transactions!$G:$G,ROW()-8))</f>
      </c>
      <c r="F1156">
        <f>IF(INDEX(Transactions!$J:$J,ROW()-8)="",0,INDEX(Transactions!$O:$O,ROW()-8))</f>
      </c>
    </row>
    <row r="1157" spans="1:7">
      <c r="B1157">
        <f>IF(INDEX(Transactions!$J:$J,ROW()-8)="",TODAY(),INDEX(Transactions!$G:$G,ROW()-8))</f>
      </c>
      <c r="F1157">
        <f>IF(INDEX(Transactions!$J:$J,ROW()-8)="",0,INDEX(Transactions!$O:$O,ROW()-8))</f>
      </c>
    </row>
    <row r="1158" spans="1:7">
      <c r="B1158">
        <f>IF(INDEX(Transactions!$J:$J,ROW()-8)="",TODAY(),INDEX(Transactions!$G:$G,ROW()-8))</f>
      </c>
      <c r="F1158">
        <f>IF(INDEX(Transactions!$J:$J,ROW()-8)="",0,INDEX(Transactions!$O:$O,ROW()-8))</f>
      </c>
    </row>
    <row r="1159" spans="1:7">
      <c r="B1159">
        <f>IF(INDEX(Transactions!$J:$J,ROW()-8)="",TODAY(),INDEX(Transactions!$G:$G,ROW()-8))</f>
      </c>
      <c r="F1159">
        <f>IF(INDEX(Transactions!$J:$J,ROW()-8)="",0,INDEX(Transactions!$O:$O,ROW()-8))</f>
      </c>
    </row>
    <row r="1160" spans="1:7">
      <c r="B1160">
        <f>IF(INDEX(Transactions!$J:$J,ROW()-8)="",TODAY(),INDEX(Transactions!$G:$G,ROW()-8))</f>
      </c>
      <c r="F1160">
        <f>IF(INDEX(Transactions!$J:$J,ROW()-8)="",0,INDEX(Transactions!$O:$O,ROW()-8))</f>
      </c>
    </row>
    <row r="1161" spans="1:7">
      <c r="B1161">
        <f>IF(INDEX(Transactions!$J:$J,ROW()-8)="",TODAY(),INDEX(Transactions!$G:$G,ROW()-8))</f>
      </c>
      <c r="F1161">
        <f>IF(INDEX(Transactions!$J:$J,ROW()-8)="",0,INDEX(Transactions!$O:$O,ROW()-8))</f>
      </c>
    </row>
    <row r="1162" spans="1:7">
      <c r="B1162">
        <f>IF(INDEX(Transactions!$J:$J,ROW()-8)="",TODAY(),INDEX(Transactions!$G:$G,ROW()-8))</f>
      </c>
      <c r="F1162">
        <f>IF(INDEX(Transactions!$J:$J,ROW()-8)="",0,INDEX(Transactions!$O:$O,ROW()-8))</f>
      </c>
    </row>
    <row r="1163" spans="1:7">
      <c r="B1163">
        <f>IF(INDEX(Transactions!$J:$J,ROW()-8)="",TODAY(),INDEX(Transactions!$G:$G,ROW()-8))</f>
      </c>
      <c r="F1163">
        <f>IF(INDEX(Transactions!$J:$J,ROW()-8)="",0,INDEX(Transactions!$O:$O,ROW()-8))</f>
      </c>
    </row>
    <row r="1164" spans="1:7">
      <c r="B1164">
        <f>IF(INDEX(Transactions!$J:$J,ROW()-8)="",TODAY(),INDEX(Transactions!$G:$G,ROW()-8))</f>
      </c>
      <c r="F1164">
        <f>IF(INDEX(Transactions!$J:$J,ROW()-8)="",0,INDEX(Transactions!$O:$O,ROW()-8))</f>
      </c>
    </row>
    <row r="1165" spans="1:7">
      <c r="B1165">
        <f>IF(INDEX(Transactions!$J:$J,ROW()-8)="",TODAY(),INDEX(Transactions!$G:$G,ROW()-8))</f>
      </c>
      <c r="F1165">
        <f>IF(INDEX(Transactions!$J:$J,ROW()-8)="",0,INDEX(Transactions!$O:$O,ROW()-8))</f>
      </c>
    </row>
    <row r="1166" spans="1:7">
      <c r="B1166">
        <f>IF(INDEX(Transactions!$J:$J,ROW()-8)="",TODAY(),INDEX(Transactions!$G:$G,ROW()-8))</f>
      </c>
      <c r="F1166">
        <f>IF(INDEX(Transactions!$J:$J,ROW()-8)="",0,INDEX(Transactions!$O:$O,ROW()-8))</f>
      </c>
    </row>
    <row r="1167" spans="1:7">
      <c r="B1167">
        <f>IF(INDEX(Transactions!$J:$J,ROW()-8)="",TODAY(),INDEX(Transactions!$G:$G,ROW()-8))</f>
      </c>
      <c r="F1167">
        <f>IF(INDEX(Transactions!$J:$J,ROW()-8)="",0,INDEX(Transactions!$O:$O,ROW()-8))</f>
      </c>
    </row>
    <row r="1168" spans="1:7">
      <c r="B1168">
        <f>IF(INDEX(Transactions!$J:$J,ROW()-8)="",TODAY(),INDEX(Transactions!$G:$G,ROW()-8))</f>
      </c>
      <c r="F1168">
        <f>IF(INDEX(Transactions!$J:$J,ROW()-8)="",0,INDEX(Transactions!$O:$O,ROW()-8))</f>
      </c>
    </row>
    <row r="1169" spans="1:7">
      <c r="B1169">
        <f>IF(INDEX(Transactions!$J:$J,ROW()-8)="",TODAY(),INDEX(Transactions!$G:$G,ROW()-8))</f>
      </c>
      <c r="F1169">
        <f>IF(INDEX(Transactions!$J:$J,ROW()-8)="",0,INDEX(Transactions!$O:$O,ROW()-8))</f>
      </c>
    </row>
    <row r="1170" spans="1:7">
      <c r="B1170">
        <f>IF(INDEX(Transactions!$J:$J,ROW()-8)="",TODAY(),INDEX(Transactions!$G:$G,ROW()-8))</f>
      </c>
      <c r="F1170">
        <f>IF(INDEX(Transactions!$J:$J,ROW()-8)="",0,INDEX(Transactions!$O:$O,ROW()-8))</f>
      </c>
    </row>
    <row r="1171" spans="1:7">
      <c r="B1171">
        <f>IF(INDEX(Transactions!$J:$J,ROW()-8)="",TODAY(),INDEX(Transactions!$G:$G,ROW()-8))</f>
      </c>
      <c r="F1171">
        <f>IF(INDEX(Transactions!$J:$J,ROW()-8)="",0,INDEX(Transactions!$O:$O,ROW()-8))</f>
      </c>
    </row>
    <row r="1172" spans="1:7">
      <c r="B1172">
        <f>IF(INDEX(Transactions!$J:$J,ROW()-8)="",TODAY(),INDEX(Transactions!$G:$G,ROW()-8))</f>
      </c>
      <c r="F1172">
        <f>IF(INDEX(Transactions!$J:$J,ROW()-8)="",0,INDEX(Transactions!$O:$O,ROW()-8))</f>
      </c>
    </row>
    <row r="1173" spans="1:7">
      <c r="B1173">
        <f>IF(INDEX(Transactions!$J:$J,ROW()-8)="",TODAY(),INDEX(Transactions!$G:$G,ROW()-8))</f>
      </c>
      <c r="F1173">
        <f>IF(INDEX(Transactions!$J:$J,ROW()-8)="",0,INDEX(Transactions!$O:$O,ROW()-8))</f>
      </c>
    </row>
    <row r="1174" spans="1:7">
      <c r="B1174">
        <f>IF(INDEX(Transactions!$J:$J,ROW()-8)="",TODAY(),INDEX(Transactions!$G:$G,ROW()-8))</f>
      </c>
      <c r="F1174">
        <f>IF(INDEX(Transactions!$J:$J,ROW()-8)="",0,INDEX(Transactions!$O:$O,ROW()-8))</f>
      </c>
    </row>
    <row r="1175" spans="1:7">
      <c r="B1175">
        <f>IF(INDEX(Transactions!$J:$J,ROW()-8)="",TODAY(),INDEX(Transactions!$G:$G,ROW()-8))</f>
      </c>
      <c r="F1175">
        <f>IF(INDEX(Transactions!$J:$J,ROW()-8)="",0,INDEX(Transactions!$O:$O,ROW()-8))</f>
      </c>
    </row>
    <row r="1176" spans="1:7">
      <c r="B1176">
        <f>IF(INDEX(Transactions!$J:$J,ROW()-8)="",TODAY(),INDEX(Transactions!$G:$G,ROW()-8))</f>
      </c>
      <c r="F1176">
        <f>IF(INDEX(Transactions!$J:$J,ROW()-8)="",0,INDEX(Transactions!$O:$O,ROW()-8))</f>
      </c>
    </row>
    <row r="1177" spans="1:7">
      <c r="B1177">
        <f>IF(INDEX(Transactions!$J:$J,ROW()-8)="",TODAY(),INDEX(Transactions!$G:$G,ROW()-8))</f>
      </c>
      <c r="F1177">
        <f>IF(INDEX(Transactions!$J:$J,ROW()-8)="",0,INDEX(Transactions!$O:$O,ROW()-8))</f>
      </c>
    </row>
    <row r="1178" spans="1:7">
      <c r="B1178">
        <f>IF(INDEX(Transactions!$J:$J,ROW()-8)="",TODAY(),INDEX(Transactions!$G:$G,ROW()-8))</f>
      </c>
      <c r="F1178">
        <f>IF(INDEX(Transactions!$J:$J,ROW()-8)="",0,INDEX(Transactions!$O:$O,ROW()-8))</f>
      </c>
    </row>
    <row r="1179" spans="1:7">
      <c r="B1179">
        <f>IF(INDEX(Transactions!$J:$J,ROW()-8)="",TODAY(),INDEX(Transactions!$G:$G,ROW()-8))</f>
      </c>
      <c r="F1179">
        <f>IF(INDEX(Transactions!$J:$J,ROW()-8)="",0,INDEX(Transactions!$O:$O,ROW()-8))</f>
      </c>
    </row>
    <row r="1180" spans="1:7">
      <c r="B1180">
        <f>IF(INDEX(Transactions!$J:$J,ROW()-8)="",TODAY(),INDEX(Transactions!$G:$G,ROW()-8))</f>
      </c>
      <c r="F1180">
        <f>IF(INDEX(Transactions!$J:$J,ROW()-8)="",0,INDEX(Transactions!$O:$O,ROW()-8))</f>
      </c>
    </row>
    <row r="1181" spans="1:7">
      <c r="B1181">
        <f>IF(INDEX(Transactions!$J:$J,ROW()-8)="",TODAY(),INDEX(Transactions!$G:$G,ROW()-8))</f>
      </c>
      <c r="F1181">
        <f>IF(INDEX(Transactions!$J:$J,ROW()-8)="",0,INDEX(Transactions!$O:$O,ROW()-8))</f>
      </c>
    </row>
    <row r="1182" spans="1:7">
      <c r="B1182">
        <f>IF(INDEX(Transactions!$J:$J,ROW()-8)="",TODAY(),INDEX(Transactions!$G:$G,ROW()-8))</f>
      </c>
      <c r="F1182">
        <f>IF(INDEX(Transactions!$J:$J,ROW()-8)="",0,INDEX(Transactions!$O:$O,ROW()-8))</f>
      </c>
    </row>
    <row r="1183" spans="1:7">
      <c r="B1183">
        <f>IF(INDEX(Transactions!$J:$J,ROW()-8)="",TODAY(),INDEX(Transactions!$G:$G,ROW()-8))</f>
      </c>
      <c r="F1183">
        <f>IF(INDEX(Transactions!$J:$J,ROW()-8)="",0,INDEX(Transactions!$O:$O,ROW()-8))</f>
      </c>
    </row>
    <row r="1184" spans="1:7">
      <c r="B1184">
        <f>IF(INDEX(Transactions!$J:$J,ROW()-8)="",TODAY(),INDEX(Transactions!$G:$G,ROW()-8))</f>
      </c>
      <c r="F1184">
        <f>IF(INDEX(Transactions!$J:$J,ROW()-8)="",0,INDEX(Transactions!$O:$O,ROW()-8))</f>
      </c>
    </row>
    <row r="1185" spans="1:7">
      <c r="B1185">
        <f>IF(INDEX(Transactions!$J:$J,ROW()-8)="",TODAY(),INDEX(Transactions!$G:$G,ROW()-8))</f>
      </c>
      <c r="F1185">
        <f>IF(INDEX(Transactions!$J:$J,ROW()-8)="",0,INDEX(Transactions!$O:$O,ROW()-8))</f>
      </c>
    </row>
    <row r="1186" spans="1:7">
      <c r="B1186">
        <f>IF(INDEX(Transactions!$J:$J,ROW()-8)="",TODAY(),INDEX(Transactions!$G:$G,ROW()-8))</f>
      </c>
      <c r="F1186">
        <f>IF(INDEX(Transactions!$J:$J,ROW()-8)="",0,INDEX(Transactions!$O:$O,ROW()-8))</f>
      </c>
    </row>
    <row r="1187" spans="1:7">
      <c r="B1187">
        <f>IF(INDEX(Transactions!$J:$J,ROW()-8)="",TODAY(),INDEX(Transactions!$G:$G,ROW()-8))</f>
      </c>
      <c r="F1187">
        <f>IF(INDEX(Transactions!$J:$J,ROW()-8)="",0,INDEX(Transactions!$O:$O,ROW()-8))</f>
      </c>
    </row>
    <row r="1188" spans="1:7">
      <c r="B1188">
        <f>IF(INDEX(Transactions!$J:$J,ROW()-8)="",TODAY(),INDEX(Transactions!$G:$G,ROW()-8))</f>
      </c>
      <c r="F1188">
        <f>IF(INDEX(Transactions!$J:$J,ROW()-8)="",0,INDEX(Transactions!$O:$O,ROW()-8))</f>
      </c>
    </row>
    <row r="1189" spans="1:7">
      <c r="B1189">
        <f>IF(INDEX(Transactions!$J:$J,ROW()-8)="",TODAY(),INDEX(Transactions!$G:$G,ROW()-8))</f>
      </c>
      <c r="F1189">
        <f>IF(INDEX(Transactions!$J:$J,ROW()-8)="",0,INDEX(Transactions!$O:$O,ROW()-8))</f>
      </c>
    </row>
    <row r="1190" spans="1:7">
      <c r="B1190">
        <f>IF(INDEX(Transactions!$J:$J,ROW()-8)="",TODAY(),INDEX(Transactions!$G:$G,ROW()-8))</f>
      </c>
      <c r="F1190">
        <f>IF(INDEX(Transactions!$J:$J,ROW()-8)="",0,INDEX(Transactions!$O:$O,ROW()-8))</f>
      </c>
    </row>
    <row r="1191" spans="1:7">
      <c r="B1191">
        <f>IF(INDEX(Transactions!$J:$J,ROW()-8)="",TODAY(),INDEX(Transactions!$G:$G,ROW()-8))</f>
      </c>
      <c r="F1191">
        <f>IF(INDEX(Transactions!$J:$J,ROW()-8)="",0,INDEX(Transactions!$O:$O,ROW()-8))</f>
      </c>
    </row>
    <row r="1192" spans="1:7">
      <c r="B1192">
        <f>IF(INDEX(Transactions!$J:$J,ROW()-8)="",TODAY(),INDEX(Transactions!$G:$G,ROW()-8))</f>
      </c>
      <c r="F1192">
        <f>IF(INDEX(Transactions!$J:$J,ROW()-8)="",0,INDEX(Transactions!$O:$O,ROW()-8))</f>
      </c>
    </row>
    <row r="1193" spans="1:7">
      <c r="B1193">
        <f>IF(INDEX(Transactions!$J:$J,ROW()-8)="",TODAY(),INDEX(Transactions!$G:$G,ROW()-8))</f>
      </c>
      <c r="F1193">
        <f>IF(INDEX(Transactions!$J:$J,ROW()-8)="",0,INDEX(Transactions!$O:$O,ROW()-8))</f>
      </c>
    </row>
    <row r="1194" spans="1:7">
      <c r="B1194">
        <f>IF(INDEX(Transactions!$J:$J,ROW()-8)="",TODAY(),INDEX(Transactions!$G:$G,ROW()-8))</f>
      </c>
      <c r="F1194">
        <f>IF(INDEX(Transactions!$J:$J,ROW()-8)="",0,INDEX(Transactions!$O:$O,ROW()-8))</f>
      </c>
    </row>
    <row r="1195" spans="1:7">
      <c r="B1195">
        <f>IF(INDEX(Transactions!$J:$J,ROW()-8)="",TODAY(),INDEX(Transactions!$G:$G,ROW()-8))</f>
      </c>
      <c r="F1195">
        <f>IF(INDEX(Transactions!$J:$J,ROW()-8)="",0,INDEX(Transactions!$O:$O,ROW()-8))</f>
      </c>
    </row>
    <row r="1196" spans="1:7">
      <c r="B1196">
        <f>IF(INDEX(Transactions!$J:$J,ROW()-8)="",TODAY(),INDEX(Transactions!$G:$G,ROW()-8))</f>
      </c>
      <c r="F1196">
        <f>IF(INDEX(Transactions!$J:$J,ROW()-8)="",0,INDEX(Transactions!$O:$O,ROW()-8))</f>
      </c>
    </row>
    <row r="1197" spans="1:7">
      <c r="B1197">
        <f>IF(INDEX(Transactions!$J:$J,ROW()-8)="",TODAY(),INDEX(Transactions!$G:$G,ROW()-8))</f>
      </c>
      <c r="F1197">
        <f>IF(INDEX(Transactions!$J:$J,ROW()-8)="",0,INDEX(Transactions!$O:$O,ROW()-8))</f>
      </c>
    </row>
    <row r="1198" spans="1:7">
      <c r="B1198">
        <f>IF(INDEX(Transactions!$J:$J,ROW()-8)="",TODAY(),INDEX(Transactions!$G:$G,ROW()-8))</f>
      </c>
      <c r="F1198">
        <f>IF(INDEX(Transactions!$J:$J,ROW()-8)="",0,INDEX(Transactions!$O:$O,ROW()-8))</f>
      </c>
    </row>
    <row r="1199" spans="1:7">
      <c r="B1199">
        <f>IF(INDEX(Transactions!$J:$J,ROW()-8)="",TODAY(),INDEX(Transactions!$G:$G,ROW()-8))</f>
      </c>
      <c r="F1199">
        <f>IF(INDEX(Transactions!$J:$J,ROW()-8)="",0,INDEX(Transactions!$O:$O,ROW()-8))</f>
      </c>
    </row>
    <row r="1200" spans="1:7">
      <c r="B1200">
        <f>IF(INDEX(Transactions!$J:$J,ROW()-8)="",TODAY(),INDEX(Transactions!$G:$G,ROW()-8))</f>
      </c>
      <c r="F1200">
        <f>IF(INDEX(Transactions!$J:$J,ROW()-8)="",0,INDEX(Transactions!$O:$O,ROW()-8))</f>
      </c>
    </row>
    <row r="1201" spans="1:7">
      <c r="B1201">
        <f>IF(INDEX(Transactions!$J:$J,ROW()-8)="",TODAY(),INDEX(Transactions!$G:$G,ROW()-8))</f>
      </c>
      <c r="F1201">
        <f>IF(INDEX(Transactions!$J:$J,ROW()-8)="",0,INDEX(Transactions!$O:$O,ROW()-8))</f>
      </c>
    </row>
    <row r="1202" spans="1:7">
      <c r="B1202">
        <f>IF(INDEX(Transactions!$J:$J,ROW()-8)="",TODAY(),INDEX(Transactions!$G:$G,ROW()-8))</f>
      </c>
      <c r="F1202">
        <f>IF(INDEX(Transactions!$J:$J,ROW()-8)="",0,INDEX(Transactions!$O:$O,ROW()-8))</f>
      </c>
    </row>
    <row r="1203" spans="1:7">
      <c r="B1203">
        <f>IF(INDEX(Transactions!$J:$J,ROW()-8)="",TODAY(),INDEX(Transactions!$G:$G,ROW()-8))</f>
      </c>
      <c r="F1203">
        <f>IF(INDEX(Transactions!$J:$J,ROW()-8)="",0,INDEX(Transactions!$O:$O,ROW()-8))</f>
      </c>
    </row>
    <row r="1204" spans="1:7">
      <c r="B1204">
        <f>IF(INDEX(Transactions!$J:$J,ROW()-8)="",TODAY(),INDEX(Transactions!$G:$G,ROW()-8))</f>
      </c>
      <c r="F1204">
        <f>IF(INDEX(Transactions!$J:$J,ROW()-8)="",0,INDEX(Transactions!$O:$O,ROW()-8))</f>
      </c>
    </row>
    <row r="1205" spans="1:7">
      <c r="B1205">
        <f>IF(INDEX(Transactions!$J:$J,ROW()-8)="",TODAY(),INDEX(Transactions!$G:$G,ROW()-8))</f>
      </c>
      <c r="F1205">
        <f>IF(INDEX(Transactions!$J:$J,ROW()-8)="",0,INDEX(Transactions!$O:$O,ROW()-8))</f>
      </c>
    </row>
    <row r="1206" spans="1:7">
      <c r="B1206">
        <f>IF(INDEX(Transactions!$J:$J,ROW()-8)="",TODAY(),INDEX(Transactions!$G:$G,ROW()-8))</f>
      </c>
      <c r="F1206">
        <f>IF(INDEX(Transactions!$J:$J,ROW()-8)="",0,INDEX(Transactions!$O:$O,ROW()-8))</f>
      </c>
    </row>
    <row r="1207" spans="1:7">
      <c r="B1207">
        <f>IF(INDEX(Transactions!$J:$J,ROW()-8)="",TODAY(),INDEX(Transactions!$G:$G,ROW()-8))</f>
      </c>
      <c r="F1207">
        <f>IF(INDEX(Transactions!$J:$J,ROW()-8)="",0,INDEX(Transactions!$O:$O,ROW()-8))</f>
      </c>
    </row>
    <row r="1208" spans="1:7">
      <c r="B1208">
        <f>IF(INDEX(Transactions!$J:$J,ROW()-8)="",TODAY(),INDEX(Transactions!$G:$G,ROW()-8))</f>
      </c>
      <c r="F1208">
        <f>IF(INDEX(Transactions!$J:$J,ROW()-8)="",0,INDEX(Transactions!$O:$O,ROW()-8))</f>
      </c>
    </row>
    <row r="1209" spans="1:7">
      <c r="B1209">
        <f>IF(INDEX(Transactions!$J:$J,ROW()-8)="",TODAY(),INDEX(Transactions!$G:$G,ROW()-8))</f>
      </c>
      <c r="F1209">
        <f>IF(INDEX(Transactions!$J:$J,ROW()-8)="",0,INDEX(Transactions!$O:$O,ROW()-8))</f>
      </c>
    </row>
    <row r="1210" spans="1:7">
      <c r="B1210">
        <f>IF(INDEX(Transactions!$J:$J,ROW()-8)="",TODAY(),INDEX(Transactions!$G:$G,ROW()-8))</f>
      </c>
      <c r="F1210">
        <f>IF(INDEX(Transactions!$J:$J,ROW()-8)="",0,INDEX(Transactions!$O:$O,ROW()-8))</f>
      </c>
    </row>
    <row r="1211" spans="1:7">
      <c r="B1211">
        <f>IF(INDEX(Transactions!$J:$J,ROW()-8)="",TODAY(),INDEX(Transactions!$G:$G,ROW()-8))</f>
      </c>
      <c r="F1211">
        <f>IF(INDEX(Transactions!$J:$J,ROW()-8)="",0,INDEX(Transactions!$O:$O,ROW()-8))</f>
      </c>
    </row>
    <row r="1212" spans="1:7">
      <c r="B1212">
        <f>IF(INDEX(Transactions!$J:$J,ROW()-8)="",TODAY(),INDEX(Transactions!$G:$G,ROW()-8))</f>
      </c>
      <c r="F1212">
        <f>IF(INDEX(Transactions!$J:$J,ROW()-8)="",0,INDEX(Transactions!$O:$O,ROW()-8))</f>
      </c>
    </row>
    <row r="1213" spans="1:7">
      <c r="B1213">
        <f>IF(INDEX(Transactions!$J:$J,ROW()-8)="",TODAY(),INDEX(Transactions!$G:$G,ROW()-8))</f>
      </c>
      <c r="F1213">
        <f>IF(INDEX(Transactions!$J:$J,ROW()-8)="",0,INDEX(Transactions!$O:$O,ROW()-8))</f>
      </c>
    </row>
    <row r="1214" spans="1:7">
      <c r="B1214">
        <f>IF(INDEX(Transactions!$J:$J,ROW()-8)="",TODAY(),INDEX(Transactions!$G:$G,ROW()-8))</f>
      </c>
      <c r="F1214">
        <f>IF(INDEX(Transactions!$J:$J,ROW()-8)="",0,INDEX(Transactions!$O:$O,ROW()-8))</f>
      </c>
    </row>
    <row r="1215" spans="1:7">
      <c r="B1215">
        <f>IF(INDEX(Transactions!$J:$J,ROW()-8)="",TODAY(),INDEX(Transactions!$G:$G,ROW()-8))</f>
      </c>
      <c r="F1215">
        <f>IF(INDEX(Transactions!$J:$J,ROW()-8)="",0,INDEX(Transactions!$O:$O,ROW()-8))</f>
      </c>
    </row>
    <row r="1216" spans="1:7">
      <c r="B1216">
        <f>IF(INDEX(Transactions!$J:$J,ROW()-8)="",TODAY(),INDEX(Transactions!$G:$G,ROW()-8))</f>
      </c>
      <c r="F1216">
        <f>IF(INDEX(Transactions!$J:$J,ROW()-8)="",0,INDEX(Transactions!$O:$O,ROW()-8))</f>
      </c>
    </row>
    <row r="1217" spans="1:7">
      <c r="B1217">
        <f>IF(INDEX(Transactions!$J:$J,ROW()-8)="",TODAY(),INDEX(Transactions!$G:$G,ROW()-8))</f>
      </c>
      <c r="F1217">
        <f>IF(INDEX(Transactions!$J:$J,ROW()-8)="",0,INDEX(Transactions!$O:$O,ROW()-8))</f>
      </c>
    </row>
    <row r="1218" spans="1:7">
      <c r="B1218">
        <f>IF(INDEX(Transactions!$J:$J,ROW()-8)="",TODAY(),INDEX(Transactions!$G:$G,ROW()-8))</f>
      </c>
      <c r="F1218">
        <f>IF(INDEX(Transactions!$J:$J,ROW()-8)="",0,INDEX(Transactions!$O:$O,ROW()-8))</f>
      </c>
    </row>
    <row r="1219" spans="1:7">
      <c r="B1219">
        <f>IF(INDEX(Transactions!$J:$J,ROW()-8)="",TODAY(),INDEX(Transactions!$G:$G,ROW()-8))</f>
      </c>
      <c r="F1219">
        <f>IF(INDEX(Transactions!$J:$J,ROW()-8)="",0,INDEX(Transactions!$O:$O,ROW()-8))</f>
      </c>
    </row>
    <row r="1220" spans="1:7">
      <c r="B1220">
        <f>IF(INDEX(Transactions!$J:$J,ROW()-8)="",TODAY(),INDEX(Transactions!$G:$G,ROW()-8))</f>
      </c>
      <c r="F1220">
        <f>IF(INDEX(Transactions!$J:$J,ROW()-8)="",0,INDEX(Transactions!$O:$O,ROW()-8))</f>
      </c>
    </row>
    <row r="1221" spans="1:7">
      <c r="B1221">
        <f>IF(INDEX(Transactions!$J:$J,ROW()-8)="",TODAY(),INDEX(Transactions!$G:$G,ROW()-8))</f>
      </c>
      <c r="F1221">
        <f>IF(INDEX(Transactions!$J:$J,ROW()-8)="",0,INDEX(Transactions!$O:$O,ROW()-8))</f>
      </c>
    </row>
    <row r="1222" spans="1:7">
      <c r="B1222">
        <f>IF(INDEX(Transactions!$J:$J,ROW()-8)="",TODAY(),INDEX(Transactions!$G:$G,ROW()-8))</f>
      </c>
      <c r="F1222">
        <f>IF(INDEX(Transactions!$J:$J,ROW()-8)="",0,INDEX(Transactions!$O:$O,ROW()-8))</f>
      </c>
    </row>
    <row r="1223" spans="1:7">
      <c r="B1223">
        <f>IF(INDEX(Transactions!$J:$J,ROW()-8)="",TODAY(),INDEX(Transactions!$G:$G,ROW()-8))</f>
      </c>
      <c r="F1223">
        <f>IF(INDEX(Transactions!$J:$J,ROW()-8)="",0,INDEX(Transactions!$O:$O,ROW()-8))</f>
      </c>
    </row>
    <row r="1224" spans="1:7">
      <c r="B1224">
        <f>IF(INDEX(Transactions!$J:$J,ROW()-8)="",TODAY(),INDEX(Transactions!$G:$G,ROW()-8))</f>
      </c>
      <c r="F1224">
        <f>IF(INDEX(Transactions!$J:$J,ROW()-8)="",0,INDEX(Transactions!$O:$O,ROW()-8))</f>
      </c>
    </row>
    <row r="1225" spans="1:7">
      <c r="B1225">
        <f>IF(INDEX(Transactions!$J:$J,ROW()-8)="",TODAY(),INDEX(Transactions!$G:$G,ROW()-8))</f>
      </c>
      <c r="F1225">
        <f>IF(INDEX(Transactions!$J:$J,ROW()-8)="",0,INDEX(Transactions!$O:$O,ROW()-8))</f>
      </c>
    </row>
    <row r="1226" spans="1:7">
      <c r="B1226">
        <f>IF(INDEX(Transactions!$J:$J,ROW()-8)="",TODAY(),INDEX(Transactions!$G:$G,ROW()-8))</f>
      </c>
      <c r="F1226">
        <f>IF(INDEX(Transactions!$J:$J,ROW()-8)="",0,INDEX(Transactions!$O:$O,ROW()-8))</f>
      </c>
    </row>
    <row r="1227" spans="1:7">
      <c r="B1227">
        <f>IF(INDEX(Transactions!$J:$J,ROW()-8)="",TODAY(),INDEX(Transactions!$G:$G,ROW()-8))</f>
      </c>
      <c r="F1227">
        <f>IF(INDEX(Transactions!$J:$J,ROW()-8)="",0,INDEX(Transactions!$O:$O,ROW()-8))</f>
      </c>
    </row>
    <row r="1228" spans="1:7">
      <c r="B1228">
        <f>IF(INDEX(Transactions!$J:$J,ROW()-8)="",TODAY(),INDEX(Transactions!$G:$G,ROW()-8))</f>
      </c>
      <c r="F1228">
        <f>IF(INDEX(Transactions!$J:$J,ROW()-8)="",0,INDEX(Transactions!$O:$O,ROW()-8))</f>
      </c>
    </row>
    <row r="1229" spans="1:7">
      <c r="B1229">
        <f>IF(INDEX(Transactions!$J:$J,ROW()-8)="",TODAY(),INDEX(Transactions!$G:$G,ROW()-8))</f>
      </c>
      <c r="F1229">
        <f>IF(INDEX(Transactions!$J:$J,ROW()-8)="",0,INDEX(Transactions!$O:$O,ROW()-8))</f>
      </c>
    </row>
    <row r="1230" spans="1:7">
      <c r="B1230">
        <f>IF(INDEX(Transactions!$J:$J,ROW()-8)="",TODAY(),INDEX(Transactions!$G:$G,ROW()-8))</f>
      </c>
      <c r="F1230">
        <f>IF(INDEX(Transactions!$J:$J,ROW()-8)="",0,INDEX(Transactions!$O:$O,ROW()-8))</f>
      </c>
    </row>
    <row r="1231" spans="1:7">
      <c r="B1231">
        <f>IF(INDEX(Transactions!$J:$J,ROW()-8)="",TODAY(),INDEX(Transactions!$G:$G,ROW()-8))</f>
      </c>
      <c r="F1231">
        <f>IF(INDEX(Transactions!$J:$J,ROW()-8)="",0,INDEX(Transactions!$O:$O,ROW()-8))</f>
      </c>
    </row>
    <row r="1232" spans="1:7">
      <c r="B1232">
        <f>IF(INDEX(Transactions!$J:$J,ROW()-8)="",TODAY(),INDEX(Transactions!$G:$G,ROW()-8))</f>
      </c>
      <c r="F1232">
        <f>IF(INDEX(Transactions!$J:$J,ROW()-8)="",0,INDEX(Transactions!$O:$O,ROW()-8))</f>
      </c>
    </row>
    <row r="1233" spans="1:7">
      <c r="B1233">
        <f>IF(INDEX(Transactions!$J:$J,ROW()-8)="",TODAY(),INDEX(Transactions!$G:$G,ROW()-8))</f>
      </c>
      <c r="F1233">
        <f>IF(INDEX(Transactions!$J:$J,ROW()-8)="",0,INDEX(Transactions!$O:$O,ROW()-8))</f>
      </c>
    </row>
    <row r="1234" spans="1:7">
      <c r="B1234">
        <f>IF(INDEX(Transactions!$J:$J,ROW()-8)="",TODAY(),INDEX(Transactions!$G:$G,ROW()-8))</f>
      </c>
      <c r="F1234">
        <f>IF(INDEX(Transactions!$J:$J,ROW()-8)="",0,INDEX(Transactions!$O:$O,ROW()-8))</f>
      </c>
    </row>
    <row r="1235" spans="1:7">
      <c r="B1235">
        <f>IF(INDEX(Transactions!$J:$J,ROW()-8)="",TODAY(),INDEX(Transactions!$G:$G,ROW()-8))</f>
      </c>
      <c r="F1235">
        <f>IF(INDEX(Transactions!$J:$J,ROW()-8)="",0,INDEX(Transactions!$O:$O,ROW()-8))</f>
      </c>
    </row>
    <row r="1236" spans="1:7">
      <c r="B1236">
        <f>IF(INDEX(Transactions!$J:$J,ROW()-8)="",TODAY(),INDEX(Transactions!$G:$G,ROW()-8))</f>
      </c>
      <c r="F1236">
        <f>IF(INDEX(Transactions!$J:$J,ROW()-8)="",0,INDEX(Transactions!$O:$O,ROW()-8))</f>
      </c>
    </row>
    <row r="1237" spans="1:7">
      <c r="B1237">
        <f>IF(INDEX(Transactions!$J:$J,ROW()-8)="",TODAY(),INDEX(Transactions!$G:$G,ROW()-8))</f>
      </c>
      <c r="F1237">
        <f>IF(INDEX(Transactions!$J:$J,ROW()-8)="",0,INDEX(Transactions!$O:$O,ROW()-8))</f>
      </c>
    </row>
    <row r="1238" spans="1:7">
      <c r="B1238">
        <f>IF(INDEX(Transactions!$J:$J,ROW()-8)="",TODAY(),INDEX(Transactions!$G:$G,ROW()-8))</f>
      </c>
      <c r="F1238">
        <f>IF(INDEX(Transactions!$J:$J,ROW()-8)="",0,INDEX(Transactions!$O:$O,ROW()-8))</f>
      </c>
    </row>
    <row r="1239" spans="1:7">
      <c r="B1239">
        <f>IF(INDEX(Transactions!$J:$J,ROW()-8)="",TODAY(),INDEX(Transactions!$G:$G,ROW()-8))</f>
      </c>
      <c r="F1239">
        <f>IF(INDEX(Transactions!$J:$J,ROW()-8)="",0,INDEX(Transactions!$O:$O,ROW()-8))</f>
      </c>
    </row>
    <row r="1240" spans="1:7">
      <c r="B1240">
        <f>IF(INDEX(Transactions!$J:$J,ROW()-8)="",TODAY(),INDEX(Transactions!$G:$G,ROW()-8))</f>
      </c>
      <c r="F1240">
        <f>IF(INDEX(Transactions!$J:$J,ROW()-8)="",0,INDEX(Transactions!$O:$O,ROW()-8))</f>
      </c>
    </row>
    <row r="1241" spans="1:7">
      <c r="B1241">
        <f>IF(INDEX(Transactions!$J:$J,ROW()-8)="",TODAY(),INDEX(Transactions!$G:$G,ROW()-8))</f>
      </c>
      <c r="F1241">
        <f>IF(INDEX(Transactions!$J:$J,ROW()-8)="",0,INDEX(Transactions!$O:$O,ROW()-8))</f>
      </c>
    </row>
    <row r="1242" spans="1:7">
      <c r="B1242">
        <f>IF(INDEX(Transactions!$J:$J,ROW()-8)="",TODAY(),INDEX(Transactions!$G:$G,ROW()-8))</f>
      </c>
      <c r="F1242">
        <f>IF(INDEX(Transactions!$J:$J,ROW()-8)="",0,INDEX(Transactions!$O:$O,ROW()-8))</f>
      </c>
    </row>
    <row r="1243" spans="1:7">
      <c r="B1243">
        <f>IF(INDEX(Transactions!$J:$J,ROW()-8)="",TODAY(),INDEX(Transactions!$G:$G,ROW()-8))</f>
      </c>
      <c r="F1243">
        <f>IF(INDEX(Transactions!$J:$J,ROW()-8)="",0,INDEX(Transactions!$O:$O,ROW()-8))</f>
      </c>
    </row>
    <row r="1244" spans="1:7">
      <c r="B1244">
        <f>IF(INDEX(Transactions!$J:$J,ROW()-8)="",TODAY(),INDEX(Transactions!$G:$G,ROW()-8))</f>
      </c>
      <c r="F1244">
        <f>IF(INDEX(Transactions!$J:$J,ROW()-8)="",0,INDEX(Transactions!$O:$O,ROW()-8))</f>
      </c>
    </row>
    <row r="1245" spans="1:7">
      <c r="B1245">
        <f>IF(INDEX(Transactions!$J:$J,ROW()-8)="",TODAY(),INDEX(Transactions!$G:$G,ROW()-8))</f>
      </c>
      <c r="F1245">
        <f>IF(INDEX(Transactions!$J:$J,ROW()-8)="",0,INDEX(Transactions!$O:$O,ROW()-8))</f>
      </c>
    </row>
    <row r="1246" spans="1:7">
      <c r="B1246">
        <f>IF(INDEX(Transactions!$J:$J,ROW()-8)="",TODAY(),INDEX(Transactions!$G:$G,ROW()-8))</f>
      </c>
      <c r="F1246">
        <f>IF(INDEX(Transactions!$J:$J,ROW()-8)="",0,INDEX(Transactions!$O:$O,ROW()-8))</f>
      </c>
    </row>
    <row r="1247" spans="1:7">
      <c r="B1247">
        <f>IF(INDEX(Transactions!$J:$J,ROW()-8)="",TODAY(),INDEX(Transactions!$G:$G,ROW()-8))</f>
      </c>
      <c r="F1247">
        <f>IF(INDEX(Transactions!$J:$J,ROW()-8)="",0,INDEX(Transactions!$O:$O,ROW()-8))</f>
      </c>
    </row>
    <row r="1248" spans="1:7">
      <c r="B1248">
        <f>IF(INDEX(Transactions!$J:$J,ROW()-8)="",TODAY(),INDEX(Transactions!$G:$G,ROW()-8))</f>
      </c>
      <c r="F1248">
        <f>IF(INDEX(Transactions!$J:$J,ROW()-8)="",0,INDEX(Transactions!$O:$O,ROW()-8))</f>
      </c>
    </row>
    <row r="1249" spans="1:7">
      <c r="B1249">
        <f>IF(INDEX(Transactions!$J:$J,ROW()-8)="",TODAY(),INDEX(Transactions!$G:$G,ROW()-8))</f>
      </c>
      <c r="F1249">
        <f>IF(INDEX(Transactions!$J:$J,ROW()-8)="",0,INDEX(Transactions!$O:$O,ROW()-8))</f>
      </c>
    </row>
    <row r="1250" spans="1:7">
      <c r="B1250">
        <f>IF(INDEX(Transactions!$J:$J,ROW()-8)="",TODAY(),INDEX(Transactions!$G:$G,ROW()-8))</f>
      </c>
      <c r="F1250">
        <f>IF(INDEX(Transactions!$J:$J,ROW()-8)="",0,INDEX(Transactions!$O:$O,ROW()-8))</f>
      </c>
    </row>
    <row r="1251" spans="1:7">
      <c r="B1251">
        <f>IF(INDEX(Transactions!$J:$J,ROW()-8)="",TODAY(),INDEX(Transactions!$G:$G,ROW()-8))</f>
      </c>
      <c r="F1251">
        <f>IF(INDEX(Transactions!$J:$J,ROW()-8)="",0,INDEX(Transactions!$O:$O,ROW()-8))</f>
      </c>
    </row>
    <row r="1252" spans="1:7">
      <c r="B1252">
        <f>IF(INDEX(Transactions!$J:$J,ROW()-8)="",TODAY(),INDEX(Transactions!$G:$G,ROW()-8))</f>
      </c>
      <c r="F1252">
        <f>IF(INDEX(Transactions!$J:$J,ROW()-8)="",0,INDEX(Transactions!$O:$O,ROW()-8))</f>
      </c>
    </row>
    <row r="1253" spans="1:7">
      <c r="B1253">
        <f>IF(INDEX(Transactions!$J:$J,ROW()-8)="",TODAY(),INDEX(Transactions!$G:$G,ROW()-8))</f>
      </c>
      <c r="F1253">
        <f>IF(INDEX(Transactions!$J:$J,ROW()-8)="",0,INDEX(Transactions!$O:$O,ROW()-8))</f>
      </c>
    </row>
    <row r="1254" spans="1:7">
      <c r="B1254">
        <f>IF(INDEX(Transactions!$J:$J,ROW()-8)="",TODAY(),INDEX(Transactions!$G:$G,ROW()-8))</f>
      </c>
      <c r="F1254">
        <f>IF(INDEX(Transactions!$J:$J,ROW()-8)="",0,INDEX(Transactions!$O:$O,ROW()-8))</f>
      </c>
    </row>
    <row r="1255" spans="1:7">
      <c r="B1255">
        <f>IF(INDEX(Transactions!$J:$J,ROW()-8)="",TODAY(),INDEX(Transactions!$G:$G,ROW()-8))</f>
      </c>
      <c r="F1255">
        <f>IF(INDEX(Transactions!$J:$J,ROW()-8)="",0,INDEX(Transactions!$O:$O,ROW()-8))</f>
      </c>
    </row>
    <row r="1256" spans="1:7">
      <c r="B1256">
        <f>IF(INDEX(Transactions!$J:$J,ROW()-8)="",TODAY(),INDEX(Transactions!$G:$G,ROW()-8))</f>
      </c>
      <c r="F1256">
        <f>IF(INDEX(Transactions!$J:$J,ROW()-8)="",0,INDEX(Transactions!$O:$O,ROW()-8))</f>
      </c>
    </row>
    <row r="1257" spans="1:7">
      <c r="B1257">
        <f>IF(INDEX(Transactions!$J:$J,ROW()-8)="",TODAY(),INDEX(Transactions!$G:$G,ROW()-8))</f>
      </c>
      <c r="F1257">
        <f>IF(INDEX(Transactions!$J:$J,ROW()-8)="",0,INDEX(Transactions!$O:$O,ROW()-8))</f>
      </c>
    </row>
    <row r="1258" spans="1:7">
      <c r="B1258">
        <f>IF(INDEX(Transactions!$J:$J,ROW()-8)="",TODAY(),INDEX(Transactions!$G:$G,ROW()-8))</f>
      </c>
      <c r="F1258">
        <f>IF(INDEX(Transactions!$J:$J,ROW()-8)="",0,INDEX(Transactions!$O:$O,ROW()-8))</f>
      </c>
    </row>
    <row r="1259" spans="1:7">
      <c r="B1259">
        <f>IF(INDEX(Transactions!$J:$J,ROW()-8)="",TODAY(),INDEX(Transactions!$G:$G,ROW()-8))</f>
      </c>
      <c r="F1259">
        <f>IF(INDEX(Transactions!$J:$J,ROW()-8)="",0,INDEX(Transactions!$O:$O,ROW()-8))</f>
      </c>
    </row>
    <row r="1260" spans="1:7">
      <c r="B1260">
        <f>IF(INDEX(Transactions!$J:$J,ROW()-8)="",TODAY(),INDEX(Transactions!$G:$G,ROW()-8))</f>
      </c>
      <c r="F1260">
        <f>IF(INDEX(Transactions!$J:$J,ROW()-8)="",0,INDEX(Transactions!$O:$O,ROW()-8))</f>
      </c>
    </row>
    <row r="1261" spans="1:7">
      <c r="B1261">
        <f>IF(INDEX(Transactions!$J:$J,ROW()-8)="",TODAY(),INDEX(Transactions!$G:$G,ROW()-8))</f>
      </c>
      <c r="F1261">
        <f>IF(INDEX(Transactions!$J:$J,ROW()-8)="",0,INDEX(Transactions!$O:$O,ROW()-8))</f>
      </c>
    </row>
    <row r="1262" spans="1:7">
      <c r="B1262">
        <f>IF(INDEX(Transactions!$J:$J,ROW()-8)="",TODAY(),INDEX(Transactions!$G:$G,ROW()-8))</f>
      </c>
      <c r="F1262">
        <f>IF(INDEX(Transactions!$J:$J,ROW()-8)="",0,INDEX(Transactions!$O:$O,ROW()-8))</f>
      </c>
    </row>
    <row r="1263" spans="1:7">
      <c r="B1263">
        <f>IF(INDEX(Transactions!$J:$J,ROW()-8)="",TODAY(),INDEX(Transactions!$G:$G,ROW()-8))</f>
      </c>
      <c r="F1263">
        <f>IF(INDEX(Transactions!$J:$J,ROW()-8)="",0,INDEX(Transactions!$O:$O,ROW()-8))</f>
      </c>
    </row>
    <row r="1264" spans="1:7">
      <c r="B1264">
        <f>IF(INDEX(Transactions!$J:$J,ROW()-8)="",TODAY(),INDEX(Transactions!$G:$G,ROW()-8))</f>
      </c>
      <c r="F1264">
        <f>IF(INDEX(Transactions!$J:$J,ROW()-8)="",0,INDEX(Transactions!$O:$O,ROW()-8))</f>
      </c>
    </row>
    <row r="1265" spans="1:7">
      <c r="B1265">
        <f>IF(INDEX(Transactions!$J:$J,ROW()-8)="",TODAY(),INDEX(Transactions!$G:$G,ROW()-8))</f>
      </c>
      <c r="F1265">
        <f>IF(INDEX(Transactions!$J:$J,ROW()-8)="",0,INDEX(Transactions!$O:$O,ROW()-8))</f>
      </c>
    </row>
    <row r="1266" spans="1:7">
      <c r="B1266">
        <f>IF(INDEX(Transactions!$J:$J,ROW()-8)="",TODAY(),INDEX(Transactions!$G:$G,ROW()-8))</f>
      </c>
      <c r="F1266">
        <f>IF(INDEX(Transactions!$J:$J,ROW()-8)="",0,INDEX(Transactions!$O:$O,ROW()-8))</f>
      </c>
    </row>
    <row r="1267" spans="1:7">
      <c r="B1267">
        <f>IF(INDEX(Transactions!$J:$J,ROW()-8)="",TODAY(),INDEX(Transactions!$G:$G,ROW()-8))</f>
      </c>
      <c r="F1267">
        <f>IF(INDEX(Transactions!$J:$J,ROW()-8)="",0,INDEX(Transactions!$O:$O,ROW()-8))</f>
      </c>
    </row>
    <row r="1268" spans="1:7">
      <c r="B1268">
        <f>IF(INDEX(Transactions!$J:$J,ROW()-8)="",TODAY(),INDEX(Transactions!$G:$G,ROW()-8))</f>
      </c>
      <c r="F1268">
        <f>IF(INDEX(Transactions!$J:$J,ROW()-8)="",0,INDEX(Transactions!$O:$O,ROW()-8))</f>
      </c>
    </row>
    <row r="1269" spans="1:7">
      <c r="B1269">
        <f>IF(INDEX(Transactions!$J:$J,ROW()-8)="",TODAY(),INDEX(Transactions!$G:$G,ROW()-8))</f>
      </c>
      <c r="F1269">
        <f>IF(INDEX(Transactions!$J:$J,ROW()-8)="",0,INDEX(Transactions!$O:$O,ROW()-8))</f>
      </c>
    </row>
    <row r="1270" spans="1:7">
      <c r="B1270">
        <f>IF(INDEX(Transactions!$J:$J,ROW()-8)="",TODAY(),INDEX(Transactions!$G:$G,ROW()-8))</f>
      </c>
      <c r="F1270">
        <f>IF(INDEX(Transactions!$J:$J,ROW()-8)="",0,INDEX(Transactions!$O:$O,ROW()-8))</f>
      </c>
    </row>
    <row r="1271" spans="1:7">
      <c r="B1271">
        <f>IF(INDEX(Transactions!$J:$J,ROW()-8)="",TODAY(),INDEX(Transactions!$G:$G,ROW()-8))</f>
      </c>
      <c r="F1271">
        <f>IF(INDEX(Transactions!$J:$J,ROW()-8)="",0,INDEX(Transactions!$O:$O,ROW()-8))</f>
      </c>
    </row>
    <row r="1272" spans="1:7">
      <c r="B1272">
        <f>IF(INDEX(Transactions!$J:$J,ROW()-8)="",TODAY(),INDEX(Transactions!$G:$G,ROW()-8))</f>
      </c>
      <c r="F1272">
        <f>IF(INDEX(Transactions!$J:$J,ROW()-8)="",0,INDEX(Transactions!$O:$O,ROW()-8))</f>
      </c>
    </row>
    <row r="1273" spans="1:7">
      <c r="B1273">
        <f>IF(INDEX(Transactions!$J:$J,ROW()-8)="",TODAY(),INDEX(Transactions!$G:$G,ROW()-8))</f>
      </c>
      <c r="F1273">
        <f>IF(INDEX(Transactions!$J:$J,ROW()-8)="",0,INDEX(Transactions!$O:$O,ROW()-8))</f>
      </c>
    </row>
    <row r="1274" spans="1:7">
      <c r="B1274">
        <f>IF(INDEX(Transactions!$J:$J,ROW()-8)="",TODAY(),INDEX(Transactions!$G:$G,ROW()-8))</f>
      </c>
      <c r="F1274">
        <f>IF(INDEX(Transactions!$J:$J,ROW()-8)="",0,INDEX(Transactions!$O:$O,ROW()-8))</f>
      </c>
    </row>
    <row r="1275" spans="1:7">
      <c r="B1275">
        <f>IF(INDEX(Transactions!$J:$J,ROW()-8)="",TODAY(),INDEX(Transactions!$G:$G,ROW()-8))</f>
      </c>
      <c r="F1275">
        <f>IF(INDEX(Transactions!$J:$J,ROW()-8)="",0,INDEX(Transactions!$O:$O,ROW()-8))</f>
      </c>
    </row>
    <row r="1276" spans="1:7">
      <c r="B1276">
        <f>IF(INDEX(Transactions!$J:$J,ROW()-8)="",TODAY(),INDEX(Transactions!$G:$G,ROW()-8))</f>
      </c>
      <c r="F1276">
        <f>IF(INDEX(Transactions!$J:$J,ROW()-8)="",0,INDEX(Transactions!$O:$O,ROW()-8))</f>
      </c>
    </row>
    <row r="1277" spans="1:7">
      <c r="B1277">
        <f>IF(INDEX(Transactions!$J:$J,ROW()-8)="",TODAY(),INDEX(Transactions!$G:$G,ROW()-8))</f>
      </c>
      <c r="F1277">
        <f>IF(INDEX(Transactions!$J:$J,ROW()-8)="",0,INDEX(Transactions!$O:$O,ROW()-8))</f>
      </c>
    </row>
    <row r="1278" spans="1:7">
      <c r="B1278">
        <f>IF(INDEX(Transactions!$J:$J,ROW()-8)="",TODAY(),INDEX(Transactions!$G:$G,ROW()-8))</f>
      </c>
      <c r="F1278">
        <f>IF(INDEX(Transactions!$J:$J,ROW()-8)="",0,INDEX(Transactions!$O:$O,ROW()-8))</f>
      </c>
    </row>
    <row r="1279" spans="1:7">
      <c r="B1279">
        <f>IF(INDEX(Transactions!$J:$J,ROW()-8)="",TODAY(),INDEX(Transactions!$G:$G,ROW()-8))</f>
      </c>
      <c r="F1279">
        <f>IF(INDEX(Transactions!$J:$J,ROW()-8)="",0,INDEX(Transactions!$O:$O,ROW()-8))</f>
      </c>
    </row>
    <row r="1280" spans="1:7">
      <c r="B1280">
        <f>IF(INDEX(Transactions!$J:$J,ROW()-8)="",TODAY(),INDEX(Transactions!$G:$G,ROW()-8))</f>
      </c>
      <c r="F1280">
        <f>IF(INDEX(Transactions!$J:$J,ROW()-8)="",0,INDEX(Transactions!$O:$O,ROW()-8))</f>
      </c>
    </row>
    <row r="1281" spans="1:7">
      <c r="B1281">
        <f>IF(INDEX(Transactions!$J:$J,ROW()-8)="",TODAY(),INDEX(Transactions!$G:$G,ROW()-8))</f>
      </c>
      <c r="F1281">
        <f>IF(INDEX(Transactions!$J:$J,ROW()-8)="",0,INDEX(Transactions!$O:$O,ROW()-8))</f>
      </c>
    </row>
    <row r="1282" spans="1:7">
      <c r="B1282">
        <f>IF(INDEX(Transactions!$J:$J,ROW()-8)="",TODAY(),INDEX(Transactions!$G:$G,ROW()-8))</f>
      </c>
      <c r="F1282">
        <f>IF(INDEX(Transactions!$J:$J,ROW()-8)="",0,INDEX(Transactions!$O:$O,ROW()-8))</f>
      </c>
    </row>
    <row r="1283" spans="1:7">
      <c r="B1283">
        <f>IF(INDEX(Transactions!$J:$J,ROW()-8)="",TODAY(),INDEX(Transactions!$G:$G,ROW()-8))</f>
      </c>
      <c r="F1283">
        <f>IF(INDEX(Transactions!$J:$J,ROW()-8)="",0,INDEX(Transactions!$O:$O,ROW()-8))</f>
      </c>
    </row>
    <row r="1284" spans="1:7">
      <c r="B1284">
        <f>IF(INDEX(Transactions!$J:$J,ROW()-8)="",TODAY(),INDEX(Transactions!$G:$G,ROW()-8))</f>
      </c>
      <c r="F1284">
        <f>IF(INDEX(Transactions!$J:$J,ROW()-8)="",0,INDEX(Transactions!$O:$O,ROW()-8))</f>
      </c>
    </row>
    <row r="1285" spans="1:7">
      <c r="B1285">
        <f>IF(INDEX(Transactions!$J:$J,ROW()-8)="",TODAY(),INDEX(Transactions!$G:$G,ROW()-8))</f>
      </c>
      <c r="F1285">
        <f>IF(INDEX(Transactions!$J:$J,ROW()-8)="",0,INDEX(Transactions!$O:$O,ROW()-8))</f>
      </c>
    </row>
    <row r="1286" spans="1:7">
      <c r="B1286">
        <f>IF(INDEX(Transactions!$J:$J,ROW()-8)="",TODAY(),INDEX(Transactions!$G:$G,ROW()-8))</f>
      </c>
      <c r="F1286">
        <f>IF(INDEX(Transactions!$J:$J,ROW()-8)="",0,INDEX(Transactions!$O:$O,ROW()-8))</f>
      </c>
    </row>
    <row r="1287" spans="1:7">
      <c r="B1287">
        <f>IF(INDEX(Transactions!$J:$J,ROW()-8)="",TODAY(),INDEX(Transactions!$G:$G,ROW()-8))</f>
      </c>
      <c r="F1287">
        <f>IF(INDEX(Transactions!$J:$J,ROW()-8)="",0,INDEX(Transactions!$O:$O,ROW()-8))</f>
      </c>
    </row>
    <row r="1288" spans="1:7">
      <c r="B1288">
        <f>IF(INDEX(Transactions!$J:$J,ROW()-8)="",TODAY(),INDEX(Transactions!$G:$G,ROW()-8))</f>
      </c>
      <c r="F1288">
        <f>IF(INDEX(Transactions!$J:$J,ROW()-8)="",0,INDEX(Transactions!$O:$O,ROW()-8))</f>
      </c>
    </row>
    <row r="1289" spans="1:7">
      <c r="B1289">
        <f>IF(INDEX(Transactions!$J:$J,ROW()-8)="",TODAY(),INDEX(Transactions!$G:$G,ROW()-8))</f>
      </c>
      <c r="F1289">
        <f>IF(INDEX(Transactions!$J:$J,ROW()-8)="",0,INDEX(Transactions!$O:$O,ROW()-8))</f>
      </c>
    </row>
    <row r="1290" spans="1:7">
      <c r="B1290">
        <f>IF(INDEX(Transactions!$J:$J,ROW()-8)="",TODAY(),INDEX(Transactions!$G:$G,ROW()-8))</f>
      </c>
      <c r="F1290">
        <f>IF(INDEX(Transactions!$J:$J,ROW()-8)="",0,INDEX(Transactions!$O:$O,ROW()-8))</f>
      </c>
    </row>
    <row r="1291" spans="1:7">
      <c r="B1291">
        <f>IF(INDEX(Transactions!$J:$J,ROW()-8)="",TODAY(),INDEX(Transactions!$G:$G,ROW()-8))</f>
      </c>
      <c r="F1291">
        <f>IF(INDEX(Transactions!$J:$J,ROW()-8)="",0,INDEX(Transactions!$O:$O,ROW()-8))</f>
      </c>
    </row>
    <row r="1292" spans="1:7">
      <c r="B1292">
        <f>IF(INDEX(Transactions!$J:$J,ROW()-8)="",TODAY(),INDEX(Transactions!$G:$G,ROW()-8))</f>
      </c>
      <c r="F1292">
        <f>IF(INDEX(Transactions!$J:$J,ROW()-8)="",0,INDEX(Transactions!$O:$O,ROW()-8))</f>
      </c>
    </row>
    <row r="1293" spans="1:7">
      <c r="B1293">
        <f>IF(INDEX(Transactions!$J:$J,ROW()-8)="",TODAY(),INDEX(Transactions!$G:$G,ROW()-8))</f>
      </c>
      <c r="F1293">
        <f>IF(INDEX(Transactions!$J:$J,ROW()-8)="",0,INDEX(Transactions!$O:$O,ROW()-8))</f>
      </c>
    </row>
    <row r="1294" spans="1:7">
      <c r="B1294">
        <f>IF(INDEX(Transactions!$J:$J,ROW()-8)="",TODAY(),INDEX(Transactions!$G:$G,ROW()-8))</f>
      </c>
      <c r="F1294">
        <f>IF(INDEX(Transactions!$J:$J,ROW()-8)="",0,INDEX(Transactions!$O:$O,ROW()-8))</f>
      </c>
    </row>
    <row r="1295" spans="1:7">
      <c r="B1295">
        <f>IF(INDEX(Transactions!$J:$J,ROW()-8)="",TODAY(),INDEX(Transactions!$G:$G,ROW()-8))</f>
      </c>
      <c r="F1295">
        <f>IF(INDEX(Transactions!$J:$J,ROW()-8)="",0,INDEX(Transactions!$O:$O,ROW()-8))</f>
      </c>
    </row>
    <row r="1296" spans="1:7">
      <c r="B1296">
        <f>IF(INDEX(Transactions!$J:$J,ROW()-8)="",TODAY(),INDEX(Transactions!$G:$G,ROW()-8))</f>
      </c>
      <c r="F1296">
        <f>IF(INDEX(Transactions!$J:$J,ROW()-8)="",0,INDEX(Transactions!$O:$O,ROW()-8))</f>
      </c>
    </row>
    <row r="1297" spans="1:7">
      <c r="B1297">
        <f>IF(INDEX(Transactions!$J:$J,ROW()-8)="",TODAY(),INDEX(Transactions!$G:$G,ROW()-8))</f>
      </c>
      <c r="F1297">
        <f>IF(INDEX(Transactions!$J:$J,ROW()-8)="",0,INDEX(Transactions!$O:$O,ROW()-8))</f>
      </c>
    </row>
    <row r="1298" spans="1:7">
      <c r="B1298">
        <f>IF(INDEX(Transactions!$J:$J,ROW()-8)="",TODAY(),INDEX(Transactions!$G:$G,ROW()-8))</f>
      </c>
      <c r="F1298">
        <f>IF(INDEX(Transactions!$J:$J,ROW()-8)="",0,INDEX(Transactions!$O:$O,ROW()-8))</f>
      </c>
    </row>
    <row r="1299" spans="1:7">
      <c r="B1299">
        <f>IF(INDEX(Transactions!$J:$J,ROW()-8)="",TODAY(),INDEX(Transactions!$G:$G,ROW()-8))</f>
      </c>
      <c r="F1299">
        <f>IF(INDEX(Transactions!$J:$J,ROW()-8)="",0,INDEX(Transactions!$O:$O,ROW()-8))</f>
      </c>
    </row>
    <row r="1300" spans="1:7">
      <c r="B1300">
        <f>IF(INDEX(Transactions!$J:$J,ROW()-8)="",TODAY(),INDEX(Transactions!$G:$G,ROW()-8))</f>
      </c>
      <c r="F1300">
        <f>IF(INDEX(Transactions!$J:$J,ROW()-8)="",0,INDEX(Transactions!$O:$O,ROW()-8))</f>
      </c>
    </row>
    <row r="1301" spans="1:7">
      <c r="B1301">
        <f>IF(INDEX(Transactions!$J:$J,ROW()-8)="",TODAY(),INDEX(Transactions!$G:$G,ROW()-8))</f>
      </c>
      <c r="F1301">
        <f>IF(INDEX(Transactions!$J:$J,ROW()-8)="",0,INDEX(Transactions!$O:$O,ROW()-8))</f>
      </c>
    </row>
    <row r="1302" spans="1:7">
      <c r="B1302">
        <f>IF(INDEX(Transactions!$J:$J,ROW()-8)="",TODAY(),INDEX(Transactions!$G:$G,ROW()-8))</f>
      </c>
      <c r="F1302">
        <f>IF(INDEX(Transactions!$J:$J,ROW()-8)="",0,INDEX(Transactions!$O:$O,ROW()-8))</f>
      </c>
    </row>
    <row r="1303" spans="1:7">
      <c r="B1303">
        <f>IF(INDEX(Transactions!$J:$J,ROW()-8)="",TODAY(),INDEX(Transactions!$G:$G,ROW()-8))</f>
      </c>
      <c r="F1303">
        <f>IF(INDEX(Transactions!$J:$J,ROW()-8)="",0,INDEX(Transactions!$O:$O,ROW()-8))</f>
      </c>
    </row>
    <row r="1304" spans="1:7">
      <c r="B1304">
        <f>IF(INDEX(Transactions!$J:$J,ROW()-8)="",TODAY(),INDEX(Transactions!$G:$G,ROW()-8))</f>
      </c>
      <c r="F1304">
        <f>IF(INDEX(Transactions!$J:$J,ROW()-8)="",0,INDEX(Transactions!$O:$O,ROW()-8))</f>
      </c>
    </row>
    <row r="1305" spans="1:7">
      <c r="B1305">
        <f>IF(INDEX(Transactions!$J:$J,ROW()-8)="",TODAY(),INDEX(Transactions!$G:$G,ROW()-8))</f>
      </c>
      <c r="F1305">
        <f>IF(INDEX(Transactions!$J:$J,ROW()-8)="",0,INDEX(Transactions!$O:$O,ROW()-8))</f>
      </c>
    </row>
    <row r="1306" spans="1:7">
      <c r="B1306">
        <f>IF(INDEX(Transactions!$J:$J,ROW()-8)="",TODAY(),INDEX(Transactions!$G:$G,ROW()-8))</f>
      </c>
      <c r="F1306">
        <f>IF(INDEX(Transactions!$J:$J,ROW()-8)="",0,INDEX(Transactions!$O:$O,ROW()-8))</f>
      </c>
    </row>
    <row r="1307" spans="1:7">
      <c r="B1307">
        <f>IF(INDEX(Transactions!$J:$J,ROW()-8)="",TODAY(),INDEX(Transactions!$G:$G,ROW()-8))</f>
      </c>
      <c r="F1307">
        <f>IF(INDEX(Transactions!$J:$J,ROW()-8)="",0,INDEX(Transactions!$O:$O,ROW()-8))</f>
      </c>
    </row>
    <row r="1308" spans="1:7">
      <c r="B1308">
        <f>IF(INDEX(Transactions!$J:$J,ROW()-8)="",TODAY(),INDEX(Transactions!$G:$G,ROW()-8))</f>
      </c>
      <c r="F1308">
        <f>IF(INDEX(Transactions!$J:$J,ROW()-8)="",0,INDEX(Transactions!$O:$O,ROW()-8))</f>
      </c>
    </row>
    <row r="1309" spans="1:7">
      <c r="B1309">
        <f>IF(INDEX(Transactions!$J:$J,ROW()-8)="",TODAY(),INDEX(Transactions!$G:$G,ROW()-8))</f>
      </c>
      <c r="F1309">
        <f>IF(INDEX(Transactions!$J:$J,ROW()-8)="",0,INDEX(Transactions!$O:$O,ROW()-8))</f>
      </c>
    </row>
    <row r="1310" spans="1:7">
      <c r="B1310">
        <f>IF(INDEX(Transactions!$J:$J,ROW()-8)="",TODAY(),INDEX(Transactions!$G:$G,ROW()-8))</f>
      </c>
      <c r="F1310">
        <f>IF(INDEX(Transactions!$J:$J,ROW()-8)="",0,INDEX(Transactions!$O:$O,ROW()-8))</f>
      </c>
    </row>
    <row r="1311" spans="1:7">
      <c r="B1311">
        <f>IF(INDEX(Transactions!$J:$J,ROW()-8)="",TODAY(),INDEX(Transactions!$G:$G,ROW()-8))</f>
      </c>
      <c r="F1311">
        <f>IF(INDEX(Transactions!$J:$J,ROW()-8)="",0,INDEX(Transactions!$O:$O,ROW()-8))</f>
      </c>
    </row>
    <row r="1312" spans="1:7">
      <c r="B1312">
        <f>IF(INDEX(Transactions!$J:$J,ROW()-8)="",TODAY(),INDEX(Transactions!$G:$G,ROW()-8))</f>
      </c>
      <c r="F1312">
        <f>IF(INDEX(Transactions!$J:$J,ROW()-8)="",0,INDEX(Transactions!$O:$O,ROW()-8))</f>
      </c>
    </row>
    <row r="1313" spans="1:7">
      <c r="B1313">
        <f>IF(INDEX(Transactions!$J:$J,ROW()-8)="",TODAY(),INDEX(Transactions!$G:$G,ROW()-8))</f>
      </c>
      <c r="F1313">
        <f>IF(INDEX(Transactions!$J:$J,ROW()-8)="",0,INDEX(Transactions!$O:$O,ROW()-8))</f>
      </c>
    </row>
    <row r="1314" spans="1:7">
      <c r="B1314">
        <f>IF(INDEX(Transactions!$J:$J,ROW()-8)="",TODAY(),INDEX(Transactions!$G:$G,ROW()-8))</f>
      </c>
      <c r="F1314">
        <f>IF(INDEX(Transactions!$J:$J,ROW()-8)="",0,INDEX(Transactions!$O:$O,ROW()-8))</f>
      </c>
    </row>
    <row r="1315" spans="1:7">
      <c r="B1315">
        <f>IF(INDEX(Transactions!$J:$J,ROW()-8)="",TODAY(),INDEX(Transactions!$G:$G,ROW()-8))</f>
      </c>
      <c r="F1315">
        <f>IF(INDEX(Transactions!$J:$J,ROW()-8)="",0,INDEX(Transactions!$O:$O,ROW()-8))</f>
      </c>
    </row>
    <row r="1316" spans="1:7">
      <c r="B1316">
        <f>IF(INDEX(Transactions!$J:$J,ROW()-8)="",TODAY(),INDEX(Transactions!$G:$G,ROW()-8))</f>
      </c>
      <c r="F1316">
        <f>IF(INDEX(Transactions!$J:$J,ROW()-8)="",0,INDEX(Transactions!$O:$O,ROW()-8))</f>
      </c>
    </row>
    <row r="1317" spans="1:7">
      <c r="B1317">
        <f>IF(INDEX(Transactions!$J:$J,ROW()-8)="",TODAY(),INDEX(Transactions!$G:$G,ROW()-8))</f>
      </c>
      <c r="F1317">
        <f>IF(INDEX(Transactions!$J:$J,ROW()-8)="",0,INDEX(Transactions!$O:$O,ROW()-8))</f>
      </c>
    </row>
    <row r="1318" spans="1:7">
      <c r="B1318">
        <f>IF(INDEX(Transactions!$J:$J,ROW()-8)="",TODAY(),INDEX(Transactions!$G:$G,ROW()-8))</f>
      </c>
      <c r="F1318">
        <f>IF(INDEX(Transactions!$J:$J,ROW()-8)="",0,INDEX(Transactions!$O:$O,ROW()-8))</f>
      </c>
    </row>
    <row r="1319" spans="1:7">
      <c r="B1319">
        <f>IF(INDEX(Transactions!$J:$J,ROW()-8)="",TODAY(),INDEX(Transactions!$G:$G,ROW()-8))</f>
      </c>
      <c r="F1319">
        <f>IF(INDEX(Transactions!$J:$J,ROW()-8)="",0,INDEX(Transactions!$O:$O,ROW()-8))</f>
      </c>
    </row>
    <row r="1320" spans="1:7">
      <c r="B1320">
        <f>IF(INDEX(Transactions!$J:$J,ROW()-8)="",TODAY(),INDEX(Transactions!$G:$G,ROW()-8))</f>
      </c>
      <c r="F1320">
        <f>IF(INDEX(Transactions!$J:$J,ROW()-8)="",0,INDEX(Transactions!$O:$O,ROW()-8))</f>
      </c>
    </row>
    <row r="1321" spans="1:7">
      <c r="B1321">
        <f>IF(INDEX(Transactions!$J:$J,ROW()-8)="",TODAY(),INDEX(Transactions!$G:$G,ROW()-8))</f>
      </c>
      <c r="F1321">
        <f>IF(INDEX(Transactions!$J:$J,ROW()-8)="",0,INDEX(Transactions!$O:$O,ROW()-8))</f>
      </c>
    </row>
    <row r="1322" spans="1:7">
      <c r="B1322">
        <f>IF(INDEX(Transactions!$J:$J,ROW()-8)="",TODAY(),INDEX(Transactions!$G:$G,ROW()-8))</f>
      </c>
      <c r="F1322">
        <f>IF(INDEX(Transactions!$J:$J,ROW()-8)="",0,INDEX(Transactions!$O:$O,ROW()-8))</f>
      </c>
    </row>
    <row r="1323" spans="1:7">
      <c r="B1323">
        <f>IF(INDEX(Transactions!$J:$J,ROW()-8)="",TODAY(),INDEX(Transactions!$G:$G,ROW()-8))</f>
      </c>
      <c r="F1323">
        <f>IF(INDEX(Transactions!$J:$J,ROW()-8)="",0,INDEX(Transactions!$O:$O,ROW()-8))</f>
      </c>
    </row>
    <row r="1324" spans="1:7">
      <c r="B1324">
        <f>IF(INDEX(Transactions!$J:$J,ROW()-8)="",TODAY(),INDEX(Transactions!$G:$G,ROW()-8))</f>
      </c>
      <c r="F1324">
        <f>IF(INDEX(Transactions!$J:$J,ROW()-8)="",0,INDEX(Transactions!$O:$O,ROW()-8))</f>
      </c>
    </row>
    <row r="1325" spans="1:7">
      <c r="B1325">
        <f>IF(INDEX(Transactions!$J:$J,ROW()-8)="",TODAY(),INDEX(Transactions!$G:$G,ROW()-8))</f>
      </c>
      <c r="F1325">
        <f>IF(INDEX(Transactions!$J:$J,ROW()-8)="",0,INDEX(Transactions!$O:$O,ROW()-8))</f>
      </c>
    </row>
    <row r="1326" spans="1:7">
      <c r="B1326">
        <f>IF(INDEX(Transactions!$J:$J,ROW()-8)="",TODAY(),INDEX(Transactions!$G:$G,ROW()-8))</f>
      </c>
      <c r="F1326">
        <f>IF(INDEX(Transactions!$J:$J,ROW()-8)="",0,INDEX(Transactions!$O:$O,ROW()-8))</f>
      </c>
    </row>
    <row r="1327" spans="1:7">
      <c r="B1327">
        <f>IF(INDEX(Transactions!$J:$J,ROW()-8)="",TODAY(),INDEX(Transactions!$G:$G,ROW()-8))</f>
      </c>
      <c r="F1327">
        <f>IF(INDEX(Transactions!$J:$J,ROW()-8)="",0,INDEX(Transactions!$O:$O,ROW()-8))</f>
      </c>
    </row>
    <row r="1328" spans="1:7">
      <c r="B1328">
        <f>IF(INDEX(Transactions!$J:$J,ROW()-8)="",TODAY(),INDEX(Transactions!$G:$G,ROW()-8))</f>
      </c>
      <c r="F1328">
        <f>IF(INDEX(Transactions!$J:$J,ROW()-8)="",0,INDEX(Transactions!$O:$O,ROW()-8))</f>
      </c>
    </row>
    <row r="1329" spans="1:7">
      <c r="B1329">
        <f>IF(INDEX(Transactions!$J:$J,ROW()-8)="",TODAY(),INDEX(Transactions!$G:$G,ROW()-8))</f>
      </c>
      <c r="F1329">
        <f>IF(INDEX(Transactions!$J:$J,ROW()-8)="",0,INDEX(Transactions!$O:$O,ROW()-8))</f>
      </c>
    </row>
    <row r="1330" spans="1:7">
      <c r="B1330">
        <f>IF(INDEX(Transactions!$J:$J,ROW()-8)="",TODAY(),INDEX(Transactions!$G:$G,ROW()-8))</f>
      </c>
      <c r="F1330">
        <f>IF(INDEX(Transactions!$J:$J,ROW()-8)="",0,INDEX(Transactions!$O:$O,ROW()-8))</f>
      </c>
    </row>
    <row r="1331" spans="1:7">
      <c r="B1331">
        <f>IF(INDEX(Transactions!$J:$J,ROW()-8)="",TODAY(),INDEX(Transactions!$G:$G,ROW()-8))</f>
      </c>
      <c r="F1331">
        <f>IF(INDEX(Transactions!$J:$J,ROW()-8)="",0,INDEX(Transactions!$O:$O,ROW()-8))</f>
      </c>
    </row>
    <row r="1332" spans="1:7">
      <c r="B1332">
        <f>IF(INDEX(Transactions!$J:$J,ROW()-8)="",TODAY(),INDEX(Transactions!$G:$G,ROW()-8))</f>
      </c>
      <c r="F1332">
        <f>IF(INDEX(Transactions!$J:$J,ROW()-8)="",0,INDEX(Transactions!$O:$O,ROW()-8))</f>
      </c>
    </row>
    <row r="1333" spans="1:7">
      <c r="B1333">
        <f>IF(INDEX(Transactions!$J:$J,ROW()-8)="",TODAY(),INDEX(Transactions!$G:$G,ROW()-8))</f>
      </c>
      <c r="F1333">
        <f>IF(INDEX(Transactions!$J:$J,ROW()-8)="",0,INDEX(Transactions!$O:$O,ROW()-8))</f>
      </c>
    </row>
    <row r="1334" spans="1:7">
      <c r="B1334">
        <f>IF(INDEX(Transactions!$J:$J,ROW()-8)="",TODAY(),INDEX(Transactions!$G:$G,ROW()-8))</f>
      </c>
      <c r="F1334">
        <f>IF(INDEX(Transactions!$J:$J,ROW()-8)="",0,INDEX(Transactions!$O:$O,ROW()-8))</f>
      </c>
    </row>
    <row r="1335" spans="1:7">
      <c r="B1335">
        <f>IF(INDEX(Transactions!$J:$J,ROW()-8)="",TODAY(),INDEX(Transactions!$G:$G,ROW()-8))</f>
      </c>
      <c r="F1335">
        <f>IF(INDEX(Transactions!$J:$J,ROW()-8)="",0,INDEX(Transactions!$O:$O,ROW()-8))</f>
      </c>
    </row>
    <row r="1336" spans="1:7">
      <c r="B1336">
        <f>IF(INDEX(Transactions!$J:$J,ROW()-8)="",TODAY(),INDEX(Transactions!$G:$G,ROW()-8))</f>
      </c>
      <c r="F1336">
        <f>IF(INDEX(Transactions!$J:$J,ROW()-8)="",0,INDEX(Transactions!$O:$O,ROW()-8))</f>
      </c>
    </row>
    <row r="1337" spans="1:7">
      <c r="B1337">
        <f>IF(INDEX(Transactions!$J:$J,ROW()-8)="",TODAY(),INDEX(Transactions!$G:$G,ROW()-8))</f>
      </c>
      <c r="F1337">
        <f>IF(INDEX(Transactions!$J:$J,ROW()-8)="",0,INDEX(Transactions!$O:$O,ROW()-8))</f>
      </c>
    </row>
    <row r="1338" spans="1:7">
      <c r="B1338">
        <f>IF(INDEX(Transactions!$J:$J,ROW()-8)="",TODAY(),INDEX(Transactions!$G:$G,ROW()-8))</f>
      </c>
      <c r="F1338">
        <f>IF(INDEX(Transactions!$J:$J,ROW()-8)="",0,INDEX(Transactions!$O:$O,ROW()-8))</f>
      </c>
    </row>
    <row r="1339" spans="1:7">
      <c r="B1339">
        <f>IF(INDEX(Transactions!$J:$J,ROW()-8)="",TODAY(),INDEX(Transactions!$G:$G,ROW()-8))</f>
      </c>
      <c r="F1339">
        <f>IF(INDEX(Transactions!$J:$J,ROW()-8)="",0,INDEX(Transactions!$O:$O,ROW()-8))</f>
      </c>
    </row>
    <row r="1340" spans="1:7">
      <c r="B1340">
        <f>IF(INDEX(Transactions!$J:$J,ROW()-8)="",TODAY(),INDEX(Transactions!$G:$G,ROW()-8))</f>
      </c>
      <c r="F1340">
        <f>IF(INDEX(Transactions!$J:$J,ROW()-8)="",0,INDEX(Transactions!$O:$O,ROW()-8))</f>
      </c>
    </row>
    <row r="1341" spans="1:7">
      <c r="B1341">
        <f>IF(INDEX(Transactions!$J:$J,ROW()-8)="",TODAY(),INDEX(Transactions!$G:$G,ROW()-8))</f>
      </c>
      <c r="F1341">
        <f>IF(INDEX(Transactions!$J:$J,ROW()-8)="",0,INDEX(Transactions!$O:$O,ROW()-8))</f>
      </c>
    </row>
    <row r="1342" spans="1:7">
      <c r="B1342">
        <f>IF(INDEX(Transactions!$J:$J,ROW()-8)="",TODAY(),INDEX(Transactions!$G:$G,ROW()-8))</f>
      </c>
      <c r="F1342">
        <f>IF(INDEX(Transactions!$J:$J,ROW()-8)="",0,INDEX(Transactions!$O:$O,ROW()-8))</f>
      </c>
    </row>
    <row r="1343" spans="1:7">
      <c r="B1343">
        <f>IF(INDEX(Transactions!$J:$J,ROW()-8)="",TODAY(),INDEX(Transactions!$G:$G,ROW()-8))</f>
      </c>
      <c r="F1343">
        <f>IF(INDEX(Transactions!$J:$J,ROW()-8)="",0,INDEX(Transactions!$O:$O,ROW()-8))</f>
      </c>
    </row>
    <row r="1344" spans="1:7">
      <c r="B1344">
        <f>IF(INDEX(Transactions!$J:$J,ROW()-8)="",TODAY(),INDEX(Transactions!$G:$G,ROW()-8))</f>
      </c>
      <c r="F1344">
        <f>IF(INDEX(Transactions!$J:$J,ROW()-8)="",0,INDEX(Transactions!$O:$O,ROW()-8))</f>
      </c>
    </row>
    <row r="1345" spans="1:7">
      <c r="B1345">
        <f>IF(INDEX(Transactions!$J:$J,ROW()-8)="",TODAY(),INDEX(Transactions!$G:$G,ROW()-8))</f>
      </c>
      <c r="F1345">
        <f>IF(INDEX(Transactions!$J:$J,ROW()-8)="",0,INDEX(Transactions!$O:$O,ROW()-8))</f>
      </c>
    </row>
    <row r="1346" spans="1:7">
      <c r="B1346">
        <f>IF(INDEX(Transactions!$J:$J,ROW()-8)="",TODAY(),INDEX(Transactions!$G:$G,ROW()-8))</f>
      </c>
      <c r="F1346">
        <f>IF(INDEX(Transactions!$J:$J,ROW()-8)="",0,INDEX(Transactions!$O:$O,ROW()-8))</f>
      </c>
    </row>
    <row r="1347" spans="1:7">
      <c r="B1347">
        <f>IF(INDEX(Transactions!$J:$J,ROW()-8)="",TODAY(),INDEX(Transactions!$G:$G,ROW()-8))</f>
      </c>
      <c r="F1347">
        <f>IF(INDEX(Transactions!$J:$J,ROW()-8)="",0,INDEX(Transactions!$O:$O,ROW()-8))</f>
      </c>
    </row>
    <row r="1348" spans="1:7">
      <c r="B1348">
        <f>IF(INDEX(Transactions!$J:$J,ROW()-8)="",TODAY(),INDEX(Transactions!$G:$G,ROW()-8))</f>
      </c>
      <c r="F1348">
        <f>IF(INDEX(Transactions!$J:$J,ROW()-8)="",0,INDEX(Transactions!$O:$O,ROW()-8))</f>
      </c>
    </row>
    <row r="1349" spans="1:7">
      <c r="B1349">
        <f>IF(INDEX(Transactions!$J:$J,ROW()-8)="",TODAY(),INDEX(Transactions!$G:$G,ROW()-8))</f>
      </c>
      <c r="F1349">
        <f>IF(INDEX(Transactions!$J:$J,ROW()-8)="",0,INDEX(Transactions!$O:$O,ROW()-8))</f>
      </c>
    </row>
    <row r="1350" spans="1:7">
      <c r="B1350">
        <f>IF(INDEX(Transactions!$J:$J,ROW()-8)="",TODAY(),INDEX(Transactions!$G:$G,ROW()-8))</f>
      </c>
      <c r="F1350">
        <f>IF(INDEX(Transactions!$J:$J,ROW()-8)="",0,INDEX(Transactions!$O:$O,ROW()-8))</f>
      </c>
    </row>
    <row r="1351" spans="1:7">
      <c r="B1351">
        <f>IF(INDEX(Transactions!$J:$J,ROW()-8)="",TODAY(),INDEX(Transactions!$G:$G,ROW()-8))</f>
      </c>
      <c r="F1351">
        <f>IF(INDEX(Transactions!$J:$J,ROW()-8)="",0,INDEX(Transactions!$O:$O,ROW()-8))</f>
      </c>
    </row>
    <row r="1352" spans="1:7">
      <c r="B1352">
        <f>IF(INDEX(Transactions!$J:$J,ROW()-8)="",TODAY(),INDEX(Transactions!$G:$G,ROW()-8))</f>
      </c>
      <c r="F1352">
        <f>IF(INDEX(Transactions!$J:$J,ROW()-8)="",0,INDEX(Transactions!$O:$O,ROW()-8))</f>
      </c>
    </row>
    <row r="1353" spans="1:7">
      <c r="B1353">
        <f>IF(INDEX(Transactions!$J:$J,ROW()-8)="",TODAY(),INDEX(Transactions!$G:$G,ROW()-8))</f>
      </c>
      <c r="F1353">
        <f>IF(INDEX(Transactions!$J:$J,ROW()-8)="",0,INDEX(Transactions!$O:$O,ROW()-8))</f>
      </c>
    </row>
    <row r="1354" spans="1:7">
      <c r="B1354">
        <f>IF(INDEX(Transactions!$J:$J,ROW()-8)="",TODAY(),INDEX(Transactions!$G:$G,ROW()-8))</f>
      </c>
      <c r="F1354">
        <f>IF(INDEX(Transactions!$J:$J,ROW()-8)="",0,INDEX(Transactions!$O:$O,ROW()-8))</f>
      </c>
    </row>
    <row r="1355" spans="1:7">
      <c r="B1355">
        <f>IF(INDEX(Transactions!$J:$J,ROW()-8)="",TODAY(),INDEX(Transactions!$G:$G,ROW()-8))</f>
      </c>
      <c r="F1355">
        <f>IF(INDEX(Transactions!$J:$J,ROW()-8)="",0,INDEX(Transactions!$O:$O,ROW()-8))</f>
      </c>
    </row>
    <row r="1356" spans="1:7">
      <c r="B1356">
        <f>IF(INDEX(Transactions!$J:$J,ROW()-8)="",TODAY(),INDEX(Transactions!$G:$G,ROW()-8))</f>
      </c>
      <c r="F1356">
        <f>IF(INDEX(Transactions!$J:$J,ROW()-8)="",0,INDEX(Transactions!$O:$O,ROW()-8))</f>
      </c>
    </row>
    <row r="1357" spans="1:7">
      <c r="B1357">
        <f>IF(INDEX(Transactions!$J:$J,ROW()-8)="",TODAY(),INDEX(Transactions!$G:$G,ROW()-8))</f>
      </c>
      <c r="F1357">
        <f>IF(INDEX(Transactions!$J:$J,ROW()-8)="",0,INDEX(Transactions!$O:$O,ROW()-8))</f>
      </c>
    </row>
    <row r="1358" spans="1:7">
      <c r="B1358">
        <f>IF(INDEX(Transactions!$J:$J,ROW()-8)="",TODAY(),INDEX(Transactions!$G:$G,ROW()-8))</f>
      </c>
      <c r="F1358">
        <f>IF(INDEX(Transactions!$J:$J,ROW()-8)="",0,INDEX(Transactions!$O:$O,ROW()-8))</f>
      </c>
    </row>
    <row r="1359" spans="1:7">
      <c r="B1359">
        <f>IF(INDEX(Transactions!$J:$J,ROW()-8)="",TODAY(),INDEX(Transactions!$G:$G,ROW()-8))</f>
      </c>
      <c r="F1359">
        <f>IF(INDEX(Transactions!$J:$J,ROW()-8)="",0,INDEX(Transactions!$O:$O,ROW()-8))</f>
      </c>
    </row>
    <row r="1360" spans="1:7">
      <c r="B1360">
        <f>IF(INDEX(Transactions!$J:$J,ROW()-8)="",TODAY(),INDEX(Transactions!$G:$G,ROW()-8))</f>
      </c>
      <c r="F1360">
        <f>IF(INDEX(Transactions!$J:$J,ROW()-8)="",0,INDEX(Transactions!$O:$O,ROW()-8))</f>
      </c>
    </row>
    <row r="1361" spans="1:7">
      <c r="B1361">
        <f>IF(INDEX(Transactions!$J:$J,ROW()-8)="",TODAY(),INDEX(Transactions!$G:$G,ROW()-8))</f>
      </c>
      <c r="F1361">
        <f>IF(INDEX(Transactions!$J:$J,ROW()-8)="",0,INDEX(Transactions!$O:$O,ROW()-8))</f>
      </c>
    </row>
    <row r="1362" spans="1:7">
      <c r="B1362">
        <f>IF(INDEX(Transactions!$J:$J,ROW()-8)="",TODAY(),INDEX(Transactions!$G:$G,ROW()-8))</f>
      </c>
      <c r="F1362">
        <f>IF(INDEX(Transactions!$J:$J,ROW()-8)="",0,INDEX(Transactions!$O:$O,ROW()-8))</f>
      </c>
    </row>
    <row r="1363" spans="1:7">
      <c r="B1363">
        <f>IF(INDEX(Transactions!$J:$J,ROW()-8)="",TODAY(),INDEX(Transactions!$G:$G,ROW()-8))</f>
      </c>
      <c r="F1363">
        <f>IF(INDEX(Transactions!$J:$J,ROW()-8)="",0,INDEX(Transactions!$O:$O,ROW()-8))</f>
      </c>
    </row>
    <row r="1364" spans="1:7">
      <c r="B1364">
        <f>IF(INDEX(Transactions!$J:$J,ROW()-8)="",TODAY(),INDEX(Transactions!$G:$G,ROW()-8))</f>
      </c>
      <c r="F1364">
        <f>IF(INDEX(Transactions!$J:$J,ROW()-8)="",0,INDEX(Transactions!$O:$O,ROW()-8))</f>
      </c>
    </row>
    <row r="1365" spans="1:7">
      <c r="B1365">
        <f>IF(INDEX(Transactions!$J:$J,ROW()-8)="",TODAY(),INDEX(Transactions!$G:$G,ROW()-8))</f>
      </c>
      <c r="F1365">
        <f>IF(INDEX(Transactions!$J:$J,ROW()-8)="",0,INDEX(Transactions!$O:$O,ROW()-8))</f>
      </c>
    </row>
    <row r="1366" spans="1:7">
      <c r="B1366">
        <f>IF(INDEX(Transactions!$J:$J,ROW()-8)="",TODAY(),INDEX(Transactions!$G:$G,ROW()-8))</f>
      </c>
      <c r="F1366">
        <f>IF(INDEX(Transactions!$J:$J,ROW()-8)="",0,INDEX(Transactions!$O:$O,ROW()-8))</f>
      </c>
    </row>
    <row r="1367" spans="1:7">
      <c r="B1367">
        <f>IF(INDEX(Transactions!$J:$J,ROW()-8)="",TODAY(),INDEX(Transactions!$G:$G,ROW()-8))</f>
      </c>
      <c r="F1367">
        <f>IF(INDEX(Transactions!$J:$J,ROW()-8)="",0,INDEX(Transactions!$O:$O,ROW()-8))</f>
      </c>
    </row>
    <row r="1368" spans="1:7">
      <c r="B1368">
        <f>IF(INDEX(Transactions!$J:$J,ROW()-8)="",TODAY(),INDEX(Transactions!$G:$G,ROW()-8))</f>
      </c>
      <c r="F1368">
        <f>IF(INDEX(Transactions!$J:$J,ROW()-8)="",0,INDEX(Transactions!$O:$O,ROW()-8))</f>
      </c>
    </row>
    <row r="1369" spans="1:7">
      <c r="B1369">
        <f>IF(INDEX(Transactions!$J:$J,ROW()-8)="",TODAY(),INDEX(Transactions!$G:$G,ROW()-8))</f>
      </c>
      <c r="F1369">
        <f>IF(INDEX(Transactions!$J:$J,ROW()-8)="",0,INDEX(Transactions!$O:$O,ROW()-8))</f>
      </c>
    </row>
    <row r="1370" spans="1:7">
      <c r="B1370">
        <f>IF(INDEX(Transactions!$J:$J,ROW()-8)="",TODAY(),INDEX(Transactions!$G:$G,ROW()-8))</f>
      </c>
      <c r="F1370">
        <f>IF(INDEX(Transactions!$J:$J,ROW()-8)="",0,INDEX(Transactions!$O:$O,ROW()-8))</f>
      </c>
    </row>
    <row r="1371" spans="1:7">
      <c r="B1371">
        <f>IF(INDEX(Transactions!$J:$J,ROW()-8)="",TODAY(),INDEX(Transactions!$G:$G,ROW()-8))</f>
      </c>
      <c r="F1371">
        <f>IF(INDEX(Transactions!$J:$J,ROW()-8)="",0,INDEX(Transactions!$O:$O,ROW()-8))</f>
      </c>
    </row>
    <row r="1372" spans="1:7">
      <c r="B1372">
        <f>IF(INDEX(Transactions!$J:$J,ROW()-8)="",TODAY(),INDEX(Transactions!$G:$G,ROW()-8))</f>
      </c>
      <c r="F1372">
        <f>IF(INDEX(Transactions!$J:$J,ROW()-8)="",0,INDEX(Transactions!$O:$O,ROW()-8))</f>
      </c>
    </row>
    <row r="1373" spans="1:7">
      <c r="B1373">
        <f>IF(INDEX(Transactions!$J:$J,ROW()-8)="",TODAY(),INDEX(Transactions!$G:$G,ROW()-8))</f>
      </c>
      <c r="F1373">
        <f>IF(INDEX(Transactions!$J:$J,ROW()-8)="",0,INDEX(Transactions!$O:$O,ROW()-8))</f>
      </c>
    </row>
    <row r="1374" spans="1:7">
      <c r="B1374">
        <f>IF(INDEX(Transactions!$J:$J,ROW()-8)="",TODAY(),INDEX(Transactions!$G:$G,ROW()-8))</f>
      </c>
      <c r="F1374">
        <f>IF(INDEX(Transactions!$J:$J,ROW()-8)="",0,INDEX(Transactions!$O:$O,ROW()-8))</f>
      </c>
    </row>
    <row r="1375" spans="1:7">
      <c r="B1375">
        <f>IF(INDEX(Transactions!$J:$J,ROW()-8)="",TODAY(),INDEX(Transactions!$G:$G,ROW()-8))</f>
      </c>
      <c r="F1375">
        <f>IF(INDEX(Transactions!$J:$J,ROW()-8)="",0,INDEX(Transactions!$O:$O,ROW()-8))</f>
      </c>
    </row>
    <row r="1376" spans="1:7">
      <c r="B1376">
        <f>IF(INDEX(Transactions!$J:$J,ROW()-8)="",TODAY(),INDEX(Transactions!$G:$G,ROW()-8))</f>
      </c>
      <c r="F1376">
        <f>IF(INDEX(Transactions!$J:$J,ROW()-8)="",0,INDEX(Transactions!$O:$O,ROW()-8))</f>
      </c>
    </row>
    <row r="1377" spans="1:7">
      <c r="B1377">
        <f>IF(INDEX(Transactions!$J:$J,ROW()-8)="",TODAY(),INDEX(Transactions!$G:$G,ROW()-8))</f>
      </c>
      <c r="F1377">
        <f>IF(INDEX(Transactions!$J:$J,ROW()-8)="",0,INDEX(Transactions!$O:$O,ROW()-8))</f>
      </c>
    </row>
    <row r="1378" spans="1:7">
      <c r="B1378">
        <f>IF(INDEX(Transactions!$J:$J,ROW()-8)="",TODAY(),INDEX(Transactions!$G:$G,ROW()-8))</f>
      </c>
      <c r="F1378">
        <f>IF(INDEX(Transactions!$J:$J,ROW()-8)="",0,INDEX(Transactions!$O:$O,ROW()-8))</f>
      </c>
    </row>
    <row r="1379" spans="1:7">
      <c r="B1379">
        <f>IF(INDEX(Transactions!$J:$J,ROW()-8)="",TODAY(),INDEX(Transactions!$G:$G,ROW()-8))</f>
      </c>
      <c r="F1379">
        <f>IF(INDEX(Transactions!$J:$J,ROW()-8)="",0,INDEX(Transactions!$O:$O,ROW()-8))</f>
      </c>
    </row>
    <row r="1380" spans="1:7">
      <c r="B1380">
        <f>IF(INDEX(Transactions!$J:$J,ROW()-8)="",TODAY(),INDEX(Transactions!$G:$G,ROW()-8))</f>
      </c>
      <c r="F1380">
        <f>IF(INDEX(Transactions!$J:$J,ROW()-8)="",0,INDEX(Transactions!$O:$O,ROW()-8))</f>
      </c>
    </row>
    <row r="1381" spans="1:7">
      <c r="B1381">
        <f>IF(INDEX(Transactions!$J:$J,ROW()-8)="",TODAY(),INDEX(Transactions!$G:$G,ROW()-8))</f>
      </c>
      <c r="F1381">
        <f>IF(INDEX(Transactions!$J:$J,ROW()-8)="",0,INDEX(Transactions!$O:$O,ROW()-8))</f>
      </c>
    </row>
    <row r="1382" spans="1:7">
      <c r="B1382">
        <f>IF(INDEX(Transactions!$J:$J,ROW()-8)="",TODAY(),INDEX(Transactions!$G:$G,ROW()-8))</f>
      </c>
      <c r="F1382">
        <f>IF(INDEX(Transactions!$J:$J,ROW()-8)="",0,INDEX(Transactions!$O:$O,ROW()-8))</f>
      </c>
    </row>
    <row r="1383" spans="1:7">
      <c r="B1383">
        <f>IF(INDEX(Transactions!$J:$J,ROW()-8)="",TODAY(),INDEX(Transactions!$G:$G,ROW()-8))</f>
      </c>
      <c r="F1383">
        <f>IF(INDEX(Transactions!$J:$J,ROW()-8)="",0,INDEX(Transactions!$O:$O,ROW()-8))</f>
      </c>
    </row>
    <row r="1384" spans="1:7">
      <c r="B1384">
        <f>IF(INDEX(Transactions!$J:$J,ROW()-8)="",TODAY(),INDEX(Transactions!$G:$G,ROW()-8))</f>
      </c>
      <c r="F1384">
        <f>IF(INDEX(Transactions!$J:$J,ROW()-8)="",0,INDEX(Transactions!$O:$O,ROW()-8))</f>
      </c>
    </row>
    <row r="1385" spans="1:7">
      <c r="B1385">
        <f>IF(INDEX(Transactions!$J:$J,ROW()-8)="",TODAY(),INDEX(Transactions!$G:$G,ROW()-8))</f>
      </c>
      <c r="F1385">
        <f>IF(INDEX(Transactions!$J:$J,ROW()-8)="",0,INDEX(Transactions!$O:$O,ROW()-8))</f>
      </c>
    </row>
    <row r="1386" spans="1:7">
      <c r="B1386">
        <f>IF(INDEX(Transactions!$J:$J,ROW()-8)="",TODAY(),INDEX(Transactions!$G:$G,ROW()-8))</f>
      </c>
      <c r="F1386">
        <f>IF(INDEX(Transactions!$J:$J,ROW()-8)="",0,INDEX(Transactions!$O:$O,ROW()-8))</f>
      </c>
    </row>
    <row r="1387" spans="1:7">
      <c r="B1387">
        <f>IF(INDEX(Transactions!$J:$J,ROW()-8)="",TODAY(),INDEX(Transactions!$G:$G,ROW()-8))</f>
      </c>
      <c r="F1387">
        <f>IF(INDEX(Transactions!$J:$J,ROW()-8)="",0,INDEX(Transactions!$O:$O,ROW()-8))</f>
      </c>
    </row>
    <row r="1388" spans="1:7">
      <c r="B1388">
        <f>IF(INDEX(Transactions!$J:$J,ROW()-8)="",TODAY(),INDEX(Transactions!$G:$G,ROW()-8))</f>
      </c>
      <c r="F1388">
        <f>IF(INDEX(Transactions!$J:$J,ROW()-8)="",0,INDEX(Transactions!$O:$O,ROW()-8))</f>
      </c>
    </row>
    <row r="1389" spans="1:7">
      <c r="B1389">
        <f>IF(INDEX(Transactions!$J:$J,ROW()-8)="",TODAY(),INDEX(Transactions!$G:$G,ROW()-8))</f>
      </c>
      <c r="F1389">
        <f>IF(INDEX(Transactions!$J:$J,ROW()-8)="",0,INDEX(Transactions!$O:$O,ROW()-8))</f>
      </c>
    </row>
    <row r="1390" spans="1:7">
      <c r="B1390">
        <f>IF(INDEX(Transactions!$J:$J,ROW()-8)="",TODAY(),INDEX(Transactions!$G:$G,ROW()-8))</f>
      </c>
      <c r="F1390">
        <f>IF(INDEX(Transactions!$J:$J,ROW()-8)="",0,INDEX(Transactions!$O:$O,ROW()-8))</f>
      </c>
    </row>
    <row r="1391" spans="1:7">
      <c r="B1391">
        <f>IF(INDEX(Transactions!$J:$J,ROW()-8)="",TODAY(),INDEX(Transactions!$G:$G,ROW()-8))</f>
      </c>
      <c r="F1391">
        <f>IF(INDEX(Transactions!$J:$J,ROW()-8)="",0,INDEX(Transactions!$O:$O,ROW()-8))</f>
      </c>
    </row>
    <row r="1392" spans="1:7">
      <c r="B1392">
        <f>IF(INDEX(Transactions!$J:$J,ROW()-8)="",TODAY(),INDEX(Transactions!$G:$G,ROW()-8))</f>
      </c>
      <c r="F1392">
        <f>IF(INDEX(Transactions!$J:$J,ROW()-8)="",0,INDEX(Transactions!$O:$O,ROW()-8))</f>
      </c>
    </row>
    <row r="1393" spans="1:7">
      <c r="B1393">
        <f>IF(INDEX(Transactions!$J:$J,ROW()-8)="",TODAY(),INDEX(Transactions!$G:$G,ROW()-8))</f>
      </c>
      <c r="F1393">
        <f>IF(INDEX(Transactions!$J:$J,ROW()-8)="",0,INDEX(Transactions!$O:$O,ROW()-8))</f>
      </c>
    </row>
    <row r="1394" spans="1:7">
      <c r="B1394">
        <f>IF(INDEX(Transactions!$J:$J,ROW()-8)="",TODAY(),INDEX(Transactions!$G:$G,ROW()-8))</f>
      </c>
      <c r="F1394">
        <f>IF(INDEX(Transactions!$J:$J,ROW()-8)="",0,INDEX(Transactions!$O:$O,ROW()-8))</f>
      </c>
    </row>
    <row r="1395" spans="1:7">
      <c r="B1395">
        <f>IF(INDEX(Transactions!$J:$J,ROW()-8)="",TODAY(),INDEX(Transactions!$G:$G,ROW()-8))</f>
      </c>
      <c r="F1395">
        <f>IF(INDEX(Transactions!$J:$J,ROW()-8)="",0,INDEX(Transactions!$O:$O,ROW()-8))</f>
      </c>
    </row>
    <row r="1396" spans="1:7">
      <c r="B1396">
        <f>IF(INDEX(Transactions!$J:$J,ROW()-8)="",TODAY(),INDEX(Transactions!$G:$G,ROW()-8))</f>
      </c>
      <c r="F1396">
        <f>IF(INDEX(Transactions!$J:$J,ROW()-8)="",0,INDEX(Transactions!$O:$O,ROW()-8))</f>
      </c>
    </row>
    <row r="1397" spans="1:7">
      <c r="B1397">
        <f>IF(INDEX(Transactions!$J:$J,ROW()-8)="",TODAY(),INDEX(Transactions!$G:$G,ROW()-8))</f>
      </c>
      <c r="F1397">
        <f>IF(INDEX(Transactions!$J:$J,ROW()-8)="",0,INDEX(Transactions!$O:$O,ROW()-8))</f>
      </c>
    </row>
    <row r="1398" spans="1:7">
      <c r="B1398">
        <f>IF(INDEX(Transactions!$J:$J,ROW()-8)="",TODAY(),INDEX(Transactions!$G:$G,ROW()-8))</f>
      </c>
      <c r="F1398">
        <f>IF(INDEX(Transactions!$J:$J,ROW()-8)="",0,INDEX(Transactions!$O:$O,ROW()-8))</f>
      </c>
    </row>
    <row r="1399" spans="1:7">
      <c r="B1399">
        <f>IF(INDEX(Transactions!$J:$J,ROW()-8)="",TODAY(),INDEX(Transactions!$G:$G,ROW()-8))</f>
      </c>
      <c r="F1399">
        <f>IF(INDEX(Transactions!$J:$J,ROW()-8)="",0,INDEX(Transactions!$O:$O,ROW()-8))</f>
      </c>
    </row>
    <row r="1400" spans="1:7">
      <c r="B1400">
        <f>IF(INDEX(Transactions!$J:$J,ROW()-8)="",TODAY(),INDEX(Transactions!$G:$G,ROW()-8))</f>
      </c>
      <c r="F1400">
        <f>IF(INDEX(Transactions!$J:$J,ROW()-8)="",0,INDEX(Transactions!$O:$O,ROW()-8))</f>
      </c>
    </row>
    <row r="1401" spans="1:7">
      <c r="B1401">
        <f>IF(INDEX(Transactions!$J:$J,ROW()-8)="",TODAY(),INDEX(Transactions!$G:$G,ROW()-8))</f>
      </c>
      <c r="F1401">
        <f>IF(INDEX(Transactions!$J:$J,ROW()-8)="",0,INDEX(Transactions!$O:$O,ROW()-8))</f>
      </c>
    </row>
    <row r="1402" spans="1:7">
      <c r="B1402">
        <f>IF(INDEX(Transactions!$J:$J,ROW()-8)="",TODAY(),INDEX(Transactions!$G:$G,ROW()-8))</f>
      </c>
      <c r="F1402">
        <f>IF(INDEX(Transactions!$J:$J,ROW()-8)="",0,INDEX(Transactions!$O:$O,ROW()-8))</f>
      </c>
    </row>
    <row r="1403" spans="1:7">
      <c r="B1403">
        <f>IF(INDEX(Transactions!$J:$J,ROW()-8)="",TODAY(),INDEX(Transactions!$G:$G,ROW()-8))</f>
      </c>
      <c r="F1403">
        <f>IF(INDEX(Transactions!$J:$J,ROW()-8)="",0,INDEX(Transactions!$O:$O,ROW()-8))</f>
      </c>
    </row>
    <row r="1404" spans="1:7">
      <c r="B1404">
        <f>IF(INDEX(Transactions!$J:$J,ROW()-8)="",TODAY(),INDEX(Transactions!$G:$G,ROW()-8))</f>
      </c>
      <c r="F1404">
        <f>IF(INDEX(Transactions!$J:$J,ROW()-8)="",0,INDEX(Transactions!$O:$O,ROW()-8))</f>
      </c>
    </row>
    <row r="1405" spans="1:7">
      <c r="B1405">
        <f>IF(INDEX(Transactions!$J:$J,ROW()-8)="",TODAY(),INDEX(Transactions!$G:$G,ROW()-8))</f>
      </c>
      <c r="F1405">
        <f>IF(INDEX(Transactions!$J:$J,ROW()-8)="",0,INDEX(Transactions!$O:$O,ROW()-8))</f>
      </c>
    </row>
    <row r="1406" spans="1:7">
      <c r="B1406">
        <f>IF(INDEX(Transactions!$J:$J,ROW()-8)="",TODAY(),INDEX(Transactions!$G:$G,ROW()-8))</f>
      </c>
      <c r="F1406">
        <f>IF(INDEX(Transactions!$J:$J,ROW()-8)="",0,INDEX(Transactions!$O:$O,ROW()-8))</f>
      </c>
    </row>
    <row r="1407" spans="1:7">
      <c r="B1407">
        <f>IF(INDEX(Transactions!$J:$J,ROW()-8)="",TODAY(),INDEX(Transactions!$G:$G,ROW()-8))</f>
      </c>
      <c r="F1407">
        <f>IF(INDEX(Transactions!$J:$J,ROW()-8)="",0,INDEX(Transactions!$O:$O,ROW()-8))</f>
      </c>
    </row>
    <row r="1408" spans="1:7">
      <c r="B1408">
        <f>IF(INDEX(Transactions!$J:$J,ROW()-8)="",TODAY(),INDEX(Transactions!$G:$G,ROW()-8))</f>
      </c>
      <c r="F1408">
        <f>IF(INDEX(Transactions!$J:$J,ROW()-8)="",0,INDEX(Transactions!$O:$O,ROW()-8))</f>
      </c>
    </row>
    <row r="1409" spans="1:7">
      <c r="B1409">
        <f>IF(INDEX(Transactions!$J:$J,ROW()-8)="",TODAY(),INDEX(Transactions!$G:$G,ROW()-8))</f>
      </c>
      <c r="F1409">
        <f>IF(INDEX(Transactions!$J:$J,ROW()-8)="",0,INDEX(Transactions!$O:$O,ROW()-8))</f>
      </c>
    </row>
    <row r="1410" spans="1:7">
      <c r="B1410">
        <f>IF(INDEX(Transactions!$J:$J,ROW()-8)="",TODAY(),INDEX(Transactions!$G:$G,ROW()-8))</f>
      </c>
      <c r="F1410">
        <f>IF(INDEX(Transactions!$J:$J,ROW()-8)="",0,INDEX(Transactions!$O:$O,ROW()-8))</f>
      </c>
    </row>
    <row r="1411" spans="1:7">
      <c r="B1411">
        <f>IF(INDEX(Transactions!$J:$J,ROW()-8)="",TODAY(),INDEX(Transactions!$G:$G,ROW()-8))</f>
      </c>
      <c r="F1411">
        <f>IF(INDEX(Transactions!$J:$J,ROW()-8)="",0,INDEX(Transactions!$O:$O,ROW()-8))</f>
      </c>
    </row>
    <row r="1412" spans="1:7">
      <c r="B1412">
        <f>IF(INDEX(Transactions!$J:$J,ROW()-8)="",TODAY(),INDEX(Transactions!$G:$G,ROW()-8))</f>
      </c>
      <c r="F1412">
        <f>IF(INDEX(Transactions!$J:$J,ROW()-8)="",0,INDEX(Transactions!$O:$O,ROW()-8))</f>
      </c>
    </row>
    <row r="1413" spans="1:7">
      <c r="B1413">
        <f>IF(INDEX(Transactions!$J:$J,ROW()-8)="",TODAY(),INDEX(Transactions!$G:$G,ROW()-8))</f>
      </c>
      <c r="F1413">
        <f>IF(INDEX(Transactions!$J:$J,ROW()-8)="",0,INDEX(Transactions!$O:$O,ROW()-8))</f>
      </c>
    </row>
    <row r="1414" spans="1:7">
      <c r="B1414">
        <f>IF(INDEX(Transactions!$J:$J,ROW()-8)="",TODAY(),INDEX(Transactions!$G:$G,ROW()-8))</f>
      </c>
      <c r="F1414">
        <f>IF(INDEX(Transactions!$J:$J,ROW()-8)="",0,INDEX(Transactions!$O:$O,ROW()-8))</f>
      </c>
    </row>
    <row r="1415" spans="1:7">
      <c r="B1415">
        <f>IF(INDEX(Transactions!$J:$J,ROW()-8)="",TODAY(),INDEX(Transactions!$G:$G,ROW()-8))</f>
      </c>
      <c r="F1415">
        <f>IF(INDEX(Transactions!$J:$J,ROW()-8)="",0,INDEX(Transactions!$O:$O,ROW()-8))</f>
      </c>
    </row>
    <row r="1416" spans="1:7">
      <c r="B1416">
        <f>IF(INDEX(Transactions!$J:$J,ROW()-8)="",TODAY(),INDEX(Transactions!$G:$G,ROW()-8))</f>
      </c>
      <c r="F1416">
        <f>IF(INDEX(Transactions!$J:$J,ROW()-8)="",0,INDEX(Transactions!$O:$O,ROW()-8))</f>
      </c>
    </row>
    <row r="1417" spans="1:7">
      <c r="B1417">
        <f>IF(INDEX(Transactions!$J:$J,ROW()-8)="",TODAY(),INDEX(Transactions!$G:$G,ROW()-8))</f>
      </c>
      <c r="F1417">
        <f>IF(INDEX(Transactions!$J:$J,ROW()-8)="",0,INDEX(Transactions!$O:$O,ROW()-8))</f>
      </c>
    </row>
    <row r="1418" spans="1:7">
      <c r="B1418">
        <f>IF(INDEX(Transactions!$J:$J,ROW()-8)="",TODAY(),INDEX(Transactions!$G:$G,ROW()-8))</f>
      </c>
      <c r="F1418">
        <f>IF(INDEX(Transactions!$J:$J,ROW()-8)="",0,INDEX(Transactions!$O:$O,ROW()-8))</f>
      </c>
    </row>
    <row r="1419" spans="1:7">
      <c r="B1419">
        <f>IF(INDEX(Transactions!$J:$J,ROW()-8)="",TODAY(),INDEX(Transactions!$G:$G,ROW()-8))</f>
      </c>
      <c r="F1419">
        <f>IF(INDEX(Transactions!$J:$J,ROW()-8)="",0,INDEX(Transactions!$O:$O,ROW()-8))</f>
      </c>
    </row>
    <row r="1420" spans="1:7">
      <c r="B1420">
        <f>IF(INDEX(Transactions!$J:$J,ROW()-8)="",TODAY(),INDEX(Transactions!$G:$G,ROW()-8))</f>
      </c>
      <c r="F1420">
        <f>IF(INDEX(Transactions!$J:$J,ROW()-8)="",0,INDEX(Transactions!$O:$O,ROW()-8))</f>
      </c>
    </row>
    <row r="1421" spans="1:7">
      <c r="B1421">
        <f>IF(INDEX(Transactions!$J:$J,ROW()-8)="",TODAY(),INDEX(Transactions!$G:$G,ROW()-8))</f>
      </c>
      <c r="F1421">
        <f>IF(INDEX(Transactions!$J:$J,ROW()-8)="",0,INDEX(Transactions!$O:$O,ROW()-8))</f>
      </c>
    </row>
    <row r="1422" spans="1:7">
      <c r="B1422">
        <f>IF(INDEX(Transactions!$J:$J,ROW()-8)="",TODAY(),INDEX(Transactions!$G:$G,ROW()-8))</f>
      </c>
      <c r="F1422">
        <f>IF(INDEX(Transactions!$J:$J,ROW()-8)="",0,INDEX(Transactions!$O:$O,ROW()-8))</f>
      </c>
    </row>
    <row r="1423" spans="1:7">
      <c r="B1423">
        <f>IF(INDEX(Transactions!$J:$J,ROW()-8)="",TODAY(),INDEX(Transactions!$G:$G,ROW()-8))</f>
      </c>
      <c r="F1423">
        <f>IF(INDEX(Transactions!$J:$J,ROW()-8)="",0,INDEX(Transactions!$O:$O,ROW()-8))</f>
      </c>
    </row>
    <row r="1424" spans="1:7">
      <c r="B1424">
        <f>IF(INDEX(Transactions!$J:$J,ROW()-8)="",TODAY(),INDEX(Transactions!$G:$G,ROW()-8))</f>
      </c>
      <c r="F1424">
        <f>IF(INDEX(Transactions!$J:$J,ROW()-8)="",0,INDEX(Transactions!$O:$O,ROW()-8))</f>
      </c>
    </row>
    <row r="1425" spans="1:7">
      <c r="B1425">
        <f>IF(INDEX(Transactions!$J:$J,ROW()-8)="",TODAY(),INDEX(Transactions!$G:$G,ROW()-8))</f>
      </c>
      <c r="F1425">
        <f>IF(INDEX(Transactions!$J:$J,ROW()-8)="",0,INDEX(Transactions!$O:$O,ROW()-8))</f>
      </c>
    </row>
    <row r="1426" spans="1:7">
      <c r="B1426">
        <f>IF(INDEX(Transactions!$J:$J,ROW()-8)="",TODAY(),INDEX(Transactions!$G:$G,ROW()-8))</f>
      </c>
      <c r="F1426">
        <f>IF(INDEX(Transactions!$J:$J,ROW()-8)="",0,INDEX(Transactions!$O:$O,ROW()-8))</f>
      </c>
    </row>
    <row r="1427" spans="1:7">
      <c r="B1427">
        <f>IF(INDEX(Transactions!$J:$J,ROW()-8)="",TODAY(),INDEX(Transactions!$G:$G,ROW()-8))</f>
      </c>
      <c r="F1427">
        <f>IF(INDEX(Transactions!$J:$J,ROW()-8)="",0,INDEX(Transactions!$O:$O,ROW()-8))</f>
      </c>
    </row>
    <row r="1428" spans="1:7">
      <c r="B1428">
        <f>IF(INDEX(Transactions!$J:$J,ROW()-8)="",TODAY(),INDEX(Transactions!$G:$G,ROW()-8))</f>
      </c>
      <c r="F1428">
        <f>IF(INDEX(Transactions!$J:$J,ROW()-8)="",0,INDEX(Transactions!$O:$O,ROW()-8))</f>
      </c>
    </row>
    <row r="1429" spans="1:7">
      <c r="B1429">
        <f>IF(INDEX(Transactions!$J:$J,ROW()-8)="",TODAY(),INDEX(Transactions!$G:$G,ROW()-8))</f>
      </c>
      <c r="F1429">
        <f>IF(INDEX(Transactions!$J:$J,ROW()-8)="",0,INDEX(Transactions!$O:$O,ROW()-8))</f>
      </c>
    </row>
    <row r="1430" spans="1:7">
      <c r="B1430">
        <f>IF(INDEX(Transactions!$J:$J,ROW()-8)="",TODAY(),INDEX(Transactions!$G:$G,ROW()-8))</f>
      </c>
      <c r="F1430">
        <f>IF(INDEX(Transactions!$J:$J,ROW()-8)="",0,INDEX(Transactions!$O:$O,ROW()-8))</f>
      </c>
    </row>
    <row r="1431" spans="1:7">
      <c r="B1431">
        <f>IF(INDEX(Transactions!$J:$J,ROW()-8)="",TODAY(),INDEX(Transactions!$G:$G,ROW()-8))</f>
      </c>
      <c r="F1431">
        <f>IF(INDEX(Transactions!$J:$J,ROW()-8)="",0,INDEX(Transactions!$O:$O,ROW()-8))</f>
      </c>
    </row>
    <row r="1432" spans="1:7">
      <c r="B1432">
        <f>IF(INDEX(Transactions!$J:$J,ROW()-8)="",TODAY(),INDEX(Transactions!$G:$G,ROW()-8))</f>
      </c>
      <c r="F1432">
        <f>IF(INDEX(Transactions!$J:$J,ROW()-8)="",0,INDEX(Transactions!$O:$O,ROW()-8))</f>
      </c>
    </row>
    <row r="1433" spans="1:7">
      <c r="B1433">
        <f>IF(INDEX(Transactions!$J:$J,ROW()-8)="",TODAY(),INDEX(Transactions!$G:$G,ROW()-8))</f>
      </c>
      <c r="F1433">
        <f>IF(INDEX(Transactions!$J:$J,ROW()-8)="",0,INDEX(Transactions!$O:$O,ROW()-8))</f>
      </c>
    </row>
    <row r="1434" spans="1:7">
      <c r="B1434">
        <f>IF(INDEX(Transactions!$J:$J,ROW()-8)="",TODAY(),INDEX(Transactions!$G:$G,ROW()-8))</f>
      </c>
      <c r="F1434">
        <f>IF(INDEX(Transactions!$J:$J,ROW()-8)="",0,INDEX(Transactions!$O:$O,ROW()-8))</f>
      </c>
    </row>
    <row r="1435" spans="1:7">
      <c r="B1435">
        <f>IF(INDEX(Transactions!$J:$J,ROW()-8)="",TODAY(),INDEX(Transactions!$G:$G,ROW()-8))</f>
      </c>
      <c r="F1435">
        <f>IF(INDEX(Transactions!$J:$J,ROW()-8)="",0,INDEX(Transactions!$O:$O,ROW()-8))</f>
      </c>
    </row>
    <row r="1436" spans="1:7">
      <c r="B1436">
        <f>IF(INDEX(Transactions!$J:$J,ROW()-8)="",TODAY(),INDEX(Transactions!$G:$G,ROW()-8))</f>
      </c>
      <c r="F1436">
        <f>IF(INDEX(Transactions!$J:$J,ROW()-8)="",0,INDEX(Transactions!$O:$O,ROW()-8))</f>
      </c>
    </row>
    <row r="1437" spans="1:7">
      <c r="B1437">
        <f>IF(INDEX(Transactions!$J:$J,ROW()-8)="",TODAY(),INDEX(Transactions!$G:$G,ROW()-8))</f>
      </c>
      <c r="F1437">
        <f>IF(INDEX(Transactions!$J:$J,ROW()-8)="",0,INDEX(Transactions!$O:$O,ROW()-8))</f>
      </c>
    </row>
    <row r="1438" spans="1:7">
      <c r="B1438">
        <f>IF(INDEX(Transactions!$J:$J,ROW()-8)="",TODAY(),INDEX(Transactions!$G:$G,ROW()-8))</f>
      </c>
      <c r="F1438">
        <f>IF(INDEX(Transactions!$J:$J,ROW()-8)="",0,INDEX(Transactions!$O:$O,ROW()-8))</f>
      </c>
    </row>
    <row r="1439" spans="1:7">
      <c r="B1439">
        <f>IF(INDEX(Transactions!$J:$J,ROW()-8)="",TODAY(),INDEX(Transactions!$G:$G,ROW()-8))</f>
      </c>
      <c r="F1439">
        <f>IF(INDEX(Transactions!$J:$J,ROW()-8)="",0,INDEX(Transactions!$O:$O,ROW()-8))</f>
      </c>
    </row>
    <row r="1440" spans="1:7">
      <c r="B1440">
        <f>IF(INDEX(Transactions!$J:$J,ROW()-8)="",TODAY(),INDEX(Transactions!$G:$G,ROW()-8))</f>
      </c>
      <c r="F1440">
        <f>IF(INDEX(Transactions!$J:$J,ROW()-8)="",0,INDEX(Transactions!$O:$O,ROW()-8))</f>
      </c>
    </row>
    <row r="1441" spans="1:7">
      <c r="B1441">
        <f>IF(INDEX(Transactions!$J:$J,ROW()-8)="",TODAY(),INDEX(Transactions!$G:$G,ROW()-8))</f>
      </c>
      <c r="F1441">
        <f>IF(INDEX(Transactions!$J:$J,ROW()-8)="",0,INDEX(Transactions!$O:$O,ROW()-8))</f>
      </c>
    </row>
    <row r="1442" spans="1:7">
      <c r="B1442">
        <f>IF(INDEX(Transactions!$J:$J,ROW()-8)="",TODAY(),INDEX(Transactions!$G:$G,ROW()-8))</f>
      </c>
      <c r="F1442">
        <f>IF(INDEX(Transactions!$J:$J,ROW()-8)="",0,INDEX(Transactions!$O:$O,ROW()-8))</f>
      </c>
    </row>
    <row r="1443" spans="1:7">
      <c r="B1443">
        <f>IF(INDEX(Transactions!$J:$J,ROW()-8)="",TODAY(),INDEX(Transactions!$G:$G,ROW()-8))</f>
      </c>
      <c r="F1443">
        <f>IF(INDEX(Transactions!$J:$J,ROW()-8)="",0,INDEX(Transactions!$O:$O,ROW()-8))</f>
      </c>
    </row>
    <row r="1444" spans="1:7">
      <c r="B1444">
        <f>IF(INDEX(Transactions!$J:$J,ROW()-8)="",TODAY(),INDEX(Transactions!$G:$G,ROW()-8))</f>
      </c>
      <c r="F1444">
        <f>IF(INDEX(Transactions!$J:$J,ROW()-8)="",0,INDEX(Transactions!$O:$O,ROW()-8))</f>
      </c>
    </row>
    <row r="1445" spans="1:7">
      <c r="B1445">
        <f>IF(INDEX(Transactions!$J:$J,ROW()-8)="",TODAY(),INDEX(Transactions!$G:$G,ROW()-8))</f>
      </c>
      <c r="F1445">
        <f>IF(INDEX(Transactions!$J:$J,ROW()-8)="",0,INDEX(Transactions!$O:$O,ROW()-8))</f>
      </c>
    </row>
    <row r="1446" spans="1:7">
      <c r="B1446">
        <f>IF(INDEX(Transactions!$J:$J,ROW()-8)="",TODAY(),INDEX(Transactions!$G:$G,ROW()-8))</f>
      </c>
      <c r="F1446">
        <f>IF(INDEX(Transactions!$J:$J,ROW()-8)="",0,INDEX(Transactions!$O:$O,ROW()-8))</f>
      </c>
    </row>
    <row r="1447" spans="1:7">
      <c r="B1447">
        <f>IF(INDEX(Transactions!$J:$J,ROW()-8)="",TODAY(),INDEX(Transactions!$G:$G,ROW()-8))</f>
      </c>
      <c r="F1447">
        <f>IF(INDEX(Transactions!$J:$J,ROW()-8)="",0,INDEX(Transactions!$O:$O,ROW()-8))</f>
      </c>
    </row>
    <row r="1448" spans="1:7">
      <c r="B1448">
        <f>IF(INDEX(Transactions!$J:$J,ROW()-8)="",TODAY(),INDEX(Transactions!$G:$G,ROW()-8))</f>
      </c>
      <c r="F1448">
        <f>IF(INDEX(Transactions!$J:$J,ROW()-8)="",0,INDEX(Transactions!$O:$O,ROW()-8))</f>
      </c>
    </row>
    <row r="1449" spans="1:7">
      <c r="B1449">
        <f>IF(INDEX(Transactions!$J:$J,ROW()-8)="",TODAY(),INDEX(Transactions!$G:$G,ROW()-8))</f>
      </c>
      <c r="F1449">
        <f>IF(INDEX(Transactions!$J:$J,ROW()-8)="",0,INDEX(Transactions!$O:$O,ROW()-8))</f>
      </c>
    </row>
    <row r="1450" spans="1:7">
      <c r="B1450">
        <f>IF(INDEX(Transactions!$J:$J,ROW()-8)="",TODAY(),INDEX(Transactions!$G:$G,ROW()-8))</f>
      </c>
      <c r="F1450">
        <f>IF(INDEX(Transactions!$J:$J,ROW()-8)="",0,INDEX(Transactions!$O:$O,ROW()-8))</f>
      </c>
    </row>
    <row r="1451" spans="1:7">
      <c r="B1451">
        <f>IF(INDEX(Transactions!$J:$J,ROW()-8)="",TODAY(),INDEX(Transactions!$G:$G,ROW()-8))</f>
      </c>
      <c r="F1451">
        <f>IF(INDEX(Transactions!$J:$J,ROW()-8)="",0,INDEX(Transactions!$O:$O,ROW()-8))</f>
      </c>
    </row>
    <row r="1452" spans="1:7">
      <c r="B1452">
        <f>IF(INDEX(Transactions!$J:$J,ROW()-8)="",TODAY(),INDEX(Transactions!$G:$G,ROW()-8))</f>
      </c>
      <c r="F1452">
        <f>IF(INDEX(Transactions!$J:$J,ROW()-8)="",0,INDEX(Transactions!$O:$O,ROW()-8))</f>
      </c>
    </row>
    <row r="1453" spans="1:7">
      <c r="B1453">
        <f>IF(INDEX(Transactions!$J:$J,ROW()-8)="",TODAY(),INDEX(Transactions!$G:$G,ROW()-8))</f>
      </c>
      <c r="F1453">
        <f>IF(INDEX(Transactions!$J:$J,ROW()-8)="",0,INDEX(Transactions!$O:$O,ROW()-8))</f>
      </c>
    </row>
    <row r="1454" spans="1:7">
      <c r="B1454">
        <f>IF(INDEX(Transactions!$J:$J,ROW()-8)="",TODAY(),INDEX(Transactions!$G:$G,ROW()-8))</f>
      </c>
      <c r="F1454">
        <f>IF(INDEX(Transactions!$J:$J,ROW()-8)="",0,INDEX(Transactions!$O:$O,ROW()-8))</f>
      </c>
    </row>
    <row r="1455" spans="1:7">
      <c r="B1455">
        <f>IF(INDEX(Transactions!$J:$J,ROW()-8)="",TODAY(),INDEX(Transactions!$G:$G,ROW()-8))</f>
      </c>
      <c r="F1455">
        <f>IF(INDEX(Transactions!$J:$J,ROW()-8)="",0,INDEX(Transactions!$O:$O,ROW()-8))</f>
      </c>
    </row>
    <row r="1456" spans="1:7">
      <c r="B1456">
        <f>IF(INDEX(Transactions!$J:$J,ROW()-8)="",TODAY(),INDEX(Transactions!$G:$G,ROW()-8))</f>
      </c>
      <c r="F1456">
        <f>IF(INDEX(Transactions!$J:$J,ROW()-8)="",0,INDEX(Transactions!$O:$O,ROW()-8))</f>
      </c>
    </row>
    <row r="1457" spans="1:7">
      <c r="B1457">
        <f>IF(INDEX(Transactions!$J:$J,ROW()-8)="",TODAY(),INDEX(Transactions!$G:$G,ROW()-8))</f>
      </c>
      <c r="F1457">
        <f>IF(INDEX(Transactions!$J:$J,ROW()-8)="",0,INDEX(Transactions!$O:$O,ROW()-8))</f>
      </c>
    </row>
    <row r="1458" spans="1:7">
      <c r="B1458">
        <f>IF(INDEX(Transactions!$J:$J,ROW()-8)="",TODAY(),INDEX(Transactions!$G:$G,ROW()-8))</f>
      </c>
      <c r="F1458">
        <f>IF(INDEX(Transactions!$J:$J,ROW()-8)="",0,INDEX(Transactions!$O:$O,ROW()-8))</f>
      </c>
    </row>
    <row r="1459" spans="1:7">
      <c r="B1459">
        <f>IF(INDEX(Transactions!$J:$J,ROW()-8)="",TODAY(),INDEX(Transactions!$G:$G,ROW()-8))</f>
      </c>
      <c r="F1459">
        <f>IF(INDEX(Transactions!$J:$J,ROW()-8)="",0,INDEX(Transactions!$O:$O,ROW()-8))</f>
      </c>
    </row>
    <row r="1460" spans="1:7">
      <c r="B1460">
        <f>IF(INDEX(Transactions!$J:$J,ROW()-8)="",TODAY(),INDEX(Transactions!$G:$G,ROW()-8))</f>
      </c>
      <c r="F1460">
        <f>IF(INDEX(Transactions!$J:$J,ROW()-8)="",0,INDEX(Transactions!$O:$O,ROW()-8))</f>
      </c>
    </row>
    <row r="1461" spans="1:7">
      <c r="B1461">
        <f>IF(INDEX(Transactions!$J:$J,ROW()-8)="",TODAY(),INDEX(Transactions!$G:$G,ROW()-8))</f>
      </c>
      <c r="F1461">
        <f>IF(INDEX(Transactions!$J:$J,ROW()-8)="",0,INDEX(Transactions!$O:$O,ROW()-8))</f>
      </c>
    </row>
    <row r="1462" spans="1:7">
      <c r="B1462">
        <f>IF(INDEX(Transactions!$J:$J,ROW()-8)="",TODAY(),INDEX(Transactions!$G:$G,ROW()-8))</f>
      </c>
      <c r="F1462">
        <f>IF(INDEX(Transactions!$J:$J,ROW()-8)="",0,INDEX(Transactions!$O:$O,ROW()-8))</f>
      </c>
    </row>
    <row r="1463" spans="1:7">
      <c r="B1463">
        <f>IF(INDEX(Transactions!$J:$J,ROW()-8)="",TODAY(),INDEX(Transactions!$G:$G,ROW()-8))</f>
      </c>
      <c r="F1463">
        <f>IF(INDEX(Transactions!$J:$J,ROW()-8)="",0,INDEX(Transactions!$O:$O,ROW()-8))</f>
      </c>
    </row>
    <row r="1464" spans="1:7">
      <c r="B1464">
        <f>IF(INDEX(Transactions!$J:$J,ROW()-8)="",TODAY(),INDEX(Transactions!$G:$G,ROW()-8))</f>
      </c>
      <c r="F1464">
        <f>IF(INDEX(Transactions!$J:$J,ROW()-8)="",0,INDEX(Transactions!$O:$O,ROW()-8))</f>
      </c>
    </row>
    <row r="1465" spans="1:7">
      <c r="B1465">
        <f>IF(INDEX(Transactions!$J:$J,ROW()-8)="",TODAY(),INDEX(Transactions!$G:$G,ROW()-8))</f>
      </c>
      <c r="F1465">
        <f>IF(INDEX(Transactions!$J:$J,ROW()-8)="",0,INDEX(Transactions!$O:$O,ROW()-8))</f>
      </c>
    </row>
    <row r="1466" spans="1:7">
      <c r="B1466">
        <f>IF(INDEX(Transactions!$J:$J,ROW()-8)="",TODAY(),INDEX(Transactions!$G:$G,ROW()-8))</f>
      </c>
      <c r="F1466">
        <f>IF(INDEX(Transactions!$J:$J,ROW()-8)="",0,INDEX(Transactions!$O:$O,ROW()-8))</f>
      </c>
    </row>
    <row r="1467" spans="1:7">
      <c r="B1467">
        <f>IF(INDEX(Transactions!$J:$J,ROW()-8)="",TODAY(),INDEX(Transactions!$G:$G,ROW()-8))</f>
      </c>
      <c r="F1467">
        <f>IF(INDEX(Transactions!$J:$J,ROW()-8)="",0,INDEX(Transactions!$O:$O,ROW()-8))</f>
      </c>
    </row>
    <row r="1468" spans="1:7">
      <c r="B1468">
        <f>IF(INDEX(Transactions!$J:$J,ROW()-8)="",TODAY(),INDEX(Transactions!$G:$G,ROW()-8))</f>
      </c>
      <c r="F1468">
        <f>IF(INDEX(Transactions!$J:$J,ROW()-8)="",0,INDEX(Transactions!$O:$O,ROW()-8))</f>
      </c>
    </row>
    <row r="1469" spans="1:7">
      <c r="B1469">
        <f>IF(INDEX(Transactions!$J:$J,ROW()-8)="",TODAY(),INDEX(Transactions!$G:$G,ROW()-8))</f>
      </c>
      <c r="F1469">
        <f>IF(INDEX(Transactions!$J:$J,ROW()-8)="",0,INDEX(Transactions!$O:$O,ROW()-8))</f>
      </c>
    </row>
    <row r="1470" spans="1:7">
      <c r="B1470">
        <f>IF(INDEX(Transactions!$J:$J,ROW()-8)="",TODAY(),INDEX(Transactions!$G:$G,ROW()-8))</f>
      </c>
      <c r="F1470">
        <f>IF(INDEX(Transactions!$J:$J,ROW()-8)="",0,INDEX(Transactions!$O:$O,ROW()-8))</f>
      </c>
    </row>
    <row r="1471" spans="1:7">
      <c r="B1471">
        <f>IF(INDEX(Transactions!$J:$J,ROW()-8)="",TODAY(),INDEX(Transactions!$G:$G,ROW()-8))</f>
      </c>
      <c r="F1471">
        <f>IF(INDEX(Transactions!$J:$J,ROW()-8)="",0,INDEX(Transactions!$O:$O,ROW()-8))</f>
      </c>
    </row>
    <row r="1472" spans="1:7">
      <c r="B1472">
        <f>IF(INDEX(Transactions!$J:$J,ROW()-8)="",TODAY(),INDEX(Transactions!$G:$G,ROW()-8))</f>
      </c>
      <c r="F1472">
        <f>IF(INDEX(Transactions!$J:$J,ROW()-8)="",0,INDEX(Transactions!$O:$O,ROW()-8))</f>
      </c>
    </row>
    <row r="1473" spans="1:7">
      <c r="B1473">
        <f>IF(INDEX(Transactions!$J:$J,ROW()-8)="",TODAY(),INDEX(Transactions!$G:$G,ROW()-8))</f>
      </c>
      <c r="F1473">
        <f>IF(INDEX(Transactions!$J:$J,ROW()-8)="",0,INDEX(Transactions!$O:$O,ROW()-8))</f>
      </c>
    </row>
    <row r="1474" spans="1:7">
      <c r="B1474">
        <f>IF(INDEX(Transactions!$J:$J,ROW()-8)="",TODAY(),INDEX(Transactions!$G:$G,ROW()-8))</f>
      </c>
      <c r="F1474">
        <f>IF(INDEX(Transactions!$J:$J,ROW()-8)="",0,INDEX(Transactions!$O:$O,ROW()-8))</f>
      </c>
    </row>
    <row r="1475" spans="1:7">
      <c r="B1475">
        <f>IF(INDEX(Transactions!$J:$J,ROW()-8)="",TODAY(),INDEX(Transactions!$G:$G,ROW()-8))</f>
      </c>
      <c r="F1475">
        <f>IF(INDEX(Transactions!$J:$J,ROW()-8)="",0,INDEX(Transactions!$O:$O,ROW()-8))</f>
      </c>
    </row>
    <row r="1476" spans="1:7">
      <c r="B1476">
        <f>IF(INDEX(Transactions!$J:$J,ROW()-8)="",TODAY(),INDEX(Transactions!$G:$G,ROW()-8))</f>
      </c>
      <c r="F1476">
        <f>IF(INDEX(Transactions!$J:$J,ROW()-8)="",0,INDEX(Transactions!$O:$O,ROW()-8))</f>
      </c>
    </row>
    <row r="1477" spans="1:7">
      <c r="B1477">
        <f>IF(INDEX(Transactions!$J:$J,ROW()-8)="",TODAY(),INDEX(Transactions!$G:$G,ROW()-8))</f>
      </c>
      <c r="F1477">
        <f>IF(INDEX(Transactions!$J:$J,ROW()-8)="",0,INDEX(Transactions!$O:$O,ROW()-8))</f>
      </c>
    </row>
    <row r="1478" spans="1:7">
      <c r="B1478">
        <f>IF(INDEX(Transactions!$J:$J,ROW()-8)="",TODAY(),INDEX(Transactions!$G:$G,ROW()-8))</f>
      </c>
      <c r="F1478">
        <f>IF(INDEX(Transactions!$J:$J,ROW()-8)="",0,INDEX(Transactions!$O:$O,ROW()-8))</f>
      </c>
    </row>
    <row r="1479" spans="1:7">
      <c r="B1479">
        <f>IF(INDEX(Transactions!$J:$J,ROW()-8)="",TODAY(),INDEX(Transactions!$G:$G,ROW()-8))</f>
      </c>
      <c r="F1479">
        <f>IF(INDEX(Transactions!$J:$J,ROW()-8)="",0,INDEX(Transactions!$O:$O,ROW()-8))</f>
      </c>
    </row>
    <row r="1480" spans="1:7">
      <c r="B1480">
        <f>IF(INDEX(Transactions!$J:$J,ROW()-8)="",TODAY(),INDEX(Transactions!$G:$G,ROW()-8))</f>
      </c>
      <c r="F1480">
        <f>IF(INDEX(Transactions!$J:$J,ROW()-8)="",0,INDEX(Transactions!$O:$O,ROW()-8))</f>
      </c>
    </row>
    <row r="1481" spans="1:7">
      <c r="B1481">
        <f>IF(INDEX(Transactions!$J:$J,ROW()-8)="",TODAY(),INDEX(Transactions!$G:$G,ROW()-8))</f>
      </c>
      <c r="F1481">
        <f>IF(INDEX(Transactions!$J:$J,ROW()-8)="",0,INDEX(Transactions!$O:$O,ROW()-8))</f>
      </c>
    </row>
    <row r="1482" spans="1:7">
      <c r="B1482">
        <f>IF(INDEX(Transactions!$J:$J,ROW()-8)="",TODAY(),INDEX(Transactions!$G:$G,ROW()-8))</f>
      </c>
      <c r="F1482">
        <f>IF(INDEX(Transactions!$J:$J,ROW()-8)="",0,INDEX(Transactions!$O:$O,ROW()-8))</f>
      </c>
    </row>
    <row r="1483" spans="1:7">
      <c r="B1483">
        <f>IF(INDEX(Transactions!$J:$J,ROW()-8)="",TODAY(),INDEX(Transactions!$G:$G,ROW()-8))</f>
      </c>
      <c r="F1483">
        <f>IF(INDEX(Transactions!$J:$J,ROW()-8)="",0,INDEX(Transactions!$O:$O,ROW()-8))</f>
      </c>
    </row>
    <row r="1484" spans="1:7">
      <c r="B1484">
        <f>IF(INDEX(Transactions!$J:$J,ROW()-8)="",TODAY(),INDEX(Transactions!$G:$G,ROW()-8))</f>
      </c>
      <c r="F1484">
        <f>IF(INDEX(Transactions!$J:$J,ROW()-8)="",0,INDEX(Transactions!$O:$O,ROW()-8))</f>
      </c>
    </row>
    <row r="1485" spans="1:7">
      <c r="B1485">
        <f>IF(INDEX(Transactions!$J:$J,ROW()-8)="",TODAY(),INDEX(Transactions!$G:$G,ROW()-8))</f>
      </c>
      <c r="F1485">
        <f>IF(INDEX(Transactions!$J:$J,ROW()-8)="",0,INDEX(Transactions!$O:$O,ROW()-8))</f>
      </c>
    </row>
    <row r="1486" spans="1:7">
      <c r="B1486">
        <f>IF(INDEX(Transactions!$J:$J,ROW()-8)="",TODAY(),INDEX(Transactions!$G:$G,ROW()-8))</f>
      </c>
      <c r="F1486">
        <f>IF(INDEX(Transactions!$J:$J,ROW()-8)="",0,INDEX(Transactions!$O:$O,ROW()-8))</f>
      </c>
    </row>
    <row r="1487" spans="1:7">
      <c r="B1487">
        <f>IF(INDEX(Transactions!$J:$J,ROW()-8)="",TODAY(),INDEX(Transactions!$G:$G,ROW()-8))</f>
      </c>
      <c r="F1487">
        <f>IF(INDEX(Transactions!$J:$J,ROW()-8)="",0,INDEX(Transactions!$O:$O,ROW()-8))</f>
      </c>
    </row>
    <row r="1488" spans="1:7">
      <c r="B1488">
        <f>IF(INDEX(Transactions!$J:$J,ROW()-8)="",TODAY(),INDEX(Transactions!$G:$G,ROW()-8))</f>
      </c>
      <c r="F1488">
        <f>IF(INDEX(Transactions!$J:$J,ROW()-8)="",0,INDEX(Transactions!$O:$O,ROW()-8))</f>
      </c>
    </row>
    <row r="1489" spans="1:7">
      <c r="B1489">
        <f>IF(INDEX(Transactions!$J:$J,ROW()-8)="",TODAY(),INDEX(Transactions!$G:$G,ROW()-8))</f>
      </c>
      <c r="F1489">
        <f>IF(INDEX(Transactions!$J:$J,ROW()-8)="",0,INDEX(Transactions!$O:$O,ROW()-8))</f>
      </c>
    </row>
    <row r="1490" spans="1:7">
      <c r="B1490">
        <f>IF(INDEX(Transactions!$J:$J,ROW()-8)="",TODAY(),INDEX(Transactions!$G:$G,ROW()-8))</f>
      </c>
      <c r="F1490">
        <f>IF(INDEX(Transactions!$J:$J,ROW()-8)="",0,INDEX(Transactions!$O:$O,ROW()-8))</f>
      </c>
    </row>
    <row r="1491" spans="1:7">
      <c r="B1491">
        <f>IF(INDEX(Transactions!$J:$J,ROW()-8)="",TODAY(),INDEX(Transactions!$G:$G,ROW()-8))</f>
      </c>
      <c r="F1491">
        <f>IF(INDEX(Transactions!$J:$J,ROW()-8)="",0,INDEX(Transactions!$O:$O,ROW()-8))</f>
      </c>
    </row>
    <row r="1492" spans="1:7">
      <c r="B1492">
        <f>IF(INDEX(Transactions!$J:$J,ROW()-8)="",TODAY(),INDEX(Transactions!$G:$G,ROW()-8))</f>
      </c>
      <c r="F1492">
        <f>IF(INDEX(Transactions!$J:$J,ROW()-8)="",0,INDEX(Transactions!$O:$O,ROW()-8))</f>
      </c>
    </row>
    <row r="1493" spans="1:7">
      <c r="B1493">
        <f>IF(INDEX(Transactions!$J:$J,ROW()-8)="",TODAY(),INDEX(Transactions!$G:$G,ROW()-8))</f>
      </c>
      <c r="F1493">
        <f>IF(INDEX(Transactions!$J:$J,ROW()-8)="",0,INDEX(Transactions!$O:$O,ROW()-8))</f>
      </c>
    </row>
    <row r="1494" spans="1:7">
      <c r="B1494">
        <f>IF(INDEX(Transactions!$J:$J,ROW()-8)="",TODAY(),INDEX(Transactions!$G:$G,ROW()-8))</f>
      </c>
      <c r="F1494">
        <f>IF(INDEX(Transactions!$J:$J,ROW()-8)="",0,INDEX(Transactions!$O:$O,ROW()-8))</f>
      </c>
    </row>
    <row r="1495" spans="1:7">
      <c r="B1495">
        <f>IF(INDEX(Transactions!$J:$J,ROW()-8)="",TODAY(),INDEX(Transactions!$G:$G,ROW()-8))</f>
      </c>
      <c r="F1495">
        <f>IF(INDEX(Transactions!$J:$J,ROW()-8)="",0,INDEX(Transactions!$O:$O,ROW()-8))</f>
      </c>
    </row>
    <row r="1496" spans="1:7">
      <c r="B1496">
        <f>IF(INDEX(Transactions!$J:$J,ROW()-8)="",TODAY(),INDEX(Transactions!$G:$G,ROW()-8))</f>
      </c>
      <c r="F1496">
        <f>IF(INDEX(Transactions!$J:$J,ROW()-8)="",0,INDEX(Transactions!$O:$O,ROW()-8))</f>
      </c>
    </row>
    <row r="1497" spans="1:7">
      <c r="B1497">
        <f>IF(INDEX(Transactions!$J:$J,ROW()-8)="",TODAY(),INDEX(Transactions!$G:$G,ROW()-8))</f>
      </c>
      <c r="F1497">
        <f>IF(INDEX(Transactions!$J:$J,ROW()-8)="",0,INDEX(Transactions!$O:$O,ROW()-8))</f>
      </c>
    </row>
    <row r="1498" spans="1:7">
      <c r="B1498">
        <f>IF(INDEX(Transactions!$J:$J,ROW()-8)="",TODAY(),INDEX(Transactions!$G:$G,ROW()-8))</f>
      </c>
      <c r="F1498">
        <f>IF(INDEX(Transactions!$J:$J,ROW()-8)="",0,INDEX(Transactions!$O:$O,ROW()-8))</f>
      </c>
    </row>
    <row r="1499" spans="1:7">
      <c r="B1499">
        <f>IF(INDEX(Transactions!$J:$J,ROW()-8)="",TODAY(),INDEX(Transactions!$G:$G,ROW()-8))</f>
      </c>
      <c r="F1499">
        <f>IF(INDEX(Transactions!$J:$J,ROW()-8)="",0,INDEX(Transactions!$O:$O,ROW()-8))</f>
      </c>
    </row>
    <row r="1500" spans="1:7">
      <c r="B1500">
        <f>IF(INDEX(Transactions!$J:$J,ROW()-8)="",TODAY(),INDEX(Transactions!$G:$G,ROW()-8))</f>
      </c>
      <c r="F1500">
        <f>IF(INDEX(Transactions!$J:$J,ROW()-8)="",0,INDEX(Transactions!$O:$O,ROW()-8))</f>
      </c>
    </row>
    <row r="1501" spans="1:7">
      <c r="B1501">
        <f>IF(INDEX(Transactions!$J:$J,ROW()-8)="",TODAY(),INDEX(Transactions!$G:$G,ROW()-8))</f>
      </c>
      <c r="F1501">
        <f>IF(INDEX(Transactions!$J:$J,ROW()-8)="",0,INDEX(Transactions!$O:$O,ROW()-8))</f>
      </c>
    </row>
    <row r="1502" spans="1:7">
      <c r="B1502">
        <f>IF(INDEX(Transactions!$J:$J,ROW()-8)="",TODAY(),INDEX(Transactions!$G:$G,ROW()-8))</f>
      </c>
      <c r="F1502">
        <f>IF(INDEX(Transactions!$J:$J,ROW()-8)="",0,INDEX(Transactions!$O:$O,ROW()-8))</f>
      </c>
    </row>
    <row r="1503" spans="1:7">
      <c r="B1503">
        <f>IF(INDEX(Transactions!$J:$J,ROW()-8)="",TODAY(),INDEX(Transactions!$G:$G,ROW()-8))</f>
      </c>
      <c r="F1503">
        <f>IF(INDEX(Transactions!$J:$J,ROW()-8)="",0,INDEX(Transactions!$O:$O,ROW()-8))</f>
      </c>
    </row>
    <row r="1504" spans="1:7">
      <c r="B1504">
        <f>IF(INDEX(Transactions!$J:$J,ROW()-8)="",TODAY(),INDEX(Transactions!$G:$G,ROW()-8))</f>
      </c>
      <c r="F1504">
        <f>IF(INDEX(Transactions!$J:$J,ROW()-8)="",0,INDEX(Transactions!$O:$O,ROW()-8))</f>
      </c>
    </row>
    <row r="1505" spans="1:7">
      <c r="B1505">
        <f>IF(INDEX(Transactions!$J:$J,ROW()-8)="",TODAY(),INDEX(Transactions!$G:$G,ROW()-8))</f>
      </c>
      <c r="F1505">
        <f>IF(INDEX(Transactions!$J:$J,ROW()-8)="",0,INDEX(Transactions!$O:$O,ROW()-8))</f>
      </c>
    </row>
    <row r="1506" spans="1:7">
      <c r="B1506">
        <f>IF(INDEX(Transactions!$J:$J,ROW()-8)="",TODAY(),INDEX(Transactions!$G:$G,ROW()-8))</f>
      </c>
      <c r="F1506">
        <f>IF(INDEX(Transactions!$J:$J,ROW()-8)="",0,INDEX(Transactions!$O:$O,ROW()-8))</f>
      </c>
    </row>
    <row r="1507" spans="1:7">
      <c r="B1507">
        <f>IF(INDEX(Transactions!$J:$J,ROW()-8)="",TODAY(),INDEX(Transactions!$G:$G,ROW()-8))</f>
      </c>
      <c r="F1507">
        <f>IF(INDEX(Transactions!$J:$J,ROW()-8)="",0,INDEX(Transactions!$O:$O,ROW()-8))</f>
      </c>
    </row>
    <row r="1508" spans="1:7">
      <c r="B1508">
        <f>IF(INDEX(Transactions!$J:$J,ROW()-8)="",TODAY(),INDEX(Transactions!$G:$G,ROW()-8))</f>
      </c>
      <c r="F1508">
        <f>IF(INDEX(Transactions!$J:$J,ROW()-8)="",0,INDEX(Transactions!$O:$O,ROW()-8))</f>
      </c>
    </row>
    <row r="1509" spans="1:7">
      <c r="B1509">
        <f>IF(INDEX(Transactions!$J:$J,ROW()-8)="",TODAY(),INDEX(Transactions!$G:$G,ROW()-8))</f>
      </c>
      <c r="F1509">
        <f>IF(INDEX(Transactions!$J:$J,ROW()-8)="",0,INDEX(Transactions!$O:$O,ROW()-8))</f>
      </c>
    </row>
    <row r="1510" spans="1:7">
      <c r="B1510">
        <f>IF(INDEX(Transactions!$J:$J,ROW()-8)="",TODAY(),INDEX(Transactions!$G:$G,ROW()-8))</f>
      </c>
      <c r="F1510">
        <f>IF(INDEX(Transactions!$J:$J,ROW()-8)="",0,INDEX(Transactions!$O:$O,ROW()-8))</f>
      </c>
    </row>
    <row r="1511" spans="1:7">
      <c r="B1511">
        <f>IF(INDEX(Transactions!$J:$J,ROW()-8)="",TODAY(),INDEX(Transactions!$G:$G,ROW()-8))</f>
      </c>
      <c r="F1511">
        <f>IF(INDEX(Transactions!$J:$J,ROW()-8)="",0,INDEX(Transactions!$O:$O,ROW()-8))</f>
      </c>
    </row>
    <row r="1512" spans="1:7">
      <c r="B1512">
        <f>IF(INDEX(Transactions!$J:$J,ROW()-8)="",TODAY(),INDEX(Transactions!$G:$G,ROW()-8))</f>
      </c>
      <c r="F1512">
        <f>IF(INDEX(Transactions!$J:$J,ROW()-8)="",0,INDEX(Transactions!$O:$O,ROW()-8))</f>
      </c>
    </row>
    <row r="1513" spans="1:7">
      <c r="B1513">
        <f>IF(INDEX(Transactions!$J:$J,ROW()-8)="",TODAY(),INDEX(Transactions!$G:$G,ROW()-8))</f>
      </c>
      <c r="F1513">
        <f>IF(INDEX(Transactions!$J:$J,ROW()-8)="",0,INDEX(Transactions!$O:$O,ROW()-8))</f>
      </c>
    </row>
    <row r="1514" spans="1:7">
      <c r="B1514">
        <f>IF(INDEX(Transactions!$J:$J,ROW()-8)="",TODAY(),INDEX(Transactions!$G:$G,ROW()-8))</f>
      </c>
      <c r="F1514">
        <f>IF(INDEX(Transactions!$J:$J,ROW()-8)="",0,INDEX(Transactions!$O:$O,ROW()-8))</f>
      </c>
    </row>
    <row r="1515" spans="1:7">
      <c r="B1515">
        <f>IF(INDEX(Transactions!$J:$J,ROW()-8)="",TODAY(),INDEX(Transactions!$G:$G,ROW()-8))</f>
      </c>
      <c r="F1515">
        <f>IF(INDEX(Transactions!$J:$J,ROW()-8)="",0,INDEX(Transactions!$O:$O,ROW()-8))</f>
      </c>
    </row>
    <row r="1516" spans="1:7">
      <c r="B1516">
        <f>IF(INDEX(Transactions!$J:$J,ROW()-8)="",TODAY(),INDEX(Transactions!$G:$G,ROW()-8))</f>
      </c>
      <c r="F1516">
        <f>IF(INDEX(Transactions!$J:$J,ROW()-8)="",0,INDEX(Transactions!$O:$O,ROW()-8))</f>
      </c>
    </row>
    <row r="1517" spans="1:7">
      <c r="B1517">
        <f>IF(INDEX(Transactions!$J:$J,ROW()-8)="",TODAY(),INDEX(Transactions!$G:$G,ROW()-8))</f>
      </c>
      <c r="F1517">
        <f>IF(INDEX(Transactions!$J:$J,ROW()-8)="",0,INDEX(Transactions!$O:$O,ROW()-8))</f>
      </c>
    </row>
    <row r="1518" spans="1:7">
      <c r="B1518">
        <f>IF(INDEX(Transactions!$J:$J,ROW()-8)="",TODAY(),INDEX(Transactions!$G:$G,ROW()-8))</f>
      </c>
      <c r="F1518">
        <f>IF(INDEX(Transactions!$J:$J,ROW()-8)="",0,INDEX(Transactions!$O:$O,ROW()-8))</f>
      </c>
    </row>
    <row r="1519" spans="1:7">
      <c r="B1519">
        <f>IF(INDEX(Transactions!$J:$J,ROW()-8)="",TODAY(),INDEX(Transactions!$G:$G,ROW()-8))</f>
      </c>
      <c r="F1519">
        <f>IF(INDEX(Transactions!$J:$J,ROW()-8)="",0,INDEX(Transactions!$O:$O,ROW()-8))</f>
      </c>
    </row>
    <row r="1520" spans="1:7">
      <c r="B1520">
        <f>IF(INDEX(Transactions!$J:$J,ROW()-8)="",TODAY(),INDEX(Transactions!$G:$G,ROW()-8))</f>
      </c>
      <c r="F1520">
        <f>IF(INDEX(Transactions!$J:$J,ROW()-8)="",0,INDEX(Transactions!$O:$O,ROW()-8))</f>
      </c>
    </row>
    <row r="1521" spans="1:7">
      <c r="B1521">
        <f>IF(INDEX(Transactions!$J:$J,ROW()-8)="",TODAY(),INDEX(Transactions!$G:$G,ROW()-8))</f>
      </c>
      <c r="F1521">
        <f>IF(INDEX(Transactions!$J:$J,ROW()-8)="",0,INDEX(Transactions!$O:$O,ROW()-8))</f>
      </c>
    </row>
    <row r="1522" spans="1:7">
      <c r="B1522">
        <f>IF(INDEX(Transactions!$J:$J,ROW()-8)="",TODAY(),INDEX(Transactions!$G:$G,ROW()-8))</f>
      </c>
      <c r="F1522">
        <f>IF(INDEX(Transactions!$J:$J,ROW()-8)="",0,INDEX(Transactions!$O:$O,ROW()-8))</f>
      </c>
    </row>
    <row r="1523" spans="1:7">
      <c r="B1523">
        <f>IF(INDEX(Transactions!$J:$J,ROW()-8)="",TODAY(),INDEX(Transactions!$G:$G,ROW()-8))</f>
      </c>
      <c r="F1523">
        <f>IF(INDEX(Transactions!$J:$J,ROW()-8)="",0,INDEX(Transactions!$O:$O,ROW()-8))</f>
      </c>
    </row>
    <row r="1524" spans="1:7">
      <c r="B1524">
        <f>IF(INDEX(Transactions!$J:$J,ROW()-8)="",TODAY(),INDEX(Transactions!$G:$G,ROW()-8))</f>
      </c>
      <c r="F1524">
        <f>IF(INDEX(Transactions!$J:$J,ROW()-8)="",0,INDEX(Transactions!$O:$O,ROW()-8))</f>
      </c>
    </row>
    <row r="1525" spans="1:7">
      <c r="B1525">
        <f>IF(INDEX(Transactions!$J:$J,ROW()-8)="",TODAY(),INDEX(Transactions!$G:$G,ROW()-8))</f>
      </c>
      <c r="F1525">
        <f>IF(INDEX(Transactions!$J:$J,ROW()-8)="",0,INDEX(Transactions!$O:$O,ROW()-8))</f>
      </c>
    </row>
    <row r="1526" spans="1:7">
      <c r="B1526">
        <f>IF(INDEX(Transactions!$J:$J,ROW()-8)="",TODAY(),INDEX(Transactions!$G:$G,ROW()-8))</f>
      </c>
      <c r="F1526">
        <f>IF(INDEX(Transactions!$J:$J,ROW()-8)="",0,INDEX(Transactions!$O:$O,ROW()-8))</f>
      </c>
    </row>
    <row r="1527" spans="1:7">
      <c r="B1527">
        <f>IF(INDEX(Transactions!$J:$J,ROW()-8)="",TODAY(),INDEX(Transactions!$G:$G,ROW()-8))</f>
      </c>
      <c r="F1527">
        <f>IF(INDEX(Transactions!$J:$J,ROW()-8)="",0,INDEX(Transactions!$O:$O,ROW()-8))</f>
      </c>
    </row>
    <row r="1528" spans="1:7">
      <c r="B1528">
        <f>IF(INDEX(Transactions!$J:$J,ROW()-8)="",TODAY(),INDEX(Transactions!$G:$G,ROW()-8))</f>
      </c>
      <c r="F1528">
        <f>IF(INDEX(Transactions!$J:$J,ROW()-8)="",0,INDEX(Transactions!$O:$O,ROW()-8))</f>
      </c>
    </row>
    <row r="1529" spans="1:7">
      <c r="B1529">
        <f>IF(INDEX(Transactions!$J:$J,ROW()-8)="",TODAY(),INDEX(Transactions!$G:$G,ROW()-8))</f>
      </c>
      <c r="F1529">
        <f>IF(INDEX(Transactions!$J:$J,ROW()-8)="",0,INDEX(Transactions!$O:$O,ROW()-8))</f>
      </c>
    </row>
    <row r="1530" spans="1:7">
      <c r="B1530">
        <f>IF(INDEX(Transactions!$J:$J,ROW()-8)="",TODAY(),INDEX(Transactions!$G:$G,ROW()-8))</f>
      </c>
      <c r="F1530">
        <f>IF(INDEX(Transactions!$J:$J,ROW()-8)="",0,INDEX(Transactions!$O:$O,ROW()-8))</f>
      </c>
    </row>
    <row r="1531" spans="1:7">
      <c r="B1531">
        <f>IF(INDEX(Transactions!$J:$J,ROW()-8)="",TODAY(),INDEX(Transactions!$G:$G,ROW()-8))</f>
      </c>
      <c r="F1531">
        <f>IF(INDEX(Transactions!$J:$J,ROW()-8)="",0,INDEX(Transactions!$O:$O,ROW()-8))</f>
      </c>
    </row>
    <row r="1532" spans="1:7">
      <c r="B1532">
        <f>IF(INDEX(Transactions!$J:$J,ROW()-8)="",TODAY(),INDEX(Transactions!$G:$G,ROW()-8))</f>
      </c>
      <c r="F1532">
        <f>IF(INDEX(Transactions!$J:$J,ROW()-8)="",0,INDEX(Transactions!$O:$O,ROW()-8))</f>
      </c>
    </row>
    <row r="1533" spans="1:7">
      <c r="B1533">
        <f>IF(INDEX(Transactions!$J:$J,ROW()-8)="",TODAY(),INDEX(Transactions!$G:$G,ROW()-8))</f>
      </c>
      <c r="F1533">
        <f>IF(INDEX(Transactions!$J:$J,ROW()-8)="",0,INDEX(Transactions!$O:$O,ROW()-8))</f>
      </c>
    </row>
    <row r="1534" spans="1:7">
      <c r="B1534">
        <f>IF(INDEX(Transactions!$J:$J,ROW()-8)="",TODAY(),INDEX(Transactions!$G:$G,ROW()-8))</f>
      </c>
      <c r="F1534">
        <f>IF(INDEX(Transactions!$J:$J,ROW()-8)="",0,INDEX(Transactions!$O:$O,ROW()-8))</f>
      </c>
    </row>
    <row r="1535" spans="1:7">
      <c r="B1535">
        <f>IF(INDEX(Transactions!$J:$J,ROW()-8)="",TODAY(),INDEX(Transactions!$G:$G,ROW()-8))</f>
      </c>
      <c r="F1535">
        <f>IF(INDEX(Transactions!$J:$J,ROW()-8)="",0,INDEX(Transactions!$O:$O,ROW()-8))</f>
      </c>
    </row>
    <row r="1536" spans="1:7">
      <c r="B1536">
        <f>IF(INDEX(Transactions!$J:$J,ROW()-8)="",TODAY(),INDEX(Transactions!$G:$G,ROW()-8))</f>
      </c>
      <c r="F1536">
        <f>IF(INDEX(Transactions!$J:$J,ROW()-8)="",0,INDEX(Transactions!$O:$O,ROW()-8))</f>
      </c>
    </row>
    <row r="1537" spans="1:7">
      <c r="B1537">
        <f>IF(INDEX(Transactions!$J:$J,ROW()-8)="",TODAY(),INDEX(Transactions!$G:$G,ROW()-8))</f>
      </c>
      <c r="F1537">
        <f>IF(INDEX(Transactions!$J:$J,ROW()-8)="",0,INDEX(Transactions!$O:$O,ROW()-8))</f>
      </c>
    </row>
    <row r="1538" spans="1:7">
      <c r="B1538">
        <f>IF(INDEX(Transactions!$J:$J,ROW()-8)="",TODAY(),INDEX(Transactions!$G:$G,ROW()-8))</f>
      </c>
      <c r="F1538">
        <f>IF(INDEX(Transactions!$J:$J,ROW()-8)="",0,INDEX(Transactions!$O:$O,ROW()-8))</f>
      </c>
    </row>
    <row r="1539" spans="1:7">
      <c r="B1539">
        <f>IF(INDEX(Transactions!$J:$J,ROW()-8)="",TODAY(),INDEX(Transactions!$G:$G,ROW()-8))</f>
      </c>
      <c r="F1539">
        <f>IF(INDEX(Transactions!$J:$J,ROW()-8)="",0,INDEX(Transactions!$O:$O,ROW()-8))</f>
      </c>
    </row>
    <row r="1540" spans="1:7">
      <c r="B1540">
        <f>IF(INDEX(Transactions!$J:$J,ROW()-8)="",TODAY(),INDEX(Transactions!$G:$G,ROW()-8))</f>
      </c>
      <c r="F1540">
        <f>IF(INDEX(Transactions!$J:$J,ROW()-8)="",0,INDEX(Transactions!$O:$O,ROW()-8))</f>
      </c>
    </row>
    <row r="1541" spans="1:7">
      <c r="B1541">
        <f>IF(INDEX(Transactions!$J:$J,ROW()-8)="",TODAY(),INDEX(Transactions!$G:$G,ROW()-8))</f>
      </c>
      <c r="F1541">
        <f>IF(INDEX(Transactions!$J:$J,ROW()-8)="",0,INDEX(Transactions!$O:$O,ROW()-8))</f>
      </c>
    </row>
    <row r="1542" spans="1:7">
      <c r="B1542">
        <f>IF(INDEX(Transactions!$J:$J,ROW()-8)="",TODAY(),INDEX(Transactions!$G:$G,ROW()-8))</f>
      </c>
      <c r="F1542">
        <f>IF(INDEX(Transactions!$J:$J,ROW()-8)="",0,INDEX(Transactions!$O:$O,ROW()-8))</f>
      </c>
    </row>
    <row r="1543" spans="1:7">
      <c r="B1543">
        <f>IF(INDEX(Transactions!$J:$J,ROW()-8)="",TODAY(),INDEX(Transactions!$G:$G,ROW()-8))</f>
      </c>
      <c r="F1543">
        <f>IF(INDEX(Transactions!$J:$J,ROW()-8)="",0,INDEX(Transactions!$O:$O,ROW()-8))</f>
      </c>
    </row>
    <row r="1544" spans="1:7">
      <c r="B1544">
        <f>IF(INDEX(Transactions!$J:$J,ROW()-8)="",TODAY(),INDEX(Transactions!$G:$G,ROW()-8))</f>
      </c>
      <c r="F1544">
        <f>IF(INDEX(Transactions!$J:$J,ROW()-8)="",0,INDEX(Transactions!$O:$O,ROW()-8))</f>
      </c>
    </row>
    <row r="1545" spans="1:7">
      <c r="B1545">
        <f>IF(INDEX(Transactions!$J:$J,ROW()-8)="",TODAY(),INDEX(Transactions!$G:$G,ROW()-8))</f>
      </c>
      <c r="F1545">
        <f>IF(INDEX(Transactions!$J:$J,ROW()-8)="",0,INDEX(Transactions!$O:$O,ROW()-8))</f>
      </c>
    </row>
    <row r="1546" spans="1:7">
      <c r="B1546">
        <f>IF(INDEX(Transactions!$J:$J,ROW()-8)="",TODAY(),INDEX(Transactions!$G:$G,ROW()-8))</f>
      </c>
      <c r="F1546">
        <f>IF(INDEX(Transactions!$J:$J,ROW()-8)="",0,INDEX(Transactions!$O:$O,ROW()-8))</f>
      </c>
    </row>
    <row r="1547" spans="1:7">
      <c r="B1547">
        <f>IF(INDEX(Transactions!$J:$J,ROW()-8)="",TODAY(),INDEX(Transactions!$G:$G,ROW()-8))</f>
      </c>
      <c r="F1547">
        <f>IF(INDEX(Transactions!$J:$J,ROW()-8)="",0,INDEX(Transactions!$O:$O,ROW()-8))</f>
      </c>
    </row>
    <row r="1548" spans="1:7">
      <c r="B1548">
        <f>IF(INDEX(Transactions!$J:$J,ROW()-8)="",TODAY(),INDEX(Transactions!$G:$G,ROW()-8))</f>
      </c>
      <c r="F1548">
        <f>IF(INDEX(Transactions!$J:$J,ROW()-8)="",0,INDEX(Transactions!$O:$O,ROW()-8))</f>
      </c>
    </row>
    <row r="1549" spans="1:7">
      <c r="B1549">
        <f>IF(INDEX(Transactions!$J:$J,ROW()-8)="",TODAY(),INDEX(Transactions!$G:$G,ROW()-8))</f>
      </c>
      <c r="F1549">
        <f>IF(INDEX(Transactions!$J:$J,ROW()-8)="",0,INDEX(Transactions!$O:$O,ROW()-8))</f>
      </c>
    </row>
    <row r="1550" spans="1:7">
      <c r="B1550">
        <f>IF(INDEX(Transactions!$J:$J,ROW()-8)="",TODAY(),INDEX(Transactions!$G:$G,ROW()-8))</f>
      </c>
      <c r="F1550">
        <f>IF(INDEX(Transactions!$J:$J,ROW()-8)="",0,INDEX(Transactions!$O:$O,ROW()-8))</f>
      </c>
    </row>
    <row r="1551" spans="1:7">
      <c r="B1551">
        <f>IF(INDEX(Transactions!$J:$J,ROW()-8)="",TODAY(),INDEX(Transactions!$G:$G,ROW()-8))</f>
      </c>
      <c r="F1551">
        <f>IF(INDEX(Transactions!$J:$J,ROW()-8)="",0,INDEX(Transactions!$O:$O,ROW()-8))</f>
      </c>
    </row>
    <row r="1552" spans="1:7">
      <c r="B1552">
        <f>IF(INDEX(Transactions!$J:$J,ROW()-8)="",TODAY(),INDEX(Transactions!$G:$G,ROW()-8))</f>
      </c>
      <c r="F1552">
        <f>IF(INDEX(Transactions!$J:$J,ROW()-8)="",0,INDEX(Transactions!$O:$O,ROW()-8))</f>
      </c>
    </row>
    <row r="1553" spans="1:7">
      <c r="B1553">
        <f>IF(INDEX(Transactions!$J:$J,ROW()-8)="",TODAY(),INDEX(Transactions!$G:$G,ROW()-8))</f>
      </c>
      <c r="F1553">
        <f>IF(INDEX(Transactions!$J:$J,ROW()-8)="",0,INDEX(Transactions!$O:$O,ROW()-8))</f>
      </c>
    </row>
    <row r="1554" spans="1:7">
      <c r="B1554">
        <f>IF(INDEX(Transactions!$J:$J,ROW()-8)="",TODAY(),INDEX(Transactions!$G:$G,ROW()-8))</f>
      </c>
      <c r="F1554">
        <f>IF(INDEX(Transactions!$J:$J,ROW()-8)="",0,INDEX(Transactions!$O:$O,ROW()-8))</f>
      </c>
    </row>
    <row r="1555" spans="1:7">
      <c r="B1555">
        <f>IF(INDEX(Transactions!$J:$J,ROW()-8)="",TODAY(),INDEX(Transactions!$G:$G,ROW()-8))</f>
      </c>
      <c r="F1555">
        <f>IF(INDEX(Transactions!$J:$J,ROW()-8)="",0,INDEX(Transactions!$O:$O,ROW()-8))</f>
      </c>
    </row>
    <row r="1556" spans="1:7">
      <c r="B1556">
        <f>IF(INDEX(Transactions!$J:$J,ROW()-8)="",TODAY(),INDEX(Transactions!$G:$G,ROW()-8))</f>
      </c>
      <c r="F1556">
        <f>IF(INDEX(Transactions!$J:$J,ROW()-8)="",0,INDEX(Transactions!$O:$O,ROW()-8))</f>
      </c>
    </row>
    <row r="1557" spans="1:7">
      <c r="B1557">
        <f>IF(INDEX(Transactions!$J:$J,ROW()-8)="",TODAY(),INDEX(Transactions!$G:$G,ROW()-8))</f>
      </c>
      <c r="F1557">
        <f>IF(INDEX(Transactions!$J:$J,ROW()-8)="",0,INDEX(Transactions!$O:$O,ROW()-8))</f>
      </c>
    </row>
    <row r="1558" spans="1:7">
      <c r="B1558">
        <f>IF(INDEX(Transactions!$J:$J,ROW()-8)="",TODAY(),INDEX(Transactions!$G:$G,ROW()-8))</f>
      </c>
      <c r="F1558">
        <f>IF(INDEX(Transactions!$J:$J,ROW()-8)="",0,INDEX(Transactions!$O:$O,ROW()-8))</f>
      </c>
    </row>
    <row r="1559" spans="1:7">
      <c r="B1559">
        <f>IF(INDEX(Transactions!$J:$J,ROW()-8)="",TODAY(),INDEX(Transactions!$G:$G,ROW()-8))</f>
      </c>
      <c r="F1559">
        <f>IF(INDEX(Transactions!$J:$J,ROW()-8)="",0,INDEX(Transactions!$O:$O,ROW()-8))</f>
      </c>
    </row>
    <row r="1560" spans="1:7">
      <c r="B1560">
        <f>IF(INDEX(Transactions!$J:$J,ROW()-8)="",TODAY(),INDEX(Transactions!$G:$G,ROW()-8))</f>
      </c>
      <c r="F1560">
        <f>IF(INDEX(Transactions!$J:$J,ROW()-8)="",0,INDEX(Transactions!$O:$O,ROW()-8))</f>
      </c>
    </row>
    <row r="1561" spans="1:7">
      <c r="B1561">
        <f>IF(INDEX(Transactions!$J:$J,ROW()-8)="",TODAY(),INDEX(Transactions!$G:$G,ROW()-8))</f>
      </c>
      <c r="F1561">
        <f>IF(INDEX(Transactions!$J:$J,ROW()-8)="",0,INDEX(Transactions!$O:$O,ROW()-8))</f>
      </c>
    </row>
    <row r="1562" spans="1:7">
      <c r="B1562">
        <f>IF(INDEX(Transactions!$J:$J,ROW()-8)="",TODAY(),INDEX(Transactions!$G:$G,ROW()-8))</f>
      </c>
      <c r="F1562">
        <f>IF(INDEX(Transactions!$J:$J,ROW()-8)="",0,INDEX(Transactions!$O:$O,ROW()-8))</f>
      </c>
    </row>
    <row r="1563" spans="1:7">
      <c r="B1563">
        <f>IF(INDEX(Transactions!$J:$J,ROW()-8)="",TODAY(),INDEX(Transactions!$G:$G,ROW()-8))</f>
      </c>
      <c r="F1563">
        <f>IF(INDEX(Transactions!$J:$J,ROW()-8)="",0,INDEX(Transactions!$O:$O,ROW()-8))</f>
      </c>
    </row>
    <row r="1564" spans="1:7">
      <c r="B1564">
        <f>IF(INDEX(Transactions!$J:$J,ROW()-8)="",TODAY(),INDEX(Transactions!$G:$G,ROW()-8))</f>
      </c>
      <c r="F1564">
        <f>IF(INDEX(Transactions!$J:$J,ROW()-8)="",0,INDEX(Transactions!$O:$O,ROW()-8))</f>
      </c>
    </row>
    <row r="1565" spans="1:7">
      <c r="B1565">
        <f>IF(INDEX(Transactions!$J:$J,ROW()-8)="",TODAY(),INDEX(Transactions!$G:$G,ROW()-8))</f>
      </c>
      <c r="F1565">
        <f>IF(INDEX(Transactions!$J:$J,ROW()-8)="",0,INDEX(Transactions!$O:$O,ROW()-8))</f>
      </c>
    </row>
    <row r="1566" spans="1:7">
      <c r="B1566">
        <f>IF(INDEX(Transactions!$J:$J,ROW()-8)="",TODAY(),INDEX(Transactions!$G:$G,ROW()-8))</f>
      </c>
      <c r="F1566">
        <f>IF(INDEX(Transactions!$J:$J,ROW()-8)="",0,INDEX(Transactions!$O:$O,ROW()-8))</f>
      </c>
    </row>
    <row r="1567" spans="1:7">
      <c r="B1567">
        <f>IF(INDEX(Transactions!$J:$J,ROW()-8)="",TODAY(),INDEX(Transactions!$G:$G,ROW()-8))</f>
      </c>
      <c r="F1567">
        <f>IF(INDEX(Transactions!$J:$J,ROW()-8)="",0,INDEX(Transactions!$O:$O,ROW()-8))</f>
      </c>
    </row>
    <row r="1568" spans="1:7">
      <c r="B1568">
        <f>IF(INDEX(Transactions!$J:$J,ROW()-8)="",TODAY(),INDEX(Transactions!$G:$G,ROW()-8))</f>
      </c>
      <c r="F1568">
        <f>IF(INDEX(Transactions!$J:$J,ROW()-8)="",0,INDEX(Transactions!$O:$O,ROW()-8))</f>
      </c>
    </row>
    <row r="1569" spans="1:7">
      <c r="B1569">
        <f>IF(INDEX(Transactions!$J:$J,ROW()-8)="",TODAY(),INDEX(Transactions!$G:$G,ROW()-8))</f>
      </c>
      <c r="F1569">
        <f>IF(INDEX(Transactions!$J:$J,ROW()-8)="",0,INDEX(Transactions!$O:$O,ROW()-8))</f>
      </c>
    </row>
    <row r="1570" spans="1:7">
      <c r="B1570">
        <f>IF(INDEX(Transactions!$J:$J,ROW()-8)="",TODAY(),INDEX(Transactions!$G:$G,ROW()-8))</f>
      </c>
      <c r="F1570">
        <f>IF(INDEX(Transactions!$J:$J,ROW()-8)="",0,INDEX(Transactions!$O:$O,ROW()-8))</f>
      </c>
    </row>
    <row r="1571" spans="1:7">
      <c r="B1571">
        <f>IF(INDEX(Transactions!$J:$J,ROW()-8)="",TODAY(),INDEX(Transactions!$G:$G,ROW()-8))</f>
      </c>
      <c r="F1571">
        <f>IF(INDEX(Transactions!$J:$J,ROW()-8)="",0,INDEX(Transactions!$O:$O,ROW()-8))</f>
      </c>
    </row>
    <row r="1572" spans="1:7">
      <c r="B1572">
        <f>IF(INDEX(Transactions!$J:$J,ROW()-8)="",TODAY(),INDEX(Transactions!$G:$G,ROW()-8))</f>
      </c>
      <c r="F1572">
        <f>IF(INDEX(Transactions!$J:$J,ROW()-8)="",0,INDEX(Transactions!$O:$O,ROW()-8))</f>
      </c>
    </row>
    <row r="1573" spans="1:7">
      <c r="B1573">
        <f>IF(INDEX(Transactions!$J:$J,ROW()-8)="",TODAY(),INDEX(Transactions!$G:$G,ROW()-8))</f>
      </c>
      <c r="F1573">
        <f>IF(INDEX(Transactions!$J:$J,ROW()-8)="",0,INDEX(Transactions!$O:$O,ROW()-8))</f>
      </c>
    </row>
    <row r="1574" spans="1:7">
      <c r="B1574">
        <f>IF(INDEX(Transactions!$J:$J,ROW()-8)="",TODAY(),INDEX(Transactions!$G:$G,ROW()-8))</f>
      </c>
      <c r="F1574">
        <f>IF(INDEX(Transactions!$J:$J,ROW()-8)="",0,INDEX(Transactions!$O:$O,ROW()-8))</f>
      </c>
    </row>
    <row r="1575" spans="1:7">
      <c r="B1575">
        <f>IF(INDEX(Transactions!$J:$J,ROW()-8)="",TODAY(),INDEX(Transactions!$G:$G,ROW()-8))</f>
      </c>
      <c r="F1575">
        <f>IF(INDEX(Transactions!$J:$J,ROW()-8)="",0,INDEX(Transactions!$O:$O,ROW()-8))</f>
      </c>
    </row>
    <row r="1576" spans="1:7">
      <c r="B1576">
        <f>IF(INDEX(Transactions!$J:$J,ROW()-8)="",TODAY(),INDEX(Transactions!$G:$G,ROW()-8))</f>
      </c>
      <c r="F1576">
        <f>IF(INDEX(Transactions!$J:$J,ROW()-8)="",0,INDEX(Transactions!$O:$O,ROW()-8))</f>
      </c>
    </row>
    <row r="1577" spans="1:7">
      <c r="B1577">
        <f>IF(INDEX(Transactions!$J:$J,ROW()-8)="",TODAY(),INDEX(Transactions!$G:$G,ROW()-8))</f>
      </c>
      <c r="F1577">
        <f>IF(INDEX(Transactions!$J:$J,ROW()-8)="",0,INDEX(Transactions!$O:$O,ROW()-8))</f>
      </c>
    </row>
    <row r="1578" spans="1:7">
      <c r="B1578">
        <f>IF(INDEX(Transactions!$J:$J,ROW()-8)="",TODAY(),INDEX(Transactions!$G:$G,ROW()-8))</f>
      </c>
      <c r="F1578">
        <f>IF(INDEX(Transactions!$J:$J,ROW()-8)="",0,INDEX(Transactions!$O:$O,ROW()-8))</f>
      </c>
    </row>
    <row r="1579" spans="1:7">
      <c r="B1579">
        <f>IF(INDEX(Transactions!$J:$J,ROW()-8)="",TODAY(),INDEX(Transactions!$G:$G,ROW()-8))</f>
      </c>
      <c r="F1579">
        <f>IF(INDEX(Transactions!$J:$J,ROW()-8)="",0,INDEX(Transactions!$O:$O,ROW()-8))</f>
      </c>
    </row>
    <row r="1580" spans="1:7">
      <c r="B1580">
        <f>IF(INDEX(Transactions!$J:$J,ROW()-8)="",TODAY(),INDEX(Transactions!$G:$G,ROW()-8))</f>
      </c>
      <c r="F1580">
        <f>IF(INDEX(Transactions!$J:$J,ROW()-8)="",0,INDEX(Transactions!$O:$O,ROW()-8))</f>
      </c>
    </row>
    <row r="1581" spans="1:7">
      <c r="B1581">
        <f>IF(INDEX(Transactions!$J:$J,ROW()-8)="",TODAY(),INDEX(Transactions!$G:$G,ROW()-8))</f>
      </c>
      <c r="F1581">
        <f>IF(INDEX(Transactions!$J:$J,ROW()-8)="",0,INDEX(Transactions!$O:$O,ROW()-8))</f>
      </c>
    </row>
    <row r="1582" spans="1:7">
      <c r="B1582">
        <f>IF(INDEX(Transactions!$J:$J,ROW()-8)="",TODAY(),INDEX(Transactions!$G:$G,ROW()-8))</f>
      </c>
      <c r="F1582">
        <f>IF(INDEX(Transactions!$J:$J,ROW()-8)="",0,INDEX(Transactions!$O:$O,ROW()-8))</f>
      </c>
    </row>
    <row r="1583" spans="1:7">
      <c r="B1583">
        <f>IF(INDEX(Transactions!$J:$J,ROW()-8)="",TODAY(),INDEX(Transactions!$G:$G,ROW()-8))</f>
      </c>
      <c r="F1583">
        <f>IF(INDEX(Transactions!$J:$J,ROW()-8)="",0,INDEX(Transactions!$O:$O,ROW()-8))</f>
      </c>
    </row>
    <row r="1584" spans="1:7">
      <c r="B1584">
        <f>IF(INDEX(Transactions!$J:$J,ROW()-8)="",TODAY(),INDEX(Transactions!$G:$G,ROW()-8))</f>
      </c>
      <c r="F1584">
        <f>IF(INDEX(Transactions!$J:$J,ROW()-8)="",0,INDEX(Transactions!$O:$O,ROW()-8))</f>
      </c>
    </row>
    <row r="1585" spans="1:7">
      <c r="B1585">
        <f>IF(INDEX(Transactions!$J:$J,ROW()-8)="",TODAY(),INDEX(Transactions!$G:$G,ROW()-8))</f>
      </c>
      <c r="F1585">
        <f>IF(INDEX(Transactions!$J:$J,ROW()-8)="",0,INDEX(Transactions!$O:$O,ROW()-8))</f>
      </c>
    </row>
    <row r="1586" spans="1:7">
      <c r="B1586">
        <f>IF(INDEX(Transactions!$J:$J,ROW()-8)="",TODAY(),INDEX(Transactions!$G:$G,ROW()-8))</f>
      </c>
      <c r="F1586">
        <f>IF(INDEX(Transactions!$J:$J,ROW()-8)="",0,INDEX(Transactions!$O:$O,ROW()-8))</f>
      </c>
    </row>
    <row r="1587" spans="1:7">
      <c r="B1587">
        <f>IF(INDEX(Transactions!$J:$J,ROW()-8)="",TODAY(),INDEX(Transactions!$G:$G,ROW()-8))</f>
      </c>
      <c r="F1587">
        <f>IF(INDEX(Transactions!$J:$J,ROW()-8)="",0,INDEX(Transactions!$O:$O,ROW()-8))</f>
      </c>
    </row>
    <row r="1588" spans="1:7">
      <c r="B1588">
        <f>IF(INDEX(Transactions!$J:$J,ROW()-8)="",TODAY(),INDEX(Transactions!$G:$G,ROW()-8))</f>
      </c>
      <c r="F1588">
        <f>IF(INDEX(Transactions!$J:$J,ROW()-8)="",0,INDEX(Transactions!$O:$O,ROW()-8))</f>
      </c>
    </row>
    <row r="1589" spans="1:7">
      <c r="B1589">
        <f>IF(INDEX(Transactions!$J:$J,ROW()-8)="",TODAY(),INDEX(Transactions!$G:$G,ROW()-8))</f>
      </c>
      <c r="F1589">
        <f>IF(INDEX(Transactions!$J:$J,ROW()-8)="",0,INDEX(Transactions!$O:$O,ROW()-8))</f>
      </c>
    </row>
    <row r="1590" spans="1:7">
      <c r="B1590">
        <f>IF(INDEX(Transactions!$J:$J,ROW()-8)="",TODAY(),INDEX(Transactions!$G:$G,ROW()-8))</f>
      </c>
      <c r="F1590">
        <f>IF(INDEX(Transactions!$J:$J,ROW()-8)="",0,INDEX(Transactions!$O:$O,ROW()-8))</f>
      </c>
    </row>
    <row r="1591" spans="1:7">
      <c r="B1591">
        <f>IF(INDEX(Transactions!$J:$J,ROW()-8)="",TODAY(),INDEX(Transactions!$G:$G,ROW()-8))</f>
      </c>
      <c r="F1591">
        <f>IF(INDEX(Transactions!$J:$J,ROW()-8)="",0,INDEX(Transactions!$O:$O,ROW()-8))</f>
      </c>
    </row>
    <row r="1592" spans="1:7">
      <c r="B1592">
        <f>IF(INDEX(Transactions!$J:$J,ROW()-8)="",TODAY(),INDEX(Transactions!$G:$G,ROW()-8))</f>
      </c>
      <c r="F1592">
        <f>IF(INDEX(Transactions!$J:$J,ROW()-8)="",0,INDEX(Transactions!$O:$O,ROW()-8))</f>
      </c>
    </row>
    <row r="1593" spans="1:7">
      <c r="B1593">
        <f>IF(INDEX(Transactions!$J:$J,ROW()-8)="",TODAY(),INDEX(Transactions!$G:$G,ROW()-8))</f>
      </c>
      <c r="F1593">
        <f>IF(INDEX(Transactions!$J:$J,ROW()-8)="",0,INDEX(Transactions!$O:$O,ROW()-8))</f>
      </c>
    </row>
    <row r="1594" spans="1:7">
      <c r="B1594">
        <f>IF(INDEX(Transactions!$J:$J,ROW()-8)="",TODAY(),INDEX(Transactions!$G:$G,ROW()-8))</f>
      </c>
      <c r="F1594">
        <f>IF(INDEX(Transactions!$J:$J,ROW()-8)="",0,INDEX(Transactions!$O:$O,ROW()-8))</f>
      </c>
    </row>
    <row r="1595" spans="1:7">
      <c r="B1595">
        <f>IF(INDEX(Transactions!$J:$J,ROW()-8)="",TODAY(),INDEX(Transactions!$G:$G,ROW()-8))</f>
      </c>
      <c r="F1595">
        <f>IF(INDEX(Transactions!$J:$J,ROW()-8)="",0,INDEX(Transactions!$O:$O,ROW()-8))</f>
      </c>
    </row>
    <row r="1596" spans="1:7">
      <c r="B1596">
        <f>IF(INDEX(Transactions!$J:$J,ROW()-8)="",TODAY(),INDEX(Transactions!$G:$G,ROW()-8))</f>
      </c>
      <c r="F1596">
        <f>IF(INDEX(Transactions!$J:$J,ROW()-8)="",0,INDEX(Transactions!$O:$O,ROW()-8))</f>
      </c>
    </row>
    <row r="1597" spans="1:7">
      <c r="B1597">
        <f>IF(INDEX(Transactions!$J:$J,ROW()-8)="",TODAY(),INDEX(Transactions!$G:$G,ROW()-8))</f>
      </c>
      <c r="F1597">
        <f>IF(INDEX(Transactions!$J:$J,ROW()-8)="",0,INDEX(Transactions!$O:$O,ROW()-8))</f>
      </c>
    </row>
    <row r="1598" spans="1:7">
      <c r="B1598">
        <f>IF(INDEX(Transactions!$J:$J,ROW()-8)="",TODAY(),INDEX(Transactions!$G:$G,ROW()-8))</f>
      </c>
      <c r="F1598">
        <f>IF(INDEX(Transactions!$J:$J,ROW()-8)="",0,INDEX(Transactions!$O:$O,ROW()-8))</f>
      </c>
    </row>
    <row r="1599" spans="1:7">
      <c r="B1599">
        <f>IF(INDEX(Transactions!$J:$J,ROW()-8)="",TODAY(),INDEX(Transactions!$G:$G,ROW()-8))</f>
      </c>
      <c r="F1599">
        <f>IF(INDEX(Transactions!$J:$J,ROW()-8)="",0,INDEX(Transactions!$O:$O,ROW()-8))</f>
      </c>
    </row>
    <row r="1600" spans="1:7">
      <c r="B1600">
        <f>IF(INDEX(Transactions!$J:$J,ROW()-8)="",TODAY(),INDEX(Transactions!$G:$G,ROW()-8))</f>
      </c>
      <c r="F1600">
        <f>IF(INDEX(Transactions!$J:$J,ROW()-8)="",0,INDEX(Transactions!$O:$O,ROW()-8))</f>
      </c>
    </row>
    <row r="1601" spans="1:7">
      <c r="B1601">
        <f>IF(INDEX(Transactions!$J:$J,ROW()-8)="",TODAY(),INDEX(Transactions!$G:$G,ROW()-8))</f>
      </c>
      <c r="F1601">
        <f>IF(INDEX(Transactions!$J:$J,ROW()-8)="",0,INDEX(Transactions!$O:$O,ROW()-8))</f>
      </c>
    </row>
    <row r="1602" spans="1:7">
      <c r="B1602">
        <f>IF(INDEX(Transactions!$J:$J,ROW()-8)="",TODAY(),INDEX(Transactions!$G:$G,ROW()-8))</f>
      </c>
      <c r="F1602">
        <f>IF(INDEX(Transactions!$J:$J,ROW()-8)="",0,INDEX(Transactions!$O:$O,ROW()-8))</f>
      </c>
    </row>
    <row r="1603" spans="1:7">
      <c r="B1603">
        <f>IF(INDEX(Transactions!$J:$J,ROW()-8)="",TODAY(),INDEX(Transactions!$G:$G,ROW()-8))</f>
      </c>
      <c r="F1603">
        <f>IF(INDEX(Transactions!$J:$J,ROW()-8)="",0,INDEX(Transactions!$O:$O,ROW()-8))</f>
      </c>
    </row>
    <row r="1604" spans="1:7">
      <c r="B1604">
        <f>IF(INDEX(Transactions!$J:$J,ROW()-8)="",TODAY(),INDEX(Transactions!$G:$G,ROW()-8))</f>
      </c>
      <c r="F1604">
        <f>IF(INDEX(Transactions!$J:$J,ROW()-8)="",0,INDEX(Transactions!$O:$O,ROW()-8))</f>
      </c>
    </row>
    <row r="1605" spans="1:7">
      <c r="B1605">
        <f>IF(INDEX(Transactions!$J:$J,ROW()-8)="",TODAY(),INDEX(Transactions!$G:$G,ROW()-8))</f>
      </c>
      <c r="F1605">
        <f>IF(INDEX(Transactions!$J:$J,ROW()-8)="",0,INDEX(Transactions!$O:$O,ROW()-8))</f>
      </c>
    </row>
    <row r="1606" spans="1:7">
      <c r="B1606">
        <f>IF(INDEX(Transactions!$J:$J,ROW()-8)="",TODAY(),INDEX(Transactions!$G:$G,ROW()-8))</f>
      </c>
      <c r="F1606">
        <f>IF(INDEX(Transactions!$J:$J,ROW()-8)="",0,INDEX(Transactions!$O:$O,ROW()-8))</f>
      </c>
    </row>
    <row r="1607" spans="1:7">
      <c r="B1607">
        <f>IF(INDEX(Transactions!$J:$J,ROW()-8)="",TODAY(),INDEX(Transactions!$G:$G,ROW()-8))</f>
      </c>
      <c r="F1607">
        <f>IF(INDEX(Transactions!$J:$J,ROW()-8)="",0,INDEX(Transactions!$O:$O,ROW()-8))</f>
      </c>
    </row>
    <row r="1608" spans="1:7">
      <c r="B1608">
        <f>IF(INDEX(Transactions!$J:$J,ROW()-8)="",TODAY(),INDEX(Transactions!$G:$G,ROW()-8))</f>
      </c>
      <c r="F1608">
        <f>IF(INDEX(Transactions!$J:$J,ROW()-8)="",0,INDEX(Transactions!$O:$O,ROW()-8))</f>
      </c>
    </row>
    <row r="1609" spans="1:7">
      <c r="B1609">
        <f>IF(INDEX(Transactions!$J:$J,ROW()-8)="",TODAY(),INDEX(Transactions!$G:$G,ROW()-8))</f>
      </c>
      <c r="F1609">
        <f>IF(INDEX(Transactions!$J:$J,ROW()-8)="",0,INDEX(Transactions!$O:$O,ROW()-8))</f>
      </c>
    </row>
    <row r="1610" spans="1:7">
      <c r="B1610">
        <f>IF(INDEX(Transactions!$J:$J,ROW()-8)="",TODAY(),INDEX(Transactions!$G:$G,ROW()-8))</f>
      </c>
      <c r="F1610">
        <f>IF(INDEX(Transactions!$J:$J,ROW()-8)="",0,INDEX(Transactions!$O:$O,ROW()-8))</f>
      </c>
    </row>
    <row r="1611" spans="1:7">
      <c r="B1611">
        <f>IF(INDEX(Transactions!$J:$J,ROW()-8)="",TODAY(),INDEX(Transactions!$G:$G,ROW()-8))</f>
      </c>
      <c r="F1611">
        <f>IF(INDEX(Transactions!$J:$J,ROW()-8)="",0,INDEX(Transactions!$O:$O,ROW()-8))</f>
      </c>
    </row>
    <row r="1612" spans="1:7">
      <c r="B1612">
        <f>IF(INDEX(Transactions!$J:$J,ROW()-8)="",TODAY(),INDEX(Transactions!$G:$G,ROW()-8))</f>
      </c>
      <c r="F1612">
        <f>IF(INDEX(Transactions!$J:$J,ROW()-8)="",0,INDEX(Transactions!$O:$O,ROW()-8))</f>
      </c>
    </row>
    <row r="1613" spans="1:7">
      <c r="B1613">
        <f>IF(INDEX(Transactions!$J:$J,ROW()-8)="",TODAY(),INDEX(Transactions!$G:$G,ROW()-8))</f>
      </c>
      <c r="F1613">
        <f>IF(INDEX(Transactions!$J:$J,ROW()-8)="",0,INDEX(Transactions!$O:$O,ROW()-8))</f>
      </c>
    </row>
    <row r="1614" spans="1:7">
      <c r="B1614">
        <f>IF(INDEX(Transactions!$J:$J,ROW()-8)="",TODAY(),INDEX(Transactions!$G:$G,ROW()-8))</f>
      </c>
      <c r="F1614">
        <f>IF(INDEX(Transactions!$J:$J,ROW()-8)="",0,INDEX(Transactions!$O:$O,ROW()-8))</f>
      </c>
    </row>
    <row r="1615" spans="1:7">
      <c r="B1615">
        <f>IF(INDEX(Transactions!$J:$J,ROW()-8)="",TODAY(),INDEX(Transactions!$G:$G,ROW()-8))</f>
      </c>
      <c r="F1615">
        <f>IF(INDEX(Transactions!$J:$J,ROW()-8)="",0,INDEX(Transactions!$O:$O,ROW()-8))</f>
      </c>
    </row>
    <row r="1616" spans="1:7">
      <c r="B1616">
        <f>IF(INDEX(Transactions!$J:$J,ROW()-8)="",TODAY(),INDEX(Transactions!$G:$G,ROW()-8))</f>
      </c>
      <c r="F1616">
        <f>IF(INDEX(Transactions!$J:$J,ROW()-8)="",0,INDEX(Transactions!$O:$O,ROW()-8))</f>
      </c>
    </row>
    <row r="1617" spans="1:7">
      <c r="B1617">
        <f>IF(INDEX(Transactions!$J:$J,ROW()-8)="",TODAY(),INDEX(Transactions!$G:$G,ROW()-8))</f>
      </c>
      <c r="F1617">
        <f>IF(INDEX(Transactions!$J:$J,ROW()-8)="",0,INDEX(Transactions!$O:$O,ROW()-8))</f>
      </c>
    </row>
    <row r="1618" spans="1:7">
      <c r="B1618">
        <f>IF(INDEX(Transactions!$J:$J,ROW()-8)="",TODAY(),INDEX(Transactions!$G:$G,ROW()-8))</f>
      </c>
      <c r="F1618">
        <f>IF(INDEX(Transactions!$J:$J,ROW()-8)="",0,INDEX(Transactions!$O:$O,ROW()-8))</f>
      </c>
    </row>
    <row r="1619" spans="1:7">
      <c r="B1619">
        <f>IF(INDEX(Transactions!$J:$J,ROW()-8)="",TODAY(),INDEX(Transactions!$G:$G,ROW()-8))</f>
      </c>
      <c r="F1619">
        <f>IF(INDEX(Transactions!$J:$J,ROW()-8)="",0,INDEX(Transactions!$O:$O,ROW()-8))</f>
      </c>
    </row>
    <row r="1620" spans="1:7">
      <c r="B1620">
        <f>IF(INDEX(Transactions!$J:$J,ROW()-8)="",TODAY(),INDEX(Transactions!$G:$G,ROW()-8))</f>
      </c>
      <c r="F1620">
        <f>IF(INDEX(Transactions!$J:$J,ROW()-8)="",0,INDEX(Transactions!$O:$O,ROW()-8))</f>
      </c>
    </row>
    <row r="1621" spans="1:7">
      <c r="B1621">
        <f>IF(INDEX(Transactions!$J:$J,ROW()-8)="",TODAY(),INDEX(Transactions!$G:$G,ROW()-8))</f>
      </c>
      <c r="F1621">
        <f>IF(INDEX(Transactions!$J:$J,ROW()-8)="",0,INDEX(Transactions!$O:$O,ROW()-8))</f>
      </c>
    </row>
    <row r="1622" spans="1:7">
      <c r="B1622">
        <f>IF(INDEX(Transactions!$J:$J,ROW()-8)="",TODAY(),INDEX(Transactions!$G:$G,ROW()-8))</f>
      </c>
      <c r="F1622">
        <f>IF(INDEX(Transactions!$J:$J,ROW()-8)="",0,INDEX(Transactions!$O:$O,ROW()-8))</f>
      </c>
    </row>
    <row r="1623" spans="1:7">
      <c r="B1623">
        <f>IF(INDEX(Transactions!$J:$J,ROW()-8)="",TODAY(),INDEX(Transactions!$G:$G,ROW()-8))</f>
      </c>
      <c r="F1623">
        <f>IF(INDEX(Transactions!$J:$J,ROW()-8)="",0,INDEX(Transactions!$O:$O,ROW()-8))</f>
      </c>
    </row>
    <row r="1624" spans="1:7">
      <c r="B1624">
        <f>IF(INDEX(Transactions!$J:$J,ROW()-8)="",TODAY(),INDEX(Transactions!$G:$G,ROW()-8))</f>
      </c>
      <c r="F1624">
        <f>IF(INDEX(Transactions!$J:$J,ROW()-8)="",0,INDEX(Transactions!$O:$O,ROW()-8))</f>
      </c>
    </row>
    <row r="1625" spans="1:7">
      <c r="B1625">
        <f>IF(INDEX(Transactions!$J:$J,ROW()-8)="",TODAY(),INDEX(Transactions!$G:$G,ROW()-8))</f>
      </c>
      <c r="F1625">
        <f>IF(INDEX(Transactions!$J:$J,ROW()-8)="",0,INDEX(Transactions!$O:$O,ROW()-8))</f>
      </c>
    </row>
    <row r="1626" spans="1:7">
      <c r="B1626">
        <f>IF(INDEX(Transactions!$J:$J,ROW()-8)="",TODAY(),INDEX(Transactions!$G:$G,ROW()-8))</f>
      </c>
      <c r="F1626">
        <f>IF(INDEX(Transactions!$J:$J,ROW()-8)="",0,INDEX(Transactions!$O:$O,ROW()-8))</f>
      </c>
    </row>
    <row r="1627" spans="1:7">
      <c r="B1627">
        <f>IF(INDEX(Transactions!$J:$J,ROW()-8)="",TODAY(),INDEX(Transactions!$G:$G,ROW()-8))</f>
      </c>
      <c r="F1627">
        <f>IF(INDEX(Transactions!$J:$J,ROW()-8)="",0,INDEX(Transactions!$O:$O,ROW()-8))</f>
      </c>
    </row>
    <row r="1628" spans="1:7">
      <c r="B1628">
        <f>IF(INDEX(Transactions!$J:$J,ROW()-8)="",TODAY(),INDEX(Transactions!$G:$G,ROW()-8))</f>
      </c>
      <c r="F1628">
        <f>IF(INDEX(Transactions!$J:$J,ROW()-8)="",0,INDEX(Transactions!$O:$O,ROW()-8))</f>
      </c>
    </row>
    <row r="1629" spans="1:7">
      <c r="B1629">
        <f>IF(INDEX(Transactions!$J:$J,ROW()-8)="",TODAY(),INDEX(Transactions!$G:$G,ROW()-8))</f>
      </c>
      <c r="F1629">
        <f>IF(INDEX(Transactions!$J:$J,ROW()-8)="",0,INDEX(Transactions!$O:$O,ROW()-8))</f>
      </c>
    </row>
    <row r="1630" spans="1:7">
      <c r="B1630">
        <f>IF(INDEX(Transactions!$J:$J,ROW()-8)="",TODAY(),INDEX(Transactions!$G:$G,ROW()-8))</f>
      </c>
      <c r="F1630">
        <f>IF(INDEX(Transactions!$J:$J,ROW()-8)="",0,INDEX(Transactions!$O:$O,ROW()-8))</f>
      </c>
    </row>
    <row r="1631" spans="1:7">
      <c r="B1631">
        <f>IF(INDEX(Transactions!$J:$J,ROW()-8)="",TODAY(),INDEX(Transactions!$G:$G,ROW()-8))</f>
      </c>
      <c r="F1631">
        <f>IF(INDEX(Transactions!$J:$J,ROW()-8)="",0,INDEX(Transactions!$O:$O,ROW()-8))</f>
      </c>
    </row>
    <row r="1632" spans="1:7">
      <c r="B1632">
        <f>IF(INDEX(Transactions!$J:$J,ROW()-8)="",TODAY(),INDEX(Transactions!$G:$G,ROW()-8))</f>
      </c>
      <c r="F1632">
        <f>IF(INDEX(Transactions!$J:$J,ROW()-8)="",0,INDEX(Transactions!$O:$O,ROW()-8))</f>
      </c>
    </row>
    <row r="1633" spans="1:7">
      <c r="B1633">
        <f>IF(INDEX(Transactions!$J:$J,ROW()-8)="",TODAY(),INDEX(Transactions!$G:$G,ROW()-8))</f>
      </c>
      <c r="F1633">
        <f>IF(INDEX(Transactions!$J:$J,ROW()-8)="",0,INDEX(Transactions!$O:$O,ROW()-8))</f>
      </c>
    </row>
    <row r="1634" spans="1:7">
      <c r="B1634">
        <f>IF(INDEX(Transactions!$J:$J,ROW()-8)="",TODAY(),INDEX(Transactions!$G:$G,ROW()-8))</f>
      </c>
      <c r="F1634">
        <f>IF(INDEX(Transactions!$J:$J,ROW()-8)="",0,INDEX(Transactions!$O:$O,ROW()-8))</f>
      </c>
    </row>
    <row r="1635" spans="1:7">
      <c r="B1635">
        <f>IF(INDEX(Transactions!$J:$J,ROW()-8)="",TODAY(),INDEX(Transactions!$G:$G,ROW()-8))</f>
      </c>
      <c r="F1635">
        <f>IF(INDEX(Transactions!$J:$J,ROW()-8)="",0,INDEX(Transactions!$O:$O,ROW()-8))</f>
      </c>
    </row>
    <row r="1636" spans="1:7">
      <c r="B1636">
        <f>IF(INDEX(Transactions!$J:$J,ROW()-8)="",TODAY(),INDEX(Transactions!$G:$G,ROW()-8))</f>
      </c>
      <c r="F1636">
        <f>IF(INDEX(Transactions!$J:$J,ROW()-8)="",0,INDEX(Transactions!$O:$O,ROW()-8))</f>
      </c>
    </row>
    <row r="1637" spans="1:7">
      <c r="B1637">
        <f>IF(INDEX(Transactions!$J:$J,ROW()-8)="",TODAY(),INDEX(Transactions!$G:$G,ROW()-8))</f>
      </c>
      <c r="F1637">
        <f>IF(INDEX(Transactions!$J:$J,ROW()-8)="",0,INDEX(Transactions!$O:$O,ROW()-8))</f>
      </c>
    </row>
    <row r="1638" spans="1:7">
      <c r="B1638">
        <f>IF(INDEX(Transactions!$J:$J,ROW()-8)="",TODAY(),INDEX(Transactions!$G:$G,ROW()-8))</f>
      </c>
      <c r="F1638">
        <f>IF(INDEX(Transactions!$J:$J,ROW()-8)="",0,INDEX(Transactions!$O:$O,ROW()-8))</f>
      </c>
    </row>
    <row r="1639" spans="1:7">
      <c r="B1639">
        <f>IF(INDEX(Transactions!$J:$J,ROW()-8)="",TODAY(),INDEX(Transactions!$G:$G,ROW()-8))</f>
      </c>
      <c r="F1639">
        <f>IF(INDEX(Transactions!$J:$J,ROW()-8)="",0,INDEX(Transactions!$O:$O,ROW()-8))</f>
      </c>
    </row>
    <row r="1640" spans="1:7">
      <c r="B1640">
        <f>IF(INDEX(Transactions!$J:$J,ROW()-8)="",TODAY(),INDEX(Transactions!$G:$G,ROW()-8))</f>
      </c>
      <c r="F1640">
        <f>IF(INDEX(Transactions!$J:$J,ROW()-8)="",0,INDEX(Transactions!$O:$O,ROW()-8))</f>
      </c>
    </row>
    <row r="1641" spans="1:7">
      <c r="B1641">
        <f>IF(INDEX(Transactions!$J:$J,ROW()-8)="",TODAY(),INDEX(Transactions!$G:$G,ROW()-8))</f>
      </c>
      <c r="F1641">
        <f>IF(INDEX(Transactions!$J:$J,ROW()-8)="",0,INDEX(Transactions!$O:$O,ROW()-8))</f>
      </c>
    </row>
    <row r="1642" spans="1:7">
      <c r="B1642">
        <f>IF(INDEX(Transactions!$J:$J,ROW()-8)="",TODAY(),INDEX(Transactions!$G:$G,ROW()-8))</f>
      </c>
      <c r="F1642">
        <f>IF(INDEX(Transactions!$J:$J,ROW()-8)="",0,INDEX(Transactions!$O:$O,ROW()-8))</f>
      </c>
    </row>
    <row r="1643" spans="1:7">
      <c r="B1643">
        <f>IF(INDEX(Transactions!$J:$J,ROW()-8)="",TODAY(),INDEX(Transactions!$G:$G,ROW()-8))</f>
      </c>
      <c r="F1643">
        <f>IF(INDEX(Transactions!$J:$J,ROW()-8)="",0,INDEX(Transactions!$O:$O,ROW()-8))</f>
      </c>
    </row>
    <row r="1644" spans="1:7">
      <c r="B1644">
        <f>IF(INDEX(Transactions!$J:$J,ROW()-8)="",TODAY(),INDEX(Transactions!$G:$G,ROW()-8))</f>
      </c>
      <c r="F1644">
        <f>IF(INDEX(Transactions!$J:$J,ROW()-8)="",0,INDEX(Transactions!$O:$O,ROW()-8))</f>
      </c>
    </row>
    <row r="1645" spans="1:7">
      <c r="B1645">
        <f>IF(INDEX(Transactions!$J:$J,ROW()-8)="",TODAY(),INDEX(Transactions!$G:$G,ROW()-8))</f>
      </c>
      <c r="F1645">
        <f>IF(INDEX(Transactions!$J:$J,ROW()-8)="",0,INDEX(Transactions!$O:$O,ROW()-8))</f>
      </c>
    </row>
    <row r="1646" spans="1:7">
      <c r="B1646">
        <f>IF(INDEX(Transactions!$J:$J,ROW()-8)="",TODAY(),INDEX(Transactions!$G:$G,ROW()-8))</f>
      </c>
      <c r="F1646">
        <f>IF(INDEX(Transactions!$J:$J,ROW()-8)="",0,INDEX(Transactions!$O:$O,ROW()-8))</f>
      </c>
    </row>
    <row r="1647" spans="1:7">
      <c r="B1647">
        <f>IF(INDEX(Transactions!$J:$J,ROW()-8)="",TODAY(),INDEX(Transactions!$G:$G,ROW()-8))</f>
      </c>
      <c r="F1647">
        <f>IF(INDEX(Transactions!$J:$J,ROW()-8)="",0,INDEX(Transactions!$O:$O,ROW()-8))</f>
      </c>
    </row>
    <row r="1648" spans="1:7">
      <c r="B1648">
        <f>IF(INDEX(Transactions!$J:$J,ROW()-8)="",TODAY(),INDEX(Transactions!$G:$G,ROW()-8))</f>
      </c>
      <c r="F1648">
        <f>IF(INDEX(Transactions!$J:$J,ROW()-8)="",0,INDEX(Transactions!$O:$O,ROW()-8))</f>
      </c>
    </row>
    <row r="1649" spans="1:7">
      <c r="B1649">
        <f>IF(INDEX(Transactions!$J:$J,ROW()-8)="",TODAY(),INDEX(Transactions!$G:$G,ROW()-8))</f>
      </c>
      <c r="F1649">
        <f>IF(INDEX(Transactions!$J:$J,ROW()-8)="",0,INDEX(Transactions!$O:$O,ROW()-8))</f>
      </c>
    </row>
    <row r="1650" spans="1:7">
      <c r="B1650">
        <f>IF(INDEX(Transactions!$J:$J,ROW()-8)="",TODAY(),INDEX(Transactions!$G:$G,ROW()-8))</f>
      </c>
      <c r="F1650">
        <f>IF(INDEX(Transactions!$J:$J,ROW()-8)="",0,INDEX(Transactions!$O:$O,ROW()-8))</f>
      </c>
    </row>
    <row r="1651" spans="1:7">
      <c r="B1651">
        <f>IF(INDEX(Transactions!$J:$J,ROW()-8)="",TODAY(),INDEX(Transactions!$G:$G,ROW()-8))</f>
      </c>
      <c r="F1651">
        <f>IF(INDEX(Transactions!$J:$J,ROW()-8)="",0,INDEX(Transactions!$O:$O,ROW()-8))</f>
      </c>
    </row>
    <row r="1652" spans="1:7">
      <c r="B1652">
        <f>IF(INDEX(Transactions!$J:$J,ROW()-8)="",TODAY(),INDEX(Transactions!$G:$G,ROW()-8))</f>
      </c>
      <c r="F1652">
        <f>IF(INDEX(Transactions!$J:$J,ROW()-8)="",0,INDEX(Transactions!$O:$O,ROW()-8))</f>
      </c>
    </row>
    <row r="1653" spans="1:7">
      <c r="B1653">
        <f>IF(INDEX(Transactions!$J:$J,ROW()-8)="",TODAY(),INDEX(Transactions!$G:$G,ROW()-8))</f>
      </c>
      <c r="F1653">
        <f>IF(INDEX(Transactions!$J:$J,ROW()-8)="",0,INDEX(Transactions!$O:$O,ROW()-8))</f>
      </c>
    </row>
    <row r="1654" spans="1:7">
      <c r="B1654">
        <f>IF(INDEX(Transactions!$J:$J,ROW()-8)="",TODAY(),INDEX(Transactions!$G:$G,ROW()-8))</f>
      </c>
      <c r="F1654">
        <f>IF(INDEX(Transactions!$J:$J,ROW()-8)="",0,INDEX(Transactions!$O:$O,ROW()-8))</f>
      </c>
    </row>
    <row r="1655" spans="1:7">
      <c r="B1655">
        <f>IF(INDEX(Transactions!$J:$J,ROW()-8)="",TODAY(),INDEX(Transactions!$G:$G,ROW()-8))</f>
      </c>
      <c r="F1655">
        <f>IF(INDEX(Transactions!$J:$J,ROW()-8)="",0,INDEX(Transactions!$O:$O,ROW()-8))</f>
      </c>
    </row>
    <row r="1656" spans="1:7">
      <c r="B1656">
        <f>IF(INDEX(Transactions!$J:$J,ROW()-8)="",TODAY(),INDEX(Transactions!$G:$G,ROW()-8))</f>
      </c>
      <c r="F1656">
        <f>IF(INDEX(Transactions!$J:$J,ROW()-8)="",0,INDEX(Transactions!$O:$O,ROW()-8))</f>
      </c>
    </row>
    <row r="1657" spans="1:7">
      <c r="B1657">
        <f>IF(INDEX(Transactions!$J:$J,ROW()-8)="",TODAY(),INDEX(Transactions!$G:$G,ROW()-8))</f>
      </c>
      <c r="F1657">
        <f>IF(INDEX(Transactions!$J:$J,ROW()-8)="",0,INDEX(Transactions!$O:$O,ROW()-8))</f>
      </c>
    </row>
    <row r="1658" spans="1:7">
      <c r="B1658">
        <f>IF(INDEX(Transactions!$J:$J,ROW()-8)="",TODAY(),INDEX(Transactions!$G:$G,ROW()-8))</f>
      </c>
      <c r="F1658">
        <f>IF(INDEX(Transactions!$J:$J,ROW()-8)="",0,INDEX(Transactions!$O:$O,ROW()-8))</f>
      </c>
    </row>
    <row r="1659" spans="1:7">
      <c r="B1659">
        <f>IF(INDEX(Transactions!$J:$J,ROW()-8)="",TODAY(),INDEX(Transactions!$G:$G,ROW()-8))</f>
      </c>
      <c r="F1659">
        <f>IF(INDEX(Transactions!$J:$J,ROW()-8)="",0,INDEX(Transactions!$O:$O,ROW()-8))</f>
      </c>
    </row>
    <row r="1660" spans="1:7">
      <c r="B1660">
        <f>IF(INDEX(Transactions!$J:$J,ROW()-8)="",TODAY(),INDEX(Transactions!$G:$G,ROW()-8))</f>
      </c>
      <c r="F1660">
        <f>IF(INDEX(Transactions!$J:$J,ROW()-8)="",0,INDEX(Transactions!$O:$O,ROW()-8))</f>
      </c>
    </row>
    <row r="1661" spans="1:7">
      <c r="B1661">
        <f>IF(INDEX(Transactions!$J:$J,ROW()-8)="",TODAY(),INDEX(Transactions!$G:$G,ROW()-8))</f>
      </c>
      <c r="F1661">
        <f>IF(INDEX(Transactions!$J:$J,ROW()-8)="",0,INDEX(Transactions!$O:$O,ROW()-8))</f>
      </c>
    </row>
    <row r="1662" spans="1:7">
      <c r="B1662">
        <f>IF(INDEX(Transactions!$J:$J,ROW()-8)="",TODAY(),INDEX(Transactions!$G:$G,ROW()-8))</f>
      </c>
      <c r="F1662">
        <f>IF(INDEX(Transactions!$J:$J,ROW()-8)="",0,INDEX(Transactions!$O:$O,ROW()-8))</f>
      </c>
    </row>
    <row r="1663" spans="1:7">
      <c r="B1663">
        <f>IF(INDEX(Transactions!$J:$J,ROW()-8)="",TODAY(),INDEX(Transactions!$G:$G,ROW()-8))</f>
      </c>
      <c r="F1663">
        <f>IF(INDEX(Transactions!$J:$J,ROW()-8)="",0,INDEX(Transactions!$O:$O,ROW()-8))</f>
      </c>
    </row>
    <row r="1664" spans="1:7">
      <c r="B1664">
        <f>IF(INDEX(Transactions!$J:$J,ROW()-8)="",TODAY(),INDEX(Transactions!$G:$G,ROW()-8))</f>
      </c>
      <c r="F1664">
        <f>IF(INDEX(Transactions!$J:$J,ROW()-8)="",0,INDEX(Transactions!$O:$O,ROW()-8))</f>
      </c>
    </row>
    <row r="1665" spans="1:7">
      <c r="B1665">
        <f>IF(INDEX(Transactions!$J:$J,ROW()-8)="",TODAY(),INDEX(Transactions!$G:$G,ROW()-8))</f>
      </c>
      <c r="F1665">
        <f>IF(INDEX(Transactions!$J:$J,ROW()-8)="",0,INDEX(Transactions!$O:$O,ROW()-8))</f>
      </c>
    </row>
    <row r="1666" spans="1:7">
      <c r="B1666">
        <f>IF(INDEX(Transactions!$J:$J,ROW()-8)="",TODAY(),INDEX(Transactions!$G:$G,ROW()-8))</f>
      </c>
      <c r="F1666">
        <f>IF(INDEX(Transactions!$J:$J,ROW()-8)="",0,INDEX(Transactions!$O:$O,ROW()-8))</f>
      </c>
    </row>
    <row r="1667" spans="1:7">
      <c r="B1667">
        <f>IF(INDEX(Transactions!$J:$J,ROW()-8)="",TODAY(),INDEX(Transactions!$G:$G,ROW()-8))</f>
      </c>
      <c r="F1667">
        <f>IF(INDEX(Transactions!$J:$J,ROW()-8)="",0,INDEX(Transactions!$O:$O,ROW()-8))</f>
      </c>
    </row>
    <row r="1668" spans="1:7">
      <c r="B1668">
        <f>IF(INDEX(Transactions!$J:$J,ROW()-8)="",TODAY(),INDEX(Transactions!$G:$G,ROW()-8))</f>
      </c>
      <c r="F1668">
        <f>IF(INDEX(Transactions!$J:$J,ROW()-8)="",0,INDEX(Transactions!$O:$O,ROW()-8))</f>
      </c>
    </row>
    <row r="1669" spans="1:7">
      <c r="B1669">
        <f>IF(INDEX(Transactions!$J:$J,ROW()-8)="",TODAY(),INDEX(Transactions!$G:$G,ROW()-8))</f>
      </c>
      <c r="F1669">
        <f>IF(INDEX(Transactions!$J:$J,ROW()-8)="",0,INDEX(Transactions!$O:$O,ROW()-8))</f>
      </c>
    </row>
    <row r="1670" spans="1:7">
      <c r="B1670">
        <f>IF(INDEX(Transactions!$J:$J,ROW()-8)="",TODAY(),INDEX(Transactions!$G:$G,ROW()-8))</f>
      </c>
      <c r="F1670">
        <f>IF(INDEX(Transactions!$J:$J,ROW()-8)="",0,INDEX(Transactions!$O:$O,ROW()-8))</f>
      </c>
    </row>
    <row r="1671" spans="1:7">
      <c r="B1671">
        <f>IF(INDEX(Transactions!$J:$J,ROW()-8)="",TODAY(),INDEX(Transactions!$G:$G,ROW()-8))</f>
      </c>
      <c r="F1671">
        <f>IF(INDEX(Transactions!$J:$J,ROW()-8)="",0,INDEX(Transactions!$O:$O,ROW()-8))</f>
      </c>
    </row>
    <row r="1672" spans="1:7">
      <c r="B1672">
        <f>IF(INDEX(Transactions!$J:$J,ROW()-8)="",TODAY(),INDEX(Transactions!$G:$G,ROW()-8))</f>
      </c>
      <c r="F1672">
        <f>IF(INDEX(Transactions!$J:$J,ROW()-8)="",0,INDEX(Transactions!$O:$O,ROW()-8))</f>
      </c>
    </row>
    <row r="1673" spans="1:7">
      <c r="B1673">
        <f>IF(INDEX(Transactions!$J:$J,ROW()-8)="",TODAY(),INDEX(Transactions!$G:$G,ROW()-8))</f>
      </c>
      <c r="F1673">
        <f>IF(INDEX(Transactions!$J:$J,ROW()-8)="",0,INDEX(Transactions!$O:$O,ROW()-8))</f>
      </c>
    </row>
    <row r="1674" spans="1:7">
      <c r="B1674">
        <f>IF(INDEX(Transactions!$J:$J,ROW()-8)="",TODAY(),INDEX(Transactions!$G:$G,ROW()-8))</f>
      </c>
      <c r="F1674">
        <f>IF(INDEX(Transactions!$J:$J,ROW()-8)="",0,INDEX(Transactions!$O:$O,ROW()-8))</f>
      </c>
    </row>
    <row r="1675" spans="1:7">
      <c r="B1675">
        <f>IF(INDEX(Transactions!$J:$J,ROW()-8)="",TODAY(),INDEX(Transactions!$G:$G,ROW()-8))</f>
      </c>
      <c r="F1675">
        <f>IF(INDEX(Transactions!$J:$J,ROW()-8)="",0,INDEX(Transactions!$O:$O,ROW()-8))</f>
      </c>
    </row>
    <row r="1676" spans="1:7">
      <c r="B1676">
        <f>IF(INDEX(Transactions!$J:$J,ROW()-8)="",TODAY(),INDEX(Transactions!$G:$G,ROW()-8))</f>
      </c>
      <c r="F1676">
        <f>IF(INDEX(Transactions!$J:$J,ROW()-8)="",0,INDEX(Transactions!$O:$O,ROW()-8))</f>
      </c>
    </row>
    <row r="1677" spans="1:7">
      <c r="B1677">
        <f>IF(INDEX(Transactions!$J:$J,ROW()-8)="",TODAY(),INDEX(Transactions!$G:$G,ROW()-8))</f>
      </c>
      <c r="F1677">
        <f>IF(INDEX(Transactions!$J:$J,ROW()-8)="",0,INDEX(Transactions!$O:$O,ROW()-8))</f>
      </c>
    </row>
    <row r="1678" spans="1:7">
      <c r="B1678">
        <f>IF(INDEX(Transactions!$J:$J,ROW()-8)="",TODAY(),INDEX(Transactions!$G:$G,ROW()-8))</f>
      </c>
      <c r="F1678">
        <f>IF(INDEX(Transactions!$J:$J,ROW()-8)="",0,INDEX(Transactions!$O:$O,ROW()-8))</f>
      </c>
    </row>
    <row r="1679" spans="1:7">
      <c r="B1679">
        <f>IF(INDEX(Transactions!$J:$J,ROW()-8)="",TODAY(),INDEX(Transactions!$G:$G,ROW()-8))</f>
      </c>
      <c r="F1679">
        <f>IF(INDEX(Transactions!$J:$J,ROW()-8)="",0,INDEX(Transactions!$O:$O,ROW()-8))</f>
      </c>
    </row>
    <row r="1680" spans="1:7">
      <c r="B1680">
        <f>IF(INDEX(Transactions!$J:$J,ROW()-8)="",TODAY(),INDEX(Transactions!$G:$G,ROW()-8))</f>
      </c>
      <c r="F1680">
        <f>IF(INDEX(Transactions!$J:$J,ROW()-8)="",0,INDEX(Transactions!$O:$O,ROW()-8))</f>
      </c>
    </row>
    <row r="1681" spans="1:7">
      <c r="B1681">
        <f>IF(INDEX(Transactions!$J:$J,ROW()-8)="",TODAY(),INDEX(Transactions!$G:$G,ROW()-8))</f>
      </c>
      <c r="F1681">
        <f>IF(INDEX(Transactions!$J:$J,ROW()-8)="",0,INDEX(Transactions!$O:$O,ROW()-8))</f>
      </c>
    </row>
    <row r="1682" spans="1:7">
      <c r="B1682">
        <f>IF(INDEX(Transactions!$J:$J,ROW()-8)="",TODAY(),INDEX(Transactions!$G:$G,ROW()-8))</f>
      </c>
      <c r="F1682">
        <f>IF(INDEX(Transactions!$J:$J,ROW()-8)="",0,INDEX(Transactions!$O:$O,ROW()-8))</f>
      </c>
    </row>
    <row r="1683" spans="1:7">
      <c r="B1683">
        <f>IF(INDEX(Transactions!$J:$J,ROW()-8)="",TODAY(),INDEX(Transactions!$G:$G,ROW()-8))</f>
      </c>
      <c r="F1683">
        <f>IF(INDEX(Transactions!$J:$J,ROW()-8)="",0,INDEX(Transactions!$O:$O,ROW()-8))</f>
      </c>
    </row>
    <row r="1684" spans="1:7">
      <c r="B1684">
        <f>IF(INDEX(Transactions!$J:$J,ROW()-8)="",TODAY(),INDEX(Transactions!$G:$G,ROW()-8))</f>
      </c>
      <c r="F1684">
        <f>IF(INDEX(Transactions!$J:$J,ROW()-8)="",0,INDEX(Transactions!$O:$O,ROW()-8))</f>
      </c>
    </row>
    <row r="1685" spans="1:7">
      <c r="B1685">
        <f>IF(INDEX(Transactions!$J:$J,ROW()-8)="",TODAY(),INDEX(Transactions!$G:$G,ROW()-8))</f>
      </c>
      <c r="F1685">
        <f>IF(INDEX(Transactions!$J:$J,ROW()-8)="",0,INDEX(Transactions!$O:$O,ROW()-8))</f>
      </c>
    </row>
    <row r="1686" spans="1:7">
      <c r="B1686">
        <f>IF(INDEX(Transactions!$J:$J,ROW()-8)="",TODAY(),INDEX(Transactions!$G:$G,ROW()-8))</f>
      </c>
      <c r="F1686">
        <f>IF(INDEX(Transactions!$J:$J,ROW()-8)="",0,INDEX(Transactions!$O:$O,ROW()-8))</f>
      </c>
    </row>
    <row r="1687" spans="1:7">
      <c r="B1687">
        <f>IF(INDEX(Transactions!$J:$J,ROW()-8)="",TODAY(),INDEX(Transactions!$G:$G,ROW()-8))</f>
      </c>
      <c r="F1687">
        <f>IF(INDEX(Transactions!$J:$J,ROW()-8)="",0,INDEX(Transactions!$O:$O,ROW()-8))</f>
      </c>
    </row>
    <row r="1688" spans="1:7">
      <c r="B1688">
        <f>IF(INDEX(Transactions!$J:$J,ROW()-8)="",TODAY(),INDEX(Transactions!$G:$G,ROW()-8))</f>
      </c>
      <c r="F1688">
        <f>IF(INDEX(Transactions!$J:$J,ROW()-8)="",0,INDEX(Transactions!$O:$O,ROW()-8))</f>
      </c>
    </row>
    <row r="1689" spans="1:7">
      <c r="B1689">
        <f>IF(INDEX(Transactions!$J:$J,ROW()-8)="",TODAY(),INDEX(Transactions!$G:$G,ROW()-8))</f>
      </c>
      <c r="F1689">
        <f>IF(INDEX(Transactions!$J:$J,ROW()-8)="",0,INDEX(Transactions!$O:$O,ROW()-8))</f>
      </c>
    </row>
    <row r="1690" spans="1:7">
      <c r="B1690">
        <f>IF(INDEX(Transactions!$J:$J,ROW()-8)="",TODAY(),INDEX(Transactions!$G:$G,ROW()-8))</f>
      </c>
      <c r="F1690">
        <f>IF(INDEX(Transactions!$J:$J,ROW()-8)="",0,INDEX(Transactions!$O:$O,ROW()-8))</f>
      </c>
    </row>
    <row r="1691" spans="1:7">
      <c r="B1691">
        <f>IF(INDEX(Transactions!$J:$J,ROW()-8)="",TODAY(),INDEX(Transactions!$G:$G,ROW()-8))</f>
      </c>
      <c r="F1691">
        <f>IF(INDEX(Transactions!$J:$J,ROW()-8)="",0,INDEX(Transactions!$O:$O,ROW()-8))</f>
      </c>
    </row>
    <row r="1692" spans="1:7">
      <c r="B1692">
        <f>IF(INDEX(Transactions!$J:$J,ROW()-8)="",TODAY(),INDEX(Transactions!$G:$G,ROW()-8))</f>
      </c>
      <c r="F1692">
        <f>IF(INDEX(Transactions!$J:$J,ROW()-8)="",0,INDEX(Transactions!$O:$O,ROW()-8))</f>
      </c>
    </row>
    <row r="1693" spans="1:7">
      <c r="B1693">
        <f>IF(INDEX(Transactions!$J:$J,ROW()-8)="",TODAY(),INDEX(Transactions!$G:$G,ROW()-8))</f>
      </c>
      <c r="F1693">
        <f>IF(INDEX(Transactions!$J:$J,ROW()-8)="",0,INDEX(Transactions!$O:$O,ROW()-8))</f>
      </c>
    </row>
    <row r="1694" spans="1:7">
      <c r="B1694">
        <f>IF(INDEX(Transactions!$J:$J,ROW()-8)="",TODAY(),INDEX(Transactions!$G:$G,ROW()-8))</f>
      </c>
      <c r="F1694">
        <f>IF(INDEX(Transactions!$J:$J,ROW()-8)="",0,INDEX(Transactions!$O:$O,ROW()-8))</f>
      </c>
    </row>
    <row r="1695" spans="1:7">
      <c r="B1695">
        <f>IF(INDEX(Transactions!$J:$J,ROW()-8)="",TODAY(),INDEX(Transactions!$G:$G,ROW()-8))</f>
      </c>
      <c r="F1695">
        <f>IF(INDEX(Transactions!$J:$J,ROW()-8)="",0,INDEX(Transactions!$O:$O,ROW()-8))</f>
      </c>
    </row>
    <row r="1696" spans="1:7">
      <c r="B1696">
        <f>IF(INDEX(Transactions!$J:$J,ROW()-8)="",TODAY(),INDEX(Transactions!$G:$G,ROW()-8))</f>
      </c>
      <c r="F1696">
        <f>IF(INDEX(Transactions!$J:$J,ROW()-8)="",0,INDEX(Transactions!$O:$O,ROW()-8))</f>
      </c>
    </row>
    <row r="1697" spans="1:7">
      <c r="B1697">
        <f>IF(INDEX(Transactions!$J:$J,ROW()-8)="",TODAY(),INDEX(Transactions!$G:$G,ROW()-8))</f>
      </c>
      <c r="F1697">
        <f>IF(INDEX(Transactions!$J:$J,ROW()-8)="",0,INDEX(Transactions!$O:$O,ROW()-8))</f>
      </c>
    </row>
    <row r="1698" spans="1:7">
      <c r="B1698">
        <f>IF(INDEX(Transactions!$J:$J,ROW()-8)="",TODAY(),INDEX(Transactions!$G:$G,ROW()-8))</f>
      </c>
      <c r="F1698">
        <f>IF(INDEX(Transactions!$J:$J,ROW()-8)="",0,INDEX(Transactions!$O:$O,ROW()-8))</f>
      </c>
    </row>
    <row r="1699" spans="1:7">
      <c r="B1699">
        <f>IF(INDEX(Transactions!$J:$J,ROW()-8)="",TODAY(),INDEX(Transactions!$G:$G,ROW()-8))</f>
      </c>
      <c r="F1699">
        <f>IF(INDEX(Transactions!$J:$J,ROW()-8)="",0,INDEX(Transactions!$O:$O,ROW()-8))</f>
      </c>
    </row>
    <row r="1700" spans="1:7">
      <c r="B1700">
        <f>IF(INDEX(Transactions!$J:$J,ROW()-8)="",TODAY(),INDEX(Transactions!$G:$G,ROW()-8))</f>
      </c>
      <c r="F1700">
        <f>IF(INDEX(Transactions!$J:$J,ROW()-8)="",0,INDEX(Transactions!$O:$O,ROW()-8))</f>
      </c>
    </row>
    <row r="1701" spans="1:7">
      <c r="B1701">
        <f>IF(INDEX(Transactions!$J:$J,ROW()-8)="",TODAY(),INDEX(Transactions!$G:$G,ROW()-8))</f>
      </c>
      <c r="F1701">
        <f>IF(INDEX(Transactions!$J:$J,ROW()-8)="",0,INDEX(Transactions!$O:$O,ROW()-8))</f>
      </c>
    </row>
    <row r="1702" spans="1:7">
      <c r="B1702">
        <f>IF(INDEX(Transactions!$J:$J,ROW()-8)="",TODAY(),INDEX(Transactions!$G:$G,ROW()-8))</f>
      </c>
      <c r="F1702">
        <f>IF(INDEX(Transactions!$J:$J,ROW()-8)="",0,INDEX(Transactions!$O:$O,ROW()-8))</f>
      </c>
    </row>
    <row r="1703" spans="1:7">
      <c r="B1703">
        <f>IF(INDEX(Transactions!$J:$J,ROW()-8)="",TODAY(),INDEX(Transactions!$G:$G,ROW()-8))</f>
      </c>
      <c r="F1703">
        <f>IF(INDEX(Transactions!$J:$J,ROW()-8)="",0,INDEX(Transactions!$O:$O,ROW()-8))</f>
      </c>
    </row>
    <row r="1704" spans="1:7">
      <c r="B1704">
        <f>IF(INDEX(Transactions!$J:$J,ROW()-8)="",TODAY(),INDEX(Transactions!$G:$G,ROW()-8))</f>
      </c>
      <c r="F1704">
        <f>IF(INDEX(Transactions!$J:$J,ROW()-8)="",0,INDEX(Transactions!$O:$O,ROW()-8))</f>
      </c>
    </row>
    <row r="1705" spans="1:7">
      <c r="B1705">
        <f>IF(INDEX(Transactions!$J:$J,ROW()-8)="",TODAY(),INDEX(Transactions!$G:$G,ROW()-8))</f>
      </c>
      <c r="F1705">
        <f>IF(INDEX(Transactions!$J:$J,ROW()-8)="",0,INDEX(Transactions!$O:$O,ROW()-8))</f>
      </c>
    </row>
    <row r="1706" spans="1:7">
      <c r="B1706">
        <f>IF(INDEX(Transactions!$J:$J,ROW()-8)="",TODAY(),INDEX(Transactions!$G:$G,ROW()-8))</f>
      </c>
      <c r="F1706">
        <f>IF(INDEX(Transactions!$J:$J,ROW()-8)="",0,INDEX(Transactions!$O:$O,ROW()-8))</f>
      </c>
    </row>
    <row r="1707" spans="1:7">
      <c r="B1707">
        <f>IF(INDEX(Transactions!$J:$J,ROW()-8)="",TODAY(),INDEX(Transactions!$G:$G,ROW()-8))</f>
      </c>
      <c r="F1707">
        <f>IF(INDEX(Transactions!$J:$J,ROW()-8)="",0,INDEX(Transactions!$O:$O,ROW()-8))</f>
      </c>
    </row>
    <row r="1708" spans="1:7">
      <c r="B1708">
        <f>IF(INDEX(Transactions!$J:$J,ROW()-8)="",TODAY(),INDEX(Transactions!$G:$G,ROW()-8))</f>
      </c>
      <c r="F1708">
        <f>IF(INDEX(Transactions!$J:$J,ROW()-8)="",0,INDEX(Transactions!$O:$O,ROW()-8))</f>
      </c>
    </row>
    <row r="1709" spans="1:7">
      <c r="B1709">
        <f>IF(INDEX(Transactions!$J:$J,ROW()-8)="",TODAY(),INDEX(Transactions!$G:$G,ROW()-8))</f>
      </c>
      <c r="F1709">
        <f>IF(INDEX(Transactions!$J:$J,ROW()-8)="",0,INDEX(Transactions!$O:$O,ROW()-8))</f>
      </c>
    </row>
    <row r="1710" spans="1:7">
      <c r="B1710">
        <f>IF(INDEX(Transactions!$J:$J,ROW()-8)="",TODAY(),INDEX(Transactions!$G:$G,ROW()-8))</f>
      </c>
      <c r="F1710">
        <f>IF(INDEX(Transactions!$J:$J,ROW()-8)="",0,INDEX(Transactions!$O:$O,ROW()-8))</f>
      </c>
    </row>
    <row r="1711" spans="1:7">
      <c r="B1711">
        <f>IF(INDEX(Transactions!$J:$J,ROW()-8)="",TODAY(),INDEX(Transactions!$G:$G,ROW()-8))</f>
      </c>
      <c r="F1711">
        <f>IF(INDEX(Transactions!$J:$J,ROW()-8)="",0,INDEX(Transactions!$O:$O,ROW()-8))</f>
      </c>
    </row>
    <row r="1712" spans="1:7">
      <c r="B1712">
        <f>IF(INDEX(Transactions!$J:$J,ROW()-8)="",TODAY(),INDEX(Transactions!$G:$G,ROW()-8))</f>
      </c>
      <c r="F1712">
        <f>IF(INDEX(Transactions!$J:$J,ROW()-8)="",0,INDEX(Transactions!$O:$O,ROW()-8))</f>
      </c>
    </row>
    <row r="1713" spans="1:7">
      <c r="B1713">
        <f>IF(INDEX(Transactions!$J:$J,ROW()-8)="",TODAY(),INDEX(Transactions!$G:$G,ROW()-8))</f>
      </c>
      <c r="F1713">
        <f>IF(INDEX(Transactions!$J:$J,ROW()-8)="",0,INDEX(Transactions!$O:$O,ROW()-8))</f>
      </c>
    </row>
    <row r="1714" spans="1:7">
      <c r="B1714">
        <f>IF(INDEX(Transactions!$J:$J,ROW()-8)="",TODAY(),INDEX(Transactions!$G:$G,ROW()-8))</f>
      </c>
      <c r="F1714">
        <f>IF(INDEX(Transactions!$J:$J,ROW()-8)="",0,INDEX(Transactions!$O:$O,ROW()-8))</f>
      </c>
    </row>
    <row r="1715" spans="1:7">
      <c r="B1715">
        <f>IF(INDEX(Transactions!$J:$J,ROW()-8)="",TODAY(),INDEX(Transactions!$G:$G,ROW()-8))</f>
      </c>
      <c r="F1715">
        <f>IF(INDEX(Transactions!$J:$J,ROW()-8)="",0,INDEX(Transactions!$O:$O,ROW()-8))</f>
      </c>
    </row>
    <row r="1716" spans="1:7">
      <c r="B1716">
        <f>IF(INDEX(Transactions!$J:$J,ROW()-8)="",TODAY(),INDEX(Transactions!$G:$G,ROW()-8))</f>
      </c>
      <c r="F1716">
        <f>IF(INDEX(Transactions!$J:$J,ROW()-8)="",0,INDEX(Transactions!$O:$O,ROW()-8))</f>
      </c>
    </row>
    <row r="1717" spans="1:7">
      <c r="B1717">
        <f>IF(INDEX(Transactions!$J:$J,ROW()-8)="",TODAY(),INDEX(Transactions!$G:$G,ROW()-8))</f>
      </c>
      <c r="F1717">
        <f>IF(INDEX(Transactions!$J:$J,ROW()-8)="",0,INDEX(Transactions!$O:$O,ROW()-8))</f>
      </c>
    </row>
    <row r="1718" spans="1:7">
      <c r="B1718">
        <f>IF(INDEX(Transactions!$J:$J,ROW()-8)="",TODAY(),INDEX(Transactions!$G:$G,ROW()-8))</f>
      </c>
      <c r="F1718">
        <f>IF(INDEX(Transactions!$J:$J,ROW()-8)="",0,INDEX(Transactions!$O:$O,ROW()-8))</f>
      </c>
    </row>
    <row r="1719" spans="1:7">
      <c r="B1719">
        <f>IF(INDEX(Transactions!$J:$J,ROW()-8)="",TODAY(),INDEX(Transactions!$G:$G,ROW()-8))</f>
      </c>
      <c r="F1719">
        <f>IF(INDEX(Transactions!$J:$J,ROW()-8)="",0,INDEX(Transactions!$O:$O,ROW()-8))</f>
      </c>
    </row>
    <row r="1720" spans="1:7">
      <c r="B1720">
        <f>IF(INDEX(Transactions!$J:$J,ROW()-8)="",TODAY(),INDEX(Transactions!$G:$G,ROW()-8))</f>
      </c>
      <c r="F1720">
        <f>IF(INDEX(Transactions!$J:$J,ROW()-8)="",0,INDEX(Transactions!$O:$O,ROW()-8))</f>
      </c>
    </row>
    <row r="1721" spans="1:7">
      <c r="B1721">
        <f>IF(INDEX(Transactions!$J:$J,ROW()-8)="",TODAY(),INDEX(Transactions!$G:$G,ROW()-8))</f>
      </c>
      <c r="F1721">
        <f>IF(INDEX(Transactions!$J:$J,ROW()-8)="",0,INDEX(Transactions!$O:$O,ROW()-8))</f>
      </c>
    </row>
    <row r="1722" spans="1:7">
      <c r="B1722">
        <f>IF(INDEX(Transactions!$J:$J,ROW()-8)="",TODAY(),INDEX(Transactions!$G:$G,ROW()-8))</f>
      </c>
      <c r="F1722">
        <f>IF(INDEX(Transactions!$J:$J,ROW()-8)="",0,INDEX(Transactions!$O:$O,ROW()-8))</f>
      </c>
    </row>
    <row r="1723" spans="1:7">
      <c r="B1723">
        <f>IF(INDEX(Transactions!$J:$J,ROW()-8)="",TODAY(),INDEX(Transactions!$G:$G,ROW()-8))</f>
      </c>
      <c r="F1723">
        <f>IF(INDEX(Transactions!$J:$J,ROW()-8)="",0,INDEX(Transactions!$O:$O,ROW()-8))</f>
      </c>
    </row>
    <row r="1724" spans="1:7">
      <c r="B1724">
        <f>IF(INDEX(Transactions!$J:$J,ROW()-8)="",TODAY(),INDEX(Transactions!$G:$G,ROW()-8))</f>
      </c>
      <c r="F1724">
        <f>IF(INDEX(Transactions!$J:$J,ROW()-8)="",0,INDEX(Transactions!$O:$O,ROW()-8))</f>
      </c>
    </row>
    <row r="1725" spans="1:7">
      <c r="B1725">
        <f>IF(INDEX(Transactions!$J:$J,ROW()-8)="",TODAY(),INDEX(Transactions!$G:$G,ROW()-8))</f>
      </c>
      <c r="F1725">
        <f>IF(INDEX(Transactions!$J:$J,ROW()-8)="",0,INDEX(Transactions!$O:$O,ROW()-8))</f>
      </c>
    </row>
    <row r="1726" spans="1:7">
      <c r="B1726">
        <f>IF(INDEX(Transactions!$J:$J,ROW()-8)="",TODAY(),INDEX(Transactions!$G:$G,ROW()-8))</f>
      </c>
      <c r="F1726">
        <f>IF(INDEX(Transactions!$J:$J,ROW()-8)="",0,INDEX(Transactions!$O:$O,ROW()-8))</f>
      </c>
    </row>
    <row r="1727" spans="1:7">
      <c r="B1727">
        <f>IF(INDEX(Transactions!$J:$J,ROW()-8)="",TODAY(),INDEX(Transactions!$G:$G,ROW()-8))</f>
      </c>
      <c r="F1727">
        <f>IF(INDEX(Transactions!$J:$J,ROW()-8)="",0,INDEX(Transactions!$O:$O,ROW()-8))</f>
      </c>
    </row>
    <row r="1728" spans="1:7">
      <c r="B1728">
        <f>IF(INDEX(Transactions!$J:$J,ROW()-8)="",TODAY(),INDEX(Transactions!$G:$G,ROW()-8))</f>
      </c>
      <c r="F1728">
        <f>IF(INDEX(Transactions!$J:$J,ROW()-8)="",0,INDEX(Transactions!$O:$O,ROW()-8))</f>
      </c>
    </row>
    <row r="1729" spans="1:7">
      <c r="B1729">
        <f>IF(INDEX(Transactions!$J:$J,ROW()-8)="",TODAY(),INDEX(Transactions!$G:$G,ROW()-8))</f>
      </c>
      <c r="F1729">
        <f>IF(INDEX(Transactions!$J:$J,ROW()-8)="",0,INDEX(Transactions!$O:$O,ROW()-8))</f>
      </c>
    </row>
    <row r="1730" spans="1:7">
      <c r="B1730">
        <f>IF(INDEX(Transactions!$J:$J,ROW()-8)="",TODAY(),INDEX(Transactions!$G:$G,ROW()-8))</f>
      </c>
      <c r="F1730">
        <f>IF(INDEX(Transactions!$J:$J,ROW()-8)="",0,INDEX(Transactions!$O:$O,ROW()-8))</f>
      </c>
    </row>
    <row r="1731" spans="1:7">
      <c r="B1731">
        <f>IF(INDEX(Transactions!$J:$J,ROW()-8)="",TODAY(),INDEX(Transactions!$G:$G,ROW()-8))</f>
      </c>
      <c r="F1731">
        <f>IF(INDEX(Transactions!$J:$J,ROW()-8)="",0,INDEX(Transactions!$O:$O,ROW()-8))</f>
      </c>
    </row>
    <row r="1732" spans="1:7">
      <c r="B1732">
        <f>IF(INDEX(Transactions!$J:$J,ROW()-8)="",TODAY(),INDEX(Transactions!$G:$G,ROW()-8))</f>
      </c>
      <c r="F1732">
        <f>IF(INDEX(Transactions!$J:$J,ROW()-8)="",0,INDEX(Transactions!$O:$O,ROW()-8))</f>
      </c>
    </row>
    <row r="1733" spans="1:7">
      <c r="B1733">
        <f>IF(INDEX(Transactions!$J:$J,ROW()-8)="",TODAY(),INDEX(Transactions!$G:$G,ROW()-8))</f>
      </c>
      <c r="F1733">
        <f>IF(INDEX(Transactions!$J:$J,ROW()-8)="",0,INDEX(Transactions!$O:$O,ROW()-8))</f>
      </c>
    </row>
    <row r="1734" spans="1:7">
      <c r="B1734">
        <f>IF(INDEX(Transactions!$J:$J,ROW()-8)="",TODAY(),INDEX(Transactions!$G:$G,ROW()-8))</f>
      </c>
      <c r="F1734">
        <f>IF(INDEX(Transactions!$J:$J,ROW()-8)="",0,INDEX(Transactions!$O:$O,ROW()-8))</f>
      </c>
    </row>
    <row r="1735" spans="1:7">
      <c r="B1735">
        <f>IF(INDEX(Transactions!$J:$J,ROW()-8)="",TODAY(),INDEX(Transactions!$G:$G,ROW()-8))</f>
      </c>
      <c r="F1735">
        <f>IF(INDEX(Transactions!$J:$J,ROW()-8)="",0,INDEX(Transactions!$O:$O,ROW()-8))</f>
      </c>
    </row>
    <row r="1736" spans="1:7">
      <c r="B1736">
        <f>IF(INDEX(Transactions!$J:$J,ROW()-8)="",TODAY(),INDEX(Transactions!$G:$G,ROW()-8))</f>
      </c>
      <c r="F1736">
        <f>IF(INDEX(Transactions!$J:$J,ROW()-8)="",0,INDEX(Transactions!$O:$O,ROW()-8))</f>
      </c>
    </row>
    <row r="1737" spans="1:7">
      <c r="B1737">
        <f>IF(INDEX(Transactions!$J:$J,ROW()-8)="",TODAY(),INDEX(Transactions!$G:$G,ROW()-8))</f>
      </c>
      <c r="F1737">
        <f>IF(INDEX(Transactions!$J:$J,ROW()-8)="",0,INDEX(Transactions!$O:$O,ROW()-8))</f>
      </c>
    </row>
    <row r="1738" spans="1:7">
      <c r="B1738">
        <f>IF(INDEX(Transactions!$J:$J,ROW()-8)="",TODAY(),INDEX(Transactions!$G:$G,ROW()-8))</f>
      </c>
      <c r="F1738">
        <f>IF(INDEX(Transactions!$J:$J,ROW()-8)="",0,INDEX(Transactions!$O:$O,ROW()-8))</f>
      </c>
    </row>
    <row r="1739" spans="1:7">
      <c r="B1739">
        <f>IF(INDEX(Transactions!$J:$J,ROW()-8)="",TODAY(),INDEX(Transactions!$G:$G,ROW()-8))</f>
      </c>
      <c r="F1739">
        <f>IF(INDEX(Transactions!$J:$J,ROW()-8)="",0,INDEX(Transactions!$O:$O,ROW()-8))</f>
      </c>
    </row>
    <row r="1740" spans="1:7">
      <c r="B1740">
        <f>IF(INDEX(Transactions!$J:$J,ROW()-8)="",TODAY(),INDEX(Transactions!$G:$G,ROW()-8))</f>
      </c>
      <c r="F1740">
        <f>IF(INDEX(Transactions!$J:$J,ROW()-8)="",0,INDEX(Transactions!$O:$O,ROW()-8))</f>
      </c>
    </row>
    <row r="1741" spans="1:7">
      <c r="B1741">
        <f>IF(INDEX(Transactions!$J:$J,ROW()-8)="",TODAY(),INDEX(Transactions!$G:$G,ROW()-8))</f>
      </c>
      <c r="F1741">
        <f>IF(INDEX(Transactions!$J:$J,ROW()-8)="",0,INDEX(Transactions!$O:$O,ROW()-8))</f>
      </c>
    </row>
    <row r="1742" spans="1:7">
      <c r="B1742">
        <f>IF(INDEX(Transactions!$J:$J,ROW()-8)="",TODAY(),INDEX(Transactions!$G:$G,ROW()-8))</f>
      </c>
      <c r="F1742">
        <f>IF(INDEX(Transactions!$J:$J,ROW()-8)="",0,INDEX(Transactions!$O:$O,ROW()-8))</f>
      </c>
    </row>
    <row r="1743" spans="1:7">
      <c r="B1743">
        <f>IF(INDEX(Transactions!$J:$J,ROW()-8)="",TODAY(),INDEX(Transactions!$G:$G,ROW()-8))</f>
      </c>
      <c r="F1743">
        <f>IF(INDEX(Transactions!$J:$J,ROW()-8)="",0,INDEX(Transactions!$O:$O,ROW()-8))</f>
      </c>
    </row>
    <row r="1744" spans="1:7">
      <c r="B1744">
        <f>IF(INDEX(Transactions!$J:$J,ROW()-8)="",TODAY(),INDEX(Transactions!$G:$G,ROW()-8))</f>
      </c>
      <c r="F1744">
        <f>IF(INDEX(Transactions!$J:$J,ROW()-8)="",0,INDEX(Transactions!$O:$O,ROW()-8))</f>
      </c>
    </row>
    <row r="1745" spans="1:7">
      <c r="B1745">
        <f>IF(INDEX(Transactions!$J:$J,ROW()-8)="",TODAY(),INDEX(Transactions!$G:$G,ROW()-8))</f>
      </c>
      <c r="F1745">
        <f>IF(INDEX(Transactions!$J:$J,ROW()-8)="",0,INDEX(Transactions!$O:$O,ROW()-8))</f>
      </c>
    </row>
    <row r="1746" spans="1:7">
      <c r="B1746">
        <f>IF(INDEX(Transactions!$J:$J,ROW()-8)="",TODAY(),INDEX(Transactions!$G:$G,ROW()-8))</f>
      </c>
      <c r="F1746">
        <f>IF(INDEX(Transactions!$J:$J,ROW()-8)="",0,INDEX(Transactions!$O:$O,ROW()-8))</f>
      </c>
    </row>
    <row r="1747" spans="1:7">
      <c r="B1747">
        <f>IF(INDEX(Transactions!$J:$J,ROW()-8)="",TODAY(),INDEX(Transactions!$G:$G,ROW()-8))</f>
      </c>
      <c r="F1747">
        <f>IF(INDEX(Transactions!$J:$J,ROW()-8)="",0,INDEX(Transactions!$O:$O,ROW()-8))</f>
      </c>
    </row>
    <row r="1748" spans="1:7">
      <c r="B1748">
        <f>IF(INDEX(Transactions!$J:$J,ROW()-8)="",TODAY(),INDEX(Transactions!$G:$G,ROW()-8))</f>
      </c>
      <c r="F1748">
        <f>IF(INDEX(Transactions!$J:$J,ROW()-8)="",0,INDEX(Transactions!$O:$O,ROW()-8))</f>
      </c>
    </row>
    <row r="1749" spans="1:7">
      <c r="B1749">
        <f>IF(INDEX(Transactions!$J:$J,ROW()-8)="",TODAY(),INDEX(Transactions!$G:$G,ROW()-8))</f>
      </c>
      <c r="F1749">
        <f>IF(INDEX(Transactions!$J:$J,ROW()-8)="",0,INDEX(Transactions!$O:$O,ROW()-8))</f>
      </c>
    </row>
    <row r="1750" spans="1:7">
      <c r="B1750">
        <f>IF(INDEX(Transactions!$J:$J,ROW()-8)="",TODAY(),INDEX(Transactions!$G:$G,ROW()-8))</f>
      </c>
      <c r="F1750">
        <f>IF(INDEX(Transactions!$J:$J,ROW()-8)="",0,INDEX(Transactions!$O:$O,ROW()-8))</f>
      </c>
    </row>
    <row r="1751" spans="1:7">
      <c r="B1751">
        <f>IF(INDEX(Transactions!$J:$J,ROW()-8)="",TODAY(),INDEX(Transactions!$G:$G,ROW()-8))</f>
      </c>
      <c r="F1751">
        <f>IF(INDEX(Transactions!$J:$J,ROW()-8)="",0,INDEX(Transactions!$O:$O,ROW()-8))</f>
      </c>
    </row>
    <row r="1752" spans="1:7">
      <c r="B1752">
        <f>IF(INDEX(Transactions!$J:$J,ROW()-8)="",TODAY(),INDEX(Transactions!$G:$G,ROW()-8))</f>
      </c>
      <c r="F1752">
        <f>IF(INDEX(Transactions!$J:$J,ROW()-8)="",0,INDEX(Transactions!$O:$O,ROW()-8))</f>
      </c>
    </row>
    <row r="1753" spans="1:7">
      <c r="B1753">
        <f>IF(INDEX(Transactions!$J:$J,ROW()-8)="",TODAY(),INDEX(Transactions!$G:$G,ROW()-8))</f>
      </c>
      <c r="F1753">
        <f>IF(INDEX(Transactions!$J:$J,ROW()-8)="",0,INDEX(Transactions!$O:$O,ROW()-8))</f>
      </c>
    </row>
    <row r="1754" spans="1:7">
      <c r="B1754">
        <f>IF(INDEX(Transactions!$J:$J,ROW()-8)="",TODAY(),INDEX(Transactions!$G:$G,ROW()-8))</f>
      </c>
      <c r="F1754">
        <f>IF(INDEX(Transactions!$J:$J,ROW()-8)="",0,INDEX(Transactions!$O:$O,ROW()-8))</f>
      </c>
    </row>
    <row r="1755" spans="1:7">
      <c r="B1755">
        <f>IF(INDEX(Transactions!$J:$J,ROW()-8)="",TODAY(),INDEX(Transactions!$G:$G,ROW()-8))</f>
      </c>
      <c r="F1755">
        <f>IF(INDEX(Transactions!$J:$J,ROW()-8)="",0,INDEX(Transactions!$O:$O,ROW()-8))</f>
      </c>
    </row>
    <row r="1756" spans="1:7">
      <c r="B1756">
        <f>IF(INDEX(Transactions!$J:$J,ROW()-8)="",TODAY(),INDEX(Transactions!$G:$G,ROW()-8))</f>
      </c>
      <c r="F1756">
        <f>IF(INDEX(Transactions!$J:$J,ROW()-8)="",0,INDEX(Transactions!$O:$O,ROW()-8))</f>
      </c>
    </row>
    <row r="1757" spans="1:7">
      <c r="B1757">
        <f>IF(INDEX(Transactions!$J:$J,ROW()-8)="",TODAY(),INDEX(Transactions!$G:$G,ROW()-8))</f>
      </c>
      <c r="F1757">
        <f>IF(INDEX(Transactions!$J:$J,ROW()-8)="",0,INDEX(Transactions!$O:$O,ROW()-8))</f>
      </c>
    </row>
    <row r="1758" spans="1:7">
      <c r="B1758">
        <f>IF(INDEX(Transactions!$J:$J,ROW()-8)="",TODAY(),INDEX(Transactions!$G:$G,ROW()-8))</f>
      </c>
      <c r="F1758">
        <f>IF(INDEX(Transactions!$J:$J,ROW()-8)="",0,INDEX(Transactions!$O:$O,ROW()-8))</f>
      </c>
    </row>
    <row r="1759" spans="1:7">
      <c r="B1759">
        <f>IF(INDEX(Transactions!$J:$J,ROW()-8)="",TODAY(),INDEX(Transactions!$G:$G,ROW()-8))</f>
      </c>
      <c r="F1759">
        <f>IF(INDEX(Transactions!$J:$J,ROW()-8)="",0,INDEX(Transactions!$O:$O,ROW()-8))</f>
      </c>
    </row>
    <row r="1760" spans="1:7">
      <c r="B1760">
        <f>IF(INDEX(Transactions!$J:$J,ROW()-8)="",TODAY(),INDEX(Transactions!$G:$G,ROW()-8))</f>
      </c>
      <c r="F1760">
        <f>IF(INDEX(Transactions!$J:$J,ROW()-8)="",0,INDEX(Transactions!$O:$O,ROW()-8))</f>
      </c>
    </row>
    <row r="1761" spans="1:7">
      <c r="B1761">
        <f>IF(INDEX(Transactions!$J:$J,ROW()-8)="",TODAY(),INDEX(Transactions!$G:$G,ROW()-8))</f>
      </c>
      <c r="F1761">
        <f>IF(INDEX(Transactions!$J:$J,ROW()-8)="",0,INDEX(Transactions!$O:$O,ROW()-8))</f>
      </c>
    </row>
    <row r="1762" spans="1:7">
      <c r="B1762">
        <f>IF(INDEX(Transactions!$J:$J,ROW()-8)="",TODAY(),INDEX(Transactions!$G:$G,ROW()-8))</f>
      </c>
      <c r="F1762">
        <f>IF(INDEX(Transactions!$J:$J,ROW()-8)="",0,INDEX(Transactions!$O:$O,ROW()-8))</f>
      </c>
    </row>
    <row r="1763" spans="1:7">
      <c r="B1763">
        <f>IF(INDEX(Transactions!$J:$J,ROW()-8)="",TODAY(),INDEX(Transactions!$G:$G,ROW()-8))</f>
      </c>
      <c r="F1763">
        <f>IF(INDEX(Transactions!$J:$J,ROW()-8)="",0,INDEX(Transactions!$O:$O,ROW()-8))</f>
      </c>
    </row>
    <row r="1764" spans="1:7">
      <c r="B1764">
        <f>IF(INDEX(Transactions!$J:$J,ROW()-8)="",TODAY(),INDEX(Transactions!$G:$G,ROW()-8))</f>
      </c>
      <c r="F1764">
        <f>IF(INDEX(Transactions!$J:$J,ROW()-8)="",0,INDEX(Transactions!$O:$O,ROW()-8))</f>
      </c>
    </row>
    <row r="1765" spans="1:7">
      <c r="B1765">
        <f>IF(INDEX(Transactions!$J:$J,ROW()-8)="",TODAY(),INDEX(Transactions!$G:$G,ROW()-8))</f>
      </c>
      <c r="F1765">
        <f>IF(INDEX(Transactions!$J:$J,ROW()-8)="",0,INDEX(Transactions!$O:$O,ROW()-8))</f>
      </c>
    </row>
    <row r="1766" spans="1:7">
      <c r="B1766">
        <f>IF(INDEX(Transactions!$J:$J,ROW()-8)="",TODAY(),INDEX(Transactions!$G:$G,ROW()-8))</f>
      </c>
      <c r="F1766">
        <f>IF(INDEX(Transactions!$J:$J,ROW()-8)="",0,INDEX(Transactions!$O:$O,ROW()-8))</f>
      </c>
    </row>
    <row r="1767" spans="1:7">
      <c r="B1767">
        <f>IF(INDEX(Transactions!$J:$J,ROW()-8)="",TODAY(),INDEX(Transactions!$G:$G,ROW()-8))</f>
      </c>
      <c r="F1767">
        <f>IF(INDEX(Transactions!$J:$J,ROW()-8)="",0,INDEX(Transactions!$O:$O,ROW()-8))</f>
      </c>
    </row>
    <row r="1768" spans="1:7">
      <c r="B1768">
        <f>IF(INDEX(Transactions!$J:$J,ROW()-8)="",TODAY(),INDEX(Transactions!$G:$G,ROW()-8))</f>
      </c>
      <c r="F1768">
        <f>IF(INDEX(Transactions!$J:$J,ROW()-8)="",0,INDEX(Transactions!$O:$O,ROW()-8))</f>
      </c>
    </row>
    <row r="1769" spans="1:7">
      <c r="B1769">
        <f>IF(INDEX(Transactions!$J:$J,ROW()-8)="",TODAY(),INDEX(Transactions!$G:$G,ROW()-8))</f>
      </c>
      <c r="F1769">
        <f>IF(INDEX(Transactions!$J:$J,ROW()-8)="",0,INDEX(Transactions!$O:$O,ROW()-8))</f>
      </c>
    </row>
    <row r="1770" spans="1:7">
      <c r="B1770">
        <f>IF(INDEX(Transactions!$J:$J,ROW()-8)="",TODAY(),INDEX(Transactions!$G:$G,ROW()-8))</f>
      </c>
      <c r="F1770">
        <f>IF(INDEX(Transactions!$J:$J,ROW()-8)="",0,INDEX(Transactions!$O:$O,ROW()-8))</f>
      </c>
    </row>
    <row r="1771" spans="1:7">
      <c r="B1771">
        <f>IF(INDEX(Transactions!$J:$J,ROW()-8)="",TODAY(),INDEX(Transactions!$G:$G,ROW()-8))</f>
      </c>
      <c r="F1771">
        <f>IF(INDEX(Transactions!$J:$J,ROW()-8)="",0,INDEX(Transactions!$O:$O,ROW()-8))</f>
      </c>
    </row>
    <row r="1772" spans="1:7">
      <c r="B1772">
        <f>IF(INDEX(Transactions!$J:$J,ROW()-8)="",TODAY(),INDEX(Transactions!$G:$G,ROW()-8))</f>
      </c>
      <c r="F1772">
        <f>IF(INDEX(Transactions!$J:$J,ROW()-8)="",0,INDEX(Transactions!$O:$O,ROW()-8))</f>
      </c>
    </row>
    <row r="1773" spans="1:7">
      <c r="B1773">
        <f>IF(INDEX(Transactions!$J:$J,ROW()-8)="",TODAY(),INDEX(Transactions!$G:$G,ROW()-8))</f>
      </c>
      <c r="F1773">
        <f>IF(INDEX(Transactions!$J:$J,ROW()-8)="",0,INDEX(Transactions!$O:$O,ROW()-8))</f>
      </c>
    </row>
    <row r="1774" spans="1:7">
      <c r="B1774">
        <f>IF(INDEX(Transactions!$J:$J,ROW()-8)="",TODAY(),INDEX(Transactions!$G:$G,ROW()-8))</f>
      </c>
      <c r="F1774">
        <f>IF(INDEX(Transactions!$J:$J,ROW()-8)="",0,INDEX(Transactions!$O:$O,ROW()-8))</f>
      </c>
    </row>
    <row r="1775" spans="1:7">
      <c r="B1775">
        <f>IF(INDEX(Transactions!$J:$J,ROW()-8)="",TODAY(),INDEX(Transactions!$G:$G,ROW()-8))</f>
      </c>
      <c r="F1775">
        <f>IF(INDEX(Transactions!$J:$J,ROW()-8)="",0,INDEX(Transactions!$O:$O,ROW()-8))</f>
      </c>
    </row>
    <row r="1776" spans="1:7">
      <c r="B1776">
        <f>IF(INDEX(Transactions!$J:$J,ROW()-8)="",TODAY(),INDEX(Transactions!$G:$G,ROW()-8))</f>
      </c>
      <c r="F1776">
        <f>IF(INDEX(Transactions!$J:$J,ROW()-8)="",0,INDEX(Transactions!$O:$O,ROW()-8))</f>
      </c>
    </row>
    <row r="1777" spans="1:7">
      <c r="B1777">
        <f>IF(INDEX(Transactions!$J:$J,ROW()-8)="",TODAY(),INDEX(Transactions!$G:$G,ROW()-8))</f>
      </c>
      <c r="F1777">
        <f>IF(INDEX(Transactions!$J:$J,ROW()-8)="",0,INDEX(Transactions!$O:$O,ROW()-8))</f>
      </c>
    </row>
    <row r="1778" spans="1:7">
      <c r="B1778">
        <f>IF(INDEX(Transactions!$J:$J,ROW()-8)="",TODAY(),INDEX(Transactions!$G:$G,ROW()-8))</f>
      </c>
      <c r="F1778">
        <f>IF(INDEX(Transactions!$J:$J,ROW()-8)="",0,INDEX(Transactions!$O:$O,ROW()-8))</f>
      </c>
    </row>
    <row r="1779" spans="1:7">
      <c r="B1779">
        <f>IF(INDEX(Transactions!$J:$J,ROW()-8)="",TODAY(),INDEX(Transactions!$G:$G,ROW()-8))</f>
      </c>
      <c r="F1779">
        <f>IF(INDEX(Transactions!$J:$J,ROW()-8)="",0,INDEX(Transactions!$O:$O,ROW()-8))</f>
      </c>
    </row>
    <row r="1780" spans="1:7">
      <c r="B1780">
        <f>IF(INDEX(Transactions!$J:$J,ROW()-8)="",TODAY(),INDEX(Transactions!$G:$G,ROW()-8))</f>
      </c>
      <c r="F1780">
        <f>IF(INDEX(Transactions!$J:$J,ROW()-8)="",0,INDEX(Transactions!$O:$O,ROW()-8))</f>
      </c>
    </row>
    <row r="1781" spans="1:7">
      <c r="B1781">
        <f>IF(INDEX(Transactions!$J:$J,ROW()-8)="",TODAY(),INDEX(Transactions!$G:$G,ROW()-8))</f>
      </c>
      <c r="F1781">
        <f>IF(INDEX(Transactions!$J:$J,ROW()-8)="",0,INDEX(Transactions!$O:$O,ROW()-8))</f>
      </c>
    </row>
    <row r="1782" spans="1:7">
      <c r="B1782">
        <f>IF(INDEX(Transactions!$J:$J,ROW()-8)="",TODAY(),INDEX(Transactions!$G:$G,ROW()-8))</f>
      </c>
      <c r="F1782">
        <f>IF(INDEX(Transactions!$J:$J,ROW()-8)="",0,INDEX(Transactions!$O:$O,ROW()-8))</f>
      </c>
    </row>
    <row r="1783" spans="1:7">
      <c r="B1783">
        <f>IF(INDEX(Transactions!$J:$J,ROW()-8)="",TODAY(),INDEX(Transactions!$G:$G,ROW()-8))</f>
      </c>
      <c r="F1783">
        <f>IF(INDEX(Transactions!$J:$J,ROW()-8)="",0,INDEX(Transactions!$O:$O,ROW()-8))</f>
      </c>
    </row>
    <row r="1784" spans="1:7">
      <c r="B1784">
        <f>IF(INDEX(Transactions!$J:$J,ROW()-8)="",TODAY(),INDEX(Transactions!$G:$G,ROW()-8))</f>
      </c>
      <c r="F1784">
        <f>IF(INDEX(Transactions!$J:$J,ROW()-8)="",0,INDEX(Transactions!$O:$O,ROW()-8))</f>
      </c>
    </row>
    <row r="1785" spans="1:7">
      <c r="B1785">
        <f>IF(INDEX(Transactions!$J:$J,ROW()-8)="",TODAY(),INDEX(Transactions!$G:$G,ROW()-8))</f>
      </c>
      <c r="F1785">
        <f>IF(INDEX(Transactions!$J:$J,ROW()-8)="",0,INDEX(Transactions!$O:$O,ROW()-8))</f>
      </c>
    </row>
    <row r="1786" spans="1:7">
      <c r="B1786">
        <f>IF(INDEX(Transactions!$J:$J,ROW()-8)="",TODAY(),INDEX(Transactions!$G:$G,ROW()-8))</f>
      </c>
      <c r="F1786">
        <f>IF(INDEX(Transactions!$J:$J,ROW()-8)="",0,INDEX(Transactions!$O:$O,ROW()-8))</f>
      </c>
    </row>
    <row r="1787" spans="1:7">
      <c r="B1787">
        <f>IF(INDEX(Transactions!$J:$J,ROW()-8)="",TODAY(),INDEX(Transactions!$G:$G,ROW()-8))</f>
      </c>
      <c r="F1787">
        <f>IF(INDEX(Transactions!$J:$J,ROW()-8)="",0,INDEX(Transactions!$O:$O,ROW()-8))</f>
      </c>
    </row>
    <row r="1788" spans="1:7">
      <c r="B1788">
        <f>IF(INDEX(Transactions!$J:$J,ROW()-8)="",TODAY(),INDEX(Transactions!$G:$G,ROW()-8))</f>
      </c>
      <c r="F1788">
        <f>IF(INDEX(Transactions!$J:$J,ROW()-8)="",0,INDEX(Transactions!$O:$O,ROW()-8))</f>
      </c>
    </row>
    <row r="1789" spans="1:7">
      <c r="B1789">
        <f>IF(INDEX(Transactions!$J:$J,ROW()-8)="",TODAY(),INDEX(Transactions!$G:$G,ROW()-8))</f>
      </c>
      <c r="F1789">
        <f>IF(INDEX(Transactions!$J:$J,ROW()-8)="",0,INDEX(Transactions!$O:$O,ROW()-8))</f>
      </c>
    </row>
    <row r="1790" spans="1:7">
      <c r="B1790">
        <f>IF(INDEX(Transactions!$J:$J,ROW()-8)="",TODAY(),INDEX(Transactions!$G:$G,ROW()-8))</f>
      </c>
      <c r="F1790">
        <f>IF(INDEX(Transactions!$J:$J,ROW()-8)="",0,INDEX(Transactions!$O:$O,ROW()-8))</f>
      </c>
    </row>
    <row r="1791" spans="1:7">
      <c r="B1791">
        <f>IF(INDEX(Transactions!$J:$J,ROW()-8)="",TODAY(),INDEX(Transactions!$G:$G,ROW()-8))</f>
      </c>
      <c r="F1791">
        <f>IF(INDEX(Transactions!$J:$J,ROW()-8)="",0,INDEX(Transactions!$O:$O,ROW()-8))</f>
      </c>
    </row>
    <row r="1792" spans="1:7">
      <c r="B1792">
        <f>IF(INDEX(Transactions!$J:$J,ROW()-8)="",TODAY(),INDEX(Transactions!$G:$G,ROW()-8))</f>
      </c>
      <c r="F1792">
        <f>IF(INDEX(Transactions!$J:$J,ROW()-8)="",0,INDEX(Transactions!$O:$O,ROW()-8))</f>
      </c>
    </row>
    <row r="1793" spans="1:7">
      <c r="B1793">
        <f>IF(INDEX(Transactions!$J:$J,ROW()-8)="",TODAY(),INDEX(Transactions!$G:$G,ROW()-8))</f>
      </c>
      <c r="F1793">
        <f>IF(INDEX(Transactions!$J:$J,ROW()-8)="",0,INDEX(Transactions!$O:$O,ROW()-8))</f>
      </c>
    </row>
    <row r="1794" spans="1:7">
      <c r="B1794">
        <f>IF(INDEX(Transactions!$J:$J,ROW()-8)="",TODAY(),INDEX(Transactions!$G:$G,ROW()-8))</f>
      </c>
      <c r="F1794">
        <f>IF(INDEX(Transactions!$J:$J,ROW()-8)="",0,INDEX(Transactions!$O:$O,ROW()-8))</f>
      </c>
    </row>
    <row r="1795" spans="1:7">
      <c r="B1795">
        <f>IF(INDEX(Transactions!$J:$J,ROW()-8)="",TODAY(),INDEX(Transactions!$G:$G,ROW()-8))</f>
      </c>
      <c r="F1795">
        <f>IF(INDEX(Transactions!$J:$J,ROW()-8)="",0,INDEX(Transactions!$O:$O,ROW()-8))</f>
      </c>
    </row>
    <row r="1796" spans="1:7">
      <c r="B1796">
        <f>IF(INDEX(Transactions!$J:$J,ROW()-8)="",TODAY(),INDEX(Transactions!$G:$G,ROW()-8))</f>
      </c>
      <c r="F1796">
        <f>IF(INDEX(Transactions!$J:$J,ROW()-8)="",0,INDEX(Transactions!$O:$O,ROW()-8))</f>
      </c>
    </row>
    <row r="1797" spans="1:7">
      <c r="B1797">
        <f>IF(INDEX(Transactions!$J:$J,ROW()-8)="",TODAY(),INDEX(Transactions!$G:$G,ROW()-8))</f>
      </c>
      <c r="F1797">
        <f>IF(INDEX(Transactions!$J:$J,ROW()-8)="",0,INDEX(Transactions!$O:$O,ROW()-8))</f>
      </c>
    </row>
    <row r="1798" spans="1:7">
      <c r="B1798">
        <f>IF(INDEX(Transactions!$J:$J,ROW()-8)="",TODAY(),INDEX(Transactions!$G:$G,ROW()-8))</f>
      </c>
      <c r="F1798">
        <f>IF(INDEX(Transactions!$J:$J,ROW()-8)="",0,INDEX(Transactions!$O:$O,ROW()-8))</f>
      </c>
    </row>
    <row r="1799" spans="1:7">
      <c r="B1799">
        <f>IF(INDEX(Transactions!$J:$J,ROW()-8)="",TODAY(),INDEX(Transactions!$G:$G,ROW()-8))</f>
      </c>
      <c r="F1799">
        <f>IF(INDEX(Transactions!$J:$J,ROW()-8)="",0,INDEX(Transactions!$O:$O,ROW()-8))</f>
      </c>
    </row>
    <row r="1800" spans="1:7">
      <c r="B1800">
        <f>IF(INDEX(Transactions!$J:$J,ROW()-8)="",TODAY(),INDEX(Transactions!$G:$G,ROW()-8))</f>
      </c>
      <c r="F1800">
        <f>IF(INDEX(Transactions!$J:$J,ROW()-8)="",0,INDEX(Transactions!$O:$O,ROW()-8))</f>
      </c>
    </row>
    <row r="1801" spans="1:7">
      <c r="B1801">
        <f>IF(INDEX(Transactions!$J:$J,ROW()-8)="",TODAY(),INDEX(Transactions!$G:$G,ROW()-8))</f>
      </c>
      <c r="F1801">
        <f>IF(INDEX(Transactions!$J:$J,ROW()-8)="",0,INDEX(Transactions!$O:$O,ROW()-8))</f>
      </c>
    </row>
    <row r="1802" spans="1:7">
      <c r="B1802">
        <f>IF(INDEX(Transactions!$J:$J,ROW()-8)="",TODAY(),INDEX(Transactions!$G:$G,ROW()-8))</f>
      </c>
      <c r="F1802">
        <f>IF(INDEX(Transactions!$J:$J,ROW()-8)="",0,INDEX(Transactions!$O:$O,ROW()-8))</f>
      </c>
    </row>
    <row r="1803" spans="1:7">
      <c r="B1803">
        <f>IF(INDEX(Transactions!$J:$J,ROW()-8)="",TODAY(),INDEX(Transactions!$G:$G,ROW()-8))</f>
      </c>
      <c r="F1803">
        <f>IF(INDEX(Transactions!$J:$J,ROW()-8)="",0,INDEX(Transactions!$O:$O,ROW()-8))</f>
      </c>
    </row>
    <row r="1804" spans="1:7">
      <c r="B1804">
        <f>IF(INDEX(Transactions!$J:$J,ROW()-8)="",TODAY(),INDEX(Transactions!$G:$G,ROW()-8))</f>
      </c>
      <c r="F1804">
        <f>IF(INDEX(Transactions!$J:$J,ROW()-8)="",0,INDEX(Transactions!$O:$O,ROW()-8))</f>
      </c>
    </row>
    <row r="1805" spans="1:7">
      <c r="B1805">
        <f>IF(INDEX(Transactions!$J:$J,ROW()-8)="",TODAY(),INDEX(Transactions!$G:$G,ROW()-8))</f>
      </c>
      <c r="F1805">
        <f>IF(INDEX(Transactions!$J:$J,ROW()-8)="",0,INDEX(Transactions!$O:$O,ROW()-8))</f>
      </c>
    </row>
    <row r="1806" spans="1:7">
      <c r="B1806">
        <f>IF(INDEX(Transactions!$J:$J,ROW()-8)="",TODAY(),INDEX(Transactions!$G:$G,ROW()-8))</f>
      </c>
      <c r="F1806">
        <f>IF(INDEX(Transactions!$J:$J,ROW()-8)="",0,INDEX(Transactions!$O:$O,ROW()-8))</f>
      </c>
    </row>
    <row r="1807" spans="1:7">
      <c r="B1807">
        <f>IF(INDEX(Transactions!$J:$J,ROW()-8)="",TODAY(),INDEX(Transactions!$G:$G,ROW()-8))</f>
      </c>
      <c r="F1807">
        <f>IF(INDEX(Transactions!$J:$J,ROW()-8)="",0,INDEX(Transactions!$O:$O,ROW()-8))</f>
      </c>
    </row>
    <row r="1808" spans="1:7">
      <c r="B1808">
        <f>IF(INDEX(Transactions!$J:$J,ROW()-8)="",TODAY(),INDEX(Transactions!$G:$G,ROW()-8))</f>
      </c>
      <c r="F1808">
        <f>IF(INDEX(Transactions!$J:$J,ROW()-8)="",0,INDEX(Transactions!$O:$O,ROW()-8))</f>
      </c>
    </row>
    <row r="1809" spans="1:7">
      <c r="B1809">
        <f>IF(INDEX(Transactions!$J:$J,ROW()-8)="",TODAY(),INDEX(Transactions!$G:$G,ROW()-8))</f>
      </c>
      <c r="F1809">
        <f>IF(INDEX(Transactions!$J:$J,ROW()-8)="",0,INDEX(Transactions!$O:$O,ROW()-8))</f>
      </c>
    </row>
    <row r="1810" spans="1:7">
      <c r="B1810">
        <f>IF(INDEX(Transactions!$J:$J,ROW()-8)="",TODAY(),INDEX(Transactions!$G:$G,ROW()-8))</f>
      </c>
      <c r="F1810">
        <f>IF(INDEX(Transactions!$J:$J,ROW()-8)="",0,INDEX(Transactions!$O:$O,ROW()-8))</f>
      </c>
    </row>
    <row r="1811" spans="1:7">
      <c r="B1811">
        <f>IF(INDEX(Transactions!$J:$J,ROW()-8)="",TODAY(),INDEX(Transactions!$G:$G,ROW()-8))</f>
      </c>
      <c r="F1811">
        <f>IF(INDEX(Transactions!$J:$J,ROW()-8)="",0,INDEX(Transactions!$O:$O,ROW()-8))</f>
      </c>
    </row>
    <row r="1812" spans="1:7">
      <c r="B1812">
        <f>IF(INDEX(Transactions!$J:$J,ROW()-8)="",TODAY(),INDEX(Transactions!$G:$G,ROW()-8))</f>
      </c>
      <c r="F1812">
        <f>IF(INDEX(Transactions!$J:$J,ROW()-8)="",0,INDEX(Transactions!$O:$O,ROW()-8))</f>
      </c>
    </row>
    <row r="1813" spans="1:7">
      <c r="B1813">
        <f>IF(INDEX(Transactions!$J:$J,ROW()-8)="",TODAY(),INDEX(Transactions!$G:$G,ROW()-8))</f>
      </c>
      <c r="F1813">
        <f>IF(INDEX(Transactions!$J:$J,ROW()-8)="",0,INDEX(Transactions!$O:$O,ROW()-8))</f>
      </c>
    </row>
    <row r="1814" spans="1:7">
      <c r="B1814">
        <f>IF(INDEX(Transactions!$J:$J,ROW()-8)="",TODAY(),INDEX(Transactions!$G:$G,ROW()-8))</f>
      </c>
      <c r="F1814">
        <f>IF(INDEX(Transactions!$J:$J,ROW()-8)="",0,INDEX(Transactions!$O:$O,ROW()-8))</f>
      </c>
    </row>
    <row r="1815" spans="1:7">
      <c r="B1815">
        <f>IF(INDEX(Transactions!$J:$J,ROW()-8)="",TODAY(),INDEX(Transactions!$G:$G,ROW()-8))</f>
      </c>
      <c r="F1815">
        <f>IF(INDEX(Transactions!$J:$J,ROW()-8)="",0,INDEX(Transactions!$O:$O,ROW()-8))</f>
      </c>
    </row>
    <row r="1816" spans="1:7">
      <c r="B1816">
        <f>IF(INDEX(Transactions!$J:$J,ROW()-8)="",TODAY(),INDEX(Transactions!$G:$G,ROW()-8))</f>
      </c>
      <c r="F1816">
        <f>IF(INDEX(Transactions!$J:$J,ROW()-8)="",0,INDEX(Transactions!$O:$O,ROW()-8))</f>
      </c>
    </row>
    <row r="1817" spans="1:7">
      <c r="B1817">
        <f>IF(INDEX(Transactions!$J:$J,ROW()-8)="",TODAY(),INDEX(Transactions!$G:$G,ROW()-8))</f>
      </c>
      <c r="F1817">
        <f>IF(INDEX(Transactions!$J:$J,ROW()-8)="",0,INDEX(Transactions!$O:$O,ROW()-8))</f>
      </c>
    </row>
    <row r="1818" spans="1:7">
      <c r="B1818">
        <f>IF(INDEX(Transactions!$J:$J,ROW()-8)="",TODAY(),INDEX(Transactions!$G:$G,ROW()-8))</f>
      </c>
      <c r="F1818">
        <f>IF(INDEX(Transactions!$J:$J,ROW()-8)="",0,INDEX(Transactions!$O:$O,ROW()-8))</f>
      </c>
    </row>
    <row r="1819" spans="1:7">
      <c r="B1819">
        <f>IF(INDEX(Transactions!$J:$J,ROW()-8)="",TODAY(),INDEX(Transactions!$G:$G,ROW()-8))</f>
      </c>
      <c r="F1819">
        <f>IF(INDEX(Transactions!$J:$J,ROW()-8)="",0,INDEX(Transactions!$O:$O,ROW()-8))</f>
      </c>
    </row>
    <row r="1820" spans="1:7">
      <c r="B1820">
        <f>IF(INDEX(Transactions!$J:$J,ROW()-8)="",TODAY(),INDEX(Transactions!$G:$G,ROW()-8))</f>
      </c>
      <c r="F1820">
        <f>IF(INDEX(Transactions!$J:$J,ROW()-8)="",0,INDEX(Transactions!$O:$O,ROW()-8))</f>
      </c>
    </row>
    <row r="1821" spans="1:7">
      <c r="B1821">
        <f>IF(INDEX(Transactions!$J:$J,ROW()-8)="",TODAY(),INDEX(Transactions!$G:$G,ROW()-8))</f>
      </c>
      <c r="F1821">
        <f>IF(INDEX(Transactions!$J:$J,ROW()-8)="",0,INDEX(Transactions!$O:$O,ROW()-8))</f>
      </c>
    </row>
    <row r="1822" spans="1:7">
      <c r="B1822">
        <f>IF(INDEX(Transactions!$J:$J,ROW()-8)="",TODAY(),INDEX(Transactions!$G:$G,ROW()-8))</f>
      </c>
      <c r="F1822">
        <f>IF(INDEX(Transactions!$J:$J,ROW()-8)="",0,INDEX(Transactions!$O:$O,ROW()-8))</f>
      </c>
    </row>
    <row r="1823" spans="1:7">
      <c r="B1823">
        <f>IF(INDEX(Transactions!$J:$J,ROW()-8)="",TODAY(),INDEX(Transactions!$G:$G,ROW()-8))</f>
      </c>
      <c r="F1823">
        <f>IF(INDEX(Transactions!$J:$J,ROW()-8)="",0,INDEX(Transactions!$O:$O,ROW()-8))</f>
      </c>
    </row>
    <row r="1824" spans="1:7">
      <c r="B1824">
        <f>IF(INDEX(Transactions!$J:$J,ROW()-8)="",TODAY(),INDEX(Transactions!$G:$G,ROW()-8))</f>
      </c>
      <c r="F1824">
        <f>IF(INDEX(Transactions!$J:$J,ROW()-8)="",0,INDEX(Transactions!$O:$O,ROW()-8))</f>
      </c>
    </row>
    <row r="1825" spans="1:7">
      <c r="B1825">
        <f>IF(INDEX(Transactions!$J:$J,ROW()-8)="",TODAY(),INDEX(Transactions!$G:$G,ROW()-8))</f>
      </c>
      <c r="F1825">
        <f>IF(INDEX(Transactions!$J:$J,ROW()-8)="",0,INDEX(Transactions!$O:$O,ROW()-8))</f>
      </c>
    </row>
    <row r="1826" spans="1:7">
      <c r="B1826">
        <f>IF(INDEX(Transactions!$J:$J,ROW()-8)="",TODAY(),INDEX(Transactions!$G:$G,ROW()-8))</f>
      </c>
      <c r="F1826">
        <f>IF(INDEX(Transactions!$J:$J,ROW()-8)="",0,INDEX(Transactions!$O:$O,ROW()-8))</f>
      </c>
    </row>
    <row r="1827" spans="1:7">
      <c r="B1827">
        <f>IF(INDEX(Transactions!$J:$J,ROW()-8)="",TODAY(),INDEX(Transactions!$G:$G,ROW()-8))</f>
      </c>
      <c r="F1827">
        <f>IF(INDEX(Transactions!$J:$J,ROW()-8)="",0,INDEX(Transactions!$O:$O,ROW()-8))</f>
      </c>
    </row>
    <row r="1828" spans="1:7">
      <c r="B1828">
        <f>IF(INDEX(Transactions!$J:$J,ROW()-8)="",TODAY(),INDEX(Transactions!$G:$G,ROW()-8))</f>
      </c>
      <c r="F1828">
        <f>IF(INDEX(Transactions!$J:$J,ROW()-8)="",0,INDEX(Transactions!$O:$O,ROW()-8))</f>
      </c>
    </row>
    <row r="1829" spans="1:7">
      <c r="B1829">
        <f>IF(INDEX(Transactions!$J:$J,ROW()-8)="",TODAY(),INDEX(Transactions!$G:$G,ROW()-8))</f>
      </c>
      <c r="F1829">
        <f>IF(INDEX(Transactions!$J:$J,ROW()-8)="",0,INDEX(Transactions!$O:$O,ROW()-8))</f>
      </c>
    </row>
    <row r="1830" spans="1:7">
      <c r="B1830">
        <f>IF(INDEX(Transactions!$J:$J,ROW()-8)="",TODAY(),INDEX(Transactions!$G:$G,ROW()-8))</f>
      </c>
      <c r="F1830">
        <f>IF(INDEX(Transactions!$J:$J,ROW()-8)="",0,INDEX(Transactions!$O:$O,ROW()-8))</f>
      </c>
    </row>
    <row r="1831" spans="1:7">
      <c r="B1831">
        <f>IF(INDEX(Transactions!$J:$J,ROW()-8)="",TODAY(),INDEX(Transactions!$G:$G,ROW()-8))</f>
      </c>
      <c r="F1831">
        <f>IF(INDEX(Transactions!$J:$J,ROW()-8)="",0,INDEX(Transactions!$O:$O,ROW()-8))</f>
      </c>
    </row>
    <row r="1832" spans="1:7">
      <c r="B1832">
        <f>IF(INDEX(Transactions!$J:$J,ROW()-8)="",TODAY(),INDEX(Transactions!$G:$G,ROW()-8))</f>
      </c>
      <c r="F1832">
        <f>IF(INDEX(Transactions!$J:$J,ROW()-8)="",0,INDEX(Transactions!$O:$O,ROW()-8))</f>
      </c>
    </row>
    <row r="1833" spans="1:7">
      <c r="B1833">
        <f>IF(INDEX(Transactions!$J:$J,ROW()-8)="",TODAY(),INDEX(Transactions!$G:$G,ROW()-8))</f>
      </c>
      <c r="F1833">
        <f>IF(INDEX(Transactions!$J:$J,ROW()-8)="",0,INDEX(Transactions!$O:$O,ROW()-8))</f>
      </c>
    </row>
    <row r="1834" spans="1:7">
      <c r="B1834">
        <f>IF(INDEX(Transactions!$J:$J,ROW()-8)="",TODAY(),INDEX(Transactions!$G:$G,ROW()-8))</f>
      </c>
      <c r="F1834">
        <f>IF(INDEX(Transactions!$J:$J,ROW()-8)="",0,INDEX(Transactions!$O:$O,ROW()-8))</f>
      </c>
    </row>
    <row r="1835" spans="1:7">
      <c r="B1835">
        <f>IF(INDEX(Transactions!$J:$J,ROW()-8)="",TODAY(),INDEX(Transactions!$G:$G,ROW()-8))</f>
      </c>
      <c r="F1835">
        <f>IF(INDEX(Transactions!$J:$J,ROW()-8)="",0,INDEX(Transactions!$O:$O,ROW()-8))</f>
      </c>
    </row>
    <row r="1836" spans="1:7">
      <c r="B1836">
        <f>IF(INDEX(Transactions!$J:$J,ROW()-8)="",TODAY(),INDEX(Transactions!$G:$G,ROW()-8))</f>
      </c>
      <c r="F1836">
        <f>IF(INDEX(Transactions!$J:$J,ROW()-8)="",0,INDEX(Transactions!$O:$O,ROW()-8))</f>
      </c>
    </row>
    <row r="1837" spans="1:7">
      <c r="B1837">
        <f>IF(INDEX(Transactions!$J:$J,ROW()-8)="",TODAY(),INDEX(Transactions!$G:$G,ROW()-8))</f>
      </c>
      <c r="F1837">
        <f>IF(INDEX(Transactions!$J:$J,ROW()-8)="",0,INDEX(Transactions!$O:$O,ROW()-8))</f>
      </c>
    </row>
    <row r="1838" spans="1:7">
      <c r="B1838">
        <f>IF(INDEX(Transactions!$J:$J,ROW()-8)="",TODAY(),INDEX(Transactions!$G:$G,ROW()-8))</f>
      </c>
      <c r="F1838">
        <f>IF(INDEX(Transactions!$J:$J,ROW()-8)="",0,INDEX(Transactions!$O:$O,ROW()-8))</f>
      </c>
    </row>
    <row r="1839" spans="1:7">
      <c r="B1839">
        <f>IF(INDEX(Transactions!$J:$J,ROW()-8)="",TODAY(),INDEX(Transactions!$G:$G,ROW()-8))</f>
      </c>
      <c r="F1839">
        <f>IF(INDEX(Transactions!$J:$J,ROW()-8)="",0,INDEX(Transactions!$O:$O,ROW()-8))</f>
      </c>
    </row>
    <row r="1840" spans="1:7">
      <c r="B1840">
        <f>IF(INDEX(Transactions!$J:$J,ROW()-8)="",TODAY(),INDEX(Transactions!$G:$G,ROW()-8))</f>
      </c>
      <c r="F1840">
        <f>IF(INDEX(Transactions!$J:$J,ROW()-8)="",0,INDEX(Transactions!$O:$O,ROW()-8))</f>
      </c>
    </row>
    <row r="1841" spans="1:7">
      <c r="B1841">
        <f>IF(INDEX(Transactions!$J:$J,ROW()-8)="",TODAY(),INDEX(Transactions!$G:$G,ROW()-8))</f>
      </c>
      <c r="F1841">
        <f>IF(INDEX(Transactions!$J:$J,ROW()-8)="",0,INDEX(Transactions!$O:$O,ROW()-8))</f>
      </c>
    </row>
    <row r="1842" spans="1:7">
      <c r="B1842">
        <f>IF(INDEX(Transactions!$J:$J,ROW()-8)="",TODAY(),INDEX(Transactions!$G:$G,ROW()-8))</f>
      </c>
      <c r="F1842">
        <f>IF(INDEX(Transactions!$J:$J,ROW()-8)="",0,INDEX(Transactions!$O:$O,ROW()-8))</f>
      </c>
    </row>
    <row r="1843" spans="1:7">
      <c r="B1843">
        <f>IF(INDEX(Transactions!$J:$J,ROW()-8)="",TODAY(),INDEX(Transactions!$G:$G,ROW()-8))</f>
      </c>
      <c r="F1843">
        <f>IF(INDEX(Transactions!$J:$J,ROW()-8)="",0,INDEX(Transactions!$O:$O,ROW()-8))</f>
      </c>
    </row>
    <row r="1844" spans="1:7">
      <c r="B1844">
        <f>IF(INDEX(Transactions!$J:$J,ROW()-8)="",TODAY(),INDEX(Transactions!$G:$G,ROW()-8))</f>
      </c>
      <c r="F1844">
        <f>IF(INDEX(Transactions!$J:$J,ROW()-8)="",0,INDEX(Transactions!$O:$O,ROW()-8))</f>
      </c>
    </row>
    <row r="1845" spans="1:7">
      <c r="B1845">
        <f>IF(INDEX(Transactions!$J:$J,ROW()-8)="",TODAY(),INDEX(Transactions!$G:$G,ROW()-8))</f>
      </c>
      <c r="F1845">
        <f>IF(INDEX(Transactions!$J:$J,ROW()-8)="",0,INDEX(Transactions!$O:$O,ROW()-8))</f>
      </c>
    </row>
    <row r="1846" spans="1:7">
      <c r="B1846">
        <f>IF(INDEX(Transactions!$J:$J,ROW()-8)="",TODAY(),INDEX(Transactions!$G:$G,ROW()-8))</f>
      </c>
      <c r="F1846">
        <f>IF(INDEX(Transactions!$J:$J,ROW()-8)="",0,INDEX(Transactions!$O:$O,ROW()-8))</f>
      </c>
    </row>
    <row r="1847" spans="1:7">
      <c r="B1847">
        <f>IF(INDEX(Transactions!$J:$J,ROW()-8)="",TODAY(),INDEX(Transactions!$G:$G,ROW()-8))</f>
      </c>
      <c r="F1847">
        <f>IF(INDEX(Transactions!$J:$J,ROW()-8)="",0,INDEX(Transactions!$O:$O,ROW()-8))</f>
      </c>
    </row>
    <row r="1848" spans="1:7">
      <c r="B1848">
        <f>IF(INDEX(Transactions!$J:$J,ROW()-8)="",TODAY(),INDEX(Transactions!$G:$G,ROW()-8))</f>
      </c>
      <c r="F1848">
        <f>IF(INDEX(Transactions!$J:$J,ROW()-8)="",0,INDEX(Transactions!$O:$O,ROW()-8))</f>
      </c>
    </row>
    <row r="1849" spans="1:7">
      <c r="B1849">
        <f>IF(INDEX(Transactions!$J:$J,ROW()-8)="",TODAY(),INDEX(Transactions!$G:$G,ROW()-8))</f>
      </c>
      <c r="F1849">
        <f>IF(INDEX(Transactions!$J:$J,ROW()-8)="",0,INDEX(Transactions!$O:$O,ROW()-8))</f>
      </c>
    </row>
    <row r="1850" spans="1:7">
      <c r="B1850">
        <f>IF(INDEX(Transactions!$J:$J,ROW()-8)="",TODAY(),INDEX(Transactions!$G:$G,ROW()-8))</f>
      </c>
      <c r="F1850">
        <f>IF(INDEX(Transactions!$J:$J,ROW()-8)="",0,INDEX(Transactions!$O:$O,ROW()-8))</f>
      </c>
    </row>
    <row r="1851" spans="1:7">
      <c r="B1851">
        <f>IF(INDEX(Transactions!$J:$J,ROW()-8)="",TODAY(),INDEX(Transactions!$G:$G,ROW()-8))</f>
      </c>
      <c r="F1851">
        <f>IF(INDEX(Transactions!$J:$J,ROW()-8)="",0,INDEX(Transactions!$O:$O,ROW()-8))</f>
      </c>
    </row>
    <row r="1852" spans="1:7">
      <c r="B1852">
        <f>IF(INDEX(Transactions!$J:$J,ROW()-8)="",TODAY(),INDEX(Transactions!$G:$G,ROW()-8))</f>
      </c>
      <c r="F1852">
        <f>IF(INDEX(Transactions!$J:$J,ROW()-8)="",0,INDEX(Transactions!$O:$O,ROW()-8))</f>
      </c>
    </row>
    <row r="1853" spans="1:7">
      <c r="B1853">
        <f>IF(INDEX(Transactions!$J:$J,ROW()-8)="",TODAY(),INDEX(Transactions!$G:$G,ROW()-8))</f>
      </c>
      <c r="F1853">
        <f>IF(INDEX(Transactions!$J:$J,ROW()-8)="",0,INDEX(Transactions!$O:$O,ROW()-8))</f>
      </c>
    </row>
    <row r="1854" spans="1:7">
      <c r="B1854">
        <f>IF(INDEX(Transactions!$J:$J,ROW()-8)="",TODAY(),INDEX(Transactions!$G:$G,ROW()-8))</f>
      </c>
      <c r="F1854">
        <f>IF(INDEX(Transactions!$J:$J,ROW()-8)="",0,INDEX(Transactions!$O:$O,ROW()-8))</f>
      </c>
    </row>
    <row r="1855" spans="1:7">
      <c r="B1855">
        <f>IF(INDEX(Transactions!$J:$J,ROW()-8)="",TODAY(),INDEX(Transactions!$G:$G,ROW()-8))</f>
      </c>
      <c r="F1855">
        <f>IF(INDEX(Transactions!$J:$J,ROW()-8)="",0,INDEX(Transactions!$O:$O,ROW()-8))</f>
      </c>
    </row>
    <row r="1856" spans="1:7">
      <c r="B1856">
        <f>IF(INDEX(Transactions!$J:$J,ROW()-8)="",TODAY(),INDEX(Transactions!$G:$G,ROW()-8))</f>
      </c>
      <c r="F1856">
        <f>IF(INDEX(Transactions!$J:$J,ROW()-8)="",0,INDEX(Transactions!$O:$O,ROW()-8))</f>
      </c>
    </row>
    <row r="1857" spans="1:7">
      <c r="B1857">
        <f>IF(INDEX(Transactions!$J:$J,ROW()-8)="",TODAY(),INDEX(Transactions!$G:$G,ROW()-8))</f>
      </c>
      <c r="F1857">
        <f>IF(INDEX(Transactions!$J:$J,ROW()-8)="",0,INDEX(Transactions!$O:$O,ROW()-8))</f>
      </c>
    </row>
    <row r="1858" spans="1:7">
      <c r="B1858">
        <f>IF(INDEX(Transactions!$J:$J,ROW()-8)="",TODAY(),INDEX(Transactions!$G:$G,ROW()-8))</f>
      </c>
      <c r="F1858">
        <f>IF(INDEX(Transactions!$J:$J,ROW()-8)="",0,INDEX(Transactions!$O:$O,ROW()-8))</f>
      </c>
    </row>
    <row r="1859" spans="1:7">
      <c r="B1859">
        <f>IF(INDEX(Transactions!$J:$J,ROW()-8)="",TODAY(),INDEX(Transactions!$G:$G,ROW()-8))</f>
      </c>
      <c r="F1859">
        <f>IF(INDEX(Transactions!$J:$J,ROW()-8)="",0,INDEX(Transactions!$O:$O,ROW()-8))</f>
      </c>
    </row>
    <row r="1860" spans="1:7">
      <c r="B1860">
        <f>IF(INDEX(Transactions!$J:$J,ROW()-8)="",TODAY(),INDEX(Transactions!$G:$G,ROW()-8))</f>
      </c>
      <c r="F1860">
        <f>IF(INDEX(Transactions!$J:$J,ROW()-8)="",0,INDEX(Transactions!$O:$O,ROW()-8))</f>
      </c>
    </row>
    <row r="1861" spans="1:7">
      <c r="B1861">
        <f>IF(INDEX(Transactions!$J:$J,ROW()-8)="",TODAY(),INDEX(Transactions!$G:$G,ROW()-8))</f>
      </c>
      <c r="F1861">
        <f>IF(INDEX(Transactions!$J:$J,ROW()-8)="",0,INDEX(Transactions!$O:$O,ROW()-8))</f>
      </c>
    </row>
    <row r="1862" spans="1:7">
      <c r="B1862">
        <f>IF(INDEX(Transactions!$J:$J,ROW()-8)="",TODAY(),INDEX(Transactions!$G:$G,ROW()-8))</f>
      </c>
      <c r="F1862">
        <f>IF(INDEX(Transactions!$J:$J,ROW()-8)="",0,INDEX(Transactions!$O:$O,ROW()-8))</f>
      </c>
    </row>
    <row r="1863" spans="1:7">
      <c r="B1863">
        <f>IF(INDEX(Transactions!$J:$J,ROW()-8)="",TODAY(),INDEX(Transactions!$G:$G,ROW()-8))</f>
      </c>
      <c r="F1863">
        <f>IF(INDEX(Transactions!$J:$J,ROW()-8)="",0,INDEX(Transactions!$O:$O,ROW()-8))</f>
      </c>
    </row>
    <row r="1864" spans="1:7">
      <c r="B1864">
        <f>IF(INDEX(Transactions!$J:$J,ROW()-8)="",TODAY(),INDEX(Transactions!$G:$G,ROW()-8))</f>
      </c>
      <c r="F1864">
        <f>IF(INDEX(Transactions!$J:$J,ROW()-8)="",0,INDEX(Transactions!$O:$O,ROW()-8))</f>
      </c>
    </row>
    <row r="1865" spans="1:7">
      <c r="B1865">
        <f>IF(INDEX(Transactions!$J:$J,ROW()-8)="",TODAY(),INDEX(Transactions!$G:$G,ROW()-8))</f>
      </c>
      <c r="F1865">
        <f>IF(INDEX(Transactions!$J:$J,ROW()-8)="",0,INDEX(Transactions!$O:$O,ROW()-8))</f>
      </c>
    </row>
    <row r="1866" spans="1:7">
      <c r="B1866">
        <f>IF(INDEX(Transactions!$J:$J,ROW()-8)="",TODAY(),INDEX(Transactions!$G:$G,ROW()-8))</f>
      </c>
      <c r="F1866">
        <f>IF(INDEX(Transactions!$J:$J,ROW()-8)="",0,INDEX(Transactions!$O:$O,ROW()-8))</f>
      </c>
    </row>
    <row r="1867" spans="1:7">
      <c r="B1867">
        <f>IF(INDEX(Transactions!$J:$J,ROW()-8)="",TODAY(),INDEX(Transactions!$G:$G,ROW()-8))</f>
      </c>
      <c r="F1867">
        <f>IF(INDEX(Transactions!$J:$J,ROW()-8)="",0,INDEX(Transactions!$O:$O,ROW()-8))</f>
      </c>
    </row>
    <row r="1868" spans="1:7">
      <c r="B1868">
        <f>IF(INDEX(Transactions!$J:$J,ROW()-8)="",TODAY(),INDEX(Transactions!$G:$G,ROW()-8))</f>
      </c>
      <c r="F1868">
        <f>IF(INDEX(Transactions!$J:$J,ROW()-8)="",0,INDEX(Transactions!$O:$O,ROW()-8))</f>
      </c>
    </row>
    <row r="1869" spans="1:7">
      <c r="B1869">
        <f>IF(INDEX(Transactions!$J:$J,ROW()-8)="",TODAY(),INDEX(Transactions!$G:$G,ROW()-8))</f>
      </c>
      <c r="F1869">
        <f>IF(INDEX(Transactions!$J:$J,ROW()-8)="",0,INDEX(Transactions!$O:$O,ROW()-8))</f>
      </c>
    </row>
    <row r="1870" spans="1:7">
      <c r="B1870">
        <f>IF(INDEX(Transactions!$J:$J,ROW()-8)="",TODAY(),INDEX(Transactions!$G:$G,ROW()-8))</f>
      </c>
      <c r="F1870">
        <f>IF(INDEX(Transactions!$J:$J,ROW()-8)="",0,INDEX(Transactions!$O:$O,ROW()-8))</f>
      </c>
    </row>
    <row r="1871" spans="1:7">
      <c r="B1871">
        <f>IF(INDEX(Transactions!$J:$J,ROW()-8)="",TODAY(),INDEX(Transactions!$G:$G,ROW()-8))</f>
      </c>
      <c r="F1871">
        <f>IF(INDEX(Transactions!$J:$J,ROW()-8)="",0,INDEX(Transactions!$O:$O,ROW()-8))</f>
      </c>
    </row>
    <row r="1872" spans="1:7">
      <c r="B1872">
        <f>IF(INDEX(Transactions!$J:$J,ROW()-8)="",TODAY(),INDEX(Transactions!$G:$G,ROW()-8))</f>
      </c>
      <c r="F1872">
        <f>IF(INDEX(Transactions!$J:$J,ROW()-8)="",0,INDEX(Transactions!$O:$O,ROW()-8))</f>
      </c>
    </row>
    <row r="1873" spans="1:7">
      <c r="B1873">
        <f>IF(INDEX(Transactions!$J:$J,ROW()-8)="",TODAY(),INDEX(Transactions!$G:$G,ROW()-8))</f>
      </c>
      <c r="F1873">
        <f>IF(INDEX(Transactions!$J:$J,ROW()-8)="",0,INDEX(Transactions!$O:$O,ROW()-8))</f>
      </c>
    </row>
    <row r="1874" spans="1:7">
      <c r="B1874">
        <f>IF(INDEX(Transactions!$J:$J,ROW()-8)="",TODAY(),INDEX(Transactions!$G:$G,ROW()-8))</f>
      </c>
      <c r="F1874">
        <f>IF(INDEX(Transactions!$J:$J,ROW()-8)="",0,INDEX(Transactions!$O:$O,ROW()-8))</f>
      </c>
    </row>
    <row r="1875" spans="1:7">
      <c r="B1875">
        <f>IF(INDEX(Transactions!$J:$J,ROW()-8)="",TODAY(),INDEX(Transactions!$G:$G,ROW()-8))</f>
      </c>
      <c r="F1875">
        <f>IF(INDEX(Transactions!$J:$J,ROW()-8)="",0,INDEX(Transactions!$O:$O,ROW()-8))</f>
      </c>
    </row>
    <row r="1876" spans="1:7">
      <c r="B1876">
        <f>IF(INDEX(Transactions!$J:$J,ROW()-8)="",TODAY(),INDEX(Transactions!$G:$G,ROW()-8))</f>
      </c>
      <c r="F1876">
        <f>IF(INDEX(Transactions!$J:$J,ROW()-8)="",0,INDEX(Transactions!$O:$O,ROW()-8))</f>
      </c>
    </row>
    <row r="1877" spans="1:7">
      <c r="B1877">
        <f>IF(INDEX(Transactions!$J:$J,ROW()-8)="",TODAY(),INDEX(Transactions!$G:$G,ROW()-8))</f>
      </c>
      <c r="F1877">
        <f>IF(INDEX(Transactions!$J:$J,ROW()-8)="",0,INDEX(Transactions!$O:$O,ROW()-8))</f>
      </c>
    </row>
    <row r="1878" spans="1:7">
      <c r="B1878">
        <f>IF(INDEX(Transactions!$J:$J,ROW()-8)="",TODAY(),INDEX(Transactions!$G:$G,ROW()-8))</f>
      </c>
      <c r="F1878">
        <f>IF(INDEX(Transactions!$J:$J,ROW()-8)="",0,INDEX(Transactions!$O:$O,ROW()-8))</f>
      </c>
    </row>
    <row r="1879" spans="1:7">
      <c r="B1879">
        <f>IF(INDEX(Transactions!$J:$J,ROW()-8)="",TODAY(),INDEX(Transactions!$G:$G,ROW()-8))</f>
      </c>
      <c r="F1879">
        <f>IF(INDEX(Transactions!$J:$J,ROW()-8)="",0,INDEX(Transactions!$O:$O,ROW()-8))</f>
      </c>
    </row>
    <row r="1880" spans="1:7">
      <c r="B1880">
        <f>IF(INDEX(Transactions!$J:$J,ROW()-8)="",TODAY(),INDEX(Transactions!$G:$G,ROW()-8))</f>
      </c>
      <c r="F1880">
        <f>IF(INDEX(Transactions!$J:$J,ROW()-8)="",0,INDEX(Transactions!$O:$O,ROW()-8))</f>
      </c>
    </row>
    <row r="1881" spans="1:7">
      <c r="B1881">
        <f>IF(INDEX(Transactions!$J:$J,ROW()-8)="",TODAY(),INDEX(Transactions!$G:$G,ROW()-8))</f>
      </c>
      <c r="F1881">
        <f>IF(INDEX(Transactions!$J:$J,ROW()-8)="",0,INDEX(Transactions!$O:$O,ROW()-8))</f>
      </c>
    </row>
    <row r="1882" spans="1:7">
      <c r="B1882">
        <f>IF(INDEX(Transactions!$J:$J,ROW()-8)="",TODAY(),INDEX(Transactions!$G:$G,ROW()-8))</f>
      </c>
      <c r="F1882">
        <f>IF(INDEX(Transactions!$J:$J,ROW()-8)="",0,INDEX(Transactions!$O:$O,ROW()-8))</f>
      </c>
    </row>
    <row r="1883" spans="1:7">
      <c r="B1883">
        <f>IF(INDEX(Transactions!$J:$J,ROW()-8)="",TODAY(),INDEX(Transactions!$G:$G,ROW()-8))</f>
      </c>
      <c r="F1883">
        <f>IF(INDEX(Transactions!$J:$J,ROW()-8)="",0,INDEX(Transactions!$O:$O,ROW()-8))</f>
      </c>
    </row>
    <row r="1884" spans="1:7">
      <c r="B1884">
        <f>IF(INDEX(Transactions!$J:$J,ROW()-8)="",TODAY(),INDEX(Transactions!$G:$G,ROW()-8))</f>
      </c>
      <c r="F1884">
        <f>IF(INDEX(Transactions!$J:$J,ROW()-8)="",0,INDEX(Transactions!$O:$O,ROW()-8))</f>
      </c>
    </row>
    <row r="1885" spans="1:7">
      <c r="B1885">
        <f>IF(INDEX(Transactions!$J:$J,ROW()-8)="",TODAY(),INDEX(Transactions!$G:$G,ROW()-8))</f>
      </c>
      <c r="F1885">
        <f>IF(INDEX(Transactions!$J:$J,ROW()-8)="",0,INDEX(Transactions!$O:$O,ROW()-8))</f>
      </c>
    </row>
    <row r="1886" spans="1:7">
      <c r="B1886">
        <f>IF(INDEX(Transactions!$J:$J,ROW()-8)="",TODAY(),INDEX(Transactions!$G:$G,ROW()-8))</f>
      </c>
      <c r="F1886">
        <f>IF(INDEX(Transactions!$J:$J,ROW()-8)="",0,INDEX(Transactions!$O:$O,ROW()-8))</f>
      </c>
    </row>
    <row r="1887" spans="1:7">
      <c r="B1887">
        <f>IF(INDEX(Transactions!$J:$J,ROW()-8)="",TODAY(),INDEX(Transactions!$G:$G,ROW()-8))</f>
      </c>
      <c r="F1887">
        <f>IF(INDEX(Transactions!$J:$J,ROW()-8)="",0,INDEX(Transactions!$O:$O,ROW()-8))</f>
      </c>
    </row>
    <row r="1888" spans="1:7">
      <c r="B1888">
        <f>IF(INDEX(Transactions!$J:$J,ROW()-8)="",TODAY(),INDEX(Transactions!$G:$G,ROW()-8))</f>
      </c>
      <c r="F1888">
        <f>IF(INDEX(Transactions!$J:$J,ROW()-8)="",0,INDEX(Transactions!$O:$O,ROW()-8))</f>
      </c>
    </row>
    <row r="1889" spans="1:7">
      <c r="B1889">
        <f>IF(INDEX(Transactions!$J:$J,ROW()-8)="",TODAY(),INDEX(Transactions!$G:$G,ROW()-8))</f>
      </c>
      <c r="F1889">
        <f>IF(INDEX(Transactions!$J:$J,ROW()-8)="",0,INDEX(Transactions!$O:$O,ROW()-8))</f>
      </c>
    </row>
    <row r="1890" spans="1:7">
      <c r="B1890">
        <f>IF(INDEX(Transactions!$J:$J,ROW()-8)="",TODAY(),INDEX(Transactions!$G:$G,ROW()-8))</f>
      </c>
      <c r="F1890">
        <f>IF(INDEX(Transactions!$J:$J,ROW()-8)="",0,INDEX(Transactions!$O:$O,ROW()-8))</f>
      </c>
    </row>
    <row r="1891" spans="1:7">
      <c r="B1891">
        <f>IF(INDEX(Transactions!$J:$J,ROW()-8)="",TODAY(),INDEX(Transactions!$G:$G,ROW()-8))</f>
      </c>
      <c r="F1891">
        <f>IF(INDEX(Transactions!$J:$J,ROW()-8)="",0,INDEX(Transactions!$O:$O,ROW()-8))</f>
      </c>
    </row>
    <row r="1892" spans="1:7">
      <c r="B1892">
        <f>IF(INDEX(Transactions!$J:$J,ROW()-8)="",TODAY(),INDEX(Transactions!$G:$G,ROW()-8))</f>
      </c>
      <c r="F1892">
        <f>IF(INDEX(Transactions!$J:$J,ROW()-8)="",0,INDEX(Transactions!$O:$O,ROW()-8))</f>
      </c>
    </row>
    <row r="1893" spans="1:7">
      <c r="B1893">
        <f>IF(INDEX(Transactions!$J:$J,ROW()-8)="",TODAY(),INDEX(Transactions!$G:$G,ROW()-8))</f>
      </c>
      <c r="F1893">
        <f>IF(INDEX(Transactions!$J:$J,ROW()-8)="",0,INDEX(Transactions!$O:$O,ROW()-8))</f>
      </c>
    </row>
    <row r="1894" spans="1:7">
      <c r="B1894">
        <f>IF(INDEX(Transactions!$J:$J,ROW()-8)="",TODAY(),INDEX(Transactions!$G:$G,ROW()-8))</f>
      </c>
      <c r="F1894">
        <f>IF(INDEX(Transactions!$J:$J,ROW()-8)="",0,INDEX(Transactions!$O:$O,ROW()-8))</f>
      </c>
    </row>
    <row r="1895" spans="1:7">
      <c r="B1895">
        <f>IF(INDEX(Transactions!$J:$J,ROW()-8)="",TODAY(),INDEX(Transactions!$G:$G,ROW()-8))</f>
      </c>
      <c r="F1895">
        <f>IF(INDEX(Transactions!$J:$J,ROW()-8)="",0,INDEX(Transactions!$O:$O,ROW()-8))</f>
      </c>
    </row>
    <row r="1896" spans="1:7">
      <c r="B1896">
        <f>IF(INDEX(Transactions!$J:$J,ROW()-8)="",TODAY(),INDEX(Transactions!$G:$G,ROW()-8))</f>
      </c>
      <c r="F1896">
        <f>IF(INDEX(Transactions!$J:$J,ROW()-8)="",0,INDEX(Transactions!$O:$O,ROW()-8))</f>
      </c>
    </row>
    <row r="1897" spans="1:7">
      <c r="B1897">
        <f>IF(INDEX(Transactions!$J:$J,ROW()-8)="",TODAY(),INDEX(Transactions!$G:$G,ROW()-8))</f>
      </c>
      <c r="F1897">
        <f>IF(INDEX(Transactions!$J:$J,ROW()-8)="",0,INDEX(Transactions!$O:$O,ROW()-8))</f>
      </c>
    </row>
    <row r="1898" spans="1:7">
      <c r="B1898">
        <f>IF(INDEX(Transactions!$J:$J,ROW()-8)="",TODAY(),INDEX(Transactions!$G:$G,ROW()-8))</f>
      </c>
      <c r="F1898">
        <f>IF(INDEX(Transactions!$J:$J,ROW()-8)="",0,INDEX(Transactions!$O:$O,ROW()-8))</f>
      </c>
    </row>
    <row r="1899" spans="1:7">
      <c r="B1899">
        <f>IF(INDEX(Transactions!$J:$J,ROW()-8)="",TODAY(),INDEX(Transactions!$G:$G,ROW()-8))</f>
      </c>
      <c r="F1899">
        <f>IF(INDEX(Transactions!$J:$J,ROW()-8)="",0,INDEX(Transactions!$O:$O,ROW()-8))</f>
      </c>
    </row>
    <row r="1900" spans="1:7">
      <c r="B1900">
        <f>IF(INDEX(Transactions!$J:$J,ROW()-8)="",TODAY(),INDEX(Transactions!$G:$G,ROW()-8))</f>
      </c>
      <c r="F1900">
        <f>IF(INDEX(Transactions!$J:$J,ROW()-8)="",0,INDEX(Transactions!$O:$O,ROW()-8))</f>
      </c>
    </row>
    <row r="1901" spans="1:7">
      <c r="B1901">
        <f>IF(INDEX(Transactions!$J:$J,ROW()-8)="",TODAY(),INDEX(Transactions!$G:$G,ROW()-8))</f>
      </c>
      <c r="F1901">
        <f>IF(INDEX(Transactions!$J:$J,ROW()-8)="",0,INDEX(Transactions!$O:$O,ROW()-8))</f>
      </c>
    </row>
    <row r="1902" spans="1:7">
      <c r="B1902">
        <f>IF(INDEX(Transactions!$J:$J,ROW()-8)="",TODAY(),INDEX(Transactions!$G:$G,ROW()-8))</f>
      </c>
      <c r="F1902">
        <f>IF(INDEX(Transactions!$J:$J,ROW()-8)="",0,INDEX(Transactions!$O:$O,ROW()-8))</f>
      </c>
    </row>
    <row r="1903" spans="1:7">
      <c r="B1903">
        <f>IF(INDEX(Transactions!$J:$J,ROW()-8)="",TODAY(),INDEX(Transactions!$G:$G,ROW()-8))</f>
      </c>
      <c r="F1903">
        <f>IF(INDEX(Transactions!$J:$J,ROW()-8)="",0,INDEX(Transactions!$O:$O,ROW()-8))</f>
      </c>
    </row>
    <row r="1904" spans="1:7">
      <c r="B1904">
        <f>IF(INDEX(Transactions!$J:$J,ROW()-8)="",TODAY(),INDEX(Transactions!$G:$G,ROW()-8))</f>
      </c>
      <c r="F1904">
        <f>IF(INDEX(Transactions!$J:$J,ROW()-8)="",0,INDEX(Transactions!$O:$O,ROW()-8))</f>
      </c>
    </row>
    <row r="1905" spans="1:7">
      <c r="B1905">
        <f>IF(INDEX(Transactions!$J:$J,ROW()-8)="",TODAY(),INDEX(Transactions!$G:$G,ROW()-8))</f>
      </c>
      <c r="F1905">
        <f>IF(INDEX(Transactions!$J:$J,ROW()-8)="",0,INDEX(Transactions!$O:$O,ROW()-8))</f>
      </c>
    </row>
    <row r="1906" spans="1:7">
      <c r="B1906">
        <f>IF(INDEX(Transactions!$J:$J,ROW()-8)="",TODAY(),INDEX(Transactions!$G:$G,ROW()-8))</f>
      </c>
      <c r="F1906">
        <f>IF(INDEX(Transactions!$J:$J,ROW()-8)="",0,INDEX(Transactions!$O:$O,ROW()-8))</f>
      </c>
    </row>
    <row r="1907" spans="1:7">
      <c r="B1907">
        <f>IF(INDEX(Transactions!$J:$J,ROW()-8)="",TODAY(),INDEX(Transactions!$G:$G,ROW()-8))</f>
      </c>
      <c r="F1907">
        <f>IF(INDEX(Transactions!$J:$J,ROW()-8)="",0,INDEX(Transactions!$O:$O,ROW()-8))</f>
      </c>
    </row>
    <row r="1908" spans="1:7">
      <c r="B1908">
        <f>IF(INDEX(Transactions!$J:$J,ROW()-8)="",TODAY(),INDEX(Transactions!$G:$G,ROW()-8))</f>
      </c>
      <c r="F1908">
        <f>IF(INDEX(Transactions!$J:$J,ROW()-8)="",0,INDEX(Transactions!$O:$O,ROW()-8))</f>
      </c>
    </row>
    <row r="1909" spans="1:7">
      <c r="B1909">
        <f>IF(INDEX(Transactions!$J:$J,ROW()-8)="",TODAY(),INDEX(Transactions!$G:$G,ROW()-8))</f>
      </c>
      <c r="F1909">
        <f>IF(INDEX(Transactions!$J:$J,ROW()-8)="",0,INDEX(Transactions!$O:$O,ROW()-8))</f>
      </c>
    </row>
    <row r="1910" spans="1:7">
      <c r="B1910">
        <f>IF(INDEX(Transactions!$J:$J,ROW()-8)="",TODAY(),INDEX(Transactions!$G:$G,ROW()-8))</f>
      </c>
      <c r="F1910">
        <f>IF(INDEX(Transactions!$J:$J,ROW()-8)="",0,INDEX(Transactions!$O:$O,ROW()-8))</f>
      </c>
    </row>
    <row r="1911" spans="1:7">
      <c r="B1911">
        <f>IF(INDEX(Transactions!$J:$J,ROW()-8)="",TODAY(),INDEX(Transactions!$G:$G,ROW()-8))</f>
      </c>
      <c r="F1911">
        <f>IF(INDEX(Transactions!$J:$J,ROW()-8)="",0,INDEX(Transactions!$O:$O,ROW()-8))</f>
      </c>
    </row>
    <row r="1912" spans="1:7">
      <c r="B1912">
        <f>IF(INDEX(Transactions!$J:$J,ROW()-8)="",TODAY(),INDEX(Transactions!$G:$G,ROW()-8))</f>
      </c>
      <c r="F1912">
        <f>IF(INDEX(Transactions!$J:$J,ROW()-8)="",0,INDEX(Transactions!$O:$O,ROW()-8))</f>
      </c>
    </row>
    <row r="1913" spans="1:7">
      <c r="B1913">
        <f>IF(INDEX(Transactions!$J:$J,ROW()-8)="",TODAY(),INDEX(Transactions!$G:$G,ROW()-8))</f>
      </c>
      <c r="F1913">
        <f>IF(INDEX(Transactions!$J:$J,ROW()-8)="",0,INDEX(Transactions!$O:$O,ROW()-8))</f>
      </c>
    </row>
    <row r="1914" spans="1:7">
      <c r="B1914">
        <f>IF(INDEX(Transactions!$J:$J,ROW()-8)="",TODAY(),INDEX(Transactions!$G:$G,ROW()-8))</f>
      </c>
      <c r="F1914">
        <f>IF(INDEX(Transactions!$J:$J,ROW()-8)="",0,INDEX(Transactions!$O:$O,ROW()-8))</f>
      </c>
    </row>
    <row r="1915" spans="1:7">
      <c r="B1915">
        <f>IF(INDEX(Transactions!$J:$J,ROW()-8)="",TODAY(),INDEX(Transactions!$G:$G,ROW()-8))</f>
      </c>
      <c r="F1915">
        <f>IF(INDEX(Transactions!$J:$J,ROW()-8)="",0,INDEX(Transactions!$O:$O,ROW()-8))</f>
      </c>
    </row>
    <row r="1916" spans="1:7">
      <c r="B1916">
        <f>IF(INDEX(Transactions!$J:$J,ROW()-8)="",TODAY(),INDEX(Transactions!$G:$G,ROW()-8))</f>
      </c>
      <c r="F1916">
        <f>IF(INDEX(Transactions!$J:$J,ROW()-8)="",0,INDEX(Transactions!$O:$O,ROW()-8))</f>
      </c>
    </row>
    <row r="1917" spans="1:7">
      <c r="B1917">
        <f>IF(INDEX(Transactions!$J:$J,ROW()-8)="",TODAY(),INDEX(Transactions!$G:$G,ROW()-8))</f>
      </c>
      <c r="F1917">
        <f>IF(INDEX(Transactions!$J:$J,ROW()-8)="",0,INDEX(Transactions!$O:$O,ROW()-8))</f>
      </c>
    </row>
    <row r="1918" spans="1:7">
      <c r="B1918">
        <f>IF(INDEX(Transactions!$J:$J,ROW()-8)="",TODAY(),INDEX(Transactions!$G:$G,ROW()-8))</f>
      </c>
      <c r="F1918">
        <f>IF(INDEX(Transactions!$J:$J,ROW()-8)="",0,INDEX(Transactions!$O:$O,ROW()-8))</f>
      </c>
    </row>
    <row r="1919" spans="1:7">
      <c r="B1919">
        <f>IF(INDEX(Transactions!$J:$J,ROW()-8)="",TODAY(),INDEX(Transactions!$G:$G,ROW()-8))</f>
      </c>
      <c r="F1919">
        <f>IF(INDEX(Transactions!$J:$J,ROW()-8)="",0,INDEX(Transactions!$O:$O,ROW()-8))</f>
      </c>
    </row>
    <row r="1920" spans="1:7">
      <c r="B1920">
        <f>IF(INDEX(Transactions!$J:$J,ROW()-8)="",TODAY(),INDEX(Transactions!$G:$G,ROW()-8))</f>
      </c>
      <c r="F1920">
        <f>IF(INDEX(Transactions!$J:$J,ROW()-8)="",0,INDEX(Transactions!$O:$O,ROW()-8))</f>
      </c>
    </row>
    <row r="1921" spans="1:7">
      <c r="B1921">
        <f>IF(INDEX(Transactions!$J:$J,ROW()-8)="",TODAY(),INDEX(Transactions!$G:$G,ROW()-8))</f>
      </c>
      <c r="F1921">
        <f>IF(INDEX(Transactions!$J:$J,ROW()-8)="",0,INDEX(Transactions!$O:$O,ROW()-8))</f>
      </c>
    </row>
    <row r="1922" spans="1:7">
      <c r="B1922">
        <f>IF(INDEX(Transactions!$J:$J,ROW()-8)="",TODAY(),INDEX(Transactions!$G:$G,ROW()-8))</f>
      </c>
      <c r="F1922">
        <f>IF(INDEX(Transactions!$J:$J,ROW()-8)="",0,INDEX(Transactions!$O:$O,ROW()-8))</f>
      </c>
    </row>
    <row r="1923" spans="1:7">
      <c r="B1923">
        <f>IF(INDEX(Transactions!$J:$J,ROW()-8)="",TODAY(),INDEX(Transactions!$G:$G,ROW()-8))</f>
      </c>
      <c r="F1923">
        <f>IF(INDEX(Transactions!$J:$J,ROW()-8)="",0,INDEX(Transactions!$O:$O,ROW()-8))</f>
      </c>
    </row>
    <row r="1924" spans="1:7">
      <c r="B1924">
        <f>IF(INDEX(Transactions!$J:$J,ROW()-8)="",TODAY(),INDEX(Transactions!$G:$G,ROW()-8))</f>
      </c>
      <c r="F1924">
        <f>IF(INDEX(Transactions!$J:$J,ROW()-8)="",0,INDEX(Transactions!$O:$O,ROW()-8))</f>
      </c>
    </row>
    <row r="1925" spans="1:7">
      <c r="B1925">
        <f>IF(INDEX(Transactions!$J:$J,ROW()-8)="",TODAY(),INDEX(Transactions!$G:$G,ROW()-8))</f>
      </c>
      <c r="F1925">
        <f>IF(INDEX(Transactions!$J:$J,ROW()-8)="",0,INDEX(Transactions!$O:$O,ROW()-8))</f>
      </c>
    </row>
    <row r="1926" spans="1:7">
      <c r="B1926">
        <f>IF(INDEX(Transactions!$J:$J,ROW()-8)="",TODAY(),INDEX(Transactions!$G:$G,ROW()-8))</f>
      </c>
      <c r="F1926">
        <f>IF(INDEX(Transactions!$J:$J,ROW()-8)="",0,INDEX(Transactions!$O:$O,ROW()-8))</f>
      </c>
    </row>
    <row r="1927" spans="1:7">
      <c r="B1927">
        <f>IF(INDEX(Transactions!$J:$J,ROW()-8)="",TODAY(),INDEX(Transactions!$G:$G,ROW()-8))</f>
      </c>
      <c r="F1927">
        <f>IF(INDEX(Transactions!$J:$J,ROW()-8)="",0,INDEX(Transactions!$O:$O,ROW()-8))</f>
      </c>
    </row>
    <row r="1928" spans="1:7">
      <c r="B1928">
        <f>IF(INDEX(Transactions!$J:$J,ROW()-8)="",TODAY(),INDEX(Transactions!$G:$G,ROW()-8))</f>
      </c>
      <c r="F1928">
        <f>IF(INDEX(Transactions!$J:$J,ROW()-8)="",0,INDEX(Transactions!$O:$O,ROW()-8))</f>
      </c>
    </row>
    <row r="1929" spans="1:7">
      <c r="B1929">
        <f>IF(INDEX(Transactions!$J:$J,ROW()-8)="",TODAY(),INDEX(Transactions!$G:$G,ROW()-8))</f>
      </c>
      <c r="F1929">
        <f>IF(INDEX(Transactions!$J:$J,ROW()-8)="",0,INDEX(Transactions!$O:$O,ROW()-8))</f>
      </c>
    </row>
    <row r="1930" spans="1:7">
      <c r="B1930">
        <f>IF(INDEX(Transactions!$J:$J,ROW()-8)="",TODAY(),INDEX(Transactions!$G:$G,ROW()-8))</f>
      </c>
      <c r="F1930">
        <f>IF(INDEX(Transactions!$J:$J,ROW()-8)="",0,INDEX(Transactions!$O:$O,ROW()-8))</f>
      </c>
    </row>
    <row r="1931" spans="1:7">
      <c r="B1931">
        <f>IF(INDEX(Transactions!$J:$J,ROW()-8)="",TODAY(),INDEX(Transactions!$G:$G,ROW()-8))</f>
      </c>
      <c r="F1931">
        <f>IF(INDEX(Transactions!$J:$J,ROW()-8)="",0,INDEX(Transactions!$O:$O,ROW()-8))</f>
      </c>
    </row>
    <row r="1932" spans="1:7">
      <c r="B1932">
        <f>IF(INDEX(Transactions!$J:$J,ROW()-8)="",TODAY(),INDEX(Transactions!$G:$G,ROW()-8))</f>
      </c>
      <c r="F1932">
        <f>IF(INDEX(Transactions!$J:$J,ROW()-8)="",0,INDEX(Transactions!$O:$O,ROW()-8))</f>
      </c>
    </row>
    <row r="1933" spans="1:7">
      <c r="B1933">
        <f>IF(INDEX(Transactions!$J:$J,ROW()-8)="",TODAY(),INDEX(Transactions!$G:$G,ROW()-8))</f>
      </c>
      <c r="F1933">
        <f>IF(INDEX(Transactions!$J:$J,ROW()-8)="",0,INDEX(Transactions!$O:$O,ROW()-8))</f>
      </c>
    </row>
    <row r="1934" spans="1:7">
      <c r="B1934">
        <f>IF(INDEX(Transactions!$J:$J,ROW()-8)="",TODAY(),INDEX(Transactions!$G:$G,ROW()-8))</f>
      </c>
      <c r="F1934">
        <f>IF(INDEX(Transactions!$J:$J,ROW()-8)="",0,INDEX(Transactions!$O:$O,ROW()-8))</f>
      </c>
    </row>
    <row r="1935" spans="1:7">
      <c r="B1935">
        <f>IF(INDEX(Transactions!$J:$J,ROW()-8)="",TODAY(),INDEX(Transactions!$G:$G,ROW()-8))</f>
      </c>
      <c r="F1935">
        <f>IF(INDEX(Transactions!$J:$J,ROW()-8)="",0,INDEX(Transactions!$O:$O,ROW()-8))</f>
      </c>
    </row>
    <row r="1936" spans="1:7">
      <c r="B1936">
        <f>IF(INDEX(Transactions!$J:$J,ROW()-8)="",TODAY(),INDEX(Transactions!$G:$G,ROW()-8))</f>
      </c>
      <c r="F1936">
        <f>IF(INDEX(Transactions!$J:$J,ROW()-8)="",0,INDEX(Transactions!$O:$O,ROW()-8))</f>
      </c>
    </row>
    <row r="1937" spans="1:7">
      <c r="B1937">
        <f>IF(INDEX(Transactions!$J:$J,ROW()-8)="",TODAY(),INDEX(Transactions!$G:$G,ROW()-8))</f>
      </c>
      <c r="F1937">
        <f>IF(INDEX(Transactions!$J:$J,ROW()-8)="",0,INDEX(Transactions!$O:$O,ROW()-8))</f>
      </c>
    </row>
    <row r="1938" spans="1:7">
      <c r="B1938">
        <f>IF(INDEX(Transactions!$J:$J,ROW()-8)="",TODAY(),INDEX(Transactions!$G:$G,ROW()-8))</f>
      </c>
      <c r="F1938">
        <f>IF(INDEX(Transactions!$J:$J,ROW()-8)="",0,INDEX(Transactions!$O:$O,ROW()-8))</f>
      </c>
    </row>
    <row r="1939" spans="1:7">
      <c r="B1939">
        <f>IF(INDEX(Transactions!$J:$J,ROW()-8)="",TODAY(),INDEX(Transactions!$G:$G,ROW()-8))</f>
      </c>
      <c r="F1939">
        <f>IF(INDEX(Transactions!$J:$J,ROW()-8)="",0,INDEX(Transactions!$O:$O,ROW()-8))</f>
      </c>
    </row>
    <row r="1940" spans="1:7">
      <c r="B1940">
        <f>IF(INDEX(Transactions!$J:$J,ROW()-8)="",TODAY(),INDEX(Transactions!$G:$G,ROW()-8))</f>
      </c>
      <c r="F1940">
        <f>IF(INDEX(Transactions!$J:$J,ROW()-8)="",0,INDEX(Transactions!$O:$O,ROW()-8))</f>
      </c>
    </row>
    <row r="1941" spans="1:7">
      <c r="B1941">
        <f>IF(INDEX(Transactions!$J:$J,ROW()-8)="",TODAY(),INDEX(Transactions!$G:$G,ROW()-8))</f>
      </c>
      <c r="F1941">
        <f>IF(INDEX(Transactions!$J:$J,ROW()-8)="",0,INDEX(Transactions!$O:$O,ROW()-8))</f>
      </c>
    </row>
    <row r="1942" spans="1:7">
      <c r="B1942">
        <f>IF(INDEX(Transactions!$J:$J,ROW()-8)="",TODAY(),INDEX(Transactions!$G:$G,ROW()-8))</f>
      </c>
      <c r="F1942">
        <f>IF(INDEX(Transactions!$J:$J,ROW()-8)="",0,INDEX(Transactions!$O:$O,ROW()-8))</f>
      </c>
    </row>
    <row r="1943" spans="1:7">
      <c r="B1943">
        <f>IF(INDEX(Transactions!$J:$J,ROW()-8)="",TODAY(),INDEX(Transactions!$G:$G,ROW()-8))</f>
      </c>
      <c r="F1943">
        <f>IF(INDEX(Transactions!$J:$J,ROW()-8)="",0,INDEX(Transactions!$O:$O,ROW()-8))</f>
      </c>
    </row>
    <row r="1944" spans="1:7">
      <c r="B1944">
        <f>IF(INDEX(Transactions!$J:$J,ROW()-8)="",TODAY(),INDEX(Transactions!$G:$G,ROW()-8))</f>
      </c>
      <c r="F1944">
        <f>IF(INDEX(Transactions!$J:$J,ROW()-8)="",0,INDEX(Transactions!$O:$O,ROW()-8))</f>
      </c>
    </row>
    <row r="1945" spans="1:7">
      <c r="B1945">
        <f>IF(INDEX(Transactions!$J:$J,ROW()-8)="",TODAY(),INDEX(Transactions!$G:$G,ROW()-8))</f>
      </c>
      <c r="F1945">
        <f>IF(INDEX(Transactions!$J:$J,ROW()-8)="",0,INDEX(Transactions!$O:$O,ROW()-8))</f>
      </c>
    </row>
    <row r="1946" spans="1:7">
      <c r="B1946">
        <f>IF(INDEX(Transactions!$J:$J,ROW()-8)="",TODAY(),INDEX(Transactions!$G:$G,ROW()-8))</f>
      </c>
      <c r="F1946">
        <f>IF(INDEX(Transactions!$J:$J,ROW()-8)="",0,INDEX(Transactions!$O:$O,ROW()-8))</f>
      </c>
    </row>
    <row r="1947" spans="1:7">
      <c r="B1947">
        <f>IF(INDEX(Transactions!$J:$J,ROW()-8)="",TODAY(),INDEX(Transactions!$G:$G,ROW()-8))</f>
      </c>
      <c r="F1947">
        <f>IF(INDEX(Transactions!$J:$J,ROW()-8)="",0,INDEX(Transactions!$O:$O,ROW()-8))</f>
      </c>
    </row>
    <row r="1948" spans="1:7">
      <c r="B1948">
        <f>IF(INDEX(Transactions!$J:$J,ROW()-8)="",TODAY(),INDEX(Transactions!$G:$G,ROW()-8))</f>
      </c>
      <c r="F1948">
        <f>IF(INDEX(Transactions!$J:$J,ROW()-8)="",0,INDEX(Transactions!$O:$O,ROW()-8))</f>
      </c>
    </row>
    <row r="1949" spans="1:7">
      <c r="B1949">
        <f>IF(INDEX(Transactions!$J:$J,ROW()-8)="",TODAY(),INDEX(Transactions!$G:$G,ROW()-8))</f>
      </c>
      <c r="F1949">
        <f>IF(INDEX(Transactions!$J:$J,ROW()-8)="",0,INDEX(Transactions!$O:$O,ROW()-8))</f>
      </c>
    </row>
    <row r="1950" spans="1:7">
      <c r="B1950">
        <f>IF(INDEX(Transactions!$J:$J,ROW()-8)="",TODAY(),INDEX(Transactions!$G:$G,ROW()-8))</f>
      </c>
      <c r="F1950">
        <f>IF(INDEX(Transactions!$J:$J,ROW()-8)="",0,INDEX(Transactions!$O:$O,ROW()-8))</f>
      </c>
    </row>
    <row r="1951" spans="1:7">
      <c r="B1951">
        <f>IF(INDEX(Transactions!$J:$J,ROW()-8)="",TODAY(),INDEX(Transactions!$G:$G,ROW()-8))</f>
      </c>
      <c r="F1951">
        <f>IF(INDEX(Transactions!$J:$J,ROW()-8)="",0,INDEX(Transactions!$O:$O,ROW()-8))</f>
      </c>
    </row>
    <row r="1952" spans="1:7">
      <c r="B1952">
        <f>IF(INDEX(Transactions!$J:$J,ROW()-8)="",TODAY(),INDEX(Transactions!$G:$G,ROW()-8))</f>
      </c>
      <c r="F1952">
        <f>IF(INDEX(Transactions!$J:$J,ROW()-8)="",0,INDEX(Transactions!$O:$O,ROW()-8))</f>
      </c>
    </row>
    <row r="1953" spans="1:7">
      <c r="B1953">
        <f>IF(INDEX(Transactions!$J:$J,ROW()-8)="",TODAY(),INDEX(Transactions!$G:$G,ROW()-8))</f>
      </c>
      <c r="F1953">
        <f>IF(INDEX(Transactions!$J:$J,ROW()-8)="",0,INDEX(Transactions!$O:$O,ROW()-8))</f>
      </c>
    </row>
    <row r="1954" spans="1:7">
      <c r="B1954">
        <f>IF(INDEX(Transactions!$J:$J,ROW()-8)="",TODAY(),INDEX(Transactions!$G:$G,ROW()-8))</f>
      </c>
      <c r="F1954">
        <f>IF(INDEX(Transactions!$J:$J,ROW()-8)="",0,INDEX(Transactions!$O:$O,ROW()-8))</f>
      </c>
    </row>
    <row r="1955" spans="1:7">
      <c r="B1955">
        <f>IF(INDEX(Transactions!$J:$J,ROW()-8)="",TODAY(),INDEX(Transactions!$G:$G,ROW()-8))</f>
      </c>
      <c r="F1955">
        <f>IF(INDEX(Transactions!$J:$J,ROW()-8)="",0,INDEX(Transactions!$O:$O,ROW()-8))</f>
      </c>
    </row>
    <row r="1956" spans="1:7">
      <c r="B1956">
        <f>IF(INDEX(Transactions!$J:$J,ROW()-8)="",TODAY(),INDEX(Transactions!$G:$G,ROW()-8))</f>
      </c>
      <c r="F1956">
        <f>IF(INDEX(Transactions!$J:$J,ROW()-8)="",0,INDEX(Transactions!$O:$O,ROW()-8))</f>
      </c>
    </row>
    <row r="1957" spans="1:7">
      <c r="B1957">
        <f>IF(INDEX(Transactions!$J:$J,ROW()-8)="",TODAY(),INDEX(Transactions!$G:$G,ROW()-8))</f>
      </c>
      <c r="F1957">
        <f>IF(INDEX(Transactions!$J:$J,ROW()-8)="",0,INDEX(Transactions!$O:$O,ROW()-8))</f>
      </c>
    </row>
    <row r="1958" spans="1:7">
      <c r="B1958">
        <f>IF(INDEX(Transactions!$J:$J,ROW()-8)="",TODAY(),INDEX(Transactions!$G:$G,ROW()-8))</f>
      </c>
      <c r="F1958">
        <f>IF(INDEX(Transactions!$J:$J,ROW()-8)="",0,INDEX(Transactions!$O:$O,ROW()-8))</f>
      </c>
    </row>
    <row r="1959" spans="1:7">
      <c r="B1959">
        <f>IF(INDEX(Transactions!$J:$J,ROW()-8)="",TODAY(),INDEX(Transactions!$G:$G,ROW()-8))</f>
      </c>
      <c r="F1959">
        <f>IF(INDEX(Transactions!$J:$J,ROW()-8)="",0,INDEX(Transactions!$O:$O,ROW()-8))</f>
      </c>
    </row>
    <row r="1960" spans="1:7">
      <c r="B1960">
        <f>IF(INDEX(Transactions!$J:$J,ROW()-8)="",TODAY(),INDEX(Transactions!$G:$G,ROW()-8))</f>
      </c>
      <c r="F1960">
        <f>IF(INDEX(Transactions!$J:$J,ROW()-8)="",0,INDEX(Transactions!$O:$O,ROW()-8))</f>
      </c>
    </row>
    <row r="1961" spans="1:7">
      <c r="B1961">
        <f>IF(INDEX(Transactions!$J:$J,ROW()-8)="",TODAY(),INDEX(Transactions!$G:$G,ROW()-8))</f>
      </c>
      <c r="F1961">
        <f>IF(INDEX(Transactions!$J:$J,ROW()-8)="",0,INDEX(Transactions!$O:$O,ROW()-8))</f>
      </c>
    </row>
    <row r="1962" spans="1:7">
      <c r="B1962">
        <f>IF(INDEX(Transactions!$J:$J,ROW()-8)="",TODAY(),INDEX(Transactions!$G:$G,ROW()-8))</f>
      </c>
      <c r="F1962">
        <f>IF(INDEX(Transactions!$J:$J,ROW()-8)="",0,INDEX(Transactions!$O:$O,ROW()-8))</f>
      </c>
    </row>
    <row r="1963" spans="1:7">
      <c r="B1963">
        <f>IF(INDEX(Transactions!$J:$J,ROW()-8)="",TODAY(),INDEX(Transactions!$G:$G,ROW()-8))</f>
      </c>
      <c r="F1963">
        <f>IF(INDEX(Transactions!$J:$J,ROW()-8)="",0,INDEX(Transactions!$O:$O,ROW()-8))</f>
      </c>
    </row>
    <row r="1964" spans="1:7">
      <c r="B1964">
        <f>IF(INDEX(Transactions!$J:$J,ROW()-8)="",TODAY(),INDEX(Transactions!$G:$G,ROW()-8))</f>
      </c>
      <c r="F1964">
        <f>IF(INDEX(Transactions!$J:$J,ROW()-8)="",0,INDEX(Transactions!$O:$O,ROW()-8))</f>
      </c>
    </row>
    <row r="1965" spans="1:7">
      <c r="B1965">
        <f>IF(INDEX(Transactions!$J:$J,ROW()-8)="",TODAY(),INDEX(Transactions!$G:$G,ROW()-8))</f>
      </c>
      <c r="F1965">
        <f>IF(INDEX(Transactions!$J:$J,ROW()-8)="",0,INDEX(Transactions!$O:$O,ROW()-8))</f>
      </c>
    </row>
    <row r="1966" spans="1:7">
      <c r="B1966">
        <f>IF(INDEX(Transactions!$J:$J,ROW()-8)="",TODAY(),INDEX(Transactions!$G:$G,ROW()-8))</f>
      </c>
      <c r="F1966">
        <f>IF(INDEX(Transactions!$J:$J,ROW()-8)="",0,INDEX(Transactions!$O:$O,ROW()-8))</f>
      </c>
    </row>
    <row r="1967" spans="1:7">
      <c r="B1967">
        <f>IF(INDEX(Transactions!$J:$J,ROW()-8)="",TODAY(),INDEX(Transactions!$G:$G,ROW()-8))</f>
      </c>
      <c r="F1967">
        <f>IF(INDEX(Transactions!$J:$J,ROW()-8)="",0,INDEX(Transactions!$O:$O,ROW()-8))</f>
      </c>
    </row>
    <row r="1968" spans="1:7">
      <c r="B1968">
        <f>IF(INDEX(Transactions!$J:$J,ROW()-8)="",TODAY(),INDEX(Transactions!$G:$G,ROW()-8))</f>
      </c>
      <c r="F1968">
        <f>IF(INDEX(Transactions!$J:$J,ROW()-8)="",0,INDEX(Transactions!$O:$O,ROW()-8))</f>
      </c>
    </row>
    <row r="1969" spans="1:7">
      <c r="B1969">
        <f>IF(INDEX(Transactions!$J:$J,ROW()-8)="",TODAY(),INDEX(Transactions!$G:$G,ROW()-8))</f>
      </c>
      <c r="F1969">
        <f>IF(INDEX(Transactions!$J:$J,ROW()-8)="",0,INDEX(Transactions!$O:$O,ROW()-8))</f>
      </c>
    </row>
    <row r="1970" spans="1:7">
      <c r="B1970">
        <f>IF(INDEX(Transactions!$J:$J,ROW()-8)="",TODAY(),INDEX(Transactions!$G:$G,ROW()-8))</f>
      </c>
      <c r="F1970">
        <f>IF(INDEX(Transactions!$J:$J,ROW()-8)="",0,INDEX(Transactions!$O:$O,ROW()-8))</f>
      </c>
    </row>
    <row r="1971" spans="1:7">
      <c r="B1971">
        <f>IF(INDEX(Transactions!$J:$J,ROW()-8)="",TODAY(),INDEX(Transactions!$G:$G,ROW()-8))</f>
      </c>
      <c r="F1971">
        <f>IF(INDEX(Transactions!$J:$J,ROW()-8)="",0,INDEX(Transactions!$O:$O,ROW()-8))</f>
      </c>
    </row>
    <row r="1972" spans="1:7">
      <c r="B1972">
        <f>IF(INDEX(Transactions!$J:$J,ROW()-8)="",TODAY(),INDEX(Transactions!$G:$G,ROW()-8))</f>
      </c>
      <c r="F1972">
        <f>IF(INDEX(Transactions!$J:$J,ROW()-8)="",0,INDEX(Transactions!$O:$O,ROW()-8))</f>
      </c>
    </row>
    <row r="1973" spans="1:7">
      <c r="B1973">
        <f>IF(INDEX(Transactions!$J:$J,ROW()-8)="",TODAY(),INDEX(Transactions!$G:$G,ROW()-8))</f>
      </c>
      <c r="F1973">
        <f>IF(INDEX(Transactions!$J:$J,ROW()-8)="",0,INDEX(Transactions!$O:$O,ROW()-8))</f>
      </c>
    </row>
    <row r="1974" spans="1:7">
      <c r="B1974">
        <f>IF(INDEX(Transactions!$J:$J,ROW()-8)="",TODAY(),INDEX(Transactions!$G:$G,ROW()-8))</f>
      </c>
      <c r="F1974">
        <f>IF(INDEX(Transactions!$J:$J,ROW()-8)="",0,INDEX(Transactions!$O:$O,ROW()-8))</f>
      </c>
    </row>
    <row r="1975" spans="1:7">
      <c r="B1975">
        <f>IF(INDEX(Transactions!$J:$J,ROW()-8)="",TODAY(),INDEX(Transactions!$G:$G,ROW()-8))</f>
      </c>
      <c r="F1975">
        <f>IF(INDEX(Transactions!$J:$J,ROW()-8)="",0,INDEX(Transactions!$O:$O,ROW()-8))</f>
      </c>
    </row>
    <row r="1976" spans="1:7">
      <c r="B1976">
        <f>IF(INDEX(Transactions!$J:$J,ROW()-8)="",TODAY(),INDEX(Transactions!$G:$G,ROW()-8))</f>
      </c>
      <c r="F1976">
        <f>IF(INDEX(Transactions!$J:$J,ROW()-8)="",0,INDEX(Transactions!$O:$O,ROW()-8))</f>
      </c>
    </row>
    <row r="1977" spans="1:7">
      <c r="B1977">
        <f>IF(INDEX(Transactions!$J:$J,ROW()-8)="",TODAY(),INDEX(Transactions!$G:$G,ROW()-8))</f>
      </c>
      <c r="F1977">
        <f>IF(INDEX(Transactions!$J:$J,ROW()-8)="",0,INDEX(Transactions!$O:$O,ROW()-8))</f>
      </c>
    </row>
    <row r="1978" spans="1:7">
      <c r="B1978">
        <f>IF(INDEX(Transactions!$J:$J,ROW()-8)="",TODAY(),INDEX(Transactions!$G:$G,ROW()-8))</f>
      </c>
      <c r="F1978">
        <f>IF(INDEX(Transactions!$J:$J,ROW()-8)="",0,INDEX(Transactions!$O:$O,ROW()-8))</f>
      </c>
    </row>
    <row r="1979" spans="1:7">
      <c r="B1979">
        <f>IF(INDEX(Transactions!$J:$J,ROW()-8)="",TODAY(),INDEX(Transactions!$G:$G,ROW()-8))</f>
      </c>
      <c r="F1979">
        <f>IF(INDEX(Transactions!$J:$J,ROW()-8)="",0,INDEX(Transactions!$O:$O,ROW()-8))</f>
      </c>
    </row>
    <row r="1980" spans="1:7">
      <c r="B1980">
        <f>IF(INDEX(Transactions!$J:$J,ROW()-8)="",TODAY(),INDEX(Transactions!$G:$G,ROW()-8))</f>
      </c>
      <c r="F1980">
        <f>IF(INDEX(Transactions!$J:$J,ROW()-8)="",0,INDEX(Transactions!$O:$O,ROW()-8))</f>
      </c>
    </row>
    <row r="1981" spans="1:7">
      <c r="B1981">
        <f>IF(INDEX(Transactions!$J:$J,ROW()-8)="",TODAY(),INDEX(Transactions!$G:$G,ROW()-8))</f>
      </c>
      <c r="F1981">
        <f>IF(INDEX(Transactions!$J:$J,ROW()-8)="",0,INDEX(Transactions!$O:$O,ROW()-8))</f>
      </c>
    </row>
    <row r="1982" spans="1:7">
      <c r="B1982">
        <f>IF(INDEX(Transactions!$J:$J,ROW()-8)="",TODAY(),INDEX(Transactions!$G:$G,ROW()-8))</f>
      </c>
      <c r="F1982">
        <f>IF(INDEX(Transactions!$J:$J,ROW()-8)="",0,INDEX(Transactions!$O:$O,ROW()-8))</f>
      </c>
    </row>
    <row r="1983" spans="1:7">
      <c r="B1983">
        <f>IF(INDEX(Transactions!$J:$J,ROW()-8)="",TODAY(),INDEX(Transactions!$G:$G,ROW()-8))</f>
      </c>
      <c r="F1983">
        <f>IF(INDEX(Transactions!$J:$J,ROW()-8)="",0,INDEX(Transactions!$O:$O,ROW()-8))</f>
      </c>
    </row>
    <row r="1984" spans="1:7">
      <c r="B1984">
        <f>IF(INDEX(Transactions!$J:$J,ROW()-8)="",TODAY(),INDEX(Transactions!$G:$G,ROW()-8))</f>
      </c>
      <c r="F1984">
        <f>IF(INDEX(Transactions!$J:$J,ROW()-8)="",0,INDEX(Transactions!$O:$O,ROW()-8))</f>
      </c>
    </row>
    <row r="1985" spans="1:7">
      <c r="B1985">
        <f>IF(INDEX(Transactions!$J:$J,ROW()-8)="",TODAY(),INDEX(Transactions!$G:$G,ROW()-8))</f>
      </c>
      <c r="F1985">
        <f>IF(INDEX(Transactions!$J:$J,ROW()-8)="",0,INDEX(Transactions!$O:$O,ROW()-8))</f>
      </c>
    </row>
    <row r="1986" spans="1:7">
      <c r="B1986">
        <f>IF(INDEX(Transactions!$J:$J,ROW()-8)="",TODAY(),INDEX(Transactions!$G:$G,ROW()-8))</f>
      </c>
      <c r="F1986">
        <f>IF(INDEX(Transactions!$J:$J,ROW()-8)="",0,INDEX(Transactions!$O:$O,ROW()-8))</f>
      </c>
    </row>
    <row r="1987" spans="1:7">
      <c r="B1987">
        <f>IF(INDEX(Transactions!$J:$J,ROW()-8)="",TODAY(),INDEX(Transactions!$G:$G,ROW()-8))</f>
      </c>
      <c r="F1987">
        <f>IF(INDEX(Transactions!$J:$J,ROW()-8)="",0,INDEX(Transactions!$O:$O,ROW()-8))</f>
      </c>
    </row>
    <row r="1988" spans="1:7">
      <c r="B1988">
        <f>IF(INDEX(Transactions!$J:$J,ROW()-8)="",TODAY(),INDEX(Transactions!$G:$G,ROW()-8))</f>
      </c>
      <c r="F1988">
        <f>IF(INDEX(Transactions!$J:$J,ROW()-8)="",0,INDEX(Transactions!$O:$O,ROW()-8))</f>
      </c>
    </row>
    <row r="1989" spans="1:7">
      <c r="B1989">
        <f>IF(INDEX(Transactions!$J:$J,ROW()-8)="",TODAY(),INDEX(Transactions!$G:$G,ROW()-8))</f>
      </c>
      <c r="F1989">
        <f>IF(INDEX(Transactions!$J:$J,ROW()-8)="",0,INDEX(Transactions!$O:$O,ROW()-8))</f>
      </c>
    </row>
    <row r="1990" spans="1:7">
      <c r="B1990">
        <f>IF(INDEX(Transactions!$J:$J,ROW()-8)="",TODAY(),INDEX(Transactions!$G:$G,ROW()-8))</f>
      </c>
      <c r="F1990">
        <f>IF(INDEX(Transactions!$J:$J,ROW()-8)="",0,INDEX(Transactions!$O:$O,ROW()-8))</f>
      </c>
    </row>
    <row r="1991" spans="1:7">
      <c r="B1991">
        <f>IF(INDEX(Transactions!$J:$J,ROW()-8)="",TODAY(),INDEX(Transactions!$G:$G,ROW()-8))</f>
      </c>
      <c r="F1991">
        <f>IF(INDEX(Transactions!$J:$J,ROW()-8)="",0,INDEX(Transactions!$O:$O,ROW()-8))</f>
      </c>
    </row>
    <row r="1992" spans="1:7">
      <c r="B1992">
        <f>IF(INDEX(Transactions!$J:$J,ROW()-8)="",TODAY(),INDEX(Transactions!$G:$G,ROW()-8))</f>
      </c>
      <c r="F1992">
        <f>IF(INDEX(Transactions!$J:$J,ROW()-8)="",0,INDEX(Transactions!$O:$O,ROW()-8))</f>
      </c>
    </row>
    <row r="1993" spans="1:7">
      <c r="B1993">
        <f>IF(INDEX(Transactions!$J:$J,ROW()-8)="",TODAY(),INDEX(Transactions!$G:$G,ROW()-8))</f>
      </c>
      <c r="F1993">
        <f>IF(INDEX(Transactions!$J:$J,ROW()-8)="",0,INDEX(Transactions!$O:$O,ROW()-8))</f>
      </c>
    </row>
    <row r="1994" spans="1:7">
      <c r="B1994">
        <f>IF(INDEX(Transactions!$J:$J,ROW()-8)="",TODAY(),INDEX(Transactions!$G:$G,ROW()-8))</f>
      </c>
      <c r="F1994">
        <f>IF(INDEX(Transactions!$J:$J,ROW()-8)="",0,INDEX(Transactions!$O:$O,ROW()-8))</f>
      </c>
    </row>
    <row r="1995" spans="1:7">
      <c r="B1995">
        <f>IF(INDEX(Transactions!$J:$J,ROW()-8)="",TODAY(),INDEX(Transactions!$G:$G,ROW()-8))</f>
      </c>
      <c r="F1995">
        <f>IF(INDEX(Transactions!$J:$J,ROW()-8)="",0,INDEX(Transactions!$O:$O,ROW()-8))</f>
      </c>
    </row>
    <row r="1996" spans="1:7">
      <c r="B1996">
        <f>IF(INDEX(Transactions!$J:$J,ROW()-8)="",TODAY(),INDEX(Transactions!$G:$G,ROW()-8))</f>
      </c>
      <c r="F1996">
        <f>IF(INDEX(Transactions!$J:$J,ROW()-8)="",0,INDEX(Transactions!$O:$O,ROW()-8))</f>
      </c>
    </row>
    <row r="1997" spans="1:7">
      <c r="B1997">
        <f>IF(INDEX(Transactions!$J:$J,ROW()-8)="",TODAY(),INDEX(Transactions!$G:$G,ROW()-8))</f>
      </c>
      <c r="F1997">
        <f>IF(INDEX(Transactions!$J:$J,ROW()-8)="",0,INDEX(Transactions!$O:$O,ROW()-8))</f>
      </c>
    </row>
    <row r="1998" spans="1:7">
      <c r="B1998">
        <f>IF(INDEX(Transactions!$J:$J,ROW()-8)="",TODAY(),INDEX(Transactions!$G:$G,ROW()-8))</f>
      </c>
      <c r="F1998">
        <f>IF(INDEX(Transactions!$J:$J,ROW()-8)="",0,INDEX(Transactions!$O:$O,ROW()-8))</f>
      </c>
    </row>
    <row r="1999" spans="1:7">
      <c r="B1999">
        <f>IF(INDEX(Transactions!$J:$J,ROW()-8)="",TODAY(),INDEX(Transactions!$G:$G,ROW()-8))</f>
      </c>
      <c r="F1999">
        <f>IF(INDEX(Transactions!$J:$J,ROW()-8)="",0,INDEX(Transactions!$O:$O,ROW()-8))</f>
      </c>
    </row>
    <row r="2000" spans="1:7">
      <c r="B2000">
        <f>IF(INDEX(Transactions!$J:$J,ROW()-8)="",TODAY(),INDEX(Transactions!$G:$G,ROW()-8))</f>
      </c>
      <c r="F2000">
        <f>IF(INDEX(Transactions!$J:$J,ROW()-8)="",0,INDEX(Transactions!$O:$O,ROW()-8))</f>
      </c>
    </row>
    <row r="2001" spans="1:7">
      <c r="B2001">
        <f>IF(INDEX(Transactions!$J:$J,ROW()-8)="",TODAY(),INDEX(Transactions!$G:$G,ROW()-8))</f>
      </c>
      <c r="F2001">
        <f>IF(INDEX(Transactions!$J:$J,ROW()-8)="",0,INDEX(Transactions!$O:$O,ROW()-8))</f>
      </c>
    </row>
    <row r="2002" spans="1:7">
      <c r="B2002">
        <f>IF(INDEX(Transactions!$J:$J,ROW()-8)="",TODAY(),INDEX(Transactions!$G:$G,ROW()-8))</f>
      </c>
      <c r="F2002">
        <f>IF(INDEX(Transactions!$J:$J,ROW()-8)="",0,INDEX(Transactions!$O:$O,ROW()-8))</f>
      </c>
    </row>
    <row r="2003" spans="1:7">
      <c r="B2003">
        <f>IF(INDEX(Transactions!$J:$J,ROW()-8)="",TODAY(),INDEX(Transactions!$G:$G,ROW()-8))</f>
      </c>
      <c r="F2003">
        <f>IF(INDEX(Transactions!$J:$J,ROW()-8)="",0,INDEX(Transactions!$O:$O,ROW()-8))</f>
      </c>
    </row>
    <row r="2004" spans="1:7">
      <c r="B2004">
        <f>IF(INDEX(Transactions!$J:$J,ROW()-8)="",TODAY(),INDEX(Transactions!$G:$G,ROW()-8))</f>
      </c>
      <c r="F2004">
        <f>IF(INDEX(Transactions!$J:$J,ROW()-8)="",0,INDEX(Transactions!$O:$O,ROW()-8))</f>
      </c>
    </row>
    <row r="2005" spans="1:7">
      <c r="B2005">
        <f>IF(INDEX(Transactions!$J:$J,ROW()-8)="",TODAY(),INDEX(Transactions!$G:$G,ROW()-8))</f>
      </c>
      <c r="F2005">
        <f>IF(INDEX(Transactions!$J:$J,ROW()-8)="",0,INDEX(Transactions!$O:$O,ROW()-8))</f>
      </c>
    </row>
    <row r="2006" spans="1:7">
      <c r="B2006">
        <f>IF(INDEX(Transactions!$J:$J,ROW()-8)="",TODAY(),INDEX(Transactions!$G:$G,ROW()-8))</f>
      </c>
      <c r="F2006">
        <f>IF(INDEX(Transactions!$J:$J,ROW()-8)="",0,INDEX(Transactions!$O:$O,ROW()-8))</f>
      </c>
    </row>
    <row r="2007" spans="1:7">
      <c r="B2007">
        <f>IF(INDEX(Transactions!$J:$J,ROW()-8)="",TODAY(),INDEX(Transactions!$G:$G,ROW()-8))</f>
      </c>
      <c r="F2007">
        <f>IF(INDEX(Transactions!$J:$J,ROW()-8)="",0,INDEX(Transactions!$O:$O,ROW()-8))</f>
      </c>
    </row>
    <row r="2008" spans="1:7">
      <c r="B2008">
        <f>IF(INDEX(Transactions!$J:$J,ROW()-8)="",TODAY(),INDEX(Transactions!$G:$G,ROW()-8))</f>
      </c>
      <c r="F2008">
        <f>IF(INDEX(Transactions!$J:$J,ROW()-8)="",0,INDEX(Transactions!$O:$O,ROW()-8))</f>
      </c>
    </row>
    <row r="2009" spans="1:7">
      <c r="B2009">
        <f>IF(INDEX(Transactions!$J:$J,ROW()-8)="",TODAY(),INDEX(Transactions!$G:$G,ROW()-8))</f>
      </c>
      <c r="F2009">
        <f>IF(INDEX(Transactions!$J:$J,ROW()-8)="",0,INDEX(Transactions!$O:$O,ROW()-8))</f>
      </c>
    </row>
    <row r="2010" spans="1:7">
      <c r="B2010">
        <f>IF(INDEX(Transactions!$J:$J,ROW()-8)="",TODAY(),INDEX(Transactions!$G:$G,ROW()-8))</f>
      </c>
      <c r="F2010">
        <f>IF(INDEX(Transactions!$J:$J,ROW()-8)="",0,INDEX(Transactions!$O:$O,ROW()-8))</f>
      </c>
    </row>
    <row r="2011" spans="1:7">
      <c r="B2011">
        <f>IF(INDEX(Transactions!$J:$J,ROW()-8)="",TODAY(),INDEX(Transactions!$G:$G,ROW()-8))</f>
      </c>
      <c r="F2011">
        <f>IF(INDEX(Transactions!$J:$J,ROW()-8)="",0,INDEX(Transactions!$O:$O,ROW()-8))</f>
      </c>
    </row>
    <row r="2012" spans="1:7">
      <c r="B2012">
        <f>IF(INDEX(Transactions!$J:$J,ROW()-8)="",TODAY(),INDEX(Transactions!$G:$G,ROW()-8))</f>
      </c>
      <c r="F2012">
        <f>IF(INDEX(Transactions!$J:$J,ROW()-8)="",0,INDEX(Transactions!$O:$O,ROW()-8))</f>
      </c>
    </row>
    <row r="2013" spans="1:7">
      <c r="B2013">
        <f>IF(INDEX(Transactions!$J:$J,ROW()-8)="",TODAY(),INDEX(Transactions!$G:$G,ROW()-8))</f>
      </c>
      <c r="F2013">
        <f>IF(INDEX(Transactions!$J:$J,ROW()-8)="",0,INDEX(Transactions!$O:$O,ROW()-8))</f>
      </c>
    </row>
    <row r="2014" spans="1:7">
      <c r="B2014">
        <f>IF(INDEX(Transactions!$J:$J,ROW()-8)="",TODAY(),INDEX(Transactions!$G:$G,ROW()-8))</f>
      </c>
      <c r="F2014">
        <f>IF(INDEX(Transactions!$J:$J,ROW()-8)="",0,INDEX(Transactions!$O:$O,ROW()-8))</f>
      </c>
    </row>
    <row r="2015" spans="1:7">
      <c r="B2015">
        <f>IF(INDEX(Transactions!$J:$J,ROW()-8)="",TODAY(),INDEX(Transactions!$G:$G,ROW()-8))</f>
      </c>
      <c r="F2015">
        <f>IF(INDEX(Transactions!$J:$J,ROW()-8)="",0,INDEX(Transactions!$O:$O,ROW()-8))</f>
      </c>
    </row>
    <row r="2016" spans="1:7">
      <c r="B2016">
        <f>IF(INDEX(Transactions!$J:$J,ROW()-8)="",TODAY(),INDEX(Transactions!$G:$G,ROW()-8))</f>
      </c>
      <c r="F2016">
        <f>IF(INDEX(Transactions!$J:$J,ROW()-8)="",0,INDEX(Transactions!$O:$O,ROW()-8))</f>
      </c>
    </row>
    <row r="2017" spans="1:7">
      <c r="B2017">
        <f>IF(INDEX(Transactions!$J:$J,ROW()-8)="",TODAY(),INDEX(Transactions!$G:$G,ROW()-8))</f>
      </c>
      <c r="F2017">
        <f>IF(INDEX(Transactions!$J:$J,ROW()-8)="",0,INDEX(Transactions!$O:$O,ROW()-8))</f>
      </c>
    </row>
    <row r="2018" spans="1:7">
      <c r="B2018">
        <f>IF(INDEX(Transactions!$J:$J,ROW()-8)="",TODAY(),INDEX(Transactions!$G:$G,ROW()-8))</f>
      </c>
      <c r="F2018">
        <f>IF(INDEX(Transactions!$J:$J,ROW()-8)="",0,INDEX(Transactions!$O:$O,ROW()-8))</f>
      </c>
    </row>
    <row r="2019" spans="1:7">
      <c r="B2019">
        <f>IF(INDEX(Transactions!$J:$J,ROW()-8)="",TODAY(),INDEX(Transactions!$G:$G,ROW()-8))</f>
      </c>
      <c r="F2019">
        <f>IF(INDEX(Transactions!$J:$J,ROW()-8)="",0,INDEX(Transactions!$O:$O,ROW()-8))</f>
      </c>
    </row>
    <row r="2020" spans="1:7">
      <c r="B2020">
        <f>IF(INDEX(Transactions!$J:$J,ROW()-8)="",TODAY(),INDEX(Transactions!$G:$G,ROW()-8))</f>
      </c>
      <c r="F2020">
        <f>IF(INDEX(Transactions!$J:$J,ROW()-8)="",0,INDEX(Transactions!$O:$O,ROW()-8))</f>
      </c>
    </row>
    <row r="2021" spans="1:7">
      <c r="B2021">
        <f>IF(INDEX(Transactions!$J:$J,ROW()-8)="",TODAY(),INDEX(Transactions!$G:$G,ROW()-8))</f>
      </c>
      <c r="F2021">
        <f>IF(INDEX(Transactions!$J:$J,ROW()-8)="",0,INDEX(Transactions!$O:$O,ROW()-8))</f>
      </c>
    </row>
    <row r="2022" spans="1:7">
      <c r="B2022">
        <f>IF(INDEX(Transactions!$J:$J,ROW()-8)="",TODAY(),INDEX(Transactions!$G:$G,ROW()-8))</f>
      </c>
      <c r="F2022">
        <f>IF(INDEX(Transactions!$J:$J,ROW()-8)="",0,INDEX(Transactions!$O:$O,ROW()-8))</f>
      </c>
    </row>
    <row r="2023" spans="1:7">
      <c r="B2023">
        <f>IF(INDEX(Transactions!$J:$J,ROW()-8)="",TODAY(),INDEX(Transactions!$G:$G,ROW()-8))</f>
      </c>
      <c r="F2023">
        <f>IF(INDEX(Transactions!$J:$J,ROW()-8)="",0,INDEX(Transactions!$O:$O,ROW()-8))</f>
      </c>
    </row>
    <row r="2024" spans="1:7">
      <c r="B2024">
        <f>IF(INDEX(Transactions!$J:$J,ROW()-8)="",TODAY(),INDEX(Transactions!$G:$G,ROW()-8))</f>
      </c>
      <c r="F2024">
        <f>IF(INDEX(Transactions!$J:$J,ROW()-8)="",0,INDEX(Transactions!$O:$O,ROW()-8))</f>
      </c>
    </row>
    <row r="2025" spans="1:7">
      <c r="B2025">
        <f>IF(INDEX(Transactions!$J:$J,ROW()-8)="",TODAY(),INDEX(Transactions!$G:$G,ROW()-8))</f>
      </c>
      <c r="F2025">
        <f>IF(INDEX(Transactions!$J:$J,ROW()-8)="",0,INDEX(Transactions!$O:$O,ROW()-8))</f>
      </c>
    </row>
    <row r="2026" spans="1:7">
      <c r="B2026">
        <f>IF(INDEX(Transactions!$J:$J,ROW()-8)="",TODAY(),INDEX(Transactions!$G:$G,ROW()-8))</f>
      </c>
      <c r="F2026">
        <f>IF(INDEX(Transactions!$J:$J,ROW()-8)="",0,INDEX(Transactions!$O:$O,ROW()-8))</f>
      </c>
    </row>
    <row r="2027" spans="1:7">
      <c r="B2027">
        <f>IF(INDEX(Transactions!$J:$J,ROW()-8)="",TODAY(),INDEX(Transactions!$G:$G,ROW()-8))</f>
      </c>
      <c r="F2027">
        <f>IF(INDEX(Transactions!$J:$J,ROW()-8)="",0,INDEX(Transactions!$O:$O,ROW()-8))</f>
      </c>
    </row>
    <row r="2028" spans="1:7">
      <c r="B2028">
        <f>IF(INDEX(Transactions!$J:$J,ROW()-8)="",TODAY(),INDEX(Transactions!$G:$G,ROW()-8))</f>
      </c>
      <c r="F2028">
        <f>IF(INDEX(Transactions!$J:$J,ROW()-8)="",0,INDEX(Transactions!$O:$O,ROW()-8))</f>
      </c>
    </row>
    <row r="2029" spans="1:7">
      <c r="B2029">
        <f>IF(INDEX(Transactions!$J:$J,ROW()-8)="",TODAY(),INDEX(Transactions!$G:$G,ROW()-8))</f>
      </c>
      <c r="F2029">
        <f>IF(INDEX(Transactions!$J:$J,ROW()-8)="",0,INDEX(Transactions!$O:$O,ROW()-8))</f>
      </c>
    </row>
    <row r="2030" spans="1:7">
      <c r="B2030">
        <f>IF(INDEX(Transactions!$J:$J,ROW()-8)="",TODAY(),INDEX(Transactions!$G:$G,ROW()-8))</f>
      </c>
      <c r="F2030">
        <f>IF(INDEX(Transactions!$J:$J,ROW()-8)="",0,INDEX(Transactions!$O:$O,ROW()-8))</f>
      </c>
    </row>
    <row r="2031" spans="1:7">
      <c r="B2031">
        <f>IF(INDEX(Transactions!$J:$J,ROW()-8)="",TODAY(),INDEX(Transactions!$G:$G,ROW()-8))</f>
      </c>
      <c r="F2031">
        <f>IF(INDEX(Transactions!$J:$J,ROW()-8)="",0,INDEX(Transactions!$O:$O,ROW()-8))</f>
      </c>
    </row>
    <row r="2032" spans="1:7">
      <c r="B2032">
        <f>IF(INDEX(Transactions!$J:$J,ROW()-8)="",TODAY(),INDEX(Transactions!$G:$G,ROW()-8))</f>
      </c>
      <c r="F2032">
        <f>IF(INDEX(Transactions!$J:$J,ROW()-8)="",0,INDEX(Transactions!$O:$O,ROW()-8))</f>
      </c>
    </row>
    <row r="2033" spans="1:7">
      <c r="B2033">
        <f>IF(INDEX(Transactions!$J:$J,ROW()-8)="",TODAY(),INDEX(Transactions!$G:$G,ROW()-8))</f>
      </c>
      <c r="F2033">
        <f>IF(INDEX(Transactions!$J:$J,ROW()-8)="",0,INDEX(Transactions!$O:$O,ROW()-8))</f>
      </c>
    </row>
    <row r="2034" spans="1:7">
      <c r="B2034">
        <f>IF(INDEX(Transactions!$J:$J,ROW()-8)="",TODAY(),INDEX(Transactions!$G:$G,ROW()-8))</f>
      </c>
      <c r="F2034">
        <f>IF(INDEX(Transactions!$J:$J,ROW()-8)="",0,INDEX(Transactions!$O:$O,ROW()-8))</f>
      </c>
    </row>
    <row r="2035" spans="1:7">
      <c r="B2035">
        <f>IF(INDEX(Transactions!$J:$J,ROW()-8)="",TODAY(),INDEX(Transactions!$G:$G,ROW()-8))</f>
      </c>
      <c r="F2035">
        <f>IF(INDEX(Transactions!$J:$J,ROW()-8)="",0,INDEX(Transactions!$O:$O,ROW()-8))</f>
      </c>
    </row>
    <row r="2036" spans="1:7">
      <c r="B2036">
        <f>IF(INDEX(Transactions!$J:$J,ROW()-8)="",TODAY(),INDEX(Transactions!$G:$G,ROW()-8))</f>
      </c>
      <c r="F2036">
        <f>IF(INDEX(Transactions!$J:$J,ROW()-8)="",0,INDEX(Transactions!$O:$O,ROW()-8))</f>
      </c>
    </row>
    <row r="2037" spans="1:7">
      <c r="B2037">
        <f>IF(INDEX(Transactions!$J:$J,ROW()-8)="",TODAY(),INDEX(Transactions!$G:$G,ROW()-8))</f>
      </c>
      <c r="F2037">
        <f>IF(INDEX(Transactions!$J:$J,ROW()-8)="",0,INDEX(Transactions!$O:$O,ROW()-8))</f>
      </c>
    </row>
    <row r="2038" spans="1:7">
      <c r="B2038">
        <f>IF(INDEX(Transactions!$J:$J,ROW()-8)="",TODAY(),INDEX(Transactions!$G:$G,ROW()-8))</f>
      </c>
      <c r="F2038">
        <f>IF(INDEX(Transactions!$J:$J,ROW()-8)="",0,INDEX(Transactions!$O:$O,ROW()-8))</f>
      </c>
    </row>
    <row r="2039" spans="1:7">
      <c r="B2039">
        <f>IF(INDEX(Transactions!$J:$J,ROW()-8)="",TODAY(),INDEX(Transactions!$G:$G,ROW()-8))</f>
      </c>
      <c r="F2039">
        <f>IF(INDEX(Transactions!$J:$J,ROW()-8)="",0,INDEX(Transactions!$O:$O,ROW()-8))</f>
      </c>
    </row>
    <row r="2040" spans="1:7">
      <c r="B2040">
        <f>IF(INDEX(Transactions!$J:$J,ROW()-8)="",TODAY(),INDEX(Transactions!$G:$G,ROW()-8))</f>
      </c>
      <c r="F2040">
        <f>IF(INDEX(Transactions!$J:$J,ROW()-8)="",0,INDEX(Transactions!$O:$O,ROW()-8))</f>
      </c>
    </row>
    <row r="2041" spans="1:7">
      <c r="B2041">
        <f>IF(INDEX(Transactions!$J:$J,ROW()-8)="",TODAY(),INDEX(Transactions!$G:$G,ROW()-8))</f>
      </c>
      <c r="F2041">
        <f>IF(INDEX(Transactions!$J:$J,ROW()-8)="",0,INDEX(Transactions!$O:$O,ROW()-8))</f>
      </c>
    </row>
    <row r="2042" spans="1:7">
      <c r="B2042">
        <f>IF(INDEX(Transactions!$J:$J,ROW()-8)="",TODAY(),INDEX(Transactions!$G:$G,ROW()-8))</f>
      </c>
      <c r="F2042">
        <f>IF(INDEX(Transactions!$J:$J,ROW()-8)="",0,INDEX(Transactions!$O:$O,ROW()-8))</f>
      </c>
    </row>
    <row r="2043" spans="1:7">
      <c r="B2043">
        <f>IF(INDEX(Transactions!$J:$J,ROW()-8)="",TODAY(),INDEX(Transactions!$G:$G,ROW()-8))</f>
      </c>
      <c r="F2043">
        <f>IF(INDEX(Transactions!$J:$J,ROW()-8)="",0,INDEX(Transactions!$O:$O,ROW()-8))</f>
      </c>
    </row>
    <row r="2044" spans="1:7">
      <c r="B2044">
        <f>IF(INDEX(Transactions!$J:$J,ROW()-8)="",TODAY(),INDEX(Transactions!$G:$G,ROW()-8))</f>
      </c>
      <c r="F2044">
        <f>IF(INDEX(Transactions!$J:$J,ROW()-8)="",0,INDEX(Transactions!$O:$O,ROW()-8))</f>
      </c>
    </row>
    <row r="2045" spans="1:7">
      <c r="B2045">
        <f>IF(INDEX(Transactions!$J:$J,ROW()-8)="",TODAY(),INDEX(Transactions!$G:$G,ROW()-8))</f>
      </c>
      <c r="F2045">
        <f>IF(INDEX(Transactions!$J:$J,ROW()-8)="",0,INDEX(Transactions!$O:$O,ROW()-8))</f>
      </c>
    </row>
    <row r="2046" spans="1:7">
      <c r="B2046">
        <f>IF(INDEX(Transactions!$J:$J,ROW()-8)="",TODAY(),INDEX(Transactions!$G:$G,ROW()-8))</f>
      </c>
      <c r="F2046">
        <f>IF(INDEX(Transactions!$J:$J,ROW()-8)="",0,INDEX(Transactions!$O:$O,ROW()-8))</f>
      </c>
    </row>
    <row r="2047" spans="1:7">
      <c r="B2047">
        <f>IF(INDEX(Transactions!$J:$J,ROW()-8)="",TODAY(),INDEX(Transactions!$G:$G,ROW()-8))</f>
      </c>
      <c r="F2047">
        <f>IF(INDEX(Transactions!$J:$J,ROW()-8)="",0,INDEX(Transactions!$O:$O,ROW()-8))</f>
      </c>
    </row>
    <row r="2048" spans="1:7">
      <c r="B2048">
        <f>IF(INDEX(Transactions!$J:$J,ROW()-8)="",TODAY(),INDEX(Transactions!$G:$G,ROW()-8))</f>
      </c>
      <c r="F2048">
        <f>IF(INDEX(Transactions!$J:$J,ROW()-8)="",0,INDEX(Transactions!$O:$O,ROW()-8))</f>
      </c>
    </row>
    <row r="2049" spans="1:7">
      <c r="B2049">
        <f>IF(INDEX(Transactions!$J:$J,ROW()-8)="",TODAY(),INDEX(Transactions!$G:$G,ROW()-8))</f>
      </c>
      <c r="F2049">
        <f>IF(INDEX(Transactions!$J:$J,ROW()-8)="",0,INDEX(Transactions!$O:$O,ROW()-8))</f>
      </c>
    </row>
    <row r="2050" spans="1:7">
      <c r="B2050">
        <f>IF(INDEX(Transactions!$J:$J,ROW()-8)="",TODAY(),INDEX(Transactions!$G:$G,ROW()-8))</f>
      </c>
      <c r="F2050">
        <f>IF(INDEX(Transactions!$J:$J,ROW()-8)="",0,INDEX(Transactions!$O:$O,ROW()-8))</f>
      </c>
    </row>
    <row r="2051" spans="1:7">
      <c r="B2051">
        <f>IF(INDEX(Transactions!$J:$J,ROW()-8)="",TODAY(),INDEX(Transactions!$G:$G,ROW()-8))</f>
      </c>
      <c r="F2051">
        <f>IF(INDEX(Transactions!$J:$J,ROW()-8)="",0,INDEX(Transactions!$O:$O,ROW()-8))</f>
      </c>
    </row>
    <row r="2052" spans="1:7">
      <c r="B2052">
        <f>IF(INDEX(Transactions!$J:$J,ROW()-8)="",TODAY(),INDEX(Transactions!$G:$G,ROW()-8))</f>
      </c>
      <c r="F2052">
        <f>IF(INDEX(Transactions!$J:$J,ROW()-8)="",0,INDEX(Transactions!$O:$O,ROW()-8))</f>
      </c>
    </row>
    <row r="2053" spans="1:7">
      <c r="B2053">
        <f>IF(INDEX(Transactions!$J:$J,ROW()-8)="",TODAY(),INDEX(Transactions!$G:$G,ROW()-8))</f>
      </c>
      <c r="F2053">
        <f>IF(INDEX(Transactions!$J:$J,ROW()-8)="",0,INDEX(Transactions!$O:$O,ROW()-8))</f>
      </c>
    </row>
    <row r="2054" spans="1:7">
      <c r="B2054">
        <f>IF(INDEX(Transactions!$J:$J,ROW()-8)="",TODAY(),INDEX(Transactions!$G:$G,ROW()-8))</f>
      </c>
      <c r="F2054">
        <f>IF(INDEX(Transactions!$J:$J,ROW()-8)="",0,INDEX(Transactions!$O:$O,ROW()-8))</f>
      </c>
    </row>
    <row r="2055" spans="1:7">
      <c r="B2055">
        <f>IF(INDEX(Transactions!$J:$J,ROW()-8)="",TODAY(),INDEX(Transactions!$G:$G,ROW()-8))</f>
      </c>
      <c r="F2055">
        <f>IF(INDEX(Transactions!$J:$J,ROW()-8)="",0,INDEX(Transactions!$O:$O,ROW()-8))</f>
      </c>
    </row>
    <row r="2056" spans="1:7">
      <c r="B2056">
        <f>IF(INDEX(Transactions!$J:$J,ROW()-8)="",TODAY(),INDEX(Transactions!$G:$G,ROW()-8))</f>
      </c>
      <c r="F2056">
        <f>IF(INDEX(Transactions!$J:$J,ROW()-8)="",0,INDEX(Transactions!$O:$O,ROW()-8))</f>
      </c>
    </row>
    <row r="2057" spans="1:7">
      <c r="B2057">
        <f>IF(INDEX(Transactions!$J:$J,ROW()-8)="",TODAY(),INDEX(Transactions!$G:$G,ROW()-8))</f>
      </c>
      <c r="F2057">
        <f>IF(INDEX(Transactions!$J:$J,ROW()-8)="",0,INDEX(Transactions!$O:$O,ROW()-8))</f>
      </c>
    </row>
    <row r="2058" spans="1:7">
      <c r="B2058">
        <f>IF(INDEX(Transactions!$J:$J,ROW()-8)="",TODAY(),INDEX(Transactions!$G:$G,ROW()-8))</f>
      </c>
      <c r="F2058">
        <f>IF(INDEX(Transactions!$J:$J,ROW()-8)="",0,INDEX(Transactions!$O:$O,ROW()-8))</f>
      </c>
    </row>
    <row r="2059" spans="1:7">
      <c r="B2059">
        <f>IF(INDEX(Transactions!$J:$J,ROW()-8)="",TODAY(),INDEX(Transactions!$G:$G,ROW()-8))</f>
      </c>
      <c r="F2059">
        <f>IF(INDEX(Transactions!$J:$J,ROW()-8)="",0,INDEX(Transactions!$O:$O,ROW()-8))</f>
      </c>
    </row>
    <row r="2060" spans="1:7">
      <c r="B2060">
        <f>IF(INDEX(Transactions!$J:$J,ROW()-8)="",TODAY(),INDEX(Transactions!$G:$G,ROW()-8))</f>
      </c>
      <c r="F2060">
        <f>IF(INDEX(Transactions!$J:$J,ROW()-8)="",0,INDEX(Transactions!$O:$O,ROW()-8))</f>
      </c>
    </row>
    <row r="2061" spans="1:7">
      <c r="B2061">
        <f>IF(INDEX(Transactions!$J:$J,ROW()-8)="",TODAY(),INDEX(Transactions!$G:$G,ROW()-8))</f>
      </c>
      <c r="F2061">
        <f>IF(INDEX(Transactions!$J:$J,ROW()-8)="",0,INDEX(Transactions!$O:$O,ROW()-8))</f>
      </c>
    </row>
    <row r="2062" spans="1:7">
      <c r="B2062">
        <f>IF(INDEX(Transactions!$J:$J,ROW()-8)="",TODAY(),INDEX(Transactions!$G:$G,ROW()-8))</f>
      </c>
      <c r="F2062">
        <f>IF(INDEX(Transactions!$J:$J,ROW()-8)="",0,INDEX(Transactions!$O:$O,ROW()-8))</f>
      </c>
    </row>
    <row r="2063" spans="1:7">
      <c r="B2063">
        <f>IF(INDEX(Transactions!$J:$J,ROW()-8)="",TODAY(),INDEX(Transactions!$G:$G,ROW()-8))</f>
      </c>
      <c r="F2063">
        <f>IF(INDEX(Transactions!$J:$J,ROW()-8)="",0,INDEX(Transactions!$O:$O,ROW()-8))</f>
      </c>
    </row>
    <row r="2064" spans="1:7">
      <c r="B2064">
        <f>IF(INDEX(Transactions!$J:$J,ROW()-8)="",TODAY(),INDEX(Transactions!$G:$G,ROW()-8))</f>
      </c>
      <c r="F2064">
        <f>IF(INDEX(Transactions!$J:$J,ROW()-8)="",0,INDEX(Transactions!$O:$O,ROW()-8))</f>
      </c>
    </row>
    <row r="2065" spans="1:7">
      <c r="B2065">
        <f>IF(INDEX(Transactions!$J:$J,ROW()-8)="",TODAY(),INDEX(Transactions!$G:$G,ROW()-8))</f>
      </c>
      <c r="F2065">
        <f>IF(INDEX(Transactions!$J:$J,ROW()-8)="",0,INDEX(Transactions!$O:$O,ROW()-8))</f>
      </c>
    </row>
    <row r="2066" spans="1:7">
      <c r="B2066">
        <f>IF(INDEX(Transactions!$J:$J,ROW()-8)="",TODAY(),INDEX(Transactions!$G:$G,ROW()-8))</f>
      </c>
      <c r="F2066">
        <f>IF(INDEX(Transactions!$J:$J,ROW()-8)="",0,INDEX(Transactions!$O:$O,ROW()-8))</f>
      </c>
    </row>
    <row r="2067" spans="1:7">
      <c r="B2067">
        <f>IF(INDEX(Transactions!$J:$J,ROW()-8)="",TODAY(),INDEX(Transactions!$G:$G,ROW()-8))</f>
      </c>
      <c r="F2067">
        <f>IF(INDEX(Transactions!$J:$J,ROW()-8)="",0,INDEX(Transactions!$O:$O,ROW()-8))</f>
      </c>
    </row>
    <row r="2068" spans="1:7">
      <c r="B2068">
        <f>IF(INDEX(Transactions!$J:$J,ROW()-8)="",TODAY(),INDEX(Transactions!$G:$G,ROW()-8))</f>
      </c>
      <c r="F2068">
        <f>IF(INDEX(Transactions!$J:$J,ROW()-8)="",0,INDEX(Transactions!$O:$O,ROW()-8))</f>
      </c>
    </row>
    <row r="2069" spans="1:7">
      <c r="B2069">
        <f>IF(INDEX(Transactions!$J:$J,ROW()-8)="",TODAY(),INDEX(Transactions!$G:$G,ROW()-8))</f>
      </c>
      <c r="F2069">
        <f>IF(INDEX(Transactions!$J:$J,ROW()-8)="",0,INDEX(Transactions!$O:$O,ROW()-8))</f>
      </c>
    </row>
    <row r="2070" spans="1:7">
      <c r="B2070">
        <f>IF(INDEX(Transactions!$J:$J,ROW()-8)="",TODAY(),INDEX(Transactions!$G:$G,ROW()-8))</f>
      </c>
      <c r="F2070">
        <f>IF(INDEX(Transactions!$J:$J,ROW()-8)="",0,INDEX(Transactions!$O:$O,ROW()-8))</f>
      </c>
    </row>
    <row r="2071" spans="1:7">
      <c r="B2071">
        <f>IF(INDEX(Transactions!$J:$J,ROW()-8)="",TODAY(),INDEX(Transactions!$G:$G,ROW()-8))</f>
      </c>
      <c r="F2071">
        <f>IF(INDEX(Transactions!$J:$J,ROW()-8)="",0,INDEX(Transactions!$O:$O,ROW()-8))</f>
      </c>
    </row>
    <row r="2072" spans="1:7">
      <c r="B2072">
        <f>IF(INDEX(Transactions!$J:$J,ROW()-8)="",TODAY(),INDEX(Transactions!$G:$G,ROW()-8))</f>
      </c>
      <c r="F2072">
        <f>IF(INDEX(Transactions!$J:$J,ROW()-8)="",0,INDEX(Transactions!$O:$O,ROW()-8))</f>
      </c>
    </row>
    <row r="2073" spans="1:7">
      <c r="B2073">
        <f>IF(INDEX(Transactions!$J:$J,ROW()-8)="",TODAY(),INDEX(Transactions!$G:$G,ROW()-8))</f>
      </c>
      <c r="F2073">
        <f>IF(INDEX(Transactions!$J:$J,ROW()-8)="",0,INDEX(Transactions!$O:$O,ROW()-8))</f>
      </c>
    </row>
    <row r="2074" spans="1:7">
      <c r="B2074">
        <f>IF(INDEX(Transactions!$J:$J,ROW()-8)="",TODAY(),INDEX(Transactions!$G:$G,ROW()-8))</f>
      </c>
      <c r="F2074">
        <f>IF(INDEX(Transactions!$J:$J,ROW()-8)="",0,INDEX(Transactions!$O:$O,ROW()-8))</f>
      </c>
    </row>
    <row r="2075" spans="1:7">
      <c r="B2075">
        <f>IF(INDEX(Transactions!$J:$J,ROW()-8)="",TODAY(),INDEX(Transactions!$G:$G,ROW()-8))</f>
      </c>
      <c r="F2075">
        <f>IF(INDEX(Transactions!$J:$J,ROW()-8)="",0,INDEX(Transactions!$O:$O,ROW()-8))</f>
      </c>
    </row>
    <row r="2076" spans="1:7">
      <c r="B2076">
        <f>IF(INDEX(Transactions!$J:$J,ROW()-8)="",TODAY(),INDEX(Transactions!$G:$G,ROW()-8))</f>
      </c>
      <c r="F2076">
        <f>IF(INDEX(Transactions!$J:$J,ROW()-8)="",0,INDEX(Transactions!$O:$O,ROW()-8))</f>
      </c>
    </row>
    <row r="2077" spans="1:7">
      <c r="B2077">
        <f>IF(INDEX(Transactions!$J:$J,ROW()-8)="",TODAY(),INDEX(Transactions!$G:$G,ROW()-8))</f>
      </c>
      <c r="F2077">
        <f>IF(INDEX(Transactions!$J:$J,ROW()-8)="",0,INDEX(Transactions!$O:$O,ROW()-8))</f>
      </c>
    </row>
    <row r="2078" spans="1:7">
      <c r="B2078">
        <f>IF(INDEX(Transactions!$J:$J,ROW()-8)="",TODAY(),INDEX(Transactions!$G:$G,ROW()-8))</f>
      </c>
      <c r="F2078">
        <f>IF(INDEX(Transactions!$J:$J,ROW()-8)="",0,INDEX(Transactions!$O:$O,ROW()-8))</f>
      </c>
    </row>
    <row r="2079" spans="1:7">
      <c r="B2079">
        <f>IF(INDEX(Transactions!$J:$J,ROW()-8)="",TODAY(),INDEX(Transactions!$G:$G,ROW()-8))</f>
      </c>
      <c r="F2079">
        <f>IF(INDEX(Transactions!$J:$J,ROW()-8)="",0,INDEX(Transactions!$O:$O,ROW()-8))</f>
      </c>
    </row>
    <row r="2080" spans="1:7">
      <c r="B2080">
        <f>IF(INDEX(Transactions!$J:$J,ROW()-8)="",TODAY(),INDEX(Transactions!$G:$G,ROW()-8))</f>
      </c>
      <c r="F2080">
        <f>IF(INDEX(Transactions!$J:$J,ROW()-8)="",0,INDEX(Transactions!$O:$O,ROW()-8))</f>
      </c>
    </row>
    <row r="2081" spans="1:7">
      <c r="B2081">
        <f>IF(INDEX(Transactions!$J:$J,ROW()-8)="",TODAY(),INDEX(Transactions!$G:$G,ROW()-8))</f>
      </c>
      <c r="F2081">
        <f>IF(INDEX(Transactions!$J:$J,ROW()-8)="",0,INDEX(Transactions!$O:$O,ROW()-8))</f>
      </c>
    </row>
    <row r="2082" spans="1:7">
      <c r="B2082">
        <f>IF(INDEX(Transactions!$J:$J,ROW()-8)="",TODAY(),INDEX(Transactions!$G:$G,ROW()-8))</f>
      </c>
      <c r="F2082">
        <f>IF(INDEX(Transactions!$J:$J,ROW()-8)="",0,INDEX(Transactions!$O:$O,ROW()-8))</f>
      </c>
    </row>
    <row r="2083" spans="1:7">
      <c r="B2083">
        <f>IF(INDEX(Transactions!$J:$J,ROW()-8)="",TODAY(),INDEX(Transactions!$G:$G,ROW()-8))</f>
      </c>
      <c r="F2083">
        <f>IF(INDEX(Transactions!$J:$J,ROW()-8)="",0,INDEX(Transactions!$O:$O,ROW()-8))</f>
      </c>
    </row>
    <row r="2084" spans="1:7">
      <c r="B2084">
        <f>IF(INDEX(Transactions!$J:$J,ROW()-8)="",TODAY(),INDEX(Transactions!$G:$G,ROW()-8))</f>
      </c>
      <c r="F2084">
        <f>IF(INDEX(Transactions!$J:$J,ROW()-8)="",0,INDEX(Transactions!$O:$O,ROW()-8))</f>
      </c>
    </row>
    <row r="2085" spans="1:7">
      <c r="B2085">
        <f>IF(INDEX(Transactions!$J:$J,ROW()-8)="",TODAY(),INDEX(Transactions!$G:$G,ROW()-8))</f>
      </c>
      <c r="F2085">
        <f>IF(INDEX(Transactions!$J:$J,ROW()-8)="",0,INDEX(Transactions!$O:$O,ROW()-8))</f>
      </c>
    </row>
    <row r="2086" spans="1:7">
      <c r="B2086">
        <f>IF(INDEX(Transactions!$J:$J,ROW()-8)="",TODAY(),INDEX(Transactions!$G:$G,ROW()-8))</f>
      </c>
      <c r="F2086">
        <f>IF(INDEX(Transactions!$J:$J,ROW()-8)="",0,INDEX(Transactions!$O:$O,ROW()-8))</f>
      </c>
    </row>
    <row r="2087" spans="1:7">
      <c r="B2087">
        <f>IF(INDEX(Transactions!$J:$J,ROW()-8)="",TODAY(),INDEX(Transactions!$G:$G,ROW()-8))</f>
      </c>
      <c r="F2087">
        <f>IF(INDEX(Transactions!$J:$J,ROW()-8)="",0,INDEX(Transactions!$O:$O,ROW()-8))</f>
      </c>
    </row>
    <row r="2088" spans="1:7">
      <c r="B2088">
        <f>IF(INDEX(Transactions!$J:$J,ROW()-8)="",TODAY(),INDEX(Transactions!$G:$G,ROW()-8))</f>
      </c>
      <c r="F2088">
        <f>IF(INDEX(Transactions!$J:$J,ROW()-8)="",0,INDEX(Transactions!$O:$O,ROW()-8))</f>
      </c>
    </row>
    <row r="2089" spans="1:7">
      <c r="B2089">
        <f>IF(INDEX(Transactions!$J:$J,ROW()-8)="",TODAY(),INDEX(Transactions!$G:$G,ROW()-8))</f>
      </c>
      <c r="F2089">
        <f>IF(INDEX(Transactions!$J:$J,ROW()-8)="",0,INDEX(Transactions!$O:$O,ROW()-8))</f>
      </c>
    </row>
    <row r="2090" spans="1:7">
      <c r="B2090">
        <f>IF(INDEX(Transactions!$J:$J,ROW()-8)="",TODAY(),INDEX(Transactions!$G:$G,ROW()-8))</f>
      </c>
      <c r="F2090">
        <f>IF(INDEX(Transactions!$J:$J,ROW()-8)="",0,INDEX(Transactions!$O:$O,ROW()-8))</f>
      </c>
    </row>
    <row r="2091" spans="1:7">
      <c r="B2091">
        <f>IF(INDEX(Transactions!$J:$J,ROW()-8)="",TODAY(),INDEX(Transactions!$G:$G,ROW()-8))</f>
      </c>
      <c r="F2091">
        <f>IF(INDEX(Transactions!$J:$J,ROW()-8)="",0,INDEX(Transactions!$O:$O,ROW()-8))</f>
      </c>
    </row>
    <row r="2092" spans="1:7">
      <c r="B2092">
        <f>IF(INDEX(Transactions!$J:$J,ROW()-8)="",TODAY(),INDEX(Transactions!$G:$G,ROW()-8))</f>
      </c>
      <c r="F2092">
        <f>IF(INDEX(Transactions!$J:$J,ROW()-8)="",0,INDEX(Transactions!$O:$O,ROW()-8))</f>
      </c>
    </row>
    <row r="2093" spans="1:7">
      <c r="B2093">
        <f>IF(INDEX(Transactions!$J:$J,ROW()-8)="",TODAY(),INDEX(Transactions!$G:$G,ROW()-8))</f>
      </c>
      <c r="F2093">
        <f>IF(INDEX(Transactions!$J:$J,ROW()-8)="",0,INDEX(Transactions!$O:$O,ROW()-8))</f>
      </c>
    </row>
    <row r="2094" spans="1:7">
      <c r="B2094">
        <f>IF(INDEX(Transactions!$J:$J,ROW()-8)="",TODAY(),INDEX(Transactions!$G:$G,ROW()-8))</f>
      </c>
      <c r="F2094">
        <f>IF(INDEX(Transactions!$J:$J,ROW()-8)="",0,INDEX(Transactions!$O:$O,ROW()-8))</f>
      </c>
    </row>
    <row r="2095" spans="1:7">
      <c r="B2095">
        <f>IF(INDEX(Transactions!$J:$J,ROW()-8)="",TODAY(),INDEX(Transactions!$G:$G,ROW()-8))</f>
      </c>
      <c r="F2095">
        <f>IF(INDEX(Transactions!$J:$J,ROW()-8)="",0,INDEX(Transactions!$O:$O,ROW()-8))</f>
      </c>
    </row>
    <row r="2096" spans="1:7">
      <c r="B2096">
        <f>IF(INDEX(Transactions!$J:$J,ROW()-8)="",TODAY(),INDEX(Transactions!$G:$G,ROW()-8))</f>
      </c>
      <c r="F2096">
        <f>IF(INDEX(Transactions!$J:$J,ROW()-8)="",0,INDEX(Transactions!$O:$O,ROW()-8))</f>
      </c>
    </row>
    <row r="2097" spans="1:7">
      <c r="B2097">
        <f>IF(INDEX(Transactions!$J:$J,ROW()-8)="",TODAY(),INDEX(Transactions!$G:$G,ROW()-8))</f>
      </c>
      <c r="F2097">
        <f>IF(INDEX(Transactions!$J:$J,ROW()-8)="",0,INDEX(Transactions!$O:$O,ROW()-8))</f>
      </c>
    </row>
    <row r="2098" spans="1:7">
      <c r="B2098">
        <f>IF(INDEX(Transactions!$J:$J,ROW()-8)="",TODAY(),INDEX(Transactions!$G:$G,ROW()-8))</f>
      </c>
      <c r="F2098">
        <f>IF(INDEX(Transactions!$J:$J,ROW()-8)="",0,INDEX(Transactions!$O:$O,ROW()-8))</f>
      </c>
    </row>
    <row r="2099" spans="1:7">
      <c r="B2099">
        <f>IF(INDEX(Transactions!$J:$J,ROW()-8)="",TODAY(),INDEX(Transactions!$G:$G,ROW()-8))</f>
      </c>
      <c r="F2099">
        <f>IF(INDEX(Transactions!$J:$J,ROW()-8)="",0,INDEX(Transactions!$O:$O,ROW()-8))</f>
      </c>
    </row>
    <row r="2100" spans="1:7">
      <c r="B2100">
        <f>IF(INDEX(Transactions!$J:$J,ROW()-8)="",TODAY(),INDEX(Transactions!$G:$G,ROW()-8))</f>
      </c>
      <c r="F2100">
        <f>IF(INDEX(Transactions!$J:$J,ROW()-8)="",0,INDEX(Transactions!$O:$O,ROW()-8))</f>
      </c>
    </row>
    <row r="2101" spans="1:7">
      <c r="B2101">
        <f>IF(INDEX(Transactions!$J:$J,ROW()-8)="",TODAY(),INDEX(Transactions!$G:$G,ROW()-8))</f>
      </c>
      <c r="F2101">
        <f>IF(INDEX(Transactions!$J:$J,ROW()-8)="",0,INDEX(Transactions!$O:$O,ROW()-8))</f>
      </c>
    </row>
    <row r="2102" spans="1:7">
      <c r="B2102">
        <f>IF(INDEX(Transactions!$J:$J,ROW()-8)="",TODAY(),INDEX(Transactions!$G:$G,ROW()-8))</f>
      </c>
      <c r="F2102">
        <f>IF(INDEX(Transactions!$J:$J,ROW()-8)="",0,INDEX(Transactions!$O:$O,ROW()-8))</f>
      </c>
    </row>
    <row r="2103" spans="1:7">
      <c r="B2103">
        <f>IF(INDEX(Transactions!$J:$J,ROW()-8)="",TODAY(),INDEX(Transactions!$G:$G,ROW()-8))</f>
      </c>
      <c r="F2103">
        <f>IF(INDEX(Transactions!$J:$J,ROW()-8)="",0,INDEX(Transactions!$O:$O,ROW()-8))</f>
      </c>
    </row>
    <row r="2104" spans="1:7">
      <c r="B2104">
        <f>IF(INDEX(Transactions!$J:$J,ROW()-8)="",TODAY(),INDEX(Transactions!$G:$G,ROW()-8))</f>
      </c>
      <c r="F2104">
        <f>IF(INDEX(Transactions!$J:$J,ROW()-8)="",0,INDEX(Transactions!$O:$O,ROW()-8))</f>
      </c>
    </row>
    <row r="2105" spans="1:7">
      <c r="B2105">
        <f>IF(INDEX(Transactions!$J:$J,ROW()-8)="",TODAY(),INDEX(Transactions!$G:$G,ROW()-8))</f>
      </c>
      <c r="F2105">
        <f>IF(INDEX(Transactions!$J:$J,ROW()-8)="",0,INDEX(Transactions!$O:$O,ROW()-8))</f>
      </c>
    </row>
    <row r="2106" spans="1:7">
      <c r="B2106">
        <f>IF(INDEX(Transactions!$J:$J,ROW()-8)="",TODAY(),INDEX(Transactions!$G:$G,ROW()-8))</f>
      </c>
      <c r="F2106">
        <f>IF(INDEX(Transactions!$J:$J,ROW()-8)="",0,INDEX(Transactions!$O:$O,ROW()-8))</f>
      </c>
    </row>
    <row r="2107" spans="1:7">
      <c r="B2107">
        <f>IF(INDEX(Transactions!$J:$J,ROW()-8)="",TODAY(),INDEX(Transactions!$G:$G,ROW()-8))</f>
      </c>
      <c r="F2107">
        <f>IF(INDEX(Transactions!$J:$J,ROW()-8)="",0,INDEX(Transactions!$O:$O,ROW()-8))</f>
      </c>
    </row>
    <row r="2108" spans="1:7">
      <c r="B2108">
        <f>IF(INDEX(Transactions!$J:$J,ROW()-8)="",TODAY(),INDEX(Transactions!$G:$G,ROW()-8))</f>
      </c>
      <c r="F2108">
        <f>IF(INDEX(Transactions!$J:$J,ROW()-8)="",0,INDEX(Transactions!$O:$O,ROW()-8))</f>
      </c>
    </row>
    <row r="2109" spans="1:7">
      <c r="B2109">
        <f>IF(INDEX(Transactions!$J:$J,ROW()-8)="",TODAY(),INDEX(Transactions!$G:$G,ROW()-8))</f>
      </c>
      <c r="F2109">
        <f>IF(INDEX(Transactions!$J:$J,ROW()-8)="",0,INDEX(Transactions!$O:$O,ROW()-8))</f>
      </c>
    </row>
    <row r="2110" spans="1:7">
      <c r="B2110">
        <f>IF(INDEX(Transactions!$J:$J,ROW()-8)="",TODAY(),INDEX(Transactions!$G:$G,ROW()-8))</f>
      </c>
      <c r="F2110">
        <f>IF(INDEX(Transactions!$J:$J,ROW()-8)="",0,INDEX(Transactions!$O:$O,ROW()-8))</f>
      </c>
    </row>
    <row r="2111" spans="1:7">
      <c r="B2111">
        <f>IF(INDEX(Transactions!$J:$J,ROW()-8)="",TODAY(),INDEX(Transactions!$G:$G,ROW()-8))</f>
      </c>
      <c r="F2111">
        <f>IF(INDEX(Transactions!$J:$J,ROW()-8)="",0,INDEX(Transactions!$O:$O,ROW()-8))</f>
      </c>
    </row>
    <row r="2112" spans="1:7">
      <c r="B2112">
        <f>IF(INDEX(Transactions!$J:$J,ROW()-8)="",TODAY(),INDEX(Transactions!$G:$G,ROW()-8))</f>
      </c>
      <c r="F2112">
        <f>IF(INDEX(Transactions!$J:$J,ROW()-8)="",0,INDEX(Transactions!$O:$O,ROW()-8))</f>
      </c>
    </row>
    <row r="2113" spans="1:7">
      <c r="B2113">
        <f>IF(INDEX(Transactions!$J:$J,ROW()-8)="",TODAY(),INDEX(Transactions!$G:$G,ROW()-8))</f>
      </c>
      <c r="F2113">
        <f>IF(INDEX(Transactions!$J:$J,ROW()-8)="",0,INDEX(Transactions!$O:$O,ROW()-8))</f>
      </c>
    </row>
    <row r="2114" spans="1:7">
      <c r="B2114">
        <f>IF(INDEX(Transactions!$J:$J,ROW()-8)="",TODAY(),INDEX(Transactions!$G:$G,ROW()-8))</f>
      </c>
      <c r="F2114">
        <f>IF(INDEX(Transactions!$J:$J,ROW()-8)="",0,INDEX(Transactions!$O:$O,ROW()-8))</f>
      </c>
    </row>
    <row r="2115" spans="1:7">
      <c r="B2115">
        <f>IF(INDEX(Transactions!$J:$J,ROW()-8)="",TODAY(),INDEX(Transactions!$G:$G,ROW()-8))</f>
      </c>
      <c r="F2115">
        <f>IF(INDEX(Transactions!$J:$J,ROW()-8)="",0,INDEX(Transactions!$O:$O,ROW()-8))</f>
      </c>
    </row>
    <row r="2116" spans="1:7">
      <c r="B2116">
        <f>IF(INDEX(Transactions!$J:$J,ROW()-8)="",TODAY(),INDEX(Transactions!$G:$G,ROW()-8))</f>
      </c>
      <c r="F2116">
        <f>IF(INDEX(Transactions!$J:$J,ROW()-8)="",0,INDEX(Transactions!$O:$O,ROW()-8))</f>
      </c>
    </row>
    <row r="2117" spans="1:7">
      <c r="B2117">
        <f>IF(INDEX(Transactions!$J:$J,ROW()-8)="",TODAY(),INDEX(Transactions!$G:$G,ROW()-8))</f>
      </c>
      <c r="F2117">
        <f>IF(INDEX(Transactions!$J:$J,ROW()-8)="",0,INDEX(Transactions!$O:$O,ROW()-8))</f>
      </c>
    </row>
    <row r="2118" spans="1:7">
      <c r="B2118">
        <f>IF(INDEX(Transactions!$J:$J,ROW()-8)="",TODAY(),INDEX(Transactions!$G:$G,ROW()-8))</f>
      </c>
      <c r="F2118">
        <f>IF(INDEX(Transactions!$J:$J,ROW()-8)="",0,INDEX(Transactions!$O:$O,ROW()-8))</f>
      </c>
    </row>
    <row r="2119" spans="1:7">
      <c r="B2119">
        <f>IF(INDEX(Transactions!$J:$J,ROW()-8)="",TODAY(),INDEX(Transactions!$G:$G,ROW()-8))</f>
      </c>
      <c r="F2119">
        <f>IF(INDEX(Transactions!$J:$J,ROW()-8)="",0,INDEX(Transactions!$O:$O,ROW()-8))</f>
      </c>
    </row>
    <row r="2120" spans="1:7">
      <c r="B2120">
        <f>IF(INDEX(Transactions!$J:$J,ROW()-8)="",TODAY(),INDEX(Transactions!$G:$G,ROW()-8))</f>
      </c>
      <c r="F2120">
        <f>IF(INDEX(Transactions!$J:$J,ROW()-8)="",0,INDEX(Transactions!$O:$O,ROW()-8))</f>
      </c>
    </row>
    <row r="2121" spans="1:7">
      <c r="B2121">
        <f>IF(INDEX(Transactions!$J:$J,ROW()-8)="",TODAY(),INDEX(Transactions!$G:$G,ROW()-8))</f>
      </c>
      <c r="F2121">
        <f>IF(INDEX(Transactions!$J:$J,ROW()-8)="",0,INDEX(Transactions!$O:$O,ROW()-8))</f>
      </c>
    </row>
    <row r="2122" spans="1:7">
      <c r="B2122">
        <f>IF(INDEX(Transactions!$J:$J,ROW()-8)="",TODAY(),INDEX(Transactions!$G:$G,ROW()-8))</f>
      </c>
      <c r="F2122">
        <f>IF(INDEX(Transactions!$J:$J,ROW()-8)="",0,INDEX(Transactions!$O:$O,ROW()-8))</f>
      </c>
    </row>
    <row r="2123" spans="1:7">
      <c r="B2123">
        <f>IF(INDEX(Transactions!$J:$J,ROW()-8)="",TODAY(),INDEX(Transactions!$G:$G,ROW()-8))</f>
      </c>
      <c r="F2123">
        <f>IF(INDEX(Transactions!$J:$J,ROW()-8)="",0,INDEX(Transactions!$O:$O,ROW()-8))</f>
      </c>
    </row>
    <row r="2124" spans="1:7">
      <c r="B2124">
        <f>IF(INDEX(Transactions!$J:$J,ROW()-8)="",TODAY(),INDEX(Transactions!$G:$G,ROW()-8))</f>
      </c>
      <c r="F2124">
        <f>IF(INDEX(Transactions!$J:$J,ROW()-8)="",0,INDEX(Transactions!$O:$O,ROW()-8))</f>
      </c>
    </row>
    <row r="2125" spans="1:7">
      <c r="B2125">
        <f>IF(INDEX(Transactions!$J:$J,ROW()-8)="",TODAY(),INDEX(Transactions!$G:$G,ROW()-8))</f>
      </c>
      <c r="F2125">
        <f>IF(INDEX(Transactions!$J:$J,ROW()-8)="",0,INDEX(Transactions!$O:$O,ROW()-8))</f>
      </c>
    </row>
    <row r="2126" spans="1:7">
      <c r="B2126">
        <f>IF(INDEX(Transactions!$J:$J,ROW()-8)="",TODAY(),INDEX(Transactions!$G:$G,ROW()-8))</f>
      </c>
      <c r="F2126">
        <f>IF(INDEX(Transactions!$J:$J,ROW()-8)="",0,INDEX(Transactions!$O:$O,ROW()-8))</f>
      </c>
    </row>
    <row r="2127" spans="1:7">
      <c r="B2127">
        <f>IF(INDEX(Transactions!$J:$J,ROW()-8)="",TODAY(),INDEX(Transactions!$G:$G,ROW()-8))</f>
      </c>
      <c r="F2127">
        <f>IF(INDEX(Transactions!$J:$J,ROW()-8)="",0,INDEX(Transactions!$O:$O,ROW()-8))</f>
      </c>
    </row>
    <row r="2128" spans="1:7">
      <c r="B2128">
        <f>IF(INDEX(Transactions!$J:$J,ROW()-8)="",TODAY(),INDEX(Transactions!$G:$G,ROW()-8))</f>
      </c>
      <c r="F2128">
        <f>IF(INDEX(Transactions!$J:$J,ROW()-8)="",0,INDEX(Transactions!$O:$O,ROW()-8))</f>
      </c>
    </row>
    <row r="2129" spans="1:7">
      <c r="B2129">
        <f>IF(INDEX(Transactions!$J:$J,ROW()-8)="",TODAY(),INDEX(Transactions!$G:$G,ROW()-8))</f>
      </c>
      <c r="F2129">
        <f>IF(INDEX(Transactions!$J:$J,ROW()-8)="",0,INDEX(Transactions!$O:$O,ROW()-8))</f>
      </c>
    </row>
    <row r="2130" spans="1:7">
      <c r="B2130">
        <f>IF(INDEX(Transactions!$J:$J,ROW()-8)="",TODAY(),INDEX(Transactions!$G:$G,ROW()-8))</f>
      </c>
      <c r="F2130">
        <f>IF(INDEX(Transactions!$J:$J,ROW()-8)="",0,INDEX(Transactions!$O:$O,ROW()-8))</f>
      </c>
    </row>
    <row r="2131" spans="1:7">
      <c r="B2131">
        <f>IF(INDEX(Transactions!$J:$J,ROW()-8)="",TODAY(),INDEX(Transactions!$G:$G,ROW()-8))</f>
      </c>
      <c r="F2131">
        <f>IF(INDEX(Transactions!$J:$J,ROW()-8)="",0,INDEX(Transactions!$O:$O,ROW()-8))</f>
      </c>
    </row>
    <row r="2132" spans="1:7">
      <c r="B2132">
        <f>IF(INDEX(Transactions!$J:$J,ROW()-8)="",TODAY(),INDEX(Transactions!$G:$G,ROW()-8))</f>
      </c>
      <c r="F2132">
        <f>IF(INDEX(Transactions!$J:$J,ROW()-8)="",0,INDEX(Transactions!$O:$O,ROW()-8))</f>
      </c>
    </row>
    <row r="2133" spans="1:7">
      <c r="B2133">
        <f>IF(INDEX(Transactions!$J:$J,ROW()-8)="",TODAY(),INDEX(Transactions!$G:$G,ROW()-8))</f>
      </c>
      <c r="F2133">
        <f>IF(INDEX(Transactions!$J:$J,ROW()-8)="",0,INDEX(Transactions!$O:$O,ROW()-8))</f>
      </c>
    </row>
    <row r="2134" spans="1:7">
      <c r="B2134">
        <f>IF(INDEX(Transactions!$J:$J,ROW()-8)="",TODAY(),INDEX(Transactions!$G:$G,ROW()-8))</f>
      </c>
      <c r="F2134">
        <f>IF(INDEX(Transactions!$J:$J,ROW()-8)="",0,INDEX(Transactions!$O:$O,ROW()-8))</f>
      </c>
    </row>
    <row r="2135" spans="1:7">
      <c r="B2135">
        <f>IF(INDEX(Transactions!$J:$J,ROW()-8)="",TODAY(),INDEX(Transactions!$G:$G,ROW()-8))</f>
      </c>
      <c r="F2135">
        <f>IF(INDEX(Transactions!$J:$J,ROW()-8)="",0,INDEX(Transactions!$O:$O,ROW()-8))</f>
      </c>
    </row>
    <row r="2136" spans="1:7">
      <c r="B2136">
        <f>IF(INDEX(Transactions!$J:$J,ROW()-8)="",TODAY(),INDEX(Transactions!$G:$G,ROW()-8))</f>
      </c>
      <c r="F2136">
        <f>IF(INDEX(Transactions!$J:$J,ROW()-8)="",0,INDEX(Transactions!$O:$O,ROW()-8))</f>
      </c>
    </row>
    <row r="2137" spans="1:7">
      <c r="B2137">
        <f>IF(INDEX(Transactions!$J:$J,ROW()-8)="",TODAY(),INDEX(Transactions!$G:$G,ROW()-8))</f>
      </c>
      <c r="F2137">
        <f>IF(INDEX(Transactions!$J:$J,ROW()-8)="",0,INDEX(Transactions!$O:$O,ROW()-8))</f>
      </c>
    </row>
    <row r="2138" spans="1:7">
      <c r="B2138">
        <f>IF(INDEX(Transactions!$J:$J,ROW()-8)="",TODAY(),INDEX(Transactions!$G:$G,ROW()-8))</f>
      </c>
      <c r="F2138">
        <f>IF(INDEX(Transactions!$J:$J,ROW()-8)="",0,INDEX(Transactions!$O:$O,ROW()-8))</f>
      </c>
    </row>
    <row r="2139" spans="1:7">
      <c r="B2139">
        <f>IF(INDEX(Transactions!$J:$J,ROW()-8)="",TODAY(),INDEX(Transactions!$G:$G,ROW()-8))</f>
      </c>
      <c r="F2139">
        <f>IF(INDEX(Transactions!$J:$J,ROW()-8)="",0,INDEX(Transactions!$O:$O,ROW()-8))</f>
      </c>
    </row>
    <row r="2140" spans="1:7">
      <c r="B2140">
        <f>IF(INDEX(Transactions!$J:$J,ROW()-8)="",TODAY(),INDEX(Transactions!$G:$G,ROW()-8))</f>
      </c>
      <c r="F2140">
        <f>IF(INDEX(Transactions!$J:$J,ROW()-8)="",0,INDEX(Transactions!$O:$O,ROW()-8))</f>
      </c>
    </row>
    <row r="2141" spans="1:7">
      <c r="B2141">
        <f>IF(INDEX(Transactions!$J:$J,ROW()-8)="",TODAY(),INDEX(Transactions!$G:$G,ROW()-8))</f>
      </c>
      <c r="F2141">
        <f>IF(INDEX(Transactions!$J:$J,ROW()-8)="",0,INDEX(Transactions!$O:$O,ROW()-8))</f>
      </c>
    </row>
    <row r="2142" spans="1:7">
      <c r="B2142">
        <f>IF(INDEX(Transactions!$J:$J,ROW()-8)="",TODAY(),INDEX(Transactions!$G:$G,ROW()-8))</f>
      </c>
      <c r="F2142">
        <f>IF(INDEX(Transactions!$J:$J,ROW()-8)="",0,INDEX(Transactions!$O:$O,ROW()-8))</f>
      </c>
    </row>
    <row r="2143" spans="1:7">
      <c r="B2143">
        <f>IF(INDEX(Transactions!$J:$J,ROW()-8)="",TODAY(),INDEX(Transactions!$G:$G,ROW()-8))</f>
      </c>
      <c r="F2143">
        <f>IF(INDEX(Transactions!$J:$J,ROW()-8)="",0,INDEX(Transactions!$O:$O,ROW()-8))</f>
      </c>
    </row>
    <row r="2144" spans="1:7">
      <c r="B2144">
        <f>IF(INDEX(Transactions!$J:$J,ROW()-8)="",TODAY(),INDEX(Transactions!$G:$G,ROW()-8))</f>
      </c>
      <c r="F2144">
        <f>IF(INDEX(Transactions!$J:$J,ROW()-8)="",0,INDEX(Transactions!$O:$O,ROW()-8))</f>
      </c>
    </row>
    <row r="2145" spans="1:7">
      <c r="B2145">
        <f>IF(INDEX(Transactions!$J:$J,ROW()-8)="",TODAY(),INDEX(Transactions!$G:$G,ROW()-8))</f>
      </c>
      <c r="F2145">
        <f>IF(INDEX(Transactions!$J:$J,ROW()-8)="",0,INDEX(Transactions!$O:$O,ROW()-8))</f>
      </c>
    </row>
    <row r="2146" spans="1:7">
      <c r="B2146">
        <f>IF(INDEX(Transactions!$J:$J,ROW()-8)="",TODAY(),INDEX(Transactions!$G:$G,ROW()-8))</f>
      </c>
      <c r="F2146">
        <f>IF(INDEX(Transactions!$J:$J,ROW()-8)="",0,INDEX(Transactions!$O:$O,ROW()-8))</f>
      </c>
    </row>
    <row r="2147" spans="1:7">
      <c r="B2147">
        <f>IF(INDEX(Transactions!$J:$J,ROW()-8)="",TODAY(),INDEX(Transactions!$G:$G,ROW()-8))</f>
      </c>
      <c r="F2147">
        <f>IF(INDEX(Transactions!$J:$J,ROW()-8)="",0,INDEX(Transactions!$O:$O,ROW()-8))</f>
      </c>
    </row>
    <row r="2148" spans="1:7">
      <c r="B2148">
        <f>IF(INDEX(Transactions!$J:$J,ROW()-8)="",TODAY(),INDEX(Transactions!$G:$G,ROW()-8))</f>
      </c>
      <c r="F2148">
        <f>IF(INDEX(Transactions!$J:$J,ROW()-8)="",0,INDEX(Transactions!$O:$O,ROW()-8))</f>
      </c>
    </row>
    <row r="2149" spans="1:7">
      <c r="B2149">
        <f>IF(INDEX(Transactions!$J:$J,ROW()-8)="",TODAY(),INDEX(Transactions!$G:$G,ROW()-8))</f>
      </c>
      <c r="F2149">
        <f>IF(INDEX(Transactions!$J:$J,ROW()-8)="",0,INDEX(Transactions!$O:$O,ROW()-8))</f>
      </c>
    </row>
    <row r="2150" spans="1:7">
      <c r="B2150">
        <f>IF(INDEX(Transactions!$J:$J,ROW()-8)="",TODAY(),INDEX(Transactions!$G:$G,ROW()-8))</f>
      </c>
      <c r="F2150">
        <f>IF(INDEX(Transactions!$J:$J,ROW()-8)="",0,INDEX(Transactions!$O:$O,ROW()-8))</f>
      </c>
    </row>
    <row r="2151" spans="1:7">
      <c r="B2151">
        <f>IF(INDEX(Transactions!$J:$J,ROW()-8)="",TODAY(),INDEX(Transactions!$G:$G,ROW()-8))</f>
      </c>
      <c r="F2151">
        <f>IF(INDEX(Transactions!$J:$J,ROW()-8)="",0,INDEX(Transactions!$O:$O,ROW()-8))</f>
      </c>
    </row>
    <row r="2152" spans="1:7">
      <c r="B2152">
        <f>IF(INDEX(Transactions!$J:$J,ROW()-8)="",TODAY(),INDEX(Transactions!$G:$G,ROW()-8))</f>
      </c>
      <c r="F2152">
        <f>IF(INDEX(Transactions!$J:$J,ROW()-8)="",0,INDEX(Transactions!$O:$O,ROW()-8))</f>
      </c>
    </row>
    <row r="2153" spans="1:7">
      <c r="B2153">
        <f>IF(INDEX(Transactions!$J:$J,ROW()-8)="",TODAY(),INDEX(Transactions!$G:$G,ROW()-8))</f>
      </c>
      <c r="F2153">
        <f>IF(INDEX(Transactions!$J:$J,ROW()-8)="",0,INDEX(Transactions!$O:$O,ROW()-8))</f>
      </c>
    </row>
    <row r="2154" spans="1:7">
      <c r="B2154">
        <f>IF(INDEX(Transactions!$J:$J,ROW()-8)="",TODAY(),INDEX(Transactions!$G:$G,ROW()-8))</f>
      </c>
      <c r="F2154">
        <f>IF(INDEX(Transactions!$J:$J,ROW()-8)="",0,INDEX(Transactions!$O:$O,ROW()-8))</f>
      </c>
    </row>
    <row r="2155" spans="1:7">
      <c r="B2155">
        <f>IF(INDEX(Transactions!$J:$J,ROW()-8)="",TODAY(),INDEX(Transactions!$G:$G,ROW()-8))</f>
      </c>
      <c r="F2155">
        <f>IF(INDEX(Transactions!$J:$J,ROW()-8)="",0,INDEX(Transactions!$O:$O,ROW()-8))</f>
      </c>
    </row>
    <row r="2156" spans="1:7">
      <c r="B2156">
        <f>IF(INDEX(Transactions!$J:$J,ROW()-8)="",TODAY(),INDEX(Transactions!$G:$G,ROW()-8))</f>
      </c>
      <c r="F2156">
        <f>IF(INDEX(Transactions!$J:$J,ROW()-8)="",0,INDEX(Transactions!$O:$O,ROW()-8))</f>
      </c>
    </row>
    <row r="2157" spans="1:7">
      <c r="B2157">
        <f>IF(INDEX(Transactions!$J:$J,ROW()-8)="",TODAY(),INDEX(Transactions!$G:$G,ROW()-8))</f>
      </c>
      <c r="F2157">
        <f>IF(INDEX(Transactions!$J:$J,ROW()-8)="",0,INDEX(Transactions!$O:$O,ROW()-8))</f>
      </c>
    </row>
    <row r="2158" spans="1:7">
      <c r="B2158">
        <f>IF(INDEX(Transactions!$J:$J,ROW()-8)="",TODAY(),INDEX(Transactions!$G:$G,ROW()-8))</f>
      </c>
      <c r="F2158">
        <f>IF(INDEX(Transactions!$J:$J,ROW()-8)="",0,INDEX(Transactions!$O:$O,ROW()-8))</f>
      </c>
    </row>
    <row r="2159" spans="1:7">
      <c r="B2159">
        <f>IF(INDEX(Transactions!$J:$J,ROW()-8)="",TODAY(),INDEX(Transactions!$G:$G,ROW()-8))</f>
      </c>
      <c r="F2159">
        <f>IF(INDEX(Transactions!$J:$J,ROW()-8)="",0,INDEX(Transactions!$O:$O,ROW()-8))</f>
      </c>
    </row>
    <row r="2160" spans="1:7">
      <c r="B2160">
        <f>IF(INDEX(Transactions!$J:$J,ROW()-8)="",TODAY(),INDEX(Transactions!$G:$G,ROW()-8))</f>
      </c>
      <c r="F2160">
        <f>IF(INDEX(Transactions!$J:$J,ROW()-8)="",0,INDEX(Transactions!$O:$O,ROW()-8))</f>
      </c>
    </row>
    <row r="2161" spans="1:7">
      <c r="B2161">
        <f>IF(INDEX(Transactions!$J:$J,ROW()-8)="",TODAY(),INDEX(Transactions!$G:$G,ROW()-8))</f>
      </c>
      <c r="F2161">
        <f>IF(INDEX(Transactions!$J:$J,ROW()-8)="",0,INDEX(Transactions!$O:$O,ROW()-8))</f>
      </c>
    </row>
    <row r="2162" spans="1:7">
      <c r="B2162">
        <f>IF(INDEX(Transactions!$J:$J,ROW()-8)="",TODAY(),INDEX(Transactions!$G:$G,ROW()-8))</f>
      </c>
      <c r="F2162">
        <f>IF(INDEX(Transactions!$J:$J,ROW()-8)="",0,INDEX(Transactions!$O:$O,ROW()-8))</f>
      </c>
    </row>
    <row r="2163" spans="1:7">
      <c r="B2163">
        <f>IF(INDEX(Transactions!$J:$J,ROW()-8)="",TODAY(),INDEX(Transactions!$G:$G,ROW()-8))</f>
      </c>
      <c r="F2163">
        <f>IF(INDEX(Transactions!$J:$J,ROW()-8)="",0,INDEX(Transactions!$O:$O,ROW()-8))</f>
      </c>
    </row>
    <row r="2164" spans="1:7">
      <c r="B2164">
        <f>IF(INDEX(Transactions!$J:$J,ROW()-8)="",TODAY(),INDEX(Transactions!$G:$G,ROW()-8))</f>
      </c>
      <c r="F2164">
        <f>IF(INDEX(Transactions!$J:$J,ROW()-8)="",0,INDEX(Transactions!$O:$O,ROW()-8))</f>
      </c>
    </row>
    <row r="2165" spans="1:7">
      <c r="B2165">
        <f>IF(INDEX(Transactions!$J:$J,ROW()-8)="",TODAY(),INDEX(Transactions!$G:$G,ROW()-8))</f>
      </c>
      <c r="F2165">
        <f>IF(INDEX(Transactions!$J:$J,ROW()-8)="",0,INDEX(Transactions!$O:$O,ROW()-8))</f>
      </c>
    </row>
    <row r="2166" spans="1:7">
      <c r="B2166">
        <f>IF(INDEX(Transactions!$J:$J,ROW()-8)="",TODAY(),INDEX(Transactions!$G:$G,ROW()-8))</f>
      </c>
      <c r="F2166">
        <f>IF(INDEX(Transactions!$J:$J,ROW()-8)="",0,INDEX(Transactions!$O:$O,ROW()-8))</f>
      </c>
    </row>
    <row r="2167" spans="1:7">
      <c r="B2167">
        <f>IF(INDEX(Transactions!$J:$J,ROW()-8)="",TODAY(),INDEX(Transactions!$G:$G,ROW()-8))</f>
      </c>
      <c r="F2167">
        <f>IF(INDEX(Transactions!$J:$J,ROW()-8)="",0,INDEX(Transactions!$O:$O,ROW()-8))</f>
      </c>
    </row>
    <row r="2168" spans="1:7">
      <c r="B2168">
        <f>IF(INDEX(Transactions!$J:$J,ROW()-8)="",TODAY(),INDEX(Transactions!$G:$G,ROW()-8))</f>
      </c>
      <c r="F2168">
        <f>IF(INDEX(Transactions!$J:$J,ROW()-8)="",0,INDEX(Transactions!$O:$O,ROW()-8))</f>
      </c>
    </row>
    <row r="2169" spans="1:7">
      <c r="B2169">
        <f>IF(INDEX(Transactions!$J:$J,ROW()-8)="",TODAY(),INDEX(Transactions!$G:$G,ROW()-8))</f>
      </c>
      <c r="F2169">
        <f>IF(INDEX(Transactions!$J:$J,ROW()-8)="",0,INDEX(Transactions!$O:$O,ROW()-8))</f>
      </c>
    </row>
    <row r="2170" spans="1:7">
      <c r="B2170">
        <f>IF(INDEX(Transactions!$J:$J,ROW()-8)="",TODAY(),INDEX(Transactions!$G:$G,ROW()-8))</f>
      </c>
      <c r="F2170">
        <f>IF(INDEX(Transactions!$J:$J,ROW()-8)="",0,INDEX(Transactions!$O:$O,ROW()-8))</f>
      </c>
    </row>
    <row r="2171" spans="1:7">
      <c r="B2171">
        <f>IF(INDEX(Transactions!$J:$J,ROW()-8)="",TODAY(),INDEX(Transactions!$G:$G,ROW()-8))</f>
      </c>
      <c r="F2171">
        <f>IF(INDEX(Transactions!$J:$J,ROW()-8)="",0,INDEX(Transactions!$O:$O,ROW()-8))</f>
      </c>
    </row>
    <row r="2172" spans="1:7">
      <c r="B2172">
        <f>IF(INDEX(Transactions!$J:$J,ROW()-8)="",TODAY(),INDEX(Transactions!$G:$G,ROW()-8))</f>
      </c>
      <c r="F2172">
        <f>IF(INDEX(Transactions!$J:$J,ROW()-8)="",0,INDEX(Transactions!$O:$O,ROW()-8))</f>
      </c>
    </row>
    <row r="2173" spans="1:7">
      <c r="B2173">
        <f>IF(INDEX(Transactions!$J:$J,ROW()-8)="",TODAY(),INDEX(Transactions!$G:$G,ROW()-8))</f>
      </c>
      <c r="F2173">
        <f>IF(INDEX(Transactions!$J:$J,ROW()-8)="",0,INDEX(Transactions!$O:$O,ROW()-8))</f>
      </c>
    </row>
    <row r="2174" spans="1:7">
      <c r="B2174">
        <f>IF(INDEX(Transactions!$J:$J,ROW()-8)="",TODAY(),INDEX(Transactions!$G:$G,ROW()-8))</f>
      </c>
      <c r="F2174">
        <f>IF(INDEX(Transactions!$J:$J,ROW()-8)="",0,INDEX(Transactions!$O:$O,ROW()-8))</f>
      </c>
    </row>
    <row r="2175" spans="1:7">
      <c r="B2175">
        <f>IF(INDEX(Transactions!$J:$J,ROW()-8)="",TODAY(),INDEX(Transactions!$G:$G,ROW()-8))</f>
      </c>
      <c r="F2175">
        <f>IF(INDEX(Transactions!$J:$J,ROW()-8)="",0,INDEX(Transactions!$O:$O,ROW()-8))</f>
      </c>
    </row>
    <row r="2176" spans="1:7">
      <c r="B2176">
        <f>IF(INDEX(Transactions!$J:$J,ROW()-8)="",TODAY(),INDEX(Transactions!$G:$G,ROW()-8))</f>
      </c>
      <c r="F2176">
        <f>IF(INDEX(Transactions!$J:$J,ROW()-8)="",0,INDEX(Transactions!$O:$O,ROW()-8))</f>
      </c>
    </row>
    <row r="2177" spans="1:7">
      <c r="B2177">
        <f>IF(INDEX(Transactions!$J:$J,ROW()-8)="",TODAY(),INDEX(Transactions!$G:$G,ROW()-8))</f>
      </c>
      <c r="F2177">
        <f>IF(INDEX(Transactions!$J:$J,ROW()-8)="",0,INDEX(Transactions!$O:$O,ROW()-8))</f>
      </c>
    </row>
    <row r="2178" spans="1:7">
      <c r="B2178">
        <f>IF(INDEX(Transactions!$J:$J,ROW()-8)="",TODAY(),INDEX(Transactions!$G:$G,ROW()-8))</f>
      </c>
      <c r="F2178">
        <f>IF(INDEX(Transactions!$J:$J,ROW()-8)="",0,INDEX(Transactions!$O:$O,ROW()-8))</f>
      </c>
    </row>
    <row r="2179" spans="1:7">
      <c r="B2179">
        <f>IF(INDEX(Transactions!$J:$J,ROW()-8)="",TODAY(),INDEX(Transactions!$G:$G,ROW()-8))</f>
      </c>
      <c r="F2179">
        <f>IF(INDEX(Transactions!$J:$J,ROW()-8)="",0,INDEX(Transactions!$O:$O,ROW()-8))</f>
      </c>
    </row>
    <row r="2180" spans="1:7">
      <c r="B2180">
        <f>IF(INDEX(Transactions!$J:$J,ROW()-8)="",TODAY(),INDEX(Transactions!$G:$G,ROW()-8))</f>
      </c>
      <c r="F2180">
        <f>IF(INDEX(Transactions!$J:$J,ROW()-8)="",0,INDEX(Transactions!$O:$O,ROW()-8))</f>
      </c>
    </row>
    <row r="2181" spans="1:7">
      <c r="B2181">
        <f>IF(INDEX(Transactions!$J:$J,ROW()-8)="",TODAY(),INDEX(Transactions!$G:$G,ROW()-8))</f>
      </c>
      <c r="F2181">
        <f>IF(INDEX(Transactions!$J:$J,ROW()-8)="",0,INDEX(Transactions!$O:$O,ROW()-8))</f>
      </c>
    </row>
    <row r="2182" spans="1:7">
      <c r="B2182">
        <f>IF(INDEX(Transactions!$J:$J,ROW()-8)="",TODAY(),INDEX(Transactions!$G:$G,ROW()-8))</f>
      </c>
      <c r="F2182">
        <f>IF(INDEX(Transactions!$J:$J,ROW()-8)="",0,INDEX(Transactions!$O:$O,ROW()-8))</f>
      </c>
    </row>
    <row r="2183" spans="1:7">
      <c r="B2183">
        <f>IF(INDEX(Transactions!$J:$J,ROW()-8)="",TODAY(),INDEX(Transactions!$G:$G,ROW()-8))</f>
      </c>
      <c r="F2183">
        <f>IF(INDEX(Transactions!$J:$J,ROW()-8)="",0,INDEX(Transactions!$O:$O,ROW()-8))</f>
      </c>
    </row>
    <row r="2184" spans="1:7">
      <c r="B2184">
        <f>IF(INDEX(Transactions!$J:$J,ROW()-8)="",TODAY(),INDEX(Transactions!$G:$G,ROW()-8))</f>
      </c>
      <c r="F2184">
        <f>IF(INDEX(Transactions!$J:$J,ROW()-8)="",0,INDEX(Transactions!$O:$O,ROW()-8))</f>
      </c>
    </row>
    <row r="2185" spans="1:7">
      <c r="B2185">
        <f>IF(INDEX(Transactions!$J:$J,ROW()-8)="",TODAY(),INDEX(Transactions!$G:$G,ROW()-8))</f>
      </c>
      <c r="F2185">
        <f>IF(INDEX(Transactions!$J:$J,ROW()-8)="",0,INDEX(Transactions!$O:$O,ROW()-8))</f>
      </c>
    </row>
    <row r="2186" spans="1:7">
      <c r="B2186">
        <f>IF(INDEX(Transactions!$J:$J,ROW()-8)="",TODAY(),INDEX(Transactions!$G:$G,ROW()-8))</f>
      </c>
      <c r="F2186">
        <f>IF(INDEX(Transactions!$J:$J,ROW()-8)="",0,INDEX(Transactions!$O:$O,ROW()-8))</f>
      </c>
    </row>
    <row r="2187" spans="1:7">
      <c r="B2187">
        <f>IF(INDEX(Transactions!$J:$J,ROW()-8)="",TODAY(),INDEX(Transactions!$G:$G,ROW()-8))</f>
      </c>
      <c r="F2187">
        <f>IF(INDEX(Transactions!$J:$J,ROW()-8)="",0,INDEX(Transactions!$O:$O,ROW()-8))</f>
      </c>
    </row>
    <row r="2188" spans="1:7">
      <c r="B2188">
        <f>IF(INDEX(Transactions!$J:$J,ROW()-8)="",TODAY(),INDEX(Transactions!$G:$G,ROW()-8))</f>
      </c>
      <c r="F2188">
        <f>IF(INDEX(Transactions!$J:$J,ROW()-8)="",0,INDEX(Transactions!$O:$O,ROW()-8))</f>
      </c>
    </row>
    <row r="2189" spans="1:7">
      <c r="B2189">
        <f>IF(INDEX(Transactions!$J:$J,ROW()-8)="",TODAY(),INDEX(Transactions!$G:$G,ROW()-8))</f>
      </c>
      <c r="F2189">
        <f>IF(INDEX(Transactions!$J:$J,ROW()-8)="",0,INDEX(Transactions!$O:$O,ROW()-8))</f>
      </c>
    </row>
    <row r="2190" spans="1:7">
      <c r="B2190">
        <f>IF(INDEX(Transactions!$J:$J,ROW()-8)="",TODAY(),INDEX(Transactions!$G:$G,ROW()-8))</f>
      </c>
      <c r="F2190">
        <f>IF(INDEX(Transactions!$J:$J,ROW()-8)="",0,INDEX(Transactions!$O:$O,ROW()-8))</f>
      </c>
    </row>
    <row r="2191" spans="1:7">
      <c r="B2191">
        <f>IF(INDEX(Transactions!$J:$J,ROW()-8)="",TODAY(),INDEX(Transactions!$G:$G,ROW()-8))</f>
      </c>
      <c r="F2191">
        <f>IF(INDEX(Transactions!$J:$J,ROW()-8)="",0,INDEX(Transactions!$O:$O,ROW()-8))</f>
      </c>
    </row>
    <row r="2192" spans="1:7">
      <c r="B2192">
        <f>IF(INDEX(Transactions!$J:$J,ROW()-8)="",TODAY(),INDEX(Transactions!$G:$G,ROW()-8))</f>
      </c>
      <c r="F2192">
        <f>IF(INDEX(Transactions!$J:$J,ROW()-8)="",0,INDEX(Transactions!$O:$O,ROW()-8))</f>
      </c>
    </row>
    <row r="2193" spans="1:7">
      <c r="B2193">
        <f>IF(INDEX(Transactions!$J:$J,ROW()-8)="",TODAY(),INDEX(Transactions!$G:$G,ROW()-8))</f>
      </c>
      <c r="F2193">
        <f>IF(INDEX(Transactions!$J:$J,ROW()-8)="",0,INDEX(Transactions!$O:$O,ROW()-8))</f>
      </c>
    </row>
    <row r="2194" spans="1:7">
      <c r="B2194">
        <f>IF(INDEX(Transactions!$J:$J,ROW()-8)="",TODAY(),INDEX(Transactions!$G:$G,ROW()-8))</f>
      </c>
      <c r="F2194">
        <f>IF(INDEX(Transactions!$J:$J,ROW()-8)="",0,INDEX(Transactions!$O:$O,ROW()-8))</f>
      </c>
    </row>
    <row r="2195" spans="1:7">
      <c r="B2195">
        <f>IF(INDEX(Transactions!$J:$J,ROW()-8)="",TODAY(),INDEX(Transactions!$G:$G,ROW()-8))</f>
      </c>
      <c r="F2195">
        <f>IF(INDEX(Transactions!$J:$J,ROW()-8)="",0,INDEX(Transactions!$O:$O,ROW()-8))</f>
      </c>
    </row>
    <row r="2196" spans="1:7">
      <c r="B2196">
        <f>IF(INDEX(Transactions!$J:$J,ROW()-8)="",TODAY(),INDEX(Transactions!$G:$G,ROW()-8))</f>
      </c>
      <c r="F2196">
        <f>IF(INDEX(Transactions!$J:$J,ROW()-8)="",0,INDEX(Transactions!$O:$O,ROW()-8))</f>
      </c>
    </row>
    <row r="2197" spans="1:7">
      <c r="B2197">
        <f>IF(INDEX(Transactions!$J:$J,ROW()-8)="",TODAY(),INDEX(Transactions!$G:$G,ROW()-8))</f>
      </c>
      <c r="F2197">
        <f>IF(INDEX(Transactions!$J:$J,ROW()-8)="",0,INDEX(Transactions!$O:$O,ROW()-8))</f>
      </c>
    </row>
    <row r="2198" spans="1:7">
      <c r="B2198">
        <f>IF(INDEX(Transactions!$J:$J,ROW()-8)="",TODAY(),INDEX(Transactions!$G:$G,ROW()-8))</f>
      </c>
      <c r="F2198">
        <f>IF(INDEX(Transactions!$J:$J,ROW()-8)="",0,INDEX(Transactions!$O:$O,ROW()-8))</f>
      </c>
    </row>
    <row r="2199" spans="1:7">
      <c r="B2199">
        <f>IF(INDEX(Transactions!$J:$J,ROW()-8)="",TODAY(),INDEX(Transactions!$G:$G,ROW()-8))</f>
      </c>
      <c r="F2199">
        <f>IF(INDEX(Transactions!$J:$J,ROW()-8)="",0,INDEX(Transactions!$O:$O,ROW()-8))</f>
      </c>
    </row>
    <row r="2200" spans="1:7">
      <c r="B2200">
        <f>IF(INDEX(Transactions!$J:$J,ROW()-8)="",TODAY(),INDEX(Transactions!$G:$G,ROW()-8))</f>
      </c>
      <c r="F2200">
        <f>IF(INDEX(Transactions!$J:$J,ROW()-8)="",0,INDEX(Transactions!$O:$O,ROW()-8))</f>
      </c>
    </row>
    <row r="2201" spans="1:7">
      <c r="B2201">
        <f>IF(INDEX(Transactions!$J:$J,ROW()-8)="",TODAY(),INDEX(Transactions!$G:$G,ROW()-8))</f>
      </c>
      <c r="F2201">
        <f>IF(INDEX(Transactions!$J:$J,ROW()-8)="",0,INDEX(Transactions!$O:$O,ROW()-8))</f>
      </c>
    </row>
    <row r="2202" spans="1:7">
      <c r="B2202">
        <f>IF(INDEX(Transactions!$J:$J,ROW()-8)="",TODAY(),INDEX(Transactions!$G:$G,ROW()-8))</f>
      </c>
      <c r="F2202">
        <f>IF(INDEX(Transactions!$J:$J,ROW()-8)="",0,INDEX(Transactions!$O:$O,ROW()-8))</f>
      </c>
    </row>
    <row r="2203" spans="1:7">
      <c r="B2203">
        <f>IF(INDEX(Transactions!$J:$J,ROW()-8)="",TODAY(),INDEX(Transactions!$G:$G,ROW()-8))</f>
      </c>
      <c r="F2203">
        <f>IF(INDEX(Transactions!$J:$J,ROW()-8)="",0,INDEX(Transactions!$O:$O,ROW()-8))</f>
      </c>
    </row>
    <row r="2204" spans="1:7">
      <c r="B2204">
        <f>IF(INDEX(Transactions!$J:$J,ROW()-8)="",TODAY(),INDEX(Transactions!$G:$G,ROW()-8))</f>
      </c>
      <c r="F2204">
        <f>IF(INDEX(Transactions!$J:$J,ROW()-8)="",0,INDEX(Transactions!$O:$O,ROW()-8))</f>
      </c>
    </row>
    <row r="2205" spans="1:7">
      <c r="B2205">
        <f>IF(INDEX(Transactions!$J:$J,ROW()-8)="",TODAY(),INDEX(Transactions!$G:$G,ROW()-8))</f>
      </c>
      <c r="F2205">
        <f>IF(INDEX(Transactions!$J:$J,ROW()-8)="",0,INDEX(Transactions!$O:$O,ROW()-8))</f>
      </c>
    </row>
    <row r="2206" spans="1:7">
      <c r="B2206">
        <f>IF(INDEX(Transactions!$J:$J,ROW()-8)="",TODAY(),INDEX(Transactions!$G:$G,ROW()-8))</f>
      </c>
      <c r="F2206">
        <f>IF(INDEX(Transactions!$J:$J,ROW()-8)="",0,INDEX(Transactions!$O:$O,ROW()-8))</f>
      </c>
    </row>
    <row r="2207" spans="1:7">
      <c r="B2207">
        <f>IF(INDEX(Transactions!$J:$J,ROW()-8)="",TODAY(),INDEX(Transactions!$G:$G,ROW()-8))</f>
      </c>
      <c r="F2207">
        <f>IF(INDEX(Transactions!$J:$J,ROW()-8)="",0,INDEX(Transactions!$O:$O,ROW()-8))</f>
      </c>
    </row>
    <row r="2208" spans="1:7">
      <c r="B2208">
        <f>IF(INDEX(Transactions!$J:$J,ROW()-8)="",TODAY(),INDEX(Transactions!$G:$G,ROW()-8))</f>
      </c>
      <c r="F2208">
        <f>IF(INDEX(Transactions!$J:$J,ROW()-8)="",0,INDEX(Transactions!$O:$O,ROW()-8))</f>
      </c>
    </row>
    <row r="2209" spans="1:7">
      <c r="B2209">
        <f>IF(INDEX(Transactions!$J:$J,ROW()-8)="",TODAY(),INDEX(Transactions!$G:$G,ROW()-8))</f>
      </c>
      <c r="F2209">
        <f>IF(INDEX(Transactions!$J:$J,ROW()-8)="",0,INDEX(Transactions!$O:$O,ROW()-8))</f>
      </c>
    </row>
    <row r="2210" spans="1:7">
      <c r="B2210">
        <f>IF(INDEX(Transactions!$J:$J,ROW()-8)="",TODAY(),INDEX(Transactions!$G:$G,ROW()-8))</f>
      </c>
      <c r="F2210">
        <f>IF(INDEX(Transactions!$J:$J,ROW()-8)="",0,INDEX(Transactions!$O:$O,ROW()-8))</f>
      </c>
    </row>
    <row r="2211" spans="1:7">
      <c r="B2211">
        <f>IF(INDEX(Transactions!$J:$J,ROW()-8)="",TODAY(),INDEX(Transactions!$G:$G,ROW()-8))</f>
      </c>
      <c r="F2211">
        <f>IF(INDEX(Transactions!$J:$J,ROW()-8)="",0,INDEX(Transactions!$O:$O,ROW()-8))</f>
      </c>
    </row>
    <row r="2212" spans="1:7">
      <c r="B2212">
        <f>IF(INDEX(Transactions!$J:$J,ROW()-8)="",TODAY(),INDEX(Transactions!$G:$G,ROW()-8))</f>
      </c>
      <c r="F2212">
        <f>IF(INDEX(Transactions!$J:$J,ROW()-8)="",0,INDEX(Transactions!$O:$O,ROW()-8))</f>
      </c>
    </row>
    <row r="2213" spans="1:7">
      <c r="B2213">
        <f>IF(INDEX(Transactions!$J:$J,ROW()-8)="",TODAY(),INDEX(Transactions!$G:$G,ROW()-8))</f>
      </c>
      <c r="F2213">
        <f>IF(INDEX(Transactions!$J:$J,ROW()-8)="",0,INDEX(Transactions!$O:$O,ROW()-8))</f>
      </c>
    </row>
    <row r="2214" spans="1:7">
      <c r="B2214">
        <f>IF(INDEX(Transactions!$J:$J,ROW()-8)="",TODAY(),INDEX(Transactions!$G:$G,ROW()-8))</f>
      </c>
      <c r="F2214">
        <f>IF(INDEX(Transactions!$J:$J,ROW()-8)="",0,INDEX(Transactions!$O:$O,ROW()-8))</f>
      </c>
    </row>
    <row r="2215" spans="1:7">
      <c r="B2215">
        <f>IF(INDEX(Transactions!$J:$J,ROW()-8)="",TODAY(),INDEX(Transactions!$G:$G,ROW()-8))</f>
      </c>
      <c r="F2215">
        <f>IF(INDEX(Transactions!$J:$J,ROW()-8)="",0,INDEX(Transactions!$O:$O,ROW()-8))</f>
      </c>
    </row>
    <row r="2216" spans="1:7">
      <c r="B2216">
        <f>IF(INDEX(Transactions!$J:$J,ROW()-8)="",TODAY(),INDEX(Transactions!$G:$G,ROW()-8))</f>
      </c>
      <c r="F2216">
        <f>IF(INDEX(Transactions!$J:$J,ROW()-8)="",0,INDEX(Transactions!$O:$O,ROW()-8))</f>
      </c>
    </row>
    <row r="2217" spans="1:7">
      <c r="B2217">
        <f>IF(INDEX(Transactions!$J:$J,ROW()-8)="",TODAY(),INDEX(Transactions!$G:$G,ROW()-8))</f>
      </c>
      <c r="F2217">
        <f>IF(INDEX(Transactions!$J:$J,ROW()-8)="",0,INDEX(Transactions!$O:$O,ROW()-8))</f>
      </c>
    </row>
    <row r="2218" spans="1:7">
      <c r="B2218">
        <f>IF(INDEX(Transactions!$J:$J,ROW()-8)="",TODAY(),INDEX(Transactions!$G:$G,ROW()-8))</f>
      </c>
      <c r="F2218">
        <f>IF(INDEX(Transactions!$J:$J,ROW()-8)="",0,INDEX(Transactions!$O:$O,ROW()-8))</f>
      </c>
    </row>
    <row r="2219" spans="1:7">
      <c r="B2219">
        <f>IF(INDEX(Transactions!$J:$J,ROW()-8)="",TODAY(),INDEX(Transactions!$G:$G,ROW()-8))</f>
      </c>
      <c r="F2219">
        <f>IF(INDEX(Transactions!$J:$J,ROW()-8)="",0,INDEX(Transactions!$O:$O,ROW()-8))</f>
      </c>
    </row>
    <row r="2220" spans="1:7">
      <c r="B2220">
        <f>IF(INDEX(Transactions!$J:$J,ROW()-8)="",TODAY(),INDEX(Transactions!$G:$G,ROW()-8))</f>
      </c>
      <c r="F2220">
        <f>IF(INDEX(Transactions!$J:$J,ROW()-8)="",0,INDEX(Transactions!$O:$O,ROW()-8))</f>
      </c>
    </row>
    <row r="2221" spans="1:7">
      <c r="B2221">
        <f>IF(INDEX(Transactions!$J:$J,ROW()-8)="",TODAY(),INDEX(Transactions!$G:$G,ROW()-8))</f>
      </c>
      <c r="F2221">
        <f>IF(INDEX(Transactions!$J:$J,ROW()-8)="",0,INDEX(Transactions!$O:$O,ROW()-8))</f>
      </c>
    </row>
    <row r="2222" spans="1:7">
      <c r="B2222">
        <f>IF(INDEX(Transactions!$J:$J,ROW()-8)="",TODAY(),INDEX(Transactions!$G:$G,ROW()-8))</f>
      </c>
      <c r="F2222">
        <f>IF(INDEX(Transactions!$J:$J,ROW()-8)="",0,INDEX(Transactions!$O:$O,ROW()-8))</f>
      </c>
    </row>
    <row r="2223" spans="1:7">
      <c r="B2223">
        <f>IF(INDEX(Transactions!$J:$J,ROW()-8)="",TODAY(),INDEX(Transactions!$G:$G,ROW()-8))</f>
      </c>
      <c r="F2223">
        <f>IF(INDEX(Transactions!$J:$J,ROW()-8)="",0,INDEX(Transactions!$O:$O,ROW()-8))</f>
      </c>
    </row>
    <row r="2224" spans="1:7">
      <c r="B2224">
        <f>IF(INDEX(Transactions!$J:$J,ROW()-8)="",TODAY(),INDEX(Transactions!$G:$G,ROW()-8))</f>
      </c>
      <c r="F2224">
        <f>IF(INDEX(Transactions!$J:$J,ROW()-8)="",0,INDEX(Transactions!$O:$O,ROW()-8))</f>
      </c>
    </row>
    <row r="2225" spans="1:7">
      <c r="B2225">
        <f>IF(INDEX(Transactions!$J:$J,ROW()-8)="",TODAY(),INDEX(Transactions!$G:$G,ROW()-8))</f>
      </c>
      <c r="F2225">
        <f>IF(INDEX(Transactions!$J:$J,ROW()-8)="",0,INDEX(Transactions!$O:$O,ROW()-8))</f>
      </c>
    </row>
    <row r="2226" spans="1:7">
      <c r="B2226">
        <f>IF(INDEX(Transactions!$J:$J,ROW()-8)="",TODAY(),INDEX(Transactions!$G:$G,ROW()-8))</f>
      </c>
      <c r="F2226">
        <f>IF(INDEX(Transactions!$J:$J,ROW()-8)="",0,INDEX(Transactions!$O:$O,ROW()-8))</f>
      </c>
    </row>
    <row r="2227" spans="1:7">
      <c r="B2227">
        <f>IF(INDEX(Transactions!$J:$J,ROW()-8)="",TODAY(),INDEX(Transactions!$G:$G,ROW()-8))</f>
      </c>
      <c r="F2227">
        <f>IF(INDEX(Transactions!$J:$J,ROW()-8)="",0,INDEX(Transactions!$O:$O,ROW()-8))</f>
      </c>
    </row>
    <row r="2228" spans="1:7">
      <c r="B2228">
        <f>IF(INDEX(Transactions!$J:$J,ROW()-8)="",TODAY(),INDEX(Transactions!$G:$G,ROW()-8))</f>
      </c>
      <c r="F2228">
        <f>IF(INDEX(Transactions!$J:$J,ROW()-8)="",0,INDEX(Transactions!$O:$O,ROW()-8))</f>
      </c>
    </row>
    <row r="2229" spans="1:7">
      <c r="B2229">
        <f>IF(INDEX(Transactions!$J:$J,ROW()-8)="",TODAY(),INDEX(Transactions!$G:$G,ROW()-8))</f>
      </c>
      <c r="F2229">
        <f>IF(INDEX(Transactions!$J:$J,ROW()-8)="",0,INDEX(Transactions!$O:$O,ROW()-8))</f>
      </c>
    </row>
    <row r="2230" spans="1:7">
      <c r="B2230">
        <f>IF(INDEX(Transactions!$J:$J,ROW()-8)="",TODAY(),INDEX(Transactions!$G:$G,ROW()-8))</f>
      </c>
      <c r="F2230">
        <f>IF(INDEX(Transactions!$J:$J,ROW()-8)="",0,INDEX(Transactions!$O:$O,ROW()-8))</f>
      </c>
    </row>
    <row r="2231" spans="1:7">
      <c r="B2231">
        <f>IF(INDEX(Transactions!$J:$J,ROW()-8)="",TODAY(),INDEX(Transactions!$G:$G,ROW()-8))</f>
      </c>
      <c r="F2231">
        <f>IF(INDEX(Transactions!$J:$J,ROW()-8)="",0,INDEX(Transactions!$O:$O,ROW()-8))</f>
      </c>
    </row>
    <row r="2232" spans="1:7">
      <c r="B2232">
        <f>IF(INDEX(Transactions!$J:$J,ROW()-8)="",TODAY(),INDEX(Transactions!$G:$G,ROW()-8))</f>
      </c>
      <c r="F2232">
        <f>IF(INDEX(Transactions!$J:$J,ROW()-8)="",0,INDEX(Transactions!$O:$O,ROW()-8))</f>
      </c>
    </row>
    <row r="2233" spans="1:7">
      <c r="B2233">
        <f>IF(INDEX(Transactions!$J:$J,ROW()-8)="",TODAY(),INDEX(Transactions!$G:$G,ROW()-8))</f>
      </c>
      <c r="F2233">
        <f>IF(INDEX(Transactions!$J:$J,ROW()-8)="",0,INDEX(Transactions!$O:$O,ROW()-8))</f>
      </c>
    </row>
    <row r="2234" spans="1:7">
      <c r="B2234">
        <f>IF(INDEX(Transactions!$J:$J,ROW()-8)="",TODAY(),INDEX(Transactions!$G:$G,ROW()-8))</f>
      </c>
      <c r="F2234">
        <f>IF(INDEX(Transactions!$J:$J,ROW()-8)="",0,INDEX(Transactions!$O:$O,ROW()-8))</f>
      </c>
    </row>
    <row r="2235" spans="1:7">
      <c r="B2235">
        <f>IF(INDEX(Transactions!$J:$J,ROW()-8)="",TODAY(),INDEX(Transactions!$G:$G,ROW()-8))</f>
      </c>
      <c r="F2235">
        <f>IF(INDEX(Transactions!$J:$J,ROW()-8)="",0,INDEX(Transactions!$O:$O,ROW()-8))</f>
      </c>
    </row>
    <row r="2236" spans="1:7">
      <c r="B2236">
        <f>IF(INDEX(Transactions!$J:$J,ROW()-8)="",TODAY(),INDEX(Transactions!$G:$G,ROW()-8))</f>
      </c>
      <c r="F2236">
        <f>IF(INDEX(Transactions!$J:$J,ROW()-8)="",0,INDEX(Transactions!$O:$O,ROW()-8))</f>
      </c>
    </row>
    <row r="2237" spans="1:7">
      <c r="B2237">
        <f>IF(INDEX(Transactions!$J:$J,ROW()-8)="",TODAY(),INDEX(Transactions!$G:$G,ROW()-8))</f>
      </c>
      <c r="F2237">
        <f>IF(INDEX(Transactions!$J:$J,ROW()-8)="",0,INDEX(Transactions!$O:$O,ROW()-8))</f>
      </c>
    </row>
    <row r="2238" spans="1:7">
      <c r="B2238">
        <f>IF(INDEX(Transactions!$J:$J,ROW()-8)="",TODAY(),INDEX(Transactions!$G:$G,ROW()-8))</f>
      </c>
      <c r="F2238">
        <f>IF(INDEX(Transactions!$J:$J,ROW()-8)="",0,INDEX(Transactions!$O:$O,ROW()-8))</f>
      </c>
    </row>
    <row r="2239" spans="1:7">
      <c r="B2239">
        <f>IF(INDEX(Transactions!$J:$J,ROW()-8)="",TODAY(),INDEX(Transactions!$G:$G,ROW()-8))</f>
      </c>
      <c r="F2239">
        <f>IF(INDEX(Transactions!$J:$J,ROW()-8)="",0,INDEX(Transactions!$O:$O,ROW()-8))</f>
      </c>
    </row>
    <row r="2240" spans="1:7">
      <c r="B2240">
        <f>IF(INDEX(Transactions!$J:$J,ROW()-8)="",TODAY(),INDEX(Transactions!$G:$G,ROW()-8))</f>
      </c>
      <c r="F2240">
        <f>IF(INDEX(Transactions!$J:$J,ROW()-8)="",0,INDEX(Transactions!$O:$O,ROW()-8))</f>
      </c>
    </row>
    <row r="2241" spans="1:7">
      <c r="B2241">
        <f>IF(INDEX(Transactions!$J:$J,ROW()-8)="",TODAY(),INDEX(Transactions!$G:$G,ROW()-8))</f>
      </c>
      <c r="F2241">
        <f>IF(INDEX(Transactions!$J:$J,ROW()-8)="",0,INDEX(Transactions!$O:$O,ROW()-8))</f>
      </c>
    </row>
    <row r="2242" spans="1:7">
      <c r="B2242">
        <f>IF(INDEX(Transactions!$J:$J,ROW()-8)="",TODAY(),INDEX(Transactions!$G:$G,ROW()-8))</f>
      </c>
      <c r="F2242">
        <f>IF(INDEX(Transactions!$J:$J,ROW()-8)="",0,INDEX(Transactions!$O:$O,ROW()-8))</f>
      </c>
    </row>
    <row r="2243" spans="1:7">
      <c r="B2243">
        <f>IF(INDEX(Transactions!$J:$J,ROW()-8)="",TODAY(),INDEX(Transactions!$G:$G,ROW()-8))</f>
      </c>
      <c r="F2243">
        <f>IF(INDEX(Transactions!$J:$J,ROW()-8)="",0,INDEX(Transactions!$O:$O,ROW()-8))</f>
      </c>
    </row>
    <row r="2244" spans="1:7">
      <c r="B2244">
        <f>IF(INDEX(Transactions!$J:$J,ROW()-8)="",TODAY(),INDEX(Transactions!$G:$G,ROW()-8))</f>
      </c>
      <c r="F2244">
        <f>IF(INDEX(Transactions!$J:$J,ROW()-8)="",0,INDEX(Transactions!$O:$O,ROW()-8))</f>
      </c>
    </row>
    <row r="2245" spans="1:7">
      <c r="B2245">
        <f>IF(INDEX(Transactions!$J:$J,ROW()-8)="",TODAY(),INDEX(Transactions!$G:$G,ROW()-8))</f>
      </c>
      <c r="F2245">
        <f>IF(INDEX(Transactions!$J:$J,ROW()-8)="",0,INDEX(Transactions!$O:$O,ROW()-8))</f>
      </c>
    </row>
    <row r="2246" spans="1:7">
      <c r="B2246">
        <f>IF(INDEX(Transactions!$J:$J,ROW()-8)="",TODAY(),INDEX(Transactions!$G:$G,ROW()-8))</f>
      </c>
      <c r="F2246">
        <f>IF(INDEX(Transactions!$J:$J,ROW()-8)="",0,INDEX(Transactions!$O:$O,ROW()-8))</f>
      </c>
    </row>
    <row r="2247" spans="1:7">
      <c r="B2247">
        <f>IF(INDEX(Transactions!$J:$J,ROW()-8)="",TODAY(),INDEX(Transactions!$G:$G,ROW()-8))</f>
      </c>
      <c r="F2247">
        <f>IF(INDEX(Transactions!$J:$J,ROW()-8)="",0,INDEX(Transactions!$O:$O,ROW()-8))</f>
      </c>
    </row>
    <row r="2248" spans="1:7">
      <c r="B2248">
        <f>IF(INDEX(Transactions!$J:$J,ROW()-8)="",TODAY(),INDEX(Transactions!$G:$G,ROW()-8))</f>
      </c>
      <c r="F2248">
        <f>IF(INDEX(Transactions!$J:$J,ROW()-8)="",0,INDEX(Transactions!$O:$O,ROW()-8))</f>
      </c>
    </row>
    <row r="2249" spans="1:7">
      <c r="B2249">
        <f>IF(INDEX(Transactions!$J:$J,ROW()-8)="",TODAY(),INDEX(Transactions!$G:$G,ROW()-8))</f>
      </c>
      <c r="F2249">
        <f>IF(INDEX(Transactions!$J:$J,ROW()-8)="",0,INDEX(Transactions!$O:$O,ROW()-8))</f>
      </c>
    </row>
    <row r="2250" spans="1:7">
      <c r="B2250">
        <f>IF(INDEX(Transactions!$J:$J,ROW()-8)="",TODAY(),INDEX(Transactions!$G:$G,ROW()-8))</f>
      </c>
      <c r="F2250">
        <f>IF(INDEX(Transactions!$J:$J,ROW()-8)="",0,INDEX(Transactions!$O:$O,ROW()-8))</f>
      </c>
    </row>
    <row r="2251" spans="1:7">
      <c r="B2251">
        <f>IF(INDEX(Transactions!$J:$J,ROW()-8)="",TODAY(),INDEX(Transactions!$G:$G,ROW()-8))</f>
      </c>
      <c r="F2251">
        <f>IF(INDEX(Transactions!$J:$J,ROW()-8)="",0,INDEX(Transactions!$O:$O,ROW()-8))</f>
      </c>
    </row>
    <row r="2252" spans="1:7">
      <c r="B2252">
        <f>IF(INDEX(Transactions!$J:$J,ROW()-8)="",TODAY(),INDEX(Transactions!$G:$G,ROW()-8))</f>
      </c>
      <c r="F2252">
        <f>IF(INDEX(Transactions!$J:$J,ROW()-8)="",0,INDEX(Transactions!$O:$O,ROW()-8))</f>
      </c>
    </row>
    <row r="2253" spans="1:7">
      <c r="B2253">
        <f>IF(INDEX(Transactions!$J:$J,ROW()-8)="",TODAY(),INDEX(Transactions!$G:$G,ROW()-8))</f>
      </c>
      <c r="F2253">
        <f>IF(INDEX(Transactions!$J:$J,ROW()-8)="",0,INDEX(Transactions!$O:$O,ROW()-8))</f>
      </c>
    </row>
    <row r="2254" spans="1:7">
      <c r="B2254">
        <f>IF(INDEX(Transactions!$J:$J,ROW()-8)="",TODAY(),INDEX(Transactions!$G:$G,ROW()-8))</f>
      </c>
      <c r="F2254">
        <f>IF(INDEX(Transactions!$J:$J,ROW()-8)="",0,INDEX(Transactions!$O:$O,ROW()-8))</f>
      </c>
    </row>
    <row r="2255" spans="1:7">
      <c r="B2255">
        <f>IF(INDEX(Transactions!$J:$J,ROW()-8)="",TODAY(),INDEX(Transactions!$G:$G,ROW()-8))</f>
      </c>
      <c r="F2255">
        <f>IF(INDEX(Transactions!$J:$J,ROW()-8)="",0,INDEX(Transactions!$O:$O,ROW()-8))</f>
      </c>
    </row>
    <row r="2256" spans="1:7">
      <c r="B2256">
        <f>IF(INDEX(Transactions!$J:$J,ROW()-8)="",TODAY(),INDEX(Transactions!$G:$G,ROW()-8))</f>
      </c>
      <c r="F2256">
        <f>IF(INDEX(Transactions!$J:$J,ROW()-8)="",0,INDEX(Transactions!$O:$O,ROW()-8))</f>
      </c>
    </row>
    <row r="2257" spans="1:7">
      <c r="B2257">
        <f>IF(INDEX(Transactions!$J:$J,ROW()-8)="",TODAY(),INDEX(Transactions!$G:$G,ROW()-8))</f>
      </c>
      <c r="F2257">
        <f>IF(INDEX(Transactions!$J:$J,ROW()-8)="",0,INDEX(Transactions!$O:$O,ROW()-8))</f>
      </c>
    </row>
    <row r="2258" spans="1:7">
      <c r="B2258">
        <f>IF(INDEX(Transactions!$J:$J,ROW()-8)="",TODAY(),INDEX(Transactions!$G:$G,ROW()-8))</f>
      </c>
      <c r="F2258">
        <f>IF(INDEX(Transactions!$J:$J,ROW()-8)="",0,INDEX(Transactions!$O:$O,ROW()-8))</f>
      </c>
    </row>
    <row r="2259" spans="1:7">
      <c r="B2259">
        <f>IF(INDEX(Transactions!$J:$J,ROW()-8)="",TODAY(),INDEX(Transactions!$G:$G,ROW()-8))</f>
      </c>
      <c r="F2259">
        <f>IF(INDEX(Transactions!$J:$J,ROW()-8)="",0,INDEX(Transactions!$O:$O,ROW()-8))</f>
      </c>
    </row>
    <row r="2260" spans="1:7">
      <c r="B2260">
        <f>IF(INDEX(Transactions!$J:$J,ROW()-8)="",TODAY(),INDEX(Transactions!$G:$G,ROW()-8))</f>
      </c>
      <c r="F2260">
        <f>IF(INDEX(Transactions!$J:$J,ROW()-8)="",0,INDEX(Transactions!$O:$O,ROW()-8))</f>
      </c>
    </row>
    <row r="2261" spans="1:7">
      <c r="B2261">
        <f>IF(INDEX(Transactions!$J:$J,ROW()-8)="",TODAY(),INDEX(Transactions!$G:$G,ROW()-8))</f>
      </c>
      <c r="F2261">
        <f>IF(INDEX(Transactions!$J:$J,ROW()-8)="",0,INDEX(Transactions!$O:$O,ROW()-8))</f>
      </c>
    </row>
    <row r="2262" spans="1:7">
      <c r="B2262">
        <f>IF(INDEX(Transactions!$J:$J,ROW()-8)="",TODAY(),INDEX(Transactions!$G:$G,ROW()-8))</f>
      </c>
      <c r="F2262">
        <f>IF(INDEX(Transactions!$J:$J,ROW()-8)="",0,INDEX(Transactions!$O:$O,ROW()-8))</f>
      </c>
    </row>
    <row r="2263" spans="1:7">
      <c r="B2263">
        <f>IF(INDEX(Transactions!$J:$J,ROW()-8)="",TODAY(),INDEX(Transactions!$G:$G,ROW()-8))</f>
      </c>
      <c r="F2263">
        <f>IF(INDEX(Transactions!$J:$J,ROW()-8)="",0,INDEX(Transactions!$O:$O,ROW()-8))</f>
      </c>
    </row>
    <row r="2264" spans="1:7">
      <c r="B2264">
        <f>IF(INDEX(Transactions!$J:$J,ROW()-8)="",TODAY(),INDEX(Transactions!$G:$G,ROW()-8))</f>
      </c>
      <c r="F2264">
        <f>IF(INDEX(Transactions!$J:$J,ROW()-8)="",0,INDEX(Transactions!$O:$O,ROW()-8))</f>
      </c>
    </row>
    <row r="2265" spans="1:7">
      <c r="B2265">
        <f>IF(INDEX(Transactions!$J:$J,ROW()-8)="",TODAY(),INDEX(Transactions!$G:$G,ROW()-8))</f>
      </c>
      <c r="F2265">
        <f>IF(INDEX(Transactions!$J:$J,ROW()-8)="",0,INDEX(Transactions!$O:$O,ROW()-8))</f>
      </c>
    </row>
    <row r="2266" spans="1:7">
      <c r="B2266">
        <f>IF(INDEX(Transactions!$J:$J,ROW()-8)="",TODAY(),INDEX(Transactions!$G:$G,ROW()-8))</f>
      </c>
      <c r="F2266">
        <f>IF(INDEX(Transactions!$J:$J,ROW()-8)="",0,INDEX(Transactions!$O:$O,ROW()-8))</f>
      </c>
    </row>
    <row r="2267" spans="1:7">
      <c r="B2267">
        <f>IF(INDEX(Transactions!$J:$J,ROW()-8)="",TODAY(),INDEX(Transactions!$G:$G,ROW()-8))</f>
      </c>
      <c r="F2267">
        <f>IF(INDEX(Transactions!$J:$J,ROW()-8)="",0,INDEX(Transactions!$O:$O,ROW()-8))</f>
      </c>
    </row>
    <row r="2268" spans="1:7">
      <c r="B2268">
        <f>IF(INDEX(Transactions!$J:$J,ROW()-8)="",TODAY(),INDEX(Transactions!$G:$G,ROW()-8))</f>
      </c>
      <c r="F2268">
        <f>IF(INDEX(Transactions!$J:$J,ROW()-8)="",0,INDEX(Transactions!$O:$O,ROW()-8))</f>
      </c>
    </row>
    <row r="2269" spans="1:7">
      <c r="B2269">
        <f>IF(INDEX(Transactions!$J:$J,ROW()-8)="",TODAY(),INDEX(Transactions!$G:$G,ROW()-8))</f>
      </c>
      <c r="F2269">
        <f>IF(INDEX(Transactions!$J:$J,ROW()-8)="",0,INDEX(Transactions!$O:$O,ROW()-8))</f>
      </c>
    </row>
    <row r="2270" spans="1:7">
      <c r="B2270">
        <f>IF(INDEX(Transactions!$J:$J,ROW()-8)="",TODAY(),INDEX(Transactions!$G:$G,ROW()-8))</f>
      </c>
      <c r="F2270">
        <f>IF(INDEX(Transactions!$J:$J,ROW()-8)="",0,INDEX(Transactions!$O:$O,ROW()-8))</f>
      </c>
    </row>
    <row r="2271" spans="1:7">
      <c r="B2271">
        <f>IF(INDEX(Transactions!$J:$J,ROW()-8)="",TODAY(),INDEX(Transactions!$G:$G,ROW()-8))</f>
      </c>
      <c r="F2271">
        <f>IF(INDEX(Transactions!$J:$J,ROW()-8)="",0,INDEX(Transactions!$O:$O,ROW()-8))</f>
      </c>
    </row>
    <row r="2272" spans="1:7">
      <c r="B2272">
        <f>IF(INDEX(Transactions!$J:$J,ROW()-8)="",TODAY(),INDEX(Transactions!$G:$G,ROW()-8))</f>
      </c>
      <c r="F2272">
        <f>IF(INDEX(Transactions!$J:$J,ROW()-8)="",0,INDEX(Transactions!$O:$O,ROW()-8))</f>
      </c>
    </row>
    <row r="2273" spans="1:7">
      <c r="B2273">
        <f>IF(INDEX(Transactions!$J:$J,ROW()-8)="",TODAY(),INDEX(Transactions!$G:$G,ROW()-8))</f>
      </c>
      <c r="F2273">
        <f>IF(INDEX(Transactions!$J:$J,ROW()-8)="",0,INDEX(Transactions!$O:$O,ROW()-8))</f>
      </c>
    </row>
    <row r="2274" spans="1:7">
      <c r="B2274">
        <f>IF(INDEX(Transactions!$J:$J,ROW()-8)="",TODAY(),INDEX(Transactions!$G:$G,ROW()-8))</f>
      </c>
      <c r="F2274">
        <f>IF(INDEX(Transactions!$J:$J,ROW()-8)="",0,INDEX(Transactions!$O:$O,ROW()-8))</f>
      </c>
    </row>
    <row r="2275" spans="1:7">
      <c r="B2275">
        <f>IF(INDEX(Transactions!$J:$J,ROW()-8)="",TODAY(),INDEX(Transactions!$G:$G,ROW()-8))</f>
      </c>
      <c r="F2275">
        <f>IF(INDEX(Transactions!$J:$J,ROW()-8)="",0,INDEX(Transactions!$O:$O,ROW()-8))</f>
      </c>
    </row>
    <row r="2276" spans="1:7">
      <c r="B2276">
        <f>IF(INDEX(Transactions!$J:$J,ROW()-8)="",TODAY(),INDEX(Transactions!$G:$G,ROW()-8))</f>
      </c>
      <c r="F2276">
        <f>IF(INDEX(Transactions!$J:$J,ROW()-8)="",0,INDEX(Transactions!$O:$O,ROW()-8))</f>
      </c>
    </row>
    <row r="2277" spans="1:7">
      <c r="B2277">
        <f>IF(INDEX(Transactions!$J:$J,ROW()-8)="",TODAY(),INDEX(Transactions!$G:$G,ROW()-8))</f>
      </c>
      <c r="F2277">
        <f>IF(INDEX(Transactions!$J:$J,ROW()-8)="",0,INDEX(Transactions!$O:$O,ROW()-8))</f>
      </c>
    </row>
    <row r="2278" spans="1:7">
      <c r="B2278">
        <f>IF(INDEX(Transactions!$J:$J,ROW()-8)="",TODAY(),INDEX(Transactions!$G:$G,ROW()-8))</f>
      </c>
      <c r="F2278">
        <f>IF(INDEX(Transactions!$J:$J,ROW()-8)="",0,INDEX(Transactions!$O:$O,ROW()-8))</f>
      </c>
    </row>
    <row r="2279" spans="1:7">
      <c r="B2279">
        <f>IF(INDEX(Transactions!$J:$J,ROW()-8)="",TODAY(),INDEX(Transactions!$G:$G,ROW()-8))</f>
      </c>
      <c r="F2279">
        <f>IF(INDEX(Transactions!$J:$J,ROW()-8)="",0,INDEX(Transactions!$O:$O,ROW()-8))</f>
      </c>
    </row>
    <row r="2280" spans="1:7">
      <c r="B2280">
        <f>IF(INDEX(Transactions!$J:$J,ROW()-8)="",TODAY(),INDEX(Transactions!$G:$G,ROW()-8))</f>
      </c>
      <c r="F2280">
        <f>IF(INDEX(Transactions!$J:$J,ROW()-8)="",0,INDEX(Transactions!$O:$O,ROW()-8))</f>
      </c>
    </row>
    <row r="2281" spans="1:7">
      <c r="B2281">
        <f>IF(INDEX(Transactions!$J:$J,ROW()-8)="",TODAY(),INDEX(Transactions!$G:$G,ROW()-8))</f>
      </c>
      <c r="F2281">
        <f>IF(INDEX(Transactions!$J:$J,ROW()-8)="",0,INDEX(Transactions!$O:$O,ROW()-8))</f>
      </c>
    </row>
    <row r="2282" spans="1:7">
      <c r="B2282">
        <f>IF(INDEX(Transactions!$J:$J,ROW()-8)="",TODAY(),INDEX(Transactions!$G:$G,ROW()-8))</f>
      </c>
      <c r="F2282">
        <f>IF(INDEX(Transactions!$J:$J,ROW()-8)="",0,INDEX(Transactions!$O:$O,ROW()-8))</f>
      </c>
    </row>
    <row r="2283" spans="1:7">
      <c r="B2283">
        <f>IF(INDEX(Transactions!$J:$J,ROW()-8)="",TODAY(),INDEX(Transactions!$G:$G,ROW()-8))</f>
      </c>
      <c r="F2283">
        <f>IF(INDEX(Transactions!$J:$J,ROW()-8)="",0,INDEX(Transactions!$O:$O,ROW()-8))</f>
      </c>
    </row>
    <row r="2284" spans="1:7">
      <c r="B2284">
        <f>IF(INDEX(Transactions!$J:$J,ROW()-8)="",TODAY(),INDEX(Transactions!$G:$G,ROW()-8))</f>
      </c>
      <c r="F2284">
        <f>IF(INDEX(Transactions!$J:$J,ROW()-8)="",0,INDEX(Transactions!$O:$O,ROW()-8))</f>
      </c>
    </row>
    <row r="2285" spans="1:7">
      <c r="B2285">
        <f>IF(INDEX(Transactions!$J:$J,ROW()-8)="",TODAY(),INDEX(Transactions!$G:$G,ROW()-8))</f>
      </c>
      <c r="F2285">
        <f>IF(INDEX(Transactions!$J:$J,ROW()-8)="",0,INDEX(Transactions!$O:$O,ROW()-8))</f>
      </c>
    </row>
    <row r="2286" spans="1:7">
      <c r="B2286">
        <f>IF(INDEX(Transactions!$J:$J,ROW()-8)="",TODAY(),INDEX(Transactions!$G:$G,ROW()-8))</f>
      </c>
      <c r="F2286">
        <f>IF(INDEX(Transactions!$J:$J,ROW()-8)="",0,INDEX(Transactions!$O:$O,ROW()-8))</f>
      </c>
    </row>
    <row r="2287" spans="1:7">
      <c r="B2287">
        <f>IF(INDEX(Transactions!$J:$J,ROW()-8)="",TODAY(),INDEX(Transactions!$G:$G,ROW()-8))</f>
      </c>
      <c r="F2287">
        <f>IF(INDEX(Transactions!$J:$J,ROW()-8)="",0,INDEX(Transactions!$O:$O,ROW()-8))</f>
      </c>
    </row>
    <row r="2288" spans="1:7">
      <c r="B2288">
        <f>IF(INDEX(Transactions!$J:$J,ROW()-8)="",TODAY(),INDEX(Transactions!$G:$G,ROW()-8))</f>
      </c>
      <c r="F2288">
        <f>IF(INDEX(Transactions!$J:$J,ROW()-8)="",0,INDEX(Transactions!$O:$O,ROW()-8))</f>
      </c>
    </row>
    <row r="2289" spans="1:7">
      <c r="B2289">
        <f>IF(INDEX(Transactions!$J:$J,ROW()-8)="",TODAY(),INDEX(Transactions!$G:$G,ROW()-8))</f>
      </c>
      <c r="F2289">
        <f>IF(INDEX(Transactions!$J:$J,ROW()-8)="",0,INDEX(Transactions!$O:$O,ROW()-8))</f>
      </c>
    </row>
    <row r="2290" spans="1:7">
      <c r="B2290">
        <f>IF(INDEX(Transactions!$J:$J,ROW()-8)="",TODAY(),INDEX(Transactions!$G:$G,ROW()-8))</f>
      </c>
      <c r="F2290">
        <f>IF(INDEX(Transactions!$J:$J,ROW()-8)="",0,INDEX(Transactions!$O:$O,ROW()-8))</f>
      </c>
    </row>
    <row r="2291" spans="1:7">
      <c r="B2291">
        <f>IF(INDEX(Transactions!$J:$J,ROW()-8)="",TODAY(),INDEX(Transactions!$G:$G,ROW()-8))</f>
      </c>
      <c r="F2291">
        <f>IF(INDEX(Transactions!$J:$J,ROW()-8)="",0,INDEX(Transactions!$O:$O,ROW()-8))</f>
      </c>
    </row>
    <row r="2292" spans="1:7">
      <c r="B2292">
        <f>IF(INDEX(Transactions!$J:$J,ROW()-8)="",TODAY(),INDEX(Transactions!$G:$G,ROW()-8))</f>
      </c>
      <c r="F2292">
        <f>IF(INDEX(Transactions!$J:$J,ROW()-8)="",0,INDEX(Transactions!$O:$O,ROW()-8))</f>
      </c>
    </row>
    <row r="2293" spans="1:7">
      <c r="B2293">
        <f>IF(INDEX(Transactions!$J:$J,ROW()-8)="",TODAY(),INDEX(Transactions!$G:$G,ROW()-8))</f>
      </c>
      <c r="F2293">
        <f>IF(INDEX(Transactions!$J:$J,ROW()-8)="",0,INDEX(Transactions!$O:$O,ROW()-8))</f>
      </c>
    </row>
    <row r="2294" spans="1:7">
      <c r="B2294">
        <f>IF(INDEX(Transactions!$J:$J,ROW()-8)="",TODAY(),INDEX(Transactions!$G:$G,ROW()-8))</f>
      </c>
      <c r="F2294">
        <f>IF(INDEX(Transactions!$J:$J,ROW()-8)="",0,INDEX(Transactions!$O:$O,ROW()-8))</f>
      </c>
    </row>
    <row r="2295" spans="1:7">
      <c r="B2295">
        <f>IF(INDEX(Transactions!$J:$J,ROW()-8)="",TODAY(),INDEX(Transactions!$G:$G,ROW()-8))</f>
      </c>
      <c r="F2295">
        <f>IF(INDEX(Transactions!$J:$J,ROW()-8)="",0,INDEX(Transactions!$O:$O,ROW()-8))</f>
      </c>
    </row>
    <row r="2296" spans="1:7">
      <c r="B2296">
        <f>IF(INDEX(Transactions!$J:$J,ROW()-8)="",TODAY(),INDEX(Transactions!$G:$G,ROW()-8))</f>
      </c>
      <c r="F2296">
        <f>IF(INDEX(Transactions!$J:$J,ROW()-8)="",0,INDEX(Transactions!$O:$O,ROW()-8))</f>
      </c>
    </row>
    <row r="2297" spans="1:7">
      <c r="B2297">
        <f>IF(INDEX(Transactions!$J:$J,ROW()-8)="",TODAY(),INDEX(Transactions!$G:$G,ROW()-8))</f>
      </c>
      <c r="F2297">
        <f>IF(INDEX(Transactions!$J:$J,ROW()-8)="",0,INDEX(Transactions!$O:$O,ROW()-8))</f>
      </c>
    </row>
    <row r="2298" spans="1:7">
      <c r="B2298">
        <f>IF(INDEX(Transactions!$J:$J,ROW()-8)="",TODAY(),INDEX(Transactions!$G:$G,ROW()-8))</f>
      </c>
      <c r="F2298">
        <f>IF(INDEX(Transactions!$J:$J,ROW()-8)="",0,INDEX(Transactions!$O:$O,ROW()-8))</f>
      </c>
    </row>
    <row r="2299" spans="1:7">
      <c r="B2299">
        <f>IF(INDEX(Transactions!$J:$J,ROW()-8)="",TODAY(),INDEX(Transactions!$G:$G,ROW()-8))</f>
      </c>
      <c r="F2299">
        <f>IF(INDEX(Transactions!$J:$J,ROW()-8)="",0,INDEX(Transactions!$O:$O,ROW()-8))</f>
      </c>
    </row>
    <row r="2300" spans="1:7">
      <c r="B2300">
        <f>IF(INDEX(Transactions!$J:$J,ROW()-8)="",TODAY(),INDEX(Transactions!$G:$G,ROW()-8))</f>
      </c>
      <c r="F2300">
        <f>IF(INDEX(Transactions!$J:$J,ROW()-8)="",0,INDEX(Transactions!$O:$O,ROW()-8))</f>
      </c>
    </row>
    <row r="2301" spans="1:7">
      <c r="B2301">
        <f>IF(INDEX(Transactions!$J:$J,ROW()-8)="",TODAY(),INDEX(Transactions!$G:$G,ROW()-8))</f>
      </c>
      <c r="F2301">
        <f>IF(INDEX(Transactions!$J:$J,ROW()-8)="",0,INDEX(Transactions!$O:$O,ROW()-8))</f>
      </c>
    </row>
    <row r="2302" spans="1:7">
      <c r="B2302">
        <f>IF(INDEX(Transactions!$J:$J,ROW()-8)="",TODAY(),INDEX(Transactions!$G:$G,ROW()-8))</f>
      </c>
      <c r="F2302">
        <f>IF(INDEX(Transactions!$J:$J,ROW()-8)="",0,INDEX(Transactions!$O:$O,ROW()-8))</f>
      </c>
    </row>
    <row r="2303" spans="1:7">
      <c r="B2303">
        <f>IF(INDEX(Transactions!$J:$J,ROW()-8)="",TODAY(),INDEX(Transactions!$G:$G,ROW()-8))</f>
      </c>
      <c r="F2303">
        <f>IF(INDEX(Transactions!$J:$J,ROW()-8)="",0,INDEX(Transactions!$O:$O,ROW()-8))</f>
      </c>
    </row>
    <row r="2304" spans="1:7">
      <c r="B2304">
        <f>IF(INDEX(Transactions!$J:$J,ROW()-8)="",TODAY(),INDEX(Transactions!$G:$G,ROW()-8))</f>
      </c>
      <c r="F2304">
        <f>IF(INDEX(Transactions!$J:$J,ROW()-8)="",0,INDEX(Transactions!$O:$O,ROW()-8))</f>
      </c>
    </row>
    <row r="2305" spans="1:7">
      <c r="B2305">
        <f>IF(INDEX(Transactions!$J:$J,ROW()-8)="",TODAY(),INDEX(Transactions!$G:$G,ROW()-8))</f>
      </c>
      <c r="F2305">
        <f>IF(INDEX(Transactions!$J:$J,ROW()-8)="",0,INDEX(Transactions!$O:$O,ROW()-8))</f>
      </c>
    </row>
    <row r="2306" spans="1:7">
      <c r="B2306">
        <f>IF(INDEX(Transactions!$J:$J,ROW()-8)="",TODAY(),INDEX(Transactions!$G:$G,ROW()-8))</f>
      </c>
      <c r="F2306">
        <f>IF(INDEX(Transactions!$J:$J,ROW()-8)="",0,INDEX(Transactions!$O:$O,ROW()-8))</f>
      </c>
    </row>
    <row r="2307" spans="1:7">
      <c r="B2307">
        <f>IF(INDEX(Transactions!$J:$J,ROW()-8)="",TODAY(),INDEX(Transactions!$G:$G,ROW()-8))</f>
      </c>
      <c r="F2307">
        <f>IF(INDEX(Transactions!$J:$J,ROW()-8)="",0,INDEX(Transactions!$O:$O,ROW()-8))</f>
      </c>
    </row>
    <row r="2308" spans="1:7">
      <c r="B2308">
        <f>IF(INDEX(Transactions!$J:$J,ROW()-8)="",TODAY(),INDEX(Transactions!$G:$G,ROW()-8))</f>
      </c>
      <c r="F2308">
        <f>IF(INDEX(Transactions!$J:$J,ROW()-8)="",0,INDEX(Transactions!$O:$O,ROW()-8))</f>
      </c>
    </row>
    <row r="2309" spans="1:7">
      <c r="B2309">
        <f>IF(INDEX(Transactions!$J:$J,ROW()-8)="",TODAY(),INDEX(Transactions!$G:$G,ROW()-8))</f>
      </c>
      <c r="F2309">
        <f>IF(INDEX(Transactions!$J:$J,ROW()-8)="",0,INDEX(Transactions!$O:$O,ROW()-8))</f>
      </c>
    </row>
    <row r="2310" spans="1:7">
      <c r="B2310">
        <f>IF(INDEX(Transactions!$J:$J,ROW()-8)="",TODAY(),INDEX(Transactions!$G:$G,ROW()-8))</f>
      </c>
      <c r="F2310">
        <f>IF(INDEX(Transactions!$J:$J,ROW()-8)="",0,INDEX(Transactions!$O:$O,ROW()-8))</f>
      </c>
    </row>
    <row r="2311" spans="1:7">
      <c r="B2311">
        <f>IF(INDEX(Transactions!$J:$J,ROW()-8)="",TODAY(),INDEX(Transactions!$G:$G,ROW()-8))</f>
      </c>
      <c r="F2311">
        <f>IF(INDEX(Transactions!$J:$J,ROW()-8)="",0,INDEX(Transactions!$O:$O,ROW()-8))</f>
      </c>
    </row>
    <row r="2312" spans="1:7">
      <c r="B2312">
        <f>IF(INDEX(Transactions!$J:$J,ROW()-8)="",TODAY(),INDEX(Transactions!$G:$G,ROW()-8))</f>
      </c>
      <c r="F2312">
        <f>IF(INDEX(Transactions!$J:$J,ROW()-8)="",0,INDEX(Transactions!$O:$O,ROW()-8))</f>
      </c>
    </row>
    <row r="2313" spans="1:7">
      <c r="B2313">
        <f>IF(INDEX(Transactions!$J:$J,ROW()-8)="",TODAY(),INDEX(Transactions!$G:$G,ROW()-8))</f>
      </c>
      <c r="F2313">
        <f>IF(INDEX(Transactions!$J:$J,ROW()-8)="",0,INDEX(Transactions!$O:$O,ROW()-8))</f>
      </c>
    </row>
    <row r="2314" spans="1:7">
      <c r="B2314">
        <f>IF(INDEX(Transactions!$J:$J,ROW()-8)="",TODAY(),INDEX(Transactions!$G:$G,ROW()-8))</f>
      </c>
      <c r="F2314">
        <f>IF(INDEX(Transactions!$J:$J,ROW()-8)="",0,INDEX(Transactions!$O:$O,ROW()-8))</f>
      </c>
    </row>
    <row r="2315" spans="1:7">
      <c r="B2315">
        <f>IF(INDEX(Transactions!$J:$J,ROW()-8)="",TODAY(),INDEX(Transactions!$G:$G,ROW()-8))</f>
      </c>
      <c r="F2315">
        <f>IF(INDEX(Transactions!$J:$J,ROW()-8)="",0,INDEX(Transactions!$O:$O,ROW()-8))</f>
      </c>
    </row>
    <row r="2316" spans="1:7">
      <c r="B2316">
        <f>IF(INDEX(Transactions!$J:$J,ROW()-8)="",TODAY(),INDEX(Transactions!$G:$G,ROW()-8))</f>
      </c>
      <c r="F2316">
        <f>IF(INDEX(Transactions!$J:$J,ROW()-8)="",0,INDEX(Transactions!$O:$O,ROW()-8))</f>
      </c>
    </row>
    <row r="2317" spans="1:7">
      <c r="B2317">
        <f>IF(INDEX(Transactions!$J:$J,ROW()-8)="",TODAY(),INDEX(Transactions!$G:$G,ROW()-8))</f>
      </c>
      <c r="F2317">
        <f>IF(INDEX(Transactions!$J:$J,ROW()-8)="",0,INDEX(Transactions!$O:$O,ROW()-8))</f>
      </c>
    </row>
    <row r="2318" spans="1:7">
      <c r="B2318">
        <f>IF(INDEX(Transactions!$J:$J,ROW()-8)="",TODAY(),INDEX(Transactions!$G:$G,ROW()-8))</f>
      </c>
      <c r="F2318">
        <f>IF(INDEX(Transactions!$J:$J,ROW()-8)="",0,INDEX(Transactions!$O:$O,ROW()-8))</f>
      </c>
    </row>
    <row r="2319" spans="1:7">
      <c r="B2319">
        <f>IF(INDEX(Transactions!$J:$J,ROW()-8)="",TODAY(),INDEX(Transactions!$G:$G,ROW()-8))</f>
      </c>
      <c r="F2319">
        <f>IF(INDEX(Transactions!$J:$J,ROW()-8)="",0,INDEX(Transactions!$O:$O,ROW()-8))</f>
      </c>
    </row>
    <row r="2320" spans="1:7">
      <c r="B2320">
        <f>IF(INDEX(Transactions!$J:$J,ROW()-8)="",TODAY(),INDEX(Transactions!$G:$G,ROW()-8))</f>
      </c>
      <c r="F2320">
        <f>IF(INDEX(Transactions!$J:$J,ROW()-8)="",0,INDEX(Transactions!$O:$O,ROW()-8))</f>
      </c>
    </row>
    <row r="2321" spans="1:7">
      <c r="B2321">
        <f>IF(INDEX(Transactions!$J:$J,ROW()-8)="",TODAY(),INDEX(Transactions!$G:$G,ROW()-8))</f>
      </c>
      <c r="F2321">
        <f>IF(INDEX(Transactions!$J:$J,ROW()-8)="",0,INDEX(Transactions!$O:$O,ROW()-8))</f>
      </c>
    </row>
    <row r="2322" spans="1:7">
      <c r="B2322">
        <f>IF(INDEX(Transactions!$J:$J,ROW()-8)="",TODAY(),INDEX(Transactions!$G:$G,ROW()-8))</f>
      </c>
      <c r="F2322">
        <f>IF(INDEX(Transactions!$J:$J,ROW()-8)="",0,INDEX(Transactions!$O:$O,ROW()-8))</f>
      </c>
    </row>
    <row r="2323" spans="1:7">
      <c r="B2323">
        <f>IF(INDEX(Transactions!$J:$J,ROW()-8)="",TODAY(),INDEX(Transactions!$G:$G,ROW()-8))</f>
      </c>
      <c r="F2323">
        <f>IF(INDEX(Transactions!$J:$J,ROW()-8)="",0,INDEX(Transactions!$O:$O,ROW()-8))</f>
      </c>
    </row>
    <row r="2324" spans="1:7">
      <c r="B2324">
        <f>IF(INDEX(Transactions!$J:$J,ROW()-8)="",TODAY(),INDEX(Transactions!$G:$G,ROW()-8))</f>
      </c>
      <c r="F2324">
        <f>IF(INDEX(Transactions!$J:$J,ROW()-8)="",0,INDEX(Transactions!$O:$O,ROW()-8))</f>
      </c>
    </row>
    <row r="2325" spans="1:7">
      <c r="B2325">
        <f>IF(INDEX(Transactions!$J:$J,ROW()-8)="",TODAY(),INDEX(Transactions!$G:$G,ROW()-8))</f>
      </c>
      <c r="F2325">
        <f>IF(INDEX(Transactions!$J:$J,ROW()-8)="",0,INDEX(Transactions!$O:$O,ROW()-8))</f>
      </c>
    </row>
    <row r="2326" spans="1:7">
      <c r="B2326">
        <f>IF(INDEX(Transactions!$J:$J,ROW()-8)="",TODAY(),INDEX(Transactions!$G:$G,ROW()-8))</f>
      </c>
      <c r="F2326">
        <f>IF(INDEX(Transactions!$J:$J,ROW()-8)="",0,INDEX(Transactions!$O:$O,ROW()-8))</f>
      </c>
    </row>
    <row r="2327" spans="1:7">
      <c r="B2327">
        <f>IF(INDEX(Transactions!$J:$J,ROW()-8)="",TODAY(),INDEX(Transactions!$G:$G,ROW()-8))</f>
      </c>
      <c r="F2327">
        <f>IF(INDEX(Transactions!$J:$J,ROW()-8)="",0,INDEX(Transactions!$O:$O,ROW()-8))</f>
      </c>
    </row>
    <row r="2328" spans="1:7">
      <c r="B2328">
        <f>IF(INDEX(Transactions!$J:$J,ROW()-8)="",TODAY(),INDEX(Transactions!$G:$G,ROW()-8))</f>
      </c>
      <c r="F2328">
        <f>IF(INDEX(Transactions!$J:$J,ROW()-8)="",0,INDEX(Transactions!$O:$O,ROW()-8))</f>
      </c>
    </row>
    <row r="2329" spans="1:7">
      <c r="B2329">
        <f>IF(INDEX(Transactions!$J:$J,ROW()-8)="",TODAY(),INDEX(Transactions!$G:$G,ROW()-8))</f>
      </c>
      <c r="F2329">
        <f>IF(INDEX(Transactions!$J:$J,ROW()-8)="",0,INDEX(Transactions!$O:$O,ROW()-8))</f>
      </c>
    </row>
    <row r="2330" spans="1:7">
      <c r="B2330">
        <f>IF(INDEX(Transactions!$J:$J,ROW()-8)="",TODAY(),INDEX(Transactions!$G:$G,ROW()-8))</f>
      </c>
      <c r="F2330">
        <f>IF(INDEX(Transactions!$J:$J,ROW()-8)="",0,INDEX(Transactions!$O:$O,ROW()-8))</f>
      </c>
    </row>
    <row r="2331" spans="1:7">
      <c r="B2331">
        <f>IF(INDEX(Transactions!$J:$J,ROW()-8)="",TODAY(),INDEX(Transactions!$G:$G,ROW()-8))</f>
      </c>
      <c r="F2331">
        <f>IF(INDEX(Transactions!$J:$J,ROW()-8)="",0,INDEX(Transactions!$O:$O,ROW()-8))</f>
      </c>
    </row>
    <row r="2332" spans="1:7">
      <c r="B2332">
        <f>IF(INDEX(Transactions!$J:$J,ROW()-8)="",TODAY(),INDEX(Transactions!$G:$G,ROW()-8))</f>
      </c>
      <c r="F2332">
        <f>IF(INDEX(Transactions!$J:$J,ROW()-8)="",0,INDEX(Transactions!$O:$O,ROW()-8))</f>
      </c>
    </row>
    <row r="2333" spans="1:7">
      <c r="B2333">
        <f>IF(INDEX(Transactions!$J:$J,ROW()-8)="",TODAY(),INDEX(Transactions!$G:$G,ROW()-8))</f>
      </c>
      <c r="F2333">
        <f>IF(INDEX(Transactions!$J:$J,ROW()-8)="",0,INDEX(Transactions!$O:$O,ROW()-8))</f>
      </c>
    </row>
    <row r="2334" spans="1:7">
      <c r="B2334">
        <f>IF(INDEX(Transactions!$J:$J,ROW()-8)="",TODAY(),INDEX(Transactions!$G:$G,ROW()-8))</f>
      </c>
      <c r="F2334">
        <f>IF(INDEX(Transactions!$J:$J,ROW()-8)="",0,INDEX(Transactions!$O:$O,ROW()-8))</f>
      </c>
    </row>
    <row r="2335" spans="1:7">
      <c r="B2335">
        <f>IF(INDEX(Transactions!$J:$J,ROW()-8)="",TODAY(),INDEX(Transactions!$G:$G,ROW()-8))</f>
      </c>
      <c r="F2335">
        <f>IF(INDEX(Transactions!$J:$J,ROW()-8)="",0,INDEX(Transactions!$O:$O,ROW()-8))</f>
      </c>
    </row>
    <row r="2336" spans="1:7">
      <c r="B2336">
        <f>IF(INDEX(Transactions!$J:$J,ROW()-8)="",TODAY(),INDEX(Transactions!$G:$G,ROW()-8))</f>
      </c>
      <c r="F2336">
        <f>IF(INDEX(Transactions!$J:$J,ROW()-8)="",0,INDEX(Transactions!$O:$O,ROW()-8))</f>
      </c>
    </row>
    <row r="2337" spans="1:7">
      <c r="B2337">
        <f>IF(INDEX(Transactions!$J:$J,ROW()-8)="",TODAY(),INDEX(Transactions!$G:$G,ROW()-8))</f>
      </c>
      <c r="F2337">
        <f>IF(INDEX(Transactions!$J:$J,ROW()-8)="",0,INDEX(Transactions!$O:$O,ROW()-8))</f>
      </c>
    </row>
    <row r="2338" spans="1:7">
      <c r="B2338">
        <f>IF(INDEX(Transactions!$J:$J,ROW()-8)="",TODAY(),INDEX(Transactions!$G:$G,ROW()-8))</f>
      </c>
      <c r="F2338">
        <f>IF(INDEX(Transactions!$J:$J,ROW()-8)="",0,INDEX(Transactions!$O:$O,ROW()-8))</f>
      </c>
    </row>
    <row r="2339" spans="1:7">
      <c r="B2339">
        <f>IF(INDEX(Transactions!$J:$J,ROW()-8)="",TODAY(),INDEX(Transactions!$G:$G,ROW()-8))</f>
      </c>
      <c r="F2339">
        <f>IF(INDEX(Transactions!$J:$J,ROW()-8)="",0,INDEX(Transactions!$O:$O,ROW()-8))</f>
      </c>
    </row>
    <row r="2340" spans="1:7">
      <c r="B2340">
        <f>IF(INDEX(Transactions!$J:$J,ROW()-8)="",TODAY(),INDEX(Transactions!$G:$G,ROW()-8))</f>
      </c>
      <c r="F2340">
        <f>IF(INDEX(Transactions!$J:$J,ROW()-8)="",0,INDEX(Transactions!$O:$O,ROW()-8))</f>
      </c>
    </row>
    <row r="2341" spans="1:7">
      <c r="B2341">
        <f>IF(INDEX(Transactions!$J:$J,ROW()-8)="",TODAY(),INDEX(Transactions!$G:$G,ROW()-8))</f>
      </c>
      <c r="F2341">
        <f>IF(INDEX(Transactions!$J:$J,ROW()-8)="",0,INDEX(Transactions!$O:$O,ROW()-8))</f>
      </c>
    </row>
    <row r="2342" spans="1:7">
      <c r="B2342">
        <f>IF(INDEX(Transactions!$J:$J,ROW()-8)="",TODAY(),INDEX(Transactions!$G:$G,ROW()-8))</f>
      </c>
      <c r="F2342">
        <f>IF(INDEX(Transactions!$J:$J,ROW()-8)="",0,INDEX(Transactions!$O:$O,ROW()-8))</f>
      </c>
    </row>
    <row r="2343" spans="1:7">
      <c r="B2343">
        <f>IF(INDEX(Transactions!$J:$J,ROW()-8)="",TODAY(),INDEX(Transactions!$G:$G,ROW()-8))</f>
      </c>
      <c r="F2343">
        <f>IF(INDEX(Transactions!$J:$J,ROW()-8)="",0,INDEX(Transactions!$O:$O,ROW()-8))</f>
      </c>
    </row>
    <row r="2344" spans="1:7">
      <c r="B2344">
        <f>IF(INDEX(Transactions!$J:$J,ROW()-8)="",TODAY(),INDEX(Transactions!$G:$G,ROW()-8))</f>
      </c>
      <c r="F2344">
        <f>IF(INDEX(Transactions!$J:$J,ROW()-8)="",0,INDEX(Transactions!$O:$O,ROW()-8))</f>
      </c>
    </row>
    <row r="2345" spans="1:7">
      <c r="B2345">
        <f>IF(INDEX(Transactions!$J:$J,ROW()-8)="",TODAY(),INDEX(Transactions!$G:$G,ROW()-8))</f>
      </c>
      <c r="F2345">
        <f>IF(INDEX(Transactions!$J:$J,ROW()-8)="",0,INDEX(Transactions!$O:$O,ROW()-8))</f>
      </c>
    </row>
    <row r="2346" spans="1:7">
      <c r="B2346">
        <f>IF(INDEX(Transactions!$J:$J,ROW()-8)="",TODAY(),INDEX(Transactions!$G:$G,ROW()-8))</f>
      </c>
      <c r="F2346">
        <f>IF(INDEX(Transactions!$J:$J,ROW()-8)="",0,INDEX(Transactions!$O:$O,ROW()-8))</f>
      </c>
    </row>
    <row r="2347" spans="1:7">
      <c r="B2347">
        <f>IF(INDEX(Transactions!$J:$J,ROW()-8)="",TODAY(),INDEX(Transactions!$G:$G,ROW()-8))</f>
      </c>
      <c r="F2347">
        <f>IF(INDEX(Transactions!$J:$J,ROW()-8)="",0,INDEX(Transactions!$O:$O,ROW()-8))</f>
      </c>
    </row>
    <row r="2348" spans="1:7">
      <c r="B2348">
        <f>IF(INDEX(Transactions!$J:$J,ROW()-8)="",TODAY(),INDEX(Transactions!$G:$G,ROW()-8))</f>
      </c>
      <c r="F2348">
        <f>IF(INDEX(Transactions!$J:$J,ROW()-8)="",0,INDEX(Transactions!$O:$O,ROW()-8))</f>
      </c>
    </row>
    <row r="2349" spans="1:7">
      <c r="B2349">
        <f>IF(INDEX(Transactions!$J:$J,ROW()-8)="",TODAY(),INDEX(Transactions!$G:$G,ROW()-8))</f>
      </c>
      <c r="F2349">
        <f>IF(INDEX(Transactions!$J:$J,ROW()-8)="",0,INDEX(Transactions!$O:$O,ROW()-8))</f>
      </c>
    </row>
    <row r="2350" spans="1:7">
      <c r="B2350">
        <f>IF(INDEX(Transactions!$J:$J,ROW()-8)="",TODAY(),INDEX(Transactions!$G:$G,ROW()-8))</f>
      </c>
      <c r="F2350">
        <f>IF(INDEX(Transactions!$J:$J,ROW()-8)="",0,INDEX(Transactions!$O:$O,ROW()-8))</f>
      </c>
    </row>
    <row r="2351" spans="1:7">
      <c r="B2351">
        <f>IF(INDEX(Transactions!$J:$J,ROW()-8)="",TODAY(),INDEX(Transactions!$G:$G,ROW()-8))</f>
      </c>
      <c r="F2351">
        <f>IF(INDEX(Transactions!$J:$J,ROW()-8)="",0,INDEX(Transactions!$O:$O,ROW()-8))</f>
      </c>
    </row>
    <row r="2352" spans="1:7">
      <c r="B2352">
        <f>IF(INDEX(Transactions!$J:$J,ROW()-8)="",TODAY(),INDEX(Transactions!$G:$G,ROW()-8))</f>
      </c>
      <c r="F2352">
        <f>IF(INDEX(Transactions!$J:$J,ROW()-8)="",0,INDEX(Transactions!$O:$O,ROW()-8))</f>
      </c>
    </row>
    <row r="2353" spans="1:7">
      <c r="B2353">
        <f>IF(INDEX(Transactions!$J:$J,ROW()-8)="",TODAY(),INDEX(Transactions!$G:$G,ROW()-8))</f>
      </c>
      <c r="F2353">
        <f>IF(INDEX(Transactions!$J:$J,ROW()-8)="",0,INDEX(Transactions!$O:$O,ROW()-8))</f>
      </c>
    </row>
    <row r="2354" spans="1:7">
      <c r="B2354">
        <f>IF(INDEX(Transactions!$J:$J,ROW()-8)="",TODAY(),INDEX(Transactions!$G:$G,ROW()-8))</f>
      </c>
      <c r="F2354">
        <f>IF(INDEX(Transactions!$J:$J,ROW()-8)="",0,INDEX(Transactions!$O:$O,ROW()-8))</f>
      </c>
    </row>
    <row r="2355" spans="1:7">
      <c r="B2355">
        <f>IF(INDEX(Transactions!$J:$J,ROW()-8)="",TODAY(),INDEX(Transactions!$G:$G,ROW()-8))</f>
      </c>
      <c r="F2355">
        <f>IF(INDEX(Transactions!$J:$J,ROW()-8)="",0,INDEX(Transactions!$O:$O,ROW()-8))</f>
      </c>
    </row>
    <row r="2356" spans="1:7">
      <c r="B2356">
        <f>IF(INDEX(Transactions!$J:$J,ROW()-8)="",TODAY(),INDEX(Transactions!$G:$G,ROW()-8))</f>
      </c>
      <c r="F2356">
        <f>IF(INDEX(Transactions!$J:$J,ROW()-8)="",0,INDEX(Transactions!$O:$O,ROW()-8))</f>
      </c>
    </row>
    <row r="2357" spans="1:7">
      <c r="B2357">
        <f>IF(INDEX(Transactions!$J:$J,ROW()-8)="",TODAY(),INDEX(Transactions!$G:$G,ROW()-8))</f>
      </c>
      <c r="F2357">
        <f>IF(INDEX(Transactions!$J:$J,ROW()-8)="",0,INDEX(Transactions!$O:$O,ROW()-8))</f>
      </c>
    </row>
    <row r="2358" spans="1:7">
      <c r="B2358">
        <f>IF(INDEX(Transactions!$J:$J,ROW()-8)="",TODAY(),INDEX(Transactions!$G:$G,ROW()-8))</f>
      </c>
      <c r="F2358">
        <f>IF(INDEX(Transactions!$J:$J,ROW()-8)="",0,INDEX(Transactions!$O:$O,ROW()-8))</f>
      </c>
    </row>
    <row r="2359" spans="1:7">
      <c r="B2359">
        <f>IF(INDEX(Transactions!$J:$J,ROW()-8)="",TODAY(),INDEX(Transactions!$G:$G,ROW()-8))</f>
      </c>
      <c r="F2359">
        <f>IF(INDEX(Transactions!$J:$J,ROW()-8)="",0,INDEX(Transactions!$O:$O,ROW()-8))</f>
      </c>
    </row>
    <row r="2360" spans="1:7">
      <c r="B2360">
        <f>IF(INDEX(Transactions!$J:$J,ROW()-8)="",TODAY(),INDEX(Transactions!$G:$G,ROW()-8))</f>
      </c>
      <c r="F2360">
        <f>IF(INDEX(Transactions!$J:$J,ROW()-8)="",0,INDEX(Transactions!$O:$O,ROW()-8))</f>
      </c>
    </row>
    <row r="2361" spans="1:7">
      <c r="B2361">
        <f>IF(INDEX(Transactions!$J:$J,ROW()-8)="",TODAY(),INDEX(Transactions!$G:$G,ROW()-8))</f>
      </c>
      <c r="F2361">
        <f>IF(INDEX(Transactions!$J:$J,ROW()-8)="",0,INDEX(Transactions!$O:$O,ROW()-8))</f>
      </c>
    </row>
    <row r="2362" spans="1:7">
      <c r="B2362">
        <f>IF(INDEX(Transactions!$J:$J,ROW()-8)="",TODAY(),INDEX(Transactions!$G:$G,ROW()-8))</f>
      </c>
      <c r="F2362">
        <f>IF(INDEX(Transactions!$J:$J,ROW()-8)="",0,INDEX(Transactions!$O:$O,ROW()-8))</f>
      </c>
    </row>
    <row r="2363" spans="1:7">
      <c r="B2363">
        <f>IF(INDEX(Transactions!$J:$J,ROW()-8)="",TODAY(),INDEX(Transactions!$G:$G,ROW()-8))</f>
      </c>
      <c r="F2363">
        <f>IF(INDEX(Transactions!$J:$J,ROW()-8)="",0,INDEX(Transactions!$O:$O,ROW()-8))</f>
      </c>
    </row>
    <row r="2364" spans="1:7">
      <c r="B2364">
        <f>IF(INDEX(Transactions!$J:$J,ROW()-8)="",TODAY(),INDEX(Transactions!$G:$G,ROW()-8))</f>
      </c>
      <c r="F2364">
        <f>IF(INDEX(Transactions!$J:$J,ROW()-8)="",0,INDEX(Transactions!$O:$O,ROW()-8))</f>
      </c>
    </row>
    <row r="2365" spans="1:7">
      <c r="B2365">
        <f>IF(INDEX(Transactions!$J:$J,ROW()-8)="",TODAY(),INDEX(Transactions!$G:$G,ROW()-8))</f>
      </c>
      <c r="F2365">
        <f>IF(INDEX(Transactions!$J:$J,ROW()-8)="",0,INDEX(Transactions!$O:$O,ROW()-8))</f>
      </c>
    </row>
    <row r="2366" spans="1:7">
      <c r="B2366">
        <f>IF(INDEX(Transactions!$J:$J,ROW()-8)="",TODAY(),INDEX(Transactions!$G:$G,ROW()-8))</f>
      </c>
      <c r="F2366">
        <f>IF(INDEX(Transactions!$J:$J,ROW()-8)="",0,INDEX(Transactions!$O:$O,ROW()-8))</f>
      </c>
    </row>
    <row r="2367" spans="1:7">
      <c r="B2367">
        <f>IF(INDEX(Transactions!$J:$J,ROW()-8)="",TODAY(),INDEX(Transactions!$G:$G,ROW()-8))</f>
      </c>
      <c r="F2367">
        <f>IF(INDEX(Transactions!$J:$J,ROW()-8)="",0,INDEX(Transactions!$O:$O,ROW()-8))</f>
      </c>
    </row>
    <row r="2368" spans="1:7">
      <c r="B2368">
        <f>IF(INDEX(Transactions!$J:$J,ROW()-8)="",TODAY(),INDEX(Transactions!$G:$G,ROW()-8))</f>
      </c>
      <c r="F2368">
        <f>IF(INDEX(Transactions!$J:$J,ROW()-8)="",0,INDEX(Transactions!$O:$O,ROW()-8))</f>
      </c>
    </row>
    <row r="2369" spans="1:7">
      <c r="B2369">
        <f>IF(INDEX(Transactions!$J:$J,ROW()-8)="",TODAY(),INDEX(Transactions!$G:$G,ROW()-8))</f>
      </c>
      <c r="F2369">
        <f>IF(INDEX(Transactions!$J:$J,ROW()-8)="",0,INDEX(Transactions!$O:$O,ROW()-8))</f>
      </c>
    </row>
    <row r="2370" spans="1:7">
      <c r="B2370">
        <f>IF(INDEX(Transactions!$J:$J,ROW()-8)="",TODAY(),INDEX(Transactions!$G:$G,ROW()-8))</f>
      </c>
      <c r="F2370">
        <f>IF(INDEX(Transactions!$J:$J,ROW()-8)="",0,INDEX(Transactions!$O:$O,ROW()-8))</f>
      </c>
    </row>
    <row r="2371" spans="1:7">
      <c r="B2371">
        <f>IF(INDEX(Transactions!$J:$J,ROW()-8)="",TODAY(),INDEX(Transactions!$G:$G,ROW()-8))</f>
      </c>
      <c r="F2371">
        <f>IF(INDEX(Transactions!$J:$J,ROW()-8)="",0,INDEX(Transactions!$O:$O,ROW()-8))</f>
      </c>
    </row>
    <row r="2372" spans="1:7">
      <c r="B2372">
        <f>IF(INDEX(Transactions!$J:$J,ROW()-8)="",TODAY(),INDEX(Transactions!$G:$G,ROW()-8))</f>
      </c>
      <c r="F2372">
        <f>IF(INDEX(Transactions!$J:$J,ROW()-8)="",0,INDEX(Transactions!$O:$O,ROW()-8))</f>
      </c>
    </row>
    <row r="2373" spans="1:7">
      <c r="B2373">
        <f>IF(INDEX(Transactions!$J:$J,ROW()-8)="",TODAY(),INDEX(Transactions!$G:$G,ROW()-8))</f>
      </c>
      <c r="F2373">
        <f>IF(INDEX(Transactions!$J:$J,ROW()-8)="",0,INDEX(Transactions!$O:$O,ROW()-8))</f>
      </c>
    </row>
    <row r="2374" spans="1:7">
      <c r="B2374">
        <f>IF(INDEX(Transactions!$J:$J,ROW()-8)="",TODAY(),INDEX(Transactions!$G:$G,ROW()-8))</f>
      </c>
      <c r="F2374">
        <f>IF(INDEX(Transactions!$J:$J,ROW()-8)="",0,INDEX(Transactions!$O:$O,ROW()-8))</f>
      </c>
    </row>
    <row r="2375" spans="1:7">
      <c r="B2375">
        <f>IF(INDEX(Transactions!$J:$J,ROW()-8)="",TODAY(),INDEX(Transactions!$G:$G,ROW()-8))</f>
      </c>
      <c r="F2375">
        <f>IF(INDEX(Transactions!$J:$J,ROW()-8)="",0,INDEX(Transactions!$O:$O,ROW()-8))</f>
      </c>
    </row>
    <row r="2376" spans="1:7">
      <c r="B2376">
        <f>IF(INDEX(Transactions!$J:$J,ROW()-8)="",TODAY(),INDEX(Transactions!$G:$G,ROW()-8))</f>
      </c>
      <c r="F2376">
        <f>IF(INDEX(Transactions!$J:$J,ROW()-8)="",0,INDEX(Transactions!$O:$O,ROW()-8))</f>
      </c>
    </row>
    <row r="2377" spans="1:7">
      <c r="B2377">
        <f>IF(INDEX(Transactions!$J:$J,ROW()-8)="",TODAY(),INDEX(Transactions!$G:$G,ROW()-8))</f>
      </c>
      <c r="F2377">
        <f>IF(INDEX(Transactions!$J:$J,ROW()-8)="",0,INDEX(Transactions!$O:$O,ROW()-8))</f>
      </c>
    </row>
    <row r="2378" spans="1:7">
      <c r="B2378">
        <f>IF(INDEX(Transactions!$J:$J,ROW()-8)="",TODAY(),INDEX(Transactions!$G:$G,ROW()-8))</f>
      </c>
      <c r="F2378">
        <f>IF(INDEX(Transactions!$J:$J,ROW()-8)="",0,INDEX(Transactions!$O:$O,ROW()-8))</f>
      </c>
    </row>
    <row r="2379" spans="1:7">
      <c r="B2379">
        <f>IF(INDEX(Transactions!$J:$J,ROW()-8)="",TODAY(),INDEX(Transactions!$G:$G,ROW()-8))</f>
      </c>
      <c r="F2379">
        <f>IF(INDEX(Transactions!$J:$J,ROW()-8)="",0,INDEX(Transactions!$O:$O,ROW()-8))</f>
      </c>
    </row>
    <row r="2380" spans="1:7">
      <c r="B2380">
        <f>IF(INDEX(Transactions!$J:$J,ROW()-8)="",TODAY(),INDEX(Transactions!$G:$G,ROW()-8))</f>
      </c>
      <c r="F2380">
        <f>IF(INDEX(Transactions!$J:$J,ROW()-8)="",0,INDEX(Transactions!$O:$O,ROW()-8))</f>
      </c>
    </row>
    <row r="2381" spans="1:7">
      <c r="B2381">
        <f>IF(INDEX(Transactions!$J:$J,ROW()-8)="",TODAY(),INDEX(Transactions!$G:$G,ROW()-8))</f>
      </c>
      <c r="F2381">
        <f>IF(INDEX(Transactions!$J:$J,ROW()-8)="",0,INDEX(Transactions!$O:$O,ROW()-8))</f>
      </c>
    </row>
    <row r="2382" spans="1:7">
      <c r="B2382">
        <f>IF(INDEX(Transactions!$J:$J,ROW()-8)="",TODAY(),INDEX(Transactions!$G:$G,ROW()-8))</f>
      </c>
      <c r="F2382">
        <f>IF(INDEX(Transactions!$J:$J,ROW()-8)="",0,INDEX(Transactions!$O:$O,ROW()-8))</f>
      </c>
    </row>
    <row r="2383" spans="1:7">
      <c r="B2383">
        <f>IF(INDEX(Transactions!$J:$J,ROW()-8)="",TODAY(),INDEX(Transactions!$G:$G,ROW()-8))</f>
      </c>
      <c r="F2383">
        <f>IF(INDEX(Transactions!$J:$J,ROW()-8)="",0,INDEX(Transactions!$O:$O,ROW()-8))</f>
      </c>
    </row>
    <row r="2384" spans="1:7">
      <c r="B2384">
        <f>IF(INDEX(Transactions!$J:$J,ROW()-8)="",TODAY(),INDEX(Transactions!$G:$G,ROW()-8))</f>
      </c>
      <c r="F2384">
        <f>IF(INDEX(Transactions!$J:$J,ROW()-8)="",0,INDEX(Transactions!$O:$O,ROW()-8))</f>
      </c>
    </row>
    <row r="2385" spans="1:7">
      <c r="B2385">
        <f>IF(INDEX(Transactions!$J:$J,ROW()-8)="",TODAY(),INDEX(Transactions!$G:$G,ROW()-8))</f>
      </c>
      <c r="F2385">
        <f>IF(INDEX(Transactions!$J:$J,ROW()-8)="",0,INDEX(Transactions!$O:$O,ROW()-8))</f>
      </c>
    </row>
    <row r="2386" spans="1:7">
      <c r="B2386">
        <f>IF(INDEX(Transactions!$J:$J,ROW()-8)="",TODAY(),INDEX(Transactions!$G:$G,ROW()-8))</f>
      </c>
      <c r="F2386">
        <f>IF(INDEX(Transactions!$J:$J,ROW()-8)="",0,INDEX(Transactions!$O:$O,ROW()-8))</f>
      </c>
    </row>
    <row r="2387" spans="1:7">
      <c r="B2387">
        <f>IF(INDEX(Transactions!$J:$J,ROW()-8)="",TODAY(),INDEX(Transactions!$G:$G,ROW()-8))</f>
      </c>
      <c r="F2387">
        <f>IF(INDEX(Transactions!$J:$J,ROW()-8)="",0,INDEX(Transactions!$O:$O,ROW()-8))</f>
      </c>
    </row>
    <row r="2388" spans="1:7">
      <c r="B2388">
        <f>IF(INDEX(Transactions!$J:$J,ROW()-8)="",TODAY(),INDEX(Transactions!$G:$G,ROW()-8))</f>
      </c>
      <c r="F2388">
        <f>IF(INDEX(Transactions!$J:$J,ROW()-8)="",0,INDEX(Transactions!$O:$O,ROW()-8))</f>
      </c>
    </row>
    <row r="2389" spans="1:7">
      <c r="B2389">
        <f>IF(INDEX(Transactions!$J:$J,ROW()-8)="",TODAY(),INDEX(Transactions!$G:$G,ROW()-8))</f>
      </c>
      <c r="F2389">
        <f>IF(INDEX(Transactions!$J:$J,ROW()-8)="",0,INDEX(Transactions!$O:$O,ROW()-8))</f>
      </c>
    </row>
    <row r="2390" spans="1:7">
      <c r="B2390">
        <f>IF(INDEX(Transactions!$J:$J,ROW()-8)="",TODAY(),INDEX(Transactions!$G:$G,ROW()-8))</f>
      </c>
      <c r="F2390">
        <f>IF(INDEX(Transactions!$J:$J,ROW()-8)="",0,INDEX(Transactions!$O:$O,ROW()-8))</f>
      </c>
    </row>
    <row r="2391" spans="1:7">
      <c r="B2391">
        <f>IF(INDEX(Transactions!$J:$J,ROW()-8)="",TODAY(),INDEX(Transactions!$G:$G,ROW()-8))</f>
      </c>
      <c r="F2391">
        <f>IF(INDEX(Transactions!$J:$J,ROW()-8)="",0,INDEX(Transactions!$O:$O,ROW()-8))</f>
      </c>
    </row>
    <row r="2392" spans="1:7">
      <c r="B2392">
        <f>IF(INDEX(Transactions!$J:$J,ROW()-8)="",TODAY(),INDEX(Transactions!$G:$G,ROW()-8))</f>
      </c>
      <c r="F2392">
        <f>IF(INDEX(Transactions!$J:$J,ROW()-8)="",0,INDEX(Transactions!$O:$O,ROW()-8))</f>
      </c>
    </row>
    <row r="2393" spans="1:7">
      <c r="B2393">
        <f>IF(INDEX(Transactions!$J:$J,ROW()-8)="",TODAY(),INDEX(Transactions!$G:$G,ROW()-8))</f>
      </c>
      <c r="F2393">
        <f>IF(INDEX(Transactions!$J:$J,ROW()-8)="",0,INDEX(Transactions!$O:$O,ROW()-8))</f>
      </c>
    </row>
    <row r="2394" spans="1:7">
      <c r="B2394">
        <f>IF(INDEX(Transactions!$J:$J,ROW()-8)="",TODAY(),INDEX(Transactions!$G:$G,ROW()-8))</f>
      </c>
      <c r="F2394">
        <f>IF(INDEX(Transactions!$J:$J,ROW()-8)="",0,INDEX(Transactions!$O:$O,ROW()-8))</f>
      </c>
    </row>
    <row r="2395" spans="1:7">
      <c r="B2395">
        <f>IF(INDEX(Transactions!$J:$J,ROW()-8)="",TODAY(),INDEX(Transactions!$G:$G,ROW()-8))</f>
      </c>
      <c r="F2395">
        <f>IF(INDEX(Transactions!$J:$J,ROW()-8)="",0,INDEX(Transactions!$O:$O,ROW()-8))</f>
      </c>
    </row>
    <row r="2396" spans="1:7">
      <c r="B2396">
        <f>IF(INDEX(Transactions!$J:$J,ROW()-8)="",TODAY(),INDEX(Transactions!$G:$G,ROW()-8))</f>
      </c>
      <c r="F2396">
        <f>IF(INDEX(Transactions!$J:$J,ROW()-8)="",0,INDEX(Transactions!$O:$O,ROW()-8))</f>
      </c>
    </row>
    <row r="2397" spans="1:7">
      <c r="B2397">
        <f>IF(INDEX(Transactions!$J:$J,ROW()-8)="",TODAY(),INDEX(Transactions!$G:$G,ROW()-8))</f>
      </c>
      <c r="F2397">
        <f>IF(INDEX(Transactions!$J:$J,ROW()-8)="",0,INDEX(Transactions!$O:$O,ROW()-8))</f>
      </c>
    </row>
    <row r="2398" spans="1:7">
      <c r="B2398">
        <f>IF(INDEX(Transactions!$J:$J,ROW()-8)="",TODAY(),INDEX(Transactions!$G:$G,ROW()-8))</f>
      </c>
      <c r="F2398">
        <f>IF(INDEX(Transactions!$J:$J,ROW()-8)="",0,INDEX(Transactions!$O:$O,ROW()-8))</f>
      </c>
    </row>
    <row r="2399" spans="1:7">
      <c r="B2399">
        <f>IF(INDEX(Transactions!$J:$J,ROW()-8)="",TODAY(),INDEX(Transactions!$G:$G,ROW()-8))</f>
      </c>
      <c r="F2399">
        <f>IF(INDEX(Transactions!$J:$J,ROW()-8)="",0,INDEX(Transactions!$O:$O,ROW()-8))</f>
      </c>
    </row>
    <row r="2400" spans="1:7">
      <c r="B2400">
        <f>IF(INDEX(Transactions!$J:$J,ROW()-8)="",TODAY(),INDEX(Transactions!$G:$G,ROW()-8))</f>
      </c>
      <c r="F2400">
        <f>IF(INDEX(Transactions!$J:$J,ROW()-8)="",0,INDEX(Transactions!$O:$O,ROW()-8))</f>
      </c>
    </row>
    <row r="2401" spans="1:7">
      <c r="B2401">
        <f>IF(INDEX(Transactions!$J:$J,ROW()-8)="",TODAY(),INDEX(Transactions!$G:$G,ROW()-8))</f>
      </c>
      <c r="F2401">
        <f>IF(INDEX(Transactions!$J:$J,ROW()-8)="",0,INDEX(Transactions!$O:$O,ROW()-8))</f>
      </c>
    </row>
    <row r="2402" spans="1:7">
      <c r="B2402">
        <f>IF(INDEX(Transactions!$J:$J,ROW()-8)="",TODAY(),INDEX(Transactions!$G:$G,ROW()-8))</f>
      </c>
      <c r="F2402">
        <f>IF(INDEX(Transactions!$J:$J,ROW()-8)="",0,INDEX(Transactions!$O:$O,ROW()-8))</f>
      </c>
    </row>
    <row r="2403" spans="1:7">
      <c r="B2403">
        <f>IF(INDEX(Transactions!$J:$J,ROW()-8)="",TODAY(),INDEX(Transactions!$G:$G,ROW()-8))</f>
      </c>
      <c r="F2403">
        <f>IF(INDEX(Transactions!$J:$J,ROW()-8)="",0,INDEX(Transactions!$O:$O,ROW()-8))</f>
      </c>
    </row>
    <row r="2404" spans="1:7">
      <c r="B2404">
        <f>IF(INDEX(Transactions!$J:$J,ROW()-8)="",TODAY(),INDEX(Transactions!$G:$G,ROW()-8))</f>
      </c>
      <c r="F2404">
        <f>IF(INDEX(Transactions!$J:$J,ROW()-8)="",0,INDEX(Transactions!$O:$O,ROW()-8))</f>
      </c>
    </row>
    <row r="2405" spans="1:7">
      <c r="B2405">
        <f>IF(INDEX(Transactions!$J:$J,ROW()-8)="",TODAY(),INDEX(Transactions!$G:$G,ROW()-8))</f>
      </c>
      <c r="F2405">
        <f>IF(INDEX(Transactions!$J:$J,ROW()-8)="",0,INDEX(Transactions!$O:$O,ROW()-8))</f>
      </c>
    </row>
    <row r="2406" spans="1:7">
      <c r="B2406">
        <f>IF(INDEX(Transactions!$J:$J,ROW()-8)="",TODAY(),INDEX(Transactions!$G:$G,ROW()-8))</f>
      </c>
      <c r="F2406">
        <f>IF(INDEX(Transactions!$J:$J,ROW()-8)="",0,INDEX(Transactions!$O:$O,ROW()-8))</f>
      </c>
    </row>
    <row r="2407" spans="1:7">
      <c r="B2407">
        <f>IF(INDEX(Transactions!$J:$J,ROW()-8)="",TODAY(),INDEX(Transactions!$G:$G,ROW()-8))</f>
      </c>
      <c r="F2407">
        <f>IF(INDEX(Transactions!$J:$J,ROW()-8)="",0,INDEX(Transactions!$O:$O,ROW()-8))</f>
      </c>
    </row>
    <row r="2408" spans="1:7">
      <c r="B2408">
        <f>IF(INDEX(Transactions!$J:$J,ROW()-8)="",TODAY(),INDEX(Transactions!$G:$G,ROW()-8))</f>
      </c>
      <c r="F2408">
        <f>IF(INDEX(Transactions!$J:$J,ROW()-8)="",0,INDEX(Transactions!$O:$O,ROW()-8))</f>
      </c>
    </row>
    <row r="2409" spans="1:7">
      <c r="B2409">
        <f>IF(INDEX(Transactions!$J:$J,ROW()-8)="",TODAY(),INDEX(Transactions!$G:$G,ROW()-8))</f>
      </c>
      <c r="F2409">
        <f>IF(INDEX(Transactions!$J:$J,ROW()-8)="",0,INDEX(Transactions!$O:$O,ROW()-8))</f>
      </c>
    </row>
    <row r="2410" spans="1:7">
      <c r="B2410">
        <f>IF(INDEX(Transactions!$J:$J,ROW()-8)="",TODAY(),INDEX(Transactions!$G:$G,ROW()-8))</f>
      </c>
      <c r="F2410">
        <f>IF(INDEX(Transactions!$J:$J,ROW()-8)="",0,INDEX(Transactions!$O:$O,ROW()-8))</f>
      </c>
    </row>
    <row r="2411" spans="1:7">
      <c r="B2411">
        <f>IF(INDEX(Transactions!$J:$J,ROW()-8)="",TODAY(),INDEX(Transactions!$G:$G,ROW()-8))</f>
      </c>
      <c r="F2411">
        <f>IF(INDEX(Transactions!$J:$J,ROW()-8)="",0,INDEX(Transactions!$O:$O,ROW()-8))</f>
      </c>
    </row>
    <row r="2412" spans="1:7">
      <c r="B2412">
        <f>IF(INDEX(Transactions!$J:$J,ROW()-8)="",TODAY(),INDEX(Transactions!$G:$G,ROW()-8))</f>
      </c>
      <c r="F2412">
        <f>IF(INDEX(Transactions!$J:$J,ROW()-8)="",0,INDEX(Transactions!$O:$O,ROW()-8))</f>
      </c>
    </row>
    <row r="2413" spans="1:7">
      <c r="B2413">
        <f>IF(INDEX(Transactions!$J:$J,ROW()-8)="",TODAY(),INDEX(Transactions!$G:$G,ROW()-8))</f>
      </c>
      <c r="F2413">
        <f>IF(INDEX(Transactions!$J:$J,ROW()-8)="",0,INDEX(Transactions!$O:$O,ROW()-8))</f>
      </c>
    </row>
    <row r="2414" spans="1:7">
      <c r="B2414">
        <f>IF(INDEX(Transactions!$J:$J,ROW()-8)="",TODAY(),INDEX(Transactions!$G:$G,ROW()-8))</f>
      </c>
      <c r="F2414">
        <f>IF(INDEX(Transactions!$J:$J,ROW()-8)="",0,INDEX(Transactions!$O:$O,ROW()-8))</f>
      </c>
    </row>
    <row r="2415" spans="1:7">
      <c r="B2415">
        <f>IF(INDEX(Transactions!$J:$J,ROW()-8)="",TODAY(),INDEX(Transactions!$G:$G,ROW()-8))</f>
      </c>
      <c r="F2415">
        <f>IF(INDEX(Transactions!$J:$J,ROW()-8)="",0,INDEX(Transactions!$O:$O,ROW()-8))</f>
      </c>
    </row>
    <row r="2416" spans="1:7">
      <c r="B2416">
        <f>IF(INDEX(Transactions!$J:$J,ROW()-8)="",TODAY(),INDEX(Transactions!$G:$G,ROW()-8))</f>
      </c>
      <c r="F2416">
        <f>IF(INDEX(Transactions!$J:$J,ROW()-8)="",0,INDEX(Transactions!$O:$O,ROW()-8))</f>
      </c>
    </row>
    <row r="2417" spans="1:7">
      <c r="B2417">
        <f>IF(INDEX(Transactions!$J:$J,ROW()-8)="",TODAY(),INDEX(Transactions!$G:$G,ROW()-8))</f>
      </c>
      <c r="F2417">
        <f>IF(INDEX(Transactions!$J:$J,ROW()-8)="",0,INDEX(Transactions!$O:$O,ROW()-8))</f>
      </c>
    </row>
    <row r="2418" spans="1:7">
      <c r="B2418">
        <f>IF(INDEX(Transactions!$J:$J,ROW()-8)="",TODAY(),INDEX(Transactions!$G:$G,ROW()-8))</f>
      </c>
      <c r="F2418">
        <f>IF(INDEX(Transactions!$J:$J,ROW()-8)="",0,INDEX(Transactions!$O:$O,ROW()-8))</f>
      </c>
    </row>
    <row r="2419" spans="1:7">
      <c r="B2419">
        <f>IF(INDEX(Transactions!$J:$J,ROW()-8)="",TODAY(),INDEX(Transactions!$G:$G,ROW()-8))</f>
      </c>
      <c r="F2419">
        <f>IF(INDEX(Transactions!$J:$J,ROW()-8)="",0,INDEX(Transactions!$O:$O,ROW()-8))</f>
      </c>
    </row>
    <row r="2420" spans="1:7">
      <c r="B2420">
        <f>IF(INDEX(Transactions!$J:$J,ROW()-8)="",TODAY(),INDEX(Transactions!$G:$G,ROW()-8))</f>
      </c>
      <c r="F2420">
        <f>IF(INDEX(Transactions!$J:$J,ROW()-8)="",0,INDEX(Transactions!$O:$O,ROW()-8))</f>
      </c>
    </row>
    <row r="2421" spans="1:7">
      <c r="B2421">
        <f>IF(INDEX(Transactions!$J:$J,ROW()-8)="",TODAY(),INDEX(Transactions!$G:$G,ROW()-8))</f>
      </c>
      <c r="F2421">
        <f>IF(INDEX(Transactions!$J:$J,ROW()-8)="",0,INDEX(Transactions!$O:$O,ROW()-8))</f>
      </c>
    </row>
    <row r="2422" spans="1:7">
      <c r="B2422">
        <f>IF(INDEX(Transactions!$J:$J,ROW()-8)="",TODAY(),INDEX(Transactions!$G:$G,ROW()-8))</f>
      </c>
      <c r="F2422">
        <f>IF(INDEX(Transactions!$J:$J,ROW()-8)="",0,INDEX(Transactions!$O:$O,ROW()-8))</f>
      </c>
    </row>
    <row r="2423" spans="1:7">
      <c r="B2423">
        <f>IF(INDEX(Transactions!$J:$J,ROW()-8)="",TODAY(),INDEX(Transactions!$G:$G,ROW()-8))</f>
      </c>
      <c r="F2423">
        <f>IF(INDEX(Transactions!$J:$J,ROW()-8)="",0,INDEX(Transactions!$O:$O,ROW()-8))</f>
      </c>
    </row>
    <row r="2424" spans="1:7">
      <c r="B2424">
        <f>IF(INDEX(Transactions!$J:$J,ROW()-8)="",TODAY(),INDEX(Transactions!$G:$G,ROW()-8))</f>
      </c>
      <c r="F2424">
        <f>IF(INDEX(Transactions!$J:$J,ROW()-8)="",0,INDEX(Transactions!$O:$O,ROW()-8))</f>
      </c>
    </row>
    <row r="2425" spans="1:7">
      <c r="B2425">
        <f>IF(INDEX(Transactions!$J:$J,ROW()-8)="",TODAY(),INDEX(Transactions!$G:$G,ROW()-8))</f>
      </c>
      <c r="F2425">
        <f>IF(INDEX(Transactions!$J:$J,ROW()-8)="",0,INDEX(Transactions!$O:$O,ROW()-8))</f>
      </c>
    </row>
    <row r="2426" spans="1:7">
      <c r="B2426">
        <f>IF(INDEX(Transactions!$J:$J,ROW()-8)="",TODAY(),INDEX(Transactions!$G:$G,ROW()-8))</f>
      </c>
      <c r="F2426">
        <f>IF(INDEX(Transactions!$J:$J,ROW()-8)="",0,INDEX(Transactions!$O:$O,ROW()-8))</f>
      </c>
    </row>
    <row r="2427" spans="1:7">
      <c r="B2427">
        <f>IF(INDEX(Transactions!$J:$J,ROW()-8)="",TODAY(),INDEX(Transactions!$G:$G,ROW()-8))</f>
      </c>
      <c r="F2427">
        <f>IF(INDEX(Transactions!$J:$J,ROW()-8)="",0,INDEX(Transactions!$O:$O,ROW()-8))</f>
      </c>
    </row>
    <row r="2428" spans="1:7">
      <c r="B2428">
        <f>IF(INDEX(Transactions!$J:$J,ROW()-8)="",TODAY(),INDEX(Transactions!$G:$G,ROW()-8))</f>
      </c>
      <c r="F2428">
        <f>IF(INDEX(Transactions!$J:$J,ROW()-8)="",0,INDEX(Transactions!$O:$O,ROW()-8))</f>
      </c>
    </row>
    <row r="2429" spans="1:7">
      <c r="B2429">
        <f>IF(INDEX(Transactions!$J:$J,ROW()-8)="",TODAY(),INDEX(Transactions!$G:$G,ROW()-8))</f>
      </c>
      <c r="F2429">
        <f>IF(INDEX(Transactions!$J:$J,ROW()-8)="",0,INDEX(Transactions!$O:$O,ROW()-8))</f>
      </c>
    </row>
    <row r="2430" spans="1:7">
      <c r="B2430">
        <f>IF(INDEX(Transactions!$J:$J,ROW()-8)="",TODAY(),INDEX(Transactions!$G:$G,ROW()-8))</f>
      </c>
      <c r="F2430">
        <f>IF(INDEX(Transactions!$J:$J,ROW()-8)="",0,INDEX(Transactions!$O:$O,ROW()-8))</f>
      </c>
    </row>
    <row r="2431" spans="1:7">
      <c r="B2431">
        <f>IF(INDEX(Transactions!$J:$J,ROW()-8)="",TODAY(),INDEX(Transactions!$G:$G,ROW()-8))</f>
      </c>
      <c r="F2431">
        <f>IF(INDEX(Transactions!$J:$J,ROW()-8)="",0,INDEX(Transactions!$O:$O,ROW()-8))</f>
      </c>
    </row>
    <row r="2432" spans="1:7">
      <c r="B2432">
        <f>IF(INDEX(Transactions!$J:$J,ROW()-8)="",TODAY(),INDEX(Transactions!$G:$G,ROW()-8))</f>
      </c>
      <c r="F2432">
        <f>IF(INDEX(Transactions!$J:$J,ROW()-8)="",0,INDEX(Transactions!$O:$O,ROW()-8))</f>
      </c>
    </row>
    <row r="2433" spans="1:7">
      <c r="B2433">
        <f>IF(INDEX(Transactions!$J:$J,ROW()-8)="",TODAY(),INDEX(Transactions!$G:$G,ROW()-8))</f>
      </c>
      <c r="F2433">
        <f>IF(INDEX(Transactions!$J:$J,ROW()-8)="",0,INDEX(Transactions!$O:$O,ROW()-8))</f>
      </c>
    </row>
    <row r="2434" spans="1:7">
      <c r="B2434">
        <f>IF(INDEX(Transactions!$J:$J,ROW()-8)="",TODAY(),INDEX(Transactions!$G:$G,ROW()-8))</f>
      </c>
      <c r="F2434">
        <f>IF(INDEX(Transactions!$J:$J,ROW()-8)="",0,INDEX(Transactions!$O:$O,ROW()-8))</f>
      </c>
    </row>
    <row r="2435" spans="1:7">
      <c r="B2435">
        <f>IF(INDEX(Transactions!$J:$J,ROW()-8)="",TODAY(),INDEX(Transactions!$G:$G,ROW()-8))</f>
      </c>
      <c r="F2435">
        <f>IF(INDEX(Transactions!$J:$J,ROW()-8)="",0,INDEX(Transactions!$O:$O,ROW()-8))</f>
      </c>
    </row>
    <row r="2436" spans="1:7">
      <c r="B2436">
        <f>IF(INDEX(Transactions!$J:$J,ROW()-8)="",TODAY(),INDEX(Transactions!$G:$G,ROW()-8))</f>
      </c>
      <c r="F2436">
        <f>IF(INDEX(Transactions!$J:$J,ROW()-8)="",0,INDEX(Transactions!$O:$O,ROW()-8))</f>
      </c>
    </row>
    <row r="2437" spans="1:7">
      <c r="B2437">
        <f>IF(INDEX(Transactions!$J:$J,ROW()-8)="",TODAY(),INDEX(Transactions!$G:$G,ROW()-8))</f>
      </c>
      <c r="F2437">
        <f>IF(INDEX(Transactions!$J:$J,ROW()-8)="",0,INDEX(Transactions!$O:$O,ROW()-8))</f>
      </c>
    </row>
    <row r="2438" spans="1:7">
      <c r="B2438">
        <f>IF(INDEX(Transactions!$J:$J,ROW()-8)="",TODAY(),INDEX(Transactions!$G:$G,ROW()-8))</f>
      </c>
      <c r="F2438">
        <f>IF(INDEX(Transactions!$J:$J,ROW()-8)="",0,INDEX(Transactions!$O:$O,ROW()-8))</f>
      </c>
    </row>
    <row r="2439" spans="1:7">
      <c r="B2439">
        <f>IF(INDEX(Transactions!$J:$J,ROW()-8)="",TODAY(),INDEX(Transactions!$G:$G,ROW()-8))</f>
      </c>
      <c r="F2439">
        <f>IF(INDEX(Transactions!$J:$J,ROW()-8)="",0,INDEX(Transactions!$O:$O,ROW()-8))</f>
      </c>
    </row>
    <row r="2440" spans="1:7">
      <c r="B2440">
        <f>IF(INDEX(Transactions!$J:$J,ROW()-8)="",TODAY(),INDEX(Transactions!$G:$G,ROW()-8))</f>
      </c>
      <c r="F2440">
        <f>IF(INDEX(Transactions!$J:$J,ROW()-8)="",0,INDEX(Transactions!$O:$O,ROW()-8))</f>
      </c>
    </row>
    <row r="2441" spans="1:7">
      <c r="B2441">
        <f>IF(INDEX(Transactions!$J:$J,ROW()-8)="",TODAY(),INDEX(Transactions!$G:$G,ROW()-8))</f>
      </c>
      <c r="F2441">
        <f>IF(INDEX(Transactions!$J:$J,ROW()-8)="",0,INDEX(Transactions!$O:$O,ROW()-8))</f>
      </c>
    </row>
    <row r="2442" spans="1:7">
      <c r="B2442">
        <f>IF(INDEX(Transactions!$J:$J,ROW()-8)="",TODAY(),INDEX(Transactions!$G:$G,ROW()-8))</f>
      </c>
      <c r="F2442">
        <f>IF(INDEX(Transactions!$J:$J,ROW()-8)="",0,INDEX(Transactions!$O:$O,ROW()-8))</f>
      </c>
    </row>
    <row r="2443" spans="1:7">
      <c r="B2443">
        <f>IF(INDEX(Transactions!$J:$J,ROW()-8)="",TODAY(),INDEX(Transactions!$G:$G,ROW()-8))</f>
      </c>
      <c r="F2443">
        <f>IF(INDEX(Transactions!$J:$J,ROW()-8)="",0,INDEX(Transactions!$O:$O,ROW()-8))</f>
      </c>
    </row>
    <row r="2444" spans="1:7">
      <c r="B2444">
        <f>IF(INDEX(Transactions!$J:$J,ROW()-8)="",TODAY(),INDEX(Transactions!$G:$G,ROW()-8))</f>
      </c>
      <c r="F2444">
        <f>IF(INDEX(Transactions!$J:$J,ROW()-8)="",0,INDEX(Transactions!$O:$O,ROW()-8))</f>
      </c>
    </row>
    <row r="2445" spans="1:7">
      <c r="B2445">
        <f>IF(INDEX(Transactions!$J:$J,ROW()-8)="",TODAY(),INDEX(Transactions!$G:$G,ROW()-8))</f>
      </c>
      <c r="F2445">
        <f>IF(INDEX(Transactions!$J:$J,ROW()-8)="",0,INDEX(Transactions!$O:$O,ROW()-8))</f>
      </c>
    </row>
    <row r="2446" spans="1:7">
      <c r="B2446">
        <f>IF(INDEX(Transactions!$J:$J,ROW()-8)="",TODAY(),INDEX(Transactions!$G:$G,ROW()-8))</f>
      </c>
      <c r="F2446">
        <f>IF(INDEX(Transactions!$J:$J,ROW()-8)="",0,INDEX(Transactions!$O:$O,ROW()-8))</f>
      </c>
    </row>
    <row r="2447" spans="1:7">
      <c r="B2447">
        <f>IF(INDEX(Transactions!$J:$J,ROW()-8)="",TODAY(),INDEX(Transactions!$G:$G,ROW()-8))</f>
      </c>
      <c r="F2447">
        <f>IF(INDEX(Transactions!$J:$J,ROW()-8)="",0,INDEX(Transactions!$O:$O,ROW()-8))</f>
      </c>
    </row>
    <row r="2448" spans="1:7">
      <c r="B2448">
        <f>IF(INDEX(Transactions!$J:$J,ROW()-8)="",TODAY(),INDEX(Transactions!$G:$G,ROW()-8))</f>
      </c>
      <c r="F2448">
        <f>IF(INDEX(Transactions!$J:$J,ROW()-8)="",0,INDEX(Transactions!$O:$O,ROW()-8))</f>
      </c>
    </row>
    <row r="2449" spans="1:7">
      <c r="B2449">
        <f>IF(INDEX(Transactions!$J:$J,ROW()-8)="",TODAY(),INDEX(Transactions!$G:$G,ROW()-8))</f>
      </c>
      <c r="F2449">
        <f>IF(INDEX(Transactions!$J:$J,ROW()-8)="",0,INDEX(Transactions!$O:$O,ROW()-8))</f>
      </c>
    </row>
    <row r="2450" spans="1:7">
      <c r="B2450">
        <f>IF(INDEX(Transactions!$J:$J,ROW()-8)="",TODAY(),INDEX(Transactions!$G:$G,ROW()-8))</f>
      </c>
      <c r="F2450">
        <f>IF(INDEX(Transactions!$J:$J,ROW()-8)="",0,INDEX(Transactions!$O:$O,ROW()-8))</f>
      </c>
    </row>
    <row r="2451" spans="1:7">
      <c r="B2451">
        <f>IF(INDEX(Transactions!$J:$J,ROW()-8)="",TODAY(),INDEX(Transactions!$G:$G,ROW()-8))</f>
      </c>
      <c r="F2451">
        <f>IF(INDEX(Transactions!$J:$J,ROW()-8)="",0,INDEX(Transactions!$O:$O,ROW()-8))</f>
      </c>
    </row>
    <row r="2452" spans="1:7">
      <c r="B2452">
        <f>IF(INDEX(Transactions!$J:$J,ROW()-8)="",TODAY(),INDEX(Transactions!$G:$G,ROW()-8))</f>
      </c>
      <c r="F2452">
        <f>IF(INDEX(Transactions!$J:$J,ROW()-8)="",0,INDEX(Transactions!$O:$O,ROW()-8))</f>
      </c>
    </row>
    <row r="2453" spans="1:7">
      <c r="B2453">
        <f>IF(INDEX(Transactions!$J:$J,ROW()-8)="",TODAY(),INDEX(Transactions!$G:$G,ROW()-8))</f>
      </c>
      <c r="F2453">
        <f>IF(INDEX(Transactions!$J:$J,ROW()-8)="",0,INDEX(Transactions!$O:$O,ROW()-8))</f>
      </c>
    </row>
    <row r="2454" spans="1:7">
      <c r="B2454">
        <f>IF(INDEX(Transactions!$J:$J,ROW()-8)="",TODAY(),INDEX(Transactions!$G:$G,ROW()-8))</f>
      </c>
      <c r="F2454">
        <f>IF(INDEX(Transactions!$J:$J,ROW()-8)="",0,INDEX(Transactions!$O:$O,ROW()-8))</f>
      </c>
    </row>
    <row r="2455" spans="1:7">
      <c r="B2455">
        <f>IF(INDEX(Transactions!$J:$J,ROW()-8)="",TODAY(),INDEX(Transactions!$G:$G,ROW()-8))</f>
      </c>
      <c r="F2455">
        <f>IF(INDEX(Transactions!$J:$J,ROW()-8)="",0,INDEX(Transactions!$O:$O,ROW()-8))</f>
      </c>
    </row>
    <row r="2456" spans="1:7">
      <c r="B2456">
        <f>IF(INDEX(Transactions!$J:$J,ROW()-8)="",TODAY(),INDEX(Transactions!$G:$G,ROW()-8))</f>
      </c>
      <c r="F2456">
        <f>IF(INDEX(Transactions!$J:$J,ROW()-8)="",0,INDEX(Transactions!$O:$O,ROW()-8))</f>
      </c>
    </row>
    <row r="2457" spans="1:7">
      <c r="B2457">
        <f>IF(INDEX(Transactions!$J:$J,ROW()-8)="",TODAY(),INDEX(Transactions!$G:$G,ROW()-8))</f>
      </c>
      <c r="F2457">
        <f>IF(INDEX(Transactions!$J:$J,ROW()-8)="",0,INDEX(Transactions!$O:$O,ROW()-8))</f>
      </c>
    </row>
    <row r="2458" spans="1:7">
      <c r="B2458">
        <f>IF(INDEX(Transactions!$J:$J,ROW()-8)="",TODAY(),INDEX(Transactions!$G:$G,ROW()-8))</f>
      </c>
      <c r="F2458">
        <f>IF(INDEX(Transactions!$J:$J,ROW()-8)="",0,INDEX(Transactions!$O:$O,ROW()-8))</f>
      </c>
    </row>
    <row r="2459" spans="1:7">
      <c r="B2459">
        <f>IF(INDEX(Transactions!$J:$J,ROW()-8)="",TODAY(),INDEX(Transactions!$G:$G,ROW()-8))</f>
      </c>
      <c r="F2459">
        <f>IF(INDEX(Transactions!$J:$J,ROW()-8)="",0,INDEX(Transactions!$O:$O,ROW()-8))</f>
      </c>
    </row>
    <row r="2460" spans="1:7">
      <c r="B2460">
        <f>IF(INDEX(Transactions!$J:$J,ROW()-8)="",TODAY(),INDEX(Transactions!$G:$G,ROW()-8))</f>
      </c>
      <c r="F2460">
        <f>IF(INDEX(Transactions!$J:$J,ROW()-8)="",0,INDEX(Transactions!$O:$O,ROW()-8))</f>
      </c>
    </row>
    <row r="2461" spans="1:7">
      <c r="B2461">
        <f>IF(INDEX(Transactions!$J:$J,ROW()-8)="",TODAY(),INDEX(Transactions!$G:$G,ROW()-8))</f>
      </c>
      <c r="F2461">
        <f>IF(INDEX(Transactions!$J:$J,ROW()-8)="",0,INDEX(Transactions!$O:$O,ROW()-8))</f>
      </c>
    </row>
    <row r="2462" spans="1:7">
      <c r="B2462">
        <f>IF(INDEX(Transactions!$J:$J,ROW()-8)="",TODAY(),INDEX(Transactions!$G:$G,ROW()-8))</f>
      </c>
      <c r="F2462">
        <f>IF(INDEX(Transactions!$J:$J,ROW()-8)="",0,INDEX(Transactions!$O:$O,ROW()-8))</f>
      </c>
    </row>
    <row r="2463" spans="1:7">
      <c r="B2463">
        <f>IF(INDEX(Transactions!$J:$J,ROW()-8)="",TODAY(),INDEX(Transactions!$G:$G,ROW()-8))</f>
      </c>
      <c r="F2463">
        <f>IF(INDEX(Transactions!$J:$J,ROW()-8)="",0,INDEX(Transactions!$O:$O,ROW()-8))</f>
      </c>
    </row>
    <row r="2464" spans="1:7">
      <c r="B2464">
        <f>IF(INDEX(Transactions!$J:$J,ROW()-8)="",TODAY(),INDEX(Transactions!$G:$G,ROW()-8))</f>
      </c>
      <c r="F2464">
        <f>IF(INDEX(Transactions!$J:$J,ROW()-8)="",0,INDEX(Transactions!$O:$O,ROW()-8))</f>
      </c>
    </row>
    <row r="2465" spans="1:7">
      <c r="B2465">
        <f>IF(INDEX(Transactions!$J:$J,ROW()-8)="",TODAY(),INDEX(Transactions!$G:$G,ROW()-8))</f>
      </c>
      <c r="F2465">
        <f>IF(INDEX(Transactions!$J:$J,ROW()-8)="",0,INDEX(Transactions!$O:$O,ROW()-8))</f>
      </c>
    </row>
    <row r="2466" spans="1:7">
      <c r="B2466">
        <f>IF(INDEX(Transactions!$J:$J,ROW()-8)="",TODAY(),INDEX(Transactions!$G:$G,ROW()-8))</f>
      </c>
      <c r="F2466">
        <f>IF(INDEX(Transactions!$J:$J,ROW()-8)="",0,INDEX(Transactions!$O:$O,ROW()-8))</f>
      </c>
    </row>
    <row r="2467" spans="1:7">
      <c r="B2467">
        <f>IF(INDEX(Transactions!$J:$J,ROW()-8)="",TODAY(),INDEX(Transactions!$G:$G,ROW()-8))</f>
      </c>
      <c r="F2467">
        <f>IF(INDEX(Transactions!$J:$J,ROW()-8)="",0,INDEX(Transactions!$O:$O,ROW()-8))</f>
      </c>
    </row>
    <row r="2468" spans="1:7">
      <c r="B2468">
        <f>IF(INDEX(Transactions!$J:$J,ROW()-8)="",TODAY(),INDEX(Transactions!$G:$G,ROW()-8))</f>
      </c>
      <c r="F2468">
        <f>IF(INDEX(Transactions!$J:$J,ROW()-8)="",0,INDEX(Transactions!$O:$O,ROW()-8))</f>
      </c>
    </row>
    <row r="2469" spans="1:7">
      <c r="B2469">
        <f>IF(INDEX(Transactions!$J:$J,ROW()-8)="",TODAY(),INDEX(Transactions!$G:$G,ROW()-8))</f>
      </c>
      <c r="F2469">
        <f>IF(INDEX(Transactions!$J:$J,ROW()-8)="",0,INDEX(Transactions!$O:$O,ROW()-8))</f>
      </c>
    </row>
    <row r="2470" spans="1:7">
      <c r="B2470">
        <f>IF(INDEX(Transactions!$J:$J,ROW()-8)="",TODAY(),INDEX(Transactions!$G:$G,ROW()-8))</f>
      </c>
      <c r="F2470">
        <f>IF(INDEX(Transactions!$J:$J,ROW()-8)="",0,INDEX(Transactions!$O:$O,ROW()-8))</f>
      </c>
    </row>
    <row r="2471" spans="1:7">
      <c r="B2471">
        <f>IF(INDEX(Transactions!$J:$J,ROW()-8)="",TODAY(),INDEX(Transactions!$G:$G,ROW()-8))</f>
      </c>
      <c r="F2471">
        <f>IF(INDEX(Transactions!$J:$J,ROW()-8)="",0,INDEX(Transactions!$O:$O,ROW()-8))</f>
      </c>
    </row>
    <row r="2472" spans="1:7">
      <c r="B2472">
        <f>IF(INDEX(Transactions!$J:$J,ROW()-8)="",TODAY(),INDEX(Transactions!$G:$G,ROW()-8))</f>
      </c>
      <c r="F2472">
        <f>IF(INDEX(Transactions!$J:$J,ROW()-8)="",0,INDEX(Transactions!$O:$O,ROW()-8))</f>
      </c>
    </row>
    <row r="2473" spans="1:7">
      <c r="B2473">
        <f>IF(INDEX(Transactions!$J:$J,ROW()-8)="",TODAY(),INDEX(Transactions!$G:$G,ROW()-8))</f>
      </c>
      <c r="F2473">
        <f>IF(INDEX(Transactions!$J:$J,ROW()-8)="",0,INDEX(Transactions!$O:$O,ROW()-8))</f>
      </c>
    </row>
    <row r="2474" spans="1:7">
      <c r="B2474">
        <f>IF(INDEX(Transactions!$J:$J,ROW()-8)="",TODAY(),INDEX(Transactions!$G:$G,ROW()-8))</f>
      </c>
      <c r="F2474">
        <f>IF(INDEX(Transactions!$J:$J,ROW()-8)="",0,INDEX(Transactions!$O:$O,ROW()-8))</f>
      </c>
    </row>
    <row r="2475" spans="1:7">
      <c r="B2475">
        <f>IF(INDEX(Transactions!$J:$J,ROW()-8)="",TODAY(),INDEX(Transactions!$G:$G,ROW()-8))</f>
      </c>
      <c r="F2475">
        <f>IF(INDEX(Transactions!$J:$J,ROW()-8)="",0,INDEX(Transactions!$O:$O,ROW()-8))</f>
      </c>
    </row>
    <row r="2476" spans="1:7">
      <c r="B2476">
        <f>IF(INDEX(Transactions!$J:$J,ROW()-8)="",TODAY(),INDEX(Transactions!$G:$G,ROW()-8))</f>
      </c>
      <c r="F2476">
        <f>IF(INDEX(Transactions!$J:$J,ROW()-8)="",0,INDEX(Transactions!$O:$O,ROW()-8))</f>
      </c>
    </row>
    <row r="2477" spans="1:7">
      <c r="B2477">
        <f>IF(INDEX(Transactions!$J:$J,ROW()-8)="",TODAY(),INDEX(Transactions!$G:$G,ROW()-8))</f>
      </c>
      <c r="F2477">
        <f>IF(INDEX(Transactions!$J:$J,ROW()-8)="",0,INDEX(Transactions!$O:$O,ROW()-8))</f>
      </c>
    </row>
    <row r="2478" spans="1:7">
      <c r="B2478">
        <f>IF(INDEX(Transactions!$J:$J,ROW()-8)="",TODAY(),INDEX(Transactions!$G:$G,ROW()-8))</f>
      </c>
      <c r="F2478">
        <f>IF(INDEX(Transactions!$J:$J,ROW()-8)="",0,INDEX(Transactions!$O:$O,ROW()-8))</f>
      </c>
    </row>
    <row r="2479" spans="1:7">
      <c r="B2479">
        <f>IF(INDEX(Transactions!$J:$J,ROW()-8)="",TODAY(),INDEX(Transactions!$G:$G,ROW()-8))</f>
      </c>
      <c r="F2479">
        <f>IF(INDEX(Transactions!$J:$J,ROW()-8)="",0,INDEX(Transactions!$O:$O,ROW()-8))</f>
      </c>
    </row>
    <row r="2480" spans="1:7">
      <c r="B2480">
        <f>IF(INDEX(Transactions!$J:$J,ROW()-8)="",TODAY(),INDEX(Transactions!$G:$G,ROW()-8))</f>
      </c>
      <c r="F2480">
        <f>IF(INDEX(Transactions!$J:$J,ROW()-8)="",0,INDEX(Transactions!$O:$O,ROW()-8))</f>
      </c>
    </row>
    <row r="2481" spans="1:7">
      <c r="B2481">
        <f>IF(INDEX(Transactions!$J:$J,ROW()-8)="",TODAY(),INDEX(Transactions!$G:$G,ROW()-8))</f>
      </c>
      <c r="F2481">
        <f>IF(INDEX(Transactions!$J:$J,ROW()-8)="",0,INDEX(Transactions!$O:$O,ROW()-8))</f>
      </c>
    </row>
    <row r="2482" spans="1:7">
      <c r="B2482">
        <f>IF(INDEX(Transactions!$J:$J,ROW()-8)="",TODAY(),INDEX(Transactions!$G:$G,ROW()-8))</f>
      </c>
      <c r="F2482">
        <f>IF(INDEX(Transactions!$J:$J,ROW()-8)="",0,INDEX(Transactions!$O:$O,ROW()-8))</f>
      </c>
    </row>
    <row r="2483" spans="1:7">
      <c r="B2483">
        <f>IF(INDEX(Transactions!$J:$J,ROW()-8)="",TODAY(),INDEX(Transactions!$G:$G,ROW()-8))</f>
      </c>
      <c r="F2483">
        <f>IF(INDEX(Transactions!$J:$J,ROW()-8)="",0,INDEX(Transactions!$O:$O,ROW()-8))</f>
      </c>
    </row>
    <row r="2484" spans="1:7">
      <c r="B2484">
        <f>IF(INDEX(Transactions!$J:$J,ROW()-8)="",TODAY(),INDEX(Transactions!$G:$G,ROW()-8))</f>
      </c>
      <c r="F2484">
        <f>IF(INDEX(Transactions!$J:$J,ROW()-8)="",0,INDEX(Transactions!$O:$O,ROW()-8))</f>
      </c>
    </row>
    <row r="2485" spans="1:7">
      <c r="B2485">
        <f>IF(INDEX(Transactions!$J:$J,ROW()-8)="",TODAY(),INDEX(Transactions!$G:$G,ROW()-8))</f>
      </c>
      <c r="F2485">
        <f>IF(INDEX(Transactions!$J:$J,ROW()-8)="",0,INDEX(Transactions!$O:$O,ROW()-8))</f>
      </c>
    </row>
    <row r="2486" spans="1:7">
      <c r="B2486">
        <f>IF(INDEX(Transactions!$J:$J,ROW()-8)="",TODAY(),INDEX(Transactions!$G:$G,ROW()-8))</f>
      </c>
      <c r="F2486">
        <f>IF(INDEX(Transactions!$J:$J,ROW()-8)="",0,INDEX(Transactions!$O:$O,ROW()-8))</f>
      </c>
    </row>
    <row r="2487" spans="1:7">
      <c r="B2487">
        <f>IF(INDEX(Transactions!$J:$J,ROW()-8)="",TODAY(),INDEX(Transactions!$G:$G,ROW()-8))</f>
      </c>
      <c r="F2487">
        <f>IF(INDEX(Transactions!$J:$J,ROW()-8)="",0,INDEX(Transactions!$O:$O,ROW()-8))</f>
      </c>
    </row>
    <row r="2488" spans="1:7">
      <c r="B2488">
        <f>IF(INDEX(Transactions!$J:$J,ROW()-8)="",TODAY(),INDEX(Transactions!$G:$G,ROW()-8))</f>
      </c>
      <c r="F2488">
        <f>IF(INDEX(Transactions!$J:$J,ROW()-8)="",0,INDEX(Transactions!$O:$O,ROW()-8))</f>
      </c>
    </row>
    <row r="2489" spans="1:7">
      <c r="B2489">
        <f>IF(INDEX(Transactions!$J:$J,ROW()-8)="",TODAY(),INDEX(Transactions!$G:$G,ROW()-8))</f>
      </c>
      <c r="F2489">
        <f>IF(INDEX(Transactions!$J:$J,ROW()-8)="",0,INDEX(Transactions!$O:$O,ROW()-8))</f>
      </c>
    </row>
    <row r="2490" spans="1:7">
      <c r="B2490">
        <f>IF(INDEX(Transactions!$J:$J,ROW()-8)="",TODAY(),INDEX(Transactions!$G:$G,ROW()-8))</f>
      </c>
      <c r="F2490">
        <f>IF(INDEX(Transactions!$J:$J,ROW()-8)="",0,INDEX(Transactions!$O:$O,ROW()-8))</f>
      </c>
    </row>
    <row r="2491" spans="1:7">
      <c r="B2491">
        <f>IF(INDEX(Transactions!$J:$J,ROW()-8)="",TODAY(),INDEX(Transactions!$G:$G,ROW()-8))</f>
      </c>
      <c r="F2491">
        <f>IF(INDEX(Transactions!$J:$J,ROW()-8)="",0,INDEX(Transactions!$O:$O,ROW()-8))</f>
      </c>
    </row>
    <row r="2492" spans="1:7">
      <c r="B2492">
        <f>IF(INDEX(Transactions!$J:$J,ROW()-8)="",TODAY(),INDEX(Transactions!$G:$G,ROW()-8))</f>
      </c>
      <c r="F2492">
        <f>IF(INDEX(Transactions!$J:$J,ROW()-8)="",0,INDEX(Transactions!$O:$O,ROW()-8))</f>
      </c>
    </row>
    <row r="2493" spans="1:7">
      <c r="B2493">
        <f>IF(INDEX(Transactions!$J:$J,ROW()-8)="",TODAY(),INDEX(Transactions!$G:$G,ROW()-8))</f>
      </c>
      <c r="F2493">
        <f>IF(INDEX(Transactions!$J:$J,ROW()-8)="",0,INDEX(Transactions!$O:$O,ROW()-8))</f>
      </c>
    </row>
    <row r="2494" spans="1:7">
      <c r="B2494">
        <f>IF(INDEX(Transactions!$J:$J,ROW()-8)="",TODAY(),INDEX(Transactions!$G:$G,ROW()-8))</f>
      </c>
      <c r="F2494">
        <f>IF(INDEX(Transactions!$J:$J,ROW()-8)="",0,INDEX(Transactions!$O:$O,ROW()-8))</f>
      </c>
    </row>
    <row r="2495" spans="1:7">
      <c r="B2495">
        <f>IF(INDEX(Transactions!$J:$J,ROW()-8)="",TODAY(),INDEX(Transactions!$G:$G,ROW()-8))</f>
      </c>
      <c r="F2495">
        <f>IF(INDEX(Transactions!$J:$J,ROW()-8)="",0,INDEX(Transactions!$O:$O,ROW()-8))</f>
      </c>
    </row>
    <row r="2496" spans="1:7">
      <c r="B2496">
        <f>IF(INDEX(Transactions!$J:$J,ROW()-8)="",TODAY(),INDEX(Transactions!$G:$G,ROW()-8))</f>
      </c>
      <c r="F2496">
        <f>IF(INDEX(Transactions!$J:$J,ROW()-8)="",0,INDEX(Transactions!$O:$O,ROW()-8))</f>
      </c>
    </row>
    <row r="2497" spans="1:7">
      <c r="B2497">
        <f>IF(INDEX(Transactions!$J:$J,ROW()-8)="",TODAY(),INDEX(Transactions!$G:$G,ROW()-8))</f>
      </c>
      <c r="F2497">
        <f>IF(INDEX(Transactions!$J:$J,ROW()-8)="",0,INDEX(Transactions!$O:$O,ROW()-8))</f>
      </c>
    </row>
    <row r="2498" spans="1:7">
      <c r="B2498">
        <f>IF(INDEX(Transactions!$J:$J,ROW()-8)="",TODAY(),INDEX(Transactions!$G:$G,ROW()-8))</f>
      </c>
      <c r="F2498">
        <f>IF(INDEX(Transactions!$J:$J,ROW()-8)="",0,INDEX(Transactions!$O:$O,ROW()-8))</f>
      </c>
    </row>
    <row r="2499" spans="1:7">
      <c r="B2499">
        <f>IF(INDEX(Transactions!$J:$J,ROW()-8)="",TODAY(),INDEX(Transactions!$G:$G,ROW()-8))</f>
      </c>
      <c r="F2499">
        <f>IF(INDEX(Transactions!$J:$J,ROW()-8)="",0,INDEX(Transactions!$O:$O,ROW()-8))</f>
      </c>
    </row>
    <row r="2500" spans="1:7">
      <c r="B2500">
        <f>IF(INDEX(Transactions!$J:$J,ROW()-8)="",TODAY(),INDEX(Transactions!$G:$G,ROW()-8))</f>
      </c>
      <c r="F2500">
        <f>IF(INDEX(Transactions!$J:$J,ROW()-8)="",0,INDEX(Transactions!$O:$O,ROW()-8))</f>
      </c>
    </row>
    <row r="2501" spans="1:7">
      <c r="B2501">
        <f>IF(INDEX(Transactions!$J:$J,ROW()-8)="",TODAY(),INDEX(Transactions!$G:$G,ROW()-8))</f>
      </c>
      <c r="F2501">
        <f>IF(INDEX(Transactions!$J:$J,ROW()-8)="",0,INDEX(Transactions!$O:$O,ROW()-8))</f>
      </c>
    </row>
    <row r="2502" spans="1:7">
      <c r="B2502">
        <f>IF(INDEX(Transactions!$J:$J,ROW()-8)="",TODAY(),INDEX(Transactions!$G:$G,ROW()-8))</f>
      </c>
      <c r="F2502">
        <f>IF(INDEX(Transactions!$J:$J,ROW()-8)="",0,INDEX(Transactions!$O:$O,ROW()-8))</f>
      </c>
    </row>
    <row r="2503" spans="1:7">
      <c r="B2503">
        <f>IF(INDEX(Transactions!$J:$J,ROW()-8)="",TODAY(),INDEX(Transactions!$G:$G,ROW()-8))</f>
      </c>
      <c r="F2503">
        <f>IF(INDEX(Transactions!$J:$J,ROW()-8)="",0,INDEX(Transactions!$O:$O,ROW()-8))</f>
      </c>
    </row>
    <row r="2504" spans="1:7">
      <c r="B2504">
        <f>IF(INDEX(Transactions!$J:$J,ROW()-8)="",TODAY(),INDEX(Transactions!$G:$G,ROW()-8))</f>
      </c>
      <c r="F2504">
        <f>IF(INDEX(Transactions!$J:$J,ROW()-8)="",0,INDEX(Transactions!$O:$O,ROW()-8))</f>
      </c>
    </row>
    <row r="2505" spans="1:7">
      <c r="B2505">
        <f>IF(INDEX(Transactions!$J:$J,ROW()-8)="",TODAY(),INDEX(Transactions!$G:$G,ROW()-8))</f>
      </c>
      <c r="F2505">
        <f>IF(INDEX(Transactions!$J:$J,ROW()-8)="",0,INDEX(Transactions!$O:$O,ROW()-8))</f>
      </c>
    </row>
    <row r="2506" spans="1:7">
      <c r="B2506">
        <f>IF(INDEX(Transactions!$J:$J,ROW()-8)="",TODAY(),INDEX(Transactions!$G:$G,ROW()-8))</f>
      </c>
      <c r="F2506">
        <f>IF(INDEX(Transactions!$J:$J,ROW()-8)="",0,INDEX(Transactions!$O:$O,ROW()-8))</f>
      </c>
    </row>
    <row r="2507" spans="1:7">
      <c r="B2507">
        <f>IF(INDEX(Transactions!$J:$J,ROW()-8)="",TODAY(),INDEX(Transactions!$G:$G,ROW()-8))</f>
      </c>
      <c r="F2507">
        <f>IF(INDEX(Transactions!$J:$J,ROW()-8)="",0,INDEX(Transactions!$O:$O,ROW()-8))</f>
      </c>
    </row>
    <row r="2508" spans="1:7">
      <c r="B2508">
        <f>IF(INDEX(Transactions!$J:$J,ROW()-8)="",TODAY(),INDEX(Transactions!$G:$G,ROW()-8))</f>
      </c>
      <c r="F2508">
        <f>IF(INDEX(Transactions!$J:$J,ROW()-8)="",0,INDEX(Transactions!$O:$O,ROW()-8))</f>
      </c>
    </row>
    <row r="2509" spans="1:7">
      <c r="B2509">
        <f>IF(INDEX(Transactions!$J:$J,ROW()-8)="",TODAY(),INDEX(Transactions!$G:$G,ROW()-8))</f>
      </c>
      <c r="F2509">
        <f>IF(INDEX(Transactions!$J:$J,ROW()-8)="",0,INDEX(Transactions!$O:$O,ROW()-8))</f>
      </c>
    </row>
    <row r="2510" spans="1:7">
      <c r="B2510">
        <f>IF(INDEX(Transactions!$J:$J,ROW()-8)="",TODAY(),INDEX(Transactions!$G:$G,ROW()-8))</f>
      </c>
      <c r="F2510">
        <f>IF(INDEX(Transactions!$J:$J,ROW()-8)="",0,INDEX(Transactions!$O:$O,ROW()-8))</f>
      </c>
    </row>
    <row r="2511" spans="1:7">
      <c r="B2511">
        <f>IF(INDEX(Transactions!$J:$J,ROW()-8)="",TODAY(),INDEX(Transactions!$G:$G,ROW()-8))</f>
      </c>
      <c r="F2511">
        <f>IF(INDEX(Transactions!$J:$J,ROW()-8)="",0,INDEX(Transactions!$O:$O,ROW()-8))</f>
      </c>
    </row>
    <row r="2512" spans="1:7">
      <c r="B2512">
        <f>IF(INDEX(Transactions!$J:$J,ROW()-8)="",TODAY(),INDEX(Transactions!$G:$G,ROW()-8))</f>
      </c>
      <c r="F2512">
        <f>IF(INDEX(Transactions!$J:$J,ROW()-8)="",0,INDEX(Transactions!$O:$O,ROW()-8))</f>
      </c>
    </row>
    <row r="2513" spans="1:7">
      <c r="B2513">
        <f>IF(INDEX(Transactions!$J:$J,ROW()-8)="",TODAY(),INDEX(Transactions!$G:$G,ROW()-8))</f>
      </c>
      <c r="F2513">
        <f>IF(INDEX(Transactions!$J:$J,ROW()-8)="",0,INDEX(Transactions!$O:$O,ROW()-8))</f>
      </c>
    </row>
    <row r="2514" spans="1:7">
      <c r="B2514">
        <f>IF(INDEX(Transactions!$J:$J,ROW()-8)="",TODAY(),INDEX(Transactions!$G:$G,ROW()-8))</f>
      </c>
      <c r="F2514">
        <f>IF(INDEX(Transactions!$J:$J,ROW()-8)="",0,INDEX(Transactions!$O:$O,ROW()-8))</f>
      </c>
    </row>
    <row r="2515" spans="1:7">
      <c r="B2515">
        <f>IF(INDEX(Transactions!$J:$J,ROW()-8)="",TODAY(),INDEX(Transactions!$G:$G,ROW()-8))</f>
      </c>
      <c r="F2515">
        <f>IF(INDEX(Transactions!$J:$J,ROW()-8)="",0,INDEX(Transactions!$O:$O,ROW()-8))</f>
      </c>
    </row>
    <row r="2516" spans="1:7">
      <c r="B2516">
        <f>IF(INDEX(Transactions!$J:$J,ROW()-8)="",TODAY(),INDEX(Transactions!$G:$G,ROW()-8))</f>
      </c>
      <c r="F2516">
        <f>IF(INDEX(Transactions!$J:$J,ROW()-8)="",0,INDEX(Transactions!$O:$O,ROW()-8))</f>
      </c>
    </row>
    <row r="2517" spans="1:7">
      <c r="B2517">
        <f>IF(INDEX(Transactions!$J:$J,ROW()-8)="",TODAY(),INDEX(Transactions!$G:$G,ROW()-8))</f>
      </c>
      <c r="F2517">
        <f>IF(INDEX(Transactions!$J:$J,ROW()-8)="",0,INDEX(Transactions!$O:$O,ROW()-8))</f>
      </c>
    </row>
    <row r="2518" spans="1:7">
      <c r="B2518">
        <f>IF(INDEX(Transactions!$J:$J,ROW()-8)="",TODAY(),INDEX(Transactions!$G:$G,ROW()-8))</f>
      </c>
      <c r="F2518">
        <f>IF(INDEX(Transactions!$J:$J,ROW()-8)="",0,INDEX(Transactions!$O:$O,ROW()-8))</f>
      </c>
    </row>
    <row r="2519" spans="1:7">
      <c r="B2519">
        <f>IF(INDEX(Transactions!$J:$J,ROW()-8)="",TODAY(),INDEX(Transactions!$G:$G,ROW()-8))</f>
      </c>
      <c r="F2519">
        <f>IF(INDEX(Transactions!$J:$J,ROW()-8)="",0,INDEX(Transactions!$O:$O,ROW()-8))</f>
      </c>
    </row>
    <row r="2520" spans="1:7">
      <c r="B2520">
        <f>IF(INDEX(Transactions!$J:$J,ROW()-8)="",TODAY(),INDEX(Transactions!$G:$G,ROW()-8))</f>
      </c>
      <c r="F2520">
        <f>IF(INDEX(Transactions!$J:$J,ROW()-8)="",0,INDEX(Transactions!$O:$O,ROW()-8))</f>
      </c>
    </row>
    <row r="2521" spans="1:7">
      <c r="B2521">
        <f>IF(INDEX(Transactions!$J:$J,ROW()-8)="",TODAY(),INDEX(Transactions!$G:$G,ROW()-8))</f>
      </c>
      <c r="F2521">
        <f>IF(INDEX(Transactions!$J:$J,ROW()-8)="",0,INDEX(Transactions!$O:$O,ROW()-8))</f>
      </c>
    </row>
    <row r="2522" spans="1:7">
      <c r="B2522">
        <f>IF(INDEX(Transactions!$J:$J,ROW()-8)="",TODAY(),INDEX(Transactions!$G:$G,ROW()-8))</f>
      </c>
      <c r="F2522">
        <f>IF(INDEX(Transactions!$J:$J,ROW()-8)="",0,INDEX(Transactions!$O:$O,ROW()-8))</f>
      </c>
    </row>
    <row r="2523" spans="1:7">
      <c r="B2523">
        <f>IF(INDEX(Transactions!$J:$J,ROW()-8)="",TODAY(),INDEX(Transactions!$G:$G,ROW()-8))</f>
      </c>
      <c r="F2523">
        <f>IF(INDEX(Transactions!$J:$J,ROW()-8)="",0,INDEX(Transactions!$O:$O,ROW()-8))</f>
      </c>
    </row>
    <row r="2524" spans="1:7">
      <c r="B2524">
        <f>IF(INDEX(Transactions!$J:$J,ROW()-8)="",TODAY(),INDEX(Transactions!$G:$G,ROW()-8))</f>
      </c>
      <c r="F2524">
        <f>IF(INDEX(Transactions!$J:$J,ROW()-8)="",0,INDEX(Transactions!$O:$O,ROW()-8))</f>
      </c>
    </row>
    <row r="2525" spans="1:7">
      <c r="B2525">
        <f>IF(INDEX(Transactions!$J:$J,ROW()-8)="",TODAY(),INDEX(Transactions!$G:$G,ROW()-8))</f>
      </c>
      <c r="F2525">
        <f>IF(INDEX(Transactions!$J:$J,ROW()-8)="",0,INDEX(Transactions!$O:$O,ROW()-8))</f>
      </c>
    </row>
    <row r="2526" spans="1:7">
      <c r="B2526">
        <f>IF(INDEX(Transactions!$J:$J,ROW()-8)="",TODAY(),INDEX(Transactions!$G:$G,ROW()-8))</f>
      </c>
      <c r="F2526">
        <f>IF(INDEX(Transactions!$J:$J,ROW()-8)="",0,INDEX(Transactions!$O:$O,ROW()-8))</f>
      </c>
    </row>
    <row r="2527" spans="1:7">
      <c r="B2527">
        <f>IF(INDEX(Transactions!$J:$J,ROW()-8)="",TODAY(),INDEX(Transactions!$G:$G,ROW()-8))</f>
      </c>
      <c r="F2527">
        <f>IF(INDEX(Transactions!$J:$J,ROW()-8)="",0,INDEX(Transactions!$O:$O,ROW()-8))</f>
      </c>
    </row>
    <row r="2528" spans="1:7">
      <c r="B2528">
        <f>IF(INDEX(Transactions!$J:$J,ROW()-8)="",TODAY(),INDEX(Transactions!$G:$G,ROW()-8))</f>
      </c>
      <c r="F2528">
        <f>IF(INDEX(Transactions!$J:$J,ROW()-8)="",0,INDEX(Transactions!$O:$O,ROW()-8))</f>
      </c>
    </row>
    <row r="2529" spans="1:7">
      <c r="B2529">
        <f>IF(INDEX(Transactions!$J:$J,ROW()-8)="",TODAY(),INDEX(Transactions!$G:$G,ROW()-8))</f>
      </c>
      <c r="F2529">
        <f>IF(INDEX(Transactions!$J:$J,ROW()-8)="",0,INDEX(Transactions!$O:$O,ROW()-8))</f>
      </c>
    </row>
    <row r="2530" spans="1:7">
      <c r="B2530">
        <f>IF(INDEX(Transactions!$J:$J,ROW()-8)="",TODAY(),INDEX(Transactions!$G:$G,ROW()-8))</f>
      </c>
      <c r="F2530">
        <f>IF(INDEX(Transactions!$J:$J,ROW()-8)="",0,INDEX(Transactions!$O:$O,ROW()-8))</f>
      </c>
    </row>
    <row r="2531" spans="1:7">
      <c r="B2531">
        <f>IF(INDEX(Transactions!$J:$J,ROW()-8)="",TODAY(),INDEX(Transactions!$G:$G,ROW()-8))</f>
      </c>
      <c r="F2531">
        <f>IF(INDEX(Transactions!$J:$J,ROW()-8)="",0,INDEX(Transactions!$O:$O,ROW()-8))</f>
      </c>
    </row>
    <row r="2532" spans="1:7">
      <c r="B2532">
        <f>IF(INDEX(Transactions!$J:$J,ROW()-8)="",TODAY(),INDEX(Transactions!$G:$G,ROW()-8))</f>
      </c>
      <c r="F2532">
        <f>IF(INDEX(Transactions!$J:$J,ROW()-8)="",0,INDEX(Transactions!$O:$O,ROW()-8))</f>
      </c>
    </row>
    <row r="2533" spans="1:7">
      <c r="B2533">
        <f>IF(INDEX(Transactions!$J:$J,ROW()-8)="",TODAY(),INDEX(Transactions!$G:$G,ROW()-8))</f>
      </c>
      <c r="F2533">
        <f>IF(INDEX(Transactions!$J:$J,ROW()-8)="",0,INDEX(Transactions!$O:$O,ROW()-8))</f>
      </c>
    </row>
    <row r="2534" spans="1:7">
      <c r="B2534">
        <f>IF(INDEX(Transactions!$J:$J,ROW()-8)="",TODAY(),INDEX(Transactions!$G:$G,ROW()-8))</f>
      </c>
      <c r="F2534">
        <f>IF(INDEX(Transactions!$J:$J,ROW()-8)="",0,INDEX(Transactions!$O:$O,ROW()-8))</f>
      </c>
    </row>
    <row r="2535" spans="1:7">
      <c r="B2535">
        <f>IF(INDEX(Transactions!$J:$J,ROW()-8)="",TODAY(),INDEX(Transactions!$G:$G,ROW()-8))</f>
      </c>
      <c r="F2535">
        <f>IF(INDEX(Transactions!$J:$J,ROW()-8)="",0,INDEX(Transactions!$O:$O,ROW()-8))</f>
      </c>
    </row>
    <row r="2536" spans="1:7">
      <c r="B2536">
        <f>IF(INDEX(Transactions!$J:$J,ROW()-8)="",TODAY(),INDEX(Transactions!$G:$G,ROW()-8))</f>
      </c>
      <c r="F2536">
        <f>IF(INDEX(Transactions!$J:$J,ROW()-8)="",0,INDEX(Transactions!$O:$O,ROW()-8))</f>
      </c>
    </row>
    <row r="2537" spans="1:7">
      <c r="B2537">
        <f>IF(INDEX(Transactions!$J:$J,ROW()-8)="",TODAY(),INDEX(Transactions!$G:$G,ROW()-8))</f>
      </c>
      <c r="F2537">
        <f>IF(INDEX(Transactions!$J:$J,ROW()-8)="",0,INDEX(Transactions!$O:$O,ROW()-8))</f>
      </c>
    </row>
    <row r="2538" spans="1:7">
      <c r="B2538">
        <f>IF(INDEX(Transactions!$J:$J,ROW()-8)="",TODAY(),INDEX(Transactions!$G:$G,ROW()-8))</f>
      </c>
      <c r="F2538">
        <f>IF(INDEX(Transactions!$J:$J,ROW()-8)="",0,INDEX(Transactions!$O:$O,ROW()-8))</f>
      </c>
    </row>
    <row r="2539" spans="1:7">
      <c r="B2539">
        <f>IF(INDEX(Transactions!$J:$J,ROW()-8)="",TODAY(),INDEX(Transactions!$G:$G,ROW()-8))</f>
      </c>
      <c r="F2539">
        <f>IF(INDEX(Transactions!$J:$J,ROW()-8)="",0,INDEX(Transactions!$O:$O,ROW()-8))</f>
      </c>
    </row>
    <row r="2540" spans="1:7">
      <c r="B2540">
        <f>IF(INDEX(Transactions!$J:$J,ROW()-8)="",TODAY(),INDEX(Transactions!$G:$G,ROW()-8))</f>
      </c>
      <c r="F2540">
        <f>IF(INDEX(Transactions!$J:$J,ROW()-8)="",0,INDEX(Transactions!$O:$O,ROW()-8))</f>
      </c>
    </row>
    <row r="2541" spans="1:7">
      <c r="B2541">
        <f>IF(INDEX(Transactions!$J:$J,ROW()-8)="",TODAY(),INDEX(Transactions!$G:$G,ROW()-8))</f>
      </c>
      <c r="F2541">
        <f>IF(INDEX(Transactions!$J:$J,ROW()-8)="",0,INDEX(Transactions!$O:$O,ROW()-8))</f>
      </c>
    </row>
    <row r="2542" spans="1:7">
      <c r="B2542">
        <f>IF(INDEX(Transactions!$J:$J,ROW()-8)="",TODAY(),INDEX(Transactions!$G:$G,ROW()-8))</f>
      </c>
      <c r="F2542">
        <f>IF(INDEX(Transactions!$J:$J,ROW()-8)="",0,INDEX(Transactions!$O:$O,ROW()-8))</f>
      </c>
    </row>
    <row r="2543" spans="1:7">
      <c r="B2543">
        <f>IF(INDEX(Transactions!$J:$J,ROW()-8)="",TODAY(),INDEX(Transactions!$G:$G,ROW()-8))</f>
      </c>
      <c r="F2543">
        <f>IF(INDEX(Transactions!$J:$J,ROW()-8)="",0,INDEX(Transactions!$O:$O,ROW()-8))</f>
      </c>
    </row>
    <row r="2544" spans="1:7">
      <c r="B2544">
        <f>IF(INDEX(Transactions!$J:$J,ROW()-8)="",TODAY(),INDEX(Transactions!$G:$G,ROW()-8))</f>
      </c>
      <c r="F2544">
        <f>IF(INDEX(Transactions!$J:$J,ROW()-8)="",0,INDEX(Transactions!$O:$O,ROW()-8))</f>
      </c>
    </row>
    <row r="2545" spans="1:7">
      <c r="B2545">
        <f>IF(INDEX(Transactions!$J:$J,ROW()-8)="",TODAY(),INDEX(Transactions!$G:$G,ROW()-8))</f>
      </c>
      <c r="F2545">
        <f>IF(INDEX(Transactions!$J:$J,ROW()-8)="",0,INDEX(Transactions!$O:$O,ROW()-8))</f>
      </c>
    </row>
    <row r="2546" spans="1:7">
      <c r="B2546">
        <f>IF(INDEX(Transactions!$J:$J,ROW()-8)="",TODAY(),INDEX(Transactions!$G:$G,ROW()-8))</f>
      </c>
      <c r="F2546">
        <f>IF(INDEX(Transactions!$J:$J,ROW()-8)="",0,INDEX(Transactions!$O:$O,ROW()-8))</f>
      </c>
    </row>
    <row r="2547" spans="1:7">
      <c r="B2547">
        <f>IF(INDEX(Transactions!$J:$J,ROW()-8)="",TODAY(),INDEX(Transactions!$G:$G,ROW()-8))</f>
      </c>
      <c r="F2547">
        <f>IF(INDEX(Transactions!$J:$J,ROW()-8)="",0,INDEX(Transactions!$O:$O,ROW()-8))</f>
      </c>
    </row>
    <row r="2548" spans="1:7">
      <c r="B2548">
        <f>IF(INDEX(Transactions!$J:$J,ROW()-8)="",TODAY(),INDEX(Transactions!$G:$G,ROW()-8))</f>
      </c>
      <c r="F2548">
        <f>IF(INDEX(Transactions!$J:$J,ROW()-8)="",0,INDEX(Transactions!$O:$O,ROW()-8))</f>
      </c>
    </row>
    <row r="2549" spans="1:7">
      <c r="B2549">
        <f>IF(INDEX(Transactions!$J:$J,ROW()-8)="",TODAY(),INDEX(Transactions!$G:$G,ROW()-8))</f>
      </c>
      <c r="F2549">
        <f>IF(INDEX(Transactions!$J:$J,ROW()-8)="",0,INDEX(Transactions!$O:$O,ROW()-8))</f>
      </c>
    </row>
    <row r="2550" spans="1:7">
      <c r="B2550">
        <f>IF(INDEX(Transactions!$J:$J,ROW()-8)="",TODAY(),INDEX(Transactions!$G:$G,ROW()-8))</f>
      </c>
      <c r="F2550">
        <f>IF(INDEX(Transactions!$J:$J,ROW()-8)="",0,INDEX(Transactions!$O:$O,ROW()-8))</f>
      </c>
    </row>
    <row r="2551" spans="1:7">
      <c r="B2551">
        <f>IF(INDEX(Transactions!$J:$J,ROW()-8)="",TODAY(),INDEX(Transactions!$G:$G,ROW()-8))</f>
      </c>
      <c r="F2551">
        <f>IF(INDEX(Transactions!$J:$J,ROW()-8)="",0,INDEX(Transactions!$O:$O,ROW()-8))</f>
      </c>
    </row>
    <row r="2552" spans="1:7">
      <c r="B2552">
        <f>IF(INDEX(Transactions!$J:$J,ROW()-8)="",TODAY(),INDEX(Transactions!$G:$G,ROW()-8))</f>
      </c>
      <c r="F2552">
        <f>IF(INDEX(Transactions!$J:$J,ROW()-8)="",0,INDEX(Transactions!$O:$O,ROW()-8))</f>
      </c>
    </row>
    <row r="2553" spans="1:7">
      <c r="B2553">
        <f>IF(INDEX(Transactions!$J:$J,ROW()-8)="",TODAY(),INDEX(Transactions!$G:$G,ROW()-8))</f>
      </c>
      <c r="F2553">
        <f>IF(INDEX(Transactions!$J:$J,ROW()-8)="",0,INDEX(Transactions!$O:$O,ROW()-8))</f>
      </c>
    </row>
    <row r="2554" spans="1:7">
      <c r="B2554">
        <f>IF(INDEX(Transactions!$J:$J,ROW()-8)="",TODAY(),INDEX(Transactions!$G:$G,ROW()-8))</f>
      </c>
      <c r="F2554">
        <f>IF(INDEX(Transactions!$J:$J,ROW()-8)="",0,INDEX(Transactions!$O:$O,ROW()-8))</f>
      </c>
    </row>
    <row r="2555" spans="1:7">
      <c r="B2555">
        <f>IF(INDEX(Transactions!$J:$J,ROW()-8)="",TODAY(),INDEX(Transactions!$G:$G,ROW()-8))</f>
      </c>
      <c r="F2555">
        <f>IF(INDEX(Transactions!$J:$J,ROW()-8)="",0,INDEX(Transactions!$O:$O,ROW()-8))</f>
      </c>
    </row>
    <row r="2556" spans="1:7">
      <c r="B2556">
        <f>IF(INDEX(Transactions!$J:$J,ROW()-8)="",TODAY(),INDEX(Transactions!$G:$G,ROW()-8))</f>
      </c>
      <c r="F2556">
        <f>IF(INDEX(Transactions!$J:$J,ROW()-8)="",0,INDEX(Transactions!$O:$O,ROW()-8))</f>
      </c>
    </row>
    <row r="2557" spans="1:7">
      <c r="B2557">
        <f>IF(INDEX(Transactions!$J:$J,ROW()-8)="",TODAY(),INDEX(Transactions!$G:$G,ROW()-8))</f>
      </c>
      <c r="F2557">
        <f>IF(INDEX(Transactions!$J:$J,ROW()-8)="",0,INDEX(Transactions!$O:$O,ROW()-8))</f>
      </c>
    </row>
    <row r="2558" spans="1:7">
      <c r="B2558">
        <f>IF(INDEX(Transactions!$J:$J,ROW()-8)="",TODAY(),INDEX(Transactions!$G:$G,ROW()-8))</f>
      </c>
      <c r="F2558">
        <f>IF(INDEX(Transactions!$J:$J,ROW()-8)="",0,INDEX(Transactions!$O:$O,ROW()-8))</f>
      </c>
    </row>
    <row r="2559" spans="1:7">
      <c r="B2559">
        <f>IF(INDEX(Transactions!$J:$J,ROW()-8)="",TODAY(),INDEX(Transactions!$G:$G,ROW()-8))</f>
      </c>
      <c r="F2559">
        <f>IF(INDEX(Transactions!$J:$J,ROW()-8)="",0,INDEX(Transactions!$O:$O,ROW()-8))</f>
      </c>
    </row>
    <row r="2560" spans="1:7">
      <c r="B2560">
        <f>IF(INDEX(Transactions!$J:$J,ROW()-8)="",TODAY(),INDEX(Transactions!$G:$G,ROW()-8))</f>
      </c>
      <c r="F2560">
        <f>IF(INDEX(Transactions!$J:$J,ROW()-8)="",0,INDEX(Transactions!$O:$O,ROW()-8))</f>
      </c>
    </row>
    <row r="2561" spans="1:7">
      <c r="B2561">
        <f>IF(INDEX(Transactions!$J:$J,ROW()-8)="",TODAY(),INDEX(Transactions!$G:$G,ROW()-8))</f>
      </c>
      <c r="F2561">
        <f>IF(INDEX(Transactions!$J:$J,ROW()-8)="",0,INDEX(Transactions!$O:$O,ROW()-8))</f>
      </c>
    </row>
    <row r="2562" spans="1:7">
      <c r="B2562">
        <f>IF(INDEX(Transactions!$J:$J,ROW()-8)="",TODAY(),INDEX(Transactions!$G:$G,ROW()-8))</f>
      </c>
      <c r="F2562">
        <f>IF(INDEX(Transactions!$J:$J,ROW()-8)="",0,INDEX(Transactions!$O:$O,ROW()-8))</f>
      </c>
    </row>
    <row r="2563" spans="1:7">
      <c r="B2563">
        <f>IF(INDEX(Transactions!$J:$J,ROW()-8)="",TODAY(),INDEX(Transactions!$G:$G,ROW()-8))</f>
      </c>
      <c r="F2563">
        <f>IF(INDEX(Transactions!$J:$J,ROW()-8)="",0,INDEX(Transactions!$O:$O,ROW()-8))</f>
      </c>
    </row>
    <row r="2564" spans="1:7">
      <c r="B2564">
        <f>IF(INDEX(Transactions!$J:$J,ROW()-8)="",TODAY(),INDEX(Transactions!$G:$G,ROW()-8))</f>
      </c>
      <c r="F2564">
        <f>IF(INDEX(Transactions!$J:$J,ROW()-8)="",0,INDEX(Transactions!$O:$O,ROW()-8))</f>
      </c>
    </row>
    <row r="2565" spans="1:7">
      <c r="B2565">
        <f>IF(INDEX(Transactions!$J:$J,ROW()-8)="",TODAY(),INDEX(Transactions!$G:$G,ROW()-8))</f>
      </c>
      <c r="F2565">
        <f>IF(INDEX(Transactions!$J:$J,ROW()-8)="",0,INDEX(Transactions!$O:$O,ROW()-8))</f>
      </c>
    </row>
    <row r="2566" spans="1:7">
      <c r="B2566">
        <f>IF(INDEX(Transactions!$J:$J,ROW()-8)="",TODAY(),INDEX(Transactions!$G:$G,ROW()-8))</f>
      </c>
      <c r="F2566">
        <f>IF(INDEX(Transactions!$J:$J,ROW()-8)="",0,INDEX(Transactions!$O:$O,ROW()-8))</f>
      </c>
    </row>
    <row r="2567" spans="1:7">
      <c r="B2567">
        <f>IF(INDEX(Transactions!$J:$J,ROW()-8)="",TODAY(),INDEX(Transactions!$G:$G,ROW()-8))</f>
      </c>
      <c r="F2567">
        <f>IF(INDEX(Transactions!$J:$J,ROW()-8)="",0,INDEX(Transactions!$O:$O,ROW()-8))</f>
      </c>
    </row>
    <row r="2568" spans="1:7">
      <c r="B2568">
        <f>IF(INDEX(Transactions!$J:$J,ROW()-8)="",TODAY(),INDEX(Transactions!$G:$G,ROW()-8))</f>
      </c>
      <c r="F2568">
        <f>IF(INDEX(Transactions!$J:$J,ROW()-8)="",0,INDEX(Transactions!$O:$O,ROW()-8))</f>
      </c>
    </row>
    <row r="2569" spans="1:7">
      <c r="B2569">
        <f>IF(INDEX(Transactions!$J:$J,ROW()-8)="",TODAY(),INDEX(Transactions!$G:$G,ROW()-8))</f>
      </c>
      <c r="F2569">
        <f>IF(INDEX(Transactions!$J:$J,ROW()-8)="",0,INDEX(Transactions!$O:$O,ROW()-8))</f>
      </c>
    </row>
    <row r="2570" spans="1:7">
      <c r="B2570">
        <f>IF(INDEX(Transactions!$J:$J,ROW()-8)="",TODAY(),INDEX(Transactions!$G:$G,ROW()-8))</f>
      </c>
      <c r="F2570">
        <f>IF(INDEX(Transactions!$J:$J,ROW()-8)="",0,INDEX(Transactions!$O:$O,ROW()-8))</f>
      </c>
    </row>
    <row r="2571" spans="1:7">
      <c r="B2571">
        <f>IF(INDEX(Transactions!$J:$J,ROW()-8)="",TODAY(),INDEX(Transactions!$G:$G,ROW()-8))</f>
      </c>
      <c r="F2571">
        <f>IF(INDEX(Transactions!$J:$J,ROW()-8)="",0,INDEX(Transactions!$O:$O,ROW()-8))</f>
      </c>
    </row>
    <row r="2572" spans="1:7">
      <c r="B2572">
        <f>IF(INDEX(Transactions!$J:$J,ROW()-8)="",TODAY(),INDEX(Transactions!$G:$G,ROW()-8))</f>
      </c>
      <c r="F2572">
        <f>IF(INDEX(Transactions!$J:$J,ROW()-8)="",0,INDEX(Transactions!$O:$O,ROW()-8))</f>
      </c>
    </row>
    <row r="2573" spans="1:7">
      <c r="B2573">
        <f>IF(INDEX(Transactions!$J:$J,ROW()-8)="",TODAY(),INDEX(Transactions!$G:$G,ROW()-8))</f>
      </c>
      <c r="F2573">
        <f>IF(INDEX(Transactions!$J:$J,ROW()-8)="",0,INDEX(Transactions!$O:$O,ROW()-8))</f>
      </c>
    </row>
    <row r="2574" spans="1:7">
      <c r="B2574">
        <f>IF(INDEX(Transactions!$J:$J,ROW()-8)="",TODAY(),INDEX(Transactions!$G:$G,ROW()-8))</f>
      </c>
      <c r="F2574">
        <f>IF(INDEX(Transactions!$J:$J,ROW()-8)="",0,INDEX(Transactions!$O:$O,ROW()-8))</f>
      </c>
    </row>
    <row r="2575" spans="1:7">
      <c r="B2575">
        <f>IF(INDEX(Transactions!$J:$J,ROW()-8)="",TODAY(),INDEX(Transactions!$G:$G,ROW()-8))</f>
      </c>
      <c r="F2575">
        <f>IF(INDEX(Transactions!$J:$J,ROW()-8)="",0,INDEX(Transactions!$O:$O,ROW()-8))</f>
      </c>
    </row>
    <row r="2576" spans="1:7">
      <c r="B2576">
        <f>IF(INDEX(Transactions!$J:$J,ROW()-8)="",TODAY(),INDEX(Transactions!$G:$G,ROW()-8))</f>
      </c>
      <c r="F2576">
        <f>IF(INDEX(Transactions!$J:$J,ROW()-8)="",0,INDEX(Transactions!$O:$O,ROW()-8))</f>
      </c>
    </row>
    <row r="2577" spans="1:7">
      <c r="B2577">
        <f>IF(INDEX(Transactions!$J:$J,ROW()-8)="",TODAY(),INDEX(Transactions!$G:$G,ROW()-8))</f>
      </c>
      <c r="F2577">
        <f>IF(INDEX(Transactions!$J:$J,ROW()-8)="",0,INDEX(Transactions!$O:$O,ROW()-8))</f>
      </c>
    </row>
    <row r="2578" spans="1:7">
      <c r="B2578">
        <f>IF(INDEX(Transactions!$J:$J,ROW()-8)="",TODAY(),INDEX(Transactions!$G:$G,ROW()-8))</f>
      </c>
      <c r="F2578">
        <f>IF(INDEX(Transactions!$J:$J,ROW()-8)="",0,INDEX(Transactions!$O:$O,ROW()-8))</f>
      </c>
    </row>
    <row r="2579" spans="1:7">
      <c r="B2579">
        <f>IF(INDEX(Transactions!$J:$J,ROW()-8)="",TODAY(),INDEX(Transactions!$G:$G,ROW()-8))</f>
      </c>
      <c r="F2579">
        <f>IF(INDEX(Transactions!$J:$J,ROW()-8)="",0,INDEX(Transactions!$O:$O,ROW()-8))</f>
      </c>
    </row>
    <row r="2580" spans="1:7">
      <c r="B2580">
        <f>IF(INDEX(Transactions!$J:$J,ROW()-8)="",TODAY(),INDEX(Transactions!$G:$G,ROW()-8))</f>
      </c>
      <c r="F2580">
        <f>IF(INDEX(Transactions!$J:$J,ROW()-8)="",0,INDEX(Transactions!$O:$O,ROW()-8))</f>
      </c>
    </row>
    <row r="2581" spans="1:7">
      <c r="B2581">
        <f>IF(INDEX(Transactions!$J:$J,ROW()-8)="",TODAY(),INDEX(Transactions!$G:$G,ROW()-8))</f>
      </c>
      <c r="F2581">
        <f>IF(INDEX(Transactions!$J:$J,ROW()-8)="",0,INDEX(Transactions!$O:$O,ROW()-8))</f>
      </c>
    </row>
    <row r="2582" spans="1:7">
      <c r="B2582">
        <f>IF(INDEX(Transactions!$J:$J,ROW()-8)="",TODAY(),INDEX(Transactions!$G:$G,ROW()-8))</f>
      </c>
      <c r="F2582">
        <f>IF(INDEX(Transactions!$J:$J,ROW()-8)="",0,INDEX(Transactions!$O:$O,ROW()-8))</f>
      </c>
    </row>
    <row r="2583" spans="1:7">
      <c r="B2583">
        <f>IF(INDEX(Transactions!$J:$J,ROW()-8)="",TODAY(),INDEX(Transactions!$G:$G,ROW()-8))</f>
      </c>
      <c r="F2583">
        <f>IF(INDEX(Transactions!$J:$J,ROW()-8)="",0,INDEX(Transactions!$O:$O,ROW()-8))</f>
      </c>
    </row>
    <row r="2584" spans="1:7">
      <c r="B2584">
        <f>IF(INDEX(Transactions!$J:$J,ROW()-8)="",TODAY(),INDEX(Transactions!$G:$G,ROW()-8))</f>
      </c>
      <c r="F2584">
        <f>IF(INDEX(Transactions!$J:$J,ROW()-8)="",0,INDEX(Transactions!$O:$O,ROW()-8))</f>
      </c>
    </row>
    <row r="2585" spans="1:7">
      <c r="B2585">
        <f>IF(INDEX(Transactions!$J:$J,ROW()-8)="",TODAY(),INDEX(Transactions!$G:$G,ROW()-8))</f>
      </c>
      <c r="F2585">
        <f>IF(INDEX(Transactions!$J:$J,ROW()-8)="",0,INDEX(Transactions!$O:$O,ROW()-8))</f>
      </c>
    </row>
    <row r="2586" spans="1:7">
      <c r="B2586">
        <f>IF(INDEX(Transactions!$J:$J,ROW()-8)="",TODAY(),INDEX(Transactions!$G:$G,ROW()-8))</f>
      </c>
      <c r="F2586">
        <f>IF(INDEX(Transactions!$J:$J,ROW()-8)="",0,INDEX(Transactions!$O:$O,ROW()-8))</f>
      </c>
    </row>
    <row r="2587" spans="1:7">
      <c r="B2587">
        <f>IF(INDEX(Transactions!$J:$J,ROW()-8)="",TODAY(),INDEX(Transactions!$G:$G,ROW()-8))</f>
      </c>
      <c r="F2587">
        <f>IF(INDEX(Transactions!$J:$J,ROW()-8)="",0,INDEX(Transactions!$O:$O,ROW()-8))</f>
      </c>
    </row>
    <row r="2588" spans="1:7">
      <c r="B2588">
        <f>IF(INDEX(Transactions!$J:$J,ROW()-8)="",TODAY(),INDEX(Transactions!$G:$G,ROW()-8))</f>
      </c>
      <c r="F2588">
        <f>IF(INDEX(Transactions!$J:$J,ROW()-8)="",0,INDEX(Transactions!$O:$O,ROW()-8))</f>
      </c>
    </row>
    <row r="2589" spans="1:7">
      <c r="B2589">
        <f>IF(INDEX(Transactions!$J:$J,ROW()-8)="",TODAY(),INDEX(Transactions!$G:$G,ROW()-8))</f>
      </c>
      <c r="F2589">
        <f>IF(INDEX(Transactions!$J:$J,ROW()-8)="",0,INDEX(Transactions!$O:$O,ROW()-8))</f>
      </c>
    </row>
    <row r="2590" spans="1:7">
      <c r="B2590">
        <f>IF(INDEX(Transactions!$J:$J,ROW()-8)="",TODAY(),INDEX(Transactions!$G:$G,ROW()-8))</f>
      </c>
      <c r="F2590">
        <f>IF(INDEX(Transactions!$J:$J,ROW()-8)="",0,INDEX(Transactions!$O:$O,ROW()-8))</f>
      </c>
    </row>
    <row r="2591" spans="1:7">
      <c r="B2591">
        <f>IF(INDEX(Transactions!$J:$J,ROW()-8)="",TODAY(),INDEX(Transactions!$G:$G,ROW()-8))</f>
      </c>
      <c r="F2591">
        <f>IF(INDEX(Transactions!$J:$J,ROW()-8)="",0,INDEX(Transactions!$O:$O,ROW()-8))</f>
      </c>
    </row>
    <row r="2592" spans="1:7">
      <c r="B2592">
        <f>IF(INDEX(Transactions!$J:$J,ROW()-8)="",TODAY(),INDEX(Transactions!$G:$G,ROW()-8))</f>
      </c>
      <c r="F2592">
        <f>IF(INDEX(Transactions!$J:$J,ROW()-8)="",0,INDEX(Transactions!$O:$O,ROW()-8))</f>
      </c>
    </row>
    <row r="2593" spans="1:7">
      <c r="B2593">
        <f>IF(INDEX(Transactions!$J:$J,ROW()-8)="",TODAY(),INDEX(Transactions!$G:$G,ROW()-8))</f>
      </c>
      <c r="F2593">
        <f>IF(INDEX(Transactions!$J:$J,ROW()-8)="",0,INDEX(Transactions!$O:$O,ROW()-8))</f>
      </c>
    </row>
    <row r="2594" spans="1:7">
      <c r="B2594">
        <f>IF(INDEX(Transactions!$J:$J,ROW()-8)="",TODAY(),INDEX(Transactions!$G:$G,ROW()-8))</f>
      </c>
      <c r="F2594">
        <f>IF(INDEX(Transactions!$J:$J,ROW()-8)="",0,INDEX(Transactions!$O:$O,ROW()-8))</f>
      </c>
    </row>
    <row r="2595" spans="1:7">
      <c r="B2595">
        <f>IF(INDEX(Transactions!$J:$J,ROW()-8)="",TODAY(),INDEX(Transactions!$G:$G,ROW()-8))</f>
      </c>
      <c r="F2595">
        <f>IF(INDEX(Transactions!$J:$J,ROW()-8)="",0,INDEX(Transactions!$O:$O,ROW()-8))</f>
      </c>
    </row>
    <row r="2596" spans="1:7">
      <c r="B2596">
        <f>IF(INDEX(Transactions!$J:$J,ROW()-8)="",TODAY(),INDEX(Transactions!$G:$G,ROW()-8))</f>
      </c>
      <c r="F2596">
        <f>IF(INDEX(Transactions!$J:$J,ROW()-8)="",0,INDEX(Transactions!$O:$O,ROW()-8))</f>
      </c>
    </row>
    <row r="2597" spans="1:7">
      <c r="B2597">
        <f>IF(INDEX(Transactions!$J:$J,ROW()-8)="",TODAY(),INDEX(Transactions!$G:$G,ROW()-8))</f>
      </c>
      <c r="F2597">
        <f>IF(INDEX(Transactions!$J:$J,ROW()-8)="",0,INDEX(Transactions!$O:$O,ROW()-8))</f>
      </c>
    </row>
    <row r="2598" spans="1:7">
      <c r="B2598">
        <f>IF(INDEX(Transactions!$J:$J,ROW()-8)="",TODAY(),INDEX(Transactions!$G:$G,ROW()-8))</f>
      </c>
      <c r="F2598">
        <f>IF(INDEX(Transactions!$J:$J,ROW()-8)="",0,INDEX(Transactions!$O:$O,ROW()-8))</f>
      </c>
    </row>
    <row r="2599" spans="1:7">
      <c r="B2599">
        <f>IF(INDEX(Transactions!$J:$J,ROW()-8)="",TODAY(),INDEX(Transactions!$G:$G,ROW()-8))</f>
      </c>
      <c r="F2599">
        <f>IF(INDEX(Transactions!$J:$J,ROW()-8)="",0,INDEX(Transactions!$O:$O,ROW()-8))</f>
      </c>
    </row>
    <row r="2600" spans="1:7">
      <c r="B2600">
        <f>IF(INDEX(Transactions!$J:$J,ROW()-8)="",TODAY(),INDEX(Transactions!$G:$G,ROW()-8))</f>
      </c>
      <c r="F2600">
        <f>IF(INDEX(Transactions!$J:$J,ROW()-8)="",0,INDEX(Transactions!$O:$O,ROW()-8))</f>
      </c>
    </row>
    <row r="2601" spans="1:7">
      <c r="B2601">
        <f>IF(INDEX(Transactions!$J:$J,ROW()-8)="",TODAY(),INDEX(Transactions!$G:$G,ROW()-8))</f>
      </c>
      <c r="F2601">
        <f>IF(INDEX(Transactions!$J:$J,ROW()-8)="",0,INDEX(Transactions!$O:$O,ROW()-8))</f>
      </c>
    </row>
    <row r="2602" spans="1:7">
      <c r="B2602">
        <f>IF(INDEX(Transactions!$J:$J,ROW()-8)="",TODAY(),INDEX(Transactions!$G:$G,ROW()-8))</f>
      </c>
      <c r="F2602">
        <f>IF(INDEX(Transactions!$J:$J,ROW()-8)="",0,INDEX(Transactions!$O:$O,ROW()-8))</f>
      </c>
    </row>
    <row r="2603" spans="1:7">
      <c r="B2603">
        <f>IF(INDEX(Transactions!$J:$J,ROW()-8)="",TODAY(),INDEX(Transactions!$G:$G,ROW()-8))</f>
      </c>
      <c r="F2603">
        <f>IF(INDEX(Transactions!$J:$J,ROW()-8)="",0,INDEX(Transactions!$O:$O,ROW()-8))</f>
      </c>
    </row>
    <row r="2604" spans="1:7">
      <c r="B2604">
        <f>IF(INDEX(Transactions!$J:$J,ROW()-8)="",TODAY(),INDEX(Transactions!$G:$G,ROW()-8))</f>
      </c>
      <c r="F2604">
        <f>IF(INDEX(Transactions!$J:$J,ROW()-8)="",0,INDEX(Transactions!$O:$O,ROW()-8))</f>
      </c>
    </row>
    <row r="2605" spans="1:7">
      <c r="B2605">
        <f>IF(INDEX(Transactions!$J:$J,ROW()-8)="",TODAY(),INDEX(Transactions!$G:$G,ROW()-8))</f>
      </c>
      <c r="F2605">
        <f>IF(INDEX(Transactions!$J:$J,ROW()-8)="",0,INDEX(Transactions!$O:$O,ROW()-8))</f>
      </c>
    </row>
    <row r="2606" spans="1:7">
      <c r="B2606">
        <f>IF(INDEX(Transactions!$J:$J,ROW()-8)="",TODAY(),INDEX(Transactions!$G:$G,ROW()-8))</f>
      </c>
      <c r="F2606">
        <f>IF(INDEX(Transactions!$J:$J,ROW()-8)="",0,INDEX(Transactions!$O:$O,ROW()-8))</f>
      </c>
    </row>
    <row r="2607" spans="1:7">
      <c r="B2607">
        <f>IF(INDEX(Transactions!$J:$J,ROW()-8)="",TODAY(),INDEX(Transactions!$G:$G,ROW()-8))</f>
      </c>
      <c r="F2607">
        <f>IF(INDEX(Transactions!$J:$J,ROW()-8)="",0,INDEX(Transactions!$O:$O,ROW()-8))</f>
      </c>
    </row>
    <row r="2608" spans="1:7">
      <c r="B2608">
        <f>IF(INDEX(Transactions!$J:$J,ROW()-8)="",TODAY(),INDEX(Transactions!$G:$G,ROW()-8))</f>
      </c>
      <c r="F2608">
        <f>IF(INDEX(Transactions!$J:$J,ROW()-8)="",0,INDEX(Transactions!$O:$O,ROW()-8))</f>
      </c>
    </row>
    <row r="2609" spans="1:7">
      <c r="B2609">
        <f>IF(INDEX(Transactions!$J:$J,ROW()-8)="",TODAY(),INDEX(Transactions!$G:$G,ROW()-8))</f>
      </c>
      <c r="F2609">
        <f>IF(INDEX(Transactions!$J:$J,ROW()-8)="",0,INDEX(Transactions!$O:$O,ROW()-8))</f>
      </c>
    </row>
    <row r="2610" spans="1:7">
      <c r="B2610">
        <f>IF(INDEX(Transactions!$J:$J,ROW()-8)="",TODAY(),INDEX(Transactions!$G:$G,ROW()-8))</f>
      </c>
      <c r="F2610">
        <f>IF(INDEX(Transactions!$J:$J,ROW()-8)="",0,INDEX(Transactions!$O:$O,ROW()-8))</f>
      </c>
    </row>
    <row r="2611" spans="1:7">
      <c r="B2611">
        <f>IF(INDEX(Transactions!$J:$J,ROW()-8)="",TODAY(),INDEX(Transactions!$G:$G,ROW()-8))</f>
      </c>
      <c r="F2611">
        <f>IF(INDEX(Transactions!$J:$J,ROW()-8)="",0,INDEX(Transactions!$O:$O,ROW()-8))</f>
      </c>
    </row>
    <row r="2612" spans="1:7">
      <c r="B2612">
        <f>IF(INDEX(Transactions!$J:$J,ROW()-8)="",TODAY(),INDEX(Transactions!$G:$G,ROW()-8))</f>
      </c>
      <c r="F2612">
        <f>IF(INDEX(Transactions!$J:$J,ROW()-8)="",0,INDEX(Transactions!$O:$O,ROW()-8))</f>
      </c>
    </row>
    <row r="2613" spans="1:7">
      <c r="B2613">
        <f>IF(INDEX(Transactions!$J:$J,ROW()-8)="",TODAY(),INDEX(Transactions!$G:$G,ROW()-8))</f>
      </c>
      <c r="F2613">
        <f>IF(INDEX(Transactions!$J:$J,ROW()-8)="",0,INDEX(Transactions!$O:$O,ROW()-8))</f>
      </c>
    </row>
    <row r="2614" spans="1:7">
      <c r="B2614">
        <f>IF(INDEX(Transactions!$J:$J,ROW()-8)="",TODAY(),INDEX(Transactions!$G:$G,ROW()-8))</f>
      </c>
      <c r="F2614">
        <f>IF(INDEX(Transactions!$J:$J,ROW()-8)="",0,INDEX(Transactions!$O:$O,ROW()-8))</f>
      </c>
    </row>
    <row r="2615" spans="1:7">
      <c r="B2615">
        <f>IF(INDEX(Transactions!$J:$J,ROW()-8)="",TODAY(),INDEX(Transactions!$G:$G,ROW()-8))</f>
      </c>
      <c r="F2615">
        <f>IF(INDEX(Transactions!$J:$J,ROW()-8)="",0,INDEX(Transactions!$O:$O,ROW()-8))</f>
      </c>
    </row>
    <row r="2616" spans="1:7">
      <c r="B2616">
        <f>IF(INDEX(Transactions!$J:$J,ROW()-8)="",TODAY(),INDEX(Transactions!$G:$G,ROW()-8))</f>
      </c>
      <c r="F2616">
        <f>IF(INDEX(Transactions!$J:$J,ROW()-8)="",0,INDEX(Transactions!$O:$O,ROW()-8))</f>
      </c>
    </row>
    <row r="2617" spans="1:7">
      <c r="B2617">
        <f>IF(INDEX(Transactions!$J:$J,ROW()-8)="",TODAY(),INDEX(Transactions!$G:$G,ROW()-8))</f>
      </c>
      <c r="F2617">
        <f>IF(INDEX(Transactions!$J:$J,ROW()-8)="",0,INDEX(Transactions!$O:$O,ROW()-8))</f>
      </c>
    </row>
    <row r="2618" spans="1:7">
      <c r="B2618">
        <f>IF(INDEX(Transactions!$J:$J,ROW()-8)="",TODAY(),INDEX(Transactions!$G:$G,ROW()-8))</f>
      </c>
      <c r="F2618">
        <f>IF(INDEX(Transactions!$J:$J,ROW()-8)="",0,INDEX(Transactions!$O:$O,ROW()-8))</f>
      </c>
    </row>
    <row r="2619" spans="1:7">
      <c r="B2619">
        <f>IF(INDEX(Transactions!$J:$J,ROW()-8)="",TODAY(),INDEX(Transactions!$G:$G,ROW()-8))</f>
      </c>
      <c r="F2619">
        <f>IF(INDEX(Transactions!$J:$J,ROW()-8)="",0,INDEX(Transactions!$O:$O,ROW()-8))</f>
      </c>
    </row>
    <row r="2620" spans="1:7">
      <c r="B2620">
        <f>IF(INDEX(Transactions!$J:$J,ROW()-8)="",TODAY(),INDEX(Transactions!$G:$G,ROW()-8))</f>
      </c>
      <c r="F2620">
        <f>IF(INDEX(Transactions!$J:$J,ROW()-8)="",0,INDEX(Transactions!$O:$O,ROW()-8))</f>
      </c>
    </row>
    <row r="2621" spans="1:7">
      <c r="B2621">
        <f>IF(INDEX(Transactions!$J:$J,ROW()-8)="",TODAY(),INDEX(Transactions!$G:$G,ROW()-8))</f>
      </c>
      <c r="F2621">
        <f>IF(INDEX(Transactions!$J:$J,ROW()-8)="",0,INDEX(Transactions!$O:$O,ROW()-8))</f>
      </c>
    </row>
    <row r="2622" spans="1:7">
      <c r="B2622">
        <f>IF(INDEX(Transactions!$J:$J,ROW()-8)="",TODAY(),INDEX(Transactions!$G:$G,ROW()-8))</f>
      </c>
      <c r="F2622">
        <f>IF(INDEX(Transactions!$J:$J,ROW()-8)="",0,INDEX(Transactions!$O:$O,ROW()-8))</f>
      </c>
    </row>
    <row r="2623" spans="1:7">
      <c r="B2623">
        <f>IF(INDEX(Transactions!$J:$J,ROW()-8)="",TODAY(),INDEX(Transactions!$G:$G,ROW()-8))</f>
      </c>
      <c r="F2623">
        <f>IF(INDEX(Transactions!$J:$J,ROW()-8)="",0,INDEX(Transactions!$O:$O,ROW()-8))</f>
      </c>
    </row>
    <row r="2624" spans="1:7">
      <c r="B2624">
        <f>IF(INDEX(Transactions!$J:$J,ROW()-8)="",TODAY(),INDEX(Transactions!$G:$G,ROW()-8))</f>
      </c>
      <c r="F2624">
        <f>IF(INDEX(Transactions!$J:$J,ROW()-8)="",0,INDEX(Transactions!$O:$O,ROW()-8))</f>
      </c>
    </row>
    <row r="2625" spans="1:7">
      <c r="B2625">
        <f>IF(INDEX(Transactions!$J:$J,ROW()-8)="",TODAY(),INDEX(Transactions!$G:$G,ROW()-8))</f>
      </c>
      <c r="F2625">
        <f>IF(INDEX(Transactions!$J:$J,ROW()-8)="",0,INDEX(Transactions!$O:$O,ROW()-8))</f>
      </c>
    </row>
    <row r="2626" spans="1:7">
      <c r="B2626">
        <f>IF(INDEX(Transactions!$J:$J,ROW()-8)="",TODAY(),INDEX(Transactions!$G:$G,ROW()-8))</f>
      </c>
      <c r="F2626">
        <f>IF(INDEX(Transactions!$J:$J,ROW()-8)="",0,INDEX(Transactions!$O:$O,ROW()-8))</f>
      </c>
    </row>
    <row r="2627" spans="1:7">
      <c r="B2627">
        <f>IF(INDEX(Transactions!$J:$J,ROW()-8)="",TODAY(),INDEX(Transactions!$G:$G,ROW()-8))</f>
      </c>
      <c r="F2627">
        <f>IF(INDEX(Transactions!$J:$J,ROW()-8)="",0,INDEX(Transactions!$O:$O,ROW()-8))</f>
      </c>
    </row>
    <row r="2628" spans="1:7">
      <c r="B2628">
        <f>IF(INDEX(Transactions!$J:$J,ROW()-8)="",TODAY(),INDEX(Transactions!$G:$G,ROW()-8))</f>
      </c>
      <c r="F2628">
        <f>IF(INDEX(Transactions!$J:$J,ROW()-8)="",0,INDEX(Transactions!$O:$O,ROW()-8))</f>
      </c>
    </row>
    <row r="2629" spans="1:7">
      <c r="B2629">
        <f>IF(INDEX(Transactions!$J:$J,ROW()-8)="",TODAY(),INDEX(Transactions!$G:$G,ROW()-8))</f>
      </c>
      <c r="F2629">
        <f>IF(INDEX(Transactions!$J:$J,ROW()-8)="",0,INDEX(Transactions!$O:$O,ROW()-8))</f>
      </c>
    </row>
    <row r="2630" spans="1:7">
      <c r="B2630">
        <f>IF(INDEX(Transactions!$J:$J,ROW()-8)="",TODAY(),INDEX(Transactions!$G:$G,ROW()-8))</f>
      </c>
      <c r="F2630">
        <f>IF(INDEX(Transactions!$J:$J,ROW()-8)="",0,INDEX(Transactions!$O:$O,ROW()-8))</f>
      </c>
    </row>
    <row r="2631" spans="1:7">
      <c r="B2631">
        <f>IF(INDEX(Transactions!$J:$J,ROW()-8)="",TODAY(),INDEX(Transactions!$G:$G,ROW()-8))</f>
      </c>
      <c r="F2631">
        <f>IF(INDEX(Transactions!$J:$J,ROW()-8)="",0,INDEX(Transactions!$O:$O,ROW()-8))</f>
      </c>
    </row>
    <row r="2632" spans="1:7">
      <c r="B2632">
        <f>IF(INDEX(Transactions!$J:$J,ROW()-8)="",TODAY(),INDEX(Transactions!$G:$G,ROW()-8))</f>
      </c>
      <c r="F2632">
        <f>IF(INDEX(Transactions!$J:$J,ROW()-8)="",0,INDEX(Transactions!$O:$O,ROW()-8))</f>
      </c>
    </row>
    <row r="2633" spans="1:7">
      <c r="B2633">
        <f>IF(INDEX(Transactions!$J:$J,ROW()-8)="",TODAY(),INDEX(Transactions!$G:$G,ROW()-8))</f>
      </c>
      <c r="F2633">
        <f>IF(INDEX(Transactions!$J:$J,ROW()-8)="",0,INDEX(Transactions!$O:$O,ROW()-8))</f>
      </c>
    </row>
    <row r="2634" spans="1:7">
      <c r="B2634">
        <f>IF(INDEX(Transactions!$J:$J,ROW()-8)="",TODAY(),INDEX(Transactions!$G:$G,ROW()-8))</f>
      </c>
      <c r="F2634">
        <f>IF(INDEX(Transactions!$J:$J,ROW()-8)="",0,INDEX(Transactions!$O:$O,ROW()-8))</f>
      </c>
    </row>
    <row r="2635" spans="1:7">
      <c r="B2635">
        <f>IF(INDEX(Transactions!$J:$J,ROW()-8)="",TODAY(),INDEX(Transactions!$G:$G,ROW()-8))</f>
      </c>
      <c r="F2635">
        <f>IF(INDEX(Transactions!$J:$J,ROW()-8)="",0,INDEX(Transactions!$O:$O,ROW()-8))</f>
      </c>
    </row>
    <row r="2636" spans="1:7">
      <c r="B2636">
        <f>IF(INDEX(Transactions!$J:$J,ROW()-8)="",TODAY(),INDEX(Transactions!$G:$G,ROW()-8))</f>
      </c>
      <c r="F2636">
        <f>IF(INDEX(Transactions!$J:$J,ROW()-8)="",0,INDEX(Transactions!$O:$O,ROW()-8))</f>
      </c>
    </row>
    <row r="2637" spans="1:7">
      <c r="B2637">
        <f>IF(INDEX(Transactions!$J:$J,ROW()-8)="",TODAY(),INDEX(Transactions!$G:$G,ROW()-8))</f>
      </c>
      <c r="F2637">
        <f>IF(INDEX(Transactions!$J:$J,ROW()-8)="",0,INDEX(Transactions!$O:$O,ROW()-8))</f>
      </c>
    </row>
    <row r="2638" spans="1:7">
      <c r="B2638">
        <f>IF(INDEX(Transactions!$J:$J,ROW()-8)="",TODAY(),INDEX(Transactions!$G:$G,ROW()-8))</f>
      </c>
      <c r="F2638">
        <f>IF(INDEX(Transactions!$J:$J,ROW()-8)="",0,INDEX(Transactions!$O:$O,ROW()-8))</f>
      </c>
    </row>
    <row r="2639" spans="1:7">
      <c r="B2639">
        <f>IF(INDEX(Transactions!$J:$J,ROW()-8)="",TODAY(),INDEX(Transactions!$G:$G,ROW()-8))</f>
      </c>
      <c r="F2639">
        <f>IF(INDEX(Transactions!$J:$J,ROW()-8)="",0,INDEX(Transactions!$O:$O,ROW()-8))</f>
      </c>
    </row>
    <row r="2640" spans="1:7">
      <c r="B2640">
        <f>IF(INDEX(Transactions!$J:$J,ROW()-8)="",TODAY(),INDEX(Transactions!$G:$G,ROW()-8))</f>
      </c>
      <c r="F2640">
        <f>IF(INDEX(Transactions!$J:$J,ROW()-8)="",0,INDEX(Transactions!$O:$O,ROW()-8))</f>
      </c>
    </row>
    <row r="2641" spans="1:7">
      <c r="B2641">
        <f>IF(INDEX(Transactions!$J:$J,ROW()-8)="",TODAY(),INDEX(Transactions!$G:$G,ROW()-8))</f>
      </c>
      <c r="F2641">
        <f>IF(INDEX(Transactions!$J:$J,ROW()-8)="",0,INDEX(Transactions!$O:$O,ROW()-8))</f>
      </c>
    </row>
    <row r="2642" spans="1:7">
      <c r="B2642">
        <f>IF(INDEX(Transactions!$J:$J,ROW()-8)="",TODAY(),INDEX(Transactions!$G:$G,ROW()-8))</f>
      </c>
      <c r="F2642">
        <f>IF(INDEX(Transactions!$J:$J,ROW()-8)="",0,INDEX(Transactions!$O:$O,ROW()-8))</f>
      </c>
    </row>
    <row r="2643" spans="1:7">
      <c r="B2643">
        <f>IF(INDEX(Transactions!$J:$J,ROW()-8)="",TODAY(),INDEX(Transactions!$G:$G,ROW()-8))</f>
      </c>
      <c r="F2643">
        <f>IF(INDEX(Transactions!$J:$J,ROW()-8)="",0,INDEX(Transactions!$O:$O,ROW()-8))</f>
      </c>
    </row>
    <row r="2644" spans="1:7">
      <c r="B2644">
        <f>IF(INDEX(Transactions!$J:$J,ROW()-8)="",TODAY(),INDEX(Transactions!$G:$G,ROW()-8))</f>
      </c>
      <c r="F2644">
        <f>IF(INDEX(Transactions!$J:$J,ROW()-8)="",0,INDEX(Transactions!$O:$O,ROW()-8))</f>
      </c>
    </row>
    <row r="2645" spans="1:7">
      <c r="B2645">
        <f>IF(INDEX(Transactions!$J:$J,ROW()-8)="",TODAY(),INDEX(Transactions!$G:$G,ROW()-8))</f>
      </c>
      <c r="F2645">
        <f>IF(INDEX(Transactions!$J:$J,ROW()-8)="",0,INDEX(Transactions!$O:$O,ROW()-8))</f>
      </c>
    </row>
    <row r="2646" spans="1:7">
      <c r="B2646">
        <f>IF(INDEX(Transactions!$J:$J,ROW()-8)="",TODAY(),INDEX(Transactions!$G:$G,ROW()-8))</f>
      </c>
      <c r="F2646">
        <f>IF(INDEX(Transactions!$J:$J,ROW()-8)="",0,INDEX(Transactions!$O:$O,ROW()-8))</f>
      </c>
    </row>
    <row r="2647" spans="1:7">
      <c r="B2647">
        <f>IF(INDEX(Transactions!$J:$J,ROW()-8)="",TODAY(),INDEX(Transactions!$G:$G,ROW()-8))</f>
      </c>
      <c r="F2647">
        <f>IF(INDEX(Transactions!$J:$J,ROW()-8)="",0,INDEX(Transactions!$O:$O,ROW()-8))</f>
      </c>
    </row>
    <row r="2648" spans="1:7">
      <c r="B2648">
        <f>IF(INDEX(Transactions!$J:$J,ROW()-8)="",TODAY(),INDEX(Transactions!$G:$G,ROW()-8))</f>
      </c>
      <c r="F2648">
        <f>IF(INDEX(Transactions!$J:$J,ROW()-8)="",0,INDEX(Transactions!$O:$O,ROW()-8))</f>
      </c>
    </row>
    <row r="2649" spans="1:7">
      <c r="B2649">
        <f>IF(INDEX(Transactions!$J:$J,ROW()-8)="",TODAY(),INDEX(Transactions!$G:$G,ROW()-8))</f>
      </c>
      <c r="F2649">
        <f>IF(INDEX(Transactions!$J:$J,ROW()-8)="",0,INDEX(Transactions!$O:$O,ROW()-8))</f>
      </c>
    </row>
    <row r="2650" spans="1:7">
      <c r="B2650">
        <f>IF(INDEX(Transactions!$J:$J,ROW()-8)="",TODAY(),INDEX(Transactions!$G:$G,ROW()-8))</f>
      </c>
      <c r="F2650">
        <f>IF(INDEX(Transactions!$J:$J,ROW()-8)="",0,INDEX(Transactions!$O:$O,ROW()-8))</f>
      </c>
    </row>
    <row r="2651" spans="1:7">
      <c r="B2651">
        <f>IF(INDEX(Transactions!$J:$J,ROW()-8)="",TODAY(),INDEX(Transactions!$G:$G,ROW()-8))</f>
      </c>
      <c r="F2651">
        <f>IF(INDEX(Transactions!$J:$J,ROW()-8)="",0,INDEX(Transactions!$O:$O,ROW()-8))</f>
      </c>
    </row>
    <row r="2652" spans="1:7">
      <c r="B2652">
        <f>IF(INDEX(Transactions!$J:$J,ROW()-8)="",TODAY(),INDEX(Transactions!$G:$G,ROW()-8))</f>
      </c>
      <c r="F2652">
        <f>IF(INDEX(Transactions!$J:$J,ROW()-8)="",0,INDEX(Transactions!$O:$O,ROW()-8))</f>
      </c>
    </row>
    <row r="2653" spans="1:7">
      <c r="B2653">
        <f>IF(INDEX(Transactions!$J:$J,ROW()-8)="",TODAY(),INDEX(Transactions!$G:$G,ROW()-8))</f>
      </c>
      <c r="F2653">
        <f>IF(INDEX(Transactions!$J:$J,ROW()-8)="",0,INDEX(Transactions!$O:$O,ROW()-8))</f>
      </c>
    </row>
    <row r="2654" spans="1:7">
      <c r="B2654">
        <f>IF(INDEX(Transactions!$J:$J,ROW()-8)="",TODAY(),INDEX(Transactions!$G:$G,ROW()-8))</f>
      </c>
      <c r="F2654">
        <f>IF(INDEX(Transactions!$J:$J,ROW()-8)="",0,INDEX(Transactions!$O:$O,ROW()-8))</f>
      </c>
    </row>
    <row r="2655" spans="1:7">
      <c r="B2655">
        <f>IF(INDEX(Transactions!$J:$J,ROW()-8)="",TODAY(),INDEX(Transactions!$G:$G,ROW()-8))</f>
      </c>
      <c r="F2655">
        <f>IF(INDEX(Transactions!$J:$J,ROW()-8)="",0,INDEX(Transactions!$O:$O,ROW()-8))</f>
      </c>
    </row>
    <row r="2656" spans="1:7">
      <c r="B2656">
        <f>IF(INDEX(Transactions!$J:$J,ROW()-8)="",TODAY(),INDEX(Transactions!$G:$G,ROW()-8))</f>
      </c>
      <c r="F2656">
        <f>IF(INDEX(Transactions!$J:$J,ROW()-8)="",0,INDEX(Transactions!$O:$O,ROW()-8))</f>
      </c>
    </row>
    <row r="2657" spans="1:7">
      <c r="B2657">
        <f>IF(INDEX(Transactions!$J:$J,ROW()-8)="",TODAY(),INDEX(Transactions!$G:$G,ROW()-8))</f>
      </c>
      <c r="F2657">
        <f>IF(INDEX(Transactions!$J:$J,ROW()-8)="",0,INDEX(Transactions!$O:$O,ROW()-8))</f>
      </c>
    </row>
    <row r="2658" spans="1:7">
      <c r="B2658">
        <f>IF(INDEX(Transactions!$J:$J,ROW()-8)="",TODAY(),INDEX(Transactions!$G:$G,ROW()-8))</f>
      </c>
      <c r="F2658">
        <f>IF(INDEX(Transactions!$J:$J,ROW()-8)="",0,INDEX(Transactions!$O:$O,ROW()-8))</f>
      </c>
    </row>
    <row r="2659" spans="1:7">
      <c r="B2659">
        <f>IF(INDEX(Transactions!$J:$J,ROW()-8)="",TODAY(),INDEX(Transactions!$G:$G,ROW()-8))</f>
      </c>
      <c r="F2659">
        <f>IF(INDEX(Transactions!$J:$J,ROW()-8)="",0,INDEX(Transactions!$O:$O,ROW()-8))</f>
      </c>
    </row>
    <row r="2660" spans="1:7">
      <c r="B2660">
        <f>IF(INDEX(Transactions!$J:$J,ROW()-8)="",TODAY(),INDEX(Transactions!$G:$G,ROW()-8))</f>
      </c>
      <c r="F2660">
        <f>IF(INDEX(Transactions!$J:$J,ROW()-8)="",0,INDEX(Transactions!$O:$O,ROW()-8))</f>
      </c>
    </row>
    <row r="2661" spans="1:7">
      <c r="B2661">
        <f>IF(INDEX(Transactions!$J:$J,ROW()-8)="",TODAY(),INDEX(Transactions!$G:$G,ROW()-8))</f>
      </c>
      <c r="F2661">
        <f>IF(INDEX(Transactions!$J:$J,ROW()-8)="",0,INDEX(Transactions!$O:$O,ROW()-8))</f>
      </c>
    </row>
    <row r="2662" spans="1:7">
      <c r="B2662">
        <f>IF(INDEX(Transactions!$J:$J,ROW()-8)="",TODAY(),INDEX(Transactions!$G:$G,ROW()-8))</f>
      </c>
      <c r="F2662">
        <f>IF(INDEX(Transactions!$J:$J,ROW()-8)="",0,INDEX(Transactions!$O:$O,ROW()-8))</f>
      </c>
    </row>
    <row r="2663" spans="1:7">
      <c r="B2663">
        <f>IF(INDEX(Transactions!$J:$J,ROW()-8)="",TODAY(),INDEX(Transactions!$G:$G,ROW()-8))</f>
      </c>
      <c r="F2663">
        <f>IF(INDEX(Transactions!$J:$J,ROW()-8)="",0,INDEX(Transactions!$O:$O,ROW()-8))</f>
      </c>
    </row>
    <row r="2664" spans="1:7">
      <c r="B2664">
        <f>IF(INDEX(Transactions!$J:$J,ROW()-8)="",TODAY(),INDEX(Transactions!$G:$G,ROW()-8))</f>
      </c>
      <c r="F2664">
        <f>IF(INDEX(Transactions!$J:$J,ROW()-8)="",0,INDEX(Transactions!$O:$O,ROW()-8))</f>
      </c>
    </row>
    <row r="2665" spans="1:7">
      <c r="B2665">
        <f>IF(INDEX(Transactions!$J:$J,ROW()-8)="",TODAY(),INDEX(Transactions!$G:$G,ROW()-8))</f>
      </c>
      <c r="F2665">
        <f>IF(INDEX(Transactions!$J:$J,ROW()-8)="",0,INDEX(Transactions!$O:$O,ROW()-8))</f>
      </c>
    </row>
    <row r="2666" spans="1:7">
      <c r="B2666">
        <f>IF(INDEX(Transactions!$J:$J,ROW()-8)="",TODAY(),INDEX(Transactions!$G:$G,ROW()-8))</f>
      </c>
      <c r="F2666">
        <f>IF(INDEX(Transactions!$J:$J,ROW()-8)="",0,INDEX(Transactions!$O:$O,ROW()-8))</f>
      </c>
    </row>
    <row r="2667" spans="1:7">
      <c r="B2667">
        <f>IF(INDEX(Transactions!$J:$J,ROW()-8)="",TODAY(),INDEX(Transactions!$G:$G,ROW()-8))</f>
      </c>
      <c r="F2667">
        <f>IF(INDEX(Transactions!$J:$J,ROW()-8)="",0,INDEX(Transactions!$O:$O,ROW()-8))</f>
      </c>
    </row>
    <row r="2668" spans="1:7">
      <c r="B2668">
        <f>IF(INDEX(Transactions!$J:$J,ROW()-8)="",TODAY(),INDEX(Transactions!$G:$G,ROW()-8))</f>
      </c>
      <c r="F2668">
        <f>IF(INDEX(Transactions!$J:$J,ROW()-8)="",0,INDEX(Transactions!$O:$O,ROW()-8))</f>
      </c>
    </row>
    <row r="2669" spans="1:7">
      <c r="B2669">
        <f>IF(INDEX(Transactions!$J:$J,ROW()-8)="",TODAY(),INDEX(Transactions!$G:$G,ROW()-8))</f>
      </c>
      <c r="F2669">
        <f>IF(INDEX(Transactions!$J:$J,ROW()-8)="",0,INDEX(Transactions!$O:$O,ROW()-8))</f>
      </c>
    </row>
    <row r="2670" spans="1:7">
      <c r="B2670">
        <f>IF(INDEX(Transactions!$J:$J,ROW()-8)="",TODAY(),INDEX(Transactions!$G:$G,ROW()-8))</f>
      </c>
      <c r="F2670">
        <f>IF(INDEX(Transactions!$J:$J,ROW()-8)="",0,INDEX(Transactions!$O:$O,ROW()-8))</f>
      </c>
    </row>
    <row r="2671" spans="1:7">
      <c r="B2671">
        <f>IF(INDEX(Transactions!$J:$J,ROW()-8)="",TODAY(),INDEX(Transactions!$G:$G,ROW()-8))</f>
      </c>
      <c r="F2671">
        <f>IF(INDEX(Transactions!$J:$J,ROW()-8)="",0,INDEX(Transactions!$O:$O,ROW()-8))</f>
      </c>
    </row>
    <row r="2672" spans="1:7">
      <c r="B2672">
        <f>IF(INDEX(Transactions!$J:$J,ROW()-8)="",TODAY(),INDEX(Transactions!$G:$G,ROW()-8))</f>
      </c>
      <c r="F2672">
        <f>IF(INDEX(Transactions!$J:$J,ROW()-8)="",0,INDEX(Transactions!$O:$O,ROW()-8))</f>
      </c>
    </row>
    <row r="2673" spans="1:7">
      <c r="B2673">
        <f>IF(INDEX(Transactions!$J:$J,ROW()-8)="",TODAY(),INDEX(Transactions!$G:$G,ROW()-8))</f>
      </c>
      <c r="F2673">
        <f>IF(INDEX(Transactions!$J:$J,ROW()-8)="",0,INDEX(Transactions!$O:$O,ROW()-8))</f>
      </c>
    </row>
    <row r="2674" spans="1:7">
      <c r="B2674">
        <f>IF(INDEX(Transactions!$J:$J,ROW()-8)="",TODAY(),INDEX(Transactions!$G:$G,ROW()-8))</f>
      </c>
      <c r="F2674">
        <f>IF(INDEX(Transactions!$J:$J,ROW()-8)="",0,INDEX(Transactions!$O:$O,ROW()-8))</f>
      </c>
    </row>
    <row r="2675" spans="1:7">
      <c r="B2675">
        <f>IF(INDEX(Transactions!$J:$J,ROW()-8)="",TODAY(),INDEX(Transactions!$G:$G,ROW()-8))</f>
      </c>
      <c r="F2675">
        <f>IF(INDEX(Transactions!$J:$J,ROW()-8)="",0,INDEX(Transactions!$O:$O,ROW()-8))</f>
      </c>
    </row>
    <row r="2676" spans="1:7">
      <c r="B2676">
        <f>IF(INDEX(Transactions!$J:$J,ROW()-8)="",TODAY(),INDEX(Transactions!$G:$G,ROW()-8))</f>
      </c>
      <c r="F2676">
        <f>IF(INDEX(Transactions!$J:$J,ROW()-8)="",0,INDEX(Transactions!$O:$O,ROW()-8))</f>
      </c>
    </row>
    <row r="2677" spans="1:7">
      <c r="B2677">
        <f>IF(INDEX(Transactions!$J:$J,ROW()-8)="",TODAY(),INDEX(Transactions!$G:$G,ROW()-8))</f>
      </c>
      <c r="F2677">
        <f>IF(INDEX(Transactions!$J:$J,ROW()-8)="",0,INDEX(Transactions!$O:$O,ROW()-8))</f>
      </c>
    </row>
    <row r="2678" spans="1:7">
      <c r="B2678">
        <f>IF(INDEX(Transactions!$J:$J,ROW()-8)="",TODAY(),INDEX(Transactions!$G:$G,ROW()-8))</f>
      </c>
      <c r="F2678">
        <f>IF(INDEX(Transactions!$J:$J,ROW()-8)="",0,INDEX(Transactions!$O:$O,ROW()-8))</f>
      </c>
    </row>
    <row r="2679" spans="1:7">
      <c r="B2679">
        <f>IF(INDEX(Transactions!$J:$J,ROW()-8)="",TODAY(),INDEX(Transactions!$G:$G,ROW()-8))</f>
      </c>
      <c r="F2679">
        <f>IF(INDEX(Transactions!$J:$J,ROW()-8)="",0,INDEX(Transactions!$O:$O,ROW()-8))</f>
      </c>
    </row>
    <row r="2680" spans="1:7">
      <c r="B2680">
        <f>IF(INDEX(Transactions!$J:$J,ROW()-8)="",TODAY(),INDEX(Transactions!$G:$G,ROW()-8))</f>
      </c>
      <c r="F2680">
        <f>IF(INDEX(Transactions!$J:$J,ROW()-8)="",0,INDEX(Transactions!$O:$O,ROW()-8))</f>
      </c>
    </row>
    <row r="2681" spans="1:7">
      <c r="B2681">
        <f>IF(INDEX(Transactions!$J:$J,ROW()-8)="",TODAY(),INDEX(Transactions!$G:$G,ROW()-8))</f>
      </c>
      <c r="F2681">
        <f>IF(INDEX(Transactions!$J:$J,ROW()-8)="",0,INDEX(Transactions!$O:$O,ROW()-8))</f>
      </c>
    </row>
    <row r="2682" spans="1:7">
      <c r="B2682">
        <f>IF(INDEX(Transactions!$J:$J,ROW()-8)="",TODAY(),INDEX(Transactions!$G:$G,ROW()-8))</f>
      </c>
      <c r="F2682">
        <f>IF(INDEX(Transactions!$J:$J,ROW()-8)="",0,INDEX(Transactions!$O:$O,ROW()-8))</f>
      </c>
    </row>
    <row r="2683" spans="1:7">
      <c r="B2683">
        <f>IF(INDEX(Transactions!$J:$J,ROW()-8)="",TODAY(),INDEX(Transactions!$G:$G,ROW()-8))</f>
      </c>
      <c r="F2683">
        <f>IF(INDEX(Transactions!$J:$J,ROW()-8)="",0,INDEX(Transactions!$O:$O,ROW()-8))</f>
      </c>
    </row>
    <row r="2684" spans="1:7">
      <c r="B2684">
        <f>IF(INDEX(Transactions!$J:$J,ROW()-8)="",TODAY(),INDEX(Transactions!$G:$G,ROW()-8))</f>
      </c>
      <c r="F2684">
        <f>IF(INDEX(Transactions!$J:$J,ROW()-8)="",0,INDEX(Transactions!$O:$O,ROW()-8))</f>
      </c>
    </row>
    <row r="2685" spans="1:7">
      <c r="B2685">
        <f>IF(INDEX(Transactions!$J:$J,ROW()-8)="",TODAY(),INDEX(Transactions!$G:$G,ROW()-8))</f>
      </c>
      <c r="F2685">
        <f>IF(INDEX(Transactions!$J:$J,ROW()-8)="",0,INDEX(Transactions!$O:$O,ROW()-8))</f>
      </c>
    </row>
    <row r="2686" spans="1:7">
      <c r="B2686">
        <f>IF(INDEX(Transactions!$J:$J,ROW()-8)="",TODAY(),INDEX(Transactions!$G:$G,ROW()-8))</f>
      </c>
      <c r="F2686">
        <f>IF(INDEX(Transactions!$J:$J,ROW()-8)="",0,INDEX(Transactions!$O:$O,ROW()-8))</f>
      </c>
    </row>
    <row r="2687" spans="1:7">
      <c r="B2687">
        <f>IF(INDEX(Transactions!$J:$J,ROW()-8)="",TODAY(),INDEX(Transactions!$G:$G,ROW()-8))</f>
      </c>
      <c r="F2687">
        <f>IF(INDEX(Transactions!$J:$J,ROW()-8)="",0,INDEX(Transactions!$O:$O,ROW()-8))</f>
      </c>
    </row>
    <row r="2688" spans="1:7">
      <c r="B2688">
        <f>IF(INDEX(Transactions!$J:$J,ROW()-8)="",TODAY(),INDEX(Transactions!$G:$G,ROW()-8))</f>
      </c>
      <c r="F2688">
        <f>IF(INDEX(Transactions!$J:$J,ROW()-8)="",0,INDEX(Transactions!$O:$O,ROW()-8))</f>
      </c>
    </row>
    <row r="2689" spans="1:7">
      <c r="B2689">
        <f>IF(INDEX(Transactions!$J:$J,ROW()-8)="",TODAY(),INDEX(Transactions!$G:$G,ROW()-8))</f>
      </c>
      <c r="F2689">
        <f>IF(INDEX(Transactions!$J:$J,ROW()-8)="",0,INDEX(Transactions!$O:$O,ROW()-8))</f>
      </c>
    </row>
    <row r="2690" spans="1:7">
      <c r="B2690">
        <f>IF(INDEX(Transactions!$J:$J,ROW()-8)="",TODAY(),INDEX(Transactions!$G:$G,ROW()-8))</f>
      </c>
      <c r="F2690">
        <f>IF(INDEX(Transactions!$J:$J,ROW()-8)="",0,INDEX(Transactions!$O:$O,ROW()-8))</f>
      </c>
    </row>
    <row r="2691" spans="1:7">
      <c r="B2691">
        <f>IF(INDEX(Transactions!$J:$J,ROW()-8)="",TODAY(),INDEX(Transactions!$G:$G,ROW()-8))</f>
      </c>
      <c r="F2691">
        <f>IF(INDEX(Transactions!$J:$J,ROW()-8)="",0,INDEX(Transactions!$O:$O,ROW()-8))</f>
      </c>
    </row>
    <row r="2692" spans="1:7">
      <c r="B2692">
        <f>IF(INDEX(Transactions!$J:$J,ROW()-8)="",TODAY(),INDEX(Transactions!$G:$G,ROW()-8))</f>
      </c>
      <c r="F2692">
        <f>IF(INDEX(Transactions!$J:$J,ROW()-8)="",0,INDEX(Transactions!$O:$O,ROW()-8))</f>
      </c>
    </row>
    <row r="2693" spans="1:7">
      <c r="B2693">
        <f>IF(INDEX(Transactions!$J:$J,ROW()-8)="",TODAY(),INDEX(Transactions!$G:$G,ROW()-8))</f>
      </c>
      <c r="F2693">
        <f>IF(INDEX(Transactions!$J:$J,ROW()-8)="",0,INDEX(Transactions!$O:$O,ROW()-8))</f>
      </c>
    </row>
    <row r="2694" spans="1:7">
      <c r="B2694">
        <f>IF(INDEX(Transactions!$J:$J,ROW()-8)="",TODAY(),INDEX(Transactions!$G:$G,ROW()-8))</f>
      </c>
      <c r="F2694">
        <f>IF(INDEX(Transactions!$J:$J,ROW()-8)="",0,INDEX(Transactions!$O:$O,ROW()-8))</f>
      </c>
    </row>
    <row r="2695" spans="1:7">
      <c r="B2695">
        <f>IF(INDEX(Transactions!$J:$J,ROW()-8)="",TODAY(),INDEX(Transactions!$G:$G,ROW()-8))</f>
      </c>
      <c r="F2695">
        <f>IF(INDEX(Transactions!$J:$J,ROW()-8)="",0,INDEX(Transactions!$O:$O,ROW()-8))</f>
      </c>
    </row>
    <row r="2696" spans="1:7">
      <c r="B2696">
        <f>IF(INDEX(Transactions!$J:$J,ROW()-8)="",TODAY(),INDEX(Transactions!$G:$G,ROW()-8))</f>
      </c>
      <c r="F2696">
        <f>IF(INDEX(Transactions!$J:$J,ROW()-8)="",0,INDEX(Transactions!$O:$O,ROW()-8))</f>
      </c>
    </row>
    <row r="2697" spans="1:7">
      <c r="B2697">
        <f>IF(INDEX(Transactions!$J:$J,ROW()-8)="",TODAY(),INDEX(Transactions!$G:$G,ROW()-8))</f>
      </c>
      <c r="F2697">
        <f>IF(INDEX(Transactions!$J:$J,ROW()-8)="",0,INDEX(Transactions!$O:$O,ROW()-8))</f>
      </c>
    </row>
    <row r="2698" spans="1:7">
      <c r="B2698">
        <f>IF(INDEX(Transactions!$J:$J,ROW()-8)="",TODAY(),INDEX(Transactions!$G:$G,ROW()-8))</f>
      </c>
      <c r="F2698">
        <f>IF(INDEX(Transactions!$J:$J,ROW()-8)="",0,INDEX(Transactions!$O:$O,ROW()-8))</f>
      </c>
    </row>
    <row r="2699" spans="1:7">
      <c r="B2699">
        <f>IF(INDEX(Transactions!$J:$J,ROW()-8)="",TODAY(),INDEX(Transactions!$G:$G,ROW()-8))</f>
      </c>
      <c r="F2699">
        <f>IF(INDEX(Transactions!$J:$J,ROW()-8)="",0,INDEX(Transactions!$O:$O,ROW()-8))</f>
      </c>
    </row>
    <row r="2700" spans="1:7">
      <c r="B2700">
        <f>IF(INDEX(Transactions!$J:$J,ROW()-8)="",TODAY(),INDEX(Transactions!$G:$G,ROW()-8))</f>
      </c>
      <c r="F2700">
        <f>IF(INDEX(Transactions!$J:$J,ROW()-8)="",0,INDEX(Transactions!$O:$O,ROW()-8))</f>
      </c>
    </row>
    <row r="2701" spans="1:7">
      <c r="B2701">
        <f>IF(INDEX(Transactions!$J:$J,ROW()-8)="",TODAY(),INDEX(Transactions!$G:$G,ROW()-8))</f>
      </c>
      <c r="F2701">
        <f>IF(INDEX(Transactions!$J:$J,ROW()-8)="",0,INDEX(Transactions!$O:$O,ROW()-8))</f>
      </c>
    </row>
    <row r="2702" spans="1:7">
      <c r="B2702">
        <f>IF(INDEX(Transactions!$J:$J,ROW()-8)="",TODAY(),INDEX(Transactions!$G:$G,ROW()-8))</f>
      </c>
      <c r="F2702">
        <f>IF(INDEX(Transactions!$J:$J,ROW()-8)="",0,INDEX(Transactions!$O:$O,ROW()-8))</f>
      </c>
    </row>
    <row r="2703" spans="1:7">
      <c r="B2703">
        <f>IF(INDEX(Transactions!$J:$J,ROW()-8)="",TODAY(),INDEX(Transactions!$G:$G,ROW()-8))</f>
      </c>
      <c r="F2703">
        <f>IF(INDEX(Transactions!$J:$J,ROW()-8)="",0,INDEX(Transactions!$O:$O,ROW()-8))</f>
      </c>
    </row>
    <row r="2704" spans="1:7">
      <c r="B2704">
        <f>IF(INDEX(Transactions!$J:$J,ROW()-8)="",TODAY(),INDEX(Transactions!$G:$G,ROW()-8))</f>
      </c>
      <c r="F2704">
        <f>IF(INDEX(Transactions!$J:$J,ROW()-8)="",0,INDEX(Transactions!$O:$O,ROW()-8))</f>
      </c>
    </row>
    <row r="2705" spans="1:7">
      <c r="B2705">
        <f>IF(INDEX(Transactions!$J:$J,ROW()-8)="",TODAY(),INDEX(Transactions!$G:$G,ROW()-8))</f>
      </c>
      <c r="F2705">
        <f>IF(INDEX(Transactions!$J:$J,ROW()-8)="",0,INDEX(Transactions!$O:$O,ROW()-8))</f>
      </c>
    </row>
    <row r="2706" spans="1:7">
      <c r="B2706">
        <f>IF(INDEX(Transactions!$J:$J,ROW()-8)="",TODAY(),INDEX(Transactions!$G:$G,ROW()-8))</f>
      </c>
      <c r="F2706">
        <f>IF(INDEX(Transactions!$J:$J,ROW()-8)="",0,INDEX(Transactions!$O:$O,ROW()-8))</f>
      </c>
    </row>
    <row r="2707" spans="1:7">
      <c r="B2707">
        <f>IF(INDEX(Transactions!$J:$J,ROW()-8)="",TODAY(),INDEX(Transactions!$G:$G,ROW()-8))</f>
      </c>
      <c r="F2707">
        <f>IF(INDEX(Transactions!$J:$J,ROW()-8)="",0,INDEX(Transactions!$O:$O,ROW()-8))</f>
      </c>
    </row>
    <row r="2708" spans="1:7">
      <c r="B2708">
        <f>IF(INDEX(Transactions!$J:$J,ROW()-8)="",TODAY(),INDEX(Transactions!$G:$G,ROW()-8))</f>
      </c>
      <c r="F2708">
        <f>IF(INDEX(Transactions!$J:$J,ROW()-8)="",0,INDEX(Transactions!$O:$O,ROW()-8))</f>
      </c>
    </row>
    <row r="2709" spans="1:7">
      <c r="B2709">
        <f>IF(INDEX(Transactions!$J:$J,ROW()-8)="",TODAY(),INDEX(Transactions!$G:$G,ROW()-8))</f>
      </c>
      <c r="F2709">
        <f>IF(INDEX(Transactions!$J:$J,ROW()-8)="",0,INDEX(Transactions!$O:$O,ROW()-8))</f>
      </c>
    </row>
    <row r="2710" spans="1:7">
      <c r="B2710">
        <f>IF(INDEX(Transactions!$J:$J,ROW()-8)="",TODAY(),INDEX(Transactions!$G:$G,ROW()-8))</f>
      </c>
      <c r="F2710">
        <f>IF(INDEX(Transactions!$J:$J,ROW()-8)="",0,INDEX(Transactions!$O:$O,ROW()-8))</f>
      </c>
    </row>
    <row r="2711" spans="1:7">
      <c r="B2711">
        <f>IF(INDEX(Transactions!$J:$J,ROW()-8)="",TODAY(),INDEX(Transactions!$G:$G,ROW()-8))</f>
      </c>
      <c r="F2711">
        <f>IF(INDEX(Transactions!$J:$J,ROW()-8)="",0,INDEX(Transactions!$O:$O,ROW()-8))</f>
      </c>
    </row>
    <row r="2712" spans="1:7">
      <c r="B2712">
        <f>IF(INDEX(Transactions!$J:$J,ROW()-8)="",TODAY(),INDEX(Transactions!$G:$G,ROW()-8))</f>
      </c>
      <c r="F2712">
        <f>IF(INDEX(Transactions!$J:$J,ROW()-8)="",0,INDEX(Transactions!$O:$O,ROW()-8))</f>
      </c>
    </row>
    <row r="2713" spans="1:7">
      <c r="B2713">
        <f>IF(INDEX(Transactions!$J:$J,ROW()-8)="",TODAY(),INDEX(Transactions!$G:$G,ROW()-8))</f>
      </c>
      <c r="F2713">
        <f>IF(INDEX(Transactions!$J:$J,ROW()-8)="",0,INDEX(Transactions!$O:$O,ROW()-8))</f>
      </c>
    </row>
    <row r="2714" spans="1:7">
      <c r="B2714">
        <f>IF(INDEX(Transactions!$J:$J,ROW()-8)="",TODAY(),INDEX(Transactions!$G:$G,ROW()-8))</f>
      </c>
      <c r="F2714">
        <f>IF(INDEX(Transactions!$J:$J,ROW()-8)="",0,INDEX(Transactions!$O:$O,ROW()-8))</f>
      </c>
    </row>
    <row r="2715" spans="1:7">
      <c r="B2715">
        <f>IF(INDEX(Transactions!$J:$J,ROW()-8)="",TODAY(),INDEX(Transactions!$G:$G,ROW()-8))</f>
      </c>
      <c r="F2715">
        <f>IF(INDEX(Transactions!$J:$J,ROW()-8)="",0,INDEX(Transactions!$O:$O,ROW()-8))</f>
      </c>
    </row>
    <row r="2716" spans="1:7">
      <c r="B2716">
        <f>IF(INDEX(Transactions!$J:$J,ROW()-8)="",TODAY(),INDEX(Transactions!$G:$G,ROW()-8))</f>
      </c>
      <c r="F2716">
        <f>IF(INDEX(Transactions!$J:$J,ROW()-8)="",0,INDEX(Transactions!$O:$O,ROW()-8))</f>
      </c>
    </row>
    <row r="2717" spans="1:7">
      <c r="B2717">
        <f>IF(INDEX(Transactions!$J:$J,ROW()-8)="",TODAY(),INDEX(Transactions!$G:$G,ROW()-8))</f>
      </c>
      <c r="F2717">
        <f>IF(INDEX(Transactions!$J:$J,ROW()-8)="",0,INDEX(Transactions!$O:$O,ROW()-8))</f>
      </c>
    </row>
    <row r="2718" spans="1:7">
      <c r="B2718">
        <f>IF(INDEX(Transactions!$J:$J,ROW()-8)="",TODAY(),INDEX(Transactions!$G:$G,ROW()-8))</f>
      </c>
      <c r="F2718">
        <f>IF(INDEX(Transactions!$J:$J,ROW()-8)="",0,INDEX(Transactions!$O:$O,ROW()-8))</f>
      </c>
    </row>
    <row r="2719" spans="1:7">
      <c r="B2719">
        <f>IF(INDEX(Transactions!$J:$J,ROW()-8)="",TODAY(),INDEX(Transactions!$G:$G,ROW()-8))</f>
      </c>
      <c r="F2719">
        <f>IF(INDEX(Transactions!$J:$J,ROW()-8)="",0,INDEX(Transactions!$O:$O,ROW()-8))</f>
      </c>
    </row>
    <row r="2720" spans="1:7">
      <c r="B2720">
        <f>IF(INDEX(Transactions!$J:$J,ROW()-8)="",TODAY(),INDEX(Transactions!$G:$G,ROW()-8))</f>
      </c>
      <c r="F2720">
        <f>IF(INDEX(Transactions!$J:$J,ROW()-8)="",0,INDEX(Transactions!$O:$O,ROW()-8))</f>
      </c>
    </row>
    <row r="2721" spans="1:7">
      <c r="B2721">
        <f>IF(INDEX(Transactions!$J:$J,ROW()-8)="",TODAY(),INDEX(Transactions!$G:$G,ROW()-8))</f>
      </c>
      <c r="F2721">
        <f>IF(INDEX(Transactions!$J:$J,ROW()-8)="",0,INDEX(Transactions!$O:$O,ROW()-8))</f>
      </c>
    </row>
    <row r="2722" spans="1:7">
      <c r="B2722">
        <f>IF(INDEX(Transactions!$J:$J,ROW()-8)="",TODAY(),INDEX(Transactions!$G:$G,ROW()-8))</f>
      </c>
      <c r="F2722">
        <f>IF(INDEX(Transactions!$J:$J,ROW()-8)="",0,INDEX(Transactions!$O:$O,ROW()-8))</f>
      </c>
    </row>
    <row r="2723" spans="1:7">
      <c r="B2723">
        <f>IF(INDEX(Transactions!$J:$J,ROW()-8)="",TODAY(),INDEX(Transactions!$G:$G,ROW()-8))</f>
      </c>
      <c r="F2723">
        <f>IF(INDEX(Transactions!$J:$J,ROW()-8)="",0,INDEX(Transactions!$O:$O,ROW()-8))</f>
      </c>
    </row>
    <row r="2724" spans="1:7">
      <c r="B2724">
        <f>IF(INDEX(Transactions!$J:$J,ROW()-8)="",TODAY(),INDEX(Transactions!$G:$G,ROW()-8))</f>
      </c>
      <c r="F2724">
        <f>IF(INDEX(Transactions!$J:$J,ROW()-8)="",0,INDEX(Transactions!$O:$O,ROW()-8))</f>
      </c>
    </row>
    <row r="2725" spans="1:7">
      <c r="B2725">
        <f>IF(INDEX(Transactions!$J:$J,ROW()-8)="",TODAY(),INDEX(Transactions!$G:$G,ROW()-8))</f>
      </c>
      <c r="F2725">
        <f>IF(INDEX(Transactions!$J:$J,ROW()-8)="",0,INDEX(Transactions!$O:$O,ROW()-8))</f>
      </c>
    </row>
    <row r="2726" spans="1:7">
      <c r="B2726">
        <f>IF(INDEX(Transactions!$J:$J,ROW()-8)="",TODAY(),INDEX(Transactions!$G:$G,ROW()-8))</f>
      </c>
      <c r="F2726">
        <f>IF(INDEX(Transactions!$J:$J,ROW()-8)="",0,INDEX(Transactions!$O:$O,ROW()-8))</f>
      </c>
    </row>
    <row r="2727" spans="1:7">
      <c r="B2727">
        <f>IF(INDEX(Transactions!$J:$J,ROW()-8)="",TODAY(),INDEX(Transactions!$G:$G,ROW()-8))</f>
      </c>
      <c r="F2727">
        <f>IF(INDEX(Transactions!$J:$J,ROW()-8)="",0,INDEX(Transactions!$O:$O,ROW()-8))</f>
      </c>
    </row>
    <row r="2728" spans="1:7">
      <c r="B2728">
        <f>IF(INDEX(Transactions!$J:$J,ROW()-8)="",TODAY(),INDEX(Transactions!$G:$G,ROW()-8))</f>
      </c>
      <c r="F2728">
        <f>IF(INDEX(Transactions!$J:$J,ROW()-8)="",0,INDEX(Transactions!$O:$O,ROW()-8))</f>
      </c>
    </row>
    <row r="2729" spans="1:7">
      <c r="B2729">
        <f>IF(INDEX(Transactions!$J:$J,ROW()-8)="",TODAY(),INDEX(Transactions!$G:$G,ROW()-8))</f>
      </c>
      <c r="F2729">
        <f>IF(INDEX(Transactions!$J:$J,ROW()-8)="",0,INDEX(Transactions!$O:$O,ROW()-8))</f>
      </c>
    </row>
    <row r="2730" spans="1:7">
      <c r="B2730">
        <f>IF(INDEX(Transactions!$J:$J,ROW()-8)="",TODAY(),INDEX(Transactions!$G:$G,ROW()-8))</f>
      </c>
      <c r="F2730">
        <f>IF(INDEX(Transactions!$J:$J,ROW()-8)="",0,INDEX(Transactions!$O:$O,ROW()-8))</f>
      </c>
    </row>
    <row r="2731" spans="1:7">
      <c r="B2731">
        <f>IF(INDEX(Transactions!$J:$J,ROW()-8)="",TODAY(),INDEX(Transactions!$G:$G,ROW()-8))</f>
      </c>
      <c r="F2731">
        <f>IF(INDEX(Transactions!$J:$J,ROW()-8)="",0,INDEX(Transactions!$O:$O,ROW()-8))</f>
      </c>
    </row>
    <row r="2732" spans="1:7">
      <c r="B2732">
        <f>IF(INDEX(Transactions!$J:$J,ROW()-8)="",TODAY(),INDEX(Transactions!$G:$G,ROW()-8))</f>
      </c>
      <c r="F2732">
        <f>IF(INDEX(Transactions!$J:$J,ROW()-8)="",0,INDEX(Transactions!$O:$O,ROW()-8))</f>
      </c>
    </row>
    <row r="2733" spans="1:7">
      <c r="B2733">
        <f>IF(INDEX(Transactions!$J:$J,ROW()-8)="",TODAY(),INDEX(Transactions!$G:$G,ROW()-8))</f>
      </c>
      <c r="F2733">
        <f>IF(INDEX(Transactions!$J:$J,ROW()-8)="",0,INDEX(Transactions!$O:$O,ROW()-8))</f>
      </c>
    </row>
    <row r="2734" spans="1:7">
      <c r="B2734">
        <f>IF(INDEX(Transactions!$J:$J,ROW()-8)="",TODAY(),INDEX(Transactions!$G:$G,ROW()-8))</f>
      </c>
      <c r="F2734">
        <f>IF(INDEX(Transactions!$J:$J,ROW()-8)="",0,INDEX(Transactions!$O:$O,ROW()-8))</f>
      </c>
    </row>
    <row r="2735" spans="1:7">
      <c r="B2735">
        <f>IF(INDEX(Transactions!$J:$J,ROW()-8)="",TODAY(),INDEX(Transactions!$G:$G,ROW()-8))</f>
      </c>
      <c r="F2735">
        <f>IF(INDEX(Transactions!$J:$J,ROW()-8)="",0,INDEX(Transactions!$O:$O,ROW()-8))</f>
      </c>
    </row>
    <row r="2736" spans="1:7">
      <c r="B2736">
        <f>IF(INDEX(Transactions!$J:$J,ROW()-8)="",TODAY(),INDEX(Transactions!$G:$G,ROW()-8))</f>
      </c>
      <c r="F2736">
        <f>IF(INDEX(Transactions!$J:$J,ROW()-8)="",0,INDEX(Transactions!$O:$O,ROW()-8))</f>
      </c>
    </row>
    <row r="2737" spans="1:7">
      <c r="B2737">
        <f>IF(INDEX(Transactions!$J:$J,ROW()-8)="",TODAY(),INDEX(Transactions!$G:$G,ROW()-8))</f>
      </c>
      <c r="F2737">
        <f>IF(INDEX(Transactions!$J:$J,ROW()-8)="",0,INDEX(Transactions!$O:$O,ROW()-8))</f>
      </c>
    </row>
    <row r="2738" spans="1:7">
      <c r="B2738">
        <f>IF(INDEX(Transactions!$J:$J,ROW()-8)="",TODAY(),INDEX(Transactions!$G:$G,ROW()-8))</f>
      </c>
      <c r="F2738">
        <f>IF(INDEX(Transactions!$J:$J,ROW()-8)="",0,INDEX(Transactions!$O:$O,ROW()-8))</f>
      </c>
    </row>
    <row r="2739" spans="1:7">
      <c r="B2739">
        <f>IF(INDEX(Transactions!$J:$J,ROW()-8)="",TODAY(),INDEX(Transactions!$G:$G,ROW()-8))</f>
      </c>
      <c r="F2739">
        <f>IF(INDEX(Transactions!$J:$J,ROW()-8)="",0,INDEX(Transactions!$O:$O,ROW()-8))</f>
      </c>
    </row>
    <row r="2740" spans="1:7">
      <c r="B2740">
        <f>IF(INDEX(Transactions!$J:$J,ROW()-8)="",TODAY(),INDEX(Transactions!$G:$G,ROW()-8))</f>
      </c>
      <c r="F2740">
        <f>IF(INDEX(Transactions!$J:$J,ROW()-8)="",0,INDEX(Transactions!$O:$O,ROW()-8))</f>
      </c>
    </row>
    <row r="2741" spans="1:7">
      <c r="B2741">
        <f>IF(INDEX(Transactions!$J:$J,ROW()-8)="",TODAY(),INDEX(Transactions!$G:$G,ROW()-8))</f>
      </c>
      <c r="F2741">
        <f>IF(INDEX(Transactions!$J:$J,ROW()-8)="",0,INDEX(Transactions!$O:$O,ROW()-8))</f>
      </c>
    </row>
    <row r="2742" spans="1:7">
      <c r="B2742">
        <f>IF(INDEX(Transactions!$J:$J,ROW()-8)="",TODAY(),INDEX(Transactions!$G:$G,ROW()-8))</f>
      </c>
      <c r="F2742">
        <f>IF(INDEX(Transactions!$J:$J,ROW()-8)="",0,INDEX(Transactions!$O:$O,ROW()-8))</f>
      </c>
    </row>
    <row r="2743" spans="1:7">
      <c r="B2743">
        <f>IF(INDEX(Transactions!$J:$J,ROW()-8)="",TODAY(),INDEX(Transactions!$G:$G,ROW()-8))</f>
      </c>
      <c r="F2743">
        <f>IF(INDEX(Transactions!$J:$J,ROW()-8)="",0,INDEX(Transactions!$O:$O,ROW()-8))</f>
      </c>
    </row>
    <row r="2744" spans="1:7">
      <c r="B2744">
        <f>IF(INDEX(Transactions!$J:$J,ROW()-8)="",TODAY(),INDEX(Transactions!$G:$G,ROW()-8))</f>
      </c>
      <c r="F2744">
        <f>IF(INDEX(Transactions!$J:$J,ROW()-8)="",0,INDEX(Transactions!$O:$O,ROW()-8))</f>
      </c>
    </row>
    <row r="2745" spans="1:7">
      <c r="B2745">
        <f>IF(INDEX(Transactions!$J:$J,ROW()-8)="",TODAY(),INDEX(Transactions!$G:$G,ROW()-8))</f>
      </c>
      <c r="F2745">
        <f>IF(INDEX(Transactions!$J:$J,ROW()-8)="",0,INDEX(Transactions!$O:$O,ROW()-8))</f>
      </c>
    </row>
    <row r="2746" spans="1:7">
      <c r="B2746">
        <f>IF(INDEX(Transactions!$J:$J,ROW()-8)="",TODAY(),INDEX(Transactions!$G:$G,ROW()-8))</f>
      </c>
      <c r="F2746">
        <f>IF(INDEX(Transactions!$J:$J,ROW()-8)="",0,INDEX(Transactions!$O:$O,ROW()-8))</f>
      </c>
    </row>
    <row r="2747" spans="1:7">
      <c r="B2747">
        <f>IF(INDEX(Transactions!$J:$J,ROW()-8)="",TODAY(),INDEX(Transactions!$G:$G,ROW()-8))</f>
      </c>
      <c r="F2747">
        <f>IF(INDEX(Transactions!$J:$J,ROW()-8)="",0,INDEX(Transactions!$O:$O,ROW()-8))</f>
      </c>
    </row>
    <row r="2748" spans="1:7">
      <c r="B2748">
        <f>IF(INDEX(Transactions!$J:$J,ROW()-8)="",TODAY(),INDEX(Transactions!$G:$G,ROW()-8))</f>
      </c>
      <c r="F2748">
        <f>IF(INDEX(Transactions!$J:$J,ROW()-8)="",0,INDEX(Transactions!$O:$O,ROW()-8))</f>
      </c>
    </row>
    <row r="2749" spans="1:7">
      <c r="B2749">
        <f>IF(INDEX(Transactions!$J:$J,ROW()-8)="",TODAY(),INDEX(Transactions!$G:$G,ROW()-8))</f>
      </c>
      <c r="F2749">
        <f>IF(INDEX(Transactions!$J:$J,ROW()-8)="",0,INDEX(Transactions!$O:$O,ROW()-8))</f>
      </c>
    </row>
    <row r="2750" spans="1:7">
      <c r="B2750">
        <f>IF(INDEX(Transactions!$J:$J,ROW()-8)="",TODAY(),INDEX(Transactions!$G:$G,ROW()-8))</f>
      </c>
      <c r="F2750">
        <f>IF(INDEX(Transactions!$J:$J,ROW()-8)="",0,INDEX(Transactions!$O:$O,ROW()-8))</f>
      </c>
    </row>
    <row r="2751" spans="1:7">
      <c r="B2751">
        <f>IF(INDEX(Transactions!$J:$J,ROW()-8)="",TODAY(),INDEX(Transactions!$G:$G,ROW()-8))</f>
      </c>
      <c r="F2751">
        <f>IF(INDEX(Transactions!$J:$J,ROW()-8)="",0,INDEX(Transactions!$O:$O,ROW()-8))</f>
      </c>
    </row>
    <row r="2752" spans="1:7">
      <c r="B2752">
        <f>IF(INDEX(Transactions!$J:$J,ROW()-8)="",TODAY(),INDEX(Transactions!$G:$G,ROW()-8))</f>
      </c>
      <c r="F2752">
        <f>IF(INDEX(Transactions!$J:$J,ROW()-8)="",0,INDEX(Transactions!$O:$O,ROW()-8))</f>
      </c>
    </row>
    <row r="2753" spans="1:7">
      <c r="B2753">
        <f>IF(INDEX(Transactions!$J:$J,ROW()-8)="",TODAY(),INDEX(Transactions!$G:$G,ROW()-8))</f>
      </c>
      <c r="F2753">
        <f>IF(INDEX(Transactions!$J:$J,ROW()-8)="",0,INDEX(Transactions!$O:$O,ROW()-8))</f>
      </c>
    </row>
    <row r="2754" spans="1:7">
      <c r="B2754">
        <f>IF(INDEX(Transactions!$J:$J,ROW()-8)="",TODAY(),INDEX(Transactions!$G:$G,ROW()-8))</f>
      </c>
      <c r="F2754">
        <f>IF(INDEX(Transactions!$J:$J,ROW()-8)="",0,INDEX(Transactions!$O:$O,ROW()-8))</f>
      </c>
    </row>
    <row r="2755" spans="1:7">
      <c r="B2755">
        <f>IF(INDEX(Transactions!$J:$J,ROW()-8)="",TODAY(),INDEX(Transactions!$G:$G,ROW()-8))</f>
      </c>
      <c r="F2755">
        <f>IF(INDEX(Transactions!$J:$J,ROW()-8)="",0,INDEX(Transactions!$O:$O,ROW()-8))</f>
      </c>
    </row>
    <row r="2756" spans="1:7">
      <c r="B2756">
        <f>IF(INDEX(Transactions!$J:$J,ROW()-8)="",TODAY(),INDEX(Transactions!$G:$G,ROW()-8))</f>
      </c>
      <c r="F2756">
        <f>IF(INDEX(Transactions!$J:$J,ROW()-8)="",0,INDEX(Transactions!$O:$O,ROW()-8))</f>
      </c>
    </row>
    <row r="2757" spans="1:7">
      <c r="B2757">
        <f>IF(INDEX(Transactions!$J:$J,ROW()-8)="",TODAY(),INDEX(Transactions!$G:$G,ROW()-8))</f>
      </c>
      <c r="F2757">
        <f>IF(INDEX(Transactions!$J:$J,ROW()-8)="",0,INDEX(Transactions!$O:$O,ROW()-8))</f>
      </c>
    </row>
    <row r="2758" spans="1:7">
      <c r="B2758">
        <f>IF(INDEX(Transactions!$J:$J,ROW()-8)="",TODAY(),INDEX(Transactions!$G:$G,ROW()-8))</f>
      </c>
      <c r="F2758">
        <f>IF(INDEX(Transactions!$J:$J,ROW()-8)="",0,INDEX(Transactions!$O:$O,ROW()-8))</f>
      </c>
    </row>
    <row r="2759" spans="1:7">
      <c r="B2759">
        <f>IF(INDEX(Transactions!$J:$J,ROW()-8)="",TODAY(),INDEX(Transactions!$G:$G,ROW()-8))</f>
      </c>
      <c r="F2759">
        <f>IF(INDEX(Transactions!$J:$J,ROW()-8)="",0,INDEX(Transactions!$O:$O,ROW()-8))</f>
      </c>
    </row>
    <row r="2760" spans="1:7">
      <c r="B2760">
        <f>IF(INDEX(Transactions!$J:$J,ROW()-8)="",TODAY(),INDEX(Transactions!$G:$G,ROW()-8))</f>
      </c>
      <c r="F2760">
        <f>IF(INDEX(Transactions!$J:$J,ROW()-8)="",0,INDEX(Transactions!$O:$O,ROW()-8))</f>
      </c>
    </row>
    <row r="2761" spans="1:7">
      <c r="B2761">
        <f>IF(INDEX(Transactions!$J:$J,ROW()-8)="",TODAY(),INDEX(Transactions!$G:$G,ROW()-8))</f>
      </c>
      <c r="F2761">
        <f>IF(INDEX(Transactions!$J:$J,ROW()-8)="",0,INDEX(Transactions!$O:$O,ROW()-8))</f>
      </c>
    </row>
    <row r="2762" spans="1:7">
      <c r="B2762">
        <f>IF(INDEX(Transactions!$J:$J,ROW()-8)="",TODAY(),INDEX(Transactions!$G:$G,ROW()-8))</f>
      </c>
      <c r="F2762">
        <f>IF(INDEX(Transactions!$J:$J,ROW()-8)="",0,INDEX(Transactions!$O:$O,ROW()-8))</f>
      </c>
    </row>
    <row r="2763" spans="1:7">
      <c r="B2763">
        <f>IF(INDEX(Transactions!$J:$J,ROW()-8)="",TODAY(),INDEX(Transactions!$G:$G,ROW()-8))</f>
      </c>
      <c r="F2763">
        <f>IF(INDEX(Transactions!$J:$J,ROW()-8)="",0,INDEX(Transactions!$O:$O,ROW()-8))</f>
      </c>
    </row>
    <row r="2764" spans="1:7">
      <c r="B2764">
        <f>IF(INDEX(Transactions!$J:$J,ROW()-8)="",TODAY(),INDEX(Transactions!$G:$G,ROW()-8))</f>
      </c>
      <c r="F2764">
        <f>IF(INDEX(Transactions!$J:$J,ROW()-8)="",0,INDEX(Transactions!$O:$O,ROW()-8))</f>
      </c>
    </row>
    <row r="2765" spans="1:7">
      <c r="B2765">
        <f>IF(INDEX(Transactions!$J:$J,ROW()-8)="",TODAY(),INDEX(Transactions!$G:$G,ROW()-8))</f>
      </c>
      <c r="F2765">
        <f>IF(INDEX(Transactions!$J:$J,ROW()-8)="",0,INDEX(Transactions!$O:$O,ROW()-8))</f>
      </c>
    </row>
    <row r="2766" spans="1:7">
      <c r="B2766">
        <f>IF(INDEX(Transactions!$J:$J,ROW()-8)="",TODAY(),INDEX(Transactions!$G:$G,ROW()-8))</f>
      </c>
      <c r="F2766">
        <f>IF(INDEX(Transactions!$J:$J,ROW()-8)="",0,INDEX(Transactions!$O:$O,ROW()-8))</f>
      </c>
    </row>
    <row r="2767" spans="1:7">
      <c r="B2767">
        <f>IF(INDEX(Transactions!$J:$J,ROW()-8)="",TODAY(),INDEX(Transactions!$G:$G,ROW()-8))</f>
      </c>
      <c r="F2767">
        <f>IF(INDEX(Transactions!$J:$J,ROW()-8)="",0,INDEX(Transactions!$O:$O,ROW()-8))</f>
      </c>
    </row>
    <row r="2768" spans="1:7">
      <c r="B2768">
        <f>IF(INDEX(Transactions!$J:$J,ROW()-8)="",TODAY(),INDEX(Transactions!$G:$G,ROW()-8))</f>
      </c>
      <c r="F2768">
        <f>IF(INDEX(Transactions!$J:$J,ROW()-8)="",0,INDEX(Transactions!$O:$O,ROW()-8))</f>
      </c>
    </row>
    <row r="2769" spans="1:7">
      <c r="B2769">
        <f>IF(INDEX(Transactions!$J:$J,ROW()-8)="",TODAY(),INDEX(Transactions!$G:$G,ROW()-8))</f>
      </c>
      <c r="F2769">
        <f>IF(INDEX(Transactions!$J:$J,ROW()-8)="",0,INDEX(Transactions!$O:$O,ROW()-8))</f>
      </c>
    </row>
    <row r="2770" spans="1:7">
      <c r="B2770">
        <f>IF(INDEX(Transactions!$J:$J,ROW()-8)="",TODAY(),INDEX(Transactions!$G:$G,ROW()-8))</f>
      </c>
      <c r="F2770">
        <f>IF(INDEX(Transactions!$J:$J,ROW()-8)="",0,INDEX(Transactions!$O:$O,ROW()-8))</f>
      </c>
    </row>
    <row r="2771" spans="1:7">
      <c r="B2771">
        <f>IF(INDEX(Transactions!$J:$J,ROW()-8)="",TODAY(),INDEX(Transactions!$G:$G,ROW()-8))</f>
      </c>
      <c r="F2771">
        <f>IF(INDEX(Transactions!$J:$J,ROW()-8)="",0,INDEX(Transactions!$O:$O,ROW()-8))</f>
      </c>
    </row>
    <row r="2772" spans="1:7">
      <c r="B2772">
        <f>IF(INDEX(Transactions!$J:$J,ROW()-8)="",TODAY(),INDEX(Transactions!$G:$G,ROW()-8))</f>
      </c>
      <c r="F2772">
        <f>IF(INDEX(Transactions!$J:$J,ROW()-8)="",0,INDEX(Transactions!$O:$O,ROW()-8))</f>
      </c>
    </row>
    <row r="2773" spans="1:7">
      <c r="B2773">
        <f>IF(INDEX(Transactions!$J:$J,ROW()-8)="",TODAY(),INDEX(Transactions!$G:$G,ROW()-8))</f>
      </c>
      <c r="F2773">
        <f>IF(INDEX(Transactions!$J:$J,ROW()-8)="",0,INDEX(Transactions!$O:$O,ROW()-8))</f>
      </c>
    </row>
    <row r="2774" spans="1:7">
      <c r="B2774">
        <f>IF(INDEX(Transactions!$J:$J,ROW()-8)="",TODAY(),INDEX(Transactions!$G:$G,ROW()-8))</f>
      </c>
      <c r="F2774">
        <f>IF(INDEX(Transactions!$J:$J,ROW()-8)="",0,INDEX(Transactions!$O:$O,ROW()-8))</f>
      </c>
    </row>
    <row r="2775" spans="1:7">
      <c r="B2775">
        <f>IF(INDEX(Transactions!$J:$J,ROW()-8)="",TODAY(),INDEX(Transactions!$G:$G,ROW()-8))</f>
      </c>
      <c r="F2775">
        <f>IF(INDEX(Transactions!$J:$J,ROW()-8)="",0,INDEX(Transactions!$O:$O,ROW()-8))</f>
      </c>
    </row>
    <row r="2776" spans="1:7">
      <c r="B2776">
        <f>IF(INDEX(Transactions!$J:$J,ROW()-8)="",TODAY(),INDEX(Transactions!$G:$G,ROW()-8))</f>
      </c>
      <c r="F2776">
        <f>IF(INDEX(Transactions!$J:$J,ROW()-8)="",0,INDEX(Transactions!$O:$O,ROW()-8))</f>
      </c>
    </row>
    <row r="2777" spans="1:7">
      <c r="B2777">
        <f>IF(INDEX(Transactions!$J:$J,ROW()-8)="",TODAY(),INDEX(Transactions!$G:$G,ROW()-8))</f>
      </c>
      <c r="F2777">
        <f>IF(INDEX(Transactions!$J:$J,ROW()-8)="",0,INDEX(Transactions!$O:$O,ROW()-8))</f>
      </c>
    </row>
    <row r="2778" spans="1:7">
      <c r="B2778">
        <f>IF(INDEX(Transactions!$J:$J,ROW()-8)="",TODAY(),INDEX(Transactions!$G:$G,ROW()-8))</f>
      </c>
      <c r="F2778">
        <f>IF(INDEX(Transactions!$J:$J,ROW()-8)="",0,INDEX(Transactions!$O:$O,ROW()-8))</f>
      </c>
    </row>
    <row r="2779" spans="1:7">
      <c r="B2779">
        <f>IF(INDEX(Transactions!$J:$J,ROW()-8)="",TODAY(),INDEX(Transactions!$G:$G,ROW()-8))</f>
      </c>
      <c r="F2779">
        <f>IF(INDEX(Transactions!$J:$J,ROW()-8)="",0,INDEX(Transactions!$O:$O,ROW()-8))</f>
      </c>
    </row>
    <row r="2780" spans="1:7">
      <c r="B2780">
        <f>IF(INDEX(Transactions!$J:$J,ROW()-8)="",TODAY(),INDEX(Transactions!$G:$G,ROW()-8))</f>
      </c>
      <c r="F2780">
        <f>IF(INDEX(Transactions!$J:$J,ROW()-8)="",0,INDEX(Transactions!$O:$O,ROW()-8))</f>
      </c>
    </row>
    <row r="2781" spans="1:7">
      <c r="B2781">
        <f>IF(INDEX(Transactions!$J:$J,ROW()-8)="",TODAY(),INDEX(Transactions!$G:$G,ROW()-8))</f>
      </c>
      <c r="F2781">
        <f>IF(INDEX(Transactions!$J:$J,ROW()-8)="",0,INDEX(Transactions!$O:$O,ROW()-8))</f>
      </c>
    </row>
    <row r="2782" spans="1:7">
      <c r="B2782">
        <f>IF(INDEX(Transactions!$J:$J,ROW()-8)="",TODAY(),INDEX(Transactions!$G:$G,ROW()-8))</f>
      </c>
      <c r="F2782">
        <f>IF(INDEX(Transactions!$J:$J,ROW()-8)="",0,INDEX(Transactions!$O:$O,ROW()-8))</f>
      </c>
    </row>
    <row r="2783" spans="1:7">
      <c r="B2783">
        <f>IF(INDEX(Transactions!$J:$J,ROW()-8)="",TODAY(),INDEX(Transactions!$G:$G,ROW()-8))</f>
      </c>
      <c r="F2783">
        <f>IF(INDEX(Transactions!$J:$J,ROW()-8)="",0,INDEX(Transactions!$O:$O,ROW()-8))</f>
      </c>
    </row>
    <row r="2784" spans="1:7">
      <c r="B2784">
        <f>IF(INDEX(Transactions!$J:$J,ROW()-8)="",TODAY(),INDEX(Transactions!$G:$G,ROW()-8))</f>
      </c>
      <c r="F2784">
        <f>IF(INDEX(Transactions!$J:$J,ROW()-8)="",0,INDEX(Transactions!$O:$O,ROW()-8))</f>
      </c>
    </row>
    <row r="2785" spans="1:7">
      <c r="B2785">
        <f>IF(INDEX(Transactions!$J:$J,ROW()-8)="",TODAY(),INDEX(Transactions!$G:$G,ROW()-8))</f>
      </c>
      <c r="F2785">
        <f>IF(INDEX(Transactions!$J:$J,ROW()-8)="",0,INDEX(Transactions!$O:$O,ROW()-8))</f>
      </c>
    </row>
    <row r="2786" spans="1:7">
      <c r="B2786">
        <f>IF(INDEX(Transactions!$J:$J,ROW()-8)="",TODAY(),INDEX(Transactions!$G:$G,ROW()-8))</f>
      </c>
      <c r="F2786">
        <f>IF(INDEX(Transactions!$J:$J,ROW()-8)="",0,INDEX(Transactions!$O:$O,ROW()-8))</f>
      </c>
    </row>
    <row r="2787" spans="1:7">
      <c r="B2787">
        <f>IF(INDEX(Transactions!$J:$J,ROW()-8)="",TODAY(),INDEX(Transactions!$G:$G,ROW()-8))</f>
      </c>
      <c r="F2787">
        <f>IF(INDEX(Transactions!$J:$J,ROW()-8)="",0,INDEX(Transactions!$O:$O,ROW()-8))</f>
      </c>
    </row>
    <row r="2788" spans="1:7">
      <c r="B2788">
        <f>IF(INDEX(Transactions!$J:$J,ROW()-8)="",TODAY(),INDEX(Transactions!$G:$G,ROW()-8))</f>
      </c>
      <c r="F2788">
        <f>IF(INDEX(Transactions!$J:$J,ROW()-8)="",0,INDEX(Transactions!$O:$O,ROW()-8))</f>
      </c>
    </row>
    <row r="2789" spans="1:7">
      <c r="B2789">
        <f>IF(INDEX(Transactions!$J:$J,ROW()-8)="",TODAY(),INDEX(Transactions!$G:$G,ROW()-8))</f>
      </c>
      <c r="F2789">
        <f>IF(INDEX(Transactions!$J:$J,ROW()-8)="",0,INDEX(Transactions!$O:$O,ROW()-8))</f>
      </c>
    </row>
    <row r="2790" spans="1:7">
      <c r="B2790">
        <f>IF(INDEX(Transactions!$J:$J,ROW()-8)="",TODAY(),INDEX(Transactions!$G:$G,ROW()-8))</f>
      </c>
      <c r="F2790">
        <f>IF(INDEX(Transactions!$J:$J,ROW()-8)="",0,INDEX(Transactions!$O:$O,ROW()-8))</f>
      </c>
    </row>
    <row r="2791" spans="1:7">
      <c r="B2791">
        <f>IF(INDEX(Transactions!$J:$J,ROW()-8)="",TODAY(),INDEX(Transactions!$G:$G,ROW()-8))</f>
      </c>
      <c r="F2791">
        <f>IF(INDEX(Transactions!$J:$J,ROW()-8)="",0,INDEX(Transactions!$O:$O,ROW()-8))</f>
      </c>
    </row>
    <row r="2792" spans="1:7">
      <c r="B2792">
        <f>IF(INDEX(Transactions!$J:$J,ROW()-8)="",TODAY(),INDEX(Transactions!$G:$G,ROW()-8))</f>
      </c>
      <c r="F2792">
        <f>IF(INDEX(Transactions!$J:$J,ROW()-8)="",0,INDEX(Transactions!$O:$O,ROW()-8))</f>
      </c>
    </row>
    <row r="2793" spans="1:7">
      <c r="B2793">
        <f>IF(INDEX(Transactions!$J:$J,ROW()-8)="",TODAY(),INDEX(Transactions!$G:$G,ROW()-8))</f>
      </c>
      <c r="F2793">
        <f>IF(INDEX(Transactions!$J:$J,ROW()-8)="",0,INDEX(Transactions!$O:$O,ROW()-8))</f>
      </c>
    </row>
    <row r="2794" spans="1:7">
      <c r="B2794">
        <f>IF(INDEX(Transactions!$J:$J,ROW()-8)="",TODAY(),INDEX(Transactions!$G:$G,ROW()-8))</f>
      </c>
      <c r="F2794">
        <f>IF(INDEX(Transactions!$J:$J,ROW()-8)="",0,INDEX(Transactions!$O:$O,ROW()-8))</f>
      </c>
    </row>
    <row r="2795" spans="1:7">
      <c r="B2795">
        <f>IF(INDEX(Transactions!$J:$J,ROW()-8)="",TODAY(),INDEX(Transactions!$G:$G,ROW()-8))</f>
      </c>
      <c r="F2795">
        <f>IF(INDEX(Transactions!$J:$J,ROW()-8)="",0,INDEX(Transactions!$O:$O,ROW()-8))</f>
      </c>
    </row>
    <row r="2796" spans="1:7">
      <c r="B2796">
        <f>IF(INDEX(Transactions!$J:$J,ROW()-8)="",TODAY(),INDEX(Transactions!$G:$G,ROW()-8))</f>
      </c>
      <c r="F2796">
        <f>IF(INDEX(Transactions!$J:$J,ROW()-8)="",0,INDEX(Transactions!$O:$O,ROW()-8))</f>
      </c>
    </row>
    <row r="2797" spans="1:7">
      <c r="B2797">
        <f>IF(INDEX(Transactions!$J:$J,ROW()-8)="",TODAY(),INDEX(Transactions!$G:$G,ROW()-8))</f>
      </c>
      <c r="F2797">
        <f>IF(INDEX(Transactions!$J:$J,ROW()-8)="",0,INDEX(Transactions!$O:$O,ROW()-8))</f>
      </c>
    </row>
    <row r="2798" spans="1:7">
      <c r="B2798">
        <f>IF(INDEX(Transactions!$J:$J,ROW()-8)="",TODAY(),INDEX(Transactions!$G:$G,ROW()-8))</f>
      </c>
      <c r="F2798">
        <f>IF(INDEX(Transactions!$J:$J,ROW()-8)="",0,INDEX(Transactions!$O:$O,ROW()-8))</f>
      </c>
    </row>
    <row r="2799" spans="1:7">
      <c r="B2799">
        <f>IF(INDEX(Transactions!$J:$J,ROW()-8)="",TODAY(),INDEX(Transactions!$G:$G,ROW()-8))</f>
      </c>
      <c r="F2799">
        <f>IF(INDEX(Transactions!$J:$J,ROW()-8)="",0,INDEX(Transactions!$O:$O,ROW()-8))</f>
      </c>
    </row>
    <row r="2800" spans="1:7">
      <c r="B2800">
        <f>IF(INDEX(Transactions!$J:$J,ROW()-8)="",TODAY(),INDEX(Transactions!$G:$G,ROW()-8))</f>
      </c>
      <c r="F2800">
        <f>IF(INDEX(Transactions!$J:$J,ROW()-8)="",0,INDEX(Transactions!$O:$O,ROW()-8))</f>
      </c>
    </row>
    <row r="2801" spans="1:7">
      <c r="B2801">
        <f>IF(INDEX(Transactions!$J:$J,ROW()-8)="",TODAY(),INDEX(Transactions!$G:$G,ROW()-8))</f>
      </c>
      <c r="F2801">
        <f>IF(INDEX(Transactions!$J:$J,ROW()-8)="",0,INDEX(Transactions!$O:$O,ROW()-8))</f>
      </c>
    </row>
    <row r="2802" spans="1:7">
      <c r="B2802">
        <f>IF(INDEX(Transactions!$J:$J,ROW()-8)="",TODAY(),INDEX(Transactions!$G:$G,ROW()-8))</f>
      </c>
      <c r="F2802">
        <f>IF(INDEX(Transactions!$J:$J,ROW()-8)="",0,INDEX(Transactions!$O:$O,ROW()-8))</f>
      </c>
    </row>
    <row r="2803" spans="1:7">
      <c r="B2803">
        <f>IF(INDEX(Transactions!$J:$J,ROW()-8)="",TODAY(),INDEX(Transactions!$G:$G,ROW()-8))</f>
      </c>
      <c r="F2803">
        <f>IF(INDEX(Transactions!$J:$J,ROW()-8)="",0,INDEX(Transactions!$O:$O,ROW()-8))</f>
      </c>
    </row>
    <row r="2804" spans="1:7">
      <c r="B2804">
        <f>IF(INDEX(Transactions!$J:$J,ROW()-8)="",TODAY(),INDEX(Transactions!$G:$G,ROW()-8))</f>
      </c>
      <c r="F2804">
        <f>IF(INDEX(Transactions!$J:$J,ROW()-8)="",0,INDEX(Transactions!$O:$O,ROW()-8))</f>
      </c>
    </row>
    <row r="2805" spans="1:7">
      <c r="B2805">
        <f>IF(INDEX(Transactions!$J:$J,ROW()-8)="",TODAY(),INDEX(Transactions!$G:$G,ROW()-8))</f>
      </c>
      <c r="F2805">
        <f>IF(INDEX(Transactions!$J:$J,ROW()-8)="",0,INDEX(Transactions!$O:$O,ROW()-8))</f>
      </c>
    </row>
    <row r="2806" spans="1:7">
      <c r="B2806">
        <f>IF(INDEX(Transactions!$J:$J,ROW()-8)="",TODAY(),INDEX(Transactions!$G:$G,ROW()-8))</f>
      </c>
      <c r="F2806">
        <f>IF(INDEX(Transactions!$J:$J,ROW()-8)="",0,INDEX(Transactions!$O:$O,ROW()-8))</f>
      </c>
    </row>
    <row r="2807" spans="1:7">
      <c r="B2807">
        <f>IF(INDEX(Transactions!$J:$J,ROW()-8)="",TODAY(),INDEX(Transactions!$G:$G,ROW()-8))</f>
      </c>
      <c r="F2807">
        <f>IF(INDEX(Transactions!$J:$J,ROW()-8)="",0,INDEX(Transactions!$O:$O,ROW()-8))</f>
      </c>
    </row>
    <row r="2808" spans="1:7">
      <c r="B2808">
        <f>IF(INDEX(Transactions!$J:$J,ROW()-8)="",TODAY(),INDEX(Transactions!$G:$G,ROW()-8))</f>
      </c>
      <c r="F2808">
        <f>IF(INDEX(Transactions!$J:$J,ROW()-8)="",0,INDEX(Transactions!$O:$O,ROW()-8))</f>
      </c>
    </row>
    <row r="2809" spans="1:7">
      <c r="B2809">
        <f>IF(INDEX(Transactions!$J:$J,ROW()-8)="",TODAY(),INDEX(Transactions!$G:$G,ROW()-8))</f>
      </c>
      <c r="F2809">
        <f>IF(INDEX(Transactions!$J:$J,ROW()-8)="",0,INDEX(Transactions!$O:$O,ROW()-8))</f>
      </c>
    </row>
    <row r="2810" spans="1:7">
      <c r="B2810">
        <f>IF(INDEX(Transactions!$J:$J,ROW()-8)="",TODAY(),INDEX(Transactions!$G:$G,ROW()-8))</f>
      </c>
      <c r="F2810">
        <f>IF(INDEX(Transactions!$J:$J,ROW()-8)="",0,INDEX(Transactions!$O:$O,ROW()-8))</f>
      </c>
    </row>
    <row r="2811" spans="1:7">
      <c r="B2811">
        <f>IF(INDEX(Transactions!$J:$J,ROW()-8)="",TODAY(),INDEX(Transactions!$G:$G,ROW()-8))</f>
      </c>
      <c r="F2811">
        <f>IF(INDEX(Transactions!$J:$J,ROW()-8)="",0,INDEX(Transactions!$O:$O,ROW()-8))</f>
      </c>
    </row>
    <row r="2812" spans="1:7">
      <c r="B2812">
        <f>IF(INDEX(Transactions!$J:$J,ROW()-8)="",TODAY(),INDEX(Transactions!$G:$G,ROW()-8))</f>
      </c>
      <c r="F2812">
        <f>IF(INDEX(Transactions!$J:$J,ROW()-8)="",0,INDEX(Transactions!$O:$O,ROW()-8))</f>
      </c>
    </row>
    <row r="2813" spans="1:7">
      <c r="B2813">
        <f>IF(INDEX(Transactions!$J:$J,ROW()-8)="",TODAY(),INDEX(Transactions!$G:$G,ROW()-8))</f>
      </c>
      <c r="F2813">
        <f>IF(INDEX(Transactions!$J:$J,ROW()-8)="",0,INDEX(Transactions!$O:$O,ROW()-8))</f>
      </c>
    </row>
    <row r="2814" spans="1:7">
      <c r="B2814">
        <f>IF(INDEX(Transactions!$J:$J,ROW()-8)="",TODAY(),INDEX(Transactions!$G:$G,ROW()-8))</f>
      </c>
      <c r="F2814">
        <f>IF(INDEX(Transactions!$J:$J,ROW()-8)="",0,INDEX(Transactions!$O:$O,ROW()-8))</f>
      </c>
    </row>
    <row r="2815" spans="1:7">
      <c r="B2815">
        <f>IF(INDEX(Transactions!$J:$J,ROW()-8)="",TODAY(),INDEX(Transactions!$G:$G,ROW()-8))</f>
      </c>
      <c r="F2815">
        <f>IF(INDEX(Transactions!$J:$J,ROW()-8)="",0,INDEX(Transactions!$O:$O,ROW()-8))</f>
      </c>
    </row>
    <row r="2816" spans="1:7">
      <c r="B2816">
        <f>IF(INDEX(Transactions!$J:$J,ROW()-8)="",TODAY(),INDEX(Transactions!$G:$G,ROW()-8))</f>
      </c>
      <c r="F2816">
        <f>IF(INDEX(Transactions!$J:$J,ROW()-8)="",0,INDEX(Transactions!$O:$O,ROW()-8))</f>
      </c>
    </row>
    <row r="2817" spans="1:7">
      <c r="B2817">
        <f>IF(INDEX(Transactions!$J:$J,ROW()-8)="",TODAY(),INDEX(Transactions!$G:$G,ROW()-8))</f>
      </c>
      <c r="F2817">
        <f>IF(INDEX(Transactions!$J:$J,ROW()-8)="",0,INDEX(Transactions!$O:$O,ROW()-8))</f>
      </c>
    </row>
    <row r="2818" spans="1:7">
      <c r="B2818">
        <f>IF(INDEX(Transactions!$J:$J,ROW()-8)="",TODAY(),INDEX(Transactions!$G:$G,ROW()-8))</f>
      </c>
      <c r="F2818">
        <f>IF(INDEX(Transactions!$J:$J,ROW()-8)="",0,INDEX(Transactions!$O:$O,ROW()-8))</f>
      </c>
    </row>
    <row r="2819" spans="1:7">
      <c r="B2819">
        <f>IF(INDEX(Transactions!$J:$J,ROW()-8)="",TODAY(),INDEX(Transactions!$G:$G,ROW()-8))</f>
      </c>
      <c r="F2819">
        <f>IF(INDEX(Transactions!$J:$J,ROW()-8)="",0,INDEX(Transactions!$O:$O,ROW()-8))</f>
      </c>
    </row>
    <row r="2820" spans="1:7">
      <c r="B2820">
        <f>IF(INDEX(Transactions!$J:$J,ROW()-8)="",TODAY(),INDEX(Transactions!$G:$G,ROW()-8))</f>
      </c>
      <c r="F2820">
        <f>IF(INDEX(Transactions!$J:$J,ROW()-8)="",0,INDEX(Transactions!$O:$O,ROW()-8))</f>
      </c>
    </row>
    <row r="2821" spans="1:7">
      <c r="B2821">
        <f>IF(INDEX(Transactions!$J:$J,ROW()-8)="",TODAY(),INDEX(Transactions!$G:$G,ROW()-8))</f>
      </c>
      <c r="F2821">
        <f>IF(INDEX(Transactions!$J:$J,ROW()-8)="",0,INDEX(Transactions!$O:$O,ROW()-8))</f>
      </c>
    </row>
    <row r="2822" spans="1:7">
      <c r="B2822">
        <f>IF(INDEX(Transactions!$J:$J,ROW()-8)="",TODAY(),INDEX(Transactions!$G:$G,ROW()-8))</f>
      </c>
      <c r="F2822">
        <f>IF(INDEX(Transactions!$J:$J,ROW()-8)="",0,INDEX(Transactions!$O:$O,ROW()-8))</f>
      </c>
    </row>
    <row r="2823" spans="1:7">
      <c r="B2823">
        <f>IF(INDEX(Transactions!$J:$J,ROW()-8)="",TODAY(),INDEX(Transactions!$G:$G,ROW()-8))</f>
      </c>
      <c r="F2823">
        <f>IF(INDEX(Transactions!$J:$J,ROW()-8)="",0,INDEX(Transactions!$O:$O,ROW()-8))</f>
      </c>
    </row>
    <row r="2824" spans="1:7">
      <c r="B2824">
        <f>IF(INDEX(Transactions!$J:$J,ROW()-8)="",TODAY(),INDEX(Transactions!$G:$G,ROW()-8))</f>
      </c>
      <c r="F2824">
        <f>IF(INDEX(Transactions!$J:$J,ROW()-8)="",0,INDEX(Transactions!$O:$O,ROW()-8))</f>
      </c>
    </row>
    <row r="2825" spans="1:7">
      <c r="B2825">
        <f>IF(INDEX(Transactions!$J:$J,ROW()-8)="",TODAY(),INDEX(Transactions!$G:$G,ROW()-8))</f>
      </c>
      <c r="F2825">
        <f>IF(INDEX(Transactions!$J:$J,ROW()-8)="",0,INDEX(Transactions!$O:$O,ROW()-8))</f>
      </c>
    </row>
    <row r="2826" spans="1:7">
      <c r="B2826">
        <f>IF(INDEX(Transactions!$J:$J,ROW()-8)="",TODAY(),INDEX(Transactions!$G:$G,ROW()-8))</f>
      </c>
      <c r="F2826">
        <f>IF(INDEX(Transactions!$J:$J,ROW()-8)="",0,INDEX(Transactions!$O:$O,ROW()-8))</f>
      </c>
    </row>
    <row r="2827" spans="1:7">
      <c r="B2827">
        <f>IF(INDEX(Transactions!$J:$J,ROW()-8)="",TODAY(),INDEX(Transactions!$G:$G,ROW()-8))</f>
      </c>
      <c r="F2827">
        <f>IF(INDEX(Transactions!$J:$J,ROW()-8)="",0,INDEX(Transactions!$O:$O,ROW()-8))</f>
      </c>
    </row>
    <row r="2828" spans="1:7">
      <c r="B2828">
        <f>IF(INDEX(Transactions!$J:$J,ROW()-8)="",TODAY(),INDEX(Transactions!$G:$G,ROW()-8))</f>
      </c>
      <c r="F2828">
        <f>IF(INDEX(Transactions!$J:$J,ROW()-8)="",0,INDEX(Transactions!$O:$O,ROW()-8))</f>
      </c>
    </row>
    <row r="2829" spans="1:7">
      <c r="B2829">
        <f>IF(INDEX(Transactions!$J:$J,ROW()-8)="",TODAY(),INDEX(Transactions!$G:$G,ROW()-8))</f>
      </c>
      <c r="F2829">
        <f>IF(INDEX(Transactions!$J:$J,ROW()-8)="",0,INDEX(Transactions!$O:$O,ROW()-8))</f>
      </c>
    </row>
    <row r="2830" spans="1:7">
      <c r="B2830">
        <f>IF(INDEX(Transactions!$J:$J,ROW()-8)="",TODAY(),INDEX(Transactions!$G:$G,ROW()-8))</f>
      </c>
      <c r="F2830">
        <f>IF(INDEX(Transactions!$J:$J,ROW()-8)="",0,INDEX(Transactions!$O:$O,ROW()-8))</f>
      </c>
    </row>
    <row r="2831" spans="1:7">
      <c r="B2831">
        <f>IF(INDEX(Transactions!$J:$J,ROW()-8)="",TODAY(),INDEX(Transactions!$G:$G,ROW()-8))</f>
      </c>
      <c r="F2831">
        <f>IF(INDEX(Transactions!$J:$J,ROW()-8)="",0,INDEX(Transactions!$O:$O,ROW()-8))</f>
      </c>
    </row>
    <row r="2832" spans="1:7">
      <c r="B2832">
        <f>IF(INDEX(Transactions!$J:$J,ROW()-8)="",TODAY(),INDEX(Transactions!$G:$G,ROW()-8))</f>
      </c>
      <c r="F2832">
        <f>IF(INDEX(Transactions!$J:$J,ROW()-8)="",0,INDEX(Transactions!$O:$O,ROW()-8))</f>
      </c>
    </row>
    <row r="2833" spans="1:7">
      <c r="B2833">
        <f>IF(INDEX(Transactions!$J:$J,ROW()-8)="",TODAY(),INDEX(Transactions!$G:$G,ROW()-8))</f>
      </c>
      <c r="F2833">
        <f>IF(INDEX(Transactions!$J:$J,ROW()-8)="",0,INDEX(Transactions!$O:$O,ROW()-8))</f>
      </c>
    </row>
    <row r="2834" spans="1:7">
      <c r="B2834">
        <f>IF(INDEX(Transactions!$J:$J,ROW()-8)="",TODAY(),INDEX(Transactions!$G:$G,ROW()-8))</f>
      </c>
      <c r="F2834">
        <f>IF(INDEX(Transactions!$J:$J,ROW()-8)="",0,INDEX(Transactions!$O:$O,ROW()-8))</f>
      </c>
    </row>
    <row r="2835" spans="1:7">
      <c r="B2835">
        <f>IF(INDEX(Transactions!$J:$J,ROW()-8)="",TODAY(),INDEX(Transactions!$G:$G,ROW()-8))</f>
      </c>
      <c r="F2835">
        <f>IF(INDEX(Transactions!$J:$J,ROW()-8)="",0,INDEX(Transactions!$O:$O,ROW()-8))</f>
      </c>
    </row>
    <row r="2836" spans="1:7">
      <c r="B2836">
        <f>IF(INDEX(Transactions!$J:$J,ROW()-8)="",TODAY(),INDEX(Transactions!$G:$G,ROW()-8))</f>
      </c>
      <c r="F2836">
        <f>IF(INDEX(Transactions!$J:$J,ROW()-8)="",0,INDEX(Transactions!$O:$O,ROW()-8))</f>
      </c>
    </row>
    <row r="2837" spans="1:7">
      <c r="B2837">
        <f>IF(INDEX(Transactions!$J:$J,ROW()-8)="",TODAY(),INDEX(Transactions!$G:$G,ROW()-8))</f>
      </c>
      <c r="F2837">
        <f>IF(INDEX(Transactions!$J:$J,ROW()-8)="",0,INDEX(Transactions!$O:$O,ROW()-8))</f>
      </c>
    </row>
    <row r="2838" spans="1:7">
      <c r="B2838">
        <f>IF(INDEX(Transactions!$J:$J,ROW()-8)="",TODAY(),INDEX(Transactions!$G:$G,ROW()-8))</f>
      </c>
      <c r="F2838">
        <f>IF(INDEX(Transactions!$J:$J,ROW()-8)="",0,INDEX(Transactions!$O:$O,ROW()-8))</f>
      </c>
    </row>
    <row r="2839" spans="1:7">
      <c r="B2839">
        <f>IF(INDEX(Transactions!$J:$J,ROW()-8)="",TODAY(),INDEX(Transactions!$G:$G,ROW()-8))</f>
      </c>
      <c r="F2839">
        <f>IF(INDEX(Transactions!$J:$J,ROW()-8)="",0,INDEX(Transactions!$O:$O,ROW()-8))</f>
      </c>
    </row>
    <row r="2840" spans="1:7">
      <c r="B2840">
        <f>IF(INDEX(Transactions!$J:$J,ROW()-8)="",TODAY(),INDEX(Transactions!$G:$G,ROW()-8))</f>
      </c>
      <c r="F2840">
        <f>IF(INDEX(Transactions!$J:$J,ROW()-8)="",0,INDEX(Transactions!$O:$O,ROW()-8))</f>
      </c>
    </row>
    <row r="2841" spans="1:7">
      <c r="B2841">
        <f>IF(INDEX(Transactions!$J:$J,ROW()-8)="",TODAY(),INDEX(Transactions!$G:$G,ROW()-8))</f>
      </c>
      <c r="F2841">
        <f>IF(INDEX(Transactions!$J:$J,ROW()-8)="",0,INDEX(Transactions!$O:$O,ROW()-8))</f>
      </c>
    </row>
    <row r="2842" spans="1:7">
      <c r="B2842">
        <f>IF(INDEX(Transactions!$J:$J,ROW()-8)="",TODAY(),INDEX(Transactions!$G:$G,ROW()-8))</f>
      </c>
      <c r="F2842">
        <f>IF(INDEX(Transactions!$J:$J,ROW()-8)="",0,INDEX(Transactions!$O:$O,ROW()-8))</f>
      </c>
    </row>
    <row r="2843" spans="1:7">
      <c r="B2843">
        <f>IF(INDEX(Transactions!$J:$J,ROW()-8)="",TODAY(),INDEX(Transactions!$G:$G,ROW()-8))</f>
      </c>
      <c r="F2843">
        <f>IF(INDEX(Transactions!$J:$J,ROW()-8)="",0,INDEX(Transactions!$O:$O,ROW()-8))</f>
      </c>
    </row>
    <row r="2844" spans="1:7">
      <c r="B2844">
        <f>IF(INDEX(Transactions!$J:$J,ROW()-8)="",TODAY(),INDEX(Transactions!$G:$G,ROW()-8))</f>
      </c>
      <c r="F2844">
        <f>IF(INDEX(Transactions!$J:$J,ROW()-8)="",0,INDEX(Transactions!$O:$O,ROW()-8))</f>
      </c>
    </row>
    <row r="2845" spans="1:7">
      <c r="B2845">
        <f>IF(INDEX(Transactions!$J:$J,ROW()-8)="",TODAY(),INDEX(Transactions!$G:$G,ROW()-8))</f>
      </c>
      <c r="F2845">
        <f>IF(INDEX(Transactions!$J:$J,ROW()-8)="",0,INDEX(Transactions!$O:$O,ROW()-8))</f>
      </c>
    </row>
    <row r="2846" spans="1:7">
      <c r="B2846">
        <f>IF(INDEX(Transactions!$J:$J,ROW()-8)="",TODAY(),INDEX(Transactions!$G:$G,ROW()-8))</f>
      </c>
      <c r="F2846">
        <f>IF(INDEX(Transactions!$J:$J,ROW()-8)="",0,INDEX(Transactions!$O:$O,ROW()-8))</f>
      </c>
    </row>
    <row r="2847" spans="1:7">
      <c r="B2847">
        <f>IF(INDEX(Transactions!$J:$J,ROW()-8)="",TODAY(),INDEX(Transactions!$G:$G,ROW()-8))</f>
      </c>
      <c r="F2847">
        <f>IF(INDEX(Transactions!$J:$J,ROW()-8)="",0,INDEX(Transactions!$O:$O,ROW()-8))</f>
      </c>
    </row>
    <row r="2848" spans="1:7">
      <c r="B2848">
        <f>IF(INDEX(Transactions!$J:$J,ROW()-8)="",TODAY(),INDEX(Transactions!$G:$G,ROW()-8))</f>
      </c>
      <c r="F2848">
        <f>IF(INDEX(Transactions!$J:$J,ROW()-8)="",0,INDEX(Transactions!$O:$O,ROW()-8))</f>
      </c>
    </row>
    <row r="2849" spans="1:7">
      <c r="B2849">
        <f>IF(INDEX(Transactions!$J:$J,ROW()-8)="",TODAY(),INDEX(Transactions!$G:$G,ROW()-8))</f>
      </c>
      <c r="F2849">
        <f>IF(INDEX(Transactions!$J:$J,ROW()-8)="",0,INDEX(Transactions!$O:$O,ROW()-8))</f>
      </c>
    </row>
    <row r="2850" spans="1:7">
      <c r="B2850">
        <f>IF(INDEX(Transactions!$J:$J,ROW()-8)="",TODAY(),INDEX(Transactions!$G:$G,ROW()-8))</f>
      </c>
      <c r="F2850">
        <f>IF(INDEX(Transactions!$J:$J,ROW()-8)="",0,INDEX(Transactions!$O:$O,ROW()-8))</f>
      </c>
    </row>
    <row r="2851" spans="1:7">
      <c r="B2851">
        <f>IF(INDEX(Transactions!$J:$J,ROW()-8)="",TODAY(),INDEX(Transactions!$G:$G,ROW()-8))</f>
      </c>
      <c r="F2851">
        <f>IF(INDEX(Transactions!$J:$J,ROW()-8)="",0,INDEX(Transactions!$O:$O,ROW()-8))</f>
      </c>
    </row>
    <row r="2852" spans="1:7">
      <c r="B2852">
        <f>IF(INDEX(Transactions!$J:$J,ROW()-8)="",TODAY(),INDEX(Transactions!$G:$G,ROW()-8))</f>
      </c>
      <c r="F2852">
        <f>IF(INDEX(Transactions!$J:$J,ROW()-8)="",0,INDEX(Transactions!$O:$O,ROW()-8))</f>
      </c>
    </row>
    <row r="2853" spans="1:7">
      <c r="B2853">
        <f>IF(INDEX(Transactions!$J:$J,ROW()-8)="",TODAY(),INDEX(Transactions!$G:$G,ROW()-8))</f>
      </c>
      <c r="F2853">
        <f>IF(INDEX(Transactions!$J:$J,ROW()-8)="",0,INDEX(Transactions!$O:$O,ROW()-8))</f>
      </c>
    </row>
    <row r="2854" spans="1:7">
      <c r="B2854">
        <f>IF(INDEX(Transactions!$J:$J,ROW()-8)="",TODAY(),INDEX(Transactions!$G:$G,ROW()-8))</f>
      </c>
      <c r="F2854">
        <f>IF(INDEX(Transactions!$J:$J,ROW()-8)="",0,INDEX(Transactions!$O:$O,ROW()-8))</f>
      </c>
    </row>
    <row r="2855" spans="1:7">
      <c r="B2855">
        <f>IF(INDEX(Transactions!$J:$J,ROW()-8)="",TODAY(),INDEX(Transactions!$G:$G,ROW()-8))</f>
      </c>
      <c r="F2855">
        <f>IF(INDEX(Transactions!$J:$J,ROW()-8)="",0,INDEX(Transactions!$O:$O,ROW()-8))</f>
      </c>
    </row>
    <row r="2856" spans="1:7">
      <c r="B2856">
        <f>IF(INDEX(Transactions!$J:$J,ROW()-8)="",TODAY(),INDEX(Transactions!$G:$G,ROW()-8))</f>
      </c>
      <c r="F2856">
        <f>IF(INDEX(Transactions!$J:$J,ROW()-8)="",0,INDEX(Transactions!$O:$O,ROW()-8))</f>
      </c>
    </row>
    <row r="2857" spans="1:7">
      <c r="B2857">
        <f>IF(INDEX(Transactions!$J:$J,ROW()-8)="",TODAY(),INDEX(Transactions!$G:$G,ROW()-8))</f>
      </c>
      <c r="F2857">
        <f>IF(INDEX(Transactions!$J:$J,ROW()-8)="",0,INDEX(Transactions!$O:$O,ROW()-8))</f>
      </c>
    </row>
    <row r="2858" spans="1:7">
      <c r="B2858">
        <f>IF(INDEX(Transactions!$J:$J,ROW()-8)="",TODAY(),INDEX(Transactions!$G:$G,ROW()-8))</f>
      </c>
      <c r="F2858">
        <f>IF(INDEX(Transactions!$J:$J,ROW()-8)="",0,INDEX(Transactions!$O:$O,ROW()-8))</f>
      </c>
    </row>
    <row r="2859" spans="1:7">
      <c r="B2859">
        <f>IF(INDEX(Transactions!$J:$J,ROW()-8)="",TODAY(),INDEX(Transactions!$G:$G,ROW()-8))</f>
      </c>
      <c r="F2859">
        <f>IF(INDEX(Transactions!$J:$J,ROW()-8)="",0,INDEX(Transactions!$O:$O,ROW()-8))</f>
      </c>
    </row>
    <row r="2860" spans="1:7">
      <c r="B2860">
        <f>IF(INDEX(Transactions!$J:$J,ROW()-8)="",TODAY(),INDEX(Transactions!$G:$G,ROW()-8))</f>
      </c>
      <c r="F2860">
        <f>IF(INDEX(Transactions!$J:$J,ROW()-8)="",0,INDEX(Transactions!$O:$O,ROW()-8))</f>
      </c>
    </row>
    <row r="2861" spans="1:7">
      <c r="B2861">
        <f>IF(INDEX(Transactions!$J:$J,ROW()-8)="",TODAY(),INDEX(Transactions!$G:$G,ROW()-8))</f>
      </c>
      <c r="F2861">
        <f>IF(INDEX(Transactions!$J:$J,ROW()-8)="",0,INDEX(Transactions!$O:$O,ROW()-8))</f>
      </c>
    </row>
    <row r="2862" spans="1:7">
      <c r="B2862">
        <f>IF(INDEX(Transactions!$J:$J,ROW()-8)="",TODAY(),INDEX(Transactions!$G:$G,ROW()-8))</f>
      </c>
      <c r="F2862">
        <f>IF(INDEX(Transactions!$J:$J,ROW()-8)="",0,INDEX(Transactions!$O:$O,ROW()-8))</f>
      </c>
    </row>
    <row r="2863" spans="1:7">
      <c r="B2863">
        <f>IF(INDEX(Transactions!$J:$J,ROW()-8)="",TODAY(),INDEX(Transactions!$G:$G,ROW()-8))</f>
      </c>
      <c r="F2863">
        <f>IF(INDEX(Transactions!$J:$J,ROW()-8)="",0,INDEX(Transactions!$O:$O,ROW()-8))</f>
      </c>
    </row>
    <row r="2864" spans="1:7">
      <c r="B2864">
        <f>IF(INDEX(Transactions!$J:$J,ROW()-8)="",TODAY(),INDEX(Transactions!$G:$G,ROW()-8))</f>
      </c>
      <c r="F2864">
        <f>IF(INDEX(Transactions!$J:$J,ROW()-8)="",0,INDEX(Transactions!$O:$O,ROW()-8))</f>
      </c>
    </row>
    <row r="2865" spans="1:7">
      <c r="B2865">
        <f>IF(INDEX(Transactions!$J:$J,ROW()-8)="",TODAY(),INDEX(Transactions!$G:$G,ROW()-8))</f>
      </c>
      <c r="F2865">
        <f>IF(INDEX(Transactions!$J:$J,ROW()-8)="",0,INDEX(Transactions!$O:$O,ROW()-8))</f>
      </c>
    </row>
    <row r="2866" spans="1:7">
      <c r="B2866">
        <f>IF(INDEX(Transactions!$J:$J,ROW()-8)="",TODAY(),INDEX(Transactions!$G:$G,ROW()-8))</f>
      </c>
      <c r="F2866">
        <f>IF(INDEX(Transactions!$J:$J,ROW()-8)="",0,INDEX(Transactions!$O:$O,ROW()-8))</f>
      </c>
    </row>
    <row r="2867" spans="1:7">
      <c r="B2867">
        <f>IF(INDEX(Transactions!$J:$J,ROW()-8)="",TODAY(),INDEX(Transactions!$G:$G,ROW()-8))</f>
      </c>
      <c r="F2867">
        <f>IF(INDEX(Transactions!$J:$J,ROW()-8)="",0,INDEX(Transactions!$O:$O,ROW()-8))</f>
      </c>
    </row>
    <row r="2868" spans="1:7">
      <c r="B2868">
        <f>IF(INDEX(Transactions!$J:$J,ROW()-8)="",TODAY(),INDEX(Transactions!$G:$G,ROW()-8))</f>
      </c>
      <c r="F2868">
        <f>IF(INDEX(Transactions!$J:$J,ROW()-8)="",0,INDEX(Transactions!$O:$O,ROW()-8))</f>
      </c>
    </row>
    <row r="2869" spans="1:7">
      <c r="B2869">
        <f>IF(INDEX(Transactions!$J:$J,ROW()-8)="",TODAY(),INDEX(Transactions!$G:$G,ROW()-8))</f>
      </c>
      <c r="F2869">
        <f>IF(INDEX(Transactions!$J:$J,ROW()-8)="",0,INDEX(Transactions!$O:$O,ROW()-8))</f>
      </c>
    </row>
    <row r="2870" spans="1:7">
      <c r="B2870">
        <f>IF(INDEX(Transactions!$J:$J,ROW()-8)="",TODAY(),INDEX(Transactions!$G:$G,ROW()-8))</f>
      </c>
      <c r="F2870">
        <f>IF(INDEX(Transactions!$J:$J,ROW()-8)="",0,INDEX(Transactions!$O:$O,ROW()-8))</f>
      </c>
    </row>
    <row r="2871" spans="1:7">
      <c r="B2871">
        <f>IF(INDEX(Transactions!$J:$J,ROW()-8)="",TODAY(),INDEX(Transactions!$G:$G,ROW()-8))</f>
      </c>
      <c r="F2871">
        <f>IF(INDEX(Transactions!$J:$J,ROW()-8)="",0,INDEX(Transactions!$O:$O,ROW()-8))</f>
      </c>
    </row>
    <row r="2872" spans="1:7">
      <c r="B2872">
        <f>IF(INDEX(Transactions!$J:$J,ROW()-8)="",TODAY(),INDEX(Transactions!$G:$G,ROW()-8))</f>
      </c>
      <c r="F2872">
        <f>IF(INDEX(Transactions!$J:$J,ROW()-8)="",0,INDEX(Transactions!$O:$O,ROW()-8))</f>
      </c>
    </row>
    <row r="2873" spans="1:7">
      <c r="B2873">
        <f>IF(INDEX(Transactions!$J:$J,ROW()-8)="",TODAY(),INDEX(Transactions!$G:$G,ROW()-8))</f>
      </c>
      <c r="F2873">
        <f>IF(INDEX(Transactions!$J:$J,ROW()-8)="",0,INDEX(Transactions!$O:$O,ROW()-8))</f>
      </c>
    </row>
    <row r="2874" spans="1:7">
      <c r="B2874">
        <f>IF(INDEX(Transactions!$J:$J,ROW()-8)="",TODAY(),INDEX(Transactions!$G:$G,ROW()-8))</f>
      </c>
      <c r="F2874">
        <f>IF(INDEX(Transactions!$J:$J,ROW()-8)="",0,INDEX(Transactions!$O:$O,ROW()-8))</f>
      </c>
    </row>
    <row r="2875" spans="1:7">
      <c r="B2875">
        <f>IF(INDEX(Transactions!$J:$J,ROW()-8)="",TODAY(),INDEX(Transactions!$G:$G,ROW()-8))</f>
      </c>
      <c r="F2875">
        <f>IF(INDEX(Transactions!$J:$J,ROW()-8)="",0,INDEX(Transactions!$O:$O,ROW()-8))</f>
      </c>
    </row>
    <row r="2876" spans="1:7">
      <c r="B2876">
        <f>IF(INDEX(Transactions!$J:$J,ROW()-8)="",TODAY(),INDEX(Transactions!$G:$G,ROW()-8))</f>
      </c>
      <c r="F2876">
        <f>IF(INDEX(Transactions!$J:$J,ROW()-8)="",0,INDEX(Transactions!$O:$O,ROW()-8))</f>
      </c>
    </row>
    <row r="2877" spans="1:7">
      <c r="B2877">
        <f>IF(INDEX(Transactions!$J:$J,ROW()-8)="",TODAY(),INDEX(Transactions!$G:$G,ROW()-8))</f>
      </c>
      <c r="F2877">
        <f>IF(INDEX(Transactions!$J:$J,ROW()-8)="",0,INDEX(Transactions!$O:$O,ROW()-8))</f>
      </c>
    </row>
    <row r="2878" spans="1:7">
      <c r="B2878">
        <f>IF(INDEX(Transactions!$J:$J,ROW()-8)="",TODAY(),INDEX(Transactions!$G:$G,ROW()-8))</f>
      </c>
      <c r="F2878">
        <f>IF(INDEX(Transactions!$J:$J,ROW()-8)="",0,INDEX(Transactions!$O:$O,ROW()-8))</f>
      </c>
    </row>
    <row r="2879" spans="1:7">
      <c r="B2879">
        <f>IF(INDEX(Transactions!$J:$J,ROW()-8)="",TODAY(),INDEX(Transactions!$G:$G,ROW()-8))</f>
      </c>
      <c r="F2879">
        <f>IF(INDEX(Transactions!$J:$J,ROW()-8)="",0,INDEX(Transactions!$O:$O,ROW()-8))</f>
      </c>
    </row>
    <row r="2880" spans="1:7">
      <c r="B2880">
        <f>IF(INDEX(Transactions!$J:$J,ROW()-8)="",TODAY(),INDEX(Transactions!$G:$G,ROW()-8))</f>
      </c>
      <c r="F2880">
        <f>IF(INDEX(Transactions!$J:$J,ROW()-8)="",0,INDEX(Transactions!$O:$O,ROW()-8))</f>
      </c>
    </row>
    <row r="2881" spans="1:7">
      <c r="B2881">
        <f>IF(INDEX(Transactions!$J:$J,ROW()-8)="",TODAY(),INDEX(Transactions!$G:$G,ROW()-8))</f>
      </c>
      <c r="F2881">
        <f>IF(INDEX(Transactions!$J:$J,ROW()-8)="",0,INDEX(Transactions!$O:$O,ROW()-8))</f>
      </c>
    </row>
    <row r="2882" spans="1:7">
      <c r="B2882">
        <f>IF(INDEX(Transactions!$J:$J,ROW()-8)="",TODAY(),INDEX(Transactions!$G:$G,ROW()-8))</f>
      </c>
      <c r="F2882">
        <f>IF(INDEX(Transactions!$J:$J,ROW()-8)="",0,INDEX(Transactions!$O:$O,ROW()-8))</f>
      </c>
    </row>
    <row r="2883" spans="1:7">
      <c r="B2883">
        <f>IF(INDEX(Transactions!$J:$J,ROW()-8)="",TODAY(),INDEX(Transactions!$G:$G,ROW()-8))</f>
      </c>
      <c r="F2883">
        <f>IF(INDEX(Transactions!$J:$J,ROW()-8)="",0,INDEX(Transactions!$O:$O,ROW()-8))</f>
      </c>
    </row>
    <row r="2884" spans="1:7">
      <c r="B2884">
        <f>IF(INDEX(Transactions!$J:$J,ROW()-8)="",TODAY(),INDEX(Transactions!$G:$G,ROW()-8))</f>
      </c>
      <c r="F2884">
        <f>IF(INDEX(Transactions!$J:$J,ROW()-8)="",0,INDEX(Transactions!$O:$O,ROW()-8))</f>
      </c>
    </row>
    <row r="2885" spans="1:7">
      <c r="B2885">
        <f>IF(INDEX(Transactions!$J:$J,ROW()-8)="",TODAY(),INDEX(Transactions!$G:$G,ROW()-8))</f>
      </c>
      <c r="F2885">
        <f>IF(INDEX(Transactions!$J:$J,ROW()-8)="",0,INDEX(Transactions!$O:$O,ROW()-8))</f>
      </c>
    </row>
    <row r="2886" spans="1:7">
      <c r="B2886">
        <f>IF(INDEX(Transactions!$J:$J,ROW()-8)="",TODAY(),INDEX(Transactions!$G:$G,ROW()-8))</f>
      </c>
      <c r="F2886">
        <f>IF(INDEX(Transactions!$J:$J,ROW()-8)="",0,INDEX(Transactions!$O:$O,ROW()-8))</f>
      </c>
    </row>
    <row r="2887" spans="1:7">
      <c r="B2887">
        <f>IF(INDEX(Transactions!$J:$J,ROW()-8)="",TODAY(),INDEX(Transactions!$G:$G,ROW()-8))</f>
      </c>
      <c r="F2887">
        <f>IF(INDEX(Transactions!$J:$J,ROW()-8)="",0,INDEX(Transactions!$O:$O,ROW()-8))</f>
      </c>
    </row>
    <row r="2888" spans="1:7">
      <c r="B2888">
        <f>IF(INDEX(Transactions!$J:$J,ROW()-8)="",TODAY(),INDEX(Transactions!$G:$G,ROW()-8))</f>
      </c>
      <c r="F2888">
        <f>IF(INDEX(Transactions!$J:$J,ROW()-8)="",0,INDEX(Transactions!$O:$O,ROW()-8))</f>
      </c>
    </row>
    <row r="2889" spans="1:7">
      <c r="B2889">
        <f>IF(INDEX(Transactions!$J:$J,ROW()-8)="",TODAY(),INDEX(Transactions!$G:$G,ROW()-8))</f>
      </c>
      <c r="F2889">
        <f>IF(INDEX(Transactions!$J:$J,ROW()-8)="",0,INDEX(Transactions!$O:$O,ROW()-8))</f>
      </c>
    </row>
    <row r="2890" spans="1:7">
      <c r="B2890">
        <f>IF(INDEX(Transactions!$J:$J,ROW()-8)="",TODAY(),INDEX(Transactions!$G:$G,ROW()-8))</f>
      </c>
      <c r="F2890">
        <f>IF(INDEX(Transactions!$J:$J,ROW()-8)="",0,INDEX(Transactions!$O:$O,ROW()-8))</f>
      </c>
    </row>
    <row r="2891" spans="1:7">
      <c r="B2891">
        <f>IF(INDEX(Transactions!$J:$J,ROW()-8)="",TODAY(),INDEX(Transactions!$G:$G,ROW()-8))</f>
      </c>
      <c r="F2891">
        <f>IF(INDEX(Transactions!$J:$J,ROW()-8)="",0,INDEX(Transactions!$O:$O,ROW()-8))</f>
      </c>
    </row>
    <row r="2892" spans="1:7">
      <c r="B2892">
        <f>IF(INDEX(Transactions!$J:$J,ROW()-8)="",TODAY(),INDEX(Transactions!$G:$G,ROW()-8))</f>
      </c>
      <c r="F2892">
        <f>IF(INDEX(Transactions!$J:$J,ROW()-8)="",0,INDEX(Transactions!$O:$O,ROW()-8))</f>
      </c>
    </row>
    <row r="2893" spans="1:7">
      <c r="B2893">
        <f>IF(INDEX(Transactions!$J:$J,ROW()-8)="",TODAY(),INDEX(Transactions!$G:$G,ROW()-8))</f>
      </c>
      <c r="F2893">
        <f>IF(INDEX(Transactions!$J:$J,ROW()-8)="",0,INDEX(Transactions!$O:$O,ROW()-8))</f>
      </c>
    </row>
    <row r="2894" spans="1:7">
      <c r="B2894">
        <f>IF(INDEX(Transactions!$J:$J,ROW()-8)="",TODAY(),INDEX(Transactions!$G:$G,ROW()-8))</f>
      </c>
      <c r="F2894">
        <f>IF(INDEX(Transactions!$J:$J,ROW()-8)="",0,INDEX(Transactions!$O:$O,ROW()-8))</f>
      </c>
    </row>
    <row r="2895" spans="1:7">
      <c r="B2895">
        <f>IF(INDEX(Transactions!$J:$J,ROW()-8)="",TODAY(),INDEX(Transactions!$G:$G,ROW()-8))</f>
      </c>
      <c r="F2895">
        <f>IF(INDEX(Transactions!$J:$J,ROW()-8)="",0,INDEX(Transactions!$O:$O,ROW()-8))</f>
      </c>
    </row>
    <row r="2896" spans="1:7">
      <c r="B2896">
        <f>IF(INDEX(Transactions!$J:$J,ROW()-8)="",TODAY(),INDEX(Transactions!$G:$G,ROW()-8))</f>
      </c>
      <c r="F2896">
        <f>IF(INDEX(Transactions!$J:$J,ROW()-8)="",0,INDEX(Transactions!$O:$O,ROW()-8))</f>
      </c>
    </row>
    <row r="2897" spans="1:7">
      <c r="B2897">
        <f>IF(INDEX(Transactions!$J:$J,ROW()-8)="",TODAY(),INDEX(Transactions!$G:$G,ROW()-8))</f>
      </c>
      <c r="F2897">
        <f>IF(INDEX(Transactions!$J:$J,ROW()-8)="",0,INDEX(Transactions!$O:$O,ROW()-8))</f>
      </c>
    </row>
    <row r="2898" spans="1:7">
      <c r="B2898">
        <f>IF(INDEX(Transactions!$J:$J,ROW()-8)="",TODAY(),INDEX(Transactions!$G:$G,ROW()-8))</f>
      </c>
      <c r="F2898">
        <f>IF(INDEX(Transactions!$J:$J,ROW()-8)="",0,INDEX(Transactions!$O:$O,ROW()-8))</f>
      </c>
    </row>
    <row r="2899" spans="1:7">
      <c r="B2899">
        <f>IF(INDEX(Transactions!$J:$J,ROW()-8)="",TODAY(),INDEX(Transactions!$G:$G,ROW()-8))</f>
      </c>
      <c r="F2899">
        <f>IF(INDEX(Transactions!$J:$J,ROW()-8)="",0,INDEX(Transactions!$O:$O,ROW()-8))</f>
      </c>
    </row>
    <row r="2900" spans="1:7">
      <c r="B2900">
        <f>IF(INDEX(Transactions!$J:$J,ROW()-8)="",TODAY(),INDEX(Transactions!$G:$G,ROW()-8))</f>
      </c>
      <c r="F2900">
        <f>IF(INDEX(Transactions!$J:$J,ROW()-8)="",0,INDEX(Transactions!$O:$O,ROW()-8))</f>
      </c>
    </row>
    <row r="2901" spans="1:7">
      <c r="B2901">
        <f>IF(INDEX(Transactions!$J:$J,ROW()-8)="",TODAY(),INDEX(Transactions!$G:$G,ROW()-8))</f>
      </c>
      <c r="F2901">
        <f>IF(INDEX(Transactions!$J:$J,ROW()-8)="",0,INDEX(Transactions!$O:$O,ROW()-8))</f>
      </c>
    </row>
    <row r="2902" spans="1:7">
      <c r="B2902">
        <f>IF(INDEX(Transactions!$J:$J,ROW()-8)="",TODAY(),INDEX(Transactions!$G:$G,ROW()-8))</f>
      </c>
      <c r="F2902">
        <f>IF(INDEX(Transactions!$J:$J,ROW()-8)="",0,INDEX(Transactions!$O:$O,ROW()-8))</f>
      </c>
    </row>
    <row r="2903" spans="1:7">
      <c r="B2903">
        <f>IF(INDEX(Transactions!$J:$J,ROW()-8)="",TODAY(),INDEX(Transactions!$G:$G,ROW()-8))</f>
      </c>
      <c r="F2903">
        <f>IF(INDEX(Transactions!$J:$J,ROW()-8)="",0,INDEX(Transactions!$O:$O,ROW()-8))</f>
      </c>
    </row>
    <row r="2904" spans="1:7">
      <c r="B2904">
        <f>IF(INDEX(Transactions!$J:$J,ROW()-8)="",TODAY(),INDEX(Transactions!$G:$G,ROW()-8))</f>
      </c>
      <c r="F2904">
        <f>IF(INDEX(Transactions!$J:$J,ROW()-8)="",0,INDEX(Transactions!$O:$O,ROW()-8))</f>
      </c>
    </row>
    <row r="2905" spans="1:7">
      <c r="B2905">
        <f>IF(INDEX(Transactions!$J:$J,ROW()-8)="",TODAY(),INDEX(Transactions!$G:$G,ROW()-8))</f>
      </c>
      <c r="F2905">
        <f>IF(INDEX(Transactions!$J:$J,ROW()-8)="",0,INDEX(Transactions!$O:$O,ROW()-8))</f>
      </c>
    </row>
    <row r="2906" spans="1:7">
      <c r="B2906">
        <f>IF(INDEX(Transactions!$J:$J,ROW()-8)="",TODAY(),INDEX(Transactions!$G:$G,ROW()-8))</f>
      </c>
      <c r="F2906">
        <f>IF(INDEX(Transactions!$J:$J,ROW()-8)="",0,INDEX(Transactions!$O:$O,ROW()-8))</f>
      </c>
    </row>
    <row r="2907" spans="1:7">
      <c r="B2907">
        <f>IF(INDEX(Transactions!$J:$J,ROW()-8)="",TODAY(),INDEX(Transactions!$G:$G,ROW()-8))</f>
      </c>
      <c r="F2907">
        <f>IF(INDEX(Transactions!$J:$J,ROW()-8)="",0,INDEX(Transactions!$O:$O,ROW()-8))</f>
      </c>
    </row>
    <row r="2908" spans="1:7">
      <c r="B2908">
        <f>IF(INDEX(Transactions!$J:$J,ROW()-8)="",TODAY(),INDEX(Transactions!$G:$G,ROW()-8))</f>
      </c>
      <c r="F2908">
        <f>IF(INDEX(Transactions!$J:$J,ROW()-8)="",0,INDEX(Transactions!$O:$O,ROW()-8))</f>
      </c>
    </row>
    <row r="2909" spans="1:7">
      <c r="B2909">
        <f>IF(INDEX(Transactions!$J:$J,ROW()-8)="",TODAY(),INDEX(Transactions!$G:$G,ROW()-8))</f>
      </c>
      <c r="F2909">
        <f>IF(INDEX(Transactions!$J:$J,ROW()-8)="",0,INDEX(Transactions!$O:$O,ROW()-8))</f>
      </c>
    </row>
    <row r="2910" spans="1:7">
      <c r="B2910">
        <f>IF(INDEX(Transactions!$J:$J,ROW()-8)="",TODAY(),INDEX(Transactions!$G:$G,ROW()-8))</f>
      </c>
      <c r="F2910">
        <f>IF(INDEX(Transactions!$J:$J,ROW()-8)="",0,INDEX(Transactions!$O:$O,ROW()-8))</f>
      </c>
    </row>
    <row r="2911" spans="1:7">
      <c r="B2911">
        <f>IF(INDEX(Transactions!$J:$J,ROW()-8)="",TODAY(),INDEX(Transactions!$G:$G,ROW()-8))</f>
      </c>
      <c r="F2911">
        <f>IF(INDEX(Transactions!$J:$J,ROW()-8)="",0,INDEX(Transactions!$O:$O,ROW()-8))</f>
      </c>
    </row>
    <row r="2912" spans="1:7">
      <c r="B2912">
        <f>IF(INDEX(Transactions!$J:$J,ROW()-8)="",TODAY(),INDEX(Transactions!$G:$G,ROW()-8))</f>
      </c>
      <c r="F2912">
        <f>IF(INDEX(Transactions!$J:$J,ROW()-8)="",0,INDEX(Transactions!$O:$O,ROW()-8))</f>
      </c>
    </row>
    <row r="2913" spans="1:7">
      <c r="B2913">
        <f>IF(INDEX(Transactions!$J:$J,ROW()-8)="",TODAY(),INDEX(Transactions!$G:$G,ROW()-8))</f>
      </c>
      <c r="F2913">
        <f>IF(INDEX(Transactions!$J:$J,ROW()-8)="",0,INDEX(Transactions!$O:$O,ROW()-8))</f>
      </c>
    </row>
    <row r="2914" spans="1:7">
      <c r="B2914">
        <f>IF(INDEX(Transactions!$J:$J,ROW()-8)="",TODAY(),INDEX(Transactions!$G:$G,ROW()-8))</f>
      </c>
      <c r="F2914">
        <f>IF(INDEX(Transactions!$J:$J,ROW()-8)="",0,INDEX(Transactions!$O:$O,ROW()-8))</f>
      </c>
    </row>
    <row r="2915" spans="1:7">
      <c r="B2915">
        <f>IF(INDEX(Transactions!$J:$J,ROW()-8)="",TODAY(),INDEX(Transactions!$G:$G,ROW()-8))</f>
      </c>
      <c r="F2915">
        <f>IF(INDEX(Transactions!$J:$J,ROW()-8)="",0,INDEX(Transactions!$O:$O,ROW()-8))</f>
      </c>
    </row>
    <row r="2916" spans="1:7">
      <c r="B2916">
        <f>IF(INDEX(Transactions!$J:$J,ROW()-8)="",TODAY(),INDEX(Transactions!$G:$G,ROW()-8))</f>
      </c>
      <c r="F2916">
        <f>IF(INDEX(Transactions!$J:$J,ROW()-8)="",0,INDEX(Transactions!$O:$O,ROW()-8))</f>
      </c>
    </row>
    <row r="2917" spans="1:7">
      <c r="B2917">
        <f>IF(INDEX(Transactions!$J:$J,ROW()-8)="",TODAY(),INDEX(Transactions!$G:$G,ROW()-8))</f>
      </c>
      <c r="F2917">
        <f>IF(INDEX(Transactions!$J:$J,ROW()-8)="",0,INDEX(Transactions!$O:$O,ROW()-8))</f>
      </c>
    </row>
    <row r="2918" spans="1:7">
      <c r="B2918">
        <f>IF(INDEX(Transactions!$J:$J,ROW()-8)="",TODAY(),INDEX(Transactions!$G:$G,ROW()-8))</f>
      </c>
      <c r="F2918">
        <f>IF(INDEX(Transactions!$J:$J,ROW()-8)="",0,INDEX(Transactions!$O:$O,ROW()-8))</f>
      </c>
    </row>
    <row r="2919" spans="1:7">
      <c r="B2919">
        <f>IF(INDEX(Transactions!$J:$J,ROW()-8)="",TODAY(),INDEX(Transactions!$G:$G,ROW()-8))</f>
      </c>
      <c r="F2919">
        <f>IF(INDEX(Transactions!$J:$J,ROW()-8)="",0,INDEX(Transactions!$O:$O,ROW()-8))</f>
      </c>
    </row>
    <row r="2920" spans="1:7">
      <c r="B2920">
        <f>IF(INDEX(Transactions!$J:$J,ROW()-8)="",TODAY(),INDEX(Transactions!$G:$G,ROW()-8))</f>
      </c>
      <c r="F2920">
        <f>IF(INDEX(Transactions!$J:$J,ROW()-8)="",0,INDEX(Transactions!$O:$O,ROW()-8))</f>
      </c>
    </row>
    <row r="2921" spans="1:7">
      <c r="B2921">
        <f>IF(INDEX(Transactions!$J:$J,ROW()-8)="",TODAY(),INDEX(Transactions!$G:$G,ROW()-8))</f>
      </c>
      <c r="F2921">
        <f>IF(INDEX(Transactions!$J:$J,ROW()-8)="",0,INDEX(Transactions!$O:$O,ROW()-8))</f>
      </c>
    </row>
    <row r="2922" spans="1:7">
      <c r="B2922">
        <f>IF(INDEX(Transactions!$J:$J,ROW()-8)="",TODAY(),INDEX(Transactions!$G:$G,ROW()-8))</f>
      </c>
      <c r="F2922">
        <f>IF(INDEX(Transactions!$J:$J,ROW()-8)="",0,INDEX(Transactions!$O:$O,ROW()-8))</f>
      </c>
    </row>
    <row r="2923" spans="1:7">
      <c r="B2923">
        <f>IF(INDEX(Transactions!$J:$J,ROW()-8)="",TODAY(),INDEX(Transactions!$G:$G,ROW()-8))</f>
      </c>
      <c r="F2923">
        <f>IF(INDEX(Transactions!$J:$J,ROW()-8)="",0,INDEX(Transactions!$O:$O,ROW()-8))</f>
      </c>
    </row>
    <row r="2924" spans="1:7">
      <c r="B2924">
        <f>IF(INDEX(Transactions!$J:$J,ROW()-8)="",TODAY(),INDEX(Transactions!$G:$G,ROW()-8))</f>
      </c>
      <c r="F2924">
        <f>IF(INDEX(Transactions!$J:$J,ROW()-8)="",0,INDEX(Transactions!$O:$O,ROW()-8))</f>
      </c>
    </row>
    <row r="2925" spans="1:7">
      <c r="B2925">
        <f>IF(INDEX(Transactions!$J:$J,ROW()-8)="",TODAY(),INDEX(Transactions!$G:$G,ROW()-8))</f>
      </c>
      <c r="F2925">
        <f>IF(INDEX(Transactions!$J:$J,ROW()-8)="",0,INDEX(Transactions!$O:$O,ROW()-8))</f>
      </c>
    </row>
    <row r="2926" spans="1:7">
      <c r="B2926">
        <f>IF(INDEX(Transactions!$J:$J,ROW()-8)="",TODAY(),INDEX(Transactions!$G:$G,ROW()-8))</f>
      </c>
      <c r="F2926">
        <f>IF(INDEX(Transactions!$J:$J,ROW()-8)="",0,INDEX(Transactions!$O:$O,ROW()-8))</f>
      </c>
    </row>
    <row r="2927" spans="1:7">
      <c r="B2927">
        <f>IF(INDEX(Transactions!$J:$J,ROW()-8)="",TODAY(),INDEX(Transactions!$G:$G,ROW()-8))</f>
      </c>
      <c r="F2927">
        <f>IF(INDEX(Transactions!$J:$J,ROW()-8)="",0,INDEX(Transactions!$O:$O,ROW()-8))</f>
      </c>
    </row>
    <row r="2928" spans="1:7">
      <c r="B2928">
        <f>IF(INDEX(Transactions!$J:$J,ROW()-8)="",TODAY(),INDEX(Transactions!$G:$G,ROW()-8))</f>
      </c>
      <c r="F2928">
        <f>IF(INDEX(Transactions!$J:$J,ROW()-8)="",0,INDEX(Transactions!$O:$O,ROW()-8))</f>
      </c>
    </row>
    <row r="2929" spans="1:7">
      <c r="B2929">
        <f>IF(INDEX(Transactions!$J:$J,ROW()-8)="",TODAY(),INDEX(Transactions!$G:$G,ROW()-8))</f>
      </c>
      <c r="F2929">
        <f>IF(INDEX(Transactions!$J:$J,ROW()-8)="",0,INDEX(Transactions!$O:$O,ROW()-8))</f>
      </c>
    </row>
    <row r="2930" spans="1:7">
      <c r="B2930">
        <f>IF(INDEX(Transactions!$J:$J,ROW()-8)="",TODAY(),INDEX(Transactions!$G:$G,ROW()-8))</f>
      </c>
      <c r="F2930">
        <f>IF(INDEX(Transactions!$J:$J,ROW()-8)="",0,INDEX(Transactions!$O:$O,ROW()-8))</f>
      </c>
    </row>
    <row r="2931" spans="1:7">
      <c r="B2931">
        <f>IF(INDEX(Transactions!$J:$J,ROW()-8)="",TODAY(),INDEX(Transactions!$G:$G,ROW()-8))</f>
      </c>
      <c r="F2931">
        <f>IF(INDEX(Transactions!$J:$J,ROW()-8)="",0,INDEX(Transactions!$O:$O,ROW()-8))</f>
      </c>
    </row>
    <row r="2932" spans="1:7">
      <c r="B2932">
        <f>IF(INDEX(Transactions!$J:$J,ROW()-8)="",TODAY(),INDEX(Transactions!$G:$G,ROW()-8))</f>
      </c>
      <c r="F2932">
        <f>IF(INDEX(Transactions!$J:$J,ROW()-8)="",0,INDEX(Transactions!$O:$O,ROW()-8))</f>
      </c>
    </row>
    <row r="2933" spans="1:7">
      <c r="B2933">
        <f>IF(INDEX(Transactions!$J:$J,ROW()-8)="",TODAY(),INDEX(Transactions!$G:$G,ROW()-8))</f>
      </c>
      <c r="F2933">
        <f>IF(INDEX(Transactions!$J:$J,ROW()-8)="",0,INDEX(Transactions!$O:$O,ROW()-8))</f>
      </c>
    </row>
    <row r="2934" spans="1:7">
      <c r="B2934">
        <f>IF(INDEX(Transactions!$J:$J,ROW()-8)="",TODAY(),INDEX(Transactions!$G:$G,ROW()-8))</f>
      </c>
      <c r="F2934">
        <f>IF(INDEX(Transactions!$J:$J,ROW()-8)="",0,INDEX(Transactions!$O:$O,ROW()-8))</f>
      </c>
    </row>
    <row r="2935" spans="1:7">
      <c r="B2935">
        <f>IF(INDEX(Transactions!$J:$J,ROW()-8)="",TODAY(),INDEX(Transactions!$G:$G,ROW()-8))</f>
      </c>
      <c r="F2935">
        <f>IF(INDEX(Transactions!$J:$J,ROW()-8)="",0,INDEX(Transactions!$O:$O,ROW()-8))</f>
      </c>
    </row>
    <row r="2936" spans="1:7">
      <c r="B2936">
        <f>IF(INDEX(Transactions!$J:$J,ROW()-8)="",TODAY(),INDEX(Transactions!$G:$G,ROW()-8))</f>
      </c>
      <c r="F2936">
        <f>IF(INDEX(Transactions!$J:$J,ROW()-8)="",0,INDEX(Transactions!$O:$O,ROW()-8))</f>
      </c>
    </row>
    <row r="2937" spans="1:7">
      <c r="B2937">
        <f>IF(INDEX(Transactions!$J:$J,ROW()-8)="",TODAY(),INDEX(Transactions!$G:$G,ROW()-8))</f>
      </c>
      <c r="F2937">
        <f>IF(INDEX(Transactions!$J:$J,ROW()-8)="",0,INDEX(Transactions!$O:$O,ROW()-8))</f>
      </c>
    </row>
    <row r="2938" spans="1:7">
      <c r="B2938">
        <f>IF(INDEX(Transactions!$J:$J,ROW()-8)="",TODAY(),INDEX(Transactions!$G:$G,ROW()-8))</f>
      </c>
      <c r="F2938">
        <f>IF(INDEX(Transactions!$J:$J,ROW()-8)="",0,INDEX(Transactions!$O:$O,ROW()-8))</f>
      </c>
    </row>
    <row r="2939" spans="1:7">
      <c r="B2939">
        <f>IF(INDEX(Transactions!$J:$J,ROW()-8)="",TODAY(),INDEX(Transactions!$G:$G,ROW()-8))</f>
      </c>
      <c r="F2939">
        <f>IF(INDEX(Transactions!$J:$J,ROW()-8)="",0,INDEX(Transactions!$O:$O,ROW()-8))</f>
      </c>
    </row>
    <row r="2940" spans="1:7">
      <c r="B2940">
        <f>IF(INDEX(Transactions!$J:$J,ROW()-8)="",TODAY(),INDEX(Transactions!$G:$G,ROW()-8))</f>
      </c>
      <c r="F2940">
        <f>IF(INDEX(Transactions!$J:$J,ROW()-8)="",0,INDEX(Transactions!$O:$O,ROW()-8))</f>
      </c>
    </row>
    <row r="2941" spans="1:7">
      <c r="B2941">
        <f>IF(INDEX(Transactions!$J:$J,ROW()-8)="",TODAY(),INDEX(Transactions!$G:$G,ROW()-8))</f>
      </c>
      <c r="F2941">
        <f>IF(INDEX(Transactions!$J:$J,ROW()-8)="",0,INDEX(Transactions!$O:$O,ROW()-8))</f>
      </c>
    </row>
    <row r="2942" spans="1:7">
      <c r="B2942">
        <f>IF(INDEX(Transactions!$J:$J,ROW()-8)="",TODAY(),INDEX(Transactions!$G:$G,ROW()-8))</f>
      </c>
      <c r="F2942">
        <f>IF(INDEX(Transactions!$J:$J,ROW()-8)="",0,INDEX(Transactions!$O:$O,ROW()-8))</f>
      </c>
    </row>
    <row r="2943" spans="1:7">
      <c r="B2943">
        <f>IF(INDEX(Transactions!$J:$J,ROW()-8)="",TODAY(),INDEX(Transactions!$G:$G,ROW()-8))</f>
      </c>
      <c r="F2943">
        <f>IF(INDEX(Transactions!$J:$J,ROW()-8)="",0,INDEX(Transactions!$O:$O,ROW()-8))</f>
      </c>
    </row>
    <row r="2944" spans="1:7">
      <c r="B2944">
        <f>IF(INDEX(Transactions!$J:$J,ROW()-8)="",TODAY(),INDEX(Transactions!$G:$G,ROW()-8))</f>
      </c>
      <c r="F2944">
        <f>IF(INDEX(Transactions!$J:$J,ROW()-8)="",0,INDEX(Transactions!$O:$O,ROW()-8))</f>
      </c>
    </row>
    <row r="2945" spans="1:7">
      <c r="B2945">
        <f>IF(INDEX(Transactions!$J:$J,ROW()-8)="",TODAY(),INDEX(Transactions!$G:$G,ROW()-8))</f>
      </c>
      <c r="F2945">
        <f>IF(INDEX(Transactions!$J:$J,ROW()-8)="",0,INDEX(Transactions!$O:$O,ROW()-8))</f>
      </c>
    </row>
    <row r="2946" spans="1:7">
      <c r="B2946">
        <f>IF(INDEX(Transactions!$J:$J,ROW()-8)="",TODAY(),INDEX(Transactions!$G:$G,ROW()-8))</f>
      </c>
      <c r="F2946">
        <f>IF(INDEX(Transactions!$J:$J,ROW()-8)="",0,INDEX(Transactions!$O:$O,ROW()-8))</f>
      </c>
    </row>
    <row r="2947" spans="1:7">
      <c r="B2947">
        <f>IF(INDEX(Transactions!$J:$J,ROW()-8)="",TODAY(),INDEX(Transactions!$G:$G,ROW()-8))</f>
      </c>
      <c r="F2947">
        <f>IF(INDEX(Transactions!$J:$J,ROW()-8)="",0,INDEX(Transactions!$O:$O,ROW()-8))</f>
      </c>
    </row>
    <row r="2948" spans="1:7">
      <c r="B2948">
        <f>IF(INDEX(Transactions!$J:$J,ROW()-8)="",TODAY(),INDEX(Transactions!$G:$G,ROW()-8))</f>
      </c>
      <c r="F2948">
        <f>IF(INDEX(Transactions!$J:$J,ROW()-8)="",0,INDEX(Transactions!$O:$O,ROW()-8))</f>
      </c>
    </row>
    <row r="2949" spans="1:7">
      <c r="B2949">
        <f>IF(INDEX(Transactions!$J:$J,ROW()-8)="",TODAY(),INDEX(Transactions!$G:$G,ROW()-8))</f>
      </c>
      <c r="F2949">
        <f>IF(INDEX(Transactions!$J:$J,ROW()-8)="",0,INDEX(Transactions!$O:$O,ROW()-8))</f>
      </c>
    </row>
    <row r="2950" spans="1:7">
      <c r="B2950">
        <f>IF(INDEX(Transactions!$J:$J,ROW()-8)="",TODAY(),INDEX(Transactions!$G:$G,ROW()-8))</f>
      </c>
      <c r="F2950">
        <f>IF(INDEX(Transactions!$J:$J,ROW()-8)="",0,INDEX(Transactions!$O:$O,ROW()-8))</f>
      </c>
    </row>
    <row r="2951" spans="1:7">
      <c r="B2951">
        <f>IF(INDEX(Transactions!$J:$J,ROW()-8)="",TODAY(),INDEX(Transactions!$G:$G,ROW()-8))</f>
      </c>
      <c r="F2951">
        <f>IF(INDEX(Transactions!$J:$J,ROW()-8)="",0,INDEX(Transactions!$O:$O,ROW()-8))</f>
      </c>
    </row>
    <row r="2952" spans="1:7">
      <c r="B2952">
        <f>IF(INDEX(Transactions!$J:$J,ROW()-8)="",TODAY(),INDEX(Transactions!$G:$G,ROW()-8))</f>
      </c>
      <c r="F2952">
        <f>IF(INDEX(Transactions!$J:$J,ROW()-8)="",0,INDEX(Transactions!$O:$O,ROW()-8))</f>
      </c>
    </row>
    <row r="2953" spans="1:7">
      <c r="B2953">
        <f>IF(INDEX(Transactions!$J:$J,ROW()-8)="",TODAY(),INDEX(Transactions!$G:$G,ROW()-8))</f>
      </c>
      <c r="F2953">
        <f>IF(INDEX(Transactions!$J:$J,ROW()-8)="",0,INDEX(Transactions!$O:$O,ROW()-8))</f>
      </c>
    </row>
    <row r="2954" spans="1:7">
      <c r="B2954">
        <f>IF(INDEX(Transactions!$J:$J,ROW()-8)="",TODAY(),INDEX(Transactions!$G:$G,ROW()-8))</f>
      </c>
      <c r="F2954">
        <f>IF(INDEX(Transactions!$J:$J,ROW()-8)="",0,INDEX(Transactions!$O:$O,ROW()-8))</f>
      </c>
    </row>
    <row r="2955" spans="1:7">
      <c r="B2955">
        <f>IF(INDEX(Transactions!$J:$J,ROW()-8)="",TODAY(),INDEX(Transactions!$G:$G,ROW()-8))</f>
      </c>
      <c r="F2955">
        <f>IF(INDEX(Transactions!$J:$J,ROW()-8)="",0,INDEX(Transactions!$O:$O,ROW()-8))</f>
      </c>
    </row>
    <row r="2956" spans="1:7">
      <c r="B2956">
        <f>IF(INDEX(Transactions!$J:$J,ROW()-8)="",TODAY(),INDEX(Transactions!$G:$G,ROW()-8))</f>
      </c>
      <c r="F2956">
        <f>IF(INDEX(Transactions!$J:$J,ROW()-8)="",0,INDEX(Transactions!$O:$O,ROW()-8))</f>
      </c>
    </row>
    <row r="2957" spans="1:7">
      <c r="B2957">
        <f>IF(INDEX(Transactions!$J:$J,ROW()-8)="",TODAY(),INDEX(Transactions!$G:$G,ROW()-8))</f>
      </c>
      <c r="F2957">
        <f>IF(INDEX(Transactions!$J:$J,ROW()-8)="",0,INDEX(Transactions!$O:$O,ROW()-8))</f>
      </c>
    </row>
    <row r="2958" spans="1:7">
      <c r="B2958">
        <f>IF(INDEX(Transactions!$J:$J,ROW()-8)="",TODAY(),INDEX(Transactions!$G:$G,ROW()-8))</f>
      </c>
      <c r="F2958">
        <f>IF(INDEX(Transactions!$J:$J,ROW()-8)="",0,INDEX(Transactions!$O:$O,ROW()-8))</f>
      </c>
    </row>
    <row r="2959" spans="1:7">
      <c r="B2959">
        <f>IF(INDEX(Transactions!$J:$J,ROW()-8)="",TODAY(),INDEX(Transactions!$G:$G,ROW()-8))</f>
      </c>
      <c r="F2959">
        <f>IF(INDEX(Transactions!$J:$J,ROW()-8)="",0,INDEX(Transactions!$O:$O,ROW()-8))</f>
      </c>
    </row>
    <row r="2960" spans="1:7">
      <c r="B2960">
        <f>IF(INDEX(Transactions!$J:$J,ROW()-8)="",TODAY(),INDEX(Transactions!$G:$G,ROW()-8))</f>
      </c>
      <c r="F2960">
        <f>IF(INDEX(Transactions!$J:$J,ROW()-8)="",0,INDEX(Transactions!$O:$O,ROW()-8))</f>
      </c>
    </row>
    <row r="2961" spans="1:7">
      <c r="B2961">
        <f>IF(INDEX(Transactions!$J:$J,ROW()-8)="",TODAY(),INDEX(Transactions!$G:$G,ROW()-8))</f>
      </c>
      <c r="F2961">
        <f>IF(INDEX(Transactions!$J:$J,ROW()-8)="",0,INDEX(Transactions!$O:$O,ROW()-8))</f>
      </c>
    </row>
    <row r="2962" spans="1:7">
      <c r="B2962">
        <f>IF(INDEX(Transactions!$J:$J,ROW()-8)="",TODAY(),INDEX(Transactions!$G:$G,ROW()-8))</f>
      </c>
      <c r="F2962">
        <f>IF(INDEX(Transactions!$J:$J,ROW()-8)="",0,INDEX(Transactions!$O:$O,ROW()-8))</f>
      </c>
    </row>
    <row r="2963" spans="1:7">
      <c r="B2963">
        <f>IF(INDEX(Transactions!$J:$J,ROW()-8)="",TODAY(),INDEX(Transactions!$G:$G,ROW()-8))</f>
      </c>
      <c r="F2963">
        <f>IF(INDEX(Transactions!$J:$J,ROW()-8)="",0,INDEX(Transactions!$O:$O,ROW()-8))</f>
      </c>
    </row>
    <row r="2964" spans="1:7">
      <c r="B2964">
        <f>IF(INDEX(Transactions!$J:$J,ROW()-8)="",TODAY(),INDEX(Transactions!$G:$G,ROW()-8))</f>
      </c>
      <c r="F2964">
        <f>IF(INDEX(Transactions!$J:$J,ROW()-8)="",0,INDEX(Transactions!$O:$O,ROW()-8))</f>
      </c>
    </row>
    <row r="2965" spans="1:7">
      <c r="B2965">
        <f>IF(INDEX(Transactions!$J:$J,ROW()-8)="",TODAY(),INDEX(Transactions!$G:$G,ROW()-8))</f>
      </c>
      <c r="F2965">
        <f>IF(INDEX(Transactions!$J:$J,ROW()-8)="",0,INDEX(Transactions!$O:$O,ROW()-8))</f>
      </c>
    </row>
    <row r="2966" spans="1:7">
      <c r="B2966">
        <f>IF(INDEX(Transactions!$J:$J,ROW()-8)="",TODAY(),INDEX(Transactions!$G:$G,ROW()-8))</f>
      </c>
      <c r="F2966">
        <f>IF(INDEX(Transactions!$J:$J,ROW()-8)="",0,INDEX(Transactions!$O:$O,ROW()-8))</f>
      </c>
    </row>
    <row r="2967" spans="1:7">
      <c r="B2967">
        <f>IF(INDEX(Transactions!$J:$J,ROW()-8)="",TODAY(),INDEX(Transactions!$G:$G,ROW()-8))</f>
      </c>
      <c r="F2967">
        <f>IF(INDEX(Transactions!$J:$J,ROW()-8)="",0,INDEX(Transactions!$O:$O,ROW()-8))</f>
      </c>
    </row>
    <row r="2968" spans="1:7">
      <c r="B2968">
        <f>IF(INDEX(Transactions!$J:$J,ROW()-8)="",TODAY(),INDEX(Transactions!$G:$G,ROW()-8))</f>
      </c>
      <c r="F2968">
        <f>IF(INDEX(Transactions!$J:$J,ROW()-8)="",0,INDEX(Transactions!$O:$O,ROW()-8))</f>
      </c>
    </row>
    <row r="2969" spans="1:7">
      <c r="B2969">
        <f>IF(INDEX(Transactions!$J:$J,ROW()-8)="",TODAY(),INDEX(Transactions!$G:$G,ROW()-8))</f>
      </c>
      <c r="F2969">
        <f>IF(INDEX(Transactions!$J:$J,ROW()-8)="",0,INDEX(Transactions!$O:$O,ROW()-8))</f>
      </c>
    </row>
    <row r="2970" spans="1:7">
      <c r="B2970">
        <f>IF(INDEX(Transactions!$J:$J,ROW()-8)="",TODAY(),INDEX(Transactions!$G:$G,ROW()-8))</f>
      </c>
      <c r="F2970">
        <f>IF(INDEX(Transactions!$J:$J,ROW()-8)="",0,INDEX(Transactions!$O:$O,ROW()-8))</f>
      </c>
    </row>
    <row r="2971" spans="1:7">
      <c r="B2971">
        <f>IF(INDEX(Transactions!$J:$J,ROW()-8)="",TODAY(),INDEX(Transactions!$G:$G,ROW()-8))</f>
      </c>
      <c r="F2971">
        <f>IF(INDEX(Transactions!$J:$J,ROW()-8)="",0,INDEX(Transactions!$O:$O,ROW()-8))</f>
      </c>
    </row>
    <row r="2972" spans="1:7">
      <c r="B2972">
        <f>IF(INDEX(Transactions!$J:$J,ROW()-8)="",TODAY(),INDEX(Transactions!$G:$G,ROW()-8))</f>
      </c>
      <c r="F2972">
        <f>IF(INDEX(Transactions!$J:$J,ROW()-8)="",0,INDEX(Transactions!$O:$O,ROW()-8))</f>
      </c>
    </row>
    <row r="2973" spans="1:7">
      <c r="B2973">
        <f>IF(INDEX(Transactions!$J:$J,ROW()-8)="",TODAY(),INDEX(Transactions!$G:$G,ROW()-8))</f>
      </c>
      <c r="F2973">
        <f>IF(INDEX(Transactions!$J:$J,ROW()-8)="",0,INDEX(Transactions!$O:$O,ROW()-8))</f>
      </c>
    </row>
    <row r="2974" spans="1:7">
      <c r="B2974">
        <f>IF(INDEX(Transactions!$J:$J,ROW()-8)="",TODAY(),INDEX(Transactions!$G:$G,ROW()-8))</f>
      </c>
      <c r="F2974">
        <f>IF(INDEX(Transactions!$J:$J,ROW()-8)="",0,INDEX(Transactions!$O:$O,ROW()-8))</f>
      </c>
    </row>
    <row r="2975" spans="1:7">
      <c r="B2975">
        <f>IF(INDEX(Transactions!$J:$J,ROW()-8)="",TODAY(),INDEX(Transactions!$G:$G,ROW()-8))</f>
      </c>
      <c r="F2975">
        <f>IF(INDEX(Transactions!$J:$J,ROW()-8)="",0,INDEX(Transactions!$O:$O,ROW()-8))</f>
      </c>
    </row>
    <row r="2976" spans="1:7">
      <c r="B2976">
        <f>IF(INDEX(Transactions!$J:$J,ROW()-8)="",TODAY(),INDEX(Transactions!$G:$G,ROW()-8))</f>
      </c>
      <c r="F2976">
        <f>IF(INDEX(Transactions!$J:$J,ROW()-8)="",0,INDEX(Transactions!$O:$O,ROW()-8))</f>
      </c>
    </row>
    <row r="2977" spans="1:7">
      <c r="B2977">
        <f>IF(INDEX(Transactions!$J:$J,ROW()-8)="",TODAY(),INDEX(Transactions!$G:$G,ROW()-8))</f>
      </c>
      <c r="F2977">
        <f>IF(INDEX(Transactions!$J:$J,ROW()-8)="",0,INDEX(Transactions!$O:$O,ROW()-8))</f>
      </c>
    </row>
    <row r="2978" spans="1:7">
      <c r="B2978">
        <f>IF(INDEX(Transactions!$J:$J,ROW()-8)="",TODAY(),INDEX(Transactions!$G:$G,ROW()-8))</f>
      </c>
      <c r="F2978">
        <f>IF(INDEX(Transactions!$J:$J,ROW()-8)="",0,INDEX(Transactions!$O:$O,ROW()-8))</f>
      </c>
    </row>
    <row r="2979" spans="1:7">
      <c r="B2979">
        <f>IF(INDEX(Transactions!$J:$J,ROW()-8)="",TODAY(),INDEX(Transactions!$G:$G,ROW()-8))</f>
      </c>
      <c r="F2979">
        <f>IF(INDEX(Transactions!$J:$J,ROW()-8)="",0,INDEX(Transactions!$O:$O,ROW()-8))</f>
      </c>
    </row>
    <row r="2980" spans="1:7">
      <c r="B2980">
        <f>IF(INDEX(Transactions!$J:$J,ROW()-8)="",TODAY(),INDEX(Transactions!$G:$G,ROW()-8))</f>
      </c>
      <c r="F2980">
        <f>IF(INDEX(Transactions!$J:$J,ROW()-8)="",0,INDEX(Transactions!$O:$O,ROW()-8))</f>
      </c>
    </row>
    <row r="2981" spans="1:7">
      <c r="B2981">
        <f>IF(INDEX(Transactions!$J:$J,ROW()-8)="",TODAY(),INDEX(Transactions!$G:$G,ROW()-8))</f>
      </c>
      <c r="F2981">
        <f>IF(INDEX(Transactions!$J:$J,ROW()-8)="",0,INDEX(Transactions!$O:$O,ROW()-8))</f>
      </c>
    </row>
    <row r="2982" spans="1:7">
      <c r="B2982">
        <f>IF(INDEX(Transactions!$J:$J,ROW()-8)="",TODAY(),INDEX(Transactions!$G:$G,ROW()-8))</f>
      </c>
      <c r="F2982">
        <f>IF(INDEX(Transactions!$J:$J,ROW()-8)="",0,INDEX(Transactions!$O:$O,ROW()-8))</f>
      </c>
    </row>
    <row r="2983" spans="1:7">
      <c r="B2983">
        <f>IF(INDEX(Transactions!$J:$J,ROW()-8)="",TODAY(),INDEX(Transactions!$G:$G,ROW()-8))</f>
      </c>
      <c r="F2983">
        <f>IF(INDEX(Transactions!$J:$J,ROW()-8)="",0,INDEX(Transactions!$O:$O,ROW()-8))</f>
      </c>
    </row>
    <row r="2984" spans="1:7">
      <c r="B2984">
        <f>IF(INDEX(Transactions!$J:$J,ROW()-8)="",TODAY(),INDEX(Transactions!$G:$G,ROW()-8))</f>
      </c>
      <c r="F2984">
        <f>IF(INDEX(Transactions!$J:$J,ROW()-8)="",0,INDEX(Transactions!$O:$O,ROW()-8))</f>
      </c>
    </row>
    <row r="2985" spans="1:7">
      <c r="B2985">
        <f>IF(INDEX(Transactions!$J:$J,ROW()-8)="",TODAY(),INDEX(Transactions!$G:$G,ROW()-8))</f>
      </c>
      <c r="F2985">
        <f>IF(INDEX(Transactions!$J:$J,ROW()-8)="",0,INDEX(Transactions!$O:$O,ROW()-8))</f>
      </c>
    </row>
    <row r="2986" spans="1:7">
      <c r="B2986">
        <f>IF(INDEX(Transactions!$J:$J,ROW()-8)="",TODAY(),INDEX(Transactions!$G:$G,ROW()-8))</f>
      </c>
      <c r="F2986">
        <f>IF(INDEX(Transactions!$J:$J,ROW()-8)="",0,INDEX(Transactions!$O:$O,ROW()-8))</f>
      </c>
    </row>
    <row r="2987" spans="1:7">
      <c r="B2987">
        <f>IF(INDEX(Transactions!$J:$J,ROW()-8)="",TODAY(),INDEX(Transactions!$G:$G,ROW()-8))</f>
      </c>
      <c r="F2987">
        <f>IF(INDEX(Transactions!$J:$J,ROW()-8)="",0,INDEX(Transactions!$O:$O,ROW()-8))</f>
      </c>
    </row>
    <row r="2988" spans="1:7">
      <c r="B2988">
        <f>IF(INDEX(Transactions!$J:$J,ROW()-8)="",TODAY(),INDEX(Transactions!$G:$G,ROW()-8))</f>
      </c>
      <c r="F2988">
        <f>IF(INDEX(Transactions!$J:$J,ROW()-8)="",0,INDEX(Transactions!$O:$O,ROW()-8))</f>
      </c>
    </row>
    <row r="2989" spans="1:7">
      <c r="B2989">
        <f>IF(INDEX(Transactions!$J:$J,ROW()-8)="",TODAY(),INDEX(Transactions!$G:$G,ROW()-8))</f>
      </c>
      <c r="F2989">
        <f>IF(INDEX(Transactions!$J:$J,ROW()-8)="",0,INDEX(Transactions!$O:$O,ROW()-8))</f>
      </c>
    </row>
    <row r="2990" spans="1:7">
      <c r="B2990">
        <f>IF(INDEX(Transactions!$J:$J,ROW()-8)="",TODAY(),INDEX(Transactions!$G:$G,ROW()-8))</f>
      </c>
      <c r="F2990">
        <f>IF(INDEX(Transactions!$J:$J,ROW()-8)="",0,INDEX(Transactions!$O:$O,ROW()-8))</f>
      </c>
    </row>
    <row r="2991" spans="1:7">
      <c r="B2991">
        <f>IF(INDEX(Transactions!$J:$J,ROW()-8)="",TODAY(),INDEX(Transactions!$G:$G,ROW()-8))</f>
      </c>
      <c r="F2991">
        <f>IF(INDEX(Transactions!$J:$J,ROW()-8)="",0,INDEX(Transactions!$O:$O,ROW()-8))</f>
      </c>
    </row>
    <row r="2992" spans="1:7">
      <c r="B2992">
        <f>IF(INDEX(Transactions!$J:$J,ROW()-8)="",TODAY(),INDEX(Transactions!$G:$G,ROW()-8))</f>
      </c>
      <c r="F2992">
        <f>IF(INDEX(Transactions!$J:$J,ROW()-8)="",0,INDEX(Transactions!$O:$O,ROW()-8))</f>
      </c>
    </row>
    <row r="2993" spans="1:7">
      <c r="B2993">
        <f>IF(INDEX(Transactions!$J:$J,ROW()-8)="",TODAY(),INDEX(Transactions!$G:$G,ROW()-8))</f>
      </c>
      <c r="F2993">
        <f>IF(INDEX(Transactions!$J:$J,ROW()-8)="",0,INDEX(Transactions!$O:$O,ROW()-8))</f>
      </c>
    </row>
    <row r="2994" spans="1:7">
      <c r="B2994">
        <f>IF(INDEX(Transactions!$J:$J,ROW()-8)="",TODAY(),INDEX(Transactions!$G:$G,ROW()-8))</f>
      </c>
      <c r="F2994">
        <f>IF(INDEX(Transactions!$J:$J,ROW()-8)="",0,INDEX(Transactions!$O:$O,ROW()-8))</f>
      </c>
    </row>
    <row r="2995" spans="1:7">
      <c r="B2995">
        <f>IF(INDEX(Transactions!$J:$J,ROW()-8)="",TODAY(),INDEX(Transactions!$G:$G,ROW()-8))</f>
      </c>
      <c r="F2995">
        <f>IF(INDEX(Transactions!$J:$J,ROW()-8)="",0,INDEX(Transactions!$O:$O,ROW()-8))</f>
      </c>
    </row>
    <row r="2996" spans="1:7">
      <c r="B2996">
        <f>IF(INDEX(Transactions!$J:$J,ROW()-8)="",TODAY(),INDEX(Transactions!$G:$G,ROW()-8))</f>
      </c>
      <c r="F2996">
        <f>IF(INDEX(Transactions!$J:$J,ROW()-8)="",0,INDEX(Transactions!$O:$O,ROW()-8))</f>
      </c>
    </row>
    <row r="2997" spans="1:7">
      <c r="B2997">
        <f>IF(INDEX(Transactions!$J:$J,ROW()-8)="",TODAY(),INDEX(Transactions!$G:$G,ROW()-8))</f>
      </c>
      <c r="F2997">
        <f>IF(INDEX(Transactions!$J:$J,ROW()-8)="",0,INDEX(Transactions!$O:$O,ROW()-8))</f>
      </c>
    </row>
    <row r="2998" spans="1:7">
      <c r="B2998">
        <f>IF(INDEX(Transactions!$J:$J,ROW()-8)="",TODAY(),INDEX(Transactions!$G:$G,ROW()-8))</f>
      </c>
      <c r="F2998">
        <f>IF(INDEX(Transactions!$J:$J,ROW()-8)="",0,INDEX(Transactions!$O:$O,ROW()-8))</f>
      </c>
    </row>
    <row r="2999" spans="1:7">
      <c r="B2999">
        <f>IF(INDEX(Transactions!$J:$J,ROW()-8)="",TODAY(),INDEX(Transactions!$G:$G,ROW()-8))</f>
      </c>
      <c r="F2999">
        <f>IF(INDEX(Transactions!$J:$J,ROW()-8)="",0,INDEX(Transactions!$O:$O,ROW()-8))</f>
      </c>
    </row>
    <row r="3000" spans="1:7">
      <c r="B3000">
        <f>IF(INDEX(Transactions!$J:$J,ROW()-8)="",TODAY(),INDEX(Transactions!$G:$G,ROW()-8))</f>
      </c>
      <c r="F3000">
        <f>IF(INDEX(Transactions!$J:$J,ROW()-8)="",0,INDEX(Transactions!$O:$O,ROW()-8))</f>
      </c>
    </row>
    <row r="3001" spans="1:7">
      <c r="B3001">
        <f>IF(INDEX(Transactions!$J:$J,ROW()-8)="",TODAY(),INDEX(Transactions!$G:$G,ROW()-8))</f>
      </c>
      <c r="F3001">
        <f>IF(INDEX(Transactions!$J:$J,ROW()-8)="",0,INDEX(Transactions!$O:$O,ROW()-8))</f>
      </c>
    </row>
    <row r="3002" spans="1:7">
      <c r="B3002">
        <f>IF(INDEX(Transactions!$J:$J,ROW()-8)="",TODAY(),INDEX(Transactions!$G:$G,ROW()-8))</f>
      </c>
      <c r="F3002">
        <f>IF(INDEX(Transactions!$J:$J,ROW()-8)="",0,INDEX(Transactions!$O:$O,ROW()-8))</f>
      </c>
    </row>
    <row r="3003" spans="1:7">
      <c r="B3003">
        <f>IF(INDEX(Transactions!$J:$J,ROW()-8)="",TODAY(),INDEX(Transactions!$G:$G,ROW()-8))</f>
      </c>
      <c r="F3003">
        <f>IF(INDEX(Transactions!$J:$J,ROW()-8)="",0,INDEX(Transactions!$O:$O,ROW()-8))</f>
      </c>
    </row>
    <row r="3004" spans="1:7">
      <c r="B3004">
        <f>IF(INDEX(Transactions!$J:$J,ROW()-8)="",TODAY(),INDEX(Transactions!$G:$G,ROW()-8))</f>
      </c>
      <c r="F3004">
        <f>IF(INDEX(Transactions!$J:$J,ROW()-8)="",0,INDEX(Transactions!$O:$O,ROW()-8))</f>
      </c>
    </row>
    <row r="3005" spans="1:7">
      <c r="B3005">
        <f>IF(INDEX(Transactions!$J:$J,ROW()-8)="",TODAY(),INDEX(Transactions!$G:$G,ROW()-8))</f>
      </c>
      <c r="F3005">
        <f>IF(INDEX(Transactions!$J:$J,ROW()-8)="",0,INDEX(Transactions!$O:$O,ROW()-8))</f>
      </c>
    </row>
    <row r="3006" spans="1:7">
      <c r="B3006">
        <f>IF(INDEX(Transactions!$J:$J,ROW()-8)="",TODAY(),INDEX(Transactions!$G:$G,ROW()-8))</f>
      </c>
      <c r="F3006">
        <f>IF(INDEX(Transactions!$J:$J,ROW()-8)="",0,INDEX(Transactions!$O:$O,ROW()-8))</f>
      </c>
    </row>
    <row r="3007" spans="1:7">
      <c r="B3007">
        <f>IF(INDEX(Transactions!$J:$J,ROW()-8)="",TODAY(),INDEX(Transactions!$G:$G,ROW()-8))</f>
      </c>
      <c r="F3007">
        <f>IF(INDEX(Transactions!$J:$J,ROW()-8)="",0,INDEX(Transactions!$O:$O,ROW()-8))</f>
      </c>
    </row>
    <row r="3008" spans="1:7">
      <c r="B3008">
        <f>IF(INDEX(Transactions!$J:$J,ROW()-8)="",TODAY(),INDEX(Transactions!$G:$G,ROW()-8))</f>
      </c>
      <c r="F3008">
        <f>IF(INDEX(Transactions!$J:$J,ROW()-8)="",0,INDEX(Transactions!$O:$O,ROW()-8))</f>
      </c>
    </row>
    <row r="3009" spans="1:7">
      <c r="B3009">
        <f>IF(INDEX(Transactions!$J:$J,ROW()-8)="",TODAY(),INDEX(Transactions!$G:$G,ROW()-8))</f>
      </c>
      <c r="F3009">
        <f>IF(INDEX(Transactions!$J:$J,ROW()-8)="",0,INDEX(Transactions!$O:$O,ROW()-8))</f>
      </c>
    </row>
    <row r="3010" spans="1:7">
      <c r="B3010">
        <f>IF(INDEX(Transactions!$J:$J,ROW()-8)="",TODAY(),INDEX(Transactions!$G:$G,ROW()-8))</f>
      </c>
      <c r="F3010">
        <f>IF(INDEX(Transactions!$J:$J,ROW()-8)="",0,INDEX(Transactions!$O:$O,ROW()-8))</f>
      </c>
    </row>
    <row r="3011" spans="1:7">
      <c r="B3011">
        <f>IF(INDEX(Transactions!$J:$J,ROW()-8)="",TODAY(),INDEX(Transactions!$G:$G,ROW()-8))</f>
      </c>
      <c r="F3011">
        <f>IF(INDEX(Transactions!$J:$J,ROW()-8)="",0,INDEX(Transactions!$O:$O,ROW()-8))</f>
      </c>
    </row>
    <row r="3012" spans="1:7">
      <c r="B3012">
        <f>IF(INDEX(Transactions!$J:$J,ROW()-8)="",TODAY(),INDEX(Transactions!$G:$G,ROW()-8))</f>
      </c>
      <c r="F3012">
        <f>IF(INDEX(Transactions!$J:$J,ROW()-8)="",0,INDEX(Transactions!$O:$O,ROW()-8))</f>
      </c>
    </row>
    <row r="3013" spans="1:7">
      <c r="B3013">
        <f>IF(INDEX(Transactions!$J:$J,ROW()-8)="",TODAY(),INDEX(Transactions!$G:$G,ROW()-8))</f>
      </c>
      <c r="F3013">
        <f>IF(INDEX(Transactions!$J:$J,ROW()-8)="",0,INDEX(Transactions!$O:$O,ROW()-8))</f>
      </c>
    </row>
    <row r="3014" spans="1:7">
      <c r="B3014">
        <f>IF(INDEX(Transactions!$J:$J,ROW()-8)="",TODAY(),INDEX(Transactions!$G:$G,ROW()-8))</f>
      </c>
      <c r="F3014">
        <f>IF(INDEX(Transactions!$J:$J,ROW()-8)="",0,INDEX(Transactions!$O:$O,ROW()-8))</f>
      </c>
    </row>
    <row r="3015" spans="1:7">
      <c r="B3015">
        <f>IF(INDEX(Transactions!$J:$J,ROW()-8)="",TODAY(),INDEX(Transactions!$G:$G,ROW()-8))</f>
      </c>
      <c r="F3015">
        <f>IF(INDEX(Transactions!$J:$J,ROW()-8)="",0,INDEX(Transactions!$O:$O,ROW()-8))</f>
      </c>
    </row>
    <row r="3016" spans="1:7">
      <c r="B3016">
        <f>IF(INDEX(Transactions!$J:$J,ROW()-8)="",TODAY(),INDEX(Transactions!$G:$G,ROW()-8))</f>
      </c>
      <c r="F3016">
        <f>IF(INDEX(Transactions!$J:$J,ROW()-8)="",0,INDEX(Transactions!$O:$O,ROW()-8))</f>
      </c>
    </row>
    <row r="3017" spans="1:7">
      <c r="B3017">
        <f>IF(INDEX(Transactions!$J:$J,ROW()-8)="",TODAY(),INDEX(Transactions!$G:$G,ROW()-8))</f>
      </c>
      <c r="F3017">
        <f>IF(INDEX(Transactions!$J:$J,ROW()-8)="",0,INDEX(Transactions!$O:$O,ROW()-8))</f>
      </c>
    </row>
    <row r="3018" spans="1:7">
      <c r="B3018">
        <f>IF(INDEX(Transactions!$J:$J,ROW()-8)="",TODAY(),INDEX(Transactions!$G:$G,ROW()-8))</f>
      </c>
      <c r="F3018">
        <f>IF(INDEX(Transactions!$J:$J,ROW()-8)="",0,INDEX(Transactions!$O:$O,ROW()-8))</f>
      </c>
    </row>
    <row r="3019" spans="1:7">
      <c r="B3019">
        <f>IF(INDEX(Transactions!$J:$J,ROW()-8)="",TODAY(),INDEX(Transactions!$G:$G,ROW()-8))</f>
      </c>
      <c r="F3019">
        <f>IF(INDEX(Transactions!$J:$J,ROW()-8)="",0,INDEX(Transactions!$O:$O,ROW()-8))</f>
      </c>
    </row>
    <row r="3020" spans="1:7">
      <c r="B3020">
        <f>IF(INDEX(Transactions!$J:$J,ROW()-8)="",TODAY(),INDEX(Transactions!$G:$G,ROW()-8))</f>
      </c>
      <c r="F3020">
        <f>IF(INDEX(Transactions!$J:$J,ROW()-8)="",0,INDEX(Transactions!$O:$O,ROW()-8))</f>
      </c>
    </row>
    <row r="3021" spans="1:7">
      <c r="B3021">
        <f>IF(INDEX(Transactions!$J:$J,ROW()-8)="",TODAY(),INDEX(Transactions!$G:$G,ROW()-8))</f>
      </c>
      <c r="F3021">
        <f>IF(INDEX(Transactions!$J:$J,ROW()-8)="",0,INDEX(Transactions!$O:$O,ROW()-8))</f>
      </c>
    </row>
    <row r="3022" spans="1:7">
      <c r="B3022">
        <f>IF(INDEX(Transactions!$J:$J,ROW()-8)="",TODAY(),INDEX(Transactions!$G:$G,ROW()-8))</f>
      </c>
      <c r="F3022">
        <f>IF(INDEX(Transactions!$J:$J,ROW()-8)="",0,INDEX(Transactions!$O:$O,ROW()-8))</f>
      </c>
    </row>
    <row r="3023" spans="1:7">
      <c r="B3023">
        <f>IF(INDEX(Transactions!$J:$J,ROW()-8)="",TODAY(),INDEX(Transactions!$G:$G,ROW()-8))</f>
      </c>
      <c r="F3023">
        <f>IF(INDEX(Transactions!$J:$J,ROW()-8)="",0,INDEX(Transactions!$O:$O,ROW()-8))</f>
      </c>
    </row>
    <row r="3024" spans="1:7">
      <c r="B3024">
        <f>IF(INDEX(Transactions!$J:$J,ROW()-8)="",TODAY(),INDEX(Transactions!$G:$G,ROW()-8))</f>
      </c>
      <c r="F3024">
        <f>IF(INDEX(Transactions!$J:$J,ROW()-8)="",0,INDEX(Transactions!$O:$O,ROW()-8))</f>
      </c>
    </row>
    <row r="3025" spans="1:7">
      <c r="B3025">
        <f>IF(INDEX(Transactions!$J:$J,ROW()-8)="",TODAY(),INDEX(Transactions!$G:$G,ROW()-8))</f>
      </c>
      <c r="F3025">
        <f>IF(INDEX(Transactions!$J:$J,ROW()-8)="",0,INDEX(Transactions!$O:$O,ROW()-8))</f>
      </c>
    </row>
    <row r="3026" spans="1:7">
      <c r="B3026">
        <f>IF(INDEX(Transactions!$J:$J,ROW()-8)="",TODAY(),INDEX(Transactions!$G:$G,ROW()-8))</f>
      </c>
      <c r="F3026">
        <f>IF(INDEX(Transactions!$J:$J,ROW()-8)="",0,INDEX(Transactions!$O:$O,ROW()-8))</f>
      </c>
    </row>
    <row r="3027" spans="1:7">
      <c r="B3027">
        <f>IF(INDEX(Transactions!$J:$J,ROW()-8)="",TODAY(),INDEX(Transactions!$G:$G,ROW()-8))</f>
      </c>
      <c r="F3027">
        <f>IF(INDEX(Transactions!$J:$J,ROW()-8)="",0,INDEX(Transactions!$O:$O,ROW()-8))</f>
      </c>
    </row>
    <row r="3028" spans="1:7">
      <c r="B3028">
        <f>IF(INDEX(Transactions!$J:$J,ROW()-8)="",TODAY(),INDEX(Transactions!$G:$G,ROW()-8))</f>
      </c>
      <c r="F3028">
        <f>IF(INDEX(Transactions!$J:$J,ROW()-8)="",0,INDEX(Transactions!$O:$O,ROW()-8))</f>
      </c>
    </row>
    <row r="3029" spans="1:7">
      <c r="B3029">
        <f>IF(INDEX(Transactions!$J:$J,ROW()-8)="",TODAY(),INDEX(Transactions!$G:$G,ROW()-8))</f>
      </c>
      <c r="F3029">
        <f>IF(INDEX(Transactions!$J:$J,ROW()-8)="",0,INDEX(Transactions!$O:$O,ROW()-8))</f>
      </c>
    </row>
    <row r="3030" spans="1:7">
      <c r="B3030">
        <f>IF(INDEX(Transactions!$J:$J,ROW()-8)="",TODAY(),INDEX(Transactions!$G:$G,ROW()-8))</f>
      </c>
      <c r="F3030">
        <f>IF(INDEX(Transactions!$J:$J,ROW()-8)="",0,INDEX(Transactions!$O:$O,ROW()-8))</f>
      </c>
    </row>
    <row r="3031" spans="1:7">
      <c r="B3031">
        <f>IF(INDEX(Transactions!$J:$J,ROW()-8)="",TODAY(),INDEX(Transactions!$G:$G,ROW()-8))</f>
      </c>
      <c r="F3031">
        <f>IF(INDEX(Transactions!$J:$J,ROW()-8)="",0,INDEX(Transactions!$O:$O,ROW()-8))</f>
      </c>
    </row>
    <row r="3032" spans="1:7">
      <c r="B3032">
        <f>IF(INDEX(Transactions!$J:$J,ROW()-8)="",TODAY(),INDEX(Transactions!$G:$G,ROW()-8))</f>
      </c>
      <c r="F3032">
        <f>IF(INDEX(Transactions!$J:$J,ROW()-8)="",0,INDEX(Transactions!$O:$O,ROW()-8))</f>
      </c>
    </row>
    <row r="3033" spans="1:7">
      <c r="B3033">
        <f>IF(INDEX(Transactions!$J:$J,ROW()-8)="",TODAY(),INDEX(Transactions!$G:$G,ROW()-8))</f>
      </c>
      <c r="F3033">
        <f>IF(INDEX(Transactions!$J:$J,ROW()-8)="",0,INDEX(Transactions!$O:$O,ROW()-8))</f>
      </c>
    </row>
    <row r="3034" spans="1:7">
      <c r="B3034">
        <f>IF(INDEX(Transactions!$J:$J,ROW()-8)="",TODAY(),INDEX(Transactions!$G:$G,ROW()-8))</f>
      </c>
      <c r="F3034">
        <f>IF(INDEX(Transactions!$J:$J,ROW()-8)="",0,INDEX(Transactions!$O:$O,ROW()-8))</f>
      </c>
    </row>
    <row r="3035" spans="1:7">
      <c r="B3035">
        <f>IF(INDEX(Transactions!$J:$J,ROW()-8)="",TODAY(),INDEX(Transactions!$G:$G,ROW()-8))</f>
      </c>
      <c r="F3035">
        <f>IF(INDEX(Transactions!$J:$J,ROW()-8)="",0,INDEX(Transactions!$O:$O,ROW()-8))</f>
      </c>
    </row>
    <row r="3036" spans="1:7">
      <c r="B3036">
        <f>IF(INDEX(Transactions!$J:$J,ROW()-8)="",TODAY(),INDEX(Transactions!$G:$G,ROW()-8))</f>
      </c>
      <c r="F3036">
        <f>IF(INDEX(Transactions!$J:$J,ROW()-8)="",0,INDEX(Transactions!$O:$O,ROW()-8))</f>
      </c>
    </row>
    <row r="3037" spans="1:7">
      <c r="B3037">
        <f>IF(INDEX(Transactions!$J:$J,ROW()-8)="",TODAY(),INDEX(Transactions!$G:$G,ROW()-8))</f>
      </c>
      <c r="F3037">
        <f>IF(INDEX(Transactions!$J:$J,ROW()-8)="",0,INDEX(Transactions!$O:$O,ROW()-8))</f>
      </c>
    </row>
    <row r="3038" spans="1:7">
      <c r="B3038">
        <f>IF(INDEX(Transactions!$J:$J,ROW()-8)="",TODAY(),INDEX(Transactions!$G:$G,ROW()-8))</f>
      </c>
      <c r="F3038">
        <f>IF(INDEX(Transactions!$J:$J,ROW()-8)="",0,INDEX(Transactions!$O:$O,ROW()-8))</f>
      </c>
    </row>
    <row r="3039" spans="1:7">
      <c r="B3039">
        <f>IF(INDEX(Transactions!$J:$J,ROW()-8)="",TODAY(),INDEX(Transactions!$G:$G,ROW()-8))</f>
      </c>
      <c r="F3039">
        <f>IF(INDEX(Transactions!$J:$J,ROW()-8)="",0,INDEX(Transactions!$O:$O,ROW()-8))</f>
      </c>
    </row>
    <row r="3040" spans="1:7">
      <c r="B3040">
        <f>IF(INDEX(Transactions!$J:$J,ROW()-8)="",TODAY(),INDEX(Transactions!$G:$G,ROW()-8))</f>
      </c>
      <c r="F3040">
        <f>IF(INDEX(Transactions!$J:$J,ROW()-8)="",0,INDEX(Transactions!$O:$O,ROW()-8))</f>
      </c>
    </row>
    <row r="3041" spans="1:7">
      <c r="B3041">
        <f>IF(INDEX(Transactions!$J:$J,ROW()-8)="",TODAY(),INDEX(Transactions!$G:$G,ROW()-8))</f>
      </c>
      <c r="F3041">
        <f>IF(INDEX(Transactions!$J:$J,ROW()-8)="",0,INDEX(Transactions!$O:$O,ROW()-8))</f>
      </c>
    </row>
    <row r="3042" spans="1:7">
      <c r="B3042">
        <f>IF(INDEX(Transactions!$J:$J,ROW()-8)="",TODAY(),INDEX(Transactions!$G:$G,ROW()-8))</f>
      </c>
      <c r="F3042">
        <f>IF(INDEX(Transactions!$J:$J,ROW()-8)="",0,INDEX(Transactions!$O:$O,ROW()-8))</f>
      </c>
    </row>
    <row r="3043" spans="1:7">
      <c r="B3043">
        <f>IF(INDEX(Transactions!$J:$J,ROW()-8)="",TODAY(),INDEX(Transactions!$G:$G,ROW()-8))</f>
      </c>
      <c r="F3043">
        <f>IF(INDEX(Transactions!$J:$J,ROW()-8)="",0,INDEX(Transactions!$O:$O,ROW()-8))</f>
      </c>
    </row>
    <row r="3044" spans="1:7">
      <c r="B3044">
        <f>IF(INDEX(Transactions!$J:$J,ROW()-8)="",TODAY(),INDEX(Transactions!$G:$G,ROW()-8))</f>
      </c>
      <c r="F3044">
        <f>IF(INDEX(Transactions!$J:$J,ROW()-8)="",0,INDEX(Transactions!$O:$O,ROW()-8))</f>
      </c>
    </row>
    <row r="3045" spans="1:7">
      <c r="B3045">
        <f>IF(INDEX(Transactions!$J:$J,ROW()-8)="",TODAY(),INDEX(Transactions!$G:$G,ROW()-8))</f>
      </c>
      <c r="F3045">
        <f>IF(INDEX(Transactions!$J:$J,ROW()-8)="",0,INDEX(Transactions!$O:$O,ROW()-8))</f>
      </c>
    </row>
    <row r="3046" spans="1:7">
      <c r="B3046">
        <f>IF(INDEX(Transactions!$J:$J,ROW()-8)="",TODAY(),INDEX(Transactions!$G:$G,ROW()-8))</f>
      </c>
      <c r="F3046">
        <f>IF(INDEX(Transactions!$J:$J,ROW()-8)="",0,INDEX(Transactions!$O:$O,ROW()-8))</f>
      </c>
    </row>
    <row r="3047" spans="1:7">
      <c r="B3047">
        <f>IF(INDEX(Transactions!$J:$J,ROW()-8)="",TODAY(),INDEX(Transactions!$G:$G,ROW()-8))</f>
      </c>
      <c r="F3047">
        <f>IF(INDEX(Transactions!$J:$J,ROW()-8)="",0,INDEX(Transactions!$O:$O,ROW()-8))</f>
      </c>
    </row>
    <row r="3048" spans="1:7">
      <c r="B3048">
        <f>IF(INDEX(Transactions!$J:$J,ROW()-8)="",TODAY(),INDEX(Transactions!$G:$G,ROW()-8))</f>
      </c>
      <c r="F3048">
        <f>IF(INDEX(Transactions!$J:$J,ROW()-8)="",0,INDEX(Transactions!$O:$O,ROW()-8))</f>
      </c>
    </row>
    <row r="3049" spans="1:7">
      <c r="B3049">
        <f>IF(INDEX(Transactions!$J:$J,ROW()-8)="",TODAY(),INDEX(Transactions!$G:$G,ROW()-8))</f>
      </c>
      <c r="F3049">
        <f>IF(INDEX(Transactions!$J:$J,ROW()-8)="",0,INDEX(Transactions!$O:$O,ROW()-8))</f>
      </c>
    </row>
    <row r="3050" spans="1:7">
      <c r="B3050">
        <f>IF(INDEX(Transactions!$J:$J,ROW()-8)="",TODAY(),INDEX(Transactions!$G:$G,ROW()-8))</f>
      </c>
      <c r="F3050">
        <f>IF(INDEX(Transactions!$J:$J,ROW()-8)="",0,INDEX(Transactions!$O:$O,ROW()-8))</f>
      </c>
    </row>
    <row r="3051" spans="1:7">
      <c r="B3051">
        <f>IF(INDEX(Transactions!$J:$J,ROW()-8)="",TODAY(),INDEX(Transactions!$G:$G,ROW()-8))</f>
      </c>
      <c r="F3051">
        <f>IF(INDEX(Transactions!$J:$J,ROW()-8)="",0,INDEX(Transactions!$O:$O,ROW()-8))</f>
      </c>
    </row>
    <row r="3052" spans="1:7">
      <c r="B3052">
        <f>IF(INDEX(Transactions!$J:$J,ROW()-8)="",TODAY(),INDEX(Transactions!$G:$G,ROW()-8))</f>
      </c>
      <c r="F3052">
        <f>IF(INDEX(Transactions!$J:$J,ROW()-8)="",0,INDEX(Transactions!$O:$O,ROW()-8))</f>
      </c>
    </row>
    <row r="3053" spans="1:7">
      <c r="B3053">
        <f>IF(INDEX(Transactions!$J:$J,ROW()-8)="",TODAY(),INDEX(Transactions!$G:$G,ROW()-8))</f>
      </c>
      <c r="F3053">
        <f>IF(INDEX(Transactions!$J:$J,ROW()-8)="",0,INDEX(Transactions!$O:$O,ROW()-8))</f>
      </c>
    </row>
    <row r="3054" spans="1:7">
      <c r="B3054">
        <f>IF(INDEX(Transactions!$J:$J,ROW()-8)="",TODAY(),INDEX(Transactions!$G:$G,ROW()-8))</f>
      </c>
      <c r="F3054">
        <f>IF(INDEX(Transactions!$J:$J,ROW()-8)="",0,INDEX(Transactions!$O:$O,ROW()-8))</f>
      </c>
    </row>
    <row r="3055" spans="1:7">
      <c r="B3055">
        <f>IF(INDEX(Transactions!$J:$J,ROW()-8)="",TODAY(),INDEX(Transactions!$G:$G,ROW()-8))</f>
      </c>
      <c r="F3055">
        <f>IF(INDEX(Transactions!$J:$J,ROW()-8)="",0,INDEX(Transactions!$O:$O,ROW()-8))</f>
      </c>
    </row>
    <row r="3056" spans="1:7">
      <c r="B3056">
        <f>IF(INDEX(Transactions!$J:$J,ROW()-8)="",TODAY(),INDEX(Transactions!$G:$G,ROW()-8))</f>
      </c>
      <c r="F3056">
        <f>IF(INDEX(Transactions!$J:$J,ROW()-8)="",0,INDEX(Transactions!$O:$O,ROW()-8))</f>
      </c>
    </row>
    <row r="3057" spans="1:7">
      <c r="B3057">
        <f>IF(INDEX(Transactions!$J:$J,ROW()-8)="",TODAY(),INDEX(Transactions!$G:$G,ROW()-8))</f>
      </c>
      <c r="F3057">
        <f>IF(INDEX(Transactions!$J:$J,ROW()-8)="",0,INDEX(Transactions!$O:$O,ROW()-8))</f>
      </c>
    </row>
    <row r="3058" spans="1:7">
      <c r="B3058">
        <f>IF(INDEX(Transactions!$J:$J,ROW()-8)="",TODAY(),INDEX(Transactions!$G:$G,ROW()-8))</f>
      </c>
      <c r="F3058">
        <f>IF(INDEX(Transactions!$J:$J,ROW()-8)="",0,INDEX(Transactions!$O:$O,ROW()-8))</f>
      </c>
    </row>
    <row r="3059" spans="1:7">
      <c r="B3059">
        <f>IF(INDEX(Transactions!$J:$J,ROW()-8)="",TODAY(),INDEX(Transactions!$G:$G,ROW()-8))</f>
      </c>
      <c r="F3059">
        <f>IF(INDEX(Transactions!$J:$J,ROW()-8)="",0,INDEX(Transactions!$O:$O,ROW()-8))</f>
      </c>
    </row>
    <row r="3060" spans="1:7">
      <c r="B3060">
        <f>IF(INDEX(Transactions!$J:$J,ROW()-8)="",TODAY(),INDEX(Transactions!$G:$G,ROW()-8))</f>
      </c>
      <c r="F3060">
        <f>IF(INDEX(Transactions!$J:$J,ROW()-8)="",0,INDEX(Transactions!$O:$O,ROW()-8))</f>
      </c>
    </row>
    <row r="3061" spans="1:7">
      <c r="B3061">
        <f>IF(INDEX(Transactions!$J:$J,ROW()-8)="",TODAY(),INDEX(Transactions!$G:$G,ROW()-8))</f>
      </c>
      <c r="F3061">
        <f>IF(INDEX(Transactions!$J:$J,ROW()-8)="",0,INDEX(Transactions!$O:$O,ROW()-8))</f>
      </c>
    </row>
    <row r="3062" spans="1:7">
      <c r="B3062">
        <f>IF(INDEX(Transactions!$J:$J,ROW()-8)="",TODAY(),INDEX(Transactions!$G:$G,ROW()-8))</f>
      </c>
      <c r="F3062">
        <f>IF(INDEX(Transactions!$J:$J,ROW()-8)="",0,INDEX(Transactions!$O:$O,ROW()-8))</f>
      </c>
    </row>
    <row r="3063" spans="1:7">
      <c r="B3063">
        <f>IF(INDEX(Transactions!$J:$J,ROW()-8)="",TODAY(),INDEX(Transactions!$G:$G,ROW()-8))</f>
      </c>
      <c r="F3063">
        <f>IF(INDEX(Transactions!$J:$J,ROW()-8)="",0,INDEX(Transactions!$O:$O,ROW()-8))</f>
      </c>
    </row>
    <row r="3064" spans="1:7">
      <c r="B3064">
        <f>IF(INDEX(Transactions!$J:$J,ROW()-8)="",TODAY(),INDEX(Transactions!$G:$G,ROW()-8))</f>
      </c>
      <c r="F3064">
        <f>IF(INDEX(Transactions!$J:$J,ROW()-8)="",0,INDEX(Transactions!$O:$O,ROW()-8))</f>
      </c>
    </row>
    <row r="3065" spans="1:7">
      <c r="B3065">
        <f>IF(INDEX(Transactions!$J:$J,ROW()-8)="",TODAY(),INDEX(Transactions!$G:$G,ROW()-8))</f>
      </c>
      <c r="F3065">
        <f>IF(INDEX(Transactions!$J:$J,ROW()-8)="",0,INDEX(Transactions!$O:$O,ROW()-8))</f>
      </c>
    </row>
    <row r="3066" spans="1:7">
      <c r="B3066">
        <f>IF(INDEX(Transactions!$J:$J,ROW()-8)="",TODAY(),INDEX(Transactions!$G:$G,ROW()-8))</f>
      </c>
      <c r="F3066">
        <f>IF(INDEX(Transactions!$J:$J,ROW()-8)="",0,INDEX(Transactions!$O:$O,ROW()-8))</f>
      </c>
    </row>
    <row r="3067" spans="1:7">
      <c r="B3067">
        <f>IF(INDEX(Transactions!$J:$J,ROW()-8)="",TODAY(),INDEX(Transactions!$G:$G,ROW()-8))</f>
      </c>
      <c r="F3067">
        <f>IF(INDEX(Transactions!$J:$J,ROW()-8)="",0,INDEX(Transactions!$O:$O,ROW()-8))</f>
      </c>
    </row>
    <row r="3068" spans="1:7">
      <c r="B3068">
        <f>IF(INDEX(Transactions!$J:$J,ROW()-8)="",TODAY(),INDEX(Transactions!$G:$G,ROW()-8))</f>
      </c>
      <c r="F3068">
        <f>IF(INDEX(Transactions!$J:$J,ROW()-8)="",0,INDEX(Transactions!$O:$O,ROW()-8))</f>
      </c>
    </row>
    <row r="3069" spans="1:7">
      <c r="B3069">
        <f>IF(INDEX(Transactions!$J:$J,ROW()-8)="",TODAY(),INDEX(Transactions!$G:$G,ROW()-8))</f>
      </c>
      <c r="F3069">
        <f>IF(INDEX(Transactions!$J:$J,ROW()-8)="",0,INDEX(Transactions!$O:$O,ROW()-8))</f>
      </c>
    </row>
    <row r="3070" spans="1:7">
      <c r="B3070">
        <f>IF(INDEX(Transactions!$J:$J,ROW()-8)="",TODAY(),INDEX(Transactions!$G:$G,ROW()-8))</f>
      </c>
      <c r="F3070">
        <f>IF(INDEX(Transactions!$J:$J,ROW()-8)="",0,INDEX(Transactions!$O:$O,ROW()-8))</f>
      </c>
    </row>
    <row r="3071" spans="1:7">
      <c r="B3071">
        <f>IF(INDEX(Transactions!$J:$J,ROW()-8)="",TODAY(),INDEX(Transactions!$G:$G,ROW()-8))</f>
      </c>
      <c r="F3071">
        <f>IF(INDEX(Transactions!$J:$J,ROW()-8)="",0,INDEX(Transactions!$O:$O,ROW()-8))</f>
      </c>
    </row>
    <row r="3072" spans="1:7">
      <c r="B3072">
        <f>IF(INDEX(Transactions!$J:$J,ROW()-8)="",TODAY(),INDEX(Transactions!$G:$G,ROW()-8))</f>
      </c>
      <c r="F3072">
        <f>IF(INDEX(Transactions!$J:$J,ROW()-8)="",0,INDEX(Transactions!$O:$O,ROW()-8))</f>
      </c>
    </row>
    <row r="3073" spans="1:7">
      <c r="B3073">
        <f>IF(INDEX(Transactions!$J:$J,ROW()-8)="",TODAY(),INDEX(Transactions!$G:$G,ROW()-8))</f>
      </c>
      <c r="F3073">
        <f>IF(INDEX(Transactions!$J:$J,ROW()-8)="",0,INDEX(Transactions!$O:$O,ROW()-8))</f>
      </c>
    </row>
    <row r="3074" spans="1:7">
      <c r="B3074">
        <f>IF(INDEX(Transactions!$J:$J,ROW()-8)="",TODAY(),INDEX(Transactions!$G:$G,ROW()-8))</f>
      </c>
      <c r="F3074">
        <f>IF(INDEX(Transactions!$J:$J,ROW()-8)="",0,INDEX(Transactions!$O:$O,ROW()-8))</f>
      </c>
    </row>
    <row r="3075" spans="1:7">
      <c r="B3075">
        <f>IF(INDEX(Transactions!$J:$J,ROW()-8)="",TODAY(),INDEX(Transactions!$G:$G,ROW()-8))</f>
      </c>
      <c r="F3075">
        <f>IF(INDEX(Transactions!$J:$J,ROW()-8)="",0,INDEX(Transactions!$O:$O,ROW()-8))</f>
      </c>
    </row>
    <row r="3076" spans="1:7">
      <c r="B3076">
        <f>IF(INDEX(Transactions!$J:$J,ROW()-8)="",TODAY(),INDEX(Transactions!$G:$G,ROW()-8))</f>
      </c>
      <c r="F3076">
        <f>IF(INDEX(Transactions!$J:$J,ROW()-8)="",0,INDEX(Transactions!$O:$O,ROW()-8))</f>
      </c>
    </row>
    <row r="3077" spans="1:7">
      <c r="B3077">
        <f>IF(INDEX(Transactions!$J:$J,ROW()-8)="",TODAY(),INDEX(Transactions!$G:$G,ROW()-8))</f>
      </c>
      <c r="F3077">
        <f>IF(INDEX(Transactions!$J:$J,ROW()-8)="",0,INDEX(Transactions!$O:$O,ROW()-8))</f>
      </c>
    </row>
    <row r="3078" spans="1:7">
      <c r="B3078">
        <f>IF(INDEX(Transactions!$J:$J,ROW()-8)="",TODAY(),INDEX(Transactions!$G:$G,ROW()-8))</f>
      </c>
      <c r="F3078">
        <f>IF(INDEX(Transactions!$J:$J,ROW()-8)="",0,INDEX(Transactions!$O:$O,ROW()-8))</f>
      </c>
    </row>
    <row r="3079" spans="1:7">
      <c r="B3079">
        <f>IF(INDEX(Transactions!$J:$J,ROW()-8)="",TODAY(),INDEX(Transactions!$G:$G,ROW()-8))</f>
      </c>
      <c r="F3079">
        <f>IF(INDEX(Transactions!$J:$J,ROW()-8)="",0,INDEX(Transactions!$O:$O,ROW()-8))</f>
      </c>
    </row>
    <row r="3080" spans="1:7">
      <c r="B3080">
        <f>IF(INDEX(Transactions!$J:$J,ROW()-8)="",TODAY(),INDEX(Transactions!$G:$G,ROW()-8))</f>
      </c>
      <c r="F3080">
        <f>IF(INDEX(Transactions!$J:$J,ROW()-8)="",0,INDEX(Transactions!$O:$O,ROW()-8))</f>
      </c>
    </row>
    <row r="3081" spans="1:7">
      <c r="B3081">
        <f>IF(INDEX(Transactions!$J:$J,ROW()-8)="",TODAY(),INDEX(Transactions!$G:$G,ROW()-8))</f>
      </c>
      <c r="F3081">
        <f>IF(INDEX(Transactions!$J:$J,ROW()-8)="",0,INDEX(Transactions!$O:$O,ROW()-8))</f>
      </c>
    </row>
    <row r="3082" spans="1:7">
      <c r="B3082">
        <f>IF(INDEX(Transactions!$J:$J,ROW()-8)="",TODAY(),INDEX(Transactions!$G:$G,ROW()-8))</f>
      </c>
      <c r="F3082">
        <f>IF(INDEX(Transactions!$J:$J,ROW()-8)="",0,INDEX(Transactions!$O:$O,ROW()-8))</f>
      </c>
    </row>
    <row r="3083" spans="1:7">
      <c r="B3083">
        <f>IF(INDEX(Transactions!$J:$J,ROW()-8)="",TODAY(),INDEX(Transactions!$G:$G,ROW()-8))</f>
      </c>
      <c r="F3083">
        <f>IF(INDEX(Transactions!$J:$J,ROW()-8)="",0,INDEX(Transactions!$O:$O,ROW()-8))</f>
      </c>
    </row>
    <row r="3084" spans="1:7">
      <c r="B3084">
        <f>IF(INDEX(Transactions!$J:$J,ROW()-8)="",TODAY(),INDEX(Transactions!$G:$G,ROW()-8))</f>
      </c>
      <c r="F3084">
        <f>IF(INDEX(Transactions!$J:$J,ROW()-8)="",0,INDEX(Transactions!$O:$O,ROW()-8))</f>
      </c>
    </row>
    <row r="3085" spans="1:7">
      <c r="B3085">
        <f>IF(INDEX(Transactions!$J:$J,ROW()-8)="",TODAY(),INDEX(Transactions!$G:$G,ROW()-8))</f>
      </c>
      <c r="F3085">
        <f>IF(INDEX(Transactions!$J:$J,ROW()-8)="",0,INDEX(Transactions!$O:$O,ROW()-8))</f>
      </c>
    </row>
    <row r="3086" spans="1:7">
      <c r="B3086">
        <f>IF(INDEX(Transactions!$J:$J,ROW()-8)="",TODAY(),INDEX(Transactions!$G:$G,ROW()-8))</f>
      </c>
      <c r="F3086">
        <f>IF(INDEX(Transactions!$J:$J,ROW()-8)="",0,INDEX(Transactions!$O:$O,ROW()-8))</f>
      </c>
    </row>
    <row r="3087" spans="1:7">
      <c r="B3087">
        <f>IF(INDEX(Transactions!$J:$J,ROW()-8)="",TODAY(),INDEX(Transactions!$G:$G,ROW()-8))</f>
      </c>
      <c r="F3087">
        <f>IF(INDEX(Transactions!$J:$J,ROW()-8)="",0,INDEX(Transactions!$O:$O,ROW()-8))</f>
      </c>
    </row>
    <row r="3088" spans="1:7">
      <c r="B3088">
        <f>IF(INDEX(Transactions!$J:$J,ROW()-8)="",TODAY(),INDEX(Transactions!$G:$G,ROW()-8))</f>
      </c>
      <c r="F3088">
        <f>IF(INDEX(Transactions!$J:$J,ROW()-8)="",0,INDEX(Transactions!$O:$O,ROW()-8))</f>
      </c>
    </row>
    <row r="3089" spans="1:7">
      <c r="B3089">
        <f>IF(INDEX(Transactions!$J:$J,ROW()-8)="",TODAY(),INDEX(Transactions!$G:$G,ROW()-8))</f>
      </c>
      <c r="F3089">
        <f>IF(INDEX(Transactions!$J:$J,ROW()-8)="",0,INDEX(Transactions!$O:$O,ROW()-8))</f>
      </c>
    </row>
    <row r="3090" spans="1:7">
      <c r="B3090">
        <f>IF(INDEX(Transactions!$J:$J,ROW()-8)="",TODAY(),INDEX(Transactions!$G:$G,ROW()-8))</f>
      </c>
      <c r="F3090">
        <f>IF(INDEX(Transactions!$J:$J,ROW()-8)="",0,INDEX(Transactions!$O:$O,ROW()-8))</f>
      </c>
    </row>
    <row r="3091" spans="1:7">
      <c r="B3091">
        <f>IF(INDEX(Transactions!$J:$J,ROW()-8)="",TODAY(),INDEX(Transactions!$G:$G,ROW()-8))</f>
      </c>
      <c r="F3091">
        <f>IF(INDEX(Transactions!$J:$J,ROW()-8)="",0,INDEX(Transactions!$O:$O,ROW()-8))</f>
      </c>
    </row>
    <row r="3092" spans="1:7">
      <c r="B3092">
        <f>IF(INDEX(Transactions!$J:$J,ROW()-8)="",TODAY(),INDEX(Transactions!$G:$G,ROW()-8))</f>
      </c>
      <c r="F3092">
        <f>IF(INDEX(Transactions!$J:$J,ROW()-8)="",0,INDEX(Transactions!$O:$O,ROW()-8))</f>
      </c>
    </row>
    <row r="3093" spans="1:7">
      <c r="B3093">
        <f>IF(INDEX(Transactions!$J:$J,ROW()-8)="",TODAY(),INDEX(Transactions!$G:$G,ROW()-8))</f>
      </c>
      <c r="F3093">
        <f>IF(INDEX(Transactions!$J:$J,ROW()-8)="",0,INDEX(Transactions!$O:$O,ROW()-8))</f>
      </c>
    </row>
    <row r="3094" spans="1:7">
      <c r="B3094">
        <f>IF(INDEX(Transactions!$J:$J,ROW()-8)="",TODAY(),INDEX(Transactions!$G:$G,ROW()-8))</f>
      </c>
      <c r="F3094">
        <f>IF(INDEX(Transactions!$J:$J,ROW()-8)="",0,INDEX(Transactions!$O:$O,ROW()-8))</f>
      </c>
    </row>
    <row r="3095" spans="1:7">
      <c r="B3095">
        <f>IF(INDEX(Transactions!$J:$J,ROW()-8)="",TODAY(),INDEX(Transactions!$G:$G,ROW()-8))</f>
      </c>
      <c r="F3095">
        <f>IF(INDEX(Transactions!$J:$J,ROW()-8)="",0,INDEX(Transactions!$O:$O,ROW()-8))</f>
      </c>
    </row>
    <row r="3096" spans="1:7">
      <c r="B3096">
        <f>IF(INDEX(Transactions!$J:$J,ROW()-8)="",TODAY(),INDEX(Transactions!$G:$G,ROW()-8))</f>
      </c>
      <c r="F3096">
        <f>IF(INDEX(Transactions!$J:$J,ROW()-8)="",0,INDEX(Transactions!$O:$O,ROW()-8))</f>
      </c>
    </row>
    <row r="3097" spans="1:7">
      <c r="B3097">
        <f>IF(INDEX(Transactions!$J:$J,ROW()-8)="",TODAY(),INDEX(Transactions!$G:$G,ROW()-8))</f>
      </c>
      <c r="F3097">
        <f>IF(INDEX(Transactions!$J:$J,ROW()-8)="",0,INDEX(Transactions!$O:$O,ROW()-8))</f>
      </c>
    </row>
    <row r="3098" spans="1:7">
      <c r="B3098">
        <f>IF(INDEX(Transactions!$J:$J,ROW()-8)="",TODAY(),INDEX(Transactions!$G:$G,ROW()-8))</f>
      </c>
      <c r="F3098">
        <f>IF(INDEX(Transactions!$J:$J,ROW()-8)="",0,INDEX(Transactions!$O:$O,ROW()-8))</f>
      </c>
    </row>
    <row r="3099" spans="1:7">
      <c r="B3099">
        <f>IF(INDEX(Transactions!$J:$J,ROW()-8)="",TODAY(),INDEX(Transactions!$G:$G,ROW()-8))</f>
      </c>
      <c r="F3099">
        <f>IF(INDEX(Transactions!$J:$J,ROW()-8)="",0,INDEX(Transactions!$O:$O,ROW()-8))</f>
      </c>
    </row>
    <row r="3100" spans="1:7">
      <c r="B3100">
        <f>IF(INDEX(Transactions!$J:$J,ROW()-8)="",TODAY(),INDEX(Transactions!$G:$G,ROW()-8))</f>
      </c>
      <c r="F3100">
        <f>IF(INDEX(Transactions!$J:$J,ROW()-8)="",0,INDEX(Transactions!$O:$O,ROW()-8))</f>
      </c>
    </row>
    <row r="3101" spans="1:7">
      <c r="B3101">
        <f>IF(INDEX(Transactions!$J:$J,ROW()-8)="",TODAY(),INDEX(Transactions!$G:$G,ROW()-8))</f>
      </c>
      <c r="F3101">
        <f>IF(INDEX(Transactions!$J:$J,ROW()-8)="",0,INDEX(Transactions!$O:$O,ROW()-8))</f>
      </c>
    </row>
    <row r="3102" spans="1:7">
      <c r="B3102">
        <f>IF(INDEX(Transactions!$J:$J,ROW()-8)="",TODAY(),INDEX(Transactions!$G:$G,ROW()-8))</f>
      </c>
      <c r="F3102">
        <f>IF(INDEX(Transactions!$J:$J,ROW()-8)="",0,INDEX(Transactions!$O:$O,ROW()-8))</f>
      </c>
    </row>
    <row r="3103" spans="1:7">
      <c r="B3103">
        <f>IF(INDEX(Transactions!$J:$J,ROW()-8)="",TODAY(),INDEX(Transactions!$G:$G,ROW()-8))</f>
      </c>
      <c r="F3103">
        <f>IF(INDEX(Transactions!$J:$J,ROW()-8)="",0,INDEX(Transactions!$O:$O,ROW()-8))</f>
      </c>
    </row>
    <row r="3104" spans="1:7">
      <c r="B3104">
        <f>IF(INDEX(Transactions!$J:$J,ROW()-8)="",TODAY(),INDEX(Transactions!$G:$G,ROW()-8))</f>
      </c>
      <c r="F3104">
        <f>IF(INDEX(Transactions!$J:$J,ROW()-8)="",0,INDEX(Transactions!$O:$O,ROW()-8))</f>
      </c>
    </row>
    <row r="3105" spans="1:7">
      <c r="B3105">
        <f>IF(INDEX(Transactions!$J:$J,ROW()-8)="",TODAY(),INDEX(Transactions!$G:$G,ROW()-8))</f>
      </c>
      <c r="F3105">
        <f>IF(INDEX(Transactions!$J:$J,ROW()-8)="",0,INDEX(Transactions!$O:$O,ROW()-8))</f>
      </c>
    </row>
    <row r="3106" spans="1:7">
      <c r="B3106">
        <f>IF(INDEX(Transactions!$J:$J,ROW()-8)="",TODAY(),INDEX(Transactions!$G:$G,ROW()-8))</f>
      </c>
      <c r="F3106">
        <f>IF(INDEX(Transactions!$J:$J,ROW()-8)="",0,INDEX(Transactions!$O:$O,ROW()-8))</f>
      </c>
    </row>
    <row r="3107" spans="1:7">
      <c r="B3107">
        <f>IF(INDEX(Transactions!$J:$J,ROW()-8)="",TODAY(),INDEX(Transactions!$G:$G,ROW()-8))</f>
      </c>
      <c r="F3107">
        <f>IF(INDEX(Transactions!$J:$J,ROW()-8)="",0,INDEX(Transactions!$O:$O,ROW()-8))</f>
      </c>
    </row>
    <row r="3108" spans="1:7">
      <c r="B3108">
        <f>IF(INDEX(Transactions!$J:$J,ROW()-8)="",TODAY(),INDEX(Transactions!$G:$G,ROW()-8))</f>
      </c>
      <c r="F3108">
        <f>IF(INDEX(Transactions!$J:$J,ROW()-8)="",0,INDEX(Transactions!$O:$O,ROW()-8))</f>
      </c>
    </row>
    <row r="3109" spans="1:7">
      <c r="B3109">
        <f>IF(INDEX(Transactions!$J:$J,ROW()-8)="",TODAY(),INDEX(Transactions!$G:$G,ROW()-8))</f>
      </c>
      <c r="F3109">
        <f>IF(INDEX(Transactions!$J:$J,ROW()-8)="",0,INDEX(Transactions!$O:$O,ROW()-8))</f>
      </c>
    </row>
    <row r="3110" spans="1:7">
      <c r="B3110">
        <f>IF(INDEX(Transactions!$J:$J,ROW()-8)="",TODAY(),INDEX(Transactions!$G:$G,ROW()-8))</f>
      </c>
      <c r="F3110">
        <f>IF(INDEX(Transactions!$J:$J,ROW()-8)="",0,INDEX(Transactions!$O:$O,ROW()-8))</f>
      </c>
    </row>
    <row r="3111" spans="1:7">
      <c r="B3111">
        <f>IF(INDEX(Transactions!$J:$J,ROW()-8)="",TODAY(),INDEX(Transactions!$G:$G,ROW()-8))</f>
      </c>
      <c r="F3111">
        <f>IF(INDEX(Transactions!$J:$J,ROW()-8)="",0,INDEX(Transactions!$O:$O,ROW()-8))</f>
      </c>
    </row>
    <row r="3112" spans="1:7">
      <c r="B3112">
        <f>IF(INDEX(Transactions!$J:$J,ROW()-8)="",TODAY(),INDEX(Transactions!$G:$G,ROW()-8))</f>
      </c>
      <c r="F3112">
        <f>IF(INDEX(Transactions!$J:$J,ROW()-8)="",0,INDEX(Transactions!$O:$O,ROW()-8))</f>
      </c>
    </row>
    <row r="3113" spans="1:7">
      <c r="B3113">
        <f>IF(INDEX(Transactions!$J:$J,ROW()-8)="",TODAY(),INDEX(Transactions!$G:$G,ROW()-8))</f>
      </c>
      <c r="F3113">
        <f>IF(INDEX(Transactions!$J:$J,ROW()-8)="",0,INDEX(Transactions!$O:$O,ROW()-8))</f>
      </c>
    </row>
    <row r="3114" spans="1:7">
      <c r="B3114">
        <f>IF(INDEX(Transactions!$J:$J,ROW()-8)="",TODAY(),INDEX(Transactions!$G:$G,ROW()-8))</f>
      </c>
      <c r="F3114">
        <f>IF(INDEX(Transactions!$J:$J,ROW()-8)="",0,INDEX(Transactions!$O:$O,ROW()-8))</f>
      </c>
    </row>
    <row r="3115" spans="1:7">
      <c r="B3115">
        <f>IF(INDEX(Transactions!$J:$J,ROW()-8)="",TODAY(),INDEX(Transactions!$G:$G,ROW()-8))</f>
      </c>
      <c r="F3115">
        <f>IF(INDEX(Transactions!$J:$J,ROW()-8)="",0,INDEX(Transactions!$O:$O,ROW()-8))</f>
      </c>
    </row>
    <row r="3116" spans="1:7">
      <c r="B3116">
        <f>IF(INDEX(Transactions!$J:$J,ROW()-8)="",TODAY(),INDEX(Transactions!$G:$G,ROW()-8))</f>
      </c>
      <c r="F3116">
        <f>IF(INDEX(Transactions!$J:$J,ROW()-8)="",0,INDEX(Transactions!$O:$O,ROW()-8))</f>
      </c>
    </row>
    <row r="3117" spans="1:7">
      <c r="B3117">
        <f>IF(INDEX(Transactions!$J:$J,ROW()-8)="",TODAY(),INDEX(Transactions!$G:$G,ROW()-8))</f>
      </c>
      <c r="F3117">
        <f>IF(INDEX(Transactions!$J:$J,ROW()-8)="",0,INDEX(Transactions!$O:$O,ROW()-8))</f>
      </c>
    </row>
    <row r="3118" spans="1:7">
      <c r="B3118">
        <f>IF(INDEX(Transactions!$J:$J,ROW()-8)="",TODAY(),INDEX(Transactions!$G:$G,ROW()-8))</f>
      </c>
      <c r="F3118">
        <f>IF(INDEX(Transactions!$J:$J,ROW()-8)="",0,INDEX(Transactions!$O:$O,ROW()-8))</f>
      </c>
    </row>
    <row r="3119" spans="1:7">
      <c r="B3119">
        <f>IF(INDEX(Transactions!$J:$J,ROW()-8)="",TODAY(),INDEX(Transactions!$G:$G,ROW()-8))</f>
      </c>
      <c r="F3119">
        <f>IF(INDEX(Transactions!$J:$J,ROW()-8)="",0,INDEX(Transactions!$O:$O,ROW()-8))</f>
      </c>
    </row>
    <row r="3120" spans="1:7">
      <c r="B3120">
        <f>IF(INDEX(Transactions!$J:$J,ROW()-8)="",TODAY(),INDEX(Transactions!$G:$G,ROW()-8))</f>
      </c>
      <c r="F3120">
        <f>IF(INDEX(Transactions!$J:$J,ROW()-8)="",0,INDEX(Transactions!$O:$O,ROW()-8))</f>
      </c>
    </row>
    <row r="3121" spans="1:7">
      <c r="B3121">
        <f>IF(INDEX(Transactions!$J:$J,ROW()-8)="",TODAY(),INDEX(Transactions!$G:$G,ROW()-8))</f>
      </c>
      <c r="F3121">
        <f>IF(INDEX(Transactions!$J:$J,ROW()-8)="",0,INDEX(Transactions!$O:$O,ROW()-8))</f>
      </c>
    </row>
    <row r="3122" spans="1:7">
      <c r="B3122">
        <f>IF(INDEX(Transactions!$J:$J,ROW()-8)="",TODAY(),INDEX(Transactions!$G:$G,ROW()-8))</f>
      </c>
      <c r="F3122">
        <f>IF(INDEX(Transactions!$J:$J,ROW()-8)="",0,INDEX(Transactions!$O:$O,ROW()-8))</f>
      </c>
    </row>
    <row r="3123" spans="1:7">
      <c r="B3123">
        <f>IF(INDEX(Transactions!$J:$J,ROW()-8)="",TODAY(),INDEX(Transactions!$G:$G,ROW()-8))</f>
      </c>
      <c r="F3123">
        <f>IF(INDEX(Transactions!$J:$J,ROW()-8)="",0,INDEX(Transactions!$O:$O,ROW()-8))</f>
      </c>
    </row>
    <row r="3124" spans="1:7">
      <c r="B3124">
        <f>IF(INDEX(Transactions!$J:$J,ROW()-8)="",TODAY(),INDEX(Transactions!$G:$G,ROW()-8))</f>
      </c>
      <c r="F3124">
        <f>IF(INDEX(Transactions!$J:$J,ROW()-8)="",0,INDEX(Transactions!$O:$O,ROW()-8))</f>
      </c>
    </row>
    <row r="3125" spans="1:7">
      <c r="B3125">
        <f>IF(INDEX(Transactions!$J:$J,ROW()-8)="",TODAY(),INDEX(Transactions!$G:$G,ROW()-8))</f>
      </c>
      <c r="F3125">
        <f>IF(INDEX(Transactions!$J:$J,ROW()-8)="",0,INDEX(Transactions!$O:$O,ROW()-8))</f>
      </c>
    </row>
    <row r="3126" spans="1:7">
      <c r="B3126">
        <f>IF(INDEX(Transactions!$J:$J,ROW()-8)="",TODAY(),INDEX(Transactions!$G:$G,ROW()-8))</f>
      </c>
      <c r="F3126">
        <f>IF(INDEX(Transactions!$J:$J,ROW()-8)="",0,INDEX(Transactions!$O:$O,ROW()-8))</f>
      </c>
    </row>
    <row r="3127" spans="1:7">
      <c r="B3127">
        <f>IF(INDEX(Transactions!$J:$J,ROW()-8)="",TODAY(),INDEX(Transactions!$G:$G,ROW()-8))</f>
      </c>
      <c r="F3127">
        <f>IF(INDEX(Transactions!$J:$J,ROW()-8)="",0,INDEX(Transactions!$O:$O,ROW()-8))</f>
      </c>
    </row>
    <row r="3128" spans="1:7">
      <c r="B3128">
        <f>IF(INDEX(Transactions!$J:$J,ROW()-8)="",TODAY(),INDEX(Transactions!$G:$G,ROW()-8))</f>
      </c>
      <c r="F3128">
        <f>IF(INDEX(Transactions!$J:$J,ROW()-8)="",0,INDEX(Transactions!$O:$O,ROW()-8))</f>
      </c>
    </row>
    <row r="3129" spans="1:7">
      <c r="B3129">
        <f>IF(INDEX(Transactions!$J:$J,ROW()-8)="",TODAY(),INDEX(Transactions!$G:$G,ROW()-8))</f>
      </c>
      <c r="F3129">
        <f>IF(INDEX(Transactions!$J:$J,ROW()-8)="",0,INDEX(Transactions!$O:$O,ROW()-8))</f>
      </c>
    </row>
    <row r="3130" spans="1:7">
      <c r="B3130">
        <f>IF(INDEX(Transactions!$J:$J,ROW()-8)="",TODAY(),INDEX(Transactions!$G:$G,ROW()-8))</f>
      </c>
      <c r="F3130">
        <f>IF(INDEX(Transactions!$J:$J,ROW()-8)="",0,INDEX(Transactions!$O:$O,ROW()-8))</f>
      </c>
    </row>
    <row r="3131" spans="1:7">
      <c r="B3131">
        <f>IF(INDEX(Transactions!$J:$J,ROW()-8)="",TODAY(),INDEX(Transactions!$G:$G,ROW()-8))</f>
      </c>
      <c r="F3131">
        <f>IF(INDEX(Transactions!$J:$J,ROW()-8)="",0,INDEX(Transactions!$O:$O,ROW()-8))</f>
      </c>
    </row>
    <row r="3132" spans="1:7">
      <c r="B3132">
        <f>IF(INDEX(Transactions!$J:$J,ROW()-8)="",TODAY(),INDEX(Transactions!$G:$G,ROW()-8))</f>
      </c>
      <c r="F3132">
        <f>IF(INDEX(Transactions!$J:$J,ROW()-8)="",0,INDEX(Transactions!$O:$O,ROW()-8))</f>
      </c>
    </row>
    <row r="3133" spans="1:7">
      <c r="B3133">
        <f>IF(INDEX(Transactions!$J:$J,ROW()-8)="",TODAY(),INDEX(Transactions!$G:$G,ROW()-8))</f>
      </c>
      <c r="F3133">
        <f>IF(INDEX(Transactions!$J:$J,ROW()-8)="",0,INDEX(Transactions!$O:$O,ROW()-8))</f>
      </c>
    </row>
    <row r="3134" spans="1:7">
      <c r="B3134">
        <f>IF(INDEX(Transactions!$J:$J,ROW()-8)="",TODAY(),INDEX(Transactions!$G:$G,ROW()-8))</f>
      </c>
      <c r="F3134">
        <f>IF(INDEX(Transactions!$J:$J,ROW()-8)="",0,INDEX(Transactions!$O:$O,ROW()-8))</f>
      </c>
    </row>
    <row r="3135" spans="1:7">
      <c r="B3135">
        <f>IF(INDEX(Transactions!$J:$J,ROW()-8)="",TODAY(),INDEX(Transactions!$G:$G,ROW()-8))</f>
      </c>
      <c r="F3135">
        <f>IF(INDEX(Transactions!$J:$J,ROW()-8)="",0,INDEX(Transactions!$O:$O,ROW()-8))</f>
      </c>
    </row>
    <row r="3136" spans="1:7">
      <c r="B3136">
        <f>IF(INDEX(Transactions!$J:$J,ROW()-8)="",TODAY(),INDEX(Transactions!$G:$G,ROW()-8))</f>
      </c>
      <c r="F3136">
        <f>IF(INDEX(Transactions!$J:$J,ROW()-8)="",0,INDEX(Transactions!$O:$O,ROW()-8))</f>
      </c>
    </row>
    <row r="3137" spans="1:7">
      <c r="B3137">
        <f>IF(INDEX(Transactions!$J:$J,ROW()-8)="",TODAY(),INDEX(Transactions!$G:$G,ROW()-8))</f>
      </c>
      <c r="F3137">
        <f>IF(INDEX(Transactions!$J:$J,ROW()-8)="",0,INDEX(Transactions!$O:$O,ROW()-8))</f>
      </c>
    </row>
    <row r="3138" spans="1:7">
      <c r="B3138">
        <f>IF(INDEX(Transactions!$J:$J,ROW()-8)="",TODAY(),INDEX(Transactions!$G:$G,ROW()-8))</f>
      </c>
      <c r="F3138">
        <f>IF(INDEX(Transactions!$J:$J,ROW()-8)="",0,INDEX(Transactions!$O:$O,ROW()-8))</f>
      </c>
    </row>
    <row r="3139" spans="1:7">
      <c r="B3139">
        <f>IF(INDEX(Transactions!$J:$J,ROW()-8)="",TODAY(),INDEX(Transactions!$G:$G,ROW()-8))</f>
      </c>
      <c r="F3139">
        <f>IF(INDEX(Transactions!$J:$J,ROW()-8)="",0,INDEX(Transactions!$O:$O,ROW()-8))</f>
      </c>
    </row>
    <row r="3140" spans="1:7">
      <c r="B3140">
        <f>IF(INDEX(Transactions!$J:$J,ROW()-8)="",TODAY(),INDEX(Transactions!$G:$G,ROW()-8))</f>
      </c>
      <c r="F3140">
        <f>IF(INDEX(Transactions!$J:$J,ROW()-8)="",0,INDEX(Transactions!$O:$O,ROW()-8))</f>
      </c>
    </row>
    <row r="3141" spans="1:7">
      <c r="B3141">
        <f>IF(INDEX(Transactions!$J:$J,ROW()-8)="",TODAY(),INDEX(Transactions!$G:$G,ROW()-8))</f>
      </c>
      <c r="F3141">
        <f>IF(INDEX(Transactions!$J:$J,ROW()-8)="",0,INDEX(Transactions!$O:$O,ROW()-8))</f>
      </c>
    </row>
    <row r="3142" spans="1:7">
      <c r="B3142">
        <f>IF(INDEX(Transactions!$J:$J,ROW()-8)="",TODAY(),INDEX(Transactions!$G:$G,ROW()-8))</f>
      </c>
      <c r="F3142">
        <f>IF(INDEX(Transactions!$J:$J,ROW()-8)="",0,INDEX(Transactions!$O:$O,ROW()-8))</f>
      </c>
    </row>
    <row r="3143" spans="1:7">
      <c r="B3143">
        <f>IF(INDEX(Transactions!$J:$J,ROW()-8)="",TODAY(),INDEX(Transactions!$G:$G,ROW()-8))</f>
      </c>
      <c r="F3143">
        <f>IF(INDEX(Transactions!$J:$J,ROW()-8)="",0,INDEX(Transactions!$O:$O,ROW()-8))</f>
      </c>
    </row>
    <row r="3144" spans="1:7">
      <c r="B3144">
        <f>IF(INDEX(Transactions!$J:$J,ROW()-8)="",TODAY(),INDEX(Transactions!$G:$G,ROW()-8))</f>
      </c>
      <c r="F3144">
        <f>IF(INDEX(Transactions!$J:$J,ROW()-8)="",0,INDEX(Transactions!$O:$O,ROW()-8))</f>
      </c>
    </row>
    <row r="3145" spans="1:7">
      <c r="B3145">
        <f>IF(INDEX(Transactions!$J:$J,ROW()-8)="",TODAY(),INDEX(Transactions!$G:$G,ROW()-8))</f>
      </c>
      <c r="F3145">
        <f>IF(INDEX(Transactions!$J:$J,ROW()-8)="",0,INDEX(Transactions!$O:$O,ROW()-8))</f>
      </c>
    </row>
    <row r="3146" spans="1:7">
      <c r="B3146">
        <f>IF(INDEX(Transactions!$J:$J,ROW()-8)="",TODAY(),INDEX(Transactions!$G:$G,ROW()-8))</f>
      </c>
      <c r="F3146">
        <f>IF(INDEX(Transactions!$J:$J,ROW()-8)="",0,INDEX(Transactions!$O:$O,ROW()-8))</f>
      </c>
    </row>
    <row r="3147" spans="1:7">
      <c r="B3147">
        <f>IF(INDEX(Transactions!$J:$J,ROW()-8)="",TODAY(),INDEX(Transactions!$G:$G,ROW()-8))</f>
      </c>
      <c r="F3147">
        <f>IF(INDEX(Transactions!$J:$J,ROW()-8)="",0,INDEX(Transactions!$O:$O,ROW()-8))</f>
      </c>
    </row>
    <row r="3148" spans="1:7">
      <c r="B3148">
        <f>IF(INDEX(Transactions!$J:$J,ROW()-8)="",TODAY(),INDEX(Transactions!$G:$G,ROW()-8))</f>
      </c>
      <c r="F3148">
        <f>IF(INDEX(Transactions!$J:$J,ROW()-8)="",0,INDEX(Transactions!$O:$O,ROW()-8))</f>
      </c>
    </row>
    <row r="3149" spans="1:7">
      <c r="B3149">
        <f>IF(INDEX(Transactions!$J:$J,ROW()-8)="",TODAY(),INDEX(Transactions!$G:$G,ROW()-8))</f>
      </c>
      <c r="F3149">
        <f>IF(INDEX(Transactions!$J:$J,ROW()-8)="",0,INDEX(Transactions!$O:$O,ROW()-8))</f>
      </c>
    </row>
    <row r="3150" spans="1:7">
      <c r="B3150">
        <f>IF(INDEX(Transactions!$J:$J,ROW()-8)="",TODAY(),INDEX(Transactions!$G:$G,ROW()-8))</f>
      </c>
      <c r="F3150">
        <f>IF(INDEX(Transactions!$J:$J,ROW()-8)="",0,INDEX(Transactions!$O:$O,ROW()-8))</f>
      </c>
    </row>
    <row r="3151" spans="1:7">
      <c r="B3151">
        <f>IF(INDEX(Transactions!$J:$J,ROW()-8)="",TODAY(),INDEX(Transactions!$G:$G,ROW()-8))</f>
      </c>
      <c r="F3151">
        <f>IF(INDEX(Transactions!$J:$J,ROW()-8)="",0,INDEX(Transactions!$O:$O,ROW()-8))</f>
      </c>
    </row>
    <row r="3152" spans="1:7">
      <c r="B3152">
        <f>IF(INDEX(Transactions!$J:$J,ROW()-8)="",TODAY(),INDEX(Transactions!$G:$G,ROW()-8))</f>
      </c>
      <c r="F3152">
        <f>IF(INDEX(Transactions!$J:$J,ROW()-8)="",0,INDEX(Transactions!$O:$O,ROW()-8))</f>
      </c>
    </row>
    <row r="3153" spans="1:7">
      <c r="B3153">
        <f>IF(INDEX(Transactions!$J:$J,ROW()-8)="",TODAY(),INDEX(Transactions!$G:$G,ROW()-8))</f>
      </c>
      <c r="F3153">
        <f>IF(INDEX(Transactions!$J:$J,ROW()-8)="",0,INDEX(Transactions!$O:$O,ROW()-8))</f>
      </c>
    </row>
    <row r="3154" spans="1:7">
      <c r="B3154">
        <f>IF(INDEX(Transactions!$J:$J,ROW()-8)="",TODAY(),INDEX(Transactions!$G:$G,ROW()-8))</f>
      </c>
      <c r="F3154">
        <f>IF(INDEX(Transactions!$J:$J,ROW()-8)="",0,INDEX(Transactions!$O:$O,ROW()-8))</f>
      </c>
    </row>
    <row r="3155" spans="1:7">
      <c r="B3155">
        <f>IF(INDEX(Transactions!$J:$J,ROW()-8)="",TODAY(),INDEX(Transactions!$G:$G,ROW()-8))</f>
      </c>
      <c r="F3155">
        <f>IF(INDEX(Transactions!$J:$J,ROW()-8)="",0,INDEX(Transactions!$O:$O,ROW()-8))</f>
      </c>
    </row>
    <row r="3156" spans="1:7">
      <c r="B3156">
        <f>IF(INDEX(Transactions!$J:$J,ROW()-8)="",TODAY(),INDEX(Transactions!$G:$G,ROW()-8))</f>
      </c>
      <c r="F3156">
        <f>IF(INDEX(Transactions!$J:$J,ROW()-8)="",0,INDEX(Transactions!$O:$O,ROW()-8))</f>
      </c>
    </row>
    <row r="3157" spans="1:7">
      <c r="B3157">
        <f>IF(INDEX(Transactions!$J:$J,ROW()-8)="",TODAY(),INDEX(Transactions!$G:$G,ROW()-8))</f>
      </c>
      <c r="F3157">
        <f>IF(INDEX(Transactions!$J:$J,ROW()-8)="",0,INDEX(Transactions!$O:$O,ROW()-8))</f>
      </c>
    </row>
    <row r="3158" spans="1:7">
      <c r="B3158">
        <f>IF(INDEX(Transactions!$J:$J,ROW()-8)="",TODAY(),INDEX(Transactions!$G:$G,ROW()-8))</f>
      </c>
      <c r="F3158">
        <f>IF(INDEX(Transactions!$J:$J,ROW()-8)="",0,INDEX(Transactions!$O:$O,ROW()-8))</f>
      </c>
    </row>
    <row r="3159" spans="1:7">
      <c r="B3159">
        <f>IF(INDEX(Transactions!$J:$J,ROW()-8)="",TODAY(),INDEX(Transactions!$G:$G,ROW()-8))</f>
      </c>
      <c r="F3159">
        <f>IF(INDEX(Transactions!$J:$J,ROW()-8)="",0,INDEX(Transactions!$O:$O,ROW()-8))</f>
      </c>
    </row>
    <row r="3160" spans="1:7">
      <c r="B3160">
        <f>IF(INDEX(Transactions!$J:$J,ROW()-8)="",TODAY(),INDEX(Transactions!$G:$G,ROW()-8))</f>
      </c>
      <c r="F3160">
        <f>IF(INDEX(Transactions!$J:$J,ROW()-8)="",0,INDEX(Transactions!$O:$O,ROW()-8))</f>
      </c>
    </row>
    <row r="3161" spans="1:7">
      <c r="B3161">
        <f>IF(INDEX(Transactions!$J:$J,ROW()-8)="",TODAY(),INDEX(Transactions!$G:$G,ROW()-8))</f>
      </c>
      <c r="F3161">
        <f>IF(INDEX(Transactions!$J:$J,ROW()-8)="",0,INDEX(Transactions!$O:$O,ROW()-8))</f>
      </c>
    </row>
    <row r="3162" spans="1:7">
      <c r="B3162">
        <f>IF(INDEX(Transactions!$J:$J,ROW()-8)="",TODAY(),INDEX(Transactions!$G:$G,ROW()-8))</f>
      </c>
      <c r="F3162">
        <f>IF(INDEX(Transactions!$J:$J,ROW()-8)="",0,INDEX(Transactions!$O:$O,ROW()-8))</f>
      </c>
    </row>
    <row r="3163" spans="1:7">
      <c r="B3163">
        <f>IF(INDEX(Transactions!$J:$J,ROW()-8)="",TODAY(),INDEX(Transactions!$G:$G,ROW()-8))</f>
      </c>
      <c r="F3163">
        <f>IF(INDEX(Transactions!$J:$J,ROW()-8)="",0,INDEX(Transactions!$O:$O,ROW()-8))</f>
      </c>
    </row>
    <row r="3164" spans="1:7">
      <c r="B3164">
        <f>IF(INDEX(Transactions!$J:$J,ROW()-8)="",TODAY(),INDEX(Transactions!$G:$G,ROW()-8))</f>
      </c>
      <c r="F3164">
        <f>IF(INDEX(Transactions!$J:$J,ROW()-8)="",0,INDEX(Transactions!$O:$O,ROW()-8))</f>
      </c>
    </row>
    <row r="3165" spans="1:7">
      <c r="B3165">
        <f>IF(INDEX(Transactions!$J:$J,ROW()-8)="",TODAY(),INDEX(Transactions!$G:$G,ROW()-8))</f>
      </c>
      <c r="F3165">
        <f>IF(INDEX(Transactions!$J:$J,ROW()-8)="",0,INDEX(Transactions!$O:$O,ROW()-8))</f>
      </c>
    </row>
    <row r="3166" spans="1:7">
      <c r="B3166">
        <f>IF(INDEX(Transactions!$J:$J,ROW()-8)="",TODAY(),INDEX(Transactions!$G:$G,ROW()-8))</f>
      </c>
      <c r="F3166">
        <f>IF(INDEX(Transactions!$J:$J,ROW()-8)="",0,INDEX(Transactions!$O:$O,ROW()-8))</f>
      </c>
    </row>
    <row r="3167" spans="1:7">
      <c r="B3167">
        <f>IF(INDEX(Transactions!$J:$J,ROW()-8)="",TODAY(),INDEX(Transactions!$G:$G,ROW()-8))</f>
      </c>
      <c r="F3167">
        <f>IF(INDEX(Transactions!$J:$J,ROW()-8)="",0,INDEX(Transactions!$O:$O,ROW()-8))</f>
      </c>
    </row>
    <row r="3168" spans="1:7">
      <c r="B3168">
        <f>IF(INDEX(Transactions!$J:$J,ROW()-8)="",TODAY(),INDEX(Transactions!$G:$G,ROW()-8))</f>
      </c>
      <c r="F3168">
        <f>IF(INDEX(Transactions!$J:$J,ROW()-8)="",0,INDEX(Transactions!$O:$O,ROW()-8))</f>
      </c>
    </row>
    <row r="3169" spans="1:7">
      <c r="B3169">
        <f>IF(INDEX(Transactions!$J:$J,ROW()-8)="",TODAY(),INDEX(Transactions!$G:$G,ROW()-8))</f>
      </c>
      <c r="F3169">
        <f>IF(INDEX(Transactions!$J:$J,ROW()-8)="",0,INDEX(Transactions!$O:$O,ROW()-8))</f>
      </c>
    </row>
    <row r="3170" spans="1:7">
      <c r="B3170">
        <f>IF(INDEX(Transactions!$J:$J,ROW()-8)="",TODAY(),INDEX(Transactions!$G:$G,ROW()-8))</f>
      </c>
      <c r="F3170">
        <f>IF(INDEX(Transactions!$J:$J,ROW()-8)="",0,INDEX(Transactions!$O:$O,ROW()-8))</f>
      </c>
    </row>
    <row r="3171" spans="1:7">
      <c r="B3171">
        <f>IF(INDEX(Transactions!$J:$J,ROW()-8)="",TODAY(),INDEX(Transactions!$G:$G,ROW()-8))</f>
      </c>
      <c r="F3171">
        <f>IF(INDEX(Transactions!$J:$J,ROW()-8)="",0,INDEX(Transactions!$O:$O,ROW()-8))</f>
      </c>
    </row>
    <row r="3172" spans="1:7">
      <c r="B3172">
        <f>IF(INDEX(Transactions!$J:$J,ROW()-8)="",TODAY(),INDEX(Transactions!$G:$G,ROW()-8))</f>
      </c>
      <c r="F3172">
        <f>IF(INDEX(Transactions!$J:$J,ROW()-8)="",0,INDEX(Transactions!$O:$O,ROW()-8))</f>
      </c>
    </row>
    <row r="3173" spans="1:7">
      <c r="B3173">
        <f>IF(INDEX(Transactions!$J:$J,ROW()-8)="",TODAY(),INDEX(Transactions!$G:$G,ROW()-8))</f>
      </c>
      <c r="F3173">
        <f>IF(INDEX(Transactions!$J:$J,ROW()-8)="",0,INDEX(Transactions!$O:$O,ROW()-8))</f>
      </c>
    </row>
    <row r="3174" spans="1:7">
      <c r="B3174">
        <f>IF(INDEX(Transactions!$J:$J,ROW()-8)="",TODAY(),INDEX(Transactions!$G:$G,ROW()-8))</f>
      </c>
      <c r="F3174">
        <f>IF(INDEX(Transactions!$J:$J,ROW()-8)="",0,INDEX(Transactions!$O:$O,ROW()-8))</f>
      </c>
    </row>
    <row r="3175" spans="1:7">
      <c r="B3175">
        <f>IF(INDEX(Transactions!$J:$J,ROW()-8)="",TODAY(),INDEX(Transactions!$G:$G,ROW()-8))</f>
      </c>
      <c r="F3175">
        <f>IF(INDEX(Transactions!$J:$J,ROW()-8)="",0,INDEX(Transactions!$O:$O,ROW()-8))</f>
      </c>
    </row>
    <row r="3176" spans="1:7">
      <c r="B3176">
        <f>IF(INDEX(Transactions!$J:$J,ROW()-8)="",TODAY(),INDEX(Transactions!$G:$G,ROW()-8))</f>
      </c>
      <c r="F3176">
        <f>IF(INDEX(Transactions!$J:$J,ROW()-8)="",0,INDEX(Transactions!$O:$O,ROW()-8))</f>
      </c>
    </row>
    <row r="3177" spans="1:7">
      <c r="B3177">
        <f>IF(INDEX(Transactions!$J:$J,ROW()-8)="",TODAY(),INDEX(Transactions!$G:$G,ROW()-8))</f>
      </c>
      <c r="F3177">
        <f>IF(INDEX(Transactions!$J:$J,ROW()-8)="",0,INDEX(Transactions!$O:$O,ROW()-8))</f>
      </c>
    </row>
    <row r="3178" spans="1:7">
      <c r="B3178">
        <f>IF(INDEX(Transactions!$J:$J,ROW()-8)="",TODAY(),INDEX(Transactions!$G:$G,ROW()-8))</f>
      </c>
      <c r="F3178">
        <f>IF(INDEX(Transactions!$J:$J,ROW()-8)="",0,INDEX(Transactions!$O:$O,ROW()-8))</f>
      </c>
    </row>
    <row r="3179" spans="1:7">
      <c r="B3179">
        <f>IF(INDEX(Transactions!$J:$J,ROW()-8)="",TODAY(),INDEX(Transactions!$G:$G,ROW()-8))</f>
      </c>
      <c r="F3179">
        <f>IF(INDEX(Transactions!$J:$J,ROW()-8)="",0,INDEX(Transactions!$O:$O,ROW()-8))</f>
      </c>
    </row>
    <row r="3180" spans="1:7">
      <c r="B3180">
        <f>IF(INDEX(Transactions!$J:$J,ROW()-8)="",TODAY(),INDEX(Transactions!$G:$G,ROW()-8))</f>
      </c>
      <c r="F3180">
        <f>IF(INDEX(Transactions!$J:$J,ROW()-8)="",0,INDEX(Transactions!$O:$O,ROW()-8))</f>
      </c>
    </row>
    <row r="3181" spans="1:7">
      <c r="B3181">
        <f>IF(INDEX(Transactions!$J:$J,ROW()-8)="",TODAY(),INDEX(Transactions!$G:$G,ROW()-8))</f>
      </c>
      <c r="F3181">
        <f>IF(INDEX(Transactions!$J:$J,ROW()-8)="",0,INDEX(Transactions!$O:$O,ROW()-8))</f>
      </c>
    </row>
    <row r="3182" spans="1:7">
      <c r="B3182">
        <f>IF(INDEX(Transactions!$J:$J,ROW()-8)="",TODAY(),INDEX(Transactions!$G:$G,ROW()-8))</f>
      </c>
      <c r="F3182">
        <f>IF(INDEX(Transactions!$J:$J,ROW()-8)="",0,INDEX(Transactions!$O:$O,ROW()-8))</f>
      </c>
    </row>
    <row r="3183" spans="1:7">
      <c r="B3183">
        <f>IF(INDEX(Transactions!$J:$J,ROW()-8)="",TODAY(),INDEX(Transactions!$G:$G,ROW()-8))</f>
      </c>
      <c r="F3183">
        <f>IF(INDEX(Transactions!$J:$J,ROW()-8)="",0,INDEX(Transactions!$O:$O,ROW()-8))</f>
      </c>
    </row>
    <row r="3184" spans="1:7">
      <c r="B3184">
        <f>IF(INDEX(Transactions!$J:$J,ROW()-8)="",TODAY(),INDEX(Transactions!$G:$G,ROW()-8))</f>
      </c>
      <c r="F3184">
        <f>IF(INDEX(Transactions!$J:$J,ROW()-8)="",0,INDEX(Transactions!$O:$O,ROW()-8))</f>
      </c>
    </row>
    <row r="3185" spans="1:7">
      <c r="B3185">
        <f>IF(INDEX(Transactions!$J:$J,ROW()-8)="",TODAY(),INDEX(Transactions!$G:$G,ROW()-8))</f>
      </c>
      <c r="F3185">
        <f>IF(INDEX(Transactions!$J:$J,ROW()-8)="",0,INDEX(Transactions!$O:$O,ROW()-8))</f>
      </c>
    </row>
    <row r="3186" spans="1:7">
      <c r="B3186">
        <f>IF(INDEX(Transactions!$J:$J,ROW()-8)="",TODAY(),INDEX(Transactions!$G:$G,ROW()-8))</f>
      </c>
      <c r="F3186">
        <f>IF(INDEX(Transactions!$J:$J,ROW()-8)="",0,INDEX(Transactions!$O:$O,ROW()-8))</f>
      </c>
    </row>
    <row r="3187" spans="1:7">
      <c r="B3187">
        <f>IF(INDEX(Transactions!$J:$J,ROW()-8)="",TODAY(),INDEX(Transactions!$G:$G,ROW()-8))</f>
      </c>
      <c r="F3187">
        <f>IF(INDEX(Transactions!$J:$J,ROW()-8)="",0,INDEX(Transactions!$O:$O,ROW()-8))</f>
      </c>
    </row>
    <row r="3188" spans="1:7">
      <c r="B3188">
        <f>IF(INDEX(Transactions!$J:$J,ROW()-8)="",TODAY(),INDEX(Transactions!$G:$G,ROW()-8))</f>
      </c>
      <c r="F3188">
        <f>IF(INDEX(Transactions!$J:$J,ROW()-8)="",0,INDEX(Transactions!$O:$O,ROW()-8))</f>
      </c>
    </row>
    <row r="3189" spans="1:7">
      <c r="B3189">
        <f>IF(INDEX(Transactions!$J:$J,ROW()-8)="",TODAY(),INDEX(Transactions!$G:$G,ROW()-8))</f>
      </c>
      <c r="F3189">
        <f>IF(INDEX(Transactions!$J:$J,ROW()-8)="",0,INDEX(Transactions!$O:$O,ROW()-8))</f>
      </c>
    </row>
    <row r="3190" spans="1:7">
      <c r="B3190">
        <f>IF(INDEX(Transactions!$J:$J,ROW()-8)="",TODAY(),INDEX(Transactions!$G:$G,ROW()-8))</f>
      </c>
      <c r="F3190">
        <f>IF(INDEX(Transactions!$J:$J,ROW()-8)="",0,INDEX(Transactions!$O:$O,ROW()-8))</f>
      </c>
    </row>
    <row r="3191" spans="1:7">
      <c r="B3191">
        <f>IF(INDEX(Transactions!$J:$J,ROW()-8)="",TODAY(),INDEX(Transactions!$G:$G,ROW()-8))</f>
      </c>
      <c r="F3191">
        <f>IF(INDEX(Transactions!$J:$J,ROW()-8)="",0,INDEX(Transactions!$O:$O,ROW()-8))</f>
      </c>
    </row>
    <row r="3192" spans="1:7">
      <c r="B3192">
        <f>IF(INDEX(Transactions!$J:$J,ROW()-8)="",TODAY(),INDEX(Transactions!$G:$G,ROW()-8))</f>
      </c>
      <c r="F3192">
        <f>IF(INDEX(Transactions!$J:$J,ROW()-8)="",0,INDEX(Transactions!$O:$O,ROW()-8))</f>
      </c>
    </row>
    <row r="3193" spans="1:7">
      <c r="B3193">
        <f>IF(INDEX(Transactions!$J:$J,ROW()-8)="",TODAY(),INDEX(Transactions!$G:$G,ROW()-8))</f>
      </c>
      <c r="F3193">
        <f>IF(INDEX(Transactions!$J:$J,ROW()-8)="",0,INDEX(Transactions!$O:$O,ROW()-8))</f>
      </c>
    </row>
    <row r="3194" spans="1:7">
      <c r="B3194">
        <f>IF(INDEX(Transactions!$J:$J,ROW()-8)="",TODAY(),INDEX(Transactions!$G:$G,ROW()-8))</f>
      </c>
      <c r="F3194">
        <f>IF(INDEX(Transactions!$J:$J,ROW()-8)="",0,INDEX(Transactions!$O:$O,ROW()-8))</f>
      </c>
    </row>
    <row r="3195" spans="1:7">
      <c r="B3195">
        <f>IF(INDEX(Transactions!$J:$J,ROW()-8)="",TODAY(),INDEX(Transactions!$G:$G,ROW()-8))</f>
      </c>
      <c r="F3195">
        <f>IF(INDEX(Transactions!$J:$J,ROW()-8)="",0,INDEX(Transactions!$O:$O,ROW()-8))</f>
      </c>
    </row>
    <row r="3196" spans="1:7">
      <c r="B3196">
        <f>IF(INDEX(Transactions!$J:$J,ROW()-8)="",TODAY(),INDEX(Transactions!$G:$G,ROW()-8))</f>
      </c>
      <c r="F3196">
        <f>IF(INDEX(Transactions!$J:$J,ROW()-8)="",0,INDEX(Transactions!$O:$O,ROW()-8))</f>
      </c>
    </row>
    <row r="3197" spans="1:7">
      <c r="B3197">
        <f>IF(INDEX(Transactions!$J:$J,ROW()-8)="",TODAY(),INDEX(Transactions!$G:$G,ROW()-8))</f>
      </c>
      <c r="F3197">
        <f>IF(INDEX(Transactions!$J:$J,ROW()-8)="",0,INDEX(Transactions!$O:$O,ROW()-8))</f>
      </c>
    </row>
    <row r="3198" spans="1:7">
      <c r="B3198">
        <f>IF(INDEX(Transactions!$J:$J,ROW()-8)="",TODAY(),INDEX(Transactions!$G:$G,ROW()-8))</f>
      </c>
      <c r="F3198">
        <f>IF(INDEX(Transactions!$J:$J,ROW()-8)="",0,INDEX(Transactions!$O:$O,ROW()-8))</f>
      </c>
    </row>
    <row r="3199" spans="1:7">
      <c r="B3199">
        <f>IF(INDEX(Transactions!$J:$J,ROW()-8)="",TODAY(),INDEX(Transactions!$G:$G,ROW()-8))</f>
      </c>
      <c r="F3199">
        <f>IF(INDEX(Transactions!$J:$J,ROW()-8)="",0,INDEX(Transactions!$O:$O,ROW()-8))</f>
      </c>
    </row>
    <row r="3200" spans="1:7">
      <c r="B3200">
        <f>IF(INDEX(Transactions!$J:$J,ROW()-8)="",TODAY(),INDEX(Transactions!$G:$G,ROW()-8))</f>
      </c>
      <c r="F3200">
        <f>IF(INDEX(Transactions!$J:$J,ROW()-8)="",0,INDEX(Transactions!$O:$O,ROW()-8))</f>
      </c>
    </row>
    <row r="3201" spans="1:7">
      <c r="B3201">
        <f>IF(INDEX(Transactions!$J:$J,ROW()-8)="",TODAY(),INDEX(Transactions!$G:$G,ROW()-8))</f>
      </c>
      <c r="F3201">
        <f>IF(INDEX(Transactions!$J:$J,ROW()-8)="",0,INDEX(Transactions!$O:$O,ROW()-8))</f>
      </c>
    </row>
    <row r="3202" spans="1:7">
      <c r="B3202">
        <f>IF(INDEX(Transactions!$J:$J,ROW()-8)="",TODAY(),INDEX(Transactions!$G:$G,ROW()-8))</f>
      </c>
      <c r="F3202">
        <f>IF(INDEX(Transactions!$J:$J,ROW()-8)="",0,INDEX(Transactions!$O:$O,ROW()-8))</f>
      </c>
    </row>
    <row r="3203" spans="1:7">
      <c r="B3203">
        <f>IF(INDEX(Transactions!$J:$J,ROW()-8)="",TODAY(),INDEX(Transactions!$G:$G,ROW()-8))</f>
      </c>
      <c r="F3203">
        <f>IF(INDEX(Transactions!$J:$J,ROW()-8)="",0,INDEX(Transactions!$O:$O,ROW()-8))</f>
      </c>
    </row>
    <row r="3204" spans="1:7">
      <c r="B3204">
        <f>IF(INDEX(Transactions!$J:$J,ROW()-8)="",TODAY(),INDEX(Transactions!$G:$G,ROW()-8))</f>
      </c>
      <c r="F3204">
        <f>IF(INDEX(Transactions!$J:$J,ROW()-8)="",0,INDEX(Transactions!$O:$O,ROW()-8))</f>
      </c>
    </row>
    <row r="3205" spans="1:7">
      <c r="B3205">
        <f>IF(INDEX(Transactions!$J:$J,ROW()-8)="",TODAY(),INDEX(Transactions!$G:$G,ROW()-8))</f>
      </c>
      <c r="F3205">
        <f>IF(INDEX(Transactions!$J:$J,ROW()-8)="",0,INDEX(Transactions!$O:$O,ROW()-8))</f>
      </c>
    </row>
    <row r="3206" spans="1:7">
      <c r="B3206">
        <f>IF(INDEX(Transactions!$J:$J,ROW()-8)="",TODAY(),INDEX(Transactions!$G:$G,ROW()-8))</f>
      </c>
      <c r="F3206">
        <f>IF(INDEX(Transactions!$J:$J,ROW()-8)="",0,INDEX(Transactions!$O:$O,ROW()-8))</f>
      </c>
    </row>
    <row r="3207" spans="1:7">
      <c r="B3207">
        <f>IF(INDEX(Transactions!$J:$J,ROW()-8)="",TODAY(),INDEX(Transactions!$G:$G,ROW()-8))</f>
      </c>
      <c r="F3207">
        <f>IF(INDEX(Transactions!$J:$J,ROW()-8)="",0,INDEX(Transactions!$O:$O,ROW()-8))</f>
      </c>
    </row>
    <row r="3208" spans="1:7">
      <c r="B3208">
        <f>IF(INDEX(Transactions!$J:$J,ROW()-8)="",TODAY(),INDEX(Transactions!$G:$G,ROW()-8))</f>
      </c>
      <c r="F3208">
        <f>IF(INDEX(Transactions!$J:$J,ROW()-8)="",0,INDEX(Transactions!$O:$O,ROW()-8))</f>
      </c>
    </row>
    <row r="3209" spans="1:7">
      <c r="B3209">
        <f>IF(INDEX(Transactions!$J:$J,ROW()-8)="",TODAY(),INDEX(Transactions!$G:$G,ROW()-8))</f>
      </c>
      <c r="F3209">
        <f>IF(INDEX(Transactions!$J:$J,ROW()-8)="",0,INDEX(Transactions!$O:$O,ROW()-8))</f>
      </c>
    </row>
    <row r="3210" spans="1:7">
      <c r="B3210">
        <f>IF(INDEX(Transactions!$J:$J,ROW()-8)="",TODAY(),INDEX(Transactions!$G:$G,ROW()-8))</f>
      </c>
      <c r="F3210">
        <f>IF(INDEX(Transactions!$J:$J,ROW()-8)="",0,INDEX(Transactions!$O:$O,ROW()-8))</f>
      </c>
    </row>
    <row r="3211" spans="1:7">
      <c r="B3211">
        <f>IF(INDEX(Transactions!$J:$J,ROW()-8)="",TODAY(),INDEX(Transactions!$G:$G,ROW()-8))</f>
      </c>
      <c r="F3211">
        <f>IF(INDEX(Transactions!$J:$J,ROW()-8)="",0,INDEX(Transactions!$O:$O,ROW()-8))</f>
      </c>
    </row>
    <row r="3212" spans="1:7">
      <c r="B3212">
        <f>IF(INDEX(Transactions!$J:$J,ROW()-8)="",TODAY(),INDEX(Transactions!$G:$G,ROW()-8))</f>
      </c>
      <c r="F3212">
        <f>IF(INDEX(Transactions!$J:$J,ROW()-8)="",0,INDEX(Transactions!$O:$O,ROW()-8))</f>
      </c>
    </row>
    <row r="3213" spans="1:7">
      <c r="B3213">
        <f>IF(INDEX(Transactions!$J:$J,ROW()-8)="",TODAY(),INDEX(Transactions!$G:$G,ROW()-8))</f>
      </c>
      <c r="F3213">
        <f>IF(INDEX(Transactions!$J:$J,ROW()-8)="",0,INDEX(Transactions!$O:$O,ROW()-8))</f>
      </c>
    </row>
    <row r="3214" spans="1:7">
      <c r="B3214">
        <f>IF(INDEX(Transactions!$J:$J,ROW()-8)="",TODAY(),INDEX(Transactions!$G:$G,ROW()-8))</f>
      </c>
      <c r="F3214">
        <f>IF(INDEX(Transactions!$J:$J,ROW()-8)="",0,INDEX(Transactions!$O:$O,ROW()-8))</f>
      </c>
    </row>
    <row r="3215" spans="1:7">
      <c r="B3215">
        <f>IF(INDEX(Transactions!$J:$J,ROW()-8)="",TODAY(),INDEX(Transactions!$G:$G,ROW()-8))</f>
      </c>
      <c r="F3215">
        <f>IF(INDEX(Transactions!$J:$J,ROW()-8)="",0,INDEX(Transactions!$O:$O,ROW()-8))</f>
      </c>
    </row>
    <row r="3216" spans="1:7">
      <c r="B3216">
        <f>IF(INDEX(Transactions!$J:$J,ROW()-8)="",TODAY(),INDEX(Transactions!$G:$G,ROW()-8))</f>
      </c>
      <c r="F3216">
        <f>IF(INDEX(Transactions!$J:$J,ROW()-8)="",0,INDEX(Transactions!$O:$O,ROW()-8))</f>
      </c>
    </row>
    <row r="3217" spans="1:7">
      <c r="B3217">
        <f>IF(INDEX(Transactions!$J:$J,ROW()-8)="",TODAY(),INDEX(Transactions!$G:$G,ROW()-8))</f>
      </c>
      <c r="F3217">
        <f>IF(INDEX(Transactions!$J:$J,ROW()-8)="",0,INDEX(Transactions!$O:$O,ROW()-8))</f>
      </c>
    </row>
    <row r="3218" spans="1:7">
      <c r="B3218">
        <f>IF(INDEX(Transactions!$J:$J,ROW()-8)="",TODAY(),INDEX(Transactions!$G:$G,ROW()-8))</f>
      </c>
      <c r="F3218">
        <f>IF(INDEX(Transactions!$J:$J,ROW()-8)="",0,INDEX(Transactions!$O:$O,ROW()-8))</f>
      </c>
    </row>
    <row r="3219" spans="1:7">
      <c r="B3219">
        <f>IF(INDEX(Transactions!$J:$J,ROW()-8)="",TODAY(),INDEX(Transactions!$G:$G,ROW()-8))</f>
      </c>
      <c r="F3219">
        <f>IF(INDEX(Transactions!$J:$J,ROW()-8)="",0,INDEX(Transactions!$O:$O,ROW()-8))</f>
      </c>
    </row>
    <row r="3220" spans="1:7">
      <c r="B3220">
        <f>IF(INDEX(Transactions!$J:$J,ROW()-8)="",TODAY(),INDEX(Transactions!$G:$G,ROW()-8))</f>
      </c>
      <c r="F3220">
        <f>IF(INDEX(Transactions!$J:$J,ROW()-8)="",0,INDEX(Transactions!$O:$O,ROW()-8))</f>
      </c>
    </row>
    <row r="3221" spans="1:7">
      <c r="B3221">
        <f>IF(INDEX(Transactions!$J:$J,ROW()-8)="",TODAY(),INDEX(Transactions!$G:$G,ROW()-8))</f>
      </c>
      <c r="F3221">
        <f>IF(INDEX(Transactions!$J:$J,ROW()-8)="",0,INDEX(Transactions!$O:$O,ROW()-8))</f>
      </c>
    </row>
    <row r="3222" spans="1:7">
      <c r="B3222">
        <f>IF(INDEX(Transactions!$J:$J,ROW()-8)="",TODAY(),INDEX(Transactions!$G:$G,ROW()-8))</f>
      </c>
      <c r="F3222">
        <f>IF(INDEX(Transactions!$J:$J,ROW()-8)="",0,INDEX(Transactions!$O:$O,ROW()-8))</f>
      </c>
    </row>
    <row r="3223" spans="1:7">
      <c r="B3223">
        <f>IF(INDEX(Transactions!$J:$J,ROW()-8)="",TODAY(),INDEX(Transactions!$G:$G,ROW()-8))</f>
      </c>
      <c r="F3223">
        <f>IF(INDEX(Transactions!$J:$J,ROW()-8)="",0,INDEX(Transactions!$O:$O,ROW()-8))</f>
      </c>
    </row>
    <row r="3224" spans="1:7">
      <c r="B3224">
        <f>IF(INDEX(Transactions!$J:$J,ROW()-8)="",TODAY(),INDEX(Transactions!$G:$G,ROW()-8))</f>
      </c>
      <c r="F3224">
        <f>IF(INDEX(Transactions!$J:$J,ROW()-8)="",0,INDEX(Transactions!$O:$O,ROW()-8))</f>
      </c>
    </row>
    <row r="3225" spans="1:7">
      <c r="B3225">
        <f>IF(INDEX(Transactions!$J:$J,ROW()-8)="",TODAY(),INDEX(Transactions!$G:$G,ROW()-8))</f>
      </c>
      <c r="F3225">
        <f>IF(INDEX(Transactions!$J:$J,ROW()-8)="",0,INDEX(Transactions!$O:$O,ROW()-8))</f>
      </c>
    </row>
    <row r="3226" spans="1:7">
      <c r="B3226">
        <f>IF(INDEX(Transactions!$J:$J,ROW()-8)="",TODAY(),INDEX(Transactions!$G:$G,ROW()-8))</f>
      </c>
      <c r="F3226">
        <f>IF(INDEX(Transactions!$J:$J,ROW()-8)="",0,INDEX(Transactions!$O:$O,ROW()-8))</f>
      </c>
    </row>
    <row r="3227" spans="1:7">
      <c r="B3227">
        <f>IF(INDEX(Transactions!$J:$J,ROW()-8)="",TODAY(),INDEX(Transactions!$G:$G,ROW()-8))</f>
      </c>
      <c r="F3227">
        <f>IF(INDEX(Transactions!$J:$J,ROW()-8)="",0,INDEX(Transactions!$O:$O,ROW()-8))</f>
      </c>
    </row>
    <row r="3228" spans="1:7">
      <c r="B3228">
        <f>IF(INDEX(Transactions!$J:$J,ROW()-8)="",TODAY(),INDEX(Transactions!$G:$G,ROW()-8))</f>
      </c>
      <c r="F3228">
        <f>IF(INDEX(Transactions!$J:$J,ROW()-8)="",0,INDEX(Transactions!$O:$O,ROW()-8))</f>
      </c>
    </row>
    <row r="3229" spans="1:7">
      <c r="B3229">
        <f>IF(INDEX(Transactions!$J:$J,ROW()-8)="",TODAY(),INDEX(Transactions!$G:$G,ROW()-8))</f>
      </c>
      <c r="F3229">
        <f>IF(INDEX(Transactions!$J:$J,ROW()-8)="",0,INDEX(Transactions!$O:$O,ROW()-8))</f>
      </c>
    </row>
    <row r="3230" spans="1:7">
      <c r="B3230">
        <f>IF(INDEX(Transactions!$J:$J,ROW()-8)="",TODAY(),INDEX(Transactions!$G:$G,ROW()-8))</f>
      </c>
      <c r="F3230">
        <f>IF(INDEX(Transactions!$J:$J,ROW()-8)="",0,INDEX(Transactions!$O:$O,ROW()-8))</f>
      </c>
    </row>
    <row r="3231" spans="1:7">
      <c r="B3231">
        <f>IF(INDEX(Transactions!$J:$J,ROW()-8)="",TODAY(),INDEX(Transactions!$G:$G,ROW()-8))</f>
      </c>
      <c r="F3231">
        <f>IF(INDEX(Transactions!$J:$J,ROW()-8)="",0,INDEX(Transactions!$O:$O,ROW()-8))</f>
      </c>
    </row>
    <row r="3232" spans="1:7">
      <c r="B3232">
        <f>IF(INDEX(Transactions!$J:$J,ROW()-8)="",TODAY(),INDEX(Transactions!$G:$G,ROW()-8))</f>
      </c>
      <c r="F3232">
        <f>IF(INDEX(Transactions!$J:$J,ROW()-8)="",0,INDEX(Transactions!$O:$O,ROW()-8))</f>
      </c>
    </row>
    <row r="3233" spans="1:7">
      <c r="B3233">
        <f>IF(INDEX(Transactions!$J:$J,ROW()-8)="",TODAY(),INDEX(Transactions!$G:$G,ROW()-8))</f>
      </c>
      <c r="F3233">
        <f>IF(INDEX(Transactions!$J:$J,ROW()-8)="",0,INDEX(Transactions!$O:$O,ROW()-8))</f>
      </c>
    </row>
    <row r="3234" spans="1:7">
      <c r="B3234">
        <f>IF(INDEX(Transactions!$J:$J,ROW()-8)="",TODAY(),INDEX(Transactions!$G:$G,ROW()-8))</f>
      </c>
      <c r="F3234">
        <f>IF(INDEX(Transactions!$J:$J,ROW()-8)="",0,INDEX(Transactions!$O:$O,ROW()-8))</f>
      </c>
    </row>
    <row r="3235" spans="1:7">
      <c r="B3235">
        <f>IF(INDEX(Transactions!$J:$J,ROW()-8)="",TODAY(),INDEX(Transactions!$G:$G,ROW()-8))</f>
      </c>
      <c r="F3235">
        <f>IF(INDEX(Transactions!$J:$J,ROW()-8)="",0,INDEX(Transactions!$O:$O,ROW()-8))</f>
      </c>
    </row>
    <row r="3236" spans="1:7">
      <c r="B3236">
        <f>IF(INDEX(Transactions!$J:$J,ROW()-8)="",TODAY(),INDEX(Transactions!$G:$G,ROW()-8))</f>
      </c>
      <c r="F3236">
        <f>IF(INDEX(Transactions!$J:$J,ROW()-8)="",0,INDEX(Transactions!$O:$O,ROW()-8))</f>
      </c>
    </row>
    <row r="3237" spans="1:7">
      <c r="B3237">
        <f>IF(INDEX(Transactions!$J:$J,ROW()-8)="",TODAY(),INDEX(Transactions!$G:$G,ROW()-8))</f>
      </c>
      <c r="F3237">
        <f>IF(INDEX(Transactions!$J:$J,ROW()-8)="",0,INDEX(Transactions!$O:$O,ROW()-8))</f>
      </c>
    </row>
    <row r="3238" spans="1:7">
      <c r="B3238">
        <f>IF(INDEX(Transactions!$J:$J,ROW()-8)="",TODAY(),INDEX(Transactions!$G:$G,ROW()-8))</f>
      </c>
      <c r="F3238">
        <f>IF(INDEX(Transactions!$J:$J,ROW()-8)="",0,INDEX(Transactions!$O:$O,ROW()-8))</f>
      </c>
    </row>
    <row r="3239" spans="1:7">
      <c r="B3239">
        <f>IF(INDEX(Transactions!$J:$J,ROW()-8)="",TODAY(),INDEX(Transactions!$G:$G,ROW()-8))</f>
      </c>
      <c r="F3239">
        <f>IF(INDEX(Transactions!$J:$J,ROW()-8)="",0,INDEX(Transactions!$O:$O,ROW()-8))</f>
      </c>
    </row>
    <row r="3240" spans="1:7">
      <c r="B3240">
        <f>IF(INDEX(Transactions!$J:$J,ROW()-8)="",TODAY(),INDEX(Transactions!$G:$G,ROW()-8))</f>
      </c>
      <c r="F3240">
        <f>IF(INDEX(Transactions!$J:$J,ROW()-8)="",0,INDEX(Transactions!$O:$O,ROW()-8))</f>
      </c>
    </row>
    <row r="3241" spans="1:7">
      <c r="B3241">
        <f>IF(INDEX(Transactions!$J:$J,ROW()-8)="",TODAY(),INDEX(Transactions!$G:$G,ROW()-8))</f>
      </c>
      <c r="F3241">
        <f>IF(INDEX(Transactions!$J:$J,ROW()-8)="",0,INDEX(Transactions!$O:$O,ROW()-8))</f>
      </c>
    </row>
    <row r="3242" spans="1:7">
      <c r="B3242">
        <f>IF(INDEX(Transactions!$J:$J,ROW()-8)="",TODAY(),INDEX(Transactions!$G:$G,ROW()-8))</f>
      </c>
      <c r="F3242">
        <f>IF(INDEX(Transactions!$J:$J,ROW()-8)="",0,INDEX(Transactions!$O:$O,ROW()-8))</f>
      </c>
    </row>
    <row r="3243" spans="1:7">
      <c r="B3243">
        <f>IF(INDEX(Transactions!$J:$J,ROW()-8)="",TODAY(),INDEX(Transactions!$G:$G,ROW()-8))</f>
      </c>
      <c r="F3243">
        <f>IF(INDEX(Transactions!$J:$J,ROW()-8)="",0,INDEX(Transactions!$O:$O,ROW()-8))</f>
      </c>
    </row>
    <row r="3244" spans="1:7">
      <c r="B3244">
        <f>IF(INDEX(Transactions!$J:$J,ROW()-8)="",TODAY(),INDEX(Transactions!$G:$G,ROW()-8))</f>
      </c>
      <c r="F3244">
        <f>IF(INDEX(Transactions!$J:$J,ROW()-8)="",0,INDEX(Transactions!$O:$O,ROW()-8))</f>
      </c>
    </row>
    <row r="3245" spans="1:7">
      <c r="B3245">
        <f>IF(INDEX(Transactions!$J:$J,ROW()-8)="",TODAY(),INDEX(Transactions!$G:$G,ROW()-8))</f>
      </c>
      <c r="F3245">
        <f>IF(INDEX(Transactions!$J:$J,ROW()-8)="",0,INDEX(Transactions!$O:$O,ROW()-8))</f>
      </c>
    </row>
    <row r="3246" spans="1:7">
      <c r="B3246">
        <f>IF(INDEX(Transactions!$J:$J,ROW()-8)="",TODAY(),INDEX(Transactions!$G:$G,ROW()-8))</f>
      </c>
      <c r="F3246">
        <f>IF(INDEX(Transactions!$J:$J,ROW()-8)="",0,INDEX(Transactions!$O:$O,ROW()-8))</f>
      </c>
    </row>
    <row r="3247" spans="1:7">
      <c r="B3247">
        <f>IF(INDEX(Transactions!$J:$J,ROW()-8)="",TODAY(),INDEX(Transactions!$G:$G,ROW()-8))</f>
      </c>
      <c r="F3247">
        <f>IF(INDEX(Transactions!$J:$J,ROW()-8)="",0,INDEX(Transactions!$O:$O,ROW()-8))</f>
      </c>
    </row>
    <row r="3248" spans="1:7">
      <c r="B3248">
        <f>IF(INDEX(Transactions!$J:$J,ROW()-8)="",TODAY(),INDEX(Transactions!$G:$G,ROW()-8))</f>
      </c>
      <c r="F3248">
        <f>IF(INDEX(Transactions!$J:$J,ROW()-8)="",0,INDEX(Transactions!$O:$O,ROW()-8))</f>
      </c>
    </row>
    <row r="3249" spans="1:7">
      <c r="B3249">
        <f>IF(INDEX(Transactions!$J:$J,ROW()-8)="",TODAY(),INDEX(Transactions!$G:$G,ROW()-8))</f>
      </c>
      <c r="F3249">
        <f>IF(INDEX(Transactions!$J:$J,ROW()-8)="",0,INDEX(Transactions!$O:$O,ROW()-8))</f>
      </c>
    </row>
    <row r="3250" spans="1:7">
      <c r="B3250">
        <f>IF(INDEX(Transactions!$J:$J,ROW()-8)="",TODAY(),INDEX(Transactions!$G:$G,ROW()-8))</f>
      </c>
      <c r="F3250">
        <f>IF(INDEX(Transactions!$J:$J,ROW()-8)="",0,INDEX(Transactions!$O:$O,ROW()-8))</f>
      </c>
    </row>
    <row r="3251" spans="1:7">
      <c r="B3251">
        <f>IF(INDEX(Transactions!$J:$J,ROW()-8)="",TODAY(),INDEX(Transactions!$G:$G,ROW()-8))</f>
      </c>
      <c r="F3251">
        <f>IF(INDEX(Transactions!$J:$J,ROW()-8)="",0,INDEX(Transactions!$O:$O,ROW()-8))</f>
      </c>
    </row>
    <row r="3252" spans="1:7">
      <c r="B3252">
        <f>IF(INDEX(Transactions!$J:$J,ROW()-8)="",TODAY(),INDEX(Transactions!$G:$G,ROW()-8))</f>
      </c>
      <c r="F3252">
        <f>IF(INDEX(Transactions!$J:$J,ROW()-8)="",0,INDEX(Transactions!$O:$O,ROW()-8))</f>
      </c>
    </row>
    <row r="3253" spans="1:7">
      <c r="B3253">
        <f>IF(INDEX(Transactions!$J:$J,ROW()-8)="",TODAY(),INDEX(Transactions!$G:$G,ROW()-8))</f>
      </c>
      <c r="F3253">
        <f>IF(INDEX(Transactions!$J:$J,ROW()-8)="",0,INDEX(Transactions!$O:$O,ROW()-8))</f>
      </c>
    </row>
    <row r="3254" spans="1:7">
      <c r="B3254">
        <f>IF(INDEX(Transactions!$J:$J,ROW()-8)="",TODAY(),INDEX(Transactions!$G:$G,ROW()-8))</f>
      </c>
      <c r="F3254">
        <f>IF(INDEX(Transactions!$J:$J,ROW()-8)="",0,INDEX(Transactions!$O:$O,ROW()-8))</f>
      </c>
    </row>
    <row r="3255" spans="1:7">
      <c r="B3255">
        <f>IF(INDEX(Transactions!$J:$J,ROW()-8)="",TODAY(),INDEX(Transactions!$G:$G,ROW()-8))</f>
      </c>
      <c r="F3255">
        <f>IF(INDEX(Transactions!$J:$J,ROW()-8)="",0,INDEX(Transactions!$O:$O,ROW()-8))</f>
      </c>
    </row>
    <row r="3256" spans="1:7">
      <c r="B3256">
        <f>IF(INDEX(Transactions!$J:$J,ROW()-8)="",TODAY(),INDEX(Transactions!$G:$G,ROW()-8))</f>
      </c>
      <c r="F3256">
        <f>IF(INDEX(Transactions!$J:$J,ROW()-8)="",0,INDEX(Transactions!$O:$O,ROW()-8))</f>
      </c>
    </row>
    <row r="3257" spans="1:7">
      <c r="B3257">
        <f>IF(INDEX(Transactions!$J:$J,ROW()-8)="",TODAY(),INDEX(Transactions!$G:$G,ROW()-8))</f>
      </c>
      <c r="F3257">
        <f>IF(INDEX(Transactions!$J:$J,ROW()-8)="",0,INDEX(Transactions!$O:$O,ROW()-8))</f>
      </c>
    </row>
    <row r="3258" spans="1:7">
      <c r="B3258">
        <f>IF(INDEX(Transactions!$J:$J,ROW()-8)="",TODAY(),INDEX(Transactions!$G:$G,ROW()-8))</f>
      </c>
      <c r="F3258">
        <f>IF(INDEX(Transactions!$J:$J,ROW()-8)="",0,INDEX(Transactions!$O:$O,ROW()-8))</f>
      </c>
    </row>
    <row r="3259" spans="1:7">
      <c r="B3259">
        <f>IF(INDEX(Transactions!$J:$J,ROW()-8)="",TODAY(),INDEX(Transactions!$G:$G,ROW()-8))</f>
      </c>
      <c r="F3259">
        <f>IF(INDEX(Transactions!$J:$J,ROW()-8)="",0,INDEX(Transactions!$O:$O,ROW()-8))</f>
      </c>
    </row>
    <row r="3260" spans="1:7">
      <c r="B3260">
        <f>IF(INDEX(Transactions!$J:$J,ROW()-8)="",TODAY(),INDEX(Transactions!$G:$G,ROW()-8))</f>
      </c>
      <c r="F3260">
        <f>IF(INDEX(Transactions!$J:$J,ROW()-8)="",0,INDEX(Transactions!$O:$O,ROW()-8))</f>
      </c>
    </row>
    <row r="3261" spans="1:7">
      <c r="B3261">
        <f>IF(INDEX(Transactions!$J:$J,ROW()-8)="",TODAY(),INDEX(Transactions!$G:$G,ROW()-8))</f>
      </c>
      <c r="F3261">
        <f>IF(INDEX(Transactions!$J:$J,ROW()-8)="",0,INDEX(Transactions!$O:$O,ROW()-8))</f>
      </c>
    </row>
    <row r="3262" spans="1:7">
      <c r="B3262">
        <f>IF(INDEX(Transactions!$J:$J,ROW()-8)="",TODAY(),INDEX(Transactions!$G:$G,ROW()-8))</f>
      </c>
      <c r="F3262">
        <f>IF(INDEX(Transactions!$J:$J,ROW()-8)="",0,INDEX(Transactions!$O:$O,ROW()-8))</f>
      </c>
    </row>
    <row r="3263" spans="1:7">
      <c r="B3263">
        <f>IF(INDEX(Transactions!$J:$J,ROW()-8)="",TODAY(),INDEX(Transactions!$G:$G,ROW()-8))</f>
      </c>
      <c r="F3263">
        <f>IF(INDEX(Transactions!$J:$J,ROW()-8)="",0,INDEX(Transactions!$O:$O,ROW()-8))</f>
      </c>
    </row>
    <row r="3264" spans="1:7">
      <c r="B3264">
        <f>IF(INDEX(Transactions!$J:$J,ROW()-8)="",TODAY(),INDEX(Transactions!$G:$G,ROW()-8))</f>
      </c>
      <c r="F3264">
        <f>IF(INDEX(Transactions!$J:$J,ROW()-8)="",0,INDEX(Transactions!$O:$O,ROW()-8))</f>
      </c>
    </row>
    <row r="3265" spans="1:7">
      <c r="B3265">
        <f>IF(INDEX(Transactions!$J:$J,ROW()-8)="",TODAY(),INDEX(Transactions!$G:$G,ROW()-8))</f>
      </c>
      <c r="F3265">
        <f>IF(INDEX(Transactions!$J:$J,ROW()-8)="",0,INDEX(Transactions!$O:$O,ROW()-8))</f>
      </c>
    </row>
    <row r="3266" spans="1:7">
      <c r="B3266">
        <f>IF(INDEX(Transactions!$J:$J,ROW()-8)="",TODAY(),INDEX(Transactions!$G:$G,ROW()-8))</f>
      </c>
      <c r="F3266">
        <f>IF(INDEX(Transactions!$J:$J,ROW()-8)="",0,INDEX(Transactions!$O:$O,ROW()-8))</f>
      </c>
    </row>
    <row r="3267" spans="1:7">
      <c r="B3267">
        <f>IF(INDEX(Transactions!$J:$J,ROW()-8)="",TODAY(),INDEX(Transactions!$G:$G,ROW()-8))</f>
      </c>
      <c r="F3267">
        <f>IF(INDEX(Transactions!$J:$J,ROW()-8)="",0,INDEX(Transactions!$O:$O,ROW()-8))</f>
      </c>
    </row>
    <row r="3268" spans="1:7">
      <c r="B3268">
        <f>IF(INDEX(Transactions!$J:$J,ROW()-8)="",TODAY(),INDEX(Transactions!$G:$G,ROW()-8))</f>
      </c>
      <c r="F3268">
        <f>IF(INDEX(Transactions!$J:$J,ROW()-8)="",0,INDEX(Transactions!$O:$O,ROW()-8))</f>
      </c>
    </row>
    <row r="3269" spans="1:7">
      <c r="B3269">
        <f>IF(INDEX(Transactions!$J:$J,ROW()-8)="",TODAY(),INDEX(Transactions!$G:$G,ROW()-8))</f>
      </c>
      <c r="F3269">
        <f>IF(INDEX(Transactions!$J:$J,ROW()-8)="",0,INDEX(Transactions!$O:$O,ROW()-8))</f>
      </c>
    </row>
    <row r="3270" spans="1:7">
      <c r="B3270">
        <f>IF(INDEX(Transactions!$J:$J,ROW()-8)="",TODAY(),INDEX(Transactions!$G:$G,ROW()-8))</f>
      </c>
      <c r="F3270">
        <f>IF(INDEX(Transactions!$J:$J,ROW()-8)="",0,INDEX(Transactions!$O:$O,ROW()-8))</f>
      </c>
    </row>
    <row r="3271" spans="1:7">
      <c r="B3271">
        <f>IF(INDEX(Transactions!$J:$J,ROW()-8)="",TODAY(),INDEX(Transactions!$G:$G,ROW()-8))</f>
      </c>
      <c r="F3271">
        <f>IF(INDEX(Transactions!$J:$J,ROW()-8)="",0,INDEX(Transactions!$O:$O,ROW()-8))</f>
      </c>
    </row>
    <row r="3272" spans="1:7">
      <c r="B3272">
        <f>IF(INDEX(Transactions!$J:$J,ROW()-8)="",TODAY(),INDEX(Transactions!$G:$G,ROW()-8))</f>
      </c>
      <c r="F3272">
        <f>IF(INDEX(Transactions!$J:$J,ROW()-8)="",0,INDEX(Transactions!$O:$O,ROW()-8))</f>
      </c>
    </row>
    <row r="3273" spans="1:7">
      <c r="B3273">
        <f>IF(INDEX(Transactions!$J:$J,ROW()-8)="",TODAY(),INDEX(Transactions!$G:$G,ROW()-8))</f>
      </c>
      <c r="F3273">
        <f>IF(INDEX(Transactions!$J:$J,ROW()-8)="",0,INDEX(Transactions!$O:$O,ROW()-8))</f>
      </c>
    </row>
    <row r="3274" spans="1:7">
      <c r="B3274">
        <f>IF(INDEX(Transactions!$J:$J,ROW()-8)="",TODAY(),INDEX(Transactions!$G:$G,ROW()-8))</f>
      </c>
      <c r="F3274">
        <f>IF(INDEX(Transactions!$J:$J,ROW()-8)="",0,INDEX(Transactions!$O:$O,ROW()-8))</f>
      </c>
    </row>
    <row r="3275" spans="1:7">
      <c r="B3275">
        <f>IF(INDEX(Transactions!$J:$J,ROW()-8)="",TODAY(),INDEX(Transactions!$G:$G,ROW()-8))</f>
      </c>
      <c r="F3275">
        <f>IF(INDEX(Transactions!$J:$J,ROW()-8)="",0,INDEX(Transactions!$O:$O,ROW()-8))</f>
      </c>
    </row>
    <row r="3276" spans="1:7">
      <c r="B3276">
        <f>IF(INDEX(Transactions!$J:$J,ROW()-8)="",TODAY(),INDEX(Transactions!$G:$G,ROW()-8))</f>
      </c>
      <c r="F3276">
        <f>IF(INDEX(Transactions!$J:$J,ROW()-8)="",0,INDEX(Transactions!$O:$O,ROW()-8))</f>
      </c>
    </row>
    <row r="3277" spans="1:7">
      <c r="B3277">
        <f>IF(INDEX(Transactions!$J:$J,ROW()-8)="",TODAY(),INDEX(Transactions!$G:$G,ROW()-8))</f>
      </c>
      <c r="F3277">
        <f>IF(INDEX(Transactions!$J:$J,ROW()-8)="",0,INDEX(Transactions!$O:$O,ROW()-8))</f>
      </c>
    </row>
    <row r="3278" spans="1:7">
      <c r="B3278">
        <f>IF(INDEX(Transactions!$J:$J,ROW()-8)="",TODAY(),INDEX(Transactions!$G:$G,ROW()-8))</f>
      </c>
      <c r="F3278">
        <f>IF(INDEX(Transactions!$J:$J,ROW()-8)="",0,INDEX(Transactions!$O:$O,ROW()-8))</f>
      </c>
    </row>
    <row r="3279" spans="1:7">
      <c r="B3279">
        <f>IF(INDEX(Transactions!$J:$J,ROW()-8)="",TODAY(),INDEX(Transactions!$G:$G,ROW()-8))</f>
      </c>
      <c r="F3279">
        <f>IF(INDEX(Transactions!$J:$J,ROW()-8)="",0,INDEX(Transactions!$O:$O,ROW()-8))</f>
      </c>
    </row>
    <row r="3280" spans="1:7">
      <c r="B3280">
        <f>IF(INDEX(Transactions!$J:$J,ROW()-8)="",TODAY(),INDEX(Transactions!$G:$G,ROW()-8))</f>
      </c>
      <c r="F3280">
        <f>IF(INDEX(Transactions!$J:$J,ROW()-8)="",0,INDEX(Transactions!$O:$O,ROW()-8))</f>
      </c>
    </row>
    <row r="3281" spans="1:7">
      <c r="B3281">
        <f>IF(INDEX(Transactions!$J:$J,ROW()-8)="",TODAY(),INDEX(Transactions!$G:$G,ROW()-8))</f>
      </c>
      <c r="F3281">
        <f>IF(INDEX(Transactions!$J:$J,ROW()-8)="",0,INDEX(Transactions!$O:$O,ROW()-8))</f>
      </c>
    </row>
    <row r="3282" spans="1:7">
      <c r="B3282">
        <f>IF(INDEX(Transactions!$J:$J,ROW()-8)="",TODAY(),INDEX(Transactions!$G:$G,ROW()-8))</f>
      </c>
      <c r="F3282">
        <f>IF(INDEX(Transactions!$J:$J,ROW()-8)="",0,INDEX(Transactions!$O:$O,ROW()-8))</f>
      </c>
    </row>
    <row r="3283" spans="1:7">
      <c r="B3283">
        <f>IF(INDEX(Transactions!$J:$J,ROW()-8)="",TODAY(),INDEX(Transactions!$G:$G,ROW()-8))</f>
      </c>
      <c r="F3283">
        <f>IF(INDEX(Transactions!$J:$J,ROW()-8)="",0,INDEX(Transactions!$O:$O,ROW()-8))</f>
      </c>
    </row>
    <row r="3284" spans="1:7">
      <c r="B3284">
        <f>IF(INDEX(Transactions!$J:$J,ROW()-8)="",TODAY(),INDEX(Transactions!$G:$G,ROW()-8))</f>
      </c>
      <c r="F3284">
        <f>IF(INDEX(Transactions!$J:$J,ROW()-8)="",0,INDEX(Transactions!$O:$O,ROW()-8))</f>
      </c>
    </row>
    <row r="3285" spans="1:7">
      <c r="B3285">
        <f>IF(INDEX(Transactions!$J:$J,ROW()-8)="",TODAY(),INDEX(Transactions!$G:$G,ROW()-8))</f>
      </c>
      <c r="F3285">
        <f>IF(INDEX(Transactions!$J:$J,ROW()-8)="",0,INDEX(Transactions!$O:$O,ROW()-8))</f>
      </c>
    </row>
    <row r="3286" spans="1:7">
      <c r="B3286">
        <f>IF(INDEX(Transactions!$J:$J,ROW()-8)="",TODAY(),INDEX(Transactions!$G:$G,ROW()-8))</f>
      </c>
      <c r="F3286">
        <f>IF(INDEX(Transactions!$J:$J,ROW()-8)="",0,INDEX(Transactions!$O:$O,ROW()-8))</f>
      </c>
    </row>
    <row r="3287" spans="1:7">
      <c r="B3287">
        <f>IF(INDEX(Transactions!$J:$J,ROW()-8)="",TODAY(),INDEX(Transactions!$G:$G,ROW()-8))</f>
      </c>
      <c r="F3287">
        <f>IF(INDEX(Transactions!$J:$J,ROW()-8)="",0,INDEX(Transactions!$O:$O,ROW()-8))</f>
      </c>
    </row>
    <row r="3288" spans="1:7">
      <c r="B3288">
        <f>IF(INDEX(Transactions!$J:$J,ROW()-8)="",TODAY(),INDEX(Transactions!$G:$G,ROW()-8))</f>
      </c>
      <c r="F3288">
        <f>IF(INDEX(Transactions!$J:$J,ROW()-8)="",0,INDEX(Transactions!$O:$O,ROW()-8))</f>
      </c>
    </row>
    <row r="3289" spans="1:7">
      <c r="B3289">
        <f>IF(INDEX(Transactions!$J:$J,ROW()-8)="",TODAY(),INDEX(Transactions!$G:$G,ROW()-8))</f>
      </c>
      <c r="F3289">
        <f>IF(INDEX(Transactions!$J:$J,ROW()-8)="",0,INDEX(Transactions!$O:$O,ROW()-8))</f>
      </c>
    </row>
    <row r="3290" spans="1:7">
      <c r="B3290">
        <f>IF(INDEX(Transactions!$J:$J,ROW()-8)="",TODAY(),INDEX(Transactions!$G:$G,ROW()-8))</f>
      </c>
      <c r="F3290">
        <f>IF(INDEX(Transactions!$J:$J,ROW()-8)="",0,INDEX(Transactions!$O:$O,ROW()-8))</f>
      </c>
    </row>
    <row r="3291" spans="1:7">
      <c r="B3291">
        <f>IF(INDEX(Transactions!$J:$J,ROW()-8)="",TODAY(),INDEX(Transactions!$G:$G,ROW()-8))</f>
      </c>
      <c r="F3291">
        <f>IF(INDEX(Transactions!$J:$J,ROW()-8)="",0,INDEX(Transactions!$O:$O,ROW()-8))</f>
      </c>
    </row>
    <row r="3292" spans="1:7">
      <c r="B3292">
        <f>IF(INDEX(Transactions!$J:$J,ROW()-8)="",TODAY(),INDEX(Transactions!$G:$G,ROW()-8))</f>
      </c>
      <c r="F3292">
        <f>IF(INDEX(Transactions!$J:$J,ROW()-8)="",0,INDEX(Transactions!$O:$O,ROW()-8))</f>
      </c>
    </row>
    <row r="3293" spans="1:7">
      <c r="B3293">
        <f>IF(INDEX(Transactions!$J:$J,ROW()-8)="",TODAY(),INDEX(Transactions!$G:$G,ROW()-8))</f>
      </c>
      <c r="F3293">
        <f>IF(INDEX(Transactions!$J:$J,ROW()-8)="",0,INDEX(Transactions!$O:$O,ROW()-8))</f>
      </c>
    </row>
    <row r="3294" spans="1:7">
      <c r="B3294">
        <f>IF(INDEX(Transactions!$J:$J,ROW()-8)="",TODAY(),INDEX(Transactions!$G:$G,ROW()-8))</f>
      </c>
      <c r="F3294">
        <f>IF(INDEX(Transactions!$J:$J,ROW()-8)="",0,INDEX(Transactions!$O:$O,ROW()-8))</f>
      </c>
    </row>
    <row r="3295" spans="1:7">
      <c r="B3295">
        <f>IF(INDEX(Transactions!$J:$J,ROW()-8)="",TODAY(),INDEX(Transactions!$G:$G,ROW()-8))</f>
      </c>
      <c r="F3295">
        <f>IF(INDEX(Transactions!$J:$J,ROW()-8)="",0,INDEX(Transactions!$O:$O,ROW()-8))</f>
      </c>
    </row>
    <row r="3296" spans="1:7">
      <c r="B3296">
        <f>IF(INDEX(Transactions!$J:$J,ROW()-8)="",TODAY(),INDEX(Transactions!$G:$G,ROW()-8))</f>
      </c>
      <c r="F3296">
        <f>IF(INDEX(Transactions!$J:$J,ROW()-8)="",0,INDEX(Transactions!$O:$O,ROW()-8))</f>
      </c>
    </row>
    <row r="3297" spans="1:7">
      <c r="B3297">
        <f>IF(INDEX(Transactions!$J:$J,ROW()-8)="",TODAY(),INDEX(Transactions!$G:$G,ROW()-8))</f>
      </c>
      <c r="F3297">
        <f>IF(INDEX(Transactions!$J:$J,ROW()-8)="",0,INDEX(Transactions!$O:$O,ROW()-8))</f>
      </c>
    </row>
    <row r="3298" spans="1:7">
      <c r="B3298">
        <f>IF(INDEX(Transactions!$J:$J,ROW()-8)="",TODAY(),INDEX(Transactions!$G:$G,ROW()-8))</f>
      </c>
      <c r="F3298">
        <f>IF(INDEX(Transactions!$J:$J,ROW()-8)="",0,INDEX(Transactions!$O:$O,ROW()-8))</f>
      </c>
    </row>
    <row r="3299" spans="1:7">
      <c r="B3299">
        <f>IF(INDEX(Transactions!$J:$J,ROW()-8)="",TODAY(),INDEX(Transactions!$G:$G,ROW()-8))</f>
      </c>
      <c r="F3299">
        <f>IF(INDEX(Transactions!$J:$J,ROW()-8)="",0,INDEX(Transactions!$O:$O,ROW()-8))</f>
      </c>
    </row>
    <row r="3300" spans="1:7">
      <c r="B3300">
        <f>IF(INDEX(Transactions!$J:$J,ROW()-8)="",TODAY(),INDEX(Transactions!$G:$G,ROW()-8))</f>
      </c>
      <c r="F3300">
        <f>IF(INDEX(Transactions!$J:$J,ROW()-8)="",0,INDEX(Transactions!$O:$O,ROW()-8))</f>
      </c>
    </row>
    <row r="3301" spans="1:7">
      <c r="B3301">
        <f>IF(INDEX(Transactions!$J:$J,ROW()-8)="",TODAY(),INDEX(Transactions!$G:$G,ROW()-8))</f>
      </c>
      <c r="F3301">
        <f>IF(INDEX(Transactions!$J:$J,ROW()-8)="",0,INDEX(Transactions!$O:$O,ROW()-8))</f>
      </c>
    </row>
    <row r="3302" spans="1:7">
      <c r="B3302">
        <f>IF(INDEX(Transactions!$J:$J,ROW()-8)="",TODAY(),INDEX(Transactions!$G:$G,ROW()-8))</f>
      </c>
      <c r="F3302">
        <f>IF(INDEX(Transactions!$J:$J,ROW()-8)="",0,INDEX(Transactions!$O:$O,ROW()-8))</f>
      </c>
    </row>
    <row r="3303" spans="1:7">
      <c r="B3303">
        <f>IF(INDEX(Transactions!$J:$J,ROW()-8)="",TODAY(),INDEX(Transactions!$G:$G,ROW()-8))</f>
      </c>
      <c r="F3303">
        <f>IF(INDEX(Transactions!$J:$J,ROW()-8)="",0,INDEX(Transactions!$O:$O,ROW()-8))</f>
      </c>
    </row>
    <row r="3304" spans="1:7">
      <c r="B3304">
        <f>IF(INDEX(Transactions!$J:$J,ROW()-8)="",TODAY(),INDEX(Transactions!$G:$G,ROW()-8))</f>
      </c>
      <c r="F3304">
        <f>IF(INDEX(Transactions!$J:$J,ROW()-8)="",0,INDEX(Transactions!$O:$O,ROW()-8))</f>
      </c>
    </row>
    <row r="3305" spans="1:7">
      <c r="B3305">
        <f>IF(INDEX(Transactions!$J:$J,ROW()-8)="",TODAY(),INDEX(Transactions!$G:$G,ROW()-8))</f>
      </c>
      <c r="F3305">
        <f>IF(INDEX(Transactions!$J:$J,ROW()-8)="",0,INDEX(Transactions!$O:$O,ROW()-8))</f>
      </c>
    </row>
    <row r="3306" spans="1:7">
      <c r="B3306">
        <f>IF(INDEX(Transactions!$J:$J,ROW()-8)="",TODAY(),INDEX(Transactions!$G:$G,ROW()-8))</f>
      </c>
      <c r="F3306">
        <f>IF(INDEX(Transactions!$J:$J,ROW()-8)="",0,INDEX(Transactions!$O:$O,ROW()-8))</f>
      </c>
    </row>
    <row r="3307" spans="1:7">
      <c r="B3307">
        <f>IF(INDEX(Transactions!$J:$J,ROW()-8)="",TODAY(),INDEX(Transactions!$G:$G,ROW()-8))</f>
      </c>
      <c r="F3307">
        <f>IF(INDEX(Transactions!$J:$J,ROW()-8)="",0,INDEX(Transactions!$O:$O,ROW()-8))</f>
      </c>
    </row>
    <row r="3308" spans="1:7">
      <c r="B3308">
        <f>IF(INDEX(Transactions!$J:$J,ROW()-8)="",TODAY(),INDEX(Transactions!$G:$G,ROW()-8))</f>
      </c>
      <c r="F3308">
        <f>IF(INDEX(Transactions!$J:$J,ROW()-8)="",0,INDEX(Transactions!$O:$O,ROW()-8))</f>
      </c>
    </row>
    <row r="3309" spans="1:7">
      <c r="B3309">
        <f>IF(INDEX(Transactions!$J:$J,ROW()-8)="",TODAY(),INDEX(Transactions!$G:$G,ROW()-8))</f>
      </c>
      <c r="F3309">
        <f>IF(INDEX(Transactions!$J:$J,ROW()-8)="",0,INDEX(Transactions!$O:$O,ROW()-8))</f>
      </c>
    </row>
    <row r="3310" spans="1:7">
      <c r="B3310">
        <f>IF(INDEX(Transactions!$J:$J,ROW()-8)="",TODAY(),INDEX(Transactions!$G:$G,ROW()-8))</f>
      </c>
      <c r="F3310">
        <f>IF(INDEX(Transactions!$J:$J,ROW()-8)="",0,INDEX(Transactions!$O:$O,ROW()-8))</f>
      </c>
    </row>
    <row r="3311" spans="1:7">
      <c r="B3311">
        <f>IF(INDEX(Transactions!$J:$J,ROW()-8)="",TODAY(),INDEX(Transactions!$G:$G,ROW()-8))</f>
      </c>
      <c r="F3311">
        <f>IF(INDEX(Transactions!$J:$J,ROW()-8)="",0,INDEX(Transactions!$O:$O,ROW()-8))</f>
      </c>
    </row>
    <row r="3312" spans="1:7">
      <c r="B3312">
        <f>IF(INDEX(Transactions!$J:$J,ROW()-8)="",TODAY(),INDEX(Transactions!$G:$G,ROW()-8))</f>
      </c>
      <c r="F3312">
        <f>IF(INDEX(Transactions!$J:$J,ROW()-8)="",0,INDEX(Transactions!$O:$O,ROW()-8))</f>
      </c>
    </row>
    <row r="3313" spans="1:7">
      <c r="B3313">
        <f>IF(INDEX(Transactions!$J:$J,ROW()-8)="",TODAY(),INDEX(Transactions!$G:$G,ROW()-8))</f>
      </c>
      <c r="F3313">
        <f>IF(INDEX(Transactions!$J:$J,ROW()-8)="",0,INDEX(Transactions!$O:$O,ROW()-8))</f>
      </c>
    </row>
    <row r="3314" spans="1:7">
      <c r="B3314">
        <f>IF(INDEX(Transactions!$J:$J,ROW()-8)="",TODAY(),INDEX(Transactions!$G:$G,ROW()-8))</f>
      </c>
      <c r="F3314">
        <f>IF(INDEX(Transactions!$J:$J,ROW()-8)="",0,INDEX(Transactions!$O:$O,ROW()-8))</f>
      </c>
    </row>
    <row r="3315" spans="1:7">
      <c r="B3315">
        <f>IF(INDEX(Transactions!$J:$J,ROW()-8)="",TODAY(),INDEX(Transactions!$G:$G,ROW()-8))</f>
      </c>
      <c r="F3315">
        <f>IF(INDEX(Transactions!$J:$J,ROW()-8)="",0,INDEX(Transactions!$O:$O,ROW()-8))</f>
      </c>
    </row>
    <row r="3316" spans="1:7">
      <c r="B3316">
        <f>IF(INDEX(Transactions!$J:$J,ROW()-8)="",TODAY(),INDEX(Transactions!$G:$G,ROW()-8))</f>
      </c>
      <c r="F3316">
        <f>IF(INDEX(Transactions!$J:$J,ROW()-8)="",0,INDEX(Transactions!$O:$O,ROW()-8))</f>
      </c>
    </row>
    <row r="3317" spans="1:7">
      <c r="B3317">
        <f>IF(INDEX(Transactions!$J:$J,ROW()-8)="",TODAY(),INDEX(Transactions!$G:$G,ROW()-8))</f>
      </c>
      <c r="F3317">
        <f>IF(INDEX(Transactions!$J:$J,ROW()-8)="",0,INDEX(Transactions!$O:$O,ROW()-8))</f>
      </c>
    </row>
    <row r="3318" spans="1:7">
      <c r="B3318">
        <f>IF(INDEX(Transactions!$J:$J,ROW()-8)="",TODAY(),INDEX(Transactions!$G:$G,ROW()-8))</f>
      </c>
      <c r="F3318">
        <f>IF(INDEX(Transactions!$J:$J,ROW()-8)="",0,INDEX(Transactions!$O:$O,ROW()-8))</f>
      </c>
    </row>
    <row r="3319" spans="1:7">
      <c r="B3319">
        <f>IF(INDEX(Transactions!$J:$J,ROW()-8)="",TODAY(),INDEX(Transactions!$G:$G,ROW()-8))</f>
      </c>
      <c r="F3319">
        <f>IF(INDEX(Transactions!$J:$J,ROW()-8)="",0,INDEX(Transactions!$O:$O,ROW()-8))</f>
      </c>
    </row>
    <row r="3320" spans="1:7">
      <c r="B3320">
        <f>IF(INDEX(Transactions!$J:$J,ROW()-8)="",TODAY(),INDEX(Transactions!$G:$G,ROW()-8))</f>
      </c>
      <c r="F3320">
        <f>IF(INDEX(Transactions!$J:$J,ROW()-8)="",0,INDEX(Transactions!$O:$O,ROW()-8))</f>
      </c>
    </row>
    <row r="3321" spans="1:7">
      <c r="B3321">
        <f>IF(INDEX(Transactions!$J:$J,ROW()-8)="",TODAY(),INDEX(Transactions!$G:$G,ROW()-8))</f>
      </c>
      <c r="F3321">
        <f>IF(INDEX(Transactions!$J:$J,ROW()-8)="",0,INDEX(Transactions!$O:$O,ROW()-8))</f>
      </c>
    </row>
    <row r="3322" spans="1:7">
      <c r="B3322">
        <f>IF(INDEX(Transactions!$J:$J,ROW()-8)="",TODAY(),INDEX(Transactions!$G:$G,ROW()-8))</f>
      </c>
      <c r="F3322">
        <f>IF(INDEX(Transactions!$J:$J,ROW()-8)="",0,INDEX(Transactions!$O:$O,ROW()-8))</f>
      </c>
    </row>
    <row r="3323" spans="1:7">
      <c r="B3323">
        <f>IF(INDEX(Transactions!$J:$J,ROW()-8)="",TODAY(),INDEX(Transactions!$G:$G,ROW()-8))</f>
      </c>
      <c r="F3323">
        <f>IF(INDEX(Transactions!$J:$J,ROW()-8)="",0,INDEX(Transactions!$O:$O,ROW()-8))</f>
      </c>
    </row>
    <row r="3324" spans="1:7">
      <c r="B3324">
        <f>IF(INDEX(Transactions!$J:$J,ROW()-8)="",TODAY(),INDEX(Transactions!$G:$G,ROW()-8))</f>
      </c>
      <c r="F3324">
        <f>IF(INDEX(Transactions!$J:$J,ROW()-8)="",0,INDEX(Transactions!$O:$O,ROW()-8))</f>
      </c>
    </row>
    <row r="3325" spans="1:7">
      <c r="B3325">
        <f>IF(INDEX(Transactions!$J:$J,ROW()-8)="",TODAY(),INDEX(Transactions!$G:$G,ROW()-8))</f>
      </c>
      <c r="F3325">
        <f>IF(INDEX(Transactions!$J:$J,ROW()-8)="",0,INDEX(Transactions!$O:$O,ROW()-8))</f>
      </c>
    </row>
    <row r="3326" spans="1:7">
      <c r="B3326">
        <f>IF(INDEX(Transactions!$J:$J,ROW()-8)="",TODAY(),INDEX(Transactions!$G:$G,ROW()-8))</f>
      </c>
      <c r="F3326">
        <f>IF(INDEX(Transactions!$J:$J,ROW()-8)="",0,INDEX(Transactions!$O:$O,ROW()-8))</f>
      </c>
    </row>
    <row r="3327" spans="1:7">
      <c r="B3327">
        <f>IF(INDEX(Transactions!$J:$J,ROW()-8)="",TODAY(),INDEX(Transactions!$G:$G,ROW()-8))</f>
      </c>
      <c r="F3327">
        <f>IF(INDEX(Transactions!$J:$J,ROW()-8)="",0,INDEX(Transactions!$O:$O,ROW()-8))</f>
      </c>
    </row>
    <row r="3328" spans="1:7">
      <c r="B3328">
        <f>IF(INDEX(Transactions!$J:$J,ROW()-8)="",TODAY(),INDEX(Transactions!$G:$G,ROW()-8))</f>
      </c>
      <c r="F3328">
        <f>IF(INDEX(Transactions!$J:$J,ROW()-8)="",0,INDEX(Transactions!$O:$O,ROW()-8))</f>
      </c>
    </row>
    <row r="3329" spans="1:7">
      <c r="B3329">
        <f>IF(INDEX(Transactions!$J:$J,ROW()-8)="",TODAY(),INDEX(Transactions!$G:$G,ROW()-8))</f>
      </c>
      <c r="F3329">
        <f>IF(INDEX(Transactions!$J:$J,ROW()-8)="",0,INDEX(Transactions!$O:$O,ROW()-8))</f>
      </c>
    </row>
    <row r="3330" spans="1:7">
      <c r="B3330">
        <f>IF(INDEX(Transactions!$J:$J,ROW()-8)="",TODAY(),INDEX(Transactions!$G:$G,ROW()-8))</f>
      </c>
      <c r="F3330">
        <f>IF(INDEX(Transactions!$J:$J,ROW()-8)="",0,INDEX(Transactions!$O:$O,ROW()-8))</f>
      </c>
    </row>
    <row r="3331" spans="1:7">
      <c r="B3331">
        <f>IF(INDEX(Transactions!$J:$J,ROW()-8)="",TODAY(),INDEX(Transactions!$G:$G,ROW()-8))</f>
      </c>
      <c r="F3331">
        <f>IF(INDEX(Transactions!$J:$J,ROW()-8)="",0,INDEX(Transactions!$O:$O,ROW()-8))</f>
      </c>
    </row>
    <row r="3332" spans="1:7">
      <c r="B3332">
        <f>IF(INDEX(Transactions!$J:$J,ROW()-8)="",TODAY(),INDEX(Transactions!$G:$G,ROW()-8))</f>
      </c>
      <c r="F3332">
        <f>IF(INDEX(Transactions!$J:$J,ROW()-8)="",0,INDEX(Transactions!$O:$O,ROW()-8))</f>
      </c>
    </row>
    <row r="3333" spans="1:7">
      <c r="B3333">
        <f>IF(INDEX(Transactions!$J:$J,ROW()-8)="",TODAY(),INDEX(Transactions!$G:$G,ROW()-8))</f>
      </c>
      <c r="F3333">
        <f>IF(INDEX(Transactions!$J:$J,ROW()-8)="",0,INDEX(Transactions!$O:$O,ROW()-8))</f>
      </c>
    </row>
    <row r="3334" spans="1:7">
      <c r="B3334">
        <f>IF(INDEX(Transactions!$J:$J,ROW()-8)="",TODAY(),INDEX(Transactions!$G:$G,ROW()-8))</f>
      </c>
      <c r="F3334">
        <f>IF(INDEX(Transactions!$J:$J,ROW()-8)="",0,INDEX(Transactions!$O:$O,ROW()-8))</f>
      </c>
    </row>
    <row r="3335" spans="1:7">
      <c r="B3335">
        <f>IF(INDEX(Transactions!$J:$J,ROW()-8)="",TODAY(),INDEX(Transactions!$G:$G,ROW()-8))</f>
      </c>
      <c r="F3335">
        <f>IF(INDEX(Transactions!$J:$J,ROW()-8)="",0,INDEX(Transactions!$O:$O,ROW()-8))</f>
      </c>
    </row>
    <row r="3336" spans="1:7">
      <c r="B3336">
        <f>IF(INDEX(Transactions!$J:$J,ROW()-8)="",TODAY(),INDEX(Transactions!$G:$G,ROW()-8))</f>
      </c>
      <c r="F3336">
        <f>IF(INDEX(Transactions!$J:$J,ROW()-8)="",0,INDEX(Transactions!$O:$O,ROW()-8))</f>
      </c>
    </row>
    <row r="3337" spans="1:7">
      <c r="B3337">
        <f>IF(INDEX(Transactions!$J:$J,ROW()-8)="",TODAY(),INDEX(Transactions!$G:$G,ROW()-8))</f>
      </c>
      <c r="F3337">
        <f>IF(INDEX(Transactions!$J:$J,ROW()-8)="",0,INDEX(Transactions!$O:$O,ROW()-8))</f>
      </c>
    </row>
    <row r="3338" spans="1:7">
      <c r="B3338">
        <f>IF(INDEX(Transactions!$J:$J,ROW()-8)="",TODAY(),INDEX(Transactions!$G:$G,ROW()-8))</f>
      </c>
      <c r="F3338">
        <f>IF(INDEX(Transactions!$J:$J,ROW()-8)="",0,INDEX(Transactions!$O:$O,ROW()-8))</f>
      </c>
    </row>
    <row r="3339" spans="1:7">
      <c r="B3339">
        <f>IF(INDEX(Transactions!$J:$J,ROW()-8)="",TODAY(),INDEX(Transactions!$G:$G,ROW()-8))</f>
      </c>
      <c r="F3339">
        <f>IF(INDEX(Transactions!$J:$J,ROW()-8)="",0,INDEX(Transactions!$O:$O,ROW()-8))</f>
      </c>
    </row>
    <row r="3340" spans="1:7">
      <c r="B3340">
        <f>IF(INDEX(Transactions!$J:$J,ROW()-8)="",TODAY(),INDEX(Transactions!$G:$G,ROW()-8))</f>
      </c>
      <c r="F3340">
        <f>IF(INDEX(Transactions!$J:$J,ROW()-8)="",0,INDEX(Transactions!$O:$O,ROW()-8))</f>
      </c>
    </row>
    <row r="3341" spans="1:7">
      <c r="B3341">
        <f>IF(INDEX(Transactions!$J:$J,ROW()-8)="",TODAY(),INDEX(Transactions!$G:$G,ROW()-8))</f>
      </c>
      <c r="F3341">
        <f>IF(INDEX(Transactions!$J:$J,ROW()-8)="",0,INDEX(Transactions!$O:$O,ROW()-8))</f>
      </c>
    </row>
    <row r="3342" spans="1:7">
      <c r="B3342">
        <f>IF(INDEX(Transactions!$J:$J,ROW()-8)="",TODAY(),INDEX(Transactions!$G:$G,ROW()-8))</f>
      </c>
      <c r="F3342">
        <f>IF(INDEX(Transactions!$J:$J,ROW()-8)="",0,INDEX(Transactions!$O:$O,ROW()-8))</f>
      </c>
    </row>
    <row r="3343" spans="1:7">
      <c r="B3343">
        <f>IF(INDEX(Transactions!$J:$J,ROW()-8)="",TODAY(),INDEX(Transactions!$G:$G,ROW()-8))</f>
      </c>
      <c r="F3343">
        <f>IF(INDEX(Transactions!$J:$J,ROW()-8)="",0,INDEX(Transactions!$O:$O,ROW()-8))</f>
      </c>
    </row>
    <row r="3344" spans="1:7">
      <c r="B3344">
        <f>IF(INDEX(Transactions!$J:$J,ROW()-8)="",TODAY(),INDEX(Transactions!$G:$G,ROW()-8))</f>
      </c>
      <c r="F3344">
        <f>IF(INDEX(Transactions!$J:$J,ROW()-8)="",0,INDEX(Transactions!$O:$O,ROW()-8))</f>
      </c>
    </row>
    <row r="3345" spans="1:7">
      <c r="B3345">
        <f>IF(INDEX(Transactions!$J:$J,ROW()-8)="",TODAY(),INDEX(Transactions!$G:$G,ROW()-8))</f>
      </c>
      <c r="F3345">
        <f>IF(INDEX(Transactions!$J:$J,ROW()-8)="",0,INDEX(Transactions!$O:$O,ROW()-8))</f>
      </c>
    </row>
    <row r="3346" spans="1:7">
      <c r="B3346">
        <f>IF(INDEX(Transactions!$J:$J,ROW()-8)="",TODAY(),INDEX(Transactions!$G:$G,ROW()-8))</f>
      </c>
      <c r="F3346">
        <f>IF(INDEX(Transactions!$J:$J,ROW()-8)="",0,INDEX(Transactions!$O:$O,ROW()-8))</f>
      </c>
    </row>
    <row r="3347" spans="1:7">
      <c r="B3347">
        <f>IF(INDEX(Transactions!$J:$J,ROW()-8)="",TODAY(),INDEX(Transactions!$G:$G,ROW()-8))</f>
      </c>
      <c r="F3347">
        <f>IF(INDEX(Transactions!$J:$J,ROW()-8)="",0,INDEX(Transactions!$O:$O,ROW()-8))</f>
      </c>
    </row>
    <row r="3348" spans="1:7">
      <c r="B3348">
        <f>IF(INDEX(Transactions!$J:$J,ROW()-8)="",TODAY(),INDEX(Transactions!$G:$G,ROW()-8))</f>
      </c>
      <c r="F3348">
        <f>IF(INDEX(Transactions!$J:$J,ROW()-8)="",0,INDEX(Transactions!$O:$O,ROW()-8))</f>
      </c>
    </row>
    <row r="3349" spans="1:7">
      <c r="B3349">
        <f>IF(INDEX(Transactions!$J:$J,ROW()-8)="",TODAY(),INDEX(Transactions!$G:$G,ROW()-8))</f>
      </c>
      <c r="F3349">
        <f>IF(INDEX(Transactions!$J:$J,ROW()-8)="",0,INDEX(Transactions!$O:$O,ROW()-8))</f>
      </c>
    </row>
    <row r="3350" spans="1:7">
      <c r="B3350">
        <f>IF(INDEX(Transactions!$J:$J,ROW()-8)="",TODAY(),INDEX(Transactions!$G:$G,ROW()-8))</f>
      </c>
      <c r="F3350">
        <f>IF(INDEX(Transactions!$J:$J,ROW()-8)="",0,INDEX(Transactions!$O:$O,ROW()-8))</f>
      </c>
    </row>
    <row r="3351" spans="1:7">
      <c r="B3351">
        <f>IF(INDEX(Transactions!$J:$J,ROW()-8)="",TODAY(),INDEX(Transactions!$G:$G,ROW()-8))</f>
      </c>
      <c r="F3351">
        <f>IF(INDEX(Transactions!$J:$J,ROW()-8)="",0,INDEX(Transactions!$O:$O,ROW()-8))</f>
      </c>
    </row>
    <row r="3352" spans="1:7">
      <c r="B3352">
        <f>IF(INDEX(Transactions!$J:$J,ROW()-8)="",TODAY(),INDEX(Transactions!$G:$G,ROW()-8))</f>
      </c>
      <c r="F3352">
        <f>IF(INDEX(Transactions!$J:$J,ROW()-8)="",0,INDEX(Transactions!$O:$O,ROW()-8))</f>
      </c>
    </row>
    <row r="3353" spans="1:7">
      <c r="B3353">
        <f>IF(INDEX(Transactions!$J:$J,ROW()-8)="",TODAY(),INDEX(Transactions!$G:$G,ROW()-8))</f>
      </c>
      <c r="F3353">
        <f>IF(INDEX(Transactions!$J:$J,ROW()-8)="",0,INDEX(Transactions!$O:$O,ROW()-8))</f>
      </c>
    </row>
    <row r="3354" spans="1:7">
      <c r="B3354">
        <f>IF(INDEX(Transactions!$J:$J,ROW()-8)="",TODAY(),INDEX(Transactions!$G:$G,ROW()-8))</f>
      </c>
      <c r="F3354">
        <f>IF(INDEX(Transactions!$J:$J,ROW()-8)="",0,INDEX(Transactions!$O:$O,ROW()-8))</f>
      </c>
    </row>
    <row r="3355" spans="1:7">
      <c r="B3355">
        <f>IF(INDEX(Transactions!$J:$J,ROW()-8)="",TODAY(),INDEX(Transactions!$G:$G,ROW()-8))</f>
      </c>
      <c r="F3355">
        <f>IF(INDEX(Transactions!$J:$J,ROW()-8)="",0,INDEX(Transactions!$O:$O,ROW()-8))</f>
      </c>
    </row>
    <row r="3356" spans="1:7">
      <c r="B3356">
        <f>IF(INDEX(Transactions!$J:$J,ROW()-8)="",TODAY(),INDEX(Transactions!$G:$G,ROW()-8))</f>
      </c>
      <c r="F3356">
        <f>IF(INDEX(Transactions!$J:$J,ROW()-8)="",0,INDEX(Transactions!$O:$O,ROW()-8))</f>
      </c>
    </row>
    <row r="3357" spans="1:7">
      <c r="B3357">
        <f>IF(INDEX(Transactions!$J:$J,ROW()-8)="",TODAY(),INDEX(Transactions!$G:$G,ROW()-8))</f>
      </c>
      <c r="F3357">
        <f>IF(INDEX(Transactions!$J:$J,ROW()-8)="",0,INDEX(Transactions!$O:$O,ROW()-8))</f>
      </c>
    </row>
    <row r="3358" spans="1:7">
      <c r="B3358">
        <f>IF(INDEX(Transactions!$J:$J,ROW()-8)="",TODAY(),INDEX(Transactions!$G:$G,ROW()-8))</f>
      </c>
      <c r="F3358">
        <f>IF(INDEX(Transactions!$J:$J,ROW()-8)="",0,INDEX(Transactions!$O:$O,ROW()-8))</f>
      </c>
    </row>
    <row r="3359" spans="1:7">
      <c r="B3359">
        <f>IF(INDEX(Transactions!$J:$J,ROW()-8)="",TODAY(),INDEX(Transactions!$G:$G,ROW()-8))</f>
      </c>
      <c r="F3359">
        <f>IF(INDEX(Transactions!$J:$J,ROW()-8)="",0,INDEX(Transactions!$O:$O,ROW()-8))</f>
      </c>
    </row>
    <row r="3360" spans="1:7">
      <c r="B3360">
        <f>IF(INDEX(Transactions!$J:$J,ROW()-8)="",TODAY(),INDEX(Transactions!$G:$G,ROW()-8))</f>
      </c>
      <c r="F3360">
        <f>IF(INDEX(Transactions!$J:$J,ROW()-8)="",0,INDEX(Transactions!$O:$O,ROW()-8))</f>
      </c>
    </row>
    <row r="3361" spans="1:7">
      <c r="B3361">
        <f>IF(INDEX(Transactions!$J:$J,ROW()-8)="",TODAY(),INDEX(Transactions!$G:$G,ROW()-8))</f>
      </c>
      <c r="F3361">
        <f>IF(INDEX(Transactions!$J:$J,ROW()-8)="",0,INDEX(Transactions!$O:$O,ROW()-8))</f>
      </c>
    </row>
    <row r="3362" spans="1:7">
      <c r="B3362">
        <f>IF(INDEX(Transactions!$J:$J,ROW()-8)="",TODAY(),INDEX(Transactions!$G:$G,ROW()-8))</f>
      </c>
      <c r="F3362">
        <f>IF(INDEX(Transactions!$J:$J,ROW()-8)="",0,INDEX(Transactions!$O:$O,ROW()-8))</f>
      </c>
    </row>
    <row r="3363" spans="1:7">
      <c r="B3363">
        <f>IF(INDEX(Transactions!$J:$J,ROW()-8)="",TODAY(),INDEX(Transactions!$G:$G,ROW()-8))</f>
      </c>
      <c r="F3363">
        <f>IF(INDEX(Transactions!$J:$J,ROW()-8)="",0,INDEX(Transactions!$O:$O,ROW()-8))</f>
      </c>
    </row>
    <row r="3364" spans="1:7">
      <c r="B3364">
        <f>IF(INDEX(Transactions!$J:$J,ROW()-8)="",TODAY(),INDEX(Transactions!$G:$G,ROW()-8))</f>
      </c>
      <c r="F3364">
        <f>IF(INDEX(Transactions!$J:$J,ROW()-8)="",0,INDEX(Transactions!$O:$O,ROW()-8))</f>
      </c>
    </row>
    <row r="3365" spans="1:7">
      <c r="B3365">
        <f>IF(INDEX(Transactions!$J:$J,ROW()-8)="",TODAY(),INDEX(Transactions!$G:$G,ROW()-8))</f>
      </c>
      <c r="F3365">
        <f>IF(INDEX(Transactions!$J:$J,ROW()-8)="",0,INDEX(Transactions!$O:$O,ROW()-8))</f>
      </c>
    </row>
    <row r="3366" spans="1:7">
      <c r="B3366">
        <f>IF(INDEX(Transactions!$J:$J,ROW()-8)="",TODAY(),INDEX(Transactions!$G:$G,ROW()-8))</f>
      </c>
      <c r="F3366">
        <f>IF(INDEX(Transactions!$J:$J,ROW()-8)="",0,INDEX(Transactions!$O:$O,ROW()-8))</f>
      </c>
    </row>
    <row r="3367" spans="1:7">
      <c r="B3367">
        <f>IF(INDEX(Transactions!$J:$J,ROW()-8)="",TODAY(),INDEX(Transactions!$G:$G,ROW()-8))</f>
      </c>
      <c r="F3367">
        <f>IF(INDEX(Transactions!$J:$J,ROW()-8)="",0,INDEX(Transactions!$O:$O,ROW()-8))</f>
      </c>
    </row>
    <row r="3368" spans="1:7">
      <c r="B3368">
        <f>IF(INDEX(Transactions!$J:$J,ROW()-8)="",TODAY(),INDEX(Transactions!$G:$G,ROW()-8))</f>
      </c>
      <c r="F3368">
        <f>IF(INDEX(Transactions!$J:$J,ROW()-8)="",0,INDEX(Transactions!$O:$O,ROW()-8))</f>
      </c>
    </row>
    <row r="3369" spans="1:7">
      <c r="B3369">
        <f>IF(INDEX(Transactions!$J:$J,ROW()-8)="",TODAY(),INDEX(Transactions!$G:$G,ROW()-8))</f>
      </c>
      <c r="F3369">
        <f>IF(INDEX(Transactions!$J:$J,ROW()-8)="",0,INDEX(Transactions!$O:$O,ROW()-8))</f>
      </c>
    </row>
    <row r="3370" spans="1:7">
      <c r="B3370">
        <f>IF(INDEX(Transactions!$J:$J,ROW()-8)="",TODAY(),INDEX(Transactions!$G:$G,ROW()-8))</f>
      </c>
      <c r="F3370">
        <f>IF(INDEX(Transactions!$J:$J,ROW()-8)="",0,INDEX(Transactions!$O:$O,ROW()-8))</f>
      </c>
    </row>
    <row r="3371" spans="1:7">
      <c r="B3371">
        <f>IF(INDEX(Transactions!$J:$J,ROW()-8)="",TODAY(),INDEX(Transactions!$G:$G,ROW()-8))</f>
      </c>
      <c r="F3371">
        <f>IF(INDEX(Transactions!$J:$J,ROW()-8)="",0,INDEX(Transactions!$O:$O,ROW()-8))</f>
      </c>
    </row>
    <row r="3372" spans="1:7">
      <c r="B3372">
        <f>IF(INDEX(Transactions!$J:$J,ROW()-8)="",TODAY(),INDEX(Transactions!$G:$G,ROW()-8))</f>
      </c>
      <c r="F3372">
        <f>IF(INDEX(Transactions!$J:$J,ROW()-8)="",0,INDEX(Transactions!$O:$O,ROW()-8))</f>
      </c>
    </row>
    <row r="3373" spans="1:7">
      <c r="B3373">
        <f>IF(INDEX(Transactions!$J:$J,ROW()-8)="",TODAY(),INDEX(Transactions!$G:$G,ROW()-8))</f>
      </c>
      <c r="F3373">
        <f>IF(INDEX(Transactions!$J:$J,ROW()-8)="",0,INDEX(Transactions!$O:$O,ROW()-8))</f>
      </c>
    </row>
    <row r="3374" spans="1:7">
      <c r="B3374">
        <f>IF(INDEX(Transactions!$J:$J,ROW()-8)="",TODAY(),INDEX(Transactions!$G:$G,ROW()-8))</f>
      </c>
      <c r="F3374">
        <f>IF(INDEX(Transactions!$J:$J,ROW()-8)="",0,INDEX(Transactions!$O:$O,ROW()-8))</f>
      </c>
    </row>
    <row r="3375" spans="1:7">
      <c r="B3375">
        <f>IF(INDEX(Transactions!$J:$J,ROW()-8)="",TODAY(),INDEX(Transactions!$G:$G,ROW()-8))</f>
      </c>
      <c r="F3375">
        <f>IF(INDEX(Transactions!$J:$J,ROW()-8)="",0,INDEX(Transactions!$O:$O,ROW()-8))</f>
      </c>
    </row>
    <row r="3376" spans="1:7">
      <c r="B3376">
        <f>IF(INDEX(Transactions!$J:$J,ROW()-8)="",TODAY(),INDEX(Transactions!$G:$G,ROW()-8))</f>
      </c>
      <c r="F3376">
        <f>IF(INDEX(Transactions!$J:$J,ROW()-8)="",0,INDEX(Transactions!$O:$O,ROW()-8))</f>
      </c>
    </row>
    <row r="3377" spans="1:7">
      <c r="B3377">
        <f>IF(INDEX(Transactions!$J:$J,ROW()-8)="",TODAY(),INDEX(Transactions!$G:$G,ROW()-8))</f>
      </c>
      <c r="F3377">
        <f>IF(INDEX(Transactions!$J:$J,ROW()-8)="",0,INDEX(Transactions!$O:$O,ROW()-8))</f>
      </c>
    </row>
    <row r="3378" spans="1:7">
      <c r="B3378">
        <f>IF(INDEX(Transactions!$J:$J,ROW()-8)="",TODAY(),INDEX(Transactions!$G:$G,ROW()-8))</f>
      </c>
      <c r="F3378">
        <f>IF(INDEX(Transactions!$J:$J,ROW()-8)="",0,INDEX(Transactions!$O:$O,ROW()-8))</f>
      </c>
    </row>
    <row r="3379" spans="1:7">
      <c r="B3379">
        <f>IF(INDEX(Transactions!$J:$J,ROW()-8)="",TODAY(),INDEX(Transactions!$G:$G,ROW()-8))</f>
      </c>
      <c r="F3379">
        <f>IF(INDEX(Transactions!$J:$J,ROW()-8)="",0,INDEX(Transactions!$O:$O,ROW()-8))</f>
      </c>
    </row>
    <row r="3380" spans="1:7">
      <c r="B3380">
        <f>IF(INDEX(Transactions!$J:$J,ROW()-8)="",TODAY(),INDEX(Transactions!$G:$G,ROW()-8))</f>
      </c>
      <c r="F3380">
        <f>IF(INDEX(Transactions!$J:$J,ROW()-8)="",0,INDEX(Transactions!$O:$O,ROW()-8))</f>
      </c>
    </row>
    <row r="3381" spans="1:7">
      <c r="B3381">
        <f>IF(INDEX(Transactions!$J:$J,ROW()-8)="",TODAY(),INDEX(Transactions!$G:$G,ROW()-8))</f>
      </c>
      <c r="F3381">
        <f>IF(INDEX(Transactions!$J:$J,ROW()-8)="",0,INDEX(Transactions!$O:$O,ROW()-8))</f>
      </c>
    </row>
    <row r="3382" spans="1:7">
      <c r="B3382">
        <f>IF(INDEX(Transactions!$J:$J,ROW()-8)="",TODAY(),INDEX(Transactions!$G:$G,ROW()-8))</f>
      </c>
      <c r="F3382">
        <f>IF(INDEX(Transactions!$J:$J,ROW()-8)="",0,INDEX(Transactions!$O:$O,ROW()-8))</f>
      </c>
    </row>
    <row r="3383" spans="1:7">
      <c r="B3383">
        <f>IF(INDEX(Transactions!$J:$J,ROW()-8)="",TODAY(),INDEX(Transactions!$G:$G,ROW()-8))</f>
      </c>
      <c r="F3383">
        <f>IF(INDEX(Transactions!$J:$J,ROW()-8)="",0,INDEX(Transactions!$O:$O,ROW()-8))</f>
      </c>
    </row>
    <row r="3384" spans="1:7">
      <c r="B3384">
        <f>IF(INDEX(Transactions!$J:$J,ROW()-8)="",TODAY(),INDEX(Transactions!$G:$G,ROW()-8))</f>
      </c>
      <c r="F3384">
        <f>IF(INDEX(Transactions!$J:$J,ROW()-8)="",0,INDEX(Transactions!$O:$O,ROW()-8))</f>
      </c>
    </row>
    <row r="3385" spans="1:7">
      <c r="B3385">
        <f>IF(INDEX(Transactions!$J:$J,ROW()-8)="",TODAY(),INDEX(Transactions!$G:$G,ROW()-8))</f>
      </c>
      <c r="F3385">
        <f>IF(INDEX(Transactions!$J:$J,ROW()-8)="",0,INDEX(Transactions!$O:$O,ROW()-8))</f>
      </c>
    </row>
    <row r="3386" spans="1:7">
      <c r="B3386">
        <f>IF(INDEX(Transactions!$J:$J,ROW()-8)="",TODAY(),INDEX(Transactions!$G:$G,ROW()-8))</f>
      </c>
      <c r="F3386">
        <f>IF(INDEX(Transactions!$J:$J,ROW()-8)="",0,INDEX(Transactions!$O:$O,ROW()-8))</f>
      </c>
    </row>
    <row r="3387" spans="1:7">
      <c r="B3387">
        <f>IF(INDEX(Transactions!$J:$J,ROW()-8)="",TODAY(),INDEX(Transactions!$G:$G,ROW()-8))</f>
      </c>
      <c r="F3387">
        <f>IF(INDEX(Transactions!$J:$J,ROW()-8)="",0,INDEX(Transactions!$O:$O,ROW()-8))</f>
      </c>
    </row>
    <row r="3388" spans="1:7">
      <c r="B3388">
        <f>IF(INDEX(Transactions!$J:$J,ROW()-8)="",TODAY(),INDEX(Transactions!$G:$G,ROW()-8))</f>
      </c>
      <c r="F3388">
        <f>IF(INDEX(Transactions!$J:$J,ROW()-8)="",0,INDEX(Transactions!$O:$O,ROW()-8))</f>
      </c>
    </row>
    <row r="3389" spans="1:7">
      <c r="B3389">
        <f>IF(INDEX(Transactions!$J:$J,ROW()-8)="",TODAY(),INDEX(Transactions!$G:$G,ROW()-8))</f>
      </c>
      <c r="F3389">
        <f>IF(INDEX(Transactions!$J:$J,ROW()-8)="",0,INDEX(Transactions!$O:$O,ROW()-8))</f>
      </c>
    </row>
    <row r="3390" spans="1:7">
      <c r="B3390">
        <f>IF(INDEX(Transactions!$J:$J,ROW()-8)="",TODAY(),INDEX(Transactions!$G:$G,ROW()-8))</f>
      </c>
      <c r="F3390">
        <f>IF(INDEX(Transactions!$J:$J,ROW()-8)="",0,INDEX(Transactions!$O:$O,ROW()-8))</f>
      </c>
    </row>
    <row r="3391" spans="1:7">
      <c r="B3391">
        <f>IF(INDEX(Transactions!$J:$J,ROW()-8)="",TODAY(),INDEX(Transactions!$G:$G,ROW()-8))</f>
      </c>
      <c r="F3391">
        <f>IF(INDEX(Transactions!$J:$J,ROW()-8)="",0,INDEX(Transactions!$O:$O,ROW()-8))</f>
      </c>
    </row>
    <row r="3392" spans="1:7">
      <c r="B3392">
        <f>IF(INDEX(Transactions!$J:$J,ROW()-8)="",TODAY(),INDEX(Transactions!$G:$G,ROW()-8))</f>
      </c>
      <c r="F3392">
        <f>IF(INDEX(Transactions!$J:$J,ROW()-8)="",0,INDEX(Transactions!$O:$O,ROW()-8))</f>
      </c>
    </row>
    <row r="3393" spans="1:7">
      <c r="B3393">
        <f>IF(INDEX(Transactions!$J:$J,ROW()-8)="",TODAY(),INDEX(Transactions!$G:$G,ROW()-8))</f>
      </c>
      <c r="F3393">
        <f>IF(INDEX(Transactions!$J:$J,ROW()-8)="",0,INDEX(Transactions!$O:$O,ROW()-8))</f>
      </c>
    </row>
    <row r="3394" spans="1:7">
      <c r="B3394">
        <f>IF(INDEX(Transactions!$J:$J,ROW()-8)="",TODAY(),INDEX(Transactions!$G:$G,ROW()-8))</f>
      </c>
      <c r="F3394">
        <f>IF(INDEX(Transactions!$J:$J,ROW()-8)="",0,INDEX(Transactions!$O:$O,ROW()-8))</f>
      </c>
    </row>
    <row r="3395" spans="1:7">
      <c r="B3395">
        <f>IF(INDEX(Transactions!$J:$J,ROW()-8)="",TODAY(),INDEX(Transactions!$G:$G,ROW()-8))</f>
      </c>
      <c r="F3395">
        <f>IF(INDEX(Transactions!$J:$J,ROW()-8)="",0,INDEX(Transactions!$O:$O,ROW()-8))</f>
      </c>
    </row>
    <row r="3396" spans="1:7">
      <c r="B3396">
        <f>IF(INDEX(Transactions!$J:$J,ROW()-8)="",TODAY(),INDEX(Transactions!$G:$G,ROW()-8))</f>
      </c>
      <c r="F3396">
        <f>IF(INDEX(Transactions!$J:$J,ROW()-8)="",0,INDEX(Transactions!$O:$O,ROW()-8))</f>
      </c>
    </row>
    <row r="3397" spans="1:7">
      <c r="B3397">
        <f>IF(INDEX(Transactions!$J:$J,ROW()-8)="",TODAY(),INDEX(Transactions!$G:$G,ROW()-8))</f>
      </c>
      <c r="F3397">
        <f>IF(INDEX(Transactions!$J:$J,ROW()-8)="",0,INDEX(Transactions!$O:$O,ROW()-8))</f>
      </c>
    </row>
    <row r="3398" spans="1:7">
      <c r="B3398">
        <f>IF(INDEX(Transactions!$J:$J,ROW()-8)="",TODAY(),INDEX(Transactions!$G:$G,ROW()-8))</f>
      </c>
      <c r="F3398">
        <f>IF(INDEX(Transactions!$J:$J,ROW()-8)="",0,INDEX(Transactions!$O:$O,ROW()-8))</f>
      </c>
    </row>
    <row r="3399" spans="1:7">
      <c r="B3399">
        <f>IF(INDEX(Transactions!$J:$J,ROW()-8)="",TODAY(),INDEX(Transactions!$G:$G,ROW()-8))</f>
      </c>
      <c r="F3399">
        <f>IF(INDEX(Transactions!$J:$J,ROW()-8)="",0,INDEX(Transactions!$O:$O,ROW()-8))</f>
      </c>
    </row>
    <row r="3400" spans="1:7">
      <c r="B3400">
        <f>IF(INDEX(Transactions!$J:$J,ROW()-8)="",TODAY(),INDEX(Transactions!$G:$G,ROW()-8))</f>
      </c>
      <c r="F3400">
        <f>IF(INDEX(Transactions!$J:$J,ROW()-8)="",0,INDEX(Transactions!$O:$O,ROW()-8))</f>
      </c>
    </row>
    <row r="3401" spans="1:7">
      <c r="B3401">
        <f>IF(INDEX(Transactions!$J:$J,ROW()-8)="",TODAY(),INDEX(Transactions!$G:$G,ROW()-8))</f>
      </c>
      <c r="F3401">
        <f>IF(INDEX(Transactions!$J:$J,ROW()-8)="",0,INDEX(Transactions!$O:$O,ROW()-8))</f>
      </c>
    </row>
    <row r="3402" spans="1:7">
      <c r="B3402">
        <f>IF(INDEX(Transactions!$J:$J,ROW()-8)="",TODAY(),INDEX(Transactions!$G:$G,ROW()-8))</f>
      </c>
      <c r="F3402">
        <f>IF(INDEX(Transactions!$J:$J,ROW()-8)="",0,INDEX(Transactions!$O:$O,ROW()-8))</f>
      </c>
    </row>
    <row r="3403" spans="1:7">
      <c r="B3403">
        <f>IF(INDEX(Transactions!$J:$J,ROW()-8)="",TODAY(),INDEX(Transactions!$G:$G,ROW()-8))</f>
      </c>
      <c r="F3403">
        <f>IF(INDEX(Transactions!$J:$J,ROW()-8)="",0,INDEX(Transactions!$O:$O,ROW()-8))</f>
      </c>
    </row>
    <row r="3404" spans="1:7">
      <c r="B3404">
        <f>IF(INDEX(Transactions!$J:$J,ROW()-8)="",TODAY(),INDEX(Transactions!$G:$G,ROW()-8))</f>
      </c>
      <c r="F3404">
        <f>IF(INDEX(Transactions!$J:$J,ROW()-8)="",0,INDEX(Transactions!$O:$O,ROW()-8))</f>
      </c>
    </row>
    <row r="3405" spans="1:7">
      <c r="B3405">
        <f>IF(INDEX(Transactions!$J:$J,ROW()-8)="",TODAY(),INDEX(Transactions!$G:$G,ROW()-8))</f>
      </c>
      <c r="F3405">
        <f>IF(INDEX(Transactions!$J:$J,ROW()-8)="",0,INDEX(Transactions!$O:$O,ROW()-8))</f>
      </c>
    </row>
    <row r="3406" spans="1:7">
      <c r="B3406">
        <f>IF(INDEX(Transactions!$J:$J,ROW()-8)="",TODAY(),INDEX(Transactions!$G:$G,ROW()-8))</f>
      </c>
      <c r="F3406">
        <f>IF(INDEX(Transactions!$J:$J,ROW()-8)="",0,INDEX(Transactions!$O:$O,ROW()-8))</f>
      </c>
    </row>
    <row r="3407" spans="1:7">
      <c r="B3407">
        <f>IF(INDEX(Transactions!$J:$J,ROW()-8)="",TODAY(),INDEX(Transactions!$G:$G,ROW()-8))</f>
      </c>
      <c r="F3407">
        <f>IF(INDEX(Transactions!$J:$J,ROW()-8)="",0,INDEX(Transactions!$O:$O,ROW()-8))</f>
      </c>
    </row>
    <row r="3408" spans="1:7">
      <c r="B3408">
        <f>IF(INDEX(Transactions!$J:$J,ROW()-8)="",TODAY(),INDEX(Transactions!$G:$G,ROW()-8))</f>
      </c>
      <c r="F3408">
        <f>IF(INDEX(Transactions!$J:$J,ROW()-8)="",0,INDEX(Transactions!$O:$O,ROW()-8))</f>
      </c>
    </row>
    <row r="3409" spans="1:7">
      <c r="B3409">
        <f>IF(INDEX(Transactions!$J:$J,ROW()-8)="",TODAY(),INDEX(Transactions!$G:$G,ROW()-8))</f>
      </c>
      <c r="F3409">
        <f>IF(INDEX(Transactions!$J:$J,ROW()-8)="",0,INDEX(Transactions!$O:$O,ROW()-8))</f>
      </c>
    </row>
    <row r="3410" spans="1:7">
      <c r="B3410">
        <f>IF(INDEX(Transactions!$J:$J,ROW()-8)="",TODAY(),INDEX(Transactions!$G:$G,ROW()-8))</f>
      </c>
      <c r="F3410">
        <f>IF(INDEX(Transactions!$J:$J,ROW()-8)="",0,INDEX(Transactions!$O:$O,ROW()-8))</f>
      </c>
    </row>
    <row r="3411" spans="1:7">
      <c r="B3411">
        <f>IF(INDEX(Transactions!$J:$J,ROW()-8)="",TODAY(),INDEX(Transactions!$G:$G,ROW()-8))</f>
      </c>
      <c r="F3411">
        <f>IF(INDEX(Transactions!$J:$J,ROW()-8)="",0,INDEX(Transactions!$O:$O,ROW()-8))</f>
      </c>
    </row>
    <row r="3412" spans="1:7">
      <c r="B3412">
        <f>IF(INDEX(Transactions!$J:$J,ROW()-8)="",TODAY(),INDEX(Transactions!$G:$G,ROW()-8))</f>
      </c>
      <c r="F3412">
        <f>IF(INDEX(Transactions!$J:$J,ROW()-8)="",0,INDEX(Transactions!$O:$O,ROW()-8))</f>
      </c>
    </row>
    <row r="3413" spans="1:7">
      <c r="B3413">
        <f>IF(INDEX(Transactions!$J:$J,ROW()-8)="",TODAY(),INDEX(Transactions!$G:$G,ROW()-8))</f>
      </c>
      <c r="F3413">
        <f>IF(INDEX(Transactions!$J:$J,ROW()-8)="",0,INDEX(Transactions!$O:$O,ROW()-8))</f>
      </c>
    </row>
    <row r="3414" spans="1:7">
      <c r="B3414">
        <f>IF(INDEX(Transactions!$J:$J,ROW()-8)="",TODAY(),INDEX(Transactions!$G:$G,ROW()-8))</f>
      </c>
      <c r="F3414">
        <f>IF(INDEX(Transactions!$J:$J,ROW()-8)="",0,INDEX(Transactions!$O:$O,ROW()-8))</f>
      </c>
    </row>
    <row r="3415" spans="1:7">
      <c r="B3415">
        <f>IF(INDEX(Transactions!$J:$J,ROW()-8)="",TODAY(),INDEX(Transactions!$G:$G,ROW()-8))</f>
      </c>
      <c r="F3415">
        <f>IF(INDEX(Transactions!$J:$J,ROW()-8)="",0,INDEX(Transactions!$O:$O,ROW()-8))</f>
      </c>
    </row>
    <row r="3416" spans="1:7">
      <c r="B3416">
        <f>IF(INDEX(Transactions!$J:$J,ROW()-8)="",TODAY(),INDEX(Transactions!$G:$G,ROW()-8))</f>
      </c>
      <c r="F3416">
        <f>IF(INDEX(Transactions!$J:$J,ROW()-8)="",0,INDEX(Transactions!$O:$O,ROW()-8))</f>
      </c>
    </row>
    <row r="3417" spans="1:7">
      <c r="B3417">
        <f>IF(INDEX(Transactions!$J:$J,ROW()-8)="",TODAY(),INDEX(Transactions!$G:$G,ROW()-8))</f>
      </c>
      <c r="F3417">
        <f>IF(INDEX(Transactions!$J:$J,ROW()-8)="",0,INDEX(Transactions!$O:$O,ROW()-8))</f>
      </c>
    </row>
    <row r="3418" spans="1:7">
      <c r="B3418">
        <f>IF(INDEX(Transactions!$J:$J,ROW()-8)="",TODAY(),INDEX(Transactions!$G:$G,ROW()-8))</f>
      </c>
      <c r="F3418">
        <f>IF(INDEX(Transactions!$J:$J,ROW()-8)="",0,INDEX(Transactions!$O:$O,ROW()-8))</f>
      </c>
    </row>
    <row r="3419" spans="1:7">
      <c r="B3419">
        <f>IF(INDEX(Transactions!$J:$J,ROW()-8)="",TODAY(),INDEX(Transactions!$G:$G,ROW()-8))</f>
      </c>
      <c r="F3419">
        <f>IF(INDEX(Transactions!$J:$J,ROW()-8)="",0,INDEX(Transactions!$O:$O,ROW()-8))</f>
      </c>
    </row>
    <row r="3420" spans="1:7">
      <c r="B3420">
        <f>IF(INDEX(Transactions!$J:$J,ROW()-8)="",TODAY(),INDEX(Transactions!$G:$G,ROW()-8))</f>
      </c>
      <c r="F3420">
        <f>IF(INDEX(Transactions!$J:$J,ROW()-8)="",0,INDEX(Transactions!$O:$O,ROW()-8))</f>
      </c>
    </row>
    <row r="3421" spans="1:7">
      <c r="B3421">
        <f>IF(INDEX(Transactions!$J:$J,ROW()-8)="",TODAY(),INDEX(Transactions!$G:$G,ROW()-8))</f>
      </c>
      <c r="F3421">
        <f>IF(INDEX(Transactions!$J:$J,ROW()-8)="",0,INDEX(Transactions!$O:$O,ROW()-8))</f>
      </c>
    </row>
    <row r="3422" spans="1:7">
      <c r="B3422">
        <f>IF(INDEX(Transactions!$J:$J,ROW()-8)="",TODAY(),INDEX(Transactions!$G:$G,ROW()-8))</f>
      </c>
      <c r="F3422">
        <f>IF(INDEX(Transactions!$J:$J,ROW()-8)="",0,INDEX(Transactions!$O:$O,ROW()-8))</f>
      </c>
    </row>
    <row r="3423" spans="1:7">
      <c r="B3423">
        <f>IF(INDEX(Transactions!$J:$J,ROW()-8)="",TODAY(),INDEX(Transactions!$G:$G,ROW()-8))</f>
      </c>
      <c r="F3423">
        <f>IF(INDEX(Transactions!$J:$J,ROW()-8)="",0,INDEX(Transactions!$O:$O,ROW()-8))</f>
      </c>
    </row>
    <row r="3424" spans="1:7">
      <c r="B3424">
        <f>IF(INDEX(Transactions!$J:$J,ROW()-8)="",TODAY(),INDEX(Transactions!$G:$G,ROW()-8))</f>
      </c>
      <c r="F3424">
        <f>IF(INDEX(Transactions!$J:$J,ROW()-8)="",0,INDEX(Transactions!$O:$O,ROW()-8))</f>
      </c>
    </row>
    <row r="3425" spans="1:7">
      <c r="B3425">
        <f>IF(INDEX(Transactions!$J:$J,ROW()-8)="",TODAY(),INDEX(Transactions!$G:$G,ROW()-8))</f>
      </c>
      <c r="F3425">
        <f>IF(INDEX(Transactions!$J:$J,ROW()-8)="",0,INDEX(Transactions!$O:$O,ROW()-8))</f>
      </c>
    </row>
    <row r="3426" spans="1:7">
      <c r="B3426">
        <f>IF(INDEX(Transactions!$J:$J,ROW()-8)="",TODAY(),INDEX(Transactions!$G:$G,ROW()-8))</f>
      </c>
      <c r="F3426">
        <f>IF(INDEX(Transactions!$J:$J,ROW()-8)="",0,INDEX(Transactions!$O:$O,ROW()-8))</f>
      </c>
    </row>
    <row r="3427" spans="1:7">
      <c r="B3427">
        <f>IF(INDEX(Transactions!$J:$J,ROW()-8)="",TODAY(),INDEX(Transactions!$G:$G,ROW()-8))</f>
      </c>
      <c r="F3427">
        <f>IF(INDEX(Transactions!$J:$J,ROW()-8)="",0,INDEX(Transactions!$O:$O,ROW()-8))</f>
      </c>
    </row>
    <row r="3428" spans="1:7">
      <c r="B3428">
        <f>IF(INDEX(Transactions!$J:$J,ROW()-8)="",TODAY(),INDEX(Transactions!$G:$G,ROW()-8))</f>
      </c>
      <c r="F3428">
        <f>IF(INDEX(Transactions!$J:$J,ROW()-8)="",0,INDEX(Transactions!$O:$O,ROW()-8))</f>
      </c>
    </row>
    <row r="3429" spans="1:7">
      <c r="B3429">
        <f>IF(INDEX(Transactions!$J:$J,ROW()-8)="",TODAY(),INDEX(Transactions!$G:$G,ROW()-8))</f>
      </c>
      <c r="F3429">
        <f>IF(INDEX(Transactions!$J:$J,ROW()-8)="",0,INDEX(Transactions!$O:$O,ROW()-8))</f>
      </c>
    </row>
    <row r="3430" spans="1:7">
      <c r="B3430">
        <f>IF(INDEX(Transactions!$J:$J,ROW()-8)="",TODAY(),INDEX(Transactions!$G:$G,ROW()-8))</f>
      </c>
      <c r="F3430">
        <f>IF(INDEX(Transactions!$J:$J,ROW()-8)="",0,INDEX(Transactions!$O:$O,ROW()-8))</f>
      </c>
    </row>
    <row r="3431" spans="1:7">
      <c r="B3431">
        <f>IF(INDEX(Transactions!$J:$J,ROW()-8)="",TODAY(),INDEX(Transactions!$G:$G,ROW()-8))</f>
      </c>
      <c r="F3431">
        <f>IF(INDEX(Transactions!$J:$J,ROW()-8)="",0,INDEX(Transactions!$O:$O,ROW()-8))</f>
      </c>
    </row>
    <row r="3432" spans="1:7">
      <c r="B3432">
        <f>IF(INDEX(Transactions!$J:$J,ROW()-8)="",TODAY(),INDEX(Transactions!$G:$G,ROW()-8))</f>
      </c>
      <c r="F3432">
        <f>IF(INDEX(Transactions!$J:$J,ROW()-8)="",0,INDEX(Transactions!$O:$O,ROW()-8))</f>
      </c>
    </row>
    <row r="3433" spans="1:7">
      <c r="B3433">
        <f>IF(INDEX(Transactions!$J:$J,ROW()-8)="",TODAY(),INDEX(Transactions!$G:$G,ROW()-8))</f>
      </c>
      <c r="F3433">
        <f>IF(INDEX(Transactions!$J:$J,ROW()-8)="",0,INDEX(Transactions!$O:$O,ROW()-8))</f>
      </c>
    </row>
    <row r="3434" spans="1:7">
      <c r="B3434">
        <f>IF(INDEX(Transactions!$J:$J,ROW()-8)="",TODAY(),INDEX(Transactions!$G:$G,ROW()-8))</f>
      </c>
      <c r="F3434">
        <f>IF(INDEX(Transactions!$J:$J,ROW()-8)="",0,INDEX(Transactions!$O:$O,ROW()-8))</f>
      </c>
    </row>
    <row r="3435" spans="1:7">
      <c r="B3435">
        <f>IF(INDEX(Transactions!$J:$J,ROW()-8)="",TODAY(),INDEX(Transactions!$G:$G,ROW()-8))</f>
      </c>
      <c r="F3435">
        <f>IF(INDEX(Transactions!$J:$J,ROW()-8)="",0,INDEX(Transactions!$O:$O,ROW()-8))</f>
      </c>
    </row>
    <row r="3436" spans="1:7">
      <c r="B3436">
        <f>IF(INDEX(Transactions!$J:$J,ROW()-8)="",TODAY(),INDEX(Transactions!$G:$G,ROW()-8))</f>
      </c>
      <c r="F3436">
        <f>IF(INDEX(Transactions!$J:$J,ROW()-8)="",0,INDEX(Transactions!$O:$O,ROW()-8))</f>
      </c>
    </row>
    <row r="3437" spans="1:7">
      <c r="B3437">
        <f>IF(INDEX(Transactions!$J:$J,ROW()-8)="",TODAY(),INDEX(Transactions!$G:$G,ROW()-8))</f>
      </c>
      <c r="F3437">
        <f>IF(INDEX(Transactions!$J:$J,ROW()-8)="",0,INDEX(Transactions!$O:$O,ROW()-8))</f>
      </c>
    </row>
    <row r="3438" spans="1:7">
      <c r="B3438">
        <f>IF(INDEX(Transactions!$J:$J,ROW()-8)="",TODAY(),INDEX(Transactions!$G:$G,ROW()-8))</f>
      </c>
      <c r="F3438">
        <f>IF(INDEX(Transactions!$J:$J,ROW()-8)="",0,INDEX(Transactions!$O:$O,ROW()-8))</f>
      </c>
    </row>
    <row r="3439" spans="1:7">
      <c r="B3439">
        <f>IF(INDEX(Transactions!$J:$J,ROW()-8)="",TODAY(),INDEX(Transactions!$G:$G,ROW()-8))</f>
      </c>
      <c r="F3439">
        <f>IF(INDEX(Transactions!$J:$J,ROW()-8)="",0,INDEX(Transactions!$O:$O,ROW()-8))</f>
      </c>
    </row>
    <row r="3440" spans="1:7">
      <c r="B3440">
        <f>IF(INDEX(Transactions!$J:$J,ROW()-8)="",TODAY(),INDEX(Transactions!$G:$G,ROW()-8))</f>
      </c>
      <c r="F3440">
        <f>IF(INDEX(Transactions!$J:$J,ROW()-8)="",0,INDEX(Transactions!$O:$O,ROW()-8))</f>
      </c>
    </row>
    <row r="3441" spans="1:7">
      <c r="B3441">
        <f>IF(INDEX(Transactions!$J:$J,ROW()-8)="",TODAY(),INDEX(Transactions!$G:$G,ROW()-8))</f>
      </c>
      <c r="F3441">
        <f>IF(INDEX(Transactions!$J:$J,ROW()-8)="",0,INDEX(Transactions!$O:$O,ROW()-8))</f>
      </c>
    </row>
    <row r="3442" spans="1:7">
      <c r="B3442">
        <f>IF(INDEX(Transactions!$J:$J,ROW()-8)="",TODAY(),INDEX(Transactions!$G:$G,ROW()-8))</f>
      </c>
      <c r="F3442">
        <f>IF(INDEX(Transactions!$J:$J,ROW()-8)="",0,INDEX(Transactions!$O:$O,ROW()-8))</f>
      </c>
    </row>
    <row r="3443" spans="1:7">
      <c r="B3443">
        <f>IF(INDEX(Transactions!$J:$J,ROW()-8)="",TODAY(),INDEX(Transactions!$G:$G,ROW()-8))</f>
      </c>
      <c r="F3443">
        <f>IF(INDEX(Transactions!$J:$J,ROW()-8)="",0,INDEX(Transactions!$O:$O,ROW()-8))</f>
      </c>
    </row>
    <row r="3444" spans="1:7">
      <c r="B3444">
        <f>IF(INDEX(Transactions!$J:$J,ROW()-8)="",TODAY(),INDEX(Transactions!$G:$G,ROW()-8))</f>
      </c>
      <c r="F3444">
        <f>IF(INDEX(Transactions!$J:$J,ROW()-8)="",0,INDEX(Transactions!$O:$O,ROW()-8))</f>
      </c>
    </row>
    <row r="3445" spans="1:7">
      <c r="B3445">
        <f>IF(INDEX(Transactions!$J:$J,ROW()-8)="",TODAY(),INDEX(Transactions!$G:$G,ROW()-8))</f>
      </c>
      <c r="F3445">
        <f>IF(INDEX(Transactions!$J:$J,ROW()-8)="",0,INDEX(Transactions!$O:$O,ROW()-8))</f>
      </c>
    </row>
    <row r="3446" spans="1:7">
      <c r="B3446">
        <f>IF(INDEX(Transactions!$J:$J,ROW()-8)="",TODAY(),INDEX(Transactions!$G:$G,ROW()-8))</f>
      </c>
      <c r="F3446">
        <f>IF(INDEX(Transactions!$J:$J,ROW()-8)="",0,INDEX(Transactions!$O:$O,ROW()-8))</f>
      </c>
    </row>
    <row r="3447" spans="1:7">
      <c r="B3447">
        <f>IF(INDEX(Transactions!$J:$J,ROW()-8)="",TODAY(),INDEX(Transactions!$G:$G,ROW()-8))</f>
      </c>
      <c r="F3447">
        <f>IF(INDEX(Transactions!$J:$J,ROW()-8)="",0,INDEX(Transactions!$O:$O,ROW()-8))</f>
      </c>
    </row>
    <row r="3448" spans="1:7">
      <c r="B3448">
        <f>IF(INDEX(Transactions!$J:$J,ROW()-8)="",TODAY(),INDEX(Transactions!$G:$G,ROW()-8))</f>
      </c>
      <c r="F3448">
        <f>IF(INDEX(Transactions!$J:$J,ROW()-8)="",0,INDEX(Transactions!$O:$O,ROW()-8))</f>
      </c>
    </row>
    <row r="3449" spans="1:7">
      <c r="B3449">
        <f>IF(INDEX(Transactions!$J:$J,ROW()-8)="",TODAY(),INDEX(Transactions!$G:$G,ROW()-8))</f>
      </c>
      <c r="F3449">
        <f>IF(INDEX(Transactions!$J:$J,ROW()-8)="",0,INDEX(Transactions!$O:$O,ROW()-8))</f>
      </c>
    </row>
    <row r="3450" spans="1:7">
      <c r="B3450">
        <f>IF(INDEX(Transactions!$J:$J,ROW()-8)="",TODAY(),INDEX(Transactions!$G:$G,ROW()-8))</f>
      </c>
      <c r="F3450">
        <f>IF(INDEX(Transactions!$J:$J,ROW()-8)="",0,INDEX(Transactions!$O:$O,ROW()-8))</f>
      </c>
    </row>
    <row r="3451" spans="1:7">
      <c r="B3451">
        <f>IF(INDEX(Transactions!$J:$J,ROW()-8)="",TODAY(),INDEX(Transactions!$G:$G,ROW()-8))</f>
      </c>
      <c r="F3451">
        <f>IF(INDEX(Transactions!$J:$J,ROW()-8)="",0,INDEX(Transactions!$O:$O,ROW()-8))</f>
      </c>
    </row>
    <row r="3452" spans="1:7">
      <c r="B3452">
        <f>IF(INDEX(Transactions!$J:$J,ROW()-8)="",TODAY(),INDEX(Transactions!$G:$G,ROW()-8))</f>
      </c>
      <c r="F3452">
        <f>IF(INDEX(Transactions!$J:$J,ROW()-8)="",0,INDEX(Transactions!$O:$O,ROW()-8))</f>
      </c>
    </row>
    <row r="3453" spans="1:7">
      <c r="B3453">
        <f>IF(INDEX(Transactions!$J:$J,ROW()-8)="",TODAY(),INDEX(Transactions!$G:$G,ROW()-8))</f>
      </c>
      <c r="F3453">
        <f>IF(INDEX(Transactions!$J:$J,ROW()-8)="",0,INDEX(Transactions!$O:$O,ROW()-8))</f>
      </c>
    </row>
    <row r="3454" spans="1:7">
      <c r="B3454">
        <f>IF(INDEX(Transactions!$J:$J,ROW()-8)="",TODAY(),INDEX(Transactions!$G:$G,ROW()-8))</f>
      </c>
      <c r="F3454">
        <f>IF(INDEX(Transactions!$J:$J,ROW()-8)="",0,INDEX(Transactions!$O:$O,ROW()-8))</f>
      </c>
    </row>
    <row r="3455" spans="1:7">
      <c r="B3455">
        <f>IF(INDEX(Transactions!$J:$J,ROW()-8)="",TODAY(),INDEX(Transactions!$G:$G,ROW()-8))</f>
      </c>
      <c r="F3455">
        <f>IF(INDEX(Transactions!$J:$J,ROW()-8)="",0,INDEX(Transactions!$O:$O,ROW()-8))</f>
      </c>
    </row>
    <row r="3456" spans="1:7">
      <c r="B3456">
        <f>IF(INDEX(Transactions!$J:$J,ROW()-8)="",TODAY(),INDEX(Transactions!$G:$G,ROW()-8))</f>
      </c>
      <c r="F3456">
        <f>IF(INDEX(Transactions!$J:$J,ROW()-8)="",0,INDEX(Transactions!$O:$O,ROW()-8))</f>
      </c>
    </row>
    <row r="3457" spans="1:7">
      <c r="B3457">
        <f>IF(INDEX(Transactions!$J:$J,ROW()-8)="",TODAY(),INDEX(Transactions!$G:$G,ROW()-8))</f>
      </c>
      <c r="F3457">
        <f>IF(INDEX(Transactions!$J:$J,ROW()-8)="",0,INDEX(Transactions!$O:$O,ROW()-8))</f>
      </c>
    </row>
    <row r="3458" spans="1:7">
      <c r="B3458">
        <f>IF(INDEX(Transactions!$J:$J,ROW()-8)="",TODAY(),INDEX(Transactions!$G:$G,ROW()-8))</f>
      </c>
      <c r="F3458">
        <f>IF(INDEX(Transactions!$J:$J,ROW()-8)="",0,INDEX(Transactions!$O:$O,ROW()-8))</f>
      </c>
    </row>
    <row r="3459" spans="1:7">
      <c r="B3459">
        <f>IF(INDEX(Transactions!$J:$J,ROW()-8)="",TODAY(),INDEX(Transactions!$G:$G,ROW()-8))</f>
      </c>
      <c r="F3459">
        <f>IF(INDEX(Transactions!$J:$J,ROW()-8)="",0,INDEX(Transactions!$O:$O,ROW()-8))</f>
      </c>
    </row>
    <row r="3460" spans="1:7">
      <c r="B3460">
        <f>IF(INDEX(Transactions!$J:$J,ROW()-8)="",TODAY(),INDEX(Transactions!$G:$G,ROW()-8))</f>
      </c>
      <c r="F3460">
        <f>IF(INDEX(Transactions!$J:$J,ROW()-8)="",0,INDEX(Transactions!$O:$O,ROW()-8))</f>
      </c>
    </row>
    <row r="3461" spans="1:7">
      <c r="B3461">
        <f>IF(INDEX(Transactions!$J:$J,ROW()-8)="",TODAY(),INDEX(Transactions!$G:$G,ROW()-8))</f>
      </c>
      <c r="F3461">
        <f>IF(INDEX(Transactions!$J:$J,ROW()-8)="",0,INDEX(Transactions!$O:$O,ROW()-8))</f>
      </c>
    </row>
    <row r="3462" spans="1:7">
      <c r="B3462">
        <f>IF(INDEX(Transactions!$J:$J,ROW()-8)="",TODAY(),INDEX(Transactions!$G:$G,ROW()-8))</f>
      </c>
      <c r="F3462">
        <f>IF(INDEX(Transactions!$J:$J,ROW()-8)="",0,INDEX(Transactions!$O:$O,ROW()-8))</f>
      </c>
    </row>
    <row r="3463" spans="1:7">
      <c r="B3463">
        <f>IF(INDEX(Transactions!$J:$J,ROW()-8)="",TODAY(),INDEX(Transactions!$G:$G,ROW()-8))</f>
      </c>
      <c r="F3463">
        <f>IF(INDEX(Transactions!$J:$J,ROW()-8)="",0,INDEX(Transactions!$O:$O,ROW()-8))</f>
      </c>
    </row>
    <row r="3464" spans="1:7">
      <c r="B3464">
        <f>IF(INDEX(Transactions!$J:$J,ROW()-8)="",TODAY(),INDEX(Transactions!$G:$G,ROW()-8))</f>
      </c>
      <c r="F3464">
        <f>IF(INDEX(Transactions!$J:$J,ROW()-8)="",0,INDEX(Transactions!$O:$O,ROW()-8))</f>
      </c>
    </row>
    <row r="3465" spans="1:7">
      <c r="B3465">
        <f>IF(INDEX(Transactions!$J:$J,ROW()-8)="",TODAY(),INDEX(Transactions!$G:$G,ROW()-8))</f>
      </c>
      <c r="F3465">
        <f>IF(INDEX(Transactions!$J:$J,ROW()-8)="",0,INDEX(Transactions!$O:$O,ROW()-8))</f>
      </c>
    </row>
    <row r="3466" spans="1:7">
      <c r="B3466">
        <f>IF(INDEX(Transactions!$J:$J,ROW()-8)="",TODAY(),INDEX(Transactions!$G:$G,ROW()-8))</f>
      </c>
      <c r="F3466">
        <f>IF(INDEX(Transactions!$J:$J,ROW()-8)="",0,INDEX(Transactions!$O:$O,ROW()-8))</f>
      </c>
    </row>
    <row r="3467" spans="1:7">
      <c r="B3467">
        <f>IF(INDEX(Transactions!$J:$J,ROW()-8)="",TODAY(),INDEX(Transactions!$G:$G,ROW()-8))</f>
      </c>
      <c r="F3467">
        <f>IF(INDEX(Transactions!$J:$J,ROW()-8)="",0,INDEX(Transactions!$O:$O,ROW()-8))</f>
      </c>
    </row>
    <row r="3468" spans="1:7">
      <c r="B3468">
        <f>IF(INDEX(Transactions!$J:$J,ROW()-8)="",TODAY(),INDEX(Transactions!$G:$G,ROW()-8))</f>
      </c>
      <c r="F3468">
        <f>IF(INDEX(Transactions!$J:$J,ROW()-8)="",0,INDEX(Transactions!$O:$O,ROW()-8))</f>
      </c>
    </row>
    <row r="3469" spans="1:7">
      <c r="B3469">
        <f>IF(INDEX(Transactions!$J:$J,ROW()-8)="",TODAY(),INDEX(Transactions!$G:$G,ROW()-8))</f>
      </c>
      <c r="F3469">
        <f>IF(INDEX(Transactions!$J:$J,ROW()-8)="",0,INDEX(Transactions!$O:$O,ROW()-8))</f>
      </c>
    </row>
    <row r="3470" spans="1:7">
      <c r="B3470">
        <f>IF(INDEX(Transactions!$J:$J,ROW()-8)="",TODAY(),INDEX(Transactions!$G:$G,ROW()-8))</f>
      </c>
      <c r="F3470">
        <f>IF(INDEX(Transactions!$J:$J,ROW()-8)="",0,INDEX(Transactions!$O:$O,ROW()-8))</f>
      </c>
    </row>
    <row r="3471" spans="1:7">
      <c r="B3471">
        <f>IF(INDEX(Transactions!$J:$J,ROW()-8)="",TODAY(),INDEX(Transactions!$G:$G,ROW()-8))</f>
      </c>
      <c r="F3471">
        <f>IF(INDEX(Transactions!$J:$J,ROW()-8)="",0,INDEX(Transactions!$O:$O,ROW()-8))</f>
      </c>
    </row>
    <row r="3472" spans="1:7">
      <c r="B3472">
        <f>IF(INDEX(Transactions!$J:$J,ROW()-8)="",TODAY(),INDEX(Transactions!$G:$G,ROW()-8))</f>
      </c>
      <c r="F3472">
        <f>IF(INDEX(Transactions!$J:$J,ROW()-8)="",0,INDEX(Transactions!$O:$O,ROW()-8))</f>
      </c>
    </row>
    <row r="3473" spans="1:7">
      <c r="B3473">
        <f>IF(INDEX(Transactions!$J:$J,ROW()-8)="",TODAY(),INDEX(Transactions!$G:$G,ROW()-8))</f>
      </c>
      <c r="F3473">
        <f>IF(INDEX(Transactions!$J:$J,ROW()-8)="",0,INDEX(Transactions!$O:$O,ROW()-8))</f>
      </c>
    </row>
    <row r="3474" spans="1:7">
      <c r="B3474">
        <f>IF(INDEX(Transactions!$J:$J,ROW()-8)="",TODAY(),INDEX(Transactions!$G:$G,ROW()-8))</f>
      </c>
      <c r="F3474">
        <f>IF(INDEX(Transactions!$J:$J,ROW()-8)="",0,INDEX(Transactions!$O:$O,ROW()-8))</f>
      </c>
    </row>
    <row r="3475" spans="1:7">
      <c r="B3475">
        <f>IF(INDEX(Transactions!$J:$J,ROW()-8)="",TODAY(),INDEX(Transactions!$G:$G,ROW()-8))</f>
      </c>
      <c r="F3475">
        <f>IF(INDEX(Transactions!$J:$J,ROW()-8)="",0,INDEX(Transactions!$O:$O,ROW()-8))</f>
      </c>
    </row>
    <row r="3476" spans="1:7">
      <c r="B3476">
        <f>IF(INDEX(Transactions!$J:$J,ROW()-8)="",TODAY(),INDEX(Transactions!$G:$G,ROW()-8))</f>
      </c>
      <c r="F3476">
        <f>IF(INDEX(Transactions!$J:$J,ROW()-8)="",0,INDEX(Transactions!$O:$O,ROW()-8))</f>
      </c>
    </row>
    <row r="3477" spans="1:7">
      <c r="B3477">
        <f>IF(INDEX(Transactions!$J:$J,ROW()-8)="",TODAY(),INDEX(Transactions!$G:$G,ROW()-8))</f>
      </c>
      <c r="F3477">
        <f>IF(INDEX(Transactions!$J:$J,ROW()-8)="",0,INDEX(Transactions!$O:$O,ROW()-8))</f>
      </c>
    </row>
    <row r="3478" spans="1:7">
      <c r="B3478">
        <f>IF(INDEX(Transactions!$J:$J,ROW()-8)="",TODAY(),INDEX(Transactions!$G:$G,ROW()-8))</f>
      </c>
      <c r="F3478">
        <f>IF(INDEX(Transactions!$J:$J,ROW()-8)="",0,INDEX(Transactions!$O:$O,ROW()-8))</f>
      </c>
    </row>
    <row r="3479" spans="1:7">
      <c r="B3479">
        <f>IF(INDEX(Transactions!$J:$J,ROW()-8)="",TODAY(),INDEX(Transactions!$G:$G,ROW()-8))</f>
      </c>
      <c r="F3479">
        <f>IF(INDEX(Transactions!$J:$J,ROW()-8)="",0,INDEX(Transactions!$O:$O,ROW()-8))</f>
      </c>
    </row>
    <row r="3480" spans="1:7">
      <c r="B3480">
        <f>IF(INDEX(Transactions!$J:$J,ROW()-8)="",TODAY(),INDEX(Transactions!$G:$G,ROW()-8))</f>
      </c>
      <c r="F3480">
        <f>IF(INDEX(Transactions!$J:$J,ROW()-8)="",0,INDEX(Transactions!$O:$O,ROW()-8))</f>
      </c>
    </row>
    <row r="3481" spans="1:7">
      <c r="B3481">
        <f>IF(INDEX(Transactions!$J:$J,ROW()-8)="",TODAY(),INDEX(Transactions!$G:$G,ROW()-8))</f>
      </c>
      <c r="F3481">
        <f>IF(INDEX(Transactions!$J:$J,ROW()-8)="",0,INDEX(Transactions!$O:$O,ROW()-8))</f>
      </c>
    </row>
    <row r="3482" spans="1:7">
      <c r="B3482">
        <f>IF(INDEX(Transactions!$J:$J,ROW()-8)="",TODAY(),INDEX(Transactions!$G:$G,ROW()-8))</f>
      </c>
      <c r="F3482">
        <f>IF(INDEX(Transactions!$J:$J,ROW()-8)="",0,INDEX(Transactions!$O:$O,ROW()-8))</f>
      </c>
    </row>
    <row r="3483" spans="1:7">
      <c r="B3483">
        <f>IF(INDEX(Transactions!$J:$J,ROW()-8)="",TODAY(),INDEX(Transactions!$G:$G,ROW()-8))</f>
      </c>
      <c r="F3483">
        <f>IF(INDEX(Transactions!$J:$J,ROW()-8)="",0,INDEX(Transactions!$O:$O,ROW()-8))</f>
      </c>
    </row>
    <row r="3484" spans="1:7">
      <c r="B3484">
        <f>IF(INDEX(Transactions!$J:$J,ROW()-8)="",TODAY(),INDEX(Transactions!$G:$G,ROW()-8))</f>
      </c>
      <c r="F3484">
        <f>IF(INDEX(Transactions!$J:$J,ROW()-8)="",0,INDEX(Transactions!$O:$O,ROW()-8))</f>
      </c>
    </row>
    <row r="3485" spans="1:7">
      <c r="B3485">
        <f>IF(INDEX(Transactions!$J:$J,ROW()-8)="",TODAY(),INDEX(Transactions!$G:$G,ROW()-8))</f>
      </c>
      <c r="F3485">
        <f>IF(INDEX(Transactions!$J:$J,ROW()-8)="",0,INDEX(Transactions!$O:$O,ROW()-8))</f>
      </c>
    </row>
    <row r="3486" spans="1:7">
      <c r="B3486">
        <f>IF(INDEX(Transactions!$J:$J,ROW()-8)="",TODAY(),INDEX(Transactions!$G:$G,ROW()-8))</f>
      </c>
      <c r="F3486">
        <f>IF(INDEX(Transactions!$J:$J,ROW()-8)="",0,INDEX(Transactions!$O:$O,ROW()-8))</f>
      </c>
    </row>
    <row r="3487" spans="1:7">
      <c r="B3487">
        <f>IF(INDEX(Transactions!$J:$J,ROW()-8)="",TODAY(),INDEX(Transactions!$G:$G,ROW()-8))</f>
      </c>
      <c r="F3487">
        <f>IF(INDEX(Transactions!$J:$J,ROW()-8)="",0,INDEX(Transactions!$O:$O,ROW()-8))</f>
      </c>
    </row>
    <row r="3488" spans="1:7">
      <c r="B3488">
        <f>IF(INDEX(Transactions!$J:$J,ROW()-8)="",TODAY(),INDEX(Transactions!$G:$G,ROW()-8))</f>
      </c>
      <c r="F3488">
        <f>IF(INDEX(Transactions!$J:$J,ROW()-8)="",0,INDEX(Transactions!$O:$O,ROW()-8))</f>
      </c>
    </row>
    <row r="3489" spans="1:7">
      <c r="B3489">
        <f>IF(INDEX(Transactions!$J:$J,ROW()-8)="",TODAY(),INDEX(Transactions!$G:$G,ROW()-8))</f>
      </c>
      <c r="F3489">
        <f>IF(INDEX(Transactions!$J:$J,ROW()-8)="",0,INDEX(Transactions!$O:$O,ROW()-8))</f>
      </c>
    </row>
    <row r="3490" spans="1:7">
      <c r="B3490">
        <f>IF(INDEX(Transactions!$J:$J,ROW()-8)="",TODAY(),INDEX(Transactions!$G:$G,ROW()-8))</f>
      </c>
      <c r="F3490">
        <f>IF(INDEX(Transactions!$J:$J,ROW()-8)="",0,INDEX(Transactions!$O:$O,ROW()-8))</f>
      </c>
    </row>
    <row r="3491" spans="1:7">
      <c r="B3491">
        <f>IF(INDEX(Transactions!$J:$J,ROW()-8)="",TODAY(),INDEX(Transactions!$G:$G,ROW()-8))</f>
      </c>
      <c r="F3491">
        <f>IF(INDEX(Transactions!$J:$J,ROW()-8)="",0,INDEX(Transactions!$O:$O,ROW()-8))</f>
      </c>
    </row>
    <row r="3492" spans="1:7">
      <c r="B3492">
        <f>IF(INDEX(Transactions!$J:$J,ROW()-8)="",TODAY(),INDEX(Transactions!$G:$G,ROW()-8))</f>
      </c>
      <c r="F3492">
        <f>IF(INDEX(Transactions!$J:$J,ROW()-8)="",0,INDEX(Transactions!$O:$O,ROW()-8))</f>
      </c>
    </row>
    <row r="3493" spans="1:7">
      <c r="B3493">
        <f>IF(INDEX(Transactions!$J:$J,ROW()-8)="",TODAY(),INDEX(Transactions!$G:$G,ROW()-8))</f>
      </c>
      <c r="F3493">
        <f>IF(INDEX(Transactions!$J:$J,ROW()-8)="",0,INDEX(Transactions!$O:$O,ROW()-8))</f>
      </c>
    </row>
    <row r="3494" spans="1:7">
      <c r="B3494">
        <f>IF(INDEX(Transactions!$J:$J,ROW()-8)="",TODAY(),INDEX(Transactions!$G:$G,ROW()-8))</f>
      </c>
      <c r="F3494">
        <f>IF(INDEX(Transactions!$J:$J,ROW()-8)="",0,INDEX(Transactions!$O:$O,ROW()-8))</f>
      </c>
    </row>
    <row r="3495" spans="1:7">
      <c r="B3495">
        <f>IF(INDEX(Transactions!$J:$J,ROW()-8)="",TODAY(),INDEX(Transactions!$G:$G,ROW()-8))</f>
      </c>
      <c r="F3495">
        <f>IF(INDEX(Transactions!$J:$J,ROW()-8)="",0,INDEX(Transactions!$O:$O,ROW()-8))</f>
      </c>
    </row>
    <row r="3496" spans="1:7">
      <c r="B3496">
        <f>IF(INDEX(Transactions!$J:$J,ROW()-8)="",TODAY(),INDEX(Transactions!$G:$G,ROW()-8))</f>
      </c>
      <c r="F3496">
        <f>IF(INDEX(Transactions!$J:$J,ROW()-8)="",0,INDEX(Transactions!$O:$O,ROW()-8))</f>
      </c>
    </row>
    <row r="3497" spans="1:7">
      <c r="B3497">
        <f>IF(INDEX(Transactions!$J:$J,ROW()-8)="",TODAY(),INDEX(Transactions!$G:$G,ROW()-8))</f>
      </c>
      <c r="F3497">
        <f>IF(INDEX(Transactions!$J:$J,ROW()-8)="",0,INDEX(Transactions!$O:$O,ROW()-8))</f>
      </c>
    </row>
    <row r="3498" spans="1:7">
      <c r="B3498">
        <f>IF(INDEX(Transactions!$J:$J,ROW()-8)="",TODAY(),INDEX(Transactions!$G:$G,ROW()-8))</f>
      </c>
      <c r="F3498">
        <f>IF(INDEX(Transactions!$J:$J,ROW()-8)="",0,INDEX(Transactions!$O:$O,ROW()-8))</f>
      </c>
    </row>
    <row r="3499" spans="1:7">
      <c r="B3499">
        <f>IF(INDEX(Transactions!$J:$J,ROW()-8)="",TODAY(),INDEX(Transactions!$G:$G,ROW()-8))</f>
      </c>
      <c r="F3499">
        <f>IF(INDEX(Transactions!$J:$J,ROW()-8)="",0,INDEX(Transactions!$O:$O,ROW()-8))</f>
      </c>
    </row>
    <row r="3500" spans="1:7">
      <c r="B3500">
        <f>IF(INDEX(Transactions!$J:$J,ROW()-8)="",TODAY(),INDEX(Transactions!$G:$G,ROW()-8))</f>
      </c>
      <c r="F3500">
        <f>IF(INDEX(Transactions!$J:$J,ROW()-8)="",0,INDEX(Transactions!$O:$O,ROW()-8))</f>
      </c>
    </row>
    <row r="3501" spans="1:7">
      <c r="B3501">
        <f>IF(INDEX(Transactions!$J:$J,ROW()-8)="",TODAY(),INDEX(Transactions!$G:$G,ROW()-8))</f>
      </c>
      <c r="F3501">
        <f>IF(INDEX(Transactions!$J:$J,ROW()-8)="",0,INDEX(Transactions!$O:$O,ROW()-8))</f>
      </c>
    </row>
    <row r="3502" spans="1:7">
      <c r="B3502">
        <f>IF(INDEX(Transactions!$J:$J,ROW()-8)="",TODAY(),INDEX(Transactions!$G:$G,ROW()-8))</f>
      </c>
      <c r="F3502">
        <f>IF(INDEX(Transactions!$J:$J,ROW()-8)="",0,INDEX(Transactions!$O:$O,ROW()-8))</f>
      </c>
    </row>
    <row r="3503" spans="1:7">
      <c r="B3503">
        <f>IF(INDEX(Transactions!$J:$J,ROW()-8)="",TODAY(),INDEX(Transactions!$G:$G,ROW()-8))</f>
      </c>
      <c r="F3503">
        <f>IF(INDEX(Transactions!$J:$J,ROW()-8)="",0,INDEX(Transactions!$O:$O,ROW()-8))</f>
      </c>
    </row>
    <row r="3504" spans="1:7">
      <c r="B3504">
        <f>IF(INDEX(Transactions!$J:$J,ROW()-8)="",TODAY(),INDEX(Transactions!$G:$G,ROW()-8))</f>
      </c>
      <c r="F3504">
        <f>IF(INDEX(Transactions!$J:$J,ROW()-8)="",0,INDEX(Transactions!$O:$O,ROW()-8))</f>
      </c>
    </row>
    <row r="3505" spans="1:7">
      <c r="B3505">
        <f>IF(INDEX(Transactions!$J:$J,ROW()-8)="",TODAY(),INDEX(Transactions!$G:$G,ROW()-8))</f>
      </c>
      <c r="F3505">
        <f>IF(INDEX(Transactions!$J:$J,ROW()-8)="",0,INDEX(Transactions!$O:$O,ROW()-8))</f>
      </c>
    </row>
    <row r="3506" spans="1:7">
      <c r="B3506">
        <f>IF(INDEX(Transactions!$J:$J,ROW()-8)="",TODAY(),INDEX(Transactions!$G:$G,ROW()-8))</f>
      </c>
      <c r="F3506">
        <f>IF(INDEX(Transactions!$J:$J,ROW()-8)="",0,INDEX(Transactions!$O:$O,ROW()-8))</f>
      </c>
    </row>
    <row r="3507" spans="1:7">
      <c r="B3507">
        <f>IF(INDEX(Transactions!$J:$J,ROW()-8)="",TODAY(),INDEX(Transactions!$G:$G,ROW()-8))</f>
      </c>
      <c r="F3507">
        <f>IF(INDEX(Transactions!$J:$J,ROW()-8)="",0,INDEX(Transactions!$O:$O,ROW()-8))</f>
      </c>
    </row>
    <row r="3508" spans="1:7">
      <c r="B3508">
        <f>IF(INDEX(Transactions!$J:$J,ROW()-8)="",TODAY(),INDEX(Transactions!$G:$G,ROW()-8))</f>
      </c>
      <c r="F3508">
        <f>IF(INDEX(Transactions!$J:$J,ROW()-8)="",0,INDEX(Transactions!$O:$O,ROW()-8))</f>
      </c>
    </row>
    <row r="3509" spans="1:7">
      <c r="B3509">
        <f>IF(INDEX(Transactions!$J:$J,ROW()-8)="",TODAY(),INDEX(Transactions!$G:$G,ROW()-8))</f>
      </c>
      <c r="F3509">
        <f>IF(INDEX(Transactions!$J:$J,ROW()-8)="",0,INDEX(Transactions!$O:$O,ROW()-8))</f>
      </c>
    </row>
    <row r="3510" spans="1:7">
      <c r="B3510">
        <f>IF(INDEX(Transactions!$J:$J,ROW()-8)="",TODAY(),INDEX(Transactions!$G:$G,ROW()-8))</f>
      </c>
      <c r="F3510">
        <f>IF(INDEX(Transactions!$J:$J,ROW()-8)="",0,INDEX(Transactions!$O:$O,ROW()-8))</f>
      </c>
    </row>
    <row r="3511" spans="1:7">
      <c r="B3511">
        <f>IF(INDEX(Transactions!$J:$J,ROW()-8)="",TODAY(),INDEX(Transactions!$G:$G,ROW()-8))</f>
      </c>
      <c r="F3511">
        <f>IF(INDEX(Transactions!$J:$J,ROW()-8)="",0,INDEX(Transactions!$O:$O,ROW()-8))</f>
      </c>
    </row>
    <row r="3512" spans="1:7">
      <c r="B3512">
        <f>IF(INDEX(Transactions!$J:$J,ROW()-8)="",TODAY(),INDEX(Transactions!$G:$G,ROW()-8))</f>
      </c>
      <c r="F3512">
        <f>IF(INDEX(Transactions!$J:$J,ROW()-8)="",0,INDEX(Transactions!$O:$O,ROW()-8))</f>
      </c>
    </row>
    <row r="3513" spans="1:7">
      <c r="B3513">
        <f>IF(INDEX(Transactions!$J:$J,ROW()-8)="",TODAY(),INDEX(Transactions!$G:$G,ROW()-8))</f>
      </c>
      <c r="F3513">
        <f>IF(INDEX(Transactions!$J:$J,ROW()-8)="",0,INDEX(Transactions!$O:$O,ROW()-8))</f>
      </c>
    </row>
    <row r="3514" spans="1:7">
      <c r="B3514">
        <f>IF(INDEX(Transactions!$J:$J,ROW()-8)="",TODAY(),INDEX(Transactions!$G:$G,ROW()-8))</f>
      </c>
      <c r="F3514">
        <f>IF(INDEX(Transactions!$J:$J,ROW()-8)="",0,INDEX(Transactions!$O:$O,ROW()-8))</f>
      </c>
    </row>
    <row r="3515" spans="1:7">
      <c r="B3515">
        <f>IF(INDEX(Transactions!$J:$J,ROW()-8)="",TODAY(),INDEX(Transactions!$G:$G,ROW()-8))</f>
      </c>
      <c r="F3515">
        <f>IF(INDEX(Transactions!$J:$J,ROW()-8)="",0,INDEX(Transactions!$O:$O,ROW()-8))</f>
      </c>
    </row>
    <row r="3516" spans="1:7">
      <c r="B3516">
        <f>IF(INDEX(Transactions!$J:$J,ROW()-8)="",TODAY(),INDEX(Transactions!$G:$G,ROW()-8))</f>
      </c>
      <c r="F3516">
        <f>IF(INDEX(Transactions!$J:$J,ROW()-8)="",0,INDEX(Transactions!$O:$O,ROW()-8))</f>
      </c>
    </row>
    <row r="3517" spans="1:7">
      <c r="B3517">
        <f>IF(INDEX(Transactions!$J:$J,ROW()-8)="",TODAY(),INDEX(Transactions!$G:$G,ROW()-8))</f>
      </c>
      <c r="F3517">
        <f>IF(INDEX(Transactions!$J:$J,ROW()-8)="",0,INDEX(Transactions!$O:$O,ROW()-8))</f>
      </c>
    </row>
    <row r="3518" spans="1:7">
      <c r="B3518">
        <f>IF(INDEX(Transactions!$J:$J,ROW()-8)="",TODAY(),INDEX(Transactions!$G:$G,ROW()-8))</f>
      </c>
      <c r="F3518">
        <f>IF(INDEX(Transactions!$J:$J,ROW()-8)="",0,INDEX(Transactions!$O:$O,ROW()-8))</f>
      </c>
    </row>
    <row r="3519" spans="1:7">
      <c r="B3519">
        <f>IF(INDEX(Transactions!$J:$J,ROW()-8)="",TODAY(),INDEX(Transactions!$G:$G,ROW()-8))</f>
      </c>
      <c r="F3519">
        <f>IF(INDEX(Transactions!$J:$J,ROW()-8)="",0,INDEX(Transactions!$O:$O,ROW()-8))</f>
      </c>
    </row>
    <row r="3520" spans="1:7">
      <c r="B3520">
        <f>IF(INDEX(Transactions!$J:$J,ROW()-8)="",TODAY(),INDEX(Transactions!$G:$G,ROW()-8))</f>
      </c>
      <c r="F3520">
        <f>IF(INDEX(Transactions!$J:$J,ROW()-8)="",0,INDEX(Transactions!$O:$O,ROW()-8))</f>
      </c>
    </row>
    <row r="3521" spans="1:7">
      <c r="B3521">
        <f>IF(INDEX(Transactions!$J:$J,ROW()-8)="",TODAY(),INDEX(Transactions!$G:$G,ROW()-8))</f>
      </c>
      <c r="F3521">
        <f>IF(INDEX(Transactions!$J:$J,ROW()-8)="",0,INDEX(Transactions!$O:$O,ROW()-8))</f>
      </c>
    </row>
    <row r="3522" spans="1:7">
      <c r="B3522">
        <f>IF(INDEX(Transactions!$J:$J,ROW()-8)="",TODAY(),INDEX(Transactions!$G:$G,ROW()-8))</f>
      </c>
      <c r="F3522">
        <f>IF(INDEX(Transactions!$J:$J,ROW()-8)="",0,INDEX(Transactions!$O:$O,ROW()-8))</f>
      </c>
    </row>
    <row r="3523" spans="1:7">
      <c r="B3523">
        <f>IF(INDEX(Transactions!$J:$J,ROW()-8)="",TODAY(),INDEX(Transactions!$G:$G,ROW()-8))</f>
      </c>
      <c r="F3523">
        <f>IF(INDEX(Transactions!$J:$J,ROW()-8)="",0,INDEX(Transactions!$O:$O,ROW()-8))</f>
      </c>
    </row>
    <row r="3524" spans="1:7">
      <c r="B3524">
        <f>IF(INDEX(Transactions!$J:$J,ROW()-8)="",TODAY(),INDEX(Transactions!$G:$G,ROW()-8))</f>
      </c>
      <c r="F3524">
        <f>IF(INDEX(Transactions!$J:$J,ROW()-8)="",0,INDEX(Transactions!$O:$O,ROW()-8))</f>
      </c>
    </row>
    <row r="3525" spans="1:7">
      <c r="B3525">
        <f>IF(INDEX(Transactions!$J:$J,ROW()-8)="",TODAY(),INDEX(Transactions!$G:$G,ROW()-8))</f>
      </c>
      <c r="F3525">
        <f>IF(INDEX(Transactions!$J:$J,ROW()-8)="",0,INDEX(Transactions!$O:$O,ROW()-8))</f>
      </c>
    </row>
    <row r="3526" spans="1:7">
      <c r="B3526">
        <f>IF(INDEX(Transactions!$J:$J,ROW()-8)="",TODAY(),INDEX(Transactions!$G:$G,ROW()-8))</f>
      </c>
      <c r="F3526">
        <f>IF(INDEX(Transactions!$J:$J,ROW()-8)="",0,INDEX(Transactions!$O:$O,ROW()-8))</f>
      </c>
    </row>
    <row r="3527" spans="1:7">
      <c r="B3527">
        <f>IF(INDEX(Transactions!$J:$J,ROW()-8)="",TODAY(),INDEX(Transactions!$G:$G,ROW()-8))</f>
      </c>
      <c r="F3527">
        <f>IF(INDEX(Transactions!$J:$J,ROW()-8)="",0,INDEX(Transactions!$O:$O,ROW()-8))</f>
      </c>
    </row>
    <row r="3528" spans="1:7">
      <c r="B3528">
        <f>IF(INDEX(Transactions!$J:$J,ROW()-8)="",TODAY(),INDEX(Transactions!$G:$G,ROW()-8))</f>
      </c>
      <c r="F3528">
        <f>IF(INDEX(Transactions!$J:$J,ROW()-8)="",0,INDEX(Transactions!$O:$O,ROW()-8))</f>
      </c>
    </row>
    <row r="3529" spans="1:7">
      <c r="B3529">
        <f>IF(INDEX(Transactions!$J:$J,ROW()-8)="",TODAY(),INDEX(Transactions!$G:$G,ROW()-8))</f>
      </c>
      <c r="F3529">
        <f>IF(INDEX(Transactions!$J:$J,ROW()-8)="",0,INDEX(Transactions!$O:$O,ROW()-8))</f>
      </c>
    </row>
    <row r="3530" spans="1:7">
      <c r="B3530">
        <f>IF(INDEX(Transactions!$J:$J,ROW()-8)="",TODAY(),INDEX(Transactions!$G:$G,ROW()-8))</f>
      </c>
      <c r="F3530">
        <f>IF(INDEX(Transactions!$J:$J,ROW()-8)="",0,INDEX(Transactions!$O:$O,ROW()-8))</f>
      </c>
    </row>
    <row r="3531" spans="1:7">
      <c r="B3531">
        <f>IF(INDEX(Transactions!$J:$J,ROW()-8)="",TODAY(),INDEX(Transactions!$G:$G,ROW()-8))</f>
      </c>
      <c r="F3531">
        <f>IF(INDEX(Transactions!$J:$J,ROW()-8)="",0,INDEX(Transactions!$O:$O,ROW()-8))</f>
      </c>
    </row>
    <row r="3532" spans="1:7">
      <c r="B3532">
        <f>IF(INDEX(Transactions!$J:$J,ROW()-8)="",TODAY(),INDEX(Transactions!$G:$G,ROW()-8))</f>
      </c>
      <c r="F3532">
        <f>IF(INDEX(Transactions!$J:$J,ROW()-8)="",0,INDEX(Transactions!$O:$O,ROW()-8))</f>
      </c>
    </row>
    <row r="3533" spans="1:7">
      <c r="B3533">
        <f>IF(INDEX(Transactions!$J:$J,ROW()-8)="",TODAY(),INDEX(Transactions!$G:$G,ROW()-8))</f>
      </c>
      <c r="F3533">
        <f>IF(INDEX(Transactions!$J:$J,ROW()-8)="",0,INDEX(Transactions!$O:$O,ROW()-8))</f>
      </c>
    </row>
    <row r="3534" spans="1:7">
      <c r="B3534">
        <f>IF(INDEX(Transactions!$J:$J,ROW()-8)="",TODAY(),INDEX(Transactions!$G:$G,ROW()-8))</f>
      </c>
      <c r="F3534">
        <f>IF(INDEX(Transactions!$J:$J,ROW()-8)="",0,INDEX(Transactions!$O:$O,ROW()-8))</f>
      </c>
    </row>
    <row r="3535" spans="1:7">
      <c r="B3535">
        <f>IF(INDEX(Transactions!$J:$J,ROW()-8)="",TODAY(),INDEX(Transactions!$G:$G,ROW()-8))</f>
      </c>
      <c r="F3535">
        <f>IF(INDEX(Transactions!$J:$J,ROW()-8)="",0,INDEX(Transactions!$O:$O,ROW()-8))</f>
      </c>
    </row>
    <row r="3536" spans="1:7">
      <c r="B3536">
        <f>IF(INDEX(Transactions!$J:$J,ROW()-8)="",TODAY(),INDEX(Transactions!$G:$G,ROW()-8))</f>
      </c>
      <c r="F3536">
        <f>IF(INDEX(Transactions!$J:$J,ROW()-8)="",0,INDEX(Transactions!$O:$O,ROW()-8))</f>
      </c>
    </row>
    <row r="3537" spans="1:7">
      <c r="B3537">
        <f>IF(INDEX(Transactions!$J:$J,ROW()-8)="",TODAY(),INDEX(Transactions!$G:$G,ROW()-8))</f>
      </c>
      <c r="F3537">
        <f>IF(INDEX(Transactions!$J:$J,ROW()-8)="",0,INDEX(Transactions!$O:$O,ROW()-8))</f>
      </c>
    </row>
    <row r="3538" spans="1:7">
      <c r="B3538">
        <f>IF(INDEX(Transactions!$J:$J,ROW()-8)="",TODAY(),INDEX(Transactions!$G:$G,ROW()-8))</f>
      </c>
      <c r="F3538">
        <f>IF(INDEX(Transactions!$J:$J,ROW()-8)="",0,INDEX(Transactions!$O:$O,ROW()-8))</f>
      </c>
    </row>
    <row r="3539" spans="1:7">
      <c r="B3539">
        <f>IF(INDEX(Transactions!$J:$J,ROW()-8)="",TODAY(),INDEX(Transactions!$G:$G,ROW()-8))</f>
      </c>
      <c r="F3539">
        <f>IF(INDEX(Transactions!$J:$J,ROW()-8)="",0,INDEX(Transactions!$O:$O,ROW()-8))</f>
      </c>
    </row>
    <row r="3540" spans="1:7">
      <c r="B3540">
        <f>IF(INDEX(Transactions!$J:$J,ROW()-8)="",TODAY(),INDEX(Transactions!$G:$G,ROW()-8))</f>
      </c>
      <c r="F3540">
        <f>IF(INDEX(Transactions!$J:$J,ROW()-8)="",0,INDEX(Transactions!$O:$O,ROW()-8))</f>
      </c>
    </row>
    <row r="3541" spans="1:7">
      <c r="B3541">
        <f>IF(INDEX(Transactions!$J:$J,ROW()-8)="",TODAY(),INDEX(Transactions!$G:$G,ROW()-8))</f>
      </c>
      <c r="F3541">
        <f>IF(INDEX(Transactions!$J:$J,ROW()-8)="",0,INDEX(Transactions!$O:$O,ROW()-8))</f>
      </c>
    </row>
    <row r="3542" spans="1:7">
      <c r="B3542">
        <f>IF(INDEX(Transactions!$J:$J,ROW()-8)="",TODAY(),INDEX(Transactions!$G:$G,ROW()-8))</f>
      </c>
      <c r="F3542">
        <f>IF(INDEX(Transactions!$J:$J,ROW()-8)="",0,INDEX(Transactions!$O:$O,ROW()-8))</f>
      </c>
    </row>
    <row r="3543" spans="1:7">
      <c r="B3543">
        <f>IF(INDEX(Transactions!$J:$J,ROW()-8)="",TODAY(),INDEX(Transactions!$G:$G,ROW()-8))</f>
      </c>
      <c r="F3543">
        <f>IF(INDEX(Transactions!$J:$J,ROW()-8)="",0,INDEX(Transactions!$O:$O,ROW()-8))</f>
      </c>
    </row>
    <row r="3544" spans="1:7">
      <c r="B3544">
        <f>IF(INDEX(Transactions!$J:$J,ROW()-8)="",TODAY(),INDEX(Transactions!$G:$G,ROW()-8))</f>
      </c>
      <c r="F3544">
        <f>IF(INDEX(Transactions!$J:$J,ROW()-8)="",0,INDEX(Transactions!$O:$O,ROW()-8))</f>
      </c>
    </row>
    <row r="3545" spans="1:7">
      <c r="B3545">
        <f>IF(INDEX(Transactions!$J:$J,ROW()-8)="",TODAY(),INDEX(Transactions!$G:$G,ROW()-8))</f>
      </c>
      <c r="F3545">
        <f>IF(INDEX(Transactions!$J:$J,ROW()-8)="",0,INDEX(Transactions!$O:$O,ROW()-8))</f>
      </c>
    </row>
    <row r="3546" spans="1:7">
      <c r="B3546">
        <f>IF(INDEX(Transactions!$J:$J,ROW()-8)="",TODAY(),INDEX(Transactions!$G:$G,ROW()-8))</f>
      </c>
      <c r="F3546">
        <f>IF(INDEX(Transactions!$J:$J,ROW()-8)="",0,INDEX(Transactions!$O:$O,ROW()-8))</f>
      </c>
    </row>
    <row r="3547" spans="1:7">
      <c r="B3547">
        <f>IF(INDEX(Transactions!$J:$J,ROW()-8)="",TODAY(),INDEX(Transactions!$G:$G,ROW()-8))</f>
      </c>
      <c r="F3547">
        <f>IF(INDEX(Transactions!$J:$J,ROW()-8)="",0,INDEX(Transactions!$O:$O,ROW()-8))</f>
      </c>
    </row>
    <row r="3548" spans="1:7">
      <c r="B3548">
        <f>IF(INDEX(Transactions!$J:$J,ROW()-8)="",TODAY(),INDEX(Transactions!$G:$G,ROW()-8))</f>
      </c>
      <c r="F3548">
        <f>IF(INDEX(Transactions!$J:$J,ROW()-8)="",0,INDEX(Transactions!$O:$O,ROW()-8))</f>
      </c>
    </row>
    <row r="3549" spans="1:7">
      <c r="B3549">
        <f>IF(INDEX(Transactions!$J:$J,ROW()-8)="",TODAY(),INDEX(Transactions!$G:$G,ROW()-8))</f>
      </c>
      <c r="F3549">
        <f>IF(INDEX(Transactions!$J:$J,ROW()-8)="",0,INDEX(Transactions!$O:$O,ROW()-8))</f>
      </c>
    </row>
    <row r="3550" spans="1:7">
      <c r="B3550">
        <f>IF(INDEX(Transactions!$J:$J,ROW()-8)="",TODAY(),INDEX(Transactions!$G:$G,ROW()-8))</f>
      </c>
      <c r="F3550">
        <f>IF(INDEX(Transactions!$J:$J,ROW()-8)="",0,INDEX(Transactions!$O:$O,ROW()-8))</f>
      </c>
    </row>
    <row r="3551" spans="1:7">
      <c r="B3551">
        <f>IF(INDEX(Transactions!$J:$J,ROW()-8)="",TODAY(),INDEX(Transactions!$G:$G,ROW()-8))</f>
      </c>
      <c r="F3551">
        <f>IF(INDEX(Transactions!$J:$J,ROW()-8)="",0,INDEX(Transactions!$O:$O,ROW()-8))</f>
      </c>
    </row>
    <row r="3552" spans="1:7">
      <c r="B3552">
        <f>IF(INDEX(Transactions!$J:$J,ROW()-8)="",TODAY(),INDEX(Transactions!$G:$G,ROW()-8))</f>
      </c>
      <c r="F3552">
        <f>IF(INDEX(Transactions!$J:$J,ROW()-8)="",0,INDEX(Transactions!$O:$O,ROW()-8))</f>
      </c>
    </row>
    <row r="3553" spans="1:7">
      <c r="B3553">
        <f>IF(INDEX(Transactions!$J:$J,ROW()-8)="",TODAY(),INDEX(Transactions!$G:$G,ROW()-8))</f>
      </c>
      <c r="F3553">
        <f>IF(INDEX(Transactions!$J:$J,ROW()-8)="",0,INDEX(Transactions!$O:$O,ROW()-8))</f>
      </c>
    </row>
    <row r="3554" spans="1:7">
      <c r="B3554">
        <f>IF(INDEX(Transactions!$J:$J,ROW()-8)="",TODAY(),INDEX(Transactions!$G:$G,ROW()-8))</f>
      </c>
      <c r="F3554">
        <f>IF(INDEX(Transactions!$J:$J,ROW()-8)="",0,INDEX(Transactions!$O:$O,ROW()-8))</f>
      </c>
    </row>
    <row r="3555" spans="1:7">
      <c r="B3555">
        <f>IF(INDEX(Transactions!$J:$J,ROW()-8)="",TODAY(),INDEX(Transactions!$G:$G,ROW()-8))</f>
      </c>
      <c r="F3555">
        <f>IF(INDEX(Transactions!$J:$J,ROW()-8)="",0,INDEX(Transactions!$O:$O,ROW()-8))</f>
      </c>
    </row>
    <row r="3556" spans="1:7">
      <c r="B3556">
        <f>IF(INDEX(Transactions!$J:$J,ROW()-8)="",TODAY(),INDEX(Transactions!$G:$G,ROW()-8))</f>
      </c>
      <c r="F3556">
        <f>IF(INDEX(Transactions!$J:$J,ROW()-8)="",0,INDEX(Transactions!$O:$O,ROW()-8))</f>
      </c>
    </row>
    <row r="3557" spans="1:7">
      <c r="B3557">
        <f>IF(INDEX(Transactions!$J:$J,ROW()-8)="",TODAY(),INDEX(Transactions!$G:$G,ROW()-8))</f>
      </c>
      <c r="F3557">
        <f>IF(INDEX(Transactions!$J:$J,ROW()-8)="",0,INDEX(Transactions!$O:$O,ROW()-8))</f>
      </c>
    </row>
    <row r="3558" spans="1:7">
      <c r="B3558">
        <f>IF(INDEX(Transactions!$J:$J,ROW()-8)="",TODAY(),INDEX(Transactions!$G:$G,ROW()-8))</f>
      </c>
      <c r="F3558">
        <f>IF(INDEX(Transactions!$J:$J,ROW()-8)="",0,INDEX(Transactions!$O:$O,ROW()-8))</f>
      </c>
    </row>
    <row r="3559" spans="1:7">
      <c r="B3559">
        <f>IF(INDEX(Transactions!$J:$J,ROW()-8)="",TODAY(),INDEX(Transactions!$G:$G,ROW()-8))</f>
      </c>
      <c r="F3559">
        <f>IF(INDEX(Transactions!$J:$J,ROW()-8)="",0,INDEX(Transactions!$O:$O,ROW()-8))</f>
      </c>
    </row>
    <row r="3560" spans="1:7">
      <c r="B3560">
        <f>IF(INDEX(Transactions!$J:$J,ROW()-8)="",TODAY(),INDEX(Transactions!$G:$G,ROW()-8))</f>
      </c>
      <c r="F3560">
        <f>IF(INDEX(Transactions!$J:$J,ROW()-8)="",0,INDEX(Transactions!$O:$O,ROW()-8))</f>
      </c>
    </row>
    <row r="3561" spans="1:7">
      <c r="B3561">
        <f>IF(INDEX(Transactions!$J:$J,ROW()-8)="",TODAY(),INDEX(Transactions!$G:$G,ROW()-8))</f>
      </c>
      <c r="F3561">
        <f>IF(INDEX(Transactions!$J:$J,ROW()-8)="",0,INDEX(Transactions!$O:$O,ROW()-8))</f>
      </c>
    </row>
    <row r="3562" spans="1:7">
      <c r="B3562">
        <f>IF(INDEX(Transactions!$J:$J,ROW()-8)="",TODAY(),INDEX(Transactions!$G:$G,ROW()-8))</f>
      </c>
      <c r="F3562">
        <f>IF(INDEX(Transactions!$J:$J,ROW()-8)="",0,INDEX(Transactions!$O:$O,ROW()-8))</f>
      </c>
    </row>
    <row r="3563" spans="1:7">
      <c r="B3563">
        <f>IF(INDEX(Transactions!$J:$J,ROW()-8)="",TODAY(),INDEX(Transactions!$G:$G,ROW()-8))</f>
      </c>
      <c r="F3563">
        <f>IF(INDEX(Transactions!$J:$J,ROW()-8)="",0,INDEX(Transactions!$O:$O,ROW()-8))</f>
      </c>
    </row>
    <row r="3564" spans="1:7">
      <c r="B3564">
        <f>IF(INDEX(Transactions!$J:$J,ROW()-8)="",TODAY(),INDEX(Transactions!$G:$G,ROW()-8))</f>
      </c>
      <c r="F3564">
        <f>IF(INDEX(Transactions!$J:$J,ROW()-8)="",0,INDEX(Transactions!$O:$O,ROW()-8))</f>
      </c>
    </row>
    <row r="3565" spans="1:7">
      <c r="B3565">
        <f>IF(INDEX(Transactions!$J:$J,ROW()-8)="",TODAY(),INDEX(Transactions!$G:$G,ROW()-8))</f>
      </c>
      <c r="F3565">
        <f>IF(INDEX(Transactions!$J:$J,ROW()-8)="",0,INDEX(Transactions!$O:$O,ROW()-8))</f>
      </c>
    </row>
    <row r="3566" spans="1:7">
      <c r="B3566">
        <f>IF(INDEX(Transactions!$J:$J,ROW()-8)="",TODAY(),INDEX(Transactions!$G:$G,ROW()-8))</f>
      </c>
      <c r="F3566">
        <f>IF(INDEX(Transactions!$J:$J,ROW()-8)="",0,INDEX(Transactions!$O:$O,ROW()-8))</f>
      </c>
    </row>
    <row r="3567" spans="1:7">
      <c r="B3567">
        <f>IF(INDEX(Transactions!$J:$J,ROW()-8)="",TODAY(),INDEX(Transactions!$G:$G,ROW()-8))</f>
      </c>
      <c r="F3567">
        <f>IF(INDEX(Transactions!$J:$J,ROW()-8)="",0,INDEX(Transactions!$O:$O,ROW()-8))</f>
      </c>
    </row>
    <row r="3568" spans="1:7">
      <c r="B3568">
        <f>IF(INDEX(Transactions!$J:$J,ROW()-8)="",TODAY(),INDEX(Transactions!$G:$G,ROW()-8))</f>
      </c>
      <c r="F3568">
        <f>IF(INDEX(Transactions!$J:$J,ROW()-8)="",0,INDEX(Transactions!$O:$O,ROW()-8))</f>
      </c>
    </row>
    <row r="3569" spans="1:7">
      <c r="B3569">
        <f>IF(INDEX(Transactions!$J:$J,ROW()-8)="",TODAY(),INDEX(Transactions!$G:$G,ROW()-8))</f>
      </c>
      <c r="F3569">
        <f>IF(INDEX(Transactions!$J:$J,ROW()-8)="",0,INDEX(Transactions!$O:$O,ROW()-8))</f>
      </c>
    </row>
    <row r="3570" spans="1:7">
      <c r="B3570">
        <f>IF(INDEX(Transactions!$J:$J,ROW()-8)="",TODAY(),INDEX(Transactions!$G:$G,ROW()-8))</f>
      </c>
      <c r="F3570">
        <f>IF(INDEX(Transactions!$J:$J,ROW()-8)="",0,INDEX(Transactions!$O:$O,ROW()-8))</f>
      </c>
    </row>
    <row r="3571" spans="1:7">
      <c r="B3571">
        <f>IF(INDEX(Transactions!$J:$J,ROW()-8)="",TODAY(),INDEX(Transactions!$G:$G,ROW()-8))</f>
      </c>
      <c r="F3571">
        <f>IF(INDEX(Transactions!$J:$J,ROW()-8)="",0,INDEX(Transactions!$O:$O,ROW()-8))</f>
      </c>
    </row>
    <row r="3572" spans="1:7">
      <c r="B3572">
        <f>IF(INDEX(Transactions!$J:$J,ROW()-8)="",TODAY(),INDEX(Transactions!$G:$G,ROW()-8))</f>
      </c>
      <c r="F3572">
        <f>IF(INDEX(Transactions!$J:$J,ROW()-8)="",0,INDEX(Transactions!$O:$O,ROW()-8))</f>
      </c>
    </row>
    <row r="3573" spans="1:7">
      <c r="B3573">
        <f>IF(INDEX(Transactions!$J:$J,ROW()-8)="",TODAY(),INDEX(Transactions!$G:$G,ROW()-8))</f>
      </c>
      <c r="F3573">
        <f>IF(INDEX(Transactions!$J:$J,ROW()-8)="",0,INDEX(Transactions!$O:$O,ROW()-8))</f>
      </c>
    </row>
    <row r="3574" spans="1:7">
      <c r="B3574">
        <f>IF(INDEX(Transactions!$J:$J,ROW()-8)="",TODAY(),INDEX(Transactions!$G:$G,ROW()-8))</f>
      </c>
      <c r="F3574">
        <f>IF(INDEX(Transactions!$J:$J,ROW()-8)="",0,INDEX(Transactions!$O:$O,ROW()-8))</f>
      </c>
    </row>
    <row r="3575" spans="1:7">
      <c r="B3575">
        <f>IF(INDEX(Transactions!$J:$J,ROW()-8)="",TODAY(),INDEX(Transactions!$G:$G,ROW()-8))</f>
      </c>
      <c r="F3575">
        <f>IF(INDEX(Transactions!$J:$J,ROW()-8)="",0,INDEX(Transactions!$O:$O,ROW()-8))</f>
      </c>
    </row>
    <row r="3576" spans="1:7">
      <c r="B3576">
        <f>IF(INDEX(Transactions!$J:$J,ROW()-8)="",TODAY(),INDEX(Transactions!$G:$G,ROW()-8))</f>
      </c>
      <c r="F3576">
        <f>IF(INDEX(Transactions!$J:$J,ROW()-8)="",0,INDEX(Transactions!$O:$O,ROW()-8))</f>
      </c>
    </row>
    <row r="3577" spans="1:7">
      <c r="B3577">
        <f>IF(INDEX(Transactions!$J:$J,ROW()-8)="",TODAY(),INDEX(Transactions!$G:$G,ROW()-8))</f>
      </c>
      <c r="F3577">
        <f>IF(INDEX(Transactions!$J:$J,ROW()-8)="",0,INDEX(Transactions!$O:$O,ROW()-8))</f>
      </c>
    </row>
    <row r="3578" spans="1:7">
      <c r="B3578">
        <f>IF(INDEX(Transactions!$J:$J,ROW()-8)="",TODAY(),INDEX(Transactions!$G:$G,ROW()-8))</f>
      </c>
      <c r="F3578">
        <f>IF(INDEX(Transactions!$J:$J,ROW()-8)="",0,INDEX(Transactions!$O:$O,ROW()-8))</f>
      </c>
    </row>
    <row r="3579" spans="1:7">
      <c r="B3579">
        <f>IF(INDEX(Transactions!$J:$J,ROW()-8)="",TODAY(),INDEX(Transactions!$G:$G,ROW()-8))</f>
      </c>
      <c r="F3579">
        <f>IF(INDEX(Transactions!$J:$J,ROW()-8)="",0,INDEX(Transactions!$O:$O,ROW()-8))</f>
      </c>
    </row>
    <row r="3580" spans="1:7">
      <c r="B3580">
        <f>IF(INDEX(Transactions!$J:$J,ROW()-8)="",TODAY(),INDEX(Transactions!$G:$G,ROW()-8))</f>
      </c>
      <c r="F3580">
        <f>IF(INDEX(Transactions!$J:$J,ROW()-8)="",0,INDEX(Transactions!$O:$O,ROW()-8))</f>
      </c>
    </row>
    <row r="3581" spans="1:7">
      <c r="B3581">
        <f>IF(INDEX(Transactions!$J:$J,ROW()-8)="",TODAY(),INDEX(Transactions!$G:$G,ROW()-8))</f>
      </c>
      <c r="F3581">
        <f>IF(INDEX(Transactions!$J:$J,ROW()-8)="",0,INDEX(Transactions!$O:$O,ROW()-8))</f>
      </c>
    </row>
    <row r="3582" spans="1:7">
      <c r="B3582">
        <f>IF(INDEX(Transactions!$J:$J,ROW()-8)="",TODAY(),INDEX(Transactions!$G:$G,ROW()-8))</f>
      </c>
      <c r="F3582">
        <f>IF(INDEX(Transactions!$J:$J,ROW()-8)="",0,INDEX(Transactions!$O:$O,ROW()-8))</f>
      </c>
    </row>
    <row r="3583" spans="1:7">
      <c r="B3583">
        <f>IF(INDEX(Transactions!$J:$J,ROW()-8)="",TODAY(),INDEX(Transactions!$G:$G,ROW()-8))</f>
      </c>
      <c r="F3583">
        <f>IF(INDEX(Transactions!$J:$J,ROW()-8)="",0,INDEX(Transactions!$O:$O,ROW()-8))</f>
      </c>
    </row>
    <row r="3584" spans="1:7">
      <c r="B3584">
        <f>IF(INDEX(Transactions!$J:$J,ROW()-8)="",TODAY(),INDEX(Transactions!$G:$G,ROW()-8))</f>
      </c>
      <c r="F3584">
        <f>IF(INDEX(Transactions!$J:$J,ROW()-8)="",0,INDEX(Transactions!$O:$O,ROW()-8))</f>
      </c>
    </row>
    <row r="3585" spans="1:7">
      <c r="B3585">
        <f>IF(INDEX(Transactions!$J:$J,ROW()-8)="",TODAY(),INDEX(Transactions!$G:$G,ROW()-8))</f>
      </c>
      <c r="F3585">
        <f>IF(INDEX(Transactions!$J:$J,ROW()-8)="",0,INDEX(Transactions!$O:$O,ROW()-8))</f>
      </c>
    </row>
    <row r="3586" spans="1:7">
      <c r="B3586">
        <f>IF(INDEX(Transactions!$J:$J,ROW()-8)="",TODAY(),INDEX(Transactions!$G:$G,ROW()-8))</f>
      </c>
      <c r="F3586">
        <f>IF(INDEX(Transactions!$J:$J,ROW()-8)="",0,INDEX(Transactions!$O:$O,ROW()-8))</f>
      </c>
    </row>
    <row r="3587" spans="1:7">
      <c r="B3587">
        <f>IF(INDEX(Transactions!$J:$J,ROW()-8)="",TODAY(),INDEX(Transactions!$G:$G,ROW()-8))</f>
      </c>
      <c r="F3587">
        <f>IF(INDEX(Transactions!$J:$J,ROW()-8)="",0,INDEX(Transactions!$O:$O,ROW()-8))</f>
      </c>
    </row>
    <row r="3588" spans="1:7">
      <c r="B3588">
        <f>IF(INDEX(Transactions!$J:$J,ROW()-8)="",TODAY(),INDEX(Transactions!$G:$G,ROW()-8))</f>
      </c>
      <c r="F3588">
        <f>IF(INDEX(Transactions!$J:$J,ROW()-8)="",0,INDEX(Transactions!$O:$O,ROW()-8))</f>
      </c>
    </row>
    <row r="3589" spans="1:7">
      <c r="B3589">
        <f>IF(INDEX(Transactions!$J:$J,ROW()-8)="",TODAY(),INDEX(Transactions!$G:$G,ROW()-8))</f>
      </c>
      <c r="F3589">
        <f>IF(INDEX(Transactions!$J:$J,ROW()-8)="",0,INDEX(Transactions!$O:$O,ROW()-8))</f>
      </c>
    </row>
    <row r="3590" spans="1:7">
      <c r="B3590">
        <f>IF(INDEX(Transactions!$J:$J,ROW()-8)="",TODAY(),INDEX(Transactions!$G:$G,ROW()-8))</f>
      </c>
      <c r="F3590">
        <f>IF(INDEX(Transactions!$J:$J,ROW()-8)="",0,INDEX(Transactions!$O:$O,ROW()-8))</f>
      </c>
    </row>
    <row r="3591" spans="1:7">
      <c r="B3591">
        <f>IF(INDEX(Transactions!$J:$J,ROW()-8)="",TODAY(),INDEX(Transactions!$G:$G,ROW()-8))</f>
      </c>
      <c r="F3591">
        <f>IF(INDEX(Transactions!$J:$J,ROW()-8)="",0,INDEX(Transactions!$O:$O,ROW()-8))</f>
      </c>
    </row>
    <row r="3592" spans="1:7">
      <c r="B3592">
        <f>IF(INDEX(Transactions!$J:$J,ROW()-8)="",TODAY(),INDEX(Transactions!$G:$G,ROW()-8))</f>
      </c>
      <c r="F3592">
        <f>IF(INDEX(Transactions!$J:$J,ROW()-8)="",0,INDEX(Transactions!$O:$O,ROW()-8))</f>
      </c>
    </row>
    <row r="3593" spans="1:7">
      <c r="B3593">
        <f>IF(INDEX(Transactions!$J:$J,ROW()-8)="",TODAY(),INDEX(Transactions!$G:$G,ROW()-8))</f>
      </c>
      <c r="F3593">
        <f>IF(INDEX(Transactions!$J:$J,ROW()-8)="",0,INDEX(Transactions!$O:$O,ROW()-8))</f>
      </c>
    </row>
    <row r="3594" spans="1:7">
      <c r="B3594">
        <f>IF(INDEX(Transactions!$J:$J,ROW()-8)="",TODAY(),INDEX(Transactions!$G:$G,ROW()-8))</f>
      </c>
      <c r="F3594">
        <f>IF(INDEX(Transactions!$J:$J,ROW()-8)="",0,INDEX(Transactions!$O:$O,ROW()-8))</f>
      </c>
    </row>
    <row r="3595" spans="1:7">
      <c r="B3595">
        <f>IF(INDEX(Transactions!$J:$J,ROW()-8)="",TODAY(),INDEX(Transactions!$G:$G,ROW()-8))</f>
      </c>
      <c r="F3595">
        <f>IF(INDEX(Transactions!$J:$J,ROW()-8)="",0,INDEX(Transactions!$O:$O,ROW()-8))</f>
      </c>
    </row>
    <row r="3596" spans="1:7">
      <c r="B3596">
        <f>IF(INDEX(Transactions!$J:$J,ROW()-8)="",TODAY(),INDEX(Transactions!$G:$G,ROW()-8))</f>
      </c>
      <c r="F3596">
        <f>IF(INDEX(Transactions!$J:$J,ROW()-8)="",0,INDEX(Transactions!$O:$O,ROW()-8))</f>
      </c>
    </row>
    <row r="3597" spans="1:7">
      <c r="B3597">
        <f>IF(INDEX(Transactions!$J:$J,ROW()-8)="",TODAY(),INDEX(Transactions!$G:$G,ROW()-8))</f>
      </c>
      <c r="F3597">
        <f>IF(INDEX(Transactions!$J:$J,ROW()-8)="",0,INDEX(Transactions!$O:$O,ROW()-8))</f>
      </c>
    </row>
    <row r="3598" spans="1:7">
      <c r="B3598">
        <f>IF(INDEX(Transactions!$J:$J,ROW()-8)="",TODAY(),INDEX(Transactions!$G:$G,ROW()-8))</f>
      </c>
      <c r="F3598">
        <f>IF(INDEX(Transactions!$J:$J,ROW()-8)="",0,INDEX(Transactions!$O:$O,ROW()-8))</f>
      </c>
    </row>
    <row r="3599" spans="1:7">
      <c r="B3599">
        <f>IF(INDEX(Transactions!$J:$J,ROW()-8)="",TODAY(),INDEX(Transactions!$G:$G,ROW()-8))</f>
      </c>
      <c r="F3599">
        <f>IF(INDEX(Transactions!$J:$J,ROW()-8)="",0,INDEX(Transactions!$O:$O,ROW()-8))</f>
      </c>
    </row>
    <row r="3600" spans="1:7">
      <c r="B3600">
        <f>IF(INDEX(Transactions!$J:$J,ROW()-8)="",TODAY(),INDEX(Transactions!$G:$G,ROW()-8))</f>
      </c>
      <c r="F3600">
        <f>IF(INDEX(Transactions!$J:$J,ROW()-8)="",0,INDEX(Transactions!$O:$O,ROW()-8))</f>
      </c>
    </row>
    <row r="3601" spans="1:7">
      <c r="B3601">
        <f>IF(INDEX(Transactions!$J:$J,ROW()-8)="",TODAY(),INDEX(Transactions!$G:$G,ROW()-8))</f>
      </c>
      <c r="F3601">
        <f>IF(INDEX(Transactions!$J:$J,ROW()-8)="",0,INDEX(Transactions!$O:$O,ROW()-8))</f>
      </c>
    </row>
    <row r="3602" spans="1:7">
      <c r="B3602">
        <f>IF(INDEX(Transactions!$J:$J,ROW()-8)="",TODAY(),INDEX(Transactions!$G:$G,ROW()-8))</f>
      </c>
      <c r="F3602">
        <f>IF(INDEX(Transactions!$J:$J,ROW()-8)="",0,INDEX(Transactions!$O:$O,ROW()-8))</f>
      </c>
    </row>
    <row r="3603" spans="1:7">
      <c r="B3603">
        <f>IF(INDEX(Transactions!$J:$J,ROW()-8)="",TODAY(),INDEX(Transactions!$G:$G,ROW()-8))</f>
      </c>
      <c r="F3603">
        <f>IF(INDEX(Transactions!$J:$J,ROW()-8)="",0,INDEX(Transactions!$O:$O,ROW()-8))</f>
      </c>
    </row>
    <row r="3604" spans="1:7">
      <c r="B3604">
        <f>IF(INDEX(Transactions!$J:$J,ROW()-8)="",TODAY(),INDEX(Transactions!$G:$G,ROW()-8))</f>
      </c>
      <c r="F3604">
        <f>IF(INDEX(Transactions!$J:$J,ROW()-8)="",0,INDEX(Transactions!$O:$O,ROW()-8))</f>
      </c>
    </row>
    <row r="3605" spans="1:7">
      <c r="B3605">
        <f>IF(INDEX(Transactions!$J:$J,ROW()-8)="",TODAY(),INDEX(Transactions!$G:$G,ROW()-8))</f>
      </c>
      <c r="F3605">
        <f>IF(INDEX(Transactions!$J:$J,ROW()-8)="",0,INDEX(Transactions!$O:$O,ROW()-8))</f>
      </c>
    </row>
    <row r="3606" spans="1:7">
      <c r="B3606">
        <f>IF(INDEX(Transactions!$J:$J,ROW()-8)="",TODAY(),INDEX(Transactions!$G:$G,ROW()-8))</f>
      </c>
      <c r="F3606">
        <f>IF(INDEX(Transactions!$J:$J,ROW()-8)="",0,INDEX(Transactions!$O:$O,ROW()-8))</f>
      </c>
    </row>
    <row r="3607" spans="1:7">
      <c r="B3607">
        <f>IF(INDEX(Transactions!$J:$J,ROW()-8)="",TODAY(),INDEX(Transactions!$G:$G,ROW()-8))</f>
      </c>
      <c r="F3607">
        <f>IF(INDEX(Transactions!$J:$J,ROW()-8)="",0,INDEX(Transactions!$O:$O,ROW()-8))</f>
      </c>
    </row>
    <row r="3608" spans="1:7">
      <c r="B3608">
        <f>IF(INDEX(Transactions!$J:$J,ROW()-8)="",TODAY(),INDEX(Transactions!$G:$G,ROW()-8))</f>
      </c>
      <c r="F3608">
        <f>IF(INDEX(Transactions!$J:$J,ROW()-8)="",0,INDEX(Transactions!$O:$O,ROW()-8))</f>
      </c>
    </row>
    <row r="3609" spans="1:7">
      <c r="B3609">
        <f>IF(INDEX(Transactions!$J:$J,ROW()-8)="",TODAY(),INDEX(Transactions!$G:$G,ROW()-8))</f>
      </c>
      <c r="F3609">
        <f>IF(INDEX(Transactions!$J:$J,ROW()-8)="",0,INDEX(Transactions!$O:$O,ROW()-8))</f>
      </c>
    </row>
    <row r="3610" spans="1:7">
      <c r="B3610">
        <f>IF(INDEX(Transactions!$J:$J,ROW()-8)="",TODAY(),INDEX(Transactions!$G:$G,ROW()-8))</f>
      </c>
      <c r="F3610">
        <f>IF(INDEX(Transactions!$J:$J,ROW()-8)="",0,INDEX(Transactions!$O:$O,ROW()-8))</f>
      </c>
    </row>
    <row r="3611" spans="1:7">
      <c r="B3611">
        <f>IF(INDEX(Transactions!$J:$J,ROW()-8)="",TODAY(),INDEX(Transactions!$G:$G,ROW()-8))</f>
      </c>
      <c r="F3611">
        <f>IF(INDEX(Transactions!$J:$J,ROW()-8)="",0,INDEX(Transactions!$O:$O,ROW()-8))</f>
      </c>
    </row>
    <row r="3612" spans="1:7">
      <c r="B3612">
        <f>IF(INDEX(Transactions!$J:$J,ROW()-8)="",TODAY(),INDEX(Transactions!$G:$G,ROW()-8))</f>
      </c>
      <c r="F3612">
        <f>IF(INDEX(Transactions!$J:$J,ROW()-8)="",0,INDEX(Transactions!$O:$O,ROW()-8))</f>
      </c>
    </row>
    <row r="3613" spans="1:7">
      <c r="B3613">
        <f>IF(INDEX(Transactions!$J:$J,ROW()-8)="",TODAY(),INDEX(Transactions!$G:$G,ROW()-8))</f>
      </c>
      <c r="F3613">
        <f>IF(INDEX(Transactions!$J:$J,ROW()-8)="",0,INDEX(Transactions!$O:$O,ROW()-8))</f>
      </c>
    </row>
    <row r="3614" spans="1:7">
      <c r="B3614">
        <f>IF(INDEX(Transactions!$J:$J,ROW()-8)="",TODAY(),INDEX(Transactions!$G:$G,ROW()-8))</f>
      </c>
      <c r="F3614">
        <f>IF(INDEX(Transactions!$J:$J,ROW()-8)="",0,INDEX(Transactions!$O:$O,ROW()-8))</f>
      </c>
    </row>
    <row r="3615" spans="1:7">
      <c r="B3615">
        <f>IF(INDEX(Transactions!$J:$J,ROW()-8)="",TODAY(),INDEX(Transactions!$G:$G,ROW()-8))</f>
      </c>
      <c r="F3615">
        <f>IF(INDEX(Transactions!$J:$J,ROW()-8)="",0,INDEX(Transactions!$O:$O,ROW()-8))</f>
      </c>
    </row>
    <row r="3616" spans="1:7">
      <c r="B3616">
        <f>IF(INDEX(Transactions!$J:$J,ROW()-8)="",TODAY(),INDEX(Transactions!$G:$G,ROW()-8))</f>
      </c>
      <c r="F3616">
        <f>IF(INDEX(Transactions!$J:$J,ROW()-8)="",0,INDEX(Transactions!$O:$O,ROW()-8))</f>
      </c>
    </row>
    <row r="3617" spans="1:7">
      <c r="B3617">
        <f>IF(INDEX(Transactions!$J:$J,ROW()-8)="",TODAY(),INDEX(Transactions!$G:$G,ROW()-8))</f>
      </c>
      <c r="F3617">
        <f>IF(INDEX(Transactions!$J:$J,ROW()-8)="",0,INDEX(Transactions!$O:$O,ROW()-8))</f>
      </c>
    </row>
    <row r="3618" spans="1:7">
      <c r="B3618">
        <f>IF(INDEX(Transactions!$J:$J,ROW()-8)="",TODAY(),INDEX(Transactions!$G:$G,ROW()-8))</f>
      </c>
      <c r="F3618">
        <f>IF(INDEX(Transactions!$J:$J,ROW()-8)="",0,INDEX(Transactions!$O:$O,ROW()-8))</f>
      </c>
    </row>
    <row r="3619" spans="1:7">
      <c r="B3619">
        <f>IF(INDEX(Transactions!$J:$J,ROW()-8)="",TODAY(),INDEX(Transactions!$G:$G,ROW()-8))</f>
      </c>
      <c r="F3619">
        <f>IF(INDEX(Transactions!$J:$J,ROW()-8)="",0,INDEX(Transactions!$O:$O,ROW()-8))</f>
      </c>
    </row>
    <row r="3620" spans="1:7">
      <c r="B3620">
        <f>IF(INDEX(Transactions!$J:$J,ROW()-8)="",TODAY(),INDEX(Transactions!$G:$G,ROW()-8))</f>
      </c>
      <c r="F3620">
        <f>IF(INDEX(Transactions!$J:$J,ROW()-8)="",0,INDEX(Transactions!$O:$O,ROW()-8))</f>
      </c>
    </row>
    <row r="3621" spans="1:7">
      <c r="B3621">
        <f>IF(INDEX(Transactions!$J:$J,ROW()-8)="",TODAY(),INDEX(Transactions!$G:$G,ROW()-8))</f>
      </c>
      <c r="F3621">
        <f>IF(INDEX(Transactions!$J:$J,ROW()-8)="",0,INDEX(Transactions!$O:$O,ROW()-8))</f>
      </c>
    </row>
    <row r="3622" spans="1:7">
      <c r="B3622">
        <f>IF(INDEX(Transactions!$J:$J,ROW()-8)="",TODAY(),INDEX(Transactions!$G:$G,ROW()-8))</f>
      </c>
      <c r="F3622">
        <f>IF(INDEX(Transactions!$J:$J,ROW()-8)="",0,INDEX(Transactions!$O:$O,ROW()-8))</f>
      </c>
    </row>
    <row r="3623" spans="1:7">
      <c r="B3623">
        <f>IF(INDEX(Transactions!$J:$J,ROW()-8)="",TODAY(),INDEX(Transactions!$G:$G,ROW()-8))</f>
      </c>
      <c r="F3623">
        <f>IF(INDEX(Transactions!$J:$J,ROW()-8)="",0,INDEX(Transactions!$O:$O,ROW()-8))</f>
      </c>
    </row>
    <row r="3624" spans="1:7">
      <c r="B3624">
        <f>IF(INDEX(Transactions!$J:$J,ROW()-8)="",TODAY(),INDEX(Transactions!$G:$G,ROW()-8))</f>
      </c>
      <c r="F3624">
        <f>IF(INDEX(Transactions!$J:$J,ROW()-8)="",0,INDEX(Transactions!$O:$O,ROW()-8))</f>
      </c>
    </row>
    <row r="3625" spans="1:7">
      <c r="B3625">
        <f>IF(INDEX(Transactions!$J:$J,ROW()-8)="",TODAY(),INDEX(Transactions!$G:$G,ROW()-8))</f>
      </c>
      <c r="F3625">
        <f>IF(INDEX(Transactions!$J:$J,ROW()-8)="",0,INDEX(Transactions!$O:$O,ROW()-8))</f>
      </c>
    </row>
    <row r="3626" spans="1:7">
      <c r="B3626">
        <f>IF(INDEX(Transactions!$J:$J,ROW()-8)="",TODAY(),INDEX(Transactions!$G:$G,ROW()-8))</f>
      </c>
      <c r="F3626">
        <f>IF(INDEX(Transactions!$J:$J,ROW()-8)="",0,INDEX(Transactions!$O:$O,ROW()-8))</f>
      </c>
    </row>
    <row r="3627" spans="1:7">
      <c r="B3627">
        <f>IF(INDEX(Transactions!$J:$J,ROW()-8)="",TODAY(),INDEX(Transactions!$G:$G,ROW()-8))</f>
      </c>
      <c r="F3627">
        <f>IF(INDEX(Transactions!$J:$J,ROW()-8)="",0,INDEX(Transactions!$O:$O,ROW()-8))</f>
      </c>
    </row>
    <row r="3628" spans="1:7">
      <c r="B3628">
        <f>IF(INDEX(Transactions!$J:$J,ROW()-8)="",TODAY(),INDEX(Transactions!$G:$G,ROW()-8))</f>
      </c>
      <c r="F3628">
        <f>IF(INDEX(Transactions!$J:$J,ROW()-8)="",0,INDEX(Transactions!$O:$O,ROW()-8))</f>
      </c>
    </row>
    <row r="3629" spans="1:7">
      <c r="B3629">
        <f>IF(INDEX(Transactions!$J:$J,ROW()-8)="",TODAY(),INDEX(Transactions!$G:$G,ROW()-8))</f>
      </c>
      <c r="F3629">
        <f>IF(INDEX(Transactions!$J:$J,ROW()-8)="",0,INDEX(Transactions!$O:$O,ROW()-8))</f>
      </c>
    </row>
    <row r="3630" spans="1:7">
      <c r="B3630">
        <f>IF(INDEX(Transactions!$J:$J,ROW()-8)="",TODAY(),INDEX(Transactions!$G:$G,ROW()-8))</f>
      </c>
      <c r="F3630">
        <f>IF(INDEX(Transactions!$J:$J,ROW()-8)="",0,INDEX(Transactions!$O:$O,ROW()-8))</f>
      </c>
    </row>
    <row r="3631" spans="1:7">
      <c r="B3631">
        <f>IF(INDEX(Transactions!$J:$J,ROW()-8)="",TODAY(),INDEX(Transactions!$G:$G,ROW()-8))</f>
      </c>
      <c r="F3631">
        <f>IF(INDEX(Transactions!$J:$J,ROW()-8)="",0,INDEX(Transactions!$O:$O,ROW()-8))</f>
      </c>
    </row>
    <row r="3632" spans="1:7">
      <c r="B3632">
        <f>IF(INDEX(Transactions!$J:$J,ROW()-8)="",TODAY(),INDEX(Transactions!$G:$G,ROW()-8))</f>
      </c>
      <c r="F3632">
        <f>IF(INDEX(Transactions!$J:$J,ROW()-8)="",0,INDEX(Transactions!$O:$O,ROW()-8))</f>
      </c>
    </row>
    <row r="3633" spans="1:7">
      <c r="B3633">
        <f>IF(INDEX(Transactions!$J:$J,ROW()-8)="",TODAY(),INDEX(Transactions!$G:$G,ROW()-8))</f>
      </c>
      <c r="F3633">
        <f>IF(INDEX(Transactions!$J:$J,ROW()-8)="",0,INDEX(Transactions!$O:$O,ROW()-8))</f>
      </c>
    </row>
    <row r="3634" spans="1:7">
      <c r="B3634">
        <f>IF(INDEX(Transactions!$J:$J,ROW()-8)="",TODAY(),INDEX(Transactions!$G:$G,ROW()-8))</f>
      </c>
      <c r="F3634">
        <f>IF(INDEX(Transactions!$J:$J,ROW()-8)="",0,INDEX(Transactions!$O:$O,ROW()-8))</f>
      </c>
    </row>
    <row r="3635" spans="1:7">
      <c r="B3635">
        <f>IF(INDEX(Transactions!$J:$J,ROW()-8)="",TODAY(),INDEX(Transactions!$G:$G,ROW()-8))</f>
      </c>
      <c r="F3635">
        <f>IF(INDEX(Transactions!$J:$J,ROW()-8)="",0,INDEX(Transactions!$O:$O,ROW()-8))</f>
      </c>
    </row>
    <row r="3636" spans="1:7">
      <c r="B3636">
        <f>IF(INDEX(Transactions!$J:$J,ROW()-8)="",TODAY(),INDEX(Transactions!$G:$G,ROW()-8))</f>
      </c>
      <c r="F3636">
        <f>IF(INDEX(Transactions!$J:$J,ROW()-8)="",0,INDEX(Transactions!$O:$O,ROW()-8))</f>
      </c>
    </row>
    <row r="3637" spans="1:7">
      <c r="B3637">
        <f>IF(INDEX(Transactions!$J:$J,ROW()-8)="",TODAY(),INDEX(Transactions!$G:$G,ROW()-8))</f>
      </c>
      <c r="F3637">
        <f>IF(INDEX(Transactions!$J:$J,ROW()-8)="",0,INDEX(Transactions!$O:$O,ROW()-8))</f>
      </c>
    </row>
    <row r="3638" spans="1:7">
      <c r="B3638">
        <f>IF(INDEX(Transactions!$J:$J,ROW()-8)="",TODAY(),INDEX(Transactions!$G:$G,ROW()-8))</f>
      </c>
      <c r="F3638">
        <f>IF(INDEX(Transactions!$J:$J,ROW()-8)="",0,INDEX(Transactions!$O:$O,ROW()-8))</f>
      </c>
    </row>
    <row r="3639" spans="1:7">
      <c r="B3639">
        <f>IF(INDEX(Transactions!$J:$J,ROW()-8)="",TODAY(),INDEX(Transactions!$G:$G,ROW()-8))</f>
      </c>
      <c r="F3639">
        <f>IF(INDEX(Transactions!$J:$J,ROW()-8)="",0,INDEX(Transactions!$O:$O,ROW()-8))</f>
      </c>
    </row>
    <row r="3640" spans="1:7">
      <c r="B3640">
        <f>IF(INDEX(Transactions!$J:$J,ROW()-8)="",TODAY(),INDEX(Transactions!$G:$G,ROW()-8))</f>
      </c>
      <c r="F3640">
        <f>IF(INDEX(Transactions!$J:$J,ROW()-8)="",0,INDEX(Transactions!$O:$O,ROW()-8))</f>
      </c>
    </row>
    <row r="3641" spans="1:7">
      <c r="B3641">
        <f>IF(INDEX(Transactions!$J:$J,ROW()-8)="",TODAY(),INDEX(Transactions!$G:$G,ROW()-8))</f>
      </c>
      <c r="F3641">
        <f>IF(INDEX(Transactions!$J:$J,ROW()-8)="",0,INDEX(Transactions!$O:$O,ROW()-8))</f>
      </c>
    </row>
    <row r="3642" spans="1:7">
      <c r="B3642">
        <f>IF(INDEX(Transactions!$J:$J,ROW()-8)="",TODAY(),INDEX(Transactions!$G:$G,ROW()-8))</f>
      </c>
      <c r="F3642">
        <f>IF(INDEX(Transactions!$J:$J,ROW()-8)="",0,INDEX(Transactions!$O:$O,ROW()-8))</f>
      </c>
    </row>
    <row r="3643" spans="1:7">
      <c r="B3643">
        <f>IF(INDEX(Transactions!$J:$J,ROW()-8)="",TODAY(),INDEX(Transactions!$G:$G,ROW()-8))</f>
      </c>
      <c r="F3643">
        <f>IF(INDEX(Transactions!$J:$J,ROW()-8)="",0,INDEX(Transactions!$O:$O,ROW()-8))</f>
      </c>
    </row>
    <row r="3644" spans="1:7">
      <c r="B3644">
        <f>IF(INDEX(Transactions!$J:$J,ROW()-8)="",TODAY(),INDEX(Transactions!$G:$G,ROW()-8))</f>
      </c>
      <c r="F3644">
        <f>IF(INDEX(Transactions!$J:$J,ROW()-8)="",0,INDEX(Transactions!$O:$O,ROW()-8))</f>
      </c>
    </row>
    <row r="3645" spans="1:7">
      <c r="B3645">
        <f>IF(INDEX(Transactions!$J:$J,ROW()-8)="",TODAY(),INDEX(Transactions!$G:$G,ROW()-8))</f>
      </c>
      <c r="F3645">
        <f>IF(INDEX(Transactions!$J:$J,ROW()-8)="",0,INDEX(Transactions!$O:$O,ROW()-8))</f>
      </c>
    </row>
    <row r="3646" spans="1:7">
      <c r="B3646">
        <f>IF(INDEX(Transactions!$J:$J,ROW()-8)="",TODAY(),INDEX(Transactions!$G:$G,ROW()-8))</f>
      </c>
      <c r="F3646">
        <f>IF(INDEX(Transactions!$J:$J,ROW()-8)="",0,INDEX(Transactions!$O:$O,ROW()-8))</f>
      </c>
    </row>
    <row r="3647" spans="1:7">
      <c r="B3647">
        <f>IF(INDEX(Transactions!$J:$J,ROW()-8)="",TODAY(),INDEX(Transactions!$G:$G,ROW()-8))</f>
      </c>
      <c r="F3647">
        <f>IF(INDEX(Transactions!$J:$J,ROW()-8)="",0,INDEX(Transactions!$O:$O,ROW()-8))</f>
      </c>
    </row>
    <row r="3648" spans="1:7">
      <c r="B3648">
        <f>IF(INDEX(Transactions!$J:$J,ROW()-8)="",TODAY(),INDEX(Transactions!$G:$G,ROW()-8))</f>
      </c>
      <c r="F3648">
        <f>IF(INDEX(Transactions!$J:$J,ROW()-8)="",0,INDEX(Transactions!$O:$O,ROW()-8))</f>
      </c>
    </row>
    <row r="3649" spans="1:7">
      <c r="B3649">
        <f>IF(INDEX(Transactions!$J:$J,ROW()-8)="",TODAY(),INDEX(Transactions!$G:$G,ROW()-8))</f>
      </c>
      <c r="F3649">
        <f>IF(INDEX(Transactions!$J:$J,ROW()-8)="",0,INDEX(Transactions!$O:$O,ROW()-8))</f>
      </c>
    </row>
    <row r="3650" spans="1:7">
      <c r="B3650">
        <f>IF(INDEX(Transactions!$J:$J,ROW()-8)="",TODAY(),INDEX(Transactions!$G:$G,ROW()-8))</f>
      </c>
      <c r="F3650">
        <f>IF(INDEX(Transactions!$J:$J,ROW()-8)="",0,INDEX(Transactions!$O:$O,ROW()-8))</f>
      </c>
    </row>
    <row r="3651" spans="1:7">
      <c r="B3651">
        <f>IF(INDEX(Transactions!$J:$J,ROW()-8)="",TODAY(),INDEX(Transactions!$G:$G,ROW()-8))</f>
      </c>
      <c r="F3651">
        <f>IF(INDEX(Transactions!$J:$J,ROW()-8)="",0,INDEX(Transactions!$O:$O,ROW()-8))</f>
      </c>
    </row>
    <row r="3652" spans="1:7">
      <c r="B3652">
        <f>IF(INDEX(Transactions!$J:$J,ROW()-8)="",TODAY(),INDEX(Transactions!$G:$G,ROW()-8))</f>
      </c>
      <c r="F3652">
        <f>IF(INDEX(Transactions!$J:$J,ROW()-8)="",0,INDEX(Transactions!$O:$O,ROW()-8))</f>
      </c>
    </row>
    <row r="3653" spans="1:7">
      <c r="B3653">
        <f>IF(INDEX(Transactions!$J:$J,ROW()-8)="",TODAY(),INDEX(Transactions!$G:$G,ROW()-8))</f>
      </c>
      <c r="F3653">
        <f>IF(INDEX(Transactions!$J:$J,ROW()-8)="",0,INDEX(Transactions!$O:$O,ROW()-8))</f>
      </c>
    </row>
    <row r="3654" spans="1:7">
      <c r="B3654">
        <f>IF(INDEX(Transactions!$J:$J,ROW()-8)="",TODAY(),INDEX(Transactions!$G:$G,ROW()-8))</f>
      </c>
      <c r="F3654">
        <f>IF(INDEX(Transactions!$J:$J,ROW()-8)="",0,INDEX(Transactions!$O:$O,ROW()-8))</f>
      </c>
    </row>
    <row r="3655" spans="1:7">
      <c r="B3655">
        <f>IF(INDEX(Transactions!$J:$J,ROW()-8)="",TODAY(),INDEX(Transactions!$G:$G,ROW()-8))</f>
      </c>
      <c r="F3655">
        <f>IF(INDEX(Transactions!$J:$J,ROW()-8)="",0,INDEX(Transactions!$O:$O,ROW()-8))</f>
      </c>
    </row>
    <row r="3656" spans="1:7">
      <c r="B3656">
        <f>IF(INDEX(Transactions!$J:$J,ROW()-8)="",TODAY(),INDEX(Transactions!$G:$G,ROW()-8))</f>
      </c>
      <c r="F3656">
        <f>IF(INDEX(Transactions!$J:$J,ROW()-8)="",0,INDEX(Transactions!$O:$O,ROW()-8))</f>
      </c>
    </row>
    <row r="3657" spans="1:7">
      <c r="B3657">
        <f>IF(INDEX(Transactions!$J:$J,ROW()-8)="",TODAY(),INDEX(Transactions!$G:$G,ROW()-8))</f>
      </c>
      <c r="F3657">
        <f>IF(INDEX(Transactions!$J:$J,ROW()-8)="",0,INDEX(Transactions!$O:$O,ROW()-8))</f>
      </c>
    </row>
    <row r="3658" spans="1:7">
      <c r="B3658">
        <f>IF(INDEX(Transactions!$J:$J,ROW()-8)="",TODAY(),INDEX(Transactions!$G:$G,ROW()-8))</f>
      </c>
      <c r="F3658">
        <f>IF(INDEX(Transactions!$J:$J,ROW()-8)="",0,INDEX(Transactions!$O:$O,ROW()-8))</f>
      </c>
    </row>
    <row r="3659" spans="1:7">
      <c r="B3659">
        <f>IF(INDEX(Transactions!$J:$J,ROW()-8)="",TODAY(),INDEX(Transactions!$G:$G,ROW()-8))</f>
      </c>
      <c r="F3659">
        <f>IF(INDEX(Transactions!$J:$J,ROW()-8)="",0,INDEX(Transactions!$O:$O,ROW()-8))</f>
      </c>
    </row>
    <row r="3660" spans="1:7">
      <c r="B3660">
        <f>IF(INDEX(Transactions!$J:$J,ROW()-8)="",TODAY(),INDEX(Transactions!$G:$G,ROW()-8))</f>
      </c>
      <c r="F3660">
        <f>IF(INDEX(Transactions!$J:$J,ROW()-8)="",0,INDEX(Transactions!$O:$O,ROW()-8))</f>
      </c>
    </row>
    <row r="3661" spans="1:7">
      <c r="B3661">
        <f>IF(INDEX(Transactions!$J:$J,ROW()-8)="",TODAY(),INDEX(Transactions!$G:$G,ROW()-8))</f>
      </c>
      <c r="F3661">
        <f>IF(INDEX(Transactions!$J:$J,ROW()-8)="",0,INDEX(Transactions!$O:$O,ROW()-8))</f>
      </c>
    </row>
    <row r="3662" spans="1:7">
      <c r="B3662">
        <f>IF(INDEX(Transactions!$J:$J,ROW()-8)="",TODAY(),INDEX(Transactions!$G:$G,ROW()-8))</f>
      </c>
      <c r="F3662">
        <f>IF(INDEX(Transactions!$J:$J,ROW()-8)="",0,INDEX(Transactions!$O:$O,ROW()-8))</f>
      </c>
    </row>
    <row r="3663" spans="1:7">
      <c r="B3663">
        <f>IF(INDEX(Transactions!$J:$J,ROW()-8)="",TODAY(),INDEX(Transactions!$G:$G,ROW()-8))</f>
      </c>
      <c r="F3663">
        <f>IF(INDEX(Transactions!$J:$J,ROW()-8)="",0,INDEX(Transactions!$O:$O,ROW()-8))</f>
      </c>
    </row>
    <row r="3664" spans="1:7">
      <c r="B3664">
        <f>IF(INDEX(Transactions!$J:$J,ROW()-8)="",TODAY(),INDEX(Transactions!$G:$G,ROW()-8))</f>
      </c>
      <c r="F3664">
        <f>IF(INDEX(Transactions!$J:$J,ROW()-8)="",0,INDEX(Transactions!$O:$O,ROW()-8))</f>
      </c>
    </row>
    <row r="3665" spans="1:7">
      <c r="B3665">
        <f>IF(INDEX(Transactions!$J:$J,ROW()-8)="",TODAY(),INDEX(Transactions!$G:$G,ROW()-8))</f>
      </c>
      <c r="F3665">
        <f>IF(INDEX(Transactions!$J:$J,ROW()-8)="",0,INDEX(Transactions!$O:$O,ROW()-8))</f>
      </c>
    </row>
    <row r="3666" spans="1:7">
      <c r="B3666">
        <f>IF(INDEX(Transactions!$J:$J,ROW()-8)="",TODAY(),INDEX(Transactions!$G:$G,ROW()-8))</f>
      </c>
      <c r="F3666">
        <f>IF(INDEX(Transactions!$J:$J,ROW()-8)="",0,INDEX(Transactions!$O:$O,ROW()-8))</f>
      </c>
    </row>
    <row r="3667" spans="1:7">
      <c r="B3667">
        <f>IF(INDEX(Transactions!$J:$J,ROW()-8)="",TODAY(),INDEX(Transactions!$G:$G,ROW()-8))</f>
      </c>
      <c r="F3667">
        <f>IF(INDEX(Transactions!$J:$J,ROW()-8)="",0,INDEX(Transactions!$O:$O,ROW()-8))</f>
      </c>
    </row>
    <row r="3668" spans="1:7">
      <c r="B3668">
        <f>IF(INDEX(Transactions!$J:$J,ROW()-8)="",TODAY(),INDEX(Transactions!$G:$G,ROW()-8))</f>
      </c>
      <c r="F3668">
        <f>IF(INDEX(Transactions!$J:$J,ROW()-8)="",0,INDEX(Transactions!$O:$O,ROW()-8))</f>
      </c>
    </row>
    <row r="3669" spans="1:7">
      <c r="B3669">
        <f>IF(INDEX(Transactions!$J:$J,ROW()-8)="",TODAY(),INDEX(Transactions!$G:$G,ROW()-8))</f>
      </c>
      <c r="F3669">
        <f>IF(INDEX(Transactions!$J:$J,ROW()-8)="",0,INDEX(Transactions!$O:$O,ROW()-8))</f>
      </c>
    </row>
    <row r="3670" spans="1:7">
      <c r="B3670">
        <f>IF(INDEX(Transactions!$J:$J,ROW()-8)="",TODAY(),INDEX(Transactions!$G:$G,ROW()-8))</f>
      </c>
      <c r="F3670">
        <f>IF(INDEX(Transactions!$J:$J,ROW()-8)="",0,INDEX(Transactions!$O:$O,ROW()-8))</f>
      </c>
    </row>
    <row r="3671" spans="1:7">
      <c r="B3671">
        <f>IF(INDEX(Transactions!$J:$J,ROW()-8)="",TODAY(),INDEX(Transactions!$G:$G,ROW()-8))</f>
      </c>
      <c r="F3671">
        <f>IF(INDEX(Transactions!$J:$J,ROW()-8)="",0,INDEX(Transactions!$O:$O,ROW()-8))</f>
      </c>
    </row>
    <row r="3672" spans="1:7">
      <c r="B3672">
        <f>IF(INDEX(Transactions!$J:$J,ROW()-8)="",TODAY(),INDEX(Transactions!$G:$G,ROW()-8))</f>
      </c>
      <c r="F3672">
        <f>IF(INDEX(Transactions!$J:$J,ROW()-8)="",0,INDEX(Transactions!$O:$O,ROW()-8))</f>
      </c>
    </row>
    <row r="3673" spans="1:7">
      <c r="B3673">
        <f>IF(INDEX(Transactions!$J:$J,ROW()-8)="",TODAY(),INDEX(Transactions!$G:$G,ROW()-8))</f>
      </c>
      <c r="F3673">
        <f>IF(INDEX(Transactions!$J:$J,ROW()-8)="",0,INDEX(Transactions!$O:$O,ROW()-8))</f>
      </c>
    </row>
    <row r="3674" spans="1:7">
      <c r="B3674">
        <f>IF(INDEX(Transactions!$J:$J,ROW()-8)="",TODAY(),INDEX(Transactions!$G:$G,ROW()-8))</f>
      </c>
      <c r="F3674">
        <f>IF(INDEX(Transactions!$J:$J,ROW()-8)="",0,INDEX(Transactions!$O:$O,ROW()-8))</f>
      </c>
    </row>
    <row r="3675" spans="1:7">
      <c r="B3675">
        <f>IF(INDEX(Transactions!$J:$J,ROW()-8)="",TODAY(),INDEX(Transactions!$G:$G,ROW()-8))</f>
      </c>
      <c r="F3675">
        <f>IF(INDEX(Transactions!$J:$J,ROW()-8)="",0,INDEX(Transactions!$O:$O,ROW()-8))</f>
      </c>
    </row>
    <row r="3676" spans="1:7">
      <c r="B3676">
        <f>IF(INDEX(Transactions!$J:$J,ROW()-8)="",TODAY(),INDEX(Transactions!$G:$G,ROW()-8))</f>
      </c>
      <c r="F3676">
        <f>IF(INDEX(Transactions!$J:$J,ROW()-8)="",0,INDEX(Transactions!$O:$O,ROW()-8))</f>
      </c>
    </row>
    <row r="3677" spans="1:7">
      <c r="B3677">
        <f>IF(INDEX(Transactions!$J:$J,ROW()-8)="",TODAY(),INDEX(Transactions!$G:$G,ROW()-8))</f>
      </c>
      <c r="F3677">
        <f>IF(INDEX(Transactions!$J:$J,ROW()-8)="",0,INDEX(Transactions!$O:$O,ROW()-8))</f>
      </c>
    </row>
    <row r="3678" spans="1:7">
      <c r="B3678">
        <f>IF(INDEX(Transactions!$J:$J,ROW()-8)="",TODAY(),INDEX(Transactions!$G:$G,ROW()-8))</f>
      </c>
      <c r="F3678">
        <f>IF(INDEX(Transactions!$J:$J,ROW()-8)="",0,INDEX(Transactions!$O:$O,ROW()-8))</f>
      </c>
    </row>
    <row r="3679" spans="1:7">
      <c r="B3679">
        <f>IF(INDEX(Transactions!$J:$J,ROW()-8)="",TODAY(),INDEX(Transactions!$G:$G,ROW()-8))</f>
      </c>
      <c r="F3679">
        <f>IF(INDEX(Transactions!$J:$J,ROW()-8)="",0,INDEX(Transactions!$O:$O,ROW()-8))</f>
      </c>
    </row>
    <row r="3680" spans="1:7">
      <c r="B3680">
        <f>IF(INDEX(Transactions!$J:$J,ROW()-8)="",TODAY(),INDEX(Transactions!$G:$G,ROW()-8))</f>
      </c>
      <c r="F3680">
        <f>IF(INDEX(Transactions!$J:$J,ROW()-8)="",0,INDEX(Transactions!$O:$O,ROW()-8))</f>
      </c>
    </row>
    <row r="3681" spans="1:7">
      <c r="B3681">
        <f>IF(INDEX(Transactions!$J:$J,ROW()-8)="",TODAY(),INDEX(Transactions!$G:$G,ROW()-8))</f>
      </c>
      <c r="F3681">
        <f>IF(INDEX(Transactions!$J:$J,ROW()-8)="",0,INDEX(Transactions!$O:$O,ROW()-8))</f>
      </c>
    </row>
    <row r="3682" spans="1:7">
      <c r="B3682">
        <f>IF(INDEX(Transactions!$J:$J,ROW()-8)="",TODAY(),INDEX(Transactions!$G:$G,ROW()-8))</f>
      </c>
      <c r="F3682">
        <f>IF(INDEX(Transactions!$J:$J,ROW()-8)="",0,INDEX(Transactions!$O:$O,ROW()-8))</f>
      </c>
    </row>
    <row r="3683" spans="1:7">
      <c r="B3683">
        <f>IF(INDEX(Transactions!$J:$J,ROW()-8)="",TODAY(),INDEX(Transactions!$G:$G,ROW()-8))</f>
      </c>
      <c r="F3683">
        <f>IF(INDEX(Transactions!$J:$J,ROW()-8)="",0,INDEX(Transactions!$O:$O,ROW()-8))</f>
      </c>
    </row>
    <row r="3684" spans="1:7">
      <c r="B3684">
        <f>IF(INDEX(Transactions!$J:$J,ROW()-8)="",TODAY(),INDEX(Transactions!$G:$G,ROW()-8))</f>
      </c>
      <c r="F3684">
        <f>IF(INDEX(Transactions!$J:$J,ROW()-8)="",0,INDEX(Transactions!$O:$O,ROW()-8))</f>
      </c>
    </row>
    <row r="3685" spans="1:7">
      <c r="B3685">
        <f>IF(INDEX(Transactions!$J:$J,ROW()-8)="",TODAY(),INDEX(Transactions!$G:$G,ROW()-8))</f>
      </c>
      <c r="F3685">
        <f>IF(INDEX(Transactions!$J:$J,ROW()-8)="",0,INDEX(Transactions!$O:$O,ROW()-8))</f>
      </c>
    </row>
    <row r="3686" spans="1:7">
      <c r="B3686">
        <f>IF(INDEX(Transactions!$J:$J,ROW()-8)="",TODAY(),INDEX(Transactions!$G:$G,ROW()-8))</f>
      </c>
      <c r="F3686">
        <f>IF(INDEX(Transactions!$J:$J,ROW()-8)="",0,INDEX(Transactions!$O:$O,ROW()-8))</f>
      </c>
    </row>
    <row r="3687" spans="1:7">
      <c r="B3687">
        <f>IF(INDEX(Transactions!$J:$J,ROW()-8)="",TODAY(),INDEX(Transactions!$G:$G,ROW()-8))</f>
      </c>
      <c r="F3687">
        <f>IF(INDEX(Transactions!$J:$J,ROW()-8)="",0,INDEX(Transactions!$O:$O,ROW()-8))</f>
      </c>
    </row>
    <row r="3688" spans="1:7">
      <c r="B3688">
        <f>IF(INDEX(Transactions!$J:$J,ROW()-8)="",TODAY(),INDEX(Transactions!$G:$G,ROW()-8))</f>
      </c>
      <c r="F3688">
        <f>IF(INDEX(Transactions!$J:$J,ROW()-8)="",0,INDEX(Transactions!$O:$O,ROW()-8))</f>
      </c>
    </row>
    <row r="3689" spans="1:7">
      <c r="B3689">
        <f>IF(INDEX(Transactions!$J:$J,ROW()-8)="",TODAY(),INDEX(Transactions!$G:$G,ROW()-8))</f>
      </c>
      <c r="F3689">
        <f>IF(INDEX(Transactions!$J:$J,ROW()-8)="",0,INDEX(Transactions!$O:$O,ROW()-8))</f>
      </c>
    </row>
    <row r="3690" spans="1:7">
      <c r="B3690">
        <f>IF(INDEX(Transactions!$J:$J,ROW()-8)="",TODAY(),INDEX(Transactions!$G:$G,ROW()-8))</f>
      </c>
      <c r="F3690">
        <f>IF(INDEX(Transactions!$J:$J,ROW()-8)="",0,INDEX(Transactions!$O:$O,ROW()-8))</f>
      </c>
    </row>
    <row r="3691" spans="1:7">
      <c r="B3691">
        <f>IF(INDEX(Transactions!$J:$J,ROW()-8)="",TODAY(),INDEX(Transactions!$G:$G,ROW()-8))</f>
      </c>
      <c r="F3691">
        <f>IF(INDEX(Transactions!$J:$J,ROW()-8)="",0,INDEX(Transactions!$O:$O,ROW()-8))</f>
      </c>
    </row>
    <row r="3692" spans="1:7">
      <c r="B3692">
        <f>IF(INDEX(Transactions!$J:$J,ROW()-8)="",TODAY(),INDEX(Transactions!$G:$G,ROW()-8))</f>
      </c>
      <c r="F3692">
        <f>IF(INDEX(Transactions!$J:$J,ROW()-8)="",0,INDEX(Transactions!$O:$O,ROW()-8))</f>
      </c>
    </row>
    <row r="3693" spans="1:7">
      <c r="B3693">
        <f>IF(INDEX(Transactions!$J:$J,ROW()-8)="",TODAY(),INDEX(Transactions!$G:$G,ROW()-8))</f>
      </c>
      <c r="F3693">
        <f>IF(INDEX(Transactions!$J:$J,ROW()-8)="",0,INDEX(Transactions!$O:$O,ROW()-8))</f>
      </c>
    </row>
    <row r="3694" spans="1:7">
      <c r="B3694">
        <f>IF(INDEX(Transactions!$J:$J,ROW()-8)="",TODAY(),INDEX(Transactions!$G:$G,ROW()-8))</f>
      </c>
      <c r="F3694">
        <f>IF(INDEX(Transactions!$J:$J,ROW()-8)="",0,INDEX(Transactions!$O:$O,ROW()-8))</f>
      </c>
    </row>
    <row r="3695" spans="1:7">
      <c r="B3695">
        <f>IF(INDEX(Transactions!$J:$J,ROW()-8)="",TODAY(),INDEX(Transactions!$G:$G,ROW()-8))</f>
      </c>
      <c r="F3695">
        <f>IF(INDEX(Transactions!$J:$J,ROW()-8)="",0,INDEX(Transactions!$O:$O,ROW()-8))</f>
      </c>
    </row>
    <row r="3696" spans="1:7">
      <c r="B3696">
        <f>IF(INDEX(Transactions!$J:$J,ROW()-8)="",TODAY(),INDEX(Transactions!$G:$G,ROW()-8))</f>
      </c>
      <c r="F3696">
        <f>IF(INDEX(Transactions!$J:$J,ROW()-8)="",0,INDEX(Transactions!$O:$O,ROW()-8))</f>
      </c>
    </row>
    <row r="3697" spans="1:7">
      <c r="B3697">
        <f>IF(INDEX(Transactions!$J:$J,ROW()-8)="",TODAY(),INDEX(Transactions!$G:$G,ROW()-8))</f>
      </c>
      <c r="F3697">
        <f>IF(INDEX(Transactions!$J:$J,ROW()-8)="",0,INDEX(Transactions!$O:$O,ROW()-8))</f>
      </c>
    </row>
    <row r="3698" spans="1:7">
      <c r="B3698">
        <f>IF(INDEX(Transactions!$J:$J,ROW()-8)="",TODAY(),INDEX(Transactions!$G:$G,ROW()-8))</f>
      </c>
      <c r="F3698">
        <f>IF(INDEX(Transactions!$J:$J,ROW()-8)="",0,INDEX(Transactions!$O:$O,ROW()-8))</f>
      </c>
    </row>
    <row r="3699" spans="1:7">
      <c r="B3699">
        <f>IF(INDEX(Transactions!$J:$J,ROW()-8)="",TODAY(),INDEX(Transactions!$G:$G,ROW()-8))</f>
      </c>
      <c r="F3699">
        <f>IF(INDEX(Transactions!$J:$J,ROW()-8)="",0,INDEX(Transactions!$O:$O,ROW()-8))</f>
      </c>
    </row>
    <row r="3700" spans="1:7">
      <c r="B3700">
        <f>IF(INDEX(Transactions!$J:$J,ROW()-8)="",TODAY(),INDEX(Transactions!$G:$G,ROW()-8))</f>
      </c>
      <c r="F3700">
        <f>IF(INDEX(Transactions!$J:$J,ROW()-8)="",0,INDEX(Transactions!$O:$O,ROW()-8))</f>
      </c>
    </row>
    <row r="3701" spans="1:7">
      <c r="B3701">
        <f>IF(INDEX(Transactions!$J:$J,ROW()-8)="",TODAY(),INDEX(Transactions!$G:$G,ROW()-8))</f>
      </c>
      <c r="F3701">
        <f>IF(INDEX(Transactions!$J:$J,ROW()-8)="",0,INDEX(Transactions!$O:$O,ROW()-8))</f>
      </c>
    </row>
    <row r="3702" spans="1:7">
      <c r="B3702">
        <f>IF(INDEX(Transactions!$J:$J,ROW()-8)="",TODAY(),INDEX(Transactions!$G:$G,ROW()-8))</f>
      </c>
      <c r="F3702">
        <f>IF(INDEX(Transactions!$J:$J,ROW()-8)="",0,INDEX(Transactions!$O:$O,ROW()-8))</f>
      </c>
    </row>
    <row r="3703" spans="1:7">
      <c r="B3703">
        <f>IF(INDEX(Transactions!$J:$J,ROW()-8)="",TODAY(),INDEX(Transactions!$G:$G,ROW()-8))</f>
      </c>
      <c r="F3703">
        <f>IF(INDEX(Transactions!$J:$J,ROW()-8)="",0,INDEX(Transactions!$O:$O,ROW()-8))</f>
      </c>
    </row>
    <row r="3704" spans="1:7">
      <c r="B3704">
        <f>IF(INDEX(Transactions!$J:$J,ROW()-8)="",TODAY(),INDEX(Transactions!$G:$G,ROW()-8))</f>
      </c>
      <c r="F3704">
        <f>IF(INDEX(Transactions!$J:$J,ROW()-8)="",0,INDEX(Transactions!$O:$O,ROW()-8))</f>
      </c>
    </row>
    <row r="3705" spans="1:7">
      <c r="B3705">
        <f>IF(INDEX(Transactions!$J:$J,ROW()-8)="",TODAY(),INDEX(Transactions!$G:$G,ROW()-8))</f>
      </c>
      <c r="F3705">
        <f>IF(INDEX(Transactions!$J:$J,ROW()-8)="",0,INDEX(Transactions!$O:$O,ROW()-8))</f>
      </c>
    </row>
    <row r="3706" spans="1:7">
      <c r="B3706">
        <f>IF(INDEX(Transactions!$J:$J,ROW()-8)="",TODAY(),INDEX(Transactions!$G:$G,ROW()-8))</f>
      </c>
      <c r="F3706">
        <f>IF(INDEX(Transactions!$J:$J,ROW()-8)="",0,INDEX(Transactions!$O:$O,ROW()-8))</f>
      </c>
    </row>
    <row r="3707" spans="1:7">
      <c r="B3707">
        <f>IF(INDEX(Transactions!$J:$J,ROW()-8)="",TODAY(),INDEX(Transactions!$G:$G,ROW()-8))</f>
      </c>
      <c r="F3707">
        <f>IF(INDEX(Transactions!$J:$J,ROW()-8)="",0,INDEX(Transactions!$O:$O,ROW()-8))</f>
      </c>
    </row>
    <row r="3708" spans="1:7">
      <c r="B3708">
        <f>IF(INDEX(Transactions!$J:$J,ROW()-8)="",TODAY(),INDEX(Transactions!$G:$G,ROW()-8))</f>
      </c>
      <c r="F3708">
        <f>IF(INDEX(Transactions!$J:$J,ROW()-8)="",0,INDEX(Transactions!$O:$O,ROW()-8))</f>
      </c>
    </row>
    <row r="3709" spans="1:7">
      <c r="B3709">
        <f>IF(INDEX(Transactions!$J:$J,ROW()-8)="",TODAY(),INDEX(Transactions!$G:$G,ROW()-8))</f>
      </c>
      <c r="F3709">
        <f>IF(INDEX(Transactions!$J:$J,ROW()-8)="",0,INDEX(Transactions!$O:$O,ROW()-8))</f>
      </c>
    </row>
    <row r="3710" spans="1:7">
      <c r="B3710">
        <f>IF(INDEX(Transactions!$J:$J,ROW()-8)="",TODAY(),INDEX(Transactions!$G:$G,ROW()-8))</f>
      </c>
      <c r="F3710">
        <f>IF(INDEX(Transactions!$J:$J,ROW()-8)="",0,INDEX(Transactions!$O:$O,ROW()-8))</f>
      </c>
    </row>
    <row r="3711" spans="1:7">
      <c r="B3711">
        <f>IF(INDEX(Transactions!$J:$J,ROW()-8)="",TODAY(),INDEX(Transactions!$G:$G,ROW()-8))</f>
      </c>
      <c r="F3711">
        <f>IF(INDEX(Transactions!$J:$J,ROW()-8)="",0,INDEX(Transactions!$O:$O,ROW()-8))</f>
      </c>
    </row>
    <row r="3712" spans="1:7">
      <c r="B3712">
        <f>IF(INDEX(Transactions!$J:$J,ROW()-8)="",TODAY(),INDEX(Transactions!$G:$G,ROW()-8))</f>
      </c>
      <c r="F3712">
        <f>IF(INDEX(Transactions!$J:$J,ROW()-8)="",0,INDEX(Transactions!$O:$O,ROW()-8))</f>
      </c>
    </row>
    <row r="3713" spans="1:7">
      <c r="B3713">
        <f>IF(INDEX(Transactions!$J:$J,ROW()-8)="",TODAY(),INDEX(Transactions!$G:$G,ROW()-8))</f>
      </c>
      <c r="F3713">
        <f>IF(INDEX(Transactions!$J:$J,ROW()-8)="",0,INDEX(Transactions!$O:$O,ROW()-8))</f>
      </c>
    </row>
    <row r="3714" spans="1:7">
      <c r="B3714">
        <f>IF(INDEX(Transactions!$J:$J,ROW()-8)="",TODAY(),INDEX(Transactions!$G:$G,ROW()-8))</f>
      </c>
      <c r="F3714">
        <f>IF(INDEX(Transactions!$J:$J,ROW()-8)="",0,INDEX(Transactions!$O:$O,ROW()-8))</f>
      </c>
    </row>
    <row r="3715" spans="1:7">
      <c r="B3715">
        <f>IF(INDEX(Transactions!$J:$J,ROW()-8)="",TODAY(),INDEX(Transactions!$G:$G,ROW()-8))</f>
      </c>
      <c r="F3715">
        <f>IF(INDEX(Transactions!$J:$J,ROW()-8)="",0,INDEX(Transactions!$O:$O,ROW()-8))</f>
      </c>
    </row>
    <row r="3716" spans="1:7">
      <c r="B3716">
        <f>IF(INDEX(Transactions!$J:$J,ROW()-8)="",TODAY(),INDEX(Transactions!$G:$G,ROW()-8))</f>
      </c>
      <c r="F3716">
        <f>IF(INDEX(Transactions!$J:$J,ROW()-8)="",0,INDEX(Transactions!$O:$O,ROW()-8))</f>
      </c>
    </row>
    <row r="3717" spans="1:7">
      <c r="B3717">
        <f>IF(INDEX(Transactions!$J:$J,ROW()-8)="",TODAY(),INDEX(Transactions!$G:$G,ROW()-8))</f>
      </c>
      <c r="F3717">
        <f>IF(INDEX(Transactions!$J:$J,ROW()-8)="",0,INDEX(Transactions!$O:$O,ROW()-8))</f>
      </c>
    </row>
    <row r="3718" spans="1:7">
      <c r="B3718">
        <f>IF(INDEX(Transactions!$J:$J,ROW()-8)="",TODAY(),INDEX(Transactions!$G:$G,ROW()-8))</f>
      </c>
      <c r="F3718">
        <f>IF(INDEX(Transactions!$J:$J,ROW()-8)="",0,INDEX(Transactions!$O:$O,ROW()-8))</f>
      </c>
    </row>
    <row r="3719" spans="1:7">
      <c r="B3719">
        <f>IF(INDEX(Transactions!$J:$J,ROW()-8)="",TODAY(),INDEX(Transactions!$G:$G,ROW()-8))</f>
      </c>
      <c r="F3719">
        <f>IF(INDEX(Transactions!$J:$J,ROW()-8)="",0,INDEX(Transactions!$O:$O,ROW()-8))</f>
      </c>
    </row>
    <row r="3720" spans="1:7">
      <c r="B3720">
        <f>IF(INDEX(Transactions!$J:$J,ROW()-8)="",TODAY(),INDEX(Transactions!$G:$G,ROW()-8))</f>
      </c>
      <c r="F3720">
        <f>IF(INDEX(Transactions!$J:$J,ROW()-8)="",0,INDEX(Transactions!$O:$O,ROW()-8))</f>
      </c>
    </row>
    <row r="3721" spans="1:7">
      <c r="B3721">
        <f>IF(INDEX(Transactions!$J:$J,ROW()-8)="",TODAY(),INDEX(Transactions!$G:$G,ROW()-8))</f>
      </c>
      <c r="F3721">
        <f>IF(INDEX(Transactions!$J:$J,ROW()-8)="",0,INDEX(Transactions!$O:$O,ROW()-8))</f>
      </c>
    </row>
    <row r="3722" spans="1:7">
      <c r="B3722">
        <f>IF(INDEX(Transactions!$J:$J,ROW()-8)="",TODAY(),INDEX(Transactions!$G:$G,ROW()-8))</f>
      </c>
      <c r="F3722">
        <f>IF(INDEX(Transactions!$J:$J,ROW()-8)="",0,INDEX(Transactions!$O:$O,ROW()-8))</f>
      </c>
    </row>
    <row r="3723" spans="1:7">
      <c r="B3723">
        <f>IF(INDEX(Transactions!$J:$J,ROW()-8)="",TODAY(),INDEX(Transactions!$G:$G,ROW()-8))</f>
      </c>
      <c r="F3723">
        <f>IF(INDEX(Transactions!$J:$J,ROW()-8)="",0,INDEX(Transactions!$O:$O,ROW()-8))</f>
      </c>
    </row>
    <row r="3724" spans="1:7">
      <c r="B3724">
        <f>IF(INDEX(Transactions!$J:$J,ROW()-8)="",TODAY(),INDEX(Transactions!$G:$G,ROW()-8))</f>
      </c>
      <c r="F3724">
        <f>IF(INDEX(Transactions!$J:$J,ROW()-8)="",0,INDEX(Transactions!$O:$O,ROW()-8))</f>
      </c>
    </row>
    <row r="3725" spans="1:7">
      <c r="B3725">
        <f>IF(INDEX(Transactions!$J:$J,ROW()-8)="",TODAY(),INDEX(Transactions!$G:$G,ROW()-8))</f>
      </c>
      <c r="F3725">
        <f>IF(INDEX(Transactions!$J:$J,ROW()-8)="",0,INDEX(Transactions!$O:$O,ROW()-8))</f>
      </c>
    </row>
    <row r="3726" spans="1:7">
      <c r="B3726">
        <f>IF(INDEX(Transactions!$J:$J,ROW()-8)="",TODAY(),INDEX(Transactions!$G:$G,ROW()-8))</f>
      </c>
      <c r="F3726">
        <f>IF(INDEX(Transactions!$J:$J,ROW()-8)="",0,INDEX(Transactions!$O:$O,ROW()-8))</f>
      </c>
    </row>
    <row r="3727" spans="1:7">
      <c r="B3727">
        <f>IF(INDEX(Transactions!$J:$J,ROW()-8)="",TODAY(),INDEX(Transactions!$G:$G,ROW()-8))</f>
      </c>
      <c r="F3727">
        <f>IF(INDEX(Transactions!$J:$J,ROW()-8)="",0,INDEX(Transactions!$O:$O,ROW()-8))</f>
      </c>
    </row>
    <row r="3728" spans="1:7">
      <c r="B3728">
        <f>IF(INDEX(Transactions!$J:$J,ROW()-8)="",TODAY(),INDEX(Transactions!$G:$G,ROW()-8))</f>
      </c>
      <c r="F3728">
        <f>IF(INDEX(Transactions!$J:$J,ROW()-8)="",0,INDEX(Transactions!$O:$O,ROW()-8))</f>
      </c>
    </row>
    <row r="3729" spans="1:7">
      <c r="B3729">
        <f>IF(INDEX(Transactions!$J:$J,ROW()-8)="",TODAY(),INDEX(Transactions!$G:$G,ROW()-8))</f>
      </c>
      <c r="F3729">
        <f>IF(INDEX(Transactions!$J:$J,ROW()-8)="",0,INDEX(Transactions!$O:$O,ROW()-8))</f>
      </c>
    </row>
    <row r="3730" spans="1:7">
      <c r="B3730">
        <f>IF(INDEX(Transactions!$J:$J,ROW()-8)="",TODAY(),INDEX(Transactions!$G:$G,ROW()-8))</f>
      </c>
      <c r="F3730">
        <f>IF(INDEX(Transactions!$J:$J,ROW()-8)="",0,INDEX(Transactions!$O:$O,ROW()-8))</f>
      </c>
    </row>
    <row r="3731" spans="1:7">
      <c r="B3731">
        <f>IF(INDEX(Transactions!$J:$J,ROW()-8)="",TODAY(),INDEX(Transactions!$G:$G,ROW()-8))</f>
      </c>
      <c r="F3731">
        <f>IF(INDEX(Transactions!$J:$J,ROW()-8)="",0,INDEX(Transactions!$O:$O,ROW()-8))</f>
      </c>
    </row>
    <row r="3732" spans="1:7">
      <c r="B3732">
        <f>IF(INDEX(Transactions!$J:$J,ROW()-8)="",TODAY(),INDEX(Transactions!$G:$G,ROW()-8))</f>
      </c>
      <c r="F3732">
        <f>IF(INDEX(Transactions!$J:$J,ROW()-8)="",0,INDEX(Transactions!$O:$O,ROW()-8))</f>
      </c>
    </row>
    <row r="3733" spans="1:7">
      <c r="B3733">
        <f>IF(INDEX(Transactions!$J:$J,ROW()-8)="",TODAY(),INDEX(Transactions!$G:$G,ROW()-8))</f>
      </c>
      <c r="F3733">
        <f>IF(INDEX(Transactions!$J:$J,ROW()-8)="",0,INDEX(Transactions!$O:$O,ROW()-8))</f>
      </c>
    </row>
    <row r="3734" spans="1:7">
      <c r="B3734">
        <f>IF(INDEX(Transactions!$J:$J,ROW()-8)="",TODAY(),INDEX(Transactions!$G:$G,ROW()-8))</f>
      </c>
      <c r="F3734">
        <f>IF(INDEX(Transactions!$J:$J,ROW()-8)="",0,INDEX(Transactions!$O:$O,ROW()-8))</f>
      </c>
    </row>
    <row r="3735" spans="1:7">
      <c r="B3735">
        <f>IF(INDEX(Transactions!$J:$J,ROW()-8)="",TODAY(),INDEX(Transactions!$G:$G,ROW()-8))</f>
      </c>
      <c r="F3735">
        <f>IF(INDEX(Transactions!$J:$J,ROW()-8)="",0,INDEX(Transactions!$O:$O,ROW()-8))</f>
      </c>
    </row>
    <row r="3736" spans="1:7">
      <c r="B3736">
        <f>IF(INDEX(Transactions!$J:$J,ROW()-8)="",TODAY(),INDEX(Transactions!$G:$G,ROW()-8))</f>
      </c>
      <c r="F3736">
        <f>IF(INDEX(Transactions!$J:$J,ROW()-8)="",0,INDEX(Transactions!$O:$O,ROW()-8))</f>
      </c>
    </row>
    <row r="3737" spans="1:7">
      <c r="B3737">
        <f>IF(INDEX(Transactions!$J:$J,ROW()-8)="",TODAY(),INDEX(Transactions!$G:$G,ROW()-8))</f>
      </c>
      <c r="F3737">
        <f>IF(INDEX(Transactions!$J:$J,ROW()-8)="",0,INDEX(Transactions!$O:$O,ROW()-8))</f>
      </c>
    </row>
    <row r="3738" spans="1:7">
      <c r="B3738">
        <f>IF(INDEX(Transactions!$J:$J,ROW()-8)="",TODAY(),INDEX(Transactions!$G:$G,ROW()-8))</f>
      </c>
      <c r="F3738">
        <f>IF(INDEX(Transactions!$J:$J,ROW()-8)="",0,INDEX(Transactions!$O:$O,ROW()-8))</f>
      </c>
    </row>
    <row r="3739" spans="1:7">
      <c r="B3739">
        <f>IF(INDEX(Transactions!$J:$J,ROW()-8)="",TODAY(),INDEX(Transactions!$G:$G,ROW()-8))</f>
      </c>
      <c r="F3739">
        <f>IF(INDEX(Transactions!$J:$J,ROW()-8)="",0,INDEX(Transactions!$O:$O,ROW()-8))</f>
      </c>
    </row>
    <row r="3740" spans="1:7">
      <c r="B3740">
        <f>IF(INDEX(Transactions!$J:$J,ROW()-8)="",TODAY(),INDEX(Transactions!$G:$G,ROW()-8))</f>
      </c>
      <c r="F3740">
        <f>IF(INDEX(Transactions!$J:$J,ROW()-8)="",0,INDEX(Transactions!$O:$O,ROW()-8))</f>
      </c>
    </row>
    <row r="3741" spans="1:7">
      <c r="B3741">
        <f>IF(INDEX(Transactions!$J:$J,ROW()-8)="",TODAY(),INDEX(Transactions!$G:$G,ROW()-8))</f>
      </c>
      <c r="F3741">
        <f>IF(INDEX(Transactions!$J:$J,ROW()-8)="",0,INDEX(Transactions!$O:$O,ROW()-8))</f>
      </c>
    </row>
    <row r="3742" spans="1:7">
      <c r="B3742">
        <f>IF(INDEX(Transactions!$J:$J,ROW()-8)="",TODAY(),INDEX(Transactions!$G:$G,ROW()-8))</f>
      </c>
      <c r="F3742">
        <f>IF(INDEX(Transactions!$J:$J,ROW()-8)="",0,INDEX(Transactions!$O:$O,ROW()-8))</f>
      </c>
    </row>
    <row r="3743" spans="1:7">
      <c r="B3743">
        <f>IF(INDEX(Transactions!$J:$J,ROW()-8)="",TODAY(),INDEX(Transactions!$G:$G,ROW()-8))</f>
      </c>
      <c r="F3743">
        <f>IF(INDEX(Transactions!$J:$J,ROW()-8)="",0,INDEX(Transactions!$O:$O,ROW()-8))</f>
      </c>
    </row>
    <row r="3744" spans="1:7">
      <c r="B3744">
        <f>IF(INDEX(Transactions!$J:$J,ROW()-8)="",TODAY(),INDEX(Transactions!$G:$G,ROW()-8))</f>
      </c>
      <c r="F3744">
        <f>IF(INDEX(Transactions!$J:$J,ROW()-8)="",0,INDEX(Transactions!$O:$O,ROW()-8))</f>
      </c>
    </row>
    <row r="3745" spans="1:7">
      <c r="B3745">
        <f>IF(INDEX(Transactions!$J:$J,ROW()-8)="",TODAY(),INDEX(Transactions!$G:$G,ROW()-8))</f>
      </c>
      <c r="F3745">
        <f>IF(INDEX(Transactions!$J:$J,ROW()-8)="",0,INDEX(Transactions!$O:$O,ROW()-8))</f>
      </c>
    </row>
    <row r="3746" spans="1:7">
      <c r="B3746">
        <f>IF(INDEX(Transactions!$J:$J,ROW()-8)="",TODAY(),INDEX(Transactions!$G:$G,ROW()-8))</f>
      </c>
      <c r="F3746">
        <f>IF(INDEX(Transactions!$J:$J,ROW()-8)="",0,INDEX(Transactions!$O:$O,ROW()-8))</f>
      </c>
    </row>
    <row r="3747" spans="1:7">
      <c r="B3747">
        <f>IF(INDEX(Transactions!$J:$J,ROW()-8)="",TODAY(),INDEX(Transactions!$G:$G,ROW()-8))</f>
      </c>
      <c r="F3747">
        <f>IF(INDEX(Transactions!$J:$J,ROW()-8)="",0,INDEX(Transactions!$O:$O,ROW()-8))</f>
      </c>
    </row>
    <row r="3748" spans="1:7">
      <c r="B3748">
        <f>IF(INDEX(Transactions!$J:$J,ROW()-8)="",TODAY(),INDEX(Transactions!$G:$G,ROW()-8))</f>
      </c>
      <c r="F3748">
        <f>IF(INDEX(Transactions!$J:$J,ROW()-8)="",0,INDEX(Transactions!$O:$O,ROW()-8))</f>
      </c>
    </row>
    <row r="3749" spans="1:7">
      <c r="B3749">
        <f>IF(INDEX(Transactions!$J:$J,ROW()-8)="",TODAY(),INDEX(Transactions!$G:$G,ROW()-8))</f>
      </c>
      <c r="F3749">
        <f>IF(INDEX(Transactions!$J:$J,ROW()-8)="",0,INDEX(Transactions!$O:$O,ROW()-8))</f>
      </c>
    </row>
    <row r="3750" spans="1:7">
      <c r="B3750">
        <f>IF(INDEX(Transactions!$J:$J,ROW()-8)="",TODAY(),INDEX(Transactions!$G:$G,ROW()-8))</f>
      </c>
      <c r="F3750">
        <f>IF(INDEX(Transactions!$J:$J,ROW()-8)="",0,INDEX(Transactions!$O:$O,ROW()-8))</f>
      </c>
    </row>
    <row r="3751" spans="1:7">
      <c r="B3751">
        <f>IF(INDEX(Transactions!$J:$J,ROW()-8)="",TODAY(),INDEX(Transactions!$G:$G,ROW()-8))</f>
      </c>
      <c r="F3751">
        <f>IF(INDEX(Transactions!$J:$J,ROW()-8)="",0,INDEX(Transactions!$O:$O,ROW()-8))</f>
      </c>
    </row>
    <row r="3752" spans="1:7">
      <c r="B3752">
        <f>IF(INDEX(Transactions!$J:$J,ROW()-8)="",TODAY(),INDEX(Transactions!$G:$G,ROW()-8))</f>
      </c>
      <c r="F3752">
        <f>IF(INDEX(Transactions!$J:$J,ROW()-8)="",0,INDEX(Transactions!$O:$O,ROW()-8))</f>
      </c>
    </row>
    <row r="3753" spans="1:7">
      <c r="B3753">
        <f>IF(INDEX(Transactions!$J:$J,ROW()-8)="",TODAY(),INDEX(Transactions!$G:$G,ROW()-8))</f>
      </c>
      <c r="F3753">
        <f>IF(INDEX(Transactions!$J:$J,ROW()-8)="",0,INDEX(Transactions!$O:$O,ROW()-8))</f>
      </c>
    </row>
    <row r="3754" spans="1:7">
      <c r="B3754">
        <f>IF(INDEX(Transactions!$J:$J,ROW()-8)="",TODAY(),INDEX(Transactions!$G:$G,ROW()-8))</f>
      </c>
      <c r="F3754">
        <f>IF(INDEX(Transactions!$J:$J,ROW()-8)="",0,INDEX(Transactions!$O:$O,ROW()-8))</f>
      </c>
    </row>
    <row r="3755" spans="1:7">
      <c r="B3755">
        <f>IF(INDEX(Transactions!$J:$J,ROW()-8)="",TODAY(),INDEX(Transactions!$G:$G,ROW()-8))</f>
      </c>
      <c r="F3755">
        <f>IF(INDEX(Transactions!$J:$J,ROW()-8)="",0,INDEX(Transactions!$O:$O,ROW()-8))</f>
      </c>
    </row>
    <row r="3756" spans="1:7">
      <c r="B3756">
        <f>IF(INDEX(Transactions!$J:$J,ROW()-8)="",TODAY(),INDEX(Transactions!$G:$G,ROW()-8))</f>
      </c>
      <c r="F3756">
        <f>IF(INDEX(Transactions!$J:$J,ROW()-8)="",0,INDEX(Transactions!$O:$O,ROW()-8))</f>
      </c>
    </row>
    <row r="3757" spans="1:7">
      <c r="B3757">
        <f>IF(INDEX(Transactions!$J:$J,ROW()-8)="",TODAY(),INDEX(Transactions!$G:$G,ROW()-8))</f>
      </c>
      <c r="F3757">
        <f>IF(INDEX(Transactions!$J:$J,ROW()-8)="",0,INDEX(Transactions!$O:$O,ROW()-8))</f>
      </c>
    </row>
    <row r="3758" spans="1:7">
      <c r="B3758">
        <f>IF(INDEX(Transactions!$J:$J,ROW()-8)="",TODAY(),INDEX(Transactions!$G:$G,ROW()-8))</f>
      </c>
      <c r="F3758">
        <f>IF(INDEX(Transactions!$J:$J,ROW()-8)="",0,INDEX(Transactions!$O:$O,ROW()-8))</f>
      </c>
    </row>
    <row r="3759" spans="1:7">
      <c r="B3759">
        <f>IF(INDEX(Transactions!$J:$J,ROW()-8)="",TODAY(),INDEX(Transactions!$G:$G,ROW()-8))</f>
      </c>
      <c r="F3759">
        <f>IF(INDEX(Transactions!$J:$J,ROW()-8)="",0,INDEX(Transactions!$O:$O,ROW()-8))</f>
      </c>
    </row>
    <row r="3760" spans="1:7">
      <c r="B3760">
        <f>IF(INDEX(Transactions!$J:$J,ROW()-8)="",TODAY(),INDEX(Transactions!$G:$G,ROW()-8))</f>
      </c>
      <c r="F3760">
        <f>IF(INDEX(Transactions!$J:$J,ROW()-8)="",0,INDEX(Transactions!$O:$O,ROW()-8))</f>
      </c>
    </row>
    <row r="3761" spans="1:7">
      <c r="B3761">
        <f>IF(INDEX(Transactions!$J:$J,ROW()-8)="",TODAY(),INDEX(Transactions!$G:$G,ROW()-8))</f>
      </c>
      <c r="F3761">
        <f>IF(INDEX(Transactions!$J:$J,ROW()-8)="",0,INDEX(Transactions!$O:$O,ROW()-8))</f>
      </c>
    </row>
    <row r="3762" spans="1:7">
      <c r="B3762">
        <f>IF(INDEX(Transactions!$J:$J,ROW()-8)="",TODAY(),INDEX(Transactions!$G:$G,ROW()-8))</f>
      </c>
      <c r="F3762">
        <f>IF(INDEX(Transactions!$J:$J,ROW()-8)="",0,INDEX(Transactions!$O:$O,ROW()-8))</f>
      </c>
    </row>
    <row r="3763" spans="1:7">
      <c r="B3763">
        <f>IF(INDEX(Transactions!$J:$J,ROW()-8)="",TODAY(),INDEX(Transactions!$G:$G,ROW()-8))</f>
      </c>
      <c r="F3763">
        <f>IF(INDEX(Transactions!$J:$J,ROW()-8)="",0,INDEX(Transactions!$O:$O,ROW()-8))</f>
      </c>
    </row>
    <row r="3764" spans="1:7">
      <c r="B3764">
        <f>IF(INDEX(Transactions!$J:$J,ROW()-8)="",TODAY(),INDEX(Transactions!$G:$G,ROW()-8))</f>
      </c>
      <c r="F3764">
        <f>IF(INDEX(Transactions!$J:$J,ROW()-8)="",0,INDEX(Transactions!$O:$O,ROW()-8))</f>
      </c>
    </row>
    <row r="3765" spans="1:7">
      <c r="B3765">
        <f>IF(INDEX(Transactions!$J:$J,ROW()-8)="",TODAY(),INDEX(Transactions!$G:$G,ROW()-8))</f>
      </c>
      <c r="F3765">
        <f>IF(INDEX(Transactions!$J:$J,ROW()-8)="",0,INDEX(Transactions!$O:$O,ROW()-8))</f>
      </c>
    </row>
    <row r="3766" spans="1:7">
      <c r="B3766">
        <f>IF(INDEX(Transactions!$J:$J,ROW()-8)="",TODAY(),INDEX(Transactions!$G:$G,ROW()-8))</f>
      </c>
      <c r="F3766">
        <f>IF(INDEX(Transactions!$J:$J,ROW()-8)="",0,INDEX(Transactions!$O:$O,ROW()-8))</f>
      </c>
    </row>
    <row r="3767" spans="1:7">
      <c r="B3767">
        <f>IF(INDEX(Transactions!$J:$J,ROW()-8)="",TODAY(),INDEX(Transactions!$G:$G,ROW()-8))</f>
      </c>
      <c r="F3767">
        <f>IF(INDEX(Transactions!$J:$J,ROW()-8)="",0,INDEX(Transactions!$O:$O,ROW()-8))</f>
      </c>
    </row>
    <row r="3768" spans="1:7">
      <c r="B3768">
        <f>IF(INDEX(Transactions!$J:$J,ROW()-8)="",TODAY(),INDEX(Transactions!$G:$G,ROW()-8))</f>
      </c>
      <c r="F3768">
        <f>IF(INDEX(Transactions!$J:$J,ROW()-8)="",0,INDEX(Transactions!$O:$O,ROW()-8))</f>
      </c>
    </row>
    <row r="3769" spans="1:7">
      <c r="B3769">
        <f>IF(INDEX(Transactions!$J:$J,ROW()-8)="",TODAY(),INDEX(Transactions!$G:$G,ROW()-8))</f>
      </c>
      <c r="F3769">
        <f>IF(INDEX(Transactions!$J:$J,ROW()-8)="",0,INDEX(Transactions!$O:$O,ROW()-8))</f>
      </c>
    </row>
    <row r="3770" spans="1:7">
      <c r="B3770">
        <f>IF(INDEX(Transactions!$J:$J,ROW()-8)="",TODAY(),INDEX(Transactions!$G:$G,ROW()-8))</f>
      </c>
      <c r="F3770">
        <f>IF(INDEX(Transactions!$J:$J,ROW()-8)="",0,INDEX(Transactions!$O:$O,ROW()-8))</f>
      </c>
    </row>
    <row r="3771" spans="1:7">
      <c r="B3771">
        <f>IF(INDEX(Transactions!$J:$J,ROW()-8)="",TODAY(),INDEX(Transactions!$G:$G,ROW()-8))</f>
      </c>
      <c r="F3771">
        <f>IF(INDEX(Transactions!$J:$J,ROW()-8)="",0,INDEX(Transactions!$O:$O,ROW()-8))</f>
      </c>
    </row>
    <row r="3772" spans="1:7">
      <c r="B3772">
        <f>IF(INDEX(Transactions!$J:$J,ROW()-8)="",TODAY(),INDEX(Transactions!$G:$G,ROW()-8))</f>
      </c>
      <c r="F3772">
        <f>IF(INDEX(Transactions!$J:$J,ROW()-8)="",0,INDEX(Transactions!$O:$O,ROW()-8))</f>
      </c>
    </row>
    <row r="3773" spans="1:7">
      <c r="B3773">
        <f>IF(INDEX(Transactions!$J:$J,ROW()-8)="",TODAY(),INDEX(Transactions!$G:$G,ROW()-8))</f>
      </c>
      <c r="F3773">
        <f>IF(INDEX(Transactions!$J:$J,ROW()-8)="",0,INDEX(Transactions!$O:$O,ROW()-8))</f>
      </c>
    </row>
    <row r="3774" spans="1:7">
      <c r="B3774">
        <f>IF(INDEX(Transactions!$J:$J,ROW()-8)="",TODAY(),INDEX(Transactions!$G:$G,ROW()-8))</f>
      </c>
      <c r="F3774">
        <f>IF(INDEX(Transactions!$J:$J,ROW()-8)="",0,INDEX(Transactions!$O:$O,ROW()-8))</f>
      </c>
    </row>
    <row r="3775" spans="1:7">
      <c r="B3775">
        <f>IF(INDEX(Transactions!$J:$J,ROW()-8)="",TODAY(),INDEX(Transactions!$G:$G,ROW()-8))</f>
      </c>
      <c r="F3775">
        <f>IF(INDEX(Transactions!$J:$J,ROW()-8)="",0,INDEX(Transactions!$O:$O,ROW()-8))</f>
      </c>
    </row>
    <row r="3776" spans="1:7">
      <c r="B3776">
        <f>IF(INDEX(Transactions!$J:$J,ROW()-8)="",TODAY(),INDEX(Transactions!$G:$G,ROW()-8))</f>
      </c>
      <c r="F3776">
        <f>IF(INDEX(Transactions!$J:$J,ROW()-8)="",0,INDEX(Transactions!$O:$O,ROW()-8))</f>
      </c>
    </row>
    <row r="3777" spans="1:7">
      <c r="B3777">
        <f>IF(INDEX(Transactions!$J:$J,ROW()-8)="",TODAY(),INDEX(Transactions!$G:$G,ROW()-8))</f>
      </c>
      <c r="F3777">
        <f>IF(INDEX(Transactions!$J:$J,ROW()-8)="",0,INDEX(Transactions!$O:$O,ROW()-8))</f>
      </c>
    </row>
    <row r="3778" spans="1:7">
      <c r="B3778">
        <f>IF(INDEX(Transactions!$J:$J,ROW()-8)="",TODAY(),INDEX(Transactions!$G:$G,ROW()-8))</f>
      </c>
      <c r="F3778">
        <f>IF(INDEX(Transactions!$J:$J,ROW()-8)="",0,INDEX(Transactions!$O:$O,ROW()-8))</f>
      </c>
    </row>
    <row r="3779" spans="1:7">
      <c r="B3779">
        <f>IF(INDEX(Transactions!$J:$J,ROW()-8)="",TODAY(),INDEX(Transactions!$G:$G,ROW()-8))</f>
      </c>
      <c r="F3779">
        <f>IF(INDEX(Transactions!$J:$J,ROW()-8)="",0,INDEX(Transactions!$O:$O,ROW()-8))</f>
      </c>
    </row>
    <row r="3780" spans="1:7">
      <c r="B3780">
        <f>IF(INDEX(Transactions!$J:$J,ROW()-8)="",TODAY(),INDEX(Transactions!$G:$G,ROW()-8))</f>
      </c>
      <c r="F3780">
        <f>IF(INDEX(Transactions!$J:$J,ROW()-8)="",0,INDEX(Transactions!$O:$O,ROW()-8))</f>
      </c>
    </row>
    <row r="3781" spans="1:7">
      <c r="B3781">
        <f>IF(INDEX(Transactions!$J:$J,ROW()-8)="",TODAY(),INDEX(Transactions!$G:$G,ROW()-8))</f>
      </c>
      <c r="F3781">
        <f>IF(INDEX(Transactions!$J:$J,ROW()-8)="",0,INDEX(Transactions!$O:$O,ROW()-8))</f>
      </c>
    </row>
    <row r="3782" spans="1:7">
      <c r="B3782">
        <f>IF(INDEX(Transactions!$J:$J,ROW()-8)="",TODAY(),INDEX(Transactions!$G:$G,ROW()-8))</f>
      </c>
      <c r="F3782">
        <f>IF(INDEX(Transactions!$J:$J,ROW()-8)="",0,INDEX(Transactions!$O:$O,ROW()-8))</f>
      </c>
    </row>
    <row r="3783" spans="1:7">
      <c r="B3783">
        <f>IF(INDEX(Transactions!$J:$J,ROW()-8)="",TODAY(),INDEX(Transactions!$G:$G,ROW()-8))</f>
      </c>
      <c r="F3783">
        <f>IF(INDEX(Transactions!$J:$J,ROW()-8)="",0,INDEX(Transactions!$O:$O,ROW()-8))</f>
      </c>
    </row>
    <row r="3784" spans="1:7">
      <c r="B3784">
        <f>IF(INDEX(Transactions!$J:$J,ROW()-8)="",TODAY(),INDEX(Transactions!$G:$G,ROW()-8))</f>
      </c>
      <c r="F3784">
        <f>IF(INDEX(Transactions!$J:$J,ROW()-8)="",0,INDEX(Transactions!$O:$O,ROW()-8))</f>
      </c>
    </row>
    <row r="3785" spans="1:7">
      <c r="B3785">
        <f>IF(INDEX(Transactions!$J:$J,ROW()-8)="",TODAY(),INDEX(Transactions!$G:$G,ROW()-8))</f>
      </c>
      <c r="F3785">
        <f>IF(INDEX(Transactions!$J:$J,ROW()-8)="",0,INDEX(Transactions!$O:$O,ROW()-8))</f>
      </c>
    </row>
    <row r="3786" spans="1:7">
      <c r="B3786">
        <f>IF(INDEX(Transactions!$J:$J,ROW()-8)="",TODAY(),INDEX(Transactions!$G:$G,ROW()-8))</f>
      </c>
      <c r="F3786">
        <f>IF(INDEX(Transactions!$J:$J,ROW()-8)="",0,INDEX(Transactions!$O:$O,ROW()-8))</f>
      </c>
    </row>
    <row r="3787" spans="1:7">
      <c r="B3787">
        <f>IF(INDEX(Transactions!$J:$J,ROW()-8)="",TODAY(),INDEX(Transactions!$G:$G,ROW()-8))</f>
      </c>
      <c r="F3787">
        <f>IF(INDEX(Transactions!$J:$J,ROW()-8)="",0,INDEX(Transactions!$O:$O,ROW()-8))</f>
      </c>
    </row>
    <row r="3788" spans="1:7">
      <c r="B3788">
        <f>IF(INDEX(Transactions!$J:$J,ROW()-8)="",TODAY(),INDEX(Transactions!$G:$G,ROW()-8))</f>
      </c>
      <c r="F3788">
        <f>IF(INDEX(Transactions!$J:$J,ROW()-8)="",0,INDEX(Transactions!$O:$O,ROW()-8))</f>
      </c>
    </row>
    <row r="3789" spans="1:7">
      <c r="B3789">
        <f>IF(INDEX(Transactions!$J:$J,ROW()-8)="",TODAY(),INDEX(Transactions!$G:$G,ROW()-8))</f>
      </c>
      <c r="F3789">
        <f>IF(INDEX(Transactions!$J:$J,ROW()-8)="",0,INDEX(Transactions!$O:$O,ROW()-8))</f>
      </c>
    </row>
    <row r="3790" spans="1:7">
      <c r="B3790">
        <f>IF(INDEX(Transactions!$J:$J,ROW()-8)="",TODAY(),INDEX(Transactions!$G:$G,ROW()-8))</f>
      </c>
      <c r="F3790">
        <f>IF(INDEX(Transactions!$J:$J,ROW()-8)="",0,INDEX(Transactions!$O:$O,ROW()-8))</f>
      </c>
    </row>
    <row r="3791" spans="1:7">
      <c r="B3791">
        <f>IF(INDEX(Transactions!$J:$J,ROW()-8)="",TODAY(),INDEX(Transactions!$G:$G,ROW()-8))</f>
      </c>
      <c r="F3791">
        <f>IF(INDEX(Transactions!$J:$J,ROW()-8)="",0,INDEX(Transactions!$O:$O,ROW()-8))</f>
      </c>
    </row>
    <row r="3792" spans="1:7">
      <c r="B3792">
        <f>IF(INDEX(Transactions!$J:$J,ROW()-8)="",TODAY(),INDEX(Transactions!$G:$G,ROW()-8))</f>
      </c>
      <c r="F3792">
        <f>IF(INDEX(Transactions!$J:$J,ROW()-8)="",0,INDEX(Transactions!$O:$O,ROW()-8))</f>
      </c>
    </row>
    <row r="3793" spans="1:7">
      <c r="B3793">
        <f>IF(INDEX(Transactions!$J:$J,ROW()-8)="",TODAY(),INDEX(Transactions!$G:$G,ROW()-8))</f>
      </c>
      <c r="F3793">
        <f>IF(INDEX(Transactions!$J:$J,ROW()-8)="",0,INDEX(Transactions!$O:$O,ROW()-8))</f>
      </c>
    </row>
    <row r="3794" spans="1:7">
      <c r="B3794">
        <f>IF(INDEX(Transactions!$J:$J,ROW()-8)="",TODAY(),INDEX(Transactions!$G:$G,ROW()-8))</f>
      </c>
      <c r="F3794">
        <f>IF(INDEX(Transactions!$J:$J,ROW()-8)="",0,INDEX(Transactions!$O:$O,ROW()-8))</f>
      </c>
    </row>
    <row r="3795" spans="1:7">
      <c r="B3795">
        <f>IF(INDEX(Transactions!$J:$J,ROW()-8)="",TODAY(),INDEX(Transactions!$G:$G,ROW()-8))</f>
      </c>
      <c r="F3795">
        <f>IF(INDEX(Transactions!$J:$J,ROW()-8)="",0,INDEX(Transactions!$O:$O,ROW()-8))</f>
      </c>
    </row>
    <row r="3796" spans="1:7">
      <c r="B3796">
        <f>IF(INDEX(Transactions!$J:$J,ROW()-8)="",TODAY(),INDEX(Transactions!$G:$G,ROW()-8))</f>
      </c>
      <c r="F3796">
        <f>IF(INDEX(Transactions!$J:$J,ROW()-8)="",0,INDEX(Transactions!$O:$O,ROW()-8))</f>
      </c>
    </row>
    <row r="3797" spans="1:7">
      <c r="B3797">
        <f>IF(INDEX(Transactions!$J:$J,ROW()-8)="",TODAY(),INDEX(Transactions!$G:$G,ROW()-8))</f>
      </c>
      <c r="F3797">
        <f>IF(INDEX(Transactions!$J:$J,ROW()-8)="",0,INDEX(Transactions!$O:$O,ROW()-8))</f>
      </c>
    </row>
    <row r="3798" spans="1:7">
      <c r="B3798">
        <f>IF(INDEX(Transactions!$J:$J,ROW()-8)="",TODAY(),INDEX(Transactions!$G:$G,ROW()-8))</f>
      </c>
      <c r="F3798">
        <f>IF(INDEX(Transactions!$J:$J,ROW()-8)="",0,INDEX(Transactions!$O:$O,ROW()-8))</f>
      </c>
    </row>
    <row r="3799" spans="1:7">
      <c r="B3799">
        <f>IF(INDEX(Transactions!$J:$J,ROW()-8)="",TODAY(),INDEX(Transactions!$G:$G,ROW()-8))</f>
      </c>
      <c r="F3799">
        <f>IF(INDEX(Transactions!$J:$J,ROW()-8)="",0,INDEX(Transactions!$O:$O,ROW()-8))</f>
      </c>
    </row>
    <row r="3800" spans="1:7">
      <c r="B3800">
        <f>IF(INDEX(Transactions!$J:$J,ROW()-8)="",TODAY(),INDEX(Transactions!$G:$G,ROW()-8))</f>
      </c>
      <c r="F3800">
        <f>IF(INDEX(Transactions!$J:$J,ROW()-8)="",0,INDEX(Transactions!$O:$O,ROW()-8))</f>
      </c>
    </row>
    <row r="3801" spans="1:7">
      <c r="B3801">
        <f>IF(INDEX(Transactions!$J:$J,ROW()-8)="",TODAY(),INDEX(Transactions!$G:$G,ROW()-8))</f>
      </c>
      <c r="F3801">
        <f>IF(INDEX(Transactions!$J:$J,ROW()-8)="",0,INDEX(Transactions!$O:$O,ROW()-8))</f>
      </c>
    </row>
    <row r="3802" spans="1:7">
      <c r="B3802">
        <f>IF(INDEX(Transactions!$J:$J,ROW()-8)="",TODAY(),INDEX(Transactions!$G:$G,ROW()-8))</f>
      </c>
      <c r="F3802">
        <f>IF(INDEX(Transactions!$J:$J,ROW()-8)="",0,INDEX(Transactions!$O:$O,ROW()-8))</f>
      </c>
    </row>
    <row r="3803" spans="1:7">
      <c r="B3803">
        <f>IF(INDEX(Transactions!$J:$J,ROW()-8)="",TODAY(),INDEX(Transactions!$G:$G,ROW()-8))</f>
      </c>
      <c r="F3803">
        <f>IF(INDEX(Transactions!$J:$J,ROW()-8)="",0,INDEX(Transactions!$O:$O,ROW()-8))</f>
      </c>
    </row>
    <row r="3804" spans="1:7">
      <c r="B3804">
        <f>IF(INDEX(Transactions!$J:$J,ROW()-8)="",TODAY(),INDEX(Transactions!$G:$G,ROW()-8))</f>
      </c>
      <c r="F3804">
        <f>IF(INDEX(Transactions!$J:$J,ROW()-8)="",0,INDEX(Transactions!$O:$O,ROW()-8))</f>
      </c>
    </row>
    <row r="3805" spans="1:7">
      <c r="B3805">
        <f>IF(INDEX(Transactions!$J:$J,ROW()-8)="",TODAY(),INDEX(Transactions!$G:$G,ROW()-8))</f>
      </c>
      <c r="F3805">
        <f>IF(INDEX(Transactions!$J:$J,ROW()-8)="",0,INDEX(Transactions!$O:$O,ROW()-8))</f>
      </c>
    </row>
    <row r="3806" spans="1:7">
      <c r="B3806">
        <f>IF(INDEX(Transactions!$J:$J,ROW()-8)="",TODAY(),INDEX(Transactions!$G:$G,ROW()-8))</f>
      </c>
      <c r="F3806">
        <f>IF(INDEX(Transactions!$J:$J,ROW()-8)="",0,INDEX(Transactions!$O:$O,ROW()-8))</f>
      </c>
    </row>
    <row r="3807" spans="1:7">
      <c r="B3807">
        <f>IF(INDEX(Transactions!$J:$J,ROW()-8)="",TODAY(),INDEX(Transactions!$G:$G,ROW()-8))</f>
      </c>
      <c r="F3807">
        <f>IF(INDEX(Transactions!$J:$J,ROW()-8)="",0,INDEX(Transactions!$O:$O,ROW()-8))</f>
      </c>
    </row>
    <row r="3808" spans="1:7">
      <c r="B3808">
        <f>IF(INDEX(Transactions!$J:$J,ROW()-8)="",TODAY(),INDEX(Transactions!$G:$G,ROW()-8))</f>
      </c>
      <c r="F3808">
        <f>IF(INDEX(Transactions!$J:$J,ROW()-8)="",0,INDEX(Transactions!$O:$O,ROW()-8))</f>
      </c>
    </row>
    <row r="3809" spans="1:7">
      <c r="B3809">
        <f>IF(INDEX(Transactions!$J:$J,ROW()-8)="",TODAY(),INDEX(Transactions!$G:$G,ROW()-8))</f>
      </c>
      <c r="F3809">
        <f>IF(INDEX(Transactions!$J:$J,ROW()-8)="",0,INDEX(Transactions!$O:$O,ROW()-8))</f>
      </c>
    </row>
    <row r="3810" spans="1:7">
      <c r="B3810">
        <f>IF(INDEX(Transactions!$J:$J,ROW()-8)="",TODAY(),INDEX(Transactions!$G:$G,ROW()-8))</f>
      </c>
      <c r="F3810">
        <f>IF(INDEX(Transactions!$J:$J,ROW()-8)="",0,INDEX(Transactions!$O:$O,ROW()-8))</f>
      </c>
    </row>
    <row r="3811" spans="1:7">
      <c r="B3811">
        <f>IF(INDEX(Transactions!$J:$J,ROW()-8)="",TODAY(),INDEX(Transactions!$G:$G,ROW()-8))</f>
      </c>
      <c r="F3811">
        <f>IF(INDEX(Transactions!$J:$J,ROW()-8)="",0,INDEX(Transactions!$O:$O,ROW()-8))</f>
      </c>
    </row>
    <row r="3812" spans="1:7">
      <c r="B3812">
        <f>IF(INDEX(Transactions!$J:$J,ROW()-8)="",TODAY(),INDEX(Transactions!$G:$G,ROW()-8))</f>
      </c>
      <c r="F3812">
        <f>IF(INDEX(Transactions!$J:$J,ROW()-8)="",0,INDEX(Transactions!$O:$O,ROW()-8))</f>
      </c>
    </row>
    <row r="3813" spans="1:7">
      <c r="B3813">
        <f>IF(INDEX(Transactions!$J:$J,ROW()-8)="",TODAY(),INDEX(Transactions!$G:$G,ROW()-8))</f>
      </c>
      <c r="F3813">
        <f>IF(INDEX(Transactions!$J:$J,ROW()-8)="",0,INDEX(Transactions!$O:$O,ROW()-8))</f>
      </c>
    </row>
    <row r="3814" spans="1:7">
      <c r="B3814">
        <f>IF(INDEX(Transactions!$J:$J,ROW()-8)="",TODAY(),INDEX(Transactions!$G:$G,ROW()-8))</f>
      </c>
      <c r="F3814">
        <f>IF(INDEX(Transactions!$J:$J,ROW()-8)="",0,INDEX(Transactions!$O:$O,ROW()-8))</f>
      </c>
    </row>
    <row r="3815" spans="1:7">
      <c r="B3815">
        <f>IF(INDEX(Transactions!$J:$J,ROW()-8)="",TODAY(),INDEX(Transactions!$G:$G,ROW()-8))</f>
      </c>
      <c r="F3815">
        <f>IF(INDEX(Transactions!$J:$J,ROW()-8)="",0,INDEX(Transactions!$O:$O,ROW()-8))</f>
      </c>
    </row>
    <row r="3816" spans="1:7">
      <c r="B3816">
        <f>IF(INDEX(Transactions!$J:$J,ROW()-8)="",TODAY(),INDEX(Transactions!$G:$G,ROW()-8))</f>
      </c>
      <c r="F3816">
        <f>IF(INDEX(Transactions!$J:$J,ROW()-8)="",0,INDEX(Transactions!$O:$O,ROW()-8))</f>
      </c>
    </row>
    <row r="3817" spans="1:7">
      <c r="B3817">
        <f>IF(INDEX(Transactions!$J:$J,ROW()-8)="",TODAY(),INDEX(Transactions!$G:$G,ROW()-8))</f>
      </c>
      <c r="F3817">
        <f>IF(INDEX(Transactions!$J:$J,ROW()-8)="",0,INDEX(Transactions!$O:$O,ROW()-8))</f>
      </c>
    </row>
    <row r="3818" spans="1:7">
      <c r="B3818">
        <f>IF(INDEX(Transactions!$J:$J,ROW()-8)="",TODAY(),INDEX(Transactions!$G:$G,ROW()-8))</f>
      </c>
      <c r="F3818">
        <f>IF(INDEX(Transactions!$J:$J,ROW()-8)="",0,INDEX(Transactions!$O:$O,ROW()-8))</f>
      </c>
    </row>
    <row r="3819" spans="1:7">
      <c r="B3819">
        <f>IF(INDEX(Transactions!$J:$J,ROW()-8)="",TODAY(),INDEX(Transactions!$G:$G,ROW()-8))</f>
      </c>
      <c r="F3819">
        <f>IF(INDEX(Transactions!$J:$J,ROW()-8)="",0,INDEX(Transactions!$O:$O,ROW()-8))</f>
      </c>
    </row>
    <row r="3820" spans="1:7">
      <c r="B3820">
        <f>IF(INDEX(Transactions!$J:$J,ROW()-8)="",TODAY(),INDEX(Transactions!$G:$G,ROW()-8))</f>
      </c>
      <c r="F3820">
        <f>IF(INDEX(Transactions!$J:$J,ROW()-8)="",0,INDEX(Transactions!$O:$O,ROW()-8))</f>
      </c>
    </row>
    <row r="3821" spans="1:7">
      <c r="B3821">
        <f>IF(INDEX(Transactions!$J:$J,ROW()-8)="",TODAY(),INDEX(Transactions!$G:$G,ROW()-8))</f>
      </c>
      <c r="F3821">
        <f>IF(INDEX(Transactions!$J:$J,ROW()-8)="",0,INDEX(Transactions!$O:$O,ROW()-8))</f>
      </c>
    </row>
    <row r="3822" spans="1:7">
      <c r="B3822">
        <f>IF(INDEX(Transactions!$J:$J,ROW()-8)="",TODAY(),INDEX(Transactions!$G:$G,ROW()-8))</f>
      </c>
      <c r="F3822">
        <f>IF(INDEX(Transactions!$J:$J,ROW()-8)="",0,INDEX(Transactions!$O:$O,ROW()-8))</f>
      </c>
    </row>
    <row r="3823" spans="1:7">
      <c r="B3823">
        <f>IF(INDEX(Transactions!$J:$J,ROW()-8)="",TODAY(),INDEX(Transactions!$G:$G,ROW()-8))</f>
      </c>
      <c r="F3823">
        <f>IF(INDEX(Transactions!$J:$J,ROW()-8)="",0,INDEX(Transactions!$O:$O,ROW()-8))</f>
      </c>
    </row>
    <row r="3824" spans="1:7">
      <c r="B3824">
        <f>IF(INDEX(Transactions!$J:$J,ROW()-8)="",TODAY(),INDEX(Transactions!$G:$G,ROW()-8))</f>
      </c>
      <c r="F3824">
        <f>IF(INDEX(Transactions!$J:$J,ROW()-8)="",0,INDEX(Transactions!$O:$O,ROW()-8))</f>
      </c>
    </row>
    <row r="3825" spans="1:7">
      <c r="B3825">
        <f>IF(INDEX(Transactions!$J:$J,ROW()-8)="",TODAY(),INDEX(Transactions!$G:$G,ROW()-8))</f>
      </c>
      <c r="F3825">
        <f>IF(INDEX(Transactions!$J:$J,ROW()-8)="",0,INDEX(Transactions!$O:$O,ROW()-8))</f>
      </c>
    </row>
    <row r="3826" spans="1:7">
      <c r="B3826">
        <f>IF(INDEX(Transactions!$J:$J,ROW()-8)="",TODAY(),INDEX(Transactions!$G:$G,ROW()-8))</f>
      </c>
      <c r="F3826">
        <f>IF(INDEX(Transactions!$J:$J,ROW()-8)="",0,INDEX(Transactions!$O:$O,ROW()-8))</f>
      </c>
    </row>
    <row r="3827" spans="1:7">
      <c r="B3827">
        <f>IF(INDEX(Transactions!$J:$J,ROW()-8)="",TODAY(),INDEX(Transactions!$G:$G,ROW()-8))</f>
      </c>
      <c r="F3827">
        <f>IF(INDEX(Transactions!$J:$J,ROW()-8)="",0,INDEX(Transactions!$O:$O,ROW()-8))</f>
      </c>
    </row>
    <row r="3828" spans="1:7">
      <c r="B3828">
        <f>IF(INDEX(Transactions!$J:$J,ROW()-8)="",TODAY(),INDEX(Transactions!$G:$G,ROW()-8))</f>
      </c>
      <c r="F3828">
        <f>IF(INDEX(Transactions!$J:$J,ROW()-8)="",0,INDEX(Transactions!$O:$O,ROW()-8))</f>
      </c>
    </row>
    <row r="3829" spans="1:7">
      <c r="B3829">
        <f>IF(INDEX(Transactions!$J:$J,ROW()-8)="",TODAY(),INDEX(Transactions!$G:$G,ROW()-8))</f>
      </c>
      <c r="F3829">
        <f>IF(INDEX(Transactions!$J:$J,ROW()-8)="",0,INDEX(Transactions!$O:$O,ROW()-8))</f>
      </c>
    </row>
    <row r="3830" spans="1:7">
      <c r="B3830">
        <f>IF(INDEX(Transactions!$J:$J,ROW()-8)="",TODAY(),INDEX(Transactions!$G:$G,ROW()-8))</f>
      </c>
      <c r="F3830">
        <f>IF(INDEX(Transactions!$J:$J,ROW()-8)="",0,INDEX(Transactions!$O:$O,ROW()-8))</f>
      </c>
    </row>
    <row r="3831" spans="1:7">
      <c r="B3831">
        <f>IF(INDEX(Transactions!$J:$J,ROW()-8)="",TODAY(),INDEX(Transactions!$G:$G,ROW()-8))</f>
      </c>
      <c r="F3831">
        <f>IF(INDEX(Transactions!$J:$J,ROW()-8)="",0,INDEX(Transactions!$O:$O,ROW()-8))</f>
      </c>
    </row>
    <row r="3832" spans="1:7">
      <c r="B3832">
        <f>IF(INDEX(Transactions!$J:$J,ROW()-8)="",TODAY(),INDEX(Transactions!$G:$G,ROW()-8))</f>
      </c>
      <c r="F3832">
        <f>IF(INDEX(Transactions!$J:$J,ROW()-8)="",0,INDEX(Transactions!$O:$O,ROW()-8))</f>
      </c>
    </row>
    <row r="3833" spans="1:7">
      <c r="B3833">
        <f>IF(INDEX(Transactions!$J:$J,ROW()-8)="",TODAY(),INDEX(Transactions!$G:$G,ROW()-8))</f>
      </c>
      <c r="F3833">
        <f>IF(INDEX(Transactions!$J:$J,ROW()-8)="",0,INDEX(Transactions!$O:$O,ROW()-8))</f>
      </c>
    </row>
    <row r="3834" spans="1:7">
      <c r="B3834">
        <f>IF(INDEX(Transactions!$J:$J,ROW()-8)="",TODAY(),INDEX(Transactions!$G:$G,ROW()-8))</f>
      </c>
      <c r="F3834">
        <f>IF(INDEX(Transactions!$J:$J,ROW()-8)="",0,INDEX(Transactions!$O:$O,ROW()-8))</f>
      </c>
    </row>
    <row r="3835" spans="1:7">
      <c r="B3835">
        <f>IF(INDEX(Transactions!$J:$J,ROW()-8)="",TODAY(),INDEX(Transactions!$G:$G,ROW()-8))</f>
      </c>
      <c r="F3835">
        <f>IF(INDEX(Transactions!$J:$J,ROW()-8)="",0,INDEX(Transactions!$O:$O,ROW()-8))</f>
      </c>
    </row>
    <row r="3836" spans="1:7">
      <c r="B3836">
        <f>IF(INDEX(Transactions!$J:$J,ROW()-8)="",TODAY(),INDEX(Transactions!$G:$G,ROW()-8))</f>
      </c>
      <c r="F3836">
        <f>IF(INDEX(Transactions!$J:$J,ROW()-8)="",0,INDEX(Transactions!$O:$O,ROW()-8))</f>
      </c>
    </row>
    <row r="3837" spans="1:7">
      <c r="B3837">
        <f>IF(INDEX(Transactions!$J:$J,ROW()-8)="",TODAY(),INDEX(Transactions!$G:$G,ROW()-8))</f>
      </c>
      <c r="F3837">
        <f>IF(INDEX(Transactions!$J:$J,ROW()-8)="",0,INDEX(Transactions!$O:$O,ROW()-8))</f>
      </c>
    </row>
    <row r="3838" spans="1:7">
      <c r="B3838">
        <f>IF(INDEX(Transactions!$J:$J,ROW()-8)="",TODAY(),INDEX(Transactions!$G:$G,ROW()-8))</f>
      </c>
      <c r="F3838">
        <f>IF(INDEX(Transactions!$J:$J,ROW()-8)="",0,INDEX(Transactions!$O:$O,ROW()-8))</f>
      </c>
    </row>
    <row r="3839" spans="1:7">
      <c r="B3839">
        <f>IF(INDEX(Transactions!$J:$J,ROW()-8)="",TODAY(),INDEX(Transactions!$G:$G,ROW()-8))</f>
      </c>
      <c r="F3839">
        <f>IF(INDEX(Transactions!$J:$J,ROW()-8)="",0,INDEX(Transactions!$O:$O,ROW()-8))</f>
      </c>
    </row>
    <row r="3840" spans="1:7">
      <c r="B3840">
        <f>IF(INDEX(Transactions!$J:$J,ROW()-8)="",TODAY(),INDEX(Transactions!$G:$G,ROW()-8))</f>
      </c>
      <c r="F3840">
        <f>IF(INDEX(Transactions!$J:$J,ROW()-8)="",0,INDEX(Transactions!$O:$O,ROW()-8))</f>
      </c>
    </row>
    <row r="3841" spans="1:7">
      <c r="B3841">
        <f>IF(INDEX(Transactions!$J:$J,ROW()-8)="",TODAY(),INDEX(Transactions!$G:$G,ROW()-8))</f>
      </c>
      <c r="F3841">
        <f>IF(INDEX(Transactions!$J:$J,ROW()-8)="",0,INDEX(Transactions!$O:$O,ROW()-8))</f>
      </c>
    </row>
    <row r="3842" spans="1:7">
      <c r="B3842">
        <f>IF(INDEX(Transactions!$J:$J,ROW()-8)="",TODAY(),INDEX(Transactions!$G:$G,ROW()-8))</f>
      </c>
      <c r="F3842">
        <f>IF(INDEX(Transactions!$J:$J,ROW()-8)="",0,INDEX(Transactions!$O:$O,ROW()-8))</f>
      </c>
    </row>
    <row r="3843" spans="1:7">
      <c r="B3843">
        <f>IF(INDEX(Transactions!$J:$J,ROW()-8)="",TODAY(),INDEX(Transactions!$G:$G,ROW()-8))</f>
      </c>
      <c r="F3843">
        <f>IF(INDEX(Transactions!$J:$J,ROW()-8)="",0,INDEX(Transactions!$O:$O,ROW()-8))</f>
      </c>
    </row>
    <row r="3844" spans="1:7">
      <c r="B3844">
        <f>IF(INDEX(Transactions!$J:$J,ROW()-8)="",TODAY(),INDEX(Transactions!$G:$G,ROW()-8))</f>
      </c>
      <c r="F3844">
        <f>IF(INDEX(Transactions!$J:$J,ROW()-8)="",0,INDEX(Transactions!$O:$O,ROW()-8))</f>
      </c>
    </row>
    <row r="3845" spans="1:7">
      <c r="B3845">
        <f>IF(INDEX(Transactions!$J:$J,ROW()-8)="",TODAY(),INDEX(Transactions!$G:$G,ROW()-8))</f>
      </c>
      <c r="F3845">
        <f>IF(INDEX(Transactions!$J:$J,ROW()-8)="",0,INDEX(Transactions!$O:$O,ROW()-8))</f>
      </c>
    </row>
    <row r="3846" spans="1:7">
      <c r="B3846">
        <f>IF(INDEX(Transactions!$J:$J,ROW()-8)="",TODAY(),INDEX(Transactions!$G:$G,ROW()-8))</f>
      </c>
      <c r="F3846">
        <f>IF(INDEX(Transactions!$J:$J,ROW()-8)="",0,INDEX(Transactions!$O:$O,ROW()-8))</f>
      </c>
    </row>
    <row r="3847" spans="1:7">
      <c r="B3847">
        <f>IF(INDEX(Transactions!$J:$J,ROW()-8)="",TODAY(),INDEX(Transactions!$G:$G,ROW()-8))</f>
      </c>
      <c r="F3847">
        <f>IF(INDEX(Transactions!$J:$J,ROW()-8)="",0,INDEX(Transactions!$O:$O,ROW()-8))</f>
      </c>
    </row>
    <row r="3848" spans="1:7">
      <c r="B3848">
        <f>IF(INDEX(Transactions!$J:$J,ROW()-8)="",TODAY(),INDEX(Transactions!$G:$G,ROW()-8))</f>
      </c>
      <c r="F3848">
        <f>IF(INDEX(Transactions!$J:$J,ROW()-8)="",0,INDEX(Transactions!$O:$O,ROW()-8))</f>
      </c>
    </row>
    <row r="3849" spans="1:7">
      <c r="B3849">
        <f>IF(INDEX(Transactions!$J:$J,ROW()-8)="",TODAY(),INDEX(Transactions!$G:$G,ROW()-8))</f>
      </c>
      <c r="F3849">
        <f>IF(INDEX(Transactions!$J:$J,ROW()-8)="",0,INDEX(Transactions!$O:$O,ROW()-8))</f>
      </c>
    </row>
    <row r="3850" spans="1:7">
      <c r="B3850">
        <f>IF(INDEX(Transactions!$J:$J,ROW()-8)="",TODAY(),INDEX(Transactions!$G:$G,ROW()-8))</f>
      </c>
      <c r="F3850">
        <f>IF(INDEX(Transactions!$J:$J,ROW()-8)="",0,INDEX(Transactions!$O:$O,ROW()-8))</f>
      </c>
    </row>
    <row r="3851" spans="1:7">
      <c r="B3851">
        <f>IF(INDEX(Transactions!$J:$J,ROW()-8)="",TODAY(),INDEX(Transactions!$G:$G,ROW()-8))</f>
      </c>
      <c r="F3851">
        <f>IF(INDEX(Transactions!$J:$J,ROW()-8)="",0,INDEX(Transactions!$O:$O,ROW()-8))</f>
      </c>
    </row>
    <row r="3852" spans="1:7">
      <c r="B3852">
        <f>IF(INDEX(Transactions!$J:$J,ROW()-8)="",TODAY(),INDEX(Transactions!$G:$G,ROW()-8))</f>
      </c>
      <c r="F3852">
        <f>IF(INDEX(Transactions!$J:$J,ROW()-8)="",0,INDEX(Transactions!$O:$O,ROW()-8))</f>
      </c>
    </row>
    <row r="3853" spans="1:7">
      <c r="B3853">
        <f>IF(INDEX(Transactions!$J:$J,ROW()-8)="",TODAY(),INDEX(Transactions!$G:$G,ROW()-8))</f>
      </c>
      <c r="F3853">
        <f>IF(INDEX(Transactions!$J:$J,ROW()-8)="",0,INDEX(Transactions!$O:$O,ROW()-8))</f>
      </c>
    </row>
    <row r="3854" spans="1:7">
      <c r="B3854">
        <f>IF(INDEX(Transactions!$J:$J,ROW()-8)="",TODAY(),INDEX(Transactions!$G:$G,ROW()-8))</f>
      </c>
      <c r="F3854">
        <f>IF(INDEX(Transactions!$J:$J,ROW()-8)="",0,INDEX(Transactions!$O:$O,ROW()-8))</f>
      </c>
    </row>
    <row r="3855" spans="1:7">
      <c r="B3855">
        <f>IF(INDEX(Transactions!$J:$J,ROW()-8)="",TODAY(),INDEX(Transactions!$G:$G,ROW()-8))</f>
      </c>
      <c r="F3855">
        <f>IF(INDEX(Transactions!$J:$J,ROW()-8)="",0,INDEX(Transactions!$O:$O,ROW()-8))</f>
      </c>
    </row>
    <row r="3856" spans="1:7">
      <c r="B3856">
        <f>IF(INDEX(Transactions!$J:$J,ROW()-8)="",TODAY(),INDEX(Transactions!$G:$G,ROW()-8))</f>
      </c>
      <c r="F3856">
        <f>IF(INDEX(Transactions!$J:$J,ROW()-8)="",0,INDEX(Transactions!$O:$O,ROW()-8))</f>
      </c>
    </row>
    <row r="3857" spans="1:7">
      <c r="B3857">
        <f>IF(INDEX(Transactions!$J:$J,ROW()-8)="",TODAY(),INDEX(Transactions!$G:$G,ROW()-8))</f>
      </c>
      <c r="F3857">
        <f>IF(INDEX(Transactions!$J:$J,ROW()-8)="",0,INDEX(Transactions!$O:$O,ROW()-8))</f>
      </c>
    </row>
    <row r="3858" spans="1:7">
      <c r="B3858">
        <f>IF(INDEX(Transactions!$J:$J,ROW()-8)="",TODAY(),INDEX(Transactions!$G:$G,ROW()-8))</f>
      </c>
      <c r="F3858">
        <f>IF(INDEX(Transactions!$J:$J,ROW()-8)="",0,INDEX(Transactions!$O:$O,ROW()-8))</f>
      </c>
    </row>
    <row r="3859" spans="1:7">
      <c r="B3859">
        <f>IF(INDEX(Transactions!$J:$J,ROW()-8)="",TODAY(),INDEX(Transactions!$G:$G,ROW()-8))</f>
      </c>
      <c r="F3859">
        <f>IF(INDEX(Transactions!$J:$J,ROW()-8)="",0,INDEX(Transactions!$O:$O,ROW()-8))</f>
      </c>
    </row>
    <row r="3860" spans="1:7">
      <c r="B3860">
        <f>IF(INDEX(Transactions!$J:$J,ROW()-8)="",TODAY(),INDEX(Transactions!$G:$G,ROW()-8))</f>
      </c>
      <c r="F3860">
        <f>IF(INDEX(Transactions!$J:$J,ROW()-8)="",0,INDEX(Transactions!$O:$O,ROW()-8))</f>
      </c>
    </row>
    <row r="3861" spans="1:7">
      <c r="B3861">
        <f>IF(INDEX(Transactions!$J:$J,ROW()-8)="",TODAY(),INDEX(Transactions!$G:$G,ROW()-8))</f>
      </c>
      <c r="F3861">
        <f>IF(INDEX(Transactions!$J:$J,ROW()-8)="",0,INDEX(Transactions!$O:$O,ROW()-8))</f>
      </c>
    </row>
    <row r="3862" spans="1:7">
      <c r="B3862">
        <f>IF(INDEX(Transactions!$J:$J,ROW()-8)="",TODAY(),INDEX(Transactions!$G:$G,ROW()-8))</f>
      </c>
      <c r="F3862">
        <f>IF(INDEX(Transactions!$J:$J,ROW()-8)="",0,INDEX(Transactions!$O:$O,ROW()-8))</f>
      </c>
    </row>
    <row r="3863" spans="1:7">
      <c r="B3863">
        <f>IF(INDEX(Transactions!$J:$J,ROW()-8)="",TODAY(),INDEX(Transactions!$G:$G,ROW()-8))</f>
      </c>
      <c r="F3863">
        <f>IF(INDEX(Transactions!$J:$J,ROW()-8)="",0,INDEX(Transactions!$O:$O,ROW()-8))</f>
      </c>
    </row>
    <row r="3864" spans="1:7">
      <c r="B3864">
        <f>IF(INDEX(Transactions!$J:$J,ROW()-8)="",TODAY(),INDEX(Transactions!$G:$G,ROW()-8))</f>
      </c>
      <c r="F3864">
        <f>IF(INDEX(Transactions!$J:$J,ROW()-8)="",0,INDEX(Transactions!$O:$O,ROW()-8))</f>
      </c>
    </row>
    <row r="3865" spans="1:7">
      <c r="B3865">
        <f>IF(INDEX(Transactions!$J:$J,ROW()-8)="",TODAY(),INDEX(Transactions!$G:$G,ROW()-8))</f>
      </c>
      <c r="F3865">
        <f>IF(INDEX(Transactions!$J:$J,ROW()-8)="",0,INDEX(Transactions!$O:$O,ROW()-8))</f>
      </c>
    </row>
    <row r="3866" spans="1:7">
      <c r="B3866">
        <f>IF(INDEX(Transactions!$J:$J,ROW()-8)="",TODAY(),INDEX(Transactions!$G:$G,ROW()-8))</f>
      </c>
      <c r="F3866">
        <f>IF(INDEX(Transactions!$J:$J,ROW()-8)="",0,INDEX(Transactions!$O:$O,ROW()-8))</f>
      </c>
    </row>
    <row r="3867" spans="1:7">
      <c r="B3867">
        <f>IF(INDEX(Transactions!$J:$J,ROW()-8)="",TODAY(),INDEX(Transactions!$G:$G,ROW()-8))</f>
      </c>
      <c r="F3867">
        <f>IF(INDEX(Transactions!$J:$J,ROW()-8)="",0,INDEX(Transactions!$O:$O,ROW()-8))</f>
      </c>
    </row>
    <row r="3868" spans="1:7">
      <c r="B3868">
        <f>IF(INDEX(Transactions!$J:$J,ROW()-8)="",TODAY(),INDEX(Transactions!$G:$G,ROW()-8))</f>
      </c>
      <c r="F3868">
        <f>IF(INDEX(Transactions!$J:$J,ROW()-8)="",0,INDEX(Transactions!$O:$O,ROW()-8))</f>
      </c>
    </row>
    <row r="3869" spans="1:7">
      <c r="B3869">
        <f>IF(INDEX(Transactions!$J:$J,ROW()-8)="",TODAY(),INDEX(Transactions!$G:$G,ROW()-8))</f>
      </c>
      <c r="F3869">
        <f>IF(INDEX(Transactions!$J:$J,ROW()-8)="",0,INDEX(Transactions!$O:$O,ROW()-8))</f>
      </c>
    </row>
    <row r="3870" spans="1:7">
      <c r="B3870">
        <f>IF(INDEX(Transactions!$J:$J,ROW()-8)="",TODAY(),INDEX(Transactions!$G:$G,ROW()-8))</f>
      </c>
      <c r="F3870">
        <f>IF(INDEX(Transactions!$J:$J,ROW()-8)="",0,INDEX(Transactions!$O:$O,ROW()-8))</f>
      </c>
    </row>
    <row r="3871" spans="1:7">
      <c r="B3871">
        <f>IF(INDEX(Transactions!$J:$J,ROW()-8)="",TODAY(),INDEX(Transactions!$G:$G,ROW()-8))</f>
      </c>
      <c r="F3871">
        <f>IF(INDEX(Transactions!$J:$J,ROW()-8)="",0,INDEX(Transactions!$O:$O,ROW()-8))</f>
      </c>
    </row>
    <row r="3872" spans="1:7">
      <c r="B3872">
        <f>IF(INDEX(Transactions!$J:$J,ROW()-8)="",TODAY(),INDEX(Transactions!$G:$G,ROW()-8))</f>
      </c>
      <c r="F3872">
        <f>IF(INDEX(Transactions!$J:$J,ROW()-8)="",0,INDEX(Transactions!$O:$O,ROW()-8))</f>
      </c>
    </row>
    <row r="3873" spans="1:7">
      <c r="B3873">
        <f>IF(INDEX(Transactions!$J:$J,ROW()-8)="",TODAY(),INDEX(Transactions!$G:$G,ROW()-8))</f>
      </c>
      <c r="F3873">
        <f>IF(INDEX(Transactions!$J:$J,ROW()-8)="",0,INDEX(Transactions!$O:$O,ROW()-8))</f>
      </c>
    </row>
    <row r="3874" spans="1:7">
      <c r="B3874">
        <f>IF(INDEX(Transactions!$J:$J,ROW()-8)="",TODAY(),INDEX(Transactions!$G:$G,ROW()-8))</f>
      </c>
      <c r="F3874">
        <f>IF(INDEX(Transactions!$J:$J,ROW()-8)="",0,INDEX(Transactions!$O:$O,ROW()-8))</f>
      </c>
    </row>
    <row r="3875" spans="1:7">
      <c r="B3875">
        <f>IF(INDEX(Transactions!$J:$J,ROW()-8)="",TODAY(),INDEX(Transactions!$G:$G,ROW()-8))</f>
      </c>
      <c r="F3875">
        <f>IF(INDEX(Transactions!$J:$J,ROW()-8)="",0,INDEX(Transactions!$O:$O,ROW()-8))</f>
      </c>
    </row>
    <row r="3876" spans="1:7">
      <c r="B3876">
        <f>IF(INDEX(Transactions!$J:$J,ROW()-8)="",TODAY(),INDEX(Transactions!$G:$G,ROW()-8))</f>
      </c>
      <c r="F3876">
        <f>IF(INDEX(Transactions!$J:$J,ROW()-8)="",0,INDEX(Transactions!$O:$O,ROW()-8))</f>
      </c>
    </row>
    <row r="3877" spans="1:7">
      <c r="B3877">
        <f>IF(INDEX(Transactions!$J:$J,ROW()-8)="",TODAY(),INDEX(Transactions!$G:$G,ROW()-8))</f>
      </c>
      <c r="F3877">
        <f>IF(INDEX(Transactions!$J:$J,ROW()-8)="",0,INDEX(Transactions!$O:$O,ROW()-8))</f>
      </c>
    </row>
    <row r="3878" spans="1:7">
      <c r="B3878">
        <f>IF(INDEX(Transactions!$J:$J,ROW()-8)="",TODAY(),INDEX(Transactions!$G:$G,ROW()-8))</f>
      </c>
      <c r="F3878">
        <f>IF(INDEX(Transactions!$J:$J,ROW()-8)="",0,INDEX(Transactions!$O:$O,ROW()-8))</f>
      </c>
    </row>
    <row r="3879" spans="1:7">
      <c r="B3879">
        <f>IF(INDEX(Transactions!$J:$J,ROW()-8)="",TODAY(),INDEX(Transactions!$G:$G,ROW()-8))</f>
      </c>
      <c r="F3879">
        <f>IF(INDEX(Transactions!$J:$J,ROW()-8)="",0,INDEX(Transactions!$O:$O,ROW()-8))</f>
      </c>
    </row>
    <row r="3880" spans="1:7">
      <c r="B3880">
        <f>IF(INDEX(Transactions!$J:$J,ROW()-8)="",TODAY(),INDEX(Transactions!$G:$G,ROW()-8))</f>
      </c>
      <c r="F3880">
        <f>IF(INDEX(Transactions!$J:$J,ROW()-8)="",0,INDEX(Transactions!$O:$O,ROW()-8))</f>
      </c>
    </row>
    <row r="3881" spans="1:7">
      <c r="B3881">
        <f>IF(INDEX(Transactions!$J:$J,ROW()-8)="",TODAY(),INDEX(Transactions!$G:$G,ROW()-8))</f>
      </c>
      <c r="F3881">
        <f>IF(INDEX(Transactions!$J:$J,ROW()-8)="",0,INDEX(Transactions!$O:$O,ROW()-8))</f>
      </c>
    </row>
    <row r="3882" spans="1:7">
      <c r="B3882">
        <f>IF(INDEX(Transactions!$J:$J,ROW()-8)="",TODAY(),INDEX(Transactions!$G:$G,ROW()-8))</f>
      </c>
      <c r="F3882">
        <f>IF(INDEX(Transactions!$J:$J,ROW()-8)="",0,INDEX(Transactions!$O:$O,ROW()-8))</f>
      </c>
    </row>
    <row r="3883" spans="1:7">
      <c r="B3883">
        <f>IF(INDEX(Transactions!$J:$J,ROW()-8)="",TODAY(),INDEX(Transactions!$G:$G,ROW()-8))</f>
      </c>
      <c r="F3883">
        <f>IF(INDEX(Transactions!$J:$J,ROW()-8)="",0,INDEX(Transactions!$O:$O,ROW()-8))</f>
      </c>
    </row>
    <row r="3884" spans="1:7">
      <c r="B3884">
        <f>IF(INDEX(Transactions!$J:$J,ROW()-8)="",TODAY(),INDEX(Transactions!$G:$G,ROW()-8))</f>
      </c>
      <c r="F3884">
        <f>IF(INDEX(Transactions!$J:$J,ROW()-8)="",0,INDEX(Transactions!$O:$O,ROW()-8))</f>
      </c>
    </row>
    <row r="3885" spans="1:7">
      <c r="B3885">
        <f>IF(INDEX(Transactions!$J:$J,ROW()-8)="",TODAY(),INDEX(Transactions!$G:$G,ROW()-8))</f>
      </c>
      <c r="F3885">
        <f>IF(INDEX(Transactions!$J:$J,ROW()-8)="",0,INDEX(Transactions!$O:$O,ROW()-8))</f>
      </c>
    </row>
    <row r="3886" spans="1:7">
      <c r="B3886">
        <f>IF(INDEX(Transactions!$J:$J,ROW()-8)="",TODAY(),INDEX(Transactions!$G:$G,ROW()-8))</f>
      </c>
      <c r="F3886">
        <f>IF(INDEX(Transactions!$J:$J,ROW()-8)="",0,INDEX(Transactions!$O:$O,ROW()-8))</f>
      </c>
    </row>
    <row r="3887" spans="1:7">
      <c r="B3887">
        <f>IF(INDEX(Transactions!$J:$J,ROW()-8)="",TODAY(),INDEX(Transactions!$G:$G,ROW()-8))</f>
      </c>
      <c r="F3887">
        <f>IF(INDEX(Transactions!$J:$J,ROW()-8)="",0,INDEX(Transactions!$O:$O,ROW()-8))</f>
      </c>
    </row>
    <row r="3888" spans="1:7">
      <c r="B3888">
        <f>IF(INDEX(Transactions!$J:$J,ROW()-8)="",TODAY(),INDEX(Transactions!$G:$G,ROW()-8))</f>
      </c>
      <c r="F3888">
        <f>IF(INDEX(Transactions!$J:$J,ROW()-8)="",0,INDEX(Transactions!$O:$O,ROW()-8))</f>
      </c>
    </row>
    <row r="3889" spans="1:7">
      <c r="B3889">
        <f>IF(INDEX(Transactions!$J:$J,ROW()-8)="",TODAY(),INDEX(Transactions!$G:$G,ROW()-8))</f>
      </c>
      <c r="F3889">
        <f>IF(INDEX(Transactions!$J:$J,ROW()-8)="",0,INDEX(Transactions!$O:$O,ROW()-8))</f>
      </c>
    </row>
    <row r="3890" spans="1:7">
      <c r="B3890">
        <f>IF(INDEX(Transactions!$J:$J,ROW()-8)="",TODAY(),INDEX(Transactions!$G:$G,ROW()-8))</f>
      </c>
      <c r="F3890">
        <f>IF(INDEX(Transactions!$J:$J,ROW()-8)="",0,INDEX(Transactions!$O:$O,ROW()-8))</f>
      </c>
    </row>
    <row r="3891" spans="1:7">
      <c r="B3891">
        <f>IF(INDEX(Transactions!$J:$J,ROW()-8)="",TODAY(),INDEX(Transactions!$G:$G,ROW()-8))</f>
      </c>
      <c r="F3891">
        <f>IF(INDEX(Transactions!$J:$J,ROW()-8)="",0,INDEX(Transactions!$O:$O,ROW()-8))</f>
      </c>
    </row>
    <row r="3892" spans="1:7">
      <c r="B3892">
        <f>IF(INDEX(Transactions!$J:$J,ROW()-8)="",TODAY(),INDEX(Transactions!$G:$G,ROW()-8))</f>
      </c>
      <c r="F3892">
        <f>IF(INDEX(Transactions!$J:$J,ROW()-8)="",0,INDEX(Transactions!$O:$O,ROW()-8))</f>
      </c>
    </row>
    <row r="3893" spans="1:7">
      <c r="B3893">
        <f>IF(INDEX(Transactions!$J:$J,ROW()-8)="",TODAY(),INDEX(Transactions!$G:$G,ROW()-8))</f>
      </c>
      <c r="F3893">
        <f>IF(INDEX(Transactions!$J:$J,ROW()-8)="",0,INDEX(Transactions!$O:$O,ROW()-8))</f>
      </c>
    </row>
    <row r="3894" spans="1:7">
      <c r="B3894">
        <f>IF(INDEX(Transactions!$J:$J,ROW()-8)="",TODAY(),INDEX(Transactions!$G:$G,ROW()-8))</f>
      </c>
      <c r="F3894">
        <f>IF(INDEX(Transactions!$J:$J,ROW()-8)="",0,INDEX(Transactions!$O:$O,ROW()-8))</f>
      </c>
    </row>
    <row r="3895" spans="1:7">
      <c r="B3895">
        <f>IF(INDEX(Transactions!$J:$J,ROW()-8)="",TODAY(),INDEX(Transactions!$G:$G,ROW()-8))</f>
      </c>
      <c r="F3895">
        <f>IF(INDEX(Transactions!$J:$J,ROW()-8)="",0,INDEX(Transactions!$O:$O,ROW()-8))</f>
      </c>
    </row>
    <row r="3896" spans="1:7">
      <c r="B3896">
        <f>IF(INDEX(Transactions!$J:$J,ROW()-8)="",TODAY(),INDEX(Transactions!$G:$G,ROW()-8))</f>
      </c>
      <c r="F3896">
        <f>IF(INDEX(Transactions!$J:$J,ROW()-8)="",0,INDEX(Transactions!$O:$O,ROW()-8))</f>
      </c>
    </row>
    <row r="3897" spans="1:7">
      <c r="B3897">
        <f>IF(INDEX(Transactions!$J:$J,ROW()-8)="",TODAY(),INDEX(Transactions!$G:$G,ROW()-8))</f>
      </c>
      <c r="F3897">
        <f>IF(INDEX(Transactions!$J:$J,ROW()-8)="",0,INDEX(Transactions!$O:$O,ROW()-8))</f>
      </c>
    </row>
    <row r="3898" spans="1:7">
      <c r="B3898">
        <f>IF(INDEX(Transactions!$J:$J,ROW()-8)="",TODAY(),INDEX(Transactions!$G:$G,ROW()-8))</f>
      </c>
      <c r="F3898">
        <f>IF(INDEX(Transactions!$J:$J,ROW()-8)="",0,INDEX(Transactions!$O:$O,ROW()-8))</f>
      </c>
    </row>
    <row r="3899" spans="1:7">
      <c r="B3899">
        <f>IF(INDEX(Transactions!$J:$J,ROW()-8)="",TODAY(),INDEX(Transactions!$G:$G,ROW()-8))</f>
      </c>
      <c r="F3899">
        <f>IF(INDEX(Transactions!$J:$J,ROW()-8)="",0,INDEX(Transactions!$O:$O,ROW()-8))</f>
      </c>
    </row>
    <row r="3900" spans="1:7">
      <c r="B3900">
        <f>IF(INDEX(Transactions!$J:$J,ROW()-8)="",TODAY(),INDEX(Transactions!$G:$G,ROW()-8))</f>
      </c>
      <c r="F3900">
        <f>IF(INDEX(Transactions!$J:$J,ROW()-8)="",0,INDEX(Transactions!$O:$O,ROW()-8))</f>
      </c>
    </row>
    <row r="3901" spans="1:7">
      <c r="B3901">
        <f>IF(INDEX(Transactions!$J:$J,ROW()-8)="",TODAY(),INDEX(Transactions!$G:$G,ROW()-8))</f>
      </c>
      <c r="F3901">
        <f>IF(INDEX(Transactions!$J:$J,ROW()-8)="",0,INDEX(Transactions!$O:$O,ROW()-8))</f>
      </c>
    </row>
    <row r="3902" spans="1:7">
      <c r="B3902">
        <f>IF(INDEX(Transactions!$J:$J,ROW()-8)="",TODAY(),INDEX(Transactions!$G:$G,ROW()-8))</f>
      </c>
      <c r="F3902">
        <f>IF(INDEX(Transactions!$J:$J,ROW()-8)="",0,INDEX(Transactions!$O:$O,ROW()-8))</f>
      </c>
    </row>
    <row r="3903" spans="1:7">
      <c r="B3903">
        <f>IF(INDEX(Transactions!$J:$J,ROW()-8)="",TODAY(),INDEX(Transactions!$G:$G,ROW()-8))</f>
      </c>
      <c r="F3903">
        <f>IF(INDEX(Transactions!$J:$J,ROW()-8)="",0,INDEX(Transactions!$O:$O,ROW()-8))</f>
      </c>
    </row>
    <row r="3904" spans="1:7">
      <c r="B3904">
        <f>IF(INDEX(Transactions!$J:$J,ROW()-8)="",TODAY(),INDEX(Transactions!$G:$G,ROW()-8))</f>
      </c>
      <c r="F3904">
        <f>IF(INDEX(Transactions!$J:$J,ROW()-8)="",0,INDEX(Transactions!$O:$O,ROW()-8))</f>
      </c>
    </row>
    <row r="3905" spans="1:7">
      <c r="B3905">
        <f>IF(INDEX(Transactions!$J:$J,ROW()-8)="",TODAY(),INDEX(Transactions!$G:$G,ROW()-8))</f>
      </c>
      <c r="F3905">
        <f>IF(INDEX(Transactions!$J:$J,ROW()-8)="",0,INDEX(Transactions!$O:$O,ROW()-8))</f>
      </c>
    </row>
    <row r="3906" spans="1:7">
      <c r="B3906">
        <f>IF(INDEX(Transactions!$J:$J,ROW()-8)="",TODAY(),INDEX(Transactions!$G:$G,ROW()-8))</f>
      </c>
      <c r="F3906">
        <f>IF(INDEX(Transactions!$J:$J,ROW()-8)="",0,INDEX(Transactions!$O:$O,ROW()-8))</f>
      </c>
    </row>
    <row r="3907" spans="1:7">
      <c r="B3907">
        <f>IF(INDEX(Transactions!$J:$J,ROW()-8)="",TODAY(),INDEX(Transactions!$G:$G,ROW()-8))</f>
      </c>
      <c r="F3907">
        <f>IF(INDEX(Transactions!$J:$J,ROW()-8)="",0,INDEX(Transactions!$O:$O,ROW()-8))</f>
      </c>
    </row>
    <row r="3908" spans="1:7">
      <c r="B3908">
        <f>IF(INDEX(Transactions!$J:$J,ROW()-8)="",TODAY(),INDEX(Transactions!$G:$G,ROW()-8))</f>
      </c>
      <c r="F3908">
        <f>IF(INDEX(Transactions!$J:$J,ROW()-8)="",0,INDEX(Transactions!$O:$O,ROW()-8))</f>
      </c>
    </row>
    <row r="3909" spans="1:7">
      <c r="B3909">
        <f>IF(INDEX(Transactions!$J:$J,ROW()-8)="",TODAY(),INDEX(Transactions!$G:$G,ROW()-8))</f>
      </c>
      <c r="F3909">
        <f>IF(INDEX(Transactions!$J:$J,ROW()-8)="",0,INDEX(Transactions!$O:$O,ROW()-8))</f>
      </c>
    </row>
    <row r="3910" spans="1:7">
      <c r="B3910">
        <f>IF(INDEX(Transactions!$J:$J,ROW()-8)="",TODAY(),INDEX(Transactions!$G:$G,ROW()-8))</f>
      </c>
      <c r="F3910">
        <f>IF(INDEX(Transactions!$J:$J,ROW()-8)="",0,INDEX(Transactions!$O:$O,ROW()-8))</f>
      </c>
    </row>
    <row r="3911" spans="1:7">
      <c r="B3911">
        <f>IF(INDEX(Transactions!$J:$J,ROW()-8)="",TODAY(),INDEX(Transactions!$G:$G,ROW()-8))</f>
      </c>
      <c r="F3911">
        <f>IF(INDEX(Transactions!$J:$J,ROW()-8)="",0,INDEX(Transactions!$O:$O,ROW()-8))</f>
      </c>
    </row>
    <row r="3912" spans="1:7">
      <c r="B3912">
        <f>IF(INDEX(Transactions!$J:$J,ROW()-8)="",TODAY(),INDEX(Transactions!$G:$G,ROW()-8))</f>
      </c>
      <c r="F3912">
        <f>IF(INDEX(Transactions!$J:$J,ROW()-8)="",0,INDEX(Transactions!$O:$O,ROW()-8))</f>
      </c>
    </row>
    <row r="3913" spans="1:7">
      <c r="B3913">
        <f>IF(INDEX(Transactions!$J:$J,ROW()-8)="",TODAY(),INDEX(Transactions!$G:$G,ROW()-8))</f>
      </c>
      <c r="F3913">
        <f>IF(INDEX(Transactions!$J:$J,ROW()-8)="",0,INDEX(Transactions!$O:$O,ROW()-8))</f>
      </c>
    </row>
    <row r="3914" spans="1:7">
      <c r="B3914">
        <f>IF(INDEX(Transactions!$J:$J,ROW()-8)="",TODAY(),INDEX(Transactions!$G:$G,ROW()-8))</f>
      </c>
      <c r="F3914">
        <f>IF(INDEX(Transactions!$J:$J,ROW()-8)="",0,INDEX(Transactions!$O:$O,ROW()-8))</f>
      </c>
    </row>
    <row r="3915" spans="1:7">
      <c r="B3915">
        <f>IF(INDEX(Transactions!$J:$J,ROW()-8)="",TODAY(),INDEX(Transactions!$G:$G,ROW()-8))</f>
      </c>
      <c r="F3915">
        <f>IF(INDEX(Transactions!$J:$J,ROW()-8)="",0,INDEX(Transactions!$O:$O,ROW()-8))</f>
      </c>
    </row>
    <row r="3916" spans="1:7">
      <c r="B3916">
        <f>IF(INDEX(Transactions!$J:$J,ROW()-8)="",TODAY(),INDEX(Transactions!$G:$G,ROW()-8))</f>
      </c>
      <c r="F3916">
        <f>IF(INDEX(Transactions!$J:$J,ROW()-8)="",0,INDEX(Transactions!$O:$O,ROW()-8))</f>
      </c>
    </row>
    <row r="3917" spans="1:7">
      <c r="B3917">
        <f>IF(INDEX(Transactions!$J:$J,ROW()-8)="",TODAY(),INDEX(Transactions!$G:$G,ROW()-8))</f>
      </c>
      <c r="F3917">
        <f>IF(INDEX(Transactions!$J:$J,ROW()-8)="",0,INDEX(Transactions!$O:$O,ROW()-8))</f>
      </c>
    </row>
    <row r="3918" spans="1:7">
      <c r="B3918">
        <f>IF(INDEX(Transactions!$J:$J,ROW()-8)="",TODAY(),INDEX(Transactions!$G:$G,ROW()-8))</f>
      </c>
      <c r="F3918">
        <f>IF(INDEX(Transactions!$J:$J,ROW()-8)="",0,INDEX(Transactions!$O:$O,ROW()-8))</f>
      </c>
    </row>
    <row r="3919" spans="1:7">
      <c r="B3919">
        <f>IF(INDEX(Transactions!$J:$J,ROW()-8)="",TODAY(),INDEX(Transactions!$G:$G,ROW()-8))</f>
      </c>
      <c r="F3919">
        <f>IF(INDEX(Transactions!$J:$J,ROW()-8)="",0,INDEX(Transactions!$O:$O,ROW()-8))</f>
      </c>
    </row>
    <row r="3920" spans="1:7">
      <c r="B3920">
        <f>IF(INDEX(Transactions!$J:$J,ROW()-8)="",TODAY(),INDEX(Transactions!$G:$G,ROW()-8))</f>
      </c>
      <c r="F3920">
        <f>IF(INDEX(Transactions!$J:$J,ROW()-8)="",0,INDEX(Transactions!$O:$O,ROW()-8))</f>
      </c>
    </row>
    <row r="3921" spans="1:7">
      <c r="B3921">
        <f>IF(INDEX(Transactions!$J:$J,ROW()-8)="",TODAY(),INDEX(Transactions!$G:$G,ROW()-8))</f>
      </c>
      <c r="F3921">
        <f>IF(INDEX(Transactions!$J:$J,ROW()-8)="",0,INDEX(Transactions!$O:$O,ROW()-8))</f>
      </c>
    </row>
    <row r="3922" spans="1:7">
      <c r="B3922">
        <f>IF(INDEX(Transactions!$J:$J,ROW()-8)="",TODAY(),INDEX(Transactions!$G:$G,ROW()-8))</f>
      </c>
      <c r="F3922">
        <f>IF(INDEX(Transactions!$J:$J,ROW()-8)="",0,INDEX(Transactions!$O:$O,ROW()-8))</f>
      </c>
    </row>
    <row r="3923" spans="1:7">
      <c r="B3923">
        <f>IF(INDEX(Transactions!$J:$J,ROW()-8)="",TODAY(),INDEX(Transactions!$G:$G,ROW()-8))</f>
      </c>
      <c r="F3923">
        <f>IF(INDEX(Transactions!$J:$J,ROW()-8)="",0,INDEX(Transactions!$O:$O,ROW()-8))</f>
      </c>
    </row>
    <row r="3924" spans="1:7">
      <c r="B3924">
        <f>IF(INDEX(Transactions!$J:$J,ROW()-8)="",TODAY(),INDEX(Transactions!$G:$G,ROW()-8))</f>
      </c>
      <c r="F3924">
        <f>IF(INDEX(Transactions!$J:$J,ROW()-8)="",0,INDEX(Transactions!$O:$O,ROW()-8))</f>
      </c>
    </row>
    <row r="3925" spans="1:7">
      <c r="B3925">
        <f>IF(INDEX(Transactions!$J:$J,ROW()-8)="",TODAY(),INDEX(Transactions!$G:$G,ROW()-8))</f>
      </c>
      <c r="F3925">
        <f>IF(INDEX(Transactions!$J:$J,ROW()-8)="",0,INDEX(Transactions!$O:$O,ROW()-8))</f>
      </c>
    </row>
    <row r="3926" spans="1:7">
      <c r="B3926">
        <f>IF(INDEX(Transactions!$J:$J,ROW()-8)="",TODAY(),INDEX(Transactions!$G:$G,ROW()-8))</f>
      </c>
      <c r="F3926">
        <f>IF(INDEX(Transactions!$J:$J,ROW()-8)="",0,INDEX(Transactions!$O:$O,ROW()-8))</f>
      </c>
    </row>
    <row r="3927" spans="1:7">
      <c r="B3927">
        <f>IF(INDEX(Transactions!$J:$J,ROW()-8)="",TODAY(),INDEX(Transactions!$G:$G,ROW()-8))</f>
      </c>
      <c r="F3927">
        <f>IF(INDEX(Transactions!$J:$J,ROW()-8)="",0,INDEX(Transactions!$O:$O,ROW()-8))</f>
      </c>
    </row>
    <row r="3928" spans="1:7">
      <c r="B3928">
        <f>IF(INDEX(Transactions!$J:$J,ROW()-8)="",TODAY(),INDEX(Transactions!$G:$G,ROW()-8))</f>
      </c>
      <c r="F3928">
        <f>IF(INDEX(Transactions!$J:$J,ROW()-8)="",0,INDEX(Transactions!$O:$O,ROW()-8))</f>
      </c>
    </row>
    <row r="3929" spans="1:7">
      <c r="B3929">
        <f>IF(INDEX(Transactions!$J:$J,ROW()-8)="",TODAY(),INDEX(Transactions!$G:$G,ROW()-8))</f>
      </c>
      <c r="F3929">
        <f>IF(INDEX(Transactions!$J:$J,ROW()-8)="",0,INDEX(Transactions!$O:$O,ROW()-8))</f>
      </c>
    </row>
    <row r="3930" spans="1:7">
      <c r="B3930">
        <f>IF(INDEX(Transactions!$J:$J,ROW()-8)="",TODAY(),INDEX(Transactions!$G:$G,ROW()-8))</f>
      </c>
      <c r="F3930">
        <f>IF(INDEX(Transactions!$J:$J,ROW()-8)="",0,INDEX(Transactions!$O:$O,ROW()-8))</f>
      </c>
    </row>
    <row r="3931" spans="1:7">
      <c r="B3931">
        <f>IF(INDEX(Transactions!$J:$J,ROW()-8)="",TODAY(),INDEX(Transactions!$G:$G,ROW()-8))</f>
      </c>
      <c r="F3931">
        <f>IF(INDEX(Transactions!$J:$J,ROW()-8)="",0,INDEX(Transactions!$O:$O,ROW()-8))</f>
      </c>
    </row>
    <row r="3932" spans="1:7">
      <c r="B3932">
        <f>IF(INDEX(Transactions!$J:$J,ROW()-8)="",TODAY(),INDEX(Transactions!$G:$G,ROW()-8))</f>
      </c>
      <c r="F3932">
        <f>IF(INDEX(Transactions!$J:$J,ROW()-8)="",0,INDEX(Transactions!$O:$O,ROW()-8))</f>
      </c>
    </row>
    <row r="3933" spans="1:7">
      <c r="B3933">
        <f>IF(INDEX(Transactions!$J:$J,ROW()-8)="",TODAY(),INDEX(Transactions!$G:$G,ROW()-8))</f>
      </c>
      <c r="F3933">
        <f>IF(INDEX(Transactions!$J:$J,ROW()-8)="",0,INDEX(Transactions!$O:$O,ROW()-8))</f>
      </c>
    </row>
    <row r="3934" spans="1:7">
      <c r="B3934">
        <f>IF(INDEX(Transactions!$J:$J,ROW()-8)="",TODAY(),INDEX(Transactions!$G:$G,ROW()-8))</f>
      </c>
      <c r="F3934">
        <f>IF(INDEX(Transactions!$J:$J,ROW()-8)="",0,INDEX(Transactions!$O:$O,ROW()-8))</f>
      </c>
    </row>
    <row r="3935" spans="1:7">
      <c r="B3935">
        <f>IF(INDEX(Transactions!$J:$J,ROW()-8)="",TODAY(),INDEX(Transactions!$G:$G,ROW()-8))</f>
      </c>
      <c r="F3935">
        <f>IF(INDEX(Transactions!$J:$J,ROW()-8)="",0,INDEX(Transactions!$O:$O,ROW()-8))</f>
      </c>
    </row>
    <row r="3936" spans="1:7">
      <c r="B3936">
        <f>IF(INDEX(Transactions!$J:$J,ROW()-8)="",TODAY(),INDEX(Transactions!$G:$G,ROW()-8))</f>
      </c>
      <c r="F3936">
        <f>IF(INDEX(Transactions!$J:$J,ROW()-8)="",0,INDEX(Transactions!$O:$O,ROW()-8))</f>
      </c>
    </row>
    <row r="3937" spans="1:7">
      <c r="B3937">
        <f>IF(INDEX(Transactions!$J:$J,ROW()-8)="",TODAY(),INDEX(Transactions!$G:$G,ROW()-8))</f>
      </c>
      <c r="F3937">
        <f>IF(INDEX(Transactions!$J:$J,ROW()-8)="",0,INDEX(Transactions!$O:$O,ROW()-8))</f>
      </c>
    </row>
    <row r="3938" spans="1:7">
      <c r="B3938">
        <f>IF(INDEX(Transactions!$J:$J,ROW()-8)="",TODAY(),INDEX(Transactions!$G:$G,ROW()-8))</f>
      </c>
      <c r="F3938">
        <f>IF(INDEX(Transactions!$J:$J,ROW()-8)="",0,INDEX(Transactions!$O:$O,ROW()-8))</f>
      </c>
    </row>
    <row r="3939" spans="1:7">
      <c r="B3939">
        <f>IF(INDEX(Transactions!$J:$J,ROW()-8)="",TODAY(),INDEX(Transactions!$G:$G,ROW()-8))</f>
      </c>
      <c r="F3939">
        <f>IF(INDEX(Transactions!$J:$J,ROW()-8)="",0,INDEX(Transactions!$O:$O,ROW()-8))</f>
      </c>
    </row>
    <row r="3940" spans="1:7">
      <c r="B3940">
        <f>IF(INDEX(Transactions!$J:$J,ROW()-8)="",TODAY(),INDEX(Transactions!$G:$G,ROW()-8))</f>
      </c>
      <c r="F3940">
        <f>IF(INDEX(Transactions!$J:$J,ROW()-8)="",0,INDEX(Transactions!$O:$O,ROW()-8))</f>
      </c>
    </row>
    <row r="3941" spans="1:7">
      <c r="B3941">
        <f>IF(INDEX(Transactions!$J:$J,ROW()-8)="",TODAY(),INDEX(Transactions!$G:$G,ROW()-8))</f>
      </c>
      <c r="F3941">
        <f>IF(INDEX(Transactions!$J:$J,ROW()-8)="",0,INDEX(Transactions!$O:$O,ROW()-8))</f>
      </c>
    </row>
    <row r="3942" spans="1:7">
      <c r="B3942">
        <f>IF(INDEX(Transactions!$J:$J,ROW()-8)="",TODAY(),INDEX(Transactions!$G:$G,ROW()-8))</f>
      </c>
      <c r="F3942">
        <f>IF(INDEX(Transactions!$J:$J,ROW()-8)="",0,INDEX(Transactions!$O:$O,ROW()-8))</f>
      </c>
    </row>
    <row r="3943" spans="1:7">
      <c r="B3943">
        <f>IF(INDEX(Transactions!$J:$J,ROW()-8)="",TODAY(),INDEX(Transactions!$G:$G,ROW()-8))</f>
      </c>
      <c r="F3943">
        <f>IF(INDEX(Transactions!$J:$J,ROW()-8)="",0,INDEX(Transactions!$O:$O,ROW()-8))</f>
      </c>
    </row>
    <row r="3944" spans="1:7">
      <c r="B3944">
        <f>IF(INDEX(Transactions!$J:$J,ROW()-8)="",TODAY(),INDEX(Transactions!$G:$G,ROW()-8))</f>
      </c>
      <c r="F3944">
        <f>IF(INDEX(Transactions!$J:$J,ROW()-8)="",0,INDEX(Transactions!$O:$O,ROW()-8))</f>
      </c>
    </row>
    <row r="3945" spans="1:7">
      <c r="B3945">
        <f>IF(INDEX(Transactions!$J:$J,ROW()-8)="",TODAY(),INDEX(Transactions!$G:$G,ROW()-8))</f>
      </c>
      <c r="F3945">
        <f>IF(INDEX(Transactions!$J:$J,ROW()-8)="",0,INDEX(Transactions!$O:$O,ROW()-8))</f>
      </c>
    </row>
    <row r="3946" spans="1:7">
      <c r="B3946">
        <f>IF(INDEX(Transactions!$J:$J,ROW()-8)="",TODAY(),INDEX(Transactions!$G:$G,ROW()-8))</f>
      </c>
      <c r="F3946">
        <f>IF(INDEX(Transactions!$J:$J,ROW()-8)="",0,INDEX(Transactions!$O:$O,ROW()-8))</f>
      </c>
    </row>
    <row r="3947" spans="1:7">
      <c r="B3947">
        <f>IF(INDEX(Transactions!$J:$J,ROW()-8)="",TODAY(),INDEX(Transactions!$G:$G,ROW()-8))</f>
      </c>
      <c r="F3947">
        <f>IF(INDEX(Transactions!$J:$J,ROW()-8)="",0,INDEX(Transactions!$O:$O,ROW()-8))</f>
      </c>
    </row>
    <row r="3948" spans="1:7">
      <c r="B3948">
        <f>IF(INDEX(Transactions!$J:$J,ROW()-8)="",TODAY(),INDEX(Transactions!$G:$G,ROW()-8))</f>
      </c>
      <c r="F3948">
        <f>IF(INDEX(Transactions!$J:$J,ROW()-8)="",0,INDEX(Transactions!$O:$O,ROW()-8))</f>
      </c>
    </row>
    <row r="3949" spans="1:7">
      <c r="B3949">
        <f>IF(INDEX(Transactions!$J:$J,ROW()-8)="",TODAY(),INDEX(Transactions!$G:$G,ROW()-8))</f>
      </c>
      <c r="F3949">
        <f>IF(INDEX(Transactions!$J:$J,ROW()-8)="",0,INDEX(Transactions!$O:$O,ROW()-8))</f>
      </c>
    </row>
    <row r="3950" spans="1:7">
      <c r="B3950">
        <f>IF(INDEX(Transactions!$J:$J,ROW()-8)="",TODAY(),INDEX(Transactions!$G:$G,ROW()-8))</f>
      </c>
      <c r="F3950">
        <f>IF(INDEX(Transactions!$J:$J,ROW()-8)="",0,INDEX(Transactions!$O:$O,ROW()-8))</f>
      </c>
    </row>
    <row r="3951" spans="1:7">
      <c r="B3951">
        <f>IF(INDEX(Transactions!$J:$J,ROW()-8)="",TODAY(),INDEX(Transactions!$G:$G,ROW()-8))</f>
      </c>
      <c r="F3951">
        <f>IF(INDEX(Transactions!$J:$J,ROW()-8)="",0,INDEX(Transactions!$O:$O,ROW()-8))</f>
      </c>
    </row>
    <row r="3952" spans="1:7">
      <c r="B3952">
        <f>IF(INDEX(Transactions!$J:$J,ROW()-8)="",TODAY(),INDEX(Transactions!$G:$G,ROW()-8))</f>
      </c>
      <c r="F3952">
        <f>IF(INDEX(Transactions!$J:$J,ROW()-8)="",0,INDEX(Transactions!$O:$O,ROW()-8))</f>
      </c>
    </row>
    <row r="3953" spans="1:7">
      <c r="B3953">
        <f>IF(INDEX(Transactions!$J:$J,ROW()-8)="",TODAY(),INDEX(Transactions!$G:$G,ROW()-8))</f>
      </c>
      <c r="F3953">
        <f>IF(INDEX(Transactions!$J:$J,ROW()-8)="",0,INDEX(Transactions!$O:$O,ROW()-8))</f>
      </c>
    </row>
    <row r="3954" spans="1:7">
      <c r="B3954">
        <f>IF(INDEX(Transactions!$J:$J,ROW()-8)="",TODAY(),INDEX(Transactions!$G:$G,ROW()-8))</f>
      </c>
      <c r="F3954">
        <f>IF(INDEX(Transactions!$J:$J,ROW()-8)="",0,INDEX(Transactions!$O:$O,ROW()-8))</f>
      </c>
    </row>
    <row r="3955" spans="1:7">
      <c r="B3955">
        <f>IF(INDEX(Transactions!$J:$J,ROW()-8)="",TODAY(),INDEX(Transactions!$G:$G,ROW()-8))</f>
      </c>
      <c r="F3955">
        <f>IF(INDEX(Transactions!$J:$J,ROW()-8)="",0,INDEX(Transactions!$O:$O,ROW()-8))</f>
      </c>
    </row>
    <row r="3956" spans="1:7">
      <c r="B3956">
        <f>IF(INDEX(Transactions!$J:$J,ROW()-8)="",TODAY(),INDEX(Transactions!$G:$G,ROW()-8))</f>
      </c>
      <c r="F3956">
        <f>IF(INDEX(Transactions!$J:$J,ROW()-8)="",0,INDEX(Transactions!$O:$O,ROW()-8))</f>
      </c>
    </row>
    <row r="3957" spans="1:7">
      <c r="B3957">
        <f>IF(INDEX(Transactions!$J:$J,ROW()-8)="",TODAY(),INDEX(Transactions!$G:$G,ROW()-8))</f>
      </c>
      <c r="F3957">
        <f>IF(INDEX(Transactions!$J:$J,ROW()-8)="",0,INDEX(Transactions!$O:$O,ROW()-8))</f>
      </c>
    </row>
    <row r="3958" spans="1:7">
      <c r="B3958">
        <f>IF(INDEX(Transactions!$J:$J,ROW()-8)="",TODAY(),INDEX(Transactions!$G:$G,ROW()-8))</f>
      </c>
      <c r="F3958">
        <f>IF(INDEX(Transactions!$J:$J,ROW()-8)="",0,INDEX(Transactions!$O:$O,ROW()-8))</f>
      </c>
    </row>
    <row r="3959" spans="1:7">
      <c r="B3959">
        <f>IF(INDEX(Transactions!$J:$J,ROW()-8)="",TODAY(),INDEX(Transactions!$G:$G,ROW()-8))</f>
      </c>
      <c r="F3959">
        <f>IF(INDEX(Transactions!$J:$J,ROW()-8)="",0,INDEX(Transactions!$O:$O,ROW()-8))</f>
      </c>
    </row>
    <row r="3960" spans="1:7">
      <c r="B3960">
        <f>IF(INDEX(Transactions!$J:$J,ROW()-8)="",TODAY(),INDEX(Transactions!$G:$G,ROW()-8))</f>
      </c>
      <c r="F3960">
        <f>IF(INDEX(Transactions!$J:$J,ROW()-8)="",0,INDEX(Transactions!$O:$O,ROW()-8))</f>
      </c>
    </row>
    <row r="3961" spans="1:7">
      <c r="B3961">
        <f>IF(INDEX(Transactions!$J:$J,ROW()-8)="",TODAY(),INDEX(Transactions!$G:$G,ROW()-8))</f>
      </c>
      <c r="F3961">
        <f>IF(INDEX(Transactions!$J:$J,ROW()-8)="",0,INDEX(Transactions!$O:$O,ROW()-8))</f>
      </c>
    </row>
    <row r="3962" spans="1:7">
      <c r="B3962">
        <f>IF(INDEX(Transactions!$J:$J,ROW()-8)="",TODAY(),INDEX(Transactions!$G:$G,ROW()-8))</f>
      </c>
      <c r="F3962">
        <f>IF(INDEX(Transactions!$J:$J,ROW()-8)="",0,INDEX(Transactions!$O:$O,ROW()-8))</f>
      </c>
    </row>
    <row r="3963" spans="1:7">
      <c r="B3963">
        <f>IF(INDEX(Transactions!$J:$J,ROW()-8)="",TODAY(),INDEX(Transactions!$G:$G,ROW()-8))</f>
      </c>
      <c r="F3963">
        <f>IF(INDEX(Transactions!$J:$J,ROW()-8)="",0,INDEX(Transactions!$O:$O,ROW()-8))</f>
      </c>
    </row>
    <row r="3964" spans="1:7">
      <c r="B3964">
        <f>IF(INDEX(Transactions!$J:$J,ROW()-8)="",TODAY(),INDEX(Transactions!$G:$G,ROW()-8))</f>
      </c>
      <c r="F3964">
        <f>IF(INDEX(Transactions!$J:$J,ROW()-8)="",0,INDEX(Transactions!$O:$O,ROW()-8))</f>
      </c>
    </row>
    <row r="3965" spans="1:7">
      <c r="B3965">
        <f>IF(INDEX(Transactions!$J:$J,ROW()-8)="",TODAY(),INDEX(Transactions!$G:$G,ROW()-8))</f>
      </c>
      <c r="F3965">
        <f>IF(INDEX(Transactions!$J:$J,ROW()-8)="",0,INDEX(Transactions!$O:$O,ROW()-8))</f>
      </c>
    </row>
    <row r="3966" spans="1:7">
      <c r="B3966">
        <f>IF(INDEX(Transactions!$J:$J,ROW()-8)="",TODAY(),INDEX(Transactions!$G:$G,ROW()-8))</f>
      </c>
      <c r="F3966">
        <f>IF(INDEX(Transactions!$J:$J,ROW()-8)="",0,INDEX(Transactions!$O:$O,ROW()-8))</f>
      </c>
    </row>
    <row r="3967" spans="1:7">
      <c r="B3967">
        <f>IF(INDEX(Transactions!$J:$J,ROW()-8)="",TODAY(),INDEX(Transactions!$G:$G,ROW()-8))</f>
      </c>
      <c r="F3967">
        <f>IF(INDEX(Transactions!$J:$J,ROW()-8)="",0,INDEX(Transactions!$O:$O,ROW()-8))</f>
      </c>
    </row>
    <row r="3968" spans="1:7">
      <c r="B3968">
        <f>IF(INDEX(Transactions!$J:$J,ROW()-8)="",TODAY(),INDEX(Transactions!$G:$G,ROW()-8))</f>
      </c>
      <c r="F3968">
        <f>IF(INDEX(Transactions!$J:$J,ROW()-8)="",0,INDEX(Transactions!$O:$O,ROW()-8))</f>
      </c>
    </row>
    <row r="3969" spans="1:7">
      <c r="B3969">
        <f>IF(INDEX(Transactions!$J:$J,ROW()-8)="",TODAY(),INDEX(Transactions!$G:$G,ROW()-8))</f>
      </c>
      <c r="F3969">
        <f>IF(INDEX(Transactions!$J:$J,ROW()-8)="",0,INDEX(Transactions!$O:$O,ROW()-8))</f>
      </c>
    </row>
    <row r="3970" spans="1:7">
      <c r="B3970">
        <f>IF(INDEX(Transactions!$J:$J,ROW()-8)="",TODAY(),INDEX(Transactions!$G:$G,ROW()-8))</f>
      </c>
      <c r="F3970">
        <f>IF(INDEX(Transactions!$J:$J,ROW()-8)="",0,INDEX(Transactions!$O:$O,ROW()-8))</f>
      </c>
    </row>
    <row r="3971" spans="1:7">
      <c r="B3971">
        <f>IF(INDEX(Transactions!$J:$J,ROW()-8)="",TODAY(),INDEX(Transactions!$G:$G,ROW()-8))</f>
      </c>
      <c r="F3971">
        <f>IF(INDEX(Transactions!$J:$J,ROW()-8)="",0,INDEX(Transactions!$O:$O,ROW()-8))</f>
      </c>
    </row>
    <row r="3972" spans="1:7">
      <c r="B3972">
        <f>IF(INDEX(Transactions!$J:$J,ROW()-8)="",TODAY(),INDEX(Transactions!$G:$G,ROW()-8))</f>
      </c>
      <c r="F3972">
        <f>IF(INDEX(Transactions!$J:$J,ROW()-8)="",0,INDEX(Transactions!$O:$O,ROW()-8))</f>
      </c>
    </row>
    <row r="3973" spans="1:7">
      <c r="B3973">
        <f>IF(INDEX(Transactions!$J:$J,ROW()-8)="",TODAY(),INDEX(Transactions!$G:$G,ROW()-8))</f>
      </c>
      <c r="F3973">
        <f>IF(INDEX(Transactions!$J:$J,ROW()-8)="",0,INDEX(Transactions!$O:$O,ROW()-8))</f>
      </c>
    </row>
    <row r="3974" spans="1:7">
      <c r="B3974">
        <f>IF(INDEX(Transactions!$J:$J,ROW()-8)="",TODAY(),INDEX(Transactions!$G:$G,ROW()-8))</f>
      </c>
      <c r="F3974">
        <f>IF(INDEX(Transactions!$J:$J,ROW()-8)="",0,INDEX(Transactions!$O:$O,ROW()-8))</f>
      </c>
    </row>
    <row r="3975" spans="1:7">
      <c r="B3975">
        <f>IF(INDEX(Transactions!$J:$J,ROW()-8)="",TODAY(),INDEX(Transactions!$G:$G,ROW()-8))</f>
      </c>
      <c r="F3975">
        <f>IF(INDEX(Transactions!$J:$J,ROW()-8)="",0,INDEX(Transactions!$O:$O,ROW()-8))</f>
      </c>
    </row>
    <row r="3976" spans="1:7">
      <c r="B3976">
        <f>IF(INDEX(Transactions!$J:$J,ROW()-8)="",TODAY(),INDEX(Transactions!$G:$G,ROW()-8))</f>
      </c>
      <c r="F3976">
        <f>IF(INDEX(Transactions!$J:$J,ROW()-8)="",0,INDEX(Transactions!$O:$O,ROW()-8))</f>
      </c>
    </row>
    <row r="3977" spans="1:7">
      <c r="B3977">
        <f>IF(INDEX(Transactions!$J:$J,ROW()-8)="",TODAY(),INDEX(Transactions!$G:$G,ROW()-8))</f>
      </c>
      <c r="F3977">
        <f>IF(INDEX(Transactions!$J:$J,ROW()-8)="",0,INDEX(Transactions!$O:$O,ROW()-8))</f>
      </c>
    </row>
    <row r="3978" spans="1:7">
      <c r="B3978">
        <f>IF(INDEX(Transactions!$J:$J,ROW()-8)="",TODAY(),INDEX(Transactions!$G:$G,ROW()-8))</f>
      </c>
      <c r="F3978">
        <f>IF(INDEX(Transactions!$J:$J,ROW()-8)="",0,INDEX(Transactions!$O:$O,ROW()-8))</f>
      </c>
    </row>
    <row r="3979" spans="1:7">
      <c r="B3979">
        <f>IF(INDEX(Transactions!$J:$J,ROW()-8)="",TODAY(),INDEX(Transactions!$G:$G,ROW()-8))</f>
      </c>
      <c r="F3979">
        <f>IF(INDEX(Transactions!$J:$J,ROW()-8)="",0,INDEX(Transactions!$O:$O,ROW()-8))</f>
      </c>
    </row>
    <row r="3980" spans="1:7">
      <c r="B3980">
        <f>IF(INDEX(Transactions!$J:$J,ROW()-8)="",TODAY(),INDEX(Transactions!$G:$G,ROW()-8))</f>
      </c>
      <c r="F3980">
        <f>IF(INDEX(Transactions!$J:$J,ROW()-8)="",0,INDEX(Transactions!$O:$O,ROW()-8))</f>
      </c>
    </row>
    <row r="3981" spans="1:7">
      <c r="B3981">
        <f>IF(INDEX(Transactions!$J:$J,ROW()-8)="",TODAY(),INDEX(Transactions!$G:$G,ROW()-8))</f>
      </c>
      <c r="F3981">
        <f>IF(INDEX(Transactions!$J:$J,ROW()-8)="",0,INDEX(Transactions!$O:$O,ROW()-8))</f>
      </c>
    </row>
    <row r="3982" spans="1:7">
      <c r="B3982">
        <f>IF(INDEX(Transactions!$J:$J,ROW()-8)="",TODAY(),INDEX(Transactions!$G:$G,ROW()-8))</f>
      </c>
      <c r="F3982">
        <f>IF(INDEX(Transactions!$J:$J,ROW()-8)="",0,INDEX(Transactions!$O:$O,ROW()-8))</f>
      </c>
    </row>
    <row r="3983" spans="1:7">
      <c r="B3983">
        <f>IF(INDEX(Transactions!$J:$J,ROW()-8)="",TODAY(),INDEX(Transactions!$G:$G,ROW()-8))</f>
      </c>
      <c r="F3983">
        <f>IF(INDEX(Transactions!$J:$J,ROW()-8)="",0,INDEX(Transactions!$O:$O,ROW()-8))</f>
      </c>
    </row>
    <row r="3984" spans="1:7">
      <c r="B3984">
        <f>IF(INDEX(Transactions!$J:$J,ROW()-8)="",TODAY(),INDEX(Transactions!$G:$G,ROW()-8))</f>
      </c>
      <c r="F3984">
        <f>IF(INDEX(Transactions!$J:$J,ROW()-8)="",0,INDEX(Transactions!$O:$O,ROW()-8))</f>
      </c>
    </row>
    <row r="3985" spans="1:7">
      <c r="B3985">
        <f>IF(INDEX(Transactions!$J:$J,ROW()-8)="",TODAY(),INDEX(Transactions!$G:$G,ROW()-8))</f>
      </c>
      <c r="F3985">
        <f>IF(INDEX(Transactions!$J:$J,ROW()-8)="",0,INDEX(Transactions!$O:$O,ROW()-8))</f>
      </c>
    </row>
    <row r="3986" spans="1:7">
      <c r="B3986">
        <f>IF(INDEX(Transactions!$J:$J,ROW()-8)="",TODAY(),INDEX(Transactions!$G:$G,ROW()-8))</f>
      </c>
      <c r="F3986">
        <f>IF(INDEX(Transactions!$J:$J,ROW()-8)="",0,INDEX(Transactions!$O:$O,ROW()-8))</f>
      </c>
    </row>
    <row r="3987" spans="1:7">
      <c r="B3987">
        <f>IF(INDEX(Transactions!$J:$J,ROW()-8)="",TODAY(),INDEX(Transactions!$G:$G,ROW()-8))</f>
      </c>
      <c r="F3987">
        <f>IF(INDEX(Transactions!$J:$J,ROW()-8)="",0,INDEX(Transactions!$O:$O,ROW()-8))</f>
      </c>
    </row>
    <row r="3988" spans="1:7">
      <c r="B3988">
        <f>IF(INDEX(Transactions!$J:$J,ROW()-8)="",TODAY(),INDEX(Transactions!$G:$G,ROW()-8))</f>
      </c>
      <c r="F3988">
        <f>IF(INDEX(Transactions!$J:$J,ROW()-8)="",0,INDEX(Transactions!$O:$O,ROW()-8))</f>
      </c>
    </row>
    <row r="3989" spans="1:7">
      <c r="B3989">
        <f>IF(INDEX(Transactions!$J:$J,ROW()-8)="",TODAY(),INDEX(Transactions!$G:$G,ROW()-8))</f>
      </c>
      <c r="F3989">
        <f>IF(INDEX(Transactions!$J:$J,ROW()-8)="",0,INDEX(Transactions!$O:$O,ROW()-8))</f>
      </c>
    </row>
    <row r="3990" spans="1:7">
      <c r="B3990">
        <f>IF(INDEX(Transactions!$J:$J,ROW()-8)="",TODAY(),INDEX(Transactions!$G:$G,ROW()-8))</f>
      </c>
      <c r="F3990">
        <f>IF(INDEX(Transactions!$J:$J,ROW()-8)="",0,INDEX(Transactions!$O:$O,ROW()-8))</f>
      </c>
    </row>
    <row r="3991" spans="1:7">
      <c r="B3991">
        <f>IF(INDEX(Transactions!$J:$J,ROW()-8)="",TODAY(),INDEX(Transactions!$G:$G,ROW()-8))</f>
      </c>
      <c r="F3991">
        <f>IF(INDEX(Transactions!$J:$J,ROW()-8)="",0,INDEX(Transactions!$O:$O,ROW()-8))</f>
      </c>
    </row>
    <row r="3992" spans="1:7">
      <c r="B3992">
        <f>IF(INDEX(Transactions!$J:$J,ROW()-8)="",TODAY(),INDEX(Transactions!$G:$G,ROW()-8))</f>
      </c>
      <c r="F3992">
        <f>IF(INDEX(Transactions!$J:$J,ROW()-8)="",0,INDEX(Transactions!$O:$O,ROW()-8))</f>
      </c>
    </row>
    <row r="3993" spans="1:7">
      <c r="B3993">
        <f>IF(INDEX(Transactions!$J:$J,ROW()-8)="",TODAY(),INDEX(Transactions!$G:$G,ROW()-8))</f>
      </c>
      <c r="F3993">
        <f>IF(INDEX(Transactions!$J:$J,ROW()-8)="",0,INDEX(Transactions!$O:$O,ROW()-8))</f>
      </c>
    </row>
    <row r="3994" spans="1:7">
      <c r="B3994">
        <f>IF(INDEX(Transactions!$J:$J,ROW()-8)="",TODAY(),INDEX(Transactions!$G:$G,ROW()-8))</f>
      </c>
      <c r="F3994">
        <f>IF(INDEX(Transactions!$J:$J,ROW()-8)="",0,INDEX(Transactions!$O:$O,ROW()-8))</f>
      </c>
    </row>
    <row r="3995" spans="1:7">
      <c r="B3995">
        <f>IF(INDEX(Transactions!$J:$J,ROW()-8)="",TODAY(),INDEX(Transactions!$G:$G,ROW()-8))</f>
      </c>
      <c r="F3995">
        <f>IF(INDEX(Transactions!$J:$J,ROW()-8)="",0,INDEX(Transactions!$O:$O,ROW()-8))</f>
      </c>
    </row>
    <row r="3996" spans="1:7">
      <c r="B3996">
        <f>IF(INDEX(Transactions!$J:$J,ROW()-8)="",TODAY(),INDEX(Transactions!$G:$G,ROW()-8))</f>
      </c>
      <c r="F3996">
        <f>IF(INDEX(Transactions!$J:$J,ROW()-8)="",0,INDEX(Transactions!$O:$O,ROW()-8))</f>
      </c>
    </row>
    <row r="3997" spans="1:7">
      <c r="B3997">
        <f>IF(INDEX(Transactions!$J:$J,ROW()-8)="",TODAY(),INDEX(Transactions!$G:$G,ROW()-8))</f>
      </c>
      <c r="F3997">
        <f>IF(INDEX(Transactions!$J:$J,ROW()-8)="",0,INDEX(Transactions!$O:$O,ROW()-8))</f>
      </c>
    </row>
    <row r="3998" spans="1:7">
      <c r="B3998">
        <f>IF(INDEX(Transactions!$J:$J,ROW()-8)="",TODAY(),INDEX(Transactions!$G:$G,ROW()-8))</f>
      </c>
      <c r="F3998">
        <f>IF(INDEX(Transactions!$J:$J,ROW()-8)="",0,INDEX(Transactions!$O:$O,ROW()-8))</f>
      </c>
    </row>
    <row r="3999" spans="1:7">
      <c r="B3999">
        <f>IF(INDEX(Transactions!$J:$J,ROW()-8)="",TODAY(),INDEX(Transactions!$G:$G,ROW()-8))</f>
      </c>
      <c r="F3999">
        <f>IF(INDEX(Transactions!$J:$J,ROW()-8)="",0,INDEX(Transactions!$O:$O,ROW()-8))</f>
      </c>
    </row>
    <row r="4000" spans="1:7">
      <c r="B4000">
        <f>IF(INDEX(Transactions!$J:$J,ROW()-8)="",TODAY(),INDEX(Transactions!$G:$G,ROW()-8))</f>
      </c>
      <c r="F4000">
        <f>IF(INDEX(Transactions!$J:$J,ROW()-8)="",0,INDEX(Transactions!$O:$O,ROW()-8))</f>
      </c>
    </row>
    <row r="4001" spans="1:7">
      <c r="B4001">
        <f>IF(INDEX(Transactions!$J:$J,ROW()-8)="",TODAY(),INDEX(Transactions!$G:$G,ROW()-8))</f>
      </c>
      <c r="F4001">
        <f>IF(INDEX(Transactions!$J:$J,ROW()-8)="",0,INDEX(Transactions!$O:$O,ROW()-8))</f>
      </c>
    </row>
    <row r="4002" spans="1:7">
      <c r="B4002">
        <f>IF(INDEX(Transactions!$J:$J,ROW()-8)="",TODAY(),INDEX(Transactions!$G:$G,ROW()-8))</f>
      </c>
      <c r="F4002">
        <f>IF(INDEX(Transactions!$J:$J,ROW()-8)="",0,INDEX(Transactions!$O:$O,ROW()-8))</f>
      </c>
    </row>
    <row r="4003" spans="1:7">
      <c r="B4003">
        <f>IF(INDEX(Transactions!$J:$J,ROW()-8)="",TODAY(),INDEX(Transactions!$G:$G,ROW()-8))</f>
      </c>
      <c r="F4003">
        <f>IF(INDEX(Transactions!$J:$J,ROW()-8)="",0,INDEX(Transactions!$O:$O,ROW()-8))</f>
      </c>
    </row>
    <row r="4004" spans="1:7">
      <c r="B4004">
        <f>IF(INDEX(Transactions!$J:$J,ROW()-8)="",TODAY(),INDEX(Transactions!$G:$G,ROW()-8))</f>
      </c>
      <c r="F4004">
        <f>IF(INDEX(Transactions!$J:$J,ROW()-8)="",0,INDEX(Transactions!$O:$O,ROW()-8))</f>
      </c>
    </row>
    <row r="4005" spans="1:7">
      <c r="B4005">
        <f>IF(INDEX(Transactions!$J:$J,ROW()-8)="",TODAY(),INDEX(Transactions!$G:$G,ROW()-8))</f>
      </c>
      <c r="F4005">
        <f>IF(INDEX(Transactions!$J:$J,ROW()-8)="",0,INDEX(Transactions!$O:$O,ROW()-8))</f>
      </c>
    </row>
    <row r="4006" spans="1:7">
      <c r="B4006">
        <f>IF(INDEX(Transactions!$J:$J,ROW()-8)="",TODAY(),INDEX(Transactions!$G:$G,ROW()-8))</f>
      </c>
      <c r="F4006">
        <f>IF(INDEX(Transactions!$J:$J,ROW()-8)="",0,INDEX(Transactions!$O:$O,ROW()-8))</f>
      </c>
    </row>
    <row r="4007" spans="1:7">
      <c r="B4007">
        <f>IF(INDEX(Transactions!$J:$J,ROW()-8)="",TODAY(),INDEX(Transactions!$G:$G,ROW()-8))</f>
      </c>
      <c r="F4007">
        <f>IF(INDEX(Transactions!$J:$J,ROW()-8)="",0,INDEX(Transactions!$O:$O,ROW()-8))</f>
      </c>
    </row>
    <row r="4008" spans="1:7">
      <c r="B4008">
        <f>IF(INDEX(Transactions!$J:$J,ROW()-8)="",TODAY(),INDEX(Transactions!$G:$G,ROW()-8))</f>
      </c>
      <c r="F4008">
        <f>IF(INDEX(Transactions!$J:$J,ROW()-8)="",0,INDEX(Transactions!$O:$O,ROW()-8))</f>
      </c>
    </row>
    <row r="4009" spans="1:7">
      <c r="B4009">
        <f>IF(INDEX(Transactions!$J:$J,ROW()-8)="",TODAY(),INDEX(Transactions!$G:$G,ROW()-8))</f>
      </c>
      <c r="F4009">
        <f>IF(INDEX(Transactions!$J:$J,ROW()-8)="",0,INDEX(Transactions!$O:$O,ROW()-8))</f>
      </c>
    </row>
    <row r="4010" spans="1:7">
      <c r="B4010">
        <f>IF(INDEX(Transactions!$J:$J,ROW()-8)="",TODAY(),INDEX(Transactions!$G:$G,ROW()-8))</f>
      </c>
      <c r="F4010">
        <f>IF(INDEX(Transactions!$J:$J,ROW()-8)="",0,INDEX(Transactions!$O:$O,ROW()-8))</f>
      </c>
    </row>
    <row r="4011" spans="1:7">
      <c r="B4011">
        <f>IF(INDEX(Transactions!$J:$J,ROW()-8)="",TODAY(),INDEX(Transactions!$G:$G,ROW()-8))</f>
      </c>
      <c r="F4011">
        <f>IF(INDEX(Transactions!$J:$J,ROW()-8)="",0,INDEX(Transactions!$O:$O,ROW()-8))</f>
      </c>
    </row>
    <row r="4012" spans="1:7">
      <c r="B4012">
        <f>IF(INDEX(Transactions!$J:$J,ROW()-8)="",TODAY(),INDEX(Transactions!$G:$G,ROW()-8))</f>
      </c>
      <c r="F4012">
        <f>IF(INDEX(Transactions!$J:$J,ROW()-8)="",0,INDEX(Transactions!$O:$O,ROW()-8))</f>
      </c>
    </row>
    <row r="4013" spans="1:7">
      <c r="B4013">
        <f>IF(INDEX(Transactions!$J:$J,ROW()-8)="",TODAY(),INDEX(Transactions!$G:$G,ROW()-8))</f>
      </c>
      <c r="F4013">
        <f>IF(INDEX(Transactions!$J:$J,ROW()-8)="",0,INDEX(Transactions!$O:$O,ROW()-8))</f>
      </c>
    </row>
    <row r="4014" spans="1:7">
      <c r="B4014">
        <f>IF(INDEX(Transactions!$J:$J,ROW()-8)="",TODAY(),INDEX(Transactions!$G:$G,ROW()-8))</f>
      </c>
      <c r="F4014">
        <f>IF(INDEX(Transactions!$J:$J,ROW()-8)="",0,INDEX(Transactions!$O:$O,ROW()-8))</f>
      </c>
    </row>
    <row r="4015" spans="1:7">
      <c r="B4015">
        <f>IF(INDEX(Transactions!$J:$J,ROW()-8)="",TODAY(),INDEX(Transactions!$G:$G,ROW()-8))</f>
      </c>
      <c r="F4015">
        <f>IF(INDEX(Transactions!$J:$J,ROW()-8)="",0,INDEX(Transactions!$O:$O,ROW()-8))</f>
      </c>
    </row>
    <row r="4016" spans="1:7">
      <c r="B4016">
        <f>IF(INDEX(Transactions!$J:$J,ROW()-8)="",TODAY(),INDEX(Transactions!$G:$G,ROW()-8))</f>
      </c>
      <c r="F4016">
        <f>IF(INDEX(Transactions!$J:$J,ROW()-8)="",0,INDEX(Transactions!$O:$O,ROW()-8))</f>
      </c>
    </row>
    <row r="4017" spans="1:7">
      <c r="B4017">
        <f>IF(INDEX(Transactions!$J:$J,ROW()-8)="",TODAY(),INDEX(Transactions!$G:$G,ROW()-8))</f>
      </c>
      <c r="F4017">
        <f>IF(INDEX(Transactions!$J:$J,ROW()-8)="",0,INDEX(Transactions!$O:$O,ROW()-8))</f>
      </c>
    </row>
    <row r="4018" spans="1:7">
      <c r="B4018">
        <f>IF(INDEX(Transactions!$J:$J,ROW()-8)="",TODAY(),INDEX(Transactions!$G:$G,ROW()-8))</f>
      </c>
      <c r="F4018">
        <f>IF(INDEX(Transactions!$J:$J,ROW()-8)="",0,INDEX(Transactions!$O:$O,ROW()-8))</f>
      </c>
    </row>
    <row r="4019" spans="1:7">
      <c r="B4019">
        <f>IF(INDEX(Transactions!$J:$J,ROW()-8)="",TODAY(),INDEX(Transactions!$G:$G,ROW()-8))</f>
      </c>
      <c r="F4019">
        <f>IF(INDEX(Transactions!$J:$J,ROW()-8)="",0,INDEX(Transactions!$O:$O,ROW()-8))</f>
      </c>
    </row>
    <row r="4020" spans="1:7">
      <c r="B4020">
        <f>IF(INDEX(Transactions!$J:$J,ROW()-8)="",TODAY(),INDEX(Transactions!$G:$G,ROW()-8))</f>
      </c>
      <c r="F4020">
        <f>IF(INDEX(Transactions!$J:$J,ROW()-8)="",0,INDEX(Transactions!$O:$O,ROW()-8))</f>
      </c>
    </row>
    <row r="4021" spans="1:7">
      <c r="B4021">
        <f>IF(INDEX(Transactions!$J:$J,ROW()-8)="",TODAY(),INDEX(Transactions!$G:$G,ROW()-8))</f>
      </c>
      <c r="F4021">
        <f>IF(INDEX(Transactions!$J:$J,ROW()-8)="",0,INDEX(Transactions!$O:$O,ROW()-8))</f>
      </c>
    </row>
    <row r="4022" spans="1:7">
      <c r="B4022">
        <f>IF(INDEX(Transactions!$J:$J,ROW()-8)="",TODAY(),INDEX(Transactions!$G:$G,ROW()-8))</f>
      </c>
      <c r="F4022">
        <f>IF(INDEX(Transactions!$J:$J,ROW()-8)="",0,INDEX(Transactions!$O:$O,ROW()-8))</f>
      </c>
    </row>
    <row r="4023" spans="1:7">
      <c r="B4023">
        <f>IF(INDEX(Transactions!$J:$J,ROW()-8)="",TODAY(),INDEX(Transactions!$G:$G,ROW()-8))</f>
      </c>
      <c r="F4023">
        <f>IF(INDEX(Transactions!$J:$J,ROW()-8)="",0,INDEX(Transactions!$O:$O,ROW()-8))</f>
      </c>
    </row>
    <row r="4024" spans="1:7">
      <c r="B4024">
        <f>IF(INDEX(Transactions!$J:$J,ROW()-8)="",TODAY(),INDEX(Transactions!$G:$G,ROW()-8))</f>
      </c>
      <c r="F4024">
        <f>IF(INDEX(Transactions!$J:$J,ROW()-8)="",0,INDEX(Transactions!$O:$O,ROW()-8))</f>
      </c>
    </row>
    <row r="4025" spans="1:7">
      <c r="B4025">
        <f>IF(INDEX(Transactions!$J:$J,ROW()-8)="",TODAY(),INDEX(Transactions!$G:$G,ROW()-8))</f>
      </c>
      <c r="F4025">
        <f>IF(INDEX(Transactions!$J:$J,ROW()-8)="",0,INDEX(Transactions!$O:$O,ROW()-8))</f>
      </c>
    </row>
    <row r="4026" spans="1:7">
      <c r="B4026">
        <f>IF(INDEX(Transactions!$J:$J,ROW()-8)="",TODAY(),INDEX(Transactions!$G:$G,ROW()-8))</f>
      </c>
      <c r="F4026">
        <f>IF(INDEX(Transactions!$J:$J,ROW()-8)="",0,INDEX(Transactions!$O:$O,ROW()-8))</f>
      </c>
    </row>
    <row r="4027" spans="1:7">
      <c r="B4027">
        <f>IF(INDEX(Transactions!$J:$J,ROW()-8)="",TODAY(),INDEX(Transactions!$G:$G,ROW()-8))</f>
      </c>
      <c r="F4027">
        <f>IF(INDEX(Transactions!$J:$J,ROW()-8)="",0,INDEX(Transactions!$O:$O,ROW()-8))</f>
      </c>
    </row>
    <row r="4028" spans="1:7">
      <c r="B4028">
        <f>IF(INDEX(Transactions!$J:$J,ROW()-8)="",TODAY(),INDEX(Transactions!$G:$G,ROW()-8))</f>
      </c>
      <c r="F4028">
        <f>IF(INDEX(Transactions!$J:$J,ROW()-8)="",0,INDEX(Transactions!$O:$O,ROW()-8))</f>
      </c>
    </row>
    <row r="4029" spans="1:7">
      <c r="B4029">
        <f>IF(INDEX(Transactions!$J:$J,ROW()-8)="",TODAY(),INDEX(Transactions!$G:$G,ROW()-8))</f>
      </c>
      <c r="F4029">
        <f>IF(INDEX(Transactions!$J:$J,ROW()-8)="",0,INDEX(Transactions!$O:$O,ROW()-8))</f>
      </c>
    </row>
    <row r="4030" spans="1:7">
      <c r="B4030">
        <f>IF(INDEX(Transactions!$J:$J,ROW()-8)="",TODAY(),INDEX(Transactions!$G:$G,ROW()-8))</f>
      </c>
      <c r="F4030">
        <f>IF(INDEX(Transactions!$J:$J,ROW()-8)="",0,INDEX(Transactions!$O:$O,ROW()-8))</f>
      </c>
    </row>
    <row r="4031" spans="1:7">
      <c r="B4031">
        <f>IF(INDEX(Transactions!$J:$J,ROW()-8)="",TODAY(),INDEX(Transactions!$G:$G,ROW()-8))</f>
      </c>
      <c r="F4031">
        <f>IF(INDEX(Transactions!$J:$J,ROW()-8)="",0,INDEX(Transactions!$O:$O,ROW()-8))</f>
      </c>
    </row>
    <row r="4032" spans="1:7">
      <c r="B4032">
        <f>IF(INDEX(Transactions!$J:$J,ROW()-8)="",TODAY(),INDEX(Transactions!$G:$G,ROW()-8))</f>
      </c>
      <c r="F4032">
        <f>IF(INDEX(Transactions!$J:$J,ROW()-8)="",0,INDEX(Transactions!$O:$O,ROW()-8))</f>
      </c>
    </row>
    <row r="4033" spans="1:7">
      <c r="B4033">
        <f>IF(INDEX(Transactions!$J:$J,ROW()-8)="",TODAY(),INDEX(Transactions!$G:$G,ROW()-8))</f>
      </c>
      <c r="F4033">
        <f>IF(INDEX(Transactions!$J:$J,ROW()-8)="",0,INDEX(Transactions!$O:$O,ROW()-8))</f>
      </c>
    </row>
    <row r="4034" spans="1:7">
      <c r="B4034">
        <f>IF(INDEX(Transactions!$J:$J,ROW()-8)="",TODAY(),INDEX(Transactions!$G:$G,ROW()-8))</f>
      </c>
      <c r="F4034">
        <f>IF(INDEX(Transactions!$J:$J,ROW()-8)="",0,INDEX(Transactions!$O:$O,ROW()-8))</f>
      </c>
    </row>
    <row r="4035" spans="1:7">
      <c r="B4035">
        <f>IF(INDEX(Transactions!$J:$J,ROW()-8)="",TODAY(),INDEX(Transactions!$G:$G,ROW()-8))</f>
      </c>
      <c r="F4035">
        <f>IF(INDEX(Transactions!$J:$J,ROW()-8)="",0,INDEX(Transactions!$O:$O,ROW()-8))</f>
      </c>
    </row>
    <row r="4036" spans="1:7">
      <c r="B4036">
        <f>IF(INDEX(Transactions!$J:$J,ROW()-8)="",TODAY(),INDEX(Transactions!$G:$G,ROW()-8))</f>
      </c>
      <c r="F4036">
        <f>IF(INDEX(Transactions!$J:$J,ROW()-8)="",0,INDEX(Transactions!$O:$O,ROW()-8))</f>
      </c>
    </row>
    <row r="4037" spans="1:7">
      <c r="B4037">
        <f>IF(INDEX(Transactions!$J:$J,ROW()-8)="",TODAY(),INDEX(Transactions!$G:$G,ROW()-8))</f>
      </c>
      <c r="F4037">
        <f>IF(INDEX(Transactions!$J:$J,ROW()-8)="",0,INDEX(Transactions!$O:$O,ROW()-8))</f>
      </c>
    </row>
    <row r="4038" spans="1:7">
      <c r="B4038">
        <f>IF(INDEX(Transactions!$J:$J,ROW()-8)="",TODAY(),INDEX(Transactions!$G:$G,ROW()-8))</f>
      </c>
      <c r="F4038">
        <f>IF(INDEX(Transactions!$J:$J,ROW()-8)="",0,INDEX(Transactions!$O:$O,ROW()-8))</f>
      </c>
    </row>
    <row r="4039" spans="1:7">
      <c r="B4039">
        <f>IF(INDEX(Transactions!$J:$J,ROW()-8)="",TODAY(),INDEX(Transactions!$G:$G,ROW()-8))</f>
      </c>
      <c r="F4039">
        <f>IF(INDEX(Transactions!$J:$J,ROW()-8)="",0,INDEX(Transactions!$O:$O,ROW()-8))</f>
      </c>
    </row>
    <row r="4040" spans="1:7">
      <c r="B4040">
        <f>IF(INDEX(Transactions!$J:$J,ROW()-8)="",TODAY(),INDEX(Transactions!$G:$G,ROW()-8))</f>
      </c>
      <c r="F4040">
        <f>IF(INDEX(Transactions!$J:$J,ROW()-8)="",0,INDEX(Transactions!$O:$O,ROW()-8))</f>
      </c>
    </row>
    <row r="4041" spans="1:7">
      <c r="B4041">
        <f>IF(INDEX(Transactions!$J:$J,ROW()-8)="",TODAY(),INDEX(Transactions!$G:$G,ROW()-8))</f>
      </c>
      <c r="F4041">
        <f>IF(INDEX(Transactions!$J:$J,ROW()-8)="",0,INDEX(Transactions!$O:$O,ROW()-8))</f>
      </c>
    </row>
    <row r="4042" spans="1:7">
      <c r="B4042">
        <f>IF(INDEX(Transactions!$J:$J,ROW()-8)="",TODAY(),INDEX(Transactions!$G:$G,ROW()-8))</f>
      </c>
      <c r="F4042">
        <f>IF(INDEX(Transactions!$J:$J,ROW()-8)="",0,INDEX(Transactions!$O:$O,ROW()-8))</f>
      </c>
    </row>
    <row r="4043" spans="1:7">
      <c r="B4043">
        <f>IF(INDEX(Transactions!$J:$J,ROW()-8)="",TODAY(),INDEX(Transactions!$G:$G,ROW()-8))</f>
      </c>
      <c r="F4043">
        <f>IF(INDEX(Transactions!$J:$J,ROW()-8)="",0,INDEX(Transactions!$O:$O,ROW()-8))</f>
      </c>
    </row>
    <row r="4044" spans="1:7">
      <c r="B4044">
        <f>IF(INDEX(Transactions!$J:$J,ROW()-8)="",TODAY(),INDEX(Transactions!$G:$G,ROW()-8))</f>
      </c>
      <c r="F4044">
        <f>IF(INDEX(Transactions!$J:$J,ROW()-8)="",0,INDEX(Transactions!$O:$O,ROW()-8))</f>
      </c>
    </row>
    <row r="4045" spans="1:7">
      <c r="B4045">
        <f>IF(INDEX(Transactions!$J:$J,ROW()-8)="",TODAY(),INDEX(Transactions!$G:$G,ROW()-8))</f>
      </c>
      <c r="F4045">
        <f>IF(INDEX(Transactions!$J:$J,ROW()-8)="",0,INDEX(Transactions!$O:$O,ROW()-8))</f>
      </c>
    </row>
    <row r="4046" spans="1:7">
      <c r="B4046">
        <f>IF(INDEX(Transactions!$J:$J,ROW()-8)="",TODAY(),INDEX(Transactions!$G:$G,ROW()-8))</f>
      </c>
      <c r="F4046">
        <f>IF(INDEX(Transactions!$J:$J,ROW()-8)="",0,INDEX(Transactions!$O:$O,ROW()-8))</f>
      </c>
    </row>
    <row r="4047" spans="1:7">
      <c r="B4047">
        <f>IF(INDEX(Transactions!$J:$J,ROW()-8)="",TODAY(),INDEX(Transactions!$G:$G,ROW()-8))</f>
      </c>
      <c r="F4047">
        <f>IF(INDEX(Transactions!$J:$J,ROW()-8)="",0,INDEX(Transactions!$O:$O,ROW()-8))</f>
      </c>
    </row>
    <row r="4048" spans="1:7">
      <c r="B4048">
        <f>IF(INDEX(Transactions!$J:$J,ROW()-8)="",TODAY(),INDEX(Transactions!$G:$G,ROW()-8))</f>
      </c>
      <c r="F4048">
        <f>IF(INDEX(Transactions!$J:$J,ROW()-8)="",0,INDEX(Transactions!$O:$O,ROW()-8))</f>
      </c>
    </row>
    <row r="4049" spans="1:7">
      <c r="B4049">
        <f>IF(INDEX(Transactions!$J:$J,ROW()-8)="",TODAY(),INDEX(Transactions!$G:$G,ROW()-8))</f>
      </c>
      <c r="F4049">
        <f>IF(INDEX(Transactions!$J:$J,ROW()-8)="",0,INDEX(Transactions!$O:$O,ROW()-8))</f>
      </c>
    </row>
    <row r="4050" spans="1:7">
      <c r="B4050">
        <f>IF(INDEX(Transactions!$J:$J,ROW()-8)="",TODAY(),INDEX(Transactions!$G:$G,ROW()-8))</f>
      </c>
      <c r="F4050">
        <f>IF(INDEX(Transactions!$J:$J,ROW()-8)="",0,INDEX(Transactions!$O:$O,ROW()-8))</f>
      </c>
    </row>
    <row r="4051" spans="1:7">
      <c r="B4051">
        <f>IF(INDEX(Transactions!$J:$J,ROW()-8)="",TODAY(),INDEX(Transactions!$G:$G,ROW()-8))</f>
      </c>
      <c r="F4051">
        <f>IF(INDEX(Transactions!$J:$J,ROW()-8)="",0,INDEX(Transactions!$O:$O,ROW()-8))</f>
      </c>
    </row>
    <row r="4052" spans="1:7">
      <c r="B4052">
        <f>IF(INDEX(Transactions!$J:$J,ROW()-8)="",TODAY(),INDEX(Transactions!$G:$G,ROW()-8))</f>
      </c>
      <c r="F4052">
        <f>IF(INDEX(Transactions!$J:$J,ROW()-8)="",0,INDEX(Transactions!$O:$O,ROW()-8))</f>
      </c>
    </row>
    <row r="4053" spans="1:7">
      <c r="B4053">
        <f>IF(INDEX(Transactions!$J:$J,ROW()-8)="",TODAY(),INDEX(Transactions!$G:$G,ROW()-8))</f>
      </c>
      <c r="F4053">
        <f>IF(INDEX(Transactions!$J:$J,ROW()-8)="",0,INDEX(Transactions!$O:$O,ROW()-8))</f>
      </c>
    </row>
    <row r="4054" spans="1:7">
      <c r="B4054">
        <f>IF(INDEX(Transactions!$J:$J,ROW()-8)="",TODAY(),INDEX(Transactions!$G:$G,ROW()-8))</f>
      </c>
      <c r="F4054">
        <f>IF(INDEX(Transactions!$J:$J,ROW()-8)="",0,INDEX(Transactions!$O:$O,ROW()-8))</f>
      </c>
    </row>
    <row r="4055" spans="1:7">
      <c r="B4055">
        <f>IF(INDEX(Transactions!$J:$J,ROW()-8)="",TODAY(),INDEX(Transactions!$G:$G,ROW()-8))</f>
      </c>
      <c r="F4055">
        <f>IF(INDEX(Transactions!$J:$J,ROW()-8)="",0,INDEX(Transactions!$O:$O,ROW()-8))</f>
      </c>
    </row>
    <row r="4056" spans="1:7">
      <c r="B4056">
        <f>IF(INDEX(Transactions!$J:$J,ROW()-8)="",TODAY(),INDEX(Transactions!$G:$G,ROW()-8))</f>
      </c>
      <c r="F4056">
        <f>IF(INDEX(Transactions!$J:$J,ROW()-8)="",0,INDEX(Transactions!$O:$O,ROW()-8))</f>
      </c>
    </row>
    <row r="4057" spans="1:7">
      <c r="B4057">
        <f>IF(INDEX(Transactions!$J:$J,ROW()-8)="",TODAY(),INDEX(Transactions!$G:$G,ROW()-8))</f>
      </c>
      <c r="F4057">
        <f>IF(INDEX(Transactions!$J:$J,ROW()-8)="",0,INDEX(Transactions!$O:$O,ROW()-8))</f>
      </c>
    </row>
    <row r="4058" spans="1:7">
      <c r="B4058">
        <f>IF(INDEX(Transactions!$J:$J,ROW()-8)="",TODAY(),INDEX(Transactions!$G:$G,ROW()-8))</f>
      </c>
      <c r="F4058">
        <f>IF(INDEX(Transactions!$J:$J,ROW()-8)="",0,INDEX(Transactions!$O:$O,ROW()-8))</f>
      </c>
    </row>
    <row r="4059" spans="1:7">
      <c r="B4059">
        <f>IF(INDEX(Transactions!$J:$J,ROW()-8)="",TODAY(),INDEX(Transactions!$G:$G,ROW()-8))</f>
      </c>
      <c r="F4059">
        <f>IF(INDEX(Transactions!$J:$J,ROW()-8)="",0,INDEX(Transactions!$O:$O,ROW()-8))</f>
      </c>
    </row>
    <row r="4060" spans="1:7">
      <c r="B4060">
        <f>IF(INDEX(Transactions!$J:$J,ROW()-8)="",TODAY(),INDEX(Transactions!$G:$G,ROW()-8))</f>
      </c>
      <c r="F4060">
        <f>IF(INDEX(Transactions!$J:$J,ROW()-8)="",0,INDEX(Transactions!$O:$O,ROW()-8))</f>
      </c>
    </row>
    <row r="4061" spans="1:7">
      <c r="B4061">
        <f>IF(INDEX(Transactions!$J:$J,ROW()-8)="",TODAY(),INDEX(Transactions!$G:$G,ROW()-8))</f>
      </c>
      <c r="F4061">
        <f>IF(INDEX(Transactions!$J:$J,ROW()-8)="",0,INDEX(Transactions!$O:$O,ROW()-8))</f>
      </c>
    </row>
    <row r="4062" spans="1:7">
      <c r="B4062">
        <f>IF(INDEX(Transactions!$J:$J,ROW()-8)="",TODAY(),INDEX(Transactions!$G:$G,ROW()-8))</f>
      </c>
      <c r="F4062">
        <f>IF(INDEX(Transactions!$J:$J,ROW()-8)="",0,INDEX(Transactions!$O:$O,ROW()-8))</f>
      </c>
    </row>
    <row r="4063" spans="1:7">
      <c r="B4063">
        <f>IF(INDEX(Transactions!$J:$J,ROW()-8)="",TODAY(),INDEX(Transactions!$G:$G,ROW()-8))</f>
      </c>
      <c r="F4063">
        <f>IF(INDEX(Transactions!$J:$J,ROW()-8)="",0,INDEX(Transactions!$O:$O,ROW()-8))</f>
      </c>
    </row>
    <row r="4064" spans="1:7">
      <c r="B4064">
        <f>IF(INDEX(Transactions!$J:$J,ROW()-8)="",TODAY(),INDEX(Transactions!$G:$G,ROW()-8))</f>
      </c>
      <c r="F4064">
        <f>IF(INDEX(Transactions!$J:$J,ROW()-8)="",0,INDEX(Transactions!$O:$O,ROW()-8))</f>
      </c>
    </row>
    <row r="4065" spans="1:7">
      <c r="B4065">
        <f>IF(INDEX(Transactions!$J:$J,ROW()-8)="",TODAY(),INDEX(Transactions!$G:$G,ROW()-8))</f>
      </c>
      <c r="F4065">
        <f>IF(INDEX(Transactions!$J:$J,ROW()-8)="",0,INDEX(Transactions!$O:$O,ROW()-8))</f>
      </c>
    </row>
    <row r="4066" spans="1:7">
      <c r="B4066">
        <f>IF(INDEX(Transactions!$J:$J,ROW()-8)="",TODAY(),INDEX(Transactions!$G:$G,ROW()-8))</f>
      </c>
      <c r="F4066">
        <f>IF(INDEX(Transactions!$J:$J,ROW()-8)="",0,INDEX(Transactions!$O:$O,ROW()-8))</f>
      </c>
    </row>
    <row r="4067" spans="1:7">
      <c r="B4067">
        <f>IF(INDEX(Transactions!$J:$J,ROW()-8)="",TODAY(),INDEX(Transactions!$G:$G,ROW()-8))</f>
      </c>
      <c r="F4067">
        <f>IF(INDEX(Transactions!$J:$J,ROW()-8)="",0,INDEX(Transactions!$O:$O,ROW()-8))</f>
      </c>
    </row>
    <row r="4068" spans="1:7">
      <c r="B4068">
        <f>IF(INDEX(Transactions!$J:$J,ROW()-8)="",TODAY(),INDEX(Transactions!$G:$G,ROW()-8))</f>
      </c>
      <c r="F4068">
        <f>IF(INDEX(Transactions!$J:$J,ROW()-8)="",0,INDEX(Transactions!$O:$O,ROW()-8))</f>
      </c>
    </row>
    <row r="4069" spans="1:7">
      <c r="B4069">
        <f>IF(INDEX(Transactions!$J:$J,ROW()-8)="",TODAY(),INDEX(Transactions!$G:$G,ROW()-8))</f>
      </c>
      <c r="F4069">
        <f>IF(INDEX(Transactions!$J:$J,ROW()-8)="",0,INDEX(Transactions!$O:$O,ROW()-8))</f>
      </c>
    </row>
    <row r="4070" spans="1:7">
      <c r="B4070">
        <f>IF(INDEX(Transactions!$J:$J,ROW()-8)="",TODAY(),INDEX(Transactions!$G:$G,ROW()-8))</f>
      </c>
      <c r="F4070">
        <f>IF(INDEX(Transactions!$J:$J,ROW()-8)="",0,INDEX(Transactions!$O:$O,ROW()-8))</f>
      </c>
    </row>
    <row r="4071" spans="1:7">
      <c r="B4071">
        <f>IF(INDEX(Transactions!$J:$J,ROW()-8)="",TODAY(),INDEX(Transactions!$G:$G,ROW()-8))</f>
      </c>
      <c r="F4071">
        <f>IF(INDEX(Transactions!$J:$J,ROW()-8)="",0,INDEX(Transactions!$O:$O,ROW()-8))</f>
      </c>
    </row>
    <row r="4072" spans="1:7">
      <c r="B4072">
        <f>IF(INDEX(Transactions!$J:$J,ROW()-8)="",TODAY(),INDEX(Transactions!$G:$G,ROW()-8))</f>
      </c>
      <c r="F4072">
        <f>IF(INDEX(Transactions!$J:$J,ROW()-8)="",0,INDEX(Transactions!$O:$O,ROW()-8))</f>
      </c>
    </row>
    <row r="4073" spans="1:7">
      <c r="B4073">
        <f>IF(INDEX(Transactions!$J:$J,ROW()-8)="",TODAY(),INDEX(Transactions!$G:$G,ROW()-8))</f>
      </c>
      <c r="F4073">
        <f>IF(INDEX(Transactions!$J:$J,ROW()-8)="",0,INDEX(Transactions!$O:$O,ROW()-8))</f>
      </c>
    </row>
    <row r="4074" spans="1:7">
      <c r="B4074">
        <f>IF(INDEX(Transactions!$J:$J,ROW()-8)="",TODAY(),INDEX(Transactions!$G:$G,ROW()-8))</f>
      </c>
      <c r="F4074">
        <f>IF(INDEX(Transactions!$J:$J,ROW()-8)="",0,INDEX(Transactions!$O:$O,ROW()-8))</f>
      </c>
    </row>
    <row r="4075" spans="1:7">
      <c r="B4075">
        <f>IF(INDEX(Transactions!$J:$J,ROW()-8)="",TODAY(),INDEX(Transactions!$G:$G,ROW()-8))</f>
      </c>
      <c r="F4075">
        <f>IF(INDEX(Transactions!$J:$J,ROW()-8)="",0,INDEX(Transactions!$O:$O,ROW()-8))</f>
      </c>
    </row>
    <row r="4076" spans="1:7">
      <c r="B4076">
        <f>IF(INDEX(Transactions!$J:$J,ROW()-8)="",TODAY(),INDEX(Transactions!$G:$G,ROW()-8))</f>
      </c>
      <c r="F4076">
        <f>IF(INDEX(Transactions!$J:$J,ROW()-8)="",0,INDEX(Transactions!$O:$O,ROW()-8))</f>
      </c>
    </row>
    <row r="4077" spans="1:7">
      <c r="B4077">
        <f>IF(INDEX(Transactions!$J:$J,ROW()-8)="",TODAY(),INDEX(Transactions!$G:$G,ROW()-8))</f>
      </c>
      <c r="F4077">
        <f>IF(INDEX(Transactions!$J:$J,ROW()-8)="",0,INDEX(Transactions!$O:$O,ROW()-8))</f>
      </c>
    </row>
    <row r="4078" spans="1:7">
      <c r="B4078">
        <f>IF(INDEX(Transactions!$J:$J,ROW()-8)="",TODAY(),INDEX(Transactions!$G:$G,ROW()-8))</f>
      </c>
      <c r="F4078">
        <f>IF(INDEX(Transactions!$J:$J,ROW()-8)="",0,INDEX(Transactions!$O:$O,ROW()-8))</f>
      </c>
    </row>
    <row r="4079" spans="1:7">
      <c r="B4079">
        <f>IF(INDEX(Transactions!$J:$J,ROW()-8)="",TODAY(),INDEX(Transactions!$G:$G,ROW()-8))</f>
      </c>
      <c r="F4079">
        <f>IF(INDEX(Transactions!$J:$J,ROW()-8)="",0,INDEX(Transactions!$O:$O,ROW()-8))</f>
      </c>
    </row>
    <row r="4080" spans="1:7">
      <c r="B4080">
        <f>IF(INDEX(Transactions!$J:$J,ROW()-8)="",TODAY(),INDEX(Transactions!$G:$G,ROW()-8))</f>
      </c>
      <c r="F4080">
        <f>IF(INDEX(Transactions!$J:$J,ROW()-8)="",0,INDEX(Transactions!$O:$O,ROW()-8))</f>
      </c>
    </row>
    <row r="4081" spans="1:7">
      <c r="B4081">
        <f>IF(INDEX(Transactions!$J:$J,ROW()-8)="",TODAY(),INDEX(Transactions!$G:$G,ROW()-8))</f>
      </c>
      <c r="F4081">
        <f>IF(INDEX(Transactions!$J:$J,ROW()-8)="",0,INDEX(Transactions!$O:$O,ROW()-8))</f>
      </c>
    </row>
    <row r="4082" spans="1:7">
      <c r="B4082">
        <f>IF(INDEX(Transactions!$J:$J,ROW()-8)="",TODAY(),INDEX(Transactions!$G:$G,ROW()-8))</f>
      </c>
      <c r="F4082">
        <f>IF(INDEX(Transactions!$J:$J,ROW()-8)="",0,INDEX(Transactions!$O:$O,ROW()-8))</f>
      </c>
    </row>
    <row r="4083" spans="1:7">
      <c r="B4083">
        <f>IF(INDEX(Transactions!$J:$J,ROW()-8)="",TODAY(),INDEX(Transactions!$G:$G,ROW()-8))</f>
      </c>
      <c r="F4083">
        <f>IF(INDEX(Transactions!$J:$J,ROW()-8)="",0,INDEX(Transactions!$O:$O,ROW()-8))</f>
      </c>
    </row>
    <row r="4084" spans="1:7">
      <c r="B4084">
        <f>IF(INDEX(Transactions!$J:$J,ROW()-8)="",TODAY(),INDEX(Transactions!$G:$G,ROW()-8))</f>
      </c>
      <c r="F4084">
        <f>IF(INDEX(Transactions!$J:$J,ROW()-8)="",0,INDEX(Transactions!$O:$O,ROW()-8))</f>
      </c>
    </row>
    <row r="4085" spans="1:7">
      <c r="B4085">
        <f>IF(INDEX(Transactions!$J:$J,ROW()-8)="",TODAY(),INDEX(Transactions!$G:$G,ROW()-8))</f>
      </c>
      <c r="F4085">
        <f>IF(INDEX(Transactions!$J:$J,ROW()-8)="",0,INDEX(Transactions!$O:$O,ROW()-8))</f>
      </c>
    </row>
    <row r="4086" spans="1:7">
      <c r="B4086">
        <f>IF(INDEX(Transactions!$J:$J,ROW()-8)="",TODAY(),INDEX(Transactions!$G:$G,ROW()-8))</f>
      </c>
      <c r="F4086">
        <f>IF(INDEX(Transactions!$J:$J,ROW()-8)="",0,INDEX(Transactions!$O:$O,ROW()-8))</f>
      </c>
    </row>
    <row r="4087" spans="1:7">
      <c r="B4087">
        <f>IF(INDEX(Transactions!$J:$J,ROW()-8)="",TODAY(),INDEX(Transactions!$G:$G,ROW()-8))</f>
      </c>
      <c r="F4087">
        <f>IF(INDEX(Transactions!$J:$J,ROW()-8)="",0,INDEX(Transactions!$O:$O,ROW()-8))</f>
      </c>
    </row>
    <row r="4088" spans="1:7">
      <c r="B4088">
        <f>IF(INDEX(Transactions!$J:$J,ROW()-8)="",TODAY(),INDEX(Transactions!$G:$G,ROW()-8))</f>
      </c>
      <c r="F4088">
        <f>IF(INDEX(Transactions!$J:$J,ROW()-8)="",0,INDEX(Transactions!$O:$O,ROW()-8))</f>
      </c>
    </row>
    <row r="4089" spans="1:7">
      <c r="B4089">
        <f>IF(INDEX(Transactions!$J:$J,ROW()-8)="",TODAY(),INDEX(Transactions!$G:$G,ROW()-8))</f>
      </c>
      <c r="F4089">
        <f>IF(INDEX(Transactions!$J:$J,ROW()-8)="",0,INDEX(Transactions!$O:$O,ROW()-8))</f>
      </c>
    </row>
    <row r="4090" spans="1:7">
      <c r="B4090">
        <f>IF(INDEX(Transactions!$J:$J,ROW()-8)="",TODAY(),INDEX(Transactions!$G:$G,ROW()-8))</f>
      </c>
      <c r="F4090">
        <f>IF(INDEX(Transactions!$J:$J,ROW()-8)="",0,INDEX(Transactions!$O:$O,ROW()-8))</f>
      </c>
    </row>
    <row r="4091" spans="1:7">
      <c r="B4091">
        <f>IF(INDEX(Transactions!$J:$J,ROW()-8)="",TODAY(),INDEX(Transactions!$G:$G,ROW()-8))</f>
      </c>
      <c r="F4091">
        <f>IF(INDEX(Transactions!$J:$J,ROW()-8)="",0,INDEX(Transactions!$O:$O,ROW()-8))</f>
      </c>
    </row>
    <row r="4092" spans="1:7">
      <c r="B4092">
        <f>IF(INDEX(Transactions!$J:$J,ROW()-8)="",TODAY(),INDEX(Transactions!$G:$G,ROW()-8))</f>
      </c>
      <c r="F4092">
        <f>IF(INDEX(Transactions!$J:$J,ROW()-8)="",0,INDEX(Transactions!$O:$O,ROW()-8))</f>
      </c>
    </row>
    <row r="4093" spans="1:7">
      <c r="B4093">
        <f>IF(INDEX(Transactions!$J:$J,ROW()-8)="",TODAY(),INDEX(Transactions!$G:$G,ROW()-8))</f>
      </c>
      <c r="F4093">
        <f>IF(INDEX(Transactions!$J:$J,ROW()-8)="",0,INDEX(Transactions!$O:$O,ROW()-8))</f>
      </c>
    </row>
    <row r="4094" spans="1:7">
      <c r="B4094">
        <f>IF(INDEX(Transactions!$J:$J,ROW()-8)="",TODAY(),INDEX(Transactions!$G:$G,ROW()-8))</f>
      </c>
      <c r="F4094">
        <f>IF(INDEX(Transactions!$J:$J,ROW()-8)="",0,INDEX(Transactions!$O:$O,ROW()-8))</f>
      </c>
    </row>
    <row r="4095" spans="1:7">
      <c r="B4095">
        <f>IF(INDEX(Transactions!$J:$J,ROW()-8)="",TODAY(),INDEX(Transactions!$G:$G,ROW()-8))</f>
      </c>
      <c r="F4095">
        <f>IF(INDEX(Transactions!$J:$J,ROW()-8)="",0,INDEX(Transactions!$O:$O,ROW()-8))</f>
      </c>
    </row>
    <row r="4096" spans="1:7">
      <c r="B4096">
        <f>IF(INDEX(Transactions!$J:$J,ROW()-8)="",TODAY(),INDEX(Transactions!$G:$G,ROW()-8))</f>
      </c>
      <c r="F4096">
        <f>IF(INDEX(Transactions!$J:$J,ROW()-8)="",0,INDEX(Transactions!$O:$O,ROW()-8))</f>
      </c>
    </row>
    <row r="4097" spans="1:7">
      <c r="B4097">
        <f>IF(INDEX(Transactions!$J:$J,ROW()-8)="",TODAY(),INDEX(Transactions!$G:$G,ROW()-8))</f>
      </c>
      <c r="F4097">
        <f>IF(INDEX(Transactions!$J:$J,ROW()-8)="",0,INDEX(Transactions!$O:$O,ROW()-8))</f>
      </c>
    </row>
    <row r="4098" spans="1:7">
      <c r="B4098">
        <f>IF(INDEX(Transactions!$J:$J,ROW()-8)="",TODAY(),INDEX(Transactions!$G:$G,ROW()-8))</f>
      </c>
      <c r="F4098">
        <f>IF(INDEX(Transactions!$J:$J,ROW()-8)="",0,INDEX(Transactions!$O:$O,ROW()-8))</f>
      </c>
    </row>
    <row r="4099" spans="1:7">
      <c r="B4099">
        <f>IF(INDEX(Transactions!$J:$J,ROW()-8)="",TODAY(),INDEX(Transactions!$G:$G,ROW()-8))</f>
      </c>
      <c r="F4099">
        <f>IF(INDEX(Transactions!$J:$J,ROW()-8)="",0,INDEX(Transactions!$O:$O,ROW()-8))</f>
      </c>
    </row>
    <row r="4100" spans="1:7">
      <c r="B4100">
        <f>IF(INDEX(Transactions!$J:$J,ROW()-8)="",TODAY(),INDEX(Transactions!$G:$G,ROW()-8))</f>
      </c>
      <c r="F4100">
        <f>IF(INDEX(Transactions!$J:$J,ROW()-8)="",0,INDEX(Transactions!$O:$O,ROW()-8))</f>
      </c>
    </row>
    <row r="4101" spans="1:7">
      <c r="B4101">
        <f>IF(INDEX(Transactions!$J:$J,ROW()-8)="",TODAY(),INDEX(Transactions!$G:$G,ROW()-8))</f>
      </c>
      <c r="F4101">
        <f>IF(INDEX(Transactions!$J:$J,ROW()-8)="",0,INDEX(Transactions!$O:$O,ROW()-8))</f>
      </c>
    </row>
    <row r="4102" spans="1:7">
      <c r="B4102">
        <f>IF(INDEX(Transactions!$J:$J,ROW()-8)="",TODAY(),INDEX(Transactions!$G:$G,ROW()-8))</f>
      </c>
      <c r="F4102">
        <f>IF(INDEX(Transactions!$J:$J,ROW()-8)="",0,INDEX(Transactions!$O:$O,ROW()-8))</f>
      </c>
    </row>
    <row r="4103" spans="1:7">
      <c r="B4103">
        <f>IF(INDEX(Transactions!$J:$J,ROW()-8)="",TODAY(),INDEX(Transactions!$G:$G,ROW()-8))</f>
      </c>
      <c r="F4103">
        <f>IF(INDEX(Transactions!$J:$J,ROW()-8)="",0,INDEX(Transactions!$O:$O,ROW()-8))</f>
      </c>
    </row>
    <row r="4104" spans="1:7">
      <c r="B4104">
        <f>IF(INDEX(Transactions!$J:$J,ROW()-8)="",TODAY(),INDEX(Transactions!$G:$G,ROW()-8))</f>
      </c>
      <c r="F4104">
        <f>IF(INDEX(Transactions!$J:$J,ROW()-8)="",0,INDEX(Transactions!$O:$O,ROW()-8))</f>
      </c>
    </row>
    <row r="4105" spans="1:7">
      <c r="B4105">
        <f>IF(INDEX(Transactions!$J:$J,ROW()-8)="",TODAY(),INDEX(Transactions!$G:$G,ROW()-8))</f>
      </c>
      <c r="F4105">
        <f>IF(INDEX(Transactions!$J:$J,ROW()-8)="",0,INDEX(Transactions!$O:$O,ROW()-8))</f>
      </c>
    </row>
    <row r="4106" spans="1:7">
      <c r="B4106">
        <f>IF(INDEX(Transactions!$J:$J,ROW()-8)="",TODAY(),INDEX(Transactions!$G:$G,ROW()-8))</f>
      </c>
      <c r="F4106">
        <f>IF(INDEX(Transactions!$J:$J,ROW()-8)="",0,INDEX(Transactions!$O:$O,ROW()-8))</f>
      </c>
    </row>
    <row r="4107" spans="1:7">
      <c r="B4107">
        <f>IF(INDEX(Transactions!$J:$J,ROW()-8)="",TODAY(),INDEX(Transactions!$G:$G,ROW()-8))</f>
      </c>
      <c r="F4107">
        <f>IF(INDEX(Transactions!$J:$J,ROW()-8)="",0,INDEX(Transactions!$O:$O,ROW()-8))</f>
      </c>
    </row>
    <row r="4108" spans="1:7">
      <c r="B4108">
        <f>IF(INDEX(Transactions!$J:$J,ROW()-8)="",TODAY(),INDEX(Transactions!$G:$G,ROW()-8))</f>
      </c>
      <c r="F4108">
        <f>IF(INDEX(Transactions!$J:$J,ROW()-8)="",0,INDEX(Transactions!$O:$O,ROW()-8))</f>
      </c>
    </row>
    <row r="4109" spans="1:7">
      <c r="B4109">
        <f>IF(INDEX(Transactions!$J:$J,ROW()-8)="",TODAY(),INDEX(Transactions!$G:$G,ROW()-8))</f>
      </c>
      <c r="F4109">
        <f>IF(INDEX(Transactions!$J:$J,ROW()-8)="",0,INDEX(Transactions!$O:$O,ROW()-8))</f>
      </c>
    </row>
    <row r="4110" spans="1:7">
      <c r="B4110">
        <f>IF(INDEX(Transactions!$J:$J,ROW()-8)="",TODAY(),INDEX(Transactions!$G:$G,ROW()-8))</f>
      </c>
      <c r="F4110">
        <f>IF(INDEX(Transactions!$J:$J,ROW()-8)="",0,INDEX(Transactions!$O:$O,ROW()-8))</f>
      </c>
    </row>
    <row r="4111" spans="1:7">
      <c r="B4111">
        <f>IF(INDEX(Transactions!$J:$J,ROW()-8)="",TODAY(),INDEX(Transactions!$G:$G,ROW()-8))</f>
      </c>
      <c r="F4111">
        <f>IF(INDEX(Transactions!$J:$J,ROW()-8)="",0,INDEX(Transactions!$O:$O,ROW()-8))</f>
      </c>
    </row>
    <row r="4112" spans="1:7">
      <c r="B4112">
        <f>IF(INDEX(Transactions!$J:$J,ROW()-8)="",TODAY(),INDEX(Transactions!$G:$G,ROW()-8))</f>
      </c>
      <c r="F4112">
        <f>IF(INDEX(Transactions!$J:$J,ROW()-8)="",0,INDEX(Transactions!$O:$O,ROW()-8))</f>
      </c>
    </row>
    <row r="4113" spans="1:7">
      <c r="B4113">
        <f>IF(INDEX(Transactions!$J:$J,ROW()-8)="",TODAY(),INDEX(Transactions!$G:$G,ROW()-8))</f>
      </c>
      <c r="F4113">
        <f>IF(INDEX(Transactions!$J:$J,ROW()-8)="",0,INDEX(Transactions!$O:$O,ROW()-8))</f>
      </c>
    </row>
    <row r="4114" spans="1:7">
      <c r="B4114">
        <f>IF(INDEX(Transactions!$J:$J,ROW()-8)="",TODAY(),INDEX(Transactions!$G:$G,ROW()-8))</f>
      </c>
      <c r="F4114">
        <f>IF(INDEX(Transactions!$J:$J,ROW()-8)="",0,INDEX(Transactions!$O:$O,ROW()-8))</f>
      </c>
    </row>
    <row r="4115" spans="1:7">
      <c r="B4115">
        <f>IF(INDEX(Transactions!$J:$J,ROW()-8)="",TODAY(),INDEX(Transactions!$G:$G,ROW()-8))</f>
      </c>
      <c r="F4115">
        <f>IF(INDEX(Transactions!$J:$J,ROW()-8)="",0,INDEX(Transactions!$O:$O,ROW()-8))</f>
      </c>
    </row>
    <row r="4116" spans="1:7">
      <c r="B4116">
        <f>IF(INDEX(Transactions!$J:$J,ROW()-8)="",TODAY(),INDEX(Transactions!$G:$G,ROW()-8))</f>
      </c>
      <c r="F4116">
        <f>IF(INDEX(Transactions!$J:$J,ROW()-8)="",0,INDEX(Transactions!$O:$O,ROW()-8))</f>
      </c>
    </row>
    <row r="4117" spans="1:7">
      <c r="B4117">
        <f>IF(INDEX(Transactions!$J:$J,ROW()-8)="",TODAY(),INDEX(Transactions!$G:$G,ROW()-8))</f>
      </c>
      <c r="F4117">
        <f>IF(INDEX(Transactions!$J:$J,ROW()-8)="",0,INDEX(Transactions!$O:$O,ROW()-8))</f>
      </c>
    </row>
    <row r="4118" spans="1:7">
      <c r="B4118">
        <f>IF(INDEX(Transactions!$J:$J,ROW()-8)="",TODAY(),INDEX(Transactions!$G:$G,ROW()-8))</f>
      </c>
      <c r="F4118">
        <f>IF(INDEX(Transactions!$J:$J,ROW()-8)="",0,INDEX(Transactions!$O:$O,ROW()-8))</f>
      </c>
    </row>
    <row r="4119" spans="1:7">
      <c r="B4119">
        <f>IF(INDEX(Transactions!$J:$J,ROW()-8)="",TODAY(),INDEX(Transactions!$G:$G,ROW()-8))</f>
      </c>
      <c r="F4119">
        <f>IF(INDEX(Transactions!$J:$J,ROW()-8)="",0,INDEX(Transactions!$O:$O,ROW()-8))</f>
      </c>
    </row>
    <row r="4120" spans="1:7">
      <c r="B4120">
        <f>IF(INDEX(Transactions!$J:$J,ROW()-8)="",TODAY(),INDEX(Transactions!$G:$G,ROW()-8))</f>
      </c>
      <c r="F4120">
        <f>IF(INDEX(Transactions!$J:$J,ROW()-8)="",0,INDEX(Transactions!$O:$O,ROW()-8))</f>
      </c>
    </row>
    <row r="4121" spans="1:7">
      <c r="B4121">
        <f>IF(INDEX(Transactions!$J:$J,ROW()-8)="",TODAY(),INDEX(Transactions!$G:$G,ROW()-8))</f>
      </c>
      <c r="F4121">
        <f>IF(INDEX(Transactions!$J:$J,ROW()-8)="",0,INDEX(Transactions!$O:$O,ROW()-8))</f>
      </c>
    </row>
    <row r="4122" spans="1:7">
      <c r="B4122">
        <f>IF(INDEX(Transactions!$J:$J,ROW()-8)="",TODAY(),INDEX(Transactions!$G:$G,ROW()-8))</f>
      </c>
      <c r="F4122">
        <f>IF(INDEX(Transactions!$J:$J,ROW()-8)="",0,INDEX(Transactions!$O:$O,ROW()-8))</f>
      </c>
    </row>
    <row r="4123" spans="1:7">
      <c r="B4123">
        <f>IF(INDEX(Transactions!$J:$J,ROW()-8)="",TODAY(),INDEX(Transactions!$G:$G,ROW()-8))</f>
      </c>
      <c r="F4123">
        <f>IF(INDEX(Transactions!$J:$J,ROW()-8)="",0,INDEX(Transactions!$O:$O,ROW()-8))</f>
      </c>
    </row>
    <row r="4124" spans="1:7">
      <c r="B4124">
        <f>IF(INDEX(Transactions!$J:$J,ROW()-8)="",TODAY(),INDEX(Transactions!$G:$G,ROW()-8))</f>
      </c>
      <c r="F4124">
        <f>IF(INDEX(Transactions!$J:$J,ROW()-8)="",0,INDEX(Transactions!$O:$O,ROW()-8))</f>
      </c>
    </row>
    <row r="4125" spans="1:7">
      <c r="B4125">
        <f>IF(INDEX(Transactions!$J:$J,ROW()-8)="",TODAY(),INDEX(Transactions!$G:$G,ROW()-8))</f>
      </c>
      <c r="F4125">
        <f>IF(INDEX(Transactions!$J:$J,ROW()-8)="",0,INDEX(Transactions!$O:$O,ROW()-8))</f>
      </c>
    </row>
    <row r="4126" spans="1:7">
      <c r="B4126">
        <f>IF(INDEX(Transactions!$J:$J,ROW()-8)="",TODAY(),INDEX(Transactions!$G:$G,ROW()-8))</f>
      </c>
      <c r="F4126">
        <f>IF(INDEX(Transactions!$J:$J,ROW()-8)="",0,INDEX(Transactions!$O:$O,ROW()-8))</f>
      </c>
    </row>
    <row r="4127" spans="1:7">
      <c r="B4127">
        <f>IF(INDEX(Transactions!$J:$J,ROW()-8)="",TODAY(),INDEX(Transactions!$G:$G,ROW()-8))</f>
      </c>
      <c r="F4127">
        <f>IF(INDEX(Transactions!$J:$J,ROW()-8)="",0,INDEX(Transactions!$O:$O,ROW()-8))</f>
      </c>
    </row>
    <row r="4128" spans="1:7">
      <c r="B4128">
        <f>IF(INDEX(Transactions!$J:$J,ROW()-8)="",TODAY(),INDEX(Transactions!$G:$G,ROW()-8))</f>
      </c>
      <c r="F4128">
        <f>IF(INDEX(Transactions!$J:$J,ROW()-8)="",0,INDEX(Transactions!$O:$O,ROW()-8))</f>
      </c>
    </row>
    <row r="4129" spans="1:7">
      <c r="B4129">
        <f>IF(INDEX(Transactions!$J:$J,ROW()-8)="",TODAY(),INDEX(Transactions!$G:$G,ROW()-8))</f>
      </c>
      <c r="F4129">
        <f>IF(INDEX(Transactions!$J:$J,ROW()-8)="",0,INDEX(Transactions!$O:$O,ROW()-8))</f>
      </c>
    </row>
    <row r="4130" spans="1:7">
      <c r="B4130">
        <f>IF(INDEX(Transactions!$J:$J,ROW()-8)="",TODAY(),INDEX(Transactions!$G:$G,ROW()-8))</f>
      </c>
      <c r="F4130">
        <f>IF(INDEX(Transactions!$J:$J,ROW()-8)="",0,INDEX(Transactions!$O:$O,ROW()-8))</f>
      </c>
    </row>
    <row r="4131" spans="1:7">
      <c r="B4131">
        <f>IF(INDEX(Transactions!$J:$J,ROW()-8)="",TODAY(),INDEX(Transactions!$G:$G,ROW()-8))</f>
      </c>
      <c r="F4131">
        <f>IF(INDEX(Transactions!$J:$J,ROW()-8)="",0,INDEX(Transactions!$O:$O,ROW()-8))</f>
      </c>
    </row>
    <row r="4132" spans="1:7">
      <c r="B4132">
        <f>IF(INDEX(Transactions!$J:$J,ROW()-8)="",TODAY(),INDEX(Transactions!$G:$G,ROW()-8))</f>
      </c>
      <c r="F4132">
        <f>IF(INDEX(Transactions!$J:$J,ROW()-8)="",0,INDEX(Transactions!$O:$O,ROW()-8))</f>
      </c>
    </row>
    <row r="4133" spans="1:7">
      <c r="B4133">
        <f>IF(INDEX(Transactions!$J:$J,ROW()-8)="",TODAY(),INDEX(Transactions!$G:$G,ROW()-8))</f>
      </c>
      <c r="F4133">
        <f>IF(INDEX(Transactions!$J:$J,ROW()-8)="",0,INDEX(Transactions!$O:$O,ROW()-8))</f>
      </c>
    </row>
    <row r="4134" spans="1:7">
      <c r="B4134">
        <f>IF(INDEX(Transactions!$J:$J,ROW()-8)="",TODAY(),INDEX(Transactions!$G:$G,ROW()-8))</f>
      </c>
      <c r="F4134">
        <f>IF(INDEX(Transactions!$J:$J,ROW()-8)="",0,INDEX(Transactions!$O:$O,ROW()-8))</f>
      </c>
    </row>
    <row r="4135" spans="1:7">
      <c r="B4135">
        <f>IF(INDEX(Transactions!$J:$J,ROW()-8)="",TODAY(),INDEX(Transactions!$G:$G,ROW()-8))</f>
      </c>
      <c r="F4135">
        <f>IF(INDEX(Transactions!$J:$J,ROW()-8)="",0,INDEX(Transactions!$O:$O,ROW()-8))</f>
      </c>
    </row>
    <row r="4136" spans="1:7">
      <c r="B4136">
        <f>IF(INDEX(Transactions!$J:$J,ROW()-8)="",TODAY(),INDEX(Transactions!$G:$G,ROW()-8))</f>
      </c>
      <c r="F4136">
        <f>IF(INDEX(Transactions!$J:$J,ROW()-8)="",0,INDEX(Transactions!$O:$O,ROW()-8))</f>
      </c>
    </row>
    <row r="4137" spans="1:7">
      <c r="B4137">
        <f>IF(INDEX(Transactions!$J:$J,ROW()-8)="",TODAY(),INDEX(Transactions!$G:$G,ROW()-8))</f>
      </c>
      <c r="F4137">
        <f>IF(INDEX(Transactions!$J:$J,ROW()-8)="",0,INDEX(Transactions!$O:$O,ROW()-8))</f>
      </c>
    </row>
    <row r="4138" spans="1:7">
      <c r="B4138">
        <f>IF(INDEX(Transactions!$J:$J,ROW()-8)="",TODAY(),INDEX(Transactions!$G:$G,ROW()-8))</f>
      </c>
      <c r="F4138">
        <f>IF(INDEX(Transactions!$J:$J,ROW()-8)="",0,INDEX(Transactions!$O:$O,ROW()-8))</f>
      </c>
    </row>
    <row r="4139" spans="1:7">
      <c r="B4139">
        <f>IF(INDEX(Transactions!$J:$J,ROW()-8)="",TODAY(),INDEX(Transactions!$G:$G,ROW()-8))</f>
      </c>
      <c r="F4139">
        <f>IF(INDEX(Transactions!$J:$J,ROW()-8)="",0,INDEX(Transactions!$O:$O,ROW()-8))</f>
      </c>
    </row>
    <row r="4140" spans="1:7">
      <c r="B4140">
        <f>IF(INDEX(Transactions!$J:$J,ROW()-8)="",TODAY(),INDEX(Transactions!$G:$G,ROW()-8))</f>
      </c>
      <c r="F4140">
        <f>IF(INDEX(Transactions!$J:$J,ROW()-8)="",0,INDEX(Transactions!$O:$O,ROW()-8))</f>
      </c>
    </row>
    <row r="4141" spans="1:7">
      <c r="B4141">
        <f>IF(INDEX(Transactions!$J:$J,ROW()-8)="",TODAY(),INDEX(Transactions!$G:$G,ROW()-8))</f>
      </c>
      <c r="F4141">
        <f>IF(INDEX(Transactions!$J:$J,ROW()-8)="",0,INDEX(Transactions!$O:$O,ROW()-8))</f>
      </c>
    </row>
    <row r="4142" spans="1:7">
      <c r="B4142">
        <f>IF(INDEX(Transactions!$J:$J,ROW()-8)="",TODAY(),INDEX(Transactions!$G:$G,ROW()-8))</f>
      </c>
      <c r="F4142">
        <f>IF(INDEX(Transactions!$J:$J,ROW()-8)="",0,INDEX(Transactions!$O:$O,ROW()-8))</f>
      </c>
    </row>
    <row r="4143" spans="1:7">
      <c r="B4143">
        <f>IF(INDEX(Transactions!$J:$J,ROW()-8)="",TODAY(),INDEX(Transactions!$G:$G,ROW()-8))</f>
      </c>
      <c r="F4143">
        <f>IF(INDEX(Transactions!$J:$J,ROW()-8)="",0,INDEX(Transactions!$O:$O,ROW()-8))</f>
      </c>
    </row>
    <row r="4144" spans="1:7">
      <c r="B4144">
        <f>IF(INDEX(Transactions!$J:$J,ROW()-8)="",TODAY(),INDEX(Transactions!$G:$G,ROW()-8))</f>
      </c>
      <c r="F4144">
        <f>IF(INDEX(Transactions!$J:$J,ROW()-8)="",0,INDEX(Transactions!$O:$O,ROW()-8))</f>
      </c>
    </row>
    <row r="4145" spans="1:7">
      <c r="B4145">
        <f>IF(INDEX(Transactions!$J:$J,ROW()-8)="",TODAY(),INDEX(Transactions!$G:$G,ROW()-8))</f>
      </c>
      <c r="F4145">
        <f>IF(INDEX(Transactions!$J:$J,ROW()-8)="",0,INDEX(Transactions!$O:$O,ROW()-8))</f>
      </c>
    </row>
    <row r="4146" spans="1:7">
      <c r="B4146">
        <f>IF(INDEX(Transactions!$J:$J,ROW()-8)="",TODAY(),INDEX(Transactions!$G:$G,ROW()-8))</f>
      </c>
      <c r="F4146">
        <f>IF(INDEX(Transactions!$J:$J,ROW()-8)="",0,INDEX(Transactions!$O:$O,ROW()-8))</f>
      </c>
    </row>
    <row r="4147" spans="1:7">
      <c r="B4147">
        <f>IF(INDEX(Transactions!$J:$J,ROW()-8)="",TODAY(),INDEX(Transactions!$G:$G,ROW()-8))</f>
      </c>
      <c r="F4147">
        <f>IF(INDEX(Transactions!$J:$J,ROW()-8)="",0,INDEX(Transactions!$O:$O,ROW()-8))</f>
      </c>
    </row>
    <row r="4148" spans="1:7">
      <c r="B4148">
        <f>IF(INDEX(Transactions!$J:$J,ROW()-8)="",TODAY(),INDEX(Transactions!$G:$G,ROW()-8))</f>
      </c>
      <c r="F4148">
        <f>IF(INDEX(Transactions!$J:$J,ROW()-8)="",0,INDEX(Transactions!$O:$O,ROW()-8))</f>
      </c>
    </row>
    <row r="4149" spans="1:7">
      <c r="B4149">
        <f>IF(INDEX(Transactions!$J:$J,ROW()-8)="",TODAY(),INDEX(Transactions!$G:$G,ROW()-8))</f>
      </c>
      <c r="F4149">
        <f>IF(INDEX(Transactions!$J:$J,ROW()-8)="",0,INDEX(Transactions!$O:$O,ROW()-8))</f>
      </c>
    </row>
    <row r="4150" spans="1:7">
      <c r="B4150">
        <f>IF(INDEX(Transactions!$J:$J,ROW()-8)="",TODAY(),INDEX(Transactions!$G:$G,ROW()-8))</f>
      </c>
      <c r="F4150">
        <f>IF(INDEX(Transactions!$J:$J,ROW()-8)="",0,INDEX(Transactions!$O:$O,ROW()-8))</f>
      </c>
    </row>
    <row r="4151" spans="1:7">
      <c r="B4151">
        <f>IF(INDEX(Transactions!$J:$J,ROW()-8)="",TODAY(),INDEX(Transactions!$G:$G,ROW()-8))</f>
      </c>
      <c r="F4151">
        <f>IF(INDEX(Transactions!$J:$J,ROW()-8)="",0,INDEX(Transactions!$O:$O,ROW()-8))</f>
      </c>
    </row>
    <row r="4152" spans="1:7">
      <c r="B4152">
        <f>IF(INDEX(Transactions!$J:$J,ROW()-8)="",TODAY(),INDEX(Transactions!$G:$G,ROW()-8))</f>
      </c>
      <c r="F4152">
        <f>IF(INDEX(Transactions!$J:$J,ROW()-8)="",0,INDEX(Transactions!$O:$O,ROW()-8))</f>
      </c>
    </row>
    <row r="4153" spans="1:7">
      <c r="B4153">
        <f>IF(INDEX(Transactions!$J:$J,ROW()-8)="",TODAY(),INDEX(Transactions!$G:$G,ROW()-8))</f>
      </c>
      <c r="F4153">
        <f>IF(INDEX(Transactions!$J:$J,ROW()-8)="",0,INDEX(Transactions!$O:$O,ROW()-8))</f>
      </c>
    </row>
    <row r="4154" spans="1:7">
      <c r="B4154">
        <f>IF(INDEX(Transactions!$J:$J,ROW()-8)="",TODAY(),INDEX(Transactions!$G:$G,ROW()-8))</f>
      </c>
      <c r="F4154">
        <f>IF(INDEX(Transactions!$J:$J,ROW()-8)="",0,INDEX(Transactions!$O:$O,ROW()-8))</f>
      </c>
    </row>
    <row r="4155" spans="1:7">
      <c r="B4155">
        <f>IF(INDEX(Transactions!$J:$J,ROW()-8)="",TODAY(),INDEX(Transactions!$G:$G,ROW()-8))</f>
      </c>
      <c r="F4155">
        <f>IF(INDEX(Transactions!$J:$J,ROW()-8)="",0,INDEX(Transactions!$O:$O,ROW()-8))</f>
      </c>
    </row>
    <row r="4156" spans="1:7">
      <c r="B4156">
        <f>IF(INDEX(Transactions!$J:$J,ROW()-8)="",TODAY(),INDEX(Transactions!$G:$G,ROW()-8))</f>
      </c>
      <c r="F4156">
        <f>IF(INDEX(Transactions!$J:$J,ROW()-8)="",0,INDEX(Transactions!$O:$O,ROW()-8))</f>
      </c>
    </row>
    <row r="4157" spans="1:7">
      <c r="B4157">
        <f>IF(INDEX(Transactions!$J:$J,ROW()-8)="",TODAY(),INDEX(Transactions!$G:$G,ROW()-8))</f>
      </c>
      <c r="F4157">
        <f>IF(INDEX(Transactions!$J:$J,ROW()-8)="",0,INDEX(Transactions!$O:$O,ROW()-8))</f>
      </c>
    </row>
    <row r="4158" spans="1:7">
      <c r="B4158">
        <f>IF(INDEX(Transactions!$J:$J,ROW()-8)="",TODAY(),INDEX(Transactions!$G:$G,ROW()-8))</f>
      </c>
      <c r="F4158">
        <f>IF(INDEX(Transactions!$J:$J,ROW()-8)="",0,INDEX(Transactions!$O:$O,ROW()-8))</f>
      </c>
    </row>
    <row r="4159" spans="1:7">
      <c r="B4159">
        <f>IF(INDEX(Transactions!$J:$J,ROW()-8)="",TODAY(),INDEX(Transactions!$G:$G,ROW()-8))</f>
      </c>
      <c r="F4159">
        <f>IF(INDEX(Transactions!$J:$J,ROW()-8)="",0,INDEX(Transactions!$O:$O,ROW()-8))</f>
      </c>
    </row>
    <row r="4160" spans="1:7">
      <c r="B4160">
        <f>IF(INDEX(Transactions!$J:$J,ROW()-8)="",TODAY(),INDEX(Transactions!$G:$G,ROW()-8))</f>
      </c>
      <c r="F4160">
        <f>IF(INDEX(Transactions!$J:$J,ROW()-8)="",0,INDEX(Transactions!$O:$O,ROW()-8))</f>
      </c>
    </row>
    <row r="4161" spans="1:7">
      <c r="B4161">
        <f>IF(INDEX(Transactions!$J:$J,ROW()-8)="",TODAY(),INDEX(Transactions!$G:$G,ROW()-8))</f>
      </c>
      <c r="F4161">
        <f>IF(INDEX(Transactions!$J:$J,ROW()-8)="",0,INDEX(Transactions!$O:$O,ROW()-8))</f>
      </c>
    </row>
    <row r="4162" spans="1:7">
      <c r="B4162">
        <f>IF(INDEX(Transactions!$J:$J,ROW()-8)="",TODAY(),INDEX(Transactions!$G:$G,ROW()-8))</f>
      </c>
      <c r="F4162">
        <f>IF(INDEX(Transactions!$J:$J,ROW()-8)="",0,INDEX(Transactions!$O:$O,ROW()-8))</f>
      </c>
    </row>
    <row r="4163" spans="1:7">
      <c r="B4163">
        <f>IF(INDEX(Transactions!$J:$J,ROW()-8)="",TODAY(),INDEX(Transactions!$G:$G,ROW()-8))</f>
      </c>
      <c r="F4163">
        <f>IF(INDEX(Transactions!$J:$J,ROW()-8)="",0,INDEX(Transactions!$O:$O,ROW()-8))</f>
      </c>
    </row>
    <row r="4164" spans="1:7">
      <c r="B4164">
        <f>IF(INDEX(Transactions!$J:$J,ROW()-8)="",TODAY(),INDEX(Transactions!$G:$G,ROW()-8))</f>
      </c>
      <c r="F4164">
        <f>IF(INDEX(Transactions!$J:$J,ROW()-8)="",0,INDEX(Transactions!$O:$O,ROW()-8))</f>
      </c>
    </row>
    <row r="4165" spans="1:7">
      <c r="B4165">
        <f>IF(INDEX(Transactions!$J:$J,ROW()-8)="",TODAY(),INDEX(Transactions!$G:$G,ROW()-8))</f>
      </c>
      <c r="F4165">
        <f>IF(INDEX(Transactions!$J:$J,ROW()-8)="",0,INDEX(Transactions!$O:$O,ROW()-8))</f>
      </c>
    </row>
    <row r="4166" spans="1:7">
      <c r="B4166">
        <f>IF(INDEX(Transactions!$J:$J,ROW()-8)="",TODAY(),INDEX(Transactions!$G:$G,ROW()-8))</f>
      </c>
      <c r="F4166">
        <f>IF(INDEX(Transactions!$J:$J,ROW()-8)="",0,INDEX(Transactions!$O:$O,ROW()-8))</f>
      </c>
    </row>
    <row r="4167" spans="1:7">
      <c r="B4167">
        <f>IF(INDEX(Transactions!$J:$J,ROW()-8)="",TODAY(),INDEX(Transactions!$G:$G,ROW()-8))</f>
      </c>
      <c r="F4167">
        <f>IF(INDEX(Transactions!$J:$J,ROW()-8)="",0,INDEX(Transactions!$O:$O,ROW()-8))</f>
      </c>
    </row>
    <row r="4168" spans="1:7">
      <c r="B4168">
        <f>IF(INDEX(Transactions!$J:$J,ROW()-8)="",TODAY(),INDEX(Transactions!$G:$G,ROW()-8))</f>
      </c>
      <c r="F4168">
        <f>IF(INDEX(Transactions!$J:$J,ROW()-8)="",0,INDEX(Transactions!$O:$O,ROW()-8))</f>
      </c>
    </row>
    <row r="4169" spans="1:7">
      <c r="B4169">
        <f>IF(INDEX(Transactions!$J:$J,ROW()-8)="",TODAY(),INDEX(Transactions!$G:$G,ROW()-8))</f>
      </c>
      <c r="F4169">
        <f>IF(INDEX(Transactions!$J:$J,ROW()-8)="",0,INDEX(Transactions!$O:$O,ROW()-8))</f>
      </c>
    </row>
    <row r="4170" spans="1:7">
      <c r="B4170">
        <f>IF(INDEX(Transactions!$J:$J,ROW()-8)="",TODAY(),INDEX(Transactions!$G:$G,ROW()-8))</f>
      </c>
      <c r="F4170">
        <f>IF(INDEX(Transactions!$J:$J,ROW()-8)="",0,INDEX(Transactions!$O:$O,ROW()-8))</f>
      </c>
    </row>
    <row r="4171" spans="1:7">
      <c r="B4171">
        <f>IF(INDEX(Transactions!$J:$J,ROW()-8)="",TODAY(),INDEX(Transactions!$G:$G,ROW()-8))</f>
      </c>
      <c r="F4171">
        <f>IF(INDEX(Transactions!$J:$J,ROW()-8)="",0,INDEX(Transactions!$O:$O,ROW()-8))</f>
      </c>
    </row>
    <row r="4172" spans="1:7">
      <c r="B4172">
        <f>IF(INDEX(Transactions!$J:$J,ROW()-8)="",TODAY(),INDEX(Transactions!$G:$G,ROW()-8))</f>
      </c>
      <c r="F4172">
        <f>IF(INDEX(Transactions!$J:$J,ROW()-8)="",0,INDEX(Transactions!$O:$O,ROW()-8))</f>
      </c>
    </row>
    <row r="4173" spans="1:7">
      <c r="B4173">
        <f>IF(INDEX(Transactions!$J:$J,ROW()-8)="",TODAY(),INDEX(Transactions!$G:$G,ROW()-8))</f>
      </c>
      <c r="F4173">
        <f>IF(INDEX(Transactions!$J:$J,ROW()-8)="",0,INDEX(Transactions!$O:$O,ROW()-8))</f>
      </c>
    </row>
    <row r="4174" spans="1:7">
      <c r="B4174">
        <f>IF(INDEX(Transactions!$J:$J,ROW()-8)="",TODAY(),INDEX(Transactions!$G:$G,ROW()-8))</f>
      </c>
      <c r="F4174">
        <f>IF(INDEX(Transactions!$J:$J,ROW()-8)="",0,INDEX(Transactions!$O:$O,ROW()-8))</f>
      </c>
    </row>
    <row r="4175" spans="1:7">
      <c r="B4175">
        <f>IF(INDEX(Transactions!$J:$J,ROW()-8)="",TODAY(),INDEX(Transactions!$G:$G,ROW()-8))</f>
      </c>
      <c r="F4175">
        <f>IF(INDEX(Transactions!$J:$J,ROW()-8)="",0,INDEX(Transactions!$O:$O,ROW()-8))</f>
      </c>
    </row>
    <row r="4176" spans="1:7">
      <c r="B4176">
        <f>IF(INDEX(Transactions!$J:$J,ROW()-8)="",TODAY(),INDEX(Transactions!$G:$G,ROW()-8))</f>
      </c>
      <c r="F4176">
        <f>IF(INDEX(Transactions!$J:$J,ROW()-8)="",0,INDEX(Transactions!$O:$O,ROW()-8))</f>
      </c>
    </row>
    <row r="4177" spans="1:7">
      <c r="B4177">
        <f>IF(INDEX(Transactions!$J:$J,ROW()-8)="",TODAY(),INDEX(Transactions!$G:$G,ROW()-8))</f>
      </c>
      <c r="F4177">
        <f>IF(INDEX(Transactions!$J:$J,ROW()-8)="",0,INDEX(Transactions!$O:$O,ROW()-8))</f>
      </c>
    </row>
    <row r="4178" spans="1:7">
      <c r="B4178">
        <f>IF(INDEX(Transactions!$J:$J,ROW()-8)="",TODAY(),INDEX(Transactions!$G:$G,ROW()-8))</f>
      </c>
      <c r="F4178">
        <f>IF(INDEX(Transactions!$J:$J,ROW()-8)="",0,INDEX(Transactions!$O:$O,ROW()-8))</f>
      </c>
    </row>
    <row r="4179" spans="1:7">
      <c r="B4179">
        <f>IF(INDEX(Transactions!$J:$J,ROW()-8)="",TODAY(),INDEX(Transactions!$G:$G,ROW()-8))</f>
      </c>
      <c r="F4179">
        <f>IF(INDEX(Transactions!$J:$J,ROW()-8)="",0,INDEX(Transactions!$O:$O,ROW()-8))</f>
      </c>
    </row>
    <row r="4180" spans="1:7">
      <c r="B4180">
        <f>IF(INDEX(Transactions!$J:$J,ROW()-8)="",TODAY(),INDEX(Transactions!$G:$G,ROW()-8))</f>
      </c>
      <c r="F4180">
        <f>IF(INDEX(Transactions!$J:$J,ROW()-8)="",0,INDEX(Transactions!$O:$O,ROW()-8))</f>
      </c>
    </row>
    <row r="4181" spans="1:7">
      <c r="B4181">
        <f>IF(INDEX(Transactions!$J:$J,ROW()-8)="",TODAY(),INDEX(Transactions!$G:$G,ROW()-8))</f>
      </c>
      <c r="F4181">
        <f>IF(INDEX(Transactions!$J:$J,ROW()-8)="",0,INDEX(Transactions!$O:$O,ROW()-8))</f>
      </c>
    </row>
    <row r="4182" spans="1:7">
      <c r="B4182">
        <f>IF(INDEX(Transactions!$J:$J,ROW()-8)="",TODAY(),INDEX(Transactions!$G:$G,ROW()-8))</f>
      </c>
      <c r="F4182">
        <f>IF(INDEX(Transactions!$J:$J,ROW()-8)="",0,INDEX(Transactions!$O:$O,ROW()-8))</f>
      </c>
    </row>
    <row r="4183" spans="1:7">
      <c r="B4183">
        <f>IF(INDEX(Transactions!$J:$J,ROW()-8)="",TODAY(),INDEX(Transactions!$G:$G,ROW()-8))</f>
      </c>
      <c r="F4183">
        <f>IF(INDEX(Transactions!$J:$J,ROW()-8)="",0,INDEX(Transactions!$O:$O,ROW()-8))</f>
      </c>
    </row>
    <row r="4184" spans="1:7">
      <c r="B4184">
        <f>IF(INDEX(Transactions!$J:$J,ROW()-8)="",TODAY(),INDEX(Transactions!$G:$G,ROW()-8))</f>
      </c>
      <c r="F4184">
        <f>IF(INDEX(Transactions!$J:$J,ROW()-8)="",0,INDEX(Transactions!$O:$O,ROW()-8))</f>
      </c>
    </row>
    <row r="4185" spans="1:7">
      <c r="B4185">
        <f>IF(INDEX(Transactions!$J:$J,ROW()-8)="",TODAY(),INDEX(Transactions!$G:$G,ROW()-8))</f>
      </c>
      <c r="F4185">
        <f>IF(INDEX(Transactions!$J:$J,ROW()-8)="",0,INDEX(Transactions!$O:$O,ROW()-8))</f>
      </c>
    </row>
    <row r="4186" spans="1:7">
      <c r="B4186">
        <f>IF(INDEX(Transactions!$J:$J,ROW()-8)="",TODAY(),INDEX(Transactions!$G:$G,ROW()-8))</f>
      </c>
      <c r="F4186">
        <f>IF(INDEX(Transactions!$J:$J,ROW()-8)="",0,INDEX(Transactions!$O:$O,ROW()-8))</f>
      </c>
    </row>
    <row r="4187" spans="1:7">
      <c r="B4187">
        <f>IF(INDEX(Transactions!$J:$J,ROW()-8)="",TODAY(),INDEX(Transactions!$G:$G,ROW()-8))</f>
      </c>
      <c r="F4187">
        <f>IF(INDEX(Transactions!$J:$J,ROW()-8)="",0,INDEX(Transactions!$O:$O,ROW()-8))</f>
      </c>
    </row>
    <row r="4188" spans="1:7">
      <c r="B4188">
        <f>IF(INDEX(Transactions!$J:$J,ROW()-8)="",TODAY(),INDEX(Transactions!$G:$G,ROW()-8))</f>
      </c>
      <c r="F4188">
        <f>IF(INDEX(Transactions!$J:$J,ROW()-8)="",0,INDEX(Transactions!$O:$O,ROW()-8))</f>
      </c>
    </row>
    <row r="4189" spans="1:7">
      <c r="B4189">
        <f>IF(INDEX(Transactions!$J:$J,ROW()-8)="",TODAY(),INDEX(Transactions!$G:$G,ROW()-8))</f>
      </c>
      <c r="F4189">
        <f>IF(INDEX(Transactions!$J:$J,ROW()-8)="",0,INDEX(Transactions!$O:$O,ROW()-8))</f>
      </c>
    </row>
    <row r="4190" spans="1:7">
      <c r="B4190">
        <f>IF(INDEX(Transactions!$J:$J,ROW()-8)="",TODAY(),INDEX(Transactions!$G:$G,ROW()-8))</f>
      </c>
      <c r="F4190">
        <f>IF(INDEX(Transactions!$J:$J,ROW()-8)="",0,INDEX(Transactions!$O:$O,ROW()-8))</f>
      </c>
    </row>
    <row r="4191" spans="1:7">
      <c r="B4191">
        <f>IF(INDEX(Transactions!$J:$J,ROW()-8)="",TODAY(),INDEX(Transactions!$G:$G,ROW()-8))</f>
      </c>
      <c r="F4191">
        <f>IF(INDEX(Transactions!$J:$J,ROW()-8)="",0,INDEX(Transactions!$O:$O,ROW()-8))</f>
      </c>
    </row>
    <row r="4192" spans="1:7">
      <c r="B4192">
        <f>IF(INDEX(Transactions!$J:$J,ROW()-8)="",TODAY(),INDEX(Transactions!$G:$G,ROW()-8))</f>
      </c>
      <c r="F4192">
        <f>IF(INDEX(Transactions!$J:$J,ROW()-8)="",0,INDEX(Transactions!$O:$O,ROW()-8))</f>
      </c>
    </row>
    <row r="4193" spans="1:7">
      <c r="B4193">
        <f>IF(INDEX(Transactions!$J:$J,ROW()-8)="",TODAY(),INDEX(Transactions!$G:$G,ROW()-8))</f>
      </c>
      <c r="F4193">
        <f>IF(INDEX(Transactions!$J:$J,ROW()-8)="",0,INDEX(Transactions!$O:$O,ROW()-8))</f>
      </c>
    </row>
    <row r="4194" spans="1:7">
      <c r="B4194">
        <f>IF(INDEX(Transactions!$J:$J,ROW()-8)="",TODAY(),INDEX(Transactions!$G:$G,ROW()-8))</f>
      </c>
      <c r="F4194">
        <f>IF(INDEX(Transactions!$J:$J,ROW()-8)="",0,INDEX(Transactions!$O:$O,ROW()-8))</f>
      </c>
    </row>
    <row r="4195" spans="1:7">
      <c r="B4195">
        <f>IF(INDEX(Transactions!$J:$J,ROW()-8)="",TODAY(),INDEX(Transactions!$G:$G,ROW()-8))</f>
      </c>
      <c r="F4195">
        <f>IF(INDEX(Transactions!$J:$J,ROW()-8)="",0,INDEX(Transactions!$O:$O,ROW()-8))</f>
      </c>
    </row>
    <row r="4196" spans="1:7">
      <c r="B4196">
        <f>IF(INDEX(Transactions!$J:$J,ROW()-8)="",TODAY(),INDEX(Transactions!$G:$G,ROW()-8))</f>
      </c>
      <c r="F4196">
        <f>IF(INDEX(Transactions!$J:$J,ROW()-8)="",0,INDEX(Transactions!$O:$O,ROW()-8))</f>
      </c>
    </row>
    <row r="4197" spans="1:7">
      <c r="B4197">
        <f>IF(INDEX(Transactions!$J:$J,ROW()-8)="",TODAY(),INDEX(Transactions!$G:$G,ROW()-8))</f>
      </c>
      <c r="F4197">
        <f>IF(INDEX(Transactions!$J:$J,ROW()-8)="",0,INDEX(Transactions!$O:$O,ROW()-8))</f>
      </c>
    </row>
    <row r="4198" spans="1:7">
      <c r="B4198">
        <f>IF(INDEX(Transactions!$J:$J,ROW()-8)="",TODAY(),INDEX(Transactions!$G:$G,ROW()-8))</f>
      </c>
      <c r="F4198">
        <f>IF(INDEX(Transactions!$J:$J,ROW()-8)="",0,INDEX(Transactions!$O:$O,ROW()-8))</f>
      </c>
    </row>
    <row r="4199" spans="1:7">
      <c r="B4199">
        <f>IF(INDEX(Transactions!$J:$J,ROW()-8)="",TODAY(),INDEX(Transactions!$G:$G,ROW()-8))</f>
      </c>
      <c r="F4199">
        <f>IF(INDEX(Transactions!$J:$J,ROW()-8)="",0,INDEX(Transactions!$O:$O,ROW()-8))</f>
      </c>
    </row>
    <row r="4200" spans="1:7">
      <c r="B4200">
        <f>IF(INDEX(Transactions!$J:$J,ROW()-8)="",TODAY(),INDEX(Transactions!$G:$G,ROW()-8))</f>
      </c>
      <c r="F4200">
        <f>IF(INDEX(Transactions!$J:$J,ROW()-8)="",0,INDEX(Transactions!$O:$O,ROW()-8))</f>
      </c>
    </row>
    <row r="4201" spans="1:7">
      <c r="B4201">
        <f>IF(INDEX(Transactions!$J:$J,ROW()-8)="",TODAY(),INDEX(Transactions!$G:$G,ROW()-8))</f>
      </c>
      <c r="F4201">
        <f>IF(INDEX(Transactions!$J:$J,ROW()-8)="",0,INDEX(Transactions!$O:$O,ROW()-8))</f>
      </c>
    </row>
    <row r="4202" spans="1:7">
      <c r="B4202">
        <f>IF(INDEX(Transactions!$J:$J,ROW()-8)="",TODAY(),INDEX(Transactions!$G:$G,ROW()-8))</f>
      </c>
      <c r="F4202">
        <f>IF(INDEX(Transactions!$J:$J,ROW()-8)="",0,INDEX(Transactions!$O:$O,ROW()-8))</f>
      </c>
    </row>
    <row r="4203" spans="1:7">
      <c r="B4203">
        <f>IF(INDEX(Transactions!$J:$J,ROW()-8)="",TODAY(),INDEX(Transactions!$G:$G,ROW()-8))</f>
      </c>
      <c r="F4203">
        <f>IF(INDEX(Transactions!$J:$J,ROW()-8)="",0,INDEX(Transactions!$O:$O,ROW()-8))</f>
      </c>
    </row>
    <row r="4204" spans="1:7">
      <c r="B4204">
        <f>IF(INDEX(Transactions!$J:$J,ROW()-8)="",TODAY(),INDEX(Transactions!$G:$G,ROW()-8))</f>
      </c>
      <c r="F4204">
        <f>IF(INDEX(Transactions!$J:$J,ROW()-8)="",0,INDEX(Transactions!$O:$O,ROW()-8))</f>
      </c>
    </row>
    <row r="4205" spans="1:7">
      <c r="B4205">
        <f>IF(INDEX(Transactions!$J:$J,ROW()-8)="",TODAY(),INDEX(Transactions!$G:$G,ROW()-8))</f>
      </c>
      <c r="F4205">
        <f>IF(INDEX(Transactions!$J:$J,ROW()-8)="",0,INDEX(Transactions!$O:$O,ROW()-8))</f>
      </c>
    </row>
    <row r="4206" spans="1:7">
      <c r="B4206">
        <f>IF(INDEX(Transactions!$J:$J,ROW()-8)="",TODAY(),INDEX(Transactions!$G:$G,ROW()-8))</f>
      </c>
      <c r="F4206">
        <f>IF(INDEX(Transactions!$J:$J,ROW()-8)="",0,INDEX(Transactions!$O:$O,ROW()-8))</f>
      </c>
    </row>
    <row r="4207" spans="1:7">
      <c r="B4207">
        <f>IF(INDEX(Transactions!$J:$J,ROW()-8)="",TODAY(),INDEX(Transactions!$G:$G,ROW()-8))</f>
      </c>
      <c r="F4207">
        <f>IF(INDEX(Transactions!$J:$J,ROW()-8)="",0,INDEX(Transactions!$O:$O,ROW()-8))</f>
      </c>
    </row>
    <row r="4208" spans="1:7">
      <c r="B4208">
        <f>IF(INDEX(Transactions!$J:$J,ROW()-8)="",TODAY(),INDEX(Transactions!$G:$G,ROW()-8))</f>
      </c>
      <c r="F4208">
        <f>IF(INDEX(Transactions!$J:$J,ROW()-8)="",0,INDEX(Transactions!$O:$O,ROW()-8))</f>
      </c>
    </row>
    <row r="4209" spans="1:7">
      <c r="B4209">
        <f>IF(INDEX(Transactions!$J:$J,ROW()-8)="",TODAY(),INDEX(Transactions!$G:$G,ROW()-8))</f>
      </c>
      <c r="F4209">
        <f>IF(INDEX(Transactions!$J:$J,ROW()-8)="",0,INDEX(Transactions!$O:$O,ROW()-8))</f>
      </c>
    </row>
    <row r="4210" spans="1:7">
      <c r="B4210">
        <f>IF(INDEX(Transactions!$J:$J,ROW()-8)="",TODAY(),INDEX(Transactions!$G:$G,ROW()-8))</f>
      </c>
      <c r="F4210">
        <f>IF(INDEX(Transactions!$J:$J,ROW()-8)="",0,INDEX(Transactions!$O:$O,ROW()-8))</f>
      </c>
    </row>
    <row r="4211" spans="1:7">
      <c r="B4211">
        <f>IF(INDEX(Transactions!$J:$J,ROW()-8)="",TODAY(),INDEX(Transactions!$G:$G,ROW()-8))</f>
      </c>
      <c r="F4211">
        <f>IF(INDEX(Transactions!$J:$J,ROW()-8)="",0,INDEX(Transactions!$O:$O,ROW()-8))</f>
      </c>
    </row>
    <row r="4212" spans="1:7">
      <c r="B4212">
        <f>IF(INDEX(Transactions!$J:$J,ROW()-8)="",TODAY(),INDEX(Transactions!$G:$G,ROW()-8))</f>
      </c>
      <c r="F4212">
        <f>IF(INDEX(Transactions!$J:$J,ROW()-8)="",0,INDEX(Transactions!$O:$O,ROW()-8))</f>
      </c>
    </row>
    <row r="4213" spans="1:7">
      <c r="B4213">
        <f>IF(INDEX(Transactions!$J:$J,ROW()-8)="",TODAY(),INDEX(Transactions!$G:$G,ROW()-8))</f>
      </c>
      <c r="F4213">
        <f>IF(INDEX(Transactions!$J:$J,ROW()-8)="",0,INDEX(Transactions!$O:$O,ROW()-8))</f>
      </c>
    </row>
    <row r="4214" spans="1:7">
      <c r="B4214">
        <f>IF(INDEX(Transactions!$J:$J,ROW()-8)="",TODAY(),INDEX(Transactions!$G:$G,ROW()-8))</f>
      </c>
      <c r="F4214">
        <f>IF(INDEX(Transactions!$J:$J,ROW()-8)="",0,INDEX(Transactions!$O:$O,ROW()-8))</f>
      </c>
    </row>
    <row r="4215" spans="1:7">
      <c r="B4215">
        <f>IF(INDEX(Transactions!$J:$J,ROW()-8)="",TODAY(),INDEX(Transactions!$G:$G,ROW()-8))</f>
      </c>
      <c r="F4215">
        <f>IF(INDEX(Transactions!$J:$J,ROW()-8)="",0,INDEX(Transactions!$O:$O,ROW()-8))</f>
      </c>
    </row>
    <row r="4216" spans="1:7">
      <c r="B4216">
        <f>IF(INDEX(Transactions!$J:$J,ROW()-8)="",TODAY(),INDEX(Transactions!$G:$G,ROW()-8))</f>
      </c>
      <c r="F4216">
        <f>IF(INDEX(Transactions!$J:$J,ROW()-8)="",0,INDEX(Transactions!$O:$O,ROW()-8))</f>
      </c>
    </row>
    <row r="4217" spans="1:7">
      <c r="B4217">
        <f>IF(INDEX(Transactions!$J:$J,ROW()-8)="",TODAY(),INDEX(Transactions!$G:$G,ROW()-8))</f>
      </c>
      <c r="F4217">
        <f>IF(INDEX(Transactions!$J:$J,ROW()-8)="",0,INDEX(Transactions!$O:$O,ROW()-8))</f>
      </c>
    </row>
    <row r="4218" spans="1:7">
      <c r="B4218">
        <f>IF(INDEX(Transactions!$J:$J,ROW()-8)="",TODAY(),INDEX(Transactions!$G:$G,ROW()-8))</f>
      </c>
      <c r="F4218">
        <f>IF(INDEX(Transactions!$J:$J,ROW()-8)="",0,INDEX(Transactions!$O:$O,ROW()-8))</f>
      </c>
    </row>
    <row r="4219" spans="1:7">
      <c r="B4219">
        <f>IF(INDEX(Transactions!$J:$J,ROW()-8)="",TODAY(),INDEX(Transactions!$G:$G,ROW()-8))</f>
      </c>
      <c r="F4219">
        <f>IF(INDEX(Transactions!$J:$J,ROW()-8)="",0,INDEX(Transactions!$O:$O,ROW()-8))</f>
      </c>
    </row>
    <row r="4220" spans="1:7">
      <c r="B4220">
        <f>IF(INDEX(Transactions!$J:$J,ROW()-8)="",TODAY(),INDEX(Transactions!$G:$G,ROW()-8))</f>
      </c>
      <c r="F4220">
        <f>IF(INDEX(Transactions!$J:$J,ROW()-8)="",0,INDEX(Transactions!$O:$O,ROW()-8))</f>
      </c>
    </row>
    <row r="4221" spans="1:7">
      <c r="B4221">
        <f>IF(INDEX(Transactions!$J:$J,ROW()-8)="",TODAY(),INDEX(Transactions!$G:$G,ROW()-8))</f>
      </c>
      <c r="F4221">
        <f>IF(INDEX(Transactions!$J:$J,ROW()-8)="",0,INDEX(Transactions!$O:$O,ROW()-8))</f>
      </c>
    </row>
    <row r="4222" spans="1:7">
      <c r="B4222">
        <f>IF(INDEX(Transactions!$J:$J,ROW()-8)="",TODAY(),INDEX(Transactions!$G:$G,ROW()-8))</f>
      </c>
      <c r="F4222">
        <f>IF(INDEX(Transactions!$J:$J,ROW()-8)="",0,INDEX(Transactions!$O:$O,ROW()-8))</f>
      </c>
    </row>
    <row r="4223" spans="1:7">
      <c r="B4223">
        <f>IF(INDEX(Transactions!$J:$J,ROW()-8)="",TODAY(),INDEX(Transactions!$G:$G,ROW()-8))</f>
      </c>
      <c r="F4223">
        <f>IF(INDEX(Transactions!$J:$J,ROW()-8)="",0,INDEX(Transactions!$O:$O,ROW()-8))</f>
      </c>
    </row>
    <row r="4224" spans="1:7">
      <c r="B4224">
        <f>IF(INDEX(Transactions!$J:$J,ROW()-8)="",TODAY(),INDEX(Transactions!$G:$G,ROW()-8))</f>
      </c>
      <c r="F4224">
        <f>IF(INDEX(Transactions!$J:$J,ROW()-8)="",0,INDEX(Transactions!$O:$O,ROW()-8))</f>
      </c>
    </row>
    <row r="4225" spans="1:7">
      <c r="B4225">
        <f>IF(INDEX(Transactions!$J:$J,ROW()-8)="",TODAY(),INDEX(Transactions!$G:$G,ROW()-8))</f>
      </c>
      <c r="F4225">
        <f>IF(INDEX(Transactions!$J:$J,ROW()-8)="",0,INDEX(Transactions!$O:$O,ROW()-8))</f>
      </c>
    </row>
    <row r="4226" spans="1:7">
      <c r="B4226">
        <f>IF(INDEX(Transactions!$J:$J,ROW()-8)="",TODAY(),INDEX(Transactions!$G:$G,ROW()-8))</f>
      </c>
      <c r="F4226">
        <f>IF(INDEX(Transactions!$J:$J,ROW()-8)="",0,INDEX(Transactions!$O:$O,ROW()-8))</f>
      </c>
    </row>
    <row r="4227" spans="1:7">
      <c r="B4227">
        <f>IF(INDEX(Transactions!$J:$J,ROW()-8)="",TODAY(),INDEX(Transactions!$G:$G,ROW()-8))</f>
      </c>
      <c r="F4227">
        <f>IF(INDEX(Transactions!$J:$J,ROW()-8)="",0,INDEX(Transactions!$O:$O,ROW()-8))</f>
      </c>
    </row>
    <row r="4228" spans="1:7">
      <c r="B4228">
        <f>IF(INDEX(Transactions!$J:$J,ROW()-8)="",TODAY(),INDEX(Transactions!$G:$G,ROW()-8))</f>
      </c>
      <c r="F4228">
        <f>IF(INDEX(Transactions!$J:$J,ROW()-8)="",0,INDEX(Transactions!$O:$O,ROW()-8))</f>
      </c>
    </row>
    <row r="4229" spans="1:7">
      <c r="B4229">
        <f>IF(INDEX(Transactions!$J:$J,ROW()-8)="",TODAY(),INDEX(Transactions!$G:$G,ROW()-8))</f>
      </c>
      <c r="F4229">
        <f>IF(INDEX(Transactions!$J:$J,ROW()-8)="",0,INDEX(Transactions!$O:$O,ROW()-8))</f>
      </c>
    </row>
    <row r="4230" spans="1:7">
      <c r="B4230">
        <f>IF(INDEX(Transactions!$J:$J,ROW()-8)="",TODAY(),INDEX(Transactions!$G:$G,ROW()-8))</f>
      </c>
      <c r="F4230">
        <f>IF(INDEX(Transactions!$J:$J,ROW()-8)="",0,INDEX(Transactions!$O:$O,ROW()-8))</f>
      </c>
    </row>
    <row r="4231" spans="1:7">
      <c r="B4231">
        <f>IF(INDEX(Transactions!$J:$J,ROW()-8)="",TODAY(),INDEX(Transactions!$G:$G,ROW()-8))</f>
      </c>
      <c r="F4231">
        <f>IF(INDEX(Transactions!$J:$J,ROW()-8)="",0,INDEX(Transactions!$O:$O,ROW()-8))</f>
      </c>
    </row>
    <row r="4232" spans="1:7">
      <c r="B4232">
        <f>IF(INDEX(Transactions!$J:$J,ROW()-8)="",TODAY(),INDEX(Transactions!$G:$G,ROW()-8))</f>
      </c>
      <c r="F4232">
        <f>IF(INDEX(Transactions!$J:$J,ROW()-8)="",0,INDEX(Transactions!$O:$O,ROW()-8))</f>
      </c>
    </row>
    <row r="4233" spans="1:7">
      <c r="B4233">
        <f>IF(INDEX(Transactions!$J:$J,ROW()-8)="",TODAY(),INDEX(Transactions!$G:$G,ROW()-8))</f>
      </c>
      <c r="F4233">
        <f>IF(INDEX(Transactions!$J:$J,ROW()-8)="",0,INDEX(Transactions!$O:$O,ROW()-8))</f>
      </c>
    </row>
    <row r="4234" spans="1:7">
      <c r="B4234">
        <f>IF(INDEX(Transactions!$J:$J,ROW()-8)="",TODAY(),INDEX(Transactions!$G:$G,ROW()-8))</f>
      </c>
      <c r="F4234">
        <f>IF(INDEX(Transactions!$J:$J,ROW()-8)="",0,INDEX(Transactions!$O:$O,ROW()-8))</f>
      </c>
    </row>
    <row r="4235" spans="1:7">
      <c r="B4235">
        <f>IF(INDEX(Transactions!$J:$J,ROW()-8)="",TODAY(),INDEX(Transactions!$G:$G,ROW()-8))</f>
      </c>
      <c r="F4235">
        <f>IF(INDEX(Transactions!$J:$J,ROW()-8)="",0,INDEX(Transactions!$O:$O,ROW()-8))</f>
      </c>
    </row>
    <row r="4236" spans="1:7">
      <c r="B4236">
        <f>IF(INDEX(Transactions!$J:$J,ROW()-8)="",TODAY(),INDEX(Transactions!$G:$G,ROW()-8))</f>
      </c>
      <c r="F4236">
        <f>IF(INDEX(Transactions!$J:$J,ROW()-8)="",0,INDEX(Transactions!$O:$O,ROW()-8))</f>
      </c>
    </row>
    <row r="4237" spans="1:7">
      <c r="B4237">
        <f>IF(INDEX(Transactions!$J:$J,ROW()-8)="",TODAY(),INDEX(Transactions!$G:$G,ROW()-8))</f>
      </c>
      <c r="F4237">
        <f>IF(INDEX(Transactions!$J:$J,ROW()-8)="",0,INDEX(Transactions!$O:$O,ROW()-8))</f>
      </c>
    </row>
    <row r="4238" spans="1:7">
      <c r="B4238">
        <f>IF(INDEX(Transactions!$J:$J,ROW()-8)="",TODAY(),INDEX(Transactions!$G:$G,ROW()-8))</f>
      </c>
      <c r="F4238">
        <f>IF(INDEX(Transactions!$J:$J,ROW()-8)="",0,INDEX(Transactions!$O:$O,ROW()-8))</f>
      </c>
    </row>
    <row r="4239" spans="1:7">
      <c r="B4239">
        <f>IF(INDEX(Transactions!$J:$J,ROW()-8)="",TODAY(),INDEX(Transactions!$G:$G,ROW()-8))</f>
      </c>
      <c r="F4239">
        <f>IF(INDEX(Transactions!$J:$J,ROW()-8)="",0,INDEX(Transactions!$O:$O,ROW()-8))</f>
      </c>
    </row>
    <row r="4240" spans="1:7">
      <c r="B4240">
        <f>IF(INDEX(Transactions!$J:$J,ROW()-8)="",TODAY(),INDEX(Transactions!$G:$G,ROW()-8))</f>
      </c>
      <c r="F4240">
        <f>IF(INDEX(Transactions!$J:$J,ROW()-8)="",0,INDEX(Transactions!$O:$O,ROW()-8))</f>
      </c>
    </row>
    <row r="4241" spans="1:7">
      <c r="B4241">
        <f>IF(INDEX(Transactions!$J:$J,ROW()-8)="",TODAY(),INDEX(Transactions!$G:$G,ROW()-8))</f>
      </c>
      <c r="F4241">
        <f>IF(INDEX(Transactions!$J:$J,ROW()-8)="",0,INDEX(Transactions!$O:$O,ROW()-8))</f>
      </c>
    </row>
    <row r="4242" spans="1:7">
      <c r="B4242">
        <f>IF(INDEX(Transactions!$J:$J,ROW()-8)="",TODAY(),INDEX(Transactions!$G:$G,ROW()-8))</f>
      </c>
      <c r="F4242">
        <f>IF(INDEX(Transactions!$J:$J,ROW()-8)="",0,INDEX(Transactions!$O:$O,ROW()-8))</f>
      </c>
    </row>
    <row r="4243" spans="1:7">
      <c r="B4243">
        <f>IF(INDEX(Transactions!$J:$J,ROW()-8)="",TODAY(),INDEX(Transactions!$G:$G,ROW()-8))</f>
      </c>
      <c r="F4243">
        <f>IF(INDEX(Transactions!$J:$J,ROW()-8)="",0,INDEX(Transactions!$O:$O,ROW()-8))</f>
      </c>
    </row>
    <row r="4244" spans="1:7">
      <c r="B4244">
        <f>IF(INDEX(Transactions!$J:$J,ROW()-8)="",TODAY(),INDEX(Transactions!$G:$G,ROW()-8))</f>
      </c>
      <c r="F4244">
        <f>IF(INDEX(Transactions!$J:$J,ROW()-8)="",0,INDEX(Transactions!$O:$O,ROW()-8))</f>
      </c>
    </row>
    <row r="4245" spans="1:7">
      <c r="B4245">
        <f>IF(INDEX(Transactions!$J:$J,ROW()-8)="",TODAY(),INDEX(Transactions!$G:$G,ROW()-8))</f>
      </c>
      <c r="F4245">
        <f>IF(INDEX(Transactions!$J:$J,ROW()-8)="",0,INDEX(Transactions!$O:$O,ROW()-8))</f>
      </c>
    </row>
    <row r="4246" spans="1:7">
      <c r="B4246">
        <f>IF(INDEX(Transactions!$J:$J,ROW()-8)="",TODAY(),INDEX(Transactions!$G:$G,ROW()-8))</f>
      </c>
      <c r="F4246">
        <f>IF(INDEX(Transactions!$J:$J,ROW()-8)="",0,INDEX(Transactions!$O:$O,ROW()-8))</f>
      </c>
    </row>
    <row r="4247" spans="1:7">
      <c r="B4247">
        <f>IF(INDEX(Transactions!$J:$J,ROW()-8)="",TODAY(),INDEX(Transactions!$G:$G,ROW()-8))</f>
      </c>
      <c r="F4247">
        <f>IF(INDEX(Transactions!$J:$J,ROW()-8)="",0,INDEX(Transactions!$O:$O,ROW()-8))</f>
      </c>
    </row>
    <row r="4248" spans="1:7">
      <c r="B4248">
        <f>IF(INDEX(Transactions!$J:$J,ROW()-8)="",TODAY(),INDEX(Transactions!$G:$G,ROW()-8))</f>
      </c>
      <c r="F4248">
        <f>IF(INDEX(Transactions!$J:$J,ROW()-8)="",0,INDEX(Transactions!$O:$O,ROW()-8))</f>
      </c>
    </row>
    <row r="4249" spans="1:7">
      <c r="B4249">
        <f>IF(INDEX(Transactions!$J:$J,ROW()-8)="",TODAY(),INDEX(Transactions!$G:$G,ROW()-8))</f>
      </c>
      <c r="F4249">
        <f>IF(INDEX(Transactions!$J:$J,ROW()-8)="",0,INDEX(Transactions!$O:$O,ROW()-8))</f>
      </c>
    </row>
    <row r="4250" spans="1:7">
      <c r="B4250">
        <f>IF(INDEX(Transactions!$J:$J,ROW()-8)="",TODAY(),INDEX(Transactions!$G:$G,ROW()-8))</f>
      </c>
      <c r="F4250">
        <f>IF(INDEX(Transactions!$J:$J,ROW()-8)="",0,INDEX(Transactions!$O:$O,ROW()-8))</f>
      </c>
    </row>
    <row r="4251" spans="1:7">
      <c r="B4251">
        <f>IF(INDEX(Transactions!$J:$J,ROW()-8)="",TODAY(),INDEX(Transactions!$G:$G,ROW()-8))</f>
      </c>
      <c r="F4251">
        <f>IF(INDEX(Transactions!$J:$J,ROW()-8)="",0,INDEX(Transactions!$O:$O,ROW()-8))</f>
      </c>
    </row>
    <row r="4252" spans="1:7">
      <c r="B4252">
        <f>IF(INDEX(Transactions!$J:$J,ROW()-8)="",TODAY(),INDEX(Transactions!$G:$G,ROW()-8))</f>
      </c>
      <c r="F4252">
        <f>IF(INDEX(Transactions!$J:$J,ROW()-8)="",0,INDEX(Transactions!$O:$O,ROW()-8))</f>
      </c>
    </row>
    <row r="4253" spans="1:7">
      <c r="B4253">
        <f>IF(INDEX(Transactions!$J:$J,ROW()-8)="",TODAY(),INDEX(Transactions!$G:$G,ROW()-8))</f>
      </c>
      <c r="F4253">
        <f>IF(INDEX(Transactions!$J:$J,ROW()-8)="",0,INDEX(Transactions!$O:$O,ROW()-8))</f>
      </c>
    </row>
    <row r="4254" spans="1:7">
      <c r="B4254">
        <f>IF(INDEX(Transactions!$J:$J,ROW()-8)="",TODAY(),INDEX(Transactions!$G:$G,ROW()-8))</f>
      </c>
      <c r="F4254">
        <f>IF(INDEX(Transactions!$J:$J,ROW()-8)="",0,INDEX(Transactions!$O:$O,ROW()-8))</f>
      </c>
    </row>
    <row r="4255" spans="1:7">
      <c r="B4255">
        <f>IF(INDEX(Transactions!$J:$J,ROW()-8)="",TODAY(),INDEX(Transactions!$G:$G,ROW()-8))</f>
      </c>
      <c r="F4255">
        <f>IF(INDEX(Transactions!$J:$J,ROW()-8)="",0,INDEX(Transactions!$O:$O,ROW()-8))</f>
      </c>
    </row>
    <row r="4256" spans="1:7">
      <c r="B4256">
        <f>IF(INDEX(Transactions!$J:$J,ROW()-8)="",TODAY(),INDEX(Transactions!$G:$G,ROW()-8))</f>
      </c>
      <c r="F4256">
        <f>IF(INDEX(Transactions!$J:$J,ROW()-8)="",0,INDEX(Transactions!$O:$O,ROW()-8))</f>
      </c>
    </row>
    <row r="4257" spans="1:7">
      <c r="B4257">
        <f>IF(INDEX(Transactions!$J:$J,ROW()-8)="",TODAY(),INDEX(Transactions!$G:$G,ROW()-8))</f>
      </c>
      <c r="F4257">
        <f>IF(INDEX(Transactions!$J:$J,ROW()-8)="",0,INDEX(Transactions!$O:$O,ROW()-8))</f>
      </c>
    </row>
    <row r="4258" spans="1:7">
      <c r="B4258">
        <f>IF(INDEX(Transactions!$J:$J,ROW()-8)="",TODAY(),INDEX(Transactions!$G:$G,ROW()-8))</f>
      </c>
      <c r="F4258">
        <f>IF(INDEX(Transactions!$J:$J,ROW()-8)="",0,INDEX(Transactions!$O:$O,ROW()-8))</f>
      </c>
    </row>
    <row r="4259" spans="1:7">
      <c r="B4259">
        <f>IF(INDEX(Transactions!$J:$J,ROW()-8)="",TODAY(),INDEX(Transactions!$G:$G,ROW()-8))</f>
      </c>
      <c r="F4259">
        <f>IF(INDEX(Transactions!$J:$J,ROW()-8)="",0,INDEX(Transactions!$O:$O,ROW()-8))</f>
      </c>
    </row>
    <row r="4260" spans="1:7">
      <c r="B4260">
        <f>IF(INDEX(Transactions!$J:$J,ROW()-8)="",TODAY(),INDEX(Transactions!$G:$G,ROW()-8))</f>
      </c>
      <c r="F4260">
        <f>IF(INDEX(Transactions!$J:$J,ROW()-8)="",0,INDEX(Transactions!$O:$O,ROW()-8))</f>
      </c>
    </row>
    <row r="4261" spans="1:7">
      <c r="B4261">
        <f>IF(INDEX(Transactions!$J:$J,ROW()-8)="",TODAY(),INDEX(Transactions!$G:$G,ROW()-8))</f>
      </c>
      <c r="F4261">
        <f>IF(INDEX(Transactions!$J:$J,ROW()-8)="",0,INDEX(Transactions!$O:$O,ROW()-8))</f>
      </c>
    </row>
    <row r="4262" spans="1:7">
      <c r="B4262">
        <f>IF(INDEX(Transactions!$J:$J,ROW()-8)="",TODAY(),INDEX(Transactions!$G:$G,ROW()-8))</f>
      </c>
      <c r="F4262">
        <f>IF(INDEX(Transactions!$J:$J,ROW()-8)="",0,INDEX(Transactions!$O:$O,ROW()-8))</f>
      </c>
    </row>
    <row r="4263" spans="1:7">
      <c r="B4263">
        <f>IF(INDEX(Transactions!$J:$J,ROW()-8)="",TODAY(),INDEX(Transactions!$G:$G,ROW()-8))</f>
      </c>
      <c r="F4263">
        <f>IF(INDEX(Transactions!$J:$J,ROW()-8)="",0,INDEX(Transactions!$O:$O,ROW()-8))</f>
      </c>
    </row>
    <row r="4264" spans="1:7">
      <c r="B4264">
        <f>IF(INDEX(Transactions!$J:$J,ROW()-8)="",TODAY(),INDEX(Transactions!$G:$G,ROW()-8))</f>
      </c>
      <c r="F4264">
        <f>IF(INDEX(Transactions!$J:$J,ROW()-8)="",0,INDEX(Transactions!$O:$O,ROW()-8))</f>
      </c>
    </row>
    <row r="4265" spans="1:7">
      <c r="B4265">
        <f>IF(INDEX(Transactions!$J:$J,ROW()-8)="",TODAY(),INDEX(Transactions!$G:$G,ROW()-8))</f>
      </c>
      <c r="F4265">
        <f>IF(INDEX(Transactions!$J:$J,ROW()-8)="",0,INDEX(Transactions!$O:$O,ROW()-8))</f>
      </c>
    </row>
    <row r="4266" spans="1:7">
      <c r="B4266">
        <f>IF(INDEX(Transactions!$J:$J,ROW()-8)="",TODAY(),INDEX(Transactions!$G:$G,ROW()-8))</f>
      </c>
      <c r="F4266">
        <f>IF(INDEX(Transactions!$J:$J,ROW()-8)="",0,INDEX(Transactions!$O:$O,ROW()-8))</f>
      </c>
    </row>
    <row r="4267" spans="1:7">
      <c r="B4267">
        <f>IF(INDEX(Transactions!$J:$J,ROW()-8)="",TODAY(),INDEX(Transactions!$G:$G,ROW()-8))</f>
      </c>
      <c r="F4267">
        <f>IF(INDEX(Transactions!$J:$J,ROW()-8)="",0,INDEX(Transactions!$O:$O,ROW()-8))</f>
      </c>
    </row>
    <row r="4268" spans="1:7">
      <c r="B4268">
        <f>IF(INDEX(Transactions!$J:$J,ROW()-8)="",TODAY(),INDEX(Transactions!$G:$G,ROW()-8))</f>
      </c>
      <c r="F4268">
        <f>IF(INDEX(Transactions!$J:$J,ROW()-8)="",0,INDEX(Transactions!$O:$O,ROW()-8))</f>
      </c>
    </row>
    <row r="4269" spans="1:7">
      <c r="B4269">
        <f>IF(INDEX(Transactions!$J:$J,ROW()-8)="",TODAY(),INDEX(Transactions!$G:$G,ROW()-8))</f>
      </c>
      <c r="F4269">
        <f>IF(INDEX(Transactions!$J:$J,ROW()-8)="",0,INDEX(Transactions!$O:$O,ROW()-8))</f>
      </c>
    </row>
    <row r="4270" spans="1:7">
      <c r="B4270">
        <f>IF(INDEX(Transactions!$J:$J,ROW()-8)="",TODAY(),INDEX(Transactions!$G:$G,ROW()-8))</f>
      </c>
      <c r="F4270">
        <f>IF(INDEX(Transactions!$J:$J,ROW()-8)="",0,INDEX(Transactions!$O:$O,ROW()-8))</f>
      </c>
    </row>
    <row r="4271" spans="1:7">
      <c r="B4271">
        <f>IF(INDEX(Transactions!$J:$J,ROW()-8)="",TODAY(),INDEX(Transactions!$G:$G,ROW()-8))</f>
      </c>
      <c r="F4271">
        <f>IF(INDEX(Transactions!$J:$J,ROW()-8)="",0,INDEX(Transactions!$O:$O,ROW()-8))</f>
      </c>
    </row>
    <row r="4272" spans="1:7">
      <c r="B4272">
        <f>IF(INDEX(Transactions!$J:$J,ROW()-8)="",TODAY(),INDEX(Transactions!$G:$G,ROW()-8))</f>
      </c>
      <c r="F4272">
        <f>IF(INDEX(Transactions!$J:$J,ROW()-8)="",0,INDEX(Transactions!$O:$O,ROW()-8))</f>
      </c>
    </row>
    <row r="4273" spans="1:7">
      <c r="B4273">
        <f>IF(INDEX(Transactions!$J:$J,ROW()-8)="",TODAY(),INDEX(Transactions!$G:$G,ROW()-8))</f>
      </c>
      <c r="F4273">
        <f>IF(INDEX(Transactions!$J:$J,ROW()-8)="",0,INDEX(Transactions!$O:$O,ROW()-8))</f>
      </c>
    </row>
    <row r="4274" spans="1:7">
      <c r="B4274">
        <f>IF(INDEX(Transactions!$J:$J,ROW()-8)="",TODAY(),INDEX(Transactions!$G:$G,ROW()-8))</f>
      </c>
      <c r="F4274">
        <f>IF(INDEX(Transactions!$J:$J,ROW()-8)="",0,INDEX(Transactions!$O:$O,ROW()-8))</f>
      </c>
    </row>
    <row r="4275" spans="1:7">
      <c r="B4275">
        <f>IF(INDEX(Transactions!$J:$J,ROW()-8)="",TODAY(),INDEX(Transactions!$G:$G,ROW()-8))</f>
      </c>
      <c r="F4275">
        <f>IF(INDEX(Transactions!$J:$J,ROW()-8)="",0,INDEX(Transactions!$O:$O,ROW()-8))</f>
      </c>
    </row>
    <row r="4276" spans="1:7">
      <c r="B4276">
        <f>IF(INDEX(Transactions!$J:$J,ROW()-8)="",TODAY(),INDEX(Transactions!$G:$G,ROW()-8))</f>
      </c>
      <c r="F4276">
        <f>IF(INDEX(Transactions!$J:$J,ROW()-8)="",0,INDEX(Transactions!$O:$O,ROW()-8))</f>
      </c>
    </row>
    <row r="4277" spans="1:7">
      <c r="B4277">
        <f>IF(INDEX(Transactions!$J:$J,ROW()-8)="",TODAY(),INDEX(Transactions!$G:$G,ROW()-8))</f>
      </c>
      <c r="F4277">
        <f>IF(INDEX(Transactions!$J:$J,ROW()-8)="",0,INDEX(Transactions!$O:$O,ROW()-8))</f>
      </c>
    </row>
    <row r="4278" spans="1:7">
      <c r="B4278">
        <f>IF(INDEX(Transactions!$J:$J,ROW()-8)="",TODAY(),INDEX(Transactions!$G:$G,ROW()-8))</f>
      </c>
      <c r="F4278">
        <f>IF(INDEX(Transactions!$J:$J,ROW()-8)="",0,INDEX(Transactions!$O:$O,ROW()-8))</f>
      </c>
    </row>
    <row r="4279" spans="1:7">
      <c r="B4279">
        <f>IF(INDEX(Transactions!$J:$J,ROW()-8)="",TODAY(),INDEX(Transactions!$G:$G,ROW()-8))</f>
      </c>
      <c r="F4279">
        <f>IF(INDEX(Transactions!$J:$J,ROW()-8)="",0,INDEX(Transactions!$O:$O,ROW()-8))</f>
      </c>
    </row>
    <row r="4280" spans="1:7">
      <c r="B4280">
        <f>IF(INDEX(Transactions!$J:$J,ROW()-8)="",TODAY(),INDEX(Transactions!$G:$G,ROW()-8))</f>
      </c>
      <c r="F4280">
        <f>IF(INDEX(Transactions!$J:$J,ROW()-8)="",0,INDEX(Transactions!$O:$O,ROW()-8))</f>
      </c>
    </row>
    <row r="4281" spans="1:7">
      <c r="B4281">
        <f>IF(INDEX(Transactions!$J:$J,ROW()-8)="",TODAY(),INDEX(Transactions!$G:$G,ROW()-8))</f>
      </c>
      <c r="F4281">
        <f>IF(INDEX(Transactions!$J:$J,ROW()-8)="",0,INDEX(Transactions!$O:$O,ROW()-8))</f>
      </c>
    </row>
    <row r="4282" spans="1:7">
      <c r="B4282">
        <f>IF(INDEX(Transactions!$J:$J,ROW()-8)="",TODAY(),INDEX(Transactions!$G:$G,ROW()-8))</f>
      </c>
      <c r="F4282">
        <f>IF(INDEX(Transactions!$J:$J,ROW()-8)="",0,INDEX(Transactions!$O:$O,ROW()-8))</f>
      </c>
    </row>
    <row r="4283" spans="1:7">
      <c r="B4283">
        <f>IF(INDEX(Transactions!$J:$J,ROW()-8)="",TODAY(),INDEX(Transactions!$G:$G,ROW()-8))</f>
      </c>
      <c r="F4283">
        <f>IF(INDEX(Transactions!$J:$J,ROW()-8)="",0,INDEX(Transactions!$O:$O,ROW()-8))</f>
      </c>
    </row>
    <row r="4284" spans="1:7">
      <c r="B4284">
        <f>IF(INDEX(Transactions!$J:$J,ROW()-8)="",TODAY(),INDEX(Transactions!$G:$G,ROW()-8))</f>
      </c>
      <c r="F4284">
        <f>IF(INDEX(Transactions!$J:$J,ROW()-8)="",0,INDEX(Transactions!$O:$O,ROW()-8))</f>
      </c>
    </row>
    <row r="4285" spans="1:7">
      <c r="B4285">
        <f>IF(INDEX(Transactions!$J:$J,ROW()-8)="",TODAY(),INDEX(Transactions!$G:$G,ROW()-8))</f>
      </c>
      <c r="F4285">
        <f>IF(INDEX(Transactions!$J:$J,ROW()-8)="",0,INDEX(Transactions!$O:$O,ROW()-8))</f>
      </c>
    </row>
    <row r="4286" spans="1:7">
      <c r="B4286">
        <f>IF(INDEX(Transactions!$J:$J,ROW()-8)="",TODAY(),INDEX(Transactions!$G:$G,ROW()-8))</f>
      </c>
      <c r="F4286">
        <f>IF(INDEX(Transactions!$J:$J,ROW()-8)="",0,INDEX(Transactions!$O:$O,ROW()-8))</f>
      </c>
    </row>
    <row r="4287" spans="1:7">
      <c r="B4287">
        <f>IF(INDEX(Transactions!$J:$J,ROW()-8)="",TODAY(),INDEX(Transactions!$G:$G,ROW()-8))</f>
      </c>
      <c r="F4287">
        <f>IF(INDEX(Transactions!$J:$J,ROW()-8)="",0,INDEX(Transactions!$O:$O,ROW()-8))</f>
      </c>
    </row>
    <row r="4288" spans="1:7">
      <c r="B4288">
        <f>IF(INDEX(Transactions!$J:$J,ROW()-8)="",TODAY(),INDEX(Transactions!$G:$G,ROW()-8))</f>
      </c>
      <c r="F4288">
        <f>IF(INDEX(Transactions!$J:$J,ROW()-8)="",0,INDEX(Transactions!$O:$O,ROW()-8))</f>
      </c>
    </row>
    <row r="4289" spans="1:7">
      <c r="B4289">
        <f>IF(INDEX(Transactions!$J:$J,ROW()-8)="",TODAY(),INDEX(Transactions!$G:$G,ROW()-8))</f>
      </c>
      <c r="F4289">
        <f>IF(INDEX(Transactions!$J:$J,ROW()-8)="",0,INDEX(Transactions!$O:$O,ROW()-8))</f>
      </c>
    </row>
    <row r="4290" spans="1:7">
      <c r="B4290">
        <f>IF(INDEX(Transactions!$J:$J,ROW()-8)="",TODAY(),INDEX(Transactions!$G:$G,ROW()-8))</f>
      </c>
      <c r="F4290">
        <f>IF(INDEX(Transactions!$J:$J,ROW()-8)="",0,INDEX(Transactions!$O:$O,ROW()-8))</f>
      </c>
    </row>
    <row r="4291" spans="1:7">
      <c r="B4291">
        <f>IF(INDEX(Transactions!$J:$J,ROW()-8)="",TODAY(),INDEX(Transactions!$G:$G,ROW()-8))</f>
      </c>
      <c r="F4291">
        <f>IF(INDEX(Transactions!$J:$J,ROW()-8)="",0,INDEX(Transactions!$O:$O,ROW()-8))</f>
      </c>
    </row>
    <row r="4292" spans="1:7">
      <c r="B4292">
        <f>IF(INDEX(Transactions!$J:$J,ROW()-8)="",TODAY(),INDEX(Transactions!$G:$G,ROW()-8))</f>
      </c>
      <c r="F4292">
        <f>IF(INDEX(Transactions!$J:$J,ROW()-8)="",0,INDEX(Transactions!$O:$O,ROW()-8))</f>
      </c>
    </row>
    <row r="4293" spans="1:7">
      <c r="B4293">
        <f>IF(INDEX(Transactions!$J:$J,ROW()-8)="",TODAY(),INDEX(Transactions!$G:$G,ROW()-8))</f>
      </c>
      <c r="F4293">
        <f>IF(INDEX(Transactions!$J:$J,ROW()-8)="",0,INDEX(Transactions!$O:$O,ROW()-8))</f>
      </c>
    </row>
    <row r="4294" spans="1:7">
      <c r="B4294">
        <f>IF(INDEX(Transactions!$J:$J,ROW()-8)="",TODAY(),INDEX(Transactions!$G:$G,ROW()-8))</f>
      </c>
      <c r="F4294">
        <f>IF(INDEX(Transactions!$J:$J,ROW()-8)="",0,INDEX(Transactions!$O:$O,ROW()-8))</f>
      </c>
    </row>
    <row r="4295" spans="1:7">
      <c r="B4295">
        <f>IF(INDEX(Transactions!$J:$J,ROW()-8)="",TODAY(),INDEX(Transactions!$G:$G,ROW()-8))</f>
      </c>
      <c r="F4295">
        <f>IF(INDEX(Transactions!$J:$J,ROW()-8)="",0,INDEX(Transactions!$O:$O,ROW()-8))</f>
      </c>
    </row>
    <row r="4296" spans="1:7">
      <c r="B4296">
        <f>IF(INDEX(Transactions!$J:$J,ROW()-8)="",TODAY(),INDEX(Transactions!$G:$G,ROW()-8))</f>
      </c>
      <c r="F4296">
        <f>IF(INDEX(Transactions!$J:$J,ROW()-8)="",0,INDEX(Transactions!$O:$O,ROW()-8))</f>
      </c>
    </row>
    <row r="4297" spans="1:7">
      <c r="B4297">
        <f>IF(INDEX(Transactions!$J:$J,ROW()-8)="",TODAY(),INDEX(Transactions!$G:$G,ROW()-8))</f>
      </c>
      <c r="F4297">
        <f>IF(INDEX(Transactions!$J:$J,ROW()-8)="",0,INDEX(Transactions!$O:$O,ROW()-8))</f>
      </c>
    </row>
    <row r="4298" spans="1:7">
      <c r="B4298">
        <f>IF(INDEX(Transactions!$J:$J,ROW()-8)="",TODAY(),INDEX(Transactions!$G:$G,ROW()-8))</f>
      </c>
      <c r="F4298">
        <f>IF(INDEX(Transactions!$J:$J,ROW()-8)="",0,INDEX(Transactions!$O:$O,ROW()-8))</f>
      </c>
    </row>
    <row r="4299" spans="1:7">
      <c r="B4299">
        <f>IF(INDEX(Transactions!$J:$J,ROW()-8)="",TODAY(),INDEX(Transactions!$G:$G,ROW()-8))</f>
      </c>
      <c r="F4299">
        <f>IF(INDEX(Transactions!$J:$J,ROW()-8)="",0,INDEX(Transactions!$O:$O,ROW()-8))</f>
      </c>
    </row>
    <row r="4300" spans="1:7">
      <c r="B4300">
        <f>IF(INDEX(Transactions!$J:$J,ROW()-8)="",TODAY(),INDEX(Transactions!$G:$G,ROW()-8))</f>
      </c>
      <c r="F4300">
        <f>IF(INDEX(Transactions!$J:$J,ROW()-8)="",0,INDEX(Transactions!$O:$O,ROW()-8))</f>
      </c>
    </row>
    <row r="4301" spans="1:7">
      <c r="B4301">
        <f>IF(INDEX(Transactions!$J:$J,ROW()-8)="",TODAY(),INDEX(Transactions!$G:$G,ROW()-8))</f>
      </c>
      <c r="F4301">
        <f>IF(INDEX(Transactions!$J:$J,ROW()-8)="",0,INDEX(Transactions!$O:$O,ROW()-8))</f>
      </c>
    </row>
    <row r="4302" spans="1:7">
      <c r="B4302">
        <f>IF(INDEX(Transactions!$J:$J,ROW()-8)="",TODAY(),INDEX(Transactions!$G:$G,ROW()-8))</f>
      </c>
      <c r="F4302">
        <f>IF(INDEX(Transactions!$J:$J,ROW()-8)="",0,INDEX(Transactions!$O:$O,ROW()-8))</f>
      </c>
    </row>
    <row r="4303" spans="1:7">
      <c r="B4303">
        <f>IF(INDEX(Transactions!$J:$J,ROW()-8)="",TODAY(),INDEX(Transactions!$G:$G,ROW()-8))</f>
      </c>
      <c r="F4303">
        <f>IF(INDEX(Transactions!$J:$J,ROW()-8)="",0,INDEX(Transactions!$O:$O,ROW()-8))</f>
      </c>
    </row>
    <row r="4304" spans="1:7">
      <c r="B4304">
        <f>IF(INDEX(Transactions!$J:$J,ROW()-8)="",TODAY(),INDEX(Transactions!$G:$G,ROW()-8))</f>
      </c>
      <c r="F4304">
        <f>IF(INDEX(Transactions!$J:$J,ROW()-8)="",0,INDEX(Transactions!$O:$O,ROW()-8))</f>
      </c>
    </row>
    <row r="4305" spans="1:7">
      <c r="B4305">
        <f>IF(INDEX(Transactions!$J:$J,ROW()-8)="",TODAY(),INDEX(Transactions!$G:$G,ROW()-8))</f>
      </c>
      <c r="F4305">
        <f>IF(INDEX(Transactions!$J:$J,ROW()-8)="",0,INDEX(Transactions!$O:$O,ROW()-8))</f>
      </c>
    </row>
    <row r="4306" spans="1:7">
      <c r="B4306">
        <f>IF(INDEX(Transactions!$J:$J,ROW()-8)="",TODAY(),INDEX(Transactions!$G:$G,ROW()-8))</f>
      </c>
      <c r="F4306">
        <f>IF(INDEX(Transactions!$J:$J,ROW()-8)="",0,INDEX(Transactions!$O:$O,ROW()-8))</f>
      </c>
    </row>
    <row r="4307" spans="1:7">
      <c r="B4307">
        <f>IF(INDEX(Transactions!$J:$J,ROW()-8)="",TODAY(),INDEX(Transactions!$G:$G,ROW()-8))</f>
      </c>
      <c r="F4307">
        <f>IF(INDEX(Transactions!$J:$J,ROW()-8)="",0,INDEX(Transactions!$O:$O,ROW()-8))</f>
      </c>
    </row>
    <row r="4308" spans="1:7">
      <c r="B4308">
        <f>IF(INDEX(Transactions!$J:$J,ROW()-8)="",TODAY(),INDEX(Transactions!$G:$G,ROW()-8))</f>
      </c>
      <c r="F4308">
        <f>IF(INDEX(Transactions!$J:$J,ROW()-8)="",0,INDEX(Transactions!$O:$O,ROW()-8))</f>
      </c>
    </row>
    <row r="4309" spans="1:7">
      <c r="B4309">
        <f>IF(INDEX(Transactions!$J:$J,ROW()-8)="",TODAY(),INDEX(Transactions!$G:$G,ROW()-8))</f>
      </c>
      <c r="F4309">
        <f>IF(INDEX(Transactions!$J:$J,ROW()-8)="",0,INDEX(Transactions!$O:$O,ROW()-8))</f>
      </c>
    </row>
    <row r="4310" spans="1:7">
      <c r="B4310">
        <f>IF(INDEX(Transactions!$J:$J,ROW()-8)="",TODAY(),INDEX(Transactions!$G:$G,ROW()-8))</f>
      </c>
      <c r="F4310">
        <f>IF(INDEX(Transactions!$J:$J,ROW()-8)="",0,INDEX(Transactions!$O:$O,ROW()-8))</f>
      </c>
    </row>
    <row r="4311" spans="1:7">
      <c r="B4311">
        <f>IF(INDEX(Transactions!$J:$J,ROW()-8)="",TODAY(),INDEX(Transactions!$G:$G,ROW()-8))</f>
      </c>
      <c r="F4311">
        <f>IF(INDEX(Transactions!$J:$J,ROW()-8)="",0,INDEX(Transactions!$O:$O,ROW()-8))</f>
      </c>
    </row>
    <row r="4312" spans="1:7">
      <c r="B4312">
        <f>IF(INDEX(Transactions!$J:$J,ROW()-8)="",TODAY(),INDEX(Transactions!$G:$G,ROW()-8))</f>
      </c>
      <c r="F4312">
        <f>IF(INDEX(Transactions!$J:$J,ROW()-8)="",0,INDEX(Transactions!$O:$O,ROW()-8))</f>
      </c>
    </row>
    <row r="4313" spans="1:7">
      <c r="B4313">
        <f>IF(INDEX(Transactions!$J:$J,ROW()-8)="",TODAY(),INDEX(Transactions!$G:$G,ROW()-8))</f>
      </c>
      <c r="F4313">
        <f>IF(INDEX(Transactions!$J:$J,ROW()-8)="",0,INDEX(Transactions!$O:$O,ROW()-8))</f>
      </c>
    </row>
    <row r="4314" spans="1:7">
      <c r="B4314">
        <f>IF(INDEX(Transactions!$J:$J,ROW()-8)="",TODAY(),INDEX(Transactions!$G:$G,ROW()-8))</f>
      </c>
      <c r="F4314">
        <f>IF(INDEX(Transactions!$J:$J,ROW()-8)="",0,INDEX(Transactions!$O:$O,ROW()-8))</f>
      </c>
    </row>
    <row r="4315" spans="1:7">
      <c r="B4315">
        <f>IF(INDEX(Transactions!$J:$J,ROW()-8)="",TODAY(),INDEX(Transactions!$G:$G,ROW()-8))</f>
      </c>
      <c r="F4315">
        <f>IF(INDEX(Transactions!$J:$J,ROW()-8)="",0,INDEX(Transactions!$O:$O,ROW()-8))</f>
      </c>
    </row>
    <row r="4316" spans="1:7">
      <c r="B4316">
        <f>IF(INDEX(Transactions!$J:$J,ROW()-8)="",TODAY(),INDEX(Transactions!$G:$G,ROW()-8))</f>
      </c>
      <c r="F4316">
        <f>IF(INDEX(Transactions!$J:$J,ROW()-8)="",0,INDEX(Transactions!$O:$O,ROW()-8))</f>
      </c>
    </row>
    <row r="4317" spans="1:7">
      <c r="B4317">
        <f>IF(INDEX(Transactions!$J:$J,ROW()-8)="",TODAY(),INDEX(Transactions!$G:$G,ROW()-8))</f>
      </c>
      <c r="F4317">
        <f>IF(INDEX(Transactions!$J:$J,ROW()-8)="",0,INDEX(Transactions!$O:$O,ROW()-8))</f>
      </c>
    </row>
    <row r="4318" spans="1:7">
      <c r="B4318">
        <f>IF(INDEX(Transactions!$J:$J,ROW()-8)="",TODAY(),INDEX(Transactions!$G:$G,ROW()-8))</f>
      </c>
      <c r="F4318">
        <f>IF(INDEX(Transactions!$J:$J,ROW()-8)="",0,INDEX(Transactions!$O:$O,ROW()-8))</f>
      </c>
    </row>
    <row r="4319" spans="1:7">
      <c r="B4319">
        <f>IF(INDEX(Transactions!$J:$J,ROW()-8)="",TODAY(),INDEX(Transactions!$G:$G,ROW()-8))</f>
      </c>
      <c r="F4319">
        <f>IF(INDEX(Transactions!$J:$J,ROW()-8)="",0,INDEX(Transactions!$O:$O,ROW()-8))</f>
      </c>
    </row>
    <row r="4320" spans="1:7">
      <c r="B4320">
        <f>IF(INDEX(Transactions!$J:$J,ROW()-8)="",TODAY(),INDEX(Transactions!$G:$G,ROW()-8))</f>
      </c>
      <c r="F4320">
        <f>IF(INDEX(Transactions!$J:$J,ROW()-8)="",0,INDEX(Transactions!$O:$O,ROW()-8))</f>
      </c>
    </row>
    <row r="4321" spans="1:7">
      <c r="B4321">
        <f>IF(INDEX(Transactions!$J:$J,ROW()-8)="",TODAY(),INDEX(Transactions!$G:$G,ROW()-8))</f>
      </c>
      <c r="F4321">
        <f>IF(INDEX(Transactions!$J:$J,ROW()-8)="",0,INDEX(Transactions!$O:$O,ROW()-8))</f>
      </c>
    </row>
    <row r="4322" spans="1:7">
      <c r="B4322">
        <f>IF(INDEX(Transactions!$J:$J,ROW()-8)="",TODAY(),INDEX(Transactions!$G:$G,ROW()-8))</f>
      </c>
      <c r="F4322">
        <f>IF(INDEX(Transactions!$J:$J,ROW()-8)="",0,INDEX(Transactions!$O:$O,ROW()-8))</f>
      </c>
    </row>
    <row r="4323" spans="1:7">
      <c r="B4323">
        <f>IF(INDEX(Transactions!$J:$J,ROW()-8)="",TODAY(),INDEX(Transactions!$G:$G,ROW()-8))</f>
      </c>
      <c r="F4323">
        <f>IF(INDEX(Transactions!$J:$J,ROW()-8)="",0,INDEX(Transactions!$O:$O,ROW()-8))</f>
      </c>
    </row>
    <row r="4324" spans="1:7">
      <c r="B4324">
        <f>IF(INDEX(Transactions!$J:$J,ROW()-8)="",TODAY(),INDEX(Transactions!$G:$G,ROW()-8))</f>
      </c>
      <c r="F4324">
        <f>IF(INDEX(Transactions!$J:$J,ROW()-8)="",0,INDEX(Transactions!$O:$O,ROW()-8))</f>
      </c>
    </row>
    <row r="4325" spans="1:7">
      <c r="B4325">
        <f>IF(INDEX(Transactions!$J:$J,ROW()-8)="",TODAY(),INDEX(Transactions!$G:$G,ROW()-8))</f>
      </c>
      <c r="F4325">
        <f>IF(INDEX(Transactions!$J:$J,ROW()-8)="",0,INDEX(Transactions!$O:$O,ROW()-8))</f>
      </c>
    </row>
    <row r="4326" spans="1:7">
      <c r="B4326">
        <f>IF(INDEX(Transactions!$J:$J,ROW()-8)="",TODAY(),INDEX(Transactions!$G:$G,ROW()-8))</f>
      </c>
      <c r="F4326">
        <f>IF(INDEX(Transactions!$J:$J,ROW()-8)="",0,INDEX(Transactions!$O:$O,ROW()-8))</f>
      </c>
    </row>
    <row r="4327" spans="1:7">
      <c r="B4327">
        <f>IF(INDEX(Transactions!$J:$J,ROW()-8)="",TODAY(),INDEX(Transactions!$G:$G,ROW()-8))</f>
      </c>
      <c r="F4327">
        <f>IF(INDEX(Transactions!$J:$J,ROW()-8)="",0,INDEX(Transactions!$O:$O,ROW()-8))</f>
      </c>
    </row>
    <row r="4328" spans="1:7">
      <c r="B4328">
        <f>IF(INDEX(Transactions!$J:$J,ROW()-8)="",TODAY(),INDEX(Transactions!$G:$G,ROW()-8))</f>
      </c>
      <c r="F4328">
        <f>IF(INDEX(Transactions!$J:$J,ROW()-8)="",0,INDEX(Transactions!$O:$O,ROW()-8))</f>
      </c>
    </row>
    <row r="4329" spans="1:7">
      <c r="B4329">
        <f>IF(INDEX(Transactions!$J:$J,ROW()-8)="",TODAY(),INDEX(Transactions!$G:$G,ROW()-8))</f>
      </c>
      <c r="F4329">
        <f>IF(INDEX(Transactions!$J:$J,ROW()-8)="",0,INDEX(Transactions!$O:$O,ROW()-8))</f>
      </c>
    </row>
    <row r="4330" spans="1:7">
      <c r="B4330">
        <f>IF(INDEX(Transactions!$J:$J,ROW()-8)="",TODAY(),INDEX(Transactions!$G:$G,ROW()-8))</f>
      </c>
      <c r="F4330">
        <f>IF(INDEX(Transactions!$J:$J,ROW()-8)="",0,INDEX(Transactions!$O:$O,ROW()-8))</f>
      </c>
    </row>
    <row r="4331" spans="1:7">
      <c r="B4331">
        <f>IF(INDEX(Transactions!$J:$J,ROW()-8)="",TODAY(),INDEX(Transactions!$G:$G,ROW()-8))</f>
      </c>
      <c r="F4331">
        <f>IF(INDEX(Transactions!$J:$J,ROW()-8)="",0,INDEX(Transactions!$O:$O,ROW()-8))</f>
      </c>
    </row>
    <row r="4332" spans="1:7">
      <c r="B4332">
        <f>IF(INDEX(Transactions!$J:$J,ROW()-8)="",TODAY(),INDEX(Transactions!$G:$G,ROW()-8))</f>
      </c>
      <c r="F4332">
        <f>IF(INDEX(Transactions!$J:$J,ROW()-8)="",0,INDEX(Transactions!$O:$O,ROW()-8))</f>
      </c>
    </row>
    <row r="4333" spans="1:7">
      <c r="B4333">
        <f>IF(INDEX(Transactions!$J:$J,ROW()-8)="",TODAY(),INDEX(Transactions!$G:$G,ROW()-8))</f>
      </c>
      <c r="F4333">
        <f>IF(INDEX(Transactions!$J:$J,ROW()-8)="",0,INDEX(Transactions!$O:$O,ROW()-8))</f>
      </c>
    </row>
    <row r="4334" spans="1:7">
      <c r="B4334">
        <f>IF(INDEX(Transactions!$J:$J,ROW()-8)="",TODAY(),INDEX(Transactions!$G:$G,ROW()-8))</f>
      </c>
      <c r="F4334">
        <f>IF(INDEX(Transactions!$J:$J,ROW()-8)="",0,INDEX(Transactions!$O:$O,ROW()-8))</f>
      </c>
    </row>
    <row r="4335" spans="1:7">
      <c r="B4335">
        <f>IF(INDEX(Transactions!$J:$J,ROW()-8)="",TODAY(),INDEX(Transactions!$G:$G,ROW()-8))</f>
      </c>
      <c r="F4335">
        <f>IF(INDEX(Transactions!$J:$J,ROW()-8)="",0,INDEX(Transactions!$O:$O,ROW()-8))</f>
      </c>
    </row>
    <row r="4336" spans="1:7">
      <c r="B4336">
        <f>IF(INDEX(Transactions!$J:$J,ROW()-8)="",TODAY(),INDEX(Transactions!$G:$G,ROW()-8))</f>
      </c>
      <c r="F4336">
        <f>IF(INDEX(Transactions!$J:$J,ROW()-8)="",0,INDEX(Transactions!$O:$O,ROW()-8))</f>
      </c>
    </row>
    <row r="4337" spans="1:7">
      <c r="B4337">
        <f>IF(INDEX(Transactions!$J:$J,ROW()-8)="",TODAY(),INDEX(Transactions!$G:$G,ROW()-8))</f>
      </c>
      <c r="F4337">
        <f>IF(INDEX(Transactions!$J:$J,ROW()-8)="",0,INDEX(Transactions!$O:$O,ROW()-8))</f>
      </c>
    </row>
    <row r="4338" spans="1:7">
      <c r="B4338">
        <f>IF(INDEX(Transactions!$J:$J,ROW()-8)="",TODAY(),INDEX(Transactions!$G:$G,ROW()-8))</f>
      </c>
      <c r="F4338">
        <f>IF(INDEX(Transactions!$J:$J,ROW()-8)="",0,INDEX(Transactions!$O:$O,ROW()-8))</f>
      </c>
    </row>
    <row r="4339" spans="1:7">
      <c r="B4339">
        <f>IF(INDEX(Transactions!$J:$J,ROW()-8)="",TODAY(),INDEX(Transactions!$G:$G,ROW()-8))</f>
      </c>
      <c r="F4339">
        <f>IF(INDEX(Transactions!$J:$J,ROW()-8)="",0,INDEX(Transactions!$O:$O,ROW()-8))</f>
      </c>
    </row>
    <row r="4340" spans="1:7">
      <c r="B4340">
        <f>IF(INDEX(Transactions!$J:$J,ROW()-8)="",TODAY(),INDEX(Transactions!$G:$G,ROW()-8))</f>
      </c>
      <c r="F4340">
        <f>IF(INDEX(Transactions!$J:$J,ROW()-8)="",0,INDEX(Transactions!$O:$O,ROW()-8))</f>
      </c>
    </row>
    <row r="4341" spans="1:7">
      <c r="B4341">
        <f>IF(INDEX(Transactions!$J:$J,ROW()-8)="",TODAY(),INDEX(Transactions!$G:$G,ROW()-8))</f>
      </c>
      <c r="F4341">
        <f>IF(INDEX(Transactions!$J:$J,ROW()-8)="",0,INDEX(Transactions!$O:$O,ROW()-8))</f>
      </c>
    </row>
    <row r="4342" spans="1:7">
      <c r="B4342">
        <f>IF(INDEX(Transactions!$J:$J,ROW()-8)="",TODAY(),INDEX(Transactions!$G:$G,ROW()-8))</f>
      </c>
      <c r="F4342">
        <f>IF(INDEX(Transactions!$J:$J,ROW()-8)="",0,INDEX(Transactions!$O:$O,ROW()-8))</f>
      </c>
    </row>
    <row r="4343" spans="1:7">
      <c r="B4343">
        <f>IF(INDEX(Transactions!$J:$J,ROW()-8)="",TODAY(),INDEX(Transactions!$G:$G,ROW()-8))</f>
      </c>
      <c r="F4343">
        <f>IF(INDEX(Transactions!$J:$J,ROW()-8)="",0,INDEX(Transactions!$O:$O,ROW()-8))</f>
      </c>
    </row>
    <row r="4344" spans="1:7">
      <c r="B4344">
        <f>IF(INDEX(Transactions!$J:$J,ROW()-8)="",TODAY(),INDEX(Transactions!$G:$G,ROW()-8))</f>
      </c>
      <c r="F4344">
        <f>IF(INDEX(Transactions!$J:$J,ROW()-8)="",0,INDEX(Transactions!$O:$O,ROW()-8))</f>
      </c>
    </row>
    <row r="4345" spans="1:7">
      <c r="B4345">
        <f>IF(INDEX(Transactions!$J:$J,ROW()-8)="",TODAY(),INDEX(Transactions!$G:$G,ROW()-8))</f>
      </c>
      <c r="F4345">
        <f>IF(INDEX(Transactions!$J:$J,ROW()-8)="",0,INDEX(Transactions!$O:$O,ROW()-8))</f>
      </c>
    </row>
    <row r="4346" spans="1:7">
      <c r="B4346">
        <f>IF(INDEX(Transactions!$J:$J,ROW()-8)="",TODAY(),INDEX(Transactions!$G:$G,ROW()-8))</f>
      </c>
      <c r="F4346">
        <f>IF(INDEX(Transactions!$J:$J,ROW()-8)="",0,INDEX(Transactions!$O:$O,ROW()-8))</f>
      </c>
    </row>
    <row r="4347" spans="1:7">
      <c r="B4347">
        <f>IF(INDEX(Transactions!$J:$J,ROW()-8)="",TODAY(),INDEX(Transactions!$G:$G,ROW()-8))</f>
      </c>
      <c r="F4347">
        <f>IF(INDEX(Transactions!$J:$J,ROW()-8)="",0,INDEX(Transactions!$O:$O,ROW()-8))</f>
      </c>
    </row>
    <row r="4348" spans="1:7">
      <c r="B4348">
        <f>IF(INDEX(Transactions!$J:$J,ROW()-8)="",TODAY(),INDEX(Transactions!$G:$G,ROW()-8))</f>
      </c>
      <c r="F4348">
        <f>IF(INDEX(Transactions!$J:$J,ROW()-8)="",0,INDEX(Transactions!$O:$O,ROW()-8))</f>
      </c>
    </row>
    <row r="4349" spans="1:7">
      <c r="B4349">
        <f>IF(INDEX(Transactions!$J:$J,ROW()-8)="",TODAY(),INDEX(Transactions!$G:$G,ROW()-8))</f>
      </c>
      <c r="F4349">
        <f>IF(INDEX(Transactions!$J:$J,ROW()-8)="",0,INDEX(Transactions!$O:$O,ROW()-8))</f>
      </c>
    </row>
    <row r="4350" spans="1:7">
      <c r="B4350">
        <f>IF(INDEX(Transactions!$J:$J,ROW()-8)="",TODAY(),INDEX(Transactions!$G:$G,ROW()-8))</f>
      </c>
      <c r="F4350">
        <f>IF(INDEX(Transactions!$J:$J,ROW()-8)="",0,INDEX(Transactions!$O:$O,ROW()-8))</f>
      </c>
    </row>
    <row r="4351" spans="1:7">
      <c r="B4351">
        <f>IF(INDEX(Transactions!$J:$J,ROW()-8)="",TODAY(),INDEX(Transactions!$G:$G,ROW()-8))</f>
      </c>
      <c r="F4351">
        <f>IF(INDEX(Transactions!$J:$J,ROW()-8)="",0,INDEX(Transactions!$O:$O,ROW()-8))</f>
      </c>
    </row>
    <row r="4352" spans="1:7">
      <c r="B4352">
        <f>IF(INDEX(Transactions!$J:$J,ROW()-8)="",TODAY(),INDEX(Transactions!$G:$G,ROW()-8))</f>
      </c>
      <c r="F4352">
        <f>IF(INDEX(Transactions!$J:$J,ROW()-8)="",0,INDEX(Transactions!$O:$O,ROW()-8))</f>
      </c>
    </row>
    <row r="4353" spans="1:7">
      <c r="B4353">
        <f>IF(INDEX(Transactions!$J:$J,ROW()-8)="",TODAY(),INDEX(Transactions!$G:$G,ROW()-8))</f>
      </c>
      <c r="F4353">
        <f>IF(INDEX(Transactions!$J:$J,ROW()-8)="",0,INDEX(Transactions!$O:$O,ROW()-8))</f>
      </c>
    </row>
    <row r="4354" spans="1:7">
      <c r="B4354">
        <f>IF(INDEX(Transactions!$J:$J,ROW()-8)="",TODAY(),INDEX(Transactions!$G:$G,ROW()-8))</f>
      </c>
      <c r="F4354">
        <f>IF(INDEX(Transactions!$J:$J,ROW()-8)="",0,INDEX(Transactions!$O:$O,ROW()-8))</f>
      </c>
    </row>
    <row r="4355" spans="1:7">
      <c r="B4355">
        <f>IF(INDEX(Transactions!$J:$J,ROW()-8)="",TODAY(),INDEX(Transactions!$G:$G,ROW()-8))</f>
      </c>
      <c r="F4355">
        <f>IF(INDEX(Transactions!$J:$J,ROW()-8)="",0,INDEX(Transactions!$O:$O,ROW()-8))</f>
      </c>
    </row>
    <row r="4356" spans="1:7">
      <c r="B4356">
        <f>IF(INDEX(Transactions!$J:$J,ROW()-8)="",TODAY(),INDEX(Transactions!$G:$G,ROW()-8))</f>
      </c>
      <c r="F4356">
        <f>IF(INDEX(Transactions!$J:$J,ROW()-8)="",0,INDEX(Transactions!$O:$O,ROW()-8))</f>
      </c>
    </row>
    <row r="4357" spans="1:7">
      <c r="B4357">
        <f>IF(INDEX(Transactions!$J:$J,ROW()-8)="",TODAY(),INDEX(Transactions!$G:$G,ROW()-8))</f>
      </c>
      <c r="F4357">
        <f>IF(INDEX(Transactions!$J:$J,ROW()-8)="",0,INDEX(Transactions!$O:$O,ROW()-8))</f>
      </c>
    </row>
    <row r="4358" spans="1:7">
      <c r="B4358">
        <f>IF(INDEX(Transactions!$J:$J,ROW()-8)="",TODAY(),INDEX(Transactions!$G:$G,ROW()-8))</f>
      </c>
      <c r="F4358">
        <f>IF(INDEX(Transactions!$J:$J,ROW()-8)="",0,INDEX(Transactions!$O:$O,ROW()-8))</f>
      </c>
    </row>
    <row r="4359" spans="1:7">
      <c r="B4359">
        <f>IF(INDEX(Transactions!$J:$J,ROW()-8)="",TODAY(),INDEX(Transactions!$G:$G,ROW()-8))</f>
      </c>
      <c r="F4359">
        <f>IF(INDEX(Transactions!$J:$J,ROW()-8)="",0,INDEX(Transactions!$O:$O,ROW()-8))</f>
      </c>
    </row>
    <row r="4360" spans="1:7">
      <c r="B4360">
        <f>IF(INDEX(Transactions!$J:$J,ROW()-8)="",TODAY(),INDEX(Transactions!$G:$G,ROW()-8))</f>
      </c>
      <c r="F4360">
        <f>IF(INDEX(Transactions!$J:$J,ROW()-8)="",0,INDEX(Transactions!$O:$O,ROW()-8))</f>
      </c>
    </row>
    <row r="4361" spans="1:7">
      <c r="B4361">
        <f>IF(INDEX(Transactions!$J:$J,ROW()-8)="",TODAY(),INDEX(Transactions!$G:$G,ROW()-8))</f>
      </c>
      <c r="F4361">
        <f>IF(INDEX(Transactions!$J:$J,ROW()-8)="",0,INDEX(Transactions!$O:$O,ROW()-8))</f>
      </c>
    </row>
    <row r="4362" spans="1:7">
      <c r="B4362">
        <f>IF(INDEX(Transactions!$J:$J,ROW()-8)="",TODAY(),INDEX(Transactions!$G:$G,ROW()-8))</f>
      </c>
      <c r="F4362">
        <f>IF(INDEX(Transactions!$J:$J,ROW()-8)="",0,INDEX(Transactions!$O:$O,ROW()-8))</f>
      </c>
    </row>
    <row r="4363" spans="1:7">
      <c r="B4363">
        <f>IF(INDEX(Transactions!$J:$J,ROW()-8)="",TODAY(),INDEX(Transactions!$G:$G,ROW()-8))</f>
      </c>
      <c r="F4363">
        <f>IF(INDEX(Transactions!$J:$J,ROW()-8)="",0,INDEX(Transactions!$O:$O,ROW()-8))</f>
      </c>
    </row>
    <row r="4364" spans="1:7">
      <c r="B4364">
        <f>IF(INDEX(Transactions!$J:$J,ROW()-8)="",TODAY(),INDEX(Transactions!$G:$G,ROW()-8))</f>
      </c>
      <c r="F4364">
        <f>IF(INDEX(Transactions!$J:$J,ROW()-8)="",0,INDEX(Transactions!$O:$O,ROW()-8))</f>
      </c>
    </row>
    <row r="4365" spans="1:7">
      <c r="B4365">
        <f>IF(INDEX(Transactions!$J:$J,ROW()-8)="",TODAY(),INDEX(Transactions!$G:$G,ROW()-8))</f>
      </c>
      <c r="F4365">
        <f>IF(INDEX(Transactions!$J:$J,ROW()-8)="",0,INDEX(Transactions!$O:$O,ROW()-8))</f>
      </c>
    </row>
    <row r="4366" spans="1:7">
      <c r="B4366">
        <f>IF(INDEX(Transactions!$J:$J,ROW()-8)="",TODAY(),INDEX(Transactions!$G:$G,ROW()-8))</f>
      </c>
      <c r="F4366">
        <f>IF(INDEX(Transactions!$J:$J,ROW()-8)="",0,INDEX(Transactions!$O:$O,ROW()-8))</f>
      </c>
    </row>
    <row r="4367" spans="1:7">
      <c r="B4367">
        <f>IF(INDEX(Transactions!$J:$J,ROW()-8)="",TODAY(),INDEX(Transactions!$G:$G,ROW()-8))</f>
      </c>
      <c r="F4367">
        <f>IF(INDEX(Transactions!$J:$J,ROW()-8)="",0,INDEX(Transactions!$O:$O,ROW()-8))</f>
      </c>
    </row>
    <row r="4368" spans="1:7">
      <c r="B4368">
        <f>IF(INDEX(Transactions!$J:$J,ROW()-8)="",TODAY(),INDEX(Transactions!$G:$G,ROW()-8))</f>
      </c>
      <c r="F4368">
        <f>IF(INDEX(Transactions!$J:$J,ROW()-8)="",0,INDEX(Transactions!$O:$O,ROW()-8))</f>
      </c>
    </row>
    <row r="4369" spans="1:7">
      <c r="B4369">
        <f>IF(INDEX(Transactions!$J:$J,ROW()-8)="",TODAY(),INDEX(Transactions!$G:$G,ROW()-8))</f>
      </c>
      <c r="F4369">
        <f>IF(INDEX(Transactions!$J:$J,ROW()-8)="",0,INDEX(Transactions!$O:$O,ROW()-8))</f>
      </c>
    </row>
    <row r="4370" spans="1:7">
      <c r="B4370">
        <f>IF(INDEX(Transactions!$J:$J,ROW()-8)="",TODAY(),INDEX(Transactions!$G:$G,ROW()-8))</f>
      </c>
      <c r="F4370">
        <f>IF(INDEX(Transactions!$J:$J,ROW()-8)="",0,INDEX(Transactions!$O:$O,ROW()-8))</f>
      </c>
    </row>
    <row r="4371" spans="1:7">
      <c r="B4371">
        <f>IF(INDEX(Transactions!$J:$J,ROW()-8)="",TODAY(),INDEX(Transactions!$G:$G,ROW()-8))</f>
      </c>
      <c r="F4371">
        <f>IF(INDEX(Transactions!$J:$J,ROW()-8)="",0,INDEX(Transactions!$O:$O,ROW()-8))</f>
      </c>
    </row>
    <row r="4372" spans="1:7">
      <c r="B4372">
        <f>IF(INDEX(Transactions!$J:$J,ROW()-8)="",TODAY(),INDEX(Transactions!$G:$G,ROW()-8))</f>
      </c>
      <c r="F4372">
        <f>IF(INDEX(Transactions!$J:$J,ROW()-8)="",0,INDEX(Transactions!$O:$O,ROW()-8))</f>
      </c>
    </row>
    <row r="4373" spans="1:7">
      <c r="B4373">
        <f>IF(INDEX(Transactions!$J:$J,ROW()-8)="",TODAY(),INDEX(Transactions!$G:$G,ROW()-8))</f>
      </c>
      <c r="F4373">
        <f>IF(INDEX(Transactions!$J:$J,ROW()-8)="",0,INDEX(Transactions!$O:$O,ROW()-8))</f>
      </c>
    </row>
    <row r="4374" spans="1:7">
      <c r="B4374">
        <f>IF(INDEX(Transactions!$J:$J,ROW()-8)="",TODAY(),INDEX(Transactions!$G:$G,ROW()-8))</f>
      </c>
      <c r="F4374">
        <f>IF(INDEX(Transactions!$J:$J,ROW()-8)="",0,INDEX(Transactions!$O:$O,ROW()-8))</f>
      </c>
    </row>
    <row r="4375" spans="1:7">
      <c r="B4375">
        <f>IF(INDEX(Transactions!$J:$J,ROW()-8)="",TODAY(),INDEX(Transactions!$G:$G,ROW()-8))</f>
      </c>
      <c r="F4375">
        <f>IF(INDEX(Transactions!$J:$J,ROW()-8)="",0,INDEX(Transactions!$O:$O,ROW()-8))</f>
      </c>
    </row>
    <row r="4376" spans="1:7">
      <c r="B4376">
        <f>IF(INDEX(Transactions!$J:$J,ROW()-8)="",TODAY(),INDEX(Transactions!$G:$G,ROW()-8))</f>
      </c>
      <c r="F4376">
        <f>IF(INDEX(Transactions!$J:$J,ROW()-8)="",0,INDEX(Transactions!$O:$O,ROW()-8))</f>
      </c>
    </row>
    <row r="4377" spans="1:7">
      <c r="B4377">
        <f>IF(INDEX(Transactions!$J:$J,ROW()-8)="",TODAY(),INDEX(Transactions!$G:$G,ROW()-8))</f>
      </c>
      <c r="F4377">
        <f>IF(INDEX(Transactions!$J:$J,ROW()-8)="",0,INDEX(Transactions!$O:$O,ROW()-8))</f>
      </c>
    </row>
    <row r="4378" spans="1:7">
      <c r="B4378">
        <f>IF(INDEX(Transactions!$J:$J,ROW()-8)="",TODAY(),INDEX(Transactions!$G:$G,ROW()-8))</f>
      </c>
      <c r="F4378">
        <f>IF(INDEX(Transactions!$J:$J,ROW()-8)="",0,INDEX(Transactions!$O:$O,ROW()-8))</f>
      </c>
    </row>
    <row r="4379" spans="1:7">
      <c r="B4379">
        <f>IF(INDEX(Transactions!$J:$J,ROW()-8)="",TODAY(),INDEX(Transactions!$G:$G,ROW()-8))</f>
      </c>
      <c r="F4379">
        <f>IF(INDEX(Transactions!$J:$J,ROW()-8)="",0,INDEX(Transactions!$O:$O,ROW()-8))</f>
      </c>
    </row>
    <row r="4380" spans="1:7">
      <c r="B4380">
        <f>IF(INDEX(Transactions!$J:$J,ROW()-8)="",TODAY(),INDEX(Transactions!$G:$G,ROW()-8))</f>
      </c>
      <c r="F4380">
        <f>IF(INDEX(Transactions!$J:$J,ROW()-8)="",0,INDEX(Transactions!$O:$O,ROW()-8))</f>
      </c>
    </row>
    <row r="4381" spans="1:7">
      <c r="B4381">
        <f>IF(INDEX(Transactions!$J:$J,ROW()-8)="",TODAY(),INDEX(Transactions!$G:$G,ROW()-8))</f>
      </c>
      <c r="F4381">
        <f>IF(INDEX(Transactions!$J:$J,ROW()-8)="",0,INDEX(Transactions!$O:$O,ROW()-8))</f>
      </c>
    </row>
    <row r="4382" spans="1:7">
      <c r="B4382">
        <f>IF(INDEX(Transactions!$J:$J,ROW()-8)="",TODAY(),INDEX(Transactions!$G:$G,ROW()-8))</f>
      </c>
      <c r="F4382">
        <f>IF(INDEX(Transactions!$J:$J,ROW()-8)="",0,INDEX(Transactions!$O:$O,ROW()-8))</f>
      </c>
    </row>
    <row r="4383" spans="1:7">
      <c r="B4383">
        <f>IF(INDEX(Transactions!$J:$J,ROW()-8)="",TODAY(),INDEX(Transactions!$G:$G,ROW()-8))</f>
      </c>
      <c r="F4383">
        <f>IF(INDEX(Transactions!$J:$J,ROW()-8)="",0,INDEX(Transactions!$O:$O,ROW()-8))</f>
      </c>
    </row>
    <row r="4384" spans="1:7">
      <c r="B4384">
        <f>IF(INDEX(Transactions!$J:$J,ROW()-8)="",TODAY(),INDEX(Transactions!$G:$G,ROW()-8))</f>
      </c>
      <c r="F4384">
        <f>IF(INDEX(Transactions!$J:$J,ROW()-8)="",0,INDEX(Transactions!$O:$O,ROW()-8))</f>
      </c>
    </row>
    <row r="4385" spans="1:7">
      <c r="B4385">
        <f>IF(INDEX(Transactions!$J:$J,ROW()-8)="",TODAY(),INDEX(Transactions!$G:$G,ROW()-8))</f>
      </c>
      <c r="F4385">
        <f>IF(INDEX(Transactions!$J:$J,ROW()-8)="",0,INDEX(Transactions!$O:$O,ROW()-8))</f>
      </c>
    </row>
    <row r="4386" spans="1:7">
      <c r="B4386">
        <f>IF(INDEX(Transactions!$J:$J,ROW()-8)="",TODAY(),INDEX(Transactions!$G:$G,ROW()-8))</f>
      </c>
      <c r="F4386">
        <f>IF(INDEX(Transactions!$J:$J,ROW()-8)="",0,INDEX(Transactions!$O:$O,ROW()-8))</f>
      </c>
    </row>
    <row r="4387" spans="1:7">
      <c r="B4387">
        <f>IF(INDEX(Transactions!$J:$J,ROW()-8)="",TODAY(),INDEX(Transactions!$G:$G,ROW()-8))</f>
      </c>
      <c r="F4387">
        <f>IF(INDEX(Transactions!$J:$J,ROW()-8)="",0,INDEX(Transactions!$O:$O,ROW()-8))</f>
      </c>
    </row>
    <row r="4388" spans="1:7">
      <c r="B4388">
        <f>IF(INDEX(Transactions!$J:$J,ROW()-8)="",TODAY(),INDEX(Transactions!$G:$G,ROW()-8))</f>
      </c>
      <c r="F4388">
        <f>IF(INDEX(Transactions!$J:$J,ROW()-8)="",0,INDEX(Transactions!$O:$O,ROW()-8))</f>
      </c>
    </row>
    <row r="4389" spans="1:7">
      <c r="B4389">
        <f>IF(INDEX(Transactions!$J:$J,ROW()-8)="",TODAY(),INDEX(Transactions!$G:$G,ROW()-8))</f>
      </c>
      <c r="F4389">
        <f>IF(INDEX(Transactions!$J:$J,ROW()-8)="",0,INDEX(Transactions!$O:$O,ROW()-8))</f>
      </c>
    </row>
    <row r="4390" spans="1:7">
      <c r="B4390">
        <f>IF(INDEX(Transactions!$J:$J,ROW()-8)="",TODAY(),INDEX(Transactions!$G:$G,ROW()-8))</f>
      </c>
      <c r="F4390">
        <f>IF(INDEX(Transactions!$J:$J,ROW()-8)="",0,INDEX(Transactions!$O:$O,ROW()-8))</f>
      </c>
    </row>
    <row r="4391" spans="1:7">
      <c r="B4391">
        <f>IF(INDEX(Transactions!$J:$J,ROW()-8)="",TODAY(),INDEX(Transactions!$G:$G,ROW()-8))</f>
      </c>
      <c r="F4391">
        <f>IF(INDEX(Transactions!$J:$J,ROW()-8)="",0,INDEX(Transactions!$O:$O,ROW()-8))</f>
      </c>
    </row>
    <row r="4392" spans="1:7">
      <c r="B4392">
        <f>IF(INDEX(Transactions!$J:$J,ROW()-8)="",TODAY(),INDEX(Transactions!$G:$G,ROW()-8))</f>
      </c>
      <c r="F4392">
        <f>IF(INDEX(Transactions!$J:$J,ROW()-8)="",0,INDEX(Transactions!$O:$O,ROW()-8))</f>
      </c>
    </row>
    <row r="4393" spans="1:7">
      <c r="B4393">
        <f>IF(INDEX(Transactions!$J:$J,ROW()-8)="",TODAY(),INDEX(Transactions!$G:$G,ROW()-8))</f>
      </c>
      <c r="F4393">
        <f>IF(INDEX(Transactions!$J:$J,ROW()-8)="",0,INDEX(Transactions!$O:$O,ROW()-8))</f>
      </c>
    </row>
    <row r="4394" spans="1:7">
      <c r="B4394">
        <f>IF(INDEX(Transactions!$J:$J,ROW()-8)="",TODAY(),INDEX(Transactions!$G:$G,ROW()-8))</f>
      </c>
      <c r="F4394">
        <f>IF(INDEX(Transactions!$J:$J,ROW()-8)="",0,INDEX(Transactions!$O:$O,ROW()-8))</f>
      </c>
    </row>
    <row r="4395" spans="1:7">
      <c r="B4395">
        <f>IF(INDEX(Transactions!$J:$J,ROW()-8)="",TODAY(),INDEX(Transactions!$G:$G,ROW()-8))</f>
      </c>
      <c r="F4395">
        <f>IF(INDEX(Transactions!$J:$J,ROW()-8)="",0,INDEX(Transactions!$O:$O,ROW()-8))</f>
      </c>
    </row>
    <row r="4396" spans="1:7">
      <c r="B4396">
        <f>IF(INDEX(Transactions!$J:$J,ROW()-8)="",TODAY(),INDEX(Transactions!$G:$G,ROW()-8))</f>
      </c>
      <c r="F4396">
        <f>IF(INDEX(Transactions!$J:$J,ROW()-8)="",0,INDEX(Transactions!$O:$O,ROW()-8))</f>
      </c>
    </row>
    <row r="4397" spans="1:7">
      <c r="B4397">
        <f>IF(INDEX(Transactions!$J:$J,ROW()-8)="",TODAY(),INDEX(Transactions!$G:$G,ROW()-8))</f>
      </c>
      <c r="F4397">
        <f>IF(INDEX(Transactions!$J:$J,ROW()-8)="",0,INDEX(Transactions!$O:$O,ROW()-8))</f>
      </c>
    </row>
    <row r="4398" spans="1:7">
      <c r="B4398">
        <f>IF(INDEX(Transactions!$J:$J,ROW()-8)="",TODAY(),INDEX(Transactions!$G:$G,ROW()-8))</f>
      </c>
      <c r="F4398">
        <f>IF(INDEX(Transactions!$J:$J,ROW()-8)="",0,INDEX(Transactions!$O:$O,ROW()-8))</f>
      </c>
    </row>
    <row r="4399" spans="1:7">
      <c r="B4399">
        <f>IF(INDEX(Transactions!$J:$J,ROW()-8)="",TODAY(),INDEX(Transactions!$G:$G,ROW()-8))</f>
      </c>
      <c r="F4399">
        <f>IF(INDEX(Transactions!$J:$J,ROW()-8)="",0,INDEX(Transactions!$O:$O,ROW()-8))</f>
      </c>
    </row>
    <row r="4400" spans="1:7">
      <c r="B4400">
        <f>IF(INDEX(Transactions!$J:$J,ROW()-8)="",TODAY(),INDEX(Transactions!$G:$G,ROW()-8))</f>
      </c>
      <c r="F4400">
        <f>IF(INDEX(Transactions!$J:$J,ROW()-8)="",0,INDEX(Transactions!$O:$O,ROW()-8))</f>
      </c>
    </row>
    <row r="4401" spans="1:7">
      <c r="B4401">
        <f>IF(INDEX(Transactions!$J:$J,ROW()-8)="",TODAY(),INDEX(Transactions!$G:$G,ROW()-8))</f>
      </c>
      <c r="F4401">
        <f>IF(INDEX(Transactions!$J:$J,ROW()-8)="",0,INDEX(Transactions!$O:$O,ROW()-8))</f>
      </c>
    </row>
    <row r="4402" spans="1:7">
      <c r="B4402">
        <f>IF(INDEX(Transactions!$J:$J,ROW()-8)="",TODAY(),INDEX(Transactions!$G:$G,ROW()-8))</f>
      </c>
      <c r="F4402">
        <f>IF(INDEX(Transactions!$J:$J,ROW()-8)="",0,INDEX(Transactions!$O:$O,ROW()-8))</f>
      </c>
    </row>
    <row r="4403" spans="1:7">
      <c r="B4403">
        <f>IF(INDEX(Transactions!$J:$J,ROW()-8)="",TODAY(),INDEX(Transactions!$G:$G,ROW()-8))</f>
      </c>
      <c r="F4403">
        <f>IF(INDEX(Transactions!$J:$J,ROW()-8)="",0,INDEX(Transactions!$O:$O,ROW()-8))</f>
      </c>
    </row>
    <row r="4404" spans="1:7">
      <c r="B4404">
        <f>IF(INDEX(Transactions!$J:$J,ROW()-8)="",TODAY(),INDEX(Transactions!$G:$G,ROW()-8))</f>
      </c>
      <c r="F4404">
        <f>IF(INDEX(Transactions!$J:$J,ROW()-8)="",0,INDEX(Transactions!$O:$O,ROW()-8))</f>
      </c>
    </row>
    <row r="4405" spans="1:7">
      <c r="B4405">
        <f>IF(INDEX(Transactions!$J:$J,ROW()-8)="",TODAY(),INDEX(Transactions!$G:$G,ROW()-8))</f>
      </c>
      <c r="F4405">
        <f>IF(INDEX(Transactions!$J:$J,ROW()-8)="",0,INDEX(Transactions!$O:$O,ROW()-8))</f>
      </c>
    </row>
    <row r="4406" spans="1:7">
      <c r="B4406">
        <f>IF(INDEX(Transactions!$J:$J,ROW()-8)="",TODAY(),INDEX(Transactions!$G:$G,ROW()-8))</f>
      </c>
      <c r="F4406">
        <f>IF(INDEX(Transactions!$J:$J,ROW()-8)="",0,INDEX(Transactions!$O:$O,ROW()-8))</f>
      </c>
    </row>
    <row r="4407" spans="1:7">
      <c r="B4407">
        <f>IF(INDEX(Transactions!$J:$J,ROW()-8)="",TODAY(),INDEX(Transactions!$G:$G,ROW()-8))</f>
      </c>
      <c r="F4407">
        <f>IF(INDEX(Transactions!$J:$J,ROW()-8)="",0,INDEX(Transactions!$O:$O,ROW()-8))</f>
      </c>
    </row>
    <row r="4408" spans="1:7">
      <c r="B4408">
        <f>IF(INDEX(Transactions!$J:$J,ROW()-8)="",TODAY(),INDEX(Transactions!$G:$G,ROW()-8))</f>
      </c>
      <c r="F4408">
        <f>IF(INDEX(Transactions!$J:$J,ROW()-8)="",0,INDEX(Transactions!$O:$O,ROW()-8))</f>
      </c>
    </row>
    <row r="4409" spans="1:7">
      <c r="B4409">
        <f>IF(INDEX(Transactions!$J:$J,ROW()-8)="",TODAY(),INDEX(Transactions!$G:$G,ROW()-8))</f>
      </c>
      <c r="F4409">
        <f>IF(INDEX(Transactions!$J:$J,ROW()-8)="",0,INDEX(Transactions!$O:$O,ROW()-8))</f>
      </c>
    </row>
    <row r="4410" spans="1:7">
      <c r="B4410">
        <f>IF(INDEX(Transactions!$J:$J,ROW()-8)="",TODAY(),INDEX(Transactions!$G:$G,ROW()-8))</f>
      </c>
      <c r="F4410">
        <f>IF(INDEX(Transactions!$J:$J,ROW()-8)="",0,INDEX(Transactions!$O:$O,ROW()-8))</f>
      </c>
    </row>
    <row r="4411" spans="1:7">
      <c r="B4411">
        <f>IF(INDEX(Transactions!$J:$J,ROW()-8)="",TODAY(),INDEX(Transactions!$G:$G,ROW()-8))</f>
      </c>
      <c r="F4411">
        <f>IF(INDEX(Transactions!$J:$J,ROW()-8)="",0,INDEX(Transactions!$O:$O,ROW()-8))</f>
      </c>
    </row>
    <row r="4412" spans="1:7">
      <c r="B4412">
        <f>IF(INDEX(Transactions!$J:$J,ROW()-8)="",TODAY(),INDEX(Transactions!$G:$G,ROW()-8))</f>
      </c>
      <c r="F4412">
        <f>IF(INDEX(Transactions!$J:$J,ROW()-8)="",0,INDEX(Transactions!$O:$O,ROW()-8))</f>
      </c>
    </row>
    <row r="4413" spans="1:7">
      <c r="B4413">
        <f>IF(INDEX(Transactions!$J:$J,ROW()-8)="",TODAY(),INDEX(Transactions!$G:$G,ROW()-8))</f>
      </c>
      <c r="F4413">
        <f>IF(INDEX(Transactions!$J:$J,ROW()-8)="",0,INDEX(Transactions!$O:$O,ROW()-8))</f>
      </c>
    </row>
    <row r="4414" spans="1:7">
      <c r="B4414">
        <f>IF(INDEX(Transactions!$J:$J,ROW()-8)="",TODAY(),INDEX(Transactions!$G:$G,ROW()-8))</f>
      </c>
      <c r="F4414">
        <f>IF(INDEX(Transactions!$J:$J,ROW()-8)="",0,INDEX(Transactions!$O:$O,ROW()-8))</f>
      </c>
    </row>
    <row r="4415" spans="1:7">
      <c r="B4415">
        <f>IF(INDEX(Transactions!$J:$J,ROW()-8)="",TODAY(),INDEX(Transactions!$G:$G,ROW()-8))</f>
      </c>
      <c r="F4415">
        <f>IF(INDEX(Transactions!$J:$J,ROW()-8)="",0,INDEX(Transactions!$O:$O,ROW()-8))</f>
      </c>
    </row>
    <row r="4416" spans="1:7">
      <c r="B4416">
        <f>IF(INDEX(Transactions!$J:$J,ROW()-8)="",TODAY(),INDEX(Transactions!$G:$G,ROW()-8))</f>
      </c>
      <c r="F4416">
        <f>IF(INDEX(Transactions!$J:$J,ROW()-8)="",0,INDEX(Transactions!$O:$O,ROW()-8))</f>
      </c>
    </row>
    <row r="4417" spans="1:7">
      <c r="B4417">
        <f>IF(INDEX(Transactions!$J:$J,ROW()-8)="",TODAY(),INDEX(Transactions!$G:$G,ROW()-8))</f>
      </c>
      <c r="F4417">
        <f>IF(INDEX(Transactions!$J:$J,ROW()-8)="",0,INDEX(Transactions!$O:$O,ROW()-8))</f>
      </c>
    </row>
    <row r="4418" spans="1:7">
      <c r="B4418">
        <f>IF(INDEX(Transactions!$J:$J,ROW()-8)="",TODAY(),INDEX(Transactions!$G:$G,ROW()-8))</f>
      </c>
      <c r="F4418">
        <f>IF(INDEX(Transactions!$J:$J,ROW()-8)="",0,INDEX(Transactions!$O:$O,ROW()-8))</f>
      </c>
    </row>
    <row r="4419" spans="1:7">
      <c r="B4419">
        <f>IF(INDEX(Transactions!$J:$J,ROW()-8)="",TODAY(),INDEX(Transactions!$G:$G,ROW()-8))</f>
      </c>
      <c r="F4419">
        <f>IF(INDEX(Transactions!$J:$J,ROW()-8)="",0,INDEX(Transactions!$O:$O,ROW()-8))</f>
      </c>
    </row>
    <row r="4420" spans="1:7">
      <c r="B4420">
        <f>IF(INDEX(Transactions!$J:$J,ROW()-8)="",TODAY(),INDEX(Transactions!$G:$G,ROW()-8))</f>
      </c>
      <c r="F4420">
        <f>IF(INDEX(Transactions!$J:$J,ROW()-8)="",0,INDEX(Transactions!$O:$O,ROW()-8))</f>
      </c>
    </row>
    <row r="4421" spans="1:7">
      <c r="B4421">
        <f>IF(INDEX(Transactions!$J:$J,ROW()-8)="",TODAY(),INDEX(Transactions!$G:$G,ROW()-8))</f>
      </c>
      <c r="F4421">
        <f>IF(INDEX(Transactions!$J:$J,ROW()-8)="",0,INDEX(Transactions!$O:$O,ROW()-8))</f>
      </c>
    </row>
    <row r="4422" spans="1:7">
      <c r="B4422">
        <f>IF(INDEX(Transactions!$J:$J,ROW()-8)="",TODAY(),INDEX(Transactions!$G:$G,ROW()-8))</f>
      </c>
      <c r="F4422">
        <f>IF(INDEX(Transactions!$J:$J,ROW()-8)="",0,INDEX(Transactions!$O:$O,ROW()-8))</f>
      </c>
    </row>
    <row r="4423" spans="1:7">
      <c r="B4423">
        <f>IF(INDEX(Transactions!$J:$J,ROW()-8)="",TODAY(),INDEX(Transactions!$G:$G,ROW()-8))</f>
      </c>
      <c r="F4423">
        <f>IF(INDEX(Transactions!$J:$J,ROW()-8)="",0,INDEX(Transactions!$O:$O,ROW()-8))</f>
      </c>
    </row>
    <row r="4424" spans="1:7">
      <c r="B4424">
        <f>IF(INDEX(Transactions!$J:$J,ROW()-8)="",TODAY(),INDEX(Transactions!$G:$G,ROW()-8))</f>
      </c>
      <c r="F4424">
        <f>IF(INDEX(Transactions!$J:$J,ROW()-8)="",0,INDEX(Transactions!$O:$O,ROW()-8))</f>
      </c>
    </row>
    <row r="4425" spans="1:7">
      <c r="B4425">
        <f>IF(INDEX(Transactions!$J:$J,ROW()-8)="",TODAY(),INDEX(Transactions!$G:$G,ROW()-8))</f>
      </c>
      <c r="F4425">
        <f>IF(INDEX(Transactions!$J:$J,ROW()-8)="",0,INDEX(Transactions!$O:$O,ROW()-8))</f>
      </c>
    </row>
    <row r="4426" spans="1:7">
      <c r="B4426">
        <f>IF(INDEX(Transactions!$J:$J,ROW()-8)="",TODAY(),INDEX(Transactions!$G:$G,ROW()-8))</f>
      </c>
      <c r="F4426">
        <f>IF(INDEX(Transactions!$J:$J,ROW()-8)="",0,INDEX(Transactions!$O:$O,ROW()-8))</f>
      </c>
    </row>
    <row r="4427" spans="1:7">
      <c r="B4427">
        <f>IF(INDEX(Transactions!$J:$J,ROW()-8)="",TODAY(),INDEX(Transactions!$G:$G,ROW()-8))</f>
      </c>
      <c r="F4427">
        <f>IF(INDEX(Transactions!$J:$J,ROW()-8)="",0,INDEX(Transactions!$O:$O,ROW()-8))</f>
      </c>
    </row>
    <row r="4428" spans="1:7">
      <c r="B4428">
        <f>IF(INDEX(Transactions!$J:$J,ROW()-8)="",TODAY(),INDEX(Transactions!$G:$G,ROW()-8))</f>
      </c>
      <c r="F4428">
        <f>IF(INDEX(Transactions!$J:$J,ROW()-8)="",0,INDEX(Transactions!$O:$O,ROW()-8))</f>
      </c>
    </row>
    <row r="4429" spans="1:7">
      <c r="B4429">
        <f>IF(INDEX(Transactions!$J:$J,ROW()-8)="",TODAY(),INDEX(Transactions!$G:$G,ROW()-8))</f>
      </c>
      <c r="F4429">
        <f>IF(INDEX(Transactions!$J:$J,ROW()-8)="",0,INDEX(Transactions!$O:$O,ROW()-8))</f>
      </c>
    </row>
    <row r="4430" spans="1:7">
      <c r="B4430">
        <f>IF(INDEX(Transactions!$J:$J,ROW()-8)="",TODAY(),INDEX(Transactions!$G:$G,ROW()-8))</f>
      </c>
      <c r="F4430">
        <f>IF(INDEX(Transactions!$J:$J,ROW()-8)="",0,INDEX(Transactions!$O:$O,ROW()-8))</f>
      </c>
    </row>
    <row r="4431" spans="1:7">
      <c r="B4431">
        <f>IF(INDEX(Transactions!$J:$J,ROW()-8)="",TODAY(),INDEX(Transactions!$G:$G,ROW()-8))</f>
      </c>
      <c r="F4431">
        <f>IF(INDEX(Transactions!$J:$J,ROW()-8)="",0,INDEX(Transactions!$O:$O,ROW()-8))</f>
      </c>
    </row>
    <row r="4432" spans="1:7">
      <c r="B4432">
        <f>IF(INDEX(Transactions!$J:$J,ROW()-8)="",TODAY(),INDEX(Transactions!$G:$G,ROW()-8))</f>
      </c>
      <c r="F4432">
        <f>IF(INDEX(Transactions!$J:$J,ROW()-8)="",0,INDEX(Transactions!$O:$O,ROW()-8))</f>
      </c>
    </row>
    <row r="4433" spans="1:7">
      <c r="B4433">
        <f>IF(INDEX(Transactions!$J:$J,ROW()-8)="",TODAY(),INDEX(Transactions!$G:$G,ROW()-8))</f>
      </c>
      <c r="F4433">
        <f>IF(INDEX(Transactions!$J:$J,ROW()-8)="",0,INDEX(Transactions!$O:$O,ROW()-8))</f>
      </c>
    </row>
    <row r="4434" spans="1:7">
      <c r="B4434">
        <f>IF(INDEX(Transactions!$J:$J,ROW()-8)="",TODAY(),INDEX(Transactions!$G:$G,ROW()-8))</f>
      </c>
      <c r="F4434">
        <f>IF(INDEX(Transactions!$J:$J,ROW()-8)="",0,INDEX(Transactions!$O:$O,ROW()-8))</f>
      </c>
    </row>
    <row r="4435" spans="1:7">
      <c r="B4435">
        <f>IF(INDEX(Transactions!$J:$J,ROW()-8)="",TODAY(),INDEX(Transactions!$G:$G,ROW()-8))</f>
      </c>
      <c r="F4435">
        <f>IF(INDEX(Transactions!$J:$J,ROW()-8)="",0,INDEX(Transactions!$O:$O,ROW()-8))</f>
      </c>
    </row>
    <row r="4436" spans="1:7">
      <c r="B4436">
        <f>IF(INDEX(Transactions!$J:$J,ROW()-8)="",TODAY(),INDEX(Transactions!$G:$G,ROW()-8))</f>
      </c>
      <c r="F4436">
        <f>IF(INDEX(Transactions!$J:$J,ROW()-8)="",0,INDEX(Transactions!$O:$O,ROW()-8))</f>
      </c>
    </row>
    <row r="4437" spans="1:7">
      <c r="B4437">
        <f>IF(INDEX(Transactions!$J:$J,ROW()-8)="",TODAY(),INDEX(Transactions!$G:$G,ROW()-8))</f>
      </c>
      <c r="F4437">
        <f>IF(INDEX(Transactions!$J:$J,ROW()-8)="",0,INDEX(Transactions!$O:$O,ROW()-8))</f>
      </c>
    </row>
    <row r="4438" spans="1:7">
      <c r="B4438">
        <f>IF(INDEX(Transactions!$J:$J,ROW()-8)="",TODAY(),INDEX(Transactions!$G:$G,ROW()-8))</f>
      </c>
      <c r="F4438">
        <f>IF(INDEX(Transactions!$J:$J,ROW()-8)="",0,INDEX(Transactions!$O:$O,ROW()-8))</f>
      </c>
    </row>
    <row r="4439" spans="1:7">
      <c r="B4439">
        <f>IF(INDEX(Transactions!$J:$J,ROW()-8)="",TODAY(),INDEX(Transactions!$G:$G,ROW()-8))</f>
      </c>
      <c r="F4439">
        <f>IF(INDEX(Transactions!$J:$J,ROW()-8)="",0,INDEX(Transactions!$O:$O,ROW()-8))</f>
      </c>
    </row>
    <row r="4440" spans="1:7">
      <c r="B4440">
        <f>IF(INDEX(Transactions!$J:$J,ROW()-8)="",TODAY(),INDEX(Transactions!$G:$G,ROW()-8))</f>
      </c>
      <c r="F4440">
        <f>IF(INDEX(Transactions!$J:$J,ROW()-8)="",0,INDEX(Transactions!$O:$O,ROW()-8))</f>
      </c>
    </row>
    <row r="4441" spans="1:7">
      <c r="B4441">
        <f>IF(INDEX(Transactions!$J:$J,ROW()-8)="",TODAY(),INDEX(Transactions!$G:$G,ROW()-8))</f>
      </c>
      <c r="F4441">
        <f>IF(INDEX(Transactions!$J:$J,ROW()-8)="",0,INDEX(Transactions!$O:$O,ROW()-8))</f>
      </c>
    </row>
    <row r="4442" spans="1:7">
      <c r="B4442">
        <f>IF(INDEX(Transactions!$J:$J,ROW()-8)="",TODAY(),INDEX(Transactions!$G:$G,ROW()-8))</f>
      </c>
      <c r="F4442">
        <f>IF(INDEX(Transactions!$J:$J,ROW()-8)="",0,INDEX(Transactions!$O:$O,ROW()-8))</f>
      </c>
    </row>
    <row r="4443" spans="1:7">
      <c r="B4443">
        <f>IF(INDEX(Transactions!$J:$J,ROW()-8)="",TODAY(),INDEX(Transactions!$G:$G,ROW()-8))</f>
      </c>
      <c r="F4443">
        <f>IF(INDEX(Transactions!$J:$J,ROW()-8)="",0,INDEX(Transactions!$O:$O,ROW()-8))</f>
      </c>
    </row>
    <row r="4444" spans="1:7">
      <c r="B4444">
        <f>IF(INDEX(Transactions!$J:$J,ROW()-8)="",TODAY(),INDEX(Transactions!$G:$G,ROW()-8))</f>
      </c>
      <c r="F4444">
        <f>IF(INDEX(Transactions!$J:$J,ROW()-8)="",0,INDEX(Transactions!$O:$O,ROW()-8))</f>
      </c>
    </row>
    <row r="4445" spans="1:7">
      <c r="B4445">
        <f>IF(INDEX(Transactions!$J:$J,ROW()-8)="",TODAY(),INDEX(Transactions!$G:$G,ROW()-8))</f>
      </c>
      <c r="F4445">
        <f>IF(INDEX(Transactions!$J:$J,ROW()-8)="",0,INDEX(Transactions!$O:$O,ROW()-8))</f>
      </c>
    </row>
    <row r="4446" spans="1:7">
      <c r="B4446">
        <f>IF(INDEX(Transactions!$J:$J,ROW()-8)="",TODAY(),INDEX(Transactions!$G:$G,ROW()-8))</f>
      </c>
      <c r="F4446">
        <f>IF(INDEX(Transactions!$J:$J,ROW()-8)="",0,INDEX(Transactions!$O:$O,ROW()-8))</f>
      </c>
    </row>
    <row r="4447" spans="1:7">
      <c r="B4447">
        <f>IF(INDEX(Transactions!$J:$J,ROW()-8)="",TODAY(),INDEX(Transactions!$G:$G,ROW()-8))</f>
      </c>
      <c r="F4447">
        <f>IF(INDEX(Transactions!$J:$J,ROW()-8)="",0,INDEX(Transactions!$O:$O,ROW()-8))</f>
      </c>
    </row>
    <row r="4448" spans="1:7">
      <c r="B4448">
        <f>IF(INDEX(Transactions!$J:$J,ROW()-8)="",TODAY(),INDEX(Transactions!$G:$G,ROW()-8))</f>
      </c>
      <c r="F4448">
        <f>IF(INDEX(Transactions!$J:$J,ROW()-8)="",0,INDEX(Transactions!$O:$O,ROW()-8))</f>
      </c>
    </row>
    <row r="4449" spans="1:7">
      <c r="B4449">
        <f>IF(INDEX(Transactions!$J:$J,ROW()-8)="",TODAY(),INDEX(Transactions!$G:$G,ROW()-8))</f>
      </c>
      <c r="F4449">
        <f>IF(INDEX(Transactions!$J:$J,ROW()-8)="",0,INDEX(Transactions!$O:$O,ROW()-8))</f>
      </c>
    </row>
    <row r="4450" spans="1:7">
      <c r="B4450">
        <f>IF(INDEX(Transactions!$J:$J,ROW()-8)="",TODAY(),INDEX(Transactions!$G:$G,ROW()-8))</f>
      </c>
      <c r="F4450">
        <f>IF(INDEX(Transactions!$J:$J,ROW()-8)="",0,INDEX(Transactions!$O:$O,ROW()-8))</f>
      </c>
    </row>
    <row r="4451" spans="1:7">
      <c r="B4451">
        <f>IF(INDEX(Transactions!$J:$J,ROW()-8)="",TODAY(),INDEX(Transactions!$G:$G,ROW()-8))</f>
      </c>
      <c r="F4451">
        <f>IF(INDEX(Transactions!$J:$J,ROW()-8)="",0,INDEX(Transactions!$O:$O,ROW()-8))</f>
      </c>
    </row>
    <row r="4452" spans="1:7">
      <c r="B4452">
        <f>IF(INDEX(Transactions!$J:$J,ROW()-8)="",TODAY(),INDEX(Transactions!$G:$G,ROW()-8))</f>
      </c>
      <c r="F4452">
        <f>IF(INDEX(Transactions!$J:$J,ROW()-8)="",0,INDEX(Transactions!$O:$O,ROW()-8))</f>
      </c>
    </row>
    <row r="4453" spans="1:7">
      <c r="B4453">
        <f>IF(INDEX(Transactions!$J:$J,ROW()-8)="",TODAY(),INDEX(Transactions!$G:$G,ROW()-8))</f>
      </c>
      <c r="F4453">
        <f>IF(INDEX(Transactions!$J:$J,ROW()-8)="",0,INDEX(Transactions!$O:$O,ROW()-8))</f>
      </c>
    </row>
    <row r="4454" spans="1:7">
      <c r="B4454">
        <f>IF(INDEX(Transactions!$J:$J,ROW()-8)="",TODAY(),INDEX(Transactions!$G:$G,ROW()-8))</f>
      </c>
      <c r="F4454">
        <f>IF(INDEX(Transactions!$J:$J,ROW()-8)="",0,INDEX(Transactions!$O:$O,ROW()-8))</f>
      </c>
    </row>
    <row r="4455" spans="1:7">
      <c r="B4455">
        <f>IF(INDEX(Transactions!$J:$J,ROW()-8)="",TODAY(),INDEX(Transactions!$G:$G,ROW()-8))</f>
      </c>
      <c r="F4455">
        <f>IF(INDEX(Transactions!$J:$J,ROW()-8)="",0,INDEX(Transactions!$O:$O,ROW()-8))</f>
      </c>
    </row>
    <row r="4456" spans="1:7">
      <c r="B4456">
        <f>IF(INDEX(Transactions!$J:$J,ROW()-8)="",TODAY(),INDEX(Transactions!$G:$G,ROW()-8))</f>
      </c>
      <c r="F4456">
        <f>IF(INDEX(Transactions!$J:$J,ROW()-8)="",0,INDEX(Transactions!$O:$O,ROW()-8))</f>
      </c>
    </row>
    <row r="4457" spans="1:7">
      <c r="B4457">
        <f>IF(INDEX(Transactions!$J:$J,ROW()-8)="",TODAY(),INDEX(Transactions!$G:$G,ROW()-8))</f>
      </c>
      <c r="F4457">
        <f>IF(INDEX(Transactions!$J:$J,ROW()-8)="",0,INDEX(Transactions!$O:$O,ROW()-8))</f>
      </c>
    </row>
    <row r="4458" spans="1:7">
      <c r="B4458">
        <f>IF(INDEX(Transactions!$J:$J,ROW()-8)="",TODAY(),INDEX(Transactions!$G:$G,ROW()-8))</f>
      </c>
      <c r="F4458">
        <f>IF(INDEX(Transactions!$J:$J,ROW()-8)="",0,INDEX(Transactions!$O:$O,ROW()-8))</f>
      </c>
    </row>
    <row r="4459" spans="1:7">
      <c r="B4459">
        <f>IF(INDEX(Transactions!$J:$J,ROW()-8)="",TODAY(),INDEX(Transactions!$G:$G,ROW()-8))</f>
      </c>
      <c r="F4459">
        <f>IF(INDEX(Transactions!$J:$J,ROW()-8)="",0,INDEX(Transactions!$O:$O,ROW()-8))</f>
      </c>
    </row>
    <row r="4460" spans="1:7">
      <c r="B4460">
        <f>IF(INDEX(Transactions!$J:$J,ROW()-8)="",TODAY(),INDEX(Transactions!$G:$G,ROW()-8))</f>
      </c>
      <c r="F4460">
        <f>IF(INDEX(Transactions!$J:$J,ROW()-8)="",0,INDEX(Transactions!$O:$O,ROW()-8))</f>
      </c>
    </row>
    <row r="4461" spans="1:7">
      <c r="B4461">
        <f>IF(INDEX(Transactions!$J:$J,ROW()-8)="",TODAY(),INDEX(Transactions!$G:$G,ROW()-8))</f>
      </c>
      <c r="F4461">
        <f>IF(INDEX(Transactions!$J:$J,ROW()-8)="",0,INDEX(Transactions!$O:$O,ROW()-8))</f>
      </c>
    </row>
    <row r="4462" spans="1:7">
      <c r="B4462">
        <f>IF(INDEX(Transactions!$J:$J,ROW()-8)="",TODAY(),INDEX(Transactions!$G:$G,ROW()-8))</f>
      </c>
      <c r="F4462">
        <f>IF(INDEX(Transactions!$J:$J,ROW()-8)="",0,INDEX(Transactions!$O:$O,ROW()-8))</f>
      </c>
    </row>
    <row r="4463" spans="1:7">
      <c r="B4463">
        <f>IF(INDEX(Transactions!$J:$J,ROW()-8)="",TODAY(),INDEX(Transactions!$G:$G,ROW()-8))</f>
      </c>
      <c r="F4463">
        <f>IF(INDEX(Transactions!$J:$J,ROW()-8)="",0,INDEX(Transactions!$O:$O,ROW()-8))</f>
      </c>
    </row>
    <row r="4464" spans="1:7">
      <c r="B4464">
        <f>IF(INDEX(Transactions!$J:$J,ROW()-8)="",TODAY(),INDEX(Transactions!$G:$G,ROW()-8))</f>
      </c>
      <c r="F4464">
        <f>IF(INDEX(Transactions!$J:$J,ROW()-8)="",0,INDEX(Transactions!$O:$O,ROW()-8))</f>
      </c>
    </row>
    <row r="4465" spans="1:7">
      <c r="B4465">
        <f>IF(INDEX(Transactions!$J:$J,ROW()-8)="",TODAY(),INDEX(Transactions!$G:$G,ROW()-8))</f>
      </c>
      <c r="F4465">
        <f>IF(INDEX(Transactions!$J:$J,ROW()-8)="",0,INDEX(Transactions!$O:$O,ROW()-8))</f>
      </c>
    </row>
    <row r="4466" spans="1:7">
      <c r="B4466">
        <f>IF(INDEX(Transactions!$J:$J,ROW()-8)="",TODAY(),INDEX(Transactions!$G:$G,ROW()-8))</f>
      </c>
      <c r="F4466">
        <f>IF(INDEX(Transactions!$J:$J,ROW()-8)="",0,INDEX(Transactions!$O:$O,ROW()-8))</f>
      </c>
    </row>
    <row r="4467" spans="1:7">
      <c r="B4467">
        <f>IF(INDEX(Transactions!$J:$J,ROW()-8)="",TODAY(),INDEX(Transactions!$G:$G,ROW()-8))</f>
      </c>
      <c r="F4467">
        <f>IF(INDEX(Transactions!$J:$J,ROW()-8)="",0,INDEX(Transactions!$O:$O,ROW()-8))</f>
      </c>
    </row>
    <row r="4468" spans="1:7">
      <c r="B4468">
        <f>IF(INDEX(Transactions!$J:$J,ROW()-8)="",TODAY(),INDEX(Transactions!$G:$G,ROW()-8))</f>
      </c>
      <c r="F4468">
        <f>IF(INDEX(Transactions!$J:$J,ROW()-8)="",0,INDEX(Transactions!$O:$O,ROW()-8))</f>
      </c>
    </row>
    <row r="4469" spans="1:7">
      <c r="B4469">
        <f>IF(INDEX(Transactions!$J:$J,ROW()-8)="",TODAY(),INDEX(Transactions!$G:$G,ROW()-8))</f>
      </c>
      <c r="F4469">
        <f>IF(INDEX(Transactions!$J:$J,ROW()-8)="",0,INDEX(Transactions!$O:$O,ROW()-8))</f>
      </c>
    </row>
    <row r="4470" spans="1:7">
      <c r="B4470">
        <f>IF(INDEX(Transactions!$J:$J,ROW()-8)="",TODAY(),INDEX(Transactions!$G:$G,ROW()-8))</f>
      </c>
      <c r="F4470">
        <f>IF(INDEX(Transactions!$J:$J,ROW()-8)="",0,INDEX(Transactions!$O:$O,ROW()-8))</f>
      </c>
    </row>
    <row r="4471" spans="1:7">
      <c r="B4471">
        <f>IF(INDEX(Transactions!$J:$J,ROW()-8)="",TODAY(),INDEX(Transactions!$G:$G,ROW()-8))</f>
      </c>
      <c r="F4471">
        <f>IF(INDEX(Transactions!$J:$J,ROW()-8)="",0,INDEX(Transactions!$O:$O,ROW()-8))</f>
      </c>
    </row>
    <row r="4472" spans="1:7">
      <c r="B4472">
        <f>IF(INDEX(Transactions!$J:$J,ROW()-8)="",TODAY(),INDEX(Transactions!$G:$G,ROW()-8))</f>
      </c>
      <c r="F4472">
        <f>IF(INDEX(Transactions!$J:$J,ROW()-8)="",0,INDEX(Transactions!$O:$O,ROW()-8))</f>
      </c>
    </row>
    <row r="4473" spans="1:7">
      <c r="B4473">
        <f>IF(INDEX(Transactions!$J:$J,ROW()-8)="",TODAY(),INDEX(Transactions!$G:$G,ROW()-8))</f>
      </c>
      <c r="F4473">
        <f>IF(INDEX(Transactions!$J:$J,ROW()-8)="",0,INDEX(Transactions!$O:$O,ROW()-8))</f>
      </c>
    </row>
    <row r="4474" spans="1:7">
      <c r="B4474">
        <f>IF(INDEX(Transactions!$J:$J,ROW()-8)="",TODAY(),INDEX(Transactions!$G:$G,ROW()-8))</f>
      </c>
      <c r="F4474">
        <f>IF(INDEX(Transactions!$J:$J,ROW()-8)="",0,INDEX(Transactions!$O:$O,ROW()-8))</f>
      </c>
    </row>
    <row r="4475" spans="1:7">
      <c r="B4475">
        <f>IF(INDEX(Transactions!$J:$J,ROW()-8)="",TODAY(),INDEX(Transactions!$G:$G,ROW()-8))</f>
      </c>
      <c r="F4475">
        <f>IF(INDEX(Transactions!$J:$J,ROW()-8)="",0,INDEX(Transactions!$O:$O,ROW()-8))</f>
      </c>
    </row>
    <row r="4476" spans="1:7">
      <c r="B4476">
        <f>IF(INDEX(Transactions!$J:$J,ROW()-8)="",TODAY(),INDEX(Transactions!$G:$G,ROW()-8))</f>
      </c>
      <c r="F4476">
        <f>IF(INDEX(Transactions!$J:$J,ROW()-8)="",0,INDEX(Transactions!$O:$O,ROW()-8))</f>
      </c>
    </row>
    <row r="4477" spans="1:7">
      <c r="B4477">
        <f>IF(INDEX(Transactions!$J:$J,ROW()-8)="",TODAY(),INDEX(Transactions!$G:$G,ROW()-8))</f>
      </c>
      <c r="F4477">
        <f>IF(INDEX(Transactions!$J:$J,ROW()-8)="",0,INDEX(Transactions!$O:$O,ROW()-8))</f>
      </c>
    </row>
    <row r="4478" spans="1:7">
      <c r="B4478">
        <f>IF(INDEX(Transactions!$J:$J,ROW()-8)="",TODAY(),INDEX(Transactions!$G:$G,ROW()-8))</f>
      </c>
      <c r="F4478">
        <f>IF(INDEX(Transactions!$J:$J,ROW()-8)="",0,INDEX(Transactions!$O:$O,ROW()-8))</f>
      </c>
    </row>
    <row r="4479" spans="1:7">
      <c r="B4479">
        <f>IF(INDEX(Transactions!$J:$J,ROW()-8)="",TODAY(),INDEX(Transactions!$G:$G,ROW()-8))</f>
      </c>
      <c r="F4479">
        <f>IF(INDEX(Transactions!$J:$J,ROW()-8)="",0,INDEX(Transactions!$O:$O,ROW()-8))</f>
      </c>
    </row>
    <row r="4480" spans="1:7">
      <c r="B4480">
        <f>IF(INDEX(Transactions!$J:$J,ROW()-8)="",TODAY(),INDEX(Transactions!$G:$G,ROW()-8))</f>
      </c>
      <c r="F4480">
        <f>IF(INDEX(Transactions!$J:$J,ROW()-8)="",0,INDEX(Transactions!$O:$O,ROW()-8))</f>
      </c>
    </row>
    <row r="4481" spans="1:7">
      <c r="B4481">
        <f>IF(INDEX(Transactions!$J:$J,ROW()-8)="",TODAY(),INDEX(Transactions!$G:$G,ROW()-8))</f>
      </c>
      <c r="F4481">
        <f>IF(INDEX(Transactions!$J:$J,ROW()-8)="",0,INDEX(Transactions!$O:$O,ROW()-8))</f>
      </c>
    </row>
    <row r="4482" spans="1:7">
      <c r="B4482">
        <f>IF(INDEX(Transactions!$J:$J,ROW()-8)="",TODAY(),INDEX(Transactions!$G:$G,ROW()-8))</f>
      </c>
      <c r="F4482">
        <f>IF(INDEX(Transactions!$J:$J,ROW()-8)="",0,INDEX(Transactions!$O:$O,ROW()-8))</f>
      </c>
    </row>
    <row r="4483" spans="1:7">
      <c r="B4483">
        <f>IF(INDEX(Transactions!$J:$J,ROW()-8)="",TODAY(),INDEX(Transactions!$G:$G,ROW()-8))</f>
      </c>
      <c r="F4483">
        <f>IF(INDEX(Transactions!$J:$J,ROW()-8)="",0,INDEX(Transactions!$O:$O,ROW()-8))</f>
      </c>
    </row>
    <row r="4484" spans="1:7">
      <c r="B4484">
        <f>IF(INDEX(Transactions!$J:$J,ROW()-8)="",TODAY(),INDEX(Transactions!$G:$G,ROW()-8))</f>
      </c>
      <c r="F4484">
        <f>IF(INDEX(Transactions!$J:$J,ROW()-8)="",0,INDEX(Transactions!$O:$O,ROW()-8))</f>
      </c>
    </row>
    <row r="4485" spans="1:7">
      <c r="B4485">
        <f>IF(INDEX(Transactions!$J:$J,ROW()-8)="",TODAY(),INDEX(Transactions!$G:$G,ROW()-8))</f>
      </c>
      <c r="F4485">
        <f>IF(INDEX(Transactions!$J:$J,ROW()-8)="",0,INDEX(Transactions!$O:$O,ROW()-8))</f>
      </c>
    </row>
    <row r="4486" spans="1:7">
      <c r="B4486">
        <f>IF(INDEX(Transactions!$J:$J,ROW()-8)="",TODAY(),INDEX(Transactions!$G:$G,ROW()-8))</f>
      </c>
      <c r="F4486">
        <f>IF(INDEX(Transactions!$J:$J,ROW()-8)="",0,INDEX(Transactions!$O:$O,ROW()-8))</f>
      </c>
    </row>
    <row r="4487" spans="1:7">
      <c r="B4487">
        <f>IF(INDEX(Transactions!$J:$J,ROW()-8)="",TODAY(),INDEX(Transactions!$G:$G,ROW()-8))</f>
      </c>
      <c r="F4487">
        <f>IF(INDEX(Transactions!$J:$J,ROW()-8)="",0,INDEX(Transactions!$O:$O,ROW()-8))</f>
      </c>
    </row>
    <row r="4488" spans="1:7">
      <c r="B4488">
        <f>IF(INDEX(Transactions!$J:$J,ROW()-8)="",TODAY(),INDEX(Transactions!$G:$G,ROW()-8))</f>
      </c>
      <c r="F4488">
        <f>IF(INDEX(Transactions!$J:$J,ROW()-8)="",0,INDEX(Transactions!$O:$O,ROW()-8))</f>
      </c>
    </row>
    <row r="4489" spans="1:7">
      <c r="B4489">
        <f>IF(INDEX(Transactions!$J:$J,ROW()-8)="",TODAY(),INDEX(Transactions!$G:$G,ROW()-8))</f>
      </c>
      <c r="F4489">
        <f>IF(INDEX(Transactions!$J:$J,ROW()-8)="",0,INDEX(Transactions!$O:$O,ROW()-8))</f>
      </c>
    </row>
    <row r="4490" spans="1:7">
      <c r="B4490">
        <f>IF(INDEX(Transactions!$J:$J,ROW()-8)="",TODAY(),INDEX(Transactions!$G:$G,ROW()-8))</f>
      </c>
      <c r="F4490">
        <f>IF(INDEX(Transactions!$J:$J,ROW()-8)="",0,INDEX(Transactions!$O:$O,ROW()-8))</f>
      </c>
    </row>
    <row r="4491" spans="1:7">
      <c r="B4491">
        <f>IF(INDEX(Transactions!$J:$J,ROW()-8)="",TODAY(),INDEX(Transactions!$G:$G,ROW()-8))</f>
      </c>
      <c r="F4491">
        <f>IF(INDEX(Transactions!$J:$J,ROW()-8)="",0,INDEX(Transactions!$O:$O,ROW()-8))</f>
      </c>
    </row>
    <row r="4492" spans="1:7">
      <c r="B4492">
        <f>IF(INDEX(Transactions!$J:$J,ROW()-8)="",TODAY(),INDEX(Transactions!$G:$G,ROW()-8))</f>
      </c>
      <c r="F4492">
        <f>IF(INDEX(Transactions!$J:$J,ROW()-8)="",0,INDEX(Transactions!$O:$O,ROW()-8))</f>
      </c>
    </row>
    <row r="4493" spans="1:7">
      <c r="B4493">
        <f>IF(INDEX(Transactions!$J:$J,ROW()-8)="",TODAY(),INDEX(Transactions!$G:$G,ROW()-8))</f>
      </c>
      <c r="F4493">
        <f>IF(INDEX(Transactions!$J:$J,ROW()-8)="",0,INDEX(Transactions!$O:$O,ROW()-8))</f>
      </c>
    </row>
    <row r="4494" spans="1:7">
      <c r="B4494">
        <f>IF(INDEX(Transactions!$J:$J,ROW()-8)="",TODAY(),INDEX(Transactions!$G:$G,ROW()-8))</f>
      </c>
      <c r="F4494">
        <f>IF(INDEX(Transactions!$J:$J,ROW()-8)="",0,INDEX(Transactions!$O:$O,ROW()-8))</f>
      </c>
    </row>
    <row r="4495" spans="1:7">
      <c r="B4495">
        <f>IF(INDEX(Transactions!$J:$J,ROW()-8)="",TODAY(),INDEX(Transactions!$G:$G,ROW()-8))</f>
      </c>
      <c r="F4495">
        <f>IF(INDEX(Transactions!$J:$J,ROW()-8)="",0,INDEX(Transactions!$O:$O,ROW()-8))</f>
      </c>
    </row>
    <row r="4496" spans="1:7">
      <c r="B4496">
        <f>IF(INDEX(Transactions!$J:$J,ROW()-8)="",TODAY(),INDEX(Transactions!$G:$G,ROW()-8))</f>
      </c>
      <c r="F4496">
        <f>IF(INDEX(Transactions!$J:$J,ROW()-8)="",0,INDEX(Transactions!$O:$O,ROW()-8))</f>
      </c>
    </row>
    <row r="4497" spans="1:7">
      <c r="B4497">
        <f>IF(INDEX(Transactions!$J:$J,ROW()-8)="",TODAY(),INDEX(Transactions!$G:$G,ROW()-8))</f>
      </c>
      <c r="F4497">
        <f>IF(INDEX(Transactions!$J:$J,ROW()-8)="",0,INDEX(Transactions!$O:$O,ROW()-8))</f>
      </c>
    </row>
    <row r="4498" spans="1:7">
      <c r="B4498">
        <f>IF(INDEX(Transactions!$J:$J,ROW()-8)="",TODAY(),INDEX(Transactions!$G:$G,ROW()-8))</f>
      </c>
      <c r="F4498">
        <f>IF(INDEX(Transactions!$J:$J,ROW()-8)="",0,INDEX(Transactions!$O:$O,ROW()-8))</f>
      </c>
    </row>
    <row r="4499" spans="1:7">
      <c r="B4499">
        <f>IF(INDEX(Transactions!$J:$J,ROW()-8)="",TODAY(),INDEX(Transactions!$G:$G,ROW()-8))</f>
      </c>
      <c r="F4499">
        <f>IF(INDEX(Transactions!$J:$J,ROW()-8)="",0,INDEX(Transactions!$O:$O,ROW()-8))</f>
      </c>
    </row>
    <row r="4500" spans="1:7">
      <c r="B4500">
        <f>IF(INDEX(Transactions!$J:$J,ROW()-8)="",TODAY(),INDEX(Transactions!$G:$G,ROW()-8))</f>
      </c>
      <c r="F4500">
        <f>IF(INDEX(Transactions!$J:$J,ROW()-8)="",0,INDEX(Transactions!$O:$O,ROW()-8))</f>
      </c>
    </row>
    <row r="4501" spans="1:7">
      <c r="B4501">
        <f>IF(INDEX(Transactions!$J:$J,ROW()-8)="",TODAY(),INDEX(Transactions!$G:$G,ROW()-8))</f>
      </c>
      <c r="F4501">
        <f>IF(INDEX(Transactions!$J:$J,ROW()-8)="",0,INDEX(Transactions!$O:$O,ROW()-8))</f>
      </c>
    </row>
    <row r="4502" spans="1:7">
      <c r="B4502">
        <f>IF(INDEX(Transactions!$J:$J,ROW()-8)="",TODAY(),INDEX(Transactions!$G:$G,ROW()-8))</f>
      </c>
      <c r="F4502">
        <f>IF(INDEX(Transactions!$J:$J,ROW()-8)="",0,INDEX(Transactions!$O:$O,ROW()-8))</f>
      </c>
    </row>
    <row r="4503" spans="1:7">
      <c r="B4503">
        <f>IF(INDEX(Transactions!$J:$J,ROW()-8)="",TODAY(),INDEX(Transactions!$G:$G,ROW()-8))</f>
      </c>
      <c r="F4503">
        <f>IF(INDEX(Transactions!$J:$J,ROW()-8)="",0,INDEX(Transactions!$O:$O,ROW()-8))</f>
      </c>
    </row>
    <row r="4504" spans="1:7">
      <c r="B4504">
        <f>IF(INDEX(Transactions!$J:$J,ROW()-8)="",TODAY(),INDEX(Transactions!$G:$G,ROW()-8))</f>
      </c>
      <c r="F4504">
        <f>IF(INDEX(Transactions!$J:$J,ROW()-8)="",0,INDEX(Transactions!$O:$O,ROW()-8))</f>
      </c>
    </row>
    <row r="4505" spans="1:7">
      <c r="B4505">
        <f>IF(INDEX(Transactions!$J:$J,ROW()-8)="",TODAY(),INDEX(Transactions!$G:$G,ROW()-8))</f>
      </c>
      <c r="F4505">
        <f>IF(INDEX(Transactions!$J:$J,ROW()-8)="",0,INDEX(Transactions!$O:$O,ROW()-8))</f>
      </c>
    </row>
    <row r="4506" spans="1:7">
      <c r="B4506">
        <f>IF(INDEX(Transactions!$J:$J,ROW()-8)="",TODAY(),INDEX(Transactions!$G:$G,ROW()-8))</f>
      </c>
      <c r="F4506">
        <f>IF(INDEX(Transactions!$J:$J,ROW()-8)="",0,INDEX(Transactions!$O:$O,ROW()-8))</f>
      </c>
    </row>
    <row r="4507" spans="1:7">
      <c r="B4507">
        <f>IF(INDEX(Transactions!$J:$J,ROW()-8)="",TODAY(),INDEX(Transactions!$G:$G,ROW()-8))</f>
      </c>
      <c r="F4507">
        <f>IF(INDEX(Transactions!$J:$J,ROW()-8)="",0,INDEX(Transactions!$O:$O,ROW()-8))</f>
      </c>
    </row>
    <row r="4508" spans="1:7">
      <c r="B4508">
        <f>IF(INDEX(Transactions!$J:$J,ROW()-8)="",TODAY(),INDEX(Transactions!$G:$G,ROW()-8))</f>
      </c>
      <c r="F4508">
        <f>IF(INDEX(Transactions!$J:$J,ROW()-8)="",0,INDEX(Transactions!$O:$O,ROW()-8))</f>
      </c>
    </row>
    <row r="4509" spans="1:7">
      <c r="B4509">
        <f>IF(INDEX(Transactions!$J:$J,ROW()-8)="",TODAY(),INDEX(Transactions!$G:$G,ROW()-8))</f>
      </c>
      <c r="F4509">
        <f>IF(INDEX(Transactions!$J:$J,ROW()-8)="",0,INDEX(Transactions!$O:$O,ROW()-8))</f>
      </c>
    </row>
    <row r="4510" spans="1:7">
      <c r="B4510">
        <f>IF(INDEX(Transactions!$J:$J,ROW()-8)="",TODAY(),INDEX(Transactions!$G:$G,ROW()-8))</f>
      </c>
      <c r="F4510">
        <f>IF(INDEX(Transactions!$J:$J,ROW()-8)="",0,INDEX(Transactions!$O:$O,ROW()-8))</f>
      </c>
    </row>
    <row r="4511" spans="1:7">
      <c r="B4511">
        <f>IF(INDEX(Transactions!$J:$J,ROW()-8)="",TODAY(),INDEX(Transactions!$G:$G,ROW()-8))</f>
      </c>
      <c r="F4511">
        <f>IF(INDEX(Transactions!$J:$J,ROW()-8)="",0,INDEX(Transactions!$O:$O,ROW()-8))</f>
      </c>
    </row>
    <row r="4512" spans="1:7">
      <c r="B4512">
        <f>IF(INDEX(Transactions!$J:$J,ROW()-8)="",TODAY(),INDEX(Transactions!$G:$G,ROW()-8))</f>
      </c>
      <c r="F4512">
        <f>IF(INDEX(Transactions!$J:$J,ROW()-8)="",0,INDEX(Transactions!$O:$O,ROW()-8))</f>
      </c>
    </row>
    <row r="4513" spans="1:7">
      <c r="B4513">
        <f>IF(INDEX(Transactions!$J:$J,ROW()-8)="",TODAY(),INDEX(Transactions!$G:$G,ROW()-8))</f>
      </c>
      <c r="F4513">
        <f>IF(INDEX(Transactions!$J:$J,ROW()-8)="",0,INDEX(Transactions!$O:$O,ROW()-8))</f>
      </c>
    </row>
    <row r="4514" spans="1:7">
      <c r="B4514">
        <f>IF(INDEX(Transactions!$J:$J,ROW()-8)="",TODAY(),INDEX(Transactions!$G:$G,ROW()-8))</f>
      </c>
      <c r="F4514">
        <f>IF(INDEX(Transactions!$J:$J,ROW()-8)="",0,INDEX(Transactions!$O:$O,ROW()-8))</f>
      </c>
    </row>
    <row r="4515" spans="1:7">
      <c r="B4515">
        <f>IF(INDEX(Transactions!$J:$J,ROW()-8)="",TODAY(),INDEX(Transactions!$G:$G,ROW()-8))</f>
      </c>
      <c r="F4515">
        <f>IF(INDEX(Transactions!$J:$J,ROW()-8)="",0,INDEX(Transactions!$O:$O,ROW()-8))</f>
      </c>
    </row>
    <row r="4516" spans="1:7">
      <c r="B4516">
        <f>IF(INDEX(Transactions!$J:$J,ROW()-8)="",TODAY(),INDEX(Transactions!$G:$G,ROW()-8))</f>
      </c>
      <c r="F4516">
        <f>IF(INDEX(Transactions!$J:$J,ROW()-8)="",0,INDEX(Transactions!$O:$O,ROW()-8))</f>
      </c>
    </row>
    <row r="4517" spans="1:7">
      <c r="B4517">
        <f>IF(INDEX(Transactions!$J:$J,ROW()-8)="",TODAY(),INDEX(Transactions!$G:$G,ROW()-8))</f>
      </c>
      <c r="F4517">
        <f>IF(INDEX(Transactions!$J:$J,ROW()-8)="",0,INDEX(Transactions!$O:$O,ROW()-8))</f>
      </c>
    </row>
    <row r="4518" spans="1:7">
      <c r="B4518">
        <f>IF(INDEX(Transactions!$J:$J,ROW()-8)="",TODAY(),INDEX(Transactions!$G:$G,ROW()-8))</f>
      </c>
      <c r="F4518">
        <f>IF(INDEX(Transactions!$J:$J,ROW()-8)="",0,INDEX(Transactions!$O:$O,ROW()-8))</f>
      </c>
    </row>
    <row r="4519" spans="1:7">
      <c r="B4519">
        <f>IF(INDEX(Transactions!$J:$J,ROW()-8)="",TODAY(),INDEX(Transactions!$G:$G,ROW()-8))</f>
      </c>
      <c r="F4519">
        <f>IF(INDEX(Transactions!$J:$J,ROW()-8)="",0,INDEX(Transactions!$O:$O,ROW()-8))</f>
      </c>
    </row>
    <row r="4520" spans="1:7">
      <c r="B4520">
        <f>IF(INDEX(Transactions!$J:$J,ROW()-8)="",TODAY(),INDEX(Transactions!$G:$G,ROW()-8))</f>
      </c>
      <c r="F4520">
        <f>IF(INDEX(Transactions!$J:$J,ROW()-8)="",0,INDEX(Transactions!$O:$O,ROW()-8))</f>
      </c>
    </row>
    <row r="4521" spans="1:7">
      <c r="B4521">
        <f>IF(INDEX(Transactions!$J:$J,ROW()-8)="",TODAY(),INDEX(Transactions!$G:$G,ROW()-8))</f>
      </c>
      <c r="F4521">
        <f>IF(INDEX(Transactions!$J:$J,ROW()-8)="",0,INDEX(Transactions!$O:$O,ROW()-8))</f>
      </c>
    </row>
    <row r="4522" spans="1:7">
      <c r="B4522">
        <f>IF(INDEX(Transactions!$J:$J,ROW()-8)="",TODAY(),INDEX(Transactions!$G:$G,ROW()-8))</f>
      </c>
      <c r="F4522">
        <f>IF(INDEX(Transactions!$J:$J,ROW()-8)="",0,INDEX(Transactions!$O:$O,ROW()-8))</f>
      </c>
    </row>
    <row r="4523" spans="1:7">
      <c r="B4523">
        <f>IF(INDEX(Transactions!$J:$J,ROW()-8)="",TODAY(),INDEX(Transactions!$G:$G,ROW()-8))</f>
      </c>
      <c r="F4523">
        <f>IF(INDEX(Transactions!$J:$J,ROW()-8)="",0,INDEX(Transactions!$O:$O,ROW()-8))</f>
      </c>
    </row>
    <row r="4524" spans="1:7">
      <c r="B4524">
        <f>IF(INDEX(Transactions!$J:$J,ROW()-8)="",TODAY(),INDEX(Transactions!$G:$G,ROW()-8))</f>
      </c>
      <c r="F4524">
        <f>IF(INDEX(Transactions!$J:$J,ROW()-8)="",0,INDEX(Transactions!$O:$O,ROW()-8))</f>
      </c>
    </row>
    <row r="4525" spans="1:7">
      <c r="B4525">
        <f>IF(INDEX(Transactions!$J:$J,ROW()-8)="",TODAY(),INDEX(Transactions!$G:$G,ROW()-8))</f>
      </c>
      <c r="F4525">
        <f>IF(INDEX(Transactions!$J:$J,ROW()-8)="",0,INDEX(Transactions!$O:$O,ROW()-8))</f>
      </c>
    </row>
    <row r="4526" spans="1:7">
      <c r="B4526">
        <f>IF(INDEX(Transactions!$J:$J,ROW()-8)="",TODAY(),INDEX(Transactions!$G:$G,ROW()-8))</f>
      </c>
      <c r="F4526">
        <f>IF(INDEX(Transactions!$J:$J,ROW()-8)="",0,INDEX(Transactions!$O:$O,ROW()-8))</f>
      </c>
    </row>
    <row r="4527" spans="1:7">
      <c r="B4527">
        <f>IF(INDEX(Transactions!$J:$J,ROW()-8)="",TODAY(),INDEX(Transactions!$G:$G,ROW()-8))</f>
      </c>
      <c r="F4527">
        <f>IF(INDEX(Transactions!$J:$J,ROW()-8)="",0,INDEX(Transactions!$O:$O,ROW()-8))</f>
      </c>
    </row>
    <row r="4528" spans="1:7">
      <c r="B4528">
        <f>IF(INDEX(Transactions!$J:$J,ROW()-8)="",TODAY(),INDEX(Transactions!$G:$G,ROW()-8))</f>
      </c>
      <c r="F4528">
        <f>IF(INDEX(Transactions!$J:$J,ROW()-8)="",0,INDEX(Transactions!$O:$O,ROW()-8))</f>
      </c>
    </row>
    <row r="4529" spans="1:7">
      <c r="B4529">
        <f>IF(INDEX(Transactions!$J:$J,ROW()-8)="",TODAY(),INDEX(Transactions!$G:$G,ROW()-8))</f>
      </c>
      <c r="F4529">
        <f>IF(INDEX(Transactions!$J:$J,ROW()-8)="",0,INDEX(Transactions!$O:$O,ROW()-8))</f>
      </c>
    </row>
    <row r="4530" spans="1:7">
      <c r="B4530">
        <f>IF(INDEX(Transactions!$J:$J,ROW()-8)="",TODAY(),INDEX(Transactions!$G:$G,ROW()-8))</f>
      </c>
      <c r="F4530">
        <f>IF(INDEX(Transactions!$J:$J,ROW()-8)="",0,INDEX(Transactions!$O:$O,ROW()-8))</f>
      </c>
    </row>
    <row r="4531" spans="1:7">
      <c r="B4531">
        <f>IF(INDEX(Transactions!$J:$J,ROW()-8)="",TODAY(),INDEX(Transactions!$G:$G,ROW()-8))</f>
      </c>
      <c r="F4531">
        <f>IF(INDEX(Transactions!$J:$J,ROW()-8)="",0,INDEX(Transactions!$O:$O,ROW()-8))</f>
      </c>
    </row>
    <row r="4532" spans="1:7">
      <c r="B4532">
        <f>IF(INDEX(Transactions!$J:$J,ROW()-8)="",TODAY(),INDEX(Transactions!$G:$G,ROW()-8))</f>
      </c>
      <c r="F4532">
        <f>IF(INDEX(Transactions!$J:$J,ROW()-8)="",0,INDEX(Transactions!$O:$O,ROW()-8))</f>
      </c>
    </row>
    <row r="4533" spans="1:7">
      <c r="B4533">
        <f>IF(INDEX(Transactions!$J:$J,ROW()-8)="",TODAY(),INDEX(Transactions!$G:$G,ROW()-8))</f>
      </c>
      <c r="F4533">
        <f>IF(INDEX(Transactions!$J:$J,ROW()-8)="",0,INDEX(Transactions!$O:$O,ROW()-8))</f>
      </c>
    </row>
    <row r="4534" spans="1:7">
      <c r="B4534">
        <f>IF(INDEX(Transactions!$J:$J,ROW()-8)="",TODAY(),INDEX(Transactions!$G:$G,ROW()-8))</f>
      </c>
      <c r="F4534">
        <f>IF(INDEX(Transactions!$J:$J,ROW()-8)="",0,INDEX(Transactions!$O:$O,ROW()-8))</f>
      </c>
    </row>
    <row r="4535" spans="1:7">
      <c r="B4535">
        <f>IF(INDEX(Transactions!$J:$J,ROW()-8)="",TODAY(),INDEX(Transactions!$G:$G,ROW()-8))</f>
      </c>
      <c r="F4535">
        <f>IF(INDEX(Transactions!$J:$J,ROW()-8)="",0,INDEX(Transactions!$O:$O,ROW()-8))</f>
      </c>
    </row>
    <row r="4536" spans="1:7">
      <c r="B4536">
        <f>IF(INDEX(Transactions!$J:$J,ROW()-8)="",TODAY(),INDEX(Transactions!$G:$G,ROW()-8))</f>
      </c>
      <c r="F4536">
        <f>IF(INDEX(Transactions!$J:$J,ROW()-8)="",0,INDEX(Transactions!$O:$O,ROW()-8))</f>
      </c>
    </row>
    <row r="4537" spans="1:7">
      <c r="B4537">
        <f>IF(INDEX(Transactions!$J:$J,ROW()-8)="",TODAY(),INDEX(Transactions!$G:$G,ROW()-8))</f>
      </c>
      <c r="F4537">
        <f>IF(INDEX(Transactions!$J:$J,ROW()-8)="",0,INDEX(Transactions!$O:$O,ROW()-8))</f>
      </c>
    </row>
    <row r="4538" spans="1:7">
      <c r="B4538">
        <f>IF(INDEX(Transactions!$J:$J,ROW()-8)="",TODAY(),INDEX(Transactions!$G:$G,ROW()-8))</f>
      </c>
      <c r="F4538">
        <f>IF(INDEX(Transactions!$J:$J,ROW()-8)="",0,INDEX(Transactions!$O:$O,ROW()-8))</f>
      </c>
    </row>
    <row r="4539" spans="1:7">
      <c r="B4539">
        <f>IF(INDEX(Transactions!$J:$J,ROW()-8)="",TODAY(),INDEX(Transactions!$G:$G,ROW()-8))</f>
      </c>
      <c r="F4539">
        <f>IF(INDEX(Transactions!$J:$J,ROW()-8)="",0,INDEX(Transactions!$O:$O,ROW()-8))</f>
      </c>
    </row>
    <row r="4540" spans="1:7">
      <c r="B4540">
        <f>IF(INDEX(Transactions!$J:$J,ROW()-8)="",TODAY(),INDEX(Transactions!$G:$G,ROW()-8))</f>
      </c>
      <c r="F4540">
        <f>IF(INDEX(Transactions!$J:$J,ROW()-8)="",0,INDEX(Transactions!$O:$O,ROW()-8))</f>
      </c>
    </row>
    <row r="4541" spans="1:7">
      <c r="B4541">
        <f>IF(INDEX(Transactions!$J:$J,ROW()-8)="",TODAY(),INDEX(Transactions!$G:$G,ROW()-8))</f>
      </c>
      <c r="F4541">
        <f>IF(INDEX(Transactions!$J:$J,ROW()-8)="",0,INDEX(Transactions!$O:$O,ROW()-8))</f>
      </c>
    </row>
    <row r="4542" spans="1:7">
      <c r="B4542">
        <f>IF(INDEX(Transactions!$J:$J,ROW()-8)="",TODAY(),INDEX(Transactions!$G:$G,ROW()-8))</f>
      </c>
      <c r="F4542">
        <f>IF(INDEX(Transactions!$J:$J,ROW()-8)="",0,INDEX(Transactions!$O:$O,ROW()-8))</f>
      </c>
    </row>
    <row r="4543" spans="1:7">
      <c r="B4543">
        <f>IF(INDEX(Transactions!$J:$J,ROW()-8)="",TODAY(),INDEX(Transactions!$G:$G,ROW()-8))</f>
      </c>
      <c r="F4543">
        <f>IF(INDEX(Transactions!$J:$J,ROW()-8)="",0,INDEX(Transactions!$O:$O,ROW()-8))</f>
      </c>
    </row>
    <row r="4544" spans="1:7">
      <c r="B4544">
        <f>IF(INDEX(Transactions!$J:$J,ROW()-8)="",TODAY(),INDEX(Transactions!$G:$G,ROW()-8))</f>
      </c>
      <c r="F4544">
        <f>IF(INDEX(Transactions!$J:$J,ROW()-8)="",0,INDEX(Transactions!$O:$O,ROW()-8))</f>
      </c>
    </row>
    <row r="4545" spans="1:7">
      <c r="B4545">
        <f>IF(INDEX(Transactions!$J:$J,ROW()-8)="",TODAY(),INDEX(Transactions!$G:$G,ROW()-8))</f>
      </c>
      <c r="F4545">
        <f>IF(INDEX(Transactions!$J:$J,ROW()-8)="",0,INDEX(Transactions!$O:$O,ROW()-8))</f>
      </c>
    </row>
    <row r="4546" spans="1:7">
      <c r="B4546">
        <f>IF(INDEX(Transactions!$J:$J,ROW()-8)="",TODAY(),INDEX(Transactions!$G:$G,ROW()-8))</f>
      </c>
      <c r="F4546">
        <f>IF(INDEX(Transactions!$J:$J,ROW()-8)="",0,INDEX(Transactions!$O:$O,ROW()-8))</f>
      </c>
    </row>
    <row r="4547" spans="1:7">
      <c r="B4547">
        <f>IF(INDEX(Transactions!$J:$J,ROW()-8)="",TODAY(),INDEX(Transactions!$G:$G,ROW()-8))</f>
      </c>
      <c r="F4547">
        <f>IF(INDEX(Transactions!$J:$J,ROW()-8)="",0,INDEX(Transactions!$O:$O,ROW()-8))</f>
      </c>
    </row>
    <row r="4548" spans="1:7">
      <c r="B4548">
        <f>IF(INDEX(Transactions!$J:$J,ROW()-8)="",TODAY(),INDEX(Transactions!$G:$G,ROW()-8))</f>
      </c>
      <c r="F4548">
        <f>IF(INDEX(Transactions!$J:$J,ROW()-8)="",0,INDEX(Transactions!$O:$O,ROW()-8))</f>
      </c>
    </row>
    <row r="4549" spans="1:7">
      <c r="B4549">
        <f>IF(INDEX(Transactions!$J:$J,ROW()-8)="",TODAY(),INDEX(Transactions!$G:$G,ROW()-8))</f>
      </c>
      <c r="F4549">
        <f>IF(INDEX(Transactions!$J:$J,ROW()-8)="",0,INDEX(Transactions!$O:$O,ROW()-8))</f>
      </c>
    </row>
    <row r="4550" spans="1:7">
      <c r="B4550">
        <f>IF(INDEX(Transactions!$J:$J,ROW()-8)="",TODAY(),INDEX(Transactions!$G:$G,ROW()-8))</f>
      </c>
      <c r="F4550">
        <f>IF(INDEX(Transactions!$J:$J,ROW()-8)="",0,INDEX(Transactions!$O:$O,ROW()-8))</f>
      </c>
    </row>
    <row r="4551" spans="1:7">
      <c r="B4551">
        <f>IF(INDEX(Transactions!$J:$J,ROW()-8)="",TODAY(),INDEX(Transactions!$G:$G,ROW()-8))</f>
      </c>
      <c r="F4551">
        <f>IF(INDEX(Transactions!$J:$J,ROW()-8)="",0,INDEX(Transactions!$O:$O,ROW()-8))</f>
      </c>
    </row>
    <row r="4552" spans="1:7">
      <c r="B4552">
        <f>IF(INDEX(Transactions!$J:$J,ROW()-8)="",TODAY(),INDEX(Transactions!$G:$G,ROW()-8))</f>
      </c>
      <c r="F4552">
        <f>IF(INDEX(Transactions!$J:$J,ROW()-8)="",0,INDEX(Transactions!$O:$O,ROW()-8))</f>
      </c>
    </row>
    <row r="4553" spans="1:7">
      <c r="B4553">
        <f>IF(INDEX(Transactions!$J:$J,ROW()-8)="",TODAY(),INDEX(Transactions!$G:$G,ROW()-8))</f>
      </c>
      <c r="F4553">
        <f>IF(INDEX(Transactions!$J:$J,ROW()-8)="",0,INDEX(Transactions!$O:$O,ROW()-8))</f>
      </c>
    </row>
    <row r="4554" spans="1:7">
      <c r="B4554">
        <f>IF(INDEX(Transactions!$J:$J,ROW()-8)="",TODAY(),INDEX(Transactions!$G:$G,ROW()-8))</f>
      </c>
      <c r="F4554">
        <f>IF(INDEX(Transactions!$J:$J,ROW()-8)="",0,INDEX(Transactions!$O:$O,ROW()-8))</f>
      </c>
    </row>
    <row r="4555" spans="1:7">
      <c r="B4555">
        <f>IF(INDEX(Transactions!$J:$J,ROW()-8)="",TODAY(),INDEX(Transactions!$G:$G,ROW()-8))</f>
      </c>
      <c r="F4555">
        <f>IF(INDEX(Transactions!$J:$J,ROW()-8)="",0,INDEX(Transactions!$O:$O,ROW()-8))</f>
      </c>
    </row>
    <row r="4556" spans="1:7">
      <c r="B4556">
        <f>IF(INDEX(Transactions!$J:$J,ROW()-8)="",TODAY(),INDEX(Transactions!$G:$G,ROW()-8))</f>
      </c>
      <c r="F4556">
        <f>IF(INDEX(Transactions!$J:$J,ROW()-8)="",0,INDEX(Transactions!$O:$O,ROW()-8))</f>
      </c>
    </row>
    <row r="4557" spans="1:7">
      <c r="B4557">
        <f>IF(INDEX(Transactions!$J:$J,ROW()-8)="",TODAY(),INDEX(Transactions!$G:$G,ROW()-8))</f>
      </c>
      <c r="F4557">
        <f>IF(INDEX(Transactions!$J:$J,ROW()-8)="",0,INDEX(Transactions!$O:$O,ROW()-8))</f>
      </c>
    </row>
    <row r="4558" spans="1:7">
      <c r="B4558">
        <f>IF(INDEX(Transactions!$J:$J,ROW()-8)="",TODAY(),INDEX(Transactions!$G:$G,ROW()-8))</f>
      </c>
      <c r="F4558">
        <f>IF(INDEX(Transactions!$J:$J,ROW()-8)="",0,INDEX(Transactions!$O:$O,ROW()-8))</f>
      </c>
    </row>
    <row r="4559" spans="1:7">
      <c r="B4559">
        <f>IF(INDEX(Transactions!$J:$J,ROW()-8)="",TODAY(),INDEX(Transactions!$G:$G,ROW()-8))</f>
      </c>
      <c r="F4559">
        <f>IF(INDEX(Transactions!$J:$J,ROW()-8)="",0,INDEX(Transactions!$O:$O,ROW()-8))</f>
      </c>
    </row>
    <row r="4560" spans="1:7">
      <c r="B4560">
        <f>IF(INDEX(Transactions!$J:$J,ROW()-8)="",TODAY(),INDEX(Transactions!$G:$G,ROW()-8))</f>
      </c>
      <c r="F4560">
        <f>IF(INDEX(Transactions!$J:$J,ROW()-8)="",0,INDEX(Transactions!$O:$O,ROW()-8))</f>
      </c>
    </row>
    <row r="4561" spans="1:7">
      <c r="B4561">
        <f>IF(INDEX(Transactions!$J:$J,ROW()-8)="",TODAY(),INDEX(Transactions!$G:$G,ROW()-8))</f>
      </c>
      <c r="F4561">
        <f>IF(INDEX(Transactions!$J:$J,ROW()-8)="",0,INDEX(Transactions!$O:$O,ROW()-8))</f>
      </c>
    </row>
    <row r="4562" spans="1:7">
      <c r="B4562">
        <f>IF(INDEX(Transactions!$J:$J,ROW()-8)="",TODAY(),INDEX(Transactions!$G:$G,ROW()-8))</f>
      </c>
      <c r="F4562">
        <f>IF(INDEX(Transactions!$J:$J,ROW()-8)="",0,INDEX(Transactions!$O:$O,ROW()-8))</f>
      </c>
    </row>
    <row r="4563" spans="1:7">
      <c r="B4563">
        <f>IF(INDEX(Transactions!$J:$J,ROW()-8)="",TODAY(),INDEX(Transactions!$G:$G,ROW()-8))</f>
      </c>
      <c r="F4563">
        <f>IF(INDEX(Transactions!$J:$J,ROW()-8)="",0,INDEX(Transactions!$O:$O,ROW()-8))</f>
      </c>
    </row>
    <row r="4564" spans="1:7">
      <c r="B4564">
        <f>IF(INDEX(Transactions!$J:$J,ROW()-8)="",TODAY(),INDEX(Transactions!$G:$G,ROW()-8))</f>
      </c>
      <c r="F4564">
        <f>IF(INDEX(Transactions!$J:$J,ROW()-8)="",0,INDEX(Transactions!$O:$O,ROW()-8))</f>
      </c>
    </row>
    <row r="4565" spans="1:7">
      <c r="B4565">
        <f>IF(INDEX(Transactions!$J:$J,ROW()-8)="",TODAY(),INDEX(Transactions!$G:$G,ROW()-8))</f>
      </c>
      <c r="F4565">
        <f>IF(INDEX(Transactions!$J:$J,ROW()-8)="",0,INDEX(Transactions!$O:$O,ROW()-8))</f>
      </c>
    </row>
    <row r="4566" spans="1:7">
      <c r="B4566">
        <f>IF(INDEX(Transactions!$J:$J,ROW()-8)="",TODAY(),INDEX(Transactions!$G:$G,ROW()-8))</f>
      </c>
      <c r="F4566">
        <f>IF(INDEX(Transactions!$J:$J,ROW()-8)="",0,INDEX(Transactions!$O:$O,ROW()-8))</f>
      </c>
    </row>
    <row r="4567" spans="1:7">
      <c r="B4567">
        <f>IF(INDEX(Transactions!$J:$J,ROW()-8)="",TODAY(),INDEX(Transactions!$G:$G,ROW()-8))</f>
      </c>
      <c r="F4567">
        <f>IF(INDEX(Transactions!$J:$J,ROW()-8)="",0,INDEX(Transactions!$O:$O,ROW()-8))</f>
      </c>
    </row>
    <row r="4568" spans="1:7">
      <c r="B4568">
        <f>IF(INDEX(Transactions!$J:$J,ROW()-8)="",TODAY(),INDEX(Transactions!$G:$G,ROW()-8))</f>
      </c>
      <c r="F4568">
        <f>IF(INDEX(Transactions!$J:$J,ROW()-8)="",0,INDEX(Transactions!$O:$O,ROW()-8))</f>
      </c>
    </row>
    <row r="4569" spans="1:7">
      <c r="B4569">
        <f>IF(INDEX(Transactions!$J:$J,ROW()-8)="",TODAY(),INDEX(Transactions!$G:$G,ROW()-8))</f>
      </c>
      <c r="F4569">
        <f>IF(INDEX(Transactions!$J:$J,ROW()-8)="",0,INDEX(Transactions!$O:$O,ROW()-8))</f>
      </c>
    </row>
    <row r="4570" spans="1:7">
      <c r="B4570">
        <f>IF(INDEX(Transactions!$J:$J,ROW()-8)="",TODAY(),INDEX(Transactions!$G:$G,ROW()-8))</f>
      </c>
      <c r="F4570">
        <f>IF(INDEX(Transactions!$J:$J,ROW()-8)="",0,INDEX(Transactions!$O:$O,ROW()-8))</f>
      </c>
    </row>
    <row r="4571" spans="1:7">
      <c r="B4571">
        <f>IF(INDEX(Transactions!$J:$J,ROW()-8)="",TODAY(),INDEX(Transactions!$G:$G,ROW()-8))</f>
      </c>
      <c r="F4571">
        <f>IF(INDEX(Transactions!$J:$J,ROW()-8)="",0,INDEX(Transactions!$O:$O,ROW()-8))</f>
      </c>
    </row>
    <row r="4572" spans="1:7">
      <c r="B4572">
        <f>IF(INDEX(Transactions!$J:$J,ROW()-8)="",TODAY(),INDEX(Transactions!$G:$G,ROW()-8))</f>
      </c>
      <c r="F4572">
        <f>IF(INDEX(Transactions!$J:$J,ROW()-8)="",0,INDEX(Transactions!$O:$O,ROW()-8))</f>
      </c>
    </row>
    <row r="4573" spans="1:7">
      <c r="B4573">
        <f>IF(INDEX(Transactions!$J:$J,ROW()-8)="",TODAY(),INDEX(Transactions!$G:$G,ROW()-8))</f>
      </c>
      <c r="F4573">
        <f>IF(INDEX(Transactions!$J:$J,ROW()-8)="",0,INDEX(Transactions!$O:$O,ROW()-8))</f>
      </c>
    </row>
    <row r="4574" spans="1:7">
      <c r="B4574">
        <f>IF(INDEX(Transactions!$J:$J,ROW()-8)="",TODAY(),INDEX(Transactions!$G:$G,ROW()-8))</f>
      </c>
      <c r="F4574">
        <f>IF(INDEX(Transactions!$J:$J,ROW()-8)="",0,INDEX(Transactions!$O:$O,ROW()-8))</f>
      </c>
    </row>
    <row r="4575" spans="1:7">
      <c r="B4575">
        <f>IF(INDEX(Transactions!$J:$J,ROW()-8)="",TODAY(),INDEX(Transactions!$G:$G,ROW()-8))</f>
      </c>
      <c r="F4575">
        <f>IF(INDEX(Transactions!$J:$J,ROW()-8)="",0,INDEX(Transactions!$O:$O,ROW()-8))</f>
      </c>
    </row>
    <row r="4576" spans="1:7">
      <c r="B4576">
        <f>IF(INDEX(Transactions!$J:$J,ROW()-8)="",TODAY(),INDEX(Transactions!$G:$G,ROW()-8))</f>
      </c>
      <c r="F4576">
        <f>IF(INDEX(Transactions!$J:$J,ROW()-8)="",0,INDEX(Transactions!$O:$O,ROW()-8))</f>
      </c>
    </row>
    <row r="4577" spans="1:7">
      <c r="B4577">
        <f>IF(INDEX(Transactions!$J:$J,ROW()-8)="",TODAY(),INDEX(Transactions!$G:$G,ROW()-8))</f>
      </c>
      <c r="F4577">
        <f>IF(INDEX(Transactions!$J:$J,ROW()-8)="",0,INDEX(Transactions!$O:$O,ROW()-8))</f>
      </c>
    </row>
    <row r="4578" spans="1:7">
      <c r="B4578">
        <f>IF(INDEX(Transactions!$J:$J,ROW()-8)="",TODAY(),INDEX(Transactions!$G:$G,ROW()-8))</f>
      </c>
      <c r="F4578">
        <f>IF(INDEX(Transactions!$J:$J,ROW()-8)="",0,INDEX(Transactions!$O:$O,ROW()-8))</f>
      </c>
    </row>
    <row r="4579" spans="1:7">
      <c r="B4579">
        <f>IF(INDEX(Transactions!$J:$J,ROW()-8)="",TODAY(),INDEX(Transactions!$G:$G,ROW()-8))</f>
      </c>
      <c r="F4579">
        <f>IF(INDEX(Transactions!$J:$J,ROW()-8)="",0,INDEX(Transactions!$O:$O,ROW()-8))</f>
      </c>
    </row>
    <row r="4580" spans="1:7">
      <c r="B4580">
        <f>IF(INDEX(Transactions!$J:$J,ROW()-8)="",TODAY(),INDEX(Transactions!$G:$G,ROW()-8))</f>
      </c>
      <c r="F4580">
        <f>IF(INDEX(Transactions!$J:$J,ROW()-8)="",0,INDEX(Transactions!$O:$O,ROW()-8))</f>
      </c>
    </row>
    <row r="4581" spans="1:7">
      <c r="B4581">
        <f>IF(INDEX(Transactions!$J:$J,ROW()-8)="",TODAY(),INDEX(Transactions!$G:$G,ROW()-8))</f>
      </c>
      <c r="F4581">
        <f>IF(INDEX(Transactions!$J:$J,ROW()-8)="",0,INDEX(Transactions!$O:$O,ROW()-8))</f>
      </c>
    </row>
    <row r="4582" spans="1:7">
      <c r="B4582">
        <f>IF(INDEX(Transactions!$J:$J,ROW()-8)="",TODAY(),INDEX(Transactions!$G:$G,ROW()-8))</f>
      </c>
      <c r="F4582">
        <f>IF(INDEX(Transactions!$J:$J,ROW()-8)="",0,INDEX(Transactions!$O:$O,ROW()-8))</f>
      </c>
    </row>
    <row r="4583" spans="1:7">
      <c r="B4583">
        <f>IF(INDEX(Transactions!$J:$J,ROW()-8)="",TODAY(),INDEX(Transactions!$G:$G,ROW()-8))</f>
      </c>
      <c r="F4583">
        <f>IF(INDEX(Transactions!$J:$J,ROW()-8)="",0,INDEX(Transactions!$O:$O,ROW()-8))</f>
      </c>
    </row>
    <row r="4584" spans="1:7">
      <c r="B4584">
        <f>IF(INDEX(Transactions!$J:$J,ROW()-8)="",TODAY(),INDEX(Transactions!$G:$G,ROW()-8))</f>
      </c>
      <c r="F4584">
        <f>IF(INDEX(Transactions!$J:$J,ROW()-8)="",0,INDEX(Transactions!$O:$O,ROW()-8))</f>
      </c>
    </row>
    <row r="4585" spans="1:7">
      <c r="B4585">
        <f>IF(INDEX(Transactions!$J:$J,ROW()-8)="",TODAY(),INDEX(Transactions!$G:$G,ROW()-8))</f>
      </c>
      <c r="F4585">
        <f>IF(INDEX(Transactions!$J:$J,ROW()-8)="",0,INDEX(Transactions!$O:$O,ROW()-8))</f>
      </c>
    </row>
    <row r="4586" spans="1:7">
      <c r="B4586">
        <f>IF(INDEX(Transactions!$J:$J,ROW()-8)="",TODAY(),INDEX(Transactions!$G:$G,ROW()-8))</f>
      </c>
      <c r="F4586">
        <f>IF(INDEX(Transactions!$J:$J,ROW()-8)="",0,INDEX(Transactions!$O:$O,ROW()-8))</f>
      </c>
    </row>
    <row r="4587" spans="1:7">
      <c r="B4587">
        <f>IF(INDEX(Transactions!$J:$J,ROW()-8)="",TODAY(),INDEX(Transactions!$G:$G,ROW()-8))</f>
      </c>
      <c r="F4587">
        <f>IF(INDEX(Transactions!$J:$J,ROW()-8)="",0,INDEX(Transactions!$O:$O,ROW()-8))</f>
      </c>
    </row>
    <row r="4588" spans="1:7">
      <c r="B4588">
        <f>IF(INDEX(Transactions!$J:$J,ROW()-8)="",TODAY(),INDEX(Transactions!$G:$G,ROW()-8))</f>
      </c>
      <c r="F4588">
        <f>IF(INDEX(Transactions!$J:$J,ROW()-8)="",0,INDEX(Transactions!$O:$O,ROW()-8))</f>
      </c>
    </row>
    <row r="4589" spans="1:7">
      <c r="B4589">
        <f>IF(INDEX(Transactions!$J:$J,ROW()-8)="",TODAY(),INDEX(Transactions!$G:$G,ROW()-8))</f>
      </c>
      <c r="F4589">
        <f>IF(INDEX(Transactions!$J:$J,ROW()-8)="",0,INDEX(Transactions!$O:$O,ROW()-8))</f>
      </c>
    </row>
    <row r="4590" spans="1:7">
      <c r="B4590">
        <f>IF(INDEX(Transactions!$J:$J,ROW()-8)="",TODAY(),INDEX(Transactions!$G:$G,ROW()-8))</f>
      </c>
      <c r="F4590">
        <f>IF(INDEX(Transactions!$J:$J,ROW()-8)="",0,INDEX(Transactions!$O:$O,ROW()-8))</f>
      </c>
    </row>
    <row r="4591" spans="1:7">
      <c r="B4591">
        <f>IF(INDEX(Transactions!$J:$J,ROW()-8)="",TODAY(),INDEX(Transactions!$G:$G,ROW()-8))</f>
      </c>
      <c r="F4591">
        <f>IF(INDEX(Transactions!$J:$J,ROW()-8)="",0,INDEX(Transactions!$O:$O,ROW()-8))</f>
      </c>
    </row>
    <row r="4592" spans="1:7">
      <c r="B4592">
        <f>IF(INDEX(Transactions!$J:$J,ROW()-8)="",TODAY(),INDEX(Transactions!$G:$G,ROW()-8))</f>
      </c>
      <c r="F4592">
        <f>IF(INDEX(Transactions!$J:$J,ROW()-8)="",0,INDEX(Transactions!$O:$O,ROW()-8))</f>
      </c>
    </row>
    <row r="4593" spans="1:7">
      <c r="B4593">
        <f>IF(INDEX(Transactions!$J:$J,ROW()-8)="",TODAY(),INDEX(Transactions!$G:$G,ROW()-8))</f>
      </c>
      <c r="F4593">
        <f>IF(INDEX(Transactions!$J:$J,ROW()-8)="",0,INDEX(Transactions!$O:$O,ROW()-8))</f>
      </c>
    </row>
    <row r="4594" spans="1:7">
      <c r="B4594">
        <f>IF(INDEX(Transactions!$J:$J,ROW()-8)="",TODAY(),INDEX(Transactions!$G:$G,ROW()-8))</f>
      </c>
      <c r="F4594">
        <f>IF(INDEX(Transactions!$J:$J,ROW()-8)="",0,INDEX(Transactions!$O:$O,ROW()-8))</f>
      </c>
    </row>
    <row r="4595" spans="1:7">
      <c r="B4595">
        <f>IF(INDEX(Transactions!$J:$J,ROW()-8)="",TODAY(),INDEX(Transactions!$G:$G,ROW()-8))</f>
      </c>
      <c r="F4595">
        <f>IF(INDEX(Transactions!$J:$J,ROW()-8)="",0,INDEX(Transactions!$O:$O,ROW()-8))</f>
      </c>
    </row>
    <row r="4596" spans="1:7">
      <c r="B4596">
        <f>IF(INDEX(Transactions!$J:$J,ROW()-8)="",TODAY(),INDEX(Transactions!$G:$G,ROW()-8))</f>
      </c>
      <c r="F4596">
        <f>IF(INDEX(Transactions!$J:$J,ROW()-8)="",0,INDEX(Transactions!$O:$O,ROW()-8))</f>
      </c>
    </row>
    <row r="4597" spans="1:7">
      <c r="B4597">
        <f>IF(INDEX(Transactions!$J:$J,ROW()-8)="",TODAY(),INDEX(Transactions!$G:$G,ROW()-8))</f>
      </c>
      <c r="F4597">
        <f>IF(INDEX(Transactions!$J:$J,ROW()-8)="",0,INDEX(Transactions!$O:$O,ROW()-8))</f>
      </c>
    </row>
    <row r="4598" spans="1:7">
      <c r="B4598">
        <f>IF(INDEX(Transactions!$J:$J,ROW()-8)="",TODAY(),INDEX(Transactions!$G:$G,ROW()-8))</f>
      </c>
      <c r="F4598">
        <f>IF(INDEX(Transactions!$J:$J,ROW()-8)="",0,INDEX(Transactions!$O:$O,ROW()-8))</f>
      </c>
    </row>
    <row r="4599" spans="1:7">
      <c r="B4599">
        <f>IF(INDEX(Transactions!$J:$J,ROW()-8)="",TODAY(),INDEX(Transactions!$G:$G,ROW()-8))</f>
      </c>
      <c r="F4599">
        <f>IF(INDEX(Transactions!$J:$J,ROW()-8)="",0,INDEX(Transactions!$O:$O,ROW()-8))</f>
      </c>
    </row>
    <row r="4600" spans="1:7">
      <c r="B4600">
        <f>IF(INDEX(Transactions!$J:$J,ROW()-8)="",TODAY(),INDEX(Transactions!$G:$G,ROW()-8))</f>
      </c>
      <c r="F4600">
        <f>IF(INDEX(Transactions!$J:$J,ROW()-8)="",0,INDEX(Transactions!$O:$O,ROW()-8))</f>
      </c>
    </row>
    <row r="4601" spans="1:7">
      <c r="B4601">
        <f>IF(INDEX(Transactions!$J:$J,ROW()-8)="",TODAY(),INDEX(Transactions!$G:$G,ROW()-8))</f>
      </c>
      <c r="F4601">
        <f>IF(INDEX(Transactions!$J:$J,ROW()-8)="",0,INDEX(Transactions!$O:$O,ROW()-8))</f>
      </c>
    </row>
    <row r="4602" spans="1:7">
      <c r="B4602">
        <f>IF(INDEX(Transactions!$J:$J,ROW()-8)="",TODAY(),INDEX(Transactions!$G:$G,ROW()-8))</f>
      </c>
      <c r="F4602">
        <f>IF(INDEX(Transactions!$J:$J,ROW()-8)="",0,INDEX(Transactions!$O:$O,ROW()-8))</f>
      </c>
    </row>
    <row r="4603" spans="1:7">
      <c r="B4603">
        <f>IF(INDEX(Transactions!$J:$J,ROW()-8)="",TODAY(),INDEX(Transactions!$G:$G,ROW()-8))</f>
      </c>
      <c r="F4603">
        <f>IF(INDEX(Transactions!$J:$J,ROW()-8)="",0,INDEX(Transactions!$O:$O,ROW()-8))</f>
      </c>
    </row>
    <row r="4604" spans="1:7">
      <c r="B4604">
        <f>IF(INDEX(Transactions!$J:$J,ROW()-8)="",TODAY(),INDEX(Transactions!$G:$G,ROW()-8))</f>
      </c>
      <c r="F4604">
        <f>IF(INDEX(Transactions!$J:$J,ROW()-8)="",0,INDEX(Transactions!$O:$O,ROW()-8))</f>
      </c>
    </row>
    <row r="4605" spans="1:7">
      <c r="B4605">
        <f>IF(INDEX(Transactions!$J:$J,ROW()-8)="",TODAY(),INDEX(Transactions!$G:$G,ROW()-8))</f>
      </c>
      <c r="F4605">
        <f>IF(INDEX(Transactions!$J:$J,ROW()-8)="",0,INDEX(Transactions!$O:$O,ROW()-8))</f>
      </c>
    </row>
    <row r="4606" spans="1:7">
      <c r="B4606">
        <f>IF(INDEX(Transactions!$J:$J,ROW()-8)="",TODAY(),INDEX(Transactions!$G:$G,ROW()-8))</f>
      </c>
      <c r="F4606">
        <f>IF(INDEX(Transactions!$J:$J,ROW()-8)="",0,INDEX(Transactions!$O:$O,ROW()-8))</f>
      </c>
    </row>
    <row r="4607" spans="1:7">
      <c r="B4607">
        <f>IF(INDEX(Transactions!$J:$J,ROW()-8)="",TODAY(),INDEX(Transactions!$G:$G,ROW()-8))</f>
      </c>
      <c r="F4607">
        <f>IF(INDEX(Transactions!$J:$J,ROW()-8)="",0,INDEX(Transactions!$O:$O,ROW()-8))</f>
      </c>
    </row>
    <row r="4608" spans="1:7">
      <c r="B4608">
        <f>IF(INDEX(Transactions!$J:$J,ROW()-8)="",TODAY(),INDEX(Transactions!$G:$G,ROW()-8))</f>
      </c>
      <c r="F4608">
        <f>IF(INDEX(Transactions!$J:$J,ROW()-8)="",0,INDEX(Transactions!$O:$O,ROW()-8))</f>
      </c>
    </row>
    <row r="4609" spans="1:7">
      <c r="B4609">
        <f>IF(INDEX(Transactions!$J:$J,ROW()-8)="",TODAY(),INDEX(Transactions!$G:$G,ROW()-8))</f>
      </c>
      <c r="F4609">
        <f>IF(INDEX(Transactions!$J:$J,ROW()-8)="",0,INDEX(Transactions!$O:$O,ROW()-8))</f>
      </c>
    </row>
    <row r="4610" spans="1:7">
      <c r="B4610">
        <f>IF(INDEX(Transactions!$J:$J,ROW()-8)="",TODAY(),INDEX(Transactions!$G:$G,ROW()-8))</f>
      </c>
      <c r="F4610">
        <f>IF(INDEX(Transactions!$J:$J,ROW()-8)="",0,INDEX(Transactions!$O:$O,ROW()-8))</f>
      </c>
    </row>
    <row r="4611" spans="1:7">
      <c r="B4611">
        <f>IF(INDEX(Transactions!$J:$J,ROW()-8)="",TODAY(),INDEX(Transactions!$G:$G,ROW()-8))</f>
      </c>
      <c r="F4611">
        <f>IF(INDEX(Transactions!$J:$J,ROW()-8)="",0,INDEX(Transactions!$O:$O,ROW()-8))</f>
      </c>
    </row>
    <row r="4612" spans="1:7">
      <c r="B4612">
        <f>IF(INDEX(Transactions!$J:$J,ROW()-8)="",TODAY(),INDEX(Transactions!$G:$G,ROW()-8))</f>
      </c>
      <c r="F4612">
        <f>IF(INDEX(Transactions!$J:$J,ROW()-8)="",0,INDEX(Transactions!$O:$O,ROW()-8))</f>
      </c>
    </row>
    <row r="4613" spans="1:7">
      <c r="B4613">
        <f>IF(INDEX(Transactions!$J:$J,ROW()-8)="",TODAY(),INDEX(Transactions!$G:$G,ROW()-8))</f>
      </c>
      <c r="F4613">
        <f>IF(INDEX(Transactions!$J:$J,ROW()-8)="",0,INDEX(Transactions!$O:$O,ROW()-8))</f>
      </c>
    </row>
    <row r="4614" spans="1:7">
      <c r="B4614">
        <f>IF(INDEX(Transactions!$J:$J,ROW()-8)="",TODAY(),INDEX(Transactions!$G:$G,ROW()-8))</f>
      </c>
      <c r="F4614">
        <f>IF(INDEX(Transactions!$J:$J,ROW()-8)="",0,INDEX(Transactions!$O:$O,ROW()-8))</f>
      </c>
    </row>
    <row r="4615" spans="1:7">
      <c r="B4615">
        <f>IF(INDEX(Transactions!$J:$J,ROW()-8)="",TODAY(),INDEX(Transactions!$G:$G,ROW()-8))</f>
      </c>
      <c r="F4615">
        <f>IF(INDEX(Transactions!$J:$J,ROW()-8)="",0,INDEX(Transactions!$O:$O,ROW()-8))</f>
      </c>
    </row>
    <row r="4616" spans="1:7">
      <c r="B4616">
        <f>IF(INDEX(Transactions!$J:$J,ROW()-8)="",TODAY(),INDEX(Transactions!$G:$G,ROW()-8))</f>
      </c>
      <c r="F4616">
        <f>IF(INDEX(Transactions!$J:$J,ROW()-8)="",0,INDEX(Transactions!$O:$O,ROW()-8))</f>
      </c>
    </row>
    <row r="4617" spans="1:7">
      <c r="B4617">
        <f>IF(INDEX(Transactions!$J:$J,ROW()-8)="",TODAY(),INDEX(Transactions!$G:$G,ROW()-8))</f>
      </c>
      <c r="F4617">
        <f>IF(INDEX(Transactions!$J:$J,ROW()-8)="",0,INDEX(Transactions!$O:$O,ROW()-8))</f>
      </c>
    </row>
    <row r="4618" spans="1:7">
      <c r="B4618">
        <f>IF(INDEX(Transactions!$J:$J,ROW()-8)="",TODAY(),INDEX(Transactions!$G:$G,ROW()-8))</f>
      </c>
      <c r="F4618">
        <f>IF(INDEX(Transactions!$J:$J,ROW()-8)="",0,INDEX(Transactions!$O:$O,ROW()-8))</f>
      </c>
    </row>
    <row r="4619" spans="1:7">
      <c r="B4619">
        <f>IF(INDEX(Transactions!$J:$J,ROW()-8)="",TODAY(),INDEX(Transactions!$G:$G,ROW()-8))</f>
      </c>
      <c r="F4619">
        <f>IF(INDEX(Transactions!$J:$J,ROW()-8)="",0,INDEX(Transactions!$O:$O,ROW()-8))</f>
      </c>
    </row>
    <row r="4620" spans="1:7">
      <c r="B4620">
        <f>IF(INDEX(Transactions!$J:$J,ROW()-8)="",TODAY(),INDEX(Transactions!$G:$G,ROW()-8))</f>
      </c>
      <c r="F4620">
        <f>IF(INDEX(Transactions!$J:$J,ROW()-8)="",0,INDEX(Transactions!$O:$O,ROW()-8))</f>
      </c>
    </row>
    <row r="4621" spans="1:7">
      <c r="B4621">
        <f>IF(INDEX(Transactions!$J:$J,ROW()-8)="",TODAY(),INDEX(Transactions!$G:$G,ROW()-8))</f>
      </c>
      <c r="F4621">
        <f>IF(INDEX(Transactions!$J:$J,ROW()-8)="",0,INDEX(Transactions!$O:$O,ROW()-8))</f>
      </c>
    </row>
    <row r="4622" spans="1:7">
      <c r="B4622">
        <f>IF(INDEX(Transactions!$J:$J,ROW()-8)="",TODAY(),INDEX(Transactions!$G:$G,ROW()-8))</f>
      </c>
      <c r="F4622">
        <f>IF(INDEX(Transactions!$J:$J,ROW()-8)="",0,INDEX(Transactions!$O:$O,ROW()-8))</f>
      </c>
    </row>
    <row r="4623" spans="1:7">
      <c r="B4623">
        <f>IF(INDEX(Transactions!$J:$J,ROW()-8)="",TODAY(),INDEX(Transactions!$G:$G,ROW()-8))</f>
      </c>
      <c r="F4623">
        <f>IF(INDEX(Transactions!$J:$J,ROW()-8)="",0,INDEX(Transactions!$O:$O,ROW()-8))</f>
      </c>
    </row>
    <row r="4624" spans="1:7">
      <c r="B4624">
        <f>IF(INDEX(Transactions!$J:$J,ROW()-8)="",TODAY(),INDEX(Transactions!$G:$G,ROW()-8))</f>
      </c>
      <c r="F4624">
        <f>IF(INDEX(Transactions!$J:$J,ROW()-8)="",0,INDEX(Transactions!$O:$O,ROW()-8))</f>
      </c>
    </row>
    <row r="4625" spans="1:7">
      <c r="B4625">
        <f>IF(INDEX(Transactions!$J:$J,ROW()-8)="",TODAY(),INDEX(Transactions!$G:$G,ROW()-8))</f>
      </c>
      <c r="F4625">
        <f>IF(INDEX(Transactions!$J:$J,ROW()-8)="",0,INDEX(Transactions!$O:$O,ROW()-8))</f>
      </c>
    </row>
    <row r="4626" spans="1:7">
      <c r="B4626">
        <f>IF(INDEX(Transactions!$J:$J,ROW()-8)="",TODAY(),INDEX(Transactions!$G:$G,ROW()-8))</f>
      </c>
      <c r="F4626">
        <f>IF(INDEX(Transactions!$J:$J,ROW()-8)="",0,INDEX(Transactions!$O:$O,ROW()-8))</f>
      </c>
    </row>
    <row r="4627" spans="1:7">
      <c r="B4627">
        <f>IF(INDEX(Transactions!$J:$J,ROW()-8)="",TODAY(),INDEX(Transactions!$G:$G,ROW()-8))</f>
      </c>
      <c r="F4627">
        <f>IF(INDEX(Transactions!$J:$J,ROW()-8)="",0,INDEX(Transactions!$O:$O,ROW()-8))</f>
      </c>
    </row>
    <row r="4628" spans="1:7">
      <c r="B4628">
        <f>IF(INDEX(Transactions!$J:$J,ROW()-8)="",TODAY(),INDEX(Transactions!$G:$G,ROW()-8))</f>
      </c>
      <c r="F4628">
        <f>IF(INDEX(Transactions!$J:$J,ROW()-8)="",0,INDEX(Transactions!$O:$O,ROW()-8))</f>
      </c>
    </row>
    <row r="4629" spans="1:7">
      <c r="B4629">
        <f>IF(INDEX(Transactions!$J:$J,ROW()-8)="",TODAY(),INDEX(Transactions!$G:$G,ROW()-8))</f>
      </c>
      <c r="F4629">
        <f>IF(INDEX(Transactions!$J:$J,ROW()-8)="",0,INDEX(Transactions!$O:$O,ROW()-8))</f>
      </c>
    </row>
    <row r="4630" spans="1:7">
      <c r="B4630">
        <f>IF(INDEX(Transactions!$J:$J,ROW()-8)="",TODAY(),INDEX(Transactions!$G:$G,ROW()-8))</f>
      </c>
      <c r="F4630">
        <f>IF(INDEX(Transactions!$J:$J,ROW()-8)="",0,INDEX(Transactions!$O:$O,ROW()-8))</f>
      </c>
    </row>
    <row r="4631" spans="1:7">
      <c r="B4631">
        <f>IF(INDEX(Transactions!$J:$J,ROW()-8)="",TODAY(),INDEX(Transactions!$G:$G,ROW()-8))</f>
      </c>
      <c r="F4631">
        <f>IF(INDEX(Transactions!$J:$J,ROW()-8)="",0,INDEX(Transactions!$O:$O,ROW()-8))</f>
      </c>
    </row>
    <row r="4632" spans="1:7">
      <c r="B4632">
        <f>IF(INDEX(Transactions!$J:$J,ROW()-8)="",TODAY(),INDEX(Transactions!$G:$G,ROW()-8))</f>
      </c>
      <c r="F4632">
        <f>IF(INDEX(Transactions!$J:$J,ROW()-8)="",0,INDEX(Transactions!$O:$O,ROW()-8))</f>
      </c>
    </row>
    <row r="4633" spans="1:7">
      <c r="B4633">
        <f>IF(INDEX(Transactions!$J:$J,ROW()-8)="",TODAY(),INDEX(Transactions!$G:$G,ROW()-8))</f>
      </c>
      <c r="F4633">
        <f>IF(INDEX(Transactions!$J:$J,ROW()-8)="",0,INDEX(Transactions!$O:$O,ROW()-8))</f>
      </c>
    </row>
    <row r="4634" spans="1:7">
      <c r="B4634">
        <f>IF(INDEX(Transactions!$J:$J,ROW()-8)="",TODAY(),INDEX(Transactions!$G:$G,ROW()-8))</f>
      </c>
      <c r="F4634">
        <f>IF(INDEX(Transactions!$J:$J,ROW()-8)="",0,INDEX(Transactions!$O:$O,ROW()-8))</f>
      </c>
    </row>
    <row r="4635" spans="1:7">
      <c r="B4635">
        <f>IF(INDEX(Transactions!$J:$J,ROW()-8)="",TODAY(),INDEX(Transactions!$G:$G,ROW()-8))</f>
      </c>
      <c r="F4635">
        <f>IF(INDEX(Transactions!$J:$J,ROW()-8)="",0,INDEX(Transactions!$O:$O,ROW()-8))</f>
      </c>
    </row>
    <row r="4636" spans="1:7">
      <c r="B4636">
        <f>IF(INDEX(Transactions!$J:$J,ROW()-8)="",TODAY(),INDEX(Transactions!$G:$G,ROW()-8))</f>
      </c>
      <c r="F4636">
        <f>IF(INDEX(Transactions!$J:$J,ROW()-8)="",0,INDEX(Transactions!$O:$O,ROW()-8))</f>
      </c>
    </row>
    <row r="4637" spans="1:7">
      <c r="B4637">
        <f>IF(INDEX(Transactions!$J:$J,ROW()-8)="",TODAY(),INDEX(Transactions!$G:$G,ROW()-8))</f>
      </c>
      <c r="F4637">
        <f>IF(INDEX(Transactions!$J:$J,ROW()-8)="",0,INDEX(Transactions!$O:$O,ROW()-8))</f>
      </c>
    </row>
    <row r="4638" spans="1:7">
      <c r="B4638">
        <f>IF(INDEX(Transactions!$J:$J,ROW()-8)="",TODAY(),INDEX(Transactions!$G:$G,ROW()-8))</f>
      </c>
      <c r="F4638">
        <f>IF(INDEX(Transactions!$J:$J,ROW()-8)="",0,INDEX(Transactions!$O:$O,ROW()-8))</f>
      </c>
    </row>
    <row r="4639" spans="1:7">
      <c r="B4639">
        <f>IF(INDEX(Transactions!$J:$J,ROW()-8)="",TODAY(),INDEX(Transactions!$G:$G,ROW()-8))</f>
      </c>
      <c r="F4639">
        <f>IF(INDEX(Transactions!$J:$J,ROW()-8)="",0,INDEX(Transactions!$O:$O,ROW()-8))</f>
      </c>
    </row>
    <row r="4640" spans="1:7">
      <c r="B4640">
        <f>IF(INDEX(Transactions!$J:$J,ROW()-8)="",TODAY(),INDEX(Transactions!$G:$G,ROW()-8))</f>
      </c>
      <c r="F4640">
        <f>IF(INDEX(Transactions!$J:$J,ROW()-8)="",0,INDEX(Transactions!$O:$O,ROW()-8))</f>
      </c>
    </row>
    <row r="4641" spans="1:7">
      <c r="B4641">
        <f>IF(INDEX(Transactions!$J:$J,ROW()-8)="",TODAY(),INDEX(Transactions!$G:$G,ROW()-8))</f>
      </c>
      <c r="F4641">
        <f>IF(INDEX(Transactions!$J:$J,ROW()-8)="",0,INDEX(Transactions!$O:$O,ROW()-8))</f>
      </c>
    </row>
    <row r="4642" spans="1:7">
      <c r="B4642">
        <f>IF(INDEX(Transactions!$J:$J,ROW()-8)="",TODAY(),INDEX(Transactions!$G:$G,ROW()-8))</f>
      </c>
      <c r="F4642">
        <f>IF(INDEX(Transactions!$J:$J,ROW()-8)="",0,INDEX(Transactions!$O:$O,ROW()-8))</f>
      </c>
    </row>
    <row r="4643" spans="1:7">
      <c r="B4643">
        <f>IF(INDEX(Transactions!$J:$J,ROW()-8)="",TODAY(),INDEX(Transactions!$G:$G,ROW()-8))</f>
      </c>
      <c r="F4643">
        <f>IF(INDEX(Transactions!$J:$J,ROW()-8)="",0,INDEX(Transactions!$O:$O,ROW()-8))</f>
      </c>
    </row>
    <row r="4644" spans="1:7">
      <c r="B4644">
        <f>IF(INDEX(Transactions!$J:$J,ROW()-8)="",TODAY(),INDEX(Transactions!$G:$G,ROW()-8))</f>
      </c>
      <c r="F4644">
        <f>IF(INDEX(Transactions!$J:$J,ROW()-8)="",0,INDEX(Transactions!$O:$O,ROW()-8))</f>
      </c>
    </row>
    <row r="4645" spans="1:7">
      <c r="B4645">
        <f>IF(INDEX(Transactions!$J:$J,ROW()-8)="",TODAY(),INDEX(Transactions!$G:$G,ROW()-8))</f>
      </c>
      <c r="F4645">
        <f>IF(INDEX(Transactions!$J:$J,ROW()-8)="",0,INDEX(Transactions!$O:$O,ROW()-8))</f>
      </c>
    </row>
    <row r="4646" spans="1:7">
      <c r="B4646">
        <f>IF(INDEX(Transactions!$J:$J,ROW()-8)="",TODAY(),INDEX(Transactions!$G:$G,ROW()-8))</f>
      </c>
      <c r="F4646">
        <f>IF(INDEX(Transactions!$J:$J,ROW()-8)="",0,INDEX(Transactions!$O:$O,ROW()-8))</f>
      </c>
    </row>
    <row r="4647" spans="1:7">
      <c r="B4647">
        <f>IF(INDEX(Transactions!$J:$J,ROW()-8)="",TODAY(),INDEX(Transactions!$G:$G,ROW()-8))</f>
      </c>
      <c r="F4647">
        <f>IF(INDEX(Transactions!$J:$J,ROW()-8)="",0,INDEX(Transactions!$O:$O,ROW()-8))</f>
      </c>
    </row>
    <row r="4648" spans="1:7">
      <c r="B4648">
        <f>IF(INDEX(Transactions!$J:$J,ROW()-8)="",TODAY(),INDEX(Transactions!$G:$G,ROW()-8))</f>
      </c>
      <c r="F4648">
        <f>IF(INDEX(Transactions!$J:$J,ROW()-8)="",0,INDEX(Transactions!$O:$O,ROW()-8))</f>
      </c>
    </row>
    <row r="4649" spans="1:7">
      <c r="B4649">
        <f>IF(INDEX(Transactions!$J:$J,ROW()-8)="",TODAY(),INDEX(Transactions!$G:$G,ROW()-8))</f>
      </c>
      <c r="F4649">
        <f>IF(INDEX(Transactions!$J:$J,ROW()-8)="",0,INDEX(Transactions!$O:$O,ROW()-8))</f>
      </c>
    </row>
    <row r="4650" spans="1:7">
      <c r="B4650">
        <f>IF(INDEX(Transactions!$J:$J,ROW()-8)="",TODAY(),INDEX(Transactions!$G:$G,ROW()-8))</f>
      </c>
      <c r="F4650">
        <f>IF(INDEX(Transactions!$J:$J,ROW()-8)="",0,INDEX(Transactions!$O:$O,ROW()-8))</f>
      </c>
    </row>
    <row r="4651" spans="1:7">
      <c r="B4651">
        <f>IF(INDEX(Transactions!$J:$J,ROW()-8)="",TODAY(),INDEX(Transactions!$G:$G,ROW()-8))</f>
      </c>
      <c r="F4651">
        <f>IF(INDEX(Transactions!$J:$J,ROW()-8)="",0,INDEX(Transactions!$O:$O,ROW()-8))</f>
      </c>
    </row>
    <row r="4652" spans="1:7">
      <c r="B4652">
        <f>IF(INDEX(Transactions!$J:$J,ROW()-8)="",TODAY(),INDEX(Transactions!$G:$G,ROW()-8))</f>
      </c>
      <c r="F4652">
        <f>IF(INDEX(Transactions!$J:$J,ROW()-8)="",0,INDEX(Transactions!$O:$O,ROW()-8))</f>
      </c>
    </row>
    <row r="4653" spans="1:7">
      <c r="B4653">
        <f>IF(INDEX(Transactions!$J:$J,ROW()-8)="",TODAY(),INDEX(Transactions!$G:$G,ROW()-8))</f>
      </c>
      <c r="F4653">
        <f>IF(INDEX(Transactions!$J:$J,ROW()-8)="",0,INDEX(Transactions!$O:$O,ROW()-8))</f>
      </c>
    </row>
    <row r="4654" spans="1:7">
      <c r="B4654">
        <f>IF(INDEX(Transactions!$J:$J,ROW()-8)="",TODAY(),INDEX(Transactions!$G:$G,ROW()-8))</f>
      </c>
      <c r="F4654">
        <f>IF(INDEX(Transactions!$J:$J,ROW()-8)="",0,INDEX(Transactions!$O:$O,ROW()-8))</f>
      </c>
    </row>
    <row r="4655" spans="1:7">
      <c r="B4655">
        <f>IF(INDEX(Transactions!$J:$J,ROW()-8)="",TODAY(),INDEX(Transactions!$G:$G,ROW()-8))</f>
      </c>
      <c r="F4655">
        <f>IF(INDEX(Transactions!$J:$J,ROW()-8)="",0,INDEX(Transactions!$O:$O,ROW()-8))</f>
      </c>
    </row>
    <row r="4656" spans="1:7">
      <c r="B4656">
        <f>IF(INDEX(Transactions!$J:$J,ROW()-8)="",TODAY(),INDEX(Transactions!$G:$G,ROW()-8))</f>
      </c>
      <c r="F4656">
        <f>IF(INDEX(Transactions!$J:$J,ROW()-8)="",0,INDEX(Transactions!$O:$O,ROW()-8))</f>
      </c>
    </row>
    <row r="4657" spans="1:7">
      <c r="B4657">
        <f>IF(INDEX(Transactions!$J:$J,ROW()-8)="",TODAY(),INDEX(Transactions!$G:$G,ROW()-8))</f>
      </c>
      <c r="F4657">
        <f>IF(INDEX(Transactions!$J:$J,ROW()-8)="",0,INDEX(Transactions!$O:$O,ROW()-8))</f>
      </c>
    </row>
    <row r="4658" spans="1:7">
      <c r="B4658">
        <f>IF(INDEX(Transactions!$J:$J,ROW()-8)="",TODAY(),INDEX(Transactions!$G:$G,ROW()-8))</f>
      </c>
      <c r="F4658">
        <f>IF(INDEX(Transactions!$J:$J,ROW()-8)="",0,INDEX(Transactions!$O:$O,ROW()-8))</f>
      </c>
    </row>
    <row r="4659" spans="1:7">
      <c r="B4659">
        <f>IF(INDEX(Transactions!$J:$J,ROW()-8)="",TODAY(),INDEX(Transactions!$G:$G,ROW()-8))</f>
      </c>
      <c r="F4659">
        <f>IF(INDEX(Transactions!$J:$J,ROW()-8)="",0,INDEX(Transactions!$O:$O,ROW()-8))</f>
      </c>
    </row>
    <row r="4660" spans="1:7">
      <c r="B4660">
        <f>IF(INDEX(Transactions!$J:$J,ROW()-8)="",TODAY(),INDEX(Transactions!$G:$G,ROW()-8))</f>
      </c>
      <c r="F4660">
        <f>IF(INDEX(Transactions!$J:$J,ROW()-8)="",0,INDEX(Transactions!$O:$O,ROW()-8))</f>
      </c>
    </row>
    <row r="4661" spans="1:7">
      <c r="B4661">
        <f>IF(INDEX(Transactions!$J:$J,ROW()-8)="",TODAY(),INDEX(Transactions!$G:$G,ROW()-8))</f>
      </c>
      <c r="F4661">
        <f>IF(INDEX(Transactions!$J:$J,ROW()-8)="",0,INDEX(Transactions!$O:$O,ROW()-8))</f>
      </c>
    </row>
    <row r="4662" spans="1:7">
      <c r="B4662">
        <f>IF(INDEX(Transactions!$J:$J,ROW()-8)="",TODAY(),INDEX(Transactions!$G:$G,ROW()-8))</f>
      </c>
      <c r="F4662">
        <f>IF(INDEX(Transactions!$J:$J,ROW()-8)="",0,INDEX(Transactions!$O:$O,ROW()-8))</f>
      </c>
    </row>
    <row r="4663" spans="1:7">
      <c r="B4663">
        <f>IF(INDEX(Transactions!$J:$J,ROW()-8)="",TODAY(),INDEX(Transactions!$G:$G,ROW()-8))</f>
      </c>
      <c r="F4663">
        <f>IF(INDEX(Transactions!$J:$J,ROW()-8)="",0,INDEX(Transactions!$O:$O,ROW()-8))</f>
      </c>
    </row>
    <row r="4664" spans="1:7">
      <c r="B4664">
        <f>IF(INDEX(Transactions!$J:$J,ROW()-8)="",TODAY(),INDEX(Transactions!$G:$G,ROW()-8))</f>
      </c>
      <c r="F4664">
        <f>IF(INDEX(Transactions!$J:$J,ROW()-8)="",0,INDEX(Transactions!$O:$O,ROW()-8))</f>
      </c>
    </row>
    <row r="4665" spans="1:7">
      <c r="B4665">
        <f>IF(INDEX(Transactions!$J:$J,ROW()-8)="",TODAY(),INDEX(Transactions!$G:$G,ROW()-8))</f>
      </c>
      <c r="F4665">
        <f>IF(INDEX(Transactions!$J:$J,ROW()-8)="",0,INDEX(Transactions!$O:$O,ROW()-8))</f>
      </c>
    </row>
    <row r="4666" spans="1:7">
      <c r="B4666">
        <f>IF(INDEX(Transactions!$J:$J,ROW()-8)="",TODAY(),INDEX(Transactions!$G:$G,ROW()-8))</f>
      </c>
      <c r="F4666">
        <f>IF(INDEX(Transactions!$J:$J,ROW()-8)="",0,INDEX(Transactions!$O:$O,ROW()-8))</f>
      </c>
    </row>
    <row r="4667" spans="1:7">
      <c r="B4667">
        <f>IF(INDEX(Transactions!$J:$J,ROW()-8)="",TODAY(),INDEX(Transactions!$G:$G,ROW()-8))</f>
      </c>
      <c r="F4667">
        <f>IF(INDEX(Transactions!$J:$J,ROW()-8)="",0,INDEX(Transactions!$O:$O,ROW()-8))</f>
      </c>
    </row>
    <row r="4668" spans="1:7">
      <c r="B4668">
        <f>IF(INDEX(Transactions!$J:$J,ROW()-8)="",TODAY(),INDEX(Transactions!$G:$G,ROW()-8))</f>
      </c>
      <c r="F4668">
        <f>IF(INDEX(Transactions!$J:$J,ROW()-8)="",0,INDEX(Transactions!$O:$O,ROW()-8))</f>
      </c>
    </row>
    <row r="4669" spans="1:7">
      <c r="B4669">
        <f>IF(INDEX(Transactions!$J:$J,ROW()-8)="",TODAY(),INDEX(Transactions!$G:$G,ROW()-8))</f>
      </c>
      <c r="F4669">
        <f>IF(INDEX(Transactions!$J:$J,ROW()-8)="",0,INDEX(Transactions!$O:$O,ROW()-8))</f>
      </c>
    </row>
    <row r="4670" spans="1:7">
      <c r="B4670">
        <f>IF(INDEX(Transactions!$J:$J,ROW()-8)="",TODAY(),INDEX(Transactions!$G:$G,ROW()-8))</f>
      </c>
      <c r="F4670">
        <f>IF(INDEX(Transactions!$J:$J,ROW()-8)="",0,INDEX(Transactions!$O:$O,ROW()-8))</f>
      </c>
    </row>
    <row r="4671" spans="1:7">
      <c r="B4671">
        <f>IF(INDEX(Transactions!$J:$J,ROW()-8)="",TODAY(),INDEX(Transactions!$G:$G,ROW()-8))</f>
      </c>
      <c r="F4671">
        <f>IF(INDEX(Transactions!$J:$J,ROW()-8)="",0,INDEX(Transactions!$O:$O,ROW()-8))</f>
      </c>
    </row>
    <row r="4672" spans="1:7">
      <c r="B4672">
        <f>IF(INDEX(Transactions!$J:$J,ROW()-8)="",TODAY(),INDEX(Transactions!$G:$G,ROW()-8))</f>
      </c>
      <c r="F4672">
        <f>IF(INDEX(Transactions!$J:$J,ROW()-8)="",0,INDEX(Transactions!$O:$O,ROW()-8))</f>
      </c>
    </row>
    <row r="4673" spans="1:7">
      <c r="B4673">
        <f>IF(INDEX(Transactions!$J:$J,ROW()-8)="",TODAY(),INDEX(Transactions!$G:$G,ROW()-8))</f>
      </c>
      <c r="F4673">
        <f>IF(INDEX(Transactions!$J:$J,ROW()-8)="",0,INDEX(Transactions!$O:$O,ROW()-8))</f>
      </c>
    </row>
    <row r="4674" spans="1:7">
      <c r="B4674">
        <f>IF(INDEX(Transactions!$J:$J,ROW()-8)="",TODAY(),INDEX(Transactions!$G:$G,ROW()-8))</f>
      </c>
      <c r="F4674">
        <f>IF(INDEX(Transactions!$J:$J,ROW()-8)="",0,INDEX(Transactions!$O:$O,ROW()-8))</f>
      </c>
    </row>
    <row r="4675" spans="1:7">
      <c r="B4675">
        <f>IF(INDEX(Transactions!$J:$J,ROW()-8)="",TODAY(),INDEX(Transactions!$G:$G,ROW()-8))</f>
      </c>
      <c r="F4675">
        <f>IF(INDEX(Transactions!$J:$J,ROW()-8)="",0,INDEX(Transactions!$O:$O,ROW()-8))</f>
      </c>
    </row>
    <row r="4676" spans="1:7">
      <c r="B4676">
        <f>IF(INDEX(Transactions!$J:$J,ROW()-8)="",TODAY(),INDEX(Transactions!$G:$G,ROW()-8))</f>
      </c>
      <c r="F4676">
        <f>IF(INDEX(Transactions!$J:$J,ROW()-8)="",0,INDEX(Transactions!$O:$O,ROW()-8))</f>
      </c>
    </row>
    <row r="4677" spans="1:7">
      <c r="B4677">
        <f>IF(INDEX(Transactions!$J:$J,ROW()-8)="",TODAY(),INDEX(Transactions!$G:$G,ROW()-8))</f>
      </c>
      <c r="F4677">
        <f>IF(INDEX(Transactions!$J:$J,ROW()-8)="",0,INDEX(Transactions!$O:$O,ROW()-8))</f>
      </c>
    </row>
    <row r="4678" spans="1:7">
      <c r="B4678">
        <f>IF(INDEX(Transactions!$J:$J,ROW()-8)="",TODAY(),INDEX(Transactions!$G:$G,ROW()-8))</f>
      </c>
      <c r="F4678">
        <f>IF(INDEX(Transactions!$J:$J,ROW()-8)="",0,INDEX(Transactions!$O:$O,ROW()-8))</f>
      </c>
    </row>
    <row r="4679" spans="1:7">
      <c r="B4679">
        <f>IF(INDEX(Transactions!$J:$J,ROW()-8)="",TODAY(),INDEX(Transactions!$G:$G,ROW()-8))</f>
      </c>
      <c r="F4679">
        <f>IF(INDEX(Transactions!$J:$J,ROW()-8)="",0,INDEX(Transactions!$O:$O,ROW()-8))</f>
      </c>
    </row>
    <row r="4680" spans="1:7">
      <c r="B4680">
        <f>IF(INDEX(Transactions!$J:$J,ROW()-8)="",TODAY(),INDEX(Transactions!$G:$G,ROW()-8))</f>
      </c>
      <c r="F4680">
        <f>IF(INDEX(Transactions!$J:$J,ROW()-8)="",0,INDEX(Transactions!$O:$O,ROW()-8))</f>
      </c>
    </row>
    <row r="4681" spans="1:7">
      <c r="B4681">
        <f>IF(INDEX(Transactions!$J:$J,ROW()-8)="",TODAY(),INDEX(Transactions!$G:$G,ROW()-8))</f>
      </c>
      <c r="F4681">
        <f>IF(INDEX(Transactions!$J:$J,ROW()-8)="",0,INDEX(Transactions!$O:$O,ROW()-8))</f>
      </c>
    </row>
    <row r="4682" spans="1:7">
      <c r="B4682">
        <f>IF(INDEX(Transactions!$J:$J,ROW()-8)="",TODAY(),INDEX(Transactions!$G:$G,ROW()-8))</f>
      </c>
      <c r="F4682">
        <f>IF(INDEX(Transactions!$J:$J,ROW()-8)="",0,INDEX(Transactions!$O:$O,ROW()-8))</f>
      </c>
    </row>
    <row r="4683" spans="1:7">
      <c r="B4683">
        <f>IF(INDEX(Transactions!$J:$J,ROW()-8)="",TODAY(),INDEX(Transactions!$G:$G,ROW()-8))</f>
      </c>
      <c r="F4683">
        <f>IF(INDEX(Transactions!$J:$J,ROW()-8)="",0,INDEX(Transactions!$O:$O,ROW()-8))</f>
      </c>
    </row>
    <row r="4684" spans="1:7">
      <c r="B4684">
        <f>IF(INDEX(Transactions!$J:$J,ROW()-8)="",TODAY(),INDEX(Transactions!$G:$G,ROW()-8))</f>
      </c>
      <c r="F4684">
        <f>IF(INDEX(Transactions!$J:$J,ROW()-8)="",0,INDEX(Transactions!$O:$O,ROW()-8))</f>
      </c>
    </row>
    <row r="4685" spans="1:7">
      <c r="B4685">
        <f>IF(INDEX(Transactions!$J:$J,ROW()-8)="",TODAY(),INDEX(Transactions!$G:$G,ROW()-8))</f>
      </c>
      <c r="F4685">
        <f>IF(INDEX(Transactions!$J:$J,ROW()-8)="",0,INDEX(Transactions!$O:$O,ROW()-8))</f>
      </c>
    </row>
    <row r="4686" spans="1:7">
      <c r="B4686">
        <f>IF(INDEX(Transactions!$J:$J,ROW()-8)="",TODAY(),INDEX(Transactions!$G:$G,ROW()-8))</f>
      </c>
      <c r="F4686">
        <f>IF(INDEX(Transactions!$J:$J,ROW()-8)="",0,INDEX(Transactions!$O:$O,ROW()-8))</f>
      </c>
    </row>
    <row r="4687" spans="1:7">
      <c r="B4687">
        <f>IF(INDEX(Transactions!$J:$J,ROW()-8)="",TODAY(),INDEX(Transactions!$G:$G,ROW()-8))</f>
      </c>
      <c r="F4687">
        <f>IF(INDEX(Transactions!$J:$J,ROW()-8)="",0,INDEX(Transactions!$O:$O,ROW()-8))</f>
      </c>
    </row>
    <row r="4688" spans="1:7">
      <c r="B4688">
        <f>IF(INDEX(Transactions!$J:$J,ROW()-8)="",TODAY(),INDEX(Transactions!$G:$G,ROW()-8))</f>
      </c>
      <c r="F4688">
        <f>IF(INDEX(Transactions!$J:$J,ROW()-8)="",0,INDEX(Transactions!$O:$O,ROW()-8))</f>
      </c>
    </row>
    <row r="4689" spans="1:7">
      <c r="B4689">
        <f>IF(INDEX(Transactions!$J:$J,ROW()-8)="",TODAY(),INDEX(Transactions!$G:$G,ROW()-8))</f>
      </c>
      <c r="F4689">
        <f>IF(INDEX(Transactions!$J:$J,ROW()-8)="",0,INDEX(Transactions!$O:$O,ROW()-8))</f>
      </c>
    </row>
    <row r="4690" spans="1:7">
      <c r="B4690">
        <f>IF(INDEX(Transactions!$J:$J,ROW()-8)="",TODAY(),INDEX(Transactions!$G:$G,ROW()-8))</f>
      </c>
      <c r="F4690">
        <f>IF(INDEX(Transactions!$J:$J,ROW()-8)="",0,INDEX(Transactions!$O:$O,ROW()-8))</f>
      </c>
    </row>
    <row r="4691" spans="1:7">
      <c r="B4691">
        <f>IF(INDEX(Transactions!$J:$J,ROW()-8)="",TODAY(),INDEX(Transactions!$G:$G,ROW()-8))</f>
      </c>
      <c r="F4691">
        <f>IF(INDEX(Transactions!$J:$J,ROW()-8)="",0,INDEX(Transactions!$O:$O,ROW()-8))</f>
      </c>
    </row>
    <row r="4692" spans="1:7">
      <c r="B4692">
        <f>IF(INDEX(Transactions!$J:$J,ROW()-8)="",TODAY(),INDEX(Transactions!$G:$G,ROW()-8))</f>
      </c>
      <c r="F4692">
        <f>IF(INDEX(Transactions!$J:$J,ROW()-8)="",0,INDEX(Transactions!$O:$O,ROW()-8))</f>
      </c>
    </row>
    <row r="4693" spans="1:7">
      <c r="B4693">
        <f>IF(INDEX(Transactions!$J:$J,ROW()-8)="",TODAY(),INDEX(Transactions!$G:$G,ROW()-8))</f>
      </c>
      <c r="F4693">
        <f>IF(INDEX(Transactions!$J:$J,ROW()-8)="",0,INDEX(Transactions!$O:$O,ROW()-8))</f>
      </c>
    </row>
    <row r="4694" spans="1:7">
      <c r="B4694">
        <f>IF(INDEX(Transactions!$J:$J,ROW()-8)="",TODAY(),INDEX(Transactions!$G:$G,ROW()-8))</f>
      </c>
      <c r="F4694">
        <f>IF(INDEX(Transactions!$J:$J,ROW()-8)="",0,INDEX(Transactions!$O:$O,ROW()-8))</f>
      </c>
    </row>
    <row r="4695" spans="1:7">
      <c r="B4695">
        <f>IF(INDEX(Transactions!$J:$J,ROW()-8)="",TODAY(),INDEX(Transactions!$G:$G,ROW()-8))</f>
      </c>
      <c r="F4695">
        <f>IF(INDEX(Transactions!$J:$J,ROW()-8)="",0,INDEX(Transactions!$O:$O,ROW()-8))</f>
      </c>
    </row>
    <row r="4696" spans="1:7">
      <c r="B4696">
        <f>IF(INDEX(Transactions!$J:$J,ROW()-8)="",TODAY(),INDEX(Transactions!$G:$G,ROW()-8))</f>
      </c>
      <c r="F4696">
        <f>IF(INDEX(Transactions!$J:$J,ROW()-8)="",0,INDEX(Transactions!$O:$O,ROW()-8))</f>
      </c>
    </row>
    <row r="4697" spans="1:7">
      <c r="B4697">
        <f>IF(INDEX(Transactions!$J:$J,ROW()-8)="",TODAY(),INDEX(Transactions!$G:$G,ROW()-8))</f>
      </c>
      <c r="F4697">
        <f>IF(INDEX(Transactions!$J:$J,ROW()-8)="",0,INDEX(Transactions!$O:$O,ROW()-8))</f>
      </c>
    </row>
    <row r="4698" spans="1:7">
      <c r="B4698">
        <f>IF(INDEX(Transactions!$J:$J,ROW()-8)="",TODAY(),INDEX(Transactions!$G:$G,ROW()-8))</f>
      </c>
      <c r="F4698">
        <f>IF(INDEX(Transactions!$J:$J,ROW()-8)="",0,INDEX(Transactions!$O:$O,ROW()-8))</f>
      </c>
    </row>
    <row r="4699" spans="1:7">
      <c r="B4699">
        <f>IF(INDEX(Transactions!$J:$J,ROW()-8)="",TODAY(),INDEX(Transactions!$G:$G,ROW()-8))</f>
      </c>
      <c r="F4699">
        <f>IF(INDEX(Transactions!$J:$J,ROW()-8)="",0,INDEX(Transactions!$O:$O,ROW()-8))</f>
      </c>
    </row>
    <row r="4700" spans="1:7">
      <c r="B4700">
        <f>IF(INDEX(Transactions!$J:$J,ROW()-8)="",TODAY(),INDEX(Transactions!$G:$G,ROW()-8))</f>
      </c>
      <c r="F4700">
        <f>IF(INDEX(Transactions!$J:$J,ROW()-8)="",0,INDEX(Transactions!$O:$O,ROW()-8))</f>
      </c>
    </row>
    <row r="4701" spans="1:7">
      <c r="B4701">
        <f>IF(INDEX(Transactions!$J:$J,ROW()-8)="",TODAY(),INDEX(Transactions!$G:$G,ROW()-8))</f>
      </c>
      <c r="F4701">
        <f>IF(INDEX(Transactions!$J:$J,ROW()-8)="",0,INDEX(Transactions!$O:$O,ROW()-8))</f>
      </c>
    </row>
    <row r="4702" spans="1:7">
      <c r="B4702">
        <f>IF(INDEX(Transactions!$J:$J,ROW()-8)="",TODAY(),INDEX(Transactions!$G:$G,ROW()-8))</f>
      </c>
      <c r="F4702">
        <f>IF(INDEX(Transactions!$J:$J,ROW()-8)="",0,INDEX(Transactions!$O:$O,ROW()-8))</f>
      </c>
    </row>
    <row r="4703" spans="1:7">
      <c r="B4703">
        <f>IF(INDEX(Transactions!$J:$J,ROW()-8)="",TODAY(),INDEX(Transactions!$G:$G,ROW()-8))</f>
      </c>
      <c r="F4703">
        <f>IF(INDEX(Transactions!$J:$J,ROW()-8)="",0,INDEX(Transactions!$O:$O,ROW()-8))</f>
      </c>
    </row>
    <row r="4704" spans="1:7">
      <c r="B4704">
        <f>IF(INDEX(Transactions!$J:$J,ROW()-8)="",TODAY(),INDEX(Transactions!$G:$G,ROW()-8))</f>
      </c>
      <c r="F4704">
        <f>IF(INDEX(Transactions!$J:$J,ROW()-8)="",0,INDEX(Transactions!$O:$O,ROW()-8))</f>
      </c>
    </row>
    <row r="4705" spans="1:7">
      <c r="B4705">
        <f>IF(INDEX(Transactions!$J:$J,ROW()-8)="",TODAY(),INDEX(Transactions!$G:$G,ROW()-8))</f>
      </c>
      <c r="F4705">
        <f>IF(INDEX(Transactions!$J:$J,ROW()-8)="",0,INDEX(Transactions!$O:$O,ROW()-8))</f>
      </c>
    </row>
    <row r="4706" spans="1:7">
      <c r="B4706">
        <f>IF(INDEX(Transactions!$J:$J,ROW()-8)="",TODAY(),INDEX(Transactions!$G:$G,ROW()-8))</f>
      </c>
      <c r="F4706">
        <f>IF(INDEX(Transactions!$J:$J,ROW()-8)="",0,INDEX(Transactions!$O:$O,ROW()-8))</f>
      </c>
    </row>
    <row r="4707" spans="1:7">
      <c r="B4707">
        <f>IF(INDEX(Transactions!$J:$J,ROW()-8)="",TODAY(),INDEX(Transactions!$G:$G,ROW()-8))</f>
      </c>
      <c r="F4707">
        <f>IF(INDEX(Transactions!$J:$J,ROW()-8)="",0,INDEX(Transactions!$O:$O,ROW()-8))</f>
      </c>
    </row>
    <row r="4708" spans="1:7">
      <c r="B4708">
        <f>IF(INDEX(Transactions!$J:$J,ROW()-8)="",TODAY(),INDEX(Transactions!$G:$G,ROW()-8))</f>
      </c>
      <c r="F4708">
        <f>IF(INDEX(Transactions!$J:$J,ROW()-8)="",0,INDEX(Transactions!$O:$O,ROW()-8))</f>
      </c>
    </row>
    <row r="4709" spans="1:7">
      <c r="B4709">
        <f>IF(INDEX(Transactions!$J:$J,ROW()-8)="",TODAY(),INDEX(Transactions!$G:$G,ROW()-8))</f>
      </c>
      <c r="F4709">
        <f>IF(INDEX(Transactions!$J:$J,ROW()-8)="",0,INDEX(Transactions!$O:$O,ROW()-8))</f>
      </c>
    </row>
    <row r="4710" spans="1:7">
      <c r="B4710">
        <f>IF(INDEX(Transactions!$J:$J,ROW()-8)="",TODAY(),INDEX(Transactions!$G:$G,ROW()-8))</f>
      </c>
      <c r="F4710">
        <f>IF(INDEX(Transactions!$J:$J,ROW()-8)="",0,INDEX(Transactions!$O:$O,ROW()-8))</f>
      </c>
    </row>
    <row r="4711" spans="1:7">
      <c r="B4711">
        <f>IF(INDEX(Transactions!$J:$J,ROW()-8)="",TODAY(),INDEX(Transactions!$G:$G,ROW()-8))</f>
      </c>
      <c r="F4711">
        <f>IF(INDEX(Transactions!$J:$J,ROW()-8)="",0,INDEX(Transactions!$O:$O,ROW()-8))</f>
      </c>
    </row>
    <row r="4712" spans="1:7">
      <c r="B4712">
        <f>IF(INDEX(Transactions!$J:$J,ROW()-8)="",TODAY(),INDEX(Transactions!$G:$G,ROW()-8))</f>
      </c>
      <c r="F4712">
        <f>IF(INDEX(Transactions!$J:$J,ROW()-8)="",0,INDEX(Transactions!$O:$O,ROW()-8))</f>
      </c>
    </row>
    <row r="4713" spans="1:7">
      <c r="B4713">
        <f>IF(INDEX(Transactions!$J:$J,ROW()-8)="",TODAY(),INDEX(Transactions!$G:$G,ROW()-8))</f>
      </c>
      <c r="F4713">
        <f>IF(INDEX(Transactions!$J:$J,ROW()-8)="",0,INDEX(Transactions!$O:$O,ROW()-8))</f>
      </c>
    </row>
    <row r="4714" spans="1:7">
      <c r="B4714">
        <f>IF(INDEX(Transactions!$J:$J,ROW()-8)="",TODAY(),INDEX(Transactions!$G:$G,ROW()-8))</f>
      </c>
      <c r="F4714">
        <f>IF(INDEX(Transactions!$J:$J,ROW()-8)="",0,INDEX(Transactions!$O:$O,ROW()-8))</f>
      </c>
    </row>
    <row r="4715" spans="1:7">
      <c r="B4715">
        <f>IF(INDEX(Transactions!$J:$J,ROW()-8)="",TODAY(),INDEX(Transactions!$G:$G,ROW()-8))</f>
      </c>
      <c r="F4715">
        <f>IF(INDEX(Transactions!$J:$J,ROW()-8)="",0,INDEX(Transactions!$O:$O,ROW()-8))</f>
      </c>
    </row>
    <row r="4716" spans="1:7">
      <c r="B4716">
        <f>IF(INDEX(Transactions!$J:$J,ROW()-8)="",TODAY(),INDEX(Transactions!$G:$G,ROW()-8))</f>
      </c>
      <c r="F4716">
        <f>IF(INDEX(Transactions!$J:$J,ROW()-8)="",0,INDEX(Transactions!$O:$O,ROW()-8))</f>
      </c>
    </row>
    <row r="4717" spans="1:7">
      <c r="B4717">
        <f>IF(INDEX(Transactions!$J:$J,ROW()-8)="",TODAY(),INDEX(Transactions!$G:$G,ROW()-8))</f>
      </c>
      <c r="F4717">
        <f>IF(INDEX(Transactions!$J:$J,ROW()-8)="",0,INDEX(Transactions!$O:$O,ROW()-8))</f>
      </c>
    </row>
    <row r="4718" spans="1:7">
      <c r="B4718">
        <f>IF(INDEX(Transactions!$J:$J,ROW()-8)="",TODAY(),INDEX(Transactions!$G:$G,ROW()-8))</f>
      </c>
      <c r="F4718">
        <f>IF(INDEX(Transactions!$J:$J,ROW()-8)="",0,INDEX(Transactions!$O:$O,ROW()-8))</f>
      </c>
    </row>
    <row r="4719" spans="1:7">
      <c r="B4719">
        <f>IF(INDEX(Transactions!$J:$J,ROW()-8)="",TODAY(),INDEX(Transactions!$G:$G,ROW()-8))</f>
      </c>
      <c r="F4719">
        <f>IF(INDEX(Transactions!$J:$J,ROW()-8)="",0,INDEX(Transactions!$O:$O,ROW()-8))</f>
      </c>
    </row>
    <row r="4720" spans="1:7">
      <c r="B4720">
        <f>IF(INDEX(Transactions!$J:$J,ROW()-8)="",TODAY(),INDEX(Transactions!$G:$G,ROW()-8))</f>
      </c>
      <c r="F4720">
        <f>IF(INDEX(Transactions!$J:$J,ROW()-8)="",0,INDEX(Transactions!$O:$O,ROW()-8))</f>
      </c>
    </row>
    <row r="4721" spans="1:7">
      <c r="B4721">
        <f>IF(INDEX(Transactions!$J:$J,ROW()-8)="",TODAY(),INDEX(Transactions!$G:$G,ROW()-8))</f>
      </c>
      <c r="F4721">
        <f>IF(INDEX(Transactions!$J:$J,ROW()-8)="",0,INDEX(Transactions!$O:$O,ROW()-8))</f>
      </c>
    </row>
    <row r="4722" spans="1:7">
      <c r="B4722">
        <f>IF(INDEX(Transactions!$J:$J,ROW()-8)="",TODAY(),INDEX(Transactions!$G:$G,ROW()-8))</f>
      </c>
      <c r="F4722">
        <f>IF(INDEX(Transactions!$J:$J,ROW()-8)="",0,INDEX(Transactions!$O:$O,ROW()-8))</f>
      </c>
    </row>
    <row r="4723" spans="1:7">
      <c r="B4723">
        <f>IF(INDEX(Transactions!$J:$J,ROW()-8)="",TODAY(),INDEX(Transactions!$G:$G,ROW()-8))</f>
      </c>
      <c r="F4723">
        <f>IF(INDEX(Transactions!$J:$J,ROW()-8)="",0,INDEX(Transactions!$O:$O,ROW()-8))</f>
      </c>
    </row>
    <row r="4724" spans="1:7">
      <c r="B4724">
        <f>IF(INDEX(Transactions!$J:$J,ROW()-8)="",TODAY(),INDEX(Transactions!$G:$G,ROW()-8))</f>
      </c>
      <c r="F4724">
        <f>IF(INDEX(Transactions!$J:$J,ROW()-8)="",0,INDEX(Transactions!$O:$O,ROW()-8))</f>
      </c>
    </row>
    <row r="4725" spans="1:7">
      <c r="B4725">
        <f>IF(INDEX(Transactions!$J:$J,ROW()-8)="",TODAY(),INDEX(Transactions!$G:$G,ROW()-8))</f>
      </c>
      <c r="F4725">
        <f>IF(INDEX(Transactions!$J:$J,ROW()-8)="",0,INDEX(Transactions!$O:$O,ROW()-8))</f>
      </c>
    </row>
    <row r="4726" spans="1:7">
      <c r="B4726">
        <f>IF(INDEX(Transactions!$J:$J,ROW()-8)="",TODAY(),INDEX(Transactions!$G:$G,ROW()-8))</f>
      </c>
      <c r="F4726">
        <f>IF(INDEX(Transactions!$J:$J,ROW()-8)="",0,INDEX(Transactions!$O:$O,ROW()-8))</f>
      </c>
    </row>
    <row r="4727" spans="1:7">
      <c r="B4727">
        <f>IF(INDEX(Transactions!$J:$J,ROW()-8)="",TODAY(),INDEX(Transactions!$G:$G,ROW()-8))</f>
      </c>
      <c r="F4727">
        <f>IF(INDEX(Transactions!$J:$J,ROW()-8)="",0,INDEX(Transactions!$O:$O,ROW()-8))</f>
      </c>
    </row>
    <row r="4728" spans="1:7">
      <c r="B4728">
        <f>IF(INDEX(Transactions!$J:$J,ROW()-8)="",TODAY(),INDEX(Transactions!$G:$G,ROW()-8))</f>
      </c>
      <c r="F4728">
        <f>IF(INDEX(Transactions!$J:$J,ROW()-8)="",0,INDEX(Transactions!$O:$O,ROW()-8))</f>
      </c>
    </row>
    <row r="4729" spans="1:7">
      <c r="B4729">
        <f>IF(INDEX(Transactions!$J:$J,ROW()-8)="",TODAY(),INDEX(Transactions!$G:$G,ROW()-8))</f>
      </c>
      <c r="F4729">
        <f>IF(INDEX(Transactions!$J:$J,ROW()-8)="",0,INDEX(Transactions!$O:$O,ROW()-8))</f>
      </c>
    </row>
    <row r="4730" spans="1:7">
      <c r="B4730">
        <f>IF(INDEX(Transactions!$J:$J,ROW()-8)="",TODAY(),INDEX(Transactions!$G:$G,ROW()-8))</f>
      </c>
      <c r="F4730">
        <f>IF(INDEX(Transactions!$J:$J,ROW()-8)="",0,INDEX(Transactions!$O:$O,ROW()-8))</f>
      </c>
    </row>
    <row r="4731" spans="1:7">
      <c r="B4731">
        <f>IF(INDEX(Transactions!$J:$J,ROW()-8)="",TODAY(),INDEX(Transactions!$G:$G,ROW()-8))</f>
      </c>
      <c r="F4731">
        <f>IF(INDEX(Transactions!$J:$J,ROW()-8)="",0,INDEX(Transactions!$O:$O,ROW()-8))</f>
      </c>
    </row>
    <row r="4732" spans="1:7">
      <c r="B4732">
        <f>IF(INDEX(Transactions!$J:$J,ROW()-8)="",TODAY(),INDEX(Transactions!$G:$G,ROW()-8))</f>
      </c>
      <c r="F4732">
        <f>IF(INDEX(Transactions!$J:$J,ROW()-8)="",0,INDEX(Transactions!$O:$O,ROW()-8))</f>
      </c>
    </row>
    <row r="4733" spans="1:7">
      <c r="B4733">
        <f>IF(INDEX(Transactions!$J:$J,ROW()-8)="",TODAY(),INDEX(Transactions!$G:$G,ROW()-8))</f>
      </c>
      <c r="F4733">
        <f>IF(INDEX(Transactions!$J:$J,ROW()-8)="",0,INDEX(Transactions!$O:$O,ROW()-8))</f>
      </c>
    </row>
    <row r="4734" spans="1:7">
      <c r="B4734">
        <f>IF(INDEX(Transactions!$J:$J,ROW()-8)="",TODAY(),INDEX(Transactions!$G:$G,ROW()-8))</f>
      </c>
      <c r="F4734">
        <f>IF(INDEX(Transactions!$J:$J,ROW()-8)="",0,INDEX(Transactions!$O:$O,ROW()-8))</f>
      </c>
    </row>
    <row r="4735" spans="1:7">
      <c r="B4735">
        <f>IF(INDEX(Transactions!$J:$J,ROW()-8)="",TODAY(),INDEX(Transactions!$G:$G,ROW()-8))</f>
      </c>
      <c r="F4735">
        <f>IF(INDEX(Transactions!$J:$J,ROW()-8)="",0,INDEX(Transactions!$O:$O,ROW()-8))</f>
      </c>
    </row>
    <row r="4736" spans="1:7">
      <c r="B4736">
        <f>IF(INDEX(Transactions!$J:$J,ROW()-8)="",TODAY(),INDEX(Transactions!$G:$G,ROW()-8))</f>
      </c>
      <c r="F4736">
        <f>IF(INDEX(Transactions!$J:$J,ROW()-8)="",0,INDEX(Transactions!$O:$O,ROW()-8))</f>
      </c>
    </row>
    <row r="4737" spans="1:7">
      <c r="B4737">
        <f>IF(INDEX(Transactions!$J:$J,ROW()-8)="",TODAY(),INDEX(Transactions!$G:$G,ROW()-8))</f>
      </c>
      <c r="F4737">
        <f>IF(INDEX(Transactions!$J:$J,ROW()-8)="",0,INDEX(Transactions!$O:$O,ROW()-8))</f>
      </c>
    </row>
    <row r="4738" spans="1:7">
      <c r="B4738">
        <f>IF(INDEX(Transactions!$J:$J,ROW()-8)="",TODAY(),INDEX(Transactions!$G:$G,ROW()-8))</f>
      </c>
      <c r="F4738">
        <f>IF(INDEX(Transactions!$J:$J,ROW()-8)="",0,INDEX(Transactions!$O:$O,ROW()-8))</f>
      </c>
    </row>
    <row r="4739" spans="1:7">
      <c r="B4739">
        <f>IF(INDEX(Transactions!$J:$J,ROW()-8)="",TODAY(),INDEX(Transactions!$G:$G,ROW()-8))</f>
      </c>
      <c r="F4739">
        <f>IF(INDEX(Transactions!$J:$J,ROW()-8)="",0,INDEX(Transactions!$O:$O,ROW()-8))</f>
      </c>
    </row>
    <row r="4740" spans="1:7">
      <c r="B4740">
        <f>IF(INDEX(Transactions!$J:$J,ROW()-8)="",TODAY(),INDEX(Transactions!$G:$G,ROW()-8))</f>
      </c>
      <c r="F4740">
        <f>IF(INDEX(Transactions!$J:$J,ROW()-8)="",0,INDEX(Transactions!$O:$O,ROW()-8))</f>
      </c>
    </row>
    <row r="4741" spans="1:7">
      <c r="B4741">
        <f>IF(INDEX(Transactions!$J:$J,ROW()-8)="",TODAY(),INDEX(Transactions!$G:$G,ROW()-8))</f>
      </c>
      <c r="F4741">
        <f>IF(INDEX(Transactions!$J:$J,ROW()-8)="",0,INDEX(Transactions!$O:$O,ROW()-8))</f>
      </c>
    </row>
    <row r="4742" spans="1:7">
      <c r="B4742">
        <f>IF(INDEX(Transactions!$J:$J,ROW()-8)="",TODAY(),INDEX(Transactions!$G:$G,ROW()-8))</f>
      </c>
      <c r="F4742">
        <f>IF(INDEX(Transactions!$J:$J,ROW()-8)="",0,INDEX(Transactions!$O:$O,ROW()-8))</f>
      </c>
    </row>
    <row r="4743" spans="1:7">
      <c r="B4743">
        <f>IF(INDEX(Transactions!$J:$J,ROW()-8)="",TODAY(),INDEX(Transactions!$G:$G,ROW()-8))</f>
      </c>
      <c r="F4743">
        <f>IF(INDEX(Transactions!$J:$J,ROW()-8)="",0,INDEX(Transactions!$O:$O,ROW()-8))</f>
      </c>
    </row>
    <row r="4744" spans="1:7">
      <c r="B4744">
        <f>IF(INDEX(Transactions!$J:$J,ROW()-8)="",TODAY(),INDEX(Transactions!$G:$G,ROW()-8))</f>
      </c>
      <c r="F4744">
        <f>IF(INDEX(Transactions!$J:$J,ROW()-8)="",0,INDEX(Transactions!$O:$O,ROW()-8))</f>
      </c>
    </row>
    <row r="4745" spans="1:7">
      <c r="B4745">
        <f>IF(INDEX(Transactions!$J:$J,ROW()-8)="",TODAY(),INDEX(Transactions!$G:$G,ROW()-8))</f>
      </c>
      <c r="F4745">
        <f>IF(INDEX(Transactions!$J:$J,ROW()-8)="",0,INDEX(Transactions!$O:$O,ROW()-8))</f>
      </c>
    </row>
    <row r="4746" spans="1:7">
      <c r="B4746">
        <f>IF(INDEX(Transactions!$J:$J,ROW()-8)="",TODAY(),INDEX(Transactions!$G:$G,ROW()-8))</f>
      </c>
      <c r="F4746">
        <f>IF(INDEX(Transactions!$J:$J,ROW()-8)="",0,INDEX(Transactions!$O:$O,ROW()-8))</f>
      </c>
    </row>
    <row r="4747" spans="1:7">
      <c r="B4747">
        <f>IF(INDEX(Transactions!$J:$J,ROW()-8)="",TODAY(),INDEX(Transactions!$G:$G,ROW()-8))</f>
      </c>
      <c r="F4747">
        <f>IF(INDEX(Transactions!$J:$J,ROW()-8)="",0,INDEX(Transactions!$O:$O,ROW()-8))</f>
      </c>
    </row>
    <row r="4748" spans="1:7">
      <c r="B4748">
        <f>IF(INDEX(Transactions!$J:$J,ROW()-8)="",TODAY(),INDEX(Transactions!$G:$G,ROW()-8))</f>
      </c>
      <c r="F4748">
        <f>IF(INDEX(Transactions!$J:$J,ROW()-8)="",0,INDEX(Transactions!$O:$O,ROW()-8))</f>
      </c>
    </row>
    <row r="4749" spans="1:7">
      <c r="B4749">
        <f>IF(INDEX(Transactions!$J:$J,ROW()-8)="",TODAY(),INDEX(Transactions!$G:$G,ROW()-8))</f>
      </c>
      <c r="F4749">
        <f>IF(INDEX(Transactions!$J:$J,ROW()-8)="",0,INDEX(Transactions!$O:$O,ROW()-8))</f>
      </c>
    </row>
    <row r="4750" spans="1:7">
      <c r="B4750">
        <f>IF(INDEX(Transactions!$J:$J,ROW()-8)="",TODAY(),INDEX(Transactions!$G:$G,ROW()-8))</f>
      </c>
      <c r="F4750">
        <f>IF(INDEX(Transactions!$J:$J,ROW()-8)="",0,INDEX(Transactions!$O:$O,ROW()-8))</f>
      </c>
    </row>
    <row r="4751" spans="1:7">
      <c r="B4751">
        <f>IF(INDEX(Transactions!$J:$J,ROW()-8)="",TODAY(),INDEX(Transactions!$G:$G,ROW()-8))</f>
      </c>
      <c r="F4751">
        <f>IF(INDEX(Transactions!$J:$J,ROW()-8)="",0,INDEX(Transactions!$O:$O,ROW()-8))</f>
      </c>
    </row>
    <row r="4752" spans="1:7">
      <c r="B4752">
        <f>IF(INDEX(Transactions!$J:$J,ROW()-8)="",TODAY(),INDEX(Transactions!$G:$G,ROW()-8))</f>
      </c>
      <c r="F4752">
        <f>IF(INDEX(Transactions!$J:$J,ROW()-8)="",0,INDEX(Transactions!$O:$O,ROW()-8))</f>
      </c>
    </row>
    <row r="4753" spans="1:7">
      <c r="B4753">
        <f>IF(INDEX(Transactions!$J:$J,ROW()-8)="",TODAY(),INDEX(Transactions!$G:$G,ROW()-8))</f>
      </c>
      <c r="F4753">
        <f>IF(INDEX(Transactions!$J:$J,ROW()-8)="",0,INDEX(Transactions!$O:$O,ROW()-8))</f>
      </c>
    </row>
    <row r="4754" spans="1:7">
      <c r="B4754">
        <f>IF(INDEX(Transactions!$J:$J,ROW()-8)="",TODAY(),INDEX(Transactions!$G:$G,ROW()-8))</f>
      </c>
      <c r="F4754">
        <f>IF(INDEX(Transactions!$J:$J,ROW()-8)="",0,INDEX(Transactions!$O:$O,ROW()-8))</f>
      </c>
    </row>
    <row r="4755" spans="1:7">
      <c r="B4755">
        <f>IF(INDEX(Transactions!$J:$J,ROW()-8)="",TODAY(),INDEX(Transactions!$G:$G,ROW()-8))</f>
      </c>
      <c r="F4755">
        <f>IF(INDEX(Transactions!$J:$J,ROW()-8)="",0,INDEX(Transactions!$O:$O,ROW()-8))</f>
      </c>
    </row>
    <row r="4756" spans="1:7">
      <c r="B4756">
        <f>IF(INDEX(Transactions!$J:$J,ROW()-8)="",TODAY(),INDEX(Transactions!$G:$G,ROW()-8))</f>
      </c>
      <c r="F4756">
        <f>IF(INDEX(Transactions!$J:$J,ROW()-8)="",0,INDEX(Transactions!$O:$O,ROW()-8))</f>
      </c>
    </row>
    <row r="4757" spans="1:7">
      <c r="B4757">
        <f>IF(INDEX(Transactions!$J:$J,ROW()-8)="",TODAY(),INDEX(Transactions!$G:$G,ROW()-8))</f>
      </c>
      <c r="F4757">
        <f>IF(INDEX(Transactions!$J:$J,ROW()-8)="",0,INDEX(Transactions!$O:$O,ROW()-8))</f>
      </c>
    </row>
    <row r="4758" spans="1:7">
      <c r="B4758">
        <f>IF(INDEX(Transactions!$J:$J,ROW()-8)="",TODAY(),INDEX(Transactions!$G:$G,ROW()-8))</f>
      </c>
      <c r="F4758">
        <f>IF(INDEX(Transactions!$J:$J,ROW()-8)="",0,INDEX(Transactions!$O:$O,ROW()-8))</f>
      </c>
    </row>
    <row r="4759" spans="1:7">
      <c r="B4759">
        <f>IF(INDEX(Transactions!$J:$J,ROW()-8)="",TODAY(),INDEX(Transactions!$G:$G,ROW()-8))</f>
      </c>
      <c r="F4759">
        <f>IF(INDEX(Transactions!$J:$J,ROW()-8)="",0,INDEX(Transactions!$O:$O,ROW()-8))</f>
      </c>
    </row>
    <row r="4760" spans="1:7">
      <c r="B4760">
        <f>IF(INDEX(Transactions!$J:$J,ROW()-8)="",TODAY(),INDEX(Transactions!$G:$G,ROW()-8))</f>
      </c>
      <c r="F4760">
        <f>IF(INDEX(Transactions!$J:$J,ROW()-8)="",0,INDEX(Transactions!$O:$O,ROW()-8))</f>
      </c>
    </row>
    <row r="4761" spans="1:7">
      <c r="B4761">
        <f>IF(INDEX(Transactions!$J:$J,ROW()-8)="",TODAY(),INDEX(Transactions!$G:$G,ROW()-8))</f>
      </c>
      <c r="F4761">
        <f>IF(INDEX(Transactions!$J:$J,ROW()-8)="",0,INDEX(Transactions!$O:$O,ROW()-8))</f>
      </c>
    </row>
    <row r="4762" spans="1:7">
      <c r="B4762">
        <f>IF(INDEX(Transactions!$J:$J,ROW()-8)="",TODAY(),INDEX(Transactions!$G:$G,ROW()-8))</f>
      </c>
      <c r="F4762">
        <f>IF(INDEX(Transactions!$J:$J,ROW()-8)="",0,INDEX(Transactions!$O:$O,ROW()-8))</f>
      </c>
    </row>
    <row r="4763" spans="1:7">
      <c r="B4763">
        <f>IF(INDEX(Transactions!$J:$J,ROW()-8)="",TODAY(),INDEX(Transactions!$G:$G,ROW()-8))</f>
      </c>
      <c r="F4763">
        <f>IF(INDEX(Transactions!$J:$J,ROW()-8)="",0,INDEX(Transactions!$O:$O,ROW()-8))</f>
      </c>
    </row>
    <row r="4764" spans="1:7">
      <c r="B4764">
        <f>IF(INDEX(Transactions!$J:$J,ROW()-8)="",TODAY(),INDEX(Transactions!$G:$G,ROW()-8))</f>
      </c>
      <c r="F4764">
        <f>IF(INDEX(Transactions!$J:$J,ROW()-8)="",0,INDEX(Transactions!$O:$O,ROW()-8))</f>
      </c>
    </row>
    <row r="4765" spans="1:7">
      <c r="B4765">
        <f>IF(INDEX(Transactions!$J:$J,ROW()-8)="",TODAY(),INDEX(Transactions!$G:$G,ROW()-8))</f>
      </c>
      <c r="F4765">
        <f>IF(INDEX(Transactions!$J:$J,ROW()-8)="",0,INDEX(Transactions!$O:$O,ROW()-8))</f>
      </c>
    </row>
    <row r="4766" spans="1:7">
      <c r="B4766">
        <f>IF(INDEX(Transactions!$J:$J,ROW()-8)="",TODAY(),INDEX(Transactions!$G:$G,ROW()-8))</f>
      </c>
      <c r="F4766">
        <f>IF(INDEX(Transactions!$J:$J,ROW()-8)="",0,INDEX(Transactions!$O:$O,ROW()-8))</f>
      </c>
    </row>
    <row r="4767" spans="1:7">
      <c r="B4767">
        <f>IF(INDEX(Transactions!$J:$J,ROW()-8)="",TODAY(),INDEX(Transactions!$G:$G,ROW()-8))</f>
      </c>
      <c r="F4767">
        <f>IF(INDEX(Transactions!$J:$J,ROW()-8)="",0,INDEX(Transactions!$O:$O,ROW()-8))</f>
      </c>
    </row>
    <row r="4768" spans="1:7">
      <c r="B4768">
        <f>IF(INDEX(Transactions!$J:$J,ROW()-8)="",TODAY(),INDEX(Transactions!$G:$G,ROW()-8))</f>
      </c>
      <c r="F4768">
        <f>IF(INDEX(Transactions!$J:$J,ROW()-8)="",0,INDEX(Transactions!$O:$O,ROW()-8))</f>
      </c>
    </row>
    <row r="4769" spans="1:7">
      <c r="B4769">
        <f>IF(INDEX(Transactions!$J:$J,ROW()-8)="",TODAY(),INDEX(Transactions!$G:$G,ROW()-8))</f>
      </c>
      <c r="F4769">
        <f>IF(INDEX(Transactions!$J:$J,ROW()-8)="",0,INDEX(Transactions!$O:$O,ROW()-8))</f>
      </c>
    </row>
    <row r="4770" spans="1:7">
      <c r="B4770">
        <f>IF(INDEX(Transactions!$J:$J,ROW()-8)="",TODAY(),INDEX(Transactions!$G:$G,ROW()-8))</f>
      </c>
      <c r="F4770">
        <f>IF(INDEX(Transactions!$J:$J,ROW()-8)="",0,INDEX(Transactions!$O:$O,ROW()-8))</f>
      </c>
    </row>
    <row r="4771" spans="1:7">
      <c r="B4771">
        <f>IF(INDEX(Transactions!$J:$J,ROW()-8)="",TODAY(),INDEX(Transactions!$G:$G,ROW()-8))</f>
      </c>
      <c r="F4771">
        <f>IF(INDEX(Transactions!$J:$J,ROW()-8)="",0,INDEX(Transactions!$O:$O,ROW()-8))</f>
      </c>
    </row>
    <row r="4772" spans="1:7">
      <c r="B4772">
        <f>IF(INDEX(Transactions!$J:$J,ROW()-8)="",TODAY(),INDEX(Transactions!$G:$G,ROW()-8))</f>
      </c>
      <c r="F4772">
        <f>IF(INDEX(Transactions!$J:$J,ROW()-8)="",0,INDEX(Transactions!$O:$O,ROW()-8))</f>
      </c>
    </row>
    <row r="4773" spans="1:7">
      <c r="B4773">
        <f>IF(INDEX(Transactions!$J:$J,ROW()-8)="",TODAY(),INDEX(Transactions!$G:$G,ROW()-8))</f>
      </c>
      <c r="F4773">
        <f>IF(INDEX(Transactions!$J:$J,ROW()-8)="",0,INDEX(Transactions!$O:$O,ROW()-8))</f>
      </c>
    </row>
    <row r="4774" spans="1:7">
      <c r="B4774">
        <f>IF(INDEX(Transactions!$J:$J,ROW()-8)="",TODAY(),INDEX(Transactions!$G:$G,ROW()-8))</f>
      </c>
      <c r="F4774">
        <f>IF(INDEX(Transactions!$J:$J,ROW()-8)="",0,INDEX(Transactions!$O:$O,ROW()-8))</f>
      </c>
    </row>
    <row r="4775" spans="1:7">
      <c r="B4775">
        <f>IF(INDEX(Transactions!$J:$J,ROW()-8)="",TODAY(),INDEX(Transactions!$G:$G,ROW()-8))</f>
      </c>
      <c r="F4775">
        <f>IF(INDEX(Transactions!$J:$J,ROW()-8)="",0,INDEX(Transactions!$O:$O,ROW()-8))</f>
      </c>
    </row>
    <row r="4776" spans="1:7">
      <c r="B4776">
        <f>IF(INDEX(Transactions!$J:$J,ROW()-8)="",TODAY(),INDEX(Transactions!$G:$G,ROW()-8))</f>
      </c>
      <c r="F4776">
        <f>IF(INDEX(Transactions!$J:$J,ROW()-8)="",0,INDEX(Transactions!$O:$O,ROW()-8))</f>
      </c>
    </row>
    <row r="4777" spans="1:7">
      <c r="B4777">
        <f>IF(INDEX(Transactions!$J:$J,ROW()-8)="",TODAY(),INDEX(Transactions!$G:$G,ROW()-8))</f>
      </c>
      <c r="F4777">
        <f>IF(INDEX(Transactions!$J:$J,ROW()-8)="",0,INDEX(Transactions!$O:$O,ROW()-8))</f>
      </c>
    </row>
    <row r="4778" spans="1:7">
      <c r="B4778">
        <f>IF(INDEX(Transactions!$J:$J,ROW()-8)="",TODAY(),INDEX(Transactions!$G:$G,ROW()-8))</f>
      </c>
      <c r="F4778">
        <f>IF(INDEX(Transactions!$J:$J,ROW()-8)="",0,INDEX(Transactions!$O:$O,ROW()-8))</f>
      </c>
    </row>
    <row r="4779" spans="1:7">
      <c r="B4779">
        <f>IF(INDEX(Transactions!$J:$J,ROW()-8)="",TODAY(),INDEX(Transactions!$G:$G,ROW()-8))</f>
      </c>
      <c r="F4779">
        <f>IF(INDEX(Transactions!$J:$J,ROW()-8)="",0,INDEX(Transactions!$O:$O,ROW()-8))</f>
      </c>
    </row>
    <row r="4780" spans="1:7">
      <c r="B4780">
        <f>IF(INDEX(Transactions!$J:$J,ROW()-8)="",TODAY(),INDEX(Transactions!$G:$G,ROW()-8))</f>
      </c>
      <c r="F4780">
        <f>IF(INDEX(Transactions!$J:$J,ROW()-8)="",0,INDEX(Transactions!$O:$O,ROW()-8))</f>
      </c>
    </row>
    <row r="4781" spans="1:7">
      <c r="B4781">
        <f>IF(INDEX(Transactions!$J:$J,ROW()-8)="",TODAY(),INDEX(Transactions!$G:$G,ROW()-8))</f>
      </c>
      <c r="F4781">
        <f>IF(INDEX(Transactions!$J:$J,ROW()-8)="",0,INDEX(Transactions!$O:$O,ROW()-8))</f>
      </c>
    </row>
    <row r="4782" spans="1:7">
      <c r="B4782">
        <f>IF(INDEX(Transactions!$J:$J,ROW()-8)="",TODAY(),INDEX(Transactions!$G:$G,ROW()-8))</f>
      </c>
      <c r="F4782">
        <f>IF(INDEX(Transactions!$J:$J,ROW()-8)="",0,INDEX(Transactions!$O:$O,ROW()-8))</f>
      </c>
    </row>
    <row r="4783" spans="1:7">
      <c r="B4783">
        <f>IF(INDEX(Transactions!$J:$J,ROW()-8)="",TODAY(),INDEX(Transactions!$G:$G,ROW()-8))</f>
      </c>
      <c r="F4783">
        <f>IF(INDEX(Transactions!$J:$J,ROW()-8)="",0,INDEX(Transactions!$O:$O,ROW()-8))</f>
      </c>
    </row>
    <row r="4784" spans="1:7">
      <c r="B4784">
        <f>IF(INDEX(Transactions!$J:$J,ROW()-8)="",TODAY(),INDEX(Transactions!$G:$G,ROW()-8))</f>
      </c>
      <c r="F4784">
        <f>IF(INDEX(Transactions!$J:$J,ROW()-8)="",0,INDEX(Transactions!$O:$O,ROW()-8))</f>
      </c>
    </row>
    <row r="4785" spans="1:7">
      <c r="B4785">
        <f>IF(INDEX(Transactions!$J:$J,ROW()-8)="",TODAY(),INDEX(Transactions!$G:$G,ROW()-8))</f>
      </c>
      <c r="F4785">
        <f>IF(INDEX(Transactions!$J:$J,ROW()-8)="",0,INDEX(Transactions!$O:$O,ROW()-8))</f>
      </c>
    </row>
    <row r="4786" spans="1:7">
      <c r="B4786">
        <f>IF(INDEX(Transactions!$J:$J,ROW()-8)="",TODAY(),INDEX(Transactions!$G:$G,ROW()-8))</f>
      </c>
      <c r="F4786">
        <f>IF(INDEX(Transactions!$J:$J,ROW()-8)="",0,INDEX(Transactions!$O:$O,ROW()-8))</f>
      </c>
    </row>
    <row r="4787" spans="1:7">
      <c r="B4787">
        <f>IF(INDEX(Transactions!$J:$J,ROW()-8)="",TODAY(),INDEX(Transactions!$G:$G,ROW()-8))</f>
      </c>
      <c r="F4787">
        <f>IF(INDEX(Transactions!$J:$J,ROW()-8)="",0,INDEX(Transactions!$O:$O,ROW()-8))</f>
      </c>
    </row>
    <row r="4788" spans="1:7">
      <c r="B4788">
        <f>IF(INDEX(Transactions!$J:$J,ROW()-8)="",TODAY(),INDEX(Transactions!$G:$G,ROW()-8))</f>
      </c>
      <c r="F4788">
        <f>IF(INDEX(Transactions!$J:$J,ROW()-8)="",0,INDEX(Transactions!$O:$O,ROW()-8))</f>
      </c>
    </row>
    <row r="4789" spans="1:7">
      <c r="B4789">
        <f>IF(INDEX(Transactions!$J:$J,ROW()-8)="",TODAY(),INDEX(Transactions!$G:$G,ROW()-8))</f>
      </c>
      <c r="F4789">
        <f>IF(INDEX(Transactions!$J:$J,ROW()-8)="",0,INDEX(Transactions!$O:$O,ROW()-8))</f>
      </c>
    </row>
    <row r="4790" spans="1:7">
      <c r="B4790">
        <f>IF(INDEX(Transactions!$J:$J,ROW()-8)="",TODAY(),INDEX(Transactions!$G:$G,ROW()-8))</f>
      </c>
      <c r="F4790">
        <f>IF(INDEX(Transactions!$J:$J,ROW()-8)="",0,INDEX(Transactions!$O:$O,ROW()-8))</f>
      </c>
    </row>
    <row r="4791" spans="1:7">
      <c r="B4791">
        <f>IF(INDEX(Transactions!$J:$J,ROW()-8)="",TODAY(),INDEX(Transactions!$G:$G,ROW()-8))</f>
      </c>
      <c r="F4791">
        <f>IF(INDEX(Transactions!$J:$J,ROW()-8)="",0,INDEX(Transactions!$O:$O,ROW()-8))</f>
      </c>
    </row>
    <row r="4792" spans="1:7">
      <c r="B4792">
        <f>IF(INDEX(Transactions!$J:$J,ROW()-8)="",TODAY(),INDEX(Transactions!$G:$G,ROW()-8))</f>
      </c>
      <c r="F4792">
        <f>IF(INDEX(Transactions!$J:$J,ROW()-8)="",0,INDEX(Transactions!$O:$O,ROW()-8))</f>
      </c>
    </row>
    <row r="4793" spans="1:7">
      <c r="B4793">
        <f>IF(INDEX(Transactions!$J:$J,ROW()-8)="",TODAY(),INDEX(Transactions!$G:$G,ROW()-8))</f>
      </c>
      <c r="F4793">
        <f>IF(INDEX(Transactions!$J:$J,ROW()-8)="",0,INDEX(Transactions!$O:$O,ROW()-8))</f>
      </c>
    </row>
    <row r="4794" spans="1:7">
      <c r="B4794">
        <f>IF(INDEX(Transactions!$J:$J,ROW()-8)="",TODAY(),INDEX(Transactions!$G:$G,ROW()-8))</f>
      </c>
      <c r="F4794">
        <f>IF(INDEX(Transactions!$J:$J,ROW()-8)="",0,INDEX(Transactions!$O:$O,ROW()-8))</f>
      </c>
    </row>
    <row r="4795" spans="1:7">
      <c r="B4795">
        <f>IF(INDEX(Transactions!$J:$J,ROW()-8)="",TODAY(),INDEX(Transactions!$G:$G,ROW()-8))</f>
      </c>
      <c r="F4795">
        <f>IF(INDEX(Transactions!$J:$J,ROW()-8)="",0,INDEX(Transactions!$O:$O,ROW()-8))</f>
      </c>
    </row>
    <row r="4796" spans="1:7">
      <c r="B4796">
        <f>IF(INDEX(Transactions!$J:$J,ROW()-8)="",TODAY(),INDEX(Transactions!$G:$G,ROW()-8))</f>
      </c>
      <c r="F4796">
        <f>IF(INDEX(Transactions!$J:$J,ROW()-8)="",0,INDEX(Transactions!$O:$O,ROW()-8))</f>
      </c>
    </row>
    <row r="4797" spans="1:7">
      <c r="B4797">
        <f>IF(INDEX(Transactions!$J:$J,ROW()-8)="",TODAY(),INDEX(Transactions!$G:$G,ROW()-8))</f>
      </c>
      <c r="F4797">
        <f>IF(INDEX(Transactions!$J:$J,ROW()-8)="",0,INDEX(Transactions!$O:$O,ROW()-8))</f>
      </c>
    </row>
    <row r="4798" spans="1:7">
      <c r="B4798">
        <f>IF(INDEX(Transactions!$J:$J,ROW()-8)="",TODAY(),INDEX(Transactions!$G:$G,ROW()-8))</f>
      </c>
      <c r="F4798">
        <f>IF(INDEX(Transactions!$J:$J,ROW()-8)="",0,INDEX(Transactions!$O:$O,ROW()-8))</f>
      </c>
    </row>
    <row r="4799" spans="1:7">
      <c r="B4799">
        <f>IF(INDEX(Transactions!$J:$J,ROW()-8)="",TODAY(),INDEX(Transactions!$G:$G,ROW()-8))</f>
      </c>
      <c r="F4799">
        <f>IF(INDEX(Transactions!$J:$J,ROW()-8)="",0,INDEX(Transactions!$O:$O,ROW()-8))</f>
      </c>
    </row>
    <row r="4800" spans="1:7">
      <c r="B4800">
        <f>IF(INDEX(Transactions!$J:$J,ROW()-8)="",TODAY(),INDEX(Transactions!$G:$G,ROW()-8))</f>
      </c>
      <c r="F4800">
        <f>IF(INDEX(Transactions!$J:$J,ROW()-8)="",0,INDEX(Transactions!$O:$O,ROW()-8))</f>
      </c>
    </row>
    <row r="4801" spans="1:7">
      <c r="B4801">
        <f>IF(INDEX(Transactions!$J:$J,ROW()-8)="",TODAY(),INDEX(Transactions!$G:$G,ROW()-8))</f>
      </c>
      <c r="F4801">
        <f>IF(INDEX(Transactions!$J:$J,ROW()-8)="",0,INDEX(Transactions!$O:$O,ROW()-8))</f>
      </c>
    </row>
    <row r="4802" spans="1:7">
      <c r="B4802">
        <f>IF(INDEX(Transactions!$J:$J,ROW()-8)="",TODAY(),INDEX(Transactions!$G:$G,ROW()-8))</f>
      </c>
      <c r="F4802">
        <f>IF(INDEX(Transactions!$J:$J,ROW()-8)="",0,INDEX(Transactions!$O:$O,ROW()-8))</f>
      </c>
    </row>
    <row r="4803" spans="1:7">
      <c r="B4803">
        <f>IF(INDEX(Transactions!$J:$J,ROW()-8)="",TODAY(),INDEX(Transactions!$G:$G,ROW()-8))</f>
      </c>
      <c r="F4803">
        <f>IF(INDEX(Transactions!$J:$J,ROW()-8)="",0,INDEX(Transactions!$O:$O,ROW()-8))</f>
      </c>
    </row>
    <row r="4804" spans="1:7">
      <c r="B4804">
        <f>IF(INDEX(Transactions!$J:$J,ROW()-8)="",TODAY(),INDEX(Transactions!$G:$G,ROW()-8))</f>
      </c>
      <c r="F4804">
        <f>IF(INDEX(Transactions!$J:$J,ROW()-8)="",0,INDEX(Transactions!$O:$O,ROW()-8))</f>
      </c>
    </row>
    <row r="4805" spans="1:7">
      <c r="B4805">
        <f>IF(INDEX(Transactions!$J:$J,ROW()-8)="",TODAY(),INDEX(Transactions!$G:$G,ROW()-8))</f>
      </c>
      <c r="F4805">
        <f>IF(INDEX(Transactions!$J:$J,ROW()-8)="",0,INDEX(Transactions!$O:$O,ROW()-8))</f>
      </c>
    </row>
    <row r="4806" spans="1:7">
      <c r="B4806">
        <f>IF(INDEX(Transactions!$J:$J,ROW()-8)="",TODAY(),INDEX(Transactions!$G:$G,ROW()-8))</f>
      </c>
      <c r="F4806">
        <f>IF(INDEX(Transactions!$J:$J,ROW()-8)="",0,INDEX(Transactions!$O:$O,ROW()-8))</f>
      </c>
    </row>
    <row r="4807" spans="1:7">
      <c r="B4807">
        <f>IF(INDEX(Transactions!$J:$J,ROW()-8)="",TODAY(),INDEX(Transactions!$G:$G,ROW()-8))</f>
      </c>
      <c r="F4807">
        <f>IF(INDEX(Transactions!$J:$J,ROW()-8)="",0,INDEX(Transactions!$O:$O,ROW()-8))</f>
      </c>
    </row>
    <row r="4808" spans="1:7">
      <c r="B4808">
        <f>IF(INDEX(Transactions!$J:$J,ROW()-8)="",TODAY(),INDEX(Transactions!$G:$G,ROW()-8))</f>
      </c>
      <c r="F4808">
        <f>IF(INDEX(Transactions!$J:$J,ROW()-8)="",0,INDEX(Transactions!$O:$O,ROW()-8))</f>
      </c>
    </row>
    <row r="4809" spans="1:7">
      <c r="B4809">
        <f>IF(INDEX(Transactions!$J:$J,ROW()-8)="",TODAY(),INDEX(Transactions!$G:$G,ROW()-8))</f>
      </c>
      <c r="F4809">
        <f>IF(INDEX(Transactions!$J:$J,ROW()-8)="",0,INDEX(Transactions!$O:$O,ROW()-8))</f>
      </c>
    </row>
    <row r="4810" spans="1:7">
      <c r="B4810">
        <f>IF(INDEX(Transactions!$J:$J,ROW()-8)="",TODAY(),INDEX(Transactions!$G:$G,ROW()-8))</f>
      </c>
      <c r="F4810">
        <f>IF(INDEX(Transactions!$J:$J,ROW()-8)="",0,INDEX(Transactions!$O:$O,ROW()-8))</f>
      </c>
    </row>
    <row r="4811" spans="1:7">
      <c r="B4811">
        <f>IF(INDEX(Transactions!$J:$J,ROW()-8)="",TODAY(),INDEX(Transactions!$G:$G,ROW()-8))</f>
      </c>
      <c r="F4811">
        <f>IF(INDEX(Transactions!$J:$J,ROW()-8)="",0,INDEX(Transactions!$O:$O,ROW()-8))</f>
      </c>
    </row>
    <row r="4812" spans="1:7">
      <c r="B4812">
        <f>IF(INDEX(Transactions!$J:$J,ROW()-8)="",TODAY(),INDEX(Transactions!$G:$G,ROW()-8))</f>
      </c>
      <c r="F4812">
        <f>IF(INDEX(Transactions!$J:$J,ROW()-8)="",0,INDEX(Transactions!$O:$O,ROW()-8))</f>
      </c>
    </row>
    <row r="4813" spans="1:7">
      <c r="B4813">
        <f>IF(INDEX(Transactions!$J:$J,ROW()-8)="",TODAY(),INDEX(Transactions!$G:$G,ROW()-8))</f>
      </c>
      <c r="F4813">
        <f>IF(INDEX(Transactions!$J:$J,ROW()-8)="",0,INDEX(Transactions!$O:$O,ROW()-8))</f>
      </c>
    </row>
    <row r="4814" spans="1:7">
      <c r="B4814">
        <f>IF(INDEX(Transactions!$J:$J,ROW()-8)="",TODAY(),INDEX(Transactions!$G:$G,ROW()-8))</f>
      </c>
      <c r="F4814">
        <f>IF(INDEX(Transactions!$J:$J,ROW()-8)="",0,INDEX(Transactions!$O:$O,ROW()-8))</f>
      </c>
    </row>
    <row r="4815" spans="1:7">
      <c r="B4815">
        <f>IF(INDEX(Transactions!$J:$J,ROW()-8)="",TODAY(),INDEX(Transactions!$G:$G,ROW()-8))</f>
      </c>
      <c r="F4815">
        <f>IF(INDEX(Transactions!$J:$J,ROW()-8)="",0,INDEX(Transactions!$O:$O,ROW()-8))</f>
      </c>
    </row>
    <row r="4816" spans="1:7">
      <c r="B4816">
        <f>IF(INDEX(Transactions!$J:$J,ROW()-8)="",TODAY(),INDEX(Transactions!$G:$G,ROW()-8))</f>
      </c>
      <c r="F4816">
        <f>IF(INDEX(Transactions!$J:$J,ROW()-8)="",0,INDEX(Transactions!$O:$O,ROW()-8))</f>
      </c>
    </row>
    <row r="4817" spans="1:7">
      <c r="B4817">
        <f>IF(INDEX(Transactions!$J:$J,ROW()-8)="",TODAY(),INDEX(Transactions!$G:$G,ROW()-8))</f>
      </c>
      <c r="F4817">
        <f>IF(INDEX(Transactions!$J:$J,ROW()-8)="",0,INDEX(Transactions!$O:$O,ROW()-8))</f>
      </c>
    </row>
    <row r="4818" spans="1:7">
      <c r="B4818">
        <f>IF(INDEX(Transactions!$J:$J,ROW()-8)="",TODAY(),INDEX(Transactions!$G:$G,ROW()-8))</f>
      </c>
      <c r="F4818">
        <f>IF(INDEX(Transactions!$J:$J,ROW()-8)="",0,INDEX(Transactions!$O:$O,ROW()-8))</f>
      </c>
    </row>
    <row r="4819" spans="1:7">
      <c r="B4819">
        <f>IF(INDEX(Transactions!$J:$J,ROW()-8)="",TODAY(),INDEX(Transactions!$G:$G,ROW()-8))</f>
      </c>
      <c r="F4819">
        <f>IF(INDEX(Transactions!$J:$J,ROW()-8)="",0,INDEX(Transactions!$O:$O,ROW()-8))</f>
      </c>
    </row>
    <row r="4820" spans="1:7">
      <c r="B4820">
        <f>IF(INDEX(Transactions!$J:$J,ROW()-8)="",TODAY(),INDEX(Transactions!$G:$G,ROW()-8))</f>
      </c>
      <c r="F4820">
        <f>IF(INDEX(Transactions!$J:$J,ROW()-8)="",0,INDEX(Transactions!$O:$O,ROW()-8))</f>
      </c>
    </row>
    <row r="4821" spans="1:7">
      <c r="B4821">
        <f>IF(INDEX(Transactions!$J:$J,ROW()-8)="",TODAY(),INDEX(Transactions!$G:$G,ROW()-8))</f>
      </c>
      <c r="F4821">
        <f>IF(INDEX(Transactions!$J:$J,ROW()-8)="",0,INDEX(Transactions!$O:$O,ROW()-8))</f>
      </c>
    </row>
    <row r="4822" spans="1:7">
      <c r="B4822">
        <f>IF(INDEX(Transactions!$J:$J,ROW()-8)="",TODAY(),INDEX(Transactions!$G:$G,ROW()-8))</f>
      </c>
      <c r="F4822">
        <f>IF(INDEX(Transactions!$J:$J,ROW()-8)="",0,INDEX(Transactions!$O:$O,ROW()-8))</f>
      </c>
    </row>
    <row r="4823" spans="1:7">
      <c r="B4823">
        <f>IF(INDEX(Transactions!$J:$J,ROW()-8)="",TODAY(),INDEX(Transactions!$G:$G,ROW()-8))</f>
      </c>
      <c r="F4823">
        <f>IF(INDEX(Transactions!$J:$J,ROW()-8)="",0,INDEX(Transactions!$O:$O,ROW()-8))</f>
      </c>
    </row>
    <row r="4824" spans="1:7">
      <c r="B4824">
        <f>IF(INDEX(Transactions!$J:$J,ROW()-8)="",TODAY(),INDEX(Transactions!$G:$G,ROW()-8))</f>
      </c>
      <c r="F4824">
        <f>IF(INDEX(Transactions!$J:$J,ROW()-8)="",0,INDEX(Transactions!$O:$O,ROW()-8))</f>
      </c>
    </row>
    <row r="4825" spans="1:7">
      <c r="B4825">
        <f>IF(INDEX(Transactions!$J:$J,ROW()-8)="",TODAY(),INDEX(Transactions!$G:$G,ROW()-8))</f>
      </c>
      <c r="F4825">
        <f>IF(INDEX(Transactions!$J:$J,ROW()-8)="",0,INDEX(Transactions!$O:$O,ROW()-8))</f>
      </c>
    </row>
    <row r="4826" spans="1:7">
      <c r="B4826">
        <f>IF(INDEX(Transactions!$J:$J,ROW()-8)="",TODAY(),INDEX(Transactions!$G:$G,ROW()-8))</f>
      </c>
      <c r="F4826">
        <f>IF(INDEX(Transactions!$J:$J,ROW()-8)="",0,INDEX(Transactions!$O:$O,ROW()-8))</f>
      </c>
    </row>
    <row r="4827" spans="1:7">
      <c r="B4827">
        <f>IF(INDEX(Transactions!$J:$J,ROW()-8)="",TODAY(),INDEX(Transactions!$G:$G,ROW()-8))</f>
      </c>
      <c r="F4827">
        <f>IF(INDEX(Transactions!$J:$J,ROW()-8)="",0,INDEX(Transactions!$O:$O,ROW()-8))</f>
      </c>
    </row>
    <row r="4828" spans="1:7">
      <c r="B4828">
        <f>IF(INDEX(Transactions!$J:$J,ROW()-8)="",TODAY(),INDEX(Transactions!$G:$G,ROW()-8))</f>
      </c>
      <c r="F4828">
        <f>IF(INDEX(Transactions!$J:$J,ROW()-8)="",0,INDEX(Transactions!$O:$O,ROW()-8))</f>
      </c>
    </row>
    <row r="4829" spans="1:7">
      <c r="B4829">
        <f>IF(INDEX(Transactions!$J:$J,ROW()-8)="",TODAY(),INDEX(Transactions!$G:$G,ROW()-8))</f>
      </c>
      <c r="F4829">
        <f>IF(INDEX(Transactions!$J:$J,ROW()-8)="",0,INDEX(Transactions!$O:$O,ROW()-8))</f>
      </c>
    </row>
    <row r="4830" spans="1:7">
      <c r="B4830">
        <f>IF(INDEX(Transactions!$J:$J,ROW()-8)="",TODAY(),INDEX(Transactions!$G:$G,ROW()-8))</f>
      </c>
      <c r="F4830">
        <f>IF(INDEX(Transactions!$J:$J,ROW()-8)="",0,INDEX(Transactions!$O:$O,ROW()-8))</f>
      </c>
    </row>
    <row r="4831" spans="1:7">
      <c r="B4831">
        <f>IF(INDEX(Transactions!$J:$J,ROW()-8)="",TODAY(),INDEX(Transactions!$G:$G,ROW()-8))</f>
      </c>
      <c r="F4831">
        <f>IF(INDEX(Transactions!$J:$J,ROW()-8)="",0,INDEX(Transactions!$O:$O,ROW()-8))</f>
      </c>
    </row>
    <row r="4832" spans="1:7">
      <c r="B4832">
        <f>IF(INDEX(Transactions!$J:$J,ROW()-8)="",TODAY(),INDEX(Transactions!$G:$G,ROW()-8))</f>
      </c>
      <c r="F4832">
        <f>IF(INDEX(Transactions!$J:$J,ROW()-8)="",0,INDEX(Transactions!$O:$O,ROW()-8))</f>
      </c>
    </row>
    <row r="4833" spans="1:7">
      <c r="B4833">
        <f>IF(INDEX(Transactions!$J:$J,ROW()-8)="",TODAY(),INDEX(Transactions!$G:$G,ROW()-8))</f>
      </c>
      <c r="F4833">
        <f>IF(INDEX(Transactions!$J:$J,ROW()-8)="",0,INDEX(Transactions!$O:$O,ROW()-8))</f>
      </c>
    </row>
    <row r="4834" spans="1:7">
      <c r="B4834">
        <f>IF(INDEX(Transactions!$J:$J,ROW()-8)="",TODAY(),INDEX(Transactions!$G:$G,ROW()-8))</f>
      </c>
      <c r="F4834">
        <f>IF(INDEX(Transactions!$J:$J,ROW()-8)="",0,INDEX(Transactions!$O:$O,ROW()-8))</f>
      </c>
    </row>
    <row r="4835" spans="1:7">
      <c r="B4835">
        <f>IF(INDEX(Transactions!$J:$J,ROW()-8)="",TODAY(),INDEX(Transactions!$G:$G,ROW()-8))</f>
      </c>
      <c r="F4835">
        <f>IF(INDEX(Transactions!$J:$J,ROW()-8)="",0,INDEX(Transactions!$O:$O,ROW()-8))</f>
      </c>
    </row>
    <row r="4836" spans="1:7">
      <c r="B4836">
        <f>IF(INDEX(Transactions!$J:$J,ROW()-8)="",TODAY(),INDEX(Transactions!$G:$G,ROW()-8))</f>
      </c>
      <c r="F4836">
        <f>IF(INDEX(Transactions!$J:$J,ROW()-8)="",0,INDEX(Transactions!$O:$O,ROW()-8))</f>
      </c>
    </row>
    <row r="4837" spans="1:7">
      <c r="B4837">
        <f>IF(INDEX(Transactions!$J:$J,ROW()-8)="",TODAY(),INDEX(Transactions!$G:$G,ROW()-8))</f>
      </c>
      <c r="F4837">
        <f>IF(INDEX(Transactions!$J:$J,ROW()-8)="",0,INDEX(Transactions!$O:$O,ROW()-8))</f>
      </c>
    </row>
    <row r="4838" spans="1:7">
      <c r="B4838">
        <f>IF(INDEX(Transactions!$J:$J,ROW()-8)="",TODAY(),INDEX(Transactions!$G:$G,ROW()-8))</f>
      </c>
      <c r="F4838">
        <f>IF(INDEX(Transactions!$J:$J,ROW()-8)="",0,INDEX(Transactions!$O:$O,ROW()-8))</f>
      </c>
    </row>
    <row r="4839" spans="1:7">
      <c r="B4839">
        <f>IF(INDEX(Transactions!$J:$J,ROW()-8)="",TODAY(),INDEX(Transactions!$G:$G,ROW()-8))</f>
      </c>
      <c r="F4839">
        <f>IF(INDEX(Transactions!$J:$J,ROW()-8)="",0,INDEX(Transactions!$O:$O,ROW()-8))</f>
      </c>
    </row>
    <row r="4840" spans="1:7">
      <c r="B4840">
        <f>IF(INDEX(Transactions!$J:$J,ROW()-8)="",TODAY(),INDEX(Transactions!$G:$G,ROW()-8))</f>
      </c>
      <c r="F4840">
        <f>IF(INDEX(Transactions!$J:$J,ROW()-8)="",0,INDEX(Transactions!$O:$O,ROW()-8))</f>
      </c>
    </row>
    <row r="4841" spans="1:7">
      <c r="B4841">
        <f>IF(INDEX(Transactions!$J:$J,ROW()-8)="",TODAY(),INDEX(Transactions!$G:$G,ROW()-8))</f>
      </c>
      <c r="F4841">
        <f>IF(INDEX(Transactions!$J:$J,ROW()-8)="",0,INDEX(Transactions!$O:$O,ROW()-8))</f>
      </c>
    </row>
    <row r="4842" spans="1:7">
      <c r="B4842">
        <f>IF(INDEX(Transactions!$J:$J,ROW()-8)="",TODAY(),INDEX(Transactions!$G:$G,ROW()-8))</f>
      </c>
      <c r="F4842">
        <f>IF(INDEX(Transactions!$J:$J,ROW()-8)="",0,INDEX(Transactions!$O:$O,ROW()-8))</f>
      </c>
    </row>
    <row r="4843" spans="1:7">
      <c r="B4843">
        <f>IF(INDEX(Transactions!$J:$J,ROW()-8)="",TODAY(),INDEX(Transactions!$G:$G,ROW()-8))</f>
      </c>
      <c r="F4843">
        <f>IF(INDEX(Transactions!$J:$J,ROW()-8)="",0,INDEX(Transactions!$O:$O,ROW()-8))</f>
      </c>
    </row>
    <row r="4844" spans="1:7">
      <c r="B4844">
        <f>IF(INDEX(Transactions!$J:$J,ROW()-8)="",TODAY(),INDEX(Transactions!$G:$G,ROW()-8))</f>
      </c>
      <c r="F4844">
        <f>IF(INDEX(Transactions!$J:$J,ROW()-8)="",0,INDEX(Transactions!$O:$O,ROW()-8))</f>
      </c>
    </row>
    <row r="4845" spans="1:7">
      <c r="B4845">
        <f>IF(INDEX(Transactions!$J:$J,ROW()-8)="",TODAY(),INDEX(Transactions!$G:$G,ROW()-8))</f>
      </c>
      <c r="F4845">
        <f>IF(INDEX(Transactions!$J:$J,ROW()-8)="",0,INDEX(Transactions!$O:$O,ROW()-8))</f>
      </c>
    </row>
    <row r="4846" spans="1:7">
      <c r="B4846">
        <f>IF(INDEX(Transactions!$J:$J,ROW()-8)="",TODAY(),INDEX(Transactions!$G:$G,ROW()-8))</f>
      </c>
      <c r="F4846">
        <f>IF(INDEX(Transactions!$J:$J,ROW()-8)="",0,INDEX(Transactions!$O:$O,ROW()-8))</f>
      </c>
    </row>
    <row r="4847" spans="1:7">
      <c r="B4847">
        <f>IF(INDEX(Transactions!$J:$J,ROW()-8)="",TODAY(),INDEX(Transactions!$G:$G,ROW()-8))</f>
      </c>
      <c r="F4847">
        <f>IF(INDEX(Transactions!$J:$J,ROW()-8)="",0,INDEX(Transactions!$O:$O,ROW()-8))</f>
      </c>
    </row>
    <row r="4848" spans="1:7">
      <c r="B4848">
        <f>IF(INDEX(Transactions!$J:$J,ROW()-8)="",TODAY(),INDEX(Transactions!$G:$G,ROW()-8))</f>
      </c>
      <c r="F4848">
        <f>IF(INDEX(Transactions!$J:$J,ROW()-8)="",0,INDEX(Transactions!$O:$O,ROW()-8))</f>
      </c>
    </row>
    <row r="4849" spans="1:7">
      <c r="B4849">
        <f>IF(INDEX(Transactions!$J:$J,ROW()-8)="",TODAY(),INDEX(Transactions!$G:$G,ROW()-8))</f>
      </c>
      <c r="F4849">
        <f>IF(INDEX(Transactions!$J:$J,ROW()-8)="",0,INDEX(Transactions!$O:$O,ROW()-8))</f>
      </c>
    </row>
    <row r="4850" spans="1:7">
      <c r="B4850">
        <f>IF(INDEX(Transactions!$J:$J,ROW()-8)="",TODAY(),INDEX(Transactions!$G:$G,ROW()-8))</f>
      </c>
      <c r="F4850">
        <f>IF(INDEX(Transactions!$J:$J,ROW()-8)="",0,INDEX(Transactions!$O:$O,ROW()-8))</f>
      </c>
    </row>
    <row r="4851" spans="1:7">
      <c r="B4851">
        <f>IF(INDEX(Transactions!$J:$J,ROW()-8)="",TODAY(),INDEX(Transactions!$G:$G,ROW()-8))</f>
      </c>
      <c r="F4851">
        <f>IF(INDEX(Transactions!$J:$J,ROW()-8)="",0,INDEX(Transactions!$O:$O,ROW()-8))</f>
      </c>
    </row>
    <row r="4852" spans="1:7">
      <c r="B4852">
        <f>IF(INDEX(Transactions!$J:$J,ROW()-8)="",TODAY(),INDEX(Transactions!$G:$G,ROW()-8))</f>
      </c>
      <c r="F4852">
        <f>IF(INDEX(Transactions!$J:$J,ROW()-8)="",0,INDEX(Transactions!$O:$O,ROW()-8))</f>
      </c>
    </row>
    <row r="4853" spans="1:7">
      <c r="B4853">
        <f>IF(INDEX(Transactions!$J:$J,ROW()-8)="",TODAY(),INDEX(Transactions!$G:$G,ROW()-8))</f>
      </c>
      <c r="F4853">
        <f>IF(INDEX(Transactions!$J:$J,ROW()-8)="",0,INDEX(Transactions!$O:$O,ROW()-8))</f>
      </c>
    </row>
    <row r="4854" spans="1:7">
      <c r="B4854">
        <f>IF(INDEX(Transactions!$J:$J,ROW()-8)="",TODAY(),INDEX(Transactions!$G:$G,ROW()-8))</f>
      </c>
      <c r="F4854">
        <f>IF(INDEX(Transactions!$J:$J,ROW()-8)="",0,INDEX(Transactions!$O:$O,ROW()-8))</f>
      </c>
    </row>
    <row r="4855" spans="1:7">
      <c r="B4855">
        <f>IF(INDEX(Transactions!$J:$J,ROW()-8)="",TODAY(),INDEX(Transactions!$G:$G,ROW()-8))</f>
      </c>
      <c r="F4855">
        <f>IF(INDEX(Transactions!$J:$J,ROW()-8)="",0,INDEX(Transactions!$O:$O,ROW()-8))</f>
      </c>
    </row>
    <row r="4856" spans="1:7">
      <c r="B4856">
        <f>IF(INDEX(Transactions!$J:$J,ROW()-8)="",TODAY(),INDEX(Transactions!$G:$G,ROW()-8))</f>
      </c>
      <c r="F4856">
        <f>IF(INDEX(Transactions!$J:$J,ROW()-8)="",0,INDEX(Transactions!$O:$O,ROW()-8))</f>
      </c>
    </row>
    <row r="4857" spans="1:7">
      <c r="B4857">
        <f>IF(INDEX(Transactions!$J:$J,ROW()-8)="",TODAY(),INDEX(Transactions!$G:$G,ROW()-8))</f>
      </c>
      <c r="F4857">
        <f>IF(INDEX(Transactions!$J:$J,ROW()-8)="",0,INDEX(Transactions!$O:$O,ROW()-8))</f>
      </c>
    </row>
    <row r="4858" spans="1:7">
      <c r="B4858">
        <f>IF(INDEX(Transactions!$J:$J,ROW()-8)="",TODAY(),INDEX(Transactions!$G:$G,ROW()-8))</f>
      </c>
      <c r="F4858">
        <f>IF(INDEX(Transactions!$J:$J,ROW()-8)="",0,INDEX(Transactions!$O:$O,ROW()-8))</f>
      </c>
    </row>
    <row r="4859" spans="1:7">
      <c r="B4859">
        <f>IF(INDEX(Transactions!$J:$J,ROW()-8)="",TODAY(),INDEX(Transactions!$G:$G,ROW()-8))</f>
      </c>
      <c r="F4859">
        <f>IF(INDEX(Transactions!$J:$J,ROW()-8)="",0,INDEX(Transactions!$O:$O,ROW()-8))</f>
      </c>
    </row>
    <row r="4860" spans="1:7">
      <c r="B4860">
        <f>IF(INDEX(Transactions!$J:$J,ROW()-8)="",TODAY(),INDEX(Transactions!$G:$G,ROW()-8))</f>
      </c>
      <c r="F4860">
        <f>IF(INDEX(Transactions!$J:$J,ROW()-8)="",0,INDEX(Transactions!$O:$O,ROW()-8))</f>
      </c>
    </row>
    <row r="4861" spans="1:7">
      <c r="B4861">
        <f>IF(INDEX(Transactions!$J:$J,ROW()-8)="",TODAY(),INDEX(Transactions!$G:$G,ROW()-8))</f>
      </c>
      <c r="F4861">
        <f>IF(INDEX(Transactions!$J:$J,ROW()-8)="",0,INDEX(Transactions!$O:$O,ROW()-8))</f>
      </c>
    </row>
    <row r="4862" spans="1:7">
      <c r="B4862">
        <f>IF(INDEX(Transactions!$J:$J,ROW()-8)="",TODAY(),INDEX(Transactions!$G:$G,ROW()-8))</f>
      </c>
      <c r="F4862">
        <f>IF(INDEX(Transactions!$J:$J,ROW()-8)="",0,INDEX(Transactions!$O:$O,ROW()-8))</f>
      </c>
    </row>
    <row r="4863" spans="1:7">
      <c r="B4863">
        <f>IF(INDEX(Transactions!$J:$J,ROW()-8)="",TODAY(),INDEX(Transactions!$G:$G,ROW()-8))</f>
      </c>
      <c r="F4863">
        <f>IF(INDEX(Transactions!$J:$J,ROW()-8)="",0,INDEX(Transactions!$O:$O,ROW()-8))</f>
      </c>
    </row>
    <row r="4864" spans="1:7">
      <c r="B4864">
        <f>IF(INDEX(Transactions!$J:$J,ROW()-8)="",TODAY(),INDEX(Transactions!$G:$G,ROW()-8))</f>
      </c>
      <c r="F4864">
        <f>IF(INDEX(Transactions!$J:$J,ROW()-8)="",0,INDEX(Transactions!$O:$O,ROW()-8))</f>
      </c>
    </row>
    <row r="4865" spans="1:7">
      <c r="B4865">
        <f>IF(INDEX(Transactions!$J:$J,ROW()-8)="",TODAY(),INDEX(Transactions!$G:$G,ROW()-8))</f>
      </c>
      <c r="F4865">
        <f>IF(INDEX(Transactions!$J:$J,ROW()-8)="",0,INDEX(Transactions!$O:$O,ROW()-8))</f>
      </c>
    </row>
    <row r="4866" spans="1:7">
      <c r="B4866">
        <f>IF(INDEX(Transactions!$J:$J,ROW()-8)="",TODAY(),INDEX(Transactions!$G:$G,ROW()-8))</f>
      </c>
      <c r="F4866">
        <f>IF(INDEX(Transactions!$J:$J,ROW()-8)="",0,INDEX(Transactions!$O:$O,ROW()-8))</f>
      </c>
    </row>
    <row r="4867" spans="1:7">
      <c r="B4867">
        <f>IF(INDEX(Transactions!$J:$J,ROW()-8)="",TODAY(),INDEX(Transactions!$G:$G,ROW()-8))</f>
      </c>
      <c r="F4867">
        <f>IF(INDEX(Transactions!$J:$J,ROW()-8)="",0,INDEX(Transactions!$O:$O,ROW()-8))</f>
      </c>
    </row>
    <row r="4868" spans="1:7">
      <c r="B4868">
        <f>IF(INDEX(Transactions!$J:$J,ROW()-8)="",TODAY(),INDEX(Transactions!$G:$G,ROW()-8))</f>
      </c>
      <c r="F4868">
        <f>IF(INDEX(Transactions!$J:$J,ROW()-8)="",0,INDEX(Transactions!$O:$O,ROW()-8))</f>
      </c>
    </row>
    <row r="4869" spans="1:7">
      <c r="B4869">
        <f>IF(INDEX(Transactions!$J:$J,ROW()-8)="",TODAY(),INDEX(Transactions!$G:$G,ROW()-8))</f>
      </c>
      <c r="F4869">
        <f>IF(INDEX(Transactions!$J:$J,ROW()-8)="",0,INDEX(Transactions!$O:$O,ROW()-8))</f>
      </c>
    </row>
    <row r="4870" spans="1:7">
      <c r="B4870">
        <f>IF(INDEX(Transactions!$J:$J,ROW()-8)="",TODAY(),INDEX(Transactions!$G:$G,ROW()-8))</f>
      </c>
      <c r="F4870">
        <f>IF(INDEX(Transactions!$J:$J,ROW()-8)="",0,INDEX(Transactions!$O:$O,ROW()-8))</f>
      </c>
    </row>
    <row r="4871" spans="1:7">
      <c r="B4871">
        <f>IF(INDEX(Transactions!$J:$J,ROW()-8)="",TODAY(),INDEX(Transactions!$G:$G,ROW()-8))</f>
      </c>
      <c r="F4871">
        <f>IF(INDEX(Transactions!$J:$J,ROW()-8)="",0,INDEX(Transactions!$O:$O,ROW()-8))</f>
      </c>
    </row>
    <row r="4872" spans="1:7">
      <c r="B4872">
        <f>IF(INDEX(Transactions!$J:$J,ROW()-8)="",TODAY(),INDEX(Transactions!$G:$G,ROW()-8))</f>
      </c>
      <c r="F4872">
        <f>IF(INDEX(Transactions!$J:$J,ROW()-8)="",0,INDEX(Transactions!$O:$O,ROW()-8))</f>
      </c>
    </row>
    <row r="4873" spans="1:7">
      <c r="B4873">
        <f>IF(INDEX(Transactions!$J:$J,ROW()-8)="",TODAY(),INDEX(Transactions!$G:$G,ROW()-8))</f>
      </c>
      <c r="F4873">
        <f>IF(INDEX(Transactions!$J:$J,ROW()-8)="",0,INDEX(Transactions!$O:$O,ROW()-8))</f>
      </c>
    </row>
    <row r="4874" spans="1:7">
      <c r="B4874">
        <f>IF(INDEX(Transactions!$J:$J,ROW()-8)="",TODAY(),INDEX(Transactions!$G:$G,ROW()-8))</f>
      </c>
      <c r="F4874">
        <f>IF(INDEX(Transactions!$J:$J,ROW()-8)="",0,INDEX(Transactions!$O:$O,ROW()-8))</f>
      </c>
    </row>
    <row r="4875" spans="1:7">
      <c r="B4875">
        <f>IF(INDEX(Transactions!$J:$J,ROW()-8)="",TODAY(),INDEX(Transactions!$G:$G,ROW()-8))</f>
      </c>
      <c r="F4875">
        <f>IF(INDEX(Transactions!$J:$J,ROW()-8)="",0,INDEX(Transactions!$O:$O,ROW()-8))</f>
      </c>
    </row>
    <row r="4876" spans="1:7">
      <c r="B4876">
        <f>IF(INDEX(Transactions!$J:$J,ROW()-8)="",TODAY(),INDEX(Transactions!$G:$G,ROW()-8))</f>
      </c>
      <c r="F4876">
        <f>IF(INDEX(Transactions!$J:$J,ROW()-8)="",0,INDEX(Transactions!$O:$O,ROW()-8))</f>
      </c>
    </row>
    <row r="4877" spans="1:7">
      <c r="B4877">
        <f>IF(INDEX(Transactions!$J:$J,ROW()-8)="",TODAY(),INDEX(Transactions!$G:$G,ROW()-8))</f>
      </c>
      <c r="F4877">
        <f>IF(INDEX(Transactions!$J:$J,ROW()-8)="",0,INDEX(Transactions!$O:$O,ROW()-8))</f>
      </c>
    </row>
    <row r="4878" spans="1:7">
      <c r="B4878">
        <f>IF(INDEX(Transactions!$J:$J,ROW()-8)="",TODAY(),INDEX(Transactions!$G:$G,ROW()-8))</f>
      </c>
      <c r="F4878">
        <f>IF(INDEX(Transactions!$J:$J,ROW()-8)="",0,INDEX(Transactions!$O:$O,ROW()-8))</f>
      </c>
    </row>
    <row r="4879" spans="1:7">
      <c r="B4879">
        <f>IF(INDEX(Transactions!$J:$J,ROW()-8)="",TODAY(),INDEX(Transactions!$G:$G,ROW()-8))</f>
      </c>
      <c r="F4879">
        <f>IF(INDEX(Transactions!$J:$J,ROW()-8)="",0,INDEX(Transactions!$O:$O,ROW()-8))</f>
      </c>
    </row>
    <row r="4880" spans="1:7">
      <c r="B4880">
        <f>IF(INDEX(Transactions!$J:$J,ROW()-8)="",TODAY(),INDEX(Transactions!$G:$G,ROW()-8))</f>
      </c>
      <c r="F4880">
        <f>IF(INDEX(Transactions!$J:$J,ROW()-8)="",0,INDEX(Transactions!$O:$O,ROW()-8))</f>
      </c>
    </row>
    <row r="4881" spans="1:7">
      <c r="B4881">
        <f>IF(INDEX(Transactions!$J:$J,ROW()-8)="",TODAY(),INDEX(Transactions!$G:$G,ROW()-8))</f>
      </c>
      <c r="F4881">
        <f>IF(INDEX(Transactions!$J:$J,ROW()-8)="",0,INDEX(Transactions!$O:$O,ROW()-8))</f>
      </c>
    </row>
    <row r="4882" spans="1:7">
      <c r="B4882">
        <f>IF(INDEX(Transactions!$J:$J,ROW()-8)="",TODAY(),INDEX(Transactions!$G:$G,ROW()-8))</f>
      </c>
      <c r="F4882">
        <f>IF(INDEX(Transactions!$J:$J,ROW()-8)="",0,INDEX(Transactions!$O:$O,ROW()-8))</f>
      </c>
    </row>
    <row r="4883" spans="1:7">
      <c r="B4883">
        <f>IF(INDEX(Transactions!$J:$J,ROW()-8)="",TODAY(),INDEX(Transactions!$G:$G,ROW()-8))</f>
      </c>
      <c r="F4883">
        <f>IF(INDEX(Transactions!$J:$J,ROW()-8)="",0,INDEX(Transactions!$O:$O,ROW()-8))</f>
      </c>
    </row>
    <row r="4884" spans="1:7">
      <c r="B4884">
        <f>IF(INDEX(Transactions!$J:$J,ROW()-8)="",TODAY(),INDEX(Transactions!$G:$G,ROW()-8))</f>
      </c>
      <c r="F4884">
        <f>IF(INDEX(Transactions!$J:$J,ROW()-8)="",0,INDEX(Transactions!$O:$O,ROW()-8))</f>
      </c>
    </row>
    <row r="4885" spans="1:7">
      <c r="B4885">
        <f>IF(INDEX(Transactions!$J:$J,ROW()-8)="",TODAY(),INDEX(Transactions!$G:$G,ROW()-8))</f>
      </c>
      <c r="F4885">
        <f>IF(INDEX(Transactions!$J:$J,ROW()-8)="",0,INDEX(Transactions!$O:$O,ROW()-8))</f>
      </c>
    </row>
    <row r="4886" spans="1:7">
      <c r="B4886">
        <f>IF(INDEX(Transactions!$J:$J,ROW()-8)="",TODAY(),INDEX(Transactions!$G:$G,ROW()-8))</f>
      </c>
      <c r="F4886">
        <f>IF(INDEX(Transactions!$J:$J,ROW()-8)="",0,INDEX(Transactions!$O:$O,ROW()-8))</f>
      </c>
    </row>
    <row r="4887" spans="1:7">
      <c r="B4887">
        <f>IF(INDEX(Transactions!$J:$J,ROW()-8)="",TODAY(),INDEX(Transactions!$G:$G,ROW()-8))</f>
      </c>
      <c r="F4887">
        <f>IF(INDEX(Transactions!$J:$J,ROW()-8)="",0,INDEX(Transactions!$O:$O,ROW()-8))</f>
      </c>
    </row>
    <row r="4888" spans="1:7">
      <c r="B4888">
        <f>IF(INDEX(Transactions!$J:$J,ROW()-8)="",TODAY(),INDEX(Transactions!$G:$G,ROW()-8))</f>
      </c>
      <c r="F4888">
        <f>IF(INDEX(Transactions!$J:$J,ROW()-8)="",0,INDEX(Transactions!$O:$O,ROW()-8))</f>
      </c>
    </row>
    <row r="4889" spans="1:7">
      <c r="B4889">
        <f>IF(INDEX(Transactions!$J:$J,ROW()-8)="",TODAY(),INDEX(Transactions!$G:$G,ROW()-8))</f>
      </c>
      <c r="F4889">
        <f>IF(INDEX(Transactions!$J:$J,ROW()-8)="",0,INDEX(Transactions!$O:$O,ROW()-8))</f>
      </c>
    </row>
    <row r="4890" spans="1:7">
      <c r="B4890">
        <f>IF(INDEX(Transactions!$J:$J,ROW()-8)="",TODAY(),INDEX(Transactions!$G:$G,ROW()-8))</f>
      </c>
      <c r="F4890">
        <f>IF(INDEX(Transactions!$J:$J,ROW()-8)="",0,INDEX(Transactions!$O:$O,ROW()-8))</f>
      </c>
    </row>
    <row r="4891" spans="1:7">
      <c r="B4891">
        <f>IF(INDEX(Transactions!$J:$J,ROW()-8)="",TODAY(),INDEX(Transactions!$G:$G,ROW()-8))</f>
      </c>
      <c r="F4891">
        <f>IF(INDEX(Transactions!$J:$J,ROW()-8)="",0,INDEX(Transactions!$O:$O,ROW()-8))</f>
      </c>
    </row>
    <row r="4892" spans="1:7">
      <c r="B4892">
        <f>IF(INDEX(Transactions!$J:$J,ROW()-8)="",TODAY(),INDEX(Transactions!$G:$G,ROW()-8))</f>
      </c>
      <c r="F4892">
        <f>IF(INDEX(Transactions!$J:$J,ROW()-8)="",0,INDEX(Transactions!$O:$O,ROW()-8))</f>
      </c>
    </row>
    <row r="4893" spans="1:7">
      <c r="B4893">
        <f>IF(INDEX(Transactions!$J:$J,ROW()-8)="",TODAY(),INDEX(Transactions!$G:$G,ROW()-8))</f>
      </c>
      <c r="F4893">
        <f>IF(INDEX(Transactions!$J:$J,ROW()-8)="",0,INDEX(Transactions!$O:$O,ROW()-8))</f>
      </c>
    </row>
    <row r="4894" spans="1:7">
      <c r="B4894">
        <f>IF(INDEX(Transactions!$J:$J,ROW()-8)="",TODAY(),INDEX(Transactions!$G:$G,ROW()-8))</f>
      </c>
      <c r="F4894">
        <f>IF(INDEX(Transactions!$J:$J,ROW()-8)="",0,INDEX(Transactions!$O:$O,ROW()-8))</f>
      </c>
    </row>
    <row r="4895" spans="1:7">
      <c r="B4895">
        <f>IF(INDEX(Transactions!$J:$J,ROW()-8)="",TODAY(),INDEX(Transactions!$G:$G,ROW()-8))</f>
      </c>
      <c r="F4895">
        <f>IF(INDEX(Transactions!$J:$J,ROW()-8)="",0,INDEX(Transactions!$O:$O,ROW()-8))</f>
      </c>
    </row>
    <row r="4896" spans="1:7">
      <c r="B4896">
        <f>IF(INDEX(Transactions!$J:$J,ROW()-8)="",TODAY(),INDEX(Transactions!$G:$G,ROW()-8))</f>
      </c>
      <c r="F4896">
        <f>IF(INDEX(Transactions!$J:$J,ROW()-8)="",0,INDEX(Transactions!$O:$O,ROW()-8))</f>
      </c>
    </row>
    <row r="4897" spans="1:7">
      <c r="B4897">
        <f>IF(INDEX(Transactions!$J:$J,ROW()-8)="",TODAY(),INDEX(Transactions!$G:$G,ROW()-8))</f>
      </c>
      <c r="F4897">
        <f>IF(INDEX(Transactions!$J:$J,ROW()-8)="",0,INDEX(Transactions!$O:$O,ROW()-8))</f>
      </c>
    </row>
    <row r="4898" spans="1:7">
      <c r="B4898">
        <f>IF(INDEX(Transactions!$J:$J,ROW()-8)="",TODAY(),INDEX(Transactions!$G:$G,ROW()-8))</f>
      </c>
      <c r="F4898">
        <f>IF(INDEX(Transactions!$J:$J,ROW()-8)="",0,INDEX(Transactions!$O:$O,ROW()-8))</f>
      </c>
    </row>
    <row r="4899" spans="1:7">
      <c r="B4899">
        <f>IF(INDEX(Transactions!$J:$J,ROW()-8)="",TODAY(),INDEX(Transactions!$G:$G,ROW()-8))</f>
      </c>
      <c r="F4899">
        <f>IF(INDEX(Transactions!$J:$J,ROW()-8)="",0,INDEX(Transactions!$O:$O,ROW()-8))</f>
      </c>
    </row>
    <row r="4900" spans="1:7">
      <c r="B4900">
        <f>IF(INDEX(Transactions!$J:$J,ROW()-8)="",TODAY(),INDEX(Transactions!$G:$G,ROW()-8))</f>
      </c>
      <c r="F4900">
        <f>IF(INDEX(Transactions!$J:$J,ROW()-8)="",0,INDEX(Transactions!$O:$O,ROW()-8))</f>
      </c>
    </row>
    <row r="4901" spans="1:7">
      <c r="B4901">
        <f>IF(INDEX(Transactions!$J:$J,ROW()-8)="",TODAY(),INDEX(Transactions!$G:$G,ROW()-8))</f>
      </c>
      <c r="F4901">
        <f>IF(INDEX(Transactions!$J:$J,ROW()-8)="",0,INDEX(Transactions!$O:$O,ROW()-8))</f>
      </c>
    </row>
    <row r="4902" spans="1:7">
      <c r="B4902">
        <f>IF(INDEX(Transactions!$J:$J,ROW()-8)="",TODAY(),INDEX(Transactions!$G:$G,ROW()-8))</f>
      </c>
      <c r="F4902">
        <f>IF(INDEX(Transactions!$J:$J,ROW()-8)="",0,INDEX(Transactions!$O:$O,ROW()-8))</f>
      </c>
    </row>
    <row r="4903" spans="1:7">
      <c r="B4903">
        <f>IF(INDEX(Transactions!$J:$J,ROW()-8)="",TODAY(),INDEX(Transactions!$G:$G,ROW()-8))</f>
      </c>
      <c r="F4903">
        <f>IF(INDEX(Transactions!$J:$J,ROW()-8)="",0,INDEX(Transactions!$O:$O,ROW()-8))</f>
      </c>
    </row>
    <row r="4904" spans="1:7">
      <c r="B4904">
        <f>IF(INDEX(Transactions!$J:$J,ROW()-8)="",TODAY(),INDEX(Transactions!$G:$G,ROW()-8))</f>
      </c>
      <c r="F4904">
        <f>IF(INDEX(Transactions!$J:$J,ROW()-8)="",0,INDEX(Transactions!$O:$O,ROW()-8))</f>
      </c>
    </row>
    <row r="4905" spans="1:7">
      <c r="B4905">
        <f>IF(INDEX(Transactions!$J:$J,ROW()-8)="",TODAY(),INDEX(Transactions!$G:$G,ROW()-8))</f>
      </c>
      <c r="F4905">
        <f>IF(INDEX(Transactions!$J:$J,ROW()-8)="",0,INDEX(Transactions!$O:$O,ROW()-8))</f>
      </c>
    </row>
    <row r="4906" spans="1:7">
      <c r="B4906">
        <f>IF(INDEX(Transactions!$J:$J,ROW()-8)="",TODAY(),INDEX(Transactions!$G:$G,ROW()-8))</f>
      </c>
      <c r="F4906">
        <f>IF(INDEX(Transactions!$J:$J,ROW()-8)="",0,INDEX(Transactions!$O:$O,ROW()-8))</f>
      </c>
    </row>
    <row r="4907" spans="1:7">
      <c r="B4907">
        <f>IF(INDEX(Transactions!$J:$J,ROW()-8)="",TODAY(),INDEX(Transactions!$G:$G,ROW()-8))</f>
      </c>
      <c r="F4907">
        <f>IF(INDEX(Transactions!$J:$J,ROW()-8)="",0,INDEX(Transactions!$O:$O,ROW()-8))</f>
      </c>
    </row>
    <row r="4908" spans="1:7">
      <c r="B4908">
        <f>IF(INDEX(Transactions!$J:$J,ROW()-8)="",TODAY(),INDEX(Transactions!$G:$G,ROW()-8))</f>
      </c>
      <c r="F4908">
        <f>IF(INDEX(Transactions!$J:$J,ROW()-8)="",0,INDEX(Transactions!$O:$O,ROW()-8))</f>
      </c>
    </row>
    <row r="4909" spans="1:7">
      <c r="B4909">
        <f>IF(INDEX(Transactions!$J:$J,ROW()-8)="",TODAY(),INDEX(Transactions!$G:$G,ROW()-8))</f>
      </c>
      <c r="F4909">
        <f>IF(INDEX(Transactions!$J:$J,ROW()-8)="",0,INDEX(Transactions!$O:$O,ROW()-8))</f>
      </c>
    </row>
    <row r="4910" spans="1:7">
      <c r="B4910">
        <f>IF(INDEX(Transactions!$J:$J,ROW()-8)="",TODAY(),INDEX(Transactions!$G:$G,ROW()-8))</f>
      </c>
      <c r="F4910">
        <f>IF(INDEX(Transactions!$J:$J,ROW()-8)="",0,INDEX(Transactions!$O:$O,ROW()-8))</f>
      </c>
    </row>
    <row r="4911" spans="1:7">
      <c r="B4911">
        <f>IF(INDEX(Transactions!$J:$J,ROW()-8)="",TODAY(),INDEX(Transactions!$G:$G,ROW()-8))</f>
      </c>
      <c r="F4911">
        <f>IF(INDEX(Transactions!$J:$J,ROW()-8)="",0,INDEX(Transactions!$O:$O,ROW()-8))</f>
      </c>
    </row>
    <row r="4912" spans="1:7">
      <c r="B4912">
        <f>IF(INDEX(Transactions!$J:$J,ROW()-8)="",TODAY(),INDEX(Transactions!$G:$G,ROW()-8))</f>
      </c>
      <c r="F4912">
        <f>IF(INDEX(Transactions!$J:$J,ROW()-8)="",0,INDEX(Transactions!$O:$O,ROW()-8))</f>
      </c>
    </row>
    <row r="4913" spans="1:7">
      <c r="B4913">
        <f>IF(INDEX(Transactions!$J:$J,ROW()-8)="",TODAY(),INDEX(Transactions!$G:$G,ROW()-8))</f>
      </c>
      <c r="F4913">
        <f>IF(INDEX(Transactions!$J:$J,ROW()-8)="",0,INDEX(Transactions!$O:$O,ROW()-8))</f>
      </c>
    </row>
    <row r="4914" spans="1:7">
      <c r="B4914">
        <f>IF(INDEX(Transactions!$J:$J,ROW()-8)="",TODAY(),INDEX(Transactions!$G:$G,ROW()-8))</f>
      </c>
      <c r="F4914">
        <f>IF(INDEX(Transactions!$J:$J,ROW()-8)="",0,INDEX(Transactions!$O:$O,ROW()-8))</f>
      </c>
    </row>
    <row r="4915" spans="1:7">
      <c r="B4915">
        <f>IF(INDEX(Transactions!$J:$J,ROW()-8)="",TODAY(),INDEX(Transactions!$G:$G,ROW()-8))</f>
      </c>
      <c r="F4915">
        <f>IF(INDEX(Transactions!$J:$J,ROW()-8)="",0,INDEX(Transactions!$O:$O,ROW()-8))</f>
      </c>
    </row>
    <row r="4916" spans="1:7">
      <c r="B4916">
        <f>IF(INDEX(Transactions!$J:$J,ROW()-8)="",TODAY(),INDEX(Transactions!$G:$G,ROW()-8))</f>
      </c>
      <c r="F4916">
        <f>IF(INDEX(Transactions!$J:$J,ROW()-8)="",0,INDEX(Transactions!$O:$O,ROW()-8))</f>
      </c>
    </row>
    <row r="4917" spans="1:7">
      <c r="B4917">
        <f>IF(INDEX(Transactions!$J:$J,ROW()-8)="",TODAY(),INDEX(Transactions!$G:$G,ROW()-8))</f>
      </c>
      <c r="F4917">
        <f>IF(INDEX(Transactions!$J:$J,ROW()-8)="",0,INDEX(Transactions!$O:$O,ROW()-8))</f>
      </c>
    </row>
    <row r="4918" spans="1:7">
      <c r="B4918">
        <f>IF(INDEX(Transactions!$J:$J,ROW()-8)="",TODAY(),INDEX(Transactions!$G:$G,ROW()-8))</f>
      </c>
      <c r="F4918">
        <f>IF(INDEX(Transactions!$J:$J,ROW()-8)="",0,INDEX(Transactions!$O:$O,ROW()-8))</f>
      </c>
    </row>
    <row r="4919" spans="1:7">
      <c r="B4919">
        <f>IF(INDEX(Transactions!$J:$J,ROW()-8)="",TODAY(),INDEX(Transactions!$G:$G,ROW()-8))</f>
      </c>
      <c r="F4919">
        <f>IF(INDEX(Transactions!$J:$J,ROW()-8)="",0,INDEX(Transactions!$O:$O,ROW()-8))</f>
      </c>
    </row>
    <row r="4920" spans="1:7">
      <c r="B4920">
        <f>IF(INDEX(Transactions!$J:$J,ROW()-8)="",TODAY(),INDEX(Transactions!$G:$G,ROW()-8))</f>
      </c>
      <c r="F4920">
        <f>IF(INDEX(Transactions!$J:$J,ROW()-8)="",0,INDEX(Transactions!$O:$O,ROW()-8))</f>
      </c>
    </row>
    <row r="4921" spans="1:7">
      <c r="B4921">
        <f>IF(INDEX(Transactions!$J:$J,ROW()-8)="",TODAY(),INDEX(Transactions!$G:$G,ROW()-8))</f>
      </c>
      <c r="F4921">
        <f>IF(INDEX(Transactions!$J:$J,ROW()-8)="",0,INDEX(Transactions!$O:$O,ROW()-8))</f>
      </c>
    </row>
    <row r="4922" spans="1:7">
      <c r="B4922">
        <f>IF(INDEX(Transactions!$J:$J,ROW()-8)="",TODAY(),INDEX(Transactions!$G:$G,ROW()-8))</f>
      </c>
      <c r="F4922">
        <f>IF(INDEX(Transactions!$J:$J,ROW()-8)="",0,INDEX(Transactions!$O:$O,ROW()-8))</f>
      </c>
    </row>
    <row r="4923" spans="1:7">
      <c r="B4923">
        <f>IF(INDEX(Transactions!$J:$J,ROW()-8)="",TODAY(),INDEX(Transactions!$G:$G,ROW()-8))</f>
      </c>
      <c r="F4923">
        <f>IF(INDEX(Transactions!$J:$J,ROW()-8)="",0,INDEX(Transactions!$O:$O,ROW()-8))</f>
      </c>
    </row>
    <row r="4924" spans="1:7">
      <c r="B4924">
        <f>IF(INDEX(Transactions!$J:$J,ROW()-8)="",TODAY(),INDEX(Transactions!$G:$G,ROW()-8))</f>
      </c>
      <c r="F4924">
        <f>IF(INDEX(Transactions!$J:$J,ROW()-8)="",0,INDEX(Transactions!$O:$O,ROW()-8))</f>
      </c>
    </row>
    <row r="4925" spans="1:7">
      <c r="B4925">
        <f>IF(INDEX(Transactions!$J:$J,ROW()-8)="",TODAY(),INDEX(Transactions!$G:$G,ROW()-8))</f>
      </c>
      <c r="F4925">
        <f>IF(INDEX(Transactions!$J:$J,ROW()-8)="",0,INDEX(Transactions!$O:$O,ROW()-8))</f>
      </c>
    </row>
    <row r="4926" spans="1:7">
      <c r="B4926">
        <f>IF(INDEX(Transactions!$J:$J,ROW()-8)="",TODAY(),INDEX(Transactions!$G:$G,ROW()-8))</f>
      </c>
      <c r="F4926">
        <f>IF(INDEX(Transactions!$J:$J,ROW()-8)="",0,INDEX(Transactions!$O:$O,ROW()-8))</f>
      </c>
    </row>
    <row r="4927" spans="1:7">
      <c r="B4927">
        <f>IF(INDEX(Transactions!$J:$J,ROW()-8)="",TODAY(),INDEX(Transactions!$G:$G,ROW()-8))</f>
      </c>
      <c r="F4927">
        <f>IF(INDEX(Transactions!$J:$J,ROW()-8)="",0,INDEX(Transactions!$O:$O,ROW()-8))</f>
      </c>
    </row>
    <row r="4928" spans="1:7">
      <c r="B4928">
        <f>IF(INDEX(Transactions!$J:$J,ROW()-8)="",TODAY(),INDEX(Transactions!$G:$G,ROW()-8))</f>
      </c>
      <c r="F4928">
        <f>IF(INDEX(Transactions!$J:$J,ROW()-8)="",0,INDEX(Transactions!$O:$O,ROW()-8))</f>
      </c>
    </row>
    <row r="4929" spans="1:7">
      <c r="B4929">
        <f>IF(INDEX(Transactions!$J:$J,ROW()-8)="",TODAY(),INDEX(Transactions!$G:$G,ROW()-8))</f>
      </c>
      <c r="F4929">
        <f>IF(INDEX(Transactions!$J:$J,ROW()-8)="",0,INDEX(Transactions!$O:$O,ROW()-8))</f>
      </c>
    </row>
    <row r="4930" spans="1:7">
      <c r="B4930">
        <f>IF(INDEX(Transactions!$J:$J,ROW()-8)="",TODAY(),INDEX(Transactions!$G:$G,ROW()-8))</f>
      </c>
      <c r="F4930">
        <f>IF(INDEX(Transactions!$J:$J,ROW()-8)="",0,INDEX(Transactions!$O:$O,ROW()-8))</f>
      </c>
    </row>
    <row r="4931" spans="1:7">
      <c r="B4931">
        <f>IF(INDEX(Transactions!$J:$J,ROW()-8)="",TODAY(),INDEX(Transactions!$G:$G,ROW()-8))</f>
      </c>
      <c r="F4931">
        <f>IF(INDEX(Transactions!$J:$J,ROW()-8)="",0,INDEX(Transactions!$O:$O,ROW()-8))</f>
      </c>
    </row>
    <row r="4932" spans="1:7">
      <c r="B4932">
        <f>IF(INDEX(Transactions!$J:$J,ROW()-8)="",TODAY(),INDEX(Transactions!$G:$G,ROW()-8))</f>
      </c>
      <c r="F4932">
        <f>IF(INDEX(Transactions!$J:$J,ROW()-8)="",0,INDEX(Transactions!$O:$O,ROW()-8))</f>
      </c>
    </row>
    <row r="4933" spans="1:7">
      <c r="B4933">
        <f>IF(INDEX(Transactions!$J:$J,ROW()-8)="",TODAY(),INDEX(Transactions!$G:$G,ROW()-8))</f>
      </c>
      <c r="F4933">
        <f>IF(INDEX(Transactions!$J:$J,ROW()-8)="",0,INDEX(Transactions!$O:$O,ROW()-8))</f>
      </c>
    </row>
    <row r="4934" spans="1:7">
      <c r="B4934">
        <f>IF(INDEX(Transactions!$J:$J,ROW()-8)="",TODAY(),INDEX(Transactions!$G:$G,ROW()-8))</f>
      </c>
      <c r="F4934">
        <f>IF(INDEX(Transactions!$J:$J,ROW()-8)="",0,INDEX(Transactions!$O:$O,ROW()-8))</f>
      </c>
    </row>
    <row r="4935" spans="1:7">
      <c r="B4935">
        <f>IF(INDEX(Transactions!$J:$J,ROW()-8)="",TODAY(),INDEX(Transactions!$G:$G,ROW()-8))</f>
      </c>
      <c r="F4935">
        <f>IF(INDEX(Transactions!$J:$J,ROW()-8)="",0,INDEX(Transactions!$O:$O,ROW()-8))</f>
      </c>
    </row>
    <row r="4936" spans="1:7">
      <c r="B4936">
        <f>IF(INDEX(Transactions!$J:$J,ROW()-8)="",TODAY(),INDEX(Transactions!$G:$G,ROW()-8))</f>
      </c>
      <c r="F4936">
        <f>IF(INDEX(Transactions!$J:$J,ROW()-8)="",0,INDEX(Transactions!$O:$O,ROW()-8))</f>
      </c>
    </row>
    <row r="4937" spans="1:7">
      <c r="B4937">
        <f>IF(INDEX(Transactions!$J:$J,ROW()-8)="",TODAY(),INDEX(Transactions!$G:$G,ROW()-8))</f>
      </c>
      <c r="F4937">
        <f>IF(INDEX(Transactions!$J:$J,ROW()-8)="",0,INDEX(Transactions!$O:$O,ROW()-8))</f>
      </c>
    </row>
    <row r="4938" spans="1:7">
      <c r="B4938">
        <f>IF(INDEX(Transactions!$J:$J,ROW()-8)="",TODAY(),INDEX(Transactions!$G:$G,ROW()-8))</f>
      </c>
      <c r="F4938">
        <f>IF(INDEX(Transactions!$J:$J,ROW()-8)="",0,INDEX(Transactions!$O:$O,ROW()-8))</f>
      </c>
    </row>
    <row r="4939" spans="1:7">
      <c r="B4939">
        <f>IF(INDEX(Transactions!$J:$J,ROW()-8)="",TODAY(),INDEX(Transactions!$G:$G,ROW()-8))</f>
      </c>
      <c r="F4939">
        <f>IF(INDEX(Transactions!$J:$J,ROW()-8)="",0,INDEX(Transactions!$O:$O,ROW()-8))</f>
      </c>
    </row>
    <row r="4940" spans="1:7">
      <c r="B4940">
        <f>IF(INDEX(Transactions!$J:$J,ROW()-8)="",TODAY(),INDEX(Transactions!$G:$G,ROW()-8))</f>
      </c>
      <c r="F4940">
        <f>IF(INDEX(Transactions!$J:$J,ROW()-8)="",0,INDEX(Transactions!$O:$O,ROW()-8))</f>
      </c>
    </row>
    <row r="4941" spans="1:7">
      <c r="B4941">
        <f>IF(INDEX(Transactions!$J:$J,ROW()-8)="",TODAY(),INDEX(Transactions!$G:$G,ROW()-8))</f>
      </c>
      <c r="F4941">
        <f>IF(INDEX(Transactions!$J:$J,ROW()-8)="",0,INDEX(Transactions!$O:$O,ROW()-8))</f>
      </c>
    </row>
    <row r="4942" spans="1:7">
      <c r="B4942">
        <f>IF(INDEX(Transactions!$J:$J,ROW()-8)="",TODAY(),INDEX(Transactions!$G:$G,ROW()-8))</f>
      </c>
      <c r="F4942">
        <f>IF(INDEX(Transactions!$J:$J,ROW()-8)="",0,INDEX(Transactions!$O:$O,ROW()-8))</f>
      </c>
    </row>
    <row r="4943" spans="1:7">
      <c r="B4943">
        <f>IF(INDEX(Transactions!$J:$J,ROW()-8)="",TODAY(),INDEX(Transactions!$G:$G,ROW()-8))</f>
      </c>
      <c r="F4943">
        <f>IF(INDEX(Transactions!$J:$J,ROW()-8)="",0,INDEX(Transactions!$O:$O,ROW()-8))</f>
      </c>
    </row>
    <row r="4944" spans="1:7">
      <c r="B4944">
        <f>IF(INDEX(Transactions!$J:$J,ROW()-8)="",TODAY(),INDEX(Transactions!$G:$G,ROW()-8))</f>
      </c>
      <c r="F4944">
        <f>IF(INDEX(Transactions!$J:$J,ROW()-8)="",0,INDEX(Transactions!$O:$O,ROW()-8))</f>
      </c>
    </row>
    <row r="4945" spans="1:7">
      <c r="B4945">
        <f>IF(INDEX(Transactions!$J:$J,ROW()-8)="",TODAY(),INDEX(Transactions!$G:$G,ROW()-8))</f>
      </c>
      <c r="F4945">
        <f>IF(INDEX(Transactions!$J:$J,ROW()-8)="",0,INDEX(Transactions!$O:$O,ROW()-8))</f>
      </c>
    </row>
    <row r="4946" spans="1:7">
      <c r="B4946">
        <f>IF(INDEX(Transactions!$J:$J,ROW()-8)="",TODAY(),INDEX(Transactions!$G:$G,ROW()-8))</f>
      </c>
      <c r="F4946">
        <f>IF(INDEX(Transactions!$J:$J,ROW()-8)="",0,INDEX(Transactions!$O:$O,ROW()-8))</f>
      </c>
    </row>
    <row r="4947" spans="1:7">
      <c r="B4947">
        <f>IF(INDEX(Transactions!$J:$J,ROW()-8)="",TODAY(),INDEX(Transactions!$G:$G,ROW()-8))</f>
      </c>
      <c r="F4947">
        <f>IF(INDEX(Transactions!$J:$J,ROW()-8)="",0,INDEX(Transactions!$O:$O,ROW()-8))</f>
      </c>
    </row>
    <row r="4948" spans="1:7">
      <c r="B4948">
        <f>IF(INDEX(Transactions!$J:$J,ROW()-8)="",TODAY(),INDEX(Transactions!$G:$G,ROW()-8))</f>
      </c>
      <c r="F4948">
        <f>IF(INDEX(Transactions!$J:$J,ROW()-8)="",0,INDEX(Transactions!$O:$O,ROW()-8))</f>
      </c>
    </row>
    <row r="4949" spans="1:7">
      <c r="B4949">
        <f>IF(INDEX(Transactions!$J:$J,ROW()-8)="",TODAY(),INDEX(Transactions!$G:$G,ROW()-8))</f>
      </c>
      <c r="F4949">
        <f>IF(INDEX(Transactions!$J:$J,ROW()-8)="",0,INDEX(Transactions!$O:$O,ROW()-8))</f>
      </c>
    </row>
    <row r="4950" spans="1:7">
      <c r="B4950">
        <f>IF(INDEX(Transactions!$J:$J,ROW()-8)="",TODAY(),INDEX(Transactions!$G:$G,ROW()-8))</f>
      </c>
      <c r="F4950">
        <f>IF(INDEX(Transactions!$J:$J,ROW()-8)="",0,INDEX(Transactions!$O:$O,ROW()-8))</f>
      </c>
    </row>
    <row r="4951" spans="1:7">
      <c r="B4951">
        <f>IF(INDEX(Transactions!$J:$J,ROW()-8)="",TODAY(),INDEX(Transactions!$G:$G,ROW()-8))</f>
      </c>
      <c r="F4951">
        <f>IF(INDEX(Transactions!$J:$J,ROW()-8)="",0,INDEX(Transactions!$O:$O,ROW()-8))</f>
      </c>
    </row>
    <row r="4952" spans="1:7">
      <c r="B4952">
        <f>IF(INDEX(Transactions!$J:$J,ROW()-8)="",TODAY(),INDEX(Transactions!$G:$G,ROW()-8))</f>
      </c>
      <c r="F4952">
        <f>IF(INDEX(Transactions!$J:$J,ROW()-8)="",0,INDEX(Transactions!$O:$O,ROW()-8))</f>
      </c>
    </row>
    <row r="4953" spans="1:7">
      <c r="B4953">
        <f>IF(INDEX(Transactions!$J:$J,ROW()-8)="",TODAY(),INDEX(Transactions!$G:$G,ROW()-8))</f>
      </c>
      <c r="F4953">
        <f>IF(INDEX(Transactions!$J:$J,ROW()-8)="",0,INDEX(Transactions!$O:$O,ROW()-8))</f>
      </c>
    </row>
    <row r="4954" spans="1:7">
      <c r="B4954">
        <f>IF(INDEX(Transactions!$J:$J,ROW()-8)="",TODAY(),INDEX(Transactions!$G:$G,ROW()-8))</f>
      </c>
      <c r="F4954">
        <f>IF(INDEX(Transactions!$J:$J,ROW()-8)="",0,INDEX(Transactions!$O:$O,ROW()-8))</f>
      </c>
    </row>
    <row r="4955" spans="1:7">
      <c r="B4955">
        <f>IF(INDEX(Transactions!$J:$J,ROW()-8)="",TODAY(),INDEX(Transactions!$G:$G,ROW()-8))</f>
      </c>
      <c r="F4955">
        <f>IF(INDEX(Transactions!$J:$J,ROW()-8)="",0,INDEX(Transactions!$O:$O,ROW()-8))</f>
      </c>
    </row>
    <row r="4956" spans="1:7">
      <c r="B4956">
        <f>IF(INDEX(Transactions!$J:$J,ROW()-8)="",TODAY(),INDEX(Transactions!$G:$G,ROW()-8))</f>
      </c>
      <c r="F4956">
        <f>IF(INDEX(Transactions!$J:$J,ROW()-8)="",0,INDEX(Transactions!$O:$O,ROW()-8))</f>
      </c>
    </row>
    <row r="4957" spans="1:7">
      <c r="B4957">
        <f>IF(INDEX(Transactions!$J:$J,ROW()-8)="",TODAY(),INDEX(Transactions!$G:$G,ROW()-8))</f>
      </c>
      <c r="F4957">
        <f>IF(INDEX(Transactions!$J:$J,ROW()-8)="",0,INDEX(Transactions!$O:$O,ROW()-8))</f>
      </c>
    </row>
    <row r="4958" spans="1:7">
      <c r="B4958">
        <f>IF(INDEX(Transactions!$J:$J,ROW()-8)="",TODAY(),INDEX(Transactions!$G:$G,ROW()-8))</f>
      </c>
      <c r="F4958">
        <f>IF(INDEX(Transactions!$J:$J,ROW()-8)="",0,INDEX(Transactions!$O:$O,ROW()-8))</f>
      </c>
    </row>
    <row r="4959" spans="1:7">
      <c r="B4959">
        <f>IF(INDEX(Transactions!$J:$J,ROW()-8)="",TODAY(),INDEX(Transactions!$G:$G,ROW()-8))</f>
      </c>
      <c r="F4959">
        <f>IF(INDEX(Transactions!$J:$J,ROW()-8)="",0,INDEX(Transactions!$O:$O,ROW()-8))</f>
      </c>
    </row>
    <row r="4960" spans="1:7">
      <c r="B4960">
        <f>IF(INDEX(Transactions!$J:$J,ROW()-8)="",TODAY(),INDEX(Transactions!$G:$G,ROW()-8))</f>
      </c>
      <c r="F4960">
        <f>IF(INDEX(Transactions!$J:$J,ROW()-8)="",0,INDEX(Transactions!$O:$O,ROW()-8))</f>
      </c>
    </row>
    <row r="4961" spans="1:7">
      <c r="B4961">
        <f>IF(INDEX(Transactions!$J:$J,ROW()-8)="",TODAY(),INDEX(Transactions!$G:$G,ROW()-8))</f>
      </c>
      <c r="F4961">
        <f>IF(INDEX(Transactions!$J:$J,ROW()-8)="",0,INDEX(Transactions!$O:$O,ROW()-8))</f>
      </c>
    </row>
    <row r="4962" spans="1:7">
      <c r="B4962">
        <f>IF(INDEX(Transactions!$J:$J,ROW()-8)="",TODAY(),INDEX(Transactions!$G:$G,ROW()-8))</f>
      </c>
      <c r="F4962">
        <f>IF(INDEX(Transactions!$J:$J,ROW()-8)="",0,INDEX(Transactions!$O:$O,ROW()-8))</f>
      </c>
    </row>
    <row r="4963" spans="1:7">
      <c r="B4963">
        <f>IF(INDEX(Transactions!$J:$J,ROW()-8)="",TODAY(),INDEX(Transactions!$G:$G,ROW()-8))</f>
      </c>
      <c r="F4963">
        <f>IF(INDEX(Transactions!$J:$J,ROW()-8)="",0,INDEX(Transactions!$O:$O,ROW()-8))</f>
      </c>
    </row>
    <row r="4964" spans="1:7">
      <c r="B4964">
        <f>IF(INDEX(Transactions!$J:$J,ROW()-8)="",TODAY(),INDEX(Transactions!$G:$G,ROW()-8))</f>
      </c>
      <c r="F4964">
        <f>IF(INDEX(Transactions!$J:$J,ROW()-8)="",0,INDEX(Transactions!$O:$O,ROW()-8))</f>
      </c>
    </row>
    <row r="4965" spans="1:7">
      <c r="B4965">
        <f>IF(INDEX(Transactions!$J:$J,ROW()-8)="",TODAY(),INDEX(Transactions!$G:$G,ROW()-8))</f>
      </c>
      <c r="F4965">
        <f>IF(INDEX(Transactions!$J:$J,ROW()-8)="",0,INDEX(Transactions!$O:$O,ROW()-8))</f>
      </c>
    </row>
    <row r="4966" spans="1:7">
      <c r="B4966">
        <f>IF(INDEX(Transactions!$J:$J,ROW()-8)="",TODAY(),INDEX(Transactions!$G:$G,ROW()-8))</f>
      </c>
      <c r="F4966">
        <f>IF(INDEX(Transactions!$J:$J,ROW()-8)="",0,INDEX(Transactions!$O:$O,ROW()-8))</f>
      </c>
    </row>
    <row r="4967" spans="1:7">
      <c r="B4967">
        <f>IF(INDEX(Transactions!$J:$J,ROW()-8)="",TODAY(),INDEX(Transactions!$G:$G,ROW()-8))</f>
      </c>
      <c r="F4967">
        <f>IF(INDEX(Transactions!$J:$J,ROW()-8)="",0,INDEX(Transactions!$O:$O,ROW()-8))</f>
      </c>
    </row>
    <row r="4968" spans="1:7">
      <c r="B4968">
        <f>IF(INDEX(Transactions!$J:$J,ROW()-8)="",TODAY(),INDEX(Transactions!$G:$G,ROW()-8))</f>
      </c>
      <c r="F4968">
        <f>IF(INDEX(Transactions!$J:$J,ROW()-8)="",0,INDEX(Transactions!$O:$O,ROW()-8))</f>
      </c>
    </row>
    <row r="4969" spans="1:7">
      <c r="B4969">
        <f>IF(INDEX(Transactions!$J:$J,ROW()-8)="",TODAY(),INDEX(Transactions!$G:$G,ROW()-8))</f>
      </c>
      <c r="F4969">
        <f>IF(INDEX(Transactions!$J:$J,ROW()-8)="",0,INDEX(Transactions!$O:$O,ROW()-8))</f>
      </c>
    </row>
    <row r="4970" spans="1:7">
      <c r="B4970">
        <f>IF(INDEX(Transactions!$J:$J,ROW()-8)="",TODAY(),INDEX(Transactions!$G:$G,ROW()-8))</f>
      </c>
      <c r="F4970">
        <f>IF(INDEX(Transactions!$J:$J,ROW()-8)="",0,INDEX(Transactions!$O:$O,ROW()-8))</f>
      </c>
    </row>
    <row r="4971" spans="1:7">
      <c r="B4971">
        <f>IF(INDEX(Transactions!$J:$J,ROW()-8)="",TODAY(),INDEX(Transactions!$G:$G,ROW()-8))</f>
      </c>
      <c r="F4971">
        <f>IF(INDEX(Transactions!$J:$J,ROW()-8)="",0,INDEX(Transactions!$O:$O,ROW()-8))</f>
      </c>
    </row>
    <row r="4972" spans="1:7">
      <c r="B4972">
        <f>IF(INDEX(Transactions!$J:$J,ROW()-8)="",TODAY(),INDEX(Transactions!$G:$G,ROW()-8))</f>
      </c>
      <c r="F4972">
        <f>IF(INDEX(Transactions!$J:$J,ROW()-8)="",0,INDEX(Transactions!$O:$O,ROW()-8))</f>
      </c>
    </row>
    <row r="4973" spans="1:7">
      <c r="B4973">
        <f>IF(INDEX(Transactions!$J:$J,ROW()-8)="",TODAY(),INDEX(Transactions!$G:$G,ROW()-8))</f>
      </c>
      <c r="F4973">
        <f>IF(INDEX(Transactions!$J:$J,ROW()-8)="",0,INDEX(Transactions!$O:$O,ROW()-8))</f>
      </c>
    </row>
    <row r="4974" spans="1:7">
      <c r="B4974">
        <f>IF(INDEX(Transactions!$J:$J,ROW()-8)="",TODAY(),INDEX(Transactions!$G:$G,ROW()-8))</f>
      </c>
      <c r="F4974">
        <f>IF(INDEX(Transactions!$J:$J,ROW()-8)="",0,INDEX(Transactions!$O:$O,ROW()-8))</f>
      </c>
    </row>
    <row r="4975" spans="1:7">
      <c r="B4975">
        <f>IF(INDEX(Transactions!$J:$J,ROW()-8)="",TODAY(),INDEX(Transactions!$G:$G,ROW()-8))</f>
      </c>
      <c r="F4975">
        <f>IF(INDEX(Transactions!$J:$J,ROW()-8)="",0,INDEX(Transactions!$O:$O,ROW()-8))</f>
      </c>
    </row>
    <row r="4976" spans="1:7">
      <c r="B4976">
        <f>IF(INDEX(Transactions!$J:$J,ROW()-8)="",TODAY(),INDEX(Transactions!$G:$G,ROW()-8))</f>
      </c>
      <c r="F4976">
        <f>IF(INDEX(Transactions!$J:$J,ROW()-8)="",0,INDEX(Transactions!$O:$O,ROW()-8))</f>
      </c>
    </row>
    <row r="4977" spans="1:7">
      <c r="B4977">
        <f>IF(INDEX(Transactions!$J:$J,ROW()-8)="",TODAY(),INDEX(Transactions!$G:$G,ROW()-8))</f>
      </c>
      <c r="F4977">
        <f>IF(INDEX(Transactions!$J:$J,ROW()-8)="",0,INDEX(Transactions!$O:$O,ROW()-8))</f>
      </c>
    </row>
    <row r="4978" spans="1:7">
      <c r="B4978">
        <f>IF(INDEX(Transactions!$J:$J,ROW()-8)="",TODAY(),INDEX(Transactions!$G:$G,ROW()-8))</f>
      </c>
      <c r="F4978">
        <f>IF(INDEX(Transactions!$J:$J,ROW()-8)="",0,INDEX(Transactions!$O:$O,ROW()-8))</f>
      </c>
    </row>
    <row r="4979" spans="1:7">
      <c r="B4979">
        <f>IF(INDEX(Transactions!$J:$J,ROW()-8)="",TODAY(),INDEX(Transactions!$G:$G,ROW()-8))</f>
      </c>
      <c r="F4979">
        <f>IF(INDEX(Transactions!$J:$J,ROW()-8)="",0,INDEX(Transactions!$O:$O,ROW()-8))</f>
      </c>
    </row>
    <row r="4980" spans="1:7">
      <c r="B4980">
        <f>IF(INDEX(Transactions!$J:$J,ROW()-8)="",TODAY(),INDEX(Transactions!$G:$G,ROW()-8))</f>
      </c>
      <c r="F4980">
        <f>IF(INDEX(Transactions!$J:$J,ROW()-8)="",0,INDEX(Transactions!$O:$O,ROW()-8))</f>
      </c>
    </row>
    <row r="4981" spans="1:7">
      <c r="B4981">
        <f>IF(INDEX(Transactions!$J:$J,ROW()-8)="",TODAY(),INDEX(Transactions!$G:$G,ROW()-8))</f>
      </c>
      <c r="F4981">
        <f>IF(INDEX(Transactions!$J:$J,ROW()-8)="",0,INDEX(Transactions!$O:$O,ROW()-8))</f>
      </c>
    </row>
    <row r="4982" spans="1:7">
      <c r="B4982">
        <f>IF(INDEX(Transactions!$J:$J,ROW()-8)="",TODAY(),INDEX(Transactions!$G:$G,ROW()-8))</f>
      </c>
      <c r="F4982">
        <f>IF(INDEX(Transactions!$J:$J,ROW()-8)="",0,INDEX(Transactions!$O:$O,ROW()-8))</f>
      </c>
    </row>
    <row r="4983" spans="1:7">
      <c r="B4983">
        <f>IF(INDEX(Transactions!$J:$J,ROW()-8)="",TODAY(),INDEX(Transactions!$G:$G,ROW()-8))</f>
      </c>
      <c r="F4983">
        <f>IF(INDEX(Transactions!$J:$J,ROW()-8)="",0,INDEX(Transactions!$O:$O,ROW()-8))</f>
      </c>
    </row>
    <row r="4984" spans="1:7">
      <c r="B4984">
        <f>IF(INDEX(Transactions!$J:$J,ROW()-8)="",TODAY(),INDEX(Transactions!$G:$G,ROW()-8))</f>
      </c>
      <c r="F4984">
        <f>IF(INDEX(Transactions!$J:$J,ROW()-8)="",0,INDEX(Transactions!$O:$O,ROW()-8))</f>
      </c>
    </row>
    <row r="4985" spans="1:7">
      <c r="B4985">
        <f>IF(INDEX(Transactions!$J:$J,ROW()-8)="",TODAY(),INDEX(Transactions!$G:$G,ROW()-8))</f>
      </c>
      <c r="F4985">
        <f>IF(INDEX(Transactions!$J:$J,ROW()-8)="",0,INDEX(Transactions!$O:$O,ROW()-8))</f>
      </c>
    </row>
    <row r="4986" spans="1:7">
      <c r="B4986">
        <f>IF(INDEX(Transactions!$J:$J,ROW()-8)="",TODAY(),INDEX(Transactions!$G:$G,ROW()-8))</f>
      </c>
      <c r="F4986">
        <f>IF(INDEX(Transactions!$J:$J,ROW()-8)="",0,INDEX(Transactions!$O:$O,ROW()-8))</f>
      </c>
    </row>
    <row r="4987" spans="1:7">
      <c r="B4987">
        <f>IF(INDEX(Transactions!$J:$J,ROW()-8)="",TODAY(),INDEX(Transactions!$G:$G,ROW()-8))</f>
      </c>
      <c r="F4987">
        <f>IF(INDEX(Transactions!$J:$J,ROW()-8)="",0,INDEX(Transactions!$O:$O,ROW()-8))</f>
      </c>
    </row>
    <row r="4988" spans="1:7">
      <c r="B4988">
        <f>IF(INDEX(Transactions!$J:$J,ROW()-8)="",TODAY(),INDEX(Transactions!$G:$G,ROW()-8))</f>
      </c>
      <c r="F4988">
        <f>IF(INDEX(Transactions!$J:$J,ROW()-8)="",0,INDEX(Transactions!$O:$O,ROW()-8))</f>
      </c>
    </row>
    <row r="4989" spans="1:7">
      <c r="B4989">
        <f>IF(INDEX(Transactions!$J:$J,ROW()-8)="",TODAY(),INDEX(Transactions!$G:$G,ROW()-8))</f>
      </c>
      <c r="F4989">
        <f>IF(INDEX(Transactions!$J:$J,ROW()-8)="",0,INDEX(Transactions!$O:$O,ROW()-8))</f>
      </c>
    </row>
    <row r="4990" spans="1:7">
      <c r="B4990">
        <f>IF(INDEX(Transactions!$J:$J,ROW()-8)="",TODAY(),INDEX(Transactions!$G:$G,ROW()-8))</f>
      </c>
      <c r="F4990">
        <f>IF(INDEX(Transactions!$J:$J,ROW()-8)="",0,INDEX(Transactions!$O:$O,ROW()-8))</f>
      </c>
    </row>
    <row r="4991" spans="1:7">
      <c r="B4991">
        <f>IF(INDEX(Transactions!$J:$J,ROW()-8)="",TODAY(),INDEX(Transactions!$G:$G,ROW()-8))</f>
      </c>
      <c r="F4991">
        <f>IF(INDEX(Transactions!$J:$J,ROW()-8)="",0,INDEX(Transactions!$O:$O,ROW()-8))</f>
      </c>
    </row>
    <row r="4992" spans="1:7">
      <c r="B4992">
        <f>IF(INDEX(Transactions!$J:$J,ROW()-8)="",TODAY(),INDEX(Transactions!$G:$G,ROW()-8))</f>
      </c>
      <c r="F4992">
        <f>IF(INDEX(Transactions!$J:$J,ROW()-8)="",0,INDEX(Transactions!$O:$O,ROW()-8))</f>
      </c>
    </row>
    <row r="4993" spans="1:7">
      <c r="B4993">
        <f>IF(INDEX(Transactions!$J:$J,ROW()-8)="",TODAY(),INDEX(Transactions!$G:$G,ROW()-8))</f>
      </c>
      <c r="F4993">
        <f>IF(INDEX(Transactions!$J:$J,ROW()-8)="",0,INDEX(Transactions!$O:$O,ROW()-8))</f>
      </c>
    </row>
    <row r="4994" spans="1:7">
      <c r="B4994">
        <f>IF(INDEX(Transactions!$J:$J,ROW()-8)="",TODAY(),INDEX(Transactions!$G:$G,ROW()-8))</f>
      </c>
      <c r="F4994">
        <f>IF(INDEX(Transactions!$J:$J,ROW()-8)="",0,INDEX(Transactions!$O:$O,ROW()-8))</f>
      </c>
    </row>
    <row r="4995" spans="1:7">
      <c r="B4995">
        <f>IF(INDEX(Transactions!$J:$J,ROW()-8)="",TODAY(),INDEX(Transactions!$G:$G,ROW()-8))</f>
      </c>
      <c r="F4995">
        <f>IF(INDEX(Transactions!$J:$J,ROW()-8)="",0,INDEX(Transactions!$O:$O,ROW()-8))</f>
      </c>
    </row>
    <row r="4996" spans="1:7">
      <c r="B4996">
        <f>IF(INDEX(Transactions!$J:$J,ROW()-8)="",TODAY(),INDEX(Transactions!$G:$G,ROW()-8))</f>
      </c>
      <c r="F4996">
        <f>IF(INDEX(Transactions!$J:$J,ROW()-8)="",0,INDEX(Transactions!$O:$O,ROW()-8))</f>
      </c>
    </row>
    <row r="4997" spans="1:7">
      <c r="B4997">
        <f>IF(INDEX(Transactions!$J:$J,ROW()-8)="",TODAY(),INDEX(Transactions!$G:$G,ROW()-8))</f>
      </c>
      <c r="F4997">
        <f>IF(INDEX(Transactions!$J:$J,ROW()-8)="",0,INDEX(Transactions!$O:$O,ROW()-8))</f>
      </c>
    </row>
    <row r="4998" spans="1:7">
      <c r="B4998">
        <f>IF(INDEX(Transactions!$J:$J,ROW()-8)="",TODAY(),INDEX(Transactions!$G:$G,ROW()-8))</f>
      </c>
      <c r="F4998">
        <f>IF(INDEX(Transactions!$J:$J,ROW()-8)="",0,INDEX(Transactions!$O:$O,ROW()-8))</f>
      </c>
    </row>
    <row r="4999" spans="1:7">
      <c r="B4999">
        <f>IF(INDEX(Transactions!$J:$J,ROW()-8)="",TODAY(),INDEX(Transactions!$G:$G,ROW()-8))</f>
      </c>
      <c r="F4999">
        <f>IF(INDEX(Transactions!$J:$J,ROW()-8)="",0,INDEX(Transactions!$O:$O,ROW()-8))</f>
      </c>
    </row>
    <row r="5000" spans="1:7">
      <c r="B5000">
        <f>IF(INDEX(Transactions!$J:$J,ROW()-8)="",TODAY(),INDEX(Transactions!$G:$G,ROW()-8))</f>
      </c>
      <c r="F5000">
        <f>IF(INDEX(Transactions!$J:$J,ROW()-8)="",0,INDEX(Transactions!$O:$O,ROW()-8))</f>
      </c>
    </row>
    <row r="5001" spans="1:7">
      <c r="B5001">
        <f>IF(INDEX(Transactions!$J:$J,ROW()-8)="",TODAY(),INDEX(Transactions!$G:$G,ROW()-8))</f>
      </c>
      <c r="F5001">
        <f>IF(INDEX(Transactions!$J:$J,ROW()-8)="",0,INDEX(Transactions!$O:$O,ROW()-8))</f>
      </c>
    </row>
    <row r="5002" spans="1:7">
      <c r="B5002">
        <f>IF(INDEX(Transactions!$J:$J,ROW()-8)="",TODAY(),INDEX(Transactions!$G:$G,ROW()-8))</f>
      </c>
      <c r="F5002">
        <f>IF(INDEX(Transactions!$J:$J,ROW()-8)="",0,INDEX(Transactions!$O:$O,ROW()-8))</f>
      </c>
    </row>
    <row r="5003" spans="1:7">
      <c r="B5003">
        <f>IF(INDEX(Transactions!$J:$J,ROW()-8)="",TODAY(),INDEX(Transactions!$G:$G,ROW()-8))</f>
      </c>
      <c r="F5003">
        <f>IF(INDEX(Transactions!$J:$J,ROW()-8)="",0,INDEX(Transactions!$O:$O,ROW()-8))</f>
      </c>
    </row>
    <row r="5004" spans="1:7">
      <c r="B5004">
        <f>IF(INDEX(Transactions!$J:$J,ROW()-8)="",TODAY(),INDEX(Transactions!$G:$G,ROW()-8))</f>
      </c>
      <c r="F5004">
        <f>IF(INDEX(Transactions!$J:$J,ROW()-8)="",0,INDEX(Transactions!$O:$O,ROW()-8))</f>
      </c>
    </row>
    <row r="5005" spans="1:7">
      <c r="B5005">
        <f>IF(INDEX(Transactions!$J:$J,ROW()-8)="",TODAY(),INDEX(Transactions!$G:$G,ROW()-8))</f>
      </c>
      <c r="F5005">
        <f>IF(INDEX(Transactions!$J:$J,ROW()-8)="",0,INDEX(Transactions!$O:$O,ROW()-8))</f>
      </c>
    </row>
    <row r="5006" spans="1:7">
      <c r="B5006">
        <f>IF(INDEX(Transactions!$J:$J,ROW()-8)="",TODAY(),INDEX(Transactions!$G:$G,ROW()-8))</f>
      </c>
      <c r="F5006">
        <f>IF(INDEX(Transactions!$J:$J,ROW()-8)="",0,INDEX(Transactions!$O:$O,ROW()-8))</f>
      </c>
    </row>
    <row r="5007" spans="1:7">
      <c r="B5007">
        <f>IF(INDEX(Transactions!$J:$J,ROW()-8)="",TODAY(),INDEX(Transactions!$G:$G,ROW()-8))</f>
      </c>
      <c r="F5007">
        <f>IF(INDEX(Transactions!$J:$J,ROW()-8)="",0,INDEX(Transactions!$O:$O,ROW()-8))</f>
      </c>
    </row>
    <row r="5008" spans="1:7">
      <c r="B5008">
        <f>IF(INDEX(Transactions!$J:$J,ROW()-8)="",TODAY(),INDEX(Transactions!$G:$G,ROW()-8))</f>
      </c>
      <c r="F5008">
        <f>IF(INDEX(Transactions!$J:$J,ROW()-8)="",0,INDEX(Transactions!$O:$O,ROW()-8))</f>
      </c>
    </row>
    <row r="5009" spans="1:7">
      <c r="B5009">
        <f>IF(INDEX(Transactions!$J:$J,ROW()-8)="",TODAY(),INDEX(Transactions!$G:$G,ROW()-8))</f>
      </c>
      <c r="F5009">
        <f>IF(INDEX(Transactions!$J:$J,ROW()-8)="",0,INDEX(Transactions!$O:$O,ROW()-8))</f>
      </c>
    </row>
    <row r="5010" spans="1:7">
      <c r="B5010">
        <f>IF(INDEX(Transactions!$J:$J,ROW()-8)="",TODAY(),INDEX(Transactions!$G:$G,ROW()-8))</f>
      </c>
      <c r="F5010">
        <f>IF(INDEX(Transactions!$J:$J,ROW()-8)="",0,INDEX(Transactions!$O:$O,ROW()-8))</f>
      </c>
    </row>
    <row r="5011" spans="1:7">
      <c r="B5011">
        <f>IF(INDEX(Transactions!$J:$J,ROW()-8)="",TODAY(),INDEX(Transactions!$G:$G,ROW()-8))</f>
      </c>
      <c r="F5011">
        <f>IF(INDEX(Transactions!$J:$J,ROW()-8)="",0,INDEX(Transactions!$O:$O,ROW()-8))</f>
      </c>
    </row>
    <row r="5012" spans="1:7">
      <c r="B5012">
        <f>IF(INDEX(Transactions!$J:$J,ROW()-8)="",TODAY(),INDEX(Transactions!$G:$G,ROW()-8))</f>
      </c>
      <c r="F5012">
        <f>IF(INDEX(Transactions!$J:$J,ROW()-8)="",0,INDEX(Transactions!$O:$O,ROW()-8))</f>
      </c>
    </row>
    <row r="5013" spans="1:7">
      <c r="B5013">
        <f>IF(INDEX(Transactions!$J:$J,ROW()-8)="",TODAY(),INDEX(Transactions!$G:$G,ROW()-8))</f>
      </c>
      <c r="F5013">
        <f>IF(INDEX(Transactions!$J:$J,ROW()-8)="",0,INDEX(Transactions!$O:$O,ROW()-8))</f>
      </c>
    </row>
    <row r="5014" spans="1:7">
      <c r="B5014">
        <f>IF(INDEX(Transactions!$J:$J,ROW()-8)="",TODAY(),INDEX(Transactions!$G:$G,ROW()-8))</f>
      </c>
      <c r="F5014">
        <f>IF(INDEX(Transactions!$J:$J,ROW()-8)="",0,INDEX(Transactions!$O:$O,ROW()-8))</f>
      </c>
    </row>
    <row r="5015" spans="1:7">
      <c r="B5015">
        <f>IF(INDEX(Transactions!$J:$J,ROW()-8)="",TODAY(),INDEX(Transactions!$G:$G,ROW()-8))</f>
      </c>
      <c r="F5015">
        <f>IF(INDEX(Transactions!$J:$J,ROW()-8)="",0,INDEX(Transactions!$O:$O,ROW()-8))</f>
      </c>
    </row>
    <row r="5016" spans="1:7">
      <c r="B5016">
        <f>IF(INDEX(Transactions!$J:$J,ROW()-8)="",TODAY(),INDEX(Transactions!$G:$G,ROW()-8))</f>
      </c>
      <c r="F5016">
        <f>IF(INDEX(Transactions!$J:$J,ROW()-8)="",0,INDEX(Transactions!$O:$O,ROW()-8))</f>
      </c>
    </row>
    <row r="5017" spans="1:7">
      <c r="B5017">
        <f>IF(INDEX(Transactions!$J:$J,ROW()-8)="",TODAY(),INDEX(Transactions!$G:$G,ROW()-8))</f>
      </c>
      <c r="F5017">
        <f>IF(INDEX(Transactions!$J:$J,ROW()-8)="",0,INDEX(Transactions!$O:$O,ROW()-8))</f>
      </c>
    </row>
    <row r="5018" spans="1:7">
      <c r="B5018">
        <f>IF(INDEX(Transactions!$J:$J,ROW()-8)="",TODAY(),INDEX(Transactions!$G:$G,ROW()-8))</f>
      </c>
      <c r="F5018">
        <f>IF(INDEX(Transactions!$J:$J,ROW()-8)="",0,INDEX(Transactions!$O:$O,ROW()-8))</f>
      </c>
    </row>
    <row r="5019" spans="1:7">
      <c r="B5019">
        <f>IF(INDEX(Transactions!$J:$J,ROW()-8)="",TODAY(),INDEX(Transactions!$G:$G,ROW()-8))</f>
      </c>
      <c r="F5019">
        <f>IF(INDEX(Transactions!$J:$J,ROW()-8)="",0,INDEX(Transactions!$O:$O,ROW()-8))</f>
      </c>
    </row>
    <row r="5020" spans="1:7">
      <c r="B5020">
        <f>IF(INDEX(Transactions!$J:$J,ROW()-8)="",TODAY(),INDEX(Transactions!$G:$G,ROW()-8))</f>
      </c>
      <c r="F5020">
        <f>IF(INDEX(Transactions!$J:$J,ROW()-8)="",0,INDEX(Transactions!$O:$O,ROW()-8))</f>
      </c>
    </row>
    <row r="5021" spans="1:7">
      <c r="B5021">
        <f>IF(INDEX(Transactions!$J:$J,ROW()-8)="",TODAY(),INDEX(Transactions!$G:$G,ROW()-8))</f>
      </c>
      <c r="F5021">
        <f>IF(INDEX(Transactions!$J:$J,ROW()-8)="",0,INDEX(Transactions!$O:$O,ROW()-8))</f>
      </c>
    </row>
    <row r="5022" spans="1:7">
      <c r="B5022">
        <f>IF(INDEX(Transactions!$J:$J,ROW()-8)="",TODAY(),INDEX(Transactions!$G:$G,ROW()-8))</f>
      </c>
      <c r="F5022">
        <f>IF(INDEX(Transactions!$J:$J,ROW()-8)="",0,INDEX(Transactions!$O:$O,ROW()-8))</f>
      </c>
    </row>
    <row r="5023" spans="1:7">
      <c r="B5023">
        <f>IF(INDEX(Transactions!$J:$J,ROW()-8)="",TODAY(),INDEX(Transactions!$G:$G,ROW()-8))</f>
      </c>
      <c r="F5023">
        <f>IF(INDEX(Transactions!$J:$J,ROW()-8)="",0,INDEX(Transactions!$O:$O,ROW()-8))</f>
      </c>
    </row>
    <row r="5024" spans="1:7">
      <c r="B5024">
        <f>IF(INDEX(Transactions!$J:$J,ROW()-8)="",TODAY(),INDEX(Transactions!$G:$G,ROW()-8))</f>
      </c>
      <c r="F5024">
        <f>IF(INDEX(Transactions!$J:$J,ROW()-8)="",0,INDEX(Transactions!$O:$O,ROW()-8))</f>
      </c>
    </row>
    <row r="5025" spans="1:7">
      <c r="B5025">
        <f>IF(INDEX(Transactions!$J:$J,ROW()-8)="",TODAY(),INDEX(Transactions!$G:$G,ROW()-8))</f>
      </c>
      <c r="F5025">
        <f>IF(INDEX(Transactions!$J:$J,ROW()-8)="",0,INDEX(Transactions!$O:$O,ROW()-8))</f>
      </c>
    </row>
    <row r="5026" spans="1:7">
      <c r="B5026">
        <f>IF(INDEX(Transactions!$J:$J,ROW()-8)="",TODAY(),INDEX(Transactions!$G:$G,ROW()-8))</f>
      </c>
      <c r="F5026">
        <f>IF(INDEX(Transactions!$J:$J,ROW()-8)="",0,INDEX(Transactions!$O:$O,ROW()-8))</f>
      </c>
    </row>
    <row r="5027" spans="1:7">
      <c r="B5027">
        <f>IF(INDEX(Transactions!$J:$J,ROW()-8)="",TODAY(),INDEX(Transactions!$G:$G,ROW()-8))</f>
      </c>
      <c r="F5027">
        <f>IF(INDEX(Transactions!$J:$J,ROW()-8)="",0,INDEX(Transactions!$O:$O,ROW()-8))</f>
      </c>
    </row>
    <row r="5028" spans="1:7">
      <c r="B5028">
        <f>IF(INDEX(Transactions!$J:$J,ROW()-8)="",TODAY(),INDEX(Transactions!$G:$G,ROW()-8))</f>
      </c>
      <c r="F5028">
        <f>IF(INDEX(Transactions!$J:$J,ROW()-8)="",0,INDEX(Transactions!$O:$O,ROW()-8))</f>
      </c>
    </row>
    <row r="5029" spans="1:7">
      <c r="B5029">
        <f>IF(INDEX(Transactions!$J:$J,ROW()-8)="",TODAY(),INDEX(Transactions!$G:$G,ROW()-8))</f>
      </c>
      <c r="F5029">
        <f>IF(INDEX(Transactions!$J:$J,ROW()-8)="",0,INDEX(Transactions!$O:$O,ROW()-8))</f>
      </c>
    </row>
    <row r="5030" spans="1:7">
      <c r="B5030">
        <f>IF(INDEX(Transactions!$J:$J,ROW()-8)="",TODAY(),INDEX(Transactions!$G:$G,ROW()-8))</f>
      </c>
      <c r="F5030">
        <f>IF(INDEX(Transactions!$J:$J,ROW()-8)="",0,INDEX(Transactions!$O:$O,ROW()-8))</f>
      </c>
    </row>
    <row r="5031" spans="1:7">
      <c r="B5031">
        <f>IF(INDEX(Transactions!$J:$J,ROW()-8)="",TODAY(),INDEX(Transactions!$G:$G,ROW()-8))</f>
      </c>
      <c r="F5031">
        <f>IF(INDEX(Transactions!$J:$J,ROW()-8)="",0,INDEX(Transactions!$O:$O,ROW()-8))</f>
      </c>
    </row>
    <row r="5032" spans="1:7">
      <c r="B5032">
        <f>IF(INDEX(Transactions!$J:$J,ROW()-8)="",TODAY(),INDEX(Transactions!$G:$G,ROW()-8))</f>
      </c>
      <c r="F5032">
        <f>IF(INDEX(Transactions!$J:$J,ROW()-8)="",0,INDEX(Transactions!$O:$O,ROW()-8))</f>
      </c>
    </row>
    <row r="5033" spans="1:7">
      <c r="B5033">
        <f>IF(INDEX(Transactions!$J:$J,ROW()-8)="",TODAY(),INDEX(Transactions!$G:$G,ROW()-8))</f>
      </c>
      <c r="F5033">
        <f>IF(INDEX(Transactions!$J:$J,ROW()-8)="",0,INDEX(Transactions!$O:$O,ROW()-8))</f>
      </c>
    </row>
    <row r="5034" spans="1:7">
      <c r="B5034">
        <f>IF(INDEX(Transactions!$J:$J,ROW()-8)="",TODAY(),INDEX(Transactions!$G:$G,ROW()-8))</f>
      </c>
      <c r="F5034">
        <f>IF(INDEX(Transactions!$J:$J,ROW()-8)="",0,INDEX(Transactions!$O:$O,ROW()-8))</f>
      </c>
    </row>
    <row r="5035" spans="1:7">
      <c r="B5035">
        <f>IF(INDEX(Transactions!$J:$J,ROW()-8)="",TODAY(),INDEX(Transactions!$G:$G,ROW()-8))</f>
      </c>
      <c r="F5035">
        <f>IF(INDEX(Transactions!$J:$J,ROW()-8)="",0,INDEX(Transactions!$O:$O,ROW()-8))</f>
      </c>
    </row>
    <row r="5036" spans="1:7">
      <c r="B5036">
        <f>IF(INDEX(Transactions!$J:$J,ROW()-8)="",TODAY(),INDEX(Transactions!$G:$G,ROW()-8))</f>
      </c>
      <c r="F5036">
        <f>IF(INDEX(Transactions!$J:$J,ROW()-8)="",0,INDEX(Transactions!$O:$O,ROW()-8))</f>
      </c>
    </row>
    <row r="5037" spans="1:7">
      <c r="B5037">
        <f>IF(INDEX(Transactions!$J:$J,ROW()-8)="",TODAY(),INDEX(Transactions!$G:$G,ROW()-8))</f>
      </c>
      <c r="F5037">
        <f>IF(INDEX(Transactions!$J:$J,ROW()-8)="",0,INDEX(Transactions!$O:$O,ROW()-8))</f>
      </c>
    </row>
    <row r="5038" spans="1:7">
      <c r="B5038">
        <f>IF(INDEX(Transactions!$J:$J,ROW()-8)="",TODAY(),INDEX(Transactions!$G:$G,ROW()-8))</f>
      </c>
      <c r="F5038">
        <f>IF(INDEX(Transactions!$J:$J,ROW()-8)="",0,INDEX(Transactions!$O:$O,ROW()-8))</f>
      </c>
    </row>
    <row r="5039" spans="1:7">
      <c r="B5039">
        <f>IF(INDEX(Transactions!$J:$J,ROW()-8)="",TODAY(),INDEX(Transactions!$G:$G,ROW()-8))</f>
      </c>
      <c r="F5039">
        <f>IF(INDEX(Transactions!$J:$J,ROW()-8)="",0,INDEX(Transactions!$O:$O,ROW()-8))</f>
      </c>
    </row>
    <row r="5040" spans="1:7">
      <c r="B5040">
        <f>IF(INDEX(Transactions!$J:$J,ROW()-8)="",TODAY(),INDEX(Transactions!$G:$G,ROW()-8))</f>
      </c>
      <c r="F5040">
        <f>IF(INDEX(Transactions!$J:$J,ROW()-8)="",0,INDEX(Transactions!$O:$O,ROW()-8))</f>
      </c>
    </row>
    <row r="5041" spans="1:7">
      <c r="B5041">
        <f>IF(INDEX(Transactions!$J:$J,ROW()-8)="",TODAY(),INDEX(Transactions!$G:$G,ROW()-8))</f>
      </c>
      <c r="F5041">
        <f>IF(INDEX(Transactions!$J:$J,ROW()-8)="",0,INDEX(Transactions!$O:$O,ROW()-8))</f>
      </c>
    </row>
    <row r="5042" spans="1:7">
      <c r="B5042">
        <f>IF(INDEX(Transactions!$J:$J,ROW()-8)="",TODAY(),INDEX(Transactions!$G:$G,ROW()-8))</f>
      </c>
      <c r="F5042">
        <f>IF(INDEX(Transactions!$J:$J,ROW()-8)="",0,INDEX(Transactions!$O:$O,ROW()-8))</f>
      </c>
    </row>
    <row r="5043" spans="1:7">
      <c r="B5043">
        <f>IF(INDEX(Transactions!$J:$J,ROW()-8)="",TODAY(),INDEX(Transactions!$G:$G,ROW()-8))</f>
      </c>
      <c r="F5043">
        <f>IF(INDEX(Transactions!$J:$J,ROW()-8)="",0,INDEX(Transactions!$O:$O,ROW()-8))</f>
      </c>
    </row>
    <row r="5044" spans="1:7">
      <c r="B5044">
        <f>IF(INDEX(Transactions!$J:$J,ROW()-8)="",TODAY(),INDEX(Transactions!$G:$G,ROW()-8))</f>
      </c>
      <c r="F5044">
        <f>IF(INDEX(Transactions!$J:$J,ROW()-8)="",0,INDEX(Transactions!$O:$O,ROW()-8))</f>
      </c>
    </row>
    <row r="5045" spans="1:7">
      <c r="B5045">
        <f>IF(INDEX(Transactions!$J:$J,ROW()-8)="",TODAY(),INDEX(Transactions!$G:$G,ROW()-8))</f>
      </c>
      <c r="F5045">
        <f>IF(INDEX(Transactions!$J:$J,ROW()-8)="",0,INDEX(Transactions!$O:$O,ROW()-8))</f>
      </c>
    </row>
    <row r="5046" spans="1:7">
      <c r="B5046">
        <f>IF(INDEX(Transactions!$J:$J,ROW()-8)="",TODAY(),INDEX(Transactions!$G:$G,ROW()-8))</f>
      </c>
      <c r="F5046">
        <f>IF(INDEX(Transactions!$J:$J,ROW()-8)="",0,INDEX(Transactions!$O:$O,ROW()-8))</f>
      </c>
    </row>
    <row r="5047" spans="1:7">
      <c r="B5047">
        <f>IF(INDEX(Transactions!$J:$J,ROW()-8)="",TODAY(),INDEX(Transactions!$G:$G,ROW()-8))</f>
      </c>
      <c r="F5047">
        <f>IF(INDEX(Transactions!$J:$J,ROW()-8)="",0,INDEX(Transactions!$O:$O,ROW()-8))</f>
      </c>
    </row>
    <row r="5048" spans="1:7">
      <c r="B5048">
        <f>IF(INDEX(Transactions!$J:$J,ROW()-8)="",TODAY(),INDEX(Transactions!$G:$G,ROW()-8))</f>
      </c>
      <c r="F5048">
        <f>IF(INDEX(Transactions!$J:$J,ROW()-8)="",0,INDEX(Transactions!$O:$O,ROW()-8))</f>
      </c>
    </row>
    <row r="5049" spans="1:7">
      <c r="B5049">
        <f>IF(INDEX(Transactions!$J:$J,ROW()-8)="",TODAY(),INDEX(Transactions!$G:$G,ROW()-8))</f>
      </c>
      <c r="F5049">
        <f>IF(INDEX(Transactions!$J:$J,ROW()-8)="",0,INDEX(Transactions!$O:$O,ROW()-8))</f>
      </c>
    </row>
    <row r="5050" spans="1:7">
      <c r="B5050">
        <f>IF(INDEX(Transactions!$J:$J,ROW()-8)="",TODAY(),INDEX(Transactions!$G:$G,ROW()-8))</f>
      </c>
      <c r="F5050">
        <f>IF(INDEX(Transactions!$J:$J,ROW()-8)="",0,INDEX(Transactions!$O:$O,ROW()-8))</f>
      </c>
    </row>
    <row r="5051" spans="1:7">
      <c r="B5051">
        <f>IF(INDEX(Transactions!$J:$J,ROW()-8)="",TODAY(),INDEX(Transactions!$G:$G,ROW()-8))</f>
      </c>
      <c r="F5051">
        <f>IF(INDEX(Transactions!$J:$J,ROW()-8)="",0,INDEX(Transactions!$O:$O,ROW()-8))</f>
      </c>
    </row>
    <row r="5052" spans="1:7">
      <c r="B5052">
        <f>IF(INDEX(Transactions!$J:$J,ROW()-8)="",TODAY(),INDEX(Transactions!$G:$G,ROW()-8))</f>
      </c>
      <c r="F5052">
        <f>IF(INDEX(Transactions!$J:$J,ROW()-8)="",0,INDEX(Transactions!$O:$O,ROW()-8))</f>
      </c>
    </row>
    <row r="5053" spans="1:7">
      <c r="B5053">
        <f>IF(INDEX(Transactions!$J:$J,ROW()-8)="",TODAY(),INDEX(Transactions!$G:$G,ROW()-8))</f>
      </c>
      <c r="F5053">
        <f>IF(INDEX(Transactions!$J:$J,ROW()-8)="",0,INDEX(Transactions!$O:$O,ROW()-8))</f>
      </c>
    </row>
    <row r="5054" spans="1:7">
      <c r="B5054">
        <f>IF(INDEX(Transactions!$J:$J,ROW()-8)="",TODAY(),INDEX(Transactions!$G:$G,ROW()-8))</f>
      </c>
      <c r="F5054">
        <f>IF(INDEX(Transactions!$J:$J,ROW()-8)="",0,INDEX(Transactions!$O:$O,ROW()-8))</f>
      </c>
    </row>
    <row r="5055" spans="1:7">
      <c r="B5055">
        <f>IF(INDEX(Transactions!$J:$J,ROW()-8)="",TODAY(),INDEX(Transactions!$G:$G,ROW()-8))</f>
      </c>
      <c r="F5055">
        <f>IF(INDEX(Transactions!$J:$J,ROW()-8)="",0,INDEX(Transactions!$O:$O,ROW()-8))</f>
      </c>
    </row>
    <row r="5056" spans="1:7">
      <c r="B5056">
        <f>IF(INDEX(Transactions!$J:$J,ROW()-8)="",TODAY(),INDEX(Transactions!$G:$G,ROW()-8))</f>
      </c>
      <c r="F5056">
        <f>IF(INDEX(Transactions!$J:$J,ROW()-8)="",0,INDEX(Transactions!$O:$O,ROW()-8))</f>
      </c>
    </row>
    <row r="5057" spans="1:7">
      <c r="B5057">
        <f>IF(INDEX(Transactions!$J:$J,ROW()-8)="",TODAY(),INDEX(Transactions!$G:$G,ROW()-8))</f>
      </c>
      <c r="F5057">
        <f>IF(INDEX(Transactions!$J:$J,ROW()-8)="",0,INDEX(Transactions!$O:$O,ROW()-8))</f>
      </c>
    </row>
    <row r="5058" spans="1:7">
      <c r="B5058">
        <f>IF(INDEX(Transactions!$J:$J,ROW()-8)="",TODAY(),INDEX(Transactions!$G:$G,ROW()-8))</f>
      </c>
      <c r="F5058">
        <f>IF(INDEX(Transactions!$J:$J,ROW()-8)="",0,INDEX(Transactions!$O:$O,ROW()-8))</f>
      </c>
    </row>
    <row r="5059" spans="1:7">
      <c r="B5059">
        <f>IF(INDEX(Transactions!$J:$J,ROW()-8)="",TODAY(),INDEX(Transactions!$G:$G,ROW()-8))</f>
      </c>
      <c r="F5059">
        <f>IF(INDEX(Transactions!$J:$J,ROW()-8)="",0,INDEX(Transactions!$O:$O,ROW()-8))</f>
      </c>
    </row>
    <row r="5060" spans="1:7">
      <c r="B5060">
        <f>IF(INDEX(Transactions!$J:$J,ROW()-8)="",TODAY(),INDEX(Transactions!$G:$G,ROW()-8))</f>
      </c>
      <c r="F5060">
        <f>IF(INDEX(Transactions!$J:$J,ROW()-8)="",0,INDEX(Transactions!$O:$O,ROW()-8))</f>
      </c>
    </row>
    <row r="5061" spans="1:7">
      <c r="B5061">
        <f>IF(INDEX(Transactions!$J:$J,ROW()-8)="",TODAY(),INDEX(Transactions!$G:$G,ROW()-8))</f>
      </c>
      <c r="F5061">
        <f>IF(INDEX(Transactions!$J:$J,ROW()-8)="",0,INDEX(Transactions!$O:$O,ROW()-8))</f>
      </c>
    </row>
    <row r="5062" spans="1:7">
      <c r="B5062">
        <f>IF(INDEX(Transactions!$J:$J,ROW()-8)="",TODAY(),INDEX(Transactions!$G:$G,ROW()-8))</f>
      </c>
      <c r="F5062">
        <f>IF(INDEX(Transactions!$J:$J,ROW()-8)="",0,INDEX(Transactions!$O:$O,ROW()-8))</f>
      </c>
    </row>
    <row r="5063" spans="1:7">
      <c r="B5063">
        <f>IF(INDEX(Transactions!$J:$J,ROW()-8)="",TODAY(),INDEX(Transactions!$G:$G,ROW()-8))</f>
      </c>
      <c r="F5063">
        <f>IF(INDEX(Transactions!$J:$J,ROW()-8)="",0,INDEX(Transactions!$O:$O,ROW()-8))</f>
      </c>
    </row>
    <row r="5064" spans="1:7">
      <c r="B5064">
        <f>IF(INDEX(Transactions!$J:$J,ROW()-8)="",TODAY(),INDEX(Transactions!$G:$G,ROW()-8))</f>
      </c>
      <c r="F5064">
        <f>IF(INDEX(Transactions!$J:$J,ROW()-8)="",0,INDEX(Transactions!$O:$O,ROW()-8))</f>
      </c>
    </row>
    <row r="5065" spans="1:7">
      <c r="B5065">
        <f>IF(INDEX(Transactions!$J:$J,ROW()-8)="",TODAY(),INDEX(Transactions!$G:$G,ROW()-8))</f>
      </c>
      <c r="F5065">
        <f>IF(INDEX(Transactions!$J:$J,ROW()-8)="",0,INDEX(Transactions!$O:$O,ROW()-8))</f>
      </c>
    </row>
    <row r="5066" spans="1:7">
      <c r="B5066">
        <f>IF(INDEX(Transactions!$J:$J,ROW()-8)="",TODAY(),INDEX(Transactions!$G:$G,ROW()-8))</f>
      </c>
      <c r="F5066">
        <f>IF(INDEX(Transactions!$J:$J,ROW()-8)="",0,INDEX(Transactions!$O:$O,ROW()-8))</f>
      </c>
    </row>
    <row r="5067" spans="1:7">
      <c r="B5067">
        <f>IF(INDEX(Transactions!$J:$J,ROW()-8)="",TODAY(),INDEX(Transactions!$G:$G,ROW()-8))</f>
      </c>
      <c r="F5067">
        <f>IF(INDEX(Transactions!$J:$J,ROW()-8)="",0,INDEX(Transactions!$O:$O,ROW()-8))</f>
      </c>
    </row>
    <row r="5068" spans="1:7">
      <c r="B5068">
        <f>IF(INDEX(Transactions!$J:$J,ROW()-8)="",TODAY(),INDEX(Transactions!$G:$G,ROW()-8))</f>
      </c>
      <c r="F5068">
        <f>IF(INDEX(Transactions!$J:$J,ROW()-8)="",0,INDEX(Transactions!$O:$O,ROW()-8))</f>
      </c>
    </row>
    <row r="5069" spans="1:7">
      <c r="B5069">
        <f>IF(INDEX(Transactions!$J:$J,ROW()-8)="",TODAY(),INDEX(Transactions!$G:$G,ROW()-8))</f>
      </c>
      <c r="F5069">
        <f>IF(INDEX(Transactions!$J:$J,ROW()-8)="",0,INDEX(Transactions!$O:$O,ROW()-8))</f>
      </c>
    </row>
    <row r="5070" spans="1:7">
      <c r="B5070">
        <f>IF(INDEX(Transactions!$J:$J,ROW()-8)="",TODAY(),INDEX(Transactions!$G:$G,ROW()-8))</f>
      </c>
      <c r="F5070">
        <f>IF(INDEX(Transactions!$J:$J,ROW()-8)="",0,INDEX(Transactions!$O:$O,ROW()-8))</f>
      </c>
    </row>
    <row r="5071" spans="1:7">
      <c r="B5071">
        <f>IF(INDEX(Transactions!$J:$J,ROW()-8)="",TODAY(),INDEX(Transactions!$G:$G,ROW()-8))</f>
      </c>
      <c r="F5071">
        <f>IF(INDEX(Transactions!$J:$J,ROW()-8)="",0,INDEX(Transactions!$O:$O,ROW()-8))</f>
      </c>
    </row>
    <row r="5072" spans="1:7">
      <c r="B5072">
        <f>IF(INDEX(Transactions!$J:$J,ROW()-8)="",TODAY(),INDEX(Transactions!$G:$G,ROW()-8))</f>
      </c>
      <c r="F5072">
        <f>IF(INDEX(Transactions!$J:$J,ROW()-8)="",0,INDEX(Transactions!$O:$O,ROW()-8))</f>
      </c>
    </row>
    <row r="5073" spans="1:7">
      <c r="B5073">
        <f>IF(INDEX(Transactions!$J:$J,ROW()-8)="",TODAY(),INDEX(Transactions!$G:$G,ROW()-8))</f>
      </c>
      <c r="F5073">
        <f>IF(INDEX(Transactions!$J:$J,ROW()-8)="",0,INDEX(Transactions!$O:$O,ROW()-8))</f>
      </c>
    </row>
    <row r="5074" spans="1:7">
      <c r="B5074">
        <f>IF(INDEX(Transactions!$J:$J,ROW()-8)="",TODAY(),INDEX(Transactions!$G:$G,ROW()-8))</f>
      </c>
      <c r="F5074">
        <f>IF(INDEX(Transactions!$J:$J,ROW()-8)="",0,INDEX(Transactions!$O:$O,ROW()-8))</f>
      </c>
    </row>
    <row r="5075" spans="1:7">
      <c r="B5075">
        <f>IF(INDEX(Transactions!$J:$J,ROW()-8)="",TODAY(),INDEX(Transactions!$G:$G,ROW()-8))</f>
      </c>
      <c r="F5075">
        <f>IF(INDEX(Transactions!$J:$J,ROW()-8)="",0,INDEX(Transactions!$O:$O,ROW()-8))</f>
      </c>
    </row>
    <row r="5076" spans="1:7">
      <c r="B5076">
        <f>IF(INDEX(Transactions!$J:$J,ROW()-8)="",TODAY(),INDEX(Transactions!$G:$G,ROW()-8))</f>
      </c>
      <c r="F5076">
        <f>IF(INDEX(Transactions!$J:$J,ROW()-8)="",0,INDEX(Transactions!$O:$O,ROW()-8))</f>
      </c>
    </row>
    <row r="5077" spans="1:7">
      <c r="B5077">
        <f>IF(INDEX(Transactions!$J:$J,ROW()-8)="",TODAY(),INDEX(Transactions!$G:$G,ROW()-8))</f>
      </c>
      <c r="F5077">
        <f>IF(INDEX(Transactions!$J:$J,ROW()-8)="",0,INDEX(Transactions!$O:$O,ROW()-8))</f>
      </c>
    </row>
    <row r="5078" spans="1:7">
      <c r="B5078">
        <f>IF(INDEX(Transactions!$J:$J,ROW()-8)="",TODAY(),INDEX(Transactions!$G:$G,ROW()-8))</f>
      </c>
      <c r="F5078">
        <f>IF(INDEX(Transactions!$J:$J,ROW()-8)="",0,INDEX(Transactions!$O:$O,ROW()-8))</f>
      </c>
    </row>
    <row r="5079" spans="1:7">
      <c r="B5079">
        <f>IF(INDEX(Transactions!$J:$J,ROW()-8)="",TODAY(),INDEX(Transactions!$G:$G,ROW()-8))</f>
      </c>
      <c r="F5079">
        <f>IF(INDEX(Transactions!$J:$J,ROW()-8)="",0,INDEX(Transactions!$O:$O,ROW()-8))</f>
      </c>
    </row>
    <row r="5080" spans="1:7">
      <c r="B5080">
        <f>IF(INDEX(Transactions!$J:$J,ROW()-8)="",TODAY(),INDEX(Transactions!$G:$G,ROW()-8))</f>
      </c>
      <c r="F5080">
        <f>IF(INDEX(Transactions!$J:$J,ROW()-8)="",0,INDEX(Transactions!$O:$O,ROW()-8))</f>
      </c>
    </row>
    <row r="5081" spans="1:7">
      <c r="B5081">
        <f>IF(INDEX(Transactions!$J:$J,ROW()-8)="",TODAY(),INDEX(Transactions!$G:$G,ROW()-8))</f>
      </c>
      <c r="F5081">
        <f>IF(INDEX(Transactions!$J:$J,ROW()-8)="",0,INDEX(Transactions!$O:$O,ROW()-8))</f>
      </c>
    </row>
    <row r="5082" spans="1:7">
      <c r="B5082">
        <f>IF(INDEX(Transactions!$J:$J,ROW()-8)="",TODAY(),INDEX(Transactions!$G:$G,ROW()-8))</f>
      </c>
      <c r="F5082">
        <f>IF(INDEX(Transactions!$J:$J,ROW()-8)="",0,INDEX(Transactions!$O:$O,ROW()-8))</f>
      </c>
    </row>
    <row r="5083" spans="1:7">
      <c r="B5083">
        <f>IF(INDEX(Transactions!$J:$J,ROW()-8)="",TODAY(),INDEX(Transactions!$G:$G,ROW()-8))</f>
      </c>
      <c r="F5083">
        <f>IF(INDEX(Transactions!$J:$J,ROW()-8)="",0,INDEX(Transactions!$O:$O,ROW()-8))</f>
      </c>
    </row>
    <row r="5084" spans="1:7">
      <c r="B5084">
        <f>IF(INDEX(Transactions!$J:$J,ROW()-8)="",TODAY(),INDEX(Transactions!$G:$G,ROW()-8))</f>
      </c>
      <c r="F5084">
        <f>IF(INDEX(Transactions!$J:$J,ROW()-8)="",0,INDEX(Transactions!$O:$O,ROW()-8))</f>
      </c>
    </row>
    <row r="5085" spans="1:7">
      <c r="B5085">
        <f>IF(INDEX(Transactions!$J:$J,ROW()-8)="",TODAY(),INDEX(Transactions!$G:$G,ROW()-8))</f>
      </c>
      <c r="F5085">
        <f>IF(INDEX(Transactions!$J:$J,ROW()-8)="",0,INDEX(Transactions!$O:$O,ROW()-8))</f>
      </c>
    </row>
    <row r="5086" spans="1:7">
      <c r="B5086">
        <f>IF(INDEX(Transactions!$J:$J,ROW()-8)="",TODAY(),INDEX(Transactions!$G:$G,ROW()-8))</f>
      </c>
      <c r="F5086">
        <f>IF(INDEX(Transactions!$J:$J,ROW()-8)="",0,INDEX(Transactions!$O:$O,ROW()-8))</f>
      </c>
    </row>
    <row r="5087" spans="1:7">
      <c r="B5087">
        <f>IF(INDEX(Transactions!$J:$J,ROW()-8)="",TODAY(),INDEX(Transactions!$G:$G,ROW()-8))</f>
      </c>
      <c r="F5087">
        <f>IF(INDEX(Transactions!$J:$J,ROW()-8)="",0,INDEX(Transactions!$O:$O,ROW()-8))</f>
      </c>
    </row>
    <row r="5088" spans="1:7">
      <c r="B5088">
        <f>IF(INDEX(Transactions!$J:$J,ROW()-8)="",TODAY(),INDEX(Transactions!$G:$G,ROW()-8))</f>
      </c>
      <c r="F5088">
        <f>IF(INDEX(Transactions!$J:$J,ROW()-8)="",0,INDEX(Transactions!$O:$O,ROW()-8))</f>
      </c>
    </row>
    <row r="5089" spans="1:7">
      <c r="B5089">
        <f>IF(INDEX(Transactions!$J:$J,ROW()-8)="",TODAY(),INDEX(Transactions!$G:$G,ROW()-8))</f>
      </c>
      <c r="F5089">
        <f>IF(INDEX(Transactions!$J:$J,ROW()-8)="",0,INDEX(Transactions!$O:$O,ROW()-8))</f>
      </c>
    </row>
    <row r="5090" spans="1:7">
      <c r="B5090">
        <f>IF(INDEX(Transactions!$J:$J,ROW()-8)="",TODAY(),INDEX(Transactions!$G:$G,ROW()-8))</f>
      </c>
      <c r="F5090">
        <f>IF(INDEX(Transactions!$J:$J,ROW()-8)="",0,INDEX(Transactions!$O:$O,ROW()-8))</f>
      </c>
    </row>
    <row r="5091" spans="1:7">
      <c r="B5091">
        <f>IF(INDEX(Transactions!$J:$J,ROW()-8)="",TODAY(),INDEX(Transactions!$G:$G,ROW()-8))</f>
      </c>
      <c r="F5091">
        <f>IF(INDEX(Transactions!$J:$J,ROW()-8)="",0,INDEX(Transactions!$O:$O,ROW()-8))</f>
      </c>
    </row>
    <row r="5092" spans="1:7">
      <c r="B5092">
        <f>IF(INDEX(Transactions!$J:$J,ROW()-8)="",TODAY(),INDEX(Transactions!$G:$G,ROW()-8))</f>
      </c>
      <c r="F5092">
        <f>IF(INDEX(Transactions!$J:$J,ROW()-8)="",0,INDEX(Transactions!$O:$O,ROW()-8))</f>
      </c>
    </row>
    <row r="5093" spans="1:7">
      <c r="B5093">
        <f>IF(INDEX(Transactions!$J:$J,ROW()-8)="",TODAY(),INDEX(Transactions!$G:$G,ROW()-8))</f>
      </c>
      <c r="F5093">
        <f>IF(INDEX(Transactions!$J:$J,ROW()-8)="",0,INDEX(Transactions!$O:$O,ROW()-8))</f>
      </c>
    </row>
    <row r="5094" spans="1:7">
      <c r="B5094">
        <f>IF(INDEX(Transactions!$J:$J,ROW()-8)="",TODAY(),INDEX(Transactions!$G:$G,ROW()-8))</f>
      </c>
      <c r="F5094">
        <f>IF(INDEX(Transactions!$J:$J,ROW()-8)="",0,INDEX(Transactions!$O:$O,ROW()-8))</f>
      </c>
    </row>
    <row r="5095" spans="1:7">
      <c r="B5095">
        <f>IF(INDEX(Transactions!$J:$J,ROW()-8)="",TODAY(),INDEX(Transactions!$G:$G,ROW()-8))</f>
      </c>
      <c r="F5095">
        <f>IF(INDEX(Transactions!$J:$J,ROW()-8)="",0,INDEX(Transactions!$O:$O,ROW()-8))</f>
      </c>
    </row>
    <row r="5096" spans="1:7">
      <c r="B5096">
        <f>IF(INDEX(Transactions!$J:$J,ROW()-8)="",TODAY(),INDEX(Transactions!$G:$G,ROW()-8))</f>
      </c>
      <c r="F5096">
        <f>IF(INDEX(Transactions!$J:$J,ROW()-8)="",0,INDEX(Transactions!$O:$O,ROW()-8))</f>
      </c>
    </row>
    <row r="5097" spans="1:7">
      <c r="B5097">
        <f>IF(INDEX(Transactions!$J:$J,ROW()-8)="",TODAY(),INDEX(Transactions!$G:$G,ROW()-8))</f>
      </c>
      <c r="F5097">
        <f>IF(INDEX(Transactions!$J:$J,ROW()-8)="",0,INDEX(Transactions!$O:$O,ROW()-8))</f>
      </c>
    </row>
    <row r="5098" spans="1:7">
      <c r="B5098">
        <f>IF(INDEX(Transactions!$J:$J,ROW()-8)="",TODAY(),INDEX(Transactions!$G:$G,ROW()-8))</f>
      </c>
      <c r="F5098">
        <f>IF(INDEX(Transactions!$J:$J,ROW()-8)="",0,INDEX(Transactions!$O:$O,ROW()-8))</f>
      </c>
    </row>
    <row r="5099" spans="1:7">
      <c r="B5099">
        <f>IF(INDEX(Transactions!$J:$J,ROW()-8)="",TODAY(),INDEX(Transactions!$G:$G,ROW()-8))</f>
      </c>
      <c r="F5099">
        <f>IF(INDEX(Transactions!$J:$J,ROW()-8)="",0,INDEX(Transactions!$O:$O,ROW()-8))</f>
      </c>
    </row>
    <row r="5100" spans="1:7">
      <c r="B5100">
        <f>IF(INDEX(Transactions!$J:$J,ROW()-8)="",TODAY(),INDEX(Transactions!$G:$G,ROW()-8))</f>
      </c>
      <c r="F5100">
        <f>IF(INDEX(Transactions!$J:$J,ROW()-8)="",0,INDEX(Transactions!$O:$O,ROW()-8))</f>
      </c>
    </row>
    <row r="5101" spans="1:7">
      <c r="B5101">
        <f>IF(INDEX(Transactions!$J:$J,ROW()-8)="",TODAY(),INDEX(Transactions!$G:$G,ROW()-8))</f>
      </c>
      <c r="F5101">
        <f>IF(INDEX(Transactions!$J:$J,ROW()-8)="",0,INDEX(Transactions!$O:$O,ROW()-8))</f>
      </c>
    </row>
    <row r="5102" spans="1:7">
      <c r="B5102">
        <f>IF(INDEX(Transactions!$J:$J,ROW()-8)="",TODAY(),INDEX(Transactions!$G:$G,ROW()-8))</f>
      </c>
      <c r="F5102">
        <f>IF(INDEX(Transactions!$J:$J,ROW()-8)="",0,INDEX(Transactions!$O:$O,ROW()-8))</f>
      </c>
    </row>
    <row r="5103" spans="1:7">
      <c r="B5103">
        <f>IF(INDEX(Transactions!$J:$J,ROW()-8)="",TODAY(),INDEX(Transactions!$G:$G,ROW()-8))</f>
      </c>
      <c r="F5103">
        <f>IF(INDEX(Transactions!$J:$J,ROW()-8)="",0,INDEX(Transactions!$O:$O,ROW()-8))</f>
      </c>
    </row>
    <row r="5104" spans="1:7">
      <c r="B5104">
        <f>IF(INDEX(Transactions!$J:$J,ROW()-8)="",TODAY(),INDEX(Transactions!$G:$G,ROW()-8))</f>
      </c>
      <c r="F5104">
        <f>IF(INDEX(Transactions!$J:$J,ROW()-8)="",0,INDEX(Transactions!$O:$O,ROW()-8))</f>
      </c>
    </row>
    <row r="5105" spans="1:7">
      <c r="B5105">
        <f>IF(INDEX(Transactions!$J:$J,ROW()-8)="",TODAY(),INDEX(Transactions!$G:$G,ROW()-8))</f>
      </c>
      <c r="F5105">
        <f>IF(INDEX(Transactions!$J:$J,ROW()-8)="",0,INDEX(Transactions!$O:$O,ROW()-8))</f>
      </c>
    </row>
    <row r="5106" spans="1:7">
      <c r="B5106">
        <f>IF(INDEX(Transactions!$J:$J,ROW()-8)="",TODAY(),INDEX(Transactions!$G:$G,ROW()-8))</f>
      </c>
      <c r="F5106">
        <f>IF(INDEX(Transactions!$J:$J,ROW()-8)="",0,INDEX(Transactions!$O:$O,ROW()-8))</f>
      </c>
    </row>
    <row r="5107" spans="1:7">
      <c r="B5107">
        <f>IF(INDEX(Transactions!$J:$J,ROW()-8)="",TODAY(),INDEX(Transactions!$G:$G,ROW()-8))</f>
      </c>
      <c r="F5107">
        <f>IF(INDEX(Transactions!$J:$J,ROW()-8)="",0,INDEX(Transactions!$O:$O,ROW()-8))</f>
      </c>
    </row>
    <row r="5108" spans="1:7">
      <c r="B5108">
        <f>IF(INDEX(Transactions!$J:$J,ROW()-8)="",TODAY(),INDEX(Transactions!$G:$G,ROW()-8))</f>
      </c>
      <c r="F5108">
        <f>IF(INDEX(Transactions!$J:$J,ROW()-8)="",0,INDEX(Transactions!$O:$O,ROW()-8))</f>
      </c>
    </row>
    <row r="5109" spans="1:7">
      <c r="B5109">
        <f>IF(INDEX(Transactions!$J:$J,ROW()-8)="",TODAY(),INDEX(Transactions!$G:$G,ROW()-8))</f>
      </c>
      <c r="F5109">
        <f>IF(INDEX(Transactions!$J:$J,ROW()-8)="",0,INDEX(Transactions!$O:$O,ROW()-8))</f>
      </c>
    </row>
    <row r="5110" spans="1:7">
      <c r="B5110">
        <f>IF(INDEX(Transactions!$J:$J,ROW()-8)="",TODAY(),INDEX(Transactions!$G:$G,ROW()-8))</f>
      </c>
      <c r="F5110">
        <f>IF(INDEX(Transactions!$J:$J,ROW()-8)="",0,INDEX(Transactions!$O:$O,ROW()-8))</f>
      </c>
    </row>
    <row r="5111" spans="1:7">
      <c r="B5111">
        <f>IF(INDEX(Transactions!$J:$J,ROW()-8)="",TODAY(),INDEX(Transactions!$G:$G,ROW()-8))</f>
      </c>
      <c r="F5111">
        <f>IF(INDEX(Transactions!$J:$J,ROW()-8)="",0,INDEX(Transactions!$O:$O,ROW()-8))</f>
      </c>
    </row>
    <row r="5112" spans="1:7">
      <c r="B5112">
        <f>IF(INDEX(Transactions!$J:$J,ROW()-8)="",TODAY(),INDEX(Transactions!$G:$G,ROW()-8))</f>
      </c>
      <c r="F5112">
        <f>IF(INDEX(Transactions!$J:$J,ROW()-8)="",0,INDEX(Transactions!$O:$O,ROW()-8))</f>
      </c>
    </row>
    <row r="5113" spans="1:7">
      <c r="B5113">
        <f>IF(INDEX(Transactions!$J:$J,ROW()-8)="",TODAY(),INDEX(Transactions!$G:$G,ROW()-8))</f>
      </c>
      <c r="F5113">
        <f>IF(INDEX(Transactions!$J:$J,ROW()-8)="",0,INDEX(Transactions!$O:$O,ROW()-8))</f>
      </c>
    </row>
    <row r="5114" spans="1:7">
      <c r="B5114">
        <f>IF(INDEX(Transactions!$J:$J,ROW()-8)="",TODAY(),INDEX(Transactions!$G:$G,ROW()-8))</f>
      </c>
      <c r="F5114">
        <f>IF(INDEX(Transactions!$J:$J,ROW()-8)="",0,INDEX(Transactions!$O:$O,ROW()-8))</f>
      </c>
    </row>
    <row r="5115" spans="1:7">
      <c r="B5115">
        <f>IF(INDEX(Transactions!$J:$J,ROW()-8)="",TODAY(),INDEX(Transactions!$G:$G,ROW()-8))</f>
      </c>
      <c r="F5115">
        <f>IF(INDEX(Transactions!$J:$J,ROW()-8)="",0,INDEX(Transactions!$O:$O,ROW()-8))</f>
      </c>
    </row>
    <row r="5116" spans="1:7">
      <c r="B5116">
        <f>IF(INDEX(Transactions!$J:$J,ROW()-8)="",TODAY(),INDEX(Transactions!$G:$G,ROW()-8))</f>
      </c>
      <c r="F5116">
        <f>IF(INDEX(Transactions!$J:$J,ROW()-8)="",0,INDEX(Transactions!$O:$O,ROW()-8))</f>
      </c>
    </row>
    <row r="5117" spans="1:7">
      <c r="B5117">
        <f>IF(INDEX(Transactions!$J:$J,ROW()-8)="",TODAY(),INDEX(Transactions!$G:$G,ROW()-8))</f>
      </c>
      <c r="F5117">
        <f>IF(INDEX(Transactions!$J:$J,ROW()-8)="",0,INDEX(Transactions!$O:$O,ROW()-8))</f>
      </c>
    </row>
    <row r="5118" spans="1:7">
      <c r="B5118">
        <f>IF(INDEX(Transactions!$J:$J,ROW()-8)="",TODAY(),INDEX(Transactions!$G:$G,ROW()-8))</f>
      </c>
      <c r="F5118">
        <f>IF(INDEX(Transactions!$J:$J,ROW()-8)="",0,INDEX(Transactions!$O:$O,ROW()-8))</f>
      </c>
    </row>
    <row r="5119" spans="1:7">
      <c r="B5119">
        <f>IF(INDEX(Transactions!$J:$J,ROW()-8)="",TODAY(),INDEX(Transactions!$G:$G,ROW()-8))</f>
      </c>
      <c r="F5119">
        <f>IF(INDEX(Transactions!$J:$J,ROW()-8)="",0,INDEX(Transactions!$O:$O,ROW()-8))</f>
      </c>
    </row>
    <row r="5120" spans="1:7">
      <c r="B5120">
        <f>IF(INDEX(Transactions!$J:$J,ROW()-8)="",TODAY(),INDEX(Transactions!$G:$G,ROW()-8))</f>
      </c>
      <c r="F5120">
        <f>IF(INDEX(Transactions!$J:$J,ROW()-8)="",0,INDEX(Transactions!$O:$O,ROW()-8))</f>
      </c>
    </row>
    <row r="5121" spans="1:7">
      <c r="B5121">
        <f>IF(INDEX(Transactions!$J:$J,ROW()-8)="",TODAY(),INDEX(Transactions!$G:$G,ROW()-8))</f>
      </c>
      <c r="F5121">
        <f>IF(INDEX(Transactions!$J:$J,ROW()-8)="",0,INDEX(Transactions!$O:$O,ROW()-8))</f>
      </c>
    </row>
    <row r="5122" spans="1:7">
      <c r="B5122">
        <f>IF(INDEX(Transactions!$J:$J,ROW()-8)="",TODAY(),INDEX(Transactions!$G:$G,ROW()-8))</f>
      </c>
      <c r="F5122">
        <f>IF(INDEX(Transactions!$J:$J,ROW()-8)="",0,INDEX(Transactions!$O:$O,ROW()-8))</f>
      </c>
    </row>
    <row r="5123" spans="1:7">
      <c r="B5123">
        <f>IF(INDEX(Transactions!$J:$J,ROW()-8)="",TODAY(),INDEX(Transactions!$G:$G,ROW()-8))</f>
      </c>
      <c r="F5123">
        <f>IF(INDEX(Transactions!$J:$J,ROW()-8)="",0,INDEX(Transactions!$O:$O,ROW()-8))</f>
      </c>
    </row>
    <row r="5124" spans="1:7">
      <c r="B5124">
        <f>IF(INDEX(Transactions!$J:$J,ROW()-8)="",TODAY(),INDEX(Transactions!$G:$G,ROW()-8))</f>
      </c>
      <c r="F5124">
        <f>IF(INDEX(Transactions!$J:$J,ROW()-8)="",0,INDEX(Transactions!$O:$O,ROW()-8))</f>
      </c>
    </row>
    <row r="5125" spans="1:7">
      <c r="B5125">
        <f>IF(INDEX(Transactions!$J:$J,ROW()-8)="",TODAY(),INDEX(Transactions!$G:$G,ROW()-8))</f>
      </c>
      <c r="F5125">
        <f>IF(INDEX(Transactions!$J:$J,ROW()-8)="",0,INDEX(Transactions!$O:$O,ROW()-8))</f>
      </c>
    </row>
    <row r="5126" spans="1:7">
      <c r="B5126">
        <f>IF(INDEX(Transactions!$J:$J,ROW()-8)="",TODAY(),INDEX(Transactions!$G:$G,ROW()-8))</f>
      </c>
      <c r="F5126">
        <f>IF(INDEX(Transactions!$J:$J,ROW()-8)="",0,INDEX(Transactions!$O:$O,ROW()-8))</f>
      </c>
    </row>
    <row r="5127" spans="1:7">
      <c r="B5127">
        <f>IF(INDEX(Transactions!$J:$J,ROW()-8)="",TODAY(),INDEX(Transactions!$G:$G,ROW()-8))</f>
      </c>
      <c r="F5127">
        <f>IF(INDEX(Transactions!$J:$J,ROW()-8)="",0,INDEX(Transactions!$O:$O,ROW()-8))</f>
      </c>
    </row>
    <row r="5128" spans="1:7">
      <c r="B5128">
        <f>IF(INDEX(Transactions!$J:$J,ROW()-8)="",TODAY(),INDEX(Transactions!$G:$G,ROW()-8))</f>
      </c>
      <c r="F5128">
        <f>IF(INDEX(Transactions!$J:$J,ROW()-8)="",0,INDEX(Transactions!$O:$O,ROW()-8))</f>
      </c>
    </row>
    <row r="5129" spans="1:7">
      <c r="B5129">
        <f>IF(INDEX(Transactions!$J:$J,ROW()-8)="",TODAY(),INDEX(Transactions!$G:$G,ROW()-8))</f>
      </c>
      <c r="F5129">
        <f>IF(INDEX(Transactions!$J:$J,ROW()-8)="",0,INDEX(Transactions!$O:$O,ROW()-8))</f>
      </c>
    </row>
    <row r="5130" spans="1:7">
      <c r="B5130">
        <f>IF(INDEX(Transactions!$J:$J,ROW()-8)="",TODAY(),INDEX(Transactions!$G:$G,ROW()-8))</f>
      </c>
      <c r="F5130">
        <f>IF(INDEX(Transactions!$J:$J,ROW()-8)="",0,INDEX(Transactions!$O:$O,ROW()-8))</f>
      </c>
    </row>
    <row r="5131" spans="1:7">
      <c r="B5131">
        <f>IF(INDEX(Transactions!$J:$J,ROW()-8)="",TODAY(),INDEX(Transactions!$G:$G,ROW()-8))</f>
      </c>
      <c r="F5131">
        <f>IF(INDEX(Transactions!$J:$J,ROW()-8)="",0,INDEX(Transactions!$O:$O,ROW()-8))</f>
      </c>
    </row>
    <row r="5132" spans="1:7">
      <c r="B5132">
        <f>IF(INDEX(Transactions!$J:$J,ROW()-8)="",TODAY(),INDEX(Transactions!$G:$G,ROW()-8))</f>
      </c>
      <c r="F5132">
        <f>IF(INDEX(Transactions!$J:$J,ROW()-8)="",0,INDEX(Transactions!$O:$O,ROW()-8))</f>
      </c>
    </row>
    <row r="5133" spans="1:7">
      <c r="B5133">
        <f>IF(INDEX(Transactions!$J:$J,ROW()-8)="",TODAY(),INDEX(Transactions!$G:$G,ROW()-8))</f>
      </c>
      <c r="F5133">
        <f>IF(INDEX(Transactions!$J:$J,ROW()-8)="",0,INDEX(Transactions!$O:$O,ROW()-8))</f>
      </c>
    </row>
    <row r="5134" spans="1:7">
      <c r="B5134">
        <f>IF(INDEX(Transactions!$J:$J,ROW()-8)="",TODAY(),INDEX(Transactions!$G:$G,ROW()-8))</f>
      </c>
      <c r="F5134">
        <f>IF(INDEX(Transactions!$J:$J,ROW()-8)="",0,INDEX(Transactions!$O:$O,ROW()-8))</f>
      </c>
    </row>
    <row r="5135" spans="1:7">
      <c r="B5135">
        <f>IF(INDEX(Transactions!$J:$J,ROW()-8)="",TODAY(),INDEX(Transactions!$G:$G,ROW()-8))</f>
      </c>
      <c r="F5135">
        <f>IF(INDEX(Transactions!$J:$J,ROW()-8)="",0,INDEX(Transactions!$O:$O,ROW()-8))</f>
      </c>
    </row>
    <row r="5136" spans="1:7">
      <c r="B5136">
        <f>IF(INDEX(Transactions!$J:$J,ROW()-8)="",TODAY(),INDEX(Transactions!$G:$G,ROW()-8))</f>
      </c>
      <c r="F5136">
        <f>IF(INDEX(Transactions!$J:$J,ROW()-8)="",0,INDEX(Transactions!$O:$O,ROW()-8))</f>
      </c>
    </row>
    <row r="5137" spans="1:7">
      <c r="B5137">
        <f>IF(INDEX(Transactions!$J:$J,ROW()-8)="",TODAY(),INDEX(Transactions!$G:$G,ROW()-8))</f>
      </c>
      <c r="F5137">
        <f>IF(INDEX(Transactions!$J:$J,ROW()-8)="",0,INDEX(Transactions!$O:$O,ROW()-8))</f>
      </c>
    </row>
    <row r="5138" spans="1:7">
      <c r="B5138">
        <f>IF(INDEX(Transactions!$J:$J,ROW()-8)="",TODAY(),INDEX(Transactions!$G:$G,ROW()-8))</f>
      </c>
      <c r="F5138">
        <f>IF(INDEX(Transactions!$J:$J,ROW()-8)="",0,INDEX(Transactions!$O:$O,ROW()-8))</f>
      </c>
    </row>
    <row r="5139" spans="1:7">
      <c r="B5139">
        <f>IF(INDEX(Transactions!$J:$J,ROW()-8)="",TODAY(),INDEX(Transactions!$G:$G,ROW()-8))</f>
      </c>
      <c r="F5139">
        <f>IF(INDEX(Transactions!$J:$J,ROW()-8)="",0,INDEX(Transactions!$O:$O,ROW()-8))</f>
      </c>
    </row>
    <row r="5140" spans="1:7">
      <c r="B5140">
        <f>IF(INDEX(Transactions!$J:$J,ROW()-8)="",TODAY(),INDEX(Transactions!$G:$G,ROW()-8))</f>
      </c>
      <c r="F5140">
        <f>IF(INDEX(Transactions!$J:$J,ROW()-8)="",0,INDEX(Transactions!$O:$O,ROW()-8))</f>
      </c>
    </row>
    <row r="5141" spans="1:7">
      <c r="B5141">
        <f>IF(INDEX(Transactions!$J:$J,ROW()-8)="",TODAY(),INDEX(Transactions!$G:$G,ROW()-8))</f>
      </c>
      <c r="F5141">
        <f>IF(INDEX(Transactions!$J:$J,ROW()-8)="",0,INDEX(Transactions!$O:$O,ROW()-8))</f>
      </c>
    </row>
    <row r="5142" spans="1:7">
      <c r="B5142">
        <f>IF(INDEX(Transactions!$J:$J,ROW()-8)="",TODAY(),INDEX(Transactions!$G:$G,ROW()-8))</f>
      </c>
      <c r="F5142">
        <f>IF(INDEX(Transactions!$J:$J,ROW()-8)="",0,INDEX(Transactions!$O:$O,ROW()-8))</f>
      </c>
    </row>
    <row r="5143" spans="1:7">
      <c r="B5143">
        <f>IF(INDEX(Transactions!$J:$J,ROW()-8)="",TODAY(),INDEX(Transactions!$G:$G,ROW()-8))</f>
      </c>
      <c r="F5143">
        <f>IF(INDEX(Transactions!$J:$J,ROW()-8)="",0,INDEX(Transactions!$O:$O,ROW()-8))</f>
      </c>
    </row>
    <row r="5144" spans="1:7">
      <c r="B5144">
        <f>IF(INDEX(Transactions!$J:$J,ROW()-8)="",TODAY(),INDEX(Transactions!$G:$G,ROW()-8))</f>
      </c>
      <c r="F5144">
        <f>IF(INDEX(Transactions!$J:$J,ROW()-8)="",0,INDEX(Transactions!$O:$O,ROW()-8))</f>
      </c>
    </row>
    <row r="5145" spans="1:7">
      <c r="B5145">
        <f>IF(INDEX(Transactions!$J:$J,ROW()-8)="",TODAY(),INDEX(Transactions!$G:$G,ROW()-8))</f>
      </c>
      <c r="F5145">
        <f>IF(INDEX(Transactions!$J:$J,ROW()-8)="",0,INDEX(Transactions!$O:$O,ROW()-8))</f>
      </c>
    </row>
    <row r="5146" spans="1:7">
      <c r="B5146">
        <f>IF(INDEX(Transactions!$J:$J,ROW()-8)="",TODAY(),INDEX(Transactions!$G:$G,ROW()-8))</f>
      </c>
      <c r="F5146">
        <f>IF(INDEX(Transactions!$J:$J,ROW()-8)="",0,INDEX(Transactions!$O:$O,ROW()-8))</f>
      </c>
    </row>
    <row r="5147" spans="1:7">
      <c r="B5147">
        <f>IF(INDEX(Transactions!$J:$J,ROW()-8)="",TODAY(),INDEX(Transactions!$G:$G,ROW()-8))</f>
      </c>
      <c r="F5147">
        <f>IF(INDEX(Transactions!$J:$J,ROW()-8)="",0,INDEX(Transactions!$O:$O,ROW()-8))</f>
      </c>
    </row>
    <row r="5148" spans="1:7">
      <c r="B5148">
        <f>IF(INDEX(Transactions!$J:$J,ROW()-8)="",TODAY(),INDEX(Transactions!$G:$G,ROW()-8))</f>
      </c>
      <c r="F5148">
        <f>IF(INDEX(Transactions!$J:$J,ROW()-8)="",0,INDEX(Transactions!$O:$O,ROW()-8))</f>
      </c>
    </row>
    <row r="5149" spans="1:7">
      <c r="B5149">
        <f>IF(INDEX(Transactions!$J:$J,ROW()-8)="",TODAY(),INDEX(Transactions!$G:$G,ROW()-8))</f>
      </c>
      <c r="F5149">
        <f>IF(INDEX(Transactions!$J:$J,ROW()-8)="",0,INDEX(Transactions!$O:$O,ROW()-8))</f>
      </c>
    </row>
    <row r="5150" spans="1:7">
      <c r="B5150">
        <f>IF(INDEX(Transactions!$J:$J,ROW()-8)="",TODAY(),INDEX(Transactions!$G:$G,ROW()-8))</f>
      </c>
      <c r="F5150">
        <f>IF(INDEX(Transactions!$J:$J,ROW()-8)="",0,INDEX(Transactions!$O:$O,ROW()-8))</f>
      </c>
    </row>
    <row r="5151" spans="1:7">
      <c r="B5151">
        <f>IF(INDEX(Transactions!$J:$J,ROW()-8)="",TODAY(),INDEX(Transactions!$G:$G,ROW()-8))</f>
      </c>
      <c r="F5151">
        <f>IF(INDEX(Transactions!$J:$J,ROW()-8)="",0,INDEX(Transactions!$O:$O,ROW()-8))</f>
      </c>
    </row>
    <row r="5152" spans="1:7">
      <c r="B5152">
        <f>IF(INDEX(Transactions!$J:$J,ROW()-8)="",TODAY(),INDEX(Transactions!$G:$G,ROW()-8))</f>
      </c>
      <c r="F5152">
        <f>IF(INDEX(Transactions!$J:$J,ROW()-8)="",0,INDEX(Transactions!$O:$O,ROW()-8))</f>
      </c>
    </row>
    <row r="5153" spans="1:7">
      <c r="B5153">
        <f>IF(INDEX(Transactions!$J:$J,ROW()-8)="",TODAY(),INDEX(Transactions!$G:$G,ROW()-8))</f>
      </c>
      <c r="F5153">
        <f>IF(INDEX(Transactions!$J:$J,ROW()-8)="",0,INDEX(Transactions!$O:$O,ROW()-8))</f>
      </c>
    </row>
    <row r="5154" spans="1:7">
      <c r="B5154">
        <f>IF(INDEX(Transactions!$J:$J,ROW()-8)="",TODAY(),INDEX(Transactions!$G:$G,ROW()-8))</f>
      </c>
      <c r="F5154">
        <f>IF(INDEX(Transactions!$J:$J,ROW()-8)="",0,INDEX(Transactions!$O:$O,ROW()-8))</f>
      </c>
    </row>
    <row r="5155" spans="1:7">
      <c r="B5155">
        <f>IF(INDEX(Transactions!$J:$J,ROW()-8)="",TODAY(),INDEX(Transactions!$G:$G,ROW()-8))</f>
      </c>
      <c r="F5155">
        <f>IF(INDEX(Transactions!$J:$J,ROW()-8)="",0,INDEX(Transactions!$O:$O,ROW()-8))</f>
      </c>
    </row>
    <row r="5156" spans="1:7">
      <c r="B5156">
        <f>IF(INDEX(Transactions!$J:$J,ROW()-8)="",TODAY(),INDEX(Transactions!$G:$G,ROW()-8))</f>
      </c>
      <c r="F5156">
        <f>IF(INDEX(Transactions!$J:$J,ROW()-8)="",0,INDEX(Transactions!$O:$O,ROW()-8))</f>
      </c>
    </row>
    <row r="5157" spans="1:7">
      <c r="B5157">
        <f>IF(INDEX(Transactions!$J:$J,ROW()-8)="",TODAY(),INDEX(Transactions!$G:$G,ROW()-8))</f>
      </c>
      <c r="F5157">
        <f>IF(INDEX(Transactions!$J:$J,ROW()-8)="",0,INDEX(Transactions!$O:$O,ROW()-8))</f>
      </c>
    </row>
    <row r="5158" spans="1:7">
      <c r="B5158">
        <f>IF(INDEX(Transactions!$J:$J,ROW()-8)="",TODAY(),INDEX(Transactions!$G:$G,ROW()-8))</f>
      </c>
      <c r="F5158">
        <f>IF(INDEX(Transactions!$J:$J,ROW()-8)="",0,INDEX(Transactions!$O:$O,ROW()-8))</f>
      </c>
    </row>
    <row r="5159" spans="1:7">
      <c r="B5159">
        <f>IF(INDEX(Transactions!$J:$J,ROW()-8)="",TODAY(),INDEX(Transactions!$G:$G,ROW()-8))</f>
      </c>
      <c r="F5159">
        <f>IF(INDEX(Transactions!$J:$J,ROW()-8)="",0,INDEX(Transactions!$O:$O,ROW()-8))</f>
      </c>
    </row>
    <row r="5160" spans="1:7">
      <c r="B5160">
        <f>IF(INDEX(Transactions!$J:$J,ROW()-8)="",TODAY(),INDEX(Transactions!$G:$G,ROW()-8))</f>
      </c>
      <c r="F5160">
        <f>IF(INDEX(Transactions!$J:$J,ROW()-8)="",0,INDEX(Transactions!$O:$O,ROW()-8))</f>
      </c>
    </row>
    <row r="5161" spans="1:7">
      <c r="B5161">
        <f>IF(INDEX(Transactions!$J:$J,ROW()-8)="",TODAY(),INDEX(Transactions!$G:$G,ROW()-8))</f>
      </c>
      <c r="F5161">
        <f>IF(INDEX(Transactions!$J:$J,ROW()-8)="",0,INDEX(Transactions!$O:$O,ROW()-8))</f>
      </c>
    </row>
    <row r="5162" spans="1:7">
      <c r="B5162">
        <f>IF(INDEX(Transactions!$J:$J,ROW()-8)="",TODAY(),INDEX(Transactions!$G:$G,ROW()-8))</f>
      </c>
      <c r="F5162">
        <f>IF(INDEX(Transactions!$J:$J,ROW()-8)="",0,INDEX(Transactions!$O:$O,ROW()-8))</f>
      </c>
    </row>
    <row r="5163" spans="1:7">
      <c r="B5163">
        <f>IF(INDEX(Transactions!$J:$J,ROW()-8)="",TODAY(),INDEX(Transactions!$G:$G,ROW()-8))</f>
      </c>
      <c r="F5163">
        <f>IF(INDEX(Transactions!$J:$J,ROW()-8)="",0,INDEX(Transactions!$O:$O,ROW()-8))</f>
      </c>
    </row>
    <row r="5164" spans="1:7">
      <c r="B5164">
        <f>IF(INDEX(Transactions!$J:$J,ROW()-8)="",TODAY(),INDEX(Transactions!$G:$G,ROW()-8))</f>
      </c>
      <c r="F5164">
        <f>IF(INDEX(Transactions!$J:$J,ROW()-8)="",0,INDEX(Transactions!$O:$O,ROW()-8))</f>
      </c>
    </row>
    <row r="5165" spans="1:7">
      <c r="B5165">
        <f>IF(INDEX(Transactions!$J:$J,ROW()-8)="",TODAY(),INDEX(Transactions!$G:$G,ROW()-8))</f>
      </c>
      <c r="F5165">
        <f>IF(INDEX(Transactions!$J:$J,ROW()-8)="",0,INDEX(Transactions!$O:$O,ROW()-8))</f>
      </c>
    </row>
    <row r="5166" spans="1:7">
      <c r="B5166">
        <f>IF(INDEX(Transactions!$J:$J,ROW()-8)="",TODAY(),INDEX(Transactions!$G:$G,ROW()-8))</f>
      </c>
      <c r="F5166">
        <f>IF(INDEX(Transactions!$J:$J,ROW()-8)="",0,INDEX(Transactions!$O:$O,ROW()-8))</f>
      </c>
    </row>
    <row r="5167" spans="1:7">
      <c r="B5167">
        <f>IF(INDEX(Transactions!$J:$J,ROW()-8)="",TODAY(),INDEX(Transactions!$G:$G,ROW()-8))</f>
      </c>
      <c r="F5167">
        <f>IF(INDEX(Transactions!$J:$J,ROW()-8)="",0,INDEX(Transactions!$O:$O,ROW()-8))</f>
      </c>
    </row>
    <row r="5168" spans="1:7">
      <c r="B5168">
        <f>IF(INDEX(Transactions!$J:$J,ROW()-8)="",TODAY(),INDEX(Transactions!$G:$G,ROW()-8))</f>
      </c>
      <c r="F5168">
        <f>IF(INDEX(Transactions!$J:$J,ROW()-8)="",0,INDEX(Transactions!$O:$O,ROW()-8))</f>
      </c>
    </row>
    <row r="5169" spans="1:7">
      <c r="B5169">
        <f>IF(INDEX(Transactions!$J:$J,ROW()-8)="",TODAY(),INDEX(Transactions!$G:$G,ROW()-8))</f>
      </c>
      <c r="F5169">
        <f>IF(INDEX(Transactions!$J:$J,ROW()-8)="",0,INDEX(Transactions!$O:$O,ROW()-8))</f>
      </c>
    </row>
    <row r="5170" spans="1:7">
      <c r="B5170">
        <f>IF(INDEX(Transactions!$J:$J,ROW()-8)="",TODAY(),INDEX(Transactions!$G:$G,ROW()-8))</f>
      </c>
      <c r="F5170">
        <f>IF(INDEX(Transactions!$J:$J,ROW()-8)="",0,INDEX(Transactions!$O:$O,ROW()-8))</f>
      </c>
    </row>
    <row r="5171" spans="1:7">
      <c r="B5171">
        <f>IF(INDEX(Transactions!$J:$J,ROW()-8)="",TODAY(),INDEX(Transactions!$G:$G,ROW()-8))</f>
      </c>
      <c r="F5171">
        <f>IF(INDEX(Transactions!$J:$J,ROW()-8)="",0,INDEX(Transactions!$O:$O,ROW()-8))</f>
      </c>
    </row>
    <row r="5172" spans="1:7">
      <c r="B5172">
        <f>IF(INDEX(Transactions!$J:$J,ROW()-8)="",TODAY(),INDEX(Transactions!$G:$G,ROW()-8))</f>
      </c>
      <c r="F5172">
        <f>IF(INDEX(Transactions!$J:$J,ROW()-8)="",0,INDEX(Transactions!$O:$O,ROW()-8))</f>
      </c>
    </row>
    <row r="5173" spans="1:7">
      <c r="B5173">
        <f>IF(INDEX(Transactions!$J:$J,ROW()-8)="",TODAY(),INDEX(Transactions!$G:$G,ROW()-8))</f>
      </c>
      <c r="F5173">
        <f>IF(INDEX(Transactions!$J:$J,ROW()-8)="",0,INDEX(Transactions!$O:$O,ROW()-8))</f>
      </c>
    </row>
    <row r="5174" spans="1:7">
      <c r="B5174">
        <f>IF(INDEX(Transactions!$J:$J,ROW()-8)="",TODAY(),INDEX(Transactions!$G:$G,ROW()-8))</f>
      </c>
      <c r="F5174">
        <f>IF(INDEX(Transactions!$J:$J,ROW()-8)="",0,INDEX(Transactions!$O:$O,ROW()-8))</f>
      </c>
    </row>
    <row r="5175" spans="1:7">
      <c r="B5175">
        <f>IF(INDEX(Transactions!$J:$J,ROW()-8)="",TODAY(),INDEX(Transactions!$G:$G,ROW()-8))</f>
      </c>
      <c r="F5175">
        <f>IF(INDEX(Transactions!$J:$J,ROW()-8)="",0,INDEX(Transactions!$O:$O,ROW()-8))</f>
      </c>
    </row>
    <row r="5176" spans="1:7">
      <c r="B5176">
        <f>IF(INDEX(Transactions!$J:$J,ROW()-8)="",TODAY(),INDEX(Transactions!$G:$G,ROW()-8))</f>
      </c>
      <c r="F5176">
        <f>IF(INDEX(Transactions!$J:$J,ROW()-8)="",0,INDEX(Transactions!$O:$O,ROW()-8))</f>
      </c>
    </row>
    <row r="5177" spans="1:7">
      <c r="B5177">
        <f>IF(INDEX(Transactions!$J:$J,ROW()-8)="",TODAY(),INDEX(Transactions!$G:$G,ROW()-8))</f>
      </c>
      <c r="F5177">
        <f>IF(INDEX(Transactions!$J:$J,ROW()-8)="",0,INDEX(Transactions!$O:$O,ROW()-8))</f>
      </c>
    </row>
    <row r="5178" spans="1:7">
      <c r="B5178">
        <f>IF(INDEX(Transactions!$J:$J,ROW()-8)="",TODAY(),INDEX(Transactions!$G:$G,ROW()-8))</f>
      </c>
      <c r="F5178">
        <f>IF(INDEX(Transactions!$J:$J,ROW()-8)="",0,INDEX(Transactions!$O:$O,ROW()-8))</f>
      </c>
    </row>
    <row r="5179" spans="1:7">
      <c r="B5179">
        <f>IF(INDEX(Transactions!$J:$J,ROW()-8)="",TODAY(),INDEX(Transactions!$G:$G,ROW()-8))</f>
      </c>
      <c r="F5179">
        <f>IF(INDEX(Transactions!$J:$J,ROW()-8)="",0,INDEX(Transactions!$O:$O,ROW()-8))</f>
      </c>
    </row>
    <row r="5180" spans="1:7">
      <c r="B5180">
        <f>IF(INDEX(Transactions!$J:$J,ROW()-8)="",TODAY(),INDEX(Transactions!$G:$G,ROW()-8))</f>
      </c>
      <c r="F5180">
        <f>IF(INDEX(Transactions!$J:$J,ROW()-8)="",0,INDEX(Transactions!$O:$O,ROW()-8))</f>
      </c>
    </row>
    <row r="5181" spans="1:7">
      <c r="B5181">
        <f>IF(INDEX(Transactions!$J:$J,ROW()-8)="",TODAY(),INDEX(Transactions!$G:$G,ROW()-8))</f>
      </c>
      <c r="F5181">
        <f>IF(INDEX(Transactions!$J:$J,ROW()-8)="",0,INDEX(Transactions!$O:$O,ROW()-8))</f>
      </c>
    </row>
    <row r="5182" spans="1:7">
      <c r="B5182">
        <f>IF(INDEX(Transactions!$J:$J,ROW()-8)="",TODAY(),INDEX(Transactions!$G:$G,ROW()-8))</f>
      </c>
      <c r="F5182">
        <f>IF(INDEX(Transactions!$J:$J,ROW()-8)="",0,INDEX(Transactions!$O:$O,ROW()-8))</f>
      </c>
    </row>
    <row r="5183" spans="1:7">
      <c r="B5183">
        <f>IF(INDEX(Transactions!$J:$J,ROW()-8)="",TODAY(),INDEX(Transactions!$G:$G,ROW()-8))</f>
      </c>
      <c r="F5183">
        <f>IF(INDEX(Transactions!$J:$J,ROW()-8)="",0,INDEX(Transactions!$O:$O,ROW()-8))</f>
      </c>
    </row>
    <row r="5184" spans="1:7">
      <c r="B5184">
        <f>IF(INDEX(Transactions!$J:$J,ROW()-8)="",TODAY(),INDEX(Transactions!$G:$G,ROW()-8))</f>
      </c>
      <c r="F5184">
        <f>IF(INDEX(Transactions!$J:$J,ROW()-8)="",0,INDEX(Transactions!$O:$O,ROW()-8))</f>
      </c>
    </row>
    <row r="5185" spans="1:7">
      <c r="B5185">
        <f>IF(INDEX(Transactions!$J:$J,ROW()-8)="",TODAY(),INDEX(Transactions!$G:$G,ROW()-8))</f>
      </c>
      <c r="F5185">
        <f>IF(INDEX(Transactions!$J:$J,ROW()-8)="",0,INDEX(Transactions!$O:$O,ROW()-8))</f>
      </c>
    </row>
    <row r="5186" spans="1:7">
      <c r="B5186">
        <f>IF(INDEX(Transactions!$J:$J,ROW()-8)="",TODAY(),INDEX(Transactions!$G:$G,ROW()-8))</f>
      </c>
      <c r="F5186">
        <f>IF(INDEX(Transactions!$J:$J,ROW()-8)="",0,INDEX(Transactions!$O:$O,ROW()-8))</f>
      </c>
    </row>
    <row r="5187" spans="1:7">
      <c r="B5187">
        <f>IF(INDEX(Transactions!$J:$J,ROW()-8)="",TODAY(),INDEX(Transactions!$G:$G,ROW()-8))</f>
      </c>
      <c r="F5187">
        <f>IF(INDEX(Transactions!$J:$J,ROW()-8)="",0,INDEX(Transactions!$O:$O,ROW()-8))</f>
      </c>
    </row>
    <row r="5188" spans="1:7">
      <c r="B5188">
        <f>IF(INDEX(Transactions!$J:$J,ROW()-8)="",TODAY(),INDEX(Transactions!$G:$G,ROW()-8))</f>
      </c>
      <c r="F5188">
        <f>IF(INDEX(Transactions!$J:$J,ROW()-8)="",0,INDEX(Transactions!$O:$O,ROW()-8))</f>
      </c>
    </row>
    <row r="5189" spans="1:7">
      <c r="B5189">
        <f>IF(INDEX(Transactions!$J:$J,ROW()-8)="",TODAY(),INDEX(Transactions!$G:$G,ROW()-8))</f>
      </c>
      <c r="F5189">
        <f>IF(INDEX(Transactions!$J:$J,ROW()-8)="",0,INDEX(Transactions!$O:$O,ROW()-8))</f>
      </c>
    </row>
    <row r="5190" spans="1:7">
      <c r="B5190">
        <f>IF(INDEX(Transactions!$J:$J,ROW()-8)="",TODAY(),INDEX(Transactions!$G:$G,ROW()-8))</f>
      </c>
      <c r="F5190">
        <f>IF(INDEX(Transactions!$J:$J,ROW()-8)="",0,INDEX(Transactions!$O:$O,ROW()-8))</f>
      </c>
    </row>
    <row r="5191" spans="1:7">
      <c r="B5191">
        <f>IF(INDEX(Transactions!$J:$J,ROW()-8)="",TODAY(),INDEX(Transactions!$G:$G,ROW()-8))</f>
      </c>
      <c r="F5191">
        <f>IF(INDEX(Transactions!$J:$J,ROW()-8)="",0,INDEX(Transactions!$O:$O,ROW()-8))</f>
      </c>
    </row>
    <row r="5192" spans="1:7">
      <c r="B5192">
        <f>IF(INDEX(Transactions!$J:$J,ROW()-8)="",TODAY(),INDEX(Transactions!$G:$G,ROW()-8))</f>
      </c>
      <c r="F5192">
        <f>IF(INDEX(Transactions!$J:$J,ROW()-8)="",0,INDEX(Transactions!$O:$O,ROW()-8))</f>
      </c>
    </row>
    <row r="5193" spans="1:7">
      <c r="B5193">
        <f>IF(INDEX(Transactions!$J:$J,ROW()-8)="",TODAY(),INDEX(Transactions!$G:$G,ROW()-8))</f>
      </c>
      <c r="F5193">
        <f>IF(INDEX(Transactions!$J:$J,ROW()-8)="",0,INDEX(Transactions!$O:$O,ROW()-8))</f>
      </c>
    </row>
    <row r="5194" spans="1:7">
      <c r="B5194">
        <f>IF(INDEX(Transactions!$J:$J,ROW()-8)="",TODAY(),INDEX(Transactions!$G:$G,ROW()-8))</f>
      </c>
      <c r="F5194">
        <f>IF(INDEX(Transactions!$J:$J,ROW()-8)="",0,INDEX(Transactions!$O:$O,ROW()-8))</f>
      </c>
    </row>
    <row r="5195" spans="1:7">
      <c r="B5195">
        <f>IF(INDEX(Transactions!$J:$J,ROW()-8)="",TODAY(),INDEX(Transactions!$G:$G,ROW()-8))</f>
      </c>
      <c r="F5195">
        <f>IF(INDEX(Transactions!$J:$J,ROW()-8)="",0,INDEX(Transactions!$O:$O,ROW()-8))</f>
      </c>
    </row>
    <row r="5196" spans="1:7">
      <c r="B5196">
        <f>IF(INDEX(Transactions!$J:$J,ROW()-8)="",TODAY(),INDEX(Transactions!$G:$G,ROW()-8))</f>
      </c>
      <c r="F5196">
        <f>IF(INDEX(Transactions!$J:$J,ROW()-8)="",0,INDEX(Transactions!$O:$O,ROW()-8))</f>
      </c>
    </row>
    <row r="5197" spans="1:7">
      <c r="B5197">
        <f>IF(INDEX(Transactions!$J:$J,ROW()-8)="",TODAY(),INDEX(Transactions!$G:$G,ROW()-8))</f>
      </c>
      <c r="F5197">
        <f>IF(INDEX(Transactions!$J:$J,ROW()-8)="",0,INDEX(Transactions!$O:$O,ROW()-8))</f>
      </c>
    </row>
    <row r="5198" spans="1:7">
      <c r="B5198">
        <f>IF(INDEX(Transactions!$J:$J,ROW()-8)="",TODAY(),INDEX(Transactions!$G:$G,ROW()-8))</f>
      </c>
      <c r="F5198">
        <f>IF(INDEX(Transactions!$J:$J,ROW()-8)="",0,INDEX(Transactions!$O:$O,ROW()-8))</f>
      </c>
    </row>
    <row r="5199" spans="1:7">
      <c r="B5199">
        <f>IF(INDEX(Transactions!$J:$J,ROW()-8)="",TODAY(),INDEX(Transactions!$G:$G,ROW()-8))</f>
      </c>
      <c r="F5199">
        <f>IF(INDEX(Transactions!$J:$J,ROW()-8)="",0,INDEX(Transactions!$O:$O,ROW()-8))</f>
      </c>
    </row>
    <row r="5200" spans="1:7">
      <c r="B5200">
        <f>IF(INDEX(Transactions!$J:$J,ROW()-8)="",TODAY(),INDEX(Transactions!$G:$G,ROW()-8))</f>
      </c>
      <c r="F5200">
        <f>IF(INDEX(Transactions!$J:$J,ROW()-8)="",0,INDEX(Transactions!$O:$O,ROW()-8))</f>
      </c>
    </row>
    <row r="5201" spans="1:7">
      <c r="B5201">
        <f>IF(INDEX(Transactions!$J:$J,ROW()-8)="",TODAY(),INDEX(Transactions!$G:$G,ROW()-8))</f>
      </c>
      <c r="F5201">
        <f>IF(INDEX(Transactions!$J:$J,ROW()-8)="",0,INDEX(Transactions!$O:$O,ROW()-8))</f>
      </c>
    </row>
    <row r="5202" spans="1:7">
      <c r="B5202">
        <f>IF(INDEX(Transactions!$J:$J,ROW()-8)="",TODAY(),INDEX(Transactions!$G:$G,ROW()-8))</f>
      </c>
      <c r="F5202">
        <f>IF(INDEX(Transactions!$J:$J,ROW()-8)="",0,INDEX(Transactions!$O:$O,ROW()-8))</f>
      </c>
    </row>
    <row r="5203" spans="1:7">
      <c r="B5203">
        <f>IF(INDEX(Transactions!$J:$J,ROW()-8)="",TODAY(),INDEX(Transactions!$G:$G,ROW()-8))</f>
      </c>
      <c r="F5203">
        <f>IF(INDEX(Transactions!$J:$J,ROW()-8)="",0,INDEX(Transactions!$O:$O,ROW()-8))</f>
      </c>
    </row>
    <row r="5204" spans="1:7">
      <c r="B5204">
        <f>IF(INDEX(Transactions!$J:$J,ROW()-8)="",TODAY(),INDEX(Transactions!$G:$G,ROW()-8))</f>
      </c>
      <c r="F5204">
        <f>IF(INDEX(Transactions!$J:$J,ROW()-8)="",0,INDEX(Transactions!$O:$O,ROW()-8))</f>
      </c>
    </row>
    <row r="5205" spans="1:7">
      <c r="B5205">
        <f>IF(INDEX(Transactions!$J:$J,ROW()-8)="",TODAY(),INDEX(Transactions!$G:$G,ROW()-8))</f>
      </c>
      <c r="F5205">
        <f>IF(INDEX(Transactions!$J:$J,ROW()-8)="",0,INDEX(Transactions!$O:$O,ROW()-8))</f>
      </c>
    </row>
    <row r="5206" spans="1:7">
      <c r="B5206">
        <f>IF(INDEX(Transactions!$J:$J,ROW()-8)="",TODAY(),INDEX(Transactions!$G:$G,ROW()-8))</f>
      </c>
      <c r="F5206">
        <f>IF(INDEX(Transactions!$J:$J,ROW()-8)="",0,INDEX(Transactions!$O:$O,ROW()-8))</f>
      </c>
    </row>
    <row r="5207" spans="1:7">
      <c r="B5207">
        <f>IF(INDEX(Transactions!$J:$J,ROW()-8)="",TODAY(),INDEX(Transactions!$G:$G,ROW()-8))</f>
      </c>
      <c r="F5207">
        <f>IF(INDEX(Transactions!$J:$J,ROW()-8)="",0,INDEX(Transactions!$O:$O,ROW()-8))</f>
      </c>
    </row>
    <row r="5208" spans="1:7">
      <c r="B5208">
        <f>IF(INDEX(Transactions!$J:$J,ROW()-8)="",TODAY(),INDEX(Transactions!$G:$G,ROW()-8))</f>
      </c>
      <c r="F5208">
        <f>IF(INDEX(Transactions!$J:$J,ROW()-8)="",0,INDEX(Transactions!$O:$O,ROW()-8))</f>
      </c>
    </row>
    <row r="5209" spans="1:7">
      <c r="B5209">
        <f>IF(INDEX(Transactions!$J:$J,ROW()-8)="",TODAY(),INDEX(Transactions!$G:$G,ROW()-8))</f>
      </c>
      <c r="F5209">
        <f>IF(INDEX(Transactions!$J:$J,ROW()-8)="",0,INDEX(Transactions!$O:$O,ROW()-8))</f>
      </c>
    </row>
    <row r="5210" spans="1:7">
      <c r="B5210">
        <f>IF(INDEX(Transactions!$J:$J,ROW()-8)="",TODAY(),INDEX(Transactions!$G:$G,ROW()-8))</f>
      </c>
      <c r="F5210">
        <f>IF(INDEX(Transactions!$J:$J,ROW()-8)="",0,INDEX(Transactions!$O:$O,ROW()-8))</f>
      </c>
    </row>
    <row r="5211" spans="1:7">
      <c r="B5211">
        <f>IF(INDEX(Transactions!$J:$J,ROW()-8)="",TODAY(),INDEX(Transactions!$G:$G,ROW()-8))</f>
      </c>
      <c r="F5211">
        <f>IF(INDEX(Transactions!$J:$J,ROW()-8)="",0,INDEX(Transactions!$O:$O,ROW()-8))</f>
      </c>
    </row>
    <row r="5212" spans="1:7">
      <c r="B5212">
        <f>IF(INDEX(Transactions!$J:$J,ROW()-8)="",TODAY(),INDEX(Transactions!$G:$G,ROW()-8))</f>
      </c>
      <c r="F5212">
        <f>IF(INDEX(Transactions!$J:$J,ROW()-8)="",0,INDEX(Transactions!$O:$O,ROW()-8))</f>
      </c>
    </row>
    <row r="5213" spans="1:7">
      <c r="B5213">
        <f>IF(INDEX(Transactions!$J:$J,ROW()-8)="",TODAY(),INDEX(Transactions!$G:$G,ROW()-8))</f>
      </c>
      <c r="F5213">
        <f>IF(INDEX(Transactions!$J:$J,ROW()-8)="",0,INDEX(Transactions!$O:$O,ROW()-8))</f>
      </c>
    </row>
    <row r="5214" spans="1:7">
      <c r="B5214">
        <f>IF(INDEX(Transactions!$J:$J,ROW()-8)="",TODAY(),INDEX(Transactions!$G:$G,ROW()-8))</f>
      </c>
      <c r="F5214">
        <f>IF(INDEX(Transactions!$J:$J,ROW()-8)="",0,INDEX(Transactions!$O:$O,ROW()-8))</f>
      </c>
    </row>
    <row r="5215" spans="1:7">
      <c r="B5215">
        <f>IF(INDEX(Transactions!$J:$J,ROW()-8)="",TODAY(),INDEX(Transactions!$G:$G,ROW()-8))</f>
      </c>
      <c r="F5215">
        <f>IF(INDEX(Transactions!$J:$J,ROW()-8)="",0,INDEX(Transactions!$O:$O,ROW()-8))</f>
      </c>
    </row>
    <row r="5216" spans="1:7">
      <c r="B5216">
        <f>IF(INDEX(Transactions!$J:$J,ROW()-8)="",TODAY(),INDEX(Transactions!$G:$G,ROW()-8))</f>
      </c>
      <c r="F5216">
        <f>IF(INDEX(Transactions!$J:$J,ROW()-8)="",0,INDEX(Transactions!$O:$O,ROW()-8))</f>
      </c>
    </row>
    <row r="5217" spans="1:7">
      <c r="B5217">
        <f>IF(INDEX(Transactions!$J:$J,ROW()-8)="",TODAY(),INDEX(Transactions!$G:$G,ROW()-8))</f>
      </c>
      <c r="F5217">
        <f>IF(INDEX(Transactions!$J:$J,ROW()-8)="",0,INDEX(Transactions!$O:$O,ROW()-8))</f>
      </c>
    </row>
    <row r="5218" spans="1:7">
      <c r="B5218">
        <f>IF(INDEX(Transactions!$J:$J,ROW()-8)="",TODAY(),INDEX(Transactions!$G:$G,ROW()-8))</f>
      </c>
      <c r="F5218">
        <f>IF(INDEX(Transactions!$J:$J,ROW()-8)="",0,INDEX(Transactions!$O:$O,ROW()-8))</f>
      </c>
    </row>
    <row r="5219" spans="1:7">
      <c r="B5219">
        <f>IF(INDEX(Transactions!$J:$J,ROW()-8)="",TODAY(),INDEX(Transactions!$G:$G,ROW()-8))</f>
      </c>
      <c r="F5219">
        <f>IF(INDEX(Transactions!$J:$J,ROW()-8)="",0,INDEX(Transactions!$O:$O,ROW()-8))</f>
      </c>
    </row>
    <row r="5220" spans="1:7">
      <c r="B5220">
        <f>IF(INDEX(Transactions!$J:$J,ROW()-8)="",TODAY(),INDEX(Transactions!$G:$G,ROW()-8))</f>
      </c>
      <c r="F5220">
        <f>IF(INDEX(Transactions!$J:$J,ROW()-8)="",0,INDEX(Transactions!$O:$O,ROW()-8))</f>
      </c>
    </row>
    <row r="5221" spans="1:7">
      <c r="B5221">
        <f>IF(INDEX(Transactions!$J:$J,ROW()-8)="",TODAY(),INDEX(Transactions!$G:$G,ROW()-8))</f>
      </c>
      <c r="F5221">
        <f>IF(INDEX(Transactions!$J:$J,ROW()-8)="",0,INDEX(Transactions!$O:$O,ROW()-8))</f>
      </c>
    </row>
    <row r="5222" spans="1:7">
      <c r="B5222">
        <f>IF(INDEX(Transactions!$J:$J,ROW()-8)="",TODAY(),INDEX(Transactions!$G:$G,ROW()-8))</f>
      </c>
      <c r="F5222">
        <f>IF(INDEX(Transactions!$J:$J,ROW()-8)="",0,INDEX(Transactions!$O:$O,ROW()-8))</f>
      </c>
    </row>
    <row r="5223" spans="1:7">
      <c r="B5223">
        <f>IF(INDEX(Transactions!$J:$J,ROW()-8)="",TODAY(),INDEX(Transactions!$G:$G,ROW()-8))</f>
      </c>
      <c r="F5223">
        <f>IF(INDEX(Transactions!$J:$J,ROW()-8)="",0,INDEX(Transactions!$O:$O,ROW()-8))</f>
      </c>
    </row>
    <row r="5224" spans="1:7">
      <c r="B5224">
        <f>IF(INDEX(Transactions!$J:$J,ROW()-8)="",TODAY(),INDEX(Transactions!$G:$G,ROW()-8))</f>
      </c>
      <c r="F5224">
        <f>IF(INDEX(Transactions!$J:$J,ROW()-8)="",0,INDEX(Transactions!$O:$O,ROW()-8))</f>
      </c>
    </row>
    <row r="5225" spans="1:7">
      <c r="B5225">
        <f>IF(INDEX(Transactions!$J:$J,ROW()-8)="",TODAY(),INDEX(Transactions!$G:$G,ROW()-8))</f>
      </c>
      <c r="F5225">
        <f>IF(INDEX(Transactions!$J:$J,ROW()-8)="",0,INDEX(Transactions!$O:$O,ROW()-8))</f>
      </c>
    </row>
    <row r="5226" spans="1:7">
      <c r="B5226">
        <f>IF(INDEX(Transactions!$J:$J,ROW()-8)="",TODAY(),INDEX(Transactions!$G:$G,ROW()-8))</f>
      </c>
      <c r="F5226">
        <f>IF(INDEX(Transactions!$J:$J,ROW()-8)="",0,INDEX(Transactions!$O:$O,ROW()-8))</f>
      </c>
    </row>
    <row r="5227" spans="1:7">
      <c r="B5227">
        <f>IF(INDEX(Transactions!$J:$J,ROW()-8)="",TODAY(),INDEX(Transactions!$G:$G,ROW()-8))</f>
      </c>
      <c r="F5227">
        <f>IF(INDEX(Transactions!$J:$J,ROW()-8)="",0,INDEX(Transactions!$O:$O,ROW()-8))</f>
      </c>
    </row>
    <row r="5228" spans="1:7">
      <c r="B5228">
        <f>IF(INDEX(Transactions!$J:$J,ROW()-8)="",TODAY(),INDEX(Transactions!$G:$G,ROW()-8))</f>
      </c>
      <c r="F5228">
        <f>IF(INDEX(Transactions!$J:$J,ROW()-8)="",0,INDEX(Transactions!$O:$O,ROW()-8))</f>
      </c>
    </row>
    <row r="5229" spans="1:7">
      <c r="B5229">
        <f>IF(INDEX(Transactions!$J:$J,ROW()-8)="",TODAY(),INDEX(Transactions!$G:$G,ROW()-8))</f>
      </c>
      <c r="F5229">
        <f>IF(INDEX(Transactions!$J:$J,ROW()-8)="",0,INDEX(Transactions!$O:$O,ROW()-8))</f>
      </c>
    </row>
    <row r="5230" spans="1:7">
      <c r="B5230">
        <f>IF(INDEX(Transactions!$J:$J,ROW()-8)="",TODAY(),INDEX(Transactions!$G:$G,ROW()-8))</f>
      </c>
      <c r="F5230">
        <f>IF(INDEX(Transactions!$J:$J,ROW()-8)="",0,INDEX(Transactions!$O:$O,ROW()-8))</f>
      </c>
    </row>
    <row r="5231" spans="1:7">
      <c r="B5231">
        <f>IF(INDEX(Transactions!$J:$J,ROW()-8)="",TODAY(),INDEX(Transactions!$G:$G,ROW()-8))</f>
      </c>
      <c r="F5231">
        <f>IF(INDEX(Transactions!$J:$J,ROW()-8)="",0,INDEX(Transactions!$O:$O,ROW()-8))</f>
      </c>
    </row>
    <row r="5232" spans="1:7">
      <c r="B5232">
        <f>IF(INDEX(Transactions!$J:$J,ROW()-8)="",TODAY(),INDEX(Transactions!$G:$G,ROW()-8))</f>
      </c>
      <c r="F5232">
        <f>IF(INDEX(Transactions!$J:$J,ROW()-8)="",0,INDEX(Transactions!$O:$O,ROW()-8))</f>
      </c>
    </row>
    <row r="5233" spans="1:7">
      <c r="B5233">
        <f>IF(INDEX(Transactions!$J:$J,ROW()-8)="",TODAY(),INDEX(Transactions!$G:$G,ROW()-8))</f>
      </c>
      <c r="F5233">
        <f>IF(INDEX(Transactions!$J:$J,ROW()-8)="",0,INDEX(Transactions!$O:$O,ROW()-8))</f>
      </c>
    </row>
    <row r="5234" spans="1:7">
      <c r="B5234">
        <f>IF(INDEX(Transactions!$J:$J,ROW()-8)="",TODAY(),INDEX(Transactions!$G:$G,ROW()-8))</f>
      </c>
      <c r="F5234">
        <f>IF(INDEX(Transactions!$J:$J,ROW()-8)="",0,INDEX(Transactions!$O:$O,ROW()-8))</f>
      </c>
    </row>
    <row r="5235" spans="1:7">
      <c r="B5235">
        <f>IF(INDEX(Transactions!$J:$J,ROW()-8)="",TODAY(),INDEX(Transactions!$G:$G,ROW()-8))</f>
      </c>
      <c r="F5235">
        <f>IF(INDEX(Transactions!$J:$J,ROW()-8)="",0,INDEX(Transactions!$O:$O,ROW()-8))</f>
      </c>
    </row>
    <row r="5236" spans="1:7">
      <c r="B5236">
        <f>IF(INDEX(Transactions!$J:$J,ROW()-8)="",TODAY(),INDEX(Transactions!$G:$G,ROW()-8))</f>
      </c>
      <c r="F5236">
        <f>IF(INDEX(Transactions!$J:$J,ROW()-8)="",0,INDEX(Transactions!$O:$O,ROW()-8))</f>
      </c>
    </row>
    <row r="5237" spans="1:7">
      <c r="B5237">
        <f>IF(INDEX(Transactions!$J:$J,ROW()-8)="",TODAY(),INDEX(Transactions!$G:$G,ROW()-8))</f>
      </c>
      <c r="F5237">
        <f>IF(INDEX(Transactions!$J:$J,ROW()-8)="",0,INDEX(Transactions!$O:$O,ROW()-8))</f>
      </c>
    </row>
    <row r="5238" spans="1:7">
      <c r="B5238">
        <f>IF(INDEX(Transactions!$J:$J,ROW()-8)="",TODAY(),INDEX(Transactions!$G:$G,ROW()-8))</f>
      </c>
      <c r="F5238">
        <f>IF(INDEX(Transactions!$J:$J,ROW()-8)="",0,INDEX(Transactions!$O:$O,ROW()-8))</f>
      </c>
    </row>
    <row r="5239" spans="1:7">
      <c r="B5239">
        <f>IF(INDEX(Transactions!$J:$J,ROW()-8)="",TODAY(),INDEX(Transactions!$G:$G,ROW()-8))</f>
      </c>
      <c r="F5239">
        <f>IF(INDEX(Transactions!$J:$J,ROW()-8)="",0,INDEX(Transactions!$O:$O,ROW()-8))</f>
      </c>
    </row>
    <row r="5240" spans="1:7">
      <c r="B5240">
        <f>IF(INDEX(Transactions!$J:$J,ROW()-8)="",TODAY(),INDEX(Transactions!$G:$G,ROW()-8))</f>
      </c>
      <c r="F5240">
        <f>IF(INDEX(Transactions!$J:$J,ROW()-8)="",0,INDEX(Transactions!$O:$O,ROW()-8))</f>
      </c>
    </row>
    <row r="5241" spans="1:7">
      <c r="B5241">
        <f>IF(INDEX(Transactions!$J:$J,ROW()-8)="",TODAY(),INDEX(Transactions!$G:$G,ROW()-8))</f>
      </c>
      <c r="F5241">
        <f>IF(INDEX(Transactions!$J:$J,ROW()-8)="",0,INDEX(Transactions!$O:$O,ROW()-8))</f>
      </c>
    </row>
    <row r="5242" spans="1:7">
      <c r="B5242">
        <f>IF(INDEX(Transactions!$J:$J,ROW()-8)="",TODAY(),INDEX(Transactions!$G:$G,ROW()-8))</f>
      </c>
      <c r="F5242">
        <f>IF(INDEX(Transactions!$J:$J,ROW()-8)="",0,INDEX(Transactions!$O:$O,ROW()-8))</f>
      </c>
    </row>
    <row r="5243" spans="1:7">
      <c r="B5243">
        <f>IF(INDEX(Transactions!$J:$J,ROW()-8)="",TODAY(),INDEX(Transactions!$G:$G,ROW()-8))</f>
      </c>
      <c r="F5243">
        <f>IF(INDEX(Transactions!$J:$J,ROW()-8)="",0,INDEX(Transactions!$O:$O,ROW()-8))</f>
      </c>
    </row>
    <row r="5244" spans="1:7">
      <c r="B5244">
        <f>IF(INDEX(Transactions!$J:$J,ROW()-8)="",TODAY(),INDEX(Transactions!$G:$G,ROW()-8))</f>
      </c>
      <c r="F5244">
        <f>IF(INDEX(Transactions!$J:$J,ROW()-8)="",0,INDEX(Transactions!$O:$O,ROW()-8))</f>
      </c>
    </row>
    <row r="5245" spans="1:7">
      <c r="B5245">
        <f>IF(INDEX(Transactions!$J:$J,ROW()-8)="",TODAY(),INDEX(Transactions!$G:$G,ROW()-8))</f>
      </c>
      <c r="F5245">
        <f>IF(INDEX(Transactions!$J:$J,ROW()-8)="",0,INDEX(Transactions!$O:$O,ROW()-8))</f>
      </c>
    </row>
    <row r="5246" spans="1:7">
      <c r="B5246">
        <f>IF(INDEX(Transactions!$J:$J,ROW()-8)="",TODAY(),INDEX(Transactions!$G:$G,ROW()-8))</f>
      </c>
      <c r="F5246">
        <f>IF(INDEX(Transactions!$J:$J,ROW()-8)="",0,INDEX(Transactions!$O:$O,ROW()-8))</f>
      </c>
    </row>
    <row r="5247" spans="1:7">
      <c r="B5247">
        <f>IF(INDEX(Transactions!$J:$J,ROW()-8)="",TODAY(),INDEX(Transactions!$G:$G,ROW()-8))</f>
      </c>
      <c r="F5247">
        <f>IF(INDEX(Transactions!$J:$J,ROW()-8)="",0,INDEX(Transactions!$O:$O,ROW()-8))</f>
      </c>
    </row>
    <row r="5248" spans="1:7">
      <c r="B5248">
        <f>IF(INDEX(Transactions!$J:$J,ROW()-8)="",TODAY(),INDEX(Transactions!$G:$G,ROW()-8))</f>
      </c>
      <c r="F5248">
        <f>IF(INDEX(Transactions!$J:$J,ROW()-8)="",0,INDEX(Transactions!$O:$O,ROW()-8))</f>
      </c>
    </row>
    <row r="5249" spans="1:7">
      <c r="B5249">
        <f>IF(INDEX(Transactions!$J:$J,ROW()-8)="",TODAY(),INDEX(Transactions!$G:$G,ROW()-8))</f>
      </c>
      <c r="F5249">
        <f>IF(INDEX(Transactions!$J:$J,ROW()-8)="",0,INDEX(Transactions!$O:$O,ROW()-8))</f>
      </c>
    </row>
    <row r="5250" spans="1:7">
      <c r="B5250">
        <f>IF(INDEX(Transactions!$J:$J,ROW()-8)="",TODAY(),INDEX(Transactions!$G:$G,ROW()-8))</f>
      </c>
      <c r="F5250">
        <f>IF(INDEX(Transactions!$J:$J,ROW()-8)="",0,INDEX(Transactions!$O:$O,ROW()-8))</f>
      </c>
    </row>
    <row r="5251" spans="1:7">
      <c r="B5251">
        <f>IF(INDEX(Transactions!$J:$J,ROW()-8)="",TODAY(),INDEX(Transactions!$G:$G,ROW()-8))</f>
      </c>
      <c r="F5251">
        <f>IF(INDEX(Transactions!$J:$J,ROW()-8)="",0,INDEX(Transactions!$O:$O,ROW()-8))</f>
      </c>
    </row>
    <row r="5252" spans="1:7">
      <c r="B5252">
        <f>IF(INDEX(Transactions!$J:$J,ROW()-8)="",TODAY(),INDEX(Transactions!$G:$G,ROW()-8))</f>
      </c>
      <c r="F5252">
        <f>IF(INDEX(Transactions!$J:$J,ROW()-8)="",0,INDEX(Transactions!$O:$O,ROW()-8))</f>
      </c>
    </row>
    <row r="5253" spans="1:7">
      <c r="B5253">
        <f>IF(INDEX(Transactions!$J:$J,ROW()-8)="",TODAY(),INDEX(Transactions!$G:$G,ROW()-8))</f>
      </c>
      <c r="F5253">
        <f>IF(INDEX(Transactions!$J:$J,ROW()-8)="",0,INDEX(Transactions!$O:$O,ROW()-8))</f>
      </c>
    </row>
    <row r="5254" spans="1:7">
      <c r="B5254">
        <f>IF(INDEX(Transactions!$J:$J,ROW()-8)="",TODAY(),INDEX(Transactions!$G:$G,ROW()-8))</f>
      </c>
      <c r="F5254">
        <f>IF(INDEX(Transactions!$J:$J,ROW()-8)="",0,INDEX(Transactions!$O:$O,ROW()-8))</f>
      </c>
    </row>
    <row r="5255" spans="1:7">
      <c r="B5255">
        <f>IF(INDEX(Transactions!$J:$J,ROW()-8)="",TODAY(),INDEX(Transactions!$G:$G,ROW()-8))</f>
      </c>
      <c r="F5255">
        <f>IF(INDEX(Transactions!$J:$J,ROW()-8)="",0,INDEX(Transactions!$O:$O,ROW()-8))</f>
      </c>
    </row>
    <row r="5256" spans="1:7">
      <c r="B5256">
        <f>IF(INDEX(Transactions!$J:$J,ROW()-8)="",TODAY(),INDEX(Transactions!$G:$G,ROW()-8))</f>
      </c>
      <c r="F5256">
        <f>IF(INDEX(Transactions!$J:$J,ROW()-8)="",0,INDEX(Transactions!$O:$O,ROW()-8))</f>
      </c>
    </row>
    <row r="5257" spans="1:7">
      <c r="B5257">
        <f>IF(INDEX(Transactions!$J:$J,ROW()-8)="",TODAY(),INDEX(Transactions!$G:$G,ROW()-8))</f>
      </c>
      <c r="F5257">
        <f>IF(INDEX(Transactions!$J:$J,ROW()-8)="",0,INDEX(Transactions!$O:$O,ROW()-8))</f>
      </c>
    </row>
    <row r="5258" spans="1:7">
      <c r="B5258">
        <f>IF(INDEX(Transactions!$J:$J,ROW()-8)="",TODAY(),INDEX(Transactions!$G:$G,ROW()-8))</f>
      </c>
      <c r="F5258">
        <f>IF(INDEX(Transactions!$J:$J,ROW()-8)="",0,INDEX(Transactions!$O:$O,ROW()-8))</f>
      </c>
    </row>
    <row r="5259" spans="1:7">
      <c r="B5259">
        <f>IF(INDEX(Transactions!$J:$J,ROW()-8)="",TODAY(),INDEX(Transactions!$G:$G,ROW()-8))</f>
      </c>
      <c r="F5259">
        <f>IF(INDEX(Transactions!$J:$J,ROW()-8)="",0,INDEX(Transactions!$O:$O,ROW()-8))</f>
      </c>
    </row>
    <row r="5260" spans="1:7">
      <c r="B5260">
        <f>IF(INDEX(Transactions!$J:$J,ROW()-8)="",TODAY(),INDEX(Transactions!$G:$G,ROW()-8))</f>
      </c>
      <c r="F5260">
        <f>IF(INDEX(Transactions!$J:$J,ROW()-8)="",0,INDEX(Transactions!$O:$O,ROW()-8))</f>
      </c>
    </row>
    <row r="5261" spans="1:7">
      <c r="B5261">
        <f>IF(INDEX(Transactions!$J:$J,ROW()-8)="",TODAY(),INDEX(Transactions!$G:$G,ROW()-8))</f>
      </c>
      <c r="F5261">
        <f>IF(INDEX(Transactions!$J:$J,ROW()-8)="",0,INDEX(Transactions!$O:$O,ROW()-8))</f>
      </c>
    </row>
    <row r="5262" spans="1:7">
      <c r="B5262">
        <f>IF(INDEX(Transactions!$J:$J,ROW()-8)="",TODAY(),INDEX(Transactions!$G:$G,ROW()-8))</f>
      </c>
      <c r="F5262">
        <f>IF(INDEX(Transactions!$J:$J,ROW()-8)="",0,INDEX(Transactions!$O:$O,ROW()-8))</f>
      </c>
    </row>
    <row r="5263" spans="1:7">
      <c r="B5263">
        <f>IF(INDEX(Transactions!$J:$J,ROW()-8)="",TODAY(),INDEX(Transactions!$G:$G,ROW()-8))</f>
      </c>
      <c r="F5263">
        <f>IF(INDEX(Transactions!$J:$J,ROW()-8)="",0,INDEX(Transactions!$O:$O,ROW()-8))</f>
      </c>
    </row>
    <row r="5264" spans="1:7">
      <c r="B5264">
        <f>IF(INDEX(Transactions!$J:$J,ROW()-8)="",TODAY(),INDEX(Transactions!$G:$G,ROW()-8))</f>
      </c>
      <c r="F5264">
        <f>IF(INDEX(Transactions!$J:$J,ROW()-8)="",0,INDEX(Transactions!$O:$O,ROW()-8))</f>
      </c>
    </row>
    <row r="5265" spans="1:7">
      <c r="B5265">
        <f>IF(INDEX(Transactions!$J:$J,ROW()-8)="",TODAY(),INDEX(Transactions!$G:$G,ROW()-8))</f>
      </c>
      <c r="F5265">
        <f>IF(INDEX(Transactions!$J:$J,ROW()-8)="",0,INDEX(Transactions!$O:$O,ROW()-8))</f>
      </c>
    </row>
    <row r="5266" spans="1:7">
      <c r="B5266">
        <f>IF(INDEX(Transactions!$J:$J,ROW()-8)="",TODAY(),INDEX(Transactions!$G:$G,ROW()-8))</f>
      </c>
      <c r="F5266">
        <f>IF(INDEX(Transactions!$J:$J,ROW()-8)="",0,INDEX(Transactions!$O:$O,ROW()-8))</f>
      </c>
    </row>
    <row r="5267" spans="1:7">
      <c r="B5267">
        <f>IF(INDEX(Transactions!$J:$J,ROW()-8)="",TODAY(),INDEX(Transactions!$G:$G,ROW()-8))</f>
      </c>
      <c r="F5267">
        <f>IF(INDEX(Transactions!$J:$J,ROW()-8)="",0,INDEX(Transactions!$O:$O,ROW()-8))</f>
      </c>
    </row>
    <row r="5268" spans="1:7">
      <c r="B5268">
        <f>IF(INDEX(Transactions!$J:$J,ROW()-8)="",TODAY(),INDEX(Transactions!$G:$G,ROW()-8))</f>
      </c>
      <c r="F5268">
        <f>IF(INDEX(Transactions!$J:$J,ROW()-8)="",0,INDEX(Transactions!$O:$O,ROW()-8))</f>
      </c>
    </row>
    <row r="5269" spans="1:7">
      <c r="B5269">
        <f>IF(INDEX(Transactions!$J:$J,ROW()-8)="",TODAY(),INDEX(Transactions!$G:$G,ROW()-8))</f>
      </c>
      <c r="F5269">
        <f>IF(INDEX(Transactions!$J:$J,ROW()-8)="",0,INDEX(Transactions!$O:$O,ROW()-8))</f>
      </c>
    </row>
    <row r="5270" spans="1:7">
      <c r="B5270">
        <f>IF(INDEX(Transactions!$J:$J,ROW()-8)="",TODAY(),INDEX(Transactions!$G:$G,ROW()-8))</f>
      </c>
      <c r="F5270">
        <f>IF(INDEX(Transactions!$J:$J,ROW()-8)="",0,INDEX(Transactions!$O:$O,ROW()-8))</f>
      </c>
    </row>
    <row r="5271" spans="1:7">
      <c r="B5271">
        <f>IF(INDEX(Transactions!$J:$J,ROW()-8)="",TODAY(),INDEX(Transactions!$G:$G,ROW()-8))</f>
      </c>
      <c r="F5271">
        <f>IF(INDEX(Transactions!$J:$J,ROW()-8)="",0,INDEX(Transactions!$O:$O,ROW()-8))</f>
      </c>
    </row>
    <row r="5272" spans="1:7">
      <c r="B5272">
        <f>IF(INDEX(Transactions!$J:$J,ROW()-8)="",TODAY(),INDEX(Transactions!$G:$G,ROW()-8))</f>
      </c>
      <c r="F5272">
        <f>IF(INDEX(Transactions!$J:$J,ROW()-8)="",0,INDEX(Transactions!$O:$O,ROW()-8))</f>
      </c>
    </row>
    <row r="5273" spans="1:7">
      <c r="B5273">
        <f>IF(INDEX(Transactions!$J:$J,ROW()-8)="",TODAY(),INDEX(Transactions!$G:$G,ROW()-8))</f>
      </c>
      <c r="F5273">
        <f>IF(INDEX(Transactions!$J:$J,ROW()-8)="",0,INDEX(Transactions!$O:$O,ROW()-8))</f>
      </c>
    </row>
    <row r="5274" spans="1:7">
      <c r="B5274">
        <f>IF(INDEX(Transactions!$J:$J,ROW()-8)="",TODAY(),INDEX(Transactions!$G:$G,ROW()-8))</f>
      </c>
      <c r="F5274">
        <f>IF(INDEX(Transactions!$J:$J,ROW()-8)="",0,INDEX(Transactions!$O:$O,ROW()-8))</f>
      </c>
    </row>
    <row r="5275" spans="1:7">
      <c r="B5275">
        <f>IF(INDEX(Transactions!$J:$J,ROW()-8)="",TODAY(),INDEX(Transactions!$G:$G,ROW()-8))</f>
      </c>
      <c r="F5275">
        <f>IF(INDEX(Transactions!$J:$J,ROW()-8)="",0,INDEX(Transactions!$O:$O,ROW()-8))</f>
      </c>
    </row>
    <row r="5276" spans="1:7">
      <c r="B5276">
        <f>IF(INDEX(Transactions!$J:$J,ROW()-8)="",TODAY(),INDEX(Transactions!$G:$G,ROW()-8))</f>
      </c>
      <c r="F5276">
        <f>IF(INDEX(Transactions!$J:$J,ROW()-8)="",0,INDEX(Transactions!$O:$O,ROW()-8))</f>
      </c>
    </row>
    <row r="5277" spans="1:7">
      <c r="B5277">
        <f>IF(INDEX(Transactions!$J:$J,ROW()-8)="",TODAY(),INDEX(Transactions!$G:$G,ROW()-8))</f>
      </c>
      <c r="F5277">
        <f>IF(INDEX(Transactions!$J:$J,ROW()-8)="",0,INDEX(Transactions!$O:$O,ROW()-8))</f>
      </c>
    </row>
    <row r="5278" spans="1:7">
      <c r="B5278">
        <f>IF(INDEX(Transactions!$J:$J,ROW()-8)="",TODAY(),INDEX(Transactions!$G:$G,ROW()-8))</f>
      </c>
      <c r="F5278">
        <f>IF(INDEX(Transactions!$J:$J,ROW()-8)="",0,INDEX(Transactions!$O:$O,ROW()-8))</f>
      </c>
    </row>
    <row r="5279" spans="1:7">
      <c r="B5279">
        <f>IF(INDEX(Transactions!$J:$J,ROW()-8)="",TODAY(),INDEX(Transactions!$G:$G,ROW()-8))</f>
      </c>
      <c r="F5279">
        <f>IF(INDEX(Transactions!$J:$J,ROW()-8)="",0,INDEX(Transactions!$O:$O,ROW()-8))</f>
      </c>
    </row>
    <row r="5280" spans="1:7">
      <c r="B5280">
        <f>IF(INDEX(Transactions!$J:$J,ROW()-8)="",TODAY(),INDEX(Transactions!$G:$G,ROW()-8))</f>
      </c>
      <c r="F5280">
        <f>IF(INDEX(Transactions!$J:$J,ROW()-8)="",0,INDEX(Transactions!$O:$O,ROW()-8))</f>
      </c>
    </row>
    <row r="5281" spans="1:7">
      <c r="B5281">
        <f>IF(INDEX(Transactions!$J:$J,ROW()-8)="",TODAY(),INDEX(Transactions!$G:$G,ROW()-8))</f>
      </c>
      <c r="F5281">
        <f>IF(INDEX(Transactions!$J:$J,ROW()-8)="",0,INDEX(Transactions!$O:$O,ROW()-8))</f>
      </c>
    </row>
    <row r="5282" spans="1:7">
      <c r="B5282">
        <f>IF(INDEX(Transactions!$J:$J,ROW()-8)="",TODAY(),INDEX(Transactions!$G:$G,ROW()-8))</f>
      </c>
      <c r="F5282">
        <f>IF(INDEX(Transactions!$J:$J,ROW()-8)="",0,INDEX(Transactions!$O:$O,ROW()-8))</f>
      </c>
    </row>
    <row r="5283" spans="1:7">
      <c r="B5283">
        <f>IF(INDEX(Transactions!$J:$J,ROW()-8)="",TODAY(),INDEX(Transactions!$G:$G,ROW()-8))</f>
      </c>
      <c r="F5283">
        <f>IF(INDEX(Transactions!$J:$J,ROW()-8)="",0,INDEX(Transactions!$O:$O,ROW()-8))</f>
      </c>
    </row>
    <row r="5284" spans="1:7">
      <c r="B5284">
        <f>IF(INDEX(Transactions!$J:$J,ROW()-8)="",TODAY(),INDEX(Transactions!$G:$G,ROW()-8))</f>
      </c>
      <c r="F5284">
        <f>IF(INDEX(Transactions!$J:$J,ROW()-8)="",0,INDEX(Transactions!$O:$O,ROW()-8))</f>
      </c>
    </row>
    <row r="5285" spans="1:7">
      <c r="B5285">
        <f>IF(INDEX(Transactions!$J:$J,ROW()-8)="",TODAY(),INDEX(Transactions!$G:$G,ROW()-8))</f>
      </c>
      <c r="F5285">
        <f>IF(INDEX(Transactions!$J:$J,ROW()-8)="",0,INDEX(Transactions!$O:$O,ROW()-8))</f>
      </c>
    </row>
    <row r="5286" spans="1:7">
      <c r="B5286">
        <f>IF(INDEX(Transactions!$J:$J,ROW()-8)="",TODAY(),INDEX(Transactions!$G:$G,ROW()-8))</f>
      </c>
      <c r="F5286">
        <f>IF(INDEX(Transactions!$J:$J,ROW()-8)="",0,INDEX(Transactions!$O:$O,ROW()-8))</f>
      </c>
    </row>
    <row r="5287" spans="1:7">
      <c r="B5287">
        <f>IF(INDEX(Transactions!$J:$J,ROW()-8)="",TODAY(),INDEX(Transactions!$G:$G,ROW()-8))</f>
      </c>
      <c r="F5287">
        <f>IF(INDEX(Transactions!$J:$J,ROW()-8)="",0,INDEX(Transactions!$O:$O,ROW()-8))</f>
      </c>
    </row>
    <row r="5288" spans="1:7">
      <c r="B5288">
        <f>IF(INDEX(Transactions!$J:$J,ROW()-8)="",TODAY(),INDEX(Transactions!$G:$G,ROW()-8))</f>
      </c>
      <c r="F5288">
        <f>IF(INDEX(Transactions!$J:$J,ROW()-8)="",0,INDEX(Transactions!$O:$O,ROW()-8))</f>
      </c>
    </row>
    <row r="5289" spans="1:7">
      <c r="B5289">
        <f>IF(INDEX(Transactions!$J:$J,ROW()-8)="",TODAY(),INDEX(Transactions!$G:$G,ROW()-8))</f>
      </c>
      <c r="F5289">
        <f>IF(INDEX(Transactions!$J:$J,ROW()-8)="",0,INDEX(Transactions!$O:$O,ROW()-8))</f>
      </c>
    </row>
    <row r="5290" spans="1:7">
      <c r="B5290">
        <f>IF(INDEX(Transactions!$J:$J,ROW()-8)="",TODAY(),INDEX(Transactions!$G:$G,ROW()-8))</f>
      </c>
      <c r="F5290">
        <f>IF(INDEX(Transactions!$J:$J,ROW()-8)="",0,INDEX(Transactions!$O:$O,ROW()-8))</f>
      </c>
    </row>
    <row r="5291" spans="1:7">
      <c r="B5291">
        <f>IF(INDEX(Transactions!$J:$J,ROW()-8)="",TODAY(),INDEX(Transactions!$G:$G,ROW()-8))</f>
      </c>
      <c r="F5291">
        <f>IF(INDEX(Transactions!$J:$J,ROW()-8)="",0,INDEX(Transactions!$O:$O,ROW()-8))</f>
      </c>
    </row>
    <row r="5292" spans="1:7">
      <c r="B5292">
        <f>IF(INDEX(Transactions!$J:$J,ROW()-8)="",TODAY(),INDEX(Transactions!$G:$G,ROW()-8))</f>
      </c>
      <c r="F5292">
        <f>IF(INDEX(Transactions!$J:$J,ROW()-8)="",0,INDEX(Transactions!$O:$O,ROW()-8))</f>
      </c>
    </row>
    <row r="5293" spans="1:7">
      <c r="B5293">
        <f>IF(INDEX(Transactions!$J:$J,ROW()-8)="",TODAY(),INDEX(Transactions!$G:$G,ROW()-8))</f>
      </c>
      <c r="F5293">
        <f>IF(INDEX(Transactions!$J:$J,ROW()-8)="",0,INDEX(Transactions!$O:$O,ROW()-8))</f>
      </c>
    </row>
    <row r="5294" spans="1:7">
      <c r="B5294">
        <f>IF(INDEX(Transactions!$J:$J,ROW()-8)="",TODAY(),INDEX(Transactions!$G:$G,ROW()-8))</f>
      </c>
      <c r="F5294">
        <f>IF(INDEX(Transactions!$J:$J,ROW()-8)="",0,INDEX(Transactions!$O:$O,ROW()-8))</f>
      </c>
    </row>
    <row r="5295" spans="1:7">
      <c r="B5295">
        <f>IF(INDEX(Transactions!$J:$J,ROW()-8)="",TODAY(),INDEX(Transactions!$G:$G,ROW()-8))</f>
      </c>
      <c r="F5295">
        <f>IF(INDEX(Transactions!$J:$J,ROW()-8)="",0,INDEX(Transactions!$O:$O,ROW()-8))</f>
      </c>
    </row>
    <row r="5296" spans="1:7">
      <c r="B5296">
        <f>IF(INDEX(Transactions!$J:$J,ROW()-8)="",TODAY(),INDEX(Transactions!$G:$G,ROW()-8))</f>
      </c>
      <c r="F5296">
        <f>IF(INDEX(Transactions!$J:$J,ROW()-8)="",0,INDEX(Transactions!$O:$O,ROW()-8))</f>
      </c>
    </row>
    <row r="5297" spans="1:7">
      <c r="B5297">
        <f>IF(INDEX(Transactions!$J:$J,ROW()-8)="",TODAY(),INDEX(Transactions!$G:$G,ROW()-8))</f>
      </c>
      <c r="F5297">
        <f>IF(INDEX(Transactions!$J:$J,ROW()-8)="",0,INDEX(Transactions!$O:$O,ROW()-8))</f>
      </c>
    </row>
    <row r="5298" spans="1:7">
      <c r="B5298">
        <f>IF(INDEX(Transactions!$J:$J,ROW()-8)="",TODAY(),INDEX(Transactions!$G:$G,ROW()-8))</f>
      </c>
      <c r="F5298">
        <f>IF(INDEX(Transactions!$J:$J,ROW()-8)="",0,INDEX(Transactions!$O:$O,ROW()-8))</f>
      </c>
    </row>
    <row r="5299" spans="1:7">
      <c r="B5299">
        <f>IF(INDEX(Transactions!$J:$J,ROW()-8)="",TODAY(),INDEX(Transactions!$G:$G,ROW()-8))</f>
      </c>
      <c r="F5299">
        <f>IF(INDEX(Transactions!$J:$J,ROW()-8)="",0,INDEX(Transactions!$O:$O,ROW()-8))</f>
      </c>
    </row>
    <row r="5300" spans="1:7">
      <c r="B5300">
        <f>IF(INDEX(Transactions!$J:$J,ROW()-8)="",TODAY(),INDEX(Transactions!$G:$G,ROW()-8))</f>
      </c>
      <c r="F5300">
        <f>IF(INDEX(Transactions!$J:$J,ROW()-8)="",0,INDEX(Transactions!$O:$O,ROW()-8))</f>
      </c>
    </row>
    <row r="5301" spans="1:7">
      <c r="B5301">
        <f>IF(INDEX(Transactions!$J:$J,ROW()-8)="",TODAY(),INDEX(Transactions!$G:$G,ROW()-8))</f>
      </c>
      <c r="F5301">
        <f>IF(INDEX(Transactions!$J:$J,ROW()-8)="",0,INDEX(Transactions!$O:$O,ROW()-8))</f>
      </c>
    </row>
    <row r="5302" spans="1:7">
      <c r="B5302">
        <f>IF(INDEX(Transactions!$J:$J,ROW()-8)="",TODAY(),INDEX(Transactions!$G:$G,ROW()-8))</f>
      </c>
      <c r="F5302">
        <f>IF(INDEX(Transactions!$J:$J,ROW()-8)="",0,INDEX(Transactions!$O:$O,ROW()-8))</f>
      </c>
    </row>
    <row r="5303" spans="1:7">
      <c r="B5303">
        <f>IF(INDEX(Transactions!$J:$J,ROW()-8)="",TODAY(),INDEX(Transactions!$G:$G,ROW()-8))</f>
      </c>
      <c r="F5303">
        <f>IF(INDEX(Transactions!$J:$J,ROW()-8)="",0,INDEX(Transactions!$O:$O,ROW()-8))</f>
      </c>
    </row>
    <row r="5304" spans="1:7">
      <c r="B5304">
        <f>IF(INDEX(Transactions!$J:$J,ROW()-8)="",TODAY(),INDEX(Transactions!$G:$G,ROW()-8))</f>
      </c>
      <c r="F5304">
        <f>IF(INDEX(Transactions!$J:$J,ROW()-8)="",0,INDEX(Transactions!$O:$O,ROW()-8))</f>
      </c>
    </row>
    <row r="5305" spans="1:7">
      <c r="B5305">
        <f>IF(INDEX(Transactions!$J:$J,ROW()-8)="",TODAY(),INDEX(Transactions!$G:$G,ROW()-8))</f>
      </c>
      <c r="F5305">
        <f>IF(INDEX(Transactions!$J:$J,ROW()-8)="",0,INDEX(Transactions!$O:$O,ROW()-8))</f>
      </c>
    </row>
    <row r="5306" spans="1:7">
      <c r="B5306">
        <f>IF(INDEX(Transactions!$J:$J,ROW()-8)="",TODAY(),INDEX(Transactions!$G:$G,ROW()-8))</f>
      </c>
      <c r="F5306">
        <f>IF(INDEX(Transactions!$J:$J,ROW()-8)="",0,INDEX(Transactions!$O:$O,ROW()-8))</f>
      </c>
    </row>
    <row r="5307" spans="1:7">
      <c r="B5307">
        <f>IF(INDEX(Transactions!$J:$J,ROW()-8)="",TODAY(),INDEX(Transactions!$G:$G,ROW()-8))</f>
      </c>
      <c r="F5307">
        <f>IF(INDEX(Transactions!$J:$J,ROW()-8)="",0,INDEX(Transactions!$O:$O,ROW()-8))</f>
      </c>
    </row>
    <row r="5308" spans="1:7">
      <c r="B5308">
        <f>IF(INDEX(Transactions!$J:$J,ROW()-8)="",TODAY(),INDEX(Transactions!$G:$G,ROW()-8))</f>
      </c>
      <c r="F5308">
        <f>IF(INDEX(Transactions!$J:$J,ROW()-8)="",0,INDEX(Transactions!$O:$O,ROW()-8))</f>
      </c>
    </row>
    <row r="5309" spans="1:7">
      <c r="B5309">
        <f>IF(INDEX(Transactions!$J:$J,ROW()-8)="",TODAY(),INDEX(Transactions!$G:$G,ROW()-8))</f>
      </c>
      <c r="F5309">
        <f>IF(INDEX(Transactions!$J:$J,ROW()-8)="",0,INDEX(Transactions!$O:$O,ROW()-8))</f>
      </c>
    </row>
    <row r="5310" spans="1:7">
      <c r="B5310">
        <f>IF(INDEX(Transactions!$J:$J,ROW()-8)="",TODAY(),INDEX(Transactions!$G:$G,ROW()-8))</f>
      </c>
      <c r="F5310">
        <f>IF(INDEX(Transactions!$J:$J,ROW()-8)="",0,INDEX(Transactions!$O:$O,ROW()-8))</f>
      </c>
    </row>
    <row r="5311" spans="1:7">
      <c r="B5311">
        <f>IF(INDEX(Transactions!$J:$J,ROW()-8)="",TODAY(),INDEX(Transactions!$G:$G,ROW()-8))</f>
      </c>
      <c r="F5311">
        <f>IF(INDEX(Transactions!$J:$J,ROW()-8)="",0,INDEX(Transactions!$O:$O,ROW()-8))</f>
      </c>
    </row>
    <row r="5312" spans="1:7">
      <c r="B5312">
        <f>IF(INDEX(Transactions!$J:$J,ROW()-8)="",TODAY(),INDEX(Transactions!$G:$G,ROW()-8))</f>
      </c>
      <c r="F5312">
        <f>IF(INDEX(Transactions!$J:$J,ROW()-8)="",0,INDEX(Transactions!$O:$O,ROW()-8))</f>
      </c>
    </row>
    <row r="5313" spans="1:7">
      <c r="B5313">
        <f>IF(INDEX(Transactions!$J:$J,ROW()-8)="",TODAY(),INDEX(Transactions!$G:$G,ROW()-8))</f>
      </c>
      <c r="F5313">
        <f>IF(INDEX(Transactions!$J:$J,ROW()-8)="",0,INDEX(Transactions!$O:$O,ROW()-8))</f>
      </c>
    </row>
    <row r="5314" spans="1:7">
      <c r="B5314">
        <f>IF(INDEX(Transactions!$J:$J,ROW()-8)="",TODAY(),INDEX(Transactions!$G:$G,ROW()-8))</f>
      </c>
      <c r="F5314">
        <f>IF(INDEX(Transactions!$J:$J,ROW()-8)="",0,INDEX(Transactions!$O:$O,ROW()-8))</f>
      </c>
    </row>
    <row r="5315" spans="1:7">
      <c r="B5315">
        <f>IF(INDEX(Transactions!$J:$J,ROW()-8)="",TODAY(),INDEX(Transactions!$G:$G,ROW()-8))</f>
      </c>
      <c r="F5315">
        <f>IF(INDEX(Transactions!$J:$J,ROW()-8)="",0,INDEX(Transactions!$O:$O,ROW()-8))</f>
      </c>
    </row>
    <row r="5316" spans="1:7">
      <c r="B5316">
        <f>IF(INDEX(Transactions!$J:$J,ROW()-8)="",TODAY(),INDEX(Transactions!$G:$G,ROW()-8))</f>
      </c>
      <c r="F5316">
        <f>IF(INDEX(Transactions!$J:$J,ROW()-8)="",0,INDEX(Transactions!$O:$O,ROW()-8))</f>
      </c>
    </row>
    <row r="5317" spans="1:7">
      <c r="B5317">
        <f>IF(INDEX(Transactions!$J:$J,ROW()-8)="",TODAY(),INDEX(Transactions!$G:$G,ROW()-8))</f>
      </c>
      <c r="F5317">
        <f>IF(INDEX(Transactions!$J:$J,ROW()-8)="",0,INDEX(Transactions!$O:$O,ROW()-8))</f>
      </c>
    </row>
    <row r="5318" spans="1:7">
      <c r="B5318">
        <f>IF(INDEX(Transactions!$J:$J,ROW()-8)="",TODAY(),INDEX(Transactions!$G:$G,ROW()-8))</f>
      </c>
      <c r="F5318">
        <f>IF(INDEX(Transactions!$J:$J,ROW()-8)="",0,INDEX(Transactions!$O:$O,ROW()-8))</f>
      </c>
    </row>
    <row r="5319" spans="1:7">
      <c r="B5319">
        <f>IF(INDEX(Transactions!$J:$J,ROW()-8)="",TODAY(),INDEX(Transactions!$G:$G,ROW()-8))</f>
      </c>
      <c r="F5319">
        <f>IF(INDEX(Transactions!$J:$J,ROW()-8)="",0,INDEX(Transactions!$O:$O,ROW()-8))</f>
      </c>
    </row>
    <row r="5320" spans="1:7">
      <c r="B5320">
        <f>IF(INDEX(Transactions!$J:$J,ROW()-8)="",TODAY(),INDEX(Transactions!$G:$G,ROW()-8))</f>
      </c>
      <c r="F5320">
        <f>IF(INDEX(Transactions!$J:$J,ROW()-8)="",0,INDEX(Transactions!$O:$O,ROW()-8))</f>
      </c>
    </row>
    <row r="5321" spans="1:7">
      <c r="B5321">
        <f>IF(INDEX(Transactions!$J:$J,ROW()-8)="",TODAY(),INDEX(Transactions!$G:$G,ROW()-8))</f>
      </c>
      <c r="F5321">
        <f>IF(INDEX(Transactions!$J:$J,ROW()-8)="",0,INDEX(Transactions!$O:$O,ROW()-8))</f>
      </c>
    </row>
    <row r="5322" spans="1:7">
      <c r="B5322">
        <f>IF(INDEX(Transactions!$J:$J,ROW()-8)="",TODAY(),INDEX(Transactions!$G:$G,ROW()-8))</f>
      </c>
      <c r="F5322">
        <f>IF(INDEX(Transactions!$J:$J,ROW()-8)="",0,INDEX(Transactions!$O:$O,ROW()-8))</f>
      </c>
    </row>
    <row r="5323" spans="1:7">
      <c r="B5323">
        <f>IF(INDEX(Transactions!$J:$J,ROW()-8)="",TODAY(),INDEX(Transactions!$G:$G,ROW()-8))</f>
      </c>
      <c r="F5323">
        <f>IF(INDEX(Transactions!$J:$J,ROW()-8)="",0,INDEX(Transactions!$O:$O,ROW()-8))</f>
      </c>
    </row>
    <row r="5324" spans="1:7">
      <c r="B5324">
        <f>IF(INDEX(Transactions!$J:$J,ROW()-8)="",TODAY(),INDEX(Transactions!$G:$G,ROW()-8))</f>
      </c>
      <c r="F5324">
        <f>IF(INDEX(Transactions!$J:$J,ROW()-8)="",0,INDEX(Transactions!$O:$O,ROW()-8))</f>
      </c>
    </row>
    <row r="5325" spans="1:7">
      <c r="B5325">
        <f>IF(INDEX(Transactions!$J:$J,ROW()-8)="",TODAY(),INDEX(Transactions!$G:$G,ROW()-8))</f>
      </c>
      <c r="F5325">
        <f>IF(INDEX(Transactions!$J:$J,ROW()-8)="",0,INDEX(Transactions!$O:$O,ROW()-8))</f>
      </c>
    </row>
    <row r="5326" spans="1:7">
      <c r="B5326">
        <f>IF(INDEX(Transactions!$J:$J,ROW()-8)="",TODAY(),INDEX(Transactions!$G:$G,ROW()-8))</f>
      </c>
      <c r="F5326">
        <f>IF(INDEX(Transactions!$J:$J,ROW()-8)="",0,INDEX(Transactions!$O:$O,ROW()-8))</f>
      </c>
    </row>
    <row r="5327" spans="1:7">
      <c r="B5327">
        <f>IF(INDEX(Transactions!$J:$J,ROW()-8)="",TODAY(),INDEX(Transactions!$G:$G,ROW()-8))</f>
      </c>
      <c r="F5327">
        <f>IF(INDEX(Transactions!$J:$J,ROW()-8)="",0,INDEX(Transactions!$O:$O,ROW()-8))</f>
      </c>
    </row>
    <row r="5328" spans="1:7">
      <c r="B5328">
        <f>IF(INDEX(Transactions!$J:$J,ROW()-8)="",TODAY(),INDEX(Transactions!$G:$G,ROW()-8))</f>
      </c>
      <c r="F5328">
        <f>IF(INDEX(Transactions!$J:$J,ROW()-8)="",0,INDEX(Transactions!$O:$O,ROW()-8))</f>
      </c>
    </row>
    <row r="5329" spans="1:7">
      <c r="B5329">
        <f>IF(INDEX(Transactions!$J:$J,ROW()-8)="",TODAY(),INDEX(Transactions!$G:$G,ROW()-8))</f>
      </c>
      <c r="F5329">
        <f>IF(INDEX(Transactions!$J:$J,ROW()-8)="",0,INDEX(Transactions!$O:$O,ROW()-8))</f>
      </c>
    </row>
    <row r="5330" spans="1:7">
      <c r="B5330">
        <f>IF(INDEX(Transactions!$J:$J,ROW()-8)="",TODAY(),INDEX(Transactions!$G:$G,ROW()-8))</f>
      </c>
      <c r="F5330">
        <f>IF(INDEX(Transactions!$J:$J,ROW()-8)="",0,INDEX(Transactions!$O:$O,ROW()-8))</f>
      </c>
    </row>
    <row r="5331" spans="1:7">
      <c r="B5331">
        <f>IF(INDEX(Transactions!$J:$J,ROW()-8)="",TODAY(),INDEX(Transactions!$G:$G,ROW()-8))</f>
      </c>
      <c r="F5331">
        <f>IF(INDEX(Transactions!$J:$J,ROW()-8)="",0,INDEX(Transactions!$O:$O,ROW()-8))</f>
      </c>
    </row>
    <row r="5332" spans="1:7">
      <c r="B5332">
        <f>IF(INDEX(Transactions!$J:$J,ROW()-8)="",TODAY(),INDEX(Transactions!$G:$G,ROW()-8))</f>
      </c>
      <c r="F5332">
        <f>IF(INDEX(Transactions!$J:$J,ROW()-8)="",0,INDEX(Transactions!$O:$O,ROW()-8))</f>
      </c>
    </row>
    <row r="5333" spans="1:7">
      <c r="B5333">
        <f>IF(INDEX(Transactions!$J:$J,ROW()-8)="",TODAY(),INDEX(Transactions!$G:$G,ROW()-8))</f>
      </c>
      <c r="F5333">
        <f>IF(INDEX(Transactions!$J:$J,ROW()-8)="",0,INDEX(Transactions!$O:$O,ROW()-8))</f>
      </c>
    </row>
    <row r="5334" spans="1:7">
      <c r="B5334">
        <f>IF(INDEX(Transactions!$J:$J,ROW()-8)="",TODAY(),INDEX(Transactions!$G:$G,ROW()-8))</f>
      </c>
      <c r="F5334">
        <f>IF(INDEX(Transactions!$J:$J,ROW()-8)="",0,INDEX(Transactions!$O:$O,ROW()-8))</f>
      </c>
    </row>
    <row r="5335" spans="1:7">
      <c r="B5335">
        <f>IF(INDEX(Transactions!$J:$J,ROW()-8)="",TODAY(),INDEX(Transactions!$G:$G,ROW()-8))</f>
      </c>
      <c r="F5335">
        <f>IF(INDEX(Transactions!$J:$J,ROW()-8)="",0,INDEX(Transactions!$O:$O,ROW()-8))</f>
      </c>
    </row>
    <row r="5336" spans="1:7">
      <c r="B5336">
        <f>IF(INDEX(Transactions!$J:$J,ROW()-8)="",TODAY(),INDEX(Transactions!$G:$G,ROW()-8))</f>
      </c>
      <c r="F5336">
        <f>IF(INDEX(Transactions!$J:$J,ROW()-8)="",0,INDEX(Transactions!$O:$O,ROW()-8))</f>
      </c>
    </row>
    <row r="5337" spans="1:7">
      <c r="B5337">
        <f>IF(INDEX(Transactions!$J:$J,ROW()-8)="",TODAY(),INDEX(Transactions!$G:$G,ROW()-8))</f>
      </c>
      <c r="F5337">
        <f>IF(INDEX(Transactions!$J:$J,ROW()-8)="",0,INDEX(Transactions!$O:$O,ROW()-8))</f>
      </c>
    </row>
    <row r="5338" spans="1:7">
      <c r="B5338">
        <f>IF(INDEX(Transactions!$J:$J,ROW()-8)="",TODAY(),INDEX(Transactions!$G:$G,ROW()-8))</f>
      </c>
      <c r="F5338">
        <f>IF(INDEX(Transactions!$J:$J,ROW()-8)="",0,INDEX(Transactions!$O:$O,ROW()-8))</f>
      </c>
    </row>
    <row r="5339" spans="1:7">
      <c r="B5339">
        <f>IF(INDEX(Transactions!$J:$J,ROW()-8)="",TODAY(),INDEX(Transactions!$G:$G,ROW()-8))</f>
      </c>
      <c r="F5339">
        <f>IF(INDEX(Transactions!$J:$J,ROW()-8)="",0,INDEX(Transactions!$O:$O,ROW()-8))</f>
      </c>
    </row>
    <row r="5340" spans="1:7">
      <c r="B5340">
        <f>IF(INDEX(Transactions!$J:$J,ROW()-8)="",TODAY(),INDEX(Transactions!$G:$G,ROW()-8))</f>
      </c>
      <c r="F5340">
        <f>IF(INDEX(Transactions!$J:$J,ROW()-8)="",0,INDEX(Transactions!$O:$O,ROW()-8))</f>
      </c>
    </row>
    <row r="5341" spans="1:7">
      <c r="B5341">
        <f>IF(INDEX(Transactions!$J:$J,ROW()-8)="",TODAY(),INDEX(Transactions!$G:$G,ROW()-8))</f>
      </c>
      <c r="F5341">
        <f>IF(INDEX(Transactions!$J:$J,ROW()-8)="",0,INDEX(Transactions!$O:$O,ROW()-8))</f>
      </c>
    </row>
    <row r="5342" spans="1:7">
      <c r="B5342">
        <f>IF(INDEX(Transactions!$J:$J,ROW()-8)="",TODAY(),INDEX(Transactions!$G:$G,ROW()-8))</f>
      </c>
      <c r="F5342">
        <f>IF(INDEX(Transactions!$J:$J,ROW()-8)="",0,INDEX(Transactions!$O:$O,ROW()-8))</f>
      </c>
    </row>
    <row r="5343" spans="1:7">
      <c r="B5343">
        <f>IF(INDEX(Transactions!$J:$J,ROW()-8)="",TODAY(),INDEX(Transactions!$G:$G,ROW()-8))</f>
      </c>
      <c r="F5343">
        <f>IF(INDEX(Transactions!$J:$J,ROW()-8)="",0,INDEX(Transactions!$O:$O,ROW()-8))</f>
      </c>
    </row>
    <row r="5344" spans="1:7">
      <c r="B5344">
        <f>IF(INDEX(Transactions!$J:$J,ROW()-8)="",TODAY(),INDEX(Transactions!$G:$G,ROW()-8))</f>
      </c>
      <c r="F5344">
        <f>IF(INDEX(Transactions!$J:$J,ROW()-8)="",0,INDEX(Transactions!$O:$O,ROW()-8))</f>
      </c>
    </row>
    <row r="5345" spans="1:7">
      <c r="B5345">
        <f>IF(INDEX(Transactions!$J:$J,ROW()-8)="",TODAY(),INDEX(Transactions!$G:$G,ROW()-8))</f>
      </c>
      <c r="F5345">
        <f>IF(INDEX(Transactions!$J:$J,ROW()-8)="",0,INDEX(Transactions!$O:$O,ROW()-8))</f>
      </c>
    </row>
    <row r="5346" spans="1:7">
      <c r="B5346">
        <f>IF(INDEX(Transactions!$J:$J,ROW()-8)="",TODAY(),INDEX(Transactions!$G:$G,ROW()-8))</f>
      </c>
      <c r="F5346">
        <f>IF(INDEX(Transactions!$J:$J,ROW()-8)="",0,INDEX(Transactions!$O:$O,ROW()-8))</f>
      </c>
    </row>
    <row r="5347" spans="1:7">
      <c r="B5347">
        <f>IF(INDEX(Transactions!$J:$J,ROW()-8)="",TODAY(),INDEX(Transactions!$G:$G,ROW()-8))</f>
      </c>
      <c r="F5347">
        <f>IF(INDEX(Transactions!$J:$J,ROW()-8)="",0,INDEX(Transactions!$O:$O,ROW()-8))</f>
      </c>
    </row>
    <row r="5348" spans="1:7">
      <c r="B5348">
        <f>IF(INDEX(Transactions!$J:$J,ROW()-8)="",TODAY(),INDEX(Transactions!$G:$G,ROW()-8))</f>
      </c>
      <c r="F5348">
        <f>IF(INDEX(Transactions!$J:$J,ROW()-8)="",0,INDEX(Transactions!$O:$O,ROW()-8))</f>
      </c>
    </row>
    <row r="5349" spans="1:7">
      <c r="B5349">
        <f>IF(INDEX(Transactions!$J:$J,ROW()-8)="",TODAY(),INDEX(Transactions!$G:$G,ROW()-8))</f>
      </c>
      <c r="F5349">
        <f>IF(INDEX(Transactions!$J:$J,ROW()-8)="",0,INDEX(Transactions!$O:$O,ROW()-8))</f>
      </c>
    </row>
    <row r="5350" spans="1:7">
      <c r="B5350">
        <f>IF(INDEX(Transactions!$J:$J,ROW()-8)="",TODAY(),INDEX(Transactions!$G:$G,ROW()-8))</f>
      </c>
      <c r="F5350">
        <f>IF(INDEX(Transactions!$J:$J,ROW()-8)="",0,INDEX(Transactions!$O:$O,ROW()-8))</f>
      </c>
    </row>
    <row r="5351" spans="1:7">
      <c r="B5351">
        <f>IF(INDEX(Transactions!$J:$J,ROW()-8)="",TODAY(),INDEX(Transactions!$G:$G,ROW()-8))</f>
      </c>
      <c r="F5351">
        <f>IF(INDEX(Transactions!$J:$J,ROW()-8)="",0,INDEX(Transactions!$O:$O,ROW()-8))</f>
      </c>
    </row>
    <row r="5352" spans="1:7">
      <c r="B5352">
        <f>IF(INDEX(Transactions!$J:$J,ROW()-8)="",TODAY(),INDEX(Transactions!$G:$G,ROW()-8))</f>
      </c>
      <c r="F5352">
        <f>IF(INDEX(Transactions!$J:$J,ROW()-8)="",0,INDEX(Transactions!$O:$O,ROW()-8))</f>
      </c>
    </row>
    <row r="5353" spans="1:7">
      <c r="B5353">
        <f>IF(INDEX(Transactions!$J:$J,ROW()-8)="",TODAY(),INDEX(Transactions!$G:$G,ROW()-8))</f>
      </c>
      <c r="F5353">
        <f>IF(INDEX(Transactions!$J:$J,ROW()-8)="",0,INDEX(Transactions!$O:$O,ROW()-8))</f>
      </c>
    </row>
    <row r="5354" spans="1:7">
      <c r="B5354">
        <f>IF(INDEX(Transactions!$J:$J,ROW()-8)="",TODAY(),INDEX(Transactions!$G:$G,ROW()-8))</f>
      </c>
      <c r="F5354">
        <f>IF(INDEX(Transactions!$J:$J,ROW()-8)="",0,INDEX(Transactions!$O:$O,ROW()-8))</f>
      </c>
    </row>
    <row r="5355" spans="1:7">
      <c r="B5355">
        <f>IF(INDEX(Transactions!$J:$J,ROW()-8)="",TODAY(),INDEX(Transactions!$G:$G,ROW()-8))</f>
      </c>
      <c r="F5355">
        <f>IF(INDEX(Transactions!$J:$J,ROW()-8)="",0,INDEX(Transactions!$O:$O,ROW()-8))</f>
      </c>
    </row>
    <row r="5356" spans="1:7">
      <c r="B5356">
        <f>IF(INDEX(Transactions!$J:$J,ROW()-8)="",TODAY(),INDEX(Transactions!$G:$G,ROW()-8))</f>
      </c>
      <c r="F5356">
        <f>IF(INDEX(Transactions!$J:$J,ROW()-8)="",0,INDEX(Transactions!$O:$O,ROW()-8))</f>
      </c>
    </row>
    <row r="5357" spans="1:7">
      <c r="B5357">
        <f>IF(INDEX(Transactions!$J:$J,ROW()-8)="",TODAY(),INDEX(Transactions!$G:$G,ROW()-8))</f>
      </c>
      <c r="F5357">
        <f>IF(INDEX(Transactions!$J:$J,ROW()-8)="",0,INDEX(Transactions!$O:$O,ROW()-8))</f>
      </c>
    </row>
    <row r="5358" spans="1:7">
      <c r="B5358">
        <f>IF(INDEX(Transactions!$J:$J,ROW()-8)="",TODAY(),INDEX(Transactions!$G:$G,ROW()-8))</f>
      </c>
      <c r="F5358">
        <f>IF(INDEX(Transactions!$J:$J,ROW()-8)="",0,INDEX(Transactions!$O:$O,ROW()-8))</f>
      </c>
    </row>
    <row r="5359" spans="1:7">
      <c r="B5359">
        <f>IF(INDEX(Transactions!$J:$J,ROW()-8)="",TODAY(),INDEX(Transactions!$G:$G,ROW()-8))</f>
      </c>
      <c r="F5359">
        <f>IF(INDEX(Transactions!$J:$J,ROW()-8)="",0,INDEX(Transactions!$O:$O,ROW()-8))</f>
      </c>
    </row>
    <row r="5360" spans="1:7">
      <c r="B5360">
        <f>IF(INDEX(Transactions!$J:$J,ROW()-8)="",TODAY(),INDEX(Transactions!$G:$G,ROW()-8))</f>
      </c>
      <c r="F5360">
        <f>IF(INDEX(Transactions!$J:$J,ROW()-8)="",0,INDEX(Transactions!$O:$O,ROW()-8))</f>
      </c>
    </row>
    <row r="5361" spans="1:7">
      <c r="B5361">
        <f>IF(INDEX(Transactions!$J:$J,ROW()-8)="",TODAY(),INDEX(Transactions!$G:$G,ROW()-8))</f>
      </c>
      <c r="F5361">
        <f>IF(INDEX(Transactions!$J:$J,ROW()-8)="",0,INDEX(Transactions!$O:$O,ROW()-8))</f>
      </c>
    </row>
    <row r="5362" spans="1:7">
      <c r="B5362">
        <f>IF(INDEX(Transactions!$J:$J,ROW()-8)="",TODAY(),INDEX(Transactions!$G:$G,ROW()-8))</f>
      </c>
      <c r="F5362">
        <f>IF(INDEX(Transactions!$J:$J,ROW()-8)="",0,INDEX(Transactions!$O:$O,ROW()-8))</f>
      </c>
    </row>
    <row r="5363" spans="1:7">
      <c r="B5363">
        <f>IF(INDEX(Transactions!$J:$J,ROW()-8)="",TODAY(),INDEX(Transactions!$G:$G,ROW()-8))</f>
      </c>
      <c r="F5363">
        <f>IF(INDEX(Transactions!$J:$J,ROW()-8)="",0,INDEX(Transactions!$O:$O,ROW()-8))</f>
      </c>
    </row>
    <row r="5364" spans="1:7">
      <c r="B5364">
        <f>IF(INDEX(Transactions!$J:$J,ROW()-8)="",TODAY(),INDEX(Transactions!$G:$G,ROW()-8))</f>
      </c>
      <c r="F5364">
        <f>IF(INDEX(Transactions!$J:$J,ROW()-8)="",0,INDEX(Transactions!$O:$O,ROW()-8))</f>
      </c>
    </row>
    <row r="5365" spans="1:7">
      <c r="B5365">
        <f>IF(INDEX(Transactions!$J:$J,ROW()-8)="",TODAY(),INDEX(Transactions!$G:$G,ROW()-8))</f>
      </c>
      <c r="F5365">
        <f>IF(INDEX(Transactions!$J:$J,ROW()-8)="",0,INDEX(Transactions!$O:$O,ROW()-8))</f>
      </c>
    </row>
    <row r="5366" spans="1:7">
      <c r="B5366">
        <f>IF(INDEX(Transactions!$J:$J,ROW()-8)="",TODAY(),INDEX(Transactions!$G:$G,ROW()-8))</f>
      </c>
      <c r="F5366">
        <f>IF(INDEX(Transactions!$J:$J,ROW()-8)="",0,INDEX(Transactions!$O:$O,ROW()-8))</f>
      </c>
    </row>
    <row r="5367" spans="1:7">
      <c r="B5367">
        <f>IF(INDEX(Transactions!$J:$J,ROW()-8)="",TODAY(),INDEX(Transactions!$G:$G,ROW()-8))</f>
      </c>
      <c r="F5367">
        <f>IF(INDEX(Transactions!$J:$J,ROW()-8)="",0,INDEX(Transactions!$O:$O,ROW()-8))</f>
      </c>
    </row>
    <row r="5368" spans="1:7">
      <c r="B5368">
        <f>IF(INDEX(Transactions!$J:$J,ROW()-8)="",TODAY(),INDEX(Transactions!$G:$G,ROW()-8))</f>
      </c>
      <c r="F5368">
        <f>IF(INDEX(Transactions!$J:$J,ROW()-8)="",0,INDEX(Transactions!$O:$O,ROW()-8))</f>
      </c>
    </row>
    <row r="5369" spans="1:7">
      <c r="B5369">
        <f>IF(INDEX(Transactions!$J:$J,ROW()-8)="",TODAY(),INDEX(Transactions!$G:$G,ROW()-8))</f>
      </c>
      <c r="F5369">
        <f>IF(INDEX(Transactions!$J:$J,ROW()-8)="",0,INDEX(Transactions!$O:$O,ROW()-8))</f>
      </c>
    </row>
    <row r="5370" spans="1:7">
      <c r="B5370">
        <f>IF(INDEX(Transactions!$J:$J,ROW()-8)="",TODAY(),INDEX(Transactions!$G:$G,ROW()-8))</f>
      </c>
      <c r="F5370">
        <f>IF(INDEX(Transactions!$J:$J,ROW()-8)="",0,INDEX(Transactions!$O:$O,ROW()-8))</f>
      </c>
    </row>
    <row r="5371" spans="1:7">
      <c r="B5371">
        <f>IF(INDEX(Transactions!$J:$J,ROW()-8)="",TODAY(),INDEX(Transactions!$G:$G,ROW()-8))</f>
      </c>
      <c r="F5371">
        <f>IF(INDEX(Transactions!$J:$J,ROW()-8)="",0,INDEX(Transactions!$O:$O,ROW()-8))</f>
      </c>
    </row>
    <row r="5372" spans="1:7">
      <c r="B5372">
        <f>IF(INDEX(Transactions!$J:$J,ROW()-8)="",TODAY(),INDEX(Transactions!$G:$G,ROW()-8))</f>
      </c>
      <c r="F5372">
        <f>IF(INDEX(Transactions!$J:$J,ROW()-8)="",0,INDEX(Transactions!$O:$O,ROW()-8))</f>
      </c>
    </row>
    <row r="5373" spans="1:7">
      <c r="B5373">
        <f>IF(INDEX(Transactions!$J:$J,ROW()-8)="",TODAY(),INDEX(Transactions!$G:$G,ROW()-8))</f>
      </c>
      <c r="F5373">
        <f>IF(INDEX(Transactions!$J:$J,ROW()-8)="",0,INDEX(Transactions!$O:$O,ROW()-8))</f>
      </c>
    </row>
    <row r="5374" spans="1:7">
      <c r="B5374">
        <f>IF(INDEX(Transactions!$J:$J,ROW()-8)="",TODAY(),INDEX(Transactions!$G:$G,ROW()-8))</f>
      </c>
      <c r="F5374">
        <f>IF(INDEX(Transactions!$J:$J,ROW()-8)="",0,INDEX(Transactions!$O:$O,ROW()-8))</f>
      </c>
    </row>
    <row r="5375" spans="1:7">
      <c r="B5375">
        <f>IF(INDEX(Transactions!$J:$J,ROW()-8)="",TODAY(),INDEX(Transactions!$G:$G,ROW()-8))</f>
      </c>
      <c r="F5375">
        <f>IF(INDEX(Transactions!$J:$J,ROW()-8)="",0,INDEX(Transactions!$O:$O,ROW()-8))</f>
      </c>
    </row>
    <row r="5376" spans="1:7">
      <c r="B5376">
        <f>IF(INDEX(Transactions!$J:$J,ROW()-8)="",TODAY(),INDEX(Transactions!$G:$G,ROW()-8))</f>
      </c>
      <c r="F5376">
        <f>IF(INDEX(Transactions!$J:$J,ROW()-8)="",0,INDEX(Transactions!$O:$O,ROW()-8))</f>
      </c>
    </row>
    <row r="5377" spans="1:7">
      <c r="B5377">
        <f>IF(INDEX(Transactions!$J:$J,ROW()-8)="",TODAY(),INDEX(Transactions!$G:$G,ROW()-8))</f>
      </c>
      <c r="F5377">
        <f>IF(INDEX(Transactions!$J:$J,ROW()-8)="",0,INDEX(Transactions!$O:$O,ROW()-8))</f>
      </c>
    </row>
    <row r="5378" spans="1:7">
      <c r="B5378">
        <f>IF(INDEX(Transactions!$J:$J,ROW()-8)="",TODAY(),INDEX(Transactions!$G:$G,ROW()-8))</f>
      </c>
      <c r="F5378">
        <f>IF(INDEX(Transactions!$J:$J,ROW()-8)="",0,INDEX(Transactions!$O:$O,ROW()-8))</f>
      </c>
    </row>
    <row r="5379" spans="1:7">
      <c r="B5379">
        <f>IF(INDEX(Transactions!$J:$J,ROW()-8)="",TODAY(),INDEX(Transactions!$G:$G,ROW()-8))</f>
      </c>
      <c r="F5379">
        <f>IF(INDEX(Transactions!$J:$J,ROW()-8)="",0,INDEX(Transactions!$O:$O,ROW()-8))</f>
      </c>
    </row>
    <row r="5380" spans="1:7">
      <c r="B5380">
        <f>IF(INDEX(Transactions!$J:$J,ROW()-8)="",TODAY(),INDEX(Transactions!$G:$G,ROW()-8))</f>
      </c>
      <c r="F5380">
        <f>IF(INDEX(Transactions!$J:$J,ROW()-8)="",0,INDEX(Transactions!$O:$O,ROW()-8))</f>
      </c>
    </row>
    <row r="5381" spans="1:7">
      <c r="B5381">
        <f>IF(INDEX(Transactions!$J:$J,ROW()-8)="",TODAY(),INDEX(Transactions!$G:$G,ROW()-8))</f>
      </c>
      <c r="F5381">
        <f>IF(INDEX(Transactions!$J:$J,ROW()-8)="",0,INDEX(Transactions!$O:$O,ROW()-8))</f>
      </c>
    </row>
    <row r="5382" spans="1:7">
      <c r="B5382">
        <f>IF(INDEX(Transactions!$J:$J,ROW()-8)="",TODAY(),INDEX(Transactions!$G:$G,ROW()-8))</f>
      </c>
      <c r="F5382">
        <f>IF(INDEX(Transactions!$J:$J,ROW()-8)="",0,INDEX(Transactions!$O:$O,ROW()-8))</f>
      </c>
    </row>
    <row r="5383" spans="1:7">
      <c r="B5383">
        <f>IF(INDEX(Transactions!$J:$J,ROW()-8)="",TODAY(),INDEX(Transactions!$G:$G,ROW()-8))</f>
      </c>
      <c r="F5383">
        <f>IF(INDEX(Transactions!$J:$J,ROW()-8)="",0,INDEX(Transactions!$O:$O,ROW()-8))</f>
      </c>
    </row>
    <row r="5384" spans="1:7">
      <c r="B5384">
        <f>IF(INDEX(Transactions!$J:$J,ROW()-8)="",TODAY(),INDEX(Transactions!$G:$G,ROW()-8))</f>
      </c>
      <c r="F5384">
        <f>IF(INDEX(Transactions!$J:$J,ROW()-8)="",0,INDEX(Transactions!$O:$O,ROW()-8))</f>
      </c>
    </row>
    <row r="5385" spans="1:7">
      <c r="B5385">
        <f>IF(INDEX(Transactions!$J:$J,ROW()-8)="",TODAY(),INDEX(Transactions!$G:$G,ROW()-8))</f>
      </c>
      <c r="F5385">
        <f>IF(INDEX(Transactions!$J:$J,ROW()-8)="",0,INDEX(Transactions!$O:$O,ROW()-8))</f>
      </c>
    </row>
    <row r="5386" spans="1:7">
      <c r="B5386">
        <f>IF(INDEX(Transactions!$J:$J,ROW()-8)="",TODAY(),INDEX(Transactions!$G:$G,ROW()-8))</f>
      </c>
      <c r="F5386">
        <f>IF(INDEX(Transactions!$J:$J,ROW()-8)="",0,INDEX(Transactions!$O:$O,ROW()-8))</f>
      </c>
    </row>
    <row r="5387" spans="1:7">
      <c r="B5387">
        <f>IF(INDEX(Transactions!$J:$J,ROW()-8)="",TODAY(),INDEX(Transactions!$G:$G,ROW()-8))</f>
      </c>
      <c r="F5387">
        <f>IF(INDEX(Transactions!$J:$J,ROW()-8)="",0,INDEX(Transactions!$O:$O,ROW()-8))</f>
      </c>
    </row>
    <row r="5388" spans="1:7">
      <c r="B5388">
        <f>IF(INDEX(Transactions!$J:$J,ROW()-8)="",TODAY(),INDEX(Transactions!$G:$G,ROW()-8))</f>
      </c>
      <c r="F5388">
        <f>IF(INDEX(Transactions!$J:$J,ROW()-8)="",0,INDEX(Transactions!$O:$O,ROW()-8))</f>
      </c>
    </row>
    <row r="5389" spans="1:7">
      <c r="B5389">
        <f>IF(INDEX(Transactions!$J:$J,ROW()-8)="",TODAY(),INDEX(Transactions!$G:$G,ROW()-8))</f>
      </c>
      <c r="F5389">
        <f>IF(INDEX(Transactions!$J:$J,ROW()-8)="",0,INDEX(Transactions!$O:$O,ROW()-8))</f>
      </c>
    </row>
    <row r="5390" spans="1:7">
      <c r="B5390">
        <f>IF(INDEX(Transactions!$J:$J,ROW()-8)="",TODAY(),INDEX(Transactions!$G:$G,ROW()-8))</f>
      </c>
      <c r="F5390">
        <f>IF(INDEX(Transactions!$J:$J,ROW()-8)="",0,INDEX(Transactions!$O:$O,ROW()-8))</f>
      </c>
    </row>
    <row r="5391" spans="1:7">
      <c r="B5391">
        <f>IF(INDEX(Transactions!$J:$J,ROW()-8)="",TODAY(),INDEX(Transactions!$G:$G,ROW()-8))</f>
      </c>
      <c r="F5391">
        <f>IF(INDEX(Transactions!$J:$J,ROW()-8)="",0,INDEX(Transactions!$O:$O,ROW()-8))</f>
      </c>
    </row>
    <row r="5392" spans="1:7">
      <c r="B5392">
        <f>IF(INDEX(Transactions!$J:$J,ROW()-8)="",TODAY(),INDEX(Transactions!$G:$G,ROW()-8))</f>
      </c>
      <c r="F5392">
        <f>IF(INDEX(Transactions!$J:$J,ROW()-8)="",0,INDEX(Transactions!$O:$O,ROW()-8))</f>
      </c>
    </row>
    <row r="5393" spans="1:7">
      <c r="B5393">
        <f>IF(INDEX(Transactions!$J:$J,ROW()-8)="",TODAY(),INDEX(Transactions!$G:$G,ROW()-8))</f>
      </c>
      <c r="F5393">
        <f>IF(INDEX(Transactions!$J:$J,ROW()-8)="",0,INDEX(Transactions!$O:$O,ROW()-8))</f>
      </c>
    </row>
    <row r="5394" spans="1:7">
      <c r="B5394">
        <f>IF(INDEX(Transactions!$J:$J,ROW()-8)="",TODAY(),INDEX(Transactions!$G:$G,ROW()-8))</f>
      </c>
      <c r="F5394">
        <f>IF(INDEX(Transactions!$J:$J,ROW()-8)="",0,INDEX(Transactions!$O:$O,ROW()-8))</f>
      </c>
    </row>
    <row r="5395" spans="1:7">
      <c r="B5395">
        <f>IF(INDEX(Transactions!$J:$J,ROW()-8)="",TODAY(),INDEX(Transactions!$G:$G,ROW()-8))</f>
      </c>
      <c r="F5395">
        <f>IF(INDEX(Transactions!$J:$J,ROW()-8)="",0,INDEX(Transactions!$O:$O,ROW()-8))</f>
      </c>
    </row>
    <row r="5396" spans="1:7">
      <c r="B5396">
        <f>IF(INDEX(Transactions!$J:$J,ROW()-8)="",TODAY(),INDEX(Transactions!$G:$G,ROW()-8))</f>
      </c>
      <c r="F5396">
        <f>IF(INDEX(Transactions!$J:$J,ROW()-8)="",0,INDEX(Transactions!$O:$O,ROW()-8))</f>
      </c>
    </row>
    <row r="5397" spans="1:7">
      <c r="B5397">
        <f>IF(INDEX(Transactions!$J:$J,ROW()-8)="",TODAY(),INDEX(Transactions!$G:$G,ROW()-8))</f>
      </c>
      <c r="F5397">
        <f>IF(INDEX(Transactions!$J:$J,ROW()-8)="",0,INDEX(Transactions!$O:$O,ROW()-8))</f>
      </c>
    </row>
    <row r="5398" spans="1:7">
      <c r="B5398">
        <f>IF(INDEX(Transactions!$J:$J,ROW()-8)="",TODAY(),INDEX(Transactions!$G:$G,ROW()-8))</f>
      </c>
      <c r="F5398">
        <f>IF(INDEX(Transactions!$J:$J,ROW()-8)="",0,INDEX(Transactions!$O:$O,ROW()-8))</f>
      </c>
    </row>
    <row r="5399" spans="1:7">
      <c r="B5399">
        <f>IF(INDEX(Transactions!$J:$J,ROW()-8)="",TODAY(),INDEX(Transactions!$G:$G,ROW()-8))</f>
      </c>
      <c r="F5399">
        <f>IF(INDEX(Transactions!$J:$J,ROW()-8)="",0,INDEX(Transactions!$O:$O,ROW()-8))</f>
      </c>
    </row>
    <row r="5400" spans="1:7">
      <c r="B5400">
        <f>IF(INDEX(Transactions!$J:$J,ROW()-8)="",TODAY(),INDEX(Transactions!$G:$G,ROW()-8))</f>
      </c>
      <c r="F5400">
        <f>IF(INDEX(Transactions!$J:$J,ROW()-8)="",0,INDEX(Transactions!$O:$O,ROW()-8))</f>
      </c>
    </row>
    <row r="5401" spans="1:7">
      <c r="B5401">
        <f>IF(INDEX(Transactions!$J:$J,ROW()-8)="",TODAY(),INDEX(Transactions!$G:$G,ROW()-8))</f>
      </c>
      <c r="F5401">
        <f>IF(INDEX(Transactions!$J:$J,ROW()-8)="",0,INDEX(Transactions!$O:$O,ROW()-8))</f>
      </c>
    </row>
    <row r="5402" spans="1:7">
      <c r="B5402">
        <f>IF(INDEX(Transactions!$J:$J,ROW()-8)="",TODAY(),INDEX(Transactions!$G:$G,ROW()-8))</f>
      </c>
      <c r="F5402">
        <f>IF(INDEX(Transactions!$J:$J,ROW()-8)="",0,INDEX(Transactions!$O:$O,ROW()-8))</f>
      </c>
    </row>
    <row r="5403" spans="1:7">
      <c r="B5403">
        <f>IF(INDEX(Transactions!$J:$J,ROW()-8)="",TODAY(),INDEX(Transactions!$G:$G,ROW()-8))</f>
      </c>
      <c r="F5403">
        <f>IF(INDEX(Transactions!$J:$J,ROW()-8)="",0,INDEX(Transactions!$O:$O,ROW()-8))</f>
      </c>
    </row>
    <row r="5404" spans="1:7">
      <c r="B5404">
        <f>IF(INDEX(Transactions!$J:$J,ROW()-8)="",TODAY(),INDEX(Transactions!$G:$G,ROW()-8))</f>
      </c>
      <c r="F5404">
        <f>IF(INDEX(Transactions!$J:$J,ROW()-8)="",0,INDEX(Transactions!$O:$O,ROW()-8))</f>
      </c>
    </row>
    <row r="5405" spans="1:7">
      <c r="B5405">
        <f>IF(INDEX(Transactions!$J:$J,ROW()-8)="",TODAY(),INDEX(Transactions!$G:$G,ROW()-8))</f>
      </c>
      <c r="F5405">
        <f>IF(INDEX(Transactions!$J:$J,ROW()-8)="",0,INDEX(Transactions!$O:$O,ROW()-8))</f>
      </c>
    </row>
    <row r="5406" spans="1:7">
      <c r="B5406">
        <f>IF(INDEX(Transactions!$J:$J,ROW()-8)="",TODAY(),INDEX(Transactions!$G:$G,ROW()-8))</f>
      </c>
      <c r="F5406">
        <f>IF(INDEX(Transactions!$J:$J,ROW()-8)="",0,INDEX(Transactions!$O:$O,ROW()-8))</f>
      </c>
    </row>
    <row r="5407" spans="1:7">
      <c r="B5407">
        <f>IF(INDEX(Transactions!$J:$J,ROW()-8)="",TODAY(),INDEX(Transactions!$G:$G,ROW()-8))</f>
      </c>
      <c r="F5407">
        <f>IF(INDEX(Transactions!$J:$J,ROW()-8)="",0,INDEX(Transactions!$O:$O,ROW()-8))</f>
      </c>
    </row>
    <row r="5408" spans="1:7">
      <c r="B5408">
        <f>IF(INDEX(Transactions!$J:$J,ROW()-8)="",TODAY(),INDEX(Transactions!$G:$G,ROW()-8))</f>
      </c>
      <c r="F5408">
        <f>IF(INDEX(Transactions!$J:$J,ROW()-8)="",0,INDEX(Transactions!$O:$O,ROW()-8))</f>
      </c>
    </row>
    <row r="5409" spans="1:7">
      <c r="B5409">
        <f>IF(INDEX(Transactions!$J:$J,ROW()-8)="",TODAY(),INDEX(Transactions!$G:$G,ROW()-8))</f>
      </c>
      <c r="F5409">
        <f>IF(INDEX(Transactions!$J:$J,ROW()-8)="",0,INDEX(Transactions!$O:$O,ROW()-8))</f>
      </c>
    </row>
    <row r="5410" spans="1:7">
      <c r="B5410">
        <f>IF(INDEX(Transactions!$J:$J,ROW()-8)="",TODAY(),INDEX(Transactions!$G:$G,ROW()-8))</f>
      </c>
      <c r="F5410">
        <f>IF(INDEX(Transactions!$J:$J,ROW()-8)="",0,INDEX(Transactions!$O:$O,ROW()-8))</f>
      </c>
    </row>
    <row r="5411" spans="1:7">
      <c r="B5411">
        <f>IF(INDEX(Transactions!$J:$J,ROW()-8)="",TODAY(),INDEX(Transactions!$G:$G,ROW()-8))</f>
      </c>
      <c r="F5411">
        <f>IF(INDEX(Transactions!$J:$J,ROW()-8)="",0,INDEX(Transactions!$O:$O,ROW()-8))</f>
      </c>
    </row>
    <row r="5412" spans="1:7">
      <c r="B5412">
        <f>IF(INDEX(Transactions!$J:$J,ROW()-8)="",TODAY(),INDEX(Transactions!$G:$G,ROW()-8))</f>
      </c>
      <c r="F5412">
        <f>IF(INDEX(Transactions!$J:$J,ROW()-8)="",0,INDEX(Transactions!$O:$O,ROW()-8))</f>
      </c>
    </row>
    <row r="5413" spans="1:7">
      <c r="B5413">
        <f>IF(INDEX(Transactions!$J:$J,ROW()-8)="",TODAY(),INDEX(Transactions!$G:$G,ROW()-8))</f>
      </c>
      <c r="F5413">
        <f>IF(INDEX(Transactions!$J:$J,ROW()-8)="",0,INDEX(Transactions!$O:$O,ROW()-8))</f>
      </c>
    </row>
    <row r="5414" spans="1:7">
      <c r="B5414">
        <f>IF(INDEX(Transactions!$J:$J,ROW()-8)="",TODAY(),INDEX(Transactions!$G:$G,ROW()-8))</f>
      </c>
      <c r="F5414">
        <f>IF(INDEX(Transactions!$J:$J,ROW()-8)="",0,INDEX(Transactions!$O:$O,ROW()-8))</f>
      </c>
    </row>
    <row r="5415" spans="1:7">
      <c r="B5415">
        <f>IF(INDEX(Transactions!$J:$J,ROW()-8)="",TODAY(),INDEX(Transactions!$G:$G,ROW()-8))</f>
      </c>
      <c r="F5415">
        <f>IF(INDEX(Transactions!$J:$J,ROW()-8)="",0,INDEX(Transactions!$O:$O,ROW()-8))</f>
      </c>
    </row>
    <row r="5416" spans="1:7">
      <c r="B5416">
        <f>IF(INDEX(Transactions!$J:$J,ROW()-8)="",TODAY(),INDEX(Transactions!$G:$G,ROW()-8))</f>
      </c>
      <c r="F5416">
        <f>IF(INDEX(Transactions!$J:$J,ROW()-8)="",0,INDEX(Transactions!$O:$O,ROW()-8))</f>
      </c>
    </row>
    <row r="5417" spans="1:7">
      <c r="B5417">
        <f>IF(INDEX(Transactions!$J:$J,ROW()-8)="",TODAY(),INDEX(Transactions!$G:$G,ROW()-8))</f>
      </c>
      <c r="F5417">
        <f>IF(INDEX(Transactions!$J:$J,ROW()-8)="",0,INDEX(Transactions!$O:$O,ROW()-8))</f>
      </c>
    </row>
    <row r="5418" spans="1:7">
      <c r="B5418">
        <f>IF(INDEX(Transactions!$J:$J,ROW()-8)="",TODAY(),INDEX(Transactions!$G:$G,ROW()-8))</f>
      </c>
      <c r="F5418">
        <f>IF(INDEX(Transactions!$J:$J,ROW()-8)="",0,INDEX(Transactions!$O:$O,ROW()-8))</f>
      </c>
    </row>
    <row r="5419" spans="1:7">
      <c r="B5419">
        <f>IF(INDEX(Transactions!$J:$J,ROW()-8)="",TODAY(),INDEX(Transactions!$G:$G,ROW()-8))</f>
      </c>
      <c r="F5419">
        <f>IF(INDEX(Transactions!$J:$J,ROW()-8)="",0,INDEX(Transactions!$O:$O,ROW()-8))</f>
      </c>
    </row>
    <row r="5420" spans="1:7">
      <c r="B5420">
        <f>IF(INDEX(Transactions!$J:$J,ROW()-8)="",TODAY(),INDEX(Transactions!$G:$G,ROW()-8))</f>
      </c>
      <c r="F5420">
        <f>IF(INDEX(Transactions!$J:$J,ROW()-8)="",0,INDEX(Transactions!$O:$O,ROW()-8))</f>
      </c>
    </row>
    <row r="5421" spans="1:7">
      <c r="B5421">
        <f>IF(INDEX(Transactions!$J:$J,ROW()-8)="",TODAY(),INDEX(Transactions!$G:$G,ROW()-8))</f>
      </c>
      <c r="F5421">
        <f>IF(INDEX(Transactions!$J:$J,ROW()-8)="",0,INDEX(Transactions!$O:$O,ROW()-8))</f>
      </c>
    </row>
    <row r="5422" spans="1:7">
      <c r="B5422">
        <f>IF(INDEX(Transactions!$J:$J,ROW()-8)="",TODAY(),INDEX(Transactions!$G:$G,ROW()-8))</f>
      </c>
      <c r="F5422">
        <f>IF(INDEX(Transactions!$J:$J,ROW()-8)="",0,INDEX(Transactions!$O:$O,ROW()-8))</f>
      </c>
    </row>
    <row r="5423" spans="1:7">
      <c r="B5423">
        <f>IF(INDEX(Transactions!$J:$J,ROW()-8)="",TODAY(),INDEX(Transactions!$G:$G,ROW()-8))</f>
      </c>
      <c r="F5423">
        <f>IF(INDEX(Transactions!$J:$J,ROW()-8)="",0,INDEX(Transactions!$O:$O,ROW()-8))</f>
      </c>
    </row>
    <row r="5424" spans="1:7">
      <c r="B5424">
        <f>IF(INDEX(Transactions!$J:$J,ROW()-8)="",TODAY(),INDEX(Transactions!$G:$G,ROW()-8))</f>
      </c>
      <c r="F5424">
        <f>IF(INDEX(Transactions!$J:$J,ROW()-8)="",0,INDEX(Transactions!$O:$O,ROW()-8))</f>
      </c>
    </row>
    <row r="5425" spans="1:7">
      <c r="B5425">
        <f>IF(INDEX(Transactions!$J:$J,ROW()-8)="",TODAY(),INDEX(Transactions!$G:$G,ROW()-8))</f>
      </c>
      <c r="F5425">
        <f>IF(INDEX(Transactions!$J:$J,ROW()-8)="",0,INDEX(Transactions!$O:$O,ROW()-8))</f>
      </c>
    </row>
    <row r="5426" spans="1:7">
      <c r="B5426">
        <f>IF(INDEX(Transactions!$J:$J,ROW()-8)="",TODAY(),INDEX(Transactions!$G:$G,ROW()-8))</f>
      </c>
      <c r="F5426">
        <f>IF(INDEX(Transactions!$J:$J,ROW()-8)="",0,INDEX(Transactions!$O:$O,ROW()-8))</f>
      </c>
    </row>
    <row r="5427" spans="1:7">
      <c r="B5427">
        <f>IF(INDEX(Transactions!$J:$J,ROW()-8)="",TODAY(),INDEX(Transactions!$G:$G,ROW()-8))</f>
      </c>
      <c r="F5427">
        <f>IF(INDEX(Transactions!$J:$J,ROW()-8)="",0,INDEX(Transactions!$O:$O,ROW()-8))</f>
      </c>
    </row>
    <row r="5428" spans="1:7">
      <c r="B5428">
        <f>IF(INDEX(Transactions!$J:$J,ROW()-8)="",TODAY(),INDEX(Transactions!$G:$G,ROW()-8))</f>
      </c>
      <c r="F5428">
        <f>IF(INDEX(Transactions!$J:$J,ROW()-8)="",0,INDEX(Transactions!$O:$O,ROW()-8))</f>
      </c>
    </row>
    <row r="5429" spans="1:7">
      <c r="B5429">
        <f>IF(INDEX(Transactions!$J:$J,ROW()-8)="",TODAY(),INDEX(Transactions!$G:$G,ROW()-8))</f>
      </c>
      <c r="F5429">
        <f>IF(INDEX(Transactions!$J:$J,ROW()-8)="",0,INDEX(Transactions!$O:$O,ROW()-8))</f>
      </c>
    </row>
    <row r="5430" spans="1:7">
      <c r="B5430">
        <f>IF(INDEX(Transactions!$J:$J,ROW()-8)="",TODAY(),INDEX(Transactions!$G:$G,ROW()-8))</f>
      </c>
      <c r="F5430">
        <f>IF(INDEX(Transactions!$J:$J,ROW()-8)="",0,INDEX(Transactions!$O:$O,ROW()-8))</f>
      </c>
    </row>
    <row r="5431" spans="1:7">
      <c r="B5431">
        <f>IF(INDEX(Transactions!$J:$J,ROW()-8)="",TODAY(),INDEX(Transactions!$G:$G,ROW()-8))</f>
      </c>
      <c r="F5431">
        <f>IF(INDEX(Transactions!$J:$J,ROW()-8)="",0,INDEX(Transactions!$O:$O,ROW()-8))</f>
      </c>
    </row>
    <row r="5432" spans="1:7">
      <c r="B5432">
        <f>IF(INDEX(Transactions!$J:$J,ROW()-8)="",TODAY(),INDEX(Transactions!$G:$G,ROW()-8))</f>
      </c>
      <c r="F5432">
        <f>IF(INDEX(Transactions!$J:$J,ROW()-8)="",0,INDEX(Transactions!$O:$O,ROW()-8))</f>
      </c>
    </row>
    <row r="5433" spans="1:7">
      <c r="B5433">
        <f>IF(INDEX(Transactions!$J:$J,ROW()-8)="",TODAY(),INDEX(Transactions!$G:$G,ROW()-8))</f>
      </c>
      <c r="F5433">
        <f>IF(INDEX(Transactions!$J:$J,ROW()-8)="",0,INDEX(Transactions!$O:$O,ROW()-8))</f>
      </c>
    </row>
    <row r="5434" spans="1:7">
      <c r="B5434">
        <f>IF(INDEX(Transactions!$J:$J,ROW()-8)="",TODAY(),INDEX(Transactions!$G:$G,ROW()-8))</f>
      </c>
      <c r="F5434">
        <f>IF(INDEX(Transactions!$J:$J,ROW()-8)="",0,INDEX(Transactions!$O:$O,ROW()-8))</f>
      </c>
    </row>
    <row r="5435" spans="1:7">
      <c r="B5435">
        <f>IF(INDEX(Transactions!$J:$J,ROW()-8)="",TODAY(),INDEX(Transactions!$G:$G,ROW()-8))</f>
      </c>
      <c r="F5435">
        <f>IF(INDEX(Transactions!$J:$J,ROW()-8)="",0,INDEX(Transactions!$O:$O,ROW()-8))</f>
      </c>
    </row>
    <row r="5436" spans="1:7">
      <c r="B5436">
        <f>IF(INDEX(Transactions!$J:$J,ROW()-8)="",TODAY(),INDEX(Transactions!$G:$G,ROW()-8))</f>
      </c>
      <c r="F5436">
        <f>IF(INDEX(Transactions!$J:$J,ROW()-8)="",0,INDEX(Transactions!$O:$O,ROW()-8))</f>
      </c>
    </row>
    <row r="5437" spans="1:7">
      <c r="B5437">
        <f>IF(INDEX(Transactions!$J:$J,ROW()-8)="",TODAY(),INDEX(Transactions!$G:$G,ROW()-8))</f>
      </c>
      <c r="F5437">
        <f>IF(INDEX(Transactions!$J:$J,ROW()-8)="",0,INDEX(Transactions!$O:$O,ROW()-8))</f>
      </c>
    </row>
    <row r="5438" spans="1:7">
      <c r="B5438">
        <f>IF(INDEX(Transactions!$J:$J,ROW()-8)="",TODAY(),INDEX(Transactions!$G:$G,ROW()-8))</f>
      </c>
      <c r="F5438">
        <f>IF(INDEX(Transactions!$J:$J,ROW()-8)="",0,INDEX(Transactions!$O:$O,ROW()-8))</f>
      </c>
    </row>
    <row r="5439" spans="1:7">
      <c r="B5439">
        <f>IF(INDEX(Transactions!$J:$J,ROW()-8)="",TODAY(),INDEX(Transactions!$G:$G,ROW()-8))</f>
      </c>
      <c r="F5439">
        <f>IF(INDEX(Transactions!$J:$J,ROW()-8)="",0,INDEX(Transactions!$O:$O,ROW()-8))</f>
      </c>
    </row>
    <row r="5440" spans="1:7">
      <c r="B5440">
        <f>IF(INDEX(Transactions!$J:$J,ROW()-8)="",TODAY(),INDEX(Transactions!$G:$G,ROW()-8))</f>
      </c>
      <c r="F5440">
        <f>IF(INDEX(Transactions!$J:$J,ROW()-8)="",0,INDEX(Transactions!$O:$O,ROW()-8))</f>
      </c>
    </row>
    <row r="5441" spans="1:7">
      <c r="B5441">
        <f>IF(INDEX(Transactions!$J:$J,ROW()-8)="",TODAY(),INDEX(Transactions!$G:$G,ROW()-8))</f>
      </c>
      <c r="F5441">
        <f>IF(INDEX(Transactions!$J:$J,ROW()-8)="",0,INDEX(Transactions!$O:$O,ROW()-8))</f>
      </c>
    </row>
    <row r="5442" spans="1:7">
      <c r="B5442">
        <f>IF(INDEX(Transactions!$J:$J,ROW()-8)="",TODAY(),INDEX(Transactions!$G:$G,ROW()-8))</f>
      </c>
      <c r="F5442">
        <f>IF(INDEX(Transactions!$J:$J,ROW()-8)="",0,INDEX(Transactions!$O:$O,ROW()-8))</f>
      </c>
    </row>
    <row r="5443" spans="1:7">
      <c r="B5443">
        <f>IF(INDEX(Transactions!$J:$J,ROW()-8)="",TODAY(),INDEX(Transactions!$G:$G,ROW()-8))</f>
      </c>
      <c r="F5443">
        <f>IF(INDEX(Transactions!$J:$J,ROW()-8)="",0,INDEX(Transactions!$O:$O,ROW()-8))</f>
      </c>
    </row>
    <row r="5444" spans="1:7">
      <c r="B5444">
        <f>IF(INDEX(Transactions!$J:$J,ROW()-8)="",TODAY(),INDEX(Transactions!$G:$G,ROW()-8))</f>
      </c>
      <c r="F5444">
        <f>IF(INDEX(Transactions!$J:$J,ROW()-8)="",0,INDEX(Transactions!$O:$O,ROW()-8))</f>
      </c>
    </row>
    <row r="5445" spans="1:7">
      <c r="B5445">
        <f>IF(INDEX(Transactions!$J:$J,ROW()-8)="",TODAY(),INDEX(Transactions!$G:$G,ROW()-8))</f>
      </c>
      <c r="F5445">
        <f>IF(INDEX(Transactions!$J:$J,ROW()-8)="",0,INDEX(Transactions!$O:$O,ROW()-8))</f>
      </c>
    </row>
    <row r="5446" spans="1:7">
      <c r="B5446">
        <f>IF(INDEX(Transactions!$J:$J,ROW()-8)="",TODAY(),INDEX(Transactions!$G:$G,ROW()-8))</f>
      </c>
      <c r="F5446">
        <f>IF(INDEX(Transactions!$J:$J,ROW()-8)="",0,INDEX(Transactions!$O:$O,ROW()-8))</f>
      </c>
    </row>
    <row r="5447" spans="1:7">
      <c r="B5447">
        <f>IF(INDEX(Transactions!$J:$J,ROW()-8)="",TODAY(),INDEX(Transactions!$G:$G,ROW()-8))</f>
      </c>
      <c r="F5447">
        <f>IF(INDEX(Transactions!$J:$J,ROW()-8)="",0,INDEX(Transactions!$O:$O,ROW()-8))</f>
      </c>
    </row>
    <row r="5448" spans="1:7">
      <c r="B5448">
        <f>IF(INDEX(Transactions!$J:$J,ROW()-8)="",TODAY(),INDEX(Transactions!$G:$G,ROW()-8))</f>
      </c>
      <c r="F5448">
        <f>IF(INDEX(Transactions!$J:$J,ROW()-8)="",0,INDEX(Transactions!$O:$O,ROW()-8))</f>
      </c>
    </row>
    <row r="5449" spans="1:7">
      <c r="B5449">
        <f>IF(INDEX(Transactions!$J:$J,ROW()-8)="",TODAY(),INDEX(Transactions!$G:$G,ROW()-8))</f>
      </c>
      <c r="F5449">
        <f>IF(INDEX(Transactions!$J:$J,ROW()-8)="",0,INDEX(Transactions!$O:$O,ROW()-8))</f>
      </c>
    </row>
    <row r="5450" spans="1:7">
      <c r="B5450">
        <f>IF(INDEX(Transactions!$J:$J,ROW()-8)="",TODAY(),INDEX(Transactions!$G:$G,ROW()-8))</f>
      </c>
      <c r="F5450">
        <f>IF(INDEX(Transactions!$J:$J,ROW()-8)="",0,INDEX(Transactions!$O:$O,ROW()-8))</f>
      </c>
    </row>
    <row r="5451" spans="1:7">
      <c r="B5451">
        <f>IF(INDEX(Transactions!$J:$J,ROW()-8)="",TODAY(),INDEX(Transactions!$G:$G,ROW()-8))</f>
      </c>
      <c r="F5451">
        <f>IF(INDEX(Transactions!$J:$J,ROW()-8)="",0,INDEX(Transactions!$O:$O,ROW()-8))</f>
      </c>
    </row>
    <row r="5452" spans="1:7">
      <c r="B5452">
        <f>IF(INDEX(Transactions!$J:$J,ROW()-8)="",TODAY(),INDEX(Transactions!$G:$G,ROW()-8))</f>
      </c>
      <c r="F5452">
        <f>IF(INDEX(Transactions!$J:$J,ROW()-8)="",0,INDEX(Transactions!$O:$O,ROW()-8))</f>
      </c>
    </row>
    <row r="5453" spans="1:7">
      <c r="B5453">
        <f>IF(INDEX(Transactions!$J:$J,ROW()-8)="",TODAY(),INDEX(Transactions!$G:$G,ROW()-8))</f>
      </c>
      <c r="F5453">
        <f>IF(INDEX(Transactions!$J:$J,ROW()-8)="",0,INDEX(Transactions!$O:$O,ROW()-8))</f>
      </c>
    </row>
    <row r="5454" spans="1:7">
      <c r="B5454">
        <f>IF(INDEX(Transactions!$J:$J,ROW()-8)="",TODAY(),INDEX(Transactions!$G:$G,ROW()-8))</f>
      </c>
      <c r="F5454">
        <f>IF(INDEX(Transactions!$J:$J,ROW()-8)="",0,INDEX(Transactions!$O:$O,ROW()-8))</f>
      </c>
    </row>
    <row r="5455" spans="1:7">
      <c r="B5455">
        <f>IF(INDEX(Transactions!$J:$J,ROW()-8)="",TODAY(),INDEX(Transactions!$G:$G,ROW()-8))</f>
      </c>
      <c r="F5455">
        <f>IF(INDEX(Transactions!$J:$J,ROW()-8)="",0,INDEX(Transactions!$O:$O,ROW()-8))</f>
      </c>
    </row>
    <row r="5456" spans="1:7">
      <c r="B5456">
        <f>IF(INDEX(Transactions!$J:$J,ROW()-8)="",TODAY(),INDEX(Transactions!$G:$G,ROW()-8))</f>
      </c>
      <c r="F5456">
        <f>IF(INDEX(Transactions!$J:$J,ROW()-8)="",0,INDEX(Transactions!$O:$O,ROW()-8))</f>
      </c>
    </row>
    <row r="5457" spans="1:7">
      <c r="B5457">
        <f>IF(INDEX(Transactions!$J:$J,ROW()-8)="",TODAY(),INDEX(Transactions!$G:$G,ROW()-8))</f>
      </c>
      <c r="F5457">
        <f>IF(INDEX(Transactions!$J:$J,ROW()-8)="",0,INDEX(Transactions!$O:$O,ROW()-8))</f>
      </c>
    </row>
    <row r="5458" spans="1:7">
      <c r="B5458">
        <f>IF(INDEX(Transactions!$J:$J,ROW()-8)="",TODAY(),INDEX(Transactions!$G:$G,ROW()-8))</f>
      </c>
      <c r="F5458">
        <f>IF(INDEX(Transactions!$J:$J,ROW()-8)="",0,INDEX(Transactions!$O:$O,ROW()-8))</f>
      </c>
    </row>
    <row r="5459" spans="1:7">
      <c r="B5459">
        <f>IF(INDEX(Transactions!$J:$J,ROW()-8)="",TODAY(),INDEX(Transactions!$G:$G,ROW()-8))</f>
      </c>
      <c r="F5459">
        <f>IF(INDEX(Transactions!$J:$J,ROW()-8)="",0,INDEX(Transactions!$O:$O,ROW()-8))</f>
      </c>
    </row>
    <row r="5460" spans="1:7">
      <c r="B5460">
        <f>IF(INDEX(Transactions!$J:$J,ROW()-8)="",TODAY(),INDEX(Transactions!$G:$G,ROW()-8))</f>
      </c>
      <c r="F5460">
        <f>IF(INDEX(Transactions!$J:$J,ROW()-8)="",0,INDEX(Transactions!$O:$O,ROW()-8))</f>
      </c>
    </row>
    <row r="5461" spans="1:7">
      <c r="B5461">
        <f>IF(INDEX(Transactions!$J:$J,ROW()-8)="",TODAY(),INDEX(Transactions!$G:$G,ROW()-8))</f>
      </c>
      <c r="F5461">
        <f>IF(INDEX(Transactions!$J:$J,ROW()-8)="",0,INDEX(Transactions!$O:$O,ROW()-8))</f>
      </c>
    </row>
    <row r="5462" spans="1:7">
      <c r="B5462">
        <f>IF(INDEX(Transactions!$J:$J,ROW()-8)="",TODAY(),INDEX(Transactions!$G:$G,ROW()-8))</f>
      </c>
      <c r="F5462">
        <f>IF(INDEX(Transactions!$J:$J,ROW()-8)="",0,INDEX(Transactions!$O:$O,ROW()-8))</f>
      </c>
    </row>
    <row r="5463" spans="1:7">
      <c r="B5463">
        <f>IF(INDEX(Transactions!$J:$J,ROW()-8)="",TODAY(),INDEX(Transactions!$G:$G,ROW()-8))</f>
      </c>
      <c r="F5463">
        <f>IF(INDEX(Transactions!$J:$J,ROW()-8)="",0,INDEX(Transactions!$O:$O,ROW()-8))</f>
      </c>
    </row>
    <row r="5464" spans="1:7">
      <c r="B5464">
        <f>IF(INDEX(Transactions!$J:$J,ROW()-8)="",TODAY(),INDEX(Transactions!$G:$G,ROW()-8))</f>
      </c>
      <c r="F5464">
        <f>IF(INDEX(Transactions!$J:$J,ROW()-8)="",0,INDEX(Transactions!$O:$O,ROW()-8))</f>
      </c>
    </row>
    <row r="5465" spans="1:7">
      <c r="B5465">
        <f>IF(INDEX(Transactions!$J:$J,ROW()-8)="",TODAY(),INDEX(Transactions!$G:$G,ROW()-8))</f>
      </c>
      <c r="F5465">
        <f>IF(INDEX(Transactions!$J:$J,ROW()-8)="",0,INDEX(Transactions!$O:$O,ROW()-8))</f>
      </c>
    </row>
    <row r="5466" spans="1:7">
      <c r="B5466">
        <f>IF(INDEX(Transactions!$J:$J,ROW()-8)="",TODAY(),INDEX(Transactions!$G:$G,ROW()-8))</f>
      </c>
      <c r="F5466">
        <f>IF(INDEX(Transactions!$J:$J,ROW()-8)="",0,INDEX(Transactions!$O:$O,ROW()-8))</f>
      </c>
    </row>
    <row r="5467" spans="1:7">
      <c r="B5467">
        <f>IF(INDEX(Transactions!$J:$J,ROW()-8)="",TODAY(),INDEX(Transactions!$G:$G,ROW()-8))</f>
      </c>
      <c r="F5467">
        <f>IF(INDEX(Transactions!$J:$J,ROW()-8)="",0,INDEX(Transactions!$O:$O,ROW()-8))</f>
      </c>
    </row>
    <row r="5468" spans="1:7">
      <c r="B5468">
        <f>IF(INDEX(Transactions!$J:$J,ROW()-8)="",TODAY(),INDEX(Transactions!$G:$G,ROW()-8))</f>
      </c>
      <c r="F5468">
        <f>IF(INDEX(Transactions!$J:$J,ROW()-8)="",0,INDEX(Transactions!$O:$O,ROW()-8))</f>
      </c>
    </row>
    <row r="5469" spans="1:7">
      <c r="B5469">
        <f>IF(INDEX(Transactions!$J:$J,ROW()-8)="",TODAY(),INDEX(Transactions!$G:$G,ROW()-8))</f>
      </c>
      <c r="F5469">
        <f>IF(INDEX(Transactions!$J:$J,ROW()-8)="",0,INDEX(Transactions!$O:$O,ROW()-8))</f>
      </c>
    </row>
    <row r="5470" spans="1:7">
      <c r="B5470">
        <f>IF(INDEX(Transactions!$J:$J,ROW()-8)="",TODAY(),INDEX(Transactions!$G:$G,ROW()-8))</f>
      </c>
      <c r="F5470">
        <f>IF(INDEX(Transactions!$J:$J,ROW()-8)="",0,INDEX(Transactions!$O:$O,ROW()-8))</f>
      </c>
    </row>
    <row r="5471" spans="1:7">
      <c r="B5471">
        <f>IF(INDEX(Transactions!$J:$J,ROW()-8)="",TODAY(),INDEX(Transactions!$G:$G,ROW()-8))</f>
      </c>
      <c r="F5471">
        <f>IF(INDEX(Transactions!$J:$J,ROW()-8)="",0,INDEX(Transactions!$O:$O,ROW()-8))</f>
      </c>
    </row>
    <row r="5472" spans="1:7">
      <c r="B5472">
        <f>IF(INDEX(Transactions!$J:$J,ROW()-8)="",TODAY(),INDEX(Transactions!$G:$G,ROW()-8))</f>
      </c>
      <c r="F5472">
        <f>IF(INDEX(Transactions!$J:$J,ROW()-8)="",0,INDEX(Transactions!$O:$O,ROW()-8))</f>
      </c>
    </row>
    <row r="5473" spans="1:7">
      <c r="B5473">
        <f>IF(INDEX(Transactions!$J:$J,ROW()-8)="",TODAY(),INDEX(Transactions!$G:$G,ROW()-8))</f>
      </c>
      <c r="F5473">
        <f>IF(INDEX(Transactions!$J:$J,ROW()-8)="",0,INDEX(Transactions!$O:$O,ROW()-8))</f>
      </c>
    </row>
    <row r="5474" spans="1:7">
      <c r="B5474">
        <f>IF(INDEX(Transactions!$J:$J,ROW()-8)="",TODAY(),INDEX(Transactions!$G:$G,ROW()-8))</f>
      </c>
      <c r="F5474">
        <f>IF(INDEX(Transactions!$J:$J,ROW()-8)="",0,INDEX(Transactions!$O:$O,ROW()-8))</f>
      </c>
    </row>
    <row r="5475" spans="1:7">
      <c r="B5475">
        <f>IF(INDEX(Transactions!$J:$J,ROW()-8)="",TODAY(),INDEX(Transactions!$G:$G,ROW()-8))</f>
      </c>
      <c r="F5475">
        <f>IF(INDEX(Transactions!$J:$J,ROW()-8)="",0,INDEX(Transactions!$O:$O,ROW()-8))</f>
      </c>
    </row>
    <row r="5476" spans="1:7">
      <c r="B5476">
        <f>IF(INDEX(Transactions!$J:$J,ROW()-8)="",TODAY(),INDEX(Transactions!$G:$G,ROW()-8))</f>
      </c>
      <c r="F5476">
        <f>IF(INDEX(Transactions!$J:$J,ROW()-8)="",0,INDEX(Transactions!$O:$O,ROW()-8))</f>
      </c>
    </row>
    <row r="5477" spans="1:7">
      <c r="B5477">
        <f>IF(INDEX(Transactions!$J:$J,ROW()-8)="",TODAY(),INDEX(Transactions!$G:$G,ROW()-8))</f>
      </c>
      <c r="F5477">
        <f>IF(INDEX(Transactions!$J:$J,ROW()-8)="",0,INDEX(Transactions!$O:$O,ROW()-8))</f>
      </c>
    </row>
    <row r="5478" spans="1:7">
      <c r="B5478">
        <f>IF(INDEX(Transactions!$J:$J,ROW()-8)="",TODAY(),INDEX(Transactions!$G:$G,ROW()-8))</f>
      </c>
      <c r="F5478">
        <f>IF(INDEX(Transactions!$J:$J,ROW()-8)="",0,INDEX(Transactions!$O:$O,ROW()-8))</f>
      </c>
    </row>
    <row r="5479" spans="1:7">
      <c r="B5479">
        <f>IF(INDEX(Transactions!$J:$J,ROW()-8)="",TODAY(),INDEX(Transactions!$G:$G,ROW()-8))</f>
      </c>
      <c r="F5479">
        <f>IF(INDEX(Transactions!$J:$J,ROW()-8)="",0,INDEX(Transactions!$O:$O,ROW()-8))</f>
      </c>
    </row>
    <row r="5480" spans="1:7">
      <c r="B5480">
        <f>IF(INDEX(Transactions!$J:$J,ROW()-8)="",TODAY(),INDEX(Transactions!$G:$G,ROW()-8))</f>
      </c>
      <c r="F5480">
        <f>IF(INDEX(Transactions!$J:$J,ROW()-8)="",0,INDEX(Transactions!$O:$O,ROW()-8))</f>
      </c>
    </row>
    <row r="5481" spans="1:7">
      <c r="B5481">
        <f>IF(INDEX(Transactions!$J:$J,ROW()-8)="",TODAY(),INDEX(Transactions!$G:$G,ROW()-8))</f>
      </c>
      <c r="F5481">
        <f>IF(INDEX(Transactions!$J:$J,ROW()-8)="",0,INDEX(Transactions!$O:$O,ROW()-8))</f>
      </c>
    </row>
    <row r="5482" spans="1:7">
      <c r="B5482">
        <f>IF(INDEX(Transactions!$J:$J,ROW()-8)="",TODAY(),INDEX(Transactions!$G:$G,ROW()-8))</f>
      </c>
      <c r="F5482">
        <f>IF(INDEX(Transactions!$J:$J,ROW()-8)="",0,INDEX(Transactions!$O:$O,ROW()-8))</f>
      </c>
    </row>
    <row r="5483" spans="1:7">
      <c r="B5483">
        <f>IF(INDEX(Transactions!$J:$J,ROW()-8)="",TODAY(),INDEX(Transactions!$G:$G,ROW()-8))</f>
      </c>
      <c r="F5483">
        <f>IF(INDEX(Transactions!$J:$J,ROW()-8)="",0,INDEX(Transactions!$O:$O,ROW()-8))</f>
      </c>
    </row>
    <row r="5484" spans="1:7">
      <c r="B5484">
        <f>IF(INDEX(Transactions!$J:$J,ROW()-8)="",TODAY(),INDEX(Transactions!$G:$G,ROW()-8))</f>
      </c>
      <c r="F5484">
        <f>IF(INDEX(Transactions!$J:$J,ROW()-8)="",0,INDEX(Transactions!$O:$O,ROW()-8))</f>
      </c>
    </row>
    <row r="5485" spans="1:7">
      <c r="B5485">
        <f>IF(INDEX(Transactions!$J:$J,ROW()-8)="",TODAY(),INDEX(Transactions!$G:$G,ROW()-8))</f>
      </c>
      <c r="F5485">
        <f>IF(INDEX(Transactions!$J:$J,ROW()-8)="",0,INDEX(Transactions!$O:$O,ROW()-8))</f>
      </c>
    </row>
    <row r="5486" spans="1:7">
      <c r="B5486">
        <f>IF(INDEX(Transactions!$J:$J,ROW()-8)="",TODAY(),INDEX(Transactions!$G:$G,ROW()-8))</f>
      </c>
      <c r="F5486">
        <f>IF(INDEX(Transactions!$J:$J,ROW()-8)="",0,INDEX(Transactions!$O:$O,ROW()-8))</f>
      </c>
    </row>
    <row r="5487" spans="1:7">
      <c r="B5487">
        <f>IF(INDEX(Transactions!$J:$J,ROW()-8)="",TODAY(),INDEX(Transactions!$G:$G,ROW()-8))</f>
      </c>
      <c r="F5487">
        <f>IF(INDEX(Transactions!$J:$J,ROW()-8)="",0,INDEX(Transactions!$O:$O,ROW()-8))</f>
      </c>
    </row>
    <row r="5488" spans="1:7">
      <c r="B5488">
        <f>IF(INDEX(Transactions!$J:$J,ROW()-8)="",TODAY(),INDEX(Transactions!$G:$G,ROW()-8))</f>
      </c>
      <c r="F5488">
        <f>IF(INDEX(Transactions!$J:$J,ROW()-8)="",0,INDEX(Transactions!$O:$O,ROW()-8))</f>
      </c>
    </row>
    <row r="5489" spans="1:7">
      <c r="B5489">
        <f>IF(INDEX(Transactions!$J:$J,ROW()-8)="",TODAY(),INDEX(Transactions!$G:$G,ROW()-8))</f>
      </c>
      <c r="F5489">
        <f>IF(INDEX(Transactions!$J:$J,ROW()-8)="",0,INDEX(Transactions!$O:$O,ROW()-8))</f>
      </c>
    </row>
    <row r="5490" spans="1:7">
      <c r="B5490">
        <f>IF(INDEX(Transactions!$J:$J,ROW()-8)="",TODAY(),INDEX(Transactions!$G:$G,ROW()-8))</f>
      </c>
      <c r="F5490">
        <f>IF(INDEX(Transactions!$J:$J,ROW()-8)="",0,INDEX(Transactions!$O:$O,ROW()-8))</f>
      </c>
    </row>
    <row r="5491" spans="1:7">
      <c r="B5491">
        <f>IF(INDEX(Transactions!$J:$J,ROW()-8)="",TODAY(),INDEX(Transactions!$G:$G,ROW()-8))</f>
      </c>
      <c r="F5491">
        <f>IF(INDEX(Transactions!$J:$J,ROW()-8)="",0,INDEX(Transactions!$O:$O,ROW()-8))</f>
      </c>
    </row>
    <row r="5492" spans="1:7">
      <c r="B5492">
        <f>IF(INDEX(Transactions!$J:$J,ROW()-8)="",TODAY(),INDEX(Transactions!$G:$G,ROW()-8))</f>
      </c>
      <c r="F5492">
        <f>IF(INDEX(Transactions!$J:$J,ROW()-8)="",0,INDEX(Transactions!$O:$O,ROW()-8))</f>
      </c>
    </row>
    <row r="5493" spans="1:7">
      <c r="B5493">
        <f>IF(INDEX(Transactions!$J:$J,ROW()-8)="",TODAY(),INDEX(Transactions!$G:$G,ROW()-8))</f>
      </c>
      <c r="F5493">
        <f>IF(INDEX(Transactions!$J:$J,ROW()-8)="",0,INDEX(Transactions!$O:$O,ROW()-8))</f>
      </c>
    </row>
    <row r="5494" spans="1:7">
      <c r="B5494">
        <f>IF(INDEX(Transactions!$J:$J,ROW()-8)="",TODAY(),INDEX(Transactions!$G:$G,ROW()-8))</f>
      </c>
      <c r="F5494">
        <f>IF(INDEX(Transactions!$J:$J,ROW()-8)="",0,INDEX(Transactions!$O:$O,ROW()-8))</f>
      </c>
    </row>
    <row r="5495" spans="1:7">
      <c r="B5495">
        <f>IF(INDEX(Transactions!$J:$J,ROW()-8)="",TODAY(),INDEX(Transactions!$G:$G,ROW()-8))</f>
      </c>
      <c r="F5495">
        <f>IF(INDEX(Transactions!$J:$J,ROW()-8)="",0,INDEX(Transactions!$O:$O,ROW()-8))</f>
      </c>
    </row>
    <row r="5496" spans="1:7">
      <c r="B5496">
        <f>IF(INDEX(Transactions!$J:$J,ROW()-8)="",TODAY(),INDEX(Transactions!$G:$G,ROW()-8))</f>
      </c>
      <c r="F5496">
        <f>IF(INDEX(Transactions!$J:$J,ROW()-8)="",0,INDEX(Transactions!$O:$O,ROW()-8))</f>
      </c>
    </row>
    <row r="5497" spans="1:7">
      <c r="B5497">
        <f>IF(INDEX(Transactions!$J:$J,ROW()-8)="",TODAY(),INDEX(Transactions!$G:$G,ROW()-8))</f>
      </c>
      <c r="F5497">
        <f>IF(INDEX(Transactions!$J:$J,ROW()-8)="",0,INDEX(Transactions!$O:$O,ROW()-8))</f>
      </c>
    </row>
    <row r="5498" spans="1:7">
      <c r="B5498">
        <f>IF(INDEX(Transactions!$J:$J,ROW()-8)="",TODAY(),INDEX(Transactions!$G:$G,ROW()-8))</f>
      </c>
      <c r="F5498">
        <f>IF(INDEX(Transactions!$J:$J,ROW()-8)="",0,INDEX(Transactions!$O:$O,ROW()-8))</f>
      </c>
    </row>
    <row r="5499" spans="1:7">
      <c r="B5499">
        <f>IF(INDEX(Transactions!$J:$J,ROW()-8)="",TODAY(),INDEX(Transactions!$G:$G,ROW()-8))</f>
      </c>
      <c r="F5499">
        <f>IF(INDEX(Transactions!$J:$J,ROW()-8)="",0,INDEX(Transactions!$O:$O,ROW()-8))</f>
      </c>
    </row>
    <row r="5500" spans="1:7">
      <c r="B5500">
        <f>IF(INDEX(Transactions!$J:$J,ROW()-8)="",TODAY(),INDEX(Transactions!$G:$G,ROW()-8))</f>
      </c>
      <c r="F5500">
        <f>IF(INDEX(Transactions!$J:$J,ROW()-8)="",0,INDEX(Transactions!$O:$O,ROW()-8))</f>
      </c>
    </row>
    <row r="5501" spans="1:7">
      <c r="B5501">
        <f>IF(INDEX(Transactions!$J:$J,ROW()-8)="",TODAY(),INDEX(Transactions!$G:$G,ROW()-8))</f>
      </c>
      <c r="F5501">
        <f>IF(INDEX(Transactions!$J:$J,ROW()-8)="",0,INDEX(Transactions!$O:$O,ROW()-8))</f>
      </c>
    </row>
    <row r="5502" spans="1:7">
      <c r="B5502">
        <f>IF(INDEX(Transactions!$J:$J,ROW()-8)="",TODAY(),INDEX(Transactions!$G:$G,ROW()-8))</f>
      </c>
      <c r="F5502">
        <f>IF(INDEX(Transactions!$J:$J,ROW()-8)="",0,INDEX(Transactions!$O:$O,ROW()-8))</f>
      </c>
    </row>
    <row r="5503" spans="1:7">
      <c r="B5503">
        <f>IF(INDEX(Transactions!$J:$J,ROW()-8)="",TODAY(),INDEX(Transactions!$G:$G,ROW()-8))</f>
      </c>
      <c r="F5503">
        <f>IF(INDEX(Transactions!$J:$J,ROW()-8)="",0,INDEX(Transactions!$O:$O,ROW()-8))</f>
      </c>
    </row>
    <row r="5504" spans="1:7">
      <c r="B5504">
        <f>IF(INDEX(Transactions!$J:$J,ROW()-8)="",TODAY(),INDEX(Transactions!$G:$G,ROW()-8))</f>
      </c>
      <c r="F5504">
        <f>IF(INDEX(Transactions!$J:$J,ROW()-8)="",0,INDEX(Transactions!$O:$O,ROW()-8))</f>
      </c>
    </row>
    <row r="5505" spans="1:7">
      <c r="B5505">
        <f>IF(INDEX(Transactions!$J:$J,ROW()-8)="",TODAY(),INDEX(Transactions!$G:$G,ROW()-8))</f>
      </c>
      <c r="F5505">
        <f>IF(INDEX(Transactions!$J:$J,ROW()-8)="",0,INDEX(Transactions!$O:$O,ROW()-8))</f>
      </c>
    </row>
    <row r="5506" spans="1:7">
      <c r="B5506">
        <f>IF(INDEX(Transactions!$J:$J,ROW()-8)="",TODAY(),INDEX(Transactions!$G:$G,ROW()-8))</f>
      </c>
      <c r="F5506">
        <f>IF(INDEX(Transactions!$J:$J,ROW()-8)="",0,INDEX(Transactions!$O:$O,ROW()-8))</f>
      </c>
    </row>
    <row r="5507" spans="1:7">
      <c r="B5507">
        <f>IF(INDEX(Transactions!$J:$J,ROW()-8)="",TODAY(),INDEX(Transactions!$G:$G,ROW()-8))</f>
      </c>
      <c r="F5507">
        <f>IF(INDEX(Transactions!$J:$J,ROW()-8)="",0,INDEX(Transactions!$O:$O,ROW()-8))</f>
      </c>
    </row>
    <row r="5508" spans="1:7">
      <c r="B5508">
        <f>IF(INDEX(Transactions!$J:$J,ROW()-8)="",TODAY(),INDEX(Transactions!$G:$G,ROW()-8))</f>
      </c>
      <c r="F5508">
        <f>IF(INDEX(Transactions!$J:$J,ROW()-8)="",0,INDEX(Transactions!$O:$O,ROW()-8))</f>
      </c>
    </row>
    <row r="5509" spans="1:7">
      <c r="B5509">
        <f>IF(INDEX(Transactions!$J:$J,ROW()-8)="",TODAY(),INDEX(Transactions!$G:$G,ROW()-8))</f>
      </c>
      <c r="F5509">
        <f>IF(INDEX(Transactions!$J:$J,ROW()-8)="",0,INDEX(Transactions!$O:$O,ROW()-8))</f>
      </c>
    </row>
    <row r="5510" spans="1:7">
      <c r="B5510">
        <f>IF(INDEX(Transactions!$J:$J,ROW()-8)="",TODAY(),INDEX(Transactions!$G:$G,ROW()-8))</f>
      </c>
      <c r="F5510">
        <f>IF(INDEX(Transactions!$J:$J,ROW()-8)="",0,INDEX(Transactions!$O:$O,ROW()-8))</f>
      </c>
    </row>
    <row r="5511" spans="1:7">
      <c r="B5511">
        <f>IF(INDEX(Transactions!$J:$J,ROW()-8)="",TODAY(),INDEX(Transactions!$G:$G,ROW()-8))</f>
      </c>
      <c r="F5511">
        <f>IF(INDEX(Transactions!$J:$J,ROW()-8)="",0,INDEX(Transactions!$O:$O,ROW()-8))</f>
      </c>
    </row>
    <row r="5512" spans="1:7">
      <c r="B5512">
        <f>IF(INDEX(Transactions!$J:$J,ROW()-8)="",TODAY(),INDEX(Transactions!$G:$G,ROW()-8))</f>
      </c>
      <c r="F5512">
        <f>IF(INDEX(Transactions!$J:$J,ROW()-8)="",0,INDEX(Transactions!$O:$O,ROW()-8))</f>
      </c>
    </row>
    <row r="5513" spans="1:7">
      <c r="B5513">
        <f>IF(INDEX(Transactions!$J:$J,ROW()-8)="",TODAY(),INDEX(Transactions!$G:$G,ROW()-8))</f>
      </c>
      <c r="F5513">
        <f>IF(INDEX(Transactions!$J:$J,ROW()-8)="",0,INDEX(Transactions!$O:$O,ROW()-8))</f>
      </c>
    </row>
    <row r="5514" spans="1:7">
      <c r="B5514">
        <f>IF(INDEX(Transactions!$J:$J,ROW()-8)="",TODAY(),INDEX(Transactions!$G:$G,ROW()-8))</f>
      </c>
      <c r="F5514">
        <f>IF(INDEX(Transactions!$J:$J,ROW()-8)="",0,INDEX(Transactions!$O:$O,ROW()-8))</f>
      </c>
    </row>
    <row r="5515" spans="1:7">
      <c r="B5515">
        <f>IF(INDEX(Transactions!$J:$J,ROW()-8)="",TODAY(),INDEX(Transactions!$G:$G,ROW()-8))</f>
      </c>
      <c r="F5515">
        <f>IF(INDEX(Transactions!$J:$J,ROW()-8)="",0,INDEX(Transactions!$O:$O,ROW()-8))</f>
      </c>
    </row>
    <row r="5516" spans="1:7">
      <c r="B5516">
        <f>IF(INDEX(Transactions!$J:$J,ROW()-8)="",TODAY(),INDEX(Transactions!$G:$G,ROW()-8))</f>
      </c>
      <c r="F5516">
        <f>IF(INDEX(Transactions!$J:$J,ROW()-8)="",0,INDEX(Transactions!$O:$O,ROW()-8))</f>
      </c>
    </row>
    <row r="5517" spans="1:7">
      <c r="B5517">
        <f>IF(INDEX(Transactions!$J:$J,ROW()-8)="",TODAY(),INDEX(Transactions!$G:$G,ROW()-8))</f>
      </c>
      <c r="F5517">
        <f>IF(INDEX(Transactions!$J:$J,ROW()-8)="",0,INDEX(Transactions!$O:$O,ROW()-8))</f>
      </c>
    </row>
    <row r="5518" spans="1:7">
      <c r="B5518">
        <f>IF(INDEX(Transactions!$J:$J,ROW()-8)="",TODAY(),INDEX(Transactions!$G:$G,ROW()-8))</f>
      </c>
      <c r="F5518">
        <f>IF(INDEX(Transactions!$J:$J,ROW()-8)="",0,INDEX(Transactions!$O:$O,ROW()-8))</f>
      </c>
    </row>
    <row r="5519" spans="1:7">
      <c r="B5519">
        <f>IF(INDEX(Transactions!$J:$J,ROW()-8)="",TODAY(),INDEX(Transactions!$G:$G,ROW()-8))</f>
      </c>
      <c r="F5519">
        <f>IF(INDEX(Transactions!$J:$J,ROW()-8)="",0,INDEX(Transactions!$O:$O,ROW()-8))</f>
      </c>
    </row>
    <row r="5520" spans="1:7">
      <c r="B5520">
        <f>IF(INDEX(Transactions!$J:$J,ROW()-8)="",TODAY(),INDEX(Transactions!$G:$G,ROW()-8))</f>
      </c>
      <c r="F5520">
        <f>IF(INDEX(Transactions!$J:$J,ROW()-8)="",0,INDEX(Transactions!$O:$O,ROW()-8))</f>
      </c>
    </row>
    <row r="5521" spans="1:7">
      <c r="B5521">
        <f>IF(INDEX(Transactions!$J:$J,ROW()-8)="",TODAY(),INDEX(Transactions!$G:$G,ROW()-8))</f>
      </c>
      <c r="F5521">
        <f>IF(INDEX(Transactions!$J:$J,ROW()-8)="",0,INDEX(Transactions!$O:$O,ROW()-8))</f>
      </c>
    </row>
    <row r="5522" spans="1:7">
      <c r="B5522">
        <f>IF(INDEX(Transactions!$J:$J,ROW()-8)="",TODAY(),INDEX(Transactions!$G:$G,ROW()-8))</f>
      </c>
      <c r="F5522">
        <f>IF(INDEX(Transactions!$J:$J,ROW()-8)="",0,INDEX(Transactions!$O:$O,ROW()-8))</f>
      </c>
    </row>
    <row r="5523" spans="1:7">
      <c r="B5523">
        <f>IF(INDEX(Transactions!$J:$J,ROW()-8)="",TODAY(),INDEX(Transactions!$G:$G,ROW()-8))</f>
      </c>
      <c r="F5523">
        <f>IF(INDEX(Transactions!$J:$J,ROW()-8)="",0,INDEX(Transactions!$O:$O,ROW()-8))</f>
      </c>
    </row>
    <row r="5524" spans="1:7">
      <c r="B5524">
        <f>IF(INDEX(Transactions!$J:$J,ROW()-8)="",TODAY(),INDEX(Transactions!$G:$G,ROW()-8))</f>
      </c>
      <c r="F5524">
        <f>IF(INDEX(Transactions!$J:$J,ROW()-8)="",0,INDEX(Transactions!$O:$O,ROW()-8))</f>
      </c>
    </row>
    <row r="5525" spans="1:7">
      <c r="B5525">
        <f>IF(INDEX(Transactions!$J:$J,ROW()-8)="",TODAY(),INDEX(Transactions!$G:$G,ROW()-8))</f>
      </c>
      <c r="F5525">
        <f>IF(INDEX(Transactions!$J:$J,ROW()-8)="",0,INDEX(Transactions!$O:$O,ROW()-8))</f>
      </c>
    </row>
    <row r="5526" spans="1:7">
      <c r="B5526">
        <f>IF(INDEX(Transactions!$J:$J,ROW()-8)="",TODAY(),INDEX(Transactions!$G:$G,ROW()-8))</f>
      </c>
      <c r="F5526">
        <f>IF(INDEX(Transactions!$J:$J,ROW()-8)="",0,INDEX(Transactions!$O:$O,ROW()-8))</f>
      </c>
    </row>
    <row r="5527" spans="1:7">
      <c r="B5527">
        <f>IF(INDEX(Transactions!$J:$J,ROW()-8)="",TODAY(),INDEX(Transactions!$G:$G,ROW()-8))</f>
      </c>
      <c r="F5527">
        <f>IF(INDEX(Transactions!$J:$J,ROW()-8)="",0,INDEX(Transactions!$O:$O,ROW()-8))</f>
      </c>
    </row>
    <row r="5528" spans="1:7">
      <c r="B5528">
        <f>IF(INDEX(Transactions!$J:$J,ROW()-8)="",TODAY(),INDEX(Transactions!$G:$G,ROW()-8))</f>
      </c>
      <c r="F5528">
        <f>IF(INDEX(Transactions!$J:$J,ROW()-8)="",0,INDEX(Transactions!$O:$O,ROW()-8))</f>
      </c>
    </row>
    <row r="5529" spans="1:7">
      <c r="B5529">
        <f>IF(INDEX(Transactions!$J:$J,ROW()-8)="",TODAY(),INDEX(Transactions!$G:$G,ROW()-8))</f>
      </c>
      <c r="F5529">
        <f>IF(INDEX(Transactions!$J:$J,ROW()-8)="",0,INDEX(Transactions!$O:$O,ROW()-8))</f>
      </c>
    </row>
    <row r="5530" spans="1:7">
      <c r="B5530">
        <f>IF(INDEX(Transactions!$J:$J,ROW()-8)="",TODAY(),INDEX(Transactions!$G:$G,ROW()-8))</f>
      </c>
      <c r="F5530">
        <f>IF(INDEX(Transactions!$J:$J,ROW()-8)="",0,INDEX(Transactions!$O:$O,ROW()-8))</f>
      </c>
    </row>
    <row r="5531" spans="1:7">
      <c r="B5531">
        <f>IF(INDEX(Transactions!$J:$J,ROW()-8)="",TODAY(),INDEX(Transactions!$G:$G,ROW()-8))</f>
      </c>
      <c r="F5531">
        <f>IF(INDEX(Transactions!$J:$J,ROW()-8)="",0,INDEX(Transactions!$O:$O,ROW()-8))</f>
      </c>
    </row>
    <row r="5532" spans="1:7">
      <c r="B5532">
        <f>IF(INDEX(Transactions!$J:$J,ROW()-8)="",TODAY(),INDEX(Transactions!$G:$G,ROW()-8))</f>
      </c>
      <c r="F5532">
        <f>IF(INDEX(Transactions!$J:$J,ROW()-8)="",0,INDEX(Transactions!$O:$O,ROW()-8))</f>
      </c>
    </row>
    <row r="5533" spans="1:7">
      <c r="B5533">
        <f>IF(INDEX(Transactions!$J:$J,ROW()-8)="",TODAY(),INDEX(Transactions!$G:$G,ROW()-8))</f>
      </c>
      <c r="F5533">
        <f>IF(INDEX(Transactions!$J:$J,ROW()-8)="",0,INDEX(Transactions!$O:$O,ROW()-8))</f>
      </c>
    </row>
    <row r="5534" spans="1:7">
      <c r="B5534">
        <f>IF(INDEX(Transactions!$J:$J,ROW()-8)="",TODAY(),INDEX(Transactions!$G:$G,ROW()-8))</f>
      </c>
      <c r="F5534">
        <f>IF(INDEX(Transactions!$J:$J,ROW()-8)="",0,INDEX(Transactions!$O:$O,ROW()-8))</f>
      </c>
    </row>
    <row r="5535" spans="1:7">
      <c r="B5535">
        <f>IF(INDEX(Transactions!$J:$J,ROW()-8)="",TODAY(),INDEX(Transactions!$G:$G,ROW()-8))</f>
      </c>
      <c r="F5535">
        <f>IF(INDEX(Transactions!$J:$J,ROW()-8)="",0,INDEX(Transactions!$O:$O,ROW()-8))</f>
      </c>
    </row>
    <row r="5536" spans="1:7">
      <c r="B5536">
        <f>IF(INDEX(Transactions!$J:$J,ROW()-8)="",TODAY(),INDEX(Transactions!$G:$G,ROW()-8))</f>
      </c>
      <c r="F5536">
        <f>IF(INDEX(Transactions!$J:$J,ROW()-8)="",0,INDEX(Transactions!$O:$O,ROW()-8))</f>
      </c>
    </row>
    <row r="5537" spans="1:7">
      <c r="B5537">
        <f>IF(INDEX(Transactions!$J:$J,ROW()-8)="",TODAY(),INDEX(Transactions!$G:$G,ROW()-8))</f>
      </c>
      <c r="F5537">
        <f>IF(INDEX(Transactions!$J:$J,ROW()-8)="",0,INDEX(Transactions!$O:$O,ROW()-8))</f>
      </c>
    </row>
    <row r="5538" spans="1:7">
      <c r="B5538">
        <f>IF(INDEX(Transactions!$J:$J,ROW()-8)="",TODAY(),INDEX(Transactions!$G:$G,ROW()-8))</f>
      </c>
      <c r="F5538">
        <f>IF(INDEX(Transactions!$J:$J,ROW()-8)="",0,INDEX(Transactions!$O:$O,ROW()-8))</f>
      </c>
    </row>
    <row r="5539" spans="1:7">
      <c r="B5539">
        <f>IF(INDEX(Transactions!$J:$J,ROW()-8)="",TODAY(),INDEX(Transactions!$G:$G,ROW()-8))</f>
      </c>
      <c r="F5539">
        <f>IF(INDEX(Transactions!$J:$J,ROW()-8)="",0,INDEX(Transactions!$O:$O,ROW()-8))</f>
      </c>
    </row>
    <row r="5540" spans="1:7">
      <c r="B5540">
        <f>IF(INDEX(Transactions!$J:$J,ROW()-8)="",TODAY(),INDEX(Transactions!$G:$G,ROW()-8))</f>
      </c>
      <c r="F5540">
        <f>IF(INDEX(Transactions!$J:$J,ROW()-8)="",0,INDEX(Transactions!$O:$O,ROW()-8))</f>
      </c>
    </row>
    <row r="5541" spans="1:7">
      <c r="B5541">
        <f>IF(INDEX(Transactions!$J:$J,ROW()-8)="",TODAY(),INDEX(Transactions!$G:$G,ROW()-8))</f>
      </c>
      <c r="F5541">
        <f>IF(INDEX(Transactions!$J:$J,ROW()-8)="",0,INDEX(Transactions!$O:$O,ROW()-8))</f>
      </c>
    </row>
    <row r="5542" spans="1:7">
      <c r="B5542">
        <f>IF(INDEX(Transactions!$J:$J,ROW()-8)="",TODAY(),INDEX(Transactions!$G:$G,ROW()-8))</f>
      </c>
      <c r="F5542">
        <f>IF(INDEX(Transactions!$J:$J,ROW()-8)="",0,INDEX(Transactions!$O:$O,ROW()-8))</f>
      </c>
    </row>
    <row r="5543" spans="1:7">
      <c r="B5543">
        <f>IF(INDEX(Transactions!$J:$J,ROW()-8)="",TODAY(),INDEX(Transactions!$G:$G,ROW()-8))</f>
      </c>
      <c r="F5543">
        <f>IF(INDEX(Transactions!$J:$J,ROW()-8)="",0,INDEX(Transactions!$O:$O,ROW()-8))</f>
      </c>
    </row>
    <row r="5544" spans="1:7">
      <c r="B5544">
        <f>IF(INDEX(Transactions!$J:$J,ROW()-8)="",TODAY(),INDEX(Transactions!$G:$G,ROW()-8))</f>
      </c>
      <c r="F5544">
        <f>IF(INDEX(Transactions!$J:$J,ROW()-8)="",0,INDEX(Transactions!$O:$O,ROW()-8))</f>
      </c>
    </row>
    <row r="5545" spans="1:7">
      <c r="B5545">
        <f>IF(INDEX(Transactions!$J:$J,ROW()-8)="",TODAY(),INDEX(Transactions!$G:$G,ROW()-8))</f>
      </c>
      <c r="F5545">
        <f>IF(INDEX(Transactions!$J:$J,ROW()-8)="",0,INDEX(Transactions!$O:$O,ROW()-8))</f>
      </c>
    </row>
    <row r="5546" spans="1:7">
      <c r="B5546">
        <f>IF(INDEX(Transactions!$J:$J,ROW()-8)="",TODAY(),INDEX(Transactions!$G:$G,ROW()-8))</f>
      </c>
      <c r="F5546">
        <f>IF(INDEX(Transactions!$J:$J,ROW()-8)="",0,INDEX(Transactions!$O:$O,ROW()-8))</f>
      </c>
    </row>
    <row r="5547" spans="1:7">
      <c r="B5547">
        <f>IF(INDEX(Transactions!$J:$J,ROW()-8)="",TODAY(),INDEX(Transactions!$G:$G,ROW()-8))</f>
      </c>
      <c r="F5547">
        <f>IF(INDEX(Transactions!$J:$J,ROW()-8)="",0,INDEX(Transactions!$O:$O,ROW()-8))</f>
      </c>
    </row>
    <row r="5548" spans="1:7">
      <c r="B5548">
        <f>IF(INDEX(Transactions!$J:$J,ROW()-8)="",TODAY(),INDEX(Transactions!$G:$G,ROW()-8))</f>
      </c>
      <c r="F5548">
        <f>IF(INDEX(Transactions!$J:$J,ROW()-8)="",0,INDEX(Transactions!$O:$O,ROW()-8))</f>
      </c>
    </row>
    <row r="5549" spans="1:7">
      <c r="B5549">
        <f>IF(INDEX(Transactions!$J:$J,ROW()-8)="",TODAY(),INDEX(Transactions!$G:$G,ROW()-8))</f>
      </c>
      <c r="F5549">
        <f>IF(INDEX(Transactions!$J:$J,ROW()-8)="",0,INDEX(Transactions!$O:$O,ROW()-8))</f>
      </c>
    </row>
    <row r="5550" spans="1:7">
      <c r="B5550">
        <f>IF(INDEX(Transactions!$J:$J,ROW()-8)="",TODAY(),INDEX(Transactions!$G:$G,ROW()-8))</f>
      </c>
      <c r="F5550">
        <f>IF(INDEX(Transactions!$J:$J,ROW()-8)="",0,INDEX(Transactions!$O:$O,ROW()-8))</f>
      </c>
    </row>
    <row r="5551" spans="1:7">
      <c r="B5551">
        <f>IF(INDEX(Transactions!$J:$J,ROW()-8)="",TODAY(),INDEX(Transactions!$G:$G,ROW()-8))</f>
      </c>
      <c r="F5551">
        <f>IF(INDEX(Transactions!$J:$J,ROW()-8)="",0,INDEX(Transactions!$O:$O,ROW()-8))</f>
      </c>
    </row>
    <row r="5552" spans="1:7">
      <c r="B5552">
        <f>IF(INDEX(Transactions!$J:$J,ROW()-8)="",TODAY(),INDEX(Transactions!$G:$G,ROW()-8))</f>
      </c>
      <c r="F5552">
        <f>IF(INDEX(Transactions!$J:$J,ROW()-8)="",0,INDEX(Transactions!$O:$O,ROW()-8))</f>
      </c>
    </row>
    <row r="5553" spans="1:7">
      <c r="B5553">
        <f>IF(INDEX(Transactions!$J:$J,ROW()-8)="",TODAY(),INDEX(Transactions!$G:$G,ROW()-8))</f>
      </c>
      <c r="F5553">
        <f>IF(INDEX(Transactions!$J:$J,ROW()-8)="",0,INDEX(Transactions!$O:$O,ROW()-8))</f>
      </c>
    </row>
    <row r="5554" spans="1:7">
      <c r="B5554">
        <f>IF(INDEX(Transactions!$J:$J,ROW()-8)="",TODAY(),INDEX(Transactions!$G:$G,ROW()-8))</f>
      </c>
      <c r="F5554">
        <f>IF(INDEX(Transactions!$J:$J,ROW()-8)="",0,INDEX(Transactions!$O:$O,ROW()-8))</f>
      </c>
    </row>
    <row r="5555" spans="1:7">
      <c r="B5555">
        <f>IF(INDEX(Transactions!$J:$J,ROW()-8)="",TODAY(),INDEX(Transactions!$G:$G,ROW()-8))</f>
      </c>
      <c r="F5555">
        <f>IF(INDEX(Transactions!$J:$J,ROW()-8)="",0,INDEX(Transactions!$O:$O,ROW()-8))</f>
      </c>
    </row>
    <row r="5556" spans="1:7">
      <c r="B5556">
        <f>IF(INDEX(Transactions!$J:$J,ROW()-8)="",TODAY(),INDEX(Transactions!$G:$G,ROW()-8))</f>
      </c>
      <c r="F5556">
        <f>IF(INDEX(Transactions!$J:$J,ROW()-8)="",0,INDEX(Transactions!$O:$O,ROW()-8))</f>
      </c>
    </row>
    <row r="5557" spans="1:7">
      <c r="B5557">
        <f>IF(INDEX(Transactions!$J:$J,ROW()-8)="",TODAY(),INDEX(Transactions!$G:$G,ROW()-8))</f>
      </c>
      <c r="F5557">
        <f>IF(INDEX(Transactions!$J:$J,ROW()-8)="",0,INDEX(Transactions!$O:$O,ROW()-8))</f>
      </c>
    </row>
    <row r="5558" spans="1:7">
      <c r="B5558">
        <f>IF(INDEX(Transactions!$J:$J,ROW()-8)="",TODAY(),INDEX(Transactions!$G:$G,ROW()-8))</f>
      </c>
      <c r="F5558">
        <f>IF(INDEX(Transactions!$J:$J,ROW()-8)="",0,INDEX(Transactions!$O:$O,ROW()-8))</f>
      </c>
    </row>
    <row r="5559" spans="1:7">
      <c r="B5559">
        <f>IF(INDEX(Transactions!$J:$J,ROW()-8)="",TODAY(),INDEX(Transactions!$G:$G,ROW()-8))</f>
      </c>
      <c r="F5559">
        <f>IF(INDEX(Transactions!$J:$J,ROW()-8)="",0,INDEX(Transactions!$O:$O,ROW()-8))</f>
      </c>
    </row>
    <row r="5560" spans="1:7">
      <c r="B5560">
        <f>IF(INDEX(Transactions!$J:$J,ROW()-8)="",TODAY(),INDEX(Transactions!$G:$G,ROW()-8))</f>
      </c>
      <c r="F5560">
        <f>IF(INDEX(Transactions!$J:$J,ROW()-8)="",0,INDEX(Transactions!$O:$O,ROW()-8))</f>
      </c>
    </row>
    <row r="5561" spans="1:7">
      <c r="B5561">
        <f>IF(INDEX(Transactions!$J:$J,ROW()-8)="",TODAY(),INDEX(Transactions!$G:$G,ROW()-8))</f>
      </c>
      <c r="F5561">
        <f>IF(INDEX(Transactions!$J:$J,ROW()-8)="",0,INDEX(Transactions!$O:$O,ROW()-8))</f>
      </c>
    </row>
    <row r="5562" spans="1:7">
      <c r="B5562">
        <f>IF(INDEX(Transactions!$J:$J,ROW()-8)="",TODAY(),INDEX(Transactions!$G:$G,ROW()-8))</f>
      </c>
      <c r="F5562">
        <f>IF(INDEX(Transactions!$J:$J,ROW()-8)="",0,INDEX(Transactions!$O:$O,ROW()-8))</f>
      </c>
    </row>
    <row r="5563" spans="1:7">
      <c r="B5563">
        <f>IF(INDEX(Transactions!$J:$J,ROW()-8)="",TODAY(),INDEX(Transactions!$G:$G,ROW()-8))</f>
      </c>
      <c r="F5563">
        <f>IF(INDEX(Transactions!$J:$J,ROW()-8)="",0,INDEX(Transactions!$O:$O,ROW()-8))</f>
      </c>
    </row>
    <row r="5564" spans="1:7">
      <c r="B5564">
        <f>IF(INDEX(Transactions!$J:$J,ROW()-8)="",TODAY(),INDEX(Transactions!$G:$G,ROW()-8))</f>
      </c>
      <c r="F5564">
        <f>IF(INDEX(Transactions!$J:$J,ROW()-8)="",0,INDEX(Transactions!$O:$O,ROW()-8))</f>
      </c>
    </row>
    <row r="5565" spans="1:7">
      <c r="B5565">
        <f>IF(INDEX(Transactions!$J:$J,ROW()-8)="",TODAY(),INDEX(Transactions!$G:$G,ROW()-8))</f>
      </c>
      <c r="F5565">
        <f>IF(INDEX(Transactions!$J:$J,ROW()-8)="",0,INDEX(Transactions!$O:$O,ROW()-8))</f>
      </c>
    </row>
    <row r="5566" spans="1:7">
      <c r="B5566">
        <f>IF(INDEX(Transactions!$J:$J,ROW()-8)="",TODAY(),INDEX(Transactions!$G:$G,ROW()-8))</f>
      </c>
      <c r="F5566">
        <f>IF(INDEX(Transactions!$J:$J,ROW()-8)="",0,INDEX(Transactions!$O:$O,ROW()-8))</f>
      </c>
    </row>
    <row r="5567" spans="1:7">
      <c r="B5567">
        <f>IF(INDEX(Transactions!$J:$J,ROW()-8)="",TODAY(),INDEX(Transactions!$G:$G,ROW()-8))</f>
      </c>
      <c r="F5567">
        <f>IF(INDEX(Transactions!$J:$J,ROW()-8)="",0,INDEX(Transactions!$O:$O,ROW()-8))</f>
      </c>
    </row>
    <row r="5568" spans="1:7">
      <c r="B5568">
        <f>IF(INDEX(Transactions!$J:$J,ROW()-8)="",TODAY(),INDEX(Transactions!$G:$G,ROW()-8))</f>
      </c>
      <c r="F5568">
        <f>IF(INDEX(Transactions!$J:$J,ROW()-8)="",0,INDEX(Transactions!$O:$O,ROW()-8))</f>
      </c>
    </row>
    <row r="5569" spans="1:7">
      <c r="B5569">
        <f>IF(INDEX(Transactions!$J:$J,ROW()-8)="",TODAY(),INDEX(Transactions!$G:$G,ROW()-8))</f>
      </c>
      <c r="F5569">
        <f>IF(INDEX(Transactions!$J:$J,ROW()-8)="",0,INDEX(Transactions!$O:$O,ROW()-8))</f>
      </c>
    </row>
    <row r="5570" spans="1:7">
      <c r="B5570">
        <f>IF(INDEX(Transactions!$J:$J,ROW()-8)="",TODAY(),INDEX(Transactions!$G:$G,ROW()-8))</f>
      </c>
      <c r="F5570">
        <f>IF(INDEX(Transactions!$J:$J,ROW()-8)="",0,INDEX(Transactions!$O:$O,ROW()-8))</f>
      </c>
    </row>
    <row r="5571" spans="1:7">
      <c r="B5571">
        <f>IF(INDEX(Transactions!$J:$J,ROW()-8)="",TODAY(),INDEX(Transactions!$G:$G,ROW()-8))</f>
      </c>
      <c r="F5571">
        <f>IF(INDEX(Transactions!$J:$J,ROW()-8)="",0,INDEX(Transactions!$O:$O,ROW()-8))</f>
      </c>
    </row>
    <row r="5572" spans="1:7">
      <c r="B5572">
        <f>IF(INDEX(Transactions!$J:$J,ROW()-8)="",TODAY(),INDEX(Transactions!$G:$G,ROW()-8))</f>
      </c>
      <c r="F5572">
        <f>IF(INDEX(Transactions!$J:$J,ROW()-8)="",0,INDEX(Transactions!$O:$O,ROW()-8))</f>
      </c>
    </row>
    <row r="5573" spans="1:7">
      <c r="B5573">
        <f>IF(INDEX(Transactions!$J:$J,ROW()-8)="",TODAY(),INDEX(Transactions!$G:$G,ROW()-8))</f>
      </c>
      <c r="F5573">
        <f>IF(INDEX(Transactions!$J:$J,ROW()-8)="",0,INDEX(Transactions!$O:$O,ROW()-8))</f>
      </c>
    </row>
    <row r="5574" spans="1:7">
      <c r="B5574">
        <f>IF(INDEX(Transactions!$J:$J,ROW()-8)="",TODAY(),INDEX(Transactions!$G:$G,ROW()-8))</f>
      </c>
      <c r="F5574">
        <f>IF(INDEX(Transactions!$J:$J,ROW()-8)="",0,INDEX(Transactions!$O:$O,ROW()-8))</f>
      </c>
    </row>
    <row r="5575" spans="1:7">
      <c r="B5575">
        <f>IF(INDEX(Transactions!$J:$J,ROW()-8)="",TODAY(),INDEX(Transactions!$G:$G,ROW()-8))</f>
      </c>
      <c r="F5575">
        <f>IF(INDEX(Transactions!$J:$J,ROW()-8)="",0,INDEX(Transactions!$O:$O,ROW()-8))</f>
      </c>
    </row>
    <row r="5576" spans="1:7">
      <c r="B5576">
        <f>IF(INDEX(Transactions!$J:$J,ROW()-8)="",TODAY(),INDEX(Transactions!$G:$G,ROW()-8))</f>
      </c>
      <c r="F5576">
        <f>IF(INDEX(Transactions!$J:$J,ROW()-8)="",0,INDEX(Transactions!$O:$O,ROW()-8))</f>
      </c>
    </row>
    <row r="5577" spans="1:7">
      <c r="B5577">
        <f>IF(INDEX(Transactions!$J:$J,ROW()-8)="",TODAY(),INDEX(Transactions!$G:$G,ROW()-8))</f>
      </c>
      <c r="F5577">
        <f>IF(INDEX(Transactions!$J:$J,ROW()-8)="",0,INDEX(Transactions!$O:$O,ROW()-8))</f>
      </c>
    </row>
    <row r="5578" spans="1:7">
      <c r="B5578">
        <f>IF(INDEX(Transactions!$J:$J,ROW()-8)="",TODAY(),INDEX(Transactions!$G:$G,ROW()-8))</f>
      </c>
      <c r="F5578">
        <f>IF(INDEX(Transactions!$J:$J,ROW()-8)="",0,INDEX(Transactions!$O:$O,ROW()-8))</f>
      </c>
    </row>
    <row r="5579" spans="1:7">
      <c r="B5579">
        <f>IF(INDEX(Transactions!$J:$J,ROW()-8)="",TODAY(),INDEX(Transactions!$G:$G,ROW()-8))</f>
      </c>
      <c r="F5579">
        <f>IF(INDEX(Transactions!$J:$J,ROW()-8)="",0,INDEX(Transactions!$O:$O,ROW()-8))</f>
      </c>
    </row>
    <row r="5580" spans="1:7">
      <c r="B5580">
        <f>IF(INDEX(Transactions!$J:$J,ROW()-8)="",TODAY(),INDEX(Transactions!$G:$G,ROW()-8))</f>
      </c>
      <c r="F5580">
        <f>IF(INDEX(Transactions!$J:$J,ROW()-8)="",0,INDEX(Transactions!$O:$O,ROW()-8))</f>
      </c>
    </row>
    <row r="5581" spans="1:7">
      <c r="B5581">
        <f>IF(INDEX(Transactions!$J:$J,ROW()-8)="",TODAY(),INDEX(Transactions!$G:$G,ROW()-8))</f>
      </c>
      <c r="F5581">
        <f>IF(INDEX(Transactions!$J:$J,ROW()-8)="",0,INDEX(Transactions!$O:$O,ROW()-8))</f>
      </c>
    </row>
    <row r="5582" spans="1:7">
      <c r="B5582">
        <f>IF(INDEX(Transactions!$J:$J,ROW()-8)="",TODAY(),INDEX(Transactions!$G:$G,ROW()-8))</f>
      </c>
      <c r="F5582">
        <f>IF(INDEX(Transactions!$J:$J,ROW()-8)="",0,INDEX(Transactions!$O:$O,ROW()-8))</f>
      </c>
    </row>
    <row r="5583" spans="1:7">
      <c r="B5583">
        <f>IF(INDEX(Transactions!$J:$J,ROW()-8)="",TODAY(),INDEX(Transactions!$G:$G,ROW()-8))</f>
      </c>
      <c r="F5583">
        <f>IF(INDEX(Transactions!$J:$J,ROW()-8)="",0,INDEX(Transactions!$O:$O,ROW()-8))</f>
      </c>
    </row>
    <row r="5584" spans="1:7">
      <c r="B5584">
        <f>IF(INDEX(Transactions!$J:$J,ROW()-8)="",TODAY(),INDEX(Transactions!$G:$G,ROW()-8))</f>
      </c>
      <c r="F5584">
        <f>IF(INDEX(Transactions!$J:$J,ROW()-8)="",0,INDEX(Transactions!$O:$O,ROW()-8))</f>
      </c>
    </row>
    <row r="5585" spans="1:7">
      <c r="B5585">
        <f>IF(INDEX(Transactions!$J:$J,ROW()-8)="",TODAY(),INDEX(Transactions!$G:$G,ROW()-8))</f>
      </c>
      <c r="F5585">
        <f>IF(INDEX(Transactions!$J:$J,ROW()-8)="",0,INDEX(Transactions!$O:$O,ROW()-8))</f>
      </c>
    </row>
    <row r="5586" spans="1:7">
      <c r="B5586">
        <f>IF(INDEX(Transactions!$J:$J,ROW()-8)="",TODAY(),INDEX(Transactions!$G:$G,ROW()-8))</f>
      </c>
      <c r="F5586">
        <f>IF(INDEX(Transactions!$J:$J,ROW()-8)="",0,INDEX(Transactions!$O:$O,ROW()-8))</f>
      </c>
    </row>
    <row r="5587" spans="1:7">
      <c r="B5587">
        <f>IF(INDEX(Transactions!$J:$J,ROW()-8)="",TODAY(),INDEX(Transactions!$G:$G,ROW()-8))</f>
      </c>
      <c r="F5587">
        <f>IF(INDEX(Transactions!$J:$J,ROW()-8)="",0,INDEX(Transactions!$O:$O,ROW()-8))</f>
      </c>
    </row>
    <row r="5588" spans="1:7">
      <c r="B5588">
        <f>IF(INDEX(Transactions!$J:$J,ROW()-8)="",TODAY(),INDEX(Transactions!$G:$G,ROW()-8))</f>
      </c>
      <c r="F5588">
        <f>IF(INDEX(Transactions!$J:$J,ROW()-8)="",0,INDEX(Transactions!$O:$O,ROW()-8))</f>
      </c>
    </row>
    <row r="5589" spans="1:7">
      <c r="B5589">
        <f>IF(INDEX(Transactions!$J:$J,ROW()-8)="",TODAY(),INDEX(Transactions!$G:$G,ROW()-8))</f>
      </c>
      <c r="F5589">
        <f>IF(INDEX(Transactions!$J:$J,ROW()-8)="",0,INDEX(Transactions!$O:$O,ROW()-8))</f>
      </c>
    </row>
    <row r="5590" spans="1:7">
      <c r="B5590">
        <f>IF(INDEX(Transactions!$J:$J,ROW()-8)="",TODAY(),INDEX(Transactions!$G:$G,ROW()-8))</f>
      </c>
      <c r="F5590">
        <f>IF(INDEX(Transactions!$J:$J,ROW()-8)="",0,INDEX(Transactions!$O:$O,ROW()-8))</f>
      </c>
    </row>
    <row r="5591" spans="1:7">
      <c r="B5591">
        <f>IF(INDEX(Transactions!$J:$J,ROW()-8)="",TODAY(),INDEX(Transactions!$G:$G,ROW()-8))</f>
      </c>
      <c r="F5591">
        <f>IF(INDEX(Transactions!$J:$J,ROW()-8)="",0,INDEX(Transactions!$O:$O,ROW()-8))</f>
      </c>
    </row>
    <row r="5592" spans="1:7">
      <c r="B5592">
        <f>IF(INDEX(Transactions!$J:$J,ROW()-8)="",TODAY(),INDEX(Transactions!$G:$G,ROW()-8))</f>
      </c>
      <c r="F5592">
        <f>IF(INDEX(Transactions!$J:$J,ROW()-8)="",0,INDEX(Transactions!$O:$O,ROW()-8))</f>
      </c>
    </row>
    <row r="5593" spans="1:7">
      <c r="B5593">
        <f>IF(INDEX(Transactions!$J:$J,ROW()-8)="",TODAY(),INDEX(Transactions!$G:$G,ROW()-8))</f>
      </c>
      <c r="F5593">
        <f>IF(INDEX(Transactions!$J:$J,ROW()-8)="",0,INDEX(Transactions!$O:$O,ROW()-8))</f>
      </c>
    </row>
    <row r="5594" spans="1:7">
      <c r="B5594">
        <f>IF(INDEX(Transactions!$J:$J,ROW()-8)="",TODAY(),INDEX(Transactions!$G:$G,ROW()-8))</f>
      </c>
      <c r="F5594">
        <f>IF(INDEX(Transactions!$J:$J,ROW()-8)="",0,INDEX(Transactions!$O:$O,ROW()-8))</f>
      </c>
    </row>
    <row r="5595" spans="1:7">
      <c r="B5595">
        <f>IF(INDEX(Transactions!$J:$J,ROW()-8)="",TODAY(),INDEX(Transactions!$G:$G,ROW()-8))</f>
      </c>
      <c r="F5595">
        <f>IF(INDEX(Transactions!$J:$J,ROW()-8)="",0,INDEX(Transactions!$O:$O,ROW()-8))</f>
      </c>
    </row>
    <row r="5596" spans="1:7">
      <c r="B5596">
        <f>IF(INDEX(Transactions!$J:$J,ROW()-8)="",TODAY(),INDEX(Transactions!$G:$G,ROW()-8))</f>
      </c>
      <c r="F5596">
        <f>IF(INDEX(Transactions!$J:$J,ROW()-8)="",0,INDEX(Transactions!$O:$O,ROW()-8))</f>
      </c>
    </row>
    <row r="5597" spans="1:7">
      <c r="B5597">
        <f>IF(INDEX(Transactions!$J:$J,ROW()-8)="",TODAY(),INDEX(Transactions!$G:$G,ROW()-8))</f>
      </c>
      <c r="F5597">
        <f>IF(INDEX(Transactions!$J:$J,ROW()-8)="",0,INDEX(Transactions!$O:$O,ROW()-8))</f>
      </c>
    </row>
    <row r="5598" spans="1:7">
      <c r="B5598">
        <f>IF(INDEX(Transactions!$J:$J,ROW()-8)="",TODAY(),INDEX(Transactions!$G:$G,ROW()-8))</f>
      </c>
      <c r="F5598">
        <f>IF(INDEX(Transactions!$J:$J,ROW()-8)="",0,INDEX(Transactions!$O:$O,ROW()-8))</f>
      </c>
    </row>
    <row r="5599" spans="1:7">
      <c r="B5599">
        <f>IF(INDEX(Transactions!$J:$J,ROW()-8)="",TODAY(),INDEX(Transactions!$G:$G,ROW()-8))</f>
      </c>
      <c r="F5599">
        <f>IF(INDEX(Transactions!$J:$J,ROW()-8)="",0,INDEX(Transactions!$O:$O,ROW()-8))</f>
      </c>
    </row>
    <row r="5600" spans="1:7">
      <c r="B5600">
        <f>IF(INDEX(Transactions!$J:$J,ROW()-8)="",TODAY(),INDEX(Transactions!$G:$G,ROW()-8))</f>
      </c>
      <c r="F5600">
        <f>IF(INDEX(Transactions!$J:$J,ROW()-8)="",0,INDEX(Transactions!$O:$O,ROW()-8))</f>
      </c>
    </row>
    <row r="5601" spans="1:7">
      <c r="B5601">
        <f>IF(INDEX(Transactions!$J:$J,ROW()-8)="",TODAY(),INDEX(Transactions!$G:$G,ROW()-8))</f>
      </c>
      <c r="F5601">
        <f>IF(INDEX(Transactions!$J:$J,ROW()-8)="",0,INDEX(Transactions!$O:$O,ROW()-8))</f>
      </c>
    </row>
    <row r="5602" spans="1:7">
      <c r="B5602">
        <f>IF(INDEX(Transactions!$J:$J,ROW()-8)="",TODAY(),INDEX(Transactions!$G:$G,ROW()-8))</f>
      </c>
      <c r="F5602">
        <f>IF(INDEX(Transactions!$J:$J,ROW()-8)="",0,INDEX(Transactions!$O:$O,ROW()-8))</f>
      </c>
    </row>
    <row r="5603" spans="1:7">
      <c r="B5603">
        <f>IF(INDEX(Transactions!$J:$J,ROW()-8)="",TODAY(),INDEX(Transactions!$G:$G,ROW()-8))</f>
      </c>
      <c r="F5603">
        <f>IF(INDEX(Transactions!$J:$J,ROW()-8)="",0,INDEX(Transactions!$O:$O,ROW()-8))</f>
      </c>
    </row>
    <row r="5604" spans="1:7">
      <c r="B5604">
        <f>IF(INDEX(Transactions!$J:$J,ROW()-8)="",TODAY(),INDEX(Transactions!$G:$G,ROW()-8))</f>
      </c>
      <c r="F5604">
        <f>IF(INDEX(Transactions!$J:$J,ROW()-8)="",0,INDEX(Transactions!$O:$O,ROW()-8))</f>
      </c>
    </row>
    <row r="5605" spans="1:7">
      <c r="B5605">
        <f>IF(INDEX(Transactions!$J:$J,ROW()-8)="",TODAY(),INDEX(Transactions!$G:$G,ROW()-8))</f>
      </c>
      <c r="F5605">
        <f>IF(INDEX(Transactions!$J:$J,ROW()-8)="",0,INDEX(Transactions!$O:$O,ROW()-8))</f>
      </c>
    </row>
    <row r="5606" spans="1:7">
      <c r="B5606">
        <f>IF(INDEX(Transactions!$J:$J,ROW()-8)="",TODAY(),INDEX(Transactions!$G:$G,ROW()-8))</f>
      </c>
      <c r="F5606">
        <f>IF(INDEX(Transactions!$J:$J,ROW()-8)="",0,INDEX(Transactions!$O:$O,ROW()-8))</f>
      </c>
    </row>
    <row r="5607" spans="1:7">
      <c r="B5607">
        <f>IF(INDEX(Transactions!$J:$J,ROW()-8)="",TODAY(),INDEX(Transactions!$G:$G,ROW()-8))</f>
      </c>
      <c r="F5607">
        <f>IF(INDEX(Transactions!$J:$J,ROW()-8)="",0,INDEX(Transactions!$O:$O,ROW()-8))</f>
      </c>
    </row>
    <row r="5608" spans="1:7">
      <c r="B5608">
        <f>IF(INDEX(Transactions!$J:$J,ROW()-8)="",TODAY(),INDEX(Transactions!$G:$G,ROW()-8))</f>
      </c>
      <c r="F5608">
        <f>IF(INDEX(Transactions!$J:$J,ROW()-8)="",0,INDEX(Transactions!$O:$O,ROW()-8))</f>
      </c>
    </row>
    <row r="5609" spans="1:7">
      <c r="B5609">
        <f>IF(INDEX(Transactions!$J:$J,ROW()-8)="",TODAY(),INDEX(Transactions!$G:$G,ROW()-8))</f>
      </c>
      <c r="F5609">
        <f>IF(INDEX(Transactions!$J:$J,ROW()-8)="",0,INDEX(Transactions!$O:$O,ROW()-8))</f>
      </c>
    </row>
    <row r="5610" spans="1:7">
      <c r="B5610">
        <f>IF(INDEX(Transactions!$J:$J,ROW()-8)="",TODAY(),INDEX(Transactions!$G:$G,ROW()-8))</f>
      </c>
      <c r="F5610">
        <f>IF(INDEX(Transactions!$J:$J,ROW()-8)="",0,INDEX(Transactions!$O:$O,ROW()-8))</f>
      </c>
    </row>
    <row r="5611" spans="1:7">
      <c r="B5611">
        <f>IF(INDEX(Transactions!$J:$J,ROW()-8)="",TODAY(),INDEX(Transactions!$G:$G,ROW()-8))</f>
      </c>
      <c r="F5611">
        <f>IF(INDEX(Transactions!$J:$J,ROW()-8)="",0,INDEX(Transactions!$O:$O,ROW()-8))</f>
      </c>
    </row>
    <row r="5612" spans="1:7">
      <c r="B5612">
        <f>IF(INDEX(Transactions!$J:$J,ROW()-8)="",TODAY(),INDEX(Transactions!$G:$G,ROW()-8))</f>
      </c>
      <c r="F5612">
        <f>IF(INDEX(Transactions!$J:$J,ROW()-8)="",0,INDEX(Transactions!$O:$O,ROW()-8))</f>
      </c>
    </row>
    <row r="5613" spans="1:7">
      <c r="B5613">
        <f>IF(INDEX(Transactions!$J:$J,ROW()-8)="",TODAY(),INDEX(Transactions!$G:$G,ROW()-8))</f>
      </c>
      <c r="F5613">
        <f>IF(INDEX(Transactions!$J:$J,ROW()-8)="",0,INDEX(Transactions!$O:$O,ROW()-8))</f>
      </c>
    </row>
    <row r="5614" spans="1:7">
      <c r="B5614">
        <f>IF(INDEX(Transactions!$J:$J,ROW()-8)="",TODAY(),INDEX(Transactions!$G:$G,ROW()-8))</f>
      </c>
      <c r="F5614">
        <f>IF(INDEX(Transactions!$J:$J,ROW()-8)="",0,INDEX(Transactions!$O:$O,ROW()-8))</f>
      </c>
    </row>
    <row r="5615" spans="1:7">
      <c r="B5615">
        <f>IF(INDEX(Transactions!$J:$J,ROW()-8)="",TODAY(),INDEX(Transactions!$G:$G,ROW()-8))</f>
      </c>
      <c r="F5615">
        <f>IF(INDEX(Transactions!$J:$J,ROW()-8)="",0,INDEX(Transactions!$O:$O,ROW()-8))</f>
      </c>
    </row>
    <row r="5616" spans="1:7">
      <c r="B5616">
        <f>IF(INDEX(Transactions!$J:$J,ROW()-8)="",TODAY(),INDEX(Transactions!$G:$G,ROW()-8))</f>
      </c>
      <c r="F5616">
        <f>IF(INDEX(Transactions!$J:$J,ROW()-8)="",0,INDEX(Transactions!$O:$O,ROW()-8))</f>
      </c>
    </row>
    <row r="5617" spans="1:7">
      <c r="B5617">
        <f>IF(INDEX(Transactions!$J:$J,ROW()-8)="",TODAY(),INDEX(Transactions!$G:$G,ROW()-8))</f>
      </c>
      <c r="F5617">
        <f>IF(INDEX(Transactions!$J:$J,ROW()-8)="",0,INDEX(Transactions!$O:$O,ROW()-8))</f>
      </c>
    </row>
    <row r="5618" spans="1:7">
      <c r="B5618">
        <f>IF(INDEX(Transactions!$J:$J,ROW()-8)="",TODAY(),INDEX(Transactions!$G:$G,ROW()-8))</f>
      </c>
      <c r="F5618">
        <f>IF(INDEX(Transactions!$J:$J,ROW()-8)="",0,INDEX(Transactions!$O:$O,ROW()-8))</f>
      </c>
    </row>
    <row r="5619" spans="1:7">
      <c r="B5619">
        <f>IF(INDEX(Transactions!$J:$J,ROW()-8)="",TODAY(),INDEX(Transactions!$G:$G,ROW()-8))</f>
      </c>
      <c r="F5619">
        <f>IF(INDEX(Transactions!$J:$J,ROW()-8)="",0,INDEX(Transactions!$O:$O,ROW()-8))</f>
      </c>
    </row>
    <row r="5620" spans="1:7">
      <c r="B5620">
        <f>IF(INDEX(Transactions!$J:$J,ROW()-8)="",TODAY(),INDEX(Transactions!$G:$G,ROW()-8))</f>
      </c>
      <c r="F5620">
        <f>IF(INDEX(Transactions!$J:$J,ROW()-8)="",0,INDEX(Transactions!$O:$O,ROW()-8))</f>
      </c>
    </row>
    <row r="5621" spans="1:7">
      <c r="B5621">
        <f>IF(INDEX(Transactions!$J:$J,ROW()-8)="",TODAY(),INDEX(Transactions!$G:$G,ROW()-8))</f>
      </c>
      <c r="F5621">
        <f>IF(INDEX(Transactions!$J:$J,ROW()-8)="",0,INDEX(Transactions!$O:$O,ROW()-8))</f>
      </c>
    </row>
    <row r="5622" spans="1:7">
      <c r="B5622">
        <f>IF(INDEX(Transactions!$J:$J,ROW()-8)="",TODAY(),INDEX(Transactions!$G:$G,ROW()-8))</f>
      </c>
      <c r="F5622">
        <f>IF(INDEX(Transactions!$J:$J,ROW()-8)="",0,INDEX(Transactions!$O:$O,ROW()-8))</f>
      </c>
    </row>
    <row r="5623" spans="1:7">
      <c r="B5623">
        <f>IF(INDEX(Transactions!$J:$J,ROW()-8)="",TODAY(),INDEX(Transactions!$G:$G,ROW()-8))</f>
      </c>
      <c r="F5623">
        <f>IF(INDEX(Transactions!$J:$J,ROW()-8)="",0,INDEX(Transactions!$O:$O,ROW()-8))</f>
      </c>
    </row>
    <row r="5624" spans="1:7">
      <c r="B5624">
        <f>IF(INDEX(Transactions!$J:$J,ROW()-8)="",TODAY(),INDEX(Transactions!$G:$G,ROW()-8))</f>
      </c>
      <c r="F5624">
        <f>IF(INDEX(Transactions!$J:$J,ROW()-8)="",0,INDEX(Transactions!$O:$O,ROW()-8))</f>
      </c>
    </row>
    <row r="5625" spans="1:7">
      <c r="B5625">
        <f>IF(INDEX(Transactions!$J:$J,ROW()-8)="",TODAY(),INDEX(Transactions!$G:$G,ROW()-8))</f>
      </c>
      <c r="F5625">
        <f>IF(INDEX(Transactions!$J:$J,ROW()-8)="",0,INDEX(Transactions!$O:$O,ROW()-8))</f>
      </c>
    </row>
    <row r="5626" spans="1:7">
      <c r="B5626">
        <f>IF(INDEX(Transactions!$J:$J,ROW()-8)="",TODAY(),INDEX(Transactions!$G:$G,ROW()-8))</f>
      </c>
      <c r="F5626">
        <f>IF(INDEX(Transactions!$J:$J,ROW()-8)="",0,INDEX(Transactions!$O:$O,ROW()-8))</f>
      </c>
    </row>
    <row r="5627" spans="1:7">
      <c r="B5627">
        <f>IF(INDEX(Transactions!$J:$J,ROW()-8)="",TODAY(),INDEX(Transactions!$G:$G,ROW()-8))</f>
      </c>
      <c r="F5627">
        <f>IF(INDEX(Transactions!$J:$J,ROW()-8)="",0,INDEX(Transactions!$O:$O,ROW()-8))</f>
      </c>
    </row>
    <row r="5628" spans="1:7">
      <c r="B5628">
        <f>IF(INDEX(Transactions!$J:$J,ROW()-8)="",TODAY(),INDEX(Transactions!$G:$G,ROW()-8))</f>
      </c>
      <c r="F5628">
        <f>IF(INDEX(Transactions!$J:$J,ROW()-8)="",0,INDEX(Transactions!$O:$O,ROW()-8))</f>
      </c>
    </row>
    <row r="5629" spans="1:7">
      <c r="B5629">
        <f>IF(INDEX(Transactions!$J:$J,ROW()-8)="",TODAY(),INDEX(Transactions!$G:$G,ROW()-8))</f>
      </c>
      <c r="F5629">
        <f>IF(INDEX(Transactions!$J:$J,ROW()-8)="",0,INDEX(Transactions!$O:$O,ROW()-8))</f>
      </c>
    </row>
    <row r="5630" spans="1:7">
      <c r="B5630">
        <f>IF(INDEX(Transactions!$J:$J,ROW()-8)="",TODAY(),INDEX(Transactions!$G:$G,ROW()-8))</f>
      </c>
      <c r="F5630">
        <f>IF(INDEX(Transactions!$J:$J,ROW()-8)="",0,INDEX(Transactions!$O:$O,ROW()-8))</f>
      </c>
    </row>
    <row r="5631" spans="1:7">
      <c r="B5631">
        <f>IF(INDEX(Transactions!$J:$J,ROW()-8)="",TODAY(),INDEX(Transactions!$G:$G,ROW()-8))</f>
      </c>
      <c r="F5631">
        <f>IF(INDEX(Transactions!$J:$J,ROW()-8)="",0,INDEX(Transactions!$O:$O,ROW()-8))</f>
      </c>
    </row>
    <row r="5632" spans="1:7">
      <c r="B5632">
        <f>IF(INDEX(Transactions!$J:$J,ROW()-8)="",TODAY(),INDEX(Transactions!$G:$G,ROW()-8))</f>
      </c>
      <c r="F5632">
        <f>IF(INDEX(Transactions!$J:$J,ROW()-8)="",0,INDEX(Transactions!$O:$O,ROW()-8))</f>
      </c>
    </row>
    <row r="5633" spans="1:7">
      <c r="B5633">
        <f>IF(INDEX(Transactions!$J:$J,ROW()-8)="",TODAY(),INDEX(Transactions!$G:$G,ROW()-8))</f>
      </c>
      <c r="F5633">
        <f>IF(INDEX(Transactions!$J:$J,ROW()-8)="",0,INDEX(Transactions!$O:$O,ROW()-8))</f>
      </c>
    </row>
    <row r="5634" spans="1:7">
      <c r="B5634">
        <f>IF(INDEX(Transactions!$J:$J,ROW()-8)="",TODAY(),INDEX(Transactions!$G:$G,ROW()-8))</f>
      </c>
      <c r="F5634">
        <f>IF(INDEX(Transactions!$J:$J,ROW()-8)="",0,INDEX(Transactions!$O:$O,ROW()-8))</f>
      </c>
    </row>
    <row r="5635" spans="1:7">
      <c r="B5635">
        <f>IF(INDEX(Transactions!$J:$J,ROW()-8)="",TODAY(),INDEX(Transactions!$G:$G,ROW()-8))</f>
      </c>
      <c r="F5635">
        <f>IF(INDEX(Transactions!$J:$J,ROW()-8)="",0,INDEX(Transactions!$O:$O,ROW()-8))</f>
      </c>
    </row>
    <row r="5636" spans="1:7">
      <c r="B5636">
        <f>IF(INDEX(Transactions!$J:$J,ROW()-8)="",TODAY(),INDEX(Transactions!$G:$G,ROW()-8))</f>
      </c>
      <c r="F5636">
        <f>IF(INDEX(Transactions!$J:$J,ROW()-8)="",0,INDEX(Transactions!$O:$O,ROW()-8))</f>
      </c>
    </row>
    <row r="5637" spans="1:7">
      <c r="B5637">
        <f>IF(INDEX(Transactions!$J:$J,ROW()-8)="",TODAY(),INDEX(Transactions!$G:$G,ROW()-8))</f>
      </c>
      <c r="F5637">
        <f>IF(INDEX(Transactions!$J:$J,ROW()-8)="",0,INDEX(Transactions!$O:$O,ROW()-8))</f>
      </c>
    </row>
    <row r="5638" spans="1:7">
      <c r="B5638">
        <f>IF(INDEX(Transactions!$J:$J,ROW()-8)="",TODAY(),INDEX(Transactions!$G:$G,ROW()-8))</f>
      </c>
      <c r="F5638">
        <f>IF(INDEX(Transactions!$J:$J,ROW()-8)="",0,INDEX(Transactions!$O:$O,ROW()-8))</f>
      </c>
    </row>
    <row r="5639" spans="1:7">
      <c r="B5639">
        <f>IF(INDEX(Transactions!$J:$J,ROW()-8)="",TODAY(),INDEX(Transactions!$G:$G,ROW()-8))</f>
      </c>
      <c r="F5639">
        <f>IF(INDEX(Transactions!$J:$J,ROW()-8)="",0,INDEX(Transactions!$O:$O,ROW()-8))</f>
      </c>
    </row>
    <row r="5640" spans="1:7">
      <c r="B5640">
        <f>IF(INDEX(Transactions!$J:$J,ROW()-8)="",TODAY(),INDEX(Transactions!$G:$G,ROW()-8))</f>
      </c>
      <c r="F5640">
        <f>IF(INDEX(Transactions!$J:$J,ROW()-8)="",0,INDEX(Transactions!$O:$O,ROW()-8))</f>
      </c>
    </row>
    <row r="5641" spans="1:7">
      <c r="B5641">
        <f>IF(INDEX(Transactions!$J:$J,ROW()-8)="",TODAY(),INDEX(Transactions!$G:$G,ROW()-8))</f>
      </c>
      <c r="F5641">
        <f>IF(INDEX(Transactions!$J:$J,ROW()-8)="",0,INDEX(Transactions!$O:$O,ROW()-8))</f>
      </c>
    </row>
    <row r="5642" spans="1:7">
      <c r="B5642">
        <f>IF(INDEX(Transactions!$J:$J,ROW()-8)="",TODAY(),INDEX(Transactions!$G:$G,ROW()-8))</f>
      </c>
      <c r="F5642">
        <f>IF(INDEX(Transactions!$J:$J,ROW()-8)="",0,INDEX(Transactions!$O:$O,ROW()-8))</f>
      </c>
    </row>
    <row r="5643" spans="1:7">
      <c r="B5643">
        <f>IF(INDEX(Transactions!$J:$J,ROW()-8)="",TODAY(),INDEX(Transactions!$G:$G,ROW()-8))</f>
      </c>
      <c r="F5643">
        <f>IF(INDEX(Transactions!$J:$J,ROW()-8)="",0,INDEX(Transactions!$O:$O,ROW()-8))</f>
      </c>
    </row>
    <row r="5644" spans="1:7">
      <c r="B5644">
        <f>IF(INDEX(Transactions!$J:$J,ROW()-8)="",TODAY(),INDEX(Transactions!$G:$G,ROW()-8))</f>
      </c>
      <c r="F5644">
        <f>IF(INDEX(Transactions!$J:$J,ROW()-8)="",0,INDEX(Transactions!$O:$O,ROW()-8))</f>
      </c>
    </row>
    <row r="5645" spans="1:7">
      <c r="B5645">
        <f>IF(INDEX(Transactions!$J:$J,ROW()-8)="",TODAY(),INDEX(Transactions!$G:$G,ROW()-8))</f>
      </c>
      <c r="F5645">
        <f>IF(INDEX(Transactions!$J:$J,ROW()-8)="",0,INDEX(Transactions!$O:$O,ROW()-8))</f>
      </c>
    </row>
    <row r="5646" spans="1:7">
      <c r="B5646">
        <f>IF(INDEX(Transactions!$J:$J,ROW()-8)="",TODAY(),INDEX(Transactions!$G:$G,ROW()-8))</f>
      </c>
      <c r="F5646">
        <f>IF(INDEX(Transactions!$J:$J,ROW()-8)="",0,INDEX(Transactions!$O:$O,ROW()-8))</f>
      </c>
    </row>
    <row r="5647" spans="1:7">
      <c r="B5647">
        <f>IF(INDEX(Transactions!$J:$J,ROW()-8)="",TODAY(),INDEX(Transactions!$G:$G,ROW()-8))</f>
      </c>
      <c r="F5647">
        <f>IF(INDEX(Transactions!$J:$J,ROW()-8)="",0,INDEX(Transactions!$O:$O,ROW()-8))</f>
      </c>
    </row>
    <row r="5648" spans="1:7">
      <c r="B5648">
        <f>IF(INDEX(Transactions!$J:$J,ROW()-8)="",TODAY(),INDEX(Transactions!$G:$G,ROW()-8))</f>
      </c>
      <c r="F5648">
        <f>IF(INDEX(Transactions!$J:$J,ROW()-8)="",0,INDEX(Transactions!$O:$O,ROW()-8))</f>
      </c>
    </row>
    <row r="5649" spans="1:7">
      <c r="B5649">
        <f>IF(INDEX(Transactions!$J:$J,ROW()-8)="",TODAY(),INDEX(Transactions!$G:$G,ROW()-8))</f>
      </c>
      <c r="F5649">
        <f>IF(INDEX(Transactions!$J:$J,ROW()-8)="",0,INDEX(Transactions!$O:$O,ROW()-8))</f>
      </c>
    </row>
    <row r="5650" spans="1:7">
      <c r="B5650">
        <f>IF(INDEX(Transactions!$J:$J,ROW()-8)="",TODAY(),INDEX(Transactions!$G:$G,ROW()-8))</f>
      </c>
      <c r="F5650">
        <f>IF(INDEX(Transactions!$J:$J,ROW()-8)="",0,INDEX(Transactions!$O:$O,ROW()-8))</f>
      </c>
    </row>
    <row r="5651" spans="1:7">
      <c r="B5651">
        <f>IF(INDEX(Transactions!$J:$J,ROW()-8)="",TODAY(),INDEX(Transactions!$G:$G,ROW()-8))</f>
      </c>
      <c r="F5651">
        <f>IF(INDEX(Transactions!$J:$J,ROW()-8)="",0,INDEX(Transactions!$O:$O,ROW()-8))</f>
      </c>
    </row>
    <row r="5652" spans="1:7">
      <c r="B5652">
        <f>IF(INDEX(Transactions!$J:$J,ROW()-8)="",TODAY(),INDEX(Transactions!$G:$G,ROW()-8))</f>
      </c>
      <c r="F5652">
        <f>IF(INDEX(Transactions!$J:$J,ROW()-8)="",0,INDEX(Transactions!$O:$O,ROW()-8))</f>
      </c>
    </row>
    <row r="5653" spans="1:7">
      <c r="B5653">
        <f>IF(INDEX(Transactions!$J:$J,ROW()-8)="",TODAY(),INDEX(Transactions!$G:$G,ROW()-8))</f>
      </c>
      <c r="F5653">
        <f>IF(INDEX(Transactions!$J:$J,ROW()-8)="",0,INDEX(Transactions!$O:$O,ROW()-8))</f>
      </c>
    </row>
    <row r="5654" spans="1:7">
      <c r="B5654">
        <f>IF(INDEX(Transactions!$J:$J,ROW()-8)="",TODAY(),INDEX(Transactions!$G:$G,ROW()-8))</f>
      </c>
      <c r="F5654">
        <f>IF(INDEX(Transactions!$J:$J,ROW()-8)="",0,INDEX(Transactions!$O:$O,ROW()-8))</f>
      </c>
    </row>
    <row r="5655" spans="1:7">
      <c r="B5655">
        <f>IF(INDEX(Transactions!$J:$J,ROW()-8)="",TODAY(),INDEX(Transactions!$G:$G,ROW()-8))</f>
      </c>
      <c r="F5655">
        <f>IF(INDEX(Transactions!$J:$J,ROW()-8)="",0,INDEX(Transactions!$O:$O,ROW()-8))</f>
      </c>
    </row>
    <row r="5656" spans="1:7">
      <c r="B5656">
        <f>IF(INDEX(Transactions!$J:$J,ROW()-8)="",TODAY(),INDEX(Transactions!$G:$G,ROW()-8))</f>
      </c>
      <c r="F5656">
        <f>IF(INDEX(Transactions!$J:$J,ROW()-8)="",0,INDEX(Transactions!$O:$O,ROW()-8))</f>
      </c>
    </row>
    <row r="5657" spans="1:7">
      <c r="B5657">
        <f>IF(INDEX(Transactions!$J:$J,ROW()-8)="",TODAY(),INDEX(Transactions!$G:$G,ROW()-8))</f>
      </c>
      <c r="F5657">
        <f>IF(INDEX(Transactions!$J:$J,ROW()-8)="",0,INDEX(Transactions!$O:$O,ROW()-8))</f>
      </c>
    </row>
    <row r="5658" spans="1:7">
      <c r="B5658">
        <f>IF(INDEX(Transactions!$J:$J,ROW()-8)="",TODAY(),INDEX(Transactions!$G:$G,ROW()-8))</f>
      </c>
      <c r="F5658">
        <f>IF(INDEX(Transactions!$J:$J,ROW()-8)="",0,INDEX(Transactions!$O:$O,ROW()-8))</f>
      </c>
    </row>
    <row r="5659" spans="1:7">
      <c r="B5659">
        <f>IF(INDEX(Transactions!$J:$J,ROW()-8)="",TODAY(),INDEX(Transactions!$G:$G,ROW()-8))</f>
      </c>
      <c r="F5659">
        <f>IF(INDEX(Transactions!$J:$J,ROW()-8)="",0,INDEX(Transactions!$O:$O,ROW()-8))</f>
      </c>
    </row>
    <row r="5660" spans="1:7">
      <c r="B5660">
        <f>IF(INDEX(Transactions!$J:$J,ROW()-8)="",TODAY(),INDEX(Transactions!$G:$G,ROW()-8))</f>
      </c>
      <c r="F5660">
        <f>IF(INDEX(Transactions!$J:$J,ROW()-8)="",0,INDEX(Transactions!$O:$O,ROW()-8))</f>
      </c>
    </row>
    <row r="5661" spans="1:7">
      <c r="B5661">
        <f>IF(INDEX(Transactions!$J:$J,ROW()-8)="",TODAY(),INDEX(Transactions!$G:$G,ROW()-8))</f>
      </c>
      <c r="F5661">
        <f>IF(INDEX(Transactions!$J:$J,ROW()-8)="",0,INDEX(Transactions!$O:$O,ROW()-8))</f>
      </c>
    </row>
    <row r="5662" spans="1:7">
      <c r="B5662">
        <f>IF(INDEX(Transactions!$J:$J,ROW()-8)="",TODAY(),INDEX(Transactions!$G:$G,ROW()-8))</f>
      </c>
      <c r="F5662">
        <f>IF(INDEX(Transactions!$J:$J,ROW()-8)="",0,INDEX(Transactions!$O:$O,ROW()-8))</f>
      </c>
    </row>
    <row r="5663" spans="1:7">
      <c r="B5663">
        <f>IF(INDEX(Transactions!$J:$J,ROW()-8)="",TODAY(),INDEX(Transactions!$G:$G,ROW()-8))</f>
      </c>
      <c r="F5663">
        <f>IF(INDEX(Transactions!$J:$J,ROW()-8)="",0,INDEX(Transactions!$O:$O,ROW()-8))</f>
      </c>
    </row>
    <row r="5664" spans="1:7">
      <c r="B5664">
        <f>IF(INDEX(Transactions!$J:$J,ROW()-8)="",TODAY(),INDEX(Transactions!$G:$G,ROW()-8))</f>
      </c>
      <c r="F5664">
        <f>IF(INDEX(Transactions!$J:$J,ROW()-8)="",0,INDEX(Transactions!$O:$O,ROW()-8))</f>
      </c>
    </row>
    <row r="5665" spans="1:7">
      <c r="B5665">
        <f>IF(INDEX(Transactions!$J:$J,ROW()-8)="",TODAY(),INDEX(Transactions!$G:$G,ROW()-8))</f>
      </c>
      <c r="F5665">
        <f>IF(INDEX(Transactions!$J:$J,ROW()-8)="",0,INDEX(Transactions!$O:$O,ROW()-8))</f>
      </c>
    </row>
    <row r="5666" spans="1:7">
      <c r="B5666">
        <f>IF(INDEX(Transactions!$J:$J,ROW()-8)="",TODAY(),INDEX(Transactions!$G:$G,ROW()-8))</f>
      </c>
      <c r="F5666">
        <f>IF(INDEX(Transactions!$J:$J,ROW()-8)="",0,INDEX(Transactions!$O:$O,ROW()-8))</f>
      </c>
    </row>
    <row r="5667" spans="1:7">
      <c r="B5667">
        <f>IF(INDEX(Transactions!$J:$J,ROW()-8)="",TODAY(),INDEX(Transactions!$G:$G,ROW()-8))</f>
      </c>
      <c r="F5667">
        <f>IF(INDEX(Transactions!$J:$J,ROW()-8)="",0,INDEX(Transactions!$O:$O,ROW()-8))</f>
      </c>
    </row>
    <row r="5668" spans="1:7">
      <c r="B5668">
        <f>IF(INDEX(Transactions!$J:$J,ROW()-8)="",TODAY(),INDEX(Transactions!$G:$G,ROW()-8))</f>
      </c>
      <c r="F5668">
        <f>IF(INDEX(Transactions!$J:$J,ROW()-8)="",0,INDEX(Transactions!$O:$O,ROW()-8))</f>
      </c>
    </row>
    <row r="5669" spans="1:7">
      <c r="B5669">
        <f>IF(INDEX(Transactions!$J:$J,ROW()-8)="",TODAY(),INDEX(Transactions!$G:$G,ROW()-8))</f>
      </c>
      <c r="F5669">
        <f>IF(INDEX(Transactions!$J:$J,ROW()-8)="",0,INDEX(Transactions!$O:$O,ROW()-8))</f>
      </c>
    </row>
    <row r="5670" spans="1:7">
      <c r="B5670">
        <f>IF(INDEX(Transactions!$J:$J,ROW()-8)="",TODAY(),INDEX(Transactions!$G:$G,ROW()-8))</f>
      </c>
      <c r="F5670">
        <f>IF(INDEX(Transactions!$J:$J,ROW()-8)="",0,INDEX(Transactions!$O:$O,ROW()-8))</f>
      </c>
    </row>
    <row r="5671" spans="1:7">
      <c r="B5671">
        <f>IF(INDEX(Transactions!$J:$J,ROW()-8)="",TODAY(),INDEX(Transactions!$G:$G,ROW()-8))</f>
      </c>
      <c r="F5671">
        <f>IF(INDEX(Transactions!$J:$J,ROW()-8)="",0,INDEX(Transactions!$O:$O,ROW()-8))</f>
      </c>
    </row>
    <row r="5672" spans="1:7">
      <c r="B5672">
        <f>IF(INDEX(Transactions!$J:$J,ROW()-8)="",TODAY(),INDEX(Transactions!$G:$G,ROW()-8))</f>
      </c>
      <c r="F5672">
        <f>IF(INDEX(Transactions!$J:$J,ROW()-8)="",0,INDEX(Transactions!$O:$O,ROW()-8))</f>
      </c>
    </row>
    <row r="5673" spans="1:7">
      <c r="B5673">
        <f>IF(INDEX(Transactions!$J:$J,ROW()-8)="",TODAY(),INDEX(Transactions!$G:$G,ROW()-8))</f>
      </c>
      <c r="F5673">
        <f>IF(INDEX(Transactions!$J:$J,ROW()-8)="",0,INDEX(Transactions!$O:$O,ROW()-8))</f>
      </c>
    </row>
    <row r="5674" spans="1:7">
      <c r="B5674">
        <f>IF(INDEX(Transactions!$J:$J,ROW()-8)="",TODAY(),INDEX(Transactions!$G:$G,ROW()-8))</f>
      </c>
      <c r="F5674">
        <f>IF(INDEX(Transactions!$J:$J,ROW()-8)="",0,INDEX(Transactions!$O:$O,ROW()-8))</f>
      </c>
    </row>
    <row r="5675" spans="1:7">
      <c r="B5675">
        <f>IF(INDEX(Transactions!$J:$J,ROW()-8)="",TODAY(),INDEX(Transactions!$G:$G,ROW()-8))</f>
      </c>
      <c r="F5675">
        <f>IF(INDEX(Transactions!$J:$J,ROW()-8)="",0,INDEX(Transactions!$O:$O,ROW()-8))</f>
      </c>
    </row>
    <row r="5676" spans="1:7">
      <c r="B5676">
        <f>IF(INDEX(Transactions!$J:$J,ROW()-8)="",TODAY(),INDEX(Transactions!$G:$G,ROW()-8))</f>
      </c>
      <c r="F5676">
        <f>IF(INDEX(Transactions!$J:$J,ROW()-8)="",0,INDEX(Transactions!$O:$O,ROW()-8))</f>
      </c>
    </row>
    <row r="5677" spans="1:7">
      <c r="B5677">
        <f>IF(INDEX(Transactions!$J:$J,ROW()-8)="",TODAY(),INDEX(Transactions!$G:$G,ROW()-8))</f>
      </c>
      <c r="F5677">
        <f>IF(INDEX(Transactions!$J:$J,ROW()-8)="",0,INDEX(Transactions!$O:$O,ROW()-8))</f>
      </c>
    </row>
    <row r="5678" spans="1:7">
      <c r="B5678">
        <f>IF(INDEX(Transactions!$J:$J,ROW()-8)="",TODAY(),INDEX(Transactions!$G:$G,ROW()-8))</f>
      </c>
      <c r="F5678">
        <f>IF(INDEX(Transactions!$J:$J,ROW()-8)="",0,INDEX(Transactions!$O:$O,ROW()-8))</f>
      </c>
    </row>
    <row r="5679" spans="1:7">
      <c r="B5679">
        <f>IF(INDEX(Transactions!$J:$J,ROW()-8)="",TODAY(),INDEX(Transactions!$G:$G,ROW()-8))</f>
      </c>
      <c r="F5679">
        <f>IF(INDEX(Transactions!$J:$J,ROW()-8)="",0,INDEX(Transactions!$O:$O,ROW()-8))</f>
      </c>
    </row>
    <row r="5680" spans="1:7">
      <c r="B5680">
        <f>IF(INDEX(Transactions!$J:$J,ROW()-8)="",TODAY(),INDEX(Transactions!$G:$G,ROW()-8))</f>
      </c>
      <c r="F5680">
        <f>IF(INDEX(Transactions!$J:$J,ROW()-8)="",0,INDEX(Transactions!$O:$O,ROW()-8))</f>
      </c>
    </row>
    <row r="5681" spans="1:7">
      <c r="B5681">
        <f>IF(INDEX(Transactions!$J:$J,ROW()-8)="",TODAY(),INDEX(Transactions!$G:$G,ROW()-8))</f>
      </c>
      <c r="F5681">
        <f>IF(INDEX(Transactions!$J:$J,ROW()-8)="",0,INDEX(Transactions!$O:$O,ROW()-8))</f>
      </c>
    </row>
    <row r="5682" spans="1:7">
      <c r="B5682">
        <f>IF(INDEX(Transactions!$J:$J,ROW()-8)="",TODAY(),INDEX(Transactions!$G:$G,ROW()-8))</f>
      </c>
      <c r="F5682">
        <f>IF(INDEX(Transactions!$J:$J,ROW()-8)="",0,INDEX(Transactions!$O:$O,ROW()-8))</f>
      </c>
    </row>
    <row r="5683" spans="1:7">
      <c r="B5683">
        <f>IF(INDEX(Transactions!$J:$J,ROW()-8)="",TODAY(),INDEX(Transactions!$G:$G,ROW()-8))</f>
      </c>
      <c r="F5683">
        <f>IF(INDEX(Transactions!$J:$J,ROW()-8)="",0,INDEX(Transactions!$O:$O,ROW()-8))</f>
      </c>
    </row>
    <row r="5684" spans="1:7">
      <c r="B5684">
        <f>IF(INDEX(Transactions!$J:$J,ROW()-8)="",TODAY(),INDEX(Transactions!$G:$G,ROW()-8))</f>
      </c>
      <c r="F5684">
        <f>IF(INDEX(Transactions!$J:$J,ROW()-8)="",0,INDEX(Transactions!$O:$O,ROW()-8))</f>
      </c>
    </row>
    <row r="5685" spans="1:7">
      <c r="B5685">
        <f>IF(INDEX(Transactions!$J:$J,ROW()-8)="",TODAY(),INDEX(Transactions!$G:$G,ROW()-8))</f>
      </c>
      <c r="F5685">
        <f>IF(INDEX(Transactions!$J:$J,ROW()-8)="",0,INDEX(Transactions!$O:$O,ROW()-8))</f>
      </c>
    </row>
    <row r="5686" spans="1:7">
      <c r="B5686">
        <f>IF(INDEX(Transactions!$J:$J,ROW()-8)="",TODAY(),INDEX(Transactions!$G:$G,ROW()-8))</f>
      </c>
      <c r="F5686">
        <f>IF(INDEX(Transactions!$J:$J,ROW()-8)="",0,INDEX(Transactions!$O:$O,ROW()-8))</f>
      </c>
    </row>
    <row r="5687" spans="1:7">
      <c r="B5687">
        <f>IF(INDEX(Transactions!$J:$J,ROW()-8)="",TODAY(),INDEX(Transactions!$G:$G,ROW()-8))</f>
      </c>
      <c r="F5687">
        <f>IF(INDEX(Transactions!$J:$J,ROW()-8)="",0,INDEX(Transactions!$O:$O,ROW()-8))</f>
      </c>
    </row>
    <row r="5688" spans="1:7">
      <c r="B5688">
        <f>IF(INDEX(Transactions!$J:$J,ROW()-8)="",TODAY(),INDEX(Transactions!$G:$G,ROW()-8))</f>
      </c>
      <c r="F5688">
        <f>IF(INDEX(Transactions!$J:$J,ROW()-8)="",0,INDEX(Transactions!$O:$O,ROW()-8))</f>
      </c>
    </row>
    <row r="5689" spans="1:7">
      <c r="B5689">
        <f>IF(INDEX(Transactions!$J:$J,ROW()-8)="",TODAY(),INDEX(Transactions!$G:$G,ROW()-8))</f>
      </c>
      <c r="F5689">
        <f>IF(INDEX(Transactions!$J:$J,ROW()-8)="",0,INDEX(Transactions!$O:$O,ROW()-8))</f>
      </c>
    </row>
    <row r="5690" spans="1:7">
      <c r="B5690">
        <f>IF(INDEX(Transactions!$J:$J,ROW()-8)="",TODAY(),INDEX(Transactions!$G:$G,ROW()-8))</f>
      </c>
      <c r="F5690">
        <f>IF(INDEX(Transactions!$J:$J,ROW()-8)="",0,INDEX(Transactions!$O:$O,ROW()-8))</f>
      </c>
    </row>
    <row r="5691" spans="1:7">
      <c r="B5691">
        <f>IF(INDEX(Transactions!$J:$J,ROW()-8)="",TODAY(),INDEX(Transactions!$G:$G,ROW()-8))</f>
      </c>
      <c r="F5691">
        <f>IF(INDEX(Transactions!$J:$J,ROW()-8)="",0,INDEX(Transactions!$O:$O,ROW()-8))</f>
      </c>
    </row>
    <row r="5692" spans="1:7">
      <c r="B5692">
        <f>IF(INDEX(Transactions!$J:$J,ROW()-8)="",TODAY(),INDEX(Transactions!$G:$G,ROW()-8))</f>
      </c>
      <c r="F5692">
        <f>IF(INDEX(Transactions!$J:$J,ROW()-8)="",0,INDEX(Transactions!$O:$O,ROW()-8))</f>
      </c>
    </row>
    <row r="5693" spans="1:7">
      <c r="B5693">
        <f>IF(INDEX(Transactions!$J:$J,ROW()-8)="",TODAY(),INDEX(Transactions!$G:$G,ROW()-8))</f>
      </c>
      <c r="F5693">
        <f>IF(INDEX(Transactions!$J:$J,ROW()-8)="",0,INDEX(Transactions!$O:$O,ROW()-8))</f>
      </c>
    </row>
    <row r="5694" spans="1:7">
      <c r="B5694">
        <f>IF(INDEX(Transactions!$J:$J,ROW()-8)="",TODAY(),INDEX(Transactions!$G:$G,ROW()-8))</f>
      </c>
      <c r="F5694">
        <f>IF(INDEX(Transactions!$J:$J,ROW()-8)="",0,INDEX(Transactions!$O:$O,ROW()-8))</f>
      </c>
    </row>
    <row r="5695" spans="1:7">
      <c r="B5695">
        <f>IF(INDEX(Transactions!$J:$J,ROW()-8)="",TODAY(),INDEX(Transactions!$G:$G,ROW()-8))</f>
      </c>
      <c r="F5695">
        <f>IF(INDEX(Transactions!$J:$J,ROW()-8)="",0,INDEX(Transactions!$O:$O,ROW()-8))</f>
      </c>
    </row>
    <row r="5696" spans="1:7">
      <c r="B5696">
        <f>IF(INDEX(Transactions!$J:$J,ROW()-8)="",TODAY(),INDEX(Transactions!$G:$G,ROW()-8))</f>
      </c>
      <c r="F5696">
        <f>IF(INDEX(Transactions!$J:$J,ROW()-8)="",0,INDEX(Transactions!$O:$O,ROW()-8))</f>
      </c>
    </row>
    <row r="5697" spans="1:7">
      <c r="B5697">
        <f>IF(INDEX(Transactions!$J:$J,ROW()-8)="",TODAY(),INDEX(Transactions!$G:$G,ROW()-8))</f>
      </c>
      <c r="F5697">
        <f>IF(INDEX(Transactions!$J:$J,ROW()-8)="",0,INDEX(Transactions!$O:$O,ROW()-8))</f>
      </c>
    </row>
    <row r="5698" spans="1:7">
      <c r="B5698">
        <f>IF(INDEX(Transactions!$J:$J,ROW()-8)="",TODAY(),INDEX(Transactions!$G:$G,ROW()-8))</f>
      </c>
      <c r="F5698">
        <f>IF(INDEX(Transactions!$J:$J,ROW()-8)="",0,INDEX(Transactions!$O:$O,ROW()-8))</f>
      </c>
    </row>
    <row r="5699" spans="1:7">
      <c r="B5699">
        <f>IF(INDEX(Transactions!$J:$J,ROW()-8)="",TODAY(),INDEX(Transactions!$G:$G,ROW()-8))</f>
      </c>
      <c r="F5699">
        <f>IF(INDEX(Transactions!$J:$J,ROW()-8)="",0,INDEX(Transactions!$O:$O,ROW()-8))</f>
      </c>
    </row>
    <row r="5700" spans="1:7">
      <c r="B5700">
        <f>IF(INDEX(Transactions!$J:$J,ROW()-8)="",TODAY(),INDEX(Transactions!$G:$G,ROW()-8))</f>
      </c>
      <c r="F5700">
        <f>IF(INDEX(Transactions!$J:$J,ROW()-8)="",0,INDEX(Transactions!$O:$O,ROW()-8))</f>
      </c>
    </row>
    <row r="5701" spans="1:7">
      <c r="B5701">
        <f>IF(INDEX(Transactions!$J:$J,ROW()-8)="",TODAY(),INDEX(Transactions!$G:$G,ROW()-8))</f>
      </c>
      <c r="F5701">
        <f>IF(INDEX(Transactions!$J:$J,ROW()-8)="",0,INDEX(Transactions!$O:$O,ROW()-8))</f>
      </c>
    </row>
    <row r="5702" spans="1:7">
      <c r="B5702">
        <f>IF(INDEX(Transactions!$J:$J,ROW()-8)="",TODAY(),INDEX(Transactions!$G:$G,ROW()-8))</f>
      </c>
      <c r="F5702">
        <f>IF(INDEX(Transactions!$J:$J,ROW()-8)="",0,INDEX(Transactions!$O:$O,ROW()-8))</f>
      </c>
    </row>
    <row r="5703" spans="1:7">
      <c r="B5703">
        <f>IF(INDEX(Transactions!$J:$J,ROW()-8)="",TODAY(),INDEX(Transactions!$G:$G,ROW()-8))</f>
      </c>
      <c r="F5703">
        <f>IF(INDEX(Transactions!$J:$J,ROW()-8)="",0,INDEX(Transactions!$O:$O,ROW()-8))</f>
      </c>
    </row>
    <row r="5704" spans="1:7">
      <c r="B5704">
        <f>IF(INDEX(Transactions!$J:$J,ROW()-8)="",TODAY(),INDEX(Transactions!$G:$G,ROW()-8))</f>
      </c>
      <c r="F5704">
        <f>IF(INDEX(Transactions!$J:$J,ROW()-8)="",0,INDEX(Transactions!$O:$O,ROW()-8))</f>
      </c>
    </row>
    <row r="5705" spans="1:7">
      <c r="B5705">
        <f>IF(INDEX(Transactions!$J:$J,ROW()-8)="",TODAY(),INDEX(Transactions!$G:$G,ROW()-8))</f>
      </c>
      <c r="F5705">
        <f>IF(INDEX(Transactions!$J:$J,ROW()-8)="",0,INDEX(Transactions!$O:$O,ROW()-8))</f>
      </c>
    </row>
    <row r="5706" spans="1:7">
      <c r="B5706">
        <f>IF(INDEX(Transactions!$J:$J,ROW()-8)="",TODAY(),INDEX(Transactions!$G:$G,ROW()-8))</f>
      </c>
      <c r="F5706">
        <f>IF(INDEX(Transactions!$J:$J,ROW()-8)="",0,INDEX(Transactions!$O:$O,ROW()-8))</f>
      </c>
    </row>
    <row r="5707" spans="1:7">
      <c r="B5707">
        <f>IF(INDEX(Transactions!$J:$J,ROW()-8)="",TODAY(),INDEX(Transactions!$G:$G,ROW()-8))</f>
      </c>
      <c r="F5707">
        <f>IF(INDEX(Transactions!$J:$J,ROW()-8)="",0,INDEX(Transactions!$O:$O,ROW()-8))</f>
      </c>
    </row>
    <row r="5708" spans="1:7">
      <c r="B5708">
        <f>IF(INDEX(Transactions!$J:$J,ROW()-8)="",TODAY(),INDEX(Transactions!$G:$G,ROW()-8))</f>
      </c>
      <c r="F5708">
        <f>IF(INDEX(Transactions!$J:$J,ROW()-8)="",0,INDEX(Transactions!$O:$O,ROW()-8))</f>
      </c>
    </row>
    <row r="5709" spans="1:7">
      <c r="B5709">
        <f>IF(INDEX(Transactions!$J:$J,ROW()-8)="",TODAY(),INDEX(Transactions!$G:$G,ROW()-8))</f>
      </c>
      <c r="F5709">
        <f>IF(INDEX(Transactions!$J:$J,ROW()-8)="",0,INDEX(Transactions!$O:$O,ROW()-8))</f>
      </c>
    </row>
    <row r="5710" spans="1:7">
      <c r="B5710">
        <f>IF(INDEX(Transactions!$J:$J,ROW()-8)="",TODAY(),INDEX(Transactions!$G:$G,ROW()-8))</f>
      </c>
      <c r="F5710">
        <f>IF(INDEX(Transactions!$J:$J,ROW()-8)="",0,INDEX(Transactions!$O:$O,ROW()-8))</f>
      </c>
    </row>
    <row r="5711" spans="1:7">
      <c r="B5711">
        <f>IF(INDEX(Transactions!$J:$J,ROW()-8)="",TODAY(),INDEX(Transactions!$G:$G,ROW()-8))</f>
      </c>
      <c r="F5711">
        <f>IF(INDEX(Transactions!$J:$J,ROW()-8)="",0,INDEX(Transactions!$O:$O,ROW()-8))</f>
      </c>
    </row>
    <row r="5712" spans="1:7">
      <c r="B5712">
        <f>IF(INDEX(Transactions!$J:$J,ROW()-8)="",TODAY(),INDEX(Transactions!$G:$G,ROW()-8))</f>
      </c>
      <c r="F5712">
        <f>IF(INDEX(Transactions!$J:$J,ROW()-8)="",0,INDEX(Transactions!$O:$O,ROW()-8))</f>
      </c>
    </row>
    <row r="5713" spans="1:7">
      <c r="B5713">
        <f>IF(INDEX(Transactions!$J:$J,ROW()-8)="",TODAY(),INDEX(Transactions!$G:$G,ROW()-8))</f>
      </c>
      <c r="F5713">
        <f>IF(INDEX(Transactions!$J:$J,ROW()-8)="",0,INDEX(Transactions!$O:$O,ROW()-8))</f>
      </c>
    </row>
    <row r="5714" spans="1:7">
      <c r="B5714">
        <f>IF(INDEX(Transactions!$J:$J,ROW()-8)="",TODAY(),INDEX(Transactions!$G:$G,ROW()-8))</f>
      </c>
      <c r="F5714">
        <f>IF(INDEX(Transactions!$J:$J,ROW()-8)="",0,INDEX(Transactions!$O:$O,ROW()-8))</f>
      </c>
    </row>
    <row r="5715" spans="1:7">
      <c r="B5715">
        <f>IF(INDEX(Transactions!$J:$J,ROW()-8)="",TODAY(),INDEX(Transactions!$G:$G,ROW()-8))</f>
      </c>
      <c r="F5715">
        <f>IF(INDEX(Transactions!$J:$J,ROW()-8)="",0,INDEX(Transactions!$O:$O,ROW()-8))</f>
      </c>
    </row>
    <row r="5716" spans="1:7">
      <c r="B5716">
        <f>IF(INDEX(Transactions!$J:$J,ROW()-8)="",TODAY(),INDEX(Transactions!$G:$G,ROW()-8))</f>
      </c>
      <c r="F5716">
        <f>IF(INDEX(Transactions!$J:$J,ROW()-8)="",0,INDEX(Transactions!$O:$O,ROW()-8))</f>
      </c>
    </row>
    <row r="5717" spans="1:7">
      <c r="B5717">
        <f>IF(INDEX(Transactions!$J:$J,ROW()-8)="",TODAY(),INDEX(Transactions!$G:$G,ROW()-8))</f>
      </c>
      <c r="F5717">
        <f>IF(INDEX(Transactions!$J:$J,ROW()-8)="",0,INDEX(Transactions!$O:$O,ROW()-8))</f>
      </c>
    </row>
    <row r="5718" spans="1:7">
      <c r="B5718">
        <f>IF(INDEX(Transactions!$J:$J,ROW()-8)="",TODAY(),INDEX(Transactions!$G:$G,ROW()-8))</f>
      </c>
      <c r="F5718">
        <f>IF(INDEX(Transactions!$J:$J,ROW()-8)="",0,INDEX(Transactions!$O:$O,ROW()-8))</f>
      </c>
    </row>
    <row r="5719" spans="1:7">
      <c r="B5719">
        <f>IF(INDEX(Transactions!$J:$J,ROW()-8)="",TODAY(),INDEX(Transactions!$G:$G,ROW()-8))</f>
      </c>
      <c r="F5719">
        <f>IF(INDEX(Transactions!$J:$J,ROW()-8)="",0,INDEX(Transactions!$O:$O,ROW()-8))</f>
      </c>
    </row>
    <row r="5720" spans="1:7">
      <c r="B5720">
        <f>IF(INDEX(Transactions!$J:$J,ROW()-8)="",TODAY(),INDEX(Transactions!$G:$G,ROW()-8))</f>
      </c>
      <c r="F5720">
        <f>IF(INDEX(Transactions!$J:$J,ROW()-8)="",0,INDEX(Transactions!$O:$O,ROW()-8))</f>
      </c>
    </row>
    <row r="5721" spans="1:7">
      <c r="B5721">
        <f>IF(INDEX(Transactions!$J:$J,ROW()-8)="",TODAY(),INDEX(Transactions!$G:$G,ROW()-8))</f>
      </c>
      <c r="F5721">
        <f>IF(INDEX(Transactions!$J:$J,ROW()-8)="",0,INDEX(Transactions!$O:$O,ROW()-8))</f>
      </c>
    </row>
    <row r="5722" spans="1:7">
      <c r="B5722">
        <f>IF(INDEX(Transactions!$J:$J,ROW()-8)="",TODAY(),INDEX(Transactions!$G:$G,ROW()-8))</f>
      </c>
      <c r="F5722">
        <f>IF(INDEX(Transactions!$J:$J,ROW()-8)="",0,INDEX(Transactions!$O:$O,ROW()-8))</f>
      </c>
    </row>
    <row r="5723" spans="1:7">
      <c r="B5723">
        <f>IF(INDEX(Transactions!$J:$J,ROW()-8)="",TODAY(),INDEX(Transactions!$G:$G,ROW()-8))</f>
      </c>
      <c r="F5723">
        <f>IF(INDEX(Transactions!$J:$J,ROW()-8)="",0,INDEX(Transactions!$O:$O,ROW()-8))</f>
      </c>
    </row>
    <row r="5724" spans="1:7">
      <c r="B5724">
        <f>IF(INDEX(Transactions!$J:$J,ROW()-8)="",TODAY(),INDEX(Transactions!$G:$G,ROW()-8))</f>
      </c>
      <c r="F5724">
        <f>IF(INDEX(Transactions!$J:$J,ROW()-8)="",0,INDEX(Transactions!$O:$O,ROW()-8))</f>
      </c>
    </row>
    <row r="5725" spans="1:7">
      <c r="B5725">
        <f>IF(INDEX(Transactions!$J:$J,ROW()-8)="",TODAY(),INDEX(Transactions!$G:$G,ROW()-8))</f>
      </c>
      <c r="F5725">
        <f>IF(INDEX(Transactions!$J:$J,ROW()-8)="",0,INDEX(Transactions!$O:$O,ROW()-8))</f>
      </c>
    </row>
    <row r="5726" spans="1:7">
      <c r="B5726">
        <f>IF(INDEX(Transactions!$J:$J,ROW()-8)="",TODAY(),INDEX(Transactions!$G:$G,ROW()-8))</f>
      </c>
      <c r="F5726">
        <f>IF(INDEX(Transactions!$J:$J,ROW()-8)="",0,INDEX(Transactions!$O:$O,ROW()-8))</f>
      </c>
    </row>
    <row r="5727" spans="1:7">
      <c r="B5727">
        <f>IF(INDEX(Transactions!$J:$J,ROW()-8)="",TODAY(),INDEX(Transactions!$G:$G,ROW()-8))</f>
      </c>
      <c r="F5727">
        <f>IF(INDEX(Transactions!$J:$J,ROW()-8)="",0,INDEX(Transactions!$O:$O,ROW()-8))</f>
      </c>
    </row>
    <row r="5728" spans="1:7">
      <c r="B5728">
        <f>IF(INDEX(Transactions!$J:$J,ROW()-8)="",TODAY(),INDEX(Transactions!$G:$G,ROW()-8))</f>
      </c>
      <c r="F5728">
        <f>IF(INDEX(Transactions!$J:$J,ROW()-8)="",0,INDEX(Transactions!$O:$O,ROW()-8))</f>
      </c>
    </row>
    <row r="5729" spans="1:7">
      <c r="B5729">
        <f>IF(INDEX(Transactions!$J:$J,ROW()-8)="",TODAY(),INDEX(Transactions!$G:$G,ROW()-8))</f>
      </c>
      <c r="F5729">
        <f>IF(INDEX(Transactions!$J:$J,ROW()-8)="",0,INDEX(Transactions!$O:$O,ROW()-8))</f>
      </c>
    </row>
    <row r="5730" spans="1:7">
      <c r="B5730">
        <f>IF(INDEX(Transactions!$J:$J,ROW()-8)="",TODAY(),INDEX(Transactions!$G:$G,ROW()-8))</f>
      </c>
      <c r="F5730">
        <f>IF(INDEX(Transactions!$J:$J,ROW()-8)="",0,INDEX(Transactions!$O:$O,ROW()-8))</f>
      </c>
    </row>
    <row r="5731" spans="1:7">
      <c r="B5731">
        <f>IF(INDEX(Transactions!$J:$J,ROW()-8)="",TODAY(),INDEX(Transactions!$G:$G,ROW()-8))</f>
      </c>
      <c r="F5731">
        <f>IF(INDEX(Transactions!$J:$J,ROW()-8)="",0,INDEX(Transactions!$O:$O,ROW()-8))</f>
      </c>
    </row>
    <row r="5732" spans="1:7">
      <c r="B5732">
        <f>IF(INDEX(Transactions!$J:$J,ROW()-8)="",TODAY(),INDEX(Transactions!$G:$G,ROW()-8))</f>
      </c>
      <c r="F5732">
        <f>IF(INDEX(Transactions!$J:$J,ROW()-8)="",0,INDEX(Transactions!$O:$O,ROW()-8))</f>
      </c>
    </row>
    <row r="5733" spans="1:7">
      <c r="B5733">
        <f>IF(INDEX(Transactions!$J:$J,ROW()-8)="",TODAY(),INDEX(Transactions!$G:$G,ROW()-8))</f>
      </c>
      <c r="F5733">
        <f>IF(INDEX(Transactions!$J:$J,ROW()-8)="",0,INDEX(Transactions!$O:$O,ROW()-8))</f>
      </c>
    </row>
    <row r="5734" spans="1:7">
      <c r="B5734">
        <f>IF(INDEX(Transactions!$J:$J,ROW()-8)="",TODAY(),INDEX(Transactions!$G:$G,ROW()-8))</f>
      </c>
      <c r="F5734">
        <f>IF(INDEX(Transactions!$J:$J,ROW()-8)="",0,INDEX(Transactions!$O:$O,ROW()-8))</f>
      </c>
    </row>
    <row r="5735" spans="1:7">
      <c r="B5735">
        <f>IF(INDEX(Transactions!$J:$J,ROW()-8)="",TODAY(),INDEX(Transactions!$G:$G,ROW()-8))</f>
      </c>
      <c r="F5735">
        <f>IF(INDEX(Transactions!$J:$J,ROW()-8)="",0,INDEX(Transactions!$O:$O,ROW()-8))</f>
      </c>
    </row>
    <row r="5736" spans="1:7">
      <c r="B5736">
        <f>IF(INDEX(Transactions!$J:$J,ROW()-8)="",TODAY(),INDEX(Transactions!$G:$G,ROW()-8))</f>
      </c>
      <c r="F5736">
        <f>IF(INDEX(Transactions!$J:$J,ROW()-8)="",0,INDEX(Transactions!$O:$O,ROW()-8))</f>
      </c>
    </row>
    <row r="5737" spans="1:7">
      <c r="B5737">
        <f>IF(INDEX(Transactions!$J:$J,ROW()-8)="",TODAY(),INDEX(Transactions!$G:$G,ROW()-8))</f>
      </c>
      <c r="F5737">
        <f>IF(INDEX(Transactions!$J:$J,ROW()-8)="",0,INDEX(Transactions!$O:$O,ROW()-8))</f>
      </c>
    </row>
    <row r="5738" spans="1:7">
      <c r="B5738">
        <f>IF(INDEX(Transactions!$J:$J,ROW()-8)="",TODAY(),INDEX(Transactions!$G:$G,ROW()-8))</f>
      </c>
      <c r="F5738">
        <f>IF(INDEX(Transactions!$J:$J,ROW()-8)="",0,INDEX(Transactions!$O:$O,ROW()-8))</f>
      </c>
    </row>
    <row r="5739" spans="1:7">
      <c r="B5739">
        <f>IF(INDEX(Transactions!$J:$J,ROW()-8)="",TODAY(),INDEX(Transactions!$G:$G,ROW()-8))</f>
      </c>
      <c r="F5739">
        <f>IF(INDEX(Transactions!$J:$J,ROW()-8)="",0,INDEX(Transactions!$O:$O,ROW()-8))</f>
      </c>
    </row>
    <row r="5740" spans="1:7">
      <c r="B5740">
        <f>IF(INDEX(Transactions!$J:$J,ROW()-8)="",TODAY(),INDEX(Transactions!$G:$G,ROW()-8))</f>
      </c>
      <c r="F5740">
        <f>IF(INDEX(Transactions!$J:$J,ROW()-8)="",0,INDEX(Transactions!$O:$O,ROW()-8))</f>
      </c>
    </row>
    <row r="5741" spans="1:7">
      <c r="B5741">
        <f>IF(INDEX(Transactions!$J:$J,ROW()-8)="",TODAY(),INDEX(Transactions!$G:$G,ROW()-8))</f>
      </c>
      <c r="F5741">
        <f>IF(INDEX(Transactions!$J:$J,ROW()-8)="",0,INDEX(Transactions!$O:$O,ROW()-8))</f>
      </c>
    </row>
    <row r="5742" spans="1:7">
      <c r="B5742">
        <f>IF(INDEX(Transactions!$J:$J,ROW()-8)="",TODAY(),INDEX(Transactions!$G:$G,ROW()-8))</f>
      </c>
      <c r="F5742">
        <f>IF(INDEX(Transactions!$J:$J,ROW()-8)="",0,INDEX(Transactions!$O:$O,ROW()-8))</f>
      </c>
    </row>
    <row r="5743" spans="1:7">
      <c r="B5743">
        <f>IF(INDEX(Transactions!$J:$J,ROW()-8)="",TODAY(),INDEX(Transactions!$G:$G,ROW()-8))</f>
      </c>
      <c r="F5743">
        <f>IF(INDEX(Transactions!$J:$J,ROW()-8)="",0,INDEX(Transactions!$O:$O,ROW()-8))</f>
      </c>
    </row>
    <row r="5744" spans="1:7">
      <c r="B5744">
        <f>IF(INDEX(Transactions!$J:$J,ROW()-8)="",TODAY(),INDEX(Transactions!$G:$G,ROW()-8))</f>
      </c>
      <c r="F5744">
        <f>IF(INDEX(Transactions!$J:$J,ROW()-8)="",0,INDEX(Transactions!$O:$O,ROW()-8))</f>
      </c>
    </row>
    <row r="5745" spans="1:7">
      <c r="B5745">
        <f>IF(INDEX(Transactions!$J:$J,ROW()-8)="",TODAY(),INDEX(Transactions!$G:$G,ROW()-8))</f>
      </c>
      <c r="F5745">
        <f>IF(INDEX(Transactions!$J:$J,ROW()-8)="",0,INDEX(Transactions!$O:$O,ROW()-8))</f>
      </c>
    </row>
    <row r="5746" spans="1:7">
      <c r="B5746">
        <f>IF(INDEX(Transactions!$J:$J,ROW()-8)="",TODAY(),INDEX(Transactions!$G:$G,ROW()-8))</f>
      </c>
      <c r="F5746">
        <f>IF(INDEX(Transactions!$J:$J,ROW()-8)="",0,INDEX(Transactions!$O:$O,ROW()-8))</f>
      </c>
    </row>
    <row r="5747" spans="1:7">
      <c r="B5747">
        <f>IF(INDEX(Transactions!$J:$J,ROW()-8)="",TODAY(),INDEX(Transactions!$G:$G,ROW()-8))</f>
      </c>
      <c r="F5747">
        <f>IF(INDEX(Transactions!$J:$J,ROW()-8)="",0,INDEX(Transactions!$O:$O,ROW()-8))</f>
      </c>
    </row>
    <row r="5748" spans="1:7">
      <c r="B5748">
        <f>IF(INDEX(Transactions!$J:$J,ROW()-8)="",TODAY(),INDEX(Transactions!$G:$G,ROW()-8))</f>
      </c>
      <c r="F5748">
        <f>IF(INDEX(Transactions!$J:$J,ROW()-8)="",0,INDEX(Transactions!$O:$O,ROW()-8))</f>
      </c>
    </row>
    <row r="5749" spans="1:7">
      <c r="B5749">
        <f>IF(INDEX(Transactions!$J:$J,ROW()-8)="",TODAY(),INDEX(Transactions!$G:$G,ROW()-8))</f>
      </c>
      <c r="F5749">
        <f>IF(INDEX(Transactions!$J:$J,ROW()-8)="",0,INDEX(Transactions!$O:$O,ROW()-8))</f>
      </c>
    </row>
    <row r="5750" spans="1:7">
      <c r="B5750">
        <f>IF(INDEX(Transactions!$J:$J,ROW()-8)="",TODAY(),INDEX(Transactions!$G:$G,ROW()-8))</f>
      </c>
      <c r="F5750">
        <f>IF(INDEX(Transactions!$J:$J,ROW()-8)="",0,INDEX(Transactions!$O:$O,ROW()-8))</f>
      </c>
    </row>
    <row r="5751" spans="1:7">
      <c r="B5751">
        <f>IF(INDEX(Transactions!$J:$J,ROW()-8)="",TODAY(),INDEX(Transactions!$G:$G,ROW()-8))</f>
      </c>
      <c r="F5751">
        <f>IF(INDEX(Transactions!$J:$J,ROW()-8)="",0,INDEX(Transactions!$O:$O,ROW()-8))</f>
      </c>
    </row>
    <row r="5752" spans="1:7">
      <c r="B5752">
        <f>IF(INDEX(Transactions!$J:$J,ROW()-8)="",TODAY(),INDEX(Transactions!$G:$G,ROW()-8))</f>
      </c>
      <c r="F5752">
        <f>IF(INDEX(Transactions!$J:$J,ROW()-8)="",0,INDEX(Transactions!$O:$O,ROW()-8))</f>
      </c>
    </row>
    <row r="5753" spans="1:7">
      <c r="B5753">
        <f>IF(INDEX(Transactions!$J:$J,ROW()-8)="",TODAY(),INDEX(Transactions!$G:$G,ROW()-8))</f>
      </c>
      <c r="F5753">
        <f>IF(INDEX(Transactions!$J:$J,ROW()-8)="",0,INDEX(Transactions!$O:$O,ROW()-8))</f>
      </c>
    </row>
    <row r="5754" spans="1:7">
      <c r="B5754">
        <f>IF(INDEX(Transactions!$J:$J,ROW()-8)="",TODAY(),INDEX(Transactions!$G:$G,ROW()-8))</f>
      </c>
      <c r="F5754">
        <f>IF(INDEX(Transactions!$J:$J,ROW()-8)="",0,INDEX(Transactions!$O:$O,ROW()-8))</f>
      </c>
    </row>
    <row r="5755" spans="1:7">
      <c r="B5755">
        <f>IF(INDEX(Transactions!$J:$J,ROW()-8)="",TODAY(),INDEX(Transactions!$G:$G,ROW()-8))</f>
      </c>
      <c r="F5755">
        <f>IF(INDEX(Transactions!$J:$J,ROW()-8)="",0,INDEX(Transactions!$O:$O,ROW()-8))</f>
      </c>
    </row>
    <row r="5756" spans="1:7">
      <c r="B5756">
        <f>IF(INDEX(Transactions!$J:$J,ROW()-8)="",TODAY(),INDEX(Transactions!$G:$G,ROW()-8))</f>
      </c>
      <c r="F5756">
        <f>IF(INDEX(Transactions!$J:$J,ROW()-8)="",0,INDEX(Transactions!$O:$O,ROW()-8))</f>
      </c>
    </row>
    <row r="5757" spans="1:7">
      <c r="B5757">
        <f>IF(INDEX(Transactions!$J:$J,ROW()-8)="",TODAY(),INDEX(Transactions!$G:$G,ROW()-8))</f>
      </c>
      <c r="F5757">
        <f>IF(INDEX(Transactions!$J:$J,ROW()-8)="",0,INDEX(Transactions!$O:$O,ROW()-8))</f>
      </c>
    </row>
    <row r="5758" spans="1:7">
      <c r="B5758">
        <f>IF(INDEX(Transactions!$J:$J,ROW()-8)="",TODAY(),INDEX(Transactions!$G:$G,ROW()-8))</f>
      </c>
      <c r="F5758">
        <f>IF(INDEX(Transactions!$J:$J,ROW()-8)="",0,INDEX(Transactions!$O:$O,ROW()-8))</f>
      </c>
    </row>
    <row r="5759" spans="1:7">
      <c r="B5759">
        <f>IF(INDEX(Transactions!$J:$J,ROW()-8)="",TODAY(),INDEX(Transactions!$G:$G,ROW()-8))</f>
      </c>
      <c r="F5759">
        <f>IF(INDEX(Transactions!$J:$J,ROW()-8)="",0,INDEX(Transactions!$O:$O,ROW()-8))</f>
      </c>
    </row>
    <row r="5760" spans="1:7">
      <c r="B5760">
        <f>IF(INDEX(Transactions!$J:$J,ROW()-8)="",TODAY(),INDEX(Transactions!$G:$G,ROW()-8))</f>
      </c>
      <c r="F5760">
        <f>IF(INDEX(Transactions!$J:$J,ROW()-8)="",0,INDEX(Transactions!$O:$O,ROW()-8))</f>
      </c>
    </row>
    <row r="5761" spans="1:7">
      <c r="B5761">
        <f>IF(INDEX(Transactions!$J:$J,ROW()-8)="",TODAY(),INDEX(Transactions!$G:$G,ROW()-8))</f>
      </c>
      <c r="F5761">
        <f>IF(INDEX(Transactions!$J:$J,ROW()-8)="",0,INDEX(Transactions!$O:$O,ROW()-8))</f>
      </c>
    </row>
    <row r="5762" spans="1:7">
      <c r="B5762">
        <f>IF(INDEX(Transactions!$J:$J,ROW()-8)="",TODAY(),INDEX(Transactions!$G:$G,ROW()-8))</f>
      </c>
      <c r="F5762">
        <f>IF(INDEX(Transactions!$J:$J,ROW()-8)="",0,INDEX(Transactions!$O:$O,ROW()-8))</f>
      </c>
    </row>
    <row r="5763" spans="1:7">
      <c r="B5763">
        <f>IF(INDEX(Transactions!$J:$J,ROW()-8)="",TODAY(),INDEX(Transactions!$G:$G,ROW()-8))</f>
      </c>
      <c r="F5763">
        <f>IF(INDEX(Transactions!$J:$J,ROW()-8)="",0,INDEX(Transactions!$O:$O,ROW()-8))</f>
      </c>
    </row>
    <row r="5764" spans="1:7">
      <c r="B5764">
        <f>IF(INDEX(Transactions!$J:$J,ROW()-8)="",TODAY(),INDEX(Transactions!$G:$G,ROW()-8))</f>
      </c>
      <c r="F5764">
        <f>IF(INDEX(Transactions!$J:$J,ROW()-8)="",0,INDEX(Transactions!$O:$O,ROW()-8))</f>
      </c>
    </row>
    <row r="5765" spans="1:7">
      <c r="B5765">
        <f>IF(INDEX(Transactions!$J:$J,ROW()-8)="",TODAY(),INDEX(Transactions!$G:$G,ROW()-8))</f>
      </c>
      <c r="F5765">
        <f>IF(INDEX(Transactions!$J:$J,ROW()-8)="",0,INDEX(Transactions!$O:$O,ROW()-8))</f>
      </c>
    </row>
    <row r="5766" spans="1:7">
      <c r="B5766">
        <f>IF(INDEX(Transactions!$J:$J,ROW()-8)="",TODAY(),INDEX(Transactions!$G:$G,ROW()-8))</f>
      </c>
      <c r="F5766">
        <f>IF(INDEX(Transactions!$J:$J,ROW()-8)="",0,INDEX(Transactions!$O:$O,ROW()-8))</f>
      </c>
    </row>
    <row r="5767" spans="1:7">
      <c r="B5767">
        <f>IF(INDEX(Transactions!$J:$J,ROW()-8)="",TODAY(),INDEX(Transactions!$G:$G,ROW()-8))</f>
      </c>
      <c r="F5767">
        <f>IF(INDEX(Transactions!$J:$J,ROW()-8)="",0,INDEX(Transactions!$O:$O,ROW()-8))</f>
      </c>
    </row>
    <row r="5768" spans="1:7">
      <c r="B5768">
        <f>IF(INDEX(Transactions!$J:$J,ROW()-8)="",TODAY(),INDEX(Transactions!$G:$G,ROW()-8))</f>
      </c>
      <c r="F5768">
        <f>IF(INDEX(Transactions!$J:$J,ROW()-8)="",0,INDEX(Transactions!$O:$O,ROW()-8))</f>
      </c>
    </row>
    <row r="5769" spans="1:7">
      <c r="B5769">
        <f>IF(INDEX(Transactions!$J:$J,ROW()-8)="",TODAY(),INDEX(Transactions!$G:$G,ROW()-8))</f>
      </c>
      <c r="F5769">
        <f>IF(INDEX(Transactions!$J:$J,ROW()-8)="",0,INDEX(Transactions!$O:$O,ROW()-8))</f>
      </c>
    </row>
    <row r="5770" spans="1:7">
      <c r="B5770">
        <f>IF(INDEX(Transactions!$J:$J,ROW()-8)="",TODAY(),INDEX(Transactions!$G:$G,ROW()-8))</f>
      </c>
      <c r="F5770">
        <f>IF(INDEX(Transactions!$J:$J,ROW()-8)="",0,INDEX(Transactions!$O:$O,ROW()-8))</f>
      </c>
    </row>
    <row r="5771" spans="1:7">
      <c r="B5771">
        <f>IF(INDEX(Transactions!$J:$J,ROW()-8)="",TODAY(),INDEX(Transactions!$G:$G,ROW()-8))</f>
      </c>
      <c r="F5771">
        <f>IF(INDEX(Transactions!$J:$J,ROW()-8)="",0,INDEX(Transactions!$O:$O,ROW()-8))</f>
      </c>
    </row>
    <row r="5772" spans="1:7">
      <c r="B5772">
        <f>IF(INDEX(Transactions!$J:$J,ROW()-8)="",TODAY(),INDEX(Transactions!$G:$G,ROW()-8))</f>
      </c>
      <c r="F5772">
        <f>IF(INDEX(Transactions!$J:$J,ROW()-8)="",0,INDEX(Transactions!$O:$O,ROW()-8))</f>
      </c>
    </row>
    <row r="5773" spans="1:7">
      <c r="B5773">
        <f>IF(INDEX(Transactions!$J:$J,ROW()-8)="",TODAY(),INDEX(Transactions!$G:$G,ROW()-8))</f>
      </c>
      <c r="F5773">
        <f>IF(INDEX(Transactions!$J:$J,ROW()-8)="",0,INDEX(Transactions!$O:$O,ROW()-8))</f>
      </c>
    </row>
    <row r="5774" spans="1:7">
      <c r="B5774">
        <f>IF(INDEX(Transactions!$J:$J,ROW()-8)="",TODAY(),INDEX(Transactions!$G:$G,ROW()-8))</f>
      </c>
      <c r="F5774">
        <f>IF(INDEX(Transactions!$J:$J,ROW()-8)="",0,INDEX(Transactions!$O:$O,ROW()-8))</f>
      </c>
    </row>
    <row r="5775" spans="1:7">
      <c r="B5775">
        <f>IF(INDEX(Transactions!$J:$J,ROW()-8)="",TODAY(),INDEX(Transactions!$G:$G,ROW()-8))</f>
      </c>
      <c r="F5775">
        <f>IF(INDEX(Transactions!$J:$J,ROW()-8)="",0,INDEX(Transactions!$O:$O,ROW()-8))</f>
      </c>
    </row>
    <row r="5776" spans="1:7">
      <c r="B5776">
        <f>IF(INDEX(Transactions!$J:$J,ROW()-8)="",TODAY(),INDEX(Transactions!$G:$G,ROW()-8))</f>
      </c>
      <c r="F5776">
        <f>IF(INDEX(Transactions!$J:$J,ROW()-8)="",0,INDEX(Transactions!$O:$O,ROW()-8))</f>
      </c>
    </row>
    <row r="5777" spans="1:7">
      <c r="B5777">
        <f>IF(INDEX(Transactions!$J:$J,ROW()-8)="",TODAY(),INDEX(Transactions!$G:$G,ROW()-8))</f>
      </c>
      <c r="F5777">
        <f>IF(INDEX(Transactions!$J:$J,ROW()-8)="",0,INDEX(Transactions!$O:$O,ROW()-8))</f>
      </c>
    </row>
    <row r="5778" spans="1:7">
      <c r="B5778">
        <f>IF(INDEX(Transactions!$J:$J,ROW()-8)="",TODAY(),INDEX(Transactions!$G:$G,ROW()-8))</f>
      </c>
      <c r="F5778">
        <f>IF(INDEX(Transactions!$J:$J,ROW()-8)="",0,INDEX(Transactions!$O:$O,ROW()-8))</f>
      </c>
    </row>
    <row r="5779" spans="1:7">
      <c r="B5779">
        <f>IF(INDEX(Transactions!$J:$J,ROW()-8)="",TODAY(),INDEX(Transactions!$G:$G,ROW()-8))</f>
      </c>
      <c r="F5779">
        <f>IF(INDEX(Transactions!$J:$J,ROW()-8)="",0,INDEX(Transactions!$O:$O,ROW()-8))</f>
      </c>
    </row>
    <row r="5780" spans="1:7">
      <c r="B5780">
        <f>IF(INDEX(Transactions!$J:$J,ROW()-8)="",TODAY(),INDEX(Transactions!$G:$G,ROW()-8))</f>
      </c>
      <c r="F5780">
        <f>IF(INDEX(Transactions!$J:$J,ROW()-8)="",0,INDEX(Transactions!$O:$O,ROW()-8))</f>
      </c>
    </row>
    <row r="5781" spans="1:7">
      <c r="B5781">
        <f>IF(INDEX(Transactions!$J:$J,ROW()-8)="",TODAY(),INDEX(Transactions!$G:$G,ROW()-8))</f>
      </c>
      <c r="F5781">
        <f>IF(INDEX(Transactions!$J:$J,ROW()-8)="",0,INDEX(Transactions!$O:$O,ROW()-8))</f>
      </c>
    </row>
    <row r="5782" spans="1:7">
      <c r="B5782">
        <f>IF(INDEX(Transactions!$J:$J,ROW()-8)="",TODAY(),INDEX(Transactions!$G:$G,ROW()-8))</f>
      </c>
      <c r="F5782">
        <f>IF(INDEX(Transactions!$J:$J,ROW()-8)="",0,INDEX(Transactions!$O:$O,ROW()-8))</f>
      </c>
    </row>
    <row r="5783" spans="1:7">
      <c r="B5783">
        <f>IF(INDEX(Transactions!$J:$J,ROW()-8)="",TODAY(),INDEX(Transactions!$G:$G,ROW()-8))</f>
      </c>
      <c r="F5783">
        <f>IF(INDEX(Transactions!$J:$J,ROW()-8)="",0,INDEX(Transactions!$O:$O,ROW()-8))</f>
      </c>
    </row>
    <row r="5784" spans="1:7">
      <c r="B5784">
        <f>IF(INDEX(Transactions!$J:$J,ROW()-8)="",TODAY(),INDEX(Transactions!$G:$G,ROW()-8))</f>
      </c>
      <c r="F5784">
        <f>IF(INDEX(Transactions!$J:$J,ROW()-8)="",0,INDEX(Transactions!$O:$O,ROW()-8))</f>
      </c>
    </row>
    <row r="5785" spans="1:7">
      <c r="B5785">
        <f>IF(INDEX(Transactions!$J:$J,ROW()-8)="",TODAY(),INDEX(Transactions!$G:$G,ROW()-8))</f>
      </c>
      <c r="F5785">
        <f>IF(INDEX(Transactions!$J:$J,ROW()-8)="",0,INDEX(Transactions!$O:$O,ROW()-8))</f>
      </c>
    </row>
    <row r="5786" spans="1:7">
      <c r="B5786">
        <f>IF(INDEX(Transactions!$J:$J,ROW()-8)="",TODAY(),INDEX(Transactions!$G:$G,ROW()-8))</f>
      </c>
      <c r="F5786">
        <f>IF(INDEX(Transactions!$J:$J,ROW()-8)="",0,INDEX(Transactions!$O:$O,ROW()-8))</f>
      </c>
    </row>
    <row r="5787" spans="1:7">
      <c r="B5787">
        <f>IF(INDEX(Transactions!$J:$J,ROW()-8)="",TODAY(),INDEX(Transactions!$G:$G,ROW()-8))</f>
      </c>
      <c r="F5787">
        <f>IF(INDEX(Transactions!$J:$J,ROW()-8)="",0,INDEX(Transactions!$O:$O,ROW()-8))</f>
      </c>
    </row>
    <row r="5788" spans="1:7">
      <c r="B5788">
        <f>IF(INDEX(Transactions!$J:$J,ROW()-8)="",TODAY(),INDEX(Transactions!$G:$G,ROW()-8))</f>
      </c>
      <c r="F5788">
        <f>IF(INDEX(Transactions!$J:$J,ROW()-8)="",0,INDEX(Transactions!$O:$O,ROW()-8))</f>
      </c>
    </row>
    <row r="5789" spans="1:7">
      <c r="B5789">
        <f>IF(INDEX(Transactions!$J:$J,ROW()-8)="",TODAY(),INDEX(Transactions!$G:$G,ROW()-8))</f>
      </c>
      <c r="F5789">
        <f>IF(INDEX(Transactions!$J:$J,ROW()-8)="",0,INDEX(Transactions!$O:$O,ROW()-8))</f>
      </c>
    </row>
    <row r="5790" spans="1:7">
      <c r="B5790">
        <f>IF(INDEX(Transactions!$J:$J,ROW()-8)="",TODAY(),INDEX(Transactions!$G:$G,ROW()-8))</f>
      </c>
      <c r="F5790">
        <f>IF(INDEX(Transactions!$J:$J,ROW()-8)="",0,INDEX(Transactions!$O:$O,ROW()-8))</f>
      </c>
    </row>
    <row r="5791" spans="1:7">
      <c r="B5791">
        <f>IF(INDEX(Transactions!$J:$J,ROW()-8)="",TODAY(),INDEX(Transactions!$G:$G,ROW()-8))</f>
      </c>
      <c r="F5791">
        <f>IF(INDEX(Transactions!$J:$J,ROW()-8)="",0,INDEX(Transactions!$O:$O,ROW()-8))</f>
      </c>
    </row>
    <row r="5792" spans="1:7">
      <c r="B5792">
        <f>IF(INDEX(Transactions!$J:$J,ROW()-8)="",TODAY(),INDEX(Transactions!$G:$G,ROW()-8))</f>
      </c>
      <c r="F5792">
        <f>IF(INDEX(Transactions!$J:$J,ROW()-8)="",0,INDEX(Transactions!$O:$O,ROW()-8))</f>
      </c>
    </row>
    <row r="5793" spans="1:7">
      <c r="B5793">
        <f>IF(INDEX(Transactions!$J:$J,ROW()-8)="",TODAY(),INDEX(Transactions!$G:$G,ROW()-8))</f>
      </c>
      <c r="F5793">
        <f>IF(INDEX(Transactions!$J:$J,ROW()-8)="",0,INDEX(Transactions!$O:$O,ROW()-8))</f>
      </c>
    </row>
    <row r="5794" spans="1:7">
      <c r="B5794">
        <f>IF(INDEX(Transactions!$J:$J,ROW()-8)="",TODAY(),INDEX(Transactions!$G:$G,ROW()-8))</f>
      </c>
      <c r="F5794">
        <f>IF(INDEX(Transactions!$J:$J,ROW()-8)="",0,INDEX(Transactions!$O:$O,ROW()-8))</f>
      </c>
    </row>
    <row r="5795" spans="1:7">
      <c r="B5795">
        <f>IF(INDEX(Transactions!$J:$J,ROW()-8)="",TODAY(),INDEX(Transactions!$G:$G,ROW()-8))</f>
      </c>
      <c r="F5795">
        <f>IF(INDEX(Transactions!$J:$J,ROW()-8)="",0,INDEX(Transactions!$O:$O,ROW()-8))</f>
      </c>
    </row>
    <row r="5796" spans="1:7">
      <c r="B5796">
        <f>IF(INDEX(Transactions!$J:$J,ROW()-8)="",TODAY(),INDEX(Transactions!$G:$G,ROW()-8))</f>
      </c>
      <c r="F5796">
        <f>IF(INDEX(Transactions!$J:$J,ROW()-8)="",0,INDEX(Transactions!$O:$O,ROW()-8))</f>
      </c>
    </row>
    <row r="5797" spans="1:7">
      <c r="B5797">
        <f>IF(INDEX(Transactions!$J:$J,ROW()-8)="",TODAY(),INDEX(Transactions!$G:$G,ROW()-8))</f>
      </c>
      <c r="F5797">
        <f>IF(INDEX(Transactions!$J:$J,ROW()-8)="",0,INDEX(Transactions!$O:$O,ROW()-8))</f>
      </c>
    </row>
    <row r="5798" spans="1:7">
      <c r="B5798">
        <f>IF(INDEX(Transactions!$J:$J,ROW()-8)="",TODAY(),INDEX(Transactions!$G:$G,ROW()-8))</f>
      </c>
      <c r="F5798">
        <f>IF(INDEX(Transactions!$J:$J,ROW()-8)="",0,INDEX(Transactions!$O:$O,ROW()-8))</f>
      </c>
    </row>
    <row r="5799" spans="1:7">
      <c r="B5799">
        <f>IF(INDEX(Transactions!$J:$J,ROW()-8)="",TODAY(),INDEX(Transactions!$G:$G,ROW()-8))</f>
      </c>
      <c r="F5799">
        <f>IF(INDEX(Transactions!$J:$J,ROW()-8)="",0,INDEX(Transactions!$O:$O,ROW()-8))</f>
      </c>
    </row>
    <row r="5800" spans="1:7">
      <c r="B5800">
        <f>IF(INDEX(Transactions!$J:$J,ROW()-8)="",TODAY(),INDEX(Transactions!$G:$G,ROW()-8))</f>
      </c>
      <c r="F5800">
        <f>IF(INDEX(Transactions!$J:$J,ROW()-8)="",0,INDEX(Transactions!$O:$O,ROW()-8))</f>
      </c>
    </row>
    <row r="5801" spans="1:7">
      <c r="B5801">
        <f>IF(INDEX(Transactions!$J:$J,ROW()-8)="",TODAY(),INDEX(Transactions!$G:$G,ROW()-8))</f>
      </c>
      <c r="F5801">
        <f>IF(INDEX(Transactions!$J:$J,ROW()-8)="",0,INDEX(Transactions!$O:$O,ROW()-8))</f>
      </c>
    </row>
    <row r="5802" spans="1:7">
      <c r="B5802">
        <f>IF(INDEX(Transactions!$J:$J,ROW()-8)="",TODAY(),INDEX(Transactions!$G:$G,ROW()-8))</f>
      </c>
      <c r="F5802">
        <f>IF(INDEX(Transactions!$J:$J,ROW()-8)="",0,INDEX(Transactions!$O:$O,ROW()-8))</f>
      </c>
    </row>
    <row r="5803" spans="1:7">
      <c r="B5803">
        <f>IF(INDEX(Transactions!$J:$J,ROW()-8)="",TODAY(),INDEX(Transactions!$G:$G,ROW()-8))</f>
      </c>
      <c r="F5803">
        <f>IF(INDEX(Transactions!$J:$J,ROW()-8)="",0,INDEX(Transactions!$O:$O,ROW()-8))</f>
      </c>
    </row>
    <row r="5804" spans="1:7">
      <c r="B5804">
        <f>IF(INDEX(Transactions!$J:$J,ROW()-8)="",TODAY(),INDEX(Transactions!$G:$G,ROW()-8))</f>
      </c>
      <c r="F5804">
        <f>IF(INDEX(Transactions!$J:$J,ROW()-8)="",0,INDEX(Transactions!$O:$O,ROW()-8))</f>
      </c>
    </row>
    <row r="5805" spans="1:7">
      <c r="B5805">
        <f>IF(INDEX(Transactions!$J:$J,ROW()-8)="",TODAY(),INDEX(Transactions!$G:$G,ROW()-8))</f>
      </c>
      <c r="F5805">
        <f>IF(INDEX(Transactions!$J:$J,ROW()-8)="",0,INDEX(Transactions!$O:$O,ROW()-8))</f>
      </c>
    </row>
    <row r="5806" spans="1:7">
      <c r="B5806">
        <f>IF(INDEX(Transactions!$J:$J,ROW()-8)="",TODAY(),INDEX(Transactions!$G:$G,ROW()-8))</f>
      </c>
      <c r="F5806">
        <f>IF(INDEX(Transactions!$J:$J,ROW()-8)="",0,INDEX(Transactions!$O:$O,ROW()-8))</f>
      </c>
    </row>
    <row r="5807" spans="1:7">
      <c r="B5807">
        <f>IF(INDEX(Transactions!$J:$J,ROW()-8)="",TODAY(),INDEX(Transactions!$G:$G,ROW()-8))</f>
      </c>
      <c r="F5807">
        <f>IF(INDEX(Transactions!$J:$J,ROW()-8)="",0,INDEX(Transactions!$O:$O,ROW()-8))</f>
      </c>
    </row>
    <row r="5808" spans="1:7">
      <c r="B5808">
        <f>IF(INDEX(Transactions!$J:$J,ROW()-8)="",TODAY(),INDEX(Transactions!$G:$G,ROW()-8))</f>
      </c>
      <c r="F5808">
        <f>IF(INDEX(Transactions!$J:$J,ROW()-8)="",0,INDEX(Transactions!$O:$O,ROW()-8))</f>
      </c>
    </row>
    <row r="5809" spans="1:7">
      <c r="B5809">
        <f>IF(INDEX(Transactions!$J:$J,ROW()-8)="",TODAY(),INDEX(Transactions!$G:$G,ROW()-8))</f>
      </c>
      <c r="F5809">
        <f>IF(INDEX(Transactions!$J:$J,ROW()-8)="",0,INDEX(Transactions!$O:$O,ROW()-8))</f>
      </c>
    </row>
    <row r="5810" spans="1:7">
      <c r="B5810">
        <f>IF(INDEX(Transactions!$J:$J,ROW()-8)="",TODAY(),INDEX(Transactions!$G:$G,ROW()-8))</f>
      </c>
      <c r="F5810">
        <f>IF(INDEX(Transactions!$J:$J,ROW()-8)="",0,INDEX(Transactions!$O:$O,ROW()-8))</f>
      </c>
    </row>
    <row r="5811" spans="1:7">
      <c r="B5811">
        <f>IF(INDEX(Transactions!$J:$J,ROW()-8)="",TODAY(),INDEX(Transactions!$G:$G,ROW()-8))</f>
      </c>
      <c r="F5811">
        <f>IF(INDEX(Transactions!$J:$J,ROW()-8)="",0,INDEX(Transactions!$O:$O,ROW()-8))</f>
      </c>
    </row>
    <row r="5812" spans="1:7">
      <c r="B5812">
        <f>IF(INDEX(Transactions!$J:$J,ROW()-8)="",TODAY(),INDEX(Transactions!$G:$G,ROW()-8))</f>
      </c>
      <c r="F5812">
        <f>IF(INDEX(Transactions!$J:$J,ROW()-8)="",0,INDEX(Transactions!$O:$O,ROW()-8))</f>
      </c>
    </row>
    <row r="5813" spans="1:7">
      <c r="B5813">
        <f>IF(INDEX(Transactions!$J:$J,ROW()-8)="",TODAY(),INDEX(Transactions!$G:$G,ROW()-8))</f>
      </c>
      <c r="F5813">
        <f>IF(INDEX(Transactions!$J:$J,ROW()-8)="",0,INDEX(Transactions!$O:$O,ROW()-8))</f>
      </c>
    </row>
    <row r="5814" spans="1:7">
      <c r="B5814">
        <f>IF(INDEX(Transactions!$J:$J,ROW()-8)="",TODAY(),INDEX(Transactions!$G:$G,ROW()-8))</f>
      </c>
      <c r="F5814">
        <f>IF(INDEX(Transactions!$J:$J,ROW()-8)="",0,INDEX(Transactions!$O:$O,ROW()-8))</f>
      </c>
    </row>
    <row r="5815" spans="1:7">
      <c r="B5815">
        <f>IF(INDEX(Transactions!$J:$J,ROW()-8)="",TODAY(),INDEX(Transactions!$G:$G,ROW()-8))</f>
      </c>
      <c r="F5815">
        <f>IF(INDEX(Transactions!$J:$J,ROW()-8)="",0,INDEX(Transactions!$O:$O,ROW()-8))</f>
      </c>
    </row>
    <row r="5816" spans="1:7">
      <c r="B5816">
        <f>IF(INDEX(Transactions!$J:$J,ROW()-8)="",TODAY(),INDEX(Transactions!$G:$G,ROW()-8))</f>
      </c>
      <c r="F5816">
        <f>IF(INDEX(Transactions!$J:$J,ROW()-8)="",0,INDEX(Transactions!$O:$O,ROW()-8))</f>
      </c>
    </row>
    <row r="5817" spans="1:7">
      <c r="B5817">
        <f>IF(INDEX(Transactions!$J:$J,ROW()-8)="",TODAY(),INDEX(Transactions!$G:$G,ROW()-8))</f>
      </c>
      <c r="F5817">
        <f>IF(INDEX(Transactions!$J:$J,ROW()-8)="",0,INDEX(Transactions!$O:$O,ROW()-8))</f>
      </c>
    </row>
    <row r="5818" spans="1:7">
      <c r="B5818">
        <f>IF(INDEX(Transactions!$J:$J,ROW()-8)="",TODAY(),INDEX(Transactions!$G:$G,ROW()-8))</f>
      </c>
      <c r="F5818">
        <f>IF(INDEX(Transactions!$J:$J,ROW()-8)="",0,INDEX(Transactions!$O:$O,ROW()-8))</f>
      </c>
    </row>
    <row r="5819" spans="1:7">
      <c r="B5819">
        <f>IF(INDEX(Transactions!$J:$J,ROW()-8)="",TODAY(),INDEX(Transactions!$G:$G,ROW()-8))</f>
      </c>
      <c r="F5819">
        <f>IF(INDEX(Transactions!$J:$J,ROW()-8)="",0,INDEX(Transactions!$O:$O,ROW()-8))</f>
      </c>
    </row>
    <row r="5820" spans="1:7">
      <c r="B5820">
        <f>IF(INDEX(Transactions!$J:$J,ROW()-8)="",TODAY(),INDEX(Transactions!$G:$G,ROW()-8))</f>
      </c>
      <c r="F5820">
        <f>IF(INDEX(Transactions!$J:$J,ROW()-8)="",0,INDEX(Transactions!$O:$O,ROW()-8))</f>
      </c>
    </row>
    <row r="5821" spans="1:7">
      <c r="B5821">
        <f>IF(INDEX(Transactions!$J:$J,ROW()-8)="",TODAY(),INDEX(Transactions!$G:$G,ROW()-8))</f>
      </c>
      <c r="F5821">
        <f>IF(INDEX(Transactions!$J:$J,ROW()-8)="",0,INDEX(Transactions!$O:$O,ROW()-8))</f>
      </c>
    </row>
    <row r="5822" spans="1:7">
      <c r="B5822">
        <f>IF(INDEX(Transactions!$J:$J,ROW()-8)="",TODAY(),INDEX(Transactions!$G:$G,ROW()-8))</f>
      </c>
      <c r="F5822">
        <f>IF(INDEX(Transactions!$J:$J,ROW()-8)="",0,INDEX(Transactions!$O:$O,ROW()-8))</f>
      </c>
    </row>
    <row r="5823" spans="1:7">
      <c r="B5823">
        <f>IF(INDEX(Transactions!$J:$J,ROW()-8)="",TODAY(),INDEX(Transactions!$G:$G,ROW()-8))</f>
      </c>
      <c r="F5823">
        <f>IF(INDEX(Transactions!$J:$J,ROW()-8)="",0,INDEX(Transactions!$O:$O,ROW()-8))</f>
      </c>
    </row>
    <row r="5824" spans="1:7">
      <c r="B5824">
        <f>IF(INDEX(Transactions!$J:$J,ROW()-8)="",TODAY(),INDEX(Transactions!$G:$G,ROW()-8))</f>
      </c>
      <c r="F5824">
        <f>IF(INDEX(Transactions!$J:$J,ROW()-8)="",0,INDEX(Transactions!$O:$O,ROW()-8))</f>
      </c>
    </row>
    <row r="5825" spans="1:7">
      <c r="B5825">
        <f>IF(INDEX(Transactions!$J:$J,ROW()-8)="",TODAY(),INDEX(Transactions!$G:$G,ROW()-8))</f>
      </c>
      <c r="F5825">
        <f>IF(INDEX(Transactions!$J:$J,ROW()-8)="",0,INDEX(Transactions!$O:$O,ROW()-8))</f>
      </c>
    </row>
    <row r="5826" spans="1:7">
      <c r="B5826">
        <f>IF(INDEX(Transactions!$J:$J,ROW()-8)="",TODAY(),INDEX(Transactions!$G:$G,ROW()-8))</f>
      </c>
      <c r="F5826">
        <f>IF(INDEX(Transactions!$J:$J,ROW()-8)="",0,INDEX(Transactions!$O:$O,ROW()-8))</f>
      </c>
    </row>
    <row r="5827" spans="1:7">
      <c r="B5827">
        <f>IF(INDEX(Transactions!$J:$J,ROW()-8)="",TODAY(),INDEX(Transactions!$G:$G,ROW()-8))</f>
      </c>
      <c r="F5827">
        <f>IF(INDEX(Transactions!$J:$J,ROW()-8)="",0,INDEX(Transactions!$O:$O,ROW()-8))</f>
      </c>
    </row>
    <row r="5828" spans="1:7">
      <c r="B5828">
        <f>IF(INDEX(Transactions!$J:$J,ROW()-8)="",TODAY(),INDEX(Transactions!$G:$G,ROW()-8))</f>
      </c>
      <c r="F5828">
        <f>IF(INDEX(Transactions!$J:$J,ROW()-8)="",0,INDEX(Transactions!$O:$O,ROW()-8))</f>
      </c>
    </row>
    <row r="5829" spans="1:7">
      <c r="B5829">
        <f>IF(INDEX(Transactions!$J:$J,ROW()-8)="",TODAY(),INDEX(Transactions!$G:$G,ROW()-8))</f>
      </c>
      <c r="F5829">
        <f>IF(INDEX(Transactions!$J:$J,ROW()-8)="",0,INDEX(Transactions!$O:$O,ROW()-8))</f>
      </c>
    </row>
    <row r="5830" spans="1:7">
      <c r="B5830">
        <f>IF(INDEX(Transactions!$J:$J,ROW()-8)="",TODAY(),INDEX(Transactions!$G:$G,ROW()-8))</f>
      </c>
      <c r="F5830">
        <f>IF(INDEX(Transactions!$J:$J,ROW()-8)="",0,INDEX(Transactions!$O:$O,ROW()-8))</f>
      </c>
    </row>
    <row r="5831" spans="1:7">
      <c r="B5831">
        <f>IF(INDEX(Transactions!$J:$J,ROW()-8)="",TODAY(),INDEX(Transactions!$G:$G,ROW()-8))</f>
      </c>
      <c r="F5831">
        <f>IF(INDEX(Transactions!$J:$J,ROW()-8)="",0,INDEX(Transactions!$O:$O,ROW()-8))</f>
      </c>
    </row>
    <row r="5832" spans="1:7">
      <c r="B5832">
        <f>IF(INDEX(Transactions!$J:$J,ROW()-8)="",TODAY(),INDEX(Transactions!$G:$G,ROW()-8))</f>
      </c>
      <c r="F5832">
        <f>IF(INDEX(Transactions!$J:$J,ROW()-8)="",0,INDEX(Transactions!$O:$O,ROW()-8))</f>
      </c>
    </row>
    <row r="5833" spans="1:7">
      <c r="B5833">
        <f>IF(INDEX(Transactions!$J:$J,ROW()-8)="",TODAY(),INDEX(Transactions!$G:$G,ROW()-8))</f>
      </c>
      <c r="F5833">
        <f>IF(INDEX(Transactions!$J:$J,ROW()-8)="",0,INDEX(Transactions!$O:$O,ROW()-8))</f>
      </c>
    </row>
    <row r="5834" spans="1:7">
      <c r="B5834">
        <f>IF(INDEX(Transactions!$J:$J,ROW()-8)="",TODAY(),INDEX(Transactions!$G:$G,ROW()-8))</f>
      </c>
      <c r="F5834">
        <f>IF(INDEX(Transactions!$J:$J,ROW()-8)="",0,INDEX(Transactions!$O:$O,ROW()-8))</f>
      </c>
    </row>
    <row r="5835" spans="1:7">
      <c r="B5835">
        <f>IF(INDEX(Transactions!$J:$J,ROW()-8)="",TODAY(),INDEX(Transactions!$G:$G,ROW()-8))</f>
      </c>
      <c r="F5835">
        <f>IF(INDEX(Transactions!$J:$J,ROW()-8)="",0,INDEX(Transactions!$O:$O,ROW()-8))</f>
      </c>
    </row>
    <row r="5836" spans="1:7">
      <c r="B5836">
        <f>IF(INDEX(Transactions!$J:$J,ROW()-8)="",TODAY(),INDEX(Transactions!$G:$G,ROW()-8))</f>
      </c>
      <c r="F5836">
        <f>IF(INDEX(Transactions!$J:$J,ROW()-8)="",0,INDEX(Transactions!$O:$O,ROW()-8))</f>
      </c>
    </row>
    <row r="5837" spans="1:7">
      <c r="B5837">
        <f>IF(INDEX(Transactions!$J:$J,ROW()-8)="",TODAY(),INDEX(Transactions!$G:$G,ROW()-8))</f>
      </c>
      <c r="F5837">
        <f>IF(INDEX(Transactions!$J:$J,ROW()-8)="",0,INDEX(Transactions!$O:$O,ROW()-8))</f>
      </c>
    </row>
    <row r="5838" spans="1:7">
      <c r="B5838">
        <f>IF(INDEX(Transactions!$J:$J,ROW()-8)="",TODAY(),INDEX(Transactions!$G:$G,ROW()-8))</f>
      </c>
      <c r="F5838">
        <f>IF(INDEX(Transactions!$J:$J,ROW()-8)="",0,INDEX(Transactions!$O:$O,ROW()-8))</f>
      </c>
    </row>
    <row r="5839" spans="1:7">
      <c r="B5839">
        <f>IF(INDEX(Transactions!$J:$J,ROW()-8)="",TODAY(),INDEX(Transactions!$G:$G,ROW()-8))</f>
      </c>
      <c r="F5839">
        <f>IF(INDEX(Transactions!$J:$J,ROW()-8)="",0,INDEX(Transactions!$O:$O,ROW()-8))</f>
      </c>
    </row>
    <row r="5840" spans="1:7">
      <c r="B5840">
        <f>IF(INDEX(Transactions!$J:$J,ROW()-8)="",TODAY(),INDEX(Transactions!$G:$G,ROW()-8))</f>
      </c>
      <c r="F5840">
        <f>IF(INDEX(Transactions!$J:$J,ROW()-8)="",0,INDEX(Transactions!$O:$O,ROW()-8))</f>
      </c>
    </row>
    <row r="5841" spans="1:7">
      <c r="B5841">
        <f>IF(INDEX(Transactions!$J:$J,ROW()-8)="",TODAY(),INDEX(Transactions!$G:$G,ROW()-8))</f>
      </c>
      <c r="F5841">
        <f>IF(INDEX(Transactions!$J:$J,ROW()-8)="",0,INDEX(Transactions!$O:$O,ROW()-8))</f>
      </c>
    </row>
    <row r="5842" spans="1:7">
      <c r="B5842">
        <f>IF(INDEX(Transactions!$J:$J,ROW()-8)="",TODAY(),INDEX(Transactions!$G:$G,ROW()-8))</f>
      </c>
      <c r="F5842">
        <f>IF(INDEX(Transactions!$J:$J,ROW()-8)="",0,INDEX(Transactions!$O:$O,ROW()-8))</f>
      </c>
    </row>
    <row r="5843" spans="1:7">
      <c r="B5843">
        <f>IF(INDEX(Transactions!$J:$J,ROW()-8)="",TODAY(),INDEX(Transactions!$G:$G,ROW()-8))</f>
      </c>
      <c r="F5843">
        <f>IF(INDEX(Transactions!$J:$J,ROW()-8)="",0,INDEX(Transactions!$O:$O,ROW()-8))</f>
      </c>
    </row>
    <row r="5844" spans="1:7">
      <c r="B5844">
        <f>IF(INDEX(Transactions!$J:$J,ROW()-8)="",TODAY(),INDEX(Transactions!$G:$G,ROW()-8))</f>
      </c>
      <c r="F5844">
        <f>IF(INDEX(Transactions!$J:$J,ROW()-8)="",0,INDEX(Transactions!$O:$O,ROW()-8))</f>
      </c>
    </row>
    <row r="5845" spans="1:7">
      <c r="B5845">
        <f>IF(INDEX(Transactions!$J:$J,ROW()-8)="",TODAY(),INDEX(Transactions!$G:$G,ROW()-8))</f>
      </c>
      <c r="F5845">
        <f>IF(INDEX(Transactions!$J:$J,ROW()-8)="",0,INDEX(Transactions!$O:$O,ROW()-8))</f>
      </c>
    </row>
    <row r="5846" spans="1:7">
      <c r="B5846">
        <f>IF(INDEX(Transactions!$J:$J,ROW()-8)="",TODAY(),INDEX(Transactions!$G:$G,ROW()-8))</f>
      </c>
      <c r="F5846">
        <f>IF(INDEX(Transactions!$J:$J,ROW()-8)="",0,INDEX(Transactions!$O:$O,ROW()-8))</f>
      </c>
    </row>
    <row r="5847" spans="1:7">
      <c r="B5847">
        <f>IF(INDEX(Transactions!$J:$J,ROW()-8)="",TODAY(),INDEX(Transactions!$G:$G,ROW()-8))</f>
      </c>
      <c r="F5847">
        <f>IF(INDEX(Transactions!$J:$J,ROW()-8)="",0,INDEX(Transactions!$O:$O,ROW()-8))</f>
      </c>
    </row>
    <row r="5848" spans="1:7">
      <c r="B5848">
        <f>IF(INDEX(Transactions!$J:$J,ROW()-8)="",TODAY(),INDEX(Transactions!$G:$G,ROW()-8))</f>
      </c>
      <c r="F5848">
        <f>IF(INDEX(Transactions!$J:$J,ROW()-8)="",0,INDEX(Transactions!$O:$O,ROW()-8))</f>
      </c>
    </row>
    <row r="5849" spans="1:7">
      <c r="B5849">
        <f>IF(INDEX(Transactions!$J:$J,ROW()-8)="",TODAY(),INDEX(Transactions!$G:$G,ROW()-8))</f>
      </c>
      <c r="F5849">
        <f>IF(INDEX(Transactions!$J:$J,ROW()-8)="",0,INDEX(Transactions!$O:$O,ROW()-8))</f>
      </c>
    </row>
    <row r="5850" spans="1:7">
      <c r="B5850">
        <f>IF(INDEX(Transactions!$J:$J,ROW()-8)="",TODAY(),INDEX(Transactions!$G:$G,ROW()-8))</f>
      </c>
      <c r="F5850">
        <f>IF(INDEX(Transactions!$J:$J,ROW()-8)="",0,INDEX(Transactions!$O:$O,ROW()-8))</f>
      </c>
    </row>
    <row r="5851" spans="1:7">
      <c r="B5851">
        <f>IF(INDEX(Transactions!$J:$J,ROW()-8)="",TODAY(),INDEX(Transactions!$G:$G,ROW()-8))</f>
      </c>
      <c r="F5851">
        <f>IF(INDEX(Transactions!$J:$J,ROW()-8)="",0,INDEX(Transactions!$O:$O,ROW()-8))</f>
      </c>
    </row>
    <row r="5852" spans="1:7">
      <c r="B5852">
        <f>IF(INDEX(Transactions!$J:$J,ROW()-8)="",TODAY(),INDEX(Transactions!$G:$G,ROW()-8))</f>
      </c>
      <c r="F5852">
        <f>IF(INDEX(Transactions!$J:$J,ROW()-8)="",0,INDEX(Transactions!$O:$O,ROW()-8))</f>
      </c>
    </row>
    <row r="5853" spans="1:7">
      <c r="B5853">
        <f>IF(INDEX(Transactions!$J:$J,ROW()-8)="",TODAY(),INDEX(Transactions!$G:$G,ROW()-8))</f>
      </c>
      <c r="F5853">
        <f>IF(INDEX(Transactions!$J:$J,ROW()-8)="",0,INDEX(Transactions!$O:$O,ROW()-8))</f>
      </c>
    </row>
    <row r="5854" spans="1:7">
      <c r="B5854">
        <f>IF(INDEX(Transactions!$J:$J,ROW()-8)="",TODAY(),INDEX(Transactions!$G:$G,ROW()-8))</f>
      </c>
      <c r="F5854">
        <f>IF(INDEX(Transactions!$J:$J,ROW()-8)="",0,INDEX(Transactions!$O:$O,ROW()-8))</f>
      </c>
    </row>
    <row r="5855" spans="1:7">
      <c r="B5855">
        <f>IF(INDEX(Transactions!$J:$J,ROW()-8)="",TODAY(),INDEX(Transactions!$G:$G,ROW()-8))</f>
      </c>
      <c r="F5855">
        <f>IF(INDEX(Transactions!$J:$J,ROW()-8)="",0,INDEX(Transactions!$O:$O,ROW()-8))</f>
      </c>
    </row>
    <row r="5856" spans="1:7">
      <c r="B5856">
        <f>IF(INDEX(Transactions!$J:$J,ROW()-8)="",TODAY(),INDEX(Transactions!$G:$G,ROW()-8))</f>
      </c>
      <c r="F5856">
        <f>IF(INDEX(Transactions!$J:$J,ROW()-8)="",0,INDEX(Transactions!$O:$O,ROW()-8))</f>
      </c>
    </row>
    <row r="5857" spans="1:7">
      <c r="B5857">
        <f>IF(INDEX(Transactions!$J:$J,ROW()-8)="",TODAY(),INDEX(Transactions!$G:$G,ROW()-8))</f>
      </c>
      <c r="F5857">
        <f>IF(INDEX(Transactions!$J:$J,ROW()-8)="",0,INDEX(Transactions!$O:$O,ROW()-8))</f>
      </c>
    </row>
    <row r="5858" spans="1:7">
      <c r="B5858">
        <f>IF(INDEX(Transactions!$J:$J,ROW()-8)="",TODAY(),INDEX(Transactions!$G:$G,ROW()-8))</f>
      </c>
      <c r="F5858">
        <f>IF(INDEX(Transactions!$J:$J,ROW()-8)="",0,INDEX(Transactions!$O:$O,ROW()-8))</f>
      </c>
    </row>
    <row r="5859" spans="1:7">
      <c r="B5859">
        <f>IF(INDEX(Transactions!$J:$J,ROW()-8)="",TODAY(),INDEX(Transactions!$G:$G,ROW()-8))</f>
      </c>
      <c r="F5859">
        <f>IF(INDEX(Transactions!$J:$J,ROW()-8)="",0,INDEX(Transactions!$O:$O,ROW()-8))</f>
      </c>
    </row>
    <row r="5860" spans="1:7">
      <c r="B5860">
        <f>IF(INDEX(Transactions!$J:$J,ROW()-8)="",TODAY(),INDEX(Transactions!$G:$G,ROW()-8))</f>
      </c>
      <c r="F5860">
        <f>IF(INDEX(Transactions!$J:$J,ROW()-8)="",0,INDEX(Transactions!$O:$O,ROW()-8))</f>
      </c>
    </row>
    <row r="5861" spans="1:7">
      <c r="B5861">
        <f>IF(INDEX(Transactions!$J:$J,ROW()-8)="",TODAY(),INDEX(Transactions!$G:$G,ROW()-8))</f>
      </c>
      <c r="F5861">
        <f>IF(INDEX(Transactions!$J:$J,ROW()-8)="",0,INDEX(Transactions!$O:$O,ROW()-8))</f>
      </c>
    </row>
    <row r="5862" spans="1:7">
      <c r="B5862">
        <f>IF(INDEX(Transactions!$J:$J,ROW()-8)="",TODAY(),INDEX(Transactions!$G:$G,ROW()-8))</f>
      </c>
      <c r="F5862">
        <f>IF(INDEX(Transactions!$J:$J,ROW()-8)="",0,INDEX(Transactions!$O:$O,ROW()-8))</f>
      </c>
    </row>
    <row r="5863" spans="1:7">
      <c r="B5863">
        <f>IF(INDEX(Transactions!$J:$J,ROW()-8)="",TODAY(),INDEX(Transactions!$G:$G,ROW()-8))</f>
      </c>
      <c r="F5863">
        <f>IF(INDEX(Transactions!$J:$J,ROW()-8)="",0,INDEX(Transactions!$O:$O,ROW()-8))</f>
      </c>
    </row>
    <row r="5864" spans="1:7">
      <c r="B5864">
        <f>IF(INDEX(Transactions!$J:$J,ROW()-8)="",TODAY(),INDEX(Transactions!$G:$G,ROW()-8))</f>
      </c>
      <c r="F5864">
        <f>IF(INDEX(Transactions!$J:$J,ROW()-8)="",0,INDEX(Transactions!$O:$O,ROW()-8))</f>
      </c>
    </row>
    <row r="5865" spans="1:7">
      <c r="B5865">
        <f>IF(INDEX(Transactions!$J:$J,ROW()-8)="",TODAY(),INDEX(Transactions!$G:$G,ROW()-8))</f>
      </c>
      <c r="F5865">
        <f>IF(INDEX(Transactions!$J:$J,ROW()-8)="",0,INDEX(Transactions!$O:$O,ROW()-8))</f>
      </c>
    </row>
    <row r="5866" spans="1:7">
      <c r="B5866">
        <f>IF(INDEX(Transactions!$J:$J,ROW()-8)="",TODAY(),INDEX(Transactions!$G:$G,ROW()-8))</f>
      </c>
      <c r="F5866">
        <f>IF(INDEX(Transactions!$J:$J,ROW()-8)="",0,INDEX(Transactions!$O:$O,ROW()-8))</f>
      </c>
    </row>
    <row r="5867" spans="1:7">
      <c r="B5867">
        <f>IF(INDEX(Transactions!$J:$J,ROW()-8)="",TODAY(),INDEX(Transactions!$G:$G,ROW()-8))</f>
      </c>
      <c r="F5867">
        <f>IF(INDEX(Transactions!$J:$J,ROW()-8)="",0,INDEX(Transactions!$O:$O,ROW()-8))</f>
      </c>
    </row>
    <row r="5868" spans="1:7">
      <c r="B5868">
        <f>IF(INDEX(Transactions!$J:$J,ROW()-8)="",TODAY(),INDEX(Transactions!$G:$G,ROW()-8))</f>
      </c>
      <c r="F5868">
        <f>IF(INDEX(Transactions!$J:$J,ROW()-8)="",0,INDEX(Transactions!$O:$O,ROW()-8))</f>
      </c>
    </row>
    <row r="5869" spans="1:7">
      <c r="B5869">
        <f>IF(INDEX(Transactions!$J:$J,ROW()-8)="",TODAY(),INDEX(Transactions!$G:$G,ROW()-8))</f>
      </c>
      <c r="F5869">
        <f>IF(INDEX(Transactions!$J:$J,ROW()-8)="",0,INDEX(Transactions!$O:$O,ROW()-8))</f>
      </c>
    </row>
    <row r="5870" spans="1:7">
      <c r="B5870">
        <f>IF(INDEX(Transactions!$J:$J,ROW()-8)="",TODAY(),INDEX(Transactions!$G:$G,ROW()-8))</f>
      </c>
      <c r="F5870">
        <f>IF(INDEX(Transactions!$J:$J,ROW()-8)="",0,INDEX(Transactions!$O:$O,ROW()-8))</f>
      </c>
    </row>
    <row r="5871" spans="1:7">
      <c r="B5871">
        <f>IF(INDEX(Transactions!$J:$J,ROW()-8)="",TODAY(),INDEX(Transactions!$G:$G,ROW()-8))</f>
      </c>
      <c r="F5871">
        <f>IF(INDEX(Transactions!$J:$J,ROW()-8)="",0,INDEX(Transactions!$O:$O,ROW()-8))</f>
      </c>
    </row>
    <row r="5872" spans="1:7">
      <c r="B5872">
        <f>IF(INDEX(Transactions!$J:$J,ROW()-8)="",TODAY(),INDEX(Transactions!$G:$G,ROW()-8))</f>
      </c>
      <c r="F5872">
        <f>IF(INDEX(Transactions!$J:$J,ROW()-8)="",0,INDEX(Transactions!$O:$O,ROW()-8))</f>
      </c>
    </row>
    <row r="5873" spans="1:7">
      <c r="B5873">
        <f>IF(INDEX(Transactions!$J:$J,ROW()-8)="",TODAY(),INDEX(Transactions!$G:$G,ROW()-8))</f>
      </c>
      <c r="F5873">
        <f>IF(INDEX(Transactions!$J:$J,ROW()-8)="",0,INDEX(Transactions!$O:$O,ROW()-8))</f>
      </c>
    </row>
    <row r="5874" spans="1:7">
      <c r="B5874">
        <f>IF(INDEX(Transactions!$J:$J,ROW()-8)="",TODAY(),INDEX(Transactions!$G:$G,ROW()-8))</f>
      </c>
      <c r="F5874">
        <f>IF(INDEX(Transactions!$J:$J,ROW()-8)="",0,INDEX(Transactions!$O:$O,ROW()-8))</f>
      </c>
    </row>
    <row r="5875" spans="1:7">
      <c r="B5875">
        <f>IF(INDEX(Transactions!$J:$J,ROW()-8)="",TODAY(),INDEX(Transactions!$G:$G,ROW()-8))</f>
      </c>
      <c r="F5875">
        <f>IF(INDEX(Transactions!$J:$J,ROW()-8)="",0,INDEX(Transactions!$O:$O,ROW()-8))</f>
      </c>
    </row>
    <row r="5876" spans="1:7">
      <c r="B5876">
        <f>IF(INDEX(Transactions!$J:$J,ROW()-8)="",TODAY(),INDEX(Transactions!$G:$G,ROW()-8))</f>
      </c>
      <c r="F5876">
        <f>IF(INDEX(Transactions!$J:$J,ROW()-8)="",0,INDEX(Transactions!$O:$O,ROW()-8))</f>
      </c>
    </row>
    <row r="5877" spans="1:7">
      <c r="B5877">
        <f>IF(INDEX(Transactions!$J:$J,ROW()-8)="",TODAY(),INDEX(Transactions!$G:$G,ROW()-8))</f>
      </c>
      <c r="F5877">
        <f>IF(INDEX(Transactions!$J:$J,ROW()-8)="",0,INDEX(Transactions!$O:$O,ROW()-8))</f>
      </c>
    </row>
    <row r="5878" spans="1:7">
      <c r="B5878">
        <f>IF(INDEX(Transactions!$J:$J,ROW()-8)="",TODAY(),INDEX(Transactions!$G:$G,ROW()-8))</f>
      </c>
      <c r="F5878">
        <f>IF(INDEX(Transactions!$J:$J,ROW()-8)="",0,INDEX(Transactions!$O:$O,ROW()-8))</f>
      </c>
    </row>
    <row r="5879" spans="1:7">
      <c r="B5879">
        <f>IF(INDEX(Transactions!$J:$J,ROW()-8)="",TODAY(),INDEX(Transactions!$G:$G,ROW()-8))</f>
      </c>
      <c r="F5879">
        <f>IF(INDEX(Transactions!$J:$J,ROW()-8)="",0,INDEX(Transactions!$O:$O,ROW()-8))</f>
      </c>
    </row>
    <row r="5880" spans="1:7">
      <c r="B5880">
        <f>IF(INDEX(Transactions!$J:$J,ROW()-8)="",TODAY(),INDEX(Transactions!$G:$G,ROW()-8))</f>
      </c>
      <c r="F5880">
        <f>IF(INDEX(Transactions!$J:$J,ROW()-8)="",0,INDEX(Transactions!$O:$O,ROW()-8))</f>
      </c>
    </row>
    <row r="5881" spans="1:7">
      <c r="B5881">
        <f>IF(INDEX(Transactions!$J:$J,ROW()-8)="",TODAY(),INDEX(Transactions!$G:$G,ROW()-8))</f>
      </c>
      <c r="F5881">
        <f>IF(INDEX(Transactions!$J:$J,ROW()-8)="",0,INDEX(Transactions!$O:$O,ROW()-8))</f>
      </c>
    </row>
    <row r="5882" spans="1:7">
      <c r="B5882">
        <f>IF(INDEX(Transactions!$J:$J,ROW()-8)="",TODAY(),INDEX(Transactions!$G:$G,ROW()-8))</f>
      </c>
      <c r="F5882">
        <f>IF(INDEX(Transactions!$J:$J,ROW()-8)="",0,INDEX(Transactions!$O:$O,ROW()-8))</f>
      </c>
    </row>
    <row r="5883" spans="1:7">
      <c r="B5883">
        <f>IF(INDEX(Transactions!$J:$J,ROW()-8)="",TODAY(),INDEX(Transactions!$G:$G,ROW()-8))</f>
      </c>
      <c r="F5883">
        <f>IF(INDEX(Transactions!$J:$J,ROW()-8)="",0,INDEX(Transactions!$O:$O,ROW()-8))</f>
      </c>
    </row>
    <row r="5884" spans="1:7">
      <c r="B5884">
        <f>IF(INDEX(Transactions!$J:$J,ROW()-8)="",TODAY(),INDEX(Transactions!$G:$G,ROW()-8))</f>
      </c>
      <c r="F5884">
        <f>IF(INDEX(Transactions!$J:$J,ROW()-8)="",0,INDEX(Transactions!$O:$O,ROW()-8))</f>
      </c>
    </row>
    <row r="5885" spans="1:7">
      <c r="B5885">
        <f>IF(INDEX(Transactions!$J:$J,ROW()-8)="",TODAY(),INDEX(Transactions!$G:$G,ROW()-8))</f>
      </c>
      <c r="F5885">
        <f>IF(INDEX(Transactions!$J:$J,ROW()-8)="",0,INDEX(Transactions!$O:$O,ROW()-8))</f>
      </c>
    </row>
    <row r="5886" spans="1:7">
      <c r="B5886">
        <f>IF(INDEX(Transactions!$J:$J,ROW()-8)="",TODAY(),INDEX(Transactions!$G:$G,ROW()-8))</f>
      </c>
      <c r="F5886">
        <f>IF(INDEX(Transactions!$J:$J,ROW()-8)="",0,INDEX(Transactions!$O:$O,ROW()-8))</f>
      </c>
    </row>
    <row r="5887" spans="1:7">
      <c r="B5887">
        <f>IF(INDEX(Transactions!$J:$J,ROW()-8)="",TODAY(),INDEX(Transactions!$G:$G,ROW()-8))</f>
      </c>
      <c r="F5887">
        <f>IF(INDEX(Transactions!$J:$J,ROW()-8)="",0,INDEX(Transactions!$O:$O,ROW()-8))</f>
      </c>
    </row>
    <row r="5888" spans="1:7">
      <c r="B5888">
        <f>IF(INDEX(Transactions!$J:$J,ROW()-8)="",TODAY(),INDEX(Transactions!$G:$G,ROW()-8))</f>
      </c>
      <c r="F5888">
        <f>IF(INDEX(Transactions!$J:$J,ROW()-8)="",0,INDEX(Transactions!$O:$O,ROW()-8))</f>
      </c>
    </row>
    <row r="5889" spans="1:7">
      <c r="B5889">
        <f>IF(INDEX(Transactions!$J:$J,ROW()-8)="",TODAY(),INDEX(Transactions!$G:$G,ROW()-8))</f>
      </c>
      <c r="F5889">
        <f>IF(INDEX(Transactions!$J:$J,ROW()-8)="",0,INDEX(Transactions!$O:$O,ROW()-8))</f>
      </c>
    </row>
    <row r="5890" spans="1:7">
      <c r="B5890">
        <f>IF(INDEX(Transactions!$J:$J,ROW()-8)="",TODAY(),INDEX(Transactions!$G:$G,ROW()-8))</f>
      </c>
      <c r="F5890">
        <f>IF(INDEX(Transactions!$J:$J,ROW()-8)="",0,INDEX(Transactions!$O:$O,ROW()-8))</f>
      </c>
    </row>
    <row r="5891" spans="1:7">
      <c r="B5891">
        <f>IF(INDEX(Transactions!$J:$J,ROW()-8)="",TODAY(),INDEX(Transactions!$G:$G,ROW()-8))</f>
      </c>
      <c r="F5891">
        <f>IF(INDEX(Transactions!$J:$J,ROW()-8)="",0,INDEX(Transactions!$O:$O,ROW()-8))</f>
      </c>
    </row>
    <row r="5892" spans="1:7">
      <c r="B5892">
        <f>IF(INDEX(Transactions!$J:$J,ROW()-8)="",TODAY(),INDEX(Transactions!$G:$G,ROW()-8))</f>
      </c>
      <c r="F5892">
        <f>IF(INDEX(Transactions!$J:$J,ROW()-8)="",0,INDEX(Transactions!$O:$O,ROW()-8))</f>
      </c>
    </row>
    <row r="5893" spans="1:7">
      <c r="B5893">
        <f>IF(INDEX(Transactions!$J:$J,ROW()-8)="",TODAY(),INDEX(Transactions!$G:$G,ROW()-8))</f>
      </c>
      <c r="F5893">
        <f>IF(INDEX(Transactions!$J:$J,ROW()-8)="",0,INDEX(Transactions!$O:$O,ROW()-8))</f>
      </c>
    </row>
    <row r="5894" spans="1:7">
      <c r="B5894">
        <f>IF(INDEX(Transactions!$J:$J,ROW()-8)="",TODAY(),INDEX(Transactions!$G:$G,ROW()-8))</f>
      </c>
      <c r="F5894">
        <f>IF(INDEX(Transactions!$J:$J,ROW()-8)="",0,INDEX(Transactions!$O:$O,ROW()-8))</f>
      </c>
    </row>
    <row r="5895" spans="1:7">
      <c r="B5895">
        <f>IF(INDEX(Transactions!$J:$J,ROW()-8)="",TODAY(),INDEX(Transactions!$G:$G,ROW()-8))</f>
      </c>
      <c r="F5895">
        <f>IF(INDEX(Transactions!$J:$J,ROW()-8)="",0,INDEX(Transactions!$O:$O,ROW()-8))</f>
      </c>
    </row>
    <row r="5896" spans="1:7">
      <c r="B5896">
        <f>IF(INDEX(Transactions!$J:$J,ROW()-8)="",TODAY(),INDEX(Transactions!$G:$G,ROW()-8))</f>
      </c>
      <c r="F5896">
        <f>IF(INDEX(Transactions!$J:$J,ROW()-8)="",0,INDEX(Transactions!$O:$O,ROW()-8))</f>
      </c>
    </row>
    <row r="5897" spans="1:7">
      <c r="B5897">
        <f>IF(INDEX(Transactions!$J:$J,ROW()-8)="",TODAY(),INDEX(Transactions!$G:$G,ROW()-8))</f>
      </c>
      <c r="F5897">
        <f>IF(INDEX(Transactions!$J:$J,ROW()-8)="",0,INDEX(Transactions!$O:$O,ROW()-8))</f>
      </c>
    </row>
    <row r="5898" spans="1:7">
      <c r="B5898">
        <f>IF(INDEX(Transactions!$J:$J,ROW()-8)="",TODAY(),INDEX(Transactions!$G:$G,ROW()-8))</f>
      </c>
      <c r="F5898">
        <f>IF(INDEX(Transactions!$J:$J,ROW()-8)="",0,INDEX(Transactions!$O:$O,ROW()-8))</f>
      </c>
    </row>
    <row r="5899" spans="1:7">
      <c r="B5899">
        <f>IF(INDEX(Transactions!$J:$J,ROW()-8)="",TODAY(),INDEX(Transactions!$G:$G,ROW()-8))</f>
      </c>
      <c r="F5899">
        <f>IF(INDEX(Transactions!$J:$J,ROW()-8)="",0,INDEX(Transactions!$O:$O,ROW()-8))</f>
      </c>
    </row>
    <row r="5900" spans="1:7">
      <c r="B5900">
        <f>IF(INDEX(Transactions!$J:$J,ROW()-8)="",TODAY(),INDEX(Transactions!$G:$G,ROW()-8))</f>
      </c>
      <c r="F5900">
        <f>IF(INDEX(Transactions!$J:$J,ROW()-8)="",0,INDEX(Transactions!$O:$O,ROW()-8))</f>
      </c>
    </row>
    <row r="5901" spans="1:7">
      <c r="B5901">
        <f>IF(INDEX(Transactions!$J:$J,ROW()-8)="",TODAY(),INDEX(Transactions!$G:$G,ROW()-8))</f>
      </c>
      <c r="F5901">
        <f>IF(INDEX(Transactions!$J:$J,ROW()-8)="",0,INDEX(Transactions!$O:$O,ROW()-8))</f>
      </c>
    </row>
    <row r="5902" spans="1:7">
      <c r="B5902">
        <f>IF(INDEX(Transactions!$J:$J,ROW()-8)="",TODAY(),INDEX(Transactions!$G:$G,ROW()-8))</f>
      </c>
      <c r="F5902">
        <f>IF(INDEX(Transactions!$J:$J,ROW()-8)="",0,INDEX(Transactions!$O:$O,ROW()-8))</f>
      </c>
    </row>
    <row r="5903" spans="1:7">
      <c r="B5903">
        <f>IF(INDEX(Transactions!$J:$J,ROW()-8)="",TODAY(),INDEX(Transactions!$G:$G,ROW()-8))</f>
      </c>
      <c r="F5903">
        <f>IF(INDEX(Transactions!$J:$J,ROW()-8)="",0,INDEX(Transactions!$O:$O,ROW()-8))</f>
      </c>
    </row>
    <row r="5904" spans="1:7">
      <c r="B5904">
        <f>IF(INDEX(Transactions!$J:$J,ROW()-8)="",TODAY(),INDEX(Transactions!$G:$G,ROW()-8))</f>
      </c>
      <c r="F5904">
        <f>IF(INDEX(Transactions!$J:$J,ROW()-8)="",0,INDEX(Transactions!$O:$O,ROW()-8))</f>
      </c>
    </row>
    <row r="5905" spans="1:7">
      <c r="B5905">
        <f>IF(INDEX(Transactions!$J:$J,ROW()-8)="",TODAY(),INDEX(Transactions!$G:$G,ROW()-8))</f>
      </c>
      <c r="F5905">
        <f>IF(INDEX(Transactions!$J:$J,ROW()-8)="",0,INDEX(Transactions!$O:$O,ROW()-8))</f>
      </c>
    </row>
    <row r="5906" spans="1:7">
      <c r="B5906">
        <f>IF(INDEX(Transactions!$J:$J,ROW()-8)="",TODAY(),INDEX(Transactions!$G:$G,ROW()-8))</f>
      </c>
      <c r="F5906">
        <f>IF(INDEX(Transactions!$J:$J,ROW()-8)="",0,INDEX(Transactions!$O:$O,ROW()-8))</f>
      </c>
    </row>
    <row r="5907" spans="1:7">
      <c r="B5907">
        <f>IF(INDEX(Transactions!$J:$J,ROW()-8)="",TODAY(),INDEX(Transactions!$G:$G,ROW()-8))</f>
      </c>
      <c r="F5907">
        <f>IF(INDEX(Transactions!$J:$J,ROW()-8)="",0,INDEX(Transactions!$O:$O,ROW()-8))</f>
      </c>
    </row>
    <row r="5908" spans="1:7">
      <c r="B5908">
        <f>IF(INDEX(Transactions!$J:$J,ROW()-8)="",TODAY(),INDEX(Transactions!$G:$G,ROW()-8))</f>
      </c>
      <c r="F5908">
        <f>IF(INDEX(Transactions!$J:$J,ROW()-8)="",0,INDEX(Transactions!$O:$O,ROW()-8))</f>
      </c>
    </row>
    <row r="5909" spans="1:7">
      <c r="B5909">
        <f>IF(INDEX(Transactions!$J:$J,ROW()-8)="",TODAY(),INDEX(Transactions!$G:$G,ROW()-8))</f>
      </c>
      <c r="F5909">
        <f>IF(INDEX(Transactions!$J:$J,ROW()-8)="",0,INDEX(Transactions!$O:$O,ROW()-8))</f>
      </c>
    </row>
    <row r="5910" spans="1:7">
      <c r="B5910">
        <f>IF(INDEX(Transactions!$J:$J,ROW()-8)="",TODAY(),INDEX(Transactions!$G:$G,ROW()-8))</f>
      </c>
      <c r="F5910">
        <f>IF(INDEX(Transactions!$J:$J,ROW()-8)="",0,INDEX(Transactions!$O:$O,ROW()-8))</f>
      </c>
    </row>
    <row r="5911" spans="1:7">
      <c r="B5911">
        <f>IF(INDEX(Transactions!$J:$J,ROW()-8)="",TODAY(),INDEX(Transactions!$G:$G,ROW()-8))</f>
      </c>
      <c r="F5911">
        <f>IF(INDEX(Transactions!$J:$J,ROW()-8)="",0,INDEX(Transactions!$O:$O,ROW()-8))</f>
      </c>
    </row>
    <row r="5912" spans="1:7">
      <c r="B5912">
        <f>IF(INDEX(Transactions!$J:$J,ROW()-8)="",TODAY(),INDEX(Transactions!$G:$G,ROW()-8))</f>
      </c>
      <c r="F5912">
        <f>IF(INDEX(Transactions!$J:$J,ROW()-8)="",0,INDEX(Transactions!$O:$O,ROW()-8))</f>
      </c>
    </row>
    <row r="5913" spans="1:7">
      <c r="B5913">
        <f>IF(INDEX(Transactions!$J:$J,ROW()-8)="",TODAY(),INDEX(Transactions!$G:$G,ROW()-8))</f>
      </c>
      <c r="F5913">
        <f>IF(INDEX(Transactions!$J:$J,ROW()-8)="",0,INDEX(Transactions!$O:$O,ROW()-8))</f>
      </c>
    </row>
    <row r="5914" spans="1:7">
      <c r="B5914">
        <f>IF(INDEX(Transactions!$J:$J,ROW()-8)="",TODAY(),INDEX(Transactions!$G:$G,ROW()-8))</f>
      </c>
      <c r="F5914">
        <f>IF(INDEX(Transactions!$J:$J,ROW()-8)="",0,INDEX(Transactions!$O:$O,ROW()-8))</f>
      </c>
    </row>
    <row r="5915" spans="1:7">
      <c r="B5915">
        <f>IF(INDEX(Transactions!$J:$J,ROW()-8)="",TODAY(),INDEX(Transactions!$G:$G,ROW()-8))</f>
      </c>
      <c r="F5915">
        <f>IF(INDEX(Transactions!$J:$J,ROW()-8)="",0,INDEX(Transactions!$O:$O,ROW()-8))</f>
      </c>
    </row>
    <row r="5916" spans="1:7">
      <c r="B5916">
        <f>IF(INDEX(Transactions!$J:$J,ROW()-8)="",TODAY(),INDEX(Transactions!$G:$G,ROW()-8))</f>
      </c>
      <c r="F5916">
        <f>IF(INDEX(Transactions!$J:$J,ROW()-8)="",0,INDEX(Transactions!$O:$O,ROW()-8))</f>
      </c>
    </row>
    <row r="5917" spans="1:7">
      <c r="B5917">
        <f>IF(INDEX(Transactions!$J:$J,ROW()-8)="",TODAY(),INDEX(Transactions!$G:$G,ROW()-8))</f>
      </c>
      <c r="F5917">
        <f>IF(INDEX(Transactions!$J:$J,ROW()-8)="",0,INDEX(Transactions!$O:$O,ROW()-8))</f>
      </c>
    </row>
    <row r="5918" spans="1:7">
      <c r="B5918">
        <f>IF(INDEX(Transactions!$J:$J,ROW()-8)="",TODAY(),INDEX(Transactions!$G:$G,ROW()-8))</f>
      </c>
      <c r="F5918">
        <f>IF(INDEX(Transactions!$J:$J,ROW()-8)="",0,INDEX(Transactions!$O:$O,ROW()-8))</f>
      </c>
    </row>
    <row r="5919" spans="1:7">
      <c r="B5919">
        <f>IF(INDEX(Transactions!$J:$J,ROW()-8)="",TODAY(),INDEX(Transactions!$G:$G,ROW()-8))</f>
      </c>
      <c r="F5919">
        <f>IF(INDEX(Transactions!$J:$J,ROW()-8)="",0,INDEX(Transactions!$O:$O,ROW()-8))</f>
      </c>
    </row>
    <row r="5920" spans="1:7">
      <c r="B5920">
        <f>IF(INDEX(Transactions!$J:$J,ROW()-8)="",TODAY(),INDEX(Transactions!$G:$G,ROW()-8))</f>
      </c>
      <c r="F5920">
        <f>IF(INDEX(Transactions!$J:$J,ROW()-8)="",0,INDEX(Transactions!$O:$O,ROW()-8))</f>
      </c>
    </row>
    <row r="5921" spans="1:7">
      <c r="B5921">
        <f>IF(INDEX(Transactions!$J:$J,ROW()-8)="",TODAY(),INDEX(Transactions!$G:$G,ROW()-8))</f>
      </c>
      <c r="F5921">
        <f>IF(INDEX(Transactions!$J:$J,ROW()-8)="",0,INDEX(Transactions!$O:$O,ROW()-8))</f>
      </c>
    </row>
    <row r="5922" spans="1:7">
      <c r="B5922">
        <f>IF(INDEX(Transactions!$J:$J,ROW()-8)="",TODAY(),INDEX(Transactions!$G:$G,ROW()-8))</f>
      </c>
      <c r="F5922">
        <f>IF(INDEX(Transactions!$J:$J,ROW()-8)="",0,INDEX(Transactions!$O:$O,ROW()-8))</f>
      </c>
    </row>
    <row r="5923" spans="1:7">
      <c r="B5923">
        <f>IF(INDEX(Transactions!$J:$J,ROW()-8)="",TODAY(),INDEX(Transactions!$G:$G,ROW()-8))</f>
      </c>
      <c r="F5923">
        <f>IF(INDEX(Transactions!$J:$J,ROW()-8)="",0,INDEX(Transactions!$O:$O,ROW()-8))</f>
      </c>
    </row>
    <row r="5924" spans="1:7">
      <c r="B5924">
        <f>IF(INDEX(Transactions!$J:$J,ROW()-8)="",TODAY(),INDEX(Transactions!$G:$G,ROW()-8))</f>
      </c>
      <c r="F5924">
        <f>IF(INDEX(Transactions!$J:$J,ROW()-8)="",0,INDEX(Transactions!$O:$O,ROW()-8))</f>
      </c>
    </row>
    <row r="5925" spans="1:7">
      <c r="B5925">
        <f>IF(INDEX(Transactions!$J:$J,ROW()-8)="",TODAY(),INDEX(Transactions!$G:$G,ROW()-8))</f>
      </c>
      <c r="F5925">
        <f>IF(INDEX(Transactions!$J:$J,ROW()-8)="",0,INDEX(Transactions!$O:$O,ROW()-8))</f>
      </c>
    </row>
    <row r="5926" spans="1:7">
      <c r="B5926">
        <f>IF(INDEX(Transactions!$J:$J,ROW()-8)="",TODAY(),INDEX(Transactions!$G:$G,ROW()-8))</f>
      </c>
      <c r="F5926">
        <f>IF(INDEX(Transactions!$J:$J,ROW()-8)="",0,INDEX(Transactions!$O:$O,ROW()-8))</f>
      </c>
    </row>
    <row r="5927" spans="1:7">
      <c r="B5927">
        <f>IF(INDEX(Transactions!$J:$J,ROW()-8)="",TODAY(),INDEX(Transactions!$G:$G,ROW()-8))</f>
      </c>
      <c r="F5927">
        <f>IF(INDEX(Transactions!$J:$J,ROW()-8)="",0,INDEX(Transactions!$O:$O,ROW()-8))</f>
      </c>
    </row>
    <row r="5928" spans="1:7">
      <c r="B5928">
        <f>IF(INDEX(Transactions!$J:$J,ROW()-8)="",TODAY(),INDEX(Transactions!$G:$G,ROW()-8))</f>
      </c>
      <c r="F5928">
        <f>IF(INDEX(Transactions!$J:$J,ROW()-8)="",0,INDEX(Transactions!$O:$O,ROW()-8))</f>
      </c>
    </row>
    <row r="5929" spans="1:7">
      <c r="B5929">
        <f>IF(INDEX(Transactions!$J:$J,ROW()-8)="",TODAY(),INDEX(Transactions!$G:$G,ROW()-8))</f>
      </c>
      <c r="F5929">
        <f>IF(INDEX(Transactions!$J:$J,ROW()-8)="",0,INDEX(Transactions!$O:$O,ROW()-8))</f>
      </c>
    </row>
    <row r="5930" spans="1:7">
      <c r="B5930">
        <f>IF(INDEX(Transactions!$J:$J,ROW()-8)="",TODAY(),INDEX(Transactions!$G:$G,ROW()-8))</f>
      </c>
      <c r="F5930">
        <f>IF(INDEX(Transactions!$J:$J,ROW()-8)="",0,INDEX(Transactions!$O:$O,ROW()-8))</f>
      </c>
    </row>
    <row r="5931" spans="1:7">
      <c r="B5931">
        <f>IF(INDEX(Transactions!$J:$J,ROW()-8)="",TODAY(),INDEX(Transactions!$G:$G,ROW()-8))</f>
      </c>
      <c r="F5931">
        <f>IF(INDEX(Transactions!$J:$J,ROW()-8)="",0,INDEX(Transactions!$O:$O,ROW()-8))</f>
      </c>
    </row>
    <row r="5932" spans="1:7">
      <c r="B5932">
        <f>IF(INDEX(Transactions!$J:$J,ROW()-8)="",TODAY(),INDEX(Transactions!$G:$G,ROW()-8))</f>
      </c>
      <c r="F5932">
        <f>IF(INDEX(Transactions!$J:$J,ROW()-8)="",0,INDEX(Transactions!$O:$O,ROW()-8))</f>
      </c>
    </row>
    <row r="5933" spans="1:7">
      <c r="B5933">
        <f>IF(INDEX(Transactions!$J:$J,ROW()-8)="",TODAY(),INDEX(Transactions!$G:$G,ROW()-8))</f>
      </c>
      <c r="F5933">
        <f>IF(INDEX(Transactions!$J:$J,ROW()-8)="",0,INDEX(Transactions!$O:$O,ROW()-8))</f>
      </c>
    </row>
    <row r="5934" spans="1:7">
      <c r="B5934">
        <f>IF(INDEX(Transactions!$J:$J,ROW()-8)="",TODAY(),INDEX(Transactions!$G:$G,ROW()-8))</f>
      </c>
      <c r="F5934">
        <f>IF(INDEX(Transactions!$J:$J,ROW()-8)="",0,INDEX(Transactions!$O:$O,ROW()-8))</f>
      </c>
    </row>
    <row r="5935" spans="1:7">
      <c r="B5935">
        <f>IF(INDEX(Transactions!$J:$J,ROW()-8)="",TODAY(),INDEX(Transactions!$G:$G,ROW()-8))</f>
      </c>
      <c r="F5935">
        <f>IF(INDEX(Transactions!$J:$J,ROW()-8)="",0,INDEX(Transactions!$O:$O,ROW()-8))</f>
      </c>
    </row>
    <row r="5936" spans="1:7">
      <c r="B5936">
        <f>IF(INDEX(Transactions!$J:$J,ROW()-8)="",TODAY(),INDEX(Transactions!$G:$G,ROW()-8))</f>
      </c>
      <c r="F5936">
        <f>IF(INDEX(Transactions!$J:$J,ROW()-8)="",0,INDEX(Transactions!$O:$O,ROW()-8))</f>
      </c>
    </row>
    <row r="5937" spans="1:7">
      <c r="B5937">
        <f>IF(INDEX(Transactions!$J:$J,ROW()-8)="",TODAY(),INDEX(Transactions!$G:$G,ROW()-8))</f>
      </c>
      <c r="F5937">
        <f>IF(INDEX(Transactions!$J:$J,ROW()-8)="",0,INDEX(Transactions!$O:$O,ROW()-8))</f>
      </c>
    </row>
    <row r="5938" spans="1:7">
      <c r="B5938">
        <f>IF(INDEX(Transactions!$J:$J,ROW()-8)="",TODAY(),INDEX(Transactions!$G:$G,ROW()-8))</f>
      </c>
      <c r="F5938">
        <f>IF(INDEX(Transactions!$J:$J,ROW()-8)="",0,INDEX(Transactions!$O:$O,ROW()-8))</f>
      </c>
    </row>
    <row r="5939" spans="1:7">
      <c r="B5939">
        <f>IF(INDEX(Transactions!$J:$J,ROW()-8)="",TODAY(),INDEX(Transactions!$G:$G,ROW()-8))</f>
      </c>
      <c r="F5939">
        <f>IF(INDEX(Transactions!$J:$J,ROW()-8)="",0,INDEX(Transactions!$O:$O,ROW()-8))</f>
      </c>
    </row>
    <row r="5940" spans="1:7">
      <c r="B5940">
        <f>IF(INDEX(Transactions!$J:$J,ROW()-8)="",TODAY(),INDEX(Transactions!$G:$G,ROW()-8))</f>
      </c>
      <c r="F5940">
        <f>IF(INDEX(Transactions!$J:$J,ROW()-8)="",0,INDEX(Transactions!$O:$O,ROW()-8))</f>
      </c>
    </row>
    <row r="5941" spans="1:7">
      <c r="B5941">
        <f>IF(INDEX(Transactions!$J:$J,ROW()-8)="",TODAY(),INDEX(Transactions!$G:$G,ROW()-8))</f>
      </c>
      <c r="F5941">
        <f>IF(INDEX(Transactions!$J:$J,ROW()-8)="",0,INDEX(Transactions!$O:$O,ROW()-8))</f>
      </c>
    </row>
    <row r="5942" spans="1:7">
      <c r="B5942">
        <f>IF(INDEX(Transactions!$J:$J,ROW()-8)="",TODAY(),INDEX(Transactions!$G:$G,ROW()-8))</f>
      </c>
      <c r="F5942">
        <f>IF(INDEX(Transactions!$J:$J,ROW()-8)="",0,INDEX(Transactions!$O:$O,ROW()-8))</f>
      </c>
    </row>
    <row r="5943" spans="1:7">
      <c r="B5943">
        <f>IF(INDEX(Transactions!$J:$J,ROW()-8)="",TODAY(),INDEX(Transactions!$G:$G,ROW()-8))</f>
      </c>
      <c r="F5943">
        <f>IF(INDEX(Transactions!$J:$J,ROW()-8)="",0,INDEX(Transactions!$O:$O,ROW()-8))</f>
      </c>
    </row>
    <row r="5944" spans="1:7">
      <c r="B5944">
        <f>IF(INDEX(Transactions!$J:$J,ROW()-8)="",TODAY(),INDEX(Transactions!$G:$G,ROW()-8))</f>
      </c>
      <c r="F5944">
        <f>IF(INDEX(Transactions!$J:$J,ROW()-8)="",0,INDEX(Transactions!$O:$O,ROW()-8))</f>
      </c>
    </row>
    <row r="5945" spans="1:7">
      <c r="B5945">
        <f>IF(INDEX(Transactions!$J:$J,ROW()-8)="",TODAY(),INDEX(Transactions!$G:$G,ROW()-8))</f>
      </c>
      <c r="F5945">
        <f>IF(INDEX(Transactions!$J:$J,ROW()-8)="",0,INDEX(Transactions!$O:$O,ROW()-8))</f>
      </c>
    </row>
    <row r="5946" spans="1:7">
      <c r="B5946">
        <f>IF(INDEX(Transactions!$J:$J,ROW()-8)="",TODAY(),INDEX(Transactions!$G:$G,ROW()-8))</f>
      </c>
      <c r="F5946">
        <f>IF(INDEX(Transactions!$J:$J,ROW()-8)="",0,INDEX(Transactions!$O:$O,ROW()-8))</f>
      </c>
    </row>
    <row r="5947" spans="1:7">
      <c r="B5947">
        <f>IF(INDEX(Transactions!$J:$J,ROW()-8)="",TODAY(),INDEX(Transactions!$G:$G,ROW()-8))</f>
      </c>
      <c r="F5947">
        <f>IF(INDEX(Transactions!$J:$J,ROW()-8)="",0,INDEX(Transactions!$O:$O,ROW()-8))</f>
      </c>
    </row>
    <row r="5948" spans="1:7">
      <c r="B5948">
        <f>IF(INDEX(Transactions!$J:$J,ROW()-8)="",TODAY(),INDEX(Transactions!$G:$G,ROW()-8))</f>
      </c>
      <c r="F5948">
        <f>IF(INDEX(Transactions!$J:$J,ROW()-8)="",0,INDEX(Transactions!$O:$O,ROW()-8))</f>
      </c>
    </row>
    <row r="5949" spans="1:7">
      <c r="B5949">
        <f>IF(INDEX(Transactions!$J:$J,ROW()-8)="",TODAY(),INDEX(Transactions!$G:$G,ROW()-8))</f>
      </c>
      <c r="F5949">
        <f>IF(INDEX(Transactions!$J:$J,ROW()-8)="",0,INDEX(Transactions!$O:$O,ROW()-8))</f>
      </c>
    </row>
    <row r="5950" spans="1:7">
      <c r="B5950">
        <f>IF(INDEX(Transactions!$J:$J,ROW()-8)="",TODAY(),INDEX(Transactions!$G:$G,ROW()-8))</f>
      </c>
      <c r="F5950">
        <f>IF(INDEX(Transactions!$J:$J,ROW()-8)="",0,INDEX(Transactions!$O:$O,ROW()-8))</f>
      </c>
    </row>
    <row r="5951" spans="1:7">
      <c r="B5951">
        <f>IF(INDEX(Transactions!$J:$J,ROW()-8)="",TODAY(),INDEX(Transactions!$G:$G,ROW()-8))</f>
      </c>
      <c r="F5951">
        <f>IF(INDEX(Transactions!$J:$J,ROW()-8)="",0,INDEX(Transactions!$O:$O,ROW()-8))</f>
      </c>
    </row>
    <row r="5952" spans="1:7">
      <c r="B5952">
        <f>IF(INDEX(Transactions!$J:$J,ROW()-8)="",TODAY(),INDEX(Transactions!$G:$G,ROW()-8))</f>
      </c>
      <c r="F5952">
        <f>IF(INDEX(Transactions!$J:$J,ROW()-8)="",0,INDEX(Transactions!$O:$O,ROW()-8))</f>
      </c>
    </row>
    <row r="5953" spans="1:7">
      <c r="B5953">
        <f>IF(INDEX(Transactions!$J:$J,ROW()-8)="",TODAY(),INDEX(Transactions!$G:$G,ROW()-8))</f>
      </c>
      <c r="F5953">
        <f>IF(INDEX(Transactions!$J:$J,ROW()-8)="",0,INDEX(Transactions!$O:$O,ROW()-8))</f>
      </c>
    </row>
    <row r="5954" spans="1:7">
      <c r="B5954">
        <f>IF(INDEX(Transactions!$J:$J,ROW()-8)="",TODAY(),INDEX(Transactions!$G:$G,ROW()-8))</f>
      </c>
      <c r="F5954">
        <f>IF(INDEX(Transactions!$J:$J,ROW()-8)="",0,INDEX(Transactions!$O:$O,ROW()-8))</f>
      </c>
    </row>
    <row r="5955" spans="1:7">
      <c r="B5955">
        <f>IF(INDEX(Transactions!$J:$J,ROW()-8)="",TODAY(),INDEX(Transactions!$G:$G,ROW()-8))</f>
      </c>
      <c r="F5955">
        <f>IF(INDEX(Transactions!$J:$J,ROW()-8)="",0,INDEX(Transactions!$O:$O,ROW()-8))</f>
      </c>
    </row>
    <row r="5956" spans="1:7">
      <c r="B5956">
        <f>IF(INDEX(Transactions!$J:$J,ROW()-8)="",TODAY(),INDEX(Transactions!$G:$G,ROW()-8))</f>
      </c>
      <c r="F5956">
        <f>IF(INDEX(Transactions!$J:$J,ROW()-8)="",0,INDEX(Transactions!$O:$O,ROW()-8))</f>
      </c>
    </row>
    <row r="5957" spans="1:7">
      <c r="B5957">
        <f>IF(INDEX(Transactions!$J:$J,ROW()-8)="",TODAY(),INDEX(Transactions!$G:$G,ROW()-8))</f>
      </c>
      <c r="F5957">
        <f>IF(INDEX(Transactions!$J:$J,ROW()-8)="",0,INDEX(Transactions!$O:$O,ROW()-8))</f>
      </c>
    </row>
    <row r="5958" spans="1:7">
      <c r="B5958">
        <f>IF(INDEX(Transactions!$J:$J,ROW()-8)="",TODAY(),INDEX(Transactions!$G:$G,ROW()-8))</f>
      </c>
      <c r="F5958">
        <f>IF(INDEX(Transactions!$J:$J,ROW()-8)="",0,INDEX(Transactions!$O:$O,ROW()-8))</f>
      </c>
    </row>
    <row r="5959" spans="1:7">
      <c r="B5959">
        <f>IF(INDEX(Transactions!$J:$J,ROW()-8)="",TODAY(),INDEX(Transactions!$G:$G,ROW()-8))</f>
      </c>
      <c r="F5959">
        <f>IF(INDEX(Transactions!$J:$J,ROW()-8)="",0,INDEX(Transactions!$O:$O,ROW()-8))</f>
      </c>
    </row>
    <row r="5960" spans="1:7">
      <c r="B5960">
        <f>IF(INDEX(Transactions!$J:$J,ROW()-8)="",TODAY(),INDEX(Transactions!$G:$G,ROW()-8))</f>
      </c>
      <c r="F5960">
        <f>IF(INDEX(Transactions!$J:$J,ROW()-8)="",0,INDEX(Transactions!$O:$O,ROW()-8))</f>
      </c>
    </row>
    <row r="5961" spans="1:7">
      <c r="B5961">
        <f>IF(INDEX(Transactions!$J:$J,ROW()-8)="",TODAY(),INDEX(Transactions!$G:$G,ROW()-8))</f>
      </c>
      <c r="F5961">
        <f>IF(INDEX(Transactions!$J:$J,ROW()-8)="",0,INDEX(Transactions!$O:$O,ROW()-8))</f>
      </c>
    </row>
    <row r="5962" spans="1:7">
      <c r="B5962">
        <f>IF(INDEX(Transactions!$J:$J,ROW()-8)="",TODAY(),INDEX(Transactions!$G:$G,ROW()-8))</f>
      </c>
      <c r="F5962">
        <f>IF(INDEX(Transactions!$J:$J,ROW()-8)="",0,INDEX(Transactions!$O:$O,ROW()-8))</f>
      </c>
    </row>
    <row r="5963" spans="1:7">
      <c r="B5963">
        <f>IF(INDEX(Transactions!$J:$J,ROW()-8)="",TODAY(),INDEX(Transactions!$G:$G,ROW()-8))</f>
      </c>
      <c r="F5963">
        <f>IF(INDEX(Transactions!$J:$J,ROW()-8)="",0,INDEX(Transactions!$O:$O,ROW()-8))</f>
      </c>
    </row>
    <row r="5964" spans="1:7">
      <c r="B5964">
        <f>IF(INDEX(Transactions!$J:$J,ROW()-8)="",TODAY(),INDEX(Transactions!$G:$G,ROW()-8))</f>
      </c>
      <c r="F5964">
        <f>IF(INDEX(Transactions!$J:$J,ROW()-8)="",0,INDEX(Transactions!$O:$O,ROW()-8))</f>
      </c>
    </row>
    <row r="5965" spans="1:7">
      <c r="B5965">
        <f>IF(INDEX(Transactions!$J:$J,ROW()-8)="",TODAY(),INDEX(Transactions!$G:$G,ROW()-8))</f>
      </c>
      <c r="F5965">
        <f>IF(INDEX(Transactions!$J:$J,ROW()-8)="",0,INDEX(Transactions!$O:$O,ROW()-8))</f>
      </c>
    </row>
    <row r="5966" spans="1:7">
      <c r="B5966">
        <f>IF(INDEX(Transactions!$J:$J,ROW()-8)="",TODAY(),INDEX(Transactions!$G:$G,ROW()-8))</f>
      </c>
      <c r="F5966">
        <f>IF(INDEX(Transactions!$J:$J,ROW()-8)="",0,INDEX(Transactions!$O:$O,ROW()-8))</f>
      </c>
    </row>
    <row r="5967" spans="1:7">
      <c r="B5967">
        <f>IF(INDEX(Transactions!$J:$J,ROW()-8)="",TODAY(),INDEX(Transactions!$G:$G,ROW()-8))</f>
      </c>
      <c r="F5967">
        <f>IF(INDEX(Transactions!$J:$J,ROW()-8)="",0,INDEX(Transactions!$O:$O,ROW()-8))</f>
      </c>
    </row>
    <row r="5968" spans="1:7">
      <c r="B5968">
        <f>IF(INDEX(Transactions!$J:$J,ROW()-8)="",TODAY(),INDEX(Transactions!$G:$G,ROW()-8))</f>
      </c>
      <c r="F5968">
        <f>IF(INDEX(Transactions!$J:$J,ROW()-8)="",0,INDEX(Transactions!$O:$O,ROW()-8))</f>
      </c>
    </row>
    <row r="5969" spans="1:7">
      <c r="B5969">
        <f>IF(INDEX(Transactions!$J:$J,ROW()-8)="",TODAY(),INDEX(Transactions!$G:$G,ROW()-8))</f>
      </c>
      <c r="F5969">
        <f>IF(INDEX(Transactions!$J:$J,ROW()-8)="",0,INDEX(Transactions!$O:$O,ROW()-8))</f>
      </c>
    </row>
    <row r="5970" spans="1:7">
      <c r="B5970">
        <f>IF(INDEX(Transactions!$J:$J,ROW()-8)="",TODAY(),INDEX(Transactions!$G:$G,ROW()-8))</f>
      </c>
      <c r="F5970">
        <f>IF(INDEX(Transactions!$J:$J,ROW()-8)="",0,INDEX(Transactions!$O:$O,ROW()-8))</f>
      </c>
    </row>
    <row r="5971" spans="1:7">
      <c r="B5971">
        <f>IF(INDEX(Transactions!$J:$J,ROW()-8)="",TODAY(),INDEX(Transactions!$G:$G,ROW()-8))</f>
      </c>
      <c r="F5971">
        <f>IF(INDEX(Transactions!$J:$J,ROW()-8)="",0,INDEX(Transactions!$O:$O,ROW()-8))</f>
      </c>
    </row>
    <row r="5972" spans="1:7">
      <c r="B5972">
        <f>IF(INDEX(Transactions!$J:$J,ROW()-8)="",TODAY(),INDEX(Transactions!$G:$G,ROW()-8))</f>
      </c>
      <c r="F5972">
        <f>IF(INDEX(Transactions!$J:$J,ROW()-8)="",0,INDEX(Transactions!$O:$O,ROW()-8))</f>
      </c>
    </row>
    <row r="5973" spans="1:7">
      <c r="B5973">
        <f>IF(INDEX(Transactions!$J:$J,ROW()-8)="",TODAY(),INDEX(Transactions!$G:$G,ROW()-8))</f>
      </c>
      <c r="F5973">
        <f>IF(INDEX(Transactions!$J:$J,ROW()-8)="",0,INDEX(Transactions!$O:$O,ROW()-8))</f>
      </c>
    </row>
    <row r="5974" spans="1:7">
      <c r="B5974">
        <f>IF(INDEX(Transactions!$J:$J,ROW()-8)="",TODAY(),INDEX(Transactions!$G:$G,ROW()-8))</f>
      </c>
      <c r="F5974">
        <f>IF(INDEX(Transactions!$J:$J,ROW()-8)="",0,INDEX(Transactions!$O:$O,ROW()-8))</f>
      </c>
    </row>
    <row r="5975" spans="1:7">
      <c r="B5975">
        <f>IF(INDEX(Transactions!$J:$J,ROW()-8)="",TODAY(),INDEX(Transactions!$G:$G,ROW()-8))</f>
      </c>
      <c r="F5975">
        <f>IF(INDEX(Transactions!$J:$J,ROW()-8)="",0,INDEX(Transactions!$O:$O,ROW()-8))</f>
      </c>
    </row>
    <row r="5976" spans="1:7">
      <c r="B5976">
        <f>IF(INDEX(Transactions!$J:$J,ROW()-8)="",TODAY(),INDEX(Transactions!$G:$G,ROW()-8))</f>
      </c>
      <c r="F5976">
        <f>IF(INDEX(Transactions!$J:$J,ROW()-8)="",0,INDEX(Transactions!$O:$O,ROW()-8))</f>
      </c>
    </row>
    <row r="5977" spans="1:7">
      <c r="B5977">
        <f>IF(INDEX(Transactions!$J:$J,ROW()-8)="",TODAY(),INDEX(Transactions!$G:$G,ROW()-8))</f>
      </c>
      <c r="F5977">
        <f>IF(INDEX(Transactions!$J:$J,ROW()-8)="",0,INDEX(Transactions!$O:$O,ROW()-8))</f>
      </c>
    </row>
    <row r="5978" spans="1:7">
      <c r="B5978">
        <f>IF(INDEX(Transactions!$J:$J,ROW()-8)="",TODAY(),INDEX(Transactions!$G:$G,ROW()-8))</f>
      </c>
      <c r="F5978">
        <f>IF(INDEX(Transactions!$J:$J,ROW()-8)="",0,INDEX(Transactions!$O:$O,ROW()-8))</f>
      </c>
    </row>
    <row r="5979" spans="1:7">
      <c r="B5979">
        <f>IF(INDEX(Transactions!$J:$J,ROW()-8)="",TODAY(),INDEX(Transactions!$G:$G,ROW()-8))</f>
      </c>
      <c r="F5979">
        <f>IF(INDEX(Transactions!$J:$J,ROW()-8)="",0,INDEX(Transactions!$O:$O,ROW()-8))</f>
      </c>
    </row>
    <row r="5980" spans="1:7">
      <c r="B5980">
        <f>IF(INDEX(Transactions!$J:$J,ROW()-8)="",TODAY(),INDEX(Transactions!$G:$G,ROW()-8))</f>
      </c>
      <c r="F5980">
        <f>IF(INDEX(Transactions!$J:$J,ROW()-8)="",0,INDEX(Transactions!$O:$O,ROW()-8))</f>
      </c>
    </row>
    <row r="5981" spans="1:7">
      <c r="B5981">
        <f>IF(INDEX(Transactions!$J:$J,ROW()-8)="",TODAY(),INDEX(Transactions!$G:$G,ROW()-8))</f>
      </c>
      <c r="F5981">
        <f>IF(INDEX(Transactions!$J:$J,ROW()-8)="",0,INDEX(Transactions!$O:$O,ROW()-8))</f>
      </c>
    </row>
    <row r="5982" spans="1:7">
      <c r="B5982">
        <f>IF(INDEX(Transactions!$J:$J,ROW()-8)="",TODAY(),INDEX(Transactions!$G:$G,ROW()-8))</f>
      </c>
      <c r="F5982">
        <f>IF(INDEX(Transactions!$J:$J,ROW()-8)="",0,INDEX(Transactions!$O:$O,ROW()-8))</f>
      </c>
    </row>
    <row r="5983" spans="1:7">
      <c r="B5983">
        <f>IF(INDEX(Transactions!$J:$J,ROW()-8)="",TODAY(),INDEX(Transactions!$G:$G,ROW()-8))</f>
      </c>
      <c r="F5983">
        <f>IF(INDEX(Transactions!$J:$J,ROW()-8)="",0,INDEX(Transactions!$O:$O,ROW()-8))</f>
      </c>
    </row>
    <row r="5984" spans="1:7">
      <c r="B5984">
        <f>IF(INDEX(Transactions!$J:$J,ROW()-8)="",TODAY(),INDEX(Transactions!$G:$G,ROW()-8))</f>
      </c>
      <c r="F5984">
        <f>IF(INDEX(Transactions!$J:$J,ROW()-8)="",0,INDEX(Transactions!$O:$O,ROW()-8))</f>
      </c>
    </row>
    <row r="5985" spans="1:7">
      <c r="B5985">
        <f>IF(INDEX(Transactions!$J:$J,ROW()-8)="",TODAY(),INDEX(Transactions!$G:$G,ROW()-8))</f>
      </c>
      <c r="F5985">
        <f>IF(INDEX(Transactions!$J:$J,ROW()-8)="",0,INDEX(Transactions!$O:$O,ROW()-8))</f>
      </c>
    </row>
    <row r="5986" spans="1:7">
      <c r="B5986">
        <f>IF(INDEX(Transactions!$J:$J,ROW()-8)="",TODAY(),INDEX(Transactions!$G:$G,ROW()-8))</f>
      </c>
      <c r="F5986">
        <f>IF(INDEX(Transactions!$J:$J,ROW()-8)="",0,INDEX(Transactions!$O:$O,ROW()-8))</f>
      </c>
    </row>
    <row r="5987" spans="1:7">
      <c r="B5987">
        <f>IF(INDEX(Transactions!$J:$J,ROW()-8)="",TODAY(),INDEX(Transactions!$G:$G,ROW()-8))</f>
      </c>
      <c r="F5987">
        <f>IF(INDEX(Transactions!$J:$J,ROW()-8)="",0,INDEX(Transactions!$O:$O,ROW()-8))</f>
      </c>
    </row>
    <row r="5988" spans="1:7">
      <c r="B5988">
        <f>IF(INDEX(Transactions!$J:$J,ROW()-8)="",TODAY(),INDEX(Transactions!$G:$G,ROW()-8))</f>
      </c>
      <c r="F5988">
        <f>IF(INDEX(Transactions!$J:$J,ROW()-8)="",0,INDEX(Transactions!$O:$O,ROW()-8))</f>
      </c>
    </row>
    <row r="5989" spans="1:7">
      <c r="B5989">
        <f>IF(INDEX(Transactions!$J:$J,ROW()-8)="",TODAY(),INDEX(Transactions!$G:$G,ROW()-8))</f>
      </c>
      <c r="F5989">
        <f>IF(INDEX(Transactions!$J:$J,ROW()-8)="",0,INDEX(Transactions!$O:$O,ROW()-8))</f>
      </c>
    </row>
    <row r="5990" spans="1:7">
      <c r="B5990">
        <f>IF(INDEX(Transactions!$J:$J,ROW()-8)="",TODAY(),INDEX(Transactions!$G:$G,ROW()-8))</f>
      </c>
      <c r="F5990">
        <f>IF(INDEX(Transactions!$J:$J,ROW()-8)="",0,INDEX(Transactions!$O:$O,ROW()-8))</f>
      </c>
    </row>
    <row r="5991" spans="1:7">
      <c r="B5991">
        <f>IF(INDEX(Transactions!$J:$J,ROW()-8)="",TODAY(),INDEX(Transactions!$G:$G,ROW()-8))</f>
      </c>
      <c r="F5991">
        <f>IF(INDEX(Transactions!$J:$J,ROW()-8)="",0,INDEX(Transactions!$O:$O,ROW()-8))</f>
      </c>
    </row>
    <row r="5992" spans="1:7">
      <c r="B5992">
        <f>IF(INDEX(Transactions!$J:$J,ROW()-8)="",TODAY(),INDEX(Transactions!$G:$G,ROW()-8))</f>
      </c>
      <c r="F5992">
        <f>IF(INDEX(Transactions!$J:$J,ROW()-8)="",0,INDEX(Transactions!$O:$O,ROW()-8))</f>
      </c>
    </row>
    <row r="5993" spans="1:7">
      <c r="B5993">
        <f>IF(INDEX(Transactions!$J:$J,ROW()-8)="",TODAY(),INDEX(Transactions!$G:$G,ROW()-8))</f>
      </c>
      <c r="F5993">
        <f>IF(INDEX(Transactions!$J:$J,ROW()-8)="",0,INDEX(Transactions!$O:$O,ROW()-8))</f>
      </c>
    </row>
    <row r="5994" spans="1:7">
      <c r="B5994">
        <f>IF(INDEX(Transactions!$J:$J,ROW()-8)="",TODAY(),INDEX(Transactions!$G:$G,ROW()-8))</f>
      </c>
      <c r="F5994">
        <f>IF(INDEX(Transactions!$J:$J,ROW()-8)="",0,INDEX(Transactions!$O:$O,ROW()-8))</f>
      </c>
    </row>
    <row r="5995" spans="1:7">
      <c r="B5995">
        <f>IF(INDEX(Transactions!$J:$J,ROW()-8)="",TODAY(),INDEX(Transactions!$G:$G,ROW()-8))</f>
      </c>
      <c r="F5995">
        <f>IF(INDEX(Transactions!$J:$J,ROW()-8)="",0,INDEX(Transactions!$O:$O,ROW()-8))</f>
      </c>
    </row>
    <row r="5996" spans="1:7">
      <c r="B5996">
        <f>IF(INDEX(Transactions!$J:$J,ROW()-8)="",TODAY(),INDEX(Transactions!$G:$G,ROW()-8))</f>
      </c>
      <c r="F5996">
        <f>IF(INDEX(Transactions!$J:$J,ROW()-8)="",0,INDEX(Transactions!$O:$O,ROW()-8))</f>
      </c>
    </row>
    <row r="5997" spans="1:7">
      <c r="B5997">
        <f>IF(INDEX(Transactions!$J:$J,ROW()-8)="",TODAY(),INDEX(Transactions!$G:$G,ROW()-8))</f>
      </c>
      <c r="F5997">
        <f>IF(INDEX(Transactions!$J:$J,ROW()-8)="",0,INDEX(Transactions!$O:$O,ROW()-8))</f>
      </c>
    </row>
    <row r="5998" spans="1:7">
      <c r="B5998">
        <f>IF(INDEX(Transactions!$J:$J,ROW()-8)="",TODAY(),INDEX(Transactions!$G:$G,ROW()-8))</f>
      </c>
      <c r="F5998">
        <f>IF(INDEX(Transactions!$J:$J,ROW()-8)="",0,INDEX(Transactions!$O:$O,ROW()-8))</f>
      </c>
    </row>
    <row r="5999" spans="1:7">
      <c r="B5999">
        <f>IF(INDEX(Transactions!$J:$J,ROW()-8)="",TODAY(),INDEX(Transactions!$G:$G,ROW()-8))</f>
      </c>
      <c r="F5999">
        <f>IF(INDEX(Transactions!$J:$J,ROW()-8)="",0,INDEX(Transactions!$O:$O,ROW()-8))</f>
      </c>
    </row>
    <row r="6000" spans="1:7">
      <c r="B6000">
        <f>IF(INDEX(Transactions!$J:$J,ROW()-8)="",TODAY(),INDEX(Transactions!$G:$G,ROW()-8))</f>
      </c>
      <c r="F6000">
        <f>IF(INDEX(Transactions!$J:$J,ROW()-8)="",0,INDEX(Transactions!$O:$O,ROW()-8))</f>
      </c>
    </row>
    <row r="6001" spans="1:7">
      <c r="B6001">
        <f>IF(INDEX(Transactions!$J:$J,ROW()-8)="",TODAY(),INDEX(Transactions!$G:$G,ROW()-8))</f>
      </c>
      <c r="F6001">
        <f>IF(INDEX(Transactions!$J:$J,ROW()-8)="",0,INDEX(Transactions!$O:$O,ROW()-8))</f>
      </c>
    </row>
    <row r="6002" spans="1:7">
      <c r="B6002">
        <f>IF(INDEX(Transactions!$J:$J,ROW()-8)="",TODAY(),INDEX(Transactions!$G:$G,ROW()-8))</f>
      </c>
      <c r="F6002">
        <f>IF(INDEX(Transactions!$J:$J,ROW()-8)="",0,INDEX(Transactions!$O:$O,ROW()-8))</f>
      </c>
    </row>
    <row r="6003" spans="1:7">
      <c r="B6003">
        <f>IF(INDEX(Transactions!$J:$J,ROW()-8)="",TODAY(),INDEX(Transactions!$G:$G,ROW()-8))</f>
      </c>
      <c r="F6003">
        <f>IF(INDEX(Transactions!$J:$J,ROW()-8)="",0,INDEX(Transactions!$O:$O,ROW()-8))</f>
      </c>
    </row>
    <row r="6004" spans="1:7">
      <c r="B6004">
        <f>IF(INDEX(Transactions!$J:$J,ROW()-8)="",TODAY(),INDEX(Transactions!$G:$G,ROW()-8))</f>
      </c>
      <c r="F6004">
        <f>IF(INDEX(Transactions!$J:$J,ROW()-8)="",0,INDEX(Transactions!$O:$O,ROW()-8))</f>
      </c>
    </row>
    <row r="6005" spans="1:7">
      <c r="B6005">
        <f>IF(INDEX(Transactions!$J:$J,ROW()-8)="",TODAY(),INDEX(Transactions!$G:$G,ROW()-8))</f>
      </c>
      <c r="F6005">
        <f>IF(INDEX(Transactions!$J:$J,ROW()-8)="",0,INDEX(Transactions!$O:$O,ROW()-8))</f>
      </c>
    </row>
    <row r="6006" spans="1:7">
      <c r="B6006">
        <f>IF(INDEX(Transactions!$J:$J,ROW()-8)="",TODAY(),INDEX(Transactions!$G:$G,ROW()-8))</f>
      </c>
      <c r="F6006">
        <f>IF(INDEX(Transactions!$J:$J,ROW()-8)="",0,INDEX(Transactions!$O:$O,ROW()-8))</f>
      </c>
    </row>
    <row r="6007" spans="1:7">
      <c r="B6007">
        <f>IF(INDEX(Transactions!$J:$J,ROW()-8)="",TODAY(),INDEX(Transactions!$G:$G,ROW()-8))</f>
      </c>
      <c r="F6007">
        <f>IF(INDEX(Transactions!$J:$J,ROW()-8)="",0,INDEX(Transactions!$O:$O,ROW()-8))</f>
      </c>
    </row>
    <row r="6008" spans="1:7">
      <c r="B6008">
        <f>IF(INDEX(Transactions!$J:$J,ROW()-8)="",TODAY(),INDEX(Transactions!$G:$G,ROW()-8))</f>
      </c>
      <c r="F6008">
        <f>IF(INDEX(Transactions!$J:$J,ROW()-8)="",0,INDEX(Transactions!$O:$O,ROW()-8))</f>
      </c>
    </row>
    <row r="6009" spans="1:7">
      <c r="B6009">
        <f>IF(INDEX(Transactions!$J:$J,ROW()-8)="",TODAY(),INDEX(Transactions!$G:$G,ROW()-8))</f>
      </c>
      <c r="F6009">
        <f>IF(INDEX(Transactions!$J:$J,ROW()-8)="",0,INDEX(Transactions!$O:$O,ROW()-8))</f>
      </c>
    </row>
    <row r="6010" spans="1:7">
      <c r="B6010">
        <f>IF(INDEX(Transactions!$J:$J,ROW()-8)="",TODAY(),INDEX(Transactions!$G:$G,ROW()-8))</f>
      </c>
      <c r="F6010">
        <f>IF(INDEX(Transactions!$J:$J,ROW()-8)="",0,INDEX(Transactions!$O:$O,ROW()-8))</f>
      </c>
    </row>
    <row r="6011" spans="1:7">
      <c r="B6011">
        <f>IF(INDEX(Transactions!$J:$J,ROW()-8)="",TODAY(),INDEX(Transactions!$G:$G,ROW()-8))</f>
      </c>
      <c r="F6011">
        <f>IF(INDEX(Transactions!$J:$J,ROW()-8)="",0,INDEX(Transactions!$O:$O,ROW()-8))</f>
      </c>
    </row>
    <row r="6012" spans="1:7">
      <c r="B6012">
        <f>IF(INDEX(Transactions!$J:$J,ROW()-8)="",TODAY(),INDEX(Transactions!$G:$G,ROW()-8))</f>
      </c>
      <c r="F6012">
        <f>IF(INDEX(Transactions!$J:$J,ROW()-8)="",0,INDEX(Transactions!$O:$O,ROW()-8))</f>
      </c>
    </row>
    <row r="6013" spans="1:7">
      <c r="B6013">
        <f>IF(INDEX(Transactions!$J:$J,ROW()-8)="",TODAY(),INDEX(Transactions!$G:$G,ROW()-8))</f>
      </c>
      <c r="F6013">
        <f>IF(INDEX(Transactions!$J:$J,ROW()-8)="",0,INDEX(Transactions!$O:$O,ROW()-8))</f>
      </c>
    </row>
    <row r="6014" spans="1:7">
      <c r="B6014">
        <f>IF(INDEX(Transactions!$J:$J,ROW()-8)="",TODAY(),INDEX(Transactions!$G:$G,ROW()-8))</f>
      </c>
      <c r="F6014">
        <f>IF(INDEX(Transactions!$J:$J,ROW()-8)="",0,INDEX(Transactions!$O:$O,ROW()-8))</f>
      </c>
    </row>
    <row r="6015" spans="1:7">
      <c r="B6015">
        <f>IF(INDEX(Transactions!$J:$J,ROW()-8)="",TODAY(),INDEX(Transactions!$G:$G,ROW()-8))</f>
      </c>
      <c r="F6015">
        <f>IF(INDEX(Transactions!$J:$J,ROW()-8)="",0,INDEX(Transactions!$O:$O,ROW()-8))</f>
      </c>
    </row>
    <row r="6016" spans="1:7">
      <c r="B6016">
        <f>IF(INDEX(Transactions!$J:$J,ROW()-8)="",TODAY(),INDEX(Transactions!$G:$G,ROW()-8))</f>
      </c>
      <c r="F6016">
        <f>IF(INDEX(Transactions!$J:$J,ROW()-8)="",0,INDEX(Transactions!$O:$O,ROW()-8))</f>
      </c>
    </row>
    <row r="6017" spans="1:7">
      <c r="B6017">
        <f>IF(INDEX(Transactions!$J:$J,ROW()-8)="",TODAY(),INDEX(Transactions!$G:$G,ROW()-8))</f>
      </c>
      <c r="F6017">
        <f>IF(INDEX(Transactions!$J:$J,ROW()-8)="",0,INDEX(Transactions!$O:$O,ROW()-8))</f>
      </c>
    </row>
    <row r="6018" spans="1:7">
      <c r="B6018">
        <f>IF(INDEX(Transactions!$J:$J,ROW()-8)="",TODAY(),INDEX(Transactions!$G:$G,ROW()-8))</f>
      </c>
      <c r="F6018">
        <f>IF(INDEX(Transactions!$J:$J,ROW()-8)="",0,INDEX(Transactions!$O:$O,ROW()-8))</f>
      </c>
    </row>
    <row r="6019" spans="1:7">
      <c r="B6019">
        <f>IF(INDEX(Transactions!$J:$J,ROW()-8)="",TODAY(),INDEX(Transactions!$G:$G,ROW()-8))</f>
      </c>
      <c r="F6019">
        <f>IF(INDEX(Transactions!$J:$J,ROW()-8)="",0,INDEX(Transactions!$O:$O,ROW()-8))</f>
      </c>
    </row>
    <row r="6020" spans="1:7">
      <c r="B6020">
        <f>IF(INDEX(Transactions!$J:$J,ROW()-8)="",TODAY(),INDEX(Transactions!$G:$G,ROW()-8))</f>
      </c>
      <c r="F6020">
        <f>IF(INDEX(Transactions!$J:$J,ROW()-8)="",0,INDEX(Transactions!$O:$O,ROW()-8))</f>
      </c>
    </row>
    <row r="6021" spans="1:7">
      <c r="B6021">
        <f>IF(INDEX(Transactions!$J:$J,ROW()-8)="",TODAY(),INDEX(Transactions!$G:$G,ROW()-8))</f>
      </c>
      <c r="F6021">
        <f>IF(INDEX(Transactions!$J:$J,ROW()-8)="",0,INDEX(Transactions!$O:$O,ROW()-8))</f>
      </c>
    </row>
    <row r="6022" spans="1:7">
      <c r="B6022">
        <f>IF(INDEX(Transactions!$J:$J,ROW()-8)="",TODAY(),INDEX(Transactions!$G:$G,ROW()-8))</f>
      </c>
      <c r="F6022">
        <f>IF(INDEX(Transactions!$J:$J,ROW()-8)="",0,INDEX(Transactions!$O:$O,ROW()-8))</f>
      </c>
    </row>
    <row r="6023" spans="1:7">
      <c r="B6023">
        <f>IF(INDEX(Transactions!$J:$J,ROW()-8)="",TODAY(),INDEX(Transactions!$G:$G,ROW()-8))</f>
      </c>
      <c r="F6023">
        <f>IF(INDEX(Transactions!$J:$J,ROW()-8)="",0,INDEX(Transactions!$O:$O,ROW()-8))</f>
      </c>
    </row>
    <row r="6024" spans="1:7">
      <c r="B6024">
        <f>IF(INDEX(Transactions!$J:$J,ROW()-8)="",TODAY(),INDEX(Transactions!$G:$G,ROW()-8))</f>
      </c>
      <c r="F6024">
        <f>IF(INDEX(Transactions!$J:$J,ROW()-8)="",0,INDEX(Transactions!$O:$O,ROW()-8))</f>
      </c>
    </row>
    <row r="6025" spans="1:7">
      <c r="B6025">
        <f>IF(INDEX(Transactions!$J:$J,ROW()-8)="",TODAY(),INDEX(Transactions!$G:$G,ROW()-8))</f>
      </c>
      <c r="F6025">
        <f>IF(INDEX(Transactions!$J:$J,ROW()-8)="",0,INDEX(Transactions!$O:$O,ROW()-8))</f>
      </c>
    </row>
    <row r="6026" spans="1:7">
      <c r="B6026">
        <f>IF(INDEX(Transactions!$J:$J,ROW()-8)="",TODAY(),INDEX(Transactions!$G:$G,ROW()-8))</f>
      </c>
      <c r="F6026">
        <f>IF(INDEX(Transactions!$J:$J,ROW()-8)="",0,INDEX(Transactions!$O:$O,ROW()-8))</f>
      </c>
    </row>
    <row r="6027" spans="1:7">
      <c r="B6027">
        <f>IF(INDEX(Transactions!$J:$J,ROW()-8)="",TODAY(),INDEX(Transactions!$G:$G,ROW()-8))</f>
      </c>
      <c r="F6027">
        <f>IF(INDEX(Transactions!$J:$J,ROW()-8)="",0,INDEX(Transactions!$O:$O,ROW()-8))</f>
      </c>
    </row>
    <row r="6028" spans="1:7">
      <c r="B6028">
        <f>IF(INDEX(Transactions!$J:$J,ROW()-8)="",TODAY(),INDEX(Transactions!$G:$G,ROW()-8))</f>
      </c>
      <c r="F6028">
        <f>IF(INDEX(Transactions!$J:$J,ROW()-8)="",0,INDEX(Transactions!$O:$O,ROW()-8))</f>
      </c>
    </row>
    <row r="6029" spans="1:7">
      <c r="B6029">
        <f>IF(INDEX(Transactions!$J:$J,ROW()-8)="",TODAY(),INDEX(Transactions!$G:$G,ROW()-8))</f>
      </c>
      <c r="F6029">
        <f>IF(INDEX(Transactions!$J:$J,ROW()-8)="",0,INDEX(Transactions!$O:$O,ROW()-8))</f>
      </c>
    </row>
    <row r="6030" spans="1:7">
      <c r="B6030">
        <f>IF(INDEX(Transactions!$J:$J,ROW()-8)="",TODAY(),INDEX(Transactions!$G:$G,ROW()-8))</f>
      </c>
      <c r="F6030">
        <f>IF(INDEX(Transactions!$J:$J,ROW()-8)="",0,INDEX(Transactions!$O:$O,ROW()-8))</f>
      </c>
    </row>
    <row r="6031" spans="1:7">
      <c r="B6031">
        <f>IF(INDEX(Transactions!$J:$J,ROW()-8)="",TODAY(),INDEX(Transactions!$G:$G,ROW()-8))</f>
      </c>
      <c r="F6031">
        <f>IF(INDEX(Transactions!$J:$J,ROW()-8)="",0,INDEX(Transactions!$O:$O,ROW()-8))</f>
      </c>
    </row>
    <row r="6032" spans="1:7">
      <c r="B6032">
        <f>IF(INDEX(Transactions!$J:$J,ROW()-8)="",TODAY(),INDEX(Transactions!$G:$G,ROW()-8))</f>
      </c>
      <c r="F6032">
        <f>IF(INDEX(Transactions!$J:$J,ROW()-8)="",0,INDEX(Transactions!$O:$O,ROW()-8))</f>
      </c>
    </row>
    <row r="6033" spans="1:7">
      <c r="B6033">
        <f>IF(INDEX(Transactions!$J:$J,ROW()-8)="",TODAY(),INDEX(Transactions!$G:$G,ROW()-8))</f>
      </c>
      <c r="F6033">
        <f>IF(INDEX(Transactions!$J:$J,ROW()-8)="",0,INDEX(Transactions!$O:$O,ROW()-8))</f>
      </c>
    </row>
    <row r="6034" spans="1:7">
      <c r="B6034">
        <f>IF(INDEX(Transactions!$J:$J,ROW()-8)="",TODAY(),INDEX(Transactions!$G:$G,ROW()-8))</f>
      </c>
      <c r="F6034">
        <f>IF(INDEX(Transactions!$J:$J,ROW()-8)="",0,INDEX(Transactions!$O:$O,ROW()-8))</f>
      </c>
    </row>
    <row r="6035" spans="1:7">
      <c r="B6035">
        <f>IF(INDEX(Transactions!$J:$J,ROW()-8)="",TODAY(),INDEX(Transactions!$G:$G,ROW()-8))</f>
      </c>
      <c r="F6035">
        <f>IF(INDEX(Transactions!$J:$J,ROW()-8)="",0,INDEX(Transactions!$O:$O,ROW()-8))</f>
      </c>
    </row>
    <row r="6036" spans="1:7">
      <c r="B6036">
        <f>IF(INDEX(Transactions!$J:$J,ROW()-8)="",TODAY(),INDEX(Transactions!$G:$G,ROW()-8))</f>
      </c>
      <c r="F6036">
        <f>IF(INDEX(Transactions!$J:$J,ROW()-8)="",0,INDEX(Transactions!$O:$O,ROW()-8))</f>
      </c>
    </row>
    <row r="6037" spans="1:7">
      <c r="B6037">
        <f>IF(INDEX(Transactions!$J:$J,ROW()-8)="",TODAY(),INDEX(Transactions!$G:$G,ROW()-8))</f>
      </c>
      <c r="F6037">
        <f>IF(INDEX(Transactions!$J:$J,ROW()-8)="",0,INDEX(Transactions!$O:$O,ROW()-8))</f>
      </c>
    </row>
    <row r="6038" spans="1:7">
      <c r="B6038">
        <f>IF(INDEX(Transactions!$J:$J,ROW()-8)="",TODAY(),INDEX(Transactions!$G:$G,ROW()-8))</f>
      </c>
      <c r="F6038">
        <f>IF(INDEX(Transactions!$J:$J,ROW()-8)="",0,INDEX(Transactions!$O:$O,ROW()-8))</f>
      </c>
    </row>
    <row r="6039" spans="1:7">
      <c r="B6039">
        <f>IF(INDEX(Transactions!$J:$J,ROW()-8)="",TODAY(),INDEX(Transactions!$G:$G,ROW()-8))</f>
      </c>
      <c r="F6039">
        <f>IF(INDEX(Transactions!$J:$J,ROW()-8)="",0,INDEX(Transactions!$O:$O,ROW()-8))</f>
      </c>
    </row>
    <row r="6040" spans="1:7">
      <c r="B6040">
        <f>IF(INDEX(Transactions!$J:$J,ROW()-8)="",TODAY(),INDEX(Transactions!$G:$G,ROW()-8))</f>
      </c>
      <c r="F6040">
        <f>IF(INDEX(Transactions!$J:$J,ROW()-8)="",0,INDEX(Transactions!$O:$O,ROW()-8))</f>
      </c>
    </row>
    <row r="6041" spans="1:7">
      <c r="B6041">
        <f>IF(INDEX(Transactions!$J:$J,ROW()-8)="",TODAY(),INDEX(Transactions!$G:$G,ROW()-8))</f>
      </c>
      <c r="F6041">
        <f>IF(INDEX(Transactions!$J:$J,ROW()-8)="",0,INDEX(Transactions!$O:$O,ROW()-8))</f>
      </c>
    </row>
    <row r="6042" spans="1:7">
      <c r="B6042">
        <f>IF(INDEX(Transactions!$J:$J,ROW()-8)="",TODAY(),INDEX(Transactions!$G:$G,ROW()-8))</f>
      </c>
      <c r="F6042">
        <f>IF(INDEX(Transactions!$J:$J,ROW()-8)="",0,INDEX(Transactions!$O:$O,ROW()-8))</f>
      </c>
    </row>
    <row r="6043" spans="1:7">
      <c r="B6043">
        <f>IF(INDEX(Transactions!$J:$J,ROW()-8)="",TODAY(),INDEX(Transactions!$G:$G,ROW()-8))</f>
      </c>
      <c r="F6043">
        <f>IF(INDEX(Transactions!$J:$J,ROW()-8)="",0,INDEX(Transactions!$O:$O,ROW()-8))</f>
      </c>
    </row>
    <row r="6044" spans="1:7">
      <c r="B6044">
        <f>IF(INDEX(Transactions!$J:$J,ROW()-8)="",TODAY(),INDEX(Transactions!$G:$G,ROW()-8))</f>
      </c>
      <c r="F6044">
        <f>IF(INDEX(Transactions!$J:$J,ROW()-8)="",0,INDEX(Transactions!$O:$O,ROW()-8))</f>
      </c>
    </row>
    <row r="6045" spans="1:7">
      <c r="B6045">
        <f>IF(INDEX(Transactions!$J:$J,ROW()-8)="",TODAY(),INDEX(Transactions!$G:$G,ROW()-8))</f>
      </c>
      <c r="F6045">
        <f>IF(INDEX(Transactions!$J:$J,ROW()-8)="",0,INDEX(Transactions!$O:$O,ROW()-8))</f>
      </c>
    </row>
    <row r="6046" spans="1:7">
      <c r="B6046">
        <f>IF(INDEX(Transactions!$J:$J,ROW()-8)="",TODAY(),INDEX(Transactions!$G:$G,ROW()-8))</f>
      </c>
      <c r="F6046">
        <f>IF(INDEX(Transactions!$J:$J,ROW()-8)="",0,INDEX(Transactions!$O:$O,ROW()-8))</f>
      </c>
    </row>
    <row r="6047" spans="1:7">
      <c r="B6047">
        <f>IF(INDEX(Transactions!$J:$J,ROW()-8)="",TODAY(),INDEX(Transactions!$G:$G,ROW()-8))</f>
      </c>
      <c r="F6047">
        <f>IF(INDEX(Transactions!$J:$J,ROW()-8)="",0,INDEX(Transactions!$O:$O,ROW()-8))</f>
      </c>
    </row>
    <row r="6048" spans="1:7">
      <c r="B6048">
        <f>IF(INDEX(Transactions!$J:$J,ROW()-8)="",TODAY(),INDEX(Transactions!$G:$G,ROW()-8))</f>
      </c>
      <c r="F6048">
        <f>IF(INDEX(Transactions!$J:$J,ROW()-8)="",0,INDEX(Transactions!$O:$O,ROW()-8))</f>
      </c>
    </row>
    <row r="6049" spans="1:7">
      <c r="B6049">
        <f>IF(INDEX(Transactions!$J:$J,ROW()-8)="",TODAY(),INDEX(Transactions!$G:$G,ROW()-8))</f>
      </c>
      <c r="F6049">
        <f>IF(INDEX(Transactions!$J:$J,ROW()-8)="",0,INDEX(Transactions!$O:$O,ROW()-8))</f>
      </c>
    </row>
    <row r="6050" spans="1:7">
      <c r="B6050">
        <f>IF(INDEX(Transactions!$J:$J,ROW()-8)="",TODAY(),INDEX(Transactions!$G:$G,ROW()-8))</f>
      </c>
      <c r="F6050">
        <f>IF(INDEX(Transactions!$J:$J,ROW()-8)="",0,INDEX(Transactions!$O:$O,ROW()-8))</f>
      </c>
    </row>
    <row r="6051" spans="1:7">
      <c r="B6051">
        <f>IF(INDEX(Transactions!$J:$J,ROW()-8)="",TODAY(),INDEX(Transactions!$G:$G,ROW()-8))</f>
      </c>
      <c r="F6051">
        <f>IF(INDEX(Transactions!$J:$J,ROW()-8)="",0,INDEX(Transactions!$O:$O,ROW()-8))</f>
      </c>
    </row>
    <row r="6052" spans="1:7">
      <c r="B6052">
        <f>IF(INDEX(Transactions!$J:$J,ROW()-8)="",TODAY(),INDEX(Transactions!$G:$G,ROW()-8))</f>
      </c>
      <c r="F6052">
        <f>IF(INDEX(Transactions!$J:$J,ROW()-8)="",0,INDEX(Transactions!$O:$O,ROW()-8))</f>
      </c>
    </row>
    <row r="6053" spans="1:7">
      <c r="B6053">
        <f>IF(INDEX(Transactions!$J:$J,ROW()-8)="",TODAY(),INDEX(Transactions!$G:$G,ROW()-8))</f>
      </c>
      <c r="F6053">
        <f>IF(INDEX(Transactions!$J:$J,ROW()-8)="",0,INDEX(Transactions!$O:$O,ROW()-8))</f>
      </c>
    </row>
    <row r="6054" spans="1:7">
      <c r="B6054">
        <f>IF(INDEX(Transactions!$J:$J,ROW()-8)="",TODAY(),INDEX(Transactions!$G:$G,ROW()-8))</f>
      </c>
      <c r="F6054">
        <f>IF(INDEX(Transactions!$J:$J,ROW()-8)="",0,INDEX(Transactions!$O:$O,ROW()-8))</f>
      </c>
    </row>
    <row r="6055" spans="1:7">
      <c r="B6055">
        <f>IF(INDEX(Transactions!$J:$J,ROW()-8)="",TODAY(),INDEX(Transactions!$G:$G,ROW()-8))</f>
      </c>
      <c r="F6055">
        <f>IF(INDEX(Transactions!$J:$J,ROW()-8)="",0,INDEX(Transactions!$O:$O,ROW()-8))</f>
      </c>
    </row>
    <row r="6056" spans="1:7">
      <c r="B6056">
        <f>IF(INDEX(Transactions!$J:$J,ROW()-8)="",TODAY(),INDEX(Transactions!$G:$G,ROW()-8))</f>
      </c>
      <c r="F6056">
        <f>IF(INDEX(Transactions!$J:$J,ROW()-8)="",0,INDEX(Transactions!$O:$O,ROW()-8))</f>
      </c>
    </row>
    <row r="6057" spans="1:7">
      <c r="B6057">
        <f>IF(INDEX(Transactions!$J:$J,ROW()-8)="",TODAY(),INDEX(Transactions!$G:$G,ROW()-8))</f>
      </c>
      <c r="F6057">
        <f>IF(INDEX(Transactions!$J:$J,ROW()-8)="",0,INDEX(Transactions!$O:$O,ROW()-8))</f>
      </c>
    </row>
    <row r="6058" spans="1:7">
      <c r="B6058">
        <f>IF(INDEX(Transactions!$J:$J,ROW()-8)="",TODAY(),INDEX(Transactions!$G:$G,ROW()-8))</f>
      </c>
      <c r="F6058">
        <f>IF(INDEX(Transactions!$J:$J,ROW()-8)="",0,INDEX(Transactions!$O:$O,ROW()-8))</f>
      </c>
    </row>
    <row r="6059" spans="1:7">
      <c r="B6059">
        <f>IF(INDEX(Transactions!$J:$J,ROW()-8)="",TODAY(),INDEX(Transactions!$G:$G,ROW()-8))</f>
      </c>
      <c r="F6059">
        <f>IF(INDEX(Transactions!$J:$J,ROW()-8)="",0,INDEX(Transactions!$O:$O,ROW()-8))</f>
      </c>
    </row>
    <row r="6060" spans="1:7">
      <c r="B6060">
        <f>IF(INDEX(Transactions!$J:$J,ROW()-8)="",TODAY(),INDEX(Transactions!$G:$G,ROW()-8))</f>
      </c>
      <c r="F6060">
        <f>IF(INDEX(Transactions!$J:$J,ROW()-8)="",0,INDEX(Transactions!$O:$O,ROW()-8))</f>
      </c>
    </row>
    <row r="6061" spans="1:7">
      <c r="B6061">
        <f>IF(INDEX(Transactions!$J:$J,ROW()-8)="",TODAY(),INDEX(Transactions!$G:$G,ROW()-8))</f>
      </c>
      <c r="F6061">
        <f>IF(INDEX(Transactions!$J:$J,ROW()-8)="",0,INDEX(Transactions!$O:$O,ROW()-8))</f>
      </c>
    </row>
    <row r="6062" spans="1:7">
      <c r="B6062">
        <f>IF(INDEX(Transactions!$J:$J,ROW()-8)="",TODAY(),INDEX(Transactions!$G:$G,ROW()-8))</f>
      </c>
      <c r="F6062">
        <f>IF(INDEX(Transactions!$J:$J,ROW()-8)="",0,INDEX(Transactions!$O:$O,ROW()-8))</f>
      </c>
    </row>
    <row r="6063" spans="1:7">
      <c r="B6063">
        <f>IF(INDEX(Transactions!$J:$J,ROW()-8)="",TODAY(),INDEX(Transactions!$G:$G,ROW()-8))</f>
      </c>
      <c r="F6063">
        <f>IF(INDEX(Transactions!$J:$J,ROW()-8)="",0,INDEX(Transactions!$O:$O,ROW()-8))</f>
      </c>
    </row>
    <row r="6064" spans="1:7">
      <c r="B6064">
        <f>IF(INDEX(Transactions!$J:$J,ROW()-8)="",TODAY(),INDEX(Transactions!$G:$G,ROW()-8))</f>
      </c>
      <c r="F6064">
        <f>IF(INDEX(Transactions!$J:$J,ROW()-8)="",0,INDEX(Transactions!$O:$O,ROW()-8))</f>
      </c>
    </row>
    <row r="6065" spans="1:7">
      <c r="B6065">
        <f>IF(INDEX(Transactions!$J:$J,ROW()-8)="",TODAY(),INDEX(Transactions!$G:$G,ROW()-8))</f>
      </c>
      <c r="F6065">
        <f>IF(INDEX(Transactions!$J:$J,ROW()-8)="",0,INDEX(Transactions!$O:$O,ROW()-8))</f>
      </c>
    </row>
    <row r="6066" spans="1:7">
      <c r="B6066">
        <f>IF(INDEX(Transactions!$J:$J,ROW()-8)="",TODAY(),INDEX(Transactions!$G:$G,ROW()-8))</f>
      </c>
      <c r="F6066">
        <f>IF(INDEX(Transactions!$J:$J,ROW()-8)="",0,INDEX(Transactions!$O:$O,ROW()-8))</f>
      </c>
    </row>
    <row r="6067" spans="1:7">
      <c r="B6067">
        <f>IF(INDEX(Transactions!$J:$J,ROW()-8)="",TODAY(),INDEX(Transactions!$G:$G,ROW()-8))</f>
      </c>
      <c r="F6067">
        <f>IF(INDEX(Transactions!$J:$J,ROW()-8)="",0,INDEX(Transactions!$O:$O,ROW()-8))</f>
      </c>
    </row>
    <row r="6068" spans="1:7">
      <c r="B6068">
        <f>IF(INDEX(Transactions!$J:$J,ROW()-8)="",TODAY(),INDEX(Transactions!$G:$G,ROW()-8))</f>
      </c>
      <c r="F6068">
        <f>IF(INDEX(Transactions!$J:$J,ROW()-8)="",0,INDEX(Transactions!$O:$O,ROW()-8))</f>
      </c>
    </row>
    <row r="6069" spans="1:7">
      <c r="B6069">
        <f>IF(INDEX(Transactions!$J:$J,ROW()-8)="",TODAY(),INDEX(Transactions!$G:$G,ROW()-8))</f>
      </c>
      <c r="F6069">
        <f>IF(INDEX(Transactions!$J:$J,ROW()-8)="",0,INDEX(Transactions!$O:$O,ROW()-8))</f>
      </c>
    </row>
    <row r="6070" spans="1:7">
      <c r="B6070">
        <f>IF(INDEX(Transactions!$J:$J,ROW()-8)="",TODAY(),INDEX(Transactions!$G:$G,ROW()-8))</f>
      </c>
      <c r="F6070">
        <f>IF(INDEX(Transactions!$J:$J,ROW()-8)="",0,INDEX(Transactions!$O:$O,ROW()-8))</f>
      </c>
    </row>
    <row r="6071" spans="1:7">
      <c r="B6071">
        <f>IF(INDEX(Transactions!$J:$J,ROW()-8)="",TODAY(),INDEX(Transactions!$G:$G,ROW()-8))</f>
      </c>
      <c r="F6071">
        <f>IF(INDEX(Transactions!$J:$J,ROW()-8)="",0,INDEX(Transactions!$O:$O,ROW()-8))</f>
      </c>
    </row>
    <row r="6072" spans="1:7">
      <c r="B6072">
        <f>IF(INDEX(Transactions!$J:$J,ROW()-8)="",TODAY(),INDEX(Transactions!$G:$G,ROW()-8))</f>
      </c>
      <c r="F6072">
        <f>IF(INDEX(Transactions!$J:$J,ROW()-8)="",0,INDEX(Transactions!$O:$O,ROW()-8))</f>
      </c>
    </row>
    <row r="6073" spans="1:7">
      <c r="B6073">
        <f>IF(INDEX(Transactions!$J:$J,ROW()-8)="",TODAY(),INDEX(Transactions!$G:$G,ROW()-8))</f>
      </c>
      <c r="F6073">
        <f>IF(INDEX(Transactions!$J:$J,ROW()-8)="",0,INDEX(Transactions!$O:$O,ROW()-8))</f>
      </c>
    </row>
    <row r="6074" spans="1:7">
      <c r="B6074">
        <f>IF(INDEX(Transactions!$J:$J,ROW()-8)="",TODAY(),INDEX(Transactions!$G:$G,ROW()-8))</f>
      </c>
      <c r="F6074">
        <f>IF(INDEX(Transactions!$J:$J,ROW()-8)="",0,INDEX(Transactions!$O:$O,ROW()-8))</f>
      </c>
    </row>
    <row r="6075" spans="1:7">
      <c r="B6075">
        <f>IF(INDEX(Transactions!$J:$J,ROW()-8)="",TODAY(),INDEX(Transactions!$G:$G,ROW()-8))</f>
      </c>
      <c r="F6075">
        <f>IF(INDEX(Transactions!$J:$J,ROW()-8)="",0,INDEX(Transactions!$O:$O,ROW()-8))</f>
      </c>
    </row>
    <row r="6076" spans="1:7">
      <c r="B6076">
        <f>IF(INDEX(Transactions!$J:$J,ROW()-8)="",TODAY(),INDEX(Transactions!$G:$G,ROW()-8))</f>
      </c>
      <c r="F6076">
        <f>IF(INDEX(Transactions!$J:$J,ROW()-8)="",0,INDEX(Transactions!$O:$O,ROW()-8))</f>
      </c>
    </row>
    <row r="6077" spans="1:7">
      <c r="B6077">
        <f>IF(INDEX(Transactions!$J:$J,ROW()-8)="",TODAY(),INDEX(Transactions!$G:$G,ROW()-8))</f>
      </c>
      <c r="F6077">
        <f>IF(INDEX(Transactions!$J:$J,ROW()-8)="",0,INDEX(Transactions!$O:$O,ROW()-8))</f>
      </c>
    </row>
    <row r="6078" spans="1:7">
      <c r="B6078">
        <f>IF(INDEX(Transactions!$J:$J,ROW()-8)="",TODAY(),INDEX(Transactions!$G:$G,ROW()-8))</f>
      </c>
      <c r="F6078">
        <f>IF(INDEX(Transactions!$J:$J,ROW()-8)="",0,INDEX(Transactions!$O:$O,ROW()-8))</f>
      </c>
    </row>
    <row r="6079" spans="1:7">
      <c r="B6079">
        <f>IF(INDEX(Transactions!$J:$J,ROW()-8)="",TODAY(),INDEX(Transactions!$G:$G,ROW()-8))</f>
      </c>
      <c r="F6079">
        <f>IF(INDEX(Transactions!$J:$J,ROW()-8)="",0,INDEX(Transactions!$O:$O,ROW()-8))</f>
      </c>
    </row>
    <row r="6080" spans="1:7">
      <c r="B6080">
        <f>IF(INDEX(Transactions!$J:$J,ROW()-8)="",TODAY(),INDEX(Transactions!$G:$G,ROW()-8))</f>
      </c>
      <c r="F6080">
        <f>IF(INDEX(Transactions!$J:$J,ROW()-8)="",0,INDEX(Transactions!$O:$O,ROW()-8))</f>
      </c>
    </row>
    <row r="6081" spans="1:7">
      <c r="B6081">
        <f>IF(INDEX(Transactions!$J:$J,ROW()-8)="",TODAY(),INDEX(Transactions!$G:$G,ROW()-8))</f>
      </c>
      <c r="F6081">
        <f>IF(INDEX(Transactions!$J:$J,ROW()-8)="",0,INDEX(Transactions!$O:$O,ROW()-8))</f>
      </c>
    </row>
    <row r="6082" spans="1:7">
      <c r="B6082">
        <f>IF(INDEX(Transactions!$J:$J,ROW()-8)="",TODAY(),INDEX(Transactions!$G:$G,ROW()-8))</f>
      </c>
      <c r="F6082">
        <f>IF(INDEX(Transactions!$J:$J,ROW()-8)="",0,INDEX(Transactions!$O:$O,ROW()-8))</f>
      </c>
    </row>
    <row r="6083" spans="1:7">
      <c r="B6083">
        <f>IF(INDEX(Transactions!$J:$J,ROW()-8)="",TODAY(),INDEX(Transactions!$G:$G,ROW()-8))</f>
      </c>
      <c r="F6083">
        <f>IF(INDEX(Transactions!$J:$J,ROW()-8)="",0,INDEX(Transactions!$O:$O,ROW()-8))</f>
      </c>
    </row>
    <row r="6084" spans="1:7">
      <c r="B6084">
        <f>IF(INDEX(Transactions!$J:$J,ROW()-8)="",TODAY(),INDEX(Transactions!$G:$G,ROW()-8))</f>
      </c>
      <c r="F6084">
        <f>IF(INDEX(Transactions!$J:$J,ROW()-8)="",0,INDEX(Transactions!$O:$O,ROW()-8))</f>
      </c>
    </row>
    <row r="6085" spans="1:7">
      <c r="B6085">
        <f>IF(INDEX(Transactions!$J:$J,ROW()-8)="",TODAY(),INDEX(Transactions!$G:$G,ROW()-8))</f>
      </c>
      <c r="F6085">
        <f>IF(INDEX(Transactions!$J:$J,ROW()-8)="",0,INDEX(Transactions!$O:$O,ROW()-8))</f>
      </c>
    </row>
    <row r="6086" spans="1:7">
      <c r="B6086">
        <f>IF(INDEX(Transactions!$J:$J,ROW()-8)="",TODAY(),INDEX(Transactions!$G:$G,ROW()-8))</f>
      </c>
      <c r="F6086">
        <f>IF(INDEX(Transactions!$J:$J,ROW()-8)="",0,INDEX(Transactions!$O:$O,ROW()-8))</f>
      </c>
    </row>
    <row r="6087" spans="1:7">
      <c r="B6087">
        <f>IF(INDEX(Transactions!$J:$J,ROW()-8)="",TODAY(),INDEX(Transactions!$G:$G,ROW()-8))</f>
      </c>
      <c r="F6087">
        <f>IF(INDEX(Transactions!$J:$J,ROW()-8)="",0,INDEX(Transactions!$O:$O,ROW()-8))</f>
      </c>
    </row>
    <row r="6088" spans="1:7">
      <c r="B6088">
        <f>IF(INDEX(Transactions!$J:$J,ROW()-8)="",TODAY(),INDEX(Transactions!$G:$G,ROW()-8))</f>
      </c>
      <c r="F6088">
        <f>IF(INDEX(Transactions!$J:$J,ROW()-8)="",0,INDEX(Transactions!$O:$O,ROW()-8))</f>
      </c>
    </row>
    <row r="6089" spans="1:7">
      <c r="B6089">
        <f>IF(INDEX(Transactions!$J:$J,ROW()-8)="",TODAY(),INDEX(Transactions!$G:$G,ROW()-8))</f>
      </c>
      <c r="F6089">
        <f>IF(INDEX(Transactions!$J:$J,ROW()-8)="",0,INDEX(Transactions!$O:$O,ROW()-8))</f>
      </c>
    </row>
    <row r="6090" spans="1:7">
      <c r="B6090">
        <f>IF(INDEX(Transactions!$J:$J,ROW()-8)="",TODAY(),INDEX(Transactions!$G:$G,ROW()-8))</f>
      </c>
      <c r="F6090">
        <f>IF(INDEX(Transactions!$J:$J,ROW()-8)="",0,INDEX(Transactions!$O:$O,ROW()-8))</f>
      </c>
    </row>
    <row r="6091" spans="1:7">
      <c r="B6091">
        <f>IF(INDEX(Transactions!$J:$J,ROW()-8)="",TODAY(),INDEX(Transactions!$G:$G,ROW()-8))</f>
      </c>
      <c r="F6091">
        <f>IF(INDEX(Transactions!$J:$J,ROW()-8)="",0,INDEX(Transactions!$O:$O,ROW()-8))</f>
      </c>
    </row>
    <row r="6092" spans="1:7">
      <c r="B6092">
        <f>IF(INDEX(Transactions!$J:$J,ROW()-8)="",TODAY(),INDEX(Transactions!$G:$G,ROW()-8))</f>
      </c>
      <c r="F6092">
        <f>IF(INDEX(Transactions!$J:$J,ROW()-8)="",0,INDEX(Transactions!$O:$O,ROW()-8))</f>
      </c>
    </row>
    <row r="6093" spans="1:7">
      <c r="B6093">
        <f>IF(INDEX(Transactions!$J:$J,ROW()-8)="",TODAY(),INDEX(Transactions!$G:$G,ROW()-8))</f>
      </c>
      <c r="F6093">
        <f>IF(INDEX(Transactions!$J:$J,ROW()-8)="",0,INDEX(Transactions!$O:$O,ROW()-8))</f>
      </c>
    </row>
    <row r="6094" spans="1:7">
      <c r="B6094">
        <f>IF(INDEX(Transactions!$J:$J,ROW()-8)="",TODAY(),INDEX(Transactions!$G:$G,ROW()-8))</f>
      </c>
      <c r="F6094">
        <f>IF(INDEX(Transactions!$J:$J,ROW()-8)="",0,INDEX(Transactions!$O:$O,ROW()-8))</f>
      </c>
    </row>
    <row r="6095" spans="1:7">
      <c r="B6095">
        <f>IF(INDEX(Transactions!$J:$J,ROW()-8)="",TODAY(),INDEX(Transactions!$G:$G,ROW()-8))</f>
      </c>
      <c r="F6095">
        <f>IF(INDEX(Transactions!$J:$J,ROW()-8)="",0,INDEX(Transactions!$O:$O,ROW()-8))</f>
      </c>
    </row>
    <row r="6096" spans="1:7">
      <c r="B6096">
        <f>IF(INDEX(Transactions!$J:$J,ROW()-8)="",TODAY(),INDEX(Transactions!$G:$G,ROW()-8))</f>
      </c>
      <c r="F6096">
        <f>IF(INDEX(Transactions!$J:$J,ROW()-8)="",0,INDEX(Transactions!$O:$O,ROW()-8))</f>
      </c>
    </row>
    <row r="6097" spans="1:7">
      <c r="B6097">
        <f>IF(INDEX(Transactions!$J:$J,ROW()-8)="",TODAY(),INDEX(Transactions!$G:$G,ROW()-8))</f>
      </c>
      <c r="F6097">
        <f>IF(INDEX(Transactions!$J:$J,ROW()-8)="",0,INDEX(Transactions!$O:$O,ROW()-8))</f>
      </c>
    </row>
    <row r="6098" spans="1:7">
      <c r="B6098">
        <f>IF(INDEX(Transactions!$J:$J,ROW()-8)="",TODAY(),INDEX(Transactions!$G:$G,ROW()-8))</f>
      </c>
      <c r="F6098">
        <f>IF(INDEX(Transactions!$J:$J,ROW()-8)="",0,INDEX(Transactions!$O:$O,ROW()-8))</f>
      </c>
    </row>
    <row r="6099" spans="1:7">
      <c r="B6099">
        <f>IF(INDEX(Transactions!$J:$J,ROW()-8)="",TODAY(),INDEX(Transactions!$G:$G,ROW()-8))</f>
      </c>
      <c r="F6099">
        <f>IF(INDEX(Transactions!$J:$J,ROW()-8)="",0,INDEX(Transactions!$O:$O,ROW()-8))</f>
      </c>
    </row>
    <row r="6100" spans="1:7">
      <c r="B6100">
        <f>IF(INDEX(Transactions!$J:$J,ROW()-8)="",TODAY(),INDEX(Transactions!$G:$G,ROW()-8))</f>
      </c>
      <c r="F6100">
        <f>IF(INDEX(Transactions!$J:$J,ROW()-8)="",0,INDEX(Transactions!$O:$O,ROW()-8))</f>
      </c>
    </row>
    <row r="6101" spans="1:7">
      <c r="B6101">
        <f>IF(INDEX(Transactions!$J:$J,ROW()-8)="",TODAY(),INDEX(Transactions!$G:$G,ROW()-8))</f>
      </c>
      <c r="F6101">
        <f>IF(INDEX(Transactions!$J:$J,ROW()-8)="",0,INDEX(Transactions!$O:$O,ROW()-8))</f>
      </c>
    </row>
    <row r="6102" spans="1:7">
      <c r="B6102">
        <f>IF(INDEX(Transactions!$J:$J,ROW()-8)="",TODAY(),INDEX(Transactions!$G:$G,ROW()-8))</f>
      </c>
      <c r="F6102">
        <f>IF(INDEX(Transactions!$J:$J,ROW()-8)="",0,INDEX(Transactions!$O:$O,ROW()-8))</f>
      </c>
    </row>
    <row r="6103" spans="1:7">
      <c r="B6103">
        <f>IF(INDEX(Transactions!$J:$J,ROW()-8)="",TODAY(),INDEX(Transactions!$G:$G,ROW()-8))</f>
      </c>
      <c r="F6103">
        <f>IF(INDEX(Transactions!$J:$J,ROW()-8)="",0,INDEX(Transactions!$O:$O,ROW()-8))</f>
      </c>
    </row>
    <row r="6104" spans="1:7">
      <c r="B6104">
        <f>IF(INDEX(Transactions!$J:$J,ROW()-8)="",TODAY(),INDEX(Transactions!$G:$G,ROW()-8))</f>
      </c>
      <c r="F6104">
        <f>IF(INDEX(Transactions!$J:$J,ROW()-8)="",0,INDEX(Transactions!$O:$O,ROW()-8))</f>
      </c>
    </row>
    <row r="6105" spans="1:7">
      <c r="B6105">
        <f>IF(INDEX(Transactions!$J:$J,ROW()-8)="",TODAY(),INDEX(Transactions!$G:$G,ROW()-8))</f>
      </c>
      <c r="F6105">
        <f>IF(INDEX(Transactions!$J:$J,ROW()-8)="",0,INDEX(Transactions!$O:$O,ROW()-8))</f>
      </c>
    </row>
    <row r="6106" spans="1:7">
      <c r="B6106">
        <f>IF(INDEX(Transactions!$J:$J,ROW()-8)="",TODAY(),INDEX(Transactions!$G:$G,ROW()-8))</f>
      </c>
      <c r="F6106">
        <f>IF(INDEX(Transactions!$J:$J,ROW()-8)="",0,INDEX(Transactions!$O:$O,ROW()-8))</f>
      </c>
    </row>
    <row r="6107" spans="1:7">
      <c r="B6107">
        <f>IF(INDEX(Transactions!$J:$J,ROW()-8)="",TODAY(),INDEX(Transactions!$G:$G,ROW()-8))</f>
      </c>
      <c r="F6107">
        <f>IF(INDEX(Transactions!$J:$J,ROW()-8)="",0,INDEX(Transactions!$O:$O,ROW()-8))</f>
      </c>
    </row>
    <row r="6108" spans="1:7">
      <c r="B6108">
        <f>IF(INDEX(Transactions!$J:$J,ROW()-8)="",TODAY(),INDEX(Transactions!$G:$G,ROW()-8))</f>
      </c>
      <c r="F6108">
        <f>IF(INDEX(Transactions!$J:$J,ROW()-8)="",0,INDEX(Transactions!$O:$O,ROW()-8))</f>
      </c>
    </row>
    <row r="6109" spans="1:7">
      <c r="B6109">
        <f>IF(INDEX(Transactions!$J:$J,ROW()-8)="",TODAY(),INDEX(Transactions!$G:$G,ROW()-8))</f>
      </c>
      <c r="F6109">
        <f>IF(INDEX(Transactions!$J:$J,ROW()-8)="",0,INDEX(Transactions!$O:$O,ROW()-8))</f>
      </c>
    </row>
    <row r="6110" spans="1:7">
      <c r="B6110">
        <f>IF(INDEX(Transactions!$J:$J,ROW()-8)="",TODAY(),INDEX(Transactions!$G:$G,ROW()-8))</f>
      </c>
      <c r="F6110">
        <f>IF(INDEX(Transactions!$J:$J,ROW()-8)="",0,INDEX(Transactions!$O:$O,ROW()-8))</f>
      </c>
    </row>
    <row r="6111" spans="1:7">
      <c r="B6111">
        <f>IF(INDEX(Transactions!$J:$J,ROW()-8)="",TODAY(),INDEX(Transactions!$G:$G,ROW()-8))</f>
      </c>
      <c r="F6111">
        <f>IF(INDEX(Transactions!$J:$J,ROW()-8)="",0,INDEX(Transactions!$O:$O,ROW()-8))</f>
      </c>
    </row>
    <row r="6112" spans="1:7">
      <c r="B6112">
        <f>IF(INDEX(Transactions!$J:$J,ROW()-8)="",TODAY(),INDEX(Transactions!$G:$G,ROW()-8))</f>
      </c>
      <c r="F6112">
        <f>IF(INDEX(Transactions!$J:$J,ROW()-8)="",0,INDEX(Transactions!$O:$O,ROW()-8))</f>
      </c>
    </row>
    <row r="6113" spans="1:7">
      <c r="B6113">
        <f>IF(INDEX(Transactions!$J:$J,ROW()-8)="",TODAY(),INDEX(Transactions!$G:$G,ROW()-8))</f>
      </c>
      <c r="F6113">
        <f>IF(INDEX(Transactions!$J:$J,ROW()-8)="",0,INDEX(Transactions!$O:$O,ROW()-8))</f>
      </c>
    </row>
    <row r="6114" spans="1:7">
      <c r="B6114">
        <f>IF(INDEX(Transactions!$J:$J,ROW()-8)="",TODAY(),INDEX(Transactions!$G:$G,ROW()-8))</f>
      </c>
      <c r="F6114">
        <f>IF(INDEX(Transactions!$J:$J,ROW()-8)="",0,INDEX(Transactions!$O:$O,ROW()-8))</f>
      </c>
    </row>
    <row r="6115" spans="1:7">
      <c r="B6115">
        <f>IF(INDEX(Transactions!$J:$J,ROW()-8)="",TODAY(),INDEX(Transactions!$G:$G,ROW()-8))</f>
      </c>
      <c r="F6115">
        <f>IF(INDEX(Transactions!$J:$J,ROW()-8)="",0,INDEX(Transactions!$O:$O,ROW()-8))</f>
      </c>
    </row>
    <row r="6116" spans="1:7">
      <c r="B6116">
        <f>IF(INDEX(Transactions!$J:$J,ROW()-8)="",TODAY(),INDEX(Transactions!$G:$G,ROW()-8))</f>
      </c>
      <c r="F6116">
        <f>IF(INDEX(Transactions!$J:$J,ROW()-8)="",0,INDEX(Transactions!$O:$O,ROW()-8))</f>
      </c>
    </row>
    <row r="6117" spans="1:7">
      <c r="B6117">
        <f>IF(INDEX(Transactions!$J:$J,ROW()-8)="",TODAY(),INDEX(Transactions!$G:$G,ROW()-8))</f>
      </c>
      <c r="F6117">
        <f>IF(INDEX(Transactions!$J:$J,ROW()-8)="",0,INDEX(Transactions!$O:$O,ROW()-8))</f>
      </c>
    </row>
    <row r="6118" spans="1:7">
      <c r="B6118">
        <f>IF(INDEX(Transactions!$J:$J,ROW()-8)="",TODAY(),INDEX(Transactions!$G:$G,ROW()-8))</f>
      </c>
      <c r="F6118">
        <f>IF(INDEX(Transactions!$J:$J,ROW()-8)="",0,INDEX(Transactions!$O:$O,ROW()-8))</f>
      </c>
    </row>
    <row r="6119" spans="1:7">
      <c r="B6119">
        <f>IF(INDEX(Transactions!$J:$J,ROW()-8)="",TODAY(),INDEX(Transactions!$G:$G,ROW()-8))</f>
      </c>
      <c r="F6119">
        <f>IF(INDEX(Transactions!$J:$J,ROW()-8)="",0,INDEX(Transactions!$O:$O,ROW()-8))</f>
      </c>
    </row>
    <row r="6120" spans="1:7">
      <c r="B6120">
        <f>IF(INDEX(Transactions!$J:$J,ROW()-8)="",TODAY(),INDEX(Transactions!$G:$G,ROW()-8))</f>
      </c>
      <c r="F6120">
        <f>IF(INDEX(Transactions!$J:$J,ROW()-8)="",0,INDEX(Transactions!$O:$O,ROW()-8))</f>
      </c>
    </row>
    <row r="6121" spans="1:7">
      <c r="B6121">
        <f>IF(INDEX(Transactions!$J:$J,ROW()-8)="",TODAY(),INDEX(Transactions!$G:$G,ROW()-8))</f>
      </c>
      <c r="F6121">
        <f>IF(INDEX(Transactions!$J:$J,ROW()-8)="",0,INDEX(Transactions!$O:$O,ROW()-8))</f>
      </c>
    </row>
    <row r="6122" spans="1:7">
      <c r="B6122">
        <f>IF(INDEX(Transactions!$J:$J,ROW()-8)="",TODAY(),INDEX(Transactions!$G:$G,ROW()-8))</f>
      </c>
      <c r="F6122">
        <f>IF(INDEX(Transactions!$J:$J,ROW()-8)="",0,INDEX(Transactions!$O:$O,ROW()-8))</f>
      </c>
    </row>
    <row r="6123" spans="1:7">
      <c r="B6123">
        <f>IF(INDEX(Transactions!$J:$J,ROW()-8)="",TODAY(),INDEX(Transactions!$G:$G,ROW()-8))</f>
      </c>
      <c r="F6123">
        <f>IF(INDEX(Transactions!$J:$J,ROW()-8)="",0,INDEX(Transactions!$O:$O,ROW()-8))</f>
      </c>
    </row>
    <row r="6124" spans="1:7">
      <c r="B6124">
        <f>IF(INDEX(Transactions!$J:$J,ROW()-8)="",TODAY(),INDEX(Transactions!$G:$G,ROW()-8))</f>
      </c>
      <c r="F6124">
        <f>IF(INDEX(Transactions!$J:$J,ROW()-8)="",0,INDEX(Transactions!$O:$O,ROW()-8))</f>
      </c>
    </row>
    <row r="6125" spans="1:7">
      <c r="B6125">
        <f>IF(INDEX(Transactions!$J:$J,ROW()-8)="",TODAY(),INDEX(Transactions!$G:$G,ROW()-8))</f>
      </c>
      <c r="F6125">
        <f>IF(INDEX(Transactions!$J:$J,ROW()-8)="",0,INDEX(Transactions!$O:$O,ROW()-8))</f>
      </c>
    </row>
    <row r="6126" spans="1:7">
      <c r="B6126">
        <f>IF(INDEX(Transactions!$J:$J,ROW()-8)="",TODAY(),INDEX(Transactions!$G:$G,ROW()-8))</f>
      </c>
      <c r="F6126">
        <f>IF(INDEX(Transactions!$J:$J,ROW()-8)="",0,INDEX(Transactions!$O:$O,ROW()-8))</f>
      </c>
    </row>
    <row r="6127" spans="1:7">
      <c r="B6127">
        <f>IF(INDEX(Transactions!$J:$J,ROW()-8)="",TODAY(),INDEX(Transactions!$G:$G,ROW()-8))</f>
      </c>
      <c r="F6127">
        <f>IF(INDEX(Transactions!$J:$J,ROW()-8)="",0,INDEX(Transactions!$O:$O,ROW()-8))</f>
      </c>
    </row>
    <row r="6128" spans="1:7">
      <c r="B6128">
        <f>IF(INDEX(Transactions!$J:$J,ROW()-8)="",TODAY(),INDEX(Transactions!$G:$G,ROW()-8))</f>
      </c>
      <c r="F6128">
        <f>IF(INDEX(Transactions!$J:$J,ROW()-8)="",0,INDEX(Transactions!$O:$O,ROW()-8))</f>
      </c>
    </row>
    <row r="6129" spans="1:7">
      <c r="B6129">
        <f>IF(INDEX(Transactions!$J:$J,ROW()-8)="",TODAY(),INDEX(Transactions!$G:$G,ROW()-8))</f>
      </c>
      <c r="F6129">
        <f>IF(INDEX(Transactions!$J:$J,ROW()-8)="",0,INDEX(Transactions!$O:$O,ROW()-8))</f>
      </c>
    </row>
    <row r="6130" spans="1:7">
      <c r="B6130">
        <f>IF(INDEX(Transactions!$J:$J,ROW()-8)="",TODAY(),INDEX(Transactions!$G:$G,ROW()-8))</f>
      </c>
      <c r="F6130">
        <f>IF(INDEX(Transactions!$J:$J,ROW()-8)="",0,INDEX(Transactions!$O:$O,ROW()-8))</f>
      </c>
    </row>
    <row r="6131" spans="1:7">
      <c r="B6131">
        <f>IF(INDEX(Transactions!$J:$J,ROW()-8)="",TODAY(),INDEX(Transactions!$G:$G,ROW()-8))</f>
      </c>
      <c r="F6131">
        <f>IF(INDEX(Transactions!$J:$J,ROW()-8)="",0,INDEX(Transactions!$O:$O,ROW()-8))</f>
      </c>
    </row>
    <row r="6132" spans="1:7">
      <c r="B6132">
        <f>IF(INDEX(Transactions!$J:$J,ROW()-8)="",TODAY(),INDEX(Transactions!$G:$G,ROW()-8))</f>
      </c>
      <c r="F6132">
        <f>IF(INDEX(Transactions!$J:$J,ROW()-8)="",0,INDEX(Transactions!$O:$O,ROW()-8))</f>
      </c>
    </row>
    <row r="6133" spans="1:7">
      <c r="B6133">
        <f>IF(INDEX(Transactions!$J:$J,ROW()-8)="",TODAY(),INDEX(Transactions!$G:$G,ROW()-8))</f>
      </c>
      <c r="F6133">
        <f>IF(INDEX(Transactions!$J:$J,ROW()-8)="",0,INDEX(Transactions!$O:$O,ROW()-8))</f>
      </c>
    </row>
    <row r="6134" spans="1:7">
      <c r="B6134">
        <f>IF(INDEX(Transactions!$J:$J,ROW()-8)="",TODAY(),INDEX(Transactions!$G:$G,ROW()-8))</f>
      </c>
      <c r="F6134">
        <f>IF(INDEX(Transactions!$J:$J,ROW()-8)="",0,INDEX(Transactions!$O:$O,ROW()-8))</f>
      </c>
    </row>
    <row r="6135" spans="1:7">
      <c r="B6135">
        <f>IF(INDEX(Transactions!$J:$J,ROW()-8)="",TODAY(),INDEX(Transactions!$G:$G,ROW()-8))</f>
      </c>
      <c r="F6135">
        <f>IF(INDEX(Transactions!$J:$J,ROW()-8)="",0,INDEX(Transactions!$O:$O,ROW()-8))</f>
      </c>
    </row>
    <row r="6136" spans="1:7">
      <c r="B6136">
        <f>IF(INDEX(Transactions!$J:$J,ROW()-8)="",TODAY(),INDEX(Transactions!$G:$G,ROW()-8))</f>
      </c>
      <c r="F6136">
        <f>IF(INDEX(Transactions!$J:$J,ROW()-8)="",0,INDEX(Transactions!$O:$O,ROW()-8))</f>
      </c>
    </row>
    <row r="6137" spans="1:7">
      <c r="B6137">
        <f>IF(INDEX(Transactions!$J:$J,ROW()-8)="",TODAY(),INDEX(Transactions!$G:$G,ROW()-8))</f>
      </c>
      <c r="F6137">
        <f>IF(INDEX(Transactions!$J:$J,ROW()-8)="",0,INDEX(Transactions!$O:$O,ROW()-8))</f>
      </c>
    </row>
    <row r="6138" spans="1:7">
      <c r="B6138">
        <f>IF(INDEX(Transactions!$J:$J,ROW()-8)="",TODAY(),INDEX(Transactions!$G:$G,ROW()-8))</f>
      </c>
      <c r="F6138">
        <f>IF(INDEX(Transactions!$J:$J,ROW()-8)="",0,INDEX(Transactions!$O:$O,ROW()-8))</f>
      </c>
    </row>
    <row r="6139" spans="1:7">
      <c r="B6139">
        <f>IF(INDEX(Transactions!$J:$J,ROW()-8)="",TODAY(),INDEX(Transactions!$G:$G,ROW()-8))</f>
      </c>
      <c r="F6139">
        <f>IF(INDEX(Transactions!$J:$J,ROW()-8)="",0,INDEX(Transactions!$O:$O,ROW()-8))</f>
      </c>
    </row>
    <row r="6140" spans="1:7">
      <c r="B6140">
        <f>IF(INDEX(Transactions!$J:$J,ROW()-8)="",TODAY(),INDEX(Transactions!$G:$G,ROW()-8))</f>
      </c>
      <c r="F6140">
        <f>IF(INDEX(Transactions!$J:$J,ROW()-8)="",0,INDEX(Transactions!$O:$O,ROW()-8))</f>
      </c>
    </row>
    <row r="6141" spans="1:7">
      <c r="B6141">
        <f>IF(INDEX(Transactions!$J:$J,ROW()-8)="",TODAY(),INDEX(Transactions!$G:$G,ROW()-8))</f>
      </c>
      <c r="F6141">
        <f>IF(INDEX(Transactions!$J:$J,ROW()-8)="",0,INDEX(Transactions!$O:$O,ROW()-8))</f>
      </c>
    </row>
    <row r="6142" spans="1:7">
      <c r="B6142">
        <f>IF(INDEX(Transactions!$J:$J,ROW()-8)="",TODAY(),INDEX(Transactions!$G:$G,ROW()-8))</f>
      </c>
      <c r="F6142">
        <f>IF(INDEX(Transactions!$J:$J,ROW()-8)="",0,INDEX(Transactions!$O:$O,ROW()-8))</f>
      </c>
    </row>
    <row r="6143" spans="1:7">
      <c r="B6143">
        <f>IF(INDEX(Transactions!$J:$J,ROW()-8)="",TODAY(),INDEX(Transactions!$G:$G,ROW()-8))</f>
      </c>
      <c r="F6143">
        <f>IF(INDEX(Transactions!$J:$J,ROW()-8)="",0,INDEX(Transactions!$O:$O,ROW()-8))</f>
      </c>
    </row>
    <row r="6144" spans="1:7">
      <c r="B6144">
        <f>IF(INDEX(Transactions!$J:$J,ROW()-8)="",TODAY(),INDEX(Transactions!$G:$G,ROW()-8))</f>
      </c>
      <c r="F6144">
        <f>IF(INDEX(Transactions!$J:$J,ROW()-8)="",0,INDEX(Transactions!$O:$O,ROW()-8))</f>
      </c>
    </row>
    <row r="6145" spans="1:7">
      <c r="B6145">
        <f>IF(INDEX(Transactions!$J:$J,ROW()-8)="",TODAY(),INDEX(Transactions!$G:$G,ROW()-8))</f>
      </c>
      <c r="F6145">
        <f>IF(INDEX(Transactions!$J:$J,ROW()-8)="",0,INDEX(Transactions!$O:$O,ROW()-8))</f>
      </c>
    </row>
    <row r="6146" spans="1:7">
      <c r="B6146">
        <f>IF(INDEX(Transactions!$J:$J,ROW()-8)="",TODAY(),INDEX(Transactions!$G:$G,ROW()-8))</f>
      </c>
      <c r="F6146">
        <f>IF(INDEX(Transactions!$J:$J,ROW()-8)="",0,INDEX(Transactions!$O:$O,ROW()-8))</f>
      </c>
    </row>
    <row r="6147" spans="1:7">
      <c r="B6147">
        <f>IF(INDEX(Transactions!$J:$J,ROW()-8)="",TODAY(),INDEX(Transactions!$G:$G,ROW()-8))</f>
      </c>
      <c r="F6147">
        <f>IF(INDEX(Transactions!$J:$J,ROW()-8)="",0,INDEX(Transactions!$O:$O,ROW()-8))</f>
      </c>
    </row>
    <row r="6148" spans="1:7">
      <c r="B6148">
        <f>IF(INDEX(Transactions!$J:$J,ROW()-8)="",TODAY(),INDEX(Transactions!$G:$G,ROW()-8))</f>
      </c>
      <c r="F6148">
        <f>IF(INDEX(Transactions!$J:$J,ROW()-8)="",0,INDEX(Transactions!$O:$O,ROW()-8))</f>
      </c>
    </row>
    <row r="6149" spans="1:7">
      <c r="B6149">
        <f>IF(INDEX(Transactions!$J:$J,ROW()-8)="",TODAY(),INDEX(Transactions!$G:$G,ROW()-8))</f>
      </c>
      <c r="F6149">
        <f>IF(INDEX(Transactions!$J:$J,ROW()-8)="",0,INDEX(Transactions!$O:$O,ROW()-8))</f>
      </c>
    </row>
    <row r="6150" spans="1:7">
      <c r="B6150">
        <f>IF(INDEX(Transactions!$J:$J,ROW()-8)="",TODAY(),INDEX(Transactions!$G:$G,ROW()-8))</f>
      </c>
      <c r="F6150">
        <f>IF(INDEX(Transactions!$J:$J,ROW()-8)="",0,INDEX(Transactions!$O:$O,ROW()-8))</f>
      </c>
    </row>
    <row r="6151" spans="1:7">
      <c r="B6151">
        <f>IF(INDEX(Transactions!$J:$J,ROW()-8)="",TODAY(),INDEX(Transactions!$G:$G,ROW()-8))</f>
      </c>
      <c r="F6151">
        <f>IF(INDEX(Transactions!$J:$J,ROW()-8)="",0,INDEX(Transactions!$O:$O,ROW()-8))</f>
      </c>
    </row>
    <row r="6152" spans="1:7">
      <c r="B6152">
        <f>IF(INDEX(Transactions!$J:$J,ROW()-8)="",TODAY(),INDEX(Transactions!$G:$G,ROW()-8))</f>
      </c>
      <c r="F6152">
        <f>IF(INDEX(Transactions!$J:$J,ROW()-8)="",0,INDEX(Transactions!$O:$O,ROW()-8))</f>
      </c>
    </row>
    <row r="6153" spans="1:7">
      <c r="B6153">
        <f>IF(INDEX(Transactions!$J:$J,ROW()-8)="",TODAY(),INDEX(Transactions!$G:$G,ROW()-8))</f>
      </c>
      <c r="F6153">
        <f>IF(INDEX(Transactions!$J:$J,ROW()-8)="",0,INDEX(Transactions!$O:$O,ROW()-8))</f>
      </c>
    </row>
    <row r="6154" spans="1:7">
      <c r="B6154">
        <f>IF(INDEX(Transactions!$J:$J,ROW()-8)="",TODAY(),INDEX(Transactions!$G:$G,ROW()-8))</f>
      </c>
      <c r="F6154">
        <f>IF(INDEX(Transactions!$J:$J,ROW()-8)="",0,INDEX(Transactions!$O:$O,ROW()-8))</f>
      </c>
    </row>
    <row r="6155" spans="1:7">
      <c r="B6155">
        <f>IF(INDEX(Transactions!$J:$J,ROW()-8)="",TODAY(),INDEX(Transactions!$G:$G,ROW()-8))</f>
      </c>
      <c r="F6155">
        <f>IF(INDEX(Transactions!$J:$J,ROW()-8)="",0,INDEX(Transactions!$O:$O,ROW()-8))</f>
      </c>
    </row>
    <row r="6156" spans="1:7">
      <c r="B6156">
        <f>IF(INDEX(Transactions!$J:$J,ROW()-8)="",TODAY(),INDEX(Transactions!$G:$G,ROW()-8))</f>
      </c>
      <c r="F6156">
        <f>IF(INDEX(Transactions!$J:$J,ROW()-8)="",0,INDEX(Transactions!$O:$O,ROW()-8))</f>
      </c>
    </row>
    <row r="6157" spans="1:7">
      <c r="B6157">
        <f>IF(INDEX(Transactions!$J:$J,ROW()-8)="",TODAY(),INDEX(Transactions!$G:$G,ROW()-8))</f>
      </c>
      <c r="F6157">
        <f>IF(INDEX(Transactions!$J:$J,ROW()-8)="",0,INDEX(Transactions!$O:$O,ROW()-8))</f>
      </c>
    </row>
    <row r="6158" spans="1:7">
      <c r="B6158">
        <f>IF(INDEX(Transactions!$J:$J,ROW()-8)="",TODAY(),INDEX(Transactions!$G:$G,ROW()-8))</f>
      </c>
      <c r="F6158">
        <f>IF(INDEX(Transactions!$J:$J,ROW()-8)="",0,INDEX(Transactions!$O:$O,ROW()-8))</f>
      </c>
    </row>
    <row r="6159" spans="1:7">
      <c r="B6159">
        <f>IF(INDEX(Transactions!$J:$J,ROW()-8)="",TODAY(),INDEX(Transactions!$G:$G,ROW()-8))</f>
      </c>
      <c r="F6159">
        <f>IF(INDEX(Transactions!$J:$J,ROW()-8)="",0,INDEX(Transactions!$O:$O,ROW()-8))</f>
      </c>
    </row>
    <row r="6160" spans="1:7">
      <c r="B6160">
        <f>IF(INDEX(Transactions!$J:$J,ROW()-8)="",TODAY(),INDEX(Transactions!$G:$G,ROW()-8))</f>
      </c>
      <c r="F6160">
        <f>IF(INDEX(Transactions!$J:$J,ROW()-8)="",0,INDEX(Transactions!$O:$O,ROW()-8))</f>
      </c>
    </row>
    <row r="6161" spans="1:7">
      <c r="B6161">
        <f>IF(INDEX(Transactions!$J:$J,ROW()-8)="",TODAY(),INDEX(Transactions!$G:$G,ROW()-8))</f>
      </c>
      <c r="F6161">
        <f>IF(INDEX(Transactions!$J:$J,ROW()-8)="",0,INDEX(Transactions!$O:$O,ROW()-8))</f>
      </c>
    </row>
    <row r="6162" spans="1:7">
      <c r="B6162">
        <f>IF(INDEX(Transactions!$J:$J,ROW()-8)="",TODAY(),INDEX(Transactions!$G:$G,ROW()-8))</f>
      </c>
      <c r="F6162">
        <f>IF(INDEX(Transactions!$J:$J,ROW()-8)="",0,INDEX(Transactions!$O:$O,ROW()-8))</f>
      </c>
    </row>
    <row r="6163" spans="1:7">
      <c r="B6163">
        <f>IF(INDEX(Transactions!$J:$J,ROW()-8)="",TODAY(),INDEX(Transactions!$G:$G,ROW()-8))</f>
      </c>
      <c r="F6163">
        <f>IF(INDEX(Transactions!$J:$J,ROW()-8)="",0,INDEX(Transactions!$O:$O,ROW()-8))</f>
      </c>
    </row>
    <row r="6164" spans="1:7">
      <c r="B6164">
        <f>IF(INDEX(Transactions!$J:$J,ROW()-8)="",TODAY(),INDEX(Transactions!$G:$G,ROW()-8))</f>
      </c>
      <c r="F6164">
        <f>IF(INDEX(Transactions!$J:$J,ROW()-8)="",0,INDEX(Transactions!$O:$O,ROW()-8))</f>
      </c>
    </row>
    <row r="6165" spans="1:7">
      <c r="B6165">
        <f>IF(INDEX(Transactions!$J:$J,ROW()-8)="",TODAY(),INDEX(Transactions!$G:$G,ROW()-8))</f>
      </c>
      <c r="F6165">
        <f>IF(INDEX(Transactions!$J:$J,ROW()-8)="",0,INDEX(Transactions!$O:$O,ROW()-8))</f>
      </c>
    </row>
    <row r="6166" spans="1:7">
      <c r="B6166">
        <f>IF(INDEX(Transactions!$J:$J,ROW()-8)="",TODAY(),INDEX(Transactions!$G:$G,ROW()-8))</f>
      </c>
      <c r="F6166">
        <f>IF(INDEX(Transactions!$J:$J,ROW()-8)="",0,INDEX(Transactions!$O:$O,ROW()-8))</f>
      </c>
    </row>
    <row r="6167" spans="1:7">
      <c r="B6167">
        <f>IF(INDEX(Transactions!$J:$J,ROW()-8)="",TODAY(),INDEX(Transactions!$G:$G,ROW()-8))</f>
      </c>
      <c r="F6167">
        <f>IF(INDEX(Transactions!$J:$J,ROW()-8)="",0,INDEX(Transactions!$O:$O,ROW()-8))</f>
      </c>
    </row>
    <row r="6168" spans="1:7">
      <c r="B6168">
        <f>IF(INDEX(Transactions!$J:$J,ROW()-8)="",TODAY(),INDEX(Transactions!$G:$G,ROW()-8))</f>
      </c>
      <c r="F6168">
        <f>IF(INDEX(Transactions!$J:$J,ROW()-8)="",0,INDEX(Transactions!$O:$O,ROW()-8))</f>
      </c>
    </row>
    <row r="6169" spans="1:7">
      <c r="B6169">
        <f>IF(INDEX(Transactions!$J:$J,ROW()-8)="",TODAY(),INDEX(Transactions!$G:$G,ROW()-8))</f>
      </c>
      <c r="F6169">
        <f>IF(INDEX(Transactions!$J:$J,ROW()-8)="",0,INDEX(Transactions!$O:$O,ROW()-8))</f>
      </c>
    </row>
    <row r="6170" spans="1:7">
      <c r="B6170">
        <f>IF(INDEX(Transactions!$J:$J,ROW()-8)="",TODAY(),INDEX(Transactions!$G:$G,ROW()-8))</f>
      </c>
      <c r="F6170">
        <f>IF(INDEX(Transactions!$J:$J,ROW()-8)="",0,INDEX(Transactions!$O:$O,ROW()-8))</f>
      </c>
    </row>
    <row r="6171" spans="1:7">
      <c r="B6171">
        <f>IF(INDEX(Transactions!$J:$J,ROW()-8)="",TODAY(),INDEX(Transactions!$G:$G,ROW()-8))</f>
      </c>
      <c r="F6171">
        <f>IF(INDEX(Transactions!$J:$J,ROW()-8)="",0,INDEX(Transactions!$O:$O,ROW()-8))</f>
      </c>
    </row>
    <row r="6172" spans="1:7">
      <c r="B6172">
        <f>IF(INDEX(Transactions!$J:$J,ROW()-8)="",TODAY(),INDEX(Transactions!$G:$G,ROW()-8))</f>
      </c>
      <c r="F6172">
        <f>IF(INDEX(Transactions!$J:$J,ROW()-8)="",0,INDEX(Transactions!$O:$O,ROW()-8))</f>
      </c>
    </row>
    <row r="6173" spans="1:7">
      <c r="B6173">
        <f>IF(INDEX(Transactions!$J:$J,ROW()-8)="",TODAY(),INDEX(Transactions!$G:$G,ROW()-8))</f>
      </c>
      <c r="F6173">
        <f>IF(INDEX(Transactions!$J:$J,ROW()-8)="",0,INDEX(Transactions!$O:$O,ROW()-8))</f>
      </c>
    </row>
    <row r="6174" spans="1:7">
      <c r="B6174">
        <f>IF(INDEX(Transactions!$J:$J,ROW()-8)="",TODAY(),INDEX(Transactions!$G:$G,ROW()-8))</f>
      </c>
      <c r="F6174">
        <f>IF(INDEX(Transactions!$J:$J,ROW()-8)="",0,INDEX(Transactions!$O:$O,ROW()-8))</f>
      </c>
    </row>
    <row r="6175" spans="1:7">
      <c r="B6175">
        <f>IF(INDEX(Transactions!$J:$J,ROW()-8)="",TODAY(),INDEX(Transactions!$G:$G,ROW()-8))</f>
      </c>
      <c r="F6175">
        <f>IF(INDEX(Transactions!$J:$J,ROW()-8)="",0,INDEX(Transactions!$O:$O,ROW()-8))</f>
      </c>
    </row>
    <row r="6176" spans="1:7">
      <c r="B6176">
        <f>IF(INDEX(Transactions!$J:$J,ROW()-8)="",TODAY(),INDEX(Transactions!$G:$G,ROW()-8))</f>
      </c>
      <c r="F6176">
        <f>IF(INDEX(Transactions!$J:$J,ROW()-8)="",0,INDEX(Transactions!$O:$O,ROW()-8))</f>
      </c>
    </row>
    <row r="6177" spans="1:7">
      <c r="B6177">
        <f>IF(INDEX(Transactions!$J:$J,ROW()-8)="",TODAY(),INDEX(Transactions!$G:$G,ROW()-8))</f>
      </c>
      <c r="F6177">
        <f>IF(INDEX(Transactions!$J:$J,ROW()-8)="",0,INDEX(Transactions!$O:$O,ROW()-8))</f>
      </c>
    </row>
    <row r="6178" spans="1:7">
      <c r="B6178">
        <f>IF(INDEX(Transactions!$J:$J,ROW()-8)="",TODAY(),INDEX(Transactions!$G:$G,ROW()-8))</f>
      </c>
      <c r="F6178">
        <f>IF(INDEX(Transactions!$J:$J,ROW()-8)="",0,INDEX(Transactions!$O:$O,ROW()-8))</f>
      </c>
    </row>
    <row r="6179" spans="1:7">
      <c r="B6179">
        <f>IF(INDEX(Transactions!$J:$J,ROW()-8)="",TODAY(),INDEX(Transactions!$G:$G,ROW()-8))</f>
      </c>
      <c r="F6179">
        <f>IF(INDEX(Transactions!$J:$J,ROW()-8)="",0,INDEX(Transactions!$O:$O,ROW()-8))</f>
      </c>
    </row>
    <row r="6180" spans="1:7">
      <c r="B6180">
        <f>IF(INDEX(Transactions!$J:$J,ROW()-8)="",TODAY(),INDEX(Transactions!$G:$G,ROW()-8))</f>
      </c>
      <c r="F6180">
        <f>IF(INDEX(Transactions!$J:$J,ROW()-8)="",0,INDEX(Transactions!$O:$O,ROW()-8))</f>
      </c>
    </row>
    <row r="6181" spans="1:7">
      <c r="B6181">
        <f>IF(INDEX(Transactions!$J:$J,ROW()-8)="",TODAY(),INDEX(Transactions!$G:$G,ROW()-8))</f>
      </c>
      <c r="F6181">
        <f>IF(INDEX(Transactions!$J:$J,ROW()-8)="",0,INDEX(Transactions!$O:$O,ROW()-8))</f>
      </c>
    </row>
    <row r="6182" spans="1:7">
      <c r="B6182">
        <f>IF(INDEX(Transactions!$J:$J,ROW()-8)="",TODAY(),INDEX(Transactions!$G:$G,ROW()-8))</f>
      </c>
      <c r="F6182">
        <f>IF(INDEX(Transactions!$J:$J,ROW()-8)="",0,INDEX(Transactions!$O:$O,ROW()-8))</f>
      </c>
    </row>
    <row r="6183" spans="1:7">
      <c r="B6183">
        <f>IF(INDEX(Transactions!$J:$J,ROW()-8)="",TODAY(),INDEX(Transactions!$G:$G,ROW()-8))</f>
      </c>
      <c r="F6183">
        <f>IF(INDEX(Transactions!$J:$J,ROW()-8)="",0,INDEX(Transactions!$O:$O,ROW()-8))</f>
      </c>
    </row>
    <row r="6184" spans="1:7">
      <c r="B6184">
        <f>IF(INDEX(Transactions!$J:$J,ROW()-8)="",TODAY(),INDEX(Transactions!$G:$G,ROW()-8))</f>
      </c>
      <c r="F6184">
        <f>IF(INDEX(Transactions!$J:$J,ROW()-8)="",0,INDEX(Transactions!$O:$O,ROW()-8))</f>
      </c>
    </row>
    <row r="6185" spans="1:7">
      <c r="B6185">
        <f>IF(INDEX(Transactions!$J:$J,ROW()-8)="",TODAY(),INDEX(Transactions!$G:$G,ROW()-8))</f>
      </c>
      <c r="F6185">
        <f>IF(INDEX(Transactions!$J:$J,ROW()-8)="",0,INDEX(Transactions!$O:$O,ROW()-8))</f>
      </c>
    </row>
    <row r="6186" spans="1:7">
      <c r="B6186">
        <f>IF(INDEX(Transactions!$J:$J,ROW()-8)="",TODAY(),INDEX(Transactions!$G:$G,ROW()-8))</f>
      </c>
      <c r="F6186">
        <f>IF(INDEX(Transactions!$J:$J,ROW()-8)="",0,INDEX(Transactions!$O:$O,ROW()-8))</f>
      </c>
    </row>
    <row r="6187" spans="1:7">
      <c r="B6187">
        <f>IF(INDEX(Transactions!$J:$J,ROW()-8)="",TODAY(),INDEX(Transactions!$G:$G,ROW()-8))</f>
      </c>
      <c r="F6187">
        <f>IF(INDEX(Transactions!$J:$J,ROW()-8)="",0,INDEX(Transactions!$O:$O,ROW()-8))</f>
      </c>
    </row>
    <row r="6188" spans="1:7">
      <c r="B6188">
        <f>IF(INDEX(Transactions!$J:$J,ROW()-8)="",TODAY(),INDEX(Transactions!$G:$G,ROW()-8))</f>
      </c>
      <c r="F6188">
        <f>IF(INDEX(Transactions!$J:$J,ROW()-8)="",0,INDEX(Transactions!$O:$O,ROW()-8))</f>
      </c>
    </row>
    <row r="6189" spans="1:7">
      <c r="B6189">
        <f>IF(INDEX(Transactions!$J:$J,ROW()-8)="",TODAY(),INDEX(Transactions!$G:$G,ROW()-8))</f>
      </c>
      <c r="F6189">
        <f>IF(INDEX(Transactions!$J:$J,ROW()-8)="",0,INDEX(Transactions!$O:$O,ROW()-8))</f>
      </c>
    </row>
    <row r="6190" spans="1:7">
      <c r="B6190">
        <f>IF(INDEX(Transactions!$J:$J,ROW()-8)="",TODAY(),INDEX(Transactions!$G:$G,ROW()-8))</f>
      </c>
      <c r="F6190">
        <f>IF(INDEX(Transactions!$J:$J,ROW()-8)="",0,INDEX(Transactions!$O:$O,ROW()-8))</f>
      </c>
    </row>
    <row r="6191" spans="1:7">
      <c r="B6191">
        <f>IF(INDEX(Transactions!$J:$J,ROW()-8)="",TODAY(),INDEX(Transactions!$G:$G,ROW()-8))</f>
      </c>
      <c r="F6191">
        <f>IF(INDEX(Transactions!$J:$J,ROW()-8)="",0,INDEX(Transactions!$O:$O,ROW()-8))</f>
      </c>
    </row>
    <row r="6192" spans="1:7">
      <c r="B6192">
        <f>IF(INDEX(Transactions!$J:$J,ROW()-8)="",TODAY(),INDEX(Transactions!$G:$G,ROW()-8))</f>
      </c>
      <c r="F6192">
        <f>IF(INDEX(Transactions!$J:$J,ROW()-8)="",0,INDEX(Transactions!$O:$O,ROW()-8))</f>
      </c>
    </row>
    <row r="6193" spans="1:7">
      <c r="B6193">
        <f>IF(INDEX(Transactions!$J:$J,ROW()-8)="",TODAY(),INDEX(Transactions!$G:$G,ROW()-8))</f>
      </c>
      <c r="F6193">
        <f>IF(INDEX(Transactions!$J:$J,ROW()-8)="",0,INDEX(Transactions!$O:$O,ROW()-8))</f>
      </c>
    </row>
    <row r="6194" spans="1:7">
      <c r="B6194">
        <f>IF(INDEX(Transactions!$J:$J,ROW()-8)="",TODAY(),INDEX(Transactions!$G:$G,ROW()-8))</f>
      </c>
      <c r="F6194">
        <f>IF(INDEX(Transactions!$J:$J,ROW()-8)="",0,INDEX(Transactions!$O:$O,ROW()-8))</f>
      </c>
    </row>
    <row r="6195" spans="1:7">
      <c r="B6195">
        <f>IF(INDEX(Transactions!$J:$J,ROW()-8)="",TODAY(),INDEX(Transactions!$G:$G,ROW()-8))</f>
      </c>
      <c r="F6195">
        <f>IF(INDEX(Transactions!$J:$J,ROW()-8)="",0,INDEX(Transactions!$O:$O,ROW()-8))</f>
      </c>
    </row>
    <row r="6196" spans="1:7">
      <c r="B6196">
        <f>IF(INDEX(Transactions!$J:$J,ROW()-8)="",TODAY(),INDEX(Transactions!$G:$G,ROW()-8))</f>
      </c>
      <c r="F6196">
        <f>IF(INDEX(Transactions!$J:$J,ROW()-8)="",0,INDEX(Transactions!$O:$O,ROW()-8))</f>
      </c>
    </row>
    <row r="6197" spans="1:7">
      <c r="B6197">
        <f>IF(INDEX(Transactions!$J:$J,ROW()-8)="",TODAY(),INDEX(Transactions!$G:$G,ROW()-8))</f>
      </c>
      <c r="F6197">
        <f>IF(INDEX(Transactions!$J:$J,ROW()-8)="",0,INDEX(Transactions!$O:$O,ROW()-8))</f>
      </c>
    </row>
    <row r="6198" spans="1:7">
      <c r="B6198">
        <f>IF(INDEX(Transactions!$J:$J,ROW()-8)="",TODAY(),INDEX(Transactions!$G:$G,ROW()-8))</f>
      </c>
      <c r="F6198">
        <f>IF(INDEX(Transactions!$J:$J,ROW()-8)="",0,INDEX(Transactions!$O:$O,ROW()-8))</f>
      </c>
    </row>
    <row r="6199" spans="1:7">
      <c r="B6199">
        <f>IF(INDEX(Transactions!$J:$J,ROW()-8)="",TODAY(),INDEX(Transactions!$G:$G,ROW()-8))</f>
      </c>
      <c r="F6199">
        <f>IF(INDEX(Transactions!$J:$J,ROW()-8)="",0,INDEX(Transactions!$O:$O,ROW()-8))</f>
      </c>
    </row>
    <row r="6200" spans="1:7">
      <c r="B6200">
        <f>IF(INDEX(Transactions!$J:$J,ROW()-8)="",TODAY(),INDEX(Transactions!$G:$G,ROW()-8))</f>
      </c>
      <c r="F6200">
        <f>IF(INDEX(Transactions!$J:$J,ROW()-8)="",0,INDEX(Transactions!$O:$O,ROW()-8))</f>
      </c>
    </row>
    <row r="6201" spans="1:7">
      <c r="B6201">
        <f>IF(INDEX(Transactions!$J:$J,ROW()-8)="",TODAY(),INDEX(Transactions!$G:$G,ROW()-8))</f>
      </c>
      <c r="F6201">
        <f>IF(INDEX(Transactions!$J:$J,ROW()-8)="",0,INDEX(Transactions!$O:$O,ROW()-8))</f>
      </c>
    </row>
    <row r="6202" spans="1:7">
      <c r="B6202">
        <f>IF(INDEX(Transactions!$J:$J,ROW()-8)="",TODAY(),INDEX(Transactions!$G:$G,ROW()-8))</f>
      </c>
      <c r="F6202">
        <f>IF(INDEX(Transactions!$J:$J,ROW()-8)="",0,INDEX(Transactions!$O:$O,ROW()-8))</f>
      </c>
    </row>
    <row r="6203" spans="1:7">
      <c r="B6203">
        <f>IF(INDEX(Transactions!$J:$J,ROW()-8)="",TODAY(),INDEX(Transactions!$G:$G,ROW()-8))</f>
      </c>
      <c r="F6203">
        <f>IF(INDEX(Transactions!$J:$J,ROW()-8)="",0,INDEX(Transactions!$O:$O,ROW()-8))</f>
      </c>
    </row>
    <row r="6204" spans="1:7">
      <c r="B6204">
        <f>IF(INDEX(Transactions!$J:$J,ROW()-8)="",TODAY(),INDEX(Transactions!$G:$G,ROW()-8))</f>
      </c>
      <c r="F6204">
        <f>IF(INDEX(Transactions!$J:$J,ROW()-8)="",0,INDEX(Transactions!$O:$O,ROW()-8))</f>
      </c>
    </row>
    <row r="6205" spans="1:7">
      <c r="B6205">
        <f>IF(INDEX(Transactions!$J:$J,ROW()-8)="",TODAY(),INDEX(Transactions!$G:$G,ROW()-8))</f>
      </c>
      <c r="F6205">
        <f>IF(INDEX(Transactions!$J:$J,ROW()-8)="",0,INDEX(Transactions!$O:$O,ROW()-8))</f>
      </c>
    </row>
    <row r="6206" spans="1:7">
      <c r="B6206">
        <f>IF(INDEX(Transactions!$J:$J,ROW()-8)="",TODAY(),INDEX(Transactions!$G:$G,ROW()-8))</f>
      </c>
      <c r="F6206">
        <f>IF(INDEX(Transactions!$J:$J,ROW()-8)="",0,INDEX(Transactions!$O:$O,ROW()-8))</f>
      </c>
    </row>
    <row r="6207" spans="1:7">
      <c r="B6207">
        <f>IF(INDEX(Transactions!$J:$J,ROW()-8)="",TODAY(),INDEX(Transactions!$G:$G,ROW()-8))</f>
      </c>
      <c r="F6207">
        <f>IF(INDEX(Transactions!$J:$J,ROW()-8)="",0,INDEX(Transactions!$O:$O,ROW()-8))</f>
      </c>
    </row>
    <row r="6208" spans="1:7">
      <c r="B6208">
        <f>IF(INDEX(Transactions!$J:$J,ROW()-8)="",TODAY(),INDEX(Transactions!$G:$G,ROW()-8))</f>
      </c>
      <c r="F6208">
        <f>IF(INDEX(Transactions!$J:$J,ROW()-8)="",0,INDEX(Transactions!$O:$O,ROW()-8))</f>
      </c>
    </row>
    <row r="6209" spans="1:7">
      <c r="B6209">
        <f>IF(INDEX(Transactions!$J:$J,ROW()-8)="",TODAY(),INDEX(Transactions!$G:$G,ROW()-8))</f>
      </c>
      <c r="F6209">
        <f>IF(INDEX(Transactions!$J:$J,ROW()-8)="",0,INDEX(Transactions!$O:$O,ROW()-8))</f>
      </c>
    </row>
    <row r="6210" spans="1:7">
      <c r="B6210">
        <f>IF(INDEX(Transactions!$J:$J,ROW()-8)="",TODAY(),INDEX(Transactions!$G:$G,ROW()-8))</f>
      </c>
      <c r="F6210">
        <f>IF(INDEX(Transactions!$J:$J,ROW()-8)="",0,INDEX(Transactions!$O:$O,ROW()-8))</f>
      </c>
    </row>
    <row r="6211" spans="1:7">
      <c r="B6211">
        <f>IF(INDEX(Transactions!$J:$J,ROW()-8)="",TODAY(),INDEX(Transactions!$G:$G,ROW()-8))</f>
      </c>
      <c r="F6211">
        <f>IF(INDEX(Transactions!$J:$J,ROW()-8)="",0,INDEX(Transactions!$O:$O,ROW()-8))</f>
      </c>
    </row>
    <row r="6212" spans="1:7">
      <c r="B6212">
        <f>IF(INDEX(Transactions!$J:$J,ROW()-8)="",TODAY(),INDEX(Transactions!$G:$G,ROW()-8))</f>
      </c>
      <c r="F6212">
        <f>IF(INDEX(Transactions!$J:$J,ROW()-8)="",0,INDEX(Transactions!$O:$O,ROW()-8))</f>
      </c>
    </row>
    <row r="6213" spans="1:7">
      <c r="B6213">
        <f>IF(INDEX(Transactions!$J:$J,ROW()-8)="",TODAY(),INDEX(Transactions!$G:$G,ROW()-8))</f>
      </c>
      <c r="F6213">
        <f>IF(INDEX(Transactions!$J:$J,ROW()-8)="",0,INDEX(Transactions!$O:$O,ROW()-8))</f>
      </c>
    </row>
    <row r="6214" spans="1:7">
      <c r="B6214">
        <f>IF(INDEX(Transactions!$J:$J,ROW()-8)="",TODAY(),INDEX(Transactions!$G:$G,ROW()-8))</f>
      </c>
      <c r="F6214">
        <f>IF(INDEX(Transactions!$J:$J,ROW()-8)="",0,INDEX(Transactions!$O:$O,ROW()-8))</f>
      </c>
    </row>
    <row r="6215" spans="1:7">
      <c r="B6215">
        <f>IF(INDEX(Transactions!$J:$J,ROW()-8)="",TODAY(),INDEX(Transactions!$G:$G,ROW()-8))</f>
      </c>
      <c r="F6215">
        <f>IF(INDEX(Transactions!$J:$J,ROW()-8)="",0,INDEX(Transactions!$O:$O,ROW()-8))</f>
      </c>
    </row>
    <row r="6216" spans="1:7">
      <c r="B6216">
        <f>IF(INDEX(Transactions!$J:$J,ROW()-8)="",TODAY(),INDEX(Transactions!$G:$G,ROW()-8))</f>
      </c>
      <c r="F6216">
        <f>IF(INDEX(Transactions!$J:$J,ROW()-8)="",0,INDEX(Transactions!$O:$O,ROW()-8))</f>
      </c>
    </row>
    <row r="6217" spans="1:7">
      <c r="B6217">
        <f>IF(INDEX(Transactions!$J:$J,ROW()-8)="",TODAY(),INDEX(Transactions!$G:$G,ROW()-8))</f>
      </c>
      <c r="F6217">
        <f>IF(INDEX(Transactions!$J:$J,ROW()-8)="",0,INDEX(Transactions!$O:$O,ROW()-8))</f>
      </c>
    </row>
    <row r="6218" spans="1:7">
      <c r="B6218">
        <f>IF(INDEX(Transactions!$J:$J,ROW()-8)="",TODAY(),INDEX(Transactions!$G:$G,ROW()-8))</f>
      </c>
      <c r="F6218">
        <f>IF(INDEX(Transactions!$J:$J,ROW()-8)="",0,INDEX(Transactions!$O:$O,ROW()-8))</f>
      </c>
    </row>
    <row r="6219" spans="1:7">
      <c r="B6219">
        <f>IF(INDEX(Transactions!$J:$J,ROW()-8)="",TODAY(),INDEX(Transactions!$G:$G,ROW()-8))</f>
      </c>
      <c r="F6219">
        <f>IF(INDEX(Transactions!$J:$J,ROW()-8)="",0,INDEX(Transactions!$O:$O,ROW()-8))</f>
      </c>
    </row>
    <row r="6220" spans="1:7">
      <c r="B6220">
        <f>IF(INDEX(Transactions!$J:$J,ROW()-8)="",TODAY(),INDEX(Transactions!$G:$G,ROW()-8))</f>
      </c>
      <c r="F6220">
        <f>IF(INDEX(Transactions!$J:$J,ROW()-8)="",0,INDEX(Transactions!$O:$O,ROW()-8))</f>
      </c>
    </row>
    <row r="6221" spans="1:7">
      <c r="B6221">
        <f>IF(INDEX(Transactions!$J:$J,ROW()-8)="",TODAY(),INDEX(Transactions!$G:$G,ROW()-8))</f>
      </c>
      <c r="F6221">
        <f>IF(INDEX(Transactions!$J:$J,ROW()-8)="",0,INDEX(Transactions!$O:$O,ROW()-8))</f>
      </c>
    </row>
    <row r="6222" spans="1:7">
      <c r="B6222">
        <f>IF(INDEX(Transactions!$J:$J,ROW()-8)="",TODAY(),INDEX(Transactions!$G:$G,ROW()-8))</f>
      </c>
      <c r="F6222">
        <f>IF(INDEX(Transactions!$J:$J,ROW()-8)="",0,INDEX(Transactions!$O:$O,ROW()-8))</f>
      </c>
    </row>
    <row r="6223" spans="1:7">
      <c r="B6223">
        <f>IF(INDEX(Transactions!$J:$J,ROW()-8)="",TODAY(),INDEX(Transactions!$G:$G,ROW()-8))</f>
      </c>
      <c r="F6223">
        <f>IF(INDEX(Transactions!$J:$J,ROW()-8)="",0,INDEX(Transactions!$O:$O,ROW()-8))</f>
      </c>
    </row>
    <row r="6224" spans="1:7">
      <c r="B6224">
        <f>IF(INDEX(Transactions!$J:$J,ROW()-8)="",TODAY(),INDEX(Transactions!$G:$G,ROW()-8))</f>
      </c>
      <c r="F6224">
        <f>IF(INDEX(Transactions!$J:$J,ROW()-8)="",0,INDEX(Transactions!$O:$O,ROW()-8))</f>
      </c>
    </row>
    <row r="6225" spans="1:7">
      <c r="B6225">
        <f>IF(INDEX(Transactions!$J:$J,ROW()-8)="",TODAY(),INDEX(Transactions!$G:$G,ROW()-8))</f>
      </c>
      <c r="F6225">
        <f>IF(INDEX(Transactions!$J:$J,ROW()-8)="",0,INDEX(Transactions!$O:$O,ROW()-8))</f>
      </c>
    </row>
    <row r="6226" spans="1:7">
      <c r="B6226">
        <f>IF(INDEX(Transactions!$J:$J,ROW()-8)="",TODAY(),INDEX(Transactions!$G:$G,ROW()-8))</f>
      </c>
      <c r="F6226">
        <f>IF(INDEX(Transactions!$J:$J,ROW()-8)="",0,INDEX(Transactions!$O:$O,ROW()-8))</f>
      </c>
    </row>
    <row r="6227" spans="1:7">
      <c r="B6227">
        <f>IF(INDEX(Transactions!$J:$J,ROW()-8)="",TODAY(),INDEX(Transactions!$G:$G,ROW()-8))</f>
      </c>
      <c r="F6227">
        <f>IF(INDEX(Transactions!$J:$J,ROW()-8)="",0,INDEX(Transactions!$O:$O,ROW()-8))</f>
      </c>
    </row>
    <row r="6228" spans="1:7">
      <c r="B6228">
        <f>IF(INDEX(Transactions!$J:$J,ROW()-8)="",TODAY(),INDEX(Transactions!$G:$G,ROW()-8))</f>
      </c>
      <c r="F6228">
        <f>IF(INDEX(Transactions!$J:$J,ROW()-8)="",0,INDEX(Transactions!$O:$O,ROW()-8))</f>
      </c>
    </row>
    <row r="6229" spans="1:7">
      <c r="B6229">
        <f>IF(INDEX(Transactions!$J:$J,ROW()-8)="",TODAY(),INDEX(Transactions!$G:$G,ROW()-8))</f>
      </c>
      <c r="F6229">
        <f>IF(INDEX(Transactions!$J:$J,ROW()-8)="",0,INDEX(Transactions!$O:$O,ROW()-8))</f>
      </c>
    </row>
    <row r="6230" spans="1:7">
      <c r="B6230">
        <f>IF(INDEX(Transactions!$J:$J,ROW()-8)="",TODAY(),INDEX(Transactions!$G:$G,ROW()-8))</f>
      </c>
      <c r="F6230">
        <f>IF(INDEX(Transactions!$J:$J,ROW()-8)="",0,INDEX(Transactions!$O:$O,ROW()-8))</f>
      </c>
    </row>
    <row r="6231" spans="1:7">
      <c r="B6231">
        <f>IF(INDEX(Transactions!$J:$J,ROW()-8)="",TODAY(),INDEX(Transactions!$G:$G,ROW()-8))</f>
      </c>
      <c r="F6231">
        <f>IF(INDEX(Transactions!$J:$J,ROW()-8)="",0,INDEX(Transactions!$O:$O,ROW()-8))</f>
      </c>
    </row>
    <row r="6232" spans="1:7">
      <c r="B6232">
        <f>IF(INDEX(Transactions!$J:$J,ROW()-8)="",TODAY(),INDEX(Transactions!$G:$G,ROW()-8))</f>
      </c>
      <c r="F6232">
        <f>IF(INDEX(Transactions!$J:$J,ROW()-8)="",0,INDEX(Transactions!$O:$O,ROW()-8))</f>
      </c>
    </row>
    <row r="6233" spans="1:7">
      <c r="B6233">
        <f>IF(INDEX(Transactions!$J:$J,ROW()-8)="",TODAY(),INDEX(Transactions!$G:$G,ROW()-8))</f>
      </c>
      <c r="F6233">
        <f>IF(INDEX(Transactions!$J:$J,ROW()-8)="",0,INDEX(Transactions!$O:$O,ROW()-8))</f>
      </c>
    </row>
    <row r="6234" spans="1:7">
      <c r="B6234">
        <f>IF(INDEX(Transactions!$J:$J,ROW()-8)="",TODAY(),INDEX(Transactions!$G:$G,ROW()-8))</f>
      </c>
      <c r="F6234">
        <f>IF(INDEX(Transactions!$J:$J,ROW()-8)="",0,INDEX(Transactions!$O:$O,ROW()-8))</f>
      </c>
    </row>
    <row r="6235" spans="1:7">
      <c r="B6235">
        <f>IF(INDEX(Transactions!$J:$J,ROW()-8)="",TODAY(),INDEX(Transactions!$G:$G,ROW()-8))</f>
      </c>
      <c r="F6235">
        <f>IF(INDEX(Transactions!$J:$J,ROW()-8)="",0,INDEX(Transactions!$O:$O,ROW()-8))</f>
      </c>
    </row>
    <row r="6236" spans="1:7">
      <c r="B6236">
        <f>IF(INDEX(Transactions!$J:$J,ROW()-8)="",TODAY(),INDEX(Transactions!$G:$G,ROW()-8))</f>
      </c>
      <c r="F6236">
        <f>IF(INDEX(Transactions!$J:$J,ROW()-8)="",0,INDEX(Transactions!$O:$O,ROW()-8))</f>
      </c>
    </row>
    <row r="6237" spans="1:7">
      <c r="B6237">
        <f>IF(INDEX(Transactions!$J:$J,ROW()-8)="",TODAY(),INDEX(Transactions!$G:$G,ROW()-8))</f>
      </c>
      <c r="F6237">
        <f>IF(INDEX(Transactions!$J:$J,ROW()-8)="",0,INDEX(Transactions!$O:$O,ROW()-8))</f>
      </c>
    </row>
    <row r="6238" spans="1:7">
      <c r="B6238">
        <f>IF(INDEX(Transactions!$J:$J,ROW()-8)="",TODAY(),INDEX(Transactions!$G:$G,ROW()-8))</f>
      </c>
      <c r="F6238">
        <f>IF(INDEX(Transactions!$J:$J,ROW()-8)="",0,INDEX(Transactions!$O:$O,ROW()-8))</f>
      </c>
    </row>
    <row r="6239" spans="1:7">
      <c r="B6239">
        <f>IF(INDEX(Transactions!$J:$J,ROW()-8)="",TODAY(),INDEX(Transactions!$G:$G,ROW()-8))</f>
      </c>
      <c r="F6239">
        <f>IF(INDEX(Transactions!$J:$J,ROW()-8)="",0,INDEX(Transactions!$O:$O,ROW()-8))</f>
      </c>
    </row>
    <row r="6240" spans="1:7">
      <c r="B6240">
        <f>IF(INDEX(Transactions!$J:$J,ROW()-8)="",TODAY(),INDEX(Transactions!$G:$G,ROW()-8))</f>
      </c>
      <c r="F6240">
        <f>IF(INDEX(Transactions!$J:$J,ROW()-8)="",0,INDEX(Transactions!$O:$O,ROW()-8))</f>
      </c>
    </row>
    <row r="6241" spans="1:7">
      <c r="B6241">
        <f>IF(INDEX(Transactions!$J:$J,ROW()-8)="",TODAY(),INDEX(Transactions!$G:$G,ROW()-8))</f>
      </c>
      <c r="F6241">
        <f>IF(INDEX(Transactions!$J:$J,ROW()-8)="",0,INDEX(Transactions!$O:$O,ROW()-8))</f>
      </c>
    </row>
    <row r="6242" spans="1:7">
      <c r="B6242">
        <f>IF(INDEX(Transactions!$J:$J,ROW()-8)="",TODAY(),INDEX(Transactions!$G:$G,ROW()-8))</f>
      </c>
      <c r="F6242">
        <f>IF(INDEX(Transactions!$J:$J,ROW()-8)="",0,INDEX(Transactions!$O:$O,ROW()-8))</f>
      </c>
    </row>
    <row r="6243" spans="1:7">
      <c r="B6243">
        <f>IF(INDEX(Transactions!$J:$J,ROW()-8)="",TODAY(),INDEX(Transactions!$G:$G,ROW()-8))</f>
      </c>
      <c r="F6243">
        <f>IF(INDEX(Transactions!$J:$J,ROW()-8)="",0,INDEX(Transactions!$O:$O,ROW()-8))</f>
      </c>
    </row>
    <row r="6244" spans="1:7">
      <c r="B6244">
        <f>IF(INDEX(Transactions!$J:$J,ROW()-8)="",TODAY(),INDEX(Transactions!$G:$G,ROW()-8))</f>
      </c>
      <c r="F6244">
        <f>IF(INDEX(Transactions!$J:$J,ROW()-8)="",0,INDEX(Transactions!$O:$O,ROW()-8))</f>
      </c>
    </row>
    <row r="6245" spans="1:7">
      <c r="B6245">
        <f>IF(INDEX(Transactions!$J:$J,ROW()-8)="",TODAY(),INDEX(Transactions!$G:$G,ROW()-8))</f>
      </c>
      <c r="F6245">
        <f>IF(INDEX(Transactions!$J:$J,ROW()-8)="",0,INDEX(Transactions!$O:$O,ROW()-8))</f>
      </c>
    </row>
    <row r="6246" spans="1:7">
      <c r="B6246">
        <f>IF(INDEX(Transactions!$J:$J,ROW()-8)="",TODAY(),INDEX(Transactions!$G:$G,ROW()-8))</f>
      </c>
      <c r="F6246">
        <f>IF(INDEX(Transactions!$J:$J,ROW()-8)="",0,INDEX(Transactions!$O:$O,ROW()-8))</f>
      </c>
    </row>
    <row r="6247" spans="1:7">
      <c r="B6247">
        <f>IF(INDEX(Transactions!$J:$J,ROW()-8)="",TODAY(),INDEX(Transactions!$G:$G,ROW()-8))</f>
      </c>
      <c r="F6247">
        <f>IF(INDEX(Transactions!$J:$J,ROW()-8)="",0,INDEX(Transactions!$O:$O,ROW()-8))</f>
      </c>
    </row>
    <row r="6248" spans="1:7">
      <c r="B6248">
        <f>IF(INDEX(Transactions!$J:$J,ROW()-8)="",TODAY(),INDEX(Transactions!$G:$G,ROW()-8))</f>
      </c>
      <c r="F6248">
        <f>IF(INDEX(Transactions!$J:$J,ROW()-8)="",0,INDEX(Transactions!$O:$O,ROW()-8))</f>
      </c>
    </row>
    <row r="6249" spans="1:7">
      <c r="B6249">
        <f>IF(INDEX(Transactions!$J:$J,ROW()-8)="",TODAY(),INDEX(Transactions!$G:$G,ROW()-8))</f>
      </c>
      <c r="F6249">
        <f>IF(INDEX(Transactions!$J:$J,ROW()-8)="",0,INDEX(Transactions!$O:$O,ROW()-8))</f>
      </c>
    </row>
    <row r="6250" spans="1:7">
      <c r="B6250">
        <f>IF(INDEX(Transactions!$J:$J,ROW()-8)="",TODAY(),INDEX(Transactions!$G:$G,ROW()-8))</f>
      </c>
      <c r="F6250">
        <f>IF(INDEX(Transactions!$J:$J,ROW()-8)="",0,INDEX(Transactions!$O:$O,ROW()-8))</f>
      </c>
    </row>
    <row r="6251" spans="1:7">
      <c r="B6251">
        <f>IF(INDEX(Transactions!$J:$J,ROW()-8)="",TODAY(),INDEX(Transactions!$G:$G,ROW()-8))</f>
      </c>
      <c r="F6251">
        <f>IF(INDEX(Transactions!$J:$J,ROW()-8)="",0,INDEX(Transactions!$O:$O,ROW()-8))</f>
      </c>
    </row>
    <row r="6252" spans="1:7">
      <c r="B6252">
        <f>IF(INDEX(Transactions!$J:$J,ROW()-8)="",TODAY(),INDEX(Transactions!$G:$G,ROW()-8))</f>
      </c>
      <c r="F6252">
        <f>IF(INDEX(Transactions!$J:$J,ROW()-8)="",0,INDEX(Transactions!$O:$O,ROW()-8))</f>
      </c>
    </row>
    <row r="6253" spans="1:7">
      <c r="B6253">
        <f>IF(INDEX(Transactions!$J:$J,ROW()-8)="",TODAY(),INDEX(Transactions!$G:$G,ROW()-8))</f>
      </c>
      <c r="F6253">
        <f>IF(INDEX(Transactions!$J:$J,ROW()-8)="",0,INDEX(Transactions!$O:$O,ROW()-8))</f>
      </c>
    </row>
    <row r="6254" spans="1:7">
      <c r="B6254">
        <f>IF(INDEX(Transactions!$J:$J,ROW()-8)="",TODAY(),INDEX(Transactions!$G:$G,ROW()-8))</f>
      </c>
      <c r="F6254">
        <f>IF(INDEX(Transactions!$J:$J,ROW()-8)="",0,INDEX(Transactions!$O:$O,ROW()-8))</f>
      </c>
    </row>
    <row r="6255" spans="1:7">
      <c r="B6255">
        <f>IF(INDEX(Transactions!$J:$J,ROW()-8)="",TODAY(),INDEX(Transactions!$G:$G,ROW()-8))</f>
      </c>
      <c r="F6255">
        <f>IF(INDEX(Transactions!$J:$J,ROW()-8)="",0,INDEX(Transactions!$O:$O,ROW()-8))</f>
      </c>
    </row>
    <row r="6256" spans="1:7">
      <c r="B6256">
        <f>IF(INDEX(Transactions!$J:$J,ROW()-8)="",TODAY(),INDEX(Transactions!$G:$G,ROW()-8))</f>
      </c>
      <c r="F6256">
        <f>IF(INDEX(Transactions!$J:$J,ROW()-8)="",0,INDEX(Transactions!$O:$O,ROW()-8))</f>
      </c>
    </row>
    <row r="6257" spans="1:7">
      <c r="B6257">
        <f>IF(INDEX(Transactions!$J:$J,ROW()-8)="",TODAY(),INDEX(Transactions!$G:$G,ROW()-8))</f>
      </c>
      <c r="F6257">
        <f>IF(INDEX(Transactions!$J:$J,ROW()-8)="",0,INDEX(Transactions!$O:$O,ROW()-8))</f>
      </c>
    </row>
    <row r="6258" spans="1:7">
      <c r="B6258">
        <f>IF(INDEX(Transactions!$J:$J,ROW()-8)="",TODAY(),INDEX(Transactions!$G:$G,ROW()-8))</f>
      </c>
      <c r="F6258">
        <f>IF(INDEX(Transactions!$J:$J,ROW()-8)="",0,INDEX(Transactions!$O:$O,ROW()-8))</f>
      </c>
    </row>
    <row r="6259" spans="1:7">
      <c r="B6259">
        <f>IF(INDEX(Transactions!$J:$J,ROW()-8)="",TODAY(),INDEX(Transactions!$G:$G,ROW()-8))</f>
      </c>
      <c r="F6259">
        <f>IF(INDEX(Transactions!$J:$J,ROW()-8)="",0,INDEX(Transactions!$O:$O,ROW()-8))</f>
      </c>
    </row>
    <row r="6260" spans="1:7">
      <c r="B6260">
        <f>IF(INDEX(Transactions!$J:$J,ROW()-8)="",TODAY(),INDEX(Transactions!$G:$G,ROW()-8))</f>
      </c>
      <c r="F6260">
        <f>IF(INDEX(Transactions!$J:$J,ROW()-8)="",0,INDEX(Transactions!$O:$O,ROW()-8))</f>
      </c>
    </row>
    <row r="6261" spans="1:7">
      <c r="B6261">
        <f>IF(INDEX(Transactions!$J:$J,ROW()-8)="",TODAY(),INDEX(Transactions!$G:$G,ROW()-8))</f>
      </c>
      <c r="F6261">
        <f>IF(INDEX(Transactions!$J:$J,ROW()-8)="",0,INDEX(Transactions!$O:$O,ROW()-8))</f>
      </c>
    </row>
    <row r="6262" spans="1:7">
      <c r="B6262">
        <f>IF(INDEX(Transactions!$J:$J,ROW()-8)="",TODAY(),INDEX(Transactions!$G:$G,ROW()-8))</f>
      </c>
      <c r="F6262">
        <f>IF(INDEX(Transactions!$J:$J,ROW()-8)="",0,INDEX(Transactions!$O:$O,ROW()-8))</f>
      </c>
    </row>
    <row r="6263" spans="1:7">
      <c r="B6263">
        <f>IF(INDEX(Transactions!$J:$J,ROW()-8)="",TODAY(),INDEX(Transactions!$G:$G,ROW()-8))</f>
      </c>
      <c r="F6263">
        <f>IF(INDEX(Transactions!$J:$J,ROW()-8)="",0,INDEX(Transactions!$O:$O,ROW()-8))</f>
      </c>
    </row>
    <row r="6264" spans="1:7">
      <c r="B6264">
        <f>IF(INDEX(Transactions!$J:$J,ROW()-8)="",TODAY(),INDEX(Transactions!$G:$G,ROW()-8))</f>
      </c>
      <c r="F6264">
        <f>IF(INDEX(Transactions!$J:$J,ROW()-8)="",0,INDEX(Transactions!$O:$O,ROW()-8))</f>
      </c>
    </row>
    <row r="6265" spans="1:7">
      <c r="B6265">
        <f>IF(INDEX(Transactions!$J:$J,ROW()-8)="",TODAY(),INDEX(Transactions!$G:$G,ROW()-8))</f>
      </c>
      <c r="F6265">
        <f>IF(INDEX(Transactions!$J:$J,ROW()-8)="",0,INDEX(Transactions!$O:$O,ROW()-8))</f>
      </c>
    </row>
    <row r="6266" spans="1:7">
      <c r="B6266">
        <f>IF(INDEX(Transactions!$J:$J,ROW()-8)="",TODAY(),INDEX(Transactions!$G:$G,ROW()-8))</f>
      </c>
      <c r="F6266">
        <f>IF(INDEX(Transactions!$J:$J,ROW()-8)="",0,INDEX(Transactions!$O:$O,ROW()-8))</f>
      </c>
    </row>
    <row r="6267" spans="1:7">
      <c r="B6267">
        <f>IF(INDEX(Transactions!$J:$J,ROW()-8)="",TODAY(),INDEX(Transactions!$G:$G,ROW()-8))</f>
      </c>
      <c r="F6267">
        <f>IF(INDEX(Transactions!$J:$J,ROW()-8)="",0,INDEX(Transactions!$O:$O,ROW()-8))</f>
      </c>
    </row>
    <row r="6268" spans="1:7">
      <c r="B6268">
        <f>IF(INDEX(Transactions!$J:$J,ROW()-8)="",TODAY(),INDEX(Transactions!$G:$G,ROW()-8))</f>
      </c>
      <c r="F6268">
        <f>IF(INDEX(Transactions!$J:$J,ROW()-8)="",0,INDEX(Transactions!$O:$O,ROW()-8))</f>
      </c>
    </row>
    <row r="6269" spans="1:7">
      <c r="B6269">
        <f>IF(INDEX(Transactions!$J:$J,ROW()-8)="",TODAY(),INDEX(Transactions!$G:$G,ROW()-8))</f>
      </c>
      <c r="F6269">
        <f>IF(INDEX(Transactions!$J:$J,ROW()-8)="",0,INDEX(Transactions!$O:$O,ROW()-8))</f>
      </c>
    </row>
    <row r="6270" spans="1:7">
      <c r="B6270">
        <f>IF(INDEX(Transactions!$J:$J,ROW()-8)="",TODAY(),INDEX(Transactions!$G:$G,ROW()-8))</f>
      </c>
      <c r="F6270">
        <f>IF(INDEX(Transactions!$J:$J,ROW()-8)="",0,INDEX(Transactions!$O:$O,ROW()-8))</f>
      </c>
    </row>
    <row r="6271" spans="1:7">
      <c r="B6271">
        <f>IF(INDEX(Transactions!$J:$J,ROW()-8)="",TODAY(),INDEX(Transactions!$G:$G,ROW()-8))</f>
      </c>
      <c r="F6271">
        <f>IF(INDEX(Transactions!$J:$J,ROW()-8)="",0,INDEX(Transactions!$O:$O,ROW()-8))</f>
      </c>
    </row>
    <row r="6272" spans="1:7">
      <c r="B6272">
        <f>IF(INDEX(Transactions!$J:$J,ROW()-8)="",TODAY(),INDEX(Transactions!$G:$G,ROW()-8))</f>
      </c>
      <c r="F6272">
        <f>IF(INDEX(Transactions!$J:$J,ROW()-8)="",0,INDEX(Transactions!$O:$O,ROW()-8))</f>
      </c>
    </row>
    <row r="6273" spans="1:7">
      <c r="B6273">
        <f>IF(INDEX(Transactions!$J:$J,ROW()-8)="",TODAY(),INDEX(Transactions!$G:$G,ROW()-8))</f>
      </c>
      <c r="F6273">
        <f>IF(INDEX(Transactions!$J:$J,ROW()-8)="",0,INDEX(Transactions!$O:$O,ROW()-8))</f>
      </c>
    </row>
    <row r="6274" spans="1:7">
      <c r="B6274">
        <f>IF(INDEX(Transactions!$J:$J,ROW()-8)="",TODAY(),INDEX(Transactions!$G:$G,ROW()-8))</f>
      </c>
      <c r="F6274">
        <f>IF(INDEX(Transactions!$J:$J,ROW()-8)="",0,INDEX(Transactions!$O:$O,ROW()-8))</f>
      </c>
    </row>
    <row r="6275" spans="1:7">
      <c r="B6275">
        <f>IF(INDEX(Transactions!$J:$J,ROW()-8)="",TODAY(),INDEX(Transactions!$G:$G,ROW()-8))</f>
      </c>
      <c r="F6275">
        <f>IF(INDEX(Transactions!$J:$J,ROW()-8)="",0,INDEX(Transactions!$O:$O,ROW()-8))</f>
      </c>
    </row>
    <row r="6276" spans="1:7">
      <c r="B6276">
        <f>IF(INDEX(Transactions!$J:$J,ROW()-8)="",TODAY(),INDEX(Transactions!$G:$G,ROW()-8))</f>
      </c>
      <c r="F6276">
        <f>IF(INDEX(Transactions!$J:$J,ROW()-8)="",0,INDEX(Transactions!$O:$O,ROW()-8))</f>
      </c>
    </row>
    <row r="6277" spans="1:7">
      <c r="B6277">
        <f>IF(INDEX(Transactions!$J:$J,ROW()-8)="",TODAY(),INDEX(Transactions!$G:$G,ROW()-8))</f>
      </c>
      <c r="F6277">
        <f>IF(INDEX(Transactions!$J:$J,ROW()-8)="",0,INDEX(Transactions!$O:$O,ROW()-8))</f>
      </c>
    </row>
    <row r="6278" spans="1:7">
      <c r="B6278">
        <f>IF(INDEX(Transactions!$J:$J,ROW()-8)="",TODAY(),INDEX(Transactions!$G:$G,ROW()-8))</f>
      </c>
      <c r="F6278">
        <f>IF(INDEX(Transactions!$J:$J,ROW()-8)="",0,INDEX(Transactions!$O:$O,ROW()-8))</f>
      </c>
    </row>
    <row r="6279" spans="1:7">
      <c r="B6279">
        <f>IF(INDEX(Transactions!$J:$J,ROW()-8)="",TODAY(),INDEX(Transactions!$G:$G,ROW()-8))</f>
      </c>
      <c r="F6279">
        <f>IF(INDEX(Transactions!$J:$J,ROW()-8)="",0,INDEX(Transactions!$O:$O,ROW()-8))</f>
      </c>
    </row>
    <row r="6280" spans="1:7">
      <c r="B6280">
        <f>IF(INDEX(Transactions!$J:$J,ROW()-8)="",TODAY(),INDEX(Transactions!$G:$G,ROW()-8))</f>
      </c>
      <c r="F6280">
        <f>IF(INDEX(Transactions!$J:$J,ROW()-8)="",0,INDEX(Transactions!$O:$O,ROW()-8))</f>
      </c>
    </row>
    <row r="6281" spans="1:7">
      <c r="B6281">
        <f>IF(INDEX(Transactions!$J:$J,ROW()-8)="",TODAY(),INDEX(Transactions!$G:$G,ROW()-8))</f>
      </c>
      <c r="F6281">
        <f>IF(INDEX(Transactions!$J:$J,ROW()-8)="",0,INDEX(Transactions!$O:$O,ROW()-8))</f>
      </c>
    </row>
    <row r="6282" spans="1:7">
      <c r="B6282">
        <f>IF(INDEX(Transactions!$J:$J,ROW()-8)="",TODAY(),INDEX(Transactions!$G:$G,ROW()-8))</f>
      </c>
      <c r="F6282">
        <f>IF(INDEX(Transactions!$J:$J,ROW()-8)="",0,INDEX(Transactions!$O:$O,ROW()-8))</f>
      </c>
    </row>
    <row r="6283" spans="1:7">
      <c r="B6283">
        <f>IF(INDEX(Transactions!$J:$J,ROW()-8)="",TODAY(),INDEX(Transactions!$G:$G,ROW()-8))</f>
      </c>
      <c r="F6283">
        <f>IF(INDEX(Transactions!$J:$J,ROW()-8)="",0,INDEX(Transactions!$O:$O,ROW()-8))</f>
      </c>
    </row>
    <row r="6284" spans="1:7">
      <c r="B6284">
        <f>IF(INDEX(Transactions!$J:$J,ROW()-8)="",TODAY(),INDEX(Transactions!$G:$G,ROW()-8))</f>
      </c>
      <c r="F6284">
        <f>IF(INDEX(Transactions!$J:$J,ROW()-8)="",0,INDEX(Transactions!$O:$O,ROW()-8))</f>
      </c>
    </row>
    <row r="6285" spans="1:7">
      <c r="B6285">
        <f>IF(INDEX(Transactions!$J:$J,ROW()-8)="",TODAY(),INDEX(Transactions!$G:$G,ROW()-8))</f>
      </c>
      <c r="F6285">
        <f>IF(INDEX(Transactions!$J:$J,ROW()-8)="",0,INDEX(Transactions!$O:$O,ROW()-8))</f>
      </c>
    </row>
    <row r="6286" spans="1:7">
      <c r="B6286">
        <f>IF(INDEX(Transactions!$J:$J,ROW()-8)="",TODAY(),INDEX(Transactions!$G:$G,ROW()-8))</f>
      </c>
      <c r="F6286">
        <f>IF(INDEX(Transactions!$J:$J,ROW()-8)="",0,INDEX(Transactions!$O:$O,ROW()-8))</f>
      </c>
    </row>
    <row r="6287" spans="1:7">
      <c r="B6287">
        <f>IF(INDEX(Transactions!$J:$J,ROW()-8)="",TODAY(),INDEX(Transactions!$G:$G,ROW()-8))</f>
      </c>
      <c r="F6287">
        <f>IF(INDEX(Transactions!$J:$J,ROW()-8)="",0,INDEX(Transactions!$O:$O,ROW()-8))</f>
      </c>
    </row>
    <row r="6288" spans="1:7">
      <c r="B6288">
        <f>IF(INDEX(Transactions!$J:$J,ROW()-8)="",TODAY(),INDEX(Transactions!$G:$G,ROW()-8))</f>
      </c>
      <c r="F6288">
        <f>IF(INDEX(Transactions!$J:$J,ROW()-8)="",0,INDEX(Transactions!$O:$O,ROW()-8))</f>
      </c>
    </row>
    <row r="6289" spans="1:7">
      <c r="B6289">
        <f>IF(INDEX(Transactions!$J:$J,ROW()-8)="",TODAY(),INDEX(Transactions!$G:$G,ROW()-8))</f>
      </c>
      <c r="F6289">
        <f>IF(INDEX(Transactions!$J:$J,ROW()-8)="",0,INDEX(Transactions!$O:$O,ROW()-8))</f>
      </c>
    </row>
    <row r="6290" spans="1:7">
      <c r="B6290">
        <f>IF(INDEX(Transactions!$J:$J,ROW()-8)="",TODAY(),INDEX(Transactions!$G:$G,ROW()-8))</f>
      </c>
      <c r="F6290">
        <f>IF(INDEX(Transactions!$J:$J,ROW()-8)="",0,INDEX(Transactions!$O:$O,ROW()-8))</f>
      </c>
    </row>
    <row r="6291" spans="1:7">
      <c r="B6291">
        <f>IF(INDEX(Transactions!$J:$J,ROW()-8)="",TODAY(),INDEX(Transactions!$G:$G,ROW()-8))</f>
      </c>
      <c r="F6291">
        <f>IF(INDEX(Transactions!$J:$J,ROW()-8)="",0,INDEX(Transactions!$O:$O,ROW()-8))</f>
      </c>
    </row>
    <row r="6292" spans="1:7">
      <c r="B6292">
        <f>IF(INDEX(Transactions!$J:$J,ROW()-8)="",TODAY(),INDEX(Transactions!$G:$G,ROW()-8))</f>
      </c>
      <c r="F6292">
        <f>IF(INDEX(Transactions!$J:$J,ROW()-8)="",0,INDEX(Transactions!$O:$O,ROW()-8))</f>
      </c>
    </row>
    <row r="6293" spans="1:7">
      <c r="B6293">
        <f>IF(INDEX(Transactions!$J:$J,ROW()-8)="",TODAY(),INDEX(Transactions!$G:$G,ROW()-8))</f>
      </c>
      <c r="F6293">
        <f>IF(INDEX(Transactions!$J:$J,ROW()-8)="",0,INDEX(Transactions!$O:$O,ROW()-8))</f>
      </c>
    </row>
    <row r="6294" spans="1:7">
      <c r="B6294">
        <f>IF(INDEX(Transactions!$J:$J,ROW()-8)="",TODAY(),INDEX(Transactions!$G:$G,ROW()-8))</f>
      </c>
      <c r="F6294">
        <f>IF(INDEX(Transactions!$J:$J,ROW()-8)="",0,INDEX(Transactions!$O:$O,ROW()-8))</f>
      </c>
    </row>
    <row r="6295" spans="1:7">
      <c r="B6295">
        <f>IF(INDEX(Transactions!$J:$J,ROW()-8)="",TODAY(),INDEX(Transactions!$G:$G,ROW()-8))</f>
      </c>
      <c r="F6295">
        <f>IF(INDEX(Transactions!$J:$J,ROW()-8)="",0,INDEX(Transactions!$O:$O,ROW()-8))</f>
      </c>
    </row>
    <row r="6296" spans="1:7">
      <c r="B6296">
        <f>IF(INDEX(Transactions!$J:$J,ROW()-8)="",TODAY(),INDEX(Transactions!$G:$G,ROW()-8))</f>
      </c>
      <c r="F6296">
        <f>IF(INDEX(Transactions!$J:$J,ROW()-8)="",0,INDEX(Transactions!$O:$O,ROW()-8))</f>
      </c>
    </row>
    <row r="6297" spans="1:7">
      <c r="B6297">
        <f>IF(INDEX(Transactions!$J:$J,ROW()-8)="",TODAY(),INDEX(Transactions!$G:$G,ROW()-8))</f>
      </c>
      <c r="F6297">
        <f>IF(INDEX(Transactions!$J:$J,ROW()-8)="",0,INDEX(Transactions!$O:$O,ROW()-8))</f>
      </c>
    </row>
    <row r="6298" spans="1:7">
      <c r="B6298">
        <f>IF(INDEX(Transactions!$J:$J,ROW()-8)="",TODAY(),INDEX(Transactions!$G:$G,ROW()-8))</f>
      </c>
      <c r="F6298">
        <f>IF(INDEX(Transactions!$J:$J,ROW()-8)="",0,INDEX(Transactions!$O:$O,ROW()-8))</f>
      </c>
    </row>
    <row r="6299" spans="1:7">
      <c r="B6299">
        <f>IF(INDEX(Transactions!$J:$J,ROW()-8)="",TODAY(),INDEX(Transactions!$G:$G,ROW()-8))</f>
      </c>
      <c r="F6299">
        <f>IF(INDEX(Transactions!$J:$J,ROW()-8)="",0,INDEX(Transactions!$O:$O,ROW()-8))</f>
      </c>
    </row>
    <row r="6300" spans="1:7">
      <c r="B6300">
        <f>IF(INDEX(Transactions!$J:$J,ROW()-8)="",TODAY(),INDEX(Transactions!$G:$G,ROW()-8))</f>
      </c>
      <c r="F6300">
        <f>IF(INDEX(Transactions!$J:$J,ROW()-8)="",0,INDEX(Transactions!$O:$O,ROW()-8))</f>
      </c>
    </row>
    <row r="6301" spans="1:7">
      <c r="B6301">
        <f>IF(INDEX(Transactions!$J:$J,ROW()-8)="",TODAY(),INDEX(Transactions!$G:$G,ROW()-8))</f>
      </c>
      <c r="F6301">
        <f>IF(INDEX(Transactions!$J:$J,ROW()-8)="",0,INDEX(Transactions!$O:$O,ROW()-8))</f>
      </c>
    </row>
    <row r="6302" spans="1:7">
      <c r="B6302">
        <f>IF(INDEX(Transactions!$J:$J,ROW()-8)="",TODAY(),INDEX(Transactions!$G:$G,ROW()-8))</f>
      </c>
      <c r="F6302">
        <f>IF(INDEX(Transactions!$J:$J,ROW()-8)="",0,INDEX(Transactions!$O:$O,ROW()-8))</f>
      </c>
    </row>
    <row r="6303" spans="1:7">
      <c r="B6303">
        <f>IF(INDEX(Transactions!$J:$J,ROW()-8)="",TODAY(),INDEX(Transactions!$G:$G,ROW()-8))</f>
      </c>
      <c r="F6303">
        <f>IF(INDEX(Transactions!$J:$J,ROW()-8)="",0,INDEX(Transactions!$O:$O,ROW()-8))</f>
      </c>
    </row>
    <row r="6304" spans="1:7">
      <c r="B6304">
        <f>IF(INDEX(Transactions!$J:$J,ROW()-8)="",TODAY(),INDEX(Transactions!$G:$G,ROW()-8))</f>
      </c>
      <c r="F6304">
        <f>IF(INDEX(Transactions!$J:$J,ROW()-8)="",0,INDEX(Transactions!$O:$O,ROW()-8))</f>
      </c>
    </row>
    <row r="6305" spans="1:7">
      <c r="B6305">
        <f>IF(INDEX(Transactions!$J:$J,ROW()-8)="",TODAY(),INDEX(Transactions!$G:$G,ROW()-8))</f>
      </c>
      <c r="F6305">
        <f>IF(INDEX(Transactions!$J:$J,ROW()-8)="",0,INDEX(Transactions!$O:$O,ROW()-8))</f>
      </c>
    </row>
    <row r="6306" spans="1:7">
      <c r="B6306">
        <f>IF(INDEX(Transactions!$J:$J,ROW()-8)="",TODAY(),INDEX(Transactions!$G:$G,ROW()-8))</f>
      </c>
      <c r="F6306">
        <f>IF(INDEX(Transactions!$J:$J,ROW()-8)="",0,INDEX(Transactions!$O:$O,ROW()-8))</f>
      </c>
    </row>
    <row r="6307" spans="1:7">
      <c r="B6307">
        <f>IF(INDEX(Transactions!$J:$J,ROW()-8)="",TODAY(),INDEX(Transactions!$G:$G,ROW()-8))</f>
      </c>
      <c r="F6307">
        <f>IF(INDEX(Transactions!$J:$J,ROW()-8)="",0,INDEX(Transactions!$O:$O,ROW()-8))</f>
      </c>
    </row>
    <row r="6308" spans="1:7">
      <c r="B6308">
        <f>IF(INDEX(Transactions!$J:$J,ROW()-8)="",TODAY(),INDEX(Transactions!$G:$G,ROW()-8))</f>
      </c>
      <c r="F6308">
        <f>IF(INDEX(Transactions!$J:$J,ROW()-8)="",0,INDEX(Transactions!$O:$O,ROW()-8))</f>
      </c>
    </row>
    <row r="6309" spans="1:7">
      <c r="B6309">
        <f>IF(INDEX(Transactions!$J:$J,ROW()-8)="",TODAY(),INDEX(Transactions!$G:$G,ROW()-8))</f>
      </c>
      <c r="F6309">
        <f>IF(INDEX(Transactions!$J:$J,ROW()-8)="",0,INDEX(Transactions!$O:$O,ROW()-8))</f>
      </c>
    </row>
    <row r="6310" spans="1:7">
      <c r="B6310">
        <f>IF(INDEX(Transactions!$J:$J,ROW()-8)="",TODAY(),INDEX(Transactions!$G:$G,ROW()-8))</f>
      </c>
      <c r="F6310">
        <f>IF(INDEX(Transactions!$J:$J,ROW()-8)="",0,INDEX(Transactions!$O:$O,ROW()-8))</f>
      </c>
    </row>
    <row r="6311" spans="1:7">
      <c r="B6311">
        <f>IF(INDEX(Transactions!$J:$J,ROW()-8)="",TODAY(),INDEX(Transactions!$G:$G,ROW()-8))</f>
      </c>
      <c r="F6311">
        <f>IF(INDEX(Transactions!$J:$J,ROW()-8)="",0,INDEX(Transactions!$O:$O,ROW()-8))</f>
      </c>
    </row>
    <row r="6312" spans="1:7">
      <c r="B6312">
        <f>IF(INDEX(Transactions!$J:$J,ROW()-8)="",TODAY(),INDEX(Transactions!$G:$G,ROW()-8))</f>
      </c>
      <c r="F6312">
        <f>IF(INDEX(Transactions!$J:$J,ROW()-8)="",0,INDEX(Transactions!$O:$O,ROW()-8))</f>
      </c>
    </row>
    <row r="6313" spans="1:7">
      <c r="B6313">
        <f>IF(INDEX(Transactions!$J:$J,ROW()-8)="",TODAY(),INDEX(Transactions!$G:$G,ROW()-8))</f>
      </c>
      <c r="F6313">
        <f>IF(INDEX(Transactions!$J:$J,ROW()-8)="",0,INDEX(Transactions!$O:$O,ROW()-8))</f>
      </c>
    </row>
    <row r="6314" spans="1:7">
      <c r="B6314">
        <f>IF(INDEX(Transactions!$J:$J,ROW()-8)="",TODAY(),INDEX(Transactions!$G:$G,ROW()-8))</f>
      </c>
      <c r="F6314">
        <f>IF(INDEX(Transactions!$J:$J,ROW()-8)="",0,INDEX(Transactions!$O:$O,ROW()-8))</f>
      </c>
    </row>
    <row r="6315" spans="1:7">
      <c r="B6315">
        <f>IF(INDEX(Transactions!$J:$J,ROW()-8)="",TODAY(),INDEX(Transactions!$G:$G,ROW()-8))</f>
      </c>
      <c r="F6315">
        <f>IF(INDEX(Transactions!$J:$J,ROW()-8)="",0,INDEX(Transactions!$O:$O,ROW()-8))</f>
      </c>
    </row>
    <row r="6316" spans="1:7">
      <c r="B6316">
        <f>IF(INDEX(Transactions!$J:$J,ROW()-8)="",TODAY(),INDEX(Transactions!$G:$G,ROW()-8))</f>
      </c>
      <c r="F6316">
        <f>IF(INDEX(Transactions!$J:$J,ROW()-8)="",0,INDEX(Transactions!$O:$O,ROW()-8))</f>
      </c>
    </row>
    <row r="6317" spans="1:7">
      <c r="B6317">
        <f>IF(INDEX(Transactions!$J:$J,ROW()-8)="",TODAY(),INDEX(Transactions!$G:$G,ROW()-8))</f>
      </c>
      <c r="F6317">
        <f>IF(INDEX(Transactions!$J:$J,ROW()-8)="",0,INDEX(Transactions!$O:$O,ROW()-8))</f>
      </c>
    </row>
    <row r="6318" spans="1:7">
      <c r="B6318">
        <f>IF(INDEX(Transactions!$J:$J,ROW()-8)="",TODAY(),INDEX(Transactions!$G:$G,ROW()-8))</f>
      </c>
      <c r="F6318">
        <f>IF(INDEX(Transactions!$J:$J,ROW()-8)="",0,INDEX(Transactions!$O:$O,ROW()-8))</f>
      </c>
    </row>
    <row r="6319" spans="1:7">
      <c r="B6319">
        <f>IF(INDEX(Transactions!$J:$J,ROW()-8)="",TODAY(),INDEX(Transactions!$G:$G,ROW()-8))</f>
      </c>
      <c r="F6319">
        <f>IF(INDEX(Transactions!$J:$J,ROW()-8)="",0,INDEX(Transactions!$O:$O,ROW()-8))</f>
      </c>
    </row>
    <row r="6320" spans="1:7">
      <c r="B6320">
        <f>IF(INDEX(Transactions!$J:$J,ROW()-8)="",TODAY(),INDEX(Transactions!$G:$G,ROW()-8))</f>
      </c>
      <c r="F6320">
        <f>IF(INDEX(Transactions!$J:$J,ROW()-8)="",0,INDEX(Transactions!$O:$O,ROW()-8))</f>
      </c>
    </row>
    <row r="6321" spans="1:7">
      <c r="B6321">
        <f>IF(INDEX(Transactions!$J:$J,ROW()-8)="",TODAY(),INDEX(Transactions!$G:$G,ROW()-8))</f>
      </c>
      <c r="F6321">
        <f>IF(INDEX(Transactions!$J:$J,ROW()-8)="",0,INDEX(Transactions!$O:$O,ROW()-8))</f>
      </c>
    </row>
    <row r="6322" spans="1:7">
      <c r="B6322">
        <f>IF(INDEX(Transactions!$J:$J,ROW()-8)="",TODAY(),INDEX(Transactions!$G:$G,ROW()-8))</f>
      </c>
      <c r="F6322">
        <f>IF(INDEX(Transactions!$J:$J,ROW()-8)="",0,INDEX(Transactions!$O:$O,ROW()-8))</f>
      </c>
    </row>
    <row r="6323" spans="1:7">
      <c r="B6323">
        <f>IF(INDEX(Transactions!$J:$J,ROW()-8)="",TODAY(),INDEX(Transactions!$G:$G,ROW()-8))</f>
      </c>
      <c r="F6323">
        <f>IF(INDEX(Transactions!$J:$J,ROW()-8)="",0,INDEX(Transactions!$O:$O,ROW()-8))</f>
      </c>
    </row>
    <row r="6324" spans="1:7">
      <c r="B6324">
        <f>IF(INDEX(Transactions!$J:$J,ROW()-8)="",TODAY(),INDEX(Transactions!$G:$G,ROW()-8))</f>
      </c>
      <c r="F6324">
        <f>IF(INDEX(Transactions!$J:$J,ROW()-8)="",0,INDEX(Transactions!$O:$O,ROW()-8))</f>
      </c>
    </row>
    <row r="6325" spans="1:7">
      <c r="B6325">
        <f>IF(INDEX(Transactions!$J:$J,ROW()-8)="",TODAY(),INDEX(Transactions!$G:$G,ROW()-8))</f>
      </c>
      <c r="F6325">
        <f>IF(INDEX(Transactions!$J:$J,ROW()-8)="",0,INDEX(Transactions!$O:$O,ROW()-8))</f>
      </c>
    </row>
    <row r="6326" spans="1:7">
      <c r="B6326">
        <f>IF(INDEX(Transactions!$J:$J,ROW()-8)="",TODAY(),INDEX(Transactions!$G:$G,ROW()-8))</f>
      </c>
      <c r="F6326">
        <f>IF(INDEX(Transactions!$J:$J,ROW()-8)="",0,INDEX(Transactions!$O:$O,ROW()-8))</f>
      </c>
    </row>
    <row r="6327" spans="1:7">
      <c r="B6327">
        <f>IF(INDEX(Transactions!$J:$J,ROW()-8)="",TODAY(),INDEX(Transactions!$G:$G,ROW()-8))</f>
      </c>
      <c r="F6327">
        <f>IF(INDEX(Transactions!$J:$J,ROW()-8)="",0,INDEX(Transactions!$O:$O,ROW()-8))</f>
      </c>
    </row>
    <row r="6328" spans="1:7">
      <c r="B6328">
        <f>IF(INDEX(Transactions!$J:$J,ROW()-8)="",TODAY(),INDEX(Transactions!$G:$G,ROW()-8))</f>
      </c>
      <c r="F6328">
        <f>IF(INDEX(Transactions!$J:$J,ROW()-8)="",0,INDEX(Transactions!$O:$O,ROW()-8))</f>
      </c>
    </row>
    <row r="6329" spans="1:7">
      <c r="B6329">
        <f>IF(INDEX(Transactions!$J:$J,ROW()-8)="",TODAY(),INDEX(Transactions!$G:$G,ROW()-8))</f>
      </c>
      <c r="F6329">
        <f>IF(INDEX(Transactions!$J:$J,ROW()-8)="",0,INDEX(Transactions!$O:$O,ROW()-8))</f>
      </c>
    </row>
    <row r="6330" spans="1:7">
      <c r="B6330">
        <f>IF(INDEX(Transactions!$J:$J,ROW()-8)="",TODAY(),INDEX(Transactions!$G:$G,ROW()-8))</f>
      </c>
      <c r="F6330">
        <f>IF(INDEX(Transactions!$J:$J,ROW()-8)="",0,INDEX(Transactions!$O:$O,ROW()-8))</f>
      </c>
    </row>
    <row r="6331" spans="1:7">
      <c r="B6331">
        <f>IF(INDEX(Transactions!$J:$J,ROW()-8)="",TODAY(),INDEX(Transactions!$G:$G,ROW()-8))</f>
      </c>
      <c r="F6331">
        <f>IF(INDEX(Transactions!$J:$J,ROW()-8)="",0,INDEX(Transactions!$O:$O,ROW()-8))</f>
      </c>
    </row>
    <row r="6332" spans="1:7">
      <c r="B6332">
        <f>IF(INDEX(Transactions!$J:$J,ROW()-8)="",TODAY(),INDEX(Transactions!$G:$G,ROW()-8))</f>
      </c>
      <c r="F6332">
        <f>IF(INDEX(Transactions!$J:$J,ROW()-8)="",0,INDEX(Transactions!$O:$O,ROW()-8))</f>
      </c>
    </row>
    <row r="6333" spans="1:7">
      <c r="B6333">
        <f>IF(INDEX(Transactions!$J:$J,ROW()-8)="",TODAY(),INDEX(Transactions!$G:$G,ROW()-8))</f>
      </c>
      <c r="F6333">
        <f>IF(INDEX(Transactions!$J:$J,ROW()-8)="",0,INDEX(Transactions!$O:$O,ROW()-8))</f>
      </c>
    </row>
    <row r="6334" spans="1:7">
      <c r="B6334">
        <f>IF(INDEX(Transactions!$J:$J,ROW()-8)="",TODAY(),INDEX(Transactions!$G:$G,ROW()-8))</f>
      </c>
      <c r="F6334">
        <f>IF(INDEX(Transactions!$J:$J,ROW()-8)="",0,INDEX(Transactions!$O:$O,ROW()-8))</f>
      </c>
    </row>
    <row r="6335" spans="1:7">
      <c r="B6335">
        <f>IF(INDEX(Transactions!$J:$J,ROW()-8)="",TODAY(),INDEX(Transactions!$G:$G,ROW()-8))</f>
      </c>
      <c r="F6335">
        <f>IF(INDEX(Transactions!$J:$J,ROW()-8)="",0,INDEX(Transactions!$O:$O,ROW()-8))</f>
      </c>
    </row>
    <row r="6336" spans="1:7">
      <c r="B6336">
        <f>IF(INDEX(Transactions!$J:$J,ROW()-8)="",TODAY(),INDEX(Transactions!$G:$G,ROW()-8))</f>
      </c>
      <c r="F6336">
        <f>IF(INDEX(Transactions!$J:$J,ROW()-8)="",0,INDEX(Transactions!$O:$O,ROW()-8))</f>
      </c>
    </row>
    <row r="6337" spans="1:7">
      <c r="B6337">
        <f>IF(INDEX(Transactions!$J:$J,ROW()-8)="",TODAY(),INDEX(Transactions!$G:$G,ROW()-8))</f>
      </c>
      <c r="F6337">
        <f>IF(INDEX(Transactions!$J:$J,ROW()-8)="",0,INDEX(Transactions!$O:$O,ROW()-8))</f>
      </c>
    </row>
    <row r="6338" spans="1:7">
      <c r="B6338">
        <f>IF(INDEX(Transactions!$J:$J,ROW()-8)="",TODAY(),INDEX(Transactions!$G:$G,ROW()-8))</f>
      </c>
      <c r="F6338">
        <f>IF(INDEX(Transactions!$J:$J,ROW()-8)="",0,INDEX(Transactions!$O:$O,ROW()-8))</f>
      </c>
    </row>
    <row r="6339" spans="1:7">
      <c r="B6339">
        <f>IF(INDEX(Transactions!$J:$J,ROW()-8)="",TODAY(),INDEX(Transactions!$G:$G,ROW()-8))</f>
      </c>
      <c r="F6339">
        <f>IF(INDEX(Transactions!$J:$J,ROW()-8)="",0,INDEX(Transactions!$O:$O,ROW()-8))</f>
      </c>
    </row>
    <row r="6340" spans="1:7">
      <c r="B6340">
        <f>IF(INDEX(Transactions!$J:$J,ROW()-8)="",TODAY(),INDEX(Transactions!$G:$G,ROW()-8))</f>
      </c>
      <c r="F6340">
        <f>IF(INDEX(Transactions!$J:$J,ROW()-8)="",0,INDEX(Transactions!$O:$O,ROW()-8))</f>
      </c>
    </row>
    <row r="6341" spans="1:7">
      <c r="B6341">
        <f>IF(INDEX(Transactions!$J:$J,ROW()-8)="",TODAY(),INDEX(Transactions!$G:$G,ROW()-8))</f>
      </c>
      <c r="F6341">
        <f>IF(INDEX(Transactions!$J:$J,ROW()-8)="",0,INDEX(Transactions!$O:$O,ROW()-8))</f>
      </c>
    </row>
    <row r="6342" spans="1:7">
      <c r="B6342">
        <f>IF(INDEX(Transactions!$J:$J,ROW()-8)="",TODAY(),INDEX(Transactions!$G:$G,ROW()-8))</f>
      </c>
      <c r="F6342">
        <f>IF(INDEX(Transactions!$J:$J,ROW()-8)="",0,INDEX(Transactions!$O:$O,ROW()-8))</f>
      </c>
    </row>
    <row r="6343" spans="1:7">
      <c r="B6343">
        <f>IF(INDEX(Transactions!$J:$J,ROW()-8)="",TODAY(),INDEX(Transactions!$G:$G,ROW()-8))</f>
      </c>
      <c r="F6343">
        <f>IF(INDEX(Transactions!$J:$J,ROW()-8)="",0,INDEX(Transactions!$O:$O,ROW()-8))</f>
      </c>
    </row>
    <row r="6344" spans="1:7">
      <c r="B6344">
        <f>IF(INDEX(Transactions!$J:$J,ROW()-8)="",TODAY(),INDEX(Transactions!$G:$G,ROW()-8))</f>
      </c>
      <c r="F6344">
        <f>IF(INDEX(Transactions!$J:$J,ROW()-8)="",0,INDEX(Transactions!$O:$O,ROW()-8))</f>
      </c>
    </row>
    <row r="6345" spans="1:7">
      <c r="B6345">
        <f>IF(INDEX(Transactions!$J:$J,ROW()-8)="",TODAY(),INDEX(Transactions!$G:$G,ROW()-8))</f>
      </c>
      <c r="F6345">
        <f>IF(INDEX(Transactions!$J:$J,ROW()-8)="",0,INDEX(Transactions!$O:$O,ROW()-8))</f>
      </c>
    </row>
    <row r="6346" spans="1:7">
      <c r="B6346">
        <f>IF(INDEX(Transactions!$J:$J,ROW()-8)="",TODAY(),INDEX(Transactions!$G:$G,ROW()-8))</f>
      </c>
      <c r="F6346">
        <f>IF(INDEX(Transactions!$J:$J,ROW()-8)="",0,INDEX(Transactions!$O:$O,ROW()-8))</f>
      </c>
    </row>
    <row r="6347" spans="1:7">
      <c r="B6347">
        <f>IF(INDEX(Transactions!$J:$J,ROW()-8)="",TODAY(),INDEX(Transactions!$G:$G,ROW()-8))</f>
      </c>
      <c r="F6347">
        <f>IF(INDEX(Transactions!$J:$J,ROW()-8)="",0,INDEX(Transactions!$O:$O,ROW()-8))</f>
      </c>
    </row>
    <row r="6348" spans="1:7">
      <c r="B6348">
        <f>IF(INDEX(Transactions!$J:$J,ROW()-8)="",TODAY(),INDEX(Transactions!$G:$G,ROW()-8))</f>
      </c>
      <c r="F6348">
        <f>IF(INDEX(Transactions!$J:$J,ROW()-8)="",0,INDEX(Transactions!$O:$O,ROW()-8))</f>
      </c>
    </row>
    <row r="6349" spans="1:7">
      <c r="B6349">
        <f>IF(INDEX(Transactions!$J:$J,ROW()-8)="",TODAY(),INDEX(Transactions!$G:$G,ROW()-8))</f>
      </c>
      <c r="F6349">
        <f>IF(INDEX(Transactions!$J:$J,ROW()-8)="",0,INDEX(Transactions!$O:$O,ROW()-8))</f>
      </c>
    </row>
    <row r="6350" spans="1:7">
      <c r="B6350">
        <f>IF(INDEX(Transactions!$J:$J,ROW()-8)="",TODAY(),INDEX(Transactions!$G:$G,ROW()-8))</f>
      </c>
      <c r="F6350">
        <f>IF(INDEX(Transactions!$J:$J,ROW()-8)="",0,INDEX(Transactions!$O:$O,ROW()-8))</f>
      </c>
    </row>
    <row r="6351" spans="1:7">
      <c r="B6351">
        <f>IF(INDEX(Transactions!$J:$J,ROW()-8)="",TODAY(),INDEX(Transactions!$G:$G,ROW()-8))</f>
      </c>
      <c r="F6351">
        <f>IF(INDEX(Transactions!$J:$J,ROW()-8)="",0,INDEX(Transactions!$O:$O,ROW()-8))</f>
      </c>
    </row>
    <row r="6352" spans="1:7">
      <c r="B6352">
        <f>IF(INDEX(Transactions!$J:$J,ROW()-8)="",TODAY(),INDEX(Transactions!$G:$G,ROW()-8))</f>
      </c>
      <c r="F6352">
        <f>IF(INDEX(Transactions!$J:$J,ROW()-8)="",0,INDEX(Transactions!$O:$O,ROW()-8))</f>
      </c>
    </row>
    <row r="6353" spans="1:7">
      <c r="B6353">
        <f>IF(INDEX(Transactions!$J:$J,ROW()-8)="",TODAY(),INDEX(Transactions!$G:$G,ROW()-8))</f>
      </c>
      <c r="F6353">
        <f>IF(INDEX(Transactions!$J:$J,ROW()-8)="",0,INDEX(Transactions!$O:$O,ROW()-8))</f>
      </c>
    </row>
    <row r="6354" spans="1:7">
      <c r="B6354">
        <f>IF(INDEX(Transactions!$J:$J,ROW()-8)="",TODAY(),INDEX(Transactions!$G:$G,ROW()-8))</f>
      </c>
      <c r="F6354">
        <f>IF(INDEX(Transactions!$J:$J,ROW()-8)="",0,INDEX(Transactions!$O:$O,ROW()-8))</f>
      </c>
    </row>
    <row r="6355" spans="1:7">
      <c r="B6355">
        <f>IF(INDEX(Transactions!$J:$J,ROW()-8)="",TODAY(),INDEX(Transactions!$G:$G,ROW()-8))</f>
      </c>
      <c r="F6355">
        <f>IF(INDEX(Transactions!$J:$J,ROW()-8)="",0,INDEX(Transactions!$O:$O,ROW()-8))</f>
      </c>
    </row>
    <row r="6356" spans="1:7">
      <c r="B6356">
        <f>IF(INDEX(Transactions!$J:$J,ROW()-8)="",TODAY(),INDEX(Transactions!$G:$G,ROW()-8))</f>
      </c>
      <c r="F6356">
        <f>IF(INDEX(Transactions!$J:$J,ROW()-8)="",0,INDEX(Transactions!$O:$O,ROW()-8))</f>
      </c>
    </row>
    <row r="6357" spans="1:7">
      <c r="B6357">
        <f>IF(INDEX(Transactions!$J:$J,ROW()-8)="",TODAY(),INDEX(Transactions!$G:$G,ROW()-8))</f>
      </c>
      <c r="F6357">
        <f>IF(INDEX(Transactions!$J:$J,ROW()-8)="",0,INDEX(Transactions!$O:$O,ROW()-8))</f>
      </c>
    </row>
    <row r="6358" spans="1:7">
      <c r="B6358">
        <f>IF(INDEX(Transactions!$J:$J,ROW()-8)="",TODAY(),INDEX(Transactions!$G:$G,ROW()-8))</f>
      </c>
      <c r="F6358">
        <f>IF(INDEX(Transactions!$J:$J,ROW()-8)="",0,INDEX(Transactions!$O:$O,ROW()-8))</f>
      </c>
    </row>
    <row r="6359" spans="1:7">
      <c r="B6359">
        <f>IF(INDEX(Transactions!$J:$J,ROW()-8)="",TODAY(),INDEX(Transactions!$G:$G,ROW()-8))</f>
      </c>
      <c r="F6359">
        <f>IF(INDEX(Transactions!$J:$J,ROW()-8)="",0,INDEX(Transactions!$O:$O,ROW()-8))</f>
      </c>
    </row>
    <row r="6360" spans="1:7">
      <c r="B6360">
        <f>IF(INDEX(Transactions!$J:$J,ROW()-8)="",TODAY(),INDEX(Transactions!$G:$G,ROW()-8))</f>
      </c>
      <c r="F6360">
        <f>IF(INDEX(Transactions!$J:$J,ROW()-8)="",0,INDEX(Transactions!$O:$O,ROW()-8))</f>
      </c>
    </row>
    <row r="6361" spans="1:7">
      <c r="B6361">
        <f>IF(INDEX(Transactions!$J:$J,ROW()-8)="",TODAY(),INDEX(Transactions!$G:$G,ROW()-8))</f>
      </c>
      <c r="F6361">
        <f>IF(INDEX(Transactions!$J:$J,ROW()-8)="",0,INDEX(Transactions!$O:$O,ROW()-8))</f>
      </c>
    </row>
    <row r="6362" spans="1:7">
      <c r="B6362">
        <f>IF(INDEX(Transactions!$J:$J,ROW()-8)="",TODAY(),INDEX(Transactions!$G:$G,ROW()-8))</f>
      </c>
      <c r="F6362">
        <f>IF(INDEX(Transactions!$J:$J,ROW()-8)="",0,INDEX(Transactions!$O:$O,ROW()-8))</f>
      </c>
    </row>
    <row r="6363" spans="1:7">
      <c r="B6363">
        <f>IF(INDEX(Transactions!$J:$J,ROW()-8)="",TODAY(),INDEX(Transactions!$G:$G,ROW()-8))</f>
      </c>
      <c r="F6363">
        <f>IF(INDEX(Transactions!$J:$J,ROW()-8)="",0,INDEX(Transactions!$O:$O,ROW()-8))</f>
      </c>
    </row>
    <row r="6364" spans="1:7">
      <c r="B6364">
        <f>IF(INDEX(Transactions!$J:$J,ROW()-8)="",TODAY(),INDEX(Transactions!$G:$G,ROW()-8))</f>
      </c>
      <c r="F6364">
        <f>IF(INDEX(Transactions!$J:$J,ROW()-8)="",0,INDEX(Transactions!$O:$O,ROW()-8))</f>
      </c>
    </row>
    <row r="6365" spans="1:7">
      <c r="B6365">
        <f>IF(INDEX(Transactions!$J:$J,ROW()-8)="",TODAY(),INDEX(Transactions!$G:$G,ROW()-8))</f>
      </c>
      <c r="F6365">
        <f>IF(INDEX(Transactions!$J:$J,ROW()-8)="",0,INDEX(Transactions!$O:$O,ROW()-8))</f>
      </c>
    </row>
    <row r="6366" spans="1:7">
      <c r="B6366">
        <f>IF(INDEX(Transactions!$J:$J,ROW()-8)="",TODAY(),INDEX(Transactions!$G:$G,ROW()-8))</f>
      </c>
      <c r="F6366">
        <f>IF(INDEX(Transactions!$J:$J,ROW()-8)="",0,INDEX(Transactions!$O:$O,ROW()-8))</f>
      </c>
    </row>
    <row r="6367" spans="1:7">
      <c r="B6367">
        <f>IF(INDEX(Transactions!$J:$J,ROW()-8)="",TODAY(),INDEX(Transactions!$G:$G,ROW()-8))</f>
      </c>
      <c r="F6367">
        <f>IF(INDEX(Transactions!$J:$J,ROW()-8)="",0,INDEX(Transactions!$O:$O,ROW()-8))</f>
      </c>
    </row>
    <row r="6368" spans="1:7">
      <c r="B6368">
        <f>IF(INDEX(Transactions!$J:$J,ROW()-8)="",TODAY(),INDEX(Transactions!$G:$G,ROW()-8))</f>
      </c>
      <c r="F6368">
        <f>IF(INDEX(Transactions!$J:$J,ROW()-8)="",0,INDEX(Transactions!$O:$O,ROW()-8))</f>
      </c>
    </row>
    <row r="6369" spans="1:7">
      <c r="B6369">
        <f>IF(INDEX(Transactions!$J:$J,ROW()-8)="",TODAY(),INDEX(Transactions!$G:$G,ROW()-8))</f>
      </c>
      <c r="F6369">
        <f>IF(INDEX(Transactions!$J:$J,ROW()-8)="",0,INDEX(Transactions!$O:$O,ROW()-8))</f>
      </c>
    </row>
    <row r="6370" spans="1:7">
      <c r="B6370">
        <f>IF(INDEX(Transactions!$J:$J,ROW()-8)="",TODAY(),INDEX(Transactions!$G:$G,ROW()-8))</f>
      </c>
      <c r="F6370">
        <f>IF(INDEX(Transactions!$J:$J,ROW()-8)="",0,INDEX(Transactions!$O:$O,ROW()-8))</f>
      </c>
    </row>
    <row r="6371" spans="1:7">
      <c r="B6371">
        <f>IF(INDEX(Transactions!$J:$J,ROW()-8)="",TODAY(),INDEX(Transactions!$G:$G,ROW()-8))</f>
      </c>
      <c r="F6371">
        <f>IF(INDEX(Transactions!$J:$J,ROW()-8)="",0,INDEX(Transactions!$O:$O,ROW()-8))</f>
      </c>
    </row>
    <row r="6372" spans="1:7">
      <c r="B6372">
        <f>IF(INDEX(Transactions!$J:$J,ROW()-8)="",TODAY(),INDEX(Transactions!$G:$G,ROW()-8))</f>
      </c>
      <c r="F6372">
        <f>IF(INDEX(Transactions!$J:$J,ROW()-8)="",0,INDEX(Transactions!$O:$O,ROW()-8))</f>
      </c>
    </row>
    <row r="6373" spans="1:7">
      <c r="B6373">
        <f>IF(INDEX(Transactions!$J:$J,ROW()-8)="",TODAY(),INDEX(Transactions!$G:$G,ROW()-8))</f>
      </c>
      <c r="F6373">
        <f>IF(INDEX(Transactions!$J:$J,ROW()-8)="",0,INDEX(Transactions!$O:$O,ROW()-8))</f>
      </c>
    </row>
    <row r="6374" spans="1:7">
      <c r="B6374">
        <f>IF(INDEX(Transactions!$J:$J,ROW()-8)="",TODAY(),INDEX(Transactions!$G:$G,ROW()-8))</f>
      </c>
      <c r="F6374">
        <f>IF(INDEX(Transactions!$J:$J,ROW()-8)="",0,INDEX(Transactions!$O:$O,ROW()-8))</f>
      </c>
    </row>
    <row r="6375" spans="1:7">
      <c r="B6375">
        <f>IF(INDEX(Transactions!$J:$J,ROW()-8)="",TODAY(),INDEX(Transactions!$G:$G,ROW()-8))</f>
      </c>
      <c r="F6375">
        <f>IF(INDEX(Transactions!$J:$J,ROW()-8)="",0,INDEX(Transactions!$O:$O,ROW()-8))</f>
      </c>
    </row>
    <row r="6376" spans="1:7">
      <c r="B6376">
        <f>IF(INDEX(Transactions!$J:$J,ROW()-8)="",TODAY(),INDEX(Transactions!$G:$G,ROW()-8))</f>
      </c>
      <c r="F6376">
        <f>IF(INDEX(Transactions!$J:$J,ROW()-8)="",0,INDEX(Transactions!$O:$O,ROW()-8))</f>
      </c>
    </row>
    <row r="6377" spans="1:7">
      <c r="B6377">
        <f>IF(INDEX(Transactions!$J:$J,ROW()-8)="",TODAY(),INDEX(Transactions!$G:$G,ROW()-8))</f>
      </c>
      <c r="F6377">
        <f>IF(INDEX(Transactions!$J:$J,ROW()-8)="",0,INDEX(Transactions!$O:$O,ROW()-8))</f>
      </c>
    </row>
    <row r="6378" spans="1:7">
      <c r="B6378">
        <f>IF(INDEX(Transactions!$J:$J,ROW()-8)="",TODAY(),INDEX(Transactions!$G:$G,ROW()-8))</f>
      </c>
      <c r="F6378">
        <f>IF(INDEX(Transactions!$J:$J,ROW()-8)="",0,INDEX(Transactions!$O:$O,ROW()-8))</f>
      </c>
    </row>
    <row r="6379" spans="1:7">
      <c r="B6379">
        <f>IF(INDEX(Transactions!$J:$J,ROW()-8)="",TODAY(),INDEX(Transactions!$G:$G,ROW()-8))</f>
      </c>
      <c r="F6379">
        <f>IF(INDEX(Transactions!$J:$J,ROW()-8)="",0,INDEX(Transactions!$O:$O,ROW()-8))</f>
      </c>
    </row>
    <row r="6380" spans="1:7">
      <c r="B6380">
        <f>IF(INDEX(Transactions!$J:$J,ROW()-8)="",TODAY(),INDEX(Transactions!$G:$G,ROW()-8))</f>
      </c>
      <c r="F6380">
        <f>IF(INDEX(Transactions!$J:$J,ROW()-8)="",0,INDEX(Transactions!$O:$O,ROW()-8))</f>
      </c>
    </row>
    <row r="6381" spans="1:7">
      <c r="B6381">
        <f>IF(INDEX(Transactions!$J:$J,ROW()-8)="",TODAY(),INDEX(Transactions!$G:$G,ROW()-8))</f>
      </c>
      <c r="F6381">
        <f>IF(INDEX(Transactions!$J:$J,ROW()-8)="",0,INDEX(Transactions!$O:$O,ROW()-8))</f>
      </c>
    </row>
    <row r="6382" spans="1:7">
      <c r="B6382">
        <f>IF(INDEX(Transactions!$J:$J,ROW()-8)="",TODAY(),INDEX(Transactions!$G:$G,ROW()-8))</f>
      </c>
      <c r="F6382">
        <f>IF(INDEX(Transactions!$J:$J,ROW()-8)="",0,INDEX(Transactions!$O:$O,ROW()-8))</f>
      </c>
    </row>
    <row r="6383" spans="1:7">
      <c r="B6383">
        <f>IF(INDEX(Transactions!$J:$J,ROW()-8)="",TODAY(),INDEX(Transactions!$G:$G,ROW()-8))</f>
      </c>
      <c r="F6383">
        <f>IF(INDEX(Transactions!$J:$J,ROW()-8)="",0,INDEX(Transactions!$O:$O,ROW()-8))</f>
      </c>
    </row>
    <row r="6384" spans="1:7">
      <c r="B6384">
        <f>IF(INDEX(Transactions!$J:$J,ROW()-8)="",TODAY(),INDEX(Transactions!$G:$G,ROW()-8))</f>
      </c>
      <c r="F6384">
        <f>IF(INDEX(Transactions!$J:$J,ROW()-8)="",0,INDEX(Transactions!$O:$O,ROW()-8))</f>
      </c>
    </row>
    <row r="6385" spans="1:7">
      <c r="B6385">
        <f>IF(INDEX(Transactions!$J:$J,ROW()-8)="",TODAY(),INDEX(Transactions!$G:$G,ROW()-8))</f>
      </c>
      <c r="F6385">
        <f>IF(INDEX(Transactions!$J:$J,ROW()-8)="",0,INDEX(Transactions!$O:$O,ROW()-8))</f>
      </c>
    </row>
    <row r="6386" spans="1:7">
      <c r="B6386">
        <f>IF(INDEX(Transactions!$J:$J,ROW()-8)="",TODAY(),INDEX(Transactions!$G:$G,ROW()-8))</f>
      </c>
      <c r="F6386">
        <f>IF(INDEX(Transactions!$J:$J,ROW()-8)="",0,INDEX(Transactions!$O:$O,ROW()-8))</f>
      </c>
    </row>
    <row r="6387" spans="1:7">
      <c r="B6387">
        <f>IF(INDEX(Transactions!$J:$J,ROW()-8)="",TODAY(),INDEX(Transactions!$G:$G,ROW()-8))</f>
      </c>
      <c r="F6387">
        <f>IF(INDEX(Transactions!$J:$J,ROW()-8)="",0,INDEX(Transactions!$O:$O,ROW()-8))</f>
      </c>
    </row>
    <row r="6388" spans="1:7">
      <c r="B6388">
        <f>IF(INDEX(Transactions!$J:$J,ROW()-8)="",TODAY(),INDEX(Transactions!$G:$G,ROW()-8))</f>
      </c>
      <c r="F6388">
        <f>IF(INDEX(Transactions!$J:$J,ROW()-8)="",0,INDEX(Transactions!$O:$O,ROW()-8))</f>
      </c>
    </row>
    <row r="6389" spans="1:7">
      <c r="B6389">
        <f>IF(INDEX(Transactions!$J:$J,ROW()-8)="",TODAY(),INDEX(Transactions!$G:$G,ROW()-8))</f>
      </c>
      <c r="F6389">
        <f>IF(INDEX(Transactions!$J:$J,ROW()-8)="",0,INDEX(Transactions!$O:$O,ROW()-8))</f>
      </c>
    </row>
    <row r="6390" spans="1:7">
      <c r="B6390">
        <f>IF(INDEX(Transactions!$J:$J,ROW()-8)="",TODAY(),INDEX(Transactions!$G:$G,ROW()-8))</f>
      </c>
      <c r="F6390">
        <f>IF(INDEX(Transactions!$J:$J,ROW()-8)="",0,INDEX(Transactions!$O:$O,ROW()-8))</f>
      </c>
    </row>
    <row r="6391" spans="1:7">
      <c r="B6391">
        <f>IF(INDEX(Transactions!$J:$J,ROW()-8)="",TODAY(),INDEX(Transactions!$G:$G,ROW()-8))</f>
      </c>
      <c r="F6391">
        <f>IF(INDEX(Transactions!$J:$J,ROW()-8)="",0,INDEX(Transactions!$O:$O,ROW()-8))</f>
      </c>
    </row>
    <row r="6392" spans="1:7">
      <c r="B6392">
        <f>IF(INDEX(Transactions!$J:$J,ROW()-8)="",TODAY(),INDEX(Transactions!$G:$G,ROW()-8))</f>
      </c>
      <c r="F6392">
        <f>IF(INDEX(Transactions!$J:$J,ROW()-8)="",0,INDEX(Transactions!$O:$O,ROW()-8))</f>
      </c>
    </row>
    <row r="6393" spans="1:7">
      <c r="B6393">
        <f>IF(INDEX(Transactions!$J:$J,ROW()-8)="",TODAY(),INDEX(Transactions!$G:$G,ROW()-8))</f>
      </c>
      <c r="F6393">
        <f>IF(INDEX(Transactions!$J:$J,ROW()-8)="",0,INDEX(Transactions!$O:$O,ROW()-8))</f>
      </c>
    </row>
    <row r="6394" spans="1:7">
      <c r="B6394">
        <f>IF(INDEX(Transactions!$J:$J,ROW()-8)="",TODAY(),INDEX(Transactions!$G:$G,ROW()-8))</f>
      </c>
      <c r="F6394">
        <f>IF(INDEX(Transactions!$J:$J,ROW()-8)="",0,INDEX(Transactions!$O:$O,ROW()-8))</f>
      </c>
    </row>
    <row r="6395" spans="1:7">
      <c r="B6395">
        <f>IF(INDEX(Transactions!$J:$J,ROW()-8)="",TODAY(),INDEX(Transactions!$G:$G,ROW()-8))</f>
      </c>
      <c r="F6395">
        <f>IF(INDEX(Transactions!$J:$J,ROW()-8)="",0,INDEX(Transactions!$O:$O,ROW()-8))</f>
      </c>
    </row>
    <row r="6396" spans="1:7">
      <c r="B6396">
        <f>IF(INDEX(Transactions!$J:$J,ROW()-8)="",TODAY(),INDEX(Transactions!$G:$G,ROW()-8))</f>
      </c>
      <c r="F6396">
        <f>IF(INDEX(Transactions!$J:$J,ROW()-8)="",0,INDEX(Transactions!$O:$O,ROW()-8))</f>
      </c>
    </row>
    <row r="6397" spans="1:7">
      <c r="B6397">
        <f>IF(INDEX(Transactions!$J:$J,ROW()-8)="",TODAY(),INDEX(Transactions!$G:$G,ROW()-8))</f>
      </c>
      <c r="F6397">
        <f>IF(INDEX(Transactions!$J:$J,ROW()-8)="",0,INDEX(Transactions!$O:$O,ROW()-8))</f>
      </c>
    </row>
    <row r="6398" spans="1:7">
      <c r="B6398">
        <f>IF(INDEX(Transactions!$J:$J,ROW()-8)="",TODAY(),INDEX(Transactions!$G:$G,ROW()-8))</f>
      </c>
      <c r="F6398">
        <f>IF(INDEX(Transactions!$J:$J,ROW()-8)="",0,INDEX(Transactions!$O:$O,ROW()-8))</f>
      </c>
    </row>
    <row r="6399" spans="1:7">
      <c r="B6399">
        <f>IF(INDEX(Transactions!$J:$J,ROW()-8)="",TODAY(),INDEX(Transactions!$G:$G,ROW()-8))</f>
      </c>
      <c r="F6399">
        <f>IF(INDEX(Transactions!$J:$J,ROW()-8)="",0,INDEX(Transactions!$O:$O,ROW()-8))</f>
      </c>
    </row>
    <row r="6400" spans="1:7">
      <c r="B6400">
        <f>IF(INDEX(Transactions!$J:$J,ROW()-8)="",TODAY(),INDEX(Transactions!$G:$G,ROW()-8))</f>
      </c>
      <c r="F6400">
        <f>IF(INDEX(Transactions!$J:$J,ROW()-8)="",0,INDEX(Transactions!$O:$O,ROW()-8))</f>
      </c>
    </row>
    <row r="6401" spans="1:7">
      <c r="B6401">
        <f>IF(INDEX(Transactions!$J:$J,ROW()-8)="",TODAY(),INDEX(Transactions!$G:$G,ROW()-8))</f>
      </c>
      <c r="F6401">
        <f>IF(INDEX(Transactions!$J:$J,ROW()-8)="",0,INDEX(Transactions!$O:$O,ROW()-8))</f>
      </c>
    </row>
    <row r="6402" spans="1:7">
      <c r="B6402">
        <f>IF(INDEX(Transactions!$J:$J,ROW()-8)="",TODAY(),INDEX(Transactions!$G:$G,ROW()-8))</f>
      </c>
      <c r="F6402">
        <f>IF(INDEX(Transactions!$J:$J,ROW()-8)="",0,INDEX(Transactions!$O:$O,ROW()-8))</f>
      </c>
    </row>
    <row r="6403" spans="1:7">
      <c r="B6403">
        <f>IF(INDEX(Transactions!$J:$J,ROW()-8)="",TODAY(),INDEX(Transactions!$G:$G,ROW()-8))</f>
      </c>
      <c r="F6403">
        <f>IF(INDEX(Transactions!$J:$J,ROW()-8)="",0,INDEX(Transactions!$O:$O,ROW()-8))</f>
      </c>
    </row>
    <row r="6404" spans="1:7">
      <c r="B6404">
        <f>IF(INDEX(Transactions!$J:$J,ROW()-8)="",TODAY(),INDEX(Transactions!$G:$G,ROW()-8))</f>
      </c>
      <c r="F6404">
        <f>IF(INDEX(Transactions!$J:$J,ROW()-8)="",0,INDEX(Transactions!$O:$O,ROW()-8))</f>
      </c>
    </row>
    <row r="6405" spans="1:7">
      <c r="B6405">
        <f>IF(INDEX(Transactions!$J:$J,ROW()-8)="",TODAY(),INDEX(Transactions!$G:$G,ROW()-8))</f>
      </c>
      <c r="F6405">
        <f>IF(INDEX(Transactions!$J:$J,ROW()-8)="",0,INDEX(Transactions!$O:$O,ROW()-8))</f>
      </c>
    </row>
    <row r="6406" spans="1:7">
      <c r="B6406">
        <f>IF(INDEX(Transactions!$J:$J,ROW()-8)="",TODAY(),INDEX(Transactions!$G:$G,ROW()-8))</f>
      </c>
      <c r="F6406">
        <f>IF(INDEX(Transactions!$J:$J,ROW()-8)="",0,INDEX(Transactions!$O:$O,ROW()-8))</f>
      </c>
    </row>
    <row r="6407" spans="1:7">
      <c r="B6407">
        <f>IF(INDEX(Transactions!$J:$J,ROW()-8)="",TODAY(),INDEX(Transactions!$G:$G,ROW()-8))</f>
      </c>
      <c r="F6407">
        <f>IF(INDEX(Transactions!$J:$J,ROW()-8)="",0,INDEX(Transactions!$O:$O,ROW()-8))</f>
      </c>
    </row>
    <row r="6408" spans="1:7">
      <c r="B6408">
        <f>IF(INDEX(Transactions!$J:$J,ROW()-8)="",TODAY(),INDEX(Transactions!$G:$G,ROW()-8))</f>
      </c>
      <c r="F6408">
        <f>IF(INDEX(Transactions!$J:$J,ROW()-8)="",0,INDEX(Transactions!$O:$O,ROW()-8))</f>
      </c>
    </row>
    <row r="6409" spans="1:7">
      <c r="B6409">
        <f>IF(INDEX(Transactions!$J:$J,ROW()-8)="",TODAY(),INDEX(Transactions!$G:$G,ROW()-8))</f>
      </c>
      <c r="F6409">
        <f>IF(INDEX(Transactions!$J:$J,ROW()-8)="",0,INDEX(Transactions!$O:$O,ROW()-8))</f>
      </c>
    </row>
    <row r="6410" spans="1:7">
      <c r="B6410">
        <f>IF(INDEX(Transactions!$J:$J,ROW()-8)="",TODAY(),INDEX(Transactions!$G:$G,ROW()-8))</f>
      </c>
      <c r="F6410">
        <f>IF(INDEX(Transactions!$J:$J,ROW()-8)="",0,INDEX(Transactions!$O:$O,ROW()-8))</f>
      </c>
    </row>
    <row r="6411" spans="1:7">
      <c r="B6411">
        <f>IF(INDEX(Transactions!$J:$J,ROW()-8)="",TODAY(),INDEX(Transactions!$G:$G,ROW()-8))</f>
      </c>
      <c r="F6411">
        <f>IF(INDEX(Transactions!$J:$J,ROW()-8)="",0,INDEX(Transactions!$O:$O,ROW()-8))</f>
      </c>
    </row>
    <row r="6412" spans="1:7">
      <c r="B6412">
        <f>IF(INDEX(Transactions!$J:$J,ROW()-8)="",TODAY(),INDEX(Transactions!$G:$G,ROW()-8))</f>
      </c>
      <c r="F6412">
        <f>IF(INDEX(Transactions!$J:$J,ROW()-8)="",0,INDEX(Transactions!$O:$O,ROW()-8))</f>
      </c>
    </row>
    <row r="6413" spans="1:7">
      <c r="B6413">
        <f>IF(INDEX(Transactions!$J:$J,ROW()-8)="",TODAY(),INDEX(Transactions!$G:$G,ROW()-8))</f>
      </c>
      <c r="F6413">
        <f>IF(INDEX(Transactions!$J:$J,ROW()-8)="",0,INDEX(Transactions!$O:$O,ROW()-8))</f>
      </c>
    </row>
    <row r="6414" spans="1:7">
      <c r="B6414">
        <f>IF(INDEX(Transactions!$J:$J,ROW()-8)="",TODAY(),INDEX(Transactions!$G:$G,ROW()-8))</f>
      </c>
      <c r="F6414">
        <f>IF(INDEX(Transactions!$J:$J,ROW()-8)="",0,INDEX(Transactions!$O:$O,ROW()-8))</f>
      </c>
    </row>
    <row r="6415" spans="1:7">
      <c r="B6415">
        <f>IF(INDEX(Transactions!$J:$J,ROW()-8)="",TODAY(),INDEX(Transactions!$G:$G,ROW()-8))</f>
      </c>
      <c r="F6415">
        <f>IF(INDEX(Transactions!$J:$J,ROW()-8)="",0,INDEX(Transactions!$O:$O,ROW()-8))</f>
      </c>
    </row>
    <row r="6416" spans="1:7">
      <c r="B6416">
        <f>IF(INDEX(Transactions!$J:$J,ROW()-8)="",TODAY(),INDEX(Transactions!$G:$G,ROW()-8))</f>
      </c>
      <c r="F6416">
        <f>IF(INDEX(Transactions!$J:$J,ROW()-8)="",0,INDEX(Transactions!$O:$O,ROW()-8))</f>
      </c>
    </row>
    <row r="6417" spans="1:7">
      <c r="B6417">
        <f>IF(INDEX(Transactions!$J:$J,ROW()-8)="",TODAY(),INDEX(Transactions!$G:$G,ROW()-8))</f>
      </c>
      <c r="F6417">
        <f>IF(INDEX(Transactions!$J:$J,ROW()-8)="",0,INDEX(Transactions!$O:$O,ROW()-8))</f>
      </c>
    </row>
    <row r="6418" spans="1:7">
      <c r="B6418">
        <f>IF(INDEX(Transactions!$J:$J,ROW()-8)="",TODAY(),INDEX(Transactions!$G:$G,ROW()-8))</f>
      </c>
      <c r="F6418">
        <f>IF(INDEX(Transactions!$J:$J,ROW()-8)="",0,INDEX(Transactions!$O:$O,ROW()-8))</f>
      </c>
    </row>
    <row r="6419" spans="1:7">
      <c r="B6419">
        <f>IF(INDEX(Transactions!$J:$J,ROW()-8)="",TODAY(),INDEX(Transactions!$G:$G,ROW()-8))</f>
      </c>
      <c r="F6419">
        <f>IF(INDEX(Transactions!$J:$J,ROW()-8)="",0,INDEX(Transactions!$O:$O,ROW()-8))</f>
      </c>
    </row>
    <row r="6420" spans="1:7">
      <c r="B6420">
        <f>IF(INDEX(Transactions!$J:$J,ROW()-8)="",TODAY(),INDEX(Transactions!$G:$G,ROW()-8))</f>
      </c>
      <c r="F6420">
        <f>IF(INDEX(Transactions!$J:$J,ROW()-8)="",0,INDEX(Transactions!$O:$O,ROW()-8))</f>
      </c>
    </row>
    <row r="6421" spans="1:7">
      <c r="B6421">
        <f>IF(INDEX(Transactions!$J:$J,ROW()-8)="",TODAY(),INDEX(Transactions!$G:$G,ROW()-8))</f>
      </c>
      <c r="F6421">
        <f>IF(INDEX(Transactions!$J:$J,ROW()-8)="",0,INDEX(Transactions!$O:$O,ROW()-8))</f>
      </c>
    </row>
    <row r="6422" spans="1:7">
      <c r="B6422">
        <f>IF(INDEX(Transactions!$J:$J,ROW()-8)="",TODAY(),INDEX(Transactions!$G:$G,ROW()-8))</f>
      </c>
      <c r="F6422">
        <f>IF(INDEX(Transactions!$J:$J,ROW()-8)="",0,INDEX(Transactions!$O:$O,ROW()-8))</f>
      </c>
    </row>
    <row r="6423" spans="1:7">
      <c r="B6423">
        <f>IF(INDEX(Transactions!$J:$J,ROW()-8)="",TODAY(),INDEX(Transactions!$G:$G,ROW()-8))</f>
      </c>
      <c r="F6423">
        <f>IF(INDEX(Transactions!$J:$J,ROW()-8)="",0,INDEX(Transactions!$O:$O,ROW()-8))</f>
      </c>
    </row>
    <row r="6424" spans="1:7">
      <c r="B6424">
        <f>IF(INDEX(Transactions!$J:$J,ROW()-8)="",TODAY(),INDEX(Transactions!$G:$G,ROW()-8))</f>
      </c>
      <c r="F6424">
        <f>IF(INDEX(Transactions!$J:$J,ROW()-8)="",0,INDEX(Transactions!$O:$O,ROW()-8))</f>
      </c>
    </row>
    <row r="6425" spans="1:7">
      <c r="B6425">
        <f>IF(INDEX(Transactions!$J:$J,ROW()-8)="",TODAY(),INDEX(Transactions!$G:$G,ROW()-8))</f>
      </c>
      <c r="F6425">
        <f>IF(INDEX(Transactions!$J:$J,ROW()-8)="",0,INDEX(Transactions!$O:$O,ROW()-8))</f>
      </c>
    </row>
    <row r="6426" spans="1:7">
      <c r="B6426">
        <f>IF(INDEX(Transactions!$J:$J,ROW()-8)="",TODAY(),INDEX(Transactions!$G:$G,ROW()-8))</f>
      </c>
      <c r="F6426">
        <f>IF(INDEX(Transactions!$J:$J,ROW()-8)="",0,INDEX(Transactions!$O:$O,ROW()-8))</f>
      </c>
    </row>
    <row r="6427" spans="1:7">
      <c r="B6427">
        <f>IF(INDEX(Transactions!$J:$J,ROW()-8)="",TODAY(),INDEX(Transactions!$G:$G,ROW()-8))</f>
      </c>
      <c r="F6427">
        <f>IF(INDEX(Transactions!$J:$J,ROW()-8)="",0,INDEX(Transactions!$O:$O,ROW()-8))</f>
      </c>
    </row>
    <row r="6428" spans="1:7">
      <c r="B6428">
        <f>IF(INDEX(Transactions!$J:$J,ROW()-8)="",TODAY(),INDEX(Transactions!$G:$G,ROW()-8))</f>
      </c>
      <c r="F6428">
        <f>IF(INDEX(Transactions!$J:$J,ROW()-8)="",0,INDEX(Transactions!$O:$O,ROW()-8))</f>
      </c>
    </row>
    <row r="6429" spans="1:7">
      <c r="B6429">
        <f>IF(INDEX(Transactions!$J:$J,ROW()-8)="",TODAY(),INDEX(Transactions!$G:$G,ROW()-8))</f>
      </c>
      <c r="F6429">
        <f>IF(INDEX(Transactions!$J:$J,ROW()-8)="",0,INDEX(Transactions!$O:$O,ROW()-8))</f>
      </c>
    </row>
    <row r="6430" spans="1:7">
      <c r="B6430">
        <f>IF(INDEX(Transactions!$J:$J,ROW()-8)="",TODAY(),INDEX(Transactions!$G:$G,ROW()-8))</f>
      </c>
      <c r="F6430">
        <f>IF(INDEX(Transactions!$J:$J,ROW()-8)="",0,INDEX(Transactions!$O:$O,ROW()-8))</f>
      </c>
    </row>
    <row r="6431" spans="1:7">
      <c r="B6431">
        <f>IF(INDEX(Transactions!$J:$J,ROW()-8)="",TODAY(),INDEX(Transactions!$G:$G,ROW()-8))</f>
      </c>
      <c r="F6431">
        <f>IF(INDEX(Transactions!$J:$J,ROW()-8)="",0,INDEX(Transactions!$O:$O,ROW()-8))</f>
      </c>
    </row>
    <row r="6432" spans="1:7">
      <c r="B6432">
        <f>IF(INDEX(Transactions!$J:$J,ROW()-8)="",TODAY(),INDEX(Transactions!$G:$G,ROW()-8))</f>
      </c>
      <c r="F6432">
        <f>IF(INDEX(Transactions!$J:$J,ROW()-8)="",0,INDEX(Transactions!$O:$O,ROW()-8))</f>
      </c>
    </row>
    <row r="6433" spans="1:7">
      <c r="B6433">
        <f>IF(INDEX(Transactions!$J:$J,ROW()-8)="",TODAY(),INDEX(Transactions!$G:$G,ROW()-8))</f>
      </c>
      <c r="F6433">
        <f>IF(INDEX(Transactions!$J:$J,ROW()-8)="",0,INDEX(Transactions!$O:$O,ROW()-8))</f>
      </c>
    </row>
    <row r="6434" spans="1:7">
      <c r="B6434">
        <f>IF(INDEX(Transactions!$J:$J,ROW()-8)="",TODAY(),INDEX(Transactions!$G:$G,ROW()-8))</f>
      </c>
      <c r="F6434">
        <f>IF(INDEX(Transactions!$J:$J,ROW()-8)="",0,INDEX(Transactions!$O:$O,ROW()-8))</f>
      </c>
    </row>
    <row r="6435" spans="1:7">
      <c r="B6435">
        <f>IF(INDEX(Transactions!$J:$J,ROW()-8)="",TODAY(),INDEX(Transactions!$G:$G,ROW()-8))</f>
      </c>
      <c r="F6435">
        <f>IF(INDEX(Transactions!$J:$J,ROW()-8)="",0,INDEX(Transactions!$O:$O,ROW()-8))</f>
      </c>
    </row>
    <row r="6436" spans="1:7">
      <c r="B6436">
        <f>IF(INDEX(Transactions!$J:$J,ROW()-8)="",TODAY(),INDEX(Transactions!$G:$G,ROW()-8))</f>
      </c>
      <c r="F6436">
        <f>IF(INDEX(Transactions!$J:$J,ROW()-8)="",0,INDEX(Transactions!$O:$O,ROW()-8))</f>
      </c>
    </row>
    <row r="6437" spans="1:7">
      <c r="B6437">
        <f>IF(INDEX(Transactions!$J:$J,ROW()-8)="",TODAY(),INDEX(Transactions!$G:$G,ROW()-8))</f>
      </c>
      <c r="F6437">
        <f>IF(INDEX(Transactions!$J:$J,ROW()-8)="",0,INDEX(Transactions!$O:$O,ROW()-8))</f>
      </c>
    </row>
    <row r="6438" spans="1:7">
      <c r="B6438">
        <f>IF(INDEX(Transactions!$J:$J,ROW()-8)="",TODAY(),INDEX(Transactions!$G:$G,ROW()-8))</f>
      </c>
      <c r="F6438">
        <f>IF(INDEX(Transactions!$J:$J,ROW()-8)="",0,INDEX(Transactions!$O:$O,ROW()-8))</f>
      </c>
    </row>
    <row r="6439" spans="1:7">
      <c r="B6439">
        <f>IF(INDEX(Transactions!$J:$J,ROW()-8)="",TODAY(),INDEX(Transactions!$G:$G,ROW()-8))</f>
      </c>
      <c r="F6439">
        <f>IF(INDEX(Transactions!$J:$J,ROW()-8)="",0,INDEX(Transactions!$O:$O,ROW()-8))</f>
      </c>
    </row>
    <row r="6440" spans="1:7">
      <c r="B6440">
        <f>IF(INDEX(Transactions!$J:$J,ROW()-8)="",TODAY(),INDEX(Transactions!$G:$G,ROW()-8))</f>
      </c>
      <c r="F6440">
        <f>IF(INDEX(Transactions!$J:$J,ROW()-8)="",0,INDEX(Transactions!$O:$O,ROW()-8))</f>
      </c>
    </row>
    <row r="6441" spans="1:7">
      <c r="B6441">
        <f>IF(INDEX(Transactions!$J:$J,ROW()-8)="",TODAY(),INDEX(Transactions!$G:$G,ROW()-8))</f>
      </c>
      <c r="F6441">
        <f>IF(INDEX(Transactions!$J:$J,ROW()-8)="",0,INDEX(Transactions!$O:$O,ROW()-8))</f>
      </c>
    </row>
    <row r="6442" spans="1:7">
      <c r="B6442">
        <f>IF(INDEX(Transactions!$J:$J,ROW()-8)="",TODAY(),INDEX(Transactions!$G:$G,ROW()-8))</f>
      </c>
      <c r="F6442">
        <f>IF(INDEX(Transactions!$J:$J,ROW()-8)="",0,INDEX(Transactions!$O:$O,ROW()-8))</f>
      </c>
    </row>
    <row r="6443" spans="1:7">
      <c r="B6443">
        <f>IF(INDEX(Transactions!$J:$J,ROW()-8)="",TODAY(),INDEX(Transactions!$G:$G,ROW()-8))</f>
      </c>
      <c r="F6443">
        <f>IF(INDEX(Transactions!$J:$J,ROW()-8)="",0,INDEX(Transactions!$O:$O,ROW()-8))</f>
      </c>
    </row>
    <row r="6444" spans="1:7">
      <c r="B6444">
        <f>IF(INDEX(Transactions!$J:$J,ROW()-8)="",TODAY(),INDEX(Transactions!$G:$G,ROW()-8))</f>
      </c>
      <c r="F6444">
        <f>IF(INDEX(Transactions!$J:$J,ROW()-8)="",0,INDEX(Transactions!$O:$O,ROW()-8))</f>
      </c>
    </row>
    <row r="6445" spans="1:7">
      <c r="B6445">
        <f>IF(INDEX(Transactions!$J:$J,ROW()-8)="",TODAY(),INDEX(Transactions!$G:$G,ROW()-8))</f>
      </c>
      <c r="F6445">
        <f>IF(INDEX(Transactions!$J:$J,ROW()-8)="",0,INDEX(Transactions!$O:$O,ROW()-8))</f>
      </c>
    </row>
    <row r="6446" spans="1:7">
      <c r="B6446">
        <f>IF(INDEX(Transactions!$J:$J,ROW()-8)="",TODAY(),INDEX(Transactions!$G:$G,ROW()-8))</f>
      </c>
      <c r="F6446">
        <f>IF(INDEX(Transactions!$J:$J,ROW()-8)="",0,INDEX(Transactions!$O:$O,ROW()-8))</f>
      </c>
    </row>
    <row r="6447" spans="1:7">
      <c r="B6447">
        <f>IF(INDEX(Transactions!$J:$J,ROW()-8)="",TODAY(),INDEX(Transactions!$G:$G,ROW()-8))</f>
      </c>
      <c r="F6447">
        <f>IF(INDEX(Transactions!$J:$J,ROW()-8)="",0,INDEX(Transactions!$O:$O,ROW()-8))</f>
      </c>
    </row>
    <row r="6448" spans="1:7">
      <c r="B6448">
        <f>IF(INDEX(Transactions!$J:$J,ROW()-8)="",TODAY(),INDEX(Transactions!$G:$G,ROW()-8))</f>
      </c>
      <c r="F6448">
        <f>IF(INDEX(Transactions!$J:$J,ROW()-8)="",0,INDEX(Transactions!$O:$O,ROW()-8))</f>
      </c>
    </row>
    <row r="6449" spans="1:7">
      <c r="B6449">
        <f>IF(INDEX(Transactions!$J:$J,ROW()-8)="",TODAY(),INDEX(Transactions!$G:$G,ROW()-8))</f>
      </c>
      <c r="F6449">
        <f>IF(INDEX(Transactions!$J:$J,ROW()-8)="",0,INDEX(Transactions!$O:$O,ROW()-8))</f>
      </c>
    </row>
    <row r="6450" spans="1:7">
      <c r="B6450">
        <f>IF(INDEX(Transactions!$J:$J,ROW()-8)="",TODAY(),INDEX(Transactions!$G:$G,ROW()-8))</f>
      </c>
      <c r="F6450">
        <f>IF(INDEX(Transactions!$J:$J,ROW()-8)="",0,INDEX(Transactions!$O:$O,ROW()-8))</f>
      </c>
    </row>
    <row r="6451" spans="1:7">
      <c r="B6451">
        <f>IF(INDEX(Transactions!$J:$J,ROW()-8)="",TODAY(),INDEX(Transactions!$G:$G,ROW()-8))</f>
      </c>
      <c r="F6451">
        <f>IF(INDEX(Transactions!$J:$J,ROW()-8)="",0,INDEX(Transactions!$O:$O,ROW()-8))</f>
      </c>
    </row>
    <row r="6452" spans="1:7">
      <c r="B6452">
        <f>IF(INDEX(Transactions!$J:$J,ROW()-8)="",TODAY(),INDEX(Transactions!$G:$G,ROW()-8))</f>
      </c>
      <c r="F6452">
        <f>IF(INDEX(Transactions!$J:$J,ROW()-8)="",0,INDEX(Transactions!$O:$O,ROW()-8))</f>
      </c>
    </row>
    <row r="6453" spans="1:7">
      <c r="B6453">
        <f>IF(INDEX(Transactions!$J:$J,ROW()-8)="",TODAY(),INDEX(Transactions!$G:$G,ROW()-8))</f>
      </c>
      <c r="F6453">
        <f>IF(INDEX(Transactions!$J:$J,ROW()-8)="",0,INDEX(Transactions!$O:$O,ROW()-8))</f>
      </c>
    </row>
    <row r="6454" spans="1:7">
      <c r="B6454">
        <f>IF(INDEX(Transactions!$J:$J,ROW()-8)="",TODAY(),INDEX(Transactions!$G:$G,ROW()-8))</f>
      </c>
      <c r="F6454">
        <f>IF(INDEX(Transactions!$J:$J,ROW()-8)="",0,INDEX(Transactions!$O:$O,ROW()-8))</f>
      </c>
    </row>
    <row r="6455" spans="1:7">
      <c r="B6455">
        <f>IF(INDEX(Transactions!$J:$J,ROW()-8)="",TODAY(),INDEX(Transactions!$G:$G,ROW()-8))</f>
      </c>
      <c r="F6455">
        <f>IF(INDEX(Transactions!$J:$J,ROW()-8)="",0,INDEX(Transactions!$O:$O,ROW()-8))</f>
      </c>
    </row>
    <row r="6456" spans="1:7">
      <c r="B6456">
        <f>IF(INDEX(Transactions!$J:$J,ROW()-8)="",TODAY(),INDEX(Transactions!$G:$G,ROW()-8))</f>
      </c>
      <c r="F6456">
        <f>IF(INDEX(Transactions!$J:$J,ROW()-8)="",0,INDEX(Transactions!$O:$O,ROW()-8))</f>
      </c>
    </row>
    <row r="6457" spans="1:7">
      <c r="B6457">
        <f>IF(INDEX(Transactions!$J:$J,ROW()-8)="",TODAY(),INDEX(Transactions!$G:$G,ROW()-8))</f>
      </c>
      <c r="F6457">
        <f>IF(INDEX(Transactions!$J:$J,ROW()-8)="",0,INDEX(Transactions!$O:$O,ROW()-8))</f>
      </c>
    </row>
    <row r="6458" spans="1:7">
      <c r="B6458">
        <f>IF(INDEX(Transactions!$J:$J,ROW()-8)="",TODAY(),INDEX(Transactions!$G:$G,ROW()-8))</f>
      </c>
      <c r="F6458">
        <f>IF(INDEX(Transactions!$J:$J,ROW()-8)="",0,INDEX(Transactions!$O:$O,ROW()-8))</f>
      </c>
    </row>
    <row r="6459" spans="1:7">
      <c r="B6459">
        <f>IF(INDEX(Transactions!$J:$J,ROW()-8)="",TODAY(),INDEX(Transactions!$G:$G,ROW()-8))</f>
      </c>
      <c r="F6459">
        <f>IF(INDEX(Transactions!$J:$J,ROW()-8)="",0,INDEX(Transactions!$O:$O,ROW()-8))</f>
      </c>
    </row>
    <row r="6460" spans="1:7">
      <c r="B6460">
        <f>IF(INDEX(Transactions!$J:$J,ROW()-8)="",TODAY(),INDEX(Transactions!$G:$G,ROW()-8))</f>
      </c>
      <c r="F6460">
        <f>IF(INDEX(Transactions!$J:$J,ROW()-8)="",0,INDEX(Transactions!$O:$O,ROW()-8))</f>
      </c>
    </row>
    <row r="6461" spans="1:7">
      <c r="B6461">
        <f>IF(INDEX(Transactions!$J:$J,ROW()-8)="",TODAY(),INDEX(Transactions!$G:$G,ROW()-8))</f>
      </c>
      <c r="F6461">
        <f>IF(INDEX(Transactions!$J:$J,ROW()-8)="",0,INDEX(Transactions!$O:$O,ROW()-8))</f>
      </c>
    </row>
    <row r="6462" spans="1:7">
      <c r="B6462">
        <f>IF(INDEX(Transactions!$J:$J,ROW()-8)="",TODAY(),INDEX(Transactions!$G:$G,ROW()-8))</f>
      </c>
      <c r="F6462">
        <f>IF(INDEX(Transactions!$J:$J,ROW()-8)="",0,INDEX(Transactions!$O:$O,ROW()-8))</f>
      </c>
    </row>
    <row r="6463" spans="1:7">
      <c r="B6463">
        <f>IF(INDEX(Transactions!$J:$J,ROW()-8)="",TODAY(),INDEX(Transactions!$G:$G,ROW()-8))</f>
      </c>
      <c r="F6463">
        <f>IF(INDEX(Transactions!$J:$J,ROW()-8)="",0,INDEX(Transactions!$O:$O,ROW()-8))</f>
      </c>
    </row>
    <row r="6464" spans="1:7">
      <c r="B6464">
        <f>IF(INDEX(Transactions!$J:$J,ROW()-8)="",TODAY(),INDEX(Transactions!$G:$G,ROW()-8))</f>
      </c>
      <c r="F6464">
        <f>IF(INDEX(Transactions!$J:$J,ROW()-8)="",0,INDEX(Transactions!$O:$O,ROW()-8))</f>
      </c>
    </row>
    <row r="6465" spans="1:7">
      <c r="B6465">
        <f>IF(INDEX(Transactions!$J:$J,ROW()-8)="",TODAY(),INDEX(Transactions!$G:$G,ROW()-8))</f>
      </c>
      <c r="F6465">
        <f>IF(INDEX(Transactions!$J:$J,ROW()-8)="",0,INDEX(Transactions!$O:$O,ROW()-8))</f>
      </c>
    </row>
    <row r="6466" spans="1:7">
      <c r="B6466">
        <f>IF(INDEX(Transactions!$J:$J,ROW()-8)="",TODAY(),INDEX(Transactions!$G:$G,ROW()-8))</f>
      </c>
      <c r="F6466">
        <f>IF(INDEX(Transactions!$J:$J,ROW()-8)="",0,INDEX(Transactions!$O:$O,ROW()-8))</f>
      </c>
    </row>
    <row r="6467" spans="1:7">
      <c r="B6467">
        <f>IF(INDEX(Transactions!$J:$J,ROW()-8)="",TODAY(),INDEX(Transactions!$G:$G,ROW()-8))</f>
      </c>
      <c r="F6467">
        <f>IF(INDEX(Transactions!$J:$J,ROW()-8)="",0,INDEX(Transactions!$O:$O,ROW()-8))</f>
      </c>
    </row>
    <row r="6468" spans="1:7">
      <c r="B6468">
        <f>IF(INDEX(Transactions!$J:$J,ROW()-8)="",TODAY(),INDEX(Transactions!$G:$G,ROW()-8))</f>
      </c>
      <c r="F6468">
        <f>IF(INDEX(Transactions!$J:$J,ROW()-8)="",0,INDEX(Transactions!$O:$O,ROW()-8))</f>
      </c>
    </row>
    <row r="6469" spans="1:7">
      <c r="B6469">
        <f>IF(INDEX(Transactions!$J:$J,ROW()-8)="",TODAY(),INDEX(Transactions!$G:$G,ROW()-8))</f>
      </c>
      <c r="F6469">
        <f>IF(INDEX(Transactions!$J:$J,ROW()-8)="",0,INDEX(Transactions!$O:$O,ROW()-8))</f>
      </c>
    </row>
    <row r="6470" spans="1:7">
      <c r="B6470">
        <f>IF(INDEX(Transactions!$J:$J,ROW()-8)="",TODAY(),INDEX(Transactions!$G:$G,ROW()-8))</f>
      </c>
      <c r="F6470">
        <f>IF(INDEX(Transactions!$J:$J,ROW()-8)="",0,INDEX(Transactions!$O:$O,ROW()-8))</f>
      </c>
    </row>
    <row r="6471" spans="1:7">
      <c r="B6471">
        <f>IF(INDEX(Transactions!$J:$J,ROW()-8)="",TODAY(),INDEX(Transactions!$G:$G,ROW()-8))</f>
      </c>
      <c r="F6471">
        <f>IF(INDEX(Transactions!$J:$J,ROW()-8)="",0,INDEX(Transactions!$O:$O,ROW()-8))</f>
      </c>
    </row>
    <row r="6472" spans="1:7">
      <c r="B6472">
        <f>IF(INDEX(Transactions!$J:$J,ROW()-8)="",TODAY(),INDEX(Transactions!$G:$G,ROW()-8))</f>
      </c>
      <c r="F6472">
        <f>IF(INDEX(Transactions!$J:$J,ROW()-8)="",0,INDEX(Transactions!$O:$O,ROW()-8))</f>
      </c>
    </row>
    <row r="6473" spans="1:7">
      <c r="B6473">
        <f>IF(INDEX(Transactions!$J:$J,ROW()-8)="",TODAY(),INDEX(Transactions!$G:$G,ROW()-8))</f>
      </c>
      <c r="F6473">
        <f>IF(INDEX(Transactions!$J:$J,ROW()-8)="",0,INDEX(Transactions!$O:$O,ROW()-8))</f>
      </c>
    </row>
    <row r="6474" spans="1:7">
      <c r="B6474">
        <f>IF(INDEX(Transactions!$J:$J,ROW()-8)="",TODAY(),INDEX(Transactions!$G:$G,ROW()-8))</f>
      </c>
      <c r="F6474">
        <f>IF(INDEX(Transactions!$J:$J,ROW()-8)="",0,INDEX(Transactions!$O:$O,ROW()-8))</f>
      </c>
    </row>
    <row r="6475" spans="1:7">
      <c r="B6475">
        <f>IF(INDEX(Transactions!$J:$J,ROW()-8)="",TODAY(),INDEX(Transactions!$G:$G,ROW()-8))</f>
      </c>
      <c r="F6475">
        <f>IF(INDEX(Transactions!$J:$J,ROW()-8)="",0,INDEX(Transactions!$O:$O,ROW()-8))</f>
      </c>
    </row>
    <row r="6476" spans="1:7">
      <c r="B6476">
        <f>IF(INDEX(Transactions!$J:$J,ROW()-8)="",TODAY(),INDEX(Transactions!$G:$G,ROW()-8))</f>
      </c>
      <c r="F6476">
        <f>IF(INDEX(Transactions!$J:$J,ROW()-8)="",0,INDEX(Transactions!$O:$O,ROW()-8))</f>
      </c>
    </row>
    <row r="6477" spans="1:7">
      <c r="B6477">
        <f>IF(INDEX(Transactions!$J:$J,ROW()-8)="",TODAY(),INDEX(Transactions!$G:$G,ROW()-8))</f>
      </c>
      <c r="F6477">
        <f>IF(INDEX(Transactions!$J:$J,ROW()-8)="",0,INDEX(Transactions!$O:$O,ROW()-8))</f>
      </c>
    </row>
    <row r="6478" spans="1:7">
      <c r="B6478">
        <f>IF(INDEX(Transactions!$J:$J,ROW()-8)="",TODAY(),INDEX(Transactions!$G:$G,ROW()-8))</f>
      </c>
      <c r="F6478">
        <f>IF(INDEX(Transactions!$J:$J,ROW()-8)="",0,INDEX(Transactions!$O:$O,ROW()-8))</f>
      </c>
    </row>
    <row r="6479" spans="1:7">
      <c r="B6479">
        <f>IF(INDEX(Transactions!$J:$J,ROW()-8)="",TODAY(),INDEX(Transactions!$G:$G,ROW()-8))</f>
      </c>
      <c r="F6479">
        <f>IF(INDEX(Transactions!$J:$J,ROW()-8)="",0,INDEX(Transactions!$O:$O,ROW()-8))</f>
      </c>
    </row>
    <row r="6480" spans="1:7">
      <c r="B6480">
        <f>IF(INDEX(Transactions!$J:$J,ROW()-8)="",TODAY(),INDEX(Transactions!$G:$G,ROW()-8))</f>
      </c>
      <c r="F6480">
        <f>IF(INDEX(Transactions!$J:$J,ROW()-8)="",0,INDEX(Transactions!$O:$O,ROW()-8))</f>
      </c>
    </row>
    <row r="6481" spans="1:7">
      <c r="B6481">
        <f>IF(INDEX(Transactions!$J:$J,ROW()-8)="",TODAY(),INDEX(Transactions!$G:$G,ROW()-8))</f>
      </c>
      <c r="F6481">
        <f>IF(INDEX(Transactions!$J:$J,ROW()-8)="",0,INDEX(Transactions!$O:$O,ROW()-8))</f>
      </c>
    </row>
    <row r="6482" spans="1:7">
      <c r="B6482">
        <f>IF(INDEX(Transactions!$J:$J,ROW()-8)="",TODAY(),INDEX(Transactions!$G:$G,ROW()-8))</f>
      </c>
      <c r="F6482">
        <f>IF(INDEX(Transactions!$J:$J,ROW()-8)="",0,INDEX(Transactions!$O:$O,ROW()-8))</f>
      </c>
    </row>
    <row r="6483" spans="1:7">
      <c r="B6483">
        <f>IF(INDEX(Transactions!$J:$J,ROW()-8)="",TODAY(),INDEX(Transactions!$G:$G,ROW()-8))</f>
      </c>
      <c r="F6483">
        <f>IF(INDEX(Transactions!$J:$J,ROW()-8)="",0,INDEX(Transactions!$O:$O,ROW()-8))</f>
      </c>
    </row>
    <row r="6484" spans="1:7">
      <c r="B6484">
        <f>IF(INDEX(Transactions!$J:$J,ROW()-8)="",TODAY(),INDEX(Transactions!$G:$G,ROW()-8))</f>
      </c>
      <c r="F6484">
        <f>IF(INDEX(Transactions!$J:$J,ROW()-8)="",0,INDEX(Transactions!$O:$O,ROW()-8))</f>
      </c>
    </row>
    <row r="6485" spans="1:7">
      <c r="B6485">
        <f>IF(INDEX(Transactions!$J:$J,ROW()-8)="",TODAY(),INDEX(Transactions!$G:$G,ROW()-8))</f>
      </c>
      <c r="F6485">
        <f>IF(INDEX(Transactions!$J:$J,ROW()-8)="",0,INDEX(Transactions!$O:$O,ROW()-8))</f>
      </c>
    </row>
    <row r="6486" spans="1:7">
      <c r="B6486">
        <f>IF(INDEX(Transactions!$J:$J,ROW()-8)="",TODAY(),INDEX(Transactions!$G:$G,ROW()-8))</f>
      </c>
      <c r="F6486">
        <f>IF(INDEX(Transactions!$J:$J,ROW()-8)="",0,INDEX(Transactions!$O:$O,ROW()-8))</f>
      </c>
    </row>
    <row r="6487" spans="1:7">
      <c r="B6487">
        <f>IF(INDEX(Transactions!$J:$J,ROW()-8)="",TODAY(),INDEX(Transactions!$G:$G,ROW()-8))</f>
      </c>
      <c r="F6487">
        <f>IF(INDEX(Transactions!$J:$J,ROW()-8)="",0,INDEX(Transactions!$O:$O,ROW()-8))</f>
      </c>
    </row>
    <row r="6488" spans="1:7">
      <c r="B6488">
        <f>IF(INDEX(Transactions!$J:$J,ROW()-8)="",TODAY(),INDEX(Transactions!$G:$G,ROW()-8))</f>
      </c>
      <c r="F6488">
        <f>IF(INDEX(Transactions!$J:$J,ROW()-8)="",0,INDEX(Transactions!$O:$O,ROW()-8))</f>
      </c>
    </row>
    <row r="6489" spans="1:7">
      <c r="B6489">
        <f>IF(INDEX(Transactions!$J:$J,ROW()-8)="",TODAY(),INDEX(Transactions!$G:$G,ROW()-8))</f>
      </c>
      <c r="F6489">
        <f>IF(INDEX(Transactions!$J:$J,ROW()-8)="",0,INDEX(Transactions!$O:$O,ROW()-8))</f>
      </c>
    </row>
    <row r="6490" spans="1:7">
      <c r="B6490">
        <f>IF(INDEX(Transactions!$J:$J,ROW()-8)="",TODAY(),INDEX(Transactions!$G:$G,ROW()-8))</f>
      </c>
      <c r="F6490">
        <f>IF(INDEX(Transactions!$J:$J,ROW()-8)="",0,INDEX(Transactions!$O:$O,ROW()-8))</f>
      </c>
    </row>
    <row r="6491" spans="1:7">
      <c r="B6491">
        <f>IF(INDEX(Transactions!$J:$J,ROW()-8)="",TODAY(),INDEX(Transactions!$G:$G,ROW()-8))</f>
      </c>
      <c r="F6491">
        <f>IF(INDEX(Transactions!$J:$J,ROW()-8)="",0,INDEX(Transactions!$O:$O,ROW()-8))</f>
      </c>
    </row>
    <row r="6492" spans="1:7">
      <c r="B6492">
        <f>IF(INDEX(Transactions!$J:$J,ROW()-8)="",TODAY(),INDEX(Transactions!$G:$G,ROW()-8))</f>
      </c>
      <c r="F6492">
        <f>IF(INDEX(Transactions!$J:$J,ROW()-8)="",0,INDEX(Transactions!$O:$O,ROW()-8))</f>
      </c>
    </row>
    <row r="6493" spans="1:7">
      <c r="B6493">
        <f>IF(INDEX(Transactions!$J:$J,ROW()-8)="",TODAY(),INDEX(Transactions!$G:$G,ROW()-8))</f>
      </c>
      <c r="F6493">
        <f>IF(INDEX(Transactions!$J:$J,ROW()-8)="",0,INDEX(Transactions!$O:$O,ROW()-8))</f>
      </c>
    </row>
    <row r="6494" spans="1:7">
      <c r="B6494">
        <f>IF(INDEX(Transactions!$J:$J,ROW()-8)="",TODAY(),INDEX(Transactions!$G:$G,ROW()-8))</f>
      </c>
      <c r="F6494">
        <f>IF(INDEX(Transactions!$J:$J,ROW()-8)="",0,INDEX(Transactions!$O:$O,ROW()-8))</f>
      </c>
    </row>
    <row r="6495" spans="1:7">
      <c r="B6495">
        <f>IF(INDEX(Transactions!$J:$J,ROW()-8)="",TODAY(),INDEX(Transactions!$G:$G,ROW()-8))</f>
      </c>
      <c r="F6495">
        <f>IF(INDEX(Transactions!$J:$J,ROW()-8)="",0,INDEX(Transactions!$O:$O,ROW()-8))</f>
      </c>
    </row>
    <row r="6496" spans="1:7">
      <c r="B6496">
        <f>IF(INDEX(Transactions!$J:$J,ROW()-8)="",TODAY(),INDEX(Transactions!$G:$G,ROW()-8))</f>
      </c>
      <c r="F6496">
        <f>IF(INDEX(Transactions!$J:$J,ROW()-8)="",0,INDEX(Transactions!$O:$O,ROW()-8))</f>
      </c>
    </row>
    <row r="6497" spans="1:7">
      <c r="B6497">
        <f>IF(INDEX(Transactions!$J:$J,ROW()-8)="",TODAY(),INDEX(Transactions!$G:$G,ROW()-8))</f>
      </c>
      <c r="F6497">
        <f>IF(INDEX(Transactions!$J:$J,ROW()-8)="",0,INDEX(Transactions!$O:$O,ROW()-8))</f>
      </c>
    </row>
    <row r="6498" spans="1:7">
      <c r="B6498">
        <f>IF(INDEX(Transactions!$J:$J,ROW()-8)="",TODAY(),INDEX(Transactions!$G:$G,ROW()-8))</f>
      </c>
      <c r="F6498">
        <f>IF(INDEX(Transactions!$J:$J,ROW()-8)="",0,INDEX(Transactions!$O:$O,ROW()-8))</f>
      </c>
    </row>
    <row r="6499" spans="1:7">
      <c r="B6499">
        <f>IF(INDEX(Transactions!$J:$J,ROW()-8)="",TODAY(),INDEX(Transactions!$G:$G,ROW()-8))</f>
      </c>
      <c r="F6499">
        <f>IF(INDEX(Transactions!$J:$J,ROW()-8)="",0,INDEX(Transactions!$O:$O,ROW()-8))</f>
      </c>
    </row>
    <row r="6500" spans="1:7">
      <c r="B6500">
        <f>IF(INDEX(Transactions!$J:$J,ROW()-8)="",TODAY(),INDEX(Transactions!$G:$G,ROW()-8))</f>
      </c>
      <c r="F6500">
        <f>IF(INDEX(Transactions!$J:$J,ROW()-8)="",0,INDEX(Transactions!$O:$O,ROW()-8))</f>
      </c>
    </row>
    <row r="6501" spans="1:7">
      <c r="B6501">
        <f>IF(INDEX(Transactions!$J:$J,ROW()-8)="",TODAY(),INDEX(Transactions!$G:$G,ROW()-8))</f>
      </c>
      <c r="F6501">
        <f>IF(INDEX(Transactions!$J:$J,ROW()-8)="",0,INDEX(Transactions!$O:$O,ROW()-8))</f>
      </c>
    </row>
    <row r="6502" spans="1:7">
      <c r="B6502">
        <f>IF(INDEX(Transactions!$J:$J,ROW()-8)="",TODAY(),INDEX(Transactions!$G:$G,ROW()-8))</f>
      </c>
      <c r="F6502">
        <f>IF(INDEX(Transactions!$J:$J,ROW()-8)="",0,INDEX(Transactions!$O:$O,ROW()-8))</f>
      </c>
    </row>
    <row r="6503" spans="1:7">
      <c r="B6503">
        <f>IF(INDEX(Transactions!$J:$J,ROW()-8)="",TODAY(),INDEX(Transactions!$G:$G,ROW()-8))</f>
      </c>
      <c r="F6503">
        <f>IF(INDEX(Transactions!$J:$J,ROW()-8)="",0,INDEX(Transactions!$O:$O,ROW()-8))</f>
      </c>
    </row>
    <row r="6504" spans="1:7">
      <c r="B6504">
        <f>IF(INDEX(Transactions!$J:$J,ROW()-8)="",TODAY(),INDEX(Transactions!$G:$G,ROW()-8))</f>
      </c>
      <c r="F6504">
        <f>IF(INDEX(Transactions!$J:$J,ROW()-8)="",0,INDEX(Transactions!$O:$O,ROW()-8))</f>
      </c>
    </row>
    <row r="6505" spans="1:7">
      <c r="B6505">
        <f>IF(INDEX(Transactions!$J:$J,ROW()-8)="",TODAY(),INDEX(Transactions!$G:$G,ROW()-8))</f>
      </c>
      <c r="F6505">
        <f>IF(INDEX(Transactions!$J:$J,ROW()-8)="",0,INDEX(Transactions!$O:$O,ROW()-8))</f>
      </c>
    </row>
    <row r="6506" spans="1:7">
      <c r="B6506">
        <f>IF(INDEX(Transactions!$J:$J,ROW()-8)="",TODAY(),INDEX(Transactions!$G:$G,ROW()-8))</f>
      </c>
      <c r="F6506">
        <f>IF(INDEX(Transactions!$J:$J,ROW()-8)="",0,INDEX(Transactions!$O:$O,ROW()-8))</f>
      </c>
    </row>
    <row r="6507" spans="1:7">
      <c r="B6507">
        <f>IF(INDEX(Transactions!$J:$J,ROW()-8)="",TODAY(),INDEX(Transactions!$G:$G,ROW()-8))</f>
      </c>
      <c r="F6507">
        <f>IF(INDEX(Transactions!$J:$J,ROW()-8)="",0,INDEX(Transactions!$O:$O,ROW()-8))</f>
      </c>
    </row>
    <row r="6508" spans="1:7">
      <c r="B6508">
        <f>IF(INDEX(Transactions!$J:$J,ROW()-8)="",TODAY(),INDEX(Transactions!$G:$G,ROW()-8))</f>
      </c>
      <c r="F6508">
        <f>IF(INDEX(Transactions!$J:$J,ROW()-8)="",0,INDEX(Transactions!$O:$O,ROW()-8))</f>
      </c>
    </row>
    <row r="6509" spans="1:7">
      <c r="B6509">
        <f>IF(INDEX(Transactions!$J:$J,ROW()-8)="",TODAY(),INDEX(Transactions!$G:$G,ROW()-8))</f>
      </c>
      <c r="F6509">
        <f>IF(INDEX(Transactions!$J:$J,ROW()-8)="",0,INDEX(Transactions!$O:$O,ROW()-8))</f>
      </c>
    </row>
    <row r="6510" spans="1:7">
      <c r="B6510">
        <f>IF(INDEX(Transactions!$J:$J,ROW()-8)="",TODAY(),INDEX(Transactions!$G:$G,ROW()-8))</f>
      </c>
      <c r="F6510">
        <f>IF(INDEX(Transactions!$J:$J,ROW()-8)="",0,INDEX(Transactions!$O:$O,ROW()-8))</f>
      </c>
    </row>
    <row r="6511" spans="1:7">
      <c r="B6511">
        <f>IF(INDEX(Transactions!$J:$J,ROW()-8)="",TODAY(),INDEX(Transactions!$G:$G,ROW()-8))</f>
      </c>
      <c r="F6511">
        <f>IF(INDEX(Transactions!$J:$J,ROW()-8)="",0,INDEX(Transactions!$O:$O,ROW()-8))</f>
      </c>
    </row>
    <row r="6512" spans="1:7">
      <c r="B6512">
        <f>IF(INDEX(Transactions!$J:$J,ROW()-8)="",TODAY(),INDEX(Transactions!$G:$G,ROW()-8))</f>
      </c>
      <c r="F6512">
        <f>IF(INDEX(Transactions!$J:$J,ROW()-8)="",0,INDEX(Transactions!$O:$O,ROW()-8))</f>
      </c>
    </row>
    <row r="6513" spans="1:7">
      <c r="B6513">
        <f>IF(INDEX(Transactions!$J:$J,ROW()-8)="",TODAY(),INDEX(Transactions!$G:$G,ROW()-8))</f>
      </c>
      <c r="F6513">
        <f>IF(INDEX(Transactions!$J:$J,ROW()-8)="",0,INDEX(Transactions!$O:$O,ROW()-8))</f>
      </c>
    </row>
    <row r="6514" spans="1:7">
      <c r="B6514">
        <f>IF(INDEX(Transactions!$J:$J,ROW()-8)="",TODAY(),INDEX(Transactions!$G:$G,ROW()-8))</f>
      </c>
      <c r="F6514">
        <f>IF(INDEX(Transactions!$J:$J,ROW()-8)="",0,INDEX(Transactions!$O:$O,ROW()-8))</f>
      </c>
    </row>
    <row r="6515" spans="1:7">
      <c r="B6515">
        <f>IF(INDEX(Transactions!$J:$J,ROW()-8)="",TODAY(),INDEX(Transactions!$G:$G,ROW()-8))</f>
      </c>
      <c r="F6515">
        <f>IF(INDEX(Transactions!$J:$J,ROW()-8)="",0,INDEX(Transactions!$O:$O,ROW()-8))</f>
      </c>
    </row>
    <row r="6516" spans="1:7">
      <c r="B6516">
        <f>IF(INDEX(Transactions!$J:$J,ROW()-8)="",TODAY(),INDEX(Transactions!$G:$G,ROW()-8))</f>
      </c>
      <c r="F6516">
        <f>IF(INDEX(Transactions!$J:$J,ROW()-8)="",0,INDEX(Transactions!$O:$O,ROW()-8))</f>
      </c>
    </row>
    <row r="6517" spans="1:7">
      <c r="B6517">
        <f>IF(INDEX(Transactions!$J:$J,ROW()-8)="",TODAY(),INDEX(Transactions!$G:$G,ROW()-8))</f>
      </c>
      <c r="F6517">
        <f>IF(INDEX(Transactions!$J:$J,ROW()-8)="",0,INDEX(Transactions!$O:$O,ROW()-8))</f>
      </c>
    </row>
    <row r="6518" spans="1:7">
      <c r="B6518">
        <f>IF(INDEX(Transactions!$J:$J,ROW()-8)="",TODAY(),INDEX(Transactions!$G:$G,ROW()-8))</f>
      </c>
      <c r="F6518">
        <f>IF(INDEX(Transactions!$J:$J,ROW()-8)="",0,INDEX(Transactions!$O:$O,ROW()-8))</f>
      </c>
    </row>
    <row r="6519" spans="1:7">
      <c r="B6519">
        <f>IF(INDEX(Transactions!$J:$J,ROW()-8)="",TODAY(),INDEX(Transactions!$G:$G,ROW()-8))</f>
      </c>
      <c r="F6519">
        <f>IF(INDEX(Transactions!$J:$J,ROW()-8)="",0,INDEX(Transactions!$O:$O,ROW()-8))</f>
      </c>
    </row>
    <row r="6520" spans="1:7">
      <c r="B6520">
        <f>IF(INDEX(Transactions!$J:$J,ROW()-8)="",TODAY(),INDEX(Transactions!$G:$G,ROW()-8))</f>
      </c>
      <c r="F6520">
        <f>IF(INDEX(Transactions!$J:$J,ROW()-8)="",0,INDEX(Transactions!$O:$O,ROW()-8))</f>
      </c>
    </row>
    <row r="6521" spans="1:7">
      <c r="B6521">
        <f>IF(INDEX(Transactions!$J:$J,ROW()-8)="",TODAY(),INDEX(Transactions!$G:$G,ROW()-8))</f>
      </c>
      <c r="F6521">
        <f>IF(INDEX(Transactions!$J:$J,ROW()-8)="",0,INDEX(Transactions!$O:$O,ROW()-8))</f>
      </c>
    </row>
    <row r="6522" spans="1:7">
      <c r="B6522">
        <f>IF(INDEX(Transactions!$J:$J,ROW()-8)="",TODAY(),INDEX(Transactions!$G:$G,ROW()-8))</f>
      </c>
      <c r="F6522">
        <f>IF(INDEX(Transactions!$J:$J,ROW()-8)="",0,INDEX(Transactions!$O:$O,ROW()-8))</f>
      </c>
    </row>
    <row r="6523" spans="1:7">
      <c r="B6523">
        <f>IF(INDEX(Transactions!$J:$J,ROW()-8)="",TODAY(),INDEX(Transactions!$G:$G,ROW()-8))</f>
      </c>
      <c r="F6523">
        <f>IF(INDEX(Transactions!$J:$J,ROW()-8)="",0,INDEX(Transactions!$O:$O,ROW()-8))</f>
      </c>
    </row>
    <row r="6524" spans="1:7">
      <c r="B6524">
        <f>IF(INDEX(Transactions!$J:$J,ROW()-8)="",TODAY(),INDEX(Transactions!$G:$G,ROW()-8))</f>
      </c>
      <c r="F6524">
        <f>IF(INDEX(Transactions!$J:$J,ROW()-8)="",0,INDEX(Transactions!$O:$O,ROW()-8))</f>
      </c>
    </row>
    <row r="6525" spans="1:7">
      <c r="B6525">
        <f>IF(INDEX(Transactions!$J:$J,ROW()-8)="",TODAY(),INDEX(Transactions!$G:$G,ROW()-8))</f>
      </c>
      <c r="F6525">
        <f>IF(INDEX(Transactions!$J:$J,ROW()-8)="",0,INDEX(Transactions!$O:$O,ROW()-8))</f>
      </c>
    </row>
    <row r="6526" spans="1:7">
      <c r="B6526">
        <f>IF(INDEX(Transactions!$J:$J,ROW()-8)="",TODAY(),INDEX(Transactions!$G:$G,ROW()-8))</f>
      </c>
      <c r="F6526">
        <f>IF(INDEX(Transactions!$J:$J,ROW()-8)="",0,INDEX(Transactions!$O:$O,ROW()-8))</f>
      </c>
    </row>
    <row r="6527" spans="1:7">
      <c r="B6527">
        <f>IF(INDEX(Transactions!$J:$J,ROW()-8)="",TODAY(),INDEX(Transactions!$G:$G,ROW()-8))</f>
      </c>
      <c r="F6527">
        <f>IF(INDEX(Transactions!$J:$J,ROW()-8)="",0,INDEX(Transactions!$O:$O,ROW()-8))</f>
      </c>
    </row>
    <row r="6528" spans="1:7">
      <c r="B6528">
        <f>IF(INDEX(Transactions!$J:$J,ROW()-8)="",TODAY(),INDEX(Transactions!$G:$G,ROW()-8))</f>
      </c>
      <c r="F6528">
        <f>IF(INDEX(Transactions!$J:$J,ROW()-8)="",0,INDEX(Transactions!$O:$O,ROW()-8))</f>
      </c>
    </row>
    <row r="6529" spans="1:7">
      <c r="B6529">
        <f>IF(INDEX(Transactions!$J:$J,ROW()-8)="",TODAY(),INDEX(Transactions!$G:$G,ROW()-8))</f>
      </c>
      <c r="F6529">
        <f>IF(INDEX(Transactions!$J:$J,ROW()-8)="",0,INDEX(Transactions!$O:$O,ROW()-8))</f>
      </c>
    </row>
    <row r="6530" spans="1:7">
      <c r="B6530">
        <f>IF(INDEX(Transactions!$J:$J,ROW()-8)="",TODAY(),INDEX(Transactions!$G:$G,ROW()-8))</f>
      </c>
      <c r="F6530">
        <f>IF(INDEX(Transactions!$J:$J,ROW()-8)="",0,INDEX(Transactions!$O:$O,ROW()-8))</f>
      </c>
    </row>
    <row r="6531" spans="1:7">
      <c r="B6531">
        <f>IF(INDEX(Transactions!$J:$J,ROW()-8)="",TODAY(),INDEX(Transactions!$G:$G,ROW()-8))</f>
      </c>
      <c r="F6531">
        <f>IF(INDEX(Transactions!$J:$J,ROW()-8)="",0,INDEX(Transactions!$O:$O,ROW()-8))</f>
      </c>
    </row>
    <row r="6532" spans="1:7">
      <c r="B6532">
        <f>IF(INDEX(Transactions!$J:$J,ROW()-8)="",TODAY(),INDEX(Transactions!$G:$G,ROW()-8))</f>
      </c>
      <c r="F6532">
        <f>IF(INDEX(Transactions!$J:$J,ROW()-8)="",0,INDEX(Transactions!$O:$O,ROW()-8))</f>
      </c>
    </row>
    <row r="6533" spans="1:7">
      <c r="B6533">
        <f>IF(INDEX(Transactions!$J:$J,ROW()-8)="",TODAY(),INDEX(Transactions!$G:$G,ROW()-8))</f>
      </c>
      <c r="F6533">
        <f>IF(INDEX(Transactions!$J:$J,ROW()-8)="",0,INDEX(Transactions!$O:$O,ROW()-8))</f>
      </c>
    </row>
    <row r="6534" spans="1:7">
      <c r="B6534">
        <f>IF(INDEX(Transactions!$J:$J,ROW()-8)="",TODAY(),INDEX(Transactions!$G:$G,ROW()-8))</f>
      </c>
      <c r="F6534">
        <f>IF(INDEX(Transactions!$J:$J,ROW()-8)="",0,INDEX(Transactions!$O:$O,ROW()-8))</f>
      </c>
    </row>
    <row r="6535" spans="1:7">
      <c r="B6535">
        <f>IF(INDEX(Transactions!$J:$J,ROW()-8)="",TODAY(),INDEX(Transactions!$G:$G,ROW()-8))</f>
      </c>
      <c r="F6535">
        <f>IF(INDEX(Transactions!$J:$J,ROW()-8)="",0,INDEX(Transactions!$O:$O,ROW()-8))</f>
      </c>
    </row>
    <row r="6536" spans="1:7">
      <c r="B6536">
        <f>IF(INDEX(Transactions!$J:$J,ROW()-8)="",TODAY(),INDEX(Transactions!$G:$G,ROW()-8))</f>
      </c>
      <c r="F6536">
        <f>IF(INDEX(Transactions!$J:$J,ROW()-8)="",0,INDEX(Transactions!$O:$O,ROW()-8))</f>
      </c>
    </row>
    <row r="6537" spans="1:7">
      <c r="B6537">
        <f>IF(INDEX(Transactions!$J:$J,ROW()-8)="",TODAY(),INDEX(Transactions!$G:$G,ROW()-8))</f>
      </c>
      <c r="F6537">
        <f>IF(INDEX(Transactions!$J:$J,ROW()-8)="",0,INDEX(Transactions!$O:$O,ROW()-8))</f>
      </c>
    </row>
    <row r="6538" spans="1:7">
      <c r="B6538">
        <f>IF(INDEX(Transactions!$J:$J,ROW()-8)="",TODAY(),INDEX(Transactions!$G:$G,ROW()-8))</f>
      </c>
      <c r="F6538">
        <f>IF(INDEX(Transactions!$J:$J,ROW()-8)="",0,INDEX(Transactions!$O:$O,ROW()-8))</f>
      </c>
    </row>
    <row r="6539" spans="1:7">
      <c r="B6539">
        <f>IF(INDEX(Transactions!$J:$J,ROW()-8)="",TODAY(),INDEX(Transactions!$G:$G,ROW()-8))</f>
      </c>
      <c r="F6539">
        <f>IF(INDEX(Transactions!$J:$J,ROW()-8)="",0,INDEX(Transactions!$O:$O,ROW()-8))</f>
      </c>
    </row>
    <row r="6540" spans="1:7">
      <c r="B6540">
        <f>IF(INDEX(Transactions!$J:$J,ROW()-8)="",TODAY(),INDEX(Transactions!$G:$G,ROW()-8))</f>
      </c>
      <c r="F6540">
        <f>IF(INDEX(Transactions!$J:$J,ROW()-8)="",0,INDEX(Transactions!$O:$O,ROW()-8))</f>
      </c>
    </row>
    <row r="6541" spans="1:7">
      <c r="B6541">
        <f>IF(INDEX(Transactions!$J:$J,ROW()-8)="",TODAY(),INDEX(Transactions!$G:$G,ROW()-8))</f>
      </c>
      <c r="F6541">
        <f>IF(INDEX(Transactions!$J:$J,ROW()-8)="",0,INDEX(Transactions!$O:$O,ROW()-8))</f>
      </c>
    </row>
    <row r="6542" spans="1:7">
      <c r="B6542">
        <f>IF(INDEX(Transactions!$J:$J,ROW()-8)="",TODAY(),INDEX(Transactions!$G:$G,ROW()-8))</f>
      </c>
      <c r="F6542">
        <f>IF(INDEX(Transactions!$J:$J,ROW()-8)="",0,INDEX(Transactions!$O:$O,ROW()-8))</f>
      </c>
    </row>
    <row r="6543" spans="1:7">
      <c r="B6543">
        <f>IF(INDEX(Transactions!$J:$J,ROW()-8)="",TODAY(),INDEX(Transactions!$G:$G,ROW()-8))</f>
      </c>
      <c r="F6543">
        <f>IF(INDEX(Transactions!$J:$J,ROW()-8)="",0,INDEX(Transactions!$O:$O,ROW()-8))</f>
      </c>
    </row>
    <row r="6544" spans="1:7">
      <c r="B6544">
        <f>IF(INDEX(Transactions!$J:$J,ROW()-8)="",TODAY(),INDEX(Transactions!$G:$G,ROW()-8))</f>
      </c>
      <c r="F6544">
        <f>IF(INDEX(Transactions!$J:$J,ROW()-8)="",0,INDEX(Transactions!$O:$O,ROW()-8))</f>
      </c>
    </row>
    <row r="6545" spans="1:7">
      <c r="B6545">
        <f>IF(INDEX(Transactions!$J:$J,ROW()-8)="",TODAY(),INDEX(Transactions!$G:$G,ROW()-8))</f>
      </c>
      <c r="F6545">
        <f>IF(INDEX(Transactions!$J:$J,ROW()-8)="",0,INDEX(Transactions!$O:$O,ROW()-8))</f>
      </c>
    </row>
    <row r="6546" spans="1:7">
      <c r="B6546">
        <f>IF(INDEX(Transactions!$J:$J,ROW()-8)="",TODAY(),INDEX(Transactions!$G:$G,ROW()-8))</f>
      </c>
      <c r="F6546">
        <f>IF(INDEX(Transactions!$J:$J,ROW()-8)="",0,INDEX(Transactions!$O:$O,ROW()-8))</f>
      </c>
    </row>
    <row r="6547" spans="1:7">
      <c r="B6547">
        <f>IF(INDEX(Transactions!$J:$J,ROW()-8)="",TODAY(),INDEX(Transactions!$G:$G,ROW()-8))</f>
      </c>
      <c r="F6547">
        <f>IF(INDEX(Transactions!$J:$J,ROW()-8)="",0,INDEX(Transactions!$O:$O,ROW()-8))</f>
      </c>
    </row>
    <row r="6548" spans="1:7">
      <c r="B6548">
        <f>IF(INDEX(Transactions!$J:$J,ROW()-8)="",TODAY(),INDEX(Transactions!$G:$G,ROW()-8))</f>
      </c>
      <c r="F6548">
        <f>IF(INDEX(Transactions!$J:$J,ROW()-8)="",0,INDEX(Transactions!$O:$O,ROW()-8))</f>
      </c>
    </row>
    <row r="6549" spans="1:7">
      <c r="B6549">
        <f>IF(INDEX(Transactions!$J:$J,ROW()-8)="",TODAY(),INDEX(Transactions!$G:$G,ROW()-8))</f>
      </c>
      <c r="F6549">
        <f>IF(INDEX(Transactions!$J:$J,ROW()-8)="",0,INDEX(Transactions!$O:$O,ROW()-8))</f>
      </c>
    </row>
    <row r="6550" spans="1:7">
      <c r="B6550">
        <f>IF(INDEX(Transactions!$J:$J,ROW()-8)="",TODAY(),INDEX(Transactions!$G:$G,ROW()-8))</f>
      </c>
      <c r="F6550">
        <f>IF(INDEX(Transactions!$J:$J,ROW()-8)="",0,INDEX(Transactions!$O:$O,ROW()-8))</f>
      </c>
    </row>
    <row r="6551" spans="1:7">
      <c r="B6551">
        <f>IF(INDEX(Transactions!$J:$J,ROW()-8)="",TODAY(),INDEX(Transactions!$G:$G,ROW()-8))</f>
      </c>
      <c r="F6551">
        <f>IF(INDEX(Transactions!$J:$J,ROW()-8)="",0,INDEX(Transactions!$O:$O,ROW()-8))</f>
      </c>
    </row>
    <row r="6552" spans="1:7">
      <c r="B6552">
        <f>IF(INDEX(Transactions!$J:$J,ROW()-8)="",TODAY(),INDEX(Transactions!$G:$G,ROW()-8))</f>
      </c>
      <c r="F6552">
        <f>IF(INDEX(Transactions!$J:$J,ROW()-8)="",0,INDEX(Transactions!$O:$O,ROW()-8))</f>
      </c>
    </row>
    <row r="6553" spans="1:7">
      <c r="B6553">
        <f>IF(INDEX(Transactions!$J:$J,ROW()-8)="",TODAY(),INDEX(Transactions!$G:$G,ROW()-8))</f>
      </c>
      <c r="F6553">
        <f>IF(INDEX(Transactions!$J:$J,ROW()-8)="",0,INDEX(Transactions!$O:$O,ROW()-8))</f>
      </c>
    </row>
    <row r="6554" spans="1:7">
      <c r="B6554">
        <f>IF(INDEX(Transactions!$J:$J,ROW()-8)="",TODAY(),INDEX(Transactions!$G:$G,ROW()-8))</f>
      </c>
      <c r="F6554">
        <f>IF(INDEX(Transactions!$J:$J,ROW()-8)="",0,INDEX(Transactions!$O:$O,ROW()-8))</f>
      </c>
    </row>
    <row r="6555" spans="1:7">
      <c r="B6555">
        <f>IF(INDEX(Transactions!$J:$J,ROW()-8)="",TODAY(),INDEX(Transactions!$G:$G,ROW()-8))</f>
      </c>
      <c r="F6555">
        <f>IF(INDEX(Transactions!$J:$J,ROW()-8)="",0,INDEX(Transactions!$O:$O,ROW()-8))</f>
      </c>
    </row>
    <row r="6556" spans="1:7">
      <c r="B6556">
        <f>IF(INDEX(Transactions!$J:$J,ROW()-8)="",TODAY(),INDEX(Transactions!$G:$G,ROW()-8))</f>
      </c>
      <c r="F6556">
        <f>IF(INDEX(Transactions!$J:$J,ROW()-8)="",0,INDEX(Transactions!$O:$O,ROW()-8))</f>
      </c>
    </row>
    <row r="6557" spans="1:7">
      <c r="B6557">
        <f>IF(INDEX(Transactions!$J:$J,ROW()-8)="",TODAY(),INDEX(Transactions!$G:$G,ROW()-8))</f>
      </c>
      <c r="F6557">
        <f>IF(INDEX(Transactions!$J:$J,ROW()-8)="",0,INDEX(Transactions!$O:$O,ROW()-8))</f>
      </c>
    </row>
    <row r="6558" spans="1:7">
      <c r="B6558">
        <f>IF(INDEX(Transactions!$J:$J,ROW()-8)="",TODAY(),INDEX(Transactions!$G:$G,ROW()-8))</f>
      </c>
      <c r="F6558">
        <f>IF(INDEX(Transactions!$J:$J,ROW()-8)="",0,INDEX(Transactions!$O:$O,ROW()-8))</f>
      </c>
    </row>
    <row r="6559" spans="1:7">
      <c r="B6559">
        <f>IF(INDEX(Transactions!$J:$J,ROW()-8)="",TODAY(),INDEX(Transactions!$G:$G,ROW()-8))</f>
      </c>
      <c r="F6559">
        <f>IF(INDEX(Transactions!$J:$J,ROW()-8)="",0,INDEX(Transactions!$O:$O,ROW()-8))</f>
      </c>
    </row>
    <row r="6560" spans="1:7">
      <c r="B6560">
        <f>IF(INDEX(Transactions!$J:$J,ROW()-8)="",TODAY(),INDEX(Transactions!$G:$G,ROW()-8))</f>
      </c>
      <c r="F6560">
        <f>IF(INDEX(Transactions!$J:$J,ROW()-8)="",0,INDEX(Transactions!$O:$O,ROW()-8))</f>
      </c>
    </row>
    <row r="6561" spans="1:7">
      <c r="B6561">
        <f>IF(INDEX(Transactions!$J:$J,ROW()-8)="",TODAY(),INDEX(Transactions!$G:$G,ROW()-8))</f>
      </c>
      <c r="F6561">
        <f>IF(INDEX(Transactions!$J:$J,ROW()-8)="",0,INDEX(Transactions!$O:$O,ROW()-8))</f>
      </c>
    </row>
    <row r="6562" spans="1:7">
      <c r="B6562">
        <f>IF(INDEX(Transactions!$J:$J,ROW()-8)="",TODAY(),INDEX(Transactions!$G:$G,ROW()-8))</f>
      </c>
      <c r="F6562">
        <f>IF(INDEX(Transactions!$J:$J,ROW()-8)="",0,INDEX(Transactions!$O:$O,ROW()-8))</f>
      </c>
    </row>
    <row r="6563" spans="1:7">
      <c r="B6563">
        <f>IF(INDEX(Transactions!$J:$J,ROW()-8)="",TODAY(),INDEX(Transactions!$G:$G,ROW()-8))</f>
      </c>
      <c r="F6563">
        <f>IF(INDEX(Transactions!$J:$J,ROW()-8)="",0,INDEX(Transactions!$O:$O,ROW()-8))</f>
      </c>
    </row>
    <row r="6564" spans="1:7">
      <c r="B6564">
        <f>IF(INDEX(Transactions!$J:$J,ROW()-8)="",TODAY(),INDEX(Transactions!$G:$G,ROW()-8))</f>
      </c>
      <c r="F6564">
        <f>IF(INDEX(Transactions!$J:$J,ROW()-8)="",0,INDEX(Transactions!$O:$O,ROW()-8))</f>
      </c>
    </row>
    <row r="6565" spans="1:7">
      <c r="B6565">
        <f>IF(INDEX(Transactions!$J:$J,ROW()-8)="",TODAY(),INDEX(Transactions!$G:$G,ROW()-8))</f>
      </c>
      <c r="F6565">
        <f>IF(INDEX(Transactions!$J:$J,ROW()-8)="",0,INDEX(Transactions!$O:$O,ROW()-8))</f>
      </c>
    </row>
    <row r="6566" spans="1:7">
      <c r="B6566">
        <f>IF(INDEX(Transactions!$J:$J,ROW()-8)="",TODAY(),INDEX(Transactions!$G:$G,ROW()-8))</f>
      </c>
      <c r="F6566">
        <f>IF(INDEX(Transactions!$J:$J,ROW()-8)="",0,INDEX(Transactions!$O:$O,ROW()-8))</f>
      </c>
    </row>
    <row r="6567" spans="1:7">
      <c r="B6567">
        <f>IF(INDEX(Transactions!$J:$J,ROW()-8)="",TODAY(),INDEX(Transactions!$G:$G,ROW()-8))</f>
      </c>
      <c r="F6567">
        <f>IF(INDEX(Transactions!$J:$J,ROW()-8)="",0,INDEX(Transactions!$O:$O,ROW()-8))</f>
      </c>
    </row>
    <row r="6568" spans="1:7">
      <c r="B6568">
        <f>IF(INDEX(Transactions!$J:$J,ROW()-8)="",TODAY(),INDEX(Transactions!$G:$G,ROW()-8))</f>
      </c>
      <c r="F6568">
        <f>IF(INDEX(Transactions!$J:$J,ROW()-8)="",0,INDEX(Transactions!$O:$O,ROW()-8))</f>
      </c>
    </row>
    <row r="6569" spans="1:7">
      <c r="B6569">
        <f>IF(INDEX(Transactions!$J:$J,ROW()-8)="",TODAY(),INDEX(Transactions!$G:$G,ROW()-8))</f>
      </c>
      <c r="F6569">
        <f>IF(INDEX(Transactions!$J:$J,ROW()-8)="",0,INDEX(Transactions!$O:$O,ROW()-8))</f>
      </c>
    </row>
    <row r="6570" spans="1:7">
      <c r="B6570">
        <f>IF(INDEX(Transactions!$J:$J,ROW()-8)="",TODAY(),INDEX(Transactions!$G:$G,ROW()-8))</f>
      </c>
      <c r="F6570">
        <f>IF(INDEX(Transactions!$J:$J,ROW()-8)="",0,INDEX(Transactions!$O:$O,ROW()-8))</f>
      </c>
    </row>
    <row r="6571" spans="1:7">
      <c r="B6571">
        <f>IF(INDEX(Transactions!$J:$J,ROW()-8)="",TODAY(),INDEX(Transactions!$G:$G,ROW()-8))</f>
      </c>
      <c r="F6571">
        <f>IF(INDEX(Transactions!$J:$J,ROW()-8)="",0,INDEX(Transactions!$O:$O,ROW()-8))</f>
      </c>
    </row>
    <row r="6572" spans="1:7">
      <c r="B6572">
        <f>IF(INDEX(Transactions!$J:$J,ROW()-8)="",TODAY(),INDEX(Transactions!$G:$G,ROW()-8))</f>
      </c>
      <c r="F6572">
        <f>IF(INDEX(Transactions!$J:$J,ROW()-8)="",0,INDEX(Transactions!$O:$O,ROW()-8))</f>
      </c>
    </row>
    <row r="6573" spans="1:7">
      <c r="B6573">
        <f>IF(INDEX(Transactions!$J:$J,ROW()-8)="",TODAY(),INDEX(Transactions!$G:$G,ROW()-8))</f>
      </c>
      <c r="F6573">
        <f>IF(INDEX(Transactions!$J:$J,ROW()-8)="",0,INDEX(Transactions!$O:$O,ROW()-8))</f>
      </c>
    </row>
    <row r="6574" spans="1:7">
      <c r="B6574">
        <f>IF(INDEX(Transactions!$J:$J,ROW()-8)="",TODAY(),INDEX(Transactions!$G:$G,ROW()-8))</f>
      </c>
      <c r="F6574">
        <f>IF(INDEX(Transactions!$J:$J,ROW()-8)="",0,INDEX(Transactions!$O:$O,ROW()-8))</f>
      </c>
    </row>
    <row r="6575" spans="1:7">
      <c r="B6575">
        <f>IF(INDEX(Transactions!$J:$J,ROW()-8)="",TODAY(),INDEX(Transactions!$G:$G,ROW()-8))</f>
      </c>
      <c r="F6575">
        <f>IF(INDEX(Transactions!$J:$J,ROW()-8)="",0,INDEX(Transactions!$O:$O,ROW()-8))</f>
      </c>
    </row>
    <row r="6576" spans="1:7">
      <c r="B6576">
        <f>IF(INDEX(Transactions!$J:$J,ROW()-8)="",TODAY(),INDEX(Transactions!$G:$G,ROW()-8))</f>
      </c>
      <c r="F6576">
        <f>IF(INDEX(Transactions!$J:$J,ROW()-8)="",0,INDEX(Transactions!$O:$O,ROW()-8))</f>
      </c>
    </row>
    <row r="6577" spans="1:7">
      <c r="B6577">
        <f>IF(INDEX(Transactions!$J:$J,ROW()-8)="",TODAY(),INDEX(Transactions!$G:$G,ROW()-8))</f>
      </c>
      <c r="F6577">
        <f>IF(INDEX(Transactions!$J:$J,ROW()-8)="",0,INDEX(Transactions!$O:$O,ROW()-8))</f>
      </c>
    </row>
    <row r="6578" spans="1:7">
      <c r="B6578">
        <f>IF(INDEX(Transactions!$J:$J,ROW()-8)="",TODAY(),INDEX(Transactions!$G:$G,ROW()-8))</f>
      </c>
      <c r="F6578">
        <f>IF(INDEX(Transactions!$J:$J,ROW()-8)="",0,INDEX(Transactions!$O:$O,ROW()-8))</f>
      </c>
    </row>
    <row r="6579" spans="1:7">
      <c r="B6579">
        <f>IF(INDEX(Transactions!$J:$J,ROW()-8)="",TODAY(),INDEX(Transactions!$G:$G,ROW()-8))</f>
      </c>
      <c r="F6579">
        <f>IF(INDEX(Transactions!$J:$J,ROW()-8)="",0,INDEX(Transactions!$O:$O,ROW()-8))</f>
      </c>
    </row>
    <row r="6580" spans="1:7">
      <c r="B6580">
        <f>IF(INDEX(Transactions!$J:$J,ROW()-8)="",TODAY(),INDEX(Transactions!$G:$G,ROW()-8))</f>
      </c>
      <c r="F6580">
        <f>IF(INDEX(Transactions!$J:$J,ROW()-8)="",0,INDEX(Transactions!$O:$O,ROW()-8))</f>
      </c>
    </row>
    <row r="6581" spans="1:7">
      <c r="B6581">
        <f>IF(INDEX(Transactions!$J:$J,ROW()-8)="",TODAY(),INDEX(Transactions!$G:$G,ROW()-8))</f>
      </c>
      <c r="F6581">
        <f>IF(INDEX(Transactions!$J:$J,ROW()-8)="",0,INDEX(Transactions!$O:$O,ROW()-8))</f>
      </c>
    </row>
    <row r="6582" spans="1:7">
      <c r="B6582">
        <f>IF(INDEX(Transactions!$J:$J,ROW()-8)="",TODAY(),INDEX(Transactions!$G:$G,ROW()-8))</f>
      </c>
      <c r="F6582">
        <f>IF(INDEX(Transactions!$J:$J,ROW()-8)="",0,INDEX(Transactions!$O:$O,ROW()-8))</f>
      </c>
    </row>
    <row r="6583" spans="1:7">
      <c r="B6583">
        <f>IF(INDEX(Transactions!$J:$J,ROW()-8)="",TODAY(),INDEX(Transactions!$G:$G,ROW()-8))</f>
      </c>
      <c r="F6583">
        <f>IF(INDEX(Transactions!$J:$J,ROW()-8)="",0,INDEX(Transactions!$O:$O,ROW()-8))</f>
      </c>
    </row>
    <row r="6584" spans="1:7">
      <c r="B6584">
        <f>IF(INDEX(Transactions!$J:$J,ROW()-8)="",TODAY(),INDEX(Transactions!$G:$G,ROW()-8))</f>
      </c>
      <c r="F6584">
        <f>IF(INDEX(Transactions!$J:$J,ROW()-8)="",0,INDEX(Transactions!$O:$O,ROW()-8))</f>
      </c>
    </row>
    <row r="6585" spans="1:7">
      <c r="B6585">
        <f>IF(INDEX(Transactions!$J:$J,ROW()-8)="",TODAY(),INDEX(Transactions!$G:$G,ROW()-8))</f>
      </c>
      <c r="F6585">
        <f>IF(INDEX(Transactions!$J:$J,ROW()-8)="",0,INDEX(Transactions!$O:$O,ROW()-8))</f>
      </c>
    </row>
    <row r="6586" spans="1:7">
      <c r="B6586">
        <f>IF(INDEX(Transactions!$J:$J,ROW()-8)="",TODAY(),INDEX(Transactions!$G:$G,ROW()-8))</f>
      </c>
      <c r="F6586">
        <f>IF(INDEX(Transactions!$J:$J,ROW()-8)="",0,INDEX(Transactions!$O:$O,ROW()-8))</f>
      </c>
    </row>
    <row r="6587" spans="1:7">
      <c r="B6587">
        <f>IF(INDEX(Transactions!$J:$J,ROW()-8)="",TODAY(),INDEX(Transactions!$G:$G,ROW()-8))</f>
      </c>
      <c r="F6587">
        <f>IF(INDEX(Transactions!$J:$J,ROW()-8)="",0,INDEX(Transactions!$O:$O,ROW()-8))</f>
      </c>
    </row>
    <row r="6588" spans="1:7">
      <c r="B6588">
        <f>IF(INDEX(Transactions!$J:$J,ROW()-8)="",TODAY(),INDEX(Transactions!$G:$G,ROW()-8))</f>
      </c>
      <c r="F6588">
        <f>IF(INDEX(Transactions!$J:$J,ROW()-8)="",0,INDEX(Transactions!$O:$O,ROW()-8))</f>
      </c>
    </row>
    <row r="6589" spans="1:7">
      <c r="B6589">
        <f>IF(INDEX(Transactions!$J:$J,ROW()-8)="",TODAY(),INDEX(Transactions!$G:$G,ROW()-8))</f>
      </c>
      <c r="F6589">
        <f>IF(INDEX(Transactions!$J:$J,ROW()-8)="",0,INDEX(Transactions!$O:$O,ROW()-8))</f>
      </c>
    </row>
    <row r="6590" spans="1:7">
      <c r="B6590">
        <f>IF(INDEX(Transactions!$J:$J,ROW()-8)="",TODAY(),INDEX(Transactions!$G:$G,ROW()-8))</f>
      </c>
      <c r="F6590">
        <f>IF(INDEX(Transactions!$J:$J,ROW()-8)="",0,INDEX(Transactions!$O:$O,ROW()-8))</f>
      </c>
    </row>
    <row r="6591" spans="1:7">
      <c r="B6591">
        <f>IF(INDEX(Transactions!$J:$J,ROW()-8)="",TODAY(),INDEX(Transactions!$G:$G,ROW()-8))</f>
      </c>
      <c r="F6591">
        <f>IF(INDEX(Transactions!$J:$J,ROW()-8)="",0,INDEX(Transactions!$O:$O,ROW()-8))</f>
      </c>
    </row>
    <row r="6592" spans="1:7">
      <c r="B6592">
        <f>IF(INDEX(Transactions!$J:$J,ROW()-8)="",TODAY(),INDEX(Transactions!$G:$G,ROW()-8))</f>
      </c>
      <c r="F6592">
        <f>IF(INDEX(Transactions!$J:$J,ROW()-8)="",0,INDEX(Transactions!$O:$O,ROW()-8))</f>
      </c>
    </row>
    <row r="6593" spans="1:7">
      <c r="B6593">
        <f>IF(INDEX(Transactions!$J:$J,ROW()-8)="",TODAY(),INDEX(Transactions!$G:$G,ROW()-8))</f>
      </c>
      <c r="F6593">
        <f>IF(INDEX(Transactions!$J:$J,ROW()-8)="",0,INDEX(Transactions!$O:$O,ROW()-8))</f>
      </c>
    </row>
    <row r="6594" spans="1:7">
      <c r="B6594">
        <f>IF(INDEX(Transactions!$J:$J,ROW()-8)="",TODAY(),INDEX(Transactions!$G:$G,ROW()-8))</f>
      </c>
      <c r="F6594">
        <f>IF(INDEX(Transactions!$J:$J,ROW()-8)="",0,INDEX(Transactions!$O:$O,ROW()-8))</f>
      </c>
    </row>
    <row r="6595" spans="1:7">
      <c r="B6595">
        <f>IF(INDEX(Transactions!$J:$J,ROW()-8)="",TODAY(),INDEX(Transactions!$G:$G,ROW()-8))</f>
      </c>
      <c r="F6595">
        <f>IF(INDEX(Transactions!$J:$J,ROW()-8)="",0,INDEX(Transactions!$O:$O,ROW()-8))</f>
      </c>
    </row>
    <row r="6596" spans="1:7">
      <c r="B6596">
        <f>IF(INDEX(Transactions!$J:$J,ROW()-8)="",TODAY(),INDEX(Transactions!$G:$G,ROW()-8))</f>
      </c>
      <c r="F6596">
        <f>IF(INDEX(Transactions!$J:$J,ROW()-8)="",0,INDEX(Transactions!$O:$O,ROW()-8))</f>
      </c>
    </row>
    <row r="6597" spans="1:7">
      <c r="B6597">
        <f>IF(INDEX(Transactions!$J:$J,ROW()-8)="",TODAY(),INDEX(Transactions!$G:$G,ROW()-8))</f>
      </c>
      <c r="F6597">
        <f>IF(INDEX(Transactions!$J:$J,ROW()-8)="",0,INDEX(Transactions!$O:$O,ROW()-8))</f>
      </c>
    </row>
    <row r="6598" spans="1:7">
      <c r="B6598">
        <f>IF(INDEX(Transactions!$J:$J,ROW()-8)="",TODAY(),INDEX(Transactions!$G:$G,ROW()-8))</f>
      </c>
      <c r="F6598">
        <f>IF(INDEX(Transactions!$J:$J,ROW()-8)="",0,INDEX(Transactions!$O:$O,ROW()-8))</f>
      </c>
    </row>
    <row r="6599" spans="1:7">
      <c r="B6599">
        <f>IF(INDEX(Transactions!$J:$J,ROW()-8)="",TODAY(),INDEX(Transactions!$G:$G,ROW()-8))</f>
      </c>
      <c r="F6599">
        <f>IF(INDEX(Transactions!$J:$J,ROW()-8)="",0,INDEX(Transactions!$O:$O,ROW()-8))</f>
      </c>
    </row>
    <row r="6600" spans="1:7">
      <c r="B6600">
        <f>IF(INDEX(Transactions!$J:$J,ROW()-8)="",TODAY(),INDEX(Transactions!$G:$G,ROW()-8))</f>
      </c>
      <c r="F6600">
        <f>IF(INDEX(Transactions!$J:$J,ROW()-8)="",0,INDEX(Transactions!$O:$O,ROW()-8))</f>
      </c>
    </row>
    <row r="6601" spans="1:7">
      <c r="B6601">
        <f>IF(INDEX(Transactions!$J:$J,ROW()-8)="",TODAY(),INDEX(Transactions!$G:$G,ROW()-8))</f>
      </c>
      <c r="F6601">
        <f>IF(INDEX(Transactions!$J:$J,ROW()-8)="",0,INDEX(Transactions!$O:$O,ROW()-8))</f>
      </c>
    </row>
    <row r="6602" spans="1:7">
      <c r="B6602">
        <f>IF(INDEX(Transactions!$J:$J,ROW()-8)="",TODAY(),INDEX(Transactions!$G:$G,ROW()-8))</f>
      </c>
      <c r="F6602">
        <f>IF(INDEX(Transactions!$J:$J,ROW()-8)="",0,INDEX(Transactions!$O:$O,ROW()-8))</f>
      </c>
    </row>
    <row r="6603" spans="1:7">
      <c r="B6603">
        <f>IF(INDEX(Transactions!$J:$J,ROW()-8)="",TODAY(),INDEX(Transactions!$G:$G,ROW()-8))</f>
      </c>
      <c r="F6603">
        <f>IF(INDEX(Transactions!$J:$J,ROW()-8)="",0,INDEX(Transactions!$O:$O,ROW()-8))</f>
      </c>
    </row>
    <row r="6604" spans="1:7">
      <c r="B6604">
        <f>IF(INDEX(Transactions!$J:$J,ROW()-8)="",TODAY(),INDEX(Transactions!$G:$G,ROW()-8))</f>
      </c>
      <c r="F6604">
        <f>IF(INDEX(Transactions!$J:$J,ROW()-8)="",0,INDEX(Transactions!$O:$O,ROW()-8))</f>
      </c>
    </row>
    <row r="6605" spans="1:7">
      <c r="B6605">
        <f>IF(INDEX(Transactions!$J:$J,ROW()-8)="",TODAY(),INDEX(Transactions!$G:$G,ROW()-8))</f>
      </c>
      <c r="F6605">
        <f>IF(INDEX(Transactions!$J:$J,ROW()-8)="",0,INDEX(Transactions!$O:$O,ROW()-8))</f>
      </c>
    </row>
    <row r="6606" spans="1:7">
      <c r="B6606">
        <f>IF(INDEX(Transactions!$J:$J,ROW()-8)="",TODAY(),INDEX(Transactions!$G:$G,ROW()-8))</f>
      </c>
      <c r="F6606">
        <f>IF(INDEX(Transactions!$J:$J,ROW()-8)="",0,INDEX(Transactions!$O:$O,ROW()-8))</f>
      </c>
    </row>
    <row r="6607" spans="1:7">
      <c r="B6607">
        <f>IF(INDEX(Transactions!$J:$J,ROW()-8)="",TODAY(),INDEX(Transactions!$G:$G,ROW()-8))</f>
      </c>
      <c r="F6607">
        <f>IF(INDEX(Transactions!$J:$J,ROW()-8)="",0,INDEX(Transactions!$O:$O,ROW()-8))</f>
      </c>
    </row>
    <row r="6608" spans="1:7">
      <c r="B6608">
        <f>IF(INDEX(Transactions!$J:$J,ROW()-8)="",TODAY(),INDEX(Transactions!$G:$G,ROW()-8))</f>
      </c>
      <c r="F6608">
        <f>IF(INDEX(Transactions!$J:$J,ROW()-8)="",0,INDEX(Transactions!$O:$O,ROW()-8))</f>
      </c>
    </row>
    <row r="6609" spans="1:7">
      <c r="B6609">
        <f>IF(INDEX(Transactions!$J:$J,ROW()-8)="",TODAY(),INDEX(Transactions!$G:$G,ROW()-8))</f>
      </c>
      <c r="F6609">
        <f>IF(INDEX(Transactions!$J:$J,ROW()-8)="",0,INDEX(Transactions!$O:$O,ROW()-8))</f>
      </c>
    </row>
    <row r="6610" spans="1:7">
      <c r="B6610">
        <f>IF(INDEX(Transactions!$J:$J,ROW()-8)="",TODAY(),INDEX(Transactions!$G:$G,ROW()-8))</f>
      </c>
      <c r="F6610">
        <f>IF(INDEX(Transactions!$J:$J,ROW()-8)="",0,INDEX(Transactions!$O:$O,ROW()-8))</f>
      </c>
    </row>
    <row r="6611" spans="1:7">
      <c r="B6611">
        <f>IF(INDEX(Transactions!$J:$J,ROW()-8)="",TODAY(),INDEX(Transactions!$G:$G,ROW()-8))</f>
      </c>
      <c r="F6611">
        <f>IF(INDEX(Transactions!$J:$J,ROW()-8)="",0,INDEX(Transactions!$O:$O,ROW()-8))</f>
      </c>
    </row>
    <row r="6612" spans="1:7">
      <c r="B6612">
        <f>IF(INDEX(Transactions!$J:$J,ROW()-8)="",TODAY(),INDEX(Transactions!$G:$G,ROW()-8))</f>
      </c>
      <c r="F6612">
        <f>IF(INDEX(Transactions!$J:$J,ROW()-8)="",0,INDEX(Transactions!$O:$O,ROW()-8))</f>
      </c>
    </row>
    <row r="6613" spans="1:7">
      <c r="B6613">
        <f>IF(INDEX(Transactions!$J:$J,ROW()-8)="",TODAY(),INDEX(Transactions!$G:$G,ROW()-8))</f>
      </c>
      <c r="F6613">
        <f>IF(INDEX(Transactions!$J:$J,ROW()-8)="",0,INDEX(Transactions!$O:$O,ROW()-8))</f>
      </c>
    </row>
    <row r="6614" spans="1:7">
      <c r="B6614">
        <f>IF(INDEX(Transactions!$J:$J,ROW()-8)="",TODAY(),INDEX(Transactions!$G:$G,ROW()-8))</f>
      </c>
      <c r="F6614">
        <f>IF(INDEX(Transactions!$J:$J,ROW()-8)="",0,INDEX(Transactions!$O:$O,ROW()-8))</f>
      </c>
    </row>
    <row r="6615" spans="1:7">
      <c r="B6615">
        <f>IF(INDEX(Transactions!$J:$J,ROW()-8)="",TODAY(),INDEX(Transactions!$G:$G,ROW()-8))</f>
      </c>
      <c r="F6615">
        <f>IF(INDEX(Transactions!$J:$J,ROW()-8)="",0,INDEX(Transactions!$O:$O,ROW()-8))</f>
      </c>
    </row>
    <row r="6616" spans="1:7">
      <c r="B6616">
        <f>IF(INDEX(Transactions!$J:$J,ROW()-8)="",TODAY(),INDEX(Transactions!$G:$G,ROW()-8))</f>
      </c>
      <c r="F6616">
        <f>IF(INDEX(Transactions!$J:$J,ROW()-8)="",0,INDEX(Transactions!$O:$O,ROW()-8))</f>
      </c>
    </row>
    <row r="6617" spans="1:7">
      <c r="B6617">
        <f>IF(INDEX(Transactions!$J:$J,ROW()-8)="",TODAY(),INDEX(Transactions!$G:$G,ROW()-8))</f>
      </c>
      <c r="F6617">
        <f>IF(INDEX(Transactions!$J:$J,ROW()-8)="",0,INDEX(Transactions!$O:$O,ROW()-8))</f>
      </c>
    </row>
    <row r="6618" spans="1:7">
      <c r="B6618">
        <f>IF(INDEX(Transactions!$J:$J,ROW()-8)="",TODAY(),INDEX(Transactions!$G:$G,ROW()-8))</f>
      </c>
      <c r="F6618">
        <f>IF(INDEX(Transactions!$J:$J,ROW()-8)="",0,INDEX(Transactions!$O:$O,ROW()-8))</f>
      </c>
    </row>
    <row r="6619" spans="1:7">
      <c r="B6619">
        <f>IF(INDEX(Transactions!$J:$J,ROW()-8)="",TODAY(),INDEX(Transactions!$G:$G,ROW()-8))</f>
      </c>
      <c r="F6619">
        <f>IF(INDEX(Transactions!$J:$J,ROW()-8)="",0,INDEX(Transactions!$O:$O,ROW()-8))</f>
      </c>
    </row>
    <row r="6620" spans="1:7">
      <c r="B6620">
        <f>IF(INDEX(Transactions!$J:$J,ROW()-8)="",TODAY(),INDEX(Transactions!$G:$G,ROW()-8))</f>
      </c>
      <c r="F6620">
        <f>IF(INDEX(Transactions!$J:$J,ROW()-8)="",0,INDEX(Transactions!$O:$O,ROW()-8))</f>
      </c>
    </row>
    <row r="6621" spans="1:7">
      <c r="B6621">
        <f>IF(INDEX(Transactions!$J:$J,ROW()-8)="",TODAY(),INDEX(Transactions!$G:$G,ROW()-8))</f>
      </c>
      <c r="F6621">
        <f>IF(INDEX(Transactions!$J:$J,ROW()-8)="",0,INDEX(Transactions!$O:$O,ROW()-8))</f>
      </c>
    </row>
    <row r="6622" spans="1:7">
      <c r="B6622">
        <f>IF(INDEX(Transactions!$J:$J,ROW()-8)="",TODAY(),INDEX(Transactions!$G:$G,ROW()-8))</f>
      </c>
      <c r="F6622">
        <f>IF(INDEX(Transactions!$J:$J,ROW()-8)="",0,INDEX(Transactions!$O:$O,ROW()-8))</f>
      </c>
    </row>
    <row r="6623" spans="1:7">
      <c r="B6623">
        <f>IF(INDEX(Transactions!$J:$J,ROW()-8)="",TODAY(),INDEX(Transactions!$G:$G,ROW()-8))</f>
      </c>
      <c r="F6623">
        <f>IF(INDEX(Transactions!$J:$J,ROW()-8)="",0,INDEX(Transactions!$O:$O,ROW()-8))</f>
      </c>
    </row>
    <row r="6624" spans="1:7">
      <c r="B6624">
        <f>IF(INDEX(Transactions!$J:$J,ROW()-8)="",TODAY(),INDEX(Transactions!$G:$G,ROW()-8))</f>
      </c>
      <c r="F6624">
        <f>IF(INDEX(Transactions!$J:$J,ROW()-8)="",0,INDEX(Transactions!$O:$O,ROW()-8))</f>
      </c>
    </row>
    <row r="6625" spans="1:7">
      <c r="B6625">
        <f>IF(INDEX(Transactions!$J:$J,ROW()-8)="",TODAY(),INDEX(Transactions!$G:$G,ROW()-8))</f>
      </c>
      <c r="F6625">
        <f>IF(INDEX(Transactions!$J:$J,ROW()-8)="",0,INDEX(Transactions!$O:$O,ROW()-8))</f>
      </c>
    </row>
    <row r="6626" spans="1:7">
      <c r="B6626">
        <f>IF(INDEX(Transactions!$J:$J,ROW()-8)="",TODAY(),INDEX(Transactions!$G:$G,ROW()-8))</f>
      </c>
      <c r="F6626">
        <f>IF(INDEX(Transactions!$J:$J,ROW()-8)="",0,INDEX(Transactions!$O:$O,ROW()-8))</f>
      </c>
    </row>
    <row r="6627" spans="1:7">
      <c r="B6627">
        <f>IF(INDEX(Transactions!$J:$J,ROW()-8)="",TODAY(),INDEX(Transactions!$G:$G,ROW()-8))</f>
      </c>
      <c r="F6627">
        <f>IF(INDEX(Transactions!$J:$J,ROW()-8)="",0,INDEX(Transactions!$O:$O,ROW()-8))</f>
      </c>
    </row>
    <row r="6628" spans="1:7">
      <c r="B6628">
        <f>IF(INDEX(Transactions!$J:$J,ROW()-8)="",TODAY(),INDEX(Transactions!$G:$G,ROW()-8))</f>
      </c>
      <c r="F6628">
        <f>IF(INDEX(Transactions!$J:$J,ROW()-8)="",0,INDEX(Transactions!$O:$O,ROW()-8))</f>
      </c>
    </row>
    <row r="6629" spans="1:7">
      <c r="B6629">
        <f>IF(INDEX(Transactions!$J:$J,ROW()-8)="",TODAY(),INDEX(Transactions!$G:$G,ROW()-8))</f>
      </c>
      <c r="F6629">
        <f>IF(INDEX(Transactions!$J:$J,ROW()-8)="",0,INDEX(Transactions!$O:$O,ROW()-8))</f>
      </c>
    </row>
    <row r="6630" spans="1:7">
      <c r="B6630">
        <f>IF(INDEX(Transactions!$J:$J,ROW()-8)="",TODAY(),INDEX(Transactions!$G:$G,ROW()-8))</f>
      </c>
      <c r="F6630">
        <f>IF(INDEX(Transactions!$J:$J,ROW()-8)="",0,INDEX(Transactions!$O:$O,ROW()-8))</f>
      </c>
    </row>
    <row r="6631" spans="1:7">
      <c r="B6631">
        <f>IF(INDEX(Transactions!$J:$J,ROW()-8)="",TODAY(),INDEX(Transactions!$G:$G,ROW()-8))</f>
      </c>
      <c r="F6631">
        <f>IF(INDEX(Transactions!$J:$J,ROW()-8)="",0,INDEX(Transactions!$O:$O,ROW()-8))</f>
      </c>
    </row>
    <row r="6632" spans="1:7">
      <c r="B6632">
        <f>IF(INDEX(Transactions!$J:$J,ROW()-8)="",TODAY(),INDEX(Transactions!$G:$G,ROW()-8))</f>
      </c>
      <c r="F6632">
        <f>IF(INDEX(Transactions!$J:$J,ROW()-8)="",0,INDEX(Transactions!$O:$O,ROW()-8))</f>
      </c>
    </row>
    <row r="6633" spans="1:7">
      <c r="B6633">
        <f>IF(INDEX(Transactions!$J:$J,ROW()-8)="",TODAY(),INDEX(Transactions!$G:$G,ROW()-8))</f>
      </c>
      <c r="F6633">
        <f>IF(INDEX(Transactions!$J:$J,ROW()-8)="",0,INDEX(Transactions!$O:$O,ROW()-8))</f>
      </c>
    </row>
    <row r="6634" spans="1:7">
      <c r="B6634">
        <f>IF(INDEX(Transactions!$J:$J,ROW()-8)="",TODAY(),INDEX(Transactions!$G:$G,ROW()-8))</f>
      </c>
      <c r="F6634">
        <f>IF(INDEX(Transactions!$J:$J,ROW()-8)="",0,INDEX(Transactions!$O:$O,ROW()-8))</f>
      </c>
    </row>
    <row r="6635" spans="1:7">
      <c r="B6635">
        <f>IF(INDEX(Transactions!$J:$J,ROW()-8)="",TODAY(),INDEX(Transactions!$G:$G,ROW()-8))</f>
      </c>
      <c r="F6635">
        <f>IF(INDEX(Transactions!$J:$J,ROW()-8)="",0,INDEX(Transactions!$O:$O,ROW()-8))</f>
      </c>
    </row>
    <row r="6636" spans="1:7">
      <c r="B6636">
        <f>IF(INDEX(Transactions!$J:$J,ROW()-8)="",TODAY(),INDEX(Transactions!$G:$G,ROW()-8))</f>
      </c>
      <c r="F6636">
        <f>IF(INDEX(Transactions!$J:$J,ROW()-8)="",0,INDEX(Transactions!$O:$O,ROW()-8))</f>
      </c>
    </row>
    <row r="6637" spans="1:7">
      <c r="B6637">
        <f>IF(INDEX(Transactions!$J:$J,ROW()-8)="",TODAY(),INDEX(Transactions!$G:$G,ROW()-8))</f>
      </c>
      <c r="F6637">
        <f>IF(INDEX(Transactions!$J:$J,ROW()-8)="",0,INDEX(Transactions!$O:$O,ROW()-8))</f>
      </c>
    </row>
    <row r="6638" spans="1:7">
      <c r="B6638">
        <f>IF(INDEX(Transactions!$J:$J,ROW()-8)="",TODAY(),INDEX(Transactions!$G:$G,ROW()-8))</f>
      </c>
      <c r="F6638">
        <f>IF(INDEX(Transactions!$J:$J,ROW()-8)="",0,INDEX(Transactions!$O:$O,ROW()-8))</f>
      </c>
    </row>
    <row r="6639" spans="1:7">
      <c r="B6639">
        <f>IF(INDEX(Transactions!$J:$J,ROW()-8)="",TODAY(),INDEX(Transactions!$G:$G,ROW()-8))</f>
      </c>
      <c r="F6639">
        <f>IF(INDEX(Transactions!$J:$J,ROW()-8)="",0,INDEX(Transactions!$O:$O,ROW()-8))</f>
      </c>
    </row>
    <row r="6640" spans="1:7">
      <c r="B6640">
        <f>IF(INDEX(Transactions!$J:$J,ROW()-8)="",TODAY(),INDEX(Transactions!$G:$G,ROW()-8))</f>
      </c>
      <c r="F6640">
        <f>IF(INDEX(Transactions!$J:$J,ROW()-8)="",0,INDEX(Transactions!$O:$O,ROW()-8))</f>
      </c>
    </row>
    <row r="6641" spans="1:7">
      <c r="B6641">
        <f>IF(INDEX(Transactions!$J:$J,ROW()-8)="",TODAY(),INDEX(Transactions!$G:$G,ROW()-8))</f>
      </c>
      <c r="F6641">
        <f>IF(INDEX(Transactions!$J:$J,ROW()-8)="",0,INDEX(Transactions!$O:$O,ROW()-8))</f>
      </c>
    </row>
    <row r="6642" spans="1:7">
      <c r="B6642">
        <f>IF(INDEX(Transactions!$J:$J,ROW()-8)="",TODAY(),INDEX(Transactions!$G:$G,ROW()-8))</f>
      </c>
      <c r="F6642">
        <f>IF(INDEX(Transactions!$J:$J,ROW()-8)="",0,INDEX(Transactions!$O:$O,ROW()-8))</f>
      </c>
    </row>
    <row r="6643" spans="1:7">
      <c r="B6643">
        <f>IF(INDEX(Transactions!$J:$J,ROW()-8)="",TODAY(),INDEX(Transactions!$G:$G,ROW()-8))</f>
      </c>
      <c r="F6643">
        <f>IF(INDEX(Transactions!$J:$J,ROW()-8)="",0,INDEX(Transactions!$O:$O,ROW()-8))</f>
      </c>
    </row>
    <row r="6644" spans="1:7">
      <c r="B6644">
        <f>IF(INDEX(Transactions!$J:$J,ROW()-8)="",TODAY(),INDEX(Transactions!$G:$G,ROW()-8))</f>
      </c>
      <c r="F6644">
        <f>IF(INDEX(Transactions!$J:$J,ROW()-8)="",0,INDEX(Transactions!$O:$O,ROW()-8))</f>
      </c>
    </row>
    <row r="6645" spans="1:7">
      <c r="B6645">
        <f>IF(INDEX(Transactions!$J:$J,ROW()-8)="",TODAY(),INDEX(Transactions!$G:$G,ROW()-8))</f>
      </c>
      <c r="F6645">
        <f>IF(INDEX(Transactions!$J:$J,ROW()-8)="",0,INDEX(Transactions!$O:$O,ROW()-8))</f>
      </c>
    </row>
    <row r="6646" spans="1:7">
      <c r="B6646">
        <f>IF(INDEX(Transactions!$J:$J,ROW()-8)="",TODAY(),INDEX(Transactions!$G:$G,ROW()-8))</f>
      </c>
      <c r="F6646">
        <f>IF(INDEX(Transactions!$J:$J,ROW()-8)="",0,INDEX(Transactions!$O:$O,ROW()-8))</f>
      </c>
    </row>
    <row r="6647" spans="1:7">
      <c r="B6647">
        <f>IF(INDEX(Transactions!$J:$J,ROW()-8)="",TODAY(),INDEX(Transactions!$G:$G,ROW()-8))</f>
      </c>
      <c r="F6647">
        <f>IF(INDEX(Transactions!$J:$J,ROW()-8)="",0,INDEX(Transactions!$O:$O,ROW()-8))</f>
      </c>
    </row>
    <row r="6648" spans="1:7">
      <c r="B6648">
        <f>IF(INDEX(Transactions!$J:$J,ROW()-8)="",TODAY(),INDEX(Transactions!$G:$G,ROW()-8))</f>
      </c>
      <c r="F6648">
        <f>IF(INDEX(Transactions!$J:$J,ROW()-8)="",0,INDEX(Transactions!$O:$O,ROW()-8))</f>
      </c>
    </row>
    <row r="6649" spans="1:7">
      <c r="B6649">
        <f>IF(INDEX(Transactions!$J:$J,ROW()-8)="",TODAY(),INDEX(Transactions!$G:$G,ROW()-8))</f>
      </c>
      <c r="F6649">
        <f>IF(INDEX(Transactions!$J:$J,ROW()-8)="",0,INDEX(Transactions!$O:$O,ROW()-8))</f>
      </c>
    </row>
    <row r="6650" spans="1:7">
      <c r="B6650">
        <f>IF(INDEX(Transactions!$J:$J,ROW()-8)="",TODAY(),INDEX(Transactions!$G:$G,ROW()-8))</f>
      </c>
      <c r="F6650">
        <f>IF(INDEX(Transactions!$J:$J,ROW()-8)="",0,INDEX(Transactions!$O:$O,ROW()-8))</f>
      </c>
    </row>
    <row r="6651" spans="1:7">
      <c r="B6651">
        <f>IF(INDEX(Transactions!$J:$J,ROW()-8)="",TODAY(),INDEX(Transactions!$G:$G,ROW()-8))</f>
      </c>
      <c r="F6651">
        <f>IF(INDEX(Transactions!$J:$J,ROW()-8)="",0,INDEX(Transactions!$O:$O,ROW()-8))</f>
      </c>
    </row>
    <row r="6652" spans="1:7">
      <c r="B6652">
        <f>IF(INDEX(Transactions!$J:$J,ROW()-8)="",TODAY(),INDEX(Transactions!$G:$G,ROW()-8))</f>
      </c>
      <c r="F6652">
        <f>IF(INDEX(Transactions!$J:$J,ROW()-8)="",0,INDEX(Transactions!$O:$O,ROW()-8))</f>
      </c>
    </row>
    <row r="6653" spans="1:7">
      <c r="B6653">
        <f>IF(INDEX(Transactions!$J:$J,ROW()-8)="",TODAY(),INDEX(Transactions!$G:$G,ROW()-8))</f>
      </c>
      <c r="F6653">
        <f>IF(INDEX(Transactions!$J:$J,ROW()-8)="",0,INDEX(Transactions!$O:$O,ROW()-8))</f>
      </c>
    </row>
    <row r="6654" spans="1:7">
      <c r="B6654">
        <f>IF(INDEX(Transactions!$J:$J,ROW()-8)="",TODAY(),INDEX(Transactions!$G:$G,ROW()-8))</f>
      </c>
      <c r="F6654">
        <f>IF(INDEX(Transactions!$J:$J,ROW()-8)="",0,INDEX(Transactions!$O:$O,ROW()-8))</f>
      </c>
    </row>
    <row r="6655" spans="1:7">
      <c r="B6655">
        <f>IF(INDEX(Transactions!$J:$J,ROW()-8)="",TODAY(),INDEX(Transactions!$G:$G,ROW()-8))</f>
      </c>
      <c r="F6655">
        <f>IF(INDEX(Transactions!$J:$J,ROW()-8)="",0,INDEX(Transactions!$O:$O,ROW()-8))</f>
      </c>
    </row>
    <row r="6656" spans="1:7">
      <c r="B6656">
        <f>IF(INDEX(Transactions!$J:$J,ROW()-8)="",TODAY(),INDEX(Transactions!$G:$G,ROW()-8))</f>
      </c>
      <c r="F6656">
        <f>IF(INDEX(Transactions!$J:$J,ROW()-8)="",0,INDEX(Transactions!$O:$O,ROW()-8))</f>
      </c>
    </row>
    <row r="6657" spans="1:7">
      <c r="B6657">
        <f>IF(INDEX(Transactions!$J:$J,ROW()-8)="",TODAY(),INDEX(Transactions!$G:$G,ROW()-8))</f>
      </c>
      <c r="F6657">
        <f>IF(INDEX(Transactions!$J:$J,ROW()-8)="",0,INDEX(Transactions!$O:$O,ROW()-8))</f>
      </c>
    </row>
    <row r="6658" spans="1:7">
      <c r="B6658">
        <f>IF(INDEX(Transactions!$J:$J,ROW()-8)="",TODAY(),INDEX(Transactions!$G:$G,ROW()-8))</f>
      </c>
      <c r="F6658">
        <f>IF(INDEX(Transactions!$J:$J,ROW()-8)="",0,INDEX(Transactions!$O:$O,ROW()-8))</f>
      </c>
    </row>
    <row r="6659" spans="1:7">
      <c r="B6659">
        <f>IF(INDEX(Transactions!$J:$J,ROW()-8)="",TODAY(),INDEX(Transactions!$G:$G,ROW()-8))</f>
      </c>
      <c r="F6659">
        <f>IF(INDEX(Transactions!$J:$J,ROW()-8)="",0,INDEX(Transactions!$O:$O,ROW()-8))</f>
      </c>
    </row>
    <row r="6660" spans="1:7">
      <c r="B6660">
        <f>IF(INDEX(Transactions!$J:$J,ROW()-8)="",TODAY(),INDEX(Transactions!$G:$G,ROW()-8))</f>
      </c>
      <c r="F6660">
        <f>IF(INDEX(Transactions!$J:$J,ROW()-8)="",0,INDEX(Transactions!$O:$O,ROW()-8))</f>
      </c>
    </row>
    <row r="6661" spans="1:7">
      <c r="B6661">
        <f>IF(INDEX(Transactions!$J:$J,ROW()-8)="",TODAY(),INDEX(Transactions!$G:$G,ROW()-8))</f>
      </c>
      <c r="F6661">
        <f>IF(INDEX(Transactions!$J:$J,ROW()-8)="",0,INDEX(Transactions!$O:$O,ROW()-8))</f>
      </c>
    </row>
    <row r="6662" spans="1:7">
      <c r="B6662">
        <f>IF(INDEX(Transactions!$J:$J,ROW()-8)="",TODAY(),INDEX(Transactions!$G:$G,ROW()-8))</f>
      </c>
      <c r="F6662">
        <f>IF(INDEX(Transactions!$J:$J,ROW()-8)="",0,INDEX(Transactions!$O:$O,ROW()-8))</f>
      </c>
    </row>
    <row r="6663" spans="1:7">
      <c r="B6663">
        <f>IF(INDEX(Transactions!$J:$J,ROW()-8)="",TODAY(),INDEX(Transactions!$G:$G,ROW()-8))</f>
      </c>
      <c r="F6663">
        <f>IF(INDEX(Transactions!$J:$J,ROW()-8)="",0,INDEX(Transactions!$O:$O,ROW()-8))</f>
      </c>
    </row>
    <row r="6664" spans="1:7">
      <c r="B6664">
        <f>IF(INDEX(Transactions!$J:$J,ROW()-8)="",TODAY(),INDEX(Transactions!$G:$G,ROW()-8))</f>
      </c>
      <c r="F6664">
        <f>IF(INDEX(Transactions!$J:$J,ROW()-8)="",0,INDEX(Transactions!$O:$O,ROW()-8))</f>
      </c>
    </row>
    <row r="6665" spans="1:7">
      <c r="B6665">
        <f>IF(INDEX(Transactions!$J:$J,ROW()-8)="",TODAY(),INDEX(Transactions!$G:$G,ROW()-8))</f>
      </c>
      <c r="F6665">
        <f>IF(INDEX(Transactions!$J:$J,ROW()-8)="",0,INDEX(Transactions!$O:$O,ROW()-8))</f>
      </c>
    </row>
    <row r="6666" spans="1:7">
      <c r="B6666">
        <f>IF(INDEX(Transactions!$J:$J,ROW()-8)="",TODAY(),INDEX(Transactions!$G:$G,ROW()-8))</f>
      </c>
      <c r="F6666">
        <f>IF(INDEX(Transactions!$J:$J,ROW()-8)="",0,INDEX(Transactions!$O:$O,ROW()-8))</f>
      </c>
    </row>
    <row r="6667" spans="1:7">
      <c r="B6667">
        <f>IF(INDEX(Transactions!$J:$J,ROW()-8)="",TODAY(),INDEX(Transactions!$G:$G,ROW()-8))</f>
      </c>
      <c r="F6667">
        <f>IF(INDEX(Transactions!$J:$J,ROW()-8)="",0,INDEX(Transactions!$O:$O,ROW()-8))</f>
      </c>
    </row>
    <row r="6668" spans="1:7">
      <c r="B6668">
        <f>IF(INDEX(Transactions!$J:$J,ROW()-8)="",TODAY(),INDEX(Transactions!$G:$G,ROW()-8))</f>
      </c>
      <c r="F6668">
        <f>IF(INDEX(Transactions!$J:$J,ROW()-8)="",0,INDEX(Transactions!$O:$O,ROW()-8))</f>
      </c>
    </row>
    <row r="6669" spans="1:7">
      <c r="B6669">
        <f>IF(INDEX(Transactions!$J:$J,ROW()-8)="",TODAY(),INDEX(Transactions!$G:$G,ROW()-8))</f>
      </c>
      <c r="F6669">
        <f>IF(INDEX(Transactions!$J:$J,ROW()-8)="",0,INDEX(Transactions!$O:$O,ROW()-8))</f>
      </c>
    </row>
    <row r="6670" spans="1:7">
      <c r="B6670">
        <f>IF(INDEX(Transactions!$J:$J,ROW()-8)="",TODAY(),INDEX(Transactions!$G:$G,ROW()-8))</f>
      </c>
      <c r="F6670">
        <f>IF(INDEX(Transactions!$J:$J,ROW()-8)="",0,INDEX(Transactions!$O:$O,ROW()-8))</f>
      </c>
    </row>
    <row r="6671" spans="1:7">
      <c r="B6671">
        <f>IF(INDEX(Transactions!$J:$J,ROW()-8)="",TODAY(),INDEX(Transactions!$G:$G,ROW()-8))</f>
      </c>
      <c r="F6671">
        <f>IF(INDEX(Transactions!$J:$J,ROW()-8)="",0,INDEX(Transactions!$O:$O,ROW()-8))</f>
      </c>
    </row>
    <row r="6672" spans="1:7">
      <c r="B6672">
        <f>IF(INDEX(Transactions!$J:$J,ROW()-8)="",TODAY(),INDEX(Transactions!$G:$G,ROW()-8))</f>
      </c>
      <c r="F6672">
        <f>IF(INDEX(Transactions!$J:$J,ROW()-8)="",0,INDEX(Transactions!$O:$O,ROW()-8))</f>
      </c>
    </row>
    <row r="6673" spans="1:7">
      <c r="B6673">
        <f>IF(INDEX(Transactions!$J:$J,ROW()-8)="",TODAY(),INDEX(Transactions!$G:$G,ROW()-8))</f>
      </c>
      <c r="F6673">
        <f>IF(INDEX(Transactions!$J:$J,ROW()-8)="",0,INDEX(Transactions!$O:$O,ROW()-8))</f>
      </c>
    </row>
    <row r="6674" spans="1:7">
      <c r="B6674">
        <f>IF(INDEX(Transactions!$J:$J,ROW()-8)="",TODAY(),INDEX(Transactions!$G:$G,ROW()-8))</f>
      </c>
      <c r="F6674">
        <f>IF(INDEX(Transactions!$J:$J,ROW()-8)="",0,INDEX(Transactions!$O:$O,ROW()-8))</f>
      </c>
    </row>
    <row r="6675" spans="1:7">
      <c r="B6675">
        <f>IF(INDEX(Transactions!$J:$J,ROW()-8)="",TODAY(),INDEX(Transactions!$G:$G,ROW()-8))</f>
      </c>
      <c r="F6675">
        <f>IF(INDEX(Transactions!$J:$J,ROW()-8)="",0,INDEX(Transactions!$O:$O,ROW()-8))</f>
      </c>
    </row>
    <row r="6676" spans="1:7">
      <c r="B6676">
        <f>IF(INDEX(Transactions!$J:$J,ROW()-8)="",TODAY(),INDEX(Transactions!$G:$G,ROW()-8))</f>
      </c>
      <c r="F6676">
        <f>IF(INDEX(Transactions!$J:$J,ROW()-8)="",0,INDEX(Transactions!$O:$O,ROW()-8))</f>
      </c>
    </row>
    <row r="6677" spans="1:7">
      <c r="B6677">
        <f>IF(INDEX(Transactions!$J:$J,ROW()-8)="",TODAY(),INDEX(Transactions!$G:$G,ROW()-8))</f>
      </c>
      <c r="F6677">
        <f>IF(INDEX(Transactions!$J:$J,ROW()-8)="",0,INDEX(Transactions!$O:$O,ROW()-8))</f>
      </c>
    </row>
    <row r="6678" spans="1:7">
      <c r="B6678">
        <f>IF(INDEX(Transactions!$J:$J,ROW()-8)="",TODAY(),INDEX(Transactions!$G:$G,ROW()-8))</f>
      </c>
      <c r="F6678">
        <f>IF(INDEX(Transactions!$J:$J,ROW()-8)="",0,INDEX(Transactions!$O:$O,ROW()-8))</f>
      </c>
    </row>
    <row r="6679" spans="1:7">
      <c r="B6679">
        <f>IF(INDEX(Transactions!$J:$J,ROW()-8)="",TODAY(),INDEX(Transactions!$G:$G,ROW()-8))</f>
      </c>
      <c r="F6679">
        <f>IF(INDEX(Transactions!$J:$J,ROW()-8)="",0,INDEX(Transactions!$O:$O,ROW()-8))</f>
      </c>
    </row>
    <row r="6680" spans="1:7">
      <c r="B6680">
        <f>IF(INDEX(Transactions!$J:$J,ROW()-8)="",TODAY(),INDEX(Transactions!$G:$G,ROW()-8))</f>
      </c>
      <c r="F6680">
        <f>IF(INDEX(Transactions!$J:$J,ROW()-8)="",0,INDEX(Transactions!$O:$O,ROW()-8))</f>
      </c>
    </row>
    <row r="6681" spans="1:7">
      <c r="B6681">
        <f>IF(INDEX(Transactions!$J:$J,ROW()-8)="",TODAY(),INDEX(Transactions!$G:$G,ROW()-8))</f>
      </c>
      <c r="F6681">
        <f>IF(INDEX(Transactions!$J:$J,ROW()-8)="",0,INDEX(Transactions!$O:$O,ROW()-8))</f>
      </c>
    </row>
    <row r="6682" spans="1:7">
      <c r="B6682">
        <f>IF(INDEX(Transactions!$J:$J,ROW()-8)="",TODAY(),INDEX(Transactions!$G:$G,ROW()-8))</f>
      </c>
      <c r="F6682">
        <f>IF(INDEX(Transactions!$J:$J,ROW()-8)="",0,INDEX(Transactions!$O:$O,ROW()-8))</f>
      </c>
    </row>
    <row r="6683" spans="1:7">
      <c r="B6683">
        <f>IF(INDEX(Transactions!$J:$J,ROW()-8)="",TODAY(),INDEX(Transactions!$G:$G,ROW()-8))</f>
      </c>
      <c r="F6683">
        <f>IF(INDEX(Transactions!$J:$J,ROW()-8)="",0,INDEX(Transactions!$O:$O,ROW()-8))</f>
      </c>
    </row>
    <row r="6684" spans="1:7">
      <c r="B6684">
        <f>IF(INDEX(Transactions!$J:$J,ROW()-8)="",TODAY(),INDEX(Transactions!$G:$G,ROW()-8))</f>
      </c>
      <c r="F6684">
        <f>IF(INDEX(Transactions!$J:$J,ROW()-8)="",0,INDEX(Transactions!$O:$O,ROW()-8))</f>
      </c>
    </row>
    <row r="6685" spans="1:7">
      <c r="B6685">
        <f>IF(INDEX(Transactions!$J:$J,ROW()-8)="",TODAY(),INDEX(Transactions!$G:$G,ROW()-8))</f>
      </c>
      <c r="F6685">
        <f>IF(INDEX(Transactions!$J:$J,ROW()-8)="",0,INDEX(Transactions!$O:$O,ROW()-8))</f>
      </c>
    </row>
    <row r="6686" spans="1:7">
      <c r="B6686">
        <f>IF(INDEX(Transactions!$J:$J,ROW()-8)="",TODAY(),INDEX(Transactions!$G:$G,ROW()-8))</f>
      </c>
      <c r="F6686">
        <f>IF(INDEX(Transactions!$J:$J,ROW()-8)="",0,INDEX(Transactions!$O:$O,ROW()-8))</f>
      </c>
    </row>
    <row r="6687" spans="1:7">
      <c r="B6687">
        <f>IF(INDEX(Transactions!$J:$J,ROW()-8)="",TODAY(),INDEX(Transactions!$G:$G,ROW()-8))</f>
      </c>
      <c r="F6687">
        <f>IF(INDEX(Transactions!$J:$J,ROW()-8)="",0,INDEX(Transactions!$O:$O,ROW()-8))</f>
      </c>
    </row>
    <row r="6688" spans="1:7">
      <c r="B6688">
        <f>IF(INDEX(Transactions!$J:$J,ROW()-8)="",TODAY(),INDEX(Transactions!$G:$G,ROW()-8))</f>
      </c>
      <c r="F6688">
        <f>IF(INDEX(Transactions!$J:$J,ROW()-8)="",0,INDEX(Transactions!$O:$O,ROW()-8))</f>
      </c>
    </row>
    <row r="6689" spans="1:7">
      <c r="B6689">
        <f>IF(INDEX(Transactions!$J:$J,ROW()-8)="",TODAY(),INDEX(Transactions!$G:$G,ROW()-8))</f>
      </c>
      <c r="F6689">
        <f>IF(INDEX(Transactions!$J:$J,ROW()-8)="",0,INDEX(Transactions!$O:$O,ROW()-8))</f>
      </c>
    </row>
    <row r="6690" spans="1:7">
      <c r="B6690">
        <f>IF(INDEX(Transactions!$J:$J,ROW()-8)="",TODAY(),INDEX(Transactions!$G:$G,ROW()-8))</f>
      </c>
      <c r="F6690">
        <f>IF(INDEX(Transactions!$J:$J,ROW()-8)="",0,INDEX(Transactions!$O:$O,ROW()-8))</f>
      </c>
    </row>
    <row r="6691" spans="1:7">
      <c r="B6691">
        <f>IF(INDEX(Transactions!$J:$J,ROW()-8)="",TODAY(),INDEX(Transactions!$G:$G,ROW()-8))</f>
      </c>
      <c r="F6691">
        <f>IF(INDEX(Transactions!$J:$J,ROW()-8)="",0,INDEX(Transactions!$O:$O,ROW()-8))</f>
      </c>
    </row>
    <row r="6692" spans="1:7">
      <c r="B6692">
        <f>IF(INDEX(Transactions!$J:$J,ROW()-8)="",TODAY(),INDEX(Transactions!$G:$G,ROW()-8))</f>
      </c>
      <c r="F6692">
        <f>IF(INDEX(Transactions!$J:$J,ROW()-8)="",0,INDEX(Transactions!$O:$O,ROW()-8))</f>
      </c>
    </row>
    <row r="6693" spans="1:7">
      <c r="B6693">
        <f>IF(INDEX(Transactions!$J:$J,ROW()-8)="",TODAY(),INDEX(Transactions!$G:$G,ROW()-8))</f>
      </c>
      <c r="F6693">
        <f>IF(INDEX(Transactions!$J:$J,ROW()-8)="",0,INDEX(Transactions!$O:$O,ROW()-8))</f>
      </c>
    </row>
    <row r="6694" spans="1:7">
      <c r="B6694">
        <f>IF(INDEX(Transactions!$J:$J,ROW()-8)="",TODAY(),INDEX(Transactions!$G:$G,ROW()-8))</f>
      </c>
      <c r="F6694">
        <f>IF(INDEX(Transactions!$J:$J,ROW()-8)="",0,INDEX(Transactions!$O:$O,ROW()-8))</f>
      </c>
    </row>
    <row r="6695" spans="1:7">
      <c r="B6695">
        <f>IF(INDEX(Transactions!$J:$J,ROW()-8)="",TODAY(),INDEX(Transactions!$G:$G,ROW()-8))</f>
      </c>
      <c r="F6695">
        <f>IF(INDEX(Transactions!$J:$J,ROW()-8)="",0,INDEX(Transactions!$O:$O,ROW()-8))</f>
      </c>
    </row>
    <row r="6696" spans="1:7">
      <c r="B6696">
        <f>IF(INDEX(Transactions!$J:$J,ROW()-8)="",TODAY(),INDEX(Transactions!$G:$G,ROW()-8))</f>
      </c>
      <c r="F6696">
        <f>IF(INDEX(Transactions!$J:$J,ROW()-8)="",0,INDEX(Transactions!$O:$O,ROW()-8))</f>
      </c>
    </row>
    <row r="6697" spans="1:7">
      <c r="B6697">
        <f>IF(INDEX(Transactions!$J:$J,ROW()-8)="",TODAY(),INDEX(Transactions!$G:$G,ROW()-8))</f>
      </c>
      <c r="F6697">
        <f>IF(INDEX(Transactions!$J:$J,ROW()-8)="",0,INDEX(Transactions!$O:$O,ROW()-8))</f>
      </c>
    </row>
    <row r="6698" spans="1:7">
      <c r="B6698">
        <f>IF(INDEX(Transactions!$J:$J,ROW()-8)="",TODAY(),INDEX(Transactions!$G:$G,ROW()-8))</f>
      </c>
      <c r="F6698">
        <f>IF(INDEX(Transactions!$J:$J,ROW()-8)="",0,INDEX(Transactions!$O:$O,ROW()-8))</f>
      </c>
    </row>
    <row r="6699" spans="1:7">
      <c r="B6699">
        <f>IF(INDEX(Transactions!$J:$J,ROW()-8)="",TODAY(),INDEX(Transactions!$G:$G,ROW()-8))</f>
      </c>
      <c r="F6699">
        <f>IF(INDEX(Transactions!$J:$J,ROW()-8)="",0,INDEX(Transactions!$O:$O,ROW()-8))</f>
      </c>
    </row>
    <row r="6700" spans="1:7">
      <c r="B6700">
        <f>IF(INDEX(Transactions!$J:$J,ROW()-8)="",TODAY(),INDEX(Transactions!$G:$G,ROW()-8))</f>
      </c>
      <c r="F6700">
        <f>IF(INDEX(Transactions!$J:$J,ROW()-8)="",0,INDEX(Transactions!$O:$O,ROW()-8))</f>
      </c>
    </row>
    <row r="6701" spans="1:7">
      <c r="B6701">
        <f>IF(INDEX(Transactions!$J:$J,ROW()-8)="",TODAY(),INDEX(Transactions!$G:$G,ROW()-8))</f>
      </c>
      <c r="F6701">
        <f>IF(INDEX(Transactions!$J:$J,ROW()-8)="",0,INDEX(Transactions!$O:$O,ROW()-8))</f>
      </c>
    </row>
    <row r="6702" spans="1:7">
      <c r="B6702">
        <f>IF(INDEX(Transactions!$J:$J,ROW()-8)="",TODAY(),INDEX(Transactions!$G:$G,ROW()-8))</f>
      </c>
      <c r="F6702">
        <f>IF(INDEX(Transactions!$J:$J,ROW()-8)="",0,INDEX(Transactions!$O:$O,ROW()-8))</f>
      </c>
    </row>
    <row r="6703" spans="1:7">
      <c r="B6703">
        <f>IF(INDEX(Transactions!$J:$J,ROW()-8)="",TODAY(),INDEX(Transactions!$G:$G,ROW()-8))</f>
      </c>
      <c r="F6703">
        <f>IF(INDEX(Transactions!$J:$J,ROW()-8)="",0,INDEX(Transactions!$O:$O,ROW()-8))</f>
      </c>
    </row>
    <row r="6704" spans="1:7">
      <c r="B6704">
        <f>IF(INDEX(Transactions!$J:$J,ROW()-8)="",TODAY(),INDEX(Transactions!$G:$G,ROW()-8))</f>
      </c>
      <c r="F6704">
        <f>IF(INDEX(Transactions!$J:$J,ROW()-8)="",0,INDEX(Transactions!$O:$O,ROW()-8))</f>
      </c>
    </row>
    <row r="6705" spans="1:7">
      <c r="B6705">
        <f>IF(INDEX(Transactions!$J:$J,ROW()-8)="",TODAY(),INDEX(Transactions!$G:$G,ROW()-8))</f>
      </c>
      <c r="F6705">
        <f>IF(INDEX(Transactions!$J:$J,ROW()-8)="",0,INDEX(Transactions!$O:$O,ROW()-8))</f>
      </c>
    </row>
    <row r="6706" spans="1:7">
      <c r="B6706">
        <f>IF(INDEX(Transactions!$J:$J,ROW()-8)="",TODAY(),INDEX(Transactions!$G:$G,ROW()-8))</f>
      </c>
      <c r="F6706">
        <f>IF(INDEX(Transactions!$J:$J,ROW()-8)="",0,INDEX(Transactions!$O:$O,ROW()-8))</f>
      </c>
    </row>
    <row r="6707" spans="1:7">
      <c r="B6707">
        <f>IF(INDEX(Transactions!$J:$J,ROW()-8)="",TODAY(),INDEX(Transactions!$G:$G,ROW()-8))</f>
      </c>
      <c r="F6707">
        <f>IF(INDEX(Transactions!$J:$J,ROW()-8)="",0,INDEX(Transactions!$O:$O,ROW()-8))</f>
      </c>
    </row>
    <row r="6708" spans="1:7">
      <c r="B6708">
        <f>IF(INDEX(Transactions!$J:$J,ROW()-8)="",TODAY(),INDEX(Transactions!$G:$G,ROW()-8))</f>
      </c>
      <c r="F6708">
        <f>IF(INDEX(Transactions!$J:$J,ROW()-8)="",0,INDEX(Transactions!$O:$O,ROW()-8))</f>
      </c>
    </row>
    <row r="6709" spans="1:7">
      <c r="B6709">
        <f>IF(INDEX(Transactions!$J:$J,ROW()-8)="",TODAY(),INDEX(Transactions!$G:$G,ROW()-8))</f>
      </c>
      <c r="F6709">
        <f>IF(INDEX(Transactions!$J:$J,ROW()-8)="",0,INDEX(Transactions!$O:$O,ROW()-8))</f>
      </c>
    </row>
    <row r="6710" spans="1:7">
      <c r="B6710">
        <f>IF(INDEX(Transactions!$J:$J,ROW()-8)="",TODAY(),INDEX(Transactions!$G:$G,ROW()-8))</f>
      </c>
      <c r="F6710">
        <f>IF(INDEX(Transactions!$J:$J,ROW()-8)="",0,INDEX(Transactions!$O:$O,ROW()-8))</f>
      </c>
    </row>
    <row r="6711" spans="1:7">
      <c r="B6711">
        <f>IF(INDEX(Transactions!$J:$J,ROW()-8)="",TODAY(),INDEX(Transactions!$G:$G,ROW()-8))</f>
      </c>
      <c r="F6711">
        <f>IF(INDEX(Transactions!$J:$J,ROW()-8)="",0,INDEX(Transactions!$O:$O,ROW()-8))</f>
      </c>
    </row>
    <row r="6712" spans="1:7">
      <c r="B6712">
        <f>IF(INDEX(Transactions!$J:$J,ROW()-8)="",TODAY(),INDEX(Transactions!$G:$G,ROW()-8))</f>
      </c>
      <c r="F6712">
        <f>IF(INDEX(Transactions!$J:$J,ROW()-8)="",0,INDEX(Transactions!$O:$O,ROW()-8))</f>
      </c>
    </row>
    <row r="6713" spans="1:7">
      <c r="B6713">
        <f>IF(INDEX(Transactions!$J:$J,ROW()-8)="",TODAY(),INDEX(Transactions!$G:$G,ROW()-8))</f>
      </c>
      <c r="F6713">
        <f>IF(INDEX(Transactions!$J:$J,ROW()-8)="",0,INDEX(Transactions!$O:$O,ROW()-8))</f>
      </c>
    </row>
    <row r="6714" spans="1:7">
      <c r="B6714">
        <f>IF(INDEX(Transactions!$J:$J,ROW()-8)="",TODAY(),INDEX(Transactions!$G:$G,ROW()-8))</f>
      </c>
      <c r="F6714">
        <f>IF(INDEX(Transactions!$J:$J,ROW()-8)="",0,INDEX(Transactions!$O:$O,ROW()-8))</f>
      </c>
    </row>
    <row r="6715" spans="1:7">
      <c r="B6715">
        <f>IF(INDEX(Transactions!$J:$J,ROW()-8)="",TODAY(),INDEX(Transactions!$G:$G,ROW()-8))</f>
      </c>
      <c r="F6715">
        <f>IF(INDEX(Transactions!$J:$J,ROW()-8)="",0,INDEX(Transactions!$O:$O,ROW()-8))</f>
      </c>
    </row>
    <row r="6716" spans="1:7">
      <c r="B6716">
        <f>IF(INDEX(Transactions!$J:$J,ROW()-8)="",TODAY(),INDEX(Transactions!$G:$G,ROW()-8))</f>
      </c>
      <c r="F6716">
        <f>IF(INDEX(Transactions!$J:$J,ROW()-8)="",0,INDEX(Transactions!$O:$O,ROW()-8))</f>
      </c>
    </row>
    <row r="6717" spans="1:7">
      <c r="B6717">
        <f>IF(INDEX(Transactions!$J:$J,ROW()-8)="",TODAY(),INDEX(Transactions!$G:$G,ROW()-8))</f>
      </c>
      <c r="F6717">
        <f>IF(INDEX(Transactions!$J:$J,ROW()-8)="",0,INDEX(Transactions!$O:$O,ROW()-8))</f>
      </c>
    </row>
    <row r="6718" spans="1:7">
      <c r="B6718">
        <f>IF(INDEX(Transactions!$J:$J,ROW()-8)="",TODAY(),INDEX(Transactions!$G:$G,ROW()-8))</f>
      </c>
      <c r="F6718">
        <f>IF(INDEX(Transactions!$J:$J,ROW()-8)="",0,INDEX(Transactions!$O:$O,ROW()-8))</f>
      </c>
    </row>
    <row r="6719" spans="1:7">
      <c r="B6719">
        <f>IF(INDEX(Transactions!$J:$J,ROW()-8)="",TODAY(),INDEX(Transactions!$G:$G,ROW()-8))</f>
      </c>
      <c r="F6719">
        <f>IF(INDEX(Transactions!$J:$J,ROW()-8)="",0,INDEX(Transactions!$O:$O,ROW()-8))</f>
      </c>
    </row>
    <row r="6720" spans="1:7">
      <c r="B6720">
        <f>IF(INDEX(Transactions!$J:$J,ROW()-8)="",TODAY(),INDEX(Transactions!$G:$G,ROW()-8))</f>
      </c>
      <c r="F6720">
        <f>IF(INDEX(Transactions!$J:$J,ROW()-8)="",0,INDEX(Transactions!$O:$O,ROW()-8))</f>
      </c>
    </row>
    <row r="6721" spans="1:7">
      <c r="B6721">
        <f>IF(INDEX(Transactions!$J:$J,ROW()-8)="",TODAY(),INDEX(Transactions!$G:$G,ROW()-8))</f>
      </c>
      <c r="F6721">
        <f>IF(INDEX(Transactions!$J:$J,ROW()-8)="",0,INDEX(Transactions!$O:$O,ROW()-8))</f>
      </c>
    </row>
    <row r="6722" spans="1:7">
      <c r="B6722">
        <f>IF(INDEX(Transactions!$J:$J,ROW()-8)="",TODAY(),INDEX(Transactions!$G:$G,ROW()-8))</f>
      </c>
      <c r="F6722">
        <f>IF(INDEX(Transactions!$J:$J,ROW()-8)="",0,INDEX(Transactions!$O:$O,ROW()-8))</f>
      </c>
    </row>
    <row r="6723" spans="1:7">
      <c r="B6723">
        <f>IF(INDEX(Transactions!$J:$J,ROW()-8)="",TODAY(),INDEX(Transactions!$G:$G,ROW()-8))</f>
      </c>
      <c r="F6723">
        <f>IF(INDEX(Transactions!$J:$J,ROW()-8)="",0,INDEX(Transactions!$O:$O,ROW()-8))</f>
      </c>
    </row>
    <row r="6724" spans="1:7">
      <c r="B6724">
        <f>IF(INDEX(Transactions!$J:$J,ROW()-8)="",TODAY(),INDEX(Transactions!$G:$G,ROW()-8))</f>
      </c>
      <c r="F6724">
        <f>IF(INDEX(Transactions!$J:$J,ROW()-8)="",0,INDEX(Transactions!$O:$O,ROW()-8))</f>
      </c>
    </row>
    <row r="6725" spans="1:7">
      <c r="B6725">
        <f>IF(INDEX(Transactions!$J:$J,ROW()-8)="",TODAY(),INDEX(Transactions!$G:$G,ROW()-8))</f>
      </c>
      <c r="F6725">
        <f>IF(INDEX(Transactions!$J:$J,ROW()-8)="",0,INDEX(Transactions!$O:$O,ROW()-8))</f>
      </c>
    </row>
    <row r="6726" spans="1:7">
      <c r="B6726">
        <f>IF(INDEX(Transactions!$J:$J,ROW()-8)="",TODAY(),INDEX(Transactions!$G:$G,ROW()-8))</f>
      </c>
      <c r="F6726">
        <f>IF(INDEX(Transactions!$J:$J,ROW()-8)="",0,INDEX(Transactions!$O:$O,ROW()-8))</f>
      </c>
    </row>
    <row r="6727" spans="1:7">
      <c r="B6727">
        <f>IF(INDEX(Transactions!$J:$J,ROW()-8)="",TODAY(),INDEX(Transactions!$G:$G,ROW()-8))</f>
      </c>
      <c r="F6727">
        <f>IF(INDEX(Transactions!$J:$J,ROW()-8)="",0,INDEX(Transactions!$O:$O,ROW()-8))</f>
      </c>
    </row>
    <row r="6728" spans="1:7">
      <c r="B6728">
        <f>IF(INDEX(Transactions!$J:$J,ROW()-8)="",TODAY(),INDEX(Transactions!$G:$G,ROW()-8))</f>
      </c>
      <c r="F6728">
        <f>IF(INDEX(Transactions!$J:$J,ROW()-8)="",0,INDEX(Transactions!$O:$O,ROW()-8))</f>
      </c>
    </row>
    <row r="6729" spans="1:7">
      <c r="B6729">
        <f>IF(INDEX(Transactions!$J:$J,ROW()-8)="",TODAY(),INDEX(Transactions!$G:$G,ROW()-8))</f>
      </c>
      <c r="F6729">
        <f>IF(INDEX(Transactions!$J:$J,ROW()-8)="",0,INDEX(Transactions!$O:$O,ROW()-8))</f>
      </c>
    </row>
    <row r="6730" spans="1:7">
      <c r="B6730">
        <f>IF(INDEX(Transactions!$J:$J,ROW()-8)="",TODAY(),INDEX(Transactions!$G:$G,ROW()-8))</f>
      </c>
      <c r="F6730">
        <f>IF(INDEX(Transactions!$J:$J,ROW()-8)="",0,INDEX(Transactions!$O:$O,ROW()-8))</f>
      </c>
    </row>
    <row r="6731" spans="1:7">
      <c r="B6731">
        <f>IF(INDEX(Transactions!$J:$J,ROW()-8)="",TODAY(),INDEX(Transactions!$G:$G,ROW()-8))</f>
      </c>
      <c r="F6731">
        <f>IF(INDEX(Transactions!$J:$J,ROW()-8)="",0,INDEX(Transactions!$O:$O,ROW()-8))</f>
      </c>
    </row>
    <row r="6732" spans="1:7">
      <c r="B6732">
        <f>IF(INDEX(Transactions!$J:$J,ROW()-8)="",TODAY(),INDEX(Transactions!$G:$G,ROW()-8))</f>
      </c>
      <c r="F6732">
        <f>IF(INDEX(Transactions!$J:$J,ROW()-8)="",0,INDEX(Transactions!$O:$O,ROW()-8))</f>
      </c>
    </row>
    <row r="6733" spans="1:7">
      <c r="B6733">
        <f>IF(INDEX(Transactions!$J:$J,ROW()-8)="",TODAY(),INDEX(Transactions!$G:$G,ROW()-8))</f>
      </c>
      <c r="F6733">
        <f>IF(INDEX(Transactions!$J:$J,ROW()-8)="",0,INDEX(Transactions!$O:$O,ROW()-8))</f>
      </c>
    </row>
    <row r="6734" spans="1:7">
      <c r="B6734">
        <f>IF(INDEX(Transactions!$J:$J,ROW()-8)="",TODAY(),INDEX(Transactions!$G:$G,ROW()-8))</f>
      </c>
      <c r="F6734">
        <f>IF(INDEX(Transactions!$J:$J,ROW()-8)="",0,INDEX(Transactions!$O:$O,ROW()-8))</f>
      </c>
    </row>
    <row r="6735" spans="1:7">
      <c r="B6735">
        <f>IF(INDEX(Transactions!$J:$J,ROW()-8)="",TODAY(),INDEX(Transactions!$G:$G,ROW()-8))</f>
      </c>
      <c r="F6735">
        <f>IF(INDEX(Transactions!$J:$J,ROW()-8)="",0,INDEX(Transactions!$O:$O,ROW()-8))</f>
      </c>
    </row>
    <row r="6736" spans="1:7">
      <c r="B6736">
        <f>IF(INDEX(Transactions!$J:$J,ROW()-8)="",TODAY(),INDEX(Transactions!$G:$G,ROW()-8))</f>
      </c>
      <c r="F6736">
        <f>IF(INDEX(Transactions!$J:$J,ROW()-8)="",0,INDEX(Transactions!$O:$O,ROW()-8))</f>
      </c>
    </row>
    <row r="6737" spans="1:7">
      <c r="B6737">
        <f>IF(INDEX(Transactions!$J:$J,ROW()-8)="",TODAY(),INDEX(Transactions!$G:$G,ROW()-8))</f>
      </c>
      <c r="F6737">
        <f>IF(INDEX(Transactions!$J:$J,ROW()-8)="",0,INDEX(Transactions!$O:$O,ROW()-8))</f>
      </c>
    </row>
    <row r="6738" spans="1:7">
      <c r="B6738">
        <f>IF(INDEX(Transactions!$J:$J,ROW()-8)="",TODAY(),INDEX(Transactions!$G:$G,ROW()-8))</f>
      </c>
      <c r="F6738">
        <f>IF(INDEX(Transactions!$J:$J,ROW()-8)="",0,INDEX(Transactions!$O:$O,ROW()-8))</f>
      </c>
    </row>
    <row r="6739" spans="1:7">
      <c r="B6739">
        <f>IF(INDEX(Transactions!$J:$J,ROW()-8)="",TODAY(),INDEX(Transactions!$G:$G,ROW()-8))</f>
      </c>
      <c r="F6739">
        <f>IF(INDEX(Transactions!$J:$J,ROW()-8)="",0,INDEX(Transactions!$O:$O,ROW()-8))</f>
      </c>
    </row>
    <row r="6740" spans="1:7">
      <c r="B6740">
        <f>IF(INDEX(Transactions!$J:$J,ROW()-8)="",TODAY(),INDEX(Transactions!$G:$G,ROW()-8))</f>
      </c>
      <c r="F6740">
        <f>IF(INDEX(Transactions!$J:$J,ROW()-8)="",0,INDEX(Transactions!$O:$O,ROW()-8))</f>
      </c>
    </row>
    <row r="6741" spans="1:7">
      <c r="B6741">
        <f>IF(INDEX(Transactions!$J:$J,ROW()-8)="",TODAY(),INDEX(Transactions!$G:$G,ROW()-8))</f>
      </c>
      <c r="F6741">
        <f>IF(INDEX(Transactions!$J:$J,ROW()-8)="",0,INDEX(Transactions!$O:$O,ROW()-8))</f>
      </c>
    </row>
    <row r="6742" spans="1:7">
      <c r="B6742">
        <f>IF(INDEX(Transactions!$J:$J,ROW()-8)="",TODAY(),INDEX(Transactions!$G:$G,ROW()-8))</f>
      </c>
      <c r="F6742">
        <f>IF(INDEX(Transactions!$J:$J,ROW()-8)="",0,INDEX(Transactions!$O:$O,ROW()-8))</f>
      </c>
    </row>
    <row r="6743" spans="1:7">
      <c r="B6743">
        <f>IF(INDEX(Transactions!$J:$J,ROW()-8)="",TODAY(),INDEX(Transactions!$G:$G,ROW()-8))</f>
      </c>
      <c r="F6743">
        <f>IF(INDEX(Transactions!$J:$J,ROW()-8)="",0,INDEX(Transactions!$O:$O,ROW()-8))</f>
      </c>
    </row>
    <row r="6744" spans="1:7">
      <c r="B6744">
        <f>IF(INDEX(Transactions!$J:$J,ROW()-8)="",TODAY(),INDEX(Transactions!$G:$G,ROW()-8))</f>
      </c>
      <c r="F6744">
        <f>IF(INDEX(Transactions!$J:$J,ROW()-8)="",0,INDEX(Transactions!$O:$O,ROW()-8))</f>
      </c>
    </row>
    <row r="6745" spans="1:7">
      <c r="B6745">
        <f>IF(INDEX(Transactions!$J:$J,ROW()-8)="",TODAY(),INDEX(Transactions!$G:$G,ROW()-8))</f>
      </c>
      <c r="F6745">
        <f>IF(INDEX(Transactions!$J:$J,ROW()-8)="",0,INDEX(Transactions!$O:$O,ROW()-8))</f>
      </c>
    </row>
    <row r="6746" spans="1:7">
      <c r="B6746">
        <f>IF(INDEX(Transactions!$J:$J,ROW()-8)="",TODAY(),INDEX(Transactions!$G:$G,ROW()-8))</f>
      </c>
      <c r="F6746">
        <f>IF(INDEX(Transactions!$J:$J,ROW()-8)="",0,INDEX(Transactions!$O:$O,ROW()-8))</f>
      </c>
    </row>
    <row r="6747" spans="1:7">
      <c r="B6747">
        <f>IF(INDEX(Transactions!$J:$J,ROW()-8)="",TODAY(),INDEX(Transactions!$G:$G,ROW()-8))</f>
      </c>
      <c r="F6747">
        <f>IF(INDEX(Transactions!$J:$J,ROW()-8)="",0,INDEX(Transactions!$O:$O,ROW()-8))</f>
      </c>
    </row>
    <row r="6748" spans="1:7">
      <c r="B6748">
        <f>IF(INDEX(Transactions!$J:$J,ROW()-8)="",TODAY(),INDEX(Transactions!$G:$G,ROW()-8))</f>
      </c>
      <c r="F6748">
        <f>IF(INDEX(Transactions!$J:$J,ROW()-8)="",0,INDEX(Transactions!$O:$O,ROW()-8))</f>
      </c>
    </row>
    <row r="6749" spans="1:7">
      <c r="B6749">
        <f>IF(INDEX(Transactions!$J:$J,ROW()-8)="",TODAY(),INDEX(Transactions!$G:$G,ROW()-8))</f>
      </c>
      <c r="F6749">
        <f>IF(INDEX(Transactions!$J:$J,ROW()-8)="",0,INDEX(Transactions!$O:$O,ROW()-8))</f>
      </c>
    </row>
    <row r="6750" spans="1:7">
      <c r="B6750">
        <f>IF(INDEX(Transactions!$J:$J,ROW()-8)="",TODAY(),INDEX(Transactions!$G:$G,ROW()-8))</f>
      </c>
      <c r="F6750">
        <f>IF(INDEX(Transactions!$J:$J,ROW()-8)="",0,INDEX(Transactions!$O:$O,ROW()-8))</f>
      </c>
    </row>
    <row r="6751" spans="1:7">
      <c r="B6751">
        <f>IF(INDEX(Transactions!$J:$J,ROW()-8)="",TODAY(),INDEX(Transactions!$G:$G,ROW()-8))</f>
      </c>
      <c r="F6751">
        <f>IF(INDEX(Transactions!$J:$J,ROW()-8)="",0,INDEX(Transactions!$O:$O,ROW()-8))</f>
      </c>
    </row>
    <row r="6752" spans="1:7">
      <c r="B6752">
        <f>IF(INDEX(Transactions!$J:$J,ROW()-8)="",TODAY(),INDEX(Transactions!$G:$G,ROW()-8))</f>
      </c>
      <c r="F6752">
        <f>IF(INDEX(Transactions!$J:$J,ROW()-8)="",0,INDEX(Transactions!$O:$O,ROW()-8))</f>
      </c>
    </row>
    <row r="6753" spans="1:7">
      <c r="B6753">
        <f>IF(INDEX(Transactions!$J:$J,ROW()-8)="",TODAY(),INDEX(Transactions!$G:$G,ROW()-8))</f>
      </c>
      <c r="F6753">
        <f>IF(INDEX(Transactions!$J:$J,ROW()-8)="",0,INDEX(Transactions!$O:$O,ROW()-8))</f>
      </c>
    </row>
    <row r="6754" spans="1:7">
      <c r="B6754">
        <f>IF(INDEX(Transactions!$J:$J,ROW()-8)="",TODAY(),INDEX(Transactions!$G:$G,ROW()-8))</f>
      </c>
      <c r="F6754">
        <f>IF(INDEX(Transactions!$J:$J,ROW()-8)="",0,INDEX(Transactions!$O:$O,ROW()-8))</f>
      </c>
    </row>
    <row r="6755" spans="1:7">
      <c r="B6755">
        <f>IF(INDEX(Transactions!$J:$J,ROW()-8)="",TODAY(),INDEX(Transactions!$G:$G,ROW()-8))</f>
      </c>
      <c r="F6755">
        <f>IF(INDEX(Transactions!$J:$J,ROW()-8)="",0,INDEX(Transactions!$O:$O,ROW()-8))</f>
      </c>
    </row>
    <row r="6756" spans="1:7">
      <c r="B6756">
        <f>IF(INDEX(Transactions!$J:$J,ROW()-8)="",TODAY(),INDEX(Transactions!$G:$G,ROW()-8))</f>
      </c>
      <c r="F6756">
        <f>IF(INDEX(Transactions!$J:$J,ROW()-8)="",0,INDEX(Transactions!$O:$O,ROW()-8))</f>
      </c>
    </row>
    <row r="6757" spans="1:7">
      <c r="B6757">
        <f>IF(INDEX(Transactions!$J:$J,ROW()-8)="",TODAY(),INDEX(Transactions!$G:$G,ROW()-8))</f>
      </c>
      <c r="F6757">
        <f>IF(INDEX(Transactions!$J:$J,ROW()-8)="",0,INDEX(Transactions!$O:$O,ROW()-8))</f>
      </c>
    </row>
    <row r="6758" spans="1:7">
      <c r="B6758">
        <f>IF(INDEX(Transactions!$J:$J,ROW()-8)="",TODAY(),INDEX(Transactions!$G:$G,ROW()-8))</f>
      </c>
      <c r="F6758">
        <f>IF(INDEX(Transactions!$J:$J,ROW()-8)="",0,INDEX(Transactions!$O:$O,ROW()-8))</f>
      </c>
    </row>
    <row r="6759" spans="1:7">
      <c r="B6759">
        <f>IF(INDEX(Transactions!$J:$J,ROW()-8)="",TODAY(),INDEX(Transactions!$G:$G,ROW()-8))</f>
      </c>
      <c r="F6759">
        <f>IF(INDEX(Transactions!$J:$J,ROW()-8)="",0,INDEX(Transactions!$O:$O,ROW()-8))</f>
      </c>
    </row>
    <row r="6760" spans="1:7">
      <c r="B6760">
        <f>IF(INDEX(Transactions!$J:$J,ROW()-8)="",TODAY(),INDEX(Transactions!$G:$G,ROW()-8))</f>
      </c>
      <c r="F6760">
        <f>IF(INDEX(Transactions!$J:$J,ROW()-8)="",0,INDEX(Transactions!$O:$O,ROW()-8))</f>
      </c>
    </row>
    <row r="6761" spans="1:7">
      <c r="B6761">
        <f>IF(INDEX(Transactions!$J:$J,ROW()-8)="",TODAY(),INDEX(Transactions!$G:$G,ROW()-8))</f>
      </c>
      <c r="F6761">
        <f>IF(INDEX(Transactions!$J:$J,ROW()-8)="",0,INDEX(Transactions!$O:$O,ROW()-8))</f>
      </c>
    </row>
    <row r="6762" spans="1:7">
      <c r="B6762">
        <f>IF(INDEX(Transactions!$J:$J,ROW()-8)="",TODAY(),INDEX(Transactions!$G:$G,ROW()-8))</f>
      </c>
      <c r="F6762">
        <f>IF(INDEX(Transactions!$J:$J,ROW()-8)="",0,INDEX(Transactions!$O:$O,ROW()-8))</f>
      </c>
    </row>
    <row r="6763" spans="1:7">
      <c r="B6763">
        <f>IF(INDEX(Transactions!$J:$J,ROW()-8)="",TODAY(),INDEX(Transactions!$G:$G,ROW()-8))</f>
      </c>
      <c r="F6763">
        <f>IF(INDEX(Transactions!$J:$J,ROW()-8)="",0,INDEX(Transactions!$O:$O,ROW()-8))</f>
      </c>
    </row>
    <row r="6764" spans="1:7">
      <c r="B6764">
        <f>IF(INDEX(Transactions!$J:$J,ROW()-8)="",TODAY(),INDEX(Transactions!$G:$G,ROW()-8))</f>
      </c>
      <c r="F6764">
        <f>IF(INDEX(Transactions!$J:$J,ROW()-8)="",0,INDEX(Transactions!$O:$O,ROW()-8))</f>
      </c>
    </row>
    <row r="6765" spans="1:7">
      <c r="B6765">
        <f>IF(INDEX(Transactions!$J:$J,ROW()-8)="",TODAY(),INDEX(Transactions!$G:$G,ROW()-8))</f>
      </c>
      <c r="F6765">
        <f>IF(INDEX(Transactions!$J:$J,ROW()-8)="",0,INDEX(Transactions!$O:$O,ROW()-8))</f>
      </c>
    </row>
    <row r="6766" spans="1:7">
      <c r="B6766">
        <f>IF(INDEX(Transactions!$J:$J,ROW()-8)="",TODAY(),INDEX(Transactions!$G:$G,ROW()-8))</f>
      </c>
      <c r="F6766">
        <f>IF(INDEX(Transactions!$J:$J,ROW()-8)="",0,INDEX(Transactions!$O:$O,ROW()-8))</f>
      </c>
    </row>
    <row r="6767" spans="1:7">
      <c r="B6767">
        <f>IF(INDEX(Transactions!$J:$J,ROW()-8)="",TODAY(),INDEX(Transactions!$G:$G,ROW()-8))</f>
      </c>
      <c r="F6767">
        <f>IF(INDEX(Transactions!$J:$J,ROW()-8)="",0,INDEX(Transactions!$O:$O,ROW()-8))</f>
      </c>
    </row>
    <row r="6768" spans="1:7">
      <c r="B6768">
        <f>IF(INDEX(Transactions!$J:$J,ROW()-8)="",TODAY(),INDEX(Transactions!$G:$G,ROW()-8))</f>
      </c>
      <c r="F6768">
        <f>IF(INDEX(Transactions!$J:$J,ROW()-8)="",0,INDEX(Transactions!$O:$O,ROW()-8))</f>
      </c>
    </row>
    <row r="6769" spans="1:7">
      <c r="B6769">
        <f>IF(INDEX(Transactions!$J:$J,ROW()-8)="",TODAY(),INDEX(Transactions!$G:$G,ROW()-8))</f>
      </c>
      <c r="F6769">
        <f>IF(INDEX(Transactions!$J:$J,ROW()-8)="",0,INDEX(Transactions!$O:$O,ROW()-8))</f>
      </c>
    </row>
    <row r="6770" spans="1:7">
      <c r="B6770">
        <f>IF(INDEX(Transactions!$J:$J,ROW()-8)="",TODAY(),INDEX(Transactions!$G:$G,ROW()-8))</f>
      </c>
      <c r="F6770">
        <f>IF(INDEX(Transactions!$J:$J,ROW()-8)="",0,INDEX(Transactions!$O:$O,ROW()-8))</f>
      </c>
    </row>
    <row r="6771" spans="1:7">
      <c r="B6771">
        <f>IF(INDEX(Transactions!$J:$J,ROW()-8)="",TODAY(),INDEX(Transactions!$G:$G,ROW()-8))</f>
      </c>
      <c r="F6771">
        <f>IF(INDEX(Transactions!$J:$J,ROW()-8)="",0,INDEX(Transactions!$O:$O,ROW()-8))</f>
      </c>
    </row>
    <row r="6772" spans="1:7">
      <c r="B6772">
        <f>IF(INDEX(Transactions!$J:$J,ROW()-8)="",TODAY(),INDEX(Transactions!$G:$G,ROW()-8))</f>
      </c>
      <c r="F6772">
        <f>IF(INDEX(Transactions!$J:$J,ROW()-8)="",0,INDEX(Transactions!$O:$O,ROW()-8))</f>
      </c>
    </row>
    <row r="6773" spans="1:7">
      <c r="B6773">
        <f>IF(INDEX(Transactions!$J:$J,ROW()-8)="",TODAY(),INDEX(Transactions!$G:$G,ROW()-8))</f>
      </c>
      <c r="F6773">
        <f>IF(INDEX(Transactions!$J:$J,ROW()-8)="",0,INDEX(Transactions!$O:$O,ROW()-8))</f>
      </c>
    </row>
    <row r="6774" spans="1:7">
      <c r="B6774">
        <f>IF(INDEX(Transactions!$J:$J,ROW()-8)="",TODAY(),INDEX(Transactions!$G:$G,ROW()-8))</f>
      </c>
      <c r="F6774">
        <f>IF(INDEX(Transactions!$J:$J,ROW()-8)="",0,INDEX(Transactions!$O:$O,ROW()-8))</f>
      </c>
    </row>
    <row r="6775" spans="1:7">
      <c r="B6775">
        <f>IF(INDEX(Transactions!$J:$J,ROW()-8)="",TODAY(),INDEX(Transactions!$G:$G,ROW()-8))</f>
      </c>
      <c r="F6775">
        <f>IF(INDEX(Transactions!$J:$J,ROW()-8)="",0,INDEX(Transactions!$O:$O,ROW()-8))</f>
      </c>
    </row>
    <row r="6776" spans="1:7">
      <c r="B6776">
        <f>IF(INDEX(Transactions!$J:$J,ROW()-8)="",TODAY(),INDEX(Transactions!$G:$G,ROW()-8))</f>
      </c>
      <c r="F6776">
        <f>IF(INDEX(Transactions!$J:$J,ROW()-8)="",0,INDEX(Transactions!$O:$O,ROW()-8))</f>
      </c>
    </row>
    <row r="6777" spans="1:7">
      <c r="B6777">
        <f>IF(INDEX(Transactions!$J:$J,ROW()-8)="",TODAY(),INDEX(Transactions!$G:$G,ROW()-8))</f>
      </c>
      <c r="F6777">
        <f>IF(INDEX(Transactions!$J:$J,ROW()-8)="",0,INDEX(Transactions!$O:$O,ROW()-8))</f>
      </c>
    </row>
    <row r="6778" spans="1:7">
      <c r="B6778">
        <f>IF(INDEX(Transactions!$J:$J,ROW()-8)="",TODAY(),INDEX(Transactions!$G:$G,ROW()-8))</f>
      </c>
      <c r="F6778">
        <f>IF(INDEX(Transactions!$J:$J,ROW()-8)="",0,INDEX(Transactions!$O:$O,ROW()-8))</f>
      </c>
    </row>
    <row r="6779" spans="1:7">
      <c r="B6779">
        <f>IF(INDEX(Transactions!$J:$J,ROW()-8)="",TODAY(),INDEX(Transactions!$G:$G,ROW()-8))</f>
      </c>
      <c r="F6779">
        <f>IF(INDEX(Transactions!$J:$J,ROW()-8)="",0,INDEX(Transactions!$O:$O,ROW()-8))</f>
      </c>
    </row>
    <row r="6780" spans="1:7">
      <c r="B6780">
        <f>IF(INDEX(Transactions!$J:$J,ROW()-8)="",TODAY(),INDEX(Transactions!$G:$G,ROW()-8))</f>
      </c>
      <c r="F6780">
        <f>IF(INDEX(Transactions!$J:$J,ROW()-8)="",0,INDEX(Transactions!$O:$O,ROW()-8))</f>
      </c>
    </row>
    <row r="6781" spans="1:7">
      <c r="B6781">
        <f>IF(INDEX(Transactions!$J:$J,ROW()-8)="",TODAY(),INDEX(Transactions!$G:$G,ROW()-8))</f>
      </c>
      <c r="F6781">
        <f>IF(INDEX(Transactions!$J:$J,ROW()-8)="",0,INDEX(Transactions!$O:$O,ROW()-8))</f>
      </c>
    </row>
    <row r="6782" spans="1:7">
      <c r="B6782">
        <f>IF(INDEX(Transactions!$J:$J,ROW()-8)="",TODAY(),INDEX(Transactions!$G:$G,ROW()-8))</f>
      </c>
      <c r="F6782">
        <f>IF(INDEX(Transactions!$J:$J,ROW()-8)="",0,INDEX(Transactions!$O:$O,ROW()-8))</f>
      </c>
    </row>
    <row r="6783" spans="1:7">
      <c r="B6783">
        <f>IF(INDEX(Transactions!$J:$J,ROW()-8)="",TODAY(),INDEX(Transactions!$G:$G,ROW()-8))</f>
      </c>
      <c r="F6783">
        <f>IF(INDEX(Transactions!$J:$J,ROW()-8)="",0,INDEX(Transactions!$O:$O,ROW()-8))</f>
      </c>
    </row>
    <row r="6784" spans="1:7">
      <c r="B6784">
        <f>IF(INDEX(Transactions!$J:$J,ROW()-8)="",TODAY(),INDEX(Transactions!$G:$G,ROW()-8))</f>
      </c>
      <c r="F6784">
        <f>IF(INDEX(Transactions!$J:$J,ROW()-8)="",0,INDEX(Transactions!$O:$O,ROW()-8))</f>
      </c>
    </row>
    <row r="6785" spans="1:7">
      <c r="B6785">
        <f>IF(INDEX(Transactions!$J:$J,ROW()-8)="",TODAY(),INDEX(Transactions!$G:$G,ROW()-8))</f>
      </c>
      <c r="F6785">
        <f>IF(INDEX(Transactions!$J:$J,ROW()-8)="",0,INDEX(Transactions!$O:$O,ROW()-8))</f>
      </c>
    </row>
    <row r="6786" spans="1:7">
      <c r="B6786">
        <f>IF(INDEX(Transactions!$J:$J,ROW()-8)="",TODAY(),INDEX(Transactions!$G:$G,ROW()-8))</f>
      </c>
      <c r="F6786">
        <f>IF(INDEX(Transactions!$J:$J,ROW()-8)="",0,INDEX(Transactions!$O:$O,ROW()-8))</f>
      </c>
    </row>
    <row r="6787" spans="1:7">
      <c r="B6787">
        <f>IF(INDEX(Transactions!$J:$J,ROW()-8)="",TODAY(),INDEX(Transactions!$G:$G,ROW()-8))</f>
      </c>
      <c r="F6787">
        <f>IF(INDEX(Transactions!$J:$J,ROW()-8)="",0,INDEX(Transactions!$O:$O,ROW()-8))</f>
      </c>
    </row>
    <row r="6788" spans="1:7">
      <c r="B6788">
        <f>IF(INDEX(Transactions!$J:$J,ROW()-8)="",TODAY(),INDEX(Transactions!$G:$G,ROW()-8))</f>
      </c>
      <c r="F6788">
        <f>IF(INDEX(Transactions!$J:$J,ROW()-8)="",0,INDEX(Transactions!$O:$O,ROW()-8))</f>
      </c>
    </row>
    <row r="6789" spans="1:7">
      <c r="B6789">
        <f>IF(INDEX(Transactions!$J:$J,ROW()-8)="",TODAY(),INDEX(Transactions!$G:$G,ROW()-8))</f>
      </c>
      <c r="F6789">
        <f>IF(INDEX(Transactions!$J:$J,ROW()-8)="",0,INDEX(Transactions!$O:$O,ROW()-8))</f>
      </c>
    </row>
    <row r="6790" spans="1:7">
      <c r="B6790">
        <f>IF(INDEX(Transactions!$J:$J,ROW()-8)="",TODAY(),INDEX(Transactions!$G:$G,ROW()-8))</f>
      </c>
      <c r="F6790">
        <f>IF(INDEX(Transactions!$J:$J,ROW()-8)="",0,INDEX(Transactions!$O:$O,ROW()-8))</f>
      </c>
    </row>
    <row r="6791" spans="1:7">
      <c r="B6791">
        <f>IF(INDEX(Transactions!$J:$J,ROW()-8)="",TODAY(),INDEX(Transactions!$G:$G,ROW()-8))</f>
      </c>
      <c r="F6791">
        <f>IF(INDEX(Transactions!$J:$J,ROW()-8)="",0,INDEX(Transactions!$O:$O,ROW()-8))</f>
      </c>
    </row>
    <row r="6792" spans="1:7">
      <c r="B6792">
        <f>IF(INDEX(Transactions!$J:$J,ROW()-8)="",TODAY(),INDEX(Transactions!$G:$G,ROW()-8))</f>
      </c>
      <c r="F6792">
        <f>IF(INDEX(Transactions!$J:$J,ROW()-8)="",0,INDEX(Transactions!$O:$O,ROW()-8))</f>
      </c>
    </row>
    <row r="6793" spans="1:7">
      <c r="B6793">
        <f>IF(INDEX(Transactions!$J:$J,ROW()-8)="",TODAY(),INDEX(Transactions!$G:$G,ROW()-8))</f>
      </c>
      <c r="F6793">
        <f>IF(INDEX(Transactions!$J:$J,ROW()-8)="",0,INDEX(Transactions!$O:$O,ROW()-8))</f>
      </c>
    </row>
    <row r="6794" spans="1:7">
      <c r="B6794">
        <f>IF(INDEX(Transactions!$J:$J,ROW()-8)="",TODAY(),INDEX(Transactions!$G:$G,ROW()-8))</f>
      </c>
      <c r="F6794">
        <f>IF(INDEX(Transactions!$J:$J,ROW()-8)="",0,INDEX(Transactions!$O:$O,ROW()-8))</f>
      </c>
    </row>
    <row r="6795" spans="1:7">
      <c r="B6795">
        <f>IF(INDEX(Transactions!$J:$J,ROW()-8)="",TODAY(),INDEX(Transactions!$G:$G,ROW()-8))</f>
      </c>
      <c r="F6795">
        <f>IF(INDEX(Transactions!$J:$J,ROW()-8)="",0,INDEX(Transactions!$O:$O,ROW()-8))</f>
      </c>
    </row>
    <row r="6796" spans="1:7">
      <c r="B6796">
        <f>IF(INDEX(Transactions!$J:$J,ROW()-8)="",TODAY(),INDEX(Transactions!$G:$G,ROW()-8))</f>
      </c>
      <c r="F6796">
        <f>IF(INDEX(Transactions!$J:$J,ROW()-8)="",0,INDEX(Transactions!$O:$O,ROW()-8))</f>
      </c>
    </row>
    <row r="6797" spans="1:7">
      <c r="B6797">
        <f>IF(INDEX(Transactions!$J:$J,ROW()-8)="",TODAY(),INDEX(Transactions!$G:$G,ROW()-8))</f>
      </c>
      <c r="F6797">
        <f>IF(INDEX(Transactions!$J:$J,ROW()-8)="",0,INDEX(Transactions!$O:$O,ROW()-8))</f>
      </c>
    </row>
    <row r="6798" spans="1:7">
      <c r="B6798">
        <f>IF(INDEX(Transactions!$J:$J,ROW()-8)="",TODAY(),INDEX(Transactions!$G:$G,ROW()-8))</f>
      </c>
      <c r="F6798">
        <f>IF(INDEX(Transactions!$J:$J,ROW()-8)="",0,INDEX(Transactions!$O:$O,ROW()-8))</f>
      </c>
    </row>
    <row r="6799" spans="1:7">
      <c r="B6799">
        <f>IF(INDEX(Transactions!$J:$J,ROW()-8)="",TODAY(),INDEX(Transactions!$G:$G,ROW()-8))</f>
      </c>
      <c r="F6799">
        <f>IF(INDEX(Transactions!$J:$J,ROW()-8)="",0,INDEX(Transactions!$O:$O,ROW()-8))</f>
      </c>
    </row>
    <row r="6800" spans="1:7">
      <c r="B6800">
        <f>IF(INDEX(Transactions!$J:$J,ROW()-8)="",TODAY(),INDEX(Transactions!$G:$G,ROW()-8))</f>
      </c>
      <c r="F6800">
        <f>IF(INDEX(Transactions!$J:$J,ROW()-8)="",0,INDEX(Transactions!$O:$O,ROW()-8))</f>
      </c>
    </row>
    <row r="6801" spans="1:7">
      <c r="B6801">
        <f>IF(INDEX(Transactions!$J:$J,ROW()-8)="",TODAY(),INDEX(Transactions!$G:$G,ROW()-8))</f>
      </c>
      <c r="F6801">
        <f>IF(INDEX(Transactions!$J:$J,ROW()-8)="",0,INDEX(Transactions!$O:$O,ROW()-8))</f>
      </c>
    </row>
    <row r="6802" spans="1:7">
      <c r="B6802">
        <f>IF(INDEX(Transactions!$J:$J,ROW()-8)="",TODAY(),INDEX(Transactions!$G:$G,ROW()-8))</f>
      </c>
      <c r="F6802">
        <f>IF(INDEX(Transactions!$J:$J,ROW()-8)="",0,INDEX(Transactions!$O:$O,ROW()-8))</f>
      </c>
    </row>
    <row r="6803" spans="1:7">
      <c r="B6803">
        <f>IF(INDEX(Transactions!$J:$J,ROW()-8)="",TODAY(),INDEX(Transactions!$G:$G,ROW()-8))</f>
      </c>
      <c r="F6803">
        <f>IF(INDEX(Transactions!$J:$J,ROW()-8)="",0,INDEX(Transactions!$O:$O,ROW()-8))</f>
      </c>
    </row>
    <row r="6804" spans="1:7">
      <c r="B6804">
        <f>IF(INDEX(Transactions!$J:$J,ROW()-8)="",TODAY(),INDEX(Transactions!$G:$G,ROW()-8))</f>
      </c>
      <c r="F6804">
        <f>IF(INDEX(Transactions!$J:$J,ROW()-8)="",0,INDEX(Transactions!$O:$O,ROW()-8))</f>
      </c>
    </row>
    <row r="6805" spans="1:7">
      <c r="B6805">
        <f>IF(INDEX(Transactions!$J:$J,ROW()-8)="",TODAY(),INDEX(Transactions!$G:$G,ROW()-8))</f>
      </c>
      <c r="F6805">
        <f>IF(INDEX(Transactions!$J:$J,ROW()-8)="",0,INDEX(Transactions!$O:$O,ROW()-8))</f>
      </c>
    </row>
    <row r="6806" spans="1:7">
      <c r="B6806">
        <f>IF(INDEX(Transactions!$J:$J,ROW()-8)="",TODAY(),INDEX(Transactions!$G:$G,ROW()-8))</f>
      </c>
      <c r="F6806">
        <f>IF(INDEX(Transactions!$J:$J,ROW()-8)="",0,INDEX(Transactions!$O:$O,ROW()-8))</f>
      </c>
    </row>
    <row r="6807" spans="1:7">
      <c r="B6807">
        <f>IF(INDEX(Transactions!$J:$J,ROW()-8)="",TODAY(),INDEX(Transactions!$G:$G,ROW()-8))</f>
      </c>
      <c r="F6807">
        <f>IF(INDEX(Transactions!$J:$J,ROW()-8)="",0,INDEX(Transactions!$O:$O,ROW()-8))</f>
      </c>
    </row>
    <row r="6808" spans="1:7">
      <c r="B6808">
        <f>IF(INDEX(Transactions!$J:$J,ROW()-8)="",TODAY(),INDEX(Transactions!$G:$G,ROW()-8))</f>
      </c>
      <c r="F6808">
        <f>IF(INDEX(Transactions!$J:$J,ROW()-8)="",0,INDEX(Transactions!$O:$O,ROW()-8))</f>
      </c>
    </row>
    <row r="6809" spans="1:7">
      <c r="B6809">
        <f>IF(INDEX(Transactions!$J:$J,ROW()-8)="",TODAY(),INDEX(Transactions!$G:$G,ROW()-8))</f>
      </c>
      <c r="F6809">
        <f>IF(INDEX(Transactions!$J:$J,ROW()-8)="",0,INDEX(Transactions!$O:$O,ROW()-8))</f>
      </c>
    </row>
    <row r="6810" spans="1:7">
      <c r="B6810">
        <f>IF(INDEX(Transactions!$J:$J,ROW()-8)="",TODAY(),INDEX(Transactions!$G:$G,ROW()-8))</f>
      </c>
      <c r="F6810">
        <f>IF(INDEX(Transactions!$J:$J,ROW()-8)="",0,INDEX(Transactions!$O:$O,ROW()-8))</f>
      </c>
    </row>
    <row r="6811" spans="1:7">
      <c r="B6811">
        <f>IF(INDEX(Transactions!$J:$J,ROW()-8)="",TODAY(),INDEX(Transactions!$G:$G,ROW()-8))</f>
      </c>
      <c r="F6811">
        <f>IF(INDEX(Transactions!$J:$J,ROW()-8)="",0,INDEX(Transactions!$O:$O,ROW()-8))</f>
      </c>
    </row>
    <row r="6812" spans="1:7">
      <c r="B6812">
        <f>IF(INDEX(Transactions!$J:$J,ROW()-8)="",TODAY(),INDEX(Transactions!$G:$G,ROW()-8))</f>
      </c>
      <c r="F6812">
        <f>IF(INDEX(Transactions!$J:$J,ROW()-8)="",0,INDEX(Transactions!$O:$O,ROW()-8))</f>
      </c>
    </row>
    <row r="6813" spans="1:7">
      <c r="B6813">
        <f>IF(INDEX(Transactions!$J:$J,ROW()-8)="",TODAY(),INDEX(Transactions!$G:$G,ROW()-8))</f>
      </c>
      <c r="F6813">
        <f>IF(INDEX(Transactions!$J:$J,ROW()-8)="",0,INDEX(Transactions!$O:$O,ROW()-8))</f>
      </c>
    </row>
    <row r="6814" spans="1:7">
      <c r="B6814">
        <f>IF(INDEX(Transactions!$J:$J,ROW()-8)="",TODAY(),INDEX(Transactions!$G:$G,ROW()-8))</f>
      </c>
      <c r="F6814">
        <f>IF(INDEX(Transactions!$J:$J,ROW()-8)="",0,INDEX(Transactions!$O:$O,ROW()-8))</f>
      </c>
    </row>
    <row r="6815" spans="1:7">
      <c r="B6815">
        <f>IF(INDEX(Transactions!$J:$J,ROW()-8)="",TODAY(),INDEX(Transactions!$G:$G,ROW()-8))</f>
      </c>
      <c r="F6815">
        <f>IF(INDEX(Transactions!$J:$J,ROW()-8)="",0,INDEX(Transactions!$O:$O,ROW()-8))</f>
      </c>
    </row>
    <row r="6816" spans="1:7">
      <c r="B6816">
        <f>IF(INDEX(Transactions!$J:$J,ROW()-8)="",TODAY(),INDEX(Transactions!$G:$G,ROW()-8))</f>
      </c>
      <c r="F6816">
        <f>IF(INDEX(Transactions!$J:$J,ROW()-8)="",0,INDEX(Transactions!$O:$O,ROW()-8))</f>
      </c>
    </row>
    <row r="6817" spans="1:7">
      <c r="B6817">
        <f>IF(INDEX(Transactions!$J:$J,ROW()-8)="",TODAY(),INDEX(Transactions!$G:$G,ROW()-8))</f>
      </c>
      <c r="F6817">
        <f>IF(INDEX(Transactions!$J:$J,ROW()-8)="",0,INDEX(Transactions!$O:$O,ROW()-8))</f>
      </c>
    </row>
    <row r="6818" spans="1:7">
      <c r="B6818">
        <f>IF(INDEX(Transactions!$J:$J,ROW()-8)="",TODAY(),INDEX(Transactions!$G:$G,ROW()-8))</f>
      </c>
      <c r="F6818">
        <f>IF(INDEX(Transactions!$J:$J,ROW()-8)="",0,INDEX(Transactions!$O:$O,ROW()-8))</f>
      </c>
    </row>
    <row r="6819" spans="1:7">
      <c r="B6819">
        <f>IF(INDEX(Transactions!$J:$J,ROW()-8)="",TODAY(),INDEX(Transactions!$G:$G,ROW()-8))</f>
      </c>
      <c r="F6819">
        <f>IF(INDEX(Transactions!$J:$J,ROW()-8)="",0,INDEX(Transactions!$O:$O,ROW()-8))</f>
      </c>
    </row>
    <row r="6820" spans="1:7">
      <c r="B6820">
        <f>IF(INDEX(Transactions!$J:$J,ROW()-8)="",TODAY(),INDEX(Transactions!$G:$G,ROW()-8))</f>
      </c>
      <c r="F6820">
        <f>IF(INDEX(Transactions!$J:$J,ROW()-8)="",0,INDEX(Transactions!$O:$O,ROW()-8))</f>
      </c>
    </row>
    <row r="6821" spans="1:7">
      <c r="B6821">
        <f>IF(INDEX(Transactions!$J:$J,ROW()-8)="",TODAY(),INDEX(Transactions!$G:$G,ROW()-8))</f>
      </c>
      <c r="F6821">
        <f>IF(INDEX(Transactions!$J:$J,ROW()-8)="",0,INDEX(Transactions!$O:$O,ROW()-8))</f>
      </c>
    </row>
    <row r="6822" spans="1:7">
      <c r="B6822">
        <f>IF(INDEX(Transactions!$J:$J,ROW()-8)="",TODAY(),INDEX(Transactions!$G:$G,ROW()-8))</f>
      </c>
      <c r="F6822">
        <f>IF(INDEX(Transactions!$J:$J,ROW()-8)="",0,INDEX(Transactions!$O:$O,ROW()-8))</f>
      </c>
    </row>
    <row r="6823" spans="1:7">
      <c r="B6823">
        <f>IF(INDEX(Transactions!$J:$J,ROW()-8)="",TODAY(),INDEX(Transactions!$G:$G,ROW()-8))</f>
      </c>
      <c r="F6823">
        <f>IF(INDEX(Transactions!$J:$J,ROW()-8)="",0,INDEX(Transactions!$O:$O,ROW()-8))</f>
      </c>
    </row>
    <row r="6824" spans="1:7">
      <c r="B6824">
        <f>IF(INDEX(Transactions!$J:$J,ROW()-8)="",TODAY(),INDEX(Transactions!$G:$G,ROW()-8))</f>
      </c>
      <c r="F6824">
        <f>IF(INDEX(Transactions!$J:$J,ROW()-8)="",0,INDEX(Transactions!$O:$O,ROW()-8))</f>
      </c>
    </row>
    <row r="6825" spans="1:7">
      <c r="B6825">
        <f>IF(INDEX(Transactions!$J:$J,ROW()-8)="",TODAY(),INDEX(Transactions!$G:$G,ROW()-8))</f>
      </c>
      <c r="F6825">
        <f>IF(INDEX(Transactions!$J:$J,ROW()-8)="",0,INDEX(Transactions!$O:$O,ROW()-8))</f>
      </c>
    </row>
    <row r="6826" spans="1:7">
      <c r="B6826">
        <f>IF(INDEX(Transactions!$J:$J,ROW()-8)="",TODAY(),INDEX(Transactions!$G:$G,ROW()-8))</f>
      </c>
      <c r="F6826">
        <f>IF(INDEX(Transactions!$J:$J,ROW()-8)="",0,INDEX(Transactions!$O:$O,ROW()-8))</f>
      </c>
    </row>
    <row r="6827" spans="1:7">
      <c r="B6827">
        <f>IF(INDEX(Transactions!$J:$J,ROW()-8)="",TODAY(),INDEX(Transactions!$G:$G,ROW()-8))</f>
      </c>
      <c r="F6827">
        <f>IF(INDEX(Transactions!$J:$J,ROW()-8)="",0,INDEX(Transactions!$O:$O,ROW()-8))</f>
      </c>
    </row>
    <row r="6828" spans="1:7">
      <c r="B6828">
        <f>IF(INDEX(Transactions!$J:$J,ROW()-8)="",TODAY(),INDEX(Transactions!$G:$G,ROW()-8))</f>
      </c>
      <c r="F6828">
        <f>IF(INDEX(Transactions!$J:$J,ROW()-8)="",0,INDEX(Transactions!$O:$O,ROW()-8))</f>
      </c>
    </row>
    <row r="6829" spans="1:7">
      <c r="B6829">
        <f>IF(INDEX(Transactions!$J:$J,ROW()-8)="",TODAY(),INDEX(Transactions!$G:$G,ROW()-8))</f>
      </c>
      <c r="F6829">
        <f>IF(INDEX(Transactions!$J:$J,ROW()-8)="",0,INDEX(Transactions!$O:$O,ROW()-8))</f>
      </c>
    </row>
    <row r="6830" spans="1:7">
      <c r="B6830">
        <f>IF(INDEX(Transactions!$J:$J,ROW()-8)="",TODAY(),INDEX(Transactions!$G:$G,ROW()-8))</f>
      </c>
      <c r="F6830">
        <f>IF(INDEX(Transactions!$J:$J,ROW()-8)="",0,INDEX(Transactions!$O:$O,ROW()-8))</f>
      </c>
    </row>
    <row r="6831" spans="1:7">
      <c r="B6831">
        <f>IF(INDEX(Transactions!$J:$J,ROW()-8)="",TODAY(),INDEX(Transactions!$G:$G,ROW()-8))</f>
      </c>
      <c r="F6831">
        <f>IF(INDEX(Transactions!$J:$J,ROW()-8)="",0,INDEX(Transactions!$O:$O,ROW()-8))</f>
      </c>
    </row>
    <row r="6832" spans="1:7">
      <c r="B6832">
        <f>IF(INDEX(Transactions!$J:$J,ROW()-8)="",TODAY(),INDEX(Transactions!$G:$G,ROW()-8))</f>
      </c>
      <c r="F6832">
        <f>IF(INDEX(Transactions!$J:$J,ROW()-8)="",0,INDEX(Transactions!$O:$O,ROW()-8))</f>
      </c>
    </row>
    <row r="6833" spans="1:7">
      <c r="B6833">
        <f>IF(INDEX(Transactions!$J:$J,ROW()-8)="",TODAY(),INDEX(Transactions!$G:$G,ROW()-8))</f>
      </c>
      <c r="F6833">
        <f>IF(INDEX(Transactions!$J:$J,ROW()-8)="",0,INDEX(Transactions!$O:$O,ROW()-8))</f>
      </c>
    </row>
    <row r="6834" spans="1:7">
      <c r="B6834">
        <f>IF(INDEX(Transactions!$J:$J,ROW()-8)="",TODAY(),INDEX(Transactions!$G:$G,ROW()-8))</f>
      </c>
      <c r="F6834">
        <f>IF(INDEX(Transactions!$J:$J,ROW()-8)="",0,INDEX(Transactions!$O:$O,ROW()-8))</f>
      </c>
    </row>
    <row r="6835" spans="1:7">
      <c r="B6835">
        <f>IF(INDEX(Transactions!$J:$J,ROW()-8)="",TODAY(),INDEX(Transactions!$G:$G,ROW()-8))</f>
      </c>
      <c r="F6835">
        <f>IF(INDEX(Transactions!$J:$J,ROW()-8)="",0,INDEX(Transactions!$O:$O,ROW()-8))</f>
      </c>
    </row>
    <row r="6836" spans="1:7">
      <c r="B6836">
        <f>IF(INDEX(Transactions!$J:$J,ROW()-8)="",TODAY(),INDEX(Transactions!$G:$G,ROW()-8))</f>
      </c>
      <c r="F6836">
        <f>IF(INDEX(Transactions!$J:$J,ROW()-8)="",0,INDEX(Transactions!$O:$O,ROW()-8))</f>
      </c>
    </row>
    <row r="6837" spans="1:7">
      <c r="B6837">
        <f>IF(INDEX(Transactions!$J:$J,ROW()-8)="",TODAY(),INDEX(Transactions!$G:$G,ROW()-8))</f>
      </c>
      <c r="F6837">
        <f>IF(INDEX(Transactions!$J:$J,ROW()-8)="",0,INDEX(Transactions!$O:$O,ROW()-8))</f>
      </c>
    </row>
    <row r="6838" spans="1:7">
      <c r="B6838">
        <f>IF(INDEX(Transactions!$J:$J,ROW()-8)="",TODAY(),INDEX(Transactions!$G:$G,ROW()-8))</f>
      </c>
      <c r="F6838">
        <f>IF(INDEX(Transactions!$J:$J,ROW()-8)="",0,INDEX(Transactions!$O:$O,ROW()-8))</f>
      </c>
    </row>
    <row r="6839" spans="1:7">
      <c r="B6839">
        <f>IF(INDEX(Transactions!$J:$J,ROW()-8)="",TODAY(),INDEX(Transactions!$G:$G,ROW()-8))</f>
      </c>
      <c r="F6839">
        <f>IF(INDEX(Transactions!$J:$J,ROW()-8)="",0,INDEX(Transactions!$O:$O,ROW()-8))</f>
      </c>
    </row>
    <row r="6840" spans="1:7">
      <c r="B6840">
        <f>IF(INDEX(Transactions!$J:$J,ROW()-8)="",TODAY(),INDEX(Transactions!$G:$G,ROW()-8))</f>
      </c>
      <c r="F6840">
        <f>IF(INDEX(Transactions!$J:$J,ROW()-8)="",0,INDEX(Transactions!$O:$O,ROW()-8))</f>
      </c>
    </row>
    <row r="6841" spans="1:7">
      <c r="B6841">
        <f>IF(INDEX(Transactions!$J:$J,ROW()-8)="",TODAY(),INDEX(Transactions!$G:$G,ROW()-8))</f>
      </c>
      <c r="F6841">
        <f>IF(INDEX(Transactions!$J:$J,ROW()-8)="",0,INDEX(Transactions!$O:$O,ROW()-8))</f>
      </c>
    </row>
    <row r="6842" spans="1:7">
      <c r="B6842">
        <f>IF(INDEX(Transactions!$J:$J,ROW()-8)="",TODAY(),INDEX(Transactions!$G:$G,ROW()-8))</f>
      </c>
      <c r="F6842">
        <f>IF(INDEX(Transactions!$J:$J,ROW()-8)="",0,INDEX(Transactions!$O:$O,ROW()-8))</f>
      </c>
    </row>
    <row r="6843" spans="1:7">
      <c r="B6843">
        <f>IF(INDEX(Transactions!$J:$J,ROW()-8)="",TODAY(),INDEX(Transactions!$G:$G,ROW()-8))</f>
      </c>
      <c r="F6843">
        <f>IF(INDEX(Transactions!$J:$J,ROW()-8)="",0,INDEX(Transactions!$O:$O,ROW()-8))</f>
      </c>
    </row>
    <row r="6844" spans="1:7">
      <c r="B6844">
        <f>IF(INDEX(Transactions!$J:$J,ROW()-8)="",TODAY(),INDEX(Transactions!$G:$G,ROW()-8))</f>
      </c>
      <c r="F6844">
        <f>IF(INDEX(Transactions!$J:$J,ROW()-8)="",0,INDEX(Transactions!$O:$O,ROW()-8))</f>
      </c>
    </row>
    <row r="6845" spans="1:7">
      <c r="B6845">
        <f>IF(INDEX(Transactions!$J:$J,ROW()-8)="",TODAY(),INDEX(Transactions!$G:$G,ROW()-8))</f>
      </c>
      <c r="F6845">
        <f>IF(INDEX(Transactions!$J:$J,ROW()-8)="",0,INDEX(Transactions!$O:$O,ROW()-8))</f>
      </c>
    </row>
    <row r="6846" spans="1:7">
      <c r="B6846">
        <f>IF(INDEX(Transactions!$J:$J,ROW()-8)="",TODAY(),INDEX(Transactions!$G:$G,ROW()-8))</f>
      </c>
      <c r="F6846">
        <f>IF(INDEX(Transactions!$J:$J,ROW()-8)="",0,INDEX(Transactions!$O:$O,ROW()-8))</f>
      </c>
    </row>
    <row r="6847" spans="1:7">
      <c r="B6847">
        <f>IF(INDEX(Transactions!$J:$J,ROW()-8)="",TODAY(),INDEX(Transactions!$G:$G,ROW()-8))</f>
      </c>
      <c r="F6847">
        <f>IF(INDEX(Transactions!$J:$J,ROW()-8)="",0,INDEX(Transactions!$O:$O,ROW()-8))</f>
      </c>
    </row>
    <row r="6848" spans="1:7">
      <c r="B6848">
        <f>IF(INDEX(Transactions!$J:$J,ROW()-8)="",TODAY(),INDEX(Transactions!$G:$G,ROW()-8))</f>
      </c>
      <c r="F6848">
        <f>IF(INDEX(Transactions!$J:$J,ROW()-8)="",0,INDEX(Transactions!$O:$O,ROW()-8))</f>
      </c>
    </row>
    <row r="6849" spans="1:7">
      <c r="B6849">
        <f>IF(INDEX(Transactions!$J:$J,ROW()-8)="",TODAY(),INDEX(Transactions!$G:$G,ROW()-8))</f>
      </c>
      <c r="F6849">
        <f>IF(INDEX(Transactions!$J:$J,ROW()-8)="",0,INDEX(Transactions!$O:$O,ROW()-8))</f>
      </c>
    </row>
    <row r="6850" spans="1:7">
      <c r="B6850">
        <f>IF(INDEX(Transactions!$J:$J,ROW()-8)="",TODAY(),INDEX(Transactions!$G:$G,ROW()-8))</f>
      </c>
      <c r="F6850">
        <f>IF(INDEX(Transactions!$J:$J,ROW()-8)="",0,INDEX(Transactions!$O:$O,ROW()-8))</f>
      </c>
    </row>
    <row r="6851" spans="1:7">
      <c r="B6851">
        <f>IF(INDEX(Transactions!$J:$J,ROW()-8)="",TODAY(),INDEX(Transactions!$G:$G,ROW()-8))</f>
      </c>
      <c r="F6851">
        <f>IF(INDEX(Transactions!$J:$J,ROW()-8)="",0,INDEX(Transactions!$O:$O,ROW()-8))</f>
      </c>
    </row>
    <row r="6852" spans="1:7">
      <c r="B6852">
        <f>IF(INDEX(Transactions!$J:$J,ROW()-8)="",TODAY(),INDEX(Transactions!$G:$G,ROW()-8))</f>
      </c>
      <c r="F6852">
        <f>IF(INDEX(Transactions!$J:$J,ROW()-8)="",0,INDEX(Transactions!$O:$O,ROW()-8))</f>
      </c>
    </row>
    <row r="6853" spans="1:7">
      <c r="B6853">
        <f>IF(INDEX(Transactions!$J:$J,ROW()-8)="",TODAY(),INDEX(Transactions!$G:$G,ROW()-8))</f>
      </c>
      <c r="F6853">
        <f>IF(INDEX(Transactions!$J:$J,ROW()-8)="",0,INDEX(Transactions!$O:$O,ROW()-8))</f>
      </c>
    </row>
    <row r="6854" spans="1:7">
      <c r="B6854">
        <f>IF(INDEX(Transactions!$J:$J,ROW()-8)="",TODAY(),INDEX(Transactions!$G:$G,ROW()-8))</f>
      </c>
      <c r="F6854">
        <f>IF(INDEX(Transactions!$J:$J,ROW()-8)="",0,INDEX(Transactions!$O:$O,ROW()-8))</f>
      </c>
    </row>
    <row r="6855" spans="1:7">
      <c r="B6855">
        <f>IF(INDEX(Transactions!$J:$J,ROW()-8)="",TODAY(),INDEX(Transactions!$G:$G,ROW()-8))</f>
      </c>
      <c r="F6855">
        <f>IF(INDEX(Transactions!$J:$J,ROW()-8)="",0,INDEX(Transactions!$O:$O,ROW()-8))</f>
      </c>
    </row>
    <row r="6856" spans="1:7">
      <c r="B6856">
        <f>IF(INDEX(Transactions!$J:$J,ROW()-8)="",TODAY(),INDEX(Transactions!$G:$G,ROW()-8))</f>
      </c>
      <c r="F6856">
        <f>IF(INDEX(Transactions!$J:$J,ROW()-8)="",0,INDEX(Transactions!$O:$O,ROW()-8))</f>
      </c>
    </row>
    <row r="6857" spans="1:7">
      <c r="B6857">
        <f>IF(INDEX(Transactions!$J:$J,ROW()-8)="",TODAY(),INDEX(Transactions!$G:$G,ROW()-8))</f>
      </c>
      <c r="F6857">
        <f>IF(INDEX(Transactions!$J:$J,ROW()-8)="",0,INDEX(Transactions!$O:$O,ROW()-8))</f>
      </c>
    </row>
    <row r="6858" spans="1:7">
      <c r="B6858">
        <f>IF(INDEX(Transactions!$J:$J,ROW()-8)="",TODAY(),INDEX(Transactions!$G:$G,ROW()-8))</f>
      </c>
      <c r="F6858">
        <f>IF(INDEX(Transactions!$J:$J,ROW()-8)="",0,INDEX(Transactions!$O:$O,ROW()-8))</f>
      </c>
    </row>
    <row r="6859" spans="1:7">
      <c r="B6859">
        <f>IF(INDEX(Transactions!$J:$J,ROW()-8)="",TODAY(),INDEX(Transactions!$G:$G,ROW()-8))</f>
      </c>
      <c r="F6859">
        <f>IF(INDEX(Transactions!$J:$J,ROW()-8)="",0,INDEX(Transactions!$O:$O,ROW()-8))</f>
      </c>
    </row>
    <row r="6860" spans="1:7">
      <c r="B6860">
        <f>IF(INDEX(Transactions!$J:$J,ROW()-8)="",TODAY(),INDEX(Transactions!$G:$G,ROW()-8))</f>
      </c>
      <c r="F6860">
        <f>IF(INDEX(Transactions!$J:$J,ROW()-8)="",0,INDEX(Transactions!$O:$O,ROW()-8))</f>
      </c>
    </row>
    <row r="6861" spans="1:7">
      <c r="B6861">
        <f>IF(INDEX(Transactions!$J:$J,ROW()-8)="",TODAY(),INDEX(Transactions!$G:$G,ROW()-8))</f>
      </c>
      <c r="F6861">
        <f>IF(INDEX(Transactions!$J:$J,ROW()-8)="",0,INDEX(Transactions!$O:$O,ROW()-8))</f>
      </c>
    </row>
    <row r="6862" spans="1:7">
      <c r="B6862">
        <f>IF(INDEX(Transactions!$J:$J,ROW()-8)="",TODAY(),INDEX(Transactions!$G:$G,ROW()-8))</f>
      </c>
      <c r="F6862">
        <f>IF(INDEX(Transactions!$J:$J,ROW()-8)="",0,INDEX(Transactions!$O:$O,ROW()-8))</f>
      </c>
    </row>
    <row r="6863" spans="1:7">
      <c r="B6863">
        <f>IF(INDEX(Transactions!$J:$J,ROW()-8)="",TODAY(),INDEX(Transactions!$G:$G,ROW()-8))</f>
      </c>
      <c r="F6863">
        <f>IF(INDEX(Transactions!$J:$J,ROW()-8)="",0,INDEX(Transactions!$O:$O,ROW()-8))</f>
      </c>
    </row>
    <row r="6864" spans="1:7">
      <c r="B6864">
        <f>IF(INDEX(Transactions!$J:$J,ROW()-8)="",TODAY(),INDEX(Transactions!$G:$G,ROW()-8))</f>
      </c>
      <c r="F6864">
        <f>IF(INDEX(Transactions!$J:$J,ROW()-8)="",0,INDEX(Transactions!$O:$O,ROW()-8))</f>
      </c>
    </row>
    <row r="6865" spans="1:7">
      <c r="B6865">
        <f>IF(INDEX(Transactions!$J:$J,ROW()-8)="",TODAY(),INDEX(Transactions!$G:$G,ROW()-8))</f>
      </c>
      <c r="F6865">
        <f>IF(INDEX(Transactions!$J:$J,ROW()-8)="",0,INDEX(Transactions!$O:$O,ROW()-8))</f>
      </c>
    </row>
    <row r="6866" spans="1:7">
      <c r="B6866">
        <f>IF(INDEX(Transactions!$J:$J,ROW()-8)="",TODAY(),INDEX(Transactions!$G:$G,ROW()-8))</f>
      </c>
      <c r="F6866">
        <f>IF(INDEX(Transactions!$J:$J,ROW()-8)="",0,INDEX(Transactions!$O:$O,ROW()-8))</f>
      </c>
    </row>
    <row r="6867" spans="1:7">
      <c r="B6867">
        <f>IF(INDEX(Transactions!$J:$J,ROW()-8)="",TODAY(),INDEX(Transactions!$G:$G,ROW()-8))</f>
      </c>
      <c r="F6867">
        <f>IF(INDEX(Transactions!$J:$J,ROW()-8)="",0,INDEX(Transactions!$O:$O,ROW()-8))</f>
      </c>
    </row>
    <row r="6868" spans="1:7">
      <c r="B6868">
        <f>IF(INDEX(Transactions!$J:$J,ROW()-8)="",TODAY(),INDEX(Transactions!$G:$G,ROW()-8))</f>
      </c>
      <c r="F6868">
        <f>IF(INDEX(Transactions!$J:$J,ROW()-8)="",0,INDEX(Transactions!$O:$O,ROW()-8))</f>
      </c>
    </row>
    <row r="6869" spans="1:7">
      <c r="B6869">
        <f>IF(INDEX(Transactions!$J:$J,ROW()-8)="",TODAY(),INDEX(Transactions!$G:$G,ROW()-8))</f>
      </c>
      <c r="F6869">
        <f>IF(INDEX(Transactions!$J:$J,ROW()-8)="",0,INDEX(Transactions!$O:$O,ROW()-8))</f>
      </c>
    </row>
    <row r="6870" spans="1:7">
      <c r="B6870">
        <f>IF(INDEX(Transactions!$J:$J,ROW()-8)="",TODAY(),INDEX(Transactions!$G:$G,ROW()-8))</f>
      </c>
      <c r="F6870">
        <f>IF(INDEX(Transactions!$J:$J,ROW()-8)="",0,INDEX(Transactions!$O:$O,ROW()-8))</f>
      </c>
    </row>
    <row r="6871" spans="1:7">
      <c r="B6871">
        <f>IF(INDEX(Transactions!$J:$J,ROW()-8)="",TODAY(),INDEX(Transactions!$G:$G,ROW()-8))</f>
      </c>
      <c r="F6871">
        <f>IF(INDEX(Transactions!$J:$J,ROW()-8)="",0,INDEX(Transactions!$O:$O,ROW()-8))</f>
      </c>
    </row>
    <row r="6872" spans="1:7">
      <c r="B6872">
        <f>IF(INDEX(Transactions!$J:$J,ROW()-8)="",TODAY(),INDEX(Transactions!$G:$G,ROW()-8))</f>
      </c>
      <c r="F6872">
        <f>IF(INDEX(Transactions!$J:$J,ROW()-8)="",0,INDEX(Transactions!$O:$O,ROW()-8))</f>
      </c>
    </row>
    <row r="6873" spans="1:7">
      <c r="B6873">
        <f>IF(INDEX(Transactions!$J:$J,ROW()-8)="",TODAY(),INDEX(Transactions!$G:$G,ROW()-8))</f>
      </c>
      <c r="F6873">
        <f>IF(INDEX(Transactions!$J:$J,ROW()-8)="",0,INDEX(Transactions!$O:$O,ROW()-8))</f>
      </c>
    </row>
    <row r="6874" spans="1:7">
      <c r="B6874">
        <f>IF(INDEX(Transactions!$J:$J,ROW()-8)="",TODAY(),INDEX(Transactions!$G:$G,ROW()-8))</f>
      </c>
      <c r="F6874">
        <f>IF(INDEX(Transactions!$J:$J,ROW()-8)="",0,INDEX(Transactions!$O:$O,ROW()-8))</f>
      </c>
    </row>
    <row r="6875" spans="1:7">
      <c r="B6875">
        <f>IF(INDEX(Transactions!$J:$J,ROW()-8)="",TODAY(),INDEX(Transactions!$G:$G,ROW()-8))</f>
      </c>
      <c r="F6875">
        <f>IF(INDEX(Transactions!$J:$J,ROW()-8)="",0,INDEX(Transactions!$O:$O,ROW()-8))</f>
      </c>
    </row>
    <row r="6876" spans="1:7">
      <c r="B6876">
        <f>IF(INDEX(Transactions!$J:$J,ROW()-8)="",TODAY(),INDEX(Transactions!$G:$G,ROW()-8))</f>
      </c>
      <c r="F6876">
        <f>IF(INDEX(Transactions!$J:$J,ROW()-8)="",0,INDEX(Transactions!$O:$O,ROW()-8))</f>
      </c>
    </row>
    <row r="6877" spans="1:7">
      <c r="B6877">
        <f>IF(INDEX(Transactions!$J:$J,ROW()-8)="",TODAY(),INDEX(Transactions!$G:$G,ROW()-8))</f>
      </c>
      <c r="F6877">
        <f>IF(INDEX(Transactions!$J:$J,ROW()-8)="",0,INDEX(Transactions!$O:$O,ROW()-8))</f>
      </c>
    </row>
    <row r="6878" spans="1:7">
      <c r="B6878">
        <f>IF(INDEX(Transactions!$J:$J,ROW()-8)="",TODAY(),INDEX(Transactions!$G:$G,ROW()-8))</f>
      </c>
      <c r="F6878">
        <f>IF(INDEX(Transactions!$J:$J,ROW()-8)="",0,INDEX(Transactions!$O:$O,ROW()-8))</f>
      </c>
    </row>
    <row r="6879" spans="1:7">
      <c r="B6879">
        <f>IF(INDEX(Transactions!$J:$J,ROW()-8)="",TODAY(),INDEX(Transactions!$G:$G,ROW()-8))</f>
      </c>
      <c r="F6879">
        <f>IF(INDEX(Transactions!$J:$J,ROW()-8)="",0,INDEX(Transactions!$O:$O,ROW()-8))</f>
      </c>
    </row>
    <row r="6880" spans="1:7">
      <c r="B6880">
        <f>IF(INDEX(Transactions!$J:$J,ROW()-8)="",TODAY(),INDEX(Transactions!$G:$G,ROW()-8))</f>
      </c>
      <c r="F6880">
        <f>IF(INDEX(Transactions!$J:$J,ROW()-8)="",0,INDEX(Transactions!$O:$O,ROW()-8))</f>
      </c>
    </row>
    <row r="6881" spans="1:7">
      <c r="B6881">
        <f>IF(INDEX(Transactions!$J:$J,ROW()-8)="",TODAY(),INDEX(Transactions!$G:$G,ROW()-8))</f>
      </c>
      <c r="F6881">
        <f>IF(INDEX(Transactions!$J:$J,ROW()-8)="",0,INDEX(Transactions!$O:$O,ROW()-8))</f>
      </c>
    </row>
    <row r="6882" spans="1:7">
      <c r="B6882">
        <f>IF(INDEX(Transactions!$J:$J,ROW()-8)="",TODAY(),INDEX(Transactions!$G:$G,ROW()-8))</f>
      </c>
      <c r="F6882">
        <f>IF(INDEX(Transactions!$J:$J,ROW()-8)="",0,INDEX(Transactions!$O:$O,ROW()-8))</f>
      </c>
    </row>
    <row r="6883" spans="1:7">
      <c r="B6883">
        <f>IF(INDEX(Transactions!$J:$J,ROW()-8)="",TODAY(),INDEX(Transactions!$G:$G,ROW()-8))</f>
      </c>
      <c r="F6883">
        <f>IF(INDEX(Transactions!$J:$J,ROW()-8)="",0,INDEX(Transactions!$O:$O,ROW()-8))</f>
      </c>
    </row>
    <row r="6884" spans="1:7">
      <c r="B6884">
        <f>IF(INDEX(Transactions!$J:$J,ROW()-8)="",TODAY(),INDEX(Transactions!$G:$G,ROW()-8))</f>
      </c>
      <c r="F6884">
        <f>IF(INDEX(Transactions!$J:$J,ROW()-8)="",0,INDEX(Transactions!$O:$O,ROW()-8))</f>
      </c>
    </row>
    <row r="6885" spans="1:7">
      <c r="B6885">
        <f>IF(INDEX(Transactions!$J:$J,ROW()-8)="",TODAY(),INDEX(Transactions!$G:$G,ROW()-8))</f>
      </c>
      <c r="F6885">
        <f>IF(INDEX(Transactions!$J:$J,ROW()-8)="",0,INDEX(Transactions!$O:$O,ROW()-8))</f>
      </c>
    </row>
    <row r="6886" spans="1:7">
      <c r="B6886">
        <f>IF(INDEX(Transactions!$J:$J,ROW()-8)="",TODAY(),INDEX(Transactions!$G:$G,ROW()-8))</f>
      </c>
      <c r="F6886">
        <f>IF(INDEX(Transactions!$J:$J,ROW()-8)="",0,INDEX(Transactions!$O:$O,ROW()-8))</f>
      </c>
    </row>
    <row r="6887" spans="1:7">
      <c r="B6887">
        <f>IF(INDEX(Transactions!$J:$J,ROW()-8)="",TODAY(),INDEX(Transactions!$G:$G,ROW()-8))</f>
      </c>
      <c r="F6887">
        <f>IF(INDEX(Transactions!$J:$J,ROW()-8)="",0,INDEX(Transactions!$O:$O,ROW()-8))</f>
      </c>
    </row>
    <row r="6888" spans="1:7">
      <c r="B6888">
        <f>IF(INDEX(Transactions!$J:$J,ROW()-8)="",TODAY(),INDEX(Transactions!$G:$G,ROW()-8))</f>
      </c>
      <c r="F6888">
        <f>IF(INDEX(Transactions!$J:$J,ROW()-8)="",0,INDEX(Transactions!$O:$O,ROW()-8))</f>
      </c>
    </row>
    <row r="6889" spans="1:7">
      <c r="B6889">
        <f>IF(INDEX(Transactions!$J:$J,ROW()-8)="",TODAY(),INDEX(Transactions!$G:$G,ROW()-8))</f>
      </c>
      <c r="F6889">
        <f>IF(INDEX(Transactions!$J:$J,ROW()-8)="",0,INDEX(Transactions!$O:$O,ROW()-8))</f>
      </c>
    </row>
    <row r="6890" spans="1:7">
      <c r="B6890">
        <f>IF(INDEX(Transactions!$J:$J,ROW()-8)="",TODAY(),INDEX(Transactions!$G:$G,ROW()-8))</f>
      </c>
      <c r="F6890">
        <f>IF(INDEX(Transactions!$J:$J,ROW()-8)="",0,INDEX(Transactions!$O:$O,ROW()-8))</f>
      </c>
    </row>
    <row r="6891" spans="1:7">
      <c r="B6891">
        <f>IF(INDEX(Transactions!$J:$J,ROW()-8)="",TODAY(),INDEX(Transactions!$G:$G,ROW()-8))</f>
      </c>
      <c r="F6891">
        <f>IF(INDEX(Transactions!$J:$J,ROW()-8)="",0,INDEX(Transactions!$O:$O,ROW()-8))</f>
      </c>
    </row>
    <row r="6892" spans="1:7">
      <c r="B6892">
        <f>IF(INDEX(Transactions!$J:$J,ROW()-8)="",TODAY(),INDEX(Transactions!$G:$G,ROW()-8))</f>
      </c>
      <c r="F6892">
        <f>IF(INDEX(Transactions!$J:$J,ROW()-8)="",0,INDEX(Transactions!$O:$O,ROW()-8))</f>
      </c>
    </row>
    <row r="6893" spans="1:7">
      <c r="B6893">
        <f>IF(INDEX(Transactions!$J:$J,ROW()-8)="",TODAY(),INDEX(Transactions!$G:$G,ROW()-8))</f>
      </c>
      <c r="F6893">
        <f>IF(INDEX(Transactions!$J:$J,ROW()-8)="",0,INDEX(Transactions!$O:$O,ROW()-8))</f>
      </c>
    </row>
    <row r="6894" spans="1:7">
      <c r="B6894">
        <f>IF(INDEX(Transactions!$J:$J,ROW()-8)="",TODAY(),INDEX(Transactions!$G:$G,ROW()-8))</f>
      </c>
      <c r="F6894">
        <f>IF(INDEX(Transactions!$J:$J,ROW()-8)="",0,INDEX(Transactions!$O:$O,ROW()-8))</f>
      </c>
    </row>
    <row r="6895" spans="1:7">
      <c r="B6895">
        <f>IF(INDEX(Transactions!$J:$J,ROW()-8)="",TODAY(),INDEX(Transactions!$G:$G,ROW()-8))</f>
      </c>
      <c r="F6895">
        <f>IF(INDEX(Transactions!$J:$J,ROW()-8)="",0,INDEX(Transactions!$O:$O,ROW()-8))</f>
      </c>
    </row>
    <row r="6896" spans="1:7">
      <c r="B6896">
        <f>IF(INDEX(Transactions!$J:$J,ROW()-8)="",TODAY(),INDEX(Transactions!$G:$G,ROW()-8))</f>
      </c>
      <c r="F6896">
        <f>IF(INDEX(Transactions!$J:$J,ROW()-8)="",0,INDEX(Transactions!$O:$O,ROW()-8))</f>
      </c>
    </row>
    <row r="6897" spans="1:7">
      <c r="B6897">
        <f>IF(INDEX(Transactions!$J:$J,ROW()-8)="",TODAY(),INDEX(Transactions!$G:$G,ROW()-8))</f>
      </c>
      <c r="F6897">
        <f>IF(INDEX(Transactions!$J:$J,ROW()-8)="",0,INDEX(Transactions!$O:$O,ROW()-8))</f>
      </c>
    </row>
    <row r="6898" spans="1:7">
      <c r="B6898">
        <f>IF(INDEX(Transactions!$J:$J,ROW()-8)="",TODAY(),INDEX(Transactions!$G:$G,ROW()-8))</f>
      </c>
      <c r="F6898">
        <f>IF(INDEX(Transactions!$J:$J,ROW()-8)="",0,INDEX(Transactions!$O:$O,ROW()-8))</f>
      </c>
    </row>
    <row r="6899" spans="1:7">
      <c r="B6899">
        <f>IF(INDEX(Transactions!$J:$J,ROW()-8)="",TODAY(),INDEX(Transactions!$G:$G,ROW()-8))</f>
      </c>
      <c r="F6899">
        <f>IF(INDEX(Transactions!$J:$J,ROW()-8)="",0,INDEX(Transactions!$O:$O,ROW()-8))</f>
      </c>
    </row>
    <row r="6900" spans="1:7">
      <c r="B6900">
        <f>IF(INDEX(Transactions!$J:$J,ROW()-8)="",TODAY(),INDEX(Transactions!$G:$G,ROW()-8))</f>
      </c>
      <c r="F6900">
        <f>IF(INDEX(Transactions!$J:$J,ROW()-8)="",0,INDEX(Transactions!$O:$O,ROW()-8))</f>
      </c>
    </row>
    <row r="6901" spans="1:7">
      <c r="B6901">
        <f>IF(INDEX(Transactions!$J:$J,ROW()-8)="",TODAY(),INDEX(Transactions!$G:$G,ROW()-8))</f>
      </c>
      <c r="F6901">
        <f>IF(INDEX(Transactions!$J:$J,ROW()-8)="",0,INDEX(Transactions!$O:$O,ROW()-8))</f>
      </c>
    </row>
    <row r="6902" spans="1:7">
      <c r="B6902">
        <f>IF(INDEX(Transactions!$J:$J,ROW()-8)="",TODAY(),INDEX(Transactions!$G:$G,ROW()-8))</f>
      </c>
      <c r="F6902">
        <f>IF(INDEX(Transactions!$J:$J,ROW()-8)="",0,INDEX(Transactions!$O:$O,ROW()-8))</f>
      </c>
    </row>
    <row r="6903" spans="1:7">
      <c r="B6903">
        <f>IF(INDEX(Transactions!$J:$J,ROW()-8)="",TODAY(),INDEX(Transactions!$G:$G,ROW()-8))</f>
      </c>
      <c r="F6903">
        <f>IF(INDEX(Transactions!$J:$J,ROW()-8)="",0,INDEX(Transactions!$O:$O,ROW()-8))</f>
      </c>
    </row>
    <row r="6904" spans="1:7">
      <c r="B6904">
        <f>IF(INDEX(Transactions!$J:$J,ROW()-8)="",TODAY(),INDEX(Transactions!$G:$G,ROW()-8))</f>
      </c>
      <c r="F6904">
        <f>IF(INDEX(Transactions!$J:$J,ROW()-8)="",0,INDEX(Transactions!$O:$O,ROW()-8))</f>
      </c>
    </row>
    <row r="6905" spans="1:7">
      <c r="B6905">
        <f>IF(INDEX(Transactions!$J:$J,ROW()-8)="",TODAY(),INDEX(Transactions!$G:$G,ROW()-8))</f>
      </c>
      <c r="F6905">
        <f>IF(INDEX(Transactions!$J:$J,ROW()-8)="",0,INDEX(Transactions!$O:$O,ROW()-8))</f>
      </c>
    </row>
    <row r="6906" spans="1:7">
      <c r="B6906">
        <f>IF(INDEX(Transactions!$J:$J,ROW()-8)="",TODAY(),INDEX(Transactions!$G:$G,ROW()-8))</f>
      </c>
      <c r="F6906">
        <f>IF(INDEX(Transactions!$J:$J,ROW()-8)="",0,INDEX(Transactions!$O:$O,ROW()-8))</f>
      </c>
    </row>
    <row r="6907" spans="1:7">
      <c r="B6907">
        <f>IF(INDEX(Transactions!$J:$J,ROW()-8)="",TODAY(),INDEX(Transactions!$G:$G,ROW()-8))</f>
      </c>
      <c r="F6907">
        <f>IF(INDEX(Transactions!$J:$J,ROW()-8)="",0,INDEX(Transactions!$O:$O,ROW()-8))</f>
      </c>
    </row>
    <row r="6908" spans="1:7">
      <c r="B6908">
        <f>IF(INDEX(Transactions!$J:$J,ROW()-8)="",TODAY(),INDEX(Transactions!$G:$G,ROW()-8))</f>
      </c>
      <c r="F6908">
        <f>IF(INDEX(Transactions!$J:$J,ROW()-8)="",0,INDEX(Transactions!$O:$O,ROW()-8))</f>
      </c>
    </row>
    <row r="6909" spans="1:7">
      <c r="B6909">
        <f>IF(INDEX(Transactions!$J:$J,ROW()-8)="",TODAY(),INDEX(Transactions!$G:$G,ROW()-8))</f>
      </c>
      <c r="F6909">
        <f>IF(INDEX(Transactions!$J:$J,ROW()-8)="",0,INDEX(Transactions!$O:$O,ROW()-8))</f>
      </c>
    </row>
    <row r="6910" spans="1:7">
      <c r="B6910">
        <f>IF(INDEX(Transactions!$J:$J,ROW()-8)="",TODAY(),INDEX(Transactions!$G:$G,ROW()-8))</f>
      </c>
      <c r="F6910">
        <f>IF(INDEX(Transactions!$J:$J,ROW()-8)="",0,INDEX(Transactions!$O:$O,ROW()-8))</f>
      </c>
    </row>
    <row r="6911" spans="1:7">
      <c r="B6911">
        <f>IF(INDEX(Transactions!$J:$J,ROW()-8)="",TODAY(),INDEX(Transactions!$G:$G,ROW()-8))</f>
      </c>
      <c r="F6911">
        <f>IF(INDEX(Transactions!$J:$J,ROW()-8)="",0,INDEX(Transactions!$O:$O,ROW()-8))</f>
      </c>
    </row>
    <row r="6912" spans="1:7">
      <c r="B6912">
        <f>IF(INDEX(Transactions!$J:$J,ROW()-8)="",TODAY(),INDEX(Transactions!$G:$G,ROW()-8))</f>
      </c>
      <c r="F6912">
        <f>IF(INDEX(Transactions!$J:$J,ROW()-8)="",0,INDEX(Transactions!$O:$O,ROW()-8))</f>
      </c>
    </row>
    <row r="6913" spans="1:7">
      <c r="B6913">
        <f>IF(INDEX(Transactions!$J:$J,ROW()-8)="",TODAY(),INDEX(Transactions!$G:$G,ROW()-8))</f>
      </c>
      <c r="F6913">
        <f>IF(INDEX(Transactions!$J:$J,ROW()-8)="",0,INDEX(Transactions!$O:$O,ROW()-8))</f>
      </c>
    </row>
    <row r="6914" spans="1:7">
      <c r="B6914">
        <f>IF(INDEX(Transactions!$J:$J,ROW()-8)="",TODAY(),INDEX(Transactions!$G:$G,ROW()-8))</f>
      </c>
      <c r="F6914">
        <f>IF(INDEX(Transactions!$J:$J,ROW()-8)="",0,INDEX(Transactions!$O:$O,ROW()-8))</f>
      </c>
    </row>
    <row r="6915" spans="1:7">
      <c r="B6915">
        <f>IF(INDEX(Transactions!$J:$J,ROW()-8)="",TODAY(),INDEX(Transactions!$G:$G,ROW()-8))</f>
      </c>
      <c r="F6915">
        <f>IF(INDEX(Transactions!$J:$J,ROW()-8)="",0,INDEX(Transactions!$O:$O,ROW()-8))</f>
      </c>
    </row>
    <row r="6916" spans="1:7">
      <c r="B6916">
        <f>IF(INDEX(Transactions!$J:$J,ROW()-8)="",TODAY(),INDEX(Transactions!$G:$G,ROW()-8))</f>
      </c>
      <c r="F6916">
        <f>IF(INDEX(Transactions!$J:$J,ROW()-8)="",0,INDEX(Transactions!$O:$O,ROW()-8))</f>
      </c>
    </row>
    <row r="6917" spans="1:7">
      <c r="B6917">
        <f>IF(INDEX(Transactions!$J:$J,ROW()-8)="",TODAY(),INDEX(Transactions!$G:$G,ROW()-8))</f>
      </c>
      <c r="F6917">
        <f>IF(INDEX(Transactions!$J:$J,ROW()-8)="",0,INDEX(Transactions!$O:$O,ROW()-8))</f>
      </c>
    </row>
    <row r="6918" spans="1:7">
      <c r="B6918">
        <f>IF(INDEX(Transactions!$J:$J,ROW()-8)="",TODAY(),INDEX(Transactions!$G:$G,ROW()-8))</f>
      </c>
      <c r="F6918">
        <f>IF(INDEX(Transactions!$J:$J,ROW()-8)="",0,INDEX(Transactions!$O:$O,ROW()-8))</f>
      </c>
    </row>
    <row r="6919" spans="1:7">
      <c r="B6919">
        <f>IF(INDEX(Transactions!$J:$J,ROW()-8)="",TODAY(),INDEX(Transactions!$G:$G,ROW()-8))</f>
      </c>
      <c r="F6919">
        <f>IF(INDEX(Transactions!$J:$J,ROW()-8)="",0,INDEX(Transactions!$O:$O,ROW()-8))</f>
      </c>
    </row>
    <row r="6920" spans="1:7">
      <c r="B6920">
        <f>IF(INDEX(Transactions!$J:$J,ROW()-8)="",TODAY(),INDEX(Transactions!$G:$G,ROW()-8))</f>
      </c>
      <c r="F6920">
        <f>IF(INDEX(Transactions!$J:$J,ROW()-8)="",0,INDEX(Transactions!$O:$O,ROW()-8))</f>
      </c>
    </row>
    <row r="6921" spans="1:7">
      <c r="B6921">
        <f>IF(INDEX(Transactions!$J:$J,ROW()-8)="",TODAY(),INDEX(Transactions!$G:$G,ROW()-8))</f>
      </c>
      <c r="F6921">
        <f>IF(INDEX(Transactions!$J:$J,ROW()-8)="",0,INDEX(Transactions!$O:$O,ROW()-8))</f>
      </c>
    </row>
    <row r="6922" spans="1:7">
      <c r="B6922">
        <f>IF(INDEX(Transactions!$J:$J,ROW()-8)="",TODAY(),INDEX(Transactions!$G:$G,ROW()-8))</f>
      </c>
      <c r="F6922">
        <f>IF(INDEX(Transactions!$J:$J,ROW()-8)="",0,INDEX(Transactions!$O:$O,ROW()-8))</f>
      </c>
    </row>
    <row r="6923" spans="1:7">
      <c r="B6923">
        <f>IF(INDEX(Transactions!$J:$J,ROW()-8)="",TODAY(),INDEX(Transactions!$G:$G,ROW()-8))</f>
      </c>
      <c r="F6923">
        <f>IF(INDEX(Transactions!$J:$J,ROW()-8)="",0,INDEX(Transactions!$O:$O,ROW()-8))</f>
      </c>
    </row>
    <row r="6924" spans="1:7">
      <c r="B6924">
        <f>IF(INDEX(Transactions!$J:$J,ROW()-8)="",TODAY(),INDEX(Transactions!$G:$G,ROW()-8))</f>
      </c>
      <c r="F6924">
        <f>IF(INDEX(Transactions!$J:$J,ROW()-8)="",0,INDEX(Transactions!$O:$O,ROW()-8))</f>
      </c>
    </row>
    <row r="6925" spans="1:7">
      <c r="B6925">
        <f>IF(INDEX(Transactions!$J:$J,ROW()-8)="",TODAY(),INDEX(Transactions!$G:$G,ROW()-8))</f>
      </c>
      <c r="F6925">
        <f>IF(INDEX(Transactions!$J:$J,ROW()-8)="",0,INDEX(Transactions!$O:$O,ROW()-8))</f>
      </c>
    </row>
    <row r="6926" spans="1:7">
      <c r="B6926">
        <f>IF(INDEX(Transactions!$J:$J,ROW()-8)="",TODAY(),INDEX(Transactions!$G:$G,ROW()-8))</f>
      </c>
      <c r="F6926">
        <f>IF(INDEX(Transactions!$J:$J,ROW()-8)="",0,INDEX(Transactions!$O:$O,ROW()-8))</f>
      </c>
    </row>
    <row r="6927" spans="1:7">
      <c r="B6927">
        <f>IF(INDEX(Transactions!$J:$J,ROW()-8)="",TODAY(),INDEX(Transactions!$G:$G,ROW()-8))</f>
      </c>
      <c r="F6927">
        <f>IF(INDEX(Transactions!$J:$J,ROW()-8)="",0,INDEX(Transactions!$O:$O,ROW()-8))</f>
      </c>
    </row>
    <row r="6928" spans="1:7">
      <c r="B6928">
        <f>IF(INDEX(Transactions!$J:$J,ROW()-8)="",TODAY(),INDEX(Transactions!$G:$G,ROW()-8))</f>
      </c>
      <c r="F6928">
        <f>IF(INDEX(Transactions!$J:$J,ROW()-8)="",0,INDEX(Transactions!$O:$O,ROW()-8))</f>
      </c>
    </row>
    <row r="6929" spans="1:7">
      <c r="B6929">
        <f>IF(INDEX(Transactions!$J:$J,ROW()-8)="",TODAY(),INDEX(Transactions!$G:$G,ROW()-8))</f>
      </c>
      <c r="F6929">
        <f>IF(INDEX(Transactions!$J:$J,ROW()-8)="",0,INDEX(Transactions!$O:$O,ROW()-8))</f>
      </c>
    </row>
    <row r="6930" spans="1:7">
      <c r="B6930">
        <f>IF(INDEX(Transactions!$J:$J,ROW()-8)="",TODAY(),INDEX(Transactions!$G:$G,ROW()-8))</f>
      </c>
      <c r="F6930">
        <f>IF(INDEX(Transactions!$J:$J,ROW()-8)="",0,INDEX(Transactions!$O:$O,ROW()-8))</f>
      </c>
    </row>
    <row r="6931" spans="1:7">
      <c r="B6931">
        <f>IF(INDEX(Transactions!$J:$J,ROW()-8)="",TODAY(),INDEX(Transactions!$G:$G,ROW()-8))</f>
      </c>
      <c r="F6931">
        <f>IF(INDEX(Transactions!$J:$J,ROW()-8)="",0,INDEX(Transactions!$O:$O,ROW()-8))</f>
      </c>
    </row>
    <row r="6932" spans="1:7">
      <c r="B6932">
        <f>IF(INDEX(Transactions!$J:$J,ROW()-8)="",TODAY(),INDEX(Transactions!$G:$G,ROW()-8))</f>
      </c>
      <c r="F6932">
        <f>IF(INDEX(Transactions!$J:$J,ROW()-8)="",0,INDEX(Transactions!$O:$O,ROW()-8))</f>
      </c>
    </row>
    <row r="6933" spans="1:7">
      <c r="B6933">
        <f>IF(INDEX(Transactions!$J:$J,ROW()-8)="",TODAY(),INDEX(Transactions!$G:$G,ROW()-8))</f>
      </c>
      <c r="F6933">
        <f>IF(INDEX(Transactions!$J:$J,ROW()-8)="",0,INDEX(Transactions!$O:$O,ROW()-8))</f>
      </c>
    </row>
    <row r="6934" spans="1:7">
      <c r="B6934">
        <f>IF(INDEX(Transactions!$J:$J,ROW()-8)="",TODAY(),INDEX(Transactions!$G:$G,ROW()-8))</f>
      </c>
      <c r="F6934">
        <f>IF(INDEX(Transactions!$J:$J,ROW()-8)="",0,INDEX(Transactions!$O:$O,ROW()-8))</f>
      </c>
    </row>
    <row r="6935" spans="1:7">
      <c r="B6935">
        <f>IF(INDEX(Transactions!$J:$J,ROW()-8)="",TODAY(),INDEX(Transactions!$G:$G,ROW()-8))</f>
      </c>
      <c r="F6935">
        <f>IF(INDEX(Transactions!$J:$J,ROW()-8)="",0,INDEX(Transactions!$O:$O,ROW()-8))</f>
      </c>
    </row>
    <row r="6936" spans="1:7">
      <c r="B6936">
        <f>IF(INDEX(Transactions!$J:$J,ROW()-8)="",TODAY(),INDEX(Transactions!$G:$G,ROW()-8))</f>
      </c>
      <c r="F6936">
        <f>IF(INDEX(Transactions!$J:$J,ROW()-8)="",0,INDEX(Transactions!$O:$O,ROW()-8))</f>
      </c>
    </row>
    <row r="6937" spans="1:7">
      <c r="B6937">
        <f>IF(INDEX(Transactions!$J:$J,ROW()-8)="",TODAY(),INDEX(Transactions!$G:$G,ROW()-8))</f>
      </c>
      <c r="F6937">
        <f>IF(INDEX(Transactions!$J:$J,ROW()-8)="",0,INDEX(Transactions!$O:$O,ROW()-8))</f>
      </c>
    </row>
    <row r="6938" spans="1:7">
      <c r="B6938">
        <f>IF(INDEX(Transactions!$J:$J,ROW()-8)="",TODAY(),INDEX(Transactions!$G:$G,ROW()-8))</f>
      </c>
      <c r="F6938">
        <f>IF(INDEX(Transactions!$J:$J,ROW()-8)="",0,INDEX(Transactions!$O:$O,ROW()-8))</f>
      </c>
    </row>
    <row r="6939" spans="1:7">
      <c r="B6939">
        <f>IF(INDEX(Transactions!$J:$J,ROW()-8)="",TODAY(),INDEX(Transactions!$G:$G,ROW()-8))</f>
      </c>
      <c r="F6939">
        <f>IF(INDEX(Transactions!$J:$J,ROW()-8)="",0,INDEX(Transactions!$O:$O,ROW()-8))</f>
      </c>
    </row>
    <row r="6940" spans="1:7">
      <c r="B6940">
        <f>IF(INDEX(Transactions!$J:$J,ROW()-8)="",TODAY(),INDEX(Transactions!$G:$G,ROW()-8))</f>
      </c>
      <c r="F6940">
        <f>IF(INDEX(Transactions!$J:$J,ROW()-8)="",0,INDEX(Transactions!$O:$O,ROW()-8))</f>
      </c>
    </row>
    <row r="6941" spans="1:7">
      <c r="B6941">
        <f>IF(INDEX(Transactions!$J:$J,ROW()-8)="",TODAY(),INDEX(Transactions!$G:$G,ROW()-8))</f>
      </c>
      <c r="F6941">
        <f>IF(INDEX(Transactions!$J:$J,ROW()-8)="",0,INDEX(Transactions!$O:$O,ROW()-8))</f>
      </c>
    </row>
    <row r="6942" spans="1:7">
      <c r="B6942">
        <f>IF(INDEX(Transactions!$J:$J,ROW()-8)="",TODAY(),INDEX(Transactions!$G:$G,ROW()-8))</f>
      </c>
      <c r="F6942">
        <f>IF(INDEX(Transactions!$J:$J,ROW()-8)="",0,INDEX(Transactions!$O:$O,ROW()-8))</f>
      </c>
    </row>
    <row r="6943" spans="1:7">
      <c r="B6943">
        <f>IF(INDEX(Transactions!$J:$J,ROW()-8)="",TODAY(),INDEX(Transactions!$G:$G,ROW()-8))</f>
      </c>
      <c r="F6943">
        <f>IF(INDEX(Transactions!$J:$J,ROW()-8)="",0,INDEX(Transactions!$O:$O,ROW()-8))</f>
      </c>
    </row>
    <row r="6944" spans="1:7">
      <c r="B6944">
        <f>IF(INDEX(Transactions!$J:$J,ROW()-8)="",TODAY(),INDEX(Transactions!$G:$G,ROW()-8))</f>
      </c>
      <c r="F6944">
        <f>IF(INDEX(Transactions!$J:$J,ROW()-8)="",0,INDEX(Transactions!$O:$O,ROW()-8))</f>
      </c>
    </row>
    <row r="6945" spans="1:7">
      <c r="B6945">
        <f>IF(INDEX(Transactions!$J:$J,ROW()-8)="",TODAY(),INDEX(Transactions!$G:$G,ROW()-8))</f>
      </c>
      <c r="F6945">
        <f>IF(INDEX(Transactions!$J:$J,ROW()-8)="",0,INDEX(Transactions!$O:$O,ROW()-8))</f>
      </c>
    </row>
    <row r="6946" spans="1:7">
      <c r="B6946">
        <f>IF(INDEX(Transactions!$J:$J,ROW()-8)="",TODAY(),INDEX(Transactions!$G:$G,ROW()-8))</f>
      </c>
      <c r="F6946">
        <f>IF(INDEX(Transactions!$J:$J,ROW()-8)="",0,INDEX(Transactions!$O:$O,ROW()-8))</f>
      </c>
    </row>
    <row r="6947" spans="1:7">
      <c r="B6947">
        <f>IF(INDEX(Transactions!$J:$J,ROW()-8)="",TODAY(),INDEX(Transactions!$G:$G,ROW()-8))</f>
      </c>
      <c r="F6947">
        <f>IF(INDEX(Transactions!$J:$J,ROW()-8)="",0,INDEX(Transactions!$O:$O,ROW()-8))</f>
      </c>
    </row>
    <row r="6948" spans="1:7">
      <c r="B6948">
        <f>IF(INDEX(Transactions!$J:$J,ROW()-8)="",TODAY(),INDEX(Transactions!$G:$G,ROW()-8))</f>
      </c>
      <c r="F6948">
        <f>IF(INDEX(Transactions!$J:$J,ROW()-8)="",0,INDEX(Transactions!$O:$O,ROW()-8))</f>
      </c>
    </row>
    <row r="6949" spans="1:7">
      <c r="B6949">
        <f>IF(INDEX(Transactions!$J:$J,ROW()-8)="",TODAY(),INDEX(Transactions!$G:$G,ROW()-8))</f>
      </c>
      <c r="F6949">
        <f>IF(INDEX(Transactions!$J:$J,ROW()-8)="",0,INDEX(Transactions!$O:$O,ROW()-8))</f>
      </c>
    </row>
    <row r="6950" spans="1:7">
      <c r="B6950">
        <f>IF(INDEX(Transactions!$J:$J,ROW()-8)="",TODAY(),INDEX(Transactions!$G:$G,ROW()-8))</f>
      </c>
      <c r="F6950">
        <f>IF(INDEX(Transactions!$J:$J,ROW()-8)="",0,INDEX(Transactions!$O:$O,ROW()-8))</f>
      </c>
    </row>
    <row r="6951" spans="1:7">
      <c r="B6951">
        <f>IF(INDEX(Transactions!$J:$J,ROW()-8)="",TODAY(),INDEX(Transactions!$G:$G,ROW()-8))</f>
      </c>
      <c r="F6951">
        <f>IF(INDEX(Transactions!$J:$J,ROW()-8)="",0,INDEX(Transactions!$O:$O,ROW()-8))</f>
      </c>
    </row>
    <row r="6952" spans="1:7">
      <c r="B6952">
        <f>IF(INDEX(Transactions!$J:$J,ROW()-8)="",TODAY(),INDEX(Transactions!$G:$G,ROW()-8))</f>
      </c>
      <c r="F6952">
        <f>IF(INDEX(Transactions!$J:$J,ROW()-8)="",0,INDEX(Transactions!$O:$O,ROW()-8))</f>
      </c>
    </row>
    <row r="6953" spans="1:7">
      <c r="B6953">
        <f>IF(INDEX(Transactions!$J:$J,ROW()-8)="",TODAY(),INDEX(Transactions!$G:$G,ROW()-8))</f>
      </c>
      <c r="F6953">
        <f>IF(INDEX(Transactions!$J:$J,ROW()-8)="",0,INDEX(Transactions!$O:$O,ROW()-8))</f>
      </c>
    </row>
    <row r="6954" spans="1:7">
      <c r="B6954">
        <f>IF(INDEX(Transactions!$J:$J,ROW()-8)="",TODAY(),INDEX(Transactions!$G:$G,ROW()-8))</f>
      </c>
      <c r="F6954">
        <f>IF(INDEX(Transactions!$J:$J,ROW()-8)="",0,INDEX(Transactions!$O:$O,ROW()-8))</f>
      </c>
    </row>
    <row r="6955" spans="1:7">
      <c r="B6955">
        <f>IF(INDEX(Transactions!$J:$J,ROW()-8)="",TODAY(),INDEX(Transactions!$G:$G,ROW()-8))</f>
      </c>
      <c r="F6955">
        <f>IF(INDEX(Transactions!$J:$J,ROW()-8)="",0,INDEX(Transactions!$O:$O,ROW()-8))</f>
      </c>
    </row>
    <row r="6956" spans="1:7">
      <c r="B6956">
        <f>IF(INDEX(Transactions!$J:$J,ROW()-8)="",TODAY(),INDEX(Transactions!$G:$G,ROW()-8))</f>
      </c>
      <c r="F6956">
        <f>IF(INDEX(Transactions!$J:$J,ROW()-8)="",0,INDEX(Transactions!$O:$O,ROW()-8))</f>
      </c>
    </row>
    <row r="6957" spans="1:7">
      <c r="B6957">
        <f>IF(INDEX(Transactions!$J:$J,ROW()-8)="",TODAY(),INDEX(Transactions!$G:$G,ROW()-8))</f>
      </c>
      <c r="F6957">
        <f>IF(INDEX(Transactions!$J:$J,ROW()-8)="",0,INDEX(Transactions!$O:$O,ROW()-8))</f>
      </c>
    </row>
    <row r="6958" spans="1:7">
      <c r="B6958">
        <f>IF(INDEX(Transactions!$J:$J,ROW()-8)="",TODAY(),INDEX(Transactions!$G:$G,ROW()-8))</f>
      </c>
      <c r="F6958">
        <f>IF(INDEX(Transactions!$J:$J,ROW()-8)="",0,INDEX(Transactions!$O:$O,ROW()-8))</f>
      </c>
    </row>
    <row r="6959" spans="1:7">
      <c r="B6959">
        <f>IF(INDEX(Transactions!$J:$J,ROW()-8)="",TODAY(),INDEX(Transactions!$G:$G,ROW()-8))</f>
      </c>
      <c r="F6959">
        <f>IF(INDEX(Transactions!$J:$J,ROW()-8)="",0,INDEX(Transactions!$O:$O,ROW()-8))</f>
      </c>
    </row>
    <row r="6960" spans="1:7">
      <c r="B6960">
        <f>IF(INDEX(Transactions!$J:$J,ROW()-8)="",TODAY(),INDEX(Transactions!$G:$G,ROW()-8))</f>
      </c>
      <c r="F6960">
        <f>IF(INDEX(Transactions!$J:$J,ROW()-8)="",0,INDEX(Transactions!$O:$O,ROW()-8))</f>
      </c>
    </row>
    <row r="6961" spans="1:7">
      <c r="B6961">
        <f>IF(INDEX(Transactions!$J:$J,ROW()-8)="",TODAY(),INDEX(Transactions!$G:$G,ROW()-8))</f>
      </c>
      <c r="F6961">
        <f>IF(INDEX(Transactions!$J:$J,ROW()-8)="",0,INDEX(Transactions!$O:$O,ROW()-8))</f>
      </c>
    </row>
    <row r="6962" spans="1:7">
      <c r="B6962">
        <f>IF(INDEX(Transactions!$J:$J,ROW()-8)="",TODAY(),INDEX(Transactions!$G:$G,ROW()-8))</f>
      </c>
      <c r="F6962">
        <f>IF(INDEX(Transactions!$J:$J,ROW()-8)="",0,INDEX(Transactions!$O:$O,ROW()-8))</f>
      </c>
    </row>
    <row r="6963" spans="1:7">
      <c r="B6963">
        <f>IF(INDEX(Transactions!$J:$J,ROW()-8)="",TODAY(),INDEX(Transactions!$G:$G,ROW()-8))</f>
      </c>
      <c r="F6963">
        <f>IF(INDEX(Transactions!$J:$J,ROW()-8)="",0,INDEX(Transactions!$O:$O,ROW()-8))</f>
      </c>
    </row>
    <row r="6964" spans="1:7">
      <c r="B6964">
        <f>IF(INDEX(Transactions!$J:$J,ROW()-8)="",TODAY(),INDEX(Transactions!$G:$G,ROW()-8))</f>
      </c>
      <c r="F6964">
        <f>IF(INDEX(Transactions!$J:$J,ROW()-8)="",0,INDEX(Transactions!$O:$O,ROW()-8))</f>
      </c>
    </row>
    <row r="6965" spans="1:7">
      <c r="B6965">
        <f>IF(INDEX(Transactions!$J:$J,ROW()-8)="",TODAY(),INDEX(Transactions!$G:$G,ROW()-8))</f>
      </c>
      <c r="F6965">
        <f>IF(INDEX(Transactions!$J:$J,ROW()-8)="",0,INDEX(Transactions!$O:$O,ROW()-8))</f>
      </c>
    </row>
    <row r="6966" spans="1:7">
      <c r="B6966">
        <f>IF(INDEX(Transactions!$J:$J,ROW()-8)="",TODAY(),INDEX(Transactions!$G:$G,ROW()-8))</f>
      </c>
      <c r="F6966">
        <f>IF(INDEX(Transactions!$J:$J,ROW()-8)="",0,INDEX(Transactions!$O:$O,ROW()-8))</f>
      </c>
    </row>
    <row r="6967" spans="1:7">
      <c r="B6967">
        <f>IF(INDEX(Transactions!$J:$J,ROW()-8)="",TODAY(),INDEX(Transactions!$G:$G,ROW()-8))</f>
      </c>
      <c r="F6967">
        <f>IF(INDEX(Transactions!$J:$J,ROW()-8)="",0,INDEX(Transactions!$O:$O,ROW()-8))</f>
      </c>
    </row>
    <row r="6968" spans="1:7">
      <c r="B6968">
        <f>IF(INDEX(Transactions!$J:$J,ROW()-8)="",TODAY(),INDEX(Transactions!$G:$G,ROW()-8))</f>
      </c>
      <c r="F6968">
        <f>IF(INDEX(Transactions!$J:$J,ROW()-8)="",0,INDEX(Transactions!$O:$O,ROW()-8))</f>
      </c>
    </row>
    <row r="6969" spans="1:7">
      <c r="B6969">
        <f>IF(INDEX(Transactions!$J:$J,ROW()-8)="",TODAY(),INDEX(Transactions!$G:$G,ROW()-8))</f>
      </c>
      <c r="F6969">
        <f>IF(INDEX(Transactions!$J:$J,ROW()-8)="",0,INDEX(Transactions!$O:$O,ROW()-8))</f>
      </c>
    </row>
    <row r="6970" spans="1:7">
      <c r="B6970">
        <f>IF(INDEX(Transactions!$J:$J,ROW()-8)="",TODAY(),INDEX(Transactions!$G:$G,ROW()-8))</f>
      </c>
      <c r="F6970">
        <f>IF(INDEX(Transactions!$J:$J,ROW()-8)="",0,INDEX(Transactions!$O:$O,ROW()-8))</f>
      </c>
    </row>
    <row r="6971" spans="1:7">
      <c r="B6971">
        <f>IF(INDEX(Transactions!$J:$J,ROW()-8)="",TODAY(),INDEX(Transactions!$G:$G,ROW()-8))</f>
      </c>
      <c r="F6971">
        <f>IF(INDEX(Transactions!$J:$J,ROW()-8)="",0,INDEX(Transactions!$O:$O,ROW()-8))</f>
      </c>
    </row>
    <row r="6972" spans="1:7">
      <c r="B6972">
        <f>IF(INDEX(Transactions!$J:$J,ROW()-8)="",TODAY(),INDEX(Transactions!$G:$G,ROW()-8))</f>
      </c>
      <c r="F6972">
        <f>IF(INDEX(Transactions!$J:$J,ROW()-8)="",0,INDEX(Transactions!$O:$O,ROW()-8))</f>
      </c>
    </row>
    <row r="6973" spans="1:7">
      <c r="B6973">
        <f>IF(INDEX(Transactions!$J:$J,ROW()-8)="",TODAY(),INDEX(Transactions!$G:$G,ROW()-8))</f>
      </c>
      <c r="F6973">
        <f>IF(INDEX(Transactions!$J:$J,ROW()-8)="",0,INDEX(Transactions!$O:$O,ROW()-8))</f>
      </c>
    </row>
    <row r="6974" spans="1:7">
      <c r="B6974">
        <f>IF(INDEX(Transactions!$J:$J,ROW()-8)="",TODAY(),INDEX(Transactions!$G:$G,ROW()-8))</f>
      </c>
      <c r="F6974">
        <f>IF(INDEX(Transactions!$J:$J,ROW()-8)="",0,INDEX(Transactions!$O:$O,ROW()-8))</f>
      </c>
    </row>
    <row r="6975" spans="1:7">
      <c r="B6975">
        <f>IF(INDEX(Transactions!$J:$J,ROW()-8)="",TODAY(),INDEX(Transactions!$G:$G,ROW()-8))</f>
      </c>
      <c r="F6975">
        <f>IF(INDEX(Transactions!$J:$J,ROW()-8)="",0,INDEX(Transactions!$O:$O,ROW()-8))</f>
      </c>
    </row>
    <row r="6976" spans="1:7">
      <c r="B6976">
        <f>IF(INDEX(Transactions!$J:$J,ROW()-8)="",TODAY(),INDEX(Transactions!$G:$G,ROW()-8))</f>
      </c>
      <c r="F6976">
        <f>IF(INDEX(Transactions!$J:$J,ROW()-8)="",0,INDEX(Transactions!$O:$O,ROW()-8))</f>
      </c>
    </row>
    <row r="6977" spans="1:7">
      <c r="B6977">
        <f>IF(INDEX(Transactions!$J:$J,ROW()-8)="",TODAY(),INDEX(Transactions!$G:$G,ROW()-8))</f>
      </c>
      <c r="F6977">
        <f>IF(INDEX(Transactions!$J:$J,ROW()-8)="",0,INDEX(Transactions!$O:$O,ROW()-8))</f>
      </c>
    </row>
    <row r="6978" spans="1:7">
      <c r="B6978">
        <f>IF(INDEX(Transactions!$J:$J,ROW()-8)="",TODAY(),INDEX(Transactions!$G:$G,ROW()-8))</f>
      </c>
      <c r="F6978">
        <f>IF(INDEX(Transactions!$J:$J,ROW()-8)="",0,INDEX(Transactions!$O:$O,ROW()-8))</f>
      </c>
    </row>
    <row r="6979" spans="1:7">
      <c r="B6979">
        <f>IF(INDEX(Transactions!$J:$J,ROW()-8)="",TODAY(),INDEX(Transactions!$G:$G,ROW()-8))</f>
      </c>
      <c r="F6979">
        <f>IF(INDEX(Transactions!$J:$J,ROW()-8)="",0,INDEX(Transactions!$O:$O,ROW()-8))</f>
      </c>
    </row>
    <row r="6980" spans="1:7">
      <c r="B6980">
        <f>IF(INDEX(Transactions!$J:$J,ROW()-8)="",TODAY(),INDEX(Transactions!$G:$G,ROW()-8))</f>
      </c>
      <c r="F6980">
        <f>IF(INDEX(Transactions!$J:$J,ROW()-8)="",0,INDEX(Transactions!$O:$O,ROW()-8))</f>
      </c>
    </row>
    <row r="6981" spans="1:7">
      <c r="B6981">
        <f>IF(INDEX(Transactions!$J:$J,ROW()-8)="",TODAY(),INDEX(Transactions!$G:$G,ROW()-8))</f>
      </c>
      <c r="F6981">
        <f>IF(INDEX(Transactions!$J:$J,ROW()-8)="",0,INDEX(Transactions!$O:$O,ROW()-8))</f>
      </c>
    </row>
    <row r="6982" spans="1:7">
      <c r="B6982">
        <f>IF(INDEX(Transactions!$J:$J,ROW()-8)="",TODAY(),INDEX(Transactions!$G:$G,ROW()-8))</f>
      </c>
      <c r="F6982">
        <f>IF(INDEX(Transactions!$J:$J,ROW()-8)="",0,INDEX(Transactions!$O:$O,ROW()-8))</f>
      </c>
    </row>
    <row r="6983" spans="1:7">
      <c r="B6983">
        <f>IF(INDEX(Transactions!$J:$J,ROW()-8)="",TODAY(),INDEX(Transactions!$G:$G,ROW()-8))</f>
      </c>
      <c r="F6983">
        <f>IF(INDEX(Transactions!$J:$J,ROW()-8)="",0,INDEX(Transactions!$O:$O,ROW()-8))</f>
      </c>
    </row>
    <row r="6984" spans="1:7">
      <c r="B6984">
        <f>IF(INDEX(Transactions!$J:$J,ROW()-8)="",TODAY(),INDEX(Transactions!$G:$G,ROW()-8))</f>
      </c>
      <c r="F6984">
        <f>IF(INDEX(Transactions!$J:$J,ROW()-8)="",0,INDEX(Transactions!$O:$O,ROW()-8))</f>
      </c>
    </row>
    <row r="6985" spans="1:7">
      <c r="B6985">
        <f>IF(INDEX(Transactions!$J:$J,ROW()-8)="",TODAY(),INDEX(Transactions!$G:$G,ROW()-8))</f>
      </c>
      <c r="F6985">
        <f>IF(INDEX(Transactions!$J:$J,ROW()-8)="",0,INDEX(Transactions!$O:$O,ROW()-8))</f>
      </c>
    </row>
    <row r="6986" spans="1:7">
      <c r="B6986">
        <f>IF(INDEX(Transactions!$J:$J,ROW()-8)="",TODAY(),INDEX(Transactions!$G:$G,ROW()-8))</f>
      </c>
      <c r="F6986">
        <f>IF(INDEX(Transactions!$J:$J,ROW()-8)="",0,INDEX(Transactions!$O:$O,ROW()-8))</f>
      </c>
    </row>
    <row r="6987" spans="1:7">
      <c r="B6987">
        <f>IF(INDEX(Transactions!$J:$J,ROW()-8)="",TODAY(),INDEX(Transactions!$G:$G,ROW()-8))</f>
      </c>
      <c r="F6987">
        <f>IF(INDEX(Transactions!$J:$J,ROW()-8)="",0,INDEX(Transactions!$O:$O,ROW()-8))</f>
      </c>
    </row>
    <row r="6988" spans="1:7">
      <c r="B6988">
        <f>IF(INDEX(Transactions!$J:$J,ROW()-8)="",TODAY(),INDEX(Transactions!$G:$G,ROW()-8))</f>
      </c>
      <c r="F6988">
        <f>IF(INDEX(Transactions!$J:$J,ROW()-8)="",0,INDEX(Transactions!$O:$O,ROW()-8))</f>
      </c>
    </row>
    <row r="6989" spans="1:7">
      <c r="B6989">
        <f>IF(INDEX(Transactions!$J:$J,ROW()-8)="",TODAY(),INDEX(Transactions!$G:$G,ROW()-8))</f>
      </c>
      <c r="F6989">
        <f>IF(INDEX(Transactions!$J:$J,ROW()-8)="",0,INDEX(Transactions!$O:$O,ROW()-8))</f>
      </c>
    </row>
    <row r="6990" spans="1:7">
      <c r="B6990">
        <f>IF(INDEX(Transactions!$J:$J,ROW()-8)="",TODAY(),INDEX(Transactions!$G:$G,ROW()-8))</f>
      </c>
      <c r="F6990">
        <f>IF(INDEX(Transactions!$J:$J,ROW()-8)="",0,INDEX(Transactions!$O:$O,ROW()-8))</f>
      </c>
    </row>
    <row r="6991" spans="1:7">
      <c r="B6991">
        <f>IF(INDEX(Transactions!$J:$J,ROW()-8)="",TODAY(),INDEX(Transactions!$G:$G,ROW()-8))</f>
      </c>
      <c r="F6991">
        <f>IF(INDEX(Transactions!$J:$J,ROW()-8)="",0,INDEX(Transactions!$O:$O,ROW()-8))</f>
      </c>
    </row>
    <row r="6992" spans="1:7">
      <c r="B6992">
        <f>IF(INDEX(Transactions!$J:$J,ROW()-8)="",TODAY(),INDEX(Transactions!$G:$G,ROW()-8))</f>
      </c>
      <c r="F6992">
        <f>IF(INDEX(Transactions!$J:$J,ROW()-8)="",0,INDEX(Transactions!$O:$O,ROW()-8))</f>
      </c>
    </row>
    <row r="6993" spans="1:7">
      <c r="B6993">
        <f>IF(INDEX(Transactions!$J:$J,ROW()-8)="",TODAY(),INDEX(Transactions!$G:$G,ROW()-8))</f>
      </c>
      <c r="F6993">
        <f>IF(INDEX(Transactions!$J:$J,ROW()-8)="",0,INDEX(Transactions!$O:$O,ROW()-8))</f>
      </c>
    </row>
    <row r="6994" spans="1:7">
      <c r="B6994">
        <f>IF(INDEX(Transactions!$J:$J,ROW()-8)="",TODAY(),INDEX(Transactions!$G:$G,ROW()-8))</f>
      </c>
      <c r="F6994">
        <f>IF(INDEX(Transactions!$J:$J,ROW()-8)="",0,INDEX(Transactions!$O:$O,ROW()-8))</f>
      </c>
    </row>
    <row r="6995" spans="1:7">
      <c r="B6995">
        <f>IF(INDEX(Transactions!$J:$J,ROW()-8)="",TODAY(),INDEX(Transactions!$G:$G,ROW()-8))</f>
      </c>
      <c r="F6995">
        <f>IF(INDEX(Transactions!$J:$J,ROW()-8)="",0,INDEX(Transactions!$O:$O,ROW()-8))</f>
      </c>
    </row>
    <row r="6996" spans="1:7">
      <c r="B6996">
        <f>IF(INDEX(Transactions!$J:$J,ROW()-8)="",TODAY(),INDEX(Transactions!$G:$G,ROW()-8))</f>
      </c>
      <c r="F6996">
        <f>IF(INDEX(Transactions!$J:$J,ROW()-8)="",0,INDEX(Transactions!$O:$O,ROW()-8))</f>
      </c>
    </row>
    <row r="6997" spans="1:7">
      <c r="B6997">
        <f>IF(INDEX(Transactions!$J:$J,ROW()-8)="",TODAY(),INDEX(Transactions!$G:$G,ROW()-8))</f>
      </c>
      <c r="F6997">
        <f>IF(INDEX(Transactions!$J:$J,ROW()-8)="",0,INDEX(Transactions!$O:$O,ROW()-8))</f>
      </c>
    </row>
    <row r="6998" spans="1:7">
      <c r="B6998">
        <f>IF(INDEX(Transactions!$J:$J,ROW()-8)="",TODAY(),INDEX(Transactions!$G:$G,ROW()-8))</f>
      </c>
      <c r="F6998">
        <f>IF(INDEX(Transactions!$J:$J,ROW()-8)="",0,INDEX(Transactions!$O:$O,ROW()-8))</f>
      </c>
    </row>
    <row r="6999" spans="1:7">
      <c r="B6999">
        <f>IF(INDEX(Transactions!$J:$J,ROW()-8)="",TODAY(),INDEX(Transactions!$G:$G,ROW()-8))</f>
      </c>
      <c r="F6999">
        <f>IF(INDEX(Transactions!$J:$J,ROW()-8)="",0,INDEX(Transactions!$O:$O,ROW()-8))</f>
      </c>
    </row>
    <row r="7000" spans="1:7">
      <c r="B7000">
        <f>IF(INDEX(Transactions!$J:$J,ROW()-8)="",TODAY(),INDEX(Transactions!$G:$G,ROW()-8))</f>
      </c>
      <c r="F7000">
        <f>IF(INDEX(Transactions!$J:$J,ROW()-8)="",0,INDEX(Transactions!$O:$O,ROW()-8))</f>
      </c>
    </row>
    <row r="7001" spans="1:7">
      <c r="B7001">
        <f>IF(INDEX(Transactions!$J:$J,ROW()-8)="",TODAY(),INDEX(Transactions!$G:$G,ROW()-8))</f>
      </c>
      <c r="F7001">
        <f>IF(INDEX(Transactions!$J:$J,ROW()-8)="",0,INDEX(Transactions!$O:$O,ROW()-8))</f>
      </c>
    </row>
    <row r="7002" spans="1:7">
      <c r="B7002">
        <f>IF(INDEX(Transactions!$J:$J,ROW()-8)="",TODAY(),INDEX(Transactions!$G:$G,ROW()-8))</f>
      </c>
      <c r="F7002">
        <f>IF(INDEX(Transactions!$J:$J,ROW()-8)="",0,INDEX(Transactions!$O:$O,ROW()-8))</f>
      </c>
    </row>
    <row r="7003" spans="1:7">
      <c r="B7003">
        <f>IF(INDEX(Transactions!$J:$J,ROW()-8)="",TODAY(),INDEX(Transactions!$G:$G,ROW()-8))</f>
      </c>
      <c r="F7003">
        <f>IF(INDEX(Transactions!$J:$J,ROW()-8)="",0,INDEX(Transactions!$O:$O,ROW()-8))</f>
      </c>
    </row>
    <row r="7004" spans="1:7">
      <c r="B7004">
        <f>IF(INDEX(Transactions!$J:$J,ROW()-8)="",TODAY(),INDEX(Transactions!$G:$G,ROW()-8))</f>
      </c>
      <c r="F7004">
        <f>IF(INDEX(Transactions!$J:$J,ROW()-8)="",0,INDEX(Transactions!$O:$O,ROW()-8))</f>
      </c>
    </row>
    <row r="7005" spans="1:7">
      <c r="B7005">
        <f>IF(INDEX(Transactions!$J:$J,ROW()-8)="",TODAY(),INDEX(Transactions!$G:$G,ROW()-8))</f>
      </c>
      <c r="F7005">
        <f>IF(INDEX(Transactions!$J:$J,ROW()-8)="",0,INDEX(Transactions!$O:$O,ROW()-8))</f>
      </c>
    </row>
    <row r="7006" spans="1:7">
      <c r="B7006">
        <f>IF(INDEX(Transactions!$J:$J,ROW()-8)="",TODAY(),INDEX(Transactions!$G:$G,ROW()-8))</f>
      </c>
      <c r="F7006">
        <f>IF(INDEX(Transactions!$J:$J,ROW()-8)="",0,INDEX(Transactions!$O:$O,ROW()-8))</f>
      </c>
    </row>
    <row r="7007" spans="1:7">
      <c r="B7007">
        <f>IF(INDEX(Transactions!$J:$J,ROW()-8)="",TODAY(),INDEX(Transactions!$G:$G,ROW()-8))</f>
      </c>
      <c r="F7007">
        <f>IF(INDEX(Transactions!$J:$J,ROW()-8)="",0,INDEX(Transactions!$O:$O,ROW()-8))</f>
      </c>
    </row>
    <row r="7008" spans="1:7">
      <c r="B7008">
        <f>IF(INDEX(Transactions!$J:$J,ROW()-8)="",TODAY(),INDEX(Transactions!$G:$G,ROW()-8))</f>
      </c>
      <c r="F7008">
        <f>IF(INDEX(Transactions!$J:$J,ROW()-8)="",0,INDEX(Transactions!$O:$O,ROW()-8))</f>
      </c>
    </row>
    <row r="7009" spans="1:7">
      <c r="B7009">
        <f>IF(INDEX(Transactions!$J:$J,ROW()-8)="",TODAY(),INDEX(Transactions!$G:$G,ROW()-8))</f>
      </c>
      <c r="F7009">
        <f>IF(INDEX(Transactions!$J:$J,ROW()-8)="",0,INDEX(Transactions!$O:$O,ROW()-8))</f>
      </c>
    </row>
    <row r="7010" spans="1:7">
      <c r="B7010">
        <f>IF(INDEX(Transactions!$J:$J,ROW()-8)="",TODAY(),INDEX(Transactions!$G:$G,ROW()-8))</f>
      </c>
      <c r="F7010">
        <f>IF(INDEX(Transactions!$J:$J,ROW()-8)="",0,INDEX(Transactions!$O:$O,ROW()-8))</f>
      </c>
    </row>
    <row r="7011" spans="1:7">
      <c r="B7011">
        <f>IF(INDEX(Transactions!$J:$J,ROW()-8)="",TODAY(),INDEX(Transactions!$G:$G,ROW()-8))</f>
      </c>
      <c r="F7011">
        <f>IF(INDEX(Transactions!$J:$J,ROW()-8)="",0,INDEX(Transactions!$O:$O,ROW()-8))</f>
      </c>
    </row>
    <row r="7012" spans="1:7">
      <c r="B7012">
        <f>IF(INDEX(Transactions!$J:$J,ROW()-8)="",TODAY(),INDEX(Transactions!$G:$G,ROW()-8))</f>
      </c>
      <c r="F7012">
        <f>IF(INDEX(Transactions!$J:$J,ROW()-8)="",0,INDEX(Transactions!$O:$O,ROW()-8))</f>
      </c>
    </row>
    <row r="7013" spans="1:7">
      <c r="B7013">
        <f>IF(INDEX(Transactions!$J:$J,ROW()-8)="",TODAY(),INDEX(Transactions!$G:$G,ROW()-8))</f>
      </c>
      <c r="F7013">
        <f>IF(INDEX(Transactions!$J:$J,ROW()-8)="",0,INDEX(Transactions!$O:$O,ROW()-8))</f>
      </c>
    </row>
    <row r="7014" spans="1:7">
      <c r="B7014">
        <f>IF(INDEX(Transactions!$J:$J,ROW()-8)="",TODAY(),INDEX(Transactions!$G:$G,ROW()-8))</f>
      </c>
      <c r="F7014">
        <f>IF(INDEX(Transactions!$J:$J,ROW()-8)="",0,INDEX(Transactions!$O:$O,ROW()-8))</f>
      </c>
    </row>
    <row r="7015" spans="1:7">
      <c r="B7015">
        <f>IF(INDEX(Transactions!$J:$J,ROW()-8)="",TODAY(),INDEX(Transactions!$G:$G,ROW()-8))</f>
      </c>
      <c r="F7015">
        <f>IF(INDEX(Transactions!$J:$J,ROW()-8)="",0,INDEX(Transactions!$O:$O,ROW()-8))</f>
      </c>
    </row>
    <row r="7016" spans="1:7">
      <c r="B7016">
        <f>IF(INDEX(Transactions!$J:$J,ROW()-8)="",TODAY(),INDEX(Transactions!$G:$G,ROW()-8))</f>
      </c>
      <c r="F7016">
        <f>IF(INDEX(Transactions!$J:$J,ROW()-8)="",0,INDEX(Transactions!$O:$O,ROW()-8))</f>
      </c>
    </row>
    <row r="7017" spans="1:7">
      <c r="B7017">
        <f>IF(INDEX(Transactions!$J:$J,ROW()-8)="",TODAY(),INDEX(Transactions!$G:$G,ROW()-8))</f>
      </c>
      <c r="F7017">
        <f>IF(INDEX(Transactions!$J:$J,ROW()-8)="",0,INDEX(Transactions!$O:$O,ROW()-8))</f>
      </c>
    </row>
    <row r="7018" spans="1:7">
      <c r="B7018">
        <f>IF(INDEX(Transactions!$J:$J,ROW()-8)="",TODAY(),INDEX(Transactions!$G:$G,ROW()-8))</f>
      </c>
      <c r="F7018">
        <f>IF(INDEX(Transactions!$J:$J,ROW()-8)="",0,INDEX(Transactions!$O:$O,ROW()-8))</f>
      </c>
    </row>
    <row r="7019" spans="1:7">
      <c r="B7019">
        <f>IF(INDEX(Transactions!$J:$J,ROW()-8)="",TODAY(),INDEX(Transactions!$G:$G,ROW()-8))</f>
      </c>
      <c r="F7019">
        <f>IF(INDEX(Transactions!$J:$J,ROW()-8)="",0,INDEX(Transactions!$O:$O,ROW()-8))</f>
      </c>
    </row>
    <row r="7020" spans="1:7">
      <c r="B7020">
        <f>IF(INDEX(Transactions!$J:$J,ROW()-8)="",TODAY(),INDEX(Transactions!$G:$G,ROW()-8))</f>
      </c>
      <c r="F7020">
        <f>IF(INDEX(Transactions!$J:$J,ROW()-8)="",0,INDEX(Transactions!$O:$O,ROW()-8))</f>
      </c>
    </row>
    <row r="7021" spans="1:7">
      <c r="B7021">
        <f>IF(INDEX(Transactions!$J:$J,ROW()-8)="",TODAY(),INDEX(Transactions!$G:$G,ROW()-8))</f>
      </c>
      <c r="F7021">
        <f>IF(INDEX(Transactions!$J:$J,ROW()-8)="",0,INDEX(Transactions!$O:$O,ROW()-8))</f>
      </c>
    </row>
    <row r="7022" spans="1:7">
      <c r="B7022">
        <f>IF(INDEX(Transactions!$J:$J,ROW()-8)="",TODAY(),INDEX(Transactions!$G:$G,ROW()-8))</f>
      </c>
      <c r="F7022">
        <f>IF(INDEX(Transactions!$J:$J,ROW()-8)="",0,INDEX(Transactions!$O:$O,ROW()-8))</f>
      </c>
    </row>
    <row r="7023" spans="1:7">
      <c r="B7023">
        <f>IF(INDEX(Transactions!$J:$J,ROW()-8)="",TODAY(),INDEX(Transactions!$G:$G,ROW()-8))</f>
      </c>
      <c r="F7023">
        <f>IF(INDEX(Transactions!$J:$J,ROW()-8)="",0,INDEX(Transactions!$O:$O,ROW()-8))</f>
      </c>
    </row>
    <row r="7024" spans="1:7">
      <c r="B7024">
        <f>IF(INDEX(Transactions!$J:$J,ROW()-8)="",TODAY(),INDEX(Transactions!$G:$G,ROW()-8))</f>
      </c>
      <c r="F7024">
        <f>IF(INDEX(Transactions!$J:$J,ROW()-8)="",0,INDEX(Transactions!$O:$O,ROW()-8))</f>
      </c>
    </row>
    <row r="7025" spans="1:7">
      <c r="B7025">
        <f>IF(INDEX(Transactions!$J:$J,ROW()-8)="",TODAY(),INDEX(Transactions!$G:$G,ROW()-8))</f>
      </c>
      <c r="F7025">
        <f>IF(INDEX(Transactions!$J:$J,ROW()-8)="",0,INDEX(Transactions!$O:$O,ROW()-8))</f>
      </c>
    </row>
    <row r="7026" spans="1:7">
      <c r="B7026">
        <f>IF(INDEX(Transactions!$J:$J,ROW()-8)="",TODAY(),INDEX(Transactions!$G:$G,ROW()-8))</f>
      </c>
      <c r="F7026">
        <f>IF(INDEX(Transactions!$J:$J,ROW()-8)="",0,INDEX(Transactions!$O:$O,ROW()-8))</f>
      </c>
    </row>
    <row r="7027" spans="1:7">
      <c r="B7027">
        <f>IF(INDEX(Transactions!$J:$J,ROW()-8)="",TODAY(),INDEX(Transactions!$G:$G,ROW()-8))</f>
      </c>
      <c r="F7027">
        <f>IF(INDEX(Transactions!$J:$J,ROW()-8)="",0,INDEX(Transactions!$O:$O,ROW()-8))</f>
      </c>
    </row>
    <row r="7028" spans="1:7">
      <c r="B7028">
        <f>IF(INDEX(Transactions!$J:$J,ROW()-8)="",TODAY(),INDEX(Transactions!$G:$G,ROW()-8))</f>
      </c>
      <c r="F7028">
        <f>IF(INDEX(Transactions!$J:$J,ROW()-8)="",0,INDEX(Transactions!$O:$O,ROW()-8))</f>
      </c>
    </row>
    <row r="7029" spans="1:7">
      <c r="B7029">
        <f>IF(INDEX(Transactions!$J:$J,ROW()-8)="",TODAY(),INDEX(Transactions!$G:$G,ROW()-8))</f>
      </c>
      <c r="F7029">
        <f>IF(INDEX(Transactions!$J:$J,ROW()-8)="",0,INDEX(Transactions!$O:$O,ROW()-8))</f>
      </c>
    </row>
    <row r="7030" spans="1:7">
      <c r="B7030">
        <f>IF(INDEX(Transactions!$J:$J,ROW()-8)="",TODAY(),INDEX(Transactions!$G:$G,ROW()-8))</f>
      </c>
      <c r="F7030">
        <f>IF(INDEX(Transactions!$J:$J,ROW()-8)="",0,INDEX(Transactions!$O:$O,ROW()-8))</f>
      </c>
    </row>
    <row r="7031" spans="1:7">
      <c r="B7031">
        <f>IF(INDEX(Transactions!$J:$J,ROW()-8)="",TODAY(),INDEX(Transactions!$G:$G,ROW()-8))</f>
      </c>
      <c r="F7031">
        <f>IF(INDEX(Transactions!$J:$J,ROW()-8)="",0,INDEX(Transactions!$O:$O,ROW()-8))</f>
      </c>
    </row>
    <row r="7032" spans="1:7">
      <c r="B7032">
        <f>IF(INDEX(Transactions!$J:$J,ROW()-8)="",TODAY(),INDEX(Transactions!$G:$G,ROW()-8))</f>
      </c>
      <c r="F7032">
        <f>IF(INDEX(Transactions!$J:$J,ROW()-8)="",0,INDEX(Transactions!$O:$O,ROW()-8))</f>
      </c>
    </row>
    <row r="7033" spans="1:7">
      <c r="B7033">
        <f>IF(INDEX(Transactions!$J:$J,ROW()-8)="",TODAY(),INDEX(Transactions!$G:$G,ROW()-8))</f>
      </c>
      <c r="F7033">
        <f>IF(INDEX(Transactions!$J:$J,ROW()-8)="",0,INDEX(Transactions!$O:$O,ROW()-8))</f>
      </c>
    </row>
    <row r="7034" spans="1:7">
      <c r="B7034">
        <f>IF(INDEX(Transactions!$J:$J,ROW()-8)="",TODAY(),INDEX(Transactions!$G:$G,ROW()-8))</f>
      </c>
      <c r="F7034">
        <f>IF(INDEX(Transactions!$J:$J,ROW()-8)="",0,INDEX(Transactions!$O:$O,ROW()-8))</f>
      </c>
    </row>
    <row r="7035" spans="1:7">
      <c r="B7035">
        <f>IF(INDEX(Transactions!$J:$J,ROW()-8)="",TODAY(),INDEX(Transactions!$G:$G,ROW()-8))</f>
      </c>
      <c r="F7035">
        <f>IF(INDEX(Transactions!$J:$J,ROW()-8)="",0,INDEX(Transactions!$O:$O,ROW()-8))</f>
      </c>
    </row>
    <row r="7036" spans="1:7">
      <c r="B7036">
        <f>IF(INDEX(Transactions!$J:$J,ROW()-8)="",TODAY(),INDEX(Transactions!$G:$G,ROW()-8))</f>
      </c>
      <c r="F7036">
        <f>IF(INDEX(Transactions!$J:$J,ROW()-8)="",0,INDEX(Transactions!$O:$O,ROW()-8))</f>
      </c>
    </row>
    <row r="7037" spans="1:7">
      <c r="B7037">
        <f>IF(INDEX(Transactions!$J:$J,ROW()-8)="",TODAY(),INDEX(Transactions!$G:$G,ROW()-8))</f>
      </c>
      <c r="F7037">
        <f>IF(INDEX(Transactions!$J:$J,ROW()-8)="",0,INDEX(Transactions!$O:$O,ROW()-8))</f>
      </c>
    </row>
    <row r="7038" spans="1:7">
      <c r="B7038">
        <f>IF(INDEX(Transactions!$J:$J,ROW()-8)="",TODAY(),INDEX(Transactions!$G:$G,ROW()-8))</f>
      </c>
      <c r="F7038">
        <f>IF(INDEX(Transactions!$J:$J,ROW()-8)="",0,INDEX(Transactions!$O:$O,ROW()-8))</f>
      </c>
    </row>
    <row r="7039" spans="1:7">
      <c r="B7039">
        <f>IF(INDEX(Transactions!$J:$J,ROW()-8)="",TODAY(),INDEX(Transactions!$G:$G,ROW()-8))</f>
      </c>
      <c r="F7039">
        <f>IF(INDEX(Transactions!$J:$J,ROW()-8)="",0,INDEX(Transactions!$O:$O,ROW()-8))</f>
      </c>
    </row>
    <row r="7040" spans="1:7">
      <c r="B7040">
        <f>IF(INDEX(Transactions!$J:$J,ROW()-8)="",TODAY(),INDEX(Transactions!$G:$G,ROW()-8))</f>
      </c>
      <c r="F7040">
        <f>IF(INDEX(Transactions!$J:$J,ROW()-8)="",0,INDEX(Transactions!$O:$O,ROW()-8))</f>
      </c>
    </row>
    <row r="7041" spans="1:7">
      <c r="B7041">
        <f>IF(INDEX(Transactions!$J:$J,ROW()-8)="",TODAY(),INDEX(Transactions!$G:$G,ROW()-8))</f>
      </c>
      <c r="F7041">
        <f>IF(INDEX(Transactions!$J:$J,ROW()-8)="",0,INDEX(Transactions!$O:$O,ROW()-8))</f>
      </c>
    </row>
    <row r="7042" spans="1:7">
      <c r="B7042">
        <f>IF(INDEX(Transactions!$J:$J,ROW()-8)="",TODAY(),INDEX(Transactions!$G:$G,ROW()-8))</f>
      </c>
      <c r="F7042">
        <f>IF(INDEX(Transactions!$J:$J,ROW()-8)="",0,INDEX(Transactions!$O:$O,ROW()-8))</f>
      </c>
    </row>
    <row r="7043" spans="1:7">
      <c r="B7043">
        <f>IF(INDEX(Transactions!$J:$J,ROW()-8)="",TODAY(),INDEX(Transactions!$G:$G,ROW()-8))</f>
      </c>
      <c r="F7043">
        <f>IF(INDEX(Transactions!$J:$J,ROW()-8)="",0,INDEX(Transactions!$O:$O,ROW()-8))</f>
      </c>
    </row>
    <row r="7044" spans="1:7">
      <c r="B7044">
        <f>IF(INDEX(Transactions!$J:$J,ROW()-8)="",TODAY(),INDEX(Transactions!$G:$G,ROW()-8))</f>
      </c>
      <c r="F7044">
        <f>IF(INDEX(Transactions!$J:$J,ROW()-8)="",0,INDEX(Transactions!$O:$O,ROW()-8))</f>
      </c>
    </row>
    <row r="7045" spans="1:7">
      <c r="B7045">
        <f>IF(INDEX(Transactions!$J:$J,ROW()-8)="",TODAY(),INDEX(Transactions!$G:$G,ROW()-8))</f>
      </c>
      <c r="F7045">
        <f>IF(INDEX(Transactions!$J:$J,ROW()-8)="",0,INDEX(Transactions!$O:$O,ROW()-8))</f>
      </c>
    </row>
    <row r="7046" spans="1:7">
      <c r="B7046">
        <f>IF(INDEX(Transactions!$J:$J,ROW()-8)="",TODAY(),INDEX(Transactions!$G:$G,ROW()-8))</f>
      </c>
      <c r="F7046">
        <f>IF(INDEX(Transactions!$J:$J,ROW()-8)="",0,INDEX(Transactions!$O:$O,ROW()-8))</f>
      </c>
    </row>
    <row r="7047" spans="1:7">
      <c r="B7047">
        <f>IF(INDEX(Transactions!$J:$J,ROW()-8)="",TODAY(),INDEX(Transactions!$G:$G,ROW()-8))</f>
      </c>
      <c r="F7047">
        <f>IF(INDEX(Transactions!$J:$J,ROW()-8)="",0,INDEX(Transactions!$O:$O,ROW()-8))</f>
      </c>
    </row>
    <row r="7048" spans="1:7">
      <c r="B7048">
        <f>IF(INDEX(Transactions!$J:$J,ROW()-8)="",TODAY(),INDEX(Transactions!$G:$G,ROW()-8))</f>
      </c>
      <c r="F7048">
        <f>IF(INDEX(Transactions!$J:$J,ROW()-8)="",0,INDEX(Transactions!$O:$O,ROW()-8))</f>
      </c>
    </row>
    <row r="7049" spans="1:7">
      <c r="B7049">
        <f>IF(INDEX(Transactions!$J:$J,ROW()-8)="",TODAY(),INDEX(Transactions!$G:$G,ROW()-8))</f>
      </c>
      <c r="F7049">
        <f>IF(INDEX(Transactions!$J:$J,ROW()-8)="",0,INDEX(Transactions!$O:$O,ROW()-8))</f>
      </c>
    </row>
    <row r="7050" spans="1:7">
      <c r="B7050">
        <f>IF(INDEX(Transactions!$J:$J,ROW()-8)="",TODAY(),INDEX(Transactions!$G:$G,ROW()-8))</f>
      </c>
      <c r="F7050">
        <f>IF(INDEX(Transactions!$J:$J,ROW()-8)="",0,INDEX(Transactions!$O:$O,ROW()-8))</f>
      </c>
    </row>
    <row r="7051" spans="1:7">
      <c r="B7051">
        <f>IF(INDEX(Transactions!$J:$J,ROW()-8)="",TODAY(),INDEX(Transactions!$G:$G,ROW()-8))</f>
      </c>
      <c r="F7051">
        <f>IF(INDEX(Transactions!$J:$J,ROW()-8)="",0,INDEX(Transactions!$O:$O,ROW()-8))</f>
      </c>
    </row>
    <row r="7052" spans="1:7">
      <c r="B7052">
        <f>IF(INDEX(Transactions!$J:$J,ROW()-8)="",TODAY(),INDEX(Transactions!$G:$G,ROW()-8))</f>
      </c>
      <c r="F7052">
        <f>IF(INDEX(Transactions!$J:$J,ROW()-8)="",0,INDEX(Transactions!$O:$O,ROW()-8))</f>
      </c>
    </row>
    <row r="7053" spans="1:7">
      <c r="B7053">
        <f>IF(INDEX(Transactions!$J:$J,ROW()-8)="",TODAY(),INDEX(Transactions!$G:$G,ROW()-8))</f>
      </c>
      <c r="F7053">
        <f>IF(INDEX(Transactions!$J:$J,ROW()-8)="",0,INDEX(Transactions!$O:$O,ROW()-8))</f>
      </c>
    </row>
    <row r="7054" spans="1:7">
      <c r="B7054">
        <f>IF(INDEX(Transactions!$J:$J,ROW()-8)="",TODAY(),INDEX(Transactions!$G:$G,ROW()-8))</f>
      </c>
      <c r="F7054">
        <f>IF(INDEX(Transactions!$J:$J,ROW()-8)="",0,INDEX(Transactions!$O:$O,ROW()-8))</f>
      </c>
    </row>
    <row r="7055" spans="1:7">
      <c r="B7055">
        <f>IF(INDEX(Transactions!$J:$J,ROW()-8)="",TODAY(),INDEX(Transactions!$G:$G,ROW()-8))</f>
      </c>
      <c r="F7055">
        <f>IF(INDEX(Transactions!$J:$J,ROW()-8)="",0,INDEX(Transactions!$O:$O,ROW()-8))</f>
      </c>
    </row>
    <row r="7056" spans="1:7">
      <c r="B7056">
        <f>IF(INDEX(Transactions!$J:$J,ROW()-8)="",TODAY(),INDEX(Transactions!$G:$G,ROW()-8))</f>
      </c>
      <c r="F7056">
        <f>IF(INDEX(Transactions!$J:$J,ROW()-8)="",0,INDEX(Transactions!$O:$O,ROW()-8))</f>
      </c>
    </row>
    <row r="7057" spans="1:7">
      <c r="B7057">
        <f>IF(INDEX(Transactions!$J:$J,ROW()-8)="",TODAY(),INDEX(Transactions!$G:$G,ROW()-8))</f>
      </c>
      <c r="F7057">
        <f>IF(INDEX(Transactions!$J:$J,ROW()-8)="",0,INDEX(Transactions!$O:$O,ROW()-8))</f>
      </c>
    </row>
    <row r="7058" spans="1:7">
      <c r="B7058">
        <f>IF(INDEX(Transactions!$J:$J,ROW()-8)="",TODAY(),INDEX(Transactions!$G:$G,ROW()-8))</f>
      </c>
      <c r="F7058">
        <f>IF(INDEX(Transactions!$J:$J,ROW()-8)="",0,INDEX(Transactions!$O:$O,ROW()-8))</f>
      </c>
    </row>
    <row r="7059" spans="1:7">
      <c r="B7059">
        <f>IF(INDEX(Transactions!$J:$J,ROW()-8)="",TODAY(),INDEX(Transactions!$G:$G,ROW()-8))</f>
      </c>
      <c r="F7059">
        <f>IF(INDEX(Transactions!$J:$J,ROW()-8)="",0,INDEX(Transactions!$O:$O,ROW()-8))</f>
      </c>
    </row>
    <row r="7060" spans="1:7">
      <c r="B7060">
        <f>IF(INDEX(Transactions!$J:$J,ROW()-8)="",TODAY(),INDEX(Transactions!$G:$G,ROW()-8))</f>
      </c>
      <c r="F7060">
        <f>IF(INDEX(Transactions!$J:$J,ROW()-8)="",0,INDEX(Transactions!$O:$O,ROW()-8))</f>
      </c>
    </row>
    <row r="7061" spans="1:7">
      <c r="B7061">
        <f>IF(INDEX(Transactions!$J:$J,ROW()-8)="",TODAY(),INDEX(Transactions!$G:$G,ROW()-8))</f>
      </c>
      <c r="F7061">
        <f>IF(INDEX(Transactions!$J:$J,ROW()-8)="",0,INDEX(Transactions!$O:$O,ROW()-8))</f>
      </c>
    </row>
    <row r="7062" spans="1:7">
      <c r="B7062">
        <f>IF(INDEX(Transactions!$J:$J,ROW()-8)="",TODAY(),INDEX(Transactions!$G:$G,ROW()-8))</f>
      </c>
      <c r="F7062">
        <f>IF(INDEX(Transactions!$J:$J,ROW()-8)="",0,INDEX(Transactions!$O:$O,ROW()-8))</f>
      </c>
    </row>
    <row r="7063" spans="1:7">
      <c r="B7063">
        <f>IF(INDEX(Transactions!$J:$J,ROW()-8)="",TODAY(),INDEX(Transactions!$G:$G,ROW()-8))</f>
      </c>
      <c r="F7063">
        <f>IF(INDEX(Transactions!$J:$J,ROW()-8)="",0,INDEX(Transactions!$O:$O,ROW()-8))</f>
      </c>
    </row>
    <row r="7064" spans="1:7">
      <c r="B7064">
        <f>IF(INDEX(Transactions!$J:$J,ROW()-8)="",TODAY(),INDEX(Transactions!$G:$G,ROW()-8))</f>
      </c>
      <c r="F7064">
        <f>IF(INDEX(Transactions!$J:$J,ROW()-8)="",0,INDEX(Transactions!$O:$O,ROW()-8))</f>
      </c>
    </row>
    <row r="7065" spans="1:7">
      <c r="B7065">
        <f>IF(INDEX(Transactions!$J:$J,ROW()-8)="",TODAY(),INDEX(Transactions!$G:$G,ROW()-8))</f>
      </c>
      <c r="F7065">
        <f>IF(INDEX(Transactions!$J:$J,ROW()-8)="",0,INDEX(Transactions!$O:$O,ROW()-8))</f>
      </c>
    </row>
    <row r="7066" spans="1:7">
      <c r="B7066">
        <f>IF(INDEX(Transactions!$J:$J,ROW()-8)="",TODAY(),INDEX(Transactions!$G:$G,ROW()-8))</f>
      </c>
      <c r="F7066">
        <f>IF(INDEX(Transactions!$J:$J,ROW()-8)="",0,INDEX(Transactions!$O:$O,ROW()-8))</f>
      </c>
    </row>
    <row r="7067" spans="1:7">
      <c r="B7067">
        <f>IF(INDEX(Transactions!$J:$J,ROW()-8)="",TODAY(),INDEX(Transactions!$G:$G,ROW()-8))</f>
      </c>
      <c r="F7067">
        <f>IF(INDEX(Transactions!$J:$J,ROW()-8)="",0,INDEX(Transactions!$O:$O,ROW()-8))</f>
      </c>
    </row>
    <row r="7068" spans="1:7">
      <c r="B7068">
        <f>IF(INDEX(Transactions!$J:$J,ROW()-8)="",TODAY(),INDEX(Transactions!$G:$G,ROW()-8))</f>
      </c>
      <c r="F7068">
        <f>IF(INDEX(Transactions!$J:$J,ROW()-8)="",0,INDEX(Transactions!$O:$O,ROW()-8))</f>
      </c>
    </row>
    <row r="7069" spans="1:7">
      <c r="B7069">
        <f>IF(INDEX(Transactions!$J:$J,ROW()-8)="",TODAY(),INDEX(Transactions!$G:$G,ROW()-8))</f>
      </c>
      <c r="F7069">
        <f>IF(INDEX(Transactions!$J:$J,ROW()-8)="",0,INDEX(Transactions!$O:$O,ROW()-8))</f>
      </c>
    </row>
    <row r="7070" spans="1:7">
      <c r="B7070">
        <f>IF(INDEX(Transactions!$J:$J,ROW()-8)="",TODAY(),INDEX(Transactions!$G:$G,ROW()-8))</f>
      </c>
      <c r="F7070">
        <f>IF(INDEX(Transactions!$J:$J,ROW()-8)="",0,INDEX(Transactions!$O:$O,ROW()-8))</f>
      </c>
    </row>
    <row r="7071" spans="1:7">
      <c r="B7071">
        <f>IF(INDEX(Transactions!$J:$J,ROW()-8)="",TODAY(),INDEX(Transactions!$G:$G,ROW()-8))</f>
      </c>
      <c r="F7071">
        <f>IF(INDEX(Transactions!$J:$J,ROW()-8)="",0,INDEX(Transactions!$O:$O,ROW()-8))</f>
      </c>
    </row>
    <row r="7072" spans="1:7">
      <c r="B7072">
        <f>IF(INDEX(Transactions!$J:$J,ROW()-8)="",TODAY(),INDEX(Transactions!$G:$G,ROW()-8))</f>
      </c>
      <c r="F7072">
        <f>IF(INDEX(Transactions!$J:$J,ROW()-8)="",0,INDEX(Transactions!$O:$O,ROW()-8))</f>
      </c>
    </row>
    <row r="7073" spans="1:7">
      <c r="B7073">
        <f>IF(INDEX(Transactions!$J:$J,ROW()-8)="",TODAY(),INDEX(Transactions!$G:$G,ROW()-8))</f>
      </c>
      <c r="F7073">
        <f>IF(INDEX(Transactions!$J:$J,ROW()-8)="",0,INDEX(Transactions!$O:$O,ROW()-8))</f>
      </c>
    </row>
    <row r="7074" spans="1:7">
      <c r="B7074">
        <f>IF(INDEX(Transactions!$J:$J,ROW()-8)="",TODAY(),INDEX(Transactions!$G:$G,ROW()-8))</f>
      </c>
      <c r="F7074">
        <f>IF(INDEX(Transactions!$J:$J,ROW()-8)="",0,INDEX(Transactions!$O:$O,ROW()-8))</f>
      </c>
    </row>
    <row r="7075" spans="1:7">
      <c r="B7075">
        <f>IF(INDEX(Transactions!$J:$J,ROW()-8)="",TODAY(),INDEX(Transactions!$G:$G,ROW()-8))</f>
      </c>
      <c r="F7075">
        <f>IF(INDEX(Transactions!$J:$J,ROW()-8)="",0,INDEX(Transactions!$O:$O,ROW()-8))</f>
      </c>
    </row>
    <row r="7076" spans="1:7">
      <c r="B7076">
        <f>IF(INDEX(Transactions!$J:$J,ROW()-8)="",TODAY(),INDEX(Transactions!$G:$G,ROW()-8))</f>
      </c>
      <c r="F7076">
        <f>IF(INDEX(Transactions!$J:$J,ROW()-8)="",0,INDEX(Transactions!$O:$O,ROW()-8))</f>
      </c>
    </row>
    <row r="7077" spans="1:7">
      <c r="B7077">
        <f>IF(INDEX(Transactions!$J:$J,ROW()-8)="",TODAY(),INDEX(Transactions!$G:$G,ROW()-8))</f>
      </c>
      <c r="F7077">
        <f>IF(INDEX(Transactions!$J:$J,ROW()-8)="",0,INDEX(Transactions!$O:$O,ROW()-8))</f>
      </c>
    </row>
    <row r="7078" spans="1:7">
      <c r="B7078">
        <f>IF(INDEX(Transactions!$J:$J,ROW()-8)="",TODAY(),INDEX(Transactions!$G:$G,ROW()-8))</f>
      </c>
      <c r="F7078">
        <f>IF(INDEX(Transactions!$J:$J,ROW()-8)="",0,INDEX(Transactions!$O:$O,ROW()-8))</f>
      </c>
    </row>
    <row r="7079" spans="1:7">
      <c r="B7079">
        <f>IF(INDEX(Transactions!$J:$J,ROW()-8)="",TODAY(),INDEX(Transactions!$G:$G,ROW()-8))</f>
      </c>
      <c r="F7079">
        <f>IF(INDEX(Transactions!$J:$J,ROW()-8)="",0,INDEX(Transactions!$O:$O,ROW()-8))</f>
      </c>
    </row>
    <row r="7080" spans="1:7">
      <c r="B7080">
        <f>IF(INDEX(Transactions!$J:$J,ROW()-8)="",TODAY(),INDEX(Transactions!$G:$G,ROW()-8))</f>
      </c>
      <c r="F7080">
        <f>IF(INDEX(Transactions!$J:$J,ROW()-8)="",0,INDEX(Transactions!$O:$O,ROW()-8))</f>
      </c>
    </row>
    <row r="7081" spans="1:7">
      <c r="B7081">
        <f>IF(INDEX(Transactions!$J:$J,ROW()-8)="",TODAY(),INDEX(Transactions!$G:$G,ROW()-8))</f>
      </c>
      <c r="F7081">
        <f>IF(INDEX(Transactions!$J:$J,ROW()-8)="",0,INDEX(Transactions!$O:$O,ROW()-8))</f>
      </c>
    </row>
    <row r="7082" spans="1:7">
      <c r="B7082">
        <f>IF(INDEX(Transactions!$J:$J,ROW()-8)="",TODAY(),INDEX(Transactions!$G:$G,ROW()-8))</f>
      </c>
      <c r="F7082">
        <f>IF(INDEX(Transactions!$J:$J,ROW()-8)="",0,INDEX(Transactions!$O:$O,ROW()-8))</f>
      </c>
    </row>
    <row r="7083" spans="1:7">
      <c r="B7083">
        <f>IF(INDEX(Transactions!$J:$J,ROW()-8)="",TODAY(),INDEX(Transactions!$G:$G,ROW()-8))</f>
      </c>
      <c r="F7083">
        <f>IF(INDEX(Transactions!$J:$J,ROW()-8)="",0,INDEX(Transactions!$O:$O,ROW()-8))</f>
      </c>
    </row>
    <row r="7084" spans="1:7">
      <c r="B7084">
        <f>IF(INDEX(Transactions!$J:$J,ROW()-8)="",TODAY(),INDEX(Transactions!$G:$G,ROW()-8))</f>
      </c>
      <c r="F7084">
        <f>IF(INDEX(Transactions!$J:$J,ROW()-8)="",0,INDEX(Transactions!$O:$O,ROW()-8))</f>
      </c>
    </row>
    <row r="7085" spans="1:7">
      <c r="B7085">
        <f>IF(INDEX(Transactions!$J:$J,ROW()-8)="",TODAY(),INDEX(Transactions!$G:$G,ROW()-8))</f>
      </c>
      <c r="F7085">
        <f>IF(INDEX(Transactions!$J:$J,ROW()-8)="",0,INDEX(Transactions!$O:$O,ROW()-8))</f>
      </c>
    </row>
    <row r="7086" spans="1:7">
      <c r="B7086">
        <f>IF(INDEX(Transactions!$J:$J,ROW()-8)="",TODAY(),INDEX(Transactions!$G:$G,ROW()-8))</f>
      </c>
      <c r="F7086">
        <f>IF(INDEX(Transactions!$J:$J,ROW()-8)="",0,INDEX(Transactions!$O:$O,ROW()-8))</f>
      </c>
    </row>
    <row r="7087" spans="1:7">
      <c r="B7087">
        <f>IF(INDEX(Transactions!$J:$J,ROW()-8)="",TODAY(),INDEX(Transactions!$G:$G,ROW()-8))</f>
      </c>
      <c r="F7087">
        <f>IF(INDEX(Transactions!$J:$J,ROW()-8)="",0,INDEX(Transactions!$O:$O,ROW()-8))</f>
      </c>
    </row>
    <row r="7088" spans="1:7">
      <c r="B7088">
        <f>IF(INDEX(Transactions!$J:$J,ROW()-8)="",TODAY(),INDEX(Transactions!$G:$G,ROW()-8))</f>
      </c>
      <c r="F7088">
        <f>IF(INDEX(Transactions!$J:$J,ROW()-8)="",0,INDEX(Transactions!$O:$O,ROW()-8))</f>
      </c>
    </row>
    <row r="7089" spans="1:7">
      <c r="B7089">
        <f>IF(INDEX(Transactions!$J:$J,ROW()-8)="",TODAY(),INDEX(Transactions!$G:$G,ROW()-8))</f>
      </c>
      <c r="F7089">
        <f>IF(INDEX(Transactions!$J:$J,ROW()-8)="",0,INDEX(Transactions!$O:$O,ROW()-8))</f>
      </c>
    </row>
    <row r="7090" spans="1:7">
      <c r="B7090">
        <f>IF(INDEX(Transactions!$J:$J,ROW()-8)="",TODAY(),INDEX(Transactions!$G:$G,ROW()-8))</f>
      </c>
      <c r="F7090">
        <f>IF(INDEX(Transactions!$J:$J,ROW()-8)="",0,INDEX(Transactions!$O:$O,ROW()-8))</f>
      </c>
    </row>
    <row r="7091" spans="1:7">
      <c r="B7091">
        <f>IF(INDEX(Transactions!$J:$J,ROW()-8)="",TODAY(),INDEX(Transactions!$G:$G,ROW()-8))</f>
      </c>
      <c r="F7091">
        <f>IF(INDEX(Transactions!$J:$J,ROW()-8)="",0,INDEX(Transactions!$O:$O,ROW()-8))</f>
      </c>
    </row>
    <row r="7092" spans="1:7">
      <c r="B7092">
        <f>IF(INDEX(Transactions!$J:$J,ROW()-8)="",TODAY(),INDEX(Transactions!$G:$G,ROW()-8))</f>
      </c>
      <c r="F7092">
        <f>IF(INDEX(Transactions!$J:$J,ROW()-8)="",0,INDEX(Transactions!$O:$O,ROW()-8))</f>
      </c>
    </row>
    <row r="7093" spans="1:7">
      <c r="B7093">
        <f>IF(INDEX(Transactions!$J:$J,ROW()-8)="",TODAY(),INDEX(Transactions!$G:$G,ROW()-8))</f>
      </c>
      <c r="F7093">
        <f>IF(INDEX(Transactions!$J:$J,ROW()-8)="",0,INDEX(Transactions!$O:$O,ROW()-8))</f>
      </c>
    </row>
    <row r="7094" spans="1:7">
      <c r="B7094">
        <f>IF(INDEX(Transactions!$J:$J,ROW()-8)="",TODAY(),INDEX(Transactions!$G:$G,ROW()-8))</f>
      </c>
      <c r="F7094">
        <f>IF(INDEX(Transactions!$J:$J,ROW()-8)="",0,INDEX(Transactions!$O:$O,ROW()-8))</f>
      </c>
    </row>
    <row r="7095" spans="1:7">
      <c r="B7095">
        <f>IF(INDEX(Transactions!$J:$J,ROW()-8)="",TODAY(),INDEX(Transactions!$G:$G,ROW()-8))</f>
      </c>
      <c r="F7095">
        <f>IF(INDEX(Transactions!$J:$J,ROW()-8)="",0,INDEX(Transactions!$O:$O,ROW()-8))</f>
      </c>
    </row>
    <row r="7096" spans="1:7">
      <c r="B7096">
        <f>IF(INDEX(Transactions!$J:$J,ROW()-8)="",TODAY(),INDEX(Transactions!$G:$G,ROW()-8))</f>
      </c>
      <c r="F7096">
        <f>IF(INDEX(Transactions!$J:$J,ROW()-8)="",0,INDEX(Transactions!$O:$O,ROW()-8))</f>
      </c>
    </row>
    <row r="7097" spans="1:7">
      <c r="B7097">
        <f>IF(INDEX(Transactions!$J:$J,ROW()-8)="",TODAY(),INDEX(Transactions!$G:$G,ROW()-8))</f>
      </c>
      <c r="F7097">
        <f>IF(INDEX(Transactions!$J:$J,ROW()-8)="",0,INDEX(Transactions!$O:$O,ROW()-8))</f>
      </c>
    </row>
    <row r="7098" spans="1:7">
      <c r="B7098">
        <f>IF(INDEX(Transactions!$J:$J,ROW()-8)="",TODAY(),INDEX(Transactions!$G:$G,ROW()-8))</f>
      </c>
      <c r="F7098">
        <f>IF(INDEX(Transactions!$J:$J,ROW()-8)="",0,INDEX(Transactions!$O:$O,ROW()-8))</f>
      </c>
    </row>
    <row r="7099" spans="1:7">
      <c r="B7099">
        <f>IF(INDEX(Transactions!$J:$J,ROW()-8)="",TODAY(),INDEX(Transactions!$G:$G,ROW()-8))</f>
      </c>
      <c r="F7099">
        <f>IF(INDEX(Transactions!$J:$J,ROW()-8)="",0,INDEX(Transactions!$O:$O,ROW()-8))</f>
      </c>
    </row>
    <row r="7100" spans="1:7">
      <c r="B7100">
        <f>IF(INDEX(Transactions!$J:$J,ROW()-8)="",TODAY(),INDEX(Transactions!$G:$G,ROW()-8))</f>
      </c>
      <c r="F7100">
        <f>IF(INDEX(Transactions!$J:$J,ROW()-8)="",0,INDEX(Transactions!$O:$O,ROW()-8))</f>
      </c>
    </row>
    <row r="7101" spans="1:7">
      <c r="B7101">
        <f>IF(INDEX(Transactions!$J:$J,ROW()-8)="",TODAY(),INDEX(Transactions!$G:$G,ROW()-8))</f>
      </c>
      <c r="F7101">
        <f>IF(INDEX(Transactions!$J:$J,ROW()-8)="",0,INDEX(Transactions!$O:$O,ROW()-8))</f>
      </c>
    </row>
    <row r="7102" spans="1:7">
      <c r="B7102">
        <f>IF(INDEX(Transactions!$J:$J,ROW()-8)="",TODAY(),INDEX(Transactions!$G:$G,ROW()-8))</f>
      </c>
      <c r="F7102">
        <f>IF(INDEX(Transactions!$J:$J,ROW()-8)="",0,INDEX(Transactions!$O:$O,ROW()-8))</f>
      </c>
    </row>
    <row r="7103" spans="1:7">
      <c r="B7103">
        <f>IF(INDEX(Transactions!$J:$J,ROW()-8)="",TODAY(),INDEX(Transactions!$G:$G,ROW()-8))</f>
      </c>
      <c r="F7103">
        <f>IF(INDEX(Transactions!$J:$J,ROW()-8)="",0,INDEX(Transactions!$O:$O,ROW()-8))</f>
      </c>
    </row>
    <row r="7104" spans="1:7">
      <c r="B7104">
        <f>IF(INDEX(Transactions!$J:$J,ROW()-8)="",TODAY(),INDEX(Transactions!$G:$G,ROW()-8))</f>
      </c>
      <c r="F7104">
        <f>IF(INDEX(Transactions!$J:$J,ROW()-8)="",0,INDEX(Transactions!$O:$O,ROW()-8))</f>
      </c>
    </row>
    <row r="7105" spans="1:7">
      <c r="B7105">
        <f>IF(INDEX(Transactions!$J:$J,ROW()-8)="",TODAY(),INDEX(Transactions!$G:$G,ROW()-8))</f>
      </c>
      <c r="F7105">
        <f>IF(INDEX(Transactions!$J:$J,ROW()-8)="",0,INDEX(Transactions!$O:$O,ROW()-8))</f>
      </c>
    </row>
    <row r="7106" spans="1:7">
      <c r="B7106">
        <f>IF(INDEX(Transactions!$J:$J,ROW()-8)="",TODAY(),INDEX(Transactions!$G:$G,ROW()-8))</f>
      </c>
      <c r="F7106">
        <f>IF(INDEX(Transactions!$J:$J,ROW()-8)="",0,INDEX(Transactions!$O:$O,ROW()-8))</f>
      </c>
    </row>
    <row r="7107" spans="1:7">
      <c r="B7107">
        <f>IF(INDEX(Transactions!$J:$J,ROW()-8)="",TODAY(),INDEX(Transactions!$G:$G,ROW()-8))</f>
      </c>
      <c r="F7107">
        <f>IF(INDEX(Transactions!$J:$J,ROW()-8)="",0,INDEX(Transactions!$O:$O,ROW()-8))</f>
      </c>
    </row>
    <row r="7108" spans="1:7">
      <c r="B7108">
        <f>IF(INDEX(Transactions!$J:$J,ROW()-8)="",TODAY(),INDEX(Transactions!$G:$G,ROW()-8))</f>
      </c>
      <c r="F7108">
        <f>IF(INDEX(Transactions!$J:$J,ROW()-8)="",0,INDEX(Transactions!$O:$O,ROW()-8))</f>
      </c>
    </row>
    <row r="7109" spans="1:7">
      <c r="B7109">
        <f>IF(INDEX(Transactions!$J:$J,ROW()-8)="",TODAY(),INDEX(Transactions!$G:$G,ROW()-8))</f>
      </c>
      <c r="F7109">
        <f>IF(INDEX(Transactions!$J:$J,ROW()-8)="",0,INDEX(Transactions!$O:$O,ROW()-8))</f>
      </c>
    </row>
    <row r="7110" spans="1:7">
      <c r="B7110">
        <f>IF(INDEX(Transactions!$J:$J,ROW()-8)="",TODAY(),INDEX(Transactions!$G:$G,ROW()-8))</f>
      </c>
      <c r="F7110">
        <f>IF(INDEX(Transactions!$J:$J,ROW()-8)="",0,INDEX(Transactions!$O:$O,ROW()-8))</f>
      </c>
    </row>
    <row r="7111" spans="1:7">
      <c r="B7111">
        <f>IF(INDEX(Transactions!$J:$J,ROW()-8)="",TODAY(),INDEX(Transactions!$G:$G,ROW()-8))</f>
      </c>
      <c r="F7111">
        <f>IF(INDEX(Transactions!$J:$J,ROW()-8)="",0,INDEX(Transactions!$O:$O,ROW()-8))</f>
      </c>
    </row>
    <row r="7112" spans="1:7">
      <c r="B7112">
        <f>IF(INDEX(Transactions!$J:$J,ROW()-8)="",TODAY(),INDEX(Transactions!$G:$G,ROW()-8))</f>
      </c>
      <c r="F7112">
        <f>IF(INDEX(Transactions!$J:$J,ROW()-8)="",0,INDEX(Transactions!$O:$O,ROW()-8))</f>
      </c>
    </row>
    <row r="7113" spans="1:7">
      <c r="B7113">
        <f>IF(INDEX(Transactions!$J:$J,ROW()-8)="",TODAY(),INDEX(Transactions!$G:$G,ROW()-8))</f>
      </c>
      <c r="F7113">
        <f>IF(INDEX(Transactions!$J:$J,ROW()-8)="",0,INDEX(Transactions!$O:$O,ROW()-8))</f>
      </c>
    </row>
    <row r="7114" spans="1:7">
      <c r="B7114">
        <f>IF(INDEX(Transactions!$J:$J,ROW()-8)="",TODAY(),INDEX(Transactions!$G:$G,ROW()-8))</f>
      </c>
      <c r="F7114">
        <f>IF(INDEX(Transactions!$J:$J,ROW()-8)="",0,INDEX(Transactions!$O:$O,ROW()-8))</f>
      </c>
    </row>
    <row r="7115" spans="1:7">
      <c r="B7115">
        <f>IF(INDEX(Transactions!$J:$J,ROW()-8)="",TODAY(),INDEX(Transactions!$G:$G,ROW()-8))</f>
      </c>
      <c r="F7115">
        <f>IF(INDEX(Transactions!$J:$J,ROW()-8)="",0,INDEX(Transactions!$O:$O,ROW()-8))</f>
      </c>
    </row>
    <row r="7116" spans="1:7">
      <c r="B7116">
        <f>IF(INDEX(Transactions!$J:$J,ROW()-8)="",TODAY(),INDEX(Transactions!$G:$G,ROW()-8))</f>
      </c>
      <c r="F7116">
        <f>IF(INDEX(Transactions!$J:$J,ROW()-8)="",0,INDEX(Transactions!$O:$O,ROW()-8))</f>
      </c>
    </row>
    <row r="7117" spans="1:7">
      <c r="B7117">
        <f>IF(INDEX(Transactions!$J:$J,ROW()-8)="",TODAY(),INDEX(Transactions!$G:$G,ROW()-8))</f>
      </c>
      <c r="F7117">
        <f>IF(INDEX(Transactions!$J:$J,ROW()-8)="",0,INDEX(Transactions!$O:$O,ROW()-8))</f>
      </c>
    </row>
    <row r="7118" spans="1:7">
      <c r="B7118">
        <f>IF(INDEX(Transactions!$J:$J,ROW()-8)="",TODAY(),INDEX(Transactions!$G:$G,ROW()-8))</f>
      </c>
      <c r="F7118">
        <f>IF(INDEX(Transactions!$J:$J,ROW()-8)="",0,INDEX(Transactions!$O:$O,ROW()-8))</f>
      </c>
    </row>
    <row r="7119" spans="1:7">
      <c r="B7119">
        <f>IF(INDEX(Transactions!$J:$J,ROW()-8)="",TODAY(),INDEX(Transactions!$G:$G,ROW()-8))</f>
      </c>
      <c r="F7119">
        <f>IF(INDEX(Transactions!$J:$J,ROW()-8)="",0,INDEX(Transactions!$O:$O,ROW()-8))</f>
      </c>
    </row>
    <row r="7120" spans="1:7">
      <c r="B7120">
        <f>IF(INDEX(Transactions!$J:$J,ROW()-8)="",TODAY(),INDEX(Transactions!$G:$G,ROW()-8))</f>
      </c>
      <c r="F7120">
        <f>IF(INDEX(Transactions!$J:$J,ROW()-8)="",0,INDEX(Transactions!$O:$O,ROW()-8))</f>
      </c>
    </row>
    <row r="7121" spans="1:7">
      <c r="B7121">
        <f>IF(INDEX(Transactions!$J:$J,ROW()-8)="",TODAY(),INDEX(Transactions!$G:$G,ROW()-8))</f>
      </c>
      <c r="F7121">
        <f>IF(INDEX(Transactions!$J:$J,ROW()-8)="",0,INDEX(Transactions!$O:$O,ROW()-8))</f>
      </c>
    </row>
    <row r="7122" spans="1:7">
      <c r="B7122">
        <f>IF(INDEX(Transactions!$J:$J,ROW()-8)="",TODAY(),INDEX(Transactions!$G:$G,ROW()-8))</f>
      </c>
      <c r="F7122">
        <f>IF(INDEX(Transactions!$J:$J,ROW()-8)="",0,INDEX(Transactions!$O:$O,ROW()-8))</f>
      </c>
    </row>
    <row r="7123" spans="1:7">
      <c r="B7123">
        <f>IF(INDEX(Transactions!$J:$J,ROW()-8)="",TODAY(),INDEX(Transactions!$G:$G,ROW()-8))</f>
      </c>
      <c r="F7123">
        <f>IF(INDEX(Transactions!$J:$J,ROW()-8)="",0,INDEX(Transactions!$O:$O,ROW()-8))</f>
      </c>
    </row>
    <row r="7124" spans="1:7">
      <c r="B7124">
        <f>IF(INDEX(Transactions!$J:$J,ROW()-8)="",TODAY(),INDEX(Transactions!$G:$G,ROW()-8))</f>
      </c>
      <c r="F7124">
        <f>IF(INDEX(Transactions!$J:$J,ROW()-8)="",0,INDEX(Transactions!$O:$O,ROW()-8))</f>
      </c>
    </row>
    <row r="7125" spans="1:7">
      <c r="B7125">
        <f>IF(INDEX(Transactions!$J:$J,ROW()-8)="",TODAY(),INDEX(Transactions!$G:$G,ROW()-8))</f>
      </c>
      <c r="F7125">
        <f>IF(INDEX(Transactions!$J:$J,ROW()-8)="",0,INDEX(Transactions!$O:$O,ROW()-8))</f>
      </c>
    </row>
    <row r="7126" spans="1:7">
      <c r="B7126">
        <f>IF(INDEX(Transactions!$J:$J,ROW()-8)="",TODAY(),INDEX(Transactions!$G:$G,ROW()-8))</f>
      </c>
      <c r="F7126">
        <f>IF(INDEX(Transactions!$J:$J,ROW()-8)="",0,INDEX(Transactions!$O:$O,ROW()-8))</f>
      </c>
    </row>
    <row r="7127" spans="1:7">
      <c r="B7127">
        <f>IF(INDEX(Transactions!$J:$J,ROW()-8)="",TODAY(),INDEX(Transactions!$G:$G,ROW()-8))</f>
      </c>
      <c r="F7127">
        <f>IF(INDEX(Transactions!$J:$J,ROW()-8)="",0,INDEX(Transactions!$O:$O,ROW()-8))</f>
      </c>
    </row>
    <row r="7128" spans="1:7">
      <c r="B7128">
        <f>IF(INDEX(Transactions!$J:$J,ROW()-8)="",TODAY(),INDEX(Transactions!$G:$G,ROW()-8))</f>
      </c>
      <c r="F7128">
        <f>IF(INDEX(Transactions!$J:$J,ROW()-8)="",0,INDEX(Transactions!$O:$O,ROW()-8))</f>
      </c>
    </row>
    <row r="7129" spans="1:7">
      <c r="B7129">
        <f>IF(INDEX(Transactions!$J:$J,ROW()-8)="",TODAY(),INDEX(Transactions!$G:$G,ROW()-8))</f>
      </c>
      <c r="F7129">
        <f>IF(INDEX(Transactions!$J:$J,ROW()-8)="",0,INDEX(Transactions!$O:$O,ROW()-8))</f>
      </c>
    </row>
    <row r="7130" spans="1:7">
      <c r="B7130">
        <f>IF(INDEX(Transactions!$J:$J,ROW()-8)="",TODAY(),INDEX(Transactions!$G:$G,ROW()-8))</f>
      </c>
      <c r="F7130">
        <f>IF(INDEX(Transactions!$J:$J,ROW()-8)="",0,INDEX(Transactions!$O:$O,ROW()-8))</f>
      </c>
    </row>
    <row r="7131" spans="1:7">
      <c r="B7131">
        <f>IF(INDEX(Transactions!$J:$J,ROW()-8)="",TODAY(),INDEX(Transactions!$G:$G,ROW()-8))</f>
      </c>
      <c r="F7131">
        <f>IF(INDEX(Transactions!$J:$J,ROW()-8)="",0,INDEX(Transactions!$O:$O,ROW()-8))</f>
      </c>
    </row>
    <row r="7132" spans="1:7">
      <c r="B7132">
        <f>IF(INDEX(Transactions!$J:$J,ROW()-8)="",TODAY(),INDEX(Transactions!$G:$G,ROW()-8))</f>
      </c>
      <c r="F7132">
        <f>IF(INDEX(Transactions!$J:$J,ROW()-8)="",0,INDEX(Transactions!$O:$O,ROW()-8))</f>
      </c>
    </row>
    <row r="7133" spans="1:7">
      <c r="B7133">
        <f>IF(INDEX(Transactions!$J:$J,ROW()-8)="",TODAY(),INDEX(Transactions!$G:$G,ROW()-8))</f>
      </c>
      <c r="F7133">
        <f>IF(INDEX(Transactions!$J:$J,ROW()-8)="",0,INDEX(Transactions!$O:$O,ROW()-8))</f>
      </c>
    </row>
    <row r="7134" spans="1:7">
      <c r="B7134">
        <f>IF(INDEX(Transactions!$J:$J,ROW()-8)="",TODAY(),INDEX(Transactions!$G:$G,ROW()-8))</f>
      </c>
      <c r="F7134">
        <f>IF(INDEX(Transactions!$J:$J,ROW()-8)="",0,INDEX(Transactions!$O:$O,ROW()-8))</f>
      </c>
    </row>
    <row r="7135" spans="1:7">
      <c r="B7135">
        <f>IF(INDEX(Transactions!$J:$J,ROW()-8)="",TODAY(),INDEX(Transactions!$G:$G,ROW()-8))</f>
      </c>
      <c r="F7135">
        <f>IF(INDEX(Transactions!$J:$J,ROW()-8)="",0,INDEX(Transactions!$O:$O,ROW()-8))</f>
      </c>
    </row>
    <row r="7136" spans="1:7">
      <c r="B7136">
        <f>IF(INDEX(Transactions!$J:$J,ROW()-8)="",TODAY(),INDEX(Transactions!$G:$G,ROW()-8))</f>
      </c>
      <c r="F7136">
        <f>IF(INDEX(Transactions!$J:$J,ROW()-8)="",0,INDEX(Transactions!$O:$O,ROW()-8))</f>
      </c>
    </row>
    <row r="7137" spans="1:7">
      <c r="B7137">
        <f>IF(INDEX(Transactions!$J:$J,ROW()-8)="",TODAY(),INDEX(Transactions!$G:$G,ROW()-8))</f>
      </c>
      <c r="F7137">
        <f>IF(INDEX(Transactions!$J:$J,ROW()-8)="",0,INDEX(Transactions!$O:$O,ROW()-8))</f>
      </c>
    </row>
    <row r="7138" spans="1:7">
      <c r="B7138">
        <f>IF(INDEX(Transactions!$J:$J,ROW()-8)="",TODAY(),INDEX(Transactions!$G:$G,ROW()-8))</f>
      </c>
      <c r="F7138">
        <f>IF(INDEX(Transactions!$J:$J,ROW()-8)="",0,INDEX(Transactions!$O:$O,ROW()-8))</f>
      </c>
    </row>
    <row r="7139" spans="1:7">
      <c r="B7139">
        <f>IF(INDEX(Transactions!$J:$J,ROW()-8)="",TODAY(),INDEX(Transactions!$G:$G,ROW()-8))</f>
      </c>
      <c r="F7139">
        <f>IF(INDEX(Transactions!$J:$J,ROW()-8)="",0,INDEX(Transactions!$O:$O,ROW()-8))</f>
      </c>
    </row>
    <row r="7140" spans="1:7">
      <c r="B7140">
        <f>IF(INDEX(Transactions!$J:$J,ROW()-8)="",TODAY(),INDEX(Transactions!$G:$G,ROW()-8))</f>
      </c>
      <c r="F7140">
        <f>IF(INDEX(Transactions!$J:$J,ROW()-8)="",0,INDEX(Transactions!$O:$O,ROW()-8))</f>
      </c>
    </row>
    <row r="7141" spans="1:7">
      <c r="B7141">
        <f>IF(INDEX(Transactions!$J:$J,ROW()-8)="",TODAY(),INDEX(Transactions!$G:$G,ROW()-8))</f>
      </c>
      <c r="F7141">
        <f>IF(INDEX(Transactions!$J:$J,ROW()-8)="",0,INDEX(Transactions!$O:$O,ROW()-8))</f>
      </c>
    </row>
    <row r="7142" spans="1:7">
      <c r="B7142">
        <f>IF(INDEX(Transactions!$J:$J,ROW()-8)="",TODAY(),INDEX(Transactions!$G:$G,ROW()-8))</f>
      </c>
      <c r="F7142">
        <f>IF(INDEX(Transactions!$J:$J,ROW()-8)="",0,INDEX(Transactions!$O:$O,ROW()-8))</f>
      </c>
    </row>
    <row r="7143" spans="1:7">
      <c r="B7143">
        <f>IF(INDEX(Transactions!$J:$J,ROW()-8)="",TODAY(),INDEX(Transactions!$G:$G,ROW()-8))</f>
      </c>
      <c r="F7143">
        <f>IF(INDEX(Transactions!$J:$J,ROW()-8)="",0,INDEX(Transactions!$O:$O,ROW()-8))</f>
      </c>
    </row>
    <row r="7144" spans="1:7">
      <c r="B7144">
        <f>IF(INDEX(Transactions!$J:$J,ROW()-8)="",TODAY(),INDEX(Transactions!$G:$G,ROW()-8))</f>
      </c>
      <c r="F7144">
        <f>IF(INDEX(Transactions!$J:$J,ROW()-8)="",0,INDEX(Transactions!$O:$O,ROW()-8))</f>
      </c>
    </row>
    <row r="7145" spans="1:7">
      <c r="B7145">
        <f>IF(INDEX(Transactions!$J:$J,ROW()-8)="",TODAY(),INDEX(Transactions!$G:$G,ROW()-8))</f>
      </c>
      <c r="F7145">
        <f>IF(INDEX(Transactions!$J:$J,ROW()-8)="",0,INDEX(Transactions!$O:$O,ROW()-8))</f>
      </c>
    </row>
    <row r="7146" spans="1:7">
      <c r="B7146">
        <f>IF(INDEX(Transactions!$J:$J,ROW()-8)="",TODAY(),INDEX(Transactions!$G:$G,ROW()-8))</f>
      </c>
      <c r="F7146">
        <f>IF(INDEX(Transactions!$J:$J,ROW()-8)="",0,INDEX(Transactions!$O:$O,ROW()-8))</f>
      </c>
    </row>
    <row r="7147" spans="1:7">
      <c r="B7147">
        <f>IF(INDEX(Transactions!$J:$J,ROW()-8)="",TODAY(),INDEX(Transactions!$G:$G,ROW()-8))</f>
      </c>
      <c r="F7147">
        <f>IF(INDEX(Transactions!$J:$J,ROW()-8)="",0,INDEX(Transactions!$O:$O,ROW()-8))</f>
      </c>
    </row>
    <row r="7148" spans="1:7">
      <c r="B7148">
        <f>IF(INDEX(Transactions!$J:$J,ROW()-8)="",TODAY(),INDEX(Transactions!$G:$G,ROW()-8))</f>
      </c>
      <c r="F7148">
        <f>IF(INDEX(Transactions!$J:$J,ROW()-8)="",0,INDEX(Transactions!$O:$O,ROW()-8))</f>
      </c>
    </row>
    <row r="7149" spans="1:7">
      <c r="B7149">
        <f>IF(INDEX(Transactions!$J:$J,ROW()-8)="",TODAY(),INDEX(Transactions!$G:$G,ROW()-8))</f>
      </c>
      <c r="F7149">
        <f>IF(INDEX(Transactions!$J:$J,ROW()-8)="",0,INDEX(Transactions!$O:$O,ROW()-8))</f>
      </c>
    </row>
    <row r="7150" spans="1:7">
      <c r="B7150">
        <f>IF(INDEX(Transactions!$J:$J,ROW()-8)="",TODAY(),INDEX(Transactions!$G:$G,ROW()-8))</f>
      </c>
      <c r="F7150">
        <f>IF(INDEX(Transactions!$J:$J,ROW()-8)="",0,INDEX(Transactions!$O:$O,ROW()-8))</f>
      </c>
    </row>
    <row r="7151" spans="1:7">
      <c r="B7151">
        <f>IF(INDEX(Transactions!$J:$J,ROW()-8)="",TODAY(),INDEX(Transactions!$G:$G,ROW()-8))</f>
      </c>
      <c r="F7151">
        <f>IF(INDEX(Transactions!$J:$J,ROW()-8)="",0,INDEX(Transactions!$O:$O,ROW()-8))</f>
      </c>
    </row>
    <row r="7152" spans="1:7">
      <c r="B7152">
        <f>IF(INDEX(Transactions!$J:$J,ROW()-8)="",TODAY(),INDEX(Transactions!$G:$G,ROW()-8))</f>
      </c>
      <c r="F7152">
        <f>IF(INDEX(Transactions!$J:$J,ROW()-8)="",0,INDEX(Transactions!$O:$O,ROW()-8))</f>
      </c>
    </row>
    <row r="7153" spans="1:7">
      <c r="B7153">
        <f>IF(INDEX(Transactions!$J:$J,ROW()-8)="",TODAY(),INDEX(Transactions!$G:$G,ROW()-8))</f>
      </c>
      <c r="F7153">
        <f>IF(INDEX(Transactions!$J:$J,ROW()-8)="",0,INDEX(Transactions!$O:$O,ROW()-8))</f>
      </c>
    </row>
    <row r="7154" spans="1:7">
      <c r="B7154">
        <f>IF(INDEX(Transactions!$J:$J,ROW()-8)="",TODAY(),INDEX(Transactions!$G:$G,ROW()-8))</f>
      </c>
      <c r="F7154">
        <f>IF(INDEX(Transactions!$J:$J,ROW()-8)="",0,INDEX(Transactions!$O:$O,ROW()-8))</f>
      </c>
    </row>
    <row r="7155" spans="1:7">
      <c r="B7155">
        <f>IF(INDEX(Transactions!$J:$J,ROW()-8)="",TODAY(),INDEX(Transactions!$G:$G,ROW()-8))</f>
      </c>
      <c r="F7155">
        <f>IF(INDEX(Transactions!$J:$J,ROW()-8)="",0,INDEX(Transactions!$O:$O,ROW()-8))</f>
      </c>
    </row>
    <row r="7156" spans="1:7">
      <c r="B7156">
        <f>IF(INDEX(Transactions!$J:$J,ROW()-8)="",TODAY(),INDEX(Transactions!$G:$G,ROW()-8))</f>
      </c>
      <c r="F7156">
        <f>IF(INDEX(Transactions!$J:$J,ROW()-8)="",0,INDEX(Transactions!$O:$O,ROW()-8))</f>
      </c>
    </row>
    <row r="7157" spans="1:7">
      <c r="B7157">
        <f>IF(INDEX(Transactions!$J:$J,ROW()-8)="",TODAY(),INDEX(Transactions!$G:$G,ROW()-8))</f>
      </c>
      <c r="F7157">
        <f>IF(INDEX(Transactions!$J:$J,ROW()-8)="",0,INDEX(Transactions!$O:$O,ROW()-8))</f>
      </c>
    </row>
    <row r="7158" spans="1:7">
      <c r="B7158">
        <f>IF(INDEX(Transactions!$J:$J,ROW()-8)="",TODAY(),INDEX(Transactions!$G:$G,ROW()-8))</f>
      </c>
      <c r="F7158">
        <f>IF(INDEX(Transactions!$J:$J,ROW()-8)="",0,INDEX(Transactions!$O:$O,ROW()-8))</f>
      </c>
    </row>
    <row r="7159" spans="1:7">
      <c r="B7159">
        <f>IF(INDEX(Transactions!$J:$J,ROW()-8)="",TODAY(),INDEX(Transactions!$G:$G,ROW()-8))</f>
      </c>
      <c r="F7159">
        <f>IF(INDEX(Transactions!$J:$J,ROW()-8)="",0,INDEX(Transactions!$O:$O,ROW()-8))</f>
      </c>
    </row>
    <row r="7160" spans="1:7">
      <c r="B7160">
        <f>IF(INDEX(Transactions!$J:$J,ROW()-8)="",TODAY(),INDEX(Transactions!$G:$G,ROW()-8))</f>
      </c>
      <c r="F7160">
        <f>IF(INDEX(Transactions!$J:$J,ROW()-8)="",0,INDEX(Transactions!$O:$O,ROW()-8))</f>
      </c>
    </row>
    <row r="7161" spans="1:7">
      <c r="B7161">
        <f>IF(INDEX(Transactions!$J:$J,ROW()-8)="",TODAY(),INDEX(Transactions!$G:$G,ROW()-8))</f>
      </c>
      <c r="F7161">
        <f>IF(INDEX(Transactions!$J:$J,ROW()-8)="",0,INDEX(Transactions!$O:$O,ROW()-8))</f>
      </c>
    </row>
    <row r="7162" spans="1:7">
      <c r="B7162">
        <f>IF(INDEX(Transactions!$J:$J,ROW()-8)="",TODAY(),INDEX(Transactions!$G:$G,ROW()-8))</f>
      </c>
      <c r="F7162">
        <f>IF(INDEX(Transactions!$J:$J,ROW()-8)="",0,INDEX(Transactions!$O:$O,ROW()-8))</f>
      </c>
    </row>
    <row r="7163" spans="1:7">
      <c r="B7163">
        <f>IF(INDEX(Transactions!$J:$J,ROW()-8)="",TODAY(),INDEX(Transactions!$G:$G,ROW()-8))</f>
      </c>
      <c r="F7163">
        <f>IF(INDEX(Transactions!$J:$J,ROW()-8)="",0,INDEX(Transactions!$O:$O,ROW()-8))</f>
      </c>
    </row>
    <row r="7164" spans="1:7">
      <c r="B7164">
        <f>IF(INDEX(Transactions!$J:$J,ROW()-8)="",TODAY(),INDEX(Transactions!$G:$G,ROW()-8))</f>
      </c>
      <c r="F7164">
        <f>IF(INDEX(Transactions!$J:$J,ROW()-8)="",0,INDEX(Transactions!$O:$O,ROW()-8))</f>
      </c>
    </row>
    <row r="7165" spans="1:7">
      <c r="B7165">
        <f>IF(INDEX(Transactions!$J:$J,ROW()-8)="",TODAY(),INDEX(Transactions!$G:$G,ROW()-8))</f>
      </c>
      <c r="F7165">
        <f>IF(INDEX(Transactions!$J:$J,ROW()-8)="",0,INDEX(Transactions!$O:$O,ROW()-8))</f>
      </c>
    </row>
    <row r="7166" spans="1:7">
      <c r="B7166">
        <f>IF(INDEX(Transactions!$J:$J,ROW()-8)="",TODAY(),INDEX(Transactions!$G:$G,ROW()-8))</f>
      </c>
      <c r="F7166">
        <f>IF(INDEX(Transactions!$J:$J,ROW()-8)="",0,INDEX(Transactions!$O:$O,ROW()-8))</f>
      </c>
    </row>
    <row r="7167" spans="1:7">
      <c r="B7167">
        <f>IF(INDEX(Transactions!$J:$J,ROW()-8)="",TODAY(),INDEX(Transactions!$G:$G,ROW()-8))</f>
      </c>
      <c r="F7167">
        <f>IF(INDEX(Transactions!$J:$J,ROW()-8)="",0,INDEX(Transactions!$O:$O,ROW()-8))</f>
      </c>
    </row>
    <row r="7168" spans="1:7">
      <c r="B7168">
        <f>IF(INDEX(Transactions!$J:$J,ROW()-8)="",TODAY(),INDEX(Transactions!$G:$G,ROW()-8))</f>
      </c>
      <c r="F7168">
        <f>IF(INDEX(Transactions!$J:$J,ROW()-8)="",0,INDEX(Transactions!$O:$O,ROW()-8))</f>
      </c>
    </row>
    <row r="7169" spans="1:7">
      <c r="B7169">
        <f>IF(INDEX(Transactions!$J:$J,ROW()-8)="",TODAY(),INDEX(Transactions!$G:$G,ROW()-8))</f>
      </c>
      <c r="F7169">
        <f>IF(INDEX(Transactions!$J:$J,ROW()-8)="",0,INDEX(Transactions!$O:$O,ROW()-8))</f>
      </c>
    </row>
    <row r="7170" spans="1:7">
      <c r="B7170">
        <f>IF(INDEX(Transactions!$J:$J,ROW()-8)="",TODAY(),INDEX(Transactions!$G:$G,ROW()-8))</f>
      </c>
      <c r="F7170">
        <f>IF(INDEX(Transactions!$J:$J,ROW()-8)="",0,INDEX(Transactions!$O:$O,ROW()-8))</f>
      </c>
    </row>
    <row r="7171" spans="1:7">
      <c r="B7171">
        <f>IF(INDEX(Transactions!$J:$J,ROW()-8)="",TODAY(),INDEX(Transactions!$G:$G,ROW()-8))</f>
      </c>
      <c r="F7171">
        <f>IF(INDEX(Transactions!$J:$J,ROW()-8)="",0,INDEX(Transactions!$O:$O,ROW()-8))</f>
      </c>
    </row>
    <row r="7172" spans="1:7">
      <c r="B7172">
        <f>IF(INDEX(Transactions!$J:$J,ROW()-8)="",TODAY(),INDEX(Transactions!$G:$G,ROW()-8))</f>
      </c>
      <c r="F7172">
        <f>IF(INDEX(Transactions!$J:$J,ROW()-8)="",0,INDEX(Transactions!$O:$O,ROW()-8))</f>
      </c>
    </row>
    <row r="7173" spans="1:7">
      <c r="B7173">
        <f>IF(INDEX(Transactions!$J:$J,ROW()-8)="",TODAY(),INDEX(Transactions!$G:$G,ROW()-8))</f>
      </c>
      <c r="F7173">
        <f>IF(INDEX(Transactions!$J:$J,ROW()-8)="",0,INDEX(Transactions!$O:$O,ROW()-8))</f>
      </c>
    </row>
    <row r="7174" spans="1:7">
      <c r="B7174">
        <f>IF(INDEX(Transactions!$J:$J,ROW()-8)="",TODAY(),INDEX(Transactions!$G:$G,ROW()-8))</f>
      </c>
      <c r="F7174">
        <f>IF(INDEX(Transactions!$J:$J,ROW()-8)="",0,INDEX(Transactions!$O:$O,ROW()-8))</f>
      </c>
    </row>
    <row r="7175" spans="1:7">
      <c r="B7175">
        <f>IF(INDEX(Transactions!$J:$J,ROW()-8)="",TODAY(),INDEX(Transactions!$G:$G,ROW()-8))</f>
      </c>
      <c r="F7175">
        <f>IF(INDEX(Transactions!$J:$J,ROW()-8)="",0,INDEX(Transactions!$O:$O,ROW()-8))</f>
      </c>
    </row>
    <row r="7176" spans="1:7">
      <c r="B7176">
        <f>IF(INDEX(Transactions!$J:$J,ROW()-8)="",TODAY(),INDEX(Transactions!$G:$G,ROW()-8))</f>
      </c>
      <c r="F7176">
        <f>IF(INDEX(Transactions!$J:$J,ROW()-8)="",0,INDEX(Transactions!$O:$O,ROW()-8))</f>
      </c>
    </row>
    <row r="7177" spans="1:7">
      <c r="B7177">
        <f>IF(INDEX(Transactions!$J:$J,ROW()-8)="",TODAY(),INDEX(Transactions!$G:$G,ROW()-8))</f>
      </c>
      <c r="F7177">
        <f>IF(INDEX(Transactions!$J:$J,ROW()-8)="",0,INDEX(Transactions!$O:$O,ROW()-8))</f>
      </c>
    </row>
    <row r="7178" spans="1:7">
      <c r="B7178">
        <f>IF(INDEX(Transactions!$J:$J,ROW()-8)="",TODAY(),INDEX(Transactions!$G:$G,ROW()-8))</f>
      </c>
      <c r="F7178">
        <f>IF(INDEX(Transactions!$J:$J,ROW()-8)="",0,INDEX(Transactions!$O:$O,ROW()-8))</f>
      </c>
    </row>
    <row r="7179" spans="1:7">
      <c r="B7179">
        <f>IF(INDEX(Transactions!$J:$J,ROW()-8)="",TODAY(),INDEX(Transactions!$G:$G,ROW()-8))</f>
      </c>
      <c r="F7179">
        <f>IF(INDEX(Transactions!$J:$J,ROW()-8)="",0,INDEX(Transactions!$O:$O,ROW()-8))</f>
      </c>
    </row>
    <row r="7180" spans="1:7">
      <c r="B7180">
        <f>IF(INDEX(Transactions!$J:$J,ROW()-8)="",TODAY(),INDEX(Transactions!$G:$G,ROW()-8))</f>
      </c>
      <c r="F7180">
        <f>IF(INDEX(Transactions!$J:$J,ROW()-8)="",0,INDEX(Transactions!$O:$O,ROW()-8))</f>
      </c>
    </row>
    <row r="7181" spans="1:7">
      <c r="B7181">
        <f>IF(INDEX(Transactions!$J:$J,ROW()-8)="",TODAY(),INDEX(Transactions!$G:$G,ROW()-8))</f>
      </c>
      <c r="F7181">
        <f>IF(INDEX(Transactions!$J:$J,ROW()-8)="",0,INDEX(Transactions!$O:$O,ROW()-8))</f>
      </c>
    </row>
    <row r="7182" spans="1:7">
      <c r="B7182">
        <f>IF(INDEX(Transactions!$J:$J,ROW()-8)="",TODAY(),INDEX(Transactions!$G:$G,ROW()-8))</f>
      </c>
      <c r="F7182">
        <f>IF(INDEX(Transactions!$J:$J,ROW()-8)="",0,INDEX(Transactions!$O:$O,ROW()-8))</f>
      </c>
    </row>
    <row r="7183" spans="1:7">
      <c r="B7183">
        <f>IF(INDEX(Transactions!$J:$J,ROW()-8)="",TODAY(),INDEX(Transactions!$G:$G,ROW()-8))</f>
      </c>
      <c r="F7183">
        <f>IF(INDEX(Transactions!$J:$J,ROW()-8)="",0,INDEX(Transactions!$O:$O,ROW()-8))</f>
      </c>
    </row>
    <row r="7184" spans="1:7">
      <c r="B7184">
        <f>IF(INDEX(Transactions!$J:$J,ROW()-8)="",TODAY(),INDEX(Transactions!$G:$G,ROW()-8))</f>
      </c>
      <c r="F7184">
        <f>IF(INDEX(Transactions!$J:$J,ROW()-8)="",0,INDEX(Transactions!$O:$O,ROW()-8))</f>
      </c>
    </row>
    <row r="7185" spans="1:7">
      <c r="B7185">
        <f>IF(INDEX(Transactions!$J:$J,ROW()-8)="",TODAY(),INDEX(Transactions!$G:$G,ROW()-8))</f>
      </c>
      <c r="F7185">
        <f>IF(INDEX(Transactions!$J:$J,ROW()-8)="",0,INDEX(Transactions!$O:$O,ROW()-8))</f>
      </c>
    </row>
    <row r="7186" spans="1:7">
      <c r="B7186">
        <f>IF(INDEX(Transactions!$J:$J,ROW()-8)="",TODAY(),INDEX(Transactions!$G:$G,ROW()-8))</f>
      </c>
      <c r="F7186">
        <f>IF(INDEX(Transactions!$J:$J,ROW()-8)="",0,INDEX(Transactions!$O:$O,ROW()-8))</f>
      </c>
    </row>
    <row r="7187" spans="1:7">
      <c r="B7187">
        <f>IF(INDEX(Transactions!$J:$J,ROW()-8)="",TODAY(),INDEX(Transactions!$G:$G,ROW()-8))</f>
      </c>
      <c r="F7187">
        <f>IF(INDEX(Transactions!$J:$J,ROW()-8)="",0,INDEX(Transactions!$O:$O,ROW()-8))</f>
      </c>
    </row>
    <row r="7188" spans="1:7">
      <c r="B7188">
        <f>IF(INDEX(Transactions!$J:$J,ROW()-8)="",TODAY(),INDEX(Transactions!$G:$G,ROW()-8))</f>
      </c>
      <c r="F7188">
        <f>IF(INDEX(Transactions!$J:$J,ROW()-8)="",0,INDEX(Transactions!$O:$O,ROW()-8))</f>
      </c>
    </row>
    <row r="7189" spans="1:7">
      <c r="B7189">
        <f>IF(INDEX(Transactions!$J:$J,ROW()-8)="",TODAY(),INDEX(Transactions!$G:$G,ROW()-8))</f>
      </c>
      <c r="F7189">
        <f>IF(INDEX(Transactions!$J:$J,ROW()-8)="",0,INDEX(Transactions!$O:$O,ROW()-8))</f>
      </c>
    </row>
    <row r="7190" spans="1:7">
      <c r="B7190">
        <f>IF(INDEX(Transactions!$J:$J,ROW()-8)="",TODAY(),INDEX(Transactions!$G:$G,ROW()-8))</f>
      </c>
      <c r="F7190">
        <f>IF(INDEX(Transactions!$J:$J,ROW()-8)="",0,INDEX(Transactions!$O:$O,ROW()-8))</f>
      </c>
    </row>
    <row r="7191" spans="1:7">
      <c r="B7191">
        <f>IF(INDEX(Transactions!$J:$J,ROW()-8)="",TODAY(),INDEX(Transactions!$G:$G,ROW()-8))</f>
      </c>
      <c r="F7191">
        <f>IF(INDEX(Transactions!$J:$J,ROW()-8)="",0,INDEX(Transactions!$O:$O,ROW()-8))</f>
      </c>
    </row>
    <row r="7192" spans="1:7">
      <c r="B7192">
        <f>IF(INDEX(Transactions!$J:$J,ROW()-8)="",TODAY(),INDEX(Transactions!$G:$G,ROW()-8))</f>
      </c>
      <c r="F7192">
        <f>IF(INDEX(Transactions!$J:$J,ROW()-8)="",0,INDEX(Transactions!$O:$O,ROW()-8))</f>
      </c>
    </row>
    <row r="7193" spans="1:7">
      <c r="B7193">
        <f>IF(INDEX(Transactions!$J:$J,ROW()-8)="",TODAY(),INDEX(Transactions!$G:$G,ROW()-8))</f>
      </c>
      <c r="F7193">
        <f>IF(INDEX(Transactions!$J:$J,ROW()-8)="",0,INDEX(Transactions!$O:$O,ROW()-8))</f>
      </c>
    </row>
    <row r="7194" spans="1:7">
      <c r="B7194">
        <f>IF(INDEX(Transactions!$J:$J,ROW()-8)="",TODAY(),INDEX(Transactions!$G:$G,ROW()-8))</f>
      </c>
      <c r="F7194">
        <f>IF(INDEX(Transactions!$J:$J,ROW()-8)="",0,INDEX(Transactions!$O:$O,ROW()-8))</f>
      </c>
    </row>
    <row r="7195" spans="1:7">
      <c r="B7195">
        <f>IF(INDEX(Transactions!$J:$J,ROW()-8)="",TODAY(),INDEX(Transactions!$G:$G,ROW()-8))</f>
      </c>
      <c r="F7195">
        <f>IF(INDEX(Transactions!$J:$J,ROW()-8)="",0,INDEX(Transactions!$O:$O,ROW()-8))</f>
      </c>
    </row>
    <row r="7196" spans="1:7">
      <c r="B7196">
        <f>IF(INDEX(Transactions!$J:$J,ROW()-8)="",TODAY(),INDEX(Transactions!$G:$G,ROW()-8))</f>
      </c>
      <c r="F7196">
        <f>IF(INDEX(Transactions!$J:$J,ROW()-8)="",0,INDEX(Transactions!$O:$O,ROW()-8))</f>
      </c>
    </row>
    <row r="7197" spans="1:7">
      <c r="B7197">
        <f>IF(INDEX(Transactions!$J:$J,ROW()-8)="",TODAY(),INDEX(Transactions!$G:$G,ROW()-8))</f>
      </c>
      <c r="F7197">
        <f>IF(INDEX(Transactions!$J:$J,ROW()-8)="",0,INDEX(Transactions!$O:$O,ROW()-8))</f>
      </c>
    </row>
    <row r="7198" spans="1:7">
      <c r="B7198">
        <f>IF(INDEX(Transactions!$J:$J,ROW()-8)="",TODAY(),INDEX(Transactions!$G:$G,ROW()-8))</f>
      </c>
      <c r="F7198">
        <f>IF(INDEX(Transactions!$J:$J,ROW()-8)="",0,INDEX(Transactions!$O:$O,ROW()-8))</f>
      </c>
    </row>
    <row r="7199" spans="1:7">
      <c r="B7199">
        <f>IF(INDEX(Transactions!$J:$J,ROW()-8)="",TODAY(),INDEX(Transactions!$G:$G,ROW()-8))</f>
      </c>
      <c r="F7199">
        <f>IF(INDEX(Transactions!$J:$J,ROW()-8)="",0,INDEX(Transactions!$O:$O,ROW()-8))</f>
      </c>
    </row>
    <row r="7200" spans="1:7">
      <c r="B7200">
        <f>IF(INDEX(Transactions!$J:$J,ROW()-8)="",TODAY(),INDEX(Transactions!$G:$G,ROW()-8))</f>
      </c>
      <c r="F7200">
        <f>IF(INDEX(Transactions!$J:$J,ROW()-8)="",0,INDEX(Transactions!$O:$O,ROW()-8))</f>
      </c>
    </row>
    <row r="7201" spans="1:7">
      <c r="B7201">
        <f>IF(INDEX(Transactions!$J:$J,ROW()-8)="",TODAY(),INDEX(Transactions!$G:$G,ROW()-8))</f>
      </c>
      <c r="F7201">
        <f>IF(INDEX(Transactions!$J:$J,ROW()-8)="",0,INDEX(Transactions!$O:$O,ROW()-8))</f>
      </c>
    </row>
    <row r="7202" spans="1:7">
      <c r="B7202">
        <f>IF(INDEX(Transactions!$J:$J,ROW()-8)="",TODAY(),INDEX(Transactions!$G:$G,ROW()-8))</f>
      </c>
      <c r="F7202">
        <f>IF(INDEX(Transactions!$J:$J,ROW()-8)="",0,INDEX(Transactions!$O:$O,ROW()-8))</f>
      </c>
    </row>
    <row r="7203" spans="1:7">
      <c r="B7203">
        <f>IF(INDEX(Transactions!$J:$J,ROW()-8)="",TODAY(),INDEX(Transactions!$G:$G,ROW()-8))</f>
      </c>
      <c r="F7203">
        <f>IF(INDEX(Transactions!$J:$J,ROW()-8)="",0,INDEX(Transactions!$O:$O,ROW()-8))</f>
      </c>
    </row>
    <row r="7204" spans="1:7">
      <c r="B7204">
        <f>IF(INDEX(Transactions!$J:$J,ROW()-8)="",TODAY(),INDEX(Transactions!$G:$G,ROW()-8))</f>
      </c>
      <c r="F7204">
        <f>IF(INDEX(Transactions!$J:$J,ROW()-8)="",0,INDEX(Transactions!$O:$O,ROW()-8))</f>
      </c>
    </row>
    <row r="7205" spans="1:7">
      <c r="B7205">
        <f>IF(INDEX(Transactions!$J:$J,ROW()-8)="",TODAY(),INDEX(Transactions!$G:$G,ROW()-8))</f>
      </c>
      <c r="F7205">
        <f>IF(INDEX(Transactions!$J:$J,ROW()-8)="",0,INDEX(Transactions!$O:$O,ROW()-8))</f>
      </c>
    </row>
    <row r="7206" spans="1:7">
      <c r="B7206">
        <f>IF(INDEX(Transactions!$J:$J,ROW()-8)="",TODAY(),INDEX(Transactions!$G:$G,ROW()-8))</f>
      </c>
      <c r="F7206">
        <f>IF(INDEX(Transactions!$J:$J,ROW()-8)="",0,INDEX(Transactions!$O:$O,ROW()-8))</f>
      </c>
    </row>
    <row r="7207" spans="1:7">
      <c r="B7207">
        <f>IF(INDEX(Transactions!$J:$J,ROW()-8)="",TODAY(),INDEX(Transactions!$G:$G,ROW()-8))</f>
      </c>
      <c r="F7207">
        <f>IF(INDEX(Transactions!$J:$J,ROW()-8)="",0,INDEX(Transactions!$O:$O,ROW()-8))</f>
      </c>
    </row>
    <row r="7208" spans="1:7">
      <c r="B7208">
        <f>IF(INDEX(Transactions!$J:$J,ROW()-8)="",TODAY(),INDEX(Transactions!$G:$G,ROW()-8))</f>
      </c>
      <c r="F7208">
        <f>IF(INDEX(Transactions!$J:$J,ROW()-8)="",0,INDEX(Transactions!$O:$O,ROW()-8))</f>
      </c>
    </row>
    <row r="7209" spans="1:7">
      <c r="B7209">
        <f>IF(INDEX(Transactions!$J:$J,ROW()-8)="",TODAY(),INDEX(Transactions!$G:$G,ROW()-8))</f>
      </c>
      <c r="F7209">
        <f>IF(INDEX(Transactions!$J:$J,ROW()-8)="",0,INDEX(Transactions!$O:$O,ROW()-8))</f>
      </c>
    </row>
    <row r="7210" spans="1:7">
      <c r="B7210">
        <f>IF(INDEX(Transactions!$J:$J,ROW()-8)="",TODAY(),INDEX(Transactions!$G:$G,ROW()-8))</f>
      </c>
      <c r="F7210">
        <f>IF(INDEX(Transactions!$J:$J,ROW()-8)="",0,INDEX(Transactions!$O:$O,ROW()-8))</f>
      </c>
    </row>
    <row r="7211" spans="1:7">
      <c r="B7211">
        <f>IF(INDEX(Transactions!$J:$J,ROW()-8)="",TODAY(),INDEX(Transactions!$G:$G,ROW()-8))</f>
      </c>
      <c r="F7211">
        <f>IF(INDEX(Transactions!$J:$J,ROW()-8)="",0,INDEX(Transactions!$O:$O,ROW()-8))</f>
      </c>
    </row>
    <row r="7212" spans="1:7">
      <c r="B7212">
        <f>IF(INDEX(Transactions!$J:$J,ROW()-8)="",TODAY(),INDEX(Transactions!$G:$G,ROW()-8))</f>
      </c>
      <c r="F7212">
        <f>IF(INDEX(Transactions!$J:$J,ROW()-8)="",0,INDEX(Transactions!$O:$O,ROW()-8))</f>
      </c>
    </row>
    <row r="7213" spans="1:7">
      <c r="B7213">
        <f>IF(INDEX(Transactions!$J:$J,ROW()-8)="",TODAY(),INDEX(Transactions!$G:$G,ROW()-8))</f>
      </c>
      <c r="F7213">
        <f>IF(INDEX(Transactions!$J:$J,ROW()-8)="",0,INDEX(Transactions!$O:$O,ROW()-8))</f>
      </c>
    </row>
    <row r="7214" spans="1:7">
      <c r="B7214">
        <f>IF(INDEX(Transactions!$J:$J,ROW()-8)="",TODAY(),INDEX(Transactions!$G:$G,ROW()-8))</f>
      </c>
      <c r="F7214">
        <f>IF(INDEX(Transactions!$J:$J,ROW()-8)="",0,INDEX(Transactions!$O:$O,ROW()-8))</f>
      </c>
    </row>
    <row r="7215" spans="1:7">
      <c r="B7215">
        <f>IF(INDEX(Transactions!$J:$J,ROW()-8)="",TODAY(),INDEX(Transactions!$G:$G,ROW()-8))</f>
      </c>
      <c r="F7215">
        <f>IF(INDEX(Transactions!$J:$J,ROW()-8)="",0,INDEX(Transactions!$O:$O,ROW()-8))</f>
      </c>
    </row>
    <row r="7216" spans="1:7">
      <c r="B7216">
        <f>IF(INDEX(Transactions!$J:$J,ROW()-8)="",TODAY(),INDEX(Transactions!$G:$G,ROW()-8))</f>
      </c>
      <c r="F7216">
        <f>IF(INDEX(Transactions!$J:$J,ROW()-8)="",0,INDEX(Transactions!$O:$O,ROW()-8))</f>
      </c>
    </row>
    <row r="7217" spans="1:7">
      <c r="B7217">
        <f>IF(INDEX(Transactions!$J:$J,ROW()-8)="",TODAY(),INDEX(Transactions!$G:$G,ROW()-8))</f>
      </c>
      <c r="F7217">
        <f>IF(INDEX(Transactions!$J:$J,ROW()-8)="",0,INDEX(Transactions!$O:$O,ROW()-8))</f>
      </c>
    </row>
    <row r="7218" spans="1:7">
      <c r="B7218">
        <f>IF(INDEX(Transactions!$J:$J,ROW()-8)="",TODAY(),INDEX(Transactions!$G:$G,ROW()-8))</f>
      </c>
      <c r="F7218">
        <f>IF(INDEX(Transactions!$J:$J,ROW()-8)="",0,INDEX(Transactions!$O:$O,ROW()-8))</f>
      </c>
    </row>
    <row r="7219" spans="1:7">
      <c r="B7219">
        <f>IF(INDEX(Transactions!$J:$J,ROW()-8)="",TODAY(),INDEX(Transactions!$G:$G,ROW()-8))</f>
      </c>
      <c r="F7219">
        <f>IF(INDEX(Transactions!$J:$J,ROW()-8)="",0,INDEX(Transactions!$O:$O,ROW()-8))</f>
      </c>
    </row>
    <row r="7220" spans="1:7">
      <c r="B7220">
        <f>IF(INDEX(Transactions!$J:$J,ROW()-8)="",TODAY(),INDEX(Transactions!$G:$G,ROW()-8))</f>
      </c>
      <c r="F7220">
        <f>IF(INDEX(Transactions!$J:$J,ROW()-8)="",0,INDEX(Transactions!$O:$O,ROW()-8))</f>
      </c>
    </row>
    <row r="7221" spans="1:7">
      <c r="B7221">
        <f>IF(INDEX(Transactions!$J:$J,ROW()-8)="",TODAY(),INDEX(Transactions!$G:$G,ROW()-8))</f>
      </c>
      <c r="F7221">
        <f>IF(INDEX(Transactions!$J:$J,ROW()-8)="",0,INDEX(Transactions!$O:$O,ROW()-8))</f>
      </c>
    </row>
    <row r="7222" spans="1:7">
      <c r="B7222">
        <f>IF(INDEX(Transactions!$J:$J,ROW()-8)="",TODAY(),INDEX(Transactions!$G:$G,ROW()-8))</f>
      </c>
      <c r="F7222">
        <f>IF(INDEX(Transactions!$J:$J,ROW()-8)="",0,INDEX(Transactions!$O:$O,ROW()-8))</f>
      </c>
    </row>
    <row r="7223" spans="1:7">
      <c r="B7223">
        <f>IF(INDEX(Transactions!$J:$J,ROW()-8)="",TODAY(),INDEX(Transactions!$G:$G,ROW()-8))</f>
      </c>
      <c r="F7223">
        <f>IF(INDEX(Transactions!$J:$J,ROW()-8)="",0,INDEX(Transactions!$O:$O,ROW()-8))</f>
      </c>
    </row>
    <row r="7224" spans="1:7">
      <c r="B7224">
        <f>IF(INDEX(Transactions!$J:$J,ROW()-8)="",TODAY(),INDEX(Transactions!$G:$G,ROW()-8))</f>
      </c>
      <c r="F7224">
        <f>IF(INDEX(Transactions!$J:$J,ROW()-8)="",0,INDEX(Transactions!$O:$O,ROW()-8))</f>
      </c>
    </row>
    <row r="7225" spans="1:7">
      <c r="B7225">
        <f>IF(INDEX(Transactions!$J:$J,ROW()-8)="",TODAY(),INDEX(Transactions!$G:$G,ROW()-8))</f>
      </c>
      <c r="F7225">
        <f>IF(INDEX(Transactions!$J:$J,ROW()-8)="",0,INDEX(Transactions!$O:$O,ROW()-8))</f>
      </c>
    </row>
    <row r="7226" spans="1:7">
      <c r="B7226">
        <f>IF(INDEX(Transactions!$J:$J,ROW()-8)="",TODAY(),INDEX(Transactions!$G:$G,ROW()-8))</f>
      </c>
      <c r="F7226">
        <f>IF(INDEX(Transactions!$J:$J,ROW()-8)="",0,INDEX(Transactions!$O:$O,ROW()-8))</f>
      </c>
    </row>
    <row r="7227" spans="1:7">
      <c r="B7227">
        <f>IF(INDEX(Transactions!$J:$J,ROW()-8)="",TODAY(),INDEX(Transactions!$G:$G,ROW()-8))</f>
      </c>
      <c r="F7227">
        <f>IF(INDEX(Transactions!$J:$J,ROW()-8)="",0,INDEX(Transactions!$O:$O,ROW()-8))</f>
      </c>
    </row>
    <row r="7228" spans="1:7">
      <c r="B7228">
        <f>IF(INDEX(Transactions!$J:$J,ROW()-8)="",TODAY(),INDEX(Transactions!$G:$G,ROW()-8))</f>
      </c>
      <c r="F7228">
        <f>IF(INDEX(Transactions!$J:$J,ROW()-8)="",0,INDEX(Transactions!$O:$O,ROW()-8))</f>
      </c>
    </row>
    <row r="7229" spans="1:7">
      <c r="B7229">
        <f>IF(INDEX(Transactions!$J:$J,ROW()-8)="",TODAY(),INDEX(Transactions!$G:$G,ROW()-8))</f>
      </c>
      <c r="F7229">
        <f>IF(INDEX(Transactions!$J:$J,ROW()-8)="",0,INDEX(Transactions!$O:$O,ROW()-8))</f>
      </c>
    </row>
    <row r="7230" spans="1:7">
      <c r="B7230">
        <f>IF(INDEX(Transactions!$J:$J,ROW()-8)="",TODAY(),INDEX(Transactions!$G:$G,ROW()-8))</f>
      </c>
      <c r="F7230">
        <f>IF(INDEX(Transactions!$J:$J,ROW()-8)="",0,INDEX(Transactions!$O:$O,ROW()-8))</f>
      </c>
    </row>
    <row r="7231" spans="1:7">
      <c r="B7231">
        <f>IF(INDEX(Transactions!$J:$J,ROW()-8)="",TODAY(),INDEX(Transactions!$G:$G,ROW()-8))</f>
      </c>
      <c r="F7231">
        <f>IF(INDEX(Transactions!$J:$J,ROW()-8)="",0,INDEX(Transactions!$O:$O,ROW()-8))</f>
      </c>
    </row>
    <row r="7232" spans="1:7">
      <c r="B7232">
        <f>IF(INDEX(Transactions!$J:$J,ROW()-8)="",TODAY(),INDEX(Transactions!$G:$G,ROW()-8))</f>
      </c>
      <c r="F7232">
        <f>IF(INDEX(Transactions!$J:$J,ROW()-8)="",0,INDEX(Transactions!$O:$O,ROW()-8))</f>
      </c>
    </row>
    <row r="7233" spans="1:7">
      <c r="B7233">
        <f>IF(INDEX(Transactions!$J:$J,ROW()-8)="",TODAY(),INDEX(Transactions!$G:$G,ROW()-8))</f>
      </c>
      <c r="F7233">
        <f>IF(INDEX(Transactions!$J:$J,ROW()-8)="",0,INDEX(Transactions!$O:$O,ROW()-8))</f>
      </c>
    </row>
    <row r="7234" spans="1:7">
      <c r="B7234">
        <f>IF(INDEX(Transactions!$J:$J,ROW()-8)="",TODAY(),INDEX(Transactions!$G:$G,ROW()-8))</f>
      </c>
      <c r="F7234">
        <f>IF(INDEX(Transactions!$J:$J,ROW()-8)="",0,INDEX(Transactions!$O:$O,ROW()-8))</f>
      </c>
    </row>
    <row r="7235" spans="1:7">
      <c r="B7235">
        <f>IF(INDEX(Transactions!$J:$J,ROW()-8)="",TODAY(),INDEX(Transactions!$G:$G,ROW()-8))</f>
      </c>
      <c r="F7235">
        <f>IF(INDEX(Transactions!$J:$J,ROW()-8)="",0,INDEX(Transactions!$O:$O,ROW()-8))</f>
      </c>
    </row>
    <row r="7236" spans="1:7">
      <c r="B7236">
        <f>IF(INDEX(Transactions!$J:$J,ROW()-8)="",TODAY(),INDEX(Transactions!$G:$G,ROW()-8))</f>
      </c>
      <c r="F7236">
        <f>IF(INDEX(Transactions!$J:$J,ROW()-8)="",0,INDEX(Transactions!$O:$O,ROW()-8))</f>
      </c>
    </row>
    <row r="7237" spans="1:7">
      <c r="B7237">
        <f>IF(INDEX(Transactions!$J:$J,ROW()-8)="",TODAY(),INDEX(Transactions!$G:$G,ROW()-8))</f>
      </c>
      <c r="F7237">
        <f>IF(INDEX(Transactions!$J:$J,ROW()-8)="",0,INDEX(Transactions!$O:$O,ROW()-8))</f>
      </c>
    </row>
    <row r="7238" spans="1:7">
      <c r="B7238">
        <f>IF(INDEX(Transactions!$J:$J,ROW()-8)="",TODAY(),INDEX(Transactions!$G:$G,ROW()-8))</f>
      </c>
      <c r="F7238">
        <f>IF(INDEX(Transactions!$J:$J,ROW()-8)="",0,INDEX(Transactions!$O:$O,ROW()-8))</f>
      </c>
    </row>
    <row r="7239" spans="1:7">
      <c r="B7239">
        <f>IF(INDEX(Transactions!$J:$J,ROW()-8)="",TODAY(),INDEX(Transactions!$G:$G,ROW()-8))</f>
      </c>
      <c r="F7239">
        <f>IF(INDEX(Transactions!$J:$J,ROW()-8)="",0,INDEX(Transactions!$O:$O,ROW()-8))</f>
      </c>
    </row>
    <row r="7240" spans="1:7">
      <c r="B7240">
        <f>IF(INDEX(Transactions!$J:$J,ROW()-8)="",TODAY(),INDEX(Transactions!$G:$G,ROW()-8))</f>
      </c>
      <c r="F7240">
        <f>IF(INDEX(Transactions!$J:$J,ROW()-8)="",0,INDEX(Transactions!$O:$O,ROW()-8))</f>
      </c>
    </row>
    <row r="7241" spans="1:7">
      <c r="B7241">
        <f>IF(INDEX(Transactions!$J:$J,ROW()-8)="",TODAY(),INDEX(Transactions!$G:$G,ROW()-8))</f>
      </c>
      <c r="F7241">
        <f>IF(INDEX(Transactions!$J:$J,ROW()-8)="",0,INDEX(Transactions!$O:$O,ROW()-8))</f>
      </c>
    </row>
    <row r="7242" spans="1:7">
      <c r="B7242">
        <f>IF(INDEX(Transactions!$J:$J,ROW()-8)="",TODAY(),INDEX(Transactions!$G:$G,ROW()-8))</f>
      </c>
      <c r="F7242">
        <f>IF(INDEX(Transactions!$J:$J,ROW()-8)="",0,INDEX(Transactions!$O:$O,ROW()-8))</f>
      </c>
    </row>
    <row r="7243" spans="1:7">
      <c r="B7243">
        <f>IF(INDEX(Transactions!$J:$J,ROW()-8)="",TODAY(),INDEX(Transactions!$G:$G,ROW()-8))</f>
      </c>
      <c r="F7243">
        <f>IF(INDEX(Transactions!$J:$J,ROW()-8)="",0,INDEX(Transactions!$O:$O,ROW()-8))</f>
      </c>
    </row>
    <row r="7244" spans="1:7">
      <c r="B7244">
        <f>IF(INDEX(Transactions!$J:$J,ROW()-8)="",TODAY(),INDEX(Transactions!$G:$G,ROW()-8))</f>
      </c>
      <c r="F7244">
        <f>IF(INDEX(Transactions!$J:$J,ROW()-8)="",0,INDEX(Transactions!$O:$O,ROW()-8))</f>
      </c>
    </row>
    <row r="7245" spans="1:7">
      <c r="B7245">
        <f>IF(INDEX(Transactions!$J:$J,ROW()-8)="",TODAY(),INDEX(Transactions!$G:$G,ROW()-8))</f>
      </c>
      <c r="F7245">
        <f>IF(INDEX(Transactions!$J:$J,ROW()-8)="",0,INDEX(Transactions!$O:$O,ROW()-8))</f>
      </c>
    </row>
    <row r="7246" spans="1:7">
      <c r="B7246">
        <f>IF(INDEX(Transactions!$J:$J,ROW()-8)="",TODAY(),INDEX(Transactions!$G:$G,ROW()-8))</f>
      </c>
      <c r="F7246">
        <f>IF(INDEX(Transactions!$J:$J,ROW()-8)="",0,INDEX(Transactions!$O:$O,ROW()-8))</f>
      </c>
    </row>
    <row r="7247" spans="1:7">
      <c r="B7247">
        <f>IF(INDEX(Transactions!$J:$J,ROW()-8)="",TODAY(),INDEX(Transactions!$G:$G,ROW()-8))</f>
      </c>
      <c r="F7247">
        <f>IF(INDEX(Transactions!$J:$J,ROW()-8)="",0,INDEX(Transactions!$O:$O,ROW()-8))</f>
      </c>
    </row>
    <row r="7248" spans="1:7">
      <c r="B7248">
        <f>IF(INDEX(Transactions!$J:$J,ROW()-8)="",TODAY(),INDEX(Transactions!$G:$G,ROW()-8))</f>
      </c>
      <c r="F7248">
        <f>IF(INDEX(Transactions!$J:$J,ROW()-8)="",0,INDEX(Transactions!$O:$O,ROW()-8))</f>
      </c>
    </row>
    <row r="7249" spans="1:7">
      <c r="B7249">
        <f>IF(INDEX(Transactions!$J:$J,ROW()-8)="",TODAY(),INDEX(Transactions!$G:$G,ROW()-8))</f>
      </c>
      <c r="F7249">
        <f>IF(INDEX(Transactions!$J:$J,ROW()-8)="",0,INDEX(Transactions!$O:$O,ROW()-8))</f>
      </c>
    </row>
    <row r="7250" spans="1:7">
      <c r="B7250">
        <f>IF(INDEX(Transactions!$J:$J,ROW()-8)="",TODAY(),INDEX(Transactions!$G:$G,ROW()-8))</f>
      </c>
      <c r="F7250">
        <f>IF(INDEX(Transactions!$J:$J,ROW()-8)="",0,INDEX(Transactions!$O:$O,ROW()-8))</f>
      </c>
    </row>
    <row r="7251" spans="1:7">
      <c r="B7251">
        <f>IF(INDEX(Transactions!$J:$J,ROW()-8)="",TODAY(),INDEX(Transactions!$G:$G,ROW()-8))</f>
      </c>
      <c r="F7251">
        <f>IF(INDEX(Transactions!$J:$J,ROW()-8)="",0,INDEX(Transactions!$O:$O,ROW()-8))</f>
      </c>
    </row>
    <row r="7252" spans="1:7">
      <c r="B7252">
        <f>IF(INDEX(Transactions!$J:$J,ROW()-8)="",TODAY(),INDEX(Transactions!$G:$G,ROW()-8))</f>
      </c>
      <c r="F7252">
        <f>IF(INDEX(Transactions!$J:$J,ROW()-8)="",0,INDEX(Transactions!$O:$O,ROW()-8))</f>
      </c>
    </row>
    <row r="7253" spans="1:7">
      <c r="B7253">
        <f>IF(INDEX(Transactions!$J:$J,ROW()-8)="",TODAY(),INDEX(Transactions!$G:$G,ROW()-8))</f>
      </c>
      <c r="F7253">
        <f>IF(INDEX(Transactions!$J:$J,ROW()-8)="",0,INDEX(Transactions!$O:$O,ROW()-8))</f>
      </c>
    </row>
    <row r="7254" spans="1:7">
      <c r="B7254">
        <f>IF(INDEX(Transactions!$J:$J,ROW()-8)="",TODAY(),INDEX(Transactions!$G:$G,ROW()-8))</f>
      </c>
      <c r="F7254">
        <f>IF(INDEX(Transactions!$J:$J,ROW()-8)="",0,INDEX(Transactions!$O:$O,ROW()-8))</f>
      </c>
    </row>
    <row r="7255" spans="1:7">
      <c r="B7255">
        <f>IF(INDEX(Transactions!$J:$J,ROW()-8)="",TODAY(),INDEX(Transactions!$G:$G,ROW()-8))</f>
      </c>
      <c r="F7255">
        <f>IF(INDEX(Transactions!$J:$J,ROW()-8)="",0,INDEX(Transactions!$O:$O,ROW()-8))</f>
      </c>
    </row>
    <row r="7256" spans="1:7">
      <c r="B7256">
        <f>IF(INDEX(Transactions!$J:$J,ROW()-8)="",TODAY(),INDEX(Transactions!$G:$G,ROW()-8))</f>
      </c>
      <c r="F7256">
        <f>IF(INDEX(Transactions!$J:$J,ROW()-8)="",0,INDEX(Transactions!$O:$O,ROW()-8))</f>
      </c>
    </row>
    <row r="7257" spans="1:7">
      <c r="B7257">
        <f>IF(INDEX(Transactions!$J:$J,ROW()-8)="",TODAY(),INDEX(Transactions!$G:$G,ROW()-8))</f>
      </c>
      <c r="F7257">
        <f>IF(INDEX(Transactions!$J:$J,ROW()-8)="",0,INDEX(Transactions!$O:$O,ROW()-8))</f>
      </c>
    </row>
    <row r="7258" spans="1:7">
      <c r="B7258">
        <f>IF(INDEX(Transactions!$J:$J,ROW()-8)="",TODAY(),INDEX(Transactions!$G:$G,ROW()-8))</f>
      </c>
      <c r="F7258">
        <f>IF(INDEX(Transactions!$J:$J,ROW()-8)="",0,INDEX(Transactions!$O:$O,ROW()-8))</f>
      </c>
    </row>
    <row r="7259" spans="1:7">
      <c r="B7259">
        <f>IF(INDEX(Transactions!$J:$J,ROW()-8)="",TODAY(),INDEX(Transactions!$G:$G,ROW()-8))</f>
      </c>
      <c r="F7259">
        <f>IF(INDEX(Transactions!$J:$J,ROW()-8)="",0,INDEX(Transactions!$O:$O,ROW()-8))</f>
      </c>
    </row>
    <row r="7260" spans="1:7">
      <c r="B7260">
        <f>IF(INDEX(Transactions!$J:$J,ROW()-8)="",TODAY(),INDEX(Transactions!$G:$G,ROW()-8))</f>
      </c>
      <c r="F7260">
        <f>IF(INDEX(Transactions!$J:$J,ROW()-8)="",0,INDEX(Transactions!$O:$O,ROW()-8))</f>
      </c>
    </row>
    <row r="7261" spans="1:7">
      <c r="B7261">
        <f>IF(INDEX(Transactions!$J:$J,ROW()-8)="",TODAY(),INDEX(Transactions!$G:$G,ROW()-8))</f>
      </c>
      <c r="F7261">
        <f>IF(INDEX(Transactions!$J:$J,ROW()-8)="",0,INDEX(Transactions!$O:$O,ROW()-8))</f>
      </c>
    </row>
    <row r="7262" spans="1:7">
      <c r="B7262">
        <f>IF(INDEX(Transactions!$J:$J,ROW()-8)="",TODAY(),INDEX(Transactions!$G:$G,ROW()-8))</f>
      </c>
      <c r="F7262">
        <f>IF(INDEX(Transactions!$J:$J,ROW()-8)="",0,INDEX(Transactions!$O:$O,ROW()-8))</f>
      </c>
    </row>
    <row r="7263" spans="1:7">
      <c r="B7263">
        <f>IF(INDEX(Transactions!$J:$J,ROW()-8)="",TODAY(),INDEX(Transactions!$G:$G,ROW()-8))</f>
      </c>
      <c r="F7263">
        <f>IF(INDEX(Transactions!$J:$J,ROW()-8)="",0,INDEX(Transactions!$O:$O,ROW()-8))</f>
      </c>
    </row>
    <row r="7264" spans="1:7">
      <c r="B7264">
        <f>IF(INDEX(Transactions!$J:$J,ROW()-8)="",TODAY(),INDEX(Transactions!$G:$G,ROW()-8))</f>
      </c>
      <c r="F7264">
        <f>IF(INDEX(Transactions!$J:$J,ROW()-8)="",0,INDEX(Transactions!$O:$O,ROW()-8))</f>
      </c>
    </row>
    <row r="7265" spans="1:7">
      <c r="B7265">
        <f>IF(INDEX(Transactions!$J:$J,ROW()-8)="",TODAY(),INDEX(Transactions!$G:$G,ROW()-8))</f>
      </c>
      <c r="F7265">
        <f>IF(INDEX(Transactions!$J:$J,ROW()-8)="",0,INDEX(Transactions!$O:$O,ROW()-8))</f>
      </c>
    </row>
    <row r="7266" spans="1:7">
      <c r="B7266">
        <f>IF(INDEX(Transactions!$J:$J,ROW()-8)="",TODAY(),INDEX(Transactions!$G:$G,ROW()-8))</f>
      </c>
      <c r="F7266">
        <f>IF(INDEX(Transactions!$J:$J,ROW()-8)="",0,INDEX(Transactions!$O:$O,ROW()-8))</f>
      </c>
    </row>
    <row r="7267" spans="1:7">
      <c r="B7267">
        <f>IF(INDEX(Transactions!$J:$J,ROW()-8)="",TODAY(),INDEX(Transactions!$G:$G,ROW()-8))</f>
      </c>
      <c r="F7267">
        <f>IF(INDEX(Transactions!$J:$J,ROW()-8)="",0,INDEX(Transactions!$O:$O,ROW()-8))</f>
      </c>
    </row>
    <row r="7268" spans="1:7">
      <c r="B7268">
        <f>IF(INDEX(Transactions!$J:$J,ROW()-8)="",TODAY(),INDEX(Transactions!$G:$G,ROW()-8))</f>
      </c>
      <c r="F7268">
        <f>IF(INDEX(Transactions!$J:$J,ROW()-8)="",0,INDEX(Transactions!$O:$O,ROW()-8))</f>
      </c>
    </row>
    <row r="7269" spans="1:7">
      <c r="B7269">
        <f>IF(INDEX(Transactions!$J:$J,ROW()-8)="",TODAY(),INDEX(Transactions!$G:$G,ROW()-8))</f>
      </c>
      <c r="F7269">
        <f>IF(INDEX(Transactions!$J:$J,ROW()-8)="",0,INDEX(Transactions!$O:$O,ROW()-8))</f>
      </c>
    </row>
    <row r="7270" spans="1:7">
      <c r="B7270">
        <f>IF(INDEX(Transactions!$J:$J,ROW()-8)="",TODAY(),INDEX(Transactions!$G:$G,ROW()-8))</f>
      </c>
      <c r="F7270">
        <f>IF(INDEX(Transactions!$J:$J,ROW()-8)="",0,INDEX(Transactions!$O:$O,ROW()-8))</f>
      </c>
    </row>
    <row r="7271" spans="1:7">
      <c r="B7271">
        <f>IF(INDEX(Transactions!$J:$J,ROW()-8)="",TODAY(),INDEX(Transactions!$G:$G,ROW()-8))</f>
      </c>
      <c r="F7271">
        <f>IF(INDEX(Transactions!$J:$J,ROW()-8)="",0,INDEX(Transactions!$O:$O,ROW()-8))</f>
      </c>
    </row>
    <row r="7272" spans="1:7">
      <c r="B7272">
        <f>IF(INDEX(Transactions!$J:$J,ROW()-8)="",TODAY(),INDEX(Transactions!$G:$G,ROW()-8))</f>
      </c>
      <c r="F7272">
        <f>IF(INDEX(Transactions!$J:$J,ROW()-8)="",0,INDEX(Transactions!$O:$O,ROW()-8))</f>
      </c>
    </row>
    <row r="7273" spans="1:7">
      <c r="B7273">
        <f>IF(INDEX(Transactions!$J:$J,ROW()-8)="",TODAY(),INDEX(Transactions!$G:$G,ROW()-8))</f>
      </c>
      <c r="F7273">
        <f>IF(INDEX(Transactions!$J:$J,ROW()-8)="",0,INDEX(Transactions!$O:$O,ROW()-8))</f>
      </c>
    </row>
    <row r="7274" spans="1:7">
      <c r="B7274">
        <f>IF(INDEX(Transactions!$J:$J,ROW()-8)="",TODAY(),INDEX(Transactions!$G:$G,ROW()-8))</f>
      </c>
      <c r="F7274">
        <f>IF(INDEX(Transactions!$J:$J,ROW()-8)="",0,INDEX(Transactions!$O:$O,ROW()-8))</f>
      </c>
    </row>
    <row r="7275" spans="1:7">
      <c r="B7275">
        <f>IF(INDEX(Transactions!$J:$J,ROW()-8)="",TODAY(),INDEX(Transactions!$G:$G,ROW()-8))</f>
      </c>
      <c r="F7275">
        <f>IF(INDEX(Transactions!$J:$J,ROW()-8)="",0,INDEX(Transactions!$O:$O,ROW()-8))</f>
      </c>
    </row>
    <row r="7276" spans="1:7">
      <c r="B7276">
        <f>IF(INDEX(Transactions!$J:$J,ROW()-8)="",TODAY(),INDEX(Transactions!$G:$G,ROW()-8))</f>
      </c>
      <c r="F7276">
        <f>IF(INDEX(Transactions!$J:$J,ROW()-8)="",0,INDEX(Transactions!$O:$O,ROW()-8))</f>
      </c>
    </row>
    <row r="7277" spans="1:7">
      <c r="B7277">
        <f>IF(INDEX(Transactions!$J:$J,ROW()-8)="",TODAY(),INDEX(Transactions!$G:$G,ROW()-8))</f>
      </c>
      <c r="F7277">
        <f>IF(INDEX(Transactions!$J:$J,ROW()-8)="",0,INDEX(Transactions!$O:$O,ROW()-8))</f>
      </c>
    </row>
    <row r="7278" spans="1:7">
      <c r="B7278">
        <f>IF(INDEX(Transactions!$J:$J,ROW()-8)="",TODAY(),INDEX(Transactions!$G:$G,ROW()-8))</f>
      </c>
      <c r="F7278">
        <f>IF(INDEX(Transactions!$J:$J,ROW()-8)="",0,INDEX(Transactions!$O:$O,ROW()-8))</f>
      </c>
    </row>
    <row r="7279" spans="1:7">
      <c r="B7279">
        <f>IF(INDEX(Transactions!$J:$J,ROW()-8)="",TODAY(),INDEX(Transactions!$G:$G,ROW()-8))</f>
      </c>
      <c r="F7279">
        <f>IF(INDEX(Transactions!$J:$J,ROW()-8)="",0,INDEX(Transactions!$O:$O,ROW()-8))</f>
      </c>
    </row>
    <row r="7280" spans="1:7">
      <c r="B7280">
        <f>IF(INDEX(Transactions!$J:$J,ROW()-8)="",TODAY(),INDEX(Transactions!$G:$G,ROW()-8))</f>
      </c>
      <c r="F7280">
        <f>IF(INDEX(Transactions!$J:$J,ROW()-8)="",0,INDEX(Transactions!$O:$O,ROW()-8))</f>
      </c>
    </row>
    <row r="7281" spans="1:7">
      <c r="B7281">
        <f>IF(INDEX(Transactions!$J:$J,ROW()-8)="",TODAY(),INDEX(Transactions!$G:$G,ROW()-8))</f>
      </c>
      <c r="F7281">
        <f>IF(INDEX(Transactions!$J:$J,ROW()-8)="",0,INDEX(Transactions!$O:$O,ROW()-8))</f>
      </c>
    </row>
    <row r="7282" spans="1:7">
      <c r="B7282">
        <f>IF(INDEX(Transactions!$J:$J,ROW()-8)="",TODAY(),INDEX(Transactions!$G:$G,ROW()-8))</f>
      </c>
      <c r="F7282">
        <f>IF(INDEX(Transactions!$J:$J,ROW()-8)="",0,INDEX(Transactions!$O:$O,ROW()-8))</f>
      </c>
    </row>
    <row r="7283" spans="1:7">
      <c r="B7283">
        <f>IF(INDEX(Transactions!$J:$J,ROW()-8)="",TODAY(),INDEX(Transactions!$G:$G,ROW()-8))</f>
      </c>
      <c r="F7283">
        <f>IF(INDEX(Transactions!$J:$J,ROW()-8)="",0,INDEX(Transactions!$O:$O,ROW()-8))</f>
      </c>
    </row>
    <row r="7284" spans="1:7">
      <c r="B7284">
        <f>IF(INDEX(Transactions!$J:$J,ROW()-8)="",TODAY(),INDEX(Transactions!$G:$G,ROW()-8))</f>
      </c>
      <c r="F7284">
        <f>IF(INDEX(Transactions!$J:$J,ROW()-8)="",0,INDEX(Transactions!$O:$O,ROW()-8))</f>
      </c>
    </row>
    <row r="7285" spans="1:7">
      <c r="B7285">
        <f>IF(INDEX(Transactions!$J:$J,ROW()-8)="",TODAY(),INDEX(Transactions!$G:$G,ROW()-8))</f>
      </c>
      <c r="F7285">
        <f>IF(INDEX(Transactions!$J:$J,ROW()-8)="",0,INDEX(Transactions!$O:$O,ROW()-8))</f>
      </c>
    </row>
    <row r="7286" spans="1:7">
      <c r="B7286">
        <f>IF(INDEX(Transactions!$J:$J,ROW()-8)="",TODAY(),INDEX(Transactions!$G:$G,ROW()-8))</f>
      </c>
      <c r="F7286">
        <f>IF(INDEX(Transactions!$J:$J,ROW()-8)="",0,INDEX(Transactions!$O:$O,ROW()-8))</f>
      </c>
    </row>
    <row r="7287" spans="1:7">
      <c r="B7287">
        <f>IF(INDEX(Transactions!$J:$J,ROW()-8)="",TODAY(),INDEX(Transactions!$G:$G,ROW()-8))</f>
      </c>
      <c r="F7287">
        <f>IF(INDEX(Transactions!$J:$J,ROW()-8)="",0,INDEX(Transactions!$O:$O,ROW()-8))</f>
      </c>
    </row>
    <row r="7288" spans="1:7">
      <c r="B7288">
        <f>IF(INDEX(Transactions!$J:$J,ROW()-8)="",TODAY(),INDEX(Transactions!$G:$G,ROW()-8))</f>
      </c>
      <c r="F7288">
        <f>IF(INDEX(Transactions!$J:$J,ROW()-8)="",0,INDEX(Transactions!$O:$O,ROW()-8))</f>
      </c>
    </row>
    <row r="7289" spans="1:7">
      <c r="B7289">
        <f>IF(INDEX(Transactions!$J:$J,ROW()-8)="",TODAY(),INDEX(Transactions!$G:$G,ROW()-8))</f>
      </c>
      <c r="F7289">
        <f>IF(INDEX(Transactions!$J:$J,ROW()-8)="",0,INDEX(Transactions!$O:$O,ROW()-8))</f>
      </c>
    </row>
    <row r="7290" spans="1:7">
      <c r="B7290">
        <f>IF(INDEX(Transactions!$J:$J,ROW()-8)="",TODAY(),INDEX(Transactions!$G:$G,ROW()-8))</f>
      </c>
      <c r="F7290">
        <f>IF(INDEX(Transactions!$J:$J,ROW()-8)="",0,INDEX(Transactions!$O:$O,ROW()-8))</f>
      </c>
    </row>
    <row r="7291" spans="1:7">
      <c r="B7291">
        <f>IF(INDEX(Transactions!$J:$J,ROW()-8)="",TODAY(),INDEX(Transactions!$G:$G,ROW()-8))</f>
      </c>
      <c r="F7291">
        <f>IF(INDEX(Transactions!$J:$J,ROW()-8)="",0,INDEX(Transactions!$O:$O,ROW()-8))</f>
      </c>
    </row>
    <row r="7292" spans="1:7">
      <c r="B7292">
        <f>IF(INDEX(Transactions!$J:$J,ROW()-8)="",TODAY(),INDEX(Transactions!$G:$G,ROW()-8))</f>
      </c>
      <c r="F7292">
        <f>IF(INDEX(Transactions!$J:$J,ROW()-8)="",0,INDEX(Transactions!$O:$O,ROW()-8))</f>
      </c>
    </row>
    <row r="7293" spans="1:7">
      <c r="B7293">
        <f>IF(INDEX(Transactions!$J:$J,ROW()-8)="",TODAY(),INDEX(Transactions!$G:$G,ROW()-8))</f>
      </c>
      <c r="F7293">
        <f>IF(INDEX(Transactions!$J:$J,ROW()-8)="",0,INDEX(Transactions!$O:$O,ROW()-8))</f>
      </c>
    </row>
    <row r="7294" spans="1:7">
      <c r="B7294">
        <f>IF(INDEX(Transactions!$J:$J,ROW()-8)="",TODAY(),INDEX(Transactions!$G:$G,ROW()-8))</f>
      </c>
      <c r="F7294">
        <f>IF(INDEX(Transactions!$J:$J,ROW()-8)="",0,INDEX(Transactions!$O:$O,ROW()-8))</f>
      </c>
    </row>
    <row r="7295" spans="1:7">
      <c r="B7295">
        <f>IF(INDEX(Transactions!$J:$J,ROW()-8)="",TODAY(),INDEX(Transactions!$G:$G,ROW()-8))</f>
      </c>
      <c r="F7295">
        <f>IF(INDEX(Transactions!$J:$J,ROW()-8)="",0,INDEX(Transactions!$O:$O,ROW()-8))</f>
      </c>
    </row>
    <row r="7296" spans="1:7">
      <c r="B7296">
        <f>IF(INDEX(Transactions!$J:$J,ROW()-8)="",TODAY(),INDEX(Transactions!$G:$G,ROW()-8))</f>
      </c>
      <c r="F7296">
        <f>IF(INDEX(Transactions!$J:$J,ROW()-8)="",0,INDEX(Transactions!$O:$O,ROW()-8))</f>
      </c>
    </row>
    <row r="7297" spans="1:7">
      <c r="B7297">
        <f>IF(INDEX(Transactions!$J:$J,ROW()-8)="",TODAY(),INDEX(Transactions!$G:$G,ROW()-8))</f>
      </c>
      <c r="F7297">
        <f>IF(INDEX(Transactions!$J:$J,ROW()-8)="",0,INDEX(Transactions!$O:$O,ROW()-8))</f>
      </c>
    </row>
    <row r="7298" spans="1:7">
      <c r="B7298">
        <f>IF(INDEX(Transactions!$J:$J,ROW()-8)="",TODAY(),INDEX(Transactions!$G:$G,ROW()-8))</f>
      </c>
      <c r="F7298">
        <f>IF(INDEX(Transactions!$J:$J,ROW()-8)="",0,INDEX(Transactions!$O:$O,ROW()-8))</f>
      </c>
    </row>
    <row r="7299" spans="1:7">
      <c r="B7299">
        <f>IF(INDEX(Transactions!$J:$J,ROW()-8)="",TODAY(),INDEX(Transactions!$G:$G,ROW()-8))</f>
      </c>
      <c r="F7299">
        <f>IF(INDEX(Transactions!$J:$J,ROW()-8)="",0,INDEX(Transactions!$O:$O,ROW()-8))</f>
      </c>
    </row>
    <row r="7300" spans="1:7">
      <c r="B7300">
        <f>IF(INDEX(Transactions!$J:$J,ROW()-8)="",TODAY(),INDEX(Transactions!$G:$G,ROW()-8))</f>
      </c>
      <c r="F7300">
        <f>IF(INDEX(Transactions!$J:$J,ROW()-8)="",0,INDEX(Transactions!$O:$O,ROW()-8))</f>
      </c>
    </row>
    <row r="7301" spans="1:7">
      <c r="B7301">
        <f>IF(INDEX(Transactions!$J:$J,ROW()-8)="",TODAY(),INDEX(Transactions!$G:$G,ROW()-8))</f>
      </c>
      <c r="F7301">
        <f>IF(INDEX(Transactions!$J:$J,ROW()-8)="",0,INDEX(Transactions!$O:$O,ROW()-8))</f>
      </c>
    </row>
    <row r="7302" spans="1:7">
      <c r="B7302">
        <f>IF(INDEX(Transactions!$J:$J,ROW()-8)="",TODAY(),INDEX(Transactions!$G:$G,ROW()-8))</f>
      </c>
      <c r="F7302">
        <f>IF(INDEX(Transactions!$J:$J,ROW()-8)="",0,INDEX(Transactions!$O:$O,ROW()-8))</f>
      </c>
    </row>
    <row r="7303" spans="1:7">
      <c r="B7303">
        <f>IF(INDEX(Transactions!$J:$J,ROW()-8)="",TODAY(),INDEX(Transactions!$G:$G,ROW()-8))</f>
      </c>
      <c r="F7303">
        <f>IF(INDEX(Transactions!$J:$J,ROW()-8)="",0,INDEX(Transactions!$O:$O,ROW()-8))</f>
      </c>
    </row>
    <row r="7304" spans="1:7">
      <c r="B7304">
        <f>IF(INDEX(Transactions!$J:$J,ROW()-8)="",TODAY(),INDEX(Transactions!$G:$G,ROW()-8))</f>
      </c>
      <c r="F7304">
        <f>IF(INDEX(Transactions!$J:$J,ROW()-8)="",0,INDEX(Transactions!$O:$O,ROW()-8))</f>
      </c>
    </row>
    <row r="7305" spans="1:7">
      <c r="B7305">
        <f>IF(INDEX(Transactions!$J:$J,ROW()-8)="",TODAY(),INDEX(Transactions!$G:$G,ROW()-8))</f>
      </c>
      <c r="F7305">
        <f>IF(INDEX(Transactions!$J:$J,ROW()-8)="",0,INDEX(Transactions!$O:$O,ROW()-8))</f>
      </c>
    </row>
    <row r="7306" spans="1:7">
      <c r="B7306">
        <f>IF(INDEX(Transactions!$J:$J,ROW()-8)="",TODAY(),INDEX(Transactions!$G:$G,ROW()-8))</f>
      </c>
      <c r="F7306">
        <f>IF(INDEX(Transactions!$J:$J,ROW()-8)="",0,INDEX(Transactions!$O:$O,ROW()-8))</f>
      </c>
    </row>
    <row r="7307" spans="1:7">
      <c r="B7307">
        <f>IF(INDEX(Transactions!$J:$J,ROW()-8)="",TODAY(),INDEX(Transactions!$G:$G,ROW()-8))</f>
      </c>
      <c r="F7307">
        <f>IF(INDEX(Transactions!$J:$J,ROW()-8)="",0,INDEX(Transactions!$O:$O,ROW()-8))</f>
      </c>
    </row>
    <row r="7308" spans="1:7">
      <c r="B7308">
        <f>IF(INDEX(Transactions!$J:$J,ROW()-8)="",TODAY(),INDEX(Transactions!$G:$G,ROW()-8))</f>
      </c>
      <c r="F7308">
        <f>IF(INDEX(Transactions!$J:$J,ROW()-8)="",0,INDEX(Transactions!$O:$O,ROW()-8))</f>
      </c>
    </row>
    <row r="7309" spans="1:7">
      <c r="B7309">
        <f>IF(INDEX(Transactions!$J:$J,ROW()-8)="",TODAY(),INDEX(Transactions!$G:$G,ROW()-8))</f>
      </c>
      <c r="F7309">
        <f>IF(INDEX(Transactions!$J:$J,ROW()-8)="",0,INDEX(Transactions!$O:$O,ROW()-8))</f>
      </c>
    </row>
    <row r="7310" spans="1:7">
      <c r="B7310">
        <f>IF(INDEX(Transactions!$J:$J,ROW()-8)="",TODAY(),INDEX(Transactions!$G:$G,ROW()-8))</f>
      </c>
      <c r="F7310">
        <f>IF(INDEX(Transactions!$J:$J,ROW()-8)="",0,INDEX(Transactions!$O:$O,ROW()-8))</f>
      </c>
    </row>
    <row r="7311" spans="1:7">
      <c r="B7311">
        <f>IF(INDEX(Transactions!$J:$J,ROW()-8)="",TODAY(),INDEX(Transactions!$G:$G,ROW()-8))</f>
      </c>
      <c r="F7311">
        <f>IF(INDEX(Transactions!$J:$J,ROW()-8)="",0,INDEX(Transactions!$O:$O,ROW()-8))</f>
      </c>
    </row>
    <row r="7312" spans="1:7">
      <c r="B7312">
        <f>IF(INDEX(Transactions!$J:$J,ROW()-8)="",TODAY(),INDEX(Transactions!$G:$G,ROW()-8))</f>
      </c>
      <c r="F7312">
        <f>IF(INDEX(Transactions!$J:$J,ROW()-8)="",0,INDEX(Transactions!$O:$O,ROW()-8))</f>
      </c>
    </row>
    <row r="7313" spans="1:7">
      <c r="B7313">
        <f>IF(INDEX(Transactions!$J:$J,ROW()-8)="",TODAY(),INDEX(Transactions!$G:$G,ROW()-8))</f>
      </c>
      <c r="F7313">
        <f>IF(INDEX(Transactions!$J:$J,ROW()-8)="",0,INDEX(Transactions!$O:$O,ROW()-8))</f>
      </c>
    </row>
    <row r="7314" spans="1:7">
      <c r="B7314">
        <f>IF(INDEX(Transactions!$J:$J,ROW()-8)="",TODAY(),INDEX(Transactions!$G:$G,ROW()-8))</f>
      </c>
      <c r="F7314">
        <f>IF(INDEX(Transactions!$J:$J,ROW()-8)="",0,INDEX(Transactions!$O:$O,ROW()-8))</f>
      </c>
    </row>
    <row r="7315" spans="1:7">
      <c r="B7315">
        <f>IF(INDEX(Transactions!$J:$J,ROW()-8)="",TODAY(),INDEX(Transactions!$G:$G,ROW()-8))</f>
      </c>
      <c r="F7315">
        <f>IF(INDEX(Transactions!$J:$J,ROW()-8)="",0,INDEX(Transactions!$O:$O,ROW()-8))</f>
      </c>
    </row>
    <row r="7316" spans="1:7">
      <c r="B7316">
        <f>IF(INDEX(Transactions!$J:$J,ROW()-8)="",TODAY(),INDEX(Transactions!$G:$G,ROW()-8))</f>
      </c>
      <c r="F7316">
        <f>IF(INDEX(Transactions!$J:$J,ROW()-8)="",0,INDEX(Transactions!$O:$O,ROW()-8))</f>
      </c>
    </row>
    <row r="7317" spans="1:7">
      <c r="B7317">
        <f>IF(INDEX(Transactions!$J:$J,ROW()-8)="",TODAY(),INDEX(Transactions!$G:$G,ROW()-8))</f>
      </c>
      <c r="F7317">
        <f>IF(INDEX(Transactions!$J:$J,ROW()-8)="",0,INDEX(Transactions!$O:$O,ROW()-8))</f>
      </c>
    </row>
    <row r="7318" spans="1:7">
      <c r="B7318">
        <f>IF(INDEX(Transactions!$J:$J,ROW()-8)="",TODAY(),INDEX(Transactions!$G:$G,ROW()-8))</f>
      </c>
      <c r="F7318">
        <f>IF(INDEX(Transactions!$J:$J,ROW()-8)="",0,INDEX(Transactions!$O:$O,ROW()-8))</f>
      </c>
    </row>
    <row r="7319" spans="1:7">
      <c r="B7319">
        <f>IF(INDEX(Transactions!$J:$J,ROW()-8)="",TODAY(),INDEX(Transactions!$G:$G,ROW()-8))</f>
      </c>
      <c r="F7319">
        <f>IF(INDEX(Transactions!$J:$J,ROW()-8)="",0,INDEX(Transactions!$O:$O,ROW()-8))</f>
      </c>
    </row>
    <row r="7320" spans="1:7">
      <c r="B7320">
        <f>IF(INDEX(Transactions!$J:$J,ROW()-8)="",TODAY(),INDEX(Transactions!$G:$G,ROW()-8))</f>
      </c>
      <c r="F7320">
        <f>IF(INDEX(Transactions!$J:$J,ROW()-8)="",0,INDEX(Transactions!$O:$O,ROW()-8))</f>
      </c>
    </row>
    <row r="7321" spans="1:7">
      <c r="B7321">
        <f>IF(INDEX(Transactions!$J:$J,ROW()-8)="",TODAY(),INDEX(Transactions!$G:$G,ROW()-8))</f>
      </c>
      <c r="F7321">
        <f>IF(INDEX(Transactions!$J:$J,ROW()-8)="",0,INDEX(Transactions!$O:$O,ROW()-8))</f>
      </c>
    </row>
    <row r="7322" spans="1:7">
      <c r="B7322">
        <f>IF(INDEX(Transactions!$J:$J,ROW()-8)="",TODAY(),INDEX(Transactions!$G:$G,ROW()-8))</f>
      </c>
      <c r="F7322">
        <f>IF(INDEX(Transactions!$J:$J,ROW()-8)="",0,INDEX(Transactions!$O:$O,ROW()-8))</f>
      </c>
    </row>
    <row r="7323" spans="1:7">
      <c r="B7323">
        <f>IF(INDEX(Transactions!$J:$J,ROW()-8)="",TODAY(),INDEX(Transactions!$G:$G,ROW()-8))</f>
      </c>
      <c r="F7323">
        <f>IF(INDEX(Transactions!$J:$J,ROW()-8)="",0,INDEX(Transactions!$O:$O,ROW()-8))</f>
      </c>
    </row>
    <row r="7324" spans="1:7">
      <c r="B7324">
        <f>IF(INDEX(Transactions!$J:$J,ROW()-8)="",TODAY(),INDEX(Transactions!$G:$G,ROW()-8))</f>
      </c>
      <c r="F7324">
        <f>IF(INDEX(Transactions!$J:$J,ROW()-8)="",0,INDEX(Transactions!$O:$O,ROW()-8))</f>
      </c>
    </row>
    <row r="7325" spans="1:7">
      <c r="B7325">
        <f>IF(INDEX(Transactions!$J:$J,ROW()-8)="",TODAY(),INDEX(Transactions!$G:$G,ROW()-8))</f>
      </c>
      <c r="F7325">
        <f>IF(INDEX(Transactions!$J:$J,ROW()-8)="",0,INDEX(Transactions!$O:$O,ROW()-8))</f>
      </c>
    </row>
    <row r="7326" spans="1:7">
      <c r="B7326">
        <f>IF(INDEX(Transactions!$J:$J,ROW()-8)="",TODAY(),INDEX(Transactions!$G:$G,ROW()-8))</f>
      </c>
      <c r="F7326">
        <f>IF(INDEX(Transactions!$J:$J,ROW()-8)="",0,INDEX(Transactions!$O:$O,ROW()-8))</f>
      </c>
    </row>
    <row r="7327" spans="1:7">
      <c r="B7327">
        <f>IF(INDEX(Transactions!$J:$J,ROW()-8)="",TODAY(),INDEX(Transactions!$G:$G,ROW()-8))</f>
      </c>
      <c r="F7327">
        <f>IF(INDEX(Transactions!$J:$J,ROW()-8)="",0,INDEX(Transactions!$O:$O,ROW()-8))</f>
      </c>
    </row>
    <row r="7328" spans="1:7">
      <c r="B7328">
        <f>IF(INDEX(Transactions!$J:$J,ROW()-8)="",TODAY(),INDEX(Transactions!$G:$G,ROW()-8))</f>
      </c>
      <c r="F7328">
        <f>IF(INDEX(Transactions!$J:$J,ROW()-8)="",0,INDEX(Transactions!$O:$O,ROW()-8))</f>
      </c>
    </row>
    <row r="7329" spans="1:7">
      <c r="B7329">
        <f>IF(INDEX(Transactions!$J:$J,ROW()-8)="",TODAY(),INDEX(Transactions!$G:$G,ROW()-8))</f>
      </c>
      <c r="F7329">
        <f>IF(INDEX(Transactions!$J:$J,ROW()-8)="",0,INDEX(Transactions!$O:$O,ROW()-8))</f>
      </c>
    </row>
    <row r="7330" spans="1:7">
      <c r="B7330">
        <f>IF(INDEX(Transactions!$J:$J,ROW()-8)="",TODAY(),INDEX(Transactions!$G:$G,ROW()-8))</f>
      </c>
      <c r="F7330">
        <f>IF(INDEX(Transactions!$J:$J,ROW()-8)="",0,INDEX(Transactions!$O:$O,ROW()-8))</f>
      </c>
    </row>
    <row r="7331" spans="1:7">
      <c r="B7331">
        <f>IF(INDEX(Transactions!$J:$J,ROW()-8)="",TODAY(),INDEX(Transactions!$G:$G,ROW()-8))</f>
      </c>
      <c r="F7331">
        <f>IF(INDEX(Transactions!$J:$J,ROW()-8)="",0,INDEX(Transactions!$O:$O,ROW()-8))</f>
      </c>
    </row>
    <row r="7332" spans="1:7">
      <c r="B7332">
        <f>IF(INDEX(Transactions!$J:$J,ROW()-8)="",TODAY(),INDEX(Transactions!$G:$G,ROW()-8))</f>
      </c>
      <c r="F7332">
        <f>IF(INDEX(Transactions!$J:$J,ROW()-8)="",0,INDEX(Transactions!$O:$O,ROW()-8))</f>
      </c>
    </row>
    <row r="7333" spans="1:7">
      <c r="B7333">
        <f>IF(INDEX(Transactions!$J:$J,ROW()-8)="",TODAY(),INDEX(Transactions!$G:$G,ROW()-8))</f>
      </c>
      <c r="F7333">
        <f>IF(INDEX(Transactions!$J:$J,ROW()-8)="",0,INDEX(Transactions!$O:$O,ROW()-8))</f>
      </c>
    </row>
    <row r="7334" spans="1:7">
      <c r="B7334">
        <f>IF(INDEX(Transactions!$J:$J,ROW()-8)="",TODAY(),INDEX(Transactions!$G:$G,ROW()-8))</f>
      </c>
      <c r="F7334">
        <f>IF(INDEX(Transactions!$J:$J,ROW()-8)="",0,INDEX(Transactions!$O:$O,ROW()-8))</f>
      </c>
    </row>
    <row r="7335" spans="1:7">
      <c r="B7335">
        <f>IF(INDEX(Transactions!$J:$J,ROW()-8)="",TODAY(),INDEX(Transactions!$G:$G,ROW()-8))</f>
      </c>
      <c r="F7335">
        <f>IF(INDEX(Transactions!$J:$J,ROW()-8)="",0,INDEX(Transactions!$O:$O,ROW()-8))</f>
      </c>
    </row>
    <row r="7336" spans="1:7">
      <c r="B7336">
        <f>IF(INDEX(Transactions!$J:$J,ROW()-8)="",TODAY(),INDEX(Transactions!$G:$G,ROW()-8))</f>
      </c>
      <c r="F7336">
        <f>IF(INDEX(Transactions!$J:$J,ROW()-8)="",0,INDEX(Transactions!$O:$O,ROW()-8))</f>
      </c>
    </row>
    <row r="7337" spans="1:7">
      <c r="B7337">
        <f>IF(INDEX(Transactions!$J:$J,ROW()-8)="",TODAY(),INDEX(Transactions!$G:$G,ROW()-8))</f>
      </c>
      <c r="F7337">
        <f>IF(INDEX(Transactions!$J:$J,ROW()-8)="",0,INDEX(Transactions!$O:$O,ROW()-8))</f>
      </c>
    </row>
    <row r="7338" spans="1:7">
      <c r="B7338">
        <f>IF(INDEX(Transactions!$J:$J,ROW()-8)="",TODAY(),INDEX(Transactions!$G:$G,ROW()-8))</f>
      </c>
      <c r="F7338">
        <f>IF(INDEX(Transactions!$J:$J,ROW()-8)="",0,INDEX(Transactions!$O:$O,ROW()-8))</f>
      </c>
    </row>
    <row r="7339" spans="1:7">
      <c r="B7339">
        <f>IF(INDEX(Transactions!$J:$J,ROW()-8)="",TODAY(),INDEX(Transactions!$G:$G,ROW()-8))</f>
      </c>
      <c r="F7339">
        <f>IF(INDEX(Transactions!$J:$J,ROW()-8)="",0,INDEX(Transactions!$O:$O,ROW()-8))</f>
      </c>
    </row>
    <row r="7340" spans="1:7">
      <c r="B7340">
        <f>IF(INDEX(Transactions!$J:$J,ROW()-8)="",TODAY(),INDEX(Transactions!$G:$G,ROW()-8))</f>
      </c>
      <c r="F7340">
        <f>IF(INDEX(Transactions!$J:$J,ROW()-8)="",0,INDEX(Transactions!$O:$O,ROW()-8))</f>
      </c>
    </row>
    <row r="7341" spans="1:7">
      <c r="B7341">
        <f>IF(INDEX(Transactions!$J:$J,ROW()-8)="",TODAY(),INDEX(Transactions!$G:$G,ROW()-8))</f>
      </c>
      <c r="F7341">
        <f>IF(INDEX(Transactions!$J:$J,ROW()-8)="",0,INDEX(Transactions!$O:$O,ROW()-8))</f>
      </c>
    </row>
    <row r="7342" spans="1:7">
      <c r="B7342">
        <f>IF(INDEX(Transactions!$J:$J,ROW()-8)="",TODAY(),INDEX(Transactions!$G:$G,ROW()-8))</f>
      </c>
      <c r="F7342">
        <f>IF(INDEX(Transactions!$J:$J,ROW()-8)="",0,INDEX(Transactions!$O:$O,ROW()-8))</f>
      </c>
    </row>
    <row r="7343" spans="1:7">
      <c r="B7343">
        <f>IF(INDEX(Transactions!$J:$J,ROW()-8)="",TODAY(),INDEX(Transactions!$G:$G,ROW()-8))</f>
      </c>
      <c r="F7343">
        <f>IF(INDEX(Transactions!$J:$J,ROW()-8)="",0,INDEX(Transactions!$O:$O,ROW()-8))</f>
      </c>
    </row>
    <row r="7344" spans="1:7">
      <c r="B7344">
        <f>IF(INDEX(Transactions!$J:$J,ROW()-8)="",TODAY(),INDEX(Transactions!$G:$G,ROW()-8))</f>
      </c>
      <c r="F7344">
        <f>IF(INDEX(Transactions!$J:$J,ROW()-8)="",0,INDEX(Transactions!$O:$O,ROW()-8))</f>
      </c>
    </row>
    <row r="7345" spans="1:7">
      <c r="B7345">
        <f>IF(INDEX(Transactions!$J:$J,ROW()-8)="",TODAY(),INDEX(Transactions!$G:$G,ROW()-8))</f>
      </c>
      <c r="F7345">
        <f>IF(INDEX(Transactions!$J:$J,ROW()-8)="",0,INDEX(Transactions!$O:$O,ROW()-8))</f>
      </c>
    </row>
    <row r="7346" spans="1:7">
      <c r="B7346">
        <f>IF(INDEX(Transactions!$J:$J,ROW()-8)="",TODAY(),INDEX(Transactions!$G:$G,ROW()-8))</f>
      </c>
      <c r="F7346">
        <f>IF(INDEX(Transactions!$J:$J,ROW()-8)="",0,INDEX(Transactions!$O:$O,ROW()-8))</f>
      </c>
    </row>
    <row r="7347" spans="1:7">
      <c r="B7347">
        <f>IF(INDEX(Transactions!$J:$J,ROW()-8)="",TODAY(),INDEX(Transactions!$G:$G,ROW()-8))</f>
      </c>
      <c r="F7347">
        <f>IF(INDEX(Transactions!$J:$J,ROW()-8)="",0,INDEX(Transactions!$O:$O,ROW()-8))</f>
      </c>
    </row>
    <row r="7348" spans="1:7">
      <c r="B7348">
        <f>IF(INDEX(Transactions!$J:$J,ROW()-8)="",TODAY(),INDEX(Transactions!$G:$G,ROW()-8))</f>
      </c>
      <c r="F7348">
        <f>IF(INDEX(Transactions!$J:$J,ROW()-8)="",0,INDEX(Transactions!$O:$O,ROW()-8))</f>
      </c>
    </row>
    <row r="7349" spans="1:7">
      <c r="B7349">
        <f>IF(INDEX(Transactions!$J:$J,ROW()-8)="",TODAY(),INDEX(Transactions!$G:$G,ROW()-8))</f>
      </c>
      <c r="F7349">
        <f>IF(INDEX(Transactions!$J:$J,ROW()-8)="",0,INDEX(Transactions!$O:$O,ROW()-8))</f>
      </c>
    </row>
    <row r="7350" spans="1:7">
      <c r="B7350">
        <f>IF(INDEX(Transactions!$J:$J,ROW()-8)="",TODAY(),INDEX(Transactions!$G:$G,ROW()-8))</f>
      </c>
      <c r="F7350">
        <f>IF(INDEX(Transactions!$J:$J,ROW()-8)="",0,INDEX(Transactions!$O:$O,ROW()-8))</f>
      </c>
    </row>
    <row r="7351" spans="1:7">
      <c r="B7351">
        <f>IF(INDEX(Transactions!$J:$J,ROW()-8)="",TODAY(),INDEX(Transactions!$G:$G,ROW()-8))</f>
      </c>
      <c r="F7351">
        <f>IF(INDEX(Transactions!$J:$J,ROW()-8)="",0,INDEX(Transactions!$O:$O,ROW()-8))</f>
      </c>
    </row>
    <row r="7352" spans="1:7">
      <c r="B7352">
        <f>IF(INDEX(Transactions!$J:$J,ROW()-8)="",TODAY(),INDEX(Transactions!$G:$G,ROW()-8))</f>
      </c>
      <c r="F7352">
        <f>IF(INDEX(Transactions!$J:$J,ROW()-8)="",0,INDEX(Transactions!$O:$O,ROW()-8))</f>
      </c>
    </row>
    <row r="7353" spans="1:7">
      <c r="B7353">
        <f>IF(INDEX(Transactions!$J:$J,ROW()-8)="",TODAY(),INDEX(Transactions!$G:$G,ROW()-8))</f>
      </c>
      <c r="F7353">
        <f>IF(INDEX(Transactions!$J:$J,ROW()-8)="",0,INDEX(Transactions!$O:$O,ROW()-8))</f>
      </c>
    </row>
    <row r="7354" spans="1:7">
      <c r="B7354">
        <f>IF(INDEX(Transactions!$J:$J,ROW()-8)="",TODAY(),INDEX(Transactions!$G:$G,ROW()-8))</f>
      </c>
      <c r="F7354">
        <f>IF(INDEX(Transactions!$J:$J,ROW()-8)="",0,INDEX(Transactions!$O:$O,ROW()-8))</f>
      </c>
    </row>
    <row r="7355" spans="1:7">
      <c r="B7355">
        <f>IF(INDEX(Transactions!$J:$J,ROW()-8)="",TODAY(),INDEX(Transactions!$G:$G,ROW()-8))</f>
      </c>
      <c r="F7355">
        <f>IF(INDEX(Transactions!$J:$J,ROW()-8)="",0,INDEX(Transactions!$O:$O,ROW()-8))</f>
      </c>
    </row>
    <row r="7356" spans="1:7">
      <c r="B7356">
        <f>IF(INDEX(Transactions!$J:$J,ROW()-8)="",TODAY(),INDEX(Transactions!$G:$G,ROW()-8))</f>
      </c>
      <c r="F7356">
        <f>IF(INDEX(Transactions!$J:$J,ROW()-8)="",0,INDEX(Transactions!$O:$O,ROW()-8))</f>
      </c>
    </row>
    <row r="7357" spans="1:7">
      <c r="B7357">
        <f>IF(INDEX(Transactions!$J:$J,ROW()-8)="",TODAY(),INDEX(Transactions!$G:$G,ROW()-8))</f>
      </c>
      <c r="F7357">
        <f>IF(INDEX(Transactions!$J:$J,ROW()-8)="",0,INDEX(Transactions!$O:$O,ROW()-8))</f>
      </c>
    </row>
    <row r="7358" spans="1:7">
      <c r="B7358">
        <f>IF(INDEX(Transactions!$J:$J,ROW()-8)="",TODAY(),INDEX(Transactions!$G:$G,ROW()-8))</f>
      </c>
      <c r="F7358">
        <f>IF(INDEX(Transactions!$J:$J,ROW()-8)="",0,INDEX(Transactions!$O:$O,ROW()-8))</f>
      </c>
    </row>
    <row r="7359" spans="1:7">
      <c r="B7359">
        <f>IF(INDEX(Transactions!$J:$J,ROW()-8)="",TODAY(),INDEX(Transactions!$G:$G,ROW()-8))</f>
      </c>
      <c r="F7359">
        <f>IF(INDEX(Transactions!$J:$J,ROW()-8)="",0,INDEX(Transactions!$O:$O,ROW()-8))</f>
      </c>
    </row>
    <row r="7360" spans="1:7">
      <c r="B7360">
        <f>IF(INDEX(Transactions!$J:$J,ROW()-8)="",TODAY(),INDEX(Transactions!$G:$G,ROW()-8))</f>
      </c>
      <c r="F7360">
        <f>IF(INDEX(Transactions!$J:$J,ROW()-8)="",0,INDEX(Transactions!$O:$O,ROW()-8))</f>
      </c>
    </row>
    <row r="7361" spans="1:7">
      <c r="B7361">
        <f>IF(INDEX(Transactions!$J:$J,ROW()-8)="",TODAY(),INDEX(Transactions!$G:$G,ROW()-8))</f>
      </c>
      <c r="F7361">
        <f>IF(INDEX(Transactions!$J:$J,ROW()-8)="",0,INDEX(Transactions!$O:$O,ROW()-8))</f>
      </c>
    </row>
    <row r="7362" spans="1:7">
      <c r="B7362">
        <f>IF(INDEX(Transactions!$J:$J,ROW()-8)="",TODAY(),INDEX(Transactions!$G:$G,ROW()-8))</f>
      </c>
      <c r="F7362">
        <f>IF(INDEX(Transactions!$J:$J,ROW()-8)="",0,INDEX(Transactions!$O:$O,ROW()-8))</f>
      </c>
    </row>
    <row r="7363" spans="1:7">
      <c r="B7363">
        <f>IF(INDEX(Transactions!$J:$J,ROW()-8)="",TODAY(),INDEX(Transactions!$G:$G,ROW()-8))</f>
      </c>
      <c r="F7363">
        <f>IF(INDEX(Transactions!$J:$J,ROW()-8)="",0,INDEX(Transactions!$O:$O,ROW()-8))</f>
      </c>
    </row>
    <row r="7364" spans="1:7">
      <c r="B7364">
        <f>IF(INDEX(Transactions!$J:$J,ROW()-8)="",TODAY(),INDEX(Transactions!$G:$G,ROW()-8))</f>
      </c>
      <c r="F7364">
        <f>IF(INDEX(Transactions!$J:$J,ROW()-8)="",0,INDEX(Transactions!$O:$O,ROW()-8))</f>
      </c>
    </row>
    <row r="7365" spans="1:7">
      <c r="B7365">
        <f>IF(INDEX(Transactions!$J:$J,ROW()-8)="",TODAY(),INDEX(Transactions!$G:$G,ROW()-8))</f>
      </c>
      <c r="F7365">
        <f>IF(INDEX(Transactions!$J:$J,ROW()-8)="",0,INDEX(Transactions!$O:$O,ROW()-8))</f>
      </c>
    </row>
    <row r="7366" spans="1:7">
      <c r="B7366">
        <f>IF(INDEX(Transactions!$J:$J,ROW()-8)="",TODAY(),INDEX(Transactions!$G:$G,ROW()-8))</f>
      </c>
      <c r="F7366">
        <f>IF(INDEX(Transactions!$J:$J,ROW()-8)="",0,INDEX(Transactions!$O:$O,ROW()-8))</f>
      </c>
    </row>
    <row r="7367" spans="1:7">
      <c r="B7367">
        <f>IF(INDEX(Transactions!$J:$J,ROW()-8)="",TODAY(),INDEX(Transactions!$G:$G,ROW()-8))</f>
      </c>
      <c r="F7367">
        <f>IF(INDEX(Transactions!$J:$J,ROW()-8)="",0,INDEX(Transactions!$O:$O,ROW()-8))</f>
      </c>
    </row>
    <row r="7368" spans="1:7">
      <c r="B7368">
        <f>IF(INDEX(Transactions!$J:$J,ROW()-8)="",TODAY(),INDEX(Transactions!$G:$G,ROW()-8))</f>
      </c>
      <c r="F7368">
        <f>IF(INDEX(Transactions!$J:$J,ROW()-8)="",0,INDEX(Transactions!$O:$O,ROW()-8))</f>
      </c>
    </row>
    <row r="7369" spans="1:7">
      <c r="B7369">
        <f>IF(INDEX(Transactions!$J:$J,ROW()-8)="",TODAY(),INDEX(Transactions!$G:$G,ROW()-8))</f>
      </c>
      <c r="F7369">
        <f>IF(INDEX(Transactions!$J:$J,ROW()-8)="",0,INDEX(Transactions!$O:$O,ROW()-8))</f>
      </c>
    </row>
    <row r="7370" spans="1:7">
      <c r="B7370">
        <f>IF(INDEX(Transactions!$J:$J,ROW()-8)="",TODAY(),INDEX(Transactions!$G:$G,ROW()-8))</f>
      </c>
      <c r="F7370">
        <f>IF(INDEX(Transactions!$J:$J,ROW()-8)="",0,INDEX(Transactions!$O:$O,ROW()-8))</f>
      </c>
    </row>
    <row r="7371" spans="1:7">
      <c r="B7371">
        <f>IF(INDEX(Transactions!$J:$J,ROW()-8)="",TODAY(),INDEX(Transactions!$G:$G,ROW()-8))</f>
      </c>
      <c r="F7371">
        <f>IF(INDEX(Transactions!$J:$J,ROW()-8)="",0,INDEX(Transactions!$O:$O,ROW()-8))</f>
      </c>
    </row>
    <row r="7372" spans="1:7">
      <c r="B7372">
        <f>IF(INDEX(Transactions!$J:$J,ROW()-8)="",TODAY(),INDEX(Transactions!$G:$G,ROW()-8))</f>
      </c>
      <c r="F7372">
        <f>IF(INDEX(Transactions!$J:$J,ROW()-8)="",0,INDEX(Transactions!$O:$O,ROW()-8))</f>
      </c>
    </row>
    <row r="7373" spans="1:7">
      <c r="B7373">
        <f>IF(INDEX(Transactions!$J:$J,ROW()-8)="",TODAY(),INDEX(Transactions!$G:$G,ROW()-8))</f>
      </c>
      <c r="F7373">
        <f>IF(INDEX(Transactions!$J:$J,ROW()-8)="",0,INDEX(Transactions!$O:$O,ROW()-8))</f>
      </c>
    </row>
    <row r="7374" spans="1:7">
      <c r="B7374">
        <f>IF(INDEX(Transactions!$J:$J,ROW()-8)="",TODAY(),INDEX(Transactions!$G:$G,ROW()-8))</f>
      </c>
      <c r="F7374">
        <f>IF(INDEX(Transactions!$J:$J,ROW()-8)="",0,INDEX(Transactions!$O:$O,ROW()-8))</f>
      </c>
    </row>
    <row r="7375" spans="1:7">
      <c r="B7375">
        <f>IF(INDEX(Transactions!$J:$J,ROW()-8)="",TODAY(),INDEX(Transactions!$G:$G,ROW()-8))</f>
      </c>
      <c r="F7375">
        <f>IF(INDEX(Transactions!$J:$J,ROW()-8)="",0,INDEX(Transactions!$O:$O,ROW()-8))</f>
      </c>
    </row>
    <row r="7376" spans="1:7">
      <c r="B7376">
        <f>IF(INDEX(Transactions!$J:$J,ROW()-8)="",TODAY(),INDEX(Transactions!$G:$G,ROW()-8))</f>
      </c>
      <c r="F7376">
        <f>IF(INDEX(Transactions!$J:$J,ROW()-8)="",0,INDEX(Transactions!$O:$O,ROW()-8))</f>
      </c>
    </row>
    <row r="7377" spans="1:7">
      <c r="B7377">
        <f>IF(INDEX(Transactions!$J:$J,ROW()-8)="",TODAY(),INDEX(Transactions!$G:$G,ROW()-8))</f>
      </c>
      <c r="F7377">
        <f>IF(INDEX(Transactions!$J:$J,ROW()-8)="",0,INDEX(Transactions!$O:$O,ROW()-8))</f>
      </c>
    </row>
    <row r="7378" spans="1:7">
      <c r="B7378">
        <f>IF(INDEX(Transactions!$J:$J,ROW()-8)="",TODAY(),INDEX(Transactions!$G:$G,ROW()-8))</f>
      </c>
      <c r="F7378">
        <f>IF(INDEX(Transactions!$J:$J,ROW()-8)="",0,INDEX(Transactions!$O:$O,ROW()-8))</f>
      </c>
    </row>
    <row r="7379" spans="1:7">
      <c r="B7379">
        <f>IF(INDEX(Transactions!$J:$J,ROW()-8)="",TODAY(),INDEX(Transactions!$G:$G,ROW()-8))</f>
      </c>
      <c r="F7379">
        <f>IF(INDEX(Transactions!$J:$J,ROW()-8)="",0,INDEX(Transactions!$O:$O,ROW()-8))</f>
      </c>
    </row>
    <row r="7380" spans="1:7">
      <c r="B7380">
        <f>IF(INDEX(Transactions!$J:$J,ROW()-8)="",TODAY(),INDEX(Transactions!$G:$G,ROW()-8))</f>
      </c>
      <c r="F7380">
        <f>IF(INDEX(Transactions!$J:$J,ROW()-8)="",0,INDEX(Transactions!$O:$O,ROW()-8))</f>
      </c>
    </row>
    <row r="7381" spans="1:7">
      <c r="B7381">
        <f>IF(INDEX(Transactions!$J:$J,ROW()-8)="",TODAY(),INDEX(Transactions!$G:$G,ROW()-8))</f>
      </c>
      <c r="F7381">
        <f>IF(INDEX(Transactions!$J:$J,ROW()-8)="",0,INDEX(Transactions!$O:$O,ROW()-8))</f>
      </c>
    </row>
    <row r="7382" spans="1:7">
      <c r="B7382">
        <f>IF(INDEX(Transactions!$J:$J,ROW()-8)="",TODAY(),INDEX(Transactions!$G:$G,ROW()-8))</f>
      </c>
      <c r="F7382">
        <f>IF(INDEX(Transactions!$J:$J,ROW()-8)="",0,INDEX(Transactions!$O:$O,ROW()-8))</f>
      </c>
    </row>
    <row r="7383" spans="1:7">
      <c r="B7383">
        <f>IF(INDEX(Transactions!$J:$J,ROW()-8)="",TODAY(),INDEX(Transactions!$G:$G,ROW()-8))</f>
      </c>
      <c r="F7383">
        <f>IF(INDEX(Transactions!$J:$J,ROW()-8)="",0,INDEX(Transactions!$O:$O,ROW()-8))</f>
      </c>
    </row>
    <row r="7384" spans="1:7">
      <c r="B7384">
        <f>IF(INDEX(Transactions!$J:$J,ROW()-8)="",TODAY(),INDEX(Transactions!$G:$G,ROW()-8))</f>
      </c>
      <c r="F7384">
        <f>IF(INDEX(Transactions!$J:$J,ROW()-8)="",0,INDEX(Transactions!$O:$O,ROW()-8))</f>
      </c>
    </row>
    <row r="7385" spans="1:7">
      <c r="B7385">
        <f>IF(INDEX(Transactions!$J:$J,ROW()-8)="",TODAY(),INDEX(Transactions!$G:$G,ROW()-8))</f>
      </c>
      <c r="F7385">
        <f>IF(INDEX(Transactions!$J:$J,ROW()-8)="",0,INDEX(Transactions!$O:$O,ROW()-8))</f>
      </c>
    </row>
    <row r="7386" spans="1:7">
      <c r="B7386">
        <f>IF(INDEX(Transactions!$J:$J,ROW()-8)="",TODAY(),INDEX(Transactions!$G:$G,ROW()-8))</f>
      </c>
      <c r="F7386">
        <f>IF(INDEX(Transactions!$J:$J,ROW()-8)="",0,INDEX(Transactions!$O:$O,ROW()-8))</f>
      </c>
    </row>
    <row r="7387" spans="1:7">
      <c r="B7387">
        <f>IF(INDEX(Transactions!$J:$J,ROW()-8)="",TODAY(),INDEX(Transactions!$G:$G,ROW()-8))</f>
      </c>
      <c r="F7387">
        <f>IF(INDEX(Transactions!$J:$J,ROW()-8)="",0,INDEX(Transactions!$O:$O,ROW()-8))</f>
      </c>
    </row>
    <row r="7388" spans="1:7">
      <c r="B7388">
        <f>IF(INDEX(Transactions!$J:$J,ROW()-8)="",TODAY(),INDEX(Transactions!$G:$G,ROW()-8))</f>
      </c>
      <c r="F7388">
        <f>IF(INDEX(Transactions!$J:$J,ROW()-8)="",0,INDEX(Transactions!$O:$O,ROW()-8))</f>
      </c>
    </row>
    <row r="7389" spans="1:7">
      <c r="B7389">
        <f>IF(INDEX(Transactions!$J:$J,ROW()-8)="",TODAY(),INDEX(Transactions!$G:$G,ROW()-8))</f>
      </c>
      <c r="F7389">
        <f>IF(INDEX(Transactions!$J:$J,ROW()-8)="",0,INDEX(Transactions!$O:$O,ROW()-8))</f>
      </c>
    </row>
    <row r="7390" spans="1:7">
      <c r="B7390">
        <f>IF(INDEX(Transactions!$J:$J,ROW()-8)="",TODAY(),INDEX(Transactions!$G:$G,ROW()-8))</f>
      </c>
      <c r="F7390">
        <f>IF(INDEX(Transactions!$J:$J,ROW()-8)="",0,INDEX(Transactions!$O:$O,ROW()-8))</f>
      </c>
    </row>
    <row r="7391" spans="1:7">
      <c r="B7391">
        <f>IF(INDEX(Transactions!$J:$J,ROW()-8)="",TODAY(),INDEX(Transactions!$G:$G,ROW()-8))</f>
      </c>
      <c r="F7391">
        <f>IF(INDEX(Transactions!$J:$J,ROW()-8)="",0,INDEX(Transactions!$O:$O,ROW()-8))</f>
      </c>
    </row>
    <row r="7392" spans="1:7">
      <c r="B7392">
        <f>IF(INDEX(Transactions!$J:$J,ROW()-8)="",TODAY(),INDEX(Transactions!$G:$G,ROW()-8))</f>
      </c>
      <c r="F7392">
        <f>IF(INDEX(Transactions!$J:$J,ROW()-8)="",0,INDEX(Transactions!$O:$O,ROW()-8))</f>
      </c>
    </row>
    <row r="7393" spans="1:7">
      <c r="B7393">
        <f>IF(INDEX(Transactions!$J:$J,ROW()-8)="",TODAY(),INDEX(Transactions!$G:$G,ROW()-8))</f>
      </c>
      <c r="F7393">
        <f>IF(INDEX(Transactions!$J:$J,ROW()-8)="",0,INDEX(Transactions!$O:$O,ROW()-8))</f>
      </c>
    </row>
    <row r="7394" spans="1:7">
      <c r="B7394">
        <f>IF(INDEX(Transactions!$J:$J,ROW()-8)="",TODAY(),INDEX(Transactions!$G:$G,ROW()-8))</f>
      </c>
      <c r="F7394">
        <f>IF(INDEX(Transactions!$J:$J,ROW()-8)="",0,INDEX(Transactions!$O:$O,ROW()-8))</f>
      </c>
    </row>
    <row r="7395" spans="1:7">
      <c r="B7395">
        <f>IF(INDEX(Transactions!$J:$J,ROW()-8)="",TODAY(),INDEX(Transactions!$G:$G,ROW()-8))</f>
      </c>
      <c r="F7395">
        <f>IF(INDEX(Transactions!$J:$J,ROW()-8)="",0,INDEX(Transactions!$O:$O,ROW()-8))</f>
      </c>
    </row>
    <row r="7396" spans="1:7">
      <c r="B7396">
        <f>IF(INDEX(Transactions!$J:$J,ROW()-8)="",TODAY(),INDEX(Transactions!$G:$G,ROW()-8))</f>
      </c>
      <c r="F7396">
        <f>IF(INDEX(Transactions!$J:$J,ROW()-8)="",0,INDEX(Transactions!$O:$O,ROW()-8))</f>
      </c>
    </row>
    <row r="7397" spans="1:7">
      <c r="B7397">
        <f>IF(INDEX(Transactions!$J:$J,ROW()-8)="",TODAY(),INDEX(Transactions!$G:$G,ROW()-8))</f>
      </c>
      <c r="F7397">
        <f>IF(INDEX(Transactions!$J:$J,ROW()-8)="",0,INDEX(Transactions!$O:$O,ROW()-8))</f>
      </c>
    </row>
    <row r="7398" spans="1:7">
      <c r="B7398">
        <f>IF(INDEX(Transactions!$J:$J,ROW()-8)="",TODAY(),INDEX(Transactions!$G:$G,ROW()-8))</f>
      </c>
      <c r="F7398">
        <f>IF(INDEX(Transactions!$J:$J,ROW()-8)="",0,INDEX(Transactions!$O:$O,ROW()-8))</f>
      </c>
    </row>
    <row r="7399" spans="1:7">
      <c r="B7399">
        <f>IF(INDEX(Transactions!$J:$J,ROW()-8)="",TODAY(),INDEX(Transactions!$G:$G,ROW()-8))</f>
      </c>
      <c r="F7399">
        <f>IF(INDEX(Transactions!$J:$J,ROW()-8)="",0,INDEX(Transactions!$O:$O,ROW()-8))</f>
      </c>
    </row>
    <row r="7400" spans="1:7">
      <c r="B7400">
        <f>IF(INDEX(Transactions!$J:$J,ROW()-8)="",TODAY(),INDEX(Transactions!$G:$G,ROW()-8))</f>
      </c>
      <c r="F7400">
        <f>IF(INDEX(Transactions!$J:$J,ROW()-8)="",0,INDEX(Transactions!$O:$O,ROW()-8))</f>
      </c>
    </row>
    <row r="7401" spans="1:7">
      <c r="B7401">
        <f>IF(INDEX(Transactions!$J:$J,ROW()-8)="",TODAY(),INDEX(Transactions!$G:$G,ROW()-8))</f>
      </c>
      <c r="F7401">
        <f>IF(INDEX(Transactions!$J:$J,ROW()-8)="",0,INDEX(Transactions!$O:$O,ROW()-8))</f>
      </c>
    </row>
    <row r="7402" spans="1:7">
      <c r="B7402">
        <f>IF(INDEX(Transactions!$J:$J,ROW()-8)="",TODAY(),INDEX(Transactions!$G:$G,ROW()-8))</f>
      </c>
      <c r="F7402">
        <f>IF(INDEX(Transactions!$J:$J,ROW()-8)="",0,INDEX(Transactions!$O:$O,ROW()-8))</f>
      </c>
    </row>
    <row r="7403" spans="1:7">
      <c r="B7403">
        <f>IF(INDEX(Transactions!$J:$J,ROW()-8)="",TODAY(),INDEX(Transactions!$G:$G,ROW()-8))</f>
      </c>
      <c r="F7403">
        <f>IF(INDEX(Transactions!$J:$J,ROW()-8)="",0,INDEX(Transactions!$O:$O,ROW()-8))</f>
      </c>
    </row>
    <row r="7404" spans="1:7">
      <c r="B7404">
        <f>IF(INDEX(Transactions!$J:$J,ROW()-8)="",TODAY(),INDEX(Transactions!$G:$G,ROW()-8))</f>
      </c>
      <c r="F7404">
        <f>IF(INDEX(Transactions!$J:$J,ROW()-8)="",0,INDEX(Transactions!$O:$O,ROW()-8))</f>
      </c>
    </row>
    <row r="7405" spans="1:7">
      <c r="B7405">
        <f>IF(INDEX(Transactions!$J:$J,ROW()-8)="",TODAY(),INDEX(Transactions!$G:$G,ROW()-8))</f>
      </c>
      <c r="F7405">
        <f>IF(INDEX(Transactions!$J:$J,ROW()-8)="",0,INDEX(Transactions!$O:$O,ROW()-8))</f>
      </c>
    </row>
    <row r="7406" spans="1:7">
      <c r="B7406">
        <f>IF(INDEX(Transactions!$J:$J,ROW()-8)="",TODAY(),INDEX(Transactions!$G:$G,ROW()-8))</f>
      </c>
      <c r="F7406">
        <f>IF(INDEX(Transactions!$J:$J,ROW()-8)="",0,INDEX(Transactions!$O:$O,ROW()-8))</f>
      </c>
    </row>
    <row r="7407" spans="1:7">
      <c r="B7407">
        <f>IF(INDEX(Transactions!$J:$J,ROW()-8)="",TODAY(),INDEX(Transactions!$G:$G,ROW()-8))</f>
      </c>
      <c r="F7407">
        <f>IF(INDEX(Transactions!$J:$J,ROW()-8)="",0,INDEX(Transactions!$O:$O,ROW()-8))</f>
      </c>
    </row>
    <row r="7408" spans="1:7">
      <c r="B7408">
        <f>IF(INDEX(Transactions!$J:$J,ROW()-8)="",TODAY(),INDEX(Transactions!$G:$G,ROW()-8))</f>
      </c>
      <c r="F7408">
        <f>IF(INDEX(Transactions!$J:$J,ROW()-8)="",0,INDEX(Transactions!$O:$O,ROW()-8))</f>
      </c>
    </row>
    <row r="7409" spans="1:7">
      <c r="B7409">
        <f>IF(INDEX(Transactions!$J:$J,ROW()-8)="",TODAY(),INDEX(Transactions!$G:$G,ROW()-8))</f>
      </c>
      <c r="F7409">
        <f>IF(INDEX(Transactions!$J:$J,ROW()-8)="",0,INDEX(Transactions!$O:$O,ROW()-8))</f>
      </c>
    </row>
    <row r="7410" spans="1:7">
      <c r="B7410">
        <f>IF(INDEX(Transactions!$J:$J,ROW()-8)="",TODAY(),INDEX(Transactions!$G:$G,ROW()-8))</f>
      </c>
      <c r="F7410">
        <f>IF(INDEX(Transactions!$J:$J,ROW()-8)="",0,INDEX(Transactions!$O:$O,ROW()-8))</f>
      </c>
    </row>
    <row r="7411" spans="1:7">
      <c r="B7411">
        <f>IF(INDEX(Transactions!$J:$J,ROW()-8)="",TODAY(),INDEX(Transactions!$G:$G,ROW()-8))</f>
      </c>
      <c r="F7411">
        <f>IF(INDEX(Transactions!$J:$J,ROW()-8)="",0,INDEX(Transactions!$O:$O,ROW()-8))</f>
      </c>
    </row>
    <row r="7412" spans="1:7">
      <c r="B7412">
        <f>IF(INDEX(Transactions!$J:$J,ROW()-8)="",TODAY(),INDEX(Transactions!$G:$G,ROW()-8))</f>
      </c>
      <c r="F7412">
        <f>IF(INDEX(Transactions!$J:$J,ROW()-8)="",0,INDEX(Transactions!$O:$O,ROW()-8))</f>
      </c>
    </row>
    <row r="7413" spans="1:7">
      <c r="B7413">
        <f>IF(INDEX(Transactions!$J:$J,ROW()-8)="",TODAY(),INDEX(Transactions!$G:$G,ROW()-8))</f>
      </c>
      <c r="F7413">
        <f>IF(INDEX(Transactions!$J:$J,ROW()-8)="",0,INDEX(Transactions!$O:$O,ROW()-8))</f>
      </c>
    </row>
    <row r="7414" spans="1:7">
      <c r="B7414">
        <f>IF(INDEX(Transactions!$J:$J,ROW()-8)="",TODAY(),INDEX(Transactions!$G:$G,ROW()-8))</f>
      </c>
      <c r="F7414">
        <f>IF(INDEX(Transactions!$J:$J,ROW()-8)="",0,INDEX(Transactions!$O:$O,ROW()-8))</f>
      </c>
    </row>
    <row r="7415" spans="1:7">
      <c r="B7415">
        <f>IF(INDEX(Transactions!$J:$J,ROW()-8)="",TODAY(),INDEX(Transactions!$G:$G,ROW()-8))</f>
      </c>
      <c r="F7415">
        <f>IF(INDEX(Transactions!$J:$J,ROW()-8)="",0,INDEX(Transactions!$O:$O,ROW()-8))</f>
      </c>
    </row>
    <row r="7416" spans="1:7">
      <c r="B7416">
        <f>IF(INDEX(Transactions!$J:$J,ROW()-8)="",TODAY(),INDEX(Transactions!$G:$G,ROW()-8))</f>
      </c>
      <c r="F7416">
        <f>IF(INDEX(Transactions!$J:$J,ROW()-8)="",0,INDEX(Transactions!$O:$O,ROW()-8))</f>
      </c>
    </row>
    <row r="7417" spans="1:7">
      <c r="B7417">
        <f>IF(INDEX(Transactions!$J:$J,ROW()-8)="",TODAY(),INDEX(Transactions!$G:$G,ROW()-8))</f>
      </c>
      <c r="F7417">
        <f>IF(INDEX(Transactions!$J:$J,ROW()-8)="",0,INDEX(Transactions!$O:$O,ROW()-8))</f>
      </c>
    </row>
    <row r="7418" spans="1:7">
      <c r="B7418">
        <f>IF(INDEX(Transactions!$J:$J,ROW()-8)="",TODAY(),INDEX(Transactions!$G:$G,ROW()-8))</f>
      </c>
      <c r="F7418">
        <f>IF(INDEX(Transactions!$J:$J,ROW()-8)="",0,INDEX(Transactions!$O:$O,ROW()-8))</f>
      </c>
    </row>
    <row r="7419" spans="1:7">
      <c r="B7419">
        <f>IF(INDEX(Transactions!$J:$J,ROW()-8)="",TODAY(),INDEX(Transactions!$G:$G,ROW()-8))</f>
      </c>
      <c r="F7419">
        <f>IF(INDEX(Transactions!$J:$J,ROW()-8)="",0,INDEX(Transactions!$O:$O,ROW()-8))</f>
      </c>
    </row>
    <row r="7420" spans="1:7">
      <c r="B7420">
        <f>IF(INDEX(Transactions!$J:$J,ROW()-8)="",TODAY(),INDEX(Transactions!$G:$G,ROW()-8))</f>
      </c>
      <c r="F7420">
        <f>IF(INDEX(Transactions!$J:$J,ROW()-8)="",0,INDEX(Transactions!$O:$O,ROW()-8))</f>
      </c>
    </row>
    <row r="7421" spans="1:7">
      <c r="B7421">
        <f>IF(INDEX(Transactions!$J:$J,ROW()-8)="",TODAY(),INDEX(Transactions!$G:$G,ROW()-8))</f>
      </c>
      <c r="F7421">
        <f>IF(INDEX(Transactions!$J:$J,ROW()-8)="",0,INDEX(Transactions!$O:$O,ROW()-8))</f>
      </c>
    </row>
    <row r="7422" spans="1:7">
      <c r="B7422">
        <f>IF(INDEX(Transactions!$J:$J,ROW()-8)="",TODAY(),INDEX(Transactions!$G:$G,ROW()-8))</f>
      </c>
      <c r="F7422">
        <f>IF(INDEX(Transactions!$J:$J,ROW()-8)="",0,INDEX(Transactions!$O:$O,ROW()-8))</f>
      </c>
    </row>
    <row r="7423" spans="1:7">
      <c r="B7423">
        <f>IF(INDEX(Transactions!$J:$J,ROW()-8)="",TODAY(),INDEX(Transactions!$G:$G,ROW()-8))</f>
      </c>
      <c r="F7423">
        <f>IF(INDEX(Transactions!$J:$J,ROW()-8)="",0,INDEX(Transactions!$O:$O,ROW()-8))</f>
      </c>
    </row>
    <row r="7424" spans="1:7">
      <c r="B7424">
        <f>IF(INDEX(Transactions!$J:$J,ROW()-8)="",TODAY(),INDEX(Transactions!$G:$G,ROW()-8))</f>
      </c>
      <c r="F7424">
        <f>IF(INDEX(Transactions!$J:$J,ROW()-8)="",0,INDEX(Transactions!$O:$O,ROW()-8))</f>
      </c>
    </row>
    <row r="7425" spans="1:7">
      <c r="B7425">
        <f>IF(INDEX(Transactions!$J:$J,ROW()-8)="",TODAY(),INDEX(Transactions!$G:$G,ROW()-8))</f>
      </c>
      <c r="F7425">
        <f>IF(INDEX(Transactions!$J:$J,ROW()-8)="",0,INDEX(Transactions!$O:$O,ROW()-8))</f>
      </c>
    </row>
    <row r="7426" spans="1:7">
      <c r="B7426">
        <f>IF(INDEX(Transactions!$J:$J,ROW()-8)="",TODAY(),INDEX(Transactions!$G:$G,ROW()-8))</f>
      </c>
      <c r="F7426">
        <f>IF(INDEX(Transactions!$J:$J,ROW()-8)="",0,INDEX(Transactions!$O:$O,ROW()-8))</f>
      </c>
    </row>
    <row r="7427" spans="1:7">
      <c r="B7427">
        <f>IF(INDEX(Transactions!$J:$J,ROW()-8)="",TODAY(),INDEX(Transactions!$G:$G,ROW()-8))</f>
      </c>
      <c r="F7427">
        <f>IF(INDEX(Transactions!$J:$J,ROW()-8)="",0,INDEX(Transactions!$O:$O,ROW()-8))</f>
      </c>
    </row>
    <row r="7428" spans="1:7">
      <c r="B7428">
        <f>IF(INDEX(Transactions!$J:$J,ROW()-8)="",TODAY(),INDEX(Transactions!$G:$G,ROW()-8))</f>
      </c>
      <c r="F7428">
        <f>IF(INDEX(Transactions!$J:$J,ROW()-8)="",0,INDEX(Transactions!$O:$O,ROW()-8))</f>
      </c>
    </row>
    <row r="7429" spans="1:7">
      <c r="B7429">
        <f>IF(INDEX(Transactions!$J:$J,ROW()-8)="",TODAY(),INDEX(Transactions!$G:$G,ROW()-8))</f>
      </c>
      <c r="F7429">
        <f>IF(INDEX(Transactions!$J:$J,ROW()-8)="",0,INDEX(Transactions!$O:$O,ROW()-8))</f>
      </c>
    </row>
    <row r="7430" spans="1:7">
      <c r="B7430">
        <f>IF(INDEX(Transactions!$J:$J,ROW()-8)="",TODAY(),INDEX(Transactions!$G:$G,ROW()-8))</f>
      </c>
      <c r="F7430">
        <f>IF(INDEX(Transactions!$J:$J,ROW()-8)="",0,INDEX(Transactions!$O:$O,ROW()-8))</f>
      </c>
    </row>
    <row r="7431" spans="1:7">
      <c r="B7431">
        <f>IF(INDEX(Transactions!$J:$J,ROW()-8)="",TODAY(),INDEX(Transactions!$G:$G,ROW()-8))</f>
      </c>
      <c r="F7431">
        <f>IF(INDEX(Transactions!$J:$J,ROW()-8)="",0,INDEX(Transactions!$O:$O,ROW()-8))</f>
      </c>
    </row>
    <row r="7432" spans="1:7">
      <c r="B7432">
        <f>IF(INDEX(Transactions!$J:$J,ROW()-8)="",TODAY(),INDEX(Transactions!$G:$G,ROW()-8))</f>
      </c>
      <c r="F7432">
        <f>IF(INDEX(Transactions!$J:$J,ROW()-8)="",0,INDEX(Transactions!$O:$O,ROW()-8))</f>
      </c>
    </row>
    <row r="7433" spans="1:7">
      <c r="B7433">
        <f>IF(INDEX(Transactions!$J:$J,ROW()-8)="",TODAY(),INDEX(Transactions!$G:$G,ROW()-8))</f>
      </c>
      <c r="F7433">
        <f>IF(INDEX(Transactions!$J:$J,ROW()-8)="",0,INDEX(Transactions!$O:$O,ROW()-8))</f>
      </c>
    </row>
    <row r="7434" spans="1:7">
      <c r="B7434">
        <f>IF(INDEX(Transactions!$J:$J,ROW()-8)="",TODAY(),INDEX(Transactions!$G:$G,ROW()-8))</f>
      </c>
      <c r="F7434">
        <f>IF(INDEX(Transactions!$J:$J,ROW()-8)="",0,INDEX(Transactions!$O:$O,ROW()-8))</f>
      </c>
    </row>
    <row r="7435" spans="1:7">
      <c r="B7435">
        <f>IF(INDEX(Transactions!$J:$J,ROW()-8)="",TODAY(),INDEX(Transactions!$G:$G,ROW()-8))</f>
      </c>
      <c r="F7435">
        <f>IF(INDEX(Transactions!$J:$J,ROW()-8)="",0,INDEX(Transactions!$O:$O,ROW()-8))</f>
      </c>
    </row>
    <row r="7436" spans="1:7">
      <c r="B7436">
        <f>IF(INDEX(Transactions!$J:$J,ROW()-8)="",TODAY(),INDEX(Transactions!$G:$G,ROW()-8))</f>
      </c>
      <c r="F7436">
        <f>IF(INDEX(Transactions!$J:$J,ROW()-8)="",0,INDEX(Transactions!$O:$O,ROW()-8))</f>
      </c>
    </row>
    <row r="7437" spans="1:7">
      <c r="B7437">
        <f>IF(INDEX(Transactions!$J:$J,ROW()-8)="",TODAY(),INDEX(Transactions!$G:$G,ROW()-8))</f>
      </c>
      <c r="F7437">
        <f>IF(INDEX(Transactions!$J:$J,ROW()-8)="",0,INDEX(Transactions!$O:$O,ROW()-8))</f>
      </c>
    </row>
    <row r="7438" spans="1:7">
      <c r="B7438">
        <f>IF(INDEX(Transactions!$J:$J,ROW()-8)="",TODAY(),INDEX(Transactions!$G:$G,ROW()-8))</f>
      </c>
      <c r="F7438">
        <f>IF(INDEX(Transactions!$J:$J,ROW()-8)="",0,INDEX(Transactions!$O:$O,ROW()-8))</f>
      </c>
    </row>
    <row r="7439" spans="1:7">
      <c r="B7439">
        <f>IF(INDEX(Transactions!$J:$J,ROW()-8)="",TODAY(),INDEX(Transactions!$G:$G,ROW()-8))</f>
      </c>
      <c r="F7439">
        <f>IF(INDEX(Transactions!$J:$J,ROW()-8)="",0,INDEX(Transactions!$O:$O,ROW()-8))</f>
      </c>
    </row>
    <row r="7440" spans="1:7">
      <c r="B7440">
        <f>IF(INDEX(Transactions!$J:$J,ROW()-8)="",TODAY(),INDEX(Transactions!$G:$G,ROW()-8))</f>
      </c>
      <c r="F7440">
        <f>IF(INDEX(Transactions!$J:$J,ROW()-8)="",0,INDEX(Transactions!$O:$O,ROW()-8))</f>
      </c>
    </row>
    <row r="7441" spans="1:7">
      <c r="B7441">
        <f>IF(INDEX(Transactions!$J:$J,ROW()-8)="",TODAY(),INDEX(Transactions!$G:$G,ROW()-8))</f>
      </c>
      <c r="F7441">
        <f>IF(INDEX(Transactions!$J:$J,ROW()-8)="",0,INDEX(Transactions!$O:$O,ROW()-8))</f>
      </c>
    </row>
    <row r="7442" spans="1:7">
      <c r="B7442">
        <f>IF(INDEX(Transactions!$J:$J,ROW()-8)="",TODAY(),INDEX(Transactions!$G:$G,ROW()-8))</f>
      </c>
      <c r="F7442">
        <f>IF(INDEX(Transactions!$J:$J,ROW()-8)="",0,INDEX(Transactions!$O:$O,ROW()-8))</f>
      </c>
    </row>
    <row r="7443" spans="1:7">
      <c r="B7443">
        <f>IF(INDEX(Transactions!$J:$J,ROW()-8)="",TODAY(),INDEX(Transactions!$G:$G,ROW()-8))</f>
      </c>
      <c r="F7443">
        <f>IF(INDEX(Transactions!$J:$J,ROW()-8)="",0,INDEX(Transactions!$O:$O,ROW()-8))</f>
      </c>
    </row>
    <row r="7444" spans="1:7">
      <c r="B7444">
        <f>IF(INDEX(Transactions!$J:$J,ROW()-8)="",TODAY(),INDEX(Transactions!$G:$G,ROW()-8))</f>
      </c>
      <c r="F7444">
        <f>IF(INDEX(Transactions!$J:$J,ROW()-8)="",0,INDEX(Transactions!$O:$O,ROW()-8))</f>
      </c>
    </row>
    <row r="7445" spans="1:7">
      <c r="B7445">
        <f>IF(INDEX(Transactions!$J:$J,ROW()-8)="",TODAY(),INDEX(Transactions!$G:$G,ROW()-8))</f>
      </c>
      <c r="F7445">
        <f>IF(INDEX(Transactions!$J:$J,ROW()-8)="",0,INDEX(Transactions!$O:$O,ROW()-8))</f>
      </c>
    </row>
    <row r="7446" spans="1:7">
      <c r="B7446">
        <f>IF(INDEX(Transactions!$J:$J,ROW()-8)="",TODAY(),INDEX(Transactions!$G:$G,ROW()-8))</f>
      </c>
      <c r="F7446">
        <f>IF(INDEX(Transactions!$J:$J,ROW()-8)="",0,INDEX(Transactions!$O:$O,ROW()-8))</f>
      </c>
    </row>
    <row r="7447" spans="1:7">
      <c r="B7447">
        <f>IF(INDEX(Transactions!$J:$J,ROW()-8)="",TODAY(),INDEX(Transactions!$G:$G,ROW()-8))</f>
      </c>
      <c r="F7447">
        <f>IF(INDEX(Transactions!$J:$J,ROW()-8)="",0,INDEX(Transactions!$O:$O,ROW()-8))</f>
      </c>
    </row>
    <row r="7448" spans="1:7">
      <c r="B7448">
        <f>IF(INDEX(Transactions!$J:$J,ROW()-8)="",TODAY(),INDEX(Transactions!$G:$G,ROW()-8))</f>
      </c>
      <c r="F7448">
        <f>IF(INDEX(Transactions!$J:$J,ROW()-8)="",0,INDEX(Transactions!$O:$O,ROW()-8))</f>
      </c>
    </row>
    <row r="7449" spans="1:7">
      <c r="B7449">
        <f>IF(INDEX(Transactions!$J:$J,ROW()-8)="",TODAY(),INDEX(Transactions!$G:$G,ROW()-8))</f>
      </c>
      <c r="F7449">
        <f>IF(INDEX(Transactions!$J:$J,ROW()-8)="",0,INDEX(Transactions!$O:$O,ROW()-8))</f>
      </c>
    </row>
    <row r="7450" spans="1:7">
      <c r="B7450">
        <f>IF(INDEX(Transactions!$J:$J,ROW()-8)="",TODAY(),INDEX(Transactions!$G:$G,ROW()-8))</f>
      </c>
      <c r="F7450">
        <f>IF(INDEX(Transactions!$J:$J,ROW()-8)="",0,INDEX(Transactions!$O:$O,ROW()-8))</f>
      </c>
    </row>
    <row r="7451" spans="1:7">
      <c r="B7451">
        <f>IF(INDEX(Transactions!$J:$J,ROW()-8)="",TODAY(),INDEX(Transactions!$G:$G,ROW()-8))</f>
      </c>
      <c r="F7451">
        <f>IF(INDEX(Transactions!$J:$J,ROW()-8)="",0,INDEX(Transactions!$O:$O,ROW()-8))</f>
      </c>
    </row>
    <row r="7452" spans="1:7">
      <c r="B7452">
        <f>IF(INDEX(Transactions!$J:$J,ROW()-8)="",TODAY(),INDEX(Transactions!$G:$G,ROW()-8))</f>
      </c>
      <c r="F7452">
        <f>IF(INDEX(Transactions!$J:$J,ROW()-8)="",0,INDEX(Transactions!$O:$O,ROW()-8))</f>
      </c>
    </row>
    <row r="7453" spans="1:7">
      <c r="B7453">
        <f>IF(INDEX(Transactions!$J:$J,ROW()-8)="",TODAY(),INDEX(Transactions!$G:$G,ROW()-8))</f>
      </c>
      <c r="F7453">
        <f>IF(INDEX(Transactions!$J:$J,ROW()-8)="",0,INDEX(Transactions!$O:$O,ROW()-8))</f>
      </c>
    </row>
    <row r="7454" spans="1:7">
      <c r="B7454">
        <f>IF(INDEX(Transactions!$J:$J,ROW()-8)="",TODAY(),INDEX(Transactions!$G:$G,ROW()-8))</f>
      </c>
      <c r="F7454">
        <f>IF(INDEX(Transactions!$J:$J,ROW()-8)="",0,INDEX(Transactions!$O:$O,ROW()-8))</f>
      </c>
    </row>
    <row r="7455" spans="1:7">
      <c r="B7455">
        <f>IF(INDEX(Transactions!$J:$J,ROW()-8)="",TODAY(),INDEX(Transactions!$G:$G,ROW()-8))</f>
      </c>
      <c r="F7455">
        <f>IF(INDEX(Transactions!$J:$J,ROW()-8)="",0,INDEX(Transactions!$O:$O,ROW()-8))</f>
      </c>
    </row>
    <row r="7456" spans="1:7">
      <c r="B7456">
        <f>IF(INDEX(Transactions!$J:$J,ROW()-8)="",TODAY(),INDEX(Transactions!$G:$G,ROW()-8))</f>
      </c>
      <c r="F7456">
        <f>IF(INDEX(Transactions!$J:$J,ROW()-8)="",0,INDEX(Transactions!$O:$O,ROW()-8))</f>
      </c>
    </row>
    <row r="7457" spans="1:7">
      <c r="B7457">
        <f>IF(INDEX(Transactions!$J:$J,ROW()-8)="",TODAY(),INDEX(Transactions!$G:$G,ROW()-8))</f>
      </c>
      <c r="F7457">
        <f>IF(INDEX(Transactions!$J:$J,ROW()-8)="",0,INDEX(Transactions!$O:$O,ROW()-8))</f>
      </c>
    </row>
    <row r="7458" spans="1:7">
      <c r="B7458">
        <f>IF(INDEX(Transactions!$J:$J,ROW()-8)="",TODAY(),INDEX(Transactions!$G:$G,ROW()-8))</f>
      </c>
      <c r="F7458">
        <f>IF(INDEX(Transactions!$J:$J,ROW()-8)="",0,INDEX(Transactions!$O:$O,ROW()-8))</f>
      </c>
    </row>
    <row r="7459" spans="1:7">
      <c r="B7459">
        <f>IF(INDEX(Transactions!$J:$J,ROW()-8)="",TODAY(),INDEX(Transactions!$G:$G,ROW()-8))</f>
      </c>
      <c r="F7459">
        <f>IF(INDEX(Transactions!$J:$J,ROW()-8)="",0,INDEX(Transactions!$O:$O,ROW()-8))</f>
      </c>
    </row>
    <row r="7460" spans="1:7">
      <c r="B7460">
        <f>IF(INDEX(Transactions!$J:$J,ROW()-8)="",TODAY(),INDEX(Transactions!$G:$G,ROW()-8))</f>
      </c>
      <c r="F7460">
        <f>IF(INDEX(Transactions!$J:$J,ROW()-8)="",0,INDEX(Transactions!$O:$O,ROW()-8))</f>
      </c>
    </row>
    <row r="7461" spans="1:7">
      <c r="B7461">
        <f>IF(INDEX(Transactions!$J:$J,ROW()-8)="",TODAY(),INDEX(Transactions!$G:$G,ROW()-8))</f>
      </c>
      <c r="F7461">
        <f>IF(INDEX(Transactions!$J:$J,ROW()-8)="",0,INDEX(Transactions!$O:$O,ROW()-8))</f>
      </c>
    </row>
    <row r="7462" spans="1:7">
      <c r="B7462">
        <f>IF(INDEX(Transactions!$J:$J,ROW()-8)="",TODAY(),INDEX(Transactions!$G:$G,ROW()-8))</f>
      </c>
      <c r="F7462">
        <f>IF(INDEX(Transactions!$J:$J,ROW()-8)="",0,INDEX(Transactions!$O:$O,ROW()-8))</f>
      </c>
    </row>
    <row r="7463" spans="1:7">
      <c r="B7463">
        <f>IF(INDEX(Transactions!$J:$J,ROW()-8)="",TODAY(),INDEX(Transactions!$G:$G,ROW()-8))</f>
      </c>
      <c r="F7463">
        <f>IF(INDEX(Transactions!$J:$J,ROW()-8)="",0,INDEX(Transactions!$O:$O,ROW()-8))</f>
      </c>
    </row>
    <row r="7464" spans="1:7">
      <c r="B7464">
        <f>IF(INDEX(Transactions!$J:$J,ROW()-8)="",TODAY(),INDEX(Transactions!$G:$G,ROW()-8))</f>
      </c>
      <c r="F7464">
        <f>IF(INDEX(Transactions!$J:$J,ROW()-8)="",0,INDEX(Transactions!$O:$O,ROW()-8))</f>
      </c>
    </row>
    <row r="7465" spans="1:7">
      <c r="B7465">
        <f>IF(INDEX(Transactions!$J:$J,ROW()-8)="",TODAY(),INDEX(Transactions!$G:$G,ROW()-8))</f>
      </c>
      <c r="F7465">
        <f>IF(INDEX(Transactions!$J:$J,ROW()-8)="",0,INDEX(Transactions!$O:$O,ROW()-8))</f>
      </c>
    </row>
    <row r="7466" spans="1:7">
      <c r="B7466">
        <f>IF(INDEX(Transactions!$J:$J,ROW()-8)="",TODAY(),INDEX(Transactions!$G:$G,ROW()-8))</f>
      </c>
      <c r="F7466">
        <f>IF(INDEX(Transactions!$J:$J,ROW()-8)="",0,INDEX(Transactions!$O:$O,ROW()-8))</f>
      </c>
    </row>
    <row r="7467" spans="1:7">
      <c r="B7467">
        <f>IF(INDEX(Transactions!$J:$J,ROW()-8)="",TODAY(),INDEX(Transactions!$G:$G,ROW()-8))</f>
      </c>
      <c r="F7467">
        <f>IF(INDEX(Transactions!$J:$J,ROW()-8)="",0,INDEX(Transactions!$O:$O,ROW()-8))</f>
      </c>
    </row>
    <row r="7468" spans="1:7">
      <c r="B7468">
        <f>IF(INDEX(Transactions!$J:$J,ROW()-8)="",TODAY(),INDEX(Transactions!$G:$G,ROW()-8))</f>
      </c>
      <c r="F7468">
        <f>IF(INDEX(Transactions!$J:$J,ROW()-8)="",0,INDEX(Transactions!$O:$O,ROW()-8))</f>
      </c>
    </row>
    <row r="7469" spans="1:7">
      <c r="B7469">
        <f>IF(INDEX(Transactions!$J:$J,ROW()-8)="",TODAY(),INDEX(Transactions!$G:$G,ROW()-8))</f>
      </c>
      <c r="F7469">
        <f>IF(INDEX(Transactions!$J:$J,ROW()-8)="",0,INDEX(Transactions!$O:$O,ROW()-8))</f>
      </c>
    </row>
    <row r="7470" spans="1:7">
      <c r="B7470">
        <f>IF(INDEX(Transactions!$J:$J,ROW()-8)="",TODAY(),INDEX(Transactions!$G:$G,ROW()-8))</f>
      </c>
      <c r="F7470">
        <f>IF(INDEX(Transactions!$J:$J,ROW()-8)="",0,INDEX(Transactions!$O:$O,ROW()-8))</f>
      </c>
    </row>
    <row r="7471" spans="1:7">
      <c r="B7471">
        <f>IF(INDEX(Transactions!$J:$J,ROW()-8)="",TODAY(),INDEX(Transactions!$G:$G,ROW()-8))</f>
      </c>
      <c r="F7471">
        <f>IF(INDEX(Transactions!$J:$J,ROW()-8)="",0,INDEX(Transactions!$O:$O,ROW()-8))</f>
      </c>
    </row>
    <row r="7472" spans="1:7">
      <c r="B7472">
        <f>IF(INDEX(Transactions!$J:$J,ROW()-8)="",TODAY(),INDEX(Transactions!$G:$G,ROW()-8))</f>
      </c>
      <c r="F7472">
        <f>IF(INDEX(Transactions!$J:$J,ROW()-8)="",0,INDEX(Transactions!$O:$O,ROW()-8))</f>
      </c>
    </row>
    <row r="7473" spans="1:7">
      <c r="B7473">
        <f>IF(INDEX(Transactions!$J:$J,ROW()-8)="",TODAY(),INDEX(Transactions!$G:$G,ROW()-8))</f>
      </c>
      <c r="F7473">
        <f>IF(INDEX(Transactions!$J:$J,ROW()-8)="",0,INDEX(Transactions!$O:$O,ROW()-8))</f>
      </c>
    </row>
    <row r="7474" spans="1:7">
      <c r="B7474">
        <f>IF(INDEX(Transactions!$J:$J,ROW()-8)="",TODAY(),INDEX(Transactions!$G:$G,ROW()-8))</f>
      </c>
      <c r="F7474">
        <f>IF(INDEX(Transactions!$J:$J,ROW()-8)="",0,INDEX(Transactions!$O:$O,ROW()-8))</f>
      </c>
    </row>
    <row r="7475" spans="1:7">
      <c r="B7475">
        <f>IF(INDEX(Transactions!$J:$J,ROW()-8)="",TODAY(),INDEX(Transactions!$G:$G,ROW()-8))</f>
      </c>
      <c r="F7475">
        <f>IF(INDEX(Transactions!$J:$J,ROW()-8)="",0,INDEX(Transactions!$O:$O,ROW()-8))</f>
      </c>
    </row>
    <row r="7476" spans="1:7">
      <c r="B7476">
        <f>IF(INDEX(Transactions!$J:$J,ROW()-8)="",TODAY(),INDEX(Transactions!$G:$G,ROW()-8))</f>
      </c>
      <c r="F7476">
        <f>IF(INDEX(Transactions!$J:$J,ROW()-8)="",0,INDEX(Transactions!$O:$O,ROW()-8))</f>
      </c>
    </row>
    <row r="7477" spans="1:7">
      <c r="B7477">
        <f>IF(INDEX(Transactions!$J:$J,ROW()-8)="",TODAY(),INDEX(Transactions!$G:$G,ROW()-8))</f>
      </c>
      <c r="F7477">
        <f>IF(INDEX(Transactions!$J:$J,ROW()-8)="",0,INDEX(Transactions!$O:$O,ROW()-8))</f>
      </c>
    </row>
    <row r="7478" spans="1:7">
      <c r="B7478">
        <f>IF(INDEX(Transactions!$J:$J,ROW()-8)="",TODAY(),INDEX(Transactions!$G:$G,ROW()-8))</f>
      </c>
      <c r="F7478">
        <f>IF(INDEX(Transactions!$J:$J,ROW()-8)="",0,INDEX(Transactions!$O:$O,ROW()-8))</f>
      </c>
    </row>
    <row r="7479" spans="1:7">
      <c r="B7479">
        <f>IF(INDEX(Transactions!$J:$J,ROW()-8)="",TODAY(),INDEX(Transactions!$G:$G,ROW()-8))</f>
      </c>
      <c r="F7479">
        <f>IF(INDEX(Transactions!$J:$J,ROW()-8)="",0,INDEX(Transactions!$O:$O,ROW()-8))</f>
      </c>
    </row>
    <row r="7480" spans="1:7">
      <c r="B7480">
        <f>IF(INDEX(Transactions!$J:$J,ROW()-8)="",TODAY(),INDEX(Transactions!$G:$G,ROW()-8))</f>
      </c>
      <c r="F7480">
        <f>IF(INDEX(Transactions!$J:$J,ROW()-8)="",0,INDEX(Transactions!$O:$O,ROW()-8))</f>
      </c>
    </row>
    <row r="7481" spans="1:7">
      <c r="B7481">
        <f>IF(INDEX(Transactions!$J:$J,ROW()-8)="",TODAY(),INDEX(Transactions!$G:$G,ROW()-8))</f>
      </c>
      <c r="F7481">
        <f>IF(INDEX(Transactions!$J:$J,ROW()-8)="",0,INDEX(Transactions!$O:$O,ROW()-8))</f>
      </c>
    </row>
    <row r="7482" spans="1:7">
      <c r="B7482">
        <f>IF(INDEX(Transactions!$J:$J,ROW()-8)="",TODAY(),INDEX(Transactions!$G:$G,ROW()-8))</f>
      </c>
      <c r="F7482">
        <f>IF(INDEX(Transactions!$J:$J,ROW()-8)="",0,INDEX(Transactions!$O:$O,ROW()-8))</f>
      </c>
    </row>
    <row r="7483" spans="1:7">
      <c r="B7483">
        <f>IF(INDEX(Transactions!$J:$J,ROW()-8)="",TODAY(),INDEX(Transactions!$G:$G,ROW()-8))</f>
      </c>
      <c r="F7483">
        <f>IF(INDEX(Transactions!$J:$J,ROW()-8)="",0,INDEX(Transactions!$O:$O,ROW()-8))</f>
      </c>
    </row>
    <row r="7484" spans="1:7">
      <c r="B7484">
        <f>IF(INDEX(Transactions!$J:$J,ROW()-8)="",TODAY(),INDEX(Transactions!$G:$G,ROW()-8))</f>
      </c>
      <c r="F7484">
        <f>IF(INDEX(Transactions!$J:$J,ROW()-8)="",0,INDEX(Transactions!$O:$O,ROW()-8))</f>
      </c>
    </row>
    <row r="7485" spans="1:7">
      <c r="B7485">
        <f>IF(INDEX(Transactions!$J:$J,ROW()-8)="",TODAY(),INDEX(Transactions!$G:$G,ROW()-8))</f>
      </c>
      <c r="F7485">
        <f>IF(INDEX(Transactions!$J:$J,ROW()-8)="",0,INDEX(Transactions!$O:$O,ROW()-8))</f>
      </c>
    </row>
    <row r="7486" spans="1:7">
      <c r="B7486">
        <f>IF(INDEX(Transactions!$J:$J,ROW()-8)="",TODAY(),INDEX(Transactions!$G:$G,ROW()-8))</f>
      </c>
      <c r="F7486">
        <f>IF(INDEX(Transactions!$J:$J,ROW()-8)="",0,INDEX(Transactions!$O:$O,ROW()-8))</f>
      </c>
    </row>
    <row r="7487" spans="1:7">
      <c r="B7487">
        <f>IF(INDEX(Transactions!$J:$J,ROW()-8)="",TODAY(),INDEX(Transactions!$G:$G,ROW()-8))</f>
      </c>
      <c r="F7487">
        <f>IF(INDEX(Transactions!$J:$J,ROW()-8)="",0,INDEX(Transactions!$O:$O,ROW()-8))</f>
      </c>
    </row>
    <row r="7488" spans="1:7">
      <c r="B7488">
        <f>IF(INDEX(Transactions!$J:$J,ROW()-8)="",TODAY(),INDEX(Transactions!$G:$G,ROW()-8))</f>
      </c>
      <c r="F7488">
        <f>IF(INDEX(Transactions!$J:$J,ROW()-8)="",0,INDEX(Transactions!$O:$O,ROW()-8))</f>
      </c>
    </row>
    <row r="7489" spans="1:7">
      <c r="B7489">
        <f>IF(INDEX(Transactions!$J:$J,ROW()-8)="",TODAY(),INDEX(Transactions!$G:$G,ROW()-8))</f>
      </c>
      <c r="F7489">
        <f>IF(INDEX(Transactions!$J:$J,ROW()-8)="",0,INDEX(Transactions!$O:$O,ROW()-8))</f>
      </c>
    </row>
    <row r="7490" spans="1:7">
      <c r="B7490">
        <f>IF(INDEX(Transactions!$J:$J,ROW()-8)="",TODAY(),INDEX(Transactions!$G:$G,ROW()-8))</f>
      </c>
      <c r="F7490">
        <f>IF(INDEX(Transactions!$J:$J,ROW()-8)="",0,INDEX(Transactions!$O:$O,ROW()-8))</f>
      </c>
    </row>
    <row r="7491" spans="1:7">
      <c r="B7491">
        <f>IF(INDEX(Transactions!$J:$J,ROW()-8)="",TODAY(),INDEX(Transactions!$G:$G,ROW()-8))</f>
      </c>
      <c r="F7491">
        <f>IF(INDEX(Transactions!$J:$J,ROW()-8)="",0,INDEX(Transactions!$O:$O,ROW()-8))</f>
      </c>
    </row>
    <row r="7492" spans="1:7">
      <c r="B7492">
        <f>IF(INDEX(Transactions!$J:$J,ROW()-8)="",TODAY(),INDEX(Transactions!$G:$G,ROW()-8))</f>
      </c>
      <c r="F7492">
        <f>IF(INDEX(Transactions!$J:$J,ROW()-8)="",0,INDEX(Transactions!$O:$O,ROW()-8))</f>
      </c>
    </row>
    <row r="7493" spans="1:7">
      <c r="B7493">
        <f>IF(INDEX(Transactions!$J:$J,ROW()-8)="",TODAY(),INDEX(Transactions!$G:$G,ROW()-8))</f>
      </c>
      <c r="F7493">
        <f>IF(INDEX(Transactions!$J:$J,ROW()-8)="",0,INDEX(Transactions!$O:$O,ROW()-8))</f>
      </c>
    </row>
    <row r="7494" spans="1:7">
      <c r="B7494">
        <f>IF(INDEX(Transactions!$J:$J,ROW()-8)="",TODAY(),INDEX(Transactions!$G:$G,ROW()-8))</f>
      </c>
      <c r="F7494">
        <f>IF(INDEX(Transactions!$J:$J,ROW()-8)="",0,INDEX(Transactions!$O:$O,ROW()-8))</f>
      </c>
    </row>
    <row r="7495" spans="1:7">
      <c r="B7495">
        <f>IF(INDEX(Transactions!$J:$J,ROW()-8)="",TODAY(),INDEX(Transactions!$G:$G,ROW()-8))</f>
      </c>
      <c r="F7495">
        <f>IF(INDEX(Transactions!$J:$J,ROW()-8)="",0,INDEX(Transactions!$O:$O,ROW()-8))</f>
      </c>
    </row>
    <row r="7496" spans="1:7">
      <c r="B7496">
        <f>IF(INDEX(Transactions!$J:$J,ROW()-8)="",TODAY(),INDEX(Transactions!$G:$G,ROW()-8))</f>
      </c>
      <c r="F7496">
        <f>IF(INDEX(Transactions!$J:$J,ROW()-8)="",0,INDEX(Transactions!$O:$O,ROW()-8))</f>
      </c>
    </row>
    <row r="7497" spans="1:7">
      <c r="B7497">
        <f>IF(INDEX(Transactions!$J:$J,ROW()-8)="",TODAY(),INDEX(Transactions!$G:$G,ROW()-8))</f>
      </c>
      <c r="F7497">
        <f>IF(INDEX(Transactions!$J:$J,ROW()-8)="",0,INDEX(Transactions!$O:$O,ROW()-8))</f>
      </c>
    </row>
    <row r="7498" spans="1:7">
      <c r="B7498">
        <f>IF(INDEX(Transactions!$J:$J,ROW()-8)="",TODAY(),INDEX(Transactions!$G:$G,ROW()-8))</f>
      </c>
      <c r="F7498">
        <f>IF(INDEX(Transactions!$J:$J,ROW()-8)="",0,INDEX(Transactions!$O:$O,ROW()-8))</f>
      </c>
    </row>
    <row r="7499" spans="1:7">
      <c r="B7499">
        <f>IF(INDEX(Transactions!$J:$J,ROW()-8)="",TODAY(),INDEX(Transactions!$G:$G,ROW()-8))</f>
      </c>
      <c r="F7499">
        <f>IF(INDEX(Transactions!$J:$J,ROW()-8)="",0,INDEX(Transactions!$O:$O,ROW()-8))</f>
      </c>
    </row>
    <row r="7500" spans="1:7">
      <c r="B7500">
        <f>IF(INDEX(Transactions!$J:$J,ROW()-8)="",TODAY(),INDEX(Transactions!$G:$G,ROW()-8))</f>
      </c>
      <c r="F7500">
        <f>IF(INDEX(Transactions!$J:$J,ROW()-8)="",0,INDEX(Transactions!$O:$O,ROW()-8))</f>
      </c>
    </row>
    <row r="7501" spans="1:7">
      <c r="B7501">
        <f>IF(INDEX(Transactions!$J:$J,ROW()-8)="",TODAY(),INDEX(Transactions!$G:$G,ROW()-8))</f>
      </c>
      <c r="F7501">
        <f>IF(INDEX(Transactions!$J:$J,ROW()-8)="",0,INDEX(Transactions!$O:$O,ROW()-8))</f>
      </c>
    </row>
    <row r="7502" spans="1:7">
      <c r="B7502">
        <f>IF(INDEX(Transactions!$J:$J,ROW()-8)="",TODAY(),INDEX(Transactions!$G:$G,ROW()-8))</f>
      </c>
      <c r="F7502">
        <f>IF(INDEX(Transactions!$J:$J,ROW()-8)="",0,INDEX(Transactions!$O:$O,ROW()-8))</f>
      </c>
    </row>
    <row r="7503" spans="1:7">
      <c r="B7503">
        <f>IF(INDEX(Transactions!$J:$J,ROW()-8)="",TODAY(),INDEX(Transactions!$G:$G,ROW()-8))</f>
      </c>
      <c r="F7503">
        <f>IF(INDEX(Transactions!$J:$J,ROW()-8)="",0,INDEX(Transactions!$O:$O,ROW()-8))</f>
      </c>
    </row>
    <row r="7504" spans="1:7">
      <c r="B7504">
        <f>IF(INDEX(Transactions!$J:$J,ROW()-8)="",TODAY(),INDEX(Transactions!$G:$G,ROW()-8))</f>
      </c>
      <c r="F7504">
        <f>IF(INDEX(Transactions!$J:$J,ROW()-8)="",0,INDEX(Transactions!$O:$O,ROW()-8))</f>
      </c>
    </row>
    <row r="7505" spans="1:7">
      <c r="B7505">
        <f>IF(INDEX(Transactions!$J:$J,ROW()-8)="",TODAY(),INDEX(Transactions!$G:$G,ROW()-8))</f>
      </c>
      <c r="F7505">
        <f>IF(INDEX(Transactions!$J:$J,ROW()-8)="",0,INDEX(Transactions!$O:$O,ROW()-8))</f>
      </c>
    </row>
    <row r="7506" spans="1:7">
      <c r="B7506">
        <f>IF(INDEX(Transactions!$J:$J,ROW()-8)="",TODAY(),INDEX(Transactions!$G:$G,ROW()-8))</f>
      </c>
      <c r="F7506">
        <f>IF(INDEX(Transactions!$J:$J,ROW()-8)="",0,INDEX(Transactions!$O:$O,ROW()-8))</f>
      </c>
    </row>
    <row r="7507" spans="1:7">
      <c r="B7507">
        <f>IF(INDEX(Transactions!$J:$J,ROW()-8)="",TODAY(),INDEX(Transactions!$G:$G,ROW()-8))</f>
      </c>
      <c r="F7507">
        <f>IF(INDEX(Transactions!$J:$J,ROW()-8)="",0,INDEX(Transactions!$O:$O,ROW()-8))</f>
      </c>
    </row>
    <row r="7508" spans="1:7">
      <c r="B7508">
        <f>IF(INDEX(Transactions!$J:$J,ROW()-8)="",TODAY(),INDEX(Transactions!$G:$G,ROW()-8))</f>
      </c>
      <c r="F7508">
        <f>IF(INDEX(Transactions!$J:$J,ROW()-8)="",0,INDEX(Transactions!$O:$O,ROW()-8))</f>
      </c>
    </row>
    <row r="7509" spans="1:7">
      <c r="B7509">
        <f>IF(INDEX(Transactions!$J:$J,ROW()-8)="",TODAY(),INDEX(Transactions!$G:$G,ROW()-8))</f>
      </c>
      <c r="F7509">
        <f>IF(INDEX(Transactions!$J:$J,ROW()-8)="",0,INDEX(Transactions!$O:$O,ROW()-8))</f>
      </c>
    </row>
    <row r="7510" spans="1:7">
      <c r="B7510">
        <f>IF(INDEX(Transactions!$J:$J,ROW()-8)="",TODAY(),INDEX(Transactions!$G:$G,ROW()-8))</f>
      </c>
      <c r="F7510">
        <f>IF(INDEX(Transactions!$J:$J,ROW()-8)="",0,INDEX(Transactions!$O:$O,ROW()-8))</f>
      </c>
    </row>
    <row r="7511" spans="1:7">
      <c r="B7511">
        <f>IF(INDEX(Transactions!$J:$J,ROW()-8)="",TODAY(),INDEX(Transactions!$G:$G,ROW()-8))</f>
      </c>
      <c r="F7511">
        <f>IF(INDEX(Transactions!$J:$J,ROW()-8)="",0,INDEX(Transactions!$O:$O,ROW()-8))</f>
      </c>
    </row>
    <row r="7512" spans="1:7">
      <c r="B7512">
        <f>IF(INDEX(Transactions!$J:$J,ROW()-8)="",TODAY(),INDEX(Transactions!$G:$G,ROW()-8))</f>
      </c>
      <c r="F7512">
        <f>IF(INDEX(Transactions!$J:$J,ROW()-8)="",0,INDEX(Transactions!$O:$O,ROW()-8))</f>
      </c>
    </row>
    <row r="7513" spans="1:7">
      <c r="B7513">
        <f>IF(INDEX(Transactions!$J:$J,ROW()-8)="",TODAY(),INDEX(Transactions!$G:$G,ROW()-8))</f>
      </c>
      <c r="F7513">
        <f>IF(INDEX(Transactions!$J:$J,ROW()-8)="",0,INDEX(Transactions!$O:$O,ROW()-8))</f>
      </c>
    </row>
    <row r="7514" spans="1:7">
      <c r="B7514">
        <f>IF(INDEX(Transactions!$J:$J,ROW()-8)="",TODAY(),INDEX(Transactions!$G:$G,ROW()-8))</f>
      </c>
      <c r="F7514">
        <f>IF(INDEX(Transactions!$J:$J,ROW()-8)="",0,INDEX(Transactions!$O:$O,ROW()-8))</f>
      </c>
    </row>
    <row r="7515" spans="1:7">
      <c r="B7515">
        <f>IF(INDEX(Transactions!$J:$J,ROW()-8)="",TODAY(),INDEX(Transactions!$G:$G,ROW()-8))</f>
      </c>
      <c r="F7515">
        <f>IF(INDEX(Transactions!$J:$J,ROW()-8)="",0,INDEX(Transactions!$O:$O,ROW()-8))</f>
      </c>
    </row>
    <row r="7516" spans="1:7">
      <c r="B7516">
        <f>IF(INDEX(Transactions!$J:$J,ROW()-8)="",TODAY(),INDEX(Transactions!$G:$G,ROW()-8))</f>
      </c>
      <c r="F7516">
        <f>IF(INDEX(Transactions!$J:$J,ROW()-8)="",0,INDEX(Transactions!$O:$O,ROW()-8))</f>
      </c>
    </row>
    <row r="7517" spans="1:7">
      <c r="B7517">
        <f>IF(INDEX(Transactions!$J:$J,ROW()-8)="",TODAY(),INDEX(Transactions!$G:$G,ROW()-8))</f>
      </c>
      <c r="F7517">
        <f>IF(INDEX(Transactions!$J:$J,ROW()-8)="",0,INDEX(Transactions!$O:$O,ROW()-8))</f>
      </c>
    </row>
    <row r="7518" spans="1:7">
      <c r="B7518">
        <f>IF(INDEX(Transactions!$J:$J,ROW()-8)="",TODAY(),INDEX(Transactions!$G:$G,ROW()-8))</f>
      </c>
      <c r="F7518">
        <f>IF(INDEX(Transactions!$J:$J,ROW()-8)="",0,INDEX(Transactions!$O:$O,ROW()-8))</f>
      </c>
    </row>
    <row r="7519" spans="1:7">
      <c r="B7519">
        <f>IF(INDEX(Transactions!$J:$J,ROW()-8)="",TODAY(),INDEX(Transactions!$G:$G,ROW()-8))</f>
      </c>
      <c r="F7519">
        <f>IF(INDEX(Transactions!$J:$J,ROW()-8)="",0,INDEX(Transactions!$O:$O,ROW()-8))</f>
      </c>
    </row>
    <row r="7520" spans="1:7">
      <c r="B7520">
        <f>IF(INDEX(Transactions!$J:$J,ROW()-8)="",TODAY(),INDEX(Transactions!$G:$G,ROW()-8))</f>
      </c>
      <c r="F7520">
        <f>IF(INDEX(Transactions!$J:$J,ROW()-8)="",0,INDEX(Transactions!$O:$O,ROW()-8))</f>
      </c>
    </row>
    <row r="7521" spans="1:7">
      <c r="B7521">
        <f>IF(INDEX(Transactions!$J:$J,ROW()-8)="",TODAY(),INDEX(Transactions!$G:$G,ROW()-8))</f>
      </c>
      <c r="F7521">
        <f>IF(INDEX(Transactions!$J:$J,ROW()-8)="",0,INDEX(Transactions!$O:$O,ROW()-8))</f>
      </c>
    </row>
    <row r="7522" spans="1:7">
      <c r="B7522">
        <f>IF(INDEX(Transactions!$J:$J,ROW()-8)="",TODAY(),INDEX(Transactions!$G:$G,ROW()-8))</f>
      </c>
      <c r="F7522">
        <f>IF(INDEX(Transactions!$J:$J,ROW()-8)="",0,INDEX(Transactions!$O:$O,ROW()-8))</f>
      </c>
    </row>
    <row r="7523" spans="1:7">
      <c r="B7523">
        <f>IF(INDEX(Transactions!$J:$J,ROW()-8)="",TODAY(),INDEX(Transactions!$G:$G,ROW()-8))</f>
      </c>
      <c r="F7523">
        <f>IF(INDEX(Transactions!$J:$J,ROW()-8)="",0,INDEX(Transactions!$O:$O,ROW()-8))</f>
      </c>
    </row>
    <row r="7524" spans="1:7">
      <c r="B7524">
        <f>IF(INDEX(Transactions!$J:$J,ROW()-8)="",TODAY(),INDEX(Transactions!$G:$G,ROW()-8))</f>
      </c>
      <c r="F7524">
        <f>IF(INDEX(Transactions!$J:$J,ROW()-8)="",0,INDEX(Transactions!$O:$O,ROW()-8))</f>
      </c>
    </row>
    <row r="7525" spans="1:7">
      <c r="B7525">
        <f>IF(INDEX(Transactions!$J:$J,ROW()-8)="",TODAY(),INDEX(Transactions!$G:$G,ROW()-8))</f>
      </c>
      <c r="F7525">
        <f>IF(INDEX(Transactions!$J:$J,ROW()-8)="",0,INDEX(Transactions!$O:$O,ROW()-8))</f>
      </c>
    </row>
    <row r="7526" spans="1:7">
      <c r="B7526">
        <f>IF(INDEX(Transactions!$J:$J,ROW()-8)="",TODAY(),INDEX(Transactions!$G:$G,ROW()-8))</f>
      </c>
      <c r="F7526">
        <f>IF(INDEX(Transactions!$J:$J,ROW()-8)="",0,INDEX(Transactions!$O:$O,ROW()-8))</f>
      </c>
    </row>
    <row r="7527" spans="1:7">
      <c r="B7527">
        <f>IF(INDEX(Transactions!$J:$J,ROW()-8)="",TODAY(),INDEX(Transactions!$G:$G,ROW()-8))</f>
      </c>
      <c r="F7527">
        <f>IF(INDEX(Transactions!$J:$J,ROW()-8)="",0,INDEX(Transactions!$O:$O,ROW()-8))</f>
      </c>
    </row>
    <row r="7528" spans="1:7">
      <c r="B7528">
        <f>IF(INDEX(Transactions!$J:$J,ROW()-8)="",TODAY(),INDEX(Transactions!$G:$G,ROW()-8))</f>
      </c>
      <c r="F7528">
        <f>IF(INDEX(Transactions!$J:$J,ROW()-8)="",0,INDEX(Transactions!$O:$O,ROW()-8))</f>
      </c>
    </row>
    <row r="7529" spans="1:7">
      <c r="B7529">
        <f>IF(INDEX(Transactions!$J:$J,ROW()-8)="",TODAY(),INDEX(Transactions!$G:$G,ROW()-8))</f>
      </c>
      <c r="F7529">
        <f>IF(INDEX(Transactions!$J:$J,ROW()-8)="",0,INDEX(Transactions!$O:$O,ROW()-8))</f>
      </c>
    </row>
    <row r="7530" spans="1:7">
      <c r="B7530">
        <f>IF(INDEX(Transactions!$J:$J,ROW()-8)="",TODAY(),INDEX(Transactions!$G:$G,ROW()-8))</f>
      </c>
      <c r="F7530">
        <f>IF(INDEX(Transactions!$J:$J,ROW()-8)="",0,INDEX(Transactions!$O:$O,ROW()-8))</f>
      </c>
    </row>
    <row r="7531" spans="1:7">
      <c r="B7531">
        <f>IF(INDEX(Transactions!$J:$J,ROW()-8)="",TODAY(),INDEX(Transactions!$G:$G,ROW()-8))</f>
      </c>
      <c r="F7531">
        <f>IF(INDEX(Transactions!$J:$J,ROW()-8)="",0,INDEX(Transactions!$O:$O,ROW()-8))</f>
      </c>
    </row>
    <row r="7532" spans="1:7">
      <c r="B7532">
        <f>IF(INDEX(Transactions!$J:$J,ROW()-8)="",TODAY(),INDEX(Transactions!$G:$G,ROW()-8))</f>
      </c>
      <c r="F7532">
        <f>IF(INDEX(Transactions!$J:$J,ROW()-8)="",0,INDEX(Transactions!$O:$O,ROW()-8))</f>
      </c>
    </row>
    <row r="7533" spans="1:7">
      <c r="B7533">
        <f>IF(INDEX(Transactions!$J:$J,ROW()-8)="",TODAY(),INDEX(Transactions!$G:$G,ROW()-8))</f>
      </c>
      <c r="F7533">
        <f>IF(INDEX(Transactions!$J:$J,ROW()-8)="",0,INDEX(Transactions!$O:$O,ROW()-8))</f>
      </c>
    </row>
    <row r="7534" spans="1:7">
      <c r="B7534">
        <f>IF(INDEX(Transactions!$J:$J,ROW()-8)="",TODAY(),INDEX(Transactions!$G:$G,ROW()-8))</f>
      </c>
      <c r="F7534">
        <f>IF(INDEX(Transactions!$J:$J,ROW()-8)="",0,INDEX(Transactions!$O:$O,ROW()-8))</f>
      </c>
    </row>
    <row r="7535" spans="1:7">
      <c r="B7535">
        <f>IF(INDEX(Transactions!$J:$J,ROW()-8)="",TODAY(),INDEX(Transactions!$G:$G,ROW()-8))</f>
      </c>
      <c r="F7535">
        <f>IF(INDEX(Transactions!$J:$J,ROW()-8)="",0,INDEX(Transactions!$O:$O,ROW()-8))</f>
      </c>
    </row>
    <row r="7536" spans="1:7">
      <c r="B7536">
        <f>IF(INDEX(Transactions!$J:$J,ROW()-8)="",TODAY(),INDEX(Transactions!$G:$G,ROW()-8))</f>
      </c>
      <c r="F7536">
        <f>IF(INDEX(Transactions!$J:$J,ROW()-8)="",0,INDEX(Transactions!$O:$O,ROW()-8))</f>
      </c>
    </row>
    <row r="7537" spans="1:7">
      <c r="B7537">
        <f>IF(INDEX(Transactions!$J:$J,ROW()-8)="",TODAY(),INDEX(Transactions!$G:$G,ROW()-8))</f>
      </c>
      <c r="F7537">
        <f>IF(INDEX(Transactions!$J:$J,ROW()-8)="",0,INDEX(Transactions!$O:$O,ROW()-8))</f>
      </c>
    </row>
    <row r="7538" spans="1:7">
      <c r="B7538">
        <f>IF(INDEX(Transactions!$J:$J,ROW()-8)="",TODAY(),INDEX(Transactions!$G:$G,ROW()-8))</f>
      </c>
      <c r="F7538">
        <f>IF(INDEX(Transactions!$J:$J,ROW()-8)="",0,INDEX(Transactions!$O:$O,ROW()-8))</f>
      </c>
    </row>
    <row r="7539" spans="1:7">
      <c r="B7539">
        <f>IF(INDEX(Transactions!$J:$J,ROW()-8)="",TODAY(),INDEX(Transactions!$G:$G,ROW()-8))</f>
      </c>
      <c r="F7539">
        <f>IF(INDEX(Transactions!$J:$J,ROW()-8)="",0,INDEX(Transactions!$O:$O,ROW()-8))</f>
      </c>
    </row>
    <row r="7540" spans="1:7">
      <c r="B7540">
        <f>IF(INDEX(Transactions!$J:$J,ROW()-8)="",TODAY(),INDEX(Transactions!$G:$G,ROW()-8))</f>
      </c>
      <c r="F7540">
        <f>IF(INDEX(Transactions!$J:$J,ROW()-8)="",0,INDEX(Transactions!$O:$O,ROW()-8))</f>
      </c>
    </row>
    <row r="7541" spans="1:7">
      <c r="B7541">
        <f>IF(INDEX(Transactions!$J:$J,ROW()-8)="",TODAY(),INDEX(Transactions!$G:$G,ROW()-8))</f>
      </c>
      <c r="F7541">
        <f>IF(INDEX(Transactions!$J:$J,ROW()-8)="",0,INDEX(Transactions!$O:$O,ROW()-8))</f>
      </c>
    </row>
    <row r="7542" spans="1:7">
      <c r="B7542">
        <f>IF(INDEX(Transactions!$J:$J,ROW()-8)="",TODAY(),INDEX(Transactions!$G:$G,ROW()-8))</f>
      </c>
      <c r="F7542">
        <f>IF(INDEX(Transactions!$J:$J,ROW()-8)="",0,INDEX(Transactions!$O:$O,ROW()-8))</f>
      </c>
    </row>
    <row r="7543" spans="1:7">
      <c r="B7543">
        <f>IF(INDEX(Transactions!$J:$J,ROW()-8)="",TODAY(),INDEX(Transactions!$G:$G,ROW()-8))</f>
      </c>
      <c r="F7543">
        <f>IF(INDEX(Transactions!$J:$J,ROW()-8)="",0,INDEX(Transactions!$O:$O,ROW()-8))</f>
      </c>
    </row>
    <row r="7544" spans="1:7">
      <c r="B7544">
        <f>IF(INDEX(Transactions!$J:$J,ROW()-8)="",TODAY(),INDEX(Transactions!$G:$G,ROW()-8))</f>
      </c>
      <c r="F7544">
        <f>IF(INDEX(Transactions!$J:$J,ROW()-8)="",0,INDEX(Transactions!$O:$O,ROW()-8))</f>
      </c>
    </row>
    <row r="7545" spans="1:7">
      <c r="B7545">
        <f>IF(INDEX(Transactions!$J:$J,ROW()-8)="",TODAY(),INDEX(Transactions!$G:$G,ROW()-8))</f>
      </c>
      <c r="F7545">
        <f>IF(INDEX(Transactions!$J:$J,ROW()-8)="",0,INDEX(Transactions!$O:$O,ROW()-8))</f>
      </c>
    </row>
    <row r="7546" spans="1:7">
      <c r="B7546">
        <f>IF(INDEX(Transactions!$J:$J,ROW()-8)="",TODAY(),INDEX(Transactions!$G:$G,ROW()-8))</f>
      </c>
      <c r="F7546">
        <f>IF(INDEX(Transactions!$J:$J,ROW()-8)="",0,INDEX(Transactions!$O:$O,ROW()-8))</f>
      </c>
    </row>
    <row r="7547" spans="1:7">
      <c r="B7547">
        <f>IF(INDEX(Transactions!$J:$J,ROW()-8)="",TODAY(),INDEX(Transactions!$G:$G,ROW()-8))</f>
      </c>
      <c r="F7547">
        <f>IF(INDEX(Transactions!$J:$J,ROW()-8)="",0,INDEX(Transactions!$O:$O,ROW()-8))</f>
      </c>
    </row>
    <row r="7548" spans="1:7">
      <c r="B7548">
        <f>IF(INDEX(Transactions!$J:$J,ROW()-8)="",TODAY(),INDEX(Transactions!$G:$G,ROW()-8))</f>
      </c>
      <c r="F7548">
        <f>IF(INDEX(Transactions!$J:$J,ROW()-8)="",0,INDEX(Transactions!$O:$O,ROW()-8))</f>
      </c>
    </row>
    <row r="7549" spans="1:7">
      <c r="B7549">
        <f>IF(INDEX(Transactions!$J:$J,ROW()-8)="",TODAY(),INDEX(Transactions!$G:$G,ROW()-8))</f>
      </c>
      <c r="F7549">
        <f>IF(INDEX(Transactions!$J:$J,ROW()-8)="",0,INDEX(Transactions!$O:$O,ROW()-8))</f>
      </c>
    </row>
    <row r="7550" spans="1:7">
      <c r="B7550">
        <f>IF(INDEX(Transactions!$J:$J,ROW()-8)="",TODAY(),INDEX(Transactions!$G:$G,ROW()-8))</f>
      </c>
      <c r="F7550">
        <f>IF(INDEX(Transactions!$J:$J,ROW()-8)="",0,INDEX(Transactions!$O:$O,ROW()-8))</f>
      </c>
    </row>
    <row r="7551" spans="1:7">
      <c r="B7551">
        <f>IF(INDEX(Transactions!$J:$J,ROW()-8)="",TODAY(),INDEX(Transactions!$G:$G,ROW()-8))</f>
      </c>
      <c r="F7551">
        <f>IF(INDEX(Transactions!$J:$J,ROW()-8)="",0,INDEX(Transactions!$O:$O,ROW()-8))</f>
      </c>
    </row>
    <row r="7552" spans="1:7">
      <c r="B7552">
        <f>IF(INDEX(Transactions!$J:$J,ROW()-8)="",TODAY(),INDEX(Transactions!$G:$G,ROW()-8))</f>
      </c>
      <c r="F7552">
        <f>IF(INDEX(Transactions!$J:$J,ROW()-8)="",0,INDEX(Transactions!$O:$O,ROW()-8))</f>
      </c>
    </row>
    <row r="7553" spans="1:7">
      <c r="B7553">
        <f>IF(INDEX(Transactions!$J:$J,ROW()-8)="",TODAY(),INDEX(Transactions!$G:$G,ROW()-8))</f>
      </c>
      <c r="F7553">
        <f>IF(INDEX(Transactions!$J:$J,ROW()-8)="",0,INDEX(Transactions!$O:$O,ROW()-8))</f>
      </c>
    </row>
    <row r="7554" spans="1:7">
      <c r="B7554">
        <f>IF(INDEX(Transactions!$J:$J,ROW()-8)="",TODAY(),INDEX(Transactions!$G:$G,ROW()-8))</f>
      </c>
      <c r="F7554">
        <f>IF(INDEX(Transactions!$J:$J,ROW()-8)="",0,INDEX(Transactions!$O:$O,ROW()-8))</f>
      </c>
    </row>
    <row r="7555" spans="1:7">
      <c r="B7555">
        <f>IF(INDEX(Transactions!$J:$J,ROW()-8)="",TODAY(),INDEX(Transactions!$G:$G,ROW()-8))</f>
      </c>
      <c r="F7555">
        <f>IF(INDEX(Transactions!$J:$J,ROW()-8)="",0,INDEX(Transactions!$O:$O,ROW()-8))</f>
      </c>
    </row>
    <row r="7556" spans="1:7">
      <c r="B7556">
        <f>IF(INDEX(Transactions!$J:$J,ROW()-8)="",TODAY(),INDEX(Transactions!$G:$G,ROW()-8))</f>
      </c>
      <c r="F7556">
        <f>IF(INDEX(Transactions!$J:$J,ROW()-8)="",0,INDEX(Transactions!$O:$O,ROW()-8))</f>
      </c>
    </row>
    <row r="7557" spans="1:7">
      <c r="B7557">
        <f>IF(INDEX(Transactions!$J:$J,ROW()-8)="",TODAY(),INDEX(Transactions!$G:$G,ROW()-8))</f>
      </c>
      <c r="F7557">
        <f>IF(INDEX(Transactions!$J:$J,ROW()-8)="",0,INDEX(Transactions!$O:$O,ROW()-8))</f>
      </c>
    </row>
    <row r="7558" spans="1:7">
      <c r="B7558">
        <f>IF(INDEX(Transactions!$J:$J,ROW()-8)="",TODAY(),INDEX(Transactions!$G:$G,ROW()-8))</f>
      </c>
      <c r="F7558">
        <f>IF(INDEX(Transactions!$J:$J,ROW()-8)="",0,INDEX(Transactions!$O:$O,ROW()-8))</f>
      </c>
    </row>
    <row r="7559" spans="1:7">
      <c r="B7559">
        <f>IF(INDEX(Transactions!$J:$J,ROW()-8)="",TODAY(),INDEX(Transactions!$G:$G,ROW()-8))</f>
      </c>
      <c r="F7559">
        <f>IF(INDEX(Transactions!$J:$J,ROW()-8)="",0,INDEX(Transactions!$O:$O,ROW()-8))</f>
      </c>
    </row>
    <row r="7560" spans="1:7">
      <c r="B7560">
        <f>IF(INDEX(Transactions!$J:$J,ROW()-8)="",TODAY(),INDEX(Transactions!$G:$G,ROW()-8))</f>
      </c>
      <c r="F7560">
        <f>IF(INDEX(Transactions!$J:$J,ROW()-8)="",0,INDEX(Transactions!$O:$O,ROW()-8))</f>
      </c>
    </row>
    <row r="7561" spans="1:7">
      <c r="B7561">
        <f>IF(INDEX(Transactions!$J:$J,ROW()-8)="",TODAY(),INDEX(Transactions!$G:$G,ROW()-8))</f>
      </c>
      <c r="F7561">
        <f>IF(INDEX(Transactions!$J:$J,ROW()-8)="",0,INDEX(Transactions!$O:$O,ROW()-8))</f>
      </c>
    </row>
    <row r="7562" spans="1:7">
      <c r="B7562">
        <f>IF(INDEX(Transactions!$J:$J,ROW()-8)="",TODAY(),INDEX(Transactions!$G:$G,ROW()-8))</f>
      </c>
      <c r="F7562">
        <f>IF(INDEX(Transactions!$J:$J,ROW()-8)="",0,INDEX(Transactions!$O:$O,ROW()-8))</f>
      </c>
    </row>
    <row r="7563" spans="1:7">
      <c r="B7563">
        <f>IF(INDEX(Transactions!$J:$J,ROW()-8)="",TODAY(),INDEX(Transactions!$G:$G,ROW()-8))</f>
      </c>
      <c r="F7563">
        <f>IF(INDEX(Transactions!$J:$J,ROW()-8)="",0,INDEX(Transactions!$O:$O,ROW()-8))</f>
      </c>
    </row>
    <row r="7564" spans="1:7">
      <c r="B7564">
        <f>IF(INDEX(Transactions!$J:$J,ROW()-8)="",TODAY(),INDEX(Transactions!$G:$G,ROW()-8))</f>
      </c>
      <c r="F7564">
        <f>IF(INDEX(Transactions!$J:$J,ROW()-8)="",0,INDEX(Transactions!$O:$O,ROW()-8))</f>
      </c>
    </row>
    <row r="7565" spans="1:7">
      <c r="B7565">
        <f>IF(INDEX(Transactions!$J:$J,ROW()-8)="",TODAY(),INDEX(Transactions!$G:$G,ROW()-8))</f>
      </c>
      <c r="F7565">
        <f>IF(INDEX(Transactions!$J:$J,ROW()-8)="",0,INDEX(Transactions!$O:$O,ROW()-8))</f>
      </c>
    </row>
    <row r="7566" spans="1:7">
      <c r="B7566">
        <f>IF(INDEX(Transactions!$J:$J,ROW()-8)="",TODAY(),INDEX(Transactions!$G:$G,ROW()-8))</f>
      </c>
      <c r="F7566">
        <f>IF(INDEX(Transactions!$J:$J,ROW()-8)="",0,INDEX(Transactions!$O:$O,ROW()-8))</f>
      </c>
    </row>
    <row r="7567" spans="1:7">
      <c r="B7567">
        <f>IF(INDEX(Transactions!$J:$J,ROW()-8)="",TODAY(),INDEX(Transactions!$G:$G,ROW()-8))</f>
      </c>
      <c r="F7567">
        <f>IF(INDEX(Transactions!$J:$J,ROW()-8)="",0,INDEX(Transactions!$O:$O,ROW()-8))</f>
      </c>
    </row>
    <row r="7568" spans="1:7">
      <c r="B7568">
        <f>IF(INDEX(Transactions!$J:$J,ROW()-8)="",TODAY(),INDEX(Transactions!$G:$G,ROW()-8))</f>
      </c>
      <c r="F7568">
        <f>IF(INDEX(Transactions!$J:$J,ROW()-8)="",0,INDEX(Transactions!$O:$O,ROW()-8))</f>
      </c>
    </row>
    <row r="7569" spans="1:7">
      <c r="B7569">
        <f>IF(INDEX(Transactions!$J:$J,ROW()-8)="",TODAY(),INDEX(Transactions!$G:$G,ROW()-8))</f>
      </c>
      <c r="F7569">
        <f>IF(INDEX(Transactions!$J:$J,ROW()-8)="",0,INDEX(Transactions!$O:$O,ROW()-8))</f>
      </c>
    </row>
    <row r="7570" spans="1:7">
      <c r="B7570">
        <f>IF(INDEX(Transactions!$J:$J,ROW()-8)="",TODAY(),INDEX(Transactions!$G:$G,ROW()-8))</f>
      </c>
      <c r="F7570">
        <f>IF(INDEX(Transactions!$J:$J,ROW()-8)="",0,INDEX(Transactions!$O:$O,ROW()-8))</f>
      </c>
    </row>
    <row r="7571" spans="1:7">
      <c r="B7571">
        <f>IF(INDEX(Transactions!$J:$J,ROW()-8)="",TODAY(),INDEX(Transactions!$G:$G,ROW()-8))</f>
      </c>
      <c r="F7571">
        <f>IF(INDEX(Transactions!$J:$J,ROW()-8)="",0,INDEX(Transactions!$O:$O,ROW()-8))</f>
      </c>
    </row>
    <row r="7572" spans="1:7">
      <c r="B7572">
        <f>IF(INDEX(Transactions!$J:$J,ROW()-8)="",TODAY(),INDEX(Transactions!$G:$G,ROW()-8))</f>
      </c>
      <c r="F7572">
        <f>IF(INDEX(Transactions!$J:$J,ROW()-8)="",0,INDEX(Transactions!$O:$O,ROW()-8))</f>
      </c>
    </row>
    <row r="7573" spans="1:7">
      <c r="B7573">
        <f>IF(INDEX(Transactions!$J:$J,ROW()-8)="",TODAY(),INDEX(Transactions!$G:$G,ROW()-8))</f>
      </c>
      <c r="F7573">
        <f>IF(INDEX(Transactions!$J:$J,ROW()-8)="",0,INDEX(Transactions!$O:$O,ROW()-8))</f>
      </c>
    </row>
    <row r="7574" spans="1:7">
      <c r="B7574">
        <f>IF(INDEX(Transactions!$J:$J,ROW()-8)="",TODAY(),INDEX(Transactions!$G:$G,ROW()-8))</f>
      </c>
      <c r="F7574">
        <f>IF(INDEX(Transactions!$J:$J,ROW()-8)="",0,INDEX(Transactions!$O:$O,ROW()-8))</f>
      </c>
    </row>
    <row r="7575" spans="1:7">
      <c r="B7575">
        <f>IF(INDEX(Transactions!$J:$J,ROW()-8)="",TODAY(),INDEX(Transactions!$G:$G,ROW()-8))</f>
      </c>
      <c r="F7575">
        <f>IF(INDEX(Transactions!$J:$J,ROW()-8)="",0,INDEX(Transactions!$O:$O,ROW()-8))</f>
      </c>
    </row>
    <row r="7576" spans="1:7">
      <c r="B7576">
        <f>IF(INDEX(Transactions!$J:$J,ROW()-8)="",TODAY(),INDEX(Transactions!$G:$G,ROW()-8))</f>
      </c>
      <c r="F7576">
        <f>IF(INDEX(Transactions!$J:$J,ROW()-8)="",0,INDEX(Transactions!$O:$O,ROW()-8))</f>
      </c>
    </row>
    <row r="7577" spans="1:7">
      <c r="B7577">
        <f>IF(INDEX(Transactions!$J:$J,ROW()-8)="",TODAY(),INDEX(Transactions!$G:$G,ROW()-8))</f>
      </c>
      <c r="F7577">
        <f>IF(INDEX(Transactions!$J:$J,ROW()-8)="",0,INDEX(Transactions!$O:$O,ROW()-8))</f>
      </c>
    </row>
    <row r="7578" spans="1:7">
      <c r="B7578">
        <f>IF(INDEX(Transactions!$J:$J,ROW()-8)="",TODAY(),INDEX(Transactions!$G:$G,ROW()-8))</f>
      </c>
      <c r="F7578">
        <f>IF(INDEX(Transactions!$J:$J,ROW()-8)="",0,INDEX(Transactions!$O:$O,ROW()-8))</f>
      </c>
    </row>
    <row r="7579" spans="1:7">
      <c r="B7579">
        <f>IF(INDEX(Transactions!$J:$J,ROW()-8)="",TODAY(),INDEX(Transactions!$G:$G,ROW()-8))</f>
      </c>
      <c r="F7579">
        <f>IF(INDEX(Transactions!$J:$J,ROW()-8)="",0,INDEX(Transactions!$O:$O,ROW()-8))</f>
      </c>
    </row>
    <row r="7580" spans="1:7">
      <c r="B7580">
        <f>IF(INDEX(Transactions!$J:$J,ROW()-8)="",TODAY(),INDEX(Transactions!$G:$G,ROW()-8))</f>
      </c>
      <c r="F7580">
        <f>IF(INDEX(Transactions!$J:$J,ROW()-8)="",0,INDEX(Transactions!$O:$O,ROW()-8))</f>
      </c>
    </row>
    <row r="7581" spans="1:7">
      <c r="B7581">
        <f>IF(INDEX(Transactions!$J:$J,ROW()-8)="",TODAY(),INDEX(Transactions!$G:$G,ROW()-8))</f>
      </c>
      <c r="F7581">
        <f>IF(INDEX(Transactions!$J:$J,ROW()-8)="",0,INDEX(Transactions!$O:$O,ROW()-8))</f>
      </c>
    </row>
    <row r="7582" spans="1:7">
      <c r="B7582">
        <f>IF(INDEX(Transactions!$J:$J,ROW()-8)="",TODAY(),INDEX(Transactions!$G:$G,ROW()-8))</f>
      </c>
      <c r="F7582">
        <f>IF(INDEX(Transactions!$J:$J,ROW()-8)="",0,INDEX(Transactions!$O:$O,ROW()-8))</f>
      </c>
    </row>
    <row r="7583" spans="1:7">
      <c r="B7583">
        <f>IF(INDEX(Transactions!$J:$J,ROW()-8)="",TODAY(),INDEX(Transactions!$G:$G,ROW()-8))</f>
      </c>
      <c r="F7583">
        <f>IF(INDEX(Transactions!$J:$J,ROW()-8)="",0,INDEX(Transactions!$O:$O,ROW()-8))</f>
      </c>
    </row>
    <row r="7584" spans="1:7">
      <c r="B7584">
        <f>IF(INDEX(Transactions!$J:$J,ROW()-8)="",TODAY(),INDEX(Transactions!$G:$G,ROW()-8))</f>
      </c>
      <c r="F7584">
        <f>IF(INDEX(Transactions!$J:$J,ROW()-8)="",0,INDEX(Transactions!$O:$O,ROW()-8))</f>
      </c>
    </row>
    <row r="7585" spans="1:7">
      <c r="B7585">
        <f>IF(INDEX(Transactions!$J:$J,ROW()-8)="",TODAY(),INDEX(Transactions!$G:$G,ROW()-8))</f>
      </c>
      <c r="F7585">
        <f>IF(INDEX(Transactions!$J:$J,ROW()-8)="",0,INDEX(Transactions!$O:$O,ROW()-8))</f>
      </c>
    </row>
    <row r="7586" spans="1:7">
      <c r="B7586">
        <f>IF(INDEX(Transactions!$J:$J,ROW()-8)="",TODAY(),INDEX(Transactions!$G:$G,ROW()-8))</f>
      </c>
      <c r="F7586">
        <f>IF(INDEX(Transactions!$J:$J,ROW()-8)="",0,INDEX(Transactions!$O:$O,ROW()-8))</f>
      </c>
    </row>
    <row r="7587" spans="1:7">
      <c r="B7587">
        <f>IF(INDEX(Transactions!$J:$J,ROW()-8)="",TODAY(),INDEX(Transactions!$G:$G,ROW()-8))</f>
      </c>
      <c r="F7587">
        <f>IF(INDEX(Transactions!$J:$J,ROW()-8)="",0,INDEX(Transactions!$O:$O,ROW()-8))</f>
      </c>
    </row>
    <row r="7588" spans="1:7">
      <c r="B7588">
        <f>IF(INDEX(Transactions!$J:$J,ROW()-8)="",TODAY(),INDEX(Transactions!$G:$G,ROW()-8))</f>
      </c>
      <c r="F7588">
        <f>IF(INDEX(Transactions!$J:$J,ROW()-8)="",0,INDEX(Transactions!$O:$O,ROW()-8))</f>
      </c>
    </row>
    <row r="7589" spans="1:7">
      <c r="B7589">
        <f>IF(INDEX(Transactions!$J:$J,ROW()-8)="",TODAY(),INDEX(Transactions!$G:$G,ROW()-8))</f>
      </c>
      <c r="F7589">
        <f>IF(INDEX(Transactions!$J:$J,ROW()-8)="",0,INDEX(Transactions!$O:$O,ROW()-8))</f>
      </c>
    </row>
    <row r="7590" spans="1:7">
      <c r="B7590">
        <f>IF(INDEX(Transactions!$J:$J,ROW()-8)="",TODAY(),INDEX(Transactions!$G:$G,ROW()-8))</f>
      </c>
      <c r="F7590">
        <f>IF(INDEX(Transactions!$J:$J,ROW()-8)="",0,INDEX(Transactions!$O:$O,ROW()-8))</f>
      </c>
    </row>
    <row r="7591" spans="1:7">
      <c r="B7591">
        <f>IF(INDEX(Transactions!$J:$J,ROW()-8)="",TODAY(),INDEX(Transactions!$G:$G,ROW()-8))</f>
      </c>
      <c r="F7591">
        <f>IF(INDEX(Transactions!$J:$J,ROW()-8)="",0,INDEX(Transactions!$O:$O,ROW()-8))</f>
      </c>
    </row>
    <row r="7592" spans="1:7">
      <c r="B7592">
        <f>IF(INDEX(Transactions!$J:$J,ROW()-8)="",TODAY(),INDEX(Transactions!$G:$G,ROW()-8))</f>
      </c>
      <c r="F7592">
        <f>IF(INDEX(Transactions!$J:$J,ROW()-8)="",0,INDEX(Transactions!$O:$O,ROW()-8))</f>
      </c>
    </row>
    <row r="7593" spans="1:7">
      <c r="B7593">
        <f>IF(INDEX(Transactions!$J:$J,ROW()-8)="",TODAY(),INDEX(Transactions!$G:$G,ROW()-8))</f>
      </c>
      <c r="F7593">
        <f>IF(INDEX(Transactions!$J:$J,ROW()-8)="",0,INDEX(Transactions!$O:$O,ROW()-8))</f>
      </c>
    </row>
    <row r="7594" spans="1:7">
      <c r="B7594">
        <f>IF(INDEX(Transactions!$J:$J,ROW()-8)="",TODAY(),INDEX(Transactions!$G:$G,ROW()-8))</f>
      </c>
      <c r="F7594">
        <f>IF(INDEX(Transactions!$J:$J,ROW()-8)="",0,INDEX(Transactions!$O:$O,ROW()-8))</f>
      </c>
    </row>
    <row r="7595" spans="1:7">
      <c r="B7595">
        <f>IF(INDEX(Transactions!$J:$J,ROW()-8)="",TODAY(),INDEX(Transactions!$G:$G,ROW()-8))</f>
      </c>
      <c r="F7595">
        <f>IF(INDEX(Transactions!$J:$J,ROW()-8)="",0,INDEX(Transactions!$O:$O,ROW()-8))</f>
      </c>
    </row>
    <row r="7596" spans="1:7">
      <c r="B7596">
        <f>IF(INDEX(Transactions!$J:$J,ROW()-8)="",TODAY(),INDEX(Transactions!$G:$G,ROW()-8))</f>
      </c>
      <c r="F7596">
        <f>IF(INDEX(Transactions!$J:$J,ROW()-8)="",0,INDEX(Transactions!$O:$O,ROW()-8))</f>
      </c>
    </row>
    <row r="7597" spans="1:7">
      <c r="B7597">
        <f>IF(INDEX(Transactions!$J:$J,ROW()-8)="",TODAY(),INDEX(Transactions!$G:$G,ROW()-8))</f>
      </c>
      <c r="F7597">
        <f>IF(INDEX(Transactions!$J:$J,ROW()-8)="",0,INDEX(Transactions!$O:$O,ROW()-8))</f>
      </c>
    </row>
    <row r="7598" spans="1:7">
      <c r="B7598">
        <f>IF(INDEX(Transactions!$J:$J,ROW()-8)="",TODAY(),INDEX(Transactions!$G:$G,ROW()-8))</f>
      </c>
      <c r="F7598">
        <f>IF(INDEX(Transactions!$J:$J,ROW()-8)="",0,INDEX(Transactions!$O:$O,ROW()-8))</f>
      </c>
    </row>
    <row r="7599" spans="1:7">
      <c r="B7599">
        <f>IF(INDEX(Transactions!$J:$J,ROW()-8)="",TODAY(),INDEX(Transactions!$G:$G,ROW()-8))</f>
      </c>
      <c r="F7599">
        <f>IF(INDEX(Transactions!$J:$J,ROW()-8)="",0,INDEX(Transactions!$O:$O,ROW()-8))</f>
      </c>
    </row>
    <row r="7600" spans="1:7">
      <c r="B7600">
        <f>IF(INDEX(Transactions!$J:$J,ROW()-8)="",TODAY(),INDEX(Transactions!$G:$G,ROW()-8))</f>
      </c>
      <c r="F7600">
        <f>IF(INDEX(Transactions!$J:$J,ROW()-8)="",0,INDEX(Transactions!$O:$O,ROW()-8))</f>
      </c>
    </row>
    <row r="7601" spans="1:7">
      <c r="B7601">
        <f>IF(INDEX(Transactions!$J:$J,ROW()-8)="",TODAY(),INDEX(Transactions!$G:$G,ROW()-8))</f>
      </c>
      <c r="F7601">
        <f>IF(INDEX(Transactions!$J:$J,ROW()-8)="",0,INDEX(Transactions!$O:$O,ROW()-8))</f>
      </c>
    </row>
    <row r="7602" spans="1:7">
      <c r="B7602">
        <f>IF(INDEX(Transactions!$J:$J,ROW()-8)="",TODAY(),INDEX(Transactions!$G:$G,ROW()-8))</f>
      </c>
      <c r="F7602">
        <f>IF(INDEX(Transactions!$J:$J,ROW()-8)="",0,INDEX(Transactions!$O:$O,ROW()-8))</f>
      </c>
    </row>
    <row r="7603" spans="1:7">
      <c r="B7603">
        <f>IF(INDEX(Transactions!$J:$J,ROW()-8)="",TODAY(),INDEX(Transactions!$G:$G,ROW()-8))</f>
      </c>
      <c r="F7603">
        <f>IF(INDEX(Transactions!$J:$J,ROW()-8)="",0,INDEX(Transactions!$O:$O,ROW()-8))</f>
      </c>
    </row>
    <row r="7604" spans="1:7">
      <c r="B7604">
        <f>IF(INDEX(Transactions!$J:$J,ROW()-8)="",TODAY(),INDEX(Transactions!$G:$G,ROW()-8))</f>
      </c>
      <c r="F7604">
        <f>IF(INDEX(Transactions!$J:$J,ROW()-8)="",0,INDEX(Transactions!$O:$O,ROW()-8))</f>
      </c>
    </row>
    <row r="7605" spans="1:7">
      <c r="B7605">
        <f>IF(INDEX(Transactions!$J:$J,ROW()-8)="",TODAY(),INDEX(Transactions!$G:$G,ROW()-8))</f>
      </c>
      <c r="F7605">
        <f>IF(INDEX(Transactions!$J:$J,ROW()-8)="",0,INDEX(Transactions!$O:$O,ROW()-8))</f>
      </c>
    </row>
    <row r="7606" spans="1:7">
      <c r="B7606">
        <f>IF(INDEX(Transactions!$J:$J,ROW()-8)="",TODAY(),INDEX(Transactions!$G:$G,ROW()-8))</f>
      </c>
      <c r="F7606">
        <f>IF(INDEX(Transactions!$J:$J,ROW()-8)="",0,INDEX(Transactions!$O:$O,ROW()-8))</f>
      </c>
    </row>
    <row r="7607" spans="1:7">
      <c r="B7607">
        <f>IF(INDEX(Transactions!$J:$J,ROW()-8)="",TODAY(),INDEX(Transactions!$G:$G,ROW()-8))</f>
      </c>
      <c r="F7607">
        <f>IF(INDEX(Transactions!$J:$J,ROW()-8)="",0,INDEX(Transactions!$O:$O,ROW()-8))</f>
      </c>
    </row>
    <row r="7608" spans="1:7">
      <c r="B7608">
        <f>IF(INDEX(Transactions!$J:$J,ROW()-8)="",TODAY(),INDEX(Transactions!$G:$G,ROW()-8))</f>
      </c>
      <c r="F7608">
        <f>IF(INDEX(Transactions!$J:$J,ROW()-8)="",0,INDEX(Transactions!$O:$O,ROW()-8))</f>
      </c>
    </row>
    <row r="7609" spans="1:7">
      <c r="B7609">
        <f>IF(INDEX(Transactions!$J:$J,ROW()-8)="",TODAY(),INDEX(Transactions!$G:$G,ROW()-8))</f>
      </c>
      <c r="F7609">
        <f>IF(INDEX(Transactions!$J:$J,ROW()-8)="",0,INDEX(Transactions!$O:$O,ROW()-8))</f>
      </c>
    </row>
    <row r="7610" spans="1:7">
      <c r="B7610">
        <f>IF(INDEX(Transactions!$J:$J,ROW()-8)="",TODAY(),INDEX(Transactions!$G:$G,ROW()-8))</f>
      </c>
      <c r="F7610">
        <f>IF(INDEX(Transactions!$J:$J,ROW()-8)="",0,INDEX(Transactions!$O:$O,ROW()-8))</f>
      </c>
    </row>
    <row r="7611" spans="1:7">
      <c r="B7611">
        <f>IF(INDEX(Transactions!$J:$J,ROW()-8)="",TODAY(),INDEX(Transactions!$G:$G,ROW()-8))</f>
      </c>
      <c r="F7611">
        <f>IF(INDEX(Transactions!$J:$J,ROW()-8)="",0,INDEX(Transactions!$O:$O,ROW()-8))</f>
      </c>
    </row>
    <row r="7612" spans="1:7">
      <c r="B7612">
        <f>IF(INDEX(Transactions!$J:$J,ROW()-8)="",TODAY(),INDEX(Transactions!$G:$G,ROW()-8))</f>
      </c>
      <c r="F7612">
        <f>IF(INDEX(Transactions!$J:$J,ROW()-8)="",0,INDEX(Transactions!$O:$O,ROW()-8))</f>
      </c>
    </row>
    <row r="7613" spans="1:7">
      <c r="B7613">
        <f>IF(INDEX(Transactions!$J:$J,ROW()-8)="",TODAY(),INDEX(Transactions!$G:$G,ROW()-8))</f>
      </c>
      <c r="F7613">
        <f>IF(INDEX(Transactions!$J:$J,ROW()-8)="",0,INDEX(Transactions!$O:$O,ROW()-8))</f>
      </c>
    </row>
    <row r="7614" spans="1:7">
      <c r="B7614">
        <f>IF(INDEX(Transactions!$J:$J,ROW()-8)="",TODAY(),INDEX(Transactions!$G:$G,ROW()-8))</f>
      </c>
      <c r="F7614">
        <f>IF(INDEX(Transactions!$J:$J,ROW()-8)="",0,INDEX(Transactions!$O:$O,ROW()-8))</f>
      </c>
    </row>
    <row r="7615" spans="1:7">
      <c r="B7615">
        <f>IF(INDEX(Transactions!$J:$J,ROW()-8)="",TODAY(),INDEX(Transactions!$G:$G,ROW()-8))</f>
      </c>
      <c r="F7615">
        <f>IF(INDEX(Transactions!$J:$J,ROW()-8)="",0,INDEX(Transactions!$O:$O,ROW()-8))</f>
      </c>
    </row>
    <row r="7616" spans="1:7">
      <c r="B7616">
        <f>IF(INDEX(Transactions!$J:$J,ROW()-8)="",TODAY(),INDEX(Transactions!$G:$G,ROW()-8))</f>
      </c>
      <c r="F7616">
        <f>IF(INDEX(Transactions!$J:$J,ROW()-8)="",0,INDEX(Transactions!$O:$O,ROW()-8))</f>
      </c>
    </row>
    <row r="7617" spans="1:7">
      <c r="B7617">
        <f>IF(INDEX(Transactions!$J:$J,ROW()-8)="",TODAY(),INDEX(Transactions!$G:$G,ROW()-8))</f>
      </c>
      <c r="F7617">
        <f>IF(INDEX(Transactions!$J:$J,ROW()-8)="",0,INDEX(Transactions!$O:$O,ROW()-8))</f>
      </c>
    </row>
    <row r="7618" spans="1:7">
      <c r="B7618">
        <f>IF(INDEX(Transactions!$J:$J,ROW()-8)="",TODAY(),INDEX(Transactions!$G:$G,ROW()-8))</f>
      </c>
      <c r="F7618">
        <f>IF(INDEX(Transactions!$J:$J,ROW()-8)="",0,INDEX(Transactions!$O:$O,ROW()-8))</f>
      </c>
    </row>
    <row r="7619" spans="1:7">
      <c r="B7619">
        <f>IF(INDEX(Transactions!$J:$J,ROW()-8)="",TODAY(),INDEX(Transactions!$G:$G,ROW()-8))</f>
      </c>
      <c r="F7619">
        <f>IF(INDEX(Transactions!$J:$J,ROW()-8)="",0,INDEX(Transactions!$O:$O,ROW()-8))</f>
      </c>
    </row>
    <row r="7620" spans="1:7">
      <c r="B7620">
        <f>IF(INDEX(Transactions!$J:$J,ROW()-8)="",TODAY(),INDEX(Transactions!$G:$G,ROW()-8))</f>
      </c>
      <c r="F7620">
        <f>IF(INDEX(Transactions!$J:$J,ROW()-8)="",0,INDEX(Transactions!$O:$O,ROW()-8))</f>
      </c>
    </row>
    <row r="7621" spans="1:7">
      <c r="B7621">
        <f>IF(INDEX(Transactions!$J:$J,ROW()-8)="",TODAY(),INDEX(Transactions!$G:$G,ROW()-8))</f>
      </c>
      <c r="F7621">
        <f>IF(INDEX(Transactions!$J:$J,ROW()-8)="",0,INDEX(Transactions!$O:$O,ROW()-8))</f>
      </c>
    </row>
    <row r="7622" spans="1:7">
      <c r="B7622">
        <f>IF(INDEX(Transactions!$J:$J,ROW()-8)="",TODAY(),INDEX(Transactions!$G:$G,ROW()-8))</f>
      </c>
      <c r="F7622">
        <f>IF(INDEX(Transactions!$J:$J,ROW()-8)="",0,INDEX(Transactions!$O:$O,ROW()-8))</f>
      </c>
    </row>
    <row r="7623" spans="1:7">
      <c r="B7623">
        <f>IF(INDEX(Transactions!$J:$J,ROW()-8)="",TODAY(),INDEX(Transactions!$G:$G,ROW()-8))</f>
      </c>
      <c r="F7623">
        <f>IF(INDEX(Transactions!$J:$J,ROW()-8)="",0,INDEX(Transactions!$O:$O,ROW()-8))</f>
      </c>
    </row>
    <row r="7624" spans="1:7">
      <c r="B7624">
        <f>IF(INDEX(Transactions!$J:$J,ROW()-8)="",TODAY(),INDEX(Transactions!$G:$G,ROW()-8))</f>
      </c>
      <c r="F7624">
        <f>IF(INDEX(Transactions!$J:$J,ROW()-8)="",0,INDEX(Transactions!$O:$O,ROW()-8))</f>
      </c>
    </row>
    <row r="7625" spans="1:7">
      <c r="B7625">
        <f>IF(INDEX(Transactions!$J:$J,ROW()-8)="",TODAY(),INDEX(Transactions!$G:$G,ROW()-8))</f>
      </c>
      <c r="F7625">
        <f>IF(INDEX(Transactions!$J:$J,ROW()-8)="",0,INDEX(Transactions!$O:$O,ROW()-8))</f>
      </c>
    </row>
    <row r="7626" spans="1:7">
      <c r="B7626">
        <f>IF(INDEX(Transactions!$J:$J,ROW()-8)="",TODAY(),INDEX(Transactions!$G:$G,ROW()-8))</f>
      </c>
      <c r="F7626">
        <f>IF(INDEX(Transactions!$J:$J,ROW()-8)="",0,INDEX(Transactions!$O:$O,ROW()-8))</f>
      </c>
    </row>
    <row r="7627" spans="1:7">
      <c r="B7627">
        <f>IF(INDEX(Transactions!$J:$J,ROW()-8)="",TODAY(),INDEX(Transactions!$G:$G,ROW()-8))</f>
      </c>
      <c r="F7627">
        <f>IF(INDEX(Transactions!$J:$J,ROW()-8)="",0,INDEX(Transactions!$O:$O,ROW()-8))</f>
      </c>
    </row>
    <row r="7628" spans="1:7">
      <c r="B7628">
        <f>IF(INDEX(Transactions!$J:$J,ROW()-8)="",TODAY(),INDEX(Transactions!$G:$G,ROW()-8))</f>
      </c>
      <c r="F7628">
        <f>IF(INDEX(Transactions!$J:$J,ROW()-8)="",0,INDEX(Transactions!$O:$O,ROW()-8))</f>
      </c>
    </row>
    <row r="7629" spans="1:7">
      <c r="B7629">
        <f>IF(INDEX(Transactions!$J:$J,ROW()-8)="",TODAY(),INDEX(Transactions!$G:$G,ROW()-8))</f>
      </c>
      <c r="F7629">
        <f>IF(INDEX(Transactions!$J:$J,ROW()-8)="",0,INDEX(Transactions!$O:$O,ROW()-8))</f>
      </c>
    </row>
    <row r="7630" spans="1:7">
      <c r="B7630">
        <f>IF(INDEX(Transactions!$J:$J,ROW()-8)="",TODAY(),INDEX(Transactions!$G:$G,ROW()-8))</f>
      </c>
      <c r="F7630">
        <f>IF(INDEX(Transactions!$J:$J,ROW()-8)="",0,INDEX(Transactions!$O:$O,ROW()-8))</f>
      </c>
    </row>
    <row r="7631" spans="1:7">
      <c r="B7631">
        <f>IF(INDEX(Transactions!$J:$J,ROW()-8)="",TODAY(),INDEX(Transactions!$G:$G,ROW()-8))</f>
      </c>
      <c r="F7631">
        <f>IF(INDEX(Transactions!$J:$J,ROW()-8)="",0,INDEX(Transactions!$O:$O,ROW()-8))</f>
      </c>
    </row>
    <row r="7632" spans="1:7">
      <c r="B7632">
        <f>IF(INDEX(Transactions!$J:$J,ROW()-8)="",TODAY(),INDEX(Transactions!$G:$G,ROW()-8))</f>
      </c>
      <c r="F7632">
        <f>IF(INDEX(Transactions!$J:$J,ROW()-8)="",0,INDEX(Transactions!$O:$O,ROW()-8))</f>
      </c>
    </row>
    <row r="7633" spans="1:7">
      <c r="B7633">
        <f>IF(INDEX(Transactions!$J:$J,ROW()-8)="",TODAY(),INDEX(Transactions!$G:$G,ROW()-8))</f>
      </c>
      <c r="F7633">
        <f>IF(INDEX(Transactions!$J:$J,ROW()-8)="",0,INDEX(Transactions!$O:$O,ROW()-8))</f>
      </c>
    </row>
    <row r="7634" spans="1:7">
      <c r="B7634">
        <f>IF(INDEX(Transactions!$J:$J,ROW()-8)="",TODAY(),INDEX(Transactions!$G:$G,ROW()-8))</f>
      </c>
      <c r="F7634">
        <f>IF(INDEX(Transactions!$J:$J,ROW()-8)="",0,INDEX(Transactions!$O:$O,ROW()-8))</f>
      </c>
    </row>
    <row r="7635" spans="1:7">
      <c r="B7635">
        <f>IF(INDEX(Transactions!$J:$J,ROW()-8)="",TODAY(),INDEX(Transactions!$G:$G,ROW()-8))</f>
      </c>
      <c r="F7635">
        <f>IF(INDEX(Transactions!$J:$J,ROW()-8)="",0,INDEX(Transactions!$O:$O,ROW()-8))</f>
      </c>
    </row>
    <row r="7636" spans="1:7">
      <c r="B7636">
        <f>IF(INDEX(Transactions!$J:$J,ROW()-8)="",TODAY(),INDEX(Transactions!$G:$G,ROW()-8))</f>
      </c>
      <c r="F7636">
        <f>IF(INDEX(Transactions!$J:$J,ROW()-8)="",0,INDEX(Transactions!$O:$O,ROW()-8))</f>
      </c>
    </row>
    <row r="7637" spans="1:7">
      <c r="B7637">
        <f>IF(INDEX(Transactions!$J:$J,ROW()-8)="",TODAY(),INDEX(Transactions!$G:$G,ROW()-8))</f>
      </c>
      <c r="F7637">
        <f>IF(INDEX(Transactions!$J:$J,ROW()-8)="",0,INDEX(Transactions!$O:$O,ROW()-8))</f>
      </c>
    </row>
    <row r="7638" spans="1:7">
      <c r="B7638">
        <f>IF(INDEX(Transactions!$J:$J,ROW()-8)="",TODAY(),INDEX(Transactions!$G:$G,ROW()-8))</f>
      </c>
      <c r="F7638">
        <f>IF(INDEX(Transactions!$J:$J,ROW()-8)="",0,INDEX(Transactions!$O:$O,ROW()-8))</f>
      </c>
    </row>
    <row r="7639" spans="1:7">
      <c r="B7639">
        <f>IF(INDEX(Transactions!$J:$J,ROW()-8)="",TODAY(),INDEX(Transactions!$G:$G,ROW()-8))</f>
      </c>
      <c r="F7639">
        <f>IF(INDEX(Transactions!$J:$J,ROW()-8)="",0,INDEX(Transactions!$O:$O,ROW()-8))</f>
      </c>
    </row>
    <row r="7640" spans="1:7">
      <c r="B7640">
        <f>IF(INDEX(Transactions!$J:$J,ROW()-8)="",TODAY(),INDEX(Transactions!$G:$G,ROW()-8))</f>
      </c>
      <c r="F7640">
        <f>IF(INDEX(Transactions!$J:$J,ROW()-8)="",0,INDEX(Transactions!$O:$O,ROW()-8))</f>
      </c>
    </row>
    <row r="7641" spans="1:7">
      <c r="B7641">
        <f>IF(INDEX(Transactions!$J:$J,ROW()-8)="",TODAY(),INDEX(Transactions!$G:$G,ROW()-8))</f>
      </c>
      <c r="F7641">
        <f>IF(INDEX(Transactions!$J:$J,ROW()-8)="",0,INDEX(Transactions!$O:$O,ROW()-8))</f>
      </c>
    </row>
    <row r="7642" spans="1:7">
      <c r="B7642">
        <f>IF(INDEX(Transactions!$J:$J,ROW()-8)="",TODAY(),INDEX(Transactions!$G:$G,ROW()-8))</f>
      </c>
      <c r="F7642">
        <f>IF(INDEX(Transactions!$J:$J,ROW()-8)="",0,INDEX(Transactions!$O:$O,ROW()-8))</f>
      </c>
    </row>
    <row r="7643" spans="1:7">
      <c r="B7643">
        <f>IF(INDEX(Transactions!$J:$J,ROW()-8)="",TODAY(),INDEX(Transactions!$G:$G,ROW()-8))</f>
      </c>
      <c r="F7643">
        <f>IF(INDEX(Transactions!$J:$J,ROW()-8)="",0,INDEX(Transactions!$O:$O,ROW()-8))</f>
      </c>
    </row>
    <row r="7644" spans="1:7">
      <c r="B7644">
        <f>IF(INDEX(Transactions!$J:$J,ROW()-8)="",TODAY(),INDEX(Transactions!$G:$G,ROW()-8))</f>
      </c>
      <c r="F7644">
        <f>IF(INDEX(Transactions!$J:$J,ROW()-8)="",0,INDEX(Transactions!$O:$O,ROW()-8))</f>
      </c>
    </row>
    <row r="7645" spans="1:7">
      <c r="B7645">
        <f>IF(INDEX(Transactions!$J:$J,ROW()-8)="",TODAY(),INDEX(Transactions!$G:$G,ROW()-8))</f>
      </c>
      <c r="F7645">
        <f>IF(INDEX(Transactions!$J:$J,ROW()-8)="",0,INDEX(Transactions!$O:$O,ROW()-8))</f>
      </c>
    </row>
    <row r="7646" spans="1:7">
      <c r="B7646">
        <f>IF(INDEX(Transactions!$J:$J,ROW()-8)="",TODAY(),INDEX(Transactions!$G:$G,ROW()-8))</f>
      </c>
      <c r="F7646">
        <f>IF(INDEX(Transactions!$J:$J,ROW()-8)="",0,INDEX(Transactions!$O:$O,ROW()-8))</f>
      </c>
    </row>
    <row r="7647" spans="1:7">
      <c r="B7647">
        <f>IF(INDEX(Transactions!$J:$J,ROW()-8)="",TODAY(),INDEX(Transactions!$G:$G,ROW()-8))</f>
      </c>
      <c r="F7647">
        <f>IF(INDEX(Transactions!$J:$J,ROW()-8)="",0,INDEX(Transactions!$O:$O,ROW()-8))</f>
      </c>
    </row>
    <row r="7648" spans="1:7">
      <c r="B7648">
        <f>IF(INDEX(Transactions!$J:$J,ROW()-8)="",TODAY(),INDEX(Transactions!$G:$G,ROW()-8))</f>
      </c>
      <c r="F7648">
        <f>IF(INDEX(Transactions!$J:$J,ROW()-8)="",0,INDEX(Transactions!$O:$O,ROW()-8))</f>
      </c>
    </row>
    <row r="7649" spans="1:7">
      <c r="B7649">
        <f>IF(INDEX(Transactions!$J:$J,ROW()-8)="",TODAY(),INDEX(Transactions!$G:$G,ROW()-8))</f>
      </c>
      <c r="F7649">
        <f>IF(INDEX(Transactions!$J:$J,ROW()-8)="",0,INDEX(Transactions!$O:$O,ROW()-8))</f>
      </c>
    </row>
    <row r="7650" spans="1:7">
      <c r="B7650">
        <f>IF(INDEX(Transactions!$J:$J,ROW()-8)="",TODAY(),INDEX(Transactions!$G:$G,ROW()-8))</f>
      </c>
      <c r="F7650">
        <f>IF(INDEX(Transactions!$J:$J,ROW()-8)="",0,INDEX(Transactions!$O:$O,ROW()-8))</f>
      </c>
    </row>
    <row r="7651" spans="1:7">
      <c r="B7651">
        <f>IF(INDEX(Transactions!$J:$J,ROW()-8)="",TODAY(),INDEX(Transactions!$G:$G,ROW()-8))</f>
      </c>
      <c r="F7651">
        <f>IF(INDEX(Transactions!$J:$J,ROW()-8)="",0,INDEX(Transactions!$O:$O,ROW()-8))</f>
      </c>
    </row>
    <row r="7652" spans="1:7">
      <c r="B7652">
        <f>IF(INDEX(Transactions!$J:$J,ROW()-8)="",TODAY(),INDEX(Transactions!$G:$G,ROW()-8))</f>
      </c>
      <c r="F7652">
        <f>IF(INDEX(Transactions!$J:$J,ROW()-8)="",0,INDEX(Transactions!$O:$O,ROW()-8))</f>
      </c>
    </row>
    <row r="7653" spans="1:7">
      <c r="B7653">
        <f>IF(INDEX(Transactions!$J:$J,ROW()-8)="",TODAY(),INDEX(Transactions!$G:$G,ROW()-8))</f>
      </c>
      <c r="F7653">
        <f>IF(INDEX(Transactions!$J:$J,ROW()-8)="",0,INDEX(Transactions!$O:$O,ROW()-8))</f>
      </c>
    </row>
    <row r="7654" spans="1:7">
      <c r="B7654">
        <f>IF(INDEX(Transactions!$J:$J,ROW()-8)="",TODAY(),INDEX(Transactions!$G:$G,ROW()-8))</f>
      </c>
      <c r="F7654">
        <f>IF(INDEX(Transactions!$J:$J,ROW()-8)="",0,INDEX(Transactions!$O:$O,ROW()-8))</f>
      </c>
    </row>
    <row r="7655" spans="1:7">
      <c r="B7655">
        <f>IF(INDEX(Transactions!$J:$J,ROW()-8)="",TODAY(),INDEX(Transactions!$G:$G,ROW()-8))</f>
      </c>
      <c r="F7655">
        <f>IF(INDEX(Transactions!$J:$J,ROW()-8)="",0,INDEX(Transactions!$O:$O,ROW()-8))</f>
      </c>
    </row>
    <row r="7656" spans="1:7">
      <c r="B7656">
        <f>IF(INDEX(Transactions!$J:$J,ROW()-8)="",TODAY(),INDEX(Transactions!$G:$G,ROW()-8))</f>
      </c>
      <c r="F7656">
        <f>IF(INDEX(Transactions!$J:$J,ROW()-8)="",0,INDEX(Transactions!$O:$O,ROW()-8))</f>
      </c>
    </row>
    <row r="7657" spans="1:7">
      <c r="B7657">
        <f>IF(INDEX(Transactions!$J:$J,ROW()-8)="",TODAY(),INDEX(Transactions!$G:$G,ROW()-8))</f>
      </c>
      <c r="F7657">
        <f>IF(INDEX(Transactions!$J:$J,ROW()-8)="",0,INDEX(Transactions!$O:$O,ROW()-8))</f>
      </c>
    </row>
    <row r="7658" spans="1:7">
      <c r="B7658">
        <f>IF(INDEX(Transactions!$J:$J,ROW()-8)="",TODAY(),INDEX(Transactions!$G:$G,ROW()-8))</f>
      </c>
      <c r="F7658">
        <f>IF(INDEX(Transactions!$J:$J,ROW()-8)="",0,INDEX(Transactions!$O:$O,ROW()-8))</f>
      </c>
    </row>
    <row r="7659" spans="1:7">
      <c r="B7659">
        <f>IF(INDEX(Transactions!$J:$J,ROW()-8)="",TODAY(),INDEX(Transactions!$G:$G,ROW()-8))</f>
      </c>
      <c r="F7659">
        <f>IF(INDEX(Transactions!$J:$J,ROW()-8)="",0,INDEX(Transactions!$O:$O,ROW()-8))</f>
      </c>
    </row>
    <row r="7660" spans="1:7">
      <c r="B7660">
        <f>IF(INDEX(Transactions!$J:$J,ROW()-8)="",TODAY(),INDEX(Transactions!$G:$G,ROW()-8))</f>
      </c>
      <c r="F7660">
        <f>IF(INDEX(Transactions!$J:$J,ROW()-8)="",0,INDEX(Transactions!$O:$O,ROW()-8))</f>
      </c>
    </row>
    <row r="7661" spans="1:7">
      <c r="B7661">
        <f>IF(INDEX(Transactions!$J:$J,ROW()-8)="",TODAY(),INDEX(Transactions!$G:$G,ROW()-8))</f>
      </c>
      <c r="F7661">
        <f>IF(INDEX(Transactions!$J:$J,ROW()-8)="",0,INDEX(Transactions!$O:$O,ROW()-8))</f>
      </c>
    </row>
    <row r="7662" spans="1:7">
      <c r="B7662">
        <f>IF(INDEX(Transactions!$J:$J,ROW()-8)="",TODAY(),INDEX(Transactions!$G:$G,ROW()-8))</f>
      </c>
      <c r="F7662">
        <f>IF(INDEX(Transactions!$J:$J,ROW()-8)="",0,INDEX(Transactions!$O:$O,ROW()-8))</f>
      </c>
    </row>
    <row r="7663" spans="1:7">
      <c r="B7663">
        <f>IF(INDEX(Transactions!$J:$J,ROW()-8)="",TODAY(),INDEX(Transactions!$G:$G,ROW()-8))</f>
      </c>
      <c r="F7663">
        <f>IF(INDEX(Transactions!$J:$J,ROW()-8)="",0,INDEX(Transactions!$O:$O,ROW()-8))</f>
      </c>
    </row>
    <row r="7664" spans="1:7">
      <c r="B7664">
        <f>IF(INDEX(Transactions!$J:$J,ROW()-8)="",TODAY(),INDEX(Transactions!$G:$G,ROW()-8))</f>
      </c>
      <c r="F7664">
        <f>IF(INDEX(Transactions!$J:$J,ROW()-8)="",0,INDEX(Transactions!$O:$O,ROW()-8))</f>
      </c>
    </row>
    <row r="7665" spans="1:7">
      <c r="B7665">
        <f>IF(INDEX(Transactions!$J:$J,ROW()-8)="",TODAY(),INDEX(Transactions!$G:$G,ROW()-8))</f>
      </c>
      <c r="F7665">
        <f>IF(INDEX(Transactions!$J:$J,ROW()-8)="",0,INDEX(Transactions!$O:$O,ROW()-8))</f>
      </c>
    </row>
    <row r="7666" spans="1:7">
      <c r="B7666">
        <f>IF(INDEX(Transactions!$J:$J,ROW()-8)="",TODAY(),INDEX(Transactions!$G:$G,ROW()-8))</f>
      </c>
      <c r="F7666">
        <f>IF(INDEX(Transactions!$J:$J,ROW()-8)="",0,INDEX(Transactions!$O:$O,ROW()-8))</f>
      </c>
    </row>
    <row r="7667" spans="1:7">
      <c r="B7667">
        <f>IF(INDEX(Transactions!$J:$J,ROW()-8)="",TODAY(),INDEX(Transactions!$G:$G,ROW()-8))</f>
      </c>
      <c r="F7667">
        <f>IF(INDEX(Transactions!$J:$J,ROW()-8)="",0,INDEX(Transactions!$O:$O,ROW()-8))</f>
      </c>
    </row>
    <row r="7668" spans="1:7">
      <c r="B7668">
        <f>IF(INDEX(Transactions!$J:$J,ROW()-8)="",TODAY(),INDEX(Transactions!$G:$G,ROW()-8))</f>
      </c>
      <c r="F7668">
        <f>IF(INDEX(Transactions!$J:$J,ROW()-8)="",0,INDEX(Transactions!$O:$O,ROW()-8))</f>
      </c>
    </row>
    <row r="7669" spans="1:7">
      <c r="B7669">
        <f>IF(INDEX(Transactions!$J:$J,ROW()-8)="",TODAY(),INDEX(Transactions!$G:$G,ROW()-8))</f>
      </c>
      <c r="F7669">
        <f>IF(INDEX(Transactions!$J:$J,ROW()-8)="",0,INDEX(Transactions!$O:$O,ROW()-8))</f>
      </c>
    </row>
    <row r="7670" spans="1:7">
      <c r="B7670">
        <f>IF(INDEX(Transactions!$J:$J,ROW()-8)="",TODAY(),INDEX(Transactions!$G:$G,ROW()-8))</f>
      </c>
      <c r="F7670">
        <f>IF(INDEX(Transactions!$J:$J,ROW()-8)="",0,INDEX(Transactions!$O:$O,ROW()-8))</f>
      </c>
    </row>
    <row r="7671" spans="1:7">
      <c r="B7671">
        <f>IF(INDEX(Transactions!$J:$J,ROW()-8)="",TODAY(),INDEX(Transactions!$G:$G,ROW()-8))</f>
      </c>
      <c r="F7671">
        <f>IF(INDEX(Transactions!$J:$J,ROW()-8)="",0,INDEX(Transactions!$O:$O,ROW()-8))</f>
      </c>
    </row>
    <row r="7672" spans="1:7">
      <c r="B7672">
        <f>IF(INDEX(Transactions!$J:$J,ROW()-8)="",TODAY(),INDEX(Transactions!$G:$G,ROW()-8))</f>
      </c>
      <c r="F7672">
        <f>IF(INDEX(Transactions!$J:$J,ROW()-8)="",0,INDEX(Transactions!$O:$O,ROW()-8))</f>
      </c>
    </row>
    <row r="7673" spans="1:7">
      <c r="B7673">
        <f>IF(INDEX(Transactions!$J:$J,ROW()-8)="",TODAY(),INDEX(Transactions!$G:$G,ROW()-8))</f>
      </c>
      <c r="F7673">
        <f>IF(INDEX(Transactions!$J:$J,ROW()-8)="",0,INDEX(Transactions!$O:$O,ROW()-8))</f>
      </c>
    </row>
    <row r="7674" spans="1:7">
      <c r="B7674">
        <f>IF(INDEX(Transactions!$J:$J,ROW()-8)="",TODAY(),INDEX(Transactions!$G:$G,ROW()-8))</f>
      </c>
      <c r="F7674">
        <f>IF(INDEX(Transactions!$J:$J,ROW()-8)="",0,INDEX(Transactions!$O:$O,ROW()-8))</f>
      </c>
    </row>
    <row r="7675" spans="1:7">
      <c r="B7675">
        <f>IF(INDEX(Transactions!$J:$J,ROW()-8)="",TODAY(),INDEX(Transactions!$G:$G,ROW()-8))</f>
      </c>
      <c r="F7675">
        <f>IF(INDEX(Transactions!$J:$J,ROW()-8)="",0,INDEX(Transactions!$O:$O,ROW()-8))</f>
      </c>
    </row>
    <row r="7676" spans="1:7">
      <c r="B7676">
        <f>IF(INDEX(Transactions!$J:$J,ROW()-8)="",TODAY(),INDEX(Transactions!$G:$G,ROW()-8))</f>
      </c>
      <c r="F7676">
        <f>IF(INDEX(Transactions!$J:$J,ROW()-8)="",0,INDEX(Transactions!$O:$O,ROW()-8))</f>
      </c>
    </row>
    <row r="7677" spans="1:7">
      <c r="B7677">
        <f>IF(INDEX(Transactions!$J:$J,ROW()-8)="",TODAY(),INDEX(Transactions!$G:$G,ROW()-8))</f>
      </c>
      <c r="F7677">
        <f>IF(INDEX(Transactions!$J:$J,ROW()-8)="",0,INDEX(Transactions!$O:$O,ROW()-8))</f>
      </c>
    </row>
    <row r="7678" spans="1:7">
      <c r="B7678">
        <f>IF(INDEX(Transactions!$J:$J,ROW()-8)="",TODAY(),INDEX(Transactions!$G:$G,ROW()-8))</f>
      </c>
      <c r="F7678">
        <f>IF(INDEX(Transactions!$J:$J,ROW()-8)="",0,INDEX(Transactions!$O:$O,ROW()-8))</f>
      </c>
    </row>
    <row r="7679" spans="1:7">
      <c r="B7679">
        <f>IF(INDEX(Transactions!$J:$J,ROW()-8)="",TODAY(),INDEX(Transactions!$G:$G,ROW()-8))</f>
      </c>
      <c r="F7679">
        <f>IF(INDEX(Transactions!$J:$J,ROW()-8)="",0,INDEX(Transactions!$O:$O,ROW()-8))</f>
      </c>
    </row>
    <row r="7680" spans="1:7">
      <c r="B7680">
        <f>IF(INDEX(Transactions!$J:$J,ROW()-8)="",TODAY(),INDEX(Transactions!$G:$G,ROW()-8))</f>
      </c>
      <c r="F7680">
        <f>IF(INDEX(Transactions!$J:$J,ROW()-8)="",0,INDEX(Transactions!$O:$O,ROW()-8))</f>
      </c>
    </row>
    <row r="7681" spans="1:7">
      <c r="B7681">
        <f>IF(INDEX(Transactions!$J:$J,ROW()-8)="",TODAY(),INDEX(Transactions!$G:$G,ROW()-8))</f>
      </c>
      <c r="F7681">
        <f>IF(INDEX(Transactions!$J:$J,ROW()-8)="",0,INDEX(Transactions!$O:$O,ROW()-8))</f>
      </c>
    </row>
    <row r="7682" spans="1:7">
      <c r="B7682">
        <f>IF(INDEX(Transactions!$J:$J,ROW()-8)="",TODAY(),INDEX(Transactions!$G:$G,ROW()-8))</f>
      </c>
      <c r="F7682">
        <f>IF(INDEX(Transactions!$J:$J,ROW()-8)="",0,INDEX(Transactions!$O:$O,ROW()-8))</f>
      </c>
    </row>
    <row r="7683" spans="1:7">
      <c r="B7683">
        <f>IF(INDEX(Transactions!$J:$J,ROW()-8)="",TODAY(),INDEX(Transactions!$G:$G,ROW()-8))</f>
      </c>
      <c r="F7683">
        <f>IF(INDEX(Transactions!$J:$J,ROW()-8)="",0,INDEX(Transactions!$O:$O,ROW()-8))</f>
      </c>
    </row>
    <row r="7684" spans="1:7">
      <c r="B7684">
        <f>IF(INDEX(Transactions!$J:$J,ROW()-8)="",TODAY(),INDEX(Transactions!$G:$G,ROW()-8))</f>
      </c>
      <c r="F7684">
        <f>IF(INDEX(Transactions!$J:$J,ROW()-8)="",0,INDEX(Transactions!$O:$O,ROW()-8))</f>
      </c>
    </row>
    <row r="7685" spans="1:7">
      <c r="B7685">
        <f>IF(INDEX(Transactions!$J:$J,ROW()-8)="",TODAY(),INDEX(Transactions!$G:$G,ROW()-8))</f>
      </c>
      <c r="F7685">
        <f>IF(INDEX(Transactions!$J:$J,ROW()-8)="",0,INDEX(Transactions!$O:$O,ROW()-8))</f>
      </c>
    </row>
    <row r="7686" spans="1:7">
      <c r="B7686">
        <f>IF(INDEX(Transactions!$J:$J,ROW()-8)="",TODAY(),INDEX(Transactions!$G:$G,ROW()-8))</f>
      </c>
      <c r="F7686">
        <f>IF(INDEX(Transactions!$J:$J,ROW()-8)="",0,INDEX(Transactions!$O:$O,ROW()-8))</f>
      </c>
    </row>
    <row r="7687" spans="1:7">
      <c r="B7687">
        <f>IF(INDEX(Transactions!$J:$J,ROW()-8)="",TODAY(),INDEX(Transactions!$G:$G,ROW()-8))</f>
      </c>
      <c r="F7687">
        <f>IF(INDEX(Transactions!$J:$J,ROW()-8)="",0,INDEX(Transactions!$O:$O,ROW()-8))</f>
      </c>
    </row>
    <row r="7688" spans="1:7">
      <c r="B7688">
        <f>IF(INDEX(Transactions!$J:$J,ROW()-8)="",TODAY(),INDEX(Transactions!$G:$G,ROW()-8))</f>
      </c>
      <c r="F7688">
        <f>IF(INDEX(Transactions!$J:$J,ROW()-8)="",0,INDEX(Transactions!$O:$O,ROW()-8))</f>
      </c>
    </row>
    <row r="7689" spans="1:7">
      <c r="B7689">
        <f>IF(INDEX(Transactions!$J:$J,ROW()-8)="",TODAY(),INDEX(Transactions!$G:$G,ROW()-8))</f>
      </c>
      <c r="F7689">
        <f>IF(INDEX(Transactions!$J:$J,ROW()-8)="",0,INDEX(Transactions!$O:$O,ROW()-8))</f>
      </c>
    </row>
    <row r="7690" spans="1:7">
      <c r="B7690">
        <f>IF(INDEX(Transactions!$J:$J,ROW()-8)="",TODAY(),INDEX(Transactions!$G:$G,ROW()-8))</f>
      </c>
      <c r="F7690">
        <f>IF(INDEX(Transactions!$J:$J,ROW()-8)="",0,INDEX(Transactions!$O:$O,ROW()-8))</f>
      </c>
    </row>
    <row r="7691" spans="1:7">
      <c r="B7691">
        <f>IF(INDEX(Transactions!$J:$J,ROW()-8)="",TODAY(),INDEX(Transactions!$G:$G,ROW()-8))</f>
      </c>
      <c r="F7691">
        <f>IF(INDEX(Transactions!$J:$J,ROW()-8)="",0,INDEX(Transactions!$O:$O,ROW()-8))</f>
      </c>
    </row>
    <row r="7692" spans="1:7">
      <c r="B7692">
        <f>IF(INDEX(Transactions!$J:$J,ROW()-8)="",TODAY(),INDEX(Transactions!$G:$G,ROW()-8))</f>
      </c>
      <c r="F7692">
        <f>IF(INDEX(Transactions!$J:$J,ROW()-8)="",0,INDEX(Transactions!$O:$O,ROW()-8))</f>
      </c>
    </row>
    <row r="7693" spans="1:7">
      <c r="B7693">
        <f>IF(INDEX(Transactions!$J:$J,ROW()-8)="",TODAY(),INDEX(Transactions!$G:$G,ROW()-8))</f>
      </c>
      <c r="F7693">
        <f>IF(INDEX(Transactions!$J:$J,ROW()-8)="",0,INDEX(Transactions!$O:$O,ROW()-8))</f>
      </c>
    </row>
    <row r="7694" spans="1:7">
      <c r="B7694">
        <f>IF(INDEX(Transactions!$J:$J,ROW()-8)="",TODAY(),INDEX(Transactions!$G:$G,ROW()-8))</f>
      </c>
      <c r="F7694">
        <f>IF(INDEX(Transactions!$J:$J,ROW()-8)="",0,INDEX(Transactions!$O:$O,ROW()-8))</f>
      </c>
    </row>
    <row r="7695" spans="1:7">
      <c r="B7695">
        <f>IF(INDEX(Transactions!$J:$J,ROW()-8)="",TODAY(),INDEX(Transactions!$G:$G,ROW()-8))</f>
      </c>
      <c r="F7695">
        <f>IF(INDEX(Transactions!$J:$J,ROW()-8)="",0,INDEX(Transactions!$O:$O,ROW()-8))</f>
      </c>
    </row>
    <row r="7696" spans="1:7">
      <c r="B7696">
        <f>IF(INDEX(Transactions!$J:$J,ROW()-8)="",TODAY(),INDEX(Transactions!$G:$G,ROW()-8))</f>
      </c>
      <c r="F7696">
        <f>IF(INDEX(Transactions!$J:$J,ROW()-8)="",0,INDEX(Transactions!$O:$O,ROW()-8))</f>
      </c>
    </row>
    <row r="7697" spans="1:7">
      <c r="B7697">
        <f>IF(INDEX(Transactions!$J:$J,ROW()-8)="",TODAY(),INDEX(Transactions!$G:$G,ROW()-8))</f>
      </c>
      <c r="F7697">
        <f>IF(INDEX(Transactions!$J:$J,ROW()-8)="",0,INDEX(Transactions!$O:$O,ROW()-8))</f>
      </c>
    </row>
    <row r="7698" spans="1:7">
      <c r="B7698">
        <f>IF(INDEX(Transactions!$J:$J,ROW()-8)="",TODAY(),INDEX(Transactions!$G:$G,ROW()-8))</f>
      </c>
      <c r="F7698">
        <f>IF(INDEX(Transactions!$J:$J,ROW()-8)="",0,INDEX(Transactions!$O:$O,ROW()-8))</f>
      </c>
    </row>
    <row r="7699" spans="1:7">
      <c r="B7699">
        <f>IF(INDEX(Transactions!$J:$J,ROW()-8)="",TODAY(),INDEX(Transactions!$G:$G,ROW()-8))</f>
      </c>
      <c r="F7699">
        <f>IF(INDEX(Transactions!$J:$J,ROW()-8)="",0,INDEX(Transactions!$O:$O,ROW()-8))</f>
      </c>
    </row>
    <row r="7700" spans="1:7">
      <c r="B7700">
        <f>IF(INDEX(Transactions!$J:$J,ROW()-8)="",TODAY(),INDEX(Transactions!$G:$G,ROW()-8))</f>
      </c>
      <c r="F7700">
        <f>IF(INDEX(Transactions!$J:$J,ROW()-8)="",0,INDEX(Transactions!$O:$O,ROW()-8))</f>
      </c>
    </row>
    <row r="7701" spans="1:7">
      <c r="B7701">
        <f>IF(INDEX(Transactions!$J:$J,ROW()-8)="",TODAY(),INDEX(Transactions!$G:$G,ROW()-8))</f>
      </c>
      <c r="F7701">
        <f>IF(INDEX(Transactions!$J:$J,ROW()-8)="",0,INDEX(Transactions!$O:$O,ROW()-8))</f>
      </c>
    </row>
    <row r="7702" spans="1:7">
      <c r="B7702">
        <f>IF(INDEX(Transactions!$J:$J,ROW()-8)="",TODAY(),INDEX(Transactions!$G:$G,ROW()-8))</f>
      </c>
      <c r="F7702">
        <f>IF(INDEX(Transactions!$J:$J,ROW()-8)="",0,INDEX(Transactions!$O:$O,ROW()-8))</f>
      </c>
    </row>
    <row r="7703" spans="1:7">
      <c r="B7703">
        <f>IF(INDEX(Transactions!$J:$J,ROW()-8)="",TODAY(),INDEX(Transactions!$G:$G,ROW()-8))</f>
      </c>
      <c r="F7703">
        <f>IF(INDEX(Transactions!$J:$J,ROW()-8)="",0,INDEX(Transactions!$O:$O,ROW()-8))</f>
      </c>
    </row>
    <row r="7704" spans="1:7">
      <c r="B7704">
        <f>IF(INDEX(Transactions!$J:$J,ROW()-8)="",TODAY(),INDEX(Transactions!$G:$G,ROW()-8))</f>
      </c>
      <c r="F7704">
        <f>IF(INDEX(Transactions!$J:$J,ROW()-8)="",0,INDEX(Transactions!$O:$O,ROW()-8))</f>
      </c>
    </row>
    <row r="7705" spans="1:7">
      <c r="B7705">
        <f>IF(INDEX(Transactions!$J:$J,ROW()-8)="",TODAY(),INDEX(Transactions!$G:$G,ROW()-8))</f>
      </c>
      <c r="F7705">
        <f>IF(INDEX(Transactions!$J:$J,ROW()-8)="",0,INDEX(Transactions!$O:$O,ROW()-8))</f>
      </c>
    </row>
    <row r="7706" spans="1:7">
      <c r="B7706">
        <f>IF(INDEX(Transactions!$J:$J,ROW()-8)="",TODAY(),INDEX(Transactions!$G:$G,ROW()-8))</f>
      </c>
      <c r="F7706">
        <f>IF(INDEX(Transactions!$J:$J,ROW()-8)="",0,INDEX(Transactions!$O:$O,ROW()-8))</f>
      </c>
    </row>
    <row r="7707" spans="1:7">
      <c r="B7707">
        <f>IF(INDEX(Transactions!$J:$J,ROW()-8)="",TODAY(),INDEX(Transactions!$G:$G,ROW()-8))</f>
      </c>
      <c r="F7707">
        <f>IF(INDEX(Transactions!$J:$J,ROW()-8)="",0,INDEX(Transactions!$O:$O,ROW()-8))</f>
      </c>
    </row>
    <row r="7708" spans="1:7">
      <c r="B7708">
        <f>IF(INDEX(Transactions!$J:$J,ROW()-8)="",TODAY(),INDEX(Transactions!$G:$G,ROW()-8))</f>
      </c>
      <c r="F7708">
        <f>IF(INDEX(Transactions!$J:$J,ROW()-8)="",0,INDEX(Transactions!$O:$O,ROW()-8))</f>
      </c>
    </row>
    <row r="7709" spans="1:7">
      <c r="B7709">
        <f>IF(INDEX(Transactions!$J:$J,ROW()-8)="",TODAY(),INDEX(Transactions!$G:$G,ROW()-8))</f>
      </c>
      <c r="F7709">
        <f>IF(INDEX(Transactions!$J:$J,ROW()-8)="",0,INDEX(Transactions!$O:$O,ROW()-8))</f>
      </c>
    </row>
    <row r="7710" spans="1:7">
      <c r="B7710">
        <f>IF(INDEX(Transactions!$J:$J,ROW()-8)="",TODAY(),INDEX(Transactions!$G:$G,ROW()-8))</f>
      </c>
      <c r="F7710">
        <f>IF(INDEX(Transactions!$J:$J,ROW()-8)="",0,INDEX(Transactions!$O:$O,ROW()-8))</f>
      </c>
    </row>
    <row r="7711" spans="1:7">
      <c r="B7711">
        <f>IF(INDEX(Transactions!$J:$J,ROW()-8)="",TODAY(),INDEX(Transactions!$G:$G,ROW()-8))</f>
      </c>
      <c r="F7711">
        <f>IF(INDEX(Transactions!$J:$J,ROW()-8)="",0,INDEX(Transactions!$O:$O,ROW()-8))</f>
      </c>
    </row>
    <row r="7712" spans="1:7">
      <c r="B7712">
        <f>IF(INDEX(Transactions!$J:$J,ROW()-8)="",TODAY(),INDEX(Transactions!$G:$G,ROW()-8))</f>
      </c>
      <c r="F7712">
        <f>IF(INDEX(Transactions!$J:$J,ROW()-8)="",0,INDEX(Transactions!$O:$O,ROW()-8))</f>
      </c>
    </row>
    <row r="7713" spans="1:7">
      <c r="B7713">
        <f>IF(INDEX(Transactions!$J:$J,ROW()-8)="",TODAY(),INDEX(Transactions!$G:$G,ROW()-8))</f>
      </c>
      <c r="F7713">
        <f>IF(INDEX(Transactions!$J:$J,ROW()-8)="",0,INDEX(Transactions!$O:$O,ROW()-8))</f>
      </c>
    </row>
    <row r="7714" spans="1:7">
      <c r="B7714">
        <f>IF(INDEX(Transactions!$J:$J,ROW()-8)="",TODAY(),INDEX(Transactions!$G:$G,ROW()-8))</f>
      </c>
      <c r="F7714">
        <f>IF(INDEX(Transactions!$J:$J,ROW()-8)="",0,INDEX(Transactions!$O:$O,ROW()-8))</f>
      </c>
    </row>
    <row r="7715" spans="1:7">
      <c r="B7715">
        <f>IF(INDEX(Transactions!$J:$J,ROW()-8)="",TODAY(),INDEX(Transactions!$G:$G,ROW()-8))</f>
      </c>
      <c r="F7715">
        <f>IF(INDEX(Transactions!$J:$J,ROW()-8)="",0,INDEX(Transactions!$O:$O,ROW()-8))</f>
      </c>
    </row>
    <row r="7716" spans="1:7">
      <c r="B7716">
        <f>IF(INDEX(Transactions!$J:$J,ROW()-8)="",TODAY(),INDEX(Transactions!$G:$G,ROW()-8))</f>
      </c>
      <c r="F7716">
        <f>IF(INDEX(Transactions!$J:$J,ROW()-8)="",0,INDEX(Transactions!$O:$O,ROW()-8))</f>
      </c>
    </row>
    <row r="7717" spans="1:7">
      <c r="B7717">
        <f>IF(INDEX(Transactions!$J:$J,ROW()-8)="",TODAY(),INDEX(Transactions!$G:$G,ROW()-8))</f>
      </c>
      <c r="F7717">
        <f>IF(INDEX(Transactions!$J:$J,ROW()-8)="",0,INDEX(Transactions!$O:$O,ROW()-8))</f>
      </c>
    </row>
    <row r="7718" spans="1:7">
      <c r="B7718">
        <f>IF(INDEX(Transactions!$J:$J,ROW()-8)="",TODAY(),INDEX(Transactions!$G:$G,ROW()-8))</f>
      </c>
      <c r="F7718">
        <f>IF(INDEX(Transactions!$J:$J,ROW()-8)="",0,INDEX(Transactions!$O:$O,ROW()-8))</f>
      </c>
    </row>
    <row r="7719" spans="1:7">
      <c r="B7719">
        <f>IF(INDEX(Transactions!$J:$J,ROW()-8)="",TODAY(),INDEX(Transactions!$G:$G,ROW()-8))</f>
      </c>
      <c r="F7719">
        <f>IF(INDEX(Transactions!$J:$J,ROW()-8)="",0,INDEX(Transactions!$O:$O,ROW()-8))</f>
      </c>
    </row>
    <row r="7720" spans="1:7">
      <c r="B7720">
        <f>IF(INDEX(Transactions!$J:$J,ROW()-8)="",TODAY(),INDEX(Transactions!$G:$G,ROW()-8))</f>
      </c>
      <c r="F7720">
        <f>IF(INDEX(Transactions!$J:$J,ROW()-8)="",0,INDEX(Transactions!$O:$O,ROW()-8))</f>
      </c>
    </row>
    <row r="7721" spans="1:7">
      <c r="B7721">
        <f>IF(INDEX(Transactions!$J:$J,ROW()-8)="",TODAY(),INDEX(Transactions!$G:$G,ROW()-8))</f>
      </c>
      <c r="F7721">
        <f>IF(INDEX(Transactions!$J:$J,ROW()-8)="",0,INDEX(Transactions!$O:$O,ROW()-8))</f>
      </c>
    </row>
    <row r="7722" spans="1:7">
      <c r="B7722">
        <f>IF(INDEX(Transactions!$J:$J,ROW()-8)="",TODAY(),INDEX(Transactions!$G:$G,ROW()-8))</f>
      </c>
      <c r="F7722">
        <f>IF(INDEX(Transactions!$J:$J,ROW()-8)="",0,INDEX(Transactions!$O:$O,ROW()-8))</f>
      </c>
    </row>
    <row r="7723" spans="1:7">
      <c r="B7723">
        <f>IF(INDEX(Transactions!$J:$J,ROW()-8)="",TODAY(),INDEX(Transactions!$G:$G,ROW()-8))</f>
      </c>
      <c r="F7723">
        <f>IF(INDEX(Transactions!$J:$J,ROW()-8)="",0,INDEX(Transactions!$O:$O,ROW()-8))</f>
      </c>
    </row>
    <row r="7724" spans="1:7">
      <c r="B7724">
        <f>IF(INDEX(Transactions!$J:$J,ROW()-8)="",TODAY(),INDEX(Transactions!$G:$G,ROW()-8))</f>
      </c>
      <c r="F7724">
        <f>IF(INDEX(Transactions!$J:$J,ROW()-8)="",0,INDEX(Transactions!$O:$O,ROW()-8))</f>
      </c>
    </row>
    <row r="7725" spans="1:7">
      <c r="B7725">
        <f>IF(INDEX(Transactions!$J:$J,ROW()-8)="",TODAY(),INDEX(Transactions!$G:$G,ROW()-8))</f>
      </c>
      <c r="F7725">
        <f>IF(INDEX(Transactions!$J:$J,ROW()-8)="",0,INDEX(Transactions!$O:$O,ROW()-8))</f>
      </c>
    </row>
    <row r="7726" spans="1:7">
      <c r="B7726">
        <f>IF(INDEX(Transactions!$J:$J,ROW()-8)="",TODAY(),INDEX(Transactions!$G:$G,ROW()-8))</f>
      </c>
      <c r="F7726">
        <f>IF(INDEX(Transactions!$J:$J,ROW()-8)="",0,INDEX(Transactions!$O:$O,ROW()-8))</f>
      </c>
    </row>
    <row r="7727" spans="1:7">
      <c r="B7727">
        <f>IF(INDEX(Transactions!$J:$J,ROW()-8)="",TODAY(),INDEX(Transactions!$G:$G,ROW()-8))</f>
      </c>
      <c r="F7727">
        <f>IF(INDEX(Transactions!$J:$J,ROW()-8)="",0,INDEX(Transactions!$O:$O,ROW()-8))</f>
      </c>
    </row>
    <row r="7728" spans="1:7">
      <c r="B7728">
        <f>IF(INDEX(Transactions!$J:$J,ROW()-8)="",TODAY(),INDEX(Transactions!$G:$G,ROW()-8))</f>
      </c>
      <c r="F7728">
        <f>IF(INDEX(Transactions!$J:$J,ROW()-8)="",0,INDEX(Transactions!$O:$O,ROW()-8))</f>
      </c>
    </row>
    <row r="7729" spans="1:7">
      <c r="B7729">
        <f>IF(INDEX(Transactions!$J:$J,ROW()-8)="",TODAY(),INDEX(Transactions!$G:$G,ROW()-8))</f>
      </c>
      <c r="F7729">
        <f>IF(INDEX(Transactions!$J:$J,ROW()-8)="",0,INDEX(Transactions!$O:$O,ROW()-8))</f>
      </c>
    </row>
    <row r="7730" spans="1:7">
      <c r="B7730">
        <f>IF(INDEX(Transactions!$J:$J,ROW()-8)="",TODAY(),INDEX(Transactions!$G:$G,ROW()-8))</f>
      </c>
      <c r="F7730">
        <f>IF(INDEX(Transactions!$J:$J,ROW()-8)="",0,INDEX(Transactions!$O:$O,ROW()-8))</f>
      </c>
    </row>
    <row r="7731" spans="1:7">
      <c r="B7731">
        <f>IF(INDEX(Transactions!$J:$J,ROW()-8)="",TODAY(),INDEX(Transactions!$G:$G,ROW()-8))</f>
      </c>
      <c r="F7731">
        <f>IF(INDEX(Transactions!$J:$J,ROW()-8)="",0,INDEX(Transactions!$O:$O,ROW()-8))</f>
      </c>
    </row>
    <row r="7732" spans="1:7">
      <c r="B7732">
        <f>IF(INDEX(Transactions!$J:$J,ROW()-8)="",TODAY(),INDEX(Transactions!$G:$G,ROW()-8))</f>
      </c>
      <c r="F7732">
        <f>IF(INDEX(Transactions!$J:$J,ROW()-8)="",0,INDEX(Transactions!$O:$O,ROW()-8))</f>
      </c>
    </row>
    <row r="7733" spans="1:7">
      <c r="B7733">
        <f>IF(INDEX(Transactions!$J:$J,ROW()-8)="",TODAY(),INDEX(Transactions!$G:$G,ROW()-8))</f>
      </c>
      <c r="F7733">
        <f>IF(INDEX(Transactions!$J:$J,ROW()-8)="",0,INDEX(Transactions!$O:$O,ROW()-8))</f>
      </c>
    </row>
    <row r="7734" spans="1:7">
      <c r="B7734">
        <f>IF(INDEX(Transactions!$J:$J,ROW()-8)="",TODAY(),INDEX(Transactions!$G:$G,ROW()-8))</f>
      </c>
      <c r="F7734">
        <f>IF(INDEX(Transactions!$J:$J,ROW()-8)="",0,INDEX(Transactions!$O:$O,ROW()-8))</f>
      </c>
    </row>
    <row r="7735" spans="1:7">
      <c r="B7735">
        <f>IF(INDEX(Transactions!$J:$J,ROW()-8)="",TODAY(),INDEX(Transactions!$G:$G,ROW()-8))</f>
      </c>
      <c r="F7735">
        <f>IF(INDEX(Transactions!$J:$J,ROW()-8)="",0,INDEX(Transactions!$O:$O,ROW()-8))</f>
      </c>
    </row>
    <row r="7736" spans="1:7">
      <c r="B7736">
        <f>IF(INDEX(Transactions!$J:$J,ROW()-8)="",TODAY(),INDEX(Transactions!$G:$G,ROW()-8))</f>
      </c>
      <c r="F7736">
        <f>IF(INDEX(Transactions!$J:$J,ROW()-8)="",0,INDEX(Transactions!$O:$O,ROW()-8))</f>
      </c>
    </row>
    <row r="7737" spans="1:7">
      <c r="B7737">
        <f>IF(INDEX(Transactions!$J:$J,ROW()-8)="",TODAY(),INDEX(Transactions!$G:$G,ROW()-8))</f>
      </c>
      <c r="F7737">
        <f>IF(INDEX(Transactions!$J:$J,ROW()-8)="",0,INDEX(Transactions!$O:$O,ROW()-8))</f>
      </c>
    </row>
    <row r="7738" spans="1:7">
      <c r="B7738">
        <f>IF(INDEX(Transactions!$J:$J,ROW()-8)="",TODAY(),INDEX(Transactions!$G:$G,ROW()-8))</f>
      </c>
      <c r="F7738">
        <f>IF(INDEX(Transactions!$J:$J,ROW()-8)="",0,INDEX(Transactions!$O:$O,ROW()-8))</f>
      </c>
    </row>
    <row r="7739" spans="1:7">
      <c r="B7739">
        <f>IF(INDEX(Transactions!$J:$J,ROW()-8)="",TODAY(),INDEX(Transactions!$G:$G,ROW()-8))</f>
      </c>
      <c r="F7739">
        <f>IF(INDEX(Transactions!$J:$J,ROW()-8)="",0,INDEX(Transactions!$O:$O,ROW()-8))</f>
      </c>
    </row>
    <row r="7740" spans="1:7">
      <c r="B7740">
        <f>IF(INDEX(Transactions!$J:$J,ROW()-8)="",TODAY(),INDEX(Transactions!$G:$G,ROW()-8))</f>
      </c>
      <c r="F7740">
        <f>IF(INDEX(Transactions!$J:$J,ROW()-8)="",0,INDEX(Transactions!$O:$O,ROW()-8))</f>
      </c>
    </row>
    <row r="7741" spans="1:7">
      <c r="B7741">
        <f>IF(INDEX(Transactions!$J:$J,ROW()-8)="",TODAY(),INDEX(Transactions!$G:$G,ROW()-8))</f>
      </c>
      <c r="F7741">
        <f>IF(INDEX(Transactions!$J:$J,ROW()-8)="",0,INDEX(Transactions!$O:$O,ROW()-8))</f>
      </c>
    </row>
    <row r="7742" spans="1:7">
      <c r="B7742">
        <f>IF(INDEX(Transactions!$J:$J,ROW()-8)="",TODAY(),INDEX(Transactions!$G:$G,ROW()-8))</f>
      </c>
      <c r="F7742">
        <f>IF(INDEX(Transactions!$J:$J,ROW()-8)="",0,INDEX(Transactions!$O:$O,ROW()-8))</f>
      </c>
    </row>
    <row r="7743" spans="1:7">
      <c r="B7743">
        <f>IF(INDEX(Transactions!$J:$J,ROW()-8)="",TODAY(),INDEX(Transactions!$G:$G,ROW()-8))</f>
      </c>
      <c r="F7743">
        <f>IF(INDEX(Transactions!$J:$J,ROW()-8)="",0,INDEX(Transactions!$O:$O,ROW()-8))</f>
      </c>
    </row>
    <row r="7744" spans="1:7">
      <c r="B7744">
        <f>IF(INDEX(Transactions!$J:$J,ROW()-8)="",TODAY(),INDEX(Transactions!$G:$G,ROW()-8))</f>
      </c>
      <c r="F7744">
        <f>IF(INDEX(Transactions!$J:$J,ROW()-8)="",0,INDEX(Transactions!$O:$O,ROW()-8))</f>
      </c>
    </row>
    <row r="7745" spans="1:7">
      <c r="B7745">
        <f>IF(INDEX(Transactions!$J:$J,ROW()-8)="",TODAY(),INDEX(Transactions!$G:$G,ROW()-8))</f>
      </c>
      <c r="F7745">
        <f>IF(INDEX(Transactions!$J:$J,ROW()-8)="",0,INDEX(Transactions!$O:$O,ROW()-8))</f>
      </c>
    </row>
    <row r="7746" spans="1:7">
      <c r="B7746">
        <f>IF(INDEX(Transactions!$J:$J,ROW()-8)="",TODAY(),INDEX(Transactions!$G:$G,ROW()-8))</f>
      </c>
      <c r="F7746">
        <f>IF(INDEX(Transactions!$J:$J,ROW()-8)="",0,INDEX(Transactions!$O:$O,ROW()-8))</f>
      </c>
    </row>
    <row r="7747" spans="1:7">
      <c r="B7747">
        <f>IF(INDEX(Transactions!$J:$J,ROW()-8)="",TODAY(),INDEX(Transactions!$G:$G,ROW()-8))</f>
      </c>
      <c r="F7747">
        <f>IF(INDEX(Transactions!$J:$J,ROW()-8)="",0,INDEX(Transactions!$O:$O,ROW()-8))</f>
      </c>
    </row>
    <row r="7748" spans="1:7">
      <c r="B7748">
        <f>IF(INDEX(Transactions!$J:$J,ROW()-8)="",TODAY(),INDEX(Transactions!$G:$G,ROW()-8))</f>
      </c>
      <c r="F7748">
        <f>IF(INDEX(Transactions!$J:$J,ROW()-8)="",0,INDEX(Transactions!$O:$O,ROW()-8))</f>
      </c>
    </row>
    <row r="7749" spans="1:7">
      <c r="B7749">
        <f>IF(INDEX(Transactions!$J:$J,ROW()-8)="",TODAY(),INDEX(Transactions!$G:$G,ROW()-8))</f>
      </c>
      <c r="F7749">
        <f>IF(INDEX(Transactions!$J:$J,ROW()-8)="",0,INDEX(Transactions!$O:$O,ROW()-8))</f>
      </c>
    </row>
    <row r="7750" spans="1:7">
      <c r="B7750">
        <f>IF(INDEX(Transactions!$J:$J,ROW()-8)="",TODAY(),INDEX(Transactions!$G:$G,ROW()-8))</f>
      </c>
      <c r="F7750">
        <f>IF(INDEX(Transactions!$J:$J,ROW()-8)="",0,INDEX(Transactions!$O:$O,ROW()-8))</f>
      </c>
    </row>
    <row r="7751" spans="1:7">
      <c r="B7751">
        <f>IF(INDEX(Transactions!$J:$J,ROW()-8)="",TODAY(),INDEX(Transactions!$G:$G,ROW()-8))</f>
      </c>
      <c r="F7751">
        <f>IF(INDEX(Transactions!$J:$J,ROW()-8)="",0,INDEX(Transactions!$O:$O,ROW()-8))</f>
      </c>
    </row>
    <row r="7752" spans="1:7">
      <c r="B7752">
        <f>IF(INDEX(Transactions!$J:$J,ROW()-8)="",TODAY(),INDEX(Transactions!$G:$G,ROW()-8))</f>
      </c>
      <c r="F7752">
        <f>IF(INDEX(Transactions!$J:$J,ROW()-8)="",0,INDEX(Transactions!$O:$O,ROW()-8))</f>
      </c>
    </row>
    <row r="7753" spans="1:7">
      <c r="B7753">
        <f>IF(INDEX(Transactions!$J:$J,ROW()-8)="",TODAY(),INDEX(Transactions!$G:$G,ROW()-8))</f>
      </c>
      <c r="F7753">
        <f>IF(INDEX(Transactions!$J:$J,ROW()-8)="",0,INDEX(Transactions!$O:$O,ROW()-8))</f>
      </c>
    </row>
    <row r="7754" spans="1:7">
      <c r="B7754">
        <f>IF(INDEX(Transactions!$J:$J,ROW()-8)="",TODAY(),INDEX(Transactions!$G:$G,ROW()-8))</f>
      </c>
      <c r="F7754">
        <f>IF(INDEX(Transactions!$J:$J,ROW()-8)="",0,INDEX(Transactions!$O:$O,ROW()-8))</f>
      </c>
    </row>
    <row r="7755" spans="1:7">
      <c r="B7755">
        <f>IF(INDEX(Transactions!$J:$J,ROW()-8)="",TODAY(),INDEX(Transactions!$G:$G,ROW()-8))</f>
      </c>
      <c r="F7755">
        <f>IF(INDEX(Transactions!$J:$J,ROW()-8)="",0,INDEX(Transactions!$O:$O,ROW()-8))</f>
      </c>
    </row>
    <row r="7756" spans="1:7">
      <c r="B7756">
        <f>IF(INDEX(Transactions!$J:$J,ROW()-8)="",TODAY(),INDEX(Transactions!$G:$G,ROW()-8))</f>
      </c>
      <c r="F7756">
        <f>IF(INDEX(Transactions!$J:$J,ROW()-8)="",0,INDEX(Transactions!$O:$O,ROW()-8))</f>
      </c>
    </row>
    <row r="7757" spans="1:7">
      <c r="B7757">
        <f>IF(INDEX(Transactions!$J:$J,ROW()-8)="",TODAY(),INDEX(Transactions!$G:$G,ROW()-8))</f>
      </c>
      <c r="F7757">
        <f>IF(INDEX(Transactions!$J:$J,ROW()-8)="",0,INDEX(Transactions!$O:$O,ROW()-8))</f>
      </c>
    </row>
    <row r="7758" spans="1:7">
      <c r="B7758">
        <f>IF(INDEX(Transactions!$J:$J,ROW()-8)="",TODAY(),INDEX(Transactions!$G:$G,ROW()-8))</f>
      </c>
      <c r="F7758">
        <f>IF(INDEX(Transactions!$J:$J,ROW()-8)="",0,INDEX(Transactions!$O:$O,ROW()-8))</f>
      </c>
    </row>
    <row r="7759" spans="1:7">
      <c r="B7759">
        <f>IF(INDEX(Transactions!$J:$J,ROW()-8)="",TODAY(),INDEX(Transactions!$G:$G,ROW()-8))</f>
      </c>
      <c r="F7759">
        <f>IF(INDEX(Transactions!$J:$J,ROW()-8)="",0,INDEX(Transactions!$O:$O,ROW()-8))</f>
      </c>
    </row>
    <row r="7760" spans="1:7">
      <c r="B7760">
        <f>IF(INDEX(Transactions!$J:$J,ROW()-8)="",TODAY(),INDEX(Transactions!$G:$G,ROW()-8))</f>
      </c>
      <c r="F7760">
        <f>IF(INDEX(Transactions!$J:$J,ROW()-8)="",0,INDEX(Transactions!$O:$O,ROW()-8))</f>
      </c>
    </row>
    <row r="7761" spans="1:7">
      <c r="B7761">
        <f>IF(INDEX(Transactions!$J:$J,ROW()-8)="",TODAY(),INDEX(Transactions!$G:$G,ROW()-8))</f>
      </c>
      <c r="F7761">
        <f>IF(INDEX(Transactions!$J:$J,ROW()-8)="",0,INDEX(Transactions!$O:$O,ROW()-8))</f>
      </c>
    </row>
    <row r="7762" spans="1:7">
      <c r="B7762">
        <f>IF(INDEX(Transactions!$J:$J,ROW()-8)="",TODAY(),INDEX(Transactions!$G:$G,ROW()-8))</f>
      </c>
      <c r="F7762">
        <f>IF(INDEX(Transactions!$J:$J,ROW()-8)="",0,INDEX(Transactions!$O:$O,ROW()-8))</f>
      </c>
    </row>
    <row r="7763" spans="1:7">
      <c r="B7763">
        <f>IF(INDEX(Transactions!$J:$J,ROW()-8)="",TODAY(),INDEX(Transactions!$G:$G,ROW()-8))</f>
      </c>
      <c r="F7763">
        <f>IF(INDEX(Transactions!$J:$J,ROW()-8)="",0,INDEX(Transactions!$O:$O,ROW()-8))</f>
      </c>
    </row>
    <row r="7764" spans="1:7">
      <c r="B7764">
        <f>IF(INDEX(Transactions!$J:$J,ROW()-8)="",TODAY(),INDEX(Transactions!$G:$G,ROW()-8))</f>
      </c>
      <c r="F7764">
        <f>IF(INDEX(Transactions!$J:$J,ROW()-8)="",0,INDEX(Transactions!$O:$O,ROW()-8))</f>
      </c>
    </row>
    <row r="7765" spans="1:7">
      <c r="B7765">
        <f>IF(INDEX(Transactions!$J:$J,ROW()-8)="",TODAY(),INDEX(Transactions!$G:$G,ROW()-8))</f>
      </c>
      <c r="F7765">
        <f>IF(INDEX(Transactions!$J:$J,ROW()-8)="",0,INDEX(Transactions!$O:$O,ROW()-8))</f>
      </c>
    </row>
    <row r="7766" spans="1:7">
      <c r="B7766">
        <f>IF(INDEX(Transactions!$J:$J,ROW()-8)="",TODAY(),INDEX(Transactions!$G:$G,ROW()-8))</f>
      </c>
      <c r="F7766">
        <f>IF(INDEX(Transactions!$J:$J,ROW()-8)="",0,INDEX(Transactions!$O:$O,ROW()-8))</f>
      </c>
    </row>
    <row r="7767" spans="1:7">
      <c r="B7767">
        <f>IF(INDEX(Transactions!$J:$J,ROW()-8)="",TODAY(),INDEX(Transactions!$G:$G,ROW()-8))</f>
      </c>
      <c r="F7767">
        <f>IF(INDEX(Transactions!$J:$J,ROW()-8)="",0,INDEX(Transactions!$O:$O,ROW()-8))</f>
      </c>
    </row>
    <row r="7768" spans="1:7">
      <c r="B7768">
        <f>IF(INDEX(Transactions!$J:$J,ROW()-8)="",TODAY(),INDEX(Transactions!$G:$G,ROW()-8))</f>
      </c>
      <c r="F7768">
        <f>IF(INDEX(Transactions!$J:$J,ROW()-8)="",0,INDEX(Transactions!$O:$O,ROW()-8))</f>
      </c>
    </row>
    <row r="7769" spans="1:7">
      <c r="B7769">
        <f>IF(INDEX(Transactions!$J:$J,ROW()-8)="",TODAY(),INDEX(Transactions!$G:$G,ROW()-8))</f>
      </c>
      <c r="F7769">
        <f>IF(INDEX(Transactions!$J:$J,ROW()-8)="",0,INDEX(Transactions!$O:$O,ROW()-8))</f>
      </c>
    </row>
    <row r="7770" spans="1:7">
      <c r="B7770">
        <f>IF(INDEX(Transactions!$J:$J,ROW()-8)="",TODAY(),INDEX(Transactions!$G:$G,ROW()-8))</f>
      </c>
      <c r="F7770">
        <f>IF(INDEX(Transactions!$J:$J,ROW()-8)="",0,INDEX(Transactions!$O:$O,ROW()-8))</f>
      </c>
    </row>
    <row r="7771" spans="1:7">
      <c r="B7771">
        <f>IF(INDEX(Transactions!$J:$J,ROW()-8)="",TODAY(),INDEX(Transactions!$G:$G,ROW()-8))</f>
      </c>
      <c r="F7771">
        <f>IF(INDEX(Transactions!$J:$J,ROW()-8)="",0,INDEX(Transactions!$O:$O,ROW()-8))</f>
      </c>
    </row>
    <row r="7772" spans="1:7">
      <c r="B7772">
        <f>IF(INDEX(Transactions!$J:$J,ROW()-8)="",TODAY(),INDEX(Transactions!$G:$G,ROW()-8))</f>
      </c>
      <c r="F7772">
        <f>IF(INDEX(Transactions!$J:$J,ROW()-8)="",0,INDEX(Transactions!$O:$O,ROW()-8))</f>
      </c>
    </row>
    <row r="7773" spans="1:7">
      <c r="B7773">
        <f>IF(INDEX(Transactions!$J:$J,ROW()-8)="",TODAY(),INDEX(Transactions!$G:$G,ROW()-8))</f>
      </c>
      <c r="F7773">
        <f>IF(INDEX(Transactions!$J:$J,ROW()-8)="",0,INDEX(Transactions!$O:$O,ROW()-8))</f>
      </c>
    </row>
    <row r="7774" spans="1:7">
      <c r="B7774">
        <f>IF(INDEX(Transactions!$J:$J,ROW()-8)="",TODAY(),INDEX(Transactions!$G:$G,ROW()-8))</f>
      </c>
      <c r="F7774">
        <f>IF(INDEX(Transactions!$J:$J,ROW()-8)="",0,INDEX(Transactions!$O:$O,ROW()-8))</f>
      </c>
    </row>
    <row r="7775" spans="1:7">
      <c r="B7775">
        <f>IF(INDEX(Transactions!$J:$J,ROW()-8)="",TODAY(),INDEX(Transactions!$G:$G,ROW()-8))</f>
      </c>
      <c r="F7775">
        <f>IF(INDEX(Transactions!$J:$J,ROW()-8)="",0,INDEX(Transactions!$O:$O,ROW()-8))</f>
      </c>
    </row>
    <row r="7776" spans="1:7">
      <c r="B7776">
        <f>IF(INDEX(Transactions!$J:$J,ROW()-8)="",TODAY(),INDEX(Transactions!$G:$G,ROW()-8))</f>
      </c>
      <c r="F7776">
        <f>IF(INDEX(Transactions!$J:$J,ROW()-8)="",0,INDEX(Transactions!$O:$O,ROW()-8))</f>
      </c>
    </row>
    <row r="7777" spans="1:7">
      <c r="B7777">
        <f>IF(INDEX(Transactions!$J:$J,ROW()-8)="",TODAY(),INDEX(Transactions!$G:$G,ROW()-8))</f>
      </c>
      <c r="F7777">
        <f>IF(INDEX(Transactions!$J:$J,ROW()-8)="",0,INDEX(Transactions!$O:$O,ROW()-8))</f>
      </c>
    </row>
    <row r="7778" spans="1:7">
      <c r="B7778">
        <f>IF(INDEX(Transactions!$J:$J,ROW()-8)="",TODAY(),INDEX(Transactions!$G:$G,ROW()-8))</f>
      </c>
      <c r="F7778">
        <f>IF(INDEX(Transactions!$J:$J,ROW()-8)="",0,INDEX(Transactions!$O:$O,ROW()-8))</f>
      </c>
    </row>
    <row r="7779" spans="1:7">
      <c r="B7779">
        <f>IF(INDEX(Transactions!$J:$J,ROW()-8)="",TODAY(),INDEX(Transactions!$G:$G,ROW()-8))</f>
      </c>
      <c r="F7779">
        <f>IF(INDEX(Transactions!$J:$J,ROW()-8)="",0,INDEX(Transactions!$O:$O,ROW()-8))</f>
      </c>
    </row>
    <row r="7780" spans="1:7">
      <c r="B7780">
        <f>IF(INDEX(Transactions!$J:$J,ROW()-8)="",TODAY(),INDEX(Transactions!$G:$G,ROW()-8))</f>
      </c>
      <c r="F7780">
        <f>IF(INDEX(Transactions!$J:$J,ROW()-8)="",0,INDEX(Transactions!$O:$O,ROW()-8))</f>
      </c>
    </row>
    <row r="7781" spans="1:7">
      <c r="B7781">
        <f>IF(INDEX(Transactions!$J:$J,ROW()-8)="",TODAY(),INDEX(Transactions!$G:$G,ROW()-8))</f>
      </c>
      <c r="F7781">
        <f>IF(INDEX(Transactions!$J:$J,ROW()-8)="",0,INDEX(Transactions!$O:$O,ROW()-8))</f>
      </c>
    </row>
    <row r="7782" spans="1:7">
      <c r="B7782">
        <f>IF(INDEX(Transactions!$J:$J,ROW()-8)="",TODAY(),INDEX(Transactions!$G:$G,ROW()-8))</f>
      </c>
      <c r="F7782">
        <f>IF(INDEX(Transactions!$J:$J,ROW()-8)="",0,INDEX(Transactions!$O:$O,ROW()-8))</f>
      </c>
    </row>
    <row r="7783" spans="1:7">
      <c r="B7783">
        <f>IF(INDEX(Transactions!$J:$J,ROW()-8)="",TODAY(),INDEX(Transactions!$G:$G,ROW()-8))</f>
      </c>
      <c r="F7783">
        <f>IF(INDEX(Transactions!$J:$J,ROW()-8)="",0,INDEX(Transactions!$O:$O,ROW()-8))</f>
      </c>
    </row>
    <row r="7784" spans="1:7">
      <c r="B7784">
        <f>IF(INDEX(Transactions!$J:$J,ROW()-8)="",TODAY(),INDEX(Transactions!$G:$G,ROW()-8))</f>
      </c>
      <c r="F7784">
        <f>IF(INDEX(Transactions!$J:$J,ROW()-8)="",0,INDEX(Transactions!$O:$O,ROW()-8))</f>
      </c>
    </row>
    <row r="7785" spans="1:7">
      <c r="B7785">
        <f>IF(INDEX(Transactions!$J:$J,ROW()-8)="",TODAY(),INDEX(Transactions!$G:$G,ROW()-8))</f>
      </c>
      <c r="F7785">
        <f>IF(INDEX(Transactions!$J:$J,ROW()-8)="",0,INDEX(Transactions!$O:$O,ROW()-8))</f>
      </c>
    </row>
    <row r="7786" spans="1:7">
      <c r="B7786">
        <f>IF(INDEX(Transactions!$J:$J,ROW()-8)="",TODAY(),INDEX(Transactions!$G:$G,ROW()-8))</f>
      </c>
      <c r="F7786">
        <f>IF(INDEX(Transactions!$J:$J,ROW()-8)="",0,INDEX(Transactions!$O:$O,ROW()-8))</f>
      </c>
    </row>
    <row r="7787" spans="1:7">
      <c r="B7787">
        <f>IF(INDEX(Transactions!$J:$J,ROW()-8)="",TODAY(),INDEX(Transactions!$G:$G,ROW()-8))</f>
      </c>
      <c r="F7787">
        <f>IF(INDEX(Transactions!$J:$J,ROW()-8)="",0,INDEX(Transactions!$O:$O,ROW()-8))</f>
      </c>
    </row>
    <row r="7788" spans="1:7">
      <c r="B7788">
        <f>IF(INDEX(Transactions!$J:$J,ROW()-8)="",TODAY(),INDEX(Transactions!$G:$G,ROW()-8))</f>
      </c>
      <c r="F7788">
        <f>IF(INDEX(Transactions!$J:$J,ROW()-8)="",0,INDEX(Transactions!$O:$O,ROW()-8))</f>
      </c>
    </row>
    <row r="7789" spans="1:7">
      <c r="B7789">
        <f>IF(INDEX(Transactions!$J:$J,ROW()-8)="",TODAY(),INDEX(Transactions!$G:$G,ROW()-8))</f>
      </c>
      <c r="F7789">
        <f>IF(INDEX(Transactions!$J:$J,ROW()-8)="",0,INDEX(Transactions!$O:$O,ROW()-8))</f>
      </c>
    </row>
    <row r="7790" spans="1:7">
      <c r="B7790">
        <f>IF(INDEX(Transactions!$J:$J,ROW()-8)="",TODAY(),INDEX(Transactions!$G:$G,ROW()-8))</f>
      </c>
      <c r="F7790">
        <f>IF(INDEX(Transactions!$J:$J,ROW()-8)="",0,INDEX(Transactions!$O:$O,ROW()-8))</f>
      </c>
    </row>
    <row r="7791" spans="1:7">
      <c r="B7791">
        <f>IF(INDEX(Transactions!$J:$J,ROW()-8)="",TODAY(),INDEX(Transactions!$G:$G,ROW()-8))</f>
      </c>
      <c r="F7791">
        <f>IF(INDEX(Transactions!$J:$J,ROW()-8)="",0,INDEX(Transactions!$O:$O,ROW()-8))</f>
      </c>
    </row>
    <row r="7792" spans="1:7">
      <c r="B7792">
        <f>IF(INDEX(Transactions!$J:$J,ROW()-8)="",TODAY(),INDEX(Transactions!$G:$G,ROW()-8))</f>
      </c>
      <c r="F7792">
        <f>IF(INDEX(Transactions!$J:$J,ROW()-8)="",0,INDEX(Transactions!$O:$O,ROW()-8))</f>
      </c>
    </row>
    <row r="7793" spans="1:7">
      <c r="B7793">
        <f>IF(INDEX(Transactions!$J:$J,ROW()-8)="",TODAY(),INDEX(Transactions!$G:$G,ROW()-8))</f>
      </c>
      <c r="F7793">
        <f>IF(INDEX(Transactions!$J:$J,ROW()-8)="",0,INDEX(Transactions!$O:$O,ROW()-8))</f>
      </c>
    </row>
    <row r="7794" spans="1:7">
      <c r="B7794">
        <f>IF(INDEX(Transactions!$J:$J,ROW()-8)="",TODAY(),INDEX(Transactions!$G:$G,ROW()-8))</f>
      </c>
      <c r="F7794">
        <f>IF(INDEX(Transactions!$J:$J,ROW()-8)="",0,INDEX(Transactions!$O:$O,ROW()-8))</f>
      </c>
    </row>
    <row r="7795" spans="1:7">
      <c r="B7795">
        <f>IF(INDEX(Transactions!$J:$J,ROW()-8)="",TODAY(),INDEX(Transactions!$G:$G,ROW()-8))</f>
      </c>
      <c r="F7795">
        <f>IF(INDEX(Transactions!$J:$J,ROW()-8)="",0,INDEX(Transactions!$O:$O,ROW()-8))</f>
      </c>
    </row>
    <row r="7796" spans="1:7">
      <c r="B7796">
        <f>IF(INDEX(Transactions!$J:$J,ROW()-8)="",TODAY(),INDEX(Transactions!$G:$G,ROW()-8))</f>
      </c>
      <c r="F7796">
        <f>IF(INDEX(Transactions!$J:$J,ROW()-8)="",0,INDEX(Transactions!$O:$O,ROW()-8))</f>
      </c>
    </row>
    <row r="7797" spans="1:7">
      <c r="B7797">
        <f>IF(INDEX(Transactions!$J:$J,ROW()-8)="",TODAY(),INDEX(Transactions!$G:$G,ROW()-8))</f>
      </c>
      <c r="F7797">
        <f>IF(INDEX(Transactions!$J:$J,ROW()-8)="",0,INDEX(Transactions!$O:$O,ROW()-8))</f>
      </c>
    </row>
    <row r="7798" spans="1:7">
      <c r="B7798">
        <f>IF(INDEX(Transactions!$J:$J,ROW()-8)="",TODAY(),INDEX(Transactions!$G:$G,ROW()-8))</f>
      </c>
      <c r="F7798">
        <f>IF(INDEX(Transactions!$J:$J,ROW()-8)="",0,INDEX(Transactions!$O:$O,ROW()-8))</f>
      </c>
    </row>
    <row r="7799" spans="1:7">
      <c r="B7799">
        <f>IF(INDEX(Transactions!$J:$J,ROW()-8)="",TODAY(),INDEX(Transactions!$G:$G,ROW()-8))</f>
      </c>
      <c r="F7799">
        <f>IF(INDEX(Transactions!$J:$J,ROW()-8)="",0,INDEX(Transactions!$O:$O,ROW()-8))</f>
      </c>
    </row>
    <row r="7800" spans="1:7">
      <c r="B7800">
        <f>IF(INDEX(Transactions!$J:$J,ROW()-8)="",TODAY(),INDEX(Transactions!$G:$G,ROW()-8))</f>
      </c>
      <c r="F7800">
        <f>IF(INDEX(Transactions!$J:$J,ROW()-8)="",0,INDEX(Transactions!$O:$O,ROW()-8))</f>
      </c>
    </row>
    <row r="7801" spans="1:7">
      <c r="B7801">
        <f>IF(INDEX(Transactions!$J:$J,ROW()-8)="",TODAY(),INDEX(Transactions!$G:$G,ROW()-8))</f>
      </c>
      <c r="F7801">
        <f>IF(INDEX(Transactions!$J:$J,ROW()-8)="",0,INDEX(Transactions!$O:$O,ROW()-8))</f>
      </c>
    </row>
    <row r="7802" spans="1:7">
      <c r="B7802">
        <f>IF(INDEX(Transactions!$J:$J,ROW()-8)="",TODAY(),INDEX(Transactions!$G:$G,ROW()-8))</f>
      </c>
      <c r="F7802">
        <f>IF(INDEX(Transactions!$J:$J,ROW()-8)="",0,INDEX(Transactions!$O:$O,ROW()-8))</f>
      </c>
    </row>
    <row r="7803" spans="1:7">
      <c r="B7803">
        <f>IF(INDEX(Transactions!$J:$J,ROW()-8)="",TODAY(),INDEX(Transactions!$G:$G,ROW()-8))</f>
      </c>
      <c r="F7803">
        <f>IF(INDEX(Transactions!$J:$J,ROW()-8)="",0,INDEX(Transactions!$O:$O,ROW()-8))</f>
      </c>
    </row>
    <row r="7804" spans="1:7">
      <c r="B7804">
        <f>IF(INDEX(Transactions!$J:$J,ROW()-8)="",TODAY(),INDEX(Transactions!$G:$G,ROW()-8))</f>
      </c>
      <c r="F7804">
        <f>IF(INDEX(Transactions!$J:$J,ROW()-8)="",0,INDEX(Transactions!$O:$O,ROW()-8))</f>
      </c>
    </row>
    <row r="7805" spans="1:7">
      <c r="B7805">
        <f>IF(INDEX(Transactions!$J:$J,ROW()-8)="",TODAY(),INDEX(Transactions!$G:$G,ROW()-8))</f>
      </c>
      <c r="F7805">
        <f>IF(INDEX(Transactions!$J:$J,ROW()-8)="",0,INDEX(Transactions!$O:$O,ROW()-8))</f>
      </c>
    </row>
    <row r="7806" spans="1:7">
      <c r="B7806">
        <f>IF(INDEX(Transactions!$J:$J,ROW()-8)="",TODAY(),INDEX(Transactions!$G:$G,ROW()-8))</f>
      </c>
      <c r="F7806">
        <f>IF(INDEX(Transactions!$J:$J,ROW()-8)="",0,INDEX(Transactions!$O:$O,ROW()-8))</f>
      </c>
    </row>
    <row r="7807" spans="1:7">
      <c r="B7807">
        <f>IF(INDEX(Transactions!$J:$J,ROW()-8)="",TODAY(),INDEX(Transactions!$G:$G,ROW()-8))</f>
      </c>
      <c r="F7807">
        <f>IF(INDEX(Transactions!$J:$J,ROW()-8)="",0,INDEX(Transactions!$O:$O,ROW()-8))</f>
      </c>
    </row>
    <row r="7808" spans="1:7">
      <c r="B7808">
        <f>IF(INDEX(Transactions!$J:$J,ROW()-8)="",TODAY(),INDEX(Transactions!$G:$G,ROW()-8))</f>
      </c>
      <c r="F7808">
        <f>IF(INDEX(Transactions!$J:$J,ROW()-8)="",0,INDEX(Transactions!$O:$O,ROW()-8))</f>
      </c>
    </row>
    <row r="7809" spans="1:7">
      <c r="B7809">
        <f>IF(INDEX(Transactions!$J:$J,ROW()-8)="",TODAY(),INDEX(Transactions!$G:$G,ROW()-8))</f>
      </c>
      <c r="F7809">
        <f>IF(INDEX(Transactions!$J:$J,ROW()-8)="",0,INDEX(Transactions!$O:$O,ROW()-8))</f>
      </c>
    </row>
    <row r="7810" spans="1:7">
      <c r="B7810">
        <f>IF(INDEX(Transactions!$J:$J,ROW()-8)="",TODAY(),INDEX(Transactions!$G:$G,ROW()-8))</f>
      </c>
      <c r="F7810">
        <f>IF(INDEX(Transactions!$J:$J,ROW()-8)="",0,INDEX(Transactions!$O:$O,ROW()-8))</f>
      </c>
    </row>
    <row r="7811" spans="1:7">
      <c r="B7811">
        <f>IF(INDEX(Transactions!$J:$J,ROW()-8)="",TODAY(),INDEX(Transactions!$G:$G,ROW()-8))</f>
      </c>
      <c r="F7811">
        <f>IF(INDEX(Transactions!$J:$J,ROW()-8)="",0,INDEX(Transactions!$O:$O,ROW()-8))</f>
      </c>
    </row>
    <row r="7812" spans="1:7">
      <c r="B7812">
        <f>IF(INDEX(Transactions!$J:$J,ROW()-8)="",TODAY(),INDEX(Transactions!$G:$G,ROW()-8))</f>
      </c>
      <c r="F7812">
        <f>IF(INDEX(Transactions!$J:$J,ROW()-8)="",0,INDEX(Transactions!$O:$O,ROW()-8))</f>
      </c>
    </row>
    <row r="7813" spans="1:7">
      <c r="B7813">
        <f>IF(INDEX(Transactions!$J:$J,ROW()-8)="",TODAY(),INDEX(Transactions!$G:$G,ROW()-8))</f>
      </c>
      <c r="F7813">
        <f>IF(INDEX(Transactions!$J:$J,ROW()-8)="",0,INDEX(Transactions!$O:$O,ROW()-8))</f>
      </c>
    </row>
    <row r="7814" spans="1:7">
      <c r="B7814">
        <f>IF(INDEX(Transactions!$J:$J,ROW()-8)="",TODAY(),INDEX(Transactions!$G:$G,ROW()-8))</f>
      </c>
      <c r="F7814">
        <f>IF(INDEX(Transactions!$J:$J,ROW()-8)="",0,INDEX(Transactions!$O:$O,ROW()-8))</f>
      </c>
    </row>
    <row r="7815" spans="1:7">
      <c r="B7815">
        <f>IF(INDEX(Transactions!$J:$J,ROW()-8)="",TODAY(),INDEX(Transactions!$G:$G,ROW()-8))</f>
      </c>
      <c r="F7815">
        <f>IF(INDEX(Transactions!$J:$J,ROW()-8)="",0,INDEX(Transactions!$O:$O,ROW()-8))</f>
      </c>
    </row>
    <row r="7816" spans="1:7">
      <c r="B7816">
        <f>IF(INDEX(Transactions!$J:$J,ROW()-8)="",TODAY(),INDEX(Transactions!$G:$G,ROW()-8))</f>
      </c>
      <c r="F7816">
        <f>IF(INDEX(Transactions!$J:$J,ROW()-8)="",0,INDEX(Transactions!$O:$O,ROW()-8))</f>
      </c>
    </row>
    <row r="7817" spans="1:7">
      <c r="B7817">
        <f>IF(INDEX(Transactions!$J:$J,ROW()-8)="",TODAY(),INDEX(Transactions!$G:$G,ROW()-8))</f>
      </c>
      <c r="F7817">
        <f>IF(INDEX(Transactions!$J:$J,ROW()-8)="",0,INDEX(Transactions!$O:$O,ROW()-8))</f>
      </c>
    </row>
    <row r="7818" spans="1:7">
      <c r="B7818">
        <f>IF(INDEX(Transactions!$J:$J,ROW()-8)="",TODAY(),INDEX(Transactions!$G:$G,ROW()-8))</f>
      </c>
      <c r="F7818">
        <f>IF(INDEX(Transactions!$J:$J,ROW()-8)="",0,INDEX(Transactions!$O:$O,ROW()-8))</f>
      </c>
    </row>
    <row r="7819" spans="1:7">
      <c r="B7819">
        <f>IF(INDEX(Transactions!$J:$J,ROW()-8)="",TODAY(),INDEX(Transactions!$G:$G,ROW()-8))</f>
      </c>
      <c r="F7819">
        <f>IF(INDEX(Transactions!$J:$J,ROW()-8)="",0,INDEX(Transactions!$O:$O,ROW()-8))</f>
      </c>
    </row>
    <row r="7820" spans="1:7">
      <c r="B7820">
        <f>IF(INDEX(Transactions!$J:$J,ROW()-8)="",TODAY(),INDEX(Transactions!$G:$G,ROW()-8))</f>
      </c>
      <c r="F7820">
        <f>IF(INDEX(Transactions!$J:$J,ROW()-8)="",0,INDEX(Transactions!$O:$O,ROW()-8))</f>
      </c>
    </row>
    <row r="7821" spans="1:7">
      <c r="B7821">
        <f>IF(INDEX(Transactions!$J:$J,ROW()-8)="",TODAY(),INDEX(Transactions!$G:$G,ROW()-8))</f>
      </c>
      <c r="F7821">
        <f>IF(INDEX(Transactions!$J:$J,ROW()-8)="",0,INDEX(Transactions!$O:$O,ROW()-8))</f>
      </c>
    </row>
    <row r="7822" spans="1:7">
      <c r="B7822">
        <f>IF(INDEX(Transactions!$J:$J,ROW()-8)="",TODAY(),INDEX(Transactions!$G:$G,ROW()-8))</f>
      </c>
      <c r="F7822">
        <f>IF(INDEX(Transactions!$J:$J,ROW()-8)="",0,INDEX(Transactions!$O:$O,ROW()-8))</f>
      </c>
    </row>
    <row r="7823" spans="1:7">
      <c r="B7823">
        <f>IF(INDEX(Transactions!$J:$J,ROW()-8)="",TODAY(),INDEX(Transactions!$G:$G,ROW()-8))</f>
      </c>
      <c r="F7823">
        <f>IF(INDEX(Transactions!$J:$J,ROW()-8)="",0,INDEX(Transactions!$O:$O,ROW()-8))</f>
      </c>
    </row>
    <row r="7824" spans="1:7">
      <c r="B7824">
        <f>IF(INDEX(Transactions!$J:$J,ROW()-8)="",TODAY(),INDEX(Transactions!$G:$G,ROW()-8))</f>
      </c>
      <c r="F7824">
        <f>IF(INDEX(Transactions!$J:$J,ROW()-8)="",0,INDEX(Transactions!$O:$O,ROW()-8))</f>
      </c>
    </row>
    <row r="7825" spans="1:7">
      <c r="B7825">
        <f>IF(INDEX(Transactions!$J:$J,ROW()-8)="",TODAY(),INDEX(Transactions!$G:$G,ROW()-8))</f>
      </c>
      <c r="F7825">
        <f>IF(INDEX(Transactions!$J:$J,ROW()-8)="",0,INDEX(Transactions!$O:$O,ROW()-8))</f>
      </c>
    </row>
    <row r="7826" spans="1:7">
      <c r="B7826">
        <f>IF(INDEX(Transactions!$J:$J,ROW()-8)="",TODAY(),INDEX(Transactions!$G:$G,ROW()-8))</f>
      </c>
      <c r="F7826">
        <f>IF(INDEX(Transactions!$J:$J,ROW()-8)="",0,INDEX(Transactions!$O:$O,ROW()-8))</f>
      </c>
    </row>
    <row r="7827" spans="1:7">
      <c r="B7827">
        <f>IF(INDEX(Transactions!$J:$J,ROW()-8)="",TODAY(),INDEX(Transactions!$G:$G,ROW()-8))</f>
      </c>
      <c r="F7827">
        <f>IF(INDEX(Transactions!$J:$J,ROW()-8)="",0,INDEX(Transactions!$O:$O,ROW()-8))</f>
      </c>
    </row>
    <row r="7828" spans="1:7">
      <c r="B7828">
        <f>IF(INDEX(Transactions!$J:$J,ROW()-8)="",TODAY(),INDEX(Transactions!$G:$G,ROW()-8))</f>
      </c>
      <c r="F7828">
        <f>IF(INDEX(Transactions!$J:$J,ROW()-8)="",0,INDEX(Transactions!$O:$O,ROW()-8))</f>
      </c>
    </row>
    <row r="7829" spans="1:7">
      <c r="B7829">
        <f>IF(INDEX(Transactions!$J:$J,ROW()-8)="",TODAY(),INDEX(Transactions!$G:$G,ROW()-8))</f>
      </c>
      <c r="F7829">
        <f>IF(INDEX(Transactions!$J:$J,ROW()-8)="",0,INDEX(Transactions!$O:$O,ROW()-8))</f>
      </c>
    </row>
    <row r="7830" spans="1:7">
      <c r="B7830">
        <f>IF(INDEX(Transactions!$J:$J,ROW()-8)="",TODAY(),INDEX(Transactions!$G:$G,ROW()-8))</f>
      </c>
      <c r="F7830">
        <f>IF(INDEX(Transactions!$J:$J,ROW()-8)="",0,INDEX(Transactions!$O:$O,ROW()-8))</f>
      </c>
    </row>
    <row r="7831" spans="1:7">
      <c r="B7831">
        <f>IF(INDEX(Transactions!$J:$J,ROW()-8)="",TODAY(),INDEX(Transactions!$G:$G,ROW()-8))</f>
      </c>
      <c r="F7831">
        <f>IF(INDEX(Transactions!$J:$J,ROW()-8)="",0,INDEX(Transactions!$O:$O,ROW()-8))</f>
      </c>
    </row>
    <row r="7832" spans="1:7">
      <c r="B7832">
        <f>IF(INDEX(Transactions!$J:$J,ROW()-8)="",TODAY(),INDEX(Transactions!$G:$G,ROW()-8))</f>
      </c>
      <c r="F7832">
        <f>IF(INDEX(Transactions!$J:$J,ROW()-8)="",0,INDEX(Transactions!$O:$O,ROW()-8))</f>
      </c>
    </row>
    <row r="7833" spans="1:7">
      <c r="B7833">
        <f>IF(INDEX(Transactions!$J:$J,ROW()-8)="",TODAY(),INDEX(Transactions!$G:$G,ROW()-8))</f>
      </c>
      <c r="F7833">
        <f>IF(INDEX(Transactions!$J:$J,ROW()-8)="",0,INDEX(Transactions!$O:$O,ROW()-8))</f>
      </c>
    </row>
    <row r="7834" spans="1:7">
      <c r="B7834">
        <f>IF(INDEX(Transactions!$J:$J,ROW()-8)="",TODAY(),INDEX(Transactions!$G:$G,ROW()-8))</f>
      </c>
      <c r="F7834">
        <f>IF(INDEX(Transactions!$J:$J,ROW()-8)="",0,INDEX(Transactions!$O:$O,ROW()-8))</f>
      </c>
    </row>
    <row r="7835" spans="1:7">
      <c r="B7835">
        <f>IF(INDEX(Transactions!$J:$J,ROW()-8)="",TODAY(),INDEX(Transactions!$G:$G,ROW()-8))</f>
      </c>
      <c r="F7835">
        <f>IF(INDEX(Transactions!$J:$J,ROW()-8)="",0,INDEX(Transactions!$O:$O,ROW()-8))</f>
      </c>
    </row>
    <row r="7836" spans="1:7">
      <c r="B7836">
        <f>IF(INDEX(Transactions!$J:$J,ROW()-8)="",TODAY(),INDEX(Transactions!$G:$G,ROW()-8))</f>
      </c>
      <c r="F7836">
        <f>IF(INDEX(Transactions!$J:$J,ROW()-8)="",0,INDEX(Transactions!$O:$O,ROW()-8))</f>
      </c>
    </row>
    <row r="7837" spans="1:7">
      <c r="B7837">
        <f>IF(INDEX(Transactions!$J:$J,ROW()-8)="",TODAY(),INDEX(Transactions!$G:$G,ROW()-8))</f>
      </c>
      <c r="F7837">
        <f>IF(INDEX(Transactions!$J:$J,ROW()-8)="",0,INDEX(Transactions!$O:$O,ROW()-8))</f>
      </c>
    </row>
    <row r="7838" spans="1:7">
      <c r="B7838">
        <f>IF(INDEX(Transactions!$J:$J,ROW()-8)="",TODAY(),INDEX(Transactions!$G:$G,ROW()-8))</f>
      </c>
      <c r="F7838">
        <f>IF(INDEX(Transactions!$J:$J,ROW()-8)="",0,INDEX(Transactions!$O:$O,ROW()-8))</f>
      </c>
    </row>
    <row r="7839" spans="1:7">
      <c r="B7839">
        <f>IF(INDEX(Transactions!$J:$J,ROW()-8)="",TODAY(),INDEX(Transactions!$G:$G,ROW()-8))</f>
      </c>
      <c r="F7839">
        <f>IF(INDEX(Transactions!$J:$J,ROW()-8)="",0,INDEX(Transactions!$O:$O,ROW()-8))</f>
      </c>
    </row>
    <row r="7840" spans="1:7">
      <c r="B7840">
        <f>IF(INDEX(Transactions!$J:$J,ROW()-8)="",TODAY(),INDEX(Transactions!$G:$G,ROW()-8))</f>
      </c>
      <c r="F7840">
        <f>IF(INDEX(Transactions!$J:$J,ROW()-8)="",0,INDEX(Transactions!$O:$O,ROW()-8))</f>
      </c>
    </row>
    <row r="7841" spans="1:7">
      <c r="B7841">
        <f>IF(INDEX(Transactions!$J:$J,ROW()-8)="",TODAY(),INDEX(Transactions!$G:$G,ROW()-8))</f>
      </c>
      <c r="F7841">
        <f>IF(INDEX(Transactions!$J:$J,ROW()-8)="",0,INDEX(Transactions!$O:$O,ROW()-8))</f>
      </c>
    </row>
    <row r="7842" spans="1:7">
      <c r="B7842">
        <f>IF(INDEX(Transactions!$J:$J,ROW()-8)="",TODAY(),INDEX(Transactions!$G:$G,ROW()-8))</f>
      </c>
      <c r="F7842">
        <f>IF(INDEX(Transactions!$J:$J,ROW()-8)="",0,INDEX(Transactions!$O:$O,ROW()-8))</f>
      </c>
    </row>
    <row r="7843" spans="1:7">
      <c r="B7843">
        <f>IF(INDEX(Transactions!$J:$J,ROW()-8)="",TODAY(),INDEX(Transactions!$G:$G,ROW()-8))</f>
      </c>
      <c r="F7843">
        <f>IF(INDEX(Transactions!$J:$J,ROW()-8)="",0,INDEX(Transactions!$O:$O,ROW()-8))</f>
      </c>
    </row>
    <row r="7844" spans="1:7">
      <c r="B7844">
        <f>IF(INDEX(Transactions!$J:$J,ROW()-8)="",TODAY(),INDEX(Transactions!$G:$G,ROW()-8))</f>
      </c>
      <c r="F7844">
        <f>IF(INDEX(Transactions!$J:$J,ROW()-8)="",0,INDEX(Transactions!$O:$O,ROW()-8))</f>
      </c>
    </row>
    <row r="7845" spans="1:7">
      <c r="B7845">
        <f>IF(INDEX(Transactions!$J:$J,ROW()-8)="",TODAY(),INDEX(Transactions!$G:$G,ROW()-8))</f>
      </c>
      <c r="F7845">
        <f>IF(INDEX(Transactions!$J:$J,ROW()-8)="",0,INDEX(Transactions!$O:$O,ROW()-8))</f>
      </c>
    </row>
    <row r="7846" spans="1:7">
      <c r="B7846">
        <f>IF(INDEX(Transactions!$J:$J,ROW()-8)="",TODAY(),INDEX(Transactions!$G:$G,ROW()-8))</f>
      </c>
      <c r="F7846">
        <f>IF(INDEX(Transactions!$J:$J,ROW()-8)="",0,INDEX(Transactions!$O:$O,ROW()-8))</f>
      </c>
    </row>
    <row r="7847" spans="1:7">
      <c r="B7847">
        <f>IF(INDEX(Transactions!$J:$J,ROW()-8)="",TODAY(),INDEX(Transactions!$G:$G,ROW()-8))</f>
      </c>
      <c r="F7847">
        <f>IF(INDEX(Transactions!$J:$J,ROW()-8)="",0,INDEX(Transactions!$O:$O,ROW()-8))</f>
      </c>
    </row>
    <row r="7848" spans="1:7">
      <c r="B7848">
        <f>IF(INDEX(Transactions!$J:$J,ROW()-8)="",TODAY(),INDEX(Transactions!$G:$G,ROW()-8))</f>
      </c>
      <c r="F7848">
        <f>IF(INDEX(Transactions!$J:$J,ROW()-8)="",0,INDEX(Transactions!$O:$O,ROW()-8))</f>
      </c>
    </row>
    <row r="7849" spans="1:7">
      <c r="B7849">
        <f>IF(INDEX(Transactions!$J:$J,ROW()-8)="",TODAY(),INDEX(Transactions!$G:$G,ROW()-8))</f>
      </c>
      <c r="F7849">
        <f>IF(INDEX(Transactions!$J:$J,ROW()-8)="",0,INDEX(Transactions!$O:$O,ROW()-8))</f>
      </c>
    </row>
    <row r="7850" spans="1:7">
      <c r="B7850">
        <f>IF(INDEX(Transactions!$J:$J,ROW()-8)="",TODAY(),INDEX(Transactions!$G:$G,ROW()-8))</f>
      </c>
      <c r="F7850">
        <f>IF(INDEX(Transactions!$J:$J,ROW()-8)="",0,INDEX(Transactions!$O:$O,ROW()-8))</f>
      </c>
    </row>
    <row r="7851" spans="1:7">
      <c r="B7851">
        <f>IF(INDEX(Transactions!$J:$J,ROW()-8)="",TODAY(),INDEX(Transactions!$G:$G,ROW()-8))</f>
      </c>
      <c r="F7851">
        <f>IF(INDEX(Transactions!$J:$J,ROW()-8)="",0,INDEX(Transactions!$O:$O,ROW()-8))</f>
      </c>
    </row>
    <row r="7852" spans="1:7">
      <c r="B7852">
        <f>IF(INDEX(Transactions!$J:$J,ROW()-8)="",TODAY(),INDEX(Transactions!$G:$G,ROW()-8))</f>
      </c>
      <c r="F7852">
        <f>IF(INDEX(Transactions!$J:$J,ROW()-8)="",0,INDEX(Transactions!$O:$O,ROW()-8))</f>
      </c>
    </row>
    <row r="7853" spans="1:7">
      <c r="B7853">
        <f>IF(INDEX(Transactions!$J:$J,ROW()-8)="",TODAY(),INDEX(Transactions!$G:$G,ROW()-8))</f>
      </c>
      <c r="F7853">
        <f>IF(INDEX(Transactions!$J:$J,ROW()-8)="",0,INDEX(Transactions!$O:$O,ROW()-8))</f>
      </c>
    </row>
    <row r="7854" spans="1:7">
      <c r="B7854">
        <f>IF(INDEX(Transactions!$J:$J,ROW()-8)="",TODAY(),INDEX(Transactions!$G:$G,ROW()-8))</f>
      </c>
      <c r="F7854">
        <f>IF(INDEX(Transactions!$J:$J,ROW()-8)="",0,INDEX(Transactions!$O:$O,ROW()-8))</f>
      </c>
    </row>
    <row r="7855" spans="1:7">
      <c r="B7855">
        <f>IF(INDEX(Transactions!$J:$J,ROW()-8)="",TODAY(),INDEX(Transactions!$G:$G,ROW()-8))</f>
      </c>
      <c r="F7855">
        <f>IF(INDEX(Transactions!$J:$J,ROW()-8)="",0,INDEX(Transactions!$O:$O,ROW()-8))</f>
      </c>
    </row>
    <row r="7856" spans="1:7">
      <c r="B7856">
        <f>IF(INDEX(Transactions!$J:$J,ROW()-8)="",TODAY(),INDEX(Transactions!$G:$G,ROW()-8))</f>
      </c>
      <c r="F7856">
        <f>IF(INDEX(Transactions!$J:$J,ROW()-8)="",0,INDEX(Transactions!$O:$O,ROW()-8))</f>
      </c>
    </row>
    <row r="7857" spans="1:7">
      <c r="B7857">
        <f>IF(INDEX(Transactions!$J:$J,ROW()-8)="",TODAY(),INDEX(Transactions!$G:$G,ROW()-8))</f>
      </c>
      <c r="F7857">
        <f>IF(INDEX(Transactions!$J:$J,ROW()-8)="",0,INDEX(Transactions!$O:$O,ROW()-8))</f>
      </c>
    </row>
    <row r="7858" spans="1:7">
      <c r="B7858">
        <f>IF(INDEX(Transactions!$J:$J,ROW()-8)="",TODAY(),INDEX(Transactions!$G:$G,ROW()-8))</f>
      </c>
      <c r="F7858">
        <f>IF(INDEX(Transactions!$J:$J,ROW()-8)="",0,INDEX(Transactions!$O:$O,ROW()-8))</f>
      </c>
    </row>
    <row r="7859" spans="1:7">
      <c r="B7859">
        <f>IF(INDEX(Transactions!$J:$J,ROW()-8)="",TODAY(),INDEX(Transactions!$G:$G,ROW()-8))</f>
      </c>
      <c r="F7859">
        <f>IF(INDEX(Transactions!$J:$J,ROW()-8)="",0,INDEX(Transactions!$O:$O,ROW()-8))</f>
      </c>
    </row>
    <row r="7860" spans="1:7">
      <c r="B7860">
        <f>IF(INDEX(Transactions!$J:$J,ROW()-8)="",TODAY(),INDEX(Transactions!$G:$G,ROW()-8))</f>
      </c>
      <c r="F7860">
        <f>IF(INDEX(Transactions!$J:$J,ROW()-8)="",0,INDEX(Transactions!$O:$O,ROW()-8))</f>
      </c>
    </row>
    <row r="7861" spans="1:7">
      <c r="B7861">
        <f>IF(INDEX(Transactions!$J:$J,ROW()-8)="",TODAY(),INDEX(Transactions!$G:$G,ROW()-8))</f>
      </c>
      <c r="F7861">
        <f>IF(INDEX(Transactions!$J:$J,ROW()-8)="",0,INDEX(Transactions!$O:$O,ROW()-8))</f>
      </c>
    </row>
    <row r="7862" spans="1:7">
      <c r="B7862">
        <f>IF(INDEX(Transactions!$J:$J,ROW()-8)="",TODAY(),INDEX(Transactions!$G:$G,ROW()-8))</f>
      </c>
      <c r="F7862">
        <f>IF(INDEX(Transactions!$J:$J,ROW()-8)="",0,INDEX(Transactions!$O:$O,ROW()-8))</f>
      </c>
    </row>
    <row r="7863" spans="1:7">
      <c r="B7863">
        <f>IF(INDEX(Transactions!$J:$J,ROW()-8)="",TODAY(),INDEX(Transactions!$G:$G,ROW()-8))</f>
      </c>
      <c r="F7863">
        <f>IF(INDEX(Transactions!$J:$J,ROW()-8)="",0,INDEX(Transactions!$O:$O,ROW()-8))</f>
      </c>
    </row>
    <row r="7864" spans="1:7">
      <c r="B7864">
        <f>IF(INDEX(Transactions!$J:$J,ROW()-8)="",TODAY(),INDEX(Transactions!$G:$G,ROW()-8))</f>
      </c>
      <c r="F7864">
        <f>IF(INDEX(Transactions!$J:$J,ROW()-8)="",0,INDEX(Transactions!$O:$O,ROW()-8))</f>
      </c>
    </row>
    <row r="7865" spans="1:7">
      <c r="B7865">
        <f>IF(INDEX(Transactions!$J:$J,ROW()-8)="",TODAY(),INDEX(Transactions!$G:$G,ROW()-8))</f>
      </c>
      <c r="F7865">
        <f>IF(INDEX(Transactions!$J:$J,ROW()-8)="",0,INDEX(Transactions!$O:$O,ROW()-8))</f>
      </c>
    </row>
    <row r="7866" spans="1:7">
      <c r="B7866">
        <f>IF(INDEX(Transactions!$J:$J,ROW()-8)="",TODAY(),INDEX(Transactions!$G:$G,ROW()-8))</f>
      </c>
      <c r="F7866">
        <f>IF(INDEX(Transactions!$J:$J,ROW()-8)="",0,INDEX(Transactions!$O:$O,ROW()-8))</f>
      </c>
    </row>
    <row r="7867" spans="1:7">
      <c r="B7867">
        <f>IF(INDEX(Transactions!$J:$J,ROW()-8)="",TODAY(),INDEX(Transactions!$G:$G,ROW()-8))</f>
      </c>
      <c r="F7867">
        <f>IF(INDEX(Transactions!$J:$J,ROW()-8)="",0,INDEX(Transactions!$O:$O,ROW()-8))</f>
      </c>
    </row>
    <row r="7868" spans="1:7">
      <c r="B7868">
        <f>IF(INDEX(Transactions!$J:$J,ROW()-8)="",TODAY(),INDEX(Transactions!$G:$G,ROW()-8))</f>
      </c>
      <c r="F7868">
        <f>IF(INDEX(Transactions!$J:$J,ROW()-8)="",0,INDEX(Transactions!$O:$O,ROW()-8))</f>
      </c>
    </row>
    <row r="7869" spans="1:7">
      <c r="B7869">
        <f>IF(INDEX(Transactions!$J:$J,ROW()-8)="",TODAY(),INDEX(Transactions!$G:$G,ROW()-8))</f>
      </c>
      <c r="F7869">
        <f>IF(INDEX(Transactions!$J:$J,ROW()-8)="",0,INDEX(Transactions!$O:$O,ROW()-8))</f>
      </c>
    </row>
    <row r="7870" spans="1:7">
      <c r="B7870">
        <f>IF(INDEX(Transactions!$J:$J,ROW()-8)="",TODAY(),INDEX(Transactions!$G:$G,ROW()-8))</f>
      </c>
      <c r="F7870">
        <f>IF(INDEX(Transactions!$J:$J,ROW()-8)="",0,INDEX(Transactions!$O:$O,ROW()-8))</f>
      </c>
    </row>
    <row r="7871" spans="1:7">
      <c r="B7871">
        <f>IF(INDEX(Transactions!$J:$J,ROW()-8)="",TODAY(),INDEX(Transactions!$G:$G,ROW()-8))</f>
      </c>
      <c r="F7871">
        <f>IF(INDEX(Transactions!$J:$J,ROW()-8)="",0,INDEX(Transactions!$O:$O,ROW()-8))</f>
      </c>
    </row>
    <row r="7872" spans="1:7">
      <c r="B7872">
        <f>IF(INDEX(Transactions!$J:$J,ROW()-8)="",TODAY(),INDEX(Transactions!$G:$G,ROW()-8))</f>
      </c>
      <c r="F7872">
        <f>IF(INDEX(Transactions!$J:$J,ROW()-8)="",0,INDEX(Transactions!$O:$O,ROW()-8))</f>
      </c>
    </row>
    <row r="7873" spans="1:7">
      <c r="B7873">
        <f>IF(INDEX(Transactions!$J:$J,ROW()-8)="",TODAY(),INDEX(Transactions!$G:$G,ROW()-8))</f>
      </c>
      <c r="F7873">
        <f>IF(INDEX(Transactions!$J:$J,ROW()-8)="",0,INDEX(Transactions!$O:$O,ROW()-8))</f>
      </c>
    </row>
    <row r="7874" spans="1:7">
      <c r="B7874">
        <f>IF(INDEX(Transactions!$J:$J,ROW()-8)="",TODAY(),INDEX(Transactions!$G:$G,ROW()-8))</f>
      </c>
      <c r="F7874">
        <f>IF(INDEX(Transactions!$J:$J,ROW()-8)="",0,INDEX(Transactions!$O:$O,ROW()-8))</f>
      </c>
    </row>
    <row r="7875" spans="1:7">
      <c r="B7875">
        <f>IF(INDEX(Transactions!$J:$J,ROW()-8)="",TODAY(),INDEX(Transactions!$G:$G,ROW()-8))</f>
      </c>
      <c r="F7875">
        <f>IF(INDEX(Transactions!$J:$J,ROW()-8)="",0,INDEX(Transactions!$O:$O,ROW()-8))</f>
      </c>
    </row>
    <row r="7876" spans="1:7">
      <c r="B7876">
        <f>IF(INDEX(Transactions!$J:$J,ROW()-8)="",TODAY(),INDEX(Transactions!$G:$G,ROW()-8))</f>
      </c>
      <c r="F7876">
        <f>IF(INDEX(Transactions!$J:$J,ROW()-8)="",0,INDEX(Transactions!$O:$O,ROW()-8))</f>
      </c>
    </row>
    <row r="7877" spans="1:7">
      <c r="B7877">
        <f>IF(INDEX(Transactions!$J:$J,ROW()-8)="",TODAY(),INDEX(Transactions!$G:$G,ROW()-8))</f>
      </c>
      <c r="F7877">
        <f>IF(INDEX(Transactions!$J:$J,ROW()-8)="",0,INDEX(Transactions!$O:$O,ROW()-8))</f>
      </c>
    </row>
    <row r="7878" spans="1:7">
      <c r="B7878">
        <f>IF(INDEX(Transactions!$J:$J,ROW()-8)="",TODAY(),INDEX(Transactions!$G:$G,ROW()-8))</f>
      </c>
      <c r="F7878">
        <f>IF(INDEX(Transactions!$J:$J,ROW()-8)="",0,INDEX(Transactions!$O:$O,ROW()-8))</f>
      </c>
    </row>
    <row r="7879" spans="1:7">
      <c r="B7879">
        <f>IF(INDEX(Transactions!$J:$J,ROW()-8)="",TODAY(),INDEX(Transactions!$G:$G,ROW()-8))</f>
      </c>
      <c r="F7879">
        <f>IF(INDEX(Transactions!$J:$J,ROW()-8)="",0,INDEX(Transactions!$O:$O,ROW()-8))</f>
      </c>
    </row>
    <row r="7880" spans="1:7">
      <c r="B7880">
        <f>IF(INDEX(Transactions!$J:$J,ROW()-8)="",TODAY(),INDEX(Transactions!$G:$G,ROW()-8))</f>
      </c>
      <c r="F7880">
        <f>IF(INDEX(Transactions!$J:$J,ROW()-8)="",0,INDEX(Transactions!$O:$O,ROW()-8))</f>
      </c>
    </row>
    <row r="7881" spans="1:7">
      <c r="B7881">
        <f>IF(INDEX(Transactions!$J:$J,ROW()-8)="",TODAY(),INDEX(Transactions!$G:$G,ROW()-8))</f>
      </c>
      <c r="F7881">
        <f>IF(INDEX(Transactions!$J:$J,ROW()-8)="",0,INDEX(Transactions!$O:$O,ROW()-8))</f>
      </c>
    </row>
    <row r="7882" spans="1:7">
      <c r="B7882">
        <f>IF(INDEX(Transactions!$J:$J,ROW()-8)="",TODAY(),INDEX(Transactions!$G:$G,ROW()-8))</f>
      </c>
      <c r="F7882">
        <f>IF(INDEX(Transactions!$J:$J,ROW()-8)="",0,INDEX(Transactions!$O:$O,ROW()-8))</f>
      </c>
    </row>
    <row r="7883" spans="1:7">
      <c r="B7883">
        <f>IF(INDEX(Transactions!$J:$J,ROW()-8)="",TODAY(),INDEX(Transactions!$G:$G,ROW()-8))</f>
      </c>
      <c r="F7883">
        <f>IF(INDEX(Transactions!$J:$J,ROW()-8)="",0,INDEX(Transactions!$O:$O,ROW()-8))</f>
      </c>
    </row>
    <row r="7884" spans="1:7">
      <c r="B7884">
        <f>IF(INDEX(Transactions!$J:$J,ROW()-8)="",TODAY(),INDEX(Transactions!$G:$G,ROW()-8))</f>
      </c>
      <c r="F7884">
        <f>IF(INDEX(Transactions!$J:$J,ROW()-8)="",0,INDEX(Transactions!$O:$O,ROW()-8))</f>
      </c>
    </row>
    <row r="7885" spans="1:7">
      <c r="B7885">
        <f>IF(INDEX(Transactions!$J:$J,ROW()-8)="",TODAY(),INDEX(Transactions!$G:$G,ROW()-8))</f>
      </c>
      <c r="F7885">
        <f>IF(INDEX(Transactions!$J:$J,ROW()-8)="",0,INDEX(Transactions!$O:$O,ROW()-8))</f>
      </c>
    </row>
    <row r="7886" spans="1:7">
      <c r="B7886">
        <f>IF(INDEX(Transactions!$J:$J,ROW()-8)="",TODAY(),INDEX(Transactions!$G:$G,ROW()-8))</f>
      </c>
      <c r="F7886">
        <f>IF(INDEX(Transactions!$J:$J,ROW()-8)="",0,INDEX(Transactions!$O:$O,ROW()-8))</f>
      </c>
    </row>
    <row r="7887" spans="1:7">
      <c r="B7887">
        <f>IF(INDEX(Transactions!$J:$J,ROW()-8)="",TODAY(),INDEX(Transactions!$G:$G,ROW()-8))</f>
      </c>
      <c r="F7887">
        <f>IF(INDEX(Transactions!$J:$J,ROW()-8)="",0,INDEX(Transactions!$O:$O,ROW()-8))</f>
      </c>
    </row>
    <row r="7888" spans="1:7">
      <c r="B7888">
        <f>IF(INDEX(Transactions!$J:$J,ROW()-8)="",TODAY(),INDEX(Transactions!$G:$G,ROW()-8))</f>
      </c>
      <c r="F7888">
        <f>IF(INDEX(Transactions!$J:$J,ROW()-8)="",0,INDEX(Transactions!$O:$O,ROW()-8))</f>
      </c>
    </row>
    <row r="7889" spans="1:7">
      <c r="B7889">
        <f>IF(INDEX(Transactions!$J:$J,ROW()-8)="",TODAY(),INDEX(Transactions!$G:$G,ROW()-8))</f>
      </c>
      <c r="F7889">
        <f>IF(INDEX(Transactions!$J:$J,ROW()-8)="",0,INDEX(Transactions!$O:$O,ROW()-8))</f>
      </c>
    </row>
    <row r="7890" spans="1:7">
      <c r="B7890">
        <f>IF(INDEX(Transactions!$J:$J,ROW()-8)="",TODAY(),INDEX(Transactions!$G:$G,ROW()-8))</f>
      </c>
      <c r="F7890">
        <f>IF(INDEX(Transactions!$J:$J,ROW()-8)="",0,INDEX(Transactions!$O:$O,ROW()-8))</f>
      </c>
    </row>
    <row r="7891" spans="1:7">
      <c r="B7891">
        <f>IF(INDEX(Transactions!$J:$J,ROW()-8)="",TODAY(),INDEX(Transactions!$G:$G,ROW()-8))</f>
      </c>
      <c r="F7891">
        <f>IF(INDEX(Transactions!$J:$J,ROW()-8)="",0,INDEX(Transactions!$O:$O,ROW()-8))</f>
      </c>
    </row>
    <row r="7892" spans="1:7">
      <c r="B7892">
        <f>IF(INDEX(Transactions!$J:$J,ROW()-8)="",TODAY(),INDEX(Transactions!$G:$G,ROW()-8))</f>
      </c>
      <c r="F7892">
        <f>IF(INDEX(Transactions!$J:$J,ROW()-8)="",0,INDEX(Transactions!$O:$O,ROW()-8))</f>
      </c>
    </row>
    <row r="7893" spans="1:7">
      <c r="B7893">
        <f>IF(INDEX(Transactions!$J:$J,ROW()-8)="",TODAY(),INDEX(Transactions!$G:$G,ROW()-8))</f>
      </c>
      <c r="F7893">
        <f>IF(INDEX(Transactions!$J:$J,ROW()-8)="",0,INDEX(Transactions!$O:$O,ROW()-8))</f>
      </c>
    </row>
    <row r="7894" spans="1:7">
      <c r="B7894">
        <f>IF(INDEX(Transactions!$J:$J,ROW()-8)="",TODAY(),INDEX(Transactions!$G:$G,ROW()-8))</f>
      </c>
      <c r="F7894">
        <f>IF(INDEX(Transactions!$J:$J,ROW()-8)="",0,INDEX(Transactions!$O:$O,ROW()-8))</f>
      </c>
    </row>
    <row r="7895" spans="1:7">
      <c r="B7895">
        <f>IF(INDEX(Transactions!$J:$J,ROW()-8)="",TODAY(),INDEX(Transactions!$G:$G,ROW()-8))</f>
      </c>
      <c r="F7895">
        <f>IF(INDEX(Transactions!$J:$J,ROW()-8)="",0,INDEX(Transactions!$O:$O,ROW()-8))</f>
      </c>
    </row>
    <row r="7896" spans="1:7">
      <c r="B7896">
        <f>IF(INDEX(Transactions!$J:$J,ROW()-8)="",TODAY(),INDEX(Transactions!$G:$G,ROW()-8))</f>
      </c>
      <c r="F7896">
        <f>IF(INDEX(Transactions!$J:$J,ROW()-8)="",0,INDEX(Transactions!$O:$O,ROW()-8))</f>
      </c>
    </row>
    <row r="7897" spans="1:7">
      <c r="B7897">
        <f>IF(INDEX(Transactions!$J:$J,ROW()-8)="",TODAY(),INDEX(Transactions!$G:$G,ROW()-8))</f>
      </c>
      <c r="F7897">
        <f>IF(INDEX(Transactions!$J:$J,ROW()-8)="",0,INDEX(Transactions!$O:$O,ROW()-8))</f>
      </c>
    </row>
    <row r="7898" spans="1:7">
      <c r="B7898">
        <f>IF(INDEX(Transactions!$J:$J,ROW()-8)="",TODAY(),INDEX(Transactions!$G:$G,ROW()-8))</f>
      </c>
      <c r="F7898">
        <f>IF(INDEX(Transactions!$J:$J,ROW()-8)="",0,INDEX(Transactions!$O:$O,ROW()-8))</f>
      </c>
    </row>
    <row r="7899" spans="1:7">
      <c r="B7899">
        <f>IF(INDEX(Transactions!$J:$J,ROW()-8)="",TODAY(),INDEX(Transactions!$G:$G,ROW()-8))</f>
      </c>
      <c r="F7899">
        <f>IF(INDEX(Transactions!$J:$J,ROW()-8)="",0,INDEX(Transactions!$O:$O,ROW()-8))</f>
      </c>
    </row>
    <row r="7900" spans="1:7">
      <c r="B7900">
        <f>IF(INDEX(Transactions!$J:$J,ROW()-8)="",TODAY(),INDEX(Transactions!$G:$G,ROW()-8))</f>
      </c>
      <c r="F7900">
        <f>IF(INDEX(Transactions!$J:$J,ROW()-8)="",0,INDEX(Transactions!$O:$O,ROW()-8))</f>
      </c>
    </row>
    <row r="7901" spans="1:7">
      <c r="B7901">
        <f>IF(INDEX(Transactions!$J:$J,ROW()-8)="",TODAY(),INDEX(Transactions!$G:$G,ROW()-8))</f>
      </c>
      <c r="F7901">
        <f>IF(INDEX(Transactions!$J:$J,ROW()-8)="",0,INDEX(Transactions!$O:$O,ROW()-8))</f>
      </c>
    </row>
    <row r="7902" spans="1:7">
      <c r="B7902">
        <f>IF(INDEX(Transactions!$J:$J,ROW()-8)="",TODAY(),INDEX(Transactions!$G:$G,ROW()-8))</f>
      </c>
      <c r="F7902">
        <f>IF(INDEX(Transactions!$J:$J,ROW()-8)="",0,INDEX(Transactions!$O:$O,ROW()-8))</f>
      </c>
    </row>
    <row r="7903" spans="1:7">
      <c r="B7903">
        <f>IF(INDEX(Transactions!$J:$J,ROW()-8)="",TODAY(),INDEX(Transactions!$G:$G,ROW()-8))</f>
      </c>
      <c r="F7903">
        <f>IF(INDEX(Transactions!$J:$J,ROW()-8)="",0,INDEX(Transactions!$O:$O,ROW()-8))</f>
      </c>
    </row>
    <row r="7904" spans="1:7">
      <c r="B7904">
        <f>IF(INDEX(Transactions!$J:$J,ROW()-8)="",TODAY(),INDEX(Transactions!$G:$G,ROW()-8))</f>
      </c>
      <c r="F7904">
        <f>IF(INDEX(Transactions!$J:$J,ROW()-8)="",0,INDEX(Transactions!$O:$O,ROW()-8))</f>
      </c>
    </row>
    <row r="7905" spans="1:7">
      <c r="B7905">
        <f>IF(INDEX(Transactions!$J:$J,ROW()-8)="",TODAY(),INDEX(Transactions!$G:$G,ROW()-8))</f>
      </c>
      <c r="F7905">
        <f>IF(INDEX(Transactions!$J:$J,ROW()-8)="",0,INDEX(Transactions!$O:$O,ROW()-8))</f>
      </c>
    </row>
    <row r="7906" spans="1:7">
      <c r="B7906">
        <f>IF(INDEX(Transactions!$J:$J,ROW()-8)="",TODAY(),INDEX(Transactions!$G:$G,ROW()-8))</f>
      </c>
      <c r="F7906">
        <f>IF(INDEX(Transactions!$J:$J,ROW()-8)="",0,INDEX(Transactions!$O:$O,ROW()-8))</f>
      </c>
    </row>
    <row r="7907" spans="1:7">
      <c r="B7907">
        <f>IF(INDEX(Transactions!$J:$J,ROW()-8)="",TODAY(),INDEX(Transactions!$G:$G,ROW()-8))</f>
      </c>
      <c r="F7907">
        <f>IF(INDEX(Transactions!$J:$J,ROW()-8)="",0,INDEX(Transactions!$O:$O,ROW()-8))</f>
      </c>
    </row>
    <row r="7908" spans="1:7">
      <c r="B7908">
        <f>IF(INDEX(Transactions!$J:$J,ROW()-8)="",TODAY(),INDEX(Transactions!$G:$G,ROW()-8))</f>
      </c>
      <c r="F7908">
        <f>IF(INDEX(Transactions!$J:$J,ROW()-8)="",0,INDEX(Transactions!$O:$O,ROW()-8))</f>
      </c>
    </row>
    <row r="7909" spans="1:7">
      <c r="B7909">
        <f>IF(INDEX(Transactions!$J:$J,ROW()-8)="",TODAY(),INDEX(Transactions!$G:$G,ROW()-8))</f>
      </c>
      <c r="F7909">
        <f>IF(INDEX(Transactions!$J:$J,ROW()-8)="",0,INDEX(Transactions!$O:$O,ROW()-8))</f>
      </c>
    </row>
    <row r="7910" spans="1:7">
      <c r="B7910">
        <f>IF(INDEX(Transactions!$J:$J,ROW()-8)="",TODAY(),INDEX(Transactions!$G:$G,ROW()-8))</f>
      </c>
      <c r="F7910">
        <f>IF(INDEX(Transactions!$J:$J,ROW()-8)="",0,INDEX(Transactions!$O:$O,ROW()-8))</f>
      </c>
    </row>
    <row r="7911" spans="1:7">
      <c r="B7911">
        <f>IF(INDEX(Transactions!$J:$J,ROW()-8)="",TODAY(),INDEX(Transactions!$G:$G,ROW()-8))</f>
      </c>
      <c r="F7911">
        <f>IF(INDEX(Transactions!$J:$J,ROW()-8)="",0,INDEX(Transactions!$O:$O,ROW()-8))</f>
      </c>
    </row>
    <row r="7912" spans="1:7">
      <c r="B7912">
        <f>IF(INDEX(Transactions!$J:$J,ROW()-8)="",TODAY(),INDEX(Transactions!$G:$G,ROW()-8))</f>
      </c>
      <c r="F7912">
        <f>IF(INDEX(Transactions!$J:$J,ROW()-8)="",0,INDEX(Transactions!$O:$O,ROW()-8))</f>
      </c>
    </row>
    <row r="7913" spans="1:7">
      <c r="B7913">
        <f>IF(INDEX(Transactions!$J:$J,ROW()-8)="",TODAY(),INDEX(Transactions!$G:$G,ROW()-8))</f>
      </c>
      <c r="F7913">
        <f>IF(INDEX(Transactions!$J:$J,ROW()-8)="",0,INDEX(Transactions!$O:$O,ROW()-8))</f>
      </c>
    </row>
    <row r="7914" spans="1:7">
      <c r="B7914">
        <f>IF(INDEX(Transactions!$J:$J,ROW()-8)="",TODAY(),INDEX(Transactions!$G:$G,ROW()-8))</f>
      </c>
      <c r="F7914">
        <f>IF(INDEX(Transactions!$J:$J,ROW()-8)="",0,INDEX(Transactions!$O:$O,ROW()-8))</f>
      </c>
    </row>
    <row r="7915" spans="1:7">
      <c r="B7915">
        <f>IF(INDEX(Transactions!$J:$J,ROW()-8)="",TODAY(),INDEX(Transactions!$G:$G,ROW()-8))</f>
      </c>
      <c r="F7915">
        <f>IF(INDEX(Transactions!$J:$J,ROW()-8)="",0,INDEX(Transactions!$O:$O,ROW()-8))</f>
      </c>
    </row>
    <row r="7916" spans="1:7">
      <c r="B7916">
        <f>IF(INDEX(Transactions!$J:$J,ROW()-8)="",TODAY(),INDEX(Transactions!$G:$G,ROW()-8))</f>
      </c>
      <c r="F7916">
        <f>IF(INDEX(Transactions!$J:$J,ROW()-8)="",0,INDEX(Transactions!$O:$O,ROW()-8))</f>
      </c>
    </row>
    <row r="7917" spans="1:7">
      <c r="B7917">
        <f>IF(INDEX(Transactions!$J:$J,ROW()-8)="",TODAY(),INDEX(Transactions!$G:$G,ROW()-8))</f>
      </c>
      <c r="F7917">
        <f>IF(INDEX(Transactions!$J:$J,ROW()-8)="",0,INDEX(Transactions!$O:$O,ROW()-8))</f>
      </c>
    </row>
    <row r="7918" spans="1:7">
      <c r="B7918">
        <f>IF(INDEX(Transactions!$J:$J,ROW()-8)="",TODAY(),INDEX(Transactions!$G:$G,ROW()-8))</f>
      </c>
      <c r="F7918">
        <f>IF(INDEX(Transactions!$J:$J,ROW()-8)="",0,INDEX(Transactions!$O:$O,ROW()-8))</f>
      </c>
    </row>
    <row r="7919" spans="1:7">
      <c r="B7919">
        <f>IF(INDEX(Transactions!$J:$J,ROW()-8)="",TODAY(),INDEX(Transactions!$G:$G,ROW()-8))</f>
      </c>
      <c r="F7919">
        <f>IF(INDEX(Transactions!$J:$J,ROW()-8)="",0,INDEX(Transactions!$O:$O,ROW()-8))</f>
      </c>
    </row>
    <row r="7920" spans="1:7">
      <c r="B7920">
        <f>IF(INDEX(Transactions!$J:$J,ROW()-8)="",TODAY(),INDEX(Transactions!$G:$G,ROW()-8))</f>
      </c>
      <c r="F7920">
        <f>IF(INDEX(Transactions!$J:$J,ROW()-8)="",0,INDEX(Transactions!$O:$O,ROW()-8))</f>
      </c>
    </row>
    <row r="7921" spans="1:7">
      <c r="B7921">
        <f>IF(INDEX(Transactions!$J:$J,ROW()-8)="",TODAY(),INDEX(Transactions!$G:$G,ROW()-8))</f>
      </c>
      <c r="F7921">
        <f>IF(INDEX(Transactions!$J:$J,ROW()-8)="",0,INDEX(Transactions!$O:$O,ROW()-8))</f>
      </c>
    </row>
    <row r="7922" spans="1:7">
      <c r="B7922">
        <f>IF(INDEX(Transactions!$J:$J,ROW()-8)="",TODAY(),INDEX(Transactions!$G:$G,ROW()-8))</f>
      </c>
      <c r="F7922">
        <f>IF(INDEX(Transactions!$J:$J,ROW()-8)="",0,INDEX(Transactions!$O:$O,ROW()-8))</f>
      </c>
    </row>
    <row r="7923" spans="1:7">
      <c r="B7923">
        <f>IF(INDEX(Transactions!$J:$J,ROW()-8)="",TODAY(),INDEX(Transactions!$G:$G,ROW()-8))</f>
      </c>
      <c r="F7923">
        <f>IF(INDEX(Transactions!$J:$J,ROW()-8)="",0,INDEX(Transactions!$O:$O,ROW()-8))</f>
      </c>
    </row>
    <row r="7924" spans="1:7">
      <c r="B7924">
        <f>IF(INDEX(Transactions!$J:$J,ROW()-8)="",TODAY(),INDEX(Transactions!$G:$G,ROW()-8))</f>
      </c>
      <c r="F7924">
        <f>IF(INDEX(Transactions!$J:$J,ROW()-8)="",0,INDEX(Transactions!$O:$O,ROW()-8))</f>
      </c>
    </row>
    <row r="7925" spans="1:7">
      <c r="B7925">
        <f>IF(INDEX(Transactions!$J:$J,ROW()-8)="",TODAY(),INDEX(Transactions!$G:$G,ROW()-8))</f>
      </c>
      <c r="F7925">
        <f>IF(INDEX(Transactions!$J:$J,ROW()-8)="",0,INDEX(Transactions!$O:$O,ROW()-8))</f>
      </c>
    </row>
    <row r="7926" spans="1:7">
      <c r="B7926">
        <f>IF(INDEX(Transactions!$J:$J,ROW()-8)="",TODAY(),INDEX(Transactions!$G:$G,ROW()-8))</f>
      </c>
      <c r="F7926">
        <f>IF(INDEX(Transactions!$J:$J,ROW()-8)="",0,INDEX(Transactions!$O:$O,ROW()-8))</f>
      </c>
    </row>
    <row r="7927" spans="1:7">
      <c r="B7927">
        <f>IF(INDEX(Transactions!$J:$J,ROW()-8)="",TODAY(),INDEX(Transactions!$G:$G,ROW()-8))</f>
      </c>
      <c r="F7927">
        <f>IF(INDEX(Transactions!$J:$J,ROW()-8)="",0,INDEX(Transactions!$O:$O,ROW()-8))</f>
      </c>
    </row>
    <row r="7928" spans="1:7">
      <c r="B7928">
        <f>IF(INDEX(Transactions!$J:$J,ROW()-8)="",TODAY(),INDEX(Transactions!$G:$G,ROW()-8))</f>
      </c>
      <c r="F7928">
        <f>IF(INDEX(Transactions!$J:$J,ROW()-8)="",0,INDEX(Transactions!$O:$O,ROW()-8))</f>
      </c>
    </row>
    <row r="7929" spans="1:7">
      <c r="B7929">
        <f>IF(INDEX(Transactions!$J:$J,ROW()-8)="",TODAY(),INDEX(Transactions!$G:$G,ROW()-8))</f>
      </c>
      <c r="F7929">
        <f>IF(INDEX(Transactions!$J:$J,ROW()-8)="",0,INDEX(Transactions!$O:$O,ROW()-8))</f>
      </c>
    </row>
    <row r="7930" spans="1:7">
      <c r="B7930">
        <f>IF(INDEX(Transactions!$J:$J,ROW()-8)="",TODAY(),INDEX(Transactions!$G:$G,ROW()-8))</f>
      </c>
      <c r="F7930">
        <f>IF(INDEX(Transactions!$J:$J,ROW()-8)="",0,INDEX(Transactions!$O:$O,ROW()-8))</f>
      </c>
    </row>
    <row r="7931" spans="1:7">
      <c r="B7931">
        <f>IF(INDEX(Transactions!$J:$J,ROW()-8)="",TODAY(),INDEX(Transactions!$G:$G,ROW()-8))</f>
      </c>
      <c r="F7931">
        <f>IF(INDEX(Transactions!$J:$J,ROW()-8)="",0,INDEX(Transactions!$O:$O,ROW()-8))</f>
      </c>
    </row>
    <row r="7932" spans="1:7">
      <c r="B7932">
        <f>IF(INDEX(Transactions!$J:$J,ROW()-8)="",TODAY(),INDEX(Transactions!$G:$G,ROW()-8))</f>
      </c>
      <c r="F7932">
        <f>IF(INDEX(Transactions!$J:$J,ROW()-8)="",0,INDEX(Transactions!$O:$O,ROW()-8))</f>
      </c>
    </row>
    <row r="7933" spans="1:7">
      <c r="B7933">
        <f>IF(INDEX(Transactions!$J:$J,ROW()-8)="",TODAY(),INDEX(Transactions!$G:$G,ROW()-8))</f>
      </c>
      <c r="F7933">
        <f>IF(INDEX(Transactions!$J:$J,ROW()-8)="",0,INDEX(Transactions!$O:$O,ROW()-8))</f>
      </c>
    </row>
    <row r="7934" spans="1:7">
      <c r="B7934">
        <f>IF(INDEX(Transactions!$J:$J,ROW()-8)="",TODAY(),INDEX(Transactions!$G:$G,ROW()-8))</f>
      </c>
      <c r="F7934">
        <f>IF(INDEX(Transactions!$J:$J,ROW()-8)="",0,INDEX(Transactions!$O:$O,ROW()-8))</f>
      </c>
    </row>
    <row r="7935" spans="1:7">
      <c r="B7935">
        <f>IF(INDEX(Transactions!$J:$J,ROW()-8)="",TODAY(),INDEX(Transactions!$G:$G,ROW()-8))</f>
      </c>
      <c r="F7935">
        <f>IF(INDEX(Transactions!$J:$J,ROW()-8)="",0,INDEX(Transactions!$O:$O,ROW()-8))</f>
      </c>
    </row>
    <row r="7936" spans="1:7">
      <c r="B7936">
        <f>IF(INDEX(Transactions!$J:$J,ROW()-8)="",TODAY(),INDEX(Transactions!$G:$G,ROW()-8))</f>
      </c>
      <c r="F7936">
        <f>IF(INDEX(Transactions!$J:$J,ROW()-8)="",0,INDEX(Transactions!$O:$O,ROW()-8))</f>
      </c>
    </row>
    <row r="7937" spans="1:7">
      <c r="B7937">
        <f>IF(INDEX(Transactions!$J:$J,ROW()-8)="",TODAY(),INDEX(Transactions!$G:$G,ROW()-8))</f>
      </c>
      <c r="F7937">
        <f>IF(INDEX(Transactions!$J:$J,ROW()-8)="",0,INDEX(Transactions!$O:$O,ROW()-8))</f>
      </c>
    </row>
    <row r="7938" spans="1:7">
      <c r="B7938">
        <f>IF(INDEX(Transactions!$J:$J,ROW()-8)="",TODAY(),INDEX(Transactions!$G:$G,ROW()-8))</f>
      </c>
      <c r="F7938">
        <f>IF(INDEX(Transactions!$J:$J,ROW()-8)="",0,INDEX(Transactions!$O:$O,ROW()-8))</f>
      </c>
    </row>
    <row r="7939" spans="1:7">
      <c r="B7939">
        <f>IF(INDEX(Transactions!$J:$J,ROW()-8)="",TODAY(),INDEX(Transactions!$G:$G,ROW()-8))</f>
      </c>
      <c r="F7939">
        <f>IF(INDEX(Transactions!$J:$J,ROW()-8)="",0,INDEX(Transactions!$O:$O,ROW()-8))</f>
      </c>
    </row>
    <row r="7940" spans="1:7">
      <c r="B7940">
        <f>IF(INDEX(Transactions!$J:$J,ROW()-8)="",TODAY(),INDEX(Transactions!$G:$G,ROW()-8))</f>
      </c>
      <c r="F7940">
        <f>IF(INDEX(Transactions!$J:$J,ROW()-8)="",0,INDEX(Transactions!$O:$O,ROW()-8))</f>
      </c>
    </row>
    <row r="7941" spans="1:7">
      <c r="B7941">
        <f>IF(INDEX(Transactions!$J:$J,ROW()-8)="",TODAY(),INDEX(Transactions!$G:$G,ROW()-8))</f>
      </c>
      <c r="F7941">
        <f>IF(INDEX(Transactions!$J:$J,ROW()-8)="",0,INDEX(Transactions!$O:$O,ROW()-8))</f>
      </c>
    </row>
    <row r="7942" spans="1:7">
      <c r="B7942">
        <f>IF(INDEX(Transactions!$J:$J,ROW()-8)="",TODAY(),INDEX(Transactions!$G:$G,ROW()-8))</f>
      </c>
      <c r="F7942">
        <f>IF(INDEX(Transactions!$J:$J,ROW()-8)="",0,INDEX(Transactions!$O:$O,ROW()-8))</f>
      </c>
    </row>
    <row r="7943" spans="1:7">
      <c r="B7943">
        <f>IF(INDEX(Transactions!$J:$J,ROW()-8)="",TODAY(),INDEX(Transactions!$G:$G,ROW()-8))</f>
      </c>
      <c r="F7943">
        <f>IF(INDEX(Transactions!$J:$J,ROW()-8)="",0,INDEX(Transactions!$O:$O,ROW()-8))</f>
      </c>
    </row>
    <row r="7944" spans="1:7">
      <c r="B7944">
        <f>IF(INDEX(Transactions!$J:$J,ROW()-8)="",TODAY(),INDEX(Transactions!$G:$G,ROW()-8))</f>
      </c>
      <c r="F7944">
        <f>IF(INDEX(Transactions!$J:$J,ROW()-8)="",0,INDEX(Transactions!$O:$O,ROW()-8))</f>
      </c>
    </row>
    <row r="7945" spans="1:7">
      <c r="B7945">
        <f>IF(INDEX(Transactions!$J:$J,ROW()-8)="",TODAY(),INDEX(Transactions!$G:$G,ROW()-8))</f>
      </c>
      <c r="F7945">
        <f>IF(INDEX(Transactions!$J:$J,ROW()-8)="",0,INDEX(Transactions!$O:$O,ROW()-8))</f>
      </c>
    </row>
    <row r="7946" spans="1:7">
      <c r="B7946">
        <f>IF(INDEX(Transactions!$J:$J,ROW()-8)="",TODAY(),INDEX(Transactions!$G:$G,ROW()-8))</f>
      </c>
      <c r="F7946">
        <f>IF(INDEX(Transactions!$J:$J,ROW()-8)="",0,INDEX(Transactions!$O:$O,ROW()-8))</f>
      </c>
    </row>
    <row r="7947" spans="1:7">
      <c r="B7947">
        <f>IF(INDEX(Transactions!$J:$J,ROW()-8)="",TODAY(),INDEX(Transactions!$G:$G,ROW()-8))</f>
      </c>
      <c r="F7947">
        <f>IF(INDEX(Transactions!$J:$J,ROW()-8)="",0,INDEX(Transactions!$O:$O,ROW()-8))</f>
      </c>
    </row>
    <row r="7948" spans="1:7">
      <c r="B7948">
        <f>IF(INDEX(Transactions!$J:$J,ROW()-8)="",TODAY(),INDEX(Transactions!$G:$G,ROW()-8))</f>
      </c>
      <c r="F7948">
        <f>IF(INDEX(Transactions!$J:$J,ROW()-8)="",0,INDEX(Transactions!$O:$O,ROW()-8))</f>
      </c>
    </row>
    <row r="7949" spans="1:7">
      <c r="B7949">
        <f>IF(INDEX(Transactions!$J:$J,ROW()-8)="",TODAY(),INDEX(Transactions!$G:$G,ROW()-8))</f>
      </c>
      <c r="F7949">
        <f>IF(INDEX(Transactions!$J:$J,ROW()-8)="",0,INDEX(Transactions!$O:$O,ROW()-8))</f>
      </c>
    </row>
    <row r="7950" spans="1:7">
      <c r="B7950">
        <f>IF(INDEX(Transactions!$J:$J,ROW()-8)="",TODAY(),INDEX(Transactions!$G:$G,ROW()-8))</f>
      </c>
      <c r="F7950">
        <f>IF(INDEX(Transactions!$J:$J,ROW()-8)="",0,INDEX(Transactions!$O:$O,ROW()-8))</f>
      </c>
    </row>
    <row r="7951" spans="1:7">
      <c r="B7951">
        <f>IF(INDEX(Transactions!$J:$J,ROW()-8)="",TODAY(),INDEX(Transactions!$G:$G,ROW()-8))</f>
      </c>
      <c r="F7951">
        <f>IF(INDEX(Transactions!$J:$J,ROW()-8)="",0,INDEX(Transactions!$O:$O,ROW()-8))</f>
      </c>
    </row>
    <row r="7952" spans="1:7">
      <c r="B7952">
        <f>IF(INDEX(Transactions!$J:$J,ROW()-8)="",TODAY(),INDEX(Transactions!$G:$G,ROW()-8))</f>
      </c>
      <c r="F7952">
        <f>IF(INDEX(Transactions!$J:$J,ROW()-8)="",0,INDEX(Transactions!$O:$O,ROW()-8))</f>
      </c>
    </row>
    <row r="7953" spans="1:7">
      <c r="B7953">
        <f>IF(INDEX(Transactions!$J:$J,ROW()-8)="",TODAY(),INDEX(Transactions!$G:$G,ROW()-8))</f>
      </c>
      <c r="F7953">
        <f>IF(INDEX(Transactions!$J:$J,ROW()-8)="",0,INDEX(Transactions!$O:$O,ROW()-8))</f>
      </c>
    </row>
    <row r="7954" spans="1:7">
      <c r="B7954">
        <f>IF(INDEX(Transactions!$J:$J,ROW()-8)="",TODAY(),INDEX(Transactions!$G:$G,ROW()-8))</f>
      </c>
      <c r="F7954">
        <f>IF(INDEX(Transactions!$J:$J,ROW()-8)="",0,INDEX(Transactions!$O:$O,ROW()-8))</f>
      </c>
    </row>
    <row r="7955" spans="1:7">
      <c r="B7955">
        <f>IF(INDEX(Transactions!$J:$J,ROW()-8)="",TODAY(),INDEX(Transactions!$G:$G,ROW()-8))</f>
      </c>
      <c r="F7955">
        <f>IF(INDEX(Transactions!$J:$J,ROW()-8)="",0,INDEX(Transactions!$O:$O,ROW()-8))</f>
      </c>
    </row>
    <row r="7956" spans="1:7">
      <c r="B7956">
        <f>IF(INDEX(Transactions!$J:$J,ROW()-8)="",TODAY(),INDEX(Transactions!$G:$G,ROW()-8))</f>
      </c>
      <c r="F7956">
        <f>IF(INDEX(Transactions!$J:$J,ROW()-8)="",0,INDEX(Transactions!$O:$O,ROW()-8))</f>
      </c>
    </row>
    <row r="7957" spans="1:7">
      <c r="B7957">
        <f>IF(INDEX(Transactions!$J:$J,ROW()-8)="",TODAY(),INDEX(Transactions!$G:$G,ROW()-8))</f>
      </c>
      <c r="F7957">
        <f>IF(INDEX(Transactions!$J:$J,ROW()-8)="",0,INDEX(Transactions!$O:$O,ROW()-8))</f>
      </c>
    </row>
    <row r="7958" spans="1:7">
      <c r="B7958">
        <f>IF(INDEX(Transactions!$J:$J,ROW()-8)="",TODAY(),INDEX(Transactions!$G:$G,ROW()-8))</f>
      </c>
      <c r="F7958">
        <f>IF(INDEX(Transactions!$J:$J,ROW()-8)="",0,INDEX(Transactions!$O:$O,ROW()-8))</f>
      </c>
    </row>
    <row r="7959" spans="1:7">
      <c r="B7959">
        <f>IF(INDEX(Transactions!$J:$J,ROW()-8)="",TODAY(),INDEX(Transactions!$G:$G,ROW()-8))</f>
      </c>
      <c r="F7959">
        <f>IF(INDEX(Transactions!$J:$J,ROW()-8)="",0,INDEX(Transactions!$O:$O,ROW()-8))</f>
      </c>
    </row>
    <row r="7960" spans="1:7">
      <c r="B7960">
        <f>IF(INDEX(Transactions!$J:$J,ROW()-8)="",TODAY(),INDEX(Transactions!$G:$G,ROW()-8))</f>
      </c>
      <c r="F7960">
        <f>IF(INDEX(Transactions!$J:$J,ROW()-8)="",0,INDEX(Transactions!$O:$O,ROW()-8))</f>
      </c>
    </row>
    <row r="7961" spans="1:7">
      <c r="B7961">
        <f>IF(INDEX(Transactions!$J:$J,ROW()-8)="",TODAY(),INDEX(Transactions!$G:$G,ROW()-8))</f>
      </c>
      <c r="F7961">
        <f>IF(INDEX(Transactions!$J:$J,ROW()-8)="",0,INDEX(Transactions!$O:$O,ROW()-8))</f>
      </c>
    </row>
    <row r="7962" spans="1:7">
      <c r="B7962">
        <f>IF(INDEX(Transactions!$J:$J,ROW()-8)="",TODAY(),INDEX(Transactions!$G:$G,ROW()-8))</f>
      </c>
      <c r="F7962">
        <f>IF(INDEX(Transactions!$J:$J,ROW()-8)="",0,INDEX(Transactions!$O:$O,ROW()-8))</f>
      </c>
    </row>
    <row r="7963" spans="1:7">
      <c r="B7963">
        <f>IF(INDEX(Transactions!$J:$J,ROW()-8)="",TODAY(),INDEX(Transactions!$G:$G,ROW()-8))</f>
      </c>
      <c r="F7963">
        <f>IF(INDEX(Transactions!$J:$J,ROW()-8)="",0,INDEX(Transactions!$O:$O,ROW()-8))</f>
      </c>
    </row>
    <row r="7964" spans="1:7">
      <c r="B7964">
        <f>IF(INDEX(Transactions!$J:$J,ROW()-8)="",TODAY(),INDEX(Transactions!$G:$G,ROW()-8))</f>
      </c>
      <c r="F7964">
        <f>IF(INDEX(Transactions!$J:$J,ROW()-8)="",0,INDEX(Transactions!$O:$O,ROW()-8))</f>
      </c>
    </row>
    <row r="7965" spans="1:7">
      <c r="B7965">
        <f>IF(INDEX(Transactions!$J:$J,ROW()-8)="",TODAY(),INDEX(Transactions!$G:$G,ROW()-8))</f>
      </c>
      <c r="F7965">
        <f>IF(INDEX(Transactions!$J:$J,ROW()-8)="",0,INDEX(Transactions!$O:$O,ROW()-8))</f>
      </c>
    </row>
    <row r="7966" spans="1:7">
      <c r="B7966">
        <f>IF(INDEX(Transactions!$J:$J,ROW()-8)="",TODAY(),INDEX(Transactions!$G:$G,ROW()-8))</f>
      </c>
      <c r="F7966">
        <f>IF(INDEX(Transactions!$J:$J,ROW()-8)="",0,INDEX(Transactions!$O:$O,ROW()-8))</f>
      </c>
    </row>
    <row r="7967" spans="1:7">
      <c r="B7967">
        <f>IF(INDEX(Transactions!$J:$J,ROW()-8)="",TODAY(),INDEX(Transactions!$G:$G,ROW()-8))</f>
      </c>
      <c r="F7967">
        <f>IF(INDEX(Transactions!$J:$J,ROW()-8)="",0,INDEX(Transactions!$O:$O,ROW()-8))</f>
      </c>
    </row>
    <row r="7968" spans="1:7">
      <c r="B7968">
        <f>IF(INDEX(Transactions!$J:$J,ROW()-8)="",TODAY(),INDEX(Transactions!$G:$G,ROW()-8))</f>
      </c>
      <c r="F7968">
        <f>IF(INDEX(Transactions!$J:$J,ROW()-8)="",0,INDEX(Transactions!$O:$O,ROW()-8))</f>
      </c>
    </row>
    <row r="7969" spans="1:7">
      <c r="B7969">
        <f>IF(INDEX(Transactions!$J:$J,ROW()-8)="",TODAY(),INDEX(Transactions!$G:$G,ROW()-8))</f>
      </c>
      <c r="F7969">
        <f>IF(INDEX(Transactions!$J:$J,ROW()-8)="",0,INDEX(Transactions!$O:$O,ROW()-8))</f>
      </c>
    </row>
    <row r="7970" spans="1:7">
      <c r="B7970">
        <f>IF(INDEX(Transactions!$J:$J,ROW()-8)="",TODAY(),INDEX(Transactions!$G:$G,ROW()-8))</f>
      </c>
      <c r="F7970">
        <f>IF(INDEX(Transactions!$J:$J,ROW()-8)="",0,INDEX(Transactions!$O:$O,ROW()-8))</f>
      </c>
    </row>
    <row r="7971" spans="1:7">
      <c r="B7971">
        <f>IF(INDEX(Transactions!$J:$J,ROW()-8)="",TODAY(),INDEX(Transactions!$G:$G,ROW()-8))</f>
      </c>
      <c r="F7971">
        <f>IF(INDEX(Transactions!$J:$J,ROW()-8)="",0,INDEX(Transactions!$O:$O,ROW()-8))</f>
      </c>
    </row>
    <row r="7972" spans="1:7">
      <c r="B7972">
        <f>IF(INDEX(Transactions!$J:$J,ROW()-8)="",TODAY(),INDEX(Transactions!$G:$G,ROW()-8))</f>
      </c>
      <c r="F7972">
        <f>IF(INDEX(Transactions!$J:$J,ROW()-8)="",0,INDEX(Transactions!$O:$O,ROW()-8))</f>
      </c>
    </row>
    <row r="7973" spans="1:7">
      <c r="B7973">
        <f>IF(INDEX(Transactions!$J:$J,ROW()-8)="",TODAY(),INDEX(Transactions!$G:$G,ROW()-8))</f>
      </c>
      <c r="F7973">
        <f>IF(INDEX(Transactions!$J:$J,ROW()-8)="",0,INDEX(Transactions!$O:$O,ROW()-8))</f>
      </c>
    </row>
    <row r="7974" spans="1:7">
      <c r="B7974">
        <f>IF(INDEX(Transactions!$J:$J,ROW()-8)="",TODAY(),INDEX(Transactions!$G:$G,ROW()-8))</f>
      </c>
      <c r="F7974">
        <f>IF(INDEX(Transactions!$J:$J,ROW()-8)="",0,INDEX(Transactions!$O:$O,ROW()-8))</f>
      </c>
    </row>
    <row r="7975" spans="1:7">
      <c r="B7975">
        <f>IF(INDEX(Transactions!$J:$J,ROW()-8)="",TODAY(),INDEX(Transactions!$G:$G,ROW()-8))</f>
      </c>
      <c r="F7975">
        <f>IF(INDEX(Transactions!$J:$J,ROW()-8)="",0,INDEX(Transactions!$O:$O,ROW()-8))</f>
      </c>
    </row>
    <row r="7976" spans="1:7">
      <c r="B7976">
        <f>IF(INDEX(Transactions!$J:$J,ROW()-8)="",TODAY(),INDEX(Transactions!$G:$G,ROW()-8))</f>
      </c>
      <c r="F7976">
        <f>IF(INDEX(Transactions!$J:$J,ROW()-8)="",0,INDEX(Transactions!$O:$O,ROW()-8))</f>
      </c>
    </row>
    <row r="7977" spans="1:7">
      <c r="B7977">
        <f>IF(INDEX(Transactions!$J:$J,ROW()-8)="",TODAY(),INDEX(Transactions!$G:$G,ROW()-8))</f>
      </c>
      <c r="F7977">
        <f>IF(INDEX(Transactions!$J:$J,ROW()-8)="",0,INDEX(Transactions!$O:$O,ROW()-8))</f>
      </c>
    </row>
    <row r="7978" spans="1:7">
      <c r="B7978">
        <f>IF(INDEX(Transactions!$J:$J,ROW()-8)="",TODAY(),INDEX(Transactions!$G:$G,ROW()-8))</f>
      </c>
      <c r="F7978">
        <f>IF(INDEX(Transactions!$J:$J,ROW()-8)="",0,INDEX(Transactions!$O:$O,ROW()-8))</f>
      </c>
    </row>
    <row r="7979" spans="1:7">
      <c r="B7979">
        <f>IF(INDEX(Transactions!$J:$J,ROW()-8)="",TODAY(),INDEX(Transactions!$G:$G,ROW()-8))</f>
      </c>
      <c r="F7979">
        <f>IF(INDEX(Transactions!$J:$J,ROW()-8)="",0,INDEX(Transactions!$O:$O,ROW()-8))</f>
      </c>
    </row>
    <row r="7980" spans="1:7">
      <c r="B7980">
        <f>IF(INDEX(Transactions!$J:$J,ROW()-8)="",TODAY(),INDEX(Transactions!$G:$G,ROW()-8))</f>
      </c>
      <c r="F7980">
        <f>IF(INDEX(Transactions!$J:$J,ROW()-8)="",0,INDEX(Transactions!$O:$O,ROW()-8))</f>
      </c>
    </row>
    <row r="7981" spans="1:7">
      <c r="B7981">
        <f>IF(INDEX(Transactions!$J:$J,ROW()-8)="",TODAY(),INDEX(Transactions!$G:$G,ROW()-8))</f>
      </c>
      <c r="F7981">
        <f>IF(INDEX(Transactions!$J:$J,ROW()-8)="",0,INDEX(Transactions!$O:$O,ROW()-8))</f>
      </c>
    </row>
    <row r="7982" spans="1:7">
      <c r="B7982">
        <f>IF(INDEX(Transactions!$J:$J,ROW()-8)="",TODAY(),INDEX(Transactions!$G:$G,ROW()-8))</f>
      </c>
      <c r="F7982">
        <f>IF(INDEX(Transactions!$J:$J,ROW()-8)="",0,INDEX(Transactions!$O:$O,ROW()-8))</f>
      </c>
    </row>
    <row r="7983" spans="1:7">
      <c r="B7983">
        <f>IF(INDEX(Transactions!$J:$J,ROW()-8)="",TODAY(),INDEX(Transactions!$G:$G,ROW()-8))</f>
      </c>
      <c r="F7983">
        <f>IF(INDEX(Transactions!$J:$J,ROW()-8)="",0,INDEX(Transactions!$O:$O,ROW()-8))</f>
      </c>
    </row>
    <row r="7984" spans="1:7">
      <c r="B7984">
        <f>IF(INDEX(Transactions!$J:$J,ROW()-8)="",TODAY(),INDEX(Transactions!$G:$G,ROW()-8))</f>
      </c>
      <c r="F7984">
        <f>IF(INDEX(Transactions!$J:$J,ROW()-8)="",0,INDEX(Transactions!$O:$O,ROW()-8))</f>
      </c>
    </row>
    <row r="7985" spans="1:7">
      <c r="B7985">
        <f>IF(INDEX(Transactions!$J:$J,ROW()-8)="",TODAY(),INDEX(Transactions!$G:$G,ROW()-8))</f>
      </c>
      <c r="F7985">
        <f>IF(INDEX(Transactions!$J:$J,ROW()-8)="",0,INDEX(Transactions!$O:$O,ROW()-8))</f>
      </c>
    </row>
    <row r="7986" spans="1:7">
      <c r="B7986">
        <f>IF(INDEX(Transactions!$J:$J,ROW()-8)="",TODAY(),INDEX(Transactions!$G:$G,ROW()-8))</f>
      </c>
      <c r="F7986">
        <f>IF(INDEX(Transactions!$J:$J,ROW()-8)="",0,INDEX(Transactions!$O:$O,ROW()-8))</f>
      </c>
    </row>
    <row r="7987" spans="1:7">
      <c r="B7987">
        <f>IF(INDEX(Transactions!$J:$J,ROW()-8)="",TODAY(),INDEX(Transactions!$G:$G,ROW()-8))</f>
      </c>
      <c r="F7987">
        <f>IF(INDEX(Transactions!$J:$J,ROW()-8)="",0,INDEX(Transactions!$O:$O,ROW()-8))</f>
      </c>
    </row>
    <row r="7988" spans="1:7">
      <c r="B7988">
        <f>IF(INDEX(Transactions!$J:$J,ROW()-8)="",TODAY(),INDEX(Transactions!$G:$G,ROW()-8))</f>
      </c>
      <c r="F7988">
        <f>IF(INDEX(Transactions!$J:$J,ROW()-8)="",0,INDEX(Transactions!$O:$O,ROW()-8))</f>
      </c>
    </row>
    <row r="7989" spans="1:7">
      <c r="B7989">
        <f>IF(INDEX(Transactions!$J:$J,ROW()-8)="",TODAY(),INDEX(Transactions!$G:$G,ROW()-8))</f>
      </c>
      <c r="F7989">
        <f>IF(INDEX(Transactions!$J:$J,ROW()-8)="",0,INDEX(Transactions!$O:$O,ROW()-8))</f>
      </c>
    </row>
    <row r="7990" spans="1:7">
      <c r="B7990">
        <f>IF(INDEX(Transactions!$J:$J,ROW()-8)="",TODAY(),INDEX(Transactions!$G:$G,ROW()-8))</f>
      </c>
      <c r="F7990">
        <f>IF(INDEX(Transactions!$J:$J,ROW()-8)="",0,INDEX(Transactions!$O:$O,ROW()-8))</f>
      </c>
    </row>
    <row r="7991" spans="1:7">
      <c r="B7991">
        <f>IF(INDEX(Transactions!$J:$J,ROW()-8)="",TODAY(),INDEX(Transactions!$G:$G,ROW()-8))</f>
      </c>
      <c r="F7991">
        <f>IF(INDEX(Transactions!$J:$J,ROW()-8)="",0,INDEX(Transactions!$O:$O,ROW()-8))</f>
      </c>
    </row>
    <row r="7992" spans="1:7">
      <c r="B7992">
        <f>IF(INDEX(Transactions!$J:$J,ROW()-8)="",TODAY(),INDEX(Transactions!$G:$G,ROW()-8))</f>
      </c>
      <c r="F7992">
        <f>IF(INDEX(Transactions!$J:$J,ROW()-8)="",0,INDEX(Transactions!$O:$O,ROW()-8))</f>
      </c>
    </row>
    <row r="7993" spans="1:7">
      <c r="B7993">
        <f>IF(INDEX(Transactions!$J:$J,ROW()-8)="",TODAY(),INDEX(Transactions!$G:$G,ROW()-8))</f>
      </c>
      <c r="F7993">
        <f>IF(INDEX(Transactions!$J:$J,ROW()-8)="",0,INDEX(Transactions!$O:$O,ROW()-8))</f>
      </c>
    </row>
    <row r="7994" spans="1:7">
      <c r="B7994">
        <f>IF(INDEX(Transactions!$J:$J,ROW()-8)="",TODAY(),INDEX(Transactions!$G:$G,ROW()-8))</f>
      </c>
      <c r="F7994">
        <f>IF(INDEX(Transactions!$J:$J,ROW()-8)="",0,INDEX(Transactions!$O:$O,ROW()-8))</f>
      </c>
    </row>
    <row r="7995" spans="1:7">
      <c r="B7995">
        <f>IF(INDEX(Transactions!$J:$J,ROW()-8)="",TODAY(),INDEX(Transactions!$G:$G,ROW()-8))</f>
      </c>
      <c r="F7995">
        <f>IF(INDEX(Transactions!$J:$J,ROW()-8)="",0,INDEX(Transactions!$O:$O,ROW()-8))</f>
      </c>
    </row>
    <row r="7996" spans="1:7">
      <c r="B7996">
        <f>IF(INDEX(Transactions!$J:$J,ROW()-8)="",TODAY(),INDEX(Transactions!$G:$G,ROW()-8))</f>
      </c>
      <c r="F7996">
        <f>IF(INDEX(Transactions!$J:$J,ROW()-8)="",0,INDEX(Transactions!$O:$O,ROW()-8))</f>
      </c>
    </row>
    <row r="7997" spans="1:7">
      <c r="B7997">
        <f>IF(INDEX(Transactions!$J:$J,ROW()-8)="",TODAY(),INDEX(Transactions!$G:$G,ROW()-8))</f>
      </c>
      <c r="F7997">
        <f>IF(INDEX(Transactions!$J:$J,ROW()-8)="",0,INDEX(Transactions!$O:$O,ROW()-8))</f>
      </c>
    </row>
    <row r="7998" spans="1:7">
      <c r="B7998">
        <f>IF(INDEX(Transactions!$J:$J,ROW()-8)="",TODAY(),INDEX(Transactions!$G:$G,ROW()-8))</f>
      </c>
      <c r="F7998">
        <f>IF(INDEX(Transactions!$J:$J,ROW()-8)="",0,INDEX(Transactions!$O:$O,ROW()-8))</f>
      </c>
    </row>
    <row r="7999" spans="1:7">
      <c r="B7999">
        <f>IF(INDEX(Transactions!$J:$J,ROW()-8)="",TODAY(),INDEX(Transactions!$G:$G,ROW()-8))</f>
      </c>
      <c r="F7999">
        <f>IF(INDEX(Transactions!$J:$J,ROW()-8)="",0,INDEX(Transactions!$O:$O,ROW()-8))</f>
      </c>
    </row>
    <row r="8000" spans="1:7">
      <c r="B8000">
        <f>IF(INDEX(Transactions!$J:$J,ROW()-8)="",TODAY(),INDEX(Transactions!$G:$G,ROW()-8))</f>
      </c>
      <c r="F8000">
        <f>IF(INDEX(Transactions!$J:$J,ROW()-8)="",0,INDEX(Transactions!$O:$O,ROW()-8))</f>
      </c>
    </row>
    <row r="8001" spans="1:7">
      <c r="B8001">
        <f>IF(INDEX(Transactions!$J:$J,ROW()-8)="",TODAY(),INDEX(Transactions!$G:$G,ROW()-8))</f>
      </c>
      <c r="F8001">
        <f>IF(INDEX(Transactions!$J:$J,ROW()-8)="",0,INDEX(Transactions!$O:$O,ROW()-8))</f>
      </c>
    </row>
    <row r="8002" spans="1:7">
      <c r="B8002">
        <f>IF(INDEX(Transactions!$J:$J,ROW()-8)="",TODAY(),INDEX(Transactions!$G:$G,ROW()-8))</f>
      </c>
      <c r="F8002">
        <f>IF(INDEX(Transactions!$J:$J,ROW()-8)="",0,INDEX(Transactions!$O:$O,ROW()-8))</f>
      </c>
    </row>
    <row r="8003" spans="1:7">
      <c r="B8003">
        <f>IF(INDEX(Transactions!$J:$J,ROW()-8)="",TODAY(),INDEX(Transactions!$G:$G,ROW()-8))</f>
      </c>
      <c r="F8003">
        <f>IF(INDEX(Transactions!$J:$J,ROW()-8)="",0,INDEX(Transactions!$O:$O,ROW()-8))</f>
      </c>
    </row>
    <row r="8004" spans="1:7">
      <c r="B8004">
        <f>IF(INDEX(Transactions!$J:$J,ROW()-8)="",TODAY(),INDEX(Transactions!$G:$G,ROW()-8))</f>
      </c>
      <c r="F8004">
        <f>IF(INDEX(Transactions!$J:$J,ROW()-8)="",0,INDEX(Transactions!$O:$O,ROW()-8))</f>
      </c>
    </row>
    <row r="8005" spans="1:7">
      <c r="B8005">
        <f>IF(INDEX(Transactions!$J:$J,ROW()-8)="",TODAY(),INDEX(Transactions!$G:$G,ROW()-8))</f>
      </c>
      <c r="F8005">
        <f>IF(INDEX(Transactions!$J:$J,ROW()-8)="",0,INDEX(Transactions!$O:$O,ROW()-8))</f>
      </c>
    </row>
    <row r="8006" spans="1:7">
      <c r="B8006">
        <f>IF(INDEX(Transactions!$J:$J,ROW()-8)="",TODAY(),INDEX(Transactions!$G:$G,ROW()-8))</f>
      </c>
      <c r="F8006">
        <f>IF(INDEX(Transactions!$J:$J,ROW()-8)="",0,INDEX(Transactions!$O:$O,ROW()-8))</f>
      </c>
    </row>
    <row r="8007" spans="1:7">
      <c r="B8007">
        <f>IF(INDEX(Transactions!$J:$J,ROW()-8)="",TODAY(),INDEX(Transactions!$G:$G,ROW()-8))</f>
      </c>
      <c r="F8007">
        <f>IF(INDEX(Transactions!$J:$J,ROW()-8)="",0,INDEX(Transactions!$O:$O,ROW()-8))</f>
      </c>
    </row>
    <row r="8008" spans="1:7">
      <c r="B8008">
        <f>IF(INDEX(Transactions!$J:$J,ROW()-8)="",TODAY(),INDEX(Transactions!$G:$G,ROW()-8))</f>
      </c>
      <c r="F8008">
        <f>IF(INDEX(Transactions!$J:$J,ROW()-8)="",0,INDEX(Transactions!$O:$O,ROW()-8))</f>
      </c>
    </row>
    <row r="8009" spans="1:7">
      <c r="B8009">
        <f>IF(INDEX(Transactions!$J:$J,ROW()-8)="",TODAY(),INDEX(Transactions!$G:$G,ROW()-8))</f>
      </c>
      <c r="F8009">
        <f>IF(INDEX(Transactions!$J:$J,ROW()-8)="",0,INDEX(Transactions!$O:$O,ROW()-8))</f>
      </c>
    </row>
    <row r="8010" spans="1:7">
      <c r="B8010">
        <f>IF(INDEX(Transactions!$J:$J,ROW()-8)="",TODAY(),INDEX(Transactions!$G:$G,ROW()-8))</f>
      </c>
      <c r="F8010">
        <f>IF(INDEX(Transactions!$J:$J,ROW()-8)="",0,INDEX(Transactions!$O:$O,ROW()-8))</f>
      </c>
    </row>
    <row r="8011" spans="1:7">
      <c r="B8011">
        <f>IF(INDEX(Transactions!$J:$J,ROW()-8)="",TODAY(),INDEX(Transactions!$G:$G,ROW()-8))</f>
      </c>
      <c r="F8011">
        <f>IF(INDEX(Transactions!$J:$J,ROW()-8)="",0,INDEX(Transactions!$O:$O,ROW()-8))</f>
      </c>
    </row>
    <row r="8012" spans="1:7">
      <c r="B8012">
        <f>IF(INDEX(Transactions!$J:$J,ROW()-8)="",TODAY(),INDEX(Transactions!$G:$G,ROW()-8))</f>
      </c>
      <c r="F8012">
        <f>IF(INDEX(Transactions!$J:$J,ROW()-8)="",0,INDEX(Transactions!$O:$O,ROW()-8))</f>
      </c>
    </row>
    <row r="8013" spans="1:7">
      <c r="B8013">
        <f>IF(INDEX(Transactions!$J:$J,ROW()-8)="",TODAY(),INDEX(Transactions!$G:$G,ROW()-8))</f>
      </c>
      <c r="F8013">
        <f>IF(INDEX(Transactions!$J:$J,ROW()-8)="",0,INDEX(Transactions!$O:$O,ROW()-8))</f>
      </c>
    </row>
    <row r="8014" spans="1:7">
      <c r="B8014">
        <f>IF(INDEX(Transactions!$J:$J,ROW()-8)="",TODAY(),INDEX(Transactions!$G:$G,ROW()-8))</f>
      </c>
      <c r="F8014">
        <f>IF(INDEX(Transactions!$J:$J,ROW()-8)="",0,INDEX(Transactions!$O:$O,ROW()-8))</f>
      </c>
    </row>
    <row r="8015" spans="1:7">
      <c r="B8015">
        <f>IF(INDEX(Transactions!$J:$J,ROW()-8)="",TODAY(),INDEX(Transactions!$G:$G,ROW()-8))</f>
      </c>
      <c r="F8015">
        <f>IF(INDEX(Transactions!$J:$J,ROW()-8)="",0,INDEX(Transactions!$O:$O,ROW()-8))</f>
      </c>
    </row>
    <row r="8016" spans="1:7">
      <c r="B8016">
        <f>IF(INDEX(Transactions!$J:$J,ROW()-8)="",TODAY(),INDEX(Transactions!$G:$G,ROW()-8))</f>
      </c>
      <c r="F8016">
        <f>IF(INDEX(Transactions!$J:$J,ROW()-8)="",0,INDEX(Transactions!$O:$O,ROW()-8))</f>
      </c>
    </row>
    <row r="8017" spans="1:7">
      <c r="B8017">
        <f>IF(INDEX(Transactions!$J:$J,ROW()-8)="",TODAY(),INDEX(Transactions!$G:$G,ROW()-8))</f>
      </c>
      <c r="F8017">
        <f>IF(INDEX(Transactions!$J:$J,ROW()-8)="",0,INDEX(Transactions!$O:$O,ROW()-8))</f>
      </c>
    </row>
    <row r="8018" spans="1:7">
      <c r="B8018">
        <f>IF(INDEX(Transactions!$J:$J,ROW()-8)="",TODAY(),INDEX(Transactions!$G:$G,ROW()-8))</f>
      </c>
      <c r="F8018">
        <f>IF(INDEX(Transactions!$J:$J,ROW()-8)="",0,INDEX(Transactions!$O:$O,ROW()-8))</f>
      </c>
    </row>
    <row r="8019" spans="1:7">
      <c r="B8019">
        <f>IF(INDEX(Transactions!$J:$J,ROW()-8)="",TODAY(),INDEX(Transactions!$G:$G,ROW()-8))</f>
      </c>
      <c r="F8019">
        <f>IF(INDEX(Transactions!$J:$J,ROW()-8)="",0,INDEX(Transactions!$O:$O,ROW()-8))</f>
      </c>
    </row>
    <row r="8020" spans="1:7">
      <c r="B8020">
        <f>IF(INDEX(Transactions!$J:$J,ROW()-8)="",TODAY(),INDEX(Transactions!$G:$G,ROW()-8))</f>
      </c>
      <c r="F8020">
        <f>IF(INDEX(Transactions!$J:$J,ROW()-8)="",0,INDEX(Transactions!$O:$O,ROW()-8))</f>
      </c>
    </row>
    <row r="8021" spans="1:7">
      <c r="B8021">
        <f>IF(INDEX(Transactions!$J:$J,ROW()-8)="",TODAY(),INDEX(Transactions!$G:$G,ROW()-8))</f>
      </c>
      <c r="F8021">
        <f>IF(INDEX(Transactions!$J:$J,ROW()-8)="",0,INDEX(Transactions!$O:$O,ROW()-8))</f>
      </c>
    </row>
    <row r="8022" spans="1:7">
      <c r="B8022">
        <f>IF(INDEX(Transactions!$J:$J,ROW()-8)="",TODAY(),INDEX(Transactions!$G:$G,ROW()-8))</f>
      </c>
      <c r="F8022">
        <f>IF(INDEX(Transactions!$J:$J,ROW()-8)="",0,INDEX(Transactions!$O:$O,ROW()-8))</f>
      </c>
    </row>
    <row r="8023" spans="1:7">
      <c r="B8023">
        <f>IF(INDEX(Transactions!$J:$J,ROW()-8)="",TODAY(),INDEX(Transactions!$G:$G,ROW()-8))</f>
      </c>
      <c r="F8023">
        <f>IF(INDEX(Transactions!$J:$J,ROW()-8)="",0,INDEX(Transactions!$O:$O,ROW()-8))</f>
      </c>
    </row>
    <row r="8024" spans="1:7">
      <c r="B8024">
        <f>IF(INDEX(Transactions!$J:$J,ROW()-8)="",TODAY(),INDEX(Transactions!$G:$G,ROW()-8))</f>
      </c>
      <c r="F8024">
        <f>IF(INDEX(Transactions!$J:$J,ROW()-8)="",0,INDEX(Transactions!$O:$O,ROW()-8))</f>
      </c>
    </row>
    <row r="8025" spans="1:7">
      <c r="B8025">
        <f>IF(INDEX(Transactions!$J:$J,ROW()-8)="",TODAY(),INDEX(Transactions!$G:$G,ROW()-8))</f>
      </c>
      <c r="F8025">
        <f>IF(INDEX(Transactions!$J:$J,ROW()-8)="",0,INDEX(Transactions!$O:$O,ROW()-8))</f>
      </c>
    </row>
    <row r="8026" spans="1:7">
      <c r="B8026">
        <f>IF(INDEX(Transactions!$J:$J,ROW()-8)="",TODAY(),INDEX(Transactions!$G:$G,ROW()-8))</f>
      </c>
      <c r="F8026">
        <f>IF(INDEX(Transactions!$J:$J,ROW()-8)="",0,INDEX(Transactions!$O:$O,ROW()-8))</f>
      </c>
    </row>
    <row r="8027" spans="1:7">
      <c r="B8027">
        <f>IF(INDEX(Transactions!$J:$J,ROW()-8)="",TODAY(),INDEX(Transactions!$G:$G,ROW()-8))</f>
      </c>
      <c r="F8027">
        <f>IF(INDEX(Transactions!$J:$J,ROW()-8)="",0,INDEX(Transactions!$O:$O,ROW()-8))</f>
      </c>
    </row>
    <row r="8028" spans="1:7">
      <c r="B8028">
        <f>IF(INDEX(Transactions!$J:$J,ROW()-8)="",TODAY(),INDEX(Transactions!$G:$G,ROW()-8))</f>
      </c>
      <c r="F8028">
        <f>IF(INDEX(Transactions!$J:$J,ROW()-8)="",0,INDEX(Transactions!$O:$O,ROW()-8))</f>
      </c>
    </row>
    <row r="8029" spans="1:7">
      <c r="B8029">
        <f>IF(INDEX(Transactions!$J:$J,ROW()-8)="",TODAY(),INDEX(Transactions!$G:$G,ROW()-8))</f>
      </c>
      <c r="F8029">
        <f>IF(INDEX(Transactions!$J:$J,ROW()-8)="",0,INDEX(Transactions!$O:$O,ROW()-8))</f>
      </c>
    </row>
    <row r="8030" spans="1:7">
      <c r="B8030">
        <f>IF(INDEX(Transactions!$J:$J,ROW()-8)="",TODAY(),INDEX(Transactions!$G:$G,ROW()-8))</f>
      </c>
      <c r="F8030">
        <f>IF(INDEX(Transactions!$J:$J,ROW()-8)="",0,INDEX(Transactions!$O:$O,ROW()-8))</f>
      </c>
    </row>
    <row r="8031" spans="1:7">
      <c r="B8031">
        <f>IF(INDEX(Transactions!$J:$J,ROW()-8)="",TODAY(),INDEX(Transactions!$G:$G,ROW()-8))</f>
      </c>
      <c r="F8031">
        <f>IF(INDEX(Transactions!$J:$J,ROW()-8)="",0,INDEX(Transactions!$O:$O,ROW()-8))</f>
      </c>
    </row>
    <row r="8032" spans="1:7">
      <c r="B8032">
        <f>IF(INDEX(Transactions!$J:$J,ROW()-8)="",TODAY(),INDEX(Transactions!$G:$G,ROW()-8))</f>
      </c>
      <c r="F8032">
        <f>IF(INDEX(Transactions!$J:$J,ROW()-8)="",0,INDEX(Transactions!$O:$O,ROW()-8))</f>
      </c>
    </row>
    <row r="8033" spans="1:7">
      <c r="B8033">
        <f>IF(INDEX(Transactions!$J:$J,ROW()-8)="",TODAY(),INDEX(Transactions!$G:$G,ROW()-8))</f>
      </c>
      <c r="F8033">
        <f>IF(INDEX(Transactions!$J:$J,ROW()-8)="",0,INDEX(Transactions!$O:$O,ROW()-8))</f>
      </c>
    </row>
    <row r="8034" spans="1:7">
      <c r="B8034">
        <f>IF(INDEX(Transactions!$J:$J,ROW()-8)="",TODAY(),INDEX(Transactions!$G:$G,ROW()-8))</f>
      </c>
      <c r="F8034">
        <f>IF(INDEX(Transactions!$J:$J,ROW()-8)="",0,INDEX(Transactions!$O:$O,ROW()-8))</f>
      </c>
    </row>
    <row r="8035" spans="1:7">
      <c r="B8035">
        <f>IF(INDEX(Transactions!$J:$J,ROW()-8)="",TODAY(),INDEX(Transactions!$G:$G,ROW()-8))</f>
      </c>
      <c r="F8035">
        <f>IF(INDEX(Transactions!$J:$J,ROW()-8)="",0,INDEX(Transactions!$O:$O,ROW()-8))</f>
      </c>
    </row>
    <row r="8036" spans="1:7">
      <c r="B8036">
        <f>IF(INDEX(Transactions!$J:$J,ROW()-8)="",TODAY(),INDEX(Transactions!$G:$G,ROW()-8))</f>
      </c>
      <c r="F8036">
        <f>IF(INDEX(Transactions!$J:$J,ROW()-8)="",0,INDEX(Transactions!$O:$O,ROW()-8))</f>
      </c>
    </row>
    <row r="8037" spans="1:7">
      <c r="B8037">
        <f>IF(INDEX(Transactions!$J:$J,ROW()-8)="",TODAY(),INDEX(Transactions!$G:$G,ROW()-8))</f>
      </c>
      <c r="F8037">
        <f>IF(INDEX(Transactions!$J:$J,ROW()-8)="",0,INDEX(Transactions!$O:$O,ROW()-8))</f>
      </c>
    </row>
    <row r="8038" spans="1:7">
      <c r="B8038">
        <f>IF(INDEX(Transactions!$J:$J,ROW()-8)="",TODAY(),INDEX(Transactions!$G:$G,ROW()-8))</f>
      </c>
      <c r="F8038">
        <f>IF(INDEX(Transactions!$J:$J,ROW()-8)="",0,INDEX(Transactions!$O:$O,ROW()-8))</f>
      </c>
    </row>
    <row r="8039" spans="1:7">
      <c r="B8039">
        <f>IF(INDEX(Transactions!$J:$J,ROW()-8)="",TODAY(),INDEX(Transactions!$G:$G,ROW()-8))</f>
      </c>
      <c r="F8039">
        <f>IF(INDEX(Transactions!$J:$J,ROW()-8)="",0,INDEX(Transactions!$O:$O,ROW()-8))</f>
      </c>
    </row>
    <row r="8040" spans="1:7">
      <c r="B8040">
        <f>IF(INDEX(Transactions!$J:$J,ROW()-8)="",TODAY(),INDEX(Transactions!$G:$G,ROW()-8))</f>
      </c>
      <c r="F8040">
        <f>IF(INDEX(Transactions!$J:$J,ROW()-8)="",0,INDEX(Transactions!$O:$O,ROW()-8))</f>
      </c>
    </row>
    <row r="8041" spans="1:7">
      <c r="B8041">
        <f>IF(INDEX(Transactions!$J:$J,ROW()-8)="",TODAY(),INDEX(Transactions!$G:$G,ROW()-8))</f>
      </c>
      <c r="F8041">
        <f>IF(INDEX(Transactions!$J:$J,ROW()-8)="",0,INDEX(Transactions!$O:$O,ROW()-8))</f>
      </c>
    </row>
    <row r="8042" spans="1:7">
      <c r="B8042">
        <f>IF(INDEX(Transactions!$J:$J,ROW()-8)="",TODAY(),INDEX(Transactions!$G:$G,ROW()-8))</f>
      </c>
      <c r="F8042">
        <f>IF(INDEX(Transactions!$J:$J,ROW()-8)="",0,INDEX(Transactions!$O:$O,ROW()-8))</f>
      </c>
    </row>
    <row r="8043" spans="1:7">
      <c r="B8043">
        <f>IF(INDEX(Transactions!$J:$J,ROW()-8)="",TODAY(),INDEX(Transactions!$G:$G,ROW()-8))</f>
      </c>
      <c r="F8043">
        <f>IF(INDEX(Transactions!$J:$J,ROW()-8)="",0,INDEX(Transactions!$O:$O,ROW()-8))</f>
      </c>
    </row>
    <row r="8044" spans="1:7">
      <c r="B8044">
        <f>IF(INDEX(Transactions!$J:$J,ROW()-8)="",TODAY(),INDEX(Transactions!$G:$G,ROW()-8))</f>
      </c>
      <c r="F8044">
        <f>IF(INDEX(Transactions!$J:$J,ROW()-8)="",0,INDEX(Transactions!$O:$O,ROW()-8))</f>
      </c>
    </row>
    <row r="8045" spans="1:7">
      <c r="B8045">
        <f>IF(INDEX(Transactions!$J:$J,ROW()-8)="",TODAY(),INDEX(Transactions!$G:$G,ROW()-8))</f>
      </c>
      <c r="F8045">
        <f>IF(INDEX(Transactions!$J:$J,ROW()-8)="",0,INDEX(Transactions!$O:$O,ROW()-8))</f>
      </c>
    </row>
    <row r="8046" spans="1:7">
      <c r="B8046">
        <f>IF(INDEX(Transactions!$J:$J,ROW()-8)="",TODAY(),INDEX(Transactions!$G:$G,ROW()-8))</f>
      </c>
      <c r="F8046">
        <f>IF(INDEX(Transactions!$J:$J,ROW()-8)="",0,INDEX(Transactions!$O:$O,ROW()-8))</f>
      </c>
    </row>
    <row r="8047" spans="1:7">
      <c r="B8047">
        <f>IF(INDEX(Transactions!$J:$J,ROW()-8)="",TODAY(),INDEX(Transactions!$G:$G,ROW()-8))</f>
      </c>
      <c r="F8047">
        <f>IF(INDEX(Transactions!$J:$J,ROW()-8)="",0,INDEX(Transactions!$O:$O,ROW()-8))</f>
      </c>
    </row>
    <row r="8048" spans="1:7">
      <c r="B8048">
        <f>IF(INDEX(Transactions!$J:$J,ROW()-8)="",TODAY(),INDEX(Transactions!$G:$G,ROW()-8))</f>
      </c>
      <c r="F8048">
        <f>IF(INDEX(Transactions!$J:$J,ROW()-8)="",0,INDEX(Transactions!$O:$O,ROW()-8))</f>
      </c>
    </row>
    <row r="8049" spans="1:7">
      <c r="B8049">
        <f>IF(INDEX(Transactions!$J:$J,ROW()-8)="",TODAY(),INDEX(Transactions!$G:$G,ROW()-8))</f>
      </c>
      <c r="F8049">
        <f>IF(INDEX(Transactions!$J:$J,ROW()-8)="",0,INDEX(Transactions!$O:$O,ROW()-8))</f>
      </c>
    </row>
    <row r="8050" spans="1:7">
      <c r="B8050">
        <f>IF(INDEX(Transactions!$J:$J,ROW()-8)="",TODAY(),INDEX(Transactions!$G:$G,ROW()-8))</f>
      </c>
      <c r="F8050">
        <f>IF(INDEX(Transactions!$J:$J,ROW()-8)="",0,INDEX(Transactions!$O:$O,ROW()-8))</f>
      </c>
    </row>
    <row r="8051" spans="1:7">
      <c r="B8051">
        <f>IF(INDEX(Transactions!$J:$J,ROW()-8)="",TODAY(),INDEX(Transactions!$G:$G,ROW()-8))</f>
      </c>
      <c r="F8051">
        <f>IF(INDEX(Transactions!$J:$J,ROW()-8)="",0,INDEX(Transactions!$O:$O,ROW()-8))</f>
      </c>
    </row>
    <row r="8052" spans="1:7">
      <c r="B8052">
        <f>IF(INDEX(Transactions!$J:$J,ROW()-8)="",TODAY(),INDEX(Transactions!$G:$G,ROW()-8))</f>
      </c>
      <c r="F8052">
        <f>IF(INDEX(Transactions!$J:$J,ROW()-8)="",0,INDEX(Transactions!$O:$O,ROW()-8))</f>
      </c>
    </row>
    <row r="8053" spans="1:7">
      <c r="B8053">
        <f>IF(INDEX(Transactions!$J:$J,ROW()-8)="",TODAY(),INDEX(Transactions!$G:$G,ROW()-8))</f>
      </c>
      <c r="F8053">
        <f>IF(INDEX(Transactions!$J:$J,ROW()-8)="",0,INDEX(Transactions!$O:$O,ROW()-8))</f>
      </c>
    </row>
    <row r="8054" spans="1:7">
      <c r="B8054">
        <f>IF(INDEX(Transactions!$J:$J,ROW()-8)="",TODAY(),INDEX(Transactions!$G:$G,ROW()-8))</f>
      </c>
      <c r="F8054">
        <f>IF(INDEX(Transactions!$J:$J,ROW()-8)="",0,INDEX(Transactions!$O:$O,ROW()-8))</f>
      </c>
    </row>
    <row r="8055" spans="1:7">
      <c r="B8055">
        <f>IF(INDEX(Transactions!$J:$J,ROW()-8)="",TODAY(),INDEX(Transactions!$G:$G,ROW()-8))</f>
      </c>
      <c r="F8055">
        <f>IF(INDEX(Transactions!$J:$J,ROW()-8)="",0,INDEX(Transactions!$O:$O,ROW()-8))</f>
      </c>
    </row>
    <row r="8056" spans="1:7">
      <c r="B8056">
        <f>IF(INDEX(Transactions!$J:$J,ROW()-8)="",TODAY(),INDEX(Transactions!$G:$G,ROW()-8))</f>
      </c>
      <c r="F8056">
        <f>IF(INDEX(Transactions!$J:$J,ROW()-8)="",0,INDEX(Transactions!$O:$O,ROW()-8))</f>
      </c>
    </row>
    <row r="8057" spans="1:7">
      <c r="B8057">
        <f>IF(INDEX(Transactions!$J:$J,ROW()-8)="",TODAY(),INDEX(Transactions!$G:$G,ROW()-8))</f>
      </c>
      <c r="F8057">
        <f>IF(INDEX(Transactions!$J:$J,ROW()-8)="",0,INDEX(Transactions!$O:$O,ROW()-8))</f>
      </c>
    </row>
    <row r="8058" spans="1:7">
      <c r="B8058">
        <f>IF(INDEX(Transactions!$J:$J,ROW()-8)="",TODAY(),INDEX(Transactions!$G:$G,ROW()-8))</f>
      </c>
      <c r="F8058">
        <f>IF(INDEX(Transactions!$J:$J,ROW()-8)="",0,INDEX(Transactions!$O:$O,ROW()-8))</f>
      </c>
    </row>
    <row r="8059" spans="1:7">
      <c r="B8059">
        <f>IF(INDEX(Transactions!$J:$J,ROW()-8)="",TODAY(),INDEX(Transactions!$G:$G,ROW()-8))</f>
      </c>
      <c r="F8059">
        <f>IF(INDEX(Transactions!$J:$J,ROW()-8)="",0,INDEX(Transactions!$O:$O,ROW()-8))</f>
      </c>
    </row>
    <row r="8060" spans="1:7">
      <c r="B8060">
        <f>IF(INDEX(Transactions!$J:$J,ROW()-8)="",TODAY(),INDEX(Transactions!$G:$G,ROW()-8))</f>
      </c>
      <c r="F8060">
        <f>IF(INDEX(Transactions!$J:$J,ROW()-8)="",0,INDEX(Transactions!$O:$O,ROW()-8))</f>
      </c>
    </row>
    <row r="8061" spans="1:7">
      <c r="B8061">
        <f>IF(INDEX(Transactions!$J:$J,ROW()-8)="",TODAY(),INDEX(Transactions!$G:$G,ROW()-8))</f>
      </c>
      <c r="F8061">
        <f>IF(INDEX(Transactions!$J:$J,ROW()-8)="",0,INDEX(Transactions!$O:$O,ROW()-8))</f>
      </c>
    </row>
    <row r="8062" spans="1:7">
      <c r="B8062">
        <f>IF(INDEX(Transactions!$J:$J,ROW()-8)="",TODAY(),INDEX(Transactions!$G:$G,ROW()-8))</f>
      </c>
      <c r="F8062">
        <f>IF(INDEX(Transactions!$J:$J,ROW()-8)="",0,INDEX(Transactions!$O:$O,ROW()-8))</f>
      </c>
    </row>
    <row r="8063" spans="1:7">
      <c r="B8063">
        <f>IF(INDEX(Transactions!$J:$J,ROW()-8)="",TODAY(),INDEX(Transactions!$G:$G,ROW()-8))</f>
      </c>
      <c r="F8063">
        <f>IF(INDEX(Transactions!$J:$J,ROW()-8)="",0,INDEX(Transactions!$O:$O,ROW()-8))</f>
      </c>
    </row>
    <row r="8064" spans="1:7">
      <c r="B8064">
        <f>IF(INDEX(Transactions!$J:$J,ROW()-8)="",TODAY(),INDEX(Transactions!$G:$G,ROW()-8))</f>
      </c>
      <c r="F8064">
        <f>IF(INDEX(Transactions!$J:$J,ROW()-8)="",0,INDEX(Transactions!$O:$O,ROW()-8))</f>
      </c>
    </row>
    <row r="8065" spans="1:7">
      <c r="B8065">
        <f>IF(INDEX(Transactions!$J:$J,ROW()-8)="",TODAY(),INDEX(Transactions!$G:$G,ROW()-8))</f>
      </c>
      <c r="F8065">
        <f>IF(INDEX(Transactions!$J:$J,ROW()-8)="",0,INDEX(Transactions!$O:$O,ROW()-8))</f>
      </c>
    </row>
    <row r="8066" spans="1:7">
      <c r="B8066">
        <f>IF(INDEX(Transactions!$J:$J,ROW()-8)="",TODAY(),INDEX(Transactions!$G:$G,ROW()-8))</f>
      </c>
      <c r="F8066">
        <f>IF(INDEX(Transactions!$J:$J,ROW()-8)="",0,INDEX(Transactions!$O:$O,ROW()-8))</f>
      </c>
    </row>
    <row r="8067" spans="1:7">
      <c r="B8067">
        <f>IF(INDEX(Transactions!$J:$J,ROW()-8)="",TODAY(),INDEX(Transactions!$G:$G,ROW()-8))</f>
      </c>
      <c r="F8067">
        <f>IF(INDEX(Transactions!$J:$J,ROW()-8)="",0,INDEX(Transactions!$O:$O,ROW()-8))</f>
      </c>
    </row>
    <row r="8068" spans="1:7">
      <c r="B8068">
        <f>IF(INDEX(Transactions!$J:$J,ROW()-8)="",TODAY(),INDEX(Transactions!$G:$G,ROW()-8))</f>
      </c>
      <c r="F8068">
        <f>IF(INDEX(Transactions!$J:$J,ROW()-8)="",0,INDEX(Transactions!$O:$O,ROW()-8))</f>
      </c>
    </row>
    <row r="8069" spans="1:7">
      <c r="B8069">
        <f>IF(INDEX(Transactions!$J:$J,ROW()-8)="",TODAY(),INDEX(Transactions!$G:$G,ROW()-8))</f>
      </c>
      <c r="F8069">
        <f>IF(INDEX(Transactions!$J:$J,ROW()-8)="",0,INDEX(Transactions!$O:$O,ROW()-8))</f>
      </c>
    </row>
    <row r="8070" spans="1:7">
      <c r="B8070">
        <f>IF(INDEX(Transactions!$J:$J,ROW()-8)="",TODAY(),INDEX(Transactions!$G:$G,ROW()-8))</f>
      </c>
      <c r="F8070">
        <f>IF(INDEX(Transactions!$J:$J,ROW()-8)="",0,INDEX(Transactions!$O:$O,ROW()-8))</f>
      </c>
    </row>
    <row r="8071" spans="1:7">
      <c r="B8071">
        <f>IF(INDEX(Transactions!$J:$J,ROW()-8)="",TODAY(),INDEX(Transactions!$G:$G,ROW()-8))</f>
      </c>
      <c r="F8071">
        <f>IF(INDEX(Transactions!$J:$J,ROW()-8)="",0,INDEX(Transactions!$O:$O,ROW()-8))</f>
      </c>
    </row>
    <row r="8072" spans="1:7">
      <c r="B8072">
        <f>IF(INDEX(Transactions!$J:$J,ROW()-8)="",TODAY(),INDEX(Transactions!$G:$G,ROW()-8))</f>
      </c>
      <c r="F8072">
        <f>IF(INDEX(Transactions!$J:$J,ROW()-8)="",0,INDEX(Transactions!$O:$O,ROW()-8))</f>
      </c>
    </row>
    <row r="8073" spans="1:7">
      <c r="B8073">
        <f>IF(INDEX(Transactions!$J:$J,ROW()-8)="",TODAY(),INDEX(Transactions!$G:$G,ROW()-8))</f>
      </c>
      <c r="F8073">
        <f>IF(INDEX(Transactions!$J:$J,ROW()-8)="",0,INDEX(Transactions!$O:$O,ROW()-8))</f>
      </c>
    </row>
    <row r="8074" spans="1:7">
      <c r="B8074">
        <f>IF(INDEX(Transactions!$J:$J,ROW()-8)="",TODAY(),INDEX(Transactions!$G:$G,ROW()-8))</f>
      </c>
      <c r="F8074">
        <f>IF(INDEX(Transactions!$J:$J,ROW()-8)="",0,INDEX(Transactions!$O:$O,ROW()-8))</f>
      </c>
    </row>
    <row r="8075" spans="1:7">
      <c r="B8075">
        <f>IF(INDEX(Transactions!$J:$J,ROW()-8)="",TODAY(),INDEX(Transactions!$G:$G,ROW()-8))</f>
      </c>
      <c r="F8075">
        <f>IF(INDEX(Transactions!$J:$J,ROW()-8)="",0,INDEX(Transactions!$O:$O,ROW()-8))</f>
      </c>
    </row>
    <row r="8076" spans="1:7">
      <c r="B8076">
        <f>IF(INDEX(Transactions!$J:$J,ROW()-8)="",TODAY(),INDEX(Transactions!$G:$G,ROW()-8))</f>
      </c>
      <c r="F8076">
        <f>IF(INDEX(Transactions!$J:$J,ROW()-8)="",0,INDEX(Transactions!$O:$O,ROW()-8))</f>
      </c>
    </row>
    <row r="8077" spans="1:7">
      <c r="B8077">
        <f>IF(INDEX(Transactions!$J:$J,ROW()-8)="",TODAY(),INDEX(Transactions!$G:$G,ROW()-8))</f>
      </c>
      <c r="F8077">
        <f>IF(INDEX(Transactions!$J:$J,ROW()-8)="",0,INDEX(Transactions!$O:$O,ROW()-8))</f>
      </c>
    </row>
    <row r="8078" spans="1:7">
      <c r="B8078">
        <f>IF(INDEX(Transactions!$J:$J,ROW()-8)="",TODAY(),INDEX(Transactions!$G:$G,ROW()-8))</f>
      </c>
      <c r="F8078">
        <f>IF(INDEX(Transactions!$J:$J,ROW()-8)="",0,INDEX(Transactions!$O:$O,ROW()-8))</f>
      </c>
    </row>
    <row r="8079" spans="1:7">
      <c r="B8079">
        <f>IF(INDEX(Transactions!$J:$J,ROW()-8)="",TODAY(),INDEX(Transactions!$G:$G,ROW()-8))</f>
      </c>
      <c r="F8079">
        <f>IF(INDEX(Transactions!$J:$J,ROW()-8)="",0,INDEX(Transactions!$O:$O,ROW()-8))</f>
      </c>
    </row>
    <row r="8080" spans="1:7">
      <c r="B8080">
        <f>IF(INDEX(Transactions!$J:$J,ROW()-8)="",TODAY(),INDEX(Transactions!$G:$G,ROW()-8))</f>
      </c>
      <c r="F8080">
        <f>IF(INDEX(Transactions!$J:$J,ROW()-8)="",0,INDEX(Transactions!$O:$O,ROW()-8))</f>
      </c>
    </row>
    <row r="8081" spans="1:7">
      <c r="B8081">
        <f>IF(INDEX(Transactions!$J:$J,ROW()-8)="",TODAY(),INDEX(Transactions!$G:$G,ROW()-8))</f>
      </c>
      <c r="F8081">
        <f>IF(INDEX(Transactions!$J:$J,ROW()-8)="",0,INDEX(Transactions!$O:$O,ROW()-8))</f>
      </c>
    </row>
    <row r="8082" spans="1:7">
      <c r="B8082">
        <f>IF(INDEX(Transactions!$J:$J,ROW()-8)="",TODAY(),INDEX(Transactions!$G:$G,ROW()-8))</f>
      </c>
      <c r="F8082">
        <f>IF(INDEX(Transactions!$J:$J,ROW()-8)="",0,INDEX(Transactions!$O:$O,ROW()-8))</f>
      </c>
    </row>
    <row r="8083" spans="1:7">
      <c r="B8083">
        <f>IF(INDEX(Transactions!$J:$J,ROW()-8)="",TODAY(),INDEX(Transactions!$G:$G,ROW()-8))</f>
      </c>
      <c r="F8083">
        <f>IF(INDEX(Transactions!$J:$J,ROW()-8)="",0,INDEX(Transactions!$O:$O,ROW()-8))</f>
      </c>
    </row>
    <row r="8084" spans="1:7">
      <c r="B8084">
        <f>IF(INDEX(Transactions!$J:$J,ROW()-8)="",TODAY(),INDEX(Transactions!$G:$G,ROW()-8))</f>
      </c>
      <c r="F8084">
        <f>IF(INDEX(Transactions!$J:$J,ROW()-8)="",0,INDEX(Transactions!$O:$O,ROW()-8))</f>
      </c>
    </row>
    <row r="8085" spans="1:7">
      <c r="B8085">
        <f>IF(INDEX(Transactions!$J:$J,ROW()-8)="",TODAY(),INDEX(Transactions!$G:$G,ROW()-8))</f>
      </c>
      <c r="F8085">
        <f>IF(INDEX(Transactions!$J:$J,ROW()-8)="",0,INDEX(Transactions!$O:$O,ROW()-8))</f>
      </c>
    </row>
    <row r="8086" spans="1:7">
      <c r="B8086">
        <f>IF(INDEX(Transactions!$J:$J,ROW()-8)="",TODAY(),INDEX(Transactions!$G:$G,ROW()-8))</f>
      </c>
      <c r="F8086">
        <f>IF(INDEX(Transactions!$J:$J,ROW()-8)="",0,INDEX(Transactions!$O:$O,ROW()-8))</f>
      </c>
    </row>
    <row r="8087" spans="1:7">
      <c r="B8087">
        <f>IF(INDEX(Transactions!$J:$J,ROW()-8)="",TODAY(),INDEX(Transactions!$G:$G,ROW()-8))</f>
      </c>
      <c r="F8087">
        <f>IF(INDEX(Transactions!$J:$J,ROW()-8)="",0,INDEX(Transactions!$O:$O,ROW()-8))</f>
      </c>
    </row>
    <row r="8088" spans="1:7">
      <c r="B8088">
        <f>IF(INDEX(Transactions!$J:$J,ROW()-8)="",TODAY(),INDEX(Transactions!$G:$G,ROW()-8))</f>
      </c>
      <c r="F8088">
        <f>IF(INDEX(Transactions!$J:$J,ROW()-8)="",0,INDEX(Transactions!$O:$O,ROW()-8))</f>
      </c>
    </row>
    <row r="8089" spans="1:7">
      <c r="B8089">
        <f>IF(INDEX(Transactions!$J:$J,ROW()-8)="",TODAY(),INDEX(Transactions!$G:$G,ROW()-8))</f>
      </c>
      <c r="F8089">
        <f>IF(INDEX(Transactions!$J:$J,ROW()-8)="",0,INDEX(Transactions!$O:$O,ROW()-8))</f>
      </c>
    </row>
    <row r="8090" spans="1:7">
      <c r="B8090">
        <f>IF(INDEX(Transactions!$J:$J,ROW()-8)="",TODAY(),INDEX(Transactions!$G:$G,ROW()-8))</f>
      </c>
      <c r="F8090">
        <f>IF(INDEX(Transactions!$J:$J,ROW()-8)="",0,INDEX(Transactions!$O:$O,ROW()-8))</f>
      </c>
    </row>
    <row r="8091" spans="1:7">
      <c r="B8091">
        <f>IF(INDEX(Transactions!$J:$J,ROW()-8)="",TODAY(),INDEX(Transactions!$G:$G,ROW()-8))</f>
      </c>
      <c r="F8091">
        <f>IF(INDEX(Transactions!$J:$J,ROW()-8)="",0,INDEX(Transactions!$O:$O,ROW()-8))</f>
      </c>
    </row>
    <row r="8092" spans="1:7">
      <c r="B8092">
        <f>IF(INDEX(Transactions!$J:$J,ROW()-8)="",TODAY(),INDEX(Transactions!$G:$G,ROW()-8))</f>
      </c>
      <c r="F8092">
        <f>IF(INDEX(Transactions!$J:$J,ROW()-8)="",0,INDEX(Transactions!$O:$O,ROW()-8))</f>
      </c>
    </row>
    <row r="8093" spans="1:7">
      <c r="B8093">
        <f>IF(INDEX(Transactions!$J:$J,ROW()-8)="",TODAY(),INDEX(Transactions!$G:$G,ROW()-8))</f>
      </c>
      <c r="F8093">
        <f>IF(INDEX(Transactions!$J:$J,ROW()-8)="",0,INDEX(Transactions!$O:$O,ROW()-8))</f>
      </c>
    </row>
    <row r="8094" spans="1:7">
      <c r="B8094">
        <f>IF(INDEX(Transactions!$J:$J,ROW()-8)="",TODAY(),INDEX(Transactions!$G:$G,ROW()-8))</f>
      </c>
      <c r="F8094">
        <f>IF(INDEX(Transactions!$J:$J,ROW()-8)="",0,INDEX(Transactions!$O:$O,ROW()-8))</f>
      </c>
    </row>
    <row r="8095" spans="1:7">
      <c r="B8095">
        <f>IF(INDEX(Transactions!$J:$J,ROW()-8)="",TODAY(),INDEX(Transactions!$G:$G,ROW()-8))</f>
      </c>
      <c r="F8095">
        <f>IF(INDEX(Transactions!$J:$J,ROW()-8)="",0,INDEX(Transactions!$O:$O,ROW()-8))</f>
      </c>
    </row>
    <row r="8096" spans="1:7">
      <c r="B8096">
        <f>IF(INDEX(Transactions!$J:$J,ROW()-8)="",TODAY(),INDEX(Transactions!$G:$G,ROW()-8))</f>
      </c>
      <c r="F8096">
        <f>IF(INDEX(Transactions!$J:$J,ROW()-8)="",0,INDEX(Transactions!$O:$O,ROW()-8))</f>
      </c>
    </row>
    <row r="8097" spans="1:7">
      <c r="B8097">
        <f>IF(INDEX(Transactions!$J:$J,ROW()-8)="",TODAY(),INDEX(Transactions!$G:$G,ROW()-8))</f>
      </c>
      <c r="F8097">
        <f>IF(INDEX(Transactions!$J:$J,ROW()-8)="",0,INDEX(Transactions!$O:$O,ROW()-8))</f>
      </c>
    </row>
    <row r="8098" spans="1:7">
      <c r="B8098">
        <f>IF(INDEX(Transactions!$J:$J,ROW()-8)="",TODAY(),INDEX(Transactions!$G:$G,ROW()-8))</f>
      </c>
      <c r="F8098">
        <f>IF(INDEX(Transactions!$J:$J,ROW()-8)="",0,INDEX(Transactions!$O:$O,ROW()-8))</f>
      </c>
    </row>
    <row r="8099" spans="1:7">
      <c r="B8099">
        <f>IF(INDEX(Transactions!$J:$J,ROW()-8)="",TODAY(),INDEX(Transactions!$G:$G,ROW()-8))</f>
      </c>
      <c r="F8099">
        <f>IF(INDEX(Transactions!$J:$J,ROW()-8)="",0,INDEX(Transactions!$O:$O,ROW()-8))</f>
      </c>
    </row>
    <row r="8100" spans="1:7">
      <c r="B8100">
        <f>IF(INDEX(Transactions!$J:$J,ROW()-8)="",TODAY(),INDEX(Transactions!$G:$G,ROW()-8))</f>
      </c>
      <c r="F8100">
        <f>IF(INDEX(Transactions!$J:$J,ROW()-8)="",0,INDEX(Transactions!$O:$O,ROW()-8))</f>
      </c>
    </row>
    <row r="8101" spans="1:7">
      <c r="B8101">
        <f>IF(INDEX(Transactions!$J:$J,ROW()-8)="",TODAY(),INDEX(Transactions!$G:$G,ROW()-8))</f>
      </c>
      <c r="F8101">
        <f>IF(INDEX(Transactions!$J:$J,ROW()-8)="",0,INDEX(Transactions!$O:$O,ROW()-8))</f>
      </c>
    </row>
    <row r="8102" spans="1:7">
      <c r="B8102">
        <f>IF(INDEX(Transactions!$J:$J,ROW()-8)="",TODAY(),INDEX(Transactions!$G:$G,ROW()-8))</f>
      </c>
      <c r="F8102">
        <f>IF(INDEX(Transactions!$J:$J,ROW()-8)="",0,INDEX(Transactions!$O:$O,ROW()-8))</f>
      </c>
    </row>
    <row r="8103" spans="1:7">
      <c r="B8103">
        <f>IF(INDEX(Transactions!$J:$J,ROW()-8)="",TODAY(),INDEX(Transactions!$G:$G,ROW()-8))</f>
      </c>
      <c r="F8103">
        <f>IF(INDEX(Transactions!$J:$J,ROW()-8)="",0,INDEX(Transactions!$O:$O,ROW()-8))</f>
      </c>
    </row>
    <row r="8104" spans="1:7">
      <c r="B8104">
        <f>IF(INDEX(Transactions!$J:$J,ROW()-8)="",TODAY(),INDEX(Transactions!$G:$G,ROW()-8))</f>
      </c>
      <c r="F8104">
        <f>IF(INDEX(Transactions!$J:$J,ROW()-8)="",0,INDEX(Transactions!$O:$O,ROW()-8))</f>
      </c>
    </row>
    <row r="8105" spans="1:7">
      <c r="B8105">
        <f>IF(INDEX(Transactions!$J:$J,ROW()-8)="",TODAY(),INDEX(Transactions!$G:$G,ROW()-8))</f>
      </c>
      <c r="F8105">
        <f>IF(INDEX(Transactions!$J:$J,ROW()-8)="",0,INDEX(Transactions!$O:$O,ROW()-8))</f>
      </c>
    </row>
    <row r="8106" spans="1:7">
      <c r="B8106">
        <f>IF(INDEX(Transactions!$J:$J,ROW()-8)="",TODAY(),INDEX(Transactions!$G:$G,ROW()-8))</f>
      </c>
      <c r="F8106">
        <f>IF(INDEX(Transactions!$J:$J,ROW()-8)="",0,INDEX(Transactions!$O:$O,ROW()-8))</f>
      </c>
    </row>
    <row r="8107" spans="1:7">
      <c r="B8107">
        <f>IF(INDEX(Transactions!$J:$J,ROW()-8)="",TODAY(),INDEX(Transactions!$G:$G,ROW()-8))</f>
      </c>
      <c r="F8107">
        <f>IF(INDEX(Transactions!$J:$J,ROW()-8)="",0,INDEX(Transactions!$O:$O,ROW()-8))</f>
      </c>
    </row>
    <row r="8108" spans="1:7">
      <c r="B8108">
        <f>IF(INDEX(Transactions!$J:$J,ROW()-8)="",TODAY(),INDEX(Transactions!$G:$G,ROW()-8))</f>
      </c>
      <c r="F8108">
        <f>IF(INDEX(Transactions!$J:$J,ROW()-8)="",0,INDEX(Transactions!$O:$O,ROW()-8))</f>
      </c>
    </row>
    <row r="8109" spans="1:7">
      <c r="B8109">
        <f>IF(INDEX(Transactions!$J:$J,ROW()-8)="",TODAY(),INDEX(Transactions!$G:$G,ROW()-8))</f>
      </c>
      <c r="F8109">
        <f>IF(INDEX(Transactions!$J:$J,ROW()-8)="",0,INDEX(Transactions!$O:$O,ROW()-8))</f>
      </c>
    </row>
    <row r="8110" spans="1:7">
      <c r="B8110">
        <f>IF(INDEX(Transactions!$J:$J,ROW()-8)="",TODAY(),INDEX(Transactions!$G:$G,ROW()-8))</f>
      </c>
      <c r="F8110">
        <f>IF(INDEX(Transactions!$J:$J,ROW()-8)="",0,INDEX(Transactions!$O:$O,ROW()-8))</f>
      </c>
    </row>
    <row r="8111" spans="1:7">
      <c r="B8111">
        <f>IF(INDEX(Transactions!$J:$J,ROW()-8)="",TODAY(),INDEX(Transactions!$G:$G,ROW()-8))</f>
      </c>
      <c r="F8111">
        <f>IF(INDEX(Transactions!$J:$J,ROW()-8)="",0,INDEX(Transactions!$O:$O,ROW()-8))</f>
      </c>
    </row>
    <row r="8112" spans="1:7">
      <c r="B8112">
        <f>IF(INDEX(Transactions!$J:$J,ROW()-8)="",TODAY(),INDEX(Transactions!$G:$G,ROW()-8))</f>
      </c>
      <c r="F8112">
        <f>IF(INDEX(Transactions!$J:$J,ROW()-8)="",0,INDEX(Transactions!$O:$O,ROW()-8))</f>
      </c>
    </row>
    <row r="8113" spans="1:7">
      <c r="B8113">
        <f>IF(INDEX(Transactions!$J:$J,ROW()-8)="",TODAY(),INDEX(Transactions!$G:$G,ROW()-8))</f>
      </c>
      <c r="F8113">
        <f>IF(INDEX(Transactions!$J:$J,ROW()-8)="",0,INDEX(Transactions!$O:$O,ROW()-8))</f>
      </c>
    </row>
    <row r="8114" spans="1:7">
      <c r="B8114">
        <f>IF(INDEX(Transactions!$J:$J,ROW()-8)="",TODAY(),INDEX(Transactions!$G:$G,ROW()-8))</f>
      </c>
      <c r="F8114">
        <f>IF(INDEX(Transactions!$J:$J,ROW()-8)="",0,INDEX(Transactions!$O:$O,ROW()-8))</f>
      </c>
    </row>
    <row r="8115" spans="1:7">
      <c r="B8115">
        <f>IF(INDEX(Transactions!$J:$J,ROW()-8)="",TODAY(),INDEX(Transactions!$G:$G,ROW()-8))</f>
      </c>
      <c r="F8115">
        <f>IF(INDEX(Transactions!$J:$J,ROW()-8)="",0,INDEX(Transactions!$O:$O,ROW()-8))</f>
      </c>
    </row>
    <row r="8116" spans="1:7">
      <c r="B8116">
        <f>IF(INDEX(Transactions!$J:$J,ROW()-8)="",TODAY(),INDEX(Transactions!$G:$G,ROW()-8))</f>
      </c>
      <c r="F8116">
        <f>IF(INDEX(Transactions!$J:$J,ROW()-8)="",0,INDEX(Transactions!$O:$O,ROW()-8))</f>
      </c>
    </row>
    <row r="8117" spans="1:7">
      <c r="B8117">
        <f>IF(INDEX(Transactions!$J:$J,ROW()-8)="",TODAY(),INDEX(Transactions!$G:$G,ROW()-8))</f>
      </c>
      <c r="F8117">
        <f>IF(INDEX(Transactions!$J:$J,ROW()-8)="",0,INDEX(Transactions!$O:$O,ROW()-8))</f>
      </c>
    </row>
    <row r="8118" spans="1:7">
      <c r="B8118">
        <f>IF(INDEX(Transactions!$J:$J,ROW()-8)="",TODAY(),INDEX(Transactions!$G:$G,ROW()-8))</f>
      </c>
      <c r="F8118">
        <f>IF(INDEX(Transactions!$J:$J,ROW()-8)="",0,INDEX(Transactions!$O:$O,ROW()-8))</f>
      </c>
    </row>
    <row r="8119" spans="1:7">
      <c r="B8119">
        <f>IF(INDEX(Transactions!$J:$J,ROW()-8)="",TODAY(),INDEX(Transactions!$G:$G,ROW()-8))</f>
      </c>
      <c r="F8119">
        <f>IF(INDEX(Transactions!$J:$J,ROW()-8)="",0,INDEX(Transactions!$O:$O,ROW()-8))</f>
      </c>
    </row>
    <row r="8120" spans="1:7">
      <c r="B8120">
        <f>IF(INDEX(Transactions!$J:$J,ROW()-8)="",TODAY(),INDEX(Transactions!$G:$G,ROW()-8))</f>
      </c>
      <c r="F8120">
        <f>IF(INDEX(Transactions!$J:$J,ROW()-8)="",0,INDEX(Transactions!$O:$O,ROW()-8))</f>
      </c>
    </row>
    <row r="8121" spans="1:7">
      <c r="B8121">
        <f>IF(INDEX(Transactions!$J:$J,ROW()-8)="",TODAY(),INDEX(Transactions!$G:$G,ROW()-8))</f>
      </c>
      <c r="F8121">
        <f>IF(INDEX(Transactions!$J:$J,ROW()-8)="",0,INDEX(Transactions!$O:$O,ROW()-8))</f>
      </c>
    </row>
    <row r="8122" spans="1:7">
      <c r="B8122">
        <f>IF(INDEX(Transactions!$J:$J,ROW()-8)="",TODAY(),INDEX(Transactions!$G:$G,ROW()-8))</f>
      </c>
      <c r="F8122">
        <f>IF(INDEX(Transactions!$J:$J,ROW()-8)="",0,INDEX(Transactions!$O:$O,ROW()-8))</f>
      </c>
    </row>
    <row r="8123" spans="1:7">
      <c r="B8123">
        <f>IF(INDEX(Transactions!$J:$J,ROW()-8)="",TODAY(),INDEX(Transactions!$G:$G,ROW()-8))</f>
      </c>
      <c r="F8123">
        <f>IF(INDEX(Transactions!$J:$J,ROW()-8)="",0,INDEX(Transactions!$O:$O,ROW()-8))</f>
      </c>
    </row>
    <row r="8124" spans="1:7">
      <c r="B8124">
        <f>IF(INDEX(Transactions!$J:$J,ROW()-8)="",TODAY(),INDEX(Transactions!$G:$G,ROW()-8))</f>
      </c>
      <c r="F8124">
        <f>IF(INDEX(Transactions!$J:$J,ROW()-8)="",0,INDEX(Transactions!$O:$O,ROW()-8))</f>
      </c>
    </row>
    <row r="8125" spans="1:7">
      <c r="B8125">
        <f>IF(INDEX(Transactions!$J:$J,ROW()-8)="",TODAY(),INDEX(Transactions!$G:$G,ROW()-8))</f>
      </c>
      <c r="F8125">
        <f>IF(INDEX(Transactions!$J:$J,ROW()-8)="",0,INDEX(Transactions!$O:$O,ROW()-8))</f>
      </c>
    </row>
    <row r="8126" spans="1:7">
      <c r="B8126">
        <f>IF(INDEX(Transactions!$J:$J,ROW()-8)="",TODAY(),INDEX(Transactions!$G:$G,ROW()-8))</f>
      </c>
      <c r="F8126">
        <f>IF(INDEX(Transactions!$J:$J,ROW()-8)="",0,INDEX(Transactions!$O:$O,ROW()-8))</f>
      </c>
    </row>
    <row r="8127" spans="1:7">
      <c r="B8127">
        <f>IF(INDEX(Transactions!$J:$J,ROW()-8)="",TODAY(),INDEX(Transactions!$G:$G,ROW()-8))</f>
      </c>
      <c r="F8127">
        <f>IF(INDEX(Transactions!$J:$J,ROW()-8)="",0,INDEX(Transactions!$O:$O,ROW()-8))</f>
      </c>
    </row>
    <row r="8128" spans="1:7">
      <c r="B8128">
        <f>IF(INDEX(Transactions!$J:$J,ROW()-8)="",TODAY(),INDEX(Transactions!$G:$G,ROW()-8))</f>
      </c>
      <c r="F8128">
        <f>IF(INDEX(Transactions!$J:$J,ROW()-8)="",0,INDEX(Transactions!$O:$O,ROW()-8))</f>
      </c>
    </row>
    <row r="8129" spans="1:7">
      <c r="B8129">
        <f>IF(INDEX(Transactions!$J:$J,ROW()-8)="",TODAY(),INDEX(Transactions!$G:$G,ROW()-8))</f>
      </c>
      <c r="F8129">
        <f>IF(INDEX(Transactions!$J:$J,ROW()-8)="",0,INDEX(Transactions!$O:$O,ROW()-8))</f>
      </c>
    </row>
    <row r="8130" spans="1:7">
      <c r="B8130">
        <f>IF(INDEX(Transactions!$J:$J,ROW()-8)="",TODAY(),INDEX(Transactions!$G:$G,ROW()-8))</f>
      </c>
      <c r="F8130">
        <f>IF(INDEX(Transactions!$J:$J,ROW()-8)="",0,INDEX(Transactions!$O:$O,ROW()-8))</f>
      </c>
    </row>
    <row r="8131" spans="1:7">
      <c r="B8131">
        <f>IF(INDEX(Transactions!$J:$J,ROW()-8)="",TODAY(),INDEX(Transactions!$G:$G,ROW()-8))</f>
      </c>
      <c r="F8131">
        <f>IF(INDEX(Transactions!$J:$J,ROW()-8)="",0,INDEX(Transactions!$O:$O,ROW()-8))</f>
      </c>
    </row>
    <row r="8132" spans="1:7">
      <c r="B8132">
        <f>IF(INDEX(Transactions!$J:$J,ROW()-8)="",TODAY(),INDEX(Transactions!$G:$G,ROW()-8))</f>
      </c>
      <c r="F8132">
        <f>IF(INDEX(Transactions!$J:$J,ROW()-8)="",0,INDEX(Transactions!$O:$O,ROW()-8))</f>
      </c>
    </row>
    <row r="8133" spans="1:7">
      <c r="B8133">
        <f>IF(INDEX(Transactions!$J:$J,ROW()-8)="",TODAY(),INDEX(Transactions!$G:$G,ROW()-8))</f>
      </c>
      <c r="F8133">
        <f>IF(INDEX(Transactions!$J:$J,ROW()-8)="",0,INDEX(Transactions!$O:$O,ROW()-8))</f>
      </c>
    </row>
    <row r="8134" spans="1:7">
      <c r="B8134">
        <f>IF(INDEX(Transactions!$J:$J,ROW()-8)="",TODAY(),INDEX(Transactions!$G:$G,ROW()-8))</f>
      </c>
      <c r="F8134">
        <f>IF(INDEX(Transactions!$J:$J,ROW()-8)="",0,INDEX(Transactions!$O:$O,ROW()-8))</f>
      </c>
    </row>
    <row r="8135" spans="1:7">
      <c r="B8135">
        <f>IF(INDEX(Transactions!$J:$J,ROW()-8)="",TODAY(),INDEX(Transactions!$G:$G,ROW()-8))</f>
      </c>
      <c r="F8135">
        <f>IF(INDEX(Transactions!$J:$J,ROW()-8)="",0,INDEX(Transactions!$O:$O,ROW()-8))</f>
      </c>
    </row>
    <row r="8136" spans="1:7">
      <c r="B8136">
        <f>IF(INDEX(Transactions!$J:$J,ROW()-8)="",TODAY(),INDEX(Transactions!$G:$G,ROW()-8))</f>
      </c>
      <c r="F8136">
        <f>IF(INDEX(Transactions!$J:$J,ROW()-8)="",0,INDEX(Transactions!$O:$O,ROW()-8))</f>
      </c>
    </row>
    <row r="8137" spans="1:7">
      <c r="B8137">
        <f>IF(INDEX(Transactions!$J:$J,ROW()-8)="",TODAY(),INDEX(Transactions!$G:$G,ROW()-8))</f>
      </c>
      <c r="F8137">
        <f>IF(INDEX(Transactions!$J:$J,ROW()-8)="",0,INDEX(Transactions!$O:$O,ROW()-8))</f>
      </c>
    </row>
    <row r="8138" spans="1:7">
      <c r="B8138">
        <f>IF(INDEX(Transactions!$J:$J,ROW()-8)="",TODAY(),INDEX(Transactions!$G:$G,ROW()-8))</f>
      </c>
      <c r="F8138">
        <f>IF(INDEX(Transactions!$J:$J,ROW()-8)="",0,INDEX(Transactions!$O:$O,ROW()-8))</f>
      </c>
    </row>
    <row r="8139" spans="1:7">
      <c r="B8139">
        <f>IF(INDEX(Transactions!$J:$J,ROW()-8)="",TODAY(),INDEX(Transactions!$G:$G,ROW()-8))</f>
      </c>
      <c r="F8139">
        <f>IF(INDEX(Transactions!$J:$J,ROW()-8)="",0,INDEX(Transactions!$O:$O,ROW()-8))</f>
      </c>
    </row>
    <row r="8140" spans="1:7">
      <c r="B8140">
        <f>IF(INDEX(Transactions!$J:$J,ROW()-8)="",TODAY(),INDEX(Transactions!$G:$G,ROW()-8))</f>
      </c>
      <c r="F8140">
        <f>IF(INDEX(Transactions!$J:$J,ROW()-8)="",0,INDEX(Transactions!$O:$O,ROW()-8))</f>
      </c>
    </row>
    <row r="8141" spans="1:7">
      <c r="B8141">
        <f>IF(INDEX(Transactions!$J:$J,ROW()-8)="",TODAY(),INDEX(Transactions!$G:$G,ROW()-8))</f>
      </c>
      <c r="F8141">
        <f>IF(INDEX(Transactions!$J:$J,ROW()-8)="",0,INDEX(Transactions!$O:$O,ROW()-8))</f>
      </c>
    </row>
    <row r="8142" spans="1:7">
      <c r="B8142">
        <f>IF(INDEX(Transactions!$J:$J,ROW()-8)="",TODAY(),INDEX(Transactions!$G:$G,ROW()-8))</f>
      </c>
      <c r="F8142">
        <f>IF(INDEX(Transactions!$J:$J,ROW()-8)="",0,INDEX(Transactions!$O:$O,ROW()-8))</f>
      </c>
    </row>
    <row r="8143" spans="1:7">
      <c r="B8143">
        <f>IF(INDEX(Transactions!$J:$J,ROW()-8)="",TODAY(),INDEX(Transactions!$G:$G,ROW()-8))</f>
      </c>
      <c r="F8143">
        <f>IF(INDEX(Transactions!$J:$J,ROW()-8)="",0,INDEX(Transactions!$O:$O,ROW()-8))</f>
      </c>
    </row>
    <row r="8144" spans="1:7">
      <c r="B8144">
        <f>IF(INDEX(Transactions!$J:$J,ROW()-8)="",TODAY(),INDEX(Transactions!$G:$G,ROW()-8))</f>
      </c>
      <c r="F8144">
        <f>IF(INDEX(Transactions!$J:$J,ROW()-8)="",0,INDEX(Transactions!$O:$O,ROW()-8))</f>
      </c>
    </row>
    <row r="8145" spans="1:7">
      <c r="B8145">
        <f>IF(INDEX(Transactions!$J:$J,ROW()-8)="",TODAY(),INDEX(Transactions!$G:$G,ROW()-8))</f>
      </c>
      <c r="F8145">
        <f>IF(INDEX(Transactions!$J:$J,ROW()-8)="",0,INDEX(Transactions!$O:$O,ROW()-8))</f>
      </c>
    </row>
    <row r="8146" spans="1:7">
      <c r="B8146">
        <f>IF(INDEX(Transactions!$J:$J,ROW()-8)="",TODAY(),INDEX(Transactions!$G:$G,ROW()-8))</f>
      </c>
      <c r="F8146">
        <f>IF(INDEX(Transactions!$J:$J,ROW()-8)="",0,INDEX(Transactions!$O:$O,ROW()-8))</f>
      </c>
    </row>
    <row r="8147" spans="1:7">
      <c r="B8147">
        <f>IF(INDEX(Transactions!$J:$J,ROW()-8)="",TODAY(),INDEX(Transactions!$G:$G,ROW()-8))</f>
      </c>
      <c r="F8147">
        <f>IF(INDEX(Transactions!$J:$J,ROW()-8)="",0,INDEX(Transactions!$O:$O,ROW()-8))</f>
      </c>
    </row>
    <row r="8148" spans="1:7">
      <c r="B8148">
        <f>IF(INDEX(Transactions!$J:$J,ROW()-8)="",TODAY(),INDEX(Transactions!$G:$G,ROW()-8))</f>
      </c>
      <c r="F8148">
        <f>IF(INDEX(Transactions!$J:$J,ROW()-8)="",0,INDEX(Transactions!$O:$O,ROW()-8))</f>
      </c>
    </row>
    <row r="8149" spans="1:7">
      <c r="B8149">
        <f>IF(INDEX(Transactions!$J:$J,ROW()-8)="",TODAY(),INDEX(Transactions!$G:$G,ROW()-8))</f>
      </c>
      <c r="F8149">
        <f>IF(INDEX(Transactions!$J:$J,ROW()-8)="",0,INDEX(Transactions!$O:$O,ROW()-8))</f>
      </c>
    </row>
    <row r="8150" spans="1:7">
      <c r="B8150">
        <f>IF(INDEX(Transactions!$J:$J,ROW()-8)="",TODAY(),INDEX(Transactions!$G:$G,ROW()-8))</f>
      </c>
      <c r="F8150">
        <f>IF(INDEX(Transactions!$J:$J,ROW()-8)="",0,INDEX(Transactions!$O:$O,ROW()-8))</f>
      </c>
    </row>
    <row r="8151" spans="1:7">
      <c r="B8151">
        <f>IF(INDEX(Transactions!$J:$J,ROW()-8)="",TODAY(),INDEX(Transactions!$G:$G,ROW()-8))</f>
      </c>
      <c r="F8151">
        <f>IF(INDEX(Transactions!$J:$J,ROW()-8)="",0,INDEX(Transactions!$O:$O,ROW()-8))</f>
      </c>
    </row>
    <row r="8152" spans="1:7">
      <c r="B8152">
        <f>IF(INDEX(Transactions!$J:$J,ROW()-8)="",TODAY(),INDEX(Transactions!$G:$G,ROW()-8))</f>
      </c>
      <c r="F8152">
        <f>IF(INDEX(Transactions!$J:$J,ROW()-8)="",0,INDEX(Transactions!$O:$O,ROW()-8))</f>
      </c>
    </row>
    <row r="8153" spans="1:7">
      <c r="B8153">
        <f>IF(INDEX(Transactions!$J:$J,ROW()-8)="",TODAY(),INDEX(Transactions!$G:$G,ROW()-8))</f>
      </c>
      <c r="F8153">
        <f>IF(INDEX(Transactions!$J:$J,ROW()-8)="",0,INDEX(Transactions!$O:$O,ROW()-8))</f>
      </c>
    </row>
    <row r="8154" spans="1:7">
      <c r="B8154">
        <f>IF(INDEX(Transactions!$J:$J,ROW()-8)="",TODAY(),INDEX(Transactions!$G:$G,ROW()-8))</f>
      </c>
      <c r="F8154">
        <f>IF(INDEX(Transactions!$J:$J,ROW()-8)="",0,INDEX(Transactions!$O:$O,ROW()-8))</f>
      </c>
    </row>
    <row r="8155" spans="1:7">
      <c r="B8155">
        <f>IF(INDEX(Transactions!$J:$J,ROW()-8)="",TODAY(),INDEX(Transactions!$G:$G,ROW()-8))</f>
      </c>
      <c r="F8155">
        <f>IF(INDEX(Transactions!$J:$J,ROW()-8)="",0,INDEX(Transactions!$O:$O,ROW()-8))</f>
      </c>
    </row>
    <row r="8156" spans="1:7">
      <c r="B8156">
        <f>IF(INDEX(Transactions!$J:$J,ROW()-8)="",TODAY(),INDEX(Transactions!$G:$G,ROW()-8))</f>
      </c>
      <c r="F8156">
        <f>IF(INDEX(Transactions!$J:$J,ROW()-8)="",0,INDEX(Transactions!$O:$O,ROW()-8))</f>
      </c>
    </row>
    <row r="8157" spans="1:7">
      <c r="B8157">
        <f>IF(INDEX(Transactions!$J:$J,ROW()-8)="",TODAY(),INDEX(Transactions!$G:$G,ROW()-8))</f>
      </c>
      <c r="F8157">
        <f>IF(INDEX(Transactions!$J:$J,ROW()-8)="",0,INDEX(Transactions!$O:$O,ROW()-8))</f>
      </c>
    </row>
    <row r="8158" spans="1:7">
      <c r="B8158">
        <f>IF(INDEX(Transactions!$J:$J,ROW()-8)="",TODAY(),INDEX(Transactions!$G:$G,ROW()-8))</f>
      </c>
      <c r="F8158">
        <f>IF(INDEX(Transactions!$J:$J,ROW()-8)="",0,INDEX(Transactions!$O:$O,ROW()-8))</f>
      </c>
    </row>
    <row r="8159" spans="1:7">
      <c r="B8159">
        <f>IF(INDEX(Transactions!$J:$J,ROW()-8)="",TODAY(),INDEX(Transactions!$G:$G,ROW()-8))</f>
      </c>
      <c r="F8159">
        <f>IF(INDEX(Transactions!$J:$J,ROW()-8)="",0,INDEX(Transactions!$O:$O,ROW()-8))</f>
      </c>
    </row>
    <row r="8160" spans="1:7">
      <c r="B8160">
        <f>IF(INDEX(Transactions!$J:$J,ROW()-8)="",TODAY(),INDEX(Transactions!$G:$G,ROW()-8))</f>
      </c>
      <c r="F8160">
        <f>IF(INDEX(Transactions!$J:$J,ROW()-8)="",0,INDEX(Transactions!$O:$O,ROW()-8))</f>
      </c>
    </row>
    <row r="8161" spans="1:7">
      <c r="B8161">
        <f>IF(INDEX(Transactions!$J:$J,ROW()-8)="",TODAY(),INDEX(Transactions!$G:$G,ROW()-8))</f>
      </c>
      <c r="F8161">
        <f>IF(INDEX(Transactions!$J:$J,ROW()-8)="",0,INDEX(Transactions!$O:$O,ROW()-8))</f>
      </c>
    </row>
    <row r="8162" spans="1:7">
      <c r="B8162">
        <f>IF(INDEX(Transactions!$J:$J,ROW()-8)="",TODAY(),INDEX(Transactions!$G:$G,ROW()-8))</f>
      </c>
      <c r="F8162">
        <f>IF(INDEX(Transactions!$J:$J,ROW()-8)="",0,INDEX(Transactions!$O:$O,ROW()-8))</f>
      </c>
    </row>
    <row r="8163" spans="1:7">
      <c r="B8163">
        <f>IF(INDEX(Transactions!$J:$J,ROW()-8)="",TODAY(),INDEX(Transactions!$G:$G,ROW()-8))</f>
      </c>
      <c r="F8163">
        <f>IF(INDEX(Transactions!$J:$J,ROW()-8)="",0,INDEX(Transactions!$O:$O,ROW()-8))</f>
      </c>
    </row>
    <row r="8164" spans="1:7">
      <c r="B8164">
        <f>IF(INDEX(Transactions!$J:$J,ROW()-8)="",TODAY(),INDEX(Transactions!$G:$G,ROW()-8))</f>
      </c>
      <c r="F8164">
        <f>IF(INDEX(Transactions!$J:$J,ROW()-8)="",0,INDEX(Transactions!$O:$O,ROW()-8))</f>
      </c>
    </row>
    <row r="8165" spans="1:7">
      <c r="B8165">
        <f>IF(INDEX(Transactions!$J:$J,ROW()-8)="",TODAY(),INDEX(Transactions!$G:$G,ROW()-8))</f>
      </c>
      <c r="F8165">
        <f>IF(INDEX(Transactions!$J:$J,ROW()-8)="",0,INDEX(Transactions!$O:$O,ROW()-8))</f>
      </c>
    </row>
    <row r="8166" spans="1:7">
      <c r="B8166">
        <f>IF(INDEX(Transactions!$J:$J,ROW()-8)="",TODAY(),INDEX(Transactions!$G:$G,ROW()-8))</f>
      </c>
      <c r="F8166">
        <f>IF(INDEX(Transactions!$J:$J,ROW()-8)="",0,INDEX(Transactions!$O:$O,ROW()-8))</f>
      </c>
    </row>
    <row r="8167" spans="1:7">
      <c r="B8167">
        <f>IF(INDEX(Transactions!$J:$J,ROW()-8)="",TODAY(),INDEX(Transactions!$G:$G,ROW()-8))</f>
      </c>
      <c r="F8167">
        <f>IF(INDEX(Transactions!$J:$J,ROW()-8)="",0,INDEX(Transactions!$O:$O,ROW()-8))</f>
      </c>
    </row>
    <row r="8168" spans="1:7">
      <c r="B8168">
        <f>IF(INDEX(Transactions!$J:$J,ROW()-8)="",TODAY(),INDEX(Transactions!$G:$G,ROW()-8))</f>
      </c>
      <c r="F8168">
        <f>IF(INDEX(Transactions!$J:$J,ROW()-8)="",0,INDEX(Transactions!$O:$O,ROW()-8))</f>
      </c>
    </row>
    <row r="8169" spans="1:7">
      <c r="B8169">
        <f>IF(INDEX(Transactions!$J:$J,ROW()-8)="",TODAY(),INDEX(Transactions!$G:$G,ROW()-8))</f>
      </c>
      <c r="F8169">
        <f>IF(INDEX(Transactions!$J:$J,ROW()-8)="",0,INDEX(Transactions!$O:$O,ROW()-8))</f>
      </c>
    </row>
    <row r="8170" spans="1:7">
      <c r="B8170">
        <f>IF(INDEX(Transactions!$J:$J,ROW()-8)="",TODAY(),INDEX(Transactions!$G:$G,ROW()-8))</f>
      </c>
      <c r="F8170">
        <f>IF(INDEX(Transactions!$J:$J,ROW()-8)="",0,INDEX(Transactions!$O:$O,ROW()-8))</f>
      </c>
    </row>
    <row r="8171" spans="1:7">
      <c r="B8171">
        <f>IF(INDEX(Transactions!$J:$J,ROW()-8)="",TODAY(),INDEX(Transactions!$G:$G,ROW()-8))</f>
      </c>
      <c r="F8171">
        <f>IF(INDEX(Transactions!$J:$J,ROW()-8)="",0,INDEX(Transactions!$O:$O,ROW()-8))</f>
      </c>
    </row>
    <row r="8172" spans="1:7">
      <c r="B8172">
        <f>IF(INDEX(Transactions!$J:$J,ROW()-8)="",TODAY(),INDEX(Transactions!$G:$G,ROW()-8))</f>
      </c>
      <c r="F8172">
        <f>IF(INDEX(Transactions!$J:$J,ROW()-8)="",0,INDEX(Transactions!$O:$O,ROW()-8))</f>
      </c>
    </row>
    <row r="8173" spans="1:7">
      <c r="B8173">
        <f>IF(INDEX(Transactions!$J:$J,ROW()-8)="",TODAY(),INDEX(Transactions!$G:$G,ROW()-8))</f>
      </c>
      <c r="F8173">
        <f>IF(INDEX(Transactions!$J:$J,ROW()-8)="",0,INDEX(Transactions!$O:$O,ROW()-8))</f>
      </c>
    </row>
    <row r="8174" spans="1:7">
      <c r="B8174">
        <f>IF(INDEX(Transactions!$J:$J,ROW()-8)="",TODAY(),INDEX(Transactions!$G:$G,ROW()-8))</f>
      </c>
      <c r="F8174">
        <f>IF(INDEX(Transactions!$J:$J,ROW()-8)="",0,INDEX(Transactions!$O:$O,ROW()-8))</f>
      </c>
    </row>
    <row r="8175" spans="1:7">
      <c r="B8175">
        <f>IF(INDEX(Transactions!$J:$J,ROW()-8)="",TODAY(),INDEX(Transactions!$G:$G,ROW()-8))</f>
      </c>
      <c r="F8175">
        <f>IF(INDEX(Transactions!$J:$J,ROW()-8)="",0,INDEX(Transactions!$O:$O,ROW()-8))</f>
      </c>
    </row>
    <row r="8176" spans="1:7">
      <c r="B8176">
        <f>IF(INDEX(Transactions!$J:$J,ROW()-8)="",TODAY(),INDEX(Transactions!$G:$G,ROW()-8))</f>
      </c>
      <c r="F8176">
        <f>IF(INDEX(Transactions!$J:$J,ROW()-8)="",0,INDEX(Transactions!$O:$O,ROW()-8))</f>
      </c>
    </row>
    <row r="8177" spans="1:7">
      <c r="B8177">
        <f>IF(INDEX(Transactions!$J:$J,ROW()-8)="",TODAY(),INDEX(Transactions!$G:$G,ROW()-8))</f>
      </c>
      <c r="F8177">
        <f>IF(INDEX(Transactions!$J:$J,ROW()-8)="",0,INDEX(Transactions!$O:$O,ROW()-8))</f>
      </c>
    </row>
    <row r="8178" spans="1:7">
      <c r="B8178">
        <f>IF(INDEX(Transactions!$J:$J,ROW()-8)="",TODAY(),INDEX(Transactions!$G:$G,ROW()-8))</f>
      </c>
      <c r="F8178">
        <f>IF(INDEX(Transactions!$J:$J,ROW()-8)="",0,INDEX(Transactions!$O:$O,ROW()-8))</f>
      </c>
    </row>
    <row r="8179" spans="1:7">
      <c r="B8179">
        <f>IF(INDEX(Transactions!$J:$J,ROW()-8)="",TODAY(),INDEX(Transactions!$G:$G,ROW()-8))</f>
      </c>
      <c r="F8179">
        <f>IF(INDEX(Transactions!$J:$J,ROW()-8)="",0,INDEX(Transactions!$O:$O,ROW()-8))</f>
      </c>
    </row>
    <row r="8180" spans="1:7">
      <c r="B8180">
        <f>IF(INDEX(Transactions!$J:$J,ROW()-8)="",TODAY(),INDEX(Transactions!$G:$G,ROW()-8))</f>
      </c>
      <c r="F8180">
        <f>IF(INDEX(Transactions!$J:$J,ROW()-8)="",0,INDEX(Transactions!$O:$O,ROW()-8))</f>
      </c>
    </row>
    <row r="8181" spans="1:7">
      <c r="B8181">
        <f>IF(INDEX(Transactions!$J:$J,ROW()-8)="",TODAY(),INDEX(Transactions!$G:$G,ROW()-8))</f>
      </c>
      <c r="F8181">
        <f>IF(INDEX(Transactions!$J:$J,ROW()-8)="",0,INDEX(Transactions!$O:$O,ROW()-8))</f>
      </c>
    </row>
    <row r="8182" spans="1:7">
      <c r="B8182">
        <f>IF(INDEX(Transactions!$J:$J,ROW()-8)="",TODAY(),INDEX(Transactions!$G:$G,ROW()-8))</f>
      </c>
      <c r="F8182">
        <f>IF(INDEX(Transactions!$J:$J,ROW()-8)="",0,INDEX(Transactions!$O:$O,ROW()-8))</f>
      </c>
    </row>
    <row r="8183" spans="1:7">
      <c r="B8183">
        <f>IF(INDEX(Transactions!$J:$J,ROW()-8)="",TODAY(),INDEX(Transactions!$G:$G,ROW()-8))</f>
      </c>
      <c r="F8183">
        <f>IF(INDEX(Transactions!$J:$J,ROW()-8)="",0,INDEX(Transactions!$O:$O,ROW()-8))</f>
      </c>
    </row>
    <row r="8184" spans="1:7">
      <c r="B8184">
        <f>IF(INDEX(Transactions!$J:$J,ROW()-8)="",TODAY(),INDEX(Transactions!$G:$G,ROW()-8))</f>
      </c>
      <c r="F8184">
        <f>IF(INDEX(Transactions!$J:$J,ROW()-8)="",0,INDEX(Transactions!$O:$O,ROW()-8))</f>
      </c>
    </row>
    <row r="8185" spans="1:7">
      <c r="B8185">
        <f>IF(INDEX(Transactions!$J:$J,ROW()-8)="",TODAY(),INDEX(Transactions!$G:$G,ROW()-8))</f>
      </c>
      <c r="F8185">
        <f>IF(INDEX(Transactions!$J:$J,ROW()-8)="",0,INDEX(Transactions!$O:$O,ROW()-8))</f>
      </c>
    </row>
    <row r="8186" spans="1:7">
      <c r="B8186">
        <f>IF(INDEX(Transactions!$J:$J,ROW()-8)="",TODAY(),INDEX(Transactions!$G:$G,ROW()-8))</f>
      </c>
      <c r="F8186">
        <f>IF(INDEX(Transactions!$J:$J,ROW()-8)="",0,INDEX(Transactions!$O:$O,ROW()-8))</f>
      </c>
    </row>
    <row r="8187" spans="1:7">
      <c r="B8187">
        <f>IF(INDEX(Transactions!$J:$J,ROW()-8)="",TODAY(),INDEX(Transactions!$G:$G,ROW()-8))</f>
      </c>
      <c r="F8187">
        <f>IF(INDEX(Transactions!$J:$J,ROW()-8)="",0,INDEX(Transactions!$O:$O,ROW()-8))</f>
      </c>
    </row>
    <row r="8188" spans="1:7">
      <c r="B8188">
        <f>IF(INDEX(Transactions!$J:$J,ROW()-8)="",TODAY(),INDEX(Transactions!$G:$G,ROW()-8))</f>
      </c>
      <c r="F8188">
        <f>IF(INDEX(Transactions!$J:$J,ROW()-8)="",0,INDEX(Transactions!$O:$O,ROW()-8))</f>
      </c>
    </row>
    <row r="8189" spans="1:7">
      <c r="B8189">
        <f>IF(INDEX(Transactions!$J:$J,ROW()-8)="",TODAY(),INDEX(Transactions!$G:$G,ROW()-8))</f>
      </c>
      <c r="F8189">
        <f>IF(INDEX(Transactions!$J:$J,ROW()-8)="",0,INDEX(Transactions!$O:$O,ROW()-8))</f>
      </c>
    </row>
    <row r="8190" spans="1:7">
      <c r="B8190">
        <f>IF(INDEX(Transactions!$J:$J,ROW()-8)="",TODAY(),INDEX(Transactions!$G:$G,ROW()-8))</f>
      </c>
      <c r="F8190">
        <f>IF(INDEX(Transactions!$J:$J,ROW()-8)="",0,INDEX(Transactions!$O:$O,ROW()-8))</f>
      </c>
    </row>
    <row r="8191" spans="1:7">
      <c r="B8191">
        <f>IF(INDEX(Transactions!$J:$J,ROW()-8)="",TODAY(),INDEX(Transactions!$G:$G,ROW()-8))</f>
      </c>
      <c r="F8191">
        <f>IF(INDEX(Transactions!$J:$J,ROW()-8)="",0,INDEX(Transactions!$O:$O,ROW()-8))</f>
      </c>
    </row>
    <row r="8192" spans="1:7">
      <c r="B8192">
        <f>IF(INDEX(Transactions!$J:$J,ROW()-8)="",TODAY(),INDEX(Transactions!$G:$G,ROW()-8))</f>
      </c>
      <c r="F8192">
        <f>IF(INDEX(Transactions!$J:$J,ROW()-8)="",0,INDEX(Transactions!$O:$O,ROW()-8))</f>
      </c>
    </row>
    <row r="8193" spans="1:7">
      <c r="B8193">
        <f>IF(INDEX(Transactions!$J:$J,ROW()-8)="",TODAY(),INDEX(Transactions!$G:$G,ROW()-8))</f>
      </c>
      <c r="F8193">
        <f>IF(INDEX(Transactions!$J:$J,ROW()-8)="",0,INDEX(Transactions!$O:$O,ROW()-8))</f>
      </c>
    </row>
    <row r="8194" spans="1:7">
      <c r="B8194">
        <f>IF(INDEX(Transactions!$J:$J,ROW()-8)="",TODAY(),INDEX(Transactions!$G:$G,ROW()-8))</f>
      </c>
      <c r="F8194">
        <f>IF(INDEX(Transactions!$J:$J,ROW()-8)="",0,INDEX(Transactions!$O:$O,ROW()-8))</f>
      </c>
    </row>
    <row r="8195" spans="1:7">
      <c r="B8195">
        <f>IF(INDEX(Transactions!$J:$J,ROW()-8)="",TODAY(),INDEX(Transactions!$G:$G,ROW()-8))</f>
      </c>
      <c r="F8195">
        <f>IF(INDEX(Transactions!$J:$J,ROW()-8)="",0,INDEX(Transactions!$O:$O,ROW()-8))</f>
      </c>
    </row>
    <row r="8196" spans="1:7">
      <c r="B8196">
        <f>IF(INDEX(Transactions!$J:$J,ROW()-8)="",TODAY(),INDEX(Transactions!$G:$G,ROW()-8))</f>
      </c>
      <c r="F8196">
        <f>IF(INDEX(Transactions!$J:$J,ROW()-8)="",0,INDEX(Transactions!$O:$O,ROW()-8))</f>
      </c>
    </row>
    <row r="8197" spans="1:7">
      <c r="B8197">
        <f>IF(INDEX(Transactions!$J:$J,ROW()-8)="",TODAY(),INDEX(Transactions!$G:$G,ROW()-8))</f>
      </c>
      <c r="F8197">
        <f>IF(INDEX(Transactions!$J:$J,ROW()-8)="",0,INDEX(Transactions!$O:$O,ROW()-8))</f>
      </c>
    </row>
    <row r="8198" spans="1:7">
      <c r="B8198">
        <f>IF(INDEX(Transactions!$J:$J,ROW()-8)="",TODAY(),INDEX(Transactions!$G:$G,ROW()-8))</f>
      </c>
      <c r="F8198">
        <f>IF(INDEX(Transactions!$J:$J,ROW()-8)="",0,INDEX(Transactions!$O:$O,ROW()-8))</f>
      </c>
    </row>
    <row r="8199" spans="1:7">
      <c r="B8199">
        <f>IF(INDEX(Transactions!$J:$J,ROW()-8)="",TODAY(),INDEX(Transactions!$G:$G,ROW()-8))</f>
      </c>
      <c r="F8199">
        <f>IF(INDEX(Transactions!$J:$J,ROW()-8)="",0,INDEX(Transactions!$O:$O,ROW()-8))</f>
      </c>
    </row>
    <row r="8200" spans="1:7">
      <c r="B8200">
        <f>IF(INDEX(Transactions!$J:$J,ROW()-8)="",TODAY(),INDEX(Transactions!$G:$G,ROW()-8))</f>
      </c>
      <c r="F8200">
        <f>IF(INDEX(Transactions!$J:$J,ROW()-8)="",0,INDEX(Transactions!$O:$O,ROW()-8))</f>
      </c>
    </row>
    <row r="8201" spans="1:7">
      <c r="B8201">
        <f>IF(INDEX(Transactions!$J:$J,ROW()-8)="",TODAY(),INDEX(Transactions!$G:$G,ROW()-8))</f>
      </c>
      <c r="F8201">
        <f>IF(INDEX(Transactions!$J:$J,ROW()-8)="",0,INDEX(Transactions!$O:$O,ROW()-8))</f>
      </c>
    </row>
    <row r="8202" spans="1:7">
      <c r="B8202">
        <f>IF(INDEX(Transactions!$J:$J,ROW()-8)="",TODAY(),INDEX(Transactions!$G:$G,ROW()-8))</f>
      </c>
      <c r="F8202">
        <f>IF(INDEX(Transactions!$J:$J,ROW()-8)="",0,INDEX(Transactions!$O:$O,ROW()-8))</f>
      </c>
    </row>
    <row r="8203" spans="1:7">
      <c r="B8203">
        <f>IF(INDEX(Transactions!$J:$J,ROW()-8)="",TODAY(),INDEX(Transactions!$G:$G,ROW()-8))</f>
      </c>
      <c r="F8203">
        <f>IF(INDEX(Transactions!$J:$J,ROW()-8)="",0,INDEX(Transactions!$O:$O,ROW()-8))</f>
      </c>
    </row>
    <row r="8204" spans="1:7">
      <c r="B8204">
        <f>IF(INDEX(Transactions!$J:$J,ROW()-8)="",TODAY(),INDEX(Transactions!$G:$G,ROW()-8))</f>
      </c>
      <c r="F8204">
        <f>IF(INDEX(Transactions!$J:$J,ROW()-8)="",0,INDEX(Transactions!$O:$O,ROW()-8))</f>
      </c>
    </row>
    <row r="8205" spans="1:7">
      <c r="B8205">
        <f>IF(INDEX(Transactions!$J:$J,ROW()-8)="",TODAY(),INDEX(Transactions!$G:$G,ROW()-8))</f>
      </c>
      <c r="F8205">
        <f>IF(INDEX(Transactions!$J:$J,ROW()-8)="",0,INDEX(Transactions!$O:$O,ROW()-8))</f>
      </c>
    </row>
    <row r="8206" spans="1:7">
      <c r="B8206">
        <f>IF(INDEX(Transactions!$J:$J,ROW()-8)="",TODAY(),INDEX(Transactions!$G:$G,ROW()-8))</f>
      </c>
      <c r="F8206">
        <f>IF(INDEX(Transactions!$J:$J,ROW()-8)="",0,INDEX(Transactions!$O:$O,ROW()-8))</f>
      </c>
    </row>
    <row r="8207" spans="1:7">
      <c r="B8207">
        <f>IF(INDEX(Transactions!$J:$J,ROW()-8)="",TODAY(),INDEX(Transactions!$G:$G,ROW()-8))</f>
      </c>
      <c r="F8207">
        <f>IF(INDEX(Transactions!$J:$J,ROW()-8)="",0,INDEX(Transactions!$O:$O,ROW()-8))</f>
      </c>
    </row>
    <row r="8208" spans="1:7">
      <c r="B8208">
        <f>IF(INDEX(Transactions!$J:$J,ROW()-8)="",TODAY(),INDEX(Transactions!$G:$G,ROW()-8))</f>
      </c>
      <c r="F8208">
        <f>IF(INDEX(Transactions!$J:$J,ROW()-8)="",0,INDEX(Transactions!$O:$O,ROW()-8))</f>
      </c>
    </row>
    <row r="8209" spans="1:7">
      <c r="B8209">
        <f>IF(INDEX(Transactions!$J:$J,ROW()-8)="",TODAY(),INDEX(Transactions!$G:$G,ROW()-8))</f>
      </c>
      <c r="F8209">
        <f>IF(INDEX(Transactions!$J:$J,ROW()-8)="",0,INDEX(Transactions!$O:$O,ROW()-8))</f>
      </c>
    </row>
    <row r="8210" spans="1:7">
      <c r="B8210">
        <f>IF(INDEX(Transactions!$J:$J,ROW()-8)="",TODAY(),INDEX(Transactions!$G:$G,ROW()-8))</f>
      </c>
      <c r="F8210">
        <f>IF(INDEX(Transactions!$J:$J,ROW()-8)="",0,INDEX(Transactions!$O:$O,ROW()-8))</f>
      </c>
    </row>
    <row r="8211" spans="1:7">
      <c r="B8211">
        <f>IF(INDEX(Transactions!$J:$J,ROW()-8)="",TODAY(),INDEX(Transactions!$G:$G,ROW()-8))</f>
      </c>
      <c r="F8211">
        <f>IF(INDEX(Transactions!$J:$J,ROW()-8)="",0,INDEX(Transactions!$O:$O,ROW()-8))</f>
      </c>
    </row>
    <row r="8212" spans="1:7">
      <c r="B8212">
        <f>IF(INDEX(Transactions!$J:$J,ROW()-8)="",TODAY(),INDEX(Transactions!$G:$G,ROW()-8))</f>
      </c>
      <c r="F8212">
        <f>IF(INDEX(Transactions!$J:$J,ROW()-8)="",0,INDEX(Transactions!$O:$O,ROW()-8))</f>
      </c>
    </row>
    <row r="8213" spans="1:7">
      <c r="B8213">
        <f>IF(INDEX(Transactions!$J:$J,ROW()-8)="",TODAY(),INDEX(Transactions!$G:$G,ROW()-8))</f>
      </c>
      <c r="F8213">
        <f>IF(INDEX(Transactions!$J:$J,ROW()-8)="",0,INDEX(Transactions!$O:$O,ROW()-8))</f>
      </c>
    </row>
    <row r="8214" spans="1:7">
      <c r="B8214">
        <f>IF(INDEX(Transactions!$J:$J,ROW()-8)="",TODAY(),INDEX(Transactions!$G:$G,ROW()-8))</f>
      </c>
      <c r="F8214">
        <f>IF(INDEX(Transactions!$J:$J,ROW()-8)="",0,INDEX(Transactions!$O:$O,ROW()-8))</f>
      </c>
    </row>
    <row r="8215" spans="1:7">
      <c r="B8215">
        <f>IF(INDEX(Transactions!$J:$J,ROW()-8)="",TODAY(),INDEX(Transactions!$G:$G,ROW()-8))</f>
      </c>
      <c r="F8215">
        <f>IF(INDEX(Transactions!$J:$J,ROW()-8)="",0,INDEX(Transactions!$O:$O,ROW()-8))</f>
      </c>
    </row>
    <row r="8216" spans="1:7">
      <c r="B8216">
        <f>IF(INDEX(Transactions!$J:$J,ROW()-8)="",TODAY(),INDEX(Transactions!$G:$G,ROW()-8))</f>
      </c>
      <c r="F8216">
        <f>IF(INDEX(Transactions!$J:$J,ROW()-8)="",0,INDEX(Transactions!$O:$O,ROW()-8))</f>
      </c>
    </row>
    <row r="8217" spans="1:7">
      <c r="B8217">
        <f>IF(INDEX(Transactions!$J:$J,ROW()-8)="",TODAY(),INDEX(Transactions!$G:$G,ROW()-8))</f>
      </c>
      <c r="F8217">
        <f>IF(INDEX(Transactions!$J:$J,ROW()-8)="",0,INDEX(Transactions!$O:$O,ROW()-8))</f>
      </c>
    </row>
    <row r="8218" spans="1:7">
      <c r="B8218">
        <f>IF(INDEX(Transactions!$J:$J,ROW()-8)="",TODAY(),INDEX(Transactions!$G:$G,ROW()-8))</f>
      </c>
      <c r="F8218">
        <f>IF(INDEX(Transactions!$J:$J,ROW()-8)="",0,INDEX(Transactions!$O:$O,ROW()-8))</f>
      </c>
    </row>
    <row r="8219" spans="1:7">
      <c r="B8219">
        <f>IF(INDEX(Transactions!$J:$J,ROW()-8)="",TODAY(),INDEX(Transactions!$G:$G,ROW()-8))</f>
      </c>
      <c r="F8219">
        <f>IF(INDEX(Transactions!$J:$J,ROW()-8)="",0,INDEX(Transactions!$O:$O,ROW()-8))</f>
      </c>
    </row>
    <row r="8220" spans="1:7">
      <c r="B8220">
        <f>IF(INDEX(Transactions!$J:$J,ROW()-8)="",TODAY(),INDEX(Transactions!$G:$G,ROW()-8))</f>
      </c>
      <c r="F8220">
        <f>IF(INDEX(Transactions!$J:$J,ROW()-8)="",0,INDEX(Transactions!$O:$O,ROW()-8))</f>
      </c>
    </row>
    <row r="8221" spans="1:7">
      <c r="B8221">
        <f>IF(INDEX(Transactions!$J:$J,ROW()-8)="",TODAY(),INDEX(Transactions!$G:$G,ROW()-8))</f>
      </c>
      <c r="F8221">
        <f>IF(INDEX(Transactions!$J:$J,ROW()-8)="",0,INDEX(Transactions!$O:$O,ROW()-8))</f>
      </c>
    </row>
    <row r="8222" spans="1:7">
      <c r="B8222">
        <f>IF(INDEX(Transactions!$J:$J,ROW()-8)="",TODAY(),INDEX(Transactions!$G:$G,ROW()-8))</f>
      </c>
      <c r="F8222">
        <f>IF(INDEX(Transactions!$J:$J,ROW()-8)="",0,INDEX(Transactions!$O:$O,ROW()-8))</f>
      </c>
    </row>
    <row r="8223" spans="1:7">
      <c r="B8223">
        <f>IF(INDEX(Transactions!$J:$J,ROW()-8)="",TODAY(),INDEX(Transactions!$G:$G,ROW()-8))</f>
      </c>
      <c r="F8223">
        <f>IF(INDEX(Transactions!$J:$J,ROW()-8)="",0,INDEX(Transactions!$O:$O,ROW()-8))</f>
      </c>
    </row>
    <row r="8224" spans="1:7">
      <c r="B8224">
        <f>IF(INDEX(Transactions!$J:$J,ROW()-8)="",TODAY(),INDEX(Transactions!$G:$G,ROW()-8))</f>
      </c>
      <c r="F8224">
        <f>IF(INDEX(Transactions!$J:$J,ROW()-8)="",0,INDEX(Transactions!$O:$O,ROW()-8))</f>
      </c>
    </row>
    <row r="8225" spans="1:7">
      <c r="B8225">
        <f>IF(INDEX(Transactions!$J:$J,ROW()-8)="",TODAY(),INDEX(Transactions!$G:$G,ROW()-8))</f>
      </c>
      <c r="F8225">
        <f>IF(INDEX(Transactions!$J:$J,ROW()-8)="",0,INDEX(Transactions!$O:$O,ROW()-8))</f>
      </c>
    </row>
    <row r="8226" spans="1:7">
      <c r="B8226">
        <f>IF(INDEX(Transactions!$J:$J,ROW()-8)="",TODAY(),INDEX(Transactions!$G:$G,ROW()-8))</f>
      </c>
      <c r="F8226">
        <f>IF(INDEX(Transactions!$J:$J,ROW()-8)="",0,INDEX(Transactions!$O:$O,ROW()-8))</f>
      </c>
    </row>
    <row r="8227" spans="1:7">
      <c r="B8227">
        <f>IF(INDEX(Transactions!$J:$J,ROW()-8)="",TODAY(),INDEX(Transactions!$G:$G,ROW()-8))</f>
      </c>
      <c r="F8227">
        <f>IF(INDEX(Transactions!$J:$J,ROW()-8)="",0,INDEX(Transactions!$O:$O,ROW()-8))</f>
      </c>
    </row>
    <row r="8228" spans="1:7">
      <c r="B8228">
        <f>IF(INDEX(Transactions!$J:$J,ROW()-8)="",TODAY(),INDEX(Transactions!$G:$G,ROW()-8))</f>
      </c>
      <c r="F8228">
        <f>IF(INDEX(Transactions!$J:$J,ROW()-8)="",0,INDEX(Transactions!$O:$O,ROW()-8))</f>
      </c>
    </row>
    <row r="8229" spans="1:7">
      <c r="B8229">
        <f>IF(INDEX(Transactions!$J:$J,ROW()-8)="",TODAY(),INDEX(Transactions!$G:$G,ROW()-8))</f>
      </c>
      <c r="F8229">
        <f>IF(INDEX(Transactions!$J:$J,ROW()-8)="",0,INDEX(Transactions!$O:$O,ROW()-8))</f>
      </c>
    </row>
    <row r="8230" spans="1:7">
      <c r="B8230">
        <f>IF(INDEX(Transactions!$J:$J,ROW()-8)="",TODAY(),INDEX(Transactions!$G:$G,ROW()-8))</f>
      </c>
      <c r="F8230">
        <f>IF(INDEX(Transactions!$J:$J,ROW()-8)="",0,INDEX(Transactions!$O:$O,ROW()-8))</f>
      </c>
    </row>
    <row r="8231" spans="1:7">
      <c r="B8231">
        <f>IF(INDEX(Transactions!$J:$J,ROW()-8)="",TODAY(),INDEX(Transactions!$G:$G,ROW()-8))</f>
      </c>
      <c r="F8231">
        <f>IF(INDEX(Transactions!$J:$J,ROW()-8)="",0,INDEX(Transactions!$O:$O,ROW()-8))</f>
      </c>
    </row>
    <row r="8232" spans="1:7">
      <c r="B8232">
        <f>IF(INDEX(Transactions!$J:$J,ROW()-8)="",TODAY(),INDEX(Transactions!$G:$G,ROW()-8))</f>
      </c>
      <c r="F8232">
        <f>IF(INDEX(Transactions!$J:$J,ROW()-8)="",0,INDEX(Transactions!$O:$O,ROW()-8))</f>
      </c>
    </row>
    <row r="8233" spans="1:7">
      <c r="B8233">
        <f>IF(INDEX(Transactions!$J:$J,ROW()-8)="",TODAY(),INDEX(Transactions!$G:$G,ROW()-8))</f>
      </c>
      <c r="F8233">
        <f>IF(INDEX(Transactions!$J:$J,ROW()-8)="",0,INDEX(Transactions!$O:$O,ROW()-8))</f>
      </c>
    </row>
    <row r="8234" spans="1:7">
      <c r="B8234">
        <f>IF(INDEX(Transactions!$J:$J,ROW()-8)="",TODAY(),INDEX(Transactions!$G:$G,ROW()-8))</f>
      </c>
      <c r="F8234">
        <f>IF(INDEX(Transactions!$J:$J,ROW()-8)="",0,INDEX(Transactions!$O:$O,ROW()-8))</f>
      </c>
    </row>
    <row r="8235" spans="1:7">
      <c r="B8235">
        <f>IF(INDEX(Transactions!$J:$J,ROW()-8)="",TODAY(),INDEX(Transactions!$G:$G,ROW()-8))</f>
      </c>
      <c r="F8235">
        <f>IF(INDEX(Transactions!$J:$J,ROW()-8)="",0,INDEX(Transactions!$O:$O,ROW()-8))</f>
      </c>
    </row>
    <row r="8236" spans="1:7">
      <c r="B8236">
        <f>IF(INDEX(Transactions!$J:$J,ROW()-8)="",TODAY(),INDEX(Transactions!$G:$G,ROW()-8))</f>
      </c>
      <c r="F8236">
        <f>IF(INDEX(Transactions!$J:$J,ROW()-8)="",0,INDEX(Transactions!$O:$O,ROW()-8))</f>
      </c>
    </row>
    <row r="8237" spans="1:7">
      <c r="B8237">
        <f>IF(INDEX(Transactions!$J:$J,ROW()-8)="",TODAY(),INDEX(Transactions!$G:$G,ROW()-8))</f>
      </c>
      <c r="F8237">
        <f>IF(INDEX(Transactions!$J:$J,ROW()-8)="",0,INDEX(Transactions!$O:$O,ROW()-8))</f>
      </c>
    </row>
    <row r="8238" spans="1:7">
      <c r="B8238">
        <f>IF(INDEX(Transactions!$J:$J,ROW()-8)="",TODAY(),INDEX(Transactions!$G:$G,ROW()-8))</f>
      </c>
      <c r="F8238">
        <f>IF(INDEX(Transactions!$J:$J,ROW()-8)="",0,INDEX(Transactions!$O:$O,ROW()-8))</f>
      </c>
    </row>
    <row r="8239" spans="1:7">
      <c r="B8239">
        <f>IF(INDEX(Transactions!$J:$J,ROW()-8)="",TODAY(),INDEX(Transactions!$G:$G,ROW()-8))</f>
      </c>
      <c r="F8239">
        <f>IF(INDEX(Transactions!$J:$J,ROW()-8)="",0,INDEX(Transactions!$O:$O,ROW()-8))</f>
      </c>
    </row>
    <row r="8240" spans="1:7">
      <c r="B8240">
        <f>IF(INDEX(Transactions!$J:$J,ROW()-8)="",TODAY(),INDEX(Transactions!$G:$G,ROW()-8))</f>
      </c>
      <c r="F8240">
        <f>IF(INDEX(Transactions!$J:$J,ROW()-8)="",0,INDEX(Transactions!$O:$O,ROW()-8))</f>
      </c>
    </row>
    <row r="8241" spans="1:7">
      <c r="B8241">
        <f>IF(INDEX(Transactions!$J:$J,ROW()-8)="",TODAY(),INDEX(Transactions!$G:$G,ROW()-8))</f>
      </c>
      <c r="F8241">
        <f>IF(INDEX(Transactions!$J:$J,ROW()-8)="",0,INDEX(Transactions!$O:$O,ROW()-8))</f>
      </c>
    </row>
    <row r="8242" spans="1:7">
      <c r="B8242">
        <f>IF(INDEX(Transactions!$J:$J,ROW()-8)="",TODAY(),INDEX(Transactions!$G:$G,ROW()-8))</f>
      </c>
      <c r="F8242">
        <f>IF(INDEX(Transactions!$J:$J,ROW()-8)="",0,INDEX(Transactions!$O:$O,ROW()-8))</f>
      </c>
    </row>
    <row r="8243" spans="1:7">
      <c r="B8243">
        <f>IF(INDEX(Transactions!$J:$J,ROW()-8)="",TODAY(),INDEX(Transactions!$G:$G,ROW()-8))</f>
      </c>
      <c r="F8243">
        <f>IF(INDEX(Transactions!$J:$J,ROW()-8)="",0,INDEX(Transactions!$O:$O,ROW()-8))</f>
      </c>
    </row>
    <row r="8244" spans="1:7">
      <c r="B8244">
        <f>IF(INDEX(Transactions!$J:$J,ROW()-8)="",TODAY(),INDEX(Transactions!$G:$G,ROW()-8))</f>
      </c>
      <c r="F8244">
        <f>IF(INDEX(Transactions!$J:$J,ROW()-8)="",0,INDEX(Transactions!$O:$O,ROW()-8))</f>
      </c>
    </row>
    <row r="8245" spans="1:7">
      <c r="B8245">
        <f>IF(INDEX(Transactions!$J:$J,ROW()-8)="",TODAY(),INDEX(Transactions!$G:$G,ROW()-8))</f>
      </c>
      <c r="F8245">
        <f>IF(INDEX(Transactions!$J:$J,ROW()-8)="",0,INDEX(Transactions!$O:$O,ROW()-8))</f>
      </c>
    </row>
    <row r="8246" spans="1:7">
      <c r="B8246">
        <f>IF(INDEX(Transactions!$J:$J,ROW()-8)="",TODAY(),INDEX(Transactions!$G:$G,ROW()-8))</f>
      </c>
      <c r="F8246">
        <f>IF(INDEX(Transactions!$J:$J,ROW()-8)="",0,INDEX(Transactions!$O:$O,ROW()-8))</f>
      </c>
    </row>
    <row r="8247" spans="1:7">
      <c r="B8247">
        <f>IF(INDEX(Transactions!$J:$J,ROW()-8)="",TODAY(),INDEX(Transactions!$G:$G,ROW()-8))</f>
      </c>
      <c r="F8247">
        <f>IF(INDEX(Transactions!$J:$J,ROW()-8)="",0,INDEX(Transactions!$O:$O,ROW()-8))</f>
      </c>
    </row>
    <row r="8248" spans="1:7">
      <c r="B8248">
        <f>IF(INDEX(Transactions!$J:$J,ROW()-8)="",TODAY(),INDEX(Transactions!$G:$G,ROW()-8))</f>
      </c>
      <c r="F8248">
        <f>IF(INDEX(Transactions!$J:$J,ROW()-8)="",0,INDEX(Transactions!$O:$O,ROW()-8))</f>
      </c>
    </row>
    <row r="8249" spans="1:7">
      <c r="B8249">
        <f>IF(INDEX(Transactions!$J:$J,ROW()-8)="",TODAY(),INDEX(Transactions!$G:$G,ROW()-8))</f>
      </c>
      <c r="F8249">
        <f>IF(INDEX(Transactions!$J:$J,ROW()-8)="",0,INDEX(Transactions!$O:$O,ROW()-8))</f>
      </c>
    </row>
    <row r="8250" spans="1:7">
      <c r="B8250">
        <f>IF(INDEX(Transactions!$J:$J,ROW()-8)="",TODAY(),INDEX(Transactions!$G:$G,ROW()-8))</f>
      </c>
      <c r="F8250">
        <f>IF(INDEX(Transactions!$J:$J,ROW()-8)="",0,INDEX(Transactions!$O:$O,ROW()-8))</f>
      </c>
    </row>
    <row r="8251" spans="1:7">
      <c r="B8251">
        <f>IF(INDEX(Transactions!$J:$J,ROW()-8)="",TODAY(),INDEX(Transactions!$G:$G,ROW()-8))</f>
      </c>
      <c r="F8251">
        <f>IF(INDEX(Transactions!$J:$J,ROW()-8)="",0,INDEX(Transactions!$O:$O,ROW()-8))</f>
      </c>
    </row>
    <row r="8252" spans="1:7">
      <c r="B8252">
        <f>IF(INDEX(Transactions!$J:$J,ROW()-8)="",TODAY(),INDEX(Transactions!$G:$G,ROW()-8))</f>
      </c>
      <c r="F8252">
        <f>IF(INDEX(Transactions!$J:$J,ROW()-8)="",0,INDEX(Transactions!$O:$O,ROW()-8))</f>
      </c>
    </row>
    <row r="8253" spans="1:7">
      <c r="B8253">
        <f>IF(INDEX(Transactions!$J:$J,ROW()-8)="",TODAY(),INDEX(Transactions!$G:$G,ROW()-8))</f>
      </c>
      <c r="F8253">
        <f>IF(INDEX(Transactions!$J:$J,ROW()-8)="",0,INDEX(Transactions!$O:$O,ROW()-8))</f>
      </c>
    </row>
    <row r="8254" spans="1:7">
      <c r="B8254">
        <f>IF(INDEX(Transactions!$J:$J,ROW()-8)="",TODAY(),INDEX(Transactions!$G:$G,ROW()-8))</f>
      </c>
      <c r="F8254">
        <f>IF(INDEX(Transactions!$J:$J,ROW()-8)="",0,INDEX(Transactions!$O:$O,ROW()-8))</f>
      </c>
    </row>
    <row r="8255" spans="1:7">
      <c r="B8255">
        <f>IF(INDEX(Transactions!$J:$J,ROW()-8)="",TODAY(),INDEX(Transactions!$G:$G,ROW()-8))</f>
      </c>
      <c r="F8255">
        <f>IF(INDEX(Transactions!$J:$J,ROW()-8)="",0,INDEX(Transactions!$O:$O,ROW()-8))</f>
      </c>
    </row>
    <row r="8256" spans="1:7">
      <c r="B8256">
        <f>IF(INDEX(Transactions!$J:$J,ROW()-8)="",TODAY(),INDEX(Transactions!$G:$G,ROW()-8))</f>
      </c>
      <c r="F8256">
        <f>IF(INDEX(Transactions!$J:$J,ROW()-8)="",0,INDEX(Transactions!$O:$O,ROW()-8))</f>
      </c>
    </row>
    <row r="8257" spans="1:7">
      <c r="B8257">
        <f>IF(INDEX(Transactions!$J:$J,ROW()-8)="",TODAY(),INDEX(Transactions!$G:$G,ROW()-8))</f>
      </c>
      <c r="F8257">
        <f>IF(INDEX(Transactions!$J:$J,ROW()-8)="",0,INDEX(Transactions!$O:$O,ROW()-8))</f>
      </c>
    </row>
    <row r="8258" spans="1:7">
      <c r="B8258">
        <f>IF(INDEX(Transactions!$J:$J,ROW()-8)="",TODAY(),INDEX(Transactions!$G:$G,ROW()-8))</f>
      </c>
      <c r="F8258">
        <f>IF(INDEX(Transactions!$J:$J,ROW()-8)="",0,INDEX(Transactions!$O:$O,ROW()-8))</f>
      </c>
    </row>
    <row r="8259" spans="1:7">
      <c r="B8259">
        <f>IF(INDEX(Transactions!$J:$J,ROW()-8)="",TODAY(),INDEX(Transactions!$G:$G,ROW()-8))</f>
      </c>
      <c r="F8259">
        <f>IF(INDEX(Transactions!$J:$J,ROW()-8)="",0,INDEX(Transactions!$O:$O,ROW()-8))</f>
      </c>
    </row>
    <row r="8260" spans="1:7">
      <c r="B8260">
        <f>IF(INDEX(Transactions!$J:$J,ROW()-8)="",TODAY(),INDEX(Transactions!$G:$G,ROW()-8))</f>
      </c>
      <c r="F8260">
        <f>IF(INDEX(Transactions!$J:$J,ROW()-8)="",0,INDEX(Transactions!$O:$O,ROW()-8))</f>
      </c>
    </row>
    <row r="8261" spans="1:7">
      <c r="B8261">
        <f>IF(INDEX(Transactions!$J:$J,ROW()-8)="",TODAY(),INDEX(Transactions!$G:$G,ROW()-8))</f>
      </c>
      <c r="F8261">
        <f>IF(INDEX(Transactions!$J:$J,ROW()-8)="",0,INDEX(Transactions!$O:$O,ROW()-8))</f>
      </c>
    </row>
    <row r="8262" spans="1:7">
      <c r="B8262">
        <f>IF(INDEX(Transactions!$J:$J,ROW()-8)="",TODAY(),INDEX(Transactions!$G:$G,ROW()-8))</f>
      </c>
      <c r="F8262">
        <f>IF(INDEX(Transactions!$J:$J,ROW()-8)="",0,INDEX(Transactions!$O:$O,ROW()-8))</f>
      </c>
    </row>
    <row r="8263" spans="1:7">
      <c r="B8263">
        <f>IF(INDEX(Transactions!$J:$J,ROW()-8)="",TODAY(),INDEX(Transactions!$G:$G,ROW()-8))</f>
      </c>
      <c r="F8263">
        <f>IF(INDEX(Transactions!$J:$J,ROW()-8)="",0,INDEX(Transactions!$O:$O,ROW()-8))</f>
      </c>
    </row>
    <row r="8264" spans="1:7">
      <c r="B8264">
        <f>IF(INDEX(Transactions!$J:$J,ROW()-8)="",TODAY(),INDEX(Transactions!$G:$G,ROW()-8))</f>
      </c>
      <c r="F8264">
        <f>IF(INDEX(Transactions!$J:$J,ROW()-8)="",0,INDEX(Transactions!$O:$O,ROW()-8))</f>
      </c>
    </row>
    <row r="8265" spans="1:7">
      <c r="B8265">
        <f>IF(INDEX(Transactions!$J:$J,ROW()-8)="",TODAY(),INDEX(Transactions!$G:$G,ROW()-8))</f>
      </c>
      <c r="F8265">
        <f>IF(INDEX(Transactions!$J:$J,ROW()-8)="",0,INDEX(Transactions!$O:$O,ROW()-8))</f>
      </c>
    </row>
    <row r="8266" spans="1:7">
      <c r="B8266">
        <f>IF(INDEX(Transactions!$J:$J,ROW()-8)="",TODAY(),INDEX(Transactions!$G:$G,ROW()-8))</f>
      </c>
      <c r="F8266">
        <f>IF(INDEX(Transactions!$J:$J,ROW()-8)="",0,INDEX(Transactions!$O:$O,ROW()-8))</f>
      </c>
    </row>
    <row r="8267" spans="1:7">
      <c r="B8267">
        <f>IF(INDEX(Transactions!$J:$J,ROW()-8)="",TODAY(),INDEX(Transactions!$G:$G,ROW()-8))</f>
      </c>
      <c r="F8267">
        <f>IF(INDEX(Transactions!$J:$J,ROW()-8)="",0,INDEX(Transactions!$O:$O,ROW()-8))</f>
      </c>
    </row>
    <row r="8268" spans="1:7">
      <c r="B8268">
        <f>IF(INDEX(Transactions!$J:$J,ROW()-8)="",TODAY(),INDEX(Transactions!$G:$G,ROW()-8))</f>
      </c>
      <c r="F8268">
        <f>IF(INDEX(Transactions!$J:$J,ROW()-8)="",0,INDEX(Transactions!$O:$O,ROW()-8))</f>
      </c>
    </row>
    <row r="8269" spans="1:7">
      <c r="B8269">
        <f>IF(INDEX(Transactions!$J:$J,ROW()-8)="",TODAY(),INDEX(Transactions!$G:$G,ROW()-8))</f>
      </c>
      <c r="F8269">
        <f>IF(INDEX(Transactions!$J:$J,ROW()-8)="",0,INDEX(Transactions!$O:$O,ROW()-8))</f>
      </c>
    </row>
    <row r="8270" spans="1:7">
      <c r="B8270">
        <f>IF(INDEX(Transactions!$J:$J,ROW()-8)="",TODAY(),INDEX(Transactions!$G:$G,ROW()-8))</f>
      </c>
      <c r="F8270">
        <f>IF(INDEX(Transactions!$J:$J,ROW()-8)="",0,INDEX(Transactions!$O:$O,ROW()-8))</f>
      </c>
    </row>
    <row r="8271" spans="1:7">
      <c r="B8271">
        <f>IF(INDEX(Transactions!$J:$J,ROW()-8)="",TODAY(),INDEX(Transactions!$G:$G,ROW()-8))</f>
      </c>
      <c r="F8271">
        <f>IF(INDEX(Transactions!$J:$J,ROW()-8)="",0,INDEX(Transactions!$O:$O,ROW()-8))</f>
      </c>
    </row>
    <row r="8272" spans="1:7">
      <c r="B8272">
        <f>IF(INDEX(Transactions!$J:$J,ROW()-8)="",TODAY(),INDEX(Transactions!$G:$G,ROW()-8))</f>
      </c>
      <c r="F8272">
        <f>IF(INDEX(Transactions!$J:$J,ROW()-8)="",0,INDEX(Transactions!$O:$O,ROW()-8))</f>
      </c>
    </row>
    <row r="8273" spans="1:7">
      <c r="B8273">
        <f>IF(INDEX(Transactions!$J:$J,ROW()-8)="",TODAY(),INDEX(Transactions!$G:$G,ROW()-8))</f>
      </c>
      <c r="F8273">
        <f>IF(INDEX(Transactions!$J:$J,ROW()-8)="",0,INDEX(Transactions!$O:$O,ROW()-8))</f>
      </c>
    </row>
    <row r="8274" spans="1:7">
      <c r="B8274">
        <f>IF(INDEX(Transactions!$J:$J,ROW()-8)="",TODAY(),INDEX(Transactions!$G:$G,ROW()-8))</f>
      </c>
      <c r="F8274">
        <f>IF(INDEX(Transactions!$J:$J,ROW()-8)="",0,INDEX(Transactions!$O:$O,ROW()-8))</f>
      </c>
    </row>
    <row r="8275" spans="1:7">
      <c r="B8275">
        <f>IF(INDEX(Transactions!$J:$J,ROW()-8)="",TODAY(),INDEX(Transactions!$G:$G,ROW()-8))</f>
      </c>
      <c r="F8275">
        <f>IF(INDEX(Transactions!$J:$J,ROW()-8)="",0,INDEX(Transactions!$O:$O,ROW()-8))</f>
      </c>
    </row>
    <row r="8276" spans="1:7">
      <c r="B8276">
        <f>IF(INDEX(Transactions!$J:$J,ROW()-8)="",TODAY(),INDEX(Transactions!$G:$G,ROW()-8))</f>
      </c>
      <c r="F8276">
        <f>IF(INDEX(Transactions!$J:$J,ROW()-8)="",0,INDEX(Transactions!$O:$O,ROW()-8))</f>
      </c>
    </row>
    <row r="8277" spans="1:7">
      <c r="B8277">
        <f>IF(INDEX(Transactions!$J:$J,ROW()-8)="",TODAY(),INDEX(Transactions!$G:$G,ROW()-8))</f>
      </c>
      <c r="F8277">
        <f>IF(INDEX(Transactions!$J:$J,ROW()-8)="",0,INDEX(Transactions!$O:$O,ROW()-8))</f>
      </c>
    </row>
    <row r="8278" spans="1:7">
      <c r="B8278">
        <f>IF(INDEX(Transactions!$J:$J,ROW()-8)="",TODAY(),INDEX(Transactions!$G:$G,ROW()-8))</f>
      </c>
      <c r="F8278">
        <f>IF(INDEX(Transactions!$J:$J,ROW()-8)="",0,INDEX(Transactions!$O:$O,ROW()-8))</f>
      </c>
    </row>
    <row r="8279" spans="1:7">
      <c r="B8279">
        <f>IF(INDEX(Transactions!$J:$J,ROW()-8)="",TODAY(),INDEX(Transactions!$G:$G,ROW()-8))</f>
      </c>
      <c r="F8279">
        <f>IF(INDEX(Transactions!$J:$J,ROW()-8)="",0,INDEX(Transactions!$O:$O,ROW()-8))</f>
      </c>
    </row>
    <row r="8280" spans="1:7">
      <c r="B8280">
        <f>IF(INDEX(Transactions!$J:$J,ROW()-8)="",TODAY(),INDEX(Transactions!$G:$G,ROW()-8))</f>
      </c>
      <c r="F8280">
        <f>IF(INDEX(Transactions!$J:$J,ROW()-8)="",0,INDEX(Transactions!$O:$O,ROW()-8))</f>
      </c>
    </row>
    <row r="8281" spans="1:7">
      <c r="B8281">
        <f>IF(INDEX(Transactions!$J:$J,ROW()-8)="",TODAY(),INDEX(Transactions!$G:$G,ROW()-8))</f>
      </c>
      <c r="F8281">
        <f>IF(INDEX(Transactions!$J:$J,ROW()-8)="",0,INDEX(Transactions!$O:$O,ROW()-8))</f>
      </c>
    </row>
    <row r="8282" spans="1:7">
      <c r="B8282">
        <f>IF(INDEX(Transactions!$J:$J,ROW()-8)="",TODAY(),INDEX(Transactions!$G:$G,ROW()-8))</f>
      </c>
      <c r="F8282">
        <f>IF(INDEX(Transactions!$J:$J,ROW()-8)="",0,INDEX(Transactions!$O:$O,ROW()-8))</f>
      </c>
    </row>
    <row r="8283" spans="1:7">
      <c r="B8283">
        <f>IF(INDEX(Transactions!$J:$J,ROW()-8)="",TODAY(),INDEX(Transactions!$G:$G,ROW()-8))</f>
      </c>
      <c r="F8283">
        <f>IF(INDEX(Transactions!$J:$J,ROW()-8)="",0,INDEX(Transactions!$O:$O,ROW()-8))</f>
      </c>
    </row>
    <row r="8284" spans="1:7">
      <c r="B8284">
        <f>IF(INDEX(Transactions!$J:$J,ROW()-8)="",TODAY(),INDEX(Transactions!$G:$G,ROW()-8))</f>
      </c>
      <c r="F8284">
        <f>IF(INDEX(Transactions!$J:$J,ROW()-8)="",0,INDEX(Transactions!$O:$O,ROW()-8))</f>
      </c>
    </row>
    <row r="8285" spans="1:7">
      <c r="B8285">
        <f>IF(INDEX(Transactions!$J:$J,ROW()-8)="",TODAY(),INDEX(Transactions!$G:$G,ROW()-8))</f>
      </c>
      <c r="F8285">
        <f>IF(INDEX(Transactions!$J:$J,ROW()-8)="",0,INDEX(Transactions!$O:$O,ROW()-8))</f>
      </c>
    </row>
    <row r="8286" spans="1:7">
      <c r="B8286">
        <f>IF(INDEX(Transactions!$J:$J,ROW()-8)="",TODAY(),INDEX(Transactions!$G:$G,ROW()-8))</f>
      </c>
      <c r="F8286">
        <f>IF(INDEX(Transactions!$J:$J,ROW()-8)="",0,INDEX(Transactions!$O:$O,ROW()-8))</f>
      </c>
    </row>
    <row r="8287" spans="1:7">
      <c r="B8287">
        <f>IF(INDEX(Transactions!$J:$J,ROW()-8)="",TODAY(),INDEX(Transactions!$G:$G,ROW()-8))</f>
      </c>
      <c r="F8287">
        <f>IF(INDEX(Transactions!$J:$J,ROW()-8)="",0,INDEX(Transactions!$O:$O,ROW()-8))</f>
      </c>
    </row>
    <row r="8288" spans="1:7">
      <c r="B8288">
        <f>IF(INDEX(Transactions!$J:$J,ROW()-8)="",TODAY(),INDEX(Transactions!$G:$G,ROW()-8))</f>
      </c>
      <c r="F8288">
        <f>IF(INDEX(Transactions!$J:$J,ROW()-8)="",0,INDEX(Transactions!$O:$O,ROW()-8))</f>
      </c>
    </row>
    <row r="8289" spans="1:7">
      <c r="B8289">
        <f>IF(INDEX(Transactions!$J:$J,ROW()-8)="",TODAY(),INDEX(Transactions!$G:$G,ROW()-8))</f>
      </c>
      <c r="F8289">
        <f>IF(INDEX(Transactions!$J:$J,ROW()-8)="",0,INDEX(Transactions!$O:$O,ROW()-8))</f>
      </c>
    </row>
    <row r="8290" spans="1:7">
      <c r="B8290">
        <f>IF(INDEX(Transactions!$J:$J,ROW()-8)="",TODAY(),INDEX(Transactions!$G:$G,ROW()-8))</f>
      </c>
      <c r="F8290">
        <f>IF(INDEX(Transactions!$J:$J,ROW()-8)="",0,INDEX(Transactions!$O:$O,ROW()-8))</f>
      </c>
    </row>
    <row r="8291" spans="1:7">
      <c r="B8291">
        <f>IF(INDEX(Transactions!$J:$J,ROW()-8)="",TODAY(),INDEX(Transactions!$G:$G,ROW()-8))</f>
      </c>
      <c r="F8291">
        <f>IF(INDEX(Transactions!$J:$J,ROW()-8)="",0,INDEX(Transactions!$O:$O,ROW()-8))</f>
      </c>
    </row>
    <row r="8292" spans="1:7">
      <c r="B8292">
        <f>IF(INDEX(Transactions!$J:$J,ROW()-8)="",TODAY(),INDEX(Transactions!$G:$G,ROW()-8))</f>
      </c>
      <c r="F8292">
        <f>IF(INDEX(Transactions!$J:$J,ROW()-8)="",0,INDEX(Transactions!$O:$O,ROW()-8))</f>
      </c>
    </row>
    <row r="8293" spans="1:7">
      <c r="B8293">
        <f>IF(INDEX(Transactions!$J:$J,ROW()-8)="",TODAY(),INDEX(Transactions!$G:$G,ROW()-8))</f>
      </c>
      <c r="F8293">
        <f>IF(INDEX(Transactions!$J:$J,ROW()-8)="",0,INDEX(Transactions!$O:$O,ROW()-8))</f>
      </c>
    </row>
    <row r="8294" spans="1:7">
      <c r="B8294">
        <f>IF(INDEX(Transactions!$J:$J,ROW()-8)="",TODAY(),INDEX(Transactions!$G:$G,ROW()-8))</f>
      </c>
      <c r="F8294">
        <f>IF(INDEX(Transactions!$J:$J,ROW()-8)="",0,INDEX(Transactions!$O:$O,ROW()-8))</f>
      </c>
    </row>
    <row r="8295" spans="1:7">
      <c r="B8295">
        <f>IF(INDEX(Transactions!$J:$J,ROW()-8)="",TODAY(),INDEX(Transactions!$G:$G,ROW()-8))</f>
      </c>
      <c r="F8295">
        <f>IF(INDEX(Transactions!$J:$J,ROW()-8)="",0,INDEX(Transactions!$O:$O,ROW()-8))</f>
      </c>
    </row>
    <row r="8296" spans="1:7">
      <c r="B8296">
        <f>IF(INDEX(Transactions!$J:$J,ROW()-8)="",TODAY(),INDEX(Transactions!$G:$G,ROW()-8))</f>
      </c>
      <c r="F8296">
        <f>IF(INDEX(Transactions!$J:$J,ROW()-8)="",0,INDEX(Transactions!$O:$O,ROW()-8))</f>
      </c>
    </row>
    <row r="8297" spans="1:7">
      <c r="B8297">
        <f>IF(INDEX(Transactions!$J:$J,ROW()-8)="",TODAY(),INDEX(Transactions!$G:$G,ROW()-8))</f>
      </c>
      <c r="F8297">
        <f>IF(INDEX(Transactions!$J:$J,ROW()-8)="",0,INDEX(Transactions!$O:$O,ROW()-8))</f>
      </c>
    </row>
    <row r="8298" spans="1:7">
      <c r="B8298">
        <f>IF(INDEX(Transactions!$J:$J,ROW()-8)="",TODAY(),INDEX(Transactions!$G:$G,ROW()-8))</f>
      </c>
      <c r="F8298">
        <f>IF(INDEX(Transactions!$J:$J,ROW()-8)="",0,INDEX(Transactions!$O:$O,ROW()-8))</f>
      </c>
    </row>
    <row r="8299" spans="1:7">
      <c r="B8299">
        <f>IF(INDEX(Transactions!$J:$J,ROW()-8)="",TODAY(),INDEX(Transactions!$G:$G,ROW()-8))</f>
      </c>
      <c r="F8299">
        <f>IF(INDEX(Transactions!$J:$J,ROW()-8)="",0,INDEX(Transactions!$O:$O,ROW()-8))</f>
      </c>
    </row>
    <row r="8300" spans="1:7">
      <c r="B8300">
        <f>IF(INDEX(Transactions!$J:$J,ROW()-8)="",TODAY(),INDEX(Transactions!$G:$G,ROW()-8))</f>
      </c>
      <c r="F8300">
        <f>IF(INDEX(Transactions!$J:$J,ROW()-8)="",0,INDEX(Transactions!$O:$O,ROW()-8))</f>
      </c>
    </row>
    <row r="8301" spans="1:7">
      <c r="B8301">
        <f>IF(INDEX(Transactions!$J:$J,ROW()-8)="",TODAY(),INDEX(Transactions!$G:$G,ROW()-8))</f>
      </c>
      <c r="F8301">
        <f>IF(INDEX(Transactions!$J:$J,ROW()-8)="",0,INDEX(Transactions!$O:$O,ROW()-8))</f>
      </c>
    </row>
    <row r="8302" spans="1:7">
      <c r="B8302">
        <f>IF(INDEX(Transactions!$J:$J,ROW()-8)="",TODAY(),INDEX(Transactions!$G:$G,ROW()-8))</f>
      </c>
      <c r="F8302">
        <f>IF(INDEX(Transactions!$J:$J,ROW()-8)="",0,INDEX(Transactions!$O:$O,ROW()-8))</f>
      </c>
    </row>
    <row r="8303" spans="1:7">
      <c r="B8303">
        <f>IF(INDEX(Transactions!$J:$J,ROW()-8)="",TODAY(),INDEX(Transactions!$G:$G,ROW()-8))</f>
      </c>
      <c r="F8303">
        <f>IF(INDEX(Transactions!$J:$J,ROW()-8)="",0,INDEX(Transactions!$O:$O,ROW()-8))</f>
      </c>
    </row>
    <row r="8304" spans="1:7">
      <c r="B8304">
        <f>IF(INDEX(Transactions!$J:$J,ROW()-8)="",TODAY(),INDEX(Transactions!$G:$G,ROW()-8))</f>
      </c>
      <c r="F8304">
        <f>IF(INDEX(Transactions!$J:$J,ROW()-8)="",0,INDEX(Transactions!$O:$O,ROW()-8))</f>
      </c>
    </row>
    <row r="8305" spans="1:7">
      <c r="B8305">
        <f>IF(INDEX(Transactions!$J:$J,ROW()-8)="",TODAY(),INDEX(Transactions!$G:$G,ROW()-8))</f>
      </c>
      <c r="F8305">
        <f>IF(INDEX(Transactions!$J:$J,ROW()-8)="",0,INDEX(Transactions!$O:$O,ROW()-8))</f>
      </c>
    </row>
    <row r="8306" spans="1:7">
      <c r="B8306">
        <f>IF(INDEX(Transactions!$J:$J,ROW()-8)="",TODAY(),INDEX(Transactions!$G:$G,ROW()-8))</f>
      </c>
      <c r="F8306">
        <f>IF(INDEX(Transactions!$J:$J,ROW()-8)="",0,INDEX(Transactions!$O:$O,ROW()-8))</f>
      </c>
    </row>
    <row r="8307" spans="1:7">
      <c r="B8307">
        <f>IF(INDEX(Transactions!$J:$J,ROW()-8)="",TODAY(),INDEX(Transactions!$G:$G,ROW()-8))</f>
      </c>
      <c r="F8307">
        <f>IF(INDEX(Transactions!$J:$J,ROW()-8)="",0,INDEX(Transactions!$O:$O,ROW()-8))</f>
      </c>
    </row>
    <row r="8308" spans="1:7">
      <c r="B8308">
        <f>IF(INDEX(Transactions!$J:$J,ROW()-8)="",TODAY(),INDEX(Transactions!$G:$G,ROW()-8))</f>
      </c>
      <c r="F8308">
        <f>IF(INDEX(Transactions!$J:$J,ROW()-8)="",0,INDEX(Transactions!$O:$O,ROW()-8))</f>
      </c>
    </row>
    <row r="8309" spans="1:7">
      <c r="B8309">
        <f>IF(INDEX(Transactions!$J:$J,ROW()-8)="",TODAY(),INDEX(Transactions!$G:$G,ROW()-8))</f>
      </c>
      <c r="F8309">
        <f>IF(INDEX(Transactions!$J:$J,ROW()-8)="",0,INDEX(Transactions!$O:$O,ROW()-8))</f>
      </c>
    </row>
    <row r="8310" spans="1:7">
      <c r="B8310">
        <f>IF(INDEX(Transactions!$J:$J,ROW()-8)="",TODAY(),INDEX(Transactions!$G:$G,ROW()-8))</f>
      </c>
      <c r="F8310">
        <f>IF(INDEX(Transactions!$J:$J,ROW()-8)="",0,INDEX(Transactions!$O:$O,ROW()-8))</f>
      </c>
    </row>
    <row r="8311" spans="1:7">
      <c r="B8311">
        <f>IF(INDEX(Transactions!$J:$J,ROW()-8)="",TODAY(),INDEX(Transactions!$G:$G,ROW()-8))</f>
      </c>
      <c r="F8311">
        <f>IF(INDEX(Transactions!$J:$J,ROW()-8)="",0,INDEX(Transactions!$O:$O,ROW()-8))</f>
      </c>
    </row>
    <row r="8312" spans="1:7">
      <c r="B8312">
        <f>IF(INDEX(Transactions!$J:$J,ROW()-8)="",TODAY(),INDEX(Transactions!$G:$G,ROW()-8))</f>
      </c>
      <c r="F8312">
        <f>IF(INDEX(Transactions!$J:$J,ROW()-8)="",0,INDEX(Transactions!$O:$O,ROW()-8))</f>
      </c>
    </row>
    <row r="8313" spans="1:7">
      <c r="B8313">
        <f>IF(INDEX(Transactions!$J:$J,ROW()-8)="",TODAY(),INDEX(Transactions!$G:$G,ROW()-8))</f>
      </c>
      <c r="F8313">
        <f>IF(INDEX(Transactions!$J:$J,ROW()-8)="",0,INDEX(Transactions!$O:$O,ROW()-8))</f>
      </c>
    </row>
    <row r="8314" spans="1:7">
      <c r="B8314">
        <f>IF(INDEX(Transactions!$J:$J,ROW()-8)="",TODAY(),INDEX(Transactions!$G:$G,ROW()-8))</f>
      </c>
      <c r="F8314">
        <f>IF(INDEX(Transactions!$J:$J,ROW()-8)="",0,INDEX(Transactions!$O:$O,ROW()-8))</f>
      </c>
    </row>
    <row r="8315" spans="1:7">
      <c r="B8315">
        <f>IF(INDEX(Transactions!$J:$J,ROW()-8)="",TODAY(),INDEX(Transactions!$G:$G,ROW()-8))</f>
      </c>
      <c r="F8315">
        <f>IF(INDEX(Transactions!$J:$J,ROW()-8)="",0,INDEX(Transactions!$O:$O,ROW()-8))</f>
      </c>
    </row>
    <row r="8316" spans="1:7">
      <c r="B8316">
        <f>IF(INDEX(Transactions!$J:$J,ROW()-8)="",TODAY(),INDEX(Transactions!$G:$G,ROW()-8))</f>
      </c>
      <c r="F8316">
        <f>IF(INDEX(Transactions!$J:$J,ROW()-8)="",0,INDEX(Transactions!$O:$O,ROW()-8))</f>
      </c>
    </row>
    <row r="8317" spans="1:7">
      <c r="B8317">
        <f>IF(INDEX(Transactions!$J:$J,ROW()-8)="",TODAY(),INDEX(Transactions!$G:$G,ROW()-8))</f>
      </c>
      <c r="F8317">
        <f>IF(INDEX(Transactions!$J:$J,ROW()-8)="",0,INDEX(Transactions!$O:$O,ROW()-8))</f>
      </c>
    </row>
    <row r="8318" spans="1:7">
      <c r="B8318">
        <f>IF(INDEX(Transactions!$J:$J,ROW()-8)="",TODAY(),INDEX(Transactions!$G:$G,ROW()-8))</f>
      </c>
      <c r="F8318">
        <f>IF(INDEX(Transactions!$J:$J,ROW()-8)="",0,INDEX(Transactions!$O:$O,ROW()-8))</f>
      </c>
    </row>
    <row r="8319" spans="1:7">
      <c r="B8319">
        <f>IF(INDEX(Transactions!$J:$J,ROW()-8)="",TODAY(),INDEX(Transactions!$G:$G,ROW()-8))</f>
      </c>
      <c r="F8319">
        <f>IF(INDEX(Transactions!$J:$J,ROW()-8)="",0,INDEX(Transactions!$O:$O,ROW()-8))</f>
      </c>
    </row>
    <row r="8320" spans="1:7">
      <c r="B8320">
        <f>IF(INDEX(Transactions!$J:$J,ROW()-8)="",TODAY(),INDEX(Transactions!$G:$G,ROW()-8))</f>
      </c>
      <c r="F8320">
        <f>IF(INDEX(Transactions!$J:$J,ROW()-8)="",0,INDEX(Transactions!$O:$O,ROW()-8))</f>
      </c>
    </row>
    <row r="8321" spans="1:7">
      <c r="B8321">
        <f>IF(INDEX(Transactions!$J:$J,ROW()-8)="",TODAY(),INDEX(Transactions!$G:$G,ROW()-8))</f>
      </c>
      <c r="F8321">
        <f>IF(INDEX(Transactions!$J:$J,ROW()-8)="",0,INDEX(Transactions!$O:$O,ROW()-8))</f>
      </c>
    </row>
    <row r="8322" spans="1:7">
      <c r="B8322">
        <f>IF(INDEX(Transactions!$J:$J,ROW()-8)="",TODAY(),INDEX(Transactions!$G:$G,ROW()-8))</f>
      </c>
      <c r="F8322">
        <f>IF(INDEX(Transactions!$J:$J,ROW()-8)="",0,INDEX(Transactions!$O:$O,ROW()-8))</f>
      </c>
    </row>
    <row r="8323" spans="1:7">
      <c r="B8323">
        <f>IF(INDEX(Transactions!$J:$J,ROW()-8)="",TODAY(),INDEX(Transactions!$G:$G,ROW()-8))</f>
      </c>
      <c r="F8323">
        <f>IF(INDEX(Transactions!$J:$J,ROW()-8)="",0,INDEX(Transactions!$O:$O,ROW()-8))</f>
      </c>
    </row>
    <row r="8324" spans="1:7">
      <c r="B8324">
        <f>IF(INDEX(Transactions!$J:$J,ROW()-8)="",TODAY(),INDEX(Transactions!$G:$G,ROW()-8))</f>
      </c>
      <c r="F8324">
        <f>IF(INDEX(Transactions!$J:$J,ROW()-8)="",0,INDEX(Transactions!$O:$O,ROW()-8))</f>
      </c>
    </row>
    <row r="8325" spans="1:7">
      <c r="B8325">
        <f>IF(INDEX(Transactions!$J:$J,ROW()-8)="",TODAY(),INDEX(Transactions!$G:$G,ROW()-8))</f>
      </c>
      <c r="F8325">
        <f>IF(INDEX(Transactions!$J:$J,ROW()-8)="",0,INDEX(Transactions!$O:$O,ROW()-8))</f>
      </c>
    </row>
    <row r="8326" spans="1:7">
      <c r="B8326">
        <f>IF(INDEX(Transactions!$J:$J,ROW()-8)="",TODAY(),INDEX(Transactions!$G:$G,ROW()-8))</f>
      </c>
      <c r="F8326">
        <f>IF(INDEX(Transactions!$J:$J,ROW()-8)="",0,INDEX(Transactions!$O:$O,ROW()-8))</f>
      </c>
    </row>
    <row r="8327" spans="1:7">
      <c r="B8327">
        <f>IF(INDEX(Transactions!$J:$J,ROW()-8)="",TODAY(),INDEX(Transactions!$G:$G,ROW()-8))</f>
      </c>
      <c r="F8327">
        <f>IF(INDEX(Transactions!$J:$J,ROW()-8)="",0,INDEX(Transactions!$O:$O,ROW()-8))</f>
      </c>
    </row>
    <row r="8328" spans="1:7">
      <c r="B8328">
        <f>IF(INDEX(Transactions!$J:$J,ROW()-8)="",TODAY(),INDEX(Transactions!$G:$G,ROW()-8))</f>
      </c>
      <c r="F8328">
        <f>IF(INDEX(Transactions!$J:$J,ROW()-8)="",0,INDEX(Transactions!$O:$O,ROW()-8))</f>
      </c>
    </row>
    <row r="8329" spans="1:7">
      <c r="B8329">
        <f>IF(INDEX(Transactions!$J:$J,ROW()-8)="",TODAY(),INDEX(Transactions!$G:$G,ROW()-8))</f>
      </c>
      <c r="F8329">
        <f>IF(INDEX(Transactions!$J:$J,ROW()-8)="",0,INDEX(Transactions!$O:$O,ROW()-8))</f>
      </c>
    </row>
    <row r="8330" spans="1:7">
      <c r="B8330">
        <f>IF(INDEX(Transactions!$J:$J,ROW()-8)="",TODAY(),INDEX(Transactions!$G:$G,ROW()-8))</f>
      </c>
      <c r="F8330">
        <f>IF(INDEX(Transactions!$J:$J,ROW()-8)="",0,INDEX(Transactions!$O:$O,ROW()-8))</f>
      </c>
    </row>
    <row r="8331" spans="1:7">
      <c r="B8331">
        <f>IF(INDEX(Transactions!$J:$J,ROW()-8)="",TODAY(),INDEX(Transactions!$G:$G,ROW()-8))</f>
      </c>
      <c r="F8331">
        <f>IF(INDEX(Transactions!$J:$J,ROW()-8)="",0,INDEX(Transactions!$O:$O,ROW()-8))</f>
      </c>
    </row>
    <row r="8332" spans="1:7">
      <c r="B8332">
        <f>IF(INDEX(Transactions!$J:$J,ROW()-8)="",TODAY(),INDEX(Transactions!$G:$G,ROW()-8))</f>
      </c>
      <c r="F8332">
        <f>IF(INDEX(Transactions!$J:$J,ROW()-8)="",0,INDEX(Transactions!$O:$O,ROW()-8))</f>
      </c>
    </row>
    <row r="8333" spans="1:7">
      <c r="B8333">
        <f>IF(INDEX(Transactions!$J:$J,ROW()-8)="",TODAY(),INDEX(Transactions!$G:$G,ROW()-8))</f>
      </c>
      <c r="F8333">
        <f>IF(INDEX(Transactions!$J:$J,ROW()-8)="",0,INDEX(Transactions!$O:$O,ROW()-8))</f>
      </c>
    </row>
    <row r="8334" spans="1:7">
      <c r="B8334">
        <f>IF(INDEX(Transactions!$J:$J,ROW()-8)="",TODAY(),INDEX(Transactions!$G:$G,ROW()-8))</f>
      </c>
      <c r="F8334">
        <f>IF(INDEX(Transactions!$J:$J,ROW()-8)="",0,INDEX(Transactions!$O:$O,ROW()-8))</f>
      </c>
    </row>
    <row r="8335" spans="1:7">
      <c r="B8335">
        <f>IF(INDEX(Transactions!$J:$J,ROW()-8)="",TODAY(),INDEX(Transactions!$G:$G,ROW()-8))</f>
      </c>
      <c r="F8335">
        <f>IF(INDEX(Transactions!$J:$J,ROW()-8)="",0,INDEX(Transactions!$O:$O,ROW()-8))</f>
      </c>
    </row>
    <row r="8336" spans="1:7">
      <c r="B8336">
        <f>IF(INDEX(Transactions!$J:$J,ROW()-8)="",TODAY(),INDEX(Transactions!$G:$G,ROW()-8))</f>
      </c>
      <c r="F8336">
        <f>IF(INDEX(Transactions!$J:$J,ROW()-8)="",0,INDEX(Transactions!$O:$O,ROW()-8))</f>
      </c>
    </row>
    <row r="8337" spans="1:7">
      <c r="B8337">
        <f>IF(INDEX(Transactions!$J:$J,ROW()-8)="",TODAY(),INDEX(Transactions!$G:$G,ROW()-8))</f>
      </c>
      <c r="F8337">
        <f>IF(INDEX(Transactions!$J:$J,ROW()-8)="",0,INDEX(Transactions!$O:$O,ROW()-8))</f>
      </c>
    </row>
    <row r="8338" spans="1:7">
      <c r="B8338">
        <f>IF(INDEX(Transactions!$J:$J,ROW()-8)="",TODAY(),INDEX(Transactions!$G:$G,ROW()-8))</f>
      </c>
      <c r="F8338">
        <f>IF(INDEX(Transactions!$J:$J,ROW()-8)="",0,INDEX(Transactions!$O:$O,ROW()-8))</f>
      </c>
    </row>
    <row r="8339" spans="1:7">
      <c r="B8339">
        <f>IF(INDEX(Transactions!$J:$J,ROW()-8)="",TODAY(),INDEX(Transactions!$G:$G,ROW()-8))</f>
      </c>
      <c r="F8339">
        <f>IF(INDEX(Transactions!$J:$J,ROW()-8)="",0,INDEX(Transactions!$O:$O,ROW()-8))</f>
      </c>
    </row>
    <row r="8340" spans="1:7">
      <c r="B8340">
        <f>IF(INDEX(Transactions!$J:$J,ROW()-8)="",TODAY(),INDEX(Transactions!$G:$G,ROW()-8))</f>
      </c>
      <c r="F8340">
        <f>IF(INDEX(Transactions!$J:$J,ROW()-8)="",0,INDEX(Transactions!$O:$O,ROW()-8))</f>
      </c>
    </row>
    <row r="8341" spans="1:7">
      <c r="B8341">
        <f>IF(INDEX(Transactions!$J:$J,ROW()-8)="",TODAY(),INDEX(Transactions!$G:$G,ROW()-8))</f>
      </c>
      <c r="F8341">
        <f>IF(INDEX(Transactions!$J:$J,ROW()-8)="",0,INDEX(Transactions!$O:$O,ROW()-8))</f>
      </c>
    </row>
    <row r="8342" spans="1:7">
      <c r="B8342">
        <f>IF(INDEX(Transactions!$J:$J,ROW()-8)="",TODAY(),INDEX(Transactions!$G:$G,ROW()-8))</f>
      </c>
      <c r="F8342">
        <f>IF(INDEX(Transactions!$J:$J,ROW()-8)="",0,INDEX(Transactions!$O:$O,ROW()-8))</f>
      </c>
    </row>
    <row r="8343" spans="1:7">
      <c r="B8343">
        <f>IF(INDEX(Transactions!$J:$J,ROW()-8)="",TODAY(),INDEX(Transactions!$G:$G,ROW()-8))</f>
      </c>
      <c r="F8343">
        <f>IF(INDEX(Transactions!$J:$J,ROW()-8)="",0,INDEX(Transactions!$O:$O,ROW()-8))</f>
      </c>
    </row>
    <row r="8344" spans="1:7">
      <c r="B8344">
        <f>IF(INDEX(Transactions!$J:$J,ROW()-8)="",TODAY(),INDEX(Transactions!$G:$G,ROW()-8))</f>
      </c>
      <c r="F8344">
        <f>IF(INDEX(Transactions!$J:$J,ROW()-8)="",0,INDEX(Transactions!$O:$O,ROW()-8))</f>
      </c>
    </row>
    <row r="8345" spans="1:7">
      <c r="B8345">
        <f>IF(INDEX(Transactions!$J:$J,ROW()-8)="",TODAY(),INDEX(Transactions!$G:$G,ROW()-8))</f>
      </c>
      <c r="F8345">
        <f>IF(INDEX(Transactions!$J:$J,ROW()-8)="",0,INDEX(Transactions!$O:$O,ROW()-8))</f>
      </c>
    </row>
    <row r="8346" spans="1:7">
      <c r="B8346">
        <f>IF(INDEX(Transactions!$J:$J,ROW()-8)="",TODAY(),INDEX(Transactions!$G:$G,ROW()-8))</f>
      </c>
      <c r="F8346">
        <f>IF(INDEX(Transactions!$J:$J,ROW()-8)="",0,INDEX(Transactions!$O:$O,ROW()-8))</f>
      </c>
    </row>
    <row r="8347" spans="1:7">
      <c r="B8347">
        <f>IF(INDEX(Transactions!$J:$J,ROW()-8)="",TODAY(),INDEX(Transactions!$G:$G,ROW()-8))</f>
      </c>
      <c r="F8347">
        <f>IF(INDEX(Transactions!$J:$J,ROW()-8)="",0,INDEX(Transactions!$O:$O,ROW()-8))</f>
      </c>
    </row>
    <row r="8348" spans="1:7">
      <c r="B8348">
        <f>IF(INDEX(Transactions!$J:$J,ROW()-8)="",TODAY(),INDEX(Transactions!$G:$G,ROW()-8))</f>
      </c>
      <c r="F8348">
        <f>IF(INDEX(Transactions!$J:$J,ROW()-8)="",0,INDEX(Transactions!$O:$O,ROW()-8))</f>
      </c>
    </row>
    <row r="8349" spans="1:7">
      <c r="B8349">
        <f>IF(INDEX(Transactions!$J:$J,ROW()-8)="",TODAY(),INDEX(Transactions!$G:$G,ROW()-8))</f>
      </c>
      <c r="F8349">
        <f>IF(INDEX(Transactions!$J:$J,ROW()-8)="",0,INDEX(Transactions!$O:$O,ROW()-8))</f>
      </c>
    </row>
    <row r="8350" spans="1:7">
      <c r="B8350">
        <f>IF(INDEX(Transactions!$J:$J,ROW()-8)="",TODAY(),INDEX(Transactions!$G:$G,ROW()-8))</f>
      </c>
      <c r="F8350">
        <f>IF(INDEX(Transactions!$J:$J,ROW()-8)="",0,INDEX(Transactions!$O:$O,ROW()-8))</f>
      </c>
    </row>
    <row r="8351" spans="1:7">
      <c r="B8351">
        <f>IF(INDEX(Transactions!$J:$J,ROW()-8)="",TODAY(),INDEX(Transactions!$G:$G,ROW()-8))</f>
      </c>
      <c r="F8351">
        <f>IF(INDEX(Transactions!$J:$J,ROW()-8)="",0,INDEX(Transactions!$O:$O,ROW()-8))</f>
      </c>
    </row>
    <row r="8352" spans="1:7">
      <c r="B8352">
        <f>IF(INDEX(Transactions!$J:$J,ROW()-8)="",TODAY(),INDEX(Transactions!$G:$G,ROW()-8))</f>
      </c>
      <c r="F8352">
        <f>IF(INDEX(Transactions!$J:$J,ROW()-8)="",0,INDEX(Transactions!$O:$O,ROW()-8))</f>
      </c>
    </row>
    <row r="8353" spans="1:7">
      <c r="B8353">
        <f>IF(INDEX(Transactions!$J:$J,ROW()-8)="",TODAY(),INDEX(Transactions!$G:$G,ROW()-8))</f>
      </c>
      <c r="F8353">
        <f>IF(INDEX(Transactions!$J:$J,ROW()-8)="",0,INDEX(Transactions!$O:$O,ROW()-8))</f>
      </c>
    </row>
    <row r="8354" spans="1:7">
      <c r="B8354">
        <f>IF(INDEX(Transactions!$J:$J,ROW()-8)="",TODAY(),INDEX(Transactions!$G:$G,ROW()-8))</f>
      </c>
      <c r="F8354">
        <f>IF(INDEX(Transactions!$J:$J,ROW()-8)="",0,INDEX(Transactions!$O:$O,ROW()-8))</f>
      </c>
    </row>
    <row r="8355" spans="1:7">
      <c r="B8355">
        <f>IF(INDEX(Transactions!$J:$J,ROW()-8)="",TODAY(),INDEX(Transactions!$G:$G,ROW()-8))</f>
      </c>
      <c r="F8355">
        <f>IF(INDEX(Transactions!$J:$J,ROW()-8)="",0,INDEX(Transactions!$O:$O,ROW()-8))</f>
      </c>
    </row>
    <row r="8356" spans="1:7">
      <c r="B8356">
        <f>IF(INDEX(Transactions!$J:$J,ROW()-8)="",TODAY(),INDEX(Transactions!$G:$G,ROW()-8))</f>
      </c>
      <c r="F8356">
        <f>IF(INDEX(Transactions!$J:$J,ROW()-8)="",0,INDEX(Transactions!$O:$O,ROW()-8))</f>
      </c>
    </row>
    <row r="8357" spans="1:7">
      <c r="B8357">
        <f>IF(INDEX(Transactions!$J:$J,ROW()-8)="",TODAY(),INDEX(Transactions!$G:$G,ROW()-8))</f>
      </c>
      <c r="F8357">
        <f>IF(INDEX(Transactions!$J:$J,ROW()-8)="",0,INDEX(Transactions!$O:$O,ROW()-8))</f>
      </c>
    </row>
    <row r="8358" spans="1:7">
      <c r="B8358">
        <f>IF(INDEX(Transactions!$J:$J,ROW()-8)="",TODAY(),INDEX(Transactions!$G:$G,ROW()-8))</f>
      </c>
      <c r="F8358">
        <f>IF(INDEX(Transactions!$J:$J,ROW()-8)="",0,INDEX(Transactions!$O:$O,ROW()-8))</f>
      </c>
    </row>
    <row r="8359" spans="1:7">
      <c r="B8359">
        <f>IF(INDEX(Transactions!$J:$J,ROW()-8)="",TODAY(),INDEX(Transactions!$G:$G,ROW()-8))</f>
      </c>
      <c r="F8359">
        <f>IF(INDEX(Transactions!$J:$J,ROW()-8)="",0,INDEX(Transactions!$O:$O,ROW()-8))</f>
      </c>
    </row>
    <row r="8360" spans="1:7">
      <c r="B8360">
        <f>IF(INDEX(Transactions!$J:$J,ROW()-8)="",TODAY(),INDEX(Transactions!$G:$G,ROW()-8))</f>
      </c>
      <c r="F8360">
        <f>IF(INDEX(Transactions!$J:$J,ROW()-8)="",0,INDEX(Transactions!$O:$O,ROW()-8))</f>
      </c>
    </row>
    <row r="8361" spans="1:7">
      <c r="B8361">
        <f>IF(INDEX(Transactions!$J:$J,ROW()-8)="",TODAY(),INDEX(Transactions!$G:$G,ROW()-8))</f>
      </c>
      <c r="F8361">
        <f>IF(INDEX(Transactions!$J:$J,ROW()-8)="",0,INDEX(Transactions!$O:$O,ROW()-8))</f>
      </c>
    </row>
    <row r="8362" spans="1:7">
      <c r="B8362">
        <f>IF(INDEX(Transactions!$J:$J,ROW()-8)="",TODAY(),INDEX(Transactions!$G:$G,ROW()-8))</f>
      </c>
      <c r="F8362">
        <f>IF(INDEX(Transactions!$J:$J,ROW()-8)="",0,INDEX(Transactions!$O:$O,ROW()-8))</f>
      </c>
    </row>
    <row r="8363" spans="1:7">
      <c r="B8363">
        <f>IF(INDEX(Transactions!$J:$J,ROW()-8)="",TODAY(),INDEX(Transactions!$G:$G,ROW()-8))</f>
      </c>
      <c r="F8363">
        <f>IF(INDEX(Transactions!$J:$J,ROW()-8)="",0,INDEX(Transactions!$O:$O,ROW()-8))</f>
      </c>
    </row>
    <row r="8364" spans="1:7">
      <c r="B8364">
        <f>IF(INDEX(Transactions!$J:$J,ROW()-8)="",TODAY(),INDEX(Transactions!$G:$G,ROW()-8))</f>
      </c>
      <c r="F8364">
        <f>IF(INDEX(Transactions!$J:$J,ROW()-8)="",0,INDEX(Transactions!$O:$O,ROW()-8))</f>
      </c>
    </row>
    <row r="8365" spans="1:7">
      <c r="B8365">
        <f>IF(INDEX(Transactions!$J:$J,ROW()-8)="",TODAY(),INDEX(Transactions!$G:$G,ROW()-8))</f>
      </c>
      <c r="F8365">
        <f>IF(INDEX(Transactions!$J:$J,ROW()-8)="",0,INDEX(Transactions!$O:$O,ROW()-8))</f>
      </c>
    </row>
    <row r="8366" spans="1:7">
      <c r="B8366">
        <f>IF(INDEX(Transactions!$J:$J,ROW()-8)="",TODAY(),INDEX(Transactions!$G:$G,ROW()-8))</f>
      </c>
      <c r="F8366">
        <f>IF(INDEX(Transactions!$J:$J,ROW()-8)="",0,INDEX(Transactions!$O:$O,ROW()-8))</f>
      </c>
    </row>
    <row r="8367" spans="1:7">
      <c r="B8367">
        <f>IF(INDEX(Transactions!$J:$J,ROW()-8)="",TODAY(),INDEX(Transactions!$G:$G,ROW()-8))</f>
      </c>
      <c r="F8367">
        <f>IF(INDEX(Transactions!$J:$J,ROW()-8)="",0,INDEX(Transactions!$O:$O,ROW()-8))</f>
      </c>
    </row>
    <row r="8368" spans="1:7">
      <c r="B8368">
        <f>IF(INDEX(Transactions!$J:$J,ROW()-8)="",TODAY(),INDEX(Transactions!$G:$G,ROW()-8))</f>
      </c>
      <c r="F8368">
        <f>IF(INDEX(Transactions!$J:$J,ROW()-8)="",0,INDEX(Transactions!$O:$O,ROW()-8))</f>
      </c>
    </row>
    <row r="8369" spans="1:7">
      <c r="B8369">
        <f>IF(INDEX(Transactions!$J:$J,ROW()-8)="",TODAY(),INDEX(Transactions!$G:$G,ROW()-8))</f>
      </c>
      <c r="F8369">
        <f>IF(INDEX(Transactions!$J:$J,ROW()-8)="",0,INDEX(Transactions!$O:$O,ROW()-8))</f>
      </c>
    </row>
    <row r="8370" spans="1:7">
      <c r="B8370">
        <f>IF(INDEX(Transactions!$J:$J,ROW()-8)="",TODAY(),INDEX(Transactions!$G:$G,ROW()-8))</f>
      </c>
      <c r="F8370">
        <f>IF(INDEX(Transactions!$J:$J,ROW()-8)="",0,INDEX(Transactions!$O:$O,ROW()-8))</f>
      </c>
    </row>
    <row r="8371" spans="1:7">
      <c r="B8371">
        <f>IF(INDEX(Transactions!$J:$J,ROW()-8)="",TODAY(),INDEX(Transactions!$G:$G,ROW()-8))</f>
      </c>
      <c r="F8371">
        <f>IF(INDEX(Transactions!$J:$J,ROW()-8)="",0,INDEX(Transactions!$O:$O,ROW()-8))</f>
      </c>
    </row>
    <row r="8372" spans="1:7">
      <c r="B8372">
        <f>IF(INDEX(Transactions!$J:$J,ROW()-8)="",TODAY(),INDEX(Transactions!$G:$G,ROW()-8))</f>
      </c>
      <c r="F8372">
        <f>IF(INDEX(Transactions!$J:$J,ROW()-8)="",0,INDEX(Transactions!$O:$O,ROW()-8))</f>
      </c>
    </row>
    <row r="8373" spans="1:7">
      <c r="B8373">
        <f>IF(INDEX(Transactions!$J:$J,ROW()-8)="",TODAY(),INDEX(Transactions!$G:$G,ROW()-8))</f>
      </c>
      <c r="F8373">
        <f>IF(INDEX(Transactions!$J:$J,ROW()-8)="",0,INDEX(Transactions!$O:$O,ROW()-8))</f>
      </c>
    </row>
    <row r="8374" spans="1:7">
      <c r="B8374">
        <f>IF(INDEX(Transactions!$J:$J,ROW()-8)="",TODAY(),INDEX(Transactions!$G:$G,ROW()-8))</f>
      </c>
      <c r="F8374">
        <f>IF(INDEX(Transactions!$J:$J,ROW()-8)="",0,INDEX(Transactions!$O:$O,ROW()-8))</f>
      </c>
    </row>
    <row r="8375" spans="1:7">
      <c r="B8375">
        <f>IF(INDEX(Transactions!$J:$J,ROW()-8)="",TODAY(),INDEX(Transactions!$G:$G,ROW()-8))</f>
      </c>
      <c r="F8375">
        <f>IF(INDEX(Transactions!$J:$J,ROW()-8)="",0,INDEX(Transactions!$O:$O,ROW()-8))</f>
      </c>
    </row>
    <row r="8376" spans="1:7">
      <c r="B8376">
        <f>IF(INDEX(Transactions!$J:$J,ROW()-8)="",TODAY(),INDEX(Transactions!$G:$G,ROW()-8))</f>
      </c>
      <c r="F8376">
        <f>IF(INDEX(Transactions!$J:$J,ROW()-8)="",0,INDEX(Transactions!$O:$O,ROW()-8))</f>
      </c>
    </row>
    <row r="8377" spans="1:7">
      <c r="B8377">
        <f>IF(INDEX(Transactions!$J:$J,ROW()-8)="",TODAY(),INDEX(Transactions!$G:$G,ROW()-8))</f>
      </c>
      <c r="F8377">
        <f>IF(INDEX(Transactions!$J:$J,ROW()-8)="",0,INDEX(Transactions!$O:$O,ROW()-8))</f>
      </c>
    </row>
    <row r="8378" spans="1:7">
      <c r="B8378">
        <f>IF(INDEX(Transactions!$J:$J,ROW()-8)="",TODAY(),INDEX(Transactions!$G:$G,ROW()-8))</f>
      </c>
      <c r="F8378">
        <f>IF(INDEX(Transactions!$J:$J,ROW()-8)="",0,INDEX(Transactions!$O:$O,ROW()-8))</f>
      </c>
    </row>
    <row r="8379" spans="1:7">
      <c r="B8379">
        <f>IF(INDEX(Transactions!$J:$J,ROW()-8)="",TODAY(),INDEX(Transactions!$G:$G,ROW()-8))</f>
      </c>
      <c r="F8379">
        <f>IF(INDEX(Transactions!$J:$J,ROW()-8)="",0,INDEX(Transactions!$O:$O,ROW()-8))</f>
      </c>
    </row>
    <row r="8380" spans="1:7">
      <c r="B8380">
        <f>IF(INDEX(Transactions!$J:$J,ROW()-8)="",TODAY(),INDEX(Transactions!$G:$G,ROW()-8))</f>
      </c>
      <c r="F8380">
        <f>IF(INDEX(Transactions!$J:$J,ROW()-8)="",0,INDEX(Transactions!$O:$O,ROW()-8))</f>
      </c>
    </row>
    <row r="8381" spans="1:7">
      <c r="B8381">
        <f>IF(INDEX(Transactions!$J:$J,ROW()-8)="",TODAY(),INDEX(Transactions!$G:$G,ROW()-8))</f>
      </c>
      <c r="F8381">
        <f>IF(INDEX(Transactions!$J:$J,ROW()-8)="",0,INDEX(Transactions!$O:$O,ROW()-8))</f>
      </c>
    </row>
    <row r="8382" spans="1:7">
      <c r="B8382">
        <f>IF(INDEX(Transactions!$J:$J,ROW()-8)="",TODAY(),INDEX(Transactions!$G:$G,ROW()-8))</f>
      </c>
      <c r="F8382">
        <f>IF(INDEX(Transactions!$J:$J,ROW()-8)="",0,INDEX(Transactions!$O:$O,ROW()-8))</f>
      </c>
    </row>
    <row r="8383" spans="1:7">
      <c r="B8383">
        <f>IF(INDEX(Transactions!$J:$J,ROW()-8)="",TODAY(),INDEX(Transactions!$G:$G,ROW()-8))</f>
      </c>
      <c r="F8383">
        <f>IF(INDEX(Transactions!$J:$J,ROW()-8)="",0,INDEX(Transactions!$O:$O,ROW()-8))</f>
      </c>
    </row>
    <row r="8384" spans="1:7">
      <c r="B8384">
        <f>IF(INDEX(Transactions!$J:$J,ROW()-8)="",TODAY(),INDEX(Transactions!$G:$G,ROW()-8))</f>
      </c>
      <c r="F8384">
        <f>IF(INDEX(Transactions!$J:$J,ROW()-8)="",0,INDEX(Transactions!$O:$O,ROW()-8))</f>
      </c>
    </row>
    <row r="8385" spans="1:7">
      <c r="B8385">
        <f>IF(INDEX(Transactions!$J:$J,ROW()-8)="",TODAY(),INDEX(Transactions!$G:$G,ROW()-8))</f>
      </c>
      <c r="F8385">
        <f>IF(INDEX(Transactions!$J:$J,ROW()-8)="",0,INDEX(Transactions!$O:$O,ROW()-8))</f>
      </c>
    </row>
    <row r="8386" spans="1:7">
      <c r="B8386">
        <f>IF(INDEX(Transactions!$J:$J,ROW()-8)="",TODAY(),INDEX(Transactions!$G:$G,ROW()-8))</f>
      </c>
      <c r="F8386">
        <f>IF(INDEX(Transactions!$J:$J,ROW()-8)="",0,INDEX(Transactions!$O:$O,ROW()-8))</f>
      </c>
    </row>
    <row r="8387" spans="1:7">
      <c r="B8387">
        <f>IF(INDEX(Transactions!$J:$J,ROW()-8)="",TODAY(),INDEX(Transactions!$G:$G,ROW()-8))</f>
      </c>
      <c r="F8387">
        <f>IF(INDEX(Transactions!$J:$J,ROW()-8)="",0,INDEX(Transactions!$O:$O,ROW()-8))</f>
      </c>
    </row>
    <row r="8388" spans="1:7">
      <c r="B8388">
        <f>IF(INDEX(Transactions!$J:$J,ROW()-8)="",TODAY(),INDEX(Transactions!$G:$G,ROW()-8))</f>
      </c>
      <c r="F8388">
        <f>IF(INDEX(Transactions!$J:$J,ROW()-8)="",0,INDEX(Transactions!$O:$O,ROW()-8))</f>
      </c>
    </row>
    <row r="8389" spans="1:7">
      <c r="B8389">
        <f>IF(INDEX(Transactions!$J:$J,ROW()-8)="",TODAY(),INDEX(Transactions!$G:$G,ROW()-8))</f>
      </c>
      <c r="F8389">
        <f>IF(INDEX(Transactions!$J:$J,ROW()-8)="",0,INDEX(Transactions!$O:$O,ROW()-8))</f>
      </c>
    </row>
    <row r="8390" spans="1:7">
      <c r="B8390">
        <f>IF(INDEX(Transactions!$J:$J,ROW()-8)="",TODAY(),INDEX(Transactions!$G:$G,ROW()-8))</f>
      </c>
      <c r="F8390">
        <f>IF(INDEX(Transactions!$J:$J,ROW()-8)="",0,INDEX(Transactions!$O:$O,ROW()-8))</f>
      </c>
    </row>
    <row r="8391" spans="1:7">
      <c r="B8391">
        <f>IF(INDEX(Transactions!$J:$J,ROW()-8)="",TODAY(),INDEX(Transactions!$G:$G,ROW()-8))</f>
      </c>
      <c r="F8391">
        <f>IF(INDEX(Transactions!$J:$J,ROW()-8)="",0,INDEX(Transactions!$O:$O,ROW()-8))</f>
      </c>
    </row>
    <row r="8392" spans="1:7">
      <c r="B8392">
        <f>IF(INDEX(Transactions!$J:$J,ROW()-8)="",TODAY(),INDEX(Transactions!$G:$G,ROW()-8))</f>
      </c>
      <c r="F8392">
        <f>IF(INDEX(Transactions!$J:$J,ROW()-8)="",0,INDEX(Transactions!$O:$O,ROW()-8))</f>
      </c>
    </row>
    <row r="8393" spans="1:7">
      <c r="B8393">
        <f>IF(INDEX(Transactions!$J:$J,ROW()-8)="",TODAY(),INDEX(Transactions!$G:$G,ROW()-8))</f>
      </c>
      <c r="F8393">
        <f>IF(INDEX(Transactions!$J:$J,ROW()-8)="",0,INDEX(Transactions!$O:$O,ROW()-8))</f>
      </c>
    </row>
    <row r="8394" spans="1:7">
      <c r="B8394">
        <f>IF(INDEX(Transactions!$J:$J,ROW()-8)="",TODAY(),INDEX(Transactions!$G:$G,ROW()-8))</f>
      </c>
      <c r="F8394">
        <f>IF(INDEX(Transactions!$J:$J,ROW()-8)="",0,INDEX(Transactions!$O:$O,ROW()-8))</f>
      </c>
    </row>
    <row r="8395" spans="1:7">
      <c r="B8395">
        <f>IF(INDEX(Transactions!$J:$J,ROW()-8)="",TODAY(),INDEX(Transactions!$G:$G,ROW()-8))</f>
      </c>
      <c r="F8395">
        <f>IF(INDEX(Transactions!$J:$J,ROW()-8)="",0,INDEX(Transactions!$O:$O,ROW()-8))</f>
      </c>
    </row>
    <row r="8396" spans="1:7">
      <c r="B8396">
        <f>IF(INDEX(Transactions!$J:$J,ROW()-8)="",TODAY(),INDEX(Transactions!$G:$G,ROW()-8))</f>
      </c>
      <c r="F8396">
        <f>IF(INDEX(Transactions!$J:$J,ROW()-8)="",0,INDEX(Transactions!$O:$O,ROW()-8))</f>
      </c>
    </row>
    <row r="8397" spans="1:7">
      <c r="B8397">
        <f>IF(INDEX(Transactions!$J:$J,ROW()-8)="",TODAY(),INDEX(Transactions!$G:$G,ROW()-8))</f>
      </c>
      <c r="F8397">
        <f>IF(INDEX(Transactions!$J:$J,ROW()-8)="",0,INDEX(Transactions!$O:$O,ROW()-8))</f>
      </c>
    </row>
    <row r="8398" spans="1:7">
      <c r="B8398">
        <f>IF(INDEX(Transactions!$J:$J,ROW()-8)="",TODAY(),INDEX(Transactions!$G:$G,ROW()-8))</f>
      </c>
      <c r="F8398">
        <f>IF(INDEX(Transactions!$J:$J,ROW()-8)="",0,INDEX(Transactions!$O:$O,ROW()-8))</f>
      </c>
    </row>
    <row r="8399" spans="1:7">
      <c r="B8399">
        <f>IF(INDEX(Transactions!$J:$J,ROW()-8)="",TODAY(),INDEX(Transactions!$G:$G,ROW()-8))</f>
      </c>
      <c r="F8399">
        <f>IF(INDEX(Transactions!$J:$J,ROW()-8)="",0,INDEX(Transactions!$O:$O,ROW()-8))</f>
      </c>
    </row>
    <row r="8400" spans="1:7">
      <c r="B8400">
        <f>IF(INDEX(Transactions!$J:$J,ROW()-8)="",TODAY(),INDEX(Transactions!$G:$G,ROW()-8))</f>
      </c>
      <c r="F8400">
        <f>IF(INDEX(Transactions!$J:$J,ROW()-8)="",0,INDEX(Transactions!$O:$O,ROW()-8))</f>
      </c>
    </row>
    <row r="8401" spans="1:7">
      <c r="B8401">
        <f>IF(INDEX(Transactions!$J:$J,ROW()-8)="",TODAY(),INDEX(Transactions!$G:$G,ROW()-8))</f>
      </c>
      <c r="F8401">
        <f>IF(INDEX(Transactions!$J:$J,ROW()-8)="",0,INDEX(Transactions!$O:$O,ROW()-8))</f>
      </c>
    </row>
    <row r="8402" spans="1:7">
      <c r="B8402">
        <f>IF(INDEX(Transactions!$J:$J,ROW()-8)="",TODAY(),INDEX(Transactions!$G:$G,ROW()-8))</f>
      </c>
      <c r="F8402">
        <f>IF(INDEX(Transactions!$J:$J,ROW()-8)="",0,INDEX(Transactions!$O:$O,ROW()-8))</f>
      </c>
    </row>
    <row r="8403" spans="1:7">
      <c r="B8403">
        <f>IF(INDEX(Transactions!$J:$J,ROW()-8)="",TODAY(),INDEX(Transactions!$G:$G,ROW()-8))</f>
      </c>
      <c r="F8403">
        <f>IF(INDEX(Transactions!$J:$J,ROW()-8)="",0,INDEX(Transactions!$O:$O,ROW()-8))</f>
      </c>
    </row>
    <row r="8404" spans="1:7">
      <c r="B8404">
        <f>IF(INDEX(Transactions!$J:$J,ROW()-8)="",TODAY(),INDEX(Transactions!$G:$G,ROW()-8))</f>
      </c>
      <c r="F8404">
        <f>IF(INDEX(Transactions!$J:$J,ROW()-8)="",0,INDEX(Transactions!$O:$O,ROW()-8))</f>
      </c>
    </row>
    <row r="8405" spans="1:7">
      <c r="B8405">
        <f>IF(INDEX(Transactions!$J:$J,ROW()-8)="",TODAY(),INDEX(Transactions!$G:$G,ROW()-8))</f>
      </c>
      <c r="F8405">
        <f>IF(INDEX(Transactions!$J:$J,ROW()-8)="",0,INDEX(Transactions!$O:$O,ROW()-8))</f>
      </c>
    </row>
    <row r="8406" spans="1:7">
      <c r="B8406">
        <f>IF(INDEX(Transactions!$J:$J,ROW()-8)="",TODAY(),INDEX(Transactions!$G:$G,ROW()-8))</f>
      </c>
      <c r="F8406">
        <f>IF(INDEX(Transactions!$J:$J,ROW()-8)="",0,INDEX(Transactions!$O:$O,ROW()-8))</f>
      </c>
    </row>
    <row r="8407" spans="1:7">
      <c r="B8407">
        <f>IF(INDEX(Transactions!$J:$J,ROW()-8)="",TODAY(),INDEX(Transactions!$G:$G,ROW()-8))</f>
      </c>
      <c r="F8407">
        <f>IF(INDEX(Transactions!$J:$J,ROW()-8)="",0,INDEX(Transactions!$O:$O,ROW()-8))</f>
      </c>
    </row>
    <row r="8408" spans="1:7">
      <c r="B8408">
        <f>IF(INDEX(Transactions!$J:$J,ROW()-8)="",TODAY(),INDEX(Transactions!$G:$G,ROW()-8))</f>
      </c>
      <c r="F8408">
        <f>IF(INDEX(Transactions!$J:$J,ROW()-8)="",0,INDEX(Transactions!$O:$O,ROW()-8))</f>
      </c>
    </row>
    <row r="8409" spans="1:7">
      <c r="B8409">
        <f>IF(INDEX(Transactions!$J:$J,ROW()-8)="",TODAY(),INDEX(Transactions!$G:$G,ROW()-8))</f>
      </c>
      <c r="F8409">
        <f>IF(INDEX(Transactions!$J:$J,ROW()-8)="",0,INDEX(Transactions!$O:$O,ROW()-8))</f>
      </c>
    </row>
    <row r="8410" spans="1:7">
      <c r="B8410">
        <f>IF(INDEX(Transactions!$J:$J,ROW()-8)="",TODAY(),INDEX(Transactions!$G:$G,ROW()-8))</f>
      </c>
      <c r="F8410">
        <f>IF(INDEX(Transactions!$J:$J,ROW()-8)="",0,INDEX(Transactions!$O:$O,ROW()-8))</f>
      </c>
    </row>
    <row r="8411" spans="1:7">
      <c r="B8411">
        <f>IF(INDEX(Transactions!$J:$J,ROW()-8)="",TODAY(),INDEX(Transactions!$G:$G,ROW()-8))</f>
      </c>
      <c r="F8411">
        <f>IF(INDEX(Transactions!$J:$J,ROW()-8)="",0,INDEX(Transactions!$O:$O,ROW()-8))</f>
      </c>
    </row>
    <row r="8412" spans="1:7">
      <c r="B8412">
        <f>IF(INDEX(Transactions!$J:$J,ROW()-8)="",TODAY(),INDEX(Transactions!$G:$G,ROW()-8))</f>
      </c>
      <c r="F8412">
        <f>IF(INDEX(Transactions!$J:$J,ROW()-8)="",0,INDEX(Transactions!$O:$O,ROW()-8))</f>
      </c>
    </row>
    <row r="8413" spans="1:7">
      <c r="B8413">
        <f>IF(INDEX(Transactions!$J:$J,ROW()-8)="",TODAY(),INDEX(Transactions!$G:$G,ROW()-8))</f>
      </c>
      <c r="F8413">
        <f>IF(INDEX(Transactions!$J:$J,ROW()-8)="",0,INDEX(Transactions!$O:$O,ROW()-8))</f>
      </c>
    </row>
    <row r="8414" spans="1:7">
      <c r="B8414">
        <f>IF(INDEX(Transactions!$J:$J,ROW()-8)="",TODAY(),INDEX(Transactions!$G:$G,ROW()-8))</f>
      </c>
      <c r="F8414">
        <f>IF(INDEX(Transactions!$J:$J,ROW()-8)="",0,INDEX(Transactions!$O:$O,ROW()-8))</f>
      </c>
    </row>
    <row r="8415" spans="1:7">
      <c r="B8415">
        <f>IF(INDEX(Transactions!$J:$J,ROW()-8)="",TODAY(),INDEX(Transactions!$G:$G,ROW()-8))</f>
      </c>
      <c r="F8415">
        <f>IF(INDEX(Transactions!$J:$J,ROW()-8)="",0,INDEX(Transactions!$O:$O,ROW()-8))</f>
      </c>
    </row>
    <row r="8416" spans="1:7">
      <c r="B8416">
        <f>IF(INDEX(Transactions!$J:$J,ROW()-8)="",TODAY(),INDEX(Transactions!$G:$G,ROW()-8))</f>
      </c>
      <c r="F8416">
        <f>IF(INDEX(Transactions!$J:$J,ROW()-8)="",0,INDEX(Transactions!$O:$O,ROW()-8))</f>
      </c>
    </row>
    <row r="8417" spans="1:7">
      <c r="B8417">
        <f>IF(INDEX(Transactions!$J:$J,ROW()-8)="",TODAY(),INDEX(Transactions!$G:$G,ROW()-8))</f>
      </c>
      <c r="F8417">
        <f>IF(INDEX(Transactions!$J:$J,ROW()-8)="",0,INDEX(Transactions!$O:$O,ROW()-8))</f>
      </c>
    </row>
    <row r="8418" spans="1:7">
      <c r="B8418">
        <f>IF(INDEX(Transactions!$J:$J,ROW()-8)="",TODAY(),INDEX(Transactions!$G:$G,ROW()-8))</f>
      </c>
      <c r="F8418">
        <f>IF(INDEX(Transactions!$J:$J,ROW()-8)="",0,INDEX(Transactions!$O:$O,ROW()-8))</f>
      </c>
    </row>
    <row r="8419" spans="1:7">
      <c r="B8419">
        <f>IF(INDEX(Transactions!$J:$J,ROW()-8)="",TODAY(),INDEX(Transactions!$G:$G,ROW()-8))</f>
      </c>
      <c r="F8419">
        <f>IF(INDEX(Transactions!$J:$J,ROW()-8)="",0,INDEX(Transactions!$O:$O,ROW()-8))</f>
      </c>
    </row>
    <row r="8420" spans="1:7">
      <c r="B8420">
        <f>IF(INDEX(Transactions!$J:$J,ROW()-8)="",TODAY(),INDEX(Transactions!$G:$G,ROW()-8))</f>
      </c>
      <c r="F8420">
        <f>IF(INDEX(Transactions!$J:$J,ROW()-8)="",0,INDEX(Transactions!$O:$O,ROW()-8))</f>
      </c>
    </row>
    <row r="8421" spans="1:7">
      <c r="B8421">
        <f>IF(INDEX(Transactions!$J:$J,ROW()-8)="",TODAY(),INDEX(Transactions!$G:$G,ROW()-8))</f>
      </c>
      <c r="F8421">
        <f>IF(INDEX(Transactions!$J:$J,ROW()-8)="",0,INDEX(Transactions!$O:$O,ROW()-8))</f>
      </c>
    </row>
    <row r="8422" spans="1:7">
      <c r="B8422">
        <f>IF(INDEX(Transactions!$J:$J,ROW()-8)="",TODAY(),INDEX(Transactions!$G:$G,ROW()-8))</f>
      </c>
      <c r="F8422">
        <f>IF(INDEX(Transactions!$J:$J,ROW()-8)="",0,INDEX(Transactions!$O:$O,ROW()-8))</f>
      </c>
    </row>
    <row r="8423" spans="1:7">
      <c r="B8423">
        <f>IF(INDEX(Transactions!$J:$J,ROW()-8)="",TODAY(),INDEX(Transactions!$G:$G,ROW()-8))</f>
      </c>
      <c r="F8423">
        <f>IF(INDEX(Transactions!$J:$J,ROW()-8)="",0,INDEX(Transactions!$O:$O,ROW()-8))</f>
      </c>
    </row>
    <row r="8424" spans="1:7">
      <c r="B8424">
        <f>IF(INDEX(Transactions!$J:$J,ROW()-8)="",TODAY(),INDEX(Transactions!$G:$G,ROW()-8))</f>
      </c>
      <c r="F8424">
        <f>IF(INDEX(Transactions!$J:$J,ROW()-8)="",0,INDEX(Transactions!$O:$O,ROW()-8))</f>
      </c>
    </row>
    <row r="8425" spans="1:7">
      <c r="B8425">
        <f>IF(INDEX(Transactions!$J:$J,ROW()-8)="",TODAY(),INDEX(Transactions!$G:$G,ROW()-8))</f>
      </c>
      <c r="F8425">
        <f>IF(INDEX(Transactions!$J:$J,ROW()-8)="",0,INDEX(Transactions!$O:$O,ROW()-8))</f>
      </c>
    </row>
    <row r="8426" spans="1:7">
      <c r="B8426">
        <f>IF(INDEX(Transactions!$J:$J,ROW()-8)="",TODAY(),INDEX(Transactions!$G:$G,ROW()-8))</f>
      </c>
      <c r="F8426">
        <f>IF(INDEX(Transactions!$J:$J,ROW()-8)="",0,INDEX(Transactions!$O:$O,ROW()-8))</f>
      </c>
    </row>
    <row r="8427" spans="1:7">
      <c r="B8427">
        <f>IF(INDEX(Transactions!$J:$J,ROW()-8)="",TODAY(),INDEX(Transactions!$G:$G,ROW()-8))</f>
      </c>
      <c r="F8427">
        <f>IF(INDEX(Transactions!$J:$J,ROW()-8)="",0,INDEX(Transactions!$O:$O,ROW()-8))</f>
      </c>
    </row>
    <row r="8428" spans="1:7">
      <c r="B8428">
        <f>IF(INDEX(Transactions!$J:$J,ROW()-8)="",TODAY(),INDEX(Transactions!$G:$G,ROW()-8))</f>
      </c>
      <c r="F8428">
        <f>IF(INDEX(Transactions!$J:$J,ROW()-8)="",0,INDEX(Transactions!$O:$O,ROW()-8))</f>
      </c>
    </row>
    <row r="8429" spans="1:7">
      <c r="B8429">
        <f>IF(INDEX(Transactions!$J:$J,ROW()-8)="",TODAY(),INDEX(Transactions!$G:$G,ROW()-8))</f>
      </c>
      <c r="F8429">
        <f>IF(INDEX(Transactions!$J:$J,ROW()-8)="",0,INDEX(Transactions!$O:$O,ROW()-8))</f>
      </c>
    </row>
    <row r="8430" spans="1:7">
      <c r="B8430">
        <f>IF(INDEX(Transactions!$J:$J,ROW()-8)="",TODAY(),INDEX(Transactions!$G:$G,ROW()-8))</f>
      </c>
      <c r="F8430">
        <f>IF(INDEX(Transactions!$J:$J,ROW()-8)="",0,INDEX(Transactions!$O:$O,ROW()-8))</f>
      </c>
    </row>
    <row r="8431" spans="1:7">
      <c r="B8431">
        <f>IF(INDEX(Transactions!$J:$J,ROW()-8)="",TODAY(),INDEX(Transactions!$G:$G,ROW()-8))</f>
      </c>
      <c r="F8431">
        <f>IF(INDEX(Transactions!$J:$J,ROW()-8)="",0,INDEX(Transactions!$O:$O,ROW()-8))</f>
      </c>
    </row>
    <row r="8432" spans="1:7">
      <c r="B8432">
        <f>IF(INDEX(Transactions!$J:$J,ROW()-8)="",TODAY(),INDEX(Transactions!$G:$G,ROW()-8))</f>
      </c>
      <c r="F8432">
        <f>IF(INDEX(Transactions!$J:$J,ROW()-8)="",0,INDEX(Transactions!$O:$O,ROW()-8))</f>
      </c>
    </row>
    <row r="8433" spans="1:7">
      <c r="B8433">
        <f>IF(INDEX(Transactions!$J:$J,ROW()-8)="",TODAY(),INDEX(Transactions!$G:$G,ROW()-8))</f>
      </c>
      <c r="F8433">
        <f>IF(INDEX(Transactions!$J:$J,ROW()-8)="",0,INDEX(Transactions!$O:$O,ROW()-8))</f>
      </c>
    </row>
    <row r="8434" spans="1:7">
      <c r="B8434">
        <f>IF(INDEX(Transactions!$J:$J,ROW()-8)="",TODAY(),INDEX(Transactions!$G:$G,ROW()-8))</f>
      </c>
      <c r="F8434">
        <f>IF(INDEX(Transactions!$J:$J,ROW()-8)="",0,INDEX(Transactions!$O:$O,ROW()-8))</f>
      </c>
    </row>
    <row r="8435" spans="1:7">
      <c r="B8435">
        <f>IF(INDEX(Transactions!$J:$J,ROW()-8)="",TODAY(),INDEX(Transactions!$G:$G,ROW()-8))</f>
      </c>
      <c r="F8435">
        <f>IF(INDEX(Transactions!$J:$J,ROW()-8)="",0,INDEX(Transactions!$O:$O,ROW()-8))</f>
      </c>
    </row>
    <row r="8436" spans="1:7">
      <c r="B8436">
        <f>IF(INDEX(Transactions!$J:$J,ROW()-8)="",TODAY(),INDEX(Transactions!$G:$G,ROW()-8))</f>
      </c>
      <c r="F8436">
        <f>IF(INDEX(Transactions!$J:$J,ROW()-8)="",0,INDEX(Transactions!$O:$O,ROW()-8))</f>
      </c>
    </row>
    <row r="8437" spans="1:7">
      <c r="B8437">
        <f>IF(INDEX(Transactions!$J:$J,ROW()-8)="",TODAY(),INDEX(Transactions!$G:$G,ROW()-8))</f>
      </c>
      <c r="F8437">
        <f>IF(INDEX(Transactions!$J:$J,ROW()-8)="",0,INDEX(Transactions!$O:$O,ROW()-8))</f>
      </c>
    </row>
    <row r="8438" spans="1:7">
      <c r="B8438">
        <f>IF(INDEX(Transactions!$J:$J,ROW()-8)="",TODAY(),INDEX(Transactions!$G:$G,ROW()-8))</f>
      </c>
      <c r="F8438">
        <f>IF(INDEX(Transactions!$J:$J,ROW()-8)="",0,INDEX(Transactions!$O:$O,ROW()-8))</f>
      </c>
    </row>
    <row r="8439" spans="1:7">
      <c r="B8439">
        <f>IF(INDEX(Transactions!$J:$J,ROW()-8)="",TODAY(),INDEX(Transactions!$G:$G,ROW()-8))</f>
      </c>
      <c r="F8439">
        <f>IF(INDEX(Transactions!$J:$J,ROW()-8)="",0,INDEX(Transactions!$O:$O,ROW()-8))</f>
      </c>
    </row>
    <row r="8440" spans="1:7">
      <c r="B8440">
        <f>IF(INDEX(Transactions!$J:$J,ROW()-8)="",TODAY(),INDEX(Transactions!$G:$G,ROW()-8))</f>
      </c>
      <c r="F8440">
        <f>IF(INDEX(Transactions!$J:$J,ROW()-8)="",0,INDEX(Transactions!$O:$O,ROW()-8))</f>
      </c>
    </row>
    <row r="8441" spans="1:7">
      <c r="B8441">
        <f>IF(INDEX(Transactions!$J:$J,ROW()-8)="",TODAY(),INDEX(Transactions!$G:$G,ROW()-8))</f>
      </c>
      <c r="F8441">
        <f>IF(INDEX(Transactions!$J:$J,ROW()-8)="",0,INDEX(Transactions!$O:$O,ROW()-8))</f>
      </c>
    </row>
    <row r="8442" spans="1:7">
      <c r="B8442">
        <f>IF(INDEX(Transactions!$J:$J,ROW()-8)="",TODAY(),INDEX(Transactions!$G:$G,ROW()-8))</f>
      </c>
      <c r="F8442">
        <f>IF(INDEX(Transactions!$J:$J,ROW()-8)="",0,INDEX(Transactions!$O:$O,ROW()-8))</f>
      </c>
    </row>
    <row r="8443" spans="1:7">
      <c r="B8443">
        <f>IF(INDEX(Transactions!$J:$J,ROW()-8)="",TODAY(),INDEX(Transactions!$G:$G,ROW()-8))</f>
      </c>
      <c r="F8443">
        <f>IF(INDEX(Transactions!$J:$J,ROW()-8)="",0,INDEX(Transactions!$O:$O,ROW()-8))</f>
      </c>
    </row>
    <row r="8444" spans="1:7">
      <c r="B8444">
        <f>IF(INDEX(Transactions!$J:$J,ROW()-8)="",TODAY(),INDEX(Transactions!$G:$G,ROW()-8))</f>
      </c>
      <c r="F8444">
        <f>IF(INDEX(Transactions!$J:$J,ROW()-8)="",0,INDEX(Transactions!$O:$O,ROW()-8))</f>
      </c>
    </row>
    <row r="8445" spans="1:7">
      <c r="B8445">
        <f>IF(INDEX(Transactions!$J:$J,ROW()-8)="",TODAY(),INDEX(Transactions!$G:$G,ROW()-8))</f>
      </c>
      <c r="F8445">
        <f>IF(INDEX(Transactions!$J:$J,ROW()-8)="",0,INDEX(Transactions!$O:$O,ROW()-8))</f>
      </c>
    </row>
    <row r="8446" spans="1:7">
      <c r="B8446">
        <f>IF(INDEX(Transactions!$J:$J,ROW()-8)="",TODAY(),INDEX(Transactions!$G:$G,ROW()-8))</f>
      </c>
      <c r="F8446">
        <f>IF(INDEX(Transactions!$J:$J,ROW()-8)="",0,INDEX(Transactions!$O:$O,ROW()-8))</f>
      </c>
    </row>
    <row r="8447" spans="1:7">
      <c r="B8447">
        <f>IF(INDEX(Transactions!$J:$J,ROW()-8)="",TODAY(),INDEX(Transactions!$G:$G,ROW()-8))</f>
      </c>
      <c r="F8447">
        <f>IF(INDEX(Transactions!$J:$J,ROW()-8)="",0,INDEX(Transactions!$O:$O,ROW()-8))</f>
      </c>
    </row>
    <row r="8448" spans="1:7">
      <c r="B8448">
        <f>IF(INDEX(Transactions!$J:$J,ROW()-8)="",TODAY(),INDEX(Transactions!$G:$G,ROW()-8))</f>
      </c>
      <c r="F8448">
        <f>IF(INDEX(Transactions!$J:$J,ROW()-8)="",0,INDEX(Transactions!$O:$O,ROW()-8))</f>
      </c>
    </row>
    <row r="8449" spans="1:7">
      <c r="B8449">
        <f>IF(INDEX(Transactions!$J:$J,ROW()-8)="",TODAY(),INDEX(Transactions!$G:$G,ROW()-8))</f>
      </c>
      <c r="F8449">
        <f>IF(INDEX(Transactions!$J:$J,ROW()-8)="",0,INDEX(Transactions!$O:$O,ROW()-8))</f>
      </c>
    </row>
    <row r="8450" spans="1:7">
      <c r="B8450">
        <f>IF(INDEX(Transactions!$J:$J,ROW()-8)="",TODAY(),INDEX(Transactions!$G:$G,ROW()-8))</f>
      </c>
      <c r="F8450">
        <f>IF(INDEX(Transactions!$J:$J,ROW()-8)="",0,INDEX(Transactions!$O:$O,ROW()-8))</f>
      </c>
    </row>
    <row r="8451" spans="1:7">
      <c r="B8451">
        <f>IF(INDEX(Transactions!$J:$J,ROW()-8)="",TODAY(),INDEX(Transactions!$G:$G,ROW()-8))</f>
      </c>
      <c r="F8451">
        <f>IF(INDEX(Transactions!$J:$J,ROW()-8)="",0,INDEX(Transactions!$O:$O,ROW()-8))</f>
      </c>
    </row>
    <row r="8452" spans="1:7">
      <c r="B8452">
        <f>IF(INDEX(Transactions!$J:$J,ROW()-8)="",TODAY(),INDEX(Transactions!$G:$G,ROW()-8))</f>
      </c>
      <c r="F8452">
        <f>IF(INDEX(Transactions!$J:$J,ROW()-8)="",0,INDEX(Transactions!$O:$O,ROW()-8))</f>
      </c>
    </row>
    <row r="8453" spans="1:7">
      <c r="B8453">
        <f>IF(INDEX(Transactions!$J:$J,ROW()-8)="",TODAY(),INDEX(Transactions!$G:$G,ROW()-8))</f>
      </c>
      <c r="F8453">
        <f>IF(INDEX(Transactions!$J:$J,ROW()-8)="",0,INDEX(Transactions!$O:$O,ROW()-8))</f>
      </c>
    </row>
    <row r="8454" spans="1:7">
      <c r="B8454">
        <f>IF(INDEX(Transactions!$J:$J,ROW()-8)="",TODAY(),INDEX(Transactions!$G:$G,ROW()-8))</f>
      </c>
      <c r="F8454">
        <f>IF(INDEX(Transactions!$J:$J,ROW()-8)="",0,INDEX(Transactions!$O:$O,ROW()-8))</f>
      </c>
    </row>
    <row r="8455" spans="1:7">
      <c r="B8455">
        <f>IF(INDEX(Transactions!$J:$J,ROW()-8)="",TODAY(),INDEX(Transactions!$G:$G,ROW()-8))</f>
      </c>
      <c r="F8455">
        <f>IF(INDEX(Transactions!$J:$J,ROW()-8)="",0,INDEX(Transactions!$O:$O,ROW()-8))</f>
      </c>
    </row>
    <row r="8456" spans="1:7">
      <c r="B8456">
        <f>IF(INDEX(Transactions!$J:$J,ROW()-8)="",TODAY(),INDEX(Transactions!$G:$G,ROW()-8))</f>
      </c>
      <c r="F8456">
        <f>IF(INDEX(Transactions!$J:$J,ROW()-8)="",0,INDEX(Transactions!$O:$O,ROW()-8))</f>
      </c>
    </row>
    <row r="8457" spans="1:7">
      <c r="B8457">
        <f>IF(INDEX(Transactions!$J:$J,ROW()-8)="",TODAY(),INDEX(Transactions!$G:$G,ROW()-8))</f>
      </c>
      <c r="F8457">
        <f>IF(INDEX(Transactions!$J:$J,ROW()-8)="",0,INDEX(Transactions!$O:$O,ROW()-8))</f>
      </c>
    </row>
    <row r="8458" spans="1:7">
      <c r="B8458">
        <f>IF(INDEX(Transactions!$J:$J,ROW()-8)="",TODAY(),INDEX(Transactions!$G:$G,ROW()-8))</f>
      </c>
      <c r="F8458">
        <f>IF(INDEX(Transactions!$J:$J,ROW()-8)="",0,INDEX(Transactions!$O:$O,ROW()-8))</f>
      </c>
    </row>
    <row r="8459" spans="1:7">
      <c r="B8459">
        <f>IF(INDEX(Transactions!$J:$J,ROW()-8)="",TODAY(),INDEX(Transactions!$G:$G,ROW()-8))</f>
      </c>
      <c r="F8459">
        <f>IF(INDEX(Transactions!$J:$J,ROW()-8)="",0,INDEX(Transactions!$O:$O,ROW()-8))</f>
      </c>
    </row>
    <row r="8460" spans="1:7">
      <c r="B8460">
        <f>IF(INDEX(Transactions!$J:$J,ROW()-8)="",TODAY(),INDEX(Transactions!$G:$G,ROW()-8))</f>
      </c>
      <c r="F8460">
        <f>IF(INDEX(Transactions!$J:$J,ROW()-8)="",0,INDEX(Transactions!$O:$O,ROW()-8))</f>
      </c>
    </row>
    <row r="8461" spans="1:7">
      <c r="B8461">
        <f>IF(INDEX(Transactions!$J:$J,ROW()-8)="",TODAY(),INDEX(Transactions!$G:$G,ROW()-8))</f>
      </c>
      <c r="F8461">
        <f>IF(INDEX(Transactions!$J:$J,ROW()-8)="",0,INDEX(Transactions!$O:$O,ROW()-8))</f>
      </c>
    </row>
    <row r="8462" spans="1:7">
      <c r="B8462">
        <f>IF(INDEX(Transactions!$J:$J,ROW()-8)="",TODAY(),INDEX(Transactions!$G:$G,ROW()-8))</f>
      </c>
      <c r="F8462">
        <f>IF(INDEX(Transactions!$J:$J,ROW()-8)="",0,INDEX(Transactions!$O:$O,ROW()-8))</f>
      </c>
    </row>
    <row r="8463" spans="1:7">
      <c r="B8463">
        <f>IF(INDEX(Transactions!$J:$J,ROW()-8)="",TODAY(),INDEX(Transactions!$G:$G,ROW()-8))</f>
      </c>
      <c r="F8463">
        <f>IF(INDEX(Transactions!$J:$J,ROW()-8)="",0,INDEX(Transactions!$O:$O,ROW()-8))</f>
      </c>
    </row>
    <row r="8464" spans="1:7">
      <c r="B8464">
        <f>IF(INDEX(Transactions!$J:$J,ROW()-8)="",TODAY(),INDEX(Transactions!$G:$G,ROW()-8))</f>
      </c>
      <c r="F8464">
        <f>IF(INDEX(Transactions!$J:$J,ROW()-8)="",0,INDEX(Transactions!$O:$O,ROW()-8))</f>
      </c>
    </row>
    <row r="8465" spans="1:7">
      <c r="B8465">
        <f>IF(INDEX(Transactions!$J:$J,ROW()-8)="",TODAY(),INDEX(Transactions!$G:$G,ROW()-8))</f>
      </c>
      <c r="F8465">
        <f>IF(INDEX(Transactions!$J:$J,ROW()-8)="",0,INDEX(Transactions!$O:$O,ROW()-8))</f>
      </c>
    </row>
    <row r="8466" spans="1:7">
      <c r="B8466">
        <f>IF(INDEX(Transactions!$J:$J,ROW()-8)="",TODAY(),INDEX(Transactions!$G:$G,ROW()-8))</f>
      </c>
      <c r="F8466">
        <f>IF(INDEX(Transactions!$J:$J,ROW()-8)="",0,INDEX(Transactions!$O:$O,ROW()-8))</f>
      </c>
    </row>
    <row r="8467" spans="1:7">
      <c r="B8467">
        <f>IF(INDEX(Transactions!$J:$J,ROW()-8)="",TODAY(),INDEX(Transactions!$G:$G,ROW()-8))</f>
      </c>
      <c r="F8467">
        <f>IF(INDEX(Transactions!$J:$J,ROW()-8)="",0,INDEX(Transactions!$O:$O,ROW()-8))</f>
      </c>
    </row>
    <row r="8468" spans="1:7">
      <c r="B8468">
        <f>IF(INDEX(Transactions!$J:$J,ROW()-8)="",TODAY(),INDEX(Transactions!$G:$G,ROW()-8))</f>
      </c>
      <c r="F8468">
        <f>IF(INDEX(Transactions!$J:$J,ROW()-8)="",0,INDEX(Transactions!$O:$O,ROW()-8))</f>
      </c>
    </row>
    <row r="8469" spans="1:7">
      <c r="B8469">
        <f>IF(INDEX(Transactions!$J:$J,ROW()-8)="",TODAY(),INDEX(Transactions!$G:$G,ROW()-8))</f>
      </c>
      <c r="F8469">
        <f>IF(INDEX(Transactions!$J:$J,ROW()-8)="",0,INDEX(Transactions!$O:$O,ROW()-8))</f>
      </c>
    </row>
    <row r="8470" spans="1:7">
      <c r="B8470">
        <f>IF(INDEX(Transactions!$J:$J,ROW()-8)="",TODAY(),INDEX(Transactions!$G:$G,ROW()-8))</f>
      </c>
      <c r="F8470">
        <f>IF(INDEX(Transactions!$J:$J,ROW()-8)="",0,INDEX(Transactions!$O:$O,ROW()-8))</f>
      </c>
    </row>
    <row r="8471" spans="1:7">
      <c r="B8471">
        <f>IF(INDEX(Transactions!$J:$J,ROW()-8)="",TODAY(),INDEX(Transactions!$G:$G,ROW()-8))</f>
      </c>
      <c r="F8471">
        <f>IF(INDEX(Transactions!$J:$J,ROW()-8)="",0,INDEX(Transactions!$O:$O,ROW()-8))</f>
      </c>
    </row>
    <row r="8472" spans="1:7">
      <c r="B8472">
        <f>IF(INDEX(Transactions!$J:$J,ROW()-8)="",TODAY(),INDEX(Transactions!$G:$G,ROW()-8))</f>
      </c>
      <c r="F8472">
        <f>IF(INDEX(Transactions!$J:$J,ROW()-8)="",0,INDEX(Transactions!$O:$O,ROW()-8))</f>
      </c>
    </row>
    <row r="8473" spans="1:7">
      <c r="B8473">
        <f>IF(INDEX(Transactions!$J:$J,ROW()-8)="",TODAY(),INDEX(Transactions!$G:$G,ROW()-8))</f>
      </c>
      <c r="F8473">
        <f>IF(INDEX(Transactions!$J:$J,ROW()-8)="",0,INDEX(Transactions!$O:$O,ROW()-8))</f>
      </c>
    </row>
    <row r="8474" spans="1:7">
      <c r="B8474">
        <f>IF(INDEX(Transactions!$J:$J,ROW()-8)="",TODAY(),INDEX(Transactions!$G:$G,ROW()-8))</f>
      </c>
      <c r="F8474">
        <f>IF(INDEX(Transactions!$J:$J,ROW()-8)="",0,INDEX(Transactions!$O:$O,ROW()-8))</f>
      </c>
    </row>
    <row r="8475" spans="1:7">
      <c r="B8475">
        <f>IF(INDEX(Transactions!$J:$J,ROW()-8)="",TODAY(),INDEX(Transactions!$G:$G,ROW()-8))</f>
      </c>
      <c r="F8475">
        <f>IF(INDEX(Transactions!$J:$J,ROW()-8)="",0,INDEX(Transactions!$O:$O,ROW()-8))</f>
      </c>
    </row>
    <row r="8476" spans="1:7">
      <c r="B8476">
        <f>IF(INDEX(Transactions!$J:$J,ROW()-8)="",TODAY(),INDEX(Transactions!$G:$G,ROW()-8))</f>
      </c>
      <c r="F8476">
        <f>IF(INDEX(Transactions!$J:$J,ROW()-8)="",0,INDEX(Transactions!$O:$O,ROW()-8))</f>
      </c>
    </row>
    <row r="8477" spans="1:7">
      <c r="B8477">
        <f>IF(INDEX(Transactions!$J:$J,ROW()-8)="",TODAY(),INDEX(Transactions!$G:$G,ROW()-8))</f>
      </c>
      <c r="F8477">
        <f>IF(INDEX(Transactions!$J:$J,ROW()-8)="",0,INDEX(Transactions!$O:$O,ROW()-8))</f>
      </c>
    </row>
    <row r="8478" spans="1:7">
      <c r="B8478">
        <f>IF(INDEX(Transactions!$J:$J,ROW()-8)="",TODAY(),INDEX(Transactions!$G:$G,ROW()-8))</f>
      </c>
      <c r="F8478">
        <f>IF(INDEX(Transactions!$J:$J,ROW()-8)="",0,INDEX(Transactions!$O:$O,ROW()-8))</f>
      </c>
    </row>
    <row r="8479" spans="1:7">
      <c r="B8479">
        <f>IF(INDEX(Transactions!$J:$J,ROW()-8)="",TODAY(),INDEX(Transactions!$G:$G,ROW()-8))</f>
      </c>
      <c r="F8479">
        <f>IF(INDEX(Transactions!$J:$J,ROW()-8)="",0,INDEX(Transactions!$O:$O,ROW()-8))</f>
      </c>
    </row>
    <row r="8480" spans="1:7">
      <c r="B8480">
        <f>IF(INDEX(Transactions!$J:$J,ROW()-8)="",TODAY(),INDEX(Transactions!$G:$G,ROW()-8))</f>
      </c>
      <c r="F8480">
        <f>IF(INDEX(Transactions!$J:$J,ROW()-8)="",0,INDEX(Transactions!$O:$O,ROW()-8))</f>
      </c>
    </row>
    <row r="8481" spans="1:7">
      <c r="B8481">
        <f>IF(INDEX(Transactions!$J:$J,ROW()-8)="",TODAY(),INDEX(Transactions!$G:$G,ROW()-8))</f>
      </c>
      <c r="F8481">
        <f>IF(INDEX(Transactions!$J:$J,ROW()-8)="",0,INDEX(Transactions!$O:$O,ROW()-8))</f>
      </c>
    </row>
    <row r="8482" spans="1:7">
      <c r="B8482">
        <f>IF(INDEX(Transactions!$J:$J,ROW()-8)="",TODAY(),INDEX(Transactions!$G:$G,ROW()-8))</f>
      </c>
      <c r="F8482">
        <f>IF(INDEX(Transactions!$J:$J,ROW()-8)="",0,INDEX(Transactions!$O:$O,ROW()-8))</f>
      </c>
    </row>
    <row r="8483" spans="1:7">
      <c r="B8483">
        <f>IF(INDEX(Transactions!$J:$J,ROW()-8)="",TODAY(),INDEX(Transactions!$G:$G,ROW()-8))</f>
      </c>
      <c r="F8483">
        <f>IF(INDEX(Transactions!$J:$J,ROW()-8)="",0,INDEX(Transactions!$O:$O,ROW()-8))</f>
      </c>
    </row>
    <row r="8484" spans="1:7">
      <c r="B8484">
        <f>IF(INDEX(Transactions!$J:$J,ROW()-8)="",TODAY(),INDEX(Transactions!$G:$G,ROW()-8))</f>
      </c>
      <c r="F8484">
        <f>IF(INDEX(Transactions!$J:$J,ROW()-8)="",0,INDEX(Transactions!$O:$O,ROW()-8))</f>
      </c>
    </row>
    <row r="8485" spans="1:7">
      <c r="B8485">
        <f>IF(INDEX(Transactions!$J:$J,ROW()-8)="",TODAY(),INDEX(Transactions!$G:$G,ROW()-8))</f>
      </c>
      <c r="F8485">
        <f>IF(INDEX(Transactions!$J:$J,ROW()-8)="",0,INDEX(Transactions!$O:$O,ROW()-8))</f>
      </c>
    </row>
    <row r="8486" spans="1:7">
      <c r="B8486">
        <f>IF(INDEX(Transactions!$J:$J,ROW()-8)="",TODAY(),INDEX(Transactions!$G:$G,ROW()-8))</f>
      </c>
      <c r="F8486">
        <f>IF(INDEX(Transactions!$J:$J,ROW()-8)="",0,INDEX(Transactions!$O:$O,ROW()-8))</f>
      </c>
    </row>
    <row r="8487" spans="1:7">
      <c r="B8487">
        <f>IF(INDEX(Transactions!$J:$J,ROW()-8)="",TODAY(),INDEX(Transactions!$G:$G,ROW()-8))</f>
      </c>
      <c r="F8487">
        <f>IF(INDEX(Transactions!$J:$J,ROW()-8)="",0,INDEX(Transactions!$O:$O,ROW()-8))</f>
      </c>
    </row>
    <row r="8488" spans="1:7">
      <c r="B8488">
        <f>IF(INDEX(Transactions!$J:$J,ROW()-8)="",TODAY(),INDEX(Transactions!$G:$G,ROW()-8))</f>
      </c>
      <c r="F8488">
        <f>IF(INDEX(Transactions!$J:$J,ROW()-8)="",0,INDEX(Transactions!$O:$O,ROW()-8))</f>
      </c>
    </row>
    <row r="8489" spans="1:7">
      <c r="B8489">
        <f>IF(INDEX(Transactions!$J:$J,ROW()-8)="",TODAY(),INDEX(Transactions!$G:$G,ROW()-8))</f>
      </c>
      <c r="F8489">
        <f>IF(INDEX(Transactions!$J:$J,ROW()-8)="",0,INDEX(Transactions!$O:$O,ROW()-8))</f>
      </c>
    </row>
    <row r="8490" spans="1:7">
      <c r="B8490">
        <f>IF(INDEX(Transactions!$J:$J,ROW()-8)="",TODAY(),INDEX(Transactions!$G:$G,ROW()-8))</f>
      </c>
      <c r="F8490">
        <f>IF(INDEX(Transactions!$J:$J,ROW()-8)="",0,INDEX(Transactions!$O:$O,ROW()-8))</f>
      </c>
    </row>
    <row r="8491" spans="1:7">
      <c r="B8491">
        <f>IF(INDEX(Transactions!$J:$J,ROW()-8)="",TODAY(),INDEX(Transactions!$G:$G,ROW()-8))</f>
      </c>
      <c r="F8491">
        <f>IF(INDEX(Transactions!$J:$J,ROW()-8)="",0,INDEX(Transactions!$O:$O,ROW()-8))</f>
      </c>
    </row>
    <row r="8492" spans="1:7">
      <c r="B8492">
        <f>IF(INDEX(Transactions!$J:$J,ROW()-8)="",TODAY(),INDEX(Transactions!$G:$G,ROW()-8))</f>
      </c>
      <c r="F8492">
        <f>IF(INDEX(Transactions!$J:$J,ROW()-8)="",0,INDEX(Transactions!$O:$O,ROW()-8))</f>
      </c>
    </row>
    <row r="8493" spans="1:7">
      <c r="B8493">
        <f>IF(INDEX(Transactions!$J:$J,ROW()-8)="",TODAY(),INDEX(Transactions!$G:$G,ROW()-8))</f>
      </c>
      <c r="F8493">
        <f>IF(INDEX(Transactions!$J:$J,ROW()-8)="",0,INDEX(Transactions!$O:$O,ROW()-8))</f>
      </c>
    </row>
    <row r="8494" spans="1:7">
      <c r="B8494">
        <f>IF(INDEX(Transactions!$J:$J,ROW()-8)="",TODAY(),INDEX(Transactions!$G:$G,ROW()-8))</f>
      </c>
      <c r="F8494">
        <f>IF(INDEX(Transactions!$J:$J,ROW()-8)="",0,INDEX(Transactions!$O:$O,ROW()-8))</f>
      </c>
    </row>
    <row r="8495" spans="1:7">
      <c r="B8495">
        <f>IF(INDEX(Transactions!$J:$J,ROW()-8)="",TODAY(),INDEX(Transactions!$G:$G,ROW()-8))</f>
      </c>
      <c r="F8495">
        <f>IF(INDEX(Transactions!$J:$J,ROW()-8)="",0,INDEX(Transactions!$O:$O,ROW()-8))</f>
      </c>
    </row>
    <row r="8496" spans="1:7">
      <c r="B8496">
        <f>IF(INDEX(Transactions!$J:$J,ROW()-8)="",TODAY(),INDEX(Transactions!$G:$G,ROW()-8))</f>
      </c>
      <c r="F8496">
        <f>IF(INDEX(Transactions!$J:$J,ROW()-8)="",0,INDEX(Transactions!$O:$O,ROW()-8))</f>
      </c>
    </row>
    <row r="8497" spans="1:7">
      <c r="B8497">
        <f>IF(INDEX(Transactions!$J:$J,ROW()-8)="",TODAY(),INDEX(Transactions!$G:$G,ROW()-8))</f>
      </c>
      <c r="F8497">
        <f>IF(INDEX(Transactions!$J:$J,ROW()-8)="",0,INDEX(Transactions!$O:$O,ROW()-8))</f>
      </c>
    </row>
    <row r="8498" spans="1:7">
      <c r="B8498">
        <f>IF(INDEX(Transactions!$J:$J,ROW()-8)="",TODAY(),INDEX(Transactions!$G:$G,ROW()-8))</f>
      </c>
      <c r="F8498">
        <f>IF(INDEX(Transactions!$J:$J,ROW()-8)="",0,INDEX(Transactions!$O:$O,ROW()-8))</f>
      </c>
    </row>
    <row r="8499" spans="1:7">
      <c r="B8499">
        <f>IF(INDEX(Transactions!$J:$J,ROW()-8)="",TODAY(),INDEX(Transactions!$G:$G,ROW()-8))</f>
      </c>
      <c r="F8499">
        <f>IF(INDEX(Transactions!$J:$J,ROW()-8)="",0,INDEX(Transactions!$O:$O,ROW()-8))</f>
      </c>
    </row>
    <row r="8500" spans="1:7">
      <c r="B8500">
        <f>IF(INDEX(Transactions!$J:$J,ROW()-8)="",TODAY(),INDEX(Transactions!$G:$G,ROW()-8))</f>
      </c>
      <c r="F8500">
        <f>IF(INDEX(Transactions!$J:$J,ROW()-8)="",0,INDEX(Transactions!$O:$O,ROW()-8))</f>
      </c>
    </row>
    <row r="8501" spans="1:7">
      <c r="B8501">
        <f>IF(INDEX(Transactions!$J:$J,ROW()-8)="",TODAY(),INDEX(Transactions!$G:$G,ROW()-8))</f>
      </c>
      <c r="F8501">
        <f>IF(INDEX(Transactions!$J:$J,ROW()-8)="",0,INDEX(Transactions!$O:$O,ROW()-8))</f>
      </c>
    </row>
    <row r="8502" spans="1:7">
      <c r="B8502">
        <f>IF(INDEX(Transactions!$J:$J,ROW()-8)="",TODAY(),INDEX(Transactions!$G:$G,ROW()-8))</f>
      </c>
      <c r="F8502">
        <f>IF(INDEX(Transactions!$J:$J,ROW()-8)="",0,INDEX(Transactions!$O:$O,ROW()-8))</f>
      </c>
    </row>
    <row r="8503" spans="1:7">
      <c r="B8503">
        <f>IF(INDEX(Transactions!$J:$J,ROW()-8)="",TODAY(),INDEX(Transactions!$G:$G,ROW()-8))</f>
      </c>
      <c r="F8503">
        <f>IF(INDEX(Transactions!$J:$J,ROW()-8)="",0,INDEX(Transactions!$O:$O,ROW()-8))</f>
      </c>
    </row>
    <row r="8504" spans="1:7">
      <c r="B8504">
        <f>IF(INDEX(Transactions!$J:$J,ROW()-8)="",TODAY(),INDEX(Transactions!$G:$G,ROW()-8))</f>
      </c>
      <c r="F8504">
        <f>IF(INDEX(Transactions!$J:$J,ROW()-8)="",0,INDEX(Transactions!$O:$O,ROW()-8))</f>
      </c>
    </row>
    <row r="8505" spans="1:7">
      <c r="B8505">
        <f>IF(INDEX(Transactions!$J:$J,ROW()-8)="",TODAY(),INDEX(Transactions!$G:$G,ROW()-8))</f>
      </c>
      <c r="F8505">
        <f>IF(INDEX(Transactions!$J:$J,ROW()-8)="",0,INDEX(Transactions!$O:$O,ROW()-8))</f>
      </c>
    </row>
    <row r="8506" spans="1:7">
      <c r="B8506">
        <f>IF(INDEX(Transactions!$J:$J,ROW()-8)="",TODAY(),INDEX(Transactions!$G:$G,ROW()-8))</f>
      </c>
      <c r="F8506">
        <f>IF(INDEX(Transactions!$J:$J,ROW()-8)="",0,INDEX(Transactions!$O:$O,ROW()-8))</f>
      </c>
    </row>
    <row r="8507" spans="1:7">
      <c r="B8507">
        <f>IF(INDEX(Transactions!$J:$J,ROW()-8)="",TODAY(),INDEX(Transactions!$G:$G,ROW()-8))</f>
      </c>
      <c r="F8507">
        <f>IF(INDEX(Transactions!$J:$J,ROW()-8)="",0,INDEX(Transactions!$O:$O,ROW()-8))</f>
      </c>
    </row>
    <row r="8508" spans="1:7">
      <c r="B8508">
        <f>IF(INDEX(Transactions!$J:$J,ROW()-8)="",TODAY(),INDEX(Transactions!$G:$G,ROW()-8))</f>
      </c>
      <c r="F8508">
        <f>IF(INDEX(Transactions!$J:$J,ROW()-8)="",0,INDEX(Transactions!$O:$O,ROW()-8))</f>
      </c>
    </row>
    <row r="8509" spans="1:7">
      <c r="B8509">
        <f>IF(INDEX(Transactions!$J:$J,ROW()-8)="",TODAY(),INDEX(Transactions!$G:$G,ROW()-8))</f>
      </c>
      <c r="F8509">
        <f>IF(INDEX(Transactions!$J:$J,ROW()-8)="",0,INDEX(Transactions!$O:$O,ROW()-8))</f>
      </c>
    </row>
    <row r="8510" spans="1:7">
      <c r="B8510">
        <f>IF(INDEX(Transactions!$J:$J,ROW()-8)="",TODAY(),INDEX(Transactions!$G:$G,ROW()-8))</f>
      </c>
      <c r="F8510">
        <f>IF(INDEX(Transactions!$J:$J,ROW()-8)="",0,INDEX(Transactions!$O:$O,ROW()-8))</f>
      </c>
    </row>
    <row r="8511" spans="1:7">
      <c r="B8511">
        <f>IF(INDEX(Transactions!$J:$J,ROW()-8)="",TODAY(),INDEX(Transactions!$G:$G,ROW()-8))</f>
      </c>
      <c r="F8511">
        <f>IF(INDEX(Transactions!$J:$J,ROW()-8)="",0,INDEX(Transactions!$O:$O,ROW()-8))</f>
      </c>
    </row>
    <row r="8512" spans="1:7">
      <c r="B8512">
        <f>IF(INDEX(Transactions!$J:$J,ROW()-8)="",TODAY(),INDEX(Transactions!$G:$G,ROW()-8))</f>
      </c>
      <c r="F8512">
        <f>IF(INDEX(Transactions!$J:$J,ROW()-8)="",0,INDEX(Transactions!$O:$O,ROW()-8))</f>
      </c>
    </row>
    <row r="8513" spans="1:7">
      <c r="B8513">
        <f>IF(INDEX(Transactions!$J:$J,ROW()-8)="",TODAY(),INDEX(Transactions!$G:$G,ROW()-8))</f>
      </c>
      <c r="F8513">
        <f>IF(INDEX(Transactions!$J:$J,ROW()-8)="",0,INDEX(Transactions!$O:$O,ROW()-8))</f>
      </c>
    </row>
    <row r="8514" spans="1:7">
      <c r="B8514">
        <f>IF(INDEX(Transactions!$J:$J,ROW()-8)="",TODAY(),INDEX(Transactions!$G:$G,ROW()-8))</f>
      </c>
      <c r="F8514">
        <f>IF(INDEX(Transactions!$J:$J,ROW()-8)="",0,INDEX(Transactions!$O:$O,ROW()-8))</f>
      </c>
    </row>
    <row r="8515" spans="1:7">
      <c r="B8515">
        <f>IF(INDEX(Transactions!$J:$J,ROW()-8)="",TODAY(),INDEX(Transactions!$G:$G,ROW()-8))</f>
      </c>
      <c r="F8515">
        <f>IF(INDEX(Transactions!$J:$J,ROW()-8)="",0,INDEX(Transactions!$O:$O,ROW()-8))</f>
      </c>
    </row>
    <row r="8516" spans="1:7">
      <c r="B8516">
        <f>IF(INDEX(Transactions!$J:$J,ROW()-8)="",TODAY(),INDEX(Transactions!$G:$G,ROW()-8))</f>
      </c>
      <c r="F8516">
        <f>IF(INDEX(Transactions!$J:$J,ROW()-8)="",0,INDEX(Transactions!$O:$O,ROW()-8))</f>
      </c>
    </row>
    <row r="8517" spans="1:7">
      <c r="B8517">
        <f>IF(INDEX(Transactions!$J:$J,ROW()-8)="",TODAY(),INDEX(Transactions!$G:$G,ROW()-8))</f>
      </c>
      <c r="F8517">
        <f>IF(INDEX(Transactions!$J:$J,ROW()-8)="",0,INDEX(Transactions!$O:$O,ROW()-8))</f>
      </c>
    </row>
    <row r="8518" spans="1:7">
      <c r="B8518">
        <f>IF(INDEX(Transactions!$J:$J,ROW()-8)="",TODAY(),INDEX(Transactions!$G:$G,ROW()-8))</f>
      </c>
      <c r="F8518">
        <f>IF(INDEX(Transactions!$J:$J,ROW()-8)="",0,INDEX(Transactions!$O:$O,ROW()-8))</f>
      </c>
    </row>
    <row r="8519" spans="1:7">
      <c r="B8519">
        <f>IF(INDEX(Transactions!$J:$J,ROW()-8)="",TODAY(),INDEX(Transactions!$G:$G,ROW()-8))</f>
      </c>
      <c r="F8519">
        <f>IF(INDEX(Transactions!$J:$J,ROW()-8)="",0,INDEX(Transactions!$O:$O,ROW()-8))</f>
      </c>
    </row>
    <row r="8520" spans="1:7">
      <c r="B8520">
        <f>IF(INDEX(Transactions!$J:$J,ROW()-8)="",TODAY(),INDEX(Transactions!$G:$G,ROW()-8))</f>
      </c>
      <c r="F8520">
        <f>IF(INDEX(Transactions!$J:$J,ROW()-8)="",0,INDEX(Transactions!$O:$O,ROW()-8))</f>
      </c>
    </row>
    <row r="8521" spans="1:7">
      <c r="B8521">
        <f>IF(INDEX(Transactions!$J:$J,ROW()-8)="",TODAY(),INDEX(Transactions!$G:$G,ROW()-8))</f>
      </c>
      <c r="F8521">
        <f>IF(INDEX(Transactions!$J:$J,ROW()-8)="",0,INDEX(Transactions!$O:$O,ROW()-8))</f>
      </c>
    </row>
    <row r="8522" spans="1:7">
      <c r="B8522">
        <f>IF(INDEX(Transactions!$J:$J,ROW()-8)="",TODAY(),INDEX(Transactions!$G:$G,ROW()-8))</f>
      </c>
      <c r="F8522">
        <f>IF(INDEX(Transactions!$J:$J,ROW()-8)="",0,INDEX(Transactions!$O:$O,ROW()-8))</f>
      </c>
    </row>
    <row r="8523" spans="1:7">
      <c r="B8523">
        <f>IF(INDEX(Transactions!$J:$J,ROW()-8)="",TODAY(),INDEX(Transactions!$G:$G,ROW()-8))</f>
      </c>
      <c r="F8523">
        <f>IF(INDEX(Transactions!$J:$J,ROW()-8)="",0,INDEX(Transactions!$O:$O,ROW()-8))</f>
      </c>
    </row>
    <row r="8524" spans="1:7">
      <c r="B8524">
        <f>IF(INDEX(Transactions!$J:$J,ROW()-8)="",TODAY(),INDEX(Transactions!$G:$G,ROW()-8))</f>
      </c>
      <c r="F8524">
        <f>IF(INDEX(Transactions!$J:$J,ROW()-8)="",0,INDEX(Transactions!$O:$O,ROW()-8))</f>
      </c>
    </row>
    <row r="8525" spans="1:7">
      <c r="B8525">
        <f>IF(INDEX(Transactions!$J:$J,ROW()-8)="",TODAY(),INDEX(Transactions!$G:$G,ROW()-8))</f>
      </c>
      <c r="F8525">
        <f>IF(INDEX(Transactions!$J:$J,ROW()-8)="",0,INDEX(Transactions!$O:$O,ROW()-8))</f>
      </c>
    </row>
    <row r="8526" spans="1:7">
      <c r="B8526">
        <f>IF(INDEX(Transactions!$J:$J,ROW()-8)="",TODAY(),INDEX(Transactions!$G:$G,ROW()-8))</f>
      </c>
      <c r="F8526">
        <f>IF(INDEX(Transactions!$J:$J,ROW()-8)="",0,INDEX(Transactions!$O:$O,ROW()-8))</f>
      </c>
    </row>
    <row r="8527" spans="1:7">
      <c r="B8527">
        <f>IF(INDEX(Transactions!$J:$J,ROW()-8)="",TODAY(),INDEX(Transactions!$G:$G,ROW()-8))</f>
      </c>
      <c r="F8527">
        <f>IF(INDEX(Transactions!$J:$J,ROW()-8)="",0,INDEX(Transactions!$O:$O,ROW()-8))</f>
      </c>
    </row>
    <row r="8528" spans="1:7">
      <c r="B8528">
        <f>IF(INDEX(Transactions!$J:$J,ROW()-8)="",TODAY(),INDEX(Transactions!$G:$G,ROW()-8))</f>
      </c>
      <c r="F8528">
        <f>IF(INDEX(Transactions!$J:$J,ROW()-8)="",0,INDEX(Transactions!$O:$O,ROW()-8))</f>
      </c>
    </row>
    <row r="8529" spans="1:7">
      <c r="B8529">
        <f>IF(INDEX(Transactions!$J:$J,ROW()-8)="",TODAY(),INDEX(Transactions!$G:$G,ROW()-8))</f>
      </c>
      <c r="F8529">
        <f>IF(INDEX(Transactions!$J:$J,ROW()-8)="",0,INDEX(Transactions!$O:$O,ROW()-8))</f>
      </c>
    </row>
    <row r="8530" spans="1:7">
      <c r="B8530">
        <f>IF(INDEX(Transactions!$J:$J,ROW()-8)="",TODAY(),INDEX(Transactions!$G:$G,ROW()-8))</f>
      </c>
      <c r="F8530">
        <f>IF(INDEX(Transactions!$J:$J,ROW()-8)="",0,INDEX(Transactions!$O:$O,ROW()-8))</f>
      </c>
    </row>
    <row r="8531" spans="1:7">
      <c r="B8531">
        <f>IF(INDEX(Transactions!$J:$J,ROW()-8)="",TODAY(),INDEX(Transactions!$G:$G,ROW()-8))</f>
      </c>
      <c r="F8531">
        <f>IF(INDEX(Transactions!$J:$J,ROW()-8)="",0,INDEX(Transactions!$O:$O,ROW()-8))</f>
      </c>
    </row>
    <row r="8532" spans="1:7">
      <c r="B8532">
        <f>IF(INDEX(Transactions!$J:$J,ROW()-8)="",TODAY(),INDEX(Transactions!$G:$G,ROW()-8))</f>
      </c>
      <c r="F8532">
        <f>IF(INDEX(Transactions!$J:$J,ROW()-8)="",0,INDEX(Transactions!$O:$O,ROW()-8))</f>
      </c>
    </row>
    <row r="8533" spans="1:7">
      <c r="B8533">
        <f>IF(INDEX(Transactions!$J:$J,ROW()-8)="",TODAY(),INDEX(Transactions!$G:$G,ROW()-8))</f>
      </c>
      <c r="F8533">
        <f>IF(INDEX(Transactions!$J:$J,ROW()-8)="",0,INDEX(Transactions!$O:$O,ROW()-8))</f>
      </c>
    </row>
    <row r="8534" spans="1:7">
      <c r="B8534">
        <f>IF(INDEX(Transactions!$J:$J,ROW()-8)="",TODAY(),INDEX(Transactions!$G:$G,ROW()-8))</f>
      </c>
      <c r="F8534">
        <f>IF(INDEX(Transactions!$J:$J,ROW()-8)="",0,INDEX(Transactions!$O:$O,ROW()-8))</f>
      </c>
    </row>
    <row r="8535" spans="1:7">
      <c r="B8535">
        <f>IF(INDEX(Transactions!$J:$J,ROW()-8)="",TODAY(),INDEX(Transactions!$G:$G,ROW()-8))</f>
      </c>
      <c r="F8535">
        <f>IF(INDEX(Transactions!$J:$J,ROW()-8)="",0,INDEX(Transactions!$O:$O,ROW()-8))</f>
      </c>
    </row>
    <row r="8536" spans="1:7">
      <c r="B8536">
        <f>IF(INDEX(Transactions!$J:$J,ROW()-8)="",TODAY(),INDEX(Transactions!$G:$G,ROW()-8))</f>
      </c>
      <c r="F8536">
        <f>IF(INDEX(Transactions!$J:$J,ROW()-8)="",0,INDEX(Transactions!$O:$O,ROW()-8))</f>
      </c>
    </row>
    <row r="8537" spans="1:7">
      <c r="B8537">
        <f>IF(INDEX(Transactions!$J:$J,ROW()-8)="",TODAY(),INDEX(Transactions!$G:$G,ROW()-8))</f>
      </c>
      <c r="F8537">
        <f>IF(INDEX(Transactions!$J:$J,ROW()-8)="",0,INDEX(Transactions!$O:$O,ROW()-8))</f>
      </c>
    </row>
    <row r="8538" spans="1:7">
      <c r="B8538">
        <f>IF(INDEX(Transactions!$J:$J,ROW()-8)="",TODAY(),INDEX(Transactions!$G:$G,ROW()-8))</f>
      </c>
      <c r="F8538">
        <f>IF(INDEX(Transactions!$J:$J,ROW()-8)="",0,INDEX(Transactions!$O:$O,ROW()-8))</f>
      </c>
    </row>
    <row r="8539" spans="1:7">
      <c r="B8539">
        <f>IF(INDEX(Transactions!$J:$J,ROW()-8)="",TODAY(),INDEX(Transactions!$G:$G,ROW()-8))</f>
      </c>
      <c r="F8539">
        <f>IF(INDEX(Transactions!$J:$J,ROW()-8)="",0,INDEX(Transactions!$O:$O,ROW()-8))</f>
      </c>
    </row>
    <row r="8540" spans="1:7">
      <c r="B8540">
        <f>IF(INDEX(Transactions!$J:$J,ROW()-8)="",TODAY(),INDEX(Transactions!$G:$G,ROW()-8))</f>
      </c>
      <c r="F8540">
        <f>IF(INDEX(Transactions!$J:$J,ROW()-8)="",0,INDEX(Transactions!$O:$O,ROW()-8))</f>
      </c>
    </row>
    <row r="8541" spans="1:7">
      <c r="B8541">
        <f>IF(INDEX(Transactions!$J:$J,ROW()-8)="",TODAY(),INDEX(Transactions!$G:$G,ROW()-8))</f>
      </c>
      <c r="F8541">
        <f>IF(INDEX(Transactions!$J:$J,ROW()-8)="",0,INDEX(Transactions!$O:$O,ROW()-8))</f>
      </c>
    </row>
    <row r="8542" spans="1:7">
      <c r="B8542">
        <f>IF(INDEX(Transactions!$J:$J,ROW()-8)="",TODAY(),INDEX(Transactions!$G:$G,ROW()-8))</f>
      </c>
      <c r="F8542">
        <f>IF(INDEX(Transactions!$J:$J,ROW()-8)="",0,INDEX(Transactions!$O:$O,ROW()-8))</f>
      </c>
    </row>
    <row r="8543" spans="1:7">
      <c r="B8543">
        <f>IF(INDEX(Transactions!$J:$J,ROW()-8)="",TODAY(),INDEX(Transactions!$G:$G,ROW()-8))</f>
      </c>
      <c r="F8543">
        <f>IF(INDEX(Transactions!$J:$J,ROW()-8)="",0,INDEX(Transactions!$O:$O,ROW()-8))</f>
      </c>
    </row>
    <row r="8544" spans="1:7">
      <c r="B8544">
        <f>IF(INDEX(Transactions!$J:$J,ROW()-8)="",TODAY(),INDEX(Transactions!$G:$G,ROW()-8))</f>
      </c>
      <c r="F8544">
        <f>IF(INDEX(Transactions!$J:$J,ROW()-8)="",0,INDEX(Transactions!$O:$O,ROW()-8))</f>
      </c>
    </row>
    <row r="8545" spans="1:7">
      <c r="B8545">
        <f>IF(INDEX(Transactions!$J:$J,ROW()-8)="",TODAY(),INDEX(Transactions!$G:$G,ROW()-8))</f>
      </c>
      <c r="F8545">
        <f>IF(INDEX(Transactions!$J:$J,ROW()-8)="",0,INDEX(Transactions!$O:$O,ROW()-8))</f>
      </c>
    </row>
    <row r="8546" spans="1:7">
      <c r="B8546">
        <f>IF(INDEX(Transactions!$J:$J,ROW()-8)="",TODAY(),INDEX(Transactions!$G:$G,ROW()-8))</f>
      </c>
      <c r="F8546">
        <f>IF(INDEX(Transactions!$J:$J,ROW()-8)="",0,INDEX(Transactions!$O:$O,ROW()-8))</f>
      </c>
    </row>
    <row r="8547" spans="1:7">
      <c r="B8547">
        <f>IF(INDEX(Transactions!$J:$J,ROW()-8)="",TODAY(),INDEX(Transactions!$G:$G,ROW()-8))</f>
      </c>
      <c r="F8547">
        <f>IF(INDEX(Transactions!$J:$J,ROW()-8)="",0,INDEX(Transactions!$O:$O,ROW()-8))</f>
      </c>
    </row>
    <row r="8548" spans="1:7">
      <c r="B8548">
        <f>IF(INDEX(Transactions!$J:$J,ROW()-8)="",TODAY(),INDEX(Transactions!$G:$G,ROW()-8))</f>
      </c>
      <c r="F8548">
        <f>IF(INDEX(Transactions!$J:$J,ROW()-8)="",0,INDEX(Transactions!$O:$O,ROW()-8))</f>
      </c>
    </row>
    <row r="8549" spans="1:7">
      <c r="B8549">
        <f>IF(INDEX(Transactions!$J:$J,ROW()-8)="",TODAY(),INDEX(Transactions!$G:$G,ROW()-8))</f>
      </c>
      <c r="F8549">
        <f>IF(INDEX(Transactions!$J:$J,ROW()-8)="",0,INDEX(Transactions!$O:$O,ROW()-8))</f>
      </c>
    </row>
    <row r="8550" spans="1:7">
      <c r="B8550">
        <f>IF(INDEX(Transactions!$J:$J,ROW()-8)="",TODAY(),INDEX(Transactions!$G:$G,ROW()-8))</f>
      </c>
      <c r="F8550">
        <f>IF(INDEX(Transactions!$J:$J,ROW()-8)="",0,INDEX(Transactions!$O:$O,ROW()-8))</f>
      </c>
    </row>
    <row r="8551" spans="1:7">
      <c r="B8551">
        <f>IF(INDEX(Transactions!$J:$J,ROW()-8)="",TODAY(),INDEX(Transactions!$G:$G,ROW()-8))</f>
      </c>
      <c r="F8551">
        <f>IF(INDEX(Transactions!$J:$J,ROW()-8)="",0,INDEX(Transactions!$O:$O,ROW()-8))</f>
      </c>
    </row>
    <row r="8552" spans="1:7">
      <c r="B8552">
        <f>IF(INDEX(Transactions!$J:$J,ROW()-8)="",TODAY(),INDEX(Transactions!$G:$G,ROW()-8))</f>
      </c>
      <c r="F8552">
        <f>IF(INDEX(Transactions!$J:$J,ROW()-8)="",0,INDEX(Transactions!$O:$O,ROW()-8))</f>
      </c>
    </row>
    <row r="8553" spans="1:7">
      <c r="B8553">
        <f>IF(INDEX(Transactions!$J:$J,ROW()-8)="",TODAY(),INDEX(Transactions!$G:$G,ROW()-8))</f>
      </c>
      <c r="F8553">
        <f>IF(INDEX(Transactions!$J:$J,ROW()-8)="",0,INDEX(Transactions!$O:$O,ROW()-8))</f>
      </c>
    </row>
    <row r="8554" spans="1:7">
      <c r="B8554">
        <f>IF(INDEX(Transactions!$J:$J,ROW()-8)="",TODAY(),INDEX(Transactions!$G:$G,ROW()-8))</f>
      </c>
      <c r="F8554">
        <f>IF(INDEX(Transactions!$J:$J,ROW()-8)="",0,INDEX(Transactions!$O:$O,ROW()-8))</f>
      </c>
    </row>
    <row r="8555" spans="1:7">
      <c r="B8555">
        <f>IF(INDEX(Transactions!$J:$J,ROW()-8)="",TODAY(),INDEX(Transactions!$G:$G,ROW()-8))</f>
      </c>
      <c r="F8555">
        <f>IF(INDEX(Transactions!$J:$J,ROW()-8)="",0,INDEX(Transactions!$O:$O,ROW()-8))</f>
      </c>
    </row>
    <row r="8556" spans="1:7">
      <c r="B8556">
        <f>IF(INDEX(Transactions!$J:$J,ROW()-8)="",TODAY(),INDEX(Transactions!$G:$G,ROW()-8))</f>
      </c>
      <c r="F8556">
        <f>IF(INDEX(Transactions!$J:$J,ROW()-8)="",0,INDEX(Transactions!$O:$O,ROW()-8))</f>
      </c>
    </row>
    <row r="8557" spans="1:7">
      <c r="B8557">
        <f>IF(INDEX(Transactions!$J:$J,ROW()-8)="",TODAY(),INDEX(Transactions!$G:$G,ROW()-8))</f>
      </c>
      <c r="F8557">
        <f>IF(INDEX(Transactions!$J:$J,ROW()-8)="",0,INDEX(Transactions!$O:$O,ROW()-8))</f>
      </c>
    </row>
    <row r="8558" spans="1:7">
      <c r="B8558">
        <f>IF(INDEX(Transactions!$J:$J,ROW()-8)="",TODAY(),INDEX(Transactions!$G:$G,ROW()-8))</f>
      </c>
      <c r="F8558">
        <f>IF(INDEX(Transactions!$J:$J,ROW()-8)="",0,INDEX(Transactions!$O:$O,ROW()-8))</f>
      </c>
    </row>
    <row r="8559" spans="1:7">
      <c r="B8559">
        <f>IF(INDEX(Transactions!$J:$J,ROW()-8)="",TODAY(),INDEX(Transactions!$G:$G,ROW()-8))</f>
      </c>
      <c r="F8559">
        <f>IF(INDEX(Transactions!$J:$J,ROW()-8)="",0,INDEX(Transactions!$O:$O,ROW()-8))</f>
      </c>
    </row>
    <row r="8560" spans="1:7">
      <c r="B8560">
        <f>IF(INDEX(Transactions!$J:$J,ROW()-8)="",TODAY(),INDEX(Transactions!$G:$G,ROW()-8))</f>
      </c>
      <c r="F8560">
        <f>IF(INDEX(Transactions!$J:$J,ROW()-8)="",0,INDEX(Transactions!$O:$O,ROW()-8))</f>
      </c>
    </row>
    <row r="8561" spans="1:7">
      <c r="B8561">
        <f>IF(INDEX(Transactions!$J:$J,ROW()-8)="",TODAY(),INDEX(Transactions!$G:$G,ROW()-8))</f>
      </c>
      <c r="F8561">
        <f>IF(INDEX(Transactions!$J:$J,ROW()-8)="",0,INDEX(Transactions!$O:$O,ROW()-8))</f>
      </c>
    </row>
    <row r="8562" spans="1:7">
      <c r="B8562">
        <f>IF(INDEX(Transactions!$J:$J,ROW()-8)="",TODAY(),INDEX(Transactions!$G:$G,ROW()-8))</f>
      </c>
      <c r="F8562">
        <f>IF(INDEX(Transactions!$J:$J,ROW()-8)="",0,INDEX(Transactions!$O:$O,ROW()-8))</f>
      </c>
    </row>
    <row r="8563" spans="1:7">
      <c r="B8563">
        <f>IF(INDEX(Transactions!$J:$J,ROW()-8)="",TODAY(),INDEX(Transactions!$G:$G,ROW()-8))</f>
      </c>
      <c r="F8563">
        <f>IF(INDEX(Transactions!$J:$J,ROW()-8)="",0,INDEX(Transactions!$O:$O,ROW()-8))</f>
      </c>
    </row>
    <row r="8564" spans="1:7">
      <c r="B8564">
        <f>IF(INDEX(Transactions!$J:$J,ROW()-8)="",TODAY(),INDEX(Transactions!$G:$G,ROW()-8))</f>
      </c>
      <c r="F8564">
        <f>IF(INDEX(Transactions!$J:$J,ROW()-8)="",0,INDEX(Transactions!$O:$O,ROW()-8))</f>
      </c>
    </row>
    <row r="8565" spans="1:7">
      <c r="B8565">
        <f>IF(INDEX(Transactions!$J:$J,ROW()-8)="",TODAY(),INDEX(Transactions!$G:$G,ROW()-8))</f>
      </c>
      <c r="F8565">
        <f>IF(INDEX(Transactions!$J:$J,ROW()-8)="",0,INDEX(Transactions!$O:$O,ROW()-8))</f>
      </c>
    </row>
    <row r="8566" spans="1:7">
      <c r="B8566">
        <f>IF(INDEX(Transactions!$J:$J,ROW()-8)="",TODAY(),INDEX(Transactions!$G:$G,ROW()-8))</f>
      </c>
      <c r="F8566">
        <f>IF(INDEX(Transactions!$J:$J,ROW()-8)="",0,INDEX(Transactions!$O:$O,ROW()-8))</f>
      </c>
    </row>
    <row r="8567" spans="1:7">
      <c r="B8567">
        <f>IF(INDEX(Transactions!$J:$J,ROW()-8)="",TODAY(),INDEX(Transactions!$G:$G,ROW()-8))</f>
      </c>
      <c r="F8567">
        <f>IF(INDEX(Transactions!$J:$J,ROW()-8)="",0,INDEX(Transactions!$O:$O,ROW()-8))</f>
      </c>
    </row>
    <row r="8568" spans="1:7">
      <c r="B8568">
        <f>IF(INDEX(Transactions!$J:$J,ROW()-8)="",TODAY(),INDEX(Transactions!$G:$G,ROW()-8))</f>
      </c>
      <c r="F8568">
        <f>IF(INDEX(Transactions!$J:$J,ROW()-8)="",0,INDEX(Transactions!$O:$O,ROW()-8))</f>
      </c>
    </row>
    <row r="8569" spans="1:7">
      <c r="B8569">
        <f>IF(INDEX(Transactions!$J:$J,ROW()-8)="",TODAY(),INDEX(Transactions!$G:$G,ROW()-8))</f>
      </c>
      <c r="F8569">
        <f>IF(INDEX(Transactions!$J:$J,ROW()-8)="",0,INDEX(Transactions!$O:$O,ROW()-8))</f>
      </c>
    </row>
    <row r="8570" spans="1:7">
      <c r="B8570">
        <f>IF(INDEX(Transactions!$J:$J,ROW()-8)="",TODAY(),INDEX(Transactions!$G:$G,ROW()-8))</f>
      </c>
      <c r="F8570">
        <f>IF(INDEX(Transactions!$J:$J,ROW()-8)="",0,INDEX(Transactions!$O:$O,ROW()-8))</f>
      </c>
    </row>
    <row r="8571" spans="1:7">
      <c r="B8571">
        <f>IF(INDEX(Transactions!$J:$J,ROW()-8)="",TODAY(),INDEX(Transactions!$G:$G,ROW()-8))</f>
      </c>
      <c r="F8571">
        <f>IF(INDEX(Transactions!$J:$J,ROW()-8)="",0,INDEX(Transactions!$O:$O,ROW()-8))</f>
      </c>
    </row>
    <row r="8572" spans="1:7">
      <c r="B8572">
        <f>IF(INDEX(Transactions!$J:$J,ROW()-8)="",TODAY(),INDEX(Transactions!$G:$G,ROW()-8))</f>
      </c>
      <c r="F8572">
        <f>IF(INDEX(Transactions!$J:$J,ROW()-8)="",0,INDEX(Transactions!$O:$O,ROW()-8))</f>
      </c>
    </row>
    <row r="8573" spans="1:7">
      <c r="B8573">
        <f>IF(INDEX(Transactions!$J:$J,ROW()-8)="",TODAY(),INDEX(Transactions!$G:$G,ROW()-8))</f>
      </c>
      <c r="F8573">
        <f>IF(INDEX(Transactions!$J:$J,ROW()-8)="",0,INDEX(Transactions!$O:$O,ROW()-8))</f>
      </c>
    </row>
    <row r="8574" spans="1:7">
      <c r="B8574">
        <f>IF(INDEX(Transactions!$J:$J,ROW()-8)="",TODAY(),INDEX(Transactions!$G:$G,ROW()-8))</f>
      </c>
      <c r="F8574">
        <f>IF(INDEX(Transactions!$J:$J,ROW()-8)="",0,INDEX(Transactions!$O:$O,ROW()-8))</f>
      </c>
    </row>
    <row r="8575" spans="1:7">
      <c r="B8575">
        <f>IF(INDEX(Transactions!$J:$J,ROW()-8)="",TODAY(),INDEX(Transactions!$G:$G,ROW()-8))</f>
      </c>
      <c r="F8575">
        <f>IF(INDEX(Transactions!$J:$J,ROW()-8)="",0,INDEX(Transactions!$O:$O,ROW()-8))</f>
      </c>
    </row>
    <row r="8576" spans="1:7">
      <c r="B8576">
        <f>IF(INDEX(Transactions!$J:$J,ROW()-8)="",TODAY(),INDEX(Transactions!$G:$G,ROW()-8))</f>
      </c>
      <c r="F8576">
        <f>IF(INDEX(Transactions!$J:$J,ROW()-8)="",0,INDEX(Transactions!$O:$O,ROW()-8))</f>
      </c>
    </row>
    <row r="8577" spans="1:7">
      <c r="B8577">
        <f>IF(INDEX(Transactions!$J:$J,ROW()-8)="",TODAY(),INDEX(Transactions!$G:$G,ROW()-8))</f>
      </c>
      <c r="F8577">
        <f>IF(INDEX(Transactions!$J:$J,ROW()-8)="",0,INDEX(Transactions!$O:$O,ROW()-8))</f>
      </c>
    </row>
    <row r="8578" spans="1:7">
      <c r="B8578">
        <f>IF(INDEX(Transactions!$J:$J,ROW()-8)="",TODAY(),INDEX(Transactions!$G:$G,ROW()-8))</f>
      </c>
      <c r="F8578">
        <f>IF(INDEX(Transactions!$J:$J,ROW()-8)="",0,INDEX(Transactions!$O:$O,ROW()-8))</f>
      </c>
    </row>
    <row r="8579" spans="1:7">
      <c r="B8579">
        <f>IF(INDEX(Transactions!$J:$J,ROW()-8)="",TODAY(),INDEX(Transactions!$G:$G,ROW()-8))</f>
      </c>
      <c r="F8579">
        <f>IF(INDEX(Transactions!$J:$J,ROW()-8)="",0,INDEX(Transactions!$O:$O,ROW()-8))</f>
      </c>
    </row>
    <row r="8580" spans="1:7">
      <c r="B8580">
        <f>IF(INDEX(Transactions!$J:$J,ROW()-8)="",TODAY(),INDEX(Transactions!$G:$G,ROW()-8))</f>
      </c>
      <c r="F8580">
        <f>IF(INDEX(Transactions!$J:$J,ROW()-8)="",0,INDEX(Transactions!$O:$O,ROW()-8))</f>
      </c>
    </row>
    <row r="8581" spans="1:7">
      <c r="B8581">
        <f>IF(INDEX(Transactions!$J:$J,ROW()-8)="",TODAY(),INDEX(Transactions!$G:$G,ROW()-8))</f>
      </c>
      <c r="F8581">
        <f>IF(INDEX(Transactions!$J:$J,ROW()-8)="",0,INDEX(Transactions!$O:$O,ROW()-8))</f>
      </c>
    </row>
    <row r="8582" spans="1:7">
      <c r="B8582">
        <f>IF(INDEX(Transactions!$J:$J,ROW()-8)="",TODAY(),INDEX(Transactions!$G:$G,ROW()-8))</f>
      </c>
      <c r="F8582">
        <f>IF(INDEX(Transactions!$J:$J,ROW()-8)="",0,INDEX(Transactions!$O:$O,ROW()-8))</f>
      </c>
    </row>
    <row r="8583" spans="1:7">
      <c r="B8583">
        <f>IF(INDEX(Transactions!$J:$J,ROW()-8)="",TODAY(),INDEX(Transactions!$G:$G,ROW()-8))</f>
      </c>
      <c r="F8583">
        <f>IF(INDEX(Transactions!$J:$J,ROW()-8)="",0,INDEX(Transactions!$O:$O,ROW()-8))</f>
      </c>
    </row>
    <row r="8584" spans="1:7">
      <c r="B8584">
        <f>IF(INDEX(Transactions!$J:$J,ROW()-8)="",TODAY(),INDEX(Transactions!$G:$G,ROW()-8))</f>
      </c>
      <c r="F8584">
        <f>IF(INDEX(Transactions!$J:$J,ROW()-8)="",0,INDEX(Transactions!$O:$O,ROW()-8))</f>
      </c>
    </row>
    <row r="8585" spans="1:7">
      <c r="B8585">
        <f>IF(INDEX(Transactions!$J:$J,ROW()-8)="",TODAY(),INDEX(Transactions!$G:$G,ROW()-8))</f>
      </c>
      <c r="F8585">
        <f>IF(INDEX(Transactions!$J:$J,ROW()-8)="",0,INDEX(Transactions!$O:$O,ROW()-8))</f>
      </c>
    </row>
    <row r="8586" spans="1:7">
      <c r="B8586">
        <f>IF(INDEX(Transactions!$J:$J,ROW()-8)="",TODAY(),INDEX(Transactions!$G:$G,ROW()-8))</f>
      </c>
      <c r="F8586">
        <f>IF(INDEX(Transactions!$J:$J,ROW()-8)="",0,INDEX(Transactions!$O:$O,ROW()-8))</f>
      </c>
    </row>
    <row r="8587" spans="1:7">
      <c r="B8587">
        <f>IF(INDEX(Transactions!$J:$J,ROW()-8)="",TODAY(),INDEX(Transactions!$G:$G,ROW()-8))</f>
      </c>
      <c r="F8587">
        <f>IF(INDEX(Transactions!$J:$J,ROW()-8)="",0,INDEX(Transactions!$O:$O,ROW()-8))</f>
      </c>
    </row>
    <row r="8588" spans="1:7">
      <c r="B8588">
        <f>IF(INDEX(Transactions!$J:$J,ROW()-8)="",TODAY(),INDEX(Transactions!$G:$G,ROW()-8))</f>
      </c>
      <c r="F8588">
        <f>IF(INDEX(Transactions!$J:$J,ROW()-8)="",0,INDEX(Transactions!$O:$O,ROW()-8))</f>
      </c>
    </row>
    <row r="8589" spans="1:7">
      <c r="B8589">
        <f>IF(INDEX(Transactions!$J:$J,ROW()-8)="",TODAY(),INDEX(Transactions!$G:$G,ROW()-8))</f>
      </c>
      <c r="F8589">
        <f>IF(INDEX(Transactions!$J:$J,ROW()-8)="",0,INDEX(Transactions!$O:$O,ROW()-8))</f>
      </c>
    </row>
    <row r="8590" spans="1:7">
      <c r="B8590">
        <f>IF(INDEX(Transactions!$J:$J,ROW()-8)="",TODAY(),INDEX(Transactions!$G:$G,ROW()-8))</f>
      </c>
      <c r="F8590">
        <f>IF(INDEX(Transactions!$J:$J,ROW()-8)="",0,INDEX(Transactions!$O:$O,ROW()-8))</f>
      </c>
    </row>
    <row r="8591" spans="1:7">
      <c r="B8591">
        <f>IF(INDEX(Transactions!$J:$J,ROW()-8)="",TODAY(),INDEX(Transactions!$G:$G,ROW()-8))</f>
      </c>
      <c r="F8591">
        <f>IF(INDEX(Transactions!$J:$J,ROW()-8)="",0,INDEX(Transactions!$O:$O,ROW()-8))</f>
      </c>
    </row>
    <row r="8592" spans="1:7">
      <c r="B8592">
        <f>IF(INDEX(Transactions!$J:$J,ROW()-8)="",TODAY(),INDEX(Transactions!$G:$G,ROW()-8))</f>
      </c>
      <c r="F8592">
        <f>IF(INDEX(Transactions!$J:$J,ROW()-8)="",0,INDEX(Transactions!$O:$O,ROW()-8))</f>
      </c>
    </row>
    <row r="8593" spans="1:7">
      <c r="B8593">
        <f>IF(INDEX(Transactions!$J:$J,ROW()-8)="",TODAY(),INDEX(Transactions!$G:$G,ROW()-8))</f>
      </c>
      <c r="F8593">
        <f>IF(INDEX(Transactions!$J:$J,ROW()-8)="",0,INDEX(Transactions!$O:$O,ROW()-8))</f>
      </c>
    </row>
    <row r="8594" spans="1:7">
      <c r="B8594">
        <f>IF(INDEX(Transactions!$J:$J,ROW()-8)="",TODAY(),INDEX(Transactions!$G:$G,ROW()-8))</f>
      </c>
      <c r="F8594">
        <f>IF(INDEX(Transactions!$J:$J,ROW()-8)="",0,INDEX(Transactions!$O:$O,ROW()-8))</f>
      </c>
    </row>
    <row r="8595" spans="1:7">
      <c r="B8595">
        <f>IF(INDEX(Transactions!$J:$J,ROW()-8)="",TODAY(),INDEX(Transactions!$G:$G,ROW()-8))</f>
      </c>
      <c r="F8595">
        <f>IF(INDEX(Transactions!$J:$J,ROW()-8)="",0,INDEX(Transactions!$O:$O,ROW()-8))</f>
      </c>
    </row>
    <row r="8596" spans="1:7">
      <c r="B8596">
        <f>IF(INDEX(Transactions!$J:$J,ROW()-8)="",TODAY(),INDEX(Transactions!$G:$G,ROW()-8))</f>
      </c>
      <c r="F8596">
        <f>IF(INDEX(Transactions!$J:$J,ROW()-8)="",0,INDEX(Transactions!$O:$O,ROW()-8))</f>
      </c>
    </row>
    <row r="8597" spans="1:7">
      <c r="B8597">
        <f>IF(INDEX(Transactions!$J:$J,ROW()-8)="",TODAY(),INDEX(Transactions!$G:$G,ROW()-8))</f>
      </c>
      <c r="F8597">
        <f>IF(INDEX(Transactions!$J:$J,ROW()-8)="",0,INDEX(Transactions!$O:$O,ROW()-8))</f>
      </c>
    </row>
    <row r="8598" spans="1:7">
      <c r="B8598">
        <f>IF(INDEX(Transactions!$J:$J,ROW()-8)="",TODAY(),INDEX(Transactions!$G:$G,ROW()-8))</f>
      </c>
      <c r="F8598">
        <f>IF(INDEX(Transactions!$J:$J,ROW()-8)="",0,INDEX(Transactions!$O:$O,ROW()-8))</f>
      </c>
    </row>
    <row r="8599" spans="1:7">
      <c r="B8599">
        <f>IF(INDEX(Transactions!$J:$J,ROW()-8)="",TODAY(),INDEX(Transactions!$G:$G,ROW()-8))</f>
      </c>
      <c r="F8599">
        <f>IF(INDEX(Transactions!$J:$J,ROW()-8)="",0,INDEX(Transactions!$O:$O,ROW()-8))</f>
      </c>
    </row>
    <row r="8600" spans="1:7">
      <c r="B8600">
        <f>IF(INDEX(Transactions!$J:$J,ROW()-8)="",TODAY(),INDEX(Transactions!$G:$G,ROW()-8))</f>
      </c>
      <c r="F8600">
        <f>IF(INDEX(Transactions!$J:$J,ROW()-8)="",0,INDEX(Transactions!$O:$O,ROW()-8))</f>
      </c>
    </row>
    <row r="8601" spans="1:7">
      <c r="B8601">
        <f>IF(INDEX(Transactions!$J:$J,ROW()-8)="",TODAY(),INDEX(Transactions!$G:$G,ROW()-8))</f>
      </c>
      <c r="F8601">
        <f>IF(INDEX(Transactions!$J:$J,ROW()-8)="",0,INDEX(Transactions!$O:$O,ROW()-8))</f>
      </c>
    </row>
    <row r="8602" spans="1:7">
      <c r="B8602">
        <f>IF(INDEX(Transactions!$J:$J,ROW()-8)="",TODAY(),INDEX(Transactions!$G:$G,ROW()-8))</f>
      </c>
      <c r="F8602">
        <f>IF(INDEX(Transactions!$J:$J,ROW()-8)="",0,INDEX(Transactions!$O:$O,ROW()-8))</f>
      </c>
    </row>
    <row r="8603" spans="1:7">
      <c r="B8603">
        <f>IF(INDEX(Transactions!$J:$J,ROW()-8)="",TODAY(),INDEX(Transactions!$G:$G,ROW()-8))</f>
      </c>
      <c r="F8603">
        <f>IF(INDEX(Transactions!$J:$J,ROW()-8)="",0,INDEX(Transactions!$O:$O,ROW()-8))</f>
      </c>
    </row>
    <row r="8604" spans="1:7">
      <c r="B8604">
        <f>IF(INDEX(Transactions!$J:$J,ROW()-8)="",TODAY(),INDEX(Transactions!$G:$G,ROW()-8))</f>
      </c>
      <c r="F8604">
        <f>IF(INDEX(Transactions!$J:$J,ROW()-8)="",0,INDEX(Transactions!$O:$O,ROW()-8))</f>
      </c>
    </row>
    <row r="8605" spans="1:7">
      <c r="B8605">
        <f>IF(INDEX(Transactions!$J:$J,ROW()-8)="",TODAY(),INDEX(Transactions!$G:$G,ROW()-8))</f>
      </c>
      <c r="F8605">
        <f>IF(INDEX(Transactions!$J:$J,ROW()-8)="",0,INDEX(Transactions!$O:$O,ROW()-8))</f>
      </c>
    </row>
    <row r="8606" spans="1:7">
      <c r="B8606">
        <f>IF(INDEX(Transactions!$J:$J,ROW()-8)="",TODAY(),INDEX(Transactions!$G:$G,ROW()-8))</f>
      </c>
      <c r="F8606">
        <f>IF(INDEX(Transactions!$J:$J,ROW()-8)="",0,INDEX(Transactions!$O:$O,ROW()-8))</f>
      </c>
    </row>
    <row r="8607" spans="1:7">
      <c r="B8607">
        <f>IF(INDEX(Transactions!$J:$J,ROW()-8)="",TODAY(),INDEX(Transactions!$G:$G,ROW()-8))</f>
      </c>
      <c r="F8607">
        <f>IF(INDEX(Transactions!$J:$J,ROW()-8)="",0,INDEX(Transactions!$O:$O,ROW()-8))</f>
      </c>
    </row>
    <row r="8608" spans="1:7">
      <c r="B8608">
        <f>IF(INDEX(Transactions!$J:$J,ROW()-8)="",TODAY(),INDEX(Transactions!$G:$G,ROW()-8))</f>
      </c>
      <c r="F8608">
        <f>IF(INDEX(Transactions!$J:$J,ROW()-8)="",0,INDEX(Transactions!$O:$O,ROW()-8))</f>
      </c>
    </row>
    <row r="8609" spans="1:7">
      <c r="B8609">
        <f>IF(INDEX(Transactions!$J:$J,ROW()-8)="",TODAY(),INDEX(Transactions!$G:$G,ROW()-8))</f>
      </c>
      <c r="F8609">
        <f>IF(INDEX(Transactions!$J:$J,ROW()-8)="",0,INDEX(Transactions!$O:$O,ROW()-8))</f>
      </c>
    </row>
    <row r="8610" spans="1:7">
      <c r="B8610">
        <f>IF(INDEX(Transactions!$J:$J,ROW()-8)="",TODAY(),INDEX(Transactions!$G:$G,ROW()-8))</f>
      </c>
      <c r="F8610">
        <f>IF(INDEX(Transactions!$J:$J,ROW()-8)="",0,INDEX(Transactions!$O:$O,ROW()-8))</f>
      </c>
    </row>
    <row r="8611" spans="1:7">
      <c r="B8611">
        <f>IF(INDEX(Transactions!$J:$J,ROW()-8)="",TODAY(),INDEX(Transactions!$G:$G,ROW()-8))</f>
      </c>
      <c r="F8611">
        <f>IF(INDEX(Transactions!$J:$J,ROW()-8)="",0,INDEX(Transactions!$O:$O,ROW()-8))</f>
      </c>
    </row>
    <row r="8612" spans="1:7">
      <c r="B8612">
        <f>IF(INDEX(Transactions!$J:$J,ROW()-8)="",TODAY(),INDEX(Transactions!$G:$G,ROW()-8))</f>
      </c>
      <c r="F8612">
        <f>IF(INDEX(Transactions!$J:$J,ROW()-8)="",0,INDEX(Transactions!$O:$O,ROW()-8))</f>
      </c>
    </row>
    <row r="8613" spans="1:7">
      <c r="B8613">
        <f>IF(INDEX(Transactions!$J:$J,ROW()-8)="",TODAY(),INDEX(Transactions!$G:$G,ROW()-8))</f>
      </c>
      <c r="F8613">
        <f>IF(INDEX(Transactions!$J:$J,ROW()-8)="",0,INDEX(Transactions!$O:$O,ROW()-8))</f>
      </c>
    </row>
    <row r="8614" spans="1:7">
      <c r="B8614">
        <f>IF(INDEX(Transactions!$J:$J,ROW()-8)="",TODAY(),INDEX(Transactions!$G:$G,ROW()-8))</f>
      </c>
      <c r="F8614">
        <f>IF(INDEX(Transactions!$J:$J,ROW()-8)="",0,INDEX(Transactions!$O:$O,ROW()-8))</f>
      </c>
    </row>
    <row r="8615" spans="1:7">
      <c r="B8615">
        <f>IF(INDEX(Transactions!$J:$J,ROW()-8)="",TODAY(),INDEX(Transactions!$G:$G,ROW()-8))</f>
      </c>
      <c r="F8615">
        <f>IF(INDEX(Transactions!$J:$J,ROW()-8)="",0,INDEX(Transactions!$O:$O,ROW()-8))</f>
      </c>
    </row>
    <row r="8616" spans="1:7">
      <c r="B8616">
        <f>IF(INDEX(Transactions!$J:$J,ROW()-8)="",TODAY(),INDEX(Transactions!$G:$G,ROW()-8))</f>
      </c>
      <c r="F8616">
        <f>IF(INDEX(Transactions!$J:$J,ROW()-8)="",0,INDEX(Transactions!$O:$O,ROW()-8))</f>
      </c>
    </row>
    <row r="8617" spans="1:7">
      <c r="B8617">
        <f>IF(INDEX(Transactions!$J:$J,ROW()-8)="",TODAY(),INDEX(Transactions!$G:$G,ROW()-8))</f>
      </c>
      <c r="F8617">
        <f>IF(INDEX(Transactions!$J:$J,ROW()-8)="",0,INDEX(Transactions!$O:$O,ROW()-8))</f>
      </c>
    </row>
    <row r="8618" spans="1:7">
      <c r="B8618">
        <f>IF(INDEX(Transactions!$J:$J,ROW()-8)="",TODAY(),INDEX(Transactions!$G:$G,ROW()-8))</f>
      </c>
      <c r="F8618">
        <f>IF(INDEX(Transactions!$J:$J,ROW()-8)="",0,INDEX(Transactions!$O:$O,ROW()-8))</f>
      </c>
    </row>
    <row r="8619" spans="1:7">
      <c r="B8619">
        <f>IF(INDEX(Transactions!$J:$J,ROW()-8)="",TODAY(),INDEX(Transactions!$G:$G,ROW()-8))</f>
      </c>
      <c r="F8619">
        <f>IF(INDEX(Transactions!$J:$J,ROW()-8)="",0,INDEX(Transactions!$O:$O,ROW()-8))</f>
      </c>
    </row>
    <row r="8620" spans="1:7">
      <c r="B8620">
        <f>IF(INDEX(Transactions!$J:$J,ROW()-8)="",TODAY(),INDEX(Transactions!$G:$G,ROW()-8))</f>
      </c>
      <c r="F8620">
        <f>IF(INDEX(Transactions!$J:$J,ROW()-8)="",0,INDEX(Transactions!$O:$O,ROW()-8))</f>
      </c>
    </row>
    <row r="8621" spans="1:7">
      <c r="B8621">
        <f>IF(INDEX(Transactions!$J:$J,ROW()-8)="",TODAY(),INDEX(Transactions!$G:$G,ROW()-8))</f>
      </c>
      <c r="F8621">
        <f>IF(INDEX(Transactions!$J:$J,ROW()-8)="",0,INDEX(Transactions!$O:$O,ROW()-8))</f>
      </c>
    </row>
    <row r="8622" spans="1:7">
      <c r="B8622">
        <f>IF(INDEX(Transactions!$J:$J,ROW()-8)="",TODAY(),INDEX(Transactions!$G:$G,ROW()-8))</f>
      </c>
      <c r="F8622">
        <f>IF(INDEX(Transactions!$J:$J,ROW()-8)="",0,INDEX(Transactions!$O:$O,ROW()-8))</f>
      </c>
    </row>
    <row r="8623" spans="1:7">
      <c r="B8623">
        <f>IF(INDEX(Transactions!$J:$J,ROW()-8)="",TODAY(),INDEX(Transactions!$G:$G,ROW()-8))</f>
      </c>
      <c r="F8623">
        <f>IF(INDEX(Transactions!$J:$J,ROW()-8)="",0,INDEX(Transactions!$O:$O,ROW()-8))</f>
      </c>
    </row>
    <row r="8624" spans="1:7">
      <c r="B8624">
        <f>IF(INDEX(Transactions!$J:$J,ROW()-8)="",TODAY(),INDEX(Transactions!$G:$G,ROW()-8))</f>
      </c>
      <c r="F8624">
        <f>IF(INDEX(Transactions!$J:$J,ROW()-8)="",0,INDEX(Transactions!$O:$O,ROW()-8))</f>
      </c>
    </row>
    <row r="8625" spans="1:7">
      <c r="B8625">
        <f>IF(INDEX(Transactions!$J:$J,ROW()-8)="",TODAY(),INDEX(Transactions!$G:$G,ROW()-8))</f>
      </c>
      <c r="F8625">
        <f>IF(INDEX(Transactions!$J:$J,ROW()-8)="",0,INDEX(Transactions!$O:$O,ROW()-8))</f>
      </c>
    </row>
    <row r="8626" spans="1:7">
      <c r="B8626">
        <f>IF(INDEX(Transactions!$J:$J,ROW()-8)="",TODAY(),INDEX(Transactions!$G:$G,ROW()-8))</f>
      </c>
      <c r="F8626">
        <f>IF(INDEX(Transactions!$J:$J,ROW()-8)="",0,INDEX(Transactions!$O:$O,ROW()-8))</f>
      </c>
    </row>
    <row r="8627" spans="1:7">
      <c r="B8627">
        <f>IF(INDEX(Transactions!$J:$J,ROW()-8)="",TODAY(),INDEX(Transactions!$G:$G,ROW()-8))</f>
      </c>
      <c r="F8627">
        <f>IF(INDEX(Transactions!$J:$J,ROW()-8)="",0,INDEX(Transactions!$O:$O,ROW()-8))</f>
      </c>
    </row>
    <row r="8628" spans="1:7">
      <c r="B8628">
        <f>IF(INDEX(Transactions!$J:$J,ROW()-8)="",TODAY(),INDEX(Transactions!$G:$G,ROW()-8))</f>
      </c>
      <c r="F8628">
        <f>IF(INDEX(Transactions!$J:$J,ROW()-8)="",0,INDEX(Transactions!$O:$O,ROW()-8))</f>
      </c>
    </row>
    <row r="8629" spans="1:7">
      <c r="B8629">
        <f>IF(INDEX(Transactions!$J:$J,ROW()-8)="",TODAY(),INDEX(Transactions!$G:$G,ROW()-8))</f>
      </c>
      <c r="F8629">
        <f>IF(INDEX(Transactions!$J:$J,ROW()-8)="",0,INDEX(Transactions!$O:$O,ROW()-8))</f>
      </c>
    </row>
    <row r="8630" spans="1:7">
      <c r="B8630">
        <f>IF(INDEX(Transactions!$J:$J,ROW()-8)="",TODAY(),INDEX(Transactions!$G:$G,ROW()-8))</f>
      </c>
      <c r="F8630">
        <f>IF(INDEX(Transactions!$J:$J,ROW()-8)="",0,INDEX(Transactions!$O:$O,ROW()-8))</f>
      </c>
    </row>
    <row r="8631" spans="1:7">
      <c r="B8631">
        <f>IF(INDEX(Transactions!$J:$J,ROW()-8)="",TODAY(),INDEX(Transactions!$G:$G,ROW()-8))</f>
      </c>
      <c r="F8631">
        <f>IF(INDEX(Transactions!$J:$J,ROW()-8)="",0,INDEX(Transactions!$O:$O,ROW()-8))</f>
      </c>
    </row>
    <row r="8632" spans="1:7">
      <c r="B8632">
        <f>IF(INDEX(Transactions!$J:$J,ROW()-8)="",TODAY(),INDEX(Transactions!$G:$G,ROW()-8))</f>
      </c>
      <c r="F8632">
        <f>IF(INDEX(Transactions!$J:$J,ROW()-8)="",0,INDEX(Transactions!$O:$O,ROW()-8))</f>
      </c>
    </row>
    <row r="8633" spans="1:7">
      <c r="B8633">
        <f>IF(INDEX(Transactions!$J:$J,ROW()-8)="",TODAY(),INDEX(Transactions!$G:$G,ROW()-8))</f>
      </c>
      <c r="F8633">
        <f>IF(INDEX(Transactions!$J:$J,ROW()-8)="",0,INDEX(Transactions!$O:$O,ROW()-8))</f>
      </c>
    </row>
    <row r="8634" spans="1:7">
      <c r="B8634">
        <f>IF(INDEX(Transactions!$J:$J,ROW()-8)="",TODAY(),INDEX(Transactions!$G:$G,ROW()-8))</f>
      </c>
      <c r="F8634">
        <f>IF(INDEX(Transactions!$J:$J,ROW()-8)="",0,INDEX(Transactions!$O:$O,ROW()-8))</f>
      </c>
    </row>
    <row r="8635" spans="1:7">
      <c r="B8635">
        <f>IF(INDEX(Transactions!$J:$J,ROW()-8)="",TODAY(),INDEX(Transactions!$G:$G,ROW()-8))</f>
      </c>
      <c r="F8635">
        <f>IF(INDEX(Transactions!$J:$J,ROW()-8)="",0,INDEX(Transactions!$O:$O,ROW()-8))</f>
      </c>
    </row>
    <row r="8636" spans="1:7">
      <c r="B8636">
        <f>IF(INDEX(Transactions!$J:$J,ROW()-8)="",TODAY(),INDEX(Transactions!$G:$G,ROW()-8))</f>
      </c>
      <c r="F8636">
        <f>IF(INDEX(Transactions!$J:$J,ROW()-8)="",0,INDEX(Transactions!$O:$O,ROW()-8))</f>
      </c>
    </row>
    <row r="8637" spans="1:7">
      <c r="B8637">
        <f>IF(INDEX(Transactions!$J:$J,ROW()-8)="",TODAY(),INDEX(Transactions!$G:$G,ROW()-8))</f>
      </c>
      <c r="F8637">
        <f>IF(INDEX(Transactions!$J:$J,ROW()-8)="",0,INDEX(Transactions!$O:$O,ROW()-8))</f>
      </c>
    </row>
    <row r="8638" spans="1:7">
      <c r="B8638">
        <f>IF(INDEX(Transactions!$J:$J,ROW()-8)="",TODAY(),INDEX(Transactions!$G:$G,ROW()-8))</f>
      </c>
      <c r="F8638">
        <f>IF(INDEX(Transactions!$J:$J,ROW()-8)="",0,INDEX(Transactions!$O:$O,ROW()-8))</f>
      </c>
    </row>
    <row r="8639" spans="1:7">
      <c r="B8639">
        <f>IF(INDEX(Transactions!$J:$J,ROW()-8)="",TODAY(),INDEX(Transactions!$G:$G,ROW()-8))</f>
      </c>
      <c r="F8639">
        <f>IF(INDEX(Transactions!$J:$J,ROW()-8)="",0,INDEX(Transactions!$O:$O,ROW()-8))</f>
      </c>
    </row>
    <row r="8640" spans="1:7">
      <c r="B8640">
        <f>IF(INDEX(Transactions!$J:$J,ROW()-8)="",TODAY(),INDEX(Transactions!$G:$G,ROW()-8))</f>
      </c>
      <c r="F8640">
        <f>IF(INDEX(Transactions!$J:$J,ROW()-8)="",0,INDEX(Transactions!$O:$O,ROW()-8))</f>
      </c>
    </row>
    <row r="8641" spans="1:7">
      <c r="B8641">
        <f>IF(INDEX(Transactions!$J:$J,ROW()-8)="",TODAY(),INDEX(Transactions!$G:$G,ROW()-8))</f>
      </c>
      <c r="F8641">
        <f>IF(INDEX(Transactions!$J:$J,ROW()-8)="",0,INDEX(Transactions!$O:$O,ROW()-8))</f>
      </c>
    </row>
    <row r="8642" spans="1:7">
      <c r="B8642">
        <f>IF(INDEX(Transactions!$J:$J,ROW()-8)="",TODAY(),INDEX(Transactions!$G:$G,ROW()-8))</f>
      </c>
      <c r="F8642">
        <f>IF(INDEX(Transactions!$J:$J,ROW()-8)="",0,INDEX(Transactions!$O:$O,ROW()-8))</f>
      </c>
    </row>
    <row r="8643" spans="1:7">
      <c r="B8643">
        <f>IF(INDEX(Transactions!$J:$J,ROW()-8)="",TODAY(),INDEX(Transactions!$G:$G,ROW()-8))</f>
      </c>
      <c r="F8643">
        <f>IF(INDEX(Transactions!$J:$J,ROW()-8)="",0,INDEX(Transactions!$O:$O,ROW()-8))</f>
      </c>
    </row>
    <row r="8644" spans="1:7">
      <c r="B8644">
        <f>IF(INDEX(Transactions!$J:$J,ROW()-8)="",TODAY(),INDEX(Transactions!$G:$G,ROW()-8))</f>
      </c>
      <c r="F8644">
        <f>IF(INDEX(Transactions!$J:$J,ROW()-8)="",0,INDEX(Transactions!$O:$O,ROW()-8))</f>
      </c>
    </row>
    <row r="8645" spans="1:7">
      <c r="B8645">
        <f>IF(INDEX(Transactions!$J:$J,ROW()-8)="",TODAY(),INDEX(Transactions!$G:$G,ROW()-8))</f>
      </c>
      <c r="F8645">
        <f>IF(INDEX(Transactions!$J:$J,ROW()-8)="",0,INDEX(Transactions!$O:$O,ROW()-8))</f>
      </c>
    </row>
    <row r="8646" spans="1:7">
      <c r="B8646">
        <f>IF(INDEX(Transactions!$J:$J,ROW()-8)="",TODAY(),INDEX(Transactions!$G:$G,ROW()-8))</f>
      </c>
      <c r="F8646">
        <f>IF(INDEX(Transactions!$J:$J,ROW()-8)="",0,INDEX(Transactions!$O:$O,ROW()-8))</f>
      </c>
    </row>
    <row r="8647" spans="1:7">
      <c r="B8647">
        <f>IF(INDEX(Transactions!$J:$J,ROW()-8)="",TODAY(),INDEX(Transactions!$G:$G,ROW()-8))</f>
      </c>
      <c r="F8647">
        <f>IF(INDEX(Transactions!$J:$J,ROW()-8)="",0,INDEX(Transactions!$O:$O,ROW()-8))</f>
      </c>
    </row>
    <row r="8648" spans="1:7">
      <c r="B8648">
        <f>IF(INDEX(Transactions!$J:$J,ROW()-8)="",TODAY(),INDEX(Transactions!$G:$G,ROW()-8))</f>
      </c>
      <c r="F8648">
        <f>IF(INDEX(Transactions!$J:$J,ROW()-8)="",0,INDEX(Transactions!$O:$O,ROW()-8))</f>
      </c>
    </row>
    <row r="8649" spans="1:7">
      <c r="B8649">
        <f>IF(INDEX(Transactions!$J:$J,ROW()-8)="",TODAY(),INDEX(Transactions!$G:$G,ROW()-8))</f>
      </c>
      <c r="F8649">
        <f>IF(INDEX(Transactions!$J:$J,ROW()-8)="",0,INDEX(Transactions!$O:$O,ROW()-8))</f>
      </c>
    </row>
    <row r="8650" spans="1:7">
      <c r="B8650">
        <f>IF(INDEX(Transactions!$J:$J,ROW()-8)="",TODAY(),INDEX(Transactions!$G:$G,ROW()-8))</f>
      </c>
      <c r="F8650">
        <f>IF(INDEX(Transactions!$J:$J,ROW()-8)="",0,INDEX(Transactions!$O:$O,ROW()-8))</f>
      </c>
    </row>
    <row r="8651" spans="1:7">
      <c r="B8651">
        <f>IF(INDEX(Transactions!$J:$J,ROW()-8)="",TODAY(),INDEX(Transactions!$G:$G,ROW()-8))</f>
      </c>
      <c r="F8651">
        <f>IF(INDEX(Transactions!$J:$J,ROW()-8)="",0,INDEX(Transactions!$O:$O,ROW()-8))</f>
      </c>
    </row>
    <row r="8652" spans="1:7">
      <c r="B8652">
        <f>IF(INDEX(Transactions!$J:$J,ROW()-8)="",TODAY(),INDEX(Transactions!$G:$G,ROW()-8))</f>
      </c>
      <c r="F8652">
        <f>IF(INDEX(Transactions!$J:$J,ROW()-8)="",0,INDEX(Transactions!$O:$O,ROW()-8))</f>
      </c>
    </row>
    <row r="8653" spans="1:7">
      <c r="B8653">
        <f>IF(INDEX(Transactions!$J:$J,ROW()-8)="",TODAY(),INDEX(Transactions!$G:$G,ROW()-8))</f>
      </c>
      <c r="F8653">
        <f>IF(INDEX(Transactions!$J:$J,ROW()-8)="",0,INDEX(Transactions!$O:$O,ROW()-8))</f>
      </c>
    </row>
    <row r="8654" spans="1:7">
      <c r="B8654">
        <f>IF(INDEX(Transactions!$J:$J,ROW()-8)="",TODAY(),INDEX(Transactions!$G:$G,ROW()-8))</f>
      </c>
      <c r="F8654">
        <f>IF(INDEX(Transactions!$J:$J,ROW()-8)="",0,INDEX(Transactions!$O:$O,ROW()-8))</f>
      </c>
    </row>
    <row r="8655" spans="1:7">
      <c r="B8655">
        <f>IF(INDEX(Transactions!$J:$J,ROW()-8)="",TODAY(),INDEX(Transactions!$G:$G,ROW()-8))</f>
      </c>
      <c r="F8655">
        <f>IF(INDEX(Transactions!$J:$J,ROW()-8)="",0,INDEX(Transactions!$O:$O,ROW()-8))</f>
      </c>
    </row>
    <row r="8656" spans="1:7">
      <c r="B8656">
        <f>IF(INDEX(Transactions!$J:$J,ROW()-8)="",TODAY(),INDEX(Transactions!$G:$G,ROW()-8))</f>
      </c>
      <c r="F8656">
        <f>IF(INDEX(Transactions!$J:$J,ROW()-8)="",0,INDEX(Transactions!$O:$O,ROW()-8))</f>
      </c>
    </row>
    <row r="8657" spans="1:7">
      <c r="B8657">
        <f>IF(INDEX(Transactions!$J:$J,ROW()-8)="",TODAY(),INDEX(Transactions!$G:$G,ROW()-8))</f>
      </c>
      <c r="F8657">
        <f>IF(INDEX(Transactions!$J:$J,ROW()-8)="",0,INDEX(Transactions!$O:$O,ROW()-8))</f>
      </c>
    </row>
    <row r="8658" spans="1:7">
      <c r="B8658">
        <f>IF(INDEX(Transactions!$J:$J,ROW()-8)="",TODAY(),INDEX(Transactions!$G:$G,ROW()-8))</f>
      </c>
      <c r="F8658">
        <f>IF(INDEX(Transactions!$J:$J,ROW()-8)="",0,INDEX(Transactions!$O:$O,ROW()-8))</f>
      </c>
    </row>
    <row r="8659" spans="1:7">
      <c r="B8659">
        <f>IF(INDEX(Transactions!$J:$J,ROW()-8)="",TODAY(),INDEX(Transactions!$G:$G,ROW()-8))</f>
      </c>
      <c r="F8659">
        <f>IF(INDEX(Transactions!$J:$J,ROW()-8)="",0,INDEX(Transactions!$O:$O,ROW()-8))</f>
      </c>
    </row>
    <row r="8660" spans="1:7">
      <c r="B8660">
        <f>IF(INDEX(Transactions!$J:$J,ROW()-8)="",TODAY(),INDEX(Transactions!$G:$G,ROW()-8))</f>
      </c>
      <c r="F8660">
        <f>IF(INDEX(Transactions!$J:$J,ROW()-8)="",0,INDEX(Transactions!$O:$O,ROW()-8))</f>
      </c>
    </row>
    <row r="8661" spans="1:7">
      <c r="B8661">
        <f>IF(INDEX(Transactions!$J:$J,ROW()-8)="",TODAY(),INDEX(Transactions!$G:$G,ROW()-8))</f>
      </c>
      <c r="F8661">
        <f>IF(INDEX(Transactions!$J:$J,ROW()-8)="",0,INDEX(Transactions!$O:$O,ROW()-8))</f>
      </c>
    </row>
    <row r="8662" spans="1:7">
      <c r="B8662">
        <f>IF(INDEX(Transactions!$J:$J,ROW()-8)="",TODAY(),INDEX(Transactions!$G:$G,ROW()-8))</f>
      </c>
      <c r="F8662">
        <f>IF(INDEX(Transactions!$J:$J,ROW()-8)="",0,INDEX(Transactions!$O:$O,ROW()-8))</f>
      </c>
    </row>
    <row r="8663" spans="1:7">
      <c r="B8663">
        <f>IF(INDEX(Transactions!$J:$J,ROW()-8)="",TODAY(),INDEX(Transactions!$G:$G,ROW()-8))</f>
      </c>
      <c r="F8663">
        <f>IF(INDEX(Transactions!$J:$J,ROW()-8)="",0,INDEX(Transactions!$O:$O,ROW()-8))</f>
      </c>
    </row>
    <row r="8664" spans="1:7">
      <c r="B8664">
        <f>IF(INDEX(Transactions!$J:$J,ROW()-8)="",TODAY(),INDEX(Transactions!$G:$G,ROW()-8))</f>
      </c>
      <c r="F8664">
        <f>IF(INDEX(Transactions!$J:$J,ROW()-8)="",0,INDEX(Transactions!$O:$O,ROW()-8))</f>
      </c>
    </row>
    <row r="8665" spans="1:7">
      <c r="B8665">
        <f>IF(INDEX(Transactions!$J:$J,ROW()-8)="",TODAY(),INDEX(Transactions!$G:$G,ROW()-8))</f>
      </c>
      <c r="F8665">
        <f>IF(INDEX(Transactions!$J:$J,ROW()-8)="",0,INDEX(Transactions!$O:$O,ROW()-8))</f>
      </c>
    </row>
    <row r="8666" spans="1:7">
      <c r="B8666">
        <f>IF(INDEX(Transactions!$J:$J,ROW()-8)="",TODAY(),INDEX(Transactions!$G:$G,ROW()-8))</f>
      </c>
      <c r="F8666">
        <f>IF(INDEX(Transactions!$J:$J,ROW()-8)="",0,INDEX(Transactions!$O:$O,ROW()-8))</f>
      </c>
    </row>
    <row r="8667" spans="1:7">
      <c r="B8667">
        <f>IF(INDEX(Transactions!$J:$J,ROW()-8)="",TODAY(),INDEX(Transactions!$G:$G,ROW()-8))</f>
      </c>
      <c r="F8667">
        <f>IF(INDEX(Transactions!$J:$J,ROW()-8)="",0,INDEX(Transactions!$O:$O,ROW()-8))</f>
      </c>
    </row>
    <row r="8668" spans="1:7">
      <c r="B8668">
        <f>IF(INDEX(Transactions!$J:$J,ROW()-8)="",TODAY(),INDEX(Transactions!$G:$G,ROW()-8))</f>
      </c>
      <c r="F8668">
        <f>IF(INDEX(Transactions!$J:$J,ROW()-8)="",0,INDEX(Transactions!$O:$O,ROW()-8))</f>
      </c>
    </row>
    <row r="8669" spans="1:7">
      <c r="B8669">
        <f>IF(INDEX(Transactions!$J:$J,ROW()-8)="",TODAY(),INDEX(Transactions!$G:$G,ROW()-8))</f>
      </c>
      <c r="F8669">
        <f>IF(INDEX(Transactions!$J:$J,ROW()-8)="",0,INDEX(Transactions!$O:$O,ROW()-8))</f>
      </c>
    </row>
    <row r="8670" spans="1:7">
      <c r="B8670">
        <f>IF(INDEX(Transactions!$J:$J,ROW()-8)="",TODAY(),INDEX(Transactions!$G:$G,ROW()-8))</f>
      </c>
      <c r="F8670">
        <f>IF(INDEX(Transactions!$J:$J,ROW()-8)="",0,INDEX(Transactions!$O:$O,ROW()-8))</f>
      </c>
    </row>
    <row r="8671" spans="1:7">
      <c r="B8671">
        <f>IF(INDEX(Transactions!$J:$J,ROW()-8)="",TODAY(),INDEX(Transactions!$G:$G,ROW()-8))</f>
      </c>
      <c r="F8671">
        <f>IF(INDEX(Transactions!$J:$J,ROW()-8)="",0,INDEX(Transactions!$O:$O,ROW()-8))</f>
      </c>
    </row>
    <row r="8672" spans="1:7">
      <c r="B8672">
        <f>IF(INDEX(Transactions!$J:$J,ROW()-8)="",TODAY(),INDEX(Transactions!$G:$G,ROW()-8))</f>
      </c>
      <c r="F8672">
        <f>IF(INDEX(Transactions!$J:$J,ROW()-8)="",0,INDEX(Transactions!$O:$O,ROW()-8))</f>
      </c>
    </row>
    <row r="8673" spans="1:7">
      <c r="B8673">
        <f>IF(INDEX(Transactions!$J:$J,ROW()-8)="",TODAY(),INDEX(Transactions!$G:$G,ROW()-8))</f>
      </c>
      <c r="F8673">
        <f>IF(INDEX(Transactions!$J:$J,ROW()-8)="",0,INDEX(Transactions!$O:$O,ROW()-8))</f>
      </c>
    </row>
    <row r="8674" spans="1:7">
      <c r="B8674">
        <f>IF(INDEX(Transactions!$J:$J,ROW()-8)="",TODAY(),INDEX(Transactions!$G:$G,ROW()-8))</f>
      </c>
      <c r="F8674">
        <f>IF(INDEX(Transactions!$J:$J,ROW()-8)="",0,INDEX(Transactions!$O:$O,ROW()-8))</f>
      </c>
    </row>
    <row r="8675" spans="1:7">
      <c r="B8675">
        <f>IF(INDEX(Transactions!$J:$J,ROW()-8)="",TODAY(),INDEX(Transactions!$G:$G,ROW()-8))</f>
      </c>
      <c r="F8675">
        <f>IF(INDEX(Transactions!$J:$J,ROW()-8)="",0,INDEX(Transactions!$O:$O,ROW()-8))</f>
      </c>
    </row>
    <row r="8676" spans="1:7">
      <c r="B8676">
        <f>IF(INDEX(Transactions!$J:$J,ROW()-8)="",TODAY(),INDEX(Transactions!$G:$G,ROW()-8))</f>
      </c>
      <c r="F8676">
        <f>IF(INDEX(Transactions!$J:$J,ROW()-8)="",0,INDEX(Transactions!$O:$O,ROW()-8))</f>
      </c>
    </row>
    <row r="8677" spans="1:7">
      <c r="B8677">
        <f>IF(INDEX(Transactions!$J:$J,ROW()-8)="",TODAY(),INDEX(Transactions!$G:$G,ROW()-8))</f>
      </c>
      <c r="F8677">
        <f>IF(INDEX(Transactions!$J:$J,ROW()-8)="",0,INDEX(Transactions!$O:$O,ROW()-8))</f>
      </c>
    </row>
    <row r="8678" spans="1:7">
      <c r="B8678">
        <f>IF(INDEX(Transactions!$J:$J,ROW()-8)="",TODAY(),INDEX(Transactions!$G:$G,ROW()-8))</f>
      </c>
      <c r="F8678">
        <f>IF(INDEX(Transactions!$J:$J,ROW()-8)="",0,INDEX(Transactions!$O:$O,ROW()-8))</f>
      </c>
    </row>
    <row r="8679" spans="1:7">
      <c r="B8679">
        <f>IF(INDEX(Transactions!$J:$J,ROW()-8)="",TODAY(),INDEX(Transactions!$G:$G,ROW()-8))</f>
      </c>
      <c r="F8679">
        <f>IF(INDEX(Transactions!$J:$J,ROW()-8)="",0,INDEX(Transactions!$O:$O,ROW()-8))</f>
      </c>
    </row>
    <row r="8680" spans="1:7">
      <c r="B8680">
        <f>IF(INDEX(Transactions!$J:$J,ROW()-8)="",TODAY(),INDEX(Transactions!$G:$G,ROW()-8))</f>
      </c>
      <c r="F8680">
        <f>IF(INDEX(Transactions!$J:$J,ROW()-8)="",0,INDEX(Transactions!$O:$O,ROW()-8))</f>
      </c>
    </row>
    <row r="8681" spans="1:7">
      <c r="B8681">
        <f>IF(INDEX(Transactions!$J:$J,ROW()-8)="",TODAY(),INDEX(Transactions!$G:$G,ROW()-8))</f>
      </c>
      <c r="F8681">
        <f>IF(INDEX(Transactions!$J:$J,ROW()-8)="",0,INDEX(Transactions!$O:$O,ROW()-8))</f>
      </c>
    </row>
    <row r="8682" spans="1:7">
      <c r="B8682">
        <f>IF(INDEX(Transactions!$J:$J,ROW()-8)="",TODAY(),INDEX(Transactions!$G:$G,ROW()-8))</f>
      </c>
      <c r="F8682">
        <f>IF(INDEX(Transactions!$J:$J,ROW()-8)="",0,INDEX(Transactions!$O:$O,ROW()-8))</f>
      </c>
    </row>
    <row r="8683" spans="1:7">
      <c r="B8683">
        <f>IF(INDEX(Transactions!$J:$J,ROW()-8)="",TODAY(),INDEX(Transactions!$G:$G,ROW()-8))</f>
      </c>
      <c r="F8683">
        <f>IF(INDEX(Transactions!$J:$J,ROW()-8)="",0,INDEX(Transactions!$O:$O,ROW()-8))</f>
      </c>
    </row>
    <row r="8684" spans="1:7">
      <c r="B8684">
        <f>IF(INDEX(Transactions!$J:$J,ROW()-8)="",TODAY(),INDEX(Transactions!$G:$G,ROW()-8))</f>
      </c>
      <c r="F8684">
        <f>IF(INDEX(Transactions!$J:$J,ROW()-8)="",0,INDEX(Transactions!$O:$O,ROW()-8))</f>
      </c>
    </row>
    <row r="8685" spans="1:7">
      <c r="B8685">
        <f>IF(INDEX(Transactions!$J:$J,ROW()-8)="",TODAY(),INDEX(Transactions!$G:$G,ROW()-8))</f>
      </c>
      <c r="F8685">
        <f>IF(INDEX(Transactions!$J:$J,ROW()-8)="",0,INDEX(Transactions!$O:$O,ROW()-8))</f>
      </c>
    </row>
    <row r="8686" spans="1:7">
      <c r="B8686">
        <f>IF(INDEX(Transactions!$J:$J,ROW()-8)="",TODAY(),INDEX(Transactions!$G:$G,ROW()-8))</f>
      </c>
      <c r="F8686">
        <f>IF(INDEX(Transactions!$J:$J,ROW()-8)="",0,INDEX(Transactions!$O:$O,ROW()-8))</f>
      </c>
    </row>
    <row r="8687" spans="1:7">
      <c r="B8687">
        <f>IF(INDEX(Transactions!$J:$J,ROW()-8)="",TODAY(),INDEX(Transactions!$G:$G,ROW()-8))</f>
      </c>
      <c r="F8687">
        <f>IF(INDEX(Transactions!$J:$J,ROW()-8)="",0,INDEX(Transactions!$O:$O,ROW()-8))</f>
      </c>
    </row>
    <row r="8688" spans="1:7">
      <c r="B8688">
        <f>IF(INDEX(Transactions!$J:$J,ROW()-8)="",TODAY(),INDEX(Transactions!$G:$G,ROW()-8))</f>
      </c>
      <c r="F8688">
        <f>IF(INDEX(Transactions!$J:$J,ROW()-8)="",0,INDEX(Transactions!$O:$O,ROW()-8))</f>
      </c>
    </row>
    <row r="8689" spans="1:7">
      <c r="B8689">
        <f>IF(INDEX(Transactions!$J:$J,ROW()-8)="",TODAY(),INDEX(Transactions!$G:$G,ROW()-8))</f>
      </c>
      <c r="F8689">
        <f>IF(INDEX(Transactions!$J:$J,ROW()-8)="",0,INDEX(Transactions!$O:$O,ROW()-8))</f>
      </c>
    </row>
    <row r="8690" spans="1:7">
      <c r="B8690">
        <f>IF(INDEX(Transactions!$J:$J,ROW()-8)="",TODAY(),INDEX(Transactions!$G:$G,ROW()-8))</f>
      </c>
      <c r="F8690">
        <f>IF(INDEX(Transactions!$J:$J,ROW()-8)="",0,INDEX(Transactions!$O:$O,ROW()-8))</f>
      </c>
    </row>
    <row r="8691" spans="1:7">
      <c r="B8691">
        <f>IF(INDEX(Transactions!$J:$J,ROW()-8)="",TODAY(),INDEX(Transactions!$G:$G,ROW()-8))</f>
      </c>
      <c r="F8691">
        <f>IF(INDEX(Transactions!$J:$J,ROW()-8)="",0,INDEX(Transactions!$O:$O,ROW()-8))</f>
      </c>
    </row>
    <row r="8692" spans="1:7">
      <c r="B8692">
        <f>IF(INDEX(Transactions!$J:$J,ROW()-8)="",TODAY(),INDEX(Transactions!$G:$G,ROW()-8))</f>
      </c>
      <c r="F8692">
        <f>IF(INDEX(Transactions!$J:$J,ROW()-8)="",0,INDEX(Transactions!$O:$O,ROW()-8))</f>
      </c>
    </row>
    <row r="8693" spans="1:7">
      <c r="B8693">
        <f>IF(INDEX(Transactions!$J:$J,ROW()-8)="",TODAY(),INDEX(Transactions!$G:$G,ROW()-8))</f>
      </c>
      <c r="F8693">
        <f>IF(INDEX(Transactions!$J:$J,ROW()-8)="",0,INDEX(Transactions!$O:$O,ROW()-8))</f>
      </c>
    </row>
    <row r="8694" spans="1:7">
      <c r="B8694">
        <f>IF(INDEX(Transactions!$J:$J,ROW()-8)="",TODAY(),INDEX(Transactions!$G:$G,ROW()-8))</f>
      </c>
      <c r="F8694">
        <f>IF(INDEX(Transactions!$J:$J,ROW()-8)="",0,INDEX(Transactions!$O:$O,ROW()-8))</f>
      </c>
    </row>
    <row r="8695" spans="1:7">
      <c r="B8695">
        <f>IF(INDEX(Transactions!$J:$J,ROW()-8)="",TODAY(),INDEX(Transactions!$G:$G,ROW()-8))</f>
      </c>
      <c r="F8695">
        <f>IF(INDEX(Transactions!$J:$J,ROW()-8)="",0,INDEX(Transactions!$O:$O,ROW()-8))</f>
      </c>
    </row>
    <row r="8696" spans="1:7">
      <c r="B8696">
        <f>IF(INDEX(Transactions!$J:$J,ROW()-8)="",TODAY(),INDEX(Transactions!$G:$G,ROW()-8))</f>
      </c>
      <c r="F8696">
        <f>IF(INDEX(Transactions!$J:$J,ROW()-8)="",0,INDEX(Transactions!$O:$O,ROW()-8))</f>
      </c>
    </row>
    <row r="8697" spans="1:7">
      <c r="B8697">
        <f>IF(INDEX(Transactions!$J:$J,ROW()-8)="",TODAY(),INDEX(Transactions!$G:$G,ROW()-8))</f>
      </c>
      <c r="F8697">
        <f>IF(INDEX(Transactions!$J:$J,ROW()-8)="",0,INDEX(Transactions!$O:$O,ROW()-8))</f>
      </c>
    </row>
    <row r="8698" spans="1:7">
      <c r="B8698">
        <f>IF(INDEX(Transactions!$J:$J,ROW()-8)="",TODAY(),INDEX(Transactions!$G:$G,ROW()-8))</f>
      </c>
      <c r="F8698">
        <f>IF(INDEX(Transactions!$J:$J,ROW()-8)="",0,INDEX(Transactions!$O:$O,ROW()-8))</f>
      </c>
    </row>
    <row r="8699" spans="1:7">
      <c r="B8699">
        <f>IF(INDEX(Transactions!$J:$J,ROW()-8)="",TODAY(),INDEX(Transactions!$G:$G,ROW()-8))</f>
      </c>
      <c r="F8699">
        <f>IF(INDEX(Transactions!$J:$J,ROW()-8)="",0,INDEX(Transactions!$O:$O,ROW()-8))</f>
      </c>
    </row>
    <row r="8700" spans="1:7">
      <c r="B8700">
        <f>IF(INDEX(Transactions!$J:$J,ROW()-8)="",TODAY(),INDEX(Transactions!$G:$G,ROW()-8))</f>
      </c>
      <c r="F8700">
        <f>IF(INDEX(Transactions!$J:$J,ROW()-8)="",0,INDEX(Transactions!$O:$O,ROW()-8))</f>
      </c>
    </row>
    <row r="8701" spans="1:7">
      <c r="B8701">
        <f>IF(INDEX(Transactions!$J:$J,ROW()-8)="",TODAY(),INDEX(Transactions!$G:$G,ROW()-8))</f>
      </c>
      <c r="F8701">
        <f>IF(INDEX(Transactions!$J:$J,ROW()-8)="",0,INDEX(Transactions!$O:$O,ROW()-8))</f>
      </c>
    </row>
    <row r="8702" spans="1:7">
      <c r="B8702">
        <f>IF(INDEX(Transactions!$J:$J,ROW()-8)="",TODAY(),INDEX(Transactions!$G:$G,ROW()-8))</f>
      </c>
      <c r="F8702">
        <f>IF(INDEX(Transactions!$J:$J,ROW()-8)="",0,INDEX(Transactions!$O:$O,ROW()-8))</f>
      </c>
    </row>
    <row r="8703" spans="1:7">
      <c r="B8703">
        <f>IF(INDEX(Transactions!$J:$J,ROW()-8)="",TODAY(),INDEX(Transactions!$G:$G,ROW()-8))</f>
      </c>
      <c r="F8703">
        <f>IF(INDEX(Transactions!$J:$J,ROW()-8)="",0,INDEX(Transactions!$O:$O,ROW()-8))</f>
      </c>
    </row>
    <row r="8704" spans="1:7">
      <c r="B8704">
        <f>IF(INDEX(Transactions!$J:$J,ROW()-8)="",TODAY(),INDEX(Transactions!$G:$G,ROW()-8))</f>
      </c>
      <c r="F8704">
        <f>IF(INDEX(Transactions!$J:$J,ROW()-8)="",0,INDEX(Transactions!$O:$O,ROW()-8))</f>
      </c>
    </row>
    <row r="8705" spans="1:7">
      <c r="B8705">
        <f>IF(INDEX(Transactions!$J:$J,ROW()-8)="",TODAY(),INDEX(Transactions!$G:$G,ROW()-8))</f>
      </c>
      <c r="F8705">
        <f>IF(INDEX(Transactions!$J:$J,ROW()-8)="",0,INDEX(Transactions!$O:$O,ROW()-8))</f>
      </c>
    </row>
    <row r="8706" spans="1:7">
      <c r="B8706">
        <f>IF(INDEX(Transactions!$J:$J,ROW()-8)="",TODAY(),INDEX(Transactions!$G:$G,ROW()-8))</f>
      </c>
      <c r="F8706">
        <f>IF(INDEX(Transactions!$J:$J,ROW()-8)="",0,INDEX(Transactions!$O:$O,ROW()-8))</f>
      </c>
    </row>
    <row r="8707" spans="1:7">
      <c r="B8707">
        <f>IF(INDEX(Transactions!$J:$J,ROW()-8)="",TODAY(),INDEX(Transactions!$G:$G,ROW()-8))</f>
      </c>
      <c r="F8707">
        <f>IF(INDEX(Transactions!$J:$J,ROW()-8)="",0,INDEX(Transactions!$O:$O,ROW()-8))</f>
      </c>
    </row>
    <row r="8708" spans="1:7">
      <c r="B8708">
        <f>IF(INDEX(Transactions!$J:$J,ROW()-8)="",TODAY(),INDEX(Transactions!$G:$G,ROW()-8))</f>
      </c>
      <c r="F8708">
        <f>IF(INDEX(Transactions!$J:$J,ROW()-8)="",0,INDEX(Transactions!$O:$O,ROW()-8))</f>
      </c>
    </row>
    <row r="8709" spans="1:7">
      <c r="B8709">
        <f>IF(INDEX(Transactions!$J:$J,ROW()-8)="",TODAY(),INDEX(Transactions!$G:$G,ROW()-8))</f>
      </c>
      <c r="F8709">
        <f>IF(INDEX(Transactions!$J:$J,ROW()-8)="",0,INDEX(Transactions!$O:$O,ROW()-8))</f>
      </c>
    </row>
    <row r="8710" spans="1:7">
      <c r="B8710">
        <f>IF(INDEX(Transactions!$J:$J,ROW()-8)="",TODAY(),INDEX(Transactions!$G:$G,ROW()-8))</f>
      </c>
      <c r="F8710">
        <f>IF(INDEX(Transactions!$J:$J,ROW()-8)="",0,INDEX(Transactions!$O:$O,ROW()-8))</f>
      </c>
    </row>
    <row r="8711" spans="1:7">
      <c r="B8711">
        <f>IF(INDEX(Transactions!$J:$J,ROW()-8)="",TODAY(),INDEX(Transactions!$G:$G,ROW()-8))</f>
      </c>
      <c r="F8711">
        <f>IF(INDEX(Transactions!$J:$J,ROW()-8)="",0,INDEX(Transactions!$O:$O,ROW()-8))</f>
      </c>
    </row>
    <row r="8712" spans="1:7">
      <c r="B8712">
        <f>IF(INDEX(Transactions!$J:$J,ROW()-8)="",TODAY(),INDEX(Transactions!$G:$G,ROW()-8))</f>
      </c>
      <c r="F8712">
        <f>IF(INDEX(Transactions!$J:$J,ROW()-8)="",0,INDEX(Transactions!$O:$O,ROW()-8))</f>
      </c>
    </row>
    <row r="8713" spans="1:7">
      <c r="B8713">
        <f>IF(INDEX(Transactions!$J:$J,ROW()-8)="",TODAY(),INDEX(Transactions!$G:$G,ROW()-8))</f>
      </c>
      <c r="F8713">
        <f>IF(INDEX(Transactions!$J:$J,ROW()-8)="",0,INDEX(Transactions!$O:$O,ROW()-8))</f>
      </c>
    </row>
    <row r="8714" spans="1:7">
      <c r="B8714">
        <f>IF(INDEX(Transactions!$J:$J,ROW()-8)="",TODAY(),INDEX(Transactions!$G:$G,ROW()-8))</f>
      </c>
      <c r="F8714">
        <f>IF(INDEX(Transactions!$J:$J,ROW()-8)="",0,INDEX(Transactions!$O:$O,ROW()-8))</f>
      </c>
    </row>
    <row r="8715" spans="1:7">
      <c r="B8715">
        <f>IF(INDEX(Transactions!$J:$J,ROW()-8)="",TODAY(),INDEX(Transactions!$G:$G,ROW()-8))</f>
      </c>
      <c r="F8715">
        <f>IF(INDEX(Transactions!$J:$J,ROW()-8)="",0,INDEX(Transactions!$O:$O,ROW()-8))</f>
      </c>
    </row>
    <row r="8716" spans="1:7">
      <c r="B8716">
        <f>IF(INDEX(Transactions!$J:$J,ROW()-8)="",TODAY(),INDEX(Transactions!$G:$G,ROW()-8))</f>
      </c>
      <c r="F8716">
        <f>IF(INDEX(Transactions!$J:$J,ROW()-8)="",0,INDEX(Transactions!$O:$O,ROW()-8))</f>
      </c>
    </row>
    <row r="8717" spans="1:7">
      <c r="B8717">
        <f>IF(INDEX(Transactions!$J:$J,ROW()-8)="",TODAY(),INDEX(Transactions!$G:$G,ROW()-8))</f>
      </c>
      <c r="F8717">
        <f>IF(INDEX(Transactions!$J:$J,ROW()-8)="",0,INDEX(Transactions!$O:$O,ROW()-8))</f>
      </c>
    </row>
    <row r="8718" spans="1:7">
      <c r="B8718">
        <f>IF(INDEX(Transactions!$J:$J,ROW()-8)="",TODAY(),INDEX(Transactions!$G:$G,ROW()-8))</f>
      </c>
      <c r="F8718">
        <f>IF(INDEX(Transactions!$J:$J,ROW()-8)="",0,INDEX(Transactions!$O:$O,ROW()-8))</f>
      </c>
    </row>
    <row r="8719" spans="1:7">
      <c r="B8719">
        <f>IF(INDEX(Transactions!$J:$J,ROW()-8)="",TODAY(),INDEX(Transactions!$G:$G,ROW()-8))</f>
      </c>
      <c r="F8719">
        <f>IF(INDEX(Transactions!$J:$J,ROW()-8)="",0,INDEX(Transactions!$O:$O,ROW()-8))</f>
      </c>
    </row>
    <row r="8720" spans="1:7">
      <c r="B8720">
        <f>IF(INDEX(Transactions!$J:$J,ROW()-8)="",TODAY(),INDEX(Transactions!$G:$G,ROW()-8))</f>
      </c>
      <c r="F8720">
        <f>IF(INDEX(Transactions!$J:$J,ROW()-8)="",0,INDEX(Transactions!$O:$O,ROW()-8))</f>
      </c>
    </row>
    <row r="8721" spans="1:7">
      <c r="B8721">
        <f>IF(INDEX(Transactions!$J:$J,ROW()-8)="",TODAY(),INDEX(Transactions!$G:$G,ROW()-8))</f>
      </c>
      <c r="F8721">
        <f>IF(INDEX(Transactions!$J:$J,ROW()-8)="",0,INDEX(Transactions!$O:$O,ROW()-8))</f>
      </c>
    </row>
    <row r="8722" spans="1:7">
      <c r="B8722">
        <f>IF(INDEX(Transactions!$J:$J,ROW()-8)="",TODAY(),INDEX(Transactions!$G:$G,ROW()-8))</f>
      </c>
      <c r="F8722">
        <f>IF(INDEX(Transactions!$J:$J,ROW()-8)="",0,INDEX(Transactions!$O:$O,ROW()-8))</f>
      </c>
    </row>
    <row r="8723" spans="1:7">
      <c r="B8723">
        <f>IF(INDEX(Transactions!$J:$J,ROW()-8)="",TODAY(),INDEX(Transactions!$G:$G,ROW()-8))</f>
      </c>
      <c r="F8723">
        <f>IF(INDEX(Transactions!$J:$J,ROW()-8)="",0,INDEX(Transactions!$O:$O,ROW()-8))</f>
      </c>
    </row>
    <row r="8724" spans="1:7">
      <c r="B8724">
        <f>IF(INDEX(Transactions!$J:$J,ROW()-8)="",TODAY(),INDEX(Transactions!$G:$G,ROW()-8))</f>
      </c>
      <c r="F8724">
        <f>IF(INDEX(Transactions!$J:$J,ROW()-8)="",0,INDEX(Transactions!$O:$O,ROW()-8))</f>
      </c>
    </row>
    <row r="8725" spans="1:7">
      <c r="B8725">
        <f>IF(INDEX(Transactions!$J:$J,ROW()-8)="",TODAY(),INDEX(Transactions!$G:$G,ROW()-8))</f>
      </c>
      <c r="F8725">
        <f>IF(INDEX(Transactions!$J:$J,ROW()-8)="",0,INDEX(Transactions!$O:$O,ROW()-8))</f>
      </c>
    </row>
    <row r="8726" spans="1:7">
      <c r="B8726">
        <f>IF(INDEX(Transactions!$J:$J,ROW()-8)="",TODAY(),INDEX(Transactions!$G:$G,ROW()-8))</f>
      </c>
      <c r="F8726">
        <f>IF(INDEX(Transactions!$J:$J,ROW()-8)="",0,INDEX(Transactions!$O:$O,ROW()-8))</f>
      </c>
    </row>
    <row r="8727" spans="1:7">
      <c r="B8727">
        <f>IF(INDEX(Transactions!$J:$J,ROW()-8)="",TODAY(),INDEX(Transactions!$G:$G,ROW()-8))</f>
      </c>
      <c r="F8727">
        <f>IF(INDEX(Transactions!$J:$J,ROW()-8)="",0,INDEX(Transactions!$O:$O,ROW()-8))</f>
      </c>
    </row>
    <row r="8728" spans="1:7">
      <c r="B8728">
        <f>IF(INDEX(Transactions!$J:$J,ROW()-8)="",TODAY(),INDEX(Transactions!$G:$G,ROW()-8))</f>
      </c>
      <c r="F8728">
        <f>IF(INDEX(Transactions!$J:$J,ROW()-8)="",0,INDEX(Transactions!$O:$O,ROW()-8))</f>
      </c>
    </row>
    <row r="8729" spans="1:7">
      <c r="B8729">
        <f>IF(INDEX(Transactions!$J:$J,ROW()-8)="",TODAY(),INDEX(Transactions!$G:$G,ROW()-8))</f>
      </c>
      <c r="F8729">
        <f>IF(INDEX(Transactions!$J:$J,ROW()-8)="",0,INDEX(Transactions!$O:$O,ROW()-8))</f>
      </c>
    </row>
    <row r="8730" spans="1:7">
      <c r="B8730">
        <f>IF(INDEX(Transactions!$J:$J,ROW()-8)="",TODAY(),INDEX(Transactions!$G:$G,ROW()-8))</f>
      </c>
      <c r="F8730">
        <f>IF(INDEX(Transactions!$J:$J,ROW()-8)="",0,INDEX(Transactions!$O:$O,ROW()-8))</f>
      </c>
    </row>
    <row r="8731" spans="1:7">
      <c r="B8731">
        <f>IF(INDEX(Transactions!$J:$J,ROW()-8)="",TODAY(),INDEX(Transactions!$G:$G,ROW()-8))</f>
      </c>
      <c r="F8731">
        <f>IF(INDEX(Transactions!$J:$J,ROW()-8)="",0,INDEX(Transactions!$O:$O,ROW()-8))</f>
      </c>
    </row>
    <row r="8732" spans="1:7">
      <c r="B8732">
        <f>IF(INDEX(Transactions!$J:$J,ROW()-8)="",TODAY(),INDEX(Transactions!$G:$G,ROW()-8))</f>
      </c>
      <c r="F8732">
        <f>IF(INDEX(Transactions!$J:$J,ROW()-8)="",0,INDEX(Transactions!$O:$O,ROW()-8))</f>
      </c>
    </row>
    <row r="8733" spans="1:7">
      <c r="B8733">
        <f>IF(INDEX(Transactions!$J:$J,ROW()-8)="",TODAY(),INDEX(Transactions!$G:$G,ROW()-8))</f>
      </c>
      <c r="F8733">
        <f>IF(INDEX(Transactions!$J:$J,ROW()-8)="",0,INDEX(Transactions!$O:$O,ROW()-8))</f>
      </c>
    </row>
    <row r="8734" spans="1:7">
      <c r="B8734">
        <f>IF(INDEX(Transactions!$J:$J,ROW()-8)="",TODAY(),INDEX(Transactions!$G:$G,ROW()-8))</f>
      </c>
      <c r="F8734">
        <f>IF(INDEX(Transactions!$J:$J,ROW()-8)="",0,INDEX(Transactions!$O:$O,ROW()-8))</f>
      </c>
    </row>
    <row r="8735" spans="1:7">
      <c r="B8735">
        <f>IF(INDEX(Transactions!$J:$J,ROW()-8)="",TODAY(),INDEX(Transactions!$G:$G,ROW()-8))</f>
      </c>
      <c r="F8735">
        <f>IF(INDEX(Transactions!$J:$J,ROW()-8)="",0,INDEX(Transactions!$O:$O,ROW()-8))</f>
      </c>
    </row>
    <row r="8736" spans="1:7">
      <c r="B8736">
        <f>IF(INDEX(Transactions!$J:$J,ROW()-8)="",TODAY(),INDEX(Transactions!$G:$G,ROW()-8))</f>
      </c>
      <c r="F8736">
        <f>IF(INDEX(Transactions!$J:$J,ROW()-8)="",0,INDEX(Transactions!$O:$O,ROW()-8))</f>
      </c>
    </row>
    <row r="8737" spans="1:7">
      <c r="B8737">
        <f>IF(INDEX(Transactions!$J:$J,ROW()-8)="",TODAY(),INDEX(Transactions!$G:$G,ROW()-8))</f>
      </c>
      <c r="F8737">
        <f>IF(INDEX(Transactions!$J:$J,ROW()-8)="",0,INDEX(Transactions!$O:$O,ROW()-8))</f>
      </c>
    </row>
    <row r="8738" spans="1:7">
      <c r="B8738">
        <f>IF(INDEX(Transactions!$J:$J,ROW()-8)="",TODAY(),INDEX(Transactions!$G:$G,ROW()-8))</f>
      </c>
      <c r="F8738">
        <f>IF(INDEX(Transactions!$J:$J,ROW()-8)="",0,INDEX(Transactions!$O:$O,ROW()-8))</f>
      </c>
    </row>
    <row r="8739" spans="1:7">
      <c r="B8739">
        <f>IF(INDEX(Transactions!$J:$J,ROW()-8)="",TODAY(),INDEX(Transactions!$G:$G,ROW()-8))</f>
      </c>
      <c r="F8739">
        <f>IF(INDEX(Transactions!$J:$J,ROW()-8)="",0,INDEX(Transactions!$O:$O,ROW()-8))</f>
      </c>
    </row>
    <row r="8740" spans="1:7">
      <c r="B8740">
        <f>IF(INDEX(Transactions!$J:$J,ROW()-8)="",TODAY(),INDEX(Transactions!$G:$G,ROW()-8))</f>
      </c>
      <c r="F8740">
        <f>IF(INDEX(Transactions!$J:$J,ROW()-8)="",0,INDEX(Transactions!$O:$O,ROW()-8))</f>
      </c>
    </row>
    <row r="8741" spans="1:7">
      <c r="B8741">
        <f>IF(INDEX(Transactions!$J:$J,ROW()-8)="",TODAY(),INDEX(Transactions!$G:$G,ROW()-8))</f>
      </c>
      <c r="F8741">
        <f>IF(INDEX(Transactions!$J:$J,ROW()-8)="",0,INDEX(Transactions!$O:$O,ROW()-8))</f>
      </c>
    </row>
    <row r="8742" spans="1:7">
      <c r="B8742">
        <f>IF(INDEX(Transactions!$J:$J,ROW()-8)="",TODAY(),INDEX(Transactions!$G:$G,ROW()-8))</f>
      </c>
      <c r="F8742">
        <f>IF(INDEX(Transactions!$J:$J,ROW()-8)="",0,INDEX(Transactions!$O:$O,ROW()-8))</f>
      </c>
    </row>
    <row r="8743" spans="1:7">
      <c r="B8743">
        <f>IF(INDEX(Transactions!$J:$J,ROW()-8)="",TODAY(),INDEX(Transactions!$G:$G,ROW()-8))</f>
      </c>
      <c r="F8743">
        <f>IF(INDEX(Transactions!$J:$J,ROW()-8)="",0,INDEX(Transactions!$O:$O,ROW()-8))</f>
      </c>
    </row>
    <row r="8744" spans="1:7">
      <c r="B8744">
        <f>IF(INDEX(Transactions!$J:$J,ROW()-8)="",TODAY(),INDEX(Transactions!$G:$G,ROW()-8))</f>
      </c>
      <c r="F8744">
        <f>IF(INDEX(Transactions!$J:$J,ROW()-8)="",0,INDEX(Transactions!$O:$O,ROW()-8))</f>
      </c>
    </row>
    <row r="8745" spans="1:7">
      <c r="B8745">
        <f>IF(INDEX(Transactions!$J:$J,ROW()-8)="",TODAY(),INDEX(Transactions!$G:$G,ROW()-8))</f>
      </c>
      <c r="F8745">
        <f>IF(INDEX(Transactions!$J:$J,ROW()-8)="",0,INDEX(Transactions!$O:$O,ROW()-8))</f>
      </c>
    </row>
    <row r="8746" spans="1:7">
      <c r="B8746">
        <f>IF(INDEX(Transactions!$J:$J,ROW()-8)="",TODAY(),INDEX(Transactions!$G:$G,ROW()-8))</f>
      </c>
      <c r="F8746">
        <f>IF(INDEX(Transactions!$J:$J,ROW()-8)="",0,INDEX(Transactions!$O:$O,ROW()-8))</f>
      </c>
    </row>
    <row r="8747" spans="1:7">
      <c r="B8747">
        <f>IF(INDEX(Transactions!$J:$J,ROW()-8)="",TODAY(),INDEX(Transactions!$G:$G,ROW()-8))</f>
      </c>
      <c r="F8747">
        <f>IF(INDEX(Transactions!$J:$J,ROW()-8)="",0,INDEX(Transactions!$O:$O,ROW()-8))</f>
      </c>
    </row>
    <row r="8748" spans="1:7">
      <c r="B8748">
        <f>IF(INDEX(Transactions!$J:$J,ROW()-8)="",TODAY(),INDEX(Transactions!$G:$G,ROW()-8))</f>
      </c>
      <c r="F8748">
        <f>IF(INDEX(Transactions!$J:$J,ROW()-8)="",0,INDEX(Transactions!$O:$O,ROW()-8))</f>
      </c>
    </row>
    <row r="8749" spans="1:7">
      <c r="B8749">
        <f>IF(INDEX(Transactions!$J:$J,ROW()-8)="",TODAY(),INDEX(Transactions!$G:$G,ROW()-8))</f>
      </c>
      <c r="F8749">
        <f>IF(INDEX(Transactions!$J:$J,ROW()-8)="",0,INDEX(Transactions!$O:$O,ROW()-8))</f>
      </c>
    </row>
    <row r="8750" spans="1:7">
      <c r="B8750">
        <f>IF(INDEX(Transactions!$J:$J,ROW()-8)="",TODAY(),INDEX(Transactions!$G:$G,ROW()-8))</f>
      </c>
      <c r="F8750">
        <f>IF(INDEX(Transactions!$J:$J,ROW()-8)="",0,INDEX(Transactions!$O:$O,ROW()-8))</f>
      </c>
    </row>
    <row r="8751" spans="1:7">
      <c r="B8751">
        <f>IF(INDEX(Transactions!$J:$J,ROW()-8)="",TODAY(),INDEX(Transactions!$G:$G,ROW()-8))</f>
      </c>
      <c r="F8751">
        <f>IF(INDEX(Transactions!$J:$J,ROW()-8)="",0,INDEX(Transactions!$O:$O,ROW()-8))</f>
      </c>
    </row>
    <row r="8752" spans="1:7">
      <c r="B8752">
        <f>IF(INDEX(Transactions!$J:$J,ROW()-8)="",TODAY(),INDEX(Transactions!$G:$G,ROW()-8))</f>
      </c>
      <c r="F8752">
        <f>IF(INDEX(Transactions!$J:$J,ROW()-8)="",0,INDEX(Transactions!$O:$O,ROW()-8))</f>
      </c>
    </row>
    <row r="8753" spans="1:7">
      <c r="B8753">
        <f>IF(INDEX(Transactions!$J:$J,ROW()-8)="",TODAY(),INDEX(Transactions!$G:$G,ROW()-8))</f>
      </c>
      <c r="F8753">
        <f>IF(INDEX(Transactions!$J:$J,ROW()-8)="",0,INDEX(Transactions!$O:$O,ROW()-8))</f>
      </c>
    </row>
    <row r="8754" spans="1:7">
      <c r="B8754">
        <f>IF(INDEX(Transactions!$J:$J,ROW()-8)="",TODAY(),INDEX(Transactions!$G:$G,ROW()-8))</f>
      </c>
      <c r="F8754">
        <f>IF(INDEX(Transactions!$J:$J,ROW()-8)="",0,INDEX(Transactions!$O:$O,ROW()-8))</f>
      </c>
    </row>
    <row r="8755" spans="1:7">
      <c r="B8755">
        <f>IF(INDEX(Transactions!$J:$J,ROW()-8)="",TODAY(),INDEX(Transactions!$G:$G,ROW()-8))</f>
      </c>
      <c r="F8755">
        <f>IF(INDEX(Transactions!$J:$J,ROW()-8)="",0,INDEX(Transactions!$O:$O,ROW()-8))</f>
      </c>
    </row>
    <row r="8756" spans="1:7">
      <c r="B8756">
        <f>IF(INDEX(Transactions!$J:$J,ROW()-8)="",TODAY(),INDEX(Transactions!$G:$G,ROW()-8))</f>
      </c>
      <c r="F8756">
        <f>IF(INDEX(Transactions!$J:$J,ROW()-8)="",0,INDEX(Transactions!$O:$O,ROW()-8))</f>
      </c>
    </row>
    <row r="8757" spans="1:7">
      <c r="B8757">
        <f>IF(INDEX(Transactions!$J:$J,ROW()-8)="",TODAY(),INDEX(Transactions!$G:$G,ROW()-8))</f>
      </c>
      <c r="F8757">
        <f>IF(INDEX(Transactions!$J:$J,ROW()-8)="",0,INDEX(Transactions!$O:$O,ROW()-8))</f>
      </c>
    </row>
    <row r="8758" spans="1:7">
      <c r="B8758">
        <f>IF(INDEX(Transactions!$J:$J,ROW()-8)="",TODAY(),INDEX(Transactions!$G:$G,ROW()-8))</f>
      </c>
      <c r="F8758">
        <f>IF(INDEX(Transactions!$J:$J,ROW()-8)="",0,INDEX(Transactions!$O:$O,ROW()-8))</f>
      </c>
    </row>
    <row r="8759" spans="1:7">
      <c r="B8759">
        <f>IF(INDEX(Transactions!$J:$J,ROW()-8)="",TODAY(),INDEX(Transactions!$G:$G,ROW()-8))</f>
      </c>
      <c r="F8759">
        <f>IF(INDEX(Transactions!$J:$J,ROW()-8)="",0,INDEX(Transactions!$O:$O,ROW()-8))</f>
      </c>
    </row>
    <row r="8760" spans="1:7">
      <c r="B8760">
        <f>IF(INDEX(Transactions!$J:$J,ROW()-8)="",TODAY(),INDEX(Transactions!$G:$G,ROW()-8))</f>
      </c>
      <c r="F8760">
        <f>IF(INDEX(Transactions!$J:$J,ROW()-8)="",0,INDEX(Transactions!$O:$O,ROW()-8))</f>
      </c>
    </row>
    <row r="8761" spans="1:7">
      <c r="B8761">
        <f>IF(INDEX(Transactions!$J:$J,ROW()-8)="",TODAY(),INDEX(Transactions!$G:$G,ROW()-8))</f>
      </c>
      <c r="F8761">
        <f>IF(INDEX(Transactions!$J:$J,ROW()-8)="",0,INDEX(Transactions!$O:$O,ROW()-8))</f>
      </c>
    </row>
    <row r="8762" spans="1:7">
      <c r="B8762">
        <f>IF(INDEX(Transactions!$J:$J,ROW()-8)="",TODAY(),INDEX(Transactions!$G:$G,ROW()-8))</f>
      </c>
      <c r="F8762">
        <f>IF(INDEX(Transactions!$J:$J,ROW()-8)="",0,INDEX(Transactions!$O:$O,ROW()-8))</f>
      </c>
    </row>
    <row r="8763" spans="1:7">
      <c r="B8763">
        <f>IF(INDEX(Transactions!$J:$J,ROW()-8)="",TODAY(),INDEX(Transactions!$G:$G,ROW()-8))</f>
      </c>
      <c r="F8763">
        <f>IF(INDEX(Transactions!$J:$J,ROW()-8)="",0,INDEX(Transactions!$O:$O,ROW()-8))</f>
      </c>
    </row>
    <row r="8764" spans="1:7">
      <c r="B8764">
        <f>IF(INDEX(Transactions!$J:$J,ROW()-8)="",TODAY(),INDEX(Transactions!$G:$G,ROW()-8))</f>
      </c>
      <c r="F8764">
        <f>IF(INDEX(Transactions!$J:$J,ROW()-8)="",0,INDEX(Transactions!$O:$O,ROW()-8))</f>
      </c>
    </row>
    <row r="8765" spans="1:7">
      <c r="B8765">
        <f>IF(INDEX(Transactions!$J:$J,ROW()-8)="",TODAY(),INDEX(Transactions!$G:$G,ROW()-8))</f>
      </c>
      <c r="F8765">
        <f>IF(INDEX(Transactions!$J:$J,ROW()-8)="",0,INDEX(Transactions!$O:$O,ROW()-8))</f>
      </c>
    </row>
    <row r="8766" spans="1:7">
      <c r="B8766">
        <f>IF(INDEX(Transactions!$J:$J,ROW()-8)="",TODAY(),INDEX(Transactions!$G:$G,ROW()-8))</f>
      </c>
      <c r="F8766">
        <f>IF(INDEX(Transactions!$J:$J,ROW()-8)="",0,INDEX(Transactions!$O:$O,ROW()-8))</f>
      </c>
    </row>
    <row r="8767" spans="1:7">
      <c r="B8767">
        <f>IF(INDEX(Transactions!$J:$J,ROW()-8)="",TODAY(),INDEX(Transactions!$G:$G,ROW()-8))</f>
      </c>
      <c r="F8767">
        <f>IF(INDEX(Transactions!$J:$J,ROW()-8)="",0,INDEX(Transactions!$O:$O,ROW()-8))</f>
      </c>
    </row>
    <row r="8768" spans="1:7">
      <c r="B8768">
        <f>IF(INDEX(Transactions!$J:$J,ROW()-8)="",TODAY(),INDEX(Transactions!$G:$G,ROW()-8))</f>
      </c>
      <c r="F8768">
        <f>IF(INDEX(Transactions!$J:$J,ROW()-8)="",0,INDEX(Transactions!$O:$O,ROW()-8))</f>
      </c>
    </row>
    <row r="8769" spans="1:7">
      <c r="B8769">
        <f>IF(INDEX(Transactions!$J:$J,ROW()-8)="",TODAY(),INDEX(Transactions!$G:$G,ROW()-8))</f>
      </c>
      <c r="F8769">
        <f>IF(INDEX(Transactions!$J:$J,ROW()-8)="",0,INDEX(Transactions!$O:$O,ROW()-8))</f>
      </c>
    </row>
    <row r="8770" spans="1:7">
      <c r="B8770">
        <f>IF(INDEX(Transactions!$J:$J,ROW()-8)="",TODAY(),INDEX(Transactions!$G:$G,ROW()-8))</f>
      </c>
      <c r="F8770">
        <f>IF(INDEX(Transactions!$J:$J,ROW()-8)="",0,INDEX(Transactions!$O:$O,ROW()-8))</f>
      </c>
    </row>
    <row r="8771" spans="1:7">
      <c r="B8771">
        <f>IF(INDEX(Transactions!$J:$J,ROW()-8)="",TODAY(),INDEX(Transactions!$G:$G,ROW()-8))</f>
      </c>
      <c r="F8771">
        <f>IF(INDEX(Transactions!$J:$J,ROW()-8)="",0,INDEX(Transactions!$O:$O,ROW()-8))</f>
      </c>
    </row>
    <row r="8772" spans="1:7">
      <c r="B8772">
        <f>IF(INDEX(Transactions!$J:$J,ROW()-8)="",TODAY(),INDEX(Transactions!$G:$G,ROW()-8))</f>
      </c>
      <c r="F8772">
        <f>IF(INDEX(Transactions!$J:$J,ROW()-8)="",0,INDEX(Transactions!$O:$O,ROW()-8))</f>
      </c>
    </row>
    <row r="8773" spans="1:7">
      <c r="B8773">
        <f>IF(INDEX(Transactions!$J:$J,ROW()-8)="",TODAY(),INDEX(Transactions!$G:$G,ROW()-8))</f>
      </c>
      <c r="F8773">
        <f>IF(INDEX(Transactions!$J:$J,ROW()-8)="",0,INDEX(Transactions!$O:$O,ROW()-8))</f>
      </c>
    </row>
    <row r="8774" spans="1:7">
      <c r="B8774">
        <f>IF(INDEX(Transactions!$J:$J,ROW()-8)="",TODAY(),INDEX(Transactions!$G:$G,ROW()-8))</f>
      </c>
      <c r="F8774">
        <f>IF(INDEX(Transactions!$J:$J,ROW()-8)="",0,INDEX(Transactions!$O:$O,ROW()-8))</f>
      </c>
    </row>
    <row r="8775" spans="1:7">
      <c r="B8775">
        <f>IF(INDEX(Transactions!$J:$J,ROW()-8)="",TODAY(),INDEX(Transactions!$G:$G,ROW()-8))</f>
      </c>
      <c r="F8775">
        <f>IF(INDEX(Transactions!$J:$J,ROW()-8)="",0,INDEX(Transactions!$O:$O,ROW()-8))</f>
      </c>
    </row>
    <row r="8776" spans="1:7">
      <c r="B8776">
        <f>IF(INDEX(Transactions!$J:$J,ROW()-8)="",TODAY(),INDEX(Transactions!$G:$G,ROW()-8))</f>
      </c>
      <c r="F8776">
        <f>IF(INDEX(Transactions!$J:$J,ROW()-8)="",0,INDEX(Transactions!$O:$O,ROW()-8))</f>
      </c>
    </row>
    <row r="8777" spans="1:7">
      <c r="B8777">
        <f>IF(INDEX(Transactions!$J:$J,ROW()-8)="",TODAY(),INDEX(Transactions!$G:$G,ROW()-8))</f>
      </c>
      <c r="F8777">
        <f>IF(INDEX(Transactions!$J:$J,ROW()-8)="",0,INDEX(Transactions!$O:$O,ROW()-8))</f>
      </c>
    </row>
    <row r="8778" spans="1:7">
      <c r="B8778">
        <f>IF(INDEX(Transactions!$J:$J,ROW()-8)="",TODAY(),INDEX(Transactions!$G:$G,ROW()-8))</f>
      </c>
      <c r="F8778">
        <f>IF(INDEX(Transactions!$J:$J,ROW()-8)="",0,INDEX(Transactions!$O:$O,ROW()-8))</f>
      </c>
    </row>
    <row r="8779" spans="1:7">
      <c r="B8779">
        <f>IF(INDEX(Transactions!$J:$J,ROW()-8)="",TODAY(),INDEX(Transactions!$G:$G,ROW()-8))</f>
      </c>
      <c r="F8779">
        <f>IF(INDEX(Transactions!$J:$J,ROW()-8)="",0,INDEX(Transactions!$O:$O,ROW()-8))</f>
      </c>
    </row>
    <row r="8780" spans="1:7">
      <c r="B8780">
        <f>IF(INDEX(Transactions!$J:$J,ROW()-8)="",TODAY(),INDEX(Transactions!$G:$G,ROW()-8))</f>
      </c>
      <c r="F8780">
        <f>IF(INDEX(Transactions!$J:$J,ROW()-8)="",0,INDEX(Transactions!$O:$O,ROW()-8))</f>
      </c>
    </row>
    <row r="8781" spans="1:7">
      <c r="B8781">
        <f>IF(INDEX(Transactions!$J:$J,ROW()-8)="",TODAY(),INDEX(Transactions!$G:$G,ROW()-8))</f>
      </c>
      <c r="F8781">
        <f>IF(INDEX(Transactions!$J:$J,ROW()-8)="",0,INDEX(Transactions!$O:$O,ROW()-8))</f>
      </c>
    </row>
    <row r="8782" spans="1:7">
      <c r="B8782">
        <f>IF(INDEX(Transactions!$J:$J,ROW()-8)="",TODAY(),INDEX(Transactions!$G:$G,ROW()-8))</f>
      </c>
      <c r="F8782">
        <f>IF(INDEX(Transactions!$J:$J,ROW()-8)="",0,INDEX(Transactions!$O:$O,ROW()-8))</f>
      </c>
    </row>
    <row r="8783" spans="1:7">
      <c r="B8783">
        <f>IF(INDEX(Transactions!$J:$J,ROW()-8)="",TODAY(),INDEX(Transactions!$G:$G,ROW()-8))</f>
      </c>
      <c r="F8783">
        <f>IF(INDEX(Transactions!$J:$J,ROW()-8)="",0,INDEX(Transactions!$O:$O,ROW()-8))</f>
      </c>
    </row>
    <row r="8784" spans="1:7">
      <c r="B8784">
        <f>IF(INDEX(Transactions!$J:$J,ROW()-8)="",TODAY(),INDEX(Transactions!$G:$G,ROW()-8))</f>
      </c>
      <c r="F8784">
        <f>IF(INDEX(Transactions!$J:$J,ROW()-8)="",0,INDEX(Transactions!$O:$O,ROW()-8))</f>
      </c>
    </row>
    <row r="8785" spans="1:7">
      <c r="B8785">
        <f>IF(INDEX(Transactions!$J:$J,ROW()-8)="",TODAY(),INDEX(Transactions!$G:$G,ROW()-8))</f>
      </c>
      <c r="F8785">
        <f>IF(INDEX(Transactions!$J:$J,ROW()-8)="",0,INDEX(Transactions!$O:$O,ROW()-8))</f>
      </c>
    </row>
    <row r="8786" spans="1:7">
      <c r="B8786">
        <f>IF(INDEX(Transactions!$J:$J,ROW()-8)="",TODAY(),INDEX(Transactions!$G:$G,ROW()-8))</f>
      </c>
      <c r="F8786">
        <f>IF(INDEX(Transactions!$J:$J,ROW()-8)="",0,INDEX(Transactions!$O:$O,ROW()-8))</f>
      </c>
    </row>
    <row r="8787" spans="1:7">
      <c r="B8787">
        <f>IF(INDEX(Transactions!$J:$J,ROW()-8)="",TODAY(),INDEX(Transactions!$G:$G,ROW()-8))</f>
      </c>
      <c r="F8787">
        <f>IF(INDEX(Transactions!$J:$J,ROW()-8)="",0,INDEX(Transactions!$O:$O,ROW()-8))</f>
      </c>
    </row>
    <row r="8788" spans="1:7">
      <c r="B8788">
        <f>IF(INDEX(Transactions!$J:$J,ROW()-8)="",TODAY(),INDEX(Transactions!$G:$G,ROW()-8))</f>
      </c>
      <c r="F8788">
        <f>IF(INDEX(Transactions!$J:$J,ROW()-8)="",0,INDEX(Transactions!$O:$O,ROW()-8))</f>
      </c>
    </row>
    <row r="8789" spans="1:7">
      <c r="B8789">
        <f>IF(INDEX(Transactions!$J:$J,ROW()-8)="",TODAY(),INDEX(Transactions!$G:$G,ROW()-8))</f>
      </c>
      <c r="F8789">
        <f>IF(INDEX(Transactions!$J:$J,ROW()-8)="",0,INDEX(Transactions!$O:$O,ROW()-8))</f>
      </c>
    </row>
    <row r="8790" spans="1:7">
      <c r="B8790">
        <f>IF(INDEX(Transactions!$J:$J,ROW()-8)="",TODAY(),INDEX(Transactions!$G:$G,ROW()-8))</f>
      </c>
      <c r="F8790">
        <f>IF(INDEX(Transactions!$J:$J,ROW()-8)="",0,INDEX(Transactions!$O:$O,ROW()-8))</f>
      </c>
    </row>
    <row r="8791" spans="1:7">
      <c r="B8791">
        <f>IF(INDEX(Transactions!$J:$J,ROW()-8)="",TODAY(),INDEX(Transactions!$G:$G,ROW()-8))</f>
      </c>
      <c r="F8791">
        <f>IF(INDEX(Transactions!$J:$J,ROW()-8)="",0,INDEX(Transactions!$O:$O,ROW()-8))</f>
      </c>
    </row>
    <row r="8792" spans="1:7">
      <c r="B8792">
        <f>IF(INDEX(Transactions!$J:$J,ROW()-8)="",TODAY(),INDEX(Transactions!$G:$G,ROW()-8))</f>
      </c>
      <c r="F8792">
        <f>IF(INDEX(Transactions!$J:$J,ROW()-8)="",0,INDEX(Transactions!$O:$O,ROW()-8))</f>
      </c>
    </row>
    <row r="8793" spans="1:7">
      <c r="B8793">
        <f>IF(INDEX(Transactions!$J:$J,ROW()-8)="",TODAY(),INDEX(Transactions!$G:$G,ROW()-8))</f>
      </c>
      <c r="F8793">
        <f>IF(INDEX(Transactions!$J:$J,ROW()-8)="",0,INDEX(Transactions!$O:$O,ROW()-8))</f>
      </c>
    </row>
    <row r="8794" spans="1:7">
      <c r="B8794">
        <f>IF(INDEX(Transactions!$J:$J,ROW()-8)="",TODAY(),INDEX(Transactions!$G:$G,ROW()-8))</f>
      </c>
      <c r="F8794">
        <f>IF(INDEX(Transactions!$J:$J,ROW()-8)="",0,INDEX(Transactions!$O:$O,ROW()-8))</f>
      </c>
    </row>
    <row r="8795" spans="1:7">
      <c r="B8795">
        <f>IF(INDEX(Transactions!$J:$J,ROW()-8)="",TODAY(),INDEX(Transactions!$G:$G,ROW()-8))</f>
      </c>
      <c r="F8795">
        <f>IF(INDEX(Transactions!$J:$J,ROW()-8)="",0,INDEX(Transactions!$O:$O,ROW()-8))</f>
      </c>
    </row>
    <row r="8796" spans="1:7">
      <c r="B8796">
        <f>IF(INDEX(Transactions!$J:$J,ROW()-8)="",TODAY(),INDEX(Transactions!$G:$G,ROW()-8))</f>
      </c>
      <c r="F8796">
        <f>IF(INDEX(Transactions!$J:$J,ROW()-8)="",0,INDEX(Transactions!$O:$O,ROW()-8))</f>
      </c>
    </row>
    <row r="8797" spans="1:7">
      <c r="B8797">
        <f>IF(INDEX(Transactions!$J:$J,ROW()-8)="",TODAY(),INDEX(Transactions!$G:$G,ROW()-8))</f>
      </c>
      <c r="F8797">
        <f>IF(INDEX(Transactions!$J:$J,ROW()-8)="",0,INDEX(Transactions!$O:$O,ROW()-8))</f>
      </c>
    </row>
    <row r="8798" spans="1:7">
      <c r="B8798">
        <f>IF(INDEX(Transactions!$J:$J,ROW()-8)="",TODAY(),INDEX(Transactions!$G:$G,ROW()-8))</f>
      </c>
      <c r="F8798">
        <f>IF(INDEX(Transactions!$J:$J,ROW()-8)="",0,INDEX(Transactions!$O:$O,ROW()-8))</f>
      </c>
    </row>
    <row r="8799" spans="1:7">
      <c r="B8799">
        <f>IF(INDEX(Transactions!$J:$J,ROW()-8)="",TODAY(),INDEX(Transactions!$G:$G,ROW()-8))</f>
      </c>
      <c r="F8799">
        <f>IF(INDEX(Transactions!$J:$J,ROW()-8)="",0,INDEX(Transactions!$O:$O,ROW()-8))</f>
      </c>
    </row>
    <row r="8800" spans="1:7">
      <c r="B8800">
        <f>IF(INDEX(Transactions!$J:$J,ROW()-8)="",TODAY(),INDEX(Transactions!$G:$G,ROW()-8))</f>
      </c>
      <c r="F8800">
        <f>IF(INDEX(Transactions!$J:$J,ROW()-8)="",0,INDEX(Transactions!$O:$O,ROW()-8))</f>
      </c>
    </row>
    <row r="8801" spans="1:7">
      <c r="B8801">
        <f>IF(INDEX(Transactions!$J:$J,ROW()-8)="",TODAY(),INDEX(Transactions!$G:$G,ROW()-8))</f>
      </c>
      <c r="F8801">
        <f>IF(INDEX(Transactions!$J:$J,ROW()-8)="",0,INDEX(Transactions!$O:$O,ROW()-8))</f>
      </c>
    </row>
    <row r="8802" spans="1:7">
      <c r="B8802">
        <f>IF(INDEX(Transactions!$J:$J,ROW()-8)="",TODAY(),INDEX(Transactions!$G:$G,ROW()-8))</f>
      </c>
      <c r="F8802">
        <f>IF(INDEX(Transactions!$J:$J,ROW()-8)="",0,INDEX(Transactions!$O:$O,ROW()-8))</f>
      </c>
    </row>
    <row r="8803" spans="1:7">
      <c r="B8803">
        <f>IF(INDEX(Transactions!$J:$J,ROW()-8)="",TODAY(),INDEX(Transactions!$G:$G,ROW()-8))</f>
      </c>
      <c r="F8803">
        <f>IF(INDEX(Transactions!$J:$J,ROW()-8)="",0,INDEX(Transactions!$O:$O,ROW()-8))</f>
      </c>
    </row>
    <row r="8804" spans="1:7">
      <c r="B8804">
        <f>IF(INDEX(Transactions!$J:$J,ROW()-8)="",TODAY(),INDEX(Transactions!$G:$G,ROW()-8))</f>
      </c>
      <c r="F8804">
        <f>IF(INDEX(Transactions!$J:$J,ROW()-8)="",0,INDEX(Transactions!$O:$O,ROW()-8))</f>
      </c>
    </row>
    <row r="8805" spans="1:7">
      <c r="B8805">
        <f>IF(INDEX(Transactions!$J:$J,ROW()-8)="",TODAY(),INDEX(Transactions!$G:$G,ROW()-8))</f>
      </c>
      <c r="F8805">
        <f>IF(INDEX(Transactions!$J:$J,ROW()-8)="",0,INDEX(Transactions!$O:$O,ROW()-8))</f>
      </c>
    </row>
    <row r="8806" spans="1:7">
      <c r="B8806">
        <f>IF(INDEX(Transactions!$J:$J,ROW()-8)="",TODAY(),INDEX(Transactions!$G:$G,ROW()-8))</f>
      </c>
      <c r="F8806">
        <f>IF(INDEX(Transactions!$J:$J,ROW()-8)="",0,INDEX(Transactions!$O:$O,ROW()-8))</f>
      </c>
    </row>
    <row r="8807" spans="1:7">
      <c r="B8807">
        <f>IF(INDEX(Transactions!$J:$J,ROW()-8)="",TODAY(),INDEX(Transactions!$G:$G,ROW()-8))</f>
      </c>
      <c r="F8807">
        <f>IF(INDEX(Transactions!$J:$J,ROW()-8)="",0,INDEX(Transactions!$O:$O,ROW()-8))</f>
      </c>
    </row>
    <row r="8808" spans="1:7">
      <c r="B8808">
        <f>IF(INDEX(Transactions!$J:$J,ROW()-8)="",TODAY(),INDEX(Transactions!$G:$G,ROW()-8))</f>
      </c>
      <c r="F8808">
        <f>IF(INDEX(Transactions!$J:$J,ROW()-8)="",0,INDEX(Transactions!$O:$O,ROW()-8))</f>
      </c>
    </row>
    <row r="8809" spans="1:7">
      <c r="B8809">
        <f>IF(INDEX(Transactions!$J:$J,ROW()-8)="",TODAY(),INDEX(Transactions!$G:$G,ROW()-8))</f>
      </c>
      <c r="F8809">
        <f>IF(INDEX(Transactions!$J:$J,ROW()-8)="",0,INDEX(Transactions!$O:$O,ROW()-8))</f>
      </c>
    </row>
    <row r="8810" spans="1:7">
      <c r="B8810">
        <f>IF(INDEX(Transactions!$J:$J,ROW()-8)="",TODAY(),INDEX(Transactions!$G:$G,ROW()-8))</f>
      </c>
      <c r="F8810">
        <f>IF(INDEX(Transactions!$J:$J,ROW()-8)="",0,INDEX(Transactions!$O:$O,ROW()-8))</f>
      </c>
    </row>
    <row r="8811" spans="1:7">
      <c r="B8811">
        <f>IF(INDEX(Transactions!$J:$J,ROW()-8)="",TODAY(),INDEX(Transactions!$G:$G,ROW()-8))</f>
      </c>
      <c r="F8811">
        <f>IF(INDEX(Transactions!$J:$J,ROW()-8)="",0,INDEX(Transactions!$O:$O,ROW()-8))</f>
      </c>
    </row>
    <row r="8812" spans="1:7">
      <c r="B8812">
        <f>IF(INDEX(Transactions!$J:$J,ROW()-8)="",TODAY(),INDEX(Transactions!$G:$G,ROW()-8))</f>
      </c>
      <c r="F8812">
        <f>IF(INDEX(Transactions!$J:$J,ROW()-8)="",0,INDEX(Transactions!$O:$O,ROW()-8))</f>
      </c>
    </row>
    <row r="8813" spans="1:7">
      <c r="B8813">
        <f>IF(INDEX(Transactions!$J:$J,ROW()-8)="",TODAY(),INDEX(Transactions!$G:$G,ROW()-8))</f>
      </c>
      <c r="F8813">
        <f>IF(INDEX(Transactions!$J:$J,ROW()-8)="",0,INDEX(Transactions!$O:$O,ROW()-8))</f>
      </c>
    </row>
    <row r="8814" spans="1:7">
      <c r="B8814">
        <f>IF(INDEX(Transactions!$J:$J,ROW()-8)="",TODAY(),INDEX(Transactions!$G:$G,ROW()-8))</f>
      </c>
      <c r="F8814">
        <f>IF(INDEX(Transactions!$J:$J,ROW()-8)="",0,INDEX(Transactions!$O:$O,ROW()-8))</f>
      </c>
    </row>
    <row r="8815" spans="1:7">
      <c r="B8815">
        <f>IF(INDEX(Transactions!$J:$J,ROW()-8)="",TODAY(),INDEX(Transactions!$G:$G,ROW()-8))</f>
      </c>
      <c r="F8815">
        <f>IF(INDEX(Transactions!$J:$J,ROW()-8)="",0,INDEX(Transactions!$O:$O,ROW()-8))</f>
      </c>
    </row>
    <row r="8816" spans="1:7">
      <c r="B8816">
        <f>IF(INDEX(Transactions!$J:$J,ROW()-8)="",TODAY(),INDEX(Transactions!$G:$G,ROW()-8))</f>
      </c>
      <c r="F8816">
        <f>IF(INDEX(Transactions!$J:$J,ROW()-8)="",0,INDEX(Transactions!$O:$O,ROW()-8))</f>
      </c>
    </row>
    <row r="8817" spans="1:7">
      <c r="B8817">
        <f>IF(INDEX(Transactions!$J:$J,ROW()-8)="",TODAY(),INDEX(Transactions!$G:$G,ROW()-8))</f>
      </c>
      <c r="F8817">
        <f>IF(INDEX(Transactions!$J:$J,ROW()-8)="",0,INDEX(Transactions!$O:$O,ROW()-8))</f>
      </c>
    </row>
    <row r="8818" spans="1:7">
      <c r="B8818">
        <f>IF(INDEX(Transactions!$J:$J,ROW()-8)="",TODAY(),INDEX(Transactions!$G:$G,ROW()-8))</f>
      </c>
      <c r="F8818">
        <f>IF(INDEX(Transactions!$J:$J,ROW()-8)="",0,INDEX(Transactions!$O:$O,ROW()-8))</f>
      </c>
    </row>
    <row r="8819" spans="1:7">
      <c r="B8819">
        <f>IF(INDEX(Transactions!$J:$J,ROW()-8)="",TODAY(),INDEX(Transactions!$G:$G,ROW()-8))</f>
      </c>
      <c r="F8819">
        <f>IF(INDEX(Transactions!$J:$J,ROW()-8)="",0,INDEX(Transactions!$O:$O,ROW()-8))</f>
      </c>
    </row>
    <row r="8820" spans="1:7">
      <c r="B8820">
        <f>IF(INDEX(Transactions!$J:$J,ROW()-8)="",TODAY(),INDEX(Transactions!$G:$G,ROW()-8))</f>
      </c>
      <c r="F8820">
        <f>IF(INDEX(Transactions!$J:$J,ROW()-8)="",0,INDEX(Transactions!$O:$O,ROW()-8))</f>
      </c>
    </row>
    <row r="8821" spans="1:7">
      <c r="B8821">
        <f>IF(INDEX(Transactions!$J:$J,ROW()-8)="",TODAY(),INDEX(Transactions!$G:$G,ROW()-8))</f>
      </c>
      <c r="F8821">
        <f>IF(INDEX(Transactions!$J:$J,ROW()-8)="",0,INDEX(Transactions!$O:$O,ROW()-8))</f>
      </c>
    </row>
    <row r="8822" spans="1:7">
      <c r="B8822">
        <f>IF(INDEX(Transactions!$J:$J,ROW()-8)="",TODAY(),INDEX(Transactions!$G:$G,ROW()-8))</f>
      </c>
      <c r="F8822">
        <f>IF(INDEX(Transactions!$J:$J,ROW()-8)="",0,INDEX(Transactions!$O:$O,ROW()-8))</f>
      </c>
    </row>
    <row r="8823" spans="1:7">
      <c r="B8823">
        <f>IF(INDEX(Transactions!$J:$J,ROW()-8)="",TODAY(),INDEX(Transactions!$G:$G,ROW()-8))</f>
      </c>
      <c r="F8823">
        <f>IF(INDEX(Transactions!$J:$J,ROW()-8)="",0,INDEX(Transactions!$O:$O,ROW()-8))</f>
      </c>
    </row>
    <row r="8824" spans="1:7">
      <c r="B8824">
        <f>IF(INDEX(Transactions!$J:$J,ROW()-8)="",TODAY(),INDEX(Transactions!$G:$G,ROW()-8))</f>
      </c>
      <c r="F8824">
        <f>IF(INDEX(Transactions!$J:$J,ROW()-8)="",0,INDEX(Transactions!$O:$O,ROW()-8))</f>
      </c>
    </row>
    <row r="8825" spans="1:7">
      <c r="B8825">
        <f>IF(INDEX(Transactions!$J:$J,ROW()-8)="",TODAY(),INDEX(Transactions!$G:$G,ROW()-8))</f>
      </c>
      <c r="F8825">
        <f>IF(INDEX(Transactions!$J:$J,ROW()-8)="",0,INDEX(Transactions!$O:$O,ROW()-8))</f>
      </c>
    </row>
    <row r="8826" spans="1:7">
      <c r="B8826">
        <f>IF(INDEX(Transactions!$J:$J,ROW()-8)="",TODAY(),INDEX(Transactions!$G:$G,ROW()-8))</f>
      </c>
      <c r="F8826">
        <f>IF(INDEX(Transactions!$J:$J,ROW()-8)="",0,INDEX(Transactions!$O:$O,ROW()-8))</f>
      </c>
    </row>
    <row r="8827" spans="1:7">
      <c r="B8827">
        <f>IF(INDEX(Transactions!$J:$J,ROW()-8)="",TODAY(),INDEX(Transactions!$G:$G,ROW()-8))</f>
      </c>
      <c r="F8827">
        <f>IF(INDEX(Transactions!$J:$J,ROW()-8)="",0,INDEX(Transactions!$O:$O,ROW()-8))</f>
      </c>
    </row>
    <row r="8828" spans="1:7">
      <c r="B8828">
        <f>IF(INDEX(Transactions!$J:$J,ROW()-8)="",TODAY(),INDEX(Transactions!$G:$G,ROW()-8))</f>
      </c>
      <c r="F8828">
        <f>IF(INDEX(Transactions!$J:$J,ROW()-8)="",0,INDEX(Transactions!$O:$O,ROW()-8))</f>
      </c>
    </row>
    <row r="8829" spans="1:7">
      <c r="B8829">
        <f>IF(INDEX(Transactions!$J:$J,ROW()-8)="",TODAY(),INDEX(Transactions!$G:$G,ROW()-8))</f>
      </c>
      <c r="F8829">
        <f>IF(INDEX(Transactions!$J:$J,ROW()-8)="",0,INDEX(Transactions!$O:$O,ROW()-8))</f>
      </c>
    </row>
    <row r="8830" spans="1:7">
      <c r="B8830">
        <f>IF(INDEX(Transactions!$J:$J,ROW()-8)="",TODAY(),INDEX(Transactions!$G:$G,ROW()-8))</f>
      </c>
      <c r="F8830">
        <f>IF(INDEX(Transactions!$J:$J,ROW()-8)="",0,INDEX(Transactions!$O:$O,ROW()-8))</f>
      </c>
    </row>
    <row r="8831" spans="1:7">
      <c r="B8831">
        <f>IF(INDEX(Transactions!$J:$J,ROW()-8)="",TODAY(),INDEX(Transactions!$G:$G,ROW()-8))</f>
      </c>
      <c r="F8831">
        <f>IF(INDEX(Transactions!$J:$J,ROW()-8)="",0,INDEX(Transactions!$O:$O,ROW()-8))</f>
      </c>
    </row>
    <row r="8832" spans="1:7">
      <c r="B8832">
        <f>IF(INDEX(Transactions!$J:$J,ROW()-8)="",TODAY(),INDEX(Transactions!$G:$G,ROW()-8))</f>
      </c>
      <c r="F8832">
        <f>IF(INDEX(Transactions!$J:$J,ROW()-8)="",0,INDEX(Transactions!$O:$O,ROW()-8))</f>
      </c>
    </row>
    <row r="8833" spans="1:7">
      <c r="B8833">
        <f>IF(INDEX(Transactions!$J:$J,ROW()-8)="",TODAY(),INDEX(Transactions!$G:$G,ROW()-8))</f>
      </c>
      <c r="F8833">
        <f>IF(INDEX(Transactions!$J:$J,ROW()-8)="",0,INDEX(Transactions!$O:$O,ROW()-8))</f>
      </c>
    </row>
    <row r="8834" spans="1:7">
      <c r="B8834">
        <f>IF(INDEX(Transactions!$J:$J,ROW()-8)="",TODAY(),INDEX(Transactions!$G:$G,ROW()-8))</f>
      </c>
      <c r="F8834">
        <f>IF(INDEX(Transactions!$J:$J,ROW()-8)="",0,INDEX(Transactions!$O:$O,ROW()-8))</f>
      </c>
    </row>
    <row r="8835" spans="1:7">
      <c r="B8835">
        <f>IF(INDEX(Transactions!$J:$J,ROW()-8)="",TODAY(),INDEX(Transactions!$G:$G,ROW()-8))</f>
      </c>
      <c r="F8835">
        <f>IF(INDEX(Transactions!$J:$J,ROW()-8)="",0,INDEX(Transactions!$O:$O,ROW()-8))</f>
      </c>
    </row>
    <row r="8836" spans="1:7">
      <c r="B8836">
        <f>IF(INDEX(Transactions!$J:$J,ROW()-8)="",TODAY(),INDEX(Transactions!$G:$G,ROW()-8))</f>
      </c>
      <c r="F8836">
        <f>IF(INDEX(Transactions!$J:$J,ROW()-8)="",0,INDEX(Transactions!$O:$O,ROW()-8))</f>
      </c>
    </row>
    <row r="8837" spans="1:7">
      <c r="B8837">
        <f>IF(INDEX(Transactions!$J:$J,ROW()-8)="",TODAY(),INDEX(Transactions!$G:$G,ROW()-8))</f>
      </c>
      <c r="F8837">
        <f>IF(INDEX(Transactions!$J:$J,ROW()-8)="",0,INDEX(Transactions!$O:$O,ROW()-8))</f>
      </c>
    </row>
    <row r="8838" spans="1:7">
      <c r="B8838">
        <f>IF(INDEX(Transactions!$J:$J,ROW()-8)="",TODAY(),INDEX(Transactions!$G:$G,ROW()-8))</f>
      </c>
      <c r="F8838">
        <f>IF(INDEX(Transactions!$J:$J,ROW()-8)="",0,INDEX(Transactions!$O:$O,ROW()-8))</f>
      </c>
    </row>
    <row r="8839" spans="1:7">
      <c r="B8839">
        <f>IF(INDEX(Transactions!$J:$J,ROW()-8)="",TODAY(),INDEX(Transactions!$G:$G,ROW()-8))</f>
      </c>
      <c r="F8839">
        <f>IF(INDEX(Transactions!$J:$J,ROW()-8)="",0,INDEX(Transactions!$O:$O,ROW()-8))</f>
      </c>
    </row>
    <row r="8840" spans="1:7">
      <c r="B8840">
        <f>IF(INDEX(Transactions!$J:$J,ROW()-8)="",TODAY(),INDEX(Transactions!$G:$G,ROW()-8))</f>
      </c>
      <c r="F8840">
        <f>IF(INDEX(Transactions!$J:$J,ROW()-8)="",0,INDEX(Transactions!$O:$O,ROW()-8))</f>
      </c>
    </row>
    <row r="8841" spans="1:7">
      <c r="B8841">
        <f>IF(INDEX(Transactions!$J:$J,ROW()-8)="",TODAY(),INDEX(Transactions!$G:$G,ROW()-8))</f>
      </c>
      <c r="F8841">
        <f>IF(INDEX(Transactions!$J:$J,ROW()-8)="",0,INDEX(Transactions!$O:$O,ROW()-8))</f>
      </c>
    </row>
    <row r="8842" spans="1:7">
      <c r="B8842">
        <f>IF(INDEX(Transactions!$J:$J,ROW()-8)="",TODAY(),INDEX(Transactions!$G:$G,ROW()-8))</f>
      </c>
      <c r="F8842">
        <f>IF(INDEX(Transactions!$J:$J,ROW()-8)="",0,INDEX(Transactions!$O:$O,ROW()-8))</f>
      </c>
    </row>
    <row r="8843" spans="1:7">
      <c r="B8843">
        <f>IF(INDEX(Transactions!$J:$J,ROW()-8)="",TODAY(),INDEX(Transactions!$G:$G,ROW()-8))</f>
      </c>
      <c r="F8843">
        <f>IF(INDEX(Transactions!$J:$J,ROW()-8)="",0,INDEX(Transactions!$O:$O,ROW()-8))</f>
      </c>
    </row>
    <row r="8844" spans="1:7">
      <c r="B8844">
        <f>IF(INDEX(Transactions!$J:$J,ROW()-8)="",TODAY(),INDEX(Transactions!$G:$G,ROW()-8))</f>
      </c>
      <c r="F8844">
        <f>IF(INDEX(Transactions!$J:$J,ROW()-8)="",0,INDEX(Transactions!$O:$O,ROW()-8))</f>
      </c>
    </row>
    <row r="8845" spans="1:7">
      <c r="B8845">
        <f>IF(INDEX(Transactions!$J:$J,ROW()-8)="",TODAY(),INDEX(Transactions!$G:$G,ROW()-8))</f>
      </c>
      <c r="F8845">
        <f>IF(INDEX(Transactions!$J:$J,ROW()-8)="",0,INDEX(Transactions!$O:$O,ROW()-8))</f>
      </c>
    </row>
    <row r="8846" spans="1:7">
      <c r="B8846">
        <f>IF(INDEX(Transactions!$J:$J,ROW()-8)="",TODAY(),INDEX(Transactions!$G:$G,ROW()-8))</f>
      </c>
      <c r="F8846">
        <f>IF(INDEX(Transactions!$J:$J,ROW()-8)="",0,INDEX(Transactions!$O:$O,ROW()-8))</f>
      </c>
    </row>
    <row r="8847" spans="1:7">
      <c r="B8847">
        <f>IF(INDEX(Transactions!$J:$J,ROW()-8)="",TODAY(),INDEX(Transactions!$G:$G,ROW()-8))</f>
      </c>
      <c r="F8847">
        <f>IF(INDEX(Transactions!$J:$J,ROW()-8)="",0,INDEX(Transactions!$O:$O,ROW()-8))</f>
      </c>
    </row>
    <row r="8848" spans="1:7">
      <c r="B8848">
        <f>IF(INDEX(Transactions!$J:$J,ROW()-8)="",TODAY(),INDEX(Transactions!$G:$G,ROW()-8))</f>
      </c>
      <c r="F8848">
        <f>IF(INDEX(Transactions!$J:$J,ROW()-8)="",0,INDEX(Transactions!$O:$O,ROW()-8))</f>
      </c>
    </row>
    <row r="8849" spans="1:7">
      <c r="B8849">
        <f>IF(INDEX(Transactions!$J:$J,ROW()-8)="",TODAY(),INDEX(Transactions!$G:$G,ROW()-8))</f>
      </c>
      <c r="F8849">
        <f>IF(INDEX(Transactions!$J:$J,ROW()-8)="",0,INDEX(Transactions!$O:$O,ROW()-8))</f>
      </c>
    </row>
    <row r="8850" spans="1:7">
      <c r="B8850">
        <f>IF(INDEX(Transactions!$J:$J,ROW()-8)="",TODAY(),INDEX(Transactions!$G:$G,ROW()-8))</f>
      </c>
      <c r="F8850">
        <f>IF(INDEX(Transactions!$J:$J,ROW()-8)="",0,INDEX(Transactions!$O:$O,ROW()-8))</f>
      </c>
    </row>
    <row r="8851" spans="1:7">
      <c r="B8851">
        <f>IF(INDEX(Transactions!$J:$J,ROW()-8)="",TODAY(),INDEX(Transactions!$G:$G,ROW()-8))</f>
      </c>
      <c r="F8851">
        <f>IF(INDEX(Transactions!$J:$J,ROW()-8)="",0,INDEX(Transactions!$O:$O,ROW()-8))</f>
      </c>
    </row>
    <row r="8852" spans="1:7">
      <c r="B8852">
        <f>IF(INDEX(Transactions!$J:$J,ROW()-8)="",TODAY(),INDEX(Transactions!$G:$G,ROW()-8))</f>
      </c>
      <c r="F8852">
        <f>IF(INDEX(Transactions!$J:$J,ROW()-8)="",0,INDEX(Transactions!$O:$O,ROW()-8))</f>
      </c>
    </row>
    <row r="8853" spans="1:7">
      <c r="B8853">
        <f>IF(INDEX(Transactions!$J:$J,ROW()-8)="",TODAY(),INDEX(Transactions!$G:$G,ROW()-8))</f>
      </c>
      <c r="F8853">
        <f>IF(INDEX(Transactions!$J:$J,ROW()-8)="",0,INDEX(Transactions!$O:$O,ROW()-8))</f>
      </c>
    </row>
    <row r="8854" spans="1:7">
      <c r="B8854">
        <f>IF(INDEX(Transactions!$J:$J,ROW()-8)="",TODAY(),INDEX(Transactions!$G:$G,ROW()-8))</f>
      </c>
      <c r="F8854">
        <f>IF(INDEX(Transactions!$J:$J,ROW()-8)="",0,INDEX(Transactions!$O:$O,ROW()-8))</f>
      </c>
    </row>
    <row r="8855" spans="1:7">
      <c r="B8855">
        <f>IF(INDEX(Transactions!$J:$J,ROW()-8)="",TODAY(),INDEX(Transactions!$G:$G,ROW()-8))</f>
      </c>
      <c r="F8855">
        <f>IF(INDEX(Transactions!$J:$J,ROW()-8)="",0,INDEX(Transactions!$O:$O,ROW()-8))</f>
      </c>
    </row>
    <row r="8856" spans="1:7">
      <c r="B8856">
        <f>IF(INDEX(Transactions!$J:$J,ROW()-8)="",TODAY(),INDEX(Transactions!$G:$G,ROW()-8))</f>
      </c>
      <c r="F8856">
        <f>IF(INDEX(Transactions!$J:$J,ROW()-8)="",0,INDEX(Transactions!$O:$O,ROW()-8))</f>
      </c>
    </row>
    <row r="8857" spans="1:7">
      <c r="B8857">
        <f>IF(INDEX(Transactions!$J:$J,ROW()-8)="",TODAY(),INDEX(Transactions!$G:$G,ROW()-8))</f>
      </c>
      <c r="F8857">
        <f>IF(INDEX(Transactions!$J:$J,ROW()-8)="",0,INDEX(Transactions!$O:$O,ROW()-8))</f>
      </c>
    </row>
    <row r="8858" spans="1:7">
      <c r="B8858">
        <f>IF(INDEX(Transactions!$J:$J,ROW()-8)="",TODAY(),INDEX(Transactions!$G:$G,ROW()-8))</f>
      </c>
      <c r="F8858">
        <f>IF(INDEX(Transactions!$J:$J,ROW()-8)="",0,INDEX(Transactions!$O:$O,ROW()-8))</f>
      </c>
    </row>
    <row r="8859" spans="1:7">
      <c r="B8859">
        <f>IF(INDEX(Transactions!$J:$J,ROW()-8)="",TODAY(),INDEX(Transactions!$G:$G,ROW()-8))</f>
      </c>
      <c r="F8859">
        <f>IF(INDEX(Transactions!$J:$J,ROW()-8)="",0,INDEX(Transactions!$O:$O,ROW()-8))</f>
      </c>
    </row>
    <row r="8860" spans="1:7">
      <c r="B8860">
        <f>IF(INDEX(Transactions!$J:$J,ROW()-8)="",TODAY(),INDEX(Transactions!$G:$G,ROW()-8))</f>
      </c>
      <c r="F8860">
        <f>IF(INDEX(Transactions!$J:$J,ROW()-8)="",0,INDEX(Transactions!$O:$O,ROW()-8))</f>
      </c>
    </row>
    <row r="8861" spans="1:7">
      <c r="B8861">
        <f>IF(INDEX(Transactions!$J:$J,ROW()-8)="",TODAY(),INDEX(Transactions!$G:$G,ROW()-8))</f>
      </c>
      <c r="F8861">
        <f>IF(INDEX(Transactions!$J:$J,ROW()-8)="",0,INDEX(Transactions!$O:$O,ROW()-8))</f>
      </c>
    </row>
    <row r="8862" spans="1:7">
      <c r="B8862">
        <f>IF(INDEX(Transactions!$J:$J,ROW()-8)="",TODAY(),INDEX(Transactions!$G:$G,ROW()-8))</f>
      </c>
      <c r="F8862">
        <f>IF(INDEX(Transactions!$J:$J,ROW()-8)="",0,INDEX(Transactions!$O:$O,ROW()-8))</f>
      </c>
    </row>
    <row r="8863" spans="1:7">
      <c r="B8863">
        <f>IF(INDEX(Transactions!$J:$J,ROW()-8)="",TODAY(),INDEX(Transactions!$G:$G,ROW()-8))</f>
      </c>
      <c r="F8863">
        <f>IF(INDEX(Transactions!$J:$J,ROW()-8)="",0,INDEX(Transactions!$O:$O,ROW()-8))</f>
      </c>
    </row>
    <row r="8864" spans="1:7">
      <c r="B8864">
        <f>IF(INDEX(Transactions!$J:$J,ROW()-8)="",TODAY(),INDEX(Transactions!$G:$G,ROW()-8))</f>
      </c>
      <c r="F8864">
        <f>IF(INDEX(Transactions!$J:$J,ROW()-8)="",0,INDEX(Transactions!$O:$O,ROW()-8))</f>
      </c>
    </row>
    <row r="8865" spans="1:7">
      <c r="B8865">
        <f>IF(INDEX(Transactions!$J:$J,ROW()-8)="",TODAY(),INDEX(Transactions!$G:$G,ROW()-8))</f>
      </c>
      <c r="F8865">
        <f>IF(INDEX(Transactions!$J:$J,ROW()-8)="",0,INDEX(Transactions!$O:$O,ROW()-8))</f>
      </c>
    </row>
    <row r="8866" spans="1:7">
      <c r="B8866">
        <f>IF(INDEX(Transactions!$J:$J,ROW()-8)="",TODAY(),INDEX(Transactions!$G:$G,ROW()-8))</f>
      </c>
      <c r="F8866">
        <f>IF(INDEX(Transactions!$J:$J,ROW()-8)="",0,INDEX(Transactions!$O:$O,ROW()-8))</f>
      </c>
    </row>
    <row r="8867" spans="1:7">
      <c r="B8867">
        <f>IF(INDEX(Transactions!$J:$J,ROW()-8)="",TODAY(),INDEX(Transactions!$G:$G,ROW()-8))</f>
      </c>
      <c r="F8867">
        <f>IF(INDEX(Transactions!$J:$J,ROW()-8)="",0,INDEX(Transactions!$O:$O,ROW()-8))</f>
      </c>
    </row>
    <row r="8868" spans="1:7">
      <c r="B8868">
        <f>IF(INDEX(Transactions!$J:$J,ROW()-8)="",TODAY(),INDEX(Transactions!$G:$G,ROW()-8))</f>
      </c>
      <c r="F8868">
        <f>IF(INDEX(Transactions!$J:$J,ROW()-8)="",0,INDEX(Transactions!$O:$O,ROW()-8))</f>
      </c>
    </row>
    <row r="8869" spans="1:7">
      <c r="B8869">
        <f>IF(INDEX(Transactions!$J:$J,ROW()-8)="",TODAY(),INDEX(Transactions!$G:$G,ROW()-8))</f>
      </c>
      <c r="F8869">
        <f>IF(INDEX(Transactions!$J:$J,ROW()-8)="",0,INDEX(Transactions!$O:$O,ROW()-8))</f>
      </c>
    </row>
    <row r="8870" spans="1:7">
      <c r="B8870">
        <f>IF(INDEX(Transactions!$J:$J,ROW()-8)="",TODAY(),INDEX(Transactions!$G:$G,ROW()-8))</f>
      </c>
      <c r="F8870">
        <f>IF(INDEX(Transactions!$J:$J,ROW()-8)="",0,INDEX(Transactions!$O:$O,ROW()-8))</f>
      </c>
    </row>
    <row r="8871" spans="1:7">
      <c r="B8871">
        <f>IF(INDEX(Transactions!$J:$J,ROW()-8)="",TODAY(),INDEX(Transactions!$G:$G,ROW()-8))</f>
      </c>
      <c r="F8871">
        <f>IF(INDEX(Transactions!$J:$J,ROW()-8)="",0,INDEX(Transactions!$O:$O,ROW()-8))</f>
      </c>
    </row>
    <row r="8872" spans="1:7">
      <c r="B8872">
        <f>IF(INDEX(Transactions!$J:$J,ROW()-8)="",TODAY(),INDEX(Transactions!$G:$G,ROW()-8))</f>
      </c>
      <c r="F8872">
        <f>IF(INDEX(Transactions!$J:$J,ROW()-8)="",0,INDEX(Transactions!$O:$O,ROW()-8))</f>
      </c>
    </row>
    <row r="8873" spans="1:7">
      <c r="B8873">
        <f>IF(INDEX(Transactions!$J:$J,ROW()-8)="",TODAY(),INDEX(Transactions!$G:$G,ROW()-8))</f>
      </c>
      <c r="F8873">
        <f>IF(INDEX(Transactions!$J:$J,ROW()-8)="",0,INDEX(Transactions!$O:$O,ROW()-8))</f>
      </c>
    </row>
    <row r="8874" spans="1:7">
      <c r="B8874">
        <f>IF(INDEX(Transactions!$J:$J,ROW()-8)="",TODAY(),INDEX(Transactions!$G:$G,ROW()-8))</f>
      </c>
      <c r="F8874">
        <f>IF(INDEX(Transactions!$J:$J,ROW()-8)="",0,INDEX(Transactions!$O:$O,ROW()-8))</f>
      </c>
    </row>
    <row r="8875" spans="1:7">
      <c r="B8875">
        <f>IF(INDEX(Transactions!$J:$J,ROW()-8)="",TODAY(),INDEX(Transactions!$G:$G,ROW()-8))</f>
      </c>
      <c r="F8875">
        <f>IF(INDEX(Transactions!$J:$J,ROW()-8)="",0,INDEX(Transactions!$O:$O,ROW()-8))</f>
      </c>
    </row>
    <row r="8876" spans="1:7">
      <c r="B8876">
        <f>IF(INDEX(Transactions!$J:$J,ROW()-8)="",TODAY(),INDEX(Transactions!$G:$G,ROW()-8))</f>
      </c>
      <c r="F8876">
        <f>IF(INDEX(Transactions!$J:$J,ROW()-8)="",0,INDEX(Transactions!$O:$O,ROW()-8))</f>
      </c>
    </row>
    <row r="8877" spans="1:7">
      <c r="B8877">
        <f>IF(INDEX(Transactions!$J:$J,ROW()-8)="",TODAY(),INDEX(Transactions!$G:$G,ROW()-8))</f>
      </c>
      <c r="F8877">
        <f>IF(INDEX(Transactions!$J:$J,ROW()-8)="",0,INDEX(Transactions!$O:$O,ROW()-8))</f>
      </c>
    </row>
    <row r="8878" spans="1:7">
      <c r="B8878">
        <f>IF(INDEX(Transactions!$J:$J,ROW()-8)="",TODAY(),INDEX(Transactions!$G:$G,ROW()-8))</f>
      </c>
      <c r="F8878">
        <f>IF(INDEX(Transactions!$J:$J,ROW()-8)="",0,INDEX(Transactions!$O:$O,ROW()-8))</f>
      </c>
    </row>
    <row r="8879" spans="1:7">
      <c r="B8879">
        <f>IF(INDEX(Transactions!$J:$J,ROW()-8)="",TODAY(),INDEX(Transactions!$G:$G,ROW()-8))</f>
      </c>
      <c r="F8879">
        <f>IF(INDEX(Transactions!$J:$J,ROW()-8)="",0,INDEX(Transactions!$O:$O,ROW()-8))</f>
      </c>
    </row>
    <row r="8880" spans="1:7">
      <c r="B8880">
        <f>IF(INDEX(Transactions!$J:$J,ROW()-8)="",TODAY(),INDEX(Transactions!$G:$G,ROW()-8))</f>
      </c>
      <c r="F8880">
        <f>IF(INDEX(Transactions!$J:$J,ROW()-8)="",0,INDEX(Transactions!$O:$O,ROW()-8))</f>
      </c>
    </row>
    <row r="8881" spans="1:7">
      <c r="B8881">
        <f>IF(INDEX(Transactions!$J:$J,ROW()-8)="",TODAY(),INDEX(Transactions!$G:$G,ROW()-8))</f>
      </c>
      <c r="F8881">
        <f>IF(INDEX(Transactions!$J:$J,ROW()-8)="",0,INDEX(Transactions!$O:$O,ROW()-8))</f>
      </c>
    </row>
    <row r="8882" spans="1:7">
      <c r="B8882">
        <f>IF(INDEX(Transactions!$J:$J,ROW()-8)="",TODAY(),INDEX(Transactions!$G:$G,ROW()-8))</f>
      </c>
      <c r="F8882">
        <f>IF(INDEX(Transactions!$J:$J,ROW()-8)="",0,INDEX(Transactions!$O:$O,ROW()-8))</f>
      </c>
    </row>
    <row r="8883" spans="1:7">
      <c r="B8883">
        <f>IF(INDEX(Transactions!$J:$J,ROW()-8)="",TODAY(),INDEX(Transactions!$G:$G,ROW()-8))</f>
      </c>
      <c r="F8883">
        <f>IF(INDEX(Transactions!$J:$J,ROW()-8)="",0,INDEX(Transactions!$O:$O,ROW()-8))</f>
      </c>
    </row>
    <row r="8884" spans="1:7">
      <c r="B8884">
        <f>IF(INDEX(Transactions!$J:$J,ROW()-8)="",TODAY(),INDEX(Transactions!$G:$G,ROW()-8))</f>
      </c>
      <c r="F8884">
        <f>IF(INDEX(Transactions!$J:$J,ROW()-8)="",0,INDEX(Transactions!$O:$O,ROW()-8))</f>
      </c>
    </row>
    <row r="8885" spans="1:7">
      <c r="B8885">
        <f>IF(INDEX(Transactions!$J:$J,ROW()-8)="",TODAY(),INDEX(Transactions!$G:$G,ROW()-8))</f>
      </c>
      <c r="F8885">
        <f>IF(INDEX(Transactions!$J:$J,ROW()-8)="",0,INDEX(Transactions!$O:$O,ROW()-8))</f>
      </c>
    </row>
    <row r="8886" spans="1:7">
      <c r="B8886">
        <f>IF(INDEX(Transactions!$J:$J,ROW()-8)="",TODAY(),INDEX(Transactions!$G:$G,ROW()-8))</f>
      </c>
      <c r="F8886">
        <f>IF(INDEX(Transactions!$J:$J,ROW()-8)="",0,INDEX(Transactions!$O:$O,ROW()-8))</f>
      </c>
    </row>
    <row r="8887" spans="1:7">
      <c r="B8887">
        <f>IF(INDEX(Transactions!$J:$J,ROW()-8)="",TODAY(),INDEX(Transactions!$G:$G,ROW()-8))</f>
      </c>
      <c r="F8887">
        <f>IF(INDEX(Transactions!$J:$J,ROW()-8)="",0,INDEX(Transactions!$O:$O,ROW()-8))</f>
      </c>
    </row>
    <row r="8888" spans="1:7">
      <c r="B8888">
        <f>IF(INDEX(Transactions!$J:$J,ROW()-8)="",TODAY(),INDEX(Transactions!$G:$G,ROW()-8))</f>
      </c>
      <c r="F8888">
        <f>IF(INDEX(Transactions!$J:$J,ROW()-8)="",0,INDEX(Transactions!$O:$O,ROW()-8))</f>
      </c>
    </row>
    <row r="8889" spans="1:7">
      <c r="B8889">
        <f>IF(INDEX(Transactions!$J:$J,ROW()-8)="",TODAY(),INDEX(Transactions!$G:$G,ROW()-8))</f>
      </c>
      <c r="F8889">
        <f>IF(INDEX(Transactions!$J:$J,ROW()-8)="",0,INDEX(Transactions!$O:$O,ROW()-8))</f>
      </c>
    </row>
    <row r="8890" spans="1:7">
      <c r="B8890">
        <f>IF(INDEX(Transactions!$J:$J,ROW()-8)="",TODAY(),INDEX(Transactions!$G:$G,ROW()-8))</f>
      </c>
      <c r="F8890">
        <f>IF(INDEX(Transactions!$J:$J,ROW()-8)="",0,INDEX(Transactions!$O:$O,ROW()-8))</f>
      </c>
    </row>
    <row r="8891" spans="1:7">
      <c r="B8891">
        <f>IF(INDEX(Transactions!$J:$J,ROW()-8)="",TODAY(),INDEX(Transactions!$G:$G,ROW()-8))</f>
      </c>
      <c r="F8891">
        <f>IF(INDEX(Transactions!$J:$J,ROW()-8)="",0,INDEX(Transactions!$O:$O,ROW()-8))</f>
      </c>
    </row>
    <row r="8892" spans="1:7">
      <c r="B8892">
        <f>IF(INDEX(Transactions!$J:$J,ROW()-8)="",TODAY(),INDEX(Transactions!$G:$G,ROW()-8))</f>
      </c>
      <c r="F8892">
        <f>IF(INDEX(Transactions!$J:$J,ROW()-8)="",0,INDEX(Transactions!$O:$O,ROW()-8))</f>
      </c>
    </row>
    <row r="8893" spans="1:7">
      <c r="B8893">
        <f>IF(INDEX(Transactions!$J:$J,ROW()-8)="",TODAY(),INDEX(Transactions!$G:$G,ROW()-8))</f>
      </c>
      <c r="F8893">
        <f>IF(INDEX(Transactions!$J:$J,ROW()-8)="",0,INDEX(Transactions!$O:$O,ROW()-8))</f>
      </c>
    </row>
    <row r="8894" spans="1:7">
      <c r="B8894">
        <f>IF(INDEX(Transactions!$J:$J,ROW()-8)="",TODAY(),INDEX(Transactions!$G:$G,ROW()-8))</f>
      </c>
      <c r="F8894">
        <f>IF(INDEX(Transactions!$J:$J,ROW()-8)="",0,INDEX(Transactions!$O:$O,ROW()-8))</f>
      </c>
    </row>
    <row r="8895" spans="1:7">
      <c r="B8895">
        <f>IF(INDEX(Transactions!$J:$J,ROW()-8)="",TODAY(),INDEX(Transactions!$G:$G,ROW()-8))</f>
      </c>
      <c r="F8895">
        <f>IF(INDEX(Transactions!$J:$J,ROW()-8)="",0,INDEX(Transactions!$O:$O,ROW()-8))</f>
      </c>
    </row>
    <row r="8896" spans="1:7">
      <c r="B8896">
        <f>IF(INDEX(Transactions!$J:$J,ROW()-8)="",TODAY(),INDEX(Transactions!$G:$G,ROW()-8))</f>
      </c>
      <c r="F8896">
        <f>IF(INDEX(Transactions!$J:$J,ROW()-8)="",0,INDEX(Transactions!$O:$O,ROW()-8))</f>
      </c>
    </row>
    <row r="8897" spans="1:7">
      <c r="B8897">
        <f>IF(INDEX(Transactions!$J:$J,ROW()-8)="",TODAY(),INDEX(Transactions!$G:$G,ROW()-8))</f>
      </c>
      <c r="F8897">
        <f>IF(INDEX(Transactions!$J:$J,ROW()-8)="",0,INDEX(Transactions!$O:$O,ROW()-8))</f>
      </c>
    </row>
    <row r="8898" spans="1:7">
      <c r="B8898">
        <f>IF(INDEX(Transactions!$J:$J,ROW()-8)="",TODAY(),INDEX(Transactions!$G:$G,ROW()-8))</f>
      </c>
      <c r="F8898">
        <f>IF(INDEX(Transactions!$J:$J,ROW()-8)="",0,INDEX(Transactions!$O:$O,ROW()-8))</f>
      </c>
    </row>
    <row r="8899" spans="1:7">
      <c r="B8899">
        <f>IF(INDEX(Transactions!$J:$J,ROW()-8)="",TODAY(),INDEX(Transactions!$G:$G,ROW()-8))</f>
      </c>
      <c r="F8899">
        <f>IF(INDEX(Transactions!$J:$J,ROW()-8)="",0,INDEX(Transactions!$O:$O,ROW()-8))</f>
      </c>
    </row>
    <row r="8900" spans="1:7">
      <c r="B8900">
        <f>IF(INDEX(Transactions!$J:$J,ROW()-8)="",TODAY(),INDEX(Transactions!$G:$G,ROW()-8))</f>
      </c>
      <c r="F8900">
        <f>IF(INDEX(Transactions!$J:$J,ROW()-8)="",0,INDEX(Transactions!$O:$O,ROW()-8))</f>
      </c>
    </row>
    <row r="8901" spans="1:7">
      <c r="B8901">
        <f>IF(INDEX(Transactions!$J:$J,ROW()-8)="",TODAY(),INDEX(Transactions!$G:$G,ROW()-8))</f>
      </c>
      <c r="F8901">
        <f>IF(INDEX(Transactions!$J:$J,ROW()-8)="",0,INDEX(Transactions!$O:$O,ROW()-8))</f>
      </c>
    </row>
    <row r="8902" spans="1:7">
      <c r="B8902">
        <f>IF(INDEX(Transactions!$J:$J,ROW()-8)="",TODAY(),INDEX(Transactions!$G:$G,ROW()-8))</f>
      </c>
      <c r="F8902">
        <f>IF(INDEX(Transactions!$J:$J,ROW()-8)="",0,INDEX(Transactions!$O:$O,ROW()-8))</f>
      </c>
    </row>
    <row r="8903" spans="1:7">
      <c r="B8903">
        <f>IF(INDEX(Transactions!$J:$J,ROW()-8)="",TODAY(),INDEX(Transactions!$G:$G,ROW()-8))</f>
      </c>
      <c r="F8903">
        <f>IF(INDEX(Transactions!$J:$J,ROW()-8)="",0,INDEX(Transactions!$O:$O,ROW()-8))</f>
      </c>
    </row>
    <row r="8904" spans="1:7">
      <c r="B8904">
        <f>IF(INDEX(Transactions!$J:$J,ROW()-8)="",TODAY(),INDEX(Transactions!$G:$G,ROW()-8))</f>
      </c>
      <c r="F8904">
        <f>IF(INDEX(Transactions!$J:$J,ROW()-8)="",0,INDEX(Transactions!$O:$O,ROW()-8))</f>
      </c>
    </row>
    <row r="8905" spans="1:7">
      <c r="B8905">
        <f>IF(INDEX(Transactions!$J:$J,ROW()-8)="",TODAY(),INDEX(Transactions!$G:$G,ROW()-8))</f>
      </c>
      <c r="F8905">
        <f>IF(INDEX(Transactions!$J:$J,ROW()-8)="",0,INDEX(Transactions!$O:$O,ROW()-8))</f>
      </c>
    </row>
    <row r="8906" spans="1:7">
      <c r="B8906">
        <f>IF(INDEX(Transactions!$J:$J,ROW()-8)="",TODAY(),INDEX(Transactions!$G:$G,ROW()-8))</f>
      </c>
      <c r="F8906">
        <f>IF(INDEX(Transactions!$J:$J,ROW()-8)="",0,INDEX(Transactions!$O:$O,ROW()-8))</f>
      </c>
    </row>
    <row r="8907" spans="1:7">
      <c r="B8907">
        <f>IF(INDEX(Transactions!$J:$J,ROW()-8)="",TODAY(),INDEX(Transactions!$G:$G,ROW()-8))</f>
      </c>
      <c r="F8907">
        <f>IF(INDEX(Transactions!$J:$J,ROW()-8)="",0,INDEX(Transactions!$O:$O,ROW()-8))</f>
      </c>
    </row>
    <row r="8908" spans="1:7">
      <c r="B8908">
        <f>IF(INDEX(Transactions!$J:$J,ROW()-8)="",TODAY(),INDEX(Transactions!$G:$G,ROW()-8))</f>
      </c>
      <c r="F8908">
        <f>IF(INDEX(Transactions!$J:$J,ROW()-8)="",0,INDEX(Transactions!$O:$O,ROW()-8))</f>
      </c>
    </row>
    <row r="8909" spans="1:7">
      <c r="B8909">
        <f>IF(INDEX(Transactions!$J:$J,ROW()-8)="",TODAY(),INDEX(Transactions!$G:$G,ROW()-8))</f>
      </c>
      <c r="F8909">
        <f>IF(INDEX(Transactions!$J:$J,ROW()-8)="",0,INDEX(Transactions!$O:$O,ROW()-8))</f>
      </c>
    </row>
    <row r="8910" spans="1:7">
      <c r="B8910">
        <f>IF(INDEX(Transactions!$J:$J,ROW()-8)="",TODAY(),INDEX(Transactions!$G:$G,ROW()-8))</f>
      </c>
      <c r="F8910">
        <f>IF(INDEX(Transactions!$J:$J,ROW()-8)="",0,INDEX(Transactions!$O:$O,ROW()-8))</f>
      </c>
    </row>
    <row r="8911" spans="1:7">
      <c r="B8911">
        <f>IF(INDEX(Transactions!$J:$J,ROW()-8)="",TODAY(),INDEX(Transactions!$G:$G,ROW()-8))</f>
      </c>
      <c r="F8911">
        <f>IF(INDEX(Transactions!$J:$J,ROW()-8)="",0,INDEX(Transactions!$O:$O,ROW()-8))</f>
      </c>
    </row>
    <row r="8912" spans="1:7">
      <c r="B8912">
        <f>IF(INDEX(Transactions!$J:$J,ROW()-8)="",TODAY(),INDEX(Transactions!$G:$G,ROW()-8))</f>
      </c>
      <c r="F8912">
        <f>IF(INDEX(Transactions!$J:$J,ROW()-8)="",0,INDEX(Transactions!$O:$O,ROW()-8))</f>
      </c>
    </row>
    <row r="8913" spans="1:7">
      <c r="B8913">
        <f>IF(INDEX(Transactions!$J:$J,ROW()-8)="",TODAY(),INDEX(Transactions!$G:$G,ROW()-8))</f>
      </c>
      <c r="F8913">
        <f>IF(INDEX(Transactions!$J:$J,ROW()-8)="",0,INDEX(Transactions!$O:$O,ROW()-8))</f>
      </c>
    </row>
    <row r="8914" spans="1:7">
      <c r="B8914">
        <f>IF(INDEX(Transactions!$J:$J,ROW()-8)="",TODAY(),INDEX(Transactions!$G:$G,ROW()-8))</f>
      </c>
      <c r="F8914">
        <f>IF(INDEX(Transactions!$J:$J,ROW()-8)="",0,INDEX(Transactions!$O:$O,ROW()-8))</f>
      </c>
    </row>
    <row r="8915" spans="1:7">
      <c r="B8915">
        <f>IF(INDEX(Transactions!$J:$J,ROW()-8)="",TODAY(),INDEX(Transactions!$G:$G,ROW()-8))</f>
      </c>
      <c r="F8915">
        <f>IF(INDEX(Transactions!$J:$J,ROW()-8)="",0,INDEX(Transactions!$O:$O,ROW()-8))</f>
      </c>
    </row>
    <row r="8916" spans="1:7">
      <c r="B8916">
        <f>IF(INDEX(Transactions!$J:$J,ROW()-8)="",TODAY(),INDEX(Transactions!$G:$G,ROW()-8))</f>
      </c>
      <c r="F8916">
        <f>IF(INDEX(Transactions!$J:$J,ROW()-8)="",0,INDEX(Transactions!$O:$O,ROW()-8))</f>
      </c>
    </row>
    <row r="8917" spans="1:7">
      <c r="B8917">
        <f>IF(INDEX(Transactions!$J:$J,ROW()-8)="",TODAY(),INDEX(Transactions!$G:$G,ROW()-8))</f>
      </c>
      <c r="F8917">
        <f>IF(INDEX(Transactions!$J:$J,ROW()-8)="",0,INDEX(Transactions!$O:$O,ROW()-8))</f>
      </c>
    </row>
    <row r="8918" spans="1:7">
      <c r="B8918">
        <f>IF(INDEX(Transactions!$J:$J,ROW()-8)="",TODAY(),INDEX(Transactions!$G:$G,ROW()-8))</f>
      </c>
      <c r="F8918">
        <f>IF(INDEX(Transactions!$J:$J,ROW()-8)="",0,INDEX(Transactions!$O:$O,ROW()-8))</f>
      </c>
    </row>
    <row r="8919" spans="1:7">
      <c r="B8919">
        <f>IF(INDEX(Transactions!$J:$J,ROW()-8)="",TODAY(),INDEX(Transactions!$G:$G,ROW()-8))</f>
      </c>
      <c r="F8919">
        <f>IF(INDEX(Transactions!$J:$J,ROW()-8)="",0,INDEX(Transactions!$O:$O,ROW()-8))</f>
      </c>
    </row>
    <row r="8920" spans="1:7">
      <c r="B8920">
        <f>IF(INDEX(Transactions!$J:$J,ROW()-8)="",TODAY(),INDEX(Transactions!$G:$G,ROW()-8))</f>
      </c>
      <c r="F8920">
        <f>IF(INDEX(Transactions!$J:$J,ROW()-8)="",0,INDEX(Transactions!$O:$O,ROW()-8))</f>
      </c>
    </row>
    <row r="8921" spans="1:7">
      <c r="B8921">
        <f>IF(INDEX(Transactions!$J:$J,ROW()-8)="",TODAY(),INDEX(Transactions!$G:$G,ROW()-8))</f>
      </c>
      <c r="F8921">
        <f>IF(INDEX(Transactions!$J:$J,ROW()-8)="",0,INDEX(Transactions!$O:$O,ROW()-8))</f>
      </c>
    </row>
    <row r="8922" spans="1:7">
      <c r="B8922">
        <f>IF(INDEX(Transactions!$J:$J,ROW()-8)="",TODAY(),INDEX(Transactions!$G:$G,ROW()-8))</f>
      </c>
      <c r="F8922">
        <f>IF(INDEX(Transactions!$J:$J,ROW()-8)="",0,INDEX(Transactions!$O:$O,ROW()-8))</f>
      </c>
    </row>
    <row r="8923" spans="1:7">
      <c r="B8923">
        <f>IF(INDEX(Transactions!$J:$J,ROW()-8)="",TODAY(),INDEX(Transactions!$G:$G,ROW()-8))</f>
      </c>
      <c r="F8923">
        <f>IF(INDEX(Transactions!$J:$J,ROW()-8)="",0,INDEX(Transactions!$O:$O,ROW()-8))</f>
      </c>
    </row>
    <row r="8924" spans="1:7">
      <c r="B8924">
        <f>IF(INDEX(Transactions!$J:$J,ROW()-8)="",TODAY(),INDEX(Transactions!$G:$G,ROW()-8))</f>
      </c>
      <c r="F8924">
        <f>IF(INDEX(Transactions!$J:$J,ROW()-8)="",0,INDEX(Transactions!$O:$O,ROW()-8))</f>
      </c>
    </row>
    <row r="8925" spans="1:7">
      <c r="B8925">
        <f>IF(INDEX(Transactions!$J:$J,ROW()-8)="",TODAY(),INDEX(Transactions!$G:$G,ROW()-8))</f>
      </c>
      <c r="F8925">
        <f>IF(INDEX(Transactions!$J:$J,ROW()-8)="",0,INDEX(Transactions!$O:$O,ROW()-8))</f>
      </c>
    </row>
    <row r="8926" spans="1:7">
      <c r="B8926">
        <f>IF(INDEX(Transactions!$J:$J,ROW()-8)="",TODAY(),INDEX(Transactions!$G:$G,ROW()-8))</f>
      </c>
      <c r="F8926">
        <f>IF(INDEX(Transactions!$J:$J,ROW()-8)="",0,INDEX(Transactions!$O:$O,ROW()-8))</f>
      </c>
    </row>
    <row r="8927" spans="1:7">
      <c r="B8927">
        <f>IF(INDEX(Transactions!$J:$J,ROW()-8)="",TODAY(),INDEX(Transactions!$G:$G,ROW()-8))</f>
      </c>
      <c r="F8927">
        <f>IF(INDEX(Transactions!$J:$J,ROW()-8)="",0,INDEX(Transactions!$O:$O,ROW()-8))</f>
      </c>
    </row>
    <row r="8928" spans="1:7">
      <c r="B8928">
        <f>IF(INDEX(Transactions!$J:$J,ROW()-8)="",TODAY(),INDEX(Transactions!$G:$G,ROW()-8))</f>
      </c>
      <c r="F8928">
        <f>IF(INDEX(Transactions!$J:$J,ROW()-8)="",0,INDEX(Transactions!$O:$O,ROW()-8))</f>
      </c>
    </row>
    <row r="8929" spans="1:7">
      <c r="B8929">
        <f>IF(INDEX(Transactions!$J:$J,ROW()-8)="",TODAY(),INDEX(Transactions!$G:$G,ROW()-8))</f>
      </c>
      <c r="F8929">
        <f>IF(INDEX(Transactions!$J:$J,ROW()-8)="",0,INDEX(Transactions!$O:$O,ROW()-8))</f>
      </c>
    </row>
    <row r="8930" spans="1:7">
      <c r="B8930">
        <f>IF(INDEX(Transactions!$J:$J,ROW()-8)="",TODAY(),INDEX(Transactions!$G:$G,ROW()-8))</f>
      </c>
      <c r="F8930">
        <f>IF(INDEX(Transactions!$J:$J,ROW()-8)="",0,INDEX(Transactions!$O:$O,ROW()-8))</f>
      </c>
    </row>
    <row r="8931" spans="1:7">
      <c r="B8931">
        <f>IF(INDEX(Transactions!$J:$J,ROW()-8)="",TODAY(),INDEX(Transactions!$G:$G,ROW()-8))</f>
      </c>
      <c r="F8931">
        <f>IF(INDEX(Transactions!$J:$J,ROW()-8)="",0,INDEX(Transactions!$O:$O,ROW()-8))</f>
      </c>
    </row>
    <row r="8932" spans="1:7">
      <c r="B8932">
        <f>IF(INDEX(Transactions!$J:$J,ROW()-8)="",TODAY(),INDEX(Transactions!$G:$G,ROW()-8))</f>
      </c>
      <c r="F8932">
        <f>IF(INDEX(Transactions!$J:$J,ROW()-8)="",0,INDEX(Transactions!$O:$O,ROW()-8))</f>
      </c>
    </row>
    <row r="8933" spans="1:7">
      <c r="B8933">
        <f>IF(INDEX(Transactions!$J:$J,ROW()-8)="",TODAY(),INDEX(Transactions!$G:$G,ROW()-8))</f>
      </c>
      <c r="F8933">
        <f>IF(INDEX(Transactions!$J:$J,ROW()-8)="",0,INDEX(Transactions!$O:$O,ROW()-8))</f>
      </c>
    </row>
    <row r="8934" spans="1:7">
      <c r="B8934">
        <f>IF(INDEX(Transactions!$J:$J,ROW()-8)="",TODAY(),INDEX(Transactions!$G:$G,ROW()-8))</f>
      </c>
      <c r="F8934">
        <f>IF(INDEX(Transactions!$J:$J,ROW()-8)="",0,INDEX(Transactions!$O:$O,ROW()-8))</f>
      </c>
    </row>
    <row r="8935" spans="1:7">
      <c r="B8935">
        <f>IF(INDEX(Transactions!$J:$J,ROW()-8)="",TODAY(),INDEX(Transactions!$G:$G,ROW()-8))</f>
      </c>
      <c r="F8935">
        <f>IF(INDEX(Transactions!$J:$J,ROW()-8)="",0,INDEX(Transactions!$O:$O,ROW()-8))</f>
      </c>
    </row>
    <row r="8936" spans="1:7">
      <c r="B8936">
        <f>IF(INDEX(Transactions!$J:$J,ROW()-8)="",TODAY(),INDEX(Transactions!$G:$G,ROW()-8))</f>
      </c>
      <c r="F8936">
        <f>IF(INDEX(Transactions!$J:$J,ROW()-8)="",0,INDEX(Transactions!$O:$O,ROW()-8))</f>
      </c>
    </row>
    <row r="8937" spans="1:7">
      <c r="B8937">
        <f>IF(INDEX(Transactions!$J:$J,ROW()-8)="",TODAY(),INDEX(Transactions!$G:$G,ROW()-8))</f>
      </c>
      <c r="F8937">
        <f>IF(INDEX(Transactions!$J:$J,ROW()-8)="",0,INDEX(Transactions!$O:$O,ROW()-8))</f>
      </c>
    </row>
    <row r="8938" spans="1:7">
      <c r="B8938">
        <f>IF(INDEX(Transactions!$J:$J,ROW()-8)="",TODAY(),INDEX(Transactions!$G:$G,ROW()-8))</f>
      </c>
      <c r="F8938">
        <f>IF(INDEX(Transactions!$J:$J,ROW()-8)="",0,INDEX(Transactions!$O:$O,ROW()-8))</f>
      </c>
    </row>
    <row r="8939" spans="1:7">
      <c r="B8939">
        <f>IF(INDEX(Transactions!$J:$J,ROW()-8)="",TODAY(),INDEX(Transactions!$G:$G,ROW()-8))</f>
      </c>
      <c r="F8939">
        <f>IF(INDEX(Transactions!$J:$J,ROW()-8)="",0,INDEX(Transactions!$O:$O,ROW()-8))</f>
      </c>
    </row>
    <row r="8940" spans="1:7">
      <c r="B8940">
        <f>IF(INDEX(Transactions!$J:$J,ROW()-8)="",TODAY(),INDEX(Transactions!$G:$G,ROW()-8))</f>
      </c>
      <c r="F8940">
        <f>IF(INDEX(Transactions!$J:$J,ROW()-8)="",0,INDEX(Transactions!$O:$O,ROW()-8))</f>
      </c>
    </row>
    <row r="8941" spans="1:7">
      <c r="B8941">
        <f>IF(INDEX(Transactions!$J:$J,ROW()-8)="",TODAY(),INDEX(Transactions!$G:$G,ROW()-8))</f>
      </c>
      <c r="F8941">
        <f>IF(INDEX(Transactions!$J:$J,ROW()-8)="",0,INDEX(Transactions!$O:$O,ROW()-8))</f>
      </c>
    </row>
    <row r="8942" spans="1:7">
      <c r="B8942">
        <f>IF(INDEX(Transactions!$J:$J,ROW()-8)="",TODAY(),INDEX(Transactions!$G:$G,ROW()-8))</f>
      </c>
      <c r="F8942">
        <f>IF(INDEX(Transactions!$J:$J,ROW()-8)="",0,INDEX(Transactions!$O:$O,ROW()-8))</f>
      </c>
    </row>
    <row r="8943" spans="1:7">
      <c r="B8943">
        <f>IF(INDEX(Transactions!$J:$J,ROW()-8)="",TODAY(),INDEX(Transactions!$G:$G,ROW()-8))</f>
      </c>
      <c r="F8943">
        <f>IF(INDEX(Transactions!$J:$J,ROW()-8)="",0,INDEX(Transactions!$O:$O,ROW()-8))</f>
      </c>
    </row>
    <row r="8944" spans="1:7">
      <c r="B8944">
        <f>IF(INDEX(Transactions!$J:$J,ROW()-8)="",TODAY(),INDEX(Transactions!$G:$G,ROW()-8))</f>
      </c>
      <c r="F8944">
        <f>IF(INDEX(Transactions!$J:$J,ROW()-8)="",0,INDEX(Transactions!$O:$O,ROW()-8))</f>
      </c>
    </row>
    <row r="8945" spans="1:7">
      <c r="B8945">
        <f>IF(INDEX(Transactions!$J:$J,ROW()-8)="",TODAY(),INDEX(Transactions!$G:$G,ROW()-8))</f>
      </c>
      <c r="F8945">
        <f>IF(INDEX(Transactions!$J:$J,ROW()-8)="",0,INDEX(Transactions!$O:$O,ROW()-8))</f>
      </c>
    </row>
    <row r="8946" spans="1:7">
      <c r="B8946">
        <f>IF(INDEX(Transactions!$J:$J,ROW()-8)="",TODAY(),INDEX(Transactions!$G:$G,ROW()-8))</f>
      </c>
      <c r="F8946">
        <f>IF(INDEX(Transactions!$J:$J,ROW()-8)="",0,INDEX(Transactions!$O:$O,ROW()-8))</f>
      </c>
    </row>
    <row r="8947" spans="1:7">
      <c r="B8947">
        <f>IF(INDEX(Transactions!$J:$J,ROW()-8)="",TODAY(),INDEX(Transactions!$G:$G,ROW()-8))</f>
      </c>
      <c r="F8947">
        <f>IF(INDEX(Transactions!$J:$J,ROW()-8)="",0,INDEX(Transactions!$O:$O,ROW()-8))</f>
      </c>
    </row>
    <row r="8948" spans="1:7">
      <c r="B8948">
        <f>IF(INDEX(Transactions!$J:$J,ROW()-8)="",TODAY(),INDEX(Transactions!$G:$G,ROW()-8))</f>
      </c>
      <c r="F8948">
        <f>IF(INDEX(Transactions!$J:$J,ROW()-8)="",0,INDEX(Transactions!$O:$O,ROW()-8))</f>
      </c>
    </row>
    <row r="8949" spans="1:7">
      <c r="B8949">
        <f>IF(INDEX(Transactions!$J:$J,ROW()-8)="",TODAY(),INDEX(Transactions!$G:$G,ROW()-8))</f>
      </c>
      <c r="F8949">
        <f>IF(INDEX(Transactions!$J:$J,ROW()-8)="",0,INDEX(Transactions!$O:$O,ROW()-8))</f>
      </c>
    </row>
    <row r="8950" spans="1:7">
      <c r="B8950">
        <f>IF(INDEX(Transactions!$J:$J,ROW()-8)="",TODAY(),INDEX(Transactions!$G:$G,ROW()-8))</f>
      </c>
      <c r="F8950">
        <f>IF(INDEX(Transactions!$J:$J,ROW()-8)="",0,INDEX(Transactions!$O:$O,ROW()-8))</f>
      </c>
    </row>
    <row r="8951" spans="1:7">
      <c r="B8951">
        <f>IF(INDEX(Transactions!$J:$J,ROW()-8)="",TODAY(),INDEX(Transactions!$G:$G,ROW()-8))</f>
      </c>
      <c r="F8951">
        <f>IF(INDEX(Transactions!$J:$J,ROW()-8)="",0,INDEX(Transactions!$O:$O,ROW()-8))</f>
      </c>
    </row>
    <row r="8952" spans="1:7">
      <c r="B8952">
        <f>IF(INDEX(Transactions!$J:$J,ROW()-8)="",TODAY(),INDEX(Transactions!$G:$G,ROW()-8))</f>
      </c>
      <c r="F8952">
        <f>IF(INDEX(Transactions!$J:$J,ROW()-8)="",0,INDEX(Transactions!$O:$O,ROW()-8))</f>
      </c>
    </row>
    <row r="8953" spans="1:7">
      <c r="B8953">
        <f>IF(INDEX(Transactions!$J:$J,ROW()-8)="",TODAY(),INDEX(Transactions!$G:$G,ROW()-8))</f>
      </c>
      <c r="F8953">
        <f>IF(INDEX(Transactions!$J:$J,ROW()-8)="",0,INDEX(Transactions!$O:$O,ROW()-8))</f>
      </c>
    </row>
    <row r="8954" spans="1:7">
      <c r="B8954">
        <f>IF(INDEX(Transactions!$J:$J,ROW()-8)="",TODAY(),INDEX(Transactions!$G:$G,ROW()-8))</f>
      </c>
      <c r="F8954">
        <f>IF(INDEX(Transactions!$J:$J,ROW()-8)="",0,INDEX(Transactions!$O:$O,ROW()-8))</f>
      </c>
    </row>
    <row r="8955" spans="1:7">
      <c r="B8955">
        <f>IF(INDEX(Transactions!$J:$J,ROW()-8)="",TODAY(),INDEX(Transactions!$G:$G,ROW()-8))</f>
      </c>
      <c r="F8955">
        <f>IF(INDEX(Transactions!$J:$J,ROW()-8)="",0,INDEX(Transactions!$O:$O,ROW()-8))</f>
      </c>
    </row>
    <row r="8956" spans="1:7">
      <c r="B8956">
        <f>IF(INDEX(Transactions!$J:$J,ROW()-8)="",TODAY(),INDEX(Transactions!$G:$G,ROW()-8))</f>
      </c>
      <c r="F8956">
        <f>IF(INDEX(Transactions!$J:$J,ROW()-8)="",0,INDEX(Transactions!$O:$O,ROW()-8))</f>
      </c>
    </row>
    <row r="8957" spans="1:7">
      <c r="B8957">
        <f>IF(INDEX(Transactions!$J:$J,ROW()-8)="",TODAY(),INDEX(Transactions!$G:$G,ROW()-8))</f>
      </c>
      <c r="F8957">
        <f>IF(INDEX(Transactions!$J:$J,ROW()-8)="",0,INDEX(Transactions!$O:$O,ROW()-8))</f>
      </c>
    </row>
    <row r="8958" spans="1:7">
      <c r="B8958">
        <f>IF(INDEX(Transactions!$J:$J,ROW()-8)="",TODAY(),INDEX(Transactions!$G:$G,ROW()-8))</f>
      </c>
      <c r="F8958">
        <f>IF(INDEX(Transactions!$J:$J,ROW()-8)="",0,INDEX(Transactions!$O:$O,ROW()-8))</f>
      </c>
    </row>
    <row r="8959" spans="1:7">
      <c r="B8959">
        <f>IF(INDEX(Transactions!$J:$J,ROW()-8)="",TODAY(),INDEX(Transactions!$G:$G,ROW()-8))</f>
      </c>
      <c r="F8959">
        <f>IF(INDEX(Transactions!$J:$J,ROW()-8)="",0,INDEX(Transactions!$O:$O,ROW()-8))</f>
      </c>
    </row>
    <row r="8960" spans="1:7">
      <c r="B8960">
        <f>IF(INDEX(Transactions!$J:$J,ROW()-8)="",TODAY(),INDEX(Transactions!$G:$G,ROW()-8))</f>
      </c>
      <c r="F8960">
        <f>IF(INDEX(Transactions!$J:$J,ROW()-8)="",0,INDEX(Transactions!$O:$O,ROW()-8))</f>
      </c>
    </row>
    <row r="8961" spans="1:7">
      <c r="B8961">
        <f>IF(INDEX(Transactions!$J:$J,ROW()-8)="",TODAY(),INDEX(Transactions!$G:$G,ROW()-8))</f>
      </c>
      <c r="F8961">
        <f>IF(INDEX(Transactions!$J:$J,ROW()-8)="",0,INDEX(Transactions!$O:$O,ROW()-8))</f>
      </c>
    </row>
    <row r="8962" spans="1:7">
      <c r="B8962">
        <f>IF(INDEX(Transactions!$J:$J,ROW()-8)="",TODAY(),INDEX(Transactions!$G:$G,ROW()-8))</f>
      </c>
      <c r="F8962">
        <f>IF(INDEX(Transactions!$J:$J,ROW()-8)="",0,INDEX(Transactions!$O:$O,ROW()-8))</f>
      </c>
    </row>
    <row r="8963" spans="1:7">
      <c r="B8963">
        <f>IF(INDEX(Transactions!$J:$J,ROW()-8)="",TODAY(),INDEX(Transactions!$G:$G,ROW()-8))</f>
      </c>
      <c r="F8963">
        <f>IF(INDEX(Transactions!$J:$J,ROW()-8)="",0,INDEX(Transactions!$O:$O,ROW()-8))</f>
      </c>
    </row>
    <row r="8964" spans="1:7">
      <c r="B8964">
        <f>IF(INDEX(Transactions!$J:$J,ROW()-8)="",TODAY(),INDEX(Transactions!$G:$G,ROW()-8))</f>
      </c>
      <c r="F8964">
        <f>IF(INDEX(Transactions!$J:$J,ROW()-8)="",0,INDEX(Transactions!$O:$O,ROW()-8))</f>
      </c>
    </row>
    <row r="8965" spans="1:7">
      <c r="B8965">
        <f>IF(INDEX(Transactions!$J:$J,ROW()-8)="",TODAY(),INDEX(Transactions!$G:$G,ROW()-8))</f>
      </c>
      <c r="F8965">
        <f>IF(INDEX(Transactions!$J:$J,ROW()-8)="",0,INDEX(Transactions!$O:$O,ROW()-8))</f>
      </c>
    </row>
    <row r="8966" spans="1:7">
      <c r="B8966">
        <f>IF(INDEX(Transactions!$J:$J,ROW()-8)="",TODAY(),INDEX(Transactions!$G:$G,ROW()-8))</f>
      </c>
      <c r="F8966">
        <f>IF(INDEX(Transactions!$J:$J,ROW()-8)="",0,INDEX(Transactions!$O:$O,ROW()-8))</f>
      </c>
    </row>
    <row r="8967" spans="1:7">
      <c r="B8967">
        <f>IF(INDEX(Transactions!$J:$J,ROW()-8)="",TODAY(),INDEX(Transactions!$G:$G,ROW()-8))</f>
      </c>
      <c r="F8967">
        <f>IF(INDEX(Transactions!$J:$J,ROW()-8)="",0,INDEX(Transactions!$O:$O,ROW()-8))</f>
      </c>
    </row>
    <row r="8968" spans="1:7">
      <c r="B8968">
        <f>IF(INDEX(Transactions!$J:$J,ROW()-8)="",TODAY(),INDEX(Transactions!$G:$G,ROW()-8))</f>
      </c>
      <c r="F8968">
        <f>IF(INDEX(Transactions!$J:$J,ROW()-8)="",0,INDEX(Transactions!$O:$O,ROW()-8))</f>
      </c>
    </row>
    <row r="8969" spans="1:7">
      <c r="B8969">
        <f>IF(INDEX(Transactions!$J:$J,ROW()-8)="",TODAY(),INDEX(Transactions!$G:$G,ROW()-8))</f>
      </c>
      <c r="F8969">
        <f>IF(INDEX(Transactions!$J:$J,ROW()-8)="",0,INDEX(Transactions!$O:$O,ROW()-8))</f>
      </c>
    </row>
    <row r="8970" spans="1:7">
      <c r="B8970">
        <f>IF(INDEX(Transactions!$J:$J,ROW()-8)="",TODAY(),INDEX(Transactions!$G:$G,ROW()-8))</f>
      </c>
      <c r="F8970">
        <f>IF(INDEX(Transactions!$J:$J,ROW()-8)="",0,INDEX(Transactions!$O:$O,ROW()-8))</f>
      </c>
    </row>
    <row r="8971" spans="1:7">
      <c r="B8971">
        <f>IF(INDEX(Transactions!$J:$J,ROW()-8)="",TODAY(),INDEX(Transactions!$G:$G,ROW()-8))</f>
      </c>
      <c r="F8971">
        <f>IF(INDEX(Transactions!$J:$J,ROW()-8)="",0,INDEX(Transactions!$O:$O,ROW()-8))</f>
      </c>
    </row>
    <row r="8972" spans="1:7">
      <c r="B8972">
        <f>IF(INDEX(Transactions!$J:$J,ROW()-8)="",TODAY(),INDEX(Transactions!$G:$G,ROW()-8))</f>
      </c>
      <c r="F8972">
        <f>IF(INDEX(Transactions!$J:$J,ROW()-8)="",0,INDEX(Transactions!$O:$O,ROW()-8))</f>
      </c>
    </row>
    <row r="8973" spans="1:7">
      <c r="B8973">
        <f>IF(INDEX(Transactions!$J:$J,ROW()-8)="",TODAY(),INDEX(Transactions!$G:$G,ROW()-8))</f>
      </c>
      <c r="F8973">
        <f>IF(INDEX(Transactions!$J:$J,ROW()-8)="",0,INDEX(Transactions!$O:$O,ROW()-8))</f>
      </c>
    </row>
    <row r="8974" spans="1:7">
      <c r="B8974">
        <f>IF(INDEX(Transactions!$J:$J,ROW()-8)="",TODAY(),INDEX(Transactions!$G:$G,ROW()-8))</f>
      </c>
      <c r="F8974">
        <f>IF(INDEX(Transactions!$J:$J,ROW()-8)="",0,INDEX(Transactions!$O:$O,ROW()-8))</f>
      </c>
    </row>
    <row r="8975" spans="1:7">
      <c r="B8975">
        <f>IF(INDEX(Transactions!$J:$J,ROW()-8)="",TODAY(),INDEX(Transactions!$G:$G,ROW()-8))</f>
      </c>
      <c r="F8975">
        <f>IF(INDEX(Transactions!$J:$J,ROW()-8)="",0,INDEX(Transactions!$O:$O,ROW()-8))</f>
      </c>
    </row>
    <row r="8976" spans="1:7">
      <c r="B8976">
        <f>IF(INDEX(Transactions!$J:$J,ROW()-8)="",TODAY(),INDEX(Transactions!$G:$G,ROW()-8))</f>
      </c>
      <c r="F8976">
        <f>IF(INDEX(Transactions!$J:$J,ROW()-8)="",0,INDEX(Transactions!$O:$O,ROW()-8))</f>
      </c>
    </row>
    <row r="8977" spans="1:7">
      <c r="B8977">
        <f>IF(INDEX(Transactions!$J:$J,ROW()-8)="",TODAY(),INDEX(Transactions!$G:$G,ROW()-8))</f>
      </c>
      <c r="F8977">
        <f>IF(INDEX(Transactions!$J:$J,ROW()-8)="",0,INDEX(Transactions!$O:$O,ROW()-8))</f>
      </c>
    </row>
    <row r="8978" spans="1:7">
      <c r="B8978">
        <f>IF(INDEX(Transactions!$J:$J,ROW()-8)="",TODAY(),INDEX(Transactions!$G:$G,ROW()-8))</f>
      </c>
      <c r="F8978">
        <f>IF(INDEX(Transactions!$J:$J,ROW()-8)="",0,INDEX(Transactions!$O:$O,ROW()-8))</f>
      </c>
    </row>
    <row r="8979" spans="1:7">
      <c r="B8979">
        <f>IF(INDEX(Transactions!$J:$J,ROW()-8)="",TODAY(),INDEX(Transactions!$G:$G,ROW()-8))</f>
      </c>
      <c r="F8979">
        <f>IF(INDEX(Transactions!$J:$J,ROW()-8)="",0,INDEX(Transactions!$O:$O,ROW()-8))</f>
      </c>
    </row>
    <row r="8980" spans="1:7">
      <c r="B8980">
        <f>IF(INDEX(Transactions!$J:$J,ROW()-8)="",TODAY(),INDEX(Transactions!$G:$G,ROW()-8))</f>
      </c>
      <c r="F8980">
        <f>IF(INDEX(Transactions!$J:$J,ROW()-8)="",0,INDEX(Transactions!$O:$O,ROW()-8))</f>
      </c>
    </row>
    <row r="8981" spans="1:7">
      <c r="B8981">
        <f>IF(INDEX(Transactions!$J:$J,ROW()-8)="",TODAY(),INDEX(Transactions!$G:$G,ROW()-8))</f>
      </c>
      <c r="F8981">
        <f>IF(INDEX(Transactions!$J:$J,ROW()-8)="",0,INDEX(Transactions!$O:$O,ROW()-8))</f>
      </c>
    </row>
    <row r="8982" spans="1:7">
      <c r="B8982">
        <f>IF(INDEX(Transactions!$J:$J,ROW()-8)="",TODAY(),INDEX(Transactions!$G:$G,ROW()-8))</f>
      </c>
      <c r="F8982">
        <f>IF(INDEX(Transactions!$J:$J,ROW()-8)="",0,INDEX(Transactions!$O:$O,ROW()-8))</f>
      </c>
    </row>
    <row r="8983" spans="1:7">
      <c r="B8983">
        <f>IF(INDEX(Transactions!$J:$J,ROW()-8)="",TODAY(),INDEX(Transactions!$G:$G,ROW()-8))</f>
      </c>
      <c r="F8983">
        <f>IF(INDEX(Transactions!$J:$J,ROW()-8)="",0,INDEX(Transactions!$O:$O,ROW()-8))</f>
      </c>
    </row>
    <row r="8984" spans="1:7">
      <c r="B8984">
        <f>IF(INDEX(Transactions!$J:$J,ROW()-8)="",TODAY(),INDEX(Transactions!$G:$G,ROW()-8))</f>
      </c>
      <c r="F8984">
        <f>IF(INDEX(Transactions!$J:$J,ROW()-8)="",0,INDEX(Transactions!$O:$O,ROW()-8))</f>
      </c>
    </row>
    <row r="8985" spans="1:7">
      <c r="B8985">
        <f>IF(INDEX(Transactions!$J:$J,ROW()-8)="",TODAY(),INDEX(Transactions!$G:$G,ROW()-8))</f>
      </c>
      <c r="F8985">
        <f>IF(INDEX(Transactions!$J:$J,ROW()-8)="",0,INDEX(Transactions!$O:$O,ROW()-8))</f>
      </c>
    </row>
    <row r="8986" spans="1:7">
      <c r="B8986">
        <f>IF(INDEX(Transactions!$J:$J,ROW()-8)="",TODAY(),INDEX(Transactions!$G:$G,ROW()-8))</f>
      </c>
      <c r="F8986">
        <f>IF(INDEX(Transactions!$J:$J,ROW()-8)="",0,INDEX(Transactions!$O:$O,ROW()-8))</f>
      </c>
    </row>
    <row r="8987" spans="1:7">
      <c r="B8987">
        <f>IF(INDEX(Transactions!$J:$J,ROW()-8)="",TODAY(),INDEX(Transactions!$G:$G,ROW()-8))</f>
      </c>
      <c r="F8987">
        <f>IF(INDEX(Transactions!$J:$J,ROW()-8)="",0,INDEX(Transactions!$O:$O,ROW()-8))</f>
      </c>
    </row>
    <row r="8988" spans="1:7">
      <c r="B8988">
        <f>IF(INDEX(Transactions!$J:$J,ROW()-8)="",TODAY(),INDEX(Transactions!$G:$G,ROW()-8))</f>
      </c>
      <c r="F8988">
        <f>IF(INDEX(Transactions!$J:$J,ROW()-8)="",0,INDEX(Transactions!$O:$O,ROW()-8))</f>
      </c>
    </row>
    <row r="8989" spans="1:7">
      <c r="B8989">
        <f>IF(INDEX(Transactions!$J:$J,ROW()-8)="",TODAY(),INDEX(Transactions!$G:$G,ROW()-8))</f>
      </c>
      <c r="F8989">
        <f>IF(INDEX(Transactions!$J:$J,ROW()-8)="",0,INDEX(Transactions!$O:$O,ROW()-8))</f>
      </c>
    </row>
    <row r="8990" spans="1:7">
      <c r="B8990">
        <f>IF(INDEX(Transactions!$J:$J,ROW()-8)="",TODAY(),INDEX(Transactions!$G:$G,ROW()-8))</f>
      </c>
      <c r="F8990">
        <f>IF(INDEX(Transactions!$J:$J,ROW()-8)="",0,INDEX(Transactions!$O:$O,ROW()-8))</f>
      </c>
    </row>
    <row r="8991" spans="1:7">
      <c r="B8991">
        <f>IF(INDEX(Transactions!$J:$J,ROW()-8)="",TODAY(),INDEX(Transactions!$G:$G,ROW()-8))</f>
      </c>
      <c r="F8991">
        <f>IF(INDEX(Transactions!$J:$J,ROW()-8)="",0,INDEX(Transactions!$O:$O,ROW()-8))</f>
      </c>
    </row>
    <row r="8992" spans="1:7">
      <c r="B8992">
        <f>IF(INDEX(Transactions!$J:$J,ROW()-8)="",TODAY(),INDEX(Transactions!$G:$G,ROW()-8))</f>
      </c>
      <c r="F8992">
        <f>IF(INDEX(Transactions!$J:$J,ROW()-8)="",0,INDEX(Transactions!$O:$O,ROW()-8))</f>
      </c>
    </row>
    <row r="8993" spans="1:7">
      <c r="B8993">
        <f>IF(INDEX(Transactions!$J:$J,ROW()-8)="",TODAY(),INDEX(Transactions!$G:$G,ROW()-8))</f>
      </c>
      <c r="F8993">
        <f>IF(INDEX(Transactions!$J:$J,ROW()-8)="",0,INDEX(Transactions!$O:$O,ROW()-8))</f>
      </c>
    </row>
    <row r="8994" spans="1:7">
      <c r="B8994">
        <f>IF(INDEX(Transactions!$J:$J,ROW()-8)="",TODAY(),INDEX(Transactions!$G:$G,ROW()-8))</f>
      </c>
      <c r="F8994">
        <f>IF(INDEX(Transactions!$J:$J,ROW()-8)="",0,INDEX(Transactions!$O:$O,ROW()-8))</f>
      </c>
    </row>
    <row r="8995" spans="1:7">
      <c r="B8995">
        <f>IF(INDEX(Transactions!$J:$J,ROW()-8)="",TODAY(),INDEX(Transactions!$G:$G,ROW()-8))</f>
      </c>
      <c r="F8995">
        <f>IF(INDEX(Transactions!$J:$J,ROW()-8)="",0,INDEX(Transactions!$O:$O,ROW()-8))</f>
      </c>
    </row>
    <row r="8996" spans="1:7">
      <c r="B8996">
        <f>IF(INDEX(Transactions!$J:$J,ROW()-8)="",TODAY(),INDEX(Transactions!$G:$G,ROW()-8))</f>
      </c>
      <c r="F8996">
        <f>IF(INDEX(Transactions!$J:$J,ROW()-8)="",0,INDEX(Transactions!$O:$O,ROW()-8))</f>
      </c>
    </row>
    <row r="8997" spans="1:7">
      <c r="B8997">
        <f>IF(INDEX(Transactions!$J:$J,ROW()-8)="",TODAY(),INDEX(Transactions!$G:$G,ROW()-8))</f>
      </c>
      <c r="F8997">
        <f>IF(INDEX(Transactions!$J:$J,ROW()-8)="",0,INDEX(Transactions!$O:$O,ROW()-8))</f>
      </c>
    </row>
    <row r="8998" spans="1:7">
      <c r="B8998">
        <f>IF(INDEX(Transactions!$J:$J,ROW()-8)="",TODAY(),INDEX(Transactions!$G:$G,ROW()-8))</f>
      </c>
      <c r="F8998">
        <f>IF(INDEX(Transactions!$J:$J,ROW()-8)="",0,INDEX(Transactions!$O:$O,ROW()-8))</f>
      </c>
    </row>
    <row r="8999" spans="1:7">
      <c r="B8999">
        <f>IF(INDEX(Transactions!$J:$J,ROW()-8)="",TODAY(),INDEX(Transactions!$G:$G,ROW()-8))</f>
      </c>
      <c r="F8999">
        <f>IF(INDEX(Transactions!$J:$J,ROW()-8)="",0,INDEX(Transactions!$O:$O,ROW()-8))</f>
      </c>
    </row>
    <row r="9000" spans="1:7">
      <c r="B9000">
        <f>IF(INDEX(Transactions!$J:$J,ROW()-8)="",TODAY(),INDEX(Transactions!$G:$G,ROW()-8))</f>
      </c>
      <c r="F9000">
        <f>IF(INDEX(Transactions!$J:$J,ROW()-8)="",0,INDEX(Transactions!$O:$O,ROW()-8))</f>
      </c>
    </row>
    <row r="9001" spans="1:7">
      <c r="B9001">
        <f>IF(INDEX(Transactions!$J:$J,ROW()-8)="",TODAY(),INDEX(Transactions!$G:$G,ROW()-8))</f>
      </c>
      <c r="F9001">
        <f>IF(INDEX(Transactions!$J:$J,ROW()-8)="",0,INDEX(Transactions!$O:$O,ROW()-8))</f>
      </c>
    </row>
    <row r="9002" spans="1:7">
      <c r="B9002">
        <f>IF(INDEX(Transactions!$J:$J,ROW()-8)="",TODAY(),INDEX(Transactions!$G:$G,ROW()-8))</f>
      </c>
      <c r="F9002">
        <f>IF(INDEX(Transactions!$J:$J,ROW()-8)="",0,INDEX(Transactions!$O:$O,ROW()-8))</f>
      </c>
    </row>
    <row r="9003" spans="1:7">
      <c r="B9003">
        <f>IF(INDEX(Transactions!$J:$J,ROW()-8)="",TODAY(),INDEX(Transactions!$G:$G,ROW()-8))</f>
      </c>
      <c r="F9003">
        <f>IF(INDEX(Transactions!$J:$J,ROW()-8)="",0,INDEX(Transactions!$O:$O,ROW()-8))</f>
      </c>
    </row>
    <row r="9004" spans="1:7">
      <c r="B9004">
        <f>IF(INDEX(Transactions!$J:$J,ROW()-8)="",TODAY(),INDEX(Transactions!$G:$G,ROW()-8))</f>
      </c>
      <c r="F9004">
        <f>IF(INDEX(Transactions!$J:$J,ROW()-8)="",0,INDEX(Transactions!$O:$O,ROW()-8))</f>
      </c>
    </row>
    <row r="9005" spans="1:7">
      <c r="B9005">
        <f>IF(INDEX(Transactions!$J:$J,ROW()-8)="",TODAY(),INDEX(Transactions!$G:$G,ROW()-8))</f>
      </c>
      <c r="F9005">
        <f>IF(INDEX(Transactions!$J:$J,ROW()-8)="",0,INDEX(Transactions!$O:$O,ROW()-8))</f>
      </c>
    </row>
    <row r="9006" spans="1:7">
      <c r="B9006">
        <f>IF(INDEX(Transactions!$J:$J,ROW()-8)="",TODAY(),INDEX(Transactions!$G:$G,ROW()-8))</f>
      </c>
      <c r="F9006">
        <f>IF(INDEX(Transactions!$J:$J,ROW()-8)="",0,INDEX(Transactions!$O:$O,ROW()-8))</f>
      </c>
    </row>
    <row r="9007" spans="1:7">
      <c r="B9007">
        <f>IF(INDEX(Transactions!$J:$J,ROW()-8)="",TODAY(),INDEX(Transactions!$G:$G,ROW()-8))</f>
      </c>
      <c r="F9007">
        <f>IF(INDEX(Transactions!$J:$J,ROW()-8)="",0,INDEX(Transactions!$O:$O,ROW()-8))</f>
      </c>
    </row>
    <row r="9008" spans="1:7">
      <c r="B9008">
        <f>IF(INDEX(Transactions!$J:$J,ROW()-8)="",TODAY(),INDEX(Transactions!$G:$G,ROW()-8))</f>
      </c>
      <c r="F9008">
        <f>IF(INDEX(Transactions!$J:$J,ROW()-8)="",0,INDEX(Transactions!$O:$O,ROW()-8))</f>
      </c>
    </row>
    <row r="9009" spans="1:7">
      <c r="B9009">
        <f>IF(INDEX(Transactions!$J:$J,ROW()-8)="",TODAY(),INDEX(Transactions!$G:$G,ROW()-8))</f>
      </c>
      <c r="F9009">
        <f>IF(INDEX(Transactions!$J:$J,ROW()-8)="",0,INDEX(Transactions!$O:$O,ROW()-8))</f>
      </c>
    </row>
    <row r="9010" spans="1:7">
      <c r="B9010">
        <f>IF(INDEX(Transactions!$J:$J,ROW()-8)="",TODAY(),INDEX(Transactions!$G:$G,ROW()-8))</f>
      </c>
      <c r="F9010">
        <f>IF(INDEX(Transactions!$J:$J,ROW()-8)="",0,INDEX(Transactions!$O:$O,ROW()-8))</f>
      </c>
    </row>
    <row r="9011" spans="1:7">
      <c r="B9011">
        <f>IF(INDEX(Transactions!$J:$J,ROW()-8)="",TODAY(),INDEX(Transactions!$G:$G,ROW()-8))</f>
      </c>
      <c r="F9011">
        <f>IF(INDEX(Transactions!$J:$J,ROW()-8)="",0,INDEX(Transactions!$O:$O,ROW()-8))</f>
      </c>
    </row>
    <row r="9012" spans="1:7">
      <c r="B9012">
        <f>IF(INDEX(Transactions!$J:$J,ROW()-8)="",TODAY(),INDEX(Transactions!$G:$G,ROW()-8))</f>
      </c>
      <c r="F9012">
        <f>IF(INDEX(Transactions!$J:$J,ROW()-8)="",0,INDEX(Transactions!$O:$O,ROW()-8))</f>
      </c>
    </row>
    <row r="9013" spans="1:7">
      <c r="B9013">
        <f>IF(INDEX(Transactions!$J:$J,ROW()-8)="",TODAY(),INDEX(Transactions!$G:$G,ROW()-8))</f>
      </c>
      <c r="F9013">
        <f>IF(INDEX(Transactions!$J:$J,ROW()-8)="",0,INDEX(Transactions!$O:$O,ROW()-8))</f>
      </c>
    </row>
    <row r="9014" spans="1:7">
      <c r="B9014">
        <f>IF(INDEX(Transactions!$J:$J,ROW()-8)="",TODAY(),INDEX(Transactions!$G:$G,ROW()-8))</f>
      </c>
      <c r="F9014">
        <f>IF(INDEX(Transactions!$J:$J,ROW()-8)="",0,INDEX(Transactions!$O:$O,ROW()-8))</f>
      </c>
    </row>
    <row r="9015" spans="1:7">
      <c r="B9015">
        <f>IF(INDEX(Transactions!$J:$J,ROW()-8)="",TODAY(),INDEX(Transactions!$G:$G,ROW()-8))</f>
      </c>
      <c r="F9015">
        <f>IF(INDEX(Transactions!$J:$J,ROW()-8)="",0,INDEX(Transactions!$O:$O,ROW()-8))</f>
      </c>
    </row>
    <row r="9016" spans="1:7">
      <c r="B9016">
        <f>IF(INDEX(Transactions!$J:$J,ROW()-8)="",TODAY(),INDEX(Transactions!$G:$G,ROW()-8))</f>
      </c>
      <c r="F9016">
        <f>IF(INDEX(Transactions!$J:$J,ROW()-8)="",0,INDEX(Transactions!$O:$O,ROW()-8))</f>
      </c>
    </row>
    <row r="9017" spans="1:7">
      <c r="B9017">
        <f>IF(INDEX(Transactions!$J:$J,ROW()-8)="",TODAY(),INDEX(Transactions!$G:$G,ROW()-8))</f>
      </c>
      <c r="F9017">
        <f>IF(INDEX(Transactions!$J:$J,ROW()-8)="",0,INDEX(Transactions!$O:$O,ROW()-8))</f>
      </c>
    </row>
    <row r="9018" spans="1:7">
      <c r="B9018">
        <f>IF(INDEX(Transactions!$J:$J,ROW()-8)="",TODAY(),INDEX(Transactions!$G:$G,ROW()-8))</f>
      </c>
      <c r="F9018">
        <f>IF(INDEX(Transactions!$J:$J,ROW()-8)="",0,INDEX(Transactions!$O:$O,ROW()-8))</f>
      </c>
    </row>
    <row r="9019" spans="1:7">
      <c r="B9019">
        <f>IF(INDEX(Transactions!$J:$J,ROW()-8)="",TODAY(),INDEX(Transactions!$G:$G,ROW()-8))</f>
      </c>
      <c r="F9019">
        <f>IF(INDEX(Transactions!$J:$J,ROW()-8)="",0,INDEX(Transactions!$O:$O,ROW()-8))</f>
      </c>
    </row>
    <row r="9020" spans="1:7">
      <c r="B9020">
        <f>IF(INDEX(Transactions!$J:$J,ROW()-8)="",TODAY(),INDEX(Transactions!$G:$G,ROW()-8))</f>
      </c>
      <c r="F9020">
        <f>IF(INDEX(Transactions!$J:$J,ROW()-8)="",0,INDEX(Transactions!$O:$O,ROW()-8))</f>
      </c>
    </row>
    <row r="9021" spans="1:7">
      <c r="B9021">
        <f>IF(INDEX(Transactions!$J:$J,ROW()-8)="",TODAY(),INDEX(Transactions!$G:$G,ROW()-8))</f>
      </c>
      <c r="F9021">
        <f>IF(INDEX(Transactions!$J:$J,ROW()-8)="",0,INDEX(Transactions!$O:$O,ROW()-8))</f>
      </c>
    </row>
    <row r="9022" spans="1:7">
      <c r="B9022">
        <f>IF(INDEX(Transactions!$J:$J,ROW()-8)="",TODAY(),INDEX(Transactions!$G:$G,ROW()-8))</f>
      </c>
      <c r="F9022">
        <f>IF(INDEX(Transactions!$J:$J,ROW()-8)="",0,INDEX(Transactions!$O:$O,ROW()-8))</f>
      </c>
    </row>
    <row r="9023" spans="1:7">
      <c r="B9023">
        <f>IF(INDEX(Transactions!$J:$J,ROW()-8)="",TODAY(),INDEX(Transactions!$G:$G,ROW()-8))</f>
      </c>
      <c r="F9023">
        <f>IF(INDEX(Transactions!$J:$J,ROW()-8)="",0,INDEX(Transactions!$O:$O,ROW()-8))</f>
      </c>
    </row>
    <row r="9024" spans="1:7">
      <c r="B9024">
        <f>IF(INDEX(Transactions!$J:$J,ROW()-8)="",TODAY(),INDEX(Transactions!$G:$G,ROW()-8))</f>
      </c>
      <c r="F9024">
        <f>IF(INDEX(Transactions!$J:$J,ROW()-8)="",0,INDEX(Transactions!$O:$O,ROW()-8))</f>
      </c>
    </row>
    <row r="9025" spans="1:7">
      <c r="B9025">
        <f>IF(INDEX(Transactions!$J:$J,ROW()-8)="",TODAY(),INDEX(Transactions!$G:$G,ROW()-8))</f>
      </c>
      <c r="F9025">
        <f>IF(INDEX(Transactions!$J:$J,ROW()-8)="",0,INDEX(Transactions!$O:$O,ROW()-8))</f>
      </c>
    </row>
    <row r="9026" spans="1:7">
      <c r="B9026">
        <f>IF(INDEX(Transactions!$J:$J,ROW()-8)="",TODAY(),INDEX(Transactions!$G:$G,ROW()-8))</f>
      </c>
      <c r="F9026">
        <f>IF(INDEX(Transactions!$J:$J,ROW()-8)="",0,INDEX(Transactions!$O:$O,ROW()-8))</f>
      </c>
    </row>
    <row r="9027" spans="1:7">
      <c r="B9027">
        <f>IF(INDEX(Transactions!$J:$J,ROW()-8)="",TODAY(),INDEX(Transactions!$G:$G,ROW()-8))</f>
      </c>
      <c r="F9027">
        <f>IF(INDEX(Transactions!$J:$J,ROW()-8)="",0,INDEX(Transactions!$O:$O,ROW()-8))</f>
      </c>
    </row>
    <row r="9028" spans="1:7">
      <c r="B9028">
        <f>IF(INDEX(Transactions!$J:$J,ROW()-8)="",TODAY(),INDEX(Transactions!$G:$G,ROW()-8))</f>
      </c>
      <c r="F9028">
        <f>IF(INDEX(Transactions!$J:$J,ROW()-8)="",0,INDEX(Transactions!$O:$O,ROW()-8))</f>
      </c>
    </row>
    <row r="9029" spans="1:7">
      <c r="B9029">
        <f>IF(INDEX(Transactions!$J:$J,ROW()-8)="",TODAY(),INDEX(Transactions!$G:$G,ROW()-8))</f>
      </c>
      <c r="F9029">
        <f>IF(INDEX(Transactions!$J:$J,ROW()-8)="",0,INDEX(Transactions!$O:$O,ROW()-8))</f>
      </c>
    </row>
    <row r="9030" spans="1:7">
      <c r="B9030">
        <f>IF(INDEX(Transactions!$J:$J,ROW()-8)="",TODAY(),INDEX(Transactions!$G:$G,ROW()-8))</f>
      </c>
      <c r="F9030">
        <f>IF(INDEX(Transactions!$J:$J,ROW()-8)="",0,INDEX(Transactions!$O:$O,ROW()-8))</f>
      </c>
    </row>
    <row r="9031" spans="1:7">
      <c r="B9031">
        <f>IF(INDEX(Transactions!$J:$J,ROW()-8)="",TODAY(),INDEX(Transactions!$G:$G,ROW()-8))</f>
      </c>
      <c r="F9031">
        <f>IF(INDEX(Transactions!$J:$J,ROW()-8)="",0,INDEX(Transactions!$O:$O,ROW()-8))</f>
      </c>
    </row>
    <row r="9032" spans="1:7">
      <c r="B9032">
        <f>IF(INDEX(Transactions!$J:$J,ROW()-8)="",TODAY(),INDEX(Transactions!$G:$G,ROW()-8))</f>
      </c>
      <c r="F9032">
        <f>IF(INDEX(Transactions!$J:$J,ROW()-8)="",0,INDEX(Transactions!$O:$O,ROW()-8))</f>
      </c>
    </row>
    <row r="9033" spans="1:7">
      <c r="B9033">
        <f>IF(INDEX(Transactions!$J:$J,ROW()-8)="",TODAY(),INDEX(Transactions!$G:$G,ROW()-8))</f>
      </c>
      <c r="F9033">
        <f>IF(INDEX(Transactions!$J:$J,ROW()-8)="",0,INDEX(Transactions!$O:$O,ROW()-8))</f>
      </c>
    </row>
    <row r="9034" spans="1:7">
      <c r="B9034">
        <f>IF(INDEX(Transactions!$J:$J,ROW()-8)="",TODAY(),INDEX(Transactions!$G:$G,ROW()-8))</f>
      </c>
      <c r="F9034">
        <f>IF(INDEX(Transactions!$J:$J,ROW()-8)="",0,INDEX(Transactions!$O:$O,ROW()-8))</f>
      </c>
    </row>
    <row r="9035" spans="1:7">
      <c r="B9035">
        <f>IF(INDEX(Transactions!$J:$J,ROW()-8)="",TODAY(),INDEX(Transactions!$G:$G,ROW()-8))</f>
      </c>
      <c r="F9035">
        <f>IF(INDEX(Transactions!$J:$J,ROW()-8)="",0,INDEX(Transactions!$O:$O,ROW()-8))</f>
      </c>
    </row>
    <row r="9036" spans="1:7">
      <c r="B9036">
        <f>IF(INDEX(Transactions!$J:$J,ROW()-8)="",TODAY(),INDEX(Transactions!$G:$G,ROW()-8))</f>
      </c>
      <c r="F9036">
        <f>IF(INDEX(Transactions!$J:$J,ROW()-8)="",0,INDEX(Transactions!$O:$O,ROW()-8))</f>
      </c>
    </row>
    <row r="9037" spans="1:7">
      <c r="B9037">
        <f>IF(INDEX(Transactions!$J:$J,ROW()-8)="",TODAY(),INDEX(Transactions!$G:$G,ROW()-8))</f>
      </c>
      <c r="F9037">
        <f>IF(INDEX(Transactions!$J:$J,ROW()-8)="",0,INDEX(Transactions!$O:$O,ROW()-8))</f>
      </c>
    </row>
    <row r="9038" spans="1:7">
      <c r="B9038">
        <f>IF(INDEX(Transactions!$J:$J,ROW()-8)="",TODAY(),INDEX(Transactions!$G:$G,ROW()-8))</f>
      </c>
      <c r="F9038">
        <f>IF(INDEX(Transactions!$J:$J,ROW()-8)="",0,INDEX(Transactions!$O:$O,ROW()-8))</f>
      </c>
    </row>
    <row r="9039" spans="1:7">
      <c r="B9039">
        <f>IF(INDEX(Transactions!$J:$J,ROW()-8)="",TODAY(),INDEX(Transactions!$G:$G,ROW()-8))</f>
      </c>
      <c r="F9039">
        <f>IF(INDEX(Transactions!$J:$J,ROW()-8)="",0,INDEX(Transactions!$O:$O,ROW()-8))</f>
      </c>
    </row>
    <row r="9040" spans="1:7">
      <c r="B9040">
        <f>IF(INDEX(Transactions!$J:$J,ROW()-8)="",TODAY(),INDEX(Transactions!$G:$G,ROW()-8))</f>
      </c>
      <c r="F9040">
        <f>IF(INDEX(Transactions!$J:$J,ROW()-8)="",0,INDEX(Transactions!$O:$O,ROW()-8))</f>
      </c>
    </row>
    <row r="9041" spans="1:7">
      <c r="B9041">
        <f>IF(INDEX(Transactions!$J:$J,ROW()-8)="",TODAY(),INDEX(Transactions!$G:$G,ROW()-8))</f>
      </c>
      <c r="F9041">
        <f>IF(INDEX(Transactions!$J:$J,ROW()-8)="",0,INDEX(Transactions!$O:$O,ROW()-8))</f>
      </c>
    </row>
    <row r="9042" spans="1:7">
      <c r="B9042">
        <f>IF(INDEX(Transactions!$J:$J,ROW()-8)="",TODAY(),INDEX(Transactions!$G:$G,ROW()-8))</f>
      </c>
      <c r="F9042">
        <f>IF(INDEX(Transactions!$J:$J,ROW()-8)="",0,INDEX(Transactions!$O:$O,ROW()-8))</f>
      </c>
    </row>
    <row r="9043" spans="1:7">
      <c r="B9043">
        <f>IF(INDEX(Transactions!$J:$J,ROW()-8)="",TODAY(),INDEX(Transactions!$G:$G,ROW()-8))</f>
      </c>
      <c r="F9043">
        <f>IF(INDEX(Transactions!$J:$J,ROW()-8)="",0,INDEX(Transactions!$O:$O,ROW()-8))</f>
      </c>
    </row>
    <row r="9044" spans="1:7">
      <c r="B9044">
        <f>IF(INDEX(Transactions!$J:$J,ROW()-8)="",TODAY(),INDEX(Transactions!$G:$G,ROW()-8))</f>
      </c>
      <c r="F9044">
        <f>IF(INDEX(Transactions!$J:$J,ROW()-8)="",0,INDEX(Transactions!$O:$O,ROW()-8))</f>
      </c>
    </row>
    <row r="9045" spans="1:7">
      <c r="B9045">
        <f>IF(INDEX(Transactions!$J:$J,ROW()-8)="",TODAY(),INDEX(Transactions!$G:$G,ROW()-8))</f>
      </c>
      <c r="F9045">
        <f>IF(INDEX(Transactions!$J:$J,ROW()-8)="",0,INDEX(Transactions!$O:$O,ROW()-8))</f>
      </c>
    </row>
    <row r="9046" spans="1:7">
      <c r="B9046">
        <f>IF(INDEX(Transactions!$J:$J,ROW()-8)="",TODAY(),INDEX(Transactions!$G:$G,ROW()-8))</f>
      </c>
      <c r="F9046">
        <f>IF(INDEX(Transactions!$J:$J,ROW()-8)="",0,INDEX(Transactions!$O:$O,ROW()-8))</f>
      </c>
    </row>
    <row r="9047" spans="1:7">
      <c r="B9047">
        <f>IF(INDEX(Transactions!$J:$J,ROW()-8)="",TODAY(),INDEX(Transactions!$G:$G,ROW()-8))</f>
      </c>
      <c r="F9047">
        <f>IF(INDEX(Transactions!$J:$J,ROW()-8)="",0,INDEX(Transactions!$O:$O,ROW()-8))</f>
      </c>
    </row>
    <row r="9048" spans="1:7">
      <c r="B9048">
        <f>IF(INDEX(Transactions!$J:$J,ROW()-8)="",TODAY(),INDEX(Transactions!$G:$G,ROW()-8))</f>
      </c>
      <c r="F9048">
        <f>IF(INDEX(Transactions!$J:$J,ROW()-8)="",0,INDEX(Transactions!$O:$O,ROW()-8))</f>
      </c>
    </row>
    <row r="9049" spans="1:7">
      <c r="B9049">
        <f>IF(INDEX(Transactions!$J:$J,ROW()-8)="",TODAY(),INDEX(Transactions!$G:$G,ROW()-8))</f>
      </c>
      <c r="F9049">
        <f>IF(INDEX(Transactions!$J:$J,ROW()-8)="",0,INDEX(Transactions!$O:$O,ROW()-8))</f>
      </c>
    </row>
    <row r="9050" spans="1:7">
      <c r="B9050">
        <f>IF(INDEX(Transactions!$J:$J,ROW()-8)="",TODAY(),INDEX(Transactions!$G:$G,ROW()-8))</f>
      </c>
      <c r="F9050">
        <f>IF(INDEX(Transactions!$J:$J,ROW()-8)="",0,INDEX(Transactions!$O:$O,ROW()-8))</f>
      </c>
    </row>
    <row r="9051" spans="1:7">
      <c r="B9051">
        <f>IF(INDEX(Transactions!$J:$J,ROW()-8)="",TODAY(),INDEX(Transactions!$G:$G,ROW()-8))</f>
      </c>
      <c r="F9051">
        <f>IF(INDEX(Transactions!$J:$J,ROW()-8)="",0,INDEX(Transactions!$O:$O,ROW()-8))</f>
      </c>
    </row>
    <row r="9052" spans="1:7">
      <c r="B9052">
        <f>IF(INDEX(Transactions!$J:$J,ROW()-8)="",TODAY(),INDEX(Transactions!$G:$G,ROW()-8))</f>
      </c>
      <c r="F9052">
        <f>IF(INDEX(Transactions!$J:$J,ROW()-8)="",0,INDEX(Transactions!$O:$O,ROW()-8))</f>
      </c>
    </row>
    <row r="9053" spans="1:7">
      <c r="B9053">
        <f>IF(INDEX(Transactions!$J:$J,ROW()-8)="",TODAY(),INDEX(Transactions!$G:$G,ROW()-8))</f>
      </c>
      <c r="F9053">
        <f>IF(INDEX(Transactions!$J:$J,ROW()-8)="",0,INDEX(Transactions!$O:$O,ROW()-8))</f>
      </c>
    </row>
    <row r="9054" spans="1:7">
      <c r="B9054">
        <f>IF(INDEX(Transactions!$J:$J,ROW()-8)="",TODAY(),INDEX(Transactions!$G:$G,ROW()-8))</f>
      </c>
      <c r="F9054">
        <f>IF(INDEX(Transactions!$J:$J,ROW()-8)="",0,INDEX(Transactions!$O:$O,ROW()-8))</f>
      </c>
    </row>
    <row r="9055" spans="1:7">
      <c r="B9055">
        <f>IF(INDEX(Transactions!$J:$J,ROW()-8)="",TODAY(),INDEX(Transactions!$G:$G,ROW()-8))</f>
      </c>
      <c r="F9055">
        <f>IF(INDEX(Transactions!$J:$J,ROW()-8)="",0,INDEX(Transactions!$O:$O,ROW()-8))</f>
      </c>
    </row>
    <row r="9056" spans="1:7">
      <c r="B9056">
        <f>IF(INDEX(Transactions!$J:$J,ROW()-8)="",TODAY(),INDEX(Transactions!$G:$G,ROW()-8))</f>
      </c>
      <c r="F9056">
        <f>IF(INDEX(Transactions!$J:$J,ROW()-8)="",0,INDEX(Transactions!$O:$O,ROW()-8))</f>
      </c>
    </row>
    <row r="9057" spans="1:7">
      <c r="B9057">
        <f>IF(INDEX(Transactions!$J:$J,ROW()-8)="",TODAY(),INDEX(Transactions!$G:$G,ROW()-8))</f>
      </c>
      <c r="F9057">
        <f>IF(INDEX(Transactions!$J:$J,ROW()-8)="",0,INDEX(Transactions!$O:$O,ROW()-8))</f>
      </c>
    </row>
    <row r="9058" spans="1:7">
      <c r="B9058">
        <f>IF(INDEX(Transactions!$J:$J,ROW()-8)="",TODAY(),INDEX(Transactions!$G:$G,ROW()-8))</f>
      </c>
      <c r="F9058">
        <f>IF(INDEX(Transactions!$J:$J,ROW()-8)="",0,INDEX(Transactions!$O:$O,ROW()-8))</f>
      </c>
    </row>
    <row r="9059" spans="1:7">
      <c r="B9059">
        <f>IF(INDEX(Transactions!$J:$J,ROW()-8)="",TODAY(),INDEX(Transactions!$G:$G,ROW()-8))</f>
      </c>
      <c r="F9059">
        <f>IF(INDEX(Transactions!$J:$J,ROW()-8)="",0,INDEX(Transactions!$O:$O,ROW()-8))</f>
      </c>
    </row>
    <row r="9060" spans="1:7">
      <c r="B9060">
        <f>IF(INDEX(Transactions!$J:$J,ROW()-8)="",TODAY(),INDEX(Transactions!$G:$G,ROW()-8))</f>
      </c>
      <c r="F9060">
        <f>IF(INDEX(Transactions!$J:$J,ROW()-8)="",0,INDEX(Transactions!$O:$O,ROW()-8))</f>
      </c>
    </row>
    <row r="9061" spans="1:7">
      <c r="B9061">
        <f>IF(INDEX(Transactions!$J:$J,ROW()-8)="",TODAY(),INDEX(Transactions!$G:$G,ROW()-8))</f>
      </c>
      <c r="F9061">
        <f>IF(INDEX(Transactions!$J:$J,ROW()-8)="",0,INDEX(Transactions!$O:$O,ROW()-8))</f>
      </c>
    </row>
    <row r="9062" spans="1:7">
      <c r="B9062">
        <f>IF(INDEX(Transactions!$J:$J,ROW()-8)="",TODAY(),INDEX(Transactions!$G:$G,ROW()-8))</f>
      </c>
      <c r="F9062">
        <f>IF(INDEX(Transactions!$J:$J,ROW()-8)="",0,INDEX(Transactions!$O:$O,ROW()-8))</f>
      </c>
    </row>
    <row r="9063" spans="1:7">
      <c r="B9063">
        <f>IF(INDEX(Transactions!$J:$J,ROW()-8)="",TODAY(),INDEX(Transactions!$G:$G,ROW()-8))</f>
      </c>
      <c r="F9063">
        <f>IF(INDEX(Transactions!$J:$J,ROW()-8)="",0,INDEX(Transactions!$O:$O,ROW()-8))</f>
      </c>
    </row>
    <row r="9064" spans="1:7">
      <c r="B9064">
        <f>IF(INDEX(Transactions!$J:$J,ROW()-8)="",TODAY(),INDEX(Transactions!$G:$G,ROW()-8))</f>
      </c>
      <c r="F9064">
        <f>IF(INDEX(Transactions!$J:$J,ROW()-8)="",0,INDEX(Transactions!$O:$O,ROW()-8))</f>
      </c>
    </row>
    <row r="9065" spans="1:7">
      <c r="B9065">
        <f>IF(INDEX(Transactions!$J:$J,ROW()-8)="",TODAY(),INDEX(Transactions!$G:$G,ROW()-8))</f>
      </c>
      <c r="F9065">
        <f>IF(INDEX(Transactions!$J:$J,ROW()-8)="",0,INDEX(Transactions!$O:$O,ROW()-8))</f>
      </c>
    </row>
    <row r="9066" spans="1:7">
      <c r="B9066">
        <f>IF(INDEX(Transactions!$J:$J,ROW()-8)="",TODAY(),INDEX(Transactions!$G:$G,ROW()-8))</f>
      </c>
      <c r="F9066">
        <f>IF(INDEX(Transactions!$J:$J,ROW()-8)="",0,INDEX(Transactions!$O:$O,ROW()-8))</f>
      </c>
    </row>
    <row r="9067" spans="1:7">
      <c r="B9067">
        <f>IF(INDEX(Transactions!$J:$J,ROW()-8)="",TODAY(),INDEX(Transactions!$G:$G,ROW()-8))</f>
      </c>
      <c r="F9067">
        <f>IF(INDEX(Transactions!$J:$J,ROW()-8)="",0,INDEX(Transactions!$O:$O,ROW()-8))</f>
      </c>
    </row>
    <row r="9068" spans="1:7">
      <c r="B9068">
        <f>IF(INDEX(Transactions!$J:$J,ROW()-8)="",TODAY(),INDEX(Transactions!$G:$G,ROW()-8))</f>
      </c>
      <c r="F9068">
        <f>IF(INDEX(Transactions!$J:$J,ROW()-8)="",0,INDEX(Transactions!$O:$O,ROW()-8))</f>
      </c>
    </row>
    <row r="9069" spans="1:7">
      <c r="B9069">
        <f>IF(INDEX(Transactions!$J:$J,ROW()-8)="",TODAY(),INDEX(Transactions!$G:$G,ROW()-8))</f>
      </c>
      <c r="F9069">
        <f>IF(INDEX(Transactions!$J:$J,ROW()-8)="",0,INDEX(Transactions!$O:$O,ROW()-8))</f>
      </c>
    </row>
    <row r="9070" spans="1:7">
      <c r="B9070">
        <f>IF(INDEX(Transactions!$J:$J,ROW()-8)="",TODAY(),INDEX(Transactions!$G:$G,ROW()-8))</f>
      </c>
      <c r="F9070">
        <f>IF(INDEX(Transactions!$J:$J,ROW()-8)="",0,INDEX(Transactions!$O:$O,ROW()-8))</f>
      </c>
    </row>
    <row r="9071" spans="1:7">
      <c r="B9071">
        <f>IF(INDEX(Transactions!$J:$J,ROW()-8)="",TODAY(),INDEX(Transactions!$G:$G,ROW()-8))</f>
      </c>
      <c r="F9071">
        <f>IF(INDEX(Transactions!$J:$J,ROW()-8)="",0,INDEX(Transactions!$O:$O,ROW()-8))</f>
      </c>
    </row>
    <row r="9072" spans="1:7">
      <c r="B9072">
        <f>IF(INDEX(Transactions!$J:$J,ROW()-8)="",TODAY(),INDEX(Transactions!$G:$G,ROW()-8))</f>
      </c>
      <c r="F9072">
        <f>IF(INDEX(Transactions!$J:$J,ROW()-8)="",0,INDEX(Transactions!$O:$O,ROW()-8))</f>
      </c>
    </row>
    <row r="9073" spans="1:7">
      <c r="B9073">
        <f>IF(INDEX(Transactions!$J:$J,ROW()-8)="",TODAY(),INDEX(Transactions!$G:$G,ROW()-8))</f>
      </c>
      <c r="F9073">
        <f>IF(INDEX(Transactions!$J:$J,ROW()-8)="",0,INDEX(Transactions!$O:$O,ROW()-8))</f>
      </c>
    </row>
    <row r="9074" spans="1:7">
      <c r="B9074">
        <f>IF(INDEX(Transactions!$J:$J,ROW()-8)="",TODAY(),INDEX(Transactions!$G:$G,ROW()-8))</f>
      </c>
      <c r="F9074">
        <f>IF(INDEX(Transactions!$J:$J,ROW()-8)="",0,INDEX(Transactions!$O:$O,ROW()-8))</f>
      </c>
    </row>
    <row r="9075" spans="1:7">
      <c r="B9075">
        <f>IF(INDEX(Transactions!$J:$J,ROW()-8)="",TODAY(),INDEX(Transactions!$G:$G,ROW()-8))</f>
      </c>
      <c r="F9075">
        <f>IF(INDEX(Transactions!$J:$J,ROW()-8)="",0,INDEX(Transactions!$O:$O,ROW()-8))</f>
      </c>
    </row>
    <row r="9076" spans="1:7">
      <c r="B9076">
        <f>IF(INDEX(Transactions!$J:$J,ROW()-8)="",TODAY(),INDEX(Transactions!$G:$G,ROW()-8))</f>
      </c>
      <c r="F9076">
        <f>IF(INDEX(Transactions!$J:$J,ROW()-8)="",0,INDEX(Transactions!$O:$O,ROW()-8))</f>
      </c>
    </row>
    <row r="9077" spans="1:7">
      <c r="B9077">
        <f>IF(INDEX(Transactions!$J:$J,ROW()-8)="",TODAY(),INDEX(Transactions!$G:$G,ROW()-8))</f>
      </c>
      <c r="F9077">
        <f>IF(INDEX(Transactions!$J:$J,ROW()-8)="",0,INDEX(Transactions!$O:$O,ROW()-8))</f>
      </c>
    </row>
    <row r="9078" spans="1:7">
      <c r="B9078">
        <f>IF(INDEX(Transactions!$J:$J,ROW()-8)="",TODAY(),INDEX(Transactions!$G:$G,ROW()-8))</f>
      </c>
      <c r="F9078">
        <f>IF(INDEX(Transactions!$J:$J,ROW()-8)="",0,INDEX(Transactions!$O:$O,ROW()-8))</f>
      </c>
    </row>
    <row r="9079" spans="1:7">
      <c r="B9079">
        <f>IF(INDEX(Transactions!$J:$J,ROW()-8)="",TODAY(),INDEX(Transactions!$G:$G,ROW()-8))</f>
      </c>
      <c r="F9079">
        <f>IF(INDEX(Transactions!$J:$J,ROW()-8)="",0,INDEX(Transactions!$O:$O,ROW()-8))</f>
      </c>
    </row>
    <row r="9080" spans="1:7">
      <c r="B9080">
        <f>IF(INDEX(Transactions!$J:$J,ROW()-8)="",TODAY(),INDEX(Transactions!$G:$G,ROW()-8))</f>
      </c>
      <c r="F9080">
        <f>IF(INDEX(Transactions!$J:$J,ROW()-8)="",0,INDEX(Transactions!$O:$O,ROW()-8))</f>
      </c>
    </row>
    <row r="9081" spans="1:7">
      <c r="B9081">
        <f>IF(INDEX(Transactions!$J:$J,ROW()-8)="",TODAY(),INDEX(Transactions!$G:$G,ROW()-8))</f>
      </c>
      <c r="F9081">
        <f>IF(INDEX(Transactions!$J:$J,ROW()-8)="",0,INDEX(Transactions!$O:$O,ROW()-8))</f>
      </c>
    </row>
    <row r="9082" spans="1:7">
      <c r="B9082">
        <f>IF(INDEX(Transactions!$J:$J,ROW()-8)="",TODAY(),INDEX(Transactions!$G:$G,ROW()-8))</f>
      </c>
      <c r="F9082">
        <f>IF(INDEX(Transactions!$J:$J,ROW()-8)="",0,INDEX(Transactions!$O:$O,ROW()-8))</f>
      </c>
    </row>
    <row r="9083" spans="1:7">
      <c r="B9083">
        <f>IF(INDEX(Transactions!$J:$J,ROW()-8)="",TODAY(),INDEX(Transactions!$G:$G,ROW()-8))</f>
      </c>
      <c r="F9083">
        <f>IF(INDEX(Transactions!$J:$J,ROW()-8)="",0,INDEX(Transactions!$O:$O,ROW()-8))</f>
      </c>
    </row>
    <row r="9084" spans="1:7">
      <c r="B9084">
        <f>IF(INDEX(Transactions!$J:$J,ROW()-8)="",TODAY(),INDEX(Transactions!$G:$G,ROW()-8))</f>
      </c>
      <c r="F9084">
        <f>IF(INDEX(Transactions!$J:$J,ROW()-8)="",0,INDEX(Transactions!$O:$O,ROW()-8))</f>
      </c>
    </row>
    <row r="9085" spans="1:7">
      <c r="B9085">
        <f>IF(INDEX(Transactions!$J:$J,ROW()-8)="",TODAY(),INDEX(Transactions!$G:$G,ROW()-8))</f>
      </c>
      <c r="F9085">
        <f>IF(INDEX(Transactions!$J:$J,ROW()-8)="",0,INDEX(Transactions!$O:$O,ROW()-8))</f>
      </c>
    </row>
    <row r="9086" spans="1:7">
      <c r="B9086">
        <f>IF(INDEX(Transactions!$J:$J,ROW()-8)="",TODAY(),INDEX(Transactions!$G:$G,ROW()-8))</f>
      </c>
      <c r="F9086">
        <f>IF(INDEX(Transactions!$J:$J,ROW()-8)="",0,INDEX(Transactions!$O:$O,ROW()-8))</f>
      </c>
    </row>
    <row r="9087" spans="1:7">
      <c r="B9087">
        <f>IF(INDEX(Transactions!$J:$J,ROW()-8)="",TODAY(),INDEX(Transactions!$G:$G,ROW()-8))</f>
      </c>
      <c r="F9087">
        <f>IF(INDEX(Transactions!$J:$J,ROW()-8)="",0,INDEX(Transactions!$O:$O,ROW()-8))</f>
      </c>
    </row>
    <row r="9088" spans="1:7">
      <c r="B9088">
        <f>IF(INDEX(Transactions!$J:$J,ROW()-8)="",TODAY(),INDEX(Transactions!$G:$G,ROW()-8))</f>
      </c>
      <c r="F9088">
        <f>IF(INDEX(Transactions!$J:$J,ROW()-8)="",0,INDEX(Transactions!$O:$O,ROW()-8))</f>
      </c>
    </row>
    <row r="9089" spans="1:7">
      <c r="B9089">
        <f>IF(INDEX(Transactions!$J:$J,ROW()-8)="",TODAY(),INDEX(Transactions!$G:$G,ROW()-8))</f>
      </c>
      <c r="F9089">
        <f>IF(INDEX(Transactions!$J:$J,ROW()-8)="",0,INDEX(Transactions!$O:$O,ROW()-8))</f>
      </c>
    </row>
    <row r="9090" spans="1:7">
      <c r="B9090">
        <f>IF(INDEX(Transactions!$J:$J,ROW()-8)="",TODAY(),INDEX(Transactions!$G:$G,ROW()-8))</f>
      </c>
      <c r="F9090">
        <f>IF(INDEX(Transactions!$J:$J,ROW()-8)="",0,INDEX(Transactions!$O:$O,ROW()-8))</f>
      </c>
    </row>
    <row r="9091" spans="1:7">
      <c r="B9091">
        <f>IF(INDEX(Transactions!$J:$J,ROW()-8)="",TODAY(),INDEX(Transactions!$G:$G,ROW()-8))</f>
      </c>
      <c r="F9091">
        <f>IF(INDEX(Transactions!$J:$J,ROW()-8)="",0,INDEX(Transactions!$O:$O,ROW()-8))</f>
      </c>
    </row>
    <row r="9092" spans="1:7">
      <c r="B9092">
        <f>IF(INDEX(Transactions!$J:$J,ROW()-8)="",TODAY(),INDEX(Transactions!$G:$G,ROW()-8))</f>
      </c>
      <c r="F9092">
        <f>IF(INDEX(Transactions!$J:$J,ROW()-8)="",0,INDEX(Transactions!$O:$O,ROW()-8))</f>
      </c>
    </row>
    <row r="9093" spans="1:7">
      <c r="B9093">
        <f>IF(INDEX(Transactions!$J:$J,ROW()-8)="",TODAY(),INDEX(Transactions!$G:$G,ROW()-8))</f>
      </c>
      <c r="F9093">
        <f>IF(INDEX(Transactions!$J:$J,ROW()-8)="",0,INDEX(Transactions!$O:$O,ROW()-8))</f>
      </c>
    </row>
    <row r="9094" spans="1:7">
      <c r="B9094">
        <f>IF(INDEX(Transactions!$J:$J,ROW()-8)="",TODAY(),INDEX(Transactions!$G:$G,ROW()-8))</f>
      </c>
      <c r="F9094">
        <f>IF(INDEX(Transactions!$J:$J,ROW()-8)="",0,INDEX(Transactions!$O:$O,ROW()-8))</f>
      </c>
    </row>
    <row r="9095" spans="1:7">
      <c r="B9095">
        <f>IF(INDEX(Transactions!$J:$J,ROW()-8)="",TODAY(),INDEX(Transactions!$G:$G,ROW()-8))</f>
      </c>
      <c r="F9095">
        <f>IF(INDEX(Transactions!$J:$J,ROW()-8)="",0,INDEX(Transactions!$O:$O,ROW()-8))</f>
      </c>
    </row>
    <row r="9096" spans="1:7">
      <c r="B9096">
        <f>IF(INDEX(Transactions!$J:$J,ROW()-8)="",TODAY(),INDEX(Transactions!$G:$G,ROW()-8))</f>
      </c>
      <c r="F9096">
        <f>IF(INDEX(Transactions!$J:$J,ROW()-8)="",0,INDEX(Transactions!$O:$O,ROW()-8))</f>
      </c>
    </row>
    <row r="9097" spans="1:7">
      <c r="B9097">
        <f>IF(INDEX(Transactions!$J:$J,ROW()-8)="",TODAY(),INDEX(Transactions!$G:$G,ROW()-8))</f>
      </c>
      <c r="F9097">
        <f>IF(INDEX(Transactions!$J:$J,ROW()-8)="",0,INDEX(Transactions!$O:$O,ROW()-8))</f>
      </c>
    </row>
    <row r="9098" spans="1:7">
      <c r="B9098">
        <f>IF(INDEX(Transactions!$J:$J,ROW()-8)="",TODAY(),INDEX(Transactions!$G:$G,ROW()-8))</f>
      </c>
      <c r="F9098">
        <f>IF(INDEX(Transactions!$J:$J,ROW()-8)="",0,INDEX(Transactions!$O:$O,ROW()-8))</f>
      </c>
    </row>
    <row r="9099" spans="1:7">
      <c r="B9099">
        <f>IF(INDEX(Transactions!$J:$J,ROW()-8)="",TODAY(),INDEX(Transactions!$G:$G,ROW()-8))</f>
      </c>
      <c r="F9099">
        <f>IF(INDEX(Transactions!$J:$J,ROW()-8)="",0,INDEX(Transactions!$O:$O,ROW()-8))</f>
      </c>
    </row>
    <row r="9100" spans="1:7">
      <c r="B9100">
        <f>IF(INDEX(Transactions!$J:$J,ROW()-8)="",TODAY(),INDEX(Transactions!$G:$G,ROW()-8))</f>
      </c>
      <c r="F9100">
        <f>IF(INDEX(Transactions!$J:$J,ROW()-8)="",0,INDEX(Transactions!$O:$O,ROW()-8))</f>
      </c>
    </row>
    <row r="9101" spans="1:7">
      <c r="B9101">
        <f>IF(INDEX(Transactions!$J:$J,ROW()-8)="",TODAY(),INDEX(Transactions!$G:$G,ROW()-8))</f>
      </c>
      <c r="F9101">
        <f>IF(INDEX(Transactions!$J:$J,ROW()-8)="",0,INDEX(Transactions!$O:$O,ROW()-8))</f>
      </c>
    </row>
    <row r="9102" spans="1:7">
      <c r="B9102">
        <f>IF(INDEX(Transactions!$J:$J,ROW()-8)="",TODAY(),INDEX(Transactions!$G:$G,ROW()-8))</f>
      </c>
      <c r="F9102">
        <f>IF(INDEX(Transactions!$J:$J,ROW()-8)="",0,INDEX(Transactions!$O:$O,ROW()-8))</f>
      </c>
    </row>
    <row r="9103" spans="1:7">
      <c r="B9103">
        <f>IF(INDEX(Transactions!$J:$J,ROW()-8)="",TODAY(),INDEX(Transactions!$G:$G,ROW()-8))</f>
      </c>
      <c r="F9103">
        <f>IF(INDEX(Transactions!$J:$J,ROW()-8)="",0,INDEX(Transactions!$O:$O,ROW()-8))</f>
      </c>
    </row>
    <row r="9104" spans="1:7">
      <c r="B9104">
        <f>IF(INDEX(Transactions!$J:$J,ROW()-8)="",TODAY(),INDEX(Transactions!$G:$G,ROW()-8))</f>
      </c>
      <c r="F9104">
        <f>IF(INDEX(Transactions!$J:$J,ROW()-8)="",0,INDEX(Transactions!$O:$O,ROW()-8))</f>
      </c>
    </row>
    <row r="9105" spans="1:7">
      <c r="B9105">
        <f>IF(INDEX(Transactions!$J:$J,ROW()-8)="",TODAY(),INDEX(Transactions!$G:$G,ROW()-8))</f>
      </c>
      <c r="F9105">
        <f>IF(INDEX(Transactions!$J:$J,ROW()-8)="",0,INDEX(Transactions!$O:$O,ROW()-8))</f>
      </c>
    </row>
    <row r="9106" spans="1:7">
      <c r="B9106">
        <f>IF(INDEX(Transactions!$J:$J,ROW()-8)="",TODAY(),INDEX(Transactions!$G:$G,ROW()-8))</f>
      </c>
      <c r="F9106">
        <f>IF(INDEX(Transactions!$J:$J,ROW()-8)="",0,INDEX(Transactions!$O:$O,ROW()-8))</f>
      </c>
    </row>
    <row r="9107" spans="1:7">
      <c r="B9107">
        <f>IF(INDEX(Transactions!$J:$J,ROW()-8)="",TODAY(),INDEX(Transactions!$G:$G,ROW()-8))</f>
      </c>
      <c r="F9107">
        <f>IF(INDEX(Transactions!$J:$J,ROW()-8)="",0,INDEX(Transactions!$O:$O,ROW()-8))</f>
      </c>
    </row>
    <row r="9108" spans="1:7">
      <c r="B9108">
        <f>IF(INDEX(Transactions!$J:$J,ROW()-8)="",TODAY(),INDEX(Transactions!$G:$G,ROW()-8))</f>
      </c>
      <c r="F9108">
        <f>IF(INDEX(Transactions!$J:$J,ROW()-8)="",0,INDEX(Transactions!$O:$O,ROW()-8))</f>
      </c>
    </row>
    <row r="9109" spans="1:7">
      <c r="B9109">
        <f>IF(INDEX(Transactions!$J:$J,ROW()-8)="",TODAY(),INDEX(Transactions!$G:$G,ROW()-8))</f>
      </c>
      <c r="F9109">
        <f>IF(INDEX(Transactions!$J:$J,ROW()-8)="",0,INDEX(Transactions!$O:$O,ROW()-8))</f>
      </c>
    </row>
    <row r="9110" spans="1:7">
      <c r="B9110">
        <f>IF(INDEX(Transactions!$J:$J,ROW()-8)="",TODAY(),INDEX(Transactions!$G:$G,ROW()-8))</f>
      </c>
      <c r="F9110">
        <f>IF(INDEX(Transactions!$J:$J,ROW()-8)="",0,INDEX(Transactions!$O:$O,ROW()-8))</f>
      </c>
    </row>
    <row r="9111" spans="1:7">
      <c r="B9111">
        <f>IF(INDEX(Transactions!$J:$J,ROW()-8)="",TODAY(),INDEX(Transactions!$G:$G,ROW()-8))</f>
      </c>
      <c r="F9111">
        <f>IF(INDEX(Transactions!$J:$J,ROW()-8)="",0,INDEX(Transactions!$O:$O,ROW()-8))</f>
      </c>
    </row>
    <row r="9112" spans="1:7">
      <c r="B9112">
        <f>IF(INDEX(Transactions!$J:$J,ROW()-8)="",TODAY(),INDEX(Transactions!$G:$G,ROW()-8))</f>
      </c>
      <c r="F9112">
        <f>IF(INDEX(Transactions!$J:$J,ROW()-8)="",0,INDEX(Transactions!$O:$O,ROW()-8))</f>
      </c>
    </row>
    <row r="9113" spans="1:7">
      <c r="B9113">
        <f>IF(INDEX(Transactions!$J:$J,ROW()-8)="",TODAY(),INDEX(Transactions!$G:$G,ROW()-8))</f>
      </c>
      <c r="F9113">
        <f>IF(INDEX(Transactions!$J:$J,ROW()-8)="",0,INDEX(Transactions!$O:$O,ROW()-8))</f>
      </c>
    </row>
    <row r="9114" spans="1:7">
      <c r="B9114">
        <f>IF(INDEX(Transactions!$J:$J,ROW()-8)="",TODAY(),INDEX(Transactions!$G:$G,ROW()-8))</f>
      </c>
      <c r="F9114">
        <f>IF(INDEX(Transactions!$J:$J,ROW()-8)="",0,INDEX(Transactions!$O:$O,ROW()-8))</f>
      </c>
    </row>
    <row r="9115" spans="1:7">
      <c r="B9115">
        <f>IF(INDEX(Transactions!$J:$J,ROW()-8)="",TODAY(),INDEX(Transactions!$G:$G,ROW()-8))</f>
      </c>
      <c r="F9115">
        <f>IF(INDEX(Transactions!$J:$J,ROW()-8)="",0,INDEX(Transactions!$O:$O,ROW()-8))</f>
      </c>
    </row>
    <row r="9116" spans="1:7">
      <c r="B9116">
        <f>IF(INDEX(Transactions!$J:$J,ROW()-8)="",TODAY(),INDEX(Transactions!$G:$G,ROW()-8))</f>
      </c>
      <c r="F9116">
        <f>IF(INDEX(Transactions!$J:$J,ROW()-8)="",0,INDEX(Transactions!$O:$O,ROW()-8))</f>
      </c>
    </row>
    <row r="9117" spans="1:7">
      <c r="B9117">
        <f>IF(INDEX(Transactions!$J:$J,ROW()-8)="",TODAY(),INDEX(Transactions!$G:$G,ROW()-8))</f>
      </c>
      <c r="F9117">
        <f>IF(INDEX(Transactions!$J:$J,ROW()-8)="",0,INDEX(Transactions!$O:$O,ROW()-8))</f>
      </c>
    </row>
    <row r="9118" spans="1:7">
      <c r="B9118">
        <f>IF(INDEX(Transactions!$J:$J,ROW()-8)="",TODAY(),INDEX(Transactions!$G:$G,ROW()-8))</f>
      </c>
      <c r="F9118">
        <f>IF(INDEX(Transactions!$J:$J,ROW()-8)="",0,INDEX(Transactions!$O:$O,ROW()-8))</f>
      </c>
    </row>
    <row r="9119" spans="1:7">
      <c r="B9119">
        <f>IF(INDEX(Transactions!$J:$J,ROW()-8)="",TODAY(),INDEX(Transactions!$G:$G,ROW()-8))</f>
      </c>
      <c r="F9119">
        <f>IF(INDEX(Transactions!$J:$J,ROW()-8)="",0,INDEX(Transactions!$O:$O,ROW()-8))</f>
      </c>
    </row>
    <row r="9120" spans="1:7">
      <c r="B9120">
        <f>IF(INDEX(Transactions!$J:$J,ROW()-8)="",TODAY(),INDEX(Transactions!$G:$G,ROW()-8))</f>
      </c>
      <c r="F9120">
        <f>IF(INDEX(Transactions!$J:$J,ROW()-8)="",0,INDEX(Transactions!$O:$O,ROW()-8))</f>
      </c>
    </row>
    <row r="9121" spans="1:7">
      <c r="B9121">
        <f>IF(INDEX(Transactions!$J:$J,ROW()-8)="",TODAY(),INDEX(Transactions!$G:$G,ROW()-8))</f>
      </c>
      <c r="F9121">
        <f>IF(INDEX(Transactions!$J:$J,ROW()-8)="",0,INDEX(Transactions!$O:$O,ROW()-8))</f>
      </c>
    </row>
    <row r="9122" spans="1:7">
      <c r="B9122">
        <f>IF(INDEX(Transactions!$J:$J,ROW()-8)="",TODAY(),INDEX(Transactions!$G:$G,ROW()-8))</f>
      </c>
      <c r="F9122">
        <f>IF(INDEX(Transactions!$J:$J,ROW()-8)="",0,INDEX(Transactions!$O:$O,ROW()-8))</f>
      </c>
    </row>
    <row r="9123" spans="1:7">
      <c r="B9123">
        <f>IF(INDEX(Transactions!$J:$J,ROW()-8)="",TODAY(),INDEX(Transactions!$G:$G,ROW()-8))</f>
      </c>
      <c r="F9123">
        <f>IF(INDEX(Transactions!$J:$J,ROW()-8)="",0,INDEX(Transactions!$O:$O,ROW()-8))</f>
      </c>
    </row>
    <row r="9124" spans="1:7">
      <c r="B9124">
        <f>IF(INDEX(Transactions!$J:$J,ROW()-8)="",TODAY(),INDEX(Transactions!$G:$G,ROW()-8))</f>
      </c>
      <c r="F9124">
        <f>IF(INDEX(Transactions!$J:$J,ROW()-8)="",0,INDEX(Transactions!$O:$O,ROW()-8))</f>
      </c>
    </row>
    <row r="9125" spans="1:7">
      <c r="B9125">
        <f>IF(INDEX(Transactions!$J:$J,ROW()-8)="",TODAY(),INDEX(Transactions!$G:$G,ROW()-8))</f>
      </c>
      <c r="F9125">
        <f>IF(INDEX(Transactions!$J:$J,ROW()-8)="",0,INDEX(Transactions!$O:$O,ROW()-8))</f>
      </c>
    </row>
    <row r="9126" spans="1:7">
      <c r="B9126">
        <f>IF(INDEX(Transactions!$J:$J,ROW()-8)="",TODAY(),INDEX(Transactions!$G:$G,ROW()-8))</f>
      </c>
      <c r="F9126">
        <f>IF(INDEX(Transactions!$J:$J,ROW()-8)="",0,INDEX(Transactions!$O:$O,ROW()-8))</f>
      </c>
    </row>
    <row r="9127" spans="1:7">
      <c r="B9127">
        <f>IF(INDEX(Transactions!$J:$J,ROW()-8)="",TODAY(),INDEX(Transactions!$G:$G,ROW()-8))</f>
      </c>
      <c r="F9127">
        <f>IF(INDEX(Transactions!$J:$J,ROW()-8)="",0,INDEX(Transactions!$O:$O,ROW()-8))</f>
      </c>
    </row>
    <row r="9128" spans="1:7">
      <c r="B9128">
        <f>IF(INDEX(Transactions!$J:$J,ROW()-8)="",TODAY(),INDEX(Transactions!$G:$G,ROW()-8))</f>
      </c>
      <c r="F9128">
        <f>IF(INDEX(Transactions!$J:$J,ROW()-8)="",0,INDEX(Transactions!$O:$O,ROW()-8))</f>
      </c>
    </row>
    <row r="9129" spans="1:7">
      <c r="B9129">
        <f>IF(INDEX(Transactions!$J:$J,ROW()-8)="",TODAY(),INDEX(Transactions!$G:$G,ROW()-8))</f>
      </c>
      <c r="F9129">
        <f>IF(INDEX(Transactions!$J:$J,ROW()-8)="",0,INDEX(Transactions!$O:$O,ROW()-8))</f>
      </c>
    </row>
    <row r="9130" spans="1:7">
      <c r="B9130">
        <f>IF(INDEX(Transactions!$J:$J,ROW()-8)="",TODAY(),INDEX(Transactions!$G:$G,ROW()-8))</f>
      </c>
      <c r="F9130">
        <f>IF(INDEX(Transactions!$J:$J,ROW()-8)="",0,INDEX(Transactions!$O:$O,ROW()-8))</f>
      </c>
    </row>
    <row r="9131" spans="1:7">
      <c r="B9131">
        <f>IF(INDEX(Transactions!$J:$J,ROW()-8)="",TODAY(),INDEX(Transactions!$G:$G,ROW()-8))</f>
      </c>
      <c r="F9131">
        <f>IF(INDEX(Transactions!$J:$J,ROW()-8)="",0,INDEX(Transactions!$O:$O,ROW()-8))</f>
      </c>
    </row>
    <row r="9132" spans="1:7">
      <c r="B9132">
        <f>IF(INDEX(Transactions!$J:$J,ROW()-8)="",TODAY(),INDEX(Transactions!$G:$G,ROW()-8))</f>
      </c>
      <c r="F9132">
        <f>IF(INDEX(Transactions!$J:$J,ROW()-8)="",0,INDEX(Transactions!$O:$O,ROW()-8))</f>
      </c>
    </row>
    <row r="9133" spans="1:7">
      <c r="B9133">
        <f>IF(INDEX(Transactions!$J:$J,ROW()-8)="",TODAY(),INDEX(Transactions!$G:$G,ROW()-8))</f>
      </c>
      <c r="F9133">
        <f>IF(INDEX(Transactions!$J:$J,ROW()-8)="",0,INDEX(Transactions!$O:$O,ROW()-8))</f>
      </c>
    </row>
    <row r="9134" spans="1:7">
      <c r="B9134">
        <f>IF(INDEX(Transactions!$J:$J,ROW()-8)="",TODAY(),INDEX(Transactions!$G:$G,ROW()-8))</f>
      </c>
      <c r="F9134">
        <f>IF(INDEX(Transactions!$J:$J,ROW()-8)="",0,INDEX(Transactions!$O:$O,ROW()-8))</f>
      </c>
    </row>
    <row r="9135" spans="1:7">
      <c r="B9135">
        <f>IF(INDEX(Transactions!$J:$J,ROW()-8)="",TODAY(),INDEX(Transactions!$G:$G,ROW()-8))</f>
      </c>
      <c r="F9135">
        <f>IF(INDEX(Transactions!$J:$J,ROW()-8)="",0,INDEX(Transactions!$O:$O,ROW()-8))</f>
      </c>
    </row>
    <row r="9136" spans="1:7">
      <c r="B9136">
        <f>IF(INDEX(Transactions!$J:$J,ROW()-8)="",TODAY(),INDEX(Transactions!$G:$G,ROW()-8))</f>
      </c>
      <c r="F9136">
        <f>IF(INDEX(Transactions!$J:$J,ROW()-8)="",0,INDEX(Transactions!$O:$O,ROW()-8))</f>
      </c>
    </row>
    <row r="9137" spans="1:7">
      <c r="B9137">
        <f>IF(INDEX(Transactions!$J:$J,ROW()-8)="",TODAY(),INDEX(Transactions!$G:$G,ROW()-8))</f>
      </c>
      <c r="F9137">
        <f>IF(INDEX(Transactions!$J:$J,ROW()-8)="",0,INDEX(Transactions!$O:$O,ROW()-8))</f>
      </c>
    </row>
    <row r="9138" spans="1:7">
      <c r="B9138">
        <f>IF(INDEX(Transactions!$J:$J,ROW()-8)="",TODAY(),INDEX(Transactions!$G:$G,ROW()-8))</f>
      </c>
      <c r="F9138">
        <f>IF(INDEX(Transactions!$J:$J,ROW()-8)="",0,INDEX(Transactions!$O:$O,ROW()-8))</f>
      </c>
    </row>
    <row r="9139" spans="1:7">
      <c r="B9139">
        <f>IF(INDEX(Transactions!$J:$J,ROW()-8)="",TODAY(),INDEX(Transactions!$G:$G,ROW()-8))</f>
      </c>
      <c r="F9139">
        <f>IF(INDEX(Transactions!$J:$J,ROW()-8)="",0,INDEX(Transactions!$O:$O,ROW()-8))</f>
      </c>
    </row>
    <row r="9140" spans="1:7">
      <c r="B9140">
        <f>IF(INDEX(Transactions!$J:$J,ROW()-8)="",TODAY(),INDEX(Transactions!$G:$G,ROW()-8))</f>
      </c>
      <c r="F9140">
        <f>IF(INDEX(Transactions!$J:$J,ROW()-8)="",0,INDEX(Transactions!$O:$O,ROW()-8))</f>
      </c>
    </row>
    <row r="9141" spans="1:7">
      <c r="B9141">
        <f>IF(INDEX(Transactions!$J:$J,ROW()-8)="",TODAY(),INDEX(Transactions!$G:$G,ROW()-8))</f>
      </c>
      <c r="F9141">
        <f>IF(INDEX(Transactions!$J:$J,ROW()-8)="",0,INDEX(Transactions!$O:$O,ROW()-8))</f>
      </c>
    </row>
    <row r="9142" spans="1:7">
      <c r="B9142">
        <f>IF(INDEX(Transactions!$J:$J,ROW()-8)="",TODAY(),INDEX(Transactions!$G:$G,ROW()-8))</f>
      </c>
      <c r="F9142">
        <f>IF(INDEX(Transactions!$J:$J,ROW()-8)="",0,INDEX(Transactions!$O:$O,ROW()-8))</f>
      </c>
    </row>
    <row r="9143" spans="1:7">
      <c r="B9143">
        <f>IF(INDEX(Transactions!$J:$J,ROW()-8)="",TODAY(),INDEX(Transactions!$G:$G,ROW()-8))</f>
      </c>
      <c r="F9143">
        <f>IF(INDEX(Transactions!$J:$J,ROW()-8)="",0,INDEX(Transactions!$O:$O,ROW()-8))</f>
      </c>
    </row>
    <row r="9144" spans="1:7">
      <c r="B9144">
        <f>IF(INDEX(Transactions!$J:$J,ROW()-8)="",TODAY(),INDEX(Transactions!$G:$G,ROW()-8))</f>
      </c>
      <c r="F9144">
        <f>IF(INDEX(Transactions!$J:$J,ROW()-8)="",0,INDEX(Transactions!$O:$O,ROW()-8))</f>
      </c>
    </row>
    <row r="9145" spans="1:7">
      <c r="B9145">
        <f>IF(INDEX(Transactions!$J:$J,ROW()-8)="",TODAY(),INDEX(Transactions!$G:$G,ROW()-8))</f>
      </c>
      <c r="F9145">
        <f>IF(INDEX(Transactions!$J:$J,ROW()-8)="",0,INDEX(Transactions!$O:$O,ROW()-8))</f>
      </c>
    </row>
    <row r="9146" spans="1:7">
      <c r="B9146">
        <f>IF(INDEX(Transactions!$J:$J,ROW()-8)="",TODAY(),INDEX(Transactions!$G:$G,ROW()-8))</f>
      </c>
      <c r="F9146">
        <f>IF(INDEX(Transactions!$J:$J,ROW()-8)="",0,INDEX(Transactions!$O:$O,ROW()-8))</f>
      </c>
    </row>
    <row r="9147" spans="1:7">
      <c r="B9147">
        <f>IF(INDEX(Transactions!$J:$J,ROW()-8)="",TODAY(),INDEX(Transactions!$G:$G,ROW()-8))</f>
      </c>
      <c r="F9147">
        <f>IF(INDEX(Transactions!$J:$J,ROW()-8)="",0,INDEX(Transactions!$O:$O,ROW()-8))</f>
      </c>
    </row>
    <row r="9148" spans="1:7">
      <c r="B9148">
        <f>IF(INDEX(Transactions!$J:$J,ROW()-8)="",TODAY(),INDEX(Transactions!$G:$G,ROW()-8))</f>
      </c>
      <c r="F9148">
        <f>IF(INDEX(Transactions!$J:$J,ROW()-8)="",0,INDEX(Transactions!$O:$O,ROW()-8))</f>
      </c>
    </row>
    <row r="9149" spans="1:7">
      <c r="B9149">
        <f>IF(INDEX(Transactions!$J:$J,ROW()-8)="",TODAY(),INDEX(Transactions!$G:$G,ROW()-8))</f>
      </c>
      <c r="F9149">
        <f>IF(INDEX(Transactions!$J:$J,ROW()-8)="",0,INDEX(Transactions!$O:$O,ROW()-8))</f>
      </c>
    </row>
    <row r="9150" spans="1:7">
      <c r="B9150">
        <f>IF(INDEX(Transactions!$J:$J,ROW()-8)="",TODAY(),INDEX(Transactions!$G:$G,ROW()-8))</f>
      </c>
      <c r="F9150">
        <f>IF(INDEX(Transactions!$J:$J,ROW()-8)="",0,INDEX(Transactions!$O:$O,ROW()-8))</f>
      </c>
    </row>
    <row r="9151" spans="1:7">
      <c r="B9151">
        <f>IF(INDEX(Transactions!$J:$J,ROW()-8)="",TODAY(),INDEX(Transactions!$G:$G,ROW()-8))</f>
      </c>
      <c r="F9151">
        <f>IF(INDEX(Transactions!$J:$J,ROW()-8)="",0,INDEX(Transactions!$O:$O,ROW()-8))</f>
      </c>
    </row>
    <row r="9152" spans="1:7">
      <c r="B9152">
        <f>IF(INDEX(Transactions!$J:$J,ROW()-8)="",TODAY(),INDEX(Transactions!$G:$G,ROW()-8))</f>
      </c>
      <c r="F9152">
        <f>IF(INDEX(Transactions!$J:$J,ROW()-8)="",0,INDEX(Transactions!$O:$O,ROW()-8))</f>
      </c>
    </row>
    <row r="9153" spans="1:7">
      <c r="B9153">
        <f>IF(INDEX(Transactions!$J:$J,ROW()-8)="",TODAY(),INDEX(Transactions!$G:$G,ROW()-8))</f>
      </c>
      <c r="F9153">
        <f>IF(INDEX(Transactions!$J:$J,ROW()-8)="",0,INDEX(Transactions!$O:$O,ROW()-8))</f>
      </c>
    </row>
    <row r="9154" spans="1:7">
      <c r="B9154">
        <f>IF(INDEX(Transactions!$J:$J,ROW()-8)="",TODAY(),INDEX(Transactions!$G:$G,ROW()-8))</f>
      </c>
      <c r="F9154">
        <f>IF(INDEX(Transactions!$J:$J,ROW()-8)="",0,INDEX(Transactions!$O:$O,ROW()-8))</f>
      </c>
    </row>
    <row r="9155" spans="1:7">
      <c r="B9155">
        <f>IF(INDEX(Transactions!$J:$J,ROW()-8)="",TODAY(),INDEX(Transactions!$G:$G,ROW()-8))</f>
      </c>
      <c r="F9155">
        <f>IF(INDEX(Transactions!$J:$J,ROW()-8)="",0,INDEX(Transactions!$O:$O,ROW()-8))</f>
      </c>
    </row>
    <row r="9156" spans="1:7">
      <c r="B9156">
        <f>IF(INDEX(Transactions!$J:$J,ROW()-8)="",TODAY(),INDEX(Transactions!$G:$G,ROW()-8))</f>
      </c>
      <c r="F9156">
        <f>IF(INDEX(Transactions!$J:$J,ROW()-8)="",0,INDEX(Transactions!$O:$O,ROW()-8))</f>
      </c>
    </row>
    <row r="9157" spans="1:7">
      <c r="B9157">
        <f>IF(INDEX(Transactions!$J:$J,ROW()-8)="",TODAY(),INDEX(Transactions!$G:$G,ROW()-8))</f>
      </c>
      <c r="F9157">
        <f>IF(INDEX(Transactions!$J:$J,ROW()-8)="",0,INDEX(Transactions!$O:$O,ROW()-8))</f>
      </c>
    </row>
    <row r="9158" spans="1:7">
      <c r="B9158">
        <f>IF(INDEX(Transactions!$J:$J,ROW()-8)="",TODAY(),INDEX(Transactions!$G:$G,ROW()-8))</f>
      </c>
      <c r="F9158">
        <f>IF(INDEX(Transactions!$J:$J,ROW()-8)="",0,INDEX(Transactions!$O:$O,ROW()-8))</f>
      </c>
    </row>
    <row r="9159" spans="1:7">
      <c r="B9159">
        <f>IF(INDEX(Transactions!$J:$J,ROW()-8)="",TODAY(),INDEX(Transactions!$G:$G,ROW()-8))</f>
      </c>
      <c r="F9159">
        <f>IF(INDEX(Transactions!$J:$J,ROW()-8)="",0,INDEX(Transactions!$O:$O,ROW()-8))</f>
      </c>
    </row>
    <row r="9160" spans="1:7">
      <c r="B9160">
        <f>IF(INDEX(Transactions!$J:$J,ROW()-8)="",TODAY(),INDEX(Transactions!$G:$G,ROW()-8))</f>
      </c>
      <c r="F9160">
        <f>IF(INDEX(Transactions!$J:$J,ROW()-8)="",0,INDEX(Transactions!$O:$O,ROW()-8))</f>
      </c>
    </row>
    <row r="9161" spans="1:7">
      <c r="B9161">
        <f>IF(INDEX(Transactions!$J:$J,ROW()-8)="",TODAY(),INDEX(Transactions!$G:$G,ROW()-8))</f>
      </c>
      <c r="F9161">
        <f>IF(INDEX(Transactions!$J:$J,ROW()-8)="",0,INDEX(Transactions!$O:$O,ROW()-8))</f>
      </c>
    </row>
    <row r="9162" spans="1:7">
      <c r="B9162">
        <f>IF(INDEX(Transactions!$J:$J,ROW()-8)="",TODAY(),INDEX(Transactions!$G:$G,ROW()-8))</f>
      </c>
      <c r="F9162">
        <f>IF(INDEX(Transactions!$J:$J,ROW()-8)="",0,INDEX(Transactions!$O:$O,ROW()-8))</f>
      </c>
    </row>
    <row r="9163" spans="1:7">
      <c r="B9163">
        <f>IF(INDEX(Transactions!$J:$J,ROW()-8)="",TODAY(),INDEX(Transactions!$G:$G,ROW()-8))</f>
      </c>
      <c r="F9163">
        <f>IF(INDEX(Transactions!$J:$J,ROW()-8)="",0,INDEX(Transactions!$O:$O,ROW()-8))</f>
      </c>
    </row>
    <row r="9164" spans="1:7">
      <c r="B9164">
        <f>IF(INDEX(Transactions!$J:$J,ROW()-8)="",TODAY(),INDEX(Transactions!$G:$G,ROW()-8))</f>
      </c>
      <c r="F9164">
        <f>IF(INDEX(Transactions!$J:$J,ROW()-8)="",0,INDEX(Transactions!$O:$O,ROW()-8))</f>
      </c>
    </row>
    <row r="9165" spans="1:7">
      <c r="B9165">
        <f>IF(INDEX(Transactions!$J:$J,ROW()-8)="",TODAY(),INDEX(Transactions!$G:$G,ROW()-8))</f>
      </c>
      <c r="F9165">
        <f>IF(INDEX(Transactions!$J:$J,ROW()-8)="",0,INDEX(Transactions!$O:$O,ROW()-8))</f>
      </c>
    </row>
    <row r="9166" spans="1:7">
      <c r="B9166">
        <f>IF(INDEX(Transactions!$J:$J,ROW()-8)="",TODAY(),INDEX(Transactions!$G:$G,ROW()-8))</f>
      </c>
      <c r="F9166">
        <f>IF(INDEX(Transactions!$J:$J,ROW()-8)="",0,INDEX(Transactions!$O:$O,ROW()-8))</f>
      </c>
    </row>
    <row r="9167" spans="1:7">
      <c r="B9167">
        <f>IF(INDEX(Transactions!$J:$J,ROW()-8)="",TODAY(),INDEX(Transactions!$G:$G,ROW()-8))</f>
      </c>
      <c r="F9167">
        <f>IF(INDEX(Transactions!$J:$J,ROW()-8)="",0,INDEX(Transactions!$O:$O,ROW()-8))</f>
      </c>
    </row>
    <row r="9168" spans="1:7">
      <c r="B9168">
        <f>IF(INDEX(Transactions!$J:$J,ROW()-8)="",TODAY(),INDEX(Transactions!$G:$G,ROW()-8))</f>
      </c>
      <c r="F9168">
        <f>IF(INDEX(Transactions!$J:$J,ROW()-8)="",0,INDEX(Transactions!$O:$O,ROW()-8))</f>
      </c>
    </row>
    <row r="9169" spans="1:7">
      <c r="B9169">
        <f>IF(INDEX(Transactions!$J:$J,ROW()-8)="",TODAY(),INDEX(Transactions!$G:$G,ROW()-8))</f>
      </c>
      <c r="F9169">
        <f>IF(INDEX(Transactions!$J:$J,ROW()-8)="",0,INDEX(Transactions!$O:$O,ROW()-8))</f>
      </c>
    </row>
    <row r="9170" spans="1:7">
      <c r="B9170">
        <f>IF(INDEX(Transactions!$J:$J,ROW()-8)="",TODAY(),INDEX(Transactions!$G:$G,ROW()-8))</f>
      </c>
      <c r="F9170">
        <f>IF(INDEX(Transactions!$J:$J,ROW()-8)="",0,INDEX(Transactions!$O:$O,ROW()-8))</f>
      </c>
    </row>
    <row r="9171" spans="1:7">
      <c r="B9171">
        <f>IF(INDEX(Transactions!$J:$J,ROW()-8)="",TODAY(),INDEX(Transactions!$G:$G,ROW()-8))</f>
      </c>
      <c r="F9171">
        <f>IF(INDEX(Transactions!$J:$J,ROW()-8)="",0,INDEX(Transactions!$O:$O,ROW()-8))</f>
      </c>
    </row>
    <row r="9172" spans="1:7">
      <c r="B9172">
        <f>IF(INDEX(Transactions!$J:$J,ROW()-8)="",TODAY(),INDEX(Transactions!$G:$G,ROW()-8))</f>
      </c>
      <c r="F9172">
        <f>IF(INDEX(Transactions!$J:$J,ROW()-8)="",0,INDEX(Transactions!$O:$O,ROW()-8))</f>
      </c>
    </row>
    <row r="9173" spans="1:7">
      <c r="B9173">
        <f>IF(INDEX(Transactions!$J:$J,ROW()-8)="",TODAY(),INDEX(Transactions!$G:$G,ROW()-8))</f>
      </c>
      <c r="F9173">
        <f>IF(INDEX(Transactions!$J:$J,ROW()-8)="",0,INDEX(Transactions!$O:$O,ROW()-8))</f>
      </c>
    </row>
    <row r="9174" spans="1:7">
      <c r="B9174">
        <f>IF(INDEX(Transactions!$J:$J,ROW()-8)="",TODAY(),INDEX(Transactions!$G:$G,ROW()-8))</f>
      </c>
      <c r="F9174">
        <f>IF(INDEX(Transactions!$J:$J,ROW()-8)="",0,INDEX(Transactions!$O:$O,ROW()-8))</f>
      </c>
    </row>
    <row r="9175" spans="1:7">
      <c r="B9175">
        <f>IF(INDEX(Transactions!$J:$J,ROW()-8)="",TODAY(),INDEX(Transactions!$G:$G,ROW()-8))</f>
      </c>
      <c r="F9175">
        <f>IF(INDEX(Transactions!$J:$J,ROW()-8)="",0,INDEX(Transactions!$O:$O,ROW()-8))</f>
      </c>
    </row>
    <row r="9176" spans="1:7">
      <c r="B9176">
        <f>IF(INDEX(Transactions!$J:$J,ROW()-8)="",TODAY(),INDEX(Transactions!$G:$G,ROW()-8))</f>
      </c>
      <c r="F9176">
        <f>IF(INDEX(Transactions!$J:$J,ROW()-8)="",0,INDEX(Transactions!$O:$O,ROW()-8))</f>
      </c>
    </row>
    <row r="9177" spans="1:7">
      <c r="B9177">
        <f>IF(INDEX(Transactions!$J:$J,ROW()-8)="",TODAY(),INDEX(Transactions!$G:$G,ROW()-8))</f>
      </c>
      <c r="F9177">
        <f>IF(INDEX(Transactions!$J:$J,ROW()-8)="",0,INDEX(Transactions!$O:$O,ROW()-8))</f>
      </c>
    </row>
    <row r="9178" spans="1:7">
      <c r="B9178">
        <f>IF(INDEX(Transactions!$J:$J,ROW()-8)="",TODAY(),INDEX(Transactions!$G:$G,ROW()-8))</f>
      </c>
      <c r="F9178">
        <f>IF(INDEX(Transactions!$J:$J,ROW()-8)="",0,INDEX(Transactions!$O:$O,ROW()-8))</f>
      </c>
    </row>
    <row r="9179" spans="1:7">
      <c r="B9179">
        <f>IF(INDEX(Transactions!$J:$J,ROW()-8)="",TODAY(),INDEX(Transactions!$G:$G,ROW()-8))</f>
      </c>
      <c r="F9179">
        <f>IF(INDEX(Transactions!$J:$J,ROW()-8)="",0,INDEX(Transactions!$O:$O,ROW()-8))</f>
      </c>
    </row>
    <row r="9180" spans="1:7">
      <c r="B9180">
        <f>IF(INDEX(Transactions!$J:$J,ROW()-8)="",TODAY(),INDEX(Transactions!$G:$G,ROW()-8))</f>
      </c>
      <c r="F9180">
        <f>IF(INDEX(Transactions!$J:$J,ROW()-8)="",0,INDEX(Transactions!$O:$O,ROW()-8))</f>
      </c>
    </row>
    <row r="9181" spans="1:7">
      <c r="B9181">
        <f>IF(INDEX(Transactions!$J:$J,ROW()-8)="",TODAY(),INDEX(Transactions!$G:$G,ROW()-8))</f>
      </c>
      <c r="F9181">
        <f>IF(INDEX(Transactions!$J:$J,ROW()-8)="",0,INDEX(Transactions!$O:$O,ROW()-8))</f>
      </c>
    </row>
    <row r="9182" spans="1:7">
      <c r="B9182">
        <f>IF(INDEX(Transactions!$J:$J,ROW()-8)="",TODAY(),INDEX(Transactions!$G:$G,ROW()-8))</f>
      </c>
      <c r="F9182">
        <f>IF(INDEX(Transactions!$J:$J,ROW()-8)="",0,INDEX(Transactions!$O:$O,ROW()-8))</f>
      </c>
    </row>
    <row r="9183" spans="1:7">
      <c r="B9183">
        <f>IF(INDEX(Transactions!$J:$J,ROW()-8)="",TODAY(),INDEX(Transactions!$G:$G,ROW()-8))</f>
      </c>
      <c r="F9183">
        <f>IF(INDEX(Transactions!$J:$J,ROW()-8)="",0,INDEX(Transactions!$O:$O,ROW()-8))</f>
      </c>
    </row>
    <row r="9184" spans="1:7">
      <c r="B9184">
        <f>IF(INDEX(Transactions!$J:$J,ROW()-8)="",TODAY(),INDEX(Transactions!$G:$G,ROW()-8))</f>
      </c>
      <c r="F9184">
        <f>IF(INDEX(Transactions!$J:$J,ROW()-8)="",0,INDEX(Transactions!$O:$O,ROW()-8))</f>
      </c>
    </row>
    <row r="9185" spans="1:7">
      <c r="B9185">
        <f>IF(INDEX(Transactions!$J:$J,ROW()-8)="",TODAY(),INDEX(Transactions!$G:$G,ROW()-8))</f>
      </c>
      <c r="F9185">
        <f>IF(INDEX(Transactions!$J:$J,ROW()-8)="",0,INDEX(Transactions!$O:$O,ROW()-8))</f>
      </c>
    </row>
    <row r="9186" spans="1:7">
      <c r="B9186">
        <f>IF(INDEX(Transactions!$J:$J,ROW()-8)="",TODAY(),INDEX(Transactions!$G:$G,ROW()-8))</f>
      </c>
      <c r="F9186">
        <f>IF(INDEX(Transactions!$J:$J,ROW()-8)="",0,INDEX(Transactions!$O:$O,ROW()-8))</f>
      </c>
    </row>
    <row r="9187" spans="1:7">
      <c r="B9187">
        <f>IF(INDEX(Transactions!$J:$J,ROW()-8)="",TODAY(),INDEX(Transactions!$G:$G,ROW()-8))</f>
      </c>
      <c r="F9187">
        <f>IF(INDEX(Transactions!$J:$J,ROW()-8)="",0,INDEX(Transactions!$O:$O,ROW()-8))</f>
      </c>
    </row>
    <row r="9188" spans="1:7">
      <c r="B9188">
        <f>IF(INDEX(Transactions!$J:$J,ROW()-8)="",TODAY(),INDEX(Transactions!$G:$G,ROW()-8))</f>
      </c>
      <c r="F9188">
        <f>IF(INDEX(Transactions!$J:$J,ROW()-8)="",0,INDEX(Transactions!$O:$O,ROW()-8))</f>
      </c>
    </row>
    <row r="9189" spans="1:7">
      <c r="B9189">
        <f>IF(INDEX(Transactions!$J:$J,ROW()-8)="",TODAY(),INDEX(Transactions!$G:$G,ROW()-8))</f>
      </c>
      <c r="F9189">
        <f>IF(INDEX(Transactions!$J:$J,ROW()-8)="",0,INDEX(Transactions!$O:$O,ROW()-8))</f>
      </c>
    </row>
    <row r="9190" spans="1:7">
      <c r="B9190">
        <f>IF(INDEX(Transactions!$J:$J,ROW()-8)="",TODAY(),INDEX(Transactions!$G:$G,ROW()-8))</f>
      </c>
      <c r="F9190">
        <f>IF(INDEX(Transactions!$J:$J,ROW()-8)="",0,INDEX(Transactions!$O:$O,ROW()-8))</f>
      </c>
    </row>
    <row r="9191" spans="1:7">
      <c r="B9191">
        <f>IF(INDEX(Transactions!$J:$J,ROW()-8)="",TODAY(),INDEX(Transactions!$G:$G,ROW()-8))</f>
      </c>
      <c r="F9191">
        <f>IF(INDEX(Transactions!$J:$J,ROW()-8)="",0,INDEX(Transactions!$O:$O,ROW()-8))</f>
      </c>
    </row>
    <row r="9192" spans="1:7">
      <c r="B9192">
        <f>IF(INDEX(Transactions!$J:$J,ROW()-8)="",TODAY(),INDEX(Transactions!$G:$G,ROW()-8))</f>
      </c>
      <c r="F9192">
        <f>IF(INDEX(Transactions!$J:$J,ROW()-8)="",0,INDEX(Transactions!$O:$O,ROW()-8))</f>
      </c>
    </row>
    <row r="9193" spans="1:7">
      <c r="B9193">
        <f>IF(INDEX(Transactions!$J:$J,ROW()-8)="",TODAY(),INDEX(Transactions!$G:$G,ROW()-8))</f>
      </c>
      <c r="F9193">
        <f>IF(INDEX(Transactions!$J:$J,ROW()-8)="",0,INDEX(Transactions!$O:$O,ROW()-8))</f>
      </c>
    </row>
    <row r="9194" spans="1:7">
      <c r="B9194">
        <f>IF(INDEX(Transactions!$J:$J,ROW()-8)="",TODAY(),INDEX(Transactions!$G:$G,ROW()-8))</f>
      </c>
      <c r="F9194">
        <f>IF(INDEX(Transactions!$J:$J,ROW()-8)="",0,INDEX(Transactions!$O:$O,ROW()-8))</f>
      </c>
    </row>
    <row r="9195" spans="1:7">
      <c r="B9195">
        <f>IF(INDEX(Transactions!$J:$J,ROW()-8)="",TODAY(),INDEX(Transactions!$G:$G,ROW()-8))</f>
      </c>
      <c r="F9195">
        <f>IF(INDEX(Transactions!$J:$J,ROW()-8)="",0,INDEX(Transactions!$O:$O,ROW()-8))</f>
      </c>
    </row>
    <row r="9196" spans="1:7">
      <c r="B9196">
        <f>IF(INDEX(Transactions!$J:$J,ROW()-8)="",TODAY(),INDEX(Transactions!$G:$G,ROW()-8))</f>
      </c>
      <c r="F9196">
        <f>IF(INDEX(Transactions!$J:$J,ROW()-8)="",0,INDEX(Transactions!$O:$O,ROW()-8))</f>
      </c>
    </row>
    <row r="9197" spans="1:7">
      <c r="B9197">
        <f>IF(INDEX(Transactions!$J:$J,ROW()-8)="",TODAY(),INDEX(Transactions!$G:$G,ROW()-8))</f>
      </c>
      <c r="F9197">
        <f>IF(INDEX(Transactions!$J:$J,ROW()-8)="",0,INDEX(Transactions!$O:$O,ROW()-8))</f>
      </c>
    </row>
    <row r="9198" spans="1:7">
      <c r="B9198">
        <f>IF(INDEX(Transactions!$J:$J,ROW()-8)="",TODAY(),INDEX(Transactions!$G:$G,ROW()-8))</f>
      </c>
      <c r="F9198">
        <f>IF(INDEX(Transactions!$J:$J,ROW()-8)="",0,INDEX(Transactions!$O:$O,ROW()-8))</f>
      </c>
    </row>
    <row r="9199" spans="1:7">
      <c r="B9199">
        <f>IF(INDEX(Transactions!$J:$J,ROW()-8)="",TODAY(),INDEX(Transactions!$G:$G,ROW()-8))</f>
      </c>
      <c r="F9199">
        <f>IF(INDEX(Transactions!$J:$J,ROW()-8)="",0,INDEX(Transactions!$O:$O,ROW()-8))</f>
      </c>
    </row>
    <row r="9200" spans="1:7">
      <c r="B9200">
        <f>IF(INDEX(Transactions!$J:$J,ROW()-8)="",TODAY(),INDEX(Transactions!$G:$G,ROW()-8))</f>
      </c>
      <c r="F9200">
        <f>IF(INDEX(Transactions!$J:$J,ROW()-8)="",0,INDEX(Transactions!$O:$O,ROW()-8))</f>
      </c>
    </row>
    <row r="9201" spans="1:7">
      <c r="B9201">
        <f>IF(INDEX(Transactions!$J:$J,ROW()-8)="",TODAY(),INDEX(Transactions!$G:$G,ROW()-8))</f>
      </c>
      <c r="F9201">
        <f>IF(INDEX(Transactions!$J:$J,ROW()-8)="",0,INDEX(Transactions!$O:$O,ROW()-8))</f>
      </c>
    </row>
    <row r="9202" spans="1:7">
      <c r="B9202">
        <f>IF(INDEX(Transactions!$J:$J,ROW()-8)="",TODAY(),INDEX(Transactions!$G:$G,ROW()-8))</f>
      </c>
      <c r="F9202">
        <f>IF(INDEX(Transactions!$J:$J,ROW()-8)="",0,INDEX(Transactions!$O:$O,ROW()-8))</f>
      </c>
    </row>
    <row r="9203" spans="1:7">
      <c r="B9203">
        <f>IF(INDEX(Transactions!$J:$J,ROW()-8)="",TODAY(),INDEX(Transactions!$G:$G,ROW()-8))</f>
      </c>
      <c r="F9203">
        <f>IF(INDEX(Transactions!$J:$J,ROW()-8)="",0,INDEX(Transactions!$O:$O,ROW()-8))</f>
      </c>
    </row>
    <row r="9204" spans="1:7">
      <c r="B9204">
        <f>IF(INDEX(Transactions!$J:$J,ROW()-8)="",TODAY(),INDEX(Transactions!$G:$G,ROW()-8))</f>
      </c>
      <c r="F9204">
        <f>IF(INDEX(Transactions!$J:$J,ROW()-8)="",0,INDEX(Transactions!$O:$O,ROW()-8))</f>
      </c>
    </row>
    <row r="9205" spans="1:7">
      <c r="B9205">
        <f>IF(INDEX(Transactions!$J:$J,ROW()-8)="",TODAY(),INDEX(Transactions!$G:$G,ROW()-8))</f>
      </c>
      <c r="F9205">
        <f>IF(INDEX(Transactions!$J:$J,ROW()-8)="",0,INDEX(Transactions!$O:$O,ROW()-8))</f>
      </c>
    </row>
    <row r="9206" spans="1:7">
      <c r="B9206">
        <f>IF(INDEX(Transactions!$J:$J,ROW()-8)="",TODAY(),INDEX(Transactions!$G:$G,ROW()-8))</f>
      </c>
      <c r="F9206">
        <f>IF(INDEX(Transactions!$J:$J,ROW()-8)="",0,INDEX(Transactions!$O:$O,ROW()-8))</f>
      </c>
    </row>
    <row r="9207" spans="1:7">
      <c r="B9207">
        <f>IF(INDEX(Transactions!$J:$J,ROW()-8)="",TODAY(),INDEX(Transactions!$G:$G,ROW()-8))</f>
      </c>
      <c r="F9207">
        <f>IF(INDEX(Transactions!$J:$J,ROW()-8)="",0,INDEX(Transactions!$O:$O,ROW()-8))</f>
      </c>
    </row>
    <row r="9208" spans="1:7">
      <c r="B9208">
        <f>IF(INDEX(Transactions!$J:$J,ROW()-8)="",TODAY(),INDEX(Transactions!$G:$G,ROW()-8))</f>
      </c>
      <c r="F9208">
        <f>IF(INDEX(Transactions!$J:$J,ROW()-8)="",0,INDEX(Transactions!$O:$O,ROW()-8))</f>
      </c>
    </row>
    <row r="9209" spans="1:7">
      <c r="B9209">
        <f>IF(INDEX(Transactions!$J:$J,ROW()-8)="",TODAY(),INDEX(Transactions!$G:$G,ROW()-8))</f>
      </c>
      <c r="F9209">
        <f>IF(INDEX(Transactions!$J:$J,ROW()-8)="",0,INDEX(Transactions!$O:$O,ROW()-8))</f>
      </c>
    </row>
    <row r="9210" spans="1:7">
      <c r="B9210">
        <f>IF(INDEX(Transactions!$J:$J,ROW()-8)="",TODAY(),INDEX(Transactions!$G:$G,ROW()-8))</f>
      </c>
      <c r="F9210">
        <f>IF(INDEX(Transactions!$J:$J,ROW()-8)="",0,INDEX(Transactions!$O:$O,ROW()-8))</f>
      </c>
    </row>
    <row r="9211" spans="1:7">
      <c r="B9211">
        <f>IF(INDEX(Transactions!$J:$J,ROW()-8)="",TODAY(),INDEX(Transactions!$G:$G,ROW()-8))</f>
      </c>
      <c r="F9211">
        <f>IF(INDEX(Transactions!$J:$J,ROW()-8)="",0,INDEX(Transactions!$O:$O,ROW()-8))</f>
      </c>
    </row>
    <row r="9212" spans="1:7">
      <c r="B9212">
        <f>IF(INDEX(Transactions!$J:$J,ROW()-8)="",TODAY(),INDEX(Transactions!$G:$G,ROW()-8))</f>
      </c>
      <c r="F9212">
        <f>IF(INDEX(Transactions!$J:$J,ROW()-8)="",0,INDEX(Transactions!$O:$O,ROW()-8))</f>
      </c>
    </row>
    <row r="9213" spans="1:7">
      <c r="B9213">
        <f>IF(INDEX(Transactions!$J:$J,ROW()-8)="",TODAY(),INDEX(Transactions!$G:$G,ROW()-8))</f>
      </c>
      <c r="F9213">
        <f>IF(INDEX(Transactions!$J:$J,ROW()-8)="",0,INDEX(Transactions!$O:$O,ROW()-8))</f>
      </c>
    </row>
    <row r="9214" spans="1:7">
      <c r="B9214">
        <f>IF(INDEX(Transactions!$J:$J,ROW()-8)="",TODAY(),INDEX(Transactions!$G:$G,ROW()-8))</f>
      </c>
      <c r="F9214">
        <f>IF(INDEX(Transactions!$J:$J,ROW()-8)="",0,INDEX(Transactions!$O:$O,ROW()-8))</f>
      </c>
    </row>
    <row r="9215" spans="1:7">
      <c r="B9215">
        <f>IF(INDEX(Transactions!$J:$J,ROW()-8)="",TODAY(),INDEX(Transactions!$G:$G,ROW()-8))</f>
      </c>
      <c r="F9215">
        <f>IF(INDEX(Transactions!$J:$J,ROW()-8)="",0,INDEX(Transactions!$O:$O,ROW()-8))</f>
      </c>
    </row>
    <row r="9216" spans="1:7">
      <c r="B9216">
        <f>IF(INDEX(Transactions!$J:$J,ROW()-8)="",TODAY(),INDEX(Transactions!$G:$G,ROW()-8))</f>
      </c>
      <c r="F9216">
        <f>IF(INDEX(Transactions!$J:$J,ROW()-8)="",0,INDEX(Transactions!$O:$O,ROW()-8))</f>
      </c>
    </row>
    <row r="9217" spans="1:7">
      <c r="B9217">
        <f>IF(INDEX(Transactions!$J:$J,ROW()-8)="",TODAY(),INDEX(Transactions!$G:$G,ROW()-8))</f>
      </c>
      <c r="F9217">
        <f>IF(INDEX(Transactions!$J:$J,ROW()-8)="",0,INDEX(Transactions!$O:$O,ROW()-8))</f>
      </c>
    </row>
    <row r="9218" spans="1:7">
      <c r="B9218">
        <f>IF(INDEX(Transactions!$J:$J,ROW()-8)="",TODAY(),INDEX(Transactions!$G:$G,ROW()-8))</f>
      </c>
      <c r="F9218">
        <f>IF(INDEX(Transactions!$J:$J,ROW()-8)="",0,INDEX(Transactions!$O:$O,ROW()-8))</f>
      </c>
    </row>
    <row r="9219" spans="1:7">
      <c r="B9219">
        <f>IF(INDEX(Transactions!$J:$J,ROW()-8)="",TODAY(),INDEX(Transactions!$G:$G,ROW()-8))</f>
      </c>
      <c r="F9219">
        <f>IF(INDEX(Transactions!$J:$J,ROW()-8)="",0,INDEX(Transactions!$O:$O,ROW()-8))</f>
      </c>
    </row>
    <row r="9220" spans="1:7">
      <c r="B9220">
        <f>IF(INDEX(Transactions!$J:$J,ROW()-8)="",TODAY(),INDEX(Transactions!$G:$G,ROW()-8))</f>
      </c>
      <c r="F9220">
        <f>IF(INDEX(Transactions!$J:$J,ROW()-8)="",0,INDEX(Transactions!$O:$O,ROW()-8))</f>
      </c>
    </row>
    <row r="9221" spans="1:7">
      <c r="B9221">
        <f>IF(INDEX(Transactions!$J:$J,ROW()-8)="",TODAY(),INDEX(Transactions!$G:$G,ROW()-8))</f>
      </c>
      <c r="F9221">
        <f>IF(INDEX(Transactions!$J:$J,ROW()-8)="",0,INDEX(Transactions!$O:$O,ROW()-8))</f>
      </c>
    </row>
    <row r="9222" spans="1:7">
      <c r="B9222">
        <f>IF(INDEX(Transactions!$J:$J,ROW()-8)="",TODAY(),INDEX(Transactions!$G:$G,ROW()-8))</f>
      </c>
      <c r="F9222">
        <f>IF(INDEX(Transactions!$J:$J,ROW()-8)="",0,INDEX(Transactions!$O:$O,ROW()-8))</f>
      </c>
    </row>
    <row r="9223" spans="1:7">
      <c r="B9223">
        <f>IF(INDEX(Transactions!$J:$J,ROW()-8)="",TODAY(),INDEX(Transactions!$G:$G,ROW()-8))</f>
      </c>
      <c r="F9223">
        <f>IF(INDEX(Transactions!$J:$J,ROW()-8)="",0,INDEX(Transactions!$O:$O,ROW()-8))</f>
      </c>
    </row>
    <row r="9224" spans="1:7">
      <c r="B9224">
        <f>IF(INDEX(Transactions!$J:$J,ROW()-8)="",TODAY(),INDEX(Transactions!$G:$G,ROW()-8))</f>
      </c>
      <c r="F9224">
        <f>IF(INDEX(Transactions!$J:$J,ROW()-8)="",0,INDEX(Transactions!$O:$O,ROW()-8))</f>
      </c>
    </row>
    <row r="9225" spans="1:7">
      <c r="B9225">
        <f>IF(INDEX(Transactions!$J:$J,ROW()-8)="",TODAY(),INDEX(Transactions!$G:$G,ROW()-8))</f>
      </c>
      <c r="F9225">
        <f>IF(INDEX(Transactions!$J:$J,ROW()-8)="",0,INDEX(Transactions!$O:$O,ROW()-8))</f>
      </c>
    </row>
    <row r="9226" spans="1:7">
      <c r="B9226">
        <f>IF(INDEX(Transactions!$J:$J,ROW()-8)="",TODAY(),INDEX(Transactions!$G:$G,ROW()-8))</f>
      </c>
      <c r="F9226">
        <f>IF(INDEX(Transactions!$J:$J,ROW()-8)="",0,INDEX(Transactions!$O:$O,ROW()-8))</f>
      </c>
    </row>
    <row r="9227" spans="1:7">
      <c r="B9227">
        <f>IF(INDEX(Transactions!$J:$J,ROW()-8)="",TODAY(),INDEX(Transactions!$G:$G,ROW()-8))</f>
      </c>
      <c r="F9227">
        <f>IF(INDEX(Transactions!$J:$J,ROW()-8)="",0,INDEX(Transactions!$O:$O,ROW()-8))</f>
      </c>
    </row>
    <row r="9228" spans="1:7">
      <c r="B9228">
        <f>IF(INDEX(Transactions!$J:$J,ROW()-8)="",TODAY(),INDEX(Transactions!$G:$G,ROW()-8))</f>
      </c>
      <c r="F9228">
        <f>IF(INDEX(Transactions!$J:$J,ROW()-8)="",0,INDEX(Transactions!$O:$O,ROW()-8))</f>
      </c>
    </row>
    <row r="9229" spans="1:7">
      <c r="B9229">
        <f>IF(INDEX(Transactions!$J:$J,ROW()-8)="",TODAY(),INDEX(Transactions!$G:$G,ROW()-8))</f>
      </c>
      <c r="F9229">
        <f>IF(INDEX(Transactions!$J:$J,ROW()-8)="",0,INDEX(Transactions!$O:$O,ROW()-8))</f>
      </c>
    </row>
    <row r="9230" spans="1:7">
      <c r="B9230">
        <f>IF(INDEX(Transactions!$J:$J,ROW()-8)="",TODAY(),INDEX(Transactions!$G:$G,ROW()-8))</f>
      </c>
      <c r="F9230">
        <f>IF(INDEX(Transactions!$J:$J,ROW()-8)="",0,INDEX(Transactions!$O:$O,ROW()-8))</f>
      </c>
    </row>
    <row r="9231" spans="1:7">
      <c r="B9231">
        <f>IF(INDEX(Transactions!$J:$J,ROW()-8)="",TODAY(),INDEX(Transactions!$G:$G,ROW()-8))</f>
      </c>
      <c r="F9231">
        <f>IF(INDEX(Transactions!$J:$J,ROW()-8)="",0,INDEX(Transactions!$O:$O,ROW()-8))</f>
      </c>
    </row>
    <row r="9232" spans="1:7">
      <c r="B9232">
        <f>IF(INDEX(Transactions!$J:$J,ROW()-8)="",TODAY(),INDEX(Transactions!$G:$G,ROW()-8))</f>
      </c>
      <c r="F9232">
        <f>IF(INDEX(Transactions!$J:$J,ROW()-8)="",0,INDEX(Transactions!$O:$O,ROW()-8))</f>
      </c>
    </row>
    <row r="9233" spans="1:7">
      <c r="B9233">
        <f>IF(INDEX(Transactions!$J:$J,ROW()-8)="",TODAY(),INDEX(Transactions!$G:$G,ROW()-8))</f>
      </c>
      <c r="F9233">
        <f>IF(INDEX(Transactions!$J:$J,ROW()-8)="",0,INDEX(Transactions!$O:$O,ROW()-8))</f>
      </c>
    </row>
    <row r="9234" spans="1:7">
      <c r="B9234">
        <f>IF(INDEX(Transactions!$J:$J,ROW()-8)="",TODAY(),INDEX(Transactions!$G:$G,ROW()-8))</f>
      </c>
      <c r="F9234">
        <f>IF(INDEX(Transactions!$J:$J,ROW()-8)="",0,INDEX(Transactions!$O:$O,ROW()-8))</f>
      </c>
    </row>
    <row r="9235" spans="1:7">
      <c r="B9235">
        <f>IF(INDEX(Transactions!$J:$J,ROW()-8)="",TODAY(),INDEX(Transactions!$G:$G,ROW()-8))</f>
      </c>
      <c r="F9235">
        <f>IF(INDEX(Transactions!$J:$J,ROW()-8)="",0,INDEX(Transactions!$O:$O,ROW()-8))</f>
      </c>
    </row>
    <row r="9236" spans="1:7">
      <c r="B9236">
        <f>IF(INDEX(Transactions!$J:$J,ROW()-8)="",TODAY(),INDEX(Transactions!$G:$G,ROW()-8))</f>
      </c>
      <c r="F9236">
        <f>IF(INDEX(Transactions!$J:$J,ROW()-8)="",0,INDEX(Transactions!$O:$O,ROW()-8))</f>
      </c>
    </row>
    <row r="9237" spans="1:7">
      <c r="B9237">
        <f>IF(INDEX(Transactions!$J:$J,ROW()-8)="",TODAY(),INDEX(Transactions!$G:$G,ROW()-8))</f>
      </c>
      <c r="F9237">
        <f>IF(INDEX(Transactions!$J:$J,ROW()-8)="",0,INDEX(Transactions!$O:$O,ROW()-8))</f>
      </c>
    </row>
    <row r="9238" spans="1:7">
      <c r="B9238">
        <f>IF(INDEX(Transactions!$J:$J,ROW()-8)="",TODAY(),INDEX(Transactions!$G:$G,ROW()-8))</f>
      </c>
      <c r="F9238">
        <f>IF(INDEX(Transactions!$J:$J,ROW()-8)="",0,INDEX(Transactions!$O:$O,ROW()-8))</f>
      </c>
    </row>
    <row r="9239" spans="1:7">
      <c r="B9239">
        <f>IF(INDEX(Transactions!$J:$J,ROW()-8)="",TODAY(),INDEX(Transactions!$G:$G,ROW()-8))</f>
      </c>
      <c r="F9239">
        <f>IF(INDEX(Transactions!$J:$J,ROW()-8)="",0,INDEX(Transactions!$O:$O,ROW()-8))</f>
      </c>
    </row>
    <row r="9240" spans="1:7">
      <c r="B9240">
        <f>IF(INDEX(Transactions!$J:$J,ROW()-8)="",TODAY(),INDEX(Transactions!$G:$G,ROW()-8))</f>
      </c>
      <c r="F9240">
        <f>IF(INDEX(Transactions!$J:$J,ROW()-8)="",0,INDEX(Transactions!$O:$O,ROW()-8))</f>
      </c>
    </row>
    <row r="9241" spans="1:7">
      <c r="B9241">
        <f>IF(INDEX(Transactions!$J:$J,ROW()-8)="",TODAY(),INDEX(Transactions!$G:$G,ROW()-8))</f>
      </c>
      <c r="F9241">
        <f>IF(INDEX(Transactions!$J:$J,ROW()-8)="",0,INDEX(Transactions!$O:$O,ROW()-8))</f>
      </c>
    </row>
    <row r="9242" spans="1:7">
      <c r="B9242">
        <f>IF(INDEX(Transactions!$J:$J,ROW()-8)="",TODAY(),INDEX(Transactions!$G:$G,ROW()-8))</f>
      </c>
      <c r="F9242">
        <f>IF(INDEX(Transactions!$J:$J,ROW()-8)="",0,INDEX(Transactions!$O:$O,ROW()-8))</f>
      </c>
    </row>
    <row r="9243" spans="1:7">
      <c r="B9243">
        <f>IF(INDEX(Transactions!$J:$J,ROW()-8)="",TODAY(),INDEX(Transactions!$G:$G,ROW()-8))</f>
      </c>
      <c r="F9243">
        <f>IF(INDEX(Transactions!$J:$J,ROW()-8)="",0,INDEX(Transactions!$O:$O,ROW()-8))</f>
      </c>
    </row>
    <row r="9244" spans="1:7">
      <c r="B9244">
        <f>IF(INDEX(Transactions!$J:$J,ROW()-8)="",TODAY(),INDEX(Transactions!$G:$G,ROW()-8))</f>
      </c>
      <c r="F9244">
        <f>IF(INDEX(Transactions!$J:$J,ROW()-8)="",0,INDEX(Transactions!$O:$O,ROW()-8))</f>
      </c>
    </row>
    <row r="9245" spans="1:7">
      <c r="B9245">
        <f>IF(INDEX(Transactions!$J:$J,ROW()-8)="",TODAY(),INDEX(Transactions!$G:$G,ROW()-8))</f>
      </c>
      <c r="F9245">
        <f>IF(INDEX(Transactions!$J:$J,ROW()-8)="",0,INDEX(Transactions!$O:$O,ROW()-8))</f>
      </c>
    </row>
    <row r="9246" spans="1:7">
      <c r="B9246">
        <f>IF(INDEX(Transactions!$J:$J,ROW()-8)="",TODAY(),INDEX(Transactions!$G:$G,ROW()-8))</f>
      </c>
      <c r="F9246">
        <f>IF(INDEX(Transactions!$J:$J,ROW()-8)="",0,INDEX(Transactions!$O:$O,ROW()-8))</f>
      </c>
    </row>
    <row r="9247" spans="1:7">
      <c r="B9247">
        <f>IF(INDEX(Transactions!$J:$J,ROW()-8)="",TODAY(),INDEX(Transactions!$G:$G,ROW()-8))</f>
      </c>
      <c r="F9247">
        <f>IF(INDEX(Transactions!$J:$J,ROW()-8)="",0,INDEX(Transactions!$O:$O,ROW()-8))</f>
      </c>
    </row>
    <row r="9248" spans="1:7">
      <c r="B9248">
        <f>IF(INDEX(Transactions!$J:$J,ROW()-8)="",TODAY(),INDEX(Transactions!$G:$G,ROW()-8))</f>
      </c>
      <c r="F9248">
        <f>IF(INDEX(Transactions!$J:$J,ROW()-8)="",0,INDEX(Transactions!$O:$O,ROW()-8))</f>
      </c>
    </row>
    <row r="9249" spans="1:7">
      <c r="B9249">
        <f>IF(INDEX(Transactions!$J:$J,ROW()-8)="",TODAY(),INDEX(Transactions!$G:$G,ROW()-8))</f>
      </c>
      <c r="F9249">
        <f>IF(INDEX(Transactions!$J:$J,ROW()-8)="",0,INDEX(Transactions!$O:$O,ROW()-8))</f>
      </c>
    </row>
    <row r="9250" spans="1:7">
      <c r="B9250">
        <f>IF(INDEX(Transactions!$J:$J,ROW()-8)="",TODAY(),INDEX(Transactions!$G:$G,ROW()-8))</f>
      </c>
      <c r="F9250">
        <f>IF(INDEX(Transactions!$J:$J,ROW()-8)="",0,INDEX(Transactions!$O:$O,ROW()-8))</f>
      </c>
    </row>
    <row r="9251" spans="1:7">
      <c r="B9251">
        <f>IF(INDEX(Transactions!$J:$J,ROW()-8)="",TODAY(),INDEX(Transactions!$G:$G,ROW()-8))</f>
      </c>
      <c r="F9251">
        <f>IF(INDEX(Transactions!$J:$J,ROW()-8)="",0,INDEX(Transactions!$O:$O,ROW()-8))</f>
      </c>
    </row>
    <row r="9252" spans="1:7">
      <c r="B9252">
        <f>IF(INDEX(Transactions!$J:$J,ROW()-8)="",TODAY(),INDEX(Transactions!$G:$G,ROW()-8))</f>
      </c>
      <c r="F9252">
        <f>IF(INDEX(Transactions!$J:$J,ROW()-8)="",0,INDEX(Transactions!$O:$O,ROW()-8))</f>
      </c>
    </row>
    <row r="9253" spans="1:7">
      <c r="B9253">
        <f>IF(INDEX(Transactions!$J:$J,ROW()-8)="",TODAY(),INDEX(Transactions!$G:$G,ROW()-8))</f>
      </c>
      <c r="F9253">
        <f>IF(INDEX(Transactions!$J:$J,ROW()-8)="",0,INDEX(Transactions!$O:$O,ROW()-8))</f>
      </c>
    </row>
    <row r="9254" spans="1:7">
      <c r="B9254">
        <f>IF(INDEX(Transactions!$J:$J,ROW()-8)="",TODAY(),INDEX(Transactions!$G:$G,ROW()-8))</f>
      </c>
      <c r="F9254">
        <f>IF(INDEX(Transactions!$J:$J,ROW()-8)="",0,INDEX(Transactions!$O:$O,ROW()-8))</f>
      </c>
    </row>
    <row r="9255" spans="1:7">
      <c r="B9255">
        <f>IF(INDEX(Transactions!$J:$J,ROW()-8)="",TODAY(),INDEX(Transactions!$G:$G,ROW()-8))</f>
      </c>
      <c r="F9255">
        <f>IF(INDEX(Transactions!$J:$J,ROW()-8)="",0,INDEX(Transactions!$O:$O,ROW()-8))</f>
      </c>
    </row>
    <row r="9256" spans="1:7">
      <c r="B9256">
        <f>IF(INDEX(Transactions!$J:$J,ROW()-8)="",TODAY(),INDEX(Transactions!$G:$G,ROW()-8))</f>
      </c>
      <c r="F9256">
        <f>IF(INDEX(Transactions!$J:$J,ROW()-8)="",0,INDEX(Transactions!$O:$O,ROW()-8))</f>
      </c>
    </row>
    <row r="9257" spans="1:7">
      <c r="B9257">
        <f>IF(INDEX(Transactions!$J:$J,ROW()-8)="",TODAY(),INDEX(Transactions!$G:$G,ROW()-8))</f>
      </c>
      <c r="F9257">
        <f>IF(INDEX(Transactions!$J:$J,ROW()-8)="",0,INDEX(Transactions!$O:$O,ROW()-8))</f>
      </c>
    </row>
    <row r="9258" spans="1:7">
      <c r="B9258">
        <f>IF(INDEX(Transactions!$J:$J,ROW()-8)="",TODAY(),INDEX(Transactions!$G:$G,ROW()-8))</f>
      </c>
      <c r="F9258">
        <f>IF(INDEX(Transactions!$J:$J,ROW()-8)="",0,INDEX(Transactions!$O:$O,ROW()-8))</f>
      </c>
    </row>
    <row r="9259" spans="1:7">
      <c r="B9259">
        <f>IF(INDEX(Transactions!$J:$J,ROW()-8)="",TODAY(),INDEX(Transactions!$G:$G,ROW()-8))</f>
      </c>
      <c r="F9259">
        <f>IF(INDEX(Transactions!$J:$J,ROW()-8)="",0,INDEX(Transactions!$O:$O,ROW()-8))</f>
      </c>
    </row>
    <row r="9260" spans="1:7">
      <c r="B9260">
        <f>IF(INDEX(Transactions!$J:$J,ROW()-8)="",TODAY(),INDEX(Transactions!$G:$G,ROW()-8))</f>
      </c>
      <c r="F9260">
        <f>IF(INDEX(Transactions!$J:$J,ROW()-8)="",0,INDEX(Transactions!$O:$O,ROW()-8))</f>
      </c>
    </row>
    <row r="9261" spans="1:7">
      <c r="B9261">
        <f>IF(INDEX(Transactions!$J:$J,ROW()-8)="",TODAY(),INDEX(Transactions!$G:$G,ROW()-8))</f>
      </c>
      <c r="F9261">
        <f>IF(INDEX(Transactions!$J:$J,ROW()-8)="",0,INDEX(Transactions!$O:$O,ROW()-8))</f>
      </c>
    </row>
    <row r="9262" spans="1:7">
      <c r="B9262">
        <f>IF(INDEX(Transactions!$J:$J,ROW()-8)="",TODAY(),INDEX(Transactions!$G:$G,ROW()-8))</f>
      </c>
      <c r="F9262">
        <f>IF(INDEX(Transactions!$J:$J,ROW()-8)="",0,INDEX(Transactions!$O:$O,ROW()-8))</f>
      </c>
    </row>
    <row r="9263" spans="1:7">
      <c r="B9263">
        <f>IF(INDEX(Transactions!$J:$J,ROW()-8)="",TODAY(),INDEX(Transactions!$G:$G,ROW()-8))</f>
      </c>
      <c r="F9263">
        <f>IF(INDEX(Transactions!$J:$J,ROW()-8)="",0,INDEX(Transactions!$O:$O,ROW()-8))</f>
      </c>
    </row>
    <row r="9264" spans="1:7">
      <c r="B9264">
        <f>IF(INDEX(Transactions!$J:$J,ROW()-8)="",TODAY(),INDEX(Transactions!$G:$G,ROW()-8))</f>
      </c>
      <c r="F9264">
        <f>IF(INDEX(Transactions!$J:$J,ROW()-8)="",0,INDEX(Transactions!$O:$O,ROW()-8))</f>
      </c>
    </row>
    <row r="9265" spans="1:7">
      <c r="B9265">
        <f>IF(INDEX(Transactions!$J:$J,ROW()-8)="",TODAY(),INDEX(Transactions!$G:$G,ROW()-8))</f>
      </c>
      <c r="F9265">
        <f>IF(INDEX(Transactions!$J:$J,ROW()-8)="",0,INDEX(Transactions!$O:$O,ROW()-8))</f>
      </c>
    </row>
    <row r="9266" spans="1:7">
      <c r="B9266">
        <f>IF(INDEX(Transactions!$J:$J,ROW()-8)="",TODAY(),INDEX(Transactions!$G:$G,ROW()-8))</f>
      </c>
      <c r="F9266">
        <f>IF(INDEX(Transactions!$J:$J,ROW()-8)="",0,INDEX(Transactions!$O:$O,ROW()-8))</f>
      </c>
    </row>
    <row r="9267" spans="1:7">
      <c r="B9267">
        <f>IF(INDEX(Transactions!$J:$J,ROW()-8)="",TODAY(),INDEX(Transactions!$G:$G,ROW()-8))</f>
      </c>
      <c r="F9267">
        <f>IF(INDEX(Transactions!$J:$J,ROW()-8)="",0,INDEX(Transactions!$O:$O,ROW()-8))</f>
      </c>
    </row>
    <row r="9268" spans="1:7">
      <c r="B9268">
        <f>IF(INDEX(Transactions!$J:$J,ROW()-8)="",TODAY(),INDEX(Transactions!$G:$G,ROW()-8))</f>
      </c>
      <c r="F9268">
        <f>IF(INDEX(Transactions!$J:$J,ROW()-8)="",0,INDEX(Transactions!$O:$O,ROW()-8))</f>
      </c>
    </row>
    <row r="9269" spans="1:7">
      <c r="B9269">
        <f>IF(INDEX(Transactions!$J:$J,ROW()-8)="",TODAY(),INDEX(Transactions!$G:$G,ROW()-8))</f>
      </c>
      <c r="F9269">
        <f>IF(INDEX(Transactions!$J:$J,ROW()-8)="",0,INDEX(Transactions!$O:$O,ROW()-8))</f>
      </c>
    </row>
    <row r="9270" spans="1:7">
      <c r="B9270">
        <f>IF(INDEX(Transactions!$J:$J,ROW()-8)="",TODAY(),INDEX(Transactions!$G:$G,ROW()-8))</f>
      </c>
      <c r="F9270">
        <f>IF(INDEX(Transactions!$J:$J,ROW()-8)="",0,INDEX(Transactions!$O:$O,ROW()-8))</f>
      </c>
    </row>
    <row r="9271" spans="1:7">
      <c r="B9271">
        <f>IF(INDEX(Transactions!$J:$J,ROW()-8)="",TODAY(),INDEX(Transactions!$G:$G,ROW()-8))</f>
      </c>
      <c r="F9271">
        <f>IF(INDEX(Transactions!$J:$J,ROW()-8)="",0,INDEX(Transactions!$O:$O,ROW()-8))</f>
      </c>
    </row>
    <row r="9272" spans="1:7">
      <c r="B9272">
        <f>IF(INDEX(Transactions!$J:$J,ROW()-8)="",TODAY(),INDEX(Transactions!$G:$G,ROW()-8))</f>
      </c>
      <c r="F9272">
        <f>IF(INDEX(Transactions!$J:$J,ROW()-8)="",0,INDEX(Transactions!$O:$O,ROW()-8))</f>
      </c>
    </row>
    <row r="9273" spans="1:7">
      <c r="B9273">
        <f>IF(INDEX(Transactions!$J:$J,ROW()-8)="",TODAY(),INDEX(Transactions!$G:$G,ROW()-8))</f>
      </c>
      <c r="F9273">
        <f>IF(INDEX(Transactions!$J:$J,ROW()-8)="",0,INDEX(Transactions!$O:$O,ROW()-8))</f>
      </c>
    </row>
    <row r="9274" spans="1:7">
      <c r="B9274">
        <f>IF(INDEX(Transactions!$J:$J,ROW()-8)="",TODAY(),INDEX(Transactions!$G:$G,ROW()-8))</f>
      </c>
      <c r="F9274">
        <f>IF(INDEX(Transactions!$J:$J,ROW()-8)="",0,INDEX(Transactions!$O:$O,ROW()-8))</f>
      </c>
    </row>
    <row r="9275" spans="1:7">
      <c r="B9275">
        <f>IF(INDEX(Transactions!$J:$J,ROW()-8)="",TODAY(),INDEX(Transactions!$G:$G,ROW()-8))</f>
      </c>
      <c r="F9275">
        <f>IF(INDEX(Transactions!$J:$J,ROW()-8)="",0,INDEX(Transactions!$O:$O,ROW()-8))</f>
      </c>
    </row>
    <row r="9276" spans="1:7">
      <c r="B9276">
        <f>IF(INDEX(Transactions!$J:$J,ROW()-8)="",TODAY(),INDEX(Transactions!$G:$G,ROW()-8))</f>
      </c>
      <c r="F9276">
        <f>IF(INDEX(Transactions!$J:$J,ROW()-8)="",0,INDEX(Transactions!$O:$O,ROW()-8))</f>
      </c>
    </row>
    <row r="9277" spans="1:7">
      <c r="B9277">
        <f>IF(INDEX(Transactions!$J:$J,ROW()-8)="",TODAY(),INDEX(Transactions!$G:$G,ROW()-8))</f>
      </c>
      <c r="F9277">
        <f>IF(INDEX(Transactions!$J:$J,ROW()-8)="",0,INDEX(Transactions!$O:$O,ROW()-8))</f>
      </c>
    </row>
    <row r="9278" spans="1:7">
      <c r="B9278">
        <f>IF(INDEX(Transactions!$J:$J,ROW()-8)="",TODAY(),INDEX(Transactions!$G:$G,ROW()-8))</f>
      </c>
      <c r="F9278">
        <f>IF(INDEX(Transactions!$J:$J,ROW()-8)="",0,INDEX(Transactions!$O:$O,ROW()-8))</f>
      </c>
    </row>
    <row r="9279" spans="1:7">
      <c r="B9279">
        <f>IF(INDEX(Transactions!$J:$J,ROW()-8)="",TODAY(),INDEX(Transactions!$G:$G,ROW()-8))</f>
      </c>
      <c r="F9279">
        <f>IF(INDEX(Transactions!$J:$J,ROW()-8)="",0,INDEX(Transactions!$O:$O,ROW()-8))</f>
      </c>
    </row>
    <row r="9280" spans="1:7">
      <c r="B9280">
        <f>IF(INDEX(Transactions!$J:$J,ROW()-8)="",TODAY(),INDEX(Transactions!$G:$G,ROW()-8))</f>
      </c>
      <c r="F9280">
        <f>IF(INDEX(Transactions!$J:$J,ROW()-8)="",0,INDEX(Transactions!$O:$O,ROW()-8))</f>
      </c>
    </row>
    <row r="9281" spans="1:7">
      <c r="B9281">
        <f>IF(INDEX(Transactions!$J:$J,ROW()-8)="",TODAY(),INDEX(Transactions!$G:$G,ROW()-8))</f>
      </c>
      <c r="F9281">
        <f>IF(INDEX(Transactions!$J:$J,ROW()-8)="",0,INDEX(Transactions!$O:$O,ROW()-8))</f>
      </c>
    </row>
    <row r="9282" spans="1:7">
      <c r="B9282">
        <f>IF(INDEX(Transactions!$J:$J,ROW()-8)="",TODAY(),INDEX(Transactions!$G:$G,ROW()-8))</f>
      </c>
      <c r="F9282">
        <f>IF(INDEX(Transactions!$J:$J,ROW()-8)="",0,INDEX(Transactions!$O:$O,ROW()-8))</f>
      </c>
    </row>
    <row r="9283" spans="1:7">
      <c r="B9283">
        <f>IF(INDEX(Transactions!$J:$J,ROW()-8)="",TODAY(),INDEX(Transactions!$G:$G,ROW()-8))</f>
      </c>
      <c r="F9283">
        <f>IF(INDEX(Transactions!$J:$J,ROW()-8)="",0,INDEX(Transactions!$O:$O,ROW()-8))</f>
      </c>
    </row>
    <row r="9284" spans="1:7">
      <c r="B9284">
        <f>IF(INDEX(Transactions!$J:$J,ROW()-8)="",TODAY(),INDEX(Transactions!$G:$G,ROW()-8))</f>
      </c>
      <c r="F9284">
        <f>IF(INDEX(Transactions!$J:$J,ROW()-8)="",0,INDEX(Transactions!$O:$O,ROW()-8))</f>
      </c>
    </row>
    <row r="9285" spans="1:7">
      <c r="B9285">
        <f>IF(INDEX(Transactions!$J:$J,ROW()-8)="",TODAY(),INDEX(Transactions!$G:$G,ROW()-8))</f>
      </c>
      <c r="F9285">
        <f>IF(INDEX(Transactions!$J:$J,ROW()-8)="",0,INDEX(Transactions!$O:$O,ROW()-8))</f>
      </c>
    </row>
    <row r="9286" spans="1:7">
      <c r="B9286">
        <f>IF(INDEX(Transactions!$J:$J,ROW()-8)="",TODAY(),INDEX(Transactions!$G:$G,ROW()-8))</f>
      </c>
      <c r="F9286">
        <f>IF(INDEX(Transactions!$J:$J,ROW()-8)="",0,INDEX(Transactions!$O:$O,ROW()-8))</f>
      </c>
    </row>
    <row r="9287" spans="1:7">
      <c r="B9287">
        <f>IF(INDEX(Transactions!$J:$J,ROW()-8)="",TODAY(),INDEX(Transactions!$G:$G,ROW()-8))</f>
      </c>
      <c r="F9287">
        <f>IF(INDEX(Transactions!$J:$J,ROW()-8)="",0,INDEX(Transactions!$O:$O,ROW()-8))</f>
      </c>
    </row>
    <row r="9288" spans="1:7">
      <c r="B9288">
        <f>IF(INDEX(Transactions!$J:$J,ROW()-8)="",TODAY(),INDEX(Transactions!$G:$G,ROW()-8))</f>
      </c>
      <c r="F9288">
        <f>IF(INDEX(Transactions!$J:$J,ROW()-8)="",0,INDEX(Transactions!$O:$O,ROW()-8))</f>
      </c>
    </row>
    <row r="9289" spans="1:7">
      <c r="B9289">
        <f>IF(INDEX(Transactions!$J:$J,ROW()-8)="",TODAY(),INDEX(Transactions!$G:$G,ROW()-8))</f>
      </c>
      <c r="F9289">
        <f>IF(INDEX(Transactions!$J:$J,ROW()-8)="",0,INDEX(Transactions!$O:$O,ROW()-8))</f>
      </c>
    </row>
    <row r="9290" spans="1:7">
      <c r="B9290">
        <f>IF(INDEX(Transactions!$J:$J,ROW()-8)="",TODAY(),INDEX(Transactions!$G:$G,ROW()-8))</f>
      </c>
      <c r="F9290">
        <f>IF(INDEX(Transactions!$J:$J,ROW()-8)="",0,INDEX(Transactions!$O:$O,ROW()-8))</f>
      </c>
    </row>
    <row r="9291" spans="1:7">
      <c r="B9291">
        <f>IF(INDEX(Transactions!$J:$J,ROW()-8)="",TODAY(),INDEX(Transactions!$G:$G,ROW()-8))</f>
      </c>
      <c r="F9291">
        <f>IF(INDEX(Transactions!$J:$J,ROW()-8)="",0,INDEX(Transactions!$O:$O,ROW()-8))</f>
      </c>
    </row>
    <row r="9292" spans="1:7">
      <c r="B9292">
        <f>IF(INDEX(Transactions!$J:$J,ROW()-8)="",TODAY(),INDEX(Transactions!$G:$G,ROW()-8))</f>
      </c>
      <c r="F9292">
        <f>IF(INDEX(Transactions!$J:$J,ROW()-8)="",0,INDEX(Transactions!$O:$O,ROW()-8))</f>
      </c>
    </row>
    <row r="9293" spans="1:7">
      <c r="B9293">
        <f>IF(INDEX(Transactions!$J:$J,ROW()-8)="",TODAY(),INDEX(Transactions!$G:$G,ROW()-8))</f>
      </c>
      <c r="F9293">
        <f>IF(INDEX(Transactions!$J:$J,ROW()-8)="",0,INDEX(Transactions!$O:$O,ROW()-8))</f>
      </c>
    </row>
    <row r="9294" spans="1:7">
      <c r="B9294">
        <f>IF(INDEX(Transactions!$J:$J,ROW()-8)="",TODAY(),INDEX(Transactions!$G:$G,ROW()-8))</f>
      </c>
      <c r="F9294">
        <f>IF(INDEX(Transactions!$J:$J,ROW()-8)="",0,INDEX(Transactions!$O:$O,ROW()-8))</f>
      </c>
    </row>
    <row r="9295" spans="1:7">
      <c r="B9295">
        <f>IF(INDEX(Transactions!$J:$J,ROW()-8)="",TODAY(),INDEX(Transactions!$G:$G,ROW()-8))</f>
      </c>
      <c r="F9295">
        <f>IF(INDEX(Transactions!$J:$J,ROW()-8)="",0,INDEX(Transactions!$O:$O,ROW()-8))</f>
      </c>
    </row>
    <row r="9296" spans="1:7">
      <c r="B9296">
        <f>IF(INDEX(Transactions!$J:$J,ROW()-8)="",TODAY(),INDEX(Transactions!$G:$G,ROW()-8))</f>
      </c>
      <c r="F9296">
        <f>IF(INDEX(Transactions!$J:$J,ROW()-8)="",0,INDEX(Transactions!$O:$O,ROW()-8))</f>
      </c>
    </row>
    <row r="9297" spans="1:7">
      <c r="B9297">
        <f>IF(INDEX(Transactions!$J:$J,ROW()-8)="",TODAY(),INDEX(Transactions!$G:$G,ROW()-8))</f>
      </c>
      <c r="F9297">
        <f>IF(INDEX(Transactions!$J:$J,ROW()-8)="",0,INDEX(Transactions!$O:$O,ROW()-8))</f>
      </c>
    </row>
    <row r="9298" spans="1:7">
      <c r="B9298">
        <f>IF(INDEX(Transactions!$J:$J,ROW()-8)="",TODAY(),INDEX(Transactions!$G:$G,ROW()-8))</f>
      </c>
      <c r="F9298">
        <f>IF(INDEX(Transactions!$J:$J,ROW()-8)="",0,INDEX(Transactions!$O:$O,ROW()-8))</f>
      </c>
    </row>
    <row r="9299" spans="1:7">
      <c r="B9299">
        <f>IF(INDEX(Transactions!$J:$J,ROW()-8)="",TODAY(),INDEX(Transactions!$G:$G,ROW()-8))</f>
      </c>
      <c r="F9299">
        <f>IF(INDEX(Transactions!$J:$J,ROW()-8)="",0,INDEX(Transactions!$O:$O,ROW()-8))</f>
      </c>
    </row>
    <row r="9300" spans="1:7">
      <c r="B9300">
        <f>IF(INDEX(Transactions!$J:$J,ROW()-8)="",TODAY(),INDEX(Transactions!$G:$G,ROW()-8))</f>
      </c>
      <c r="F9300">
        <f>IF(INDEX(Transactions!$J:$J,ROW()-8)="",0,INDEX(Transactions!$O:$O,ROW()-8))</f>
      </c>
    </row>
    <row r="9301" spans="1:7">
      <c r="B9301">
        <f>IF(INDEX(Transactions!$J:$J,ROW()-8)="",TODAY(),INDEX(Transactions!$G:$G,ROW()-8))</f>
      </c>
      <c r="F9301">
        <f>IF(INDEX(Transactions!$J:$J,ROW()-8)="",0,INDEX(Transactions!$O:$O,ROW()-8))</f>
      </c>
    </row>
    <row r="9302" spans="1:7">
      <c r="B9302">
        <f>IF(INDEX(Transactions!$J:$J,ROW()-8)="",TODAY(),INDEX(Transactions!$G:$G,ROW()-8))</f>
      </c>
      <c r="F9302">
        <f>IF(INDEX(Transactions!$J:$J,ROW()-8)="",0,INDEX(Transactions!$O:$O,ROW()-8))</f>
      </c>
    </row>
    <row r="9303" spans="1:7">
      <c r="B9303">
        <f>IF(INDEX(Transactions!$J:$J,ROW()-8)="",TODAY(),INDEX(Transactions!$G:$G,ROW()-8))</f>
      </c>
      <c r="F9303">
        <f>IF(INDEX(Transactions!$J:$J,ROW()-8)="",0,INDEX(Transactions!$O:$O,ROW()-8))</f>
      </c>
    </row>
    <row r="9304" spans="1:7">
      <c r="B9304">
        <f>IF(INDEX(Transactions!$J:$J,ROW()-8)="",TODAY(),INDEX(Transactions!$G:$G,ROW()-8))</f>
      </c>
      <c r="F9304">
        <f>IF(INDEX(Transactions!$J:$J,ROW()-8)="",0,INDEX(Transactions!$O:$O,ROW()-8))</f>
      </c>
    </row>
    <row r="9305" spans="1:7">
      <c r="B9305">
        <f>IF(INDEX(Transactions!$J:$J,ROW()-8)="",TODAY(),INDEX(Transactions!$G:$G,ROW()-8))</f>
      </c>
      <c r="F9305">
        <f>IF(INDEX(Transactions!$J:$J,ROW()-8)="",0,INDEX(Transactions!$O:$O,ROW()-8))</f>
      </c>
    </row>
    <row r="9306" spans="1:7">
      <c r="B9306">
        <f>IF(INDEX(Transactions!$J:$J,ROW()-8)="",TODAY(),INDEX(Transactions!$G:$G,ROW()-8))</f>
      </c>
      <c r="F9306">
        <f>IF(INDEX(Transactions!$J:$J,ROW()-8)="",0,INDEX(Transactions!$O:$O,ROW()-8))</f>
      </c>
    </row>
    <row r="9307" spans="1:7">
      <c r="B9307">
        <f>IF(INDEX(Transactions!$J:$J,ROW()-8)="",TODAY(),INDEX(Transactions!$G:$G,ROW()-8))</f>
      </c>
      <c r="F9307">
        <f>IF(INDEX(Transactions!$J:$J,ROW()-8)="",0,INDEX(Transactions!$O:$O,ROW()-8))</f>
      </c>
    </row>
    <row r="9308" spans="1:7">
      <c r="B9308">
        <f>IF(INDEX(Transactions!$J:$J,ROW()-8)="",TODAY(),INDEX(Transactions!$G:$G,ROW()-8))</f>
      </c>
      <c r="F9308">
        <f>IF(INDEX(Transactions!$J:$J,ROW()-8)="",0,INDEX(Transactions!$O:$O,ROW()-8))</f>
      </c>
    </row>
    <row r="9309" spans="1:7">
      <c r="B9309">
        <f>IF(INDEX(Transactions!$J:$J,ROW()-8)="",TODAY(),INDEX(Transactions!$G:$G,ROW()-8))</f>
      </c>
      <c r="F9309">
        <f>IF(INDEX(Transactions!$J:$J,ROW()-8)="",0,INDEX(Transactions!$O:$O,ROW()-8))</f>
      </c>
    </row>
    <row r="9310" spans="1:7">
      <c r="B9310">
        <f>IF(INDEX(Transactions!$J:$J,ROW()-8)="",TODAY(),INDEX(Transactions!$G:$G,ROW()-8))</f>
      </c>
      <c r="F9310">
        <f>IF(INDEX(Transactions!$J:$J,ROW()-8)="",0,INDEX(Transactions!$O:$O,ROW()-8))</f>
      </c>
    </row>
    <row r="9311" spans="1:7">
      <c r="B9311">
        <f>IF(INDEX(Transactions!$J:$J,ROW()-8)="",TODAY(),INDEX(Transactions!$G:$G,ROW()-8))</f>
      </c>
      <c r="F9311">
        <f>IF(INDEX(Transactions!$J:$J,ROW()-8)="",0,INDEX(Transactions!$O:$O,ROW()-8))</f>
      </c>
    </row>
    <row r="9312" spans="1:7">
      <c r="B9312">
        <f>IF(INDEX(Transactions!$J:$J,ROW()-8)="",TODAY(),INDEX(Transactions!$G:$G,ROW()-8))</f>
      </c>
      <c r="F9312">
        <f>IF(INDEX(Transactions!$J:$J,ROW()-8)="",0,INDEX(Transactions!$O:$O,ROW()-8))</f>
      </c>
    </row>
    <row r="9313" spans="1:7">
      <c r="B9313">
        <f>IF(INDEX(Transactions!$J:$J,ROW()-8)="",TODAY(),INDEX(Transactions!$G:$G,ROW()-8))</f>
      </c>
      <c r="F9313">
        <f>IF(INDEX(Transactions!$J:$J,ROW()-8)="",0,INDEX(Transactions!$O:$O,ROW()-8))</f>
      </c>
    </row>
    <row r="9314" spans="1:7">
      <c r="B9314">
        <f>IF(INDEX(Transactions!$J:$J,ROW()-8)="",TODAY(),INDEX(Transactions!$G:$G,ROW()-8))</f>
      </c>
      <c r="F9314">
        <f>IF(INDEX(Transactions!$J:$J,ROW()-8)="",0,INDEX(Transactions!$O:$O,ROW()-8))</f>
      </c>
    </row>
    <row r="9315" spans="1:7">
      <c r="B9315">
        <f>IF(INDEX(Transactions!$J:$J,ROW()-8)="",TODAY(),INDEX(Transactions!$G:$G,ROW()-8))</f>
      </c>
      <c r="F9315">
        <f>IF(INDEX(Transactions!$J:$J,ROW()-8)="",0,INDEX(Transactions!$O:$O,ROW()-8))</f>
      </c>
    </row>
    <row r="9316" spans="1:7">
      <c r="B9316">
        <f>IF(INDEX(Transactions!$J:$J,ROW()-8)="",TODAY(),INDEX(Transactions!$G:$G,ROW()-8))</f>
      </c>
      <c r="F9316">
        <f>IF(INDEX(Transactions!$J:$J,ROW()-8)="",0,INDEX(Transactions!$O:$O,ROW()-8))</f>
      </c>
    </row>
    <row r="9317" spans="1:7">
      <c r="B9317">
        <f>IF(INDEX(Transactions!$J:$J,ROW()-8)="",TODAY(),INDEX(Transactions!$G:$G,ROW()-8))</f>
      </c>
      <c r="F9317">
        <f>IF(INDEX(Transactions!$J:$J,ROW()-8)="",0,INDEX(Transactions!$O:$O,ROW()-8))</f>
      </c>
    </row>
    <row r="9318" spans="1:7">
      <c r="B9318">
        <f>IF(INDEX(Transactions!$J:$J,ROW()-8)="",TODAY(),INDEX(Transactions!$G:$G,ROW()-8))</f>
      </c>
      <c r="F9318">
        <f>IF(INDEX(Transactions!$J:$J,ROW()-8)="",0,INDEX(Transactions!$O:$O,ROW()-8))</f>
      </c>
    </row>
    <row r="9319" spans="1:7">
      <c r="B9319">
        <f>IF(INDEX(Transactions!$J:$J,ROW()-8)="",TODAY(),INDEX(Transactions!$G:$G,ROW()-8))</f>
      </c>
      <c r="F9319">
        <f>IF(INDEX(Transactions!$J:$J,ROW()-8)="",0,INDEX(Transactions!$O:$O,ROW()-8))</f>
      </c>
    </row>
    <row r="9320" spans="1:7">
      <c r="B9320">
        <f>IF(INDEX(Transactions!$J:$J,ROW()-8)="",TODAY(),INDEX(Transactions!$G:$G,ROW()-8))</f>
      </c>
      <c r="F9320">
        <f>IF(INDEX(Transactions!$J:$J,ROW()-8)="",0,INDEX(Transactions!$O:$O,ROW()-8))</f>
      </c>
    </row>
    <row r="9321" spans="1:7">
      <c r="B9321">
        <f>IF(INDEX(Transactions!$J:$J,ROW()-8)="",TODAY(),INDEX(Transactions!$G:$G,ROW()-8))</f>
      </c>
      <c r="F9321">
        <f>IF(INDEX(Transactions!$J:$J,ROW()-8)="",0,INDEX(Transactions!$O:$O,ROW()-8))</f>
      </c>
    </row>
    <row r="9322" spans="1:7">
      <c r="B9322">
        <f>IF(INDEX(Transactions!$J:$J,ROW()-8)="",TODAY(),INDEX(Transactions!$G:$G,ROW()-8))</f>
      </c>
      <c r="F9322">
        <f>IF(INDEX(Transactions!$J:$J,ROW()-8)="",0,INDEX(Transactions!$O:$O,ROW()-8))</f>
      </c>
    </row>
    <row r="9323" spans="1:7">
      <c r="B9323">
        <f>IF(INDEX(Transactions!$J:$J,ROW()-8)="",TODAY(),INDEX(Transactions!$G:$G,ROW()-8))</f>
      </c>
      <c r="F9323">
        <f>IF(INDEX(Transactions!$J:$J,ROW()-8)="",0,INDEX(Transactions!$O:$O,ROW()-8))</f>
      </c>
    </row>
    <row r="9324" spans="1:7">
      <c r="B9324">
        <f>IF(INDEX(Transactions!$J:$J,ROW()-8)="",TODAY(),INDEX(Transactions!$G:$G,ROW()-8))</f>
      </c>
      <c r="F9324">
        <f>IF(INDEX(Transactions!$J:$J,ROW()-8)="",0,INDEX(Transactions!$O:$O,ROW()-8))</f>
      </c>
    </row>
    <row r="9325" spans="1:7">
      <c r="B9325">
        <f>IF(INDEX(Transactions!$J:$J,ROW()-8)="",TODAY(),INDEX(Transactions!$G:$G,ROW()-8))</f>
      </c>
      <c r="F9325">
        <f>IF(INDEX(Transactions!$J:$J,ROW()-8)="",0,INDEX(Transactions!$O:$O,ROW()-8))</f>
      </c>
    </row>
    <row r="9326" spans="1:7">
      <c r="B9326">
        <f>IF(INDEX(Transactions!$J:$J,ROW()-8)="",TODAY(),INDEX(Transactions!$G:$G,ROW()-8))</f>
      </c>
      <c r="F9326">
        <f>IF(INDEX(Transactions!$J:$J,ROW()-8)="",0,INDEX(Transactions!$O:$O,ROW()-8))</f>
      </c>
    </row>
    <row r="9327" spans="1:7">
      <c r="B9327">
        <f>IF(INDEX(Transactions!$J:$J,ROW()-8)="",TODAY(),INDEX(Transactions!$G:$G,ROW()-8))</f>
      </c>
      <c r="F9327">
        <f>IF(INDEX(Transactions!$J:$J,ROW()-8)="",0,INDEX(Transactions!$O:$O,ROW()-8))</f>
      </c>
    </row>
    <row r="9328" spans="1:7">
      <c r="B9328">
        <f>IF(INDEX(Transactions!$J:$J,ROW()-8)="",TODAY(),INDEX(Transactions!$G:$G,ROW()-8))</f>
      </c>
      <c r="F9328">
        <f>IF(INDEX(Transactions!$J:$J,ROW()-8)="",0,INDEX(Transactions!$O:$O,ROW()-8))</f>
      </c>
    </row>
    <row r="9329" spans="1:7">
      <c r="B9329">
        <f>IF(INDEX(Transactions!$J:$J,ROW()-8)="",TODAY(),INDEX(Transactions!$G:$G,ROW()-8))</f>
      </c>
      <c r="F9329">
        <f>IF(INDEX(Transactions!$J:$J,ROW()-8)="",0,INDEX(Transactions!$O:$O,ROW()-8))</f>
      </c>
    </row>
    <row r="9330" spans="1:7">
      <c r="B9330">
        <f>IF(INDEX(Transactions!$J:$J,ROW()-8)="",TODAY(),INDEX(Transactions!$G:$G,ROW()-8))</f>
      </c>
      <c r="F9330">
        <f>IF(INDEX(Transactions!$J:$J,ROW()-8)="",0,INDEX(Transactions!$O:$O,ROW()-8))</f>
      </c>
    </row>
    <row r="9331" spans="1:7">
      <c r="B9331">
        <f>IF(INDEX(Transactions!$J:$J,ROW()-8)="",TODAY(),INDEX(Transactions!$G:$G,ROW()-8))</f>
      </c>
      <c r="F9331">
        <f>IF(INDEX(Transactions!$J:$J,ROW()-8)="",0,INDEX(Transactions!$O:$O,ROW()-8))</f>
      </c>
    </row>
    <row r="9332" spans="1:7">
      <c r="B9332">
        <f>IF(INDEX(Transactions!$J:$J,ROW()-8)="",TODAY(),INDEX(Transactions!$G:$G,ROW()-8))</f>
      </c>
      <c r="F9332">
        <f>IF(INDEX(Transactions!$J:$J,ROW()-8)="",0,INDEX(Transactions!$O:$O,ROW()-8))</f>
      </c>
    </row>
    <row r="9333" spans="1:7">
      <c r="B9333">
        <f>IF(INDEX(Transactions!$J:$J,ROW()-8)="",TODAY(),INDEX(Transactions!$G:$G,ROW()-8))</f>
      </c>
      <c r="F9333">
        <f>IF(INDEX(Transactions!$J:$J,ROW()-8)="",0,INDEX(Transactions!$O:$O,ROW()-8))</f>
      </c>
    </row>
    <row r="9334" spans="1:7">
      <c r="B9334">
        <f>IF(INDEX(Transactions!$J:$J,ROW()-8)="",TODAY(),INDEX(Transactions!$G:$G,ROW()-8))</f>
      </c>
      <c r="F9334">
        <f>IF(INDEX(Transactions!$J:$J,ROW()-8)="",0,INDEX(Transactions!$O:$O,ROW()-8))</f>
      </c>
    </row>
    <row r="9335" spans="1:7">
      <c r="B9335">
        <f>IF(INDEX(Transactions!$J:$J,ROW()-8)="",TODAY(),INDEX(Transactions!$G:$G,ROW()-8))</f>
      </c>
      <c r="F9335">
        <f>IF(INDEX(Transactions!$J:$J,ROW()-8)="",0,INDEX(Transactions!$O:$O,ROW()-8))</f>
      </c>
    </row>
    <row r="9336" spans="1:7">
      <c r="B9336">
        <f>IF(INDEX(Transactions!$J:$J,ROW()-8)="",TODAY(),INDEX(Transactions!$G:$G,ROW()-8))</f>
      </c>
      <c r="F9336">
        <f>IF(INDEX(Transactions!$J:$J,ROW()-8)="",0,INDEX(Transactions!$O:$O,ROW()-8))</f>
      </c>
    </row>
    <row r="9337" spans="1:7">
      <c r="B9337">
        <f>IF(INDEX(Transactions!$J:$J,ROW()-8)="",TODAY(),INDEX(Transactions!$G:$G,ROW()-8))</f>
      </c>
      <c r="F9337">
        <f>IF(INDEX(Transactions!$J:$J,ROW()-8)="",0,INDEX(Transactions!$O:$O,ROW()-8))</f>
      </c>
    </row>
    <row r="9338" spans="1:7">
      <c r="B9338">
        <f>IF(INDEX(Transactions!$J:$J,ROW()-8)="",TODAY(),INDEX(Transactions!$G:$G,ROW()-8))</f>
      </c>
      <c r="F9338">
        <f>IF(INDEX(Transactions!$J:$J,ROW()-8)="",0,INDEX(Transactions!$O:$O,ROW()-8))</f>
      </c>
    </row>
    <row r="9339" spans="1:7">
      <c r="B9339">
        <f>IF(INDEX(Transactions!$J:$J,ROW()-8)="",TODAY(),INDEX(Transactions!$G:$G,ROW()-8))</f>
      </c>
      <c r="F9339">
        <f>IF(INDEX(Transactions!$J:$J,ROW()-8)="",0,INDEX(Transactions!$O:$O,ROW()-8))</f>
      </c>
    </row>
    <row r="9340" spans="1:7">
      <c r="B9340">
        <f>IF(INDEX(Transactions!$J:$J,ROW()-8)="",TODAY(),INDEX(Transactions!$G:$G,ROW()-8))</f>
      </c>
      <c r="F9340">
        <f>IF(INDEX(Transactions!$J:$J,ROW()-8)="",0,INDEX(Transactions!$O:$O,ROW()-8))</f>
      </c>
    </row>
    <row r="9341" spans="1:7">
      <c r="B9341">
        <f>IF(INDEX(Transactions!$J:$J,ROW()-8)="",TODAY(),INDEX(Transactions!$G:$G,ROW()-8))</f>
      </c>
      <c r="F9341">
        <f>IF(INDEX(Transactions!$J:$J,ROW()-8)="",0,INDEX(Transactions!$O:$O,ROW()-8))</f>
      </c>
    </row>
    <row r="9342" spans="1:7">
      <c r="B9342">
        <f>IF(INDEX(Transactions!$J:$J,ROW()-8)="",TODAY(),INDEX(Transactions!$G:$G,ROW()-8))</f>
      </c>
      <c r="F9342">
        <f>IF(INDEX(Transactions!$J:$J,ROW()-8)="",0,INDEX(Transactions!$O:$O,ROW()-8))</f>
      </c>
    </row>
    <row r="9343" spans="1:7">
      <c r="B9343">
        <f>IF(INDEX(Transactions!$J:$J,ROW()-8)="",TODAY(),INDEX(Transactions!$G:$G,ROW()-8))</f>
      </c>
      <c r="F9343">
        <f>IF(INDEX(Transactions!$J:$J,ROW()-8)="",0,INDEX(Transactions!$O:$O,ROW()-8))</f>
      </c>
    </row>
    <row r="9344" spans="1:7">
      <c r="B9344">
        <f>IF(INDEX(Transactions!$J:$J,ROW()-8)="",TODAY(),INDEX(Transactions!$G:$G,ROW()-8))</f>
      </c>
      <c r="F9344">
        <f>IF(INDEX(Transactions!$J:$J,ROW()-8)="",0,INDEX(Transactions!$O:$O,ROW()-8))</f>
      </c>
    </row>
    <row r="9345" spans="1:7">
      <c r="B9345">
        <f>IF(INDEX(Transactions!$J:$J,ROW()-8)="",TODAY(),INDEX(Transactions!$G:$G,ROW()-8))</f>
      </c>
      <c r="F9345">
        <f>IF(INDEX(Transactions!$J:$J,ROW()-8)="",0,INDEX(Transactions!$O:$O,ROW()-8))</f>
      </c>
    </row>
    <row r="9346" spans="1:7">
      <c r="B9346">
        <f>IF(INDEX(Transactions!$J:$J,ROW()-8)="",TODAY(),INDEX(Transactions!$G:$G,ROW()-8))</f>
      </c>
      <c r="F9346">
        <f>IF(INDEX(Transactions!$J:$J,ROW()-8)="",0,INDEX(Transactions!$O:$O,ROW()-8))</f>
      </c>
    </row>
    <row r="9347" spans="1:7">
      <c r="B9347">
        <f>IF(INDEX(Transactions!$J:$J,ROW()-8)="",TODAY(),INDEX(Transactions!$G:$G,ROW()-8))</f>
      </c>
      <c r="F9347">
        <f>IF(INDEX(Transactions!$J:$J,ROW()-8)="",0,INDEX(Transactions!$O:$O,ROW()-8))</f>
      </c>
    </row>
    <row r="9348" spans="1:7">
      <c r="B9348">
        <f>IF(INDEX(Transactions!$J:$J,ROW()-8)="",TODAY(),INDEX(Transactions!$G:$G,ROW()-8))</f>
      </c>
      <c r="F9348">
        <f>IF(INDEX(Transactions!$J:$J,ROW()-8)="",0,INDEX(Transactions!$O:$O,ROW()-8))</f>
      </c>
    </row>
    <row r="9349" spans="1:7">
      <c r="B9349">
        <f>IF(INDEX(Transactions!$J:$J,ROW()-8)="",TODAY(),INDEX(Transactions!$G:$G,ROW()-8))</f>
      </c>
      <c r="F9349">
        <f>IF(INDEX(Transactions!$J:$J,ROW()-8)="",0,INDEX(Transactions!$O:$O,ROW()-8))</f>
      </c>
    </row>
    <row r="9350" spans="1:7">
      <c r="B9350">
        <f>IF(INDEX(Transactions!$J:$J,ROW()-8)="",TODAY(),INDEX(Transactions!$G:$G,ROW()-8))</f>
      </c>
      <c r="F9350">
        <f>IF(INDEX(Transactions!$J:$J,ROW()-8)="",0,INDEX(Transactions!$O:$O,ROW()-8))</f>
      </c>
    </row>
    <row r="9351" spans="1:7">
      <c r="B9351">
        <f>IF(INDEX(Transactions!$J:$J,ROW()-8)="",TODAY(),INDEX(Transactions!$G:$G,ROW()-8))</f>
      </c>
      <c r="F9351">
        <f>IF(INDEX(Transactions!$J:$J,ROW()-8)="",0,INDEX(Transactions!$O:$O,ROW()-8))</f>
      </c>
    </row>
    <row r="9352" spans="1:7">
      <c r="B9352">
        <f>IF(INDEX(Transactions!$J:$J,ROW()-8)="",TODAY(),INDEX(Transactions!$G:$G,ROW()-8))</f>
      </c>
      <c r="F9352">
        <f>IF(INDEX(Transactions!$J:$J,ROW()-8)="",0,INDEX(Transactions!$O:$O,ROW()-8))</f>
      </c>
    </row>
    <row r="9353" spans="1:7">
      <c r="B9353">
        <f>IF(INDEX(Transactions!$J:$J,ROW()-8)="",TODAY(),INDEX(Transactions!$G:$G,ROW()-8))</f>
      </c>
      <c r="F9353">
        <f>IF(INDEX(Transactions!$J:$J,ROW()-8)="",0,INDEX(Transactions!$O:$O,ROW()-8))</f>
      </c>
    </row>
    <row r="9354" spans="1:7">
      <c r="B9354">
        <f>IF(INDEX(Transactions!$J:$J,ROW()-8)="",TODAY(),INDEX(Transactions!$G:$G,ROW()-8))</f>
      </c>
      <c r="F9354">
        <f>IF(INDEX(Transactions!$J:$J,ROW()-8)="",0,INDEX(Transactions!$O:$O,ROW()-8))</f>
      </c>
    </row>
    <row r="9355" spans="1:7">
      <c r="B9355">
        <f>IF(INDEX(Transactions!$J:$J,ROW()-8)="",TODAY(),INDEX(Transactions!$G:$G,ROW()-8))</f>
      </c>
      <c r="F9355">
        <f>IF(INDEX(Transactions!$J:$J,ROW()-8)="",0,INDEX(Transactions!$O:$O,ROW()-8))</f>
      </c>
    </row>
    <row r="9356" spans="1:7">
      <c r="B9356">
        <f>IF(INDEX(Transactions!$J:$J,ROW()-8)="",TODAY(),INDEX(Transactions!$G:$G,ROW()-8))</f>
      </c>
      <c r="F9356">
        <f>IF(INDEX(Transactions!$J:$J,ROW()-8)="",0,INDEX(Transactions!$O:$O,ROW()-8))</f>
      </c>
    </row>
    <row r="9357" spans="1:7">
      <c r="B9357">
        <f>IF(INDEX(Transactions!$J:$J,ROW()-8)="",TODAY(),INDEX(Transactions!$G:$G,ROW()-8))</f>
      </c>
      <c r="F9357">
        <f>IF(INDEX(Transactions!$J:$J,ROW()-8)="",0,INDEX(Transactions!$O:$O,ROW()-8))</f>
      </c>
    </row>
    <row r="9358" spans="1:7">
      <c r="B9358">
        <f>IF(INDEX(Transactions!$J:$J,ROW()-8)="",TODAY(),INDEX(Transactions!$G:$G,ROW()-8))</f>
      </c>
      <c r="F9358">
        <f>IF(INDEX(Transactions!$J:$J,ROW()-8)="",0,INDEX(Transactions!$O:$O,ROW()-8))</f>
      </c>
    </row>
    <row r="9359" spans="1:7">
      <c r="B9359">
        <f>IF(INDEX(Transactions!$J:$J,ROW()-8)="",TODAY(),INDEX(Transactions!$G:$G,ROW()-8))</f>
      </c>
      <c r="F9359">
        <f>IF(INDEX(Transactions!$J:$J,ROW()-8)="",0,INDEX(Transactions!$O:$O,ROW()-8))</f>
      </c>
    </row>
    <row r="9360" spans="1:7">
      <c r="B9360">
        <f>IF(INDEX(Transactions!$J:$J,ROW()-8)="",TODAY(),INDEX(Transactions!$G:$G,ROW()-8))</f>
      </c>
      <c r="F9360">
        <f>IF(INDEX(Transactions!$J:$J,ROW()-8)="",0,INDEX(Transactions!$O:$O,ROW()-8))</f>
      </c>
    </row>
    <row r="9361" spans="1:7">
      <c r="B9361">
        <f>IF(INDEX(Transactions!$J:$J,ROW()-8)="",TODAY(),INDEX(Transactions!$G:$G,ROW()-8))</f>
      </c>
      <c r="F9361">
        <f>IF(INDEX(Transactions!$J:$J,ROW()-8)="",0,INDEX(Transactions!$O:$O,ROW()-8))</f>
      </c>
    </row>
    <row r="9362" spans="1:7">
      <c r="B9362">
        <f>IF(INDEX(Transactions!$J:$J,ROW()-8)="",TODAY(),INDEX(Transactions!$G:$G,ROW()-8))</f>
      </c>
      <c r="F9362">
        <f>IF(INDEX(Transactions!$J:$J,ROW()-8)="",0,INDEX(Transactions!$O:$O,ROW()-8))</f>
      </c>
    </row>
    <row r="9363" spans="1:7">
      <c r="B9363">
        <f>IF(INDEX(Transactions!$J:$J,ROW()-8)="",TODAY(),INDEX(Transactions!$G:$G,ROW()-8))</f>
      </c>
      <c r="F9363">
        <f>IF(INDEX(Transactions!$J:$J,ROW()-8)="",0,INDEX(Transactions!$O:$O,ROW()-8))</f>
      </c>
    </row>
    <row r="9364" spans="1:7">
      <c r="B9364">
        <f>IF(INDEX(Transactions!$J:$J,ROW()-8)="",TODAY(),INDEX(Transactions!$G:$G,ROW()-8))</f>
      </c>
      <c r="F9364">
        <f>IF(INDEX(Transactions!$J:$J,ROW()-8)="",0,INDEX(Transactions!$O:$O,ROW()-8))</f>
      </c>
    </row>
    <row r="9365" spans="1:7">
      <c r="B9365">
        <f>IF(INDEX(Transactions!$J:$J,ROW()-8)="",TODAY(),INDEX(Transactions!$G:$G,ROW()-8))</f>
      </c>
      <c r="F9365">
        <f>IF(INDEX(Transactions!$J:$J,ROW()-8)="",0,INDEX(Transactions!$O:$O,ROW()-8))</f>
      </c>
    </row>
    <row r="9366" spans="1:7">
      <c r="B9366">
        <f>IF(INDEX(Transactions!$J:$J,ROW()-8)="",TODAY(),INDEX(Transactions!$G:$G,ROW()-8))</f>
      </c>
      <c r="F9366">
        <f>IF(INDEX(Transactions!$J:$J,ROW()-8)="",0,INDEX(Transactions!$O:$O,ROW()-8))</f>
      </c>
    </row>
    <row r="9367" spans="1:7">
      <c r="B9367">
        <f>IF(INDEX(Transactions!$J:$J,ROW()-8)="",TODAY(),INDEX(Transactions!$G:$G,ROW()-8))</f>
      </c>
      <c r="F9367">
        <f>IF(INDEX(Transactions!$J:$J,ROW()-8)="",0,INDEX(Transactions!$O:$O,ROW()-8))</f>
      </c>
    </row>
    <row r="9368" spans="1:7">
      <c r="B9368">
        <f>IF(INDEX(Transactions!$J:$J,ROW()-8)="",TODAY(),INDEX(Transactions!$G:$G,ROW()-8))</f>
      </c>
      <c r="F9368">
        <f>IF(INDEX(Transactions!$J:$J,ROW()-8)="",0,INDEX(Transactions!$O:$O,ROW()-8))</f>
      </c>
    </row>
    <row r="9369" spans="1:7">
      <c r="B9369">
        <f>IF(INDEX(Transactions!$J:$J,ROW()-8)="",TODAY(),INDEX(Transactions!$G:$G,ROW()-8))</f>
      </c>
      <c r="F9369">
        <f>IF(INDEX(Transactions!$J:$J,ROW()-8)="",0,INDEX(Transactions!$O:$O,ROW()-8))</f>
      </c>
    </row>
    <row r="9370" spans="1:7">
      <c r="B9370">
        <f>IF(INDEX(Transactions!$J:$J,ROW()-8)="",TODAY(),INDEX(Transactions!$G:$G,ROW()-8))</f>
      </c>
      <c r="F9370">
        <f>IF(INDEX(Transactions!$J:$J,ROW()-8)="",0,INDEX(Transactions!$O:$O,ROW()-8))</f>
      </c>
    </row>
    <row r="9371" spans="1:7">
      <c r="B9371">
        <f>IF(INDEX(Transactions!$J:$J,ROW()-8)="",TODAY(),INDEX(Transactions!$G:$G,ROW()-8))</f>
      </c>
      <c r="F9371">
        <f>IF(INDEX(Transactions!$J:$J,ROW()-8)="",0,INDEX(Transactions!$O:$O,ROW()-8))</f>
      </c>
    </row>
    <row r="9372" spans="1:7">
      <c r="B9372">
        <f>IF(INDEX(Transactions!$J:$J,ROW()-8)="",TODAY(),INDEX(Transactions!$G:$G,ROW()-8))</f>
      </c>
      <c r="F9372">
        <f>IF(INDEX(Transactions!$J:$J,ROW()-8)="",0,INDEX(Transactions!$O:$O,ROW()-8))</f>
      </c>
    </row>
    <row r="9373" spans="1:7">
      <c r="B9373">
        <f>IF(INDEX(Transactions!$J:$J,ROW()-8)="",TODAY(),INDEX(Transactions!$G:$G,ROW()-8))</f>
      </c>
      <c r="F9373">
        <f>IF(INDEX(Transactions!$J:$J,ROW()-8)="",0,INDEX(Transactions!$O:$O,ROW()-8))</f>
      </c>
    </row>
    <row r="9374" spans="1:7">
      <c r="B9374">
        <f>IF(INDEX(Transactions!$J:$J,ROW()-8)="",TODAY(),INDEX(Transactions!$G:$G,ROW()-8))</f>
      </c>
      <c r="F9374">
        <f>IF(INDEX(Transactions!$J:$J,ROW()-8)="",0,INDEX(Transactions!$O:$O,ROW()-8))</f>
      </c>
    </row>
    <row r="9375" spans="1:7">
      <c r="B9375">
        <f>IF(INDEX(Transactions!$J:$J,ROW()-8)="",TODAY(),INDEX(Transactions!$G:$G,ROW()-8))</f>
      </c>
      <c r="F9375">
        <f>IF(INDEX(Transactions!$J:$J,ROW()-8)="",0,INDEX(Transactions!$O:$O,ROW()-8))</f>
      </c>
    </row>
    <row r="9376" spans="1:7">
      <c r="B9376">
        <f>IF(INDEX(Transactions!$J:$J,ROW()-8)="",TODAY(),INDEX(Transactions!$G:$G,ROW()-8))</f>
      </c>
      <c r="F9376">
        <f>IF(INDEX(Transactions!$J:$J,ROW()-8)="",0,INDEX(Transactions!$O:$O,ROW()-8))</f>
      </c>
    </row>
    <row r="9377" spans="1:7">
      <c r="B9377">
        <f>IF(INDEX(Transactions!$J:$J,ROW()-8)="",TODAY(),INDEX(Transactions!$G:$G,ROW()-8))</f>
      </c>
      <c r="F9377">
        <f>IF(INDEX(Transactions!$J:$J,ROW()-8)="",0,INDEX(Transactions!$O:$O,ROW()-8))</f>
      </c>
    </row>
    <row r="9378" spans="1:7">
      <c r="B9378">
        <f>IF(INDEX(Transactions!$J:$J,ROW()-8)="",TODAY(),INDEX(Transactions!$G:$G,ROW()-8))</f>
      </c>
      <c r="F9378">
        <f>IF(INDEX(Transactions!$J:$J,ROW()-8)="",0,INDEX(Transactions!$O:$O,ROW()-8))</f>
      </c>
    </row>
    <row r="9379" spans="1:7">
      <c r="B9379">
        <f>IF(INDEX(Transactions!$J:$J,ROW()-8)="",TODAY(),INDEX(Transactions!$G:$G,ROW()-8))</f>
      </c>
      <c r="F9379">
        <f>IF(INDEX(Transactions!$J:$J,ROW()-8)="",0,INDEX(Transactions!$O:$O,ROW()-8))</f>
      </c>
    </row>
    <row r="9380" spans="1:7">
      <c r="B9380">
        <f>IF(INDEX(Transactions!$J:$J,ROW()-8)="",TODAY(),INDEX(Transactions!$G:$G,ROW()-8))</f>
      </c>
      <c r="F9380">
        <f>IF(INDEX(Transactions!$J:$J,ROW()-8)="",0,INDEX(Transactions!$O:$O,ROW()-8))</f>
      </c>
    </row>
    <row r="9381" spans="1:7">
      <c r="B9381">
        <f>IF(INDEX(Transactions!$J:$J,ROW()-8)="",TODAY(),INDEX(Transactions!$G:$G,ROW()-8))</f>
      </c>
      <c r="F9381">
        <f>IF(INDEX(Transactions!$J:$J,ROW()-8)="",0,INDEX(Transactions!$O:$O,ROW()-8))</f>
      </c>
    </row>
    <row r="9382" spans="1:7">
      <c r="B9382">
        <f>IF(INDEX(Transactions!$J:$J,ROW()-8)="",TODAY(),INDEX(Transactions!$G:$G,ROW()-8))</f>
      </c>
      <c r="F9382">
        <f>IF(INDEX(Transactions!$J:$J,ROW()-8)="",0,INDEX(Transactions!$O:$O,ROW()-8))</f>
      </c>
    </row>
    <row r="9383" spans="1:7">
      <c r="B9383">
        <f>IF(INDEX(Transactions!$J:$J,ROW()-8)="",TODAY(),INDEX(Transactions!$G:$G,ROW()-8))</f>
      </c>
      <c r="F9383">
        <f>IF(INDEX(Transactions!$J:$J,ROW()-8)="",0,INDEX(Transactions!$O:$O,ROW()-8))</f>
      </c>
    </row>
    <row r="9384" spans="1:7">
      <c r="B9384">
        <f>IF(INDEX(Transactions!$J:$J,ROW()-8)="",TODAY(),INDEX(Transactions!$G:$G,ROW()-8))</f>
      </c>
      <c r="F9384">
        <f>IF(INDEX(Transactions!$J:$J,ROW()-8)="",0,INDEX(Transactions!$O:$O,ROW()-8))</f>
      </c>
    </row>
    <row r="9385" spans="1:7">
      <c r="B9385">
        <f>IF(INDEX(Transactions!$J:$J,ROW()-8)="",TODAY(),INDEX(Transactions!$G:$G,ROW()-8))</f>
      </c>
      <c r="F9385">
        <f>IF(INDEX(Transactions!$J:$J,ROW()-8)="",0,INDEX(Transactions!$O:$O,ROW()-8))</f>
      </c>
    </row>
    <row r="9386" spans="1:7">
      <c r="B9386">
        <f>IF(INDEX(Transactions!$J:$J,ROW()-8)="",TODAY(),INDEX(Transactions!$G:$G,ROW()-8))</f>
      </c>
      <c r="F9386">
        <f>IF(INDEX(Transactions!$J:$J,ROW()-8)="",0,INDEX(Transactions!$O:$O,ROW()-8))</f>
      </c>
    </row>
    <row r="9387" spans="1:7">
      <c r="B9387">
        <f>IF(INDEX(Transactions!$J:$J,ROW()-8)="",TODAY(),INDEX(Transactions!$G:$G,ROW()-8))</f>
      </c>
      <c r="F9387">
        <f>IF(INDEX(Transactions!$J:$J,ROW()-8)="",0,INDEX(Transactions!$O:$O,ROW()-8))</f>
      </c>
    </row>
    <row r="9388" spans="1:7">
      <c r="B9388">
        <f>IF(INDEX(Transactions!$J:$J,ROW()-8)="",TODAY(),INDEX(Transactions!$G:$G,ROW()-8))</f>
      </c>
      <c r="F9388">
        <f>IF(INDEX(Transactions!$J:$J,ROW()-8)="",0,INDEX(Transactions!$O:$O,ROW()-8))</f>
      </c>
    </row>
    <row r="9389" spans="1:7">
      <c r="B9389">
        <f>IF(INDEX(Transactions!$J:$J,ROW()-8)="",TODAY(),INDEX(Transactions!$G:$G,ROW()-8))</f>
      </c>
      <c r="F9389">
        <f>IF(INDEX(Transactions!$J:$J,ROW()-8)="",0,INDEX(Transactions!$O:$O,ROW()-8))</f>
      </c>
    </row>
    <row r="9390" spans="1:7">
      <c r="B9390">
        <f>IF(INDEX(Transactions!$J:$J,ROW()-8)="",TODAY(),INDEX(Transactions!$G:$G,ROW()-8))</f>
      </c>
      <c r="F9390">
        <f>IF(INDEX(Transactions!$J:$J,ROW()-8)="",0,INDEX(Transactions!$O:$O,ROW()-8))</f>
      </c>
    </row>
    <row r="9391" spans="1:7">
      <c r="B9391">
        <f>IF(INDEX(Transactions!$J:$J,ROW()-8)="",TODAY(),INDEX(Transactions!$G:$G,ROW()-8))</f>
      </c>
      <c r="F9391">
        <f>IF(INDEX(Transactions!$J:$J,ROW()-8)="",0,INDEX(Transactions!$O:$O,ROW()-8))</f>
      </c>
    </row>
    <row r="9392" spans="1:7">
      <c r="B9392">
        <f>IF(INDEX(Transactions!$J:$J,ROW()-8)="",TODAY(),INDEX(Transactions!$G:$G,ROW()-8))</f>
      </c>
      <c r="F9392">
        <f>IF(INDEX(Transactions!$J:$J,ROW()-8)="",0,INDEX(Transactions!$O:$O,ROW()-8))</f>
      </c>
    </row>
    <row r="9393" spans="1:7">
      <c r="B9393">
        <f>IF(INDEX(Transactions!$J:$J,ROW()-8)="",TODAY(),INDEX(Transactions!$G:$G,ROW()-8))</f>
      </c>
      <c r="F9393">
        <f>IF(INDEX(Transactions!$J:$J,ROW()-8)="",0,INDEX(Transactions!$O:$O,ROW()-8))</f>
      </c>
    </row>
    <row r="9394" spans="1:7">
      <c r="B9394">
        <f>IF(INDEX(Transactions!$J:$J,ROW()-8)="",TODAY(),INDEX(Transactions!$G:$G,ROW()-8))</f>
      </c>
      <c r="F9394">
        <f>IF(INDEX(Transactions!$J:$J,ROW()-8)="",0,INDEX(Transactions!$O:$O,ROW()-8))</f>
      </c>
    </row>
    <row r="9395" spans="1:7">
      <c r="B9395">
        <f>IF(INDEX(Transactions!$J:$J,ROW()-8)="",TODAY(),INDEX(Transactions!$G:$G,ROW()-8))</f>
      </c>
      <c r="F9395">
        <f>IF(INDEX(Transactions!$J:$J,ROW()-8)="",0,INDEX(Transactions!$O:$O,ROW()-8))</f>
      </c>
    </row>
    <row r="9396" spans="1:7">
      <c r="B9396">
        <f>IF(INDEX(Transactions!$J:$J,ROW()-8)="",TODAY(),INDEX(Transactions!$G:$G,ROW()-8))</f>
      </c>
      <c r="F9396">
        <f>IF(INDEX(Transactions!$J:$J,ROW()-8)="",0,INDEX(Transactions!$O:$O,ROW()-8))</f>
      </c>
    </row>
    <row r="9397" spans="1:7">
      <c r="B9397">
        <f>IF(INDEX(Transactions!$J:$J,ROW()-8)="",TODAY(),INDEX(Transactions!$G:$G,ROW()-8))</f>
      </c>
      <c r="F9397">
        <f>IF(INDEX(Transactions!$J:$J,ROW()-8)="",0,INDEX(Transactions!$O:$O,ROW()-8))</f>
      </c>
    </row>
    <row r="9398" spans="1:7">
      <c r="B9398">
        <f>IF(INDEX(Transactions!$J:$J,ROW()-8)="",TODAY(),INDEX(Transactions!$G:$G,ROW()-8))</f>
      </c>
      <c r="F9398">
        <f>IF(INDEX(Transactions!$J:$J,ROW()-8)="",0,INDEX(Transactions!$O:$O,ROW()-8))</f>
      </c>
    </row>
    <row r="9399" spans="1:7">
      <c r="B9399">
        <f>IF(INDEX(Transactions!$J:$J,ROW()-8)="",TODAY(),INDEX(Transactions!$G:$G,ROW()-8))</f>
      </c>
      <c r="F9399">
        <f>IF(INDEX(Transactions!$J:$J,ROW()-8)="",0,INDEX(Transactions!$O:$O,ROW()-8))</f>
      </c>
    </row>
    <row r="9400" spans="1:7">
      <c r="B9400">
        <f>IF(INDEX(Transactions!$J:$J,ROW()-8)="",TODAY(),INDEX(Transactions!$G:$G,ROW()-8))</f>
      </c>
      <c r="F9400">
        <f>IF(INDEX(Transactions!$J:$J,ROW()-8)="",0,INDEX(Transactions!$O:$O,ROW()-8))</f>
      </c>
    </row>
    <row r="9401" spans="1:7">
      <c r="B9401">
        <f>IF(INDEX(Transactions!$J:$J,ROW()-8)="",TODAY(),INDEX(Transactions!$G:$G,ROW()-8))</f>
      </c>
      <c r="F9401">
        <f>IF(INDEX(Transactions!$J:$J,ROW()-8)="",0,INDEX(Transactions!$O:$O,ROW()-8))</f>
      </c>
    </row>
    <row r="9402" spans="1:7">
      <c r="B9402">
        <f>IF(INDEX(Transactions!$J:$J,ROW()-8)="",TODAY(),INDEX(Transactions!$G:$G,ROW()-8))</f>
      </c>
      <c r="F9402">
        <f>IF(INDEX(Transactions!$J:$J,ROW()-8)="",0,INDEX(Transactions!$O:$O,ROW()-8))</f>
      </c>
    </row>
    <row r="9403" spans="1:7">
      <c r="B9403">
        <f>IF(INDEX(Transactions!$J:$J,ROW()-8)="",TODAY(),INDEX(Transactions!$G:$G,ROW()-8))</f>
      </c>
      <c r="F9403">
        <f>IF(INDEX(Transactions!$J:$J,ROW()-8)="",0,INDEX(Transactions!$O:$O,ROW()-8))</f>
      </c>
    </row>
    <row r="9404" spans="1:7">
      <c r="B9404">
        <f>IF(INDEX(Transactions!$J:$J,ROW()-8)="",TODAY(),INDEX(Transactions!$G:$G,ROW()-8))</f>
      </c>
      <c r="F9404">
        <f>IF(INDEX(Transactions!$J:$J,ROW()-8)="",0,INDEX(Transactions!$O:$O,ROW()-8))</f>
      </c>
    </row>
    <row r="9405" spans="1:7">
      <c r="B9405">
        <f>IF(INDEX(Transactions!$J:$J,ROW()-8)="",TODAY(),INDEX(Transactions!$G:$G,ROW()-8))</f>
      </c>
      <c r="F9405">
        <f>IF(INDEX(Transactions!$J:$J,ROW()-8)="",0,INDEX(Transactions!$O:$O,ROW()-8))</f>
      </c>
    </row>
    <row r="9406" spans="1:7">
      <c r="B9406">
        <f>IF(INDEX(Transactions!$J:$J,ROW()-8)="",TODAY(),INDEX(Transactions!$G:$G,ROW()-8))</f>
      </c>
      <c r="F9406">
        <f>IF(INDEX(Transactions!$J:$J,ROW()-8)="",0,INDEX(Transactions!$O:$O,ROW()-8))</f>
      </c>
    </row>
    <row r="9407" spans="1:7">
      <c r="B9407">
        <f>IF(INDEX(Transactions!$J:$J,ROW()-8)="",TODAY(),INDEX(Transactions!$G:$G,ROW()-8))</f>
      </c>
      <c r="F9407">
        <f>IF(INDEX(Transactions!$J:$J,ROW()-8)="",0,INDEX(Transactions!$O:$O,ROW()-8))</f>
      </c>
    </row>
    <row r="9408" spans="1:7">
      <c r="B9408">
        <f>IF(INDEX(Transactions!$J:$J,ROW()-8)="",TODAY(),INDEX(Transactions!$G:$G,ROW()-8))</f>
      </c>
      <c r="F9408">
        <f>IF(INDEX(Transactions!$J:$J,ROW()-8)="",0,INDEX(Transactions!$O:$O,ROW()-8))</f>
      </c>
    </row>
    <row r="9409" spans="1:7">
      <c r="B9409">
        <f>IF(INDEX(Transactions!$J:$J,ROW()-8)="",TODAY(),INDEX(Transactions!$G:$G,ROW()-8))</f>
      </c>
      <c r="F9409">
        <f>IF(INDEX(Transactions!$J:$J,ROW()-8)="",0,INDEX(Transactions!$O:$O,ROW()-8))</f>
      </c>
    </row>
    <row r="9410" spans="1:7">
      <c r="B9410">
        <f>IF(INDEX(Transactions!$J:$J,ROW()-8)="",TODAY(),INDEX(Transactions!$G:$G,ROW()-8))</f>
      </c>
      <c r="F9410">
        <f>IF(INDEX(Transactions!$J:$J,ROW()-8)="",0,INDEX(Transactions!$O:$O,ROW()-8))</f>
      </c>
    </row>
    <row r="9411" spans="1:7">
      <c r="B9411">
        <f>IF(INDEX(Transactions!$J:$J,ROW()-8)="",TODAY(),INDEX(Transactions!$G:$G,ROW()-8))</f>
      </c>
      <c r="F9411">
        <f>IF(INDEX(Transactions!$J:$J,ROW()-8)="",0,INDEX(Transactions!$O:$O,ROW()-8))</f>
      </c>
    </row>
    <row r="9412" spans="1:7">
      <c r="B9412">
        <f>IF(INDEX(Transactions!$J:$J,ROW()-8)="",TODAY(),INDEX(Transactions!$G:$G,ROW()-8))</f>
      </c>
      <c r="F9412">
        <f>IF(INDEX(Transactions!$J:$J,ROW()-8)="",0,INDEX(Transactions!$O:$O,ROW()-8))</f>
      </c>
    </row>
    <row r="9413" spans="1:7">
      <c r="B9413">
        <f>IF(INDEX(Transactions!$J:$J,ROW()-8)="",TODAY(),INDEX(Transactions!$G:$G,ROW()-8))</f>
      </c>
      <c r="F9413">
        <f>IF(INDEX(Transactions!$J:$J,ROW()-8)="",0,INDEX(Transactions!$O:$O,ROW()-8))</f>
      </c>
    </row>
    <row r="9414" spans="1:7">
      <c r="B9414">
        <f>IF(INDEX(Transactions!$J:$J,ROW()-8)="",TODAY(),INDEX(Transactions!$G:$G,ROW()-8))</f>
      </c>
      <c r="F9414">
        <f>IF(INDEX(Transactions!$J:$J,ROW()-8)="",0,INDEX(Transactions!$O:$O,ROW()-8))</f>
      </c>
    </row>
    <row r="9415" spans="1:7">
      <c r="B9415">
        <f>IF(INDEX(Transactions!$J:$J,ROW()-8)="",TODAY(),INDEX(Transactions!$G:$G,ROW()-8))</f>
      </c>
      <c r="F9415">
        <f>IF(INDEX(Transactions!$J:$J,ROW()-8)="",0,INDEX(Transactions!$O:$O,ROW()-8))</f>
      </c>
    </row>
    <row r="9416" spans="1:7">
      <c r="B9416">
        <f>IF(INDEX(Transactions!$J:$J,ROW()-8)="",TODAY(),INDEX(Transactions!$G:$G,ROW()-8))</f>
      </c>
      <c r="F9416">
        <f>IF(INDEX(Transactions!$J:$J,ROW()-8)="",0,INDEX(Transactions!$O:$O,ROW()-8))</f>
      </c>
    </row>
    <row r="9417" spans="1:7">
      <c r="B9417">
        <f>IF(INDEX(Transactions!$J:$J,ROW()-8)="",TODAY(),INDEX(Transactions!$G:$G,ROW()-8))</f>
      </c>
      <c r="F9417">
        <f>IF(INDEX(Transactions!$J:$J,ROW()-8)="",0,INDEX(Transactions!$O:$O,ROW()-8))</f>
      </c>
    </row>
    <row r="9418" spans="1:7">
      <c r="B9418">
        <f>IF(INDEX(Transactions!$J:$J,ROW()-8)="",TODAY(),INDEX(Transactions!$G:$G,ROW()-8))</f>
      </c>
      <c r="F9418">
        <f>IF(INDEX(Transactions!$J:$J,ROW()-8)="",0,INDEX(Transactions!$O:$O,ROW()-8))</f>
      </c>
    </row>
    <row r="9419" spans="1:7">
      <c r="B9419">
        <f>IF(INDEX(Transactions!$J:$J,ROW()-8)="",TODAY(),INDEX(Transactions!$G:$G,ROW()-8))</f>
      </c>
      <c r="F9419">
        <f>IF(INDEX(Transactions!$J:$J,ROW()-8)="",0,INDEX(Transactions!$O:$O,ROW()-8))</f>
      </c>
    </row>
    <row r="9420" spans="1:7">
      <c r="B9420">
        <f>IF(INDEX(Transactions!$J:$J,ROW()-8)="",TODAY(),INDEX(Transactions!$G:$G,ROW()-8))</f>
      </c>
      <c r="F9420">
        <f>IF(INDEX(Transactions!$J:$J,ROW()-8)="",0,INDEX(Transactions!$O:$O,ROW()-8))</f>
      </c>
    </row>
    <row r="9421" spans="1:7">
      <c r="B9421">
        <f>IF(INDEX(Transactions!$J:$J,ROW()-8)="",TODAY(),INDEX(Transactions!$G:$G,ROW()-8))</f>
      </c>
      <c r="F9421">
        <f>IF(INDEX(Transactions!$J:$J,ROW()-8)="",0,INDEX(Transactions!$O:$O,ROW()-8))</f>
      </c>
    </row>
    <row r="9422" spans="1:7">
      <c r="B9422">
        <f>IF(INDEX(Transactions!$J:$J,ROW()-8)="",TODAY(),INDEX(Transactions!$G:$G,ROW()-8))</f>
      </c>
      <c r="F9422">
        <f>IF(INDEX(Transactions!$J:$J,ROW()-8)="",0,INDEX(Transactions!$O:$O,ROW()-8))</f>
      </c>
    </row>
    <row r="9423" spans="1:7">
      <c r="B9423">
        <f>IF(INDEX(Transactions!$J:$J,ROW()-8)="",TODAY(),INDEX(Transactions!$G:$G,ROW()-8))</f>
      </c>
      <c r="F9423">
        <f>IF(INDEX(Transactions!$J:$J,ROW()-8)="",0,INDEX(Transactions!$O:$O,ROW()-8))</f>
      </c>
    </row>
    <row r="9424" spans="1:7">
      <c r="B9424">
        <f>IF(INDEX(Transactions!$J:$J,ROW()-8)="",TODAY(),INDEX(Transactions!$G:$G,ROW()-8))</f>
      </c>
      <c r="F9424">
        <f>IF(INDEX(Transactions!$J:$J,ROW()-8)="",0,INDEX(Transactions!$O:$O,ROW()-8))</f>
      </c>
    </row>
    <row r="9425" spans="1:7">
      <c r="B9425">
        <f>IF(INDEX(Transactions!$J:$J,ROW()-8)="",TODAY(),INDEX(Transactions!$G:$G,ROW()-8))</f>
      </c>
      <c r="F9425">
        <f>IF(INDEX(Transactions!$J:$J,ROW()-8)="",0,INDEX(Transactions!$O:$O,ROW()-8))</f>
      </c>
    </row>
    <row r="9426" spans="1:7">
      <c r="B9426">
        <f>IF(INDEX(Transactions!$J:$J,ROW()-8)="",TODAY(),INDEX(Transactions!$G:$G,ROW()-8))</f>
      </c>
      <c r="F9426">
        <f>IF(INDEX(Transactions!$J:$J,ROW()-8)="",0,INDEX(Transactions!$O:$O,ROW()-8))</f>
      </c>
    </row>
    <row r="9427" spans="1:7">
      <c r="B9427">
        <f>IF(INDEX(Transactions!$J:$J,ROW()-8)="",TODAY(),INDEX(Transactions!$G:$G,ROW()-8))</f>
      </c>
      <c r="F9427">
        <f>IF(INDEX(Transactions!$J:$J,ROW()-8)="",0,INDEX(Transactions!$O:$O,ROW()-8))</f>
      </c>
    </row>
    <row r="9428" spans="1:7">
      <c r="B9428">
        <f>IF(INDEX(Transactions!$J:$J,ROW()-8)="",TODAY(),INDEX(Transactions!$G:$G,ROW()-8))</f>
      </c>
      <c r="F9428">
        <f>IF(INDEX(Transactions!$J:$J,ROW()-8)="",0,INDEX(Transactions!$O:$O,ROW()-8))</f>
      </c>
    </row>
    <row r="9429" spans="1:7">
      <c r="B9429">
        <f>IF(INDEX(Transactions!$J:$J,ROW()-8)="",TODAY(),INDEX(Transactions!$G:$G,ROW()-8))</f>
      </c>
      <c r="F9429">
        <f>IF(INDEX(Transactions!$J:$J,ROW()-8)="",0,INDEX(Transactions!$O:$O,ROW()-8))</f>
      </c>
    </row>
    <row r="9430" spans="1:7">
      <c r="B9430">
        <f>IF(INDEX(Transactions!$J:$J,ROW()-8)="",TODAY(),INDEX(Transactions!$G:$G,ROW()-8))</f>
      </c>
      <c r="F9430">
        <f>IF(INDEX(Transactions!$J:$J,ROW()-8)="",0,INDEX(Transactions!$O:$O,ROW()-8))</f>
      </c>
    </row>
    <row r="9431" spans="1:7">
      <c r="B9431">
        <f>IF(INDEX(Transactions!$J:$J,ROW()-8)="",TODAY(),INDEX(Transactions!$G:$G,ROW()-8))</f>
      </c>
      <c r="F9431">
        <f>IF(INDEX(Transactions!$J:$J,ROW()-8)="",0,INDEX(Transactions!$O:$O,ROW()-8))</f>
      </c>
    </row>
    <row r="9432" spans="1:7">
      <c r="B9432">
        <f>IF(INDEX(Transactions!$J:$J,ROW()-8)="",TODAY(),INDEX(Transactions!$G:$G,ROW()-8))</f>
      </c>
      <c r="F9432">
        <f>IF(INDEX(Transactions!$J:$J,ROW()-8)="",0,INDEX(Transactions!$O:$O,ROW()-8))</f>
      </c>
    </row>
    <row r="9433" spans="1:7">
      <c r="B9433">
        <f>IF(INDEX(Transactions!$J:$J,ROW()-8)="",TODAY(),INDEX(Transactions!$G:$G,ROW()-8))</f>
      </c>
      <c r="F9433">
        <f>IF(INDEX(Transactions!$J:$J,ROW()-8)="",0,INDEX(Transactions!$O:$O,ROW()-8))</f>
      </c>
    </row>
    <row r="9434" spans="1:7">
      <c r="B9434">
        <f>IF(INDEX(Transactions!$J:$J,ROW()-8)="",TODAY(),INDEX(Transactions!$G:$G,ROW()-8))</f>
      </c>
      <c r="F9434">
        <f>IF(INDEX(Transactions!$J:$J,ROW()-8)="",0,INDEX(Transactions!$O:$O,ROW()-8))</f>
      </c>
    </row>
    <row r="9435" spans="1:7">
      <c r="B9435">
        <f>IF(INDEX(Transactions!$J:$J,ROW()-8)="",TODAY(),INDEX(Transactions!$G:$G,ROW()-8))</f>
      </c>
      <c r="F9435">
        <f>IF(INDEX(Transactions!$J:$J,ROW()-8)="",0,INDEX(Transactions!$O:$O,ROW()-8))</f>
      </c>
    </row>
    <row r="9436" spans="1:7">
      <c r="B9436">
        <f>IF(INDEX(Transactions!$J:$J,ROW()-8)="",TODAY(),INDEX(Transactions!$G:$G,ROW()-8))</f>
      </c>
      <c r="F9436">
        <f>IF(INDEX(Transactions!$J:$J,ROW()-8)="",0,INDEX(Transactions!$O:$O,ROW()-8))</f>
      </c>
    </row>
    <row r="9437" spans="1:7">
      <c r="B9437">
        <f>IF(INDEX(Transactions!$J:$J,ROW()-8)="",TODAY(),INDEX(Transactions!$G:$G,ROW()-8))</f>
      </c>
      <c r="F9437">
        <f>IF(INDEX(Transactions!$J:$J,ROW()-8)="",0,INDEX(Transactions!$O:$O,ROW()-8))</f>
      </c>
    </row>
    <row r="9438" spans="1:7">
      <c r="B9438">
        <f>IF(INDEX(Transactions!$J:$J,ROW()-8)="",TODAY(),INDEX(Transactions!$G:$G,ROW()-8))</f>
      </c>
      <c r="F9438">
        <f>IF(INDEX(Transactions!$J:$J,ROW()-8)="",0,INDEX(Transactions!$O:$O,ROW()-8))</f>
      </c>
    </row>
    <row r="9439" spans="1:7">
      <c r="B9439">
        <f>IF(INDEX(Transactions!$J:$J,ROW()-8)="",TODAY(),INDEX(Transactions!$G:$G,ROW()-8))</f>
      </c>
      <c r="F9439">
        <f>IF(INDEX(Transactions!$J:$J,ROW()-8)="",0,INDEX(Transactions!$O:$O,ROW()-8))</f>
      </c>
    </row>
    <row r="9440" spans="1:7">
      <c r="B9440">
        <f>IF(INDEX(Transactions!$J:$J,ROW()-8)="",TODAY(),INDEX(Transactions!$G:$G,ROW()-8))</f>
      </c>
      <c r="F9440">
        <f>IF(INDEX(Transactions!$J:$J,ROW()-8)="",0,INDEX(Transactions!$O:$O,ROW()-8))</f>
      </c>
    </row>
    <row r="9441" spans="1:7">
      <c r="B9441">
        <f>IF(INDEX(Transactions!$J:$J,ROW()-8)="",TODAY(),INDEX(Transactions!$G:$G,ROW()-8))</f>
      </c>
      <c r="F9441">
        <f>IF(INDEX(Transactions!$J:$J,ROW()-8)="",0,INDEX(Transactions!$O:$O,ROW()-8))</f>
      </c>
    </row>
    <row r="9442" spans="1:7">
      <c r="B9442">
        <f>IF(INDEX(Transactions!$J:$J,ROW()-8)="",TODAY(),INDEX(Transactions!$G:$G,ROW()-8))</f>
      </c>
      <c r="F9442">
        <f>IF(INDEX(Transactions!$J:$J,ROW()-8)="",0,INDEX(Transactions!$O:$O,ROW()-8))</f>
      </c>
    </row>
    <row r="9443" spans="1:7">
      <c r="B9443">
        <f>IF(INDEX(Transactions!$J:$J,ROW()-8)="",TODAY(),INDEX(Transactions!$G:$G,ROW()-8))</f>
      </c>
      <c r="F9443">
        <f>IF(INDEX(Transactions!$J:$J,ROW()-8)="",0,INDEX(Transactions!$O:$O,ROW()-8))</f>
      </c>
    </row>
    <row r="9444" spans="1:7">
      <c r="B9444">
        <f>IF(INDEX(Transactions!$J:$J,ROW()-8)="",TODAY(),INDEX(Transactions!$G:$G,ROW()-8))</f>
      </c>
      <c r="F9444">
        <f>IF(INDEX(Transactions!$J:$J,ROW()-8)="",0,INDEX(Transactions!$O:$O,ROW()-8))</f>
      </c>
    </row>
    <row r="9445" spans="1:7">
      <c r="B9445">
        <f>IF(INDEX(Transactions!$J:$J,ROW()-8)="",TODAY(),INDEX(Transactions!$G:$G,ROW()-8))</f>
      </c>
      <c r="F9445">
        <f>IF(INDEX(Transactions!$J:$J,ROW()-8)="",0,INDEX(Transactions!$O:$O,ROW()-8))</f>
      </c>
    </row>
    <row r="9446" spans="1:7">
      <c r="B9446">
        <f>IF(INDEX(Transactions!$J:$J,ROW()-8)="",TODAY(),INDEX(Transactions!$G:$G,ROW()-8))</f>
      </c>
      <c r="F9446">
        <f>IF(INDEX(Transactions!$J:$J,ROW()-8)="",0,INDEX(Transactions!$O:$O,ROW()-8))</f>
      </c>
    </row>
    <row r="9447" spans="1:7">
      <c r="B9447">
        <f>IF(INDEX(Transactions!$J:$J,ROW()-8)="",TODAY(),INDEX(Transactions!$G:$G,ROW()-8))</f>
      </c>
      <c r="F9447">
        <f>IF(INDEX(Transactions!$J:$J,ROW()-8)="",0,INDEX(Transactions!$O:$O,ROW()-8))</f>
      </c>
    </row>
    <row r="9448" spans="1:7">
      <c r="B9448">
        <f>IF(INDEX(Transactions!$J:$J,ROW()-8)="",TODAY(),INDEX(Transactions!$G:$G,ROW()-8))</f>
      </c>
      <c r="F9448">
        <f>IF(INDEX(Transactions!$J:$J,ROW()-8)="",0,INDEX(Transactions!$O:$O,ROW()-8))</f>
      </c>
    </row>
    <row r="9449" spans="1:7">
      <c r="B9449">
        <f>IF(INDEX(Transactions!$J:$J,ROW()-8)="",TODAY(),INDEX(Transactions!$G:$G,ROW()-8))</f>
      </c>
      <c r="F9449">
        <f>IF(INDEX(Transactions!$J:$J,ROW()-8)="",0,INDEX(Transactions!$O:$O,ROW()-8))</f>
      </c>
    </row>
    <row r="9450" spans="1:7">
      <c r="B9450">
        <f>IF(INDEX(Transactions!$J:$J,ROW()-8)="",TODAY(),INDEX(Transactions!$G:$G,ROW()-8))</f>
      </c>
      <c r="F9450">
        <f>IF(INDEX(Transactions!$J:$J,ROW()-8)="",0,INDEX(Transactions!$O:$O,ROW()-8))</f>
      </c>
    </row>
    <row r="9451" spans="1:7">
      <c r="B9451">
        <f>IF(INDEX(Transactions!$J:$J,ROW()-8)="",TODAY(),INDEX(Transactions!$G:$G,ROW()-8))</f>
      </c>
      <c r="F9451">
        <f>IF(INDEX(Transactions!$J:$J,ROW()-8)="",0,INDEX(Transactions!$O:$O,ROW()-8))</f>
      </c>
    </row>
    <row r="9452" spans="1:7">
      <c r="B9452">
        <f>IF(INDEX(Transactions!$J:$J,ROW()-8)="",TODAY(),INDEX(Transactions!$G:$G,ROW()-8))</f>
      </c>
      <c r="F9452">
        <f>IF(INDEX(Transactions!$J:$J,ROW()-8)="",0,INDEX(Transactions!$O:$O,ROW()-8))</f>
      </c>
    </row>
    <row r="9453" spans="1:7">
      <c r="B9453">
        <f>IF(INDEX(Transactions!$J:$J,ROW()-8)="",TODAY(),INDEX(Transactions!$G:$G,ROW()-8))</f>
      </c>
      <c r="F9453">
        <f>IF(INDEX(Transactions!$J:$J,ROW()-8)="",0,INDEX(Transactions!$O:$O,ROW()-8))</f>
      </c>
    </row>
    <row r="9454" spans="1:7">
      <c r="B9454">
        <f>IF(INDEX(Transactions!$J:$J,ROW()-8)="",TODAY(),INDEX(Transactions!$G:$G,ROW()-8))</f>
      </c>
      <c r="F9454">
        <f>IF(INDEX(Transactions!$J:$J,ROW()-8)="",0,INDEX(Transactions!$O:$O,ROW()-8))</f>
      </c>
    </row>
    <row r="9455" spans="1:7">
      <c r="B9455">
        <f>IF(INDEX(Transactions!$J:$J,ROW()-8)="",TODAY(),INDEX(Transactions!$G:$G,ROW()-8))</f>
      </c>
      <c r="F9455">
        <f>IF(INDEX(Transactions!$J:$J,ROW()-8)="",0,INDEX(Transactions!$O:$O,ROW()-8))</f>
      </c>
    </row>
    <row r="9456" spans="1:7">
      <c r="B9456">
        <f>IF(INDEX(Transactions!$J:$J,ROW()-8)="",TODAY(),INDEX(Transactions!$G:$G,ROW()-8))</f>
      </c>
      <c r="F9456">
        <f>IF(INDEX(Transactions!$J:$J,ROW()-8)="",0,INDEX(Transactions!$O:$O,ROW()-8))</f>
      </c>
    </row>
    <row r="9457" spans="1:7">
      <c r="B9457">
        <f>IF(INDEX(Transactions!$J:$J,ROW()-8)="",TODAY(),INDEX(Transactions!$G:$G,ROW()-8))</f>
      </c>
      <c r="F9457">
        <f>IF(INDEX(Transactions!$J:$J,ROW()-8)="",0,INDEX(Transactions!$O:$O,ROW()-8))</f>
      </c>
    </row>
    <row r="9458" spans="1:7">
      <c r="B9458">
        <f>IF(INDEX(Transactions!$J:$J,ROW()-8)="",TODAY(),INDEX(Transactions!$G:$G,ROW()-8))</f>
      </c>
      <c r="F9458">
        <f>IF(INDEX(Transactions!$J:$J,ROW()-8)="",0,INDEX(Transactions!$O:$O,ROW()-8))</f>
      </c>
    </row>
    <row r="9459" spans="1:7">
      <c r="B9459">
        <f>IF(INDEX(Transactions!$J:$J,ROW()-8)="",TODAY(),INDEX(Transactions!$G:$G,ROW()-8))</f>
      </c>
      <c r="F9459">
        <f>IF(INDEX(Transactions!$J:$J,ROW()-8)="",0,INDEX(Transactions!$O:$O,ROW()-8))</f>
      </c>
    </row>
    <row r="9460" spans="1:7">
      <c r="B9460">
        <f>IF(INDEX(Transactions!$J:$J,ROW()-8)="",TODAY(),INDEX(Transactions!$G:$G,ROW()-8))</f>
      </c>
      <c r="F9460">
        <f>IF(INDEX(Transactions!$J:$J,ROW()-8)="",0,INDEX(Transactions!$O:$O,ROW()-8))</f>
      </c>
    </row>
    <row r="9461" spans="1:7">
      <c r="B9461">
        <f>IF(INDEX(Transactions!$J:$J,ROW()-8)="",TODAY(),INDEX(Transactions!$G:$G,ROW()-8))</f>
      </c>
      <c r="F9461">
        <f>IF(INDEX(Transactions!$J:$J,ROW()-8)="",0,INDEX(Transactions!$O:$O,ROW()-8))</f>
      </c>
    </row>
    <row r="9462" spans="1:7">
      <c r="B9462">
        <f>IF(INDEX(Transactions!$J:$J,ROW()-8)="",TODAY(),INDEX(Transactions!$G:$G,ROW()-8))</f>
      </c>
      <c r="F9462">
        <f>IF(INDEX(Transactions!$J:$J,ROW()-8)="",0,INDEX(Transactions!$O:$O,ROW()-8))</f>
      </c>
    </row>
    <row r="9463" spans="1:7">
      <c r="B9463">
        <f>IF(INDEX(Transactions!$J:$J,ROW()-8)="",TODAY(),INDEX(Transactions!$G:$G,ROW()-8))</f>
      </c>
      <c r="F9463">
        <f>IF(INDEX(Transactions!$J:$J,ROW()-8)="",0,INDEX(Transactions!$O:$O,ROW()-8))</f>
      </c>
    </row>
    <row r="9464" spans="1:7">
      <c r="B9464">
        <f>IF(INDEX(Transactions!$J:$J,ROW()-8)="",TODAY(),INDEX(Transactions!$G:$G,ROW()-8))</f>
      </c>
      <c r="F9464">
        <f>IF(INDEX(Transactions!$J:$J,ROW()-8)="",0,INDEX(Transactions!$O:$O,ROW()-8))</f>
      </c>
    </row>
    <row r="9465" spans="1:7">
      <c r="B9465">
        <f>IF(INDEX(Transactions!$J:$J,ROW()-8)="",TODAY(),INDEX(Transactions!$G:$G,ROW()-8))</f>
      </c>
      <c r="F9465">
        <f>IF(INDEX(Transactions!$J:$J,ROW()-8)="",0,INDEX(Transactions!$O:$O,ROW()-8))</f>
      </c>
    </row>
    <row r="9466" spans="1:7">
      <c r="B9466">
        <f>IF(INDEX(Transactions!$J:$J,ROW()-8)="",TODAY(),INDEX(Transactions!$G:$G,ROW()-8))</f>
      </c>
      <c r="F9466">
        <f>IF(INDEX(Transactions!$J:$J,ROW()-8)="",0,INDEX(Transactions!$O:$O,ROW()-8))</f>
      </c>
    </row>
    <row r="9467" spans="1:7">
      <c r="B9467">
        <f>IF(INDEX(Transactions!$J:$J,ROW()-8)="",TODAY(),INDEX(Transactions!$G:$G,ROW()-8))</f>
      </c>
      <c r="F9467">
        <f>IF(INDEX(Transactions!$J:$J,ROW()-8)="",0,INDEX(Transactions!$O:$O,ROW()-8))</f>
      </c>
    </row>
    <row r="9468" spans="1:7">
      <c r="B9468">
        <f>IF(INDEX(Transactions!$J:$J,ROW()-8)="",TODAY(),INDEX(Transactions!$G:$G,ROW()-8))</f>
      </c>
      <c r="F9468">
        <f>IF(INDEX(Transactions!$J:$J,ROW()-8)="",0,INDEX(Transactions!$O:$O,ROW()-8))</f>
      </c>
    </row>
    <row r="9469" spans="1:7">
      <c r="B9469">
        <f>IF(INDEX(Transactions!$J:$J,ROW()-8)="",TODAY(),INDEX(Transactions!$G:$G,ROW()-8))</f>
      </c>
      <c r="F9469">
        <f>IF(INDEX(Transactions!$J:$J,ROW()-8)="",0,INDEX(Transactions!$O:$O,ROW()-8))</f>
      </c>
    </row>
    <row r="9470" spans="1:7">
      <c r="B9470">
        <f>IF(INDEX(Transactions!$J:$J,ROW()-8)="",TODAY(),INDEX(Transactions!$G:$G,ROW()-8))</f>
      </c>
      <c r="F9470">
        <f>IF(INDEX(Transactions!$J:$J,ROW()-8)="",0,INDEX(Transactions!$O:$O,ROW()-8))</f>
      </c>
    </row>
    <row r="9471" spans="1:7">
      <c r="B9471">
        <f>IF(INDEX(Transactions!$J:$J,ROW()-8)="",TODAY(),INDEX(Transactions!$G:$G,ROW()-8))</f>
      </c>
      <c r="F9471">
        <f>IF(INDEX(Transactions!$J:$J,ROW()-8)="",0,INDEX(Transactions!$O:$O,ROW()-8))</f>
      </c>
    </row>
    <row r="9472" spans="1:7">
      <c r="B9472">
        <f>IF(INDEX(Transactions!$J:$J,ROW()-8)="",TODAY(),INDEX(Transactions!$G:$G,ROW()-8))</f>
      </c>
      <c r="F9472">
        <f>IF(INDEX(Transactions!$J:$J,ROW()-8)="",0,INDEX(Transactions!$O:$O,ROW()-8))</f>
      </c>
    </row>
    <row r="9473" spans="1:7">
      <c r="B9473">
        <f>IF(INDEX(Transactions!$J:$J,ROW()-8)="",TODAY(),INDEX(Transactions!$G:$G,ROW()-8))</f>
      </c>
      <c r="F9473">
        <f>IF(INDEX(Transactions!$J:$J,ROW()-8)="",0,INDEX(Transactions!$O:$O,ROW()-8))</f>
      </c>
    </row>
    <row r="9474" spans="1:7">
      <c r="B9474">
        <f>IF(INDEX(Transactions!$J:$J,ROW()-8)="",TODAY(),INDEX(Transactions!$G:$G,ROW()-8))</f>
      </c>
      <c r="F9474">
        <f>IF(INDEX(Transactions!$J:$J,ROW()-8)="",0,INDEX(Transactions!$O:$O,ROW()-8))</f>
      </c>
    </row>
    <row r="9475" spans="1:7">
      <c r="B9475">
        <f>IF(INDEX(Transactions!$J:$J,ROW()-8)="",TODAY(),INDEX(Transactions!$G:$G,ROW()-8))</f>
      </c>
      <c r="F9475">
        <f>IF(INDEX(Transactions!$J:$J,ROW()-8)="",0,INDEX(Transactions!$O:$O,ROW()-8))</f>
      </c>
    </row>
    <row r="9476" spans="1:7">
      <c r="B9476">
        <f>IF(INDEX(Transactions!$J:$J,ROW()-8)="",TODAY(),INDEX(Transactions!$G:$G,ROW()-8))</f>
      </c>
      <c r="F9476">
        <f>IF(INDEX(Transactions!$J:$J,ROW()-8)="",0,INDEX(Transactions!$O:$O,ROW()-8))</f>
      </c>
    </row>
    <row r="9477" spans="1:7">
      <c r="B9477">
        <f>IF(INDEX(Transactions!$J:$J,ROW()-8)="",TODAY(),INDEX(Transactions!$G:$G,ROW()-8))</f>
      </c>
      <c r="F9477">
        <f>IF(INDEX(Transactions!$J:$J,ROW()-8)="",0,INDEX(Transactions!$O:$O,ROW()-8))</f>
      </c>
    </row>
    <row r="9478" spans="1:7">
      <c r="B9478">
        <f>IF(INDEX(Transactions!$J:$J,ROW()-8)="",TODAY(),INDEX(Transactions!$G:$G,ROW()-8))</f>
      </c>
      <c r="F9478">
        <f>IF(INDEX(Transactions!$J:$J,ROW()-8)="",0,INDEX(Transactions!$O:$O,ROW()-8))</f>
      </c>
    </row>
    <row r="9479" spans="1:7">
      <c r="B9479">
        <f>IF(INDEX(Transactions!$J:$J,ROW()-8)="",TODAY(),INDEX(Transactions!$G:$G,ROW()-8))</f>
      </c>
      <c r="F9479">
        <f>IF(INDEX(Transactions!$J:$J,ROW()-8)="",0,INDEX(Transactions!$O:$O,ROW()-8))</f>
      </c>
    </row>
    <row r="9480" spans="1:7">
      <c r="B9480">
        <f>IF(INDEX(Transactions!$J:$J,ROW()-8)="",TODAY(),INDEX(Transactions!$G:$G,ROW()-8))</f>
      </c>
      <c r="F9480">
        <f>IF(INDEX(Transactions!$J:$J,ROW()-8)="",0,INDEX(Transactions!$O:$O,ROW()-8))</f>
      </c>
    </row>
    <row r="9481" spans="1:7">
      <c r="B9481">
        <f>IF(INDEX(Transactions!$J:$J,ROW()-8)="",TODAY(),INDEX(Transactions!$G:$G,ROW()-8))</f>
      </c>
      <c r="F9481">
        <f>IF(INDEX(Transactions!$J:$J,ROW()-8)="",0,INDEX(Transactions!$O:$O,ROW()-8))</f>
      </c>
    </row>
    <row r="9482" spans="1:7">
      <c r="B9482">
        <f>IF(INDEX(Transactions!$J:$J,ROW()-8)="",TODAY(),INDEX(Transactions!$G:$G,ROW()-8))</f>
      </c>
      <c r="F9482">
        <f>IF(INDEX(Transactions!$J:$J,ROW()-8)="",0,INDEX(Transactions!$O:$O,ROW()-8))</f>
      </c>
    </row>
    <row r="9483" spans="1:7">
      <c r="B9483">
        <f>IF(INDEX(Transactions!$J:$J,ROW()-8)="",TODAY(),INDEX(Transactions!$G:$G,ROW()-8))</f>
      </c>
      <c r="F9483">
        <f>IF(INDEX(Transactions!$J:$J,ROW()-8)="",0,INDEX(Transactions!$O:$O,ROW()-8))</f>
      </c>
    </row>
    <row r="9484" spans="1:7">
      <c r="B9484">
        <f>IF(INDEX(Transactions!$J:$J,ROW()-8)="",TODAY(),INDEX(Transactions!$G:$G,ROW()-8))</f>
      </c>
      <c r="F9484">
        <f>IF(INDEX(Transactions!$J:$J,ROW()-8)="",0,INDEX(Transactions!$O:$O,ROW()-8))</f>
      </c>
    </row>
    <row r="9485" spans="1:7">
      <c r="B9485">
        <f>IF(INDEX(Transactions!$J:$J,ROW()-8)="",TODAY(),INDEX(Transactions!$G:$G,ROW()-8))</f>
      </c>
      <c r="F9485">
        <f>IF(INDEX(Transactions!$J:$J,ROW()-8)="",0,INDEX(Transactions!$O:$O,ROW()-8))</f>
      </c>
    </row>
    <row r="9486" spans="1:7">
      <c r="B9486">
        <f>IF(INDEX(Transactions!$J:$J,ROW()-8)="",TODAY(),INDEX(Transactions!$G:$G,ROW()-8))</f>
      </c>
      <c r="F9486">
        <f>IF(INDEX(Transactions!$J:$J,ROW()-8)="",0,INDEX(Transactions!$O:$O,ROW()-8))</f>
      </c>
    </row>
    <row r="9487" spans="1:7">
      <c r="B9487">
        <f>IF(INDEX(Transactions!$J:$J,ROW()-8)="",TODAY(),INDEX(Transactions!$G:$G,ROW()-8))</f>
      </c>
      <c r="F9487">
        <f>IF(INDEX(Transactions!$J:$J,ROW()-8)="",0,INDEX(Transactions!$O:$O,ROW()-8))</f>
      </c>
    </row>
    <row r="9488" spans="1:7">
      <c r="B9488">
        <f>IF(INDEX(Transactions!$J:$J,ROW()-8)="",TODAY(),INDEX(Transactions!$G:$G,ROW()-8))</f>
      </c>
      <c r="F9488">
        <f>IF(INDEX(Transactions!$J:$J,ROW()-8)="",0,INDEX(Transactions!$O:$O,ROW()-8))</f>
      </c>
    </row>
    <row r="9489" spans="1:7">
      <c r="B9489">
        <f>IF(INDEX(Transactions!$J:$J,ROW()-8)="",TODAY(),INDEX(Transactions!$G:$G,ROW()-8))</f>
      </c>
      <c r="F9489">
        <f>IF(INDEX(Transactions!$J:$J,ROW()-8)="",0,INDEX(Transactions!$O:$O,ROW()-8))</f>
      </c>
    </row>
    <row r="9490" spans="1:7">
      <c r="B9490">
        <f>IF(INDEX(Transactions!$J:$J,ROW()-8)="",TODAY(),INDEX(Transactions!$G:$G,ROW()-8))</f>
      </c>
      <c r="F9490">
        <f>IF(INDEX(Transactions!$J:$J,ROW()-8)="",0,INDEX(Transactions!$O:$O,ROW()-8))</f>
      </c>
    </row>
    <row r="9491" spans="1:7">
      <c r="B9491">
        <f>IF(INDEX(Transactions!$J:$J,ROW()-8)="",TODAY(),INDEX(Transactions!$G:$G,ROW()-8))</f>
      </c>
      <c r="F9491">
        <f>IF(INDEX(Transactions!$J:$J,ROW()-8)="",0,INDEX(Transactions!$O:$O,ROW()-8))</f>
      </c>
    </row>
    <row r="9492" spans="1:7">
      <c r="B9492">
        <f>IF(INDEX(Transactions!$J:$J,ROW()-8)="",TODAY(),INDEX(Transactions!$G:$G,ROW()-8))</f>
      </c>
      <c r="F9492">
        <f>IF(INDEX(Transactions!$J:$J,ROW()-8)="",0,INDEX(Transactions!$O:$O,ROW()-8))</f>
      </c>
    </row>
    <row r="9493" spans="1:7">
      <c r="B9493">
        <f>IF(INDEX(Transactions!$J:$J,ROW()-8)="",TODAY(),INDEX(Transactions!$G:$G,ROW()-8))</f>
      </c>
      <c r="F9493">
        <f>IF(INDEX(Transactions!$J:$J,ROW()-8)="",0,INDEX(Transactions!$O:$O,ROW()-8))</f>
      </c>
    </row>
    <row r="9494" spans="1:7">
      <c r="B9494">
        <f>IF(INDEX(Transactions!$J:$J,ROW()-8)="",TODAY(),INDEX(Transactions!$G:$G,ROW()-8))</f>
      </c>
      <c r="F9494">
        <f>IF(INDEX(Transactions!$J:$J,ROW()-8)="",0,INDEX(Transactions!$O:$O,ROW()-8))</f>
      </c>
    </row>
    <row r="9495" spans="1:7">
      <c r="B9495">
        <f>IF(INDEX(Transactions!$J:$J,ROW()-8)="",TODAY(),INDEX(Transactions!$G:$G,ROW()-8))</f>
      </c>
      <c r="F9495">
        <f>IF(INDEX(Transactions!$J:$J,ROW()-8)="",0,INDEX(Transactions!$O:$O,ROW()-8))</f>
      </c>
    </row>
    <row r="9496" spans="1:7">
      <c r="B9496">
        <f>IF(INDEX(Transactions!$J:$J,ROW()-8)="",TODAY(),INDEX(Transactions!$G:$G,ROW()-8))</f>
      </c>
      <c r="F9496">
        <f>IF(INDEX(Transactions!$J:$J,ROW()-8)="",0,INDEX(Transactions!$O:$O,ROW()-8))</f>
      </c>
    </row>
    <row r="9497" spans="1:7">
      <c r="B9497">
        <f>IF(INDEX(Transactions!$J:$J,ROW()-8)="",TODAY(),INDEX(Transactions!$G:$G,ROW()-8))</f>
      </c>
      <c r="F9497">
        <f>IF(INDEX(Transactions!$J:$J,ROW()-8)="",0,INDEX(Transactions!$O:$O,ROW()-8))</f>
      </c>
    </row>
    <row r="9498" spans="1:7">
      <c r="B9498">
        <f>IF(INDEX(Transactions!$J:$J,ROW()-8)="",TODAY(),INDEX(Transactions!$G:$G,ROW()-8))</f>
      </c>
      <c r="F9498">
        <f>IF(INDEX(Transactions!$J:$J,ROW()-8)="",0,INDEX(Transactions!$O:$O,ROW()-8))</f>
      </c>
    </row>
    <row r="9499" spans="1:7">
      <c r="B9499">
        <f>IF(INDEX(Transactions!$J:$J,ROW()-8)="",TODAY(),INDEX(Transactions!$G:$G,ROW()-8))</f>
      </c>
      <c r="F9499">
        <f>IF(INDEX(Transactions!$J:$J,ROW()-8)="",0,INDEX(Transactions!$O:$O,ROW()-8))</f>
      </c>
    </row>
    <row r="9500" spans="1:7">
      <c r="B9500">
        <f>IF(INDEX(Transactions!$J:$J,ROW()-8)="",TODAY(),INDEX(Transactions!$G:$G,ROW()-8))</f>
      </c>
      <c r="F9500">
        <f>IF(INDEX(Transactions!$J:$J,ROW()-8)="",0,INDEX(Transactions!$O:$O,ROW()-8))</f>
      </c>
    </row>
    <row r="9501" spans="1:7">
      <c r="B9501">
        <f>IF(INDEX(Transactions!$J:$J,ROW()-8)="",TODAY(),INDEX(Transactions!$G:$G,ROW()-8))</f>
      </c>
      <c r="F9501">
        <f>IF(INDEX(Transactions!$J:$J,ROW()-8)="",0,INDEX(Transactions!$O:$O,ROW()-8))</f>
      </c>
    </row>
    <row r="9502" spans="1:7">
      <c r="B9502">
        <f>IF(INDEX(Transactions!$J:$J,ROW()-8)="",TODAY(),INDEX(Transactions!$G:$G,ROW()-8))</f>
      </c>
      <c r="F9502">
        <f>IF(INDEX(Transactions!$J:$J,ROW()-8)="",0,INDEX(Transactions!$O:$O,ROW()-8))</f>
      </c>
    </row>
    <row r="9503" spans="1:7">
      <c r="B9503">
        <f>IF(INDEX(Transactions!$J:$J,ROW()-8)="",TODAY(),INDEX(Transactions!$G:$G,ROW()-8))</f>
      </c>
      <c r="F9503">
        <f>IF(INDEX(Transactions!$J:$J,ROW()-8)="",0,INDEX(Transactions!$O:$O,ROW()-8))</f>
      </c>
    </row>
    <row r="9504" spans="1:7">
      <c r="B9504">
        <f>IF(INDEX(Transactions!$J:$J,ROW()-8)="",TODAY(),INDEX(Transactions!$G:$G,ROW()-8))</f>
      </c>
      <c r="F9504">
        <f>IF(INDEX(Transactions!$J:$J,ROW()-8)="",0,INDEX(Transactions!$O:$O,ROW()-8))</f>
      </c>
    </row>
    <row r="9505" spans="1:7">
      <c r="B9505">
        <f>IF(INDEX(Transactions!$J:$J,ROW()-8)="",TODAY(),INDEX(Transactions!$G:$G,ROW()-8))</f>
      </c>
      <c r="F9505">
        <f>IF(INDEX(Transactions!$J:$J,ROW()-8)="",0,INDEX(Transactions!$O:$O,ROW()-8))</f>
      </c>
    </row>
    <row r="9506" spans="1:7">
      <c r="B9506">
        <f>IF(INDEX(Transactions!$J:$J,ROW()-8)="",TODAY(),INDEX(Transactions!$G:$G,ROW()-8))</f>
      </c>
      <c r="F9506">
        <f>IF(INDEX(Transactions!$J:$J,ROW()-8)="",0,INDEX(Transactions!$O:$O,ROW()-8))</f>
      </c>
    </row>
    <row r="9507" spans="1:7">
      <c r="B9507">
        <f>IF(INDEX(Transactions!$J:$J,ROW()-8)="",TODAY(),INDEX(Transactions!$G:$G,ROW()-8))</f>
      </c>
      <c r="F9507">
        <f>IF(INDEX(Transactions!$J:$J,ROW()-8)="",0,INDEX(Transactions!$O:$O,ROW()-8))</f>
      </c>
    </row>
    <row r="9508" spans="1:7">
      <c r="B9508">
        <f>IF(INDEX(Transactions!$J:$J,ROW()-8)="",TODAY(),INDEX(Transactions!$G:$G,ROW()-8))</f>
      </c>
      <c r="F9508">
        <f>IF(INDEX(Transactions!$J:$J,ROW()-8)="",0,INDEX(Transactions!$O:$O,ROW()-8))</f>
      </c>
    </row>
    <row r="9509" spans="1:7">
      <c r="B9509">
        <f>IF(INDEX(Transactions!$J:$J,ROW()-8)="",TODAY(),INDEX(Transactions!$G:$G,ROW()-8))</f>
      </c>
      <c r="F9509">
        <f>IF(INDEX(Transactions!$J:$J,ROW()-8)="",0,INDEX(Transactions!$O:$O,ROW()-8))</f>
      </c>
    </row>
    <row r="9510" spans="1:7">
      <c r="B9510">
        <f>IF(INDEX(Transactions!$J:$J,ROW()-8)="",TODAY(),INDEX(Transactions!$G:$G,ROW()-8))</f>
      </c>
      <c r="F9510">
        <f>IF(INDEX(Transactions!$J:$J,ROW()-8)="",0,INDEX(Transactions!$O:$O,ROW()-8))</f>
      </c>
    </row>
    <row r="9511" spans="1:7">
      <c r="B9511">
        <f>IF(INDEX(Transactions!$J:$J,ROW()-8)="",TODAY(),INDEX(Transactions!$G:$G,ROW()-8))</f>
      </c>
      <c r="F9511">
        <f>IF(INDEX(Transactions!$J:$J,ROW()-8)="",0,INDEX(Transactions!$O:$O,ROW()-8))</f>
      </c>
    </row>
    <row r="9512" spans="1:7">
      <c r="B9512">
        <f>IF(INDEX(Transactions!$J:$J,ROW()-8)="",TODAY(),INDEX(Transactions!$G:$G,ROW()-8))</f>
      </c>
      <c r="F9512">
        <f>IF(INDEX(Transactions!$J:$J,ROW()-8)="",0,INDEX(Transactions!$O:$O,ROW()-8))</f>
      </c>
    </row>
    <row r="9513" spans="1:7">
      <c r="B9513">
        <f>IF(INDEX(Transactions!$J:$J,ROW()-8)="",TODAY(),INDEX(Transactions!$G:$G,ROW()-8))</f>
      </c>
      <c r="F9513">
        <f>IF(INDEX(Transactions!$J:$J,ROW()-8)="",0,INDEX(Transactions!$O:$O,ROW()-8))</f>
      </c>
    </row>
    <row r="9514" spans="1:7">
      <c r="B9514">
        <f>IF(INDEX(Transactions!$J:$J,ROW()-8)="",TODAY(),INDEX(Transactions!$G:$G,ROW()-8))</f>
      </c>
      <c r="F9514">
        <f>IF(INDEX(Transactions!$J:$J,ROW()-8)="",0,INDEX(Transactions!$O:$O,ROW()-8))</f>
      </c>
    </row>
    <row r="9515" spans="1:7">
      <c r="B9515">
        <f>IF(INDEX(Transactions!$J:$J,ROW()-8)="",TODAY(),INDEX(Transactions!$G:$G,ROW()-8))</f>
      </c>
      <c r="F9515">
        <f>IF(INDEX(Transactions!$J:$J,ROW()-8)="",0,INDEX(Transactions!$O:$O,ROW()-8))</f>
      </c>
    </row>
    <row r="9516" spans="1:7">
      <c r="B9516">
        <f>IF(INDEX(Transactions!$J:$J,ROW()-8)="",TODAY(),INDEX(Transactions!$G:$G,ROW()-8))</f>
      </c>
      <c r="F9516">
        <f>IF(INDEX(Transactions!$J:$J,ROW()-8)="",0,INDEX(Transactions!$O:$O,ROW()-8))</f>
      </c>
    </row>
    <row r="9517" spans="1:7">
      <c r="B9517">
        <f>IF(INDEX(Transactions!$J:$J,ROW()-8)="",TODAY(),INDEX(Transactions!$G:$G,ROW()-8))</f>
      </c>
      <c r="F9517">
        <f>IF(INDEX(Transactions!$J:$J,ROW()-8)="",0,INDEX(Transactions!$O:$O,ROW()-8))</f>
      </c>
    </row>
    <row r="9518" spans="1:7">
      <c r="B9518">
        <f>IF(INDEX(Transactions!$J:$J,ROW()-8)="",TODAY(),INDEX(Transactions!$G:$G,ROW()-8))</f>
      </c>
      <c r="F9518">
        <f>IF(INDEX(Transactions!$J:$J,ROW()-8)="",0,INDEX(Transactions!$O:$O,ROW()-8))</f>
      </c>
    </row>
    <row r="9519" spans="1:7">
      <c r="B9519">
        <f>IF(INDEX(Transactions!$J:$J,ROW()-8)="",TODAY(),INDEX(Transactions!$G:$G,ROW()-8))</f>
      </c>
      <c r="F9519">
        <f>IF(INDEX(Transactions!$J:$J,ROW()-8)="",0,INDEX(Transactions!$O:$O,ROW()-8))</f>
      </c>
    </row>
    <row r="9520" spans="1:7">
      <c r="B9520">
        <f>IF(INDEX(Transactions!$J:$J,ROW()-8)="",TODAY(),INDEX(Transactions!$G:$G,ROW()-8))</f>
      </c>
      <c r="F9520">
        <f>IF(INDEX(Transactions!$J:$J,ROW()-8)="",0,INDEX(Transactions!$O:$O,ROW()-8))</f>
      </c>
    </row>
    <row r="9521" spans="1:7">
      <c r="B9521">
        <f>IF(INDEX(Transactions!$J:$J,ROW()-8)="",TODAY(),INDEX(Transactions!$G:$G,ROW()-8))</f>
      </c>
      <c r="F9521">
        <f>IF(INDEX(Transactions!$J:$J,ROW()-8)="",0,INDEX(Transactions!$O:$O,ROW()-8))</f>
      </c>
    </row>
    <row r="9522" spans="1:7">
      <c r="B9522">
        <f>IF(INDEX(Transactions!$J:$J,ROW()-8)="",TODAY(),INDEX(Transactions!$G:$G,ROW()-8))</f>
      </c>
      <c r="F9522">
        <f>IF(INDEX(Transactions!$J:$J,ROW()-8)="",0,INDEX(Transactions!$O:$O,ROW()-8))</f>
      </c>
    </row>
    <row r="9523" spans="1:7">
      <c r="B9523">
        <f>IF(INDEX(Transactions!$J:$J,ROW()-8)="",TODAY(),INDEX(Transactions!$G:$G,ROW()-8))</f>
      </c>
      <c r="F9523">
        <f>IF(INDEX(Transactions!$J:$J,ROW()-8)="",0,INDEX(Transactions!$O:$O,ROW()-8))</f>
      </c>
    </row>
    <row r="9524" spans="1:7">
      <c r="B9524">
        <f>IF(INDEX(Transactions!$J:$J,ROW()-8)="",TODAY(),INDEX(Transactions!$G:$G,ROW()-8))</f>
      </c>
      <c r="F9524">
        <f>IF(INDEX(Transactions!$J:$J,ROW()-8)="",0,INDEX(Transactions!$O:$O,ROW()-8))</f>
      </c>
    </row>
    <row r="9525" spans="1:7">
      <c r="B9525">
        <f>IF(INDEX(Transactions!$J:$J,ROW()-8)="",TODAY(),INDEX(Transactions!$G:$G,ROW()-8))</f>
      </c>
      <c r="F9525">
        <f>IF(INDEX(Transactions!$J:$J,ROW()-8)="",0,INDEX(Transactions!$O:$O,ROW()-8))</f>
      </c>
    </row>
    <row r="9526" spans="1:7">
      <c r="B9526">
        <f>IF(INDEX(Transactions!$J:$J,ROW()-8)="",TODAY(),INDEX(Transactions!$G:$G,ROW()-8))</f>
      </c>
      <c r="F9526">
        <f>IF(INDEX(Transactions!$J:$J,ROW()-8)="",0,INDEX(Transactions!$O:$O,ROW()-8))</f>
      </c>
    </row>
    <row r="9527" spans="1:7">
      <c r="B9527">
        <f>IF(INDEX(Transactions!$J:$J,ROW()-8)="",TODAY(),INDEX(Transactions!$G:$G,ROW()-8))</f>
      </c>
      <c r="F9527">
        <f>IF(INDEX(Transactions!$J:$J,ROW()-8)="",0,INDEX(Transactions!$O:$O,ROW()-8))</f>
      </c>
    </row>
    <row r="9528" spans="1:7">
      <c r="B9528">
        <f>IF(INDEX(Transactions!$J:$J,ROW()-8)="",TODAY(),INDEX(Transactions!$G:$G,ROW()-8))</f>
      </c>
      <c r="F9528">
        <f>IF(INDEX(Transactions!$J:$J,ROW()-8)="",0,INDEX(Transactions!$O:$O,ROW()-8))</f>
      </c>
    </row>
    <row r="9529" spans="1:7">
      <c r="B9529">
        <f>IF(INDEX(Transactions!$J:$J,ROW()-8)="",TODAY(),INDEX(Transactions!$G:$G,ROW()-8))</f>
      </c>
      <c r="F9529">
        <f>IF(INDEX(Transactions!$J:$J,ROW()-8)="",0,INDEX(Transactions!$O:$O,ROW()-8))</f>
      </c>
    </row>
    <row r="9530" spans="1:7">
      <c r="B9530">
        <f>IF(INDEX(Transactions!$J:$J,ROW()-8)="",TODAY(),INDEX(Transactions!$G:$G,ROW()-8))</f>
      </c>
      <c r="F9530">
        <f>IF(INDEX(Transactions!$J:$J,ROW()-8)="",0,INDEX(Transactions!$O:$O,ROW()-8))</f>
      </c>
    </row>
    <row r="9531" spans="1:7">
      <c r="B9531">
        <f>IF(INDEX(Transactions!$J:$J,ROW()-8)="",TODAY(),INDEX(Transactions!$G:$G,ROW()-8))</f>
      </c>
      <c r="F9531">
        <f>IF(INDEX(Transactions!$J:$J,ROW()-8)="",0,INDEX(Transactions!$O:$O,ROW()-8))</f>
      </c>
    </row>
    <row r="9532" spans="1:7">
      <c r="B9532">
        <f>IF(INDEX(Transactions!$J:$J,ROW()-8)="",TODAY(),INDEX(Transactions!$G:$G,ROW()-8))</f>
      </c>
      <c r="F9532">
        <f>IF(INDEX(Transactions!$J:$J,ROW()-8)="",0,INDEX(Transactions!$O:$O,ROW()-8))</f>
      </c>
    </row>
    <row r="9533" spans="1:7">
      <c r="B9533">
        <f>IF(INDEX(Transactions!$J:$J,ROW()-8)="",TODAY(),INDEX(Transactions!$G:$G,ROW()-8))</f>
      </c>
      <c r="F9533">
        <f>IF(INDEX(Transactions!$J:$J,ROW()-8)="",0,INDEX(Transactions!$O:$O,ROW()-8))</f>
      </c>
    </row>
    <row r="9534" spans="1:7">
      <c r="B9534">
        <f>IF(INDEX(Transactions!$J:$J,ROW()-8)="",TODAY(),INDEX(Transactions!$G:$G,ROW()-8))</f>
      </c>
      <c r="F9534">
        <f>IF(INDEX(Transactions!$J:$J,ROW()-8)="",0,INDEX(Transactions!$O:$O,ROW()-8))</f>
      </c>
    </row>
    <row r="9535" spans="1:7">
      <c r="B9535">
        <f>IF(INDEX(Transactions!$J:$J,ROW()-8)="",TODAY(),INDEX(Transactions!$G:$G,ROW()-8))</f>
      </c>
      <c r="F9535">
        <f>IF(INDEX(Transactions!$J:$J,ROW()-8)="",0,INDEX(Transactions!$O:$O,ROW()-8))</f>
      </c>
    </row>
    <row r="9536" spans="1:7">
      <c r="B9536">
        <f>IF(INDEX(Transactions!$J:$J,ROW()-8)="",TODAY(),INDEX(Transactions!$G:$G,ROW()-8))</f>
      </c>
      <c r="F9536">
        <f>IF(INDEX(Transactions!$J:$J,ROW()-8)="",0,INDEX(Transactions!$O:$O,ROW()-8))</f>
      </c>
    </row>
    <row r="9537" spans="1:7">
      <c r="B9537">
        <f>IF(INDEX(Transactions!$J:$J,ROW()-8)="",TODAY(),INDEX(Transactions!$G:$G,ROW()-8))</f>
      </c>
      <c r="F9537">
        <f>IF(INDEX(Transactions!$J:$J,ROW()-8)="",0,INDEX(Transactions!$O:$O,ROW()-8))</f>
      </c>
    </row>
    <row r="9538" spans="1:7">
      <c r="B9538">
        <f>IF(INDEX(Transactions!$J:$J,ROW()-8)="",TODAY(),INDEX(Transactions!$G:$G,ROW()-8))</f>
      </c>
      <c r="F9538">
        <f>IF(INDEX(Transactions!$J:$J,ROW()-8)="",0,INDEX(Transactions!$O:$O,ROW()-8))</f>
      </c>
    </row>
    <row r="9539" spans="1:7">
      <c r="B9539">
        <f>IF(INDEX(Transactions!$J:$J,ROW()-8)="",TODAY(),INDEX(Transactions!$G:$G,ROW()-8))</f>
      </c>
      <c r="F9539">
        <f>IF(INDEX(Transactions!$J:$J,ROW()-8)="",0,INDEX(Transactions!$O:$O,ROW()-8))</f>
      </c>
    </row>
    <row r="9540" spans="1:7">
      <c r="B9540">
        <f>IF(INDEX(Transactions!$J:$J,ROW()-8)="",TODAY(),INDEX(Transactions!$G:$G,ROW()-8))</f>
      </c>
      <c r="F9540">
        <f>IF(INDEX(Transactions!$J:$J,ROW()-8)="",0,INDEX(Transactions!$O:$O,ROW()-8))</f>
      </c>
    </row>
    <row r="9541" spans="1:7">
      <c r="B9541">
        <f>IF(INDEX(Transactions!$J:$J,ROW()-8)="",TODAY(),INDEX(Transactions!$G:$G,ROW()-8))</f>
      </c>
      <c r="F9541">
        <f>IF(INDEX(Transactions!$J:$J,ROW()-8)="",0,INDEX(Transactions!$O:$O,ROW()-8))</f>
      </c>
    </row>
    <row r="9542" spans="1:7">
      <c r="B9542">
        <f>IF(INDEX(Transactions!$J:$J,ROW()-8)="",TODAY(),INDEX(Transactions!$G:$G,ROW()-8))</f>
      </c>
      <c r="F9542">
        <f>IF(INDEX(Transactions!$J:$J,ROW()-8)="",0,INDEX(Transactions!$O:$O,ROW()-8))</f>
      </c>
    </row>
    <row r="9543" spans="1:7">
      <c r="B9543">
        <f>IF(INDEX(Transactions!$J:$J,ROW()-8)="",TODAY(),INDEX(Transactions!$G:$G,ROW()-8))</f>
      </c>
      <c r="F9543">
        <f>IF(INDEX(Transactions!$J:$J,ROW()-8)="",0,INDEX(Transactions!$O:$O,ROW()-8))</f>
      </c>
    </row>
    <row r="9544" spans="1:7">
      <c r="B9544">
        <f>IF(INDEX(Transactions!$J:$J,ROW()-8)="",TODAY(),INDEX(Transactions!$G:$G,ROW()-8))</f>
      </c>
      <c r="F9544">
        <f>IF(INDEX(Transactions!$J:$J,ROW()-8)="",0,INDEX(Transactions!$O:$O,ROW()-8))</f>
      </c>
    </row>
    <row r="9545" spans="1:7">
      <c r="B9545">
        <f>IF(INDEX(Transactions!$J:$J,ROW()-8)="",TODAY(),INDEX(Transactions!$G:$G,ROW()-8))</f>
      </c>
      <c r="F9545">
        <f>IF(INDEX(Transactions!$J:$J,ROW()-8)="",0,INDEX(Transactions!$O:$O,ROW()-8))</f>
      </c>
    </row>
    <row r="9546" spans="1:7">
      <c r="B9546">
        <f>IF(INDEX(Transactions!$J:$J,ROW()-8)="",TODAY(),INDEX(Transactions!$G:$G,ROW()-8))</f>
      </c>
      <c r="F9546">
        <f>IF(INDEX(Transactions!$J:$J,ROW()-8)="",0,INDEX(Transactions!$O:$O,ROW()-8))</f>
      </c>
    </row>
    <row r="9547" spans="1:7">
      <c r="B9547">
        <f>IF(INDEX(Transactions!$J:$J,ROW()-8)="",TODAY(),INDEX(Transactions!$G:$G,ROW()-8))</f>
      </c>
      <c r="F9547">
        <f>IF(INDEX(Transactions!$J:$J,ROW()-8)="",0,INDEX(Transactions!$O:$O,ROW()-8))</f>
      </c>
    </row>
    <row r="9548" spans="1:7">
      <c r="B9548">
        <f>IF(INDEX(Transactions!$J:$J,ROW()-8)="",TODAY(),INDEX(Transactions!$G:$G,ROW()-8))</f>
      </c>
      <c r="F9548">
        <f>IF(INDEX(Transactions!$J:$J,ROW()-8)="",0,INDEX(Transactions!$O:$O,ROW()-8))</f>
      </c>
    </row>
    <row r="9549" spans="1:7">
      <c r="B9549">
        <f>IF(INDEX(Transactions!$J:$J,ROW()-8)="",TODAY(),INDEX(Transactions!$G:$G,ROW()-8))</f>
      </c>
      <c r="F9549">
        <f>IF(INDEX(Transactions!$J:$J,ROW()-8)="",0,INDEX(Transactions!$O:$O,ROW()-8))</f>
      </c>
    </row>
    <row r="9550" spans="1:7">
      <c r="B9550">
        <f>IF(INDEX(Transactions!$J:$J,ROW()-8)="",TODAY(),INDEX(Transactions!$G:$G,ROW()-8))</f>
      </c>
      <c r="F9550">
        <f>IF(INDEX(Transactions!$J:$J,ROW()-8)="",0,INDEX(Transactions!$O:$O,ROW()-8))</f>
      </c>
    </row>
    <row r="9551" spans="1:7">
      <c r="B9551">
        <f>IF(INDEX(Transactions!$J:$J,ROW()-8)="",TODAY(),INDEX(Transactions!$G:$G,ROW()-8))</f>
      </c>
      <c r="F9551">
        <f>IF(INDEX(Transactions!$J:$J,ROW()-8)="",0,INDEX(Transactions!$O:$O,ROW()-8))</f>
      </c>
    </row>
    <row r="9552" spans="1:7">
      <c r="B9552">
        <f>IF(INDEX(Transactions!$J:$J,ROW()-8)="",TODAY(),INDEX(Transactions!$G:$G,ROW()-8))</f>
      </c>
      <c r="F9552">
        <f>IF(INDEX(Transactions!$J:$J,ROW()-8)="",0,INDEX(Transactions!$O:$O,ROW()-8))</f>
      </c>
    </row>
    <row r="9553" spans="1:7">
      <c r="B9553">
        <f>IF(INDEX(Transactions!$J:$J,ROW()-8)="",TODAY(),INDEX(Transactions!$G:$G,ROW()-8))</f>
      </c>
      <c r="F9553">
        <f>IF(INDEX(Transactions!$J:$J,ROW()-8)="",0,INDEX(Transactions!$O:$O,ROW()-8))</f>
      </c>
    </row>
    <row r="9554" spans="1:7">
      <c r="B9554">
        <f>IF(INDEX(Transactions!$J:$J,ROW()-8)="",TODAY(),INDEX(Transactions!$G:$G,ROW()-8))</f>
      </c>
      <c r="F9554">
        <f>IF(INDEX(Transactions!$J:$J,ROW()-8)="",0,INDEX(Transactions!$O:$O,ROW()-8))</f>
      </c>
    </row>
    <row r="9555" spans="1:7">
      <c r="B9555">
        <f>IF(INDEX(Transactions!$J:$J,ROW()-8)="",TODAY(),INDEX(Transactions!$G:$G,ROW()-8))</f>
      </c>
      <c r="F9555">
        <f>IF(INDEX(Transactions!$J:$J,ROW()-8)="",0,INDEX(Transactions!$O:$O,ROW()-8))</f>
      </c>
    </row>
    <row r="9556" spans="1:7">
      <c r="B9556">
        <f>IF(INDEX(Transactions!$J:$J,ROW()-8)="",TODAY(),INDEX(Transactions!$G:$G,ROW()-8))</f>
      </c>
      <c r="F9556">
        <f>IF(INDEX(Transactions!$J:$J,ROW()-8)="",0,INDEX(Transactions!$O:$O,ROW()-8))</f>
      </c>
    </row>
    <row r="9557" spans="1:7">
      <c r="B9557">
        <f>IF(INDEX(Transactions!$J:$J,ROW()-8)="",TODAY(),INDEX(Transactions!$G:$G,ROW()-8))</f>
      </c>
      <c r="F9557">
        <f>IF(INDEX(Transactions!$J:$J,ROW()-8)="",0,INDEX(Transactions!$O:$O,ROW()-8))</f>
      </c>
    </row>
    <row r="9558" spans="1:7">
      <c r="B9558">
        <f>IF(INDEX(Transactions!$J:$J,ROW()-8)="",TODAY(),INDEX(Transactions!$G:$G,ROW()-8))</f>
      </c>
      <c r="F9558">
        <f>IF(INDEX(Transactions!$J:$J,ROW()-8)="",0,INDEX(Transactions!$O:$O,ROW()-8))</f>
      </c>
    </row>
    <row r="9559" spans="1:7">
      <c r="B9559">
        <f>IF(INDEX(Transactions!$J:$J,ROW()-8)="",TODAY(),INDEX(Transactions!$G:$G,ROW()-8))</f>
      </c>
      <c r="F9559">
        <f>IF(INDEX(Transactions!$J:$J,ROW()-8)="",0,INDEX(Transactions!$O:$O,ROW()-8))</f>
      </c>
    </row>
    <row r="9560" spans="1:7">
      <c r="B9560">
        <f>IF(INDEX(Transactions!$J:$J,ROW()-8)="",TODAY(),INDEX(Transactions!$G:$G,ROW()-8))</f>
      </c>
      <c r="F9560">
        <f>IF(INDEX(Transactions!$J:$J,ROW()-8)="",0,INDEX(Transactions!$O:$O,ROW()-8))</f>
      </c>
    </row>
    <row r="9561" spans="1:7">
      <c r="B9561">
        <f>IF(INDEX(Transactions!$J:$J,ROW()-8)="",TODAY(),INDEX(Transactions!$G:$G,ROW()-8))</f>
      </c>
      <c r="F9561">
        <f>IF(INDEX(Transactions!$J:$J,ROW()-8)="",0,INDEX(Transactions!$O:$O,ROW()-8))</f>
      </c>
    </row>
    <row r="9562" spans="1:7">
      <c r="B9562">
        <f>IF(INDEX(Transactions!$J:$J,ROW()-8)="",TODAY(),INDEX(Transactions!$G:$G,ROW()-8))</f>
      </c>
      <c r="F9562">
        <f>IF(INDEX(Transactions!$J:$J,ROW()-8)="",0,INDEX(Transactions!$O:$O,ROW()-8))</f>
      </c>
    </row>
    <row r="9563" spans="1:7">
      <c r="B9563">
        <f>IF(INDEX(Transactions!$J:$J,ROW()-8)="",TODAY(),INDEX(Transactions!$G:$G,ROW()-8))</f>
      </c>
      <c r="F9563">
        <f>IF(INDEX(Transactions!$J:$J,ROW()-8)="",0,INDEX(Transactions!$O:$O,ROW()-8))</f>
      </c>
    </row>
    <row r="9564" spans="1:7">
      <c r="B9564">
        <f>IF(INDEX(Transactions!$J:$J,ROW()-8)="",TODAY(),INDEX(Transactions!$G:$G,ROW()-8))</f>
      </c>
      <c r="F9564">
        <f>IF(INDEX(Transactions!$J:$J,ROW()-8)="",0,INDEX(Transactions!$O:$O,ROW()-8))</f>
      </c>
    </row>
    <row r="9565" spans="1:7">
      <c r="B9565">
        <f>IF(INDEX(Transactions!$J:$J,ROW()-8)="",TODAY(),INDEX(Transactions!$G:$G,ROW()-8))</f>
      </c>
      <c r="F9565">
        <f>IF(INDEX(Transactions!$J:$J,ROW()-8)="",0,INDEX(Transactions!$O:$O,ROW()-8))</f>
      </c>
    </row>
    <row r="9566" spans="1:7">
      <c r="B9566">
        <f>IF(INDEX(Transactions!$J:$J,ROW()-8)="",TODAY(),INDEX(Transactions!$G:$G,ROW()-8))</f>
      </c>
      <c r="F9566">
        <f>IF(INDEX(Transactions!$J:$J,ROW()-8)="",0,INDEX(Transactions!$O:$O,ROW()-8))</f>
      </c>
    </row>
    <row r="9567" spans="1:7">
      <c r="B9567">
        <f>IF(INDEX(Transactions!$J:$J,ROW()-8)="",TODAY(),INDEX(Transactions!$G:$G,ROW()-8))</f>
      </c>
      <c r="F9567">
        <f>IF(INDEX(Transactions!$J:$J,ROW()-8)="",0,INDEX(Transactions!$O:$O,ROW()-8))</f>
      </c>
    </row>
    <row r="9568" spans="1:7">
      <c r="B9568">
        <f>IF(INDEX(Transactions!$J:$J,ROW()-8)="",TODAY(),INDEX(Transactions!$G:$G,ROW()-8))</f>
      </c>
      <c r="F9568">
        <f>IF(INDEX(Transactions!$J:$J,ROW()-8)="",0,INDEX(Transactions!$O:$O,ROW()-8))</f>
      </c>
    </row>
    <row r="9569" spans="1:7">
      <c r="B9569">
        <f>IF(INDEX(Transactions!$J:$J,ROW()-8)="",TODAY(),INDEX(Transactions!$G:$G,ROW()-8))</f>
      </c>
      <c r="F9569">
        <f>IF(INDEX(Transactions!$J:$J,ROW()-8)="",0,INDEX(Transactions!$O:$O,ROW()-8))</f>
      </c>
    </row>
    <row r="9570" spans="1:7">
      <c r="B9570">
        <f>IF(INDEX(Transactions!$J:$J,ROW()-8)="",TODAY(),INDEX(Transactions!$G:$G,ROW()-8))</f>
      </c>
      <c r="F9570">
        <f>IF(INDEX(Transactions!$J:$J,ROW()-8)="",0,INDEX(Transactions!$O:$O,ROW()-8))</f>
      </c>
    </row>
    <row r="9571" spans="1:7">
      <c r="B9571">
        <f>IF(INDEX(Transactions!$J:$J,ROW()-8)="",TODAY(),INDEX(Transactions!$G:$G,ROW()-8))</f>
      </c>
      <c r="F9571">
        <f>IF(INDEX(Transactions!$J:$J,ROW()-8)="",0,INDEX(Transactions!$O:$O,ROW()-8))</f>
      </c>
    </row>
    <row r="9572" spans="1:7">
      <c r="B9572">
        <f>IF(INDEX(Transactions!$J:$J,ROW()-8)="",TODAY(),INDEX(Transactions!$G:$G,ROW()-8))</f>
      </c>
      <c r="F9572">
        <f>IF(INDEX(Transactions!$J:$J,ROW()-8)="",0,INDEX(Transactions!$O:$O,ROW()-8))</f>
      </c>
    </row>
    <row r="9573" spans="1:7">
      <c r="B9573">
        <f>IF(INDEX(Transactions!$J:$J,ROW()-8)="",TODAY(),INDEX(Transactions!$G:$G,ROW()-8))</f>
      </c>
      <c r="F9573">
        <f>IF(INDEX(Transactions!$J:$J,ROW()-8)="",0,INDEX(Transactions!$O:$O,ROW()-8))</f>
      </c>
    </row>
    <row r="9574" spans="1:7">
      <c r="B9574">
        <f>IF(INDEX(Transactions!$J:$J,ROW()-8)="",TODAY(),INDEX(Transactions!$G:$G,ROW()-8))</f>
      </c>
      <c r="F9574">
        <f>IF(INDEX(Transactions!$J:$J,ROW()-8)="",0,INDEX(Transactions!$O:$O,ROW()-8))</f>
      </c>
    </row>
    <row r="9575" spans="1:7">
      <c r="B9575">
        <f>IF(INDEX(Transactions!$J:$J,ROW()-8)="",TODAY(),INDEX(Transactions!$G:$G,ROW()-8))</f>
      </c>
      <c r="F9575">
        <f>IF(INDEX(Transactions!$J:$J,ROW()-8)="",0,INDEX(Transactions!$O:$O,ROW()-8))</f>
      </c>
    </row>
    <row r="9576" spans="1:7">
      <c r="B9576">
        <f>IF(INDEX(Transactions!$J:$J,ROW()-8)="",TODAY(),INDEX(Transactions!$G:$G,ROW()-8))</f>
      </c>
      <c r="F9576">
        <f>IF(INDEX(Transactions!$J:$J,ROW()-8)="",0,INDEX(Transactions!$O:$O,ROW()-8))</f>
      </c>
    </row>
    <row r="9577" spans="1:7">
      <c r="B9577">
        <f>IF(INDEX(Transactions!$J:$J,ROW()-8)="",TODAY(),INDEX(Transactions!$G:$G,ROW()-8))</f>
      </c>
      <c r="F9577">
        <f>IF(INDEX(Transactions!$J:$J,ROW()-8)="",0,INDEX(Transactions!$O:$O,ROW()-8))</f>
      </c>
    </row>
    <row r="9578" spans="1:7">
      <c r="B9578">
        <f>IF(INDEX(Transactions!$J:$J,ROW()-8)="",TODAY(),INDEX(Transactions!$G:$G,ROW()-8))</f>
      </c>
      <c r="F9578">
        <f>IF(INDEX(Transactions!$J:$J,ROW()-8)="",0,INDEX(Transactions!$O:$O,ROW()-8))</f>
      </c>
    </row>
    <row r="9579" spans="1:7">
      <c r="B9579">
        <f>IF(INDEX(Transactions!$J:$J,ROW()-8)="",TODAY(),INDEX(Transactions!$G:$G,ROW()-8))</f>
      </c>
      <c r="F9579">
        <f>IF(INDEX(Transactions!$J:$J,ROW()-8)="",0,INDEX(Transactions!$O:$O,ROW()-8))</f>
      </c>
    </row>
    <row r="9580" spans="1:7">
      <c r="B9580">
        <f>IF(INDEX(Transactions!$J:$J,ROW()-8)="",TODAY(),INDEX(Transactions!$G:$G,ROW()-8))</f>
      </c>
      <c r="F9580">
        <f>IF(INDEX(Transactions!$J:$J,ROW()-8)="",0,INDEX(Transactions!$O:$O,ROW()-8))</f>
      </c>
    </row>
    <row r="9581" spans="1:7">
      <c r="B9581">
        <f>IF(INDEX(Transactions!$J:$J,ROW()-8)="",TODAY(),INDEX(Transactions!$G:$G,ROW()-8))</f>
      </c>
      <c r="F9581">
        <f>IF(INDEX(Transactions!$J:$J,ROW()-8)="",0,INDEX(Transactions!$O:$O,ROW()-8))</f>
      </c>
    </row>
    <row r="9582" spans="1:7">
      <c r="B9582">
        <f>IF(INDEX(Transactions!$J:$J,ROW()-8)="",TODAY(),INDEX(Transactions!$G:$G,ROW()-8))</f>
      </c>
      <c r="F9582">
        <f>IF(INDEX(Transactions!$J:$J,ROW()-8)="",0,INDEX(Transactions!$O:$O,ROW()-8))</f>
      </c>
    </row>
    <row r="9583" spans="1:7">
      <c r="B9583">
        <f>IF(INDEX(Transactions!$J:$J,ROW()-8)="",TODAY(),INDEX(Transactions!$G:$G,ROW()-8))</f>
      </c>
      <c r="F9583">
        <f>IF(INDEX(Transactions!$J:$J,ROW()-8)="",0,INDEX(Transactions!$O:$O,ROW()-8))</f>
      </c>
    </row>
    <row r="9584" spans="1:7">
      <c r="B9584">
        <f>IF(INDEX(Transactions!$J:$J,ROW()-8)="",TODAY(),INDEX(Transactions!$G:$G,ROW()-8))</f>
      </c>
      <c r="F9584">
        <f>IF(INDEX(Transactions!$J:$J,ROW()-8)="",0,INDEX(Transactions!$O:$O,ROW()-8))</f>
      </c>
    </row>
    <row r="9585" spans="1:7">
      <c r="B9585">
        <f>IF(INDEX(Transactions!$J:$J,ROW()-8)="",TODAY(),INDEX(Transactions!$G:$G,ROW()-8))</f>
      </c>
      <c r="F9585">
        <f>IF(INDEX(Transactions!$J:$J,ROW()-8)="",0,INDEX(Transactions!$O:$O,ROW()-8))</f>
      </c>
    </row>
    <row r="9586" spans="1:7">
      <c r="B9586">
        <f>IF(INDEX(Transactions!$J:$J,ROW()-8)="",TODAY(),INDEX(Transactions!$G:$G,ROW()-8))</f>
      </c>
      <c r="F9586">
        <f>IF(INDEX(Transactions!$J:$J,ROW()-8)="",0,INDEX(Transactions!$O:$O,ROW()-8))</f>
      </c>
    </row>
    <row r="9587" spans="1:7">
      <c r="B9587">
        <f>IF(INDEX(Transactions!$J:$J,ROW()-8)="",TODAY(),INDEX(Transactions!$G:$G,ROW()-8))</f>
      </c>
      <c r="F9587">
        <f>IF(INDEX(Transactions!$J:$J,ROW()-8)="",0,INDEX(Transactions!$O:$O,ROW()-8))</f>
      </c>
    </row>
    <row r="9588" spans="1:7">
      <c r="B9588">
        <f>IF(INDEX(Transactions!$J:$J,ROW()-8)="",TODAY(),INDEX(Transactions!$G:$G,ROW()-8))</f>
      </c>
      <c r="F9588">
        <f>IF(INDEX(Transactions!$J:$J,ROW()-8)="",0,INDEX(Transactions!$O:$O,ROW()-8))</f>
      </c>
    </row>
    <row r="9589" spans="1:7">
      <c r="B9589">
        <f>IF(INDEX(Transactions!$J:$J,ROW()-8)="",TODAY(),INDEX(Transactions!$G:$G,ROW()-8))</f>
      </c>
      <c r="F9589">
        <f>IF(INDEX(Transactions!$J:$J,ROW()-8)="",0,INDEX(Transactions!$O:$O,ROW()-8))</f>
      </c>
    </row>
    <row r="9590" spans="1:7">
      <c r="B9590">
        <f>IF(INDEX(Transactions!$J:$J,ROW()-8)="",TODAY(),INDEX(Transactions!$G:$G,ROW()-8))</f>
      </c>
      <c r="F9590">
        <f>IF(INDEX(Transactions!$J:$J,ROW()-8)="",0,INDEX(Transactions!$O:$O,ROW()-8))</f>
      </c>
    </row>
    <row r="9591" spans="1:7">
      <c r="B9591">
        <f>IF(INDEX(Transactions!$J:$J,ROW()-8)="",TODAY(),INDEX(Transactions!$G:$G,ROW()-8))</f>
      </c>
      <c r="F9591">
        <f>IF(INDEX(Transactions!$J:$J,ROW()-8)="",0,INDEX(Transactions!$O:$O,ROW()-8))</f>
      </c>
    </row>
    <row r="9592" spans="1:7">
      <c r="B9592">
        <f>IF(INDEX(Transactions!$J:$J,ROW()-8)="",TODAY(),INDEX(Transactions!$G:$G,ROW()-8))</f>
      </c>
      <c r="F9592">
        <f>IF(INDEX(Transactions!$J:$J,ROW()-8)="",0,INDEX(Transactions!$O:$O,ROW()-8))</f>
      </c>
    </row>
    <row r="9593" spans="1:7">
      <c r="B9593">
        <f>IF(INDEX(Transactions!$J:$J,ROW()-8)="",TODAY(),INDEX(Transactions!$G:$G,ROW()-8))</f>
      </c>
      <c r="F9593">
        <f>IF(INDEX(Transactions!$J:$J,ROW()-8)="",0,INDEX(Transactions!$O:$O,ROW()-8))</f>
      </c>
    </row>
    <row r="9594" spans="1:7">
      <c r="B9594">
        <f>IF(INDEX(Transactions!$J:$J,ROW()-8)="",TODAY(),INDEX(Transactions!$G:$G,ROW()-8))</f>
      </c>
      <c r="F9594">
        <f>IF(INDEX(Transactions!$J:$J,ROW()-8)="",0,INDEX(Transactions!$O:$O,ROW()-8))</f>
      </c>
    </row>
    <row r="9595" spans="1:7">
      <c r="B9595">
        <f>IF(INDEX(Transactions!$J:$J,ROW()-8)="",TODAY(),INDEX(Transactions!$G:$G,ROW()-8))</f>
      </c>
      <c r="F9595">
        <f>IF(INDEX(Transactions!$J:$J,ROW()-8)="",0,INDEX(Transactions!$O:$O,ROW()-8))</f>
      </c>
    </row>
    <row r="9596" spans="1:7">
      <c r="B9596">
        <f>IF(INDEX(Transactions!$J:$J,ROW()-8)="",TODAY(),INDEX(Transactions!$G:$G,ROW()-8))</f>
      </c>
      <c r="F9596">
        <f>IF(INDEX(Transactions!$J:$J,ROW()-8)="",0,INDEX(Transactions!$O:$O,ROW()-8))</f>
      </c>
    </row>
    <row r="9597" spans="1:7">
      <c r="B9597">
        <f>IF(INDEX(Transactions!$J:$J,ROW()-8)="",TODAY(),INDEX(Transactions!$G:$G,ROW()-8))</f>
      </c>
      <c r="F9597">
        <f>IF(INDEX(Transactions!$J:$J,ROW()-8)="",0,INDEX(Transactions!$O:$O,ROW()-8))</f>
      </c>
    </row>
    <row r="9598" spans="1:7">
      <c r="B9598">
        <f>IF(INDEX(Transactions!$J:$J,ROW()-8)="",TODAY(),INDEX(Transactions!$G:$G,ROW()-8))</f>
      </c>
      <c r="F9598">
        <f>IF(INDEX(Transactions!$J:$J,ROW()-8)="",0,INDEX(Transactions!$O:$O,ROW()-8))</f>
      </c>
    </row>
    <row r="9599" spans="1:7">
      <c r="B9599">
        <f>IF(INDEX(Transactions!$J:$J,ROW()-8)="",TODAY(),INDEX(Transactions!$G:$G,ROW()-8))</f>
      </c>
      <c r="F9599">
        <f>IF(INDEX(Transactions!$J:$J,ROW()-8)="",0,INDEX(Transactions!$O:$O,ROW()-8))</f>
      </c>
    </row>
    <row r="9600" spans="1:7">
      <c r="B9600">
        <f>IF(INDEX(Transactions!$J:$J,ROW()-8)="",TODAY(),INDEX(Transactions!$G:$G,ROW()-8))</f>
      </c>
      <c r="F9600">
        <f>IF(INDEX(Transactions!$J:$J,ROW()-8)="",0,INDEX(Transactions!$O:$O,ROW()-8))</f>
      </c>
    </row>
    <row r="9601" spans="1:7">
      <c r="B9601">
        <f>IF(INDEX(Transactions!$J:$J,ROW()-8)="",TODAY(),INDEX(Transactions!$G:$G,ROW()-8))</f>
      </c>
      <c r="F9601">
        <f>IF(INDEX(Transactions!$J:$J,ROW()-8)="",0,INDEX(Transactions!$O:$O,ROW()-8))</f>
      </c>
    </row>
    <row r="9602" spans="1:7">
      <c r="B9602">
        <f>IF(INDEX(Transactions!$J:$J,ROW()-8)="",TODAY(),INDEX(Transactions!$G:$G,ROW()-8))</f>
      </c>
      <c r="F9602">
        <f>IF(INDEX(Transactions!$J:$J,ROW()-8)="",0,INDEX(Transactions!$O:$O,ROW()-8))</f>
      </c>
    </row>
    <row r="9603" spans="1:7">
      <c r="B9603">
        <f>IF(INDEX(Transactions!$J:$J,ROW()-8)="",TODAY(),INDEX(Transactions!$G:$G,ROW()-8))</f>
      </c>
      <c r="F9603">
        <f>IF(INDEX(Transactions!$J:$J,ROW()-8)="",0,INDEX(Transactions!$O:$O,ROW()-8))</f>
      </c>
    </row>
    <row r="9604" spans="1:7">
      <c r="B9604">
        <f>IF(INDEX(Transactions!$J:$J,ROW()-8)="",TODAY(),INDEX(Transactions!$G:$G,ROW()-8))</f>
      </c>
      <c r="F9604">
        <f>IF(INDEX(Transactions!$J:$J,ROW()-8)="",0,INDEX(Transactions!$O:$O,ROW()-8))</f>
      </c>
    </row>
    <row r="9605" spans="1:7">
      <c r="B9605">
        <f>IF(INDEX(Transactions!$J:$J,ROW()-8)="",TODAY(),INDEX(Transactions!$G:$G,ROW()-8))</f>
      </c>
      <c r="F9605">
        <f>IF(INDEX(Transactions!$J:$J,ROW()-8)="",0,INDEX(Transactions!$O:$O,ROW()-8))</f>
      </c>
    </row>
    <row r="9606" spans="1:7">
      <c r="B9606">
        <f>IF(INDEX(Transactions!$J:$J,ROW()-8)="",TODAY(),INDEX(Transactions!$G:$G,ROW()-8))</f>
      </c>
      <c r="F9606">
        <f>IF(INDEX(Transactions!$J:$J,ROW()-8)="",0,INDEX(Transactions!$O:$O,ROW()-8))</f>
      </c>
    </row>
    <row r="9607" spans="1:7">
      <c r="B9607">
        <f>IF(INDEX(Transactions!$J:$J,ROW()-8)="",TODAY(),INDEX(Transactions!$G:$G,ROW()-8))</f>
      </c>
      <c r="F9607">
        <f>IF(INDEX(Transactions!$J:$J,ROW()-8)="",0,INDEX(Transactions!$O:$O,ROW()-8))</f>
      </c>
    </row>
    <row r="9608" spans="1:7">
      <c r="B9608">
        <f>IF(INDEX(Transactions!$J:$J,ROW()-8)="",TODAY(),INDEX(Transactions!$G:$G,ROW()-8))</f>
      </c>
      <c r="F9608">
        <f>IF(INDEX(Transactions!$J:$J,ROW()-8)="",0,INDEX(Transactions!$O:$O,ROW()-8))</f>
      </c>
    </row>
    <row r="9609" spans="1:7">
      <c r="B9609">
        <f>IF(INDEX(Transactions!$J:$J,ROW()-8)="",TODAY(),INDEX(Transactions!$G:$G,ROW()-8))</f>
      </c>
      <c r="F9609">
        <f>IF(INDEX(Transactions!$J:$J,ROW()-8)="",0,INDEX(Transactions!$O:$O,ROW()-8))</f>
      </c>
    </row>
    <row r="9610" spans="1:7">
      <c r="B9610">
        <f>IF(INDEX(Transactions!$J:$J,ROW()-8)="",TODAY(),INDEX(Transactions!$G:$G,ROW()-8))</f>
      </c>
      <c r="F9610">
        <f>IF(INDEX(Transactions!$J:$J,ROW()-8)="",0,INDEX(Transactions!$O:$O,ROW()-8))</f>
      </c>
    </row>
    <row r="9611" spans="1:7">
      <c r="B9611">
        <f>IF(INDEX(Transactions!$J:$J,ROW()-8)="",TODAY(),INDEX(Transactions!$G:$G,ROW()-8))</f>
      </c>
      <c r="F9611">
        <f>IF(INDEX(Transactions!$J:$J,ROW()-8)="",0,INDEX(Transactions!$O:$O,ROW()-8))</f>
      </c>
    </row>
    <row r="9612" spans="1:7">
      <c r="B9612">
        <f>IF(INDEX(Transactions!$J:$J,ROW()-8)="",TODAY(),INDEX(Transactions!$G:$G,ROW()-8))</f>
      </c>
      <c r="F9612">
        <f>IF(INDEX(Transactions!$J:$J,ROW()-8)="",0,INDEX(Transactions!$O:$O,ROW()-8))</f>
      </c>
    </row>
    <row r="9613" spans="1:7">
      <c r="B9613">
        <f>IF(INDEX(Transactions!$J:$J,ROW()-8)="",TODAY(),INDEX(Transactions!$G:$G,ROW()-8))</f>
      </c>
      <c r="F9613">
        <f>IF(INDEX(Transactions!$J:$J,ROW()-8)="",0,INDEX(Transactions!$O:$O,ROW()-8))</f>
      </c>
    </row>
    <row r="9614" spans="1:7">
      <c r="B9614">
        <f>IF(INDEX(Transactions!$J:$J,ROW()-8)="",TODAY(),INDEX(Transactions!$G:$G,ROW()-8))</f>
      </c>
      <c r="F9614">
        <f>IF(INDEX(Transactions!$J:$J,ROW()-8)="",0,INDEX(Transactions!$O:$O,ROW()-8))</f>
      </c>
    </row>
    <row r="9615" spans="1:7">
      <c r="B9615">
        <f>IF(INDEX(Transactions!$J:$J,ROW()-8)="",TODAY(),INDEX(Transactions!$G:$G,ROW()-8))</f>
      </c>
      <c r="F9615">
        <f>IF(INDEX(Transactions!$J:$J,ROW()-8)="",0,INDEX(Transactions!$O:$O,ROW()-8))</f>
      </c>
    </row>
    <row r="9616" spans="1:7">
      <c r="B9616">
        <f>IF(INDEX(Transactions!$J:$J,ROW()-8)="",TODAY(),INDEX(Transactions!$G:$G,ROW()-8))</f>
      </c>
      <c r="F9616">
        <f>IF(INDEX(Transactions!$J:$J,ROW()-8)="",0,INDEX(Transactions!$O:$O,ROW()-8))</f>
      </c>
    </row>
    <row r="9617" spans="1:7">
      <c r="B9617">
        <f>IF(INDEX(Transactions!$J:$J,ROW()-8)="",TODAY(),INDEX(Transactions!$G:$G,ROW()-8))</f>
      </c>
      <c r="F9617">
        <f>IF(INDEX(Transactions!$J:$J,ROW()-8)="",0,INDEX(Transactions!$O:$O,ROW()-8))</f>
      </c>
    </row>
    <row r="9618" spans="1:7">
      <c r="B9618">
        <f>IF(INDEX(Transactions!$J:$J,ROW()-8)="",TODAY(),INDEX(Transactions!$G:$G,ROW()-8))</f>
      </c>
      <c r="F9618">
        <f>IF(INDEX(Transactions!$J:$J,ROW()-8)="",0,INDEX(Transactions!$O:$O,ROW()-8))</f>
      </c>
    </row>
    <row r="9619" spans="1:7">
      <c r="B9619">
        <f>IF(INDEX(Transactions!$J:$J,ROW()-8)="",TODAY(),INDEX(Transactions!$G:$G,ROW()-8))</f>
      </c>
      <c r="F9619">
        <f>IF(INDEX(Transactions!$J:$J,ROW()-8)="",0,INDEX(Transactions!$O:$O,ROW()-8))</f>
      </c>
    </row>
    <row r="9620" spans="1:7">
      <c r="B9620">
        <f>IF(INDEX(Transactions!$J:$J,ROW()-8)="",TODAY(),INDEX(Transactions!$G:$G,ROW()-8))</f>
      </c>
      <c r="F9620">
        <f>IF(INDEX(Transactions!$J:$J,ROW()-8)="",0,INDEX(Transactions!$O:$O,ROW()-8))</f>
      </c>
    </row>
    <row r="9621" spans="1:7">
      <c r="B9621">
        <f>IF(INDEX(Transactions!$J:$J,ROW()-8)="",TODAY(),INDEX(Transactions!$G:$G,ROW()-8))</f>
      </c>
      <c r="F9621">
        <f>IF(INDEX(Transactions!$J:$J,ROW()-8)="",0,INDEX(Transactions!$O:$O,ROW()-8))</f>
      </c>
    </row>
    <row r="9622" spans="1:7">
      <c r="B9622">
        <f>IF(INDEX(Transactions!$J:$J,ROW()-8)="",TODAY(),INDEX(Transactions!$G:$G,ROW()-8))</f>
      </c>
      <c r="F9622">
        <f>IF(INDEX(Transactions!$J:$J,ROW()-8)="",0,INDEX(Transactions!$O:$O,ROW()-8))</f>
      </c>
    </row>
    <row r="9623" spans="1:7">
      <c r="B9623">
        <f>IF(INDEX(Transactions!$J:$J,ROW()-8)="",TODAY(),INDEX(Transactions!$G:$G,ROW()-8))</f>
      </c>
      <c r="F9623">
        <f>IF(INDEX(Transactions!$J:$J,ROW()-8)="",0,INDEX(Transactions!$O:$O,ROW()-8))</f>
      </c>
    </row>
    <row r="9624" spans="1:7">
      <c r="B9624">
        <f>IF(INDEX(Transactions!$J:$J,ROW()-8)="",TODAY(),INDEX(Transactions!$G:$G,ROW()-8))</f>
      </c>
      <c r="F9624">
        <f>IF(INDEX(Transactions!$J:$J,ROW()-8)="",0,INDEX(Transactions!$O:$O,ROW()-8))</f>
      </c>
    </row>
    <row r="9625" spans="1:7">
      <c r="B9625">
        <f>IF(INDEX(Transactions!$J:$J,ROW()-8)="",TODAY(),INDEX(Transactions!$G:$G,ROW()-8))</f>
      </c>
      <c r="F9625">
        <f>IF(INDEX(Transactions!$J:$J,ROW()-8)="",0,INDEX(Transactions!$O:$O,ROW()-8))</f>
      </c>
    </row>
    <row r="9626" spans="1:7">
      <c r="B9626">
        <f>IF(INDEX(Transactions!$J:$J,ROW()-8)="",TODAY(),INDEX(Transactions!$G:$G,ROW()-8))</f>
      </c>
      <c r="F9626">
        <f>IF(INDEX(Transactions!$J:$J,ROW()-8)="",0,INDEX(Transactions!$O:$O,ROW()-8))</f>
      </c>
    </row>
    <row r="9627" spans="1:7">
      <c r="B9627">
        <f>IF(INDEX(Transactions!$J:$J,ROW()-8)="",TODAY(),INDEX(Transactions!$G:$G,ROW()-8))</f>
      </c>
      <c r="F9627">
        <f>IF(INDEX(Transactions!$J:$J,ROW()-8)="",0,INDEX(Transactions!$O:$O,ROW()-8))</f>
      </c>
    </row>
    <row r="9628" spans="1:7">
      <c r="B9628">
        <f>IF(INDEX(Transactions!$J:$J,ROW()-8)="",TODAY(),INDEX(Transactions!$G:$G,ROW()-8))</f>
      </c>
      <c r="F9628">
        <f>IF(INDEX(Transactions!$J:$J,ROW()-8)="",0,INDEX(Transactions!$O:$O,ROW()-8))</f>
      </c>
    </row>
    <row r="9629" spans="1:7">
      <c r="B9629">
        <f>IF(INDEX(Transactions!$J:$J,ROW()-8)="",TODAY(),INDEX(Transactions!$G:$G,ROW()-8))</f>
      </c>
      <c r="F9629">
        <f>IF(INDEX(Transactions!$J:$J,ROW()-8)="",0,INDEX(Transactions!$O:$O,ROW()-8))</f>
      </c>
    </row>
    <row r="9630" spans="1:7">
      <c r="B9630">
        <f>IF(INDEX(Transactions!$J:$J,ROW()-8)="",TODAY(),INDEX(Transactions!$G:$G,ROW()-8))</f>
      </c>
      <c r="F9630">
        <f>IF(INDEX(Transactions!$J:$J,ROW()-8)="",0,INDEX(Transactions!$O:$O,ROW()-8))</f>
      </c>
    </row>
    <row r="9631" spans="1:7">
      <c r="B9631">
        <f>IF(INDEX(Transactions!$J:$J,ROW()-8)="",TODAY(),INDEX(Transactions!$G:$G,ROW()-8))</f>
      </c>
      <c r="F9631">
        <f>IF(INDEX(Transactions!$J:$J,ROW()-8)="",0,INDEX(Transactions!$O:$O,ROW()-8))</f>
      </c>
    </row>
    <row r="9632" spans="1:7">
      <c r="B9632">
        <f>IF(INDEX(Transactions!$J:$J,ROW()-8)="",TODAY(),INDEX(Transactions!$G:$G,ROW()-8))</f>
      </c>
      <c r="F9632">
        <f>IF(INDEX(Transactions!$J:$J,ROW()-8)="",0,INDEX(Transactions!$O:$O,ROW()-8))</f>
      </c>
    </row>
    <row r="9633" spans="1:7">
      <c r="B9633">
        <f>IF(INDEX(Transactions!$J:$J,ROW()-8)="",TODAY(),INDEX(Transactions!$G:$G,ROW()-8))</f>
      </c>
      <c r="F9633">
        <f>IF(INDEX(Transactions!$J:$J,ROW()-8)="",0,INDEX(Transactions!$O:$O,ROW()-8))</f>
      </c>
    </row>
    <row r="9634" spans="1:7">
      <c r="B9634">
        <f>IF(INDEX(Transactions!$J:$J,ROW()-8)="",TODAY(),INDEX(Transactions!$G:$G,ROW()-8))</f>
      </c>
      <c r="F9634">
        <f>IF(INDEX(Transactions!$J:$J,ROW()-8)="",0,INDEX(Transactions!$O:$O,ROW()-8))</f>
      </c>
    </row>
    <row r="9635" spans="1:7">
      <c r="B9635">
        <f>IF(INDEX(Transactions!$J:$J,ROW()-8)="",TODAY(),INDEX(Transactions!$G:$G,ROW()-8))</f>
      </c>
      <c r="F9635">
        <f>IF(INDEX(Transactions!$J:$J,ROW()-8)="",0,INDEX(Transactions!$O:$O,ROW()-8))</f>
      </c>
    </row>
    <row r="9636" spans="1:7">
      <c r="B9636">
        <f>IF(INDEX(Transactions!$J:$J,ROW()-8)="",TODAY(),INDEX(Transactions!$G:$G,ROW()-8))</f>
      </c>
      <c r="F9636">
        <f>IF(INDEX(Transactions!$J:$J,ROW()-8)="",0,INDEX(Transactions!$O:$O,ROW()-8))</f>
      </c>
    </row>
    <row r="9637" spans="1:7">
      <c r="B9637">
        <f>IF(INDEX(Transactions!$J:$J,ROW()-8)="",TODAY(),INDEX(Transactions!$G:$G,ROW()-8))</f>
      </c>
      <c r="F9637">
        <f>IF(INDEX(Transactions!$J:$J,ROW()-8)="",0,INDEX(Transactions!$O:$O,ROW()-8))</f>
      </c>
    </row>
    <row r="9638" spans="1:7">
      <c r="B9638">
        <f>IF(INDEX(Transactions!$J:$J,ROW()-8)="",TODAY(),INDEX(Transactions!$G:$G,ROW()-8))</f>
      </c>
      <c r="F9638">
        <f>IF(INDEX(Transactions!$J:$J,ROW()-8)="",0,INDEX(Transactions!$O:$O,ROW()-8))</f>
      </c>
    </row>
    <row r="9639" spans="1:7">
      <c r="B9639">
        <f>IF(INDEX(Transactions!$J:$J,ROW()-8)="",TODAY(),INDEX(Transactions!$G:$G,ROW()-8))</f>
      </c>
      <c r="F9639">
        <f>IF(INDEX(Transactions!$J:$J,ROW()-8)="",0,INDEX(Transactions!$O:$O,ROW()-8))</f>
      </c>
    </row>
    <row r="9640" spans="1:7">
      <c r="B9640">
        <f>IF(INDEX(Transactions!$J:$J,ROW()-8)="",TODAY(),INDEX(Transactions!$G:$G,ROW()-8))</f>
      </c>
      <c r="F9640">
        <f>IF(INDEX(Transactions!$J:$J,ROW()-8)="",0,INDEX(Transactions!$O:$O,ROW()-8))</f>
      </c>
    </row>
    <row r="9641" spans="1:7">
      <c r="B9641">
        <f>IF(INDEX(Transactions!$J:$J,ROW()-8)="",TODAY(),INDEX(Transactions!$G:$G,ROW()-8))</f>
      </c>
      <c r="F9641">
        <f>IF(INDEX(Transactions!$J:$J,ROW()-8)="",0,INDEX(Transactions!$O:$O,ROW()-8))</f>
      </c>
    </row>
    <row r="9642" spans="1:7">
      <c r="B9642">
        <f>IF(INDEX(Transactions!$J:$J,ROW()-8)="",TODAY(),INDEX(Transactions!$G:$G,ROW()-8))</f>
      </c>
      <c r="F9642">
        <f>IF(INDEX(Transactions!$J:$J,ROW()-8)="",0,INDEX(Transactions!$O:$O,ROW()-8))</f>
      </c>
    </row>
    <row r="9643" spans="1:7">
      <c r="B9643">
        <f>IF(INDEX(Transactions!$J:$J,ROW()-8)="",TODAY(),INDEX(Transactions!$G:$G,ROW()-8))</f>
      </c>
      <c r="F9643">
        <f>IF(INDEX(Transactions!$J:$J,ROW()-8)="",0,INDEX(Transactions!$O:$O,ROW()-8))</f>
      </c>
    </row>
    <row r="9644" spans="1:7">
      <c r="B9644">
        <f>IF(INDEX(Transactions!$J:$J,ROW()-8)="",TODAY(),INDEX(Transactions!$G:$G,ROW()-8))</f>
      </c>
      <c r="F9644">
        <f>IF(INDEX(Transactions!$J:$J,ROW()-8)="",0,INDEX(Transactions!$O:$O,ROW()-8))</f>
      </c>
    </row>
    <row r="9645" spans="1:7">
      <c r="B9645">
        <f>IF(INDEX(Transactions!$J:$J,ROW()-8)="",TODAY(),INDEX(Transactions!$G:$G,ROW()-8))</f>
      </c>
      <c r="F9645">
        <f>IF(INDEX(Transactions!$J:$J,ROW()-8)="",0,INDEX(Transactions!$O:$O,ROW()-8))</f>
      </c>
    </row>
    <row r="9646" spans="1:7">
      <c r="B9646">
        <f>IF(INDEX(Transactions!$J:$J,ROW()-8)="",TODAY(),INDEX(Transactions!$G:$G,ROW()-8))</f>
      </c>
      <c r="F9646">
        <f>IF(INDEX(Transactions!$J:$J,ROW()-8)="",0,INDEX(Transactions!$O:$O,ROW()-8))</f>
      </c>
    </row>
    <row r="9647" spans="1:7">
      <c r="B9647">
        <f>IF(INDEX(Transactions!$J:$J,ROW()-8)="",TODAY(),INDEX(Transactions!$G:$G,ROW()-8))</f>
      </c>
      <c r="F9647">
        <f>IF(INDEX(Transactions!$J:$J,ROW()-8)="",0,INDEX(Transactions!$O:$O,ROW()-8))</f>
      </c>
    </row>
    <row r="9648" spans="1:7">
      <c r="B9648">
        <f>IF(INDEX(Transactions!$J:$J,ROW()-8)="",TODAY(),INDEX(Transactions!$G:$G,ROW()-8))</f>
      </c>
      <c r="F9648">
        <f>IF(INDEX(Transactions!$J:$J,ROW()-8)="",0,INDEX(Transactions!$O:$O,ROW()-8))</f>
      </c>
    </row>
    <row r="9649" spans="1:7">
      <c r="B9649">
        <f>IF(INDEX(Transactions!$J:$J,ROW()-8)="",TODAY(),INDEX(Transactions!$G:$G,ROW()-8))</f>
      </c>
      <c r="F9649">
        <f>IF(INDEX(Transactions!$J:$J,ROW()-8)="",0,INDEX(Transactions!$O:$O,ROW()-8))</f>
      </c>
    </row>
    <row r="9650" spans="1:7">
      <c r="B9650">
        <f>IF(INDEX(Transactions!$J:$J,ROW()-8)="",TODAY(),INDEX(Transactions!$G:$G,ROW()-8))</f>
      </c>
      <c r="F9650">
        <f>IF(INDEX(Transactions!$J:$J,ROW()-8)="",0,INDEX(Transactions!$O:$O,ROW()-8))</f>
      </c>
    </row>
    <row r="9651" spans="1:7">
      <c r="B9651">
        <f>IF(INDEX(Transactions!$J:$J,ROW()-8)="",TODAY(),INDEX(Transactions!$G:$G,ROW()-8))</f>
      </c>
      <c r="F9651">
        <f>IF(INDEX(Transactions!$J:$J,ROW()-8)="",0,INDEX(Transactions!$O:$O,ROW()-8))</f>
      </c>
    </row>
    <row r="9652" spans="1:7">
      <c r="B9652">
        <f>IF(INDEX(Transactions!$J:$J,ROW()-8)="",TODAY(),INDEX(Transactions!$G:$G,ROW()-8))</f>
      </c>
      <c r="F9652">
        <f>IF(INDEX(Transactions!$J:$J,ROW()-8)="",0,INDEX(Transactions!$O:$O,ROW()-8))</f>
      </c>
    </row>
    <row r="9653" spans="1:7">
      <c r="B9653">
        <f>IF(INDEX(Transactions!$J:$J,ROW()-8)="",TODAY(),INDEX(Transactions!$G:$G,ROW()-8))</f>
      </c>
      <c r="F9653">
        <f>IF(INDEX(Transactions!$J:$J,ROW()-8)="",0,INDEX(Transactions!$O:$O,ROW()-8))</f>
      </c>
    </row>
    <row r="9654" spans="1:7">
      <c r="B9654">
        <f>IF(INDEX(Transactions!$J:$J,ROW()-8)="",TODAY(),INDEX(Transactions!$G:$G,ROW()-8))</f>
      </c>
      <c r="F9654">
        <f>IF(INDEX(Transactions!$J:$J,ROW()-8)="",0,INDEX(Transactions!$O:$O,ROW()-8))</f>
      </c>
    </row>
    <row r="9655" spans="1:7">
      <c r="B9655">
        <f>IF(INDEX(Transactions!$J:$J,ROW()-8)="",TODAY(),INDEX(Transactions!$G:$G,ROW()-8))</f>
      </c>
      <c r="F9655">
        <f>IF(INDEX(Transactions!$J:$J,ROW()-8)="",0,INDEX(Transactions!$O:$O,ROW()-8))</f>
      </c>
    </row>
    <row r="9656" spans="1:7">
      <c r="B9656">
        <f>IF(INDEX(Transactions!$J:$J,ROW()-8)="",TODAY(),INDEX(Transactions!$G:$G,ROW()-8))</f>
      </c>
      <c r="F9656">
        <f>IF(INDEX(Transactions!$J:$J,ROW()-8)="",0,INDEX(Transactions!$O:$O,ROW()-8))</f>
      </c>
    </row>
    <row r="9657" spans="1:7">
      <c r="B9657">
        <f>IF(INDEX(Transactions!$J:$J,ROW()-8)="",TODAY(),INDEX(Transactions!$G:$G,ROW()-8))</f>
      </c>
      <c r="F9657">
        <f>IF(INDEX(Transactions!$J:$J,ROW()-8)="",0,INDEX(Transactions!$O:$O,ROW()-8))</f>
      </c>
    </row>
    <row r="9658" spans="1:7">
      <c r="B9658">
        <f>IF(INDEX(Transactions!$J:$J,ROW()-8)="",TODAY(),INDEX(Transactions!$G:$G,ROW()-8))</f>
      </c>
      <c r="F9658">
        <f>IF(INDEX(Transactions!$J:$J,ROW()-8)="",0,INDEX(Transactions!$O:$O,ROW()-8))</f>
      </c>
    </row>
    <row r="9659" spans="1:7">
      <c r="B9659">
        <f>IF(INDEX(Transactions!$J:$J,ROW()-8)="",TODAY(),INDEX(Transactions!$G:$G,ROW()-8))</f>
      </c>
      <c r="F9659">
        <f>IF(INDEX(Transactions!$J:$J,ROW()-8)="",0,INDEX(Transactions!$O:$O,ROW()-8))</f>
      </c>
    </row>
    <row r="9660" spans="1:7">
      <c r="B9660">
        <f>IF(INDEX(Transactions!$J:$J,ROW()-8)="",TODAY(),INDEX(Transactions!$G:$G,ROW()-8))</f>
      </c>
      <c r="F9660">
        <f>IF(INDEX(Transactions!$J:$J,ROW()-8)="",0,INDEX(Transactions!$O:$O,ROW()-8))</f>
      </c>
    </row>
    <row r="9661" spans="1:7">
      <c r="B9661">
        <f>IF(INDEX(Transactions!$J:$J,ROW()-8)="",TODAY(),INDEX(Transactions!$G:$G,ROW()-8))</f>
      </c>
      <c r="F9661">
        <f>IF(INDEX(Transactions!$J:$J,ROW()-8)="",0,INDEX(Transactions!$O:$O,ROW()-8))</f>
      </c>
    </row>
    <row r="9662" spans="1:7">
      <c r="B9662">
        <f>IF(INDEX(Transactions!$J:$J,ROW()-8)="",TODAY(),INDEX(Transactions!$G:$G,ROW()-8))</f>
      </c>
      <c r="F9662">
        <f>IF(INDEX(Transactions!$J:$J,ROW()-8)="",0,INDEX(Transactions!$O:$O,ROW()-8))</f>
      </c>
    </row>
    <row r="9663" spans="1:7">
      <c r="B9663">
        <f>IF(INDEX(Transactions!$J:$J,ROW()-8)="",TODAY(),INDEX(Transactions!$G:$G,ROW()-8))</f>
      </c>
      <c r="F9663">
        <f>IF(INDEX(Transactions!$J:$J,ROW()-8)="",0,INDEX(Transactions!$O:$O,ROW()-8))</f>
      </c>
    </row>
    <row r="9664" spans="1:7">
      <c r="B9664">
        <f>IF(INDEX(Transactions!$J:$J,ROW()-8)="",TODAY(),INDEX(Transactions!$G:$G,ROW()-8))</f>
      </c>
      <c r="F9664">
        <f>IF(INDEX(Transactions!$J:$J,ROW()-8)="",0,INDEX(Transactions!$O:$O,ROW()-8))</f>
      </c>
    </row>
    <row r="9665" spans="1:7">
      <c r="B9665">
        <f>IF(INDEX(Transactions!$J:$J,ROW()-8)="",TODAY(),INDEX(Transactions!$G:$G,ROW()-8))</f>
      </c>
      <c r="F9665">
        <f>IF(INDEX(Transactions!$J:$J,ROW()-8)="",0,INDEX(Transactions!$O:$O,ROW()-8))</f>
      </c>
    </row>
    <row r="9666" spans="1:7">
      <c r="B9666">
        <f>IF(INDEX(Transactions!$J:$J,ROW()-8)="",TODAY(),INDEX(Transactions!$G:$G,ROW()-8))</f>
      </c>
      <c r="F9666">
        <f>IF(INDEX(Transactions!$J:$J,ROW()-8)="",0,INDEX(Transactions!$O:$O,ROW()-8))</f>
      </c>
    </row>
    <row r="9667" spans="1:7">
      <c r="B9667">
        <f>IF(INDEX(Transactions!$J:$J,ROW()-8)="",TODAY(),INDEX(Transactions!$G:$G,ROW()-8))</f>
      </c>
      <c r="F9667">
        <f>IF(INDEX(Transactions!$J:$J,ROW()-8)="",0,INDEX(Transactions!$O:$O,ROW()-8))</f>
      </c>
    </row>
    <row r="9668" spans="1:7">
      <c r="B9668">
        <f>IF(INDEX(Transactions!$J:$J,ROW()-8)="",TODAY(),INDEX(Transactions!$G:$G,ROW()-8))</f>
      </c>
      <c r="F9668">
        <f>IF(INDEX(Transactions!$J:$J,ROW()-8)="",0,INDEX(Transactions!$O:$O,ROW()-8))</f>
      </c>
    </row>
    <row r="9669" spans="1:7">
      <c r="B9669">
        <f>IF(INDEX(Transactions!$J:$J,ROW()-8)="",TODAY(),INDEX(Transactions!$G:$G,ROW()-8))</f>
      </c>
      <c r="F9669">
        <f>IF(INDEX(Transactions!$J:$J,ROW()-8)="",0,INDEX(Transactions!$O:$O,ROW()-8))</f>
      </c>
    </row>
    <row r="9670" spans="1:7">
      <c r="B9670">
        <f>IF(INDEX(Transactions!$J:$J,ROW()-8)="",TODAY(),INDEX(Transactions!$G:$G,ROW()-8))</f>
      </c>
      <c r="F9670">
        <f>IF(INDEX(Transactions!$J:$J,ROW()-8)="",0,INDEX(Transactions!$O:$O,ROW()-8))</f>
      </c>
    </row>
    <row r="9671" spans="1:7">
      <c r="B9671">
        <f>IF(INDEX(Transactions!$J:$J,ROW()-8)="",TODAY(),INDEX(Transactions!$G:$G,ROW()-8))</f>
      </c>
      <c r="F9671">
        <f>IF(INDEX(Transactions!$J:$J,ROW()-8)="",0,INDEX(Transactions!$O:$O,ROW()-8))</f>
      </c>
    </row>
    <row r="9672" spans="1:7">
      <c r="B9672">
        <f>IF(INDEX(Transactions!$J:$J,ROW()-8)="",TODAY(),INDEX(Transactions!$G:$G,ROW()-8))</f>
      </c>
      <c r="F9672">
        <f>IF(INDEX(Transactions!$J:$J,ROW()-8)="",0,INDEX(Transactions!$O:$O,ROW()-8))</f>
      </c>
    </row>
    <row r="9673" spans="1:7">
      <c r="B9673">
        <f>IF(INDEX(Transactions!$J:$J,ROW()-8)="",TODAY(),INDEX(Transactions!$G:$G,ROW()-8))</f>
      </c>
      <c r="F9673">
        <f>IF(INDEX(Transactions!$J:$J,ROW()-8)="",0,INDEX(Transactions!$O:$O,ROW()-8))</f>
      </c>
    </row>
    <row r="9674" spans="1:7">
      <c r="B9674">
        <f>IF(INDEX(Transactions!$J:$J,ROW()-8)="",TODAY(),INDEX(Transactions!$G:$G,ROW()-8))</f>
      </c>
      <c r="F9674">
        <f>IF(INDEX(Transactions!$J:$J,ROW()-8)="",0,INDEX(Transactions!$O:$O,ROW()-8))</f>
      </c>
    </row>
    <row r="9675" spans="1:7">
      <c r="B9675">
        <f>IF(INDEX(Transactions!$J:$J,ROW()-8)="",TODAY(),INDEX(Transactions!$G:$G,ROW()-8))</f>
      </c>
      <c r="F9675">
        <f>IF(INDEX(Transactions!$J:$J,ROW()-8)="",0,INDEX(Transactions!$O:$O,ROW()-8))</f>
      </c>
    </row>
    <row r="9676" spans="1:7">
      <c r="B9676">
        <f>IF(INDEX(Transactions!$J:$J,ROW()-8)="",TODAY(),INDEX(Transactions!$G:$G,ROW()-8))</f>
      </c>
      <c r="F9676">
        <f>IF(INDEX(Transactions!$J:$J,ROW()-8)="",0,INDEX(Transactions!$O:$O,ROW()-8))</f>
      </c>
    </row>
    <row r="9677" spans="1:7">
      <c r="B9677">
        <f>IF(INDEX(Transactions!$J:$J,ROW()-8)="",TODAY(),INDEX(Transactions!$G:$G,ROW()-8))</f>
      </c>
      <c r="F9677">
        <f>IF(INDEX(Transactions!$J:$J,ROW()-8)="",0,INDEX(Transactions!$O:$O,ROW()-8))</f>
      </c>
    </row>
    <row r="9678" spans="1:7">
      <c r="B9678">
        <f>IF(INDEX(Transactions!$J:$J,ROW()-8)="",TODAY(),INDEX(Transactions!$G:$G,ROW()-8))</f>
      </c>
      <c r="F9678">
        <f>IF(INDEX(Transactions!$J:$J,ROW()-8)="",0,INDEX(Transactions!$O:$O,ROW()-8))</f>
      </c>
    </row>
    <row r="9679" spans="1:7">
      <c r="B9679">
        <f>IF(INDEX(Transactions!$J:$J,ROW()-8)="",TODAY(),INDEX(Transactions!$G:$G,ROW()-8))</f>
      </c>
      <c r="F9679">
        <f>IF(INDEX(Transactions!$J:$J,ROW()-8)="",0,INDEX(Transactions!$O:$O,ROW()-8))</f>
      </c>
    </row>
    <row r="9680" spans="1:7">
      <c r="B9680">
        <f>IF(INDEX(Transactions!$J:$J,ROW()-8)="",TODAY(),INDEX(Transactions!$G:$G,ROW()-8))</f>
      </c>
      <c r="F9680">
        <f>IF(INDEX(Transactions!$J:$J,ROW()-8)="",0,INDEX(Transactions!$O:$O,ROW()-8))</f>
      </c>
    </row>
    <row r="9681" spans="1:7">
      <c r="B9681">
        <f>IF(INDEX(Transactions!$J:$J,ROW()-8)="",TODAY(),INDEX(Transactions!$G:$G,ROW()-8))</f>
      </c>
      <c r="F9681">
        <f>IF(INDEX(Transactions!$J:$J,ROW()-8)="",0,INDEX(Transactions!$O:$O,ROW()-8))</f>
      </c>
    </row>
    <row r="9682" spans="1:7">
      <c r="B9682">
        <f>IF(INDEX(Transactions!$J:$J,ROW()-8)="",TODAY(),INDEX(Transactions!$G:$G,ROW()-8))</f>
      </c>
      <c r="F9682">
        <f>IF(INDEX(Transactions!$J:$J,ROW()-8)="",0,INDEX(Transactions!$O:$O,ROW()-8))</f>
      </c>
    </row>
    <row r="9683" spans="1:7">
      <c r="B9683">
        <f>IF(INDEX(Transactions!$J:$J,ROW()-8)="",TODAY(),INDEX(Transactions!$G:$G,ROW()-8))</f>
      </c>
      <c r="F9683">
        <f>IF(INDEX(Transactions!$J:$J,ROW()-8)="",0,INDEX(Transactions!$O:$O,ROW()-8))</f>
      </c>
    </row>
    <row r="9684" spans="1:7">
      <c r="B9684">
        <f>IF(INDEX(Transactions!$J:$J,ROW()-8)="",TODAY(),INDEX(Transactions!$G:$G,ROW()-8))</f>
      </c>
      <c r="F9684">
        <f>IF(INDEX(Transactions!$J:$J,ROW()-8)="",0,INDEX(Transactions!$O:$O,ROW()-8))</f>
      </c>
    </row>
    <row r="9685" spans="1:7">
      <c r="B9685">
        <f>IF(INDEX(Transactions!$J:$J,ROW()-8)="",TODAY(),INDEX(Transactions!$G:$G,ROW()-8))</f>
      </c>
      <c r="F9685">
        <f>IF(INDEX(Transactions!$J:$J,ROW()-8)="",0,INDEX(Transactions!$O:$O,ROW()-8))</f>
      </c>
    </row>
    <row r="9686" spans="1:7">
      <c r="B9686">
        <f>IF(INDEX(Transactions!$J:$J,ROW()-8)="",TODAY(),INDEX(Transactions!$G:$G,ROW()-8))</f>
      </c>
      <c r="F9686">
        <f>IF(INDEX(Transactions!$J:$J,ROW()-8)="",0,INDEX(Transactions!$O:$O,ROW()-8))</f>
      </c>
    </row>
    <row r="9687" spans="1:7">
      <c r="B9687">
        <f>IF(INDEX(Transactions!$J:$J,ROW()-8)="",TODAY(),INDEX(Transactions!$G:$G,ROW()-8))</f>
      </c>
      <c r="F9687">
        <f>IF(INDEX(Transactions!$J:$J,ROW()-8)="",0,INDEX(Transactions!$O:$O,ROW()-8))</f>
      </c>
    </row>
    <row r="9688" spans="1:7">
      <c r="B9688">
        <f>IF(INDEX(Transactions!$J:$J,ROW()-8)="",TODAY(),INDEX(Transactions!$G:$G,ROW()-8))</f>
      </c>
      <c r="F9688">
        <f>IF(INDEX(Transactions!$J:$J,ROW()-8)="",0,INDEX(Transactions!$O:$O,ROW()-8))</f>
      </c>
    </row>
    <row r="9689" spans="1:7">
      <c r="B9689">
        <f>IF(INDEX(Transactions!$J:$J,ROW()-8)="",TODAY(),INDEX(Transactions!$G:$G,ROW()-8))</f>
      </c>
      <c r="F9689">
        <f>IF(INDEX(Transactions!$J:$J,ROW()-8)="",0,INDEX(Transactions!$O:$O,ROW()-8))</f>
      </c>
    </row>
    <row r="9690" spans="1:7">
      <c r="B9690">
        <f>IF(INDEX(Transactions!$J:$J,ROW()-8)="",TODAY(),INDEX(Transactions!$G:$G,ROW()-8))</f>
      </c>
      <c r="F9690">
        <f>IF(INDEX(Transactions!$J:$J,ROW()-8)="",0,INDEX(Transactions!$O:$O,ROW()-8))</f>
      </c>
    </row>
    <row r="9691" spans="1:7">
      <c r="B9691">
        <f>IF(INDEX(Transactions!$J:$J,ROW()-8)="",TODAY(),INDEX(Transactions!$G:$G,ROW()-8))</f>
      </c>
      <c r="F9691">
        <f>IF(INDEX(Transactions!$J:$J,ROW()-8)="",0,INDEX(Transactions!$O:$O,ROW()-8))</f>
      </c>
    </row>
    <row r="9692" spans="1:7">
      <c r="B9692">
        <f>IF(INDEX(Transactions!$J:$J,ROW()-8)="",TODAY(),INDEX(Transactions!$G:$G,ROW()-8))</f>
      </c>
      <c r="F9692">
        <f>IF(INDEX(Transactions!$J:$J,ROW()-8)="",0,INDEX(Transactions!$O:$O,ROW()-8))</f>
      </c>
    </row>
    <row r="9693" spans="1:7">
      <c r="B9693">
        <f>IF(INDEX(Transactions!$J:$J,ROW()-8)="",TODAY(),INDEX(Transactions!$G:$G,ROW()-8))</f>
      </c>
      <c r="F9693">
        <f>IF(INDEX(Transactions!$J:$J,ROW()-8)="",0,INDEX(Transactions!$O:$O,ROW()-8))</f>
      </c>
    </row>
    <row r="9694" spans="1:7">
      <c r="B9694">
        <f>IF(INDEX(Transactions!$J:$J,ROW()-8)="",TODAY(),INDEX(Transactions!$G:$G,ROW()-8))</f>
      </c>
      <c r="F9694">
        <f>IF(INDEX(Transactions!$J:$J,ROW()-8)="",0,INDEX(Transactions!$O:$O,ROW()-8))</f>
      </c>
    </row>
    <row r="9695" spans="1:7">
      <c r="B9695">
        <f>IF(INDEX(Transactions!$J:$J,ROW()-8)="",TODAY(),INDEX(Transactions!$G:$G,ROW()-8))</f>
      </c>
      <c r="F9695">
        <f>IF(INDEX(Transactions!$J:$J,ROW()-8)="",0,INDEX(Transactions!$O:$O,ROW()-8))</f>
      </c>
    </row>
    <row r="9696" spans="1:7">
      <c r="B9696">
        <f>IF(INDEX(Transactions!$J:$J,ROW()-8)="",TODAY(),INDEX(Transactions!$G:$G,ROW()-8))</f>
      </c>
      <c r="F9696">
        <f>IF(INDEX(Transactions!$J:$J,ROW()-8)="",0,INDEX(Transactions!$O:$O,ROW()-8))</f>
      </c>
    </row>
    <row r="9697" spans="1:7">
      <c r="B9697">
        <f>IF(INDEX(Transactions!$J:$J,ROW()-8)="",TODAY(),INDEX(Transactions!$G:$G,ROW()-8))</f>
      </c>
      <c r="F9697">
        <f>IF(INDEX(Transactions!$J:$J,ROW()-8)="",0,INDEX(Transactions!$O:$O,ROW()-8))</f>
      </c>
    </row>
    <row r="9698" spans="1:7">
      <c r="B9698">
        <f>IF(INDEX(Transactions!$J:$J,ROW()-8)="",TODAY(),INDEX(Transactions!$G:$G,ROW()-8))</f>
      </c>
      <c r="F9698">
        <f>IF(INDEX(Transactions!$J:$J,ROW()-8)="",0,INDEX(Transactions!$O:$O,ROW()-8))</f>
      </c>
    </row>
    <row r="9699" spans="1:7">
      <c r="B9699">
        <f>IF(INDEX(Transactions!$J:$J,ROW()-8)="",TODAY(),INDEX(Transactions!$G:$G,ROW()-8))</f>
      </c>
      <c r="F9699">
        <f>IF(INDEX(Transactions!$J:$J,ROW()-8)="",0,INDEX(Transactions!$O:$O,ROW()-8))</f>
      </c>
    </row>
    <row r="9700" spans="1:7">
      <c r="B9700">
        <f>IF(INDEX(Transactions!$J:$J,ROW()-8)="",TODAY(),INDEX(Transactions!$G:$G,ROW()-8))</f>
      </c>
      <c r="F9700">
        <f>IF(INDEX(Transactions!$J:$J,ROW()-8)="",0,INDEX(Transactions!$O:$O,ROW()-8))</f>
      </c>
    </row>
    <row r="9701" spans="1:7">
      <c r="B9701">
        <f>IF(INDEX(Transactions!$J:$J,ROW()-8)="",TODAY(),INDEX(Transactions!$G:$G,ROW()-8))</f>
      </c>
      <c r="F9701">
        <f>IF(INDEX(Transactions!$J:$J,ROW()-8)="",0,INDEX(Transactions!$O:$O,ROW()-8))</f>
      </c>
    </row>
    <row r="9702" spans="1:7">
      <c r="B9702">
        <f>IF(INDEX(Transactions!$J:$J,ROW()-8)="",TODAY(),INDEX(Transactions!$G:$G,ROW()-8))</f>
      </c>
      <c r="F9702">
        <f>IF(INDEX(Transactions!$J:$J,ROW()-8)="",0,INDEX(Transactions!$O:$O,ROW()-8))</f>
      </c>
    </row>
    <row r="9703" spans="1:7">
      <c r="B9703">
        <f>IF(INDEX(Transactions!$J:$J,ROW()-8)="",TODAY(),INDEX(Transactions!$G:$G,ROW()-8))</f>
      </c>
      <c r="F9703">
        <f>IF(INDEX(Transactions!$J:$J,ROW()-8)="",0,INDEX(Transactions!$O:$O,ROW()-8))</f>
      </c>
    </row>
    <row r="9704" spans="1:7">
      <c r="B9704">
        <f>IF(INDEX(Transactions!$J:$J,ROW()-8)="",TODAY(),INDEX(Transactions!$G:$G,ROW()-8))</f>
      </c>
      <c r="F9704">
        <f>IF(INDEX(Transactions!$J:$J,ROW()-8)="",0,INDEX(Transactions!$O:$O,ROW()-8))</f>
      </c>
    </row>
    <row r="9705" spans="1:7">
      <c r="B9705">
        <f>IF(INDEX(Transactions!$J:$J,ROW()-8)="",TODAY(),INDEX(Transactions!$G:$G,ROW()-8))</f>
      </c>
      <c r="F9705">
        <f>IF(INDEX(Transactions!$J:$J,ROW()-8)="",0,INDEX(Transactions!$O:$O,ROW()-8))</f>
      </c>
    </row>
    <row r="9706" spans="1:7">
      <c r="B9706">
        <f>IF(INDEX(Transactions!$J:$J,ROW()-8)="",TODAY(),INDEX(Transactions!$G:$G,ROW()-8))</f>
      </c>
      <c r="F9706">
        <f>IF(INDEX(Transactions!$J:$J,ROW()-8)="",0,INDEX(Transactions!$O:$O,ROW()-8))</f>
      </c>
    </row>
    <row r="9707" spans="1:7">
      <c r="B9707">
        <f>IF(INDEX(Transactions!$J:$J,ROW()-8)="",TODAY(),INDEX(Transactions!$G:$G,ROW()-8))</f>
      </c>
      <c r="F9707">
        <f>IF(INDEX(Transactions!$J:$J,ROW()-8)="",0,INDEX(Transactions!$O:$O,ROW()-8))</f>
      </c>
    </row>
    <row r="9708" spans="1:7">
      <c r="B9708">
        <f>IF(INDEX(Transactions!$J:$J,ROW()-8)="",TODAY(),INDEX(Transactions!$G:$G,ROW()-8))</f>
      </c>
      <c r="F9708">
        <f>IF(INDEX(Transactions!$J:$J,ROW()-8)="",0,INDEX(Transactions!$O:$O,ROW()-8))</f>
      </c>
    </row>
    <row r="9709" spans="1:7">
      <c r="B9709">
        <f>IF(INDEX(Transactions!$J:$J,ROW()-8)="",TODAY(),INDEX(Transactions!$G:$G,ROW()-8))</f>
      </c>
      <c r="F9709">
        <f>IF(INDEX(Transactions!$J:$J,ROW()-8)="",0,INDEX(Transactions!$O:$O,ROW()-8))</f>
      </c>
    </row>
    <row r="9710" spans="1:7">
      <c r="B9710">
        <f>IF(INDEX(Transactions!$J:$J,ROW()-8)="",TODAY(),INDEX(Transactions!$G:$G,ROW()-8))</f>
      </c>
      <c r="F9710">
        <f>IF(INDEX(Transactions!$J:$J,ROW()-8)="",0,INDEX(Transactions!$O:$O,ROW()-8))</f>
      </c>
    </row>
    <row r="9711" spans="1:7">
      <c r="B9711">
        <f>IF(INDEX(Transactions!$J:$J,ROW()-8)="",TODAY(),INDEX(Transactions!$G:$G,ROW()-8))</f>
      </c>
      <c r="F9711">
        <f>IF(INDEX(Transactions!$J:$J,ROW()-8)="",0,INDEX(Transactions!$O:$O,ROW()-8))</f>
      </c>
    </row>
    <row r="9712" spans="1:7">
      <c r="B9712">
        <f>IF(INDEX(Transactions!$J:$J,ROW()-8)="",TODAY(),INDEX(Transactions!$G:$G,ROW()-8))</f>
      </c>
      <c r="F9712">
        <f>IF(INDEX(Transactions!$J:$J,ROW()-8)="",0,INDEX(Transactions!$O:$O,ROW()-8))</f>
      </c>
    </row>
    <row r="9713" spans="1:7">
      <c r="B9713">
        <f>IF(INDEX(Transactions!$J:$J,ROW()-8)="",TODAY(),INDEX(Transactions!$G:$G,ROW()-8))</f>
      </c>
      <c r="F9713">
        <f>IF(INDEX(Transactions!$J:$J,ROW()-8)="",0,INDEX(Transactions!$O:$O,ROW()-8))</f>
      </c>
    </row>
    <row r="9714" spans="1:7">
      <c r="B9714">
        <f>IF(INDEX(Transactions!$J:$J,ROW()-8)="",TODAY(),INDEX(Transactions!$G:$G,ROW()-8))</f>
      </c>
      <c r="F9714">
        <f>IF(INDEX(Transactions!$J:$J,ROW()-8)="",0,INDEX(Transactions!$O:$O,ROW()-8))</f>
      </c>
    </row>
    <row r="9715" spans="1:7">
      <c r="B9715">
        <f>IF(INDEX(Transactions!$J:$J,ROW()-8)="",TODAY(),INDEX(Transactions!$G:$G,ROW()-8))</f>
      </c>
      <c r="F9715">
        <f>IF(INDEX(Transactions!$J:$J,ROW()-8)="",0,INDEX(Transactions!$O:$O,ROW()-8))</f>
      </c>
    </row>
    <row r="9716" spans="1:7">
      <c r="B9716">
        <f>IF(INDEX(Transactions!$J:$J,ROW()-8)="",TODAY(),INDEX(Transactions!$G:$G,ROW()-8))</f>
      </c>
      <c r="F9716">
        <f>IF(INDEX(Transactions!$J:$J,ROW()-8)="",0,INDEX(Transactions!$O:$O,ROW()-8))</f>
      </c>
    </row>
    <row r="9717" spans="1:7">
      <c r="B9717">
        <f>IF(INDEX(Transactions!$J:$J,ROW()-8)="",TODAY(),INDEX(Transactions!$G:$G,ROW()-8))</f>
      </c>
      <c r="F9717">
        <f>IF(INDEX(Transactions!$J:$J,ROW()-8)="",0,INDEX(Transactions!$O:$O,ROW()-8))</f>
      </c>
    </row>
    <row r="9718" spans="1:7">
      <c r="B9718">
        <f>IF(INDEX(Transactions!$J:$J,ROW()-8)="",TODAY(),INDEX(Transactions!$G:$G,ROW()-8))</f>
      </c>
      <c r="F9718">
        <f>IF(INDEX(Transactions!$J:$J,ROW()-8)="",0,INDEX(Transactions!$O:$O,ROW()-8))</f>
      </c>
    </row>
    <row r="9719" spans="1:7">
      <c r="B9719">
        <f>IF(INDEX(Transactions!$J:$J,ROW()-8)="",TODAY(),INDEX(Transactions!$G:$G,ROW()-8))</f>
      </c>
      <c r="F9719">
        <f>IF(INDEX(Transactions!$J:$J,ROW()-8)="",0,INDEX(Transactions!$O:$O,ROW()-8))</f>
      </c>
    </row>
    <row r="9720" spans="1:7">
      <c r="B9720">
        <f>IF(INDEX(Transactions!$J:$J,ROW()-8)="",TODAY(),INDEX(Transactions!$G:$G,ROW()-8))</f>
      </c>
      <c r="F9720">
        <f>IF(INDEX(Transactions!$J:$J,ROW()-8)="",0,INDEX(Transactions!$O:$O,ROW()-8))</f>
      </c>
    </row>
    <row r="9721" spans="1:7">
      <c r="B9721">
        <f>IF(INDEX(Transactions!$J:$J,ROW()-8)="",TODAY(),INDEX(Transactions!$G:$G,ROW()-8))</f>
      </c>
      <c r="F9721">
        <f>IF(INDEX(Transactions!$J:$J,ROW()-8)="",0,INDEX(Transactions!$O:$O,ROW()-8))</f>
      </c>
    </row>
    <row r="9722" spans="1:7">
      <c r="B9722">
        <f>IF(INDEX(Transactions!$J:$J,ROW()-8)="",TODAY(),INDEX(Transactions!$G:$G,ROW()-8))</f>
      </c>
      <c r="F9722">
        <f>IF(INDEX(Transactions!$J:$J,ROW()-8)="",0,INDEX(Transactions!$O:$O,ROW()-8))</f>
      </c>
    </row>
    <row r="9723" spans="1:7">
      <c r="B9723">
        <f>IF(INDEX(Transactions!$J:$J,ROW()-8)="",TODAY(),INDEX(Transactions!$G:$G,ROW()-8))</f>
      </c>
      <c r="F9723">
        <f>IF(INDEX(Transactions!$J:$J,ROW()-8)="",0,INDEX(Transactions!$O:$O,ROW()-8))</f>
      </c>
    </row>
    <row r="9724" spans="1:7">
      <c r="B9724">
        <f>IF(INDEX(Transactions!$J:$J,ROW()-8)="",TODAY(),INDEX(Transactions!$G:$G,ROW()-8))</f>
      </c>
      <c r="F9724">
        <f>IF(INDEX(Transactions!$J:$J,ROW()-8)="",0,INDEX(Transactions!$O:$O,ROW()-8))</f>
      </c>
    </row>
    <row r="9725" spans="1:7">
      <c r="B9725">
        <f>IF(INDEX(Transactions!$J:$J,ROW()-8)="",TODAY(),INDEX(Transactions!$G:$G,ROW()-8))</f>
      </c>
      <c r="F9725">
        <f>IF(INDEX(Transactions!$J:$J,ROW()-8)="",0,INDEX(Transactions!$O:$O,ROW()-8))</f>
      </c>
    </row>
    <row r="9726" spans="1:7">
      <c r="B9726">
        <f>IF(INDEX(Transactions!$J:$J,ROW()-8)="",TODAY(),INDEX(Transactions!$G:$G,ROW()-8))</f>
      </c>
      <c r="F9726">
        <f>IF(INDEX(Transactions!$J:$J,ROW()-8)="",0,INDEX(Transactions!$O:$O,ROW()-8))</f>
      </c>
    </row>
    <row r="9727" spans="1:7">
      <c r="B9727">
        <f>IF(INDEX(Transactions!$J:$J,ROW()-8)="",TODAY(),INDEX(Transactions!$G:$G,ROW()-8))</f>
      </c>
      <c r="F9727">
        <f>IF(INDEX(Transactions!$J:$J,ROW()-8)="",0,INDEX(Transactions!$O:$O,ROW()-8))</f>
      </c>
    </row>
    <row r="9728" spans="1:7">
      <c r="B9728">
        <f>IF(INDEX(Transactions!$J:$J,ROW()-8)="",TODAY(),INDEX(Transactions!$G:$G,ROW()-8))</f>
      </c>
      <c r="F9728">
        <f>IF(INDEX(Transactions!$J:$J,ROW()-8)="",0,INDEX(Transactions!$O:$O,ROW()-8))</f>
      </c>
    </row>
    <row r="9729" spans="1:7">
      <c r="B9729">
        <f>IF(INDEX(Transactions!$J:$J,ROW()-8)="",TODAY(),INDEX(Transactions!$G:$G,ROW()-8))</f>
      </c>
      <c r="F9729">
        <f>IF(INDEX(Transactions!$J:$J,ROW()-8)="",0,INDEX(Transactions!$O:$O,ROW()-8))</f>
      </c>
    </row>
    <row r="9730" spans="1:7">
      <c r="B9730">
        <f>IF(INDEX(Transactions!$J:$J,ROW()-8)="",TODAY(),INDEX(Transactions!$G:$G,ROW()-8))</f>
      </c>
      <c r="F9730">
        <f>IF(INDEX(Transactions!$J:$J,ROW()-8)="",0,INDEX(Transactions!$O:$O,ROW()-8))</f>
      </c>
    </row>
    <row r="9731" spans="1:7">
      <c r="B9731">
        <f>IF(INDEX(Transactions!$J:$J,ROW()-8)="",TODAY(),INDEX(Transactions!$G:$G,ROW()-8))</f>
      </c>
      <c r="F9731">
        <f>IF(INDEX(Transactions!$J:$J,ROW()-8)="",0,INDEX(Transactions!$O:$O,ROW()-8))</f>
      </c>
    </row>
    <row r="9732" spans="1:7">
      <c r="B9732">
        <f>IF(INDEX(Transactions!$J:$J,ROW()-8)="",TODAY(),INDEX(Transactions!$G:$G,ROW()-8))</f>
      </c>
      <c r="F9732">
        <f>IF(INDEX(Transactions!$J:$J,ROW()-8)="",0,INDEX(Transactions!$O:$O,ROW()-8))</f>
      </c>
    </row>
    <row r="9733" spans="1:7">
      <c r="B9733">
        <f>IF(INDEX(Transactions!$J:$J,ROW()-8)="",TODAY(),INDEX(Transactions!$G:$G,ROW()-8))</f>
      </c>
      <c r="F9733">
        <f>IF(INDEX(Transactions!$J:$J,ROW()-8)="",0,INDEX(Transactions!$O:$O,ROW()-8))</f>
      </c>
    </row>
    <row r="9734" spans="1:7">
      <c r="B9734">
        <f>IF(INDEX(Transactions!$J:$J,ROW()-8)="",TODAY(),INDEX(Transactions!$G:$G,ROW()-8))</f>
      </c>
      <c r="F9734">
        <f>IF(INDEX(Transactions!$J:$J,ROW()-8)="",0,INDEX(Transactions!$O:$O,ROW()-8))</f>
      </c>
    </row>
    <row r="9735" spans="1:7">
      <c r="B9735">
        <f>IF(INDEX(Transactions!$J:$J,ROW()-8)="",TODAY(),INDEX(Transactions!$G:$G,ROW()-8))</f>
      </c>
      <c r="F9735">
        <f>IF(INDEX(Transactions!$J:$J,ROW()-8)="",0,INDEX(Transactions!$O:$O,ROW()-8))</f>
      </c>
    </row>
    <row r="9736" spans="1:7">
      <c r="B9736">
        <f>IF(INDEX(Transactions!$J:$J,ROW()-8)="",TODAY(),INDEX(Transactions!$G:$G,ROW()-8))</f>
      </c>
      <c r="F9736">
        <f>IF(INDEX(Transactions!$J:$J,ROW()-8)="",0,INDEX(Transactions!$O:$O,ROW()-8))</f>
      </c>
    </row>
    <row r="9737" spans="1:7">
      <c r="B9737">
        <f>IF(INDEX(Transactions!$J:$J,ROW()-8)="",TODAY(),INDEX(Transactions!$G:$G,ROW()-8))</f>
      </c>
      <c r="F9737">
        <f>IF(INDEX(Transactions!$J:$J,ROW()-8)="",0,INDEX(Transactions!$O:$O,ROW()-8))</f>
      </c>
    </row>
    <row r="9738" spans="1:7">
      <c r="B9738">
        <f>IF(INDEX(Transactions!$J:$J,ROW()-8)="",TODAY(),INDEX(Transactions!$G:$G,ROW()-8))</f>
      </c>
      <c r="F9738">
        <f>IF(INDEX(Transactions!$J:$J,ROW()-8)="",0,INDEX(Transactions!$O:$O,ROW()-8))</f>
      </c>
    </row>
    <row r="9739" spans="1:7">
      <c r="B9739">
        <f>IF(INDEX(Transactions!$J:$J,ROW()-8)="",TODAY(),INDEX(Transactions!$G:$G,ROW()-8))</f>
      </c>
      <c r="F9739">
        <f>IF(INDEX(Transactions!$J:$J,ROW()-8)="",0,INDEX(Transactions!$O:$O,ROW()-8))</f>
      </c>
    </row>
    <row r="9740" spans="1:7">
      <c r="B9740">
        <f>IF(INDEX(Transactions!$J:$J,ROW()-8)="",TODAY(),INDEX(Transactions!$G:$G,ROW()-8))</f>
      </c>
      <c r="F9740">
        <f>IF(INDEX(Transactions!$J:$J,ROW()-8)="",0,INDEX(Transactions!$O:$O,ROW()-8))</f>
      </c>
    </row>
    <row r="9741" spans="1:7">
      <c r="B9741">
        <f>IF(INDEX(Transactions!$J:$J,ROW()-8)="",TODAY(),INDEX(Transactions!$G:$G,ROW()-8))</f>
      </c>
      <c r="F9741">
        <f>IF(INDEX(Transactions!$J:$J,ROW()-8)="",0,INDEX(Transactions!$O:$O,ROW()-8))</f>
      </c>
    </row>
    <row r="9742" spans="1:7">
      <c r="B9742">
        <f>IF(INDEX(Transactions!$J:$J,ROW()-8)="",TODAY(),INDEX(Transactions!$G:$G,ROW()-8))</f>
      </c>
      <c r="F9742">
        <f>IF(INDEX(Transactions!$J:$J,ROW()-8)="",0,INDEX(Transactions!$O:$O,ROW()-8))</f>
      </c>
    </row>
    <row r="9743" spans="1:7">
      <c r="B9743">
        <f>IF(INDEX(Transactions!$J:$J,ROW()-8)="",TODAY(),INDEX(Transactions!$G:$G,ROW()-8))</f>
      </c>
      <c r="F9743">
        <f>IF(INDEX(Transactions!$J:$J,ROW()-8)="",0,INDEX(Transactions!$O:$O,ROW()-8))</f>
      </c>
    </row>
    <row r="9744" spans="1:7">
      <c r="B9744">
        <f>IF(INDEX(Transactions!$J:$J,ROW()-8)="",TODAY(),INDEX(Transactions!$G:$G,ROW()-8))</f>
      </c>
      <c r="F9744">
        <f>IF(INDEX(Transactions!$J:$J,ROW()-8)="",0,INDEX(Transactions!$O:$O,ROW()-8))</f>
      </c>
    </row>
    <row r="9745" spans="1:7">
      <c r="B9745">
        <f>IF(INDEX(Transactions!$J:$J,ROW()-8)="",TODAY(),INDEX(Transactions!$G:$G,ROW()-8))</f>
      </c>
      <c r="F9745">
        <f>IF(INDEX(Transactions!$J:$J,ROW()-8)="",0,INDEX(Transactions!$O:$O,ROW()-8))</f>
      </c>
    </row>
    <row r="9746" spans="1:7">
      <c r="B9746">
        <f>IF(INDEX(Transactions!$J:$J,ROW()-8)="",TODAY(),INDEX(Transactions!$G:$G,ROW()-8))</f>
      </c>
      <c r="F9746">
        <f>IF(INDEX(Transactions!$J:$J,ROW()-8)="",0,INDEX(Transactions!$O:$O,ROW()-8))</f>
      </c>
    </row>
    <row r="9747" spans="1:7">
      <c r="B9747">
        <f>IF(INDEX(Transactions!$J:$J,ROW()-8)="",TODAY(),INDEX(Transactions!$G:$G,ROW()-8))</f>
      </c>
      <c r="F9747">
        <f>IF(INDEX(Transactions!$J:$J,ROW()-8)="",0,INDEX(Transactions!$O:$O,ROW()-8))</f>
      </c>
    </row>
    <row r="9748" spans="1:7">
      <c r="B9748">
        <f>IF(INDEX(Transactions!$J:$J,ROW()-8)="",TODAY(),INDEX(Transactions!$G:$G,ROW()-8))</f>
      </c>
      <c r="F9748">
        <f>IF(INDEX(Transactions!$J:$J,ROW()-8)="",0,INDEX(Transactions!$O:$O,ROW()-8))</f>
      </c>
    </row>
    <row r="9749" spans="1:7">
      <c r="B9749">
        <f>IF(INDEX(Transactions!$J:$J,ROW()-8)="",TODAY(),INDEX(Transactions!$G:$G,ROW()-8))</f>
      </c>
      <c r="F9749">
        <f>IF(INDEX(Transactions!$J:$J,ROW()-8)="",0,INDEX(Transactions!$O:$O,ROW()-8))</f>
      </c>
    </row>
    <row r="9750" spans="1:7">
      <c r="B9750">
        <f>IF(INDEX(Transactions!$J:$J,ROW()-8)="",TODAY(),INDEX(Transactions!$G:$G,ROW()-8))</f>
      </c>
      <c r="F9750">
        <f>IF(INDEX(Transactions!$J:$J,ROW()-8)="",0,INDEX(Transactions!$O:$O,ROW()-8))</f>
      </c>
    </row>
    <row r="9751" spans="1:7">
      <c r="B9751">
        <f>IF(INDEX(Transactions!$J:$J,ROW()-8)="",TODAY(),INDEX(Transactions!$G:$G,ROW()-8))</f>
      </c>
      <c r="F9751">
        <f>IF(INDEX(Transactions!$J:$J,ROW()-8)="",0,INDEX(Transactions!$O:$O,ROW()-8))</f>
      </c>
    </row>
    <row r="9752" spans="1:7">
      <c r="B9752">
        <f>IF(INDEX(Transactions!$J:$J,ROW()-8)="",TODAY(),INDEX(Transactions!$G:$G,ROW()-8))</f>
      </c>
      <c r="F9752">
        <f>IF(INDEX(Transactions!$J:$J,ROW()-8)="",0,INDEX(Transactions!$O:$O,ROW()-8))</f>
      </c>
    </row>
    <row r="9753" spans="1:7">
      <c r="B9753">
        <f>IF(INDEX(Transactions!$J:$J,ROW()-8)="",TODAY(),INDEX(Transactions!$G:$G,ROW()-8))</f>
      </c>
      <c r="F9753">
        <f>IF(INDEX(Transactions!$J:$J,ROW()-8)="",0,INDEX(Transactions!$O:$O,ROW()-8))</f>
      </c>
    </row>
    <row r="9754" spans="1:7">
      <c r="B9754">
        <f>IF(INDEX(Transactions!$J:$J,ROW()-8)="",TODAY(),INDEX(Transactions!$G:$G,ROW()-8))</f>
      </c>
      <c r="F9754">
        <f>IF(INDEX(Transactions!$J:$J,ROW()-8)="",0,INDEX(Transactions!$O:$O,ROW()-8))</f>
      </c>
    </row>
    <row r="9755" spans="1:7">
      <c r="B9755">
        <f>IF(INDEX(Transactions!$J:$J,ROW()-8)="",TODAY(),INDEX(Transactions!$G:$G,ROW()-8))</f>
      </c>
      <c r="F9755">
        <f>IF(INDEX(Transactions!$J:$J,ROW()-8)="",0,INDEX(Transactions!$O:$O,ROW()-8))</f>
      </c>
    </row>
    <row r="9756" spans="1:7">
      <c r="B9756">
        <f>IF(INDEX(Transactions!$J:$J,ROW()-8)="",TODAY(),INDEX(Transactions!$G:$G,ROW()-8))</f>
      </c>
      <c r="F9756">
        <f>IF(INDEX(Transactions!$J:$J,ROW()-8)="",0,INDEX(Transactions!$O:$O,ROW()-8))</f>
      </c>
    </row>
    <row r="9757" spans="1:7">
      <c r="B9757">
        <f>IF(INDEX(Transactions!$J:$J,ROW()-8)="",TODAY(),INDEX(Transactions!$G:$G,ROW()-8))</f>
      </c>
      <c r="F9757">
        <f>IF(INDEX(Transactions!$J:$J,ROW()-8)="",0,INDEX(Transactions!$O:$O,ROW()-8))</f>
      </c>
    </row>
    <row r="9758" spans="1:7">
      <c r="B9758">
        <f>IF(INDEX(Transactions!$J:$J,ROW()-8)="",TODAY(),INDEX(Transactions!$G:$G,ROW()-8))</f>
      </c>
      <c r="F9758">
        <f>IF(INDEX(Transactions!$J:$J,ROW()-8)="",0,INDEX(Transactions!$O:$O,ROW()-8))</f>
      </c>
    </row>
    <row r="9759" spans="1:7">
      <c r="B9759">
        <f>IF(INDEX(Transactions!$J:$J,ROW()-8)="",TODAY(),INDEX(Transactions!$G:$G,ROW()-8))</f>
      </c>
      <c r="F9759">
        <f>IF(INDEX(Transactions!$J:$J,ROW()-8)="",0,INDEX(Transactions!$O:$O,ROW()-8))</f>
      </c>
    </row>
    <row r="9760" spans="1:7">
      <c r="B9760">
        <f>IF(INDEX(Transactions!$J:$J,ROW()-8)="",TODAY(),INDEX(Transactions!$G:$G,ROW()-8))</f>
      </c>
      <c r="F9760">
        <f>IF(INDEX(Transactions!$J:$J,ROW()-8)="",0,INDEX(Transactions!$O:$O,ROW()-8))</f>
      </c>
    </row>
    <row r="9761" spans="1:7">
      <c r="B9761">
        <f>IF(INDEX(Transactions!$J:$J,ROW()-8)="",TODAY(),INDEX(Transactions!$G:$G,ROW()-8))</f>
      </c>
      <c r="F9761">
        <f>IF(INDEX(Transactions!$J:$J,ROW()-8)="",0,INDEX(Transactions!$O:$O,ROW()-8))</f>
      </c>
    </row>
    <row r="9762" spans="1:7">
      <c r="B9762">
        <f>IF(INDEX(Transactions!$J:$J,ROW()-8)="",TODAY(),INDEX(Transactions!$G:$G,ROW()-8))</f>
      </c>
      <c r="F9762">
        <f>IF(INDEX(Transactions!$J:$J,ROW()-8)="",0,INDEX(Transactions!$O:$O,ROW()-8))</f>
      </c>
    </row>
    <row r="9763" spans="1:7">
      <c r="B9763">
        <f>IF(INDEX(Transactions!$J:$J,ROW()-8)="",TODAY(),INDEX(Transactions!$G:$G,ROW()-8))</f>
      </c>
      <c r="F9763">
        <f>IF(INDEX(Transactions!$J:$J,ROW()-8)="",0,INDEX(Transactions!$O:$O,ROW()-8))</f>
      </c>
    </row>
    <row r="9764" spans="1:7">
      <c r="B9764">
        <f>IF(INDEX(Transactions!$J:$J,ROW()-8)="",TODAY(),INDEX(Transactions!$G:$G,ROW()-8))</f>
      </c>
      <c r="F9764">
        <f>IF(INDEX(Transactions!$J:$J,ROW()-8)="",0,INDEX(Transactions!$O:$O,ROW()-8))</f>
      </c>
    </row>
    <row r="9765" spans="1:7">
      <c r="B9765">
        <f>IF(INDEX(Transactions!$J:$J,ROW()-8)="",TODAY(),INDEX(Transactions!$G:$G,ROW()-8))</f>
      </c>
      <c r="F9765">
        <f>IF(INDEX(Transactions!$J:$J,ROW()-8)="",0,INDEX(Transactions!$O:$O,ROW()-8))</f>
      </c>
    </row>
    <row r="9766" spans="1:7">
      <c r="B9766">
        <f>IF(INDEX(Transactions!$J:$J,ROW()-8)="",TODAY(),INDEX(Transactions!$G:$G,ROW()-8))</f>
      </c>
      <c r="F9766">
        <f>IF(INDEX(Transactions!$J:$J,ROW()-8)="",0,INDEX(Transactions!$O:$O,ROW()-8))</f>
      </c>
    </row>
    <row r="9767" spans="1:7">
      <c r="B9767">
        <f>IF(INDEX(Transactions!$J:$J,ROW()-8)="",TODAY(),INDEX(Transactions!$G:$G,ROW()-8))</f>
      </c>
      <c r="F9767">
        <f>IF(INDEX(Transactions!$J:$J,ROW()-8)="",0,INDEX(Transactions!$O:$O,ROW()-8))</f>
      </c>
    </row>
    <row r="9768" spans="1:7">
      <c r="B9768">
        <f>IF(INDEX(Transactions!$J:$J,ROW()-8)="",TODAY(),INDEX(Transactions!$G:$G,ROW()-8))</f>
      </c>
      <c r="F9768">
        <f>IF(INDEX(Transactions!$J:$J,ROW()-8)="",0,INDEX(Transactions!$O:$O,ROW()-8))</f>
      </c>
    </row>
    <row r="9769" spans="1:7">
      <c r="B9769">
        <f>IF(INDEX(Transactions!$J:$J,ROW()-8)="",TODAY(),INDEX(Transactions!$G:$G,ROW()-8))</f>
      </c>
      <c r="F9769">
        <f>IF(INDEX(Transactions!$J:$J,ROW()-8)="",0,INDEX(Transactions!$O:$O,ROW()-8))</f>
      </c>
    </row>
    <row r="9770" spans="1:7">
      <c r="B9770">
        <f>IF(INDEX(Transactions!$J:$J,ROW()-8)="",TODAY(),INDEX(Transactions!$G:$G,ROW()-8))</f>
      </c>
      <c r="F9770">
        <f>IF(INDEX(Transactions!$J:$J,ROW()-8)="",0,INDEX(Transactions!$O:$O,ROW()-8))</f>
      </c>
    </row>
    <row r="9771" spans="1:7">
      <c r="B9771">
        <f>IF(INDEX(Transactions!$J:$J,ROW()-8)="",TODAY(),INDEX(Transactions!$G:$G,ROW()-8))</f>
      </c>
      <c r="F9771">
        <f>IF(INDEX(Transactions!$J:$J,ROW()-8)="",0,INDEX(Transactions!$O:$O,ROW()-8))</f>
      </c>
    </row>
    <row r="9772" spans="1:7">
      <c r="B9772">
        <f>IF(INDEX(Transactions!$J:$J,ROW()-8)="",TODAY(),INDEX(Transactions!$G:$G,ROW()-8))</f>
      </c>
      <c r="F9772">
        <f>IF(INDEX(Transactions!$J:$J,ROW()-8)="",0,INDEX(Transactions!$O:$O,ROW()-8))</f>
      </c>
    </row>
    <row r="9773" spans="1:7">
      <c r="B9773">
        <f>IF(INDEX(Transactions!$J:$J,ROW()-8)="",TODAY(),INDEX(Transactions!$G:$G,ROW()-8))</f>
      </c>
      <c r="F9773">
        <f>IF(INDEX(Transactions!$J:$J,ROW()-8)="",0,INDEX(Transactions!$O:$O,ROW()-8))</f>
      </c>
    </row>
    <row r="9774" spans="1:7">
      <c r="B9774">
        <f>IF(INDEX(Transactions!$J:$J,ROW()-8)="",TODAY(),INDEX(Transactions!$G:$G,ROW()-8))</f>
      </c>
      <c r="F9774">
        <f>IF(INDEX(Transactions!$J:$J,ROW()-8)="",0,INDEX(Transactions!$O:$O,ROW()-8))</f>
      </c>
    </row>
    <row r="9775" spans="1:7">
      <c r="B9775">
        <f>IF(INDEX(Transactions!$J:$J,ROW()-8)="",TODAY(),INDEX(Transactions!$G:$G,ROW()-8))</f>
      </c>
      <c r="F9775">
        <f>IF(INDEX(Transactions!$J:$J,ROW()-8)="",0,INDEX(Transactions!$O:$O,ROW()-8))</f>
      </c>
    </row>
    <row r="9776" spans="1:7">
      <c r="B9776">
        <f>IF(INDEX(Transactions!$J:$J,ROW()-8)="",TODAY(),INDEX(Transactions!$G:$G,ROW()-8))</f>
      </c>
      <c r="F9776">
        <f>IF(INDEX(Transactions!$J:$J,ROW()-8)="",0,INDEX(Transactions!$O:$O,ROW()-8))</f>
      </c>
    </row>
    <row r="9777" spans="1:7">
      <c r="B9777">
        <f>IF(INDEX(Transactions!$J:$J,ROW()-8)="",TODAY(),INDEX(Transactions!$G:$G,ROW()-8))</f>
      </c>
      <c r="F9777">
        <f>IF(INDEX(Transactions!$J:$J,ROW()-8)="",0,INDEX(Transactions!$O:$O,ROW()-8))</f>
      </c>
    </row>
    <row r="9778" spans="1:7">
      <c r="B9778">
        <f>IF(INDEX(Transactions!$J:$J,ROW()-8)="",TODAY(),INDEX(Transactions!$G:$G,ROW()-8))</f>
      </c>
      <c r="F9778">
        <f>IF(INDEX(Transactions!$J:$J,ROW()-8)="",0,INDEX(Transactions!$O:$O,ROW()-8))</f>
      </c>
    </row>
    <row r="9779" spans="1:7">
      <c r="B9779">
        <f>IF(INDEX(Transactions!$J:$J,ROW()-8)="",TODAY(),INDEX(Transactions!$G:$G,ROW()-8))</f>
      </c>
      <c r="F9779">
        <f>IF(INDEX(Transactions!$J:$J,ROW()-8)="",0,INDEX(Transactions!$O:$O,ROW()-8))</f>
      </c>
    </row>
    <row r="9780" spans="1:7">
      <c r="B9780">
        <f>IF(INDEX(Transactions!$J:$J,ROW()-8)="",TODAY(),INDEX(Transactions!$G:$G,ROW()-8))</f>
      </c>
      <c r="F9780">
        <f>IF(INDEX(Transactions!$J:$J,ROW()-8)="",0,INDEX(Transactions!$O:$O,ROW()-8))</f>
      </c>
    </row>
    <row r="9781" spans="1:7">
      <c r="B9781">
        <f>IF(INDEX(Transactions!$J:$J,ROW()-8)="",TODAY(),INDEX(Transactions!$G:$G,ROW()-8))</f>
      </c>
      <c r="F9781">
        <f>IF(INDEX(Transactions!$J:$J,ROW()-8)="",0,INDEX(Transactions!$O:$O,ROW()-8))</f>
      </c>
    </row>
    <row r="9782" spans="1:7">
      <c r="B9782">
        <f>IF(INDEX(Transactions!$J:$J,ROW()-8)="",TODAY(),INDEX(Transactions!$G:$G,ROW()-8))</f>
      </c>
      <c r="F9782">
        <f>IF(INDEX(Transactions!$J:$J,ROW()-8)="",0,INDEX(Transactions!$O:$O,ROW()-8))</f>
      </c>
    </row>
    <row r="9783" spans="1:7">
      <c r="B9783">
        <f>IF(INDEX(Transactions!$J:$J,ROW()-8)="",TODAY(),INDEX(Transactions!$G:$G,ROW()-8))</f>
      </c>
      <c r="F9783">
        <f>IF(INDEX(Transactions!$J:$J,ROW()-8)="",0,INDEX(Transactions!$O:$O,ROW()-8))</f>
      </c>
    </row>
    <row r="9784" spans="1:7">
      <c r="B9784">
        <f>IF(INDEX(Transactions!$J:$J,ROW()-8)="",TODAY(),INDEX(Transactions!$G:$G,ROW()-8))</f>
      </c>
      <c r="F9784">
        <f>IF(INDEX(Transactions!$J:$J,ROW()-8)="",0,INDEX(Transactions!$O:$O,ROW()-8))</f>
      </c>
    </row>
    <row r="9785" spans="1:7">
      <c r="B9785">
        <f>IF(INDEX(Transactions!$J:$J,ROW()-8)="",TODAY(),INDEX(Transactions!$G:$G,ROW()-8))</f>
      </c>
      <c r="F9785">
        <f>IF(INDEX(Transactions!$J:$J,ROW()-8)="",0,INDEX(Transactions!$O:$O,ROW()-8))</f>
      </c>
    </row>
    <row r="9786" spans="1:7">
      <c r="B9786">
        <f>IF(INDEX(Transactions!$J:$J,ROW()-8)="",TODAY(),INDEX(Transactions!$G:$G,ROW()-8))</f>
      </c>
      <c r="F9786">
        <f>IF(INDEX(Transactions!$J:$J,ROW()-8)="",0,INDEX(Transactions!$O:$O,ROW()-8))</f>
      </c>
    </row>
    <row r="9787" spans="1:7">
      <c r="B9787">
        <f>IF(INDEX(Transactions!$J:$J,ROW()-8)="",TODAY(),INDEX(Transactions!$G:$G,ROW()-8))</f>
      </c>
      <c r="F9787">
        <f>IF(INDEX(Transactions!$J:$J,ROW()-8)="",0,INDEX(Transactions!$O:$O,ROW()-8))</f>
      </c>
    </row>
    <row r="9788" spans="1:7">
      <c r="B9788">
        <f>IF(INDEX(Transactions!$J:$J,ROW()-8)="",TODAY(),INDEX(Transactions!$G:$G,ROW()-8))</f>
      </c>
      <c r="F9788">
        <f>IF(INDEX(Transactions!$J:$J,ROW()-8)="",0,INDEX(Transactions!$O:$O,ROW()-8))</f>
      </c>
    </row>
    <row r="9789" spans="1:7">
      <c r="B9789">
        <f>IF(INDEX(Transactions!$J:$J,ROW()-8)="",TODAY(),INDEX(Transactions!$G:$G,ROW()-8))</f>
      </c>
      <c r="F9789">
        <f>IF(INDEX(Transactions!$J:$J,ROW()-8)="",0,INDEX(Transactions!$O:$O,ROW()-8))</f>
      </c>
    </row>
    <row r="9790" spans="1:7">
      <c r="B9790">
        <f>IF(INDEX(Transactions!$J:$J,ROW()-8)="",TODAY(),INDEX(Transactions!$G:$G,ROW()-8))</f>
      </c>
      <c r="F9790">
        <f>IF(INDEX(Transactions!$J:$J,ROW()-8)="",0,INDEX(Transactions!$O:$O,ROW()-8))</f>
      </c>
    </row>
    <row r="9791" spans="1:7">
      <c r="B9791">
        <f>IF(INDEX(Transactions!$J:$J,ROW()-8)="",TODAY(),INDEX(Transactions!$G:$G,ROW()-8))</f>
      </c>
      <c r="F9791">
        <f>IF(INDEX(Transactions!$J:$J,ROW()-8)="",0,INDEX(Transactions!$O:$O,ROW()-8))</f>
      </c>
    </row>
    <row r="9792" spans="1:7">
      <c r="B9792">
        <f>IF(INDEX(Transactions!$J:$J,ROW()-8)="",TODAY(),INDEX(Transactions!$G:$G,ROW()-8))</f>
      </c>
      <c r="F9792">
        <f>IF(INDEX(Transactions!$J:$J,ROW()-8)="",0,INDEX(Transactions!$O:$O,ROW()-8))</f>
      </c>
    </row>
    <row r="9793" spans="1:7">
      <c r="B9793">
        <f>IF(INDEX(Transactions!$J:$J,ROW()-8)="",TODAY(),INDEX(Transactions!$G:$G,ROW()-8))</f>
      </c>
      <c r="F9793">
        <f>IF(INDEX(Transactions!$J:$J,ROW()-8)="",0,INDEX(Transactions!$O:$O,ROW()-8))</f>
      </c>
    </row>
    <row r="9794" spans="1:7">
      <c r="B9794">
        <f>IF(INDEX(Transactions!$J:$J,ROW()-8)="",TODAY(),INDEX(Transactions!$G:$G,ROW()-8))</f>
      </c>
      <c r="F9794">
        <f>IF(INDEX(Transactions!$J:$J,ROW()-8)="",0,INDEX(Transactions!$O:$O,ROW()-8))</f>
      </c>
    </row>
    <row r="9795" spans="1:7">
      <c r="B9795">
        <f>IF(INDEX(Transactions!$J:$J,ROW()-8)="",TODAY(),INDEX(Transactions!$G:$G,ROW()-8))</f>
      </c>
      <c r="F9795">
        <f>IF(INDEX(Transactions!$J:$J,ROW()-8)="",0,INDEX(Transactions!$O:$O,ROW()-8))</f>
      </c>
    </row>
    <row r="9796" spans="1:7">
      <c r="B9796">
        <f>IF(INDEX(Transactions!$J:$J,ROW()-8)="",TODAY(),INDEX(Transactions!$G:$G,ROW()-8))</f>
      </c>
      <c r="F9796">
        <f>IF(INDEX(Transactions!$J:$J,ROW()-8)="",0,INDEX(Transactions!$O:$O,ROW()-8))</f>
      </c>
    </row>
    <row r="9797" spans="1:7">
      <c r="B9797">
        <f>IF(INDEX(Transactions!$J:$J,ROW()-8)="",TODAY(),INDEX(Transactions!$G:$G,ROW()-8))</f>
      </c>
      <c r="F9797">
        <f>IF(INDEX(Transactions!$J:$J,ROW()-8)="",0,INDEX(Transactions!$O:$O,ROW()-8))</f>
      </c>
    </row>
    <row r="9798" spans="1:7">
      <c r="B9798">
        <f>IF(INDEX(Transactions!$J:$J,ROW()-8)="",TODAY(),INDEX(Transactions!$G:$G,ROW()-8))</f>
      </c>
      <c r="F9798">
        <f>IF(INDEX(Transactions!$J:$J,ROW()-8)="",0,INDEX(Transactions!$O:$O,ROW()-8))</f>
      </c>
    </row>
    <row r="9799" spans="1:7">
      <c r="B9799">
        <f>IF(INDEX(Transactions!$J:$J,ROW()-8)="",TODAY(),INDEX(Transactions!$G:$G,ROW()-8))</f>
      </c>
      <c r="F9799">
        <f>IF(INDEX(Transactions!$J:$J,ROW()-8)="",0,INDEX(Transactions!$O:$O,ROW()-8))</f>
      </c>
    </row>
    <row r="9800" spans="1:7">
      <c r="B9800">
        <f>IF(INDEX(Transactions!$J:$J,ROW()-8)="",TODAY(),INDEX(Transactions!$G:$G,ROW()-8))</f>
      </c>
      <c r="F9800">
        <f>IF(INDEX(Transactions!$J:$J,ROW()-8)="",0,INDEX(Transactions!$O:$O,ROW()-8))</f>
      </c>
    </row>
    <row r="9801" spans="1:7">
      <c r="B9801">
        <f>IF(INDEX(Transactions!$J:$J,ROW()-8)="",TODAY(),INDEX(Transactions!$G:$G,ROW()-8))</f>
      </c>
      <c r="F9801">
        <f>IF(INDEX(Transactions!$J:$J,ROW()-8)="",0,INDEX(Transactions!$O:$O,ROW()-8))</f>
      </c>
    </row>
    <row r="9802" spans="1:7">
      <c r="B9802">
        <f>IF(INDEX(Transactions!$J:$J,ROW()-8)="",TODAY(),INDEX(Transactions!$G:$G,ROW()-8))</f>
      </c>
      <c r="F9802">
        <f>IF(INDEX(Transactions!$J:$J,ROW()-8)="",0,INDEX(Transactions!$O:$O,ROW()-8))</f>
      </c>
    </row>
    <row r="9803" spans="1:7">
      <c r="B9803">
        <f>IF(INDEX(Transactions!$J:$J,ROW()-8)="",TODAY(),INDEX(Transactions!$G:$G,ROW()-8))</f>
      </c>
      <c r="F9803">
        <f>IF(INDEX(Transactions!$J:$J,ROW()-8)="",0,INDEX(Transactions!$O:$O,ROW()-8))</f>
      </c>
    </row>
    <row r="9804" spans="1:7">
      <c r="B9804">
        <f>IF(INDEX(Transactions!$J:$J,ROW()-8)="",TODAY(),INDEX(Transactions!$G:$G,ROW()-8))</f>
      </c>
      <c r="F9804">
        <f>IF(INDEX(Transactions!$J:$J,ROW()-8)="",0,INDEX(Transactions!$O:$O,ROW()-8))</f>
      </c>
    </row>
    <row r="9805" spans="1:7">
      <c r="B9805">
        <f>IF(INDEX(Transactions!$J:$J,ROW()-8)="",TODAY(),INDEX(Transactions!$G:$G,ROW()-8))</f>
      </c>
      <c r="F9805">
        <f>IF(INDEX(Transactions!$J:$J,ROW()-8)="",0,INDEX(Transactions!$O:$O,ROW()-8))</f>
      </c>
    </row>
    <row r="9806" spans="1:7">
      <c r="B9806">
        <f>IF(INDEX(Transactions!$J:$J,ROW()-8)="",TODAY(),INDEX(Transactions!$G:$G,ROW()-8))</f>
      </c>
      <c r="F9806">
        <f>IF(INDEX(Transactions!$J:$J,ROW()-8)="",0,INDEX(Transactions!$O:$O,ROW()-8))</f>
      </c>
    </row>
    <row r="9807" spans="1:7">
      <c r="B9807">
        <f>IF(INDEX(Transactions!$J:$J,ROW()-8)="",TODAY(),INDEX(Transactions!$G:$G,ROW()-8))</f>
      </c>
      <c r="F9807">
        <f>IF(INDEX(Transactions!$J:$J,ROW()-8)="",0,INDEX(Transactions!$O:$O,ROW()-8))</f>
      </c>
    </row>
    <row r="9808" spans="1:7">
      <c r="B9808">
        <f>IF(INDEX(Transactions!$J:$J,ROW()-8)="",TODAY(),INDEX(Transactions!$G:$G,ROW()-8))</f>
      </c>
      <c r="F9808">
        <f>IF(INDEX(Transactions!$J:$J,ROW()-8)="",0,INDEX(Transactions!$O:$O,ROW()-8))</f>
      </c>
    </row>
    <row r="9809" spans="1:7">
      <c r="B9809">
        <f>IF(INDEX(Transactions!$J:$J,ROW()-8)="",TODAY(),INDEX(Transactions!$G:$G,ROW()-8))</f>
      </c>
      <c r="F9809">
        <f>IF(INDEX(Transactions!$J:$J,ROW()-8)="",0,INDEX(Transactions!$O:$O,ROW()-8))</f>
      </c>
    </row>
    <row r="9810" spans="1:7">
      <c r="B9810">
        <f>IF(INDEX(Transactions!$J:$J,ROW()-8)="",TODAY(),INDEX(Transactions!$G:$G,ROW()-8))</f>
      </c>
      <c r="F9810">
        <f>IF(INDEX(Transactions!$J:$J,ROW()-8)="",0,INDEX(Transactions!$O:$O,ROW()-8))</f>
      </c>
    </row>
    <row r="9811" spans="1:7">
      <c r="B9811">
        <f>IF(INDEX(Transactions!$J:$J,ROW()-8)="",TODAY(),INDEX(Transactions!$G:$G,ROW()-8))</f>
      </c>
      <c r="F9811">
        <f>IF(INDEX(Transactions!$J:$J,ROW()-8)="",0,INDEX(Transactions!$O:$O,ROW()-8))</f>
      </c>
    </row>
    <row r="9812" spans="1:7">
      <c r="B9812">
        <f>IF(INDEX(Transactions!$J:$J,ROW()-8)="",TODAY(),INDEX(Transactions!$G:$G,ROW()-8))</f>
      </c>
      <c r="F9812">
        <f>IF(INDEX(Transactions!$J:$J,ROW()-8)="",0,INDEX(Transactions!$O:$O,ROW()-8))</f>
      </c>
    </row>
    <row r="9813" spans="1:7">
      <c r="B9813">
        <f>IF(INDEX(Transactions!$J:$J,ROW()-8)="",TODAY(),INDEX(Transactions!$G:$G,ROW()-8))</f>
      </c>
      <c r="F9813">
        <f>IF(INDEX(Transactions!$J:$J,ROW()-8)="",0,INDEX(Transactions!$O:$O,ROW()-8))</f>
      </c>
    </row>
    <row r="9814" spans="1:7">
      <c r="B9814">
        <f>IF(INDEX(Transactions!$J:$J,ROW()-8)="",TODAY(),INDEX(Transactions!$G:$G,ROW()-8))</f>
      </c>
      <c r="F9814">
        <f>IF(INDEX(Transactions!$J:$J,ROW()-8)="",0,INDEX(Transactions!$O:$O,ROW()-8))</f>
      </c>
    </row>
    <row r="9815" spans="1:7">
      <c r="B9815">
        <f>IF(INDEX(Transactions!$J:$J,ROW()-8)="",TODAY(),INDEX(Transactions!$G:$G,ROW()-8))</f>
      </c>
      <c r="F9815">
        <f>IF(INDEX(Transactions!$J:$J,ROW()-8)="",0,INDEX(Transactions!$O:$O,ROW()-8))</f>
      </c>
    </row>
    <row r="9816" spans="1:7">
      <c r="B9816">
        <f>IF(INDEX(Transactions!$J:$J,ROW()-8)="",TODAY(),INDEX(Transactions!$G:$G,ROW()-8))</f>
      </c>
      <c r="F9816">
        <f>IF(INDEX(Transactions!$J:$J,ROW()-8)="",0,INDEX(Transactions!$O:$O,ROW()-8))</f>
      </c>
    </row>
    <row r="9817" spans="1:7">
      <c r="B9817">
        <f>IF(INDEX(Transactions!$J:$J,ROW()-8)="",TODAY(),INDEX(Transactions!$G:$G,ROW()-8))</f>
      </c>
      <c r="F9817">
        <f>IF(INDEX(Transactions!$J:$J,ROW()-8)="",0,INDEX(Transactions!$O:$O,ROW()-8))</f>
      </c>
    </row>
    <row r="9818" spans="1:7">
      <c r="B9818">
        <f>IF(INDEX(Transactions!$J:$J,ROW()-8)="",TODAY(),INDEX(Transactions!$G:$G,ROW()-8))</f>
      </c>
      <c r="F9818">
        <f>IF(INDEX(Transactions!$J:$J,ROW()-8)="",0,INDEX(Transactions!$O:$O,ROW()-8))</f>
      </c>
    </row>
    <row r="9819" spans="1:7">
      <c r="B9819">
        <f>IF(INDEX(Transactions!$J:$J,ROW()-8)="",TODAY(),INDEX(Transactions!$G:$G,ROW()-8))</f>
      </c>
      <c r="F9819">
        <f>IF(INDEX(Transactions!$J:$J,ROW()-8)="",0,INDEX(Transactions!$O:$O,ROW()-8))</f>
      </c>
    </row>
    <row r="9820" spans="1:7">
      <c r="B9820">
        <f>IF(INDEX(Transactions!$J:$J,ROW()-8)="",TODAY(),INDEX(Transactions!$G:$G,ROW()-8))</f>
      </c>
      <c r="F9820">
        <f>IF(INDEX(Transactions!$J:$J,ROW()-8)="",0,INDEX(Transactions!$O:$O,ROW()-8))</f>
      </c>
    </row>
    <row r="9821" spans="1:7">
      <c r="B9821">
        <f>IF(INDEX(Transactions!$J:$J,ROW()-8)="",TODAY(),INDEX(Transactions!$G:$G,ROW()-8))</f>
      </c>
      <c r="F9821">
        <f>IF(INDEX(Transactions!$J:$J,ROW()-8)="",0,INDEX(Transactions!$O:$O,ROW()-8))</f>
      </c>
    </row>
    <row r="9822" spans="1:7">
      <c r="B9822">
        <f>IF(INDEX(Transactions!$J:$J,ROW()-8)="",TODAY(),INDEX(Transactions!$G:$G,ROW()-8))</f>
      </c>
      <c r="F9822">
        <f>IF(INDEX(Transactions!$J:$J,ROW()-8)="",0,INDEX(Transactions!$O:$O,ROW()-8))</f>
      </c>
    </row>
    <row r="9823" spans="1:7">
      <c r="B9823">
        <f>IF(INDEX(Transactions!$J:$J,ROW()-8)="",TODAY(),INDEX(Transactions!$G:$G,ROW()-8))</f>
      </c>
      <c r="F9823">
        <f>IF(INDEX(Transactions!$J:$J,ROW()-8)="",0,INDEX(Transactions!$O:$O,ROW()-8))</f>
      </c>
    </row>
    <row r="9824" spans="1:7">
      <c r="B9824">
        <f>IF(INDEX(Transactions!$J:$J,ROW()-8)="",TODAY(),INDEX(Transactions!$G:$G,ROW()-8))</f>
      </c>
      <c r="F9824">
        <f>IF(INDEX(Transactions!$J:$J,ROW()-8)="",0,INDEX(Transactions!$O:$O,ROW()-8))</f>
      </c>
    </row>
    <row r="9825" spans="1:7">
      <c r="B9825">
        <f>IF(INDEX(Transactions!$J:$J,ROW()-8)="",TODAY(),INDEX(Transactions!$G:$G,ROW()-8))</f>
      </c>
      <c r="F9825">
        <f>IF(INDEX(Transactions!$J:$J,ROW()-8)="",0,INDEX(Transactions!$O:$O,ROW()-8))</f>
      </c>
    </row>
    <row r="9826" spans="1:7">
      <c r="B9826">
        <f>IF(INDEX(Transactions!$J:$J,ROW()-8)="",TODAY(),INDEX(Transactions!$G:$G,ROW()-8))</f>
      </c>
      <c r="F9826">
        <f>IF(INDEX(Transactions!$J:$J,ROW()-8)="",0,INDEX(Transactions!$O:$O,ROW()-8))</f>
      </c>
    </row>
    <row r="9827" spans="1:7">
      <c r="B9827">
        <f>IF(INDEX(Transactions!$J:$J,ROW()-8)="",TODAY(),INDEX(Transactions!$G:$G,ROW()-8))</f>
      </c>
      <c r="F9827">
        <f>IF(INDEX(Transactions!$J:$J,ROW()-8)="",0,INDEX(Transactions!$O:$O,ROW()-8))</f>
      </c>
    </row>
    <row r="9828" spans="1:7">
      <c r="B9828">
        <f>IF(INDEX(Transactions!$J:$J,ROW()-8)="",TODAY(),INDEX(Transactions!$G:$G,ROW()-8))</f>
      </c>
      <c r="F9828">
        <f>IF(INDEX(Transactions!$J:$J,ROW()-8)="",0,INDEX(Transactions!$O:$O,ROW()-8))</f>
      </c>
    </row>
    <row r="9829" spans="1:7">
      <c r="B9829">
        <f>IF(INDEX(Transactions!$J:$J,ROW()-8)="",TODAY(),INDEX(Transactions!$G:$G,ROW()-8))</f>
      </c>
      <c r="F9829">
        <f>IF(INDEX(Transactions!$J:$J,ROW()-8)="",0,INDEX(Transactions!$O:$O,ROW()-8))</f>
      </c>
    </row>
    <row r="9830" spans="1:7">
      <c r="B9830">
        <f>IF(INDEX(Transactions!$J:$J,ROW()-8)="",TODAY(),INDEX(Transactions!$G:$G,ROW()-8))</f>
      </c>
      <c r="F9830">
        <f>IF(INDEX(Transactions!$J:$J,ROW()-8)="",0,INDEX(Transactions!$O:$O,ROW()-8))</f>
      </c>
    </row>
    <row r="9831" spans="1:7">
      <c r="B9831">
        <f>IF(INDEX(Transactions!$J:$J,ROW()-8)="",TODAY(),INDEX(Transactions!$G:$G,ROW()-8))</f>
      </c>
      <c r="F9831">
        <f>IF(INDEX(Transactions!$J:$J,ROW()-8)="",0,INDEX(Transactions!$O:$O,ROW()-8))</f>
      </c>
    </row>
    <row r="9832" spans="1:7">
      <c r="B9832">
        <f>IF(INDEX(Transactions!$J:$J,ROW()-8)="",TODAY(),INDEX(Transactions!$G:$G,ROW()-8))</f>
      </c>
      <c r="F9832">
        <f>IF(INDEX(Transactions!$J:$J,ROW()-8)="",0,INDEX(Transactions!$O:$O,ROW()-8))</f>
      </c>
    </row>
    <row r="9833" spans="1:7">
      <c r="B9833">
        <f>IF(INDEX(Transactions!$J:$J,ROW()-8)="",TODAY(),INDEX(Transactions!$G:$G,ROW()-8))</f>
      </c>
      <c r="F9833">
        <f>IF(INDEX(Transactions!$J:$J,ROW()-8)="",0,INDEX(Transactions!$O:$O,ROW()-8))</f>
      </c>
    </row>
    <row r="9834" spans="1:7">
      <c r="B9834">
        <f>IF(INDEX(Transactions!$J:$J,ROW()-8)="",TODAY(),INDEX(Transactions!$G:$G,ROW()-8))</f>
      </c>
      <c r="F9834">
        <f>IF(INDEX(Transactions!$J:$J,ROW()-8)="",0,INDEX(Transactions!$O:$O,ROW()-8))</f>
      </c>
    </row>
    <row r="9835" spans="1:7">
      <c r="B9835">
        <f>IF(INDEX(Transactions!$J:$J,ROW()-8)="",TODAY(),INDEX(Transactions!$G:$G,ROW()-8))</f>
      </c>
      <c r="F9835">
        <f>IF(INDEX(Transactions!$J:$J,ROW()-8)="",0,INDEX(Transactions!$O:$O,ROW()-8))</f>
      </c>
    </row>
    <row r="9836" spans="1:7">
      <c r="B9836">
        <f>IF(INDEX(Transactions!$J:$J,ROW()-8)="",TODAY(),INDEX(Transactions!$G:$G,ROW()-8))</f>
      </c>
      <c r="F9836">
        <f>IF(INDEX(Transactions!$J:$J,ROW()-8)="",0,INDEX(Transactions!$O:$O,ROW()-8))</f>
      </c>
    </row>
    <row r="9837" spans="1:7">
      <c r="B9837">
        <f>IF(INDEX(Transactions!$J:$J,ROW()-8)="",TODAY(),INDEX(Transactions!$G:$G,ROW()-8))</f>
      </c>
      <c r="F9837">
        <f>IF(INDEX(Transactions!$J:$J,ROW()-8)="",0,INDEX(Transactions!$O:$O,ROW()-8))</f>
      </c>
    </row>
    <row r="9838" spans="1:7">
      <c r="B9838">
        <f>IF(INDEX(Transactions!$J:$J,ROW()-8)="",TODAY(),INDEX(Transactions!$G:$G,ROW()-8))</f>
      </c>
      <c r="F9838">
        <f>IF(INDEX(Transactions!$J:$J,ROW()-8)="",0,INDEX(Transactions!$O:$O,ROW()-8))</f>
      </c>
    </row>
    <row r="9839" spans="1:7">
      <c r="B9839">
        <f>IF(INDEX(Transactions!$J:$J,ROW()-8)="",TODAY(),INDEX(Transactions!$G:$G,ROW()-8))</f>
      </c>
      <c r="F9839">
        <f>IF(INDEX(Transactions!$J:$J,ROW()-8)="",0,INDEX(Transactions!$O:$O,ROW()-8))</f>
      </c>
    </row>
    <row r="9840" spans="1:7">
      <c r="B9840">
        <f>IF(INDEX(Transactions!$J:$J,ROW()-8)="",TODAY(),INDEX(Transactions!$G:$G,ROW()-8))</f>
      </c>
      <c r="F9840">
        <f>IF(INDEX(Transactions!$J:$J,ROW()-8)="",0,INDEX(Transactions!$O:$O,ROW()-8))</f>
      </c>
    </row>
    <row r="9841" spans="1:7">
      <c r="B9841">
        <f>IF(INDEX(Transactions!$J:$J,ROW()-8)="",TODAY(),INDEX(Transactions!$G:$G,ROW()-8))</f>
      </c>
      <c r="F9841">
        <f>IF(INDEX(Transactions!$J:$J,ROW()-8)="",0,INDEX(Transactions!$O:$O,ROW()-8))</f>
      </c>
    </row>
    <row r="9842" spans="1:7">
      <c r="B9842">
        <f>IF(INDEX(Transactions!$J:$J,ROW()-8)="",TODAY(),INDEX(Transactions!$G:$G,ROW()-8))</f>
      </c>
      <c r="F9842">
        <f>IF(INDEX(Transactions!$J:$J,ROW()-8)="",0,INDEX(Transactions!$O:$O,ROW()-8))</f>
      </c>
    </row>
    <row r="9843" spans="1:7">
      <c r="B9843">
        <f>IF(INDEX(Transactions!$J:$J,ROW()-8)="",TODAY(),INDEX(Transactions!$G:$G,ROW()-8))</f>
      </c>
      <c r="F9843">
        <f>IF(INDEX(Transactions!$J:$J,ROW()-8)="",0,INDEX(Transactions!$O:$O,ROW()-8))</f>
      </c>
    </row>
    <row r="9844" spans="1:7">
      <c r="B9844">
        <f>IF(INDEX(Transactions!$J:$J,ROW()-8)="",TODAY(),INDEX(Transactions!$G:$G,ROW()-8))</f>
      </c>
      <c r="F9844">
        <f>IF(INDEX(Transactions!$J:$J,ROW()-8)="",0,INDEX(Transactions!$O:$O,ROW()-8))</f>
      </c>
    </row>
    <row r="9845" spans="1:7">
      <c r="B9845">
        <f>IF(INDEX(Transactions!$J:$J,ROW()-8)="",TODAY(),INDEX(Transactions!$G:$G,ROW()-8))</f>
      </c>
      <c r="F9845">
        <f>IF(INDEX(Transactions!$J:$J,ROW()-8)="",0,INDEX(Transactions!$O:$O,ROW()-8))</f>
      </c>
    </row>
    <row r="9846" spans="1:7">
      <c r="B9846">
        <f>IF(INDEX(Transactions!$J:$J,ROW()-8)="",TODAY(),INDEX(Transactions!$G:$G,ROW()-8))</f>
      </c>
      <c r="F9846">
        <f>IF(INDEX(Transactions!$J:$J,ROW()-8)="",0,INDEX(Transactions!$O:$O,ROW()-8))</f>
      </c>
    </row>
    <row r="9847" spans="1:7">
      <c r="B9847">
        <f>IF(INDEX(Transactions!$J:$J,ROW()-8)="",TODAY(),INDEX(Transactions!$G:$G,ROW()-8))</f>
      </c>
      <c r="F9847">
        <f>IF(INDEX(Transactions!$J:$J,ROW()-8)="",0,INDEX(Transactions!$O:$O,ROW()-8))</f>
      </c>
    </row>
    <row r="9848" spans="1:7">
      <c r="B9848">
        <f>IF(INDEX(Transactions!$J:$J,ROW()-8)="",TODAY(),INDEX(Transactions!$G:$G,ROW()-8))</f>
      </c>
      <c r="F9848">
        <f>IF(INDEX(Transactions!$J:$J,ROW()-8)="",0,INDEX(Transactions!$O:$O,ROW()-8))</f>
      </c>
    </row>
    <row r="9849" spans="1:7">
      <c r="B9849">
        <f>IF(INDEX(Transactions!$J:$J,ROW()-8)="",TODAY(),INDEX(Transactions!$G:$G,ROW()-8))</f>
      </c>
      <c r="F9849">
        <f>IF(INDEX(Transactions!$J:$J,ROW()-8)="",0,INDEX(Transactions!$O:$O,ROW()-8))</f>
      </c>
    </row>
    <row r="9850" spans="1:7">
      <c r="B9850">
        <f>IF(INDEX(Transactions!$J:$J,ROW()-8)="",TODAY(),INDEX(Transactions!$G:$G,ROW()-8))</f>
      </c>
      <c r="F9850">
        <f>IF(INDEX(Transactions!$J:$J,ROW()-8)="",0,INDEX(Transactions!$O:$O,ROW()-8))</f>
      </c>
    </row>
    <row r="9851" spans="1:7">
      <c r="B9851">
        <f>IF(INDEX(Transactions!$J:$J,ROW()-8)="",TODAY(),INDEX(Transactions!$G:$G,ROW()-8))</f>
      </c>
      <c r="F9851">
        <f>IF(INDEX(Transactions!$J:$J,ROW()-8)="",0,INDEX(Transactions!$O:$O,ROW()-8))</f>
      </c>
    </row>
    <row r="9852" spans="1:7">
      <c r="B9852">
        <f>IF(INDEX(Transactions!$J:$J,ROW()-8)="",TODAY(),INDEX(Transactions!$G:$G,ROW()-8))</f>
      </c>
      <c r="F9852">
        <f>IF(INDEX(Transactions!$J:$J,ROW()-8)="",0,INDEX(Transactions!$O:$O,ROW()-8))</f>
      </c>
    </row>
    <row r="9853" spans="1:7">
      <c r="B9853">
        <f>IF(INDEX(Transactions!$J:$J,ROW()-8)="",TODAY(),INDEX(Transactions!$G:$G,ROW()-8))</f>
      </c>
      <c r="F9853">
        <f>IF(INDEX(Transactions!$J:$J,ROW()-8)="",0,INDEX(Transactions!$O:$O,ROW()-8))</f>
      </c>
    </row>
    <row r="9854" spans="1:7">
      <c r="B9854">
        <f>IF(INDEX(Transactions!$J:$J,ROW()-8)="",TODAY(),INDEX(Transactions!$G:$G,ROW()-8))</f>
      </c>
      <c r="F9854">
        <f>IF(INDEX(Transactions!$J:$J,ROW()-8)="",0,INDEX(Transactions!$O:$O,ROW()-8))</f>
      </c>
    </row>
    <row r="9855" spans="1:7">
      <c r="B9855">
        <f>IF(INDEX(Transactions!$J:$J,ROW()-8)="",TODAY(),INDEX(Transactions!$G:$G,ROW()-8))</f>
      </c>
      <c r="F9855">
        <f>IF(INDEX(Transactions!$J:$J,ROW()-8)="",0,INDEX(Transactions!$O:$O,ROW()-8))</f>
      </c>
    </row>
    <row r="9856" spans="1:7">
      <c r="B9856">
        <f>IF(INDEX(Transactions!$J:$J,ROW()-8)="",TODAY(),INDEX(Transactions!$G:$G,ROW()-8))</f>
      </c>
      <c r="F9856">
        <f>IF(INDEX(Transactions!$J:$J,ROW()-8)="",0,INDEX(Transactions!$O:$O,ROW()-8))</f>
      </c>
    </row>
    <row r="9857" spans="1:7">
      <c r="B9857">
        <f>IF(INDEX(Transactions!$J:$J,ROW()-8)="",TODAY(),INDEX(Transactions!$G:$G,ROW()-8))</f>
      </c>
      <c r="F9857">
        <f>IF(INDEX(Transactions!$J:$J,ROW()-8)="",0,INDEX(Transactions!$O:$O,ROW()-8))</f>
      </c>
    </row>
    <row r="9858" spans="1:7">
      <c r="B9858">
        <f>IF(INDEX(Transactions!$J:$J,ROW()-8)="",TODAY(),INDEX(Transactions!$G:$G,ROW()-8))</f>
      </c>
      <c r="F9858">
        <f>IF(INDEX(Transactions!$J:$J,ROW()-8)="",0,INDEX(Transactions!$O:$O,ROW()-8))</f>
      </c>
    </row>
    <row r="9859" spans="1:7">
      <c r="B9859">
        <f>IF(INDEX(Transactions!$J:$J,ROW()-8)="",TODAY(),INDEX(Transactions!$G:$G,ROW()-8))</f>
      </c>
      <c r="F9859">
        <f>IF(INDEX(Transactions!$J:$J,ROW()-8)="",0,INDEX(Transactions!$O:$O,ROW()-8))</f>
      </c>
    </row>
    <row r="9860" spans="1:7">
      <c r="B9860">
        <f>IF(INDEX(Transactions!$J:$J,ROW()-8)="",TODAY(),INDEX(Transactions!$G:$G,ROW()-8))</f>
      </c>
      <c r="F9860">
        <f>IF(INDEX(Transactions!$J:$J,ROW()-8)="",0,INDEX(Transactions!$O:$O,ROW()-8))</f>
      </c>
    </row>
    <row r="9861" spans="1:7">
      <c r="B9861">
        <f>IF(INDEX(Transactions!$J:$J,ROW()-8)="",TODAY(),INDEX(Transactions!$G:$G,ROW()-8))</f>
      </c>
      <c r="F9861">
        <f>IF(INDEX(Transactions!$J:$J,ROW()-8)="",0,INDEX(Transactions!$O:$O,ROW()-8))</f>
      </c>
    </row>
    <row r="9862" spans="1:7">
      <c r="B9862">
        <f>IF(INDEX(Transactions!$J:$J,ROW()-8)="",TODAY(),INDEX(Transactions!$G:$G,ROW()-8))</f>
      </c>
      <c r="F9862">
        <f>IF(INDEX(Transactions!$J:$J,ROW()-8)="",0,INDEX(Transactions!$O:$O,ROW()-8))</f>
      </c>
    </row>
    <row r="9863" spans="1:7">
      <c r="B9863">
        <f>IF(INDEX(Transactions!$J:$J,ROW()-8)="",TODAY(),INDEX(Transactions!$G:$G,ROW()-8))</f>
      </c>
      <c r="F9863">
        <f>IF(INDEX(Transactions!$J:$J,ROW()-8)="",0,INDEX(Transactions!$O:$O,ROW()-8))</f>
      </c>
    </row>
    <row r="9864" spans="1:7">
      <c r="B9864">
        <f>IF(INDEX(Transactions!$J:$J,ROW()-8)="",TODAY(),INDEX(Transactions!$G:$G,ROW()-8))</f>
      </c>
      <c r="F9864">
        <f>IF(INDEX(Transactions!$J:$J,ROW()-8)="",0,INDEX(Transactions!$O:$O,ROW()-8))</f>
      </c>
    </row>
    <row r="9865" spans="1:7">
      <c r="B9865">
        <f>IF(INDEX(Transactions!$J:$J,ROW()-8)="",TODAY(),INDEX(Transactions!$G:$G,ROW()-8))</f>
      </c>
      <c r="F9865">
        <f>IF(INDEX(Transactions!$J:$J,ROW()-8)="",0,INDEX(Transactions!$O:$O,ROW()-8))</f>
      </c>
    </row>
    <row r="9866" spans="1:7">
      <c r="B9866">
        <f>IF(INDEX(Transactions!$J:$J,ROW()-8)="",TODAY(),INDEX(Transactions!$G:$G,ROW()-8))</f>
      </c>
      <c r="F9866">
        <f>IF(INDEX(Transactions!$J:$J,ROW()-8)="",0,INDEX(Transactions!$O:$O,ROW()-8))</f>
      </c>
    </row>
    <row r="9867" spans="1:7">
      <c r="B9867">
        <f>IF(INDEX(Transactions!$J:$J,ROW()-8)="",TODAY(),INDEX(Transactions!$G:$G,ROW()-8))</f>
      </c>
      <c r="F9867">
        <f>IF(INDEX(Transactions!$J:$J,ROW()-8)="",0,INDEX(Transactions!$O:$O,ROW()-8))</f>
      </c>
    </row>
    <row r="9868" spans="1:7">
      <c r="B9868">
        <f>IF(INDEX(Transactions!$J:$J,ROW()-8)="",TODAY(),INDEX(Transactions!$G:$G,ROW()-8))</f>
      </c>
      <c r="F9868">
        <f>IF(INDEX(Transactions!$J:$J,ROW()-8)="",0,INDEX(Transactions!$O:$O,ROW()-8))</f>
      </c>
    </row>
    <row r="9869" spans="1:7">
      <c r="B9869">
        <f>IF(INDEX(Transactions!$J:$J,ROW()-8)="",TODAY(),INDEX(Transactions!$G:$G,ROW()-8))</f>
      </c>
      <c r="F9869">
        <f>IF(INDEX(Transactions!$J:$J,ROW()-8)="",0,INDEX(Transactions!$O:$O,ROW()-8))</f>
      </c>
    </row>
    <row r="9870" spans="1:7">
      <c r="B9870">
        <f>IF(INDEX(Transactions!$J:$J,ROW()-8)="",TODAY(),INDEX(Transactions!$G:$G,ROW()-8))</f>
      </c>
      <c r="F9870">
        <f>IF(INDEX(Transactions!$J:$J,ROW()-8)="",0,INDEX(Transactions!$O:$O,ROW()-8))</f>
      </c>
    </row>
    <row r="9871" spans="1:7">
      <c r="B9871">
        <f>IF(INDEX(Transactions!$J:$J,ROW()-8)="",TODAY(),INDEX(Transactions!$G:$G,ROW()-8))</f>
      </c>
      <c r="F9871">
        <f>IF(INDEX(Transactions!$J:$J,ROW()-8)="",0,INDEX(Transactions!$O:$O,ROW()-8))</f>
      </c>
    </row>
    <row r="9872" spans="1:7">
      <c r="B9872">
        <f>IF(INDEX(Transactions!$J:$J,ROW()-8)="",TODAY(),INDEX(Transactions!$G:$G,ROW()-8))</f>
      </c>
      <c r="F9872">
        <f>IF(INDEX(Transactions!$J:$J,ROW()-8)="",0,INDEX(Transactions!$O:$O,ROW()-8))</f>
      </c>
    </row>
    <row r="9873" spans="1:7">
      <c r="B9873">
        <f>IF(INDEX(Transactions!$J:$J,ROW()-8)="",TODAY(),INDEX(Transactions!$G:$G,ROW()-8))</f>
      </c>
      <c r="F9873">
        <f>IF(INDEX(Transactions!$J:$J,ROW()-8)="",0,INDEX(Transactions!$O:$O,ROW()-8))</f>
      </c>
    </row>
    <row r="9874" spans="1:7">
      <c r="B9874">
        <f>IF(INDEX(Transactions!$J:$J,ROW()-8)="",TODAY(),INDEX(Transactions!$G:$G,ROW()-8))</f>
      </c>
      <c r="F9874">
        <f>IF(INDEX(Transactions!$J:$J,ROW()-8)="",0,INDEX(Transactions!$O:$O,ROW()-8))</f>
      </c>
    </row>
    <row r="9875" spans="1:7">
      <c r="B9875">
        <f>IF(INDEX(Transactions!$J:$J,ROW()-8)="",TODAY(),INDEX(Transactions!$G:$G,ROW()-8))</f>
      </c>
      <c r="F9875">
        <f>IF(INDEX(Transactions!$J:$J,ROW()-8)="",0,INDEX(Transactions!$O:$O,ROW()-8))</f>
      </c>
    </row>
    <row r="9876" spans="1:7">
      <c r="B9876">
        <f>IF(INDEX(Transactions!$J:$J,ROW()-8)="",TODAY(),INDEX(Transactions!$G:$G,ROW()-8))</f>
      </c>
      <c r="F9876">
        <f>IF(INDEX(Transactions!$J:$J,ROW()-8)="",0,INDEX(Transactions!$O:$O,ROW()-8))</f>
      </c>
    </row>
    <row r="9877" spans="1:7">
      <c r="B9877">
        <f>IF(INDEX(Transactions!$J:$J,ROW()-8)="",TODAY(),INDEX(Transactions!$G:$G,ROW()-8))</f>
      </c>
      <c r="F9877">
        <f>IF(INDEX(Transactions!$J:$J,ROW()-8)="",0,INDEX(Transactions!$O:$O,ROW()-8))</f>
      </c>
    </row>
    <row r="9878" spans="1:7">
      <c r="B9878">
        <f>IF(INDEX(Transactions!$J:$J,ROW()-8)="",TODAY(),INDEX(Transactions!$G:$G,ROW()-8))</f>
      </c>
      <c r="F9878">
        <f>IF(INDEX(Transactions!$J:$J,ROW()-8)="",0,INDEX(Transactions!$O:$O,ROW()-8))</f>
      </c>
    </row>
    <row r="9879" spans="1:7">
      <c r="B9879">
        <f>IF(INDEX(Transactions!$J:$J,ROW()-8)="",TODAY(),INDEX(Transactions!$G:$G,ROW()-8))</f>
      </c>
      <c r="F9879">
        <f>IF(INDEX(Transactions!$J:$J,ROW()-8)="",0,INDEX(Transactions!$O:$O,ROW()-8))</f>
      </c>
    </row>
    <row r="9880" spans="1:7">
      <c r="B9880">
        <f>IF(INDEX(Transactions!$J:$J,ROW()-8)="",TODAY(),INDEX(Transactions!$G:$G,ROW()-8))</f>
      </c>
      <c r="F9880">
        <f>IF(INDEX(Transactions!$J:$J,ROW()-8)="",0,INDEX(Transactions!$O:$O,ROW()-8))</f>
      </c>
    </row>
    <row r="9881" spans="1:7">
      <c r="B9881">
        <f>IF(INDEX(Transactions!$J:$J,ROW()-8)="",TODAY(),INDEX(Transactions!$G:$G,ROW()-8))</f>
      </c>
      <c r="F9881">
        <f>IF(INDEX(Transactions!$J:$J,ROW()-8)="",0,INDEX(Transactions!$O:$O,ROW()-8))</f>
      </c>
    </row>
    <row r="9882" spans="1:7">
      <c r="B9882">
        <f>IF(INDEX(Transactions!$J:$J,ROW()-8)="",TODAY(),INDEX(Transactions!$G:$G,ROW()-8))</f>
      </c>
      <c r="F9882">
        <f>IF(INDEX(Transactions!$J:$J,ROW()-8)="",0,INDEX(Transactions!$O:$O,ROW()-8))</f>
      </c>
    </row>
    <row r="9883" spans="1:7">
      <c r="B9883">
        <f>IF(INDEX(Transactions!$J:$J,ROW()-8)="",TODAY(),INDEX(Transactions!$G:$G,ROW()-8))</f>
      </c>
      <c r="F9883">
        <f>IF(INDEX(Transactions!$J:$J,ROW()-8)="",0,INDEX(Transactions!$O:$O,ROW()-8))</f>
      </c>
    </row>
    <row r="9884" spans="1:7">
      <c r="B9884">
        <f>IF(INDEX(Transactions!$J:$J,ROW()-8)="",TODAY(),INDEX(Transactions!$G:$G,ROW()-8))</f>
      </c>
      <c r="F9884">
        <f>IF(INDEX(Transactions!$J:$J,ROW()-8)="",0,INDEX(Transactions!$O:$O,ROW()-8))</f>
      </c>
    </row>
    <row r="9885" spans="1:7">
      <c r="B9885">
        <f>IF(INDEX(Transactions!$J:$J,ROW()-8)="",TODAY(),INDEX(Transactions!$G:$G,ROW()-8))</f>
      </c>
      <c r="F9885">
        <f>IF(INDEX(Transactions!$J:$J,ROW()-8)="",0,INDEX(Transactions!$O:$O,ROW()-8))</f>
      </c>
    </row>
    <row r="9886" spans="1:7">
      <c r="B9886">
        <f>IF(INDEX(Transactions!$J:$J,ROW()-8)="",TODAY(),INDEX(Transactions!$G:$G,ROW()-8))</f>
      </c>
      <c r="F9886">
        <f>IF(INDEX(Transactions!$J:$J,ROW()-8)="",0,INDEX(Transactions!$O:$O,ROW()-8))</f>
      </c>
    </row>
    <row r="9887" spans="1:7">
      <c r="B9887">
        <f>IF(INDEX(Transactions!$J:$J,ROW()-8)="",TODAY(),INDEX(Transactions!$G:$G,ROW()-8))</f>
      </c>
      <c r="F9887">
        <f>IF(INDEX(Transactions!$J:$J,ROW()-8)="",0,INDEX(Transactions!$O:$O,ROW()-8))</f>
      </c>
    </row>
    <row r="9888" spans="1:7">
      <c r="B9888">
        <f>IF(INDEX(Transactions!$J:$J,ROW()-8)="",TODAY(),INDEX(Transactions!$G:$G,ROW()-8))</f>
      </c>
      <c r="F9888">
        <f>IF(INDEX(Transactions!$J:$J,ROW()-8)="",0,INDEX(Transactions!$O:$O,ROW()-8))</f>
      </c>
    </row>
    <row r="9889" spans="1:7">
      <c r="B9889">
        <f>IF(INDEX(Transactions!$J:$J,ROW()-8)="",TODAY(),INDEX(Transactions!$G:$G,ROW()-8))</f>
      </c>
      <c r="F9889">
        <f>IF(INDEX(Transactions!$J:$J,ROW()-8)="",0,INDEX(Transactions!$O:$O,ROW()-8))</f>
      </c>
    </row>
    <row r="9890" spans="1:7">
      <c r="B9890">
        <f>IF(INDEX(Transactions!$J:$J,ROW()-8)="",TODAY(),INDEX(Transactions!$G:$G,ROW()-8))</f>
      </c>
      <c r="F9890">
        <f>IF(INDEX(Transactions!$J:$J,ROW()-8)="",0,INDEX(Transactions!$O:$O,ROW()-8))</f>
      </c>
    </row>
    <row r="9891" spans="1:7">
      <c r="B9891">
        <f>IF(INDEX(Transactions!$J:$J,ROW()-8)="",TODAY(),INDEX(Transactions!$G:$G,ROW()-8))</f>
      </c>
      <c r="F9891">
        <f>IF(INDEX(Transactions!$J:$J,ROW()-8)="",0,INDEX(Transactions!$O:$O,ROW()-8))</f>
      </c>
    </row>
    <row r="9892" spans="1:7">
      <c r="B9892">
        <f>IF(INDEX(Transactions!$J:$J,ROW()-8)="",TODAY(),INDEX(Transactions!$G:$G,ROW()-8))</f>
      </c>
      <c r="F9892">
        <f>IF(INDEX(Transactions!$J:$J,ROW()-8)="",0,INDEX(Transactions!$O:$O,ROW()-8))</f>
      </c>
    </row>
    <row r="9893" spans="1:7">
      <c r="B9893">
        <f>IF(INDEX(Transactions!$J:$J,ROW()-8)="",TODAY(),INDEX(Transactions!$G:$G,ROW()-8))</f>
      </c>
      <c r="F9893">
        <f>IF(INDEX(Transactions!$J:$J,ROW()-8)="",0,INDEX(Transactions!$O:$O,ROW()-8))</f>
      </c>
    </row>
    <row r="9894" spans="1:7">
      <c r="B9894">
        <f>IF(INDEX(Transactions!$J:$J,ROW()-8)="",TODAY(),INDEX(Transactions!$G:$G,ROW()-8))</f>
      </c>
      <c r="F9894">
        <f>IF(INDEX(Transactions!$J:$J,ROW()-8)="",0,INDEX(Transactions!$O:$O,ROW()-8))</f>
      </c>
    </row>
    <row r="9895" spans="1:7">
      <c r="B9895">
        <f>IF(INDEX(Transactions!$J:$J,ROW()-8)="",TODAY(),INDEX(Transactions!$G:$G,ROW()-8))</f>
      </c>
      <c r="F9895">
        <f>IF(INDEX(Transactions!$J:$J,ROW()-8)="",0,INDEX(Transactions!$O:$O,ROW()-8))</f>
      </c>
    </row>
    <row r="9896" spans="1:7">
      <c r="B9896">
        <f>IF(INDEX(Transactions!$J:$J,ROW()-8)="",TODAY(),INDEX(Transactions!$G:$G,ROW()-8))</f>
      </c>
      <c r="F9896">
        <f>IF(INDEX(Transactions!$J:$J,ROW()-8)="",0,INDEX(Transactions!$O:$O,ROW()-8))</f>
      </c>
    </row>
    <row r="9897" spans="1:7">
      <c r="B9897">
        <f>IF(INDEX(Transactions!$J:$J,ROW()-8)="",TODAY(),INDEX(Transactions!$G:$G,ROW()-8))</f>
      </c>
      <c r="F9897">
        <f>IF(INDEX(Transactions!$J:$J,ROW()-8)="",0,INDEX(Transactions!$O:$O,ROW()-8))</f>
      </c>
    </row>
    <row r="9898" spans="1:7">
      <c r="B9898">
        <f>IF(INDEX(Transactions!$J:$J,ROW()-8)="",TODAY(),INDEX(Transactions!$G:$G,ROW()-8))</f>
      </c>
      <c r="F9898">
        <f>IF(INDEX(Transactions!$J:$J,ROW()-8)="",0,INDEX(Transactions!$O:$O,ROW()-8))</f>
      </c>
    </row>
    <row r="9899" spans="1:7">
      <c r="B9899">
        <f>IF(INDEX(Transactions!$J:$J,ROW()-8)="",TODAY(),INDEX(Transactions!$G:$G,ROW()-8))</f>
      </c>
      <c r="F9899">
        <f>IF(INDEX(Transactions!$J:$J,ROW()-8)="",0,INDEX(Transactions!$O:$O,ROW()-8))</f>
      </c>
    </row>
    <row r="9900" spans="1:7">
      <c r="B9900">
        <f>IF(INDEX(Transactions!$J:$J,ROW()-8)="",TODAY(),INDEX(Transactions!$G:$G,ROW()-8))</f>
      </c>
      <c r="F9900">
        <f>IF(INDEX(Transactions!$J:$J,ROW()-8)="",0,INDEX(Transactions!$O:$O,ROW()-8))</f>
      </c>
    </row>
    <row r="9901" spans="1:7">
      <c r="B9901">
        <f>IF(INDEX(Transactions!$J:$J,ROW()-8)="",TODAY(),INDEX(Transactions!$G:$G,ROW()-8))</f>
      </c>
      <c r="F9901">
        <f>IF(INDEX(Transactions!$J:$J,ROW()-8)="",0,INDEX(Transactions!$O:$O,ROW()-8))</f>
      </c>
    </row>
    <row r="9902" spans="1:7">
      <c r="B9902">
        <f>IF(INDEX(Transactions!$J:$J,ROW()-8)="",TODAY(),INDEX(Transactions!$G:$G,ROW()-8))</f>
      </c>
      <c r="F9902">
        <f>IF(INDEX(Transactions!$J:$J,ROW()-8)="",0,INDEX(Transactions!$O:$O,ROW()-8))</f>
      </c>
    </row>
    <row r="9903" spans="1:7">
      <c r="B9903">
        <f>IF(INDEX(Transactions!$J:$J,ROW()-8)="",TODAY(),INDEX(Transactions!$G:$G,ROW()-8))</f>
      </c>
      <c r="F9903">
        <f>IF(INDEX(Transactions!$J:$J,ROW()-8)="",0,INDEX(Transactions!$O:$O,ROW()-8))</f>
      </c>
    </row>
    <row r="9904" spans="1:7">
      <c r="B9904">
        <f>IF(INDEX(Transactions!$J:$J,ROW()-8)="",TODAY(),INDEX(Transactions!$G:$G,ROW()-8))</f>
      </c>
      <c r="F9904">
        <f>IF(INDEX(Transactions!$J:$J,ROW()-8)="",0,INDEX(Transactions!$O:$O,ROW()-8))</f>
      </c>
    </row>
    <row r="9905" spans="1:7">
      <c r="B9905">
        <f>IF(INDEX(Transactions!$J:$J,ROW()-8)="",TODAY(),INDEX(Transactions!$G:$G,ROW()-8))</f>
      </c>
      <c r="F9905">
        <f>IF(INDEX(Transactions!$J:$J,ROW()-8)="",0,INDEX(Transactions!$O:$O,ROW()-8))</f>
      </c>
    </row>
    <row r="9906" spans="1:7">
      <c r="B9906">
        <f>IF(INDEX(Transactions!$J:$J,ROW()-8)="",TODAY(),INDEX(Transactions!$G:$G,ROW()-8))</f>
      </c>
      <c r="F9906">
        <f>IF(INDEX(Transactions!$J:$J,ROW()-8)="",0,INDEX(Transactions!$O:$O,ROW()-8))</f>
      </c>
    </row>
    <row r="9907" spans="1:7">
      <c r="B9907">
        <f>IF(INDEX(Transactions!$J:$J,ROW()-8)="",TODAY(),INDEX(Transactions!$G:$G,ROW()-8))</f>
      </c>
      <c r="F9907">
        <f>IF(INDEX(Transactions!$J:$J,ROW()-8)="",0,INDEX(Transactions!$O:$O,ROW()-8))</f>
      </c>
    </row>
    <row r="9908" spans="1:7">
      <c r="B9908">
        <f>IF(INDEX(Transactions!$J:$J,ROW()-8)="",TODAY(),INDEX(Transactions!$G:$G,ROW()-8))</f>
      </c>
      <c r="F9908">
        <f>IF(INDEX(Transactions!$J:$J,ROW()-8)="",0,INDEX(Transactions!$O:$O,ROW()-8))</f>
      </c>
    </row>
    <row r="9909" spans="1:7">
      <c r="B9909">
        <f>IF(INDEX(Transactions!$J:$J,ROW()-8)="",TODAY(),INDEX(Transactions!$G:$G,ROW()-8))</f>
      </c>
      <c r="F9909">
        <f>IF(INDEX(Transactions!$J:$J,ROW()-8)="",0,INDEX(Transactions!$O:$O,ROW()-8))</f>
      </c>
    </row>
    <row r="9910" spans="1:7">
      <c r="B9910">
        <f>IF(INDEX(Transactions!$J:$J,ROW()-8)="",TODAY(),INDEX(Transactions!$G:$G,ROW()-8))</f>
      </c>
      <c r="F9910">
        <f>IF(INDEX(Transactions!$J:$J,ROW()-8)="",0,INDEX(Transactions!$O:$O,ROW()-8))</f>
      </c>
    </row>
    <row r="9911" spans="1:7">
      <c r="B9911">
        <f>IF(INDEX(Transactions!$J:$J,ROW()-8)="",TODAY(),INDEX(Transactions!$G:$G,ROW()-8))</f>
      </c>
      <c r="F9911">
        <f>IF(INDEX(Transactions!$J:$J,ROW()-8)="",0,INDEX(Transactions!$O:$O,ROW()-8))</f>
      </c>
    </row>
    <row r="9912" spans="1:7">
      <c r="B9912">
        <f>IF(INDEX(Transactions!$J:$J,ROW()-8)="",TODAY(),INDEX(Transactions!$G:$G,ROW()-8))</f>
      </c>
      <c r="F9912">
        <f>IF(INDEX(Transactions!$J:$J,ROW()-8)="",0,INDEX(Transactions!$O:$O,ROW()-8))</f>
      </c>
    </row>
    <row r="9913" spans="1:7">
      <c r="B9913">
        <f>IF(INDEX(Transactions!$J:$J,ROW()-8)="",TODAY(),INDEX(Transactions!$G:$G,ROW()-8))</f>
      </c>
      <c r="F9913">
        <f>IF(INDEX(Transactions!$J:$J,ROW()-8)="",0,INDEX(Transactions!$O:$O,ROW()-8))</f>
      </c>
    </row>
    <row r="9914" spans="1:7">
      <c r="B9914">
        <f>IF(INDEX(Transactions!$J:$J,ROW()-8)="",TODAY(),INDEX(Transactions!$G:$G,ROW()-8))</f>
      </c>
      <c r="F9914">
        <f>IF(INDEX(Transactions!$J:$J,ROW()-8)="",0,INDEX(Transactions!$O:$O,ROW()-8))</f>
      </c>
    </row>
    <row r="9915" spans="1:7">
      <c r="B9915">
        <f>IF(INDEX(Transactions!$J:$J,ROW()-8)="",TODAY(),INDEX(Transactions!$G:$G,ROW()-8))</f>
      </c>
      <c r="F9915">
        <f>IF(INDEX(Transactions!$J:$J,ROW()-8)="",0,INDEX(Transactions!$O:$O,ROW()-8))</f>
      </c>
    </row>
    <row r="9916" spans="1:7">
      <c r="B9916">
        <f>IF(INDEX(Transactions!$J:$J,ROW()-8)="",TODAY(),INDEX(Transactions!$G:$G,ROW()-8))</f>
      </c>
      <c r="F9916">
        <f>IF(INDEX(Transactions!$J:$J,ROW()-8)="",0,INDEX(Transactions!$O:$O,ROW()-8))</f>
      </c>
    </row>
    <row r="9917" spans="1:7">
      <c r="B9917">
        <f>IF(INDEX(Transactions!$J:$J,ROW()-8)="",TODAY(),INDEX(Transactions!$G:$G,ROW()-8))</f>
      </c>
      <c r="F9917">
        <f>IF(INDEX(Transactions!$J:$J,ROW()-8)="",0,INDEX(Transactions!$O:$O,ROW()-8))</f>
      </c>
    </row>
    <row r="9918" spans="1:7">
      <c r="B9918">
        <f>IF(INDEX(Transactions!$J:$J,ROW()-8)="",TODAY(),INDEX(Transactions!$G:$G,ROW()-8))</f>
      </c>
      <c r="F9918">
        <f>IF(INDEX(Transactions!$J:$J,ROW()-8)="",0,INDEX(Transactions!$O:$O,ROW()-8))</f>
      </c>
    </row>
    <row r="9919" spans="1:7">
      <c r="B9919">
        <f>IF(INDEX(Transactions!$J:$J,ROW()-8)="",TODAY(),INDEX(Transactions!$G:$G,ROW()-8))</f>
      </c>
      <c r="F9919">
        <f>IF(INDEX(Transactions!$J:$J,ROW()-8)="",0,INDEX(Transactions!$O:$O,ROW()-8))</f>
      </c>
    </row>
    <row r="9920" spans="1:7">
      <c r="B9920">
        <f>IF(INDEX(Transactions!$J:$J,ROW()-8)="",TODAY(),INDEX(Transactions!$G:$G,ROW()-8))</f>
      </c>
      <c r="F9920">
        <f>IF(INDEX(Transactions!$J:$J,ROW()-8)="",0,INDEX(Transactions!$O:$O,ROW()-8))</f>
      </c>
    </row>
    <row r="9921" spans="1:7">
      <c r="B9921">
        <f>IF(INDEX(Transactions!$J:$J,ROW()-8)="",TODAY(),INDEX(Transactions!$G:$G,ROW()-8))</f>
      </c>
      <c r="F9921">
        <f>IF(INDEX(Transactions!$J:$J,ROW()-8)="",0,INDEX(Transactions!$O:$O,ROW()-8))</f>
      </c>
    </row>
    <row r="9922" spans="1:7">
      <c r="B9922">
        <f>IF(INDEX(Transactions!$J:$J,ROW()-8)="",TODAY(),INDEX(Transactions!$G:$G,ROW()-8))</f>
      </c>
      <c r="F9922">
        <f>IF(INDEX(Transactions!$J:$J,ROW()-8)="",0,INDEX(Transactions!$O:$O,ROW()-8))</f>
      </c>
    </row>
    <row r="9923" spans="1:7">
      <c r="B9923">
        <f>IF(INDEX(Transactions!$J:$J,ROW()-8)="",TODAY(),INDEX(Transactions!$G:$G,ROW()-8))</f>
      </c>
      <c r="F9923">
        <f>IF(INDEX(Transactions!$J:$J,ROW()-8)="",0,INDEX(Transactions!$O:$O,ROW()-8))</f>
      </c>
    </row>
    <row r="9924" spans="1:7">
      <c r="B9924">
        <f>IF(INDEX(Transactions!$J:$J,ROW()-8)="",TODAY(),INDEX(Transactions!$G:$G,ROW()-8))</f>
      </c>
      <c r="F9924">
        <f>IF(INDEX(Transactions!$J:$J,ROW()-8)="",0,INDEX(Transactions!$O:$O,ROW()-8))</f>
      </c>
    </row>
    <row r="9925" spans="1:7">
      <c r="B9925">
        <f>IF(INDEX(Transactions!$J:$J,ROW()-8)="",TODAY(),INDEX(Transactions!$G:$G,ROW()-8))</f>
      </c>
      <c r="F9925">
        <f>IF(INDEX(Transactions!$J:$J,ROW()-8)="",0,INDEX(Transactions!$O:$O,ROW()-8))</f>
      </c>
    </row>
    <row r="9926" spans="1:7">
      <c r="B9926">
        <f>IF(INDEX(Transactions!$J:$J,ROW()-8)="",TODAY(),INDEX(Transactions!$G:$G,ROW()-8))</f>
      </c>
      <c r="F9926">
        <f>IF(INDEX(Transactions!$J:$J,ROW()-8)="",0,INDEX(Transactions!$O:$O,ROW()-8))</f>
      </c>
    </row>
    <row r="9927" spans="1:7">
      <c r="B9927">
        <f>IF(INDEX(Transactions!$J:$J,ROW()-8)="",TODAY(),INDEX(Transactions!$G:$G,ROW()-8))</f>
      </c>
      <c r="F9927">
        <f>IF(INDEX(Transactions!$J:$J,ROW()-8)="",0,INDEX(Transactions!$O:$O,ROW()-8))</f>
      </c>
    </row>
    <row r="9928" spans="1:7">
      <c r="B9928">
        <f>IF(INDEX(Transactions!$J:$J,ROW()-8)="",TODAY(),INDEX(Transactions!$G:$G,ROW()-8))</f>
      </c>
      <c r="F9928">
        <f>IF(INDEX(Transactions!$J:$J,ROW()-8)="",0,INDEX(Transactions!$O:$O,ROW()-8))</f>
      </c>
    </row>
    <row r="9929" spans="1:7">
      <c r="B9929">
        <f>IF(INDEX(Transactions!$J:$J,ROW()-8)="",TODAY(),INDEX(Transactions!$G:$G,ROW()-8))</f>
      </c>
      <c r="F9929">
        <f>IF(INDEX(Transactions!$J:$J,ROW()-8)="",0,INDEX(Transactions!$O:$O,ROW()-8))</f>
      </c>
    </row>
    <row r="9930" spans="1:7">
      <c r="B9930">
        <f>IF(INDEX(Transactions!$J:$J,ROW()-8)="",TODAY(),INDEX(Transactions!$G:$G,ROW()-8))</f>
      </c>
      <c r="F9930">
        <f>IF(INDEX(Transactions!$J:$J,ROW()-8)="",0,INDEX(Transactions!$O:$O,ROW()-8))</f>
      </c>
    </row>
    <row r="9931" spans="1:7">
      <c r="B9931">
        <f>IF(INDEX(Transactions!$J:$J,ROW()-8)="",TODAY(),INDEX(Transactions!$G:$G,ROW()-8))</f>
      </c>
      <c r="F9931">
        <f>IF(INDEX(Transactions!$J:$J,ROW()-8)="",0,INDEX(Transactions!$O:$O,ROW()-8))</f>
      </c>
    </row>
    <row r="9932" spans="1:7">
      <c r="B9932">
        <f>IF(INDEX(Transactions!$J:$J,ROW()-8)="",TODAY(),INDEX(Transactions!$G:$G,ROW()-8))</f>
      </c>
      <c r="F9932">
        <f>IF(INDEX(Transactions!$J:$J,ROW()-8)="",0,INDEX(Transactions!$O:$O,ROW()-8))</f>
      </c>
    </row>
    <row r="9933" spans="1:7">
      <c r="B9933">
        <f>IF(INDEX(Transactions!$J:$J,ROW()-8)="",TODAY(),INDEX(Transactions!$G:$G,ROW()-8))</f>
      </c>
      <c r="F9933">
        <f>IF(INDEX(Transactions!$J:$J,ROW()-8)="",0,INDEX(Transactions!$O:$O,ROW()-8))</f>
      </c>
    </row>
    <row r="9934" spans="1:7">
      <c r="B9934">
        <f>IF(INDEX(Transactions!$J:$J,ROW()-8)="",TODAY(),INDEX(Transactions!$G:$G,ROW()-8))</f>
      </c>
      <c r="F9934">
        <f>IF(INDEX(Transactions!$J:$J,ROW()-8)="",0,INDEX(Transactions!$O:$O,ROW()-8))</f>
      </c>
    </row>
    <row r="9935" spans="1:7">
      <c r="B9935">
        <f>IF(INDEX(Transactions!$J:$J,ROW()-8)="",TODAY(),INDEX(Transactions!$G:$G,ROW()-8))</f>
      </c>
      <c r="F9935">
        <f>IF(INDEX(Transactions!$J:$J,ROW()-8)="",0,INDEX(Transactions!$O:$O,ROW()-8))</f>
      </c>
    </row>
    <row r="9936" spans="1:7">
      <c r="B9936">
        <f>IF(INDEX(Transactions!$J:$J,ROW()-8)="",TODAY(),INDEX(Transactions!$G:$G,ROW()-8))</f>
      </c>
      <c r="F9936">
        <f>IF(INDEX(Transactions!$J:$J,ROW()-8)="",0,INDEX(Transactions!$O:$O,ROW()-8))</f>
      </c>
    </row>
    <row r="9937" spans="1:7">
      <c r="B9937">
        <f>IF(INDEX(Transactions!$J:$J,ROW()-8)="",TODAY(),INDEX(Transactions!$G:$G,ROW()-8))</f>
      </c>
      <c r="F9937">
        <f>IF(INDEX(Transactions!$J:$J,ROW()-8)="",0,INDEX(Transactions!$O:$O,ROW()-8))</f>
      </c>
    </row>
    <row r="9938" spans="1:7">
      <c r="B9938">
        <f>IF(INDEX(Transactions!$J:$J,ROW()-8)="",TODAY(),INDEX(Transactions!$G:$G,ROW()-8))</f>
      </c>
      <c r="F9938">
        <f>IF(INDEX(Transactions!$J:$J,ROW()-8)="",0,INDEX(Transactions!$O:$O,ROW()-8))</f>
      </c>
    </row>
    <row r="9939" spans="1:7">
      <c r="B9939">
        <f>IF(INDEX(Transactions!$J:$J,ROW()-8)="",TODAY(),INDEX(Transactions!$G:$G,ROW()-8))</f>
      </c>
      <c r="F9939">
        <f>IF(INDEX(Transactions!$J:$J,ROW()-8)="",0,INDEX(Transactions!$O:$O,ROW()-8))</f>
      </c>
    </row>
    <row r="9940" spans="1:7">
      <c r="B9940">
        <f>IF(INDEX(Transactions!$J:$J,ROW()-8)="",TODAY(),INDEX(Transactions!$G:$G,ROW()-8))</f>
      </c>
      <c r="F9940">
        <f>IF(INDEX(Transactions!$J:$J,ROW()-8)="",0,INDEX(Transactions!$O:$O,ROW()-8))</f>
      </c>
    </row>
    <row r="9941" spans="1:7">
      <c r="B9941">
        <f>IF(INDEX(Transactions!$J:$J,ROW()-8)="",TODAY(),INDEX(Transactions!$G:$G,ROW()-8))</f>
      </c>
      <c r="F9941">
        <f>IF(INDEX(Transactions!$J:$J,ROW()-8)="",0,INDEX(Transactions!$O:$O,ROW()-8))</f>
      </c>
    </row>
    <row r="9942" spans="1:7">
      <c r="B9942">
        <f>IF(INDEX(Transactions!$J:$J,ROW()-8)="",TODAY(),INDEX(Transactions!$G:$G,ROW()-8))</f>
      </c>
      <c r="F9942">
        <f>IF(INDEX(Transactions!$J:$J,ROW()-8)="",0,INDEX(Transactions!$O:$O,ROW()-8))</f>
      </c>
    </row>
    <row r="9943" spans="1:7">
      <c r="B9943">
        <f>IF(INDEX(Transactions!$J:$J,ROW()-8)="",TODAY(),INDEX(Transactions!$G:$G,ROW()-8))</f>
      </c>
      <c r="F9943">
        <f>IF(INDEX(Transactions!$J:$J,ROW()-8)="",0,INDEX(Transactions!$O:$O,ROW()-8))</f>
      </c>
    </row>
    <row r="9944" spans="1:7">
      <c r="B9944">
        <f>IF(INDEX(Transactions!$J:$J,ROW()-8)="",TODAY(),INDEX(Transactions!$G:$G,ROW()-8))</f>
      </c>
      <c r="F9944">
        <f>IF(INDEX(Transactions!$J:$J,ROW()-8)="",0,INDEX(Transactions!$O:$O,ROW()-8))</f>
      </c>
    </row>
    <row r="9945" spans="1:7">
      <c r="B9945">
        <f>IF(INDEX(Transactions!$J:$J,ROW()-8)="",TODAY(),INDEX(Transactions!$G:$G,ROW()-8))</f>
      </c>
      <c r="F9945">
        <f>IF(INDEX(Transactions!$J:$J,ROW()-8)="",0,INDEX(Transactions!$O:$O,ROW()-8))</f>
      </c>
    </row>
    <row r="9946" spans="1:7">
      <c r="B9946">
        <f>IF(INDEX(Transactions!$J:$J,ROW()-8)="",TODAY(),INDEX(Transactions!$G:$G,ROW()-8))</f>
      </c>
      <c r="F9946">
        <f>IF(INDEX(Transactions!$J:$J,ROW()-8)="",0,INDEX(Transactions!$O:$O,ROW()-8))</f>
      </c>
    </row>
    <row r="9947" spans="1:7">
      <c r="B9947">
        <f>IF(INDEX(Transactions!$J:$J,ROW()-8)="",TODAY(),INDEX(Transactions!$G:$G,ROW()-8))</f>
      </c>
      <c r="F9947">
        <f>IF(INDEX(Transactions!$J:$J,ROW()-8)="",0,INDEX(Transactions!$O:$O,ROW()-8))</f>
      </c>
    </row>
    <row r="9948" spans="1:7">
      <c r="B9948">
        <f>IF(INDEX(Transactions!$J:$J,ROW()-8)="",TODAY(),INDEX(Transactions!$G:$G,ROW()-8))</f>
      </c>
      <c r="F9948">
        <f>IF(INDEX(Transactions!$J:$J,ROW()-8)="",0,INDEX(Transactions!$O:$O,ROW()-8))</f>
      </c>
    </row>
    <row r="9949" spans="1:7">
      <c r="B9949">
        <f>IF(INDEX(Transactions!$J:$J,ROW()-8)="",TODAY(),INDEX(Transactions!$G:$G,ROW()-8))</f>
      </c>
      <c r="F9949">
        <f>IF(INDEX(Transactions!$J:$J,ROW()-8)="",0,INDEX(Transactions!$O:$O,ROW()-8))</f>
      </c>
    </row>
    <row r="9950" spans="1:7">
      <c r="B9950">
        <f>IF(INDEX(Transactions!$J:$J,ROW()-8)="",TODAY(),INDEX(Transactions!$G:$G,ROW()-8))</f>
      </c>
      <c r="F9950">
        <f>IF(INDEX(Transactions!$J:$J,ROW()-8)="",0,INDEX(Transactions!$O:$O,ROW()-8))</f>
      </c>
    </row>
    <row r="9951" spans="1:7">
      <c r="B9951">
        <f>IF(INDEX(Transactions!$J:$J,ROW()-8)="",TODAY(),INDEX(Transactions!$G:$G,ROW()-8))</f>
      </c>
      <c r="F9951">
        <f>IF(INDEX(Transactions!$J:$J,ROW()-8)="",0,INDEX(Transactions!$O:$O,ROW()-8))</f>
      </c>
    </row>
    <row r="9952" spans="1:7">
      <c r="B9952">
        <f>IF(INDEX(Transactions!$J:$J,ROW()-8)="",TODAY(),INDEX(Transactions!$G:$G,ROW()-8))</f>
      </c>
      <c r="F9952">
        <f>IF(INDEX(Transactions!$J:$J,ROW()-8)="",0,INDEX(Transactions!$O:$O,ROW()-8))</f>
      </c>
    </row>
    <row r="9953" spans="1:7">
      <c r="B9953">
        <f>IF(INDEX(Transactions!$J:$J,ROW()-8)="",TODAY(),INDEX(Transactions!$G:$G,ROW()-8))</f>
      </c>
      <c r="F9953">
        <f>IF(INDEX(Transactions!$J:$J,ROW()-8)="",0,INDEX(Transactions!$O:$O,ROW()-8))</f>
      </c>
    </row>
    <row r="9954" spans="1:7">
      <c r="B9954">
        <f>IF(INDEX(Transactions!$J:$J,ROW()-8)="",TODAY(),INDEX(Transactions!$G:$G,ROW()-8))</f>
      </c>
      <c r="F9954">
        <f>IF(INDEX(Transactions!$J:$J,ROW()-8)="",0,INDEX(Transactions!$O:$O,ROW()-8))</f>
      </c>
    </row>
    <row r="9955" spans="1:7">
      <c r="B9955">
        <f>IF(INDEX(Transactions!$J:$J,ROW()-8)="",TODAY(),INDEX(Transactions!$G:$G,ROW()-8))</f>
      </c>
      <c r="F9955">
        <f>IF(INDEX(Transactions!$J:$J,ROW()-8)="",0,INDEX(Transactions!$O:$O,ROW()-8))</f>
      </c>
    </row>
    <row r="9956" spans="1:7">
      <c r="B9956">
        <f>IF(INDEX(Transactions!$J:$J,ROW()-8)="",TODAY(),INDEX(Transactions!$G:$G,ROW()-8))</f>
      </c>
      <c r="F9956">
        <f>IF(INDEX(Transactions!$J:$J,ROW()-8)="",0,INDEX(Transactions!$O:$O,ROW()-8))</f>
      </c>
    </row>
    <row r="9957" spans="1:7">
      <c r="B9957">
        <f>IF(INDEX(Transactions!$J:$J,ROW()-8)="",TODAY(),INDEX(Transactions!$G:$G,ROW()-8))</f>
      </c>
      <c r="F9957">
        <f>IF(INDEX(Transactions!$J:$J,ROW()-8)="",0,INDEX(Transactions!$O:$O,ROW()-8))</f>
      </c>
    </row>
    <row r="9958" spans="1:7">
      <c r="B9958">
        <f>IF(INDEX(Transactions!$J:$J,ROW()-8)="",TODAY(),INDEX(Transactions!$G:$G,ROW()-8))</f>
      </c>
      <c r="F9958">
        <f>IF(INDEX(Transactions!$J:$J,ROW()-8)="",0,INDEX(Transactions!$O:$O,ROW()-8))</f>
      </c>
    </row>
    <row r="9959" spans="1:7">
      <c r="B9959">
        <f>IF(INDEX(Transactions!$J:$J,ROW()-8)="",TODAY(),INDEX(Transactions!$G:$G,ROW()-8))</f>
      </c>
      <c r="F9959">
        <f>IF(INDEX(Transactions!$J:$J,ROW()-8)="",0,INDEX(Transactions!$O:$O,ROW()-8))</f>
      </c>
    </row>
    <row r="9960" spans="1:7">
      <c r="B9960">
        <f>IF(INDEX(Transactions!$J:$J,ROW()-8)="",TODAY(),INDEX(Transactions!$G:$G,ROW()-8))</f>
      </c>
      <c r="F9960">
        <f>IF(INDEX(Transactions!$J:$J,ROW()-8)="",0,INDEX(Transactions!$O:$O,ROW()-8))</f>
      </c>
    </row>
    <row r="9961" spans="1:7">
      <c r="B9961">
        <f>IF(INDEX(Transactions!$J:$J,ROW()-8)="",TODAY(),INDEX(Transactions!$G:$G,ROW()-8))</f>
      </c>
      <c r="F9961">
        <f>IF(INDEX(Transactions!$J:$J,ROW()-8)="",0,INDEX(Transactions!$O:$O,ROW()-8))</f>
      </c>
    </row>
    <row r="9962" spans="1:7">
      <c r="B9962">
        <f>IF(INDEX(Transactions!$J:$J,ROW()-8)="",TODAY(),INDEX(Transactions!$G:$G,ROW()-8))</f>
      </c>
      <c r="F9962">
        <f>IF(INDEX(Transactions!$J:$J,ROW()-8)="",0,INDEX(Transactions!$O:$O,ROW()-8))</f>
      </c>
    </row>
    <row r="9963" spans="1:7">
      <c r="B9963">
        <f>IF(INDEX(Transactions!$J:$J,ROW()-8)="",TODAY(),INDEX(Transactions!$G:$G,ROW()-8))</f>
      </c>
      <c r="F9963">
        <f>IF(INDEX(Transactions!$J:$J,ROW()-8)="",0,INDEX(Transactions!$O:$O,ROW()-8))</f>
      </c>
    </row>
    <row r="9964" spans="1:7">
      <c r="B9964">
        <f>IF(INDEX(Transactions!$J:$J,ROW()-8)="",TODAY(),INDEX(Transactions!$G:$G,ROW()-8))</f>
      </c>
      <c r="F9964">
        <f>IF(INDEX(Transactions!$J:$J,ROW()-8)="",0,INDEX(Transactions!$O:$O,ROW()-8))</f>
      </c>
    </row>
    <row r="9965" spans="1:7">
      <c r="B9965">
        <f>IF(INDEX(Transactions!$J:$J,ROW()-8)="",TODAY(),INDEX(Transactions!$G:$G,ROW()-8))</f>
      </c>
      <c r="F9965">
        <f>IF(INDEX(Transactions!$J:$J,ROW()-8)="",0,INDEX(Transactions!$O:$O,ROW()-8))</f>
      </c>
    </row>
    <row r="9966" spans="1:7">
      <c r="B9966">
        <f>IF(INDEX(Transactions!$J:$J,ROW()-8)="",TODAY(),INDEX(Transactions!$G:$G,ROW()-8))</f>
      </c>
      <c r="F9966">
        <f>IF(INDEX(Transactions!$J:$J,ROW()-8)="",0,INDEX(Transactions!$O:$O,ROW()-8))</f>
      </c>
    </row>
    <row r="9967" spans="1:7">
      <c r="B9967">
        <f>IF(INDEX(Transactions!$J:$J,ROW()-8)="",TODAY(),INDEX(Transactions!$G:$G,ROW()-8))</f>
      </c>
      <c r="F9967">
        <f>IF(INDEX(Transactions!$J:$J,ROW()-8)="",0,INDEX(Transactions!$O:$O,ROW()-8))</f>
      </c>
    </row>
    <row r="9968" spans="1:7">
      <c r="B9968">
        <f>IF(INDEX(Transactions!$J:$J,ROW()-8)="",TODAY(),INDEX(Transactions!$G:$G,ROW()-8))</f>
      </c>
      <c r="F9968">
        <f>IF(INDEX(Transactions!$J:$J,ROW()-8)="",0,INDEX(Transactions!$O:$O,ROW()-8))</f>
      </c>
    </row>
    <row r="9969" spans="1:7">
      <c r="B9969">
        <f>IF(INDEX(Transactions!$J:$J,ROW()-8)="",TODAY(),INDEX(Transactions!$G:$G,ROW()-8))</f>
      </c>
      <c r="F9969">
        <f>IF(INDEX(Transactions!$J:$J,ROW()-8)="",0,INDEX(Transactions!$O:$O,ROW()-8))</f>
      </c>
    </row>
    <row r="9970" spans="1:7">
      <c r="B9970">
        <f>IF(INDEX(Transactions!$J:$J,ROW()-8)="",TODAY(),INDEX(Transactions!$G:$G,ROW()-8))</f>
      </c>
      <c r="F9970">
        <f>IF(INDEX(Transactions!$J:$J,ROW()-8)="",0,INDEX(Transactions!$O:$O,ROW()-8))</f>
      </c>
    </row>
    <row r="9971" spans="1:7">
      <c r="B9971">
        <f>IF(INDEX(Transactions!$J:$J,ROW()-8)="",TODAY(),INDEX(Transactions!$G:$G,ROW()-8))</f>
      </c>
      <c r="F9971">
        <f>IF(INDEX(Transactions!$J:$J,ROW()-8)="",0,INDEX(Transactions!$O:$O,ROW()-8))</f>
      </c>
    </row>
    <row r="9972" spans="1:7">
      <c r="B9972">
        <f>IF(INDEX(Transactions!$J:$J,ROW()-8)="",TODAY(),INDEX(Transactions!$G:$G,ROW()-8))</f>
      </c>
      <c r="F9972">
        <f>IF(INDEX(Transactions!$J:$J,ROW()-8)="",0,INDEX(Transactions!$O:$O,ROW()-8))</f>
      </c>
    </row>
    <row r="9973" spans="1:7">
      <c r="B9973">
        <f>IF(INDEX(Transactions!$J:$J,ROW()-8)="",TODAY(),INDEX(Transactions!$G:$G,ROW()-8))</f>
      </c>
      <c r="F9973">
        <f>IF(INDEX(Transactions!$J:$J,ROW()-8)="",0,INDEX(Transactions!$O:$O,ROW()-8))</f>
      </c>
    </row>
    <row r="9974" spans="1:7">
      <c r="B9974">
        <f>IF(INDEX(Transactions!$J:$J,ROW()-8)="",TODAY(),INDEX(Transactions!$G:$G,ROW()-8))</f>
      </c>
      <c r="F9974">
        <f>IF(INDEX(Transactions!$J:$J,ROW()-8)="",0,INDEX(Transactions!$O:$O,ROW()-8))</f>
      </c>
    </row>
    <row r="9975" spans="1:7">
      <c r="B9975">
        <f>IF(INDEX(Transactions!$J:$J,ROW()-8)="",TODAY(),INDEX(Transactions!$G:$G,ROW()-8))</f>
      </c>
      <c r="F9975">
        <f>IF(INDEX(Transactions!$J:$J,ROW()-8)="",0,INDEX(Transactions!$O:$O,ROW()-8))</f>
      </c>
    </row>
    <row r="9976" spans="1:7">
      <c r="B9976">
        <f>IF(INDEX(Transactions!$J:$J,ROW()-8)="",TODAY(),INDEX(Transactions!$G:$G,ROW()-8))</f>
      </c>
      <c r="F9976">
        <f>IF(INDEX(Transactions!$J:$J,ROW()-8)="",0,INDEX(Transactions!$O:$O,ROW()-8))</f>
      </c>
    </row>
    <row r="9977" spans="1:7">
      <c r="B9977">
        <f>IF(INDEX(Transactions!$J:$J,ROW()-8)="",TODAY(),INDEX(Transactions!$G:$G,ROW()-8))</f>
      </c>
      <c r="F9977">
        <f>IF(INDEX(Transactions!$J:$J,ROW()-8)="",0,INDEX(Transactions!$O:$O,ROW()-8))</f>
      </c>
    </row>
    <row r="9978" spans="1:7">
      <c r="B9978">
        <f>IF(INDEX(Transactions!$J:$J,ROW()-8)="",TODAY(),INDEX(Transactions!$G:$G,ROW()-8))</f>
      </c>
      <c r="F9978">
        <f>IF(INDEX(Transactions!$J:$J,ROW()-8)="",0,INDEX(Transactions!$O:$O,ROW()-8))</f>
      </c>
    </row>
    <row r="9979" spans="1:7">
      <c r="B9979">
        <f>IF(INDEX(Transactions!$J:$J,ROW()-8)="",TODAY(),INDEX(Transactions!$G:$G,ROW()-8))</f>
      </c>
      <c r="F9979">
        <f>IF(INDEX(Transactions!$J:$J,ROW()-8)="",0,INDEX(Transactions!$O:$O,ROW()-8))</f>
      </c>
    </row>
    <row r="9980" spans="1:7">
      <c r="B9980">
        <f>IF(INDEX(Transactions!$J:$J,ROW()-8)="",TODAY(),INDEX(Transactions!$G:$G,ROW()-8))</f>
      </c>
      <c r="F9980">
        <f>IF(INDEX(Transactions!$J:$J,ROW()-8)="",0,INDEX(Transactions!$O:$O,ROW()-8))</f>
      </c>
    </row>
    <row r="9981" spans="1:7">
      <c r="B9981">
        <f>IF(INDEX(Transactions!$J:$J,ROW()-8)="",TODAY(),INDEX(Transactions!$G:$G,ROW()-8))</f>
      </c>
      <c r="F9981">
        <f>IF(INDEX(Transactions!$J:$J,ROW()-8)="",0,INDEX(Transactions!$O:$O,ROW()-8))</f>
      </c>
    </row>
    <row r="9982" spans="1:7">
      <c r="B9982">
        <f>IF(INDEX(Transactions!$J:$J,ROW()-8)="",TODAY(),INDEX(Transactions!$G:$G,ROW()-8))</f>
      </c>
      <c r="F9982">
        <f>IF(INDEX(Transactions!$J:$J,ROW()-8)="",0,INDEX(Transactions!$O:$O,ROW()-8))</f>
      </c>
    </row>
    <row r="9983" spans="1:7">
      <c r="B9983">
        <f>IF(INDEX(Transactions!$J:$J,ROW()-8)="",TODAY(),INDEX(Transactions!$G:$G,ROW()-8))</f>
      </c>
      <c r="F9983">
        <f>IF(INDEX(Transactions!$J:$J,ROW()-8)="",0,INDEX(Transactions!$O:$O,ROW()-8))</f>
      </c>
    </row>
    <row r="9984" spans="1:7">
      <c r="B9984">
        <f>IF(INDEX(Transactions!$J:$J,ROW()-8)="",TODAY(),INDEX(Transactions!$G:$G,ROW()-8))</f>
      </c>
      <c r="F9984">
        <f>IF(INDEX(Transactions!$J:$J,ROW()-8)="",0,INDEX(Transactions!$O:$O,ROW()-8))</f>
      </c>
    </row>
    <row r="9985" spans="1:7">
      <c r="B9985">
        <f>IF(INDEX(Transactions!$J:$J,ROW()-8)="",TODAY(),INDEX(Transactions!$G:$G,ROW()-8))</f>
      </c>
      <c r="F9985">
        <f>IF(INDEX(Transactions!$J:$J,ROW()-8)="",0,INDEX(Transactions!$O:$O,ROW()-8))</f>
      </c>
    </row>
    <row r="9986" spans="1:7">
      <c r="B9986">
        <f>IF(INDEX(Transactions!$J:$J,ROW()-8)="",TODAY(),INDEX(Transactions!$G:$G,ROW()-8))</f>
      </c>
      <c r="F9986">
        <f>IF(INDEX(Transactions!$J:$J,ROW()-8)="",0,INDEX(Transactions!$O:$O,ROW()-8))</f>
      </c>
    </row>
    <row r="9987" spans="1:7">
      <c r="B9987">
        <f>IF(INDEX(Transactions!$J:$J,ROW()-8)="",TODAY(),INDEX(Transactions!$G:$G,ROW()-8))</f>
      </c>
      <c r="F9987">
        <f>IF(INDEX(Transactions!$J:$J,ROW()-8)="",0,INDEX(Transactions!$O:$O,ROW()-8))</f>
      </c>
    </row>
    <row r="9988" spans="1:7">
      <c r="B9988">
        <f>IF(INDEX(Transactions!$J:$J,ROW()-8)="",TODAY(),INDEX(Transactions!$G:$G,ROW()-8))</f>
      </c>
      <c r="F9988">
        <f>IF(INDEX(Transactions!$J:$J,ROW()-8)="",0,INDEX(Transactions!$O:$O,ROW()-8))</f>
      </c>
    </row>
    <row r="9989" spans="1:7">
      <c r="B9989">
        <f>IF(INDEX(Transactions!$J:$J,ROW()-8)="",TODAY(),INDEX(Transactions!$G:$G,ROW()-8))</f>
      </c>
      <c r="F9989">
        <f>IF(INDEX(Transactions!$J:$J,ROW()-8)="",0,INDEX(Transactions!$O:$O,ROW()-8))</f>
      </c>
    </row>
    <row r="9990" spans="1:7">
      <c r="B9990">
        <f>IF(INDEX(Transactions!$J:$J,ROW()-8)="",TODAY(),INDEX(Transactions!$G:$G,ROW()-8))</f>
      </c>
      <c r="F9990">
        <f>IF(INDEX(Transactions!$J:$J,ROW()-8)="",0,INDEX(Transactions!$O:$O,ROW()-8))</f>
      </c>
    </row>
    <row r="9991" spans="1:7">
      <c r="B9991">
        <f>IF(INDEX(Transactions!$J:$J,ROW()-8)="",TODAY(),INDEX(Transactions!$G:$G,ROW()-8))</f>
      </c>
      <c r="F9991">
        <f>IF(INDEX(Transactions!$J:$J,ROW()-8)="",0,INDEX(Transactions!$O:$O,ROW()-8))</f>
      </c>
    </row>
    <row r="9992" spans="1:7">
      <c r="B9992">
        <f>IF(INDEX(Transactions!$J:$J,ROW()-8)="",TODAY(),INDEX(Transactions!$G:$G,ROW()-8))</f>
      </c>
      <c r="F9992">
        <f>IF(INDEX(Transactions!$J:$J,ROW()-8)="",0,INDEX(Transactions!$O:$O,ROW()-8))</f>
      </c>
    </row>
    <row r="9993" spans="1:7">
      <c r="B9993">
        <f>IF(INDEX(Transactions!$J:$J,ROW()-8)="",TODAY(),INDEX(Transactions!$G:$G,ROW()-8))</f>
      </c>
      <c r="F9993">
        <f>IF(INDEX(Transactions!$J:$J,ROW()-8)="",0,INDEX(Transactions!$O:$O,ROW()-8))</f>
      </c>
    </row>
    <row r="9994" spans="1:7">
      <c r="B9994">
        <f>IF(INDEX(Transactions!$J:$J,ROW()-8)="",TODAY(),INDEX(Transactions!$G:$G,ROW()-8))</f>
      </c>
      <c r="F9994">
        <f>IF(INDEX(Transactions!$J:$J,ROW()-8)="",0,INDEX(Transactions!$O:$O,ROW()-8))</f>
      </c>
    </row>
    <row r="9995" spans="1:7">
      <c r="B9995">
        <f>IF(INDEX(Transactions!$J:$J,ROW()-8)="",TODAY(),INDEX(Transactions!$G:$G,ROW()-8))</f>
      </c>
      <c r="F9995">
        <f>IF(INDEX(Transactions!$J:$J,ROW()-8)="",0,INDEX(Transactions!$O:$O,ROW()-8))</f>
      </c>
    </row>
    <row r="9996" spans="1:7">
      <c r="B9996">
        <f>IF(INDEX(Transactions!$J:$J,ROW()-8)="",TODAY(),INDEX(Transactions!$G:$G,ROW()-8))</f>
      </c>
      <c r="F9996">
        <f>IF(INDEX(Transactions!$J:$J,ROW()-8)="",0,INDEX(Transactions!$O:$O,ROW()-8))</f>
      </c>
    </row>
    <row r="9997" spans="1:7">
      <c r="B9997">
        <f>IF(INDEX(Transactions!$J:$J,ROW()-8)="",TODAY(),INDEX(Transactions!$G:$G,ROW()-8))</f>
      </c>
      <c r="F9997">
        <f>IF(INDEX(Transactions!$J:$J,ROW()-8)="",0,INDEX(Transactions!$O:$O,ROW()-8))</f>
      </c>
    </row>
    <row r="9998" spans="1:7">
      <c r="B9998">
        <f>IF(INDEX(Transactions!$J:$J,ROW()-8)="",TODAY(),INDEX(Transactions!$G:$G,ROW()-8))</f>
      </c>
      <c r="F9998">
        <f>IF(INDEX(Transactions!$J:$J,ROW()-8)="",0,INDEX(Transactions!$O:$O,ROW()-8))</f>
      </c>
    </row>
    <row r="9999" spans="1:7">
      <c r="B9999">
        <f>IF(INDEX(Transactions!$J:$J,ROW()-8)="",TODAY(),INDEX(Transactions!$G:$G,ROW()-8))</f>
      </c>
      <c r="F9999">
        <f>IF(INDEX(Transactions!$J:$J,ROW()-8)="",0,INDEX(Transactions!$O:$O,ROW()-8))</f>
      </c>
    </row>
    <row r="10000" spans="1:7">
      <c r="B10000">
        <f>IF(INDEX(Transactions!$J:$J,ROW()-8)="",TODAY(),INDEX(Transactions!$G:$G,ROW()-8))</f>
      </c>
      <c r="F10000">
        <f>IF(INDEX(Transactions!$J:$J,ROW()-8)="",0,INDEX(Transactions!$O:$O,ROW()-8))</f>
      </c>
    </row>
    <row r="10001" spans="1:7">
      <c r="B10001">
        <f>IF(INDEX(Transactions!$J:$J,ROW()-8)="",TODAY(),INDEX(Transactions!$G:$G,ROW()-8))</f>
      </c>
      <c r="F10001">
        <f>IF(INDEX(Transactions!$J:$J,ROW()-8)="",0,INDEX(Transactions!$O:$O,ROW()-8))</f>
      </c>
    </row>
    <row r="10002" spans="1:7">
      <c r="B10002">
        <f>IF(INDEX(Transactions!$J:$J,ROW()-8)="",TODAY(),INDEX(Transactions!$G:$G,ROW()-8))</f>
      </c>
      <c r="F10002">
        <f>IF(INDEX(Transactions!$J:$J,ROW()-8)="",0,INDEX(Transactions!$O:$O,ROW()-8))</f>
      </c>
    </row>
    <row r="10003" spans="1:7">
      <c r="B10003">
        <f>IF(INDEX(Transactions!$J:$J,ROW()-8)="",TODAY(),INDEX(Transactions!$G:$G,ROW()-8))</f>
      </c>
      <c r="F10003">
        <f>IF(INDEX(Transactions!$J:$J,ROW()-8)="",0,INDEX(Transactions!$O:$O,ROW()-8))</f>
      </c>
    </row>
    <row r="10004" spans="1:7">
      <c r="B10004">
        <f>IF(INDEX(Transactions!$J:$J,ROW()-8)="",TODAY(),INDEX(Transactions!$G:$G,ROW()-8))</f>
      </c>
      <c r="F10004">
        <f>IF(INDEX(Transactions!$J:$J,ROW()-8)="",0,INDEX(Transactions!$O:$O,ROW()-8))</f>
      </c>
    </row>
    <row r="10005" spans="1:7">
      <c r="B10005">
        <f>IF(INDEX(Transactions!$J:$J,ROW()-8)="",TODAY(),INDEX(Transactions!$G:$G,ROW()-8))</f>
      </c>
      <c r="F10005">
        <f>IF(INDEX(Transactions!$J:$J,ROW()-8)="",0,INDEX(Transactions!$O:$O,ROW()-8))</f>
      </c>
    </row>
    <row r="10006" spans="1:7">
      <c r="B10006">
        <f>IF(INDEX(Transactions!$J:$J,ROW()-8)="",TODAY(),INDEX(Transactions!$G:$G,ROW()-8))</f>
      </c>
      <c r="F10006">
        <f>IF(INDEX(Transactions!$J:$J,ROW()-8)="",0,INDEX(Transactions!$O:$O,ROW()-8))</f>
      </c>
    </row>
    <row r="10007" spans="1:7">
      <c r="B10007">
        <f>IF(INDEX(Transactions!$J:$J,ROW()-8)="",TODAY(),INDEX(Transactions!$G:$G,ROW()-8))</f>
      </c>
      <c r="F10007">
        <f>IF(INDEX(Transactions!$J:$J,ROW()-8)="",0,INDEX(Transactions!$O:$O,ROW()-8))</f>
      </c>
    </row>
    <row r="10008" spans="1:7">
      <c r="B10008">
        <f>IF(INDEX(Transactions!$J:$J,ROW()-8)="",TODAY(),INDEX(Transactions!$G:$G,ROW()-8))</f>
      </c>
      <c r="F10008">
        <f>IF(INDEX(Transactions!$J:$J,ROW()-8)="",0,INDEX(Transactions!$O:$O,ROW()-8))</f>
      </c>
    </row>
    <row r="10009" spans="1:7">
      <c r="B10009">
        <f>IF(INDEX(Transactions!$J:$J,ROW()-8)="",TODAY(),INDEX(Transactions!$G:$G,ROW()-8))</f>
      </c>
      <c r="F10009">
        <f>IF(INDEX(Transactions!$J:$J,ROW()-8)="",0,INDEX(Transactions!$O:$O,ROW()-8))</f>
      </c>
    </row>
    <row r="10010" spans="1:7">
      <c r="A10010" t="inlineStr">
        <is>
          <t>CURRENT PORTFOLIO VALUE (terminal flow)</t>
        </is>
      </c>
      <c r="B10010">
        <f>TODAY()</f>
      </c>
      <c r="F10010">
        <f>'Stock Dashboard'!$B$5</f>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2026-07-13T14:46:49Z</dcterms:modified>
  <dc:language>en-US</dc:language>
</cp:coreProperties>
</file>